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/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4"/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4"/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7"/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4"/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1"/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4"/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7"/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5"/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4"/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3"/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8"/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7"/>
    <row r="128"/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3"/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1"/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2"/>
    <row r="3" ht="19.5" customHeight="1" s="307">
      <c r="A3" s="514" t="inlineStr">
        <is>
          <t>ORIGINAL 5 DEALS</t>
        </is>
      </c>
    </row>
    <row r="4"/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1"/>
    <row r="12"/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19"/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2"/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3"/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5"/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3"/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7"/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2"/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8"/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5"/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3"/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0"/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29"/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1"/>
    <row r="42"/>
    <row r="43"/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2026-05-29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1.63166084304259</v>
      </c>
      <c r="C6" s="733" t="n">
        <v>2.45276600445765</v>
      </c>
      <c r="D6" s="733" t="n">
        <v>2.49004697062086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2.17944897758709</v>
      </c>
      <c r="C7" s="735" t="n">
        <v>3.23485840942741</v>
      </c>
      <c r="D7" s="735" t="n">
        <v>3.35499756534166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2.91097779485656</v>
      </c>
      <c r="C8" s="733" t="n">
        <v>4.22571496461943</v>
      </c>
      <c r="D8" s="733" t="n">
        <v>4.45663602066765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3.85124545238677</v>
      </c>
      <c r="C9" s="737" t="n">
        <v>5.52605618614233</v>
      </c>
      <c r="D9" s="737" t="n">
        <v>5.92716051295108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5.08440744769086</v>
      </c>
      <c r="C10" s="737" t="n">
        <v>7.24866195330025</v>
      </c>
      <c r="D10" s="737" t="n">
        <v>7.90705792815803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1.63166084304259</v>
      </c>
      <c r="C15" s="733" t="n">
        <v>2.70726318703543</v>
      </c>
      <c r="D15" s="733" t="n">
        <v>2.61647520740839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2.26762812492297</v>
      </c>
      <c r="C16" s="735" t="n">
        <v>3.88829252552489</v>
      </c>
      <c r="D16" s="735" t="n">
        <v>3.84374272755654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3.34946851484888</v>
      </c>
      <c r="C17" s="733" t="n">
        <v>5.50502702732697</v>
      </c>
      <c r="D17" s="733" t="n">
        <v>5.58674718499408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4.93184704929912</v>
      </c>
      <c r="C18" s="737" t="n">
        <v>7.68916287385667</v>
      </c>
      <c r="D18" s="737" t="n">
        <v>7.98513922971875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7.08440744769086</v>
      </c>
      <c r="C19" s="737" t="n">
        <v>10.8486619533002</v>
      </c>
      <c r="D19" s="737" t="n">
        <v>11.507057928158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0.11883123598783</v>
      </c>
      <c r="C24" s="739" t="n">
        <v>0.147123806273081</v>
      </c>
      <c r="D24" s="739" t="n">
        <v>0.161225308361901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0.179042410690798</v>
      </c>
      <c r="C25" s="740" t="n">
        <v>0.191791237478709</v>
      </c>
      <c r="D25" s="740" t="n">
        <v>0.212172118760388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0.233900788494472</v>
      </c>
      <c r="C26" s="739" t="n">
        <v>0.234606332478081</v>
      </c>
      <c r="D26" s="739" t="n">
        <v>0.259886422787273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0.283920382807611</v>
      </c>
      <c r="C27" s="741" t="n">
        <v>0.277062640367737</v>
      </c>
      <c r="D27" s="741" t="n">
        <v>0.306815900587713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0.331735920090484</v>
      </c>
      <c r="C28" s="741" t="n">
        <v>0.319269455607011</v>
      </c>
      <c r="D28" s="741" t="n">
        <v>0.353471610516771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0.11883123598783</v>
      </c>
      <c r="C33" s="739" t="n">
        <v>0.15591561668895</v>
      </c>
      <c r="D33" s="739" t="n">
        <v>0.165543954369782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0.182554642607244</v>
      </c>
      <c r="C34" s="740" t="n">
        <v>0.205130940274174</v>
      </c>
      <c r="D34" s="740" t="n">
        <v>0.221084095788688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0.242434950954653</v>
      </c>
      <c r="C35" s="739" t="n">
        <v>0.250979342895037</v>
      </c>
      <c r="D35" s="739" t="n">
        <v>0.272141565879689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0.29608589232996</v>
      </c>
      <c r="C36" s="741" t="n">
        <v>0.29516147142935</v>
      </c>
      <c r="D36" s="741" t="n">
        <v>0.320808523472393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0.345682142443274</v>
      </c>
      <c r="C37" s="741" t="n">
        <v>0.33918679016163</v>
      </c>
      <c r="D37" s="741" t="n">
        <v>0.369138221096389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3"/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1"/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Exit at 1.0x ARR instead of 2.0x.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0"/>
    <row r="21"/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3"/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5"/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3"/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3"/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1"/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8"/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6"/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2"/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4"/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NOTE: engine consumes Tab 26 row 28, not this tab.</t>
        </is>
      </c>
    </row>
    <row r="3"/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6"/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8"/>
    <row r="29">
      <c r="A29" s="627" t="inlineStr">
        <is>
          <t>RECONCILE: this schedule totals $7,637K loaded/yr (20 ppl).</t>
        </is>
      </c>
    </row>
    <row r="30">
      <c r="A30" s="627" t="inlineStr">
        <is>
          <t>Engine uses Tab 26 'Total Loaded' = $11,456K/yr steady (Y2+). $3,819K/yr gap.</t>
        </is>
      </c>
    </row>
    <row r="31">
      <c r="A31" s="615" t="inlineStr">
        <is>
          <t>Likely Tab 26 includes per-OpCo operators beyond the 20-person fund team. Confirm which is the true cost before finalizing returns.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3"/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0"/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4"/>
    <row r="15"/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is the team-comp series the engines consume (D28:R28).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5"/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627" t="inlineStr">
        <is>
          <t>RECONCILE vs Tab 23 OpBudget ($7,637K/yr role schedule). This tab = $11,456K/yr steady. Document the difference.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5"/>
    <row r="36"/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8"/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3"/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0"/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4"/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0"/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3"/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25"/>
    <row r="26"/>
    <row r="27"/>
    <row r="28"/>
    <row r="29"/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1"/>
    <row r="212"/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0"/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8"/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7"/>
    <row r="258"/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78"/>
    <row r="279"/>
    <row r="280"/>
    <row r="281"/>
    <row r="282"/>
    <row r="283"/>
    <row r="284"/>
    <row r="285"/>
    <row r="286"/>
    <row r="287"/>
    <row r="288"/>
    <row r="289"/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7"/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3"/>
    <row r="314"/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3"/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25"/>
    <row r="26"/>
    <row r="27"/>
    <row r="28"/>
    <row r="29"/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1"/>
    <row r="212"/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0"/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8"/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7"/>
    <row r="258"/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78"/>
    <row r="279"/>
    <row r="280"/>
    <row r="281"/>
    <row r="282"/>
    <row r="283"/>
    <row r="284"/>
    <row r="285"/>
    <row r="286"/>
    <row r="287"/>
    <row r="288"/>
    <row r="289"/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7"/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3"/>
    <row r="314"/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0"/>
    <row r="331"/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41"/>
    <row r="342"/>
    <row r="343"/>
    <row r="344"/>
    <row r="345"/>
    <row r="346"/>
    <row r="347"/>
    <row r="348"/>
    <row r="349"/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3"/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25"/>
    <row r="26"/>
    <row r="27"/>
    <row r="28"/>
    <row r="29"/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1"/>
    <row r="212"/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0"/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8"/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7"/>
    <row r="258"/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78"/>
    <row r="279"/>
    <row r="280"/>
    <row r="281"/>
    <row r="282"/>
    <row r="283"/>
    <row r="284"/>
    <row r="285"/>
    <row r="286"/>
    <row r="287"/>
    <row r="288"/>
    <row r="289"/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7"/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3"/>
    <row r="314"/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0"/>
    <row r="331"/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41"/>
    <row r="342"/>
    <row r="343"/>
    <row r="344"/>
    <row r="345"/>
    <row r="346"/>
    <row r="347"/>
    <row r="348"/>
    <row r="349"/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2026-05-29T13:40:41Z</dcterms:modified>
  <cp:revision>0</cp:revision>
</cp:coreProperties>
</file>