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6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</fonts>
  <fills count="21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Bull</t>
        </is>
      </c>
      <c r="C136" s="615" t="inlineStr">
        <is>
          <t>Bull = per-deal NDR mix as-is (current).  Base = cap NDR at 0.95.  Bear = uniform 0.85.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673" t="inlineStr">
        <is>
          <t>NOTE: returns below are IDENTICAL across $5M/$10M/$25M (just proportionally scaled).  Press deck has no real LP class differentiation.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current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</t>
        </is>
      </c>
      <c r="E53" s="679" t="inlineStr">
        <is>
          <t>No</t>
        </is>
      </c>
      <c r="F53" s="680" t="inlineStr">
        <is>
          <t>PLACEHOLDER -- not actually offered. Would let LP add capital outside the fund.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</t>
        </is>
      </c>
      <c r="E54" s="679" t="inlineStr">
        <is>
          <t>Yes</t>
        </is>
      </c>
      <c r="F54" s="680" t="inlineStr">
        <is>
          <t>PLACEHOLDER. Standard market term for $25M+ commitments.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</t>
        </is>
      </c>
      <c r="D55" s="636" t="inlineStr">
        <is>
          <t>Yes</t>
        </is>
      </c>
      <c r="E55" s="679" t="inlineStr">
        <is>
          <t>Yes</t>
        </is>
      </c>
      <c r="F55" s="680" t="inlineStr">
        <is>
          <t>PLACEHOLDER. 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(No Recycle scenario, approximate)</t>
        </is>
      </c>
    </row>
    <row r="21">
      <c r="A21" s="697" t="inlineStr">
        <is>
          <t>Deal</t>
        </is>
      </c>
      <c r="B21" s="697" t="inlineStr">
        <is>
          <t>ARR ($mm)</t>
        </is>
      </c>
      <c r="C21" s="697" t="inlineStr">
        <is>
          <t>Real NDR</t>
        </is>
      </c>
      <c r="D21" s="697" t="inlineStr">
        <is>
          <t>15Y operating cash</t>
        </is>
      </c>
      <c r="E21" s="697" t="inlineStr">
        <is>
          <t>Exit cash (Y10)</t>
        </is>
      </c>
      <c r="F21" s="697" t="inlineStr">
        <is>
          <t>Total cash</t>
        </is>
      </c>
      <c r="G21" s="697" t="inlineStr">
        <is>
          <t>% of portfolio</t>
        </is>
      </c>
    </row>
    <row r="22">
      <c r="A22" s="306" t="inlineStr">
        <is>
          <t>#1</t>
        </is>
      </c>
      <c r="B22" s="306">
        <f>'1. Press Assumptions'!$D$89</f>
        <v/>
      </c>
      <c r="C22" s="306">
        <f>IF('1. Press Assumptions'!$B$136="Bear", 0.85, IF('1. Press Assumptions'!$B$136="Base", MIN('1. Press Assumptions'!$H$89, 0.95), '1. Press Assumptions'!$H$89))</f>
        <v/>
      </c>
      <c r="D22" s="306">
        <f>B22*'1. Press Assumptions'!$B$137*IF(C22=1,15,(1-C22^15)/(1-C22))</f>
        <v/>
      </c>
      <c r="E22" s="306">
        <f>B22*C22^9*'1. Press Assumptions'!$B$116*'1. Press Assumptions'!$B$117</f>
        <v/>
      </c>
      <c r="F22" s="306">
        <f>D22+E22</f>
        <v/>
      </c>
      <c r="G22" s="675">
        <f>F22/SUM(F$22:F$26)</f>
        <v/>
      </c>
    </row>
    <row r="23">
      <c r="A23" s="306" t="inlineStr">
        <is>
          <t>#2</t>
        </is>
      </c>
      <c r="B23" s="306">
        <f>'1. Press Assumptions'!$D$90</f>
        <v/>
      </c>
      <c r="C23" s="306">
        <f>IF('1. Press Assumptions'!$B$136="Bear", 0.85, IF('1. Press Assumptions'!$B$136="Base", MIN('1. Press Assumptions'!$H$90, 0.95), '1. Press Assumptions'!$H$90))</f>
        <v/>
      </c>
      <c r="D23" s="306">
        <f>B23*'1. Press Assumptions'!$B$137*IF(C23=1,15,(1-C23^15)/(1-C23))</f>
        <v/>
      </c>
      <c r="E23" s="306">
        <f>B23*C23^9*'1. Press Assumptions'!$B$116*'1. Press Assumptions'!$B$117</f>
        <v/>
      </c>
      <c r="F23" s="306">
        <f>D23+E23</f>
        <v/>
      </c>
      <c r="G23" s="675">
        <f>F23/SUM(F$22:F$26)</f>
        <v/>
      </c>
    </row>
    <row r="24">
      <c r="A24" s="306" t="inlineStr">
        <is>
          <t>#3</t>
        </is>
      </c>
      <c r="B24" s="306">
        <f>'1. Press Assumptions'!$D$91</f>
        <v/>
      </c>
      <c r="C24" s="306">
        <f>IF('1. Press Assumptions'!$B$136="Bear", 0.85, IF('1. Press Assumptions'!$B$136="Base", MIN('1. Press Assumptions'!$H$91, 0.95), '1. Press Assumptions'!$H$91))</f>
        <v/>
      </c>
      <c r="D24" s="306">
        <f>B24*'1. Press Assumptions'!$B$137*IF(C24=1,15,(1-C24^15)/(1-C24))</f>
        <v/>
      </c>
      <c r="E24" s="306">
        <f>B24*C24^9*'1. Press Assumptions'!$B$116*'1. Press Assumptions'!$B$117</f>
        <v/>
      </c>
      <c r="F24" s="306">
        <f>D24+E24</f>
        <v/>
      </c>
      <c r="G24" s="675">
        <f>F24/SUM(F$22:F$26)</f>
        <v/>
      </c>
    </row>
    <row r="25">
      <c r="A25" s="306" t="inlineStr">
        <is>
          <t>#4</t>
        </is>
      </c>
      <c r="B25" s="306">
        <f>'1. Press Assumptions'!$D$92</f>
        <v/>
      </c>
      <c r="C25" s="306">
        <f>IF('1. Press Assumptions'!$B$136="Bear", 0.85, IF('1. Press Assumptions'!$B$136="Base", MIN('1. Press Assumptions'!$H$92, 0.95), '1. Press Assumptions'!$H$92))</f>
        <v/>
      </c>
      <c r="D25" s="306">
        <f>B25*'1. Press Assumptions'!$B$137*IF(C25=1,15,(1-C25^15)/(1-C25))</f>
        <v/>
      </c>
      <c r="E25" s="306">
        <f>B25*C25^9*'1. Press Assumptions'!$B$116*'1. Press Assumptions'!$B$117</f>
        <v/>
      </c>
      <c r="F25" s="306">
        <f>D25+E25</f>
        <v/>
      </c>
      <c r="G25" s="675">
        <f>F25/SUM(F$22:F$26)</f>
        <v/>
      </c>
    </row>
    <row r="26">
      <c r="A26" s="306" t="inlineStr">
        <is>
          <t>#5</t>
        </is>
      </c>
      <c r="B26" s="306">
        <f>'1. Press Assumptions'!$D$93</f>
        <v/>
      </c>
      <c r="C26" s="306">
        <f>IF('1. Press Assumptions'!$B$136="Bear", 0.85, IF('1. Press Assumptions'!$B$136="Base", MIN('1. Press Assumptions'!$H$93, 0.95), '1. Press Assumptions'!$H$93))</f>
        <v/>
      </c>
      <c r="D26" s="306">
        <f>B26*'1. Press Assumptions'!$B$137*IF(C26=1,15,(1-C26^15)/(1-C26))</f>
        <v/>
      </c>
      <c r="E26" s="306">
        <f>B26*C26^9*'1. Press Assumptions'!$B$116*'1. Press Assumptions'!$B$117</f>
        <v/>
      </c>
      <c r="F26" s="306">
        <f>D26+E26</f>
        <v/>
      </c>
      <c r="G26" s="675">
        <f>F26/SUM(F$22:F$26)</f>
        <v/>
      </c>
    </row>
    <row r="27">
      <c r="A27" s="628" t="inlineStr">
        <is>
          <t>TOTAL</t>
        </is>
      </c>
      <c r="F27" s="306">
        <f>SUM(F22:F26)</f>
        <v/>
      </c>
      <c r="G27" s="675">
        <f>SUM(G22:G26)</f>
        <v/>
      </c>
    </row>
    <row r="29">
      <c r="A29" s="627" t="inlineStr">
        <is>
          <t>If top 2 deals contribute &gt;60% of cash, concentration risk is real.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 t="inlineStr">
        <is>
          <t>26-33% (engine)</t>
        </is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 t="inlineStr">
        <is>
          <t>4.12x (No Recycle); 7.23x (50% Recycle)</t>
        </is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 t="inlineStr">
        <is>
          <t>3.25x (NR); 5.37x (R50)</t>
        </is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0.85, IF('1. Press Assumptions'!$B$136="Base", MIN('1. Press Assumptions'!$H$89, 0.95), '1. Press Assumptions'!$H$89))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0.85, IF('1. Press Assumptions'!$B$136="Base", MIN('1. Press Assumptions'!$H$90, 0.95), '1. Press Assumptions'!$H$90))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0.85, IF('1. Press Assumptions'!$B$136="Base", MIN('1. Press Assumptions'!$H$91, 0.95), '1. Press Assumptions'!$H$91))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0.85, IF('1. Press Assumptions'!$B$136="Base", MIN('1. Press Assumptions'!$H$92, 0.95), '1. Press Assumptions'!$H$92))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0.85, IF('1. Press Assumptions'!$B$136="Base", MIN('1. Press Assumptions'!$H$93, 0.95), '1. Press Assumptions'!$H$93))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0.85, IF('1. Press Assumptions'!$B$136="Base", MIN('1. Press Assumptions'!$H$96, 0.95), '1. Press Assumptions'!$H$96))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0.85, IF('1. Press Assumptions'!$B$136="Base", MIN('1. Press Assumptions'!$H$97, 0.95), '1. Press Assumptions'!$H$97))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0.85, IF('1. Press Assumptions'!$B$136="Base", MIN('1. Press Assumptions'!$H$98, 0.95), '1. Press Assumptions'!$H$98))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0.85, IF('1. Press Assumptions'!$B$136="Base", MIN('1. Press Assumptions'!$H$99, 0.95), '1. Press Assumptions'!$H$99))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2026-05-25T20:42:19Z</dcterms:modified>
  <cp:revision>0</cp:revision>
</cp:coreProperties>
</file>