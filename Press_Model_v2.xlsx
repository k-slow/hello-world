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6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</fonts>
  <fills count="21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Bull</t>
        </is>
      </c>
      <c r="C136" s="615" t="inlineStr">
        <is>
          <t>Bull = per-deal NDR mix as-is (current).  Base = cap NDR at 0.95.  Bear = uniform 0.85.</t>
        </is>
      </c>
    </row>
    <row r="137">
      <c r="A137" s="306" t="inlineStr">
        <is>
          <t>Bonus margin threshold override</t>
        </is>
      </c>
      <c r="B137" s="694">
        <f>B35</f>
        <v/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</v>
      </c>
      <c r="C138" s="615" t="inlineStr">
        <is>
          <t>GP's own capital into the fund. Market norm: 1-5%.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673" t="inlineStr">
        <is>
          <t>NOTE: returns below are IDENTICAL across $5M/$10M/$25M (just proportionally scaled).  Press deck has no real LP class differentiation.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current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</t>
        </is>
      </c>
      <c r="E53" s="679" t="inlineStr">
        <is>
          <t>No</t>
        </is>
      </c>
      <c r="F53" s="680" t="inlineStr">
        <is>
          <t>PLACEHOLDER -- not actually offered. Would let LP add capital outside the fund.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</t>
        </is>
      </c>
      <c r="E54" s="679" t="inlineStr">
        <is>
          <t>Yes</t>
        </is>
      </c>
      <c r="F54" s="680" t="inlineStr">
        <is>
          <t>PLACEHOLDER. Standard market term for $25M+ commitments.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</t>
        </is>
      </c>
      <c r="D55" s="636" t="inlineStr">
        <is>
          <t>Yes</t>
        </is>
      </c>
      <c r="E55" s="679" t="inlineStr">
        <is>
          <t>Yes</t>
        </is>
      </c>
      <c r="F55" s="680" t="inlineStr">
        <is>
          <t>PLACEHOLDER. 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 t="inlineStr">
        <is>
          <t>PORTFOLIO DASHBOARD  --  LP IC HEADLINE</t>
        </is>
      </c>
      <c r="B1" s="707" t="n"/>
      <c r="C1" s="707" t="n"/>
      <c r="D1" s="707" t="n"/>
      <c r="E1" s="707" t="n"/>
      <c r="F1" s="707" t="n"/>
      <c r="G1" s="707" t="n"/>
      <c r="H1" s="614" t="n"/>
      <c r="I1" s="614" t="n"/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 t="inlineStr">
        <is>
          <t>LP IC BASE CASE  (No Recycle, NDR cap 0.95)</t>
        </is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"current scenario: " &amp; '1. Press Assumptions'!B136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KNOWN VALUES AT EACH SCENARIO (reference; will not auto-update if Tab 1 B136 changes):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Bull (NDR per Tab 1):   NR=4.12x  R50=6.84x  R100=7.03x  (after Fix 4)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(NDR cap 0.95):    NR=3.09x  R50=5.08x  R100=5.27x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Bear (uniform 0.85):    NR=2.27x  R50=3.70x  R100=3.75x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Underwrite at Base, No Recycle = 3.09x DPI / ~22%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Removes 2-zero-decay-winner risk, 72-month LPA dispute, and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delivers; LP still clears 2x in Bear.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 t="inlineStr">
        <is>
          <t>26-33% (engine)</t>
        </is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 t="inlineStr">
        <is>
          <t>4.12x (No Recycle); 7.23x (50% Recycle)</t>
        </is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 t="inlineStr">
        <is>
          <t>3.25x (NR); 5.37x (R50)</t>
        </is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0.85, IF('1. Press Assumptions'!$B$136="Base", MIN('1. Press Assumptions'!$H$96, 0.95), '1. Press Assumptions'!$H$96))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0.85, IF('1. Press Assumptions'!$B$136="Base", MIN('1. Press Assumptions'!$H$97, 0.95), '1. Press Assumptions'!$H$97))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0.85, IF('1. Press Assumptions'!$B$136="Base", MIN('1. Press Assumptions'!$H$98, 0.95), '1. Press Assumptions'!$H$98))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0.85, IF('1. Press Assumptions'!$B$136="Base", MIN('1. Press Assumptions'!$H$99, 0.95), '1. Press Assumptions'!$H$99))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0.85, IF('1. Press Assumptions'!$B$136="Base", MIN('1. Press Assumptions'!$H$101, 0.95), '1. Press Assumptions'!$H$101))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0.85, IF('1. Press Assumptions'!$B$136="Base", MIN('1. Press Assumptions'!$H$102, 0.95), '1. Press Assumptions'!$H$102))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0.85, IF('1. Press Assumptions'!$B$136="Base", MIN('1. Press Assumptions'!$H$103, 0.95), '1. Press Assumptions'!$H$103))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0.85, IF('1. Press Assumptions'!$B$136="Base", MIN('1. Press Assumptions'!$H$104, 0.95), '1. Press Assumptions'!$H$104))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2026-05-28T01:57:51Z</dcterms:modified>
  <cp:revision>0</cp:revision>
</cp:coreProperties>
</file>