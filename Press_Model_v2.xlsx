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_Engine_NR" sheetId="37" state="visible" r:id="rId37"/>
    <sheet name="_Engine_R50" sheetId="38" state="visible" r:id="rId38"/>
    <sheet name="_Engine_R100" sheetId="39" state="visible" r:id="rId39"/>
    <sheet name="CHANGE LOG" sheetId="40" state="visible" r:id="rId4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</fonts>
  <fills count="20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6">
      <c r="A136" s="306" t="inlineStr"/>
    </row>
    <row r="138">
      <c r="A138" s="641" t="inlineStr">
        <is>
          <t>AUTO-UPDATE ENGINE OUTPUTS  (from _Engine_NR / _Engine_R50 / _Engine_R100)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338" t="inlineStr">
        <is>
          <t>$150M fund. 85% NDR base case. 1.24x entry. Tiered waterfall. Staged IRR.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321" t="n"/>
      <c r="B50" s="354" t="n"/>
      <c r="C50" s="354" t="n"/>
      <c r="E50" s="354" t="n"/>
      <c r="F50" s="354" t="n"/>
      <c r="H50" s="354" t="n"/>
      <c r="I50" s="354" t="n"/>
      <c r="K50" s="306" t="n"/>
      <c r="L50" s="306" t="n"/>
    </row>
    <row r="51" ht="15" customHeight="1" s="307">
      <c r="A51" s="321" t="n"/>
      <c r="B51" s="354" t="n"/>
      <c r="C51" s="354" t="n"/>
      <c r="E51" s="354" t="n"/>
      <c r="F51" s="354" t="n"/>
      <c r="H51" s="354" t="n"/>
      <c r="I51" s="354" t="n"/>
      <c r="K51" s="306" t="n"/>
      <c r="L51" s="306" t="n"/>
    </row>
    <row r="52" ht="15" customHeight="1" s="307">
      <c r="A52" s="321" t="n"/>
      <c r="B52" s="354" t="n"/>
      <c r="C52" s="354" t="n"/>
      <c r="E52" s="354" t="n"/>
      <c r="F52" s="354" t="n"/>
      <c r="H52" s="354" t="n"/>
      <c r="I52" s="354" t="n"/>
      <c r="K52" s="306" t="n"/>
      <c r="L52" s="306" t="n"/>
    </row>
    <row r="53" ht="15" customHeight="1" s="307">
      <c r="A53" s="321" t="n"/>
      <c r="B53" s="354" t="n"/>
      <c r="C53" s="354" t="n"/>
      <c r="E53" s="354" t="n"/>
      <c r="F53" s="354" t="n"/>
      <c r="H53" s="354" t="n"/>
      <c r="I53" s="354" t="n"/>
      <c r="K53" s="306" t="n"/>
      <c r="L53" s="306" t="n"/>
    </row>
    <row r="54" ht="15" customHeight="1" s="307">
      <c r="A54" s="321" t="n"/>
      <c r="B54" s="354" t="n"/>
      <c r="C54" s="354" t="n"/>
      <c r="E54" s="354" t="n"/>
      <c r="F54" s="354" t="n"/>
      <c r="H54" s="354" t="n"/>
      <c r="I54" s="354" t="n"/>
      <c r="K54" s="306" t="n"/>
      <c r="L54" s="306" t="n"/>
    </row>
    <row r="55" ht="15" customHeight="1" s="307">
      <c r="A55" s="321" t="n"/>
      <c r="B55" s="354" t="n"/>
      <c r="C55" s="354" t="n"/>
      <c r="E55" s="354" t="n"/>
      <c r="F55" s="354" t="n"/>
      <c r="H55" s="354" t="n"/>
      <c r="I55" s="354" t="n"/>
      <c r="K55" s="306" t="n"/>
      <c r="L55" s="306" t="n"/>
    </row>
    <row r="56" ht="15" customHeight="1" s="307">
      <c r="A56" s="321" t="n"/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 t="n">
        <v>0</v>
      </c>
      <c r="C13" s="465" t="n">
        <v>0</v>
      </c>
      <c r="D13" s="465" t="n">
        <v>0</v>
      </c>
      <c r="E13" s="465" t="n">
        <v>2.1333</v>
      </c>
      <c r="F13" s="465" t="n">
        <v>2.1046</v>
      </c>
      <c r="G13" s="465" t="n">
        <v>2.0763</v>
      </c>
      <c r="H13" s="465" t="n">
        <v>4.3151</v>
      </c>
      <c r="I13" s="465" t="n">
        <v>4.257</v>
      </c>
      <c r="J13" s="465" t="n">
        <v>4.1997</v>
      </c>
      <c r="K13" s="465" t="n">
        <v>6.6516</v>
      </c>
      <c r="L13" s="465" t="n">
        <v>6.5621</v>
      </c>
      <c r="M13" s="465" t="n">
        <v>8.640499999999999</v>
      </c>
      <c r="N13" s="466" t="n">
        <v>8.5243</v>
      </c>
      <c r="O13" s="466" t="n">
        <v>8.409599999999999</v>
      </c>
      <c r="P13" s="466" t="n">
        <v>8.2965</v>
      </c>
      <c r="Q13" s="466" t="n">
        <v>10.3015</v>
      </c>
      <c r="R13" s="466" t="n">
        <v>10.163</v>
      </c>
      <c r="S13" s="466" t="n">
        <v>10.0263</v>
      </c>
      <c r="T13" s="466" t="n">
        <v>9.891400000000001</v>
      </c>
      <c r="U13" s="466" t="n">
        <v>9.7583</v>
      </c>
      <c r="V13" s="466" t="n">
        <v>9.6271</v>
      </c>
      <c r="W13" s="466" t="n">
        <v>9.4976</v>
      </c>
      <c r="X13" s="466" t="n">
        <v>9.3698</v>
      </c>
      <c r="Y13" s="466" t="n">
        <v>9.2438</v>
      </c>
      <c r="Z13" s="465" t="n">
        <v>9.119400000000001</v>
      </c>
      <c r="AA13" s="465" t="n">
        <v>8.996700000000001</v>
      </c>
      <c r="AB13" s="465" t="n">
        <v>8.8757</v>
      </c>
      <c r="AC13" s="465" t="n">
        <v>8.7563</v>
      </c>
      <c r="AD13" s="465" t="n">
        <v>8.638500000000001</v>
      </c>
      <c r="AE13" s="465" t="n">
        <v>8.5223</v>
      </c>
      <c r="AF13" s="465" t="n">
        <v>8.4077</v>
      </c>
      <c r="AG13" s="465" t="n">
        <v>8.294600000000001</v>
      </c>
      <c r="AH13" s="465" t="n">
        <v>8.183</v>
      </c>
      <c r="AI13" s="465" t="n">
        <v>8.072900000000001</v>
      </c>
      <c r="AJ13" s="465" t="n">
        <v>7.9643</v>
      </c>
      <c r="AK13" s="465" t="n">
        <v>7.8572</v>
      </c>
      <c r="AL13" s="466" t="n">
        <v>7.7515</v>
      </c>
      <c r="AM13" s="466" t="n">
        <v>7.6472</v>
      </c>
      <c r="AN13" s="466" t="n">
        <v>7.5444</v>
      </c>
      <c r="AO13" s="466" t="n">
        <v>7.4429</v>
      </c>
      <c r="AP13" s="466" t="n">
        <v>7.3427</v>
      </c>
      <c r="AQ13" s="466" t="n">
        <v>7.244</v>
      </c>
      <c r="AR13" s="466" t="n">
        <v>7.1465</v>
      </c>
      <c r="AS13" s="466" t="n">
        <v>7.0504</v>
      </c>
      <c r="AT13" s="466" t="n">
        <v>6.9555</v>
      </c>
      <c r="AU13" s="466" t="n">
        <v>6.862</v>
      </c>
      <c r="AV13" s="466" t="n">
        <v>6.7697</v>
      </c>
      <c r="AW13" s="466" t="n">
        <v>6.6786</v>
      </c>
      <c r="AX13" s="465" t="n">
        <v>6.5888</v>
      </c>
      <c r="AY13" s="465" t="n">
        <v>6.5001</v>
      </c>
      <c r="AZ13" s="465" t="n">
        <v>6.4127</v>
      </c>
      <c r="BA13" s="465" t="n">
        <v>6.3264</v>
      </c>
      <c r="BB13" s="465" t="n">
        <v>6.2413</v>
      </c>
      <c r="BC13" s="465" t="n">
        <v>6.1574</v>
      </c>
      <c r="BD13" s="465" t="n">
        <v>6.0745</v>
      </c>
      <c r="BE13" s="465" t="n">
        <v>5.9928</v>
      </c>
      <c r="BF13" s="465" t="n">
        <v>5.9122</v>
      </c>
      <c r="BG13" s="465" t="n">
        <v>5.8327</v>
      </c>
      <c r="BH13" s="465" t="n">
        <v>5.7542</v>
      </c>
      <c r="BI13" s="465" t="n">
        <v>5.6768</v>
      </c>
      <c r="BJ13" s="466" t="n">
        <v>5.6005</v>
      </c>
      <c r="BK13" s="466" t="n">
        <v>5.5251</v>
      </c>
      <c r="BL13" s="466" t="n">
        <v>5.4508</v>
      </c>
      <c r="BM13" s="466" t="n">
        <v>5.3775</v>
      </c>
      <c r="BN13" s="466" t="n">
        <v>5.3051</v>
      </c>
      <c r="BO13" s="466" t="n">
        <v>5.2338</v>
      </c>
      <c r="BP13" s="466" t="n">
        <v>5.1634</v>
      </c>
      <c r="BQ13" s="466" t="n">
        <v>5.0939</v>
      </c>
      <c r="BR13" s="466" t="n">
        <v>5.0254</v>
      </c>
      <c r="BS13" s="466" t="n">
        <v>4.9578</v>
      </c>
      <c r="BT13" s="466" t="n">
        <v>4.8911</v>
      </c>
      <c r="BU13" s="466" t="n">
        <v>4.8253</v>
      </c>
      <c r="BV13" s="465" t="n">
        <v>4.7604</v>
      </c>
      <c r="BW13" s="465" t="n">
        <v>4.6963</v>
      </c>
      <c r="BX13" s="465" t="n">
        <v>4.6332</v>
      </c>
      <c r="BY13" s="465" t="n">
        <v>4.5708</v>
      </c>
      <c r="BZ13" s="465" t="n">
        <v>4.5094</v>
      </c>
      <c r="CA13" s="465" t="n">
        <v>4.4487</v>
      </c>
      <c r="CB13" s="465" t="n">
        <v>4.3889</v>
      </c>
      <c r="CC13" s="465" t="n">
        <v>4.3298</v>
      </c>
      <c r="CD13" s="465" t="n">
        <v>4.2716</v>
      </c>
      <c r="CE13" s="465" t="n">
        <v>4.2141</v>
      </c>
      <c r="CF13" s="465" t="n">
        <v>4.1574</v>
      </c>
      <c r="CG13" s="465" t="n">
        <v>4.1015</v>
      </c>
      <c r="CH13" s="466" t="n">
        <v>4.0463</v>
      </c>
      <c r="CI13" s="466" t="n">
        <v>3.9919</v>
      </c>
      <c r="CJ13" s="466" t="n">
        <v>3.9382</v>
      </c>
      <c r="CK13" s="466" t="n">
        <v>3.8852</v>
      </c>
      <c r="CL13" s="466" t="n">
        <v>3.833</v>
      </c>
      <c r="CM13" s="466" t="n">
        <v>3.7814</v>
      </c>
      <c r="CN13" s="466" t="n">
        <v>3.7305</v>
      </c>
      <c r="CO13" s="466" t="n">
        <v>3.6803</v>
      </c>
      <c r="CP13" s="466" t="n">
        <v>3.6308</v>
      </c>
      <c r="CQ13" s="466" t="n">
        <v>3.582</v>
      </c>
      <c r="CR13" s="466" t="n">
        <v>3.5338</v>
      </c>
      <c r="CS13" s="466" t="n">
        <v>3.4863</v>
      </c>
      <c r="CT13" s="465" t="n">
        <v>3.4394</v>
      </c>
      <c r="CU13" s="465" t="n">
        <v>3.3931</v>
      </c>
      <c r="CV13" s="465" t="n">
        <v>3.3475</v>
      </c>
      <c r="CW13" s="465" t="n">
        <v>3.3024</v>
      </c>
      <c r="CX13" s="465" t="n">
        <v>3.258</v>
      </c>
      <c r="CY13" s="465" t="n">
        <v>3.2142</v>
      </c>
      <c r="CZ13" s="465" t="n">
        <v>3.171</v>
      </c>
      <c r="DA13" s="465" t="n">
        <v>3.1283</v>
      </c>
      <c r="DB13" s="465" t="n">
        <v>3.0862</v>
      </c>
      <c r="DC13" s="465" t="n">
        <v>3.0447</v>
      </c>
      <c r="DD13" s="465" t="n">
        <v>3.0037</v>
      </c>
      <c r="DE13" s="465" t="n">
        <v>2.9633</v>
      </c>
      <c r="DF13" s="466" t="n">
        <v>2.9235</v>
      </c>
      <c r="DG13" s="466" t="n">
        <v>2.8841</v>
      </c>
      <c r="DH13" s="466" t="n">
        <v>2.8453</v>
      </c>
      <c r="DI13" s="466" t="n">
        <v>2.8071</v>
      </c>
      <c r="DJ13" s="466" t="n">
        <v>2.7693</v>
      </c>
      <c r="DK13" s="466" t="n">
        <v>2.7321</v>
      </c>
      <c r="DL13" s="466" t="n">
        <v>2.6953</v>
      </c>
      <c r="DM13" s="466" t="n">
        <v>2.6591</v>
      </c>
      <c r="DN13" s="466" t="n">
        <v>2.6233</v>
      </c>
      <c r="DO13" s="466" t="n">
        <v>2.588</v>
      </c>
      <c r="DP13" s="466" t="n">
        <v>2.5532</v>
      </c>
      <c r="DQ13" s="466" t="n">
        <v>2.5188</v>
      </c>
      <c r="DR13" s="465" t="n">
        <v>2.485</v>
      </c>
      <c r="DS13" s="465" t="n">
        <v>2.4515</v>
      </c>
      <c r="DT13" s="465" t="n">
        <v>2.4185</v>
      </c>
      <c r="DU13" s="465" t="n">
        <v>2.386</v>
      </c>
      <c r="DV13" s="465" t="n">
        <v>2.3539</v>
      </c>
      <c r="DW13" s="465" t="n">
        <v>2.3223</v>
      </c>
      <c r="DX13" s="465" t="n">
        <v>2.291</v>
      </c>
      <c r="DY13" s="465" t="n">
        <v>2.2602</v>
      </c>
      <c r="DZ13" s="465" t="n">
        <v>2.2298</v>
      </c>
      <c r="EA13" s="465" t="n">
        <v>2.1998</v>
      </c>
      <c r="EB13" s="465" t="n">
        <v>2.1702</v>
      </c>
      <c r="EC13" s="465" t="n">
        <v>2.141</v>
      </c>
      <c r="ED13" s="466" t="n">
        <v>2.1122</v>
      </c>
      <c r="EE13" s="466" t="n">
        <v>2.0838</v>
      </c>
      <c r="EF13" s="466" t="n">
        <v>2.0558</v>
      </c>
      <c r="EG13" s="466" t="n">
        <v>2.0281</v>
      </c>
      <c r="EH13" s="466" t="n">
        <v>2.0008</v>
      </c>
      <c r="EI13" s="466" t="n">
        <v>1.9739</v>
      </c>
      <c r="EJ13" s="466" t="n">
        <v>1.9474</v>
      </c>
      <c r="EK13" s="466" t="n">
        <v>1.9212</v>
      </c>
      <c r="EL13" s="466" t="n">
        <v>1.8953</v>
      </c>
      <c r="EM13" s="466" t="n">
        <v>1.8698</v>
      </c>
      <c r="EN13" s="466" t="n">
        <v>1.8447</v>
      </c>
      <c r="EO13" s="466" t="n">
        <v>1.8199</v>
      </c>
      <c r="EP13" s="465" t="n">
        <v>1.7954</v>
      </c>
      <c r="EQ13" s="465" t="n">
        <v>1.7712</v>
      </c>
      <c r="ER13" s="465" t="n">
        <v>1.7474</v>
      </c>
      <c r="ES13" s="465" t="n">
        <v>1.7239</v>
      </c>
      <c r="ET13" s="465" t="n">
        <v>1.7007</v>
      </c>
      <c r="EU13" s="465" t="n">
        <v>1.6778</v>
      </c>
      <c r="EV13" s="465" t="n">
        <v>1.6553</v>
      </c>
      <c r="EW13" s="465" t="n">
        <v>1.633</v>
      </c>
      <c r="EX13" s="465" t="n">
        <v>1.611</v>
      </c>
      <c r="EY13" s="465" t="n">
        <v>1.5894</v>
      </c>
      <c r="EZ13" s="465" t="n">
        <v>1.568</v>
      </c>
      <c r="FA13" s="465" t="n">
        <v>1.5469</v>
      </c>
      <c r="FB13" s="466" t="n">
        <v>1.5261</v>
      </c>
      <c r="FC13" s="466" t="n">
        <v>1.5055</v>
      </c>
      <c r="FD13" s="466" t="n">
        <v>1.4853</v>
      </c>
      <c r="FE13" s="466" t="n">
        <v>1.4653</v>
      </c>
      <c r="FF13" s="466" t="n">
        <v>1.4456</v>
      </c>
      <c r="FG13" s="466" t="n">
        <v>1.4262</v>
      </c>
      <c r="FH13" s="466" t="n">
        <v>1.407</v>
      </c>
      <c r="FI13" s="466" t="n">
        <v>1.388</v>
      </c>
      <c r="FJ13" s="466" t="n">
        <v>1.3694</v>
      </c>
      <c r="FK13" s="466" t="n">
        <v>1.3509</v>
      </c>
      <c r="FL13" s="466" t="n">
        <v>1.3328</v>
      </c>
      <c r="FM13" s="466" t="n">
        <v>1.3148</v>
      </c>
      <c r="FN13" s="465" t="n">
        <v>1.2972</v>
      </c>
      <c r="FO13" s="465" t="n">
        <v>1.2797</v>
      </c>
      <c r="FP13" s="465" t="n">
        <v>1.2625</v>
      </c>
      <c r="FQ13" s="465" t="n">
        <v>1.2455</v>
      </c>
      <c r="FR13" s="465" t="n">
        <v>1.2288</v>
      </c>
      <c r="FS13" s="465" t="n">
        <v>1.2122</v>
      </c>
      <c r="FT13" s="465" t="n">
        <v>1.1959</v>
      </c>
      <c r="FU13" s="465" t="n">
        <v>1.1798</v>
      </c>
      <c r="FV13" s="465" t="n">
        <v>1.164</v>
      </c>
      <c r="FW13" s="465" t="n">
        <v>1.1483</v>
      </c>
      <c r="FX13" s="465" t="n">
        <v>1.1329</v>
      </c>
      <c r="FY13" s="465" t="n">
        <v>1.1176</v>
      </c>
      <c r="FZ13" s="306" t="n"/>
    </row>
    <row r="14" ht="15" customHeight="1" s="307">
      <c r="A14" s="321" t="inlineStr">
        <is>
          <t xml:space="preserve">    Cost of Goods Sold</t>
        </is>
      </c>
      <c r="B14" s="458" t="n">
        <v>0</v>
      </c>
      <c r="C14" s="458" t="n">
        <v>0</v>
      </c>
      <c r="D14" s="458" t="n">
        <v>0</v>
      </c>
      <c r="E14" s="458" t="n">
        <v>0.5333</v>
      </c>
      <c r="F14" s="458" t="n">
        <v>0.4735</v>
      </c>
      <c r="G14" s="458" t="n">
        <v>0.4153</v>
      </c>
      <c r="H14" s="458" t="n">
        <v>0.9251</v>
      </c>
      <c r="I14" s="458" t="n">
        <v>0.8063</v>
      </c>
      <c r="J14" s="458" t="n">
        <v>0.6904</v>
      </c>
      <c r="K14" s="458" t="n">
        <v>1.2046</v>
      </c>
      <c r="L14" s="458" t="n">
        <v>1.0729</v>
      </c>
      <c r="M14" s="458" t="n">
        <v>1.4861</v>
      </c>
      <c r="N14" s="459" t="n">
        <v>1.3003</v>
      </c>
      <c r="O14" s="459" t="n">
        <v>1.1706</v>
      </c>
      <c r="P14" s="459" t="n">
        <v>1.0443</v>
      </c>
      <c r="Q14" s="459" t="n">
        <v>1.4503</v>
      </c>
      <c r="R14" s="459" t="n">
        <v>1.3279</v>
      </c>
      <c r="S14" s="459" t="n">
        <v>1.2086</v>
      </c>
      <c r="T14" s="459" t="n">
        <v>1.1416</v>
      </c>
      <c r="U14" s="459" t="n">
        <v>1.0761</v>
      </c>
      <c r="V14" s="459" t="n">
        <v>1.0122</v>
      </c>
      <c r="W14" s="459" t="n">
        <v>0.9498</v>
      </c>
      <c r="X14" s="459" t="n">
        <v>0.9370000000000001</v>
      </c>
      <c r="Y14" s="459" t="n">
        <v>0.9244</v>
      </c>
      <c r="Z14" s="458" t="n">
        <v>0.9119</v>
      </c>
      <c r="AA14" s="458" t="n">
        <v>0.8997000000000001</v>
      </c>
      <c r="AB14" s="458" t="n">
        <v>0.8875999999999999</v>
      </c>
      <c r="AC14" s="458" t="n">
        <v>0.8756</v>
      </c>
      <c r="AD14" s="458" t="n">
        <v>0.8639</v>
      </c>
      <c r="AE14" s="458" t="n">
        <v>0.8522</v>
      </c>
      <c r="AF14" s="458" t="n">
        <v>0.8408</v>
      </c>
      <c r="AG14" s="458" t="n">
        <v>0.8295</v>
      </c>
      <c r="AH14" s="458" t="n">
        <v>0.8183</v>
      </c>
      <c r="AI14" s="458" t="n">
        <v>0.8073</v>
      </c>
      <c r="AJ14" s="458" t="n">
        <v>0.7964</v>
      </c>
      <c r="AK14" s="458" t="n">
        <v>0.7857</v>
      </c>
      <c r="AL14" s="459" t="n">
        <v>0.7751</v>
      </c>
      <c r="AM14" s="459" t="n">
        <v>0.7647</v>
      </c>
      <c r="AN14" s="459" t="n">
        <v>0.7544</v>
      </c>
      <c r="AO14" s="459" t="n">
        <v>0.7443</v>
      </c>
      <c r="AP14" s="459" t="n">
        <v>0.7343</v>
      </c>
      <c r="AQ14" s="459" t="n">
        <v>0.7244</v>
      </c>
      <c r="AR14" s="459" t="n">
        <v>0.7147</v>
      </c>
      <c r="AS14" s="459" t="n">
        <v>0.705</v>
      </c>
      <c r="AT14" s="459" t="n">
        <v>0.6956</v>
      </c>
      <c r="AU14" s="459" t="n">
        <v>0.6862</v>
      </c>
      <c r="AV14" s="459" t="n">
        <v>0.677</v>
      </c>
      <c r="AW14" s="459" t="n">
        <v>0.6679</v>
      </c>
      <c r="AX14" s="458" t="n">
        <v>0.6589</v>
      </c>
      <c r="AY14" s="458" t="n">
        <v>0.65</v>
      </c>
      <c r="AZ14" s="458" t="n">
        <v>0.6413</v>
      </c>
      <c r="BA14" s="458" t="n">
        <v>0.6326000000000001</v>
      </c>
      <c r="BB14" s="458" t="n">
        <v>0.6241</v>
      </c>
      <c r="BC14" s="458" t="n">
        <v>0.6157</v>
      </c>
      <c r="BD14" s="458" t="n">
        <v>0.6075</v>
      </c>
      <c r="BE14" s="458" t="n">
        <v>0.5993000000000001</v>
      </c>
      <c r="BF14" s="458" t="n">
        <v>0.5911999999999999</v>
      </c>
      <c r="BG14" s="458" t="n">
        <v>0.5833</v>
      </c>
      <c r="BH14" s="458" t="n">
        <v>0.5754</v>
      </c>
      <c r="BI14" s="458" t="n">
        <v>0.5677</v>
      </c>
      <c r="BJ14" s="459" t="n">
        <v>0.5600000000000001</v>
      </c>
      <c r="BK14" s="459" t="n">
        <v>0.5525</v>
      </c>
      <c r="BL14" s="459" t="n">
        <v>0.5451</v>
      </c>
      <c r="BM14" s="459" t="n">
        <v>0.5377</v>
      </c>
      <c r="BN14" s="459" t="n">
        <v>0.5305</v>
      </c>
      <c r="BO14" s="459" t="n">
        <v>0.5234</v>
      </c>
      <c r="BP14" s="459" t="n">
        <v>0.5163</v>
      </c>
      <c r="BQ14" s="459" t="n">
        <v>0.5094</v>
      </c>
      <c r="BR14" s="459" t="n">
        <v>0.5024999999999999</v>
      </c>
      <c r="BS14" s="459" t="n">
        <v>0.4958</v>
      </c>
      <c r="BT14" s="459" t="n">
        <v>0.4891</v>
      </c>
      <c r="BU14" s="459" t="n">
        <v>0.4825</v>
      </c>
      <c r="BV14" s="458" t="n">
        <v>0.476</v>
      </c>
      <c r="BW14" s="458" t="n">
        <v>0.4696</v>
      </c>
      <c r="BX14" s="458" t="n">
        <v>0.4633</v>
      </c>
      <c r="BY14" s="458" t="n">
        <v>0.4571</v>
      </c>
      <c r="BZ14" s="458" t="n">
        <v>0.4509</v>
      </c>
      <c r="CA14" s="458" t="n">
        <v>0.4449</v>
      </c>
      <c r="CB14" s="458" t="n">
        <v>0.4389</v>
      </c>
      <c r="CC14" s="458" t="n">
        <v>0.433</v>
      </c>
      <c r="CD14" s="458" t="n">
        <v>0.4272</v>
      </c>
      <c r="CE14" s="458" t="n">
        <v>0.4214</v>
      </c>
      <c r="CF14" s="458" t="n">
        <v>0.4157</v>
      </c>
      <c r="CG14" s="458" t="n">
        <v>0.4102</v>
      </c>
      <c r="CH14" s="459" t="n">
        <v>0.4046</v>
      </c>
      <c r="CI14" s="459" t="n">
        <v>0.3992</v>
      </c>
      <c r="CJ14" s="459" t="n">
        <v>0.3938</v>
      </c>
      <c r="CK14" s="459" t="n">
        <v>0.3885</v>
      </c>
      <c r="CL14" s="459" t="n">
        <v>0.3833</v>
      </c>
      <c r="CM14" s="459" t="n">
        <v>0.3781</v>
      </c>
      <c r="CN14" s="459" t="n">
        <v>0.3731</v>
      </c>
      <c r="CO14" s="459" t="n">
        <v>0.368</v>
      </c>
      <c r="CP14" s="459" t="n">
        <v>0.3631</v>
      </c>
      <c r="CQ14" s="459" t="n">
        <v>0.3582</v>
      </c>
      <c r="CR14" s="459" t="n">
        <v>0.3534</v>
      </c>
      <c r="CS14" s="459" t="n">
        <v>0.3486</v>
      </c>
      <c r="CT14" s="458" t="n">
        <v>0.3439</v>
      </c>
      <c r="CU14" s="458" t="n">
        <v>0.3393</v>
      </c>
      <c r="CV14" s="458" t="n">
        <v>0.3347</v>
      </c>
      <c r="CW14" s="458" t="n">
        <v>0.3302</v>
      </c>
      <c r="CX14" s="458" t="n">
        <v>0.3258</v>
      </c>
      <c r="CY14" s="458" t="n">
        <v>0.3214</v>
      </c>
      <c r="CZ14" s="458" t="n">
        <v>0.3171</v>
      </c>
      <c r="DA14" s="458" t="n">
        <v>0.3128</v>
      </c>
      <c r="DB14" s="458" t="n">
        <v>0.3086</v>
      </c>
      <c r="DC14" s="458" t="n">
        <v>0.3045</v>
      </c>
      <c r="DD14" s="458" t="n">
        <v>0.3004</v>
      </c>
      <c r="DE14" s="458" t="n">
        <v>0.2963</v>
      </c>
      <c r="DF14" s="459" t="n">
        <v>0.2923</v>
      </c>
      <c r="DG14" s="459" t="n">
        <v>0.2884</v>
      </c>
      <c r="DH14" s="459" t="n">
        <v>0.2845</v>
      </c>
      <c r="DI14" s="459" t="n">
        <v>0.2807</v>
      </c>
      <c r="DJ14" s="459" t="n">
        <v>0.2769</v>
      </c>
      <c r="DK14" s="459" t="n">
        <v>0.2732</v>
      </c>
      <c r="DL14" s="459" t="n">
        <v>0.2695</v>
      </c>
      <c r="DM14" s="459" t="n">
        <v>0.2659</v>
      </c>
      <c r="DN14" s="459" t="n">
        <v>0.2623</v>
      </c>
      <c r="DO14" s="459" t="n">
        <v>0.2588</v>
      </c>
      <c r="DP14" s="459" t="n">
        <v>0.2553</v>
      </c>
      <c r="DQ14" s="459" t="n">
        <v>0.2519</v>
      </c>
      <c r="DR14" s="458" t="n">
        <v>0.2485</v>
      </c>
      <c r="DS14" s="458" t="n">
        <v>0.2452</v>
      </c>
      <c r="DT14" s="458" t="n">
        <v>0.2419</v>
      </c>
      <c r="DU14" s="458" t="n">
        <v>0.2386</v>
      </c>
      <c r="DV14" s="458" t="n">
        <v>0.2354</v>
      </c>
      <c r="DW14" s="458" t="n">
        <v>0.2322</v>
      </c>
      <c r="DX14" s="458" t="n">
        <v>0.2291</v>
      </c>
      <c r="DY14" s="458" t="n">
        <v>0.226</v>
      </c>
      <c r="DZ14" s="458" t="n">
        <v>0.223</v>
      </c>
      <c r="EA14" s="458" t="n">
        <v>0.22</v>
      </c>
      <c r="EB14" s="458" t="n">
        <v>0.217</v>
      </c>
      <c r="EC14" s="458" t="n">
        <v>0.2141</v>
      </c>
      <c r="ED14" s="459" t="n">
        <v>0.2112</v>
      </c>
      <c r="EE14" s="459" t="n">
        <v>0.2084</v>
      </c>
      <c r="EF14" s="459" t="n">
        <v>0.2056</v>
      </c>
      <c r="EG14" s="459" t="n">
        <v>0.2028</v>
      </c>
      <c r="EH14" s="459" t="n">
        <v>0.2001</v>
      </c>
      <c r="EI14" s="459" t="n">
        <v>0.1974</v>
      </c>
      <c r="EJ14" s="459" t="n">
        <v>0.1947</v>
      </c>
      <c r="EK14" s="459" t="n">
        <v>0.1921</v>
      </c>
      <c r="EL14" s="459" t="n">
        <v>0.1895</v>
      </c>
      <c r="EM14" s="459" t="n">
        <v>0.187</v>
      </c>
      <c r="EN14" s="459" t="n">
        <v>0.1845</v>
      </c>
      <c r="EO14" s="459" t="n">
        <v>0.182</v>
      </c>
      <c r="EP14" s="458" t="n">
        <v>0.1795</v>
      </c>
      <c r="EQ14" s="458" t="n">
        <v>0.1771</v>
      </c>
      <c r="ER14" s="458" t="n">
        <v>0.1747</v>
      </c>
      <c r="ES14" s="458" t="n">
        <v>0.1724</v>
      </c>
      <c r="ET14" s="458" t="n">
        <v>0.1701</v>
      </c>
      <c r="EU14" s="458" t="n">
        <v>0.1678</v>
      </c>
      <c r="EV14" s="458" t="n">
        <v>0.1655</v>
      </c>
      <c r="EW14" s="458" t="n">
        <v>0.1633</v>
      </c>
      <c r="EX14" s="458" t="n">
        <v>0.1611</v>
      </c>
      <c r="EY14" s="458" t="n">
        <v>0.1589</v>
      </c>
      <c r="EZ14" s="458" t="n">
        <v>0.1568</v>
      </c>
      <c r="FA14" s="458" t="n">
        <v>0.1547</v>
      </c>
      <c r="FB14" s="459" t="n">
        <v>0.1526</v>
      </c>
      <c r="FC14" s="459" t="n">
        <v>0.1506</v>
      </c>
      <c r="FD14" s="459" t="n">
        <v>0.1485</v>
      </c>
      <c r="FE14" s="459" t="n">
        <v>0.1465</v>
      </c>
      <c r="FF14" s="459" t="n">
        <v>0.1446</v>
      </c>
      <c r="FG14" s="459" t="n">
        <v>0.1426</v>
      </c>
      <c r="FH14" s="459" t="n">
        <v>0.1407</v>
      </c>
      <c r="FI14" s="459" t="n">
        <v>0.1388</v>
      </c>
      <c r="FJ14" s="459" t="n">
        <v>0.1369</v>
      </c>
      <c r="FK14" s="459" t="n">
        <v>0.1351</v>
      </c>
      <c r="FL14" s="459" t="n">
        <v>0.1333</v>
      </c>
      <c r="FM14" s="459" t="n">
        <v>0.1315</v>
      </c>
      <c r="FN14" s="458" t="n">
        <v>0.1297</v>
      </c>
      <c r="FO14" s="458" t="n">
        <v>0.128</v>
      </c>
      <c r="FP14" s="458" t="n">
        <v>0.1262</v>
      </c>
      <c r="FQ14" s="458" t="n">
        <v>0.1246</v>
      </c>
      <c r="FR14" s="458" t="n">
        <v>0.1229</v>
      </c>
      <c r="FS14" s="458" t="n">
        <v>0.1212</v>
      </c>
      <c r="FT14" s="458" t="n">
        <v>0.1196</v>
      </c>
      <c r="FU14" s="458" t="n">
        <v>0.118</v>
      </c>
      <c r="FV14" s="458" t="n">
        <v>0.1164</v>
      </c>
      <c r="FW14" s="458" t="n">
        <v>0.1148</v>
      </c>
      <c r="FX14" s="458" t="n">
        <v>0.1133</v>
      </c>
      <c r="FY14" s="458" t="n">
        <v>0.1118</v>
      </c>
      <c r="FZ14" s="306" t="n"/>
    </row>
    <row r="15" ht="15" customHeight="1" s="307">
      <c r="A15" s="468" t="inlineStr">
        <is>
          <t>Gross Profit</t>
        </is>
      </c>
      <c r="B15" s="469" t="n">
        <v>0</v>
      </c>
      <c r="C15" s="469" t="n">
        <v>0</v>
      </c>
      <c r="D15" s="469" t="n">
        <v>0</v>
      </c>
      <c r="E15" s="469" t="n">
        <v>1.6</v>
      </c>
      <c r="F15" s="469" t="n">
        <v>1.6311</v>
      </c>
      <c r="G15" s="469" t="n">
        <v>1.6611</v>
      </c>
      <c r="H15" s="469" t="n">
        <v>3.3899</v>
      </c>
      <c r="I15" s="469" t="n">
        <v>3.4507</v>
      </c>
      <c r="J15" s="469" t="n">
        <v>3.5093</v>
      </c>
      <c r="K15" s="469" t="n">
        <v>5.4469</v>
      </c>
      <c r="L15" s="469" t="n">
        <v>5.4892</v>
      </c>
      <c r="M15" s="469" t="n">
        <v>7.1544</v>
      </c>
      <c r="N15" s="470" t="n">
        <v>7.224</v>
      </c>
      <c r="O15" s="470" t="n">
        <v>7.239</v>
      </c>
      <c r="P15" s="470" t="n">
        <v>7.2522</v>
      </c>
      <c r="Q15" s="470" t="n">
        <v>8.8513</v>
      </c>
      <c r="R15" s="470" t="n">
        <v>8.835000000000001</v>
      </c>
      <c r="S15" s="470" t="n">
        <v>8.817600000000001</v>
      </c>
      <c r="T15" s="470" t="n">
        <v>8.7498</v>
      </c>
      <c r="U15" s="470" t="n">
        <v>8.6822</v>
      </c>
      <c r="V15" s="470" t="n">
        <v>8.6149</v>
      </c>
      <c r="W15" s="470" t="n">
        <v>8.547800000000001</v>
      </c>
      <c r="X15" s="470" t="n">
        <v>8.4328</v>
      </c>
      <c r="Y15" s="470" t="n">
        <v>8.3194</v>
      </c>
      <c r="Z15" s="469" t="n">
        <v>8.2075</v>
      </c>
      <c r="AA15" s="469" t="n">
        <v>8.097099999999999</v>
      </c>
      <c r="AB15" s="469" t="n">
        <v>7.9881</v>
      </c>
      <c r="AC15" s="469" t="n">
        <v>7.8807</v>
      </c>
      <c r="AD15" s="469" t="n">
        <v>7.7747</v>
      </c>
      <c r="AE15" s="469" t="n">
        <v>7.6701</v>
      </c>
      <c r="AF15" s="469" t="n">
        <v>7.5669</v>
      </c>
      <c r="AG15" s="469" t="n">
        <v>7.4651</v>
      </c>
      <c r="AH15" s="469" t="n">
        <v>7.3647</v>
      </c>
      <c r="AI15" s="469" t="n">
        <v>7.2656</v>
      </c>
      <c r="AJ15" s="469" t="n">
        <v>7.1679</v>
      </c>
      <c r="AK15" s="469" t="n">
        <v>7.0715</v>
      </c>
      <c r="AL15" s="470" t="n">
        <v>6.9763</v>
      </c>
      <c r="AM15" s="470" t="n">
        <v>6.8825</v>
      </c>
      <c r="AN15" s="470" t="n">
        <v>6.7899</v>
      </c>
      <c r="AO15" s="470" t="n">
        <v>6.6986</v>
      </c>
      <c r="AP15" s="470" t="n">
        <v>6.6085</v>
      </c>
      <c r="AQ15" s="470" t="n">
        <v>6.5196</v>
      </c>
      <c r="AR15" s="470" t="n">
        <v>6.4319</v>
      </c>
      <c r="AS15" s="470" t="n">
        <v>6.3454</v>
      </c>
      <c r="AT15" s="470" t="n">
        <v>6.26</v>
      </c>
      <c r="AU15" s="470" t="n">
        <v>6.1758</v>
      </c>
      <c r="AV15" s="470" t="n">
        <v>6.0927</v>
      </c>
      <c r="AW15" s="470" t="n">
        <v>6.0107</v>
      </c>
      <c r="AX15" s="469" t="n">
        <v>5.9299</v>
      </c>
      <c r="AY15" s="469" t="n">
        <v>5.8501</v>
      </c>
      <c r="AZ15" s="469" t="n">
        <v>5.7714</v>
      </c>
      <c r="BA15" s="469" t="n">
        <v>5.6938</v>
      </c>
      <c r="BB15" s="469" t="n">
        <v>5.6172</v>
      </c>
      <c r="BC15" s="469" t="n">
        <v>5.5416</v>
      </c>
      <c r="BD15" s="469" t="n">
        <v>5.4671</v>
      </c>
      <c r="BE15" s="469" t="n">
        <v>5.3935</v>
      </c>
      <c r="BF15" s="469" t="n">
        <v>5.321</v>
      </c>
      <c r="BG15" s="469" t="n">
        <v>5.2494</v>
      </c>
      <c r="BH15" s="469" t="n">
        <v>5.1788</v>
      </c>
      <c r="BI15" s="469" t="n">
        <v>5.1091</v>
      </c>
      <c r="BJ15" s="470" t="n">
        <v>5.0404</v>
      </c>
      <c r="BK15" s="470" t="n">
        <v>4.9726</v>
      </c>
      <c r="BL15" s="470" t="n">
        <v>4.9057</v>
      </c>
      <c r="BM15" s="470" t="n">
        <v>4.8397</v>
      </c>
      <c r="BN15" s="470" t="n">
        <v>4.7746</v>
      </c>
      <c r="BO15" s="470" t="n">
        <v>4.7104</v>
      </c>
      <c r="BP15" s="470" t="n">
        <v>4.647</v>
      </c>
      <c r="BQ15" s="470" t="n">
        <v>4.5845</v>
      </c>
      <c r="BR15" s="470" t="n">
        <v>4.5228</v>
      </c>
      <c r="BS15" s="470" t="n">
        <v>4.462</v>
      </c>
      <c r="BT15" s="470" t="n">
        <v>4.402</v>
      </c>
      <c r="BU15" s="470" t="n">
        <v>4.3428</v>
      </c>
      <c r="BV15" s="469" t="n">
        <v>4.2843</v>
      </c>
      <c r="BW15" s="469" t="n">
        <v>4.2267</v>
      </c>
      <c r="BX15" s="469" t="n">
        <v>4.1699</v>
      </c>
      <c r="BY15" s="469" t="n">
        <v>4.1138</v>
      </c>
      <c r="BZ15" s="469" t="n">
        <v>4.0584</v>
      </c>
      <c r="CA15" s="469" t="n">
        <v>4.0038</v>
      </c>
      <c r="CB15" s="469" t="n">
        <v>3.95</v>
      </c>
      <c r="CC15" s="469" t="n">
        <v>3.8968</v>
      </c>
      <c r="CD15" s="469" t="n">
        <v>3.8444</v>
      </c>
      <c r="CE15" s="469" t="n">
        <v>3.7927</v>
      </c>
      <c r="CF15" s="469" t="n">
        <v>3.7417</v>
      </c>
      <c r="CG15" s="469" t="n">
        <v>3.6914</v>
      </c>
      <c r="CH15" s="470" t="n">
        <v>3.6417</v>
      </c>
      <c r="CI15" s="470" t="n">
        <v>3.5927</v>
      </c>
      <c r="CJ15" s="470" t="n">
        <v>3.5444</v>
      </c>
      <c r="CK15" s="470" t="n">
        <v>3.4967</v>
      </c>
      <c r="CL15" s="470" t="n">
        <v>3.4497</v>
      </c>
      <c r="CM15" s="470" t="n">
        <v>3.4033</v>
      </c>
      <c r="CN15" s="470" t="n">
        <v>3.3575</v>
      </c>
      <c r="CO15" s="470" t="n">
        <v>3.3123</v>
      </c>
      <c r="CP15" s="470" t="n">
        <v>3.2678</v>
      </c>
      <c r="CQ15" s="470" t="n">
        <v>3.2238</v>
      </c>
      <c r="CR15" s="470" t="n">
        <v>3.1804</v>
      </c>
      <c r="CS15" s="470" t="n">
        <v>3.1376</v>
      </c>
      <c r="CT15" s="469" t="n">
        <v>3.0954</v>
      </c>
      <c r="CU15" s="469" t="n">
        <v>3.0538</v>
      </c>
      <c r="CV15" s="469" t="n">
        <v>3.0127</v>
      </c>
      <c r="CW15" s="469" t="n">
        <v>2.9722</v>
      </c>
      <c r="CX15" s="469" t="n">
        <v>2.9322</v>
      </c>
      <c r="CY15" s="469" t="n">
        <v>2.8928</v>
      </c>
      <c r="CZ15" s="469" t="n">
        <v>2.8539</v>
      </c>
      <c r="DA15" s="469" t="n">
        <v>2.8155</v>
      </c>
      <c r="DB15" s="469" t="n">
        <v>2.7776</v>
      </c>
      <c r="DC15" s="469" t="n">
        <v>2.7402</v>
      </c>
      <c r="DD15" s="469" t="n">
        <v>2.7034</v>
      </c>
      <c r="DE15" s="469" t="n">
        <v>2.667</v>
      </c>
      <c r="DF15" s="470" t="n">
        <v>2.6311</v>
      </c>
      <c r="DG15" s="470" t="n">
        <v>2.5957</v>
      </c>
      <c r="DH15" s="470" t="n">
        <v>2.5608</v>
      </c>
      <c r="DI15" s="470" t="n">
        <v>2.5264</v>
      </c>
      <c r="DJ15" s="470" t="n">
        <v>2.4924</v>
      </c>
      <c r="DK15" s="470" t="n">
        <v>2.4589</v>
      </c>
      <c r="DL15" s="470" t="n">
        <v>2.4258</v>
      </c>
      <c r="DM15" s="470" t="n">
        <v>2.3931</v>
      </c>
      <c r="DN15" s="470" t="n">
        <v>2.361</v>
      </c>
      <c r="DO15" s="470" t="n">
        <v>2.3292</v>
      </c>
      <c r="DP15" s="470" t="n">
        <v>2.2979</v>
      </c>
      <c r="DQ15" s="470" t="n">
        <v>2.267</v>
      </c>
      <c r="DR15" s="469" t="n">
        <v>2.2365</v>
      </c>
      <c r="DS15" s="469" t="n">
        <v>2.2064</v>
      </c>
      <c r="DT15" s="469" t="n">
        <v>2.1767</v>
      </c>
      <c r="DU15" s="469" t="n">
        <v>2.1474</v>
      </c>
      <c r="DV15" s="469" t="n">
        <v>2.1185</v>
      </c>
      <c r="DW15" s="469" t="n">
        <v>2.09</v>
      </c>
      <c r="DX15" s="469" t="n">
        <v>2.0619</v>
      </c>
      <c r="DY15" s="469" t="n">
        <v>2.0342</v>
      </c>
      <c r="DZ15" s="469" t="n">
        <v>2.0068</v>
      </c>
      <c r="EA15" s="469" t="n">
        <v>1.9798</v>
      </c>
      <c r="EB15" s="469" t="n">
        <v>1.9532</v>
      </c>
      <c r="EC15" s="469" t="n">
        <v>1.9269</v>
      </c>
      <c r="ED15" s="470" t="n">
        <v>1.901</v>
      </c>
      <c r="EE15" s="470" t="n">
        <v>1.8754</v>
      </c>
      <c r="EF15" s="470" t="n">
        <v>1.8502</v>
      </c>
      <c r="EG15" s="470" t="n">
        <v>1.8253</v>
      </c>
      <c r="EH15" s="470" t="n">
        <v>1.8007</v>
      </c>
      <c r="EI15" s="470" t="n">
        <v>1.7765</v>
      </c>
      <c r="EJ15" s="470" t="n">
        <v>1.7526</v>
      </c>
      <c r="EK15" s="470" t="n">
        <v>1.729</v>
      </c>
      <c r="EL15" s="470" t="n">
        <v>1.7058</v>
      </c>
      <c r="EM15" s="470" t="n">
        <v>1.6828</v>
      </c>
      <c r="EN15" s="470" t="n">
        <v>1.6602</v>
      </c>
      <c r="EO15" s="470" t="n">
        <v>1.6379</v>
      </c>
      <c r="EP15" s="469" t="n">
        <v>1.6158</v>
      </c>
      <c r="EQ15" s="469" t="n">
        <v>1.5941</v>
      </c>
      <c r="ER15" s="469" t="n">
        <v>1.5727</v>
      </c>
      <c r="ES15" s="469" t="n">
        <v>1.5515</v>
      </c>
      <c r="ET15" s="469" t="n">
        <v>1.5306</v>
      </c>
      <c r="EU15" s="469" t="n">
        <v>1.51</v>
      </c>
      <c r="EV15" s="469" t="n">
        <v>1.4897</v>
      </c>
      <c r="EW15" s="469" t="n">
        <v>1.4697</v>
      </c>
      <c r="EX15" s="469" t="n">
        <v>1.4499</v>
      </c>
      <c r="EY15" s="469" t="n">
        <v>1.4304</v>
      </c>
      <c r="EZ15" s="469" t="n">
        <v>1.4112</v>
      </c>
      <c r="FA15" s="469" t="n">
        <v>1.3922</v>
      </c>
      <c r="FB15" s="470" t="n">
        <v>1.3735</v>
      </c>
      <c r="FC15" s="470" t="n">
        <v>1.355</v>
      </c>
      <c r="FD15" s="470" t="n">
        <v>1.3368</v>
      </c>
      <c r="FE15" s="470" t="n">
        <v>1.3188</v>
      </c>
      <c r="FF15" s="470" t="n">
        <v>1.301</v>
      </c>
      <c r="FG15" s="470" t="n">
        <v>1.2835</v>
      </c>
      <c r="FH15" s="470" t="n">
        <v>1.2663</v>
      </c>
      <c r="FI15" s="470" t="n">
        <v>1.2492</v>
      </c>
      <c r="FJ15" s="470" t="n">
        <v>1.2324</v>
      </c>
      <c r="FK15" s="470" t="n">
        <v>1.2159</v>
      </c>
      <c r="FL15" s="470" t="n">
        <v>1.1995</v>
      </c>
      <c r="FM15" s="470" t="n">
        <v>1.1834</v>
      </c>
      <c r="FN15" s="469" t="n">
        <v>1.1674</v>
      </c>
      <c r="FO15" s="469" t="n">
        <v>1.1517</v>
      </c>
      <c r="FP15" s="469" t="n">
        <v>1.1362</v>
      </c>
      <c r="FQ15" s="469" t="n">
        <v>1.121</v>
      </c>
      <c r="FR15" s="469" t="n">
        <v>1.1059</v>
      </c>
      <c r="FS15" s="469" t="n">
        <v>1.091</v>
      </c>
      <c r="FT15" s="469" t="n">
        <v>1.0763</v>
      </c>
      <c r="FU15" s="469" t="n">
        <v>1.0619</v>
      </c>
      <c r="FV15" s="469" t="n">
        <v>1.0476</v>
      </c>
      <c r="FW15" s="469" t="n">
        <v>1.0335</v>
      </c>
      <c r="FX15" s="469" t="n">
        <v>1.0196</v>
      </c>
      <c r="FY15" s="469" t="n">
        <v>1.0059</v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 t="n">
        <v>0</v>
      </c>
      <c r="C17" s="458" t="n">
        <v>0</v>
      </c>
      <c r="D17" s="458" t="n">
        <v>0</v>
      </c>
      <c r="E17" s="458" t="n">
        <v>0.2133</v>
      </c>
      <c r="F17" s="458" t="n">
        <v>0.1929</v>
      </c>
      <c r="G17" s="458" t="n">
        <v>0.173</v>
      </c>
      <c r="H17" s="458" t="n">
        <v>0.3803</v>
      </c>
      <c r="I17" s="458" t="n">
        <v>0.3397</v>
      </c>
      <c r="J17" s="458" t="n">
        <v>0.3001</v>
      </c>
      <c r="K17" s="458" t="n">
        <v>0.5124</v>
      </c>
      <c r="L17" s="458" t="n">
        <v>0.467</v>
      </c>
      <c r="M17" s="458" t="n">
        <v>0.6394</v>
      </c>
      <c r="N17" s="459" t="n">
        <v>0.5755</v>
      </c>
      <c r="O17" s="459" t="n">
        <v>0.5304</v>
      </c>
      <c r="P17" s="459" t="n">
        <v>0.4864</v>
      </c>
      <c r="Q17" s="459" t="n">
        <v>0.6551</v>
      </c>
      <c r="R17" s="459" t="n">
        <v>0.612</v>
      </c>
      <c r="S17" s="459" t="n">
        <v>0.57</v>
      </c>
      <c r="T17" s="459" t="n">
        <v>0.5454</v>
      </c>
      <c r="U17" s="459" t="n">
        <v>0.5213</v>
      </c>
      <c r="V17" s="459" t="n">
        <v>0.4978</v>
      </c>
      <c r="W17" s="459" t="n">
        <v>0.4749</v>
      </c>
      <c r="X17" s="459" t="n">
        <v>0.4685</v>
      </c>
      <c r="Y17" s="459" t="n">
        <v>0.4622</v>
      </c>
      <c r="Z17" s="458" t="n">
        <v>0.456</v>
      </c>
      <c r="AA17" s="458" t="n">
        <v>0.4498</v>
      </c>
      <c r="AB17" s="458" t="n">
        <v>0.4438</v>
      </c>
      <c r="AC17" s="458" t="n">
        <v>0.4378</v>
      </c>
      <c r="AD17" s="458" t="n">
        <v>0.4319</v>
      </c>
      <c r="AE17" s="458" t="n">
        <v>0.4261</v>
      </c>
      <c r="AF17" s="458" t="n">
        <v>0.4204</v>
      </c>
      <c r="AG17" s="458" t="n">
        <v>0.4147</v>
      </c>
      <c r="AH17" s="458" t="n">
        <v>0.4091</v>
      </c>
      <c r="AI17" s="458" t="n">
        <v>0.4036</v>
      </c>
      <c r="AJ17" s="458" t="n">
        <v>0.3982</v>
      </c>
      <c r="AK17" s="458" t="n">
        <v>0.3929</v>
      </c>
      <c r="AL17" s="459" t="n">
        <v>0.3876</v>
      </c>
      <c r="AM17" s="459" t="n">
        <v>0.3824</v>
      </c>
      <c r="AN17" s="459" t="n">
        <v>0.3772</v>
      </c>
      <c r="AO17" s="459" t="n">
        <v>0.3721</v>
      </c>
      <c r="AP17" s="459" t="n">
        <v>0.3671</v>
      </c>
      <c r="AQ17" s="459" t="n">
        <v>0.3622</v>
      </c>
      <c r="AR17" s="459" t="n">
        <v>0.3573</v>
      </c>
      <c r="AS17" s="459" t="n">
        <v>0.3525</v>
      </c>
      <c r="AT17" s="459" t="n">
        <v>0.3478</v>
      </c>
      <c r="AU17" s="459" t="n">
        <v>0.3431</v>
      </c>
      <c r="AV17" s="459" t="n">
        <v>0.3385</v>
      </c>
      <c r="AW17" s="459" t="n">
        <v>0.3339</v>
      </c>
      <c r="AX17" s="458" t="n">
        <v>0.3294</v>
      </c>
      <c r="AY17" s="458" t="n">
        <v>0.325</v>
      </c>
      <c r="AZ17" s="458" t="n">
        <v>0.3206</v>
      </c>
      <c r="BA17" s="458" t="n">
        <v>0.3163</v>
      </c>
      <c r="BB17" s="458" t="n">
        <v>0.3121</v>
      </c>
      <c r="BC17" s="458" t="n">
        <v>0.3079</v>
      </c>
      <c r="BD17" s="458" t="n">
        <v>0.3037</v>
      </c>
      <c r="BE17" s="458" t="n">
        <v>0.2996</v>
      </c>
      <c r="BF17" s="458" t="n">
        <v>0.2956</v>
      </c>
      <c r="BG17" s="458" t="n">
        <v>0.2916</v>
      </c>
      <c r="BH17" s="458" t="n">
        <v>0.2877</v>
      </c>
      <c r="BI17" s="458" t="n">
        <v>0.2838</v>
      </c>
      <c r="BJ17" s="459" t="n">
        <v>0.28</v>
      </c>
      <c r="BK17" s="459" t="n">
        <v>0.2763</v>
      </c>
      <c r="BL17" s="459" t="n">
        <v>0.2725</v>
      </c>
      <c r="BM17" s="459" t="n">
        <v>0.2689</v>
      </c>
      <c r="BN17" s="459" t="n">
        <v>0.2653</v>
      </c>
      <c r="BO17" s="459" t="n">
        <v>0.2617</v>
      </c>
      <c r="BP17" s="459" t="n">
        <v>0.2582</v>
      </c>
      <c r="BQ17" s="459" t="n">
        <v>0.2547</v>
      </c>
      <c r="BR17" s="459" t="n">
        <v>0.2513</v>
      </c>
      <c r="BS17" s="459" t="n">
        <v>0.2479</v>
      </c>
      <c r="BT17" s="459" t="n">
        <v>0.2446</v>
      </c>
      <c r="BU17" s="459" t="n">
        <v>0.2413</v>
      </c>
      <c r="BV17" s="458" t="n">
        <v>0.238</v>
      </c>
      <c r="BW17" s="458" t="n">
        <v>0.2348</v>
      </c>
      <c r="BX17" s="458" t="n">
        <v>0.2317</v>
      </c>
      <c r="BY17" s="458" t="n">
        <v>0.2285</v>
      </c>
      <c r="BZ17" s="458" t="n">
        <v>0.2255</v>
      </c>
      <c r="CA17" s="458" t="n">
        <v>0.2224</v>
      </c>
      <c r="CB17" s="458" t="n">
        <v>0.2194</v>
      </c>
      <c r="CC17" s="458" t="n">
        <v>0.2165</v>
      </c>
      <c r="CD17" s="458" t="n">
        <v>0.2136</v>
      </c>
      <c r="CE17" s="458" t="n">
        <v>0.2107</v>
      </c>
      <c r="CF17" s="458" t="n">
        <v>0.2079</v>
      </c>
      <c r="CG17" s="458" t="n">
        <v>0.2051</v>
      </c>
      <c r="CH17" s="459" t="n">
        <v>0.2023</v>
      </c>
      <c r="CI17" s="459" t="n">
        <v>0.1996</v>
      </c>
      <c r="CJ17" s="459" t="n">
        <v>0.1969</v>
      </c>
      <c r="CK17" s="459" t="n">
        <v>0.1943</v>
      </c>
      <c r="CL17" s="459" t="n">
        <v>0.1916</v>
      </c>
      <c r="CM17" s="459" t="n">
        <v>0.1891</v>
      </c>
      <c r="CN17" s="459" t="n">
        <v>0.1865</v>
      </c>
      <c r="CO17" s="459" t="n">
        <v>0.184</v>
      </c>
      <c r="CP17" s="459" t="n">
        <v>0.1815</v>
      </c>
      <c r="CQ17" s="459" t="n">
        <v>0.1791</v>
      </c>
      <c r="CR17" s="459" t="n">
        <v>0.1767</v>
      </c>
      <c r="CS17" s="459" t="n">
        <v>0.1743</v>
      </c>
      <c r="CT17" s="458" t="n">
        <v>0.172</v>
      </c>
      <c r="CU17" s="458" t="n">
        <v>0.1697</v>
      </c>
      <c r="CV17" s="458" t="n">
        <v>0.1674</v>
      </c>
      <c r="CW17" s="458" t="n">
        <v>0.1651</v>
      </c>
      <c r="CX17" s="458" t="n">
        <v>0.1629</v>
      </c>
      <c r="CY17" s="458" t="n">
        <v>0.1607</v>
      </c>
      <c r="CZ17" s="458" t="n">
        <v>0.1585</v>
      </c>
      <c r="DA17" s="458" t="n">
        <v>0.1564</v>
      </c>
      <c r="DB17" s="458" t="n">
        <v>0.1543</v>
      </c>
      <c r="DC17" s="458" t="n">
        <v>0.1522</v>
      </c>
      <c r="DD17" s="458" t="n">
        <v>0.1502</v>
      </c>
      <c r="DE17" s="458" t="n">
        <v>0.1482</v>
      </c>
      <c r="DF17" s="459" t="n">
        <v>0.1462</v>
      </c>
      <c r="DG17" s="459" t="n">
        <v>0.1442</v>
      </c>
      <c r="DH17" s="459" t="n">
        <v>0.1423</v>
      </c>
      <c r="DI17" s="459" t="n">
        <v>0.1404</v>
      </c>
      <c r="DJ17" s="459" t="n">
        <v>0.1385</v>
      </c>
      <c r="DK17" s="459" t="n">
        <v>0.1366</v>
      </c>
      <c r="DL17" s="459" t="n">
        <v>0.1348</v>
      </c>
      <c r="DM17" s="459" t="n">
        <v>0.133</v>
      </c>
      <c r="DN17" s="459" t="n">
        <v>0.1312</v>
      </c>
      <c r="DO17" s="459" t="n">
        <v>0.1294</v>
      </c>
      <c r="DP17" s="459" t="n">
        <v>0.1277</v>
      </c>
      <c r="DQ17" s="459" t="n">
        <v>0.1259</v>
      </c>
      <c r="DR17" s="458" t="n">
        <v>0.1242</v>
      </c>
      <c r="DS17" s="458" t="n">
        <v>0.1226</v>
      </c>
      <c r="DT17" s="458" t="n">
        <v>0.1209</v>
      </c>
      <c r="DU17" s="458" t="n">
        <v>0.1193</v>
      </c>
      <c r="DV17" s="458" t="n">
        <v>0.1177</v>
      </c>
      <c r="DW17" s="458" t="n">
        <v>0.1161</v>
      </c>
      <c r="DX17" s="458" t="n">
        <v>0.1146</v>
      </c>
      <c r="DY17" s="458" t="n">
        <v>0.113</v>
      </c>
      <c r="DZ17" s="458" t="n">
        <v>0.1115</v>
      </c>
      <c r="EA17" s="458" t="n">
        <v>0.11</v>
      </c>
      <c r="EB17" s="458" t="n">
        <v>0.1085</v>
      </c>
      <c r="EC17" s="458" t="n">
        <v>0.1071</v>
      </c>
      <c r="ED17" s="459" t="n">
        <v>0.1056</v>
      </c>
      <c r="EE17" s="459" t="n">
        <v>0.1042</v>
      </c>
      <c r="EF17" s="459" t="n">
        <v>0.1028</v>
      </c>
      <c r="EG17" s="459" t="n">
        <v>0.1014</v>
      </c>
      <c r="EH17" s="459" t="n">
        <v>0.1</v>
      </c>
      <c r="EI17" s="459" t="n">
        <v>0.0987</v>
      </c>
      <c r="EJ17" s="459" t="n">
        <v>0.0974</v>
      </c>
      <c r="EK17" s="459" t="n">
        <v>0.0961</v>
      </c>
      <c r="EL17" s="459" t="n">
        <v>0.0948</v>
      </c>
      <c r="EM17" s="459" t="n">
        <v>0.0935</v>
      </c>
      <c r="EN17" s="459" t="n">
        <v>0.0922</v>
      </c>
      <c r="EO17" s="459" t="n">
        <v>0.091</v>
      </c>
      <c r="EP17" s="458" t="n">
        <v>0.0898</v>
      </c>
      <c r="EQ17" s="458" t="n">
        <v>0.0886</v>
      </c>
      <c r="ER17" s="458" t="n">
        <v>0.08740000000000001</v>
      </c>
      <c r="ES17" s="458" t="n">
        <v>0.0862</v>
      </c>
      <c r="ET17" s="458" t="n">
        <v>0.08500000000000001</v>
      </c>
      <c r="EU17" s="458" t="n">
        <v>0.0839</v>
      </c>
      <c r="EV17" s="458" t="n">
        <v>0.0828</v>
      </c>
      <c r="EW17" s="458" t="n">
        <v>0.08160000000000001</v>
      </c>
      <c r="EX17" s="458" t="n">
        <v>0.0806</v>
      </c>
      <c r="EY17" s="458" t="n">
        <v>0.0795</v>
      </c>
      <c r="EZ17" s="458" t="n">
        <v>0.0784</v>
      </c>
      <c r="FA17" s="458" t="n">
        <v>0.07729999999999999</v>
      </c>
      <c r="FB17" s="459" t="n">
        <v>0.07630000000000001</v>
      </c>
      <c r="FC17" s="459" t="n">
        <v>0.07530000000000001</v>
      </c>
      <c r="FD17" s="459" t="n">
        <v>0.0743</v>
      </c>
      <c r="FE17" s="459" t="n">
        <v>0.0733</v>
      </c>
      <c r="FF17" s="459" t="n">
        <v>0.0723</v>
      </c>
      <c r="FG17" s="459" t="n">
        <v>0.0713</v>
      </c>
      <c r="FH17" s="459" t="n">
        <v>0.0703</v>
      </c>
      <c r="FI17" s="459" t="n">
        <v>0.0694</v>
      </c>
      <c r="FJ17" s="459" t="n">
        <v>0.06850000000000001</v>
      </c>
      <c r="FK17" s="459" t="n">
        <v>0.0675</v>
      </c>
      <c r="FL17" s="459" t="n">
        <v>0.06660000000000001</v>
      </c>
      <c r="FM17" s="459" t="n">
        <v>0.06569999999999999</v>
      </c>
      <c r="FN17" s="458" t="n">
        <v>0.0649</v>
      </c>
      <c r="FO17" s="458" t="n">
        <v>0.064</v>
      </c>
      <c r="FP17" s="458" t="n">
        <v>0.0631</v>
      </c>
      <c r="FQ17" s="458" t="n">
        <v>0.0623</v>
      </c>
      <c r="FR17" s="458" t="n">
        <v>0.0614</v>
      </c>
      <c r="FS17" s="458" t="n">
        <v>0.0606</v>
      </c>
      <c r="FT17" s="458" t="n">
        <v>0.0598</v>
      </c>
      <c r="FU17" s="458" t="n">
        <v>0.059</v>
      </c>
      <c r="FV17" s="458" t="n">
        <v>0.0582</v>
      </c>
      <c r="FW17" s="458" t="n">
        <v>0.0574</v>
      </c>
      <c r="FX17" s="458" t="n">
        <v>0.0566</v>
      </c>
      <c r="FY17" s="458" t="n">
        <v>0.0559</v>
      </c>
      <c r="FZ17" s="306" t="n"/>
    </row>
    <row r="18" ht="15" customHeight="1" s="307">
      <c r="A18" s="321" t="inlineStr">
        <is>
          <t xml:space="preserve">    Corporate Allocation</t>
        </is>
      </c>
      <c r="B18" s="458" t="n">
        <v>0</v>
      </c>
      <c r="C18" s="458" t="n">
        <v>0</v>
      </c>
      <c r="D18" s="458" t="n">
        <v>0</v>
      </c>
      <c r="E18" s="458" t="n">
        <v>0.128</v>
      </c>
      <c r="F18" s="458" t="n">
        <v>0.1263</v>
      </c>
      <c r="G18" s="458" t="n">
        <v>0.1246</v>
      </c>
      <c r="H18" s="458" t="n">
        <v>0.2589</v>
      </c>
      <c r="I18" s="458" t="n">
        <v>0.2554</v>
      </c>
      <c r="J18" s="458" t="n">
        <v>0.252</v>
      </c>
      <c r="K18" s="458" t="n">
        <v>0.3991</v>
      </c>
      <c r="L18" s="458" t="n">
        <v>0.3937</v>
      </c>
      <c r="M18" s="458" t="n">
        <v>0.5184</v>
      </c>
      <c r="N18" s="459" t="n">
        <v>0.5115</v>
      </c>
      <c r="O18" s="459" t="n">
        <v>0.5046</v>
      </c>
      <c r="P18" s="459" t="n">
        <v>0.4978</v>
      </c>
      <c r="Q18" s="459" t="n">
        <v>0.6181</v>
      </c>
      <c r="R18" s="459" t="n">
        <v>0.6098</v>
      </c>
      <c r="S18" s="459" t="n">
        <v>0.6016</v>
      </c>
      <c r="T18" s="459" t="n">
        <v>0.5935</v>
      </c>
      <c r="U18" s="459" t="n">
        <v>0.5855</v>
      </c>
      <c r="V18" s="459" t="n">
        <v>0.5776</v>
      </c>
      <c r="W18" s="459" t="n">
        <v>0.5699</v>
      </c>
      <c r="X18" s="459" t="n">
        <v>0.5622</v>
      </c>
      <c r="Y18" s="459" t="n">
        <v>0.5546</v>
      </c>
      <c r="Z18" s="458" t="n">
        <v>0.5472</v>
      </c>
      <c r="AA18" s="458" t="n">
        <v>0.5397999999999999</v>
      </c>
      <c r="AB18" s="458" t="n">
        <v>0.5325</v>
      </c>
      <c r="AC18" s="458" t="n">
        <v>0.5254</v>
      </c>
      <c r="AD18" s="458" t="n">
        <v>0.5183</v>
      </c>
      <c r="AE18" s="458" t="n">
        <v>0.5113</v>
      </c>
      <c r="AF18" s="458" t="n">
        <v>0.5044999999999999</v>
      </c>
      <c r="AG18" s="458" t="n">
        <v>0.4977</v>
      </c>
      <c r="AH18" s="458" t="n">
        <v>0.491</v>
      </c>
      <c r="AI18" s="458" t="n">
        <v>0.4844</v>
      </c>
      <c r="AJ18" s="458" t="n">
        <v>0.4779</v>
      </c>
      <c r="AK18" s="458" t="n">
        <v>0.4714</v>
      </c>
      <c r="AL18" s="459" t="n">
        <v>0.4651</v>
      </c>
      <c r="AM18" s="459" t="n">
        <v>0.4588</v>
      </c>
      <c r="AN18" s="459" t="n">
        <v>0.4527</v>
      </c>
      <c r="AO18" s="459" t="n">
        <v>0.4466</v>
      </c>
      <c r="AP18" s="459" t="n">
        <v>0.4406</v>
      </c>
      <c r="AQ18" s="459" t="n">
        <v>0.4346</v>
      </c>
      <c r="AR18" s="459" t="n">
        <v>0.4288</v>
      </c>
      <c r="AS18" s="459" t="n">
        <v>0.423</v>
      </c>
      <c r="AT18" s="459" t="n">
        <v>0.4173</v>
      </c>
      <c r="AU18" s="459" t="n">
        <v>0.4117</v>
      </c>
      <c r="AV18" s="459" t="n">
        <v>0.4062</v>
      </c>
      <c r="AW18" s="459" t="n">
        <v>0.4007</v>
      </c>
      <c r="AX18" s="458" t="n">
        <v>0.3953</v>
      </c>
      <c r="AY18" s="458" t="n">
        <v>0.39</v>
      </c>
      <c r="AZ18" s="458" t="n">
        <v>0.3848</v>
      </c>
      <c r="BA18" s="458" t="n">
        <v>0.3796</v>
      </c>
      <c r="BB18" s="458" t="n">
        <v>0.3745</v>
      </c>
      <c r="BC18" s="458" t="n">
        <v>0.3694</v>
      </c>
      <c r="BD18" s="458" t="n">
        <v>0.3645</v>
      </c>
      <c r="BE18" s="458" t="n">
        <v>0.3596</v>
      </c>
      <c r="BF18" s="458" t="n">
        <v>0.3547</v>
      </c>
      <c r="BG18" s="458" t="n">
        <v>0.35</v>
      </c>
      <c r="BH18" s="458" t="n">
        <v>0.3453</v>
      </c>
      <c r="BI18" s="458" t="n">
        <v>0.3406</v>
      </c>
      <c r="BJ18" s="459" t="n">
        <v>0.336</v>
      </c>
      <c r="BK18" s="459" t="n">
        <v>0.3315</v>
      </c>
      <c r="BL18" s="459" t="n">
        <v>0.327</v>
      </c>
      <c r="BM18" s="459" t="n">
        <v>0.3226</v>
      </c>
      <c r="BN18" s="459" t="n">
        <v>0.3183</v>
      </c>
      <c r="BO18" s="459" t="n">
        <v>0.314</v>
      </c>
      <c r="BP18" s="459" t="n">
        <v>0.3098</v>
      </c>
      <c r="BQ18" s="459" t="n">
        <v>0.3056</v>
      </c>
      <c r="BR18" s="459" t="n">
        <v>0.3015</v>
      </c>
      <c r="BS18" s="459" t="n">
        <v>0.2975</v>
      </c>
      <c r="BT18" s="459" t="n">
        <v>0.2935</v>
      </c>
      <c r="BU18" s="459" t="n">
        <v>0.2895</v>
      </c>
      <c r="BV18" s="458" t="n">
        <v>0.2856</v>
      </c>
      <c r="BW18" s="458" t="n">
        <v>0.2818</v>
      </c>
      <c r="BX18" s="458" t="n">
        <v>0.278</v>
      </c>
      <c r="BY18" s="458" t="n">
        <v>0.2743</v>
      </c>
      <c r="BZ18" s="458" t="n">
        <v>0.2706</v>
      </c>
      <c r="CA18" s="458" t="n">
        <v>0.2669</v>
      </c>
      <c r="CB18" s="458" t="n">
        <v>0.2633</v>
      </c>
      <c r="CC18" s="458" t="n">
        <v>0.2598</v>
      </c>
      <c r="CD18" s="458" t="n">
        <v>0.2563</v>
      </c>
      <c r="CE18" s="458" t="n">
        <v>0.2528</v>
      </c>
      <c r="CF18" s="458" t="n">
        <v>0.2494</v>
      </c>
      <c r="CG18" s="458" t="n">
        <v>0.2461</v>
      </c>
      <c r="CH18" s="459" t="n">
        <v>0.2428</v>
      </c>
      <c r="CI18" s="459" t="n">
        <v>0.2395</v>
      </c>
      <c r="CJ18" s="459" t="n">
        <v>0.2363</v>
      </c>
      <c r="CK18" s="459" t="n">
        <v>0.2331</v>
      </c>
      <c r="CL18" s="459" t="n">
        <v>0.23</v>
      </c>
      <c r="CM18" s="459" t="n">
        <v>0.2269</v>
      </c>
      <c r="CN18" s="459" t="n">
        <v>0.2238</v>
      </c>
      <c r="CO18" s="459" t="n">
        <v>0.2208</v>
      </c>
      <c r="CP18" s="459" t="n">
        <v>0.2179</v>
      </c>
      <c r="CQ18" s="459" t="n">
        <v>0.2149</v>
      </c>
      <c r="CR18" s="459" t="n">
        <v>0.212</v>
      </c>
      <c r="CS18" s="459" t="n">
        <v>0.2092</v>
      </c>
      <c r="CT18" s="458" t="n">
        <v>0.2064</v>
      </c>
      <c r="CU18" s="458" t="n">
        <v>0.2036</v>
      </c>
      <c r="CV18" s="458" t="n">
        <v>0.2008</v>
      </c>
      <c r="CW18" s="458" t="n">
        <v>0.1981</v>
      </c>
      <c r="CX18" s="458" t="n">
        <v>0.1955</v>
      </c>
      <c r="CY18" s="458" t="n">
        <v>0.1929</v>
      </c>
      <c r="CZ18" s="458" t="n">
        <v>0.1903</v>
      </c>
      <c r="DA18" s="458" t="n">
        <v>0.1877</v>
      </c>
      <c r="DB18" s="458" t="n">
        <v>0.1852</v>
      </c>
      <c r="DC18" s="458" t="n">
        <v>0.1827</v>
      </c>
      <c r="DD18" s="458" t="n">
        <v>0.1802</v>
      </c>
      <c r="DE18" s="458" t="n">
        <v>0.1778</v>
      </c>
      <c r="DF18" s="459" t="n">
        <v>0.1754</v>
      </c>
      <c r="DG18" s="459" t="n">
        <v>0.173</v>
      </c>
      <c r="DH18" s="459" t="n">
        <v>0.1707</v>
      </c>
      <c r="DI18" s="459" t="n">
        <v>0.1684</v>
      </c>
      <c r="DJ18" s="459" t="n">
        <v>0.1662</v>
      </c>
      <c r="DK18" s="459" t="n">
        <v>0.1639</v>
      </c>
      <c r="DL18" s="459" t="n">
        <v>0.1617</v>
      </c>
      <c r="DM18" s="459" t="n">
        <v>0.1595</v>
      </c>
      <c r="DN18" s="459" t="n">
        <v>0.1574</v>
      </c>
      <c r="DO18" s="459" t="n">
        <v>0.1553</v>
      </c>
      <c r="DP18" s="459" t="n">
        <v>0.1532</v>
      </c>
      <c r="DQ18" s="459" t="n">
        <v>0.1511</v>
      </c>
      <c r="DR18" s="458" t="n">
        <v>0.1491</v>
      </c>
      <c r="DS18" s="458" t="n">
        <v>0.1471</v>
      </c>
      <c r="DT18" s="458" t="n">
        <v>0.1451</v>
      </c>
      <c r="DU18" s="458" t="n">
        <v>0.1432</v>
      </c>
      <c r="DV18" s="458" t="n">
        <v>0.1412</v>
      </c>
      <c r="DW18" s="458" t="n">
        <v>0.1393</v>
      </c>
      <c r="DX18" s="458" t="n">
        <v>0.1375</v>
      </c>
      <c r="DY18" s="458" t="n">
        <v>0.1356</v>
      </c>
      <c r="DZ18" s="458" t="n">
        <v>0.1338</v>
      </c>
      <c r="EA18" s="458" t="n">
        <v>0.132</v>
      </c>
      <c r="EB18" s="458" t="n">
        <v>0.1302</v>
      </c>
      <c r="EC18" s="458" t="n">
        <v>0.1285</v>
      </c>
      <c r="ED18" s="459" t="n">
        <v>0.1267</v>
      </c>
      <c r="EE18" s="459" t="n">
        <v>0.125</v>
      </c>
      <c r="EF18" s="459" t="n">
        <v>0.1233</v>
      </c>
      <c r="EG18" s="459" t="n">
        <v>0.1217</v>
      </c>
      <c r="EH18" s="459" t="n">
        <v>0.12</v>
      </c>
      <c r="EI18" s="459" t="n">
        <v>0.1184</v>
      </c>
      <c r="EJ18" s="459" t="n">
        <v>0.1168</v>
      </c>
      <c r="EK18" s="459" t="n">
        <v>0.1153</v>
      </c>
      <c r="EL18" s="459" t="n">
        <v>0.1137</v>
      </c>
      <c r="EM18" s="459" t="n">
        <v>0.1122</v>
      </c>
      <c r="EN18" s="459" t="n">
        <v>0.1107</v>
      </c>
      <c r="EO18" s="459" t="n">
        <v>0.1092</v>
      </c>
      <c r="EP18" s="458" t="n">
        <v>0.1077</v>
      </c>
      <c r="EQ18" s="458" t="n">
        <v>0.1063</v>
      </c>
      <c r="ER18" s="458" t="n">
        <v>0.1048</v>
      </c>
      <c r="ES18" s="458" t="n">
        <v>0.1034</v>
      </c>
      <c r="ET18" s="458" t="n">
        <v>0.102</v>
      </c>
      <c r="EU18" s="458" t="n">
        <v>0.1007</v>
      </c>
      <c r="EV18" s="458" t="n">
        <v>0.0993</v>
      </c>
      <c r="EW18" s="458" t="n">
        <v>0.098</v>
      </c>
      <c r="EX18" s="458" t="n">
        <v>0.09669999999999999</v>
      </c>
      <c r="EY18" s="458" t="n">
        <v>0.0954</v>
      </c>
      <c r="EZ18" s="458" t="n">
        <v>0.0941</v>
      </c>
      <c r="FA18" s="458" t="n">
        <v>0.09279999999999999</v>
      </c>
      <c r="FB18" s="459" t="n">
        <v>0.0916</v>
      </c>
      <c r="FC18" s="459" t="n">
        <v>0.09030000000000001</v>
      </c>
      <c r="FD18" s="459" t="n">
        <v>0.0891</v>
      </c>
      <c r="FE18" s="459" t="n">
        <v>0.08790000000000001</v>
      </c>
      <c r="FF18" s="459" t="n">
        <v>0.0867</v>
      </c>
      <c r="FG18" s="459" t="n">
        <v>0.0856</v>
      </c>
      <c r="FH18" s="459" t="n">
        <v>0.0844</v>
      </c>
      <c r="FI18" s="459" t="n">
        <v>0.0833</v>
      </c>
      <c r="FJ18" s="459" t="n">
        <v>0.0822</v>
      </c>
      <c r="FK18" s="459" t="n">
        <v>0.08110000000000001</v>
      </c>
      <c r="FL18" s="459" t="n">
        <v>0.08</v>
      </c>
      <c r="FM18" s="459" t="n">
        <v>0.0789</v>
      </c>
      <c r="FN18" s="458" t="n">
        <v>0.07779999999999999</v>
      </c>
      <c r="FO18" s="458" t="n">
        <v>0.07679999999999999</v>
      </c>
      <c r="FP18" s="458" t="n">
        <v>0.0757</v>
      </c>
      <c r="FQ18" s="458" t="n">
        <v>0.0747</v>
      </c>
      <c r="FR18" s="458" t="n">
        <v>0.0737</v>
      </c>
      <c r="FS18" s="458" t="n">
        <v>0.0727</v>
      </c>
      <c r="FT18" s="458" t="n">
        <v>0.0718</v>
      </c>
      <c r="FU18" s="458" t="n">
        <v>0.0708</v>
      </c>
      <c r="FV18" s="458" t="n">
        <v>0.0698</v>
      </c>
      <c r="FW18" s="458" t="n">
        <v>0.0689</v>
      </c>
      <c r="FX18" s="458" t="n">
        <v>0.068</v>
      </c>
      <c r="FY18" s="458" t="n">
        <v>0.06710000000000001</v>
      </c>
      <c r="FZ18" s="306" t="n"/>
    </row>
    <row r="19" ht="15" customHeight="1" s="307">
      <c r="A19" s="321" t="inlineStr">
        <is>
          <t xml:space="preserve">    Team Compensation</t>
        </is>
      </c>
      <c r="B19" s="458" t="n">
        <v>0.0813</v>
      </c>
      <c r="C19" s="458" t="n">
        <v>0.0813</v>
      </c>
      <c r="D19" s="458" t="n">
        <v>0.0813</v>
      </c>
      <c r="E19" s="458" t="n">
        <v>0.3385</v>
      </c>
      <c r="F19" s="458" t="n">
        <v>0.3385</v>
      </c>
      <c r="G19" s="458" t="n">
        <v>0.3385</v>
      </c>
      <c r="H19" s="458" t="n">
        <v>1.0292</v>
      </c>
      <c r="I19" s="458" t="n">
        <v>0.5417</v>
      </c>
      <c r="J19" s="458" t="n">
        <v>0.5417</v>
      </c>
      <c r="K19" s="458" t="n">
        <v>0.5958</v>
      </c>
      <c r="L19" s="458" t="n">
        <v>0.5958</v>
      </c>
      <c r="M19" s="458" t="n">
        <v>0.6229</v>
      </c>
      <c r="N19" s="459" t="n">
        <v>0.9344</v>
      </c>
      <c r="O19" s="459" t="n">
        <v>0.9344</v>
      </c>
      <c r="P19" s="459" t="n">
        <v>0.9344</v>
      </c>
      <c r="Q19" s="459" t="n">
        <v>0.9547</v>
      </c>
      <c r="R19" s="459" t="n">
        <v>0.9547</v>
      </c>
      <c r="S19" s="459" t="n">
        <v>0.9547</v>
      </c>
      <c r="T19" s="459" t="n">
        <v>0.9547</v>
      </c>
      <c r="U19" s="459" t="n">
        <v>0.9547</v>
      </c>
      <c r="V19" s="459" t="n">
        <v>0.9547</v>
      </c>
      <c r="W19" s="459" t="n">
        <v>0.9547</v>
      </c>
      <c r="X19" s="459" t="n">
        <v>0.9547</v>
      </c>
      <c r="Y19" s="459" t="n">
        <v>0.9547</v>
      </c>
      <c r="Z19" s="458" t="n">
        <v>0.9547</v>
      </c>
      <c r="AA19" s="458" t="n">
        <v>0.9547</v>
      </c>
      <c r="AB19" s="458" t="n">
        <v>0.9547</v>
      </c>
      <c r="AC19" s="458" t="n">
        <v>0.9547</v>
      </c>
      <c r="AD19" s="458" t="n">
        <v>0.9547</v>
      </c>
      <c r="AE19" s="458" t="n">
        <v>0.9547</v>
      </c>
      <c r="AF19" s="458" t="n">
        <v>0.9547</v>
      </c>
      <c r="AG19" s="458" t="n">
        <v>0.9547</v>
      </c>
      <c r="AH19" s="458" t="n">
        <v>0.9547</v>
      </c>
      <c r="AI19" s="458" t="n">
        <v>0.9547</v>
      </c>
      <c r="AJ19" s="458" t="n">
        <v>0.9547</v>
      </c>
      <c r="AK19" s="458" t="n">
        <v>0.9547</v>
      </c>
      <c r="AL19" s="459" t="n">
        <v>0.9547</v>
      </c>
      <c r="AM19" s="459" t="n">
        <v>0.9547</v>
      </c>
      <c r="AN19" s="459" t="n">
        <v>0.9547</v>
      </c>
      <c r="AO19" s="459" t="n">
        <v>0.9547</v>
      </c>
      <c r="AP19" s="459" t="n">
        <v>0.9547</v>
      </c>
      <c r="AQ19" s="459" t="n">
        <v>0.9547</v>
      </c>
      <c r="AR19" s="459" t="n">
        <v>0.9547</v>
      </c>
      <c r="AS19" s="459" t="n">
        <v>0.9547</v>
      </c>
      <c r="AT19" s="459" t="n">
        <v>0.9547</v>
      </c>
      <c r="AU19" s="459" t="n">
        <v>0.9547</v>
      </c>
      <c r="AV19" s="459" t="n">
        <v>0.9547</v>
      </c>
      <c r="AW19" s="459" t="n">
        <v>0.9547</v>
      </c>
      <c r="AX19" s="458" t="n">
        <v>0.9547</v>
      </c>
      <c r="AY19" s="458" t="n">
        <v>0.9547</v>
      </c>
      <c r="AZ19" s="458" t="n">
        <v>0.9547</v>
      </c>
      <c r="BA19" s="458" t="n">
        <v>0.9547</v>
      </c>
      <c r="BB19" s="458" t="n">
        <v>0.9547</v>
      </c>
      <c r="BC19" s="458" t="n">
        <v>0.9547</v>
      </c>
      <c r="BD19" s="458" t="n">
        <v>0.9547</v>
      </c>
      <c r="BE19" s="458" t="n">
        <v>0.9547</v>
      </c>
      <c r="BF19" s="458" t="n">
        <v>0.9547</v>
      </c>
      <c r="BG19" s="458" t="n">
        <v>0.9547</v>
      </c>
      <c r="BH19" s="458" t="n">
        <v>0.9547</v>
      </c>
      <c r="BI19" s="458" t="n">
        <v>0.9547</v>
      </c>
      <c r="BJ19" s="459" t="n">
        <v>0.9547</v>
      </c>
      <c r="BK19" s="459" t="n">
        <v>0.9547</v>
      </c>
      <c r="BL19" s="459" t="n">
        <v>0.9547</v>
      </c>
      <c r="BM19" s="459" t="n">
        <v>0.9547</v>
      </c>
      <c r="BN19" s="459" t="n">
        <v>0.9547</v>
      </c>
      <c r="BO19" s="459" t="n">
        <v>0.9547</v>
      </c>
      <c r="BP19" s="459" t="n">
        <v>0.9547</v>
      </c>
      <c r="BQ19" s="459" t="n">
        <v>0.9547</v>
      </c>
      <c r="BR19" s="459" t="n">
        <v>0.9547</v>
      </c>
      <c r="BS19" s="459" t="n">
        <v>0.9547</v>
      </c>
      <c r="BT19" s="459" t="n">
        <v>0.9547</v>
      </c>
      <c r="BU19" s="459" t="n">
        <v>0.9547</v>
      </c>
      <c r="BV19" s="458" t="n">
        <v>0.9547</v>
      </c>
      <c r="BW19" s="458" t="n">
        <v>0.9547</v>
      </c>
      <c r="BX19" s="458" t="n">
        <v>0.9547</v>
      </c>
      <c r="BY19" s="458" t="n">
        <v>0.9547</v>
      </c>
      <c r="BZ19" s="458" t="n">
        <v>0.9547</v>
      </c>
      <c r="CA19" s="458" t="n">
        <v>0.9547</v>
      </c>
      <c r="CB19" s="458" t="n">
        <v>0.9547</v>
      </c>
      <c r="CC19" s="458" t="n">
        <v>0.9547</v>
      </c>
      <c r="CD19" s="458" t="n">
        <v>0.9547</v>
      </c>
      <c r="CE19" s="458" t="n">
        <v>0.9547</v>
      </c>
      <c r="CF19" s="458" t="n">
        <v>0.9547</v>
      </c>
      <c r="CG19" s="458" t="n">
        <v>0.9547</v>
      </c>
      <c r="CH19" s="459" t="n">
        <v>0.9547</v>
      </c>
      <c r="CI19" s="459" t="n">
        <v>0.9547</v>
      </c>
      <c r="CJ19" s="459" t="n">
        <v>0.9547</v>
      </c>
      <c r="CK19" s="459" t="n">
        <v>0.9547</v>
      </c>
      <c r="CL19" s="459" t="n">
        <v>0.9547</v>
      </c>
      <c r="CM19" s="459" t="n">
        <v>0.9547</v>
      </c>
      <c r="CN19" s="459" t="n">
        <v>0.9547</v>
      </c>
      <c r="CO19" s="459" t="n">
        <v>0.9547</v>
      </c>
      <c r="CP19" s="459" t="n">
        <v>0.9547</v>
      </c>
      <c r="CQ19" s="459" t="n">
        <v>0.9547</v>
      </c>
      <c r="CR19" s="459" t="n">
        <v>0.9547</v>
      </c>
      <c r="CS19" s="459" t="n">
        <v>0.9547</v>
      </c>
      <c r="CT19" s="458" t="n">
        <v>0.9547</v>
      </c>
      <c r="CU19" s="458" t="n">
        <v>0.9547</v>
      </c>
      <c r="CV19" s="458" t="n">
        <v>0.9547</v>
      </c>
      <c r="CW19" s="458" t="n">
        <v>0.9547</v>
      </c>
      <c r="CX19" s="458" t="n">
        <v>0.9547</v>
      </c>
      <c r="CY19" s="458" t="n">
        <v>0.9547</v>
      </c>
      <c r="CZ19" s="458" t="n">
        <v>0.9547</v>
      </c>
      <c r="DA19" s="458" t="n">
        <v>0.9547</v>
      </c>
      <c r="DB19" s="458" t="n">
        <v>0.9547</v>
      </c>
      <c r="DC19" s="458" t="n">
        <v>0.9547</v>
      </c>
      <c r="DD19" s="458" t="n">
        <v>0.9547</v>
      </c>
      <c r="DE19" s="458" t="n">
        <v>0.9547</v>
      </c>
      <c r="DF19" s="459" t="n">
        <v>0.9547</v>
      </c>
      <c r="DG19" s="459" t="n">
        <v>0.9547</v>
      </c>
      <c r="DH19" s="459" t="n">
        <v>0.9547</v>
      </c>
      <c r="DI19" s="459" t="n">
        <v>0.9547</v>
      </c>
      <c r="DJ19" s="459" t="n">
        <v>0.9547</v>
      </c>
      <c r="DK19" s="459" t="n">
        <v>0.9547</v>
      </c>
      <c r="DL19" s="459" t="n">
        <v>0.9547</v>
      </c>
      <c r="DM19" s="459" t="n">
        <v>0.9547</v>
      </c>
      <c r="DN19" s="459" t="n">
        <v>0.9547</v>
      </c>
      <c r="DO19" s="459" t="n">
        <v>0.9547</v>
      </c>
      <c r="DP19" s="459" t="n">
        <v>0.9547</v>
      </c>
      <c r="DQ19" s="459" t="n">
        <v>0.9547</v>
      </c>
      <c r="DR19" s="458" t="n">
        <v>0.9547</v>
      </c>
      <c r="DS19" s="458" t="n">
        <v>0.9547</v>
      </c>
      <c r="DT19" s="458" t="n">
        <v>0.9547</v>
      </c>
      <c r="DU19" s="458" t="n">
        <v>0.9547</v>
      </c>
      <c r="DV19" s="458" t="n">
        <v>0.9547</v>
      </c>
      <c r="DW19" s="458" t="n">
        <v>0.9547</v>
      </c>
      <c r="DX19" s="458" t="n">
        <v>0.9547</v>
      </c>
      <c r="DY19" s="458" t="n">
        <v>0.9547</v>
      </c>
      <c r="DZ19" s="458" t="n">
        <v>0.9547</v>
      </c>
      <c r="EA19" s="458" t="n">
        <v>0.9547</v>
      </c>
      <c r="EB19" s="458" t="n">
        <v>0.9547</v>
      </c>
      <c r="EC19" s="458" t="n">
        <v>0.9547</v>
      </c>
      <c r="ED19" s="459" t="n">
        <v>0.9547</v>
      </c>
      <c r="EE19" s="459" t="n">
        <v>0.9547</v>
      </c>
      <c r="EF19" s="459" t="n">
        <v>0.9547</v>
      </c>
      <c r="EG19" s="459" t="n">
        <v>0.9547</v>
      </c>
      <c r="EH19" s="459" t="n">
        <v>0.9547</v>
      </c>
      <c r="EI19" s="459" t="n">
        <v>0.9547</v>
      </c>
      <c r="EJ19" s="459" t="n">
        <v>0.9547</v>
      </c>
      <c r="EK19" s="459" t="n">
        <v>0.9547</v>
      </c>
      <c r="EL19" s="459" t="n">
        <v>0.9547</v>
      </c>
      <c r="EM19" s="459" t="n">
        <v>0.9547</v>
      </c>
      <c r="EN19" s="459" t="n">
        <v>0.9547</v>
      </c>
      <c r="EO19" s="459" t="n">
        <v>0.9547</v>
      </c>
      <c r="EP19" s="458" t="n">
        <v>0.9547</v>
      </c>
      <c r="EQ19" s="458" t="n">
        <v>0.9547</v>
      </c>
      <c r="ER19" s="458" t="n">
        <v>0.9547</v>
      </c>
      <c r="ES19" s="458" t="n">
        <v>0.9547</v>
      </c>
      <c r="ET19" s="458" t="n">
        <v>0.9547</v>
      </c>
      <c r="EU19" s="458" t="n">
        <v>0.9547</v>
      </c>
      <c r="EV19" s="458" t="n">
        <v>0.9547</v>
      </c>
      <c r="EW19" s="458" t="n">
        <v>0.9547</v>
      </c>
      <c r="EX19" s="458" t="n">
        <v>0.9547</v>
      </c>
      <c r="EY19" s="458" t="n">
        <v>0.9547</v>
      </c>
      <c r="EZ19" s="458" t="n">
        <v>0.9547</v>
      </c>
      <c r="FA19" s="458" t="n">
        <v>0.9547</v>
      </c>
      <c r="FB19" s="459" t="n">
        <v>0.9547</v>
      </c>
      <c r="FC19" s="459" t="n">
        <v>0.9547</v>
      </c>
      <c r="FD19" s="459" t="n">
        <v>0.9547</v>
      </c>
      <c r="FE19" s="459" t="n">
        <v>0.9547</v>
      </c>
      <c r="FF19" s="459" t="n">
        <v>0.9547</v>
      </c>
      <c r="FG19" s="459" t="n">
        <v>0.9547</v>
      </c>
      <c r="FH19" s="459" t="n">
        <v>0.9547</v>
      </c>
      <c r="FI19" s="459" t="n">
        <v>0.9547</v>
      </c>
      <c r="FJ19" s="459" t="n">
        <v>0.9547</v>
      </c>
      <c r="FK19" s="459" t="n">
        <v>0.9547</v>
      </c>
      <c r="FL19" s="459" t="n">
        <v>0.9547</v>
      </c>
      <c r="FM19" s="459" t="n">
        <v>0.9547</v>
      </c>
      <c r="FN19" s="458" t="n">
        <v>0.9547</v>
      </c>
      <c r="FO19" s="458" t="n">
        <v>0.9547</v>
      </c>
      <c r="FP19" s="458" t="n">
        <v>0.9547</v>
      </c>
      <c r="FQ19" s="458" t="n">
        <v>0.9547</v>
      </c>
      <c r="FR19" s="458" t="n">
        <v>0.9547</v>
      </c>
      <c r="FS19" s="458" t="n">
        <v>0.9547</v>
      </c>
      <c r="FT19" s="458" t="n">
        <v>0.9547</v>
      </c>
      <c r="FU19" s="458" t="n">
        <v>0.9547</v>
      </c>
      <c r="FV19" s="458" t="n">
        <v>0.9547</v>
      </c>
      <c r="FW19" s="458" t="n">
        <v>0.9547</v>
      </c>
      <c r="FX19" s="458" t="n">
        <v>0.9547</v>
      </c>
      <c r="FY19" s="458" t="n">
        <v>0.9547</v>
      </c>
      <c r="FZ19" s="306" t="n"/>
    </row>
    <row r="20" ht="15" customHeight="1" s="307">
      <c r="A20" s="321" t="inlineStr">
        <is>
          <t xml:space="preserve">    Legacy Headcount Expenses</t>
        </is>
      </c>
      <c r="B20" s="458" t="n">
        <v>0</v>
      </c>
      <c r="C20" s="458" t="n">
        <v>0</v>
      </c>
      <c r="D20" s="458" t="n">
        <v>0</v>
      </c>
      <c r="E20" s="458" t="n">
        <v>1.2587</v>
      </c>
      <c r="F20" s="458" t="n">
        <v>1.0927</v>
      </c>
      <c r="G20" s="458" t="n">
        <v>0.9308999999999999</v>
      </c>
      <c r="H20" s="458" t="n">
        <v>2.1106</v>
      </c>
      <c r="I20" s="458" t="n">
        <v>1.7807</v>
      </c>
      <c r="J20" s="458" t="n">
        <v>1.4592</v>
      </c>
      <c r="K20" s="458" t="n">
        <v>2.626</v>
      </c>
      <c r="L20" s="458" t="n">
        <v>2.21</v>
      </c>
      <c r="M20" s="458" t="n">
        <v>3.083</v>
      </c>
      <c r="N20" s="459" t="n">
        <v>2.5195</v>
      </c>
      <c r="O20" s="459" t="n">
        <v>2.06</v>
      </c>
      <c r="P20" s="459" t="n">
        <v>1.6124</v>
      </c>
      <c r="Q20" s="459" t="n">
        <v>2.4254</v>
      </c>
      <c r="R20" s="459" t="n">
        <v>1.9842</v>
      </c>
      <c r="S20" s="459" t="n">
        <v>1.5545</v>
      </c>
      <c r="T20" s="459" t="n">
        <v>1.2214</v>
      </c>
      <c r="U20" s="459" t="n">
        <v>0.9492</v>
      </c>
      <c r="V20" s="459" t="n">
        <v>0.6842</v>
      </c>
      <c r="W20" s="459" t="n">
        <v>0.4261</v>
      </c>
      <c r="X20" s="459" t="n">
        <v>0.3161</v>
      </c>
      <c r="Y20" s="459" t="n">
        <v>0.2089</v>
      </c>
      <c r="Z20" s="458" t="n">
        <v>0.1546</v>
      </c>
      <c r="AA20" s="458" t="n">
        <v>0.1017</v>
      </c>
      <c r="AB20" s="458" t="n">
        <v>0.0502</v>
      </c>
      <c r="AC20" s="458" t="n">
        <v>0</v>
      </c>
      <c r="AD20" s="458" t="n">
        <v>0</v>
      </c>
      <c r="AE20" s="458" t="n">
        <v>0</v>
      </c>
      <c r="AF20" s="458" t="n">
        <v>0</v>
      </c>
      <c r="AG20" s="458" t="n">
        <v>0</v>
      </c>
      <c r="AH20" s="458" t="n">
        <v>0</v>
      </c>
      <c r="AI20" s="458" t="n">
        <v>0</v>
      </c>
      <c r="AJ20" s="458" t="n">
        <v>0</v>
      </c>
      <c r="AK20" s="458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8" t="n">
        <v>0</v>
      </c>
      <c r="AY20" s="458" t="n">
        <v>0</v>
      </c>
      <c r="AZ20" s="458" t="n">
        <v>0</v>
      </c>
      <c r="BA20" s="458" t="n">
        <v>0</v>
      </c>
      <c r="BB20" s="458" t="n">
        <v>0</v>
      </c>
      <c r="BC20" s="458" t="n">
        <v>0</v>
      </c>
      <c r="BD20" s="458" t="n">
        <v>0</v>
      </c>
      <c r="BE20" s="458" t="n">
        <v>0</v>
      </c>
      <c r="BF20" s="458" t="n">
        <v>0</v>
      </c>
      <c r="BG20" s="458" t="n">
        <v>0</v>
      </c>
      <c r="BH20" s="458" t="n">
        <v>0</v>
      </c>
      <c r="BI20" s="458" t="n">
        <v>0</v>
      </c>
      <c r="BJ20" s="459" t="n">
        <v>0</v>
      </c>
      <c r="BK20" s="459" t="n">
        <v>0</v>
      </c>
      <c r="BL20" s="459" t="n">
        <v>0</v>
      </c>
      <c r="BM20" s="459" t="n">
        <v>0</v>
      </c>
      <c r="BN20" s="459" t="n">
        <v>0</v>
      </c>
      <c r="BO20" s="459" t="n">
        <v>0</v>
      </c>
      <c r="BP20" s="459" t="n">
        <v>0</v>
      </c>
      <c r="BQ20" s="459" t="n">
        <v>0</v>
      </c>
      <c r="BR20" s="459" t="n">
        <v>0</v>
      </c>
      <c r="BS20" s="459" t="n">
        <v>0</v>
      </c>
      <c r="BT20" s="459" t="n">
        <v>0</v>
      </c>
      <c r="BU20" s="459" t="n">
        <v>0</v>
      </c>
      <c r="BV20" s="458" t="n">
        <v>0</v>
      </c>
      <c r="BW20" s="458" t="n">
        <v>0</v>
      </c>
      <c r="BX20" s="458" t="n">
        <v>0</v>
      </c>
      <c r="BY20" s="458" t="n">
        <v>0</v>
      </c>
      <c r="BZ20" s="458" t="n">
        <v>0</v>
      </c>
      <c r="CA20" s="458" t="n">
        <v>0</v>
      </c>
      <c r="CB20" s="458" t="n">
        <v>0</v>
      </c>
      <c r="CC20" s="458" t="n">
        <v>0</v>
      </c>
      <c r="CD20" s="458" t="n">
        <v>0</v>
      </c>
      <c r="CE20" s="458" t="n">
        <v>0</v>
      </c>
      <c r="CF20" s="458" t="n">
        <v>0</v>
      </c>
      <c r="CG20" s="458" t="n">
        <v>0</v>
      </c>
      <c r="CH20" s="459" t="n">
        <v>0</v>
      </c>
      <c r="CI20" s="459" t="n">
        <v>0</v>
      </c>
      <c r="CJ20" s="459" t="n">
        <v>0</v>
      </c>
      <c r="CK20" s="459" t="n">
        <v>0</v>
      </c>
      <c r="CL20" s="459" t="n">
        <v>0</v>
      </c>
      <c r="CM20" s="459" t="n">
        <v>0</v>
      </c>
      <c r="CN20" s="459" t="n">
        <v>0</v>
      </c>
      <c r="CO20" s="459" t="n">
        <v>0</v>
      </c>
      <c r="CP20" s="459" t="n">
        <v>0</v>
      </c>
      <c r="CQ20" s="459" t="n">
        <v>0</v>
      </c>
      <c r="CR20" s="459" t="n">
        <v>0</v>
      </c>
      <c r="CS20" s="459" t="n">
        <v>0</v>
      </c>
      <c r="CT20" s="458" t="n">
        <v>0</v>
      </c>
      <c r="CU20" s="458" t="n">
        <v>0</v>
      </c>
      <c r="CV20" s="458" t="n">
        <v>0</v>
      </c>
      <c r="CW20" s="458" t="n">
        <v>0</v>
      </c>
      <c r="CX20" s="458" t="n">
        <v>0</v>
      </c>
      <c r="CY20" s="458" t="n">
        <v>0</v>
      </c>
      <c r="CZ20" s="458" t="n">
        <v>0</v>
      </c>
      <c r="DA20" s="458" t="n">
        <v>0</v>
      </c>
      <c r="DB20" s="458" t="n">
        <v>0</v>
      </c>
      <c r="DC20" s="458" t="n">
        <v>0</v>
      </c>
      <c r="DD20" s="458" t="n">
        <v>0</v>
      </c>
      <c r="DE20" s="458" t="n">
        <v>0</v>
      </c>
      <c r="DF20" s="459" t="n">
        <v>0</v>
      </c>
      <c r="DG20" s="459" t="n">
        <v>0</v>
      </c>
      <c r="DH20" s="459" t="n">
        <v>0</v>
      </c>
      <c r="DI20" s="459" t="n">
        <v>0</v>
      </c>
      <c r="DJ20" s="459" t="n">
        <v>0</v>
      </c>
      <c r="DK20" s="459" t="n">
        <v>0</v>
      </c>
      <c r="DL20" s="459" t="n">
        <v>0</v>
      </c>
      <c r="DM20" s="459" t="n">
        <v>0</v>
      </c>
      <c r="DN20" s="459" t="n">
        <v>0</v>
      </c>
      <c r="DO20" s="459" t="n">
        <v>0</v>
      </c>
      <c r="DP20" s="459" t="n">
        <v>0</v>
      </c>
      <c r="DQ20" s="459" t="n">
        <v>0</v>
      </c>
      <c r="DR20" s="458" t="n">
        <v>0</v>
      </c>
      <c r="DS20" s="458" t="n">
        <v>0</v>
      </c>
      <c r="DT20" s="458" t="n">
        <v>0</v>
      </c>
      <c r="DU20" s="458" t="n">
        <v>0</v>
      </c>
      <c r="DV20" s="458" t="n">
        <v>0</v>
      </c>
      <c r="DW20" s="458" t="n">
        <v>0</v>
      </c>
      <c r="DX20" s="458" t="n">
        <v>0</v>
      </c>
      <c r="DY20" s="458" t="n">
        <v>0</v>
      </c>
      <c r="DZ20" s="458" t="n">
        <v>0</v>
      </c>
      <c r="EA20" s="458" t="n">
        <v>0</v>
      </c>
      <c r="EB20" s="458" t="n">
        <v>0</v>
      </c>
      <c r="EC20" s="458" t="n">
        <v>0</v>
      </c>
      <c r="ED20" s="459" t="n">
        <v>0</v>
      </c>
      <c r="EE20" s="459" t="n">
        <v>0</v>
      </c>
      <c r="EF20" s="459" t="n">
        <v>0</v>
      </c>
      <c r="EG20" s="459" t="n">
        <v>0</v>
      </c>
      <c r="EH20" s="459" t="n">
        <v>0</v>
      </c>
      <c r="EI20" s="459" t="n">
        <v>0</v>
      </c>
      <c r="EJ20" s="459" t="n">
        <v>0</v>
      </c>
      <c r="EK20" s="459" t="n">
        <v>0</v>
      </c>
      <c r="EL20" s="459" t="n">
        <v>0</v>
      </c>
      <c r="EM20" s="459" t="n">
        <v>0</v>
      </c>
      <c r="EN20" s="459" t="n">
        <v>0</v>
      </c>
      <c r="EO20" s="459" t="n">
        <v>0</v>
      </c>
      <c r="EP20" s="458" t="n">
        <v>0</v>
      </c>
      <c r="EQ20" s="458" t="n">
        <v>0</v>
      </c>
      <c r="ER20" s="458" t="n">
        <v>0</v>
      </c>
      <c r="ES20" s="458" t="n">
        <v>0</v>
      </c>
      <c r="ET20" s="458" t="n">
        <v>0</v>
      </c>
      <c r="EU20" s="458" t="n">
        <v>0</v>
      </c>
      <c r="EV20" s="458" t="n">
        <v>0</v>
      </c>
      <c r="EW20" s="458" t="n">
        <v>0</v>
      </c>
      <c r="EX20" s="458" t="n">
        <v>0</v>
      </c>
      <c r="EY20" s="458" t="n">
        <v>0</v>
      </c>
      <c r="EZ20" s="458" t="n">
        <v>0</v>
      </c>
      <c r="FA20" s="458" t="n">
        <v>0</v>
      </c>
      <c r="FB20" s="459" t="n">
        <v>0</v>
      </c>
      <c r="FC20" s="459" t="n">
        <v>0</v>
      </c>
      <c r="FD20" s="459" t="n">
        <v>0</v>
      </c>
      <c r="FE20" s="459" t="n">
        <v>0</v>
      </c>
      <c r="FF20" s="459" t="n">
        <v>0</v>
      </c>
      <c r="FG20" s="459" t="n">
        <v>0</v>
      </c>
      <c r="FH20" s="459" t="n">
        <v>0</v>
      </c>
      <c r="FI20" s="459" t="n">
        <v>0</v>
      </c>
      <c r="FJ20" s="459" t="n">
        <v>0</v>
      </c>
      <c r="FK20" s="459" t="n">
        <v>0</v>
      </c>
      <c r="FL20" s="459" t="n">
        <v>0</v>
      </c>
      <c r="FM20" s="459" t="n">
        <v>0</v>
      </c>
      <c r="FN20" s="458" t="n">
        <v>0</v>
      </c>
      <c r="FO20" s="458" t="n">
        <v>0</v>
      </c>
      <c r="FP20" s="458" t="n">
        <v>0</v>
      </c>
      <c r="FQ20" s="458" t="n">
        <v>0</v>
      </c>
      <c r="FR20" s="458" t="n">
        <v>0</v>
      </c>
      <c r="FS20" s="458" t="n">
        <v>0</v>
      </c>
      <c r="FT20" s="458" t="n">
        <v>0</v>
      </c>
      <c r="FU20" s="458" t="n">
        <v>0</v>
      </c>
      <c r="FV20" s="458" t="n">
        <v>0</v>
      </c>
      <c r="FW20" s="458" t="n">
        <v>0</v>
      </c>
      <c r="FX20" s="458" t="n">
        <v>0</v>
      </c>
      <c r="FY20" s="458" t="n">
        <v>0</v>
      </c>
      <c r="FZ20" s="306" t="n"/>
    </row>
    <row r="21" ht="15" customHeight="1" s="307">
      <c r="A21" s="321" t="inlineStr">
        <is>
          <t xml:space="preserve">    Bonus Pool</t>
        </is>
      </c>
      <c r="B21" s="458" t="n">
        <v>0</v>
      </c>
      <c r="C21" s="458" t="n">
        <v>0</v>
      </c>
      <c r="D21" s="458" t="n">
        <v>0</v>
      </c>
      <c r="E21" s="458" t="n">
        <v>0</v>
      </c>
      <c r="F21" s="458" t="n">
        <v>0</v>
      </c>
      <c r="G21" s="458" t="n">
        <v>0</v>
      </c>
      <c r="H21" s="458" t="n">
        <v>0</v>
      </c>
      <c r="I21" s="458" t="n">
        <v>0</v>
      </c>
      <c r="J21" s="458" t="n">
        <v>0</v>
      </c>
      <c r="K21" s="458" t="n">
        <v>0</v>
      </c>
      <c r="L21" s="458" t="n">
        <v>0</v>
      </c>
      <c r="M21" s="458" t="n">
        <v>0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8" t="n">
        <v>0</v>
      </c>
      <c r="AA21" s="458" t="n">
        <v>0</v>
      </c>
      <c r="AB21" s="458" t="n">
        <v>0</v>
      </c>
      <c r="AC21" s="458" t="n">
        <v>0</v>
      </c>
      <c r="AD21" s="458" t="n">
        <v>0</v>
      </c>
      <c r="AE21" s="458" t="n">
        <v>0</v>
      </c>
      <c r="AF21" s="458" t="n">
        <v>0</v>
      </c>
      <c r="AG21" s="458" t="n">
        <v>0</v>
      </c>
      <c r="AH21" s="458" t="n">
        <v>0</v>
      </c>
      <c r="AI21" s="458" t="n">
        <v>0</v>
      </c>
      <c r="AJ21" s="458" t="n">
        <v>0</v>
      </c>
      <c r="AK21" s="458" t="n">
        <v>5.016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2.8056</v>
      </c>
      <c r="AX21" s="458" t="n">
        <v>0</v>
      </c>
      <c r="AY21" s="458" t="n">
        <v>0</v>
      </c>
      <c r="AZ21" s="458" t="n">
        <v>0</v>
      </c>
      <c r="BA21" s="458" t="n">
        <v>0</v>
      </c>
      <c r="BB21" s="458" t="n">
        <v>0</v>
      </c>
      <c r="BC21" s="458" t="n">
        <v>0</v>
      </c>
      <c r="BD21" s="458" t="n">
        <v>0</v>
      </c>
      <c r="BE21" s="458" t="n">
        <v>0</v>
      </c>
      <c r="BF21" s="458" t="n">
        <v>0</v>
      </c>
      <c r="BG21" s="458" t="n">
        <v>0</v>
      </c>
      <c r="BH21" s="458" t="n">
        <v>0</v>
      </c>
      <c r="BI21" s="458" t="n">
        <v>0.6663</v>
      </c>
      <c r="BJ21" s="459" t="n">
        <v>0</v>
      </c>
      <c r="BK21" s="459" t="n">
        <v>0</v>
      </c>
      <c r="BL21" s="459" t="n">
        <v>0</v>
      </c>
      <c r="BM21" s="459" t="n">
        <v>0</v>
      </c>
      <c r="BN21" s="459" t="n">
        <v>0</v>
      </c>
      <c r="BO21" s="459" t="n">
        <v>0</v>
      </c>
      <c r="BP21" s="459" t="n">
        <v>0</v>
      </c>
      <c r="BQ21" s="459" t="n">
        <v>0</v>
      </c>
      <c r="BR21" s="459" t="n">
        <v>0</v>
      </c>
      <c r="BS21" s="459" t="n">
        <v>0</v>
      </c>
      <c r="BT21" s="459" t="n">
        <v>0</v>
      </c>
      <c r="BU21" s="459" t="n">
        <v>0</v>
      </c>
      <c r="BV21" s="458" t="n">
        <v>0</v>
      </c>
      <c r="BW21" s="458" t="n">
        <v>0</v>
      </c>
      <c r="BX21" s="458" t="n">
        <v>0</v>
      </c>
      <c r="BY21" s="458" t="n">
        <v>0</v>
      </c>
      <c r="BZ21" s="458" t="n">
        <v>0</v>
      </c>
      <c r="CA21" s="458" t="n">
        <v>0</v>
      </c>
      <c r="CB21" s="458" t="n">
        <v>0</v>
      </c>
      <c r="CC21" s="458" t="n">
        <v>0</v>
      </c>
      <c r="CD21" s="458" t="n">
        <v>0</v>
      </c>
      <c r="CE21" s="458" t="n">
        <v>0</v>
      </c>
      <c r="CF21" s="458" t="n">
        <v>0</v>
      </c>
      <c r="CG21" s="458" t="n">
        <v>0</v>
      </c>
      <c r="CH21" s="459" t="n">
        <v>0</v>
      </c>
      <c r="CI21" s="459" t="n">
        <v>0</v>
      </c>
      <c r="CJ21" s="459" t="n">
        <v>0</v>
      </c>
      <c r="CK21" s="459" t="n">
        <v>0</v>
      </c>
      <c r="CL21" s="459" t="n">
        <v>0</v>
      </c>
      <c r="CM21" s="459" t="n">
        <v>0</v>
      </c>
      <c r="CN21" s="459" t="n">
        <v>0</v>
      </c>
      <c r="CO21" s="459" t="n">
        <v>0</v>
      </c>
      <c r="CP21" s="459" t="n">
        <v>0</v>
      </c>
      <c r="CQ21" s="459" t="n">
        <v>0</v>
      </c>
      <c r="CR21" s="459" t="n">
        <v>0</v>
      </c>
      <c r="CS21" s="459" t="n">
        <v>0</v>
      </c>
      <c r="CT21" s="458" t="n">
        <v>0</v>
      </c>
      <c r="CU21" s="458" t="n">
        <v>0</v>
      </c>
      <c r="CV21" s="458" t="n">
        <v>0</v>
      </c>
      <c r="CW21" s="458" t="n">
        <v>0</v>
      </c>
      <c r="CX21" s="458" t="n">
        <v>0</v>
      </c>
      <c r="CY21" s="458" t="n">
        <v>0</v>
      </c>
      <c r="CZ21" s="458" t="n">
        <v>0</v>
      </c>
      <c r="DA21" s="458" t="n">
        <v>0</v>
      </c>
      <c r="DB21" s="458" t="n">
        <v>0</v>
      </c>
      <c r="DC21" s="458" t="n">
        <v>0</v>
      </c>
      <c r="DD21" s="458" t="n">
        <v>0</v>
      </c>
      <c r="DE21" s="458" t="n">
        <v>0</v>
      </c>
      <c r="DF21" s="459" t="n">
        <v>0</v>
      </c>
      <c r="DG21" s="459" t="n">
        <v>0</v>
      </c>
      <c r="DH21" s="459" t="n">
        <v>0</v>
      </c>
      <c r="DI21" s="459" t="n">
        <v>0</v>
      </c>
      <c r="DJ21" s="459" t="n">
        <v>0</v>
      </c>
      <c r="DK21" s="459" t="n">
        <v>0</v>
      </c>
      <c r="DL21" s="459" t="n">
        <v>0</v>
      </c>
      <c r="DM21" s="459" t="n">
        <v>0</v>
      </c>
      <c r="DN21" s="459" t="n">
        <v>0</v>
      </c>
      <c r="DO21" s="459" t="n">
        <v>0</v>
      </c>
      <c r="DP21" s="459" t="n">
        <v>0</v>
      </c>
      <c r="DQ21" s="459" t="n">
        <v>0</v>
      </c>
      <c r="DR21" s="458" t="n">
        <v>0</v>
      </c>
      <c r="DS21" s="458" t="n">
        <v>0</v>
      </c>
      <c r="DT21" s="458" t="n">
        <v>0</v>
      </c>
      <c r="DU21" s="458" t="n">
        <v>0</v>
      </c>
      <c r="DV21" s="458" t="n">
        <v>0</v>
      </c>
      <c r="DW21" s="458" t="n">
        <v>0</v>
      </c>
      <c r="DX21" s="458" t="n">
        <v>0</v>
      </c>
      <c r="DY21" s="458" t="n">
        <v>0</v>
      </c>
      <c r="DZ21" s="458" t="n">
        <v>0</v>
      </c>
      <c r="EA21" s="458" t="n">
        <v>0</v>
      </c>
      <c r="EB21" s="458" t="n">
        <v>0</v>
      </c>
      <c r="EC21" s="458" t="n">
        <v>0</v>
      </c>
      <c r="ED21" s="459" t="n">
        <v>0</v>
      </c>
      <c r="EE21" s="459" t="n">
        <v>0</v>
      </c>
      <c r="EF21" s="459" t="n">
        <v>0</v>
      </c>
      <c r="EG21" s="459" t="n">
        <v>0</v>
      </c>
      <c r="EH21" s="459" t="n">
        <v>0</v>
      </c>
      <c r="EI21" s="459" t="n">
        <v>0</v>
      </c>
      <c r="EJ21" s="459" t="n">
        <v>0</v>
      </c>
      <c r="EK21" s="459" t="n">
        <v>0</v>
      </c>
      <c r="EL21" s="459" t="n">
        <v>0</v>
      </c>
      <c r="EM21" s="459" t="n">
        <v>0</v>
      </c>
      <c r="EN21" s="459" t="n">
        <v>0</v>
      </c>
      <c r="EO21" s="459" t="n">
        <v>0</v>
      </c>
      <c r="EP21" s="458" t="n">
        <v>0</v>
      </c>
      <c r="EQ21" s="458" t="n">
        <v>0</v>
      </c>
      <c r="ER21" s="458" t="n">
        <v>0</v>
      </c>
      <c r="ES21" s="458" t="n">
        <v>0</v>
      </c>
      <c r="ET21" s="458" t="n">
        <v>0</v>
      </c>
      <c r="EU21" s="458" t="n">
        <v>0</v>
      </c>
      <c r="EV21" s="458" t="n">
        <v>0</v>
      </c>
      <c r="EW21" s="458" t="n">
        <v>0</v>
      </c>
      <c r="EX21" s="458" t="n">
        <v>0</v>
      </c>
      <c r="EY21" s="458" t="n">
        <v>0</v>
      </c>
      <c r="EZ21" s="458" t="n">
        <v>0</v>
      </c>
      <c r="FA21" s="458" t="n">
        <v>0</v>
      </c>
      <c r="FB21" s="459" t="n">
        <v>0</v>
      </c>
      <c r="FC21" s="459" t="n">
        <v>0</v>
      </c>
      <c r="FD21" s="459" t="n">
        <v>0</v>
      </c>
      <c r="FE21" s="459" t="n">
        <v>0</v>
      </c>
      <c r="FF21" s="459" t="n">
        <v>0</v>
      </c>
      <c r="FG21" s="459" t="n">
        <v>0</v>
      </c>
      <c r="FH21" s="459" t="n">
        <v>0</v>
      </c>
      <c r="FI21" s="459" t="n">
        <v>0</v>
      </c>
      <c r="FJ21" s="459" t="n">
        <v>0</v>
      </c>
      <c r="FK21" s="459" t="n">
        <v>0</v>
      </c>
      <c r="FL21" s="459" t="n">
        <v>0</v>
      </c>
      <c r="FM21" s="459" t="n">
        <v>0</v>
      </c>
      <c r="FN21" s="458" t="n">
        <v>0</v>
      </c>
      <c r="FO21" s="458" t="n">
        <v>0</v>
      </c>
      <c r="FP21" s="458" t="n">
        <v>0</v>
      </c>
      <c r="FQ21" s="458" t="n">
        <v>0</v>
      </c>
      <c r="FR21" s="458" t="n">
        <v>0</v>
      </c>
      <c r="FS21" s="458" t="n">
        <v>0</v>
      </c>
      <c r="FT21" s="458" t="n">
        <v>0</v>
      </c>
      <c r="FU21" s="458" t="n">
        <v>0</v>
      </c>
      <c r="FV21" s="458" t="n">
        <v>0</v>
      </c>
      <c r="FW21" s="458" t="n">
        <v>0</v>
      </c>
      <c r="FX21" s="458" t="n">
        <v>0</v>
      </c>
      <c r="FY21" s="458" t="n">
        <v>0</v>
      </c>
      <c r="FZ21" s="306" t="n"/>
    </row>
    <row r="22" ht="15" customHeight="1" s="307">
      <c r="A22" s="460" t="inlineStr">
        <is>
          <t>Total Operating Expenses</t>
        </is>
      </c>
      <c r="B22" s="461" t="n">
        <v>0.0813</v>
      </c>
      <c r="C22" s="461" t="n">
        <v>0.0813</v>
      </c>
      <c r="D22" s="461" t="n">
        <v>0.0813</v>
      </c>
      <c r="E22" s="461" t="n">
        <v>1.9385</v>
      </c>
      <c r="F22" s="461" t="n">
        <v>1.7504</v>
      </c>
      <c r="G22" s="461" t="n">
        <v>1.567</v>
      </c>
      <c r="H22" s="461" t="n">
        <v>3.779</v>
      </c>
      <c r="I22" s="461" t="n">
        <v>2.9175</v>
      </c>
      <c r="J22" s="461" t="n">
        <v>2.553</v>
      </c>
      <c r="K22" s="461" t="n">
        <v>4.1334</v>
      </c>
      <c r="L22" s="461" t="n">
        <v>3.6665</v>
      </c>
      <c r="M22" s="461" t="n">
        <v>4.8637</v>
      </c>
      <c r="N22" s="462" t="n">
        <v>4.5409</v>
      </c>
      <c r="O22" s="462" t="n">
        <v>4.0294</v>
      </c>
      <c r="P22" s="462" t="n">
        <v>3.531</v>
      </c>
      <c r="Q22" s="462" t="n">
        <v>4.6533</v>
      </c>
      <c r="R22" s="462" t="n">
        <v>4.1607</v>
      </c>
      <c r="S22" s="462" t="n">
        <v>3.6807</v>
      </c>
      <c r="T22" s="462" t="n">
        <v>3.3149</v>
      </c>
      <c r="U22" s="462" t="n">
        <v>3.0107</v>
      </c>
      <c r="V22" s="462" t="n">
        <v>2.7143</v>
      </c>
      <c r="W22" s="462" t="n">
        <v>2.4255</v>
      </c>
      <c r="X22" s="462" t="n">
        <v>2.3014</v>
      </c>
      <c r="Y22" s="462" t="n">
        <v>2.1804</v>
      </c>
      <c r="Z22" s="461" t="n">
        <v>2.1124</v>
      </c>
      <c r="AA22" s="461" t="n">
        <v>2.046</v>
      </c>
      <c r="AB22" s="461" t="n">
        <v>1.9812</v>
      </c>
      <c r="AC22" s="461" t="n">
        <v>1.9179</v>
      </c>
      <c r="AD22" s="461" t="n">
        <v>1.9049</v>
      </c>
      <c r="AE22" s="461" t="n">
        <v>1.8921</v>
      </c>
      <c r="AF22" s="461" t="n">
        <v>1.8795</v>
      </c>
      <c r="AG22" s="461" t="n">
        <v>1.8671</v>
      </c>
      <c r="AH22" s="461" t="n">
        <v>1.8548</v>
      </c>
      <c r="AI22" s="461" t="n">
        <v>1.8427</v>
      </c>
      <c r="AJ22" s="461" t="n">
        <v>1.8308</v>
      </c>
      <c r="AK22" s="461" t="n">
        <v>6.8349</v>
      </c>
      <c r="AL22" s="462" t="n">
        <v>1.8074</v>
      </c>
      <c r="AM22" s="462" t="n">
        <v>1.7959</v>
      </c>
      <c r="AN22" s="462" t="n">
        <v>1.7846</v>
      </c>
      <c r="AO22" s="462" t="n">
        <v>1.7734</v>
      </c>
      <c r="AP22" s="462" t="n">
        <v>1.7624</v>
      </c>
      <c r="AQ22" s="462" t="n">
        <v>1.7515</v>
      </c>
      <c r="AR22" s="462" t="n">
        <v>1.7408</v>
      </c>
      <c r="AS22" s="462" t="n">
        <v>1.7302</v>
      </c>
      <c r="AT22" s="462" t="n">
        <v>1.7198</v>
      </c>
      <c r="AU22" s="462" t="n">
        <v>1.7095</v>
      </c>
      <c r="AV22" s="462" t="n">
        <v>1.6994</v>
      </c>
      <c r="AW22" s="462" t="n">
        <v>4.4949</v>
      </c>
      <c r="AX22" s="461" t="n">
        <v>1.6795</v>
      </c>
      <c r="AY22" s="461" t="n">
        <v>1.6697</v>
      </c>
      <c r="AZ22" s="461" t="n">
        <v>1.6601</v>
      </c>
      <c r="BA22" s="461" t="n">
        <v>1.6506</v>
      </c>
      <c r="BB22" s="461" t="n">
        <v>1.6412</v>
      </c>
      <c r="BC22" s="461" t="n">
        <v>1.632</v>
      </c>
      <c r="BD22" s="461" t="n">
        <v>1.6229</v>
      </c>
      <c r="BE22" s="461" t="n">
        <v>1.6139</v>
      </c>
      <c r="BF22" s="461" t="n">
        <v>1.605</v>
      </c>
      <c r="BG22" s="461" t="n">
        <v>1.5963</v>
      </c>
      <c r="BH22" s="461" t="n">
        <v>1.5877</v>
      </c>
      <c r="BI22" s="461" t="n">
        <v>2.2454</v>
      </c>
      <c r="BJ22" s="462" t="n">
        <v>1.5707</v>
      </c>
      <c r="BK22" s="462" t="n">
        <v>1.5625</v>
      </c>
      <c r="BL22" s="462" t="n">
        <v>1.5543</v>
      </c>
      <c r="BM22" s="462" t="n">
        <v>1.5462</v>
      </c>
      <c r="BN22" s="462" t="n">
        <v>1.5383</v>
      </c>
      <c r="BO22" s="462" t="n">
        <v>1.5304</v>
      </c>
      <c r="BP22" s="462" t="n">
        <v>1.5227</v>
      </c>
      <c r="BQ22" s="462" t="n">
        <v>1.515</v>
      </c>
      <c r="BR22" s="462" t="n">
        <v>1.5075</v>
      </c>
      <c r="BS22" s="462" t="n">
        <v>1.5</v>
      </c>
      <c r="BT22" s="462" t="n">
        <v>1.4927</v>
      </c>
      <c r="BU22" s="462" t="n">
        <v>1.4855</v>
      </c>
      <c r="BV22" s="461" t="n">
        <v>1.4783</v>
      </c>
      <c r="BW22" s="461" t="n">
        <v>1.4713</v>
      </c>
      <c r="BX22" s="461" t="n">
        <v>1.4643</v>
      </c>
      <c r="BY22" s="461" t="n">
        <v>1.4575</v>
      </c>
      <c r="BZ22" s="461" t="n">
        <v>1.4507</v>
      </c>
      <c r="CA22" s="461" t="n">
        <v>1.444</v>
      </c>
      <c r="CB22" s="461" t="n">
        <v>1.4375</v>
      </c>
      <c r="CC22" s="461" t="n">
        <v>1.431</v>
      </c>
      <c r="CD22" s="461" t="n">
        <v>1.4246</v>
      </c>
      <c r="CE22" s="461" t="n">
        <v>1.4182</v>
      </c>
      <c r="CF22" s="461" t="n">
        <v>1.412</v>
      </c>
      <c r="CG22" s="461" t="n">
        <v>1.4059</v>
      </c>
      <c r="CH22" s="462" t="n">
        <v>1.3998</v>
      </c>
      <c r="CI22" s="462" t="n">
        <v>1.3938</v>
      </c>
      <c r="CJ22" s="462" t="n">
        <v>1.3879</v>
      </c>
      <c r="CK22" s="462" t="n">
        <v>1.3821</v>
      </c>
      <c r="CL22" s="462" t="n">
        <v>1.3763</v>
      </c>
      <c r="CM22" s="462" t="n">
        <v>1.3706</v>
      </c>
      <c r="CN22" s="462" t="n">
        <v>1.365</v>
      </c>
      <c r="CO22" s="462" t="n">
        <v>1.3595</v>
      </c>
      <c r="CP22" s="462" t="n">
        <v>1.3541</v>
      </c>
      <c r="CQ22" s="462" t="n">
        <v>1.3487</v>
      </c>
      <c r="CR22" s="462" t="n">
        <v>1.3434</v>
      </c>
      <c r="CS22" s="462" t="n">
        <v>1.3382</v>
      </c>
      <c r="CT22" s="461" t="n">
        <v>1.333</v>
      </c>
      <c r="CU22" s="461" t="n">
        <v>1.3279</v>
      </c>
      <c r="CV22" s="461" t="n">
        <v>1.3229</v>
      </c>
      <c r="CW22" s="461" t="n">
        <v>1.318</v>
      </c>
      <c r="CX22" s="461" t="n">
        <v>1.3131</v>
      </c>
      <c r="CY22" s="461" t="n">
        <v>1.3082</v>
      </c>
      <c r="CZ22" s="461" t="n">
        <v>1.3035</v>
      </c>
      <c r="DA22" s="461" t="n">
        <v>1.2988</v>
      </c>
      <c r="DB22" s="461" t="n">
        <v>1.2942</v>
      </c>
      <c r="DC22" s="461" t="n">
        <v>1.2896</v>
      </c>
      <c r="DD22" s="461" t="n">
        <v>1.2851</v>
      </c>
      <c r="DE22" s="461" t="n">
        <v>1.2807</v>
      </c>
      <c r="DF22" s="462" t="n">
        <v>1.2763</v>
      </c>
      <c r="DG22" s="462" t="n">
        <v>1.2719</v>
      </c>
      <c r="DH22" s="462" t="n">
        <v>1.2677</v>
      </c>
      <c r="DI22" s="462" t="n">
        <v>1.2635</v>
      </c>
      <c r="DJ22" s="462" t="n">
        <v>1.2593</v>
      </c>
      <c r="DK22" s="462" t="n">
        <v>1.2552</v>
      </c>
      <c r="DL22" s="462" t="n">
        <v>1.2512</v>
      </c>
      <c r="DM22" s="462" t="n">
        <v>1.2472</v>
      </c>
      <c r="DN22" s="462" t="n">
        <v>1.2432</v>
      </c>
      <c r="DO22" s="462" t="n">
        <v>1.2394</v>
      </c>
      <c r="DP22" s="462" t="n">
        <v>1.2355</v>
      </c>
      <c r="DQ22" s="462" t="n">
        <v>1.2318</v>
      </c>
      <c r="DR22" s="461" t="n">
        <v>1.228</v>
      </c>
      <c r="DS22" s="461" t="n">
        <v>1.2244</v>
      </c>
      <c r="DT22" s="461" t="n">
        <v>1.2207</v>
      </c>
      <c r="DU22" s="461" t="n">
        <v>1.2171</v>
      </c>
      <c r="DV22" s="461" t="n">
        <v>1.2136</v>
      </c>
      <c r="DW22" s="461" t="n">
        <v>1.2101</v>
      </c>
      <c r="DX22" s="461" t="n">
        <v>1.2067</v>
      </c>
      <c r="DY22" s="461" t="n">
        <v>1.2033</v>
      </c>
      <c r="DZ22" s="461" t="n">
        <v>1.2</v>
      </c>
      <c r="EA22" s="461" t="n">
        <v>1.1967</v>
      </c>
      <c r="EB22" s="461" t="n">
        <v>1.1934</v>
      </c>
      <c r="EC22" s="461" t="n">
        <v>1.1902</v>
      </c>
      <c r="ED22" s="462" t="n">
        <v>1.187</v>
      </c>
      <c r="EE22" s="462" t="n">
        <v>1.1839</v>
      </c>
      <c r="EF22" s="462" t="n">
        <v>1.1808</v>
      </c>
      <c r="EG22" s="462" t="n">
        <v>1.1778</v>
      </c>
      <c r="EH22" s="462" t="n">
        <v>1.1748</v>
      </c>
      <c r="EI22" s="462" t="n">
        <v>1.1718</v>
      </c>
      <c r="EJ22" s="462" t="n">
        <v>1.1689</v>
      </c>
      <c r="EK22" s="462" t="n">
        <v>1.166</v>
      </c>
      <c r="EL22" s="462" t="n">
        <v>1.1632</v>
      </c>
      <c r="EM22" s="462" t="n">
        <v>1.1604</v>
      </c>
      <c r="EN22" s="462" t="n">
        <v>1.1576</v>
      </c>
      <c r="EO22" s="462" t="n">
        <v>1.1549</v>
      </c>
      <c r="EP22" s="461" t="n">
        <v>1.1522</v>
      </c>
      <c r="EQ22" s="461" t="n">
        <v>1.1495</v>
      </c>
      <c r="ER22" s="461" t="n">
        <v>1.1469</v>
      </c>
      <c r="ES22" s="461" t="n">
        <v>1.1443</v>
      </c>
      <c r="ET22" s="461" t="n">
        <v>1.1418</v>
      </c>
      <c r="EU22" s="461" t="n">
        <v>1.1392</v>
      </c>
      <c r="EV22" s="461" t="n">
        <v>1.1368</v>
      </c>
      <c r="EW22" s="461" t="n">
        <v>1.1343</v>
      </c>
      <c r="EX22" s="461" t="n">
        <v>1.1319</v>
      </c>
      <c r="EY22" s="461" t="n">
        <v>1.1295</v>
      </c>
      <c r="EZ22" s="461" t="n">
        <v>1.1272</v>
      </c>
      <c r="FA22" s="461" t="n">
        <v>1.1248</v>
      </c>
      <c r="FB22" s="462" t="n">
        <v>1.1226</v>
      </c>
      <c r="FC22" s="462" t="n">
        <v>1.1203</v>
      </c>
      <c r="FD22" s="462" t="n">
        <v>1.1181</v>
      </c>
      <c r="FE22" s="462" t="n">
        <v>1.1159</v>
      </c>
      <c r="FF22" s="462" t="n">
        <v>1.1137</v>
      </c>
      <c r="FG22" s="462" t="n">
        <v>1.1116</v>
      </c>
      <c r="FH22" s="462" t="n">
        <v>1.1095</v>
      </c>
      <c r="FI22" s="462" t="n">
        <v>1.1074</v>
      </c>
      <c r="FJ22" s="462" t="n">
        <v>1.1053</v>
      </c>
      <c r="FK22" s="462" t="n">
        <v>1.1033</v>
      </c>
      <c r="FL22" s="462" t="n">
        <v>1.1013</v>
      </c>
      <c r="FM22" s="462" t="n">
        <v>1.0993</v>
      </c>
      <c r="FN22" s="461" t="n">
        <v>1.0974</v>
      </c>
      <c r="FO22" s="461" t="n">
        <v>1.0955</v>
      </c>
      <c r="FP22" s="461" t="n">
        <v>1.0936</v>
      </c>
      <c r="FQ22" s="461" t="n">
        <v>1.0917</v>
      </c>
      <c r="FR22" s="461" t="n">
        <v>1.0899</v>
      </c>
      <c r="FS22" s="461" t="n">
        <v>1.088</v>
      </c>
      <c r="FT22" s="461" t="n">
        <v>1.0862</v>
      </c>
      <c r="FU22" s="461" t="n">
        <v>1.0845</v>
      </c>
      <c r="FV22" s="461" t="n">
        <v>1.0827</v>
      </c>
      <c r="FW22" s="461" t="n">
        <v>1.081</v>
      </c>
      <c r="FX22" s="461" t="n">
        <v>1.0793</v>
      </c>
      <c r="FY22" s="461" t="n">
        <v>1.0776</v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 t="n">
        <v>-0.0813</v>
      </c>
      <c r="C24" s="465" t="n">
        <v>-0.0813</v>
      </c>
      <c r="D24" s="465" t="n">
        <v>-0.0813</v>
      </c>
      <c r="E24" s="465" t="n">
        <v>-0.3385</v>
      </c>
      <c r="F24" s="465" t="n">
        <v>-0.1193</v>
      </c>
      <c r="G24" s="465" t="n">
        <v>0.094</v>
      </c>
      <c r="H24" s="465" t="n">
        <v>-0.389</v>
      </c>
      <c r="I24" s="465" t="n">
        <v>0.5333</v>
      </c>
      <c r="J24" s="465" t="n">
        <v>0.9563</v>
      </c>
      <c r="K24" s="465" t="n">
        <v>1.3136</v>
      </c>
      <c r="L24" s="465" t="n">
        <v>1.8227</v>
      </c>
      <c r="M24" s="465" t="n">
        <v>2.2907</v>
      </c>
      <c r="N24" s="466" t="n">
        <v>2.6832</v>
      </c>
      <c r="O24" s="466" t="n">
        <v>3.2096</v>
      </c>
      <c r="P24" s="466" t="n">
        <v>3.7212</v>
      </c>
      <c r="Q24" s="466" t="n">
        <v>4.198</v>
      </c>
      <c r="R24" s="466" t="n">
        <v>4.6743</v>
      </c>
      <c r="S24" s="466" t="n">
        <v>5.1369</v>
      </c>
      <c r="T24" s="466" t="n">
        <v>5.4349</v>
      </c>
      <c r="U24" s="466" t="n">
        <v>5.6715</v>
      </c>
      <c r="V24" s="466" t="n">
        <v>5.9006</v>
      </c>
      <c r="W24" s="466" t="n">
        <v>6.1223</v>
      </c>
      <c r="X24" s="466" t="n">
        <v>6.1314</v>
      </c>
      <c r="Y24" s="466" t="n">
        <v>6.1389</v>
      </c>
      <c r="Z24" s="465" t="n">
        <v>6.0951</v>
      </c>
      <c r="AA24" s="465" t="n">
        <v>6.0511</v>
      </c>
      <c r="AB24" s="465" t="n">
        <v>6.007</v>
      </c>
      <c r="AC24" s="465" t="n">
        <v>5.9628</v>
      </c>
      <c r="AD24" s="465" t="n">
        <v>5.8697</v>
      </c>
      <c r="AE24" s="465" t="n">
        <v>5.7779</v>
      </c>
      <c r="AF24" s="465" t="n">
        <v>5.6874</v>
      </c>
      <c r="AG24" s="465" t="n">
        <v>5.598</v>
      </c>
      <c r="AH24" s="465" t="n">
        <v>5.5099</v>
      </c>
      <c r="AI24" s="465" t="n">
        <v>5.4229</v>
      </c>
      <c r="AJ24" s="465" t="n">
        <v>5.3371</v>
      </c>
      <c r="AK24" s="465" t="n">
        <v>0.2365</v>
      </c>
      <c r="AL24" s="466" t="n">
        <v>5.169</v>
      </c>
      <c r="AM24" s="466" t="n">
        <v>5.0866</v>
      </c>
      <c r="AN24" s="466" t="n">
        <v>5.0053</v>
      </c>
      <c r="AO24" s="466" t="n">
        <v>4.9252</v>
      </c>
      <c r="AP24" s="466" t="n">
        <v>4.8461</v>
      </c>
      <c r="AQ24" s="466" t="n">
        <v>4.768</v>
      </c>
      <c r="AR24" s="466" t="n">
        <v>4.6911</v>
      </c>
      <c r="AS24" s="466" t="n">
        <v>4.6151</v>
      </c>
      <c r="AT24" s="466" t="n">
        <v>4.5402</v>
      </c>
      <c r="AU24" s="466" t="n">
        <v>4.4663</v>
      </c>
      <c r="AV24" s="466" t="n">
        <v>4.3934</v>
      </c>
      <c r="AW24" s="466" t="n">
        <v>1.5158</v>
      </c>
      <c r="AX24" s="465" t="n">
        <v>4.2504</v>
      </c>
      <c r="AY24" s="465" t="n">
        <v>4.1804</v>
      </c>
      <c r="AZ24" s="465" t="n">
        <v>4.1113</v>
      </c>
      <c r="BA24" s="465" t="n">
        <v>4.0432</v>
      </c>
      <c r="BB24" s="465" t="n">
        <v>3.976</v>
      </c>
      <c r="BC24" s="465" t="n">
        <v>3.9096</v>
      </c>
      <c r="BD24" s="465" t="n">
        <v>3.8442</v>
      </c>
      <c r="BE24" s="465" t="n">
        <v>3.7796</v>
      </c>
      <c r="BF24" s="465" t="n">
        <v>3.716</v>
      </c>
      <c r="BG24" s="465" t="n">
        <v>3.6531</v>
      </c>
      <c r="BH24" s="465" t="n">
        <v>3.5911</v>
      </c>
      <c r="BI24" s="465" t="n">
        <v>2.8637</v>
      </c>
      <c r="BJ24" s="466" t="n">
        <v>3.4697</v>
      </c>
      <c r="BK24" s="466" t="n">
        <v>3.4102</v>
      </c>
      <c r="BL24" s="466" t="n">
        <v>3.3514</v>
      </c>
      <c r="BM24" s="466" t="n">
        <v>3.2935</v>
      </c>
      <c r="BN24" s="466" t="n">
        <v>3.2364</v>
      </c>
      <c r="BO24" s="466" t="n">
        <v>3.18</v>
      </c>
      <c r="BP24" s="466" t="n">
        <v>3.1244</v>
      </c>
      <c r="BQ24" s="466" t="n">
        <v>3.0695</v>
      </c>
      <c r="BR24" s="466" t="n">
        <v>3.0154</v>
      </c>
      <c r="BS24" s="466" t="n">
        <v>2.962</v>
      </c>
      <c r="BT24" s="466" t="n">
        <v>2.9093</v>
      </c>
      <c r="BU24" s="466" t="n">
        <v>2.8573</v>
      </c>
      <c r="BV24" s="465" t="n">
        <v>2.806</v>
      </c>
      <c r="BW24" s="465" t="n">
        <v>2.7554</v>
      </c>
      <c r="BX24" s="465" t="n">
        <v>2.7055</v>
      </c>
      <c r="BY24" s="465" t="n">
        <v>2.6563</v>
      </c>
      <c r="BZ24" s="465" t="n">
        <v>2.6077</v>
      </c>
      <c r="CA24" s="465" t="n">
        <v>2.5598</v>
      </c>
      <c r="CB24" s="465" t="n">
        <v>2.5125</v>
      </c>
      <c r="CC24" s="465" t="n">
        <v>2.4659</v>
      </c>
      <c r="CD24" s="465" t="n">
        <v>2.4199</v>
      </c>
      <c r="CE24" s="465" t="n">
        <v>2.3745</v>
      </c>
      <c r="CF24" s="465" t="n">
        <v>2.3297</v>
      </c>
      <c r="CG24" s="465" t="n">
        <v>2.2855</v>
      </c>
      <c r="CH24" s="466" t="n">
        <v>2.2419</v>
      </c>
      <c r="CI24" s="466" t="n">
        <v>2.1989</v>
      </c>
      <c r="CJ24" s="466" t="n">
        <v>2.1565</v>
      </c>
      <c r="CK24" s="466" t="n">
        <v>2.1146</v>
      </c>
      <c r="CL24" s="466" t="n">
        <v>2.0733</v>
      </c>
      <c r="CM24" s="466" t="n">
        <v>2.0326</v>
      </c>
      <c r="CN24" s="466" t="n">
        <v>1.9924</v>
      </c>
      <c r="CO24" s="466" t="n">
        <v>1.9528</v>
      </c>
      <c r="CP24" s="466" t="n">
        <v>1.9137</v>
      </c>
      <c r="CQ24" s="466" t="n">
        <v>1.8751</v>
      </c>
      <c r="CR24" s="466" t="n">
        <v>1.837</v>
      </c>
      <c r="CS24" s="466" t="n">
        <v>1.7995</v>
      </c>
      <c r="CT24" s="465" t="n">
        <v>1.7624</v>
      </c>
      <c r="CU24" s="465" t="n">
        <v>1.7259</v>
      </c>
      <c r="CV24" s="465" t="n">
        <v>1.6898</v>
      </c>
      <c r="CW24" s="465" t="n">
        <v>1.6542</v>
      </c>
      <c r="CX24" s="465" t="n">
        <v>1.6191</v>
      </c>
      <c r="CY24" s="465" t="n">
        <v>1.5845</v>
      </c>
      <c r="CZ24" s="465" t="n">
        <v>1.5504</v>
      </c>
      <c r="DA24" s="465" t="n">
        <v>1.5167</v>
      </c>
      <c r="DB24" s="465" t="n">
        <v>1.4834</v>
      </c>
      <c r="DC24" s="465" t="n">
        <v>1.4506</v>
      </c>
      <c r="DD24" s="465" t="n">
        <v>1.4183</v>
      </c>
      <c r="DE24" s="465" t="n">
        <v>1.3863</v>
      </c>
      <c r="DF24" s="466" t="n">
        <v>1.3549</v>
      </c>
      <c r="DG24" s="466" t="n">
        <v>1.3238</v>
      </c>
      <c r="DH24" s="466" t="n">
        <v>1.2931</v>
      </c>
      <c r="DI24" s="466" t="n">
        <v>1.2629</v>
      </c>
      <c r="DJ24" s="466" t="n">
        <v>1.2331</v>
      </c>
      <c r="DK24" s="466" t="n">
        <v>1.2036</v>
      </c>
      <c r="DL24" s="466" t="n">
        <v>1.1746</v>
      </c>
      <c r="DM24" s="466" t="n">
        <v>1.146</v>
      </c>
      <c r="DN24" s="466" t="n">
        <v>1.1177</v>
      </c>
      <c r="DO24" s="466" t="n">
        <v>1.0898</v>
      </c>
      <c r="DP24" s="466" t="n">
        <v>1.0623</v>
      </c>
      <c r="DQ24" s="466" t="n">
        <v>1.0352</v>
      </c>
      <c r="DR24" s="465" t="n">
        <v>1.0084</v>
      </c>
      <c r="DS24" s="465" t="n">
        <v>0.982</v>
      </c>
      <c r="DT24" s="465" t="n">
        <v>0.956</v>
      </c>
      <c r="DU24" s="465" t="n">
        <v>0.9303</v>
      </c>
      <c r="DV24" s="465" t="n">
        <v>0.9049</v>
      </c>
      <c r="DW24" s="465" t="n">
        <v>0.8799</v>
      </c>
      <c r="DX24" s="465" t="n">
        <v>0.8552</v>
      </c>
      <c r="DY24" s="465" t="n">
        <v>0.8309</v>
      </c>
      <c r="DZ24" s="465" t="n">
        <v>0.8068</v>
      </c>
      <c r="EA24" s="465" t="n">
        <v>0.7831</v>
      </c>
      <c r="EB24" s="465" t="n">
        <v>0.7598</v>
      </c>
      <c r="EC24" s="465" t="n">
        <v>0.7367</v>
      </c>
      <c r="ED24" s="466" t="n">
        <v>0.714</v>
      </c>
      <c r="EE24" s="466" t="n">
        <v>0.6915</v>
      </c>
      <c r="EF24" s="466" t="n">
        <v>0.6694</v>
      </c>
      <c r="EG24" s="466" t="n">
        <v>0.6475</v>
      </c>
      <c r="EH24" s="466" t="n">
        <v>0.626</v>
      </c>
      <c r="EI24" s="466" t="n">
        <v>0.6047</v>
      </c>
      <c r="EJ24" s="466" t="n">
        <v>0.5837</v>
      </c>
      <c r="EK24" s="466" t="n">
        <v>0.5629999999999999</v>
      </c>
      <c r="EL24" s="466" t="n">
        <v>0.5426</v>
      </c>
      <c r="EM24" s="466" t="n">
        <v>0.5225</v>
      </c>
      <c r="EN24" s="466" t="n">
        <v>0.5026</v>
      </c>
      <c r="EO24" s="466" t="n">
        <v>0.483</v>
      </c>
      <c r="EP24" s="465" t="n">
        <v>0.4637</v>
      </c>
      <c r="EQ24" s="465" t="n">
        <v>0.4446</v>
      </c>
      <c r="ER24" s="465" t="n">
        <v>0.4258</v>
      </c>
      <c r="ES24" s="465" t="n">
        <v>0.4072</v>
      </c>
      <c r="ET24" s="465" t="n">
        <v>0.3889</v>
      </c>
      <c r="EU24" s="465" t="n">
        <v>0.3708</v>
      </c>
      <c r="EV24" s="465" t="n">
        <v>0.353</v>
      </c>
      <c r="EW24" s="465" t="n">
        <v>0.3354</v>
      </c>
      <c r="EX24" s="465" t="n">
        <v>0.318</v>
      </c>
      <c r="EY24" s="465" t="n">
        <v>0.3009</v>
      </c>
      <c r="EZ24" s="465" t="n">
        <v>0.284</v>
      </c>
      <c r="FA24" s="465" t="n">
        <v>0.2673</v>
      </c>
      <c r="FB24" s="466" t="n">
        <v>0.2509</v>
      </c>
      <c r="FC24" s="466" t="n">
        <v>0.2347</v>
      </c>
      <c r="FD24" s="466" t="n">
        <v>0.2187</v>
      </c>
      <c r="FE24" s="466" t="n">
        <v>0.2029</v>
      </c>
      <c r="FF24" s="466" t="n">
        <v>0.1873</v>
      </c>
      <c r="FG24" s="466" t="n">
        <v>0.172</v>
      </c>
      <c r="FH24" s="466" t="n">
        <v>0.1568</v>
      </c>
      <c r="FI24" s="466" t="n">
        <v>0.1419</v>
      </c>
      <c r="FJ24" s="466" t="n">
        <v>0.1271</v>
      </c>
      <c r="FK24" s="466" t="n">
        <v>0.1126</v>
      </c>
      <c r="FL24" s="466" t="n">
        <v>0.0982</v>
      </c>
      <c r="FM24" s="466" t="n">
        <v>0.08400000000000001</v>
      </c>
      <c r="FN24" s="465" t="n">
        <v>0.0701</v>
      </c>
      <c r="FO24" s="465" t="n">
        <v>0.0563</v>
      </c>
      <c r="FP24" s="465" t="n">
        <v>0.0427</v>
      </c>
      <c r="FQ24" s="465" t="n">
        <v>0.0293</v>
      </c>
      <c r="FR24" s="465" t="n">
        <v>0.016</v>
      </c>
      <c r="FS24" s="465" t="n">
        <v>0.003</v>
      </c>
      <c r="FT24" s="465" t="n">
        <v>-0.009900000000000001</v>
      </c>
      <c r="FU24" s="465" t="n">
        <v>-0.0226</v>
      </c>
      <c r="FV24" s="465" t="n">
        <v>-0.0352</v>
      </c>
      <c r="FW24" s="465" t="n">
        <v>-0.0475</v>
      </c>
      <c r="FX24" s="465" t="n">
        <v>-0.0597</v>
      </c>
      <c r="FY24" s="465" t="n">
        <v>-0.0718</v>
      </c>
      <c r="FZ24" s="306" t="n"/>
    </row>
    <row r="25" ht="15" customHeight="1" s="307">
      <c r="A25" s="321" t="inlineStr">
        <is>
          <t xml:space="preserve">    Severance (Press 50%)</t>
        </is>
      </c>
      <c r="B25" s="458" t="n">
        <v>0</v>
      </c>
      <c r="C25" s="458" t="n">
        <v>0</v>
      </c>
      <c r="D25" s="458" t="n">
        <v>0</v>
      </c>
      <c r="E25" s="458" t="n">
        <v>1.4771</v>
      </c>
      <c r="F25" s="458" t="n">
        <v>0</v>
      </c>
      <c r="G25" s="458" t="n">
        <v>0</v>
      </c>
      <c r="H25" s="458" t="n">
        <v>1.5694</v>
      </c>
      <c r="I25" s="458" t="n">
        <v>0</v>
      </c>
      <c r="J25" s="458" t="n">
        <v>0</v>
      </c>
      <c r="K25" s="458" t="n">
        <v>1.7368</v>
      </c>
      <c r="L25" s="458" t="n">
        <v>0</v>
      </c>
      <c r="M25" s="458" t="n">
        <v>1.5002</v>
      </c>
      <c r="N25" s="459" t="n">
        <v>0</v>
      </c>
      <c r="O25" s="459" t="n">
        <v>0</v>
      </c>
      <c r="P25" s="459" t="n">
        <v>0</v>
      </c>
      <c r="Q25" s="459" t="n">
        <v>1.4656</v>
      </c>
      <c r="R25" s="459" t="n">
        <v>0</v>
      </c>
      <c r="S25" s="459" t="n">
        <v>0</v>
      </c>
      <c r="T25" s="459" t="n">
        <v>0</v>
      </c>
      <c r="U25" s="459" t="n">
        <v>0</v>
      </c>
      <c r="V25" s="459" t="n">
        <v>0</v>
      </c>
      <c r="W25" s="459" t="n">
        <v>0</v>
      </c>
      <c r="X25" s="459" t="n">
        <v>0</v>
      </c>
      <c r="Y25" s="459" t="n">
        <v>0</v>
      </c>
      <c r="Z25" s="458" t="n">
        <v>0</v>
      </c>
      <c r="AA25" s="458" t="n">
        <v>0</v>
      </c>
      <c r="AB25" s="458" t="n">
        <v>0</v>
      </c>
      <c r="AC25" s="458" t="n">
        <v>0</v>
      </c>
      <c r="AD25" s="458" t="n">
        <v>0</v>
      </c>
      <c r="AE25" s="458" t="n">
        <v>0</v>
      </c>
      <c r="AF25" s="458" t="n">
        <v>0</v>
      </c>
      <c r="AG25" s="458" t="n">
        <v>0</v>
      </c>
      <c r="AH25" s="458" t="n">
        <v>0</v>
      </c>
      <c r="AI25" s="458" t="n">
        <v>0</v>
      </c>
      <c r="AJ25" s="458" t="n">
        <v>0</v>
      </c>
      <c r="AK25" s="458" t="n">
        <v>0</v>
      </c>
      <c r="AL25" s="459" t="n">
        <v>0</v>
      </c>
      <c r="AM25" s="459" t="n">
        <v>0</v>
      </c>
      <c r="AN25" s="459" t="n">
        <v>0</v>
      </c>
      <c r="AO25" s="459" t="n">
        <v>0</v>
      </c>
      <c r="AP25" s="459" t="n">
        <v>0</v>
      </c>
      <c r="AQ25" s="459" t="n">
        <v>0</v>
      </c>
      <c r="AR25" s="459" t="n">
        <v>0</v>
      </c>
      <c r="AS25" s="459" t="n">
        <v>0</v>
      </c>
      <c r="AT25" s="459" t="n">
        <v>0</v>
      </c>
      <c r="AU25" s="459" t="n">
        <v>0</v>
      </c>
      <c r="AV25" s="459" t="n">
        <v>0</v>
      </c>
      <c r="AW25" s="459" t="n">
        <v>0</v>
      </c>
      <c r="AX25" s="458" t="n">
        <v>0</v>
      </c>
      <c r="AY25" s="458" t="n">
        <v>0</v>
      </c>
      <c r="AZ25" s="458" t="n">
        <v>0</v>
      </c>
      <c r="BA25" s="458" t="n">
        <v>0</v>
      </c>
      <c r="BB25" s="458" t="n">
        <v>0</v>
      </c>
      <c r="BC25" s="458" t="n">
        <v>0</v>
      </c>
      <c r="BD25" s="458" t="n">
        <v>0</v>
      </c>
      <c r="BE25" s="458" t="n">
        <v>0</v>
      </c>
      <c r="BF25" s="458" t="n">
        <v>0</v>
      </c>
      <c r="BG25" s="458" t="n">
        <v>0</v>
      </c>
      <c r="BH25" s="458" t="n">
        <v>0</v>
      </c>
      <c r="BI25" s="458" t="n">
        <v>0</v>
      </c>
      <c r="BJ25" s="459" t="n">
        <v>0</v>
      </c>
      <c r="BK25" s="459" t="n">
        <v>0</v>
      </c>
      <c r="BL25" s="459" t="n">
        <v>0</v>
      </c>
      <c r="BM25" s="459" t="n">
        <v>0</v>
      </c>
      <c r="BN25" s="459" t="n">
        <v>0</v>
      </c>
      <c r="BO25" s="459" t="n">
        <v>0</v>
      </c>
      <c r="BP25" s="459" t="n">
        <v>0</v>
      </c>
      <c r="BQ25" s="459" t="n">
        <v>0</v>
      </c>
      <c r="BR25" s="459" t="n">
        <v>0</v>
      </c>
      <c r="BS25" s="459" t="n">
        <v>0</v>
      </c>
      <c r="BT25" s="459" t="n">
        <v>0</v>
      </c>
      <c r="BU25" s="459" t="n">
        <v>0</v>
      </c>
      <c r="BV25" s="458" t="n">
        <v>0</v>
      </c>
      <c r="BW25" s="458" t="n">
        <v>0</v>
      </c>
      <c r="BX25" s="458" t="n">
        <v>0</v>
      </c>
      <c r="BY25" s="458" t="n">
        <v>0</v>
      </c>
      <c r="BZ25" s="458" t="n">
        <v>0</v>
      </c>
      <c r="CA25" s="458" t="n">
        <v>0</v>
      </c>
      <c r="CB25" s="458" t="n">
        <v>0</v>
      </c>
      <c r="CC25" s="458" t="n">
        <v>0</v>
      </c>
      <c r="CD25" s="458" t="n">
        <v>0</v>
      </c>
      <c r="CE25" s="458" t="n">
        <v>0</v>
      </c>
      <c r="CF25" s="458" t="n">
        <v>0</v>
      </c>
      <c r="CG25" s="458" t="n">
        <v>0</v>
      </c>
      <c r="CH25" s="459" t="n">
        <v>0</v>
      </c>
      <c r="CI25" s="459" t="n">
        <v>0</v>
      </c>
      <c r="CJ25" s="459" t="n">
        <v>0</v>
      </c>
      <c r="CK25" s="459" t="n">
        <v>0</v>
      </c>
      <c r="CL25" s="459" t="n">
        <v>0</v>
      </c>
      <c r="CM25" s="459" t="n">
        <v>0</v>
      </c>
      <c r="CN25" s="459" t="n">
        <v>0</v>
      </c>
      <c r="CO25" s="459" t="n">
        <v>0</v>
      </c>
      <c r="CP25" s="459" t="n">
        <v>0</v>
      </c>
      <c r="CQ25" s="459" t="n">
        <v>0</v>
      </c>
      <c r="CR25" s="459" t="n">
        <v>0</v>
      </c>
      <c r="CS25" s="459" t="n">
        <v>0</v>
      </c>
      <c r="CT25" s="458" t="n">
        <v>0</v>
      </c>
      <c r="CU25" s="458" t="n">
        <v>0</v>
      </c>
      <c r="CV25" s="458" t="n">
        <v>0</v>
      </c>
      <c r="CW25" s="458" t="n">
        <v>0</v>
      </c>
      <c r="CX25" s="458" t="n">
        <v>0</v>
      </c>
      <c r="CY25" s="458" t="n">
        <v>0</v>
      </c>
      <c r="CZ25" s="458" t="n">
        <v>0</v>
      </c>
      <c r="DA25" s="458" t="n">
        <v>0</v>
      </c>
      <c r="DB25" s="458" t="n">
        <v>0</v>
      </c>
      <c r="DC25" s="458" t="n">
        <v>0</v>
      </c>
      <c r="DD25" s="458" t="n">
        <v>0</v>
      </c>
      <c r="DE25" s="458" t="n">
        <v>0</v>
      </c>
      <c r="DF25" s="459" t="n">
        <v>0</v>
      </c>
      <c r="DG25" s="459" t="n">
        <v>0</v>
      </c>
      <c r="DH25" s="459" t="n">
        <v>0</v>
      </c>
      <c r="DI25" s="459" t="n">
        <v>0</v>
      </c>
      <c r="DJ25" s="459" t="n">
        <v>0</v>
      </c>
      <c r="DK25" s="459" t="n">
        <v>0</v>
      </c>
      <c r="DL25" s="459" t="n">
        <v>0</v>
      </c>
      <c r="DM25" s="459" t="n">
        <v>0</v>
      </c>
      <c r="DN25" s="459" t="n">
        <v>0</v>
      </c>
      <c r="DO25" s="459" t="n">
        <v>0</v>
      </c>
      <c r="DP25" s="459" t="n">
        <v>0</v>
      </c>
      <c r="DQ25" s="459" t="n">
        <v>0</v>
      </c>
      <c r="DR25" s="458" t="n">
        <v>0</v>
      </c>
      <c r="DS25" s="458" t="n">
        <v>0</v>
      </c>
      <c r="DT25" s="458" t="n">
        <v>0</v>
      </c>
      <c r="DU25" s="458" t="n">
        <v>0</v>
      </c>
      <c r="DV25" s="458" t="n">
        <v>0</v>
      </c>
      <c r="DW25" s="458" t="n">
        <v>0</v>
      </c>
      <c r="DX25" s="458" t="n">
        <v>0</v>
      </c>
      <c r="DY25" s="458" t="n">
        <v>0</v>
      </c>
      <c r="DZ25" s="458" t="n">
        <v>0</v>
      </c>
      <c r="EA25" s="458" t="n">
        <v>0</v>
      </c>
      <c r="EB25" s="458" t="n">
        <v>0</v>
      </c>
      <c r="EC25" s="458" t="n">
        <v>0</v>
      </c>
      <c r="ED25" s="459" t="n">
        <v>0</v>
      </c>
      <c r="EE25" s="459" t="n">
        <v>0</v>
      </c>
      <c r="EF25" s="459" t="n">
        <v>0</v>
      </c>
      <c r="EG25" s="459" t="n">
        <v>0</v>
      </c>
      <c r="EH25" s="459" t="n">
        <v>0</v>
      </c>
      <c r="EI25" s="459" t="n">
        <v>0</v>
      </c>
      <c r="EJ25" s="459" t="n">
        <v>0</v>
      </c>
      <c r="EK25" s="459" t="n">
        <v>0</v>
      </c>
      <c r="EL25" s="459" t="n">
        <v>0</v>
      </c>
      <c r="EM25" s="459" t="n">
        <v>0</v>
      </c>
      <c r="EN25" s="459" t="n">
        <v>0</v>
      </c>
      <c r="EO25" s="459" t="n">
        <v>0</v>
      </c>
      <c r="EP25" s="458" t="n">
        <v>0</v>
      </c>
      <c r="EQ25" s="458" t="n">
        <v>0</v>
      </c>
      <c r="ER25" s="458" t="n">
        <v>0</v>
      </c>
      <c r="ES25" s="458" t="n">
        <v>0</v>
      </c>
      <c r="ET25" s="458" t="n">
        <v>0</v>
      </c>
      <c r="EU25" s="458" t="n">
        <v>0</v>
      </c>
      <c r="EV25" s="458" t="n">
        <v>0</v>
      </c>
      <c r="EW25" s="458" t="n">
        <v>0</v>
      </c>
      <c r="EX25" s="458" t="n">
        <v>0</v>
      </c>
      <c r="EY25" s="458" t="n">
        <v>0</v>
      </c>
      <c r="EZ25" s="458" t="n">
        <v>0</v>
      </c>
      <c r="FA25" s="458" t="n">
        <v>0</v>
      </c>
      <c r="FB25" s="459" t="n">
        <v>0</v>
      </c>
      <c r="FC25" s="459" t="n">
        <v>0</v>
      </c>
      <c r="FD25" s="459" t="n">
        <v>0</v>
      </c>
      <c r="FE25" s="459" t="n">
        <v>0</v>
      </c>
      <c r="FF25" s="459" t="n">
        <v>0</v>
      </c>
      <c r="FG25" s="459" t="n">
        <v>0</v>
      </c>
      <c r="FH25" s="459" t="n">
        <v>0</v>
      </c>
      <c r="FI25" s="459" t="n">
        <v>0</v>
      </c>
      <c r="FJ25" s="459" t="n">
        <v>0</v>
      </c>
      <c r="FK25" s="459" t="n">
        <v>0</v>
      </c>
      <c r="FL25" s="459" t="n">
        <v>0</v>
      </c>
      <c r="FM25" s="459" t="n">
        <v>0</v>
      </c>
      <c r="FN25" s="458" t="n">
        <v>0</v>
      </c>
      <c r="FO25" s="458" t="n">
        <v>0</v>
      </c>
      <c r="FP25" s="458" t="n">
        <v>0</v>
      </c>
      <c r="FQ25" s="458" t="n">
        <v>0</v>
      </c>
      <c r="FR25" s="458" t="n">
        <v>0</v>
      </c>
      <c r="FS25" s="458" t="n">
        <v>0</v>
      </c>
      <c r="FT25" s="458" t="n">
        <v>0</v>
      </c>
      <c r="FU25" s="458" t="n">
        <v>0</v>
      </c>
      <c r="FV25" s="458" t="n">
        <v>0</v>
      </c>
      <c r="FW25" s="458" t="n">
        <v>0</v>
      </c>
      <c r="FX25" s="458" t="n">
        <v>0</v>
      </c>
      <c r="FY25" s="458" t="n">
        <v>0</v>
      </c>
      <c r="FZ25" s="306" t="n"/>
    </row>
    <row r="26" ht="15" customHeight="1" s="307">
      <c r="A26" s="468" t="inlineStr">
        <is>
          <t>Operating Income</t>
        </is>
      </c>
      <c r="B26" s="469" t="n">
        <v>-0.0813</v>
      </c>
      <c r="C26" s="469" t="n">
        <v>-0.0813</v>
      </c>
      <c r="D26" s="469" t="n">
        <v>-0.0813</v>
      </c>
      <c r="E26" s="469" t="n">
        <v>-1.8157</v>
      </c>
      <c r="F26" s="469" t="n">
        <v>-0.1193</v>
      </c>
      <c r="G26" s="469" t="n">
        <v>0.094</v>
      </c>
      <c r="H26" s="469" t="n">
        <v>-1.9585</v>
      </c>
      <c r="I26" s="469" t="n">
        <v>0.5333</v>
      </c>
      <c r="J26" s="469" t="n">
        <v>0.9563</v>
      </c>
      <c r="K26" s="469" t="n">
        <v>-0.4232</v>
      </c>
      <c r="L26" s="469" t="n">
        <v>1.8227</v>
      </c>
      <c r="M26" s="469" t="n">
        <v>0.7905</v>
      </c>
      <c r="N26" s="470" t="n">
        <v>2.6832</v>
      </c>
      <c r="O26" s="470" t="n">
        <v>3.2096</v>
      </c>
      <c r="P26" s="470" t="n">
        <v>3.7212</v>
      </c>
      <c r="Q26" s="470" t="n">
        <v>2.7324</v>
      </c>
      <c r="R26" s="470" t="n">
        <v>4.6743</v>
      </c>
      <c r="S26" s="470" t="n">
        <v>5.1369</v>
      </c>
      <c r="T26" s="470" t="n">
        <v>5.4349</v>
      </c>
      <c r="U26" s="470" t="n">
        <v>5.6715</v>
      </c>
      <c r="V26" s="470" t="n">
        <v>5.9006</v>
      </c>
      <c r="W26" s="470" t="n">
        <v>6.1223</v>
      </c>
      <c r="X26" s="470" t="n">
        <v>6.1314</v>
      </c>
      <c r="Y26" s="470" t="n">
        <v>6.1389</v>
      </c>
      <c r="Z26" s="469" t="n">
        <v>6.0951</v>
      </c>
      <c r="AA26" s="469" t="n">
        <v>6.0511</v>
      </c>
      <c r="AB26" s="469" t="n">
        <v>6.007</v>
      </c>
      <c r="AC26" s="469" t="n">
        <v>5.9628</v>
      </c>
      <c r="AD26" s="469" t="n">
        <v>5.8697</v>
      </c>
      <c r="AE26" s="469" t="n">
        <v>5.7779</v>
      </c>
      <c r="AF26" s="469" t="n">
        <v>5.6874</v>
      </c>
      <c r="AG26" s="469" t="n">
        <v>5.598</v>
      </c>
      <c r="AH26" s="469" t="n">
        <v>5.5099</v>
      </c>
      <c r="AI26" s="469" t="n">
        <v>5.4229</v>
      </c>
      <c r="AJ26" s="469" t="n">
        <v>5.3371</v>
      </c>
      <c r="AK26" s="469" t="n">
        <v>0.2365</v>
      </c>
      <c r="AL26" s="470" t="n">
        <v>5.169</v>
      </c>
      <c r="AM26" s="470" t="n">
        <v>5.0866</v>
      </c>
      <c r="AN26" s="470" t="n">
        <v>5.0053</v>
      </c>
      <c r="AO26" s="470" t="n">
        <v>4.9252</v>
      </c>
      <c r="AP26" s="470" t="n">
        <v>4.8461</v>
      </c>
      <c r="AQ26" s="470" t="n">
        <v>4.768</v>
      </c>
      <c r="AR26" s="470" t="n">
        <v>4.6911</v>
      </c>
      <c r="AS26" s="470" t="n">
        <v>4.6151</v>
      </c>
      <c r="AT26" s="470" t="n">
        <v>4.5402</v>
      </c>
      <c r="AU26" s="470" t="n">
        <v>4.4663</v>
      </c>
      <c r="AV26" s="470" t="n">
        <v>4.3934</v>
      </c>
      <c r="AW26" s="470" t="n">
        <v>1.5158</v>
      </c>
      <c r="AX26" s="469" t="n">
        <v>4.2504</v>
      </c>
      <c r="AY26" s="469" t="n">
        <v>4.1804</v>
      </c>
      <c r="AZ26" s="469" t="n">
        <v>4.1113</v>
      </c>
      <c r="BA26" s="469" t="n">
        <v>4.0432</v>
      </c>
      <c r="BB26" s="469" t="n">
        <v>3.976</v>
      </c>
      <c r="BC26" s="469" t="n">
        <v>3.9096</v>
      </c>
      <c r="BD26" s="469" t="n">
        <v>3.8442</v>
      </c>
      <c r="BE26" s="469" t="n">
        <v>3.7796</v>
      </c>
      <c r="BF26" s="469" t="n">
        <v>3.716</v>
      </c>
      <c r="BG26" s="469" t="n">
        <v>3.6531</v>
      </c>
      <c r="BH26" s="469" t="n">
        <v>3.5911</v>
      </c>
      <c r="BI26" s="469" t="n">
        <v>2.8637</v>
      </c>
      <c r="BJ26" s="470" t="n">
        <v>3.4697</v>
      </c>
      <c r="BK26" s="470" t="n">
        <v>3.4102</v>
      </c>
      <c r="BL26" s="470" t="n">
        <v>3.3514</v>
      </c>
      <c r="BM26" s="470" t="n">
        <v>3.2935</v>
      </c>
      <c r="BN26" s="470" t="n">
        <v>3.2364</v>
      </c>
      <c r="BO26" s="470" t="n">
        <v>3.18</v>
      </c>
      <c r="BP26" s="470" t="n">
        <v>3.1244</v>
      </c>
      <c r="BQ26" s="470" t="n">
        <v>3.0695</v>
      </c>
      <c r="BR26" s="470" t="n">
        <v>3.0154</v>
      </c>
      <c r="BS26" s="470" t="n">
        <v>2.962</v>
      </c>
      <c r="BT26" s="470" t="n">
        <v>2.9093</v>
      </c>
      <c r="BU26" s="470" t="n">
        <v>2.8573</v>
      </c>
      <c r="BV26" s="469" t="n">
        <v>2.806</v>
      </c>
      <c r="BW26" s="469" t="n">
        <v>2.7554</v>
      </c>
      <c r="BX26" s="469" t="n">
        <v>2.7055</v>
      </c>
      <c r="BY26" s="469" t="n">
        <v>2.6563</v>
      </c>
      <c r="BZ26" s="469" t="n">
        <v>2.6077</v>
      </c>
      <c r="CA26" s="469" t="n">
        <v>2.5598</v>
      </c>
      <c r="CB26" s="469" t="n">
        <v>2.5125</v>
      </c>
      <c r="CC26" s="469" t="n">
        <v>2.4659</v>
      </c>
      <c r="CD26" s="469" t="n">
        <v>2.4199</v>
      </c>
      <c r="CE26" s="469" t="n">
        <v>2.3745</v>
      </c>
      <c r="CF26" s="469" t="n">
        <v>2.3297</v>
      </c>
      <c r="CG26" s="469" t="n">
        <v>2.2855</v>
      </c>
      <c r="CH26" s="470" t="n">
        <v>2.2419</v>
      </c>
      <c r="CI26" s="470" t="n">
        <v>2.1989</v>
      </c>
      <c r="CJ26" s="470" t="n">
        <v>2.1565</v>
      </c>
      <c r="CK26" s="470" t="n">
        <v>2.1146</v>
      </c>
      <c r="CL26" s="470" t="n">
        <v>2.0733</v>
      </c>
      <c r="CM26" s="470" t="n">
        <v>2.0326</v>
      </c>
      <c r="CN26" s="470" t="n">
        <v>1.9924</v>
      </c>
      <c r="CO26" s="470" t="n">
        <v>1.9528</v>
      </c>
      <c r="CP26" s="470" t="n">
        <v>1.9137</v>
      </c>
      <c r="CQ26" s="470" t="n">
        <v>1.8751</v>
      </c>
      <c r="CR26" s="470" t="n">
        <v>1.837</v>
      </c>
      <c r="CS26" s="470" t="n">
        <v>1.7995</v>
      </c>
      <c r="CT26" s="469" t="n">
        <v>1.7624</v>
      </c>
      <c r="CU26" s="469" t="n">
        <v>1.7259</v>
      </c>
      <c r="CV26" s="469" t="n">
        <v>1.6898</v>
      </c>
      <c r="CW26" s="469" t="n">
        <v>1.6542</v>
      </c>
      <c r="CX26" s="469" t="n">
        <v>1.6191</v>
      </c>
      <c r="CY26" s="469" t="n">
        <v>1.5845</v>
      </c>
      <c r="CZ26" s="469" t="n">
        <v>1.5504</v>
      </c>
      <c r="DA26" s="469" t="n">
        <v>1.5167</v>
      </c>
      <c r="DB26" s="469" t="n">
        <v>1.4834</v>
      </c>
      <c r="DC26" s="469" t="n">
        <v>1.4506</v>
      </c>
      <c r="DD26" s="469" t="n">
        <v>1.4183</v>
      </c>
      <c r="DE26" s="469" t="n">
        <v>1.3863</v>
      </c>
      <c r="DF26" s="470" t="n">
        <v>1.3549</v>
      </c>
      <c r="DG26" s="470" t="n">
        <v>1.3238</v>
      </c>
      <c r="DH26" s="470" t="n">
        <v>1.2931</v>
      </c>
      <c r="DI26" s="470" t="n">
        <v>1.2629</v>
      </c>
      <c r="DJ26" s="470" t="n">
        <v>1.2331</v>
      </c>
      <c r="DK26" s="470" t="n">
        <v>1.2036</v>
      </c>
      <c r="DL26" s="470" t="n">
        <v>1.1746</v>
      </c>
      <c r="DM26" s="470" t="n">
        <v>1.146</v>
      </c>
      <c r="DN26" s="470" t="n">
        <v>1.1177</v>
      </c>
      <c r="DO26" s="470" t="n">
        <v>1.0898</v>
      </c>
      <c r="DP26" s="470" t="n">
        <v>1.0623</v>
      </c>
      <c r="DQ26" s="470" t="n">
        <v>1.0352</v>
      </c>
      <c r="DR26" s="469" t="n">
        <v>1.0084</v>
      </c>
      <c r="DS26" s="469" t="n">
        <v>0.982</v>
      </c>
      <c r="DT26" s="469" t="n">
        <v>0.956</v>
      </c>
      <c r="DU26" s="469" t="n">
        <v>0.9303</v>
      </c>
      <c r="DV26" s="469" t="n">
        <v>0.9049</v>
      </c>
      <c r="DW26" s="469" t="n">
        <v>0.8799</v>
      </c>
      <c r="DX26" s="469" t="n">
        <v>0.8552</v>
      </c>
      <c r="DY26" s="469" t="n">
        <v>0.8309</v>
      </c>
      <c r="DZ26" s="469" t="n">
        <v>0.8068</v>
      </c>
      <c r="EA26" s="469" t="n">
        <v>0.7831</v>
      </c>
      <c r="EB26" s="469" t="n">
        <v>0.7598</v>
      </c>
      <c r="EC26" s="469" t="n">
        <v>0.7367</v>
      </c>
      <c r="ED26" s="470" t="n">
        <v>0.714</v>
      </c>
      <c r="EE26" s="470" t="n">
        <v>0.6915</v>
      </c>
      <c r="EF26" s="470" t="n">
        <v>0.6694</v>
      </c>
      <c r="EG26" s="470" t="n">
        <v>0.6475</v>
      </c>
      <c r="EH26" s="470" t="n">
        <v>0.626</v>
      </c>
      <c r="EI26" s="470" t="n">
        <v>0.6047</v>
      </c>
      <c r="EJ26" s="470" t="n">
        <v>0.5837</v>
      </c>
      <c r="EK26" s="470" t="n">
        <v>0.5629999999999999</v>
      </c>
      <c r="EL26" s="470" t="n">
        <v>0.5426</v>
      </c>
      <c r="EM26" s="470" t="n">
        <v>0.5225</v>
      </c>
      <c r="EN26" s="470" t="n">
        <v>0.5026</v>
      </c>
      <c r="EO26" s="470" t="n">
        <v>0.483</v>
      </c>
      <c r="EP26" s="469" t="n">
        <v>0.4637</v>
      </c>
      <c r="EQ26" s="469" t="n">
        <v>0.4446</v>
      </c>
      <c r="ER26" s="469" t="n">
        <v>0.4258</v>
      </c>
      <c r="ES26" s="469" t="n">
        <v>0.4072</v>
      </c>
      <c r="ET26" s="469" t="n">
        <v>0.3889</v>
      </c>
      <c r="EU26" s="469" t="n">
        <v>0.3708</v>
      </c>
      <c r="EV26" s="469" t="n">
        <v>0.353</v>
      </c>
      <c r="EW26" s="469" t="n">
        <v>0.3354</v>
      </c>
      <c r="EX26" s="469" t="n">
        <v>0.318</v>
      </c>
      <c r="EY26" s="469" t="n">
        <v>0.3009</v>
      </c>
      <c r="EZ26" s="469" t="n">
        <v>0.284</v>
      </c>
      <c r="FA26" s="469" t="n">
        <v>0.2673</v>
      </c>
      <c r="FB26" s="470" t="n">
        <v>0.2509</v>
      </c>
      <c r="FC26" s="470" t="n">
        <v>0.2347</v>
      </c>
      <c r="FD26" s="470" t="n">
        <v>0.2187</v>
      </c>
      <c r="FE26" s="470" t="n">
        <v>0.2029</v>
      </c>
      <c r="FF26" s="470" t="n">
        <v>0.1873</v>
      </c>
      <c r="FG26" s="470" t="n">
        <v>0.172</v>
      </c>
      <c r="FH26" s="470" t="n">
        <v>0.1568</v>
      </c>
      <c r="FI26" s="470" t="n">
        <v>0.1419</v>
      </c>
      <c r="FJ26" s="470" t="n">
        <v>0.1271</v>
      </c>
      <c r="FK26" s="470" t="n">
        <v>0.1126</v>
      </c>
      <c r="FL26" s="470" t="n">
        <v>0.0982</v>
      </c>
      <c r="FM26" s="470" t="n">
        <v>0.08400000000000001</v>
      </c>
      <c r="FN26" s="469" t="n">
        <v>0.0701</v>
      </c>
      <c r="FO26" s="469" t="n">
        <v>0.0563</v>
      </c>
      <c r="FP26" s="469" t="n">
        <v>0.0427</v>
      </c>
      <c r="FQ26" s="469" t="n">
        <v>0.0293</v>
      </c>
      <c r="FR26" s="469" t="n">
        <v>0.016</v>
      </c>
      <c r="FS26" s="469" t="n">
        <v>0.003</v>
      </c>
      <c r="FT26" s="469" t="n">
        <v>-0.009900000000000001</v>
      </c>
      <c r="FU26" s="469" t="n">
        <v>-0.0226</v>
      </c>
      <c r="FV26" s="469" t="n">
        <v>-0.0352</v>
      </c>
      <c r="FW26" s="469" t="n">
        <v>-0.0475</v>
      </c>
      <c r="FX26" s="469" t="n">
        <v>-0.0597</v>
      </c>
      <c r="FY26" s="469" t="n">
        <v>-0.0718</v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 t="n">
        <v>0.25</v>
      </c>
      <c r="C28" s="458" t="n">
        <v>0.25</v>
      </c>
      <c r="D28" s="458" t="n">
        <v>0.25</v>
      </c>
      <c r="E28" s="458" t="n">
        <v>0.25</v>
      </c>
      <c r="F28" s="458" t="n">
        <v>0.25</v>
      </c>
      <c r="G28" s="458" t="n">
        <v>0.25</v>
      </c>
      <c r="H28" s="458" t="n">
        <v>0.25</v>
      </c>
      <c r="I28" s="458" t="n">
        <v>0.25</v>
      </c>
      <c r="J28" s="458" t="n">
        <v>0.25</v>
      </c>
      <c r="K28" s="458" t="n">
        <v>0.25</v>
      </c>
      <c r="L28" s="458" t="n">
        <v>0.25</v>
      </c>
      <c r="M28" s="458" t="n">
        <v>0.25</v>
      </c>
      <c r="N28" s="459" t="n">
        <v>0</v>
      </c>
      <c r="O28" s="459" t="n">
        <v>0</v>
      </c>
      <c r="P28" s="459" t="n">
        <v>0</v>
      </c>
      <c r="Q28" s="459" t="n">
        <v>0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0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0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0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322" t="inlineStr">
        <is>
          <t>Distributable Cash</t>
        </is>
      </c>
      <c r="B29" s="461" t="n">
        <v>-0.3312</v>
      </c>
      <c r="C29" s="461" t="n">
        <v>-0.3312</v>
      </c>
      <c r="D29" s="461" t="n">
        <v>-0.3312</v>
      </c>
      <c r="E29" s="461" t="n">
        <v>-2.0657</v>
      </c>
      <c r="F29" s="461" t="n">
        <v>-0.3693</v>
      </c>
      <c r="G29" s="461" t="n">
        <v>-0.156</v>
      </c>
      <c r="H29" s="461" t="n">
        <v>-2.2085</v>
      </c>
      <c r="I29" s="461" t="n">
        <v>0.2833</v>
      </c>
      <c r="J29" s="461" t="n">
        <v>0.7063</v>
      </c>
      <c r="K29" s="461" t="n">
        <v>-0.6732</v>
      </c>
      <c r="L29" s="461" t="n">
        <v>1.5727</v>
      </c>
      <c r="M29" s="461" t="n">
        <v>0.5405</v>
      </c>
      <c r="N29" s="462" t="n">
        <v>2.6832</v>
      </c>
      <c r="O29" s="462" t="n">
        <v>3.2096</v>
      </c>
      <c r="P29" s="462" t="n">
        <v>3.7212</v>
      </c>
      <c r="Q29" s="462" t="n">
        <v>2.7324</v>
      </c>
      <c r="R29" s="462" t="n">
        <v>4.6743</v>
      </c>
      <c r="S29" s="462" t="n">
        <v>5.1369</v>
      </c>
      <c r="T29" s="462" t="n">
        <v>5.4349</v>
      </c>
      <c r="U29" s="462" t="n">
        <v>5.6715</v>
      </c>
      <c r="V29" s="462" t="n">
        <v>5.9006</v>
      </c>
      <c r="W29" s="462" t="n">
        <v>6.1223</v>
      </c>
      <c r="X29" s="462" t="n">
        <v>6.1314</v>
      </c>
      <c r="Y29" s="462" t="n">
        <v>6.1389</v>
      </c>
      <c r="Z29" s="461" t="n">
        <v>6.0951</v>
      </c>
      <c r="AA29" s="461" t="n">
        <v>6.0511</v>
      </c>
      <c r="AB29" s="461" t="n">
        <v>6.007</v>
      </c>
      <c r="AC29" s="461" t="n">
        <v>5.9628</v>
      </c>
      <c r="AD29" s="461" t="n">
        <v>5.8697</v>
      </c>
      <c r="AE29" s="461" t="n">
        <v>5.7779</v>
      </c>
      <c r="AF29" s="461" t="n">
        <v>5.6874</v>
      </c>
      <c r="AG29" s="461" t="n">
        <v>5.598</v>
      </c>
      <c r="AH29" s="461" t="n">
        <v>5.5099</v>
      </c>
      <c r="AI29" s="461" t="n">
        <v>5.4229</v>
      </c>
      <c r="AJ29" s="461" t="n">
        <v>5.3371</v>
      </c>
      <c r="AK29" s="461" t="n">
        <v>0.2365</v>
      </c>
      <c r="AL29" s="462" t="n">
        <v>5.169</v>
      </c>
      <c r="AM29" s="462" t="n">
        <v>5.0866</v>
      </c>
      <c r="AN29" s="462" t="n">
        <v>5.0053</v>
      </c>
      <c r="AO29" s="462" t="n">
        <v>4.9252</v>
      </c>
      <c r="AP29" s="462" t="n">
        <v>4.8461</v>
      </c>
      <c r="AQ29" s="462" t="n">
        <v>4.768</v>
      </c>
      <c r="AR29" s="462" t="n">
        <v>4.6911</v>
      </c>
      <c r="AS29" s="462" t="n">
        <v>4.6151</v>
      </c>
      <c r="AT29" s="462" t="n">
        <v>4.5402</v>
      </c>
      <c r="AU29" s="462" t="n">
        <v>4.4663</v>
      </c>
      <c r="AV29" s="462" t="n">
        <v>4.3934</v>
      </c>
      <c r="AW29" s="462" t="n">
        <v>1.5158</v>
      </c>
      <c r="AX29" s="461" t="n">
        <v>4.2504</v>
      </c>
      <c r="AY29" s="461" t="n">
        <v>4.1804</v>
      </c>
      <c r="AZ29" s="461" t="n">
        <v>4.1113</v>
      </c>
      <c r="BA29" s="461" t="n">
        <v>4.0432</v>
      </c>
      <c r="BB29" s="461" t="n">
        <v>3.976</v>
      </c>
      <c r="BC29" s="461" t="n">
        <v>3.9096</v>
      </c>
      <c r="BD29" s="461" t="n">
        <v>3.8442</v>
      </c>
      <c r="BE29" s="461" t="n">
        <v>3.7796</v>
      </c>
      <c r="BF29" s="461" t="n">
        <v>3.716</v>
      </c>
      <c r="BG29" s="461" t="n">
        <v>3.6531</v>
      </c>
      <c r="BH29" s="461" t="n">
        <v>3.5911</v>
      </c>
      <c r="BI29" s="461" t="n">
        <v>2.8637</v>
      </c>
      <c r="BJ29" s="462" t="n">
        <v>3.4697</v>
      </c>
      <c r="BK29" s="462" t="n">
        <v>3.4102</v>
      </c>
      <c r="BL29" s="462" t="n">
        <v>3.3514</v>
      </c>
      <c r="BM29" s="462" t="n">
        <v>3.2935</v>
      </c>
      <c r="BN29" s="462" t="n">
        <v>3.2364</v>
      </c>
      <c r="BO29" s="462" t="n">
        <v>3.18</v>
      </c>
      <c r="BP29" s="462" t="n">
        <v>3.1244</v>
      </c>
      <c r="BQ29" s="462" t="n">
        <v>3.0695</v>
      </c>
      <c r="BR29" s="462" t="n">
        <v>3.0154</v>
      </c>
      <c r="BS29" s="462" t="n">
        <v>2.962</v>
      </c>
      <c r="BT29" s="462" t="n">
        <v>2.9093</v>
      </c>
      <c r="BU29" s="462" t="n">
        <v>2.8573</v>
      </c>
      <c r="BV29" s="461" t="n">
        <v>2.806</v>
      </c>
      <c r="BW29" s="461" t="n">
        <v>2.7554</v>
      </c>
      <c r="BX29" s="461" t="n">
        <v>2.7055</v>
      </c>
      <c r="BY29" s="461" t="n">
        <v>2.6563</v>
      </c>
      <c r="BZ29" s="461" t="n">
        <v>2.6077</v>
      </c>
      <c r="CA29" s="461" t="n">
        <v>2.5598</v>
      </c>
      <c r="CB29" s="461" t="n">
        <v>2.5125</v>
      </c>
      <c r="CC29" s="461" t="n">
        <v>2.4659</v>
      </c>
      <c r="CD29" s="461" t="n">
        <v>2.4199</v>
      </c>
      <c r="CE29" s="461" t="n">
        <v>2.3745</v>
      </c>
      <c r="CF29" s="461" t="n">
        <v>2.3297</v>
      </c>
      <c r="CG29" s="461" t="n">
        <v>2.2855</v>
      </c>
      <c r="CH29" s="462" t="n">
        <v>2.2419</v>
      </c>
      <c r="CI29" s="462" t="n">
        <v>2.1989</v>
      </c>
      <c r="CJ29" s="462" t="n">
        <v>2.1565</v>
      </c>
      <c r="CK29" s="462" t="n">
        <v>2.1146</v>
      </c>
      <c r="CL29" s="462" t="n">
        <v>2.0733</v>
      </c>
      <c r="CM29" s="462" t="n">
        <v>2.0326</v>
      </c>
      <c r="CN29" s="462" t="n">
        <v>1.9924</v>
      </c>
      <c r="CO29" s="462" t="n">
        <v>1.9528</v>
      </c>
      <c r="CP29" s="462" t="n">
        <v>1.9137</v>
      </c>
      <c r="CQ29" s="462" t="n">
        <v>1.8751</v>
      </c>
      <c r="CR29" s="462" t="n">
        <v>1.837</v>
      </c>
      <c r="CS29" s="462" t="n">
        <v>1.7995</v>
      </c>
      <c r="CT29" s="461" t="n">
        <v>1.7624</v>
      </c>
      <c r="CU29" s="461" t="n">
        <v>1.7259</v>
      </c>
      <c r="CV29" s="461" t="n">
        <v>1.6898</v>
      </c>
      <c r="CW29" s="461" t="n">
        <v>1.6542</v>
      </c>
      <c r="CX29" s="461" t="n">
        <v>1.6191</v>
      </c>
      <c r="CY29" s="461" t="n">
        <v>1.5845</v>
      </c>
      <c r="CZ29" s="461" t="n">
        <v>1.5504</v>
      </c>
      <c r="DA29" s="461" t="n">
        <v>1.5167</v>
      </c>
      <c r="DB29" s="461" t="n">
        <v>1.4834</v>
      </c>
      <c r="DC29" s="461" t="n">
        <v>1.4506</v>
      </c>
      <c r="DD29" s="461" t="n">
        <v>1.4183</v>
      </c>
      <c r="DE29" s="461" t="n">
        <v>1.3863</v>
      </c>
      <c r="DF29" s="462" t="n">
        <v>1.3549</v>
      </c>
      <c r="DG29" s="462" t="n">
        <v>1.3238</v>
      </c>
      <c r="DH29" s="462" t="n">
        <v>1.2931</v>
      </c>
      <c r="DI29" s="462" t="n">
        <v>1.2629</v>
      </c>
      <c r="DJ29" s="462" t="n">
        <v>1.2331</v>
      </c>
      <c r="DK29" s="462" t="n">
        <v>1.2036</v>
      </c>
      <c r="DL29" s="462" t="n">
        <v>1.1746</v>
      </c>
      <c r="DM29" s="462" t="n">
        <v>1.146</v>
      </c>
      <c r="DN29" s="462" t="n">
        <v>1.1177</v>
      </c>
      <c r="DO29" s="462" t="n">
        <v>1.0898</v>
      </c>
      <c r="DP29" s="462" t="n">
        <v>1.0623</v>
      </c>
      <c r="DQ29" s="462" t="n">
        <v>1.0352</v>
      </c>
      <c r="DR29" s="461" t="n">
        <v>1.0084</v>
      </c>
      <c r="DS29" s="461" t="n">
        <v>0.982</v>
      </c>
      <c r="DT29" s="461" t="n">
        <v>0.956</v>
      </c>
      <c r="DU29" s="461" t="n">
        <v>0.9303</v>
      </c>
      <c r="DV29" s="461" t="n">
        <v>0.9049</v>
      </c>
      <c r="DW29" s="461" t="n">
        <v>0.8799</v>
      </c>
      <c r="DX29" s="461" t="n">
        <v>0.8552</v>
      </c>
      <c r="DY29" s="461" t="n">
        <v>0.8309</v>
      </c>
      <c r="DZ29" s="461" t="n">
        <v>0.8068</v>
      </c>
      <c r="EA29" s="461" t="n">
        <v>0.7831</v>
      </c>
      <c r="EB29" s="461" t="n">
        <v>0.7598</v>
      </c>
      <c r="EC29" s="461" t="n">
        <v>0.7367</v>
      </c>
      <c r="ED29" s="462" t="n">
        <v>0.714</v>
      </c>
      <c r="EE29" s="462" t="n">
        <v>0.6915</v>
      </c>
      <c r="EF29" s="462" t="n">
        <v>0.6694</v>
      </c>
      <c r="EG29" s="462" t="n">
        <v>0.6475</v>
      </c>
      <c r="EH29" s="462" t="n">
        <v>0.626</v>
      </c>
      <c r="EI29" s="462" t="n">
        <v>0.6047</v>
      </c>
      <c r="EJ29" s="462" t="n">
        <v>0.5837</v>
      </c>
      <c r="EK29" s="462" t="n">
        <v>0.5629999999999999</v>
      </c>
      <c r="EL29" s="462" t="n">
        <v>0.5426</v>
      </c>
      <c r="EM29" s="462" t="n">
        <v>0.5225</v>
      </c>
      <c r="EN29" s="462" t="n">
        <v>0.5026</v>
      </c>
      <c r="EO29" s="462" t="n">
        <v>0.483</v>
      </c>
      <c r="EP29" s="461" t="n">
        <v>0.4637</v>
      </c>
      <c r="EQ29" s="461" t="n">
        <v>0.4446</v>
      </c>
      <c r="ER29" s="461" t="n">
        <v>0.4258</v>
      </c>
      <c r="ES29" s="461" t="n">
        <v>0.4072</v>
      </c>
      <c r="ET29" s="461" t="n">
        <v>0.3889</v>
      </c>
      <c r="EU29" s="461" t="n">
        <v>0.3708</v>
      </c>
      <c r="EV29" s="461" t="n">
        <v>0.353</v>
      </c>
      <c r="EW29" s="461" t="n">
        <v>0.3354</v>
      </c>
      <c r="EX29" s="461" t="n">
        <v>0.318</v>
      </c>
      <c r="EY29" s="461" t="n">
        <v>0.3009</v>
      </c>
      <c r="EZ29" s="461" t="n">
        <v>0.284</v>
      </c>
      <c r="FA29" s="461" t="n">
        <v>0.2673</v>
      </c>
      <c r="FB29" s="462" t="n">
        <v>0.2509</v>
      </c>
      <c r="FC29" s="462" t="n">
        <v>0.2347</v>
      </c>
      <c r="FD29" s="462" t="n">
        <v>0.2187</v>
      </c>
      <c r="FE29" s="462" t="n">
        <v>0.2029</v>
      </c>
      <c r="FF29" s="462" t="n">
        <v>0.1873</v>
      </c>
      <c r="FG29" s="462" t="n">
        <v>0.172</v>
      </c>
      <c r="FH29" s="462" t="n">
        <v>0.1568</v>
      </c>
      <c r="FI29" s="462" t="n">
        <v>0.1419</v>
      </c>
      <c r="FJ29" s="462" t="n">
        <v>0.1271</v>
      </c>
      <c r="FK29" s="462" t="n">
        <v>0.1126</v>
      </c>
      <c r="FL29" s="462" t="n">
        <v>0.0982</v>
      </c>
      <c r="FM29" s="462" t="n">
        <v>0.08400000000000001</v>
      </c>
      <c r="FN29" s="461" t="n">
        <v>0.0701</v>
      </c>
      <c r="FO29" s="461" t="n">
        <v>0.0563</v>
      </c>
      <c r="FP29" s="461" t="n">
        <v>0.0427</v>
      </c>
      <c r="FQ29" s="461" t="n">
        <v>0.0293</v>
      </c>
      <c r="FR29" s="461" t="n">
        <v>0.016</v>
      </c>
      <c r="FS29" s="461" t="n">
        <v>0.003</v>
      </c>
      <c r="FT29" s="461" t="n">
        <v>-0.009900000000000001</v>
      </c>
      <c r="FU29" s="461" t="n">
        <v>-0.0226</v>
      </c>
      <c r="FV29" s="461" t="n">
        <v>-0.0352</v>
      </c>
      <c r="FW29" s="461" t="n">
        <v>-0.0475</v>
      </c>
      <c r="FX29" s="461" t="n">
        <v>-0.0597</v>
      </c>
      <c r="FY29" s="461" t="n">
        <v>-0.0718</v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21" t="inlineStr">
        <is>
          <t xml:space="preserve">    Deal #6</t>
        </is>
      </c>
      <c r="B11" s="458" t="n">
        <v>0</v>
      </c>
      <c r="C11" s="458" t="n">
        <v>0</v>
      </c>
      <c r="D11" s="458" t="n">
        <v>0</v>
      </c>
      <c r="E11" s="458" t="n">
        <v>0</v>
      </c>
      <c r="F11" s="458" t="n">
        <v>0</v>
      </c>
      <c r="G11" s="458" t="n">
        <v>0</v>
      </c>
      <c r="H11" s="458" t="n">
        <v>0</v>
      </c>
      <c r="I11" s="458" t="n">
        <v>0</v>
      </c>
      <c r="J11" s="458" t="n">
        <v>0</v>
      </c>
      <c r="K11" s="458" t="n">
        <v>0</v>
      </c>
      <c r="L11" s="458" t="n">
        <v>0</v>
      </c>
      <c r="M11" s="458" t="n">
        <v>0</v>
      </c>
      <c r="N11" s="459" t="n">
        <v>0</v>
      </c>
      <c r="O11" s="459" t="n">
        <v>0</v>
      </c>
      <c r="P11" s="459" t="n">
        <v>0</v>
      </c>
      <c r="Q11" s="459" t="n">
        <v>0</v>
      </c>
      <c r="R11" s="459" t="n">
        <v>0</v>
      </c>
      <c r="S11" s="459" t="n">
        <v>0</v>
      </c>
      <c r="T11" s="459" t="n">
        <v>0</v>
      </c>
      <c r="U11" s="459" t="n">
        <v>0</v>
      </c>
      <c r="V11" s="459" t="n">
        <v>0</v>
      </c>
      <c r="W11" s="459" t="n">
        <v>0</v>
      </c>
      <c r="X11" s="459" t="n">
        <v>0</v>
      </c>
      <c r="Y11" s="459" t="n">
        <v>2</v>
      </c>
      <c r="Z11" s="458" t="n">
        <v>1.9731</v>
      </c>
      <c r="AA11" s="458" t="n">
        <v>1.9466</v>
      </c>
      <c r="AB11" s="458" t="n">
        <v>1.9204</v>
      </c>
      <c r="AC11" s="458" t="n">
        <v>1.8945</v>
      </c>
      <c r="AD11" s="458" t="n">
        <v>1.8691</v>
      </c>
      <c r="AE11" s="458" t="n">
        <v>1.8439</v>
      </c>
      <c r="AF11" s="458" t="n">
        <v>1.8191</v>
      </c>
      <c r="AG11" s="458" t="n">
        <v>1.7946</v>
      </c>
      <c r="AH11" s="458" t="n">
        <v>1.7705</v>
      </c>
      <c r="AI11" s="458" t="n">
        <v>1.7467</v>
      </c>
      <c r="AJ11" s="458" t="n">
        <v>1.7232</v>
      </c>
      <c r="AK11" s="458" t="n">
        <v>1.7</v>
      </c>
      <c r="AL11" s="459" t="n">
        <v>1.6771</v>
      </c>
      <c r="AM11" s="459" t="n">
        <v>1.6546</v>
      </c>
      <c r="AN11" s="459" t="n">
        <v>1.6323</v>
      </c>
      <c r="AO11" s="459" t="n">
        <v>1.6104</v>
      </c>
      <c r="AP11" s="459" t="n">
        <v>1.5887</v>
      </c>
      <c r="AQ11" s="459" t="n">
        <v>1.5673</v>
      </c>
      <c r="AR11" s="459" t="n">
        <v>1.5462</v>
      </c>
      <c r="AS11" s="459" t="n">
        <v>1.5254</v>
      </c>
      <c r="AT11" s="459" t="n">
        <v>1.5049</v>
      </c>
      <c r="AU11" s="459" t="n">
        <v>1.4847</v>
      </c>
      <c r="AV11" s="459" t="n">
        <v>1.4647</v>
      </c>
      <c r="AW11" s="459" t="n">
        <v>1.445</v>
      </c>
      <c r="AX11" s="458" t="n">
        <v>1.4256</v>
      </c>
      <c r="AY11" s="458" t="n">
        <v>1.4064</v>
      </c>
      <c r="AZ11" s="458" t="n">
        <v>1.3875</v>
      </c>
      <c r="BA11" s="458" t="n">
        <v>1.3688</v>
      </c>
      <c r="BB11" s="458" t="n">
        <v>1.3504</v>
      </c>
      <c r="BC11" s="458" t="n">
        <v>1.3322</v>
      </c>
      <c r="BD11" s="458" t="n">
        <v>1.3143</v>
      </c>
      <c r="BE11" s="458" t="n">
        <v>1.2966</v>
      </c>
      <c r="BF11" s="458" t="n">
        <v>1.2792</v>
      </c>
      <c r="BG11" s="458" t="n">
        <v>1.262</v>
      </c>
      <c r="BH11" s="458" t="n">
        <v>1.245</v>
      </c>
      <c r="BI11" s="458" t="n">
        <v>1.2282</v>
      </c>
      <c r="BJ11" s="459" t="n">
        <v>1.2117</v>
      </c>
      <c r="BK11" s="459" t="n">
        <v>1.1954</v>
      </c>
      <c r="BL11" s="459" t="n">
        <v>1.1793</v>
      </c>
      <c r="BM11" s="459" t="n">
        <v>1.1635</v>
      </c>
      <c r="BN11" s="459" t="n">
        <v>1.1478</v>
      </c>
      <c r="BO11" s="459" t="n">
        <v>1.1324</v>
      </c>
      <c r="BP11" s="459" t="n">
        <v>1.1172</v>
      </c>
      <c r="BQ11" s="459" t="n">
        <v>1.1021</v>
      </c>
      <c r="BR11" s="459" t="n">
        <v>1.0873</v>
      </c>
      <c r="BS11" s="459" t="n">
        <v>1.0727</v>
      </c>
      <c r="BT11" s="459" t="n">
        <v>1.0582</v>
      </c>
      <c r="BU11" s="459" t="n">
        <v>1.044</v>
      </c>
      <c r="BV11" s="458" t="n">
        <v>1.03</v>
      </c>
      <c r="BW11" s="458" t="n">
        <v>1.0161</v>
      </c>
      <c r="BX11" s="458" t="n">
        <v>1.0024</v>
      </c>
      <c r="BY11" s="458" t="n">
        <v>0.989</v>
      </c>
      <c r="BZ11" s="458" t="n">
        <v>0.9757</v>
      </c>
      <c r="CA11" s="458" t="n">
        <v>0.9625</v>
      </c>
      <c r="CB11" s="458" t="n">
        <v>0.9496</v>
      </c>
      <c r="CC11" s="458" t="n">
        <v>0.9368</v>
      </c>
      <c r="CD11" s="458" t="n">
        <v>0.9242</v>
      </c>
      <c r="CE11" s="458" t="n">
        <v>0.9118000000000001</v>
      </c>
      <c r="CF11" s="458" t="n">
        <v>0.8995</v>
      </c>
      <c r="CG11" s="458" t="n">
        <v>0.8874</v>
      </c>
      <c r="CH11" s="459" t="n">
        <v>0.8754999999999999</v>
      </c>
      <c r="CI11" s="459" t="n">
        <v>0.8637</v>
      </c>
      <c r="CJ11" s="459" t="n">
        <v>0.8521</v>
      </c>
      <c r="CK11" s="459" t="n">
        <v>0.8406</v>
      </c>
      <c r="CL11" s="459" t="n">
        <v>0.8293</v>
      </c>
      <c r="CM11" s="459" t="n">
        <v>0.8182</v>
      </c>
      <c r="CN11" s="459" t="n">
        <v>0.8071</v>
      </c>
      <c r="CO11" s="459" t="n">
        <v>0.7963</v>
      </c>
      <c r="CP11" s="459" t="n">
        <v>0.7856</v>
      </c>
      <c r="CQ11" s="459" t="n">
        <v>0.775</v>
      </c>
      <c r="CR11" s="459" t="n">
        <v>0.7645999999999999</v>
      </c>
      <c r="CS11" s="459" t="n">
        <v>0.7543</v>
      </c>
      <c r="CT11" s="458" t="n">
        <v>0.7442</v>
      </c>
      <c r="CU11" s="458" t="n">
        <v>0.7341</v>
      </c>
      <c r="CV11" s="458" t="n">
        <v>0.7243000000000001</v>
      </c>
      <c r="CW11" s="458" t="n">
        <v>0.7145</v>
      </c>
      <c r="CX11" s="458" t="n">
        <v>0.7049</v>
      </c>
      <c r="CY11" s="458" t="n">
        <v>0.6954</v>
      </c>
      <c r="CZ11" s="458" t="n">
        <v>0.6861</v>
      </c>
      <c r="DA11" s="458" t="n">
        <v>0.6768</v>
      </c>
      <c r="DB11" s="458" t="n">
        <v>0.6677</v>
      </c>
      <c r="DC11" s="458" t="n">
        <v>0.6588000000000001</v>
      </c>
      <c r="DD11" s="458" t="n">
        <v>0.6499</v>
      </c>
      <c r="DE11" s="458" t="n">
        <v>0.6412</v>
      </c>
      <c r="DF11" s="459" t="n">
        <v>0.6325</v>
      </c>
      <c r="DG11" s="459" t="n">
        <v>0.624</v>
      </c>
      <c r="DH11" s="459" t="n">
        <v>0.6156</v>
      </c>
      <c r="DI11" s="459" t="n">
        <v>0.6073</v>
      </c>
      <c r="DJ11" s="459" t="n">
        <v>0.5992</v>
      </c>
      <c r="DK11" s="459" t="n">
        <v>0.5911</v>
      </c>
      <c r="DL11" s="459" t="n">
        <v>0.5832000000000001</v>
      </c>
      <c r="DM11" s="459" t="n">
        <v>0.5753</v>
      </c>
      <c r="DN11" s="459" t="n">
        <v>0.5676</v>
      </c>
      <c r="DO11" s="459" t="n">
        <v>0.5599</v>
      </c>
      <c r="DP11" s="459" t="n">
        <v>0.5524</v>
      </c>
      <c r="DQ11" s="459" t="n">
        <v>0.545</v>
      </c>
      <c r="DR11" s="458" t="n">
        <v>0.5376</v>
      </c>
      <c r="DS11" s="458" t="n">
        <v>0.5304</v>
      </c>
      <c r="DT11" s="458" t="n">
        <v>0.5233</v>
      </c>
      <c r="DU11" s="458" t="n">
        <v>0.5162</v>
      </c>
      <c r="DV11" s="458" t="n">
        <v>0.5093</v>
      </c>
      <c r="DW11" s="458" t="n">
        <v>0.5024</v>
      </c>
      <c r="DX11" s="458" t="n">
        <v>0.4957</v>
      </c>
      <c r="DY11" s="458" t="n">
        <v>0.489</v>
      </c>
      <c r="DZ11" s="458" t="n">
        <v>0.4824</v>
      </c>
      <c r="EA11" s="458" t="n">
        <v>0.476</v>
      </c>
      <c r="EB11" s="458" t="n">
        <v>0.4696</v>
      </c>
      <c r="EC11" s="458" t="n">
        <v>0.4632</v>
      </c>
      <c r="ED11" s="459" t="n">
        <v>0.457</v>
      </c>
      <c r="EE11" s="459" t="n">
        <v>0.4509</v>
      </c>
      <c r="EF11" s="459" t="n">
        <v>0.4448</v>
      </c>
      <c r="EG11" s="459" t="n">
        <v>0.4388</v>
      </c>
      <c r="EH11" s="459" t="n">
        <v>0.4329</v>
      </c>
      <c r="EI11" s="459" t="n">
        <v>0.4271</v>
      </c>
      <c r="EJ11" s="459" t="n">
        <v>0.4213</v>
      </c>
      <c r="EK11" s="459" t="n">
        <v>0.4157</v>
      </c>
      <c r="EL11" s="459" t="n">
        <v>0.4101</v>
      </c>
      <c r="EM11" s="459" t="n">
        <v>0.4046</v>
      </c>
      <c r="EN11" s="459" t="n">
        <v>0.3991</v>
      </c>
      <c r="EO11" s="459" t="n">
        <v>0.3937</v>
      </c>
      <c r="EP11" s="458" t="n">
        <v>0.3885</v>
      </c>
      <c r="EQ11" s="458" t="n">
        <v>0.3832</v>
      </c>
      <c r="ER11" s="458" t="n">
        <v>0.3781</v>
      </c>
      <c r="ES11" s="458" t="n">
        <v>0.373</v>
      </c>
      <c r="ET11" s="458" t="n">
        <v>0.368</v>
      </c>
      <c r="EU11" s="458" t="n">
        <v>0.363</v>
      </c>
      <c r="EV11" s="458" t="n">
        <v>0.3581</v>
      </c>
      <c r="EW11" s="458" t="n">
        <v>0.3533</v>
      </c>
      <c r="EX11" s="458" t="n">
        <v>0.3486</v>
      </c>
      <c r="EY11" s="458" t="n">
        <v>0.3439</v>
      </c>
      <c r="EZ11" s="458" t="n">
        <v>0.3393</v>
      </c>
      <c r="FA11" s="458" t="n">
        <v>0.3347</v>
      </c>
      <c r="FB11" s="459" t="n">
        <v>0.3302</v>
      </c>
      <c r="FC11" s="459" t="n">
        <v>0.3257</v>
      </c>
      <c r="FD11" s="459" t="n">
        <v>0.3214</v>
      </c>
      <c r="FE11" s="459" t="n">
        <v>0.317</v>
      </c>
      <c r="FF11" s="459" t="n">
        <v>0.3128</v>
      </c>
      <c r="FG11" s="459" t="n">
        <v>0.3086</v>
      </c>
      <c r="FH11" s="459" t="n">
        <v>0.3044</v>
      </c>
      <c r="FI11" s="459" t="n">
        <v>0.3003</v>
      </c>
      <c r="FJ11" s="459" t="n">
        <v>0.2963</v>
      </c>
      <c r="FK11" s="459" t="n">
        <v>0.2923</v>
      </c>
      <c r="FL11" s="459" t="n">
        <v>0.2884</v>
      </c>
      <c r="FM11" s="459" t="n">
        <v>0.2845</v>
      </c>
      <c r="FN11" s="458" t="n">
        <v>0.2807</v>
      </c>
      <c r="FO11" s="458" t="n">
        <v>0.2769</v>
      </c>
      <c r="FP11" s="458" t="n">
        <v>0.2732</v>
      </c>
      <c r="FQ11" s="458" t="n">
        <v>0.2695</v>
      </c>
      <c r="FR11" s="458" t="n">
        <v>0.2659</v>
      </c>
      <c r="FS11" s="458" t="n">
        <v>0.2623</v>
      </c>
      <c r="FT11" s="458" t="n">
        <v>0.2588</v>
      </c>
      <c r="FU11" s="458" t="n">
        <v>0.2553</v>
      </c>
      <c r="FV11" s="458" t="n">
        <v>0.2518</v>
      </c>
      <c r="FW11" s="458" t="n">
        <v>0.2485</v>
      </c>
      <c r="FX11" s="458" t="n">
        <v>0.2451</v>
      </c>
      <c r="FY11" s="458" t="n">
        <v>0.2418</v>
      </c>
      <c r="FZ11" s="306" t="n"/>
    </row>
    <row r="12" ht="15" customHeight="1" s="307">
      <c r="A12" s="321" t="inlineStr">
        <is>
          <t xml:space="preserve">    Deal #7</t>
        </is>
      </c>
      <c r="B12" s="458" t="n">
        <v>0</v>
      </c>
      <c r="C12" s="458" t="n">
        <v>0</v>
      </c>
      <c r="D12" s="458" t="n">
        <v>0</v>
      </c>
      <c r="E12" s="458" t="n">
        <v>0</v>
      </c>
      <c r="F12" s="458" t="n">
        <v>0</v>
      </c>
      <c r="G12" s="458" t="n">
        <v>0</v>
      </c>
      <c r="H12" s="458" t="n">
        <v>0</v>
      </c>
      <c r="I12" s="458" t="n">
        <v>0</v>
      </c>
      <c r="J12" s="458" t="n">
        <v>0</v>
      </c>
      <c r="K12" s="458" t="n">
        <v>0</v>
      </c>
      <c r="L12" s="458" t="n">
        <v>0</v>
      </c>
      <c r="M12" s="458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8" t="n">
        <v>0</v>
      </c>
      <c r="AA12" s="458" t="n">
        <v>0</v>
      </c>
      <c r="AB12" s="458" t="n">
        <v>0</v>
      </c>
      <c r="AC12" s="458" t="n">
        <v>0</v>
      </c>
      <c r="AD12" s="458" t="n">
        <v>0</v>
      </c>
      <c r="AE12" s="458" t="n">
        <v>2</v>
      </c>
      <c r="AF12" s="458" t="n">
        <v>1.9731</v>
      </c>
      <c r="AG12" s="458" t="n">
        <v>1.9466</v>
      </c>
      <c r="AH12" s="458" t="n">
        <v>1.9204</v>
      </c>
      <c r="AI12" s="458" t="n">
        <v>1.8945</v>
      </c>
      <c r="AJ12" s="458" t="n">
        <v>1.8691</v>
      </c>
      <c r="AK12" s="458" t="n">
        <v>1.8439</v>
      </c>
      <c r="AL12" s="459" t="n">
        <v>1.8191</v>
      </c>
      <c r="AM12" s="459" t="n">
        <v>1.7946</v>
      </c>
      <c r="AN12" s="459" t="n">
        <v>1.7705</v>
      </c>
      <c r="AO12" s="459" t="n">
        <v>1.7467</v>
      </c>
      <c r="AP12" s="459" t="n">
        <v>1.7232</v>
      </c>
      <c r="AQ12" s="459" t="n">
        <v>1.7</v>
      </c>
      <c r="AR12" s="459" t="n">
        <v>1.6771</v>
      </c>
      <c r="AS12" s="459" t="n">
        <v>1.6546</v>
      </c>
      <c r="AT12" s="459" t="n">
        <v>1.6323</v>
      </c>
      <c r="AU12" s="459" t="n">
        <v>1.6104</v>
      </c>
      <c r="AV12" s="459" t="n">
        <v>1.5887</v>
      </c>
      <c r="AW12" s="459" t="n">
        <v>1.5673</v>
      </c>
      <c r="AX12" s="458" t="n">
        <v>1.5462</v>
      </c>
      <c r="AY12" s="458" t="n">
        <v>1.5254</v>
      </c>
      <c r="AZ12" s="458" t="n">
        <v>1.5049</v>
      </c>
      <c r="BA12" s="458" t="n">
        <v>1.4847</v>
      </c>
      <c r="BB12" s="458" t="n">
        <v>1.4647</v>
      </c>
      <c r="BC12" s="458" t="n">
        <v>1.445</v>
      </c>
      <c r="BD12" s="458" t="n">
        <v>1.4256</v>
      </c>
      <c r="BE12" s="458" t="n">
        <v>1.4064</v>
      </c>
      <c r="BF12" s="458" t="n">
        <v>1.3875</v>
      </c>
      <c r="BG12" s="458" t="n">
        <v>1.3688</v>
      </c>
      <c r="BH12" s="458" t="n">
        <v>1.3504</v>
      </c>
      <c r="BI12" s="458" t="n">
        <v>1.3322</v>
      </c>
      <c r="BJ12" s="459" t="n">
        <v>1.3143</v>
      </c>
      <c r="BK12" s="459" t="n">
        <v>1.2966</v>
      </c>
      <c r="BL12" s="459" t="n">
        <v>1.2792</v>
      </c>
      <c r="BM12" s="459" t="n">
        <v>1.262</v>
      </c>
      <c r="BN12" s="459" t="n">
        <v>1.245</v>
      </c>
      <c r="BO12" s="459" t="n">
        <v>1.2282</v>
      </c>
      <c r="BP12" s="459" t="n">
        <v>1.2117</v>
      </c>
      <c r="BQ12" s="459" t="n">
        <v>1.1954</v>
      </c>
      <c r="BR12" s="459" t="n">
        <v>1.1793</v>
      </c>
      <c r="BS12" s="459" t="n">
        <v>1.1635</v>
      </c>
      <c r="BT12" s="459" t="n">
        <v>1.1478</v>
      </c>
      <c r="BU12" s="459" t="n">
        <v>1.1324</v>
      </c>
      <c r="BV12" s="458" t="n">
        <v>1.1172</v>
      </c>
      <c r="BW12" s="458" t="n">
        <v>1.1021</v>
      </c>
      <c r="BX12" s="458" t="n">
        <v>1.0873</v>
      </c>
      <c r="BY12" s="458" t="n">
        <v>1.0727</v>
      </c>
      <c r="BZ12" s="458" t="n">
        <v>1.0582</v>
      </c>
      <c r="CA12" s="458" t="n">
        <v>1.044</v>
      </c>
      <c r="CB12" s="458" t="n">
        <v>1.03</v>
      </c>
      <c r="CC12" s="458" t="n">
        <v>1.0161</v>
      </c>
      <c r="CD12" s="458" t="n">
        <v>1.0024</v>
      </c>
      <c r="CE12" s="458" t="n">
        <v>0.989</v>
      </c>
      <c r="CF12" s="458" t="n">
        <v>0.9757</v>
      </c>
      <c r="CG12" s="458" t="n">
        <v>0.9625</v>
      </c>
      <c r="CH12" s="459" t="n">
        <v>0.9496</v>
      </c>
      <c r="CI12" s="459" t="n">
        <v>0.9368</v>
      </c>
      <c r="CJ12" s="459" t="n">
        <v>0.9242</v>
      </c>
      <c r="CK12" s="459" t="n">
        <v>0.9118000000000001</v>
      </c>
      <c r="CL12" s="459" t="n">
        <v>0.8995</v>
      </c>
      <c r="CM12" s="459" t="n">
        <v>0.8874</v>
      </c>
      <c r="CN12" s="459" t="n">
        <v>0.8754999999999999</v>
      </c>
      <c r="CO12" s="459" t="n">
        <v>0.8637</v>
      </c>
      <c r="CP12" s="459" t="n">
        <v>0.8521</v>
      </c>
      <c r="CQ12" s="459" t="n">
        <v>0.8406</v>
      </c>
      <c r="CR12" s="459" t="n">
        <v>0.8293</v>
      </c>
      <c r="CS12" s="459" t="n">
        <v>0.8182</v>
      </c>
      <c r="CT12" s="458" t="n">
        <v>0.8071</v>
      </c>
      <c r="CU12" s="458" t="n">
        <v>0.7963</v>
      </c>
      <c r="CV12" s="458" t="n">
        <v>0.7856</v>
      </c>
      <c r="CW12" s="458" t="n">
        <v>0.775</v>
      </c>
      <c r="CX12" s="458" t="n">
        <v>0.7645999999999999</v>
      </c>
      <c r="CY12" s="458" t="n">
        <v>0.7543</v>
      </c>
      <c r="CZ12" s="458" t="n">
        <v>0.7442</v>
      </c>
      <c r="DA12" s="458" t="n">
        <v>0.7341</v>
      </c>
      <c r="DB12" s="458" t="n">
        <v>0.7243000000000001</v>
      </c>
      <c r="DC12" s="458" t="n">
        <v>0.7145</v>
      </c>
      <c r="DD12" s="458" t="n">
        <v>0.7049</v>
      </c>
      <c r="DE12" s="458" t="n">
        <v>0.6954</v>
      </c>
      <c r="DF12" s="459" t="n">
        <v>0.6861</v>
      </c>
      <c r="DG12" s="459" t="n">
        <v>0.6768</v>
      </c>
      <c r="DH12" s="459" t="n">
        <v>0.6677</v>
      </c>
      <c r="DI12" s="459" t="n">
        <v>0.6588000000000001</v>
      </c>
      <c r="DJ12" s="459" t="n">
        <v>0.6499</v>
      </c>
      <c r="DK12" s="459" t="n">
        <v>0.6412</v>
      </c>
      <c r="DL12" s="459" t="n">
        <v>0.6325</v>
      </c>
      <c r="DM12" s="459" t="n">
        <v>0.624</v>
      </c>
      <c r="DN12" s="459" t="n">
        <v>0.6156</v>
      </c>
      <c r="DO12" s="459" t="n">
        <v>0.6073</v>
      </c>
      <c r="DP12" s="459" t="n">
        <v>0.5992</v>
      </c>
      <c r="DQ12" s="459" t="n">
        <v>0.5911</v>
      </c>
      <c r="DR12" s="458" t="n">
        <v>0.5832000000000001</v>
      </c>
      <c r="DS12" s="458" t="n">
        <v>0.5753</v>
      </c>
      <c r="DT12" s="458" t="n">
        <v>0.5676</v>
      </c>
      <c r="DU12" s="458" t="n">
        <v>0.5599</v>
      </c>
      <c r="DV12" s="458" t="n">
        <v>0.5524</v>
      </c>
      <c r="DW12" s="458" t="n">
        <v>0.545</v>
      </c>
      <c r="DX12" s="458" t="n">
        <v>0.5376</v>
      </c>
      <c r="DY12" s="458" t="n">
        <v>0.5304</v>
      </c>
      <c r="DZ12" s="458" t="n">
        <v>0.5233</v>
      </c>
      <c r="EA12" s="458" t="n">
        <v>0.5162</v>
      </c>
      <c r="EB12" s="458" t="n">
        <v>0.5093</v>
      </c>
      <c r="EC12" s="458" t="n">
        <v>0.5024</v>
      </c>
      <c r="ED12" s="459" t="n">
        <v>0.4957</v>
      </c>
      <c r="EE12" s="459" t="n">
        <v>0.489</v>
      </c>
      <c r="EF12" s="459" t="n">
        <v>0.4824</v>
      </c>
      <c r="EG12" s="459" t="n">
        <v>0.476</v>
      </c>
      <c r="EH12" s="459" t="n">
        <v>0.4696</v>
      </c>
      <c r="EI12" s="459" t="n">
        <v>0.4632</v>
      </c>
      <c r="EJ12" s="459" t="n">
        <v>0.457</v>
      </c>
      <c r="EK12" s="459" t="n">
        <v>0.4509</v>
      </c>
      <c r="EL12" s="459" t="n">
        <v>0.4448</v>
      </c>
      <c r="EM12" s="459" t="n">
        <v>0.4388</v>
      </c>
      <c r="EN12" s="459" t="n">
        <v>0.4329</v>
      </c>
      <c r="EO12" s="459" t="n">
        <v>0.4271</v>
      </c>
      <c r="EP12" s="458" t="n">
        <v>0.4213</v>
      </c>
      <c r="EQ12" s="458" t="n">
        <v>0.4157</v>
      </c>
      <c r="ER12" s="458" t="n">
        <v>0.4101</v>
      </c>
      <c r="ES12" s="458" t="n">
        <v>0.4046</v>
      </c>
      <c r="ET12" s="458" t="n">
        <v>0.3991</v>
      </c>
      <c r="EU12" s="458" t="n">
        <v>0.3937</v>
      </c>
      <c r="EV12" s="458" t="n">
        <v>0.3885</v>
      </c>
      <c r="EW12" s="458" t="n">
        <v>0.3832</v>
      </c>
      <c r="EX12" s="458" t="n">
        <v>0.3781</v>
      </c>
      <c r="EY12" s="458" t="n">
        <v>0.373</v>
      </c>
      <c r="EZ12" s="458" t="n">
        <v>0.368</v>
      </c>
      <c r="FA12" s="458" t="n">
        <v>0.363</v>
      </c>
      <c r="FB12" s="459" t="n">
        <v>0.3581</v>
      </c>
      <c r="FC12" s="459" t="n">
        <v>0.3533</v>
      </c>
      <c r="FD12" s="459" t="n">
        <v>0.3486</v>
      </c>
      <c r="FE12" s="459" t="n">
        <v>0.3439</v>
      </c>
      <c r="FF12" s="459" t="n">
        <v>0.3393</v>
      </c>
      <c r="FG12" s="459" t="n">
        <v>0.3347</v>
      </c>
      <c r="FH12" s="459" t="n">
        <v>0.3302</v>
      </c>
      <c r="FI12" s="459" t="n">
        <v>0.3257</v>
      </c>
      <c r="FJ12" s="459" t="n">
        <v>0.3214</v>
      </c>
      <c r="FK12" s="459" t="n">
        <v>0.317</v>
      </c>
      <c r="FL12" s="459" t="n">
        <v>0.3128</v>
      </c>
      <c r="FM12" s="459" t="n">
        <v>0.3086</v>
      </c>
      <c r="FN12" s="458" t="n">
        <v>0.3044</v>
      </c>
      <c r="FO12" s="458" t="n">
        <v>0.3003</v>
      </c>
      <c r="FP12" s="458" t="n">
        <v>0.2963</v>
      </c>
      <c r="FQ12" s="458" t="n">
        <v>0.2923</v>
      </c>
      <c r="FR12" s="458" t="n">
        <v>0.2884</v>
      </c>
      <c r="FS12" s="458" t="n">
        <v>0.2845</v>
      </c>
      <c r="FT12" s="458" t="n">
        <v>0.2807</v>
      </c>
      <c r="FU12" s="458" t="n">
        <v>0.2769</v>
      </c>
      <c r="FV12" s="458" t="n">
        <v>0.2732</v>
      </c>
      <c r="FW12" s="458" t="n">
        <v>0.2695</v>
      </c>
      <c r="FX12" s="458" t="n">
        <v>0.2659</v>
      </c>
      <c r="FY12" s="458" t="n">
        <v>0.2623</v>
      </c>
      <c r="FZ12" s="306" t="n"/>
    </row>
    <row r="13" ht="15" customHeight="1" s="307">
      <c r="A13" s="321" t="inlineStr">
        <is>
          <t xml:space="preserve">    Deal #8</t>
        </is>
      </c>
      <c r="B13" s="458" t="n">
        <v>0</v>
      </c>
      <c r="C13" s="458" t="n">
        <v>0</v>
      </c>
      <c r="D13" s="458" t="n">
        <v>0</v>
      </c>
      <c r="E13" s="458" t="n">
        <v>0</v>
      </c>
      <c r="F13" s="458" t="n">
        <v>0</v>
      </c>
      <c r="G13" s="458" t="n">
        <v>0</v>
      </c>
      <c r="H13" s="458" t="n">
        <v>0</v>
      </c>
      <c r="I13" s="458" t="n">
        <v>0</v>
      </c>
      <c r="J13" s="458" t="n">
        <v>0</v>
      </c>
      <c r="K13" s="458" t="n">
        <v>0</v>
      </c>
      <c r="L13" s="458" t="n">
        <v>0</v>
      </c>
      <c r="M13" s="458" t="n">
        <v>0</v>
      </c>
      <c r="N13" s="459" t="n">
        <v>0</v>
      </c>
      <c r="O13" s="459" t="n">
        <v>0</v>
      </c>
      <c r="P13" s="459" t="n">
        <v>0</v>
      </c>
      <c r="Q13" s="459" t="n">
        <v>0</v>
      </c>
      <c r="R13" s="459" t="n">
        <v>0</v>
      </c>
      <c r="S13" s="459" t="n">
        <v>0</v>
      </c>
      <c r="T13" s="459" t="n">
        <v>0</v>
      </c>
      <c r="U13" s="459" t="n">
        <v>0</v>
      </c>
      <c r="V13" s="459" t="n">
        <v>0</v>
      </c>
      <c r="W13" s="459" t="n">
        <v>0</v>
      </c>
      <c r="X13" s="459" t="n">
        <v>0</v>
      </c>
      <c r="Y13" s="459" t="n">
        <v>0</v>
      </c>
      <c r="Z13" s="458" t="n">
        <v>0</v>
      </c>
      <c r="AA13" s="458" t="n">
        <v>0</v>
      </c>
      <c r="AB13" s="458" t="n">
        <v>0</v>
      </c>
      <c r="AC13" s="458" t="n">
        <v>0</v>
      </c>
      <c r="AD13" s="458" t="n">
        <v>0</v>
      </c>
      <c r="AE13" s="458" t="n">
        <v>0</v>
      </c>
      <c r="AF13" s="458" t="n">
        <v>0</v>
      </c>
      <c r="AG13" s="458" t="n">
        <v>0</v>
      </c>
      <c r="AH13" s="458" t="n">
        <v>0</v>
      </c>
      <c r="AI13" s="458" t="n">
        <v>0</v>
      </c>
      <c r="AJ13" s="458" t="n">
        <v>0</v>
      </c>
      <c r="AK13" s="458" t="n">
        <v>2</v>
      </c>
      <c r="AL13" s="459" t="n">
        <v>1.9731</v>
      </c>
      <c r="AM13" s="459" t="n">
        <v>1.9466</v>
      </c>
      <c r="AN13" s="459" t="n">
        <v>1.9204</v>
      </c>
      <c r="AO13" s="459" t="n">
        <v>1.8945</v>
      </c>
      <c r="AP13" s="459" t="n">
        <v>1.8691</v>
      </c>
      <c r="AQ13" s="459" t="n">
        <v>1.8439</v>
      </c>
      <c r="AR13" s="459" t="n">
        <v>1.8191</v>
      </c>
      <c r="AS13" s="459" t="n">
        <v>1.7946</v>
      </c>
      <c r="AT13" s="459" t="n">
        <v>1.7705</v>
      </c>
      <c r="AU13" s="459" t="n">
        <v>1.7467</v>
      </c>
      <c r="AV13" s="459" t="n">
        <v>1.7232</v>
      </c>
      <c r="AW13" s="459" t="n">
        <v>1.7</v>
      </c>
      <c r="AX13" s="458" t="n">
        <v>1.6771</v>
      </c>
      <c r="AY13" s="458" t="n">
        <v>1.6546</v>
      </c>
      <c r="AZ13" s="458" t="n">
        <v>1.6323</v>
      </c>
      <c r="BA13" s="458" t="n">
        <v>1.6104</v>
      </c>
      <c r="BB13" s="458" t="n">
        <v>1.5887</v>
      </c>
      <c r="BC13" s="458" t="n">
        <v>1.5673</v>
      </c>
      <c r="BD13" s="458" t="n">
        <v>1.5462</v>
      </c>
      <c r="BE13" s="458" t="n">
        <v>1.5254</v>
      </c>
      <c r="BF13" s="458" t="n">
        <v>1.5049</v>
      </c>
      <c r="BG13" s="458" t="n">
        <v>1.4847</v>
      </c>
      <c r="BH13" s="458" t="n">
        <v>1.4647</v>
      </c>
      <c r="BI13" s="458" t="n">
        <v>1.445</v>
      </c>
      <c r="BJ13" s="459" t="n">
        <v>1.4256</v>
      </c>
      <c r="BK13" s="459" t="n">
        <v>1.4064</v>
      </c>
      <c r="BL13" s="459" t="n">
        <v>1.3875</v>
      </c>
      <c r="BM13" s="459" t="n">
        <v>1.3688</v>
      </c>
      <c r="BN13" s="459" t="n">
        <v>1.3504</v>
      </c>
      <c r="BO13" s="459" t="n">
        <v>1.3322</v>
      </c>
      <c r="BP13" s="459" t="n">
        <v>1.3143</v>
      </c>
      <c r="BQ13" s="459" t="n">
        <v>1.2966</v>
      </c>
      <c r="BR13" s="459" t="n">
        <v>1.2792</v>
      </c>
      <c r="BS13" s="459" t="n">
        <v>1.262</v>
      </c>
      <c r="BT13" s="459" t="n">
        <v>1.245</v>
      </c>
      <c r="BU13" s="459" t="n">
        <v>1.2282</v>
      </c>
      <c r="BV13" s="458" t="n">
        <v>1.2117</v>
      </c>
      <c r="BW13" s="458" t="n">
        <v>1.1954</v>
      </c>
      <c r="BX13" s="458" t="n">
        <v>1.1793</v>
      </c>
      <c r="BY13" s="458" t="n">
        <v>1.1635</v>
      </c>
      <c r="BZ13" s="458" t="n">
        <v>1.1478</v>
      </c>
      <c r="CA13" s="458" t="n">
        <v>1.1324</v>
      </c>
      <c r="CB13" s="458" t="n">
        <v>1.1172</v>
      </c>
      <c r="CC13" s="458" t="n">
        <v>1.1021</v>
      </c>
      <c r="CD13" s="458" t="n">
        <v>1.0873</v>
      </c>
      <c r="CE13" s="458" t="n">
        <v>1.0727</v>
      </c>
      <c r="CF13" s="458" t="n">
        <v>1.0582</v>
      </c>
      <c r="CG13" s="458" t="n">
        <v>1.044</v>
      </c>
      <c r="CH13" s="459" t="n">
        <v>1.03</v>
      </c>
      <c r="CI13" s="459" t="n">
        <v>1.0161</v>
      </c>
      <c r="CJ13" s="459" t="n">
        <v>1.0024</v>
      </c>
      <c r="CK13" s="459" t="n">
        <v>0.989</v>
      </c>
      <c r="CL13" s="459" t="n">
        <v>0.9757</v>
      </c>
      <c r="CM13" s="459" t="n">
        <v>0.9625</v>
      </c>
      <c r="CN13" s="459" t="n">
        <v>0.9496</v>
      </c>
      <c r="CO13" s="459" t="n">
        <v>0.9368</v>
      </c>
      <c r="CP13" s="459" t="n">
        <v>0.9242</v>
      </c>
      <c r="CQ13" s="459" t="n">
        <v>0.9118000000000001</v>
      </c>
      <c r="CR13" s="459" t="n">
        <v>0.8995</v>
      </c>
      <c r="CS13" s="459" t="n">
        <v>0.8874</v>
      </c>
      <c r="CT13" s="458" t="n">
        <v>0.8754999999999999</v>
      </c>
      <c r="CU13" s="458" t="n">
        <v>0.8637</v>
      </c>
      <c r="CV13" s="458" t="n">
        <v>0.8521</v>
      </c>
      <c r="CW13" s="458" t="n">
        <v>0.8406</v>
      </c>
      <c r="CX13" s="458" t="n">
        <v>0.8293</v>
      </c>
      <c r="CY13" s="458" t="n">
        <v>0.8182</v>
      </c>
      <c r="CZ13" s="458" t="n">
        <v>0.8071</v>
      </c>
      <c r="DA13" s="458" t="n">
        <v>0.7963</v>
      </c>
      <c r="DB13" s="458" t="n">
        <v>0.7856</v>
      </c>
      <c r="DC13" s="458" t="n">
        <v>0.775</v>
      </c>
      <c r="DD13" s="458" t="n">
        <v>0.7645999999999999</v>
      </c>
      <c r="DE13" s="458" t="n">
        <v>0.7543</v>
      </c>
      <c r="DF13" s="459" t="n">
        <v>0.7442</v>
      </c>
      <c r="DG13" s="459" t="n">
        <v>0.7341</v>
      </c>
      <c r="DH13" s="459" t="n">
        <v>0.7243000000000001</v>
      </c>
      <c r="DI13" s="459" t="n">
        <v>0.7145</v>
      </c>
      <c r="DJ13" s="459" t="n">
        <v>0.7049</v>
      </c>
      <c r="DK13" s="459" t="n">
        <v>0.6954</v>
      </c>
      <c r="DL13" s="459" t="n">
        <v>0.6861</v>
      </c>
      <c r="DM13" s="459" t="n">
        <v>0.6768</v>
      </c>
      <c r="DN13" s="459" t="n">
        <v>0.6677</v>
      </c>
      <c r="DO13" s="459" t="n">
        <v>0.6588000000000001</v>
      </c>
      <c r="DP13" s="459" t="n">
        <v>0.6499</v>
      </c>
      <c r="DQ13" s="459" t="n">
        <v>0.6412</v>
      </c>
      <c r="DR13" s="458" t="n">
        <v>0.6325</v>
      </c>
      <c r="DS13" s="458" t="n">
        <v>0.624</v>
      </c>
      <c r="DT13" s="458" t="n">
        <v>0.6156</v>
      </c>
      <c r="DU13" s="458" t="n">
        <v>0.6073</v>
      </c>
      <c r="DV13" s="458" t="n">
        <v>0.5992</v>
      </c>
      <c r="DW13" s="458" t="n">
        <v>0.5911</v>
      </c>
      <c r="DX13" s="458" t="n">
        <v>0.5832000000000001</v>
      </c>
      <c r="DY13" s="458" t="n">
        <v>0.5753</v>
      </c>
      <c r="DZ13" s="458" t="n">
        <v>0.5676</v>
      </c>
      <c r="EA13" s="458" t="n">
        <v>0.5599</v>
      </c>
      <c r="EB13" s="458" t="n">
        <v>0.5524</v>
      </c>
      <c r="EC13" s="458" t="n">
        <v>0.545</v>
      </c>
      <c r="ED13" s="459" t="n">
        <v>0.5376</v>
      </c>
      <c r="EE13" s="459" t="n">
        <v>0.5304</v>
      </c>
      <c r="EF13" s="459" t="n">
        <v>0.5233</v>
      </c>
      <c r="EG13" s="459" t="n">
        <v>0.5162</v>
      </c>
      <c r="EH13" s="459" t="n">
        <v>0.5093</v>
      </c>
      <c r="EI13" s="459" t="n">
        <v>0.5024</v>
      </c>
      <c r="EJ13" s="459" t="n">
        <v>0.4957</v>
      </c>
      <c r="EK13" s="459" t="n">
        <v>0.489</v>
      </c>
      <c r="EL13" s="459" t="n">
        <v>0.4824</v>
      </c>
      <c r="EM13" s="459" t="n">
        <v>0.476</v>
      </c>
      <c r="EN13" s="459" t="n">
        <v>0.4696</v>
      </c>
      <c r="EO13" s="459" t="n">
        <v>0.4632</v>
      </c>
      <c r="EP13" s="458" t="n">
        <v>0.457</v>
      </c>
      <c r="EQ13" s="458" t="n">
        <v>0.4509</v>
      </c>
      <c r="ER13" s="458" t="n">
        <v>0.4448</v>
      </c>
      <c r="ES13" s="458" t="n">
        <v>0.4388</v>
      </c>
      <c r="ET13" s="458" t="n">
        <v>0.4329</v>
      </c>
      <c r="EU13" s="458" t="n">
        <v>0.4271</v>
      </c>
      <c r="EV13" s="458" t="n">
        <v>0.4213</v>
      </c>
      <c r="EW13" s="458" t="n">
        <v>0.4157</v>
      </c>
      <c r="EX13" s="458" t="n">
        <v>0.4101</v>
      </c>
      <c r="EY13" s="458" t="n">
        <v>0.4046</v>
      </c>
      <c r="EZ13" s="458" t="n">
        <v>0.3991</v>
      </c>
      <c r="FA13" s="458" t="n">
        <v>0.3937</v>
      </c>
      <c r="FB13" s="459" t="n">
        <v>0.3885</v>
      </c>
      <c r="FC13" s="459" t="n">
        <v>0.3832</v>
      </c>
      <c r="FD13" s="459" t="n">
        <v>0.3781</v>
      </c>
      <c r="FE13" s="459" t="n">
        <v>0.373</v>
      </c>
      <c r="FF13" s="459" t="n">
        <v>0.368</v>
      </c>
      <c r="FG13" s="459" t="n">
        <v>0.363</v>
      </c>
      <c r="FH13" s="459" t="n">
        <v>0.3581</v>
      </c>
      <c r="FI13" s="459" t="n">
        <v>0.3533</v>
      </c>
      <c r="FJ13" s="459" t="n">
        <v>0.3486</v>
      </c>
      <c r="FK13" s="459" t="n">
        <v>0.3439</v>
      </c>
      <c r="FL13" s="459" t="n">
        <v>0.3393</v>
      </c>
      <c r="FM13" s="459" t="n">
        <v>0.3347</v>
      </c>
      <c r="FN13" s="458" t="n">
        <v>0.3302</v>
      </c>
      <c r="FO13" s="458" t="n">
        <v>0.3257</v>
      </c>
      <c r="FP13" s="458" t="n">
        <v>0.3214</v>
      </c>
      <c r="FQ13" s="458" t="n">
        <v>0.317</v>
      </c>
      <c r="FR13" s="458" t="n">
        <v>0.3128</v>
      </c>
      <c r="FS13" s="458" t="n">
        <v>0.3086</v>
      </c>
      <c r="FT13" s="458" t="n">
        <v>0.3044</v>
      </c>
      <c r="FU13" s="458" t="n">
        <v>0.3003</v>
      </c>
      <c r="FV13" s="458" t="n">
        <v>0.2963</v>
      </c>
      <c r="FW13" s="458" t="n">
        <v>0.2923</v>
      </c>
      <c r="FX13" s="458" t="n">
        <v>0.2884</v>
      </c>
      <c r="FY13" s="458" t="n">
        <v>0.2845</v>
      </c>
      <c r="FZ13" s="306" t="n"/>
    </row>
    <row r="14" ht="15" customHeight="1" s="307">
      <c r="A14" s="321" t="n"/>
      <c r="B14" s="459" t="n"/>
      <c r="C14" s="459" t="n"/>
      <c r="D14" s="459" t="n"/>
      <c r="E14" s="459" t="n"/>
      <c r="F14" s="459" t="n"/>
      <c r="G14" s="459" t="n"/>
      <c r="H14" s="459" t="n"/>
      <c r="I14" s="459" t="n"/>
      <c r="J14" s="459" t="n"/>
      <c r="K14" s="459" t="n"/>
      <c r="L14" s="459" t="n"/>
      <c r="M14" s="459" t="n"/>
      <c r="N14" s="459" t="n"/>
      <c r="O14" s="459" t="n"/>
      <c r="P14" s="459" t="n"/>
      <c r="Q14" s="459" t="n"/>
      <c r="R14" s="459" t="n"/>
      <c r="S14" s="459" t="n"/>
      <c r="T14" s="459" t="n"/>
      <c r="U14" s="459" t="n"/>
      <c r="V14" s="459" t="n"/>
      <c r="W14" s="459" t="n"/>
      <c r="X14" s="459" t="n"/>
      <c r="Y14" s="459" t="n"/>
      <c r="Z14" s="459" t="n"/>
      <c r="AA14" s="459" t="n"/>
      <c r="AB14" s="459" t="n"/>
      <c r="AC14" s="459" t="n"/>
      <c r="AD14" s="459" t="n"/>
      <c r="AE14" s="459" t="n"/>
      <c r="AF14" s="459" t="n"/>
      <c r="AG14" s="459" t="n"/>
      <c r="AH14" s="459" t="n"/>
      <c r="AI14" s="459" t="n"/>
      <c r="AJ14" s="459" t="n"/>
      <c r="AK14" s="459" t="n"/>
      <c r="AL14" s="459" t="n"/>
      <c r="AM14" s="459" t="n"/>
      <c r="AN14" s="459" t="n"/>
      <c r="AO14" s="459" t="n"/>
      <c r="AP14" s="459" t="n"/>
      <c r="AQ14" s="459" t="n"/>
      <c r="AR14" s="459" t="n"/>
      <c r="AS14" s="459" t="n"/>
      <c r="AT14" s="459" t="n"/>
      <c r="AU14" s="459" t="n"/>
      <c r="AV14" s="459" t="n"/>
      <c r="AW14" s="459" t="n"/>
      <c r="AX14" s="459" t="n"/>
      <c r="AY14" s="459" t="n"/>
      <c r="AZ14" s="459" t="n"/>
      <c r="BA14" s="459" t="n"/>
      <c r="BB14" s="459" t="n"/>
      <c r="BC14" s="459" t="n"/>
      <c r="BD14" s="459" t="n"/>
      <c r="BE14" s="459" t="n"/>
      <c r="BF14" s="459" t="n"/>
      <c r="BG14" s="459" t="n"/>
      <c r="BH14" s="459" t="n"/>
      <c r="BI14" s="459" t="n"/>
      <c r="BJ14" s="459" t="n"/>
      <c r="BK14" s="459" t="n"/>
      <c r="BL14" s="459" t="n"/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59" t="n"/>
      <c r="CC14" s="459" t="n"/>
      <c r="CD14" s="459" t="n"/>
      <c r="CE14" s="459" t="n"/>
      <c r="CF14" s="459" t="n"/>
      <c r="CG14" s="459" t="n"/>
      <c r="CH14" s="459" t="n"/>
      <c r="CI14" s="459" t="n"/>
      <c r="CJ14" s="459" t="n"/>
      <c r="CK14" s="459" t="n"/>
      <c r="CL14" s="459" t="n"/>
      <c r="CM14" s="459" t="n"/>
      <c r="CN14" s="459" t="n"/>
      <c r="CO14" s="459" t="n"/>
      <c r="CP14" s="459" t="n"/>
      <c r="CQ14" s="459" t="n"/>
      <c r="CR14" s="459" t="n"/>
      <c r="CS14" s="459" t="n"/>
      <c r="CT14" s="459" t="n"/>
      <c r="CU14" s="459" t="n"/>
      <c r="CV14" s="459" t="n"/>
      <c r="CW14" s="459" t="n"/>
      <c r="CX14" s="459" t="n"/>
      <c r="CY14" s="459" t="n"/>
      <c r="CZ14" s="459" t="n"/>
      <c r="DA14" s="459" t="n"/>
      <c r="DB14" s="459" t="n"/>
      <c r="DC14" s="459" t="n"/>
      <c r="DD14" s="459" t="n"/>
      <c r="DE14" s="459" t="n"/>
      <c r="DF14" s="459" t="n"/>
      <c r="DG14" s="459" t="n"/>
      <c r="DH14" s="459" t="n"/>
      <c r="DI14" s="459" t="n"/>
      <c r="DJ14" s="459" t="n"/>
      <c r="DK14" s="459" t="n"/>
      <c r="DL14" s="459" t="n"/>
      <c r="DM14" s="459" t="n"/>
      <c r="DN14" s="459" t="n"/>
      <c r="DO14" s="459" t="n"/>
      <c r="DP14" s="459" t="n"/>
      <c r="DQ14" s="459" t="n"/>
      <c r="DR14" s="459" t="n"/>
      <c r="DS14" s="459" t="n"/>
      <c r="DT14" s="459" t="n"/>
      <c r="DU14" s="459" t="n"/>
      <c r="DV14" s="459" t="n"/>
      <c r="DW14" s="459" t="n"/>
      <c r="DX14" s="459" t="n"/>
      <c r="DY14" s="459" t="n"/>
      <c r="DZ14" s="459" t="n"/>
      <c r="EA14" s="459" t="n"/>
      <c r="EB14" s="459" t="n"/>
      <c r="EC14" s="459" t="n"/>
      <c r="ED14" s="459" t="n"/>
      <c r="EE14" s="459" t="n"/>
      <c r="EF14" s="459" t="n"/>
      <c r="EG14" s="459" t="n"/>
      <c r="EH14" s="459" t="n"/>
      <c r="EI14" s="459" t="n"/>
      <c r="EJ14" s="459" t="n"/>
      <c r="EK14" s="459" t="n"/>
      <c r="EL14" s="459" t="n"/>
      <c r="EM14" s="459" t="n"/>
      <c r="EN14" s="459" t="n"/>
      <c r="EO14" s="459" t="n"/>
      <c r="EP14" s="459" t="n"/>
      <c r="EQ14" s="459" t="n"/>
      <c r="ER14" s="459" t="n"/>
      <c r="ES14" s="459" t="n"/>
      <c r="ET14" s="459" t="n"/>
      <c r="EU14" s="459" t="n"/>
      <c r="EV14" s="459" t="n"/>
      <c r="EW14" s="459" t="n"/>
      <c r="EX14" s="459" t="n"/>
      <c r="EY14" s="459" t="n"/>
      <c r="EZ14" s="459" t="n"/>
      <c r="FA14" s="459" t="n"/>
      <c r="FB14" s="459" t="n"/>
      <c r="FC14" s="459" t="n"/>
      <c r="FD14" s="459" t="n"/>
      <c r="FE14" s="459" t="n"/>
      <c r="FF14" s="459" t="n"/>
      <c r="FG14" s="459" t="n"/>
      <c r="FH14" s="459" t="n"/>
      <c r="FI14" s="459" t="n"/>
      <c r="FJ14" s="459" t="n"/>
      <c r="FK14" s="459" t="n"/>
      <c r="FL14" s="459" t="n"/>
      <c r="FM14" s="459" t="n"/>
      <c r="FN14" s="459" t="n"/>
      <c r="FO14" s="459" t="n"/>
      <c r="FP14" s="459" t="n"/>
      <c r="FQ14" s="459" t="n"/>
      <c r="FR14" s="459" t="n"/>
      <c r="FS14" s="459" t="n"/>
      <c r="FT14" s="459" t="n"/>
      <c r="FU14" s="459" t="n"/>
      <c r="FV14" s="459" t="n"/>
      <c r="FW14" s="459" t="n"/>
      <c r="FX14" s="459" t="n"/>
      <c r="FY14" s="459" t="n"/>
      <c r="FZ14" s="306" t="n"/>
    </row>
    <row r="15" ht="15" customHeight="1" s="307">
      <c r="A15" s="325" t="inlineStr">
        <is>
          <t>Portfolio P&amp;L</t>
        </is>
      </c>
      <c r="B15" s="457" t="n"/>
      <c r="C15" s="457" t="n"/>
      <c r="D15" s="457" t="n"/>
      <c r="E15" s="457" t="n"/>
      <c r="F15" s="457" t="n"/>
      <c r="G15" s="457" t="n"/>
      <c r="H15" s="457" t="n"/>
      <c r="I15" s="457" t="n"/>
      <c r="J15" s="457" t="n"/>
      <c r="K15" s="457" t="n"/>
      <c r="L15" s="457" t="n"/>
      <c r="M15" s="457" t="n"/>
      <c r="N15" s="457" t="n"/>
      <c r="O15" s="457" t="n"/>
      <c r="P15" s="457" t="n"/>
      <c r="Q15" s="457" t="n"/>
      <c r="R15" s="457" t="n"/>
      <c r="S15" s="457" t="n"/>
      <c r="T15" s="457" t="n"/>
      <c r="U15" s="457" t="n"/>
      <c r="V15" s="457" t="n"/>
      <c r="W15" s="457" t="n"/>
      <c r="X15" s="457" t="n"/>
      <c r="Y15" s="457" t="n"/>
      <c r="Z15" s="457" t="n"/>
      <c r="AA15" s="457" t="n"/>
      <c r="AB15" s="457" t="n"/>
      <c r="AC15" s="457" t="n"/>
      <c r="AD15" s="457" t="n"/>
      <c r="AE15" s="457" t="n"/>
      <c r="AF15" s="457" t="n"/>
      <c r="AG15" s="457" t="n"/>
      <c r="AH15" s="457" t="n"/>
      <c r="AI15" s="457" t="n"/>
      <c r="AJ15" s="457" t="n"/>
      <c r="AK15" s="457" t="n"/>
      <c r="AL15" s="457" t="n"/>
      <c r="AM15" s="457" t="n"/>
      <c r="AN15" s="457" t="n"/>
      <c r="AO15" s="457" t="n"/>
      <c r="AP15" s="457" t="n"/>
      <c r="AQ15" s="457" t="n"/>
      <c r="AR15" s="457" t="n"/>
      <c r="AS15" s="457" t="n"/>
      <c r="AT15" s="457" t="n"/>
      <c r="AU15" s="457" t="n"/>
      <c r="AV15" s="457" t="n"/>
      <c r="AW15" s="457" t="n"/>
      <c r="AX15" s="457" t="n"/>
      <c r="AY15" s="457" t="n"/>
      <c r="AZ15" s="457" t="n"/>
      <c r="BA15" s="457" t="n"/>
      <c r="BB15" s="457" t="n"/>
      <c r="BC15" s="457" t="n"/>
      <c r="BD15" s="457" t="n"/>
      <c r="BE15" s="457" t="n"/>
      <c r="BF15" s="457" t="n"/>
      <c r="BG15" s="457" t="n"/>
      <c r="BH15" s="457" t="n"/>
      <c r="BI15" s="457" t="n"/>
      <c r="BJ15" s="457" t="n"/>
      <c r="BK15" s="457" t="n"/>
      <c r="BL15" s="457" t="n"/>
      <c r="BM15" s="457" t="n"/>
      <c r="BN15" s="457" t="n"/>
      <c r="BO15" s="457" t="n"/>
      <c r="BP15" s="457" t="n"/>
      <c r="BQ15" s="457" t="n"/>
      <c r="BR15" s="457" t="n"/>
      <c r="BS15" s="457" t="n"/>
      <c r="BT15" s="457" t="n"/>
      <c r="BU15" s="457" t="n"/>
      <c r="BV15" s="457" t="n"/>
      <c r="BW15" s="457" t="n"/>
      <c r="BX15" s="457" t="n"/>
      <c r="BY15" s="457" t="n"/>
      <c r="BZ15" s="457" t="n"/>
      <c r="CA15" s="457" t="n"/>
      <c r="CB15" s="457" t="n"/>
      <c r="CC15" s="457" t="n"/>
      <c r="CD15" s="457" t="n"/>
      <c r="CE15" s="457" t="n"/>
      <c r="CF15" s="457" t="n"/>
      <c r="CG15" s="457" t="n"/>
      <c r="CH15" s="457" t="n"/>
      <c r="CI15" s="457" t="n"/>
      <c r="CJ15" s="457" t="n"/>
      <c r="CK15" s="457" t="n"/>
      <c r="CL15" s="457" t="n"/>
      <c r="CM15" s="457" t="n"/>
      <c r="CN15" s="457" t="n"/>
      <c r="CO15" s="457" t="n"/>
      <c r="CP15" s="457" t="n"/>
      <c r="CQ15" s="457" t="n"/>
      <c r="CR15" s="457" t="n"/>
      <c r="CS15" s="457" t="n"/>
      <c r="CT15" s="457" t="n"/>
      <c r="CU15" s="457" t="n"/>
      <c r="CV15" s="457" t="n"/>
      <c r="CW15" s="457" t="n"/>
      <c r="CX15" s="457" t="n"/>
      <c r="CY15" s="457" t="n"/>
      <c r="CZ15" s="457" t="n"/>
      <c r="DA15" s="457" t="n"/>
      <c r="DB15" s="457" t="n"/>
      <c r="DC15" s="457" t="n"/>
      <c r="DD15" s="457" t="n"/>
      <c r="DE15" s="457" t="n"/>
      <c r="DF15" s="457" t="n"/>
      <c r="DG15" s="457" t="n"/>
      <c r="DH15" s="457" t="n"/>
      <c r="DI15" s="457" t="n"/>
      <c r="DJ15" s="457" t="n"/>
      <c r="DK15" s="457" t="n"/>
      <c r="DL15" s="457" t="n"/>
      <c r="DM15" s="457" t="n"/>
      <c r="DN15" s="457" t="n"/>
      <c r="DO15" s="457" t="n"/>
      <c r="DP15" s="457" t="n"/>
      <c r="DQ15" s="457" t="n"/>
      <c r="DR15" s="457" t="n"/>
      <c r="DS15" s="457" t="n"/>
      <c r="DT15" s="457" t="n"/>
      <c r="DU15" s="457" t="n"/>
      <c r="DV15" s="457" t="n"/>
      <c r="DW15" s="457" t="n"/>
      <c r="DX15" s="457" t="n"/>
      <c r="DY15" s="457" t="n"/>
      <c r="DZ15" s="457" t="n"/>
      <c r="EA15" s="457" t="n"/>
      <c r="EB15" s="457" t="n"/>
      <c r="EC15" s="457" t="n"/>
      <c r="ED15" s="457" t="n"/>
      <c r="EE15" s="457" t="n"/>
      <c r="EF15" s="457" t="n"/>
      <c r="EG15" s="457" t="n"/>
      <c r="EH15" s="457" t="n"/>
      <c r="EI15" s="457" t="n"/>
      <c r="EJ15" s="457" t="n"/>
      <c r="EK15" s="457" t="n"/>
      <c r="EL15" s="457" t="n"/>
      <c r="EM15" s="457" t="n"/>
      <c r="EN15" s="457" t="n"/>
      <c r="EO15" s="457" t="n"/>
      <c r="EP15" s="457" t="n"/>
      <c r="EQ15" s="457" t="n"/>
      <c r="ER15" s="457" t="n"/>
      <c r="ES15" s="457" t="n"/>
      <c r="ET15" s="457" t="n"/>
      <c r="EU15" s="457" t="n"/>
      <c r="EV15" s="457" t="n"/>
      <c r="EW15" s="457" t="n"/>
      <c r="EX15" s="457" t="n"/>
      <c r="EY15" s="457" t="n"/>
      <c r="EZ15" s="457" t="n"/>
      <c r="FA15" s="457" t="n"/>
      <c r="FB15" s="457" t="n"/>
      <c r="FC15" s="457" t="n"/>
      <c r="FD15" s="457" t="n"/>
      <c r="FE15" s="457" t="n"/>
      <c r="FF15" s="457" t="n"/>
      <c r="FG15" s="457" t="n"/>
      <c r="FH15" s="457" t="n"/>
      <c r="FI15" s="457" t="n"/>
      <c r="FJ15" s="457" t="n"/>
      <c r="FK15" s="457" t="n"/>
      <c r="FL15" s="457" t="n"/>
      <c r="FM15" s="457" t="n"/>
      <c r="FN15" s="457" t="n"/>
      <c r="FO15" s="457" t="n"/>
      <c r="FP15" s="457" t="n"/>
      <c r="FQ15" s="457" t="n"/>
      <c r="FR15" s="457" t="n"/>
      <c r="FS15" s="457" t="n"/>
      <c r="FT15" s="457" t="n"/>
      <c r="FU15" s="457" t="n"/>
      <c r="FV15" s="457" t="n"/>
      <c r="FW15" s="457" t="n"/>
      <c r="FX15" s="457" t="n"/>
      <c r="FY15" s="457" t="n"/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 t="n">
        <v>0</v>
      </c>
      <c r="C17" s="458" t="n">
        <v>0</v>
      </c>
      <c r="D17" s="458" t="n">
        <v>0</v>
      </c>
      <c r="E17" s="458" t="n">
        <v>0.5333</v>
      </c>
      <c r="F17" s="458" t="n">
        <v>0.4735</v>
      </c>
      <c r="G17" s="458" t="n">
        <v>0.4153</v>
      </c>
      <c r="H17" s="458" t="n">
        <v>0.9251</v>
      </c>
      <c r="I17" s="458" t="n">
        <v>0.8063</v>
      </c>
      <c r="J17" s="458" t="n">
        <v>0.6904</v>
      </c>
      <c r="K17" s="458" t="n">
        <v>1.2046</v>
      </c>
      <c r="L17" s="458" t="n">
        <v>1.0729</v>
      </c>
      <c r="M17" s="458" t="n">
        <v>1.4861</v>
      </c>
      <c r="N17" s="459" t="n">
        <v>1.3003</v>
      </c>
      <c r="O17" s="459" t="n">
        <v>1.1706</v>
      </c>
      <c r="P17" s="459" t="n">
        <v>1.0443</v>
      </c>
      <c r="Q17" s="459" t="n">
        <v>1.4503</v>
      </c>
      <c r="R17" s="459" t="n">
        <v>1.3279</v>
      </c>
      <c r="S17" s="459" t="n">
        <v>1.2086</v>
      </c>
      <c r="T17" s="459" t="n">
        <v>1.1416</v>
      </c>
      <c r="U17" s="459" t="n">
        <v>1.0761</v>
      </c>
      <c r="V17" s="459" t="n">
        <v>1.0122</v>
      </c>
      <c r="W17" s="459" t="n">
        <v>0.9498</v>
      </c>
      <c r="X17" s="459" t="n">
        <v>0.9370000000000001</v>
      </c>
      <c r="Y17" s="459" t="n">
        <v>1.4244</v>
      </c>
      <c r="Z17" s="458" t="n">
        <v>1.3559</v>
      </c>
      <c r="AA17" s="458" t="n">
        <v>1.289</v>
      </c>
      <c r="AB17" s="458" t="n">
        <v>1.2236</v>
      </c>
      <c r="AC17" s="458" t="n">
        <v>1.1598</v>
      </c>
      <c r="AD17" s="458" t="n">
        <v>1.0975</v>
      </c>
      <c r="AE17" s="458" t="n">
        <v>1.5366</v>
      </c>
      <c r="AF17" s="458" t="n">
        <v>1.4666</v>
      </c>
      <c r="AG17" s="458" t="n">
        <v>1.3982</v>
      </c>
      <c r="AH17" s="458" t="n">
        <v>1.3314</v>
      </c>
      <c r="AI17" s="458" t="n">
        <v>1.2661</v>
      </c>
      <c r="AJ17" s="458" t="n">
        <v>1.2024</v>
      </c>
      <c r="AK17" s="458" t="n">
        <v>1.6401</v>
      </c>
      <c r="AL17" s="459" t="n">
        <v>1.5687</v>
      </c>
      <c r="AM17" s="459" t="n">
        <v>1.499</v>
      </c>
      <c r="AN17" s="459" t="n">
        <v>1.4308</v>
      </c>
      <c r="AO17" s="459" t="n">
        <v>1.3642</v>
      </c>
      <c r="AP17" s="459" t="n">
        <v>1.2991</v>
      </c>
      <c r="AQ17" s="459" t="n">
        <v>1.2355</v>
      </c>
      <c r="AR17" s="459" t="n">
        <v>1.2189</v>
      </c>
      <c r="AS17" s="459" t="n">
        <v>1.2025</v>
      </c>
      <c r="AT17" s="459" t="n">
        <v>1.1863</v>
      </c>
      <c r="AU17" s="459" t="n">
        <v>1.1704</v>
      </c>
      <c r="AV17" s="459" t="n">
        <v>1.1546</v>
      </c>
      <c r="AW17" s="459" t="n">
        <v>1.1391</v>
      </c>
      <c r="AX17" s="458" t="n">
        <v>1.1238</v>
      </c>
      <c r="AY17" s="458" t="n">
        <v>1.1087</v>
      </c>
      <c r="AZ17" s="458" t="n">
        <v>1.0937</v>
      </c>
      <c r="BA17" s="458" t="n">
        <v>1.079</v>
      </c>
      <c r="BB17" s="458" t="n">
        <v>1.0645</v>
      </c>
      <c r="BC17" s="458" t="n">
        <v>1.0502</v>
      </c>
      <c r="BD17" s="458" t="n">
        <v>1.0361</v>
      </c>
      <c r="BE17" s="458" t="n">
        <v>1.0221</v>
      </c>
      <c r="BF17" s="458" t="n">
        <v>1.0084</v>
      </c>
      <c r="BG17" s="458" t="n">
        <v>0.9948</v>
      </c>
      <c r="BH17" s="458" t="n">
        <v>0.9814000000000001</v>
      </c>
      <c r="BI17" s="458" t="n">
        <v>0.9681999999999999</v>
      </c>
      <c r="BJ17" s="459" t="n">
        <v>0.9552</v>
      </c>
      <c r="BK17" s="459" t="n">
        <v>0.9424</v>
      </c>
      <c r="BL17" s="459" t="n">
        <v>0.9297</v>
      </c>
      <c r="BM17" s="459" t="n">
        <v>0.9172</v>
      </c>
      <c r="BN17" s="459" t="n">
        <v>0.9048</v>
      </c>
      <c r="BO17" s="459" t="n">
        <v>0.8927</v>
      </c>
      <c r="BP17" s="459" t="n">
        <v>0.8807</v>
      </c>
      <c r="BQ17" s="459" t="n">
        <v>0.8688</v>
      </c>
      <c r="BR17" s="459" t="n">
        <v>0.8571</v>
      </c>
      <c r="BS17" s="459" t="n">
        <v>0.8456</v>
      </c>
      <c r="BT17" s="459" t="n">
        <v>0.8342000000000001</v>
      </c>
      <c r="BU17" s="459" t="n">
        <v>0.823</v>
      </c>
      <c r="BV17" s="458" t="n">
        <v>0.8119</v>
      </c>
      <c r="BW17" s="458" t="n">
        <v>0.801</v>
      </c>
      <c r="BX17" s="458" t="n">
        <v>0.7902</v>
      </c>
      <c r="BY17" s="458" t="n">
        <v>0.7796</v>
      </c>
      <c r="BZ17" s="458" t="n">
        <v>0.7691</v>
      </c>
      <c r="CA17" s="458" t="n">
        <v>0.7588</v>
      </c>
      <c r="CB17" s="458" t="n">
        <v>0.7486</v>
      </c>
      <c r="CC17" s="458" t="n">
        <v>0.7385</v>
      </c>
      <c r="CD17" s="458" t="n">
        <v>0.7286</v>
      </c>
      <c r="CE17" s="458" t="n">
        <v>0.7188</v>
      </c>
      <c r="CF17" s="458" t="n">
        <v>0.7091</v>
      </c>
      <c r="CG17" s="458" t="n">
        <v>0.6995</v>
      </c>
      <c r="CH17" s="459" t="n">
        <v>0.6901</v>
      </c>
      <c r="CI17" s="459" t="n">
        <v>0.6808999999999999</v>
      </c>
      <c r="CJ17" s="459" t="n">
        <v>0.6717</v>
      </c>
      <c r="CK17" s="459" t="n">
        <v>0.6627</v>
      </c>
      <c r="CL17" s="459" t="n">
        <v>0.6536999999999999</v>
      </c>
      <c r="CM17" s="459" t="n">
        <v>0.6449</v>
      </c>
      <c r="CN17" s="459" t="n">
        <v>0.6363</v>
      </c>
      <c r="CO17" s="459" t="n">
        <v>0.6277</v>
      </c>
      <c r="CP17" s="459" t="n">
        <v>0.6193</v>
      </c>
      <c r="CQ17" s="459" t="n">
        <v>0.6109</v>
      </c>
      <c r="CR17" s="459" t="n">
        <v>0.6027</v>
      </c>
      <c r="CS17" s="459" t="n">
        <v>0.5946</v>
      </c>
      <c r="CT17" s="458" t="n">
        <v>0.5866</v>
      </c>
      <c r="CU17" s="458" t="n">
        <v>0.5787</v>
      </c>
      <c r="CV17" s="458" t="n">
        <v>0.5709</v>
      </c>
      <c r="CW17" s="458" t="n">
        <v>0.5633</v>
      </c>
      <c r="CX17" s="458" t="n">
        <v>0.5557</v>
      </c>
      <c r="CY17" s="458" t="n">
        <v>0.5482</v>
      </c>
      <c r="CZ17" s="458" t="n">
        <v>0.5407999999999999</v>
      </c>
      <c r="DA17" s="458" t="n">
        <v>0.5336</v>
      </c>
      <c r="DB17" s="458" t="n">
        <v>0.5264</v>
      </c>
      <c r="DC17" s="458" t="n">
        <v>0.5193</v>
      </c>
      <c r="DD17" s="458" t="n">
        <v>0.5123</v>
      </c>
      <c r="DE17" s="458" t="n">
        <v>0.5054</v>
      </c>
      <c r="DF17" s="459" t="n">
        <v>0.4986</v>
      </c>
      <c r="DG17" s="459" t="n">
        <v>0.4919</v>
      </c>
      <c r="DH17" s="459" t="n">
        <v>0.4853</v>
      </c>
      <c r="DI17" s="459" t="n">
        <v>0.4788</v>
      </c>
      <c r="DJ17" s="459" t="n">
        <v>0.4723</v>
      </c>
      <c r="DK17" s="459" t="n">
        <v>0.466</v>
      </c>
      <c r="DL17" s="459" t="n">
        <v>0.4597</v>
      </c>
      <c r="DM17" s="459" t="n">
        <v>0.4535</v>
      </c>
      <c r="DN17" s="459" t="n">
        <v>0.4474</v>
      </c>
      <c r="DO17" s="459" t="n">
        <v>0.4414</v>
      </c>
      <c r="DP17" s="459" t="n">
        <v>0.4355</v>
      </c>
      <c r="DQ17" s="459" t="n">
        <v>0.4296</v>
      </c>
      <c r="DR17" s="458" t="n">
        <v>0.4238</v>
      </c>
      <c r="DS17" s="458" t="n">
        <v>0.4181</v>
      </c>
      <c r="DT17" s="458" t="n">
        <v>0.4125</v>
      </c>
      <c r="DU17" s="458" t="n">
        <v>0.407</v>
      </c>
      <c r="DV17" s="458" t="n">
        <v>0.4015</v>
      </c>
      <c r="DW17" s="458" t="n">
        <v>0.3961</v>
      </c>
      <c r="DX17" s="458" t="n">
        <v>0.3908</v>
      </c>
      <c r="DY17" s="458" t="n">
        <v>0.3855</v>
      </c>
      <c r="DZ17" s="458" t="n">
        <v>0.3803</v>
      </c>
      <c r="EA17" s="458" t="n">
        <v>0.3752</v>
      </c>
      <c r="EB17" s="458" t="n">
        <v>0.3701</v>
      </c>
      <c r="EC17" s="458" t="n">
        <v>0.3652</v>
      </c>
      <c r="ED17" s="459" t="n">
        <v>0.3603</v>
      </c>
      <c r="EE17" s="459" t="n">
        <v>0.3554</v>
      </c>
      <c r="EF17" s="459" t="n">
        <v>0.3506</v>
      </c>
      <c r="EG17" s="459" t="n">
        <v>0.3459</v>
      </c>
      <c r="EH17" s="459" t="n">
        <v>0.3413</v>
      </c>
      <c r="EI17" s="459" t="n">
        <v>0.3367</v>
      </c>
      <c r="EJ17" s="459" t="n">
        <v>0.3321</v>
      </c>
      <c r="EK17" s="459" t="n">
        <v>0.3277</v>
      </c>
      <c r="EL17" s="459" t="n">
        <v>0.3233</v>
      </c>
      <c r="EM17" s="459" t="n">
        <v>0.3189</v>
      </c>
      <c r="EN17" s="459" t="n">
        <v>0.3146</v>
      </c>
      <c r="EO17" s="459" t="n">
        <v>0.3104</v>
      </c>
      <c r="EP17" s="458" t="n">
        <v>0.3062</v>
      </c>
      <c r="EQ17" s="458" t="n">
        <v>0.3021</v>
      </c>
      <c r="ER17" s="458" t="n">
        <v>0.298</v>
      </c>
      <c r="ES17" s="458" t="n">
        <v>0.294</v>
      </c>
      <c r="ET17" s="458" t="n">
        <v>0.2901</v>
      </c>
      <c r="EU17" s="458" t="n">
        <v>0.2862</v>
      </c>
      <c r="EV17" s="458" t="n">
        <v>0.2823</v>
      </c>
      <c r="EW17" s="458" t="n">
        <v>0.2785</v>
      </c>
      <c r="EX17" s="458" t="n">
        <v>0.2748</v>
      </c>
      <c r="EY17" s="458" t="n">
        <v>0.2711</v>
      </c>
      <c r="EZ17" s="458" t="n">
        <v>0.2674</v>
      </c>
      <c r="FA17" s="458" t="n">
        <v>0.2638</v>
      </c>
      <c r="FB17" s="459" t="n">
        <v>0.2603</v>
      </c>
      <c r="FC17" s="459" t="n">
        <v>0.2568</v>
      </c>
      <c r="FD17" s="459" t="n">
        <v>0.2533</v>
      </c>
      <c r="FE17" s="459" t="n">
        <v>0.2499</v>
      </c>
      <c r="FF17" s="459" t="n">
        <v>0.2466</v>
      </c>
      <c r="FG17" s="459" t="n">
        <v>0.2432</v>
      </c>
      <c r="FH17" s="459" t="n">
        <v>0.24</v>
      </c>
      <c r="FI17" s="459" t="n">
        <v>0.2367</v>
      </c>
      <c r="FJ17" s="459" t="n">
        <v>0.2336</v>
      </c>
      <c r="FK17" s="459" t="n">
        <v>0.2304</v>
      </c>
      <c r="FL17" s="459" t="n">
        <v>0.2273</v>
      </c>
      <c r="FM17" s="459" t="n">
        <v>0.2243</v>
      </c>
      <c r="FN17" s="458" t="n">
        <v>0.2212</v>
      </c>
      <c r="FO17" s="458" t="n">
        <v>0.2183</v>
      </c>
      <c r="FP17" s="458" t="n">
        <v>0.2153</v>
      </c>
      <c r="FQ17" s="458" t="n">
        <v>0.2124</v>
      </c>
      <c r="FR17" s="458" t="n">
        <v>0.2096</v>
      </c>
      <c r="FS17" s="458" t="n">
        <v>0.2068</v>
      </c>
      <c r="FT17" s="458" t="n">
        <v>0.204</v>
      </c>
      <c r="FU17" s="458" t="n">
        <v>0.2012</v>
      </c>
      <c r="FV17" s="458" t="n">
        <v>0.1985</v>
      </c>
      <c r="FW17" s="458" t="n">
        <v>0.1959</v>
      </c>
      <c r="FX17" s="458" t="n">
        <v>0.1932</v>
      </c>
      <c r="FY17" s="458" t="n">
        <v>0.1906</v>
      </c>
      <c r="FZ17" s="306" t="n"/>
    </row>
    <row r="18" ht="15" customHeight="1" s="307">
      <c r="A18" s="468" t="inlineStr">
        <is>
          <t>Gross Profit</t>
        </is>
      </c>
      <c r="B18" s="469" t="n">
        <v>0</v>
      </c>
      <c r="C18" s="469" t="n">
        <v>0</v>
      </c>
      <c r="D18" s="469" t="n">
        <v>0</v>
      </c>
      <c r="E18" s="469" t="n">
        <v>1.6</v>
      </c>
      <c r="F18" s="469" t="n">
        <v>1.6311</v>
      </c>
      <c r="G18" s="469" t="n">
        <v>1.6611</v>
      </c>
      <c r="H18" s="469" t="n">
        <v>3.3899</v>
      </c>
      <c r="I18" s="469" t="n">
        <v>3.4507</v>
      </c>
      <c r="J18" s="469" t="n">
        <v>3.5093</v>
      </c>
      <c r="K18" s="469" t="n">
        <v>5.4469</v>
      </c>
      <c r="L18" s="469" t="n">
        <v>5.4892</v>
      </c>
      <c r="M18" s="469" t="n">
        <v>7.1544</v>
      </c>
      <c r="N18" s="470" t="n">
        <v>7.224</v>
      </c>
      <c r="O18" s="470" t="n">
        <v>7.239</v>
      </c>
      <c r="P18" s="470" t="n">
        <v>7.2522</v>
      </c>
      <c r="Q18" s="470" t="n">
        <v>8.8513</v>
      </c>
      <c r="R18" s="470" t="n">
        <v>8.835000000000001</v>
      </c>
      <c r="S18" s="470" t="n">
        <v>8.817600000000001</v>
      </c>
      <c r="T18" s="470" t="n">
        <v>8.7498</v>
      </c>
      <c r="U18" s="470" t="n">
        <v>8.6822</v>
      </c>
      <c r="V18" s="470" t="n">
        <v>8.6149</v>
      </c>
      <c r="W18" s="470" t="n">
        <v>8.547800000000001</v>
      </c>
      <c r="X18" s="470" t="n">
        <v>8.4328</v>
      </c>
      <c r="Y18" s="470" t="n">
        <v>9.8194</v>
      </c>
      <c r="Z18" s="469" t="n">
        <v>9.736599999999999</v>
      </c>
      <c r="AA18" s="469" t="n">
        <v>9.654299999999999</v>
      </c>
      <c r="AB18" s="469" t="n">
        <v>9.5724</v>
      </c>
      <c r="AC18" s="469" t="n">
        <v>9.491</v>
      </c>
      <c r="AD18" s="469" t="n">
        <v>9.4101</v>
      </c>
      <c r="AE18" s="469" t="n">
        <v>10.8296</v>
      </c>
      <c r="AF18" s="469" t="n">
        <v>10.7333</v>
      </c>
      <c r="AG18" s="469" t="n">
        <v>10.6375</v>
      </c>
      <c r="AH18" s="469" t="n">
        <v>10.5424</v>
      </c>
      <c r="AI18" s="469" t="n">
        <v>10.448</v>
      </c>
      <c r="AJ18" s="469" t="n">
        <v>10.3542</v>
      </c>
      <c r="AK18" s="469" t="n">
        <v>11.761</v>
      </c>
      <c r="AL18" s="470" t="n">
        <v>11.6521</v>
      </c>
      <c r="AM18" s="470" t="n">
        <v>11.544</v>
      </c>
      <c r="AN18" s="470" t="n">
        <v>11.4367</v>
      </c>
      <c r="AO18" s="470" t="n">
        <v>11.3303</v>
      </c>
      <c r="AP18" s="470" t="n">
        <v>11.2246</v>
      </c>
      <c r="AQ18" s="470" t="n">
        <v>11.1197</v>
      </c>
      <c r="AR18" s="470" t="n">
        <v>10.9701</v>
      </c>
      <c r="AS18" s="470" t="n">
        <v>10.8225</v>
      </c>
      <c r="AT18" s="470" t="n">
        <v>10.6769</v>
      </c>
      <c r="AU18" s="470" t="n">
        <v>10.5333</v>
      </c>
      <c r="AV18" s="470" t="n">
        <v>10.3916</v>
      </c>
      <c r="AW18" s="470" t="n">
        <v>10.2518</v>
      </c>
      <c r="AX18" s="469" t="n">
        <v>10.1139</v>
      </c>
      <c r="AY18" s="469" t="n">
        <v>9.9779</v>
      </c>
      <c r="AZ18" s="469" t="n">
        <v>9.8437</v>
      </c>
      <c r="BA18" s="469" t="n">
        <v>9.7112</v>
      </c>
      <c r="BB18" s="469" t="n">
        <v>9.5806</v>
      </c>
      <c r="BC18" s="469" t="n">
        <v>9.451700000000001</v>
      </c>
      <c r="BD18" s="469" t="n">
        <v>9.3246</v>
      </c>
      <c r="BE18" s="469" t="n">
        <v>9.199199999999999</v>
      </c>
      <c r="BF18" s="469" t="n">
        <v>9.0754</v>
      </c>
      <c r="BG18" s="469" t="n">
        <v>8.9533</v>
      </c>
      <c r="BH18" s="469" t="n">
        <v>8.8329</v>
      </c>
      <c r="BI18" s="469" t="n">
        <v>8.7141</v>
      </c>
      <c r="BJ18" s="470" t="n">
        <v>8.5968</v>
      </c>
      <c r="BK18" s="470" t="n">
        <v>8.481199999999999</v>
      </c>
      <c r="BL18" s="470" t="n">
        <v>8.367100000000001</v>
      </c>
      <c r="BM18" s="470" t="n">
        <v>8.2546</v>
      </c>
      <c r="BN18" s="470" t="n">
        <v>8.1435</v>
      </c>
      <c r="BO18" s="470" t="n">
        <v>8.034000000000001</v>
      </c>
      <c r="BP18" s="470" t="n">
        <v>7.9259</v>
      </c>
      <c r="BQ18" s="470" t="n">
        <v>7.8193</v>
      </c>
      <c r="BR18" s="470" t="n">
        <v>7.7141</v>
      </c>
      <c r="BS18" s="470" t="n">
        <v>7.6103</v>
      </c>
      <c r="BT18" s="470" t="n">
        <v>7.508</v>
      </c>
      <c r="BU18" s="470" t="n">
        <v>7.407</v>
      </c>
      <c r="BV18" s="469" t="n">
        <v>7.3073</v>
      </c>
      <c r="BW18" s="469" t="n">
        <v>7.209</v>
      </c>
      <c r="BX18" s="469" t="n">
        <v>7.112</v>
      </c>
      <c r="BY18" s="469" t="n">
        <v>7.0164</v>
      </c>
      <c r="BZ18" s="469" t="n">
        <v>6.922</v>
      </c>
      <c r="CA18" s="469" t="n">
        <v>6.8289</v>
      </c>
      <c r="CB18" s="469" t="n">
        <v>6.737</v>
      </c>
      <c r="CC18" s="469" t="n">
        <v>6.6464</v>
      </c>
      <c r="CD18" s="469" t="n">
        <v>6.557</v>
      </c>
      <c r="CE18" s="469" t="n">
        <v>6.4688</v>
      </c>
      <c r="CF18" s="469" t="n">
        <v>6.3818</v>
      </c>
      <c r="CG18" s="469" t="n">
        <v>6.2959</v>
      </c>
      <c r="CH18" s="470" t="n">
        <v>6.2112</v>
      </c>
      <c r="CI18" s="470" t="n">
        <v>6.1277</v>
      </c>
      <c r="CJ18" s="470" t="n">
        <v>6.0452</v>
      </c>
      <c r="CK18" s="470" t="n">
        <v>5.9639</v>
      </c>
      <c r="CL18" s="470" t="n">
        <v>5.8837</v>
      </c>
      <c r="CM18" s="470" t="n">
        <v>5.8045</v>
      </c>
      <c r="CN18" s="470" t="n">
        <v>5.7265</v>
      </c>
      <c r="CO18" s="470" t="n">
        <v>5.6494</v>
      </c>
      <c r="CP18" s="470" t="n">
        <v>5.5734</v>
      </c>
      <c r="CQ18" s="470" t="n">
        <v>5.4985</v>
      </c>
      <c r="CR18" s="470" t="n">
        <v>5.4245</v>
      </c>
      <c r="CS18" s="470" t="n">
        <v>5.3515</v>
      </c>
      <c r="CT18" s="469" t="n">
        <v>5.2795</v>
      </c>
      <c r="CU18" s="469" t="n">
        <v>5.2085</v>
      </c>
      <c r="CV18" s="469" t="n">
        <v>5.1385</v>
      </c>
      <c r="CW18" s="469" t="n">
        <v>5.0693</v>
      </c>
      <c r="CX18" s="469" t="n">
        <v>5.0011</v>
      </c>
      <c r="CY18" s="469" t="n">
        <v>4.9339</v>
      </c>
      <c r="CZ18" s="469" t="n">
        <v>4.8675</v>
      </c>
      <c r="DA18" s="469" t="n">
        <v>4.802</v>
      </c>
      <c r="DB18" s="469" t="n">
        <v>4.7374</v>
      </c>
      <c r="DC18" s="469" t="n">
        <v>4.6737</v>
      </c>
      <c r="DD18" s="469" t="n">
        <v>4.6108</v>
      </c>
      <c r="DE18" s="469" t="n">
        <v>4.5488</v>
      </c>
      <c r="DF18" s="470" t="n">
        <v>4.4876</v>
      </c>
      <c r="DG18" s="470" t="n">
        <v>4.4272</v>
      </c>
      <c r="DH18" s="470" t="n">
        <v>4.3677</v>
      </c>
      <c r="DI18" s="470" t="n">
        <v>4.3089</v>
      </c>
      <c r="DJ18" s="470" t="n">
        <v>4.251</v>
      </c>
      <c r="DK18" s="470" t="n">
        <v>4.1938</v>
      </c>
      <c r="DL18" s="470" t="n">
        <v>4.1374</v>
      </c>
      <c r="DM18" s="470" t="n">
        <v>4.0817</v>
      </c>
      <c r="DN18" s="470" t="n">
        <v>4.0268</v>
      </c>
      <c r="DO18" s="470" t="n">
        <v>3.9726</v>
      </c>
      <c r="DP18" s="470" t="n">
        <v>3.9192</v>
      </c>
      <c r="DQ18" s="470" t="n">
        <v>3.8665</v>
      </c>
      <c r="DR18" s="469" t="n">
        <v>3.8145</v>
      </c>
      <c r="DS18" s="469" t="n">
        <v>3.7632</v>
      </c>
      <c r="DT18" s="469" t="n">
        <v>3.7125</v>
      </c>
      <c r="DU18" s="469" t="n">
        <v>3.6626</v>
      </c>
      <c r="DV18" s="469" t="n">
        <v>3.6133</v>
      </c>
      <c r="DW18" s="469" t="n">
        <v>3.5647</v>
      </c>
      <c r="DX18" s="469" t="n">
        <v>3.5168</v>
      </c>
      <c r="DY18" s="469" t="n">
        <v>3.4695</v>
      </c>
      <c r="DZ18" s="469" t="n">
        <v>3.4228</v>
      </c>
      <c r="EA18" s="469" t="n">
        <v>3.3767</v>
      </c>
      <c r="EB18" s="469" t="n">
        <v>3.3313</v>
      </c>
      <c r="EC18" s="469" t="n">
        <v>3.2865</v>
      </c>
      <c r="ED18" s="470" t="n">
        <v>3.2423</v>
      </c>
      <c r="EE18" s="470" t="n">
        <v>3.1987</v>
      </c>
      <c r="EF18" s="470" t="n">
        <v>3.1557</v>
      </c>
      <c r="EG18" s="470" t="n">
        <v>3.1132</v>
      </c>
      <c r="EH18" s="470" t="n">
        <v>3.0713</v>
      </c>
      <c r="EI18" s="470" t="n">
        <v>3.03</v>
      </c>
      <c r="EJ18" s="470" t="n">
        <v>2.9892</v>
      </c>
      <c r="EK18" s="470" t="n">
        <v>2.949</v>
      </c>
      <c r="EL18" s="470" t="n">
        <v>2.9094</v>
      </c>
      <c r="EM18" s="470" t="n">
        <v>2.8702</v>
      </c>
      <c r="EN18" s="470" t="n">
        <v>2.8316</v>
      </c>
      <c r="EO18" s="470" t="n">
        <v>2.7935</v>
      </c>
      <c r="EP18" s="469" t="n">
        <v>2.756</v>
      </c>
      <c r="EQ18" s="469" t="n">
        <v>2.7189</v>
      </c>
      <c r="ER18" s="469" t="n">
        <v>2.6823</v>
      </c>
      <c r="ES18" s="469" t="n">
        <v>2.6462</v>
      </c>
      <c r="ET18" s="469" t="n">
        <v>2.6106</v>
      </c>
      <c r="EU18" s="469" t="n">
        <v>2.5755</v>
      </c>
      <c r="EV18" s="469" t="n">
        <v>2.5409</v>
      </c>
      <c r="EW18" s="469" t="n">
        <v>2.5067</v>
      </c>
      <c r="EX18" s="469" t="n">
        <v>2.473</v>
      </c>
      <c r="EY18" s="469" t="n">
        <v>2.4397</v>
      </c>
      <c r="EZ18" s="469" t="n">
        <v>2.4069</v>
      </c>
      <c r="FA18" s="469" t="n">
        <v>2.3745</v>
      </c>
      <c r="FB18" s="470" t="n">
        <v>2.3426</v>
      </c>
      <c r="FC18" s="470" t="n">
        <v>2.311</v>
      </c>
      <c r="FD18" s="470" t="n">
        <v>2.28</v>
      </c>
      <c r="FE18" s="470" t="n">
        <v>2.2493</v>
      </c>
      <c r="FF18" s="470" t="n">
        <v>2.219</v>
      </c>
      <c r="FG18" s="470" t="n">
        <v>2.1892</v>
      </c>
      <c r="FH18" s="470" t="n">
        <v>2.1597</v>
      </c>
      <c r="FI18" s="470" t="n">
        <v>2.1307</v>
      </c>
      <c r="FJ18" s="470" t="n">
        <v>2.102</v>
      </c>
      <c r="FK18" s="470" t="n">
        <v>2.0737</v>
      </c>
      <c r="FL18" s="470" t="n">
        <v>2.0458</v>
      </c>
      <c r="FM18" s="470" t="n">
        <v>2.0183</v>
      </c>
      <c r="FN18" s="469" t="n">
        <v>1.9912</v>
      </c>
      <c r="FO18" s="469" t="n">
        <v>1.9644</v>
      </c>
      <c r="FP18" s="469" t="n">
        <v>1.938</v>
      </c>
      <c r="FQ18" s="469" t="n">
        <v>1.9119</v>
      </c>
      <c r="FR18" s="469" t="n">
        <v>1.8862</v>
      </c>
      <c r="FS18" s="469" t="n">
        <v>1.8608</v>
      </c>
      <c r="FT18" s="469" t="n">
        <v>1.8358</v>
      </c>
      <c r="FU18" s="469" t="n">
        <v>1.8111</v>
      </c>
      <c r="FV18" s="469" t="n">
        <v>1.7867</v>
      </c>
      <c r="FW18" s="469" t="n">
        <v>1.7627</v>
      </c>
      <c r="FX18" s="469" t="n">
        <v>1.739</v>
      </c>
      <c r="FY18" s="469" t="n">
        <v>1.7156</v>
      </c>
      <c r="FZ18" s="306" t="n"/>
    </row>
    <row r="19" ht="15" customHeight="1" s="307">
      <c r="A19" s="322" t="n"/>
      <c r="B19" s="466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466" t="n"/>
      <c r="L19" s="466" t="n"/>
      <c r="M19" s="466" t="n"/>
      <c r="N19" s="466" t="n"/>
      <c r="O19" s="466" t="n"/>
      <c r="P19" s="466" t="n"/>
      <c r="Q19" s="466" t="n"/>
      <c r="R19" s="466" t="n"/>
      <c r="S19" s="466" t="n"/>
      <c r="T19" s="466" t="n"/>
      <c r="U19" s="466" t="n"/>
      <c r="V19" s="466" t="n"/>
      <c r="W19" s="466" t="n"/>
      <c r="X19" s="466" t="n"/>
      <c r="Y19" s="466" t="n"/>
      <c r="Z19" s="466" t="n"/>
      <c r="AA19" s="466" t="n"/>
      <c r="AB19" s="466" t="n"/>
      <c r="AC19" s="466" t="n"/>
      <c r="AD19" s="466" t="n"/>
      <c r="AE19" s="466" t="n"/>
      <c r="AF19" s="466" t="n"/>
      <c r="AG19" s="466" t="n"/>
      <c r="AH19" s="466" t="n"/>
      <c r="AI19" s="466" t="n"/>
      <c r="AJ19" s="466" t="n"/>
      <c r="AK19" s="466" t="n"/>
      <c r="AL19" s="466" t="n"/>
      <c r="AM19" s="466" t="n"/>
      <c r="AN19" s="466" t="n"/>
      <c r="AO19" s="466" t="n"/>
      <c r="AP19" s="466" t="n"/>
      <c r="AQ19" s="466" t="n"/>
      <c r="AR19" s="466" t="n"/>
      <c r="AS19" s="466" t="n"/>
      <c r="AT19" s="466" t="n"/>
      <c r="AU19" s="466" t="n"/>
      <c r="AV19" s="466" t="n"/>
      <c r="AW19" s="466" t="n"/>
      <c r="AX19" s="466" t="n"/>
      <c r="AY19" s="466" t="n"/>
      <c r="AZ19" s="466" t="n"/>
      <c r="BA19" s="466" t="n"/>
      <c r="BB19" s="466" t="n"/>
      <c r="BC19" s="466" t="n"/>
      <c r="BD19" s="466" t="n"/>
      <c r="BE19" s="466" t="n"/>
      <c r="BF19" s="466" t="n"/>
      <c r="BG19" s="466" t="n"/>
      <c r="BH19" s="466" t="n"/>
      <c r="BI19" s="466" t="n"/>
      <c r="BJ19" s="466" t="n"/>
      <c r="BK19" s="466" t="n"/>
      <c r="BL19" s="466" t="n"/>
      <c r="BM19" s="466" t="n"/>
      <c r="BN19" s="466" t="n"/>
      <c r="BO19" s="466" t="n"/>
      <c r="BP19" s="466" t="n"/>
      <c r="BQ19" s="466" t="n"/>
      <c r="BR19" s="466" t="n"/>
      <c r="BS19" s="466" t="n"/>
      <c r="BT19" s="466" t="n"/>
      <c r="BU19" s="466" t="n"/>
      <c r="BV19" s="466" t="n"/>
      <c r="BW19" s="466" t="n"/>
      <c r="BX19" s="466" t="n"/>
      <c r="BY19" s="466" t="n"/>
      <c r="BZ19" s="466" t="n"/>
      <c r="CA19" s="466" t="n"/>
      <c r="CB19" s="466" t="n"/>
      <c r="CC19" s="466" t="n"/>
      <c r="CD19" s="466" t="n"/>
      <c r="CE19" s="466" t="n"/>
      <c r="CF19" s="466" t="n"/>
      <c r="CG19" s="466" t="n"/>
      <c r="CH19" s="466" t="n"/>
      <c r="CI19" s="466" t="n"/>
      <c r="CJ19" s="466" t="n"/>
      <c r="CK19" s="466" t="n"/>
      <c r="CL19" s="466" t="n"/>
      <c r="CM19" s="466" t="n"/>
      <c r="CN19" s="466" t="n"/>
      <c r="CO19" s="466" t="n"/>
      <c r="CP19" s="466" t="n"/>
      <c r="CQ19" s="466" t="n"/>
      <c r="CR19" s="466" t="n"/>
      <c r="CS19" s="466" t="n"/>
      <c r="CT19" s="466" t="n"/>
      <c r="CU19" s="466" t="n"/>
      <c r="CV19" s="466" t="n"/>
      <c r="CW19" s="466" t="n"/>
      <c r="CX19" s="466" t="n"/>
      <c r="CY19" s="466" t="n"/>
      <c r="CZ19" s="466" t="n"/>
      <c r="DA19" s="466" t="n"/>
      <c r="DB19" s="466" t="n"/>
      <c r="DC19" s="466" t="n"/>
      <c r="DD19" s="466" t="n"/>
      <c r="DE19" s="466" t="n"/>
      <c r="DF19" s="466" t="n"/>
      <c r="DG19" s="466" t="n"/>
      <c r="DH19" s="466" t="n"/>
      <c r="DI19" s="466" t="n"/>
      <c r="DJ19" s="466" t="n"/>
      <c r="DK19" s="466" t="n"/>
      <c r="DL19" s="466" t="n"/>
      <c r="DM19" s="466" t="n"/>
      <c r="DN19" s="466" t="n"/>
      <c r="DO19" s="466" t="n"/>
      <c r="DP19" s="466" t="n"/>
      <c r="DQ19" s="466" t="n"/>
      <c r="DR19" s="466" t="n"/>
      <c r="DS19" s="466" t="n"/>
      <c r="DT19" s="466" t="n"/>
      <c r="DU19" s="466" t="n"/>
      <c r="DV19" s="466" t="n"/>
      <c r="DW19" s="466" t="n"/>
      <c r="DX19" s="466" t="n"/>
      <c r="DY19" s="466" t="n"/>
      <c r="DZ19" s="466" t="n"/>
      <c r="EA19" s="466" t="n"/>
      <c r="EB19" s="466" t="n"/>
      <c r="EC19" s="466" t="n"/>
      <c r="ED19" s="466" t="n"/>
      <c r="EE19" s="466" t="n"/>
      <c r="EF19" s="466" t="n"/>
      <c r="EG19" s="466" t="n"/>
      <c r="EH19" s="466" t="n"/>
      <c r="EI19" s="466" t="n"/>
      <c r="EJ19" s="466" t="n"/>
      <c r="EK19" s="466" t="n"/>
      <c r="EL19" s="466" t="n"/>
      <c r="EM19" s="466" t="n"/>
      <c r="EN19" s="466" t="n"/>
      <c r="EO19" s="466" t="n"/>
      <c r="EP19" s="466" t="n"/>
      <c r="EQ19" s="466" t="n"/>
      <c r="ER19" s="466" t="n"/>
      <c r="ES19" s="466" t="n"/>
      <c r="ET19" s="466" t="n"/>
      <c r="EU19" s="466" t="n"/>
      <c r="EV19" s="466" t="n"/>
      <c r="EW19" s="466" t="n"/>
      <c r="EX19" s="466" t="n"/>
      <c r="EY19" s="466" t="n"/>
      <c r="EZ19" s="466" t="n"/>
      <c r="FA19" s="466" t="n"/>
      <c r="FB19" s="466" t="n"/>
      <c r="FC19" s="466" t="n"/>
      <c r="FD19" s="466" t="n"/>
      <c r="FE19" s="466" t="n"/>
      <c r="FF19" s="466" t="n"/>
      <c r="FG19" s="466" t="n"/>
      <c r="FH19" s="466" t="n"/>
      <c r="FI19" s="466" t="n"/>
      <c r="FJ19" s="466" t="n"/>
      <c r="FK19" s="466" t="n"/>
      <c r="FL19" s="466" t="n"/>
      <c r="FM19" s="466" t="n"/>
      <c r="FN19" s="466" t="n"/>
      <c r="FO19" s="466" t="n"/>
      <c r="FP19" s="466" t="n"/>
      <c r="FQ19" s="466" t="n"/>
      <c r="FR19" s="466" t="n"/>
      <c r="FS19" s="466" t="n"/>
      <c r="FT19" s="466" t="n"/>
      <c r="FU19" s="466" t="n"/>
      <c r="FV19" s="466" t="n"/>
      <c r="FW19" s="466" t="n"/>
      <c r="FX19" s="466" t="n"/>
      <c r="FY19" s="466" t="n"/>
      <c r="FZ19" s="306" t="n"/>
    </row>
    <row r="20" ht="15" customHeight="1" s="307">
      <c r="A20" s="321" t="inlineStr">
        <is>
          <t xml:space="preserve">    Vendor Costs</t>
        </is>
      </c>
      <c r="B20" s="458" t="n">
        <v>0</v>
      </c>
      <c r="C20" s="458" t="n">
        <v>0</v>
      </c>
      <c r="D20" s="458" t="n">
        <v>0</v>
      </c>
      <c r="E20" s="458" t="n">
        <v>0.2133</v>
      </c>
      <c r="F20" s="458" t="n">
        <v>0.1929</v>
      </c>
      <c r="G20" s="458" t="n">
        <v>0.173</v>
      </c>
      <c r="H20" s="458" t="n">
        <v>0.3803</v>
      </c>
      <c r="I20" s="458" t="n">
        <v>0.3397</v>
      </c>
      <c r="J20" s="458" t="n">
        <v>0.3001</v>
      </c>
      <c r="K20" s="458" t="n">
        <v>0.5124</v>
      </c>
      <c r="L20" s="458" t="n">
        <v>0.467</v>
      </c>
      <c r="M20" s="458" t="n">
        <v>0.6394</v>
      </c>
      <c r="N20" s="459" t="n">
        <v>0.5755</v>
      </c>
      <c r="O20" s="459" t="n">
        <v>0.5304</v>
      </c>
      <c r="P20" s="459" t="n">
        <v>0.4864</v>
      </c>
      <c r="Q20" s="459" t="n">
        <v>0.6551</v>
      </c>
      <c r="R20" s="459" t="n">
        <v>0.612</v>
      </c>
      <c r="S20" s="459" t="n">
        <v>0.57</v>
      </c>
      <c r="T20" s="459" t="n">
        <v>0.5454</v>
      </c>
      <c r="U20" s="459" t="n">
        <v>0.5213</v>
      </c>
      <c r="V20" s="459" t="n">
        <v>0.4978</v>
      </c>
      <c r="W20" s="459" t="n">
        <v>0.4749</v>
      </c>
      <c r="X20" s="459" t="n">
        <v>0.4685</v>
      </c>
      <c r="Y20" s="459" t="n">
        <v>0.6622</v>
      </c>
      <c r="Z20" s="458" t="n">
        <v>0.6368</v>
      </c>
      <c r="AA20" s="458" t="n">
        <v>0.612</v>
      </c>
      <c r="AB20" s="458" t="n">
        <v>0.5878</v>
      </c>
      <c r="AC20" s="458" t="n">
        <v>0.5641</v>
      </c>
      <c r="AD20" s="458" t="n">
        <v>0.541</v>
      </c>
      <c r="AE20" s="458" t="n">
        <v>0.7183</v>
      </c>
      <c r="AF20" s="458" t="n">
        <v>0.6922</v>
      </c>
      <c r="AG20" s="458" t="n">
        <v>0.6667</v>
      </c>
      <c r="AH20" s="458" t="n">
        <v>0.6417</v>
      </c>
      <c r="AI20" s="458" t="n">
        <v>0.6173</v>
      </c>
      <c r="AJ20" s="458" t="n">
        <v>0.5934</v>
      </c>
      <c r="AK20" s="458" t="n">
        <v>0.7701</v>
      </c>
      <c r="AL20" s="459" t="n">
        <v>0.7433</v>
      </c>
      <c r="AM20" s="459" t="n">
        <v>0.717</v>
      </c>
      <c r="AN20" s="459" t="n">
        <v>0.6914</v>
      </c>
      <c r="AO20" s="459" t="n">
        <v>0.6663</v>
      </c>
      <c r="AP20" s="459" t="n">
        <v>0.6418</v>
      </c>
      <c r="AQ20" s="459" t="n">
        <v>0.6178</v>
      </c>
      <c r="AR20" s="459" t="n">
        <v>0.6094000000000001</v>
      </c>
      <c r="AS20" s="459" t="n">
        <v>0.6012999999999999</v>
      </c>
      <c r="AT20" s="459" t="n">
        <v>0.5931999999999999</v>
      </c>
      <c r="AU20" s="459" t="n">
        <v>0.5852000000000001</v>
      </c>
      <c r="AV20" s="459" t="n">
        <v>0.5773</v>
      </c>
      <c r="AW20" s="459" t="n">
        <v>0.5695</v>
      </c>
      <c r="AX20" s="458" t="n">
        <v>0.5619</v>
      </c>
      <c r="AY20" s="458" t="n">
        <v>0.5543</v>
      </c>
      <c r="AZ20" s="458" t="n">
        <v>0.5469000000000001</v>
      </c>
      <c r="BA20" s="458" t="n">
        <v>0.5395</v>
      </c>
      <c r="BB20" s="458" t="n">
        <v>0.5323</v>
      </c>
      <c r="BC20" s="458" t="n">
        <v>0.5251</v>
      </c>
      <c r="BD20" s="458" t="n">
        <v>0.518</v>
      </c>
      <c r="BE20" s="458" t="n">
        <v>0.5111</v>
      </c>
      <c r="BF20" s="458" t="n">
        <v>0.5042</v>
      </c>
      <c r="BG20" s="458" t="n">
        <v>0.4974</v>
      </c>
      <c r="BH20" s="458" t="n">
        <v>0.4907</v>
      </c>
      <c r="BI20" s="458" t="n">
        <v>0.4841</v>
      </c>
      <c r="BJ20" s="459" t="n">
        <v>0.4776</v>
      </c>
      <c r="BK20" s="459" t="n">
        <v>0.4712</v>
      </c>
      <c r="BL20" s="459" t="n">
        <v>0.4648</v>
      </c>
      <c r="BM20" s="459" t="n">
        <v>0.4586</v>
      </c>
      <c r="BN20" s="459" t="n">
        <v>0.4524</v>
      </c>
      <c r="BO20" s="459" t="n">
        <v>0.4463</v>
      </c>
      <c r="BP20" s="459" t="n">
        <v>0.4403</v>
      </c>
      <c r="BQ20" s="459" t="n">
        <v>0.4344</v>
      </c>
      <c r="BR20" s="459" t="n">
        <v>0.4286</v>
      </c>
      <c r="BS20" s="459" t="n">
        <v>0.4228</v>
      </c>
      <c r="BT20" s="459" t="n">
        <v>0.4171</v>
      </c>
      <c r="BU20" s="459" t="n">
        <v>0.4115</v>
      </c>
      <c r="BV20" s="458" t="n">
        <v>0.406</v>
      </c>
      <c r="BW20" s="458" t="n">
        <v>0.4005</v>
      </c>
      <c r="BX20" s="458" t="n">
        <v>0.3951</v>
      </c>
      <c r="BY20" s="458" t="n">
        <v>0.3898</v>
      </c>
      <c r="BZ20" s="458" t="n">
        <v>0.3846</v>
      </c>
      <c r="CA20" s="458" t="n">
        <v>0.3794</v>
      </c>
      <c r="CB20" s="458" t="n">
        <v>0.3743</v>
      </c>
      <c r="CC20" s="458" t="n">
        <v>0.3692</v>
      </c>
      <c r="CD20" s="458" t="n">
        <v>0.3643</v>
      </c>
      <c r="CE20" s="458" t="n">
        <v>0.3594</v>
      </c>
      <c r="CF20" s="458" t="n">
        <v>0.3545</v>
      </c>
      <c r="CG20" s="458" t="n">
        <v>0.3498</v>
      </c>
      <c r="CH20" s="459" t="n">
        <v>0.3451</v>
      </c>
      <c r="CI20" s="459" t="n">
        <v>0.3404</v>
      </c>
      <c r="CJ20" s="459" t="n">
        <v>0.3358</v>
      </c>
      <c r="CK20" s="459" t="n">
        <v>0.3313</v>
      </c>
      <c r="CL20" s="459" t="n">
        <v>0.3269</v>
      </c>
      <c r="CM20" s="459" t="n">
        <v>0.3225</v>
      </c>
      <c r="CN20" s="459" t="n">
        <v>0.3181</v>
      </c>
      <c r="CO20" s="459" t="n">
        <v>0.3139</v>
      </c>
      <c r="CP20" s="459" t="n">
        <v>0.3096</v>
      </c>
      <c r="CQ20" s="459" t="n">
        <v>0.3055</v>
      </c>
      <c r="CR20" s="459" t="n">
        <v>0.3014</v>
      </c>
      <c r="CS20" s="459" t="n">
        <v>0.2973</v>
      </c>
      <c r="CT20" s="458" t="n">
        <v>0.2933</v>
      </c>
      <c r="CU20" s="458" t="n">
        <v>0.2894</v>
      </c>
      <c r="CV20" s="458" t="n">
        <v>0.2855</v>
      </c>
      <c r="CW20" s="458" t="n">
        <v>0.2816</v>
      </c>
      <c r="CX20" s="458" t="n">
        <v>0.2778</v>
      </c>
      <c r="CY20" s="458" t="n">
        <v>0.2741</v>
      </c>
      <c r="CZ20" s="458" t="n">
        <v>0.2704</v>
      </c>
      <c r="DA20" s="458" t="n">
        <v>0.2668</v>
      </c>
      <c r="DB20" s="458" t="n">
        <v>0.2632</v>
      </c>
      <c r="DC20" s="458" t="n">
        <v>0.2596</v>
      </c>
      <c r="DD20" s="458" t="n">
        <v>0.2562</v>
      </c>
      <c r="DE20" s="458" t="n">
        <v>0.2527</v>
      </c>
      <c r="DF20" s="459" t="n">
        <v>0.2493</v>
      </c>
      <c r="DG20" s="459" t="n">
        <v>0.246</v>
      </c>
      <c r="DH20" s="459" t="n">
        <v>0.2426</v>
      </c>
      <c r="DI20" s="459" t="n">
        <v>0.2394</v>
      </c>
      <c r="DJ20" s="459" t="n">
        <v>0.2362</v>
      </c>
      <c r="DK20" s="459" t="n">
        <v>0.233</v>
      </c>
      <c r="DL20" s="459" t="n">
        <v>0.2299</v>
      </c>
      <c r="DM20" s="459" t="n">
        <v>0.2268</v>
      </c>
      <c r="DN20" s="459" t="n">
        <v>0.2237</v>
      </c>
      <c r="DO20" s="459" t="n">
        <v>0.2207</v>
      </c>
      <c r="DP20" s="459" t="n">
        <v>0.2177</v>
      </c>
      <c r="DQ20" s="459" t="n">
        <v>0.2148</v>
      </c>
      <c r="DR20" s="458" t="n">
        <v>0.2119</v>
      </c>
      <c r="DS20" s="458" t="n">
        <v>0.2091</v>
      </c>
      <c r="DT20" s="458" t="n">
        <v>0.2063</v>
      </c>
      <c r="DU20" s="458" t="n">
        <v>0.2035</v>
      </c>
      <c r="DV20" s="458" t="n">
        <v>0.2007</v>
      </c>
      <c r="DW20" s="458" t="n">
        <v>0.198</v>
      </c>
      <c r="DX20" s="458" t="n">
        <v>0.1954</v>
      </c>
      <c r="DY20" s="458" t="n">
        <v>0.1927</v>
      </c>
      <c r="DZ20" s="458" t="n">
        <v>0.1902</v>
      </c>
      <c r="EA20" s="458" t="n">
        <v>0.1876</v>
      </c>
      <c r="EB20" s="458" t="n">
        <v>0.1851</v>
      </c>
      <c r="EC20" s="458" t="n">
        <v>0.1826</v>
      </c>
      <c r="ED20" s="459" t="n">
        <v>0.1801</v>
      </c>
      <c r="EE20" s="459" t="n">
        <v>0.1777</v>
      </c>
      <c r="EF20" s="459" t="n">
        <v>0.1753</v>
      </c>
      <c r="EG20" s="459" t="n">
        <v>0.173</v>
      </c>
      <c r="EH20" s="459" t="n">
        <v>0.1706</v>
      </c>
      <c r="EI20" s="459" t="n">
        <v>0.1683</v>
      </c>
      <c r="EJ20" s="459" t="n">
        <v>0.1661</v>
      </c>
      <c r="EK20" s="459" t="n">
        <v>0.1638</v>
      </c>
      <c r="EL20" s="459" t="n">
        <v>0.1616</v>
      </c>
      <c r="EM20" s="459" t="n">
        <v>0.1595</v>
      </c>
      <c r="EN20" s="459" t="n">
        <v>0.1573</v>
      </c>
      <c r="EO20" s="459" t="n">
        <v>0.1552</v>
      </c>
      <c r="EP20" s="458" t="n">
        <v>0.1531</v>
      </c>
      <c r="EQ20" s="458" t="n">
        <v>0.151</v>
      </c>
      <c r="ER20" s="458" t="n">
        <v>0.149</v>
      </c>
      <c r="ES20" s="458" t="n">
        <v>0.147</v>
      </c>
      <c r="ET20" s="458" t="n">
        <v>0.145</v>
      </c>
      <c r="EU20" s="458" t="n">
        <v>0.1431</v>
      </c>
      <c r="EV20" s="458" t="n">
        <v>0.1412</v>
      </c>
      <c r="EW20" s="458" t="n">
        <v>0.1393</v>
      </c>
      <c r="EX20" s="458" t="n">
        <v>0.1374</v>
      </c>
      <c r="EY20" s="458" t="n">
        <v>0.1355</v>
      </c>
      <c r="EZ20" s="458" t="n">
        <v>0.1337</v>
      </c>
      <c r="FA20" s="458" t="n">
        <v>0.1319</v>
      </c>
      <c r="FB20" s="459" t="n">
        <v>0.1301</v>
      </c>
      <c r="FC20" s="459" t="n">
        <v>0.1284</v>
      </c>
      <c r="FD20" s="459" t="n">
        <v>0.1267</v>
      </c>
      <c r="FE20" s="459" t="n">
        <v>0.125</v>
      </c>
      <c r="FF20" s="459" t="n">
        <v>0.1233</v>
      </c>
      <c r="FG20" s="459" t="n">
        <v>0.1216</v>
      </c>
      <c r="FH20" s="459" t="n">
        <v>0.12</v>
      </c>
      <c r="FI20" s="459" t="n">
        <v>0.1184</v>
      </c>
      <c r="FJ20" s="459" t="n">
        <v>0.1168</v>
      </c>
      <c r="FK20" s="459" t="n">
        <v>0.1152</v>
      </c>
      <c r="FL20" s="459" t="n">
        <v>0.1137</v>
      </c>
      <c r="FM20" s="459" t="n">
        <v>0.1121</v>
      </c>
      <c r="FN20" s="458" t="n">
        <v>0.1106</v>
      </c>
      <c r="FO20" s="458" t="n">
        <v>0.1091</v>
      </c>
      <c r="FP20" s="458" t="n">
        <v>0.1077</v>
      </c>
      <c r="FQ20" s="458" t="n">
        <v>0.1062</v>
      </c>
      <c r="FR20" s="458" t="n">
        <v>0.1048</v>
      </c>
      <c r="FS20" s="458" t="n">
        <v>0.1034</v>
      </c>
      <c r="FT20" s="458" t="n">
        <v>0.102</v>
      </c>
      <c r="FU20" s="458" t="n">
        <v>0.1006</v>
      </c>
      <c r="FV20" s="458" t="n">
        <v>0.0993</v>
      </c>
      <c r="FW20" s="458" t="n">
        <v>0.0979</v>
      </c>
      <c r="FX20" s="458" t="n">
        <v>0.09660000000000001</v>
      </c>
      <c r="FY20" s="458" t="n">
        <v>0.0953</v>
      </c>
      <c r="FZ20" s="306" t="n"/>
    </row>
    <row r="21" ht="15" customHeight="1" s="307">
      <c r="A21" s="321" t="inlineStr">
        <is>
          <t xml:space="preserve">    Corporate Allocation</t>
        </is>
      </c>
      <c r="B21" s="458" t="n">
        <v>0</v>
      </c>
      <c r="C21" s="458" t="n">
        <v>0</v>
      </c>
      <c r="D21" s="458" t="n">
        <v>0</v>
      </c>
      <c r="E21" s="458" t="n">
        <v>0.128</v>
      </c>
      <c r="F21" s="458" t="n">
        <v>0.1263</v>
      </c>
      <c r="G21" s="458" t="n">
        <v>0.1246</v>
      </c>
      <c r="H21" s="458" t="n">
        <v>0.2589</v>
      </c>
      <c r="I21" s="458" t="n">
        <v>0.2554</v>
      </c>
      <c r="J21" s="458" t="n">
        <v>0.252</v>
      </c>
      <c r="K21" s="458" t="n">
        <v>0.3991</v>
      </c>
      <c r="L21" s="458" t="n">
        <v>0.3937</v>
      </c>
      <c r="M21" s="458" t="n">
        <v>0.5184</v>
      </c>
      <c r="N21" s="459" t="n">
        <v>0.5115</v>
      </c>
      <c r="O21" s="459" t="n">
        <v>0.5046</v>
      </c>
      <c r="P21" s="459" t="n">
        <v>0.4978</v>
      </c>
      <c r="Q21" s="459" t="n">
        <v>0.6181</v>
      </c>
      <c r="R21" s="459" t="n">
        <v>0.6098</v>
      </c>
      <c r="S21" s="459" t="n">
        <v>0.6016</v>
      </c>
      <c r="T21" s="459" t="n">
        <v>0.5935</v>
      </c>
      <c r="U21" s="459" t="n">
        <v>0.5855</v>
      </c>
      <c r="V21" s="459" t="n">
        <v>0.5776</v>
      </c>
      <c r="W21" s="459" t="n">
        <v>0.5699</v>
      </c>
      <c r="X21" s="459" t="n">
        <v>0.5622</v>
      </c>
      <c r="Y21" s="459" t="n">
        <v>0.6746</v>
      </c>
      <c r="Z21" s="458" t="n">
        <v>0.6655</v>
      </c>
      <c r="AA21" s="458" t="n">
        <v>0.6566</v>
      </c>
      <c r="AB21" s="458" t="n">
        <v>0.6478</v>
      </c>
      <c r="AC21" s="458" t="n">
        <v>0.6391</v>
      </c>
      <c r="AD21" s="458" t="n">
        <v>0.6304999999999999</v>
      </c>
      <c r="AE21" s="458" t="n">
        <v>0.742</v>
      </c>
      <c r="AF21" s="458" t="n">
        <v>0.732</v>
      </c>
      <c r="AG21" s="458" t="n">
        <v>0.7221</v>
      </c>
      <c r="AH21" s="458" t="n">
        <v>0.7124</v>
      </c>
      <c r="AI21" s="458" t="n">
        <v>0.7028</v>
      </c>
      <c r="AJ21" s="458" t="n">
        <v>0.6934</v>
      </c>
      <c r="AK21" s="458" t="n">
        <v>0.8041</v>
      </c>
      <c r="AL21" s="459" t="n">
        <v>0.7932</v>
      </c>
      <c r="AM21" s="459" t="n">
        <v>0.7826</v>
      </c>
      <c r="AN21" s="459" t="n">
        <v>0.7721</v>
      </c>
      <c r="AO21" s="459" t="n">
        <v>0.7617</v>
      </c>
      <c r="AP21" s="459" t="n">
        <v>0.7514</v>
      </c>
      <c r="AQ21" s="459" t="n">
        <v>0.7413</v>
      </c>
      <c r="AR21" s="459" t="n">
        <v>0.7313</v>
      </c>
      <c r="AS21" s="459" t="n">
        <v>0.7215</v>
      </c>
      <c r="AT21" s="459" t="n">
        <v>0.7118</v>
      </c>
      <c r="AU21" s="459" t="n">
        <v>0.7022</v>
      </c>
      <c r="AV21" s="459" t="n">
        <v>0.6928</v>
      </c>
      <c r="AW21" s="459" t="n">
        <v>0.6835</v>
      </c>
      <c r="AX21" s="458" t="n">
        <v>0.6743</v>
      </c>
      <c r="AY21" s="458" t="n">
        <v>0.6652</v>
      </c>
      <c r="AZ21" s="458" t="n">
        <v>0.6562</v>
      </c>
      <c r="BA21" s="458" t="n">
        <v>0.6474</v>
      </c>
      <c r="BB21" s="458" t="n">
        <v>0.6387</v>
      </c>
      <c r="BC21" s="458" t="n">
        <v>0.6301</v>
      </c>
      <c r="BD21" s="458" t="n">
        <v>0.6216</v>
      </c>
      <c r="BE21" s="458" t="n">
        <v>0.6133</v>
      </c>
      <c r="BF21" s="458" t="n">
        <v>0.605</v>
      </c>
      <c r="BG21" s="458" t="n">
        <v>0.5969</v>
      </c>
      <c r="BH21" s="458" t="n">
        <v>0.5889</v>
      </c>
      <c r="BI21" s="458" t="n">
        <v>0.5809</v>
      </c>
      <c r="BJ21" s="459" t="n">
        <v>0.5731000000000001</v>
      </c>
      <c r="BK21" s="459" t="n">
        <v>0.5654</v>
      </c>
      <c r="BL21" s="459" t="n">
        <v>0.5578</v>
      </c>
      <c r="BM21" s="459" t="n">
        <v>0.5503</v>
      </c>
      <c r="BN21" s="459" t="n">
        <v>0.5429</v>
      </c>
      <c r="BO21" s="459" t="n">
        <v>0.5356</v>
      </c>
      <c r="BP21" s="459" t="n">
        <v>0.5284</v>
      </c>
      <c r="BQ21" s="459" t="n">
        <v>0.5213</v>
      </c>
      <c r="BR21" s="459" t="n">
        <v>0.5143</v>
      </c>
      <c r="BS21" s="459" t="n">
        <v>0.5074</v>
      </c>
      <c r="BT21" s="459" t="n">
        <v>0.5004999999999999</v>
      </c>
      <c r="BU21" s="459" t="n">
        <v>0.4938</v>
      </c>
      <c r="BV21" s="458" t="n">
        <v>0.4872</v>
      </c>
      <c r="BW21" s="458" t="n">
        <v>0.4806</v>
      </c>
      <c r="BX21" s="458" t="n">
        <v>0.4741</v>
      </c>
      <c r="BY21" s="458" t="n">
        <v>0.4678</v>
      </c>
      <c r="BZ21" s="458" t="n">
        <v>0.4615</v>
      </c>
      <c r="CA21" s="458" t="n">
        <v>0.4553</v>
      </c>
      <c r="CB21" s="458" t="n">
        <v>0.4491</v>
      </c>
      <c r="CC21" s="458" t="n">
        <v>0.4431</v>
      </c>
      <c r="CD21" s="458" t="n">
        <v>0.4371</v>
      </c>
      <c r="CE21" s="458" t="n">
        <v>0.4313</v>
      </c>
      <c r="CF21" s="458" t="n">
        <v>0.4255</v>
      </c>
      <c r="CG21" s="458" t="n">
        <v>0.4197</v>
      </c>
      <c r="CH21" s="459" t="n">
        <v>0.4141</v>
      </c>
      <c r="CI21" s="459" t="n">
        <v>0.4085</v>
      </c>
      <c r="CJ21" s="459" t="n">
        <v>0.403</v>
      </c>
      <c r="CK21" s="459" t="n">
        <v>0.3976</v>
      </c>
      <c r="CL21" s="459" t="n">
        <v>0.3922</v>
      </c>
      <c r="CM21" s="459" t="n">
        <v>0.387</v>
      </c>
      <c r="CN21" s="459" t="n">
        <v>0.3818</v>
      </c>
      <c r="CO21" s="459" t="n">
        <v>0.3766</v>
      </c>
      <c r="CP21" s="459" t="n">
        <v>0.3716</v>
      </c>
      <c r="CQ21" s="459" t="n">
        <v>0.3666</v>
      </c>
      <c r="CR21" s="459" t="n">
        <v>0.3616</v>
      </c>
      <c r="CS21" s="459" t="n">
        <v>0.3568</v>
      </c>
      <c r="CT21" s="458" t="n">
        <v>0.352</v>
      </c>
      <c r="CU21" s="458" t="n">
        <v>0.3472</v>
      </c>
      <c r="CV21" s="458" t="n">
        <v>0.3426</v>
      </c>
      <c r="CW21" s="458" t="n">
        <v>0.338</v>
      </c>
      <c r="CX21" s="458" t="n">
        <v>0.3334</v>
      </c>
      <c r="CY21" s="458" t="n">
        <v>0.3289</v>
      </c>
      <c r="CZ21" s="458" t="n">
        <v>0.3245</v>
      </c>
      <c r="DA21" s="458" t="n">
        <v>0.3201</v>
      </c>
      <c r="DB21" s="458" t="n">
        <v>0.3158</v>
      </c>
      <c r="DC21" s="458" t="n">
        <v>0.3116</v>
      </c>
      <c r="DD21" s="458" t="n">
        <v>0.3074</v>
      </c>
      <c r="DE21" s="458" t="n">
        <v>0.3033</v>
      </c>
      <c r="DF21" s="459" t="n">
        <v>0.2992</v>
      </c>
      <c r="DG21" s="459" t="n">
        <v>0.2951</v>
      </c>
      <c r="DH21" s="459" t="n">
        <v>0.2912</v>
      </c>
      <c r="DI21" s="459" t="n">
        <v>0.2873</v>
      </c>
      <c r="DJ21" s="459" t="n">
        <v>0.2834</v>
      </c>
      <c r="DK21" s="459" t="n">
        <v>0.2796</v>
      </c>
      <c r="DL21" s="459" t="n">
        <v>0.2758</v>
      </c>
      <c r="DM21" s="459" t="n">
        <v>0.2721</v>
      </c>
      <c r="DN21" s="459" t="n">
        <v>0.2685</v>
      </c>
      <c r="DO21" s="459" t="n">
        <v>0.2648</v>
      </c>
      <c r="DP21" s="459" t="n">
        <v>0.2613</v>
      </c>
      <c r="DQ21" s="459" t="n">
        <v>0.2578</v>
      </c>
      <c r="DR21" s="458" t="n">
        <v>0.2543</v>
      </c>
      <c r="DS21" s="458" t="n">
        <v>0.2509</v>
      </c>
      <c r="DT21" s="458" t="n">
        <v>0.2475</v>
      </c>
      <c r="DU21" s="458" t="n">
        <v>0.2442</v>
      </c>
      <c r="DV21" s="458" t="n">
        <v>0.2409</v>
      </c>
      <c r="DW21" s="458" t="n">
        <v>0.2376</v>
      </c>
      <c r="DX21" s="458" t="n">
        <v>0.2345</v>
      </c>
      <c r="DY21" s="458" t="n">
        <v>0.2313</v>
      </c>
      <c r="DZ21" s="458" t="n">
        <v>0.2282</v>
      </c>
      <c r="EA21" s="458" t="n">
        <v>0.2251</v>
      </c>
      <c r="EB21" s="458" t="n">
        <v>0.2221</v>
      </c>
      <c r="EC21" s="458" t="n">
        <v>0.2191</v>
      </c>
      <c r="ED21" s="459" t="n">
        <v>0.2162</v>
      </c>
      <c r="EE21" s="459" t="n">
        <v>0.2132</v>
      </c>
      <c r="EF21" s="459" t="n">
        <v>0.2104</v>
      </c>
      <c r="EG21" s="459" t="n">
        <v>0.2075</v>
      </c>
      <c r="EH21" s="459" t="n">
        <v>0.2048</v>
      </c>
      <c r="EI21" s="459" t="n">
        <v>0.202</v>
      </c>
      <c r="EJ21" s="459" t="n">
        <v>0.1993</v>
      </c>
      <c r="EK21" s="459" t="n">
        <v>0.1966</v>
      </c>
      <c r="EL21" s="459" t="n">
        <v>0.194</v>
      </c>
      <c r="EM21" s="459" t="n">
        <v>0.1913</v>
      </c>
      <c r="EN21" s="459" t="n">
        <v>0.1888</v>
      </c>
      <c r="EO21" s="459" t="n">
        <v>0.1862</v>
      </c>
      <c r="EP21" s="458" t="n">
        <v>0.1837</v>
      </c>
      <c r="EQ21" s="458" t="n">
        <v>0.1813</v>
      </c>
      <c r="ER21" s="458" t="n">
        <v>0.1788</v>
      </c>
      <c r="ES21" s="458" t="n">
        <v>0.1764</v>
      </c>
      <c r="ET21" s="458" t="n">
        <v>0.174</v>
      </c>
      <c r="EU21" s="458" t="n">
        <v>0.1717</v>
      </c>
      <c r="EV21" s="458" t="n">
        <v>0.1694</v>
      </c>
      <c r="EW21" s="458" t="n">
        <v>0.1671</v>
      </c>
      <c r="EX21" s="458" t="n">
        <v>0.1649</v>
      </c>
      <c r="EY21" s="458" t="n">
        <v>0.1626</v>
      </c>
      <c r="EZ21" s="458" t="n">
        <v>0.1605</v>
      </c>
      <c r="FA21" s="458" t="n">
        <v>0.1583</v>
      </c>
      <c r="FB21" s="459" t="n">
        <v>0.1562</v>
      </c>
      <c r="FC21" s="459" t="n">
        <v>0.1541</v>
      </c>
      <c r="FD21" s="459" t="n">
        <v>0.152</v>
      </c>
      <c r="FE21" s="459" t="n">
        <v>0.15</v>
      </c>
      <c r="FF21" s="459" t="n">
        <v>0.1479</v>
      </c>
      <c r="FG21" s="459" t="n">
        <v>0.1459</v>
      </c>
      <c r="FH21" s="459" t="n">
        <v>0.144</v>
      </c>
      <c r="FI21" s="459" t="n">
        <v>0.142</v>
      </c>
      <c r="FJ21" s="459" t="n">
        <v>0.1401</v>
      </c>
      <c r="FK21" s="459" t="n">
        <v>0.1382</v>
      </c>
      <c r="FL21" s="459" t="n">
        <v>0.1364</v>
      </c>
      <c r="FM21" s="459" t="n">
        <v>0.1346</v>
      </c>
      <c r="FN21" s="458" t="n">
        <v>0.1327</v>
      </c>
      <c r="FO21" s="458" t="n">
        <v>0.131</v>
      </c>
      <c r="FP21" s="458" t="n">
        <v>0.1292</v>
      </c>
      <c r="FQ21" s="458" t="n">
        <v>0.1275</v>
      </c>
      <c r="FR21" s="458" t="n">
        <v>0.1257</v>
      </c>
      <c r="FS21" s="458" t="n">
        <v>0.1241</v>
      </c>
      <c r="FT21" s="458" t="n">
        <v>0.1224</v>
      </c>
      <c r="FU21" s="458" t="n">
        <v>0.1207</v>
      </c>
      <c r="FV21" s="458" t="n">
        <v>0.1191</v>
      </c>
      <c r="FW21" s="458" t="n">
        <v>0.1175</v>
      </c>
      <c r="FX21" s="458" t="n">
        <v>0.1159</v>
      </c>
      <c r="FY21" s="458" t="n">
        <v>0.1144</v>
      </c>
      <c r="FZ21" s="306" t="n"/>
    </row>
    <row r="22" ht="15" customHeight="1" s="307">
      <c r="A22" s="321" t="inlineStr">
        <is>
          <t xml:space="preserve">    Team Compensation</t>
        </is>
      </c>
      <c r="B22" s="458" t="n">
        <v>0.0813</v>
      </c>
      <c r="C22" s="458" t="n">
        <v>0.0813</v>
      </c>
      <c r="D22" s="458" t="n">
        <v>0.0813</v>
      </c>
      <c r="E22" s="458" t="n">
        <v>0.3385</v>
      </c>
      <c r="F22" s="458" t="n">
        <v>0.3385</v>
      </c>
      <c r="G22" s="458" t="n">
        <v>0.3385</v>
      </c>
      <c r="H22" s="458" t="n">
        <v>1.0292</v>
      </c>
      <c r="I22" s="458" t="n">
        <v>0.5417</v>
      </c>
      <c r="J22" s="458" t="n">
        <v>0.5417</v>
      </c>
      <c r="K22" s="458" t="n">
        <v>0.5958</v>
      </c>
      <c r="L22" s="458" t="n">
        <v>0.5958</v>
      </c>
      <c r="M22" s="458" t="n">
        <v>0.6229</v>
      </c>
      <c r="N22" s="459" t="n">
        <v>0.9344</v>
      </c>
      <c r="O22" s="459" t="n">
        <v>0.9344</v>
      </c>
      <c r="P22" s="459" t="n">
        <v>0.9344</v>
      </c>
      <c r="Q22" s="459" t="n">
        <v>0.9547</v>
      </c>
      <c r="R22" s="459" t="n">
        <v>0.9547</v>
      </c>
      <c r="S22" s="459" t="n">
        <v>0.9547</v>
      </c>
      <c r="T22" s="459" t="n">
        <v>0.9547</v>
      </c>
      <c r="U22" s="459" t="n">
        <v>0.9547</v>
      </c>
      <c r="V22" s="459" t="n">
        <v>0.9547</v>
      </c>
      <c r="W22" s="459" t="n">
        <v>0.9547</v>
      </c>
      <c r="X22" s="459" t="n">
        <v>0.9547</v>
      </c>
      <c r="Y22" s="459" t="n">
        <v>0.9547</v>
      </c>
      <c r="Z22" s="458" t="n">
        <v>0.9547</v>
      </c>
      <c r="AA22" s="458" t="n">
        <v>0.9547</v>
      </c>
      <c r="AB22" s="458" t="n">
        <v>0.9547</v>
      </c>
      <c r="AC22" s="458" t="n">
        <v>0.9547</v>
      </c>
      <c r="AD22" s="458" t="n">
        <v>0.9547</v>
      </c>
      <c r="AE22" s="458" t="n">
        <v>0.9547</v>
      </c>
      <c r="AF22" s="458" t="n">
        <v>0.9547</v>
      </c>
      <c r="AG22" s="458" t="n">
        <v>0.9547</v>
      </c>
      <c r="AH22" s="458" t="n">
        <v>0.9547</v>
      </c>
      <c r="AI22" s="458" t="n">
        <v>0.9547</v>
      </c>
      <c r="AJ22" s="458" t="n">
        <v>0.9547</v>
      </c>
      <c r="AK22" s="458" t="n">
        <v>0.9547</v>
      </c>
      <c r="AL22" s="459" t="n">
        <v>0.9547</v>
      </c>
      <c r="AM22" s="459" t="n">
        <v>0.9547</v>
      </c>
      <c r="AN22" s="459" t="n">
        <v>0.9547</v>
      </c>
      <c r="AO22" s="459" t="n">
        <v>0.9547</v>
      </c>
      <c r="AP22" s="459" t="n">
        <v>0.9547</v>
      </c>
      <c r="AQ22" s="459" t="n">
        <v>0.9547</v>
      </c>
      <c r="AR22" s="459" t="n">
        <v>0.9547</v>
      </c>
      <c r="AS22" s="459" t="n">
        <v>0.9547</v>
      </c>
      <c r="AT22" s="459" t="n">
        <v>0.9547</v>
      </c>
      <c r="AU22" s="459" t="n">
        <v>0.9547</v>
      </c>
      <c r="AV22" s="459" t="n">
        <v>0.9547</v>
      </c>
      <c r="AW22" s="459" t="n">
        <v>0.9547</v>
      </c>
      <c r="AX22" s="458" t="n">
        <v>0.9547</v>
      </c>
      <c r="AY22" s="458" t="n">
        <v>0.9547</v>
      </c>
      <c r="AZ22" s="458" t="n">
        <v>0.9547</v>
      </c>
      <c r="BA22" s="458" t="n">
        <v>0.9547</v>
      </c>
      <c r="BB22" s="458" t="n">
        <v>0.9547</v>
      </c>
      <c r="BC22" s="458" t="n">
        <v>0.9547</v>
      </c>
      <c r="BD22" s="458" t="n">
        <v>0.9547</v>
      </c>
      <c r="BE22" s="458" t="n">
        <v>0.9547</v>
      </c>
      <c r="BF22" s="458" t="n">
        <v>0.9547</v>
      </c>
      <c r="BG22" s="458" t="n">
        <v>0.9547</v>
      </c>
      <c r="BH22" s="458" t="n">
        <v>0.9547</v>
      </c>
      <c r="BI22" s="458" t="n">
        <v>0.9547</v>
      </c>
      <c r="BJ22" s="459" t="n">
        <v>0.9547</v>
      </c>
      <c r="BK22" s="459" t="n">
        <v>0.9547</v>
      </c>
      <c r="BL22" s="459" t="n">
        <v>0.9547</v>
      </c>
      <c r="BM22" s="459" t="n">
        <v>0.9547</v>
      </c>
      <c r="BN22" s="459" t="n">
        <v>0.9547</v>
      </c>
      <c r="BO22" s="459" t="n">
        <v>0.9547</v>
      </c>
      <c r="BP22" s="459" t="n">
        <v>0.9547</v>
      </c>
      <c r="BQ22" s="459" t="n">
        <v>0.9547</v>
      </c>
      <c r="BR22" s="459" t="n">
        <v>0.9547</v>
      </c>
      <c r="BS22" s="459" t="n">
        <v>0.9547</v>
      </c>
      <c r="BT22" s="459" t="n">
        <v>0.9547</v>
      </c>
      <c r="BU22" s="459" t="n">
        <v>0.9547</v>
      </c>
      <c r="BV22" s="458" t="n">
        <v>0.9547</v>
      </c>
      <c r="BW22" s="458" t="n">
        <v>0.9547</v>
      </c>
      <c r="BX22" s="458" t="n">
        <v>0.9547</v>
      </c>
      <c r="BY22" s="458" t="n">
        <v>0.9547</v>
      </c>
      <c r="BZ22" s="458" t="n">
        <v>0.9547</v>
      </c>
      <c r="CA22" s="458" t="n">
        <v>0.9547</v>
      </c>
      <c r="CB22" s="458" t="n">
        <v>0.9547</v>
      </c>
      <c r="CC22" s="458" t="n">
        <v>0.9547</v>
      </c>
      <c r="CD22" s="458" t="n">
        <v>0.9547</v>
      </c>
      <c r="CE22" s="458" t="n">
        <v>0.9547</v>
      </c>
      <c r="CF22" s="458" t="n">
        <v>0.9547</v>
      </c>
      <c r="CG22" s="458" t="n">
        <v>0.9547</v>
      </c>
      <c r="CH22" s="459" t="n">
        <v>0.9547</v>
      </c>
      <c r="CI22" s="459" t="n">
        <v>0.9547</v>
      </c>
      <c r="CJ22" s="459" t="n">
        <v>0.9547</v>
      </c>
      <c r="CK22" s="459" t="n">
        <v>0.9547</v>
      </c>
      <c r="CL22" s="459" t="n">
        <v>0.9547</v>
      </c>
      <c r="CM22" s="459" t="n">
        <v>0.9547</v>
      </c>
      <c r="CN22" s="459" t="n">
        <v>0.9547</v>
      </c>
      <c r="CO22" s="459" t="n">
        <v>0.9547</v>
      </c>
      <c r="CP22" s="459" t="n">
        <v>0.9547</v>
      </c>
      <c r="CQ22" s="459" t="n">
        <v>0.9547</v>
      </c>
      <c r="CR22" s="459" t="n">
        <v>0.9547</v>
      </c>
      <c r="CS22" s="459" t="n">
        <v>0.9547</v>
      </c>
      <c r="CT22" s="458" t="n">
        <v>0.9547</v>
      </c>
      <c r="CU22" s="458" t="n">
        <v>0.9547</v>
      </c>
      <c r="CV22" s="458" t="n">
        <v>0.9547</v>
      </c>
      <c r="CW22" s="458" t="n">
        <v>0.9547</v>
      </c>
      <c r="CX22" s="458" t="n">
        <v>0.9547</v>
      </c>
      <c r="CY22" s="458" t="n">
        <v>0.9547</v>
      </c>
      <c r="CZ22" s="458" t="n">
        <v>0.9547</v>
      </c>
      <c r="DA22" s="458" t="n">
        <v>0.9547</v>
      </c>
      <c r="DB22" s="458" t="n">
        <v>0.9547</v>
      </c>
      <c r="DC22" s="458" t="n">
        <v>0.9547</v>
      </c>
      <c r="DD22" s="458" t="n">
        <v>0.9547</v>
      </c>
      <c r="DE22" s="458" t="n">
        <v>0.9547</v>
      </c>
      <c r="DF22" s="459" t="n">
        <v>0.9547</v>
      </c>
      <c r="DG22" s="459" t="n">
        <v>0.9547</v>
      </c>
      <c r="DH22" s="459" t="n">
        <v>0.9547</v>
      </c>
      <c r="DI22" s="459" t="n">
        <v>0.9547</v>
      </c>
      <c r="DJ22" s="459" t="n">
        <v>0.9547</v>
      </c>
      <c r="DK22" s="459" t="n">
        <v>0.9547</v>
      </c>
      <c r="DL22" s="459" t="n">
        <v>0.9547</v>
      </c>
      <c r="DM22" s="459" t="n">
        <v>0.9547</v>
      </c>
      <c r="DN22" s="459" t="n">
        <v>0.9547</v>
      </c>
      <c r="DO22" s="459" t="n">
        <v>0.9547</v>
      </c>
      <c r="DP22" s="459" t="n">
        <v>0.9547</v>
      </c>
      <c r="DQ22" s="459" t="n">
        <v>0.9547</v>
      </c>
      <c r="DR22" s="458" t="n">
        <v>0.9547</v>
      </c>
      <c r="DS22" s="458" t="n">
        <v>0.9547</v>
      </c>
      <c r="DT22" s="458" t="n">
        <v>0.9547</v>
      </c>
      <c r="DU22" s="458" t="n">
        <v>0.9547</v>
      </c>
      <c r="DV22" s="458" t="n">
        <v>0.9547</v>
      </c>
      <c r="DW22" s="458" t="n">
        <v>0.9547</v>
      </c>
      <c r="DX22" s="458" t="n">
        <v>0.9547</v>
      </c>
      <c r="DY22" s="458" t="n">
        <v>0.9547</v>
      </c>
      <c r="DZ22" s="458" t="n">
        <v>0.9547</v>
      </c>
      <c r="EA22" s="458" t="n">
        <v>0.9547</v>
      </c>
      <c r="EB22" s="458" t="n">
        <v>0.9547</v>
      </c>
      <c r="EC22" s="458" t="n">
        <v>0.9547</v>
      </c>
      <c r="ED22" s="459" t="n">
        <v>0.9547</v>
      </c>
      <c r="EE22" s="459" t="n">
        <v>0.9547</v>
      </c>
      <c r="EF22" s="459" t="n">
        <v>0.9547</v>
      </c>
      <c r="EG22" s="459" t="n">
        <v>0.9547</v>
      </c>
      <c r="EH22" s="459" t="n">
        <v>0.9547</v>
      </c>
      <c r="EI22" s="459" t="n">
        <v>0.9547</v>
      </c>
      <c r="EJ22" s="459" t="n">
        <v>0.9547</v>
      </c>
      <c r="EK22" s="459" t="n">
        <v>0.9547</v>
      </c>
      <c r="EL22" s="459" t="n">
        <v>0.9547</v>
      </c>
      <c r="EM22" s="459" t="n">
        <v>0.9547</v>
      </c>
      <c r="EN22" s="459" t="n">
        <v>0.9547</v>
      </c>
      <c r="EO22" s="459" t="n">
        <v>0.9547</v>
      </c>
      <c r="EP22" s="458" t="n">
        <v>0.9547</v>
      </c>
      <c r="EQ22" s="458" t="n">
        <v>0.9547</v>
      </c>
      <c r="ER22" s="458" t="n">
        <v>0.9547</v>
      </c>
      <c r="ES22" s="458" t="n">
        <v>0.9547</v>
      </c>
      <c r="ET22" s="458" t="n">
        <v>0.9547</v>
      </c>
      <c r="EU22" s="458" t="n">
        <v>0.9547</v>
      </c>
      <c r="EV22" s="458" t="n">
        <v>0.9547</v>
      </c>
      <c r="EW22" s="458" t="n">
        <v>0.9547</v>
      </c>
      <c r="EX22" s="458" t="n">
        <v>0.9547</v>
      </c>
      <c r="EY22" s="458" t="n">
        <v>0.9547</v>
      </c>
      <c r="EZ22" s="458" t="n">
        <v>0.9547</v>
      </c>
      <c r="FA22" s="458" t="n">
        <v>0.9547</v>
      </c>
      <c r="FB22" s="459" t="n">
        <v>0.9547</v>
      </c>
      <c r="FC22" s="459" t="n">
        <v>0.9547</v>
      </c>
      <c r="FD22" s="459" t="n">
        <v>0.9547</v>
      </c>
      <c r="FE22" s="459" t="n">
        <v>0.9547</v>
      </c>
      <c r="FF22" s="459" t="n">
        <v>0.9547</v>
      </c>
      <c r="FG22" s="459" t="n">
        <v>0.9547</v>
      </c>
      <c r="FH22" s="459" t="n">
        <v>0.9547</v>
      </c>
      <c r="FI22" s="459" t="n">
        <v>0.9547</v>
      </c>
      <c r="FJ22" s="459" t="n">
        <v>0.9547</v>
      </c>
      <c r="FK22" s="459" t="n">
        <v>0.9547</v>
      </c>
      <c r="FL22" s="459" t="n">
        <v>0.9547</v>
      </c>
      <c r="FM22" s="459" t="n">
        <v>0.9547</v>
      </c>
      <c r="FN22" s="458" t="n">
        <v>0.9547</v>
      </c>
      <c r="FO22" s="458" t="n">
        <v>0.9547</v>
      </c>
      <c r="FP22" s="458" t="n">
        <v>0.9547</v>
      </c>
      <c r="FQ22" s="458" t="n">
        <v>0.9547</v>
      </c>
      <c r="FR22" s="458" t="n">
        <v>0.9547</v>
      </c>
      <c r="FS22" s="458" t="n">
        <v>0.9547</v>
      </c>
      <c r="FT22" s="458" t="n">
        <v>0.9547</v>
      </c>
      <c r="FU22" s="458" t="n">
        <v>0.9547</v>
      </c>
      <c r="FV22" s="458" t="n">
        <v>0.9547</v>
      </c>
      <c r="FW22" s="458" t="n">
        <v>0.9547</v>
      </c>
      <c r="FX22" s="458" t="n">
        <v>0.9547</v>
      </c>
      <c r="FY22" s="458" t="n">
        <v>0.9547</v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 t="n">
        <v>0</v>
      </c>
      <c r="C24" s="458" t="n">
        <v>0</v>
      </c>
      <c r="D24" s="458" t="n">
        <v>0</v>
      </c>
      <c r="E24" s="458" t="n">
        <v>0</v>
      </c>
      <c r="F24" s="458" t="n">
        <v>0</v>
      </c>
      <c r="G24" s="458" t="n">
        <v>0</v>
      </c>
      <c r="H24" s="458" t="n">
        <v>0</v>
      </c>
      <c r="I24" s="458" t="n">
        <v>0</v>
      </c>
      <c r="J24" s="458" t="n">
        <v>0</v>
      </c>
      <c r="K24" s="458" t="n">
        <v>0</v>
      </c>
      <c r="L24" s="458" t="n">
        <v>0</v>
      </c>
      <c r="M24" s="458" t="n">
        <v>0</v>
      </c>
      <c r="N24" s="459" t="n">
        <v>0</v>
      </c>
      <c r="O24" s="459" t="n">
        <v>0</v>
      </c>
      <c r="P24" s="459" t="n">
        <v>0</v>
      </c>
      <c r="Q24" s="459" t="n">
        <v>0</v>
      </c>
      <c r="R24" s="459" t="n">
        <v>0</v>
      </c>
      <c r="S24" s="459" t="n">
        <v>0</v>
      </c>
      <c r="T24" s="459" t="n">
        <v>0</v>
      </c>
      <c r="U24" s="459" t="n">
        <v>0</v>
      </c>
      <c r="V24" s="459" t="n">
        <v>0</v>
      </c>
      <c r="W24" s="459" t="n">
        <v>0</v>
      </c>
      <c r="X24" s="459" t="n">
        <v>0</v>
      </c>
      <c r="Y24" s="459" t="n">
        <v>0</v>
      </c>
      <c r="Z24" s="458" t="n">
        <v>0</v>
      </c>
      <c r="AA24" s="458" t="n">
        <v>0</v>
      </c>
      <c r="AB24" s="458" t="n">
        <v>0</v>
      </c>
      <c r="AC24" s="458" t="n">
        <v>0</v>
      </c>
      <c r="AD24" s="458" t="n">
        <v>0</v>
      </c>
      <c r="AE24" s="458" t="n">
        <v>0</v>
      </c>
      <c r="AF24" s="458" t="n">
        <v>0</v>
      </c>
      <c r="AG24" s="458" t="n">
        <v>0</v>
      </c>
      <c r="AH24" s="458" t="n">
        <v>0</v>
      </c>
      <c r="AI24" s="458" t="n">
        <v>0</v>
      </c>
      <c r="AJ24" s="458" t="n">
        <v>0</v>
      </c>
      <c r="AK24" s="458" t="n">
        <v>0</v>
      </c>
      <c r="AL24" s="459" t="n">
        <v>0</v>
      </c>
      <c r="AM24" s="459" t="n">
        <v>0</v>
      </c>
      <c r="AN24" s="459" t="n">
        <v>0</v>
      </c>
      <c r="AO24" s="459" t="n">
        <v>0</v>
      </c>
      <c r="AP24" s="459" t="n">
        <v>0</v>
      </c>
      <c r="AQ24" s="459" t="n">
        <v>0</v>
      </c>
      <c r="AR24" s="459" t="n">
        <v>0</v>
      </c>
      <c r="AS24" s="459" t="n">
        <v>0</v>
      </c>
      <c r="AT24" s="459" t="n">
        <v>0</v>
      </c>
      <c r="AU24" s="459" t="n">
        <v>0</v>
      </c>
      <c r="AV24" s="459" t="n">
        <v>0</v>
      </c>
      <c r="AW24" s="459" t="n">
        <v>6.4773</v>
      </c>
      <c r="AX24" s="458" t="n">
        <v>0</v>
      </c>
      <c r="AY24" s="458" t="n">
        <v>0</v>
      </c>
      <c r="AZ24" s="458" t="n">
        <v>0</v>
      </c>
      <c r="BA24" s="458" t="n">
        <v>0</v>
      </c>
      <c r="BB24" s="458" t="n">
        <v>0</v>
      </c>
      <c r="BC24" s="458" t="n">
        <v>0</v>
      </c>
      <c r="BD24" s="458" t="n">
        <v>0</v>
      </c>
      <c r="BE24" s="458" t="n">
        <v>0</v>
      </c>
      <c r="BF24" s="458" t="n">
        <v>0</v>
      </c>
      <c r="BG24" s="458" t="n">
        <v>0</v>
      </c>
      <c r="BH24" s="458" t="n">
        <v>0</v>
      </c>
      <c r="BI24" s="458" t="n">
        <v>9.219799999999999</v>
      </c>
      <c r="BJ24" s="459" t="n">
        <v>0</v>
      </c>
      <c r="BK24" s="459" t="n">
        <v>0</v>
      </c>
      <c r="BL24" s="459" t="n">
        <v>0</v>
      </c>
      <c r="BM24" s="459" t="n">
        <v>0</v>
      </c>
      <c r="BN24" s="459" t="n">
        <v>0</v>
      </c>
      <c r="BO24" s="459" t="n">
        <v>0</v>
      </c>
      <c r="BP24" s="459" t="n">
        <v>0</v>
      </c>
      <c r="BQ24" s="459" t="n">
        <v>0</v>
      </c>
      <c r="BR24" s="459" t="n">
        <v>0</v>
      </c>
      <c r="BS24" s="459" t="n">
        <v>0</v>
      </c>
      <c r="BT24" s="459" t="n">
        <v>0</v>
      </c>
      <c r="BU24" s="459" t="n">
        <v>6.1184</v>
      </c>
      <c r="BV24" s="458" t="n">
        <v>0</v>
      </c>
      <c r="BW24" s="458" t="n">
        <v>0</v>
      </c>
      <c r="BX24" s="458" t="n">
        <v>0</v>
      </c>
      <c r="BY24" s="458" t="n">
        <v>0</v>
      </c>
      <c r="BZ24" s="458" t="n">
        <v>0</v>
      </c>
      <c r="CA24" s="458" t="n">
        <v>0</v>
      </c>
      <c r="CB24" s="458" t="n">
        <v>0</v>
      </c>
      <c r="CC24" s="458" t="n">
        <v>0</v>
      </c>
      <c r="CD24" s="458" t="n">
        <v>0</v>
      </c>
      <c r="CE24" s="458" t="n">
        <v>0</v>
      </c>
      <c r="CF24" s="458" t="n">
        <v>0</v>
      </c>
      <c r="CG24" s="458" t="n">
        <v>3.4822</v>
      </c>
      <c r="CH24" s="459" t="n">
        <v>0</v>
      </c>
      <c r="CI24" s="459" t="n">
        <v>0</v>
      </c>
      <c r="CJ24" s="459" t="n">
        <v>0</v>
      </c>
      <c r="CK24" s="459" t="n">
        <v>0</v>
      </c>
      <c r="CL24" s="459" t="n">
        <v>0</v>
      </c>
      <c r="CM24" s="459" t="n">
        <v>0</v>
      </c>
      <c r="CN24" s="459" t="n">
        <v>0</v>
      </c>
      <c r="CO24" s="459" t="n">
        <v>0</v>
      </c>
      <c r="CP24" s="459" t="n">
        <v>0</v>
      </c>
      <c r="CQ24" s="459" t="n">
        <v>0</v>
      </c>
      <c r="CR24" s="459" t="n">
        <v>0</v>
      </c>
      <c r="CS24" s="459" t="n">
        <v>1.2414</v>
      </c>
      <c r="CT24" s="458" t="n">
        <v>0</v>
      </c>
      <c r="CU24" s="458" t="n">
        <v>0</v>
      </c>
      <c r="CV24" s="458" t="n">
        <v>0</v>
      </c>
      <c r="CW24" s="458" t="n">
        <v>0</v>
      </c>
      <c r="CX24" s="458" t="n">
        <v>0</v>
      </c>
      <c r="CY24" s="458" t="n">
        <v>0</v>
      </c>
      <c r="CZ24" s="458" t="n">
        <v>0</v>
      </c>
      <c r="DA24" s="458" t="n">
        <v>0</v>
      </c>
      <c r="DB24" s="458" t="n">
        <v>0</v>
      </c>
      <c r="DC24" s="458" t="n">
        <v>0</v>
      </c>
      <c r="DD24" s="458" t="n">
        <v>0</v>
      </c>
      <c r="DE24" s="458" t="n">
        <v>0</v>
      </c>
      <c r="DF24" s="459" t="n">
        <v>0</v>
      </c>
      <c r="DG24" s="459" t="n">
        <v>0</v>
      </c>
      <c r="DH24" s="459" t="n">
        <v>0</v>
      </c>
      <c r="DI24" s="459" t="n">
        <v>0</v>
      </c>
      <c r="DJ24" s="459" t="n">
        <v>0</v>
      </c>
      <c r="DK24" s="459" t="n">
        <v>0</v>
      </c>
      <c r="DL24" s="459" t="n">
        <v>0</v>
      </c>
      <c r="DM24" s="459" t="n">
        <v>0</v>
      </c>
      <c r="DN24" s="459" t="n">
        <v>0</v>
      </c>
      <c r="DO24" s="459" t="n">
        <v>0</v>
      </c>
      <c r="DP24" s="459" t="n">
        <v>0</v>
      </c>
      <c r="DQ24" s="459" t="n">
        <v>0</v>
      </c>
      <c r="DR24" s="458" t="n">
        <v>0</v>
      </c>
      <c r="DS24" s="458" t="n">
        <v>0</v>
      </c>
      <c r="DT24" s="458" t="n">
        <v>0</v>
      </c>
      <c r="DU24" s="458" t="n">
        <v>0</v>
      </c>
      <c r="DV24" s="458" t="n">
        <v>0</v>
      </c>
      <c r="DW24" s="458" t="n">
        <v>0</v>
      </c>
      <c r="DX24" s="458" t="n">
        <v>0</v>
      </c>
      <c r="DY24" s="458" t="n">
        <v>0</v>
      </c>
      <c r="DZ24" s="458" t="n">
        <v>0</v>
      </c>
      <c r="EA24" s="458" t="n">
        <v>0</v>
      </c>
      <c r="EB24" s="458" t="n">
        <v>0</v>
      </c>
      <c r="EC24" s="458" t="n">
        <v>0</v>
      </c>
      <c r="ED24" s="459" t="n">
        <v>0</v>
      </c>
      <c r="EE24" s="459" t="n">
        <v>0</v>
      </c>
      <c r="EF24" s="459" t="n">
        <v>0</v>
      </c>
      <c r="EG24" s="459" t="n">
        <v>0</v>
      </c>
      <c r="EH24" s="459" t="n">
        <v>0</v>
      </c>
      <c r="EI24" s="459" t="n">
        <v>0</v>
      </c>
      <c r="EJ24" s="459" t="n">
        <v>0</v>
      </c>
      <c r="EK24" s="459" t="n">
        <v>0</v>
      </c>
      <c r="EL24" s="459" t="n">
        <v>0</v>
      </c>
      <c r="EM24" s="459" t="n">
        <v>0</v>
      </c>
      <c r="EN24" s="459" t="n">
        <v>0</v>
      </c>
      <c r="EO24" s="459" t="n">
        <v>0</v>
      </c>
      <c r="EP24" s="458" t="n">
        <v>0</v>
      </c>
      <c r="EQ24" s="458" t="n">
        <v>0</v>
      </c>
      <c r="ER24" s="458" t="n">
        <v>0</v>
      </c>
      <c r="ES24" s="458" t="n">
        <v>0</v>
      </c>
      <c r="ET24" s="458" t="n">
        <v>0</v>
      </c>
      <c r="EU24" s="458" t="n">
        <v>0</v>
      </c>
      <c r="EV24" s="458" t="n">
        <v>0</v>
      </c>
      <c r="EW24" s="458" t="n">
        <v>0</v>
      </c>
      <c r="EX24" s="458" t="n">
        <v>0</v>
      </c>
      <c r="EY24" s="458" t="n">
        <v>0</v>
      </c>
      <c r="EZ24" s="458" t="n">
        <v>0</v>
      </c>
      <c r="FA24" s="458" t="n">
        <v>0</v>
      </c>
      <c r="FB24" s="459" t="n">
        <v>0</v>
      </c>
      <c r="FC24" s="459" t="n">
        <v>0</v>
      </c>
      <c r="FD24" s="459" t="n">
        <v>0</v>
      </c>
      <c r="FE24" s="459" t="n">
        <v>0</v>
      </c>
      <c r="FF24" s="459" t="n">
        <v>0</v>
      </c>
      <c r="FG24" s="459" t="n">
        <v>0</v>
      </c>
      <c r="FH24" s="459" t="n">
        <v>0</v>
      </c>
      <c r="FI24" s="459" t="n">
        <v>0</v>
      </c>
      <c r="FJ24" s="459" t="n">
        <v>0</v>
      </c>
      <c r="FK24" s="459" t="n">
        <v>0</v>
      </c>
      <c r="FL24" s="459" t="n">
        <v>0</v>
      </c>
      <c r="FM24" s="459" t="n">
        <v>0</v>
      </c>
      <c r="FN24" s="458" t="n">
        <v>0</v>
      </c>
      <c r="FO24" s="458" t="n">
        <v>0</v>
      </c>
      <c r="FP24" s="458" t="n">
        <v>0</v>
      </c>
      <c r="FQ24" s="458" t="n">
        <v>0</v>
      </c>
      <c r="FR24" s="458" t="n">
        <v>0</v>
      </c>
      <c r="FS24" s="458" t="n">
        <v>0</v>
      </c>
      <c r="FT24" s="458" t="n">
        <v>0</v>
      </c>
      <c r="FU24" s="458" t="n">
        <v>0</v>
      </c>
      <c r="FV24" s="458" t="n">
        <v>0</v>
      </c>
      <c r="FW24" s="458" t="n">
        <v>0</v>
      </c>
      <c r="FX24" s="458" t="n">
        <v>0</v>
      </c>
      <c r="FY24" s="458" t="n">
        <v>0</v>
      </c>
      <c r="FZ24" s="306" t="n"/>
    </row>
    <row r="25" ht="15" customHeight="1" s="307">
      <c r="A25" s="460" t="inlineStr">
        <is>
          <t>Total Operating Expenses</t>
        </is>
      </c>
      <c r="B25" s="461" t="n">
        <v>0.0813</v>
      </c>
      <c r="C25" s="461" t="n">
        <v>0.0813</v>
      </c>
      <c r="D25" s="461" t="n">
        <v>0.0813</v>
      </c>
      <c r="E25" s="461" t="n">
        <v>1.9385</v>
      </c>
      <c r="F25" s="461" t="n">
        <v>1.7504</v>
      </c>
      <c r="G25" s="461" t="n">
        <v>1.567</v>
      </c>
      <c r="H25" s="461" t="n">
        <v>3.779</v>
      </c>
      <c r="I25" s="461" t="n">
        <v>2.9175</v>
      </c>
      <c r="J25" s="461" t="n">
        <v>2.553</v>
      </c>
      <c r="K25" s="461" t="n">
        <v>4.1334</v>
      </c>
      <c r="L25" s="461" t="n">
        <v>3.6665</v>
      </c>
      <c r="M25" s="461" t="n">
        <v>4.8637</v>
      </c>
      <c r="N25" s="462" t="n">
        <v>4.5409</v>
      </c>
      <c r="O25" s="462" t="n">
        <v>4.0294</v>
      </c>
      <c r="P25" s="462" t="n">
        <v>3.531</v>
      </c>
      <c r="Q25" s="462" t="n">
        <v>4.6533</v>
      </c>
      <c r="R25" s="462" t="n">
        <v>4.1607</v>
      </c>
      <c r="S25" s="462" t="n">
        <v>3.6807</v>
      </c>
      <c r="T25" s="462" t="n">
        <v>3.3149</v>
      </c>
      <c r="U25" s="462" t="n">
        <v>3.0107</v>
      </c>
      <c r="V25" s="462" t="n">
        <v>2.7143</v>
      </c>
      <c r="W25" s="462" t="n">
        <v>2.4255</v>
      </c>
      <c r="X25" s="462" t="n">
        <v>2.3014</v>
      </c>
      <c r="Y25" s="462" t="n">
        <v>3.6804</v>
      </c>
      <c r="Z25" s="461" t="n">
        <v>3.436</v>
      </c>
      <c r="AA25" s="461" t="n">
        <v>3.1977</v>
      </c>
      <c r="AB25" s="461" t="n">
        <v>2.9654</v>
      </c>
      <c r="AC25" s="461" t="n">
        <v>2.7388</v>
      </c>
      <c r="AD25" s="461" t="n">
        <v>2.5669</v>
      </c>
      <c r="AE25" s="461" t="n">
        <v>3.8992</v>
      </c>
      <c r="AF25" s="461" t="n">
        <v>3.6534</v>
      </c>
      <c r="AG25" s="461" t="n">
        <v>3.4136</v>
      </c>
      <c r="AH25" s="461" t="n">
        <v>3.1798</v>
      </c>
      <c r="AI25" s="461" t="n">
        <v>2.9519</v>
      </c>
      <c r="AJ25" s="461" t="n">
        <v>2.7297</v>
      </c>
      <c r="AK25" s="461" t="n">
        <v>4.0131</v>
      </c>
      <c r="AL25" s="462" t="n">
        <v>3.7657</v>
      </c>
      <c r="AM25" s="462" t="n">
        <v>3.5244</v>
      </c>
      <c r="AN25" s="462" t="n">
        <v>3.2891</v>
      </c>
      <c r="AO25" s="462" t="n">
        <v>3.0597</v>
      </c>
      <c r="AP25" s="462" t="n">
        <v>2.836</v>
      </c>
      <c r="AQ25" s="462" t="n">
        <v>2.618</v>
      </c>
      <c r="AR25" s="462" t="n">
        <v>2.5456</v>
      </c>
      <c r="AS25" s="462" t="n">
        <v>2.4749</v>
      </c>
      <c r="AT25" s="462" t="n">
        <v>2.4057</v>
      </c>
      <c r="AU25" s="462" t="n">
        <v>2.3382</v>
      </c>
      <c r="AV25" s="462" t="n">
        <v>2.2722</v>
      </c>
      <c r="AW25" s="462" t="n">
        <v>8.685</v>
      </c>
      <c r="AX25" s="461" t="n">
        <v>2.1908</v>
      </c>
      <c r="AY25" s="461" t="n">
        <v>2.1742</v>
      </c>
      <c r="AZ25" s="461" t="n">
        <v>2.1578</v>
      </c>
      <c r="BA25" s="461" t="n">
        <v>2.1416</v>
      </c>
      <c r="BB25" s="461" t="n">
        <v>2.1257</v>
      </c>
      <c r="BC25" s="461" t="n">
        <v>2.1099</v>
      </c>
      <c r="BD25" s="461" t="n">
        <v>2.0944</v>
      </c>
      <c r="BE25" s="461" t="n">
        <v>2.079</v>
      </c>
      <c r="BF25" s="461" t="n">
        <v>2.0639</v>
      </c>
      <c r="BG25" s="461" t="n">
        <v>2.049</v>
      </c>
      <c r="BH25" s="461" t="n">
        <v>2.0343</v>
      </c>
      <c r="BI25" s="461" t="n">
        <v>11.2395</v>
      </c>
      <c r="BJ25" s="462" t="n">
        <v>2.0054</v>
      </c>
      <c r="BK25" s="462" t="n">
        <v>1.9913</v>
      </c>
      <c r="BL25" s="462" t="n">
        <v>1.9773</v>
      </c>
      <c r="BM25" s="462" t="n">
        <v>1.9636</v>
      </c>
      <c r="BN25" s="462" t="n">
        <v>1.95</v>
      </c>
      <c r="BO25" s="462" t="n">
        <v>1.9366</v>
      </c>
      <c r="BP25" s="462" t="n">
        <v>1.9234</v>
      </c>
      <c r="BQ25" s="462" t="n">
        <v>1.9104</v>
      </c>
      <c r="BR25" s="462" t="n">
        <v>1.8975</v>
      </c>
      <c r="BS25" s="462" t="n">
        <v>1.8848</v>
      </c>
      <c r="BT25" s="462" t="n">
        <v>1.8723</v>
      </c>
      <c r="BU25" s="462" t="n">
        <v>7.9784</v>
      </c>
      <c r="BV25" s="461" t="n">
        <v>1.8478</v>
      </c>
      <c r="BW25" s="461" t="n">
        <v>1.8358</v>
      </c>
      <c r="BX25" s="461" t="n">
        <v>1.8239</v>
      </c>
      <c r="BY25" s="461" t="n">
        <v>1.8122</v>
      </c>
      <c r="BZ25" s="461" t="n">
        <v>1.8007</v>
      </c>
      <c r="CA25" s="461" t="n">
        <v>1.7893</v>
      </c>
      <c r="CB25" s="461" t="n">
        <v>1.7781</v>
      </c>
      <c r="CC25" s="461" t="n">
        <v>1.767</v>
      </c>
      <c r="CD25" s="461" t="n">
        <v>1.7561</v>
      </c>
      <c r="CE25" s="461" t="n">
        <v>1.7453</v>
      </c>
      <c r="CF25" s="461" t="n">
        <v>1.7347</v>
      </c>
      <c r="CG25" s="461" t="n">
        <v>5.2064</v>
      </c>
      <c r="CH25" s="462" t="n">
        <v>1.7138</v>
      </c>
      <c r="CI25" s="462" t="n">
        <v>1.7036</v>
      </c>
      <c r="CJ25" s="462" t="n">
        <v>1.6935</v>
      </c>
      <c r="CK25" s="462" t="n">
        <v>1.6836</v>
      </c>
      <c r="CL25" s="462" t="n">
        <v>1.6738</v>
      </c>
      <c r="CM25" s="462" t="n">
        <v>1.6641</v>
      </c>
      <c r="CN25" s="462" t="n">
        <v>1.6546</v>
      </c>
      <c r="CO25" s="462" t="n">
        <v>1.6452</v>
      </c>
      <c r="CP25" s="462" t="n">
        <v>1.6359</v>
      </c>
      <c r="CQ25" s="462" t="n">
        <v>1.6267</v>
      </c>
      <c r="CR25" s="462" t="n">
        <v>1.6177</v>
      </c>
      <c r="CS25" s="462" t="n">
        <v>2.8502</v>
      </c>
      <c r="CT25" s="461" t="n">
        <v>1.6</v>
      </c>
      <c r="CU25" s="461" t="n">
        <v>1.5913</v>
      </c>
      <c r="CV25" s="461" t="n">
        <v>1.5827</v>
      </c>
      <c r="CW25" s="461" t="n">
        <v>1.5743</v>
      </c>
      <c r="CX25" s="461" t="n">
        <v>1.5659</v>
      </c>
      <c r="CY25" s="461" t="n">
        <v>1.5577</v>
      </c>
      <c r="CZ25" s="461" t="n">
        <v>1.5496</v>
      </c>
      <c r="DA25" s="461" t="n">
        <v>1.5416</v>
      </c>
      <c r="DB25" s="461" t="n">
        <v>1.5337</v>
      </c>
      <c r="DC25" s="461" t="n">
        <v>1.5259</v>
      </c>
      <c r="DD25" s="461" t="n">
        <v>1.5182</v>
      </c>
      <c r="DE25" s="461" t="n">
        <v>1.5107</v>
      </c>
      <c r="DF25" s="462" t="n">
        <v>1.5032</v>
      </c>
      <c r="DG25" s="462" t="n">
        <v>1.4958</v>
      </c>
      <c r="DH25" s="462" t="n">
        <v>1.4885</v>
      </c>
      <c r="DI25" s="462" t="n">
        <v>1.4813</v>
      </c>
      <c r="DJ25" s="462" t="n">
        <v>1.4742</v>
      </c>
      <c r="DK25" s="462" t="n">
        <v>1.4673</v>
      </c>
      <c r="DL25" s="462" t="n">
        <v>1.4604</v>
      </c>
      <c r="DM25" s="462" t="n">
        <v>1.4536</v>
      </c>
      <c r="DN25" s="462" t="n">
        <v>1.4469</v>
      </c>
      <c r="DO25" s="462" t="n">
        <v>1.4402</v>
      </c>
      <c r="DP25" s="462" t="n">
        <v>1.4337</v>
      </c>
      <c r="DQ25" s="462" t="n">
        <v>1.4273</v>
      </c>
      <c r="DR25" s="461" t="n">
        <v>1.4209</v>
      </c>
      <c r="DS25" s="461" t="n">
        <v>1.4146</v>
      </c>
      <c r="DT25" s="461" t="n">
        <v>1.4084</v>
      </c>
      <c r="DU25" s="461" t="n">
        <v>1.4023</v>
      </c>
      <c r="DV25" s="461" t="n">
        <v>1.3963</v>
      </c>
      <c r="DW25" s="461" t="n">
        <v>1.3904</v>
      </c>
      <c r="DX25" s="461" t="n">
        <v>1.3845</v>
      </c>
      <c r="DY25" s="461" t="n">
        <v>1.3787</v>
      </c>
      <c r="DZ25" s="461" t="n">
        <v>1.373</v>
      </c>
      <c r="EA25" s="461" t="n">
        <v>1.3674</v>
      </c>
      <c r="EB25" s="461" t="n">
        <v>1.3618</v>
      </c>
      <c r="EC25" s="461" t="n">
        <v>1.3564</v>
      </c>
      <c r="ED25" s="462" t="n">
        <v>1.351</v>
      </c>
      <c r="EE25" s="462" t="n">
        <v>1.3456</v>
      </c>
      <c r="EF25" s="462" t="n">
        <v>1.3404</v>
      </c>
      <c r="EG25" s="462" t="n">
        <v>1.3352</v>
      </c>
      <c r="EH25" s="462" t="n">
        <v>1.3301</v>
      </c>
      <c r="EI25" s="462" t="n">
        <v>1.325</v>
      </c>
      <c r="EJ25" s="462" t="n">
        <v>1.32</v>
      </c>
      <c r="EK25" s="462" t="n">
        <v>1.3151</v>
      </c>
      <c r="EL25" s="462" t="n">
        <v>1.3103</v>
      </c>
      <c r="EM25" s="462" t="n">
        <v>1.3055</v>
      </c>
      <c r="EN25" s="462" t="n">
        <v>1.3008</v>
      </c>
      <c r="EO25" s="462" t="n">
        <v>1.2961</v>
      </c>
      <c r="EP25" s="461" t="n">
        <v>1.2915</v>
      </c>
      <c r="EQ25" s="461" t="n">
        <v>1.287</v>
      </c>
      <c r="ER25" s="461" t="n">
        <v>1.2825</v>
      </c>
      <c r="ES25" s="461" t="n">
        <v>1.2781</v>
      </c>
      <c r="ET25" s="461" t="n">
        <v>1.2738</v>
      </c>
      <c r="EU25" s="461" t="n">
        <v>1.2695</v>
      </c>
      <c r="EV25" s="461" t="n">
        <v>1.2652</v>
      </c>
      <c r="EW25" s="461" t="n">
        <v>1.2611</v>
      </c>
      <c r="EX25" s="461" t="n">
        <v>1.2569</v>
      </c>
      <c r="EY25" s="461" t="n">
        <v>1.2529</v>
      </c>
      <c r="EZ25" s="461" t="n">
        <v>1.2489</v>
      </c>
      <c r="FA25" s="461" t="n">
        <v>1.2449</v>
      </c>
      <c r="FB25" s="462" t="n">
        <v>1.241</v>
      </c>
      <c r="FC25" s="462" t="n">
        <v>1.2371</v>
      </c>
      <c r="FD25" s="462" t="n">
        <v>1.2333</v>
      </c>
      <c r="FE25" s="462" t="n">
        <v>1.2296</v>
      </c>
      <c r="FF25" s="462" t="n">
        <v>1.2259</v>
      </c>
      <c r="FG25" s="462" t="n">
        <v>1.2223</v>
      </c>
      <c r="FH25" s="462" t="n">
        <v>1.2187</v>
      </c>
      <c r="FI25" s="462" t="n">
        <v>1.2151</v>
      </c>
      <c r="FJ25" s="462" t="n">
        <v>1.2116</v>
      </c>
      <c r="FK25" s="462" t="n">
        <v>1.2081</v>
      </c>
      <c r="FL25" s="462" t="n">
        <v>1.2047</v>
      </c>
      <c r="FM25" s="462" t="n">
        <v>1.2014</v>
      </c>
      <c r="FN25" s="461" t="n">
        <v>1.1981</v>
      </c>
      <c r="FO25" s="461" t="n">
        <v>1.1948</v>
      </c>
      <c r="FP25" s="461" t="n">
        <v>1.1915</v>
      </c>
      <c r="FQ25" s="461" t="n">
        <v>1.1884</v>
      </c>
      <c r="FR25" s="461" t="n">
        <v>1.1852</v>
      </c>
      <c r="FS25" s="461" t="n">
        <v>1.1821</v>
      </c>
      <c r="FT25" s="461" t="n">
        <v>1.1791</v>
      </c>
      <c r="FU25" s="461" t="n">
        <v>1.176</v>
      </c>
      <c r="FV25" s="461" t="n">
        <v>1.1731</v>
      </c>
      <c r="FW25" s="461" t="n">
        <v>1.1701</v>
      </c>
      <c r="FX25" s="461" t="n">
        <v>1.1672</v>
      </c>
      <c r="FY25" s="461" t="n">
        <v>1.1644</v>
      </c>
      <c r="FZ25" s="306" t="n"/>
    </row>
    <row r="26" ht="15" customHeight="1" s="307">
      <c r="A26" s="322" t="n"/>
      <c r="B26" s="466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466" t="n"/>
      <c r="L26" s="466" t="n"/>
      <c r="M26" s="466" t="n"/>
      <c r="N26" s="466" t="n"/>
      <c r="O26" s="466" t="n"/>
      <c r="P26" s="466" t="n"/>
      <c r="Q26" s="466" t="n"/>
      <c r="R26" s="466" t="n"/>
      <c r="S26" s="466" t="n"/>
      <c r="T26" s="466" t="n"/>
      <c r="U26" s="466" t="n"/>
      <c r="V26" s="466" t="n"/>
      <c r="W26" s="466" t="n"/>
      <c r="X26" s="466" t="n"/>
      <c r="Y26" s="466" t="n"/>
      <c r="Z26" s="466" t="n"/>
      <c r="AA26" s="466" t="n"/>
      <c r="AB26" s="466" t="n"/>
      <c r="AC26" s="466" t="n"/>
      <c r="AD26" s="466" t="n"/>
      <c r="AE26" s="466" t="n"/>
      <c r="AF26" s="466" t="n"/>
      <c r="AG26" s="466" t="n"/>
      <c r="AH26" s="466" t="n"/>
      <c r="AI26" s="466" t="n"/>
      <c r="AJ26" s="466" t="n"/>
      <c r="AK26" s="466" t="n"/>
      <c r="AL26" s="466" t="n"/>
      <c r="AM26" s="466" t="n"/>
      <c r="AN26" s="466" t="n"/>
      <c r="AO26" s="466" t="n"/>
      <c r="AP26" s="466" t="n"/>
      <c r="AQ26" s="466" t="n"/>
      <c r="AR26" s="466" t="n"/>
      <c r="AS26" s="466" t="n"/>
      <c r="AT26" s="466" t="n"/>
      <c r="AU26" s="466" t="n"/>
      <c r="AV26" s="466" t="n"/>
      <c r="AW26" s="466" t="n"/>
      <c r="AX26" s="466" t="n"/>
      <c r="AY26" s="466" t="n"/>
      <c r="AZ26" s="466" t="n"/>
      <c r="BA26" s="466" t="n"/>
      <c r="BB26" s="466" t="n"/>
      <c r="BC26" s="466" t="n"/>
      <c r="BD26" s="466" t="n"/>
      <c r="BE26" s="466" t="n"/>
      <c r="BF26" s="466" t="n"/>
      <c r="BG26" s="466" t="n"/>
      <c r="BH26" s="466" t="n"/>
      <c r="BI26" s="466" t="n"/>
      <c r="BJ26" s="466" t="n"/>
      <c r="BK26" s="466" t="n"/>
      <c r="BL26" s="466" t="n"/>
      <c r="BM26" s="466" t="n"/>
      <c r="BN26" s="466" t="n"/>
      <c r="BO26" s="466" t="n"/>
      <c r="BP26" s="466" t="n"/>
      <c r="BQ26" s="466" t="n"/>
      <c r="BR26" s="466" t="n"/>
      <c r="BS26" s="466" t="n"/>
      <c r="BT26" s="466" t="n"/>
      <c r="BU26" s="466" t="n"/>
      <c r="BV26" s="466" t="n"/>
      <c r="BW26" s="466" t="n"/>
      <c r="BX26" s="466" t="n"/>
      <c r="BY26" s="466" t="n"/>
      <c r="BZ26" s="466" t="n"/>
      <c r="CA26" s="466" t="n"/>
      <c r="CB26" s="466" t="n"/>
      <c r="CC26" s="466" t="n"/>
      <c r="CD26" s="466" t="n"/>
      <c r="CE26" s="466" t="n"/>
      <c r="CF26" s="466" t="n"/>
      <c r="CG26" s="466" t="n"/>
      <c r="CH26" s="466" t="n"/>
      <c r="CI26" s="466" t="n"/>
      <c r="CJ26" s="466" t="n"/>
      <c r="CK26" s="466" t="n"/>
      <c r="CL26" s="466" t="n"/>
      <c r="CM26" s="466" t="n"/>
      <c r="CN26" s="466" t="n"/>
      <c r="CO26" s="466" t="n"/>
      <c r="CP26" s="466" t="n"/>
      <c r="CQ26" s="466" t="n"/>
      <c r="CR26" s="466" t="n"/>
      <c r="CS26" s="466" t="n"/>
      <c r="CT26" s="466" t="n"/>
      <c r="CU26" s="466" t="n"/>
      <c r="CV26" s="466" t="n"/>
      <c r="CW26" s="466" t="n"/>
      <c r="CX26" s="466" t="n"/>
      <c r="CY26" s="466" t="n"/>
      <c r="CZ26" s="466" t="n"/>
      <c r="DA26" s="466" t="n"/>
      <c r="DB26" s="466" t="n"/>
      <c r="DC26" s="466" t="n"/>
      <c r="DD26" s="466" t="n"/>
      <c r="DE26" s="466" t="n"/>
      <c r="DF26" s="466" t="n"/>
      <c r="DG26" s="466" t="n"/>
      <c r="DH26" s="466" t="n"/>
      <c r="DI26" s="466" t="n"/>
      <c r="DJ26" s="466" t="n"/>
      <c r="DK26" s="466" t="n"/>
      <c r="DL26" s="466" t="n"/>
      <c r="DM26" s="466" t="n"/>
      <c r="DN26" s="466" t="n"/>
      <c r="DO26" s="466" t="n"/>
      <c r="DP26" s="466" t="n"/>
      <c r="DQ26" s="466" t="n"/>
      <c r="DR26" s="466" t="n"/>
      <c r="DS26" s="466" t="n"/>
      <c r="DT26" s="466" t="n"/>
      <c r="DU26" s="466" t="n"/>
      <c r="DV26" s="466" t="n"/>
      <c r="DW26" s="466" t="n"/>
      <c r="DX26" s="466" t="n"/>
      <c r="DY26" s="466" t="n"/>
      <c r="DZ26" s="466" t="n"/>
      <c r="EA26" s="466" t="n"/>
      <c r="EB26" s="466" t="n"/>
      <c r="EC26" s="466" t="n"/>
      <c r="ED26" s="466" t="n"/>
      <c r="EE26" s="466" t="n"/>
      <c r="EF26" s="466" t="n"/>
      <c r="EG26" s="466" t="n"/>
      <c r="EH26" s="466" t="n"/>
      <c r="EI26" s="466" t="n"/>
      <c r="EJ26" s="466" t="n"/>
      <c r="EK26" s="466" t="n"/>
      <c r="EL26" s="466" t="n"/>
      <c r="EM26" s="466" t="n"/>
      <c r="EN26" s="466" t="n"/>
      <c r="EO26" s="466" t="n"/>
      <c r="EP26" s="466" t="n"/>
      <c r="EQ26" s="466" t="n"/>
      <c r="ER26" s="466" t="n"/>
      <c r="ES26" s="466" t="n"/>
      <c r="ET26" s="466" t="n"/>
      <c r="EU26" s="466" t="n"/>
      <c r="EV26" s="466" t="n"/>
      <c r="EW26" s="466" t="n"/>
      <c r="EX26" s="466" t="n"/>
      <c r="EY26" s="466" t="n"/>
      <c r="EZ26" s="466" t="n"/>
      <c r="FA26" s="466" t="n"/>
      <c r="FB26" s="466" t="n"/>
      <c r="FC26" s="466" t="n"/>
      <c r="FD26" s="466" t="n"/>
      <c r="FE26" s="466" t="n"/>
      <c r="FF26" s="466" t="n"/>
      <c r="FG26" s="466" t="n"/>
      <c r="FH26" s="466" t="n"/>
      <c r="FI26" s="466" t="n"/>
      <c r="FJ26" s="466" t="n"/>
      <c r="FK26" s="466" t="n"/>
      <c r="FL26" s="466" t="n"/>
      <c r="FM26" s="466" t="n"/>
      <c r="FN26" s="466" t="n"/>
      <c r="FO26" s="466" t="n"/>
      <c r="FP26" s="466" t="n"/>
      <c r="FQ26" s="466" t="n"/>
      <c r="FR26" s="466" t="n"/>
      <c r="FS26" s="466" t="n"/>
      <c r="FT26" s="466" t="n"/>
      <c r="FU26" s="466" t="n"/>
      <c r="FV26" s="466" t="n"/>
      <c r="FW26" s="466" t="n"/>
      <c r="FX26" s="466" t="n"/>
      <c r="FY26" s="466" t="n"/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 t="n">
        <v>0</v>
      </c>
      <c r="C28" s="458" t="n">
        <v>0</v>
      </c>
      <c r="D28" s="458" t="n">
        <v>0</v>
      </c>
      <c r="E28" s="458" t="n">
        <v>1.4771</v>
      </c>
      <c r="F28" s="458" t="n">
        <v>0</v>
      </c>
      <c r="G28" s="458" t="n">
        <v>0</v>
      </c>
      <c r="H28" s="458" t="n">
        <v>1.5694</v>
      </c>
      <c r="I28" s="458" t="n">
        <v>0</v>
      </c>
      <c r="J28" s="458" t="n">
        <v>0</v>
      </c>
      <c r="K28" s="458" t="n">
        <v>1.7368</v>
      </c>
      <c r="L28" s="458" t="n">
        <v>0</v>
      </c>
      <c r="M28" s="458" t="n">
        <v>1.5002</v>
      </c>
      <c r="N28" s="459" t="n">
        <v>0</v>
      </c>
      <c r="O28" s="459" t="n">
        <v>0</v>
      </c>
      <c r="P28" s="459" t="n">
        <v>0</v>
      </c>
      <c r="Q28" s="459" t="n">
        <v>1.4656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1.3848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1.3848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1.3848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468" t="inlineStr">
        <is>
          <t>Operating Income</t>
        </is>
      </c>
      <c r="B29" s="469" t="n">
        <v>-0.0813</v>
      </c>
      <c r="C29" s="469" t="n">
        <v>-0.0813</v>
      </c>
      <c r="D29" s="469" t="n">
        <v>-0.0813</v>
      </c>
      <c r="E29" s="469" t="n">
        <v>-1.8157</v>
      </c>
      <c r="F29" s="469" t="n">
        <v>-0.1193</v>
      </c>
      <c r="G29" s="469" t="n">
        <v>0.094</v>
      </c>
      <c r="H29" s="469" t="n">
        <v>-1.9585</v>
      </c>
      <c r="I29" s="469" t="n">
        <v>0.5333</v>
      </c>
      <c r="J29" s="469" t="n">
        <v>0.9563</v>
      </c>
      <c r="K29" s="469" t="n">
        <v>-0.4232</v>
      </c>
      <c r="L29" s="469" t="n">
        <v>1.8227</v>
      </c>
      <c r="M29" s="469" t="n">
        <v>0.7905</v>
      </c>
      <c r="N29" s="470" t="n">
        <v>2.6832</v>
      </c>
      <c r="O29" s="470" t="n">
        <v>3.2096</v>
      </c>
      <c r="P29" s="470" t="n">
        <v>3.7212</v>
      </c>
      <c r="Q29" s="470" t="n">
        <v>2.7324</v>
      </c>
      <c r="R29" s="470" t="n">
        <v>4.6743</v>
      </c>
      <c r="S29" s="470" t="n">
        <v>5.1369</v>
      </c>
      <c r="T29" s="470" t="n">
        <v>5.4349</v>
      </c>
      <c r="U29" s="470" t="n">
        <v>5.6715</v>
      </c>
      <c r="V29" s="470" t="n">
        <v>5.9006</v>
      </c>
      <c r="W29" s="470" t="n">
        <v>6.1223</v>
      </c>
      <c r="X29" s="470" t="n">
        <v>6.1314</v>
      </c>
      <c r="Y29" s="470" t="n">
        <v>4.7541</v>
      </c>
      <c r="Z29" s="469" t="n">
        <v>6.3006</v>
      </c>
      <c r="AA29" s="469" t="n">
        <v>6.4566</v>
      </c>
      <c r="AB29" s="469" t="n">
        <v>6.6071</v>
      </c>
      <c r="AC29" s="469" t="n">
        <v>6.7522</v>
      </c>
      <c r="AD29" s="469" t="n">
        <v>6.8432</v>
      </c>
      <c r="AE29" s="469" t="n">
        <v>5.5456</v>
      </c>
      <c r="AF29" s="469" t="n">
        <v>7.0799</v>
      </c>
      <c r="AG29" s="469" t="n">
        <v>7.2239</v>
      </c>
      <c r="AH29" s="469" t="n">
        <v>7.3626</v>
      </c>
      <c r="AI29" s="469" t="n">
        <v>7.4961</v>
      </c>
      <c r="AJ29" s="469" t="n">
        <v>7.6245</v>
      </c>
      <c r="AK29" s="469" t="n">
        <v>6.3631</v>
      </c>
      <c r="AL29" s="470" t="n">
        <v>7.8864</v>
      </c>
      <c r="AM29" s="470" t="n">
        <v>8.019600000000001</v>
      </c>
      <c r="AN29" s="470" t="n">
        <v>8.147600000000001</v>
      </c>
      <c r="AO29" s="470" t="n">
        <v>8.2706</v>
      </c>
      <c r="AP29" s="470" t="n">
        <v>8.388500000000001</v>
      </c>
      <c r="AQ29" s="470" t="n">
        <v>8.5017</v>
      </c>
      <c r="AR29" s="470" t="n">
        <v>8.4245</v>
      </c>
      <c r="AS29" s="470" t="n">
        <v>8.3477</v>
      </c>
      <c r="AT29" s="470" t="n">
        <v>8.2712</v>
      </c>
      <c r="AU29" s="470" t="n">
        <v>8.1952</v>
      </c>
      <c r="AV29" s="470" t="n">
        <v>8.1195</v>
      </c>
      <c r="AW29" s="470" t="n">
        <v>1.5668</v>
      </c>
      <c r="AX29" s="469" t="n">
        <v>7.9231</v>
      </c>
      <c r="AY29" s="469" t="n">
        <v>7.8037</v>
      </c>
      <c r="AZ29" s="469" t="n">
        <v>7.6859</v>
      </c>
      <c r="BA29" s="469" t="n">
        <v>7.5696</v>
      </c>
      <c r="BB29" s="469" t="n">
        <v>7.455</v>
      </c>
      <c r="BC29" s="469" t="n">
        <v>7.3418</v>
      </c>
      <c r="BD29" s="469" t="n">
        <v>7.2302</v>
      </c>
      <c r="BE29" s="469" t="n">
        <v>7.1201</v>
      </c>
      <c r="BF29" s="469" t="n">
        <v>7.0115</v>
      </c>
      <c r="BG29" s="469" t="n">
        <v>6.9043</v>
      </c>
      <c r="BH29" s="469" t="n">
        <v>6.7986</v>
      </c>
      <c r="BI29" s="469" t="n">
        <v>-2.5255</v>
      </c>
      <c r="BJ29" s="470" t="n">
        <v>6.5914</v>
      </c>
      <c r="BK29" s="470" t="n">
        <v>6.4899</v>
      </c>
      <c r="BL29" s="470" t="n">
        <v>6.3898</v>
      </c>
      <c r="BM29" s="470" t="n">
        <v>6.291</v>
      </c>
      <c r="BN29" s="470" t="n">
        <v>6.1935</v>
      </c>
      <c r="BO29" s="470" t="n">
        <v>6.0974</v>
      </c>
      <c r="BP29" s="470" t="n">
        <v>6.0025</v>
      </c>
      <c r="BQ29" s="470" t="n">
        <v>5.9089</v>
      </c>
      <c r="BR29" s="470" t="n">
        <v>5.8166</v>
      </c>
      <c r="BS29" s="470" t="n">
        <v>5.7255</v>
      </c>
      <c r="BT29" s="470" t="n">
        <v>5.6356</v>
      </c>
      <c r="BU29" s="470" t="n">
        <v>-0.5714</v>
      </c>
      <c r="BV29" s="469" t="n">
        <v>5.4595</v>
      </c>
      <c r="BW29" s="469" t="n">
        <v>5.3732</v>
      </c>
      <c r="BX29" s="469" t="n">
        <v>5.2881</v>
      </c>
      <c r="BY29" s="469" t="n">
        <v>5.2041</v>
      </c>
      <c r="BZ29" s="469" t="n">
        <v>5.1213</v>
      </c>
      <c r="CA29" s="469" t="n">
        <v>5.0395</v>
      </c>
      <c r="CB29" s="469" t="n">
        <v>4.9589</v>
      </c>
      <c r="CC29" s="469" t="n">
        <v>4.8794</v>
      </c>
      <c r="CD29" s="469" t="n">
        <v>4.8009</v>
      </c>
      <c r="CE29" s="469" t="n">
        <v>4.7235</v>
      </c>
      <c r="CF29" s="469" t="n">
        <v>4.6471</v>
      </c>
      <c r="CG29" s="469" t="n">
        <v>1.0895</v>
      </c>
      <c r="CH29" s="470" t="n">
        <v>4.4974</v>
      </c>
      <c r="CI29" s="470" t="n">
        <v>4.424</v>
      </c>
      <c r="CJ29" s="470" t="n">
        <v>4.3517</v>
      </c>
      <c r="CK29" s="470" t="n">
        <v>4.2803</v>
      </c>
      <c r="CL29" s="470" t="n">
        <v>4.2099</v>
      </c>
      <c r="CM29" s="470" t="n">
        <v>4.1404</v>
      </c>
      <c r="CN29" s="470" t="n">
        <v>4.0719</v>
      </c>
      <c r="CO29" s="470" t="n">
        <v>4.0043</v>
      </c>
      <c r="CP29" s="470" t="n">
        <v>3.9375</v>
      </c>
      <c r="CQ29" s="470" t="n">
        <v>3.8717</v>
      </c>
      <c r="CR29" s="470" t="n">
        <v>3.8068</v>
      </c>
      <c r="CS29" s="470" t="n">
        <v>2.5013</v>
      </c>
      <c r="CT29" s="469" t="n">
        <v>3.6796</v>
      </c>
      <c r="CU29" s="469" t="n">
        <v>3.6172</v>
      </c>
      <c r="CV29" s="469" t="n">
        <v>3.5557</v>
      </c>
      <c r="CW29" s="469" t="n">
        <v>3.4951</v>
      </c>
      <c r="CX29" s="469" t="n">
        <v>3.4352</v>
      </c>
      <c r="CY29" s="469" t="n">
        <v>3.3761</v>
      </c>
      <c r="CZ29" s="469" t="n">
        <v>3.3179</v>
      </c>
      <c r="DA29" s="469" t="n">
        <v>3.2604</v>
      </c>
      <c r="DB29" s="469" t="n">
        <v>3.2037</v>
      </c>
      <c r="DC29" s="469" t="n">
        <v>3.1478</v>
      </c>
      <c r="DD29" s="469" t="n">
        <v>3.0926</v>
      </c>
      <c r="DE29" s="469" t="n">
        <v>3.0381</v>
      </c>
      <c r="DF29" s="470" t="n">
        <v>2.9844</v>
      </c>
      <c r="DG29" s="470" t="n">
        <v>2.9314</v>
      </c>
      <c r="DH29" s="470" t="n">
        <v>2.8792</v>
      </c>
      <c r="DI29" s="470" t="n">
        <v>2.8276</v>
      </c>
      <c r="DJ29" s="470" t="n">
        <v>2.7767</v>
      </c>
      <c r="DK29" s="470" t="n">
        <v>2.7265</v>
      </c>
      <c r="DL29" s="470" t="n">
        <v>2.677</v>
      </c>
      <c r="DM29" s="470" t="n">
        <v>2.6281</v>
      </c>
      <c r="DN29" s="470" t="n">
        <v>2.58</v>
      </c>
      <c r="DO29" s="470" t="n">
        <v>2.5324</v>
      </c>
      <c r="DP29" s="470" t="n">
        <v>2.4855</v>
      </c>
      <c r="DQ29" s="470" t="n">
        <v>2.4392</v>
      </c>
      <c r="DR29" s="469" t="n">
        <v>2.3936</v>
      </c>
      <c r="DS29" s="469" t="n">
        <v>2.3485</v>
      </c>
      <c r="DT29" s="469" t="n">
        <v>2.3041</v>
      </c>
      <c r="DU29" s="469" t="n">
        <v>2.2603</v>
      </c>
      <c r="DV29" s="469" t="n">
        <v>2.217</v>
      </c>
      <c r="DW29" s="469" t="n">
        <v>2.1743</v>
      </c>
      <c r="DX29" s="469" t="n">
        <v>2.1322</v>
      </c>
      <c r="DY29" s="469" t="n">
        <v>2.0907</v>
      </c>
      <c r="DZ29" s="469" t="n">
        <v>2.0498</v>
      </c>
      <c r="EA29" s="469" t="n">
        <v>2.0093</v>
      </c>
      <c r="EB29" s="469" t="n">
        <v>1.9695</v>
      </c>
      <c r="EC29" s="469" t="n">
        <v>1.9301</v>
      </c>
      <c r="ED29" s="470" t="n">
        <v>1.8913</v>
      </c>
      <c r="EE29" s="470" t="n">
        <v>1.853</v>
      </c>
      <c r="EF29" s="470" t="n">
        <v>1.8153</v>
      </c>
      <c r="EG29" s="470" t="n">
        <v>1.778</v>
      </c>
      <c r="EH29" s="470" t="n">
        <v>1.7413</v>
      </c>
      <c r="EI29" s="470" t="n">
        <v>1.705</v>
      </c>
      <c r="EJ29" s="470" t="n">
        <v>1.6692</v>
      </c>
      <c r="EK29" s="470" t="n">
        <v>1.6339</v>
      </c>
      <c r="EL29" s="470" t="n">
        <v>1.5991</v>
      </c>
      <c r="EM29" s="470" t="n">
        <v>1.5647</v>
      </c>
      <c r="EN29" s="470" t="n">
        <v>1.5308</v>
      </c>
      <c r="EO29" s="470" t="n">
        <v>1.4974</v>
      </c>
      <c r="EP29" s="469" t="n">
        <v>1.4644</v>
      </c>
      <c r="EQ29" s="469" t="n">
        <v>1.4319</v>
      </c>
      <c r="ER29" s="469" t="n">
        <v>1.3998</v>
      </c>
      <c r="ES29" s="469" t="n">
        <v>1.3681</v>
      </c>
      <c r="ET29" s="469" t="n">
        <v>1.3369</v>
      </c>
      <c r="EU29" s="469" t="n">
        <v>1.306</v>
      </c>
      <c r="EV29" s="469" t="n">
        <v>1.2756</v>
      </c>
      <c r="EW29" s="469" t="n">
        <v>1.2456</v>
      </c>
      <c r="EX29" s="469" t="n">
        <v>1.216</v>
      </c>
      <c r="EY29" s="469" t="n">
        <v>1.1868</v>
      </c>
      <c r="EZ29" s="469" t="n">
        <v>1.158</v>
      </c>
      <c r="FA29" s="469" t="n">
        <v>1.1296</v>
      </c>
      <c r="FB29" s="470" t="n">
        <v>1.1016</v>
      </c>
      <c r="FC29" s="470" t="n">
        <v>1.0739</v>
      </c>
      <c r="FD29" s="470" t="n">
        <v>1.0466</v>
      </c>
      <c r="FE29" s="470" t="n">
        <v>1.0197</v>
      </c>
      <c r="FF29" s="470" t="n">
        <v>0.9931</v>
      </c>
      <c r="FG29" s="470" t="n">
        <v>0.9669</v>
      </c>
      <c r="FH29" s="470" t="n">
        <v>0.9411</v>
      </c>
      <c r="FI29" s="470" t="n">
        <v>0.9156</v>
      </c>
      <c r="FJ29" s="470" t="n">
        <v>0.8904</v>
      </c>
      <c r="FK29" s="470" t="n">
        <v>0.8656</v>
      </c>
      <c r="FL29" s="470" t="n">
        <v>0.8411</v>
      </c>
      <c r="FM29" s="470" t="n">
        <v>0.8169999999999999</v>
      </c>
      <c r="FN29" s="469" t="n">
        <v>0.7931</v>
      </c>
      <c r="FO29" s="469" t="n">
        <v>0.7696</v>
      </c>
      <c r="FP29" s="469" t="n">
        <v>0.7464</v>
      </c>
      <c r="FQ29" s="469" t="n">
        <v>0.7235</v>
      </c>
      <c r="FR29" s="469" t="n">
        <v>0.701</v>
      </c>
      <c r="FS29" s="469" t="n">
        <v>0.6787</v>
      </c>
      <c r="FT29" s="469" t="n">
        <v>0.6567</v>
      </c>
      <c r="FU29" s="469" t="n">
        <v>0.635</v>
      </c>
      <c r="FV29" s="469" t="n">
        <v>0.6137</v>
      </c>
      <c r="FW29" s="469" t="n">
        <v>0.5926</v>
      </c>
      <c r="FX29" s="469" t="n">
        <v>0.5717</v>
      </c>
      <c r="FY29" s="469" t="n">
        <v>0.5512</v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28.11</v>
      </c>
      <c r="J5" s="466" t="n">
        <v>26.99</v>
      </c>
      <c r="K5" s="466" t="n">
        <v>25.92</v>
      </c>
      <c r="L5" s="466" t="n">
        <v>24.89</v>
      </c>
      <c r="M5" s="466" t="n">
        <v>23.89</v>
      </c>
      <c r="N5" s="466" t="n">
        <v>22.94</v>
      </c>
      <c r="O5" s="466" t="n">
        <v>22.03</v>
      </c>
      <c r="P5" s="466" t="n">
        <v>21.15</v>
      </c>
      <c r="Q5" s="466" t="n">
        <v>20.31</v>
      </c>
      <c r="R5" s="466" t="n">
        <v>19.5</v>
      </c>
      <c r="S5" s="466" t="n">
        <v>18.73</v>
      </c>
      <c r="T5" s="466" t="n">
        <v>17.98</v>
      </c>
      <c r="U5" s="466" t="n">
        <v>17.26</v>
      </c>
      <c r="V5" s="466" t="n">
        <v>16.58</v>
      </c>
      <c r="W5" s="466" t="n">
        <v>15.92</v>
      </c>
      <c r="X5" s="466" t="n">
        <v>15.28</v>
      </c>
      <c r="Y5" s="466" t="n">
        <v>14.67</v>
      </c>
      <c r="Z5" s="466" t="n">
        <v>14.09</v>
      </c>
      <c r="AA5" s="466" t="n">
        <v>13.53</v>
      </c>
      <c r="AB5" s="466" t="n">
        <v>12.99</v>
      </c>
      <c r="AC5" s="466" t="n">
        <v>12.47</v>
      </c>
      <c r="AD5" s="466" t="n">
        <v>11.98</v>
      </c>
      <c r="AE5" s="466" t="n">
        <v>11.5</v>
      </c>
      <c r="AF5" s="466" t="n">
        <v>11.04</v>
      </c>
      <c r="AG5" s="466" t="n">
        <v>10.6</v>
      </c>
      <c r="AH5" s="466" t="n">
        <v>10.18</v>
      </c>
      <c r="AI5" s="466" t="n">
        <v>9.77</v>
      </c>
      <c r="AJ5" s="466" t="n">
        <v>9.390000000000001</v>
      </c>
      <c r="AK5" s="466" t="n">
        <v>9.01</v>
      </c>
      <c r="AL5" s="466" t="n">
        <v>8.65</v>
      </c>
      <c r="AM5" s="466" t="n">
        <v>8.31</v>
      </c>
      <c r="AN5" s="466" t="n">
        <v>7.98</v>
      </c>
      <c r="AO5" s="466" t="n">
        <v>7.66</v>
      </c>
      <c r="AP5" s="466" t="n">
        <v>7.36</v>
      </c>
      <c r="AQ5" s="466" t="n">
        <v>7.06</v>
      </c>
      <c r="AR5" s="466" t="n">
        <v>6.78</v>
      </c>
      <c r="AS5" s="466" t="n">
        <v>6.51</v>
      </c>
      <c r="AT5" s="466" t="n">
        <v>6.25</v>
      </c>
      <c r="AU5" s="466" t="n">
        <v>6</v>
      </c>
      <c r="AV5" s="466" t="n">
        <v>5.76</v>
      </c>
      <c r="AW5" s="466" t="n">
        <v>5.53</v>
      </c>
      <c r="AX5" s="466" t="n">
        <v>5.31</v>
      </c>
      <c r="AY5" s="466" t="n">
        <v>5.1</v>
      </c>
      <c r="AZ5" s="466" t="n">
        <v>4.9</v>
      </c>
      <c r="BA5" s="466" t="n">
        <v>4.7</v>
      </c>
      <c r="BB5" s="466" t="n">
        <v>4.52</v>
      </c>
      <c r="BC5" s="466" t="n">
        <v>4.34</v>
      </c>
      <c r="BD5" s="466" t="n">
        <v>4.16</v>
      </c>
      <c r="BE5" s="466" t="n">
        <v>4</v>
      </c>
      <c r="BF5" s="466" t="n">
        <v>3.84</v>
      </c>
      <c r="BG5" s="466" t="n">
        <v>3.69</v>
      </c>
      <c r="BH5" s="466" t="n">
        <v>3.54</v>
      </c>
      <c r="BI5" s="466" t="n">
        <v>3.4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2.81</v>
      </c>
      <c r="J6" s="459" t="n">
        <v>2.7</v>
      </c>
      <c r="K6" s="459" t="n">
        <v>2.59</v>
      </c>
      <c r="L6" s="459" t="n">
        <v>2.49</v>
      </c>
      <c r="M6" s="459" t="n">
        <v>2.39</v>
      </c>
      <c r="N6" s="459" t="n">
        <v>2.29</v>
      </c>
      <c r="O6" s="459" t="n">
        <v>2.2</v>
      </c>
      <c r="P6" s="459" t="n">
        <v>2.12</v>
      </c>
      <c r="Q6" s="459" t="n">
        <v>2.03</v>
      </c>
      <c r="R6" s="459" t="n">
        <v>1.95</v>
      </c>
      <c r="S6" s="459" t="n">
        <v>1.87</v>
      </c>
      <c r="T6" s="459" t="n">
        <v>1.8</v>
      </c>
      <c r="U6" s="459" t="n">
        <v>1.73</v>
      </c>
      <c r="V6" s="459" t="n">
        <v>1.66</v>
      </c>
      <c r="W6" s="459" t="n">
        <v>1.59</v>
      </c>
      <c r="X6" s="459" t="n">
        <v>1.53</v>
      </c>
      <c r="Y6" s="459" t="n">
        <v>1.47</v>
      </c>
      <c r="Z6" s="459" t="n">
        <v>1.41</v>
      </c>
      <c r="AA6" s="459" t="n">
        <v>1.35</v>
      </c>
      <c r="AB6" s="459" t="n">
        <v>1.3</v>
      </c>
      <c r="AC6" s="459" t="n">
        <v>1.25</v>
      </c>
      <c r="AD6" s="459" t="n">
        <v>1.2</v>
      </c>
      <c r="AE6" s="459" t="n">
        <v>1.15</v>
      </c>
      <c r="AF6" s="459" t="n">
        <v>1.1</v>
      </c>
      <c r="AG6" s="459" t="n">
        <v>1.06</v>
      </c>
      <c r="AH6" s="459" t="n">
        <v>1.02</v>
      </c>
      <c r="AI6" s="459" t="n">
        <v>0.98</v>
      </c>
      <c r="AJ6" s="459" t="n">
        <v>0.9399999999999999</v>
      </c>
      <c r="AK6" s="459" t="n">
        <v>0.9</v>
      </c>
      <c r="AL6" s="459" t="n">
        <v>0.87</v>
      </c>
      <c r="AM6" s="459" t="n">
        <v>0.83</v>
      </c>
      <c r="AN6" s="459" t="n">
        <v>0.8</v>
      </c>
      <c r="AO6" s="459" t="n">
        <v>0.77</v>
      </c>
      <c r="AP6" s="459" t="n">
        <v>0.74</v>
      </c>
      <c r="AQ6" s="459" t="n">
        <v>0.71</v>
      </c>
      <c r="AR6" s="459" t="n">
        <v>0.68</v>
      </c>
      <c r="AS6" s="459" t="n">
        <v>0.65</v>
      </c>
      <c r="AT6" s="459" t="n">
        <v>0.63</v>
      </c>
      <c r="AU6" s="459" t="n">
        <v>0.6</v>
      </c>
      <c r="AV6" s="459" t="n">
        <v>0.58</v>
      </c>
      <c r="AW6" s="459" t="n">
        <v>0.55</v>
      </c>
      <c r="AX6" s="459" t="n">
        <v>0.53</v>
      </c>
      <c r="AY6" s="459" t="n">
        <v>0.51</v>
      </c>
      <c r="AZ6" s="459" t="n">
        <v>0.49</v>
      </c>
      <c r="BA6" s="459" t="n">
        <v>0.47</v>
      </c>
      <c r="BB6" s="459" t="n">
        <v>0.45</v>
      </c>
      <c r="BC6" s="459" t="n">
        <v>0.43</v>
      </c>
      <c r="BD6" s="459" t="n">
        <v>0.42</v>
      </c>
      <c r="BE6" s="459" t="n">
        <v>0.4</v>
      </c>
      <c r="BF6" s="459" t="n">
        <v>0.38</v>
      </c>
      <c r="BG6" s="459" t="n">
        <v>0.37</v>
      </c>
      <c r="BH6" s="459" t="n">
        <v>0.35</v>
      </c>
      <c r="BI6" s="459" t="n">
        <v>0.34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25.3</v>
      </c>
      <c r="J7" s="470" t="n">
        <v>24.29</v>
      </c>
      <c r="K7" s="470" t="n">
        <v>23.33</v>
      </c>
      <c r="L7" s="470" t="n">
        <v>22.4</v>
      </c>
      <c r="M7" s="470" t="n">
        <v>21.5</v>
      </c>
      <c r="N7" s="470" t="n">
        <v>20.65</v>
      </c>
      <c r="O7" s="470" t="n">
        <v>19.83</v>
      </c>
      <c r="P7" s="470" t="n">
        <v>19.04</v>
      </c>
      <c r="Q7" s="470" t="n">
        <v>18.28</v>
      </c>
      <c r="R7" s="470" t="n">
        <v>17.55</v>
      </c>
      <c r="S7" s="470" t="n">
        <v>16.85</v>
      </c>
      <c r="T7" s="470" t="n">
        <v>16.18</v>
      </c>
      <c r="U7" s="470" t="n">
        <v>15.54</v>
      </c>
      <c r="V7" s="470" t="n">
        <v>14.92</v>
      </c>
      <c r="W7" s="470" t="n">
        <v>14.32</v>
      </c>
      <c r="X7" s="470" t="n">
        <v>13.75</v>
      </c>
      <c r="Y7" s="470" t="n">
        <v>13.21</v>
      </c>
      <c r="Z7" s="470" t="n">
        <v>12.68</v>
      </c>
      <c r="AA7" s="470" t="n">
        <v>12.18</v>
      </c>
      <c r="AB7" s="470" t="n">
        <v>11.69</v>
      </c>
      <c r="AC7" s="470" t="n">
        <v>11.23</v>
      </c>
      <c r="AD7" s="470" t="n">
        <v>10.78</v>
      </c>
      <c r="AE7" s="470" t="n">
        <v>10.35</v>
      </c>
      <c r="AF7" s="470" t="n">
        <v>9.94</v>
      </c>
      <c r="AG7" s="470" t="n">
        <v>9.539999999999999</v>
      </c>
      <c r="AH7" s="470" t="n">
        <v>9.16</v>
      </c>
      <c r="AI7" s="470" t="n">
        <v>8.800000000000001</v>
      </c>
      <c r="AJ7" s="470" t="n">
        <v>8.449999999999999</v>
      </c>
      <c r="AK7" s="470" t="n">
        <v>8.109999999999999</v>
      </c>
      <c r="AL7" s="470" t="n">
        <v>7.79</v>
      </c>
      <c r="AM7" s="470" t="n">
        <v>7.48</v>
      </c>
      <c r="AN7" s="470" t="n">
        <v>7.18</v>
      </c>
      <c r="AO7" s="470" t="n">
        <v>6.89</v>
      </c>
      <c r="AP7" s="470" t="n">
        <v>6.62</v>
      </c>
      <c r="AQ7" s="470" t="n">
        <v>6.36</v>
      </c>
      <c r="AR7" s="470" t="n">
        <v>6.1</v>
      </c>
      <c r="AS7" s="470" t="n">
        <v>5.86</v>
      </c>
      <c r="AT7" s="470" t="n">
        <v>5.63</v>
      </c>
      <c r="AU7" s="470" t="n">
        <v>5.4</v>
      </c>
      <c r="AV7" s="470" t="n">
        <v>5.19</v>
      </c>
      <c r="AW7" s="470" t="n">
        <v>4.98</v>
      </c>
      <c r="AX7" s="470" t="n">
        <v>4.78</v>
      </c>
      <c r="AY7" s="470" t="n">
        <v>4.59</v>
      </c>
      <c r="AZ7" s="470" t="n">
        <v>4.41</v>
      </c>
      <c r="BA7" s="470" t="n">
        <v>4.23</v>
      </c>
      <c r="BB7" s="470" t="n">
        <v>4.07</v>
      </c>
      <c r="BC7" s="470" t="n">
        <v>3.9</v>
      </c>
      <c r="BD7" s="470" t="n">
        <v>3.75</v>
      </c>
      <c r="BE7" s="470" t="n">
        <v>3.6</v>
      </c>
      <c r="BF7" s="470" t="n">
        <v>3.46</v>
      </c>
      <c r="BG7" s="470" t="n">
        <v>3.32</v>
      </c>
      <c r="BH7" s="470" t="n">
        <v>3.19</v>
      </c>
      <c r="BI7" s="470" t="n">
        <v>3.06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1.41</v>
      </c>
      <c r="J9" s="459" t="n">
        <v>1.35</v>
      </c>
      <c r="K9" s="459" t="n">
        <v>1.3</v>
      </c>
      <c r="L9" s="459" t="n">
        <v>1.24</v>
      </c>
      <c r="M9" s="459" t="n">
        <v>1.19</v>
      </c>
      <c r="N9" s="459" t="n">
        <v>1.15</v>
      </c>
      <c r="O9" s="459" t="n">
        <v>1.1</v>
      </c>
      <c r="P9" s="459" t="n">
        <v>1.06</v>
      </c>
      <c r="Q9" s="459" t="n">
        <v>1.02</v>
      </c>
      <c r="R9" s="459" t="n">
        <v>0.98</v>
      </c>
      <c r="S9" s="459" t="n">
        <v>0.9399999999999999</v>
      </c>
      <c r="T9" s="459" t="n">
        <v>0.9</v>
      </c>
      <c r="U9" s="459" t="n">
        <v>0.86</v>
      </c>
      <c r="V9" s="459" t="n">
        <v>0.83</v>
      </c>
      <c r="W9" s="459" t="n">
        <v>0.8</v>
      </c>
      <c r="X9" s="459" t="n">
        <v>0.76</v>
      </c>
      <c r="Y9" s="459" t="n">
        <v>0.73</v>
      </c>
      <c r="Z9" s="459" t="n">
        <v>0.7</v>
      </c>
      <c r="AA9" s="459" t="n">
        <v>0.68</v>
      </c>
      <c r="AB9" s="459" t="n">
        <v>0.65</v>
      </c>
      <c r="AC9" s="459" t="n">
        <v>0.62</v>
      </c>
      <c r="AD9" s="459" t="n">
        <v>0.6</v>
      </c>
      <c r="AE9" s="459" t="n">
        <v>0.57</v>
      </c>
      <c r="AF9" s="459" t="n">
        <v>0.55</v>
      </c>
      <c r="AG9" s="459" t="n">
        <v>0.53</v>
      </c>
      <c r="AH9" s="459" t="n">
        <v>0.51</v>
      </c>
      <c r="AI9" s="459" t="n">
        <v>0.49</v>
      </c>
      <c r="AJ9" s="459" t="n">
        <v>0.47</v>
      </c>
      <c r="AK9" s="459" t="n">
        <v>0.45</v>
      </c>
      <c r="AL9" s="459" t="n">
        <v>0.43</v>
      </c>
      <c r="AM9" s="459" t="n">
        <v>0.42</v>
      </c>
      <c r="AN9" s="459" t="n">
        <v>0.4</v>
      </c>
      <c r="AO9" s="459" t="n">
        <v>0.38</v>
      </c>
      <c r="AP9" s="459" t="n">
        <v>0.37</v>
      </c>
      <c r="AQ9" s="459" t="n">
        <v>0.35</v>
      </c>
      <c r="AR9" s="459" t="n">
        <v>0.34</v>
      </c>
      <c r="AS9" s="459" t="n">
        <v>0.33</v>
      </c>
      <c r="AT9" s="459" t="n">
        <v>0.31</v>
      </c>
      <c r="AU9" s="459" t="n">
        <v>0.3</v>
      </c>
      <c r="AV9" s="459" t="n">
        <v>0.29</v>
      </c>
      <c r="AW9" s="459" t="n">
        <v>0.28</v>
      </c>
      <c r="AX9" s="459" t="n">
        <v>0.27</v>
      </c>
      <c r="AY9" s="459" t="n">
        <v>0.26</v>
      </c>
      <c r="AZ9" s="459" t="n">
        <v>0.24</v>
      </c>
      <c r="BA9" s="459" t="n">
        <v>0.24</v>
      </c>
      <c r="BB9" s="459" t="n">
        <v>0.23</v>
      </c>
      <c r="BC9" s="459" t="n">
        <v>0.22</v>
      </c>
      <c r="BD9" s="459" t="n">
        <v>0.21</v>
      </c>
      <c r="BE9" s="459" t="n">
        <v>0.2</v>
      </c>
      <c r="BF9" s="459" t="n">
        <v>0.19</v>
      </c>
      <c r="BG9" s="459" t="n">
        <v>0.18</v>
      </c>
      <c r="BH9" s="459" t="n">
        <v>0.18</v>
      </c>
      <c r="BI9" s="459" t="n">
        <v>0.17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1.69</v>
      </c>
      <c r="J10" s="459" t="n">
        <v>1.62</v>
      </c>
      <c r="K10" s="459" t="n">
        <v>1.56</v>
      </c>
      <c r="L10" s="459" t="n">
        <v>1.49</v>
      </c>
      <c r="M10" s="459" t="n">
        <v>1.43</v>
      </c>
      <c r="N10" s="459" t="n">
        <v>1.38</v>
      </c>
      <c r="O10" s="459" t="n">
        <v>1.32</v>
      </c>
      <c r="P10" s="459" t="n">
        <v>1.27</v>
      </c>
      <c r="Q10" s="459" t="n">
        <v>1.22</v>
      </c>
      <c r="R10" s="459" t="n">
        <v>1.17</v>
      </c>
      <c r="S10" s="459" t="n">
        <v>1.12</v>
      </c>
      <c r="T10" s="459" t="n">
        <v>1.08</v>
      </c>
      <c r="U10" s="459" t="n">
        <v>1.04</v>
      </c>
      <c r="V10" s="459" t="n">
        <v>0.99</v>
      </c>
      <c r="W10" s="459" t="n">
        <v>0.95</v>
      </c>
      <c r="X10" s="459" t="n">
        <v>0.92</v>
      </c>
      <c r="Y10" s="459" t="n">
        <v>0.88</v>
      </c>
      <c r="Z10" s="459" t="n">
        <v>0.85</v>
      </c>
      <c r="AA10" s="459" t="n">
        <v>0.8100000000000001</v>
      </c>
      <c r="AB10" s="459" t="n">
        <v>0.78</v>
      </c>
      <c r="AC10" s="459" t="n">
        <v>0.75</v>
      </c>
      <c r="AD10" s="459" t="n">
        <v>0.72</v>
      </c>
      <c r="AE10" s="459" t="n">
        <v>0.6899999999999999</v>
      </c>
      <c r="AF10" s="459" t="n">
        <v>0.66</v>
      </c>
      <c r="AG10" s="459" t="n">
        <v>0.64</v>
      </c>
      <c r="AH10" s="459" t="n">
        <v>0.61</v>
      </c>
      <c r="AI10" s="459" t="n">
        <v>0.59</v>
      </c>
      <c r="AJ10" s="459" t="n">
        <v>0.5600000000000001</v>
      </c>
      <c r="AK10" s="459" t="n">
        <v>0.54</v>
      </c>
      <c r="AL10" s="459" t="n">
        <v>0.52</v>
      </c>
      <c r="AM10" s="459" t="n">
        <v>0.5</v>
      </c>
      <c r="AN10" s="459" t="n">
        <v>0.48</v>
      </c>
      <c r="AO10" s="459" t="n">
        <v>0.46</v>
      </c>
      <c r="AP10" s="459" t="n">
        <v>0.44</v>
      </c>
      <c r="AQ10" s="459" t="n">
        <v>0.42</v>
      </c>
      <c r="AR10" s="459" t="n">
        <v>0.41</v>
      </c>
      <c r="AS10" s="459" t="n">
        <v>0.39</v>
      </c>
      <c r="AT10" s="459" t="n">
        <v>0.38</v>
      </c>
      <c r="AU10" s="459" t="n">
        <v>0.36</v>
      </c>
      <c r="AV10" s="459" t="n">
        <v>0.35</v>
      </c>
      <c r="AW10" s="459" t="n">
        <v>0.33</v>
      </c>
      <c r="AX10" s="459" t="n">
        <v>0.32</v>
      </c>
      <c r="AY10" s="459" t="n">
        <v>0.31</v>
      </c>
      <c r="AZ10" s="459" t="n">
        <v>0.29</v>
      </c>
      <c r="BA10" s="459" t="n">
        <v>0.28</v>
      </c>
      <c r="BB10" s="459" t="n">
        <v>0.27</v>
      </c>
      <c r="BC10" s="459" t="n">
        <v>0.26</v>
      </c>
      <c r="BD10" s="459" t="n">
        <v>0.25</v>
      </c>
      <c r="BE10" s="459" t="n">
        <v>0.24</v>
      </c>
      <c r="BF10" s="459" t="n">
        <v>0.23</v>
      </c>
      <c r="BG10" s="459" t="n">
        <v>0.22</v>
      </c>
      <c r="BH10" s="459" t="n">
        <v>0.21</v>
      </c>
      <c r="BI10" s="459" t="n">
        <v>0.2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0.95</v>
      </c>
      <c r="J12" s="459" t="n">
        <v>0.31</v>
      </c>
      <c r="K12" s="459" t="n">
        <v>0</v>
      </c>
      <c r="L12" s="459" t="n">
        <v>0</v>
      </c>
      <c r="M12" s="459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5.02</v>
      </c>
      <c r="N13" s="459" t="n">
        <v>0</v>
      </c>
      <c r="O13" s="459" t="n">
        <v>0</v>
      </c>
      <c r="P13" s="459" t="n">
        <v>0</v>
      </c>
      <c r="Q13" s="459" t="n">
        <v>2.81</v>
      </c>
      <c r="R13" s="459" t="n">
        <v>0</v>
      </c>
      <c r="S13" s="459" t="n">
        <v>0</v>
      </c>
      <c r="T13" s="459" t="n">
        <v>0</v>
      </c>
      <c r="U13" s="459" t="n">
        <v>0.67</v>
      </c>
      <c r="V13" s="459" t="n">
        <v>0</v>
      </c>
      <c r="W13" s="459" t="n">
        <v>0</v>
      </c>
      <c r="X13" s="459" t="n">
        <v>0</v>
      </c>
      <c r="Y13" s="459" t="n">
        <v>0</v>
      </c>
      <c r="Z13" s="459" t="n">
        <v>0</v>
      </c>
      <c r="AA13" s="459" t="n">
        <v>0</v>
      </c>
      <c r="AB13" s="459" t="n">
        <v>0</v>
      </c>
      <c r="AC13" s="459" t="n">
        <v>0</v>
      </c>
      <c r="AD13" s="459" t="n">
        <v>0</v>
      </c>
      <c r="AE13" s="459" t="n">
        <v>0</v>
      </c>
      <c r="AF13" s="459" t="n">
        <v>0</v>
      </c>
      <c r="AG13" s="459" t="n">
        <v>0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6.91</v>
      </c>
      <c r="J14" s="462" t="n">
        <v>6.14</v>
      </c>
      <c r="K14" s="462" t="n">
        <v>5.71</v>
      </c>
      <c r="L14" s="462" t="n">
        <v>5.6</v>
      </c>
      <c r="M14" s="462" t="n">
        <v>10.51</v>
      </c>
      <c r="N14" s="462" t="n">
        <v>5.39</v>
      </c>
      <c r="O14" s="462" t="n">
        <v>5.29</v>
      </c>
      <c r="P14" s="462" t="n">
        <v>5.19</v>
      </c>
      <c r="Q14" s="462" t="n">
        <v>7.9</v>
      </c>
      <c r="R14" s="462" t="n">
        <v>5.01</v>
      </c>
      <c r="S14" s="462" t="n">
        <v>4.92</v>
      </c>
      <c r="T14" s="462" t="n">
        <v>4.84</v>
      </c>
      <c r="U14" s="462" t="n">
        <v>5.43</v>
      </c>
      <c r="V14" s="462" t="n">
        <v>4.69</v>
      </c>
      <c r="W14" s="462" t="n">
        <v>4.61</v>
      </c>
      <c r="X14" s="462" t="n">
        <v>4.55</v>
      </c>
      <c r="Y14" s="462" t="n">
        <v>4.48</v>
      </c>
      <c r="Z14" s="462" t="n">
        <v>4.41</v>
      </c>
      <c r="AA14" s="462" t="n">
        <v>4.35</v>
      </c>
      <c r="AB14" s="462" t="n">
        <v>4.29</v>
      </c>
      <c r="AC14" s="462" t="n">
        <v>4.24</v>
      </c>
      <c r="AD14" s="462" t="n">
        <v>4.18</v>
      </c>
      <c r="AE14" s="462" t="n">
        <v>4.13</v>
      </c>
      <c r="AF14" s="462" t="n">
        <v>4.08</v>
      </c>
      <c r="AG14" s="462" t="n">
        <v>4.03</v>
      </c>
      <c r="AH14" s="462" t="n">
        <v>3.98</v>
      </c>
      <c r="AI14" s="462" t="n">
        <v>3.94</v>
      </c>
      <c r="AJ14" s="462" t="n">
        <v>3.9</v>
      </c>
      <c r="AK14" s="462" t="n">
        <v>3.86</v>
      </c>
      <c r="AL14" s="462" t="n">
        <v>3.82</v>
      </c>
      <c r="AM14" s="462" t="n">
        <v>3.78</v>
      </c>
      <c r="AN14" s="462" t="n">
        <v>3.74</v>
      </c>
      <c r="AO14" s="462" t="n">
        <v>3.71</v>
      </c>
      <c r="AP14" s="462" t="n">
        <v>3.67</v>
      </c>
      <c r="AQ14" s="462" t="n">
        <v>3.64</v>
      </c>
      <c r="AR14" s="462" t="n">
        <v>3.61</v>
      </c>
      <c r="AS14" s="462" t="n">
        <v>3.58</v>
      </c>
      <c r="AT14" s="462" t="n">
        <v>3.55</v>
      </c>
      <c r="AU14" s="462" t="n">
        <v>3.52</v>
      </c>
      <c r="AV14" s="462" t="n">
        <v>3.5</v>
      </c>
      <c r="AW14" s="462" t="n">
        <v>3.47</v>
      </c>
      <c r="AX14" s="462" t="n">
        <v>3.45</v>
      </c>
      <c r="AY14" s="462" t="n">
        <v>3.43</v>
      </c>
      <c r="AZ14" s="462" t="n">
        <v>3.4</v>
      </c>
      <c r="BA14" s="462" t="n">
        <v>3.38</v>
      </c>
      <c r="BB14" s="462" t="n">
        <v>3.36</v>
      </c>
      <c r="BC14" s="462" t="n">
        <v>3.34</v>
      </c>
      <c r="BD14" s="462" t="n">
        <v>3.32</v>
      </c>
      <c r="BE14" s="462" t="n">
        <v>3.3</v>
      </c>
      <c r="BF14" s="462" t="n">
        <v>3.29</v>
      </c>
      <c r="BG14" s="462" t="n">
        <v>3.27</v>
      </c>
      <c r="BH14" s="462" t="n">
        <v>3.25</v>
      </c>
      <c r="BI14" s="462" t="n">
        <v>3.24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18.15</v>
      </c>
      <c r="K16" s="466" t="n">
        <v>17.61</v>
      </c>
      <c r="L16" s="466" t="n">
        <v>16.8</v>
      </c>
      <c r="M16" s="466" t="n">
        <v>11</v>
      </c>
      <c r="N16" s="466" t="n">
        <v>15.26</v>
      </c>
      <c r="O16" s="466" t="n">
        <v>14.54</v>
      </c>
      <c r="P16" s="466" t="n">
        <v>13.85</v>
      </c>
      <c r="Q16" s="466" t="n">
        <v>10.38</v>
      </c>
      <c r="R16" s="466" t="n">
        <v>12.54</v>
      </c>
      <c r="S16" s="466" t="n">
        <v>11.93</v>
      </c>
      <c r="T16" s="466" t="n">
        <v>11.34</v>
      </c>
      <c r="U16" s="466" t="n">
        <v>10.11</v>
      </c>
      <c r="V16" s="466" t="n">
        <v>10.23</v>
      </c>
      <c r="W16" s="466" t="n">
        <v>9.710000000000001</v>
      </c>
      <c r="X16" s="466" t="n">
        <v>9.210000000000001</v>
      </c>
      <c r="Y16" s="466" t="n">
        <v>8.73</v>
      </c>
      <c r="Z16" s="466" t="n">
        <v>8.27</v>
      </c>
      <c r="AA16" s="466" t="n">
        <v>7.82</v>
      </c>
      <c r="AB16" s="466" t="n">
        <v>7.4</v>
      </c>
      <c r="AC16" s="466" t="n">
        <v>6.99</v>
      </c>
      <c r="AD16" s="466" t="n">
        <v>6.6</v>
      </c>
      <c r="AE16" s="466" t="n">
        <v>6.22</v>
      </c>
      <c r="AF16" s="466" t="n">
        <v>5.86</v>
      </c>
      <c r="AG16" s="466" t="n">
        <v>5.51</v>
      </c>
      <c r="AH16" s="466" t="n">
        <v>5.18</v>
      </c>
      <c r="AI16" s="466" t="n">
        <v>4.86</v>
      </c>
      <c r="AJ16" s="466" t="n">
        <v>4.55</v>
      </c>
      <c r="AK16" s="466" t="n">
        <v>4.26</v>
      </c>
      <c r="AL16" s="466" t="n">
        <v>3.97</v>
      </c>
      <c r="AM16" s="466" t="n">
        <v>3.7</v>
      </c>
      <c r="AN16" s="466" t="n">
        <v>3.44</v>
      </c>
      <c r="AO16" s="466" t="n">
        <v>3.19</v>
      </c>
      <c r="AP16" s="466" t="n">
        <v>2.95</v>
      </c>
      <c r="AQ16" s="466" t="n">
        <v>2.72</v>
      </c>
      <c r="AR16" s="466" t="n">
        <v>2.49</v>
      </c>
      <c r="AS16" s="466" t="n">
        <v>2.28</v>
      </c>
      <c r="AT16" s="466" t="n">
        <v>2.07</v>
      </c>
      <c r="AU16" s="466" t="n">
        <v>1.88</v>
      </c>
      <c r="AV16" s="466" t="n">
        <v>1.69</v>
      </c>
      <c r="AW16" s="466" t="n">
        <v>1.51</v>
      </c>
      <c r="AX16" s="466" t="n">
        <v>1.33</v>
      </c>
      <c r="AY16" s="466" t="n">
        <v>1.17</v>
      </c>
      <c r="AZ16" s="466" t="n">
        <v>1.01</v>
      </c>
      <c r="BA16" s="466" t="n">
        <v>0.85</v>
      </c>
      <c r="BB16" s="466" t="n">
        <v>0.7</v>
      </c>
      <c r="BC16" s="466" t="n">
        <v>0.5600000000000001</v>
      </c>
      <c r="BD16" s="466" t="n">
        <v>0.43</v>
      </c>
      <c r="BE16" s="466" t="n">
        <v>0.29</v>
      </c>
      <c r="BF16" s="466" t="n">
        <v>0.17</v>
      </c>
      <c r="BG16" s="466" t="n">
        <v>0.05</v>
      </c>
      <c r="BH16" s="466" t="n">
        <v>-0.07000000000000001</v>
      </c>
      <c r="BI16" s="466" t="n">
        <v>-0.18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0</v>
      </c>
      <c r="J17" s="459" t="n">
        <v>0</v>
      </c>
      <c r="K17" s="459" t="n">
        <v>0</v>
      </c>
      <c r="L17" s="459" t="n">
        <v>0</v>
      </c>
      <c r="M17" s="459" t="n">
        <v>0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18.39</v>
      </c>
      <c r="J18" s="470" t="n">
        <v>18.15</v>
      </c>
      <c r="K18" s="470" t="n">
        <v>17.61</v>
      </c>
      <c r="L18" s="470" t="n">
        <v>16.8</v>
      </c>
      <c r="M18" s="470" t="n">
        <v>11</v>
      </c>
      <c r="N18" s="470" t="n">
        <v>15.26</v>
      </c>
      <c r="O18" s="470" t="n">
        <v>14.54</v>
      </c>
      <c r="P18" s="470" t="n">
        <v>13.85</v>
      </c>
      <c r="Q18" s="470" t="n">
        <v>10.38</v>
      </c>
      <c r="R18" s="470" t="n">
        <v>12.54</v>
      </c>
      <c r="S18" s="470" t="n">
        <v>11.93</v>
      </c>
      <c r="T18" s="470" t="n">
        <v>11.34</v>
      </c>
      <c r="U18" s="470" t="n">
        <v>10.11</v>
      </c>
      <c r="V18" s="470" t="n">
        <v>10.23</v>
      </c>
      <c r="W18" s="470" t="n">
        <v>9.710000000000001</v>
      </c>
      <c r="X18" s="470" t="n">
        <v>9.210000000000001</v>
      </c>
      <c r="Y18" s="470" t="n">
        <v>8.73</v>
      </c>
      <c r="Z18" s="470" t="n">
        <v>8.27</v>
      </c>
      <c r="AA18" s="470" t="n">
        <v>7.82</v>
      </c>
      <c r="AB18" s="470" t="n">
        <v>7.4</v>
      </c>
      <c r="AC18" s="470" t="n">
        <v>6.99</v>
      </c>
      <c r="AD18" s="470" t="n">
        <v>6.6</v>
      </c>
      <c r="AE18" s="470" t="n">
        <v>6.22</v>
      </c>
      <c r="AF18" s="470" t="n">
        <v>5.86</v>
      </c>
      <c r="AG18" s="470" t="n">
        <v>5.51</v>
      </c>
      <c r="AH18" s="470" t="n">
        <v>5.18</v>
      </c>
      <c r="AI18" s="470" t="n">
        <v>4.86</v>
      </c>
      <c r="AJ18" s="470" t="n">
        <v>4.55</v>
      </c>
      <c r="AK18" s="470" t="n">
        <v>4.26</v>
      </c>
      <c r="AL18" s="470" t="n">
        <v>3.97</v>
      </c>
      <c r="AM18" s="470" t="n">
        <v>3.7</v>
      </c>
      <c r="AN18" s="470" t="n">
        <v>3.44</v>
      </c>
      <c r="AO18" s="470" t="n">
        <v>3.19</v>
      </c>
      <c r="AP18" s="470" t="n">
        <v>2.95</v>
      </c>
      <c r="AQ18" s="470" t="n">
        <v>2.72</v>
      </c>
      <c r="AR18" s="470" t="n">
        <v>2.49</v>
      </c>
      <c r="AS18" s="470" t="n">
        <v>2.28</v>
      </c>
      <c r="AT18" s="470" t="n">
        <v>2.07</v>
      </c>
      <c r="AU18" s="470" t="n">
        <v>1.88</v>
      </c>
      <c r="AV18" s="470" t="n">
        <v>1.69</v>
      </c>
      <c r="AW18" s="470" t="n">
        <v>1.51</v>
      </c>
      <c r="AX18" s="470" t="n">
        <v>1.33</v>
      </c>
      <c r="AY18" s="470" t="n">
        <v>1.17</v>
      </c>
      <c r="AZ18" s="470" t="n">
        <v>1.01</v>
      </c>
      <c r="BA18" s="470" t="n">
        <v>0.85</v>
      </c>
      <c r="BB18" s="470" t="n">
        <v>0.7</v>
      </c>
      <c r="BC18" s="470" t="n">
        <v>0.5600000000000001</v>
      </c>
      <c r="BD18" s="470" t="n">
        <v>0.43</v>
      </c>
      <c r="BE18" s="470" t="n">
        <v>0.29</v>
      </c>
      <c r="BF18" s="470" t="n">
        <v>0.17</v>
      </c>
      <c r="BG18" s="470" t="n">
        <v>0.05</v>
      </c>
      <c r="BH18" s="470" t="n">
        <v>-0.07000000000000001</v>
      </c>
      <c r="BI18" s="470" t="n">
        <v>-0.18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2" t="inlineStr">
        <is>
          <t>Distributable Cash</t>
        </is>
      </c>
      <c r="B21" s="462" t="n">
        <v>-0.99</v>
      </c>
      <c r="C21" s="462" t="n">
        <v>-2.59</v>
      </c>
      <c r="D21" s="462" t="n">
        <v>-1.22</v>
      </c>
      <c r="E21" s="462" t="n">
        <v>1.44</v>
      </c>
      <c r="F21" s="462" t="n">
        <v>9.609999999999999</v>
      </c>
      <c r="G21" s="462" t="n">
        <v>12.54</v>
      </c>
      <c r="H21" s="462" t="n">
        <v>17.01</v>
      </c>
      <c r="I21" s="462" t="n">
        <v>18.39</v>
      </c>
      <c r="J21" s="462" t="n">
        <v>18.15</v>
      </c>
      <c r="K21" s="462" t="n">
        <v>17.61</v>
      </c>
      <c r="L21" s="462" t="n">
        <v>16.8</v>
      </c>
      <c r="M21" s="462" t="n">
        <v>11</v>
      </c>
      <c r="N21" s="462" t="n">
        <v>15.26</v>
      </c>
      <c r="O21" s="462" t="n">
        <v>14.54</v>
      </c>
      <c r="P21" s="462" t="n">
        <v>13.85</v>
      </c>
      <c r="Q21" s="462" t="n">
        <v>10.38</v>
      </c>
      <c r="R21" s="462" t="n">
        <v>12.54</v>
      </c>
      <c r="S21" s="462" t="n">
        <v>11.93</v>
      </c>
      <c r="T21" s="462" t="n">
        <v>11.34</v>
      </c>
      <c r="U21" s="462" t="n">
        <v>10.11</v>
      </c>
      <c r="V21" s="462" t="n">
        <v>10.23</v>
      </c>
      <c r="W21" s="462" t="n">
        <v>9.710000000000001</v>
      </c>
      <c r="X21" s="462" t="n">
        <v>9.210000000000001</v>
      </c>
      <c r="Y21" s="462" t="n">
        <v>8.73</v>
      </c>
      <c r="Z21" s="462" t="n">
        <v>8.27</v>
      </c>
      <c r="AA21" s="462" t="n">
        <v>7.82</v>
      </c>
      <c r="AB21" s="462" t="n">
        <v>7.4</v>
      </c>
      <c r="AC21" s="462" t="n">
        <v>6.99</v>
      </c>
      <c r="AD21" s="462" t="n">
        <v>6.6</v>
      </c>
      <c r="AE21" s="462" t="n">
        <v>6.22</v>
      </c>
      <c r="AF21" s="462" t="n">
        <v>5.86</v>
      </c>
      <c r="AG21" s="462" t="n">
        <v>5.51</v>
      </c>
      <c r="AH21" s="462" t="n">
        <v>5.18</v>
      </c>
      <c r="AI21" s="462" t="n">
        <v>4.86</v>
      </c>
      <c r="AJ21" s="462" t="n">
        <v>4.55</v>
      </c>
      <c r="AK21" s="462" t="n">
        <v>4.26</v>
      </c>
      <c r="AL21" s="462" t="n">
        <v>3.97</v>
      </c>
      <c r="AM21" s="462" t="n">
        <v>3.7</v>
      </c>
      <c r="AN21" s="462" t="n">
        <v>3.44</v>
      </c>
      <c r="AO21" s="462" t="n">
        <v>3.19</v>
      </c>
      <c r="AP21" s="462" t="n">
        <v>2.95</v>
      </c>
      <c r="AQ21" s="462" t="n">
        <v>2.72</v>
      </c>
      <c r="AR21" s="462" t="n">
        <v>2.49</v>
      </c>
      <c r="AS21" s="462" t="n">
        <v>2.28</v>
      </c>
      <c r="AT21" s="462" t="n">
        <v>2.07</v>
      </c>
      <c r="AU21" s="462" t="n">
        <v>1.88</v>
      </c>
      <c r="AV21" s="462" t="n">
        <v>1.69</v>
      </c>
      <c r="AW21" s="462" t="n">
        <v>1.51</v>
      </c>
      <c r="AX21" s="462" t="n">
        <v>1.33</v>
      </c>
      <c r="AY21" s="462" t="n">
        <v>1.17</v>
      </c>
      <c r="AZ21" s="462" t="n">
        <v>1.01</v>
      </c>
      <c r="BA21" s="462" t="n">
        <v>0.85</v>
      </c>
      <c r="BB21" s="462" t="n">
        <v>0.7</v>
      </c>
      <c r="BC21" s="462" t="n">
        <v>0.5600000000000001</v>
      </c>
      <c r="BD21" s="462" t="n">
        <v>0.43</v>
      </c>
      <c r="BE21" s="462" t="n">
        <v>0.29</v>
      </c>
      <c r="BF21" s="462" t="n">
        <v>0.17</v>
      </c>
      <c r="BG21" s="462" t="n">
        <v>0.05</v>
      </c>
      <c r="BH21" s="462" t="n">
        <v>-0.07000000000000001</v>
      </c>
      <c r="BI21" s="462" t="n">
        <v>-0.18</v>
      </c>
      <c r="BJ21" s="306" t="n"/>
    </row>
    <row r="22" ht="15" customHeight="1" s="307">
      <c r="A22" s="321" t="inlineStr">
        <is>
          <t>Cumulative</t>
        </is>
      </c>
      <c r="B22" s="459" t="n">
        <v>-0.99</v>
      </c>
      <c r="C22" s="459" t="n">
        <v>-3.58</v>
      </c>
      <c r="D22" s="459" t="n">
        <v>-4.8</v>
      </c>
      <c r="E22" s="459" t="n">
        <v>-3.36</v>
      </c>
      <c r="F22" s="459" t="n">
        <v>6.25</v>
      </c>
      <c r="G22" s="459" t="n">
        <v>18.79</v>
      </c>
      <c r="H22" s="459" t="n">
        <v>35.8</v>
      </c>
      <c r="I22" s="459" t="n">
        <v>54.19</v>
      </c>
      <c r="J22" s="459" t="n">
        <v>72.34999999999999</v>
      </c>
      <c r="K22" s="459" t="n">
        <v>89.95999999999999</v>
      </c>
      <c r="L22" s="459" t="n">
        <v>106.75</v>
      </c>
      <c r="M22" s="459" t="n">
        <v>117.75</v>
      </c>
      <c r="N22" s="459" t="n">
        <v>133.01</v>
      </c>
      <c r="O22" s="459" t="n">
        <v>147.55</v>
      </c>
      <c r="P22" s="459" t="n">
        <v>161.4</v>
      </c>
      <c r="Q22" s="459" t="n">
        <v>171.77</v>
      </c>
      <c r="R22" s="459" t="n">
        <v>184.31</v>
      </c>
      <c r="S22" s="459" t="n">
        <v>196.24</v>
      </c>
      <c r="T22" s="459" t="n">
        <v>207.58</v>
      </c>
      <c r="U22" s="459" t="n">
        <v>217.69</v>
      </c>
      <c r="V22" s="459" t="n">
        <v>227.92</v>
      </c>
      <c r="W22" s="459" t="n">
        <v>237.63</v>
      </c>
      <c r="X22" s="459" t="n">
        <v>246.84</v>
      </c>
      <c r="Y22" s="459" t="n">
        <v>255.57</v>
      </c>
      <c r="Z22" s="459" t="n">
        <v>263.84</v>
      </c>
      <c r="AA22" s="459" t="n">
        <v>271.66</v>
      </c>
      <c r="AB22" s="459" t="n">
        <v>279.06</v>
      </c>
      <c r="AC22" s="459" t="n">
        <v>286.05</v>
      </c>
      <c r="AD22" s="459" t="n">
        <v>292.64</v>
      </c>
      <c r="AE22" s="459" t="n">
        <v>298.87</v>
      </c>
      <c r="AF22" s="459" t="n">
        <v>304.72</v>
      </c>
      <c r="AG22" s="459" t="n">
        <v>310.24</v>
      </c>
      <c r="AH22" s="459" t="n">
        <v>315.41</v>
      </c>
      <c r="AI22" s="459" t="n">
        <v>320.27</v>
      </c>
      <c r="AJ22" s="459" t="n">
        <v>324.82</v>
      </c>
      <c r="AK22" s="459" t="n">
        <v>329.08</v>
      </c>
      <c r="AL22" s="459" t="n">
        <v>333.05</v>
      </c>
      <c r="AM22" s="459" t="n">
        <v>336.75</v>
      </c>
      <c r="AN22" s="459" t="n">
        <v>340.19</v>
      </c>
      <c r="AO22" s="459" t="n">
        <v>343.37</v>
      </c>
      <c r="AP22" s="459" t="n">
        <v>346.32</v>
      </c>
      <c r="AQ22" s="459" t="n">
        <v>349.04</v>
      </c>
      <c r="AR22" s="459" t="n">
        <v>351.53</v>
      </c>
      <c r="AS22" s="459" t="n">
        <v>353.81</v>
      </c>
      <c r="AT22" s="459" t="n">
        <v>355.88</v>
      </c>
      <c r="AU22" s="459" t="n">
        <v>357.76</v>
      </c>
      <c r="AV22" s="459" t="n">
        <v>359.45</v>
      </c>
      <c r="AW22" s="459" t="n">
        <v>360.96</v>
      </c>
      <c r="AX22" s="459" t="n">
        <v>362.29</v>
      </c>
      <c r="AY22" s="459" t="n">
        <v>363.46</v>
      </c>
      <c r="AZ22" s="459" t="n">
        <v>364.47</v>
      </c>
      <c r="BA22" s="459" t="n">
        <v>365.32</v>
      </c>
      <c r="BB22" s="459" t="n">
        <v>366.02</v>
      </c>
      <c r="BC22" s="459" t="n">
        <v>366.58</v>
      </c>
      <c r="BD22" s="459" t="n">
        <v>367.01</v>
      </c>
      <c r="BE22" s="459" t="n">
        <v>367.31</v>
      </c>
      <c r="BF22" s="459" t="n">
        <v>367.47</v>
      </c>
      <c r="BG22" s="459" t="n">
        <v>367.52</v>
      </c>
      <c r="BH22" s="459" t="n">
        <v>367.46</v>
      </c>
      <c r="BI22" s="459" t="n">
        <v>367.28</v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30.11</v>
      </c>
      <c r="J5" s="466" t="n">
        <v>32.83</v>
      </c>
      <c r="K5" s="466" t="n">
        <v>33.52</v>
      </c>
      <c r="L5" s="466" t="n">
        <v>36.11</v>
      </c>
      <c r="M5" s="466" t="n">
        <v>36.67</v>
      </c>
      <c r="N5" s="466" t="n">
        <v>39.13</v>
      </c>
      <c r="O5" s="466" t="n">
        <v>37.57</v>
      </c>
      <c r="P5" s="466" t="n">
        <v>36.08</v>
      </c>
      <c r="Q5" s="466" t="n">
        <v>34.64</v>
      </c>
      <c r="R5" s="466" t="n">
        <v>33.26</v>
      </c>
      <c r="S5" s="466" t="n">
        <v>31.94</v>
      </c>
      <c r="T5" s="466" t="n">
        <v>30.67</v>
      </c>
      <c r="U5" s="466" t="n">
        <v>29.44</v>
      </c>
      <c r="V5" s="466" t="n">
        <v>28.27</v>
      </c>
      <c r="W5" s="466" t="n">
        <v>27.15</v>
      </c>
      <c r="X5" s="466" t="n">
        <v>26.07</v>
      </c>
      <c r="Y5" s="466" t="n">
        <v>25.03</v>
      </c>
      <c r="Z5" s="466" t="n">
        <v>24.03</v>
      </c>
      <c r="AA5" s="466" t="n">
        <v>23.07</v>
      </c>
      <c r="AB5" s="466" t="n">
        <v>22.16</v>
      </c>
      <c r="AC5" s="466" t="n">
        <v>21.27</v>
      </c>
      <c r="AD5" s="466" t="n">
        <v>20.43</v>
      </c>
      <c r="AE5" s="466" t="n">
        <v>19.61</v>
      </c>
      <c r="AF5" s="466" t="n">
        <v>18.83</v>
      </c>
      <c r="AG5" s="466" t="n">
        <v>18.08</v>
      </c>
      <c r="AH5" s="466" t="n">
        <v>17.36</v>
      </c>
      <c r="AI5" s="466" t="n">
        <v>16.67</v>
      </c>
      <c r="AJ5" s="466" t="n">
        <v>16.01</v>
      </c>
      <c r="AK5" s="466" t="n">
        <v>15.37</v>
      </c>
      <c r="AL5" s="466" t="n">
        <v>14.76</v>
      </c>
      <c r="AM5" s="466" t="n">
        <v>14.17</v>
      </c>
      <c r="AN5" s="466" t="n">
        <v>13.61</v>
      </c>
      <c r="AO5" s="466" t="n">
        <v>13.06</v>
      </c>
      <c r="AP5" s="466" t="n">
        <v>12.54</v>
      </c>
      <c r="AQ5" s="466" t="n">
        <v>12.05</v>
      </c>
      <c r="AR5" s="466" t="n">
        <v>11.57</v>
      </c>
      <c r="AS5" s="466" t="n">
        <v>11.11</v>
      </c>
      <c r="AT5" s="466" t="n">
        <v>10.66</v>
      </c>
      <c r="AU5" s="466" t="n">
        <v>10.24</v>
      </c>
      <c r="AV5" s="466" t="n">
        <v>9.83</v>
      </c>
      <c r="AW5" s="466" t="n">
        <v>9.44</v>
      </c>
      <c r="AX5" s="466" t="n">
        <v>9.06</v>
      </c>
      <c r="AY5" s="466" t="n">
        <v>8.699999999999999</v>
      </c>
      <c r="AZ5" s="466" t="n">
        <v>8.359999999999999</v>
      </c>
      <c r="BA5" s="466" t="n">
        <v>8.02</v>
      </c>
      <c r="BB5" s="466" t="n">
        <v>7.7</v>
      </c>
      <c r="BC5" s="466" t="n">
        <v>7.4</v>
      </c>
      <c r="BD5" s="466" t="n">
        <v>7.1</v>
      </c>
      <c r="BE5" s="466" t="n">
        <v>6.82</v>
      </c>
      <c r="BF5" s="466" t="n">
        <v>6.55</v>
      </c>
      <c r="BG5" s="466" t="n">
        <v>6.29</v>
      </c>
      <c r="BH5" s="466" t="n">
        <v>6.04</v>
      </c>
      <c r="BI5" s="466" t="n">
        <v>5.8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3.31</v>
      </c>
      <c r="J6" s="459" t="n">
        <v>3.87</v>
      </c>
      <c r="K6" s="459" t="n">
        <v>3.79</v>
      </c>
      <c r="L6" s="459" t="n">
        <v>4.2</v>
      </c>
      <c r="M6" s="459" t="n">
        <v>4.11</v>
      </c>
      <c r="N6" s="459" t="n">
        <v>4.5</v>
      </c>
      <c r="O6" s="459" t="n">
        <v>3.9</v>
      </c>
      <c r="P6" s="459" t="n">
        <v>3.61</v>
      </c>
      <c r="Q6" s="459" t="n">
        <v>3.46</v>
      </c>
      <c r="R6" s="459" t="n">
        <v>3.33</v>
      </c>
      <c r="S6" s="459" t="n">
        <v>3.19</v>
      </c>
      <c r="T6" s="459" t="n">
        <v>3.07</v>
      </c>
      <c r="U6" s="459" t="n">
        <v>2.94</v>
      </c>
      <c r="V6" s="459" t="n">
        <v>2.83</v>
      </c>
      <c r="W6" s="459" t="n">
        <v>2.71</v>
      </c>
      <c r="X6" s="459" t="n">
        <v>2.61</v>
      </c>
      <c r="Y6" s="459" t="n">
        <v>2.5</v>
      </c>
      <c r="Z6" s="459" t="n">
        <v>2.4</v>
      </c>
      <c r="AA6" s="459" t="n">
        <v>2.31</v>
      </c>
      <c r="AB6" s="459" t="n">
        <v>2.22</v>
      </c>
      <c r="AC6" s="459" t="n">
        <v>2.13</v>
      </c>
      <c r="AD6" s="459" t="n">
        <v>2.04</v>
      </c>
      <c r="AE6" s="459" t="n">
        <v>1.96</v>
      </c>
      <c r="AF6" s="459" t="n">
        <v>1.88</v>
      </c>
      <c r="AG6" s="459" t="n">
        <v>1.81</v>
      </c>
      <c r="AH6" s="459" t="n">
        <v>1.74</v>
      </c>
      <c r="AI6" s="459" t="n">
        <v>1.67</v>
      </c>
      <c r="AJ6" s="459" t="n">
        <v>1.6</v>
      </c>
      <c r="AK6" s="459" t="n">
        <v>1.54</v>
      </c>
      <c r="AL6" s="459" t="n">
        <v>1.48</v>
      </c>
      <c r="AM6" s="459" t="n">
        <v>1.42</v>
      </c>
      <c r="AN6" s="459" t="n">
        <v>1.36</v>
      </c>
      <c r="AO6" s="459" t="n">
        <v>1.31</v>
      </c>
      <c r="AP6" s="459" t="n">
        <v>1.25</v>
      </c>
      <c r="AQ6" s="459" t="n">
        <v>1.2</v>
      </c>
      <c r="AR6" s="459" t="n">
        <v>1.16</v>
      </c>
      <c r="AS6" s="459" t="n">
        <v>1.11</v>
      </c>
      <c r="AT6" s="459" t="n">
        <v>1.07</v>
      </c>
      <c r="AU6" s="459" t="n">
        <v>1.02</v>
      </c>
      <c r="AV6" s="459" t="n">
        <v>0.98</v>
      </c>
      <c r="AW6" s="459" t="n">
        <v>0.9399999999999999</v>
      </c>
      <c r="AX6" s="459" t="n">
        <v>0.91</v>
      </c>
      <c r="AY6" s="459" t="n">
        <v>0.87</v>
      </c>
      <c r="AZ6" s="459" t="n">
        <v>0.84</v>
      </c>
      <c r="BA6" s="459" t="n">
        <v>0.8</v>
      </c>
      <c r="BB6" s="459" t="n">
        <v>0.77</v>
      </c>
      <c r="BC6" s="459" t="n">
        <v>0.74</v>
      </c>
      <c r="BD6" s="459" t="n">
        <v>0.71</v>
      </c>
      <c r="BE6" s="459" t="n">
        <v>0.68</v>
      </c>
      <c r="BF6" s="459" t="n">
        <v>0.65</v>
      </c>
      <c r="BG6" s="459" t="n">
        <v>0.63</v>
      </c>
      <c r="BH6" s="459" t="n">
        <v>0.6</v>
      </c>
      <c r="BI6" s="459" t="n">
        <v>0.58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26.8</v>
      </c>
      <c r="J7" s="470" t="n">
        <v>28.96</v>
      </c>
      <c r="K7" s="470" t="n">
        <v>29.73</v>
      </c>
      <c r="L7" s="470" t="n">
        <v>31.91</v>
      </c>
      <c r="M7" s="470" t="n">
        <v>32.56</v>
      </c>
      <c r="N7" s="470" t="n">
        <v>34.63</v>
      </c>
      <c r="O7" s="470" t="n">
        <v>33.67</v>
      </c>
      <c r="P7" s="470" t="n">
        <v>32.47</v>
      </c>
      <c r="Q7" s="470" t="n">
        <v>31.18</v>
      </c>
      <c r="R7" s="470" t="n">
        <v>29.94</v>
      </c>
      <c r="S7" s="470" t="n">
        <v>28.74</v>
      </c>
      <c r="T7" s="470" t="n">
        <v>27.6</v>
      </c>
      <c r="U7" s="470" t="n">
        <v>26.5</v>
      </c>
      <c r="V7" s="470" t="n">
        <v>25.45</v>
      </c>
      <c r="W7" s="470" t="n">
        <v>24.43</v>
      </c>
      <c r="X7" s="470" t="n">
        <v>23.46</v>
      </c>
      <c r="Y7" s="470" t="n">
        <v>22.53</v>
      </c>
      <c r="Z7" s="470" t="n">
        <v>21.63</v>
      </c>
      <c r="AA7" s="470" t="n">
        <v>20.77</v>
      </c>
      <c r="AB7" s="470" t="n">
        <v>19.94</v>
      </c>
      <c r="AC7" s="470" t="n">
        <v>19.15</v>
      </c>
      <c r="AD7" s="470" t="n">
        <v>18.38</v>
      </c>
      <c r="AE7" s="470" t="n">
        <v>17.65</v>
      </c>
      <c r="AF7" s="470" t="n">
        <v>16.95</v>
      </c>
      <c r="AG7" s="470" t="n">
        <v>16.27</v>
      </c>
      <c r="AH7" s="470" t="n">
        <v>15.63</v>
      </c>
      <c r="AI7" s="470" t="n">
        <v>15</v>
      </c>
      <c r="AJ7" s="470" t="n">
        <v>14.41</v>
      </c>
      <c r="AK7" s="470" t="n">
        <v>13.83</v>
      </c>
      <c r="AL7" s="470" t="n">
        <v>13.28</v>
      </c>
      <c r="AM7" s="470" t="n">
        <v>12.75</v>
      </c>
      <c r="AN7" s="470" t="n">
        <v>12.25</v>
      </c>
      <c r="AO7" s="470" t="n">
        <v>11.76</v>
      </c>
      <c r="AP7" s="470" t="n">
        <v>11.29</v>
      </c>
      <c r="AQ7" s="470" t="n">
        <v>10.84</v>
      </c>
      <c r="AR7" s="470" t="n">
        <v>10.41</v>
      </c>
      <c r="AS7" s="470" t="n">
        <v>9.99</v>
      </c>
      <c r="AT7" s="470" t="n">
        <v>9.6</v>
      </c>
      <c r="AU7" s="470" t="n">
        <v>9.210000000000001</v>
      </c>
      <c r="AV7" s="470" t="n">
        <v>8.85</v>
      </c>
      <c r="AW7" s="470" t="n">
        <v>8.5</v>
      </c>
      <c r="AX7" s="470" t="n">
        <v>8.16</v>
      </c>
      <c r="AY7" s="470" t="n">
        <v>7.83</v>
      </c>
      <c r="AZ7" s="470" t="n">
        <v>7.52</v>
      </c>
      <c r="BA7" s="470" t="n">
        <v>7.22</v>
      </c>
      <c r="BB7" s="470" t="n">
        <v>6.93</v>
      </c>
      <c r="BC7" s="470" t="n">
        <v>6.66</v>
      </c>
      <c r="BD7" s="470" t="n">
        <v>6.39</v>
      </c>
      <c r="BE7" s="470" t="n">
        <v>6.14</v>
      </c>
      <c r="BF7" s="470" t="n">
        <v>5.89</v>
      </c>
      <c r="BG7" s="470" t="n">
        <v>5.66</v>
      </c>
      <c r="BH7" s="470" t="n">
        <v>5.43</v>
      </c>
      <c r="BI7" s="470" t="n">
        <v>5.22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1.61</v>
      </c>
      <c r="J9" s="459" t="n">
        <v>1.84</v>
      </c>
      <c r="K9" s="459" t="n">
        <v>1.82</v>
      </c>
      <c r="L9" s="459" t="n">
        <v>2</v>
      </c>
      <c r="M9" s="459" t="n">
        <v>1.98</v>
      </c>
      <c r="N9" s="459" t="n">
        <v>2.15</v>
      </c>
      <c r="O9" s="459" t="n">
        <v>1.93</v>
      </c>
      <c r="P9" s="459" t="n">
        <v>1.8</v>
      </c>
      <c r="Q9" s="459" t="n">
        <v>1.73</v>
      </c>
      <c r="R9" s="459" t="n">
        <v>1.66</v>
      </c>
      <c r="S9" s="459" t="n">
        <v>1.6</v>
      </c>
      <c r="T9" s="459" t="n">
        <v>1.53</v>
      </c>
      <c r="U9" s="459" t="n">
        <v>1.47</v>
      </c>
      <c r="V9" s="459" t="n">
        <v>1.41</v>
      </c>
      <c r="W9" s="459" t="n">
        <v>1.36</v>
      </c>
      <c r="X9" s="459" t="n">
        <v>1.3</v>
      </c>
      <c r="Y9" s="459" t="n">
        <v>1.25</v>
      </c>
      <c r="Z9" s="459" t="n">
        <v>1.2</v>
      </c>
      <c r="AA9" s="459" t="n">
        <v>1.15</v>
      </c>
      <c r="AB9" s="459" t="n">
        <v>1.11</v>
      </c>
      <c r="AC9" s="459" t="n">
        <v>1.06</v>
      </c>
      <c r="AD9" s="459" t="n">
        <v>1.02</v>
      </c>
      <c r="AE9" s="459" t="n">
        <v>0.98</v>
      </c>
      <c r="AF9" s="459" t="n">
        <v>0.9399999999999999</v>
      </c>
      <c r="AG9" s="459" t="n">
        <v>0.9</v>
      </c>
      <c r="AH9" s="459" t="n">
        <v>0.87</v>
      </c>
      <c r="AI9" s="459" t="n">
        <v>0.83</v>
      </c>
      <c r="AJ9" s="459" t="n">
        <v>0.8</v>
      </c>
      <c r="AK9" s="459" t="n">
        <v>0.77</v>
      </c>
      <c r="AL9" s="459" t="n">
        <v>0.74</v>
      </c>
      <c r="AM9" s="459" t="n">
        <v>0.71</v>
      </c>
      <c r="AN9" s="459" t="n">
        <v>0.68</v>
      </c>
      <c r="AO9" s="459" t="n">
        <v>0.65</v>
      </c>
      <c r="AP9" s="459" t="n">
        <v>0.63</v>
      </c>
      <c r="AQ9" s="459" t="n">
        <v>0.6</v>
      </c>
      <c r="AR9" s="459" t="n">
        <v>0.58</v>
      </c>
      <c r="AS9" s="459" t="n">
        <v>0.5600000000000001</v>
      </c>
      <c r="AT9" s="459" t="n">
        <v>0.53</v>
      </c>
      <c r="AU9" s="459" t="n">
        <v>0.51</v>
      </c>
      <c r="AV9" s="459" t="n">
        <v>0.49</v>
      </c>
      <c r="AW9" s="459" t="n">
        <v>0.47</v>
      </c>
      <c r="AX9" s="459" t="n">
        <v>0.45</v>
      </c>
      <c r="AY9" s="459" t="n">
        <v>0.44</v>
      </c>
      <c r="AZ9" s="459" t="n">
        <v>0.42</v>
      </c>
      <c r="BA9" s="459" t="n">
        <v>0.4</v>
      </c>
      <c r="BB9" s="459" t="n">
        <v>0.39</v>
      </c>
      <c r="BC9" s="459" t="n">
        <v>0.37</v>
      </c>
      <c r="BD9" s="459" t="n">
        <v>0.36</v>
      </c>
      <c r="BE9" s="459" t="n">
        <v>0.34</v>
      </c>
      <c r="BF9" s="459" t="n">
        <v>0.33</v>
      </c>
      <c r="BG9" s="459" t="n">
        <v>0.31</v>
      </c>
      <c r="BH9" s="459" t="n">
        <v>0.3</v>
      </c>
      <c r="BI9" s="459" t="n">
        <v>0.29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1.81</v>
      </c>
      <c r="J10" s="459" t="n">
        <v>1.97</v>
      </c>
      <c r="K10" s="459" t="n">
        <v>2.01</v>
      </c>
      <c r="L10" s="459" t="n">
        <v>2.17</v>
      </c>
      <c r="M10" s="459" t="n">
        <v>2.2</v>
      </c>
      <c r="N10" s="459" t="n">
        <v>2.35</v>
      </c>
      <c r="O10" s="459" t="n">
        <v>2.25</v>
      </c>
      <c r="P10" s="459" t="n">
        <v>2.16</v>
      </c>
      <c r="Q10" s="459" t="n">
        <v>2.08</v>
      </c>
      <c r="R10" s="459" t="n">
        <v>2</v>
      </c>
      <c r="S10" s="459" t="n">
        <v>1.92</v>
      </c>
      <c r="T10" s="459" t="n">
        <v>1.84</v>
      </c>
      <c r="U10" s="459" t="n">
        <v>1.77</v>
      </c>
      <c r="V10" s="459" t="n">
        <v>1.7</v>
      </c>
      <c r="W10" s="459" t="n">
        <v>1.63</v>
      </c>
      <c r="X10" s="459" t="n">
        <v>1.56</v>
      </c>
      <c r="Y10" s="459" t="n">
        <v>1.5</v>
      </c>
      <c r="Z10" s="459" t="n">
        <v>1.44</v>
      </c>
      <c r="AA10" s="459" t="n">
        <v>1.38</v>
      </c>
      <c r="AB10" s="459" t="n">
        <v>1.33</v>
      </c>
      <c r="AC10" s="459" t="n">
        <v>1.28</v>
      </c>
      <c r="AD10" s="459" t="n">
        <v>1.23</v>
      </c>
      <c r="AE10" s="459" t="n">
        <v>1.18</v>
      </c>
      <c r="AF10" s="459" t="n">
        <v>1.13</v>
      </c>
      <c r="AG10" s="459" t="n">
        <v>1.08</v>
      </c>
      <c r="AH10" s="459" t="n">
        <v>1.04</v>
      </c>
      <c r="AI10" s="459" t="n">
        <v>1</v>
      </c>
      <c r="AJ10" s="459" t="n">
        <v>0.96</v>
      </c>
      <c r="AK10" s="459" t="n">
        <v>0.92</v>
      </c>
      <c r="AL10" s="459" t="n">
        <v>0.89</v>
      </c>
      <c r="AM10" s="459" t="n">
        <v>0.85</v>
      </c>
      <c r="AN10" s="459" t="n">
        <v>0.82</v>
      </c>
      <c r="AO10" s="459" t="n">
        <v>0.78</v>
      </c>
      <c r="AP10" s="459" t="n">
        <v>0.75</v>
      </c>
      <c r="AQ10" s="459" t="n">
        <v>0.72</v>
      </c>
      <c r="AR10" s="459" t="n">
        <v>0.6899999999999999</v>
      </c>
      <c r="AS10" s="459" t="n">
        <v>0.67</v>
      </c>
      <c r="AT10" s="459" t="n">
        <v>0.64</v>
      </c>
      <c r="AU10" s="459" t="n">
        <v>0.61</v>
      </c>
      <c r="AV10" s="459" t="n">
        <v>0.59</v>
      </c>
      <c r="AW10" s="459" t="n">
        <v>0.57</v>
      </c>
      <c r="AX10" s="459" t="n">
        <v>0.54</v>
      </c>
      <c r="AY10" s="459" t="n">
        <v>0.52</v>
      </c>
      <c r="AZ10" s="459" t="n">
        <v>0.5</v>
      </c>
      <c r="BA10" s="459" t="n">
        <v>0.48</v>
      </c>
      <c r="BB10" s="459" t="n">
        <v>0.46</v>
      </c>
      <c r="BC10" s="459" t="n">
        <v>0.44</v>
      </c>
      <c r="BD10" s="459" t="n">
        <v>0.43</v>
      </c>
      <c r="BE10" s="459" t="n">
        <v>0.41</v>
      </c>
      <c r="BF10" s="459" t="n">
        <v>0.39</v>
      </c>
      <c r="BG10" s="459" t="n">
        <v>0.38</v>
      </c>
      <c r="BH10" s="459" t="n">
        <v>0.36</v>
      </c>
      <c r="BI10" s="459" t="n">
        <v>0.35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2.13</v>
      </c>
      <c r="J12" s="459" t="n">
        <v>2.93</v>
      </c>
      <c r="K12" s="459" t="n">
        <v>2.51</v>
      </c>
      <c r="L12" s="459" t="n">
        <v>3.22</v>
      </c>
      <c r="M12" s="459" t="n">
        <v>2.65</v>
      </c>
      <c r="N12" s="459" t="n">
        <v>3.22</v>
      </c>
      <c r="O12" s="459" t="n">
        <v>1.47</v>
      </c>
      <c r="P12" s="459" t="n">
        <v>0.59</v>
      </c>
      <c r="Q12" s="459" t="n">
        <v>0.14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0</v>
      </c>
      <c r="N13" s="459" t="n">
        <v>0</v>
      </c>
      <c r="O13" s="459" t="n">
        <v>0</v>
      </c>
      <c r="P13" s="459" t="n">
        <v>0</v>
      </c>
      <c r="Q13" s="459" t="n">
        <v>6.48</v>
      </c>
      <c r="R13" s="459" t="n">
        <v>0</v>
      </c>
      <c r="S13" s="459" t="n">
        <v>0</v>
      </c>
      <c r="T13" s="459" t="n">
        <v>0</v>
      </c>
      <c r="U13" s="459" t="n">
        <v>9.220000000000001</v>
      </c>
      <c r="V13" s="459" t="n">
        <v>0</v>
      </c>
      <c r="W13" s="459" t="n">
        <v>0</v>
      </c>
      <c r="X13" s="459" t="n">
        <v>0</v>
      </c>
      <c r="Y13" s="459" t="n">
        <v>6.12</v>
      </c>
      <c r="Z13" s="459" t="n">
        <v>0</v>
      </c>
      <c r="AA13" s="459" t="n">
        <v>0</v>
      </c>
      <c r="AB13" s="459" t="n">
        <v>0</v>
      </c>
      <c r="AC13" s="459" t="n">
        <v>3.48</v>
      </c>
      <c r="AD13" s="459" t="n">
        <v>0</v>
      </c>
      <c r="AE13" s="459" t="n">
        <v>0</v>
      </c>
      <c r="AF13" s="459" t="n">
        <v>0</v>
      </c>
      <c r="AG13" s="459" t="n">
        <v>1.24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8.41</v>
      </c>
      <c r="J14" s="462" t="n">
        <v>9.6</v>
      </c>
      <c r="K14" s="462" t="n">
        <v>9.199999999999999</v>
      </c>
      <c r="L14" s="462" t="n">
        <v>10.25</v>
      </c>
      <c r="M14" s="462" t="n">
        <v>9.69</v>
      </c>
      <c r="N14" s="462" t="n">
        <v>10.58</v>
      </c>
      <c r="O14" s="462" t="n">
        <v>8.51</v>
      </c>
      <c r="P14" s="462" t="n">
        <v>7.43</v>
      </c>
      <c r="Q14" s="462" t="n">
        <v>13.3</v>
      </c>
      <c r="R14" s="462" t="n">
        <v>6.52</v>
      </c>
      <c r="S14" s="462" t="n">
        <v>6.38</v>
      </c>
      <c r="T14" s="462" t="n">
        <v>6.24</v>
      </c>
      <c r="U14" s="462" t="n">
        <v>15.32</v>
      </c>
      <c r="V14" s="462" t="n">
        <v>5.97</v>
      </c>
      <c r="W14" s="462" t="n">
        <v>5.85</v>
      </c>
      <c r="X14" s="462" t="n">
        <v>5.73</v>
      </c>
      <c r="Y14" s="462" t="n">
        <v>11.74</v>
      </c>
      <c r="Z14" s="462" t="n">
        <v>5.51</v>
      </c>
      <c r="AA14" s="462" t="n">
        <v>5.4</v>
      </c>
      <c r="AB14" s="462" t="n">
        <v>5.3</v>
      </c>
      <c r="AC14" s="462" t="n">
        <v>8.69</v>
      </c>
      <c r="AD14" s="462" t="n">
        <v>5.11</v>
      </c>
      <c r="AE14" s="462" t="n">
        <v>5.02</v>
      </c>
      <c r="AF14" s="462" t="n">
        <v>4.94</v>
      </c>
      <c r="AG14" s="462" t="n">
        <v>6.09</v>
      </c>
      <c r="AH14" s="462" t="n">
        <v>4.77</v>
      </c>
      <c r="AI14" s="462" t="n">
        <v>4.7</v>
      </c>
      <c r="AJ14" s="462" t="n">
        <v>4.62</v>
      </c>
      <c r="AK14" s="462" t="n">
        <v>4.55</v>
      </c>
      <c r="AL14" s="462" t="n">
        <v>4.49</v>
      </c>
      <c r="AM14" s="462" t="n">
        <v>4.42</v>
      </c>
      <c r="AN14" s="462" t="n">
        <v>4.36</v>
      </c>
      <c r="AO14" s="462" t="n">
        <v>4.3</v>
      </c>
      <c r="AP14" s="462" t="n">
        <v>4.24</v>
      </c>
      <c r="AQ14" s="462" t="n">
        <v>4.19</v>
      </c>
      <c r="AR14" s="462" t="n">
        <v>4.14</v>
      </c>
      <c r="AS14" s="462" t="n">
        <v>4.09</v>
      </c>
      <c r="AT14" s="462" t="n">
        <v>4.04</v>
      </c>
      <c r="AU14" s="462" t="n">
        <v>3.99</v>
      </c>
      <c r="AV14" s="462" t="n">
        <v>3.95</v>
      </c>
      <c r="AW14" s="462" t="n">
        <v>3.9</v>
      </c>
      <c r="AX14" s="462" t="n">
        <v>3.86</v>
      </c>
      <c r="AY14" s="462" t="n">
        <v>3.82</v>
      </c>
      <c r="AZ14" s="462" t="n">
        <v>3.78</v>
      </c>
      <c r="BA14" s="462" t="n">
        <v>3.75</v>
      </c>
      <c r="BB14" s="462" t="n">
        <v>3.71</v>
      </c>
      <c r="BC14" s="462" t="n">
        <v>3.68</v>
      </c>
      <c r="BD14" s="462" t="n">
        <v>3.65</v>
      </c>
      <c r="BE14" s="462" t="n">
        <v>3.61</v>
      </c>
      <c r="BF14" s="462" t="n">
        <v>3.58</v>
      </c>
      <c r="BG14" s="462" t="n">
        <v>3.56</v>
      </c>
      <c r="BH14" s="462" t="n">
        <v>3.53</v>
      </c>
      <c r="BI14" s="462" t="n">
        <v>3.5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19.36</v>
      </c>
      <c r="K16" s="466" t="n">
        <v>20.53</v>
      </c>
      <c r="L16" s="466" t="n">
        <v>21.67</v>
      </c>
      <c r="M16" s="466" t="n">
        <v>22.87</v>
      </c>
      <c r="N16" s="466" t="n">
        <v>24.05</v>
      </c>
      <c r="O16" s="466" t="n">
        <v>25.16</v>
      </c>
      <c r="P16" s="466" t="n">
        <v>25.04</v>
      </c>
      <c r="Q16" s="466" t="n">
        <v>17.88</v>
      </c>
      <c r="R16" s="466" t="n">
        <v>23.41</v>
      </c>
      <c r="S16" s="466" t="n">
        <v>22.37</v>
      </c>
      <c r="T16" s="466" t="n">
        <v>21.36</v>
      </c>
      <c r="U16" s="466" t="n">
        <v>11.18</v>
      </c>
      <c r="V16" s="466" t="n">
        <v>19.47</v>
      </c>
      <c r="W16" s="466" t="n">
        <v>18.58</v>
      </c>
      <c r="X16" s="466" t="n">
        <v>17.73</v>
      </c>
      <c r="Y16" s="466" t="n">
        <v>10.79</v>
      </c>
      <c r="Z16" s="466" t="n">
        <v>16.12</v>
      </c>
      <c r="AA16" s="466" t="n">
        <v>15.36</v>
      </c>
      <c r="AB16" s="466" t="n">
        <v>14.64</v>
      </c>
      <c r="AC16" s="466" t="n">
        <v>10.46</v>
      </c>
      <c r="AD16" s="466" t="n">
        <v>13.27</v>
      </c>
      <c r="AE16" s="466" t="n">
        <v>12.63</v>
      </c>
      <c r="AF16" s="466" t="n">
        <v>12.01</v>
      </c>
      <c r="AG16" s="466" t="n">
        <v>10.18</v>
      </c>
      <c r="AH16" s="466" t="n">
        <v>10.85</v>
      </c>
      <c r="AI16" s="466" t="n">
        <v>10.31</v>
      </c>
      <c r="AJ16" s="466" t="n">
        <v>9.779999999999999</v>
      </c>
      <c r="AK16" s="466" t="n">
        <v>9.279999999999999</v>
      </c>
      <c r="AL16" s="466" t="n">
        <v>8.800000000000001</v>
      </c>
      <c r="AM16" s="466" t="n">
        <v>8.33</v>
      </c>
      <c r="AN16" s="466" t="n">
        <v>7.89</v>
      </c>
      <c r="AO16" s="466" t="n">
        <v>7.46</v>
      </c>
      <c r="AP16" s="466" t="n">
        <v>7.05</v>
      </c>
      <c r="AQ16" s="466" t="n">
        <v>6.65</v>
      </c>
      <c r="AR16" s="466" t="n">
        <v>6.27</v>
      </c>
      <c r="AS16" s="466" t="n">
        <v>5.91</v>
      </c>
      <c r="AT16" s="466" t="n">
        <v>5.56</v>
      </c>
      <c r="AU16" s="466" t="n">
        <v>5.22</v>
      </c>
      <c r="AV16" s="466" t="n">
        <v>4.9</v>
      </c>
      <c r="AW16" s="466" t="n">
        <v>4.59</v>
      </c>
      <c r="AX16" s="466" t="n">
        <v>4.3</v>
      </c>
      <c r="AY16" s="466" t="n">
        <v>4.01</v>
      </c>
      <c r="AZ16" s="466" t="n">
        <v>3.74</v>
      </c>
      <c r="BA16" s="466" t="n">
        <v>3.47</v>
      </c>
      <c r="BB16" s="466" t="n">
        <v>3.22</v>
      </c>
      <c r="BC16" s="466" t="n">
        <v>2.98</v>
      </c>
      <c r="BD16" s="466" t="n">
        <v>2.75</v>
      </c>
      <c r="BE16" s="466" t="n">
        <v>2.52</v>
      </c>
      <c r="BF16" s="466" t="n">
        <v>2.31</v>
      </c>
      <c r="BG16" s="466" t="n">
        <v>2.1</v>
      </c>
      <c r="BH16" s="466" t="n">
        <v>1.91</v>
      </c>
      <c r="BI16" s="466" t="n">
        <v>1.72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1.38</v>
      </c>
      <c r="J17" s="459" t="n">
        <v>0</v>
      </c>
      <c r="K17" s="459" t="n">
        <v>1.38</v>
      </c>
      <c r="L17" s="459" t="n">
        <v>0</v>
      </c>
      <c r="M17" s="459" t="n">
        <v>1.38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17.01</v>
      </c>
      <c r="J18" s="470" t="n">
        <v>19.36</v>
      </c>
      <c r="K18" s="470" t="n">
        <v>19.14</v>
      </c>
      <c r="L18" s="470" t="n">
        <v>21.67</v>
      </c>
      <c r="M18" s="470" t="n">
        <v>21.48</v>
      </c>
      <c r="N18" s="470" t="n">
        <v>24.05</v>
      </c>
      <c r="O18" s="470" t="n">
        <v>25.16</v>
      </c>
      <c r="P18" s="470" t="n">
        <v>25.04</v>
      </c>
      <c r="Q18" s="470" t="n">
        <v>17.88</v>
      </c>
      <c r="R18" s="470" t="n">
        <v>23.41</v>
      </c>
      <c r="S18" s="470" t="n">
        <v>22.37</v>
      </c>
      <c r="T18" s="470" t="n">
        <v>21.36</v>
      </c>
      <c r="U18" s="470" t="n">
        <v>11.18</v>
      </c>
      <c r="V18" s="470" t="n">
        <v>19.47</v>
      </c>
      <c r="W18" s="470" t="n">
        <v>18.58</v>
      </c>
      <c r="X18" s="470" t="n">
        <v>17.73</v>
      </c>
      <c r="Y18" s="470" t="n">
        <v>10.79</v>
      </c>
      <c r="Z18" s="470" t="n">
        <v>16.12</v>
      </c>
      <c r="AA18" s="470" t="n">
        <v>15.36</v>
      </c>
      <c r="AB18" s="470" t="n">
        <v>14.64</v>
      </c>
      <c r="AC18" s="470" t="n">
        <v>10.46</v>
      </c>
      <c r="AD18" s="470" t="n">
        <v>13.27</v>
      </c>
      <c r="AE18" s="470" t="n">
        <v>12.63</v>
      </c>
      <c r="AF18" s="470" t="n">
        <v>12.01</v>
      </c>
      <c r="AG18" s="470" t="n">
        <v>10.18</v>
      </c>
      <c r="AH18" s="470" t="n">
        <v>10.85</v>
      </c>
      <c r="AI18" s="470" t="n">
        <v>10.31</v>
      </c>
      <c r="AJ18" s="470" t="n">
        <v>9.779999999999999</v>
      </c>
      <c r="AK18" s="470" t="n">
        <v>9.279999999999999</v>
      </c>
      <c r="AL18" s="470" t="n">
        <v>8.800000000000001</v>
      </c>
      <c r="AM18" s="470" t="n">
        <v>8.33</v>
      </c>
      <c r="AN18" s="470" t="n">
        <v>7.89</v>
      </c>
      <c r="AO18" s="470" t="n">
        <v>7.46</v>
      </c>
      <c r="AP18" s="470" t="n">
        <v>7.05</v>
      </c>
      <c r="AQ18" s="470" t="n">
        <v>6.65</v>
      </c>
      <c r="AR18" s="470" t="n">
        <v>6.27</v>
      </c>
      <c r="AS18" s="470" t="n">
        <v>5.91</v>
      </c>
      <c r="AT18" s="470" t="n">
        <v>5.56</v>
      </c>
      <c r="AU18" s="470" t="n">
        <v>5.22</v>
      </c>
      <c r="AV18" s="470" t="n">
        <v>4.9</v>
      </c>
      <c r="AW18" s="470" t="n">
        <v>4.59</v>
      </c>
      <c r="AX18" s="470" t="n">
        <v>4.3</v>
      </c>
      <c r="AY18" s="470" t="n">
        <v>4.01</v>
      </c>
      <c r="AZ18" s="470" t="n">
        <v>3.74</v>
      </c>
      <c r="BA18" s="470" t="n">
        <v>3.47</v>
      </c>
      <c r="BB18" s="470" t="n">
        <v>3.22</v>
      </c>
      <c r="BC18" s="470" t="n">
        <v>2.98</v>
      </c>
      <c r="BD18" s="470" t="n">
        <v>2.75</v>
      </c>
      <c r="BE18" s="470" t="n">
        <v>2.52</v>
      </c>
      <c r="BF18" s="470" t="n">
        <v>2.31</v>
      </c>
      <c r="BG18" s="470" t="n">
        <v>2.1</v>
      </c>
      <c r="BH18" s="470" t="n">
        <v>1.91</v>
      </c>
      <c r="BI18" s="470" t="n">
        <v>1.72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1" t="inlineStr">
        <is>
          <t xml:space="preserve">    Retained (50%)</t>
        </is>
      </c>
      <c r="B21" s="459" t="n">
        <v>-0.5</v>
      </c>
      <c r="C21" s="459" t="n">
        <v>-1.3</v>
      </c>
      <c r="D21" s="459" t="n">
        <v>-0.61</v>
      </c>
      <c r="E21" s="459" t="n">
        <v>0.72</v>
      </c>
      <c r="F21" s="459" t="n">
        <v>4.81</v>
      </c>
      <c r="G21" s="459" t="n">
        <v>6.27</v>
      </c>
      <c r="H21" s="459" t="n">
        <v>8.5</v>
      </c>
      <c r="I21" s="459" t="n">
        <v>8.5</v>
      </c>
      <c r="J21" s="459" t="n">
        <v>9.68</v>
      </c>
      <c r="K21" s="459" t="n">
        <v>9.57</v>
      </c>
      <c r="L21" s="459" t="n">
        <v>10.83</v>
      </c>
      <c r="M21" s="459" t="n">
        <v>10.74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9" t="n">
        <v>0</v>
      </c>
      <c r="AA21" s="459" t="n">
        <v>0</v>
      </c>
      <c r="AB21" s="459" t="n">
        <v>0</v>
      </c>
      <c r="AC21" s="459" t="n">
        <v>0</v>
      </c>
      <c r="AD21" s="459" t="n">
        <v>0</v>
      </c>
      <c r="AE21" s="459" t="n">
        <v>0</v>
      </c>
      <c r="AF21" s="459" t="n">
        <v>0</v>
      </c>
      <c r="AG21" s="459" t="n">
        <v>0</v>
      </c>
      <c r="AH21" s="459" t="n">
        <v>0</v>
      </c>
      <c r="AI21" s="459" t="n">
        <v>0</v>
      </c>
      <c r="AJ21" s="459" t="n">
        <v>0</v>
      </c>
      <c r="AK21" s="459" t="n">
        <v>0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0</v>
      </c>
      <c r="AX21" s="459" t="n">
        <v>0</v>
      </c>
      <c r="AY21" s="459" t="n">
        <v>0</v>
      </c>
      <c r="AZ21" s="459" t="n">
        <v>0</v>
      </c>
      <c r="BA21" s="459" t="n">
        <v>0</v>
      </c>
      <c r="BB21" s="459" t="n">
        <v>0</v>
      </c>
      <c r="BC21" s="459" t="n">
        <v>0</v>
      </c>
      <c r="BD21" s="459" t="n">
        <v>0</v>
      </c>
      <c r="BE21" s="459" t="n">
        <v>0</v>
      </c>
      <c r="BF21" s="459" t="n">
        <v>0</v>
      </c>
      <c r="BG21" s="459" t="n">
        <v>0</v>
      </c>
      <c r="BH21" s="459" t="n">
        <v>0</v>
      </c>
      <c r="BI21" s="459" t="n">
        <v>0</v>
      </c>
      <c r="BJ21" s="306" t="n"/>
    </row>
    <row r="22" ht="15" customHeight="1" s="307">
      <c r="A22" s="322" t="inlineStr">
        <is>
          <t>Distributable Cash</t>
        </is>
      </c>
      <c r="B22" s="462" t="n">
        <v>-0.5</v>
      </c>
      <c r="C22" s="462" t="n">
        <v>-1.3</v>
      </c>
      <c r="D22" s="462" t="n">
        <v>-0.61</v>
      </c>
      <c r="E22" s="462" t="n">
        <v>0.72</v>
      </c>
      <c r="F22" s="462" t="n">
        <v>4.81</v>
      </c>
      <c r="G22" s="462" t="n">
        <v>6.27</v>
      </c>
      <c r="H22" s="462" t="n">
        <v>8.5</v>
      </c>
      <c r="I22" s="462" t="n">
        <v>8.5</v>
      </c>
      <c r="J22" s="462" t="n">
        <v>9.68</v>
      </c>
      <c r="K22" s="462" t="n">
        <v>9.57</v>
      </c>
      <c r="L22" s="462" t="n">
        <v>10.83</v>
      </c>
      <c r="M22" s="462" t="n">
        <v>10.74</v>
      </c>
      <c r="N22" s="462" t="n">
        <v>24.05</v>
      </c>
      <c r="O22" s="462" t="n">
        <v>25.16</v>
      </c>
      <c r="P22" s="462" t="n">
        <v>25.04</v>
      </c>
      <c r="Q22" s="462" t="n">
        <v>17.88</v>
      </c>
      <c r="R22" s="462" t="n">
        <v>23.41</v>
      </c>
      <c r="S22" s="462" t="n">
        <v>22.37</v>
      </c>
      <c r="T22" s="462" t="n">
        <v>21.36</v>
      </c>
      <c r="U22" s="462" t="n">
        <v>11.18</v>
      </c>
      <c r="V22" s="462" t="n">
        <v>19.47</v>
      </c>
      <c r="W22" s="462" t="n">
        <v>18.58</v>
      </c>
      <c r="X22" s="462" t="n">
        <v>17.73</v>
      </c>
      <c r="Y22" s="462" t="n">
        <v>10.79</v>
      </c>
      <c r="Z22" s="462" t="n">
        <v>16.12</v>
      </c>
      <c r="AA22" s="462" t="n">
        <v>15.36</v>
      </c>
      <c r="AB22" s="462" t="n">
        <v>14.64</v>
      </c>
      <c r="AC22" s="462" t="n">
        <v>10.46</v>
      </c>
      <c r="AD22" s="462" t="n">
        <v>13.27</v>
      </c>
      <c r="AE22" s="462" t="n">
        <v>12.63</v>
      </c>
      <c r="AF22" s="462" t="n">
        <v>12.01</v>
      </c>
      <c r="AG22" s="462" t="n">
        <v>10.18</v>
      </c>
      <c r="AH22" s="462" t="n">
        <v>10.85</v>
      </c>
      <c r="AI22" s="462" t="n">
        <v>10.31</v>
      </c>
      <c r="AJ22" s="462" t="n">
        <v>9.779999999999999</v>
      </c>
      <c r="AK22" s="462" t="n">
        <v>9.279999999999999</v>
      </c>
      <c r="AL22" s="462" t="n">
        <v>8.800000000000001</v>
      </c>
      <c r="AM22" s="462" t="n">
        <v>8.33</v>
      </c>
      <c r="AN22" s="462" t="n">
        <v>7.89</v>
      </c>
      <c r="AO22" s="462" t="n">
        <v>7.46</v>
      </c>
      <c r="AP22" s="462" t="n">
        <v>7.05</v>
      </c>
      <c r="AQ22" s="462" t="n">
        <v>6.65</v>
      </c>
      <c r="AR22" s="462" t="n">
        <v>6.27</v>
      </c>
      <c r="AS22" s="462" t="n">
        <v>5.91</v>
      </c>
      <c r="AT22" s="462" t="n">
        <v>5.56</v>
      </c>
      <c r="AU22" s="462" t="n">
        <v>5.22</v>
      </c>
      <c r="AV22" s="462" t="n">
        <v>4.9</v>
      </c>
      <c r="AW22" s="462" t="n">
        <v>4.59</v>
      </c>
      <c r="AX22" s="462" t="n">
        <v>4.3</v>
      </c>
      <c r="AY22" s="462" t="n">
        <v>4.01</v>
      </c>
      <c r="AZ22" s="462" t="n">
        <v>3.74</v>
      </c>
      <c r="BA22" s="462" t="n">
        <v>3.47</v>
      </c>
      <c r="BB22" s="462" t="n">
        <v>3.22</v>
      </c>
      <c r="BC22" s="462" t="n">
        <v>2.98</v>
      </c>
      <c r="BD22" s="462" t="n">
        <v>2.75</v>
      </c>
      <c r="BE22" s="462" t="n">
        <v>2.52</v>
      </c>
      <c r="BF22" s="462" t="n">
        <v>2.31</v>
      </c>
      <c r="BG22" s="462" t="n">
        <v>2.1</v>
      </c>
      <c r="BH22" s="462" t="n">
        <v>1.91</v>
      </c>
      <c r="BI22" s="462" t="n">
        <v>1.72</v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(placeholder)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 t="n">
        <v>-3.36366404771358</v>
      </c>
      <c r="C4" s="476" t="n">
        <v>-3.36366404771358</v>
      </c>
      <c r="D4" s="477" t="n">
        <v>-0.0224244269847572</v>
      </c>
      <c r="E4" s="475" t="n"/>
      <c r="F4" s="478" t="n"/>
      <c r="G4" s="478" t="n"/>
      <c r="H4" s="476" t="n">
        <v>0</v>
      </c>
      <c r="I4" s="476" t="n">
        <v>0</v>
      </c>
      <c r="J4" s="476" t="n">
        <v>0</v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 t="n">
        <v>57.5572139587817</v>
      </c>
      <c r="C5" s="354" t="n">
        <v>54.1935499110682</v>
      </c>
      <c r="D5" s="441" t="n">
        <v>0.361290332740454</v>
      </c>
      <c r="E5" s="394" t="n"/>
      <c r="F5" s="404" t="n"/>
      <c r="G5" s="404" t="n"/>
      <c r="H5" s="354" t="n">
        <v>57.5572139587817</v>
      </c>
      <c r="I5" s="354" t="n">
        <v>0</v>
      </c>
      <c r="J5" s="354" t="n">
        <v>57.5572139587817</v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 t="n">
        <v>63.5554164605371</v>
      </c>
      <c r="C6" s="476" t="n">
        <v>117.748966371605</v>
      </c>
      <c r="D6" s="477" t="n">
        <v>0.784993109144035</v>
      </c>
      <c r="E6" s="475" t="n"/>
      <c r="F6" s="478" t="n"/>
      <c r="G6" s="478" t="n"/>
      <c r="H6" s="476" t="n">
        <v>63.5554164605371</v>
      </c>
      <c r="I6" s="476" t="n">
        <v>0</v>
      </c>
      <c r="J6" s="476" t="n">
        <v>121.112630419319</v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 t="n">
        <v>54.0221039914565</v>
      </c>
      <c r="C7" s="354" t="n">
        <v>171.771070363062</v>
      </c>
      <c r="D7" s="441" t="n">
        <v>1.14514046908708</v>
      </c>
      <c r="E7" s="394" t="n"/>
      <c r="F7" s="404" t="n"/>
      <c r="G7" s="404" t="n"/>
      <c r="H7" s="354" t="n">
        <v>51.9951571093015</v>
      </c>
      <c r="I7" s="354" t="n">
        <v>2.02694688215507</v>
      </c>
      <c r="J7" s="354" t="n">
        <v>173.10778752862</v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 t="n">
        <v>45.918788392738</v>
      </c>
      <c r="C8" s="476" t="n">
        <v>217.6898587558</v>
      </c>
      <c r="D8" s="477" t="n">
        <v>1.45126572503867</v>
      </c>
      <c r="E8" s="475" t="n"/>
      <c r="F8" s="478" t="n"/>
      <c r="G8" s="478" t="n"/>
      <c r="H8" s="476" t="n">
        <v>39.7350307141904</v>
      </c>
      <c r="I8" s="476" t="n">
        <v>6.18375767854761</v>
      </c>
      <c r="J8" s="476" t="n">
        <v>212.842818242811</v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 t="n">
        <v>37.8788962491578</v>
      </c>
      <c r="C9" s="354" t="n">
        <v>255.568755004958</v>
      </c>
      <c r="D9" s="441" t="n">
        <v>1.70379170003305</v>
      </c>
      <c r="E9" s="394" t="n"/>
      <c r="F9" s="404" t="n"/>
      <c r="G9" s="404" t="n"/>
      <c r="H9" s="354" t="n">
        <v>33.3031169993262</v>
      </c>
      <c r="I9" s="354" t="n">
        <v>4.57577924983155</v>
      </c>
      <c r="J9" s="354" t="n">
        <v>246.145935242137</v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 t="n">
        <v>30.4786243117841</v>
      </c>
      <c r="C10" s="476" t="n">
        <v>286.047379316742</v>
      </c>
      <c r="D10" s="477" t="n">
        <v>1.90698252877828</v>
      </c>
      <c r="E10" s="475" t="n"/>
      <c r="F10" s="478" t="n"/>
      <c r="G10" s="478" t="n"/>
      <c r="H10" s="476" t="n">
        <v>27.3828994494273</v>
      </c>
      <c r="I10" s="476" t="n">
        <v>3.09572486235682</v>
      </c>
      <c r="J10" s="476" t="n">
        <v>273.528834691564</v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 t="n">
        <v>24.1883931650165</v>
      </c>
      <c r="C11" s="354" t="n">
        <v>310.235772481758</v>
      </c>
      <c r="D11" s="441" t="n">
        <v>2.06823848321172</v>
      </c>
      <c r="E11" s="394" t="n"/>
      <c r="F11" s="404" t="n"/>
      <c r="G11" s="404" t="n"/>
      <c r="H11" s="354" t="n">
        <v>22.3507145320132</v>
      </c>
      <c r="I11" s="354" t="n">
        <v>1.8376786330033</v>
      </c>
      <c r="J11" s="354" t="n">
        <v>295.879549223577</v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 t="n">
        <v>18.841696690264</v>
      </c>
      <c r="C12" s="476" t="n">
        <v>329.077469172022</v>
      </c>
      <c r="D12" s="477" t="n">
        <v>2.19384979448015</v>
      </c>
      <c r="E12" s="475" t="n"/>
      <c r="F12" s="478" t="n"/>
      <c r="G12" s="478" t="n"/>
      <c r="H12" s="476" t="n">
        <v>18.0733573522112</v>
      </c>
      <c r="I12" s="476" t="n">
        <v>0.768339338052802</v>
      </c>
      <c r="J12" s="476" t="n">
        <v>313.952906575789</v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 t="n">
        <v>14.2970046867244</v>
      </c>
      <c r="C13" s="354" t="n">
        <v>343.374473858747</v>
      </c>
      <c r="D13" s="441" t="n">
        <v>2.28916315905831</v>
      </c>
      <c r="E13" s="394" t="n"/>
      <c r="F13" s="404" t="n"/>
      <c r="G13" s="404" t="n"/>
      <c r="H13" s="354" t="n">
        <v>14.2970046867244</v>
      </c>
      <c r="I13" s="354" t="n">
        <v>0</v>
      </c>
      <c r="J13" s="354" t="n">
        <v>328.249911262513</v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 t="n">
        <v>10.4340164837158</v>
      </c>
      <c r="C14" s="476" t="n">
        <v>353.808490342462</v>
      </c>
      <c r="D14" s="477" t="n">
        <v>2.35872326894975</v>
      </c>
      <c r="E14" s="475" t="n"/>
      <c r="F14" s="478" t="n"/>
      <c r="G14" s="478" t="n"/>
      <c r="H14" s="476" t="n">
        <v>10.4340164837158</v>
      </c>
      <c r="I14" s="476" t="n">
        <v>0</v>
      </c>
      <c r="J14" s="476" t="n">
        <v>338.683927746229</v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 t="n">
        <v>7.15047651115839</v>
      </c>
      <c r="C15" s="354" t="n">
        <v>360.958966853621</v>
      </c>
      <c r="D15" s="441" t="n">
        <v>2.40639311235747</v>
      </c>
      <c r="E15" s="394" t="n"/>
      <c r="F15" s="404" t="n"/>
      <c r="G15" s="404" t="n"/>
      <c r="H15" s="354" t="n">
        <v>7.15047651115839</v>
      </c>
      <c r="I15" s="354" t="n">
        <v>0</v>
      </c>
      <c r="J15" s="354" t="n">
        <v>345.834404257387</v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 t="n">
        <v>4.35946753448463</v>
      </c>
      <c r="C16" s="476" t="n">
        <v>365.318434388105</v>
      </c>
      <c r="D16" s="477" t="n">
        <v>2.43545622925404</v>
      </c>
      <c r="E16" s="475" t="n"/>
      <c r="F16" s="478" t="n"/>
      <c r="G16" s="478" t="n"/>
      <c r="H16" s="476" t="n">
        <v>4.35946753448463</v>
      </c>
      <c r="I16" s="476" t="n">
        <v>0</v>
      </c>
      <c r="J16" s="476" t="n">
        <v>350.193871791872</v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 t="n">
        <v>1.98710990431193</v>
      </c>
      <c r="C17" s="354" t="n">
        <v>367.305544292417</v>
      </c>
      <c r="D17" s="441" t="n">
        <v>2.44870362861612</v>
      </c>
      <c r="E17" s="394" t="n"/>
      <c r="F17" s="404" t="n"/>
      <c r="G17" s="404" t="n"/>
      <c r="H17" s="354" t="n">
        <v>1.98710990431193</v>
      </c>
      <c r="I17" s="354" t="n">
        <v>0</v>
      </c>
      <c r="J17" s="354" t="n">
        <v>352.180981696184</v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 t="n">
        <v>-0.0293940813348563</v>
      </c>
      <c r="C18" s="476" t="n">
        <v>367.276150211082</v>
      </c>
      <c r="D18" s="477" t="n">
        <v>2.44850766807388</v>
      </c>
      <c r="E18" s="475" t="n"/>
      <c r="F18" s="478" t="n"/>
      <c r="G18" s="478" t="n"/>
      <c r="H18" s="476" t="n">
        <v>0</v>
      </c>
      <c r="I18" s="476" t="n">
        <v>0</v>
      </c>
      <c r="J18" s="476" t="n">
        <v>352.180981696184</v>
      </c>
      <c r="K18" s="476" t="n">
        <v>18.4882266439472</v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 t="n">
        <v>2.44850766807388</v>
      </c>
      <c r="E19" s="482" t="n"/>
      <c r="F19" s="483" t="n"/>
      <c r="G19" s="483" t="n"/>
      <c r="H19" s="484" t="n">
        <v>352.180981696184</v>
      </c>
      <c r="I19" s="484" t="n">
        <v>18.4882266439472</v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(placeholder)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 t="n">
        <v>-1.68183202385679</v>
      </c>
      <c r="C4" s="476" t="n">
        <v>-1.68183202385679</v>
      </c>
      <c r="D4" s="477" t="n">
        <v>-0.0112122134923786</v>
      </c>
      <c r="E4" s="475" t="n"/>
      <c r="F4" s="478" t="n"/>
      <c r="G4" s="478" t="n"/>
      <c r="H4" s="476" t="n">
        <v>0</v>
      </c>
      <c r="I4" s="476" t="n">
        <v>0</v>
      </c>
      <c r="J4" s="476" t="n">
        <v>0</v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 t="n">
        <v>28.0862069793909</v>
      </c>
      <c r="C5" s="354" t="n">
        <v>26.4043749555341</v>
      </c>
      <c r="D5" s="441" t="n">
        <v>0.176029166370227</v>
      </c>
      <c r="E5" s="394" t="n"/>
      <c r="F5" s="404" t="n"/>
      <c r="G5" s="404" t="n"/>
      <c r="H5" s="354" t="n">
        <v>28.0862069793909</v>
      </c>
      <c r="I5" s="354" t="n">
        <v>0</v>
      </c>
      <c r="J5" s="354" t="n">
        <v>28.0862069793909</v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 t="n">
        <v>40.82770587335</v>
      </c>
      <c r="C6" s="476" t="n">
        <v>67.23208082888409</v>
      </c>
      <c r="D6" s="477" t="n">
        <v>0.448213872192561</v>
      </c>
      <c r="E6" s="475" t="n"/>
      <c r="F6" s="478" t="n"/>
      <c r="G6" s="478" t="n"/>
      <c r="H6" s="476" t="n">
        <v>40.82770587335</v>
      </c>
      <c r="I6" s="476" t="n">
        <v>0</v>
      </c>
      <c r="J6" s="476" t="n">
        <v>68.91391285274091</v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 t="n">
        <v>92.13925711146371</v>
      </c>
      <c r="C7" s="354" t="n">
        <v>159.371337940348</v>
      </c>
      <c r="D7" s="441" t="n">
        <v>1.06247558626899</v>
      </c>
      <c r="E7" s="394" t="n"/>
      <c r="F7" s="404" t="n"/>
      <c r="G7" s="404" t="n"/>
      <c r="H7" s="354" t="n">
        <v>92.13925711146371</v>
      </c>
      <c r="I7" s="354" t="n">
        <v>0</v>
      </c>
      <c r="J7" s="354" t="n">
        <v>161.053169964205</v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 t="n">
        <v>78.3183685447442</v>
      </c>
      <c r="C8" s="476" t="n">
        <v>237.689706485092</v>
      </c>
      <c r="D8" s="477" t="n">
        <v>1.58459804323395</v>
      </c>
      <c r="E8" s="475" t="n"/>
      <c r="F8" s="478" t="n"/>
      <c r="G8" s="478" t="n"/>
      <c r="H8" s="476" t="n">
        <v>65.6546948357953</v>
      </c>
      <c r="I8" s="476" t="n">
        <v>12.6636737089488</v>
      </c>
      <c r="J8" s="476" t="n">
        <v>226.7078648</v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 t="n">
        <v>66.5706132630325</v>
      </c>
      <c r="C9" s="354" t="n">
        <v>304.260319748125</v>
      </c>
      <c r="D9" s="441" t="n">
        <v>2.02840213165416</v>
      </c>
      <c r="E9" s="394" t="n"/>
      <c r="F9" s="404" t="n"/>
      <c r="G9" s="404" t="n"/>
      <c r="H9" s="354" t="n">
        <v>56.256490610426</v>
      </c>
      <c r="I9" s="354" t="n">
        <v>10.3141226526065</v>
      </c>
      <c r="J9" s="354" t="n">
        <v>282.964355410426</v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 t="n">
        <v>56.5850212735777</v>
      </c>
      <c r="C10" s="476" t="n">
        <v>360.845341021702</v>
      </c>
      <c r="D10" s="477" t="n">
        <v>2.40563560681135</v>
      </c>
      <c r="E10" s="475" t="n"/>
      <c r="F10" s="478" t="n"/>
      <c r="G10" s="478" t="n"/>
      <c r="H10" s="476" t="n">
        <v>48.2680170188621</v>
      </c>
      <c r="I10" s="476" t="n">
        <v>8.317004254715529</v>
      </c>
      <c r="J10" s="476" t="n">
        <v>331.232372429288</v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 t="n">
        <v>48.097268082541</v>
      </c>
      <c r="C11" s="354" t="n">
        <v>408.942609104243</v>
      </c>
      <c r="D11" s="441" t="n">
        <v>2.72628406069496</v>
      </c>
      <c r="E11" s="394" t="n"/>
      <c r="F11" s="404" t="n"/>
      <c r="G11" s="404" t="n"/>
      <c r="H11" s="354" t="n">
        <v>41.4778144660328</v>
      </c>
      <c r="I11" s="354" t="n">
        <v>6.6194536165082</v>
      </c>
      <c r="J11" s="354" t="n">
        <v>372.710186895321</v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 t="n">
        <v>40.2194548278821</v>
      </c>
      <c r="C12" s="476" t="n">
        <v>449.162063932125</v>
      </c>
      <c r="D12" s="477" t="n">
        <v>2.9944137595475</v>
      </c>
      <c r="E12" s="475" t="n"/>
      <c r="F12" s="478" t="n"/>
      <c r="G12" s="478" t="n"/>
      <c r="H12" s="476" t="n">
        <v>35.1755638623056</v>
      </c>
      <c r="I12" s="476" t="n">
        <v>5.04389096557641</v>
      </c>
      <c r="J12" s="476" t="n">
        <v>407.885750757627</v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 t="n">
        <v>32.4680991036997</v>
      </c>
      <c r="C13" s="354" t="n">
        <v>481.630163035825</v>
      </c>
      <c r="D13" s="441" t="n">
        <v>3.21086775357217</v>
      </c>
      <c r="E13" s="394" t="n"/>
      <c r="F13" s="404" t="n"/>
      <c r="G13" s="404" t="n"/>
      <c r="H13" s="354" t="n">
        <v>28.9744792829598</v>
      </c>
      <c r="I13" s="354" t="n">
        <v>3.49361982073995</v>
      </c>
      <c r="J13" s="354" t="n">
        <v>436.860230040586</v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 t="n">
        <v>25.8794467381448</v>
      </c>
      <c r="C14" s="476" t="n">
        <v>507.50960977397</v>
      </c>
      <c r="D14" s="477" t="n">
        <v>3.38339739849313</v>
      </c>
      <c r="E14" s="475" t="n"/>
      <c r="F14" s="478" t="n"/>
      <c r="G14" s="478" t="n"/>
      <c r="H14" s="476" t="n">
        <v>23.7035573905158</v>
      </c>
      <c r="I14" s="476" t="n">
        <v>2.17588934762896</v>
      </c>
      <c r="J14" s="476" t="n">
        <v>460.563787431102</v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 t="n">
        <v>20.2790922274231</v>
      </c>
      <c r="C15" s="354" t="n">
        <v>527.7887020013929</v>
      </c>
      <c r="D15" s="441" t="n">
        <v>3.51859134667595</v>
      </c>
      <c r="E15" s="394" t="n"/>
      <c r="F15" s="404" t="n"/>
      <c r="G15" s="404" t="n"/>
      <c r="H15" s="354" t="n">
        <v>19.2232737819385</v>
      </c>
      <c r="I15" s="354" t="n">
        <v>1.05581844548461</v>
      </c>
      <c r="J15" s="354" t="n">
        <v>479.787061213041</v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 t="n">
        <v>15.5187908933096</v>
      </c>
      <c r="C16" s="476" t="n">
        <v>543.307492894702</v>
      </c>
      <c r="D16" s="477" t="n">
        <v>3.62204995263135</v>
      </c>
      <c r="E16" s="475" t="n"/>
      <c r="F16" s="478" t="n"/>
      <c r="G16" s="478" t="n"/>
      <c r="H16" s="476" t="n">
        <v>15.4150327146477</v>
      </c>
      <c r="I16" s="476" t="n">
        <v>0.103758178661921</v>
      </c>
      <c r="J16" s="476" t="n">
        <v>495.202093927688</v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 t="n">
        <v>11.4725347593132</v>
      </c>
      <c r="C17" s="354" t="n">
        <v>554.780027654016</v>
      </c>
      <c r="D17" s="441" t="n">
        <v>3.69853351769344</v>
      </c>
      <c r="E17" s="394" t="n"/>
      <c r="F17" s="404" t="n"/>
      <c r="G17" s="404" t="n"/>
      <c r="H17" s="354" t="n">
        <v>11.4725347593132</v>
      </c>
      <c r="I17" s="354" t="n">
        <v>0</v>
      </c>
      <c r="J17" s="354" t="n">
        <v>506.674628687002</v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 t="n">
        <v>8.03321704541619</v>
      </c>
      <c r="C18" s="476" t="n">
        <v>562.8132446994319</v>
      </c>
      <c r="D18" s="477" t="n">
        <v>3.75208829799621</v>
      </c>
      <c r="E18" s="475" t="n"/>
      <c r="F18" s="478" t="n"/>
      <c r="G18" s="478" t="n"/>
      <c r="H18" s="476" t="n">
        <v>8.03321704541619</v>
      </c>
      <c r="I18" s="476" t="n">
        <v>0</v>
      </c>
      <c r="J18" s="476" t="n">
        <v>514.707845732418</v>
      </c>
      <c r="K18" s="476" t="n">
        <v>49.7872309908709</v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 t="n">
        <v>3.75208829799621</v>
      </c>
      <c r="E19" s="482" t="n"/>
      <c r="F19" s="483" t="n"/>
      <c r="G19" s="483" t="n"/>
      <c r="H19" s="484" t="n">
        <v>514.707845732418</v>
      </c>
      <c r="I19" s="484" t="n">
        <v>49.7872309908709</v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/>
    <row r="16" ht="19.5" customHeight="1" s="307">
      <c r="A16" s="514" t="inlineStr">
        <is>
          <t>NDR SENSITIVITY  |  Standard Waterfall, No Recycling</t>
        </is>
      </c>
    </row>
    <row r="18" ht="15" customHeight="1" s="307">
      <c r="A18" s="515" t="inlineStr">
        <is>
          <t>Wtd Avg NDR</t>
        </is>
      </c>
      <c r="B18" s="516" t="inlineStr">
        <is>
          <t>LP IRR</t>
        </is>
      </c>
      <c r="C18" s="516" t="inlineStr">
        <is>
          <t>LP MOIC</t>
        </is>
      </c>
      <c r="D18" s="516" t="inlineStr">
        <is>
          <t>LP Cash ($mm)</t>
        </is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526" t="inlineStr">
        <is>
          <t>PER-DEAL BREAKDOWN  |  60% MARGIN  |  No Recycling</t>
        </is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 t="n">
        <v>25.6</v>
      </c>
      <c r="E6" s="530" t="n">
        <v>1.5</v>
      </c>
      <c r="F6" s="531" t="n">
        <v>38.4</v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 t="n">
        <v>27.2</v>
      </c>
      <c r="E7" s="524" t="n">
        <v>1.4</v>
      </c>
      <c r="F7" s="537" t="n">
        <v>38.08</v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 t="n">
        <v>30.1</v>
      </c>
      <c r="E8" s="530" t="n">
        <v>1.6</v>
      </c>
      <c r="F8" s="531" t="n">
        <v>48.16</v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 t="n">
        <v>26</v>
      </c>
      <c r="E9" s="545" t="n">
        <v>1.3</v>
      </c>
      <c r="F9" s="546" t="n">
        <v>33.8</v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 t="n">
        <v>25.4</v>
      </c>
      <c r="E10" s="545" t="n">
        <v>1.3</v>
      </c>
      <c r="F10" s="546" t="n">
        <v>33.02</v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 t="n">
        <v>24</v>
      </c>
      <c r="E15" s="306" t="n">
        <v>1.25</v>
      </c>
      <c r="F15" s="306" t="n">
        <v>30</v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 t="n">
        <v>24</v>
      </c>
      <c r="E16" s="306" t="n">
        <v>1.25</v>
      </c>
      <c r="F16" s="306" t="n">
        <v>30</v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 t="n">
        <v>24</v>
      </c>
      <c r="E17" s="306" t="n">
        <v>1.25</v>
      </c>
      <c r="F17" s="306" t="n">
        <v>30</v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 t="n">
        <v>24</v>
      </c>
      <c r="E18" s="306" t="n">
        <v>1.25</v>
      </c>
      <c r="F18" s="306" t="n">
        <v>30</v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2"/>
  </cols>
  <sheetData>
    <row r="1" ht="17.25" customHeight="1" s="307">
      <c r="A1" s="308" t="inlineStr">
        <is>
          <t>PRESS CAPITAL -- Single-OpCo P&amp;L (Bid Model Format)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Inspect any one OpCo standalone P&amp;L. Change OpCo # in cell B4.</t>
        </is>
      </c>
    </row>
    <row r="4" ht="15" customHeight="1" s="307">
      <c r="A4" s="312" t="inlineStr">
        <is>
          <t>OpCo to view (1-9)</t>
        </is>
      </c>
      <c r="B4" s="553" t="n">
        <v>1</v>
      </c>
    </row>
    <row r="5" ht="15" customHeight="1" s="307">
      <c r="A5" s="314" t="inlineStr">
        <is>
          <t>Selected close month (auto)</t>
        </is>
      </c>
      <c r="B5" s="554" t="n">
        <v>4</v>
      </c>
    </row>
    <row r="7" ht="15" customHeight="1" s="307">
      <c r="A7" s="310" t="inlineStr">
        <is>
          <t>Placeholder -- wire to monthly P&amp;L engine for per-deal view.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16" customWidth="1" style="306" min="2" max="5"/>
  </cols>
  <sheetData>
    <row r="1" ht="15.75" customHeight="1" s="307">
      <c r="A1" s="471" t="inlineStr">
        <is>
          <t>PORTFOLIO STRESS TEST</t>
        </is>
      </c>
      <c r="B1" s="309" t="n"/>
      <c r="C1" s="309" t="n"/>
      <c r="D1" s="309" t="n"/>
      <c r="E1" s="309" t="n"/>
      <c r="F1" s="306" t="n"/>
    </row>
    <row r="2" ht="15" customHeight="1" s="307">
      <c r="A2" s="323" t="inlineStr">
        <is>
          <t>No recycling. What happens when NDR is worse than bid case?</t>
        </is>
      </c>
      <c r="B2" s="306" t="n"/>
      <c r="C2" s="306" t="n"/>
      <c r="D2" s="306" t="n"/>
      <c r="E2" s="306" t="n"/>
      <c r="F2" s="306" t="n"/>
    </row>
    <row r="3" ht="15" customHeight="1" s="307">
      <c r="A3" s="306" t="n"/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inlineStr">
        <is>
          <t>Base (85%)</t>
        </is>
      </c>
      <c r="C4" s="388" t="inlineStr">
        <is>
          <t>Bear (80%)</t>
        </is>
      </c>
      <c r="D4" s="388" t="inlineStr">
        <is>
          <t>Severe (75%)</t>
        </is>
      </c>
      <c r="E4" s="388" t="inlineStr">
        <is>
          <t>Catastrophic (70%)</t>
        </is>
      </c>
      <c r="F4" s="306" t="n"/>
    </row>
    <row r="5" ht="15" customHeight="1" s="307">
      <c r="A5" s="322" t="inlineStr">
        <is>
          <t>10Y DPI</t>
        </is>
      </c>
      <c r="B5" s="503" t="n">
        <v>2.18833274175009</v>
      </c>
      <c r="C5" s="358" t="n">
        <v>1.68633848020181</v>
      </c>
      <c r="D5" s="358" t="n">
        <v>1.28958204841144</v>
      </c>
      <c r="E5" s="358" t="n">
        <v>1.13418627674825</v>
      </c>
      <c r="F5" s="306" t="n"/>
    </row>
    <row r="6" ht="15" customHeight="1" s="307">
      <c r="A6" s="322" t="inlineStr">
        <is>
          <t>15Y DPI</t>
        </is>
      </c>
      <c r="B6" s="503" t="n">
        <v>2.34787321130789</v>
      </c>
      <c r="C6" s="358" t="n">
        <v>1.69106698661687</v>
      </c>
      <c r="D6" s="358" t="n">
        <v>1.28958204841144</v>
      </c>
      <c r="E6" s="358" t="n">
        <v>1.13418627674825</v>
      </c>
      <c r="F6" s="306" t="n"/>
    </row>
    <row r="7" ht="15" customHeight="1" s="307">
      <c r="A7" s="322" t="inlineStr">
        <is>
          <t>10Y IRR</t>
        </is>
      </c>
      <c r="B7" s="506" t="n">
        <v>0.272134814354736</v>
      </c>
      <c r="C7" s="504" t="n">
        <v>0.179380954260117</v>
      </c>
      <c r="D7" s="504" t="n">
        <v>0.0688376277540874</v>
      </c>
      <c r="E7" s="504" t="n">
        <v>0.009578321365244721</v>
      </c>
      <c r="F7" s="306" t="n"/>
    </row>
    <row r="8" ht="15" customHeight="1" s="307">
      <c r="A8" s="322" t="inlineStr">
        <is>
          <t>Payback (months)</t>
        </is>
      </c>
      <c r="B8" s="508" t="n">
        <v>43</v>
      </c>
      <c r="C8" s="349" t="n">
        <v>47</v>
      </c>
      <c r="D8" s="349" t="n">
        <v>55</v>
      </c>
      <c r="E8" s="349" t="n">
        <v>64</v>
      </c>
      <c r="F8" s="306" t="n"/>
    </row>
    <row r="9" ht="15" customHeight="1" s="307">
      <c r="A9" s="321" t="inlineStr">
        <is>
          <t>15Y LP Cash ($mm)</t>
        </is>
      </c>
      <c r="B9" s="354" t="n">
        <v>352.180981696184</v>
      </c>
      <c r="C9" s="354" t="n">
        <v>253.660047992531</v>
      </c>
      <c r="D9" s="354" t="n">
        <v>193.437307261716</v>
      </c>
      <c r="E9" s="354" t="n">
        <v>170.127941512238</v>
      </c>
      <c r="F9" s="306" t="n"/>
    </row>
    <row r="10" ht="15" customHeight="1" s="307">
      <c r="A10" s="321" t="inlineStr">
        <is>
          <t>15Y GP Carry ($mm)</t>
        </is>
      </c>
      <c r="B10" s="354" t="n">
        <v>18.4882266439472</v>
      </c>
      <c r="C10" s="354" t="n">
        <v>6.77325572808312</v>
      </c>
      <c r="D10" s="354" t="n">
        <v>0.199191236728376</v>
      </c>
      <c r="E10" s="354" t="n">
        <v>0</v>
      </c>
      <c r="F10" s="306" t="n"/>
    </row>
    <row r="11" ht="15" customHeight="1" s="307">
      <c r="A11" s="321" t="n"/>
      <c r="B11" s="354" t="n"/>
      <c r="C11" s="354" t="n"/>
      <c r="D11" s="354" t="n"/>
      <c r="E11" s="354" t="n"/>
      <c r="F11" s="306" t="n"/>
    </row>
    <row r="12" ht="15" customHeight="1" s="307">
      <c r="A12" s="306" t="n"/>
      <c r="B12" s="306" t="n"/>
      <c r="C12" s="306" t="n"/>
      <c r="D12" s="306" t="n"/>
      <c r="E12" s="306" t="n"/>
      <c r="F12" s="306" t="n"/>
    </row>
    <row r="13" ht="15" customHeight="1" s="307">
      <c r="A13" s="306" t="n"/>
      <c r="B13" s="306" t="n"/>
      <c r="C13" s="306" t="n"/>
      <c r="D13" s="306" t="n"/>
      <c r="E13" s="306" t="n"/>
      <c r="F13" s="306" t="n"/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306" t="n"/>
      <c r="B15" s="306" t="n"/>
      <c r="C15" s="306" t="n"/>
      <c r="D15" s="306" t="n"/>
      <c r="E15" s="306" t="n"/>
      <c r="F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</row>
    <row r="17" ht="15" customHeight="1" s="307">
      <c r="A17" s="306" t="n"/>
      <c r="B17" s="306" t="n"/>
      <c r="C17" s="306" t="n"/>
      <c r="D17" s="306" t="n"/>
      <c r="E17" s="306" t="n"/>
      <c r="F17" s="306" t="n"/>
    </row>
    <row r="18" ht="15" customHeight="1" s="307">
      <c r="A18" s="306" t="n"/>
      <c r="B18" s="306" t="n"/>
      <c r="C18" s="306" t="n"/>
      <c r="D18" s="306" t="n"/>
      <c r="E18" s="306" t="n"/>
      <c r="F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2" customWidth="1" style="306" min="2" max="3"/>
  </cols>
  <sheetData>
    <row r="1" ht="15.75" customHeight="1" s="307">
      <c r="A1" s="471" t="inlineStr">
        <is>
          <t>TAX EFFICIENCY ILLUSTRATION</t>
        </is>
      </c>
      <c r="B1" s="309" t="n"/>
      <c r="C1" s="309" t="n"/>
    </row>
    <row r="2" ht="15" customHeight="1" s="307">
      <c r="A2" s="323" t="inlineStr">
        <is>
          <t>Illustrative after-tax yields for a US-based LP. Not tax advice.</t>
        </is>
      </c>
    </row>
    <row r="4" ht="15" customHeight="1" s="307">
      <c r="B4" s="388" t="inlineStr">
        <is>
          <t>Rate / Benefit</t>
        </is>
      </c>
      <c r="C4" s="388" t="inlineStr">
        <is>
          <t>Notes</t>
        </is>
      </c>
    </row>
    <row r="6" ht="15" customHeight="1" s="307">
      <c r="A6" s="325" t="inlineStr">
        <is>
          <t>FUND STRUCTURE</t>
        </is>
      </c>
      <c r="B6" s="309" t="n"/>
      <c r="C6" s="309" t="n"/>
    </row>
    <row r="7" ht="15" customHeight="1" s="307">
      <c r="A7" s="321" t="inlineStr">
        <is>
          <t>Entity Type</t>
        </is>
      </c>
      <c r="B7" s="321" t="inlineStr">
        <is>
          <t>Pass-Through (LP)</t>
        </is>
      </c>
      <c r="C7" s="323" t="inlineStr">
        <is>
          <t>All entities are pass-through. Zero entity-level tax.</t>
        </is>
      </c>
    </row>
    <row r="8" ht="15" customHeight="1" s="307">
      <c r="A8" s="321" t="inlineStr">
        <is>
          <t>Distribution Frequency</t>
        </is>
      </c>
      <c r="B8" s="321" t="inlineStr">
        <is>
          <t>Quarterly</t>
        </is>
      </c>
      <c r="C8" s="323" t="inlineStr">
        <is>
          <t>K-1 income recognized when distributed.</t>
        </is>
      </c>
    </row>
    <row r="9" ht="15" customHeight="1" s="307">
      <c r="A9" s="321" t="inlineStr">
        <is>
          <t>Tax Form</t>
        </is>
      </c>
      <c r="B9" s="321" t="inlineStr">
        <is>
          <t>K-1 (Form 1065)</t>
        </is>
      </c>
      <c r="C9" s="323" t="inlineStr">
        <is>
          <t>LP reports pro-rata share of fund income.</t>
        </is>
      </c>
    </row>
    <row r="11" ht="15" customHeight="1" s="307">
      <c r="A11" s="325" t="inlineStr">
        <is>
          <t>AVAILABLE TAX BENEFITS</t>
        </is>
      </c>
      <c r="B11" s="309" t="n"/>
      <c r="C11" s="309" t="n"/>
    </row>
    <row r="12" ht="15" customHeight="1" s="307">
      <c r="A12" s="321" t="inlineStr">
        <is>
          <t>Top Federal Rate</t>
        </is>
      </c>
      <c r="B12" s="322" t="inlineStr">
        <is>
          <t>37%</t>
        </is>
      </c>
      <c r="C12" s="323" t="inlineStr">
        <is>
          <t>Ordinary income rate on pass-through K-1 income.</t>
        </is>
      </c>
    </row>
    <row r="13" ht="15" customHeight="1" s="307">
      <c r="A13" s="321" t="inlineStr">
        <is>
          <t>QBI Deduction (Sec 199A)</t>
        </is>
      </c>
      <c r="B13" s="322" t="inlineStr">
        <is>
          <t>Up to 20%</t>
        </is>
      </c>
      <c r="C13" s="323" t="inlineStr">
        <is>
          <t>Could reduce effective federal rate to ~29.6%. Eligibility TBD.</t>
        </is>
      </c>
    </row>
    <row r="14" ht="15" customHeight="1" s="307">
      <c r="A14" s="321" t="inlineStr">
        <is>
          <t>Carried Interest (3yr hold)</t>
        </is>
      </c>
      <c r="B14" s="322" t="inlineStr">
        <is>
          <t>23.8%</t>
        </is>
      </c>
      <c r="C14" s="323" t="inlineStr">
        <is>
          <t>20% LTCG + 3.8% NIIT vs 37% ordinary. Applies to GP carry.</t>
        </is>
      </c>
    </row>
    <row r="15" ht="15" customHeight="1" s="307">
      <c r="A15" s="321" t="inlineStr">
        <is>
          <t>State Tax</t>
        </is>
      </c>
      <c r="B15" s="322" t="inlineStr">
        <is>
          <t>Varies</t>
        </is>
      </c>
      <c r="C15" s="323" t="inlineStr">
        <is>
          <t>No state tax in WY, NV, TX, FL, WA, SD, TN, NH.</t>
        </is>
      </c>
    </row>
    <row r="17" ht="15" customHeight="1" s="307">
      <c r="A17" s="325" t="inlineStr">
        <is>
          <t>ILLUSTRATIVE AFTER-TAX YIELD</t>
        </is>
      </c>
      <c r="B17" s="309" t="n"/>
      <c r="C17" s="309" t="n"/>
    </row>
    <row r="18" ht="15" customHeight="1" s="307">
      <c r="A18" s="321" t="inlineStr">
        <is>
          <t>Steady State Annual Distribution (Y5)</t>
        </is>
      </c>
      <c r="B18" s="459" t="n">
        <v>58.9194214767609</v>
      </c>
    </row>
    <row r="19" ht="15" customHeight="1" s="307">
      <c r="A19" s="322" t="inlineStr">
        <is>
          <t>Pre-Tax Cash Yield</t>
        </is>
      </c>
      <c r="B19" s="579" t="n">
        <v>0.307737498572866</v>
      </c>
    </row>
    <row r="20" ht="15" customHeight="1" s="307">
      <c r="A20" s="321" t="inlineStr">
        <is>
          <t>After-Tax Yield: At 37% federal</t>
        </is>
      </c>
      <c r="B20" s="327" t="n">
        <v>0.186119639136869</v>
      </c>
      <c r="C20" s="323" t="inlineStr">
        <is>
          <t>Effective rate: 37.0%</t>
        </is>
      </c>
    </row>
    <row r="21" ht="15" customHeight="1" s="307">
      <c r="A21" s="321" t="inlineStr">
        <is>
          <t>After-Tax Yield: At 29.6% (with QBI)</t>
        </is>
      </c>
      <c r="B21" s="327" t="n">
        <v>0.207981311035486</v>
      </c>
      <c r="C21" s="323" t="inlineStr">
        <is>
          <t>Effective rate: 29.6%</t>
        </is>
      </c>
    </row>
    <row r="22" ht="15" customHeight="1" s="307">
      <c r="A22" s="321" t="inlineStr">
        <is>
          <t>After-Tax Yield: Zero state tax</t>
        </is>
      </c>
      <c r="B22" s="327" t="n">
        <v>0.207981311035486</v>
      </c>
      <c r="C22" s="323" t="inlineStr">
        <is>
          <t>Effective rate: 29.6%</t>
        </is>
      </c>
    </row>
    <row r="23" ht="15" customHeight="1" s="307">
      <c r="A23" s="321" t="inlineStr">
        <is>
          <t>After-Tax Yield: CA resident (37%+13.3%)</t>
        </is>
      </c>
      <c r="B23" s="327" t="n">
        <v>0.146827715319086</v>
      </c>
      <c r="C23" s="323" t="inlineStr">
        <is>
          <t>Effective rate: 50.3%</t>
        </is>
      </c>
    </row>
    <row r="25" ht="15" customHeight="1" s="307">
      <c r="A25" s="323" t="inlineStr">
        <is>
          <t>Consult your tax advisor. Press does not provide tax advice.</t>
        </is>
      </c>
    </row>
    <row r="26" ht="15" customHeight="1" s="307">
      <c r="A2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>
        <f> $148.8M</f>
        <v/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0</v>
      </c>
      <c r="C13" s="627" t="inlineStr">
        <is>
          <t>unfunded -- see Note 2</t>
        </is>
      </c>
    </row>
    <row r="14" ht="15" customHeight="1" s="307">
      <c r="A14" s="613" t="inlineStr">
        <is>
          <t>Broken Deal Cost Reserve</t>
        </is>
      </c>
      <c r="B14" s="619" t="n">
        <v>0</v>
      </c>
      <c r="C14" s="627" t="inlineStr">
        <is>
          <t>unfunded -- see Note 3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model showed $158.78M deployed against $150M raised  --&gt;  $11.78M shortfall.</t>
        </is>
      </c>
      <c r="B21" s="614" t="n"/>
      <c r="C21" s="614" t="n"/>
    </row>
    <row r="22" ht="15" customHeight="1" s="307">
      <c r="A22" s="631" t="inlineStr">
        <is>
          <t xml:space="preserve">   Fix: cap per-deal ARR at $24M (was $25.6-30.1M). Closes the deployment gap.</t>
        </is>
      </c>
      <c r="B22" s="632" t="n"/>
      <c r="C22" s="622" t="n"/>
    </row>
    <row r="23">
      <c r="A23" s="615" t="inlineStr">
        <is>
          <t>2. Partnership Expenses (audit, legal, D&amp;O, fund admin) typically run $200-500K/yr.</t>
        </is>
      </c>
      <c r="B23" s="614" t="n"/>
      <c r="C23" s="614" t="n"/>
    </row>
    <row r="24" ht="15" customHeight="1" s="307">
      <c r="A24" s="593" t="inlineStr">
        <is>
          <t xml:space="preserve">   Over 15Y this is $3-7M of unfunded fund-level OpEx. Currently flowing through OpCos</t>
        </is>
      </c>
      <c r="B24" s="619" t="n"/>
      <c r="C24" s="614" t="n"/>
    </row>
    <row r="25" ht="15" customHeight="1" s="307">
      <c r="A25" s="593" t="inlineStr">
        <is>
          <t xml:space="preserve">   --&gt; further LP-invisible economics. Should be funded from a reserve.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--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 t="n">
        <v>-1.1482375</v>
      </c>
      <c r="C4" s="476" t="n">
        <v>0</v>
      </c>
      <c r="D4" s="476" t="n">
        <v>0</v>
      </c>
      <c r="E4" s="476" t="n">
        <v>0</v>
      </c>
      <c r="F4" s="476" t="n">
        <v>0</v>
      </c>
    </row>
    <row r="5" ht="15" customHeight="1" s="307">
      <c r="A5" s="321" t="inlineStr">
        <is>
          <t>Y1 Q2</t>
        </is>
      </c>
      <c r="B5" s="354" t="n">
        <v>-1.34078958333333</v>
      </c>
      <c r="C5" s="354" t="n">
        <v>0</v>
      </c>
      <c r="D5" s="354" t="n">
        <v>0</v>
      </c>
      <c r="E5" s="354" t="n">
        <v>0</v>
      </c>
      <c r="F5" s="354" t="n">
        <v>0</v>
      </c>
    </row>
    <row r="6" ht="15" customHeight="1" s="307">
      <c r="A6" s="321" t="inlineStr">
        <is>
          <t>Y1 Q3</t>
        </is>
      </c>
      <c r="B6" s="354" t="n">
        <v>0.969873430136904</v>
      </c>
      <c r="C6" s="354" t="n">
        <v>0.969873430136904</v>
      </c>
      <c r="D6" s="354" t="n">
        <v>0</v>
      </c>
      <c r="E6" s="354" t="n">
        <v>0.969873430136904</v>
      </c>
      <c r="F6" s="354" t="n">
        <v>0</v>
      </c>
    </row>
    <row r="7" ht="15" customHeight="1" s="307">
      <c r="A7" s="321" t="inlineStr">
        <is>
          <t>Y1 Q4</t>
        </is>
      </c>
      <c r="B7" s="354" t="n">
        <v>4.51662823844142</v>
      </c>
      <c r="C7" s="354" t="n">
        <v>4.51662823844142</v>
      </c>
      <c r="D7" s="354" t="n">
        <v>0</v>
      </c>
      <c r="E7" s="354" t="n">
        <v>5.48650166857833</v>
      </c>
      <c r="F7" s="354" t="n">
        <v>0</v>
      </c>
    </row>
    <row r="8" ht="15" customHeight="1" s="307">
      <c r="A8" s="498" t="inlineStr">
        <is>
          <t>Y2 Q1</t>
        </is>
      </c>
      <c r="B8" s="476" t="n">
        <v>10.3065410731599</v>
      </c>
      <c r="C8" s="476" t="n">
        <v>10.3065410731599</v>
      </c>
      <c r="D8" s="476" t="n">
        <v>0</v>
      </c>
      <c r="E8" s="476" t="n">
        <v>15.7930427417382</v>
      </c>
      <c r="F8" s="476" t="n">
        <v>0</v>
      </c>
    </row>
    <row r="9" ht="15" customHeight="1" s="307">
      <c r="A9" s="321" t="inlineStr">
        <is>
          <t>Y2 Q2</t>
        </is>
      </c>
      <c r="B9" s="354" t="n">
        <v>15.1845827222998</v>
      </c>
      <c r="C9" s="354" t="n">
        <v>15.1845827222998</v>
      </c>
      <c r="D9" s="354" t="n">
        <v>0</v>
      </c>
      <c r="E9" s="354" t="n">
        <v>30.977625464038</v>
      </c>
      <c r="F9" s="354" t="n">
        <v>0</v>
      </c>
    </row>
    <row r="10" ht="15" customHeight="1" s="307">
      <c r="A10" s="321" t="inlineStr">
        <is>
          <t>Y2 Q3</t>
        </is>
      </c>
      <c r="B10" s="354" t="n">
        <v>18.4842780264983</v>
      </c>
      <c r="C10" s="354" t="n">
        <v>18.4842780264983</v>
      </c>
      <c r="D10" s="354" t="n">
        <v>0</v>
      </c>
      <c r="E10" s="354" t="n">
        <v>49.4619034905363</v>
      </c>
      <c r="F10" s="354" t="n">
        <v>0</v>
      </c>
    </row>
    <row r="11" ht="15" customHeight="1" s="307">
      <c r="A11" s="321" t="inlineStr">
        <is>
          <t>Y2 Q4</t>
        </is>
      </c>
      <c r="B11" s="354" t="n">
        <v>20.1366372498505</v>
      </c>
      <c r="C11" s="354" t="n">
        <v>20.1366372498505</v>
      </c>
      <c r="D11" s="354" t="n">
        <v>0</v>
      </c>
      <c r="E11" s="354" t="n">
        <v>69.5985407403868</v>
      </c>
      <c r="F11" s="354" t="n">
        <v>0</v>
      </c>
    </row>
    <row r="12" ht="15" customHeight="1" s="307">
      <c r="A12" s="498" t="inlineStr">
        <is>
          <t>Y3 Q1</t>
        </is>
      </c>
      <c r="B12" s="476" t="n">
        <v>20.1225486220774</v>
      </c>
      <c r="C12" s="476" t="n">
        <v>20.1225486220774</v>
      </c>
      <c r="D12" s="476" t="n">
        <v>0</v>
      </c>
      <c r="E12" s="476" t="n">
        <v>89.7210893624642</v>
      </c>
      <c r="F12" s="476" t="n">
        <v>0</v>
      </c>
    </row>
    <row r="13" ht="15" customHeight="1" s="307">
      <c r="A13" s="321" t="inlineStr">
        <is>
          <t>Y3 Q2</t>
        </is>
      </c>
      <c r="B13" s="354" t="n">
        <v>19.8081874352097</v>
      </c>
      <c r="C13" s="354" t="n">
        <v>19.8081874352097</v>
      </c>
      <c r="D13" s="354" t="n">
        <v>0</v>
      </c>
      <c r="E13" s="354" t="n">
        <v>109.529276797674</v>
      </c>
      <c r="F13" s="354" t="n">
        <v>0</v>
      </c>
    </row>
    <row r="14" ht="15" customHeight="1" s="307">
      <c r="A14" s="321" t="inlineStr">
        <is>
          <t>Y3 Q3</t>
        </is>
      </c>
      <c r="B14" s="354" t="n">
        <v>19.2325103972434</v>
      </c>
      <c r="C14" s="354" t="n">
        <v>19.2325103972434</v>
      </c>
      <c r="D14" s="354" t="n">
        <v>0</v>
      </c>
      <c r="E14" s="354" t="n">
        <v>128.761787194917</v>
      </c>
      <c r="F14" s="354" t="n">
        <v>0</v>
      </c>
    </row>
    <row r="15" ht="15" customHeight="1" s="307">
      <c r="A15" s="321" t="inlineStr">
        <is>
          <t>Y3 Q4</t>
        </is>
      </c>
      <c r="B15" s="354" t="n">
        <v>11.7205268451036</v>
      </c>
      <c r="C15" s="354" t="n">
        <v>11.7205268451036</v>
      </c>
      <c r="D15" s="354" t="n">
        <v>0</v>
      </c>
      <c r="E15" s="354" t="n">
        <v>140.482314040021</v>
      </c>
      <c r="F15" s="354" t="n">
        <v>0</v>
      </c>
    </row>
    <row r="16" ht="15" customHeight="1" s="307">
      <c r="A16" s="498" t="inlineStr">
        <is>
          <t>Y4 Q1</t>
        </is>
      </c>
      <c r="B16" s="476" t="n">
        <v>18.1665031426843</v>
      </c>
      <c r="C16" s="476" t="n">
        <v>18.1665031426843</v>
      </c>
      <c r="D16" s="476" t="n">
        <v>0</v>
      </c>
      <c r="E16" s="476" t="n">
        <v>158.648817182705</v>
      </c>
      <c r="F16" s="476" t="n">
        <v>0</v>
      </c>
    </row>
    <row r="17" ht="15" customHeight="1" s="307">
      <c r="A17" s="321" t="inlineStr">
        <is>
          <t>Y4 Q2</t>
        </is>
      </c>
      <c r="B17" s="354" t="n">
        <v>17.6732914750319</v>
      </c>
      <c r="C17" s="354" t="n">
        <v>17.6732914750319</v>
      </c>
      <c r="D17" s="354" t="n">
        <v>0</v>
      </c>
      <c r="E17" s="354" t="n">
        <v>176.322108657737</v>
      </c>
      <c r="F17" s="354" t="n">
        <v>0</v>
      </c>
    </row>
    <row r="18" ht="15" customHeight="1" s="307">
      <c r="A18" s="321" t="inlineStr">
        <is>
          <t>Y4 Q3</t>
        </is>
      </c>
      <c r="B18" s="354" t="n">
        <v>17.2048104914548</v>
      </c>
      <c r="C18" s="354" t="n">
        <v>17.2048104914548</v>
      </c>
      <c r="D18" s="354" t="n">
        <v>0</v>
      </c>
      <c r="E18" s="354" t="n">
        <v>193.526919149192</v>
      </c>
      <c r="F18" s="354" t="n">
        <v>0</v>
      </c>
    </row>
    <row r="19" ht="15" customHeight="1" s="307">
      <c r="A19" s="321" t="inlineStr">
        <is>
          <t>Y4 Q4</t>
        </is>
      </c>
      <c r="B19" s="354" t="n">
        <v>11.2438872062909</v>
      </c>
      <c r="C19" s="354" t="n">
        <v>8.581725935194349</v>
      </c>
      <c r="D19" s="354" t="n">
        <v>2.66216127109653</v>
      </c>
      <c r="E19" s="354" t="n">
        <v>202.108645084386</v>
      </c>
      <c r="F19" s="354" t="n">
        <v>2.66216127109653</v>
      </c>
    </row>
    <row r="20" ht="15" customHeight="1" s="307">
      <c r="A20" s="498" t="inlineStr">
        <is>
          <t>Y5 Q1</t>
        </is>
      </c>
      <c r="B20" s="476" t="n">
        <v>17.2917492212284</v>
      </c>
      <c r="C20" s="476" t="n">
        <v>13.8333993769827</v>
      </c>
      <c r="D20" s="476" t="n">
        <v>3.45834984424569</v>
      </c>
      <c r="E20" s="476" t="n">
        <v>215.942044461369</v>
      </c>
      <c r="F20" s="476" t="n">
        <v>6.12051111534222</v>
      </c>
    </row>
    <row r="21" ht="15" customHeight="1" s="307">
      <c r="A21" s="321" t="inlineStr">
        <is>
          <t>Y5 Q2</t>
        </is>
      </c>
      <c r="B21" s="354" t="n">
        <v>16.8901516028601</v>
      </c>
      <c r="C21" s="354" t="n">
        <v>13.512121282288</v>
      </c>
      <c r="D21" s="354" t="n">
        <v>3.37803032057201</v>
      </c>
      <c r="E21" s="354" t="n">
        <v>229.454165743657</v>
      </c>
      <c r="F21" s="354" t="n">
        <v>9.49854143591423</v>
      </c>
    </row>
    <row r="22" ht="15" customHeight="1" s="307">
      <c r="A22" s="321" t="inlineStr">
        <is>
          <t>Y5 Q3</t>
        </is>
      </c>
      <c r="B22" s="354" t="n">
        <v>16.5086183657749</v>
      </c>
      <c r="C22" s="354" t="n">
        <v>13.2068946926199</v>
      </c>
      <c r="D22" s="354" t="n">
        <v>3.30172367315497</v>
      </c>
      <c r="E22" s="354" t="n">
        <v>242.661060436277</v>
      </c>
      <c r="F22" s="354" t="n">
        <v>12.8002651090692</v>
      </c>
    </row>
    <row r="23" ht="15" customHeight="1" s="307">
      <c r="A23" s="321" t="inlineStr">
        <is>
          <t>Y5 Q4</t>
        </is>
      </c>
      <c r="B23" s="354" t="n">
        <v>8.228902286897529</v>
      </c>
      <c r="C23" s="354" t="n">
        <v>6.58312182951803</v>
      </c>
      <c r="D23" s="354" t="n">
        <v>1.64578045737951</v>
      </c>
      <c r="E23" s="354" t="n">
        <v>249.244182265795</v>
      </c>
      <c r="F23" s="354" t="n">
        <v>14.4460455664487</v>
      </c>
    </row>
    <row r="24" ht="15" customHeight="1" s="307">
      <c r="A24" s="498" t="inlineStr">
        <is>
          <t>Y6 Q1</t>
        </is>
      </c>
      <c r="B24" s="476" t="n">
        <v>15.8017178280016</v>
      </c>
      <c r="C24" s="476" t="n">
        <v>12.6413742624013</v>
      </c>
      <c r="D24" s="476" t="n">
        <v>3.16034356560032</v>
      </c>
      <c r="E24" s="476" t="n">
        <v>261.885556528196</v>
      </c>
      <c r="F24" s="476" t="n">
        <v>17.606389132049</v>
      </c>
    </row>
    <row r="25" ht="15" customHeight="1" s="307">
      <c r="A25" s="321" t="inlineStr">
        <is>
          <t>Y6 Q2</t>
        </is>
      </c>
      <c r="B25" s="354" t="n">
        <v>15.4744656916974</v>
      </c>
      <c r="C25" s="354" t="n">
        <v>12.3795725533579</v>
      </c>
      <c r="D25" s="354" t="n">
        <v>3.09489313833947</v>
      </c>
      <c r="E25" s="354" t="n">
        <v>274.265129081554</v>
      </c>
      <c r="F25" s="354" t="n">
        <v>20.7012822703885</v>
      </c>
    </row>
    <row r="26" ht="15" customHeight="1" s="307">
      <c r="A26" s="321" t="inlineStr">
        <is>
          <t>Y6 Q3</t>
        </is>
      </c>
      <c r="B26" s="354" t="n">
        <v>15.1635029193393</v>
      </c>
      <c r="C26" s="354" t="n">
        <v>12.1308023354715</v>
      </c>
      <c r="D26" s="354" t="n">
        <v>3.03270058386786</v>
      </c>
      <c r="E26" s="354" t="n">
        <v>286.395931417026</v>
      </c>
      <c r="F26" s="354" t="n">
        <v>23.7339828542564</v>
      </c>
    </row>
    <row r="27" ht="15" customHeight="1" s="307">
      <c r="A27" s="321" t="inlineStr">
        <is>
          <t>Y6 Q4</t>
        </is>
      </c>
      <c r="B27" s="354" t="n">
        <v>8.105559223103119</v>
      </c>
      <c r="C27" s="354" t="n">
        <v>6.4844473784825</v>
      </c>
      <c r="D27" s="354" t="n">
        <v>1.62111184462063</v>
      </c>
      <c r="E27" s="354" t="n">
        <v>292.880378795508</v>
      </c>
      <c r="F27" s="354" t="n">
        <v>25.355094698877</v>
      </c>
    </row>
    <row r="28" ht="15" customHeight="1" s="307">
      <c r="A28" s="498" t="inlineStr">
        <is>
          <t>Y7 Q1</t>
        </is>
      </c>
      <c r="B28" s="476" t="n">
        <v>14.5871861957673</v>
      </c>
      <c r="C28" s="476" t="n">
        <v>11.6697489566139</v>
      </c>
      <c r="D28" s="476" t="n">
        <v>2.91743723915347</v>
      </c>
      <c r="E28" s="476" t="n">
        <v>304.550127752122</v>
      </c>
      <c r="F28" s="476" t="n">
        <v>28.2725319380305</v>
      </c>
    </row>
    <row r="29" ht="15" customHeight="1" s="307">
      <c r="A29" s="321" t="inlineStr">
        <is>
          <t>Y7 Q2</t>
        </is>
      </c>
      <c r="B29" s="354" t="n">
        <v>14.3203065513558</v>
      </c>
      <c r="C29" s="354" t="n">
        <v>11.4562452410847</v>
      </c>
      <c r="D29" s="354" t="n">
        <v>2.86406131027116</v>
      </c>
      <c r="E29" s="354" t="n">
        <v>316.006372993207</v>
      </c>
      <c r="F29" s="354" t="n">
        <v>31.1365932483016</v>
      </c>
    </row>
    <row r="30" ht="15" customHeight="1" s="307">
      <c r="A30" s="321" t="inlineStr">
        <is>
          <t>Y7 Q3</t>
        </is>
      </c>
      <c r="B30" s="354" t="n">
        <v>14.0666605781829</v>
      </c>
      <c r="C30" s="354" t="n">
        <v>11.2533284625464</v>
      </c>
      <c r="D30" s="354" t="n">
        <v>2.81333211563659</v>
      </c>
      <c r="E30" s="354" t="n">
        <v>327.259701455753</v>
      </c>
      <c r="F30" s="354" t="n">
        <v>33.9499253639382</v>
      </c>
    </row>
    <row r="31" ht="15" customHeight="1" s="307">
      <c r="A31" s="321" t="inlineStr">
        <is>
          <t>Y7 Q4</t>
        </is>
      </c>
      <c r="B31" s="354" t="n">
        <v>8.00467041302983</v>
      </c>
      <c r="C31" s="354" t="n">
        <v>6.40373633042387</v>
      </c>
      <c r="D31" s="354" t="n">
        <v>1.60093408260596</v>
      </c>
      <c r="E31" s="354" t="n">
        <v>333.663437786177</v>
      </c>
      <c r="F31" s="354" t="n">
        <v>35.5508594465442</v>
      </c>
    </row>
    <row r="32" ht="15" customHeight="1" s="307">
      <c r="A32" s="498" t="inlineStr">
        <is>
          <t>Y8 Q1</t>
        </is>
      </c>
      <c r="B32" s="476" t="n">
        <v>13.596430349975</v>
      </c>
      <c r="C32" s="476" t="n">
        <v>10.87714427998</v>
      </c>
      <c r="D32" s="476" t="n">
        <v>2.71928606999499</v>
      </c>
      <c r="E32" s="476" t="n">
        <v>344.540582066157</v>
      </c>
      <c r="F32" s="476" t="n">
        <v>38.2701455165392</v>
      </c>
    </row>
    <row r="33" ht="15" customHeight="1" s="307">
      <c r="A33" s="321" t="inlineStr">
        <is>
          <t>Y8 Q2</t>
        </is>
      </c>
      <c r="B33" s="354" t="n">
        <v>13.3786103893829</v>
      </c>
      <c r="C33" s="354" t="n">
        <v>10.7028883115063</v>
      </c>
      <c r="D33" s="354" t="n">
        <v>2.67572207787658</v>
      </c>
      <c r="E33" s="354" t="n">
        <v>355.243470377663</v>
      </c>
      <c r="F33" s="354" t="n">
        <v>40.9458675944157</v>
      </c>
    </row>
    <row r="34" ht="15" customHeight="1" s="307">
      <c r="A34" s="321" t="inlineStr">
        <is>
          <t>Y8 Q3</t>
        </is>
      </c>
      <c r="B34" s="354" t="n">
        <v>13.1715492188511</v>
      </c>
      <c r="C34" s="354" t="n">
        <v>10.5372393750809</v>
      </c>
      <c r="D34" s="354" t="n">
        <v>2.63430984377023</v>
      </c>
      <c r="E34" s="354" t="n">
        <v>365.780709752744</v>
      </c>
      <c r="F34" s="354" t="n">
        <v>43.580177438186</v>
      </c>
    </row>
    <row r="35" ht="15" customHeight="1" s="307">
      <c r="A35" s="321" t="inlineStr">
        <is>
          <t>Y8 Q4</t>
        </is>
      </c>
      <c r="B35" s="354" t="n">
        <v>7.92207715978909</v>
      </c>
      <c r="C35" s="354" t="n">
        <v>6.33766172783128</v>
      </c>
      <c r="D35" s="354" t="n">
        <v>1.58441543195782</v>
      </c>
      <c r="E35" s="354" t="n">
        <v>372.118371480575</v>
      </c>
      <c r="F35" s="354" t="n">
        <v>45.1645928701438</v>
      </c>
    </row>
    <row r="36" ht="15" customHeight="1" s="307">
      <c r="A36" s="498" t="inlineStr">
        <is>
          <t>Y9 Q1</t>
        </is>
      </c>
      <c r="B36" s="476" t="n">
        <v>12.787564714337</v>
      </c>
      <c r="C36" s="476" t="n">
        <v>10.2300517714696</v>
      </c>
      <c r="D36" s="476" t="n">
        <v>2.5575129428674</v>
      </c>
      <c r="E36" s="476" t="n">
        <v>382.348423252045</v>
      </c>
      <c r="F36" s="476" t="n">
        <v>47.7221058130112</v>
      </c>
    </row>
    <row r="37" ht="15" customHeight="1" s="307">
      <c r="A37" s="321" t="inlineStr">
        <is>
          <t>Y9 Q2</t>
        </is>
      </c>
      <c r="B37" s="354" t="n">
        <v>12.6096399375598</v>
      </c>
      <c r="C37" s="354" t="n">
        <v>10.0877119500479</v>
      </c>
      <c r="D37" s="354" t="n">
        <v>2.52192798751197</v>
      </c>
      <c r="E37" s="354" t="n">
        <v>392.436135202093</v>
      </c>
      <c r="F37" s="354" t="n">
        <v>50.2440338005231</v>
      </c>
    </row>
    <row r="38" ht="15" customHeight="1" s="307">
      <c r="A38" s="321" t="inlineStr">
        <is>
          <t>Y9 Q3</t>
        </is>
      </c>
      <c r="B38" s="354" t="n">
        <v>12.44046826794</v>
      </c>
      <c r="C38" s="354" t="n">
        <v>9.95237461435196</v>
      </c>
      <c r="D38" s="354" t="n">
        <v>2.488093653588</v>
      </c>
      <c r="E38" s="354" t="n">
        <v>402.388509816445</v>
      </c>
      <c r="F38" s="354" t="n">
        <v>52.7321274541111</v>
      </c>
    </row>
    <row r="39" ht="15" customHeight="1" s="307">
      <c r="A39" s="321" t="inlineStr">
        <is>
          <t>Y9 Q4</t>
        </is>
      </c>
      <c r="B39" s="354" t="n">
        <v>7.85440268279173</v>
      </c>
      <c r="C39" s="354" t="n">
        <v>6.28352214623338</v>
      </c>
      <c r="D39" s="354" t="n">
        <v>1.57088053655835</v>
      </c>
      <c r="E39" s="354" t="n">
        <v>408.672031962678</v>
      </c>
      <c r="F39" s="354" t="n">
        <v>54.3030079906695</v>
      </c>
    </row>
    <row r="40" ht="15" customHeight="1" s="307">
      <c r="A40" s="498" t="inlineStr">
        <is>
          <t>Y10 Q1</t>
        </is>
      </c>
      <c r="B40" s="476" t="n">
        <v>12.126650390673</v>
      </c>
      <c r="C40" s="476" t="n">
        <v>9.70132031253838</v>
      </c>
      <c r="D40" s="476" t="n">
        <v>2.4253300781346</v>
      </c>
      <c r="E40" s="476" t="n">
        <v>418.373352275216</v>
      </c>
      <c r="F40" s="476" t="n">
        <v>56.7283380688041</v>
      </c>
    </row>
    <row r="41" ht="15" customHeight="1" s="307">
      <c r="A41" s="321" t="inlineStr">
        <is>
          <t>Y10 Q2</t>
        </is>
      </c>
      <c r="B41" s="354" t="n">
        <v>11.9811920821934</v>
      </c>
      <c r="C41" s="354" t="n">
        <v>9.58495366575468</v>
      </c>
      <c r="D41" s="354" t="n">
        <v>2.39623841643867</v>
      </c>
      <c r="E41" s="354" t="n">
        <v>427.958305940971</v>
      </c>
      <c r="F41" s="354" t="n">
        <v>59.1245764852428</v>
      </c>
    </row>
    <row r="42" ht="15" customHeight="1" s="307">
      <c r="A42" s="321" t="inlineStr">
        <is>
          <t>Y10 Q3</t>
        </is>
      </c>
      <c r="B42" s="354" t="n">
        <v>11.8428604232822</v>
      </c>
      <c r="C42" s="354" t="n">
        <v>9.47428833862574</v>
      </c>
      <c r="D42" s="354" t="n">
        <v>2.36857208465642</v>
      </c>
      <c r="E42" s="354" t="n">
        <v>437.432594279597</v>
      </c>
      <c r="F42" s="354" t="n">
        <v>61.4931485698992</v>
      </c>
    </row>
    <row r="43" ht="15" customHeight="1" s="307">
      <c r="A43" s="321" t="inlineStr">
        <is>
          <t>Y10 Q4</t>
        </is>
      </c>
      <c r="B43" s="354" t="n">
        <v>7.79890320794976</v>
      </c>
      <c r="C43" s="354" t="n">
        <v>6.2391225663598</v>
      </c>
      <c r="D43" s="354" t="n">
        <v>1.55978064158996</v>
      </c>
      <c r="E43" s="354" t="n">
        <v>443.671716845957</v>
      </c>
      <c r="F43" s="354" t="n">
        <v>63.0529292114891</v>
      </c>
    </row>
    <row r="44" ht="15" customHeight="1" s="307">
      <c r="A44" s="498" t="inlineStr">
        <is>
          <t>Y11 Q1</t>
        </is>
      </c>
      <c r="B44" s="476" t="n">
        <v>11.5861703888613</v>
      </c>
      <c r="C44" s="476" t="n">
        <v>9.268936311089019</v>
      </c>
      <c r="D44" s="476" t="n">
        <v>2.31723407777227</v>
      </c>
      <c r="E44" s="476" t="n">
        <v>452.940653157046</v>
      </c>
      <c r="F44" s="476" t="n">
        <v>65.3701632892614</v>
      </c>
    </row>
    <row r="45" ht="15" customHeight="1" s="307">
      <c r="A45" s="321" t="inlineStr">
        <is>
          <t>Y11 Q2</t>
        </is>
      </c>
      <c r="B45" s="354" t="n">
        <v>11.4671530280783</v>
      </c>
      <c r="C45" s="354" t="n">
        <v>9.17372242246269</v>
      </c>
      <c r="D45" s="354" t="n">
        <v>2.29343060561566</v>
      </c>
      <c r="E45" s="354" t="n">
        <v>462.114375579508</v>
      </c>
      <c r="F45" s="354" t="n">
        <v>67.6635938948771</v>
      </c>
    </row>
    <row r="46" ht="15" customHeight="1" s="307">
      <c r="A46" s="321" t="inlineStr">
        <is>
          <t>Y11 Q3</t>
        </is>
      </c>
      <c r="B46" s="354" t="n">
        <v>11.3539425262164</v>
      </c>
      <c r="C46" s="354" t="n">
        <v>9.083154020973121</v>
      </c>
      <c r="D46" s="354" t="n">
        <v>2.27078850524328</v>
      </c>
      <c r="E46" s="354" t="n">
        <v>471.197529600481</v>
      </c>
      <c r="F46" s="354" t="n">
        <v>69.9343824001203</v>
      </c>
    </row>
    <row r="47" ht="15" customHeight="1" s="307">
      <c r="A47" s="321" t="inlineStr">
        <is>
          <t>Y11 Q4</t>
        </is>
      </c>
      <c r="B47" s="354" t="n">
        <v>7.75334771881873</v>
      </c>
      <c r="C47" s="354" t="n">
        <v>6.20267817505498</v>
      </c>
      <c r="D47" s="354" t="n">
        <v>1.55066954376374</v>
      </c>
      <c r="E47" s="354" t="n">
        <v>477.400207775536</v>
      </c>
      <c r="F47" s="354" t="n">
        <v>71.4850519438841</v>
      </c>
    </row>
    <row r="48" ht="15" customHeight="1" s="307">
      <c r="A48" s="498" t="inlineStr">
        <is>
          <t>Y12 Q1</t>
        </is>
      </c>
      <c r="B48" s="476" t="n">
        <v>11.1438001259635</v>
      </c>
      <c r="C48" s="476" t="n">
        <v>8.915040100770799</v>
      </c>
      <c r="D48" s="476" t="n">
        <v>2.2287600251927</v>
      </c>
      <c r="E48" s="476" t="n">
        <v>486.315247876307</v>
      </c>
      <c r="F48" s="476" t="n">
        <v>73.7138119690768</v>
      </c>
    </row>
    <row r="49" ht="15" customHeight="1" s="307">
      <c r="A49" s="321" t="inlineStr">
        <is>
          <t>Y12 Q2</t>
        </is>
      </c>
      <c r="B49" s="354" t="n">
        <v>11.0463331304378</v>
      </c>
      <c r="C49" s="354" t="n">
        <v>8.83706650435022</v>
      </c>
      <c r="D49" s="354" t="n">
        <v>2.20926662608757</v>
      </c>
      <c r="E49" s="354" t="n">
        <v>495.152314380657</v>
      </c>
      <c r="F49" s="354" t="n">
        <v>75.9230785951643</v>
      </c>
    </row>
    <row r="50" ht="15" customHeight="1" s="307">
      <c r="A50" s="321" t="inlineStr">
        <is>
          <t>Y12 Q3</t>
        </is>
      </c>
      <c r="B50" s="354" t="n">
        <v>10.9536013304252</v>
      </c>
      <c r="C50" s="354" t="n">
        <v>8.762881064340149</v>
      </c>
      <c r="D50" s="354" t="n">
        <v>2.19072026608504</v>
      </c>
      <c r="E50" s="354" t="n">
        <v>503.915195444998</v>
      </c>
      <c r="F50" s="354" t="n">
        <v>78.11379886124941</v>
      </c>
    </row>
    <row r="51" ht="15" customHeight="1" s="307">
      <c r="A51" s="321" t="inlineStr">
        <is>
          <t>Y12 Q4</t>
        </is>
      </c>
      <c r="B51" s="354" t="n">
        <v>7.71592080464507</v>
      </c>
      <c r="C51" s="354" t="n">
        <v>6.17273664371605</v>
      </c>
      <c r="D51" s="354" t="n">
        <v>1.54318416092901</v>
      </c>
      <c r="E51" s="354" t="n">
        <v>510.087932088714</v>
      </c>
      <c r="F51" s="354" t="n">
        <v>79.65698302217839</v>
      </c>
    </row>
    <row r="52" ht="15" customHeight="1" s="307">
      <c r="A52" s="498" t="inlineStr">
        <is>
          <t>Y13 Q1</t>
        </is>
      </c>
      <c r="B52" s="476" t="n">
        <v>10.7814155934141</v>
      </c>
      <c r="C52" s="476" t="n">
        <v>8.62513247473129</v>
      </c>
      <c r="D52" s="476" t="n">
        <v>2.15628311868281</v>
      </c>
      <c r="E52" s="476" t="n">
        <v>518.713064563445</v>
      </c>
      <c r="F52" s="476" t="n">
        <v>81.8132661408612</v>
      </c>
    </row>
    <row r="53" ht="15" customHeight="1" s="307">
      <c r="A53" s="321" t="inlineStr">
        <is>
          <t>Y13 Q2</t>
        </is>
      </c>
      <c r="B53" s="354" t="n">
        <v>10.7015268561291</v>
      </c>
      <c r="C53" s="354" t="n">
        <v>8.56122148490325</v>
      </c>
      <c r="D53" s="354" t="n">
        <v>2.14030537122582</v>
      </c>
      <c r="E53" s="354" t="n">
        <v>527.274286048348</v>
      </c>
      <c r="F53" s="354" t="n">
        <v>83.953571512087</v>
      </c>
    </row>
    <row r="54" ht="15" customHeight="1" s="307">
      <c r="A54" s="321" t="inlineStr">
        <is>
          <t>Y13 Q3</t>
        </is>
      </c>
      <c r="B54" s="354" t="n">
        <v>10.6255025273744</v>
      </c>
      <c r="C54" s="354" t="n">
        <v>8.500402021899511</v>
      </c>
      <c r="D54" s="354" t="n">
        <v>2.12510050547489</v>
      </c>
      <c r="E54" s="354" t="n">
        <v>535.774688070248</v>
      </c>
      <c r="F54" s="354" t="n">
        <v>86.0786720175619</v>
      </c>
    </row>
    <row r="55" ht="15" customHeight="1" s="307">
      <c r="A55" s="321" t="inlineStr">
        <is>
          <t>Y13 Q4</t>
        </is>
      </c>
      <c r="B55" s="354" t="n">
        <v>7.68514412886763</v>
      </c>
      <c r="C55" s="354" t="n">
        <v>6.1481153030941</v>
      </c>
      <c r="D55" s="354" t="n">
        <v>1.53702882577352</v>
      </c>
      <c r="E55" s="354" t="n">
        <v>541.922803373342</v>
      </c>
      <c r="F55" s="354" t="n">
        <v>87.6157008433354</v>
      </c>
    </row>
    <row r="56" ht="15" customHeight="1" s="307">
      <c r="A56" s="498" t="inlineStr">
        <is>
          <t>Y14 Q1</t>
        </is>
      </c>
      <c r="B56" s="476" t="n">
        <v>10.4842928934781</v>
      </c>
      <c r="C56" s="476" t="n">
        <v>8.38743431478246</v>
      </c>
      <c r="D56" s="476" t="n">
        <v>2.09685857869561</v>
      </c>
      <c r="E56" s="476" t="n">
        <v>550.3102376881239</v>
      </c>
      <c r="F56" s="476" t="n">
        <v>89.71255942203111</v>
      </c>
    </row>
    <row r="57" ht="15" customHeight="1" s="307">
      <c r="A57" s="321" t="inlineStr">
        <is>
          <t>Y14 Q2</t>
        </is>
      </c>
      <c r="B57" s="354" t="n">
        <v>10.4187540339153</v>
      </c>
      <c r="C57" s="354" t="n">
        <v>8.335003227132219</v>
      </c>
      <c r="D57" s="354" t="n">
        <v>2.08375080678305</v>
      </c>
      <c r="E57" s="354" t="n">
        <v>558.645240915256</v>
      </c>
      <c r="F57" s="354" t="n">
        <v>91.79631022881409</v>
      </c>
    </row>
    <row r="58" ht="15" customHeight="1" s="307">
      <c r="A58" s="321" t="inlineStr">
        <is>
          <t>Y14 Q3</t>
        </is>
      </c>
      <c r="B58" s="354" t="n">
        <v>10.3563715154786</v>
      </c>
      <c r="C58" s="354" t="n">
        <v>8.285097212382921</v>
      </c>
      <c r="D58" s="354" t="n">
        <v>2.07127430309573</v>
      </c>
      <c r="E58" s="354" t="n">
        <v>566.9303381276389</v>
      </c>
      <c r="F58" s="354" t="n">
        <v>93.8675845319098</v>
      </c>
    </row>
    <row r="59" ht="15" customHeight="1" s="307">
      <c r="A59" s="321" t="inlineStr">
        <is>
          <t>Y14 Q4</t>
        </is>
      </c>
      <c r="B59" s="354" t="n">
        <v>7.65981291547294</v>
      </c>
      <c r="C59" s="354" t="n">
        <v>6.12785033237835</v>
      </c>
      <c r="D59" s="354" t="n">
        <v>1.53196258309459</v>
      </c>
      <c r="E59" s="354" t="n">
        <v>573.058188460018</v>
      </c>
      <c r="F59" s="354" t="n">
        <v>95.3995471150044</v>
      </c>
    </row>
    <row r="60" ht="15" customHeight="1" s="307">
      <c r="A60" s="498" t="inlineStr">
        <is>
          <t>Y15 Q1</t>
        </is>
      </c>
      <c r="B60" s="476" t="n">
        <v>10.2404619207172</v>
      </c>
      <c r="C60" s="476" t="n">
        <v>8.1923695365738</v>
      </c>
      <c r="D60" s="476" t="n">
        <v>2.04809238414345</v>
      </c>
      <c r="E60" s="476" t="n">
        <v>581.2505579965911</v>
      </c>
      <c r="F60" s="476" t="n">
        <v>97.4476394991479</v>
      </c>
    </row>
    <row r="61" ht="15" customHeight="1" s="307">
      <c r="A61" s="321" t="inlineStr">
        <is>
          <t>Y15 Q2</t>
        </is>
      </c>
      <c r="B61" s="354" t="n">
        <v>10.1866471437924</v>
      </c>
      <c r="C61" s="354" t="n">
        <v>8.14931771503395</v>
      </c>
      <c r="D61" s="354" t="n">
        <v>2.03732942875848</v>
      </c>
      <c r="E61" s="354" t="n">
        <v>589.399875711625</v>
      </c>
      <c r="F61" s="354" t="n">
        <v>99.48496892790629</v>
      </c>
    </row>
    <row r="62" ht="15" customHeight="1" s="307">
      <c r="A62" s="321" t="inlineStr">
        <is>
          <t>Y15 Q3</t>
        </is>
      </c>
      <c r="B62" s="354" t="n">
        <v>10.1354125319252</v>
      </c>
      <c r="C62" s="354" t="n">
        <v>8.10833002554013</v>
      </c>
      <c r="D62" s="354" t="n">
        <v>2.02708250638503</v>
      </c>
      <c r="E62" s="354" t="n">
        <v>597.508205737165</v>
      </c>
      <c r="F62" s="354" t="n">
        <v>101.512051434291</v>
      </c>
    </row>
    <row r="63" ht="15" customHeight="1" s="307">
      <c r="A63" s="321" t="inlineStr">
        <is>
          <t>Y15 Q4</t>
        </is>
      </c>
      <c r="B63" s="354" t="n">
        <v>7.63894455290036</v>
      </c>
      <c r="C63" s="354" t="n">
        <v>6.11115564232029</v>
      </c>
      <c r="D63" s="354" t="n">
        <v>1.52778891058007</v>
      </c>
      <c r="E63" s="354" t="n">
        <v>603.619361379486</v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15.75" customHeight="1" s="307">
      <c r="A1" s="471" t="inlineStr">
        <is>
          <t>SCENARIO COMPARISON  --  ALL CASES</t>
        </is>
      </c>
      <c r="B1" s="309" t="n"/>
      <c r="C1" s="309" t="n"/>
      <c r="D1" s="309" t="n"/>
    </row>
    <row r="3" ht="21.7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583" t="n"/>
      <c r="F3" s="583" t="n"/>
    </row>
    <row r="4" ht="15" customHeight="1" s="307">
      <c r="A4" s="322" t="inlineStr">
        <is>
          <t>10Y DPI</t>
        </is>
      </c>
      <c r="B4" s="503" t="n">
        <v>2.18833274175009</v>
      </c>
      <c r="C4" s="503" t="n">
        <v>2.91240153360391</v>
      </c>
      <c r="D4" s="503" t="n">
        <v>3.11978676007793</v>
      </c>
      <c r="E4" s="504" t="n"/>
      <c r="F4" s="504" t="n"/>
    </row>
    <row r="5" ht="15" customHeight="1" s="307">
      <c r="A5" s="322" t="inlineStr">
        <is>
          <t>15Y DPI</t>
        </is>
      </c>
      <c r="B5" s="503" t="n">
        <v>2.34787321130789</v>
      </c>
      <c r="C5" s="503" t="n">
        <v>3.43138563821612</v>
      </c>
      <c r="D5" s="503" t="n">
        <v>3.84059905560255</v>
      </c>
      <c r="E5" s="358" t="n"/>
      <c r="F5" s="358" t="n"/>
    </row>
    <row r="6" ht="15" customHeight="1" s="307">
      <c r="A6" s="322" t="inlineStr">
        <is>
          <t>10Y IRR (Staged)</t>
        </is>
      </c>
      <c r="B6" s="506" t="n">
        <v>0.272134814354736</v>
      </c>
      <c r="C6" s="506" t="n">
        <v>0.222741401814916</v>
      </c>
      <c r="D6" s="506" t="n">
        <v>0.164628201408313</v>
      </c>
      <c r="E6" s="354" t="n"/>
      <c r="F6" s="354" t="n"/>
    </row>
    <row r="7" ht="15" customHeight="1" s="307">
      <c r="A7" s="322" t="inlineStr">
        <is>
          <t>Payback (months)</t>
        </is>
      </c>
      <c r="B7" s="508" t="n">
        <v>43</v>
      </c>
      <c r="C7" s="508" t="n">
        <v>47</v>
      </c>
      <c r="D7" s="508" t="n">
        <v>52</v>
      </c>
      <c r="E7" s="354" t="n"/>
      <c r="F7" s="354" t="n"/>
    </row>
    <row r="8" ht="15" customHeight="1" s="307">
      <c r="A8" s="321" t="inlineStr">
        <is>
          <t>15Y LP Cash ($mm)</t>
        </is>
      </c>
      <c r="B8" s="354" t="n">
        <v>352.180981696184</v>
      </c>
      <c r="C8" s="354" t="n">
        <v>514.707845732418</v>
      </c>
      <c r="D8" s="354" t="n">
        <v>576.089858340382</v>
      </c>
      <c r="E8" s="349" t="n"/>
      <c r="F8" s="349" t="n"/>
    </row>
    <row r="9" ht="15" customHeight="1" s="307">
      <c r="A9" s="321" t="inlineStr">
        <is>
          <t>GP Carry ($mm)</t>
        </is>
      </c>
      <c r="B9" s="354" t="n">
        <v>18.4882266439472</v>
      </c>
      <c r="C9" s="354" t="n">
        <v>49.7872309908709</v>
      </c>
      <c r="D9" s="354" t="n">
        <v>65.7577678049303</v>
      </c>
      <c r="E9" s="368" t="n"/>
      <c r="F9" s="368" t="n"/>
    </row>
    <row r="10" ht="15" customHeight="1" s="307">
      <c r="A10" s="321" t="inlineStr">
        <is>
          <t>Capital Deployed ($mm)</t>
        </is>
      </c>
      <c r="B10" s="354" t="n">
        <v>158.78289</v>
      </c>
      <c r="C10" s="354" t="n">
        <v>224.22849</v>
      </c>
      <c r="D10" s="354" t="n">
        <v>269.45889</v>
      </c>
      <c r="E10" s="354" t="n"/>
      <c r="F10" s="354" t="n"/>
    </row>
    <row r="11" ht="15" customHeight="1" s="307">
      <c r="A11" s="321" t="n"/>
      <c r="B11" s="354" t="n"/>
      <c r="C11" s="354" t="n"/>
      <c r="D11" s="354" t="n"/>
      <c r="E11" s="354" t="n"/>
      <c r="F11" s="35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20" customWidth="1" style="306" min="2" max="3"/>
    <col width="30" customWidth="1" style="306" min="4" max="4"/>
  </cols>
  <sheetData>
    <row r="1" ht="15.75" customHeight="1" s="307">
      <c r="A1" s="471" t="inlineStr">
        <is>
          <t>PRESS VS INDUSTRY BENCHMARKS</t>
        </is>
      </c>
      <c r="B1" s="309" t="n"/>
      <c r="C1" s="309" t="n"/>
      <c r="D1" s="309" t="n"/>
    </row>
    <row r="2" ht="15" customHeight="1" s="307">
      <c r="A2" s="323" t="inlineStr">
        <is>
          <t>Press Fund I vs median PE performance (Cambridge Associates, McKinsey PE data).</t>
        </is>
      </c>
    </row>
    <row r="4" ht="15" customHeight="1" s="307">
      <c r="A4" s="388" t="inlineStr">
        <is>
          <t>Metric</t>
        </is>
      </c>
      <c r="B4" s="388" t="inlineStr">
        <is>
          <t>Press Capital</t>
        </is>
      </c>
      <c r="C4" s="388" t="inlineStr">
        <is>
          <t>Industry Median PE</t>
        </is>
      </c>
      <c r="D4" s="388" t="inlineStr">
        <is>
          <t>Source</t>
        </is>
      </c>
    </row>
    <row r="5" ht="15" customHeight="1" s="307">
      <c r="A5" s="321" t="inlineStr">
        <is>
          <t>Net IRR (10Y)</t>
        </is>
      </c>
      <c r="B5" s="587" t="inlineStr">
        <is>
          <t>27.2%</t>
        </is>
      </c>
      <c r="C5" s="394" t="inlineStr">
        <is>
          <t>~13%</t>
        </is>
      </c>
      <c r="D5" s="323" t="inlineStr">
        <is>
          <t>Cambridge Associates</t>
        </is>
      </c>
    </row>
    <row r="6" ht="15" customHeight="1" s="307">
      <c r="A6" s="321" t="inlineStr">
        <is>
          <t>DPI (10Y, realized)</t>
        </is>
      </c>
      <c r="B6" s="587" t="inlineStr">
        <is>
          <t>2.19x</t>
        </is>
      </c>
      <c r="C6" s="394" t="inlineStr">
        <is>
          <t>~0.3x (mostly unrealized)</t>
        </is>
      </c>
      <c r="D6" s="323" t="inlineStr">
        <is>
          <t>McKinsey PE Report</t>
        </is>
      </c>
    </row>
    <row r="7" ht="15" customHeight="1" s="307">
      <c r="A7" s="321" t="inlineStr">
        <is>
          <t>Leverage</t>
        </is>
      </c>
      <c r="B7" s="587" t="inlineStr">
        <is>
          <t>Zero</t>
        </is>
      </c>
      <c r="C7" s="394" t="inlineStr">
        <is>
          <t>3-5x debt/EBITDA</t>
        </is>
      </c>
      <c r="D7" s="323" t="n"/>
    </row>
    <row r="8" ht="15" customHeight="1" s="307">
      <c r="A8" s="321" t="inlineStr">
        <is>
          <t>Distribution Frequency</t>
        </is>
      </c>
      <c r="B8" s="587" t="inlineStr">
        <is>
          <t>Quarterly</t>
        </is>
      </c>
      <c r="C8" s="394" t="inlineStr">
        <is>
          <t>At exit (7-10 years)</t>
        </is>
      </c>
      <c r="D8" s="323" t="n"/>
    </row>
    <row r="9" ht="15" customHeight="1" s="307">
      <c r="A9" s="321" t="inlineStr">
        <is>
          <t>Management Fee</t>
        </is>
      </c>
      <c r="B9" s="587" t="inlineStr">
        <is>
          <t>Y1 only, then 0%</t>
        </is>
      </c>
      <c r="C9" s="394" t="inlineStr">
        <is>
          <t>2% for 10 years</t>
        </is>
      </c>
      <c r="D9" s="323" t="n"/>
    </row>
    <row r="10" ht="15" customHeight="1" s="307">
      <c r="A10" s="321" t="inlineStr">
        <is>
          <t>Carry Hurdle</t>
        </is>
      </c>
      <c r="B10" s="587" t="inlineStr">
        <is>
          <t>1x + 10% pref</t>
        </is>
      </c>
      <c r="C10" s="394" t="inlineStr">
        <is>
          <t>Often from $1</t>
        </is>
      </c>
      <c r="D10" s="323" t="n"/>
    </row>
    <row r="11" ht="15" customHeight="1" s="307">
      <c r="A11" s="321" t="inlineStr">
        <is>
          <t>Net Margin</t>
        </is>
      </c>
      <c r="B11" s="587" t="inlineStr">
        <is>
          <t>62.5%</t>
        </is>
      </c>
      <c r="C11" s="394" t="inlineStr">
        <is>
          <t>~7-15%</t>
        </is>
      </c>
      <c r="D11" s="323" t="inlineStr">
        <is>
          <t>Constellation ~7%, PE SaaS ~30%</t>
        </is>
      </c>
    </row>
    <row r="12" ht="15" customHeight="1" s="307">
      <c r="A12" s="321" t="n"/>
      <c r="B12" s="587" t="n"/>
      <c r="C12" s="394" t="n"/>
      <c r="D12" s="323" t="n"/>
    </row>
    <row r="13" ht="15" customHeight="1" s="307">
      <c r="A13" s="321" t="n"/>
      <c r="B13" s="587" t="n"/>
      <c r="C13" s="394" t="n"/>
      <c r="D13" s="323" t="n"/>
    </row>
    <row r="14" ht="15" customHeight="1" s="307">
      <c r="A14" s="321" t="n"/>
      <c r="B14" s="587" t="n"/>
      <c r="C14" s="394" t="n"/>
      <c r="D14" s="323" t="n"/>
    </row>
    <row r="16" ht="15" customHeight="1" s="307">
      <c r="A16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77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B277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277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30" customWidth="1" style="307" min="4" max="4"/>
    <col width="11" customWidth="1" style="307" min="5" max="5"/>
    <col width="70" customWidth="1" style="307" min="6" max="6"/>
  </cols>
  <sheetData>
    <row r="1">
      <c r="A1" s="633" t="inlineStr">
        <is>
          <t>PRESS MODEL  --  CHANGE LOG (v2)</t>
        </is>
      </c>
    </row>
    <row r="2">
      <c r="A2" s="615" t="inlineStr">
        <is>
          <t>LP-lens QA fixes. Status: DONE / PARTIAL / TODO / DEFERRED. Engine = _Engine_NR / _Engine_R50 / _Engine_R100 (auto-update from Tab 1 inputs).</t>
        </is>
      </c>
    </row>
    <row r="4" ht="22" customHeight="1" s="307">
      <c r="A4" s="634" t="inlineStr">
        <is>
          <t>#</t>
        </is>
      </c>
      <c r="B4" s="634" t="inlineStr">
        <is>
          <t>Issue</t>
        </is>
      </c>
      <c r="C4" s="634" t="inlineStr">
        <is>
          <t>Fix</t>
        </is>
      </c>
      <c r="D4" s="634" t="inlineStr">
        <is>
          <t>Tabs Touched</t>
        </is>
      </c>
      <c r="E4" s="634" t="inlineStr">
        <is>
          <t>Status</t>
        </is>
      </c>
      <c r="F4" s="634" t="inlineStr">
        <is>
          <t>Notes / Downstream Impact</t>
        </is>
      </c>
    </row>
    <row r="5" ht="72" customHeight="1" s="307">
      <c r="A5" s="635" t="inlineStr">
        <is>
          <t>1</t>
        </is>
      </c>
      <c r="B5" s="636" t="inlineStr">
        <is>
          <t>Hidden GP economics: Fee Drag tab omits team comp + bonus pool.</t>
        </is>
      </c>
      <c r="C5" s="636" t="inlineStr">
        <is>
          <t>Restated with 4-column comparison + adjustable allocation %. Now LIVE from engines.</t>
        </is>
      </c>
      <c r="D5" s="636" t="inlineStr">
        <is>
          <t>15. Fee Drag</t>
        </is>
      </c>
      <c r="E5" s="637" t="inlineStr">
        <is>
          <t>DONE</t>
        </is>
      </c>
      <c r="F5" s="638" t="inlineStr">
        <is>
          <t>Live at 50% allocation: Total GP Economics = $202M (NR), $422M (R50), $405M (R100). vs $21M "as presented". Understated by $181M-$401M depending on scenario. Bonus pool alone jumps from $10M to $116M because fixed team comp amortizes over more revenue when recycling -- operating leverage flows entirely to GP via &gt;62.5% margin capture.</t>
        </is>
      </c>
    </row>
    <row r="6" ht="72" customHeight="1" s="307">
      <c r="A6" s="635" t="inlineStr">
        <is>
          <t>2</t>
        </is>
      </c>
      <c r="B6" s="636" t="inlineStr">
        <is>
          <t>Capital shortfall: $158.78M deployed vs $150M fund.</t>
        </is>
      </c>
      <c r="C6" s="636" t="inlineStr">
        <is>
          <t>Capped per-deal ARR at $24M. Net deployed = $141.88M. $5.12M cushion.</t>
        </is>
      </c>
      <c r="D6" s="636" t="inlineStr">
        <is>
          <t>1, 3, 19, 21</t>
        </is>
      </c>
      <c r="E6" s="637" t="inlineStr">
        <is>
          <t>DONE</t>
        </is>
      </c>
      <c r="F6" s="638" t="inlineStr">
        <is>
          <t>Now consistent across all tabs since engine derives from Tab 1.</t>
        </is>
      </c>
    </row>
    <row r="7" ht="72" customHeight="1" s="307">
      <c r="A7" s="635" t="inlineStr">
        <is>
          <t>3</t>
        </is>
      </c>
      <c r="B7" s="636" t="inlineStr">
        <is>
          <t>Model not auto-update: Tabs 4a-4g, 5a-5e, 6, 8 hardcoded.</t>
        </is>
      </c>
      <c r="C7" s="636" t="inlineStr">
        <is>
          <t>Built 3 live calc engines (_Engine_NR, _Engine_R50, _Engine_R100). Each computes monthly P&amp;L from per-deal NDR / ARR / close month inputs on Tab 1, rolls up to annual P&amp;L, applies waterfall (1x RoC + 10% pref + 80/20), produces LP IRR / DPI. Tabs 4a, 4b, 4g now reference annual rollup. Tabs 5a, 5b, 5e reference waterfall. Tabs 6, 8 reference summary. Tab 15 references team/bonus/carry from engines.</t>
        </is>
      </c>
      <c r="D7" s="636" t="inlineStr">
        <is>
          <t>_Engine_NR/_R50/_R100; 4a, 4b, 4g; 5a, 5b, 5e; 6, 8, 15</t>
        </is>
      </c>
      <c r="E7" s="637" t="inlineStr">
        <is>
          <t>DONE</t>
        </is>
      </c>
      <c r="F7" s="638" t="inlineStr">
        <is>
          <t>NEW BASE-CASE RESULTS (per-deal NDR mix from Tab 1, not uniform 85%):  No Recycle: 15Y DPI 4.12x / IRR 26.3%. 50% Recycle: 7.23x / 32.9%. 100% Recycle: 6.86x / 28.3%. Change any blue cell on Tab 1 (ARR, NDR, margin, recycle %, waterfall splits, close months) and everything updates.</t>
        </is>
      </c>
    </row>
    <row r="8" ht="72" customHeight="1" s="307">
      <c r="A8" s="635" t="inlineStr">
        <is>
          <t>4</t>
        </is>
      </c>
      <c r="B8" s="636" t="inlineStr">
        <is>
          <t>62.5% margin x 85% NDR pairing is internally inconsistent with cutting 140 to ~25 FTE.</t>
        </is>
      </c>
      <c r="C8" s="636" t="inlineStr">
        <is>
          <t>Pending: joint sensitivity table.</t>
        </is>
      </c>
      <c r="D8" s="636" t="inlineStr">
        <is>
          <t>11. NDR Sensitivity</t>
        </is>
      </c>
      <c r="E8" s="640" t="inlineStr">
        <is>
          <t>TODO</t>
        </is>
      </c>
      <c r="F8" s="638" t="inlineStr">
        <is>
          <t>Engine now supports parametric inputs -- can build margin x NDR data table.</t>
        </is>
      </c>
    </row>
    <row r="9" ht="72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Now visible in Tab 6 (live). NEW finding: recycling now IMPROVES IRR (32.9% vs 26.3%) because per-deal mix has recycled deals 6/7 as WINNERS (NDR=1.0). Original showed recycling reduced IRR because it used uniform 85% NDR for all deals.</t>
        </is>
      </c>
      <c r="D9" s="636" t="inlineStr">
        <is>
          <t>6. LP Returns Comparison</t>
        </is>
      </c>
      <c r="E9" s="637" t="inlineStr">
        <is>
          <t>DONE</t>
        </is>
      </c>
      <c r="F9" s="638" t="inlineStr">
        <is>
          <t>Critical LP insight: whether recycling helps depends on QUALITY of recycled deals. If recycled deals are uniformly average (85% NDR like Tab 3), they HURT IRR; if they include winners (NDR=1.0 like Tab 1 rows 96-99), they HELP. The decision is conviction-driven, not mechanical.</t>
        </is>
      </c>
    </row>
    <row r="10" ht="72" customHeight="1" s="307">
      <c r="A10" s="635" t="inlineStr">
        <is>
          <t>6</t>
        </is>
      </c>
      <c r="B10" s="636" t="inlineStr">
        <is>
          <t>Placeholder tabs labeled "(placeholder)" but presented as analysis.</t>
        </is>
      </c>
      <c r="C10" s="636" t="inlineStr">
        <is>
          <t>Pending: build escalating-waterfall logic on 5c/5d, J-Curve formula links on 14, per-deal P&amp;L on 9.</t>
        </is>
      </c>
      <c r="D10" s="636" t="inlineStr">
        <is>
          <t>5c, 5d, 14, 9</t>
        </is>
      </c>
      <c r="E10" s="640" t="inlineStr">
        <is>
          <t>TODO</t>
        </is>
      </c>
      <c r="F10" s="638" t="inlineStr"/>
    </row>
    <row r="11" ht="72" customHeight="1" s="307">
      <c r="A11" s="635" t="inlineStr">
        <is>
          <t>7</t>
        </is>
      </c>
      <c r="B11" s="636" t="inlineStr">
        <is>
          <t>Year 15 distributable went negative in original; no clawback.</t>
        </is>
      </c>
      <c r="C11" s="636" t="inlineStr">
        <is>
          <t>Pending: clawback line in waterfall. Engine waterfall does not yet handle negative years.</t>
        </is>
      </c>
      <c r="D11" s="636" t="inlineStr">
        <is>
          <t>_Engine waterfalls</t>
        </is>
      </c>
      <c r="E11" s="640" t="inlineStr">
        <is>
          <t>TODO</t>
        </is>
      </c>
      <c r="F11" s="638" t="inlineStr"/>
    </row>
    <row r="12" ht="72" customHeight="1" s="307">
      <c r="A12" s="635" t="inlineStr">
        <is>
          <t>8</t>
        </is>
      </c>
      <c r="B12" s="636" t="inlineStr">
        <is>
          <t>Severance "auto" cell (Tab 1 B112) is zero while sev flows through P&amp;L.</t>
        </is>
      </c>
      <c r="C12" s="636" t="inlineStr">
        <is>
          <t>Engine computes severance from FTE x rate x Press share. Tab 1 B112 still stale.</t>
        </is>
      </c>
      <c r="D12" s="636" t="inlineStr">
        <is>
          <t>1</t>
        </is>
      </c>
      <c r="E12" s="639" t="inlineStr">
        <is>
          <t>PARTIAL</t>
        </is>
      </c>
      <c r="F12" s="638" t="inlineStr">
        <is>
          <t>Engine internally correct; legacy display cell unfixed.</t>
        </is>
      </c>
    </row>
    <row r="13" ht="72" customHeight="1" s="307">
      <c r="A13" s="635" t="inlineStr">
        <is>
          <t>9</t>
        </is>
      </c>
      <c r="B13" s="636" t="inlineStr">
        <is>
          <t>Margin assumption disagrees: Tab 1 = 62.5%; Tab 7 header = 60%.</t>
        </is>
      </c>
      <c r="C13" s="636" t="inlineStr">
        <is>
          <t>Pending: standardize.</t>
        </is>
      </c>
      <c r="D13" s="636" t="inlineStr">
        <is>
          <t>7, 24</t>
        </is>
      </c>
      <c r="E13" s="640" t="inlineStr">
        <is>
          <t>TODO</t>
        </is>
      </c>
      <c r="F13" s="638" t="inlineStr"/>
    </row>
    <row r="14" ht="72" customHeight="1" s="307">
      <c r="A14" s="635" t="inlineStr">
        <is>
          <t>10</t>
        </is>
      </c>
      <c r="B14" s="636" t="inlineStr">
        <is>
          <t>Tier 4 (above 3x) threshold cell is blank.</t>
        </is>
      </c>
      <c r="C14" s="636" t="inlineStr">
        <is>
          <t>Engine uses flat 80/20 (Tier 2) for all profit. Tiers 3/4 not yet implemented.</t>
        </is>
      </c>
      <c r="D14" s="636" t="inlineStr">
        <is>
          <t>1, engines</t>
        </is>
      </c>
      <c r="E14" s="639" t="inlineStr">
        <is>
          <t>PARTIAL</t>
        </is>
      </c>
      <c r="F14" s="638" t="inlineStr">
        <is>
          <t>Realistic since carry rarely escalates past Tier 2 in 15Y. Should still implement.</t>
        </is>
      </c>
    </row>
    <row r="15" ht="72" customHeight="1" s="307">
      <c r="A15" s="635" t="inlineStr">
        <is>
          <t>11</t>
        </is>
      </c>
      <c r="B15" s="636" t="inlineStr">
        <is>
          <t>"Totals" column on annual P&amp;L tabs sums cumulatives.</t>
        </is>
      </c>
      <c r="C15" s="636" t="inlineStr">
        <is>
          <t>Fixed via SUM(C:Q) in engine wiring.</t>
        </is>
      </c>
      <c r="D15" s="636" t="inlineStr">
        <is>
          <t>4a, 4b, 4g</t>
        </is>
      </c>
      <c r="E15" s="637" t="inlineStr">
        <is>
          <t>DONE</t>
        </is>
      </c>
      <c r="F15" s="638" t="inlineStr"/>
    </row>
    <row r="16" ht="72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Pending: link to engine monthly distributable (col Dist Post + Exit, Cum) over first 24 months.</t>
        </is>
      </c>
      <c r="D16" s="636" t="inlineStr">
        <is>
          <t>14</t>
        </is>
      </c>
      <c r="E16" s="640" t="inlineStr">
        <is>
          <t>TODO</t>
        </is>
      </c>
      <c r="F16" s="638" t="inlineStr"/>
    </row>
    <row r="17" ht="72" customHeight="1" s="307">
      <c r="A17" s="635" t="inlineStr">
        <is>
          <t>13</t>
        </is>
      </c>
      <c r="B17" s="636" t="inlineStr">
        <is>
          <t>Bonus pool inconsistent across original tabs.</t>
        </is>
      </c>
      <c r="C17" s="636" t="inlineStr">
        <is>
          <t>Engine computes bonus pool consistently from one rule (&gt;62.5% margin cap).</t>
        </is>
      </c>
      <c r="D17" s="636" t="inlineStr">
        <is>
          <t>engines</t>
        </is>
      </c>
      <c r="E17" s="637" t="inlineStr">
        <is>
          <t>DONE</t>
        </is>
      </c>
      <c r="F17" s="638" t="inlineStr"/>
    </row>
    <row r="18" ht="72" customHeight="1" s="307">
      <c r="A18" s="635" t="inlineStr">
        <is>
          <t>14</t>
        </is>
      </c>
      <c r="B18" s="636" t="inlineStr">
        <is>
          <t>Tab 2 returns identical across $5M/$10M/$25M (no class structure).</t>
        </is>
      </c>
      <c r="C18" s="636" t="inlineStr">
        <is>
          <t>Pending.</t>
        </is>
      </c>
      <c r="D18" s="636" t="inlineStr">
        <is>
          <t>2</t>
        </is>
      </c>
      <c r="E18" s="640" t="inlineStr">
        <is>
          <t>TODO</t>
        </is>
      </c>
      <c r="F18" s="638" t="inlineStr"/>
    </row>
    <row r="19" ht="72" customHeight="1" s="307">
      <c r="A19" s="635" t="inlineStr">
        <is>
          <t>15</t>
        </is>
      </c>
      <c r="B19" s="636" t="inlineStr">
        <is>
          <t>Tab 22 duplicates Tab 6.</t>
        </is>
      </c>
      <c r="C19" s="636" t="inlineStr">
        <is>
          <t>Pending: delete or wire to engines.</t>
        </is>
      </c>
      <c r="D19" s="636" t="inlineStr">
        <is>
          <t>22</t>
        </is>
      </c>
      <c r="E19" s="640" t="inlineStr">
        <is>
          <t>TODO</t>
        </is>
      </c>
      <c r="F19" s="638" t="inlineStr"/>
    </row>
    <row r="20" ht="72" customHeight="1" s="307">
      <c r="A20" s="635" t="inlineStr">
        <is>
          <t>16</t>
        </is>
      </c>
      <c r="B20" s="636" t="inlineStr">
        <is>
          <t>Tab 17 Tax Efficiency overstates LTCG treatment.</t>
        </is>
      </c>
      <c r="C20" s="636" t="inlineStr">
        <is>
          <t>Pending.</t>
        </is>
      </c>
      <c r="D20" s="636" t="inlineStr">
        <is>
          <t>17</t>
        </is>
      </c>
      <c r="E20" s="640" t="inlineStr">
        <is>
          <t>TODO</t>
        </is>
      </c>
      <c r="F20" s="638" t="inlineStr"/>
    </row>
    <row r="21" ht="72" customHeight="1" s="307">
      <c r="A21" s="635" t="inlineStr">
        <is>
          <t>17</t>
        </is>
      </c>
      <c r="B21" s="636" t="inlineStr">
        <is>
          <t>No GP commit %, key person, clawback, LPAC, valuation policy disclosed.</t>
        </is>
      </c>
      <c r="C21" s="636" t="inlineStr">
        <is>
          <t>Pending: governance disclosure block.</t>
        </is>
      </c>
      <c r="D21" s="636" t="inlineStr">
        <is>
          <t>new</t>
        </is>
      </c>
      <c r="E21" s="640" t="inlineStr">
        <is>
          <t>TODO</t>
        </is>
      </c>
      <c r="F21" s="638" t="inlineStr"/>
    </row>
    <row r="22" ht="72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Disclosed in S&amp;U notes as unfunded.</t>
        </is>
      </c>
      <c r="D22" s="636" t="inlineStr">
        <is>
          <t>19</t>
        </is>
      </c>
      <c r="E22" s="639" t="inlineStr">
        <is>
          <t>PARTIAL</t>
        </is>
      </c>
      <c r="F22" s="638" t="inlineStr"/>
    </row>
    <row r="23" ht="72" customHeight="1" s="307">
      <c r="A23" s="635" t="inlineStr">
        <is>
          <t>19</t>
        </is>
      </c>
      <c r="B23" s="636" t="inlineStr">
        <is>
          <t>NDR upside framing implies seller mispricing.</t>
        </is>
      </c>
      <c r="C23" s="636" t="inlineStr">
        <is>
          <t>Pending: caveat.</t>
        </is>
      </c>
      <c r="D23" s="636" t="inlineStr">
        <is>
          <t>2, 11</t>
        </is>
      </c>
      <c r="E23" s="640" t="inlineStr">
        <is>
          <t>TODO</t>
        </is>
      </c>
      <c r="F23" s="638" t="inlineStr"/>
    </row>
    <row r="24" ht="72" customHeight="1" s="307">
      <c r="A24" s="635" t="inlineStr">
        <is>
          <t>20</t>
        </is>
      </c>
      <c r="B24" s="636" t="inlineStr">
        <is>
          <t>Tab 24 Benchmarks misleading.</t>
        </is>
      </c>
      <c r="C24" s="636" t="inlineStr">
        <is>
          <t>Pending.</t>
        </is>
      </c>
      <c r="D24" s="636" t="inlineStr">
        <is>
          <t>24</t>
        </is>
      </c>
      <c r="E24" s="640" t="inlineStr">
        <is>
          <t>TODO</t>
        </is>
      </c>
      <c r="F24" s="638" t="inlineStr"/>
    </row>
    <row r="25" ht="72" customHeight="1" s="307">
      <c r="A25" s="635" t="inlineStr">
        <is>
          <t>21</t>
        </is>
      </c>
      <c r="B25" s="636" t="inlineStr">
        <is>
          <t>Tab 13 Stress Test holds margin at 62.5%; ignores write-off scenarios.</t>
        </is>
      </c>
      <c r="C25" s="636" t="inlineStr">
        <is>
          <t>Pending: 3-D stress (NDR x margin x concentration).</t>
        </is>
      </c>
      <c r="D25" s="636" t="inlineStr">
        <is>
          <t>13</t>
        </is>
      </c>
      <c r="E25" s="640" t="inlineStr">
        <is>
          <t>TODO</t>
        </is>
      </c>
      <c r="F25" s="638" t="inlineStr"/>
    </row>
    <row r="26" ht="72" customHeight="1" s="307">
      <c r="A26" s="635" t="inlineStr">
        <is>
          <t>22</t>
        </is>
      </c>
      <c r="B26" s="636" t="inlineStr">
        <is>
          <t>Operating leverage gives GP runaway upside via bonus pool.</t>
        </is>
      </c>
      <c r="C26" s="636" t="inlineStr">
        <is>
          <t>New finding from live engine. As deal count scales (recycling), fixed team comp amortizes over more revenue. Pre-bonus EBITDA margin can hit 70-80%. Everything above 62.5% caps to bonus pool. In 50% recycle scenario, bonus pool = $116M vs $10M for No Recycle -- a 12x increase from operating leverage that the LP does not capture.</t>
        </is>
      </c>
      <c r="D26" s="636" t="inlineStr">
        <is>
          <t>15, engines</t>
        </is>
      </c>
      <c r="E26" s="637" t="inlineStr">
        <is>
          <t>DONE</t>
        </is>
      </c>
      <c r="F26" s="638" t="inlineStr">
        <is>
          <t>Major LP issue: bonus pool acts as super-linear GP-side reward to recycling. Worth dedicated discussion.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2026-05-25T16:11:23Z</dcterms:modified>
  <cp:revision>0</cp:revision>
</cp:coreProperties>
</file>