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28. GP Term Sheet Asks" sheetId="38" state="visible" r:id="rId38"/>
    <sheet name="_Engine_NR" sheetId="39" state="visible" r:id="rId39"/>
    <sheet name="_Engine_R50" sheetId="40" state="visible" r:id="rId40"/>
    <sheet name="_Engine_R100" sheetId="41" state="visible" r:id="rId41"/>
    <sheet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  <font>
      <b val="1"/>
      <i val="1"/>
      <color rgb="FF888888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  <xf numFmtId="0" fontId="41" fillId="2" borderId="0" applyAlignment="1" pivotButton="0" quotePrefix="0" xfId="0">
      <alignment horizontal="center" vertical="bottom"/>
    </xf>
    <xf numFmtId="0" fontId="5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>
        <f>= UNDERWRITING SCENARIO (Tab 1 B136): see B136 below ==</f>
        <v/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72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730" t="inlineStr">
        <is>
          <t>PER-DEAL MIX (reference only -- engine uses uniform NDR via scenario picker B136)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36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48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60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72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Bear = 0.80 NDR (downside).  Base = 0.85 NDR (LP underwriting -- default).  Bull = 0.90 NDR (upside).  Per-deal mix in rows 89-93 kept as reference only.</t>
        </is>
      </c>
    </row>
    <row r="137">
      <c r="A137" s="306" t="inlineStr">
        <is>
          <t>Bonus margin threshold override</t>
        </is>
      </c>
      <c r="B137" s="694">
        <f>B35</f>
        <v/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</v>
      </c>
      <c r="C138" s="615" t="inlineStr">
        <is>
          <t>GP's own capital into the fund. Market norm: 1-5%.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 t="inlineStr">
        <is>
          <t>Uniform 85% NDR. 1.24x entry. 50/50 sev split. ARR capped at $24M per fix.</t>
        </is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 t="n">
        <v>24</v>
      </c>
      <c r="C5" s="396" t="n">
        <v>1.24</v>
      </c>
      <c r="D5" s="397">
        <f>B5*C5</f>
        <v/>
      </c>
      <c r="E5" s="398">
        <f>B5*0.1154*0.5</f>
        <v/>
      </c>
      <c r="F5" s="399">
        <f>D5-E5</f>
        <v/>
      </c>
      <c r="G5" s="400" t="n">
        <v>0.85</v>
      </c>
      <c r="H5" s="401" t="n">
        <v>0</v>
      </c>
      <c r="I5" s="400" t="inlineStr">
        <is>
          <t>M4</t>
        </is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 t="n">
        <v>24</v>
      </c>
      <c r="C6" s="396" t="n">
        <v>1.24</v>
      </c>
      <c r="D6" s="397">
        <f>B6*C6</f>
        <v/>
      </c>
      <c r="E6" s="398">
        <f>B6*0.1154*0.5</f>
        <v/>
      </c>
      <c r="F6" s="399">
        <f>D6-E6</f>
        <v/>
      </c>
      <c r="G6" s="400" t="n">
        <v>0.85</v>
      </c>
      <c r="H6" s="401" t="n">
        <v>0</v>
      </c>
      <c r="I6" s="400" t="inlineStr">
        <is>
          <t>M7</t>
        </is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 t="n">
        <v>24</v>
      </c>
      <c r="C7" s="396" t="n">
        <v>1.24</v>
      </c>
      <c r="D7" s="397">
        <f>B7*C7</f>
        <v/>
      </c>
      <c r="E7" s="398">
        <f>B7*0.1154*0.5</f>
        <v/>
      </c>
      <c r="F7" s="399">
        <f>D7-E7</f>
        <v/>
      </c>
      <c r="G7" s="400" t="n">
        <v>0.85</v>
      </c>
      <c r="H7" s="401" t="n">
        <v>0</v>
      </c>
      <c r="I7" s="400" t="inlineStr">
        <is>
          <t>M10</t>
        </is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 t="n">
        <v>24</v>
      </c>
      <c r="C8" s="396" t="n">
        <v>1.24</v>
      </c>
      <c r="D8" s="397">
        <f>B8*C8</f>
        <v/>
      </c>
      <c r="E8" s="398">
        <f>B8*0.1154*0.5</f>
        <v/>
      </c>
      <c r="F8" s="399">
        <f>D8-E8</f>
        <v/>
      </c>
      <c r="G8" s="400" t="n">
        <v>0.85</v>
      </c>
      <c r="H8" s="401" t="n">
        <v>0</v>
      </c>
      <c r="I8" s="400" t="inlineStr">
        <is>
          <t>M12</t>
        </is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 t="n">
        <v>24</v>
      </c>
      <c r="C9" s="396" t="n">
        <v>1.24</v>
      </c>
      <c r="D9" s="397">
        <f>B9*C9</f>
        <v/>
      </c>
      <c r="E9" s="398">
        <f>B9*0.1154*0.5</f>
        <v/>
      </c>
      <c r="F9" s="399">
        <f>D9-E9</f>
        <v/>
      </c>
      <c r="G9" s="400" t="n">
        <v>0.85</v>
      </c>
      <c r="H9" s="401" t="n">
        <v>0</v>
      </c>
      <c r="I9" s="400" t="inlineStr">
        <is>
          <t>M16</t>
        </is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 t="n">
        <v>24</v>
      </c>
      <c r="C15" s="396" t="n">
        <v>1</v>
      </c>
      <c r="D15" s="433">
        <f>B15*C15</f>
        <v/>
      </c>
      <c r="E15" s="398">
        <f>B15*0.1154*0.5</f>
        <v/>
      </c>
      <c r="F15" s="434">
        <f>D15-E15</f>
        <v/>
      </c>
      <c r="G15" s="400" t="n">
        <v>0.85</v>
      </c>
      <c r="H15" s="401" t="n">
        <v>0</v>
      </c>
      <c r="I15" s="400" t="inlineStr">
        <is>
          <t>M24</t>
        </is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 t="n">
        <v>24</v>
      </c>
      <c r="C16" s="396" t="n">
        <v>1</v>
      </c>
      <c r="D16" s="433">
        <f>B16*C16</f>
        <v/>
      </c>
      <c r="E16" s="398">
        <f>B16*0.1154*0.5</f>
        <v/>
      </c>
      <c r="F16" s="434">
        <f>D16-E16</f>
        <v/>
      </c>
      <c r="G16" s="400" t="n">
        <v>0.85</v>
      </c>
      <c r="H16" s="401" t="n">
        <v>0</v>
      </c>
      <c r="I16" s="400" t="inlineStr">
        <is>
          <t>M28</t>
        </is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 t="n">
        <v>24</v>
      </c>
      <c r="C17" s="396" t="n">
        <v>0.9</v>
      </c>
      <c r="D17" s="433">
        <f>B17*C17</f>
        <v/>
      </c>
      <c r="E17" s="398">
        <f>B17*0.1154*0.5</f>
        <v/>
      </c>
      <c r="F17" s="434">
        <f>D17-E17</f>
        <v/>
      </c>
      <c r="G17" s="400" t="n">
        <v>0.85</v>
      </c>
      <c r="H17" s="401" t="n">
        <v>0</v>
      </c>
      <c r="I17" s="400" t="inlineStr">
        <is>
          <t>M32</t>
        </is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 t="n">
        <v>24</v>
      </c>
      <c r="C18" s="396" t="n">
        <v>0.8</v>
      </c>
      <c r="D18" s="433">
        <f>B18*C18</f>
        <v/>
      </c>
      <c r="E18" s="398">
        <f>B18*0.1154*0.5</f>
        <v/>
      </c>
      <c r="F18" s="434">
        <f>D18-E18</f>
        <v/>
      </c>
      <c r="G18" s="400" t="n">
        <v>0.85</v>
      </c>
      <c r="H18" s="401" t="n">
        <v>0</v>
      </c>
      <c r="I18" s="400" t="inlineStr">
        <is>
          <t>M36</t>
        </is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>
        <v>-0.4</v>
      </c>
      <c r="B40" s="443" t="n">
        <v>0.9</v>
      </c>
      <c r="C40" s="444" t="n">
        <v>0.75</v>
      </c>
      <c r="D40" s="444" t="n">
        <v>0.6</v>
      </c>
      <c r="E40" s="444" t="n">
        <v>0.55</v>
      </c>
      <c r="F40" s="444" t="n">
        <v>0.5</v>
      </c>
      <c r="G40" s="444" t="n">
        <v>0.5</v>
      </c>
      <c r="H40" s="444" t="n">
        <v>0.5</v>
      </c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Pulls from Tab 1 per-deal row and shows 15Y P&amp;L for that deal alone.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</t>
        </is>
      </c>
      <c r="B7" s="306">
        <f>IF(B4&lt;=5, INDEX('1. Press Assumptions'!$H$89:$H$93, B4), INDEX('1. Press Assumptions'!$H$96:$H$99, B4-5))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 outlineLevelCol="0"/>
  <cols>
    <col width="22" customWidth="1" style="306" min="1" max="1"/>
    <col width="14" customWidth="1" style="306" min="2" max="19"/>
  </cols>
  <sheetData>
    <row r="1" ht="17.25" customHeight="1" s="307">
      <c r="A1" s="308" t="inlineStr">
        <is>
          <t>BID MODEL SENSITIVITY -- Single Deal Returns</t>
        </is>
      </c>
    </row>
    <row r="2" ht="15" customHeight="1" s="307">
      <c r="A2" s="310" t="inlineStr">
        <is>
          <t>Base: $24M ARR, 60% net margin, 15-year hold, no exit. All blue cells adjustable on Tab 1.</t>
        </is>
      </c>
    </row>
    <row r="4" ht="15" customHeight="1" s="307">
      <c r="A4" s="311" t="inlineStr">
        <is>
          <t>DEAL-LEVEL MOIC</t>
        </is>
      </c>
      <c r="B4" s="309" t="n"/>
      <c r="C4" s="309" t="n"/>
      <c r="D4" s="309" t="n"/>
      <c r="E4" s="309" t="n"/>
      <c r="F4" s="309" t="n"/>
      <c r="G4" s="309" t="n"/>
      <c r="H4" s="309" t="n"/>
    </row>
    <row r="5" ht="15" customHeight="1" s="307">
      <c r="A5" s="312" t="inlineStr">
        <is>
          <t>NDR \ Entry Multiple</t>
        </is>
      </c>
      <c r="B5" s="555" t="n">
        <v>0.75</v>
      </c>
      <c r="C5" s="555" t="n">
        <v>1</v>
      </c>
      <c r="D5" s="555" t="n">
        <v>1.1</v>
      </c>
      <c r="E5" s="555" t="n">
        <v>1.25</v>
      </c>
      <c r="F5" s="555" t="n">
        <v>1.5</v>
      </c>
      <c r="G5" s="555" t="n">
        <v>1.75</v>
      </c>
      <c r="H5" s="555" t="n">
        <v>2</v>
      </c>
    </row>
    <row r="6" ht="15" customHeight="1" s="307">
      <c r="A6" s="556" t="n">
        <v>0.7</v>
      </c>
      <c r="B6" s="557" t="n">
        <v>2.11176286820483</v>
      </c>
      <c r="C6" s="557" t="n">
        <v>1.58382215115362</v>
      </c>
      <c r="D6" s="557" t="n">
        <v>1.43983831923056</v>
      </c>
      <c r="E6" s="557" t="n">
        <v>1.2670577209229</v>
      </c>
      <c r="F6" s="557" t="n">
        <v>1.05588143410241</v>
      </c>
      <c r="G6" s="442" t="n">
        <v>0.90504122923064</v>
      </c>
      <c r="H6" s="442" t="n">
        <v>0.79191107557681</v>
      </c>
    </row>
    <row r="7" ht="15" customHeight="1" s="307">
      <c r="A7" s="556" t="n">
        <v>0.75</v>
      </c>
      <c r="B7" s="557" t="n">
        <v>2.62283847200681</v>
      </c>
      <c r="C7" s="557" t="n">
        <v>1.9671288540051</v>
      </c>
      <c r="D7" s="557" t="n">
        <v>1.78829895818646</v>
      </c>
      <c r="E7" s="557" t="n">
        <v>1.57370308320408</v>
      </c>
      <c r="F7" s="557" t="n">
        <v>1.3114192360034</v>
      </c>
      <c r="G7" s="557" t="n">
        <v>1.12407363086006</v>
      </c>
      <c r="H7" s="442" t="n">
        <v>0.983564427002552</v>
      </c>
    </row>
    <row r="8" ht="15" customHeight="1" s="307">
      <c r="A8" s="556" t="n">
        <v>0.8</v>
      </c>
      <c r="B8" s="440" t="n">
        <v>3.33738885794294</v>
      </c>
      <c r="C8" s="557" t="n">
        <v>2.50304164345721</v>
      </c>
      <c r="D8" s="557" t="n">
        <v>2.27549240314291</v>
      </c>
      <c r="E8" s="557" t="n">
        <v>2.00243331476577</v>
      </c>
      <c r="F8" s="557" t="n">
        <v>1.66869442897147</v>
      </c>
      <c r="G8" s="557" t="n">
        <v>1.43030951054698</v>
      </c>
      <c r="H8" s="557" t="n">
        <v>1.2515208217286</v>
      </c>
    </row>
    <row r="9" ht="15" customHeight="1" s="307">
      <c r="A9" s="556" t="n">
        <v>0.85</v>
      </c>
      <c r="B9" s="440" t="n">
        <v>4.36912558168472</v>
      </c>
      <c r="C9" s="440" t="n">
        <v>3.27684418626354</v>
      </c>
      <c r="D9" s="557" t="n">
        <v>2.97894926023958</v>
      </c>
      <c r="E9" s="558" t="n">
        <v>2.62147534901083</v>
      </c>
      <c r="F9" s="557" t="n">
        <v>2.18456279084236</v>
      </c>
      <c r="G9" s="557" t="n">
        <v>1.87248239215059</v>
      </c>
      <c r="H9" s="557" t="n">
        <v>1.63842209313177</v>
      </c>
    </row>
    <row r="10" ht="15" customHeight="1" s="307">
      <c r="A10" s="556" t="n">
        <v>0.9</v>
      </c>
      <c r="B10" s="440" t="n">
        <v>5.90229294373627</v>
      </c>
      <c r="C10" s="440" t="n">
        <v>4.42671970780221</v>
      </c>
      <c r="D10" s="440" t="n">
        <v>4.02429064345655</v>
      </c>
      <c r="E10" s="440" t="n">
        <v>3.54137576624176</v>
      </c>
      <c r="F10" s="557" t="n">
        <v>2.95114647186814</v>
      </c>
      <c r="G10" s="557" t="n">
        <v>2.52955411874412</v>
      </c>
      <c r="H10" s="557" t="n">
        <v>2.2133598539011</v>
      </c>
    </row>
    <row r="11" ht="15" customHeight="1" s="307">
      <c r="A11" s="556" t="n">
        <v>0.95</v>
      </c>
      <c r="B11" s="440" t="n">
        <v>8.23485795674339</v>
      </c>
      <c r="C11" s="440" t="n">
        <v>6.17614346755754</v>
      </c>
      <c r="D11" s="440" t="n">
        <v>5.61467587959776</v>
      </c>
      <c r="E11" s="440" t="n">
        <v>4.94091477404603</v>
      </c>
      <c r="F11" s="440" t="n">
        <v>4.11742897837169</v>
      </c>
      <c r="G11" s="440" t="n">
        <v>3.52922483860431</v>
      </c>
      <c r="H11" s="440" t="n">
        <v>3.08807173377877</v>
      </c>
    </row>
    <row r="12" ht="15" customHeight="1" s="307">
      <c r="A12" s="556" t="n">
        <v>1</v>
      </c>
      <c r="B12" s="440" t="n">
        <v>11.8461333333333</v>
      </c>
      <c r="C12" s="440" t="n">
        <v>8.884600000000001</v>
      </c>
      <c r="D12" s="440" t="n">
        <v>8.076909090909091</v>
      </c>
      <c r="E12" s="440" t="n">
        <v>7.10768</v>
      </c>
      <c r="F12" s="440" t="n">
        <v>5.92306666666667</v>
      </c>
      <c r="G12" s="440" t="n">
        <v>5.07691428571429</v>
      </c>
      <c r="H12" s="440" t="n">
        <v>4.4423</v>
      </c>
    </row>
    <row r="15" ht="15" customHeight="1" s="307">
      <c r="A15" s="311" t="inlineStr">
        <is>
          <t>DEAL-LEVEL IRR</t>
        </is>
      </c>
      <c r="B15" s="309" t="n"/>
      <c r="C15" s="309" t="n"/>
      <c r="D15" s="309" t="n"/>
      <c r="E15" s="309" t="n"/>
      <c r="F15" s="309" t="n"/>
      <c r="G15" s="309" t="n"/>
      <c r="H15" s="309" t="n"/>
    </row>
    <row r="16" ht="15" customHeight="1" s="307">
      <c r="A16" s="312" t="inlineStr">
        <is>
          <t>NDR \ Entry Multiple</t>
        </is>
      </c>
      <c r="B16" s="555" t="n">
        <v>0.75</v>
      </c>
      <c r="C16" s="555" t="n">
        <v>1</v>
      </c>
      <c r="D16" s="555" t="n">
        <v>1.1</v>
      </c>
      <c r="E16" s="555" t="n">
        <v>1.25</v>
      </c>
      <c r="F16" s="555" t="n">
        <v>1.5</v>
      </c>
      <c r="G16" s="555" t="n">
        <v>1.75</v>
      </c>
      <c r="H16" s="555" t="n">
        <v>2</v>
      </c>
    </row>
    <row r="17" ht="15" customHeight="1" s="307">
      <c r="A17" s="556" t="n">
        <v>0.7</v>
      </c>
      <c r="B17" s="559" t="n">
        <v>0.715107232005819</v>
      </c>
      <c r="C17" s="559" t="n">
        <v>0.294284085317356</v>
      </c>
      <c r="D17" s="560" t="n">
        <v>0.209625477854206</v>
      </c>
      <c r="E17" s="560" t="n">
        <v>0.11964174107067</v>
      </c>
      <c r="F17" s="560" t="n">
        <v>0.0234040686389115</v>
      </c>
      <c r="G17" s="561" t="n">
        <v>-0.0381413863540497</v>
      </c>
      <c r="H17" s="561" t="n">
        <v>-0.0813348951443931</v>
      </c>
    </row>
    <row r="18" ht="15" customHeight="1" s="307">
      <c r="A18" s="556" t="n">
        <v>0.75</v>
      </c>
      <c r="B18" s="559" t="n">
        <v>0.921878292954206</v>
      </c>
      <c r="C18" s="559" t="n">
        <v>0.423305625756277</v>
      </c>
      <c r="D18" s="559" t="n">
        <v>0.325275386940107</v>
      </c>
      <c r="E18" s="560" t="n">
        <v>0.221921993203705</v>
      </c>
      <c r="F18" s="560" t="n">
        <v>0.11238818022502</v>
      </c>
      <c r="G18" s="560" t="n">
        <v>0.0429228767511237</v>
      </c>
      <c r="H18" s="561" t="n">
        <v>-0.00553471790177018</v>
      </c>
    </row>
    <row r="19" ht="15" customHeight="1" s="307">
      <c r="A19" s="556" t="n">
        <v>0.8</v>
      </c>
      <c r="B19" s="559" t="n">
        <v>1.14596816118412</v>
      </c>
      <c r="C19" s="559" t="n">
        <v>0.558259992759498</v>
      </c>
      <c r="D19" s="559" t="n">
        <v>0.445420336602702</v>
      </c>
      <c r="E19" s="559" t="n">
        <v>0.32742424699472</v>
      </c>
      <c r="F19" s="560" t="n">
        <v>0.203500877760577</v>
      </c>
      <c r="G19" s="560" t="n">
        <v>0.125554112406268</v>
      </c>
      <c r="H19" s="560" t="n">
        <v>0.0715009968687407</v>
      </c>
    </row>
    <row r="20" ht="15" customHeight="1" s="307">
      <c r="A20" s="556" t="n">
        <v>0.85</v>
      </c>
      <c r="B20" s="559" t="n">
        <v>1.38936533970822</v>
      </c>
      <c r="C20" s="559" t="n">
        <v>0.69946067281447</v>
      </c>
      <c r="D20" s="559" t="n">
        <v>0.57024635381449</v>
      </c>
      <c r="E20" s="562" t="n">
        <v>0.436243533713976</v>
      </c>
      <c r="F20" s="559" t="n">
        <v>0.29677788936014</v>
      </c>
      <c r="G20" s="560" t="n">
        <v>0.209765331043524</v>
      </c>
      <c r="H20" s="560" t="n">
        <v>0.14977470436775</v>
      </c>
    </row>
    <row r="21" ht="15" customHeight="1" s="307">
      <c r="A21" s="556" t="n">
        <v>0.9</v>
      </c>
      <c r="B21" s="559" t="n">
        <v>1.65439225684279</v>
      </c>
      <c r="C21" s="559" t="n">
        <v>0.847249846267834</v>
      </c>
      <c r="D21" s="559" t="n">
        <v>0.699954700796305</v>
      </c>
      <c r="E21" s="559" t="n">
        <v>0.548482343075559</v>
      </c>
      <c r="F21" s="559" t="n">
        <v>0.392258543518732</v>
      </c>
      <c r="G21" s="559" t="n">
        <v>0.295572022363905</v>
      </c>
      <c r="H21" s="560" t="n">
        <v>0.229290886389679</v>
      </c>
    </row>
    <row r="22" ht="15" customHeight="1" s="307">
      <c r="A22" s="556" t="n">
        <v>0.95</v>
      </c>
      <c r="B22" s="559" t="n">
        <v>1.94377601323403</v>
      </c>
      <c r="C22" s="559" t="n">
        <v>1.00200080806274</v>
      </c>
      <c r="D22" s="559" t="n">
        <v>0.834762678682694</v>
      </c>
      <c r="E22" s="559" t="n">
        <v>0.664250682104001</v>
      </c>
      <c r="F22" s="559" t="n">
        <v>0.489985560186254</v>
      </c>
      <c r="G22" s="559" t="n">
        <v>0.382991905885215</v>
      </c>
      <c r="H22" s="559" t="n">
        <v>0.31005580206695</v>
      </c>
    </row>
    <row r="23" ht="15" customHeight="1" s="307">
      <c r="A23" s="556" t="n">
        <v>1</v>
      </c>
      <c r="B23" s="559" t="n">
        <v>2.26073836073997</v>
      </c>
      <c r="C23" s="559" t="n">
        <v>1.16412079983603</v>
      </c>
      <c r="D23" s="559" t="n">
        <v>0.9749046109471829</v>
      </c>
      <c r="E23" s="559" t="n">
        <v>0.7836662268446341</v>
      </c>
      <c r="F23" s="559" t="n">
        <v>0.590004905890665</v>
      </c>
      <c r="G23" s="559" t="n">
        <v>0.472044737287426</v>
      </c>
      <c r="H23" s="559" t="n">
        <v>0.392077289929049</v>
      </c>
    </row>
    <row r="26" ht="15" customHeight="1" s="307">
      <c r="A26" s="311" t="inlineStr">
        <is>
          <t>PURCHASE PRICE ($mm)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15" customHeight="1" s="307">
      <c r="A27" s="312" t="inlineStr">
        <is>
          <t>Entry Multiple</t>
        </is>
      </c>
      <c r="B27" s="555" t="n">
        <v>0.75</v>
      </c>
      <c r="C27" s="555" t="n">
        <v>1</v>
      </c>
      <c r="D27" s="555" t="n">
        <v>1.1</v>
      </c>
      <c r="E27" s="555" t="n">
        <v>1.25</v>
      </c>
      <c r="F27" s="555" t="n">
        <v>1.5</v>
      </c>
      <c r="G27" s="555" t="n">
        <v>1.75</v>
      </c>
      <c r="H27" s="555" t="n">
        <v>2</v>
      </c>
    </row>
    <row r="28" ht="15" customHeight="1" s="307">
      <c r="A28" s="314" t="inlineStr">
        <is>
          <t>$24M ARR</t>
        </is>
      </c>
      <c r="B28" s="563" t="n">
        <v>18</v>
      </c>
      <c r="C28" s="563" t="n">
        <v>24</v>
      </c>
      <c r="D28" s="563" t="n">
        <v>26.4</v>
      </c>
      <c r="E28" s="564" t="n">
        <v>30</v>
      </c>
      <c r="F28" s="563" t="n">
        <v>36</v>
      </c>
      <c r="G28" s="563" t="n">
        <v>42</v>
      </c>
      <c r="H28" s="563" t="n">
        <v>48</v>
      </c>
    </row>
    <row r="30" ht="15" customHeight="1" s="307">
      <c r="A30" s="311" t="inlineStr">
        <is>
          <t>15-YEAR DEAL ECONOMICS BY NDR</t>
        </is>
      </c>
      <c r="B30" s="309" t="n"/>
      <c r="C30" s="309" t="n"/>
      <c r="D30" s="309" t="n"/>
      <c r="E30" s="309" t="n"/>
      <c r="F30" s="309" t="n"/>
      <c r="G30" s="309" t="n"/>
      <c r="H30" s="309" t="n"/>
    </row>
    <row r="31" ht="15" customHeight="1" s="307">
      <c r="A31" s="312" t="n"/>
      <c r="B31" s="565" t="n">
        <v>0.7</v>
      </c>
      <c r="C31" s="565" t="n">
        <v>0.75</v>
      </c>
      <c r="D31" s="565" t="n">
        <v>0.8</v>
      </c>
      <c r="E31" s="565" t="n">
        <v>0.85</v>
      </c>
      <c r="F31" s="565" t="n">
        <v>0.9</v>
      </c>
      <c r="G31" s="565" t="n">
        <v>0.95</v>
      </c>
      <c r="H31" s="565" t="n">
        <v>1</v>
      </c>
    </row>
    <row r="32" ht="15" customHeight="1" s="307">
      <c r="A32" s="314" t="inlineStr">
        <is>
          <t>15Y Revenue ($mm)</t>
        </is>
      </c>
      <c r="B32" s="563" t="n">
        <v>67.9688860461448</v>
      </c>
      <c r="C32" s="563" t="n">
        <v>83.30115416020421</v>
      </c>
      <c r="D32" s="563" t="n">
        <v>104.737665738288</v>
      </c>
      <c r="E32" s="564" t="n">
        <v>135.689767450542</v>
      </c>
      <c r="F32" s="563" t="n">
        <v>181.684788312088</v>
      </c>
      <c r="G32" s="563" t="n">
        <v>251.661738702302</v>
      </c>
      <c r="H32" s="563" t="n">
        <v>360</v>
      </c>
    </row>
    <row r="33" ht="15" customHeight="1" s="307">
      <c r="A33" s="314" t="inlineStr">
        <is>
          <t>15Y NOI ($mm)</t>
        </is>
      </c>
      <c r="B33" s="563" t="n">
        <v>40.7813316276869</v>
      </c>
      <c r="C33" s="563" t="n">
        <v>49.9806924961225</v>
      </c>
      <c r="D33" s="563" t="n">
        <v>62.8425994429729</v>
      </c>
      <c r="E33" s="564" t="n">
        <v>81.41386047032491</v>
      </c>
      <c r="F33" s="563" t="n">
        <v>109.010872987253</v>
      </c>
      <c r="G33" s="563" t="n">
        <v>150.997043221381</v>
      </c>
      <c r="H33" s="563" t="n">
        <v>216</v>
      </c>
    </row>
    <row r="34" ht="15" customHeight="1" s="307">
      <c r="A34" s="314" t="inlineStr">
        <is>
          <t>15Y Cash ($mm)</t>
        </is>
      </c>
      <c r="B34" s="563" t="n">
        <v>38.0117316276869</v>
      </c>
      <c r="C34" s="563" t="n">
        <v>47.2110924961225</v>
      </c>
      <c r="D34" s="563" t="n">
        <v>60.0729994429729</v>
      </c>
      <c r="E34" s="564" t="n">
        <v>78.64426047032489</v>
      </c>
      <c r="F34" s="563" t="n">
        <v>106.241272987253</v>
      </c>
      <c r="G34" s="563" t="n">
        <v>148.227443221381</v>
      </c>
      <c r="H34" s="563" t="n">
        <v>213.2304</v>
      </c>
    </row>
    <row r="35" ht="15" customHeight="1" s="307">
      <c r="A35" s="314" t="inlineStr">
        <is>
          <t>MOIC (at 1.25x)</t>
        </is>
      </c>
      <c r="B35" s="557" t="n">
        <v>1.2670577209229</v>
      </c>
      <c r="C35" s="557" t="n">
        <v>1.57370308320408</v>
      </c>
      <c r="D35" s="557" t="n">
        <v>2.00243331476577</v>
      </c>
      <c r="E35" s="558" t="n">
        <v>2.62147534901083</v>
      </c>
      <c r="F35" s="440" t="n">
        <v>3.54137576624176</v>
      </c>
      <c r="G35" s="440" t="n">
        <v>4.94091477404603</v>
      </c>
      <c r="H35" s="440" t="n">
        <v>7.10768</v>
      </c>
    </row>
    <row r="36" ht="15" customHeight="1" s="307">
      <c r="A36" s="314" t="inlineStr">
        <is>
          <t>IRR (at 1.25x)</t>
        </is>
      </c>
      <c r="B36" s="560" t="n">
        <v>0.11964174107067</v>
      </c>
      <c r="C36" s="560" t="n">
        <v>0.221921993203705</v>
      </c>
      <c r="D36" s="559" t="n">
        <v>0.32742424699472</v>
      </c>
      <c r="E36" s="562" t="n">
        <v>0.436243533713976</v>
      </c>
      <c r="F36" s="559" t="n">
        <v>0.548482343075559</v>
      </c>
      <c r="G36" s="559" t="n">
        <v>0.664250682104001</v>
      </c>
      <c r="H36" s="559" t="n">
        <v>0.7836662268446341</v>
      </c>
    </row>
    <row r="39" ht="15" customHeight="1" s="307">
      <c r="A39" s="310" t="inlineStr">
        <is>
          <t>Green = target zone (3x+ MOIC, 25%+ IRR). Red = below water. Gold = base case.</t>
        </is>
      </c>
    </row>
    <row r="40" ht="15" customHeight="1" s="307">
      <c r="A40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2" customWidth="1" style="306" min="1" max="1"/>
    <col width="12" customWidth="1" style="306" min="2" max="13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471" t="inlineStr">
        <is>
          <t>FUND I  --  10-YEAR SENSITIVITY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6" t="n"/>
      <c r="O1" s="306" t="n"/>
      <c r="P1" s="306" t="n"/>
      <c r="Q1" s="306" t="n"/>
      <c r="R1" s="306" t="n"/>
      <c r="S1" s="306" t="n"/>
    </row>
    <row r="2" ht="15" customHeight="1" s="307">
      <c r="A2" s="593" t="inlineStr">
        <is>
          <t>$150M fund. 5 deals @ $24M ARR (No Recycle). Joint sensitivity on NDR x margin cap.</t>
        </is>
      </c>
      <c r="N2" s="306" t="n"/>
      <c r="O2" s="306" t="n"/>
      <c r="P2" s="306" t="n"/>
      <c r="Q2" s="306" t="n"/>
      <c r="R2" s="306" t="n"/>
      <c r="S2" s="306" t="n"/>
    </row>
    <row r="3" ht="15" customHeight="1" s="307">
      <c r="N3" s="306" t="n"/>
      <c r="O3" s="306" t="n"/>
      <c r="P3" s="306" t="n"/>
      <c r="Q3" s="306" t="n"/>
      <c r="R3" s="306" t="n"/>
      <c r="S3" s="306" t="n"/>
    </row>
    <row r="4" ht="15" customHeight="1" s="307">
      <c r="A4" s="325" t="inlineStr">
        <is>
          <t>10-YEAR DPI (LP MOIC)</t>
        </is>
      </c>
      <c r="B4" s="391" t="n"/>
      <c r="C4" s="391" t="n"/>
      <c r="D4" s="391" t="n"/>
      <c r="E4" s="391" t="n"/>
      <c r="F4" s="391" t="n"/>
      <c r="G4" s="391" t="n"/>
      <c r="H4" s="309" t="n"/>
      <c r="I4" s="309" t="n"/>
      <c r="J4" s="309" t="n"/>
      <c r="K4" s="309" t="n"/>
      <c r="L4" s="309" t="n"/>
      <c r="M4" s="309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72" t="inlineStr">
        <is>
          <t>NDR</t>
        </is>
      </c>
      <c r="B5" s="391" t="inlineStr">
        <is>
          <t>No Recycle (5 deals)</t>
        </is>
      </c>
      <c r="C5" s="391" t="inlineStr">
        <is>
          <t>50% Recycle (8 deals)</t>
        </is>
      </c>
      <c r="D5" s="391" t="inlineStr">
        <is>
          <t>100% Recycle (10 deals)</t>
        </is>
      </c>
      <c r="E5" s="504" t="n"/>
      <c r="F5" s="504" t="n"/>
      <c r="G5" s="504" t="n"/>
      <c r="N5" s="306" t="n"/>
      <c r="O5" s="306" t="n"/>
      <c r="P5" s="306" t="n"/>
      <c r="Q5" s="306" t="n"/>
      <c r="R5" s="306" t="n"/>
      <c r="S5" s="306" t="n"/>
    </row>
    <row r="6" ht="15" customHeight="1" s="307">
      <c r="A6" s="504" t="n">
        <v>0.8</v>
      </c>
      <c r="B6" s="358" t="n">
        <v>1.68633848020181</v>
      </c>
      <c r="C6" s="358" t="n">
        <v>2.30892629835148</v>
      </c>
      <c r="D6" s="358" t="n">
        <v>2.4658779994432</v>
      </c>
      <c r="E6" s="358" t="n"/>
      <c r="F6" s="358" t="n"/>
      <c r="G6" s="358" t="n"/>
      <c r="N6" s="306" t="n"/>
      <c r="O6" s="306" t="n"/>
      <c r="P6" s="306" t="n"/>
      <c r="Q6" s="306" t="n"/>
      <c r="R6" s="306" t="n"/>
      <c r="S6" s="306" t="n"/>
    </row>
    <row r="7" ht="15" customHeight="1" s="307">
      <c r="A7" s="504" t="n">
        <v>0.85</v>
      </c>
      <c r="B7" s="503" t="n">
        <v>2.18833274175009</v>
      </c>
      <c r="C7" s="503" t="n">
        <v>2.91240153360391</v>
      </c>
      <c r="D7" s="503" t="n">
        <v>3.11978676007793</v>
      </c>
      <c r="E7" s="354" t="n"/>
      <c r="F7" s="354" t="n"/>
      <c r="G7" s="354" t="n"/>
      <c r="N7" s="306" t="n"/>
      <c r="O7" s="306" t="n"/>
      <c r="P7" s="306" t="n"/>
      <c r="Q7" s="306" t="n"/>
      <c r="R7" s="306" t="n"/>
      <c r="S7" s="306" t="n"/>
    </row>
    <row r="8" ht="15" customHeight="1" s="307">
      <c r="A8" s="504" t="n">
        <v>0.9</v>
      </c>
      <c r="B8" s="358" t="n">
        <v>2.76818894624679</v>
      </c>
      <c r="C8" s="358" t="n">
        <v>3.61787505473747</v>
      </c>
      <c r="D8" s="358" t="n">
        <v>3.91454308280685</v>
      </c>
      <c r="E8" s="349" t="n"/>
      <c r="F8" s="349" t="n"/>
      <c r="G8" s="349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504" t="n">
        <v>0.95</v>
      </c>
      <c r="B9" s="358" t="n">
        <v>3.44375884785125</v>
      </c>
      <c r="C9" s="358" t="n">
        <v>4.49361379479581</v>
      </c>
      <c r="D9" s="358" t="n">
        <v>4.93805539412873</v>
      </c>
      <c r="E9" s="354" t="n"/>
      <c r="F9" s="354" t="n"/>
      <c r="G9" s="354" t="n"/>
      <c r="N9" s="306" t="n"/>
      <c r="O9" s="306" t="n"/>
      <c r="P9" s="306" t="n"/>
      <c r="Q9" s="306" t="n"/>
      <c r="R9" s="306" t="n"/>
      <c r="S9" s="306" t="n"/>
    </row>
    <row r="10" ht="15" customHeight="1" s="307">
      <c r="A10" s="504" t="n">
        <v>1</v>
      </c>
      <c r="B10" s="566" t="n">
        <v>4.28843474444444</v>
      </c>
      <c r="C10" s="566" t="n">
        <v>5.61516216444444</v>
      </c>
      <c r="D10" s="566" t="n">
        <v>6.26558333333334</v>
      </c>
      <c r="E10" s="354" t="n"/>
      <c r="F10" s="354" t="n"/>
      <c r="G10" s="354" t="n"/>
      <c r="N10" s="306" t="n"/>
      <c r="O10" s="306" t="n"/>
      <c r="P10" s="306" t="n"/>
      <c r="Q10" s="306" t="n"/>
      <c r="R10" s="306" t="n"/>
      <c r="S10" s="306" t="n"/>
    </row>
    <row r="11" ht="15" customHeight="1" s="307">
      <c r="A11" s="504" t="n">
        <v>1.05</v>
      </c>
      <c r="B11" s="566" t="n">
        <v>5.39266258287188</v>
      </c>
      <c r="C11" s="566" t="n">
        <v>7.05338561172306</v>
      </c>
      <c r="D11" s="566" t="n">
        <v>7.96049767841406</v>
      </c>
      <c r="E11" s="354" t="n"/>
      <c r="F11" s="354" t="n"/>
      <c r="G11" s="354" t="n"/>
      <c r="N11" s="306" t="n"/>
      <c r="O11" s="306" t="n"/>
      <c r="P11" s="306" t="n"/>
      <c r="Q11" s="306" t="n"/>
      <c r="R11" s="306" t="n"/>
      <c r="S11" s="306" t="n"/>
    </row>
    <row r="12" ht="15" customHeight="1" s="307">
      <c r="A12" s="321" t="n"/>
      <c r="B12" s="354" t="n"/>
      <c r="C12" s="354" t="n"/>
      <c r="D12" s="354" t="n"/>
      <c r="E12" s="354" t="n"/>
      <c r="F12" s="354" t="n"/>
      <c r="G12" s="354" t="n"/>
      <c r="N12" s="306" t="n"/>
      <c r="O12" s="306" t="n"/>
      <c r="P12" s="306" t="n"/>
      <c r="Q12" s="306" t="n"/>
      <c r="R12" s="306" t="n"/>
      <c r="S12" s="306" t="n"/>
    </row>
    <row r="13" ht="15" customHeight="1" s="307">
      <c r="A13" s="325" t="inlineStr">
        <is>
          <t>10-YEAR STAGED IRR</t>
        </is>
      </c>
      <c r="B13" s="567" t="n"/>
      <c r="C13" s="567" t="n"/>
      <c r="D13" s="567" t="n"/>
      <c r="E13" s="567" t="n"/>
      <c r="F13" s="567" t="n"/>
      <c r="G13" s="567" t="n"/>
      <c r="H13" s="309" t="n"/>
      <c r="I13" s="309" t="n"/>
      <c r="J13" s="309" t="n"/>
      <c r="K13" s="309" t="n"/>
      <c r="L13" s="309" t="n"/>
      <c r="M13" s="309" t="n"/>
      <c r="N13" s="306" t="n"/>
      <c r="O13" s="306" t="n"/>
      <c r="P13" s="306" t="n"/>
      <c r="Q13" s="306" t="n"/>
      <c r="R13" s="306" t="n"/>
      <c r="S13" s="306" t="n"/>
    </row>
    <row r="14" ht="15" customHeight="1" s="307">
      <c r="A14" s="472" t="inlineStr">
        <is>
          <t>NDR</t>
        </is>
      </c>
      <c r="B14" s="388" t="inlineStr">
        <is>
          <t>No Recycle (5 deals)</t>
        </is>
      </c>
      <c r="C14" s="388" t="inlineStr">
        <is>
          <t>50% Recycle (8 deals)</t>
        </is>
      </c>
      <c r="D14" s="388" t="inlineStr">
        <is>
          <t>100% Recycle (10 deals)</t>
        </is>
      </c>
      <c r="N14" s="306" t="n"/>
      <c r="O14" s="306" t="n"/>
      <c r="P14" s="306" t="n"/>
      <c r="Q14" s="306" t="n"/>
      <c r="R14" s="306" t="n"/>
      <c r="S14" s="306" t="n"/>
    </row>
    <row r="15" ht="15" customHeight="1" s="307">
      <c r="A15" s="504" t="n">
        <v>0.8</v>
      </c>
      <c r="B15" s="504" t="n">
        <v>0.179380954260117</v>
      </c>
      <c r="C15" s="504" t="n">
        <v>0.150627217720512</v>
      </c>
      <c r="D15" s="504" t="n">
        <v>0.10035117268075</v>
      </c>
      <c r="N15" s="306" t="n"/>
      <c r="O15" s="306" t="n"/>
      <c r="P15" s="306" t="n"/>
      <c r="Q15" s="306" t="n"/>
      <c r="R15" s="306" t="n"/>
      <c r="S15" s="306" t="n"/>
    </row>
    <row r="16" ht="15" customHeight="1" s="307">
      <c r="A16" s="504" t="n">
        <v>0.85</v>
      </c>
      <c r="B16" s="506" t="n">
        <v>0.272134814354736</v>
      </c>
      <c r="C16" s="506" t="n">
        <v>0.222741401814916</v>
      </c>
      <c r="D16" s="506" t="n">
        <v>0.164628201408313</v>
      </c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504" t="n">
        <v>0.9</v>
      </c>
      <c r="B17" s="504" t="n">
        <v>0.355054760825851</v>
      </c>
      <c r="C17" s="504" t="n">
        <v>0.289967559077893</v>
      </c>
      <c r="D17" s="504" t="n">
        <v>0.225598042560229</v>
      </c>
      <c r="N17" s="306" t="n"/>
      <c r="O17" s="306" t="n"/>
      <c r="P17" s="306" t="n"/>
      <c r="Q17" s="306" t="n"/>
      <c r="R17" s="306" t="n"/>
      <c r="S17" s="306" t="n"/>
    </row>
    <row r="18" ht="15" customHeight="1" s="307">
      <c r="A18" s="504" t="n">
        <v>0.95</v>
      </c>
      <c r="B18" s="504" t="n">
        <v>0.43109509900371</v>
      </c>
      <c r="C18" s="504" t="n">
        <v>0.355893622969821</v>
      </c>
      <c r="D18" s="504" t="n">
        <v>0.286560575834903</v>
      </c>
      <c r="N18" s="306" t="n"/>
      <c r="O18" s="306" t="n"/>
      <c r="P18" s="306" t="n"/>
      <c r="Q18" s="306" t="n"/>
      <c r="R18" s="306" t="n"/>
      <c r="S18" s="306" t="n"/>
    </row>
    <row r="19" ht="15" customHeight="1" s="307">
      <c r="A19" s="504" t="n">
        <v>1</v>
      </c>
      <c r="B19" s="568" t="n">
        <v>0.505982684418565</v>
      </c>
      <c r="C19" s="568" t="n">
        <v>0.42144926941834</v>
      </c>
      <c r="D19" s="568" t="n">
        <v>0.347525867749814</v>
      </c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504" t="n">
        <v>1.05</v>
      </c>
      <c r="B20" s="568" t="n">
        <v>0.580934587899852</v>
      </c>
      <c r="C20" s="568" t="n">
        <v>0.487124241450677</v>
      </c>
      <c r="D20" s="568" t="n">
        <v>0.408501871579639</v>
      </c>
      <c r="N20" s="306" t="n"/>
      <c r="O20" s="306" t="n"/>
      <c r="P20" s="306" t="n"/>
      <c r="Q20" s="306" t="n"/>
      <c r="R20" s="306" t="n"/>
      <c r="S20" s="306" t="n"/>
    </row>
    <row r="21" ht="15" customHeight="1" s="307">
      <c r="N21" s="306" t="n"/>
      <c r="O21" s="306" t="n"/>
      <c r="P21" s="306" t="n"/>
      <c r="Q21" s="306" t="n"/>
      <c r="R21" s="306" t="n"/>
      <c r="S21" s="306" t="n"/>
    </row>
    <row r="22" ht="15" customHeight="1" s="307">
      <c r="A22" s="325" t="inlineStr">
        <is>
          <t>15-YEAR DPI (LP MOIC)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472" t="inlineStr">
        <is>
          <t>NDR</t>
        </is>
      </c>
      <c r="B23" s="388" t="inlineStr">
        <is>
          <t>No Recycle (5 deals)</t>
        </is>
      </c>
      <c r="C23" s="388" t="inlineStr">
        <is>
          <t>50% Recycle (8 deals)</t>
        </is>
      </c>
      <c r="D23" s="388" t="inlineStr">
        <is>
          <t>100% Recycle (10 deals)</t>
        </is>
      </c>
      <c r="N23" s="306" t="n"/>
      <c r="O23" s="306" t="n"/>
      <c r="P23" s="306" t="n"/>
      <c r="Q23" s="306" t="n"/>
      <c r="R23" s="306" t="n"/>
      <c r="S23" s="306" t="n"/>
    </row>
    <row r="24" ht="15" customHeight="1" s="307">
      <c r="A24" s="504" t="n">
        <v>0.8</v>
      </c>
      <c r="B24" s="358" t="n">
        <v>1.69106698661687</v>
      </c>
      <c r="C24" s="358" t="n">
        <v>2.43244530953172</v>
      </c>
      <c r="D24" s="358" t="n">
        <v>2.69951604526408</v>
      </c>
      <c r="N24" s="306" t="n"/>
      <c r="O24" s="306" t="n"/>
      <c r="P24" s="306" t="n"/>
      <c r="Q24" s="306" t="n"/>
      <c r="R24" s="306" t="n"/>
      <c r="S24" s="306" t="n"/>
    </row>
    <row r="25" ht="15" customHeight="1" s="307">
      <c r="A25" s="504" t="n">
        <v>0.85</v>
      </c>
      <c r="B25" s="503" t="n">
        <v>2.34787321130789</v>
      </c>
      <c r="C25" s="503" t="n">
        <v>3.43138563821612</v>
      </c>
      <c r="D25" s="503" t="n">
        <v>3.84059905560255</v>
      </c>
      <c r="N25" s="306" t="n"/>
      <c r="O25" s="306" t="n"/>
      <c r="P25" s="306" t="n"/>
      <c r="Q25" s="306" t="n"/>
      <c r="R25" s="306" t="n"/>
      <c r="S25" s="306" t="n"/>
    </row>
    <row r="26" ht="15" customHeight="1" s="307">
      <c r="A26" s="504" t="n">
        <v>0.9</v>
      </c>
      <c r="B26" s="358" t="n">
        <v>3.39315890233367</v>
      </c>
      <c r="C26" s="358" t="n">
        <v>4.76780893336679</v>
      </c>
      <c r="D26" s="358" t="n">
        <v>5.26209825691763</v>
      </c>
      <c r="N26" s="306" t="n"/>
      <c r="O26" s="306" t="n"/>
      <c r="P26" s="306" t="n"/>
      <c r="Q26" s="306" t="n"/>
      <c r="R26" s="306" t="n"/>
      <c r="S26" s="306" t="n"/>
    </row>
    <row r="27" ht="15" customHeight="1" s="307">
      <c r="A27" s="504" t="n">
        <v>0.95</v>
      </c>
      <c r="B27" s="358" t="n">
        <v>4.77120023174719</v>
      </c>
      <c r="C27" s="358" t="n">
        <v>6.54276735643759</v>
      </c>
      <c r="D27" s="358" t="n">
        <v>7.45647666430149</v>
      </c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504" t="n">
        <v>1</v>
      </c>
      <c r="B28" s="566" t="n">
        <v>6.62676807777778</v>
      </c>
      <c r="C28" s="566" t="n">
        <v>9.153495497777779</v>
      </c>
      <c r="D28" s="566" t="n">
        <v>10.6039166666667</v>
      </c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504" t="n">
        <v>1.05</v>
      </c>
      <c r="B29" s="566" t="n">
        <v>9.46966031371637</v>
      </c>
      <c r="C29" s="566" t="n">
        <v>13.0942832301705</v>
      </c>
      <c r="D29" s="566" t="n">
        <v>15.337604982159</v>
      </c>
      <c r="N29" s="306" t="n"/>
      <c r="O29" s="306" t="n"/>
      <c r="P29" s="306" t="n"/>
      <c r="Q29" s="306" t="n"/>
      <c r="R29" s="306" t="n"/>
      <c r="S29" s="306" t="n"/>
    </row>
    <row r="30" ht="15" customHeight="1" s="307"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25" t="inlineStr">
        <is>
          <t>PAYBACK (MONTHS)</t>
        </is>
      </c>
      <c r="B31" s="309" t="n"/>
      <c r="C31" s="309" t="n"/>
      <c r="D31" s="309" t="n"/>
      <c r="E31" s="309" t="n"/>
      <c r="F31" s="309" t="n"/>
      <c r="G31" s="309" t="n"/>
      <c r="H31" s="309" t="n"/>
      <c r="I31" s="309" t="n"/>
      <c r="J31" s="309" t="n"/>
      <c r="K31" s="309" t="n"/>
      <c r="L31" s="309" t="n"/>
      <c r="M31" s="309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472" t="inlineStr">
        <is>
          <t>NDR</t>
        </is>
      </c>
      <c r="B32" s="388" t="inlineStr">
        <is>
          <t>No Recycle (5 deals)</t>
        </is>
      </c>
      <c r="C32" s="388" t="inlineStr">
        <is>
          <t>50% Recycle (8 deals)</t>
        </is>
      </c>
      <c r="D32" s="388" t="inlineStr">
        <is>
          <t>100% Recycle (10 deals)</t>
        </is>
      </c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504" t="n">
        <v>0.8</v>
      </c>
      <c r="B33" s="349" t="n">
        <v>47</v>
      </c>
      <c r="C33" s="349" t="n">
        <v>50</v>
      </c>
      <c r="D33" s="349" t="n">
        <v>54</v>
      </c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504" t="n">
        <v>0.85</v>
      </c>
      <c r="B34" s="508" t="n">
        <v>43</v>
      </c>
      <c r="C34" s="508" t="n">
        <v>47</v>
      </c>
      <c r="D34" s="508" t="n">
        <v>52</v>
      </c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504" t="n">
        <v>0.9</v>
      </c>
      <c r="B35" s="349" t="n">
        <v>40</v>
      </c>
      <c r="C35" s="349" t="n">
        <v>45</v>
      </c>
      <c r="D35" s="349" t="n">
        <v>50</v>
      </c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504" t="n">
        <v>0.95</v>
      </c>
      <c r="B36" s="349" t="n">
        <v>38</v>
      </c>
      <c r="C36" s="349" t="n">
        <v>43</v>
      </c>
      <c r="D36" s="349" t="n">
        <v>49</v>
      </c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504" t="n">
        <v>1</v>
      </c>
      <c r="B37" s="349" t="n">
        <v>35</v>
      </c>
      <c r="C37" s="349" t="n">
        <v>42</v>
      </c>
      <c r="D37" s="349" t="n">
        <v>47</v>
      </c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504" t="n">
        <v>1.05</v>
      </c>
      <c r="B38" s="349" t="n">
        <v>34</v>
      </c>
      <c r="C38" s="349" t="n">
        <v>41</v>
      </c>
      <c r="D38" s="349" t="n">
        <v>46</v>
      </c>
      <c r="N38" s="306" t="n"/>
      <c r="O38" s="306" t="n"/>
      <c r="P38" s="306" t="n"/>
      <c r="Q38" s="306" t="n"/>
      <c r="R38" s="306" t="n"/>
      <c r="S38" s="306" t="n"/>
    </row>
    <row r="39" ht="15" customHeight="1" s="307">
      <c r="N39" s="306" t="n"/>
      <c r="O39" s="306" t="n"/>
      <c r="P39" s="306" t="n"/>
      <c r="Q39" s="306" t="n"/>
      <c r="R39" s="306" t="n"/>
      <c r="S39" s="306" t="n"/>
    </row>
    <row r="40" ht="15" customHeight="1" s="307">
      <c r="A40" s="325" t="inlineStr">
        <is>
          <t>$5M LP  --  10Y CASH BACK</t>
        </is>
      </c>
      <c r="B40" s="309" t="n"/>
      <c r="C40" s="309" t="n"/>
      <c r="D40" s="309" t="n"/>
      <c r="E40" s="309" t="n"/>
      <c r="F40" s="309" t="n"/>
      <c r="G40" s="309" t="n"/>
      <c r="H40" s="309" t="n"/>
      <c r="I40" s="309" t="n"/>
      <c r="J40" s="309" t="n"/>
      <c r="K40" s="309" t="n"/>
      <c r="L40" s="309" t="n"/>
      <c r="M40" s="309" t="n"/>
      <c r="N40" s="306" t="n"/>
      <c r="O40" s="306" t="n"/>
      <c r="P40" s="306" t="n"/>
      <c r="Q40" s="306" t="n"/>
      <c r="R40" s="306" t="n"/>
      <c r="S40" s="306" t="n"/>
    </row>
    <row r="41" ht="15" customHeight="1" s="307">
      <c r="A41" s="472" t="inlineStr">
        <is>
          <t>NDR</t>
        </is>
      </c>
      <c r="B41" s="388" t="inlineStr">
        <is>
          <t>No Recycle (5 deals)</t>
        </is>
      </c>
      <c r="C41" s="388" t="inlineStr">
        <is>
          <t>50% Recycle (8 deals)</t>
        </is>
      </c>
      <c r="D41" s="388" t="inlineStr">
        <is>
          <t>100% Recycle (10 deals)</t>
        </is>
      </c>
      <c r="N41" s="306" t="n"/>
      <c r="O41" s="306" t="n"/>
      <c r="P41" s="306" t="n"/>
      <c r="Q41" s="306" t="n"/>
      <c r="R41" s="306" t="n"/>
      <c r="S41" s="306" t="n"/>
    </row>
    <row r="42" ht="15" customHeight="1" s="307">
      <c r="A42" s="648" t="inlineStr">
        <is>
          <t>JOINT SENSITIVITY:  NDR x MARGIN CAP   (No Recycle, 5 deals, $24M ARR each)</t>
        </is>
      </c>
      <c r="B42" s="649" t="n">
        <v>8.431692401009039</v>
      </c>
      <c r="C42" s="649" t="n">
        <v>11.5446314917574</v>
      </c>
      <c r="D42" s="649" t="n">
        <v>12.329389997216</v>
      </c>
      <c r="E42" s="650" t="n"/>
      <c r="F42" s="650" t="n"/>
      <c r="G42" s="650" t="n"/>
      <c r="H42" s="650" t="n"/>
      <c r="I42" s="650" t="n"/>
      <c r="N42" s="306" t="n"/>
      <c r="O42" s="306" t="n"/>
      <c r="P42" s="306" t="n"/>
      <c r="Q42" s="306" t="n"/>
      <c r="R42" s="306" t="n"/>
      <c r="S42" s="306" t="n"/>
    </row>
    <row r="43" ht="15" customHeight="1" s="307">
      <c r="A43" s="651" t="inlineStr">
        <is>
          <t>Closed-form approximation: revenue = 120 x NDR^(t-1); var costs 21%; fixed $11.5M/yr team comp + $13M Y1-2 legacy; bonus = max(0, EBITDA - margin_cap x revenue); LP gets RoC + 10% pref + 80% of profit (Tier 2).</t>
        </is>
      </c>
      <c r="B43" s="570" t="n">
        <v>10.9416637087504</v>
      </c>
      <c r="C43" s="570" t="n">
        <v>14.5620076680195</v>
      </c>
      <c r="D43" s="570" t="n">
        <v>15.5989338003896</v>
      </c>
      <c r="N43" s="306" t="n"/>
      <c r="O43" s="306" t="n"/>
      <c r="P43" s="306" t="n"/>
      <c r="Q43" s="306" t="n"/>
      <c r="R43" s="306" t="n"/>
      <c r="S43" s="306" t="n"/>
    </row>
    <row r="44" ht="15" customHeight="1" s="307">
      <c r="A44" s="651" t="inlineStr">
        <is>
          <t>Highlighted: GP stated case (NDR=0.85, m=62.5%). Cells = 15Y LP DPI.</t>
        </is>
      </c>
      <c r="B44" s="569" t="n">
        <v>13.8409447312339</v>
      </c>
      <c r="C44" s="569" t="n">
        <v>18.0893752736874</v>
      </c>
      <c r="D44" s="569" t="n">
        <v>19.5727154140343</v>
      </c>
      <c r="N44" s="306" t="n"/>
      <c r="O44" s="306" t="n"/>
      <c r="P44" s="306" t="n"/>
      <c r="Q44" s="306" t="n"/>
      <c r="R44" s="306" t="n"/>
      <c r="S44" s="306" t="n"/>
    </row>
    <row r="45" ht="15" customHeight="1" s="307">
      <c r="A45" s="652" t="inlineStr">
        <is>
          <t>Margin cap \ NDR</t>
        </is>
      </c>
      <c r="B45" s="653" t="n">
        <v>0.7</v>
      </c>
      <c r="C45" s="653" t="n">
        <v>0.8</v>
      </c>
      <c r="D45" s="653" t="n">
        <v>0.85</v>
      </c>
      <c r="E45" s="653" t="n">
        <v>0.9</v>
      </c>
      <c r="F45" s="653" t="n">
        <v>0.95</v>
      </c>
      <c r="G45" s="653" t="n">
        <v>1</v>
      </c>
      <c r="N45" s="306" t="n"/>
      <c r="O45" s="306" t="n"/>
      <c r="P45" s="306" t="n"/>
      <c r="Q45" s="306" t="n"/>
      <c r="R45" s="306" t="n"/>
      <c r="S45" s="306" t="n"/>
    </row>
    <row r="46" ht="15" customHeight="1" s="307">
      <c r="A46" s="654" t="n">
        <v>0.5</v>
      </c>
      <c r="B46" s="655">
        <f>(MIN(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Assumptions'!$B$116)),150) + MIN(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Assumptions'!$B$116))-150),30) + '1. Press Assumptions'!$B$40*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Assumptions'!$B$116))-180))/150</f>
        <v/>
      </c>
      <c r="C46" s="655">
        <f>(MIN(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Assumptions'!$B$116)),150) + MIN(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Assumptions'!$B$116))-150),30) + '1. Press Assumptions'!$B$40*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Assumptions'!$B$116))-180))/150</f>
        <v/>
      </c>
      <c r="D46" s="655">
        <f>(MIN(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Assumptions'!$B$116)),150) + MIN(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Assumptions'!$B$116))-150),30) + '1. Press Assumptions'!$B$40*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Assumptions'!$B$116))-180))/150</f>
        <v/>
      </c>
      <c r="E46" s="656">
        <f>(MIN(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Assumptions'!$B$116)),150) + MIN(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Assumptions'!$B$116))-150),30) + '1. Press Assumptions'!$B$40*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Assumptions'!$B$116))-180))/150</f>
        <v/>
      </c>
      <c r="F46" s="656">
        <f>(MIN(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Assumptions'!$B$116)),150) + MIN(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Assumptions'!$B$116))-150),30) + '1. Press Assumptions'!$B$40*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Assumptions'!$B$116))-180))/150</f>
        <v/>
      </c>
      <c r="G46" s="656">
        <f>(MIN(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Assumptions'!$B$116)),150) + MIN(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Assumptions'!$B$116))-150),30) + '1. Press Assumptions'!$B$40*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Assumptions'!$B$116))-180))/150</f>
        <v/>
      </c>
      <c r="N46" s="306" t="n"/>
      <c r="O46" s="306" t="n"/>
      <c r="P46" s="306" t="n"/>
      <c r="Q46" s="306" t="n"/>
      <c r="R46" s="306" t="n"/>
      <c r="S46" s="306" t="n"/>
    </row>
    <row r="47" ht="15" customHeight="1" s="307">
      <c r="A47" s="654" t="n">
        <v>0.55</v>
      </c>
      <c r="B47" s="655">
        <f>(MIN(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Assumptions'!$B$116)),150) + MIN(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Assumptions'!$B$116))-150),30) + '1. Press Assumptions'!$B$40*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Assumptions'!$B$116))-180))/150</f>
        <v/>
      </c>
      <c r="C47" s="655">
        <f>(MIN(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Assumptions'!$B$116)),150) + MIN(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Assumptions'!$B$116))-150),30) + '1. Press Assumptions'!$B$40*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Assumptions'!$B$116))-180))/150</f>
        <v/>
      </c>
      <c r="D47" s="655">
        <f>(MIN(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Assumptions'!$B$116)),150) + MIN(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Assumptions'!$B$116))-150),30) + '1. Press Assumptions'!$B$40*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Assumptions'!$B$116))-180))/150</f>
        <v/>
      </c>
      <c r="E47" s="656">
        <f>(MIN(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Assumptions'!$B$116)),150) + MIN(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Assumptions'!$B$116))-150),30) + '1. Press Assumptions'!$B$40*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Assumptions'!$B$116))-180))/150</f>
        <v/>
      </c>
      <c r="F47" s="656">
        <f>(MIN(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Assumptions'!$B$116)),150) + MIN(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Assumptions'!$B$116))-150),30) + '1. Press Assumptions'!$B$40*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Assumptions'!$B$116))-180))/150</f>
        <v/>
      </c>
      <c r="G47" s="656">
        <f>(MIN(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Assumptions'!$B$116)),150) + MIN(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Assumptions'!$B$116))-150),30) + '1. Press Assumptions'!$B$40*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Assumptions'!$B$116))-180))/150</f>
        <v/>
      </c>
      <c r="N47" s="306" t="n"/>
      <c r="O47" s="306" t="n"/>
      <c r="P47" s="306" t="n"/>
      <c r="Q47" s="306" t="n"/>
      <c r="R47" s="306" t="n"/>
      <c r="S47" s="306" t="n"/>
    </row>
    <row r="48" ht="15" customHeight="1" s="307">
      <c r="A48" s="654" t="n">
        <v>0.6</v>
      </c>
      <c r="B48" s="656">
        <f>(MIN(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Assumptions'!$B$116)),150) + MIN(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Assumptions'!$B$116))-150),30) + '1. Press Assumptions'!$B$40*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Assumptions'!$B$116))-180))/150</f>
        <v/>
      </c>
      <c r="C48" s="656">
        <f>(MIN(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Assumptions'!$B$116)),150) + MIN(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Assumptions'!$B$116))-150),30) + '1. Press Assumptions'!$B$40*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Assumptions'!$B$116))-180))/150</f>
        <v/>
      </c>
      <c r="D48" s="656">
        <f>(MIN(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Assumptions'!$B$116)),150) + MIN(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Assumptions'!$B$116))-150),30) + '1. Press Assumptions'!$B$40*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Assumptions'!$B$116))-180))/150</f>
        <v/>
      </c>
      <c r="E48" s="656">
        <f>(MIN(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Assumptions'!$B$116)),150) + MIN(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Assumptions'!$B$116))-150),30) + '1. Press Assumptions'!$B$40*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Assumptions'!$B$116))-180))/150</f>
        <v/>
      </c>
      <c r="F48" s="656">
        <f>(MIN(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Assumptions'!$B$116)),150) + MIN(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Assumptions'!$B$116))-150),30) + '1. Press Assumptions'!$B$40*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Assumptions'!$B$116))-180))/150</f>
        <v/>
      </c>
      <c r="G48" s="656">
        <f>(MIN(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Assumptions'!$B$116)),150) + MIN(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Assumptions'!$B$116))-150),30) + '1. Press Assumptions'!$B$40*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Assumptions'!$B$116))-180))/150</f>
        <v/>
      </c>
      <c r="N48" s="306" t="n"/>
      <c r="O48" s="306" t="n"/>
      <c r="P48" s="306" t="n"/>
      <c r="Q48" s="306" t="n"/>
      <c r="R48" s="306" t="n"/>
      <c r="S48" s="306" t="n"/>
    </row>
    <row r="49" ht="15" customHeight="1" s="307">
      <c r="A49" s="654" t="n">
        <v>0.625</v>
      </c>
      <c r="B49" s="656">
        <f>(MIN(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Assumptions'!$B$116)),150) + MIN(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Assumptions'!$B$116))-150),30) + '1. Press Assumptions'!$B$40*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Assumptions'!$B$116))-180))/150</f>
        <v/>
      </c>
      <c r="C49" s="656">
        <f>(MIN(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Assumptions'!$B$116)),150) + MIN(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Assumptions'!$B$116))-150),30) + '1. Press Assumptions'!$B$40*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Assumptions'!$B$116))-180))/150</f>
        <v/>
      </c>
      <c r="D49" s="657">
        <f>(MIN(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Assumptions'!$B$116)),150) + MIN(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Assumptions'!$B$116))-150),30) + '1. Press Assumptions'!$B$40*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Assumptions'!$B$116))-180))/150</f>
        <v/>
      </c>
      <c r="E49" s="656">
        <f>(MIN(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Assumptions'!$B$116)),150) + MIN(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Assumptions'!$B$116))-150),30) + '1. Press Assumptions'!$B$40*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Assumptions'!$B$116))-180))/150</f>
        <v/>
      </c>
      <c r="F49" s="656">
        <f>(MIN(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Assumptions'!$B$116)),150) + MIN(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Assumptions'!$B$116))-150),30) + '1. Press Assumptions'!$B$40*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Assumptions'!$B$116))-180))/150</f>
        <v/>
      </c>
      <c r="G49" s="656">
        <f>(MIN(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Assumptions'!$B$116)),150) + MIN(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Assumptions'!$B$116))-150),30) + '1. Press Assumptions'!$B$40*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Assumptions'!$B$116))-180))/150</f>
        <v/>
      </c>
      <c r="N49" s="306" t="n"/>
      <c r="O49" s="306" t="n"/>
      <c r="P49" s="306" t="n"/>
      <c r="Q49" s="306" t="n"/>
      <c r="R49" s="306" t="n"/>
      <c r="S49" s="306" t="n"/>
    </row>
    <row r="50" ht="15" customHeight="1" s="307">
      <c r="A50" s="654" t="n">
        <v>0.7</v>
      </c>
      <c r="B50" s="656">
        <f>(MIN(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Assumptions'!$B$116)),150) + MIN(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Assumptions'!$B$116))-150),30) + '1. Press Assumptions'!$B$40*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Assumptions'!$B$116))-180))/150</f>
        <v/>
      </c>
      <c r="C50" s="656">
        <f>(MIN(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Assumptions'!$B$116)),150) + MIN(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Assumptions'!$B$116))-150),30) + '1. Press Assumptions'!$B$40*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Assumptions'!$B$116))-180))/150</f>
        <v/>
      </c>
      <c r="D50" s="656">
        <f>(MIN(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Assumptions'!$B$116)),150) + MIN(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Assumptions'!$B$116))-150),30) + '1. Press Assumptions'!$B$40*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Assumptions'!$B$116))-180))/150</f>
        <v/>
      </c>
      <c r="E50" s="656">
        <f>(MIN(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Assumptions'!$B$116)),150) + MIN(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Assumptions'!$B$116))-150),30) + '1. Press Assumptions'!$B$40*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Assumptions'!$B$116))-180))/150</f>
        <v/>
      </c>
      <c r="F50" s="656">
        <f>(MIN(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Assumptions'!$B$116)),150) + MIN(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Assumptions'!$B$116))-150),30) + '1. Press Assumptions'!$B$40*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Assumptions'!$B$116))-180))/150</f>
        <v/>
      </c>
      <c r="G50" s="656">
        <f>(MIN(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Assumptions'!$B$116)),150) + MIN(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Assumptions'!$B$116))-150),30) + '1. Press Assumptions'!$B$40*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Assumptions'!$B$116))-180))/150</f>
        <v/>
      </c>
    </row>
    <row r="51" ht="15" customHeight="1" s="307">
      <c r="A51" s="654" t="n">
        <v>0.8</v>
      </c>
      <c r="B51" s="656">
        <f>(MIN(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Assumptions'!$B$116)),150) + MIN(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Assumptions'!$B$116))-150),30) + '1. Press Assumptions'!$B$40*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Assumptions'!$B$116))-180))/150</f>
        <v/>
      </c>
      <c r="C51" s="656">
        <f>(MIN(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Assumptions'!$B$116)),150) + MIN(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Assumptions'!$B$116))-150),30) + '1. Press Assumptions'!$B$40*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Assumptions'!$B$116))-180))/150</f>
        <v/>
      </c>
      <c r="D51" s="656">
        <f>(MIN(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Assumptions'!$B$116)),150) + MIN(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Assumptions'!$B$116))-150),30) + '1. Press Assumptions'!$B$40*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Assumptions'!$B$116))-180))/150</f>
        <v/>
      </c>
      <c r="E51" s="656">
        <f>(MIN(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Assumptions'!$B$116)),150) + MIN(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Assumptions'!$B$116))-150),30) + '1. Press Assumptions'!$B$40*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Assumptions'!$B$116))-180))/150</f>
        <v/>
      </c>
      <c r="F51" s="656">
        <f>(MIN(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Assumptions'!$B$116)),150) + MIN(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Assumptions'!$B$116))-150),30) + '1. Press Assumptions'!$B$40*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Assumptions'!$B$116))-180))/150</f>
        <v/>
      </c>
      <c r="G51" s="656">
        <f>(MIN(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Assumptions'!$B$116)),150) + MIN(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Assumptions'!$B$116))-150),30) + '1. Press Assumptions'!$B$40*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Assumptions'!$B$116))-180))/150</f>
        <v/>
      </c>
    </row>
    <row r="53">
      <c r="A53" s="615" t="inlineStr">
        <is>
          <t>GP stated case (yellow): NDR=85%, margin=62.5% -&gt; see cell D48 result.</t>
        </is>
      </c>
    </row>
    <row r="54" ht="15" customHeight="1" s="307">
      <c r="A54" s="325" t="inlineStr">
        <is>
          <t>ENTRY MULTIPLE CEILING (30% 10Y IRR)</t>
        </is>
      </c>
      <c r="B54" s="309" t="n"/>
      <c r="C54" s="309" t="n"/>
      <c r="D54" s="309" t="n"/>
      <c r="E54" s="309" t="n"/>
      <c r="F54" s="309" t="n"/>
      <c r="G54" s="309" t="n"/>
    </row>
    <row r="55" ht="15" customHeight="1" s="307">
      <c r="A55" s="323" t="inlineStr">
        <is>
          <t>Maximum gross entry multiple to achieve 30% staged IRR at each DM level.</t>
        </is>
      </c>
    </row>
    <row r="56" ht="15" customHeight="1" s="307">
      <c r="A56" s="472" t="inlineStr">
        <is>
          <t>NDR \ NCA</t>
        </is>
      </c>
      <c r="B56" s="388" t="inlineStr">
        <is>
          <t>NCA 0%</t>
        </is>
      </c>
      <c r="C56" s="388" t="inlineStr">
        <is>
          <t>NCA 5%</t>
        </is>
      </c>
      <c r="D56" s="388" t="inlineStr">
        <is>
          <t>NCA 10%</t>
        </is>
      </c>
      <c r="E56" s="388" t="inlineStr">
        <is>
          <t>NCA 15%</t>
        </is>
      </c>
    </row>
    <row r="57" ht="15" customHeight="1" s="307">
      <c r="A57" s="504" t="n">
        <v>0.85</v>
      </c>
      <c r="B57" s="572" t="inlineStr">
        <is>
          <t>&gt;5.0x</t>
        </is>
      </c>
      <c r="C57" s="394" t="inlineStr">
        <is>
          <t>&gt;5.0x</t>
        </is>
      </c>
      <c r="D57" s="394" t="inlineStr">
        <is>
          <t>&gt;5.0x</t>
        </is>
      </c>
      <c r="E57" s="573" t="inlineStr">
        <is>
          <t>&gt;5.0x</t>
        </is>
      </c>
    </row>
    <row r="58" ht="15" customHeight="1" s="307">
      <c r="A58" s="504" t="n">
        <v>0.9</v>
      </c>
      <c r="B58" s="394" t="inlineStr">
        <is>
          <t>&gt;5.0x</t>
        </is>
      </c>
      <c r="C58" s="394" t="inlineStr">
        <is>
          <t>&gt;5.0x</t>
        </is>
      </c>
      <c r="D58" s="573" t="inlineStr">
        <is>
          <t>&gt;5.0x</t>
        </is>
      </c>
      <c r="E58" s="573" t="inlineStr">
        <is>
          <t>&gt;5.0x</t>
        </is>
      </c>
    </row>
    <row r="59" ht="15" customHeight="1" s="307">
      <c r="A59" s="504" t="n">
        <v>0.95</v>
      </c>
      <c r="B59" s="394" t="inlineStr">
        <is>
          <t>&gt;5.0x</t>
        </is>
      </c>
      <c r="C59" s="573" t="inlineStr">
        <is>
          <t>&gt;5.0x</t>
        </is>
      </c>
      <c r="D59" s="573" t="inlineStr">
        <is>
          <t>&gt;5.0x</t>
        </is>
      </c>
      <c r="E59" s="573" t="inlineStr">
        <is>
          <t>&gt;5.0x</t>
        </is>
      </c>
    </row>
    <row r="60" ht="15" customHeight="1" s="307">
      <c r="A60" s="504" t="n">
        <v>1</v>
      </c>
      <c r="B60" s="573" t="inlineStr">
        <is>
          <t>&gt;5.0x</t>
        </is>
      </c>
      <c r="C60" s="573" t="inlineStr">
        <is>
          <t>&gt;5.0x</t>
        </is>
      </c>
      <c r="D60" s="573" t="inlineStr">
        <is>
          <t>&gt;5.0x</t>
        </is>
      </c>
      <c r="E60" s="573" t="inlineStr">
        <is>
          <t>&gt;5.0x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What is the portfolio worth at Year 10 if sold?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 t="n">
        <v>32.5990565654739</v>
      </c>
      <c r="C5" s="354" t="n">
        <v>32.5990565654739</v>
      </c>
      <c r="D5" s="354" t="n">
        <v>32.5990565654739</v>
      </c>
      <c r="E5" s="354" t="n">
        <v>32.5990565654739</v>
      </c>
      <c r="F5" s="354" t="n">
        <v>32.5990565654739</v>
      </c>
    </row>
    <row r="6" ht="15" customHeight="1" s="307">
      <c r="A6" s="322" t="inlineStr">
        <is>
          <t>Exit Proceeds ($mm)</t>
        </is>
      </c>
      <c r="B6" s="570" t="n">
        <v>32.5990565654739</v>
      </c>
      <c r="C6" s="570" t="n">
        <v>48.8985848482109</v>
      </c>
      <c r="D6" s="570" t="n">
        <v>65.1981131309479</v>
      </c>
      <c r="E6" s="570" t="n">
        <v>81.4976414136848</v>
      </c>
      <c r="F6" s="570" t="n">
        <v>97.7971696964218</v>
      </c>
    </row>
    <row r="7" ht="15" customHeight="1" s="307">
      <c r="A7" s="321" t="inlineStr">
        <is>
          <t>10Y Cash Distributions ($mm)</t>
        </is>
      </c>
      <c r="B7" s="354" t="n">
        <v>328.249911262513</v>
      </c>
      <c r="C7" s="354" t="n">
        <v>328.249911262513</v>
      </c>
      <c r="D7" s="354" t="n">
        <v>328.249911262513</v>
      </c>
      <c r="E7" s="354" t="n">
        <v>328.249911262513</v>
      </c>
      <c r="F7" s="354" t="n">
        <v>328.249911262513</v>
      </c>
    </row>
    <row r="8" ht="15" customHeight="1" s="307">
      <c r="A8" s="322" t="inlineStr">
        <is>
          <t>Total LP Value ($mm)</t>
        </is>
      </c>
      <c r="B8" s="570" t="n">
        <v>354.329156514892</v>
      </c>
      <c r="C8" s="570" t="n">
        <v>367.368779141082</v>
      </c>
      <c r="D8" s="570" t="n">
        <v>380.408401767271</v>
      </c>
      <c r="E8" s="570" t="n">
        <v>393.448024393461</v>
      </c>
      <c r="F8" s="570" t="n">
        <v>406.48764701965</v>
      </c>
    </row>
    <row r="9" ht="15" customHeight="1" s="307">
      <c r="A9" s="322" t="inlineStr">
        <is>
          <t>Total LP MOIC</t>
        </is>
      </c>
      <c r="B9" s="503" t="n">
        <v>2.36219437676595</v>
      </c>
      <c r="C9" s="503" t="n">
        <v>2.44912519427388</v>
      </c>
      <c r="D9" s="503" t="n">
        <v>2.53605601178181</v>
      </c>
      <c r="E9" s="503" t="n">
        <v>2.62298682928974</v>
      </c>
      <c r="F9" s="503" t="n">
        <v>2.70991764679767</v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Closed-form 15Y DPI per scenario. Parametrized: NDR, margin cap, write-off %, exit multiple.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729">
        <f>= Closed-form stress is INDEPENDENT of Tab 1 B136 scenario (uses explicit NDR values per row).</f>
        <v/>
      </c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  <c r="G6" s="662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</f>
        <v/>
      </c>
      <c r="H6" s="638" t="inlineStr">
        <is>
          <t>NDR + margin from Tab 1; no zero deals; 2x exit.</t>
        </is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  <c r="G7" s="662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</f>
        <v/>
      </c>
      <c r="H7" s="638" t="inlineStr">
        <is>
          <t>NDR drops to 80%; everything else unchanged.</t>
        </is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  <c r="G8" s="662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</f>
        <v/>
      </c>
      <c r="H8" s="638" t="inlineStr">
        <is>
          <t>NDR drops to 75%.</t>
        </is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  <c r="G9" s="662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</f>
        <v/>
      </c>
      <c r="H9" s="638" t="inlineStr">
        <is>
          <t>Margin cap drops to 55% (deals leak vs underwriting).</t>
        </is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  <c r="G10" s="662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</f>
        <v/>
      </c>
      <c r="H10" s="638" t="inlineStr">
        <is>
          <t>One deal returns nothing; portfolio = 4 deals at $24M ARR.</t>
        </is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  <c r="G11" s="662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</f>
        <v/>
      </c>
      <c r="H11" s="638" t="inlineStr">
        <is>
          <t>Exit at 1.0x ARR instead of 2.0x.</t>
        </is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  <c r="G12" s="662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</f>
        <v/>
      </c>
      <c r="H12" s="638" t="inlineStr">
        <is>
          <t>NDR 80% + margin 55% + 1 write-off + 1.5x exit.</t>
        </is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  <c r="G13" s="662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</f>
        <v/>
      </c>
      <c r="H13" s="638" t="inlineStr">
        <is>
          <t>NDR 70% + margin 45% + 2 write-offs + 1x exit.</t>
        </is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(original model)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 t="n">
        <v>18.4882266439472</v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323" t="inlineStr">
        <is>
          <t>How 5 deals in 16 months gets done.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 t="n">
        <v>10.9416637087504</v>
      </c>
      <c r="C11" s="354" t="n">
        <v>11.7393660565395</v>
      </c>
      <c r="D11" s="441" t="n">
        <v>2.34787321130789</v>
      </c>
    </row>
    <row r="12" ht="15" customHeight="1" s="307">
      <c r="A12" s="394" t="inlineStr">
        <is>
          <t>$10mm</t>
        </is>
      </c>
      <c r="B12" s="354" t="n">
        <v>21.8833274175009</v>
      </c>
      <c r="C12" s="354" t="n">
        <v>23.4787321130789</v>
      </c>
      <c r="D12" s="441" t="n">
        <v>2.34787321130789</v>
      </c>
    </row>
    <row r="13" ht="15" customHeight="1" s="307">
      <c r="A13" s="394" t="inlineStr">
        <is>
          <t>$15mm</t>
        </is>
      </c>
      <c r="B13" s="354" t="n">
        <v>32.8249911262513</v>
      </c>
      <c r="C13" s="354" t="n">
        <v>35.2180981696184</v>
      </c>
      <c r="D13" s="441" t="n">
        <v>2.34787321130789</v>
      </c>
    </row>
    <row r="14" ht="15" customHeight="1" s="307">
      <c r="A14" s="394" t="inlineStr">
        <is>
          <t>$20mm</t>
        </is>
      </c>
      <c r="B14" s="354" t="n">
        <v>43.7666548350017</v>
      </c>
      <c r="C14" s="354" t="n">
        <v>46.9574642261578</v>
      </c>
      <c r="D14" s="441" t="n">
        <v>2.34787321130789</v>
      </c>
    </row>
    <row r="15" ht="15" customHeight="1" s="307">
      <c r="A15" s="394" t="inlineStr">
        <is>
          <t>$25mm</t>
        </is>
      </c>
      <c r="B15" s="354" t="n">
        <v>54.7083185437522</v>
      </c>
      <c r="C15" s="354" t="n">
        <v>58.6968302826973</v>
      </c>
      <c r="D15" s="441" t="n">
        <v>2.34787321130789</v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EXPECTED RESULTS BY SCENARIO (current displays the active Tab 1 B136 setting):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Bear (uniform 0.80 NDR -- downside):     NR=1.63x  R50=2.71x  R100=2.62x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(uniform 0.85 NDR -- LP base case): NR=2.27x  R50=3.89x  R100=3.84x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Bull (uniform 0.90 NDR -- upside):       NR=3.35x  R50=5.51x  R100=5.59x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LP IC underwrites at Base (0.85 NDR), No Recycle  =  expected ~2.27x DPI / ~18%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323" t="inlineStr">
        <is>
          <t>CEO/CFO at 50% pre-deal, full pay + catch-up at M7.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Shows retained cash accumulation and recycled deal deployment.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 t="n">
        <v>-1</v>
      </c>
      <c r="C5" s="354" t="n">
        <v>-2.6</v>
      </c>
      <c r="D5" s="354" t="n">
        <v>-1.2</v>
      </c>
      <c r="E5" s="354" t="n">
        <v>1.4</v>
      </c>
      <c r="F5" s="354" t="n">
        <v>9.6</v>
      </c>
      <c r="G5" s="354" t="n">
        <v>12.5</v>
      </c>
      <c r="H5" s="354" t="n">
        <v>15.8</v>
      </c>
      <c r="I5" s="354" t="n">
        <v>18.8</v>
      </c>
      <c r="J5" s="354" t="n">
        <v>22.7</v>
      </c>
      <c r="K5" s="354" t="n">
        <v>23.5</v>
      </c>
      <c r="L5" s="354" t="n">
        <v>25.6</v>
      </c>
      <c r="M5" s="354" t="n">
        <v>27.8</v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 t="n">
        <v>0</v>
      </c>
      <c r="C6" s="354" t="n">
        <v>0</v>
      </c>
      <c r="D6" s="354" t="n">
        <v>0</v>
      </c>
      <c r="E6" s="354" t="n">
        <v>0</v>
      </c>
      <c r="F6" s="354" t="n">
        <v>0</v>
      </c>
      <c r="G6" s="354" t="n">
        <v>0</v>
      </c>
      <c r="H6" s="354" t="n">
        <v>22.6</v>
      </c>
      <c r="I6" s="354" t="n">
        <v>22.6</v>
      </c>
      <c r="J6" s="354" t="n">
        <v>0</v>
      </c>
      <c r="K6" s="354" t="n">
        <v>22.6</v>
      </c>
      <c r="L6" s="354" t="n">
        <v>22.6</v>
      </c>
      <c r="M6" s="354" t="n">
        <v>20.2</v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 t="n">
        <v>-1</v>
      </c>
      <c r="C7" s="588" t="n">
        <v>-3.6</v>
      </c>
      <c r="D7" s="588" t="n">
        <v>-4.8</v>
      </c>
      <c r="E7" s="588" t="n">
        <v>-3.4</v>
      </c>
      <c r="F7" s="571" t="n">
        <v>6.3</v>
      </c>
      <c r="G7" s="571" t="n">
        <v>18.8</v>
      </c>
      <c r="H7" s="571" t="n">
        <v>12</v>
      </c>
      <c r="I7" s="571" t="n">
        <v>8.199999999999999</v>
      </c>
      <c r="J7" s="571" t="n">
        <v>30.9</v>
      </c>
      <c r="K7" s="571" t="n">
        <v>31.8</v>
      </c>
      <c r="L7" s="571" t="n">
        <v>34.8</v>
      </c>
      <c r="M7" s="571" t="n">
        <v>42.3</v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 outlineLevelCol="0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PLACEHOLDER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 outlineLevelCol="0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 outlineLevelCol="0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 outlineLevelCol="0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 outlineLevelCol="0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 outlineLevelCol="0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2026-05-29T12:50:11Z</dcterms:modified>
  <cp:revision>0</cp:revision>
</cp:coreProperties>
</file>