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. Press Assumptions" sheetId="1" state="visible" r:id="rId1"/>
    <sheet xmlns:r="http://schemas.openxmlformats.org/officeDocument/2006/relationships" name="2. LP Economics" sheetId="2" state="visible" r:id="rId2"/>
    <sheet xmlns:r="http://schemas.openxmlformats.org/officeDocument/2006/relationships" name="3. Deal Allocation" sheetId="3" state="visible" r:id="rId3"/>
    <sheet xmlns:r="http://schemas.openxmlformats.org/officeDocument/2006/relationships" name="4a. Annual P&amp;L (No Recycle)" sheetId="4" state="visible" r:id="rId4"/>
    <sheet xmlns:r="http://schemas.openxmlformats.org/officeDocument/2006/relationships" name="4b. Annual P&amp;L (Recycle)" sheetId="5" state="visible" r:id="rId5"/>
    <sheet xmlns:r="http://schemas.openxmlformats.org/officeDocument/2006/relationships" name="4g. Annual P&amp;L (100% Recycle)" sheetId="6" state="visible" r:id="rId6"/>
    <sheet xmlns:r="http://schemas.openxmlformats.org/officeDocument/2006/relationships" name="4c. Monthly P&amp;L (No Recycle)" sheetId="7" state="visible" r:id="rId7"/>
    <sheet xmlns:r="http://schemas.openxmlformats.org/officeDocument/2006/relationships" name="4d. Monthly P&amp;L (Recycle)" sheetId="8" state="visible" r:id="rId8"/>
    <sheet xmlns:r="http://schemas.openxmlformats.org/officeDocument/2006/relationships" name="4e. Quarterly P&amp;L (No Recycle)" sheetId="9" state="visible" r:id="rId9"/>
    <sheet xmlns:r="http://schemas.openxmlformats.org/officeDocument/2006/relationships" name="4f. Quarterly P&amp;L (Recycle)" sheetId="10" state="visible" r:id="rId10"/>
    <sheet xmlns:r="http://schemas.openxmlformats.org/officeDocument/2006/relationships" name="5a. WF Standard (No Recycle)" sheetId="11" state="visible" r:id="rId11"/>
    <sheet xmlns:r="http://schemas.openxmlformats.org/officeDocument/2006/relationships" name="5b. WF Standard (Recycle)" sheetId="12" state="visible" r:id="rId12"/>
    <sheet xmlns:r="http://schemas.openxmlformats.org/officeDocument/2006/relationships" name="5e. WF Standard (100% Recycle)" sheetId="13" state="visible" r:id="rId13"/>
    <sheet xmlns:r="http://schemas.openxmlformats.org/officeDocument/2006/relationships" name="5c. WF Escalating (No Recycle)" sheetId="14" state="visible" r:id="rId14"/>
    <sheet xmlns:r="http://schemas.openxmlformats.org/officeDocument/2006/relationships" name="5d. WF Escalating (Recycle)" sheetId="15" state="visible" r:id="rId15"/>
    <sheet xmlns:r="http://schemas.openxmlformats.org/officeDocument/2006/relationships" name="6. LP Returns Comparison" sheetId="16" state="visible" r:id="rId16"/>
    <sheet xmlns:r="http://schemas.openxmlformats.org/officeDocument/2006/relationships" name="7. Per-Deal Returns" sheetId="17" state="visible" r:id="rId17"/>
    <sheet xmlns:r="http://schemas.openxmlformats.org/officeDocument/2006/relationships" name="8. Investor Metrics" sheetId="18" state="visible" r:id="rId18"/>
    <sheet xmlns:r="http://schemas.openxmlformats.org/officeDocument/2006/relationships" name="9. Deal Detail" sheetId="19" state="visible" r:id="rId19"/>
    <sheet xmlns:r="http://schemas.openxmlformats.org/officeDocument/2006/relationships" name="10. Bid Sensitivity" sheetId="20" state="visible" r:id="rId20"/>
    <sheet xmlns:r="http://schemas.openxmlformats.org/officeDocument/2006/relationships" name="11. NDR Sensitivity" sheetId="21" state="visible" r:id="rId21"/>
    <sheet xmlns:r="http://schemas.openxmlformats.org/officeDocument/2006/relationships" name="12. Terminal Value" sheetId="22" state="visible" r:id="rId22"/>
    <sheet xmlns:r="http://schemas.openxmlformats.org/officeDocument/2006/relationships" name="13. Stress Test" sheetId="23" state="visible" r:id="rId23"/>
    <sheet xmlns:r="http://schemas.openxmlformats.org/officeDocument/2006/relationships" name="14. J-Curve" sheetId="24" state="visible" r:id="rId24"/>
    <sheet xmlns:r="http://schemas.openxmlformats.org/officeDocument/2006/relationships" name="15. Fee Drag" sheetId="25" state="visible" r:id="rId25"/>
    <sheet xmlns:r="http://schemas.openxmlformats.org/officeDocument/2006/relationships" name="16. Deal Pipeline" sheetId="26" state="visible" r:id="rId26"/>
    <sheet xmlns:r="http://schemas.openxmlformats.org/officeDocument/2006/relationships" name="17. Tax Efficiency" sheetId="27" state="visible" r:id="rId27"/>
    <sheet xmlns:r="http://schemas.openxmlformats.org/officeDocument/2006/relationships" name="18. Cap Table" sheetId="28" state="visible" r:id="rId28"/>
    <sheet xmlns:r="http://schemas.openxmlformats.org/officeDocument/2006/relationships" name="19. Sources &amp; Uses" sheetId="29" state="visible" r:id="rId29"/>
    <sheet xmlns:r="http://schemas.openxmlformats.org/officeDocument/2006/relationships" name="20. Quarterly Distributions" sheetId="30" state="visible" r:id="rId30"/>
    <sheet xmlns:r="http://schemas.openxmlformats.org/officeDocument/2006/relationships" name="21. Portfolio Dashboard" sheetId="31" state="visible" r:id="rId31"/>
    <sheet xmlns:r="http://schemas.openxmlformats.org/officeDocument/2006/relationships" name="22. Scenario Summary" sheetId="32" state="visible" r:id="rId32"/>
    <sheet xmlns:r="http://schemas.openxmlformats.org/officeDocument/2006/relationships" name="23. Fund OpBudget" sheetId="33" state="visible" r:id="rId33"/>
    <sheet xmlns:r="http://schemas.openxmlformats.org/officeDocument/2006/relationships" name="24. Benchmarks" sheetId="34" state="visible" r:id="rId34"/>
    <sheet xmlns:r="http://schemas.openxmlformats.org/officeDocument/2006/relationships" name="25. Recycling Waterfall" sheetId="35" state="visible" r:id="rId35"/>
    <sheet xmlns:r="http://schemas.openxmlformats.org/officeDocument/2006/relationships" name="26. Team Comp" sheetId="36" state="visible" r:id="rId36"/>
    <sheet xmlns:r="http://schemas.openxmlformats.org/officeDocument/2006/relationships" name="27. Governance" sheetId="37" state="visible" r:id="rId37"/>
    <sheet xmlns:r="http://schemas.openxmlformats.org/officeDocument/2006/relationships" name="28. GP Term Sheet Asks" sheetId="38" state="visible" r:id="rId38"/>
    <sheet xmlns:r="http://schemas.openxmlformats.org/officeDocument/2006/relationships" name="_Engine_NR" sheetId="39" state="visible" r:id="rId39"/>
    <sheet xmlns:r="http://schemas.openxmlformats.org/officeDocument/2006/relationships" name="_Engine_R50" sheetId="40" state="visible" r:id="rId40"/>
    <sheet xmlns:r="http://schemas.openxmlformats.org/officeDocument/2006/relationships" name="_Engine_R100" sheetId="41" state="visible" r:id="rId41"/>
    <sheet xmlns:r="http://schemas.openxmlformats.org/officeDocument/2006/relationships"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>
        <f>B35</f>
        <v/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</v>
      </c>
      <c r="C138" s="615" t="inlineStr">
        <is>
          <t>GP's own capital into the fund. Market norm: 1-5%.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2026-05-29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1.78232484278087</v>
      </c>
      <c r="C6" s="733" t="n">
        <v>2.53156387242081</v>
      </c>
      <c r="D6" s="733" t="n">
        <v>2.58451980066231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2.30187317042643</v>
      </c>
      <c r="C7" s="735" t="n">
        <v>3.27888628863997</v>
      </c>
      <c r="D7" s="735" t="n">
        <v>3.40442950888242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2.98069483555595</v>
      </c>
      <c r="C8" s="733" t="n">
        <v>4.25821521085723</v>
      </c>
      <c r="D8" s="733" t="n">
        <v>4.49143814549883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3.87386845337148</v>
      </c>
      <c r="C9" s="737" t="n">
        <v>5.55095825136247</v>
      </c>
      <c r="D9" s="737" t="n">
        <v>5.9581932717115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5.10602351838593</v>
      </c>
      <c r="C10" s="737" t="n">
        <v>7.27078680598019</v>
      </c>
      <c r="D10" s="737" t="n">
        <v>7.93393646028148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1.80528738979073</v>
      </c>
      <c r="C15" s="733" t="n">
        <v>2.8879010549986</v>
      </c>
      <c r="D15" s="733" t="n">
        <v>2.80314230481259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2.48527311118136</v>
      </c>
      <c r="C16" s="735" t="n">
        <v>4.01553948221907</v>
      </c>
      <c r="D16" s="735" t="n">
        <v>3.9910004232526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3.52102555554826</v>
      </c>
      <c r="C17" s="733" t="n">
        <v>5.54531735822649</v>
      </c>
      <c r="D17" s="733" t="n">
        <v>5.64235140380959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4.97311686535662</v>
      </c>
      <c r="C18" s="737" t="n">
        <v>7.71406493907682</v>
      </c>
      <c r="D18" s="737" t="n">
        <v>8.01617198847916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7.10602351838593</v>
      </c>
      <c r="C19" s="737" t="n">
        <v>10.8707868059802</v>
      </c>
      <c r="D19" s="737" t="n">
        <v>11.5339364602815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0.14048208748733</v>
      </c>
      <c r="C24" s="739" t="n">
        <v>0.1540061011164</v>
      </c>
      <c r="D24" s="739" t="n">
        <v>0.168964884799888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0.192586405338222</v>
      </c>
      <c r="C25" s="740" t="n">
        <v>0.195993939010259</v>
      </c>
      <c r="D25" s="740" t="n">
        <v>0.216650953313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0.241580905351722</v>
      </c>
      <c r="C26" s="739" t="n">
        <v>0.237837065676343</v>
      </c>
      <c r="D26" s="739" t="n">
        <v>0.263006747237215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0.289000896661183</v>
      </c>
      <c r="C27" s="741" t="n">
        <v>0.279752693922798</v>
      </c>
      <c r="D27" s="741" t="n">
        <v>0.309284416485556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0.336485670953644</v>
      </c>
      <c r="C28" s="741" t="n">
        <v>0.321733512056129</v>
      </c>
      <c r="D28" s="741" t="n">
        <v>0.355386924740137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0.14195022731478</v>
      </c>
      <c r="C33" s="739" t="n">
        <v>0.165092283489997</v>
      </c>
      <c r="D33" s="739" t="n">
        <v>0.175435659999825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0.198459653417471</v>
      </c>
      <c r="C34" s="740" t="n">
        <v>0.210291518388047</v>
      </c>
      <c r="D34" s="740" t="n">
        <v>0.22673540645567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0.251330532793206</v>
      </c>
      <c r="C35" s="739" t="n">
        <v>0.253996787902672</v>
      </c>
      <c r="D35" s="739" t="n">
        <v>0.275153954061414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0.30100045101736</v>
      </c>
      <c r="C36" s="741" t="n">
        <v>0.297638145751965</v>
      </c>
      <c r="D36" s="741" t="n">
        <v>0.323073426426439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0.350135768173704</v>
      </c>
      <c r="C37" s="741" t="n">
        <v>0.34145734022439</v>
      </c>
      <c r="D37" s="741" t="n">
        <v>0.37088460714346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Exit at 1.0x ARR instead of 2.0x.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2026-05-05T03:19:40Z</dcterms:created>
  <dcterms:modified xmlns:dcterms="http://purl.org/dc/terms/" xmlns:xsi="http://www.w3.org/2001/XMLSchema-instance" xsi:type="dcterms:W3CDTF">2026-05-29T14:07:57Z</dcterms:modified>
  <cp:revision>0</cp:revision>
</cp:coreProperties>
</file>