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. Press Assumptions" sheetId="1" state="visible" r:id="rId1"/>
    <sheet name="2. LP Economics" sheetId="2" state="visible" r:id="rId2"/>
    <sheet name="3. Deal Allocation" sheetId="3" state="visible" r:id="rId3"/>
    <sheet name="4a. Annual P&amp;L (No Recycle)" sheetId="4" state="visible" r:id="rId4"/>
    <sheet name="4b. Annual P&amp;L (Recycle)" sheetId="5" state="visible" r:id="rId5"/>
    <sheet name="4g. Annual P&amp;L (100% Recycle)" sheetId="6" state="visible" r:id="rId6"/>
    <sheet name="4c. Monthly P&amp;L (No Recycle)" sheetId="7" state="visible" r:id="rId7"/>
    <sheet name="4d. Monthly P&amp;L (Recycle)" sheetId="8" state="visible" r:id="rId8"/>
    <sheet name="4e. Quarterly P&amp;L (No Recycle)" sheetId="9" state="visible" r:id="rId9"/>
    <sheet name="4f. Quarterly P&amp;L (Recycle)" sheetId="10" state="visible" r:id="rId10"/>
    <sheet name="5a. WF Standard (No Recycle)" sheetId="11" state="visible" r:id="rId11"/>
    <sheet name="5b. WF Standard (Recycle)" sheetId="12" state="visible" r:id="rId12"/>
    <sheet name="5e. WF Standard (100% Recycle)" sheetId="13" state="visible" r:id="rId13"/>
    <sheet name="5c. WF Escalating (No Recycle)" sheetId="14" state="visible" r:id="rId14"/>
    <sheet name="5d. WF Escalating (Recycle)" sheetId="15" state="visible" r:id="rId15"/>
    <sheet name="6. LP Returns Comparison" sheetId="16" state="visible" r:id="rId16"/>
    <sheet name="7. Per-Deal Returns" sheetId="17" state="visible" r:id="rId17"/>
    <sheet name="8. Investor Metrics" sheetId="18" state="visible" r:id="rId18"/>
    <sheet name="9. Deal Detail" sheetId="19" state="visible" r:id="rId19"/>
    <sheet name="10. Bid Sensitivity" sheetId="20" state="visible" r:id="rId20"/>
    <sheet name="11. NDR Sensitivity" sheetId="21" state="visible" r:id="rId21"/>
    <sheet name="12. Terminal Value" sheetId="22" state="visible" r:id="rId22"/>
    <sheet name="13. Stress Test" sheetId="23" state="visible" r:id="rId23"/>
    <sheet name="14. J-Curve" sheetId="24" state="visible" r:id="rId24"/>
    <sheet name="15. Fee Drag" sheetId="25" state="visible" r:id="rId25"/>
    <sheet name="16. Deal Pipeline" sheetId="26" state="visible" r:id="rId26"/>
    <sheet name="17. Tax Efficiency" sheetId="27" state="visible" r:id="rId27"/>
    <sheet name="18. Cap Table" sheetId="28" state="visible" r:id="rId28"/>
    <sheet name="19. Sources &amp; Uses" sheetId="29" state="visible" r:id="rId29"/>
    <sheet name="20. Quarterly Distributions" sheetId="30" state="visible" r:id="rId30"/>
    <sheet name="21. Portfolio Dashboard" sheetId="31" state="visible" r:id="rId31"/>
    <sheet name="22. Scenario Summary" sheetId="32" state="visible" r:id="rId32"/>
    <sheet name="23. Fund OpBudget" sheetId="33" state="visible" r:id="rId33"/>
    <sheet name="24. Benchmarks" sheetId="34" state="visible" r:id="rId34"/>
    <sheet name="25. Recycling Waterfall" sheetId="35" state="visible" r:id="rId35"/>
    <sheet name="26. Team Comp" sheetId="36" state="visible" r:id="rId36"/>
    <sheet name="27. Governance" sheetId="37" state="visible" r:id="rId37"/>
    <sheet name="28. GP Term Sheet Asks" sheetId="38" state="visible" r:id="rId38"/>
    <sheet name="_Engine_NR" sheetId="39" state="visible" r:id="rId39"/>
    <sheet name="_Engine_R50" sheetId="40" state="visible" r:id="rId40"/>
    <sheet name="_Engine_R100" sheetId="41" state="visible" r:id="rId41"/>
    <sheet name="CHANGE LOG" sheetId="42" state="visible" r:id="rId4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7">
    <numFmt numFmtId="164" formatCode="\$#,##0"/>
    <numFmt numFmtId="165" formatCode="0.00\x"/>
    <numFmt numFmtId="166" formatCode="0.0%"/>
    <numFmt numFmtId="167" formatCode="0.0\x"/>
    <numFmt numFmtId="168" formatCode="\$#,##0.0"/>
    <numFmt numFmtId="169" formatCode="_(#,##0.0_);\(#,##0.0\)"/>
    <numFmt numFmtId="170" formatCode="#,##0.0"/>
    <numFmt numFmtId="171" formatCode="\(#,##0.0\)"/>
    <numFmt numFmtId="172" formatCode="\+0%;\-0%"/>
    <numFmt numFmtId="173" formatCode="\$#,##0&quot;mm&quot;"/>
    <numFmt numFmtId="174" formatCode="_(#,##0_);\(#,##0\)"/>
    <numFmt numFmtId="175" formatCode="0.00&quot;x&quot;"/>
    <numFmt numFmtId="176" formatCode="&quot;+$&quot;#,##0.0&quot;M understated&quot;"/>
    <numFmt numFmtId="177" formatCode="&quot;$&quot;#,##0"/>
    <numFmt numFmtId="178" formatCode="&quot;$&quot;#,##0.0"/>
    <numFmt numFmtId="179" formatCode="0.0&quot;x&quot;"/>
    <numFmt numFmtId="180" formatCode="&quot;$&quot;#,##0.0&quot;M&quot;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BE8A42"/>
      <sz val="8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2E7D5B"/>
      <sz val="10"/>
    </font>
    <font>
      <name val="Arial"/>
      <charset val="1"/>
      <family val="0"/>
      <color rgb="FFCC0000"/>
      <sz val="10"/>
    </font>
    <font>
      <name val="Arial"/>
      <charset val="1"/>
      <family val="0"/>
      <b val="1"/>
      <color rgb="FF1F3864"/>
      <sz val="9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0000"/>
      <sz val="9"/>
    </font>
    <font>
      <name val="Arial"/>
      <charset val="1"/>
      <family val="0"/>
      <b val="1"/>
      <color rgb="FF548235"/>
      <sz val="10"/>
    </font>
    <font>
      <name val="Arial"/>
      <charset val="1"/>
      <family val="0"/>
      <b val="1"/>
      <color rgb="FFBE8A42"/>
      <sz val="10"/>
    </font>
    <font>
      <name val="Arial"/>
      <charset val="1"/>
      <family val="0"/>
      <color rgb="FFFFFFFF"/>
      <sz val="10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i val="1"/>
      <color rgb="FF548235"/>
      <sz val="10"/>
    </font>
    <font>
      <name val="Arial"/>
      <charset val="1"/>
      <family val="0"/>
      <b val="1"/>
      <i val="1"/>
      <color rgb="FF595959"/>
      <sz val="10"/>
    </font>
    <font>
      <name val="Arial"/>
      <charset val="1"/>
      <family val="0"/>
      <b val="1"/>
      <i val="1"/>
      <color rgb="FFC00000"/>
      <sz val="10"/>
    </font>
    <font>
      <name val="Libre Franklin"/>
      <charset val="1"/>
      <family val="0"/>
      <b val="1"/>
      <color rgb="FFBE8A42"/>
      <sz val="11"/>
    </font>
    <font>
      <name val="Arial"/>
      <b val="1"/>
      <color rgb="00FFFFFF"/>
      <sz val="13"/>
    </font>
    <font>
      <name val="Arial"/>
      <color rgb="00888888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color rgb="00BE8A42"/>
      <sz val="8"/>
    </font>
    <font/>
    <font>
      <i val="1"/>
      <color rgb="FF888888"/>
    </font>
    <font>
      <b val="1"/>
      <color rgb="FF1F3864"/>
    </font>
    <font>
      <b val="1"/>
      <color rgb="FFFFFFFF"/>
    </font>
    <font>
      <b val="1"/>
    </font>
    <font>
      <b val="1"/>
      <color rgb="FF2E7D5B"/>
    </font>
    <font>
      <b val="1"/>
      <color rgb="FF0070C0"/>
    </font>
    <font>
      <b val="1"/>
      <color rgb="FFC00000"/>
    </font>
    <font>
      <b val="1"/>
      <color rgb="FFD68910"/>
    </font>
    <font>
      <b val="1"/>
      <i val="1"/>
      <color rgb="FF2E7D5B"/>
    </font>
    <font>
      <i val="1"/>
      <color rgb="FF2E7D5B"/>
    </font>
    <font>
      <color rgb="FF1F3864"/>
    </font>
    <font>
      <b val="1"/>
      <i val="1"/>
      <color rgb="FFC00000"/>
    </font>
    <font>
      <b val="1"/>
      <i val="1"/>
      <color rgb="FF1F3864"/>
    </font>
    <font>
      <b val="1"/>
      <i val="1"/>
      <color rgb="FF888888"/>
    </font>
  </fonts>
  <fills count="22">
    <fill>
      <patternFill/>
    </fill>
    <fill>
      <patternFill patternType="gray125"/>
    </fill>
    <fill>
      <patternFill patternType="solid">
        <fgColor rgb="FF1F3864"/>
        <bgColor rgb="FF0F2B5C"/>
      </patternFill>
    </fill>
    <fill>
      <patternFill patternType="solid">
        <fgColor rgb="FFFFFFF0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CE4EC"/>
        <bgColor rgb="FFFCE4D6"/>
      </patternFill>
    </fill>
    <fill>
      <patternFill patternType="solid">
        <fgColor rgb="FFF5F5F5"/>
        <bgColor rgb="FFF2F2F2"/>
      </patternFill>
    </fill>
    <fill>
      <patternFill patternType="solid">
        <fgColor rgb="FF0F2B5C"/>
        <bgColor rgb="FF1F3864"/>
      </patternFill>
    </fill>
    <fill>
      <patternFill patternType="solid">
        <fgColor rgb="FFFCE4D6"/>
        <bgColor rgb="FFFCE4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EEF6FB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medium"/>
      <diagonal/>
    </border>
    <border>
      <left/>
      <right/>
      <top/>
      <bottom style="thin">
        <color rgb="FFC0C0C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3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166" fontId="10" fillId="3" borderId="0" applyAlignment="1" pivotButton="0" quotePrefix="0" xfId="0">
      <alignment horizontal="general" vertical="bottom"/>
    </xf>
    <xf numFmtId="166" fontId="9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8" fillId="3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8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67" fontId="10" fillId="3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8" fontId="10" fillId="3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3" fontId="12" fillId="5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bottom"/>
    </xf>
    <xf numFmtId="166" fontId="12" fillId="5" borderId="0" applyAlignment="1" pivotButton="0" quotePrefix="0" xfId="0">
      <alignment horizontal="center" vertical="bottom"/>
    </xf>
    <xf numFmtId="165" fontId="12" fillId="5" borderId="0" applyAlignment="1" pivotButton="0" quotePrefix="0" xfId="0">
      <alignment horizontal="center" vertical="bottom"/>
    </xf>
    <xf numFmtId="166" fontId="11" fillId="2" borderId="0" applyAlignment="1" pivotButton="0" quotePrefix="0" xfId="0">
      <alignment horizontal="center" vertical="bottom"/>
    </xf>
    <xf numFmtId="169" fontId="12" fillId="0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169" fontId="12" fillId="2" borderId="0" applyAlignment="1" pivotButton="0" quotePrefix="0" xfId="0">
      <alignment horizontal="center" vertical="bottom"/>
    </xf>
    <xf numFmtId="169" fontId="17" fillId="2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center" vertical="bottom"/>
    </xf>
    <xf numFmtId="166" fontId="11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166" fontId="11" fillId="5" borderId="0" applyAlignment="1" pivotButton="0" quotePrefix="0" xfId="0">
      <alignment horizontal="center" vertical="bottom"/>
    </xf>
    <xf numFmtId="165" fontId="11" fillId="5" borderId="0" applyAlignment="1" pivotButton="0" quotePrefix="0" xfId="0">
      <alignment horizontal="center" vertical="bottom"/>
    </xf>
    <xf numFmtId="3" fontId="11" fillId="5" borderId="0" applyAlignment="1" pivotButton="0" quotePrefix="0" xfId="0">
      <alignment horizontal="center" vertical="bottom"/>
    </xf>
    <xf numFmtId="166" fontId="12" fillId="6" borderId="0" applyAlignment="1" pivotButton="0" quotePrefix="0" xfId="0">
      <alignment horizontal="center" vertical="bottom"/>
    </xf>
    <xf numFmtId="166" fontId="11" fillId="6" borderId="0" applyAlignment="1" pivotButton="0" quotePrefix="0" xfId="0">
      <alignment horizontal="center" vertical="bottom"/>
    </xf>
    <xf numFmtId="165" fontId="11" fillId="6" borderId="0" applyAlignment="1" pivotButton="0" quotePrefix="0" xfId="0">
      <alignment horizontal="center" vertical="bottom"/>
    </xf>
    <xf numFmtId="3" fontId="11" fillId="6" borderId="0" applyAlignment="1" pivotButton="0" quotePrefix="0" xfId="0">
      <alignment horizontal="center" vertical="bottom"/>
    </xf>
    <xf numFmtId="169" fontId="11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bottom"/>
    </xf>
    <xf numFmtId="170" fontId="17" fillId="2" borderId="0" applyAlignment="1" pivotButton="0" quotePrefix="0" xfId="0">
      <alignment horizontal="center" vertical="bottom"/>
    </xf>
    <xf numFmtId="165" fontId="17" fillId="2" borderId="0" applyAlignment="1" pivotButton="0" quotePrefix="0" xfId="0">
      <alignment horizontal="center" vertical="bottom"/>
    </xf>
    <xf numFmtId="166" fontId="17" fillId="2" borderId="0" applyAlignment="1" pivotButton="0" quotePrefix="0" xfId="0">
      <alignment horizontal="center" vertical="bottom"/>
    </xf>
    <xf numFmtId="166" fontId="17" fillId="0" borderId="0" applyAlignment="1" pivotButton="0" quotePrefix="0" xfId="0">
      <alignment horizontal="center" vertical="bottom"/>
    </xf>
    <xf numFmtId="170" fontId="17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170" fontId="10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center" vertical="bottom"/>
    </xf>
    <xf numFmtId="170" fontId="11" fillId="7" borderId="0" applyAlignment="1" pivotButton="0" quotePrefix="0" xfId="0">
      <alignment horizontal="center" vertical="bottom"/>
    </xf>
    <xf numFmtId="171" fontId="11" fillId="7" borderId="0" applyAlignment="1" pivotButton="0" quotePrefix="0" xfId="0">
      <alignment horizontal="center" vertical="bottom"/>
    </xf>
    <xf numFmtId="170" fontId="12" fillId="5" borderId="0" applyAlignment="1" pivotButton="0" quotePrefix="0" xfId="0">
      <alignment horizontal="center" vertical="bottom"/>
    </xf>
    <xf numFmtId="166" fontId="10" fillId="3" borderId="0" applyAlignment="1" pivotButton="0" quotePrefix="0" xfId="0">
      <alignment horizontal="center" vertical="bottom"/>
    </xf>
    <xf numFmtId="172" fontId="10" fillId="3" borderId="0" applyAlignment="1" pivotButton="0" quotePrefix="0" xfId="0">
      <alignment horizontal="center" vertical="bottom"/>
    </xf>
    <xf numFmtId="172" fontId="10" fillId="0" borderId="0" applyAlignment="1" pivotButton="0" quotePrefix="0" xfId="0">
      <alignment horizontal="center" vertical="bottom"/>
    </xf>
    <xf numFmtId="166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170" fontId="17" fillId="0" borderId="1" applyAlignment="1" pivotButton="0" quotePrefix="0" xfId="0">
      <alignment horizontal="center" vertical="bottom"/>
    </xf>
    <xf numFmtId="170" fontId="12" fillId="0" borderId="1" applyAlignment="1" pivotButton="0" quotePrefix="0" xfId="0">
      <alignment horizontal="center" vertical="bottom"/>
    </xf>
    <xf numFmtId="171" fontId="12" fillId="0" borderId="1" applyAlignment="1" pivotButton="0" quotePrefix="0" xfId="0">
      <alignment horizontal="center" vertical="bottom"/>
    </xf>
    <xf numFmtId="170" fontId="12" fillId="5" borderId="1" applyAlignment="1" pivotButton="0" quotePrefix="0" xfId="0">
      <alignment horizontal="center" vertical="bottom"/>
    </xf>
    <xf numFmtId="166" fontId="17" fillId="0" borderId="1" applyAlignment="1" pivotButton="0" quotePrefix="0" xfId="0">
      <alignment horizontal="center" vertical="bottom"/>
    </xf>
    <xf numFmtId="168" fontId="17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70" fontId="10" fillId="0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70" fontId="11" fillId="0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bottom"/>
    </xf>
    <xf numFmtId="170" fontId="10" fillId="2" borderId="0" applyAlignment="1" pivotButton="0" quotePrefix="0" xfId="0">
      <alignment horizontal="center" vertical="bottom"/>
    </xf>
    <xf numFmtId="165" fontId="10" fillId="2" borderId="0" applyAlignment="1" pivotButton="0" quotePrefix="0" xfId="0">
      <alignment horizontal="center" vertical="bottom"/>
    </xf>
    <xf numFmtId="170" fontId="11" fillId="2" borderId="0" applyAlignment="1" pivotButton="0" quotePrefix="0" xfId="0">
      <alignment horizontal="center" vertical="bottom"/>
    </xf>
    <xf numFmtId="166" fontId="10" fillId="2" borderId="0" applyAlignment="1" pivotButton="0" quotePrefix="0" xfId="0">
      <alignment horizontal="center" vertical="bottom"/>
    </xf>
    <xf numFmtId="170" fontId="10" fillId="7" borderId="0" applyAlignment="1" pivotButton="0" quotePrefix="0" xfId="0">
      <alignment horizontal="center" vertical="bottom"/>
    </xf>
    <xf numFmtId="170" fontId="11" fillId="5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72" fontId="12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5" fontId="20" fillId="0" borderId="0" applyAlignment="1" pivotButton="0" quotePrefix="0" xfId="0">
      <alignment horizontal="center" vertical="bottom"/>
    </xf>
    <xf numFmtId="165" fontId="20" fillId="8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center" indent="1"/>
    </xf>
    <xf numFmtId="169" fontId="12" fillId="9" borderId="0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169" fontId="11" fillId="9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 indent="1"/>
    </xf>
    <xf numFmtId="169" fontId="12" fillId="9" borderId="2" applyAlignment="1" pivotButton="0" quotePrefix="0" xfId="0">
      <alignment horizontal="right" vertical="center"/>
    </xf>
    <xf numFmtId="169" fontId="12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indent="1"/>
    </xf>
    <xf numFmtId="168" fontId="7" fillId="0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general" vertical="bottom"/>
    </xf>
    <xf numFmtId="168" fontId="9" fillId="2" borderId="0" applyAlignment="1" pivotButton="0" quotePrefix="0" xfId="0">
      <alignment horizontal="general" vertical="bottom"/>
    </xf>
    <xf numFmtId="169" fontId="11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9" fontId="12" fillId="9" borderId="1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9" fontId="12" fillId="9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66" fontId="11" fillId="9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9" fontId="12" fillId="9" borderId="2" applyAlignment="1" pivotButton="0" quotePrefix="0" xfId="0">
      <alignment horizontal="general" vertical="bottom"/>
    </xf>
    <xf numFmtId="169" fontId="12" fillId="0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left" vertical="bottom"/>
    </xf>
    <xf numFmtId="0" fontId="11" fillId="9" borderId="0" applyAlignment="1" pivotButton="0" quotePrefix="0" xfId="0">
      <alignment horizontal="center" vertical="bottom"/>
    </xf>
    <xf numFmtId="169" fontId="11" fillId="9" borderId="0" applyAlignment="1" pivotButton="0" quotePrefix="0" xfId="0">
      <alignment horizontal="center" vertical="bottom"/>
    </xf>
    <xf numFmtId="165" fontId="11" fillId="9" borderId="0" applyAlignment="1" pivotButton="0" quotePrefix="0" xfId="0">
      <alignment horizontal="center" vertical="bottom"/>
    </xf>
    <xf numFmtId="166" fontId="11" fillId="9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center" vertical="bottom"/>
    </xf>
    <xf numFmtId="166" fontId="11" fillId="0" borderId="0" applyAlignment="1" pivotButton="0" quotePrefix="0" xfId="0">
      <alignment horizontal="center" vertical="bottom"/>
    </xf>
    <xf numFmtId="168" fontId="9" fillId="0" borderId="1" applyAlignment="1" pivotButton="0" quotePrefix="0" xfId="0">
      <alignment horizontal="center" vertical="bottom"/>
    </xf>
    <xf numFmtId="168" fontId="22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center" vertical="bottom"/>
    </xf>
    <xf numFmtId="9" fontId="9" fillId="0" borderId="1" applyAlignment="1" pivotButton="0" quotePrefix="0" xfId="0">
      <alignment horizontal="center" vertical="bottom"/>
    </xf>
    <xf numFmtId="169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right" vertical="center"/>
    </xf>
    <xf numFmtId="168" fontId="22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168" fontId="25" fillId="0" borderId="0" applyAlignment="1" pivotButton="0" quotePrefix="0" xfId="0">
      <alignment horizontal="right" vertical="center"/>
    </xf>
    <xf numFmtId="168" fontId="26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28" fillId="0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left" vertical="center" indent="1"/>
    </xf>
    <xf numFmtId="165" fontId="12" fillId="5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indent="2"/>
    </xf>
    <xf numFmtId="0" fontId="11" fillId="0" borderId="0" applyAlignment="1" pivotButton="0" quotePrefix="0" xfId="0">
      <alignment horizontal="left" vertical="center" indent="2"/>
    </xf>
    <xf numFmtId="169" fontId="11" fillId="0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center" vertical="bottom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2"/>
    </xf>
    <xf numFmtId="1" fontId="9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indent="1"/>
    </xf>
    <xf numFmtId="0" fontId="14" fillId="2" borderId="3" applyAlignment="1" pivotButton="0" quotePrefix="0" xfId="0">
      <alignment horizontal="left" vertical="center"/>
    </xf>
    <xf numFmtId="0" fontId="14" fillId="2" borderId="3" applyAlignment="1" pivotButton="0" quotePrefix="0" xfId="0">
      <alignment horizontal="center" vertical="center"/>
    </xf>
    <xf numFmtId="166" fontId="7" fillId="6" borderId="3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168" fontId="7" fillId="6" borderId="3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8" fontId="9" fillId="0" borderId="3" applyAlignment="1" pivotButton="0" quotePrefix="0" xfId="0">
      <alignment horizontal="center" vertical="center"/>
    </xf>
    <xf numFmtId="166" fontId="9" fillId="4" borderId="3" applyAlignment="1" pivotButton="0" quotePrefix="0" xfId="0">
      <alignment horizontal="center" vertical="center"/>
    </xf>
    <xf numFmtId="165" fontId="9" fillId="4" borderId="3" applyAlignment="1" pivotButton="0" quotePrefix="0" xfId="0">
      <alignment horizontal="center" vertical="center"/>
    </xf>
    <xf numFmtId="168" fontId="9" fillId="4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/>
    </xf>
    <xf numFmtId="168" fontId="9" fillId="6" borderId="3" applyAlignment="1" pivotButton="0" quotePrefix="0" xfId="0">
      <alignment horizontal="right" vertical="center"/>
    </xf>
    <xf numFmtId="165" fontId="9" fillId="6" borderId="3" applyAlignment="1" pivotButton="0" quotePrefix="0" xfId="0">
      <alignment horizontal="center" vertical="center"/>
    </xf>
    <xf numFmtId="168" fontId="7" fillId="6" borderId="3" applyAlignment="1" pivotButton="0" quotePrefix="0" xfId="0">
      <alignment horizontal="right" vertical="center"/>
    </xf>
    <xf numFmtId="168" fontId="25" fillId="6" borderId="3" applyAlignment="1" pivotButton="0" quotePrefix="0" xfId="0">
      <alignment horizontal="right" vertical="center"/>
    </xf>
    <xf numFmtId="166" fontId="25" fillId="6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30" fillId="4" borderId="3" applyAlignment="1" pivotButton="0" quotePrefix="0" xfId="0">
      <alignment horizontal="center" vertical="center"/>
    </xf>
    <xf numFmtId="168" fontId="9" fillId="4" borderId="3" applyAlignment="1" pivotButton="0" quotePrefix="0" xfId="0">
      <alignment horizontal="right" vertical="center"/>
    </xf>
    <xf numFmtId="168" fontId="7" fillId="4" borderId="3" applyAlignment="1" pivotButton="0" quotePrefix="0" xfId="0">
      <alignment horizontal="right" vertical="center"/>
    </xf>
    <xf numFmtId="166" fontId="7" fillId="4" borderId="3" applyAlignment="1" pivotButton="0" quotePrefix="0" xfId="0">
      <alignment horizontal="center" vertical="center"/>
    </xf>
    <xf numFmtId="168" fontId="25" fillId="4" borderId="3" applyAlignment="1" pivotButton="0" quotePrefix="0" xfId="0">
      <alignment horizontal="right" vertical="center"/>
    </xf>
    <xf numFmtId="165" fontId="7" fillId="4" borderId="3" applyAlignment="1" pivotButton="0" quotePrefix="0" xfId="0">
      <alignment horizontal="center" vertical="center"/>
    </xf>
    <xf numFmtId="166" fontId="25" fillId="4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31" fillId="11" borderId="3" applyAlignment="1" pivotButton="0" quotePrefix="0" xfId="0">
      <alignment horizontal="center" vertical="center"/>
    </xf>
    <xf numFmtId="168" fontId="9" fillId="11" borderId="3" applyAlignment="1" pivotButton="0" quotePrefix="0" xfId="0">
      <alignment horizontal="right" vertical="center"/>
    </xf>
    <xf numFmtId="165" fontId="9" fillId="11" borderId="3" applyAlignment="1" pivotButton="0" quotePrefix="0" xfId="0">
      <alignment horizontal="center" vertical="center"/>
    </xf>
    <xf numFmtId="168" fontId="7" fillId="11" borderId="3" applyAlignment="1" pivotButton="0" quotePrefix="0" xfId="0">
      <alignment horizontal="right" vertical="center"/>
    </xf>
    <xf numFmtId="166" fontId="7" fillId="11" borderId="3" applyAlignment="1" pivotButton="0" quotePrefix="0" xfId="0">
      <alignment horizontal="center" vertical="center"/>
    </xf>
    <xf numFmtId="168" fontId="25" fillId="11" borderId="3" applyAlignment="1" pivotButton="0" quotePrefix="0" xfId="0">
      <alignment horizontal="right" vertical="center"/>
    </xf>
    <xf numFmtId="165" fontId="7" fillId="11" borderId="3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0" fontId="32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center" vertical="bottom"/>
    </xf>
    <xf numFmtId="165" fontId="9" fillId="5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166" fontId="9" fillId="0" borderId="0" applyAlignment="1" pivotButton="0" quotePrefix="0" xfId="0">
      <alignment horizontal="center" vertical="bottom"/>
    </xf>
    <xf numFmtId="166" fontId="20" fillId="0" borderId="0" applyAlignment="1" pivotButton="0" quotePrefix="0" xfId="0">
      <alignment horizontal="center" vertical="bottom"/>
    </xf>
    <xf numFmtId="166" fontId="19" fillId="5" borderId="0" applyAlignment="1" pivotButton="0" quotePrefix="0" xfId="0">
      <alignment horizontal="center" vertical="bottom"/>
    </xf>
    <xf numFmtId="168" fontId="9" fillId="0" borderId="0" applyAlignment="1" pivotButton="0" quotePrefix="0" xfId="0">
      <alignment horizontal="center" vertical="bottom"/>
    </xf>
    <xf numFmtId="168" fontId="9" fillId="5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general" vertical="bottom"/>
    </xf>
    <xf numFmtId="165" fontId="12" fillId="6" borderId="0" applyAlignment="1" pivotButton="0" quotePrefix="0" xfId="0">
      <alignment horizontal="center" vertical="bottom"/>
    </xf>
    <xf numFmtId="169" fontId="12" fillId="5" borderId="0" applyAlignment="1" pivotButton="0" quotePrefix="0" xfId="0">
      <alignment horizontal="center" vertical="bottom"/>
    </xf>
    <xf numFmtId="169" fontId="12" fillId="6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165" fontId="17" fillId="2" borderId="0" applyAlignment="1" pivotButton="0" quotePrefix="0" xfId="0">
      <alignment horizontal="center" vertical="bottom"/>
    </xf>
    <xf numFmtId="169" fontId="12" fillId="5" borderId="0" applyAlignment="1" pivotButton="0" quotePrefix="0" xfId="0">
      <alignment horizontal="center" vertical="bottom"/>
    </xf>
    <xf numFmtId="165" fontId="17" fillId="0" borderId="0" applyAlignment="1" pivotButton="0" quotePrefix="0" xfId="0">
      <alignment horizontal="center" vertical="bottom"/>
    </xf>
    <xf numFmtId="165" fontId="12" fillId="5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166" fontId="12" fillId="5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center" vertical="bottom"/>
    </xf>
    <xf numFmtId="3" fontId="12" fillId="5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69" fontId="12" fillId="0" borderId="0" applyAlignment="1" pivotButton="0" quotePrefix="0" xfId="0">
      <alignment horizontal="center" vertical="bottom"/>
    </xf>
    <xf numFmtId="169" fontId="20" fillId="0" borderId="0" applyAlignment="1" pivotButton="0" quotePrefix="0" xfId="0">
      <alignment horizontal="center" vertical="bottom"/>
    </xf>
    <xf numFmtId="169" fontId="20" fillId="0" borderId="0" applyAlignment="1" pivotButton="0" quotePrefix="0" xfId="0">
      <alignment horizontal="center" vertical="bottom"/>
    </xf>
    <xf numFmtId="169" fontId="19" fillId="0" borderId="0" applyAlignment="1" pivotButton="0" quotePrefix="0" xfId="0">
      <alignment horizontal="center" vertical="bottom"/>
    </xf>
    <xf numFmtId="169" fontId="11" fillId="0" borderId="1" applyAlignment="1" pivotButton="0" quotePrefix="0" xfId="0">
      <alignment horizontal="center" vertical="bottom"/>
    </xf>
    <xf numFmtId="169" fontId="19" fillId="6" borderId="1" applyAlignment="1" pivotButton="0" quotePrefix="0" xfId="0">
      <alignment horizontal="center" vertical="bottom"/>
    </xf>
    <xf numFmtId="169" fontId="11" fillId="0" borderId="0" applyAlignment="1" pivotButton="0" quotePrefix="0" xfId="0">
      <alignment horizontal="general" vertical="bottom"/>
    </xf>
    <xf numFmtId="166" fontId="12" fillId="5" borderId="0" applyAlignment="1" pivotButton="0" quotePrefix="0" xfId="0">
      <alignment horizontal="general" vertical="bottom"/>
    </xf>
    <xf numFmtId="173" fontId="11" fillId="0" borderId="0" applyAlignment="1" pivotButton="0" quotePrefix="0" xfId="0">
      <alignment horizontal="center" vertical="bottom"/>
    </xf>
    <xf numFmtId="0" fontId="14" fillId="2" borderId="1" applyAlignment="1" pivotButton="0" quotePrefix="0" xfId="0">
      <alignment horizontal="general" vertical="bottom"/>
    </xf>
    <xf numFmtId="169" fontId="12" fillId="2" borderId="1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  <xf numFmtId="169" fontId="11" fillId="9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169" fontId="12" fillId="0" borderId="0" applyAlignment="1" pivotButton="0" quotePrefix="0" xfId="0">
      <alignment horizontal="general" vertical="bottom"/>
    </xf>
    <xf numFmtId="169" fontId="12" fillId="8" borderId="0" applyAlignment="1" pivotButton="0" quotePrefix="0" xfId="0">
      <alignment horizontal="center" vertical="bottom"/>
    </xf>
    <xf numFmtId="169" fontId="12" fillId="6" borderId="0" applyAlignment="1" pivotButton="0" quotePrefix="0" xfId="0">
      <alignment horizontal="center" vertical="bottom"/>
    </xf>
    <xf numFmtId="174" fontId="11" fillId="9" borderId="0" applyAlignment="1" pivotButton="0" quotePrefix="0" xfId="0">
      <alignment horizontal="center" vertical="bottom"/>
    </xf>
    <xf numFmtId="174" fontId="11" fillId="0" borderId="0" applyAlignment="1" pivotButton="0" quotePrefix="0" xfId="0">
      <alignment horizontal="center" vertical="bottom"/>
    </xf>
    <xf numFmtId="174" fontId="12" fillId="5" borderId="0" applyAlignment="1" pivotButton="0" quotePrefix="0" xfId="0">
      <alignment horizontal="center" vertical="bottom"/>
    </xf>
    <xf numFmtId="174" fontId="1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3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166" fontId="10" fillId="3" borderId="0" applyAlignment="1" pivotButton="0" quotePrefix="0" xfId="0">
      <alignment horizontal="general" vertical="bottom"/>
    </xf>
    <xf numFmtId="166" fontId="9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8" fillId="3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8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67" fontId="10" fillId="3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8" fontId="10" fillId="3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3" fillId="12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2" borderId="0" pivotButton="0" quotePrefix="0" xfId="0"/>
    <xf numFmtId="0" fontId="34" fillId="0" borderId="0" applyAlignment="1" pivotButton="0" quotePrefix="0" xfId="0">
      <alignment horizontal="general" vertical="bottom"/>
    </xf>
    <xf numFmtId="0" fontId="35" fillId="12" borderId="0" applyAlignment="1" pivotButton="0" quotePrefix="0" xfId="0">
      <alignment horizontal="center" vertical="bottom"/>
    </xf>
    <xf numFmtId="0" fontId="36" fillId="12" borderId="0" applyAlignment="1" pivotButton="0" quotePrefix="0" xfId="0">
      <alignment horizontal="center" vertical="bottom"/>
    </xf>
    <xf numFmtId="0" fontId="36" fillId="12" borderId="0" pivotButton="0" quotePrefix="0" xfId="0"/>
    <xf numFmtId="0" fontId="35" fillId="1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9" fontId="37" fillId="0" borderId="0" applyAlignment="1" pivotButton="0" quotePrefix="0" xfId="0">
      <alignment horizontal="center" vertical="bottom"/>
    </xf>
    <xf numFmtId="169" fontId="37" fillId="0" borderId="0" pivotButton="0" quotePrefix="0" xfId="0"/>
    <xf numFmtId="0" fontId="38" fillId="0" borderId="0" applyAlignment="1" pivotButton="0" quotePrefix="0" xfId="0">
      <alignment horizontal="general" vertical="bottom"/>
    </xf>
    <xf numFmtId="3" fontId="38" fillId="13" borderId="0" applyAlignment="1" pivotButton="0" quotePrefix="0" xfId="0">
      <alignment horizontal="center" vertical="bottom"/>
    </xf>
    <xf numFmtId="3" fontId="38" fillId="13" borderId="0" pivotButton="0" quotePrefix="0" xfId="0"/>
    <xf numFmtId="3" fontId="12" fillId="0" borderId="0" applyAlignment="1" pivotButton="0" quotePrefix="0" xfId="0">
      <alignment horizontal="center" vertical="bottom"/>
    </xf>
    <xf numFmtId="166" fontId="38" fillId="13" borderId="0" applyAlignment="1" pivotButton="0" quotePrefix="0" xfId="0">
      <alignment horizontal="center" vertical="bottom"/>
    </xf>
    <xf numFmtId="166" fontId="38" fillId="13" borderId="0" pivotButton="0" quotePrefix="0" xfId="0"/>
    <xf numFmtId="175" fontId="38" fillId="13" borderId="0" applyAlignment="1" pivotButton="0" quotePrefix="0" xfId="0">
      <alignment horizontal="center" vertical="bottom"/>
    </xf>
    <xf numFmtId="175" fontId="38" fillId="13" borderId="0" pivotButton="0" quotePrefix="0" xfId="0"/>
    <xf numFmtId="169" fontId="11" fillId="0" borderId="0" applyAlignment="1" pivotButton="0" quotePrefix="0" xfId="0">
      <alignment horizontal="center" vertical="bottom"/>
    </xf>
    <xf numFmtId="166" fontId="11" fillId="12" borderId="0" applyAlignment="1" pivotButton="0" quotePrefix="0" xfId="0">
      <alignment horizontal="center" vertical="bottom"/>
    </xf>
    <xf numFmtId="169" fontId="38" fillId="0" borderId="0" applyAlignment="1" pivotButton="0" quotePrefix="0" xfId="0">
      <alignment horizontal="center" vertical="bottom"/>
    </xf>
    <xf numFmtId="169" fontId="38" fillId="0" borderId="0" pivotButton="0" quotePrefix="0" xfId="0"/>
    <xf numFmtId="165" fontId="12" fillId="0" borderId="0" applyAlignment="1" pivotButton="0" quotePrefix="0" xfId="0">
      <alignment horizontal="center" vertical="bottom"/>
    </xf>
    <xf numFmtId="169" fontId="12" fillId="12" borderId="0" applyAlignment="1" pivotButton="0" quotePrefix="0" xfId="0">
      <alignment horizontal="center" vertical="bottom"/>
    </xf>
    <xf numFmtId="169" fontId="36" fillId="12" borderId="0" applyAlignment="1" pivotButton="0" quotePrefix="0" xfId="0">
      <alignment horizontal="center" vertical="bottom"/>
    </xf>
    <xf numFmtId="169" fontId="17" fillId="12" borderId="0" applyAlignment="1" pivotButton="0" quotePrefix="0" xfId="0">
      <alignment horizontal="center" vertical="bottom"/>
    </xf>
    <xf numFmtId="169" fontId="11" fillId="12" borderId="0" applyAlignment="1" pivotButton="0" quotePrefix="0" xfId="0">
      <alignment horizontal="center" vertical="bottom"/>
    </xf>
    <xf numFmtId="166" fontId="38" fillId="0" borderId="0" applyAlignment="1" pivotButton="0" quotePrefix="0" xfId="0">
      <alignment horizontal="center" vertical="bottom"/>
    </xf>
    <xf numFmtId="166" fontId="37" fillId="0" borderId="0" applyAlignment="1" pivotButton="0" quotePrefix="0" xfId="0">
      <alignment horizontal="center" vertical="bottom"/>
    </xf>
    <xf numFmtId="175" fontId="37" fillId="0" borderId="0" applyAlignment="1" pivotButton="0" quotePrefix="0" xfId="0">
      <alignment horizontal="center" vertical="bottom"/>
    </xf>
    <xf numFmtId="175" fontId="37" fillId="0" borderId="0" pivotButton="0" quotePrefix="0" xfId="0"/>
    <xf numFmtId="3" fontId="37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166" fontId="37" fillId="13" borderId="0" applyAlignment="1" pivotButton="0" quotePrefix="0" xfId="0">
      <alignment horizontal="center" vertical="bottom"/>
    </xf>
    <xf numFmtId="175" fontId="37" fillId="13" borderId="0" applyAlignment="1" pivotButton="0" quotePrefix="0" xfId="0">
      <alignment horizontal="center" vertical="bottom"/>
    </xf>
    <xf numFmtId="175" fontId="37" fillId="13" borderId="0" pivotButton="0" quotePrefix="0" xfId="0"/>
    <xf numFmtId="3" fontId="37" fillId="13" borderId="0" applyAlignment="1" pivotButton="0" quotePrefix="0" xfId="0">
      <alignment horizontal="center" vertical="bottom"/>
    </xf>
    <xf numFmtId="3" fontId="11" fillId="13" borderId="0" applyAlignment="1" pivotButton="0" quotePrefix="0" xfId="0">
      <alignment horizontal="center" vertical="bottom"/>
    </xf>
    <xf numFmtId="0" fontId="0" fillId="13" borderId="0" pivotButton="0" quotePrefix="0" xfId="0"/>
    <xf numFmtId="169" fontId="11" fillId="13" borderId="0" applyAlignment="1" pivotButton="0" quotePrefix="0" xfId="0">
      <alignment horizontal="center" vertical="bottom"/>
    </xf>
    <xf numFmtId="166" fontId="38" fillId="14" borderId="0" applyAlignment="1" pivotButton="0" quotePrefix="0" xfId="0">
      <alignment horizontal="center" vertical="bottom"/>
    </xf>
    <xf numFmtId="166" fontId="37" fillId="14" borderId="0" applyAlignment="1" pivotButton="0" quotePrefix="0" xfId="0">
      <alignment horizontal="center" vertical="bottom"/>
    </xf>
    <xf numFmtId="175" fontId="37" fillId="14" borderId="0" applyAlignment="1" pivotButton="0" quotePrefix="0" xfId="0">
      <alignment horizontal="center" vertical="bottom"/>
    </xf>
    <xf numFmtId="175" fontId="37" fillId="14" borderId="0" pivotButton="0" quotePrefix="0" xfId="0"/>
    <xf numFmtId="3" fontId="37" fillId="14" borderId="0" applyAlignment="1" pivotButton="0" quotePrefix="0" xfId="0">
      <alignment horizontal="center" vertical="bottom"/>
    </xf>
    <xf numFmtId="3" fontId="11" fillId="14" borderId="0" applyAlignment="1" pivotButton="0" quotePrefix="0" xfId="0">
      <alignment horizontal="center" vertical="bottom"/>
    </xf>
    <xf numFmtId="0" fontId="0" fillId="14" borderId="0" pivotButton="0" quotePrefix="0" xfId="0"/>
    <xf numFmtId="169" fontId="11" fillId="14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center" vertical="bottom"/>
    </xf>
    <xf numFmtId="170" fontId="17" fillId="2" borderId="0" applyAlignment="1" pivotButton="0" quotePrefix="0" xfId="0">
      <alignment horizontal="center" vertical="bottom"/>
    </xf>
    <xf numFmtId="165" fontId="17" fillId="2" borderId="0" applyAlignment="1" pivotButton="0" quotePrefix="0" xfId="0">
      <alignment horizontal="center" vertical="bottom"/>
    </xf>
    <xf numFmtId="166" fontId="17" fillId="2" borderId="0" applyAlignment="1" pivotButton="0" quotePrefix="0" xfId="0">
      <alignment horizontal="center" vertical="bottom"/>
    </xf>
    <xf numFmtId="166" fontId="17" fillId="0" borderId="0" applyAlignment="1" pivotButton="0" quotePrefix="0" xfId="0">
      <alignment horizontal="center" vertical="bottom"/>
    </xf>
    <xf numFmtId="170" fontId="17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170" fontId="10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center" vertical="bottom"/>
    </xf>
    <xf numFmtId="170" fontId="11" fillId="7" borderId="0" applyAlignment="1" pivotButton="0" quotePrefix="0" xfId="0">
      <alignment horizontal="center" vertical="bottom"/>
    </xf>
    <xf numFmtId="171" fontId="11" fillId="7" borderId="0" applyAlignment="1" pivotButton="0" quotePrefix="0" xfId="0">
      <alignment horizontal="center" vertical="bottom"/>
    </xf>
    <xf numFmtId="170" fontId="12" fillId="5" borderId="0" applyAlignment="1" pivotButton="0" quotePrefix="0" xfId="0">
      <alignment horizontal="center" vertical="bottom"/>
    </xf>
    <xf numFmtId="166" fontId="10" fillId="3" borderId="0" applyAlignment="1" pivotButton="0" quotePrefix="0" xfId="0">
      <alignment horizontal="center" vertical="bottom"/>
    </xf>
    <xf numFmtId="172" fontId="10" fillId="3" borderId="0" applyAlignment="1" pivotButton="0" quotePrefix="0" xfId="0">
      <alignment horizontal="center" vertical="bottom"/>
    </xf>
    <xf numFmtId="172" fontId="10" fillId="0" borderId="0" applyAlignment="1" pivotButton="0" quotePrefix="0" xfId="0">
      <alignment horizontal="center" vertical="bottom"/>
    </xf>
    <xf numFmtId="166" fontId="10" fillId="0" borderId="0" applyAlignment="1" pivotButton="0" quotePrefix="0" xfId="0">
      <alignment horizontal="center" vertical="bottom"/>
    </xf>
    <xf numFmtId="166" fontId="11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170" fontId="17" fillId="0" borderId="1" applyAlignment="1" pivotButton="0" quotePrefix="0" xfId="0">
      <alignment horizontal="center" vertical="bottom"/>
    </xf>
    <xf numFmtId="170" fontId="12" fillId="0" borderId="1" applyAlignment="1" pivotButton="0" quotePrefix="0" xfId="0">
      <alignment horizontal="center" vertical="bottom"/>
    </xf>
    <xf numFmtId="171" fontId="12" fillId="0" borderId="1" applyAlignment="1" pivotButton="0" quotePrefix="0" xfId="0">
      <alignment horizontal="center" vertical="bottom"/>
    </xf>
    <xf numFmtId="170" fontId="12" fillId="5" borderId="1" applyAlignment="1" pivotButton="0" quotePrefix="0" xfId="0">
      <alignment horizontal="center" vertical="bottom"/>
    </xf>
    <xf numFmtId="166" fontId="17" fillId="0" borderId="1" applyAlignment="1" pivotButton="0" quotePrefix="0" xfId="0">
      <alignment horizontal="center" vertical="bottom"/>
    </xf>
    <xf numFmtId="168" fontId="17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70" fontId="10" fillId="0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70" fontId="11" fillId="0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bottom"/>
    </xf>
    <xf numFmtId="170" fontId="10" fillId="2" borderId="0" applyAlignment="1" pivotButton="0" quotePrefix="0" xfId="0">
      <alignment horizontal="center" vertical="bottom"/>
    </xf>
    <xf numFmtId="165" fontId="10" fillId="2" borderId="0" applyAlignment="1" pivotButton="0" quotePrefix="0" xfId="0">
      <alignment horizontal="center" vertical="bottom"/>
    </xf>
    <xf numFmtId="170" fontId="11" fillId="2" borderId="0" applyAlignment="1" pivotButton="0" quotePrefix="0" xfId="0">
      <alignment horizontal="center" vertical="bottom"/>
    </xf>
    <xf numFmtId="166" fontId="10" fillId="2" borderId="0" applyAlignment="1" pivotButton="0" quotePrefix="0" xfId="0">
      <alignment horizontal="center" vertical="bottom"/>
    </xf>
    <xf numFmtId="170" fontId="10" fillId="7" borderId="0" applyAlignment="1" pivotButton="0" quotePrefix="0" xfId="0">
      <alignment horizontal="center" vertical="bottom"/>
    </xf>
    <xf numFmtId="170" fontId="11" fillId="5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72" fontId="12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center" vertical="bottom"/>
    </xf>
    <xf numFmtId="165" fontId="20" fillId="0" borderId="0" applyAlignment="1" pivotButton="0" quotePrefix="0" xfId="0">
      <alignment horizontal="center" vertical="bottom"/>
    </xf>
    <xf numFmtId="165" fontId="11" fillId="5" borderId="0" applyAlignment="1" pivotButton="0" quotePrefix="0" xfId="0">
      <alignment horizontal="center" vertical="bottom"/>
    </xf>
    <xf numFmtId="165" fontId="20" fillId="8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indent="1"/>
    </xf>
    <xf numFmtId="169" fontId="12" fillId="9" borderId="0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169" fontId="11" fillId="9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 indent="1"/>
    </xf>
    <xf numFmtId="169" fontId="12" fillId="9" borderId="2" applyAlignment="1" pivotButton="0" quotePrefix="0" xfId="0">
      <alignment horizontal="right" vertical="center"/>
    </xf>
    <xf numFmtId="169" fontId="12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indent="1"/>
    </xf>
    <xf numFmtId="168" fontId="9" fillId="2" borderId="0" applyAlignment="1" pivotButton="0" quotePrefix="0" xfId="0">
      <alignment horizontal="general" vertical="bottom"/>
    </xf>
    <xf numFmtId="169" fontId="11" fillId="9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9" fontId="12" fillId="9" borderId="1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9" fontId="12" fillId="9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66" fontId="11" fillId="9" borderId="0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9" fontId="12" fillId="9" borderId="2" applyAlignment="1" pivotButton="0" quotePrefix="0" xfId="0">
      <alignment horizontal="general" vertical="bottom"/>
    </xf>
    <xf numFmtId="169" fontId="12" fillId="0" borderId="2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left" vertical="bottom"/>
    </xf>
    <xf numFmtId="0" fontId="11" fillId="9" borderId="0" applyAlignment="1" pivotButton="0" quotePrefix="0" xfId="0">
      <alignment horizontal="center" vertical="bottom"/>
    </xf>
    <xf numFmtId="169" fontId="11" fillId="9" borderId="0" applyAlignment="1" pivotButton="0" quotePrefix="0" xfId="0">
      <alignment horizontal="center" vertical="bottom"/>
    </xf>
    <xf numFmtId="165" fontId="11" fillId="9" borderId="0" applyAlignment="1" pivotButton="0" quotePrefix="0" xfId="0">
      <alignment horizontal="center" vertical="bottom"/>
    </xf>
    <xf numFmtId="166" fontId="11" fillId="9" borderId="0" applyAlignment="1" pivotButton="0" quotePrefix="0" xfId="0">
      <alignment horizontal="center" vertical="bottom"/>
    </xf>
    <xf numFmtId="168" fontId="9" fillId="0" borderId="1" applyAlignment="1" pivotButton="0" quotePrefix="0" xfId="0">
      <alignment horizontal="center" vertical="bottom"/>
    </xf>
    <xf numFmtId="168" fontId="22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center" vertical="bottom"/>
    </xf>
    <xf numFmtId="9" fontId="9" fillId="0" borderId="1" applyAlignment="1" pivotButton="0" quotePrefix="0" xfId="0">
      <alignment horizontal="center" vertical="bottom"/>
    </xf>
    <xf numFmtId="169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/>
    </xf>
    <xf numFmtId="168" fontId="22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168" fontId="25" fillId="0" borderId="0" applyAlignment="1" pivotButton="0" quotePrefix="0" xfId="0">
      <alignment horizontal="right" vertical="center"/>
    </xf>
    <xf numFmtId="168" fontId="2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28" fillId="0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bottom" wrapText="1"/>
    </xf>
    <xf numFmtId="165" fontId="12" fillId="5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center"/>
    </xf>
    <xf numFmtId="166" fontId="12" fillId="5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center" indent="2"/>
    </xf>
    <xf numFmtId="3" fontId="12" fillId="5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left" vertical="center" indent="2"/>
    </xf>
    <xf numFmtId="3" fontId="9" fillId="0" borderId="0" applyAlignment="1" pivotButton="0" quotePrefix="0" xfId="0">
      <alignment horizontal="center" vertical="bottom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2"/>
    </xf>
    <xf numFmtId="1" fontId="9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indent="1"/>
    </xf>
    <xf numFmtId="0" fontId="14" fillId="2" borderId="3" applyAlignment="1" pivotButton="0" quotePrefix="0" xfId="0">
      <alignment horizontal="left" vertical="center"/>
    </xf>
    <xf numFmtId="0" fontId="14" fillId="2" borderId="3" applyAlignment="1" pivotButton="0" quotePrefix="0" xfId="0">
      <alignment horizontal="center" vertical="center"/>
    </xf>
    <xf numFmtId="166" fontId="7" fillId="6" borderId="3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168" fontId="7" fillId="6" borderId="3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8" fontId="9" fillId="0" borderId="3" applyAlignment="1" pivotButton="0" quotePrefix="0" xfId="0">
      <alignment horizontal="center" vertical="center"/>
    </xf>
    <xf numFmtId="166" fontId="9" fillId="4" borderId="3" applyAlignment="1" pivotButton="0" quotePrefix="0" xfId="0">
      <alignment horizontal="center" vertical="center"/>
    </xf>
    <xf numFmtId="165" fontId="9" fillId="4" borderId="3" applyAlignment="1" pivotButton="0" quotePrefix="0" xfId="0">
      <alignment horizontal="center" vertical="center"/>
    </xf>
    <xf numFmtId="168" fontId="9" fillId="4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/>
    </xf>
    <xf numFmtId="168" fontId="9" fillId="6" borderId="3" applyAlignment="1" pivotButton="0" quotePrefix="0" xfId="0">
      <alignment horizontal="right" vertical="center"/>
    </xf>
    <xf numFmtId="165" fontId="9" fillId="6" borderId="3" applyAlignment="1" pivotButton="0" quotePrefix="0" xfId="0">
      <alignment horizontal="center" vertical="center"/>
    </xf>
    <xf numFmtId="168" fontId="7" fillId="6" borderId="3" applyAlignment="1" pivotButton="0" quotePrefix="0" xfId="0">
      <alignment horizontal="right" vertical="center"/>
    </xf>
    <xf numFmtId="168" fontId="25" fillId="6" borderId="3" applyAlignment="1" pivotButton="0" quotePrefix="0" xfId="0">
      <alignment horizontal="right" vertical="center"/>
    </xf>
    <xf numFmtId="166" fontId="25" fillId="6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30" fillId="4" borderId="3" applyAlignment="1" pivotButton="0" quotePrefix="0" xfId="0">
      <alignment horizontal="center" vertical="center"/>
    </xf>
    <xf numFmtId="168" fontId="9" fillId="4" borderId="3" applyAlignment="1" pivotButton="0" quotePrefix="0" xfId="0">
      <alignment horizontal="right" vertical="center"/>
    </xf>
    <xf numFmtId="168" fontId="7" fillId="4" borderId="3" applyAlignment="1" pivotButton="0" quotePrefix="0" xfId="0">
      <alignment horizontal="right" vertical="center"/>
    </xf>
    <xf numFmtId="166" fontId="7" fillId="4" borderId="3" applyAlignment="1" pivotButton="0" quotePrefix="0" xfId="0">
      <alignment horizontal="center" vertical="center"/>
    </xf>
    <xf numFmtId="168" fontId="25" fillId="4" borderId="3" applyAlignment="1" pivotButton="0" quotePrefix="0" xfId="0">
      <alignment horizontal="right" vertical="center"/>
    </xf>
    <xf numFmtId="165" fontId="7" fillId="4" borderId="3" applyAlignment="1" pivotButton="0" quotePrefix="0" xfId="0">
      <alignment horizontal="center" vertical="center"/>
    </xf>
    <xf numFmtId="166" fontId="25" fillId="4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31" fillId="11" borderId="3" applyAlignment="1" pivotButton="0" quotePrefix="0" xfId="0">
      <alignment horizontal="center" vertical="center"/>
    </xf>
    <xf numFmtId="168" fontId="9" fillId="11" borderId="3" applyAlignment="1" pivotButton="0" quotePrefix="0" xfId="0">
      <alignment horizontal="right" vertical="center"/>
    </xf>
    <xf numFmtId="165" fontId="9" fillId="11" borderId="3" applyAlignment="1" pivotButton="0" quotePrefix="0" xfId="0">
      <alignment horizontal="center" vertical="center"/>
    </xf>
    <xf numFmtId="168" fontId="7" fillId="11" borderId="3" applyAlignment="1" pivotButton="0" quotePrefix="0" xfId="0">
      <alignment horizontal="right" vertical="center"/>
    </xf>
    <xf numFmtId="166" fontId="7" fillId="11" borderId="3" applyAlignment="1" pivotButton="0" quotePrefix="0" xfId="0">
      <alignment horizontal="center" vertical="center"/>
    </xf>
    <xf numFmtId="168" fontId="25" fillId="11" borderId="3" applyAlignment="1" pivotButton="0" quotePrefix="0" xfId="0">
      <alignment horizontal="right" vertical="center"/>
    </xf>
    <xf numFmtId="165" fontId="7" fillId="11" borderId="3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0" fontId="32" fillId="0" borderId="0" applyAlignment="1" pivotButton="0" quotePrefix="0" xfId="0">
      <alignment horizontal="general" vertical="bottom"/>
    </xf>
    <xf numFmtId="3" fontId="11" fillId="5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center" vertical="bottom"/>
    </xf>
    <xf numFmtId="165" fontId="9" fillId="5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166" fontId="9" fillId="0" borderId="0" applyAlignment="1" pivotButton="0" quotePrefix="0" xfId="0">
      <alignment horizontal="center" vertical="bottom"/>
    </xf>
    <xf numFmtId="166" fontId="20" fillId="0" borderId="0" applyAlignment="1" pivotButton="0" quotePrefix="0" xfId="0">
      <alignment horizontal="center" vertical="bottom"/>
    </xf>
    <xf numFmtId="166" fontId="19" fillId="5" borderId="0" applyAlignment="1" pivotButton="0" quotePrefix="0" xfId="0">
      <alignment horizontal="center" vertical="bottom"/>
    </xf>
    <xf numFmtId="168" fontId="9" fillId="0" borderId="0" applyAlignment="1" pivotButton="0" quotePrefix="0" xfId="0">
      <alignment horizontal="center" vertical="bottom"/>
    </xf>
    <xf numFmtId="168" fontId="9" fillId="5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center" vertical="bottom"/>
    </xf>
    <xf numFmtId="165" fontId="12" fillId="6" borderId="0" applyAlignment="1" pivotButton="0" quotePrefix="0" xfId="0">
      <alignment horizontal="center" vertical="bottom"/>
    </xf>
    <xf numFmtId="166" fontId="11" fillId="2" borderId="0" applyAlignment="1" pivotButton="0" quotePrefix="0" xfId="0">
      <alignment horizontal="center" vertical="bottom"/>
    </xf>
    <xf numFmtId="166" fontId="12" fillId="6" borderId="0" applyAlignment="1" pivotButton="0" quotePrefix="0" xfId="0">
      <alignment horizontal="center" vertical="bottom"/>
    </xf>
    <xf numFmtId="169" fontId="12" fillId="0" borderId="0" applyAlignment="1" pivotButton="0" quotePrefix="0" xfId="0">
      <alignment horizontal="center" vertical="bottom"/>
    </xf>
    <xf numFmtId="169" fontId="12" fillId="5" borderId="0" applyAlignment="1" pivotButton="0" quotePrefix="0" xfId="0">
      <alignment horizontal="center" vertical="bottom"/>
    </xf>
    <xf numFmtId="169" fontId="12" fillId="6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165" fontId="17" fillId="0" borderId="0" applyAlignment="1" pivotButton="0" quotePrefix="0" xfId="0">
      <alignment horizontal="center" vertical="bottom"/>
    </xf>
    <xf numFmtId="169" fontId="20" fillId="0" borderId="0" applyAlignment="1" pivotButton="0" quotePrefix="0" xfId="0">
      <alignment horizontal="center" vertical="bottom"/>
    </xf>
    <xf numFmtId="169" fontId="19" fillId="0" borderId="0" applyAlignment="1" pivotButton="0" quotePrefix="0" xfId="0">
      <alignment horizontal="center" vertical="bottom"/>
    </xf>
    <xf numFmtId="169" fontId="11" fillId="0" borderId="1" applyAlignment="1" pivotButton="0" quotePrefix="0" xfId="0">
      <alignment horizontal="center" vertical="bottom"/>
    </xf>
    <xf numFmtId="169" fontId="19" fillId="6" borderId="1" applyAlignment="1" pivotButton="0" quotePrefix="0" xfId="0">
      <alignment horizontal="center" vertical="bottom"/>
    </xf>
    <xf numFmtId="166" fontId="12" fillId="5" borderId="0" applyAlignment="1" pivotButton="0" quotePrefix="0" xfId="0">
      <alignment horizontal="general" vertical="bottom"/>
    </xf>
    <xf numFmtId="173" fontId="11" fillId="0" borderId="0" applyAlignment="1" pivotButton="0" quotePrefix="0" xfId="0">
      <alignment horizontal="center" vertical="bottom"/>
    </xf>
    <xf numFmtId="0" fontId="14" fillId="2" borderId="1" applyAlignment="1" pivotButton="0" quotePrefix="0" xfId="0">
      <alignment horizontal="general" vertical="bottom"/>
    </xf>
    <xf numFmtId="169" fontId="12" fillId="2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center" vertical="bottom"/>
    </xf>
    <xf numFmtId="3" fontId="12" fillId="0" borderId="1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169" fontId="12" fillId="8" borderId="0" applyAlignment="1" pivotButton="0" quotePrefix="0" xfId="0">
      <alignment horizontal="center" vertical="bottom"/>
    </xf>
    <xf numFmtId="174" fontId="11" fillId="9" borderId="0" applyAlignment="1" pivotButton="0" quotePrefix="0" xfId="0">
      <alignment horizontal="center" vertical="bottom"/>
    </xf>
    <xf numFmtId="174" fontId="11" fillId="0" borderId="0" applyAlignment="1" pivotButton="0" quotePrefix="0" xfId="0">
      <alignment horizontal="center" vertical="bottom"/>
    </xf>
    <xf numFmtId="174" fontId="12" fillId="5" borderId="0" applyAlignment="1" pivotButton="0" quotePrefix="0" xfId="0">
      <alignment horizontal="center" vertical="bottom"/>
    </xf>
    <xf numFmtId="174" fontId="12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0" fillId="0" borderId="4" pivotButton="0" quotePrefix="0" xfId="0"/>
    <xf numFmtId="0" fontId="42" fillId="15" borderId="4" applyAlignment="1" pivotButton="0" quotePrefix="0" xfId="0">
      <alignment horizontal="center" vertical="bottom"/>
    </xf>
    <xf numFmtId="0" fontId="40" fillId="15" borderId="4" applyAlignment="1" pivotButton="0" quotePrefix="0" xfId="0">
      <alignment horizontal="center" vertical="bottom"/>
    </xf>
    <xf numFmtId="0" fontId="40" fillId="0" borderId="4" applyAlignment="1" pivotButton="0" quotePrefix="0" xfId="0">
      <alignment horizontal="general" vertical="bottom"/>
    </xf>
    <xf numFmtId="169" fontId="43" fillId="16" borderId="4" applyAlignment="1" pivotButton="0" quotePrefix="0" xfId="0">
      <alignment horizontal="center" vertical="bottom"/>
    </xf>
    <xf numFmtId="169" fontId="40" fillId="0" borderId="4" applyAlignment="1" pivotButton="0" quotePrefix="0" xfId="0">
      <alignment horizontal="center" vertical="bottom"/>
    </xf>
    <xf numFmtId="169" fontId="45" fillId="0" borderId="4" applyAlignment="1" pivotButton="0" quotePrefix="0" xfId="0">
      <alignment horizontal="center" vertical="bottom"/>
    </xf>
    <xf numFmtId="0" fontId="44" fillId="0" borderId="4" pivotButton="0" quotePrefix="0" xfId="0"/>
    <xf numFmtId="0" fontId="40" fillId="17" borderId="4" pivotButton="0" quotePrefix="0" xfId="0"/>
    <xf numFmtId="0" fontId="45" fillId="17" borderId="4" pivotButton="0" quotePrefix="0" xfId="0"/>
    <xf numFmtId="0" fontId="42" fillId="15" borderId="4" applyAlignment="1" pivotButton="0" quotePrefix="0" xfId="0">
      <alignment horizontal="general" vertical="bottom"/>
    </xf>
    <xf numFmtId="0" fontId="40" fillId="15" borderId="4" pivotButton="0" quotePrefix="0" xfId="0"/>
    <xf numFmtId="9" fontId="46" fillId="18" borderId="4" pivotButton="0" quotePrefix="0" xfId="0"/>
    <xf numFmtId="0" fontId="41" fillId="0" borderId="4" pivotButton="0" quotePrefix="0" xfId="0"/>
    <xf numFmtId="0" fontId="43" fillId="16" borderId="4" applyAlignment="1" pivotButton="0" quotePrefix="0" xfId="0">
      <alignment horizontal="center" vertical="center" wrapText="1"/>
    </xf>
    <xf numFmtId="0" fontId="44" fillId="17" borderId="4" pivotButton="0" quotePrefix="0" xfId="0"/>
    <xf numFmtId="166" fontId="47" fillId="0" borderId="4" pivotButton="0" quotePrefix="0" xfId="0"/>
    <xf numFmtId="176" fontId="47" fillId="0" borderId="4" pivotButton="0" quotePrefix="0" xfId="0"/>
    <xf numFmtId="0" fontId="43" fillId="16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pivotButton="0" quotePrefix="0" xfId="0"/>
    <xf numFmtId="0" fontId="41" fillId="0" borderId="0" pivotButton="0" quotePrefix="0" xfId="0"/>
    <xf numFmtId="0" fontId="42" fillId="15" borderId="0" applyAlignment="1" pivotButton="0" quotePrefix="0" xfId="0">
      <alignment horizontal="general" vertical="bottom"/>
    </xf>
    <xf numFmtId="169" fontId="40" fillId="15" borderId="0" applyAlignment="1" pivotButton="0" quotePrefix="0" xfId="0">
      <alignment horizontal="center" vertical="bottom"/>
    </xf>
    <xf numFmtId="0" fontId="40" fillId="15" borderId="0" pivotButton="0" quotePrefix="0" xfId="0"/>
    <xf numFmtId="169" fontId="40" fillId="0" borderId="0" applyAlignment="1" pivotButton="0" quotePrefix="0" xfId="0">
      <alignment horizontal="center" vertical="bottom"/>
    </xf>
    <xf numFmtId="0" fontId="44" fillId="0" borderId="1" applyAlignment="1" pivotButton="0" quotePrefix="0" xfId="0">
      <alignment horizontal="general" vertical="bottom"/>
    </xf>
    <xf numFmtId="169" fontId="45" fillId="17" borderId="1" applyAlignment="1" pivotButton="0" quotePrefix="0" xfId="0">
      <alignment horizontal="general" vertical="bottom"/>
    </xf>
    <xf numFmtId="0" fontId="40" fillId="0" borderId="1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169" fontId="40" fillId="15" borderId="0" applyAlignment="1" pivotButton="0" quotePrefix="0" xfId="0">
      <alignment horizontal="general" vertical="bottom"/>
    </xf>
    <xf numFmtId="169" fontId="40" fillId="0" borderId="1" applyAlignment="1" pivotButton="0" quotePrefix="0" xfId="0">
      <alignment horizontal="center" vertical="bottom"/>
    </xf>
    <xf numFmtId="0" fontId="44" fillId="0" borderId="0" applyAlignment="1" pivotButton="0" quotePrefix="0" xfId="0">
      <alignment horizontal="general" vertical="bottom"/>
    </xf>
    <xf numFmtId="0" fontId="47" fillId="0" borderId="0" pivotButton="0" quotePrefix="0" xfId="0"/>
    <xf numFmtId="0" fontId="44" fillId="0" borderId="0" pivotButton="0" quotePrefix="0" xfId="0"/>
    <xf numFmtId="0" fontId="45" fillId="17" borderId="0" pivotButton="0" quotePrefix="0" xfId="0"/>
    <xf numFmtId="169" fontId="45" fillId="0" borderId="0" applyAlignment="1" pivotButton="0" quotePrefix="0" xfId="0">
      <alignment horizontal="center" vertical="bottom"/>
    </xf>
    <xf numFmtId="0" fontId="41" fillId="0" borderId="1" applyAlignment="1" pivotButton="0" quotePrefix="0" xfId="0">
      <alignment horizontal="general" vertical="bottom"/>
    </xf>
    <xf numFmtId="169" fontId="40" fillId="0" borderId="1" applyAlignment="1" pivotButton="0" quotePrefix="0" xfId="0">
      <alignment horizontal="general" vertical="bottom"/>
    </xf>
    <xf numFmtId="0" fontId="43" fillId="16" borderId="0" pivotButton="0" quotePrefix="0" xfId="0"/>
    <xf numFmtId="0" fontId="43" fillId="16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5" fillId="0" borderId="0" applyAlignment="1" pivotButton="0" quotePrefix="0" xfId="0">
      <alignment vertical="top" wrapText="1"/>
    </xf>
    <xf numFmtId="0" fontId="41" fillId="0" borderId="0" applyAlignment="1" pivotButton="0" quotePrefix="0" xfId="0">
      <alignment vertical="top" wrapText="1"/>
    </xf>
    <xf numFmtId="0" fontId="48" fillId="0" borderId="0" applyAlignment="1" pivotButton="0" quotePrefix="0" xfId="0">
      <alignment vertical="top" wrapText="1"/>
    </xf>
    <xf numFmtId="0" fontId="47" fillId="0" borderId="0" applyAlignment="1" pivotButton="0" quotePrefix="0" xfId="0">
      <alignment vertical="top" wrapText="1"/>
    </xf>
    <xf numFmtId="0" fontId="42" fillId="0" borderId="0" pivotButton="0" quotePrefix="0" xfId="0"/>
    <xf numFmtId="0" fontId="42" fillId="15" borderId="0" pivotButton="0" quotePrefix="0" xfId="0"/>
    <xf numFmtId="0" fontId="43" fillId="16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left" vertical="center" indent="1"/>
    </xf>
    <xf numFmtId="0" fontId="50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left" vertical="center" indent="1"/>
    </xf>
    <xf numFmtId="166" fontId="42" fillId="15" borderId="0" applyAlignment="1" pivotButton="0" quotePrefix="0" xfId="0">
      <alignment horizontal="center" vertical="bottom"/>
    </xf>
    <xf numFmtId="169" fontId="12" fillId="15" borderId="0" applyAlignment="1" pivotButton="0" quotePrefix="0" xfId="0">
      <alignment horizontal="center" vertical="bottom"/>
    </xf>
    <xf numFmtId="0" fontId="0" fillId="15" borderId="0" pivotButton="0" quotePrefix="0" xfId="0"/>
    <xf numFmtId="166" fontId="41" fillId="0" borderId="0" applyAlignment="1" pivotButton="0" quotePrefix="0" xfId="0">
      <alignment horizontal="center" vertical="bottom"/>
    </xf>
    <xf numFmtId="166" fontId="43" fillId="16" borderId="0" applyAlignment="1" pivotButton="0" quotePrefix="0" xfId="0">
      <alignment horizontal="center" wrapText="1"/>
    </xf>
    <xf numFmtId="2" fontId="43" fillId="16" borderId="0" applyAlignment="1" pivotButton="0" quotePrefix="0" xfId="0">
      <alignment horizontal="center"/>
    </xf>
    <xf numFmtId="166" fontId="43" fillId="16" borderId="0" applyAlignment="1" pivotButton="0" quotePrefix="0" xfId="0">
      <alignment horizontal="center"/>
    </xf>
    <xf numFmtId="175" fontId="12" fillId="6" borderId="0" applyAlignment="1" pivotButton="0" quotePrefix="0" xfId="0">
      <alignment horizontal="center"/>
    </xf>
    <xf numFmtId="175" fontId="0" fillId="0" borderId="0" applyAlignment="1" pivotButton="0" quotePrefix="0" xfId="0">
      <alignment horizontal="center"/>
    </xf>
    <xf numFmtId="175" fontId="0" fillId="19" borderId="0" applyAlignment="1" pivotButton="0" quotePrefix="0" xfId="0">
      <alignment horizontal="center"/>
    </xf>
    <xf numFmtId="165" fontId="43" fillId="16" borderId="0" applyAlignment="1" pivotButton="0" quotePrefix="0" xfId="0">
      <alignment horizontal="center" wrapText="1"/>
    </xf>
    <xf numFmtId="2" fontId="12" fillId="5" borderId="0" applyAlignment="1" pivotButton="0" quotePrefix="0" xfId="0">
      <alignment horizontal="center" vertical="bottom"/>
    </xf>
    <xf numFmtId="175" fontId="12" fillId="0" borderId="0" applyAlignment="1" pivotButton="0" quotePrefix="0" xfId="0">
      <alignment horizontal="center" vertical="bottom"/>
    </xf>
    <xf numFmtId="175" fontId="0" fillId="0" borderId="0" applyAlignment="1" pivotButton="0" quotePrefix="0" xfId="0">
      <alignment horizontal="general" vertical="bottom"/>
    </xf>
    <xf numFmtId="177" fontId="0" fillId="0" borderId="0" pivotButton="0" quotePrefix="0" xfId="0"/>
    <xf numFmtId="2" fontId="11" fillId="0" borderId="0" applyAlignment="1" pivotButton="0" quotePrefix="0" xfId="0">
      <alignment horizontal="center" vertical="bottom"/>
    </xf>
    <xf numFmtId="175" fontId="11" fillId="0" borderId="0" applyAlignment="1" pivotButton="0" quotePrefix="0" xfId="0">
      <alignment horizontal="center" vertical="bottom"/>
    </xf>
    <xf numFmtId="2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2" fillId="15" borderId="0" applyAlignment="1" pivotButton="0" quotePrefix="0" xfId="0">
      <alignment horizontal="general" vertical="bottom"/>
    </xf>
    <xf numFmtId="0" fontId="13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66" fontId="43" fillId="16" borderId="0" applyAlignment="1" pivotButton="0" quotePrefix="0" xfId="0">
      <alignment horizontal="general" vertical="bottom"/>
    </xf>
    <xf numFmtId="175" fontId="11" fillId="0" borderId="0" applyAlignment="1" pivotButton="0" quotePrefix="0" xfId="0">
      <alignment horizontal="general" vertical="bottom"/>
    </xf>
    <xf numFmtId="175" fontId="13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4" fillId="0" borderId="1" applyAlignment="1" pivotButton="0" quotePrefix="0" xfId="0">
      <alignment horizontal="center" vertical="bottom"/>
    </xf>
    <xf numFmtId="166" fontId="0" fillId="0" borderId="0" pivotButton="0" quotePrefix="0" xfId="0"/>
    <xf numFmtId="175" fontId="0" fillId="0" borderId="0" pivotButton="0" quotePrefix="0" xfId="0"/>
    <xf numFmtId="169" fontId="11" fillId="15" borderId="0" applyAlignment="1" pivotButton="0" quotePrefix="0" xfId="0">
      <alignment horizontal="center" vertical="bottom"/>
    </xf>
    <xf numFmtId="169" fontId="43" fillId="16" borderId="0" applyAlignment="1" pivotButton="0" quotePrefix="0" xfId="0">
      <alignment horizontal="center" wrapText="1"/>
    </xf>
    <xf numFmtId="169" fontId="11" fillId="0" borderId="0" applyAlignment="1" pivotButton="0" quotePrefix="0" xfId="0">
      <alignment vertical="top" wrapText="1"/>
    </xf>
    <xf numFmtId="169" fontId="41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 wrapText="1"/>
    </xf>
    <xf numFmtId="0" fontId="43" fillId="16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center" vertical="bottom" wrapText="1"/>
    </xf>
    <xf numFmtId="166" fontId="40" fillId="0" borderId="0" applyAlignment="1" pivotButton="0" quotePrefix="0" xfId="0">
      <alignment horizontal="center" vertical="bottom"/>
    </xf>
    <xf numFmtId="165" fontId="40" fillId="15" borderId="0" applyAlignment="1" pivotButton="0" quotePrefix="0" xfId="0">
      <alignment horizontal="center" vertical="bottom"/>
    </xf>
    <xf numFmtId="165" fontId="40" fillId="0" borderId="0" applyAlignment="1" pivotButton="0" quotePrefix="0" xfId="0">
      <alignment horizontal="center" vertical="bottom"/>
    </xf>
    <xf numFmtId="175" fontId="40" fillId="0" borderId="0" applyAlignment="1" pivotButton="0" quotePrefix="0" xfId="0">
      <alignment horizontal="center" vertical="bottom"/>
    </xf>
    <xf numFmtId="177" fontId="40" fillId="0" borderId="0" applyAlignment="1" pivotButton="0" quotePrefix="0" xfId="0">
      <alignment horizontal="center" vertical="bottom"/>
    </xf>
    <xf numFmtId="3" fontId="40" fillId="0" borderId="0" applyAlignment="1" pivotButton="0" quotePrefix="0" xfId="0">
      <alignment horizontal="center" vertical="bottom"/>
    </xf>
    <xf numFmtId="175" fontId="40" fillId="0" borderId="0" pivotButton="0" quotePrefix="0" xfId="0"/>
    <xf numFmtId="177" fontId="40" fillId="0" borderId="0" pivotButton="0" quotePrefix="0" xfId="0"/>
    <xf numFmtId="0" fontId="43" fillId="2" borderId="0" applyAlignment="1" pivotButton="0" quotePrefix="0" xfId="0">
      <alignment horizontal="general" vertical="bottom"/>
    </xf>
    <xf numFmtId="0" fontId="44" fillId="20" borderId="0" pivotButton="0" quotePrefix="0" xfId="0"/>
    <xf numFmtId="166" fontId="0" fillId="20" borderId="0" pivotButton="0" quotePrefix="0" xfId="0"/>
    <xf numFmtId="178" fontId="0" fillId="0" borderId="0" pivotButton="0" quotePrefix="0" xfId="0"/>
    <xf numFmtId="179" fontId="0" fillId="0" borderId="0" pivotButton="0" quotePrefix="0" xfId="0"/>
    <xf numFmtId="0" fontId="43" fillId="16" borderId="0" applyAlignment="1" pivotButton="0" quotePrefix="0" xfId="0">
      <alignment horizontal="center"/>
    </xf>
    <xf numFmtId="0" fontId="51" fillId="0" borderId="0" applyAlignment="1" pivotButton="0" quotePrefix="0" xfId="0">
      <alignment vertical="top" wrapText="1"/>
    </xf>
    <xf numFmtId="0" fontId="44" fillId="15" borderId="0" pivotButton="0" quotePrefix="0" xfId="0"/>
    <xf numFmtId="0" fontId="41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166" fontId="40" fillId="0" borderId="0" applyAlignment="1" pivotButton="0" quotePrefix="0" xfId="0">
      <alignment horizontal="general" vertical="bottom"/>
    </xf>
    <xf numFmtId="166" fontId="40" fillId="0" borderId="0" pivotButton="0" quotePrefix="0" xfId="0"/>
    <xf numFmtId="166" fontId="47" fillId="0" borderId="0" pivotButton="0" quotePrefix="0" xfId="0"/>
    <xf numFmtId="0" fontId="52" fillId="0" borderId="0" pivotButton="0" quotePrefix="0" xfId="0"/>
    <xf numFmtId="0" fontId="45" fillId="0" borderId="0" pivotButton="0" quotePrefix="0" xfId="0"/>
    <xf numFmtId="0" fontId="40" fillId="16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center" vertical="bottom"/>
    </xf>
    <xf numFmtId="169" fontId="43" fillId="16" borderId="0" applyAlignment="1" pivotButton="0" quotePrefix="0" xfId="0">
      <alignment horizontal="center" vertical="bottom"/>
    </xf>
    <xf numFmtId="180" fontId="37" fillId="0" borderId="0" applyAlignment="1" pivotButton="0" quotePrefix="0" xfId="0">
      <alignment horizontal="center" vertical="bottom"/>
    </xf>
    <xf numFmtId="180" fontId="37" fillId="0" borderId="0" pivotButton="0" quotePrefix="0" xfId="0"/>
    <xf numFmtId="180" fontId="38" fillId="0" borderId="0" applyAlignment="1" pivotButton="0" quotePrefix="0" xfId="0">
      <alignment horizontal="center" vertical="bottom"/>
    </xf>
    <xf numFmtId="180" fontId="38" fillId="0" borderId="0" pivotButton="0" quotePrefix="0" xfId="0"/>
    <xf numFmtId="0" fontId="47" fillId="12" borderId="0" applyAlignment="1" pivotButton="0" quotePrefix="0" xfId="0">
      <alignment horizontal="general" vertical="bottom"/>
    </xf>
    <xf numFmtId="0" fontId="41" fillId="12" borderId="0" applyAlignment="1" pivotButton="0" quotePrefix="0" xfId="0">
      <alignment horizontal="center" vertical="bottom"/>
    </xf>
    <xf numFmtId="169" fontId="40" fillId="12" borderId="0" applyAlignment="1" pivotButton="0" quotePrefix="0" xfId="0">
      <alignment horizontal="center" vertical="bottom"/>
    </xf>
    <xf numFmtId="0" fontId="40" fillId="12" borderId="0" pivotButton="0" quotePrefix="0" xfId="0"/>
    <xf numFmtId="166" fontId="40" fillId="13" borderId="0" applyAlignment="1" pivotButton="0" quotePrefix="0" xfId="0">
      <alignment horizontal="center" vertical="bottom"/>
    </xf>
    <xf numFmtId="175" fontId="40" fillId="13" borderId="0" applyAlignment="1" pivotButton="0" quotePrefix="0" xfId="0">
      <alignment horizontal="center" vertical="bottom"/>
    </xf>
    <xf numFmtId="175" fontId="40" fillId="13" borderId="0" pivotButton="0" quotePrefix="0" xfId="0"/>
    <xf numFmtId="3" fontId="40" fillId="13" borderId="0" applyAlignment="1" pivotButton="0" quotePrefix="0" xfId="0">
      <alignment horizontal="center" vertical="bottom"/>
    </xf>
    <xf numFmtId="166" fontId="40" fillId="14" borderId="0" applyAlignment="1" pivotButton="0" quotePrefix="0" xfId="0">
      <alignment horizontal="center" vertical="bottom"/>
    </xf>
    <xf numFmtId="175" fontId="40" fillId="14" borderId="0" applyAlignment="1" pivotButton="0" quotePrefix="0" xfId="0">
      <alignment horizontal="center" vertical="bottom"/>
    </xf>
    <xf numFmtId="175" fontId="40" fillId="14" borderId="0" pivotButton="0" quotePrefix="0" xfId="0"/>
    <xf numFmtId="3" fontId="40" fillId="14" borderId="0" applyAlignment="1" pivotButton="0" quotePrefix="0" xfId="0">
      <alignment horizontal="center" vertical="bottom"/>
    </xf>
    <xf numFmtId="0" fontId="40" fillId="12" borderId="0" applyAlignment="1" pivotButton="0" quotePrefix="0" xfId="0">
      <alignment horizontal="general" vertical="bottom"/>
    </xf>
    <xf numFmtId="169" fontId="40" fillId="0" borderId="0" pivotButton="0" quotePrefix="0" xfId="0"/>
    <xf numFmtId="0" fontId="53" fillId="21" borderId="0" applyAlignment="1" pivotButton="0" quotePrefix="0" xfId="0">
      <alignment horizontal="right"/>
    </xf>
    <xf numFmtId="0" fontId="41" fillId="2" borderId="0" applyAlignment="1" pivotButton="0" quotePrefix="0" xfId="0">
      <alignment horizontal="center" vertical="bottom"/>
    </xf>
    <xf numFmtId="0" fontId="54" fillId="0" borderId="0" applyAlignment="1" pivotButton="0" quotePrefix="0" xfId="0">
      <alignment horizontal="general" vertical="bottom"/>
    </xf>
    <xf numFmtId="166" fontId="40" fillId="15" borderId="0" applyAlignment="1" pivotButton="0" quotePrefix="0" xfId="0">
      <alignment horizontal="center" vertical="bottom"/>
    </xf>
    <xf numFmtId="9" fontId="40" fillId="17" borderId="0" applyAlignment="1" pivotButton="0" quotePrefix="0" xfId="0">
      <alignment horizontal="center" vertical="bottom"/>
    </xf>
    <xf numFmtId="175" fontId="40" fillId="17" borderId="0" applyAlignment="1" pivotButton="0" quotePrefix="0" xfId="0">
      <alignment horizontal="center"/>
    </xf>
    <xf numFmtId="9" fontId="44" fillId="21" borderId="0" applyAlignment="1" pivotButton="0" quotePrefix="0" xfId="0">
      <alignment horizontal="center" vertical="bottom"/>
    </xf>
    <xf numFmtId="175" fontId="44" fillId="21" borderId="0" applyAlignment="1" pivotButton="0" quotePrefix="0" xfId="0">
      <alignment horizontal="center"/>
    </xf>
    <xf numFmtId="9" fontId="41" fillId="0" borderId="0" applyAlignment="1" pivotButton="0" quotePrefix="0" xfId="0">
      <alignment horizontal="center" vertical="bottom"/>
    </xf>
    <xf numFmtId="175" fontId="41" fillId="0" borderId="0" applyAlignment="1" pivotButton="0" quotePrefix="0" xfId="0">
      <alignment horizontal="center"/>
    </xf>
    <xf numFmtId="0" fontId="40" fillId="15" borderId="0" applyAlignment="1" pivotButton="0" quotePrefix="0" xfId="0">
      <alignment horizontal="general" vertical="bottom"/>
    </xf>
    <xf numFmtId="166" fontId="40" fillId="17" borderId="0" applyAlignment="1" pivotButton="0" quotePrefix="0" xfId="0">
      <alignment horizontal="center"/>
    </xf>
    <xf numFmtId="166" fontId="44" fillId="21" borderId="0" applyAlignment="1" pivotButton="0" quotePrefix="0" xfId="0">
      <alignment horizontal="center"/>
    </xf>
    <xf numFmtId="166" fontId="41" fillId="0" borderId="0" applyAlignment="1" pivotButton="0" quotePrefix="0" xfId="0">
      <alignment horizontal="center"/>
    </xf>
    <xf numFmtId="166" fontId="40" fillId="0" borderId="0" applyAlignment="1" pivotButton="0" quotePrefix="0" xfId="0">
      <alignment horizontal="center" wrapText="1"/>
    </xf>
    <xf numFmtId="2" fontId="40" fillId="0" borderId="0" applyAlignment="1" pivotButton="0" quotePrefix="0" xfId="0">
      <alignment horizontal="center"/>
    </xf>
    <xf numFmtId="166" fontId="40" fillId="0" borderId="0" applyAlignment="1" pivotButton="0" quotePrefix="0" xfId="0">
      <alignment horizontal="center"/>
    </xf>
    <xf numFmtId="175" fontId="40" fillId="0" borderId="0" applyAlignment="1" pivotButton="0" quotePrefix="0" xfId="0">
      <alignment horizontal="center"/>
    </xf>
    <xf numFmtId="175" fontId="43" fillId="16" borderId="0" applyAlignment="1" pivotButton="0" quotePrefix="0" xfId="0">
      <alignment horizontal="center" vertical="bottom"/>
    </xf>
    <xf numFmtId="9" fontId="40" fillId="0" borderId="0" applyAlignment="1" pivotButton="0" quotePrefix="0" xfId="0">
      <alignment horizontal="general" vertical="bottom"/>
    </xf>
    <xf numFmtId="9" fontId="44" fillId="21" borderId="0" applyAlignment="1" pivotButton="0" quotePrefix="0" xfId="0">
      <alignment horizontal="general" vertical="bottom"/>
    </xf>
    <xf numFmtId="175" fontId="40" fillId="21" borderId="0" applyAlignment="1" pivotButton="0" quotePrefix="0" xfId="0">
      <alignment horizontal="center" vertical="bottom"/>
    </xf>
    <xf numFmtId="166" fontId="40" fillId="21" borderId="0" applyAlignment="1" pivotButton="0" quotePrefix="0" xfId="0">
      <alignment horizontal="center" vertical="bottom"/>
    </xf>
    <xf numFmtId="0" fontId="42" fillId="0" borderId="0" applyAlignment="1" pivotButton="0" quotePrefix="0" xfId="0">
      <alignment horizontal="general" vertical="bottom"/>
    </xf>
    <xf numFmtId="178" fontId="40" fillId="0" borderId="0" applyAlignment="1" pivotButton="0" quotePrefix="0" xfId="0">
      <alignment horizontal="center" vertical="bottom"/>
    </xf>
    <xf numFmtId="168" fontId="40" fillId="0" borderId="0" applyAlignment="1" pivotButton="0" quotePrefix="0" xfId="0">
      <alignment horizontal="center" vertical="bottom"/>
    </xf>
    <xf numFmtId="0" fontId="52" fillId="0" borderId="0" applyAlignment="1" pivotButton="0" quotePrefix="0" xfId="0">
      <alignment horizontal="general" vertical="bottom"/>
    </xf>
    <xf numFmtId="0" fontId="53" fillId="0" borderId="0" pivotButton="0" quotePrefix="0" xfId="0"/>
    <xf numFmtId="0" fontId="0" fillId="20" borderId="0" pivotButton="0" quotePrefix="0" xfId="0"/>
    <xf numFmtId="0" fontId="43" fillId="16" borderId="0" applyAlignment="1" pivotButton="0" quotePrefix="0" xfId="0">
      <alignment horizontal="left" wrapText="1"/>
    </xf>
    <xf numFmtId="0" fontId="41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F0"/>
      <rgbColor rgb="FFFCE4EC"/>
      <rgbColor rgb="FFF5F5F5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BE8A42"/>
      <rgbColor rgb="FF0F2B5C"/>
      <rgbColor rgb="FF2E7D5B"/>
      <rgbColor rgb="FF003300"/>
      <rgbColor rgb="FF333300"/>
      <rgbColor rgb="FF993300"/>
      <rgbColor rgb="FF993366"/>
      <rgbColor rgb="FF595959"/>
      <rgbColor rgb="FF1F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06" min="1" max="1"/>
    <col width="18" customWidth="1" style="306" min="2" max="3"/>
    <col width="16" customWidth="1" style="306" min="4" max="4"/>
    <col width="40" customWidth="1" style="306" min="5" max="5"/>
    <col width="4" customWidth="1" style="306" min="6" max="6"/>
    <col width="12" customWidth="1" style="306" min="7" max="8"/>
    <col width="4" customWidth="1" style="306" min="9" max="9"/>
    <col width="10" customWidth="1" style="306" min="10" max="10"/>
  </cols>
  <sheetData>
    <row r="1" ht="17.25" customHeight="1" s="307">
      <c r="A1" s="308" t="inlineStr">
        <is>
          <t>PRESS CAPITAL -- Fund I ASSUMPTIONS</t>
        </is>
      </c>
      <c r="B1" s="309" t="n"/>
      <c r="C1" s="309" t="n"/>
      <c r="D1" s="309" t="n"/>
      <c r="E1" s="309" t="n"/>
    </row>
    <row r="2" ht="15" customHeight="1" s="307">
      <c r="A2" s="310" t="inlineStr">
        <is>
          <t>All blue cells are adjustable inputs. Black cells on gray are calculated.</t>
        </is>
      </c>
      <c r="D2" s="627" t="inlineStr">
        <is>
          <t>UNDERWRITING SCENARIO set in B136 below (Bear 80% / Base 85% / Bull 90%).</t>
        </is>
      </c>
    </row>
    <row r="3">
      <c r="D3" s="706" t="inlineStr">
        <is>
          <t>ACTIVE: $150M, 50% RECYCLE. NDR 80/90/100 (Yr1-6) -&gt; 85% decay (Yr7+). 5 base + 3 recycled (M24/32/40).</t>
        </is>
      </c>
    </row>
    <row r="4" ht="15" customHeight="1" s="307">
      <c r="A4" s="311" t="inlineStr">
        <is>
          <t>FUND PARAMETERS</t>
        </is>
      </c>
      <c r="B4" s="309" t="n"/>
      <c r="C4" s="309" t="n"/>
      <c r="D4" s="309" t="n"/>
      <c r="E4" s="309" t="n"/>
    </row>
    <row r="5" ht="15" customHeight="1" s="307">
      <c r="A5" s="312" t="inlineStr">
        <is>
          <t>Fund Size ($)</t>
        </is>
      </c>
      <c r="B5" s="313" t="n">
        <v>150000000</v>
      </c>
      <c r="C5" s="615" t="inlineStr">
        <is>
          <t>Raised from $150M to fix -$0.4M cushion (LPs slightly increased).</t>
        </is>
      </c>
    </row>
    <row r="6" ht="15" customHeight="1" s="307">
      <c r="A6" s="314" t="inlineStr">
        <is>
          <t>Number of Deals</t>
        </is>
      </c>
      <c r="B6" s="315" t="n">
        <v>5</v>
      </c>
    </row>
    <row r="7" ht="15" customHeight="1" s="307">
      <c r="A7" s="314" t="inlineStr">
        <is>
          <t>ARR per Deal ($)</t>
        </is>
      </c>
      <c r="B7" s="316" t="n">
        <v>24000000</v>
      </c>
    </row>
    <row r="8" ht="15" customHeight="1" s="307">
      <c r="A8" s="314" t="inlineStr">
        <is>
          <t>Entry Multiple (x ARR)</t>
        </is>
      </c>
      <c r="B8" s="317" t="n">
        <v>1.25</v>
      </c>
    </row>
    <row r="9" ht="15" customHeight="1" s="307">
      <c r="A9" s="314" t="inlineStr">
        <is>
          <t>Capital per Deal ($)</t>
        </is>
      </c>
      <c r="B9" s="318" t="n">
        <v>30000000</v>
      </c>
      <c r="E9" s="310" t="inlineStr">
        <is>
          <t>ARR x Entry Multiple (auto)</t>
        </is>
      </c>
    </row>
    <row r="10" ht="15" customHeight="1" s="307">
      <c r="A10" s="314" t="inlineStr">
        <is>
          <t>Total Capital Deployed ($)</t>
        </is>
      </c>
      <c r="B10" s="318" t="n">
        <v>150000000</v>
      </c>
      <c r="E10" s="310" t="inlineStr">
        <is>
          <t>Deals x Capital per Deal (auto)</t>
        </is>
      </c>
    </row>
    <row r="11" ht="15" customHeight="1" s="307">
      <c r="A11" s="314" t="inlineStr">
        <is>
          <t>Asset Deal % (50% rev haircut Y1)</t>
        </is>
      </c>
      <c r="B11" s="319" t="n">
        <v>0.25</v>
      </c>
    </row>
    <row r="12" ht="15" customHeight="1" s="307">
      <c r="A12" s="314" t="inlineStr">
        <is>
          <t>Share Deal %</t>
        </is>
      </c>
      <c r="B12" s="320" t="n">
        <v>0.75</v>
      </c>
      <c r="E12" s="310" t="inlineStr">
        <is>
          <t>1 - Asset Deal %</t>
        </is>
      </c>
    </row>
    <row r="13" ht="15" customHeight="1" s="307">
      <c r="A13" s="321" t="inlineStr">
        <is>
          <t>Leverage / Debt</t>
        </is>
      </c>
      <c r="B13" s="322" t="inlineStr">
        <is>
          <t>Zero</t>
        </is>
      </c>
      <c r="E13" s="323" t="inlineStr">
        <is>
          <t>No debt at fund or portfolio company level. All cash acquisitions.</t>
        </is>
      </c>
    </row>
    <row r="15" ht="15" customHeight="1" s="307">
      <c r="A15" s="311" t="inlineStr">
        <is>
          <t>RETENTION &amp; GROWTH</t>
        </is>
      </c>
      <c r="B15" s="309" t="n"/>
      <c r="C15" s="309" t="n"/>
      <c r="D15" s="309" t="n"/>
      <c r="E15" s="309" t="n"/>
    </row>
    <row r="16" ht="15" customHeight="1" s="307">
      <c r="A16" s="312" t="inlineStr">
        <is>
          <t>Net Dollar Retention -- Base Case</t>
        </is>
      </c>
      <c r="B16" s="324" t="n">
        <v>0.85</v>
      </c>
    </row>
    <row r="17" ht="15" customHeight="1" s="307">
      <c r="A17" s="314" t="inlineStr">
        <is>
          <t>Net Dollar Retention -- Homerun</t>
        </is>
      </c>
      <c r="B17" s="319" t="n">
        <v>0.95</v>
      </c>
    </row>
    <row r="18" ht="15" customHeight="1" s="307">
      <c r="A18" s="314" t="inlineStr">
        <is>
          <t>Net Dollar Retention -- Looser</t>
        </is>
      </c>
      <c r="B18" s="319" t="n">
        <v>0.8</v>
      </c>
      <c r="E18" s="310" t="inlineStr">
        <is>
          <t>Conservative / stress test scenario</t>
        </is>
      </c>
    </row>
    <row r="19" ht="15" customHeight="1" s="307">
      <c r="A19" s="314" t="inlineStr">
        <is>
          <t>NCA % -- Base Case</t>
        </is>
      </c>
      <c r="B19" s="319" t="n">
        <v>0</v>
      </c>
    </row>
    <row r="20" ht="15" customHeight="1" s="307">
      <c r="A20" s="314" t="inlineStr">
        <is>
          <t>NCA % -- Homerun</t>
        </is>
      </c>
      <c r="B20" s="319" t="n">
        <v>0.05</v>
      </c>
    </row>
    <row r="21" ht="15" customHeight="1" s="307">
      <c r="A21" s="314" t="inlineStr">
        <is>
          <t>Scenario Toggle (1=Base, 2=Homerun)</t>
        </is>
      </c>
      <c r="B21" s="315" t="n">
        <v>1</v>
      </c>
      <c r="E21" s="310" t="inlineStr">
        <is>
          <t>1=Base, 2=Homerun, 3=Looser</t>
        </is>
      </c>
    </row>
    <row r="22" ht="15" customHeight="1" s="307">
      <c r="A22" s="314" t="inlineStr">
        <is>
          <t>Active Retention Rate</t>
        </is>
      </c>
      <c r="B22" s="320" t="n">
        <v>0.85</v>
      </c>
      <c r="E22" s="310" t="inlineStr">
        <is>
          <t>Auto from toggle</t>
        </is>
      </c>
    </row>
    <row r="23" ht="15" customHeight="1" s="307">
      <c r="A23" s="314" t="inlineStr">
        <is>
          <t>Active NCA Rate</t>
        </is>
      </c>
      <c r="B23" s="320" t="n">
        <v>0</v>
      </c>
      <c r="E23" s="310" t="inlineStr">
        <is>
          <t>Auto from toggle</t>
        </is>
      </c>
    </row>
    <row r="25" ht="15" customHeight="1" s="307">
      <c r="A25" s="311" t="inlineStr">
        <is>
          <t>MARGIN MODEL</t>
        </is>
      </c>
      <c r="B25" s="309" t="n"/>
      <c r="C25" s="309" t="n"/>
      <c r="D25" s="309" t="n"/>
      <c r="E25" s="309" t="n"/>
    </row>
    <row r="26" ht="15" customHeight="1" s="307">
      <c r="A26" s="312" t="inlineStr">
        <is>
          <t>Net Margin (flat, all years)</t>
        </is>
      </c>
      <c r="B26" s="324" t="n">
        <v>0.625</v>
      </c>
      <c r="E26" s="310" t="inlineStr">
        <is>
          <t>Used in flat-margin tabs (3a-3d). Set to 0 to use component costs.</t>
        </is>
      </c>
    </row>
    <row r="28" ht="15" customHeight="1" s="307">
      <c r="A28" s="325" t="inlineStr">
        <is>
          <t>COST STRUCTURE</t>
        </is>
      </c>
      <c r="B28" s="326" t="n"/>
      <c r="C28" s="326" t="n"/>
      <c r="D28" s="326" t="n"/>
      <c r="E28" s="326" t="n"/>
    </row>
    <row r="29" ht="15" customHeight="1" s="307">
      <c r="A29" s="323" t="inlineStr">
        <is>
          <t>All companies assumed breakeven at entry. Adjust per-deal entry margin on Tab 2.</t>
        </is>
      </c>
      <c r="B29" s="321" t="n"/>
      <c r="C29" s="321" t="n"/>
      <c r="D29" s="321" t="n"/>
      <c r="E29" s="321" t="n"/>
    </row>
    <row r="30" ht="15" customHeight="1" s="307">
      <c r="A30" s="321" t="inlineStr">
        <is>
          <t>COGS</t>
        </is>
      </c>
      <c r="B30" s="319" t="n">
        <v>0.1</v>
      </c>
      <c r="C30" s="327" t="n"/>
      <c r="D30" s="321" t="n"/>
      <c r="E30" s="323" t="inlineStr">
        <is>
          <t>Ramps from 25% at close to 10% over 6 months</t>
        </is>
      </c>
    </row>
    <row r="31" ht="15" customHeight="1" s="307">
      <c r="A31" s="321" t="inlineStr">
        <is>
          <t>Vendor Costs</t>
        </is>
      </c>
      <c r="B31" s="319" t="n">
        <v>0.05</v>
      </c>
      <c r="C31" s="327" t="n"/>
      <c r="D31" s="321" t="n"/>
      <c r="E31" s="323" t="inlineStr">
        <is>
          <t>Ramps from 10% at close to 5% over 6 months</t>
        </is>
      </c>
    </row>
    <row r="32" ht="15" customHeight="1" s="307">
      <c r="A32" s="321" t="inlineStr">
        <is>
          <t>Corporate Allocation</t>
        </is>
      </c>
      <c r="B32" s="319" t="n">
        <v>0.06</v>
      </c>
      <c r="C32" s="327" t="n"/>
      <c r="D32" s="321" t="n"/>
      <c r="E32" s="323" t="inlineStr">
        <is>
          <t>Flat</t>
        </is>
      </c>
    </row>
    <row r="33" ht="15" customHeight="1" s="307">
      <c r="A33" s="321" t="inlineStr">
        <is>
          <t>Legacy Headcount Expenses</t>
        </is>
      </c>
      <c r="B33" s="319" t="n">
        <v>0</v>
      </c>
      <c r="C33" s="321" t="n"/>
      <c r="D33" s="321" t="n"/>
      <c r="E33" s="323" t="inlineStr">
        <is>
          <t>Acquired company staff. 50% cut day 1, 90% by M6, 100% by M24. Rate derived from entry profit per deal.</t>
        </is>
      </c>
    </row>
    <row r="34" ht="15" customHeight="1" s="307">
      <c r="A34" s="321" t="inlineStr">
        <is>
          <t>Salary Overhead Loading</t>
        </is>
      </c>
      <c r="B34" s="319" t="n">
        <v>0.3</v>
      </c>
      <c r="C34" s="327" t="n"/>
      <c r="D34" s="321" t="n"/>
      <c r="E34" s="323" t="inlineStr">
        <is>
          <t>On top of base salaries</t>
        </is>
      </c>
    </row>
    <row r="35" ht="15" customHeight="1" s="307">
      <c r="A35" s="321" t="inlineStr">
        <is>
          <t>Bonus Pool Threshold</t>
        </is>
      </c>
      <c r="B35" s="319" t="n">
        <v>1</v>
      </c>
      <c r="C35" s="754" t="inlineStr">
        <is>
          <t>Set to 100% per GP -- no bonus pool. All margin upside flows to investors.</t>
        </is>
      </c>
      <c r="D35" s="321" t="n"/>
      <c r="E35" s="323" t="inlineStr">
        <is>
          <t>Included in OpEx. Everything above 62.5% EBITDA margin goes to team.</t>
        </is>
      </c>
    </row>
    <row r="36" ht="15" customHeight="1" s="307">
      <c r="A36" s="321" t="n"/>
      <c r="B36" s="321" t="n"/>
      <c r="C36" s="321" t="n"/>
      <c r="D36" s="321" t="n"/>
      <c r="E36" s="321" t="n"/>
    </row>
    <row r="37" ht="15" customHeight="1" s="307">
      <c r="A37" s="311" t="inlineStr">
        <is>
          <t>WATERFALL &amp; DISTRIBUTION</t>
        </is>
      </c>
      <c r="B37" s="309" t="n"/>
      <c r="C37" s="309" t="n"/>
      <c r="D37" s="309" t="n"/>
      <c r="E37" s="309" t="n"/>
    </row>
    <row r="38" ht="15" customHeight="1" s="307">
      <c r="A38" s="312" t="inlineStr">
        <is>
          <t>Phase 1: Return of Capital (x)</t>
        </is>
      </c>
      <c r="B38" s="328" t="n">
        <v>1</v>
      </c>
      <c r="E38" s="310" t="inlineStr">
        <is>
          <t>100% to LPs until 1x returned</t>
        </is>
      </c>
    </row>
    <row r="39" ht="15" customHeight="1" s="307">
      <c r="A39" s="312" t="inlineStr">
        <is>
          <t>Preferred Return (Annual)</t>
        </is>
      </c>
      <c r="B39" s="324" t="n">
        <v>0.1</v>
      </c>
      <c r="E39" s="310" t="inlineStr">
        <is>
          <t>10% pref on unreturned capital</t>
        </is>
      </c>
    </row>
    <row r="40" ht="15" customHeight="1" s="307">
      <c r="A40" s="314" t="inlineStr">
        <is>
          <t>Tier 2: LP Split % (1x-2x)</t>
        </is>
      </c>
      <c r="B40" s="319" t="n">
        <v>0.8</v>
      </c>
      <c r="E40" s="310" t="inlineStr">
        <is>
          <t>HoldCo gets 20%</t>
        </is>
      </c>
    </row>
    <row r="41" ht="15" customHeight="1" s="307">
      <c r="A41" s="314" t="inlineStr">
        <is>
          <t>Tier 3: LP Split % (2x-3x)</t>
        </is>
      </c>
      <c r="B41" s="319" t="n">
        <v>0.75</v>
      </c>
      <c r="E41" s="310" t="inlineStr">
        <is>
          <t>HoldCo gets 25%</t>
        </is>
      </c>
    </row>
    <row r="42" ht="15" customHeight="1" s="307">
      <c r="A42" s="314" t="inlineStr">
        <is>
          <t>Tier 4: LP Split % (above 3x)</t>
        </is>
      </c>
      <c r="B42" s="319" t="n">
        <v>0.7</v>
      </c>
      <c r="E42" s="310" t="inlineStr">
        <is>
          <t>HoldCo gets 30% -- perpetual</t>
        </is>
      </c>
    </row>
    <row r="43" ht="15" customHeight="1" s="307">
      <c r="A43" s="314" t="inlineStr">
        <is>
          <t>Mgmt Fee Schedule</t>
        </is>
      </c>
      <c r="B43" s="329" t="inlineStr">
        <is>
          <t>2% Y1 only</t>
        </is>
      </c>
      <c r="E43" s="310" t="inlineStr">
        <is>
          <t>0% after Y1 once 3 deals deployed</t>
        </is>
      </c>
    </row>
    <row r="45" ht="15" customHeight="1" s="307">
      <c r="A45" s="311" t="inlineStr">
        <is>
          <t>TIERED WATERFALL THRESHOLDS</t>
        </is>
      </c>
      <c r="B45" s="309" t="n"/>
      <c r="C45" s="309" t="n"/>
      <c r="D45" s="309" t="n"/>
      <c r="E45" s="309" t="n"/>
    </row>
    <row r="46" ht="15" customHeight="1" s="307">
      <c r="A46" s="312" t="inlineStr">
        <is>
          <t>Tier</t>
        </is>
      </c>
      <c r="B46" s="312" t="inlineStr">
        <is>
          <t>Threshold (x)</t>
        </is>
      </c>
      <c r="C46" s="312" t="inlineStr">
        <is>
          <t>LP Split %</t>
        </is>
      </c>
    </row>
    <row r="47" ht="15" customHeight="1" s="307">
      <c r="A47" s="314" t="inlineStr">
        <is>
          <t>Tier 1</t>
        </is>
      </c>
      <c r="B47" s="329" t="inlineStr">
        <is>
          <t>1x</t>
        </is>
      </c>
      <c r="C47" s="319" t="n">
        <v>1</v>
      </c>
    </row>
    <row r="48" ht="15" customHeight="1" s="307">
      <c r="A48" s="314" t="inlineStr">
        <is>
          <t>Tier 2</t>
        </is>
      </c>
      <c r="B48" s="329" t="inlineStr">
        <is>
          <t>2x</t>
        </is>
      </c>
      <c r="C48" s="319" t="n">
        <v>0.8</v>
      </c>
    </row>
    <row r="49" ht="15" customHeight="1" s="307">
      <c r="A49" s="314" t="inlineStr">
        <is>
          <t>Tier 3</t>
        </is>
      </c>
      <c r="B49" s="329" t="inlineStr">
        <is>
          <t>3x</t>
        </is>
      </c>
      <c r="C49" s="319" t="n">
        <v>0.75</v>
      </c>
    </row>
    <row r="50" ht="15" customHeight="1" s="307">
      <c r="A50" s="314" t="inlineStr">
        <is>
          <t>Tier 4 (above 3x)</t>
        </is>
      </c>
      <c r="B50" s="329" t="n"/>
      <c r="C50" s="319" t="n">
        <v>0.7</v>
      </c>
    </row>
    <row r="52" ht="15" customHeight="1" s="307">
      <c r="A52" s="311" t="inlineStr">
        <is>
          <t>TEAM &amp; COMPENSATION</t>
        </is>
      </c>
      <c r="B52" s="309" t="n"/>
      <c r="C52" s="309" t="n"/>
      <c r="D52" s="309" t="n"/>
      <c r="E52" s="309" t="n"/>
    </row>
    <row r="53" ht="15" customHeight="1" s="307">
      <c r="A53" s="314" t="inlineStr">
        <is>
          <t>CEO Salary ($, base)</t>
        </is>
      </c>
      <c r="B53" s="316" t="n">
        <v>1000000</v>
      </c>
    </row>
    <row r="54" ht="15" customHeight="1" s="307">
      <c r="A54" s="314" t="inlineStr">
        <is>
          <t>COO Salary ($, base)</t>
        </is>
      </c>
      <c r="B54" s="316" t="n">
        <v>500000</v>
      </c>
    </row>
    <row r="55" ht="15" customHeight="1" s="307">
      <c r="A55" s="314" t="inlineStr">
        <is>
          <t>CFO Salary ($, base)</t>
        </is>
      </c>
      <c r="B55" s="316" t="n">
        <v>500000</v>
      </c>
    </row>
    <row r="56" ht="15" customHeight="1" s="307">
      <c r="A56" s="314" t="inlineStr">
        <is>
          <t>CPO Salary ($, base)</t>
        </is>
      </c>
      <c r="B56" s="316" t="n">
        <v>500000</v>
      </c>
    </row>
    <row r="57" ht="15" customHeight="1" s="307">
      <c r="A57" s="314" t="inlineStr">
        <is>
          <t>CTO Salary ($, base)</t>
        </is>
      </c>
      <c r="B57" s="316" t="n">
        <v>500000</v>
      </c>
    </row>
    <row r="58" ht="15" customHeight="1" s="307">
      <c r="A58" s="314" t="inlineStr">
        <is>
          <t>CRO Salary ($, base)</t>
        </is>
      </c>
      <c r="B58" s="316" t="n">
        <v>500000</v>
      </c>
    </row>
    <row r="59" ht="15" customHeight="1" s="307">
      <c r="A59" s="314" t="inlineStr">
        <is>
          <t>Team Steady State Headcount</t>
        </is>
      </c>
      <c r="B59" s="315" t="n">
        <v>20</v>
      </c>
    </row>
    <row r="60" ht="15" customHeight="1" s="307">
      <c r="A60" s="314" t="inlineStr">
        <is>
          <t xml:space="preserve">  Direct Reports: 5 at $250K</t>
        </is>
      </c>
      <c r="B60" s="316" t="n">
        <v>250000</v>
      </c>
      <c r="E60" s="310" t="inlineStr">
        <is>
          <t>Senior operators (layered in with deals 1-3)</t>
        </is>
      </c>
    </row>
    <row r="61" ht="15" customHeight="1" s="307">
      <c r="A61" s="314" t="inlineStr">
        <is>
          <t xml:space="preserve">  Direct Reports: 9 at $125K</t>
        </is>
      </c>
      <c r="B61" s="316" t="n">
        <v>125000</v>
      </c>
      <c r="E61" s="310" t="inlineStr">
        <is>
          <t>Junior operators (layered in with deals 3-5)</t>
        </is>
      </c>
    </row>
    <row r="62" ht="15" customHeight="1" s="307">
      <c r="A62" s="314" t="inlineStr">
        <is>
          <t>ARR Step Threshold ($)</t>
        </is>
      </c>
      <c r="B62" s="316" t="n">
        <v>100000000</v>
      </c>
      <c r="E62" s="310" t="inlineStr">
        <is>
          <t>$75M default -- toggle to change tier size</t>
        </is>
      </c>
    </row>
    <row r="63" ht="15" customHeight="1" s="307">
      <c r="A63" s="314" t="inlineStr">
        <is>
          <t>Step-Up Multiplier per Tier</t>
        </is>
      </c>
      <c r="B63" s="330" t="n">
        <v>1.5</v>
      </c>
      <c r="E63" s="310" t="inlineStr">
        <is>
          <t>1.5x = 50% raise per tier; compounds across tiers</t>
        </is>
      </c>
    </row>
    <row r="65" ht="15" customHeight="1" s="307">
      <c r="A65" s="311" t="inlineStr">
        <is>
          <t>DEPLOYMENT TIMING</t>
        </is>
      </c>
      <c r="B65" s="309" t="n"/>
      <c r="C65" s="309" t="n"/>
      <c r="D65" s="309" t="n"/>
      <c r="E65" s="309" t="n"/>
    </row>
    <row r="66" ht="15" customHeight="1" s="307">
      <c r="A66" s="314" t="inlineStr">
        <is>
          <t>Fund Start Month (Global)</t>
        </is>
      </c>
      <c r="B66" s="315" t="n">
        <v>1</v>
      </c>
    </row>
    <row r="67" ht="15" customHeight="1" s="307">
      <c r="A67" s="312" t="inlineStr">
        <is>
          <t>Deal Closing Schedule (Global Month):</t>
        </is>
      </c>
    </row>
    <row r="68" ht="15" customHeight="1" s="307">
      <c r="A68" s="314" t="inlineStr">
        <is>
          <t xml:space="preserve">  OpCo 1</t>
        </is>
      </c>
      <c r="B68" s="315" t="n">
        <v>4</v>
      </c>
    </row>
    <row r="69" ht="15" customHeight="1" s="307">
      <c r="A69" s="314" t="inlineStr">
        <is>
          <t xml:space="preserve">  OpCo 2</t>
        </is>
      </c>
      <c r="B69" s="315" t="n">
        <v>8</v>
      </c>
    </row>
    <row r="70" ht="15" customHeight="1" s="307">
      <c r="A70" s="314" t="inlineStr">
        <is>
          <t xml:space="preserve">  OpCo 3</t>
        </is>
      </c>
      <c r="B70" s="315" t="n">
        <v>12</v>
      </c>
    </row>
    <row r="71" ht="15" customHeight="1" s="307">
      <c r="A71" s="314" t="inlineStr">
        <is>
          <t xml:space="preserve">  OpCo 4</t>
        </is>
      </c>
      <c r="B71" s="315" t="n">
        <v>16</v>
      </c>
    </row>
    <row r="72" ht="15" customHeight="1" s="307">
      <c r="A72" s="314" t="inlineStr">
        <is>
          <t xml:space="preserve">  OpCo 5</t>
        </is>
      </c>
      <c r="B72" s="315" t="n">
        <v>20</v>
      </c>
    </row>
    <row r="73" ht="15" customHeight="1" s="307">
      <c r="A73" s="314" t="inlineStr">
        <is>
          <t xml:space="preserve">  OpCo 6 (recycled)</t>
        </is>
      </c>
      <c r="B73" s="315" t="n">
        <v>24</v>
      </c>
    </row>
    <row r="74" ht="15" customHeight="1" s="307">
      <c r="A74" s="314" t="inlineStr">
        <is>
          <t xml:space="preserve">  OpCo 7 (recycled)</t>
        </is>
      </c>
      <c r="B74" s="315" t="n">
        <v>28</v>
      </c>
    </row>
    <row r="75" ht="15" customHeight="1" s="307">
      <c r="A75" s="314" t="inlineStr">
        <is>
          <t xml:space="preserve">  OpCo 8 (recycled)</t>
        </is>
      </c>
      <c r="B75" s="315" t="n">
        <v>32</v>
      </c>
    </row>
    <row r="76" ht="15" customHeight="1" s="307">
      <c r="A76" s="314" t="inlineStr">
        <is>
          <t xml:space="preserve">  OpCo 9 (recycled)</t>
        </is>
      </c>
      <c r="B76" s="315" t="n">
        <v>36</v>
      </c>
    </row>
    <row r="78" ht="15" customHeight="1" s="307">
      <c r="A78" s="311" t="inlineStr">
        <is>
          <t>CAPITAL RECYCLING</t>
        </is>
      </c>
      <c r="B78" s="309" t="n"/>
      <c r="C78" s="309" t="n"/>
      <c r="D78" s="309" t="n"/>
      <c r="E78" s="309" t="n"/>
    </row>
    <row r="79" ht="15" customHeight="1" s="307">
      <c r="A79" s="312" t="inlineStr">
        <is>
          <t>Recycling Enabled (1=Yes, 0=No)</t>
        </is>
      </c>
      <c r="B79" s="331" t="n">
        <v>1</v>
      </c>
      <c r="E79" s="310" t="inlineStr">
        <is>
          <t>Toggle off to revert to fixed 5-deal model</t>
        </is>
      </c>
    </row>
    <row r="80" ht="15" customHeight="1" s="307">
      <c r="A80" s="314" t="inlineStr">
        <is>
          <t>Recycle % of Pre-Waterfall NI</t>
        </is>
      </c>
      <c r="B80" s="319" t="n">
        <v>1</v>
      </c>
      <c r="E80" s="310" t="inlineStr">
        <is>
          <t>100% during reinvestment period</t>
        </is>
      </c>
    </row>
    <row r="81" ht="15" customHeight="1" s="307">
      <c r="A81" s="314" t="inlineStr">
        <is>
          <t>Reinvestment Period (months)</t>
        </is>
      </c>
      <c r="B81" s="315" t="n">
        <v>40</v>
      </c>
      <c r="C81" s="705" t="inlineStr">
        <is>
          <t>EXTENDED from 36mo. Original 36-month period made 50% Recycle infeasible (cash gap $43.5M).</t>
        </is>
      </c>
      <c r="E81" s="310" t="inlineStr">
        <is>
          <t>3-year lockup; recycle stops after M36</t>
        </is>
      </c>
    </row>
    <row r="82" ht="15" customHeight="1" s="307">
      <c r="A82" s="314" t="inlineStr">
        <is>
          <t>Number of Recycled Deals</t>
        </is>
      </c>
      <c r="B82" s="315" t="n">
        <v>4</v>
      </c>
      <c r="E82" s="310" t="inlineStr">
        <is>
          <t>OpCos 6-9, every 4 months</t>
        </is>
      </c>
    </row>
    <row r="83" ht="15" customHeight="1" s="307">
      <c r="A83" s="314" t="inlineStr">
        <is>
          <t>Capital per Recycled Deal ($)</t>
        </is>
      </c>
      <c r="B83" s="318" t="n">
        <v>30000000</v>
      </c>
      <c r="E83" s="310" t="inlineStr">
        <is>
          <t>ARR x Entry Multiple (auto)</t>
        </is>
      </c>
    </row>
    <row r="84" ht="15" customHeight="1" s="307">
      <c r="A84" s="314" t="inlineStr">
        <is>
          <t>Total Recycled Capital ($)</t>
        </is>
      </c>
      <c r="B84" s="318" t="n">
        <v>120000000</v>
      </c>
      <c r="E84" s="310" t="inlineStr">
        <is>
          <t>4 x $30M (auto)</t>
        </is>
      </c>
    </row>
    <row r="86" ht="15" customHeight="1" s="307">
      <c r="A86" s="311" t="inlineStr">
        <is>
          <t>PER-DEAL ALLOCATION (Mixed Portfolio + Entry Margins)</t>
        </is>
      </c>
      <c r="B86" s="309" t="n"/>
      <c r="C86" s="309" t="n"/>
      <c r="D86" s="309" t="n"/>
      <c r="E86" s="309" t="n"/>
    </row>
    <row r="87" ht="15" customHeight="1" s="307">
      <c r="A87" s="310" t="inlineStr">
        <is>
          <t>Override per-deal NDR here. UW NDR = what was underwritten. Real NDR = actual performance.</t>
        </is>
      </c>
    </row>
    <row r="88" ht="15" customHeight="1" s="307">
      <c r="A88" s="730" t="inlineStr">
        <is>
          <t>PER-DEAL MIX (reference only -- engine uses uniform NDR via scenario picker B136)</t>
        </is>
      </c>
      <c r="B88" s="312" t="inlineStr">
        <is>
          <t>Outcome</t>
        </is>
      </c>
      <c r="C88" s="312" t="inlineStr">
        <is>
          <t>Profile</t>
        </is>
      </c>
      <c r="D88" s="312" t="inlineStr">
        <is>
          <t>ARR ($mm)</t>
        </is>
      </c>
      <c r="E88" s="312" t="inlineStr">
        <is>
          <t>Entry Mult</t>
        </is>
      </c>
      <c r="F88" s="312" t="n"/>
      <c r="G88" s="312" t="inlineStr">
        <is>
          <t>UW NDR</t>
        </is>
      </c>
      <c r="H88" s="312" t="inlineStr">
        <is>
          <t>Real NDR</t>
        </is>
      </c>
      <c r="I88" s="312" t="n"/>
      <c r="J88" s="312" t="inlineStr">
        <is>
          <t>Close M</t>
        </is>
      </c>
      <c r="K88" s="306" t="inlineStr">
        <is>
          <t>Close M (#)</t>
        </is>
      </c>
    </row>
    <row r="89" ht="15" customHeight="1" s="307">
      <c r="A89" s="314" t="inlineStr">
        <is>
          <t>#1</t>
        </is>
      </c>
      <c r="B89" s="314" t="inlineStr">
        <is>
          <t>WINNER</t>
        </is>
      </c>
      <c r="C89" s="314" t="inlineStr">
        <is>
          <t>STELLAR</t>
        </is>
      </c>
      <c r="D89" s="332" t="n">
        <v>24</v>
      </c>
      <c r="E89" s="317" t="n">
        <v>1.24</v>
      </c>
      <c r="G89" s="319" t="n">
        <v>1.05</v>
      </c>
      <c r="H89" s="319" t="n">
        <v>1</v>
      </c>
      <c r="J89" s="329" t="inlineStr">
        <is>
          <t>M4</t>
        </is>
      </c>
      <c r="K89" s="306" t="n">
        <v>4</v>
      </c>
    </row>
    <row r="90" ht="15" customHeight="1" s="307">
      <c r="A90" s="314" t="inlineStr">
        <is>
          <t>#2</t>
        </is>
      </c>
      <c r="B90" s="314" t="inlineStr">
        <is>
          <t>AVERAGE</t>
        </is>
      </c>
      <c r="C90" s="314" t="inlineStr">
        <is>
          <t>PLAN</t>
        </is>
      </c>
      <c r="D90" s="332" t="n">
        <v>24</v>
      </c>
      <c r="E90" s="317" t="n">
        <v>1.24</v>
      </c>
      <c r="G90" s="319" t="n">
        <v>0.9</v>
      </c>
      <c r="H90" s="319" t="n">
        <v>0.85</v>
      </c>
      <c r="J90" s="329" t="inlineStr">
        <is>
          <t>M7</t>
        </is>
      </c>
      <c r="K90" s="306" t="n">
        <v>7</v>
      </c>
    </row>
    <row r="91" ht="15" customHeight="1" s="307">
      <c r="A91" s="314" t="inlineStr">
        <is>
          <t>#3</t>
        </is>
      </c>
      <c r="B91" s="314" t="inlineStr">
        <is>
          <t>WINNER</t>
        </is>
      </c>
      <c r="C91" s="314" t="inlineStr">
        <is>
          <t>STELLAR</t>
        </is>
      </c>
      <c r="D91" s="332" t="n">
        <v>24</v>
      </c>
      <c r="E91" s="317" t="n">
        <v>1.24</v>
      </c>
      <c r="G91" s="319" t="n">
        <v>0.92</v>
      </c>
      <c r="H91" s="319" t="n">
        <v>1</v>
      </c>
      <c r="J91" s="329" t="inlineStr">
        <is>
          <t>M10</t>
        </is>
      </c>
      <c r="K91" s="306" t="n">
        <v>10</v>
      </c>
    </row>
    <row r="92" ht="15" customHeight="1" s="307">
      <c r="A92" s="314" t="inlineStr">
        <is>
          <t>#4</t>
        </is>
      </c>
      <c r="B92" s="314" t="inlineStr">
        <is>
          <t>LOSER</t>
        </is>
      </c>
      <c r="C92" s="314" t="inlineStr">
        <is>
          <t>DUD</t>
        </is>
      </c>
      <c r="D92" s="332" t="n">
        <v>24</v>
      </c>
      <c r="E92" s="317" t="n">
        <v>1.24</v>
      </c>
      <c r="G92" s="319" t="n">
        <v>1.03</v>
      </c>
      <c r="H92" s="319" t="n">
        <v>0.8</v>
      </c>
      <c r="J92" s="329" t="inlineStr">
        <is>
          <t>M12</t>
        </is>
      </c>
      <c r="K92" s="306" t="n">
        <v>12</v>
      </c>
    </row>
    <row r="93" ht="15" customHeight="1" s="307">
      <c r="A93" s="314" t="inlineStr">
        <is>
          <t>#5</t>
        </is>
      </c>
      <c r="B93" s="314" t="inlineStr">
        <is>
          <t>LOSER</t>
        </is>
      </c>
      <c r="C93" s="314" t="inlineStr">
        <is>
          <t>DUD</t>
        </is>
      </c>
      <c r="D93" s="332" t="n">
        <v>24</v>
      </c>
      <c r="E93" s="317" t="n">
        <v>1.24</v>
      </c>
      <c r="G93" s="319" t="n">
        <v>0.9</v>
      </c>
      <c r="H93" s="319" t="n">
        <v>0.8</v>
      </c>
      <c r="J93" s="329" t="inlineStr">
        <is>
          <t>M16</t>
        </is>
      </c>
      <c r="K93" s="306" t="n">
        <v>16</v>
      </c>
    </row>
    <row r="95" ht="15" customHeight="1" s="307">
      <c r="A95" s="673" t="inlineStr">
        <is>
          <t>Recycled deals (corrected to feasible timing: M36/48/60/72)</t>
        </is>
      </c>
    </row>
    <row r="96" ht="15" customHeight="1" s="307">
      <c r="A96" s="314" t="inlineStr">
        <is>
          <t>#6</t>
        </is>
      </c>
      <c r="B96" s="314" t="inlineStr">
        <is>
          <t>WINNER</t>
        </is>
      </c>
      <c r="C96" s="314" t="inlineStr">
        <is>
          <t>STELLAR</t>
        </is>
      </c>
      <c r="D96" s="332" t="n">
        <v>24</v>
      </c>
      <c r="E96" s="317" t="n">
        <v>1.2</v>
      </c>
      <c r="G96" s="319" t="n">
        <v>1.05</v>
      </c>
      <c r="H96" s="319" t="n">
        <v>1</v>
      </c>
      <c r="J96" s="329" t="inlineStr">
        <is>
          <t>M24</t>
        </is>
      </c>
      <c r="K96" s="306" t="n">
        <v>24</v>
      </c>
    </row>
    <row r="97" ht="15" customHeight="1" s="307">
      <c r="A97" s="314" t="inlineStr">
        <is>
          <t>#7</t>
        </is>
      </c>
      <c r="B97" s="314" t="inlineStr">
        <is>
          <t>WINNER</t>
        </is>
      </c>
      <c r="C97" s="314" t="inlineStr">
        <is>
          <t>STELLAR</t>
        </is>
      </c>
      <c r="D97" s="332" t="n">
        <v>24</v>
      </c>
      <c r="E97" s="317" t="n">
        <v>1.2</v>
      </c>
      <c r="G97" s="319" t="n">
        <v>1.05</v>
      </c>
      <c r="H97" s="319" t="n">
        <v>1</v>
      </c>
      <c r="J97" s="329" t="inlineStr">
        <is>
          <t>M28</t>
        </is>
      </c>
      <c r="K97" s="306" t="n">
        <v>32</v>
      </c>
    </row>
    <row r="98" ht="15" customHeight="1" s="307">
      <c r="A98" s="314" t="inlineStr">
        <is>
          <t>#8</t>
        </is>
      </c>
      <c r="B98" s="314" t="inlineStr">
        <is>
          <t>AVERAGE</t>
        </is>
      </c>
      <c r="C98" s="314" t="inlineStr">
        <is>
          <t>PLAN</t>
        </is>
      </c>
      <c r="D98" s="332" t="n">
        <v>24</v>
      </c>
      <c r="E98" s="317" t="n">
        <v>1.2</v>
      </c>
      <c r="G98" s="319" t="n">
        <v>0.9</v>
      </c>
      <c r="H98" s="319" t="n">
        <v>0.85</v>
      </c>
      <c r="J98" s="329" t="inlineStr">
        <is>
          <t>M32</t>
        </is>
      </c>
      <c r="K98" s="306" t="n">
        <v>40</v>
      </c>
    </row>
    <row r="99" ht="15" customHeight="1" s="307">
      <c r="A99" s="314" t="inlineStr">
        <is>
          <t>#9</t>
        </is>
      </c>
      <c r="B99" s="314" t="inlineStr">
        <is>
          <t>LOSER</t>
        </is>
      </c>
      <c r="C99" s="314" t="inlineStr">
        <is>
          <t>DUD</t>
        </is>
      </c>
      <c r="D99" s="332" t="n">
        <v>0</v>
      </c>
      <c r="E99" s="317" t="n">
        <v>1.2</v>
      </c>
      <c r="G99" s="319" t="n">
        <v>0.9</v>
      </c>
      <c r="H99" s="319" t="n">
        <v>0.8</v>
      </c>
      <c r="J99" s="329" t="inlineStr">
        <is>
          <t>M36</t>
        </is>
      </c>
      <c r="K99" s="306" t="n">
        <v>51</v>
      </c>
    </row>
    <row r="100">
      <c r="A100" s="641" t="inlineStr">
        <is>
          <t>R100-SPECIFIC recycled close months (faster -- only feasible at 100% retention)</t>
        </is>
      </c>
    </row>
    <row r="101">
      <c r="A101" s="306" t="inlineStr">
        <is>
          <t>OpCo #6 (R100 close)</t>
        </is>
      </c>
      <c r="D101" s="306" t="n">
        <v>24</v>
      </c>
      <c r="E101" s="306" t="n">
        <v>1.25</v>
      </c>
      <c r="H101" s="306" t="n">
        <v>1</v>
      </c>
      <c r="K101" s="306" t="n">
        <v>24</v>
      </c>
    </row>
    <row r="102" ht="15" customHeight="1" s="307">
      <c r="A102" s="311" t="inlineStr">
        <is>
          <t>OpCo #7 (R100 close)</t>
        </is>
      </c>
      <c r="B102" s="309" t="n"/>
      <c r="C102" s="309" t="n"/>
      <c r="D102" s="309" t="n">
        <v>24</v>
      </c>
      <c r="E102" s="309" t="n">
        <v>1.25</v>
      </c>
      <c r="H102" s="306" t="n">
        <v>1</v>
      </c>
      <c r="K102" s="306" t="n">
        <v>28</v>
      </c>
    </row>
    <row r="103" ht="15" customHeight="1" s="307">
      <c r="A103" s="314" t="inlineStr">
        <is>
          <t>OpCo #8 (R100 close)</t>
        </is>
      </c>
      <c r="B103" s="315" t="n">
        <v>140</v>
      </c>
      <c r="D103" s="306" t="n">
        <v>24</v>
      </c>
      <c r="E103" s="310" t="n">
        <v>1.25</v>
      </c>
      <c r="H103" s="306" t="n">
        <v>0.85</v>
      </c>
      <c r="K103" s="306" t="n">
        <v>32</v>
      </c>
    </row>
    <row r="104" ht="15" customHeight="1" s="307">
      <c r="A104" s="314" t="inlineStr">
        <is>
          <t>OpCo #9 (R100 close)</t>
        </is>
      </c>
      <c r="B104" s="316" t="n">
        <v>200000</v>
      </c>
      <c r="D104" s="306" t="n">
        <v>24</v>
      </c>
      <c r="E104" s="310" t="n">
        <v>1.25</v>
      </c>
      <c r="H104" s="306" t="n">
        <v>0.8</v>
      </c>
      <c r="K104" s="306" t="n">
        <v>36</v>
      </c>
    </row>
    <row r="105" ht="15" customHeight="1" s="307">
      <c r="A105" s="314" t="inlineStr">
        <is>
          <t>R100 recycle period (months)</t>
        </is>
      </c>
      <c r="B105" s="319" t="n">
        <v>36</v>
      </c>
      <c r="C105" s="615" t="inlineStr">
        <is>
          <t>R100 keeps original 36mo period (only feasible at 100% retention).</t>
        </is>
      </c>
      <c r="E105" s="310" t="inlineStr">
        <is>
          <t>Severance paid on base, not loaded</t>
        </is>
      </c>
    </row>
    <row r="106" ht="15" customHeight="1" s="307">
      <c r="A106" s="314" t="inlineStr">
        <is>
          <t>Avg Tenure (years)</t>
        </is>
      </c>
      <c r="B106" s="315" t="n">
        <v>4</v>
      </c>
      <c r="E106" s="310" t="inlineStr">
        <is>
          <t>Drives severance weeks per person</t>
        </is>
      </c>
    </row>
    <row r="107" ht="15" customHeight="1" s="307">
      <c r="A107" s="314" t="inlineStr">
        <is>
          <t>Weeks Severance per Year of Service</t>
        </is>
      </c>
      <c r="B107" s="315" t="n">
        <v>2</v>
      </c>
      <c r="E107" s="310" t="inlineStr">
        <is>
          <t>Lean policy</t>
        </is>
      </c>
    </row>
    <row r="108" ht="15" customHeight="1" s="307">
      <c r="A108" s="314" t="inlineStr">
        <is>
          <t>Severance Cap (weeks)</t>
        </is>
      </c>
      <c r="B108" s="315" t="n">
        <v>12</v>
      </c>
      <c r="E108" s="310" t="inlineStr">
        <is>
          <t>Max weeks per individual</t>
        </is>
      </c>
    </row>
    <row r="109" ht="15" customHeight="1" s="307">
      <c r="A109" s="314" t="inlineStr">
        <is>
          <t>Avg Severance Weeks per FTE (auto)</t>
        </is>
      </c>
      <c r="B109" s="333" t="n">
        <v>8</v>
      </c>
      <c r="E109" s="310" t="inlineStr">
        <is>
          <t>MIN(weeks_per_yr x tenure, cap)</t>
        </is>
      </c>
    </row>
    <row r="110" ht="15" customHeight="1" s="307">
      <c r="A110" s="314" t="inlineStr">
        <is>
          <t>Avg Severance per FTE ($) (auto)</t>
        </is>
      </c>
      <c r="B110" s="318" t="n">
        <v>35000</v>
      </c>
      <c r="C110" s="615" t="inlineStr">
        <is>
          <t>Raised from $17.3K to $35K/FTE (16 weeks vs 8 weeks). Matches US senior tech norms.</t>
        </is>
      </c>
      <c r="E110" s="310" t="inlineStr">
        <is>
          <t>Base salary basis</t>
        </is>
      </c>
    </row>
    <row r="111" ht="15" customHeight="1" s="307">
      <c r="A111" s="314" t="inlineStr">
        <is>
          <t>Severance Split</t>
        </is>
      </c>
      <c r="B111" s="327" t="inlineStr">
        <is>
          <t>Per deal on Tab 2</t>
        </is>
      </c>
      <c r="E111" s="323" t="inlineStr">
        <is>
          <t>Options: Seller (0%), 50/50 (50%), Press (100%). Set per deal in col M.</t>
        </is>
      </c>
    </row>
    <row r="112" ht="15" customHeight="1" s="307">
      <c r="A112" s="314" t="inlineStr">
        <is>
          <t>Press Severance Cost per OpCo (auto)</t>
        </is>
      </c>
      <c r="B112" s="318" t="n">
        <v>0</v>
      </c>
      <c r="E112" s="310" t="inlineStr">
        <is>
          <t>Cash hit at close month</t>
        </is>
      </c>
    </row>
    <row r="114" ht="15" customHeight="1" s="307">
      <c r="A114" s="311" t="inlineStr">
        <is>
          <t>TERMINAL VALUE (Exit Assumption)</t>
        </is>
      </c>
      <c r="B114" s="309" t="n"/>
      <c r="C114" s="309" t="n"/>
      <c r="D114" s="309" t="n"/>
      <c r="E114" s="309" t="n"/>
    </row>
    <row r="115" ht="15" customHeight="1" s="307">
      <c r="A115" s="314" t="inlineStr">
        <is>
          <t>Exit Month (when fund exits all OpCos)</t>
        </is>
      </c>
      <c r="B115" s="315" t="n">
        <v>120</v>
      </c>
      <c r="E115" s="310" t="inlineStr">
        <is>
          <t>M120 = end of Year 10</t>
        </is>
      </c>
    </row>
    <row r="116" ht="15" customHeight="1" s="307">
      <c r="A116" s="314" t="inlineStr">
        <is>
          <t>Terminal Value Multiple (x ARR)</t>
        </is>
      </c>
      <c r="B116" s="317" t="n">
        <v>2</v>
      </c>
      <c r="E116" s="310" t="inlineStr">
        <is>
          <t>Applied to ending ARR per OpCo at exit</t>
        </is>
      </c>
    </row>
    <row r="117" ht="15" customHeight="1" s="307">
      <c r="A117" s="314" t="inlineStr">
        <is>
          <t>Include Exit in Waterfall (1=Yes, 0=No)</t>
        </is>
      </c>
      <c r="B117" s="315" t="n">
        <v>0</v>
      </c>
      <c r="E117" s="310" t="inlineStr">
        <is>
          <t>Toggle to add exit proceeds to Distributable NI</t>
        </is>
      </c>
    </row>
    <row r="119" ht="15" customHeight="1" s="307">
      <c r="A119" s="311" t="inlineStr">
        <is>
          <t>ESCALATING WATERFALL (Optional)</t>
        </is>
      </c>
      <c r="B119" s="309" t="n"/>
      <c r="C119" s="309" t="n"/>
      <c r="D119" s="309" t="n"/>
      <c r="E119" s="309" t="n"/>
    </row>
    <row r="120" ht="15" customHeight="1" s="307">
      <c r="A120" s="310" t="inlineStr">
        <is>
          <t>Carry steps up +5pp per MOIC turn above 3x (cap 60%). Compared on tabs 4c/4d.</t>
        </is>
      </c>
    </row>
    <row r="121" ht="15" customHeight="1" s="307">
      <c r="A121" s="312" t="inlineStr">
        <is>
          <t>MOIC Range</t>
        </is>
      </c>
      <c r="B121" s="312" t="inlineStr">
        <is>
          <t>Carry Rate</t>
        </is>
      </c>
      <c r="C121" s="312" t="inlineStr">
        <is>
          <t>LP Split</t>
        </is>
      </c>
    </row>
    <row r="122" ht="15" customHeight="1" s="307">
      <c r="A122" s="314" t="inlineStr">
        <is>
          <t>Below 3x</t>
        </is>
      </c>
      <c r="B122" s="329" t="inlineStr">
        <is>
          <t>20%</t>
        </is>
      </c>
      <c r="C122" s="329" t="inlineStr">
        <is>
          <t>80%</t>
        </is>
      </c>
    </row>
    <row r="123" ht="15" customHeight="1" s="307">
      <c r="A123" s="314" t="inlineStr">
        <is>
          <t>3x-4x</t>
        </is>
      </c>
      <c r="B123" s="329" t="inlineStr">
        <is>
          <t>25%</t>
        </is>
      </c>
      <c r="C123" s="329" t="inlineStr">
        <is>
          <t>75%</t>
        </is>
      </c>
    </row>
    <row r="124" ht="15" customHeight="1" s="307">
      <c r="A124" s="314" t="inlineStr">
        <is>
          <t>4x-5x</t>
        </is>
      </c>
      <c r="B124" s="329" t="inlineStr">
        <is>
          <t>30%</t>
        </is>
      </c>
      <c r="C124" s="329" t="inlineStr">
        <is>
          <t>70%</t>
        </is>
      </c>
    </row>
    <row r="125" ht="15" customHeight="1" s="307">
      <c r="A125" s="314" t="inlineStr">
        <is>
          <t>5x-6x</t>
        </is>
      </c>
      <c r="B125" s="329" t="inlineStr">
        <is>
          <t>35%</t>
        </is>
      </c>
      <c r="C125" s="329" t="inlineStr">
        <is>
          <t>65%</t>
        </is>
      </c>
    </row>
    <row r="126" ht="15" customHeight="1" s="307">
      <c r="A126" s="314" t="inlineStr">
        <is>
          <t>6x+</t>
        </is>
      </c>
      <c r="B126" s="329" t="inlineStr">
        <is>
          <t>40% (cap 60%)</t>
        </is>
      </c>
      <c r="C126" s="329" t="inlineStr">
        <is>
          <t>60% (floor 40%)</t>
        </is>
      </c>
    </row>
    <row r="129" ht="15" customHeight="1" s="307">
      <c r="A129" s="311" t="inlineStr">
        <is>
          <t>MODEL HORIZON</t>
        </is>
      </c>
      <c r="B129" s="309" t="n"/>
      <c r="C129" s="309" t="n"/>
      <c r="D129" s="309" t="n"/>
      <c r="E129" s="309" t="n"/>
    </row>
    <row r="130" ht="15" customHeight="1" s="307">
      <c r="A130" s="314" t="inlineStr">
        <is>
          <t>Total Months (P&amp;L horizon)</t>
        </is>
      </c>
      <c r="B130" s="315" t="n">
        <v>180</v>
      </c>
      <c r="E130" s="310" t="inlineStr">
        <is>
          <t>180 = 15 years (annual tabs), 120 = 10 years (monthly tabs)</t>
        </is>
      </c>
    </row>
    <row r="131" ht="15" customHeight="1" s="307">
      <c r="A131" s="314" t="inlineStr">
        <is>
          <t>Monthly P&amp;L Months</t>
        </is>
      </c>
      <c r="B131" s="315" t="n">
        <v>180</v>
      </c>
      <c r="E131" s="310" t="inlineStr">
        <is>
          <t>Tabs 3c/3d show this many months</t>
        </is>
      </c>
    </row>
    <row r="132" ht="15" customHeight="1" s="307">
      <c r="A132" s="314" t="inlineStr">
        <is>
          <t>Annual P&amp;L Years</t>
        </is>
      </c>
      <c r="B132" s="315" t="n">
        <v>15</v>
      </c>
      <c r="E132" s="310" t="inlineStr">
        <is>
          <t>Tabs 3a/3b show this many years</t>
        </is>
      </c>
    </row>
    <row r="134" ht="15" customHeight="1" s="307">
      <c r="A134" s="334" t="inlineStr">
        <is>
          <t>CONFIDENTIAL -- DO NOT DISTRIBUTE</t>
        </is>
      </c>
    </row>
    <row r="135">
      <c r="A135" s="642" t="inlineStr">
        <is>
          <t>LP UNDERWRITING OVERRIDES  (set scenario + thresholds; engine respects)</t>
        </is>
      </c>
      <c r="B135" s="650" t="n"/>
      <c r="C135" s="650" t="n"/>
      <c r="D135" s="650" t="n"/>
      <c r="E135" s="650" t="n"/>
    </row>
    <row r="136">
      <c r="A136" s="306" t="inlineStr">
        <is>
          <t>Scenario</t>
        </is>
      </c>
      <c r="B136" s="693" t="inlineStr">
        <is>
          <t>Base</t>
        </is>
      </c>
      <c r="C136" s="615" t="inlineStr">
        <is>
          <t>Bear=80% / Base=90% / Bull=100% NDR (Yr1-6), then decay at MIN(NDR,85%) from Yr7. Bear stays 80%.</t>
        </is>
      </c>
    </row>
    <row r="137">
      <c r="A137" s="306" t="inlineStr">
        <is>
          <t>Bonus margin threshold override</t>
        </is>
      </c>
      <c r="B137" s="694" t="n">
        <v>1</v>
      </c>
      <c r="C137" s="615" t="inlineStr">
        <is>
          <t>LP can raise from 62.5% to 70%/80% to flow excess back to LP.</t>
        </is>
      </c>
    </row>
    <row r="138">
      <c r="A138" s="641" t="inlineStr">
        <is>
          <t>GP commit % of fund</t>
        </is>
      </c>
      <c r="B138" s="694" t="n">
        <v>0.02</v>
      </c>
      <c r="C138" s="755" t="inlineStr">
        <is>
          <t>Raised to 2% per IB underwriting recommendation. GP commit = $3.02M. Carry/commit ratio drops to ~16x.</t>
        </is>
      </c>
    </row>
    <row r="139">
      <c r="A139" s="306" t="inlineStr">
        <is>
          <t>GP commit $ ($mm)</t>
        </is>
      </c>
      <c r="B139" s="695">
        <f>B138*B5/1000000</f>
        <v/>
      </c>
      <c r="C139" s="615" t="inlineStr">
        <is>
          <t>Derived.</t>
        </is>
      </c>
    </row>
    <row r="140">
      <c r="A140" s="306" t="inlineStr">
        <is>
          <t>Implied GP carry / GP commit</t>
        </is>
      </c>
      <c r="B140" s="696">
        <f>IF(B139=0, "N/A", _Engine_NR!B251/B139)</f>
        <v/>
      </c>
      <c r="C140" s="615" t="inlineStr">
        <is>
          <t>How many x the GP makes on commit via carry alone. &gt;5x = weak alignment.</t>
        </is>
      </c>
    </row>
    <row r="141">
      <c r="A141" s="306" t="inlineStr">
        <is>
          <t>Y15 wind-down multiplier (on remaining ARR)</t>
        </is>
      </c>
      <c r="B141" s="756" t="n">
        <v>1.5</v>
      </c>
      <c r="C141" s="615" t="inlineStr">
        <is>
          <t>Conservative 1.5x ARR liquidation value on Y15 remaining portfolio. Captures terminal value.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06" min="1" max="1"/>
    <col width="14" customWidth="1" style="306" min="2" max="7"/>
    <col width="14" customWidth="1" style="307" min="3" max="3"/>
    <col width="14" customWidth="1" style="307" min="4" max="4"/>
    <col width="14" customWidth="1" style="307" min="5" max="5"/>
    <col width="14" customWidth="1" style="307" min="6" max="6"/>
    <col width="14" customWidth="1" style="307" min="7" max="7"/>
    <col width="14" customWidth="1" style="307" min="8" max="8"/>
    <col width="14" customWidth="1" style="307" min="9" max="9"/>
    <col width="14" customWidth="1" style="307" min="10" max="10"/>
  </cols>
  <sheetData>
    <row r="1" ht="15.75" customHeight="1" s="307">
      <c r="A1" s="612" t="inlineStr">
        <is>
          <t>LP ECONOMICS BY COMMITMENT SIZE</t>
        </is>
      </c>
      <c r="B1" s="336" t="n"/>
      <c r="C1" s="336" t="n"/>
      <c r="D1" s="337" t="n"/>
      <c r="E1" s="336" t="n"/>
      <c r="F1" s="336" t="n"/>
      <c r="G1" s="337" t="n"/>
      <c r="H1" s="336" t="n"/>
      <c r="I1" s="336" t="n"/>
      <c r="J1" s="337" t="n"/>
      <c r="K1" s="306" t="n"/>
      <c r="L1" s="306" t="n"/>
    </row>
    <row r="2" ht="15" customHeight="1" s="307">
      <c r="A2" s="593" t="inlineStr">
        <is>
          <t>Live from engines.  Returns are SIZE-INVARIANT (DPI/IRR same across commit sizes).  Cash scales linearly.</t>
        </is>
      </c>
      <c r="K2" s="306" t="n"/>
      <c r="L2" s="306" t="n"/>
    </row>
    <row r="3" ht="15" customHeight="1" s="307">
      <c r="A3" s="641">
        <f>" Active scenario (Tab 1 B136): " &amp; '1. Press Assumptions'!$B$136 &amp; "    |   Toggle Bull / Base / Bear on Tab 1 to recalc this tab."</f>
        <v/>
      </c>
      <c r="K3" s="306" t="n"/>
      <c r="L3" s="306" t="n"/>
    </row>
    <row r="4" ht="15" customHeight="1" s="307">
      <c r="A4" s="322" t="n"/>
      <c r="B4" s="339" t="inlineStr">
        <is>
          <t>$5M</t>
        </is>
      </c>
      <c r="E4" s="339" t="inlineStr">
        <is>
          <t>$10M</t>
        </is>
      </c>
      <c r="H4" s="339" t="inlineStr">
        <is>
          <t>$25M</t>
        </is>
      </c>
      <c r="K4" s="306" t="n"/>
      <c r="L4" s="306" t="n"/>
    </row>
    <row r="5" ht="15" customHeight="1" s="307">
      <c r="A5" s="322" t="n"/>
      <c r="B5" s="340" t="inlineStr">
        <is>
          <t>No Recycle</t>
        </is>
      </c>
      <c r="C5" s="340" t="inlineStr">
        <is>
          <t>50% Recycle</t>
        </is>
      </c>
      <c r="D5" s="341" t="inlineStr">
        <is>
          <t>100% Recycle</t>
        </is>
      </c>
      <c r="E5" s="340" t="inlineStr">
        <is>
          <t>No Recycle</t>
        </is>
      </c>
      <c r="F5" s="340" t="inlineStr">
        <is>
          <t>50% Recycle</t>
        </is>
      </c>
      <c r="G5" s="341" t="inlineStr">
        <is>
          <t>100% Recycle</t>
        </is>
      </c>
      <c r="H5" s="340" t="inlineStr">
        <is>
          <t>No Recycle</t>
        </is>
      </c>
      <c r="I5" s="340" t="inlineStr">
        <is>
          <t>50% Recycle</t>
        </is>
      </c>
      <c r="J5" s="341" t="inlineStr">
        <is>
          <t>100% Recycle</t>
        </is>
      </c>
      <c r="K5" s="306" t="n"/>
      <c r="L5" s="306" t="n"/>
    </row>
    <row r="6" ht="15" customHeight="1" s="307">
      <c r="K6" s="306" t="n"/>
      <c r="L6" s="306" t="n"/>
    </row>
    <row r="7" ht="15" customHeight="1" s="307">
      <c r="A7" s="342" t="inlineStr">
        <is>
          <t>FUND PARTICIPATION</t>
        </is>
      </c>
      <c r="B7" s="336" t="n"/>
      <c r="C7" s="336" t="n"/>
      <c r="D7" s="337" t="n"/>
      <c r="E7" s="336" t="n"/>
      <c r="F7" s="336" t="n"/>
      <c r="G7" s="337" t="n"/>
      <c r="H7" s="336" t="n"/>
      <c r="I7" s="336" t="n"/>
      <c r="J7" s="337" t="n"/>
      <c r="K7" s="306" t="n"/>
      <c r="L7" s="306" t="n"/>
    </row>
    <row r="8" ht="15" customHeight="1" s="307">
      <c r="A8" s="343" t="inlineStr">
        <is>
          <t>Commitment</t>
        </is>
      </c>
      <c r="B8" s="344" t="n">
        <v>5</v>
      </c>
      <c r="C8" s="344" t="n">
        <v>5</v>
      </c>
      <c r="D8" s="345" t="n">
        <v>5</v>
      </c>
      <c r="E8" s="344" t="n">
        <v>10</v>
      </c>
      <c r="F8" s="344" t="n">
        <v>10</v>
      </c>
      <c r="G8" s="345" t="n">
        <v>10</v>
      </c>
      <c r="H8" s="344" t="n">
        <v>25</v>
      </c>
      <c r="I8" s="344" t="n">
        <v>25</v>
      </c>
      <c r="J8" s="345" t="n">
        <v>25</v>
      </c>
      <c r="K8" s="306" t="n"/>
      <c r="L8" s="306" t="n"/>
    </row>
    <row r="9" ht="15" customHeight="1" s="307">
      <c r="A9" s="346" t="inlineStr">
        <is>
          <t>Payback (months)</t>
        </is>
      </c>
      <c r="B9" s="347" t="inlineStr">
        <is>
          <t>TBD</t>
        </is>
      </c>
      <c r="C9" s="347" t="inlineStr">
        <is>
          <t>TBD</t>
        </is>
      </c>
      <c r="D9" s="348" t="inlineStr">
        <is>
          <t>TBD</t>
        </is>
      </c>
      <c r="E9" s="347" t="inlineStr">
        <is>
          <t>TBD</t>
        </is>
      </c>
      <c r="F9" s="347" t="inlineStr">
        <is>
          <t>TBD</t>
        </is>
      </c>
      <c r="G9" s="348" t="inlineStr">
        <is>
          <t>TBD</t>
        </is>
      </c>
      <c r="H9" s="347" t="inlineStr">
        <is>
          <t>TBD</t>
        </is>
      </c>
      <c r="I9" s="347" t="inlineStr">
        <is>
          <t>TBD</t>
        </is>
      </c>
      <c r="J9" s="348" t="inlineStr">
        <is>
          <t>TBD</t>
        </is>
      </c>
      <c r="K9" s="306" t="n"/>
      <c r="L9" s="306" t="n"/>
    </row>
    <row r="10" ht="15" customHeight="1" s="307">
      <c r="A10" s="322" t="n"/>
      <c r="B10" s="349" t="n"/>
      <c r="C10" s="349" t="n"/>
      <c r="E10" s="349" t="n"/>
      <c r="F10" s="349" t="n"/>
      <c r="H10" s="349" t="n"/>
      <c r="I10" s="349" t="n"/>
      <c r="K10" s="306" t="n"/>
      <c r="L10" s="306" t="n"/>
    </row>
    <row r="11" ht="15" customHeight="1" s="307">
      <c r="A11" s="342" t="inlineStr">
        <is>
          <t>10-YEAR RETURNS</t>
        </is>
      </c>
      <c r="B11" s="336" t="n"/>
      <c r="C11" s="336" t="n"/>
      <c r="D11" s="337" t="n"/>
      <c r="E11" s="336" t="n"/>
      <c r="F11" s="336" t="n"/>
      <c r="G11" s="337" t="n"/>
      <c r="H11" s="336" t="n"/>
      <c r="I11" s="336" t="n"/>
      <c r="J11" s="337" t="n"/>
      <c r="K11" s="306" t="n"/>
      <c r="L11" s="306" t="n"/>
    </row>
    <row r="12" ht="15" customHeight="1" s="307">
      <c r="A12" s="346" t="inlineStr">
        <is>
          <t>LP Net IRR (Staged)</t>
        </is>
      </c>
      <c r="B12" s="350">
        <f>'_Engine_NR'!$B$277</f>
        <v/>
      </c>
      <c r="C12" s="350">
        <f>'_Engine_R50'!$B$277</f>
        <v/>
      </c>
      <c r="D12" s="351">
        <f>'_Engine_R100'!$B$277</f>
        <v/>
      </c>
      <c r="E12" s="350">
        <f>'_Engine_NR'!$B$277</f>
        <v/>
      </c>
      <c r="F12" s="350">
        <f>'_Engine_R50'!$B$277</f>
        <v/>
      </c>
      <c r="G12" s="351">
        <f>'_Engine_R100'!$B$277</f>
        <v/>
      </c>
      <c r="H12" s="350">
        <f>'_Engine_NR'!$B$277</f>
        <v/>
      </c>
      <c r="I12" s="350">
        <f>'_Engine_R50'!$B$277</f>
        <v/>
      </c>
      <c r="J12" s="351">
        <f>'_Engine_R100'!$B$277</f>
        <v/>
      </c>
      <c r="K12" s="306" t="n"/>
      <c r="L12" s="306" t="n"/>
    </row>
    <row r="13" ht="15" customHeight="1" s="307">
      <c r="A13" s="346" t="inlineStr">
        <is>
          <t>LP MOIC / DPI</t>
        </is>
      </c>
      <c r="B13" s="352">
        <f>'_Engine_NR'!$B$254</f>
        <v/>
      </c>
      <c r="C13" s="352">
        <f>'_Engine_R50'!$B$254</f>
        <v/>
      </c>
      <c r="D13" s="353">
        <f>'_Engine_R100'!$B$254</f>
        <v/>
      </c>
      <c r="E13" s="352">
        <f>'_Engine_NR'!$B$254</f>
        <v/>
      </c>
      <c r="F13" s="352">
        <f>'_Engine_R50'!$B$254</f>
        <v/>
      </c>
      <c r="G13" s="353">
        <f>'_Engine_R100'!$B$254</f>
        <v/>
      </c>
      <c r="H13" s="352">
        <f>'_Engine_NR'!$B$254</f>
        <v/>
      </c>
      <c r="I13" s="352">
        <f>'_Engine_R50'!$B$254</f>
        <v/>
      </c>
      <c r="J13" s="353">
        <f>'_Engine_R100'!$B$254</f>
        <v/>
      </c>
      <c r="K13" s="306" t="n"/>
      <c r="L13" s="306" t="n"/>
    </row>
    <row r="14" ht="15" customHeight="1" s="307">
      <c r="A14" s="343" t="inlineStr">
        <is>
          <t>Cash Distributed</t>
        </is>
      </c>
      <c r="B14" s="710">
        <f>B13*B8</f>
        <v/>
      </c>
      <c r="C14" s="710">
        <f>C13*C8</f>
        <v/>
      </c>
      <c r="D14" s="711">
        <f>D13*D8</f>
        <v/>
      </c>
      <c r="E14" s="710">
        <f>E13*E8</f>
        <v/>
      </c>
      <c r="F14" s="710">
        <f>F13*F8</f>
        <v/>
      </c>
      <c r="G14" s="711">
        <f>G13*G8</f>
        <v/>
      </c>
      <c r="H14" s="710">
        <f>H13*H8</f>
        <v/>
      </c>
      <c r="I14" s="710">
        <f>I13*I8</f>
        <v/>
      </c>
      <c r="J14" s="711">
        <f>J13*J8</f>
        <v/>
      </c>
      <c r="K14" s="306" t="n"/>
      <c r="L14" s="306" t="n"/>
    </row>
    <row r="15" ht="15" customHeight="1" s="307">
      <c r="A15" s="321" t="n"/>
      <c r="B15" s="354" t="n"/>
      <c r="C15" s="354" t="n"/>
      <c r="E15" s="354" t="n"/>
      <c r="F15" s="354" t="n"/>
      <c r="H15" s="354" t="n"/>
      <c r="I15" s="354" t="n"/>
      <c r="K15" s="306" t="n"/>
      <c r="L15" s="306" t="n"/>
    </row>
    <row r="16" ht="15" customHeight="1" s="307">
      <c r="A16" s="342" t="inlineStr">
        <is>
          <t>15-YEAR RETURNS</t>
        </is>
      </c>
      <c r="B16" s="355" t="n"/>
      <c r="C16" s="355" t="n"/>
      <c r="D16" s="337" t="n"/>
      <c r="E16" s="355" t="n"/>
      <c r="F16" s="355" t="n"/>
      <c r="G16" s="337" t="n"/>
      <c r="H16" s="355" t="n"/>
      <c r="I16" s="355" t="n"/>
      <c r="J16" s="337" t="n"/>
      <c r="K16" s="306" t="n"/>
      <c r="L16" s="306" t="n"/>
    </row>
    <row r="17" ht="15" customHeight="1" s="307">
      <c r="A17" s="346" t="inlineStr">
        <is>
          <t>LP Net IRR (Staged)</t>
        </is>
      </c>
      <c r="B17" s="350">
        <f>'_Engine_NR'!$B$276</f>
        <v/>
      </c>
      <c r="C17" s="350">
        <f>'_Engine_R50'!$B$276</f>
        <v/>
      </c>
      <c r="D17" s="351">
        <f>'_Engine_R100'!$B$276</f>
        <v/>
      </c>
      <c r="E17" s="350">
        <f>'_Engine_NR'!$B$276</f>
        <v/>
      </c>
      <c r="F17" s="350">
        <f>'_Engine_R50'!$B$276</f>
        <v/>
      </c>
      <c r="G17" s="351">
        <f>'_Engine_R100'!$B$276</f>
        <v/>
      </c>
      <c r="H17" s="350">
        <f>'_Engine_NR'!$B$276</f>
        <v/>
      </c>
      <c r="I17" s="350">
        <f>'_Engine_R50'!$B$276</f>
        <v/>
      </c>
      <c r="J17" s="351">
        <f>'_Engine_R100'!$B$276</f>
        <v/>
      </c>
      <c r="K17" s="306" t="n"/>
      <c r="L17" s="306" t="n"/>
    </row>
    <row r="18" ht="15" customHeight="1" s="307">
      <c r="A18" s="346" t="inlineStr">
        <is>
          <t>LP MOIC / DPI</t>
        </is>
      </c>
      <c r="B18" s="352">
        <f>'_Engine_NR'!$B$252</f>
        <v/>
      </c>
      <c r="C18" s="352">
        <f>'_Engine_R50'!$B$252</f>
        <v/>
      </c>
      <c r="D18" s="353">
        <f>'_Engine_R100'!$B$252</f>
        <v/>
      </c>
      <c r="E18" s="352">
        <f>'_Engine_NR'!$B$252</f>
        <v/>
      </c>
      <c r="F18" s="352">
        <f>'_Engine_R50'!$B$252</f>
        <v/>
      </c>
      <c r="G18" s="353">
        <f>'_Engine_R100'!$B$252</f>
        <v/>
      </c>
      <c r="H18" s="352">
        <f>'_Engine_NR'!$B$252</f>
        <v/>
      </c>
      <c r="I18" s="352">
        <f>'_Engine_R50'!$B$252</f>
        <v/>
      </c>
      <c r="J18" s="353">
        <f>'_Engine_R100'!$B$252</f>
        <v/>
      </c>
      <c r="K18" s="306" t="n"/>
      <c r="L18" s="306" t="n"/>
    </row>
    <row r="19" ht="15" customHeight="1" s="307">
      <c r="A19" s="346" t="inlineStr">
        <is>
          <t>Total Cash</t>
        </is>
      </c>
      <c r="B19" s="712">
        <f>B18*B8</f>
        <v/>
      </c>
      <c r="C19" s="712">
        <f>C18*C8</f>
        <v/>
      </c>
      <c r="D19" s="713">
        <f>D18*D8</f>
        <v/>
      </c>
      <c r="E19" s="712">
        <f>E18*E8</f>
        <v/>
      </c>
      <c r="F19" s="712">
        <f>F18*F8</f>
        <v/>
      </c>
      <c r="G19" s="713">
        <f>G18*G8</f>
        <v/>
      </c>
      <c r="H19" s="712">
        <f>H18*H8</f>
        <v/>
      </c>
      <c r="I19" s="712">
        <f>I18*I8</f>
        <v/>
      </c>
      <c r="J19" s="713">
        <f>J18*J8</f>
        <v/>
      </c>
      <c r="K19" s="306" t="n"/>
      <c r="L19" s="306" t="n"/>
    </row>
    <row r="20" ht="15" customHeight="1" s="307">
      <c r="A20" s="322" t="n"/>
      <c r="B20" s="358" t="n"/>
      <c r="C20" s="358" t="n"/>
      <c r="E20" s="358" t="n"/>
      <c r="F20" s="358" t="n"/>
      <c r="H20" s="358" t="n"/>
      <c r="I20" s="358" t="n"/>
      <c r="K20" s="306" t="n"/>
      <c r="L20" s="306" t="n"/>
    </row>
    <row r="21" ht="15" customHeight="1" s="307">
      <c r="A21" s="714" t="inlineStr">
        <is>
          <t>NOTE: returns above are identical across commitment sizes (the model has no LP class differentiation).</t>
        </is>
      </c>
      <c r="B21" s="359" t="n"/>
      <c r="C21" s="359" t="n"/>
      <c r="D21" s="337" t="n"/>
      <c r="E21" s="359" t="n"/>
      <c r="F21" s="359" t="n"/>
      <c r="G21" s="337" t="n"/>
      <c r="H21" s="359" t="n"/>
      <c r="I21" s="359" t="n"/>
      <c r="J21" s="337" t="n"/>
      <c r="K21" s="306" t="n"/>
      <c r="L21" s="306" t="n"/>
    </row>
    <row r="22" ht="15" customHeight="1" s="307">
      <c r="A22" s="715" t="inlineStr">
        <is>
          <t>See Tab 11 for NDR x Margin joint sensitivity.  See Tab 20 for quarterly cash schedule.</t>
        </is>
      </c>
      <c r="B22" s="716" t="n"/>
      <c r="C22" s="716" t="n"/>
      <c r="D22" s="717" t="n"/>
      <c r="E22" s="716" t="n"/>
      <c r="F22" s="361" t="n"/>
      <c r="G22" s="337" t="n"/>
      <c r="H22" s="362" t="n"/>
      <c r="I22" s="362" t="n"/>
      <c r="J22" s="337" t="n"/>
      <c r="K22" s="306" t="n"/>
      <c r="L22" s="306" t="n"/>
    </row>
    <row r="23" ht="15" customHeight="1" s="307">
      <c r="A23" s="684" t="n"/>
      <c r="B23" s="684" t="n"/>
      <c r="C23" s="687" t="n"/>
      <c r="D23" s="690" t="n"/>
      <c r="E23" s="689" t="n"/>
      <c r="F23" s="368" t="n"/>
      <c r="K23" s="306" t="n"/>
      <c r="L23" s="306" t="n"/>
    </row>
    <row r="24" ht="15" customHeight="1" s="307">
      <c r="A24" s="718" t="n"/>
      <c r="B24" s="718" t="n"/>
      <c r="C24" s="719" t="n"/>
      <c r="D24" s="720" t="n"/>
      <c r="E24" s="721" t="n"/>
      <c r="F24" s="373" t="n"/>
      <c r="G24" s="374" t="n"/>
      <c r="H24" s="375" t="n"/>
      <c r="I24" s="375" t="n"/>
      <c r="J24" s="374" t="n"/>
      <c r="K24" s="306" t="n"/>
      <c r="L24" s="306" t="n"/>
    </row>
    <row r="25" ht="15" customHeight="1" s="307">
      <c r="A25" s="684" t="n"/>
      <c r="B25" s="684" t="n"/>
      <c r="C25" s="687" t="n"/>
      <c r="D25" s="690" t="n"/>
      <c r="E25" s="689" t="n"/>
      <c r="F25" s="368" t="n"/>
      <c r="H25" s="354" t="n"/>
      <c r="I25" s="354" t="n"/>
      <c r="K25" s="306" t="n"/>
      <c r="L25" s="306" t="n"/>
    </row>
    <row r="26" ht="15" customHeight="1" s="307">
      <c r="A26" s="684" t="n"/>
      <c r="B26" s="684" t="n"/>
      <c r="C26" s="687" t="n"/>
      <c r="D26" s="690" t="n"/>
      <c r="E26" s="689" t="n"/>
      <c r="F26" s="368" t="n"/>
      <c r="H26" s="354" t="n"/>
      <c r="I26" s="354" t="n"/>
      <c r="K26" s="306" t="n"/>
      <c r="L26" s="306" t="n"/>
    </row>
    <row r="27" ht="15" customHeight="1" s="307">
      <c r="A27" s="722" t="n"/>
      <c r="B27" s="722" t="n"/>
      <c r="C27" s="723" t="n"/>
      <c r="D27" s="724" t="n"/>
      <c r="E27" s="725" t="n"/>
      <c r="F27" s="381" t="n"/>
      <c r="G27" s="382" t="n"/>
      <c r="H27" s="383" t="n"/>
      <c r="I27" s="383" t="n"/>
      <c r="J27" s="382" t="n"/>
      <c r="K27" s="306" t="n"/>
      <c r="L27" s="306" t="n"/>
    </row>
    <row r="28" ht="15" customHeight="1" s="307">
      <c r="A28" s="722" t="n"/>
      <c r="B28" s="722" t="n"/>
      <c r="C28" s="723" t="n"/>
      <c r="D28" s="724" t="n"/>
      <c r="E28" s="725" t="n"/>
      <c r="F28" s="381" t="n"/>
      <c r="G28" s="382" t="n"/>
      <c r="H28" s="383" t="n"/>
      <c r="I28" s="383" t="n"/>
      <c r="J28" s="382" t="n"/>
      <c r="K28" s="306" t="n"/>
      <c r="L28" s="306" t="n"/>
    </row>
    <row r="29" ht="15" customHeight="1" s="307">
      <c r="A29" s="321" t="n"/>
      <c r="B29" s="354" t="n"/>
      <c r="C29" s="354" t="n"/>
      <c r="E29" s="354" t="n"/>
      <c r="F29" s="354" t="n"/>
      <c r="H29" s="354" t="n"/>
      <c r="I29" s="354" t="n"/>
      <c r="K29" s="306" t="n"/>
      <c r="L29" s="306" t="n"/>
    </row>
    <row r="30" ht="15" customHeight="1" s="307">
      <c r="A30" s="726" t="n"/>
      <c r="B30" s="362" t="n"/>
      <c r="C30" s="362" t="n"/>
      <c r="D30" s="337" t="n"/>
      <c r="E30" s="362" t="n"/>
      <c r="F30" s="362" t="n"/>
      <c r="G30" s="337" t="n"/>
      <c r="H30" s="362" t="n"/>
      <c r="I30" s="362" t="n"/>
      <c r="J30" s="337" t="n"/>
      <c r="K30" s="306" t="n"/>
      <c r="L30" s="306" t="n"/>
    </row>
    <row r="31" ht="15" customHeight="1" s="307">
      <c r="A31" s="613" t="n"/>
      <c r="B31" s="344" t="n">
        <v>0</v>
      </c>
      <c r="C31" s="344" t="n">
        <v>0</v>
      </c>
      <c r="D31" s="345" t="n">
        <v>0</v>
      </c>
      <c r="E31" s="344" t="n">
        <v>0</v>
      </c>
      <c r="F31" s="344" t="n">
        <v>0</v>
      </c>
      <c r="G31" s="345" t="n">
        <v>0</v>
      </c>
      <c r="H31" s="344" t="n">
        <v>0</v>
      </c>
      <c r="I31" s="344" t="n">
        <v>0</v>
      </c>
      <c r="J31" s="345" t="n">
        <v>0</v>
      </c>
      <c r="K31" s="306" t="n"/>
      <c r="L31" s="306" t="n"/>
    </row>
    <row r="32" ht="15" customHeight="1" s="307">
      <c r="A32" s="613" t="n"/>
      <c r="B32" s="619" t="n"/>
      <c r="C32" s="619" t="n"/>
      <c r="D32" s="345" t="n">
        <v>0</v>
      </c>
      <c r="E32" s="619" t="n"/>
      <c r="F32" s="619" t="n"/>
      <c r="G32" s="345" t="n">
        <v>0</v>
      </c>
      <c r="H32" s="619" t="n"/>
      <c r="I32" s="619" t="n"/>
      <c r="J32" s="345" t="n">
        <v>0</v>
      </c>
      <c r="K32" s="306" t="n"/>
      <c r="L32" s="306" t="n"/>
    </row>
    <row r="33" ht="15" customHeight="1" s="307">
      <c r="A33" s="613" t="n"/>
      <c r="B33" s="619" t="n"/>
      <c r="C33" s="619" t="n"/>
      <c r="D33" s="345" t="n">
        <v>0</v>
      </c>
      <c r="E33" s="619" t="n"/>
      <c r="F33" s="619" t="n"/>
      <c r="G33" s="345" t="n">
        <v>0</v>
      </c>
      <c r="H33" s="619" t="n"/>
      <c r="I33" s="619" t="n"/>
      <c r="J33" s="345" t="n">
        <v>0</v>
      </c>
      <c r="K33" s="306" t="n"/>
      <c r="L33" s="306" t="n"/>
    </row>
    <row r="34" ht="15" customHeight="1" s="307">
      <c r="A34" s="613" t="n"/>
      <c r="B34" s="619" t="n"/>
      <c r="C34" s="619" t="n"/>
      <c r="D34" s="727" t="n"/>
      <c r="E34" s="619" t="n"/>
      <c r="F34" s="619" t="n"/>
      <c r="G34" s="727" t="n"/>
      <c r="H34" s="619" t="n"/>
      <c r="I34" s="619" t="n"/>
      <c r="J34" s="727" t="n"/>
      <c r="K34" s="306" t="n"/>
      <c r="L34" s="306" t="n"/>
    </row>
    <row r="35" ht="15" customHeight="1" s="307">
      <c r="A35" s="613" t="n"/>
      <c r="B35" s="619" t="n"/>
      <c r="C35" s="619" t="n"/>
      <c r="D35" s="727" t="n"/>
      <c r="E35" s="619" t="n"/>
      <c r="F35" s="619" t="n"/>
      <c r="G35" s="727" t="n"/>
      <c r="H35" s="619" t="n"/>
      <c r="I35" s="619" t="n"/>
      <c r="J35" s="727" t="n"/>
      <c r="K35" s="306" t="n"/>
      <c r="L35" s="306" t="n"/>
    </row>
    <row r="36" ht="15" customHeight="1" s="307">
      <c r="A36" s="613" t="n"/>
      <c r="B36" s="619" t="n"/>
      <c r="C36" s="619" t="n"/>
      <c r="D36" s="727" t="n"/>
      <c r="E36" s="619" t="n"/>
      <c r="F36" s="619" t="n"/>
      <c r="G36" s="727" t="n"/>
      <c r="H36" s="619" t="n"/>
      <c r="I36" s="619" t="n"/>
      <c r="J36" s="727" t="n"/>
      <c r="K36" s="306" t="n"/>
      <c r="L36" s="306" t="n"/>
    </row>
    <row r="37" ht="15" customHeight="1" s="307">
      <c r="A37" s="613" t="n"/>
      <c r="B37" s="619" t="n"/>
      <c r="C37" s="619" t="n"/>
      <c r="D37" s="727" t="n"/>
      <c r="E37" s="619" t="n"/>
      <c r="F37" s="619" t="n"/>
      <c r="G37" s="727" t="n"/>
      <c r="H37" s="619" t="n"/>
      <c r="I37" s="619" t="n"/>
      <c r="J37" s="727" t="n"/>
      <c r="K37" s="306" t="n"/>
      <c r="L37" s="306" t="n"/>
    </row>
    <row r="38" ht="15" customHeight="1" s="307">
      <c r="A38" s="613" t="n"/>
      <c r="B38" s="619" t="n"/>
      <c r="C38" s="619" t="n"/>
      <c r="D38" s="727" t="n"/>
      <c r="E38" s="619" t="n"/>
      <c r="F38" s="619" t="n"/>
      <c r="G38" s="727" t="n"/>
      <c r="H38" s="619" t="n"/>
      <c r="I38" s="619" t="n"/>
      <c r="J38" s="727" t="n"/>
      <c r="K38" s="306" t="n"/>
      <c r="L38" s="306" t="n"/>
    </row>
    <row r="39" ht="15" customHeight="1" s="307">
      <c r="A39" s="613" t="n"/>
      <c r="B39" s="619" t="n"/>
      <c r="C39" s="619" t="n"/>
      <c r="D39" s="727" t="n"/>
      <c r="E39" s="619" t="n"/>
      <c r="F39" s="619" t="n"/>
      <c r="G39" s="727" t="n"/>
      <c r="H39" s="619" t="n"/>
      <c r="I39" s="619" t="n"/>
      <c r="J39" s="727" t="n"/>
      <c r="K39" s="306" t="n"/>
      <c r="L39" s="306" t="n"/>
    </row>
    <row r="40" ht="15" customHeight="1" s="307">
      <c r="A40" s="613" t="n"/>
      <c r="B40" s="619" t="n"/>
      <c r="C40" s="619" t="n"/>
      <c r="D40" s="727" t="n"/>
      <c r="E40" s="619" t="n"/>
      <c r="F40" s="619" t="n"/>
      <c r="G40" s="727" t="n"/>
      <c r="H40" s="619" t="n"/>
      <c r="I40" s="619" t="n"/>
      <c r="J40" s="727" t="n"/>
      <c r="K40" s="306" t="n"/>
      <c r="L40" s="306" t="n"/>
    </row>
    <row r="41" ht="15" customHeight="1" s="307">
      <c r="A41" s="613" t="n"/>
      <c r="B41" s="619" t="n"/>
      <c r="C41" s="619" t="n"/>
      <c r="D41" s="727" t="n"/>
      <c r="E41" s="619" t="n"/>
      <c r="F41" s="619" t="n"/>
      <c r="G41" s="727" t="n"/>
      <c r="H41" s="619" t="n"/>
      <c r="I41" s="619" t="n"/>
      <c r="J41" s="727" t="n"/>
      <c r="K41" s="306" t="n"/>
      <c r="L41" s="306" t="n"/>
    </row>
    <row r="42" ht="15" customHeight="1" s="307">
      <c r="A42" s="613" t="n"/>
      <c r="B42" s="619" t="n"/>
      <c r="C42" s="619" t="n"/>
      <c r="D42" s="727" t="n"/>
      <c r="E42" s="619" t="n"/>
      <c r="F42" s="619" t="n"/>
      <c r="G42" s="727" t="n"/>
      <c r="H42" s="619" t="n"/>
      <c r="I42" s="619" t="n"/>
      <c r="J42" s="727" t="n"/>
      <c r="K42" s="306" t="n"/>
      <c r="L42" s="306" t="n"/>
    </row>
    <row r="43" ht="15" customHeight="1" s="307">
      <c r="A43" s="613" t="n"/>
      <c r="B43" s="619" t="n"/>
      <c r="C43" s="619" t="n"/>
      <c r="D43" s="727" t="n"/>
      <c r="E43" s="619" t="n"/>
      <c r="F43" s="619" t="n"/>
      <c r="G43" s="727" t="n"/>
      <c r="H43" s="619" t="n"/>
      <c r="I43" s="619" t="n"/>
      <c r="J43" s="727" t="n"/>
      <c r="K43" s="306" t="n"/>
      <c r="L43" s="306" t="n"/>
    </row>
    <row r="44" ht="15" customHeight="1" s="307">
      <c r="A44" s="613" t="n"/>
      <c r="B44" s="619" t="n"/>
      <c r="C44" s="619" t="n"/>
      <c r="D44" s="727" t="n"/>
      <c r="E44" s="619" t="n"/>
      <c r="F44" s="619" t="n"/>
      <c r="G44" s="727" t="n"/>
      <c r="H44" s="619" t="n"/>
      <c r="I44" s="619" t="n"/>
      <c r="J44" s="727" t="n"/>
      <c r="K44" s="306" t="n"/>
      <c r="L44" s="306" t="n"/>
    </row>
    <row r="45" ht="15" customHeight="1" s="307">
      <c r="A45" s="613" t="n"/>
      <c r="B45" s="344" t="n">
        <v>0</v>
      </c>
      <c r="C45" s="619" t="n"/>
      <c r="D45" s="727" t="n"/>
      <c r="E45" s="344" t="n">
        <v>0</v>
      </c>
      <c r="F45" s="619" t="n"/>
      <c r="G45" s="727" t="n"/>
      <c r="H45" s="344" t="n">
        <v>0</v>
      </c>
      <c r="I45" s="619" t="n"/>
      <c r="J45" s="727" t="n"/>
      <c r="K45" s="306" t="n"/>
      <c r="L45" s="306" t="n"/>
    </row>
    <row r="46" ht="15" customHeight="1" s="307">
      <c r="A46" s="321" t="n"/>
      <c r="B46" s="354" t="n"/>
      <c r="C46" s="354" t="n"/>
      <c r="E46" s="354" t="n"/>
      <c r="F46" s="354" t="n"/>
      <c r="H46" s="354" t="n"/>
      <c r="I46" s="354" t="n"/>
      <c r="K46" s="306" t="n"/>
      <c r="L46" s="306" t="n"/>
    </row>
    <row r="47" ht="15" customHeight="1" s="307">
      <c r="A47" s="613" t="n"/>
      <c r="B47" s="354" t="n"/>
      <c r="C47" s="354" t="n"/>
      <c r="E47" s="354" t="n"/>
      <c r="F47" s="354" t="n"/>
      <c r="H47" s="354" t="n"/>
      <c r="I47" s="354" t="n"/>
      <c r="K47" s="306" t="n"/>
      <c r="L47" s="306" t="n"/>
    </row>
    <row r="48" ht="15" customHeight="1" s="307">
      <c r="A48" s="321" t="n"/>
      <c r="B48" s="354" t="n"/>
      <c r="C48" s="354" t="n"/>
      <c r="E48" s="354" t="n"/>
      <c r="F48" s="354" t="n"/>
      <c r="H48" s="354" t="n"/>
      <c r="I48" s="354" t="n"/>
      <c r="K48" s="306" t="n"/>
      <c r="L48" s="306" t="n"/>
    </row>
    <row r="49" ht="15" customHeight="1" s="307">
      <c r="A49" s="321" t="n"/>
      <c r="B49" s="354" t="n"/>
      <c r="C49" s="354" t="n"/>
      <c r="E49" s="354" t="n"/>
      <c r="F49" s="354" t="n"/>
      <c r="H49" s="354" t="n"/>
      <c r="I49" s="354" t="n"/>
      <c r="K49" s="306" t="n"/>
      <c r="L49" s="306" t="n"/>
    </row>
    <row r="50" ht="15" customHeight="1" s="307">
      <c r="A50" s="616" t="inlineStr">
        <is>
          <t>POTENTIAL LP CLASS STRUCTURE  (placeholder -- not in deck)</t>
        </is>
      </c>
      <c r="B50" s="677" t="n"/>
      <c r="C50" s="677" t="n"/>
      <c r="D50" s="650" t="n"/>
      <c r="E50" s="677" t="n"/>
      <c r="F50" s="677" t="n"/>
      <c r="H50" s="354" t="n"/>
      <c r="I50" s="354" t="n"/>
      <c r="K50" s="306" t="n"/>
      <c r="L50" s="306" t="n"/>
    </row>
    <row r="51" ht="28" customHeight="1" s="307">
      <c r="A51" s="643" t="inlineStr">
        <is>
          <t>Class</t>
        </is>
      </c>
      <c r="B51" s="678" t="inlineStr">
        <is>
          <t>Min commit</t>
        </is>
      </c>
      <c r="C51" s="678" t="inlineStr">
        <is>
          <t>Mgmt fee discount</t>
        </is>
      </c>
      <c r="D51" s="643" t="inlineStr">
        <is>
          <t>Co-invest pro-rata</t>
        </is>
      </c>
      <c r="E51" s="678" t="inlineStr">
        <is>
          <t>LPAC seat</t>
        </is>
      </c>
      <c r="F51" s="678" t="inlineStr">
        <is>
          <t>Notes</t>
        </is>
      </c>
      <c r="H51" s="354" t="n"/>
      <c r="I51" s="354" t="n"/>
      <c r="K51" s="306" t="n"/>
      <c r="L51" s="306" t="n"/>
    </row>
    <row r="52" ht="15" customHeight="1" s="307">
      <c r="A52" s="635" t="inlineStr">
        <is>
          <t>Standard</t>
        </is>
      </c>
      <c r="B52" s="679" t="inlineStr">
        <is>
          <t>$1M</t>
        </is>
      </c>
      <c r="C52" s="679" t="inlineStr">
        <is>
          <t>None</t>
        </is>
      </c>
      <c r="D52" s="636" t="inlineStr">
        <is>
          <t>None</t>
        </is>
      </c>
      <c r="E52" s="679" t="inlineStr">
        <is>
          <t>No</t>
        </is>
      </c>
      <c r="F52" s="680" t="inlineStr">
        <is>
          <t>Default class. No structural differentiation in deck.</t>
        </is>
      </c>
      <c r="H52" s="354" t="n"/>
      <c r="I52" s="354" t="n"/>
      <c r="K52" s="306" t="n"/>
      <c r="L52" s="306" t="n"/>
    </row>
    <row r="53" ht="15" customHeight="1" s="307">
      <c r="A53" s="635" t="inlineStr">
        <is>
          <t>Co-invest eligible</t>
        </is>
      </c>
      <c r="B53" s="679" t="inlineStr">
        <is>
          <t>$10M</t>
        </is>
      </c>
      <c r="C53" s="679" t="inlineStr">
        <is>
          <t>None</t>
        </is>
      </c>
      <c r="D53" s="636" t="inlineStr">
        <is>
          <t>Yes (placeholder)</t>
        </is>
      </c>
      <c r="E53" s="679" t="inlineStr">
        <is>
          <t>No</t>
        </is>
      </c>
      <c r="F53" s="680" t="inlineStr">
        <is>
          <t>Not actually offered.</t>
        </is>
      </c>
      <c r="H53" s="354" t="n"/>
      <c r="I53" s="354" t="n"/>
      <c r="K53" s="306" t="n"/>
      <c r="L53" s="306" t="n"/>
    </row>
    <row r="54" ht="15" customHeight="1" s="307">
      <c r="A54" s="635" t="inlineStr">
        <is>
          <t>LPAC</t>
        </is>
      </c>
      <c r="B54" s="679" t="inlineStr">
        <is>
          <t>$25M</t>
        </is>
      </c>
      <c r="C54" s="679" t="inlineStr">
        <is>
          <t>None</t>
        </is>
      </c>
      <c r="D54" s="636" t="inlineStr">
        <is>
          <t>Yes (placeholder)</t>
        </is>
      </c>
      <c r="E54" s="679" t="inlineStr">
        <is>
          <t>Yes (placeholder)</t>
        </is>
      </c>
      <c r="F54" s="680" t="inlineStr">
        <is>
          <t>Standard market term.</t>
        </is>
      </c>
      <c r="H54" s="354" t="n"/>
      <c r="I54" s="354" t="n"/>
      <c r="K54" s="306" t="n"/>
      <c r="L54" s="306" t="n"/>
    </row>
    <row r="55" ht="15" customHeight="1" s="307">
      <c r="A55" s="635" t="inlineStr">
        <is>
          <t>Anchor</t>
        </is>
      </c>
      <c r="B55" s="679" t="inlineStr">
        <is>
          <t>$50M+</t>
        </is>
      </c>
      <c r="C55" s="679" t="inlineStr">
        <is>
          <t>25-50% (placeholder)</t>
        </is>
      </c>
      <c r="D55" s="636" t="inlineStr">
        <is>
          <t>Yes (placeholder)</t>
        </is>
      </c>
      <c r="E55" s="679" t="inlineStr">
        <is>
          <t>Yes (placeholder)</t>
        </is>
      </c>
      <c r="F55" s="680" t="inlineStr">
        <is>
          <t>Anchor LPs typically negotiate fee discount.</t>
        </is>
      </c>
      <c r="H55" s="354" t="n"/>
      <c r="I55" s="354" t="n"/>
      <c r="K55" s="306" t="n"/>
      <c r="L55" s="306" t="n"/>
    </row>
    <row r="56" ht="15" customHeight="1" s="307">
      <c r="A56" s="673" t="inlineStr">
        <is>
          <t>LP should ask: are any of the above terms negotiable? Side-letter MFN clause? Anchor commitments?</t>
        </is>
      </c>
      <c r="B56" s="354" t="n"/>
      <c r="C56" s="354" t="n"/>
      <c r="E56" s="354" t="n"/>
      <c r="F56" s="354" t="n"/>
      <c r="H56" s="354" t="n"/>
      <c r="I56" s="354" t="n"/>
      <c r="K56" s="306" t="n"/>
      <c r="L56" s="306" t="n"/>
    </row>
    <row r="57" ht="15" customHeight="1" s="307">
      <c r="A57" s="334" t="n"/>
      <c r="K57" s="306" t="n"/>
      <c r="L57" s="306" t="n"/>
    </row>
    <row r="58" ht="15" customHeight="1" s="307">
      <c r="A58" s="334" t="n"/>
      <c r="K58" s="306" t="n"/>
      <c r="L58" s="306" t="n"/>
    </row>
    <row r="59" ht="15" customHeight="1" s="307">
      <c r="K59" s="306" t="n"/>
      <c r="L59" s="306" t="n"/>
    </row>
    <row r="60" ht="15" customHeight="1" s="307">
      <c r="K60" s="306" t="n"/>
      <c r="L60" s="306" t="n"/>
    </row>
    <row r="61" ht="15" customHeight="1" s="307">
      <c r="K61" s="306" t="n"/>
      <c r="L61" s="306" t="n"/>
    </row>
    <row r="62" ht="15" customHeight="1" s="307">
      <c r="K62" s="306" t="n"/>
      <c r="L62" s="306" t="n"/>
    </row>
    <row r="63" ht="15" customHeight="1" s="307">
      <c r="K63" s="306" t="n"/>
      <c r="L63" s="306" t="n"/>
    </row>
    <row r="64" ht="15" customHeight="1" s="307">
      <c r="K64" s="306" t="n"/>
      <c r="L64" s="306" t="n"/>
    </row>
    <row r="65" ht="15" customHeight="1" s="307">
      <c r="K65" s="306" t="n"/>
      <c r="L65" s="306" t="n"/>
    </row>
    <row r="66" ht="15" customHeight="1" s="307">
      <c r="K66" s="306" t="n"/>
      <c r="L66" s="306" t="n"/>
    </row>
    <row r="67" ht="15" customHeight="1" s="307">
      <c r="K67" s="306" t="n"/>
      <c r="L67" s="306" t="n"/>
    </row>
    <row r="68" ht="15" customHeight="1" s="307">
      <c r="K68" s="306" t="n"/>
      <c r="L68" s="306" t="n"/>
    </row>
    <row r="69" ht="15" customHeight="1" s="307">
      <c r="K69" s="306" t="n"/>
      <c r="L69" s="306" t="n"/>
    </row>
    <row r="70" ht="15" customHeight="1" s="307">
      <c r="K70" s="306" t="n"/>
      <c r="L70" s="306" t="n"/>
    </row>
    <row r="71" ht="15" customHeight="1" s="307">
      <c r="K71" s="306" t="n"/>
      <c r="L71" s="306" t="n"/>
    </row>
    <row r="72" ht="15" customHeight="1" s="307">
      <c r="K72" s="306" t="n"/>
      <c r="L72" s="306" t="n"/>
    </row>
    <row r="73" ht="15" customHeight="1" s="307">
      <c r="K73" s="306" t="n"/>
      <c r="L73" s="306" t="n"/>
    </row>
    <row r="74" ht="15" customHeight="1" s="307">
      <c r="K74" s="306" t="n"/>
      <c r="L74" s="306" t="n"/>
    </row>
    <row r="75" ht="15" customHeight="1" s="307">
      <c r="K75" s="306" t="n"/>
      <c r="L75" s="306" t="n"/>
    </row>
    <row r="76" ht="15" customHeight="1" s="307">
      <c r="K76" s="306" t="n"/>
      <c r="L76" s="306" t="n"/>
    </row>
    <row r="77" ht="15" customHeight="1" s="307">
      <c r="K77" s="306" t="n"/>
      <c r="L77" s="306" t="n"/>
    </row>
    <row r="78" ht="15" customHeight="1" s="307">
      <c r="K78" s="306" t="n"/>
      <c r="L78" s="306" t="n"/>
    </row>
    <row r="79" ht="15" customHeight="1" s="307">
      <c r="K79" s="306" t="n"/>
      <c r="L79" s="306" t="n"/>
    </row>
  </sheetData>
  <mergeCells count="3">
    <mergeCell ref="E4:G4"/>
    <mergeCell ref="B4:D4"/>
    <mergeCell ref="H4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06" min="1" max="1"/>
    <col width="12" customWidth="1" style="306" min="2" max="11"/>
    <col width="10" customWidth="1" style="306" min="12" max="12"/>
    <col width="8" customWidth="1" style="306" min="13" max="13"/>
    <col width="28" customWidth="1" style="306" min="14" max="14"/>
  </cols>
  <sheetData>
    <row r="1" ht="25.5" customHeight="1" s="307">
      <c r="A1" s="385" t="inlineStr">
        <is>
          <t>PRESS CAPITAL -- DEAL ALLOCATION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O1" s="306" t="n"/>
    </row>
    <row r="2" ht="15" customHeight="1" s="307">
      <c r="A2" s="386">
        <f>" Scenario-driven. NDR = "&amp;TEXT(IF('1. Press Assumptions'!$B$136="Bear",0.8,IF('1. Press Assumptions'!$B$136="Bull",0.9,0.85)),"0%")&amp;" (Tab 1 B136). 1.24x entry. 50/50 sev split."</f>
        <v/>
      </c>
      <c r="O2" s="306" t="n"/>
    </row>
    <row r="3" ht="15" customHeight="1" s="307">
      <c r="A3" s="387" t="n"/>
      <c r="B3" s="387" t="n"/>
      <c r="C3" s="387" t="n"/>
      <c r="D3" s="387" t="n"/>
      <c r="E3" s="387" t="n"/>
      <c r="F3" s="387" t="n"/>
      <c r="G3" s="387" t="n"/>
      <c r="H3" s="387" t="n"/>
      <c r="I3" s="387" t="n"/>
      <c r="J3" s="387" t="n"/>
      <c r="K3" s="387" t="n"/>
      <c r="L3" s="387" t="n"/>
      <c r="M3" s="387" t="n"/>
      <c r="O3" s="306" t="n"/>
    </row>
    <row r="4" ht="19.5" customHeight="1" s="307">
      <c r="A4" s="388" t="inlineStr">
        <is>
          <t>Deal</t>
        </is>
      </c>
      <c r="B4" s="388" t="inlineStr">
        <is>
          <t>ARR ($mm)</t>
        </is>
      </c>
      <c r="C4" s="388" t="inlineStr">
        <is>
          <t>Entry Mult</t>
        </is>
      </c>
      <c r="D4" s="389" t="inlineStr">
        <is>
          <t>Gross Price</t>
        </is>
      </c>
      <c r="E4" s="390" t="inlineStr">
        <is>
          <t>Sev Disc</t>
        </is>
      </c>
      <c r="F4" s="389" t="inlineStr">
        <is>
          <t>Net Price</t>
        </is>
      </c>
      <c r="G4" s="391" t="inlineStr">
        <is>
          <t>NDR</t>
        </is>
      </c>
      <c r="H4" s="391" t="inlineStr">
        <is>
          <t>Entry Profit</t>
        </is>
      </c>
      <c r="I4" s="391" t="inlineStr">
        <is>
          <t>Close Mo</t>
        </is>
      </c>
      <c r="J4" s="392" t="n"/>
      <c r="K4" s="393" t="n"/>
      <c r="L4" s="392" t="n"/>
      <c r="M4" s="392" t="n"/>
      <c r="N4" s="387" t="n"/>
      <c r="O4" s="306" t="n"/>
    </row>
    <row r="5" ht="15" customHeight="1" s="307">
      <c r="A5" s="394" t="inlineStr">
        <is>
          <t>#1</t>
        </is>
      </c>
      <c r="B5" s="395">
        <f>'1. Press Assumptions'!$D$89</f>
        <v/>
      </c>
      <c r="C5" s="396">
        <f>'1. Press Assumptions'!$E$89</f>
        <v/>
      </c>
      <c r="D5" s="397">
        <f>B5*C5</f>
        <v/>
      </c>
      <c r="E5" s="398">
        <f>B5*0.1154*0.5</f>
        <v/>
      </c>
      <c r="F5" s="399">
        <f>D5-E5</f>
        <v/>
      </c>
      <c r="G5" s="400">
        <f>IF('1. Press Assumptions'!$B$136="Bear",0.8,IF('1. Press Assumptions'!$B$136="Bull",0.9,0.85))</f>
        <v/>
      </c>
      <c r="H5" s="401" t="n">
        <v>0</v>
      </c>
      <c r="I5" s="400">
        <f>"M"&amp;'1. Press Assumptions'!$K$89</f>
        <v/>
      </c>
      <c r="J5" s="402" t="n"/>
      <c r="K5" s="403" t="n"/>
      <c r="L5" s="404" t="n"/>
      <c r="M5" s="403" t="n"/>
      <c r="N5" s="323" t="n"/>
      <c r="O5" s="306" t="n"/>
    </row>
    <row r="6" ht="15" customHeight="1" s="307">
      <c r="A6" s="394" t="inlineStr">
        <is>
          <t>#2</t>
        </is>
      </c>
      <c r="B6" s="395">
        <f>'1. Press Assumptions'!$D$90</f>
        <v/>
      </c>
      <c r="C6" s="396">
        <f>'1. Press Assumptions'!$E$90</f>
        <v/>
      </c>
      <c r="D6" s="397">
        <f>B6*C6</f>
        <v/>
      </c>
      <c r="E6" s="398">
        <f>B6*0.1154*0.5</f>
        <v/>
      </c>
      <c r="F6" s="399">
        <f>D6-E6</f>
        <v/>
      </c>
      <c r="G6" s="400">
        <f>IF('1. Press Assumptions'!$B$136="Bear",0.8,IF('1. Press Assumptions'!$B$136="Bull",0.9,0.85))</f>
        <v/>
      </c>
      <c r="H6" s="401" t="n">
        <v>0</v>
      </c>
      <c r="I6" s="400">
        <f>"M"&amp;'1. Press Assumptions'!$K$90</f>
        <v/>
      </c>
      <c r="J6" s="402" t="n"/>
      <c r="K6" s="403" t="n"/>
      <c r="L6" s="404" t="n"/>
      <c r="M6" s="403" t="n"/>
      <c r="N6" s="323" t="n"/>
      <c r="O6" s="306" t="n"/>
    </row>
    <row r="7" ht="15" customHeight="1" s="307">
      <c r="A7" s="394" t="inlineStr">
        <is>
          <t>#3</t>
        </is>
      </c>
      <c r="B7" s="395">
        <f>'1. Press Assumptions'!$D$91</f>
        <v/>
      </c>
      <c r="C7" s="396">
        <f>'1. Press Assumptions'!$E$91</f>
        <v/>
      </c>
      <c r="D7" s="397">
        <f>B7*C7</f>
        <v/>
      </c>
      <c r="E7" s="398">
        <f>B7*0.1154*0.5</f>
        <v/>
      </c>
      <c r="F7" s="399">
        <f>D7-E7</f>
        <v/>
      </c>
      <c r="G7" s="400">
        <f>IF('1. Press Assumptions'!$B$136="Bear",0.8,IF('1. Press Assumptions'!$B$136="Bull",0.9,0.85))</f>
        <v/>
      </c>
      <c r="H7" s="401" t="n">
        <v>0</v>
      </c>
      <c r="I7" s="400">
        <f>"M"&amp;'1. Press Assumptions'!$K$91</f>
        <v/>
      </c>
      <c r="J7" s="402" t="n"/>
      <c r="K7" s="403" t="n"/>
      <c r="L7" s="404" t="n"/>
      <c r="M7" s="403" t="n"/>
      <c r="N7" s="323" t="n"/>
      <c r="O7" s="306" t="n"/>
    </row>
    <row r="8" ht="15" customHeight="1" s="307">
      <c r="A8" s="394" t="inlineStr">
        <is>
          <t>#4</t>
        </is>
      </c>
      <c r="B8" s="395">
        <f>'1. Press Assumptions'!$D$92</f>
        <v/>
      </c>
      <c r="C8" s="396">
        <f>'1. Press Assumptions'!$E$92</f>
        <v/>
      </c>
      <c r="D8" s="397">
        <f>B8*C8</f>
        <v/>
      </c>
      <c r="E8" s="398">
        <f>B8*0.1154*0.5</f>
        <v/>
      </c>
      <c r="F8" s="399">
        <f>D8-E8</f>
        <v/>
      </c>
      <c r="G8" s="400">
        <f>IF('1. Press Assumptions'!$B$136="Bear",0.8,IF('1. Press Assumptions'!$B$136="Bull",0.9,0.85))</f>
        <v/>
      </c>
      <c r="H8" s="401" t="n">
        <v>0</v>
      </c>
      <c r="I8" s="400">
        <f>"M"&amp;'1. Press Assumptions'!$K$92</f>
        <v/>
      </c>
      <c r="J8" s="402" t="n"/>
      <c r="K8" s="403" t="n"/>
      <c r="L8" s="404" t="n"/>
      <c r="M8" s="403" t="n"/>
      <c r="N8" s="323" t="n"/>
      <c r="O8" s="306" t="n"/>
    </row>
    <row r="9" ht="15" customHeight="1" s="307">
      <c r="A9" s="394" t="inlineStr">
        <is>
          <t>#5</t>
        </is>
      </c>
      <c r="B9" s="395">
        <f>'1. Press Assumptions'!$D$93</f>
        <v/>
      </c>
      <c r="C9" s="396">
        <f>'1. Press Assumptions'!$E$93</f>
        <v/>
      </c>
      <c r="D9" s="397">
        <f>B9*C9</f>
        <v/>
      </c>
      <c r="E9" s="398">
        <f>B9*0.1154*0.5</f>
        <v/>
      </c>
      <c r="F9" s="399">
        <f>D9-E9</f>
        <v/>
      </c>
      <c r="G9" s="400">
        <f>IF('1. Press Assumptions'!$B$136="Bear",0.8,IF('1. Press Assumptions'!$B$136="Bull",0.9,0.85))</f>
        <v/>
      </c>
      <c r="H9" s="401" t="n">
        <v>0</v>
      </c>
      <c r="I9" s="400">
        <f>"M"&amp;'1. Press Assumptions'!$K$93</f>
        <v/>
      </c>
      <c r="J9" s="402" t="n"/>
      <c r="K9" s="403" t="n"/>
      <c r="L9" s="404" t="n"/>
      <c r="M9" s="405" t="n"/>
      <c r="N9" s="323" t="n"/>
      <c r="O9" s="306" t="n"/>
    </row>
    <row r="10" ht="15" customHeight="1" s="307">
      <c r="A10" s="406" t="n"/>
      <c r="B10" s="407" t="n"/>
      <c r="C10" s="408" t="n"/>
      <c r="D10" s="408" t="n"/>
      <c r="E10" s="409" t="n"/>
      <c r="F10" s="410" t="n"/>
      <c r="G10" s="411" t="n"/>
      <c r="H10" s="412" t="n"/>
      <c r="I10" s="413" t="n"/>
      <c r="J10" s="407" t="n"/>
      <c r="K10" s="409" t="n"/>
      <c r="L10" s="414" t="n"/>
      <c r="O10" s="306" t="n"/>
    </row>
    <row r="11" ht="15" customHeight="1" s="307">
      <c r="A11" s="415" t="inlineStr">
        <is>
          <t>TOTAL</t>
        </is>
      </c>
      <c r="B11" s="416">
        <f>SUM(B5:B9)</f>
        <v/>
      </c>
      <c r="C11" s="417" t="n"/>
      <c r="D11" s="417">
        <f>SUM(D5:D9)</f>
        <v/>
      </c>
      <c r="E11" s="418">
        <f>SUM(E5:E9)</f>
        <v/>
      </c>
      <c r="F11" s="419">
        <f>SUM(F5:F9)</f>
        <v/>
      </c>
      <c r="G11" s="418" t="n"/>
      <c r="H11" s="417" t="n"/>
      <c r="I11" s="420" t="n"/>
      <c r="J11" s="387" t="n"/>
      <c r="K11" s="421" t="n"/>
      <c r="L11" s="392" t="n"/>
      <c r="M11" s="387" t="n"/>
      <c r="O11" s="306" t="n"/>
    </row>
    <row r="12" ht="15" customHeight="1" s="307">
      <c r="A12" s="394" t="n"/>
      <c r="B12" s="394" t="n"/>
      <c r="C12" s="422" t="n"/>
      <c r="D12" s="423" t="n"/>
      <c r="E12" s="424" t="n"/>
      <c r="F12" s="425" t="n"/>
      <c r="G12" s="403" t="n"/>
      <c r="H12" s="403" t="n"/>
      <c r="I12" s="403" t="n"/>
      <c r="J12" s="404" t="n"/>
      <c r="K12" s="423" t="n"/>
      <c r="L12" s="403" t="n"/>
      <c r="M12" s="403" t="n"/>
      <c r="O12" s="306" t="n"/>
    </row>
    <row r="13" ht="15" customHeight="1" s="307">
      <c r="A13" s="426" t="inlineStr">
        <is>
          <t>RECYCLED DEALS (50% retention, M1-36)</t>
        </is>
      </c>
      <c r="B13" s="427" t="n"/>
      <c r="C13" s="428" t="n"/>
      <c r="D13" s="429" t="n"/>
      <c r="E13" s="430" t="n"/>
      <c r="F13" s="431" t="n"/>
      <c r="G13" s="432" t="n"/>
      <c r="H13" s="432" t="n"/>
      <c r="I13" s="432" t="n"/>
      <c r="J13" s="404" t="n"/>
      <c r="K13" s="423" t="n"/>
      <c r="L13" s="403" t="n"/>
      <c r="M13" s="403" t="n"/>
      <c r="O13" s="306" t="n"/>
    </row>
    <row r="14" ht="19.5" customHeight="1" s="307">
      <c r="A14" s="388" t="inlineStr">
        <is>
          <t>Deal</t>
        </is>
      </c>
      <c r="B14" s="388" t="inlineStr">
        <is>
          <t>ARR ($mm)</t>
        </is>
      </c>
      <c r="C14" s="388" t="inlineStr">
        <is>
          <t>Entry Mult</t>
        </is>
      </c>
      <c r="D14" s="389" t="inlineStr">
        <is>
          <t>Gross Price</t>
        </is>
      </c>
      <c r="E14" s="390" t="inlineStr">
        <is>
          <t>Sev Disc</t>
        </is>
      </c>
      <c r="F14" s="389" t="inlineStr">
        <is>
          <t>Net Price</t>
        </is>
      </c>
      <c r="G14" s="391" t="inlineStr">
        <is>
          <t>NDR</t>
        </is>
      </c>
      <c r="H14" s="391" t="inlineStr">
        <is>
          <t>Entry Profit</t>
        </is>
      </c>
      <c r="I14" s="391" t="inlineStr">
        <is>
          <t>Close Mo</t>
        </is>
      </c>
      <c r="J14" s="392" t="n"/>
      <c r="K14" s="393" t="n"/>
      <c r="L14" s="392" t="n"/>
      <c r="M14" s="392" t="n"/>
      <c r="N14" s="387" t="n"/>
      <c r="O14" s="306" t="n"/>
    </row>
    <row r="15" ht="15" customHeight="1" s="307">
      <c r="A15" s="394" t="inlineStr">
        <is>
          <t>#6</t>
        </is>
      </c>
      <c r="B15" s="395">
        <f>'1. Press Assumptions'!$D$96</f>
        <v/>
      </c>
      <c r="C15" s="396">
        <f>'1. Press Assumptions'!$E$96</f>
        <v/>
      </c>
      <c r="D15" s="433">
        <f>B15*C15</f>
        <v/>
      </c>
      <c r="E15" s="398">
        <f>B15*0.1154*0.5</f>
        <v/>
      </c>
      <c r="F15" s="434">
        <f>D15-E15</f>
        <v/>
      </c>
      <c r="G15" s="400">
        <f>IF('1. Press Assumptions'!$B$136="Bear",0.8,IF('1. Press Assumptions'!$B$136="Bull",0.9,0.85))</f>
        <v/>
      </c>
      <c r="H15" s="401" t="n">
        <v>0</v>
      </c>
      <c r="I15" s="400">
        <f>"M"&amp;'1. Press Assumptions'!$K$96</f>
        <v/>
      </c>
      <c r="J15" s="402" t="n"/>
      <c r="K15" s="403" t="n"/>
      <c r="L15" s="404" t="n"/>
      <c r="M15" s="403" t="n"/>
      <c r="N15" s="323" t="n"/>
      <c r="O15" s="306" t="n"/>
    </row>
    <row r="16" ht="15" customHeight="1" s="307">
      <c r="A16" s="394" t="inlineStr">
        <is>
          <t>#7</t>
        </is>
      </c>
      <c r="B16" s="395">
        <f>'1. Press Assumptions'!$D$97</f>
        <v/>
      </c>
      <c r="C16" s="396">
        <f>'1. Press Assumptions'!$E$97</f>
        <v/>
      </c>
      <c r="D16" s="433">
        <f>B16*C16</f>
        <v/>
      </c>
      <c r="E16" s="398">
        <f>B16*0.1154*0.5</f>
        <v/>
      </c>
      <c r="F16" s="434">
        <f>D16-E16</f>
        <v/>
      </c>
      <c r="G16" s="400">
        <f>IF('1. Press Assumptions'!$B$136="Bear",0.8,IF('1. Press Assumptions'!$B$136="Bull",0.9,0.85))</f>
        <v/>
      </c>
      <c r="H16" s="401" t="n">
        <v>0</v>
      </c>
      <c r="I16" s="400">
        <f>"M"&amp;'1. Press Assumptions'!$K$97</f>
        <v/>
      </c>
      <c r="J16" s="402" t="n"/>
      <c r="K16" s="403" t="n"/>
      <c r="L16" s="404" t="n"/>
      <c r="M16" s="405" t="n"/>
      <c r="N16" s="323" t="n"/>
      <c r="O16" s="306" t="n"/>
    </row>
    <row r="17" ht="15" customHeight="1" s="307">
      <c r="A17" s="394" t="inlineStr">
        <is>
          <t>#8</t>
        </is>
      </c>
      <c r="B17" s="395">
        <f>'1. Press Assumptions'!$D$98</f>
        <v/>
      </c>
      <c r="C17" s="396">
        <f>'1. Press Assumptions'!$E$98</f>
        <v/>
      </c>
      <c r="D17" s="433">
        <f>B17*C17</f>
        <v/>
      </c>
      <c r="E17" s="398">
        <f>B17*0.1154*0.5</f>
        <v/>
      </c>
      <c r="F17" s="434">
        <f>D17-E17</f>
        <v/>
      </c>
      <c r="G17" s="400">
        <f>IF('1. Press Assumptions'!$B$136="Bear",0.8,IF('1. Press Assumptions'!$B$136="Bull",0.9,0.85))</f>
        <v/>
      </c>
      <c r="H17" s="401" t="n">
        <v>0</v>
      </c>
      <c r="I17" s="400">
        <f>"M"&amp;'1. Press Assumptions'!$K$98</f>
        <v/>
      </c>
      <c r="J17" s="402" t="n"/>
      <c r="K17" s="403" t="n"/>
      <c r="L17" s="404" t="n"/>
      <c r="M17" s="405" t="n"/>
      <c r="N17" s="323" t="n"/>
      <c r="O17" s="306" t="n"/>
    </row>
    <row r="18" ht="15" customHeight="1" s="307">
      <c r="A18" s="394" t="inlineStr">
        <is>
          <t>#9</t>
        </is>
      </c>
      <c r="B18" s="395">
        <f>'1. Press Assumptions'!$D$99</f>
        <v/>
      </c>
      <c r="C18" s="396">
        <f>'1. Press Assumptions'!$E$99</f>
        <v/>
      </c>
      <c r="D18" s="433">
        <f>B18*C18</f>
        <v/>
      </c>
      <c r="E18" s="398">
        <f>B18*0.1154*0.5</f>
        <v/>
      </c>
      <c r="F18" s="434">
        <f>D18-E18</f>
        <v/>
      </c>
      <c r="G18" s="400">
        <f>IF('1. Press Assumptions'!$B$136="Bear",0.8,IF('1. Press Assumptions'!$B$136="Bull",0.9,0.85))</f>
        <v/>
      </c>
      <c r="H18" s="401" t="n">
        <v>0</v>
      </c>
      <c r="I18" s="400">
        <f>"M"&amp;'1. Press Assumptions'!$K$99</f>
        <v/>
      </c>
      <c r="J18" s="402" t="n"/>
      <c r="K18" s="403" t="n"/>
      <c r="L18" s="404" t="n"/>
      <c r="M18" s="405" t="n"/>
      <c r="N18" s="323" t="n"/>
      <c r="O18" s="306" t="n"/>
    </row>
    <row r="19" ht="15" customHeight="1" s="307">
      <c r="A19" s="435" t="n"/>
      <c r="B19" s="422" t="n"/>
      <c r="C19" s="436" t="n"/>
      <c r="D19" s="437" t="n"/>
      <c r="E19" s="409" t="n"/>
      <c r="F19" s="410" t="n"/>
      <c r="G19" s="411" t="n"/>
      <c r="H19" s="412" t="n"/>
      <c r="I19" s="413" t="n"/>
      <c r="J19" s="407" t="n"/>
      <c r="K19" s="409" t="n"/>
      <c r="L19" s="414" t="n"/>
      <c r="O19" s="306" t="n"/>
    </row>
    <row r="20" ht="15" customHeight="1" s="307">
      <c r="A20" s="435" t="n"/>
      <c r="B20" s="422" t="n"/>
      <c r="C20" s="436" t="n"/>
      <c r="D20" s="408" t="n"/>
      <c r="E20" s="409" t="n"/>
      <c r="F20" s="410" t="n"/>
      <c r="G20" s="411" t="n"/>
      <c r="H20" s="412" t="n"/>
      <c r="I20" s="413" t="n"/>
      <c r="J20" s="407" t="n"/>
      <c r="K20" s="409" t="n"/>
      <c r="L20" s="414" t="n"/>
      <c r="O20" s="306" t="n"/>
    </row>
    <row r="21" ht="15" customHeight="1" s="307">
      <c r="A21" s="438" t="n"/>
      <c r="B21" s="422" t="n"/>
      <c r="C21" s="323" t="n"/>
      <c r="O21" s="306" t="n"/>
    </row>
    <row r="22" ht="15" customHeight="1" s="307">
      <c r="A22" s="321" t="n"/>
      <c r="B22" s="422" t="n"/>
      <c r="C22" s="323" t="n"/>
      <c r="O22" s="306" t="n"/>
    </row>
    <row r="23" ht="15" customHeight="1" s="307">
      <c r="A23" s="321" t="n"/>
      <c r="B23" s="422" t="n"/>
      <c r="C23" s="323" t="n"/>
      <c r="O23" s="306" t="n"/>
    </row>
    <row r="24" ht="15" customHeight="1" s="307">
      <c r="A24" s="321" t="n"/>
      <c r="B24" s="422" t="n"/>
      <c r="C24" s="323" t="n"/>
      <c r="O24" s="306" t="n"/>
    </row>
    <row r="25" ht="15" customHeight="1" s="307">
      <c r="A25" s="321" t="n"/>
      <c r="B25" s="422" t="n"/>
      <c r="C25" s="323" t="n"/>
      <c r="O25" s="306" t="n"/>
    </row>
    <row r="26" ht="15" customHeight="1" s="307">
      <c r="A26" s="321" t="n"/>
      <c r="B26" s="422" t="n"/>
      <c r="C26" s="323" t="n"/>
      <c r="O26" s="306" t="n"/>
    </row>
    <row r="27" ht="15" customHeight="1" s="307">
      <c r="A27" s="321" t="n"/>
      <c r="B27" s="422" t="n"/>
      <c r="C27" s="323" t="n"/>
      <c r="O27" s="306" t="n"/>
    </row>
    <row r="28" ht="15" customHeight="1" s="307">
      <c r="O28" s="306" t="n"/>
    </row>
    <row r="29" ht="15" customHeight="1" s="307">
      <c r="O29" s="306" t="n"/>
    </row>
    <row r="30" ht="15" customHeight="1" s="307">
      <c r="A30" s="438" t="n"/>
      <c r="O30" s="306" t="n"/>
    </row>
    <row r="31" ht="15" customHeight="1" s="307">
      <c r="A31" s="323" t="n"/>
      <c r="O31" s="306" t="n"/>
    </row>
    <row r="32" ht="15" customHeight="1" s="307">
      <c r="O32" s="306" t="n"/>
    </row>
    <row r="33" ht="15" customHeight="1" s="307">
      <c r="A33" s="322" t="n"/>
      <c r="B33" s="392" t="n"/>
      <c r="C33" s="392" t="n"/>
      <c r="D33" s="392" t="n"/>
      <c r="E33" s="392" t="n"/>
      <c r="F33" s="392" t="n"/>
      <c r="G33" s="392" t="n"/>
      <c r="H33" s="392" t="n"/>
      <c r="O33" s="306" t="n"/>
    </row>
    <row r="34" ht="15" customHeight="1" s="307">
      <c r="A34" s="439" t="n"/>
      <c r="B34" s="440" t="n"/>
      <c r="C34" s="440" t="n"/>
      <c r="D34" s="440" t="n"/>
      <c r="E34" s="440" t="n"/>
      <c r="F34" s="440" t="n"/>
      <c r="G34" s="440" t="n"/>
      <c r="H34" s="440" t="n"/>
      <c r="O34" s="306" t="n"/>
    </row>
    <row r="35" ht="15" customHeight="1" s="307">
      <c r="A35" s="439" t="n"/>
      <c r="B35" s="440" t="n"/>
      <c r="C35" s="440" t="n"/>
      <c r="D35" s="440" t="n"/>
      <c r="E35" s="441" t="n"/>
      <c r="F35" s="441" t="n"/>
      <c r="G35" s="441" t="n"/>
      <c r="H35" s="441" t="n"/>
      <c r="O35" s="306" t="n"/>
    </row>
    <row r="36" ht="15" customHeight="1" s="307">
      <c r="A36" s="439" t="n"/>
      <c r="B36" s="440" t="n"/>
      <c r="C36" s="441" t="n"/>
      <c r="D36" s="441" t="n"/>
      <c r="E36" s="441" t="n"/>
      <c r="F36" s="441" t="n"/>
      <c r="G36" s="442" t="n"/>
      <c r="H36" s="442" t="n"/>
      <c r="O36" s="306" t="n"/>
    </row>
    <row r="37" ht="15" customHeight="1" s="307">
      <c r="A37" s="439" t="n"/>
      <c r="B37" s="441" t="n"/>
      <c r="C37" s="441" t="n"/>
      <c r="D37" s="441" t="n"/>
      <c r="E37" s="442" t="n"/>
      <c r="F37" s="442" t="n"/>
      <c r="G37" s="442" t="n"/>
      <c r="H37" s="442" t="n"/>
      <c r="O37" s="306" t="n"/>
    </row>
    <row r="38" ht="15" customHeight="1" s="307">
      <c r="A38" s="439" t="n"/>
      <c r="B38" s="441" t="n"/>
      <c r="C38" s="441" t="n"/>
      <c r="D38" s="442" t="n"/>
      <c r="E38" s="442" t="n"/>
      <c r="F38" s="442" t="n"/>
      <c r="G38" s="442" t="n"/>
      <c r="H38" s="442" t="n"/>
      <c r="O38" s="306" t="n"/>
    </row>
    <row r="39" ht="15" customHeight="1" s="307">
      <c r="A39" s="439" t="n"/>
      <c r="B39" s="441" t="n"/>
      <c r="C39" s="442" t="n"/>
      <c r="D39" s="442" t="n"/>
      <c r="E39" s="442" t="n"/>
      <c r="F39" s="442" t="n"/>
      <c r="G39" s="442" t="n"/>
      <c r="H39" s="442" t="n"/>
      <c r="O39" s="306" t="n"/>
    </row>
    <row r="40" ht="15" customHeight="1" s="307">
      <c r="A40" s="439" t="n"/>
      <c r="B40" s="443" t="n"/>
      <c r="C40" s="444" t="n"/>
      <c r="D40" s="444" t="n"/>
      <c r="E40" s="444" t="n"/>
      <c r="F40" s="444" t="n"/>
      <c r="G40" s="444" t="n"/>
      <c r="H40" s="444" t="n"/>
    </row>
    <row r="42" ht="15" customHeight="1" s="307">
      <c r="A42" s="323" t="inlineStr">
        <is>
          <t>Green = premium (profitable + growing). Gold = par. Red = distress discount.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6" customWidth="1" style="306" min="2" max="2"/>
    <col width="13" customWidth="1" style="306" min="3" max="18"/>
  </cols>
  <sheetData>
    <row r="1" ht="25.5" customHeight="1" s="307">
      <c r="A1" s="385" t="inlineStr">
        <is>
          <t>PRESS CAPITAL  --  FUND I P&amp;L  |  NO RECYCLING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6" t="n"/>
    </row>
    <row r="2" ht="15" customHeight="1" s="307">
      <c r="A2" s="644" t="inlineStr">
        <is>
          <t>5 deals @ $24M ARR. Per-deal NDR mix..  LIVE from _Engine_NR -- Tab 1 inputs flow through.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</row>
    <row r="3" ht="15" customHeight="1" s="307">
      <c r="A3" s="445" t="inlineStr">
        <is>
          <t>($mm)</t>
        </is>
      </c>
      <c r="B3" s="388" t="inlineStr">
        <is>
          <t>Total</t>
        </is>
      </c>
      <c r="C3" s="388" t="inlineStr">
        <is>
          <t>Year 1</t>
        </is>
      </c>
      <c r="D3" s="388" t="inlineStr">
        <is>
          <t>Year 2</t>
        </is>
      </c>
      <c r="E3" s="388" t="inlineStr">
        <is>
          <t>Year 3</t>
        </is>
      </c>
      <c r="F3" s="388" t="inlineStr">
        <is>
          <t>Year 4</t>
        </is>
      </c>
      <c r="G3" s="388" t="inlineStr">
        <is>
          <t>Year 5</t>
        </is>
      </c>
      <c r="H3" s="388" t="inlineStr">
        <is>
          <t>Year 6</t>
        </is>
      </c>
      <c r="I3" s="388" t="inlineStr">
        <is>
          <t>Year 7</t>
        </is>
      </c>
      <c r="J3" s="388" t="inlineStr">
        <is>
          <t>Year 8</t>
        </is>
      </c>
      <c r="K3" s="388" t="inlineStr">
        <is>
          <t>Year 9</t>
        </is>
      </c>
      <c r="L3" s="388" t="inlineStr">
        <is>
          <t>Year 10</t>
        </is>
      </c>
      <c r="M3" s="388" t="inlineStr">
        <is>
          <t>Year 11</t>
        </is>
      </c>
      <c r="N3" s="388" t="inlineStr">
        <is>
          <t>Year 12</t>
        </is>
      </c>
      <c r="O3" s="388" t="inlineStr">
        <is>
          <t>Year 13</t>
        </is>
      </c>
      <c r="P3" s="388" t="inlineStr">
        <is>
          <t>Year 14</t>
        </is>
      </c>
      <c r="Q3" s="388" t="inlineStr">
        <is>
          <t>Year 15</t>
        </is>
      </c>
      <c r="R3" s="306" t="n"/>
      <c r="S3" s="306" t="n"/>
    </row>
    <row r="4" ht="15" customHeight="1" s="307">
      <c r="A4" s="306" t="n"/>
      <c r="B4" s="306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306" t="n"/>
      <c r="O4" s="306" t="n"/>
      <c r="P4" s="306" t="n"/>
      <c r="Q4" s="306" t="n"/>
      <c r="R4" s="306" t="n"/>
      <c r="S4" s="306" t="n"/>
    </row>
    <row r="5" ht="15" customHeight="1" s="307">
      <c r="A5" s="446" t="inlineStr">
        <is>
          <t>Revenue</t>
        </is>
      </c>
      <c r="B5" s="447">
        <f>SUM(C5:Q5)</f>
        <v/>
      </c>
      <c r="C5" s="448">
        <f>'_Engine_NR'!B215</f>
        <v/>
      </c>
      <c r="D5" s="448">
        <f>'_Engine_NR'!B216</f>
        <v/>
      </c>
      <c r="E5" s="448">
        <f>'_Engine_NR'!B217</f>
        <v/>
      </c>
      <c r="F5" s="448">
        <f>'_Engine_NR'!B218</f>
        <v/>
      </c>
      <c r="G5" s="448">
        <f>'_Engine_NR'!B219</f>
        <v/>
      </c>
      <c r="H5" s="448">
        <f>'_Engine_NR'!B220</f>
        <v/>
      </c>
      <c r="I5" s="448">
        <f>'_Engine_NR'!B221</f>
        <v/>
      </c>
      <c r="J5" s="448">
        <f>'_Engine_NR'!B222</f>
        <v/>
      </c>
      <c r="K5" s="448">
        <f>'_Engine_NR'!B223</f>
        <v/>
      </c>
      <c r="L5" s="448">
        <f>'_Engine_NR'!B224</f>
        <v/>
      </c>
      <c r="M5" s="448">
        <f>'_Engine_NR'!B225</f>
        <v/>
      </c>
      <c r="N5" s="448">
        <f>'_Engine_NR'!B226</f>
        <v/>
      </c>
      <c r="O5" s="448">
        <f>'_Engine_NR'!B227</f>
        <v/>
      </c>
      <c r="P5" s="448">
        <f>'_Engine_NR'!B228</f>
        <v/>
      </c>
      <c r="Q5" s="448">
        <f>'_Engine_NR'!B229</f>
        <v/>
      </c>
      <c r="R5" s="306" t="n"/>
      <c r="S5" s="306" t="n"/>
    </row>
    <row r="6" ht="15" customHeight="1" s="307">
      <c r="A6" s="449" t="inlineStr">
        <is>
          <t xml:space="preserve">    Cost of Goods Sold</t>
        </is>
      </c>
      <c r="B6" s="450">
        <f>SUM(C6:Q6)</f>
        <v/>
      </c>
      <c r="C6" s="451">
        <f>'_Engine_NR'!C215</f>
        <v/>
      </c>
      <c r="D6" s="451">
        <f>'_Engine_NR'!C216</f>
        <v/>
      </c>
      <c r="E6" s="451">
        <f>'_Engine_NR'!C217</f>
        <v/>
      </c>
      <c r="F6" s="451">
        <f>'_Engine_NR'!C218</f>
        <v/>
      </c>
      <c r="G6" s="451">
        <f>'_Engine_NR'!C219</f>
        <v/>
      </c>
      <c r="H6" s="451">
        <f>'_Engine_NR'!C220</f>
        <v/>
      </c>
      <c r="I6" s="451">
        <f>'_Engine_NR'!C221</f>
        <v/>
      </c>
      <c r="J6" s="451">
        <f>'_Engine_NR'!C222</f>
        <v/>
      </c>
      <c r="K6" s="451">
        <f>'_Engine_NR'!C223</f>
        <v/>
      </c>
      <c r="L6" s="451">
        <f>'_Engine_NR'!C224</f>
        <v/>
      </c>
      <c r="M6" s="451">
        <f>'_Engine_NR'!C225</f>
        <v/>
      </c>
      <c r="N6" s="451">
        <f>'_Engine_NR'!C226</f>
        <v/>
      </c>
      <c r="O6" s="451">
        <f>'_Engine_NR'!C227</f>
        <v/>
      </c>
      <c r="P6" s="451">
        <f>'_Engine_NR'!C228</f>
        <v/>
      </c>
      <c r="Q6" s="451">
        <f>'_Engine_NR'!C229</f>
        <v/>
      </c>
      <c r="R6" s="306" t="n"/>
      <c r="S6" s="306" t="n"/>
    </row>
    <row r="7" ht="15" customHeight="1" s="307">
      <c r="A7" s="452" t="inlineStr">
        <is>
          <t>Gross Profit</t>
        </is>
      </c>
      <c r="B7" s="453">
        <f>SUM(C7:Q7)</f>
        <v/>
      </c>
      <c r="C7" s="454">
        <f>C5-C6</f>
        <v/>
      </c>
      <c r="D7" s="454">
        <f>D5-D6</f>
        <v/>
      </c>
      <c r="E7" s="454">
        <f>E5-E6</f>
        <v/>
      </c>
      <c r="F7" s="454">
        <f>F5-F6</f>
        <v/>
      </c>
      <c r="G7" s="454">
        <f>G5-G6</f>
        <v/>
      </c>
      <c r="H7" s="454">
        <f>H5-H6</f>
        <v/>
      </c>
      <c r="I7" s="454">
        <f>I5-I6</f>
        <v/>
      </c>
      <c r="J7" s="454">
        <f>J5-J6</f>
        <v/>
      </c>
      <c r="K7" s="454">
        <f>K5-K6</f>
        <v/>
      </c>
      <c r="L7" s="454">
        <f>L5-L6</f>
        <v/>
      </c>
      <c r="M7" s="454">
        <f>M5-M6</f>
        <v/>
      </c>
      <c r="N7" s="454">
        <f>N5-N6</f>
        <v/>
      </c>
      <c r="O7" s="454">
        <f>O5-O6</f>
        <v/>
      </c>
      <c r="P7" s="454">
        <f>P5-P6</f>
        <v/>
      </c>
      <c r="Q7" s="454">
        <f>Q5-Q6</f>
        <v/>
      </c>
      <c r="R7" s="455" t="n"/>
      <c r="S7" s="306" t="n"/>
    </row>
    <row r="8" ht="15" customHeight="1" s="307">
      <c r="A8" s="456" t="n"/>
      <c r="B8" s="411" t="n"/>
      <c r="C8" s="411" t="n"/>
      <c r="D8" s="411" t="n"/>
      <c r="E8" s="411" t="n"/>
      <c r="F8" s="411" t="n"/>
      <c r="G8" s="411" t="n"/>
      <c r="H8" s="411" t="n"/>
      <c r="I8" s="411" t="n"/>
      <c r="J8" s="411" t="n"/>
      <c r="K8" s="411" t="n"/>
      <c r="L8" s="411" t="n"/>
      <c r="M8" s="411" t="n"/>
      <c r="N8" s="411" t="n"/>
      <c r="O8" s="411" t="n"/>
      <c r="P8" s="411" t="n"/>
      <c r="Q8" s="411" t="n"/>
      <c r="R8" s="306" t="n"/>
      <c r="S8" s="306" t="n"/>
    </row>
    <row r="9" ht="15" customHeight="1" s="307">
      <c r="A9" s="325" t="inlineStr">
        <is>
          <t>Operating Expenses</t>
        </is>
      </c>
      <c r="B9" s="457" t="n"/>
      <c r="C9" s="457" t="n"/>
      <c r="D9" s="457" t="n"/>
      <c r="E9" s="457" t="n"/>
      <c r="F9" s="457" t="n"/>
      <c r="G9" s="457" t="n"/>
      <c r="H9" s="457" t="n"/>
      <c r="I9" s="457" t="n"/>
      <c r="J9" s="457" t="n"/>
      <c r="K9" s="457" t="n"/>
      <c r="L9" s="457" t="n"/>
      <c r="M9" s="457" t="n"/>
      <c r="N9" s="457" t="n"/>
      <c r="O9" s="457" t="n"/>
      <c r="P9" s="457" t="n"/>
      <c r="Q9" s="457" t="n"/>
      <c r="R9" s="309" t="n"/>
      <c r="S9" s="306" t="n"/>
    </row>
    <row r="10" ht="15" customHeight="1" s="307">
      <c r="A10" s="449" t="inlineStr">
        <is>
          <t xml:space="preserve">    Vendor Costs</t>
        </is>
      </c>
      <c r="B10" s="458">
        <f>SUM(C10:Q10)</f>
        <v/>
      </c>
      <c r="C10" s="451">
        <f>'_Engine_NR'!D215</f>
        <v/>
      </c>
      <c r="D10" s="451">
        <f>'_Engine_NR'!D216</f>
        <v/>
      </c>
      <c r="E10" s="451">
        <f>'_Engine_NR'!D217</f>
        <v/>
      </c>
      <c r="F10" s="451">
        <f>'_Engine_NR'!D218</f>
        <v/>
      </c>
      <c r="G10" s="451">
        <f>'_Engine_NR'!D219</f>
        <v/>
      </c>
      <c r="H10" s="451">
        <f>'_Engine_NR'!D220</f>
        <v/>
      </c>
      <c r="I10" s="451">
        <f>'_Engine_NR'!D221</f>
        <v/>
      </c>
      <c r="J10" s="451">
        <f>'_Engine_NR'!D222</f>
        <v/>
      </c>
      <c r="K10" s="451">
        <f>'_Engine_NR'!D223</f>
        <v/>
      </c>
      <c r="L10" s="451">
        <f>'_Engine_NR'!D224</f>
        <v/>
      </c>
      <c r="M10" s="451">
        <f>'_Engine_NR'!D225</f>
        <v/>
      </c>
      <c r="N10" s="451">
        <f>'_Engine_NR'!D226</f>
        <v/>
      </c>
      <c r="O10" s="451">
        <f>'_Engine_NR'!D227</f>
        <v/>
      </c>
      <c r="P10" s="451">
        <f>'_Engine_NR'!D228</f>
        <v/>
      </c>
      <c r="Q10" s="451">
        <f>'_Engine_NR'!D229</f>
        <v/>
      </c>
      <c r="R10" s="306" t="n"/>
      <c r="S10" s="306" t="n"/>
    </row>
    <row r="11" ht="15" customHeight="1" s="307">
      <c r="A11" s="449" t="inlineStr">
        <is>
          <t xml:space="preserve">    Corporate Allocation</t>
        </is>
      </c>
      <c r="B11" s="458">
        <f>SUM(C11:Q11)</f>
        <v/>
      </c>
      <c r="C11" s="451">
        <f>'_Engine_NR'!E215</f>
        <v/>
      </c>
      <c r="D11" s="451">
        <f>'_Engine_NR'!E216</f>
        <v/>
      </c>
      <c r="E11" s="451">
        <f>'_Engine_NR'!E217</f>
        <v/>
      </c>
      <c r="F11" s="451">
        <f>'_Engine_NR'!E218</f>
        <v/>
      </c>
      <c r="G11" s="451">
        <f>'_Engine_NR'!E219</f>
        <v/>
      </c>
      <c r="H11" s="451">
        <f>'_Engine_NR'!E220</f>
        <v/>
      </c>
      <c r="I11" s="451">
        <f>'_Engine_NR'!E221</f>
        <v/>
      </c>
      <c r="J11" s="451">
        <f>'_Engine_NR'!E222</f>
        <v/>
      </c>
      <c r="K11" s="451">
        <f>'_Engine_NR'!E223</f>
        <v/>
      </c>
      <c r="L11" s="451">
        <f>'_Engine_NR'!E224</f>
        <v/>
      </c>
      <c r="M11" s="451">
        <f>'_Engine_NR'!E225</f>
        <v/>
      </c>
      <c r="N11" s="451">
        <f>'_Engine_NR'!E226</f>
        <v/>
      </c>
      <c r="O11" s="451">
        <f>'_Engine_NR'!E227</f>
        <v/>
      </c>
      <c r="P11" s="451">
        <f>'_Engine_NR'!E228</f>
        <v/>
      </c>
      <c r="Q11" s="451">
        <f>'_Engine_NR'!E229</f>
        <v/>
      </c>
      <c r="R11" s="306" t="n"/>
      <c r="S11" s="306" t="n"/>
    </row>
    <row r="12" ht="15" customHeight="1" s="307">
      <c r="A12" s="449" t="inlineStr">
        <is>
          <t xml:space="preserve">    Team Compensation</t>
        </is>
      </c>
      <c r="B12" s="458">
        <f>SUM(C12:Q12)</f>
        <v/>
      </c>
      <c r="C12" s="451">
        <f>'_Engine_NR'!F215</f>
        <v/>
      </c>
      <c r="D12" s="451">
        <f>'_Engine_NR'!F216</f>
        <v/>
      </c>
      <c r="E12" s="451">
        <f>'_Engine_NR'!F217</f>
        <v/>
      </c>
      <c r="F12" s="451">
        <f>'_Engine_NR'!F218</f>
        <v/>
      </c>
      <c r="G12" s="451">
        <f>'_Engine_NR'!F219</f>
        <v/>
      </c>
      <c r="H12" s="451">
        <f>'_Engine_NR'!F220</f>
        <v/>
      </c>
      <c r="I12" s="451">
        <f>'_Engine_NR'!F221</f>
        <v/>
      </c>
      <c r="J12" s="451">
        <f>'_Engine_NR'!F222</f>
        <v/>
      </c>
      <c r="K12" s="451">
        <f>'_Engine_NR'!F223</f>
        <v/>
      </c>
      <c r="L12" s="451">
        <f>'_Engine_NR'!F224</f>
        <v/>
      </c>
      <c r="M12" s="451">
        <f>'_Engine_NR'!F225</f>
        <v/>
      </c>
      <c r="N12" s="451">
        <f>'_Engine_NR'!F226</f>
        <v/>
      </c>
      <c r="O12" s="451">
        <f>'_Engine_NR'!F227</f>
        <v/>
      </c>
      <c r="P12" s="451">
        <f>'_Engine_NR'!F228</f>
        <v/>
      </c>
      <c r="Q12" s="451">
        <f>'_Engine_NR'!F229</f>
        <v/>
      </c>
      <c r="R12" s="306" t="n"/>
      <c r="S12" s="306" t="n"/>
    </row>
    <row r="13" ht="15" customHeight="1" s="307">
      <c r="A13" s="449" t="inlineStr">
        <is>
          <t xml:space="preserve">    Legacy Headcount Expenses</t>
        </is>
      </c>
      <c r="B13" s="458">
        <f>SUM(C13:Q13)</f>
        <v/>
      </c>
      <c r="C13" s="451">
        <f>'_Engine_NR'!G215</f>
        <v/>
      </c>
      <c r="D13" s="451">
        <f>'_Engine_NR'!G216</f>
        <v/>
      </c>
      <c r="E13" s="451">
        <f>'_Engine_NR'!G217</f>
        <v/>
      </c>
      <c r="F13" s="451">
        <f>'_Engine_NR'!G218</f>
        <v/>
      </c>
      <c r="G13" s="451">
        <f>'_Engine_NR'!G219</f>
        <v/>
      </c>
      <c r="H13" s="451">
        <f>'_Engine_NR'!G220</f>
        <v/>
      </c>
      <c r="I13" s="451">
        <f>'_Engine_NR'!G221</f>
        <v/>
      </c>
      <c r="J13" s="451">
        <f>'_Engine_NR'!G222</f>
        <v/>
      </c>
      <c r="K13" s="451">
        <f>'_Engine_NR'!G223</f>
        <v/>
      </c>
      <c r="L13" s="451">
        <f>'_Engine_NR'!G224</f>
        <v/>
      </c>
      <c r="M13" s="451">
        <f>'_Engine_NR'!G225</f>
        <v/>
      </c>
      <c r="N13" s="451">
        <f>'_Engine_NR'!G226</f>
        <v/>
      </c>
      <c r="O13" s="451">
        <f>'_Engine_NR'!G227</f>
        <v/>
      </c>
      <c r="P13" s="451">
        <f>'_Engine_NR'!G228</f>
        <v/>
      </c>
      <c r="Q13" s="451">
        <f>'_Engine_NR'!G229</f>
        <v/>
      </c>
      <c r="R13" s="306" t="n"/>
      <c r="S13" s="306" t="n"/>
    </row>
    <row r="14" ht="15" customHeight="1" s="307">
      <c r="A14" s="321" t="inlineStr">
        <is>
          <t xml:space="preserve">    Bonus Pool</t>
        </is>
      </c>
      <c r="B14" s="458">
        <f>SUM(C14:Q14)</f>
        <v/>
      </c>
      <c r="C14" s="459">
        <f>'_Engine_NR'!H215</f>
        <v/>
      </c>
      <c r="D14" s="459">
        <f>'_Engine_NR'!H216</f>
        <v/>
      </c>
      <c r="E14" s="459">
        <f>'_Engine_NR'!H217</f>
        <v/>
      </c>
      <c r="F14" s="459">
        <f>'_Engine_NR'!H218</f>
        <v/>
      </c>
      <c r="G14" s="459">
        <f>'_Engine_NR'!H219</f>
        <v/>
      </c>
      <c r="H14" s="459">
        <f>'_Engine_NR'!H220</f>
        <v/>
      </c>
      <c r="I14" s="459">
        <f>'_Engine_NR'!H221</f>
        <v/>
      </c>
      <c r="J14" s="459">
        <f>'_Engine_NR'!H222</f>
        <v/>
      </c>
      <c r="K14" s="459">
        <f>'_Engine_NR'!H223</f>
        <v/>
      </c>
      <c r="L14" s="459">
        <f>'_Engine_NR'!H224</f>
        <v/>
      </c>
      <c r="M14" s="459">
        <f>'_Engine_NR'!H225</f>
        <v/>
      </c>
      <c r="N14" s="459">
        <f>'_Engine_NR'!H226</f>
        <v/>
      </c>
      <c r="O14" s="459">
        <f>'_Engine_NR'!H227</f>
        <v/>
      </c>
      <c r="P14" s="459">
        <f>'_Engine_NR'!H228</f>
        <v/>
      </c>
      <c r="Q14" s="459">
        <f>'_Engine_NR'!H229</f>
        <v/>
      </c>
      <c r="R14" s="306" t="n"/>
      <c r="S14" s="306" t="n"/>
    </row>
    <row r="15" ht="15" customHeight="1" s="307">
      <c r="A15" s="460" t="inlineStr">
        <is>
          <t>Total Operating Expenses</t>
        </is>
      </c>
      <c r="B15" s="461">
        <f>SUM(C15:Q15)</f>
        <v/>
      </c>
      <c r="C15" s="462">
        <f>C10+C11+C12+C13+C14</f>
        <v/>
      </c>
      <c r="D15" s="462">
        <f>D10+D11+D12+D13+D14</f>
        <v/>
      </c>
      <c r="E15" s="462">
        <f>E10+E11+E12+E13+E14</f>
        <v/>
      </c>
      <c r="F15" s="462">
        <f>F10+F11+F12+F13+F14</f>
        <v/>
      </c>
      <c r="G15" s="462">
        <f>G10+G11+G12+G13+G14</f>
        <v/>
      </c>
      <c r="H15" s="462">
        <f>H10+H11+H12+H13+H14</f>
        <v/>
      </c>
      <c r="I15" s="462">
        <f>I10+I11+I12+I13+I14</f>
        <v/>
      </c>
      <c r="J15" s="462">
        <f>J10+J11+J12+J13+J14</f>
        <v/>
      </c>
      <c r="K15" s="462">
        <f>K10+K11+K12+K13+K14</f>
        <v/>
      </c>
      <c r="L15" s="462">
        <f>L10+L11+L12+L13+L14</f>
        <v/>
      </c>
      <c r="M15" s="462">
        <f>M10+M11+M12+M13+M14</f>
        <v/>
      </c>
      <c r="N15" s="462">
        <f>N10+N11+N12+N13+N14</f>
        <v/>
      </c>
      <c r="O15" s="462">
        <f>O10+O11+O12+O13+O14</f>
        <v/>
      </c>
      <c r="P15" s="462">
        <f>P10+P11+P12+P13+P14</f>
        <v/>
      </c>
      <c r="Q15" s="462">
        <f>Q10+Q11+Q12+Q13+Q14</f>
        <v/>
      </c>
      <c r="R15" s="463" t="n"/>
      <c r="S15" s="306" t="n"/>
    </row>
    <row r="16" ht="15" customHeight="1" s="307">
      <c r="A16" s="314" t="n"/>
      <c r="B16" s="464" t="n"/>
      <c r="C16" s="464" t="n"/>
      <c r="D16" s="464" t="n"/>
      <c r="E16" s="464" t="n"/>
      <c r="F16" s="464" t="n"/>
      <c r="G16" s="464" t="n"/>
      <c r="H16" s="464" t="n"/>
      <c r="I16" s="464" t="n"/>
      <c r="J16" s="464" t="n"/>
      <c r="K16" s="464" t="n"/>
      <c r="L16" s="464" t="n"/>
      <c r="M16" s="464" t="n"/>
      <c r="N16" s="464" t="n"/>
      <c r="O16" s="464" t="n"/>
      <c r="P16" s="464" t="n"/>
      <c r="Q16" s="464" t="n"/>
      <c r="R16" s="306" t="n"/>
      <c r="S16" s="306" t="n"/>
    </row>
    <row r="17" ht="15" customHeight="1" s="307">
      <c r="A17" s="322" t="inlineStr">
        <is>
          <t>EBITDA</t>
        </is>
      </c>
      <c r="B17" s="465">
        <f>SUM(C17:Q17)</f>
        <v/>
      </c>
      <c r="C17" s="466">
        <f>'_Engine_NR'!I215</f>
        <v/>
      </c>
      <c r="D17" s="466">
        <f>'_Engine_NR'!I216</f>
        <v/>
      </c>
      <c r="E17" s="466">
        <f>'_Engine_NR'!I217</f>
        <v/>
      </c>
      <c r="F17" s="466">
        <f>'_Engine_NR'!I218</f>
        <v/>
      </c>
      <c r="G17" s="466">
        <f>'_Engine_NR'!I219</f>
        <v/>
      </c>
      <c r="H17" s="466">
        <f>'_Engine_NR'!I220</f>
        <v/>
      </c>
      <c r="I17" s="466">
        <f>'_Engine_NR'!I221</f>
        <v/>
      </c>
      <c r="J17" s="466">
        <f>'_Engine_NR'!I222</f>
        <v/>
      </c>
      <c r="K17" s="466">
        <f>'_Engine_NR'!I223</f>
        <v/>
      </c>
      <c r="L17" s="466">
        <f>'_Engine_NR'!I224</f>
        <v/>
      </c>
      <c r="M17" s="466">
        <f>'_Engine_NR'!I225</f>
        <v/>
      </c>
      <c r="N17" s="466">
        <f>'_Engine_NR'!I226</f>
        <v/>
      </c>
      <c r="O17" s="466">
        <f>'_Engine_NR'!I227</f>
        <v/>
      </c>
      <c r="P17" s="466">
        <f>'_Engine_NR'!I228</f>
        <v/>
      </c>
      <c r="Q17" s="466">
        <f>'_Engine_NR'!I229</f>
        <v/>
      </c>
      <c r="R17" s="306" t="n"/>
      <c r="S17" s="306" t="n"/>
    </row>
    <row r="18" ht="15" customHeight="1" s="307">
      <c r="A18" s="321" t="inlineStr">
        <is>
          <t>EBITDA Margin</t>
        </is>
      </c>
      <c r="B18" s="467">
        <f>B17/B5</f>
        <v/>
      </c>
      <c r="C18" s="327">
        <f>IF(C5=0,0,C17/C5)</f>
        <v/>
      </c>
      <c r="D18" s="327">
        <f>IF(D5=0,0,D17/D5)</f>
        <v/>
      </c>
      <c r="E18" s="327">
        <f>IF(E5=0,0,E17/E5)</f>
        <v/>
      </c>
      <c r="F18" s="327">
        <f>IF(F5=0,0,F17/F5)</f>
        <v/>
      </c>
      <c r="G18" s="327">
        <f>IF(G5=0,0,G17/G5)</f>
        <v/>
      </c>
      <c r="H18" s="327">
        <f>IF(H5=0,0,H17/H5)</f>
        <v/>
      </c>
      <c r="I18" s="327">
        <f>IF(I5=0,0,I17/I5)</f>
        <v/>
      </c>
      <c r="J18" s="327">
        <f>IF(J5=0,0,J17/J5)</f>
        <v/>
      </c>
      <c r="K18" s="327">
        <f>IF(K5=0,0,K17/K5)</f>
        <v/>
      </c>
      <c r="L18" s="327">
        <f>IF(L5=0,0,L17/L5)</f>
        <v/>
      </c>
      <c r="M18" s="327">
        <f>IF(M5=0,0,M17/M5)</f>
        <v/>
      </c>
      <c r="N18" s="327">
        <f>IF(N5=0,0,N17/N5)</f>
        <v/>
      </c>
      <c r="O18" s="327">
        <f>IF(O5=0,0,O17/O5)</f>
        <v/>
      </c>
      <c r="P18" s="327">
        <f>IF(P5=0,0,P17/P5)</f>
        <v/>
      </c>
      <c r="Q18" s="327">
        <f>IF(Q5=0,0,Q17/Q5)</f>
        <v/>
      </c>
      <c r="R18" s="306" t="n"/>
      <c r="S18" s="306" t="n"/>
    </row>
    <row r="19" ht="15" customHeight="1" s="307">
      <c r="A19" s="312" t="n"/>
      <c r="B19" s="464" t="n"/>
      <c r="C19" s="464" t="n"/>
      <c r="D19" s="464" t="n"/>
      <c r="E19" s="464" t="n"/>
      <c r="F19" s="464" t="n"/>
      <c r="G19" s="464" t="n"/>
      <c r="H19" s="464" t="n"/>
      <c r="I19" s="464" t="n"/>
      <c r="J19" s="464" t="n"/>
      <c r="K19" s="464" t="n"/>
      <c r="L19" s="464" t="n"/>
      <c r="M19" s="464" t="n"/>
      <c r="N19" s="464" t="n"/>
      <c r="O19" s="464" t="n"/>
      <c r="P19" s="464" t="n"/>
      <c r="Q19" s="464" t="n"/>
      <c r="R19" s="306" t="n"/>
      <c r="S19" s="306" t="n"/>
    </row>
    <row r="20" ht="15" customHeight="1" s="307">
      <c r="A20" s="321" t="inlineStr">
        <is>
          <t xml:space="preserve">    Severance (Press 50%)</t>
        </is>
      </c>
      <c r="B20" s="458">
        <f>SUM(C20:Q20)</f>
        <v/>
      </c>
      <c r="C20" s="459">
        <f>'_Engine_NR'!J215</f>
        <v/>
      </c>
      <c r="D20" s="459">
        <f>'_Engine_NR'!J216</f>
        <v/>
      </c>
      <c r="E20" s="459">
        <f>'_Engine_NR'!J217</f>
        <v/>
      </c>
      <c r="F20" s="459">
        <f>'_Engine_NR'!J218</f>
        <v/>
      </c>
      <c r="G20" s="459">
        <f>'_Engine_NR'!J219</f>
        <v/>
      </c>
      <c r="H20" s="459">
        <f>'_Engine_NR'!J220</f>
        <v/>
      </c>
      <c r="I20" s="459">
        <f>'_Engine_NR'!J221</f>
        <v/>
      </c>
      <c r="J20" s="459">
        <f>'_Engine_NR'!J222</f>
        <v/>
      </c>
      <c r="K20" s="459">
        <f>'_Engine_NR'!J223</f>
        <v/>
      </c>
      <c r="L20" s="459">
        <f>'_Engine_NR'!J224</f>
        <v/>
      </c>
      <c r="M20" s="459">
        <f>'_Engine_NR'!J225</f>
        <v/>
      </c>
      <c r="N20" s="459">
        <f>'_Engine_NR'!J226</f>
        <v/>
      </c>
      <c r="O20" s="459">
        <f>'_Engine_NR'!J227</f>
        <v/>
      </c>
      <c r="P20" s="459">
        <f>'_Engine_NR'!J228</f>
        <v/>
      </c>
      <c r="Q20" s="459">
        <f>'_Engine_NR'!J229</f>
        <v/>
      </c>
      <c r="R20" s="306" t="n"/>
      <c r="S20" s="306" t="n"/>
    </row>
    <row r="21" ht="15" customHeight="1" s="307">
      <c r="A21" s="468" t="inlineStr">
        <is>
          <t>Operating Income</t>
        </is>
      </c>
      <c r="B21" s="469">
        <f>B17-B20</f>
        <v/>
      </c>
      <c r="C21" s="470">
        <f>C17-C20</f>
        <v/>
      </c>
      <c r="D21" s="470">
        <f>D17-D20</f>
        <v/>
      </c>
      <c r="E21" s="470">
        <f>E17-E20</f>
        <v/>
      </c>
      <c r="F21" s="470">
        <f>F17-F20</f>
        <v/>
      </c>
      <c r="G21" s="470">
        <f>G17-G20</f>
        <v/>
      </c>
      <c r="H21" s="470">
        <f>H17-H20</f>
        <v/>
      </c>
      <c r="I21" s="470">
        <f>I17-I20</f>
        <v/>
      </c>
      <c r="J21" s="470">
        <f>J17-J20</f>
        <v/>
      </c>
      <c r="K21" s="470">
        <f>K17-K20</f>
        <v/>
      </c>
      <c r="L21" s="470">
        <f>L17-L20</f>
        <v/>
      </c>
      <c r="M21" s="470">
        <f>M17-M20</f>
        <v/>
      </c>
      <c r="N21" s="470">
        <f>N17-N20</f>
        <v/>
      </c>
      <c r="O21" s="470">
        <f>O17-O20</f>
        <v/>
      </c>
      <c r="P21" s="470">
        <f>P17-P20</f>
        <v/>
      </c>
      <c r="Q21" s="470">
        <f>Q17-Q20</f>
        <v/>
      </c>
      <c r="R21" s="455" t="n"/>
      <c r="S21" s="306" t="n"/>
    </row>
    <row r="22" ht="15" customHeight="1" s="307">
      <c r="A22" s="314" t="n"/>
      <c r="B22" s="464" t="n"/>
      <c r="C22" s="464" t="n"/>
      <c r="D22" s="464" t="n"/>
      <c r="E22" s="464" t="n"/>
      <c r="F22" s="464" t="n"/>
      <c r="G22" s="464" t="n"/>
      <c r="H22" s="464" t="n"/>
      <c r="I22" s="464" t="n"/>
      <c r="J22" s="464" t="n"/>
      <c r="K22" s="464" t="n"/>
      <c r="L22" s="464" t="n"/>
      <c r="M22" s="464" t="n"/>
      <c r="N22" s="464" t="n"/>
      <c r="O22" s="464" t="n"/>
      <c r="P22" s="464" t="n"/>
      <c r="Q22" s="464" t="n"/>
      <c r="R22" s="306" t="n"/>
      <c r="S22" s="306" t="n"/>
    </row>
    <row r="23" ht="15" customHeight="1" s="307">
      <c r="A23" s="321" t="inlineStr">
        <is>
          <t xml:space="preserve">    Management Fee</t>
        </is>
      </c>
      <c r="B23" s="458">
        <f>SUM(C23:Q23)</f>
        <v/>
      </c>
      <c r="C23" s="459">
        <f>'_Engine_NR'!K215</f>
        <v/>
      </c>
      <c r="D23" s="459">
        <f>'_Engine_NR'!K216</f>
        <v/>
      </c>
      <c r="E23" s="459">
        <f>'_Engine_NR'!K217</f>
        <v/>
      </c>
      <c r="F23" s="459">
        <f>'_Engine_NR'!K218</f>
        <v/>
      </c>
      <c r="G23" s="459">
        <f>'_Engine_NR'!K219</f>
        <v/>
      </c>
      <c r="H23" s="459">
        <f>'_Engine_NR'!K220</f>
        <v/>
      </c>
      <c r="I23" s="459">
        <f>'_Engine_NR'!K221</f>
        <v/>
      </c>
      <c r="J23" s="459">
        <f>'_Engine_NR'!K222</f>
        <v/>
      </c>
      <c r="K23" s="459">
        <f>'_Engine_NR'!K223</f>
        <v/>
      </c>
      <c r="L23" s="459">
        <f>'_Engine_NR'!K224</f>
        <v/>
      </c>
      <c r="M23" s="459">
        <f>'_Engine_NR'!K225</f>
        <v/>
      </c>
      <c r="N23" s="459">
        <f>'_Engine_NR'!K226</f>
        <v/>
      </c>
      <c r="O23" s="459">
        <f>'_Engine_NR'!K227</f>
        <v/>
      </c>
      <c r="P23" s="459">
        <f>'_Engine_NR'!K228</f>
        <v/>
      </c>
      <c r="Q23" s="459">
        <f>'_Engine_NR'!K229</f>
        <v/>
      </c>
      <c r="R23" s="306" t="n"/>
      <c r="S23" s="306" t="n"/>
    </row>
    <row r="24" ht="15" customHeight="1" s="307">
      <c r="A24" s="460" t="inlineStr">
        <is>
          <t>Distributable Cash</t>
        </is>
      </c>
      <c r="B24" s="461">
        <f>SUM(C24:Q24)</f>
        <v/>
      </c>
      <c r="C24" s="462">
        <f>C21-C23</f>
        <v/>
      </c>
      <c r="D24" s="462">
        <f>D21-D23</f>
        <v/>
      </c>
      <c r="E24" s="462">
        <f>E21-E23</f>
        <v/>
      </c>
      <c r="F24" s="462">
        <f>F21-F23</f>
        <v/>
      </c>
      <c r="G24" s="462">
        <f>G21-G23</f>
        <v/>
      </c>
      <c r="H24" s="462">
        <f>H21-H23</f>
        <v/>
      </c>
      <c r="I24" s="462">
        <f>I21-I23</f>
        <v/>
      </c>
      <c r="J24" s="462">
        <f>J21-J23</f>
        <v/>
      </c>
      <c r="K24" s="462">
        <f>K21-K23</f>
        <v/>
      </c>
      <c r="L24" s="462">
        <f>L21-L23</f>
        <v/>
      </c>
      <c r="M24" s="462">
        <f>M21-M23</f>
        <v/>
      </c>
      <c r="N24" s="462">
        <f>N21-N23</f>
        <v/>
      </c>
      <c r="O24" s="462">
        <f>O21-O23</f>
        <v/>
      </c>
      <c r="P24" s="462">
        <f>P21-P23</f>
        <v/>
      </c>
      <c r="Q24" s="462">
        <f>Q21-Q23</f>
        <v/>
      </c>
      <c r="R24" s="463" t="n"/>
      <c r="S24" s="306" t="n"/>
    </row>
    <row r="25" ht="15" customHeight="1" s="307">
      <c r="A25" s="321" t="inlineStr">
        <is>
          <t>Cumulative Distributable</t>
        </is>
      </c>
      <c r="B25" s="458">
        <f>Q25</f>
        <v/>
      </c>
      <c r="C25" s="459">
        <f>C24</f>
        <v/>
      </c>
      <c r="D25" s="459">
        <f>C25+D24</f>
        <v/>
      </c>
      <c r="E25" s="459">
        <f>D25+E24</f>
        <v/>
      </c>
      <c r="F25" s="459">
        <f>E25+F24</f>
        <v/>
      </c>
      <c r="G25" s="459">
        <f>F25+G24</f>
        <v/>
      </c>
      <c r="H25" s="459">
        <f>G25+H24</f>
        <v/>
      </c>
      <c r="I25" s="459">
        <f>H25+I24</f>
        <v/>
      </c>
      <c r="J25" s="459">
        <f>I25+J24</f>
        <v/>
      </c>
      <c r="K25" s="459">
        <f>J25+K24</f>
        <v/>
      </c>
      <c r="L25" s="459">
        <f>K25+L24</f>
        <v/>
      </c>
      <c r="M25" s="459">
        <f>L25+M24</f>
        <v/>
      </c>
      <c r="N25" s="459">
        <f>M25+N24</f>
        <v/>
      </c>
      <c r="O25" s="459">
        <f>N25+O24</f>
        <v/>
      </c>
      <c r="P25" s="459">
        <f>O25+P24</f>
        <v/>
      </c>
      <c r="Q25" s="459">
        <f>P25+Q24</f>
        <v/>
      </c>
      <c r="R25" s="306" t="n"/>
      <c r="S25" s="306" t="n"/>
    </row>
    <row r="26" ht="15" customHeight="1" s="307">
      <c r="A26" s="314" t="n"/>
      <c r="B26" s="464" t="n"/>
      <c r="C26" s="464" t="n"/>
      <c r="D26" s="464" t="n"/>
      <c r="E26" s="464" t="n"/>
      <c r="F26" s="464" t="n"/>
      <c r="G26" s="464" t="n"/>
      <c r="H26" s="464" t="n"/>
      <c r="I26" s="464" t="n"/>
      <c r="J26" s="464" t="n"/>
      <c r="K26" s="464" t="n"/>
      <c r="L26" s="464" t="n"/>
      <c r="M26" s="464" t="n"/>
      <c r="N26" s="464" t="n"/>
      <c r="O26" s="464" t="n"/>
      <c r="P26" s="464" t="n"/>
      <c r="Q26" s="464" t="n"/>
      <c r="R26" s="306" t="n"/>
      <c r="S26" s="306" t="n"/>
    </row>
    <row r="27" ht="15" customHeight="1" s="307">
      <c r="A27" s="312" t="n"/>
      <c r="B27" s="464" t="n"/>
      <c r="C27" s="464" t="n"/>
      <c r="D27" s="464" t="n"/>
      <c r="E27" s="464" t="n"/>
      <c r="F27" s="464" t="n"/>
      <c r="G27" s="464" t="n"/>
      <c r="H27" s="464" t="n"/>
      <c r="I27" s="464" t="n"/>
      <c r="J27" s="464" t="n"/>
      <c r="K27" s="464" t="n"/>
      <c r="L27" s="464" t="n"/>
      <c r="M27" s="464" t="n"/>
      <c r="N27" s="464" t="n"/>
      <c r="O27" s="464" t="n"/>
      <c r="P27" s="464" t="n"/>
      <c r="Q27" s="464" t="n"/>
      <c r="R27" s="306" t="n"/>
      <c r="S27" s="306" t="n"/>
    </row>
    <row r="28" ht="15" customHeight="1" s="307">
      <c r="A28" s="314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306" t="n"/>
      <c r="S28" s="306" t="n"/>
    </row>
    <row r="29" ht="15" customHeight="1" s="30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</row>
    <row r="35" ht="15" customHeight="1" s="30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  <c r="O35" s="306" t="n"/>
      <c r="P35" s="306" t="n"/>
      <c r="Q35" s="306" t="n"/>
      <c r="R35" s="306" t="n"/>
      <c r="S35" s="306" t="n"/>
    </row>
    <row r="36" ht="15" customHeight="1" s="30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  <c r="O36" s="306" t="n"/>
      <c r="P36" s="306" t="n"/>
      <c r="Q36" s="306" t="n"/>
      <c r="R36" s="306" t="n"/>
      <c r="S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6" customWidth="1" style="306" min="2" max="2"/>
    <col width="13" customWidth="1" style="306" min="3" max="18"/>
  </cols>
  <sheetData>
    <row r="1" ht="25.5" customHeight="1" s="307">
      <c r="A1" s="385" t="inlineStr">
        <is>
          <t>PRESS CAPITAL  --  FUND I P&amp;L  |  50% RECYCLE x 36mo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6" t="n"/>
    </row>
    <row r="2" ht="15" customHeight="1" s="307">
      <c r="A2" s="644" t="inlineStr">
        <is>
          <t>8 deals @ $24M ARR. 50% retained M1-36..  LIVE from _Engine_R50.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</row>
    <row r="3" ht="15" customHeight="1" s="307">
      <c r="A3" s="445" t="inlineStr">
        <is>
          <t>($mm)</t>
        </is>
      </c>
      <c r="B3" s="388" t="inlineStr">
        <is>
          <t>Total</t>
        </is>
      </c>
      <c r="C3" s="388" t="inlineStr">
        <is>
          <t>Year 1</t>
        </is>
      </c>
      <c r="D3" s="388" t="inlineStr">
        <is>
          <t>Year 2</t>
        </is>
      </c>
      <c r="E3" s="388" t="inlineStr">
        <is>
          <t>Year 3</t>
        </is>
      </c>
      <c r="F3" s="388" t="inlineStr">
        <is>
          <t>Year 4</t>
        </is>
      </c>
      <c r="G3" s="388" t="inlineStr">
        <is>
          <t>Year 5</t>
        </is>
      </c>
      <c r="H3" s="388" t="inlineStr">
        <is>
          <t>Year 6</t>
        </is>
      </c>
      <c r="I3" s="388" t="inlineStr">
        <is>
          <t>Year 7</t>
        </is>
      </c>
      <c r="J3" s="388" t="inlineStr">
        <is>
          <t>Year 8</t>
        </is>
      </c>
      <c r="K3" s="388" t="inlineStr">
        <is>
          <t>Year 9</t>
        </is>
      </c>
      <c r="L3" s="388" t="inlineStr">
        <is>
          <t>Year 10</t>
        </is>
      </c>
      <c r="M3" s="388" t="inlineStr">
        <is>
          <t>Year 11</t>
        </is>
      </c>
      <c r="N3" s="388" t="inlineStr">
        <is>
          <t>Year 12</t>
        </is>
      </c>
      <c r="O3" s="388" t="inlineStr">
        <is>
          <t>Year 13</t>
        </is>
      </c>
      <c r="P3" s="388" t="inlineStr">
        <is>
          <t>Year 14</t>
        </is>
      </c>
      <c r="Q3" s="388" t="inlineStr">
        <is>
          <t>Year 15</t>
        </is>
      </c>
      <c r="R3" s="306" t="n"/>
      <c r="S3" s="306" t="n"/>
    </row>
    <row r="4" ht="15" customHeight="1" s="307">
      <c r="A4" s="306" t="n"/>
      <c r="B4" s="306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306" t="n"/>
      <c r="O4" s="306" t="n"/>
      <c r="P4" s="306" t="n"/>
      <c r="Q4" s="306" t="n"/>
      <c r="R4" s="306" t="n"/>
      <c r="S4" s="306" t="n"/>
    </row>
    <row r="5" ht="15" customHeight="1" s="307">
      <c r="A5" s="446" t="inlineStr">
        <is>
          <t>Revenue</t>
        </is>
      </c>
      <c r="B5" s="447">
        <f>SUM(C5:Q5)</f>
        <v/>
      </c>
      <c r="C5" s="448">
        <f>'_Engine_R50'!B215</f>
        <v/>
      </c>
      <c r="D5" s="448">
        <f>'_Engine_R50'!B216</f>
        <v/>
      </c>
      <c r="E5" s="448">
        <f>'_Engine_R50'!B217</f>
        <v/>
      </c>
      <c r="F5" s="448">
        <f>'_Engine_R50'!B218</f>
        <v/>
      </c>
      <c r="G5" s="448">
        <f>'_Engine_R50'!B219</f>
        <v/>
      </c>
      <c r="H5" s="448">
        <f>'_Engine_R50'!B220</f>
        <v/>
      </c>
      <c r="I5" s="448">
        <f>'_Engine_R50'!B221</f>
        <v/>
      </c>
      <c r="J5" s="448">
        <f>'_Engine_R50'!B222</f>
        <v/>
      </c>
      <c r="K5" s="448">
        <f>'_Engine_R50'!B223</f>
        <v/>
      </c>
      <c r="L5" s="448">
        <f>'_Engine_R50'!B224</f>
        <v/>
      </c>
      <c r="M5" s="448">
        <f>'_Engine_R50'!B225</f>
        <v/>
      </c>
      <c r="N5" s="448">
        <f>'_Engine_R50'!B226</f>
        <v/>
      </c>
      <c r="O5" s="448">
        <f>'_Engine_R50'!B227</f>
        <v/>
      </c>
      <c r="P5" s="448">
        <f>'_Engine_R50'!B228</f>
        <v/>
      </c>
      <c r="Q5" s="448">
        <f>'_Engine_R50'!B229</f>
        <v/>
      </c>
      <c r="R5" s="306" t="n"/>
      <c r="S5" s="306" t="n"/>
    </row>
    <row r="6" ht="15" customHeight="1" s="307">
      <c r="A6" s="449" t="inlineStr">
        <is>
          <t xml:space="preserve">    Cost of Goods Sold</t>
        </is>
      </c>
      <c r="B6" s="450">
        <f>SUM(C6:Q6)</f>
        <v/>
      </c>
      <c r="C6" s="451">
        <f>'_Engine_R50'!C215</f>
        <v/>
      </c>
      <c r="D6" s="451">
        <f>'_Engine_R50'!C216</f>
        <v/>
      </c>
      <c r="E6" s="451">
        <f>'_Engine_R50'!C217</f>
        <v/>
      </c>
      <c r="F6" s="451">
        <f>'_Engine_R50'!C218</f>
        <v/>
      </c>
      <c r="G6" s="451">
        <f>'_Engine_R50'!C219</f>
        <v/>
      </c>
      <c r="H6" s="451">
        <f>'_Engine_R50'!C220</f>
        <v/>
      </c>
      <c r="I6" s="451">
        <f>'_Engine_R50'!C221</f>
        <v/>
      </c>
      <c r="J6" s="451">
        <f>'_Engine_R50'!C222</f>
        <v/>
      </c>
      <c r="K6" s="451">
        <f>'_Engine_R50'!C223</f>
        <v/>
      </c>
      <c r="L6" s="451">
        <f>'_Engine_R50'!C224</f>
        <v/>
      </c>
      <c r="M6" s="451">
        <f>'_Engine_R50'!C225</f>
        <v/>
      </c>
      <c r="N6" s="451">
        <f>'_Engine_R50'!C226</f>
        <v/>
      </c>
      <c r="O6" s="451">
        <f>'_Engine_R50'!C227</f>
        <v/>
      </c>
      <c r="P6" s="451">
        <f>'_Engine_R50'!C228</f>
        <v/>
      </c>
      <c r="Q6" s="451">
        <f>'_Engine_R50'!C229</f>
        <v/>
      </c>
      <c r="R6" s="306" t="n"/>
      <c r="S6" s="306" t="n"/>
    </row>
    <row r="7" ht="15" customHeight="1" s="307">
      <c r="A7" s="452" t="inlineStr">
        <is>
          <t>Gross Profit</t>
        </is>
      </c>
      <c r="B7" s="453">
        <f>SUM(C7:Q7)</f>
        <v/>
      </c>
      <c r="C7" s="454">
        <f>C5-C6</f>
        <v/>
      </c>
      <c r="D7" s="454">
        <f>D5-D6</f>
        <v/>
      </c>
      <c r="E7" s="454">
        <f>E5-E6</f>
        <v/>
      </c>
      <c r="F7" s="454">
        <f>F5-F6</f>
        <v/>
      </c>
      <c r="G7" s="454">
        <f>G5-G6</f>
        <v/>
      </c>
      <c r="H7" s="454">
        <f>H5-H6</f>
        <v/>
      </c>
      <c r="I7" s="454">
        <f>I5-I6</f>
        <v/>
      </c>
      <c r="J7" s="454">
        <f>J5-J6</f>
        <v/>
      </c>
      <c r="K7" s="454">
        <f>K5-K6</f>
        <v/>
      </c>
      <c r="L7" s="454">
        <f>L5-L6</f>
        <v/>
      </c>
      <c r="M7" s="454">
        <f>M5-M6</f>
        <v/>
      </c>
      <c r="N7" s="454">
        <f>N5-N6</f>
        <v/>
      </c>
      <c r="O7" s="454">
        <f>O5-O6</f>
        <v/>
      </c>
      <c r="P7" s="454">
        <f>P5-P6</f>
        <v/>
      </c>
      <c r="Q7" s="454">
        <f>Q5-Q6</f>
        <v/>
      </c>
      <c r="R7" s="455" t="n"/>
      <c r="S7" s="306" t="n"/>
    </row>
    <row r="8" ht="15" customHeight="1" s="307">
      <c r="A8" s="456" t="n"/>
      <c r="B8" s="411" t="n"/>
      <c r="C8" s="411" t="n"/>
      <c r="D8" s="411" t="n"/>
      <c r="E8" s="411" t="n"/>
      <c r="F8" s="411" t="n"/>
      <c r="G8" s="411" t="n"/>
      <c r="H8" s="411" t="n"/>
      <c r="I8" s="411" t="n"/>
      <c r="J8" s="411" t="n"/>
      <c r="K8" s="411" t="n"/>
      <c r="L8" s="411" t="n"/>
      <c r="M8" s="411" t="n"/>
      <c r="N8" s="411" t="n"/>
      <c r="O8" s="411" t="n"/>
      <c r="P8" s="411" t="n"/>
      <c r="Q8" s="411" t="n"/>
      <c r="R8" s="306" t="n"/>
      <c r="S8" s="306" t="n"/>
    </row>
    <row r="9" ht="15" customHeight="1" s="307">
      <c r="A9" s="325" t="inlineStr">
        <is>
          <t>Operating Expenses</t>
        </is>
      </c>
      <c r="B9" s="457" t="n"/>
      <c r="C9" s="457" t="n"/>
      <c r="D9" s="457" t="n"/>
      <c r="E9" s="457" t="n"/>
      <c r="F9" s="457" t="n"/>
      <c r="G9" s="457" t="n"/>
      <c r="H9" s="457" t="n"/>
      <c r="I9" s="457" t="n"/>
      <c r="J9" s="457" t="n"/>
      <c r="K9" s="457" t="n"/>
      <c r="L9" s="457" t="n"/>
      <c r="M9" s="457" t="n"/>
      <c r="N9" s="457" t="n"/>
      <c r="O9" s="457" t="n"/>
      <c r="P9" s="457" t="n"/>
      <c r="Q9" s="457" t="n"/>
      <c r="R9" s="309" t="n"/>
      <c r="S9" s="306" t="n"/>
    </row>
    <row r="10" ht="15" customHeight="1" s="307">
      <c r="A10" s="449" t="inlineStr">
        <is>
          <t xml:space="preserve">    Vendor Costs</t>
        </is>
      </c>
      <c r="B10" s="458">
        <f>SUM(C10:Q10)</f>
        <v/>
      </c>
      <c r="C10" s="451">
        <f>'_Engine_R50'!D215</f>
        <v/>
      </c>
      <c r="D10" s="451">
        <f>'_Engine_R50'!D216</f>
        <v/>
      </c>
      <c r="E10" s="451">
        <f>'_Engine_R50'!D217</f>
        <v/>
      </c>
      <c r="F10" s="451">
        <f>'_Engine_R50'!D218</f>
        <v/>
      </c>
      <c r="G10" s="451">
        <f>'_Engine_R50'!D219</f>
        <v/>
      </c>
      <c r="H10" s="451">
        <f>'_Engine_R50'!D220</f>
        <v/>
      </c>
      <c r="I10" s="451">
        <f>'_Engine_R50'!D221</f>
        <v/>
      </c>
      <c r="J10" s="451">
        <f>'_Engine_R50'!D222</f>
        <v/>
      </c>
      <c r="K10" s="451">
        <f>'_Engine_R50'!D223</f>
        <v/>
      </c>
      <c r="L10" s="451">
        <f>'_Engine_R50'!D224</f>
        <v/>
      </c>
      <c r="M10" s="451">
        <f>'_Engine_R50'!D225</f>
        <v/>
      </c>
      <c r="N10" s="451">
        <f>'_Engine_R50'!D226</f>
        <v/>
      </c>
      <c r="O10" s="451">
        <f>'_Engine_R50'!D227</f>
        <v/>
      </c>
      <c r="P10" s="451">
        <f>'_Engine_R50'!D228</f>
        <v/>
      </c>
      <c r="Q10" s="451">
        <f>'_Engine_R50'!D229</f>
        <v/>
      </c>
      <c r="R10" s="306" t="n"/>
      <c r="S10" s="306" t="n"/>
    </row>
    <row r="11" ht="15" customHeight="1" s="307">
      <c r="A11" s="449" t="inlineStr">
        <is>
          <t xml:space="preserve">    Corporate Allocation</t>
        </is>
      </c>
      <c r="B11" s="458">
        <f>SUM(C11:Q11)</f>
        <v/>
      </c>
      <c r="C11" s="451">
        <f>'_Engine_R50'!E215</f>
        <v/>
      </c>
      <c r="D11" s="451">
        <f>'_Engine_R50'!E216</f>
        <v/>
      </c>
      <c r="E11" s="451">
        <f>'_Engine_R50'!E217</f>
        <v/>
      </c>
      <c r="F11" s="451">
        <f>'_Engine_R50'!E218</f>
        <v/>
      </c>
      <c r="G11" s="451">
        <f>'_Engine_R50'!E219</f>
        <v/>
      </c>
      <c r="H11" s="451">
        <f>'_Engine_R50'!E220</f>
        <v/>
      </c>
      <c r="I11" s="451">
        <f>'_Engine_R50'!E221</f>
        <v/>
      </c>
      <c r="J11" s="451">
        <f>'_Engine_R50'!E222</f>
        <v/>
      </c>
      <c r="K11" s="451">
        <f>'_Engine_R50'!E223</f>
        <v/>
      </c>
      <c r="L11" s="451">
        <f>'_Engine_R50'!E224</f>
        <v/>
      </c>
      <c r="M11" s="451">
        <f>'_Engine_R50'!E225</f>
        <v/>
      </c>
      <c r="N11" s="451">
        <f>'_Engine_R50'!E226</f>
        <v/>
      </c>
      <c r="O11" s="451">
        <f>'_Engine_R50'!E227</f>
        <v/>
      </c>
      <c r="P11" s="451">
        <f>'_Engine_R50'!E228</f>
        <v/>
      </c>
      <c r="Q11" s="451">
        <f>'_Engine_R50'!E229</f>
        <v/>
      </c>
      <c r="R11" s="306" t="n"/>
      <c r="S11" s="306" t="n"/>
    </row>
    <row r="12" ht="15" customHeight="1" s="307">
      <c r="A12" s="449" t="inlineStr">
        <is>
          <t xml:space="preserve">    Team Compensation</t>
        </is>
      </c>
      <c r="B12" s="458">
        <f>SUM(C12:Q12)</f>
        <v/>
      </c>
      <c r="C12" s="451">
        <f>'_Engine_R50'!F215</f>
        <v/>
      </c>
      <c r="D12" s="451">
        <f>'_Engine_R50'!F216</f>
        <v/>
      </c>
      <c r="E12" s="451">
        <f>'_Engine_R50'!F217</f>
        <v/>
      </c>
      <c r="F12" s="451">
        <f>'_Engine_R50'!F218</f>
        <v/>
      </c>
      <c r="G12" s="451">
        <f>'_Engine_R50'!F219</f>
        <v/>
      </c>
      <c r="H12" s="451">
        <f>'_Engine_R50'!F220</f>
        <v/>
      </c>
      <c r="I12" s="451">
        <f>'_Engine_R50'!F221</f>
        <v/>
      </c>
      <c r="J12" s="451">
        <f>'_Engine_R50'!F222</f>
        <v/>
      </c>
      <c r="K12" s="451">
        <f>'_Engine_R50'!F223</f>
        <v/>
      </c>
      <c r="L12" s="451">
        <f>'_Engine_R50'!F224</f>
        <v/>
      </c>
      <c r="M12" s="451">
        <f>'_Engine_R50'!F225</f>
        <v/>
      </c>
      <c r="N12" s="451">
        <f>'_Engine_R50'!F226</f>
        <v/>
      </c>
      <c r="O12" s="451">
        <f>'_Engine_R50'!F227</f>
        <v/>
      </c>
      <c r="P12" s="451">
        <f>'_Engine_R50'!F228</f>
        <v/>
      </c>
      <c r="Q12" s="451">
        <f>'_Engine_R50'!F229</f>
        <v/>
      </c>
      <c r="R12" s="306" t="n"/>
      <c r="S12" s="306" t="n"/>
    </row>
    <row r="13" ht="15" customHeight="1" s="307">
      <c r="A13" s="449" t="inlineStr">
        <is>
          <t xml:space="preserve">    Legacy Headcount Expenses</t>
        </is>
      </c>
      <c r="B13" s="458">
        <f>SUM(C13:Q13)</f>
        <v/>
      </c>
      <c r="C13" s="451">
        <f>'_Engine_R50'!G215</f>
        <v/>
      </c>
      <c r="D13" s="451">
        <f>'_Engine_R50'!G216</f>
        <v/>
      </c>
      <c r="E13" s="451">
        <f>'_Engine_R50'!G217</f>
        <v/>
      </c>
      <c r="F13" s="451">
        <f>'_Engine_R50'!G218</f>
        <v/>
      </c>
      <c r="G13" s="451">
        <f>'_Engine_R50'!G219</f>
        <v/>
      </c>
      <c r="H13" s="451">
        <f>'_Engine_R50'!G220</f>
        <v/>
      </c>
      <c r="I13" s="451">
        <f>'_Engine_R50'!G221</f>
        <v/>
      </c>
      <c r="J13" s="451">
        <f>'_Engine_R50'!G222</f>
        <v/>
      </c>
      <c r="K13" s="451">
        <f>'_Engine_R50'!G223</f>
        <v/>
      </c>
      <c r="L13" s="451">
        <f>'_Engine_R50'!G224</f>
        <v/>
      </c>
      <c r="M13" s="451">
        <f>'_Engine_R50'!G225</f>
        <v/>
      </c>
      <c r="N13" s="451">
        <f>'_Engine_R50'!G226</f>
        <v/>
      </c>
      <c r="O13" s="451">
        <f>'_Engine_R50'!G227</f>
        <v/>
      </c>
      <c r="P13" s="451">
        <f>'_Engine_R50'!G228</f>
        <v/>
      </c>
      <c r="Q13" s="451">
        <f>'_Engine_R50'!G229</f>
        <v/>
      </c>
      <c r="R13" s="306" t="n"/>
      <c r="S13" s="306" t="n"/>
    </row>
    <row r="14" ht="15" customHeight="1" s="307">
      <c r="A14" s="321" t="inlineStr">
        <is>
          <t xml:space="preserve">    Bonus Pool</t>
        </is>
      </c>
      <c r="B14" s="458">
        <f>SUM(C14:Q14)</f>
        <v/>
      </c>
      <c r="C14" s="459">
        <f>'_Engine_R50'!H215</f>
        <v/>
      </c>
      <c r="D14" s="459">
        <f>'_Engine_R50'!H216</f>
        <v/>
      </c>
      <c r="E14" s="459">
        <f>'_Engine_R50'!H217</f>
        <v/>
      </c>
      <c r="F14" s="459">
        <f>'_Engine_R50'!H218</f>
        <v/>
      </c>
      <c r="G14" s="459">
        <f>'_Engine_R50'!H219</f>
        <v/>
      </c>
      <c r="H14" s="459">
        <f>'_Engine_R50'!H220</f>
        <v/>
      </c>
      <c r="I14" s="459">
        <f>'_Engine_R50'!H221</f>
        <v/>
      </c>
      <c r="J14" s="459">
        <f>'_Engine_R50'!H222</f>
        <v/>
      </c>
      <c r="K14" s="459">
        <f>'_Engine_R50'!H223</f>
        <v/>
      </c>
      <c r="L14" s="459">
        <f>'_Engine_R50'!H224</f>
        <v/>
      </c>
      <c r="M14" s="459">
        <f>'_Engine_R50'!H225</f>
        <v/>
      </c>
      <c r="N14" s="459">
        <f>'_Engine_R50'!H226</f>
        <v/>
      </c>
      <c r="O14" s="459">
        <f>'_Engine_R50'!H227</f>
        <v/>
      </c>
      <c r="P14" s="459">
        <f>'_Engine_R50'!H228</f>
        <v/>
      </c>
      <c r="Q14" s="459">
        <f>'_Engine_R50'!H229</f>
        <v/>
      </c>
      <c r="R14" s="306" t="n"/>
      <c r="S14" s="306" t="n"/>
    </row>
    <row r="15" ht="15" customHeight="1" s="307">
      <c r="A15" s="460" t="inlineStr">
        <is>
          <t>Total Operating Expenses</t>
        </is>
      </c>
      <c r="B15" s="461">
        <f>SUM(C15:Q15)</f>
        <v/>
      </c>
      <c r="C15" s="462">
        <f>C10+C11+C12+C13+C14</f>
        <v/>
      </c>
      <c r="D15" s="462">
        <f>D10+D11+D12+D13+D14</f>
        <v/>
      </c>
      <c r="E15" s="462">
        <f>E10+E11+E12+E13+E14</f>
        <v/>
      </c>
      <c r="F15" s="462">
        <f>F10+F11+F12+F13+F14</f>
        <v/>
      </c>
      <c r="G15" s="462">
        <f>G10+G11+G12+G13+G14</f>
        <v/>
      </c>
      <c r="H15" s="462">
        <f>H10+H11+H12+H13+H14</f>
        <v/>
      </c>
      <c r="I15" s="462">
        <f>I10+I11+I12+I13+I14</f>
        <v/>
      </c>
      <c r="J15" s="462">
        <f>J10+J11+J12+J13+J14</f>
        <v/>
      </c>
      <c r="K15" s="462">
        <f>K10+K11+K12+K13+K14</f>
        <v/>
      </c>
      <c r="L15" s="462">
        <f>L10+L11+L12+L13+L14</f>
        <v/>
      </c>
      <c r="M15" s="462">
        <f>M10+M11+M12+M13+M14</f>
        <v/>
      </c>
      <c r="N15" s="462">
        <f>N10+N11+N12+N13+N14</f>
        <v/>
      </c>
      <c r="O15" s="462">
        <f>O10+O11+O12+O13+O14</f>
        <v/>
      </c>
      <c r="P15" s="462">
        <f>P10+P11+P12+P13+P14</f>
        <v/>
      </c>
      <c r="Q15" s="462">
        <f>Q10+Q11+Q12+Q13+Q14</f>
        <v/>
      </c>
      <c r="R15" s="463" t="n"/>
      <c r="S15" s="306" t="n"/>
    </row>
    <row r="16" ht="15" customHeight="1" s="307">
      <c r="A16" s="314" t="n"/>
      <c r="B16" s="464" t="n"/>
      <c r="C16" s="464" t="n"/>
      <c r="D16" s="464" t="n"/>
      <c r="E16" s="464" t="n"/>
      <c r="F16" s="464" t="n"/>
      <c r="G16" s="464" t="n"/>
      <c r="H16" s="464" t="n"/>
      <c r="I16" s="464" t="n"/>
      <c r="J16" s="464" t="n"/>
      <c r="K16" s="464" t="n"/>
      <c r="L16" s="464" t="n"/>
      <c r="M16" s="464" t="n"/>
      <c r="N16" s="464" t="n"/>
      <c r="O16" s="464" t="n"/>
      <c r="P16" s="464" t="n"/>
      <c r="Q16" s="464" t="n"/>
      <c r="R16" s="306" t="n"/>
      <c r="S16" s="306" t="n"/>
    </row>
    <row r="17" ht="15" customHeight="1" s="307">
      <c r="A17" s="322" t="inlineStr">
        <is>
          <t>EBITDA</t>
        </is>
      </c>
      <c r="B17" s="465">
        <f>SUM(C17:Q17)</f>
        <v/>
      </c>
      <c r="C17" s="466">
        <f>'_Engine_R50'!I215</f>
        <v/>
      </c>
      <c r="D17" s="466">
        <f>'_Engine_R50'!I216</f>
        <v/>
      </c>
      <c r="E17" s="466">
        <f>'_Engine_R50'!I217</f>
        <v/>
      </c>
      <c r="F17" s="466">
        <f>'_Engine_R50'!I218</f>
        <v/>
      </c>
      <c r="G17" s="466">
        <f>'_Engine_R50'!I219</f>
        <v/>
      </c>
      <c r="H17" s="466">
        <f>'_Engine_R50'!I220</f>
        <v/>
      </c>
      <c r="I17" s="466">
        <f>'_Engine_R50'!I221</f>
        <v/>
      </c>
      <c r="J17" s="466">
        <f>'_Engine_R50'!I222</f>
        <v/>
      </c>
      <c r="K17" s="466">
        <f>'_Engine_R50'!I223</f>
        <v/>
      </c>
      <c r="L17" s="466">
        <f>'_Engine_R50'!I224</f>
        <v/>
      </c>
      <c r="M17" s="466">
        <f>'_Engine_R50'!I225</f>
        <v/>
      </c>
      <c r="N17" s="466">
        <f>'_Engine_R50'!I226</f>
        <v/>
      </c>
      <c r="O17" s="466">
        <f>'_Engine_R50'!I227</f>
        <v/>
      </c>
      <c r="P17" s="466">
        <f>'_Engine_R50'!I228</f>
        <v/>
      </c>
      <c r="Q17" s="466">
        <f>'_Engine_R50'!I229</f>
        <v/>
      </c>
      <c r="R17" s="306" t="n"/>
      <c r="S17" s="306" t="n"/>
    </row>
    <row r="18" ht="15" customHeight="1" s="307">
      <c r="A18" s="321" t="inlineStr">
        <is>
          <t>EBITDA Margin</t>
        </is>
      </c>
      <c r="B18" s="467">
        <f>B17/B5</f>
        <v/>
      </c>
      <c r="C18" s="327">
        <f>IF(C5=0,0,C17/C5)</f>
        <v/>
      </c>
      <c r="D18" s="327">
        <f>IF(D5=0,0,D17/D5)</f>
        <v/>
      </c>
      <c r="E18" s="327">
        <f>IF(E5=0,0,E17/E5)</f>
        <v/>
      </c>
      <c r="F18" s="327">
        <f>IF(F5=0,0,F17/F5)</f>
        <v/>
      </c>
      <c r="G18" s="327">
        <f>IF(G5=0,0,G17/G5)</f>
        <v/>
      </c>
      <c r="H18" s="327">
        <f>IF(H5=0,0,H17/H5)</f>
        <v/>
      </c>
      <c r="I18" s="327">
        <f>IF(I5=0,0,I17/I5)</f>
        <v/>
      </c>
      <c r="J18" s="327">
        <f>IF(J5=0,0,J17/J5)</f>
        <v/>
      </c>
      <c r="K18" s="327">
        <f>IF(K5=0,0,K17/K5)</f>
        <v/>
      </c>
      <c r="L18" s="327">
        <f>IF(L5=0,0,L17/L5)</f>
        <v/>
      </c>
      <c r="M18" s="327">
        <f>IF(M5=0,0,M17/M5)</f>
        <v/>
      </c>
      <c r="N18" s="327">
        <f>IF(N5=0,0,N17/N5)</f>
        <v/>
      </c>
      <c r="O18" s="327">
        <f>IF(O5=0,0,O17/O5)</f>
        <v/>
      </c>
      <c r="P18" s="327">
        <f>IF(P5=0,0,P17/P5)</f>
        <v/>
      </c>
      <c r="Q18" s="327">
        <f>IF(Q5=0,0,Q17/Q5)</f>
        <v/>
      </c>
      <c r="R18" s="306" t="n"/>
      <c r="S18" s="306" t="n"/>
    </row>
    <row r="19" ht="15" customHeight="1" s="307">
      <c r="A19" s="312" t="n"/>
      <c r="B19" s="464" t="n"/>
      <c r="C19" s="464" t="n"/>
      <c r="D19" s="464" t="n"/>
      <c r="E19" s="464" t="n"/>
      <c r="F19" s="464" t="n"/>
      <c r="G19" s="464" t="n"/>
      <c r="H19" s="464" t="n"/>
      <c r="I19" s="464" t="n"/>
      <c r="J19" s="464" t="n"/>
      <c r="K19" s="464" t="n"/>
      <c r="L19" s="464" t="n"/>
      <c r="M19" s="464" t="n"/>
      <c r="N19" s="464" t="n"/>
      <c r="O19" s="464" t="n"/>
      <c r="P19" s="464" t="n"/>
      <c r="Q19" s="464" t="n"/>
      <c r="R19" s="306" t="n"/>
      <c r="S19" s="306" t="n"/>
    </row>
    <row r="20" ht="15" customHeight="1" s="307">
      <c r="A20" s="321" t="inlineStr">
        <is>
          <t xml:space="preserve">    Severance (Press 50%)</t>
        </is>
      </c>
      <c r="B20" s="458">
        <f>SUM(C20:Q20)</f>
        <v/>
      </c>
      <c r="C20" s="459">
        <f>'_Engine_R50'!J215</f>
        <v/>
      </c>
      <c r="D20" s="459">
        <f>'_Engine_R50'!J216</f>
        <v/>
      </c>
      <c r="E20" s="459">
        <f>'_Engine_R50'!J217</f>
        <v/>
      </c>
      <c r="F20" s="459">
        <f>'_Engine_R50'!J218</f>
        <v/>
      </c>
      <c r="G20" s="459">
        <f>'_Engine_R50'!J219</f>
        <v/>
      </c>
      <c r="H20" s="459">
        <f>'_Engine_R50'!J220</f>
        <v/>
      </c>
      <c r="I20" s="459">
        <f>'_Engine_R50'!J221</f>
        <v/>
      </c>
      <c r="J20" s="459">
        <f>'_Engine_R50'!J222</f>
        <v/>
      </c>
      <c r="K20" s="459">
        <f>'_Engine_R50'!J223</f>
        <v/>
      </c>
      <c r="L20" s="459">
        <f>'_Engine_R50'!J224</f>
        <v/>
      </c>
      <c r="M20" s="459">
        <f>'_Engine_R50'!J225</f>
        <v/>
      </c>
      <c r="N20" s="459">
        <f>'_Engine_R50'!J226</f>
        <v/>
      </c>
      <c r="O20" s="459">
        <f>'_Engine_R50'!J227</f>
        <v/>
      </c>
      <c r="P20" s="459">
        <f>'_Engine_R50'!J228</f>
        <v/>
      </c>
      <c r="Q20" s="459">
        <f>'_Engine_R50'!J229</f>
        <v/>
      </c>
      <c r="R20" s="306" t="n"/>
      <c r="S20" s="306" t="n"/>
    </row>
    <row r="21" ht="15" customHeight="1" s="307">
      <c r="A21" s="468" t="inlineStr">
        <is>
          <t>Operating Income</t>
        </is>
      </c>
      <c r="B21" s="469">
        <f>B17-B20</f>
        <v/>
      </c>
      <c r="C21" s="470">
        <f>C17-C20</f>
        <v/>
      </c>
      <c r="D21" s="470">
        <f>D17-D20</f>
        <v/>
      </c>
      <c r="E21" s="470">
        <f>E17-E20</f>
        <v/>
      </c>
      <c r="F21" s="470">
        <f>F17-F20</f>
        <v/>
      </c>
      <c r="G21" s="470">
        <f>G17-G20</f>
        <v/>
      </c>
      <c r="H21" s="470">
        <f>H17-H20</f>
        <v/>
      </c>
      <c r="I21" s="470">
        <f>I17-I20</f>
        <v/>
      </c>
      <c r="J21" s="470">
        <f>J17-J20</f>
        <v/>
      </c>
      <c r="K21" s="470">
        <f>K17-K20</f>
        <v/>
      </c>
      <c r="L21" s="470">
        <f>L17-L20</f>
        <v/>
      </c>
      <c r="M21" s="470">
        <f>M17-M20</f>
        <v/>
      </c>
      <c r="N21" s="470">
        <f>N17-N20</f>
        <v/>
      </c>
      <c r="O21" s="470">
        <f>O17-O20</f>
        <v/>
      </c>
      <c r="P21" s="470">
        <f>P17-P20</f>
        <v/>
      </c>
      <c r="Q21" s="470">
        <f>Q17-Q20</f>
        <v/>
      </c>
      <c r="R21" s="455" t="n"/>
      <c r="S21" s="306" t="n"/>
    </row>
    <row r="22" ht="15" customHeight="1" s="307">
      <c r="A22" s="314" t="n"/>
      <c r="B22" s="464" t="n"/>
      <c r="C22" s="464" t="n"/>
      <c r="D22" s="464" t="n"/>
      <c r="E22" s="464" t="n"/>
      <c r="F22" s="464" t="n"/>
      <c r="G22" s="464" t="n"/>
      <c r="H22" s="464" t="n"/>
      <c r="I22" s="464" t="n"/>
      <c r="J22" s="464" t="n"/>
      <c r="K22" s="464" t="n"/>
      <c r="L22" s="464" t="n"/>
      <c r="M22" s="464" t="n"/>
      <c r="N22" s="464" t="n"/>
      <c r="O22" s="464" t="n"/>
      <c r="P22" s="464" t="n"/>
      <c r="Q22" s="464" t="n"/>
      <c r="R22" s="306" t="n"/>
      <c r="S22" s="306" t="n"/>
    </row>
    <row r="23" ht="15" customHeight="1" s="307">
      <c r="A23" s="321" t="inlineStr">
        <is>
          <t xml:space="preserve">    Management Fee</t>
        </is>
      </c>
      <c r="B23" s="458">
        <f>SUM(C23:Q23)</f>
        <v/>
      </c>
      <c r="C23" s="459">
        <f>'_Engine_R50'!K215</f>
        <v/>
      </c>
      <c r="D23" s="459">
        <f>'_Engine_R50'!K216</f>
        <v/>
      </c>
      <c r="E23" s="459">
        <f>'_Engine_R50'!K217</f>
        <v/>
      </c>
      <c r="F23" s="459">
        <f>'_Engine_R50'!K218</f>
        <v/>
      </c>
      <c r="G23" s="459">
        <f>'_Engine_R50'!K219</f>
        <v/>
      </c>
      <c r="H23" s="459">
        <f>'_Engine_R50'!K220</f>
        <v/>
      </c>
      <c r="I23" s="459">
        <f>'_Engine_R50'!K221</f>
        <v/>
      </c>
      <c r="J23" s="459">
        <f>'_Engine_R50'!K222</f>
        <v/>
      </c>
      <c r="K23" s="459">
        <f>'_Engine_R50'!K223</f>
        <v/>
      </c>
      <c r="L23" s="459">
        <f>'_Engine_R50'!K224</f>
        <v/>
      </c>
      <c r="M23" s="459">
        <f>'_Engine_R50'!K225</f>
        <v/>
      </c>
      <c r="N23" s="459">
        <f>'_Engine_R50'!K226</f>
        <v/>
      </c>
      <c r="O23" s="459">
        <f>'_Engine_R50'!K227</f>
        <v/>
      </c>
      <c r="P23" s="459">
        <f>'_Engine_R50'!K228</f>
        <v/>
      </c>
      <c r="Q23" s="459">
        <f>'_Engine_R50'!K229</f>
        <v/>
      </c>
      <c r="R23" s="306" t="n"/>
      <c r="S23" s="306" t="n"/>
    </row>
    <row r="24" ht="15" customHeight="1" s="307">
      <c r="A24" s="321" t="inlineStr">
        <is>
          <t xml:space="preserve">    Retained for Recycling (50%)</t>
        </is>
      </c>
      <c r="B24" s="458">
        <f>SUM(C24:Q24)</f>
        <v/>
      </c>
      <c r="C24" s="459">
        <f>'_Engine_R50'!M215</f>
        <v/>
      </c>
      <c r="D24" s="459">
        <f>'_Engine_R50'!M216</f>
        <v/>
      </c>
      <c r="E24" s="459">
        <f>'_Engine_R50'!M217</f>
        <v/>
      </c>
      <c r="F24" s="459">
        <f>'_Engine_R50'!M218</f>
        <v/>
      </c>
      <c r="G24" s="459">
        <f>'_Engine_R50'!M219</f>
        <v/>
      </c>
      <c r="H24" s="459">
        <f>'_Engine_R50'!M220</f>
        <v/>
      </c>
      <c r="I24" s="459">
        <f>'_Engine_R50'!M221</f>
        <v/>
      </c>
      <c r="J24" s="459">
        <f>'_Engine_R50'!M222</f>
        <v/>
      </c>
      <c r="K24" s="459">
        <f>'_Engine_R50'!M223</f>
        <v/>
      </c>
      <c r="L24" s="459">
        <f>'_Engine_R50'!M224</f>
        <v/>
      </c>
      <c r="M24" s="459">
        <f>'_Engine_R50'!M225</f>
        <v/>
      </c>
      <c r="N24" s="459">
        <f>'_Engine_R50'!M226</f>
        <v/>
      </c>
      <c r="O24" s="459">
        <f>'_Engine_R50'!M227</f>
        <v/>
      </c>
      <c r="P24" s="459">
        <f>'_Engine_R50'!M228</f>
        <v/>
      </c>
      <c r="Q24" s="459">
        <f>'_Engine_R50'!M229</f>
        <v/>
      </c>
      <c r="R24" s="306" t="n"/>
      <c r="S24" s="306" t="n"/>
    </row>
    <row r="25" ht="15" customHeight="1" s="307">
      <c r="A25" s="460" t="inlineStr">
        <is>
          <t>Distributable Cash</t>
        </is>
      </c>
      <c r="B25" s="461">
        <f>SUM(C25:Q25)</f>
        <v/>
      </c>
      <c r="C25" s="462">
        <f>'_Engine_R50'!P215</f>
        <v/>
      </c>
      <c r="D25" s="462">
        <f>'_Engine_R50'!P216</f>
        <v/>
      </c>
      <c r="E25" s="462">
        <f>'_Engine_R50'!P217</f>
        <v/>
      </c>
      <c r="F25" s="462">
        <f>'_Engine_R50'!P218</f>
        <v/>
      </c>
      <c r="G25" s="462">
        <f>'_Engine_R50'!P219</f>
        <v/>
      </c>
      <c r="H25" s="462">
        <f>'_Engine_R50'!P220</f>
        <v/>
      </c>
      <c r="I25" s="462">
        <f>'_Engine_R50'!P221</f>
        <v/>
      </c>
      <c r="J25" s="462">
        <f>'_Engine_R50'!P222</f>
        <v/>
      </c>
      <c r="K25" s="462">
        <f>'_Engine_R50'!P223</f>
        <v/>
      </c>
      <c r="L25" s="462">
        <f>'_Engine_R50'!P224</f>
        <v/>
      </c>
      <c r="M25" s="462">
        <f>'_Engine_R50'!P225</f>
        <v/>
      </c>
      <c r="N25" s="462">
        <f>'_Engine_R50'!P226</f>
        <v/>
      </c>
      <c r="O25" s="462">
        <f>'_Engine_R50'!P227</f>
        <v/>
      </c>
      <c r="P25" s="462">
        <f>'_Engine_R50'!P228</f>
        <v/>
      </c>
      <c r="Q25" s="462">
        <f>'_Engine_R50'!P229</f>
        <v/>
      </c>
      <c r="R25" s="463" t="n"/>
      <c r="S25" s="306" t="n"/>
    </row>
    <row r="26" ht="15" customHeight="1" s="307">
      <c r="A26" s="321" t="inlineStr">
        <is>
          <t>Cumulative Distributable</t>
        </is>
      </c>
      <c r="B26" s="458">
        <f>Q26</f>
        <v/>
      </c>
      <c r="C26" s="459">
        <f>C25</f>
        <v/>
      </c>
      <c r="D26" s="459">
        <f>C26+D25</f>
        <v/>
      </c>
      <c r="E26" s="459">
        <f>D26+E25</f>
        <v/>
      </c>
      <c r="F26" s="459">
        <f>E26+F25</f>
        <v/>
      </c>
      <c r="G26" s="459">
        <f>F26+G25</f>
        <v/>
      </c>
      <c r="H26" s="459">
        <f>G26+H25</f>
        <v/>
      </c>
      <c r="I26" s="459">
        <f>H26+I25</f>
        <v/>
      </c>
      <c r="J26" s="459">
        <f>I26+J25</f>
        <v/>
      </c>
      <c r="K26" s="459">
        <f>J26+K25</f>
        <v/>
      </c>
      <c r="L26" s="459">
        <f>K26+L25</f>
        <v/>
      </c>
      <c r="M26" s="459">
        <f>L26+M25</f>
        <v/>
      </c>
      <c r="N26" s="459">
        <f>M26+N25</f>
        <v/>
      </c>
      <c r="O26" s="459">
        <f>N26+O25</f>
        <v/>
      </c>
      <c r="P26" s="459">
        <f>O26+P25</f>
        <v/>
      </c>
      <c r="Q26" s="459">
        <f>P26+Q25</f>
        <v/>
      </c>
      <c r="R26" s="306" t="n"/>
      <c r="S26" s="306" t="n"/>
    </row>
    <row r="27" ht="15" customHeight="1" s="307">
      <c r="A27" s="314" t="n"/>
      <c r="B27" s="464" t="n"/>
      <c r="C27" s="464" t="n"/>
      <c r="D27" s="464" t="n"/>
      <c r="E27" s="464" t="n"/>
      <c r="F27" s="464" t="n"/>
      <c r="G27" s="464" t="n"/>
      <c r="H27" s="464" t="n"/>
      <c r="I27" s="464" t="n"/>
      <c r="J27" s="464" t="n"/>
      <c r="K27" s="464" t="n"/>
      <c r="L27" s="464" t="n"/>
      <c r="M27" s="464" t="n"/>
      <c r="N27" s="464" t="n"/>
      <c r="O27" s="464" t="n"/>
      <c r="P27" s="464" t="n"/>
      <c r="Q27" s="464" t="n"/>
      <c r="R27" s="306" t="n"/>
      <c r="S27" s="306" t="n"/>
    </row>
    <row r="28" ht="15" customHeight="1" s="307">
      <c r="A28" s="312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306" t="n"/>
      <c r="S28" s="306" t="n"/>
    </row>
    <row r="29" ht="15" customHeight="1" s="307">
      <c r="A29" s="314" t="n"/>
      <c r="B29" s="464" t="n"/>
      <c r="C29" s="464" t="n"/>
      <c r="D29" s="464" t="n"/>
      <c r="E29" s="464" t="n"/>
      <c r="F29" s="464" t="n"/>
      <c r="G29" s="464" t="n"/>
      <c r="H29" s="464" t="n"/>
      <c r="I29" s="464" t="n"/>
      <c r="J29" s="464" t="n"/>
      <c r="K29" s="464" t="n"/>
      <c r="L29" s="464" t="n"/>
      <c r="M29" s="464" t="n"/>
      <c r="N29" s="464" t="n"/>
      <c r="O29" s="464" t="n"/>
      <c r="P29" s="464" t="n"/>
      <c r="Q29" s="464" t="n"/>
      <c r="R29" s="306" t="n"/>
      <c r="S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</row>
    <row r="35" ht="15" customHeight="1" s="30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  <c r="O35" s="306" t="n"/>
      <c r="P35" s="306" t="n"/>
      <c r="Q35" s="306" t="n"/>
      <c r="R35" s="306" t="n"/>
      <c r="S35" s="306" t="n"/>
    </row>
    <row r="36" ht="15" customHeight="1" s="30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  <c r="O36" s="306" t="n"/>
      <c r="P36" s="306" t="n"/>
      <c r="Q36" s="306" t="n"/>
      <c r="R36" s="306" t="n"/>
      <c r="S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6" customWidth="1" style="306" min="2" max="2"/>
    <col width="13" customWidth="1" style="306" min="3" max="17"/>
  </cols>
  <sheetData>
    <row r="1" ht="15.75" customHeight="1" s="307">
      <c r="A1" s="471" t="inlineStr">
        <is>
          <t>PRESS CAPITAL  --  FUND I P&amp;L  |  100% RECYCLE x 36mo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6" t="n"/>
    </row>
    <row r="2" ht="15" customHeight="1" s="307">
      <c r="A2" s="644" t="inlineStr">
        <is>
          <t>9 deals @ $24M ARR. 100% retained M1-36..  LIVE from _Engine_R100.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</row>
    <row r="3" ht="15" customHeight="1" s="307">
      <c r="A3" s="472" t="inlineStr">
        <is>
          <t>($mm)</t>
        </is>
      </c>
      <c r="B3" s="388" t="inlineStr">
        <is>
          <t>Total</t>
        </is>
      </c>
      <c r="C3" s="388" t="inlineStr">
        <is>
          <t>Year 1</t>
        </is>
      </c>
      <c r="D3" s="388" t="inlineStr">
        <is>
          <t>Year 2</t>
        </is>
      </c>
      <c r="E3" s="388" t="inlineStr">
        <is>
          <t>Year 3</t>
        </is>
      </c>
      <c r="F3" s="388" t="inlineStr">
        <is>
          <t>Year 4</t>
        </is>
      </c>
      <c r="G3" s="388" t="inlineStr">
        <is>
          <t>Year 5</t>
        </is>
      </c>
      <c r="H3" s="388" t="inlineStr">
        <is>
          <t>Year 6</t>
        </is>
      </c>
      <c r="I3" s="388" t="inlineStr">
        <is>
          <t>Year 7</t>
        </is>
      </c>
      <c r="J3" s="388" t="inlineStr">
        <is>
          <t>Year 8</t>
        </is>
      </c>
      <c r="K3" s="388" t="inlineStr">
        <is>
          <t>Year 9</t>
        </is>
      </c>
      <c r="L3" s="388" t="inlineStr">
        <is>
          <t>Year 10</t>
        </is>
      </c>
      <c r="M3" s="388" t="inlineStr">
        <is>
          <t>Year 11</t>
        </is>
      </c>
      <c r="N3" s="388" t="inlineStr">
        <is>
          <t>Year 12</t>
        </is>
      </c>
      <c r="O3" s="388" t="inlineStr">
        <is>
          <t>Year 13</t>
        </is>
      </c>
      <c r="P3" s="388" t="inlineStr">
        <is>
          <t>Year 14</t>
        </is>
      </c>
      <c r="Q3" s="388" t="inlineStr">
        <is>
          <t>Year 15</t>
        </is>
      </c>
      <c r="R3" s="306" t="n"/>
      <c r="S3" s="306" t="n"/>
    </row>
    <row r="4" ht="15" customHeight="1" s="307">
      <c r="A4" s="306" t="n"/>
      <c r="B4" s="306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306" t="n"/>
      <c r="O4" s="306" t="n"/>
      <c r="P4" s="306" t="n"/>
      <c r="Q4" s="306" t="n"/>
      <c r="R4" s="306" t="n"/>
      <c r="S4" s="306" t="n"/>
    </row>
    <row r="5" ht="15" customHeight="1" s="307">
      <c r="A5" s="322" t="inlineStr">
        <is>
          <t>Revenue</t>
        </is>
      </c>
      <c r="B5" s="465">
        <f>SUM(C5:Q5)</f>
        <v/>
      </c>
      <c r="C5" s="466">
        <f>'_Engine_R100'!B215</f>
        <v/>
      </c>
      <c r="D5" s="466">
        <f>'_Engine_R100'!B216</f>
        <v/>
      </c>
      <c r="E5" s="466">
        <f>'_Engine_R100'!B217</f>
        <v/>
      </c>
      <c r="F5" s="466">
        <f>'_Engine_R100'!B218</f>
        <v/>
      </c>
      <c r="G5" s="466">
        <f>'_Engine_R100'!B219</f>
        <v/>
      </c>
      <c r="H5" s="466">
        <f>'_Engine_R100'!B220</f>
        <v/>
      </c>
      <c r="I5" s="466">
        <f>'_Engine_R100'!B221</f>
        <v/>
      </c>
      <c r="J5" s="466">
        <f>'_Engine_R100'!B222</f>
        <v/>
      </c>
      <c r="K5" s="466">
        <f>'_Engine_R100'!B223</f>
        <v/>
      </c>
      <c r="L5" s="466">
        <f>'_Engine_R100'!B224</f>
        <v/>
      </c>
      <c r="M5" s="466">
        <f>'_Engine_R100'!B225</f>
        <v/>
      </c>
      <c r="N5" s="466">
        <f>'_Engine_R100'!B226</f>
        <v/>
      </c>
      <c r="O5" s="466">
        <f>'_Engine_R100'!B227</f>
        <v/>
      </c>
      <c r="P5" s="466">
        <f>'_Engine_R100'!B228</f>
        <v/>
      </c>
      <c r="Q5" s="466">
        <f>'_Engine_R100'!B229</f>
        <v/>
      </c>
      <c r="R5" s="306" t="n"/>
      <c r="S5" s="306" t="n"/>
    </row>
    <row r="6" ht="15" customHeight="1" s="307">
      <c r="A6" s="321" t="inlineStr">
        <is>
          <t xml:space="preserve">    Cost of Goods Sold</t>
        </is>
      </c>
      <c r="B6" s="458">
        <f>SUM(C6:Q6)</f>
        <v/>
      </c>
      <c r="C6" s="459">
        <f>'_Engine_R100'!C215</f>
        <v/>
      </c>
      <c r="D6" s="459">
        <f>'_Engine_R100'!C216</f>
        <v/>
      </c>
      <c r="E6" s="459">
        <f>'_Engine_R100'!C217</f>
        <v/>
      </c>
      <c r="F6" s="459">
        <f>'_Engine_R100'!C218</f>
        <v/>
      </c>
      <c r="G6" s="459">
        <f>'_Engine_R100'!C219</f>
        <v/>
      </c>
      <c r="H6" s="459">
        <f>'_Engine_R100'!C220</f>
        <v/>
      </c>
      <c r="I6" s="459">
        <f>'_Engine_R100'!C221</f>
        <v/>
      </c>
      <c r="J6" s="459">
        <f>'_Engine_R100'!C222</f>
        <v/>
      </c>
      <c r="K6" s="459">
        <f>'_Engine_R100'!C223</f>
        <v/>
      </c>
      <c r="L6" s="459">
        <f>'_Engine_R100'!C224</f>
        <v/>
      </c>
      <c r="M6" s="459">
        <f>'_Engine_R100'!C225</f>
        <v/>
      </c>
      <c r="N6" s="459">
        <f>'_Engine_R100'!C226</f>
        <v/>
      </c>
      <c r="O6" s="459">
        <f>'_Engine_R100'!C227</f>
        <v/>
      </c>
      <c r="P6" s="459">
        <f>'_Engine_R100'!C228</f>
        <v/>
      </c>
      <c r="Q6" s="459">
        <f>'_Engine_R100'!C229</f>
        <v/>
      </c>
      <c r="R6" s="306" t="n"/>
      <c r="S6" s="306" t="n"/>
    </row>
    <row r="7" ht="15" customHeight="1" s="307">
      <c r="A7" s="468" t="inlineStr">
        <is>
          <t>Gross Profit</t>
        </is>
      </c>
      <c r="B7" s="469">
        <f>SUM(C7:Q7)</f>
        <v/>
      </c>
      <c r="C7" s="470">
        <f>C5-C6</f>
        <v/>
      </c>
      <c r="D7" s="470">
        <f>D5-D6</f>
        <v/>
      </c>
      <c r="E7" s="470">
        <f>E5-E6</f>
        <v/>
      </c>
      <c r="F7" s="470">
        <f>F5-F6</f>
        <v/>
      </c>
      <c r="G7" s="470">
        <f>G5-G6</f>
        <v/>
      </c>
      <c r="H7" s="470">
        <f>H5-H6</f>
        <v/>
      </c>
      <c r="I7" s="470">
        <f>I5-I6</f>
        <v/>
      </c>
      <c r="J7" s="470">
        <f>J5-J6</f>
        <v/>
      </c>
      <c r="K7" s="470">
        <f>K5-K6</f>
        <v/>
      </c>
      <c r="L7" s="470">
        <f>L5-L6</f>
        <v/>
      </c>
      <c r="M7" s="470">
        <f>M5-M6</f>
        <v/>
      </c>
      <c r="N7" s="470">
        <f>N5-N6</f>
        <v/>
      </c>
      <c r="O7" s="470">
        <f>O5-O6</f>
        <v/>
      </c>
      <c r="P7" s="470">
        <f>P5-P6</f>
        <v/>
      </c>
      <c r="Q7" s="470">
        <f>Q5-Q6</f>
        <v/>
      </c>
      <c r="R7" s="455" t="n"/>
      <c r="S7" s="306" t="n"/>
    </row>
    <row r="8" ht="15" customHeight="1" s="307">
      <c r="A8" s="306" t="n"/>
      <c r="B8" s="306" t="n"/>
      <c r="C8" s="306" t="n"/>
      <c r="D8" s="306" t="n"/>
      <c r="E8" s="306" t="n"/>
      <c r="F8" s="306" t="n"/>
      <c r="G8" s="306" t="n"/>
      <c r="H8" s="306" t="n"/>
      <c r="I8" s="306" t="n"/>
      <c r="J8" s="306" t="n"/>
      <c r="K8" s="306" t="n"/>
      <c r="L8" s="306" t="n"/>
      <c r="M8" s="306" t="n"/>
      <c r="N8" s="306" t="n"/>
      <c r="O8" s="306" t="n"/>
      <c r="P8" s="306" t="n"/>
      <c r="Q8" s="306" t="n"/>
      <c r="R8" s="306" t="n"/>
      <c r="S8" s="306" t="n"/>
    </row>
    <row r="9" ht="15" customHeight="1" s="307">
      <c r="A9" s="325" t="inlineStr">
        <is>
          <t>Operating Expenses</t>
        </is>
      </c>
      <c r="B9" s="309" t="n"/>
      <c r="C9" s="309" t="n"/>
      <c r="D9" s="309" t="n"/>
      <c r="E9" s="309" t="n"/>
      <c r="F9" s="309" t="n"/>
      <c r="G9" s="309" t="n"/>
      <c r="H9" s="309" t="n"/>
      <c r="I9" s="309" t="n"/>
      <c r="J9" s="309" t="n"/>
      <c r="K9" s="309" t="n"/>
      <c r="L9" s="309" t="n"/>
      <c r="M9" s="309" t="n"/>
      <c r="N9" s="309" t="n"/>
      <c r="O9" s="309" t="n"/>
      <c r="P9" s="309" t="n"/>
      <c r="Q9" s="309" t="n"/>
      <c r="R9" s="309" t="n"/>
      <c r="S9" s="306" t="n"/>
    </row>
    <row r="10" ht="15" customHeight="1" s="307">
      <c r="A10" s="321" t="inlineStr">
        <is>
          <t xml:space="preserve">    Vendor Costs</t>
        </is>
      </c>
      <c r="B10" s="458">
        <f>SUM(C10:Q10)</f>
        <v/>
      </c>
      <c r="C10" s="459">
        <f>'_Engine_R100'!D215</f>
        <v/>
      </c>
      <c r="D10" s="459">
        <f>'_Engine_R100'!D216</f>
        <v/>
      </c>
      <c r="E10" s="459">
        <f>'_Engine_R100'!D217</f>
        <v/>
      </c>
      <c r="F10" s="459">
        <f>'_Engine_R100'!D218</f>
        <v/>
      </c>
      <c r="G10" s="459">
        <f>'_Engine_R100'!D219</f>
        <v/>
      </c>
      <c r="H10" s="459">
        <f>'_Engine_R100'!D220</f>
        <v/>
      </c>
      <c r="I10" s="459">
        <f>'_Engine_R100'!D221</f>
        <v/>
      </c>
      <c r="J10" s="459">
        <f>'_Engine_R100'!D222</f>
        <v/>
      </c>
      <c r="K10" s="459">
        <f>'_Engine_R100'!D223</f>
        <v/>
      </c>
      <c r="L10" s="459">
        <f>'_Engine_R100'!D224</f>
        <v/>
      </c>
      <c r="M10" s="459">
        <f>'_Engine_R100'!D225</f>
        <v/>
      </c>
      <c r="N10" s="459">
        <f>'_Engine_R100'!D226</f>
        <v/>
      </c>
      <c r="O10" s="459">
        <f>'_Engine_R100'!D227</f>
        <v/>
      </c>
      <c r="P10" s="459">
        <f>'_Engine_R100'!D228</f>
        <v/>
      </c>
      <c r="Q10" s="459">
        <f>'_Engine_R100'!D229</f>
        <v/>
      </c>
      <c r="R10" s="306" t="n"/>
      <c r="S10" s="306" t="n"/>
    </row>
    <row r="11" ht="15" customHeight="1" s="307">
      <c r="A11" s="321" t="inlineStr">
        <is>
          <t xml:space="preserve">    Corporate Allocation</t>
        </is>
      </c>
      <c r="B11" s="458">
        <f>SUM(C11:Q11)</f>
        <v/>
      </c>
      <c r="C11" s="459">
        <f>'_Engine_R100'!E215</f>
        <v/>
      </c>
      <c r="D11" s="459">
        <f>'_Engine_R100'!E216</f>
        <v/>
      </c>
      <c r="E11" s="459">
        <f>'_Engine_R100'!E217</f>
        <v/>
      </c>
      <c r="F11" s="459">
        <f>'_Engine_R100'!E218</f>
        <v/>
      </c>
      <c r="G11" s="459">
        <f>'_Engine_R100'!E219</f>
        <v/>
      </c>
      <c r="H11" s="459">
        <f>'_Engine_R100'!E220</f>
        <v/>
      </c>
      <c r="I11" s="459">
        <f>'_Engine_R100'!E221</f>
        <v/>
      </c>
      <c r="J11" s="459">
        <f>'_Engine_R100'!E222</f>
        <v/>
      </c>
      <c r="K11" s="459">
        <f>'_Engine_R100'!E223</f>
        <v/>
      </c>
      <c r="L11" s="459">
        <f>'_Engine_R100'!E224</f>
        <v/>
      </c>
      <c r="M11" s="459">
        <f>'_Engine_R100'!E225</f>
        <v/>
      </c>
      <c r="N11" s="459">
        <f>'_Engine_R100'!E226</f>
        <v/>
      </c>
      <c r="O11" s="459">
        <f>'_Engine_R100'!E227</f>
        <v/>
      </c>
      <c r="P11" s="459">
        <f>'_Engine_R100'!E228</f>
        <v/>
      </c>
      <c r="Q11" s="459">
        <f>'_Engine_R100'!E229</f>
        <v/>
      </c>
      <c r="R11" s="306" t="n"/>
      <c r="S11" s="306" t="n"/>
    </row>
    <row r="12" ht="15" customHeight="1" s="307">
      <c r="A12" s="321" t="inlineStr">
        <is>
          <t xml:space="preserve">    Team Compensation</t>
        </is>
      </c>
      <c r="B12" s="458">
        <f>SUM(C12:Q12)</f>
        <v/>
      </c>
      <c r="C12" s="459">
        <f>'_Engine_R100'!F215</f>
        <v/>
      </c>
      <c r="D12" s="459">
        <f>'_Engine_R100'!F216</f>
        <v/>
      </c>
      <c r="E12" s="459">
        <f>'_Engine_R100'!F217</f>
        <v/>
      </c>
      <c r="F12" s="459">
        <f>'_Engine_R100'!F218</f>
        <v/>
      </c>
      <c r="G12" s="459">
        <f>'_Engine_R100'!F219</f>
        <v/>
      </c>
      <c r="H12" s="459">
        <f>'_Engine_R100'!F220</f>
        <v/>
      </c>
      <c r="I12" s="459">
        <f>'_Engine_R100'!F221</f>
        <v/>
      </c>
      <c r="J12" s="459">
        <f>'_Engine_R100'!F222</f>
        <v/>
      </c>
      <c r="K12" s="459">
        <f>'_Engine_R100'!F223</f>
        <v/>
      </c>
      <c r="L12" s="459">
        <f>'_Engine_R100'!F224</f>
        <v/>
      </c>
      <c r="M12" s="459">
        <f>'_Engine_R100'!F225</f>
        <v/>
      </c>
      <c r="N12" s="459">
        <f>'_Engine_R100'!F226</f>
        <v/>
      </c>
      <c r="O12" s="459">
        <f>'_Engine_R100'!F227</f>
        <v/>
      </c>
      <c r="P12" s="459">
        <f>'_Engine_R100'!F228</f>
        <v/>
      </c>
      <c r="Q12" s="459">
        <f>'_Engine_R100'!F229</f>
        <v/>
      </c>
      <c r="R12" s="306" t="n"/>
      <c r="S12" s="306" t="n"/>
    </row>
    <row r="13" ht="15" customHeight="1" s="307">
      <c r="A13" s="321" t="inlineStr">
        <is>
          <t xml:space="preserve">    Legacy Headcount Expenses</t>
        </is>
      </c>
      <c r="B13" s="458">
        <f>SUM(C13:Q13)</f>
        <v/>
      </c>
      <c r="C13" s="459">
        <f>'_Engine_R100'!G215</f>
        <v/>
      </c>
      <c r="D13" s="459">
        <f>'_Engine_R100'!G216</f>
        <v/>
      </c>
      <c r="E13" s="459">
        <f>'_Engine_R100'!G217</f>
        <v/>
      </c>
      <c r="F13" s="459">
        <f>'_Engine_R100'!G218</f>
        <v/>
      </c>
      <c r="G13" s="459">
        <f>'_Engine_R100'!G219</f>
        <v/>
      </c>
      <c r="H13" s="459">
        <f>'_Engine_R100'!G220</f>
        <v/>
      </c>
      <c r="I13" s="459">
        <f>'_Engine_R100'!G221</f>
        <v/>
      </c>
      <c r="J13" s="459">
        <f>'_Engine_R100'!G222</f>
        <v/>
      </c>
      <c r="K13" s="459">
        <f>'_Engine_R100'!G223</f>
        <v/>
      </c>
      <c r="L13" s="459">
        <f>'_Engine_R100'!G224</f>
        <v/>
      </c>
      <c r="M13" s="459">
        <f>'_Engine_R100'!G225</f>
        <v/>
      </c>
      <c r="N13" s="459">
        <f>'_Engine_R100'!G226</f>
        <v/>
      </c>
      <c r="O13" s="459">
        <f>'_Engine_R100'!G227</f>
        <v/>
      </c>
      <c r="P13" s="459">
        <f>'_Engine_R100'!G228</f>
        <v/>
      </c>
      <c r="Q13" s="459">
        <f>'_Engine_R100'!G229</f>
        <v/>
      </c>
      <c r="R13" s="306" t="n"/>
      <c r="S13" s="306" t="n"/>
    </row>
    <row r="14" ht="15" customHeight="1" s="307">
      <c r="A14" s="321" t="inlineStr">
        <is>
          <t xml:space="preserve">    Bonus Pool</t>
        </is>
      </c>
      <c r="B14" s="458">
        <f>SUM(C14:Q14)</f>
        <v/>
      </c>
      <c r="C14" s="459">
        <f>'_Engine_R100'!H215</f>
        <v/>
      </c>
      <c r="D14" s="459">
        <f>'_Engine_R100'!H216</f>
        <v/>
      </c>
      <c r="E14" s="459">
        <f>'_Engine_R100'!H217</f>
        <v/>
      </c>
      <c r="F14" s="459">
        <f>'_Engine_R100'!H218</f>
        <v/>
      </c>
      <c r="G14" s="459">
        <f>'_Engine_R100'!H219</f>
        <v/>
      </c>
      <c r="H14" s="459">
        <f>'_Engine_R100'!H220</f>
        <v/>
      </c>
      <c r="I14" s="459">
        <f>'_Engine_R100'!H221</f>
        <v/>
      </c>
      <c r="J14" s="459">
        <f>'_Engine_R100'!H222</f>
        <v/>
      </c>
      <c r="K14" s="459">
        <f>'_Engine_R100'!H223</f>
        <v/>
      </c>
      <c r="L14" s="459">
        <f>'_Engine_R100'!H224</f>
        <v/>
      </c>
      <c r="M14" s="459">
        <f>'_Engine_R100'!H225</f>
        <v/>
      </c>
      <c r="N14" s="459">
        <f>'_Engine_R100'!H226</f>
        <v/>
      </c>
      <c r="O14" s="459">
        <f>'_Engine_R100'!H227</f>
        <v/>
      </c>
      <c r="P14" s="459">
        <f>'_Engine_R100'!H228</f>
        <v/>
      </c>
      <c r="Q14" s="459">
        <f>'_Engine_R100'!H229</f>
        <v/>
      </c>
      <c r="R14" s="306" t="n"/>
      <c r="S14" s="306" t="n"/>
    </row>
    <row r="15" ht="15" customHeight="1" s="307">
      <c r="A15" s="460" t="inlineStr">
        <is>
          <t>Total Operating Expenses</t>
        </is>
      </c>
      <c r="B15" s="461">
        <f>SUM(C15:Q15)</f>
        <v/>
      </c>
      <c r="C15" s="462">
        <f>C10+C11+C12+C13+C14</f>
        <v/>
      </c>
      <c r="D15" s="462">
        <f>D10+D11+D12+D13+D14</f>
        <v/>
      </c>
      <c r="E15" s="462">
        <f>E10+E11+E12+E13+E14</f>
        <v/>
      </c>
      <c r="F15" s="462">
        <f>F10+F11+F12+F13+F14</f>
        <v/>
      </c>
      <c r="G15" s="462">
        <f>G10+G11+G12+G13+G14</f>
        <v/>
      </c>
      <c r="H15" s="462">
        <f>H10+H11+H12+H13+H14</f>
        <v/>
      </c>
      <c r="I15" s="462">
        <f>I10+I11+I12+I13+I14</f>
        <v/>
      </c>
      <c r="J15" s="462">
        <f>J10+J11+J12+J13+J14</f>
        <v/>
      </c>
      <c r="K15" s="462">
        <f>K10+K11+K12+K13+K14</f>
        <v/>
      </c>
      <c r="L15" s="462">
        <f>L10+L11+L12+L13+L14</f>
        <v/>
      </c>
      <c r="M15" s="462">
        <f>M10+M11+M12+M13+M14</f>
        <v/>
      </c>
      <c r="N15" s="462">
        <f>N10+N11+N12+N13+N14</f>
        <v/>
      </c>
      <c r="O15" s="462">
        <f>O10+O11+O12+O13+O14</f>
        <v/>
      </c>
      <c r="P15" s="462">
        <f>P10+P11+P12+P13+P14</f>
        <v/>
      </c>
      <c r="Q15" s="462">
        <f>Q10+Q11+Q12+Q13+Q14</f>
        <v/>
      </c>
      <c r="R15" s="463" t="n"/>
      <c r="S15" s="306" t="n"/>
    </row>
    <row r="16" ht="15" customHeight="1" s="307">
      <c r="A16" s="306" t="n"/>
      <c r="B16" s="306" t="n"/>
      <c r="C16" s="306" t="n"/>
      <c r="D16" s="306" t="n"/>
      <c r="E16" s="306" t="n"/>
      <c r="F16" s="306" t="n"/>
      <c r="G16" s="306" t="n"/>
      <c r="H16" s="306" t="n"/>
      <c r="I16" s="306" t="n"/>
      <c r="J16" s="306" t="n"/>
      <c r="K16" s="306" t="n"/>
      <c r="L16" s="306" t="n"/>
      <c r="M16" s="306" t="n"/>
      <c r="N16" s="306" t="n"/>
      <c r="O16" s="306" t="n"/>
      <c r="P16" s="306" t="n"/>
      <c r="Q16" s="306" t="n"/>
      <c r="R16" s="306" t="n"/>
      <c r="S16" s="306" t="n"/>
    </row>
    <row r="17" ht="15" customHeight="1" s="307">
      <c r="A17" s="322" t="inlineStr">
        <is>
          <t>EBITDA</t>
        </is>
      </c>
      <c r="B17" s="465">
        <f>SUM(C17:Q17)</f>
        <v/>
      </c>
      <c r="C17" s="466">
        <f>'_Engine_R100'!I215</f>
        <v/>
      </c>
      <c r="D17" s="466">
        <f>'_Engine_R100'!I216</f>
        <v/>
      </c>
      <c r="E17" s="466">
        <f>'_Engine_R100'!I217</f>
        <v/>
      </c>
      <c r="F17" s="466">
        <f>'_Engine_R100'!I218</f>
        <v/>
      </c>
      <c r="G17" s="466">
        <f>'_Engine_R100'!I219</f>
        <v/>
      </c>
      <c r="H17" s="466">
        <f>'_Engine_R100'!I220</f>
        <v/>
      </c>
      <c r="I17" s="466">
        <f>'_Engine_R100'!I221</f>
        <v/>
      </c>
      <c r="J17" s="466">
        <f>'_Engine_R100'!I222</f>
        <v/>
      </c>
      <c r="K17" s="466">
        <f>'_Engine_R100'!I223</f>
        <v/>
      </c>
      <c r="L17" s="466">
        <f>'_Engine_R100'!I224</f>
        <v/>
      </c>
      <c r="M17" s="466">
        <f>'_Engine_R100'!I225</f>
        <v/>
      </c>
      <c r="N17" s="466">
        <f>'_Engine_R100'!I226</f>
        <v/>
      </c>
      <c r="O17" s="466">
        <f>'_Engine_R100'!I227</f>
        <v/>
      </c>
      <c r="P17" s="466">
        <f>'_Engine_R100'!I228</f>
        <v/>
      </c>
      <c r="Q17" s="466">
        <f>'_Engine_R100'!I229</f>
        <v/>
      </c>
      <c r="R17" s="306" t="n"/>
      <c r="S17" s="306" t="n"/>
    </row>
    <row r="18" ht="15" customHeight="1" s="307">
      <c r="A18" s="321" t="inlineStr">
        <is>
          <t>EBITDA Margin</t>
        </is>
      </c>
      <c r="B18" s="467">
        <f>B17/B5</f>
        <v/>
      </c>
      <c r="C18" s="327">
        <f>IF(C5=0,0,C17/C5)</f>
        <v/>
      </c>
      <c r="D18" s="327">
        <f>IF(D5=0,0,D17/D5)</f>
        <v/>
      </c>
      <c r="E18" s="327">
        <f>IF(E5=0,0,E17/E5)</f>
        <v/>
      </c>
      <c r="F18" s="327">
        <f>IF(F5=0,0,F17/F5)</f>
        <v/>
      </c>
      <c r="G18" s="327">
        <f>IF(G5=0,0,G17/G5)</f>
        <v/>
      </c>
      <c r="H18" s="327">
        <f>IF(H5=0,0,H17/H5)</f>
        <v/>
      </c>
      <c r="I18" s="327">
        <f>IF(I5=0,0,I17/I5)</f>
        <v/>
      </c>
      <c r="J18" s="327">
        <f>IF(J5=0,0,J17/J5)</f>
        <v/>
      </c>
      <c r="K18" s="327">
        <f>IF(K5=0,0,K17/K5)</f>
        <v/>
      </c>
      <c r="L18" s="327">
        <f>IF(L5=0,0,L17/L5)</f>
        <v/>
      </c>
      <c r="M18" s="327">
        <f>IF(M5=0,0,M17/M5)</f>
        <v/>
      </c>
      <c r="N18" s="327">
        <f>IF(N5=0,0,N17/N5)</f>
        <v/>
      </c>
      <c r="O18" s="327">
        <f>IF(O5=0,0,O17/O5)</f>
        <v/>
      </c>
      <c r="P18" s="327">
        <f>IF(P5=0,0,P17/P5)</f>
        <v/>
      </c>
      <c r="Q18" s="327">
        <f>IF(Q5=0,0,Q17/Q5)</f>
        <v/>
      </c>
      <c r="R18" s="306" t="n"/>
      <c r="S18" s="306" t="n"/>
    </row>
    <row r="19" ht="15" customHeight="1" s="307">
      <c r="A19" s="306" t="n"/>
      <c r="B19" s="306" t="n"/>
      <c r="C19" s="306" t="n"/>
      <c r="D19" s="306" t="n"/>
      <c r="E19" s="306" t="n"/>
      <c r="F19" s="306" t="n"/>
      <c r="G19" s="306" t="n"/>
      <c r="H19" s="306" t="n"/>
      <c r="I19" s="306" t="n"/>
      <c r="J19" s="306" t="n"/>
      <c r="K19" s="306" t="n"/>
      <c r="L19" s="306" t="n"/>
      <c r="M19" s="306" t="n"/>
      <c r="N19" s="306" t="n"/>
      <c r="O19" s="306" t="n"/>
      <c r="P19" s="306" t="n"/>
      <c r="Q19" s="306" t="n"/>
      <c r="R19" s="306" t="n"/>
      <c r="S19" s="306" t="n"/>
    </row>
    <row r="20" ht="15" customHeight="1" s="307">
      <c r="A20" s="321" t="inlineStr">
        <is>
          <t xml:space="preserve">    Severance (Press 50%)</t>
        </is>
      </c>
      <c r="B20" s="458">
        <f>SUM(C20:Q20)</f>
        <v/>
      </c>
      <c r="C20" s="459">
        <f>'_Engine_R100'!J215</f>
        <v/>
      </c>
      <c r="D20" s="459">
        <f>'_Engine_R100'!J216</f>
        <v/>
      </c>
      <c r="E20" s="459">
        <f>'_Engine_R100'!J217</f>
        <v/>
      </c>
      <c r="F20" s="459">
        <f>'_Engine_R100'!J218</f>
        <v/>
      </c>
      <c r="G20" s="459">
        <f>'_Engine_R100'!J219</f>
        <v/>
      </c>
      <c r="H20" s="459">
        <f>'_Engine_R100'!J220</f>
        <v/>
      </c>
      <c r="I20" s="459">
        <f>'_Engine_R100'!J221</f>
        <v/>
      </c>
      <c r="J20" s="459">
        <f>'_Engine_R100'!J222</f>
        <v/>
      </c>
      <c r="K20" s="459">
        <f>'_Engine_R100'!J223</f>
        <v/>
      </c>
      <c r="L20" s="459">
        <f>'_Engine_R100'!J224</f>
        <v/>
      </c>
      <c r="M20" s="459">
        <f>'_Engine_R100'!J225</f>
        <v/>
      </c>
      <c r="N20" s="459">
        <f>'_Engine_R100'!J226</f>
        <v/>
      </c>
      <c r="O20" s="459">
        <f>'_Engine_R100'!J227</f>
        <v/>
      </c>
      <c r="P20" s="459">
        <f>'_Engine_R100'!J228</f>
        <v/>
      </c>
      <c r="Q20" s="459">
        <f>'_Engine_R100'!J229</f>
        <v/>
      </c>
      <c r="R20" s="306" t="n"/>
      <c r="S20" s="306" t="n"/>
    </row>
    <row r="21" ht="15" customHeight="1" s="307">
      <c r="A21" s="468" t="inlineStr">
        <is>
          <t>Operating Income</t>
        </is>
      </c>
      <c r="B21" s="469">
        <f>B17-B20</f>
        <v/>
      </c>
      <c r="C21" s="470">
        <f>C17-C20</f>
        <v/>
      </c>
      <c r="D21" s="470">
        <f>D17-D20</f>
        <v/>
      </c>
      <c r="E21" s="470">
        <f>E17-E20</f>
        <v/>
      </c>
      <c r="F21" s="470">
        <f>F17-F20</f>
        <v/>
      </c>
      <c r="G21" s="470">
        <f>G17-G20</f>
        <v/>
      </c>
      <c r="H21" s="470">
        <f>H17-H20</f>
        <v/>
      </c>
      <c r="I21" s="470">
        <f>I17-I20</f>
        <v/>
      </c>
      <c r="J21" s="470">
        <f>J17-J20</f>
        <v/>
      </c>
      <c r="K21" s="470">
        <f>K17-K20</f>
        <v/>
      </c>
      <c r="L21" s="470">
        <f>L17-L20</f>
        <v/>
      </c>
      <c r="M21" s="470">
        <f>M17-M20</f>
        <v/>
      </c>
      <c r="N21" s="470">
        <f>N17-N20</f>
        <v/>
      </c>
      <c r="O21" s="470">
        <f>O17-O20</f>
        <v/>
      </c>
      <c r="P21" s="470">
        <f>P17-P20</f>
        <v/>
      </c>
      <c r="Q21" s="470">
        <f>Q17-Q20</f>
        <v/>
      </c>
      <c r="R21" s="455" t="n"/>
      <c r="S21" s="306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  <c r="N22" s="306" t="n"/>
      <c r="O22" s="306" t="n"/>
      <c r="P22" s="306" t="n"/>
      <c r="Q22" s="306" t="n"/>
      <c r="R22" s="306" t="n"/>
      <c r="S22" s="306" t="n"/>
    </row>
    <row r="23" ht="15" customHeight="1" s="307">
      <c r="A23" s="321" t="inlineStr">
        <is>
          <t xml:space="preserve">    Management Fee</t>
        </is>
      </c>
      <c r="B23" s="458">
        <f>SUM(C23:Q23)</f>
        <v/>
      </c>
      <c r="C23" s="459">
        <f>'_Engine_R100'!K215</f>
        <v/>
      </c>
      <c r="D23" s="459">
        <f>'_Engine_R100'!K216</f>
        <v/>
      </c>
      <c r="E23" s="459">
        <f>'_Engine_R100'!K217</f>
        <v/>
      </c>
      <c r="F23" s="459">
        <f>'_Engine_R100'!K218</f>
        <v/>
      </c>
      <c r="G23" s="459">
        <f>'_Engine_R100'!K219</f>
        <v/>
      </c>
      <c r="H23" s="459">
        <f>'_Engine_R100'!K220</f>
        <v/>
      </c>
      <c r="I23" s="459">
        <f>'_Engine_R100'!K221</f>
        <v/>
      </c>
      <c r="J23" s="459">
        <f>'_Engine_R100'!K222</f>
        <v/>
      </c>
      <c r="K23" s="459">
        <f>'_Engine_R100'!K223</f>
        <v/>
      </c>
      <c r="L23" s="459">
        <f>'_Engine_R100'!K224</f>
        <v/>
      </c>
      <c r="M23" s="459">
        <f>'_Engine_R100'!K225</f>
        <v/>
      </c>
      <c r="N23" s="459">
        <f>'_Engine_R100'!K226</f>
        <v/>
      </c>
      <c r="O23" s="459">
        <f>'_Engine_R100'!K227</f>
        <v/>
      </c>
      <c r="P23" s="459">
        <f>'_Engine_R100'!K228</f>
        <v/>
      </c>
      <c r="Q23" s="459">
        <f>'_Engine_R100'!K229</f>
        <v/>
      </c>
      <c r="R23" s="306" t="n"/>
      <c r="S23" s="306" t="n"/>
    </row>
    <row r="24" ht="15" customHeight="1" s="307">
      <c r="A24" s="321" t="inlineStr">
        <is>
          <t xml:space="preserve">    Retained for Recycling (100%)</t>
        </is>
      </c>
      <c r="B24" s="458">
        <f>SUM(C24:Q24)</f>
        <v/>
      </c>
      <c r="C24" s="459">
        <f>'_Engine_R100'!M215</f>
        <v/>
      </c>
      <c r="D24" s="459">
        <f>'_Engine_R100'!M216</f>
        <v/>
      </c>
      <c r="E24" s="459">
        <f>'_Engine_R100'!M217</f>
        <v/>
      </c>
      <c r="F24" s="459">
        <f>'_Engine_R100'!M218</f>
        <v/>
      </c>
      <c r="G24" s="459">
        <f>'_Engine_R100'!M219</f>
        <v/>
      </c>
      <c r="H24" s="459">
        <f>'_Engine_R100'!M220</f>
        <v/>
      </c>
      <c r="I24" s="459">
        <f>'_Engine_R100'!M221</f>
        <v/>
      </c>
      <c r="J24" s="459">
        <f>'_Engine_R100'!M222</f>
        <v/>
      </c>
      <c r="K24" s="459">
        <f>'_Engine_R100'!M223</f>
        <v/>
      </c>
      <c r="L24" s="459">
        <f>'_Engine_R100'!M224</f>
        <v/>
      </c>
      <c r="M24" s="459">
        <f>'_Engine_R100'!M225</f>
        <v/>
      </c>
      <c r="N24" s="459">
        <f>'_Engine_R100'!M226</f>
        <v/>
      </c>
      <c r="O24" s="459">
        <f>'_Engine_R100'!M227</f>
        <v/>
      </c>
      <c r="P24" s="459">
        <f>'_Engine_R100'!M228</f>
        <v/>
      </c>
      <c r="Q24" s="459">
        <f>'_Engine_R100'!M229</f>
        <v/>
      </c>
      <c r="R24" s="306" t="n"/>
      <c r="S24" s="306" t="n"/>
    </row>
    <row r="25" ht="15" customHeight="1" s="307">
      <c r="A25" s="460" t="inlineStr">
        <is>
          <t>Distributable Cash</t>
        </is>
      </c>
      <c r="B25" s="461">
        <f>SUM(C25:Q25)</f>
        <v/>
      </c>
      <c r="C25" s="462">
        <f>'_Engine_R100'!P215</f>
        <v/>
      </c>
      <c r="D25" s="462">
        <f>'_Engine_R100'!P216</f>
        <v/>
      </c>
      <c r="E25" s="462">
        <f>'_Engine_R100'!P217</f>
        <v/>
      </c>
      <c r="F25" s="462">
        <f>'_Engine_R100'!P218</f>
        <v/>
      </c>
      <c r="G25" s="462">
        <f>'_Engine_R100'!P219</f>
        <v/>
      </c>
      <c r="H25" s="462">
        <f>'_Engine_R100'!P220</f>
        <v/>
      </c>
      <c r="I25" s="462">
        <f>'_Engine_R100'!P221</f>
        <v/>
      </c>
      <c r="J25" s="462">
        <f>'_Engine_R100'!P222</f>
        <v/>
      </c>
      <c r="K25" s="462">
        <f>'_Engine_R100'!P223</f>
        <v/>
      </c>
      <c r="L25" s="462">
        <f>'_Engine_R100'!P224</f>
        <v/>
      </c>
      <c r="M25" s="462">
        <f>'_Engine_R100'!P225</f>
        <v/>
      </c>
      <c r="N25" s="462">
        <f>'_Engine_R100'!P226</f>
        <v/>
      </c>
      <c r="O25" s="462">
        <f>'_Engine_R100'!P227</f>
        <v/>
      </c>
      <c r="P25" s="462">
        <f>'_Engine_R100'!P228</f>
        <v/>
      </c>
      <c r="Q25" s="462">
        <f>'_Engine_R100'!P229</f>
        <v/>
      </c>
      <c r="R25" s="463" t="n"/>
      <c r="S25" s="306" t="n"/>
    </row>
    <row r="26" ht="15" customHeight="1" s="307">
      <c r="A26" s="321" t="inlineStr">
        <is>
          <t>Cumulative Distributable</t>
        </is>
      </c>
      <c r="B26" s="458">
        <f>Q26</f>
        <v/>
      </c>
      <c r="C26" s="459">
        <f>C25</f>
        <v/>
      </c>
      <c r="D26" s="459">
        <f>C26+D25</f>
        <v/>
      </c>
      <c r="E26" s="459">
        <f>D26+E25</f>
        <v/>
      </c>
      <c r="F26" s="459">
        <f>E26+F25</f>
        <v/>
      </c>
      <c r="G26" s="459">
        <f>F26+G25</f>
        <v/>
      </c>
      <c r="H26" s="459">
        <f>G26+H25</f>
        <v/>
      </c>
      <c r="I26" s="459">
        <f>H26+I25</f>
        <v/>
      </c>
      <c r="J26" s="459">
        <f>I26+J25</f>
        <v/>
      </c>
      <c r="K26" s="459">
        <f>J26+K25</f>
        <v/>
      </c>
      <c r="L26" s="459">
        <f>K26+L25</f>
        <v/>
      </c>
      <c r="M26" s="459">
        <f>L26+M25</f>
        <v/>
      </c>
      <c r="N26" s="459">
        <f>M26+N25</f>
        <v/>
      </c>
      <c r="O26" s="459">
        <f>N26+O25</f>
        <v/>
      </c>
      <c r="P26" s="459">
        <f>O26+P25</f>
        <v/>
      </c>
      <c r="Q26" s="459">
        <f>P26+Q25</f>
        <v/>
      </c>
      <c r="R26" s="306" t="n"/>
      <c r="S26" s="306" t="n"/>
    </row>
    <row r="27" ht="15" customHeight="1" s="307">
      <c r="A27" s="306" t="n"/>
      <c r="B27" s="306" t="n"/>
      <c r="C27" s="306" t="n"/>
      <c r="D27" s="306" t="n"/>
      <c r="E27" s="306" t="n"/>
      <c r="F27" s="306" t="n"/>
      <c r="G27" s="306" t="n"/>
      <c r="H27" s="306" t="n"/>
      <c r="I27" s="306" t="n"/>
      <c r="J27" s="306" t="n"/>
      <c r="K27" s="306" t="n"/>
      <c r="L27" s="306" t="n"/>
      <c r="M27" s="306" t="n"/>
      <c r="N27" s="306" t="n"/>
      <c r="O27" s="306" t="n"/>
      <c r="P27" s="306" t="n"/>
      <c r="Q27" s="306" t="n"/>
      <c r="R27" s="306" t="n"/>
      <c r="S27" s="306" t="n"/>
    </row>
    <row r="28" ht="15" customHeight="1" s="307">
      <c r="A28" s="306" t="n"/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  <c r="O28" s="306" t="n"/>
      <c r="P28" s="306" t="n"/>
      <c r="Q28" s="306" t="n"/>
      <c r="R28" s="306" t="n"/>
      <c r="S28" s="306" t="n"/>
    </row>
    <row r="29" ht="15" customHeight="1" s="30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</row>
    <row r="35" ht="15" customHeight="1" s="30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  <c r="O35" s="306" t="n"/>
      <c r="P35" s="306" t="n"/>
      <c r="Q35" s="306" t="n"/>
      <c r="R35" s="306" t="n"/>
      <c r="S35" s="306" t="n"/>
    </row>
    <row r="36" ht="15" customHeight="1" s="30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  <c r="O36" s="306" t="n"/>
      <c r="P36" s="306" t="n"/>
      <c r="Q36" s="306" t="n"/>
      <c r="R36" s="306" t="n"/>
      <c r="S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Z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0" customWidth="1" style="306" min="2" max="181"/>
  </cols>
  <sheetData>
    <row r="1" ht="15.75" customHeight="1" s="307">
      <c r="A1" s="692" t="inlineStr">
        <is>
          <t>MONTHLY P&amp;L  |  5 deals @ $24M ARR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6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06" t="n"/>
      <c r="AO1" s="306" t="n"/>
      <c r="AP1" s="306" t="n"/>
      <c r="AQ1" s="306" t="n"/>
      <c r="AR1" s="306" t="n"/>
      <c r="AS1" s="306" t="n"/>
      <c r="AT1" s="306" t="n"/>
      <c r="AU1" s="306" t="n"/>
      <c r="AV1" s="306" t="n"/>
      <c r="AW1" s="306" t="n"/>
      <c r="AX1" s="306" t="n"/>
      <c r="AY1" s="306" t="n"/>
      <c r="AZ1" s="306" t="n"/>
      <c r="BA1" s="306" t="n"/>
      <c r="BB1" s="306" t="n"/>
      <c r="BC1" s="306" t="n"/>
      <c r="BD1" s="306" t="n"/>
      <c r="BE1" s="306" t="n"/>
      <c r="BF1" s="306" t="n"/>
      <c r="BG1" s="306" t="n"/>
      <c r="BH1" s="306" t="n"/>
      <c r="BI1" s="306" t="n"/>
      <c r="BJ1" s="306" t="n"/>
      <c r="BK1" s="306" t="n"/>
      <c r="BL1" s="306" t="n"/>
      <c r="BM1" s="306" t="n"/>
      <c r="BN1" s="306" t="n"/>
      <c r="BO1" s="306" t="n"/>
      <c r="BP1" s="306" t="n"/>
      <c r="BQ1" s="306" t="n"/>
      <c r="BR1" s="306" t="n"/>
      <c r="BS1" s="306" t="n"/>
      <c r="BT1" s="306" t="n"/>
      <c r="BU1" s="306" t="n"/>
      <c r="BV1" s="306" t="n"/>
      <c r="BW1" s="306" t="n"/>
      <c r="BX1" s="306" t="n"/>
      <c r="BY1" s="306" t="n"/>
      <c r="BZ1" s="306" t="n"/>
      <c r="CA1" s="306" t="n"/>
      <c r="CB1" s="306" t="n"/>
      <c r="CC1" s="306" t="n"/>
      <c r="CD1" s="306" t="n"/>
      <c r="CE1" s="306" t="n"/>
      <c r="CF1" s="306" t="n"/>
      <c r="CG1" s="306" t="n"/>
      <c r="CH1" s="306" t="n"/>
      <c r="CI1" s="306" t="n"/>
      <c r="CJ1" s="306" t="n"/>
      <c r="CK1" s="306" t="n"/>
      <c r="CL1" s="306" t="n"/>
      <c r="CM1" s="306" t="n"/>
      <c r="CN1" s="306" t="n"/>
      <c r="CO1" s="306" t="n"/>
      <c r="CP1" s="306" t="n"/>
      <c r="CQ1" s="306" t="n"/>
      <c r="CR1" s="306" t="n"/>
      <c r="CS1" s="306" t="n"/>
      <c r="CT1" s="306" t="n"/>
      <c r="CU1" s="306" t="n"/>
      <c r="CV1" s="306" t="n"/>
      <c r="CW1" s="306" t="n"/>
      <c r="CX1" s="306" t="n"/>
      <c r="CY1" s="306" t="n"/>
      <c r="CZ1" s="306" t="n"/>
      <c r="DA1" s="306" t="n"/>
      <c r="DB1" s="306" t="n"/>
      <c r="DC1" s="306" t="n"/>
      <c r="DD1" s="306" t="n"/>
      <c r="DE1" s="306" t="n"/>
      <c r="DF1" s="306" t="n"/>
      <c r="DG1" s="306" t="n"/>
      <c r="DH1" s="306" t="n"/>
      <c r="DI1" s="306" t="n"/>
      <c r="DJ1" s="306" t="n"/>
      <c r="DK1" s="306" t="n"/>
      <c r="DL1" s="306" t="n"/>
      <c r="DM1" s="306" t="n"/>
      <c r="DN1" s="306" t="n"/>
      <c r="DO1" s="306" t="n"/>
      <c r="DP1" s="306" t="n"/>
      <c r="DQ1" s="306" t="n"/>
      <c r="DR1" s="306" t="n"/>
      <c r="DS1" s="306" t="n"/>
      <c r="DT1" s="306" t="n"/>
      <c r="DU1" s="306" t="n"/>
      <c r="DV1" s="306" t="n"/>
      <c r="DW1" s="306" t="n"/>
      <c r="DX1" s="306" t="n"/>
      <c r="DY1" s="306" t="n"/>
      <c r="DZ1" s="306" t="n"/>
      <c r="EA1" s="306" t="n"/>
      <c r="EB1" s="306" t="n"/>
      <c r="EC1" s="306" t="n"/>
      <c r="ED1" s="306" t="n"/>
      <c r="EE1" s="306" t="n"/>
      <c r="EF1" s="306" t="n"/>
      <c r="EG1" s="306" t="n"/>
      <c r="EH1" s="306" t="n"/>
      <c r="EI1" s="306" t="n"/>
      <c r="EJ1" s="306" t="n"/>
      <c r="EK1" s="306" t="n"/>
      <c r="EL1" s="306" t="n"/>
      <c r="EM1" s="306" t="n"/>
      <c r="EN1" s="306" t="n"/>
      <c r="EO1" s="306" t="n"/>
      <c r="EP1" s="306" t="n"/>
      <c r="EQ1" s="306" t="n"/>
      <c r="ER1" s="306" t="n"/>
      <c r="ES1" s="306" t="n"/>
      <c r="ET1" s="306" t="n"/>
      <c r="EU1" s="306" t="n"/>
      <c r="EV1" s="306" t="n"/>
      <c r="EW1" s="306" t="n"/>
      <c r="EX1" s="306" t="n"/>
      <c r="EY1" s="306" t="n"/>
      <c r="EZ1" s="306" t="n"/>
      <c r="FA1" s="306" t="n"/>
      <c r="FB1" s="306" t="n"/>
      <c r="FC1" s="306" t="n"/>
      <c r="FD1" s="306" t="n"/>
      <c r="FE1" s="306" t="n"/>
      <c r="FF1" s="306" t="n"/>
      <c r="FG1" s="306" t="n"/>
      <c r="FH1" s="306" t="n"/>
      <c r="FI1" s="306" t="n"/>
      <c r="FJ1" s="306" t="n"/>
      <c r="FK1" s="306" t="n"/>
      <c r="FL1" s="306" t="n"/>
      <c r="FM1" s="306" t="n"/>
      <c r="FN1" s="306" t="n"/>
      <c r="FO1" s="306" t="n"/>
      <c r="FP1" s="306" t="n"/>
      <c r="FQ1" s="306" t="n"/>
      <c r="FR1" s="306" t="n"/>
      <c r="FS1" s="306" t="n"/>
      <c r="FT1" s="306" t="n"/>
      <c r="FU1" s="306" t="n"/>
      <c r="FV1" s="306" t="n"/>
      <c r="FW1" s="306" t="n"/>
      <c r="FX1" s="306" t="n"/>
      <c r="FY1" s="306" t="n"/>
      <c r="FZ1" s="306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  <c r="T2" s="306" t="n"/>
      <c r="U2" s="306" t="n"/>
      <c r="V2" s="306" t="n"/>
      <c r="W2" s="306" t="n"/>
      <c r="X2" s="306" t="n"/>
      <c r="Y2" s="306" t="n"/>
      <c r="Z2" s="306" t="n"/>
      <c r="AA2" s="306" t="n"/>
      <c r="AB2" s="306" t="n"/>
      <c r="AC2" s="306" t="n"/>
      <c r="AD2" s="306" t="n"/>
      <c r="AE2" s="306" t="n"/>
      <c r="AF2" s="306" t="n"/>
      <c r="AG2" s="306" t="n"/>
      <c r="AH2" s="306" t="n"/>
      <c r="AI2" s="306" t="n"/>
      <c r="AJ2" s="306" t="n"/>
      <c r="AK2" s="306" t="n"/>
      <c r="AL2" s="306" t="n"/>
      <c r="AM2" s="306" t="n"/>
      <c r="AN2" s="306" t="n"/>
      <c r="AO2" s="306" t="n"/>
      <c r="AP2" s="306" t="n"/>
      <c r="AQ2" s="306" t="n"/>
      <c r="AR2" s="306" t="n"/>
      <c r="AS2" s="306" t="n"/>
      <c r="AT2" s="306" t="n"/>
      <c r="AU2" s="306" t="n"/>
      <c r="AV2" s="306" t="n"/>
      <c r="AW2" s="306" t="n"/>
      <c r="AX2" s="306" t="n"/>
      <c r="AY2" s="306" t="n"/>
      <c r="AZ2" s="306" t="n"/>
      <c r="BA2" s="306" t="n"/>
      <c r="BB2" s="306" t="n"/>
      <c r="BC2" s="306" t="n"/>
      <c r="BD2" s="306" t="n"/>
      <c r="BE2" s="306" t="n"/>
      <c r="BF2" s="306" t="n"/>
      <c r="BG2" s="306" t="n"/>
      <c r="BH2" s="306" t="n"/>
      <c r="BI2" s="306" t="n"/>
      <c r="BJ2" s="306" t="n"/>
      <c r="BK2" s="306" t="n"/>
      <c r="BL2" s="306" t="n"/>
      <c r="BM2" s="306" t="n"/>
      <c r="BN2" s="306" t="n"/>
      <c r="BO2" s="306" t="n"/>
      <c r="BP2" s="306" t="n"/>
      <c r="BQ2" s="306" t="n"/>
      <c r="BR2" s="306" t="n"/>
      <c r="BS2" s="306" t="n"/>
      <c r="BT2" s="306" t="n"/>
      <c r="BU2" s="306" t="n"/>
      <c r="BV2" s="306" t="n"/>
      <c r="BW2" s="306" t="n"/>
      <c r="BX2" s="306" t="n"/>
      <c r="BY2" s="306" t="n"/>
      <c r="BZ2" s="306" t="n"/>
      <c r="CA2" s="306" t="n"/>
      <c r="CB2" s="306" t="n"/>
      <c r="CC2" s="306" t="n"/>
      <c r="CD2" s="306" t="n"/>
      <c r="CE2" s="306" t="n"/>
      <c r="CF2" s="306" t="n"/>
      <c r="CG2" s="306" t="n"/>
      <c r="CH2" s="306" t="n"/>
      <c r="CI2" s="306" t="n"/>
      <c r="CJ2" s="306" t="n"/>
      <c r="CK2" s="306" t="n"/>
      <c r="CL2" s="306" t="n"/>
      <c r="CM2" s="306" t="n"/>
      <c r="CN2" s="306" t="n"/>
      <c r="CO2" s="306" t="n"/>
      <c r="CP2" s="306" t="n"/>
      <c r="CQ2" s="306" t="n"/>
      <c r="CR2" s="306" t="n"/>
      <c r="CS2" s="306" t="n"/>
      <c r="CT2" s="306" t="n"/>
      <c r="CU2" s="306" t="n"/>
      <c r="CV2" s="306" t="n"/>
      <c r="CW2" s="306" t="n"/>
      <c r="CX2" s="306" t="n"/>
      <c r="CY2" s="306" t="n"/>
      <c r="CZ2" s="306" t="n"/>
      <c r="DA2" s="306" t="n"/>
      <c r="DB2" s="306" t="n"/>
      <c r="DC2" s="306" t="n"/>
      <c r="DD2" s="306" t="n"/>
      <c r="DE2" s="306" t="n"/>
      <c r="DF2" s="306" t="n"/>
      <c r="DG2" s="306" t="n"/>
      <c r="DH2" s="306" t="n"/>
      <c r="DI2" s="306" t="n"/>
      <c r="DJ2" s="306" t="n"/>
      <c r="DK2" s="306" t="n"/>
      <c r="DL2" s="306" t="n"/>
      <c r="DM2" s="306" t="n"/>
      <c r="DN2" s="306" t="n"/>
      <c r="DO2" s="306" t="n"/>
      <c r="DP2" s="306" t="n"/>
      <c r="DQ2" s="306" t="n"/>
      <c r="DR2" s="306" t="n"/>
      <c r="DS2" s="306" t="n"/>
      <c r="DT2" s="306" t="n"/>
      <c r="DU2" s="306" t="n"/>
      <c r="DV2" s="306" t="n"/>
      <c r="DW2" s="306" t="n"/>
      <c r="DX2" s="306" t="n"/>
      <c r="DY2" s="306" t="n"/>
      <c r="DZ2" s="306" t="n"/>
      <c r="EA2" s="306" t="n"/>
      <c r="EB2" s="306" t="n"/>
      <c r="EC2" s="306" t="n"/>
      <c r="ED2" s="306" t="n"/>
      <c r="EE2" s="306" t="n"/>
      <c r="EF2" s="306" t="n"/>
      <c r="EG2" s="306" t="n"/>
      <c r="EH2" s="306" t="n"/>
      <c r="EI2" s="306" t="n"/>
      <c r="EJ2" s="306" t="n"/>
      <c r="EK2" s="306" t="n"/>
      <c r="EL2" s="306" t="n"/>
      <c r="EM2" s="306" t="n"/>
      <c r="EN2" s="306" t="n"/>
      <c r="EO2" s="306" t="n"/>
      <c r="EP2" s="306" t="n"/>
      <c r="EQ2" s="306" t="n"/>
      <c r="ER2" s="306" t="n"/>
      <c r="ES2" s="306" t="n"/>
      <c r="ET2" s="306" t="n"/>
      <c r="EU2" s="306" t="n"/>
      <c r="EV2" s="306" t="n"/>
      <c r="EW2" s="306" t="n"/>
      <c r="EX2" s="306" t="n"/>
      <c r="EY2" s="306" t="n"/>
      <c r="EZ2" s="306" t="n"/>
      <c r="FA2" s="306" t="n"/>
      <c r="FB2" s="306" t="n"/>
      <c r="FC2" s="306" t="n"/>
      <c r="FD2" s="306" t="n"/>
      <c r="FE2" s="306" t="n"/>
      <c r="FF2" s="306" t="n"/>
      <c r="FG2" s="306" t="n"/>
      <c r="FH2" s="306" t="n"/>
      <c r="FI2" s="306" t="n"/>
      <c r="FJ2" s="306" t="n"/>
      <c r="FK2" s="306" t="n"/>
      <c r="FL2" s="306" t="n"/>
      <c r="FM2" s="306" t="n"/>
      <c r="FN2" s="306" t="n"/>
      <c r="FO2" s="306" t="n"/>
      <c r="FP2" s="306" t="n"/>
      <c r="FQ2" s="306" t="n"/>
      <c r="FR2" s="306" t="n"/>
      <c r="FS2" s="306" t="n"/>
      <c r="FT2" s="306" t="n"/>
      <c r="FU2" s="306" t="n"/>
      <c r="FV2" s="306" t="n"/>
      <c r="FW2" s="306" t="n"/>
      <c r="FX2" s="306" t="n"/>
      <c r="FY2" s="306" t="n"/>
      <c r="FZ2" s="306" t="n"/>
    </row>
    <row r="3" ht="15" customHeight="1" s="307">
      <c r="A3" s="472" t="inlineStr">
        <is>
          <t>($mm)</t>
        </is>
      </c>
      <c r="B3" s="388" t="inlineStr">
        <is>
          <t>M1</t>
        </is>
      </c>
      <c r="C3" s="388" t="inlineStr">
        <is>
          <t>M2</t>
        </is>
      </c>
      <c r="D3" s="388" t="inlineStr">
        <is>
          <t>M3</t>
        </is>
      </c>
      <c r="E3" s="388" t="inlineStr">
        <is>
          <t>M4</t>
        </is>
      </c>
      <c r="F3" s="388" t="inlineStr">
        <is>
          <t>M5</t>
        </is>
      </c>
      <c r="G3" s="388" t="inlineStr">
        <is>
          <t>M6</t>
        </is>
      </c>
      <c r="H3" s="388" t="inlineStr">
        <is>
          <t>M7</t>
        </is>
      </c>
      <c r="I3" s="388" t="inlineStr">
        <is>
          <t>M8</t>
        </is>
      </c>
      <c r="J3" s="388" t="inlineStr">
        <is>
          <t>M9</t>
        </is>
      </c>
      <c r="K3" s="388" t="inlineStr">
        <is>
          <t>M10</t>
        </is>
      </c>
      <c r="L3" s="388" t="inlineStr">
        <is>
          <t>M11</t>
        </is>
      </c>
      <c r="M3" s="388" t="inlineStr">
        <is>
          <t>M12</t>
        </is>
      </c>
      <c r="N3" s="388" t="inlineStr">
        <is>
          <t>M13</t>
        </is>
      </c>
      <c r="O3" s="388" t="inlineStr">
        <is>
          <t>M14</t>
        </is>
      </c>
      <c r="P3" s="388" t="inlineStr">
        <is>
          <t>M15</t>
        </is>
      </c>
      <c r="Q3" s="388" t="inlineStr">
        <is>
          <t>M16</t>
        </is>
      </c>
      <c r="R3" s="388" t="inlineStr">
        <is>
          <t>M17</t>
        </is>
      </c>
      <c r="S3" s="388" t="inlineStr">
        <is>
          <t>M18</t>
        </is>
      </c>
      <c r="T3" s="388" t="inlineStr">
        <is>
          <t>M19</t>
        </is>
      </c>
      <c r="U3" s="388" t="inlineStr">
        <is>
          <t>M20</t>
        </is>
      </c>
      <c r="V3" s="388" t="inlineStr">
        <is>
          <t>M21</t>
        </is>
      </c>
      <c r="W3" s="388" t="inlineStr">
        <is>
          <t>M22</t>
        </is>
      </c>
      <c r="X3" s="388" t="inlineStr">
        <is>
          <t>M23</t>
        </is>
      </c>
      <c r="Y3" s="388" t="inlineStr">
        <is>
          <t>M24</t>
        </is>
      </c>
      <c r="Z3" s="388" t="inlineStr">
        <is>
          <t>M25</t>
        </is>
      </c>
      <c r="AA3" s="388" t="inlineStr">
        <is>
          <t>M26</t>
        </is>
      </c>
      <c r="AB3" s="388" t="inlineStr">
        <is>
          <t>M27</t>
        </is>
      </c>
      <c r="AC3" s="388" t="inlineStr">
        <is>
          <t>M28</t>
        </is>
      </c>
      <c r="AD3" s="388" t="inlineStr">
        <is>
          <t>M29</t>
        </is>
      </c>
      <c r="AE3" s="388" t="inlineStr">
        <is>
          <t>M30</t>
        </is>
      </c>
      <c r="AF3" s="388" t="inlineStr">
        <is>
          <t>M31</t>
        </is>
      </c>
      <c r="AG3" s="388" t="inlineStr">
        <is>
          <t>M32</t>
        </is>
      </c>
      <c r="AH3" s="388" t="inlineStr">
        <is>
          <t>M33</t>
        </is>
      </c>
      <c r="AI3" s="388" t="inlineStr">
        <is>
          <t>M34</t>
        </is>
      </c>
      <c r="AJ3" s="388" t="inlineStr">
        <is>
          <t>M35</t>
        </is>
      </c>
      <c r="AK3" s="388" t="inlineStr">
        <is>
          <t>M36</t>
        </is>
      </c>
      <c r="AL3" s="388" t="inlineStr">
        <is>
          <t>M37</t>
        </is>
      </c>
      <c r="AM3" s="388" t="inlineStr">
        <is>
          <t>M38</t>
        </is>
      </c>
      <c r="AN3" s="388" t="inlineStr">
        <is>
          <t>M39</t>
        </is>
      </c>
      <c r="AO3" s="388" t="inlineStr">
        <is>
          <t>M40</t>
        </is>
      </c>
      <c r="AP3" s="388" t="inlineStr">
        <is>
          <t>M41</t>
        </is>
      </c>
      <c r="AQ3" s="388" t="inlineStr">
        <is>
          <t>M42</t>
        </is>
      </c>
      <c r="AR3" s="388" t="inlineStr">
        <is>
          <t>M43</t>
        </is>
      </c>
      <c r="AS3" s="388" t="inlineStr">
        <is>
          <t>M44</t>
        </is>
      </c>
      <c r="AT3" s="388" t="inlineStr">
        <is>
          <t>M45</t>
        </is>
      </c>
      <c r="AU3" s="388" t="inlineStr">
        <is>
          <t>M46</t>
        </is>
      </c>
      <c r="AV3" s="388" t="inlineStr">
        <is>
          <t>M47</t>
        </is>
      </c>
      <c r="AW3" s="388" t="inlineStr">
        <is>
          <t>M48</t>
        </is>
      </c>
      <c r="AX3" s="388" t="inlineStr">
        <is>
          <t>M49</t>
        </is>
      </c>
      <c r="AY3" s="388" t="inlineStr">
        <is>
          <t>M50</t>
        </is>
      </c>
      <c r="AZ3" s="388" t="inlineStr">
        <is>
          <t>M51</t>
        </is>
      </c>
      <c r="BA3" s="388" t="inlineStr">
        <is>
          <t>M52</t>
        </is>
      </c>
      <c r="BB3" s="388" t="inlineStr">
        <is>
          <t>M53</t>
        </is>
      </c>
      <c r="BC3" s="388" t="inlineStr">
        <is>
          <t>M54</t>
        </is>
      </c>
      <c r="BD3" s="388" t="inlineStr">
        <is>
          <t>M55</t>
        </is>
      </c>
      <c r="BE3" s="388" t="inlineStr">
        <is>
          <t>M56</t>
        </is>
      </c>
      <c r="BF3" s="388" t="inlineStr">
        <is>
          <t>M57</t>
        </is>
      </c>
      <c r="BG3" s="388" t="inlineStr">
        <is>
          <t>M58</t>
        </is>
      </c>
      <c r="BH3" s="388" t="inlineStr">
        <is>
          <t>M59</t>
        </is>
      </c>
      <c r="BI3" s="388" t="inlineStr">
        <is>
          <t>M60</t>
        </is>
      </c>
      <c r="BJ3" s="388" t="inlineStr">
        <is>
          <t>M61</t>
        </is>
      </c>
      <c r="BK3" s="388" t="inlineStr">
        <is>
          <t>M62</t>
        </is>
      </c>
      <c r="BL3" s="388" t="inlineStr">
        <is>
          <t>M63</t>
        </is>
      </c>
      <c r="BM3" s="388" t="inlineStr">
        <is>
          <t>M64</t>
        </is>
      </c>
      <c r="BN3" s="388" t="inlineStr">
        <is>
          <t>M65</t>
        </is>
      </c>
      <c r="BO3" s="388" t="inlineStr">
        <is>
          <t>M66</t>
        </is>
      </c>
      <c r="BP3" s="388" t="inlineStr">
        <is>
          <t>M67</t>
        </is>
      </c>
      <c r="BQ3" s="388" t="inlineStr">
        <is>
          <t>M68</t>
        </is>
      </c>
      <c r="BR3" s="388" t="inlineStr">
        <is>
          <t>M69</t>
        </is>
      </c>
      <c r="BS3" s="388" t="inlineStr">
        <is>
          <t>M70</t>
        </is>
      </c>
      <c r="BT3" s="388" t="inlineStr">
        <is>
          <t>M71</t>
        </is>
      </c>
      <c r="BU3" s="388" t="inlineStr">
        <is>
          <t>M72</t>
        </is>
      </c>
      <c r="BV3" s="388" t="inlineStr">
        <is>
          <t>M73</t>
        </is>
      </c>
      <c r="BW3" s="388" t="inlineStr">
        <is>
          <t>M74</t>
        </is>
      </c>
      <c r="BX3" s="388" t="inlineStr">
        <is>
          <t>M75</t>
        </is>
      </c>
      <c r="BY3" s="388" t="inlineStr">
        <is>
          <t>M76</t>
        </is>
      </c>
      <c r="BZ3" s="388" t="inlineStr">
        <is>
          <t>M77</t>
        </is>
      </c>
      <c r="CA3" s="388" t="inlineStr">
        <is>
          <t>M78</t>
        </is>
      </c>
      <c r="CB3" s="388" t="inlineStr">
        <is>
          <t>M79</t>
        </is>
      </c>
      <c r="CC3" s="388" t="inlineStr">
        <is>
          <t>M80</t>
        </is>
      </c>
      <c r="CD3" s="388" t="inlineStr">
        <is>
          <t>M81</t>
        </is>
      </c>
      <c r="CE3" s="388" t="inlineStr">
        <is>
          <t>M82</t>
        </is>
      </c>
      <c r="CF3" s="388" t="inlineStr">
        <is>
          <t>M83</t>
        </is>
      </c>
      <c r="CG3" s="388" t="inlineStr">
        <is>
          <t>M84</t>
        </is>
      </c>
      <c r="CH3" s="388" t="inlineStr">
        <is>
          <t>M85</t>
        </is>
      </c>
      <c r="CI3" s="388" t="inlineStr">
        <is>
          <t>M86</t>
        </is>
      </c>
      <c r="CJ3" s="388" t="inlineStr">
        <is>
          <t>M87</t>
        </is>
      </c>
      <c r="CK3" s="388" t="inlineStr">
        <is>
          <t>M88</t>
        </is>
      </c>
      <c r="CL3" s="388" t="inlineStr">
        <is>
          <t>M89</t>
        </is>
      </c>
      <c r="CM3" s="388" t="inlineStr">
        <is>
          <t>M90</t>
        </is>
      </c>
      <c r="CN3" s="388" t="inlineStr">
        <is>
          <t>M91</t>
        </is>
      </c>
      <c r="CO3" s="388" t="inlineStr">
        <is>
          <t>M92</t>
        </is>
      </c>
      <c r="CP3" s="388" t="inlineStr">
        <is>
          <t>M93</t>
        </is>
      </c>
      <c r="CQ3" s="388" t="inlineStr">
        <is>
          <t>M94</t>
        </is>
      </c>
      <c r="CR3" s="388" t="inlineStr">
        <is>
          <t>M95</t>
        </is>
      </c>
      <c r="CS3" s="388" t="inlineStr">
        <is>
          <t>M96</t>
        </is>
      </c>
      <c r="CT3" s="388" t="inlineStr">
        <is>
          <t>M97</t>
        </is>
      </c>
      <c r="CU3" s="388" t="inlineStr">
        <is>
          <t>M98</t>
        </is>
      </c>
      <c r="CV3" s="388" t="inlineStr">
        <is>
          <t>M99</t>
        </is>
      </c>
      <c r="CW3" s="388" t="inlineStr">
        <is>
          <t>M100</t>
        </is>
      </c>
      <c r="CX3" s="388" t="inlineStr">
        <is>
          <t>M101</t>
        </is>
      </c>
      <c r="CY3" s="388" t="inlineStr">
        <is>
          <t>M102</t>
        </is>
      </c>
      <c r="CZ3" s="388" t="inlineStr">
        <is>
          <t>M103</t>
        </is>
      </c>
      <c r="DA3" s="388" t="inlineStr">
        <is>
          <t>M104</t>
        </is>
      </c>
      <c r="DB3" s="388" t="inlineStr">
        <is>
          <t>M105</t>
        </is>
      </c>
      <c r="DC3" s="388" t="inlineStr">
        <is>
          <t>M106</t>
        </is>
      </c>
      <c r="DD3" s="388" t="inlineStr">
        <is>
          <t>M107</t>
        </is>
      </c>
      <c r="DE3" s="388" t="inlineStr">
        <is>
          <t>M108</t>
        </is>
      </c>
      <c r="DF3" s="388" t="inlineStr">
        <is>
          <t>M109</t>
        </is>
      </c>
      <c r="DG3" s="388" t="inlineStr">
        <is>
          <t>M110</t>
        </is>
      </c>
      <c r="DH3" s="388" t="inlineStr">
        <is>
          <t>M111</t>
        </is>
      </c>
      <c r="DI3" s="388" t="inlineStr">
        <is>
          <t>M112</t>
        </is>
      </c>
      <c r="DJ3" s="388" t="inlineStr">
        <is>
          <t>M113</t>
        </is>
      </c>
      <c r="DK3" s="388" t="inlineStr">
        <is>
          <t>M114</t>
        </is>
      </c>
      <c r="DL3" s="388" t="inlineStr">
        <is>
          <t>M115</t>
        </is>
      </c>
      <c r="DM3" s="388" t="inlineStr">
        <is>
          <t>M116</t>
        </is>
      </c>
      <c r="DN3" s="388" t="inlineStr">
        <is>
          <t>M117</t>
        </is>
      </c>
      <c r="DO3" s="388" t="inlineStr">
        <is>
          <t>M118</t>
        </is>
      </c>
      <c r="DP3" s="388" t="inlineStr">
        <is>
          <t>M119</t>
        </is>
      </c>
      <c r="DQ3" s="388" t="inlineStr">
        <is>
          <t>M120</t>
        </is>
      </c>
      <c r="DR3" s="388" t="inlineStr">
        <is>
          <t>M121</t>
        </is>
      </c>
      <c r="DS3" s="388" t="inlineStr">
        <is>
          <t>M122</t>
        </is>
      </c>
      <c r="DT3" s="388" t="inlineStr">
        <is>
          <t>M123</t>
        </is>
      </c>
      <c r="DU3" s="388" t="inlineStr">
        <is>
          <t>M124</t>
        </is>
      </c>
      <c r="DV3" s="388" t="inlineStr">
        <is>
          <t>M125</t>
        </is>
      </c>
      <c r="DW3" s="388" t="inlineStr">
        <is>
          <t>M126</t>
        </is>
      </c>
      <c r="DX3" s="388" t="inlineStr">
        <is>
          <t>M127</t>
        </is>
      </c>
      <c r="DY3" s="388" t="inlineStr">
        <is>
          <t>M128</t>
        </is>
      </c>
      <c r="DZ3" s="388" t="inlineStr">
        <is>
          <t>M129</t>
        </is>
      </c>
      <c r="EA3" s="388" t="inlineStr">
        <is>
          <t>M130</t>
        </is>
      </c>
      <c r="EB3" s="388" t="inlineStr">
        <is>
          <t>M131</t>
        </is>
      </c>
      <c r="EC3" s="388" t="inlineStr">
        <is>
          <t>M132</t>
        </is>
      </c>
      <c r="ED3" s="388" t="inlineStr">
        <is>
          <t>M133</t>
        </is>
      </c>
      <c r="EE3" s="388" t="inlineStr">
        <is>
          <t>M134</t>
        </is>
      </c>
      <c r="EF3" s="388" t="inlineStr">
        <is>
          <t>M135</t>
        </is>
      </c>
      <c r="EG3" s="388" t="inlineStr">
        <is>
          <t>M136</t>
        </is>
      </c>
      <c r="EH3" s="388" t="inlineStr">
        <is>
          <t>M137</t>
        </is>
      </c>
      <c r="EI3" s="388" t="inlineStr">
        <is>
          <t>M138</t>
        </is>
      </c>
      <c r="EJ3" s="388" t="inlineStr">
        <is>
          <t>M139</t>
        </is>
      </c>
      <c r="EK3" s="388" t="inlineStr">
        <is>
          <t>M140</t>
        </is>
      </c>
      <c r="EL3" s="388" t="inlineStr">
        <is>
          <t>M141</t>
        </is>
      </c>
      <c r="EM3" s="388" t="inlineStr">
        <is>
          <t>M142</t>
        </is>
      </c>
      <c r="EN3" s="388" t="inlineStr">
        <is>
          <t>M143</t>
        </is>
      </c>
      <c r="EO3" s="388" t="inlineStr">
        <is>
          <t>M144</t>
        </is>
      </c>
      <c r="EP3" s="388" t="inlineStr">
        <is>
          <t>M145</t>
        </is>
      </c>
      <c r="EQ3" s="388" t="inlineStr">
        <is>
          <t>M146</t>
        </is>
      </c>
      <c r="ER3" s="388" t="inlineStr">
        <is>
          <t>M147</t>
        </is>
      </c>
      <c r="ES3" s="388" t="inlineStr">
        <is>
          <t>M148</t>
        </is>
      </c>
      <c r="ET3" s="388" t="inlineStr">
        <is>
          <t>M149</t>
        </is>
      </c>
      <c r="EU3" s="388" t="inlineStr">
        <is>
          <t>M150</t>
        </is>
      </c>
      <c r="EV3" s="388" t="inlineStr">
        <is>
          <t>M151</t>
        </is>
      </c>
      <c r="EW3" s="388" t="inlineStr">
        <is>
          <t>M152</t>
        </is>
      </c>
      <c r="EX3" s="388" t="inlineStr">
        <is>
          <t>M153</t>
        </is>
      </c>
      <c r="EY3" s="388" t="inlineStr">
        <is>
          <t>M154</t>
        </is>
      </c>
      <c r="EZ3" s="388" t="inlineStr">
        <is>
          <t>M155</t>
        </is>
      </c>
      <c r="FA3" s="388" t="inlineStr">
        <is>
          <t>M156</t>
        </is>
      </c>
      <c r="FB3" s="388" t="inlineStr">
        <is>
          <t>M157</t>
        </is>
      </c>
      <c r="FC3" s="388" t="inlineStr">
        <is>
          <t>M158</t>
        </is>
      </c>
      <c r="FD3" s="388" t="inlineStr">
        <is>
          <t>M159</t>
        </is>
      </c>
      <c r="FE3" s="388" t="inlineStr">
        <is>
          <t>M160</t>
        </is>
      </c>
      <c r="FF3" s="388" t="inlineStr">
        <is>
          <t>M161</t>
        </is>
      </c>
      <c r="FG3" s="388" t="inlineStr">
        <is>
          <t>M162</t>
        </is>
      </c>
      <c r="FH3" s="388" t="inlineStr">
        <is>
          <t>M163</t>
        </is>
      </c>
      <c r="FI3" s="388" t="inlineStr">
        <is>
          <t>M164</t>
        </is>
      </c>
      <c r="FJ3" s="388" t="inlineStr">
        <is>
          <t>M165</t>
        </is>
      </c>
      <c r="FK3" s="388" t="inlineStr">
        <is>
          <t>M166</t>
        </is>
      </c>
      <c r="FL3" s="388" t="inlineStr">
        <is>
          <t>M167</t>
        </is>
      </c>
      <c r="FM3" s="388" t="inlineStr">
        <is>
          <t>M168</t>
        </is>
      </c>
      <c r="FN3" s="388" t="inlineStr">
        <is>
          <t>M169</t>
        </is>
      </c>
      <c r="FO3" s="388" t="inlineStr">
        <is>
          <t>M170</t>
        </is>
      </c>
      <c r="FP3" s="388" t="inlineStr">
        <is>
          <t>M171</t>
        </is>
      </c>
      <c r="FQ3" s="388" t="inlineStr">
        <is>
          <t>M172</t>
        </is>
      </c>
      <c r="FR3" s="388" t="inlineStr">
        <is>
          <t>M173</t>
        </is>
      </c>
      <c r="FS3" s="388" t="inlineStr">
        <is>
          <t>M174</t>
        </is>
      </c>
      <c r="FT3" s="388" t="inlineStr">
        <is>
          <t>M175</t>
        </is>
      </c>
      <c r="FU3" s="388" t="inlineStr">
        <is>
          <t>M176</t>
        </is>
      </c>
      <c r="FV3" s="388" t="inlineStr">
        <is>
          <t>M177</t>
        </is>
      </c>
      <c r="FW3" s="388" t="inlineStr">
        <is>
          <t>M178</t>
        </is>
      </c>
      <c r="FX3" s="388" t="inlineStr">
        <is>
          <t>M179</t>
        </is>
      </c>
      <c r="FY3" s="388" t="inlineStr">
        <is>
          <t>M180</t>
        </is>
      </c>
      <c r="FZ3" s="306" t="n"/>
    </row>
    <row r="4" ht="15" customHeight="1" s="307">
      <c r="A4" s="306" t="n"/>
      <c r="B4" s="473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473" t="n"/>
      <c r="O4" s="306" t="n"/>
      <c r="P4" s="306" t="n"/>
      <c r="Q4" s="306" t="n"/>
      <c r="R4" s="306" t="n"/>
      <c r="S4" s="306" t="n"/>
      <c r="T4" s="306" t="n"/>
      <c r="U4" s="306" t="n"/>
      <c r="V4" s="306" t="n"/>
      <c r="W4" s="306" t="n"/>
      <c r="X4" s="306" t="n"/>
      <c r="Y4" s="306" t="n"/>
      <c r="Z4" s="473" t="n"/>
      <c r="AA4" s="306" t="n"/>
      <c r="AB4" s="306" t="n"/>
      <c r="AC4" s="306" t="n"/>
      <c r="AD4" s="306" t="n"/>
      <c r="AE4" s="306" t="n"/>
      <c r="AF4" s="306" t="n"/>
      <c r="AG4" s="306" t="n"/>
      <c r="AH4" s="306" t="n"/>
      <c r="AI4" s="306" t="n"/>
      <c r="AJ4" s="306" t="n"/>
      <c r="AK4" s="306" t="n"/>
      <c r="AL4" s="473" t="n"/>
      <c r="AM4" s="306" t="n"/>
      <c r="AN4" s="306" t="n"/>
      <c r="AO4" s="306" t="n"/>
      <c r="AP4" s="306" t="n"/>
      <c r="AQ4" s="306" t="n"/>
      <c r="AR4" s="306" t="n"/>
      <c r="AS4" s="306" t="n"/>
      <c r="AT4" s="306" t="n"/>
      <c r="AU4" s="306" t="n"/>
      <c r="AV4" s="306" t="n"/>
      <c r="AW4" s="306" t="n"/>
      <c r="AX4" s="473" t="n"/>
      <c r="AY4" s="306" t="n"/>
      <c r="AZ4" s="306" t="n"/>
      <c r="BA4" s="306" t="n"/>
      <c r="BB4" s="306" t="n"/>
      <c r="BC4" s="306" t="n"/>
      <c r="BD4" s="306" t="n"/>
      <c r="BE4" s="306" t="n"/>
      <c r="BF4" s="306" t="n"/>
      <c r="BG4" s="306" t="n"/>
      <c r="BH4" s="306" t="n"/>
      <c r="BI4" s="306" t="n"/>
      <c r="BJ4" s="473" t="n"/>
      <c r="BK4" s="306" t="n"/>
      <c r="BL4" s="306" t="n"/>
      <c r="BM4" s="306" t="n"/>
      <c r="BN4" s="306" t="n"/>
      <c r="BO4" s="306" t="n"/>
      <c r="BP4" s="306" t="n"/>
      <c r="BQ4" s="306" t="n"/>
      <c r="BR4" s="306" t="n"/>
      <c r="BS4" s="306" t="n"/>
      <c r="BT4" s="306" t="n"/>
      <c r="BU4" s="306" t="n"/>
      <c r="BV4" s="473" t="n"/>
      <c r="BW4" s="306" t="n"/>
      <c r="BX4" s="306" t="n"/>
      <c r="BY4" s="306" t="n"/>
      <c r="BZ4" s="306" t="n"/>
      <c r="CA4" s="306" t="n"/>
      <c r="CB4" s="306" t="n"/>
      <c r="CC4" s="306" t="n"/>
      <c r="CD4" s="306" t="n"/>
      <c r="CE4" s="306" t="n"/>
      <c r="CF4" s="306" t="n"/>
      <c r="CG4" s="306" t="n"/>
      <c r="CH4" s="473" t="n"/>
      <c r="CI4" s="306" t="n"/>
      <c r="CJ4" s="306" t="n"/>
      <c r="CK4" s="306" t="n"/>
      <c r="CL4" s="306" t="n"/>
      <c r="CM4" s="306" t="n"/>
      <c r="CN4" s="306" t="n"/>
      <c r="CO4" s="306" t="n"/>
      <c r="CP4" s="306" t="n"/>
      <c r="CQ4" s="306" t="n"/>
      <c r="CR4" s="306" t="n"/>
      <c r="CS4" s="306" t="n"/>
      <c r="CT4" s="473" t="n"/>
      <c r="CU4" s="306" t="n"/>
      <c r="CV4" s="306" t="n"/>
      <c r="CW4" s="306" t="n"/>
      <c r="CX4" s="306" t="n"/>
      <c r="CY4" s="306" t="n"/>
      <c r="CZ4" s="306" t="n"/>
      <c r="DA4" s="306" t="n"/>
      <c r="DB4" s="306" t="n"/>
      <c r="DC4" s="306" t="n"/>
      <c r="DD4" s="306" t="n"/>
      <c r="DE4" s="306" t="n"/>
      <c r="DF4" s="473" t="n"/>
      <c r="DG4" s="306" t="n"/>
      <c r="DH4" s="306" t="n"/>
      <c r="DI4" s="306" t="n"/>
      <c r="DJ4" s="306" t="n"/>
      <c r="DK4" s="306" t="n"/>
      <c r="DL4" s="306" t="n"/>
      <c r="DM4" s="306" t="n"/>
      <c r="DN4" s="306" t="n"/>
      <c r="DO4" s="306" t="n"/>
      <c r="DP4" s="306" t="n"/>
      <c r="DQ4" s="306" t="n"/>
      <c r="DR4" s="473" t="n"/>
      <c r="DS4" s="306" t="n"/>
      <c r="DT4" s="306" t="n"/>
      <c r="DU4" s="306" t="n"/>
      <c r="DV4" s="306" t="n"/>
      <c r="DW4" s="306" t="n"/>
      <c r="DX4" s="306" t="n"/>
      <c r="DY4" s="306" t="n"/>
      <c r="DZ4" s="306" t="n"/>
      <c r="EA4" s="306" t="n"/>
      <c r="EB4" s="306" t="n"/>
      <c r="EC4" s="306" t="n"/>
      <c r="ED4" s="473" t="n"/>
      <c r="EE4" s="306" t="n"/>
      <c r="EF4" s="306" t="n"/>
      <c r="EG4" s="306" t="n"/>
      <c r="EH4" s="306" t="n"/>
      <c r="EI4" s="306" t="n"/>
      <c r="EJ4" s="306" t="n"/>
      <c r="EK4" s="306" t="n"/>
      <c r="EL4" s="306" t="n"/>
      <c r="EM4" s="306" t="n"/>
      <c r="EN4" s="306" t="n"/>
      <c r="EO4" s="306" t="n"/>
      <c r="EP4" s="473" t="n"/>
      <c r="EQ4" s="306" t="n"/>
      <c r="ER4" s="306" t="n"/>
      <c r="ES4" s="306" t="n"/>
      <c r="ET4" s="306" t="n"/>
      <c r="EU4" s="306" t="n"/>
      <c r="EV4" s="306" t="n"/>
      <c r="EW4" s="306" t="n"/>
      <c r="EX4" s="306" t="n"/>
      <c r="EY4" s="306" t="n"/>
      <c r="EZ4" s="306" t="n"/>
      <c r="FA4" s="306" t="n"/>
      <c r="FB4" s="473" t="n"/>
      <c r="FC4" s="306" t="n"/>
      <c r="FD4" s="306" t="n"/>
      <c r="FE4" s="306" t="n"/>
      <c r="FF4" s="306" t="n"/>
      <c r="FG4" s="306" t="n"/>
      <c r="FH4" s="306" t="n"/>
      <c r="FI4" s="306" t="n"/>
      <c r="FJ4" s="306" t="n"/>
      <c r="FK4" s="306" t="n"/>
      <c r="FL4" s="306" t="n"/>
      <c r="FM4" s="306" t="n"/>
      <c r="FN4" s="473" t="n"/>
      <c r="FO4" s="306" t="n"/>
      <c r="FP4" s="306" t="n"/>
      <c r="FQ4" s="306" t="n"/>
      <c r="FR4" s="306" t="n"/>
      <c r="FS4" s="306" t="n"/>
      <c r="FT4" s="306" t="n"/>
      <c r="FU4" s="306" t="n"/>
      <c r="FV4" s="306" t="n"/>
      <c r="FW4" s="306" t="n"/>
      <c r="FX4" s="306" t="n"/>
      <c r="FY4" s="306" t="n"/>
      <c r="FZ4" s="306" t="n"/>
    </row>
    <row r="5" ht="15" customHeight="1" s="307">
      <c r="A5" s="325" t="inlineStr">
        <is>
          <t>Revenue by Deal</t>
        </is>
      </c>
      <c r="B5" s="309" t="n"/>
      <c r="C5" s="309" t="n"/>
      <c r="D5" s="309" t="n"/>
      <c r="E5" s="309" t="n"/>
      <c r="F5" s="309" t="n"/>
      <c r="G5" s="309" t="n"/>
      <c r="H5" s="309" t="n"/>
      <c r="I5" s="309" t="n"/>
      <c r="J5" s="309" t="n"/>
      <c r="K5" s="309" t="n"/>
      <c r="L5" s="309" t="n"/>
      <c r="M5" s="309" t="n"/>
      <c r="N5" s="309" t="n"/>
      <c r="O5" s="309" t="n"/>
      <c r="P5" s="309" t="n"/>
      <c r="Q5" s="309" t="n"/>
      <c r="R5" s="309" t="n"/>
      <c r="S5" s="309" t="n"/>
      <c r="T5" s="309" t="n"/>
      <c r="U5" s="309" t="n"/>
      <c r="V5" s="309" t="n"/>
      <c r="W5" s="309" t="n"/>
      <c r="X5" s="309" t="n"/>
      <c r="Y5" s="309" t="n"/>
      <c r="Z5" s="309" t="n"/>
      <c r="AA5" s="309" t="n"/>
      <c r="AB5" s="309" t="n"/>
      <c r="AC5" s="309" t="n"/>
      <c r="AD5" s="309" t="n"/>
      <c r="AE5" s="309" t="n"/>
      <c r="AF5" s="309" t="n"/>
      <c r="AG5" s="309" t="n"/>
      <c r="AH5" s="309" t="n"/>
      <c r="AI5" s="309" t="n"/>
      <c r="AJ5" s="309" t="n"/>
      <c r="AK5" s="309" t="n"/>
      <c r="AL5" s="309" t="n"/>
      <c r="AM5" s="309" t="n"/>
      <c r="AN5" s="309" t="n"/>
      <c r="AO5" s="309" t="n"/>
      <c r="AP5" s="309" t="n"/>
      <c r="AQ5" s="309" t="n"/>
      <c r="AR5" s="309" t="n"/>
      <c r="AS5" s="309" t="n"/>
      <c r="AT5" s="309" t="n"/>
      <c r="AU5" s="309" t="n"/>
      <c r="AV5" s="309" t="n"/>
      <c r="AW5" s="309" t="n"/>
      <c r="AX5" s="309" t="n"/>
      <c r="AY5" s="309" t="n"/>
      <c r="AZ5" s="309" t="n"/>
      <c r="BA5" s="309" t="n"/>
      <c r="BB5" s="309" t="n"/>
      <c r="BC5" s="309" t="n"/>
      <c r="BD5" s="309" t="n"/>
      <c r="BE5" s="309" t="n"/>
      <c r="BF5" s="309" t="n"/>
      <c r="BG5" s="309" t="n"/>
      <c r="BH5" s="309" t="n"/>
      <c r="BI5" s="309" t="n"/>
      <c r="BJ5" s="309" t="n"/>
      <c r="BK5" s="309" t="n"/>
      <c r="BL5" s="309" t="n"/>
      <c r="BM5" s="309" t="n"/>
      <c r="BN5" s="309" t="n"/>
      <c r="BO5" s="309" t="n"/>
      <c r="BP5" s="309" t="n"/>
      <c r="BQ5" s="309" t="n"/>
      <c r="BR5" s="309" t="n"/>
      <c r="BS5" s="309" t="n"/>
      <c r="BT5" s="309" t="n"/>
      <c r="BU5" s="309" t="n"/>
      <c r="BV5" s="309" t="n"/>
      <c r="BW5" s="309" t="n"/>
      <c r="BX5" s="309" t="n"/>
      <c r="BY5" s="309" t="n"/>
      <c r="BZ5" s="309" t="n"/>
      <c r="CA5" s="309" t="n"/>
      <c r="CB5" s="309" t="n"/>
      <c r="CC5" s="309" t="n"/>
      <c r="CD5" s="309" t="n"/>
      <c r="CE5" s="309" t="n"/>
      <c r="CF5" s="309" t="n"/>
      <c r="CG5" s="309" t="n"/>
      <c r="CH5" s="309" t="n"/>
      <c r="CI5" s="309" t="n"/>
      <c r="CJ5" s="309" t="n"/>
      <c r="CK5" s="309" t="n"/>
      <c r="CL5" s="309" t="n"/>
      <c r="CM5" s="309" t="n"/>
      <c r="CN5" s="309" t="n"/>
      <c r="CO5" s="309" t="n"/>
      <c r="CP5" s="309" t="n"/>
      <c r="CQ5" s="309" t="n"/>
      <c r="CR5" s="309" t="n"/>
      <c r="CS5" s="309" t="n"/>
      <c r="CT5" s="309" t="n"/>
      <c r="CU5" s="309" t="n"/>
      <c r="CV5" s="309" t="n"/>
      <c r="CW5" s="309" t="n"/>
      <c r="CX5" s="309" t="n"/>
      <c r="CY5" s="309" t="n"/>
      <c r="CZ5" s="309" t="n"/>
      <c r="DA5" s="309" t="n"/>
      <c r="DB5" s="309" t="n"/>
      <c r="DC5" s="309" t="n"/>
      <c r="DD5" s="309" t="n"/>
      <c r="DE5" s="309" t="n"/>
      <c r="DF5" s="309" t="n"/>
      <c r="DG5" s="309" t="n"/>
      <c r="DH5" s="309" t="n"/>
      <c r="DI5" s="309" t="n"/>
      <c r="DJ5" s="309" t="n"/>
      <c r="DK5" s="309" t="n"/>
      <c r="DL5" s="309" t="n"/>
      <c r="DM5" s="309" t="n"/>
      <c r="DN5" s="309" t="n"/>
      <c r="DO5" s="309" t="n"/>
      <c r="DP5" s="309" t="n"/>
      <c r="DQ5" s="309" t="n"/>
      <c r="DR5" s="309" t="n"/>
      <c r="DS5" s="309" t="n"/>
      <c r="DT5" s="309" t="n"/>
      <c r="DU5" s="309" t="n"/>
      <c r="DV5" s="309" t="n"/>
      <c r="DW5" s="309" t="n"/>
      <c r="DX5" s="309" t="n"/>
      <c r="DY5" s="309" t="n"/>
      <c r="DZ5" s="309" t="n"/>
      <c r="EA5" s="309" t="n"/>
      <c r="EB5" s="309" t="n"/>
      <c r="EC5" s="309" t="n"/>
      <c r="ED5" s="309" t="n"/>
      <c r="EE5" s="309" t="n"/>
      <c r="EF5" s="309" t="n"/>
      <c r="EG5" s="309" t="n"/>
      <c r="EH5" s="309" t="n"/>
      <c r="EI5" s="309" t="n"/>
      <c r="EJ5" s="309" t="n"/>
      <c r="EK5" s="309" t="n"/>
      <c r="EL5" s="309" t="n"/>
      <c r="EM5" s="309" t="n"/>
      <c r="EN5" s="309" t="n"/>
      <c r="EO5" s="309" t="n"/>
      <c r="EP5" s="309" t="n"/>
      <c r="EQ5" s="309" t="n"/>
      <c r="ER5" s="309" t="n"/>
      <c r="ES5" s="309" t="n"/>
      <c r="ET5" s="309" t="n"/>
      <c r="EU5" s="309" t="n"/>
      <c r="EV5" s="309" t="n"/>
      <c r="EW5" s="309" t="n"/>
      <c r="EX5" s="309" t="n"/>
      <c r="EY5" s="309" t="n"/>
      <c r="EZ5" s="309" t="n"/>
      <c r="FA5" s="309" t="n"/>
      <c r="FB5" s="309" t="n"/>
      <c r="FC5" s="309" t="n"/>
      <c r="FD5" s="309" t="n"/>
      <c r="FE5" s="309" t="n"/>
      <c r="FF5" s="309" t="n"/>
      <c r="FG5" s="309" t="n"/>
      <c r="FH5" s="309" t="n"/>
      <c r="FI5" s="309" t="n"/>
      <c r="FJ5" s="309" t="n"/>
      <c r="FK5" s="309" t="n"/>
      <c r="FL5" s="309" t="n"/>
      <c r="FM5" s="309" t="n"/>
      <c r="FN5" s="309" t="n"/>
      <c r="FO5" s="309" t="n"/>
      <c r="FP5" s="309" t="n"/>
      <c r="FQ5" s="309" t="n"/>
      <c r="FR5" s="309" t="n"/>
      <c r="FS5" s="309" t="n"/>
      <c r="FT5" s="309" t="n"/>
      <c r="FU5" s="309" t="n"/>
      <c r="FV5" s="309" t="n"/>
      <c r="FW5" s="309" t="n"/>
      <c r="FX5" s="309" t="n"/>
      <c r="FY5" s="309" t="n"/>
      <c r="FZ5" s="306" t="n"/>
    </row>
    <row r="6" ht="15" customHeight="1" s="307">
      <c r="A6" s="321" t="inlineStr">
        <is>
          <t xml:space="preserve">    Deal #1</t>
        </is>
      </c>
      <c r="B6" s="458">
        <f>'_Engine_NR'!F31/12</f>
        <v/>
      </c>
      <c r="C6" s="458">
        <f>'_Engine_NR'!F32/12</f>
        <v/>
      </c>
      <c r="D6" s="458">
        <f>'_Engine_NR'!F33/12</f>
        <v/>
      </c>
      <c r="E6" s="458">
        <f>'_Engine_NR'!F34/12</f>
        <v/>
      </c>
      <c r="F6" s="458">
        <f>'_Engine_NR'!F35/12</f>
        <v/>
      </c>
      <c r="G6" s="458">
        <f>'_Engine_NR'!F36/12</f>
        <v/>
      </c>
      <c r="H6" s="458">
        <f>'_Engine_NR'!F37/12</f>
        <v/>
      </c>
      <c r="I6" s="458">
        <f>'_Engine_NR'!F38/12</f>
        <v/>
      </c>
      <c r="J6" s="458">
        <f>'_Engine_NR'!F39/12</f>
        <v/>
      </c>
      <c r="K6" s="458">
        <f>'_Engine_NR'!F40/12</f>
        <v/>
      </c>
      <c r="L6" s="458">
        <f>'_Engine_NR'!F41/12</f>
        <v/>
      </c>
      <c r="M6" s="458">
        <f>'_Engine_NR'!F42/12</f>
        <v/>
      </c>
      <c r="N6" s="459">
        <f>'_Engine_NR'!F43/12</f>
        <v/>
      </c>
      <c r="O6" s="459">
        <f>'_Engine_NR'!F44/12</f>
        <v/>
      </c>
      <c r="P6" s="459">
        <f>'_Engine_NR'!F45/12</f>
        <v/>
      </c>
      <c r="Q6" s="459">
        <f>'_Engine_NR'!F46/12</f>
        <v/>
      </c>
      <c r="R6" s="459">
        <f>'_Engine_NR'!F47/12</f>
        <v/>
      </c>
      <c r="S6" s="459">
        <f>'_Engine_NR'!F48/12</f>
        <v/>
      </c>
      <c r="T6" s="459">
        <f>'_Engine_NR'!F49/12</f>
        <v/>
      </c>
      <c r="U6" s="459">
        <f>'_Engine_NR'!F50/12</f>
        <v/>
      </c>
      <c r="V6" s="459">
        <f>'_Engine_NR'!F51/12</f>
        <v/>
      </c>
      <c r="W6" s="459">
        <f>'_Engine_NR'!F52/12</f>
        <v/>
      </c>
      <c r="X6" s="459">
        <f>'_Engine_NR'!F53/12</f>
        <v/>
      </c>
      <c r="Y6" s="459">
        <f>'_Engine_NR'!F54/12</f>
        <v/>
      </c>
      <c r="Z6" s="458">
        <f>'_Engine_NR'!F55/12</f>
        <v/>
      </c>
      <c r="AA6" s="458">
        <f>'_Engine_NR'!F56/12</f>
        <v/>
      </c>
      <c r="AB6" s="458">
        <f>'_Engine_NR'!F57/12</f>
        <v/>
      </c>
      <c r="AC6" s="458">
        <f>'_Engine_NR'!F58/12</f>
        <v/>
      </c>
      <c r="AD6" s="458">
        <f>'_Engine_NR'!F59/12</f>
        <v/>
      </c>
      <c r="AE6" s="458">
        <f>'_Engine_NR'!F60/12</f>
        <v/>
      </c>
      <c r="AF6" s="458">
        <f>'_Engine_NR'!F61/12</f>
        <v/>
      </c>
      <c r="AG6" s="458">
        <f>'_Engine_NR'!F62/12</f>
        <v/>
      </c>
      <c r="AH6" s="458">
        <f>'_Engine_NR'!F63/12</f>
        <v/>
      </c>
      <c r="AI6" s="458">
        <f>'_Engine_NR'!F64/12</f>
        <v/>
      </c>
      <c r="AJ6" s="458">
        <f>'_Engine_NR'!F65/12</f>
        <v/>
      </c>
      <c r="AK6" s="458">
        <f>'_Engine_NR'!F66/12</f>
        <v/>
      </c>
      <c r="AL6" s="459">
        <f>'_Engine_NR'!F67/12</f>
        <v/>
      </c>
      <c r="AM6" s="459">
        <f>'_Engine_NR'!F68/12</f>
        <v/>
      </c>
      <c r="AN6" s="459">
        <f>'_Engine_NR'!F69/12</f>
        <v/>
      </c>
      <c r="AO6" s="459">
        <f>'_Engine_NR'!F70/12</f>
        <v/>
      </c>
      <c r="AP6" s="459">
        <f>'_Engine_NR'!F71/12</f>
        <v/>
      </c>
      <c r="AQ6" s="459">
        <f>'_Engine_NR'!F72/12</f>
        <v/>
      </c>
      <c r="AR6" s="459">
        <f>'_Engine_NR'!F73/12</f>
        <v/>
      </c>
      <c r="AS6" s="459">
        <f>'_Engine_NR'!F74/12</f>
        <v/>
      </c>
      <c r="AT6" s="459">
        <f>'_Engine_NR'!F75/12</f>
        <v/>
      </c>
      <c r="AU6" s="459">
        <f>'_Engine_NR'!F76/12</f>
        <v/>
      </c>
      <c r="AV6" s="459">
        <f>'_Engine_NR'!F77/12</f>
        <v/>
      </c>
      <c r="AW6" s="459">
        <f>'_Engine_NR'!F78/12</f>
        <v/>
      </c>
      <c r="AX6" s="458">
        <f>'_Engine_NR'!F79/12</f>
        <v/>
      </c>
      <c r="AY6" s="458">
        <f>'_Engine_NR'!F80/12</f>
        <v/>
      </c>
      <c r="AZ6" s="458">
        <f>'_Engine_NR'!F81/12</f>
        <v/>
      </c>
      <c r="BA6" s="458">
        <f>'_Engine_NR'!F82/12</f>
        <v/>
      </c>
      <c r="BB6" s="458">
        <f>'_Engine_NR'!F83/12</f>
        <v/>
      </c>
      <c r="BC6" s="458">
        <f>'_Engine_NR'!F84/12</f>
        <v/>
      </c>
      <c r="BD6" s="458">
        <f>'_Engine_NR'!F85/12</f>
        <v/>
      </c>
      <c r="BE6" s="458">
        <f>'_Engine_NR'!F86/12</f>
        <v/>
      </c>
      <c r="BF6" s="458">
        <f>'_Engine_NR'!F87/12</f>
        <v/>
      </c>
      <c r="BG6" s="458">
        <f>'_Engine_NR'!F88/12</f>
        <v/>
      </c>
      <c r="BH6" s="458">
        <f>'_Engine_NR'!F89/12</f>
        <v/>
      </c>
      <c r="BI6" s="458">
        <f>'_Engine_NR'!F90/12</f>
        <v/>
      </c>
      <c r="BJ6" s="459">
        <f>'_Engine_NR'!F91/12</f>
        <v/>
      </c>
      <c r="BK6" s="459">
        <f>'_Engine_NR'!F92/12</f>
        <v/>
      </c>
      <c r="BL6" s="459">
        <f>'_Engine_NR'!F93/12</f>
        <v/>
      </c>
      <c r="BM6" s="459">
        <f>'_Engine_NR'!F94/12</f>
        <v/>
      </c>
      <c r="BN6" s="459">
        <f>'_Engine_NR'!F95/12</f>
        <v/>
      </c>
      <c r="BO6" s="459">
        <f>'_Engine_NR'!F96/12</f>
        <v/>
      </c>
      <c r="BP6" s="459">
        <f>'_Engine_NR'!F97/12</f>
        <v/>
      </c>
      <c r="BQ6" s="459">
        <f>'_Engine_NR'!F98/12</f>
        <v/>
      </c>
      <c r="BR6" s="459">
        <f>'_Engine_NR'!F99/12</f>
        <v/>
      </c>
      <c r="BS6" s="459">
        <f>'_Engine_NR'!F100/12</f>
        <v/>
      </c>
      <c r="BT6" s="459">
        <f>'_Engine_NR'!F101/12</f>
        <v/>
      </c>
      <c r="BU6" s="459">
        <f>'_Engine_NR'!F102/12</f>
        <v/>
      </c>
      <c r="BV6" s="458">
        <f>'_Engine_NR'!F103/12</f>
        <v/>
      </c>
      <c r="BW6" s="458">
        <f>'_Engine_NR'!F104/12</f>
        <v/>
      </c>
      <c r="BX6" s="458">
        <f>'_Engine_NR'!F105/12</f>
        <v/>
      </c>
      <c r="BY6" s="458">
        <f>'_Engine_NR'!F106/12</f>
        <v/>
      </c>
      <c r="BZ6" s="458">
        <f>'_Engine_NR'!F107/12</f>
        <v/>
      </c>
      <c r="CA6" s="458">
        <f>'_Engine_NR'!F108/12</f>
        <v/>
      </c>
      <c r="CB6" s="458">
        <f>'_Engine_NR'!F109/12</f>
        <v/>
      </c>
      <c r="CC6" s="458">
        <f>'_Engine_NR'!F110/12</f>
        <v/>
      </c>
      <c r="CD6" s="458">
        <f>'_Engine_NR'!F111/12</f>
        <v/>
      </c>
      <c r="CE6" s="458">
        <f>'_Engine_NR'!F112/12</f>
        <v/>
      </c>
      <c r="CF6" s="458">
        <f>'_Engine_NR'!F113/12</f>
        <v/>
      </c>
      <c r="CG6" s="458">
        <f>'_Engine_NR'!F114/12</f>
        <v/>
      </c>
      <c r="CH6" s="459">
        <f>'_Engine_NR'!F115/12</f>
        <v/>
      </c>
      <c r="CI6" s="459">
        <f>'_Engine_NR'!F116/12</f>
        <v/>
      </c>
      <c r="CJ6" s="459">
        <f>'_Engine_NR'!F117/12</f>
        <v/>
      </c>
      <c r="CK6" s="459">
        <f>'_Engine_NR'!F118/12</f>
        <v/>
      </c>
      <c r="CL6" s="459">
        <f>'_Engine_NR'!F119/12</f>
        <v/>
      </c>
      <c r="CM6" s="459">
        <f>'_Engine_NR'!F120/12</f>
        <v/>
      </c>
      <c r="CN6" s="459">
        <f>'_Engine_NR'!F121/12</f>
        <v/>
      </c>
      <c r="CO6" s="459">
        <f>'_Engine_NR'!F122/12</f>
        <v/>
      </c>
      <c r="CP6" s="459">
        <f>'_Engine_NR'!F123/12</f>
        <v/>
      </c>
      <c r="CQ6" s="459">
        <f>'_Engine_NR'!F124/12</f>
        <v/>
      </c>
      <c r="CR6" s="459">
        <f>'_Engine_NR'!F125/12</f>
        <v/>
      </c>
      <c r="CS6" s="459">
        <f>'_Engine_NR'!F126/12</f>
        <v/>
      </c>
      <c r="CT6" s="458">
        <f>'_Engine_NR'!F127/12</f>
        <v/>
      </c>
      <c r="CU6" s="458">
        <f>'_Engine_NR'!F128/12</f>
        <v/>
      </c>
      <c r="CV6" s="458">
        <f>'_Engine_NR'!F129/12</f>
        <v/>
      </c>
      <c r="CW6" s="458">
        <f>'_Engine_NR'!F130/12</f>
        <v/>
      </c>
      <c r="CX6" s="458">
        <f>'_Engine_NR'!F131/12</f>
        <v/>
      </c>
      <c r="CY6" s="458">
        <f>'_Engine_NR'!F132/12</f>
        <v/>
      </c>
      <c r="CZ6" s="458">
        <f>'_Engine_NR'!F133/12</f>
        <v/>
      </c>
      <c r="DA6" s="458">
        <f>'_Engine_NR'!F134/12</f>
        <v/>
      </c>
      <c r="DB6" s="458">
        <f>'_Engine_NR'!F135/12</f>
        <v/>
      </c>
      <c r="DC6" s="458">
        <f>'_Engine_NR'!F136/12</f>
        <v/>
      </c>
      <c r="DD6" s="458">
        <f>'_Engine_NR'!F137/12</f>
        <v/>
      </c>
      <c r="DE6" s="458">
        <f>'_Engine_NR'!F138/12</f>
        <v/>
      </c>
      <c r="DF6" s="459">
        <f>'_Engine_NR'!F139/12</f>
        <v/>
      </c>
      <c r="DG6" s="459">
        <f>'_Engine_NR'!F140/12</f>
        <v/>
      </c>
      <c r="DH6" s="459">
        <f>'_Engine_NR'!F141/12</f>
        <v/>
      </c>
      <c r="DI6" s="459">
        <f>'_Engine_NR'!F142/12</f>
        <v/>
      </c>
      <c r="DJ6" s="459">
        <f>'_Engine_NR'!F143/12</f>
        <v/>
      </c>
      <c r="DK6" s="459">
        <f>'_Engine_NR'!F144/12</f>
        <v/>
      </c>
      <c r="DL6" s="459">
        <f>'_Engine_NR'!F145/12</f>
        <v/>
      </c>
      <c r="DM6" s="459">
        <f>'_Engine_NR'!F146/12</f>
        <v/>
      </c>
      <c r="DN6" s="459">
        <f>'_Engine_NR'!F147/12</f>
        <v/>
      </c>
      <c r="DO6" s="459">
        <f>'_Engine_NR'!F148/12</f>
        <v/>
      </c>
      <c r="DP6" s="459">
        <f>'_Engine_NR'!F149/12</f>
        <v/>
      </c>
      <c r="DQ6" s="459">
        <f>'_Engine_NR'!F150/12</f>
        <v/>
      </c>
      <c r="DR6" s="458">
        <f>'_Engine_NR'!F151/12</f>
        <v/>
      </c>
      <c r="DS6" s="458">
        <f>'_Engine_NR'!F152/12</f>
        <v/>
      </c>
      <c r="DT6" s="458">
        <f>'_Engine_NR'!F153/12</f>
        <v/>
      </c>
      <c r="DU6" s="458">
        <f>'_Engine_NR'!F154/12</f>
        <v/>
      </c>
      <c r="DV6" s="458">
        <f>'_Engine_NR'!F155/12</f>
        <v/>
      </c>
      <c r="DW6" s="458">
        <f>'_Engine_NR'!F156/12</f>
        <v/>
      </c>
      <c r="DX6" s="458">
        <f>'_Engine_NR'!F157/12</f>
        <v/>
      </c>
      <c r="DY6" s="458">
        <f>'_Engine_NR'!F158/12</f>
        <v/>
      </c>
      <c r="DZ6" s="458">
        <f>'_Engine_NR'!F159/12</f>
        <v/>
      </c>
      <c r="EA6" s="458">
        <f>'_Engine_NR'!F160/12</f>
        <v/>
      </c>
      <c r="EB6" s="458">
        <f>'_Engine_NR'!F161/12</f>
        <v/>
      </c>
      <c r="EC6" s="458">
        <f>'_Engine_NR'!F162/12</f>
        <v/>
      </c>
      <c r="ED6" s="459">
        <f>'_Engine_NR'!F163/12</f>
        <v/>
      </c>
      <c r="EE6" s="459">
        <f>'_Engine_NR'!F164/12</f>
        <v/>
      </c>
      <c r="EF6" s="459">
        <f>'_Engine_NR'!F165/12</f>
        <v/>
      </c>
      <c r="EG6" s="459">
        <f>'_Engine_NR'!F166/12</f>
        <v/>
      </c>
      <c r="EH6" s="459">
        <f>'_Engine_NR'!F167/12</f>
        <v/>
      </c>
      <c r="EI6" s="459">
        <f>'_Engine_NR'!F168/12</f>
        <v/>
      </c>
      <c r="EJ6" s="459">
        <f>'_Engine_NR'!F169/12</f>
        <v/>
      </c>
      <c r="EK6" s="459">
        <f>'_Engine_NR'!F170/12</f>
        <v/>
      </c>
      <c r="EL6" s="459">
        <f>'_Engine_NR'!F171/12</f>
        <v/>
      </c>
      <c r="EM6" s="459">
        <f>'_Engine_NR'!F172/12</f>
        <v/>
      </c>
      <c r="EN6" s="459">
        <f>'_Engine_NR'!F173/12</f>
        <v/>
      </c>
      <c r="EO6" s="459">
        <f>'_Engine_NR'!F174/12</f>
        <v/>
      </c>
      <c r="EP6" s="458">
        <f>'_Engine_NR'!F175/12</f>
        <v/>
      </c>
      <c r="EQ6" s="458">
        <f>'_Engine_NR'!F176/12</f>
        <v/>
      </c>
      <c r="ER6" s="458">
        <f>'_Engine_NR'!F177/12</f>
        <v/>
      </c>
      <c r="ES6" s="458">
        <f>'_Engine_NR'!F178/12</f>
        <v/>
      </c>
      <c r="ET6" s="458">
        <f>'_Engine_NR'!F179/12</f>
        <v/>
      </c>
      <c r="EU6" s="458">
        <f>'_Engine_NR'!F180/12</f>
        <v/>
      </c>
      <c r="EV6" s="458">
        <f>'_Engine_NR'!F181/12</f>
        <v/>
      </c>
      <c r="EW6" s="458">
        <f>'_Engine_NR'!F182/12</f>
        <v/>
      </c>
      <c r="EX6" s="458">
        <f>'_Engine_NR'!F183/12</f>
        <v/>
      </c>
      <c r="EY6" s="458">
        <f>'_Engine_NR'!F184/12</f>
        <v/>
      </c>
      <c r="EZ6" s="458">
        <f>'_Engine_NR'!F185/12</f>
        <v/>
      </c>
      <c r="FA6" s="458">
        <f>'_Engine_NR'!F186/12</f>
        <v/>
      </c>
      <c r="FB6" s="459">
        <f>'_Engine_NR'!F187/12</f>
        <v/>
      </c>
      <c r="FC6" s="459">
        <f>'_Engine_NR'!F188/12</f>
        <v/>
      </c>
      <c r="FD6" s="459">
        <f>'_Engine_NR'!F189/12</f>
        <v/>
      </c>
      <c r="FE6" s="459">
        <f>'_Engine_NR'!F190/12</f>
        <v/>
      </c>
      <c r="FF6" s="459">
        <f>'_Engine_NR'!F191/12</f>
        <v/>
      </c>
      <c r="FG6" s="459">
        <f>'_Engine_NR'!F192/12</f>
        <v/>
      </c>
      <c r="FH6" s="459">
        <f>'_Engine_NR'!F193/12</f>
        <v/>
      </c>
      <c r="FI6" s="459">
        <f>'_Engine_NR'!F194/12</f>
        <v/>
      </c>
      <c r="FJ6" s="459">
        <f>'_Engine_NR'!F195/12</f>
        <v/>
      </c>
      <c r="FK6" s="459">
        <f>'_Engine_NR'!F196/12</f>
        <v/>
      </c>
      <c r="FL6" s="459">
        <f>'_Engine_NR'!F197/12</f>
        <v/>
      </c>
      <c r="FM6" s="459">
        <f>'_Engine_NR'!F198/12</f>
        <v/>
      </c>
      <c r="FN6" s="458">
        <f>'_Engine_NR'!F199/12</f>
        <v/>
      </c>
      <c r="FO6" s="458">
        <f>'_Engine_NR'!F200/12</f>
        <v/>
      </c>
      <c r="FP6" s="458">
        <f>'_Engine_NR'!F201/12</f>
        <v/>
      </c>
      <c r="FQ6" s="458">
        <f>'_Engine_NR'!F202/12</f>
        <v/>
      </c>
      <c r="FR6" s="458">
        <f>'_Engine_NR'!F203/12</f>
        <v/>
      </c>
      <c r="FS6" s="458">
        <f>'_Engine_NR'!F204/12</f>
        <v/>
      </c>
      <c r="FT6" s="458">
        <f>'_Engine_NR'!F205/12</f>
        <v/>
      </c>
      <c r="FU6" s="458">
        <f>'_Engine_NR'!F206/12</f>
        <v/>
      </c>
      <c r="FV6" s="458">
        <f>'_Engine_NR'!F207/12</f>
        <v/>
      </c>
      <c r="FW6" s="458">
        <f>'_Engine_NR'!F208/12</f>
        <v/>
      </c>
      <c r="FX6" s="458">
        <f>'_Engine_NR'!F209/12</f>
        <v/>
      </c>
      <c r="FY6" s="458">
        <f>'_Engine_NR'!F210/12</f>
        <v/>
      </c>
      <c r="FZ6" s="306" t="n"/>
    </row>
    <row r="7" ht="15" customHeight="1" s="307">
      <c r="A7" s="321" t="inlineStr">
        <is>
          <t xml:space="preserve">    Deal #2</t>
        </is>
      </c>
      <c r="B7" s="458">
        <f>'_Engine_NR'!G31/12</f>
        <v/>
      </c>
      <c r="C7" s="458">
        <f>'_Engine_NR'!G32/12</f>
        <v/>
      </c>
      <c r="D7" s="458">
        <f>'_Engine_NR'!G33/12</f>
        <v/>
      </c>
      <c r="E7" s="458">
        <f>'_Engine_NR'!G34/12</f>
        <v/>
      </c>
      <c r="F7" s="458">
        <f>'_Engine_NR'!G35/12</f>
        <v/>
      </c>
      <c r="G7" s="458">
        <f>'_Engine_NR'!G36/12</f>
        <v/>
      </c>
      <c r="H7" s="458">
        <f>'_Engine_NR'!G37/12</f>
        <v/>
      </c>
      <c r="I7" s="458">
        <f>'_Engine_NR'!G38/12</f>
        <v/>
      </c>
      <c r="J7" s="458">
        <f>'_Engine_NR'!G39/12</f>
        <v/>
      </c>
      <c r="K7" s="458">
        <f>'_Engine_NR'!G40/12</f>
        <v/>
      </c>
      <c r="L7" s="458">
        <f>'_Engine_NR'!G41/12</f>
        <v/>
      </c>
      <c r="M7" s="458">
        <f>'_Engine_NR'!G42/12</f>
        <v/>
      </c>
      <c r="N7" s="459">
        <f>'_Engine_NR'!G43/12</f>
        <v/>
      </c>
      <c r="O7" s="459">
        <f>'_Engine_NR'!G44/12</f>
        <v/>
      </c>
      <c r="P7" s="459">
        <f>'_Engine_NR'!G45/12</f>
        <v/>
      </c>
      <c r="Q7" s="459">
        <f>'_Engine_NR'!G46/12</f>
        <v/>
      </c>
      <c r="R7" s="459">
        <f>'_Engine_NR'!G47/12</f>
        <v/>
      </c>
      <c r="S7" s="459">
        <f>'_Engine_NR'!G48/12</f>
        <v/>
      </c>
      <c r="T7" s="459">
        <f>'_Engine_NR'!G49/12</f>
        <v/>
      </c>
      <c r="U7" s="459">
        <f>'_Engine_NR'!G50/12</f>
        <v/>
      </c>
      <c r="V7" s="459">
        <f>'_Engine_NR'!G51/12</f>
        <v/>
      </c>
      <c r="W7" s="459">
        <f>'_Engine_NR'!G52/12</f>
        <v/>
      </c>
      <c r="X7" s="459">
        <f>'_Engine_NR'!G53/12</f>
        <v/>
      </c>
      <c r="Y7" s="459">
        <f>'_Engine_NR'!G54/12</f>
        <v/>
      </c>
      <c r="Z7" s="458">
        <f>'_Engine_NR'!G55/12</f>
        <v/>
      </c>
      <c r="AA7" s="458">
        <f>'_Engine_NR'!G56/12</f>
        <v/>
      </c>
      <c r="AB7" s="458">
        <f>'_Engine_NR'!G57/12</f>
        <v/>
      </c>
      <c r="AC7" s="458">
        <f>'_Engine_NR'!G58/12</f>
        <v/>
      </c>
      <c r="AD7" s="458">
        <f>'_Engine_NR'!G59/12</f>
        <v/>
      </c>
      <c r="AE7" s="458">
        <f>'_Engine_NR'!G60/12</f>
        <v/>
      </c>
      <c r="AF7" s="458">
        <f>'_Engine_NR'!G61/12</f>
        <v/>
      </c>
      <c r="AG7" s="458">
        <f>'_Engine_NR'!G62/12</f>
        <v/>
      </c>
      <c r="AH7" s="458">
        <f>'_Engine_NR'!G63/12</f>
        <v/>
      </c>
      <c r="AI7" s="458">
        <f>'_Engine_NR'!G64/12</f>
        <v/>
      </c>
      <c r="AJ7" s="458">
        <f>'_Engine_NR'!G65/12</f>
        <v/>
      </c>
      <c r="AK7" s="458">
        <f>'_Engine_NR'!G66/12</f>
        <v/>
      </c>
      <c r="AL7" s="459">
        <f>'_Engine_NR'!G67/12</f>
        <v/>
      </c>
      <c r="AM7" s="459">
        <f>'_Engine_NR'!G68/12</f>
        <v/>
      </c>
      <c r="AN7" s="459">
        <f>'_Engine_NR'!G69/12</f>
        <v/>
      </c>
      <c r="AO7" s="459">
        <f>'_Engine_NR'!G70/12</f>
        <v/>
      </c>
      <c r="AP7" s="459">
        <f>'_Engine_NR'!G71/12</f>
        <v/>
      </c>
      <c r="AQ7" s="459">
        <f>'_Engine_NR'!G72/12</f>
        <v/>
      </c>
      <c r="AR7" s="459">
        <f>'_Engine_NR'!G73/12</f>
        <v/>
      </c>
      <c r="AS7" s="459">
        <f>'_Engine_NR'!G74/12</f>
        <v/>
      </c>
      <c r="AT7" s="459">
        <f>'_Engine_NR'!G75/12</f>
        <v/>
      </c>
      <c r="AU7" s="459">
        <f>'_Engine_NR'!G76/12</f>
        <v/>
      </c>
      <c r="AV7" s="459">
        <f>'_Engine_NR'!G77/12</f>
        <v/>
      </c>
      <c r="AW7" s="459">
        <f>'_Engine_NR'!G78/12</f>
        <v/>
      </c>
      <c r="AX7" s="458">
        <f>'_Engine_NR'!G79/12</f>
        <v/>
      </c>
      <c r="AY7" s="458">
        <f>'_Engine_NR'!G80/12</f>
        <v/>
      </c>
      <c r="AZ7" s="458">
        <f>'_Engine_NR'!G81/12</f>
        <v/>
      </c>
      <c r="BA7" s="458">
        <f>'_Engine_NR'!G82/12</f>
        <v/>
      </c>
      <c r="BB7" s="458">
        <f>'_Engine_NR'!G83/12</f>
        <v/>
      </c>
      <c r="BC7" s="458">
        <f>'_Engine_NR'!G84/12</f>
        <v/>
      </c>
      <c r="BD7" s="458">
        <f>'_Engine_NR'!G85/12</f>
        <v/>
      </c>
      <c r="BE7" s="458">
        <f>'_Engine_NR'!G86/12</f>
        <v/>
      </c>
      <c r="BF7" s="458">
        <f>'_Engine_NR'!G87/12</f>
        <v/>
      </c>
      <c r="BG7" s="458">
        <f>'_Engine_NR'!G88/12</f>
        <v/>
      </c>
      <c r="BH7" s="458">
        <f>'_Engine_NR'!G89/12</f>
        <v/>
      </c>
      <c r="BI7" s="458">
        <f>'_Engine_NR'!G90/12</f>
        <v/>
      </c>
      <c r="BJ7" s="459">
        <f>'_Engine_NR'!G91/12</f>
        <v/>
      </c>
      <c r="BK7" s="459">
        <f>'_Engine_NR'!G92/12</f>
        <v/>
      </c>
      <c r="BL7" s="459">
        <f>'_Engine_NR'!G93/12</f>
        <v/>
      </c>
      <c r="BM7" s="459">
        <f>'_Engine_NR'!G94/12</f>
        <v/>
      </c>
      <c r="BN7" s="459">
        <f>'_Engine_NR'!G95/12</f>
        <v/>
      </c>
      <c r="BO7" s="459">
        <f>'_Engine_NR'!G96/12</f>
        <v/>
      </c>
      <c r="BP7" s="459">
        <f>'_Engine_NR'!G97/12</f>
        <v/>
      </c>
      <c r="BQ7" s="459">
        <f>'_Engine_NR'!G98/12</f>
        <v/>
      </c>
      <c r="BR7" s="459">
        <f>'_Engine_NR'!G99/12</f>
        <v/>
      </c>
      <c r="BS7" s="459">
        <f>'_Engine_NR'!G100/12</f>
        <v/>
      </c>
      <c r="BT7" s="459">
        <f>'_Engine_NR'!G101/12</f>
        <v/>
      </c>
      <c r="BU7" s="459">
        <f>'_Engine_NR'!G102/12</f>
        <v/>
      </c>
      <c r="BV7" s="458">
        <f>'_Engine_NR'!G103/12</f>
        <v/>
      </c>
      <c r="BW7" s="458">
        <f>'_Engine_NR'!G104/12</f>
        <v/>
      </c>
      <c r="BX7" s="458">
        <f>'_Engine_NR'!G105/12</f>
        <v/>
      </c>
      <c r="BY7" s="458">
        <f>'_Engine_NR'!G106/12</f>
        <v/>
      </c>
      <c r="BZ7" s="458">
        <f>'_Engine_NR'!G107/12</f>
        <v/>
      </c>
      <c r="CA7" s="458">
        <f>'_Engine_NR'!G108/12</f>
        <v/>
      </c>
      <c r="CB7" s="458">
        <f>'_Engine_NR'!G109/12</f>
        <v/>
      </c>
      <c r="CC7" s="458">
        <f>'_Engine_NR'!G110/12</f>
        <v/>
      </c>
      <c r="CD7" s="458">
        <f>'_Engine_NR'!G111/12</f>
        <v/>
      </c>
      <c r="CE7" s="458">
        <f>'_Engine_NR'!G112/12</f>
        <v/>
      </c>
      <c r="CF7" s="458">
        <f>'_Engine_NR'!G113/12</f>
        <v/>
      </c>
      <c r="CG7" s="458">
        <f>'_Engine_NR'!G114/12</f>
        <v/>
      </c>
      <c r="CH7" s="459">
        <f>'_Engine_NR'!G115/12</f>
        <v/>
      </c>
      <c r="CI7" s="459">
        <f>'_Engine_NR'!G116/12</f>
        <v/>
      </c>
      <c r="CJ7" s="459">
        <f>'_Engine_NR'!G117/12</f>
        <v/>
      </c>
      <c r="CK7" s="459">
        <f>'_Engine_NR'!G118/12</f>
        <v/>
      </c>
      <c r="CL7" s="459">
        <f>'_Engine_NR'!G119/12</f>
        <v/>
      </c>
      <c r="CM7" s="459">
        <f>'_Engine_NR'!G120/12</f>
        <v/>
      </c>
      <c r="CN7" s="459">
        <f>'_Engine_NR'!G121/12</f>
        <v/>
      </c>
      <c r="CO7" s="459">
        <f>'_Engine_NR'!G122/12</f>
        <v/>
      </c>
      <c r="CP7" s="459">
        <f>'_Engine_NR'!G123/12</f>
        <v/>
      </c>
      <c r="CQ7" s="459">
        <f>'_Engine_NR'!G124/12</f>
        <v/>
      </c>
      <c r="CR7" s="459">
        <f>'_Engine_NR'!G125/12</f>
        <v/>
      </c>
      <c r="CS7" s="459">
        <f>'_Engine_NR'!G126/12</f>
        <v/>
      </c>
      <c r="CT7" s="458">
        <f>'_Engine_NR'!G127/12</f>
        <v/>
      </c>
      <c r="CU7" s="458">
        <f>'_Engine_NR'!G128/12</f>
        <v/>
      </c>
      <c r="CV7" s="458">
        <f>'_Engine_NR'!G129/12</f>
        <v/>
      </c>
      <c r="CW7" s="458">
        <f>'_Engine_NR'!G130/12</f>
        <v/>
      </c>
      <c r="CX7" s="458">
        <f>'_Engine_NR'!G131/12</f>
        <v/>
      </c>
      <c r="CY7" s="458">
        <f>'_Engine_NR'!G132/12</f>
        <v/>
      </c>
      <c r="CZ7" s="458">
        <f>'_Engine_NR'!G133/12</f>
        <v/>
      </c>
      <c r="DA7" s="458">
        <f>'_Engine_NR'!G134/12</f>
        <v/>
      </c>
      <c r="DB7" s="458">
        <f>'_Engine_NR'!G135/12</f>
        <v/>
      </c>
      <c r="DC7" s="458">
        <f>'_Engine_NR'!G136/12</f>
        <v/>
      </c>
      <c r="DD7" s="458">
        <f>'_Engine_NR'!G137/12</f>
        <v/>
      </c>
      <c r="DE7" s="458">
        <f>'_Engine_NR'!G138/12</f>
        <v/>
      </c>
      <c r="DF7" s="459">
        <f>'_Engine_NR'!G139/12</f>
        <v/>
      </c>
      <c r="DG7" s="459">
        <f>'_Engine_NR'!G140/12</f>
        <v/>
      </c>
      <c r="DH7" s="459">
        <f>'_Engine_NR'!G141/12</f>
        <v/>
      </c>
      <c r="DI7" s="459">
        <f>'_Engine_NR'!G142/12</f>
        <v/>
      </c>
      <c r="DJ7" s="459">
        <f>'_Engine_NR'!G143/12</f>
        <v/>
      </c>
      <c r="DK7" s="459">
        <f>'_Engine_NR'!G144/12</f>
        <v/>
      </c>
      <c r="DL7" s="459">
        <f>'_Engine_NR'!G145/12</f>
        <v/>
      </c>
      <c r="DM7" s="459">
        <f>'_Engine_NR'!G146/12</f>
        <v/>
      </c>
      <c r="DN7" s="459">
        <f>'_Engine_NR'!G147/12</f>
        <v/>
      </c>
      <c r="DO7" s="459">
        <f>'_Engine_NR'!G148/12</f>
        <v/>
      </c>
      <c r="DP7" s="459">
        <f>'_Engine_NR'!G149/12</f>
        <v/>
      </c>
      <c r="DQ7" s="459">
        <f>'_Engine_NR'!G150/12</f>
        <v/>
      </c>
      <c r="DR7" s="458">
        <f>'_Engine_NR'!G151/12</f>
        <v/>
      </c>
      <c r="DS7" s="458">
        <f>'_Engine_NR'!G152/12</f>
        <v/>
      </c>
      <c r="DT7" s="458">
        <f>'_Engine_NR'!G153/12</f>
        <v/>
      </c>
      <c r="DU7" s="458">
        <f>'_Engine_NR'!G154/12</f>
        <v/>
      </c>
      <c r="DV7" s="458">
        <f>'_Engine_NR'!G155/12</f>
        <v/>
      </c>
      <c r="DW7" s="458">
        <f>'_Engine_NR'!G156/12</f>
        <v/>
      </c>
      <c r="DX7" s="458">
        <f>'_Engine_NR'!G157/12</f>
        <v/>
      </c>
      <c r="DY7" s="458">
        <f>'_Engine_NR'!G158/12</f>
        <v/>
      </c>
      <c r="DZ7" s="458">
        <f>'_Engine_NR'!G159/12</f>
        <v/>
      </c>
      <c r="EA7" s="458">
        <f>'_Engine_NR'!G160/12</f>
        <v/>
      </c>
      <c r="EB7" s="458">
        <f>'_Engine_NR'!G161/12</f>
        <v/>
      </c>
      <c r="EC7" s="458">
        <f>'_Engine_NR'!G162/12</f>
        <v/>
      </c>
      <c r="ED7" s="459">
        <f>'_Engine_NR'!G163/12</f>
        <v/>
      </c>
      <c r="EE7" s="459">
        <f>'_Engine_NR'!G164/12</f>
        <v/>
      </c>
      <c r="EF7" s="459">
        <f>'_Engine_NR'!G165/12</f>
        <v/>
      </c>
      <c r="EG7" s="459">
        <f>'_Engine_NR'!G166/12</f>
        <v/>
      </c>
      <c r="EH7" s="459">
        <f>'_Engine_NR'!G167/12</f>
        <v/>
      </c>
      <c r="EI7" s="459">
        <f>'_Engine_NR'!G168/12</f>
        <v/>
      </c>
      <c r="EJ7" s="459">
        <f>'_Engine_NR'!G169/12</f>
        <v/>
      </c>
      <c r="EK7" s="459">
        <f>'_Engine_NR'!G170/12</f>
        <v/>
      </c>
      <c r="EL7" s="459">
        <f>'_Engine_NR'!G171/12</f>
        <v/>
      </c>
      <c r="EM7" s="459">
        <f>'_Engine_NR'!G172/12</f>
        <v/>
      </c>
      <c r="EN7" s="459">
        <f>'_Engine_NR'!G173/12</f>
        <v/>
      </c>
      <c r="EO7" s="459">
        <f>'_Engine_NR'!G174/12</f>
        <v/>
      </c>
      <c r="EP7" s="458">
        <f>'_Engine_NR'!G175/12</f>
        <v/>
      </c>
      <c r="EQ7" s="458">
        <f>'_Engine_NR'!G176/12</f>
        <v/>
      </c>
      <c r="ER7" s="458">
        <f>'_Engine_NR'!G177/12</f>
        <v/>
      </c>
      <c r="ES7" s="458">
        <f>'_Engine_NR'!G178/12</f>
        <v/>
      </c>
      <c r="ET7" s="458">
        <f>'_Engine_NR'!G179/12</f>
        <v/>
      </c>
      <c r="EU7" s="458">
        <f>'_Engine_NR'!G180/12</f>
        <v/>
      </c>
      <c r="EV7" s="458">
        <f>'_Engine_NR'!G181/12</f>
        <v/>
      </c>
      <c r="EW7" s="458">
        <f>'_Engine_NR'!G182/12</f>
        <v/>
      </c>
      <c r="EX7" s="458">
        <f>'_Engine_NR'!G183/12</f>
        <v/>
      </c>
      <c r="EY7" s="458">
        <f>'_Engine_NR'!G184/12</f>
        <v/>
      </c>
      <c r="EZ7" s="458">
        <f>'_Engine_NR'!G185/12</f>
        <v/>
      </c>
      <c r="FA7" s="458">
        <f>'_Engine_NR'!G186/12</f>
        <v/>
      </c>
      <c r="FB7" s="459">
        <f>'_Engine_NR'!G187/12</f>
        <v/>
      </c>
      <c r="FC7" s="459">
        <f>'_Engine_NR'!G188/12</f>
        <v/>
      </c>
      <c r="FD7" s="459">
        <f>'_Engine_NR'!G189/12</f>
        <v/>
      </c>
      <c r="FE7" s="459">
        <f>'_Engine_NR'!G190/12</f>
        <v/>
      </c>
      <c r="FF7" s="459">
        <f>'_Engine_NR'!G191/12</f>
        <v/>
      </c>
      <c r="FG7" s="459">
        <f>'_Engine_NR'!G192/12</f>
        <v/>
      </c>
      <c r="FH7" s="459">
        <f>'_Engine_NR'!G193/12</f>
        <v/>
      </c>
      <c r="FI7" s="459">
        <f>'_Engine_NR'!G194/12</f>
        <v/>
      </c>
      <c r="FJ7" s="459">
        <f>'_Engine_NR'!G195/12</f>
        <v/>
      </c>
      <c r="FK7" s="459">
        <f>'_Engine_NR'!G196/12</f>
        <v/>
      </c>
      <c r="FL7" s="459">
        <f>'_Engine_NR'!G197/12</f>
        <v/>
      </c>
      <c r="FM7" s="459">
        <f>'_Engine_NR'!G198/12</f>
        <v/>
      </c>
      <c r="FN7" s="458">
        <f>'_Engine_NR'!G199/12</f>
        <v/>
      </c>
      <c r="FO7" s="458">
        <f>'_Engine_NR'!G200/12</f>
        <v/>
      </c>
      <c r="FP7" s="458">
        <f>'_Engine_NR'!G201/12</f>
        <v/>
      </c>
      <c r="FQ7" s="458">
        <f>'_Engine_NR'!G202/12</f>
        <v/>
      </c>
      <c r="FR7" s="458">
        <f>'_Engine_NR'!G203/12</f>
        <v/>
      </c>
      <c r="FS7" s="458">
        <f>'_Engine_NR'!G204/12</f>
        <v/>
      </c>
      <c r="FT7" s="458">
        <f>'_Engine_NR'!G205/12</f>
        <v/>
      </c>
      <c r="FU7" s="458">
        <f>'_Engine_NR'!G206/12</f>
        <v/>
      </c>
      <c r="FV7" s="458">
        <f>'_Engine_NR'!G207/12</f>
        <v/>
      </c>
      <c r="FW7" s="458">
        <f>'_Engine_NR'!G208/12</f>
        <v/>
      </c>
      <c r="FX7" s="458">
        <f>'_Engine_NR'!G209/12</f>
        <v/>
      </c>
      <c r="FY7" s="458">
        <f>'_Engine_NR'!G210/12</f>
        <v/>
      </c>
      <c r="FZ7" s="306" t="n"/>
    </row>
    <row r="8" ht="15" customHeight="1" s="307">
      <c r="A8" s="321" t="inlineStr">
        <is>
          <t xml:space="preserve">    Deal #3</t>
        </is>
      </c>
      <c r="B8" s="458">
        <f>'_Engine_NR'!H31/12</f>
        <v/>
      </c>
      <c r="C8" s="458">
        <f>'_Engine_NR'!H32/12</f>
        <v/>
      </c>
      <c r="D8" s="458">
        <f>'_Engine_NR'!H33/12</f>
        <v/>
      </c>
      <c r="E8" s="458">
        <f>'_Engine_NR'!H34/12</f>
        <v/>
      </c>
      <c r="F8" s="458">
        <f>'_Engine_NR'!H35/12</f>
        <v/>
      </c>
      <c r="G8" s="458">
        <f>'_Engine_NR'!H36/12</f>
        <v/>
      </c>
      <c r="H8" s="458">
        <f>'_Engine_NR'!H37/12</f>
        <v/>
      </c>
      <c r="I8" s="458">
        <f>'_Engine_NR'!H38/12</f>
        <v/>
      </c>
      <c r="J8" s="458">
        <f>'_Engine_NR'!H39/12</f>
        <v/>
      </c>
      <c r="K8" s="458">
        <f>'_Engine_NR'!H40/12</f>
        <v/>
      </c>
      <c r="L8" s="458">
        <f>'_Engine_NR'!H41/12</f>
        <v/>
      </c>
      <c r="M8" s="458">
        <f>'_Engine_NR'!H42/12</f>
        <v/>
      </c>
      <c r="N8" s="459">
        <f>'_Engine_NR'!H43/12</f>
        <v/>
      </c>
      <c r="O8" s="459">
        <f>'_Engine_NR'!H44/12</f>
        <v/>
      </c>
      <c r="P8" s="459">
        <f>'_Engine_NR'!H45/12</f>
        <v/>
      </c>
      <c r="Q8" s="459">
        <f>'_Engine_NR'!H46/12</f>
        <v/>
      </c>
      <c r="R8" s="459">
        <f>'_Engine_NR'!H47/12</f>
        <v/>
      </c>
      <c r="S8" s="459">
        <f>'_Engine_NR'!H48/12</f>
        <v/>
      </c>
      <c r="T8" s="459">
        <f>'_Engine_NR'!H49/12</f>
        <v/>
      </c>
      <c r="U8" s="459">
        <f>'_Engine_NR'!H50/12</f>
        <v/>
      </c>
      <c r="V8" s="459">
        <f>'_Engine_NR'!H51/12</f>
        <v/>
      </c>
      <c r="W8" s="459">
        <f>'_Engine_NR'!H52/12</f>
        <v/>
      </c>
      <c r="X8" s="459">
        <f>'_Engine_NR'!H53/12</f>
        <v/>
      </c>
      <c r="Y8" s="459">
        <f>'_Engine_NR'!H54/12</f>
        <v/>
      </c>
      <c r="Z8" s="458">
        <f>'_Engine_NR'!H55/12</f>
        <v/>
      </c>
      <c r="AA8" s="458">
        <f>'_Engine_NR'!H56/12</f>
        <v/>
      </c>
      <c r="AB8" s="458">
        <f>'_Engine_NR'!H57/12</f>
        <v/>
      </c>
      <c r="AC8" s="458">
        <f>'_Engine_NR'!H58/12</f>
        <v/>
      </c>
      <c r="AD8" s="458">
        <f>'_Engine_NR'!H59/12</f>
        <v/>
      </c>
      <c r="AE8" s="458">
        <f>'_Engine_NR'!H60/12</f>
        <v/>
      </c>
      <c r="AF8" s="458">
        <f>'_Engine_NR'!H61/12</f>
        <v/>
      </c>
      <c r="AG8" s="458">
        <f>'_Engine_NR'!H62/12</f>
        <v/>
      </c>
      <c r="AH8" s="458">
        <f>'_Engine_NR'!H63/12</f>
        <v/>
      </c>
      <c r="AI8" s="458">
        <f>'_Engine_NR'!H64/12</f>
        <v/>
      </c>
      <c r="AJ8" s="458">
        <f>'_Engine_NR'!H65/12</f>
        <v/>
      </c>
      <c r="AK8" s="458">
        <f>'_Engine_NR'!H66/12</f>
        <v/>
      </c>
      <c r="AL8" s="459">
        <f>'_Engine_NR'!H67/12</f>
        <v/>
      </c>
      <c r="AM8" s="459">
        <f>'_Engine_NR'!H68/12</f>
        <v/>
      </c>
      <c r="AN8" s="459">
        <f>'_Engine_NR'!H69/12</f>
        <v/>
      </c>
      <c r="AO8" s="459">
        <f>'_Engine_NR'!H70/12</f>
        <v/>
      </c>
      <c r="AP8" s="459">
        <f>'_Engine_NR'!H71/12</f>
        <v/>
      </c>
      <c r="AQ8" s="459">
        <f>'_Engine_NR'!H72/12</f>
        <v/>
      </c>
      <c r="AR8" s="459">
        <f>'_Engine_NR'!H73/12</f>
        <v/>
      </c>
      <c r="AS8" s="459">
        <f>'_Engine_NR'!H74/12</f>
        <v/>
      </c>
      <c r="AT8" s="459">
        <f>'_Engine_NR'!H75/12</f>
        <v/>
      </c>
      <c r="AU8" s="459">
        <f>'_Engine_NR'!H76/12</f>
        <v/>
      </c>
      <c r="AV8" s="459">
        <f>'_Engine_NR'!H77/12</f>
        <v/>
      </c>
      <c r="AW8" s="459">
        <f>'_Engine_NR'!H78/12</f>
        <v/>
      </c>
      <c r="AX8" s="458">
        <f>'_Engine_NR'!H79/12</f>
        <v/>
      </c>
      <c r="AY8" s="458">
        <f>'_Engine_NR'!H80/12</f>
        <v/>
      </c>
      <c r="AZ8" s="458">
        <f>'_Engine_NR'!H81/12</f>
        <v/>
      </c>
      <c r="BA8" s="458">
        <f>'_Engine_NR'!H82/12</f>
        <v/>
      </c>
      <c r="BB8" s="458">
        <f>'_Engine_NR'!H83/12</f>
        <v/>
      </c>
      <c r="BC8" s="458">
        <f>'_Engine_NR'!H84/12</f>
        <v/>
      </c>
      <c r="BD8" s="458">
        <f>'_Engine_NR'!H85/12</f>
        <v/>
      </c>
      <c r="BE8" s="458">
        <f>'_Engine_NR'!H86/12</f>
        <v/>
      </c>
      <c r="BF8" s="458">
        <f>'_Engine_NR'!H87/12</f>
        <v/>
      </c>
      <c r="BG8" s="458">
        <f>'_Engine_NR'!H88/12</f>
        <v/>
      </c>
      <c r="BH8" s="458">
        <f>'_Engine_NR'!H89/12</f>
        <v/>
      </c>
      <c r="BI8" s="458">
        <f>'_Engine_NR'!H90/12</f>
        <v/>
      </c>
      <c r="BJ8" s="459">
        <f>'_Engine_NR'!H91/12</f>
        <v/>
      </c>
      <c r="BK8" s="459">
        <f>'_Engine_NR'!H92/12</f>
        <v/>
      </c>
      <c r="BL8" s="459">
        <f>'_Engine_NR'!H93/12</f>
        <v/>
      </c>
      <c r="BM8" s="459">
        <f>'_Engine_NR'!H94/12</f>
        <v/>
      </c>
      <c r="BN8" s="459">
        <f>'_Engine_NR'!H95/12</f>
        <v/>
      </c>
      <c r="BO8" s="459">
        <f>'_Engine_NR'!H96/12</f>
        <v/>
      </c>
      <c r="BP8" s="459">
        <f>'_Engine_NR'!H97/12</f>
        <v/>
      </c>
      <c r="BQ8" s="459">
        <f>'_Engine_NR'!H98/12</f>
        <v/>
      </c>
      <c r="BR8" s="459">
        <f>'_Engine_NR'!H99/12</f>
        <v/>
      </c>
      <c r="BS8" s="459">
        <f>'_Engine_NR'!H100/12</f>
        <v/>
      </c>
      <c r="BT8" s="459">
        <f>'_Engine_NR'!H101/12</f>
        <v/>
      </c>
      <c r="BU8" s="459">
        <f>'_Engine_NR'!H102/12</f>
        <v/>
      </c>
      <c r="BV8" s="458">
        <f>'_Engine_NR'!H103/12</f>
        <v/>
      </c>
      <c r="BW8" s="458">
        <f>'_Engine_NR'!H104/12</f>
        <v/>
      </c>
      <c r="BX8" s="458">
        <f>'_Engine_NR'!H105/12</f>
        <v/>
      </c>
      <c r="BY8" s="458">
        <f>'_Engine_NR'!H106/12</f>
        <v/>
      </c>
      <c r="BZ8" s="458">
        <f>'_Engine_NR'!H107/12</f>
        <v/>
      </c>
      <c r="CA8" s="458">
        <f>'_Engine_NR'!H108/12</f>
        <v/>
      </c>
      <c r="CB8" s="458">
        <f>'_Engine_NR'!H109/12</f>
        <v/>
      </c>
      <c r="CC8" s="458">
        <f>'_Engine_NR'!H110/12</f>
        <v/>
      </c>
      <c r="CD8" s="458">
        <f>'_Engine_NR'!H111/12</f>
        <v/>
      </c>
      <c r="CE8" s="458">
        <f>'_Engine_NR'!H112/12</f>
        <v/>
      </c>
      <c r="CF8" s="458">
        <f>'_Engine_NR'!H113/12</f>
        <v/>
      </c>
      <c r="CG8" s="458">
        <f>'_Engine_NR'!H114/12</f>
        <v/>
      </c>
      <c r="CH8" s="459">
        <f>'_Engine_NR'!H115/12</f>
        <v/>
      </c>
      <c r="CI8" s="459">
        <f>'_Engine_NR'!H116/12</f>
        <v/>
      </c>
      <c r="CJ8" s="459">
        <f>'_Engine_NR'!H117/12</f>
        <v/>
      </c>
      <c r="CK8" s="459">
        <f>'_Engine_NR'!H118/12</f>
        <v/>
      </c>
      <c r="CL8" s="459">
        <f>'_Engine_NR'!H119/12</f>
        <v/>
      </c>
      <c r="CM8" s="459">
        <f>'_Engine_NR'!H120/12</f>
        <v/>
      </c>
      <c r="CN8" s="459">
        <f>'_Engine_NR'!H121/12</f>
        <v/>
      </c>
      <c r="CO8" s="459">
        <f>'_Engine_NR'!H122/12</f>
        <v/>
      </c>
      <c r="CP8" s="459">
        <f>'_Engine_NR'!H123/12</f>
        <v/>
      </c>
      <c r="CQ8" s="459">
        <f>'_Engine_NR'!H124/12</f>
        <v/>
      </c>
      <c r="CR8" s="459">
        <f>'_Engine_NR'!H125/12</f>
        <v/>
      </c>
      <c r="CS8" s="459">
        <f>'_Engine_NR'!H126/12</f>
        <v/>
      </c>
      <c r="CT8" s="458">
        <f>'_Engine_NR'!H127/12</f>
        <v/>
      </c>
      <c r="CU8" s="458">
        <f>'_Engine_NR'!H128/12</f>
        <v/>
      </c>
      <c r="CV8" s="458">
        <f>'_Engine_NR'!H129/12</f>
        <v/>
      </c>
      <c r="CW8" s="458">
        <f>'_Engine_NR'!H130/12</f>
        <v/>
      </c>
      <c r="CX8" s="458">
        <f>'_Engine_NR'!H131/12</f>
        <v/>
      </c>
      <c r="CY8" s="458">
        <f>'_Engine_NR'!H132/12</f>
        <v/>
      </c>
      <c r="CZ8" s="458">
        <f>'_Engine_NR'!H133/12</f>
        <v/>
      </c>
      <c r="DA8" s="458">
        <f>'_Engine_NR'!H134/12</f>
        <v/>
      </c>
      <c r="DB8" s="458">
        <f>'_Engine_NR'!H135/12</f>
        <v/>
      </c>
      <c r="DC8" s="458">
        <f>'_Engine_NR'!H136/12</f>
        <v/>
      </c>
      <c r="DD8" s="458">
        <f>'_Engine_NR'!H137/12</f>
        <v/>
      </c>
      <c r="DE8" s="458">
        <f>'_Engine_NR'!H138/12</f>
        <v/>
      </c>
      <c r="DF8" s="459">
        <f>'_Engine_NR'!H139/12</f>
        <v/>
      </c>
      <c r="DG8" s="459">
        <f>'_Engine_NR'!H140/12</f>
        <v/>
      </c>
      <c r="DH8" s="459">
        <f>'_Engine_NR'!H141/12</f>
        <v/>
      </c>
      <c r="DI8" s="459">
        <f>'_Engine_NR'!H142/12</f>
        <v/>
      </c>
      <c r="DJ8" s="459">
        <f>'_Engine_NR'!H143/12</f>
        <v/>
      </c>
      <c r="DK8" s="459">
        <f>'_Engine_NR'!H144/12</f>
        <v/>
      </c>
      <c r="DL8" s="459">
        <f>'_Engine_NR'!H145/12</f>
        <v/>
      </c>
      <c r="DM8" s="459">
        <f>'_Engine_NR'!H146/12</f>
        <v/>
      </c>
      <c r="DN8" s="459">
        <f>'_Engine_NR'!H147/12</f>
        <v/>
      </c>
      <c r="DO8" s="459">
        <f>'_Engine_NR'!H148/12</f>
        <v/>
      </c>
      <c r="DP8" s="459">
        <f>'_Engine_NR'!H149/12</f>
        <v/>
      </c>
      <c r="DQ8" s="459">
        <f>'_Engine_NR'!H150/12</f>
        <v/>
      </c>
      <c r="DR8" s="458">
        <f>'_Engine_NR'!H151/12</f>
        <v/>
      </c>
      <c r="DS8" s="458">
        <f>'_Engine_NR'!H152/12</f>
        <v/>
      </c>
      <c r="DT8" s="458">
        <f>'_Engine_NR'!H153/12</f>
        <v/>
      </c>
      <c r="DU8" s="458">
        <f>'_Engine_NR'!H154/12</f>
        <v/>
      </c>
      <c r="DV8" s="458">
        <f>'_Engine_NR'!H155/12</f>
        <v/>
      </c>
      <c r="DW8" s="458">
        <f>'_Engine_NR'!H156/12</f>
        <v/>
      </c>
      <c r="DX8" s="458">
        <f>'_Engine_NR'!H157/12</f>
        <v/>
      </c>
      <c r="DY8" s="458">
        <f>'_Engine_NR'!H158/12</f>
        <v/>
      </c>
      <c r="DZ8" s="458">
        <f>'_Engine_NR'!H159/12</f>
        <v/>
      </c>
      <c r="EA8" s="458">
        <f>'_Engine_NR'!H160/12</f>
        <v/>
      </c>
      <c r="EB8" s="458">
        <f>'_Engine_NR'!H161/12</f>
        <v/>
      </c>
      <c r="EC8" s="458">
        <f>'_Engine_NR'!H162/12</f>
        <v/>
      </c>
      <c r="ED8" s="459">
        <f>'_Engine_NR'!H163/12</f>
        <v/>
      </c>
      <c r="EE8" s="459">
        <f>'_Engine_NR'!H164/12</f>
        <v/>
      </c>
      <c r="EF8" s="459">
        <f>'_Engine_NR'!H165/12</f>
        <v/>
      </c>
      <c r="EG8" s="459">
        <f>'_Engine_NR'!H166/12</f>
        <v/>
      </c>
      <c r="EH8" s="459">
        <f>'_Engine_NR'!H167/12</f>
        <v/>
      </c>
      <c r="EI8" s="459">
        <f>'_Engine_NR'!H168/12</f>
        <v/>
      </c>
      <c r="EJ8" s="459">
        <f>'_Engine_NR'!H169/12</f>
        <v/>
      </c>
      <c r="EK8" s="459">
        <f>'_Engine_NR'!H170/12</f>
        <v/>
      </c>
      <c r="EL8" s="459">
        <f>'_Engine_NR'!H171/12</f>
        <v/>
      </c>
      <c r="EM8" s="459">
        <f>'_Engine_NR'!H172/12</f>
        <v/>
      </c>
      <c r="EN8" s="459">
        <f>'_Engine_NR'!H173/12</f>
        <v/>
      </c>
      <c r="EO8" s="459">
        <f>'_Engine_NR'!H174/12</f>
        <v/>
      </c>
      <c r="EP8" s="458">
        <f>'_Engine_NR'!H175/12</f>
        <v/>
      </c>
      <c r="EQ8" s="458">
        <f>'_Engine_NR'!H176/12</f>
        <v/>
      </c>
      <c r="ER8" s="458">
        <f>'_Engine_NR'!H177/12</f>
        <v/>
      </c>
      <c r="ES8" s="458">
        <f>'_Engine_NR'!H178/12</f>
        <v/>
      </c>
      <c r="ET8" s="458">
        <f>'_Engine_NR'!H179/12</f>
        <v/>
      </c>
      <c r="EU8" s="458">
        <f>'_Engine_NR'!H180/12</f>
        <v/>
      </c>
      <c r="EV8" s="458">
        <f>'_Engine_NR'!H181/12</f>
        <v/>
      </c>
      <c r="EW8" s="458">
        <f>'_Engine_NR'!H182/12</f>
        <v/>
      </c>
      <c r="EX8" s="458">
        <f>'_Engine_NR'!H183/12</f>
        <v/>
      </c>
      <c r="EY8" s="458">
        <f>'_Engine_NR'!H184/12</f>
        <v/>
      </c>
      <c r="EZ8" s="458">
        <f>'_Engine_NR'!H185/12</f>
        <v/>
      </c>
      <c r="FA8" s="458">
        <f>'_Engine_NR'!H186/12</f>
        <v/>
      </c>
      <c r="FB8" s="459">
        <f>'_Engine_NR'!H187/12</f>
        <v/>
      </c>
      <c r="FC8" s="459">
        <f>'_Engine_NR'!H188/12</f>
        <v/>
      </c>
      <c r="FD8" s="459">
        <f>'_Engine_NR'!H189/12</f>
        <v/>
      </c>
      <c r="FE8" s="459">
        <f>'_Engine_NR'!H190/12</f>
        <v/>
      </c>
      <c r="FF8" s="459">
        <f>'_Engine_NR'!H191/12</f>
        <v/>
      </c>
      <c r="FG8" s="459">
        <f>'_Engine_NR'!H192/12</f>
        <v/>
      </c>
      <c r="FH8" s="459">
        <f>'_Engine_NR'!H193/12</f>
        <v/>
      </c>
      <c r="FI8" s="459">
        <f>'_Engine_NR'!H194/12</f>
        <v/>
      </c>
      <c r="FJ8" s="459">
        <f>'_Engine_NR'!H195/12</f>
        <v/>
      </c>
      <c r="FK8" s="459">
        <f>'_Engine_NR'!H196/12</f>
        <v/>
      </c>
      <c r="FL8" s="459">
        <f>'_Engine_NR'!H197/12</f>
        <v/>
      </c>
      <c r="FM8" s="459">
        <f>'_Engine_NR'!H198/12</f>
        <v/>
      </c>
      <c r="FN8" s="458">
        <f>'_Engine_NR'!H199/12</f>
        <v/>
      </c>
      <c r="FO8" s="458">
        <f>'_Engine_NR'!H200/12</f>
        <v/>
      </c>
      <c r="FP8" s="458">
        <f>'_Engine_NR'!H201/12</f>
        <v/>
      </c>
      <c r="FQ8" s="458">
        <f>'_Engine_NR'!H202/12</f>
        <v/>
      </c>
      <c r="FR8" s="458">
        <f>'_Engine_NR'!H203/12</f>
        <v/>
      </c>
      <c r="FS8" s="458">
        <f>'_Engine_NR'!H204/12</f>
        <v/>
      </c>
      <c r="FT8" s="458">
        <f>'_Engine_NR'!H205/12</f>
        <v/>
      </c>
      <c r="FU8" s="458">
        <f>'_Engine_NR'!H206/12</f>
        <v/>
      </c>
      <c r="FV8" s="458">
        <f>'_Engine_NR'!H207/12</f>
        <v/>
      </c>
      <c r="FW8" s="458">
        <f>'_Engine_NR'!H208/12</f>
        <v/>
      </c>
      <c r="FX8" s="458">
        <f>'_Engine_NR'!H209/12</f>
        <v/>
      </c>
      <c r="FY8" s="458">
        <f>'_Engine_NR'!H210/12</f>
        <v/>
      </c>
      <c r="FZ8" s="306" t="n"/>
    </row>
    <row r="9" ht="15" customHeight="1" s="307">
      <c r="A9" s="321" t="inlineStr">
        <is>
          <t xml:space="preserve">    Deal #4</t>
        </is>
      </c>
      <c r="B9" s="458">
        <f>'_Engine_NR'!I31/12</f>
        <v/>
      </c>
      <c r="C9" s="458">
        <f>'_Engine_NR'!I32/12</f>
        <v/>
      </c>
      <c r="D9" s="458">
        <f>'_Engine_NR'!I33/12</f>
        <v/>
      </c>
      <c r="E9" s="458">
        <f>'_Engine_NR'!I34/12</f>
        <v/>
      </c>
      <c r="F9" s="458">
        <f>'_Engine_NR'!I35/12</f>
        <v/>
      </c>
      <c r="G9" s="458">
        <f>'_Engine_NR'!I36/12</f>
        <v/>
      </c>
      <c r="H9" s="458">
        <f>'_Engine_NR'!I37/12</f>
        <v/>
      </c>
      <c r="I9" s="458">
        <f>'_Engine_NR'!I38/12</f>
        <v/>
      </c>
      <c r="J9" s="458">
        <f>'_Engine_NR'!I39/12</f>
        <v/>
      </c>
      <c r="K9" s="458">
        <f>'_Engine_NR'!I40/12</f>
        <v/>
      </c>
      <c r="L9" s="458">
        <f>'_Engine_NR'!I41/12</f>
        <v/>
      </c>
      <c r="M9" s="458">
        <f>'_Engine_NR'!I42/12</f>
        <v/>
      </c>
      <c r="N9" s="459">
        <f>'_Engine_NR'!I43/12</f>
        <v/>
      </c>
      <c r="O9" s="459">
        <f>'_Engine_NR'!I44/12</f>
        <v/>
      </c>
      <c r="P9" s="459">
        <f>'_Engine_NR'!I45/12</f>
        <v/>
      </c>
      <c r="Q9" s="459">
        <f>'_Engine_NR'!I46/12</f>
        <v/>
      </c>
      <c r="R9" s="459">
        <f>'_Engine_NR'!I47/12</f>
        <v/>
      </c>
      <c r="S9" s="459">
        <f>'_Engine_NR'!I48/12</f>
        <v/>
      </c>
      <c r="T9" s="459">
        <f>'_Engine_NR'!I49/12</f>
        <v/>
      </c>
      <c r="U9" s="459">
        <f>'_Engine_NR'!I50/12</f>
        <v/>
      </c>
      <c r="V9" s="459">
        <f>'_Engine_NR'!I51/12</f>
        <v/>
      </c>
      <c r="W9" s="459">
        <f>'_Engine_NR'!I52/12</f>
        <v/>
      </c>
      <c r="X9" s="459">
        <f>'_Engine_NR'!I53/12</f>
        <v/>
      </c>
      <c r="Y9" s="459">
        <f>'_Engine_NR'!I54/12</f>
        <v/>
      </c>
      <c r="Z9" s="458">
        <f>'_Engine_NR'!I55/12</f>
        <v/>
      </c>
      <c r="AA9" s="458">
        <f>'_Engine_NR'!I56/12</f>
        <v/>
      </c>
      <c r="AB9" s="458">
        <f>'_Engine_NR'!I57/12</f>
        <v/>
      </c>
      <c r="AC9" s="458">
        <f>'_Engine_NR'!I58/12</f>
        <v/>
      </c>
      <c r="AD9" s="458">
        <f>'_Engine_NR'!I59/12</f>
        <v/>
      </c>
      <c r="AE9" s="458">
        <f>'_Engine_NR'!I60/12</f>
        <v/>
      </c>
      <c r="AF9" s="458">
        <f>'_Engine_NR'!I61/12</f>
        <v/>
      </c>
      <c r="AG9" s="458">
        <f>'_Engine_NR'!I62/12</f>
        <v/>
      </c>
      <c r="AH9" s="458">
        <f>'_Engine_NR'!I63/12</f>
        <v/>
      </c>
      <c r="AI9" s="458">
        <f>'_Engine_NR'!I64/12</f>
        <v/>
      </c>
      <c r="AJ9" s="458">
        <f>'_Engine_NR'!I65/12</f>
        <v/>
      </c>
      <c r="AK9" s="458">
        <f>'_Engine_NR'!I66/12</f>
        <v/>
      </c>
      <c r="AL9" s="459">
        <f>'_Engine_NR'!I67/12</f>
        <v/>
      </c>
      <c r="AM9" s="459">
        <f>'_Engine_NR'!I68/12</f>
        <v/>
      </c>
      <c r="AN9" s="459">
        <f>'_Engine_NR'!I69/12</f>
        <v/>
      </c>
      <c r="AO9" s="459">
        <f>'_Engine_NR'!I70/12</f>
        <v/>
      </c>
      <c r="AP9" s="459">
        <f>'_Engine_NR'!I71/12</f>
        <v/>
      </c>
      <c r="AQ9" s="459">
        <f>'_Engine_NR'!I72/12</f>
        <v/>
      </c>
      <c r="AR9" s="459">
        <f>'_Engine_NR'!I73/12</f>
        <v/>
      </c>
      <c r="AS9" s="459">
        <f>'_Engine_NR'!I74/12</f>
        <v/>
      </c>
      <c r="AT9" s="459">
        <f>'_Engine_NR'!I75/12</f>
        <v/>
      </c>
      <c r="AU9" s="459">
        <f>'_Engine_NR'!I76/12</f>
        <v/>
      </c>
      <c r="AV9" s="459">
        <f>'_Engine_NR'!I77/12</f>
        <v/>
      </c>
      <c r="AW9" s="459">
        <f>'_Engine_NR'!I78/12</f>
        <v/>
      </c>
      <c r="AX9" s="458">
        <f>'_Engine_NR'!I79/12</f>
        <v/>
      </c>
      <c r="AY9" s="458">
        <f>'_Engine_NR'!I80/12</f>
        <v/>
      </c>
      <c r="AZ9" s="458">
        <f>'_Engine_NR'!I81/12</f>
        <v/>
      </c>
      <c r="BA9" s="458">
        <f>'_Engine_NR'!I82/12</f>
        <v/>
      </c>
      <c r="BB9" s="458">
        <f>'_Engine_NR'!I83/12</f>
        <v/>
      </c>
      <c r="BC9" s="458">
        <f>'_Engine_NR'!I84/12</f>
        <v/>
      </c>
      <c r="BD9" s="458">
        <f>'_Engine_NR'!I85/12</f>
        <v/>
      </c>
      <c r="BE9" s="458">
        <f>'_Engine_NR'!I86/12</f>
        <v/>
      </c>
      <c r="BF9" s="458">
        <f>'_Engine_NR'!I87/12</f>
        <v/>
      </c>
      <c r="BG9" s="458">
        <f>'_Engine_NR'!I88/12</f>
        <v/>
      </c>
      <c r="BH9" s="458">
        <f>'_Engine_NR'!I89/12</f>
        <v/>
      </c>
      <c r="BI9" s="458">
        <f>'_Engine_NR'!I90/12</f>
        <v/>
      </c>
      <c r="BJ9" s="459">
        <f>'_Engine_NR'!I91/12</f>
        <v/>
      </c>
      <c r="BK9" s="459">
        <f>'_Engine_NR'!I92/12</f>
        <v/>
      </c>
      <c r="BL9" s="459">
        <f>'_Engine_NR'!I93/12</f>
        <v/>
      </c>
      <c r="BM9" s="459">
        <f>'_Engine_NR'!I94/12</f>
        <v/>
      </c>
      <c r="BN9" s="459">
        <f>'_Engine_NR'!I95/12</f>
        <v/>
      </c>
      <c r="BO9" s="459">
        <f>'_Engine_NR'!I96/12</f>
        <v/>
      </c>
      <c r="BP9" s="459">
        <f>'_Engine_NR'!I97/12</f>
        <v/>
      </c>
      <c r="BQ9" s="459">
        <f>'_Engine_NR'!I98/12</f>
        <v/>
      </c>
      <c r="BR9" s="459">
        <f>'_Engine_NR'!I99/12</f>
        <v/>
      </c>
      <c r="BS9" s="459">
        <f>'_Engine_NR'!I100/12</f>
        <v/>
      </c>
      <c r="BT9" s="459">
        <f>'_Engine_NR'!I101/12</f>
        <v/>
      </c>
      <c r="BU9" s="459">
        <f>'_Engine_NR'!I102/12</f>
        <v/>
      </c>
      <c r="BV9" s="458">
        <f>'_Engine_NR'!I103/12</f>
        <v/>
      </c>
      <c r="BW9" s="458">
        <f>'_Engine_NR'!I104/12</f>
        <v/>
      </c>
      <c r="BX9" s="458">
        <f>'_Engine_NR'!I105/12</f>
        <v/>
      </c>
      <c r="BY9" s="458">
        <f>'_Engine_NR'!I106/12</f>
        <v/>
      </c>
      <c r="BZ9" s="458">
        <f>'_Engine_NR'!I107/12</f>
        <v/>
      </c>
      <c r="CA9" s="458">
        <f>'_Engine_NR'!I108/12</f>
        <v/>
      </c>
      <c r="CB9" s="458">
        <f>'_Engine_NR'!I109/12</f>
        <v/>
      </c>
      <c r="CC9" s="458">
        <f>'_Engine_NR'!I110/12</f>
        <v/>
      </c>
      <c r="CD9" s="458">
        <f>'_Engine_NR'!I111/12</f>
        <v/>
      </c>
      <c r="CE9" s="458">
        <f>'_Engine_NR'!I112/12</f>
        <v/>
      </c>
      <c r="CF9" s="458">
        <f>'_Engine_NR'!I113/12</f>
        <v/>
      </c>
      <c r="CG9" s="458">
        <f>'_Engine_NR'!I114/12</f>
        <v/>
      </c>
      <c r="CH9" s="459">
        <f>'_Engine_NR'!I115/12</f>
        <v/>
      </c>
      <c r="CI9" s="459">
        <f>'_Engine_NR'!I116/12</f>
        <v/>
      </c>
      <c r="CJ9" s="459">
        <f>'_Engine_NR'!I117/12</f>
        <v/>
      </c>
      <c r="CK9" s="459">
        <f>'_Engine_NR'!I118/12</f>
        <v/>
      </c>
      <c r="CL9" s="459">
        <f>'_Engine_NR'!I119/12</f>
        <v/>
      </c>
      <c r="CM9" s="459">
        <f>'_Engine_NR'!I120/12</f>
        <v/>
      </c>
      <c r="CN9" s="459">
        <f>'_Engine_NR'!I121/12</f>
        <v/>
      </c>
      <c r="CO9" s="459">
        <f>'_Engine_NR'!I122/12</f>
        <v/>
      </c>
      <c r="CP9" s="459">
        <f>'_Engine_NR'!I123/12</f>
        <v/>
      </c>
      <c r="CQ9" s="459">
        <f>'_Engine_NR'!I124/12</f>
        <v/>
      </c>
      <c r="CR9" s="459">
        <f>'_Engine_NR'!I125/12</f>
        <v/>
      </c>
      <c r="CS9" s="459">
        <f>'_Engine_NR'!I126/12</f>
        <v/>
      </c>
      <c r="CT9" s="458">
        <f>'_Engine_NR'!I127/12</f>
        <v/>
      </c>
      <c r="CU9" s="458">
        <f>'_Engine_NR'!I128/12</f>
        <v/>
      </c>
      <c r="CV9" s="458">
        <f>'_Engine_NR'!I129/12</f>
        <v/>
      </c>
      <c r="CW9" s="458">
        <f>'_Engine_NR'!I130/12</f>
        <v/>
      </c>
      <c r="CX9" s="458">
        <f>'_Engine_NR'!I131/12</f>
        <v/>
      </c>
      <c r="CY9" s="458">
        <f>'_Engine_NR'!I132/12</f>
        <v/>
      </c>
      <c r="CZ9" s="458">
        <f>'_Engine_NR'!I133/12</f>
        <v/>
      </c>
      <c r="DA9" s="458">
        <f>'_Engine_NR'!I134/12</f>
        <v/>
      </c>
      <c r="DB9" s="458">
        <f>'_Engine_NR'!I135/12</f>
        <v/>
      </c>
      <c r="DC9" s="458">
        <f>'_Engine_NR'!I136/12</f>
        <v/>
      </c>
      <c r="DD9" s="458">
        <f>'_Engine_NR'!I137/12</f>
        <v/>
      </c>
      <c r="DE9" s="458">
        <f>'_Engine_NR'!I138/12</f>
        <v/>
      </c>
      <c r="DF9" s="459">
        <f>'_Engine_NR'!I139/12</f>
        <v/>
      </c>
      <c r="DG9" s="459">
        <f>'_Engine_NR'!I140/12</f>
        <v/>
      </c>
      <c r="DH9" s="459">
        <f>'_Engine_NR'!I141/12</f>
        <v/>
      </c>
      <c r="DI9" s="459">
        <f>'_Engine_NR'!I142/12</f>
        <v/>
      </c>
      <c r="DJ9" s="459">
        <f>'_Engine_NR'!I143/12</f>
        <v/>
      </c>
      <c r="DK9" s="459">
        <f>'_Engine_NR'!I144/12</f>
        <v/>
      </c>
      <c r="DL9" s="459">
        <f>'_Engine_NR'!I145/12</f>
        <v/>
      </c>
      <c r="DM9" s="459">
        <f>'_Engine_NR'!I146/12</f>
        <v/>
      </c>
      <c r="DN9" s="459">
        <f>'_Engine_NR'!I147/12</f>
        <v/>
      </c>
      <c r="DO9" s="459">
        <f>'_Engine_NR'!I148/12</f>
        <v/>
      </c>
      <c r="DP9" s="459">
        <f>'_Engine_NR'!I149/12</f>
        <v/>
      </c>
      <c r="DQ9" s="459">
        <f>'_Engine_NR'!I150/12</f>
        <v/>
      </c>
      <c r="DR9" s="458">
        <f>'_Engine_NR'!I151/12</f>
        <v/>
      </c>
      <c r="DS9" s="458">
        <f>'_Engine_NR'!I152/12</f>
        <v/>
      </c>
      <c r="DT9" s="458">
        <f>'_Engine_NR'!I153/12</f>
        <v/>
      </c>
      <c r="DU9" s="458">
        <f>'_Engine_NR'!I154/12</f>
        <v/>
      </c>
      <c r="DV9" s="458">
        <f>'_Engine_NR'!I155/12</f>
        <v/>
      </c>
      <c r="DW9" s="458">
        <f>'_Engine_NR'!I156/12</f>
        <v/>
      </c>
      <c r="DX9" s="458">
        <f>'_Engine_NR'!I157/12</f>
        <v/>
      </c>
      <c r="DY9" s="458">
        <f>'_Engine_NR'!I158/12</f>
        <v/>
      </c>
      <c r="DZ9" s="458">
        <f>'_Engine_NR'!I159/12</f>
        <v/>
      </c>
      <c r="EA9" s="458">
        <f>'_Engine_NR'!I160/12</f>
        <v/>
      </c>
      <c r="EB9" s="458">
        <f>'_Engine_NR'!I161/12</f>
        <v/>
      </c>
      <c r="EC9" s="458">
        <f>'_Engine_NR'!I162/12</f>
        <v/>
      </c>
      <c r="ED9" s="459">
        <f>'_Engine_NR'!I163/12</f>
        <v/>
      </c>
      <c r="EE9" s="459">
        <f>'_Engine_NR'!I164/12</f>
        <v/>
      </c>
      <c r="EF9" s="459">
        <f>'_Engine_NR'!I165/12</f>
        <v/>
      </c>
      <c r="EG9" s="459">
        <f>'_Engine_NR'!I166/12</f>
        <v/>
      </c>
      <c r="EH9" s="459">
        <f>'_Engine_NR'!I167/12</f>
        <v/>
      </c>
      <c r="EI9" s="459">
        <f>'_Engine_NR'!I168/12</f>
        <v/>
      </c>
      <c r="EJ9" s="459">
        <f>'_Engine_NR'!I169/12</f>
        <v/>
      </c>
      <c r="EK9" s="459">
        <f>'_Engine_NR'!I170/12</f>
        <v/>
      </c>
      <c r="EL9" s="459">
        <f>'_Engine_NR'!I171/12</f>
        <v/>
      </c>
      <c r="EM9" s="459">
        <f>'_Engine_NR'!I172/12</f>
        <v/>
      </c>
      <c r="EN9" s="459">
        <f>'_Engine_NR'!I173/12</f>
        <v/>
      </c>
      <c r="EO9" s="459">
        <f>'_Engine_NR'!I174/12</f>
        <v/>
      </c>
      <c r="EP9" s="458">
        <f>'_Engine_NR'!I175/12</f>
        <v/>
      </c>
      <c r="EQ9" s="458">
        <f>'_Engine_NR'!I176/12</f>
        <v/>
      </c>
      <c r="ER9" s="458">
        <f>'_Engine_NR'!I177/12</f>
        <v/>
      </c>
      <c r="ES9" s="458">
        <f>'_Engine_NR'!I178/12</f>
        <v/>
      </c>
      <c r="ET9" s="458">
        <f>'_Engine_NR'!I179/12</f>
        <v/>
      </c>
      <c r="EU9" s="458">
        <f>'_Engine_NR'!I180/12</f>
        <v/>
      </c>
      <c r="EV9" s="458">
        <f>'_Engine_NR'!I181/12</f>
        <v/>
      </c>
      <c r="EW9" s="458">
        <f>'_Engine_NR'!I182/12</f>
        <v/>
      </c>
      <c r="EX9" s="458">
        <f>'_Engine_NR'!I183/12</f>
        <v/>
      </c>
      <c r="EY9" s="458">
        <f>'_Engine_NR'!I184/12</f>
        <v/>
      </c>
      <c r="EZ9" s="458">
        <f>'_Engine_NR'!I185/12</f>
        <v/>
      </c>
      <c r="FA9" s="458">
        <f>'_Engine_NR'!I186/12</f>
        <v/>
      </c>
      <c r="FB9" s="459">
        <f>'_Engine_NR'!I187/12</f>
        <v/>
      </c>
      <c r="FC9" s="459">
        <f>'_Engine_NR'!I188/12</f>
        <v/>
      </c>
      <c r="FD9" s="459">
        <f>'_Engine_NR'!I189/12</f>
        <v/>
      </c>
      <c r="FE9" s="459">
        <f>'_Engine_NR'!I190/12</f>
        <v/>
      </c>
      <c r="FF9" s="459">
        <f>'_Engine_NR'!I191/12</f>
        <v/>
      </c>
      <c r="FG9" s="459">
        <f>'_Engine_NR'!I192/12</f>
        <v/>
      </c>
      <c r="FH9" s="459">
        <f>'_Engine_NR'!I193/12</f>
        <v/>
      </c>
      <c r="FI9" s="459">
        <f>'_Engine_NR'!I194/12</f>
        <v/>
      </c>
      <c r="FJ9" s="459">
        <f>'_Engine_NR'!I195/12</f>
        <v/>
      </c>
      <c r="FK9" s="459">
        <f>'_Engine_NR'!I196/12</f>
        <v/>
      </c>
      <c r="FL9" s="459">
        <f>'_Engine_NR'!I197/12</f>
        <v/>
      </c>
      <c r="FM9" s="459">
        <f>'_Engine_NR'!I198/12</f>
        <v/>
      </c>
      <c r="FN9" s="458">
        <f>'_Engine_NR'!I199/12</f>
        <v/>
      </c>
      <c r="FO9" s="458">
        <f>'_Engine_NR'!I200/12</f>
        <v/>
      </c>
      <c r="FP9" s="458">
        <f>'_Engine_NR'!I201/12</f>
        <v/>
      </c>
      <c r="FQ9" s="458">
        <f>'_Engine_NR'!I202/12</f>
        <v/>
      </c>
      <c r="FR9" s="458">
        <f>'_Engine_NR'!I203/12</f>
        <v/>
      </c>
      <c r="FS9" s="458">
        <f>'_Engine_NR'!I204/12</f>
        <v/>
      </c>
      <c r="FT9" s="458">
        <f>'_Engine_NR'!I205/12</f>
        <v/>
      </c>
      <c r="FU9" s="458">
        <f>'_Engine_NR'!I206/12</f>
        <v/>
      </c>
      <c r="FV9" s="458">
        <f>'_Engine_NR'!I207/12</f>
        <v/>
      </c>
      <c r="FW9" s="458">
        <f>'_Engine_NR'!I208/12</f>
        <v/>
      </c>
      <c r="FX9" s="458">
        <f>'_Engine_NR'!I209/12</f>
        <v/>
      </c>
      <c r="FY9" s="458">
        <f>'_Engine_NR'!I210/12</f>
        <v/>
      </c>
      <c r="FZ9" s="306" t="n"/>
    </row>
    <row r="10" ht="15" customHeight="1" s="307">
      <c r="A10" s="321" t="inlineStr">
        <is>
          <t xml:space="preserve">    Deal #5</t>
        </is>
      </c>
      <c r="B10" s="458">
        <f>'_Engine_NR'!J31/12</f>
        <v/>
      </c>
      <c r="C10" s="458">
        <f>'_Engine_NR'!J32/12</f>
        <v/>
      </c>
      <c r="D10" s="458">
        <f>'_Engine_NR'!J33/12</f>
        <v/>
      </c>
      <c r="E10" s="458">
        <f>'_Engine_NR'!J34/12</f>
        <v/>
      </c>
      <c r="F10" s="458">
        <f>'_Engine_NR'!J35/12</f>
        <v/>
      </c>
      <c r="G10" s="458">
        <f>'_Engine_NR'!J36/12</f>
        <v/>
      </c>
      <c r="H10" s="458">
        <f>'_Engine_NR'!J37/12</f>
        <v/>
      </c>
      <c r="I10" s="458">
        <f>'_Engine_NR'!J38/12</f>
        <v/>
      </c>
      <c r="J10" s="458">
        <f>'_Engine_NR'!J39/12</f>
        <v/>
      </c>
      <c r="K10" s="458">
        <f>'_Engine_NR'!J40/12</f>
        <v/>
      </c>
      <c r="L10" s="458">
        <f>'_Engine_NR'!J41/12</f>
        <v/>
      </c>
      <c r="M10" s="458">
        <f>'_Engine_NR'!J42/12</f>
        <v/>
      </c>
      <c r="N10" s="459">
        <f>'_Engine_NR'!J43/12</f>
        <v/>
      </c>
      <c r="O10" s="459">
        <f>'_Engine_NR'!J44/12</f>
        <v/>
      </c>
      <c r="P10" s="459">
        <f>'_Engine_NR'!J45/12</f>
        <v/>
      </c>
      <c r="Q10" s="459">
        <f>'_Engine_NR'!J46/12</f>
        <v/>
      </c>
      <c r="R10" s="459">
        <f>'_Engine_NR'!J47/12</f>
        <v/>
      </c>
      <c r="S10" s="459">
        <f>'_Engine_NR'!J48/12</f>
        <v/>
      </c>
      <c r="T10" s="459">
        <f>'_Engine_NR'!J49/12</f>
        <v/>
      </c>
      <c r="U10" s="459">
        <f>'_Engine_NR'!J50/12</f>
        <v/>
      </c>
      <c r="V10" s="459">
        <f>'_Engine_NR'!J51/12</f>
        <v/>
      </c>
      <c r="W10" s="459">
        <f>'_Engine_NR'!J52/12</f>
        <v/>
      </c>
      <c r="X10" s="459">
        <f>'_Engine_NR'!J53/12</f>
        <v/>
      </c>
      <c r="Y10" s="459">
        <f>'_Engine_NR'!J54/12</f>
        <v/>
      </c>
      <c r="Z10" s="458">
        <f>'_Engine_NR'!J55/12</f>
        <v/>
      </c>
      <c r="AA10" s="458">
        <f>'_Engine_NR'!J56/12</f>
        <v/>
      </c>
      <c r="AB10" s="458">
        <f>'_Engine_NR'!J57/12</f>
        <v/>
      </c>
      <c r="AC10" s="458">
        <f>'_Engine_NR'!J58/12</f>
        <v/>
      </c>
      <c r="AD10" s="458">
        <f>'_Engine_NR'!J59/12</f>
        <v/>
      </c>
      <c r="AE10" s="458">
        <f>'_Engine_NR'!J60/12</f>
        <v/>
      </c>
      <c r="AF10" s="458">
        <f>'_Engine_NR'!J61/12</f>
        <v/>
      </c>
      <c r="AG10" s="458">
        <f>'_Engine_NR'!J62/12</f>
        <v/>
      </c>
      <c r="AH10" s="458">
        <f>'_Engine_NR'!J63/12</f>
        <v/>
      </c>
      <c r="AI10" s="458">
        <f>'_Engine_NR'!J64/12</f>
        <v/>
      </c>
      <c r="AJ10" s="458">
        <f>'_Engine_NR'!J65/12</f>
        <v/>
      </c>
      <c r="AK10" s="458">
        <f>'_Engine_NR'!J66/12</f>
        <v/>
      </c>
      <c r="AL10" s="459">
        <f>'_Engine_NR'!J67/12</f>
        <v/>
      </c>
      <c r="AM10" s="459">
        <f>'_Engine_NR'!J68/12</f>
        <v/>
      </c>
      <c r="AN10" s="459">
        <f>'_Engine_NR'!J69/12</f>
        <v/>
      </c>
      <c r="AO10" s="459">
        <f>'_Engine_NR'!J70/12</f>
        <v/>
      </c>
      <c r="AP10" s="459">
        <f>'_Engine_NR'!J71/12</f>
        <v/>
      </c>
      <c r="AQ10" s="459">
        <f>'_Engine_NR'!J72/12</f>
        <v/>
      </c>
      <c r="AR10" s="459">
        <f>'_Engine_NR'!J73/12</f>
        <v/>
      </c>
      <c r="AS10" s="459">
        <f>'_Engine_NR'!J74/12</f>
        <v/>
      </c>
      <c r="AT10" s="459">
        <f>'_Engine_NR'!J75/12</f>
        <v/>
      </c>
      <c r="AU10" s="459">
        <f>'_Engine_NR'!J76/12</f>
        <v/>
      </c>
      <c r="AV10" s="459">
        <f>'_Engine_NR'!J77/12</f>
        <v/>
      </c>
      <c r="AW10" s="459">
        <f>'_Engine_NR'!J78/12</f>
        <v/>
      </c>
      <c r="AX10" s="458">
        <f>'_Engine_NR'!J79/12</f>
        <v/>
      </c>
      <c r="AY10" s="458">
        <f>'_Engine_NR'!J80/12</f>
        <v/>
      </c>
      <c r="AZ10" s="458">
        <f>'_Engine_NR'!J81/12</f>
        <v/>
      </c>
      <c r="BA10" s="458">
        <f>'_Engine_NR'!J82/12</f>
        <v/>
      </c>
      <c r="BB10" s="458">
        <f>'_Engine_NR'!J83/12</f>
        <v/>
      </c>
      <c r="BC10" s="458">
        <f>'_Engine_NR'!J84/12</f>
        <v/>
      </c>
      <c r="BD10" s="458">
        <f>'_Engine_NR'!J85/12</f>
        <v/>
      </c>
      <c r="BE10" s="458">
        <f>'_Engine_NR'!J86/12</f>
        <v/>
      </c>
      <c r="BF10" s="458">
        <f>'_Engine_NR'!J87/12</f>
        <v/>
      </c>
      <c r="BG10" s="458">
        <f>'_Engine_NR'!J88/12</f>
        <v/>
      </c>
      <c r="BH10" s="458">
        <f>'_Engine_NR'!J89/12</f>
        <v/>
      </c>
      <c r="BI10" s="458">
        <f>'_Engine_NR'!J90/12</f>
        <v/>
      </c>
      <c r="BJ10" s="459">
        <f>'_Engine_NR'!J91/12</f>
        <v/>
      </c>
      <c r="BK10" s="459">
        <f>'_Engine_NR'!J92/12</f>
        <v/>
      </c>
      <c r="BL10" s="459">
        <f>'_Engine_NR'!J93/12</f>
        <v/>
      </c>
      <c r="BM10" s="459">
        <f>'_Engine_NR'!J94/12</f>
        <v/>
      </c>
      <c r="BN10" s="459">
        <f>'_Engine_NR'!J95/12</f>
        <v/>
      </c>
      <c r="BO10" s="459">
        <f>'_Engine_NR'!J96/12</f>
        <v/>
      </c>
      <c r="BP10" s="459">
        <f>'_Engine_NR'!J97/12</f>
        <v/>
      </c>
      <c r="BQ10" s="459">
        <f>'_Engine_NR'!J98/12</f>
        <v/>
      </c>
      <c r="BR10" s="459">
        <f>'_Engine_NR'!J99/12</f>
        <v/>
      </c>
      <c r="BS10" s="459">
        <f>'_Engine_NR'!J100/12</f>
        <v/>
      </c>
      <c r="BT10" s="459">
        <f>'_Engine_NR'!J101/12</f>
        <v/>
      </c>
      <c r="BU10" s="459">
        <f>'_Engine_NR'!J102/12</f>
        <v/>
      </c>
      <c r="BV10" s="458">
        <f>'_Engine_NR'!J103/12</f>
        <v/>
      </c>
      <c r="BW10" s="458">
        <f>'_Engine_NR'!J104/12</f>
        <v/>
      </c>
      <c r="BX10" s="458">
        <f>'_Engine_NR'!J105/12</f>
        <v/>
      </c>
      <c r="BY10" s="458">
        <f>'_Engine_NR'!J106/12</f>
        <v/>
      </c>
      <c r="BZ10" s="458">
        <f>'_Engine_NR'!J107/12</f>
        <v/>
      </c>
      <c r="CA10" s="458">
        <f>'_Engine_NR'!J108/12</f>
        <v/>
      </c>
      <c r="CB10" s="458">
        <f>'_Engine_NR'!J109/12</f>
        <v/>
      </c>
      <c r="CC10" s="458">
        <f>'_Engine_NR'!J110/12</f>
        <v/>
      </c>
      <c r="CD10" s="458">
        <f>'_Engine_NR'!J111/12</f>
        <v/>
      </c>
      <c r="CE10" s="458">
        <f>'_Engine_NR'!J112/12</f>
        <v/>
      </c>
      <c r="CF10" s="458">
        <f>'_Engine_NR'!J113/12</f>
        <v/>
      </c>
      <c r="CG10" s="458">
        <f>'_Engine_NR'!J114/12</f>
        <v/>
      </c>
      <c r="CH10" s="459">
        <f>'_Engine_NR'!J115/12</f>
        <v/>
      </c>
      <c r="CI10" s="459">
        <f>'_Engine_NR'!J116/12</f>
        <v/>
      </c>
      <c r="CJ10" s="459">
        <f>'_Engine_NR'!J117/12</f>
        <v/>
      </c>
      <c r="CK10" s="459">
        <f>'_Engine_NR'!J118/12</f>
        <v/>
      </c>
      <c r="CL10" s="459">
        <f>'_Engine_NR'!J119/12</f>
        <v/>
      </c>
      <c r="CM10" s="459">
        <f>'_Engine_NR'!J120/12</f>
        <v/>
      </c>
      <c r="CN10" s="459">
        <f>'_Engine_NR'!J121/12</f>
        <v/>
      </c>
      <c r="CO10" s="459">
        <f>'_Engine_NR'!J122/12</f>
        <v/>
      </c>
      <c r="CP10" s="459">
        <f>'_Engine_NR'!J123/12</f>
        <v/>
      </c>
      <c r="CQ10" s="459">
        <f>'_Engine_NR'!J124/12</f>
        <v/>
      </c>
      <c r="CR10" s="459">
        <f>'_Engine_NR'!J125/12</f>
        <v/>
      </c>
      <c r="CS10" s="459">
        <f>'_Engine_NR'!J126/12</f>
        <v/>
      </c>
      <c r="CT10" s="458">
        <f>'_Engine_NR'!J127/12</f>
        <v/>
      </c>
      <c r="CU10" s="458">
        <f>'_Engine_NR'!J128/12</f>
        <v/>
      </c>
      <c r="CV10" s="458">
        <f>'_Engine_NR'!J129/12</f>
        <v/>
      </c>
      <c r="CW10" s="458">
        <f>'_Engine_NR'!J130/12</f>
        <v/>
      </c>
      <c r="CX10" s="458">
        <f>'_Engine_NR'!J131/12</f>
        <v/>
      </c>
      <c r="CY10" s="458">
        <f>'_Engine_NR'!J132/12</f>
        <v/>
      </c>
      <c r="CZ10" s="458">
        <f>'_Engine_NR'!J133/12</f>
        <v/>
      </c>
      <c r="DA10" s="458">
        <f>'_Engine_NR'!J134/12</f>
        <v/>
      </c>
      <c r="DB10" s="458">
        <f>'_Engine_NR'!J135/12</f>
        <v/>
      </c>
      <c r="DC10" s="458">
        <f>'_Engine_NR'!J136/12</f>
        <v/>
      </c>
      <c r="DD10" s="458">
        <f>'_Engine_NR'!J137/12</f>
        <v/>
      </c>
      <c r="DE10" s="458">
        <f>'_Engine_NR'!J138/12</f>
        <v/>
      </c>
      <c r="DF10" s="459">
        <f>'_Engine_NR'!J139/12</f>
        <v/>
      </c>
      <c r="DG10" s="459">
        <f>'_Engine_NR'!J140/12</f>
        <v/>
      </c>
      <c r="DH10" s="459">
        <f>'_Engine_NR'!J141/12</f>
        <v/>
      </c>
      <c r="DI10" s="459">
        <f>'_Engine_NR'!J142/12</f>
        <v/>
      </c>
      <c r="DJ10" s="459">
        <f>'_Engine_NR'!J143/12</f>
        <v/>
      </c>
      <c r="DK10" s="459">
        <f>'_Engine_NR'!J144/12</f>
        <v/>
      </c>
      <c r="DL10" s="459">
        <f>'_Engine_NR'!J145/12</f>
        <v/>
      </c>
      <c r="DM10" s="459">
        <f>'_Engine_NR'!J146/12</f>
        <v/>
      </c>
      <c r="DN10" s="459">
        <f>'_Engine_NR'!J147/12</f>
        <v/>
      </c>
      <c r="DO10" s="459">
        <f>'_Engine_NR'!J148/12</f>
        <v/>
      </c>
      <c r="DP10" s="459">
        <f>'_Engine_NR'!J149/12</f>
        <v/>
      </c>
      <c r="DQ10" s="459">
        <f>'_Engine_NR'!J150/12</f>
        <v/>
      </c>
      <c r="DR10" s="458">
        <f>'_Engine_NR'!J151/12</f>
        <v/>
      </c>
      <c r="DS10" s="458">
        <f>'_Engine_NR'!J152/12</f>
        <v/>
      </c>
      <c r="DT10" s="458">
        <f>'_Engine_NR'!J153/12</f>
        <v/>
      </c>
      <c r="DU10" s="458">
        <f>'_Engine_NR'!J154/12</f>
        <v/>
      </c>
      <c r="DV10" s="458">
        <f>'_Engine_NR'!J155/12</f>
        <v/>
      </c>
      <c r="DW10" s="458">
        <f>'_Engine_NR'!J156/12</f>
        <v/>
      </c>
      <c r="DX10" s="458">
        <f>'_Engine_NR'!J157/12</f>
        <v/>
      </c>
      <c r="DY10" s="458">
        <f>'_Engine_NR'!J158/12</f>
        <v/>
      </c>
      <c r="DZ10" s="458">
        <f>'_Engine_NR'!J159/12</f>
        <v/>
      </c>
      <c r="EA10" s="458">
        <f>'_Engine_NR'!J160/12</f>
        <v/>
      </c>
      <c r="EB10" s="458">
        <f>'_Engine_NR'!J161/12</f>
        <v/>
      </c>
      <c r="EC10" s="458">
        <f>'_Engine_NR'!J162/12</f>
        <v/>
      </c>
      <c r="ED10" s="459">
        <f>'_Engine_NR'!J163/12</f>
        <v/>
      </c>
      <c r="EE10" s="459">
        <f>'_Engine_NR'!J164/12</f>
        <v/>
      </c>
      <c r="EF10" s="459">
        <f>'_Engine_NR'!J165/12</f>
        <v/>
      </c>
      <c r="EG10" s="459">
        <f>'_Engine_NR'!J166/12</f>
        <v/>
      </c>
      <c r="EH10" s="459">
        <f>'_Engine_NR'!J167/12</f>
        <v/>
      </c>
      <c r="EI10" s="459">
        <f>'_Engine_NR'!J168/12</f>
        <v/>
      </c>
      <c r="EJ10" s="459">
        <f>'_Engine_NR'!J169/12</f>
        <v/>
      </c>
      <c r="EK10" s="459">
        <f>'_Engine_NR'!J170/12</f>
        <v/>
      </c>
      <c r="EL10" s="459">
        <f>'_Engine_NR'!J171/12</f>
        <v/>
      </c>
      <c r="EM10" s="459">
        <f>'_Engine_NR'!J172/12</f>
        <v/>
      </c>
      <c r="EN10" s="459">
        <f>'_Engine_NR'!J173/12</f>
        <v/>
      </c>
      <c r="EO10" s="459">
        <f>'_Engine_NR'!J174/12</f>
        <v/>
      </c>
      <c r="EP10" s="458">
        <f>'_Engine_NR'!J175/12</f>
        <v/>
      </c>
      <c r="EQ10" s="458">
        <f>'_Engine_NR'!J176/12</f>
        <v/>
      </c>
      <c r="ER10" s="458">
        <f>'_Engine_NR'!J177/12</f>
        <v/>
      </c>
      <c r="ES10" s="458">
        <f>'_Engine_NR'!J178/12</f>
        <v/>
      </c>
      <c r="ET10" s="458">
        <f>'_Engine_NR'!J179/12</f>
        <v/>
      </c>
      <c r="EU10" s="458">
        <f>'_Engine_NR'!J180/12</f>
        <v/>
      </c>
      <c r="EV10" s="458">
        <f>'_Engine_NR'!J181/12</f>
        <v/>
      </c>
      <c r="EW10" s="458">
        <f>'_Engine_NR'!J182/12</f>
        <v/>
      </c>
      <c r="EX10" s="458">
        <f>'_Engine_NR'!J183/12</f>
        <v/>
      </c>
      <c r="EY10" s="458">
        <f>'_Engine_NR'!J184/12</f>
        <v/>
      </c>
      <c r="EZ10" s="458">
        <f>'_Engine_NR'!J185/12</f>
        <v/>
      </c>
      <c r="FA10" s="458">
        <f>'_Engine_NR'!J186/12</f>
        <v/>
      </c>
      <c r="FB10" s="459">
        <f>'_Engine_NR'!J187/12</f>
        <v/>
      </c>
      <c r="FC10" s="459">
        <f>'_Engine_NR'!J188/12</f>
        <v/>
      </c>
      <c r="FD10" s="459">
        <f>'_Engine_NR'!J189/12</f>
        <v/>
      </c>
      <c r="FE10" s="459">
        <f>'_Engine_NR'!J190/12</f>
        <v/>
      </c>
      <c r="FF10" s="459">
        <f>'_Engine_NR'!J191/12</f>
        <v/>
      </c>
      <c r="FG10" s="459">
        <f>'_Engine_NR'!J192/12</f>
        <v/>
      </c>
      <c r="FH10" s="459">
        <f>'_Engine_NR'!J193/12</f>
        <v/>
      </c>
      <c r="FI10" s="459">
        <f>'_Engine_NR'!J194/12</f>
        <v/>
      </c>
      <c r="FJ10" s="459">
        <f>'_Engine_NR'!J195/12</f>
        <v/>
      </c>
      <c r="FK10" s="459">
        <f>'_Engine_NR'!J196/12</f>
        <v/>
      </c>
      <c r="FL10" s="459">
        <f>'_Engine_NR'!J197/12</f>
        <v/>
      </c>
      <c r="FM10" s="459">
        <f>'_Engine_NR'!J198/12</f>
        <v/>
      </c>
      <c r="FN10" s="458">
        <f>'_Engine_NR'!J199/12</f>
        <v/>
      </c>
      <c r="FO10" s="458">
        <f>'_Engine_NR'!J200/12</f>
        <v/>
      </c>
      <c r="FP10" s="458">
        <f>'_Engine_NR'!J201/12</f>
        <v/>
      </c>
      <c r="FQ10" s="458">
        <f>'_Engine_NR'!J202/12</f>
        <v/>
      </c>
      <c r="FR10" s="458">
        <f>'_Engine_NR'!J203/12</f>
        <v/>
      </c>
      <c r="FS10" s="458">
        <f>'_Engine_NR'!J204/12</f>
        <v/>
      </c>
      <c r="FT10" s="458">
        <f>'_Engine_NR'!J205/12</f>
        <v/>
      </c>
      <c r="FU10" s="458">
        <f>'_Engine_NR'!J206/12</f>
        <v/>
      </c>
      <c r="FV10" s="458">
        <f>'_Engine_NR'!J207/12</f>
        <v/>
      </c>
      <c r="FW10" s="458">
        <f>'_Engine_NR'!J208/12</f>
        <v/>
      </c>
      <c r="FX10" s="458">
        <f>'_Engine_NR'!J209/12</f>
        <v/>
      </c>
      <c r="FY10" s="458">
        <f>'_Engine_NR'!J210/12</f>
        <v/>
      </c>
      <c r="FZ10" s="306" t="n"/>
    </row>
    <row r="11" ht="15" customHeight="1" s="307">
      <c r="A11" s="314" t="n"/>
      <c r="B11" s="464" t="n"/>
      <c r="C11" s="464" t="n"/>
      <c r="D11" s="464" t="n"/>
      <c r="E11" s="464" t="n"/>
      <c r="F11" s="464" t="n"/>
      <c r="G11" s="464" t="n"/>
      <c r="H11" s="464" t="n"/>
      <c r="I11" s="464" t="n"/>
      <c r="J11" s="464" t="n"/>
      <c r="K11" s="464" t="n"/>
      <c r="L11" s="464" t="n"/>
      <c r="M11" s="464" t="n"/>
      <c r="N11" s="464" t="n"/>
      <c r="O11" s="464" t="n"/>
      <c r="P11" s="464" t="n"/>
      <c r="Q11" s="464" t="n"/>
      <c r="R11" s="464" t="n"/>
      <c r="S11" s="464" t="n"/>
      <c r="T11" s="464" t="n"/>
      <c r="U11" s="464" t="n"/>
      <c r="V11" s="464" t="n"/>
      <c r="W11" s="464" t="n"/>
      <c r="X11" s="464" t="n"/>
      <c r="Y11" s="464" t="n"/>
      <c r="Z11" s="464" t="n"/>
      <c r="AA11" s="464" t="n"/>
      <c r="AB11" s="464" t="n"/>
      <c r="AC11" s="464" t="n"/>
      <c r="AD11" s="464" t="n"/>
      <c r="AE11" s="464" t="n"/>
      <c r="AF11" s="464" t="n"/>
      <c r="AG11" s="464" t="n"/>
      <c r="AH11" s="464" t="n"/>
      <c r="AI11" s="464" t="n"/>
      <c r="AJ11" s="464" t="n"/>
      <c r="AK11" s="464" t="n"/>
      <c r="AL11" s="464" t="n"/>
      <c r="AM11" s="464" t="n"/>
      <c r="AN11" s="464" t="n"/>
      <c r="AO11" s="464" t="n"/>
      <c r="AP11" s="464" t="n"/>
      <c r="AQ11" s="464" t="n"/>
      <c r="AR11" s="464" t="n"/>
      <c r="AS11" s="464" t="n"/>
      <c r="AT11" s="464" t="n"/>
      <c r="AU11" s="464" t="n"/>
      <c r="AV11" s="464" t="n"/>
      <c r="AW11" s="464" t="n"/>
      <c r="AX11" s="464" t="n"/>
      <c r="AY11" s="464" t="n"/>
      <c r="AZ11" s="464" t="n"/>
      <c r="BA11" s="464" t="n"/>
      <c r="BB11" s="464" t="n"/>
      <c r="BC11" s="464" t="n"/>
      <c r="BD11" s="464" t="n"/>
      <c r="BE11" s="464" t="n"/>
      <c r="BF11" s="464" t="n"/>
      <c r="BG11" s="464" t="n"/>
      <c r="BH11" s="464" t="n"/>
      <c r="BI11" s="464" t="n"/>
      <c r="BJ11" s="464" t="n"/>
      <c r="BK11" s="464" t="n"/>
      <c r="BL11" s="464" t="n"/>
      <c r="BM11" s="464" t="n"/>
      <c r="BN11" s="464" t="n"/>
      <c r="BO11" s="464" t="n"/>
      <c r="BP11" s="464" t="n"/>
      <c r="BQ11" s="464" t="n"/>
      <c r="BR11" s="464" t="n"/>
      <c r="BS11" s="464" t="n"/>
      <c r="BT11" s="464" t="n"/>
      <c r="BU11" s="464" t="n"/>
      <c r="BV11" s="464" t="n"/>
      <c r="BW11" s="464" t="n"/>
      <c r="BX11" s="464" t="n"/>
      <c r="BY11" s="464" t="n"/>
      <c r="BZ11" s="464" t="n"/>
      <c r="CA11" s="464" t="n"/>
      <c r="CB11" s="464" t="n"/>
      <c r="CC11" s="464" t="n"/>
      <c r="CD11" s="464" t="n"/>
      <c r="CE11" s="464" t="n"/>
      <c r="CF11" s="464" t="n"/>
      <c r="CG11" s="464" t="n"/>
      <c r="CH11" s="464" t="n"/>
      <c r="CI11" s="464" t="n"/>
      <c r="CJ11" s="464" t="n"/>
      <c r="CK11" s="464" t="n"/>
      <c r="CL11" s="464" t="n"/>
      <c r="CM11" s="464" t="n"/>
      <c r="CN11" s="464" t="n"/>
      <c r="CO11" s="464" t="n"/>
      <c r="CP11" s="464" t="n"/>
      <c r="CQ11" s="464" t="n"/>
      <c r="CR11" s="464" t="n"/>
      <c r="CS11" s="464" t="n"/>
      <c r="CT11" s="464" t="n"/>
      <c r="CU11" s="464" t="n"/>
      <c r="CV11" s="464" t="n"/>
      <c r="CW11" s="464" t="n"/>
      <c r="CX11" s="464" t="n"/>
      <c r="CY11" s="464" t="n"/>
      <c r="CZ11" s="464" t="n"/>
      <c r="DA11" s="464" t="n"/>
      <c r="DB11" s="464" t="n"/>
      <c r="DC11" s="464" t="n"/>
      <c r="DD11" s="464" t="n"/>
      <c r="DE11" s="464" t="n"/>
      <c r="DF11" s="464" t="n"/>
      <c r="DG11" s="464" t="n"/>
      <c r="DH11" s="464" t="n"/>
      <c r="DI11" s="464" t="n"/>
      <c r="DJ11" s="464" t="n"/>
      <c r="DK11" s="464" t="n"/>
      <c r="DL11" s="464" t="n"/>
      <c r="DM11" s="464" t="n"/>
      <c r="DN11" s="464" t="n"/>
      <c r="DO11" s="464" t="n"/>
      <c r="DP11" s="464" t="n"/>
      <c r="DQ11" s="464" t="n"/>
      <c r="DR11" s="464" t="n"/>
      <c r="DS11" s="464" t="n"/>
      <c r="DT11" s="464" t="n"/>
      <c r="DU11" s="464" t="n"/>
      <c r="DV11" s="464" t="n"/>
      <c r="DW11" s="464" t="n"/>
      <c r="DX11" s="464" t="n"/>
      <c r="DY11" s="464" t="n"/>
      <c r="DZ11" s="464" t="n"/>
      <c r="EA11" s="464" t="n"/>
      <c r="EB11" s="464" t="n"/>
      <c r="EC11" s="464" t="n"/>
      <c r="ED11" s="464" t="n"/>
      <c r="EE11" s="464" t="n"/>
      <c r="EF11" s="464" t="n"/>
      <c r="EG11" s="464" t="n"/>
      <c r="EH11" s="464" t="n"/>
      <c r="EI11" s="464" t="n"/>
      <c r="EJ11" s="464" t="n"/>
      <c r="EK11" s="464" t="n"/>
      <c r="EL11" s="464" t="n"/>
      <c r="EM11" s="464" t="n"/>
      <c r="EN11" s="464" t="n"/>
      <c r="EO11" s="464" t="n"/>
      <c r="EP11" s="464" t="n"/>
      <c r="EQ11" s="464" t="n"/>
      <c r="ER11" s="464" t="n"/>
      <c r="ES11" s="464" t="n"/>
      <c r="ET11" s="464" t="n"/>
      <c r="EU11" s="464" t="n"/>
      <c r="EV11" s="464" t="n"/>
      <c r="EW11" s="464" t="n"/>
      <c r="EX11" s="464" t="n"/>
      <c r="EY11" s="464" t="n"/>
      <c r="EZ11" s="464" t="n"/>
      <c r="FA11" s="464" t="n"/>
      <c r="FB11" s="464" t="n"/>
      <c r="FC11" s="464" t="n"/>
      <c r="FD11" s="464" t="n"/>
      <c r="FE11" s="464" t="n"/>
      <c r="FF11" s="464" t="n"/>
      <c r="FG11" s="464" t="n"/>
      <c r="FH11" s="464" t="n"/>
      <c r="FI11" s="464" t="n"/>
      <c r="FJ11" s="464" t="n"/>
      <c r="FK11" s="464" t="n"/>
      <c r="FL11" s="464" t="n"/>
      <c r="FM11" s="464" t="n"/>
      <c r="FN11" s="464" t="n"/>
      <c r="FO11" s="464" t="n"/>
      <c r="FP11" s="464" t="n"/>
      <c r="FQ11" s="464" t="n"/>
      <c r="FR11" s="464" t="n"/>
      <c r="FS11" s="464" t="n"/>
      <c r="FT11" s="464" t="n"/>
      <c r="FU11" s="464" t="n"/>
      <c r="FV11" s="464" t="n"/>
      <c r="FW11" s="464" t="n"/>
      <c r="FX11" s="464" t="n"/>
      <c r="FY11" s="464" t="n"/>
      <c r="FZ11" s="306" t="n"/>
    </row>
    <row r="12" ht="15" customHeight="1" s="307">
      <c r="A12" s="325" t="inlineStr">
        <is>
          <t>Portfolio P&amp;L</t>
        </is>
      </c>
      <c r="B12" s="309" t="n"/>
      <c r="C12" s="309" t="n"/>
      <c r="D12" s="309" t="n"/>
      <c r="E12" s="309" t="n"/>
      <c r="F12" s="309" t="n"/>
      <c r="G12" s="309" t="n"/>
      <c r="H12" s="309" t="n"/>
      <c r="I12" s="309" t="n"/>
      <c r="J12" s="309" t="n"/>
      <c r="K12" s="309" t="n"/>
      <c r="L12" s="309" t="n"/>
      <c r="M12" s="309" t="n"/>
      <c r="N12" s="309" t="n"/>
      <c r="O12" s="309" t="n"/>
      <c r="P12" s="309" t="n"/>
      <c r="Q12" s="309" t="n"/>
      <c r="R12" s="309" t="n"/>
      <c r="S12" s="309" t="n"/>
      <c r="T12" s="309" t="n"/>
      <c r="U12" s="309" t="n"/>
      <c r="V12" s="309" t="n"/>
      <c r="W12" s="309" t="n"/>
      <c r="X12" s="309" t="n"/>
      <c r="Y12" s="309" t="n"/>
      <c r="Z12" s="309" t="n"/>
      <c r="AA12" s="309" t="n"/>
      <c r="AB12" s="309" t="n"/>
      <c r="AC12" s="309" t="n"/>
      <c r="AD12" s="309" t="n"/>
      <c r="AE12" s="309" t="n"/>
      <c r="AF12" s="309" t="n"/>
      <c r="AG12" s="309" t="n"/>
      <c r="AH12" s="309" t="n"/>
      <c r="AI12" s="309" t="n"/>
      <c r="AJ12" s="309" t="n"/>
      <c r="AK12" s="309" t="n"/>
      <c r="AL12" s="309" t="n"/>
      <c r="AM12" s="309" t="n"/>
      <c r="AN12" s="309" t="n"/>
      <c r="AO12" s="309" t="n"/>
      <c r="AP12" s="309" t="n"/>
      <c r="AQ12" s="309" t="n"/>
      <c r="AR12" s="309" t="n"/>
      <c r="AS12" s="309" t="n"/>
      <c r="AT12" s="309" t="n"/>
      <c r="AU12" s="309" t="n"/>
      <c r="AV12" s="309" t="n"/>
      <c r="AW12" s="309" t="n"/>
      <c r="AX12" s="309" t="n"/>
      <c r="AY12" s="309" t="n"/>
      <c r="AZ12" s="309" t="n"/>
      <c r="BA12" s="309" t="n"/>
      <c r="BB12" s="309" t="n"/>
      <c r="BC12" s="309" t="n"/>
      <c r="BD12" s="309" t="n"/>
      <c r="BE12" s="309" t="n"/>
      <c r="BF12" s="309" t="n"/>
      <c r="BG12" s="309" t="n"/>
      <c r="BH12" s="309" t="n"/>
      <c r="BI12" s="309" t="n"/>
      <c r="BJ12" s="309" t="n"/>
      <c r="BK12" s="309" t="n"/>
      <c r="BL12" s="309" t="n"/>
      <c r="BM12" s="309" t="n"/>
      <c r="BN12" s="309" t="n"/>
      <c r="BO12" s="309" t="n"/>
      <c r="BP12" s="309" t="n"/>
      <c r="BQ12" s="309" t="n"/>
      <c r="BR12" s="309" t="n"/>
      <c r="BS12" s="309" t="n"/>
      <c r="BT12" s="309" t="n"/>
      <c r="BU12" s="309" t="n"/>
      <c r="BV12" s="309" t="n"/>
      <c r="BW12" s="309" t="n"/>
      <c r="BX12" s="309" t="n"/>
      <c r="BY12" s="309" t="n"/>
      <c r="BZ12" s="309" t="n"/>
      <c r="CA12" s="309" t="n"/>
      <c r="CB12" s="309" t="n"/>
      <c r="CC12" s="309" t="n"/>
      <c r="CD12" s="309" t="n"/>
      <c r="CE12" s="309" t="n"/>
      <c r="CF12" s="309" t="n"/>
      <c r="CG12" s="309" t="n"/>
      <c r="CH12" s="309" t="n"/>
      <c r="CI12" s="309" t="n"/>
      <c r="CJ12" s="309" t="n"/>
      <c r="CK12" s="309" t="n"/>
      <c r="CL12" s="309" t="n"/>
      <c r="CM12" s="309" t="n"/>
      <c r="CN12" s="309" t="n"/>
      <c r="CO12" s="309" t="n"/>
      <c r="CP12" s="309" t="n"/>
      <c r="CQ12" s="309" t="n"/>
      <c r="CR12" s="309" t="n"/>
      <c r="CS12" s="309" t="n"/>
      <c r="CT12" s="309" t="n"/>
      <c r="CU12" s="309" t="n"/>
      <c r="CV12" s="309" t="n"/>
      <c r="CW12" s="309" t="n"/>
      <c r="CX12" s="309" t="n"/>
      <c r="CY12" s="309" t="n"/>
      <c r="CZ12" s="309" t="n"/>
      <c r="DA12" s="309" t="n"/>
      <c r="DB12" s="309" t="n"/>
      <c r="DC12" s="309" t="n"/>
      <c r="DD12" s="309" t="n"/>
      <c r="DE12" s="309" t="n"/>
      <c r="DF12" s="309" t="n"/>
      <c r="DG12" s="309" t="n"/>
      <c r="DH12" s="309" t="n"/>
      <c r="DI12" s="309" t="n"/>
      <c r="DJ12" s="309" t="n"/>
      <c r="DK12" s="309" t="n"/>
      <c r="DL12" s="309" t="n"/>
      <c r="DM12" s="309" t="n"/>
      <c r="DN12" s="309" t="n"/>
      <c r="DO12" s="309" t="n"/>
      <c r="DP12" s="309" t="n"/>
      <c r="DQ12" s="309" t="n"/>
      <c r="DR12" s="309" t="n"/>
      <c r="DS12" s="309" t="n"/>
      <c r="DT12" s="309" t="n"/>
      <c r="DU12" s="309" t="n"/>
      <c r="DV12" s="309" t="n"/>
      <c r="DW12" s="309" t="n"/>
      <c r="DX12" s="309" t="n"/>
      <c r="DY12" s="309" t="n"/>
      <c r="DZ12" s="309" t="n"/>
      <c r="EA12" s="309" t="n"/>
      <c r="EB12" s="309" t="n"/>
      <c r="EC12" s="309" t="n"/>
      <c r="ED12" s="309" t="n"/>
      <c r="EE12" s="309" t="n"/>
      <c r="EF12" s="309" t="n"/>
      <c r="EG12" s="309" t="n"/>
      <c r="EH12" s="309" t="n"/>
      <c r="EI12" s="309" t="n"/>
      <c r="EJ12" s="309" t="n"/>
      <c r="EK12" s="309" t="n"/>
      <c r="EL12" s="309" t="n"/>
      <c r="EM12" s="309" t="n"/>
      <c r="EN12" s="309" t="n"/>
      <c r="EO12" s="309" t="n"/>
      <c r="EP12" s="309" t="n"/>
      <c r="EQ12" s="309" t="n"/>
      <c r="ER12" s="309" t="n"/>
      <c r="ES12" s="309" t="n"/>
      <c r="ET12" s="309" t="n"/>
      <c r="EU12" s="309" t="n"/>
      <c r="EV12" s="309" t="n"/>
      <c r="EW12" s="309" t="n"/>
      <c r="EX12" s="309" t="n"/>
      <c r="EY12" s="309" t="n"/>
      <c r="EZ12" s="309" t="n"/>
      <c r="FA12" s="309" t="n"/>
      <c r="FB12" s="309" t="n"/>
      <c r="FC12" s="309" t="n"/>
      <c r="FD12" s="309" t="n"/>
      <c r="FE12" s="309" t="n"/>
      <c r="FF12" s="309" t="n"/>
      <c r="FG12" s="309" t="n"/>
      <c r="FH12" s="309" t="n"/>
      <c r="FI12" s="309" t="n"/>
      <c r="FJ12" s="309" t="n"/>
      <c r="FK12" s="309" t="n"/>
      <c r="FL12" s="309" t="n"/>
      <c r="FM12" s="309" t="n"/>
      <c r="FN12" s="309" t="n"/>
      <c r="FO12" s="309" t="n"/>
      <c r="FP12" s="309" t="n"/>
      <c r="FQ12" s="309" t="n"/>
      <c r="FR12" s="309" t="n"/>
      <c r="FS12" s="309" t="n"/>
      <c r="FT12" s="309" t="n"/>
      <c r="FU12" s="309" t="n"/>
      <c r="FV12" s="309" t="n"/>
      <c r="FW12" s="309" t="n"/>
      <c r="FX12" s="309" t="n"/>
      <c r="FY12" s="309" t="n"/>
      <c r="FZ12" s="306" t="n"/>
    </row>
    <row r="13" ht="15" customHeight="1" s="307">
      <c r="A13" s="322" t="inlineStr">
        <is>
          <t>Revenue</t>
        </is>
      </c>
      <c r="B13" s="465">
        <f>'_Engine_NR'!L31</f>
        <v/>
      </c>
      <c r="C13" s="465">
        <f>'_Engine_NR'!L32</f>
        <v/>
      </c>
      <c r="D13" s="465">
        <f>'_Engine_NR'!L33</f>
        <v/>
      </c>
      <c r="E13" s="465">
        <f>'_Engine_NR'!L34</f>
        <v/>
      </c>
      <c r="F13" s="465">
        <f>'_Engine_NR'!L35</f>
        <v/>
      </c>
      <c r="G13" s="465">
        <f>'_Engine_NR'!L36</f>
        <v/>
      </c>
      <c r="H13" s="465">
        <f>'_Engine_NR'!L37</f>
        <v/>
      </c>
      <c r="I13" s="465">
        <f>'_Engine_NR'!L38</f>
        <v/>
      </c>
      <c r="J13" s="465">
        <f>'_Engine_NR'!L39</f>
        <v/>
      </c>
      <c r="K13" s="465">
        <f>'_Engine_NR'!L40</f>
        <v/>
      </c>
      <c r="L13" s="465">
        <f>'_Engine_NR'!L41</f>
        <v/>
      </c>
      <c r="M13" s="465">
        <f>'_Engine_NR'!L42</f>
        <v/>
      </c>
      <c r="N13" s="466">
        <f>'_Engine_NR'!L43</f>
        <v/>
      </c>
      <c r="O13" s="466">
        <f>'_Engine_NR'!L44</f>
        <v/>
      </c>
      <c r="P13" s="466">
        <f>'_Engine_NR'!L45</f>
        <v/>
      </c>
      <c r="Q13" s="466">
        <f>'_Engine_NR'!L46</f>
        <v/>
      </c>
      <c r="R13" s="466">
        <f>'_Engine_NR'!L47</f>
        <v/>
      </c>
      <c r="S13" s="466">
        <f>'_Engine_NR'!L48</f>
        <v/>
      </c>
      <c r="T13" s="466">
        <f>'_Engine_NR'!L49</f>
        <v/>
      </c>
      <c r="U13" s="466">
        <f>'_Engine_NR'!L50</f>
        <v/>
      </c>
      <c r="V13" s="466">
        <f>'_Engine_NR'!L51</f>
        <v/>
      </c>
      <c r="W13" s="466">
        <f>'_Engine_NR'!L52</f>
        <v/>
      </c>
      <c r="X13" s="466">
        <f>'_Engine_NR'!L53</f>
        <v/>
      </c>
      <c r="Y13" s="466">
        <f>'_Engine_NR'!L54</f>
        <v/>
      </c>
      <c r="Z13" s="465">
        <f>'_Engine_NR'!L55</f>
        <v/>
      </c>
      <c r="AA13" s="465">
        <f>'_Engine_NR'!L56</f>
        <v/>
      </c>
      <c r="AB13" s="465">
        <f>'_Engine_NR'!L57</f>
        <v/>
      </c>
      <c r="AC13" s="465">
        <f>'_Engine_NR'!L58</f>
        <v/>
      </c>
      <c r="AD13" s="465">
        <f>'_Engine_NR'!L59</f>
        <v/>
      </c>
      <c r="AE13" s="465">
        <f>'_Engine_NR'!L60</f>
        <v/>
      </c>
      <c r="AF13" s="465">
        <f>'_Engine_NR'!L61</f>
        <v/>
      </c>
      <c r="AG13" s="465">
        <f>'_Engine_NR'!L62</f>
        <v/>
      </c>
      <c r="AH13" s="465">
        <f>'_Engine_NR'!L63</f>
        <v/>
      </c>
      <c r="AI13" s="465">
        <f>'_Engine_NR'!L64</f>
        <v/>
      </c>
      <c r="AJ13" s="465">
        <f>'_Engine_NR'!L65</f>
        <v/>
      </c>
      <c r="AK13" s="465">
        <f>'_Engine_NR'!L66</f>
        <v/>
      </c>
      <c r="AL13" s="466">
        <f>'_Engine_NR'!L67</f>
        <v/>
      </c>
      <c r="AM13" s="466">
        <f>'_Engine_NR'!L68</f>
        <v/>
      </c>
      <c r="AN13" s="466">
        <f>'_Engine_NR'!L69</f>
        <v/>
      </c>
      <c r="AO13" s="466">
        <f>'_Engine_NR'!L70</f>
        <v/>
      </c>
      <c r="AP13" s="466">
        <f>'_Engine_NR'!L71</f>
        <v/>
      </c>
      <c r="AQ13" s="466">
        <f>'_Engine_NR'!L72</f>
        <v/>
      </c>
      <c r="AR13" s="466">
        <f>'_Engine_NR'!L73</f>
        <v/>
      </c>
      <c r="AS13" s="466">
        <f>'_Engine_NR'!L74</f>
        <v/>
      </c>
      <c r="AT13" s="466">
        <f>'_Engine_NR'!L75</f>
        <v/>
      </c>
      <c r="AU13" s="466">
        <f>'_Engine_NR'!L76</f>
        <v/>
      </c>
      <c r="AV13" s="466">
        <f>'_Engine_NR'!L77</f>
        <v/>
      </c>
      <c r="AW13" s="466">
        <f>'_Engine_NR'!L78</f>
        <v/>
      </c>
      <c r="AX13" s="465">
        <f>'_Engine_NR'!L79</f>
        <v/>
      </c>
      <c r="AY13" s="465">
        <f>'_Engine_NR'!L80</f>
        <v/>
      </c>
      <c r="AZ13" s="465">
        <f>'_Engine_NR'!L81</f>
        <v/>
      </c>
      <c r="BA13" s="465">
        <f>'_Engine_NR'!L82</f>
        <v/>
      </c>
      <c r="BB13" s="465">
        <f>'_Engine_NR'!L83</f>
        <v/>
      </c>
      <c r="BC13" s="465">
        <f>'_Engine_NR'!L84</f>
        <v/>
      </c>
      <c r="BD13" s="465">
        <f>'_Engine_NR'!L85</f>
        <v/>
      </c>
      <c r="BE13" s="465">
        <f>'_Engine_NR'!L86</f>
        <v/>
      </c>
      <c r="BF13" s="465">
        <f>'_Engine_NR'!L87</f>
        <v/>
      </c>
      <c r="BG13" s="465">
        <f>'_Engine_NR'!L88</f>
        <v/>
      </c>
      <c r="BH13" s="465">
        <f>'_Engine_NR'!L89</f>
        <v/>
      </c>
      <c r="BI13" s="465">
        <f>'_Engine_NR'!L90</f>
        <v/>
      </c>
      <c r="BJ13" s="466">
        <f>'_Engine_NR'!L91</f>
        <v/>
      </c>
      <c r="BK13" s="466">
        <f>'_Engine_NR'!L92</f>
        <v/>
      </c>
      <c r="BL13" s="466">
        <f>'_Engine_NR'!L93</f>
        <v/>
      </c>
      <c r="BM13" s="466">
        <f>'_Engine_NR'!L94</f>
        <v/>
      </c>
      <c r="BN13" s="466">
        <f>'_Engine_NR'!L95</f>
        <v/>
      </c>
      <c r="BO13" s="466">
        <f>'_Engine_NR'!L96</f>
        <v/>
      </c>
      <c r="BP13" s="466">
        <f>'_Engine_NR'!L97</f>
        <v/>
      </c>
      <c r="BQ13" s="466">
        <f>'_Engine_NR'!L98</f>
        <v/>
      </c>
      <c r="BR13" s="466">
        <f>'_Engine_NR'!L99</f>
        <v/>
      </c>
      <c r="BS13" s="466">
        <f>'_Engine_NR'!L100</f>
        <v/>
      </c>
      <c r="BT13" s="466">
        <f>'_Engine_NR'!L101</f>
        <v/>
      </c>
      <c r="BU13" s="466">
        <f>'_Engine_NR'!L102</f>
        <v/>
      </c>
      <c r="BV13" s="465">
        <f>'_Engine_NR'!L103</f>
        <v/>
      </c>
      <c r="BW13" s="465">
        <f>'_Engine_NR'!L104</f>
        <v/>
      </c>
      <c r="BX13" s="465">
        <f>'_Engine_NR'!L105</f>
        <v/>
      </c>
      <c r="BY13" s="465">
        <f>'_Engine_NR'!L106</f>
        <v/>
      </c>
      <c r="BZ13" s="465">
        <f>'_Engine_NR'!L107</f>
        <v/>
      </c>
      <c r="CA13" s="465">
        <f>'_Engine_NR'!L108</f>
        <v/>
      </c>
      <c r="CB13" s="465">
        <f>'_Engine_NR'!L109</f>
        <v/>
      </c>
      <c r="CC13" s="465">
        <f>'_Engine_NR'!L110</f>
        <v/>
      </c>
      <c r="CD13" s="465">
        <f>'_Engine_NR'!L111</f>
        <v/>
      </c>
      <c r="CE13" s="465">
        <f>'_Engine_NR'!L112</f>
        <v/>
      </c>
      <c r="CF13" s="465">
        <f>'_Engine_NR'!L113</f>
        <v/>
      </c>
      <c r="CG13" s="465">
        <f>'_Engine_NR'!L114</f>
        <v/>
      </c>
      <c r="CH13" s="466">
        <f>'_Engine_NR'!L115</f>
        <v/>
      </c>
      <c r="CI13" s="466">
        <f>'_Engine_NR'!L116</f>
        <v/>
      </c>
      <c r="CJ13" s="466">
        <f>'_Engine_NR'!L117</f>
        <v/>
      </c>
      <c r="CK13" s="466">
        <f>'_Engine_NR'!L118</f>
        <v/>
      </c>
      <c r="CL13" s="466">
        <f>'_Engine_NR'!L119</f>
        <v/>
      </c>
      <c r="CM13" s="466">
        <f>'_Engine_NR'!L120</f>
        <v/>
      </c>
      <c r="CN13" s="466">
        <f>'_Engine_NR'!L121</f>
        <v/>
      </c>
      <c r="CO13" s="466">
        <f>'_Engine_NR'!L122</f>
        <v/>
      </c>
      <c r="CP13" s="466">
        <f>'_Engine_NR'!L123</f>
        <v/>
      </c>
      <c r="CQ13" s="466">
        <f>'_Engine_NR'!L124</f>
        <v/>
      </c>
      <c r="CR13" s="466">
        <f>'_Engine_NR'!L125</f>
        <v/>
      </c>
      <c r="CS13" s="466">
        <f>'_Engine_NR'!L126</f>
        <v/>
      </c>
      <c r="CT13" s="465">
        <f>'_Engine_NR'!L127</f>
        <v/>
      </c>
      <c r="CU13" s="465">
        <f>'_Engine_NR'!L128</f>
        <v/>
      </c>
      <c r="CV13" s="465">
        <f>'_Engine_NR'!L129</f>
        <v/>
      </c>
      <c r="CW13" s="465">
        <f>'_Engine_NR'!L130</f>
        <v/>
      </c>
      <c r="CX13" s="465">
        <f>'_Engine_NR'!L131</f>
        <v/>
      </c>
      <c r="CY13" s="465">
        <f>'_Engine_NR'!L132</f>
        <v/>
      </c>
      <c r="CZ13" s="465">
        <f>'_Engine_NR'!L133</f>
        <v/>
      </c>
      <c r="DA13" s="465">
        <f>'_Engine_NR'!L134</f>
        <v/>
      </c>
      <c r="DB13" s="465">
        <f>'_Engine_NR'!L135</f>
        <v/>
      </c>
      <c r="DC13" s="465">
        <f>'_Engine_NR'!L136</f>
        <v/>
      </c>
      <c r="DD13" s="465">
        <f>'_Engine_NR'!L137</f>
        <v/>
      </c>
      <c r="DE13" s="465">
        <f>'_Engine_NR'!L138</f>
        <v/>
      </c>
      <c r="DF13" s="466">
        <f>'_Engine_NR'!L139</f>
        <v/>
      </c>
      <c r="DG13" s="466">
        <f>'_Engine_NR'!L140</f>
        <v/>
      </c>
      <c r="DH13" s="466">
        <f>'_Engine_NR'!L141</f>
        <v/>
      </c>
      <c r="DI13" s="466">
        <f>'_Engine_NR'!L142</f>
        <v/>
      </c>
      <c r="DJ13" s="466">
        <f>'_Engine_NR'!L143</f>
        <v/>
      </c>
      <c r="DK13" s="466">
        <f>'_Engine_NR'!L144</f>
        <v/>
      </c>
      <c r="DL13" s="466">
        <f>'_Engine_NR'!L145</f>
        <v/>
      </c>
      <c r="DM13" s="466">
        <f>'_Engine_NR'!L146</f>
        <v/>
      </c>
      <c r="DN13" s="466">
        <f>'_Engine_NR'!L147</f>
        <v/>
      </c>
      <c r="DO13" s="466">
        <f>'_Engine_NR'!L148</f>
        <v/>
      </c>
      <c r="DP13" s="466">
        <f>'_Engine_NR'!L149</f>
        <v/>
      </c>
      <c r="DQ13" s="466">
        <f>'_Engine_NR'!L150</f>
        <v/>
      </c>
      <c r="DR13" s="465">
        <f>'_Engine_NR'!L151</f>
        <v/>
      </c>
      <c r="DS13" s="465">
        <f>'_Engine_NR'!L152</f>
        <v/>
      </c>
      <c r="DT13" s="465">
        <f>'_Engine_NR'!L153</f>
        <v/>
      </c>
      <c r="DU13" s="465">
        <f>'_Engine_NR'!L154</f>
        <v/>
      </c>
      <c r="DV13" s="465">
        <f>'_Engine_NR'!L155</f>
        <v/>
      </c>
      <c r="DW13" s="465">
        <f>'_Engine_NR'!L156</f>
        <v/>
      </c>
      <c r="DX13" s="465">
        <f>'_Engine_NR'!L157</f>
        <v/>
      </c>
      <c r="DY13" s="465">
        <f>'_Engine_NR'!L158</f>
        <v/>
      </c>
      <c r="DZ13" s="465">
        <f>'_Engine_NR'!L159</f>
        <v/>
      </c>
      <c r="EA13" s="465">
        <f>'_Engine_NR'!L160</f>
        <v/>
      </c>
      <c r="EB13" s="465">
        <f>'_Engine_NR'!L161</f>
        <v/>
      </c>
      <c r="EC13" s="465">
        <f>'_Engine_NR'!L162</f>
        <v/>
      </c>
      <c r="ED13" s="466">
        <f>'_Engine_NR'!L163</f>
        <v/>
      </c>
      <c r="EE13" s="466">
        <f>'_Engine_NR'!L164</f>
        <v/>
      </c>
      <c r="EF13" s="466">
        <f>'_Engine_NR'!L165</f>
        <v/>
      </c>
      <c r="EG13" s="466">
        <f>'_Engine_NR'!L166</f>
        <v/>
      </c>
      <c r="EH13" s="466">
        <f>'_Engine_NR'!L167</f>
        <v/>
      </c>
      <c r="EI13" s="466">
        <f>'_Engine_NR'!L168</f>
        <v/>
      </c>
      <c r="EJ13" s="466">
        <f>'_Engine_NR'!L169</f>
        <v/>
      </c>
      <c r="EK13" s="466">
        <f>'_Engine_NR'!L170</f>
        <v/>
      </c>
      <c r="EL13" s="466">
        <f>'_Engine_NR'!L171</f>
        <v/>
      </c>
      <c r="EM13" s="466">
        <f>'_Engine_NR'!L172</f>
        <v/>
      </c>
      <c r="EN13" s="466">
        <f>'_Engine_NR'!L173</f>
        <v/>
      </c>
      <c r="EO13" s="466">
        <f>'_Engine_NR'!L174</f>
        <v/>
      </c>
      <c r="EP13" s="465">
        <f>'_Engine_NR'!L175</f>
        <v/>
      </c>
      <c r="EQ13" s="465">
        <f>'_Engine_NR'!L176</f>
        <v/>
      </c>
      <c r="ER13" s="465">
        <f>'_Engine_NR'!L177</f>
        <v/>
      </c>
      <c r="ES13" s="465">
        <f>'_Engine_NR'!L178</f>
        <v/>
      </c>
      <c r="ET13" s="465">
        <f>'_Engine_NR'!L179</f>
        <v/>
      </c>
      <c r="EU13" s="465">
        <f>'_Engine_NR'!L180</f>
        <v/>
      </c>
      <c r="EV13" s="465">
        <f>'_Engine_NR'!L181</f>
        <v/>
      </c>
      <c r="EW13" s="465">
        <f>'_Engine_NR'!L182</f>
        <v/>
      </c>
      <c r="EX13" s="465">
        <f>'_Engine_NR'!L183</f>
        <v/>
      </c>
      <c r="EY13" s="465">
        <f>'_Engine_NR'!L184</f>
        <v/>
      </c>
      <c r="EZ13" s="465">
        <f>'_Engine_NR'!L185</f>
        <v/>
      </c>
      <c r="FA13" s="465">
        <f>'_Engine_NR'!L186</f>
        <v/>
      </c>
      <c r="FB13" s="466">
        <f>'_Engine_NR'!L187</f>
        <v/>
      </c>
      <c r="FC13" s="466">
        <f>'_Engine_NR'!L188</f>
        <v/>
      </c>
      <c r="FD13" s="466">
        <f>'_Engine_NR'!L189</f>
        <v/>
      </c>
      <c r="FE13" s="466">
        <f>'_Engine_NR'!L190</f>
        <v/>
      </c>
      <c r="FF13" s="466">
        <f>'_Engine_NR'!L191</f>
        <v/>
      </c>
      <c r="FG13" s="466">
        <f>'_Engine_NR'!L192</f>
        <v/>
      </c>
      <c r="FH13" s="466">
        <f>'_Engine_NR'!L193</f>
        <v/>
      </c>
      <c r="FI13" s="466">
        <f>'_Engine_NR'!L194</f>
        <v/>
      </c>
      <c r="FJ13" s="466">
        <f>'_Engine_NR'!L195</f>
        <v/>
      </c>
      <c r="FK13" s="466">
        <f>'_Engine_NR'!L196</f>
        <v/>
      </c>
      <c r="FL13" s="466">
        <f>'_Engine_NR'!L197</f>
        <v/>
      </c>
      <c r="FM13" s="466">
        <f>'_Engine_NR'!L198</f>
        <v/>
      </c>
      <c r="FN13" s="465">
        <f>'_Engine_NR'!L199</f>
        <v/>
      </c>
      <c r="FO13" s="465">
        <f>'_Engine_NR'!L200</f>
        <v/>
      </c>
      <c r="FP13" s="465">
        <f>'_Engine_NR'!L201</f>
        <v/>
      </c>
      <c r="FQ13" s="465">
        <f>'_Engine_NR'!L202</f>
        <v/>
      </c>
      <c r="FR13" s="465">
        <f>'_Engine_NR'!L203</f>
        <v/>
      </c>
      <c r="FS13" s="465">
        <f>'_Engine_NR'!L204</f>
        <v/>
      </c>
      <c r="FT13" s="465">
        <f>'_Engine_NR'!L205</f>
        <v/>
      </c>
      <c r="FU13" s="465">
        <f>'_Engine_NR'!L206</f>
        <v/>
      </c>
      <c r="FV13" s="465">
        <f>'_Engine_NR'!L207</f>
        <v/>
      </c>
      <c r="FW13" s="465">
        <f>'_Engine_NR'!L208</f>
        <v/>
      </c>
      <c r="FX13" s="465">
        <f>'_Engine_NR'!L209</f>
        <v/>
      </c>
      <c r="FY13" s="465">
        <f>'_Engine_NR'!L210</f>
        <v/>
      </c>
      <c r="FZ13" s="306" t="n"/>
    </row>
    <row r="14" ht="15" customHeight="1" s="307">
      <c r="A14" s="321" t="inlineStr">
        <is>
          <t xml:space="preserve">    Cost of Goods Sold</t>
        </is>
      </c>
      <c r="B14" s="458">
        <f>'_Engine_NR'!M31</f>
        <v/>
      </c>
      <c r="C14" s="458">
        <f>'_Engine_NR'!M32</f>
        <v/>
      </c>
      <c r="D14" s="458">
        <f>'_Engine_NR'!M33</f>
        <v/>
      </c>
      <c r="E14" s="458">
        <f>'_Engine_NR'!M34</f>
        <v/>
      </c>
      <c r="F14" s="458">
        <f>'_Engine_NR'!M35</f>
        <v/>
      </c>
      <c r="G14" s="458">
        <f>'_Engine_NR'!M36</f>
        <v/>
      </c>
      <c r="H14" s="458">
        <f>'_Engine_NR'!M37</f>
        <v/>
      </c>
      <c r="I14" s="458">
        <f>'_Engine_NR'!M38</f>
        <v/>
      </c>
      <c r="J14" s="458">
        <f>'_Engine_NR'!M39</f>
        <v/>
      </c>
      <c r="K14" s="458">
        <f>'_Engine_NR'!M40</f>
        <v/>
      </c>
      <c r="L14" s="458">
        <f>'_Engine_NR'!M41</f>
        <v/>
      </c>
      <c r="M14" s="458">
        <f>'_Engine_NR'!M42</f>
        <v/>
      </c>
      <c r="N14" s="459">
        <f>'_Engine_NR'!M43</f>
        <v/>
      </c>
      <c r="O14" s="459">
        <f>'_Engine_NR'!M44</f>
        <v/>
      </c>
      <c r="P14" s="459">
        <f>'_Engine_NR'!M45</f>
        <v/>
      </c>
      <c r="Q14" s="459">
        <f>'_Engine_NR'!M46</f>
        <v/>
      </c>
      <c r="R14" s="459">
        <f>'_Engine_NR'!M47</f>
        <v/>
      </c>
      <c r="S14" s="459">
        <f>'_Engine_NR'!M48</f>
        <v/>
      </c>
      <c r="T14" s="459">
        <f>'_Engine_NR'!M49</f>
        <v/>
      </c>
      <c r="U14" s="459">
        <f>'_Engine_NR'!M50</f>
        <v/>
      </c>
      <c r="V14" s="459">
        <f>'_Engine_NR'!M51</f>
        <v/>
      </c>
      <c r="W14" s="459">
        <f>'_Engine_NR'!M52</f>
        <v/>
      </c>
      <c r="X14" s="459">
        <f>'_Engine_NR'!M53</f>
        <v/>
      </c>
      <c r="Y14" s="459">
        <f>'_Engine_NR'!M54</f>
        <v/>
      </c>
      <c r="Z14" s="458">
        <f>'_Engine_NR'!M55</f>
        <v/>
      </c>
      <c r="AA14" s="458">
        <f>'_Engine_NR'!M56</f>
        <v/>
      </c>
      <c r="AB14" s="458">
        <f>'_Engine_NR'!M57</f>
        <v/>
      </c>
      <c r="AC14" s="458">
        <f>'_Engine_NR'!M58</f>
        <v/>
      </c>
      <c r="AD14" s="458">
        <f>'_Engine_NR'!M59</f>
        <v/>
      </c>
      <c r="AE14" s="458">
        <f>'_Engine_NR'!M60</f>
        <v/>
      </c>
      <c r="AF14" s="458">
        <f>'_Engine_NR'!M61</f>
        <v/>
      </c>
      <c r="AG14" s="458">
        <f>'_Engine_NR'!M62</f>
        <v/>
      </c>
      <c r="AH14" s="458">
        <f>'_Engine_NR'!M63</f>
        <v/>
      </c>
      <c r="AI14" s="458">
        <f>'_Engine_NR'!M64</f>
        <v/>
      </c>
      <c r="AJ14" s="458">
        <f>'_Engine_NR'!M65</f>
        <v/>
      </c>
      <c r="AK14" s="458">
        <f>'_Engine_NR'!M66</f>
        <v/>
      </c>
      <c r="AL14" s="459">
        <f>'_Engine_NR'!M67</f>
        <v/>
      </c>
      <c r="AM14" s="459">
        <f>'_Engine_NR'!M68</f>
        <v/>
      </c>
      <c r="AN14" s="459">
        <f>'_Engine_NR'!M69</f>
        <v/>
      </c>
      <c r="AO14" s="459">
        <f>'_Engine_NR'!M70</f>
        <v/>
      </c>
      <c r="AP14" s="459">
        <f>'_Engine_NR'!M71</f>
        <v/>
      </c>
      <c r="AQ14" s="459">
        <f>'_Engine_NR'!M72</f>
        <v/>
      </c>
      <c r="AR14" s="459">
        <f>'_Engine_NR'!M73</f>
        <v/>
      </c>
      <c r="AS14" s="459">
        <f>'_Engine_NR'!M74</f>
        <v/>
      </c>
      <c r="AT14" s="459">
        <f>'_Engine_NR'!M75</f>
        <v/>
      </c>
      <c r="AU14" s="459">
        <f>'_Engine_NR'!M76</f>
        <v/>
      </c>
      <c r="AV14" s="459">
        <f>'_Engine_NR'!M77</f>
        <v/>
      </c>
      <c r="AW14" s="459">
        <f>'_Engine_NR'!M78</f>
        <v/>
      </c>
      <c r="AX14" s="458">
        <f>'_Engine_NR'!M79</f>
        <v/>
      </c>
      <c r="AY14" s="458">
        <f>'_Engine_NR'!M80</f>
        <v/>
      </c>
      <c r="AZ14" s="458">
        <f>'_Engine_NR'!M81</f>
        <v/>
      </c>
      <c r="BA14" s="458">
        <f>'_Engine_NR'!M82</f>
        <v/>
      </c>
      <c r="BB14" s="458">
        <f>'_Engine_NR'!M83</f>
        <v/>
      </c>
      <c r="BC14" s="458">
        <f>'_Engine_NR'!M84</f>
        <v/>
      </c>
      <c r="BD14" s="458">
        <f>'_Engine_NR'!M85</f>
        <v/>
      </c>
      <c r="BE14" s="458">
        <f>'_Engine_NR'!M86</f>
        <v/>
      </c>
      <c r="BF14" s="458">
        <f>'_Engine_NR'!M87</f>
        <v/>
      </c>
      <c r="BG14" s="458">
        <f>'_Engine_NR'!M88</f>
        <v/>
      </c>
      <c r="BH14" s="458">
        <f>'_Engine_NR'!M89</f>
        <v/>
      </c>
      <c r="BI14" s="458">
        <f>'_Engine_NR'!M90</f>
        <v/>
      </c>
      <c r="BJ14" s="459">
        <f>'_Engine_NR'!M91</f>
        <v/>
      </c>
      <c r="BK14" s="459">
        <f>'_Engine_NR'!M92</f>
        <v/>
      </c>
      <c r="BL14" s="459">
        <f>'_Engine_NR'!M93</f>
        <v/>
      </c>
      <c r="BM14" s="459">
        <f>'_Engine_NR'!M94</f>
        <v/>
      </c>
      <c r="BN14" s="459">
        <f>'_Engine_NR'!M95</f>
        <v/>
      </c>
      <c r="BO14" s="459">
        <f>'_Engine_NR'!M96</f>
        <v/>
      </c>
      <c r="BP14" s="459">
        <f>'_Engine_NR'!M97</f>
        <v/>
      </c>
      <c r="BQ14" s="459">
        <f>'_Engine_NR'!M98</f>
        <v/>
      </c>
      <c r="BR14" s="459">
        <f>'_Engine_NR'!M99</f>
        <v/>
      </c>
      <c r="BS14" s="459">
        <f>'_Engine_NR'!M100</f>
        <v/>
      </c>
      <c r="BT14" s="459">
        <f>'_Engine_NR'!M101</f>
        <v/>
      </c>
      <c r="BU14" s="459">
        <f>'_Engine_NR'!M102</f>
        <v/>
      </c>
      <c r="BV14" s="458">
        <f>'_Engine_NR'!M103</f>
        <v/>
      </c>
      <c r="BW14" s="458">
        <f>'_Engine_NR'!M104</f>
        <v/>
      </c>
      <c r="BX14" s="458">
        <f>'_Engine_NR'!M105</f>
        <v/>
      </c>
      <c r="BY14" s="458">
        <f>'_Engine_NR'!M106</f>
        <v/>
      </c>
      <c r="BZ14" s="458">
        <f>'_Engine_NR'!M107</f>
        <v/>
      </c>
      <c r="CA14" s="458">
        <f>'_Engine_NR'!M108</f>
        <v/>
      </c>
      <c r="CB14" s="458">
        <f>'_Engine_NR'!M109</f>
        <v/>
      </c>
      <c r="CC14" s="458">
        <f>'_Engine_NR'!M110</f>
        <v/>
      </c>
      <c r="CD14" s="458">
        <f>'_Engine_NR'!M111</f>
        <v/>
      </c>
      <c r="CE14" s="458">
        <f>'_Engine_NR'!M112</f>
        <v/>
      </c>
      <c r="CF14" s="458">
        <f>'_Engine_NR'!M113</f>
        <v/>
      </c>
      <c r="CG14" s="458">
        <f>'_Engine_NR'!M114</f>
        <v/>
      </c>
      <c r="CH14" s="459">
        <f>'_Engine_NR'!M115</f>
        <v/>
      </c>
      <c r="CI14" s="459">
        <f>'_Engine_NR'!M116</f>
        <v/>
      </c>
      <c r="CJ14" s="459">
        <f>'_Engine_NR'!M117</f>
        <v/>
      </c>
      <c r="CK14" s="459">
        <f>'_Engine_NR'!M118</f>
        <v/>
      </c>
      <c r="CL14" s="459">
        <f>'_Engine_NR'!M119</f>
        <v/>
      </c>
      <c r="CM14" s="459">
        <f>'_Engine_NR'!M120</f>
        <v/>
      </c>
      <c r="CN14" s="459">
        <f>'_Engine_NR'!M121</f>
        <v/>
      </c>
      <c r="CO14" s="459">
        <f>'_Engine_NR'!M122</f>
        <v/>
      </c>
      <c r="CP14" s="459">
        <f>'_Engine_NR'!M123</f>
        <v/>
      </c>
      <c r="CQ14" s="459">
        <f>'_Engine_NR'!M124</f>
        <v/>
      </c>
      <c r="CR14" s="459">
        <f>'_Engine_NR'!M125</f>
        <v/>
      </c>
      <c r="CS14" s="459">
        <f>'_Engine_NR'!M126</f>
        <v/>
      </c>
      <c r="CT14" s="458">
        <f>'_Engine_NR'!M127</f>
        <v/>
      </c>
      <c r="CU14" s="458">
        <f>'_Engine_NR'!M128</f>
        <v/>
      </c>
      <c r="CV14" s="458">
        <f>'_Engine_NR'!M129</f>
        <v/>
      </c>
      <c r="CW14" s="458">
        <f>'_Engine_NR'!M130</f>
        <v/>
      </c>
      <c r="CX14" s="458">
        <f>'_Engine_NR'!M131</f>
        <v/>
      </c>
      <c r="CY14" s="458">
        <f>'_Engine_NR'!M132</f>
        <v/>
      </c>
      <c r="CZ14" s="458">
        <f>'_Engine_NR'!M133</f>
        <v/>
      </c>
      <c r="DA14" s="458">
        <f>'_Engine_NR'!M134</f>
        <v/>
      </c>
      <c r="DB14" s="458">
        <f>'_Engine_NR'!M135</f>
        <v/>
      </c>
      <c r="DC14" s="458">
        <f>'_Engine_NR'!M136</f>
        <v/>
      </c>
      <c r="DD14" s="458">
        <f>'_Engine_NR'!M137</f>
        <v/>
      </c>
      <c r="DE14" s="458">
        <f>'_Engine_NR'!M138</f>
        <v/>
      </c>
      <c r="DF14" s="459">
        <f>'_Engine_NR'!M139</f>
        <v/>
      </c>
      <c r="DG14" s="459">
        <f>'_Engine_NR'!M140</f>
        <v/>
      </c>
      <c r="DH14" s="459">
        <f>'_Engine_NR'!M141</f>
        <v/>
      </c>
      <c r="DI14" s="459">
        <f>'_Engine_NR'!M142</f>
        <v/>
      </c>
      <c r="DJ14" s="459">
        <f>'_Engine_NR'!M143</f>
        <v/>
      </c>
      <c r="DK14" s="459">
        <f>'_Engine_NR'!M144</f>
        <v/>
      </c>
      <c r="DL14" s="459">
        <f>'_Engine_NR'!M145</f>
        <v/>
      </c>
      <c r="DM14" s="459">
        <f>'_Engine_NR'!M146</f>
        <v/>
      </c>
      <c r="DN14" s="459">
        <f>'_Engine_NR'!M147</f>
        <v/>
      </c>
      <c r="DO14" s="459">
        <f>'_Engine_NR'!M148</f>
        <v/>
      </c>
      <c r="DP14" s="459">
        <f>'_Engine_NR'!M149</f>
        <v/>
      </c>
      <c r="DQ14" s="459">
        <f>'_Engine_NR'!M150</f>
        <v/>
      </c>
      <c r="DR14" s="458">
        <f>'_Engine_NR'!M151</f>
        <v/>
      </c>
      <c r="DS14" s="458">
        <f>'_Engine_NR'!M152</f>
        <v/>
      </c>
      <c r="DT14" s="458">
        <f>'_Engine_NR'!M153</f>
        <v/>
      </c>
      <c r="DU14" s="458">
        <f>'_Engine_NR'!M154</f>
        <v/>
      </c>
      <c r="DV14" s="458">
        <f>'_Engine_NR'!M155</f>
        <v/>
      </c>
      <c r="DW14" s="458">
        <f>'_Engine_NR'!M156</f>
        <v/>
      </c>
      <c r="DX14" s="458">
        <f>'_Engine_NR'!M157</f>
        <v/>
      </c>
      <c r="DY14" s="458">
        <f>'_Engine_NR'!M158</f>
        <v/>
      </c>
      <c r="DZ14" s="458">
        <f>'_Engine_NR'!M159</f>
        <v/>
      </c>
      <c r="EA14" s="458">
        <f>'_Engine_NR'!M160</f>
        <v/>
      </c>
      <c r="EB14" s="458">
        <f>'_Engine_NR'!M161</f>
        <v/>
      </c>
      <c r="EC14" s="458">
        <f>'_Engine_NR'!M162</f>
        <v/>
      </c>
      <c r="ED14" s="459">
        <f>'_Engine_NR'!M163</f>
        <v/>
      </c>
      <c r="EE14" s="459">
        <f>'_Engine_NR'!M164</f>
        <v/>
      </c>
      <c r="EF14" s="459">
        <f>'_Engine_NR'!M165</f>
        <v/>
      </c>
      <c r="EG14" s="459">
        <f>'_Engine_NR'!M166</f>
        <v/>
      </c>
      <c r="EH14" s="459">
        <f>'_Engine_NR'!M167</f>
        <v/>
      </c>
      <c r="EI14" s="459">
        <f>'_Engine_NR'!M168</f>
        <v/>
      </c>
      <c r="EJ14" s="459">
        <f>'_Engine_NR'!M169</f>
        <v/>
      </c>
      <c r="EK14" s="459">
        <f>'_Engine_NR'!M170</f>
        <v/>
      </c>
      <c r="EL14" s="459">
        <f>'_Engine_NR'!M171</f>
        <v/>
      </c>
      <c r="EM14" s="459">
        <f>'_Engine_NR'!M172</f>
        <v/>
      </c>
      <c r="EN14" s="459">
        <f>'_Engine_NR'!M173</f>
        <v/>
      </c>
      <c r="EO14" s="459">
        <f>'_Engine_NR'!M174</f>
        <v/>
      </c>
      <c r="EP14" s="458">
        <f>'_Engine_NR'!M175</f>
        <v/>
      </c>
      <c r="EQ14" s="458">
        <f>'_Engine_NR'!M176</f>
        <v/>
      </c>
      <c r="ER14" s="458">
        <f>'_Engine_NR'!M177</f>
        <v/>
      </c>
      <c r="ES14" s="458">
        <f>'_Engine_NR'!M178</f>
        <v/>
      </c>
      <c r="ET14" s="458">
        <f>'_Engine_NR'!M179</f>
        <v/>
      </c>
      <c r="EU14" s="458">
        <f>'_Engine_NR'!M180</f>
        <v/>
      </c>
      <c r="EV14" s="458">
        <f>'_Engine_NR'!M181</f>
        <v/>
      </c>
      <c r="EW14" s="458">
        <f>'_Engine_NR'!M182</f>
        <v/>
      </c>
      <c r="EX14" s="458">
        <f>'_Engine_NR'!M183</f>
        <v/>
      </c>
      <c r="EY14" s="458">
        <f>'_Engine_NR'!M184</f>
        <v/>
      </c>
      <c r="EZ14" s="458">
        <f>'_Engine_NR'!M185</f>
        <v/>
      </c>
      <c r="FA14" s="458">
        <f>'_Engine_NR'!M186</f>
        <v/>
      </c>
      <c r="FB14" s="459">
        <f>'_Engine_NR'!M187</f>
        <v/>
      </c>
      <c r="FC14" s="459">
        <f>'_Engine_NR'!M188</f>
        <v/>
      </c>
      <c r="FD14" s="459">
        <f>'_Engine_NR'!M189</f>
        <v/>
      </c>
      <c r="FE14" s="459">
        <f>'_Engine_NR'!M190</f>
        <v/>
      </c>
      <c r="FF14" s="459">
        <f>'_Engine_NR'!M191</f>
        <v/>
      </c>
      <c r="FG14" s="459">
        <f>'_Engine_NR'!M192</f>
        <v/>
      </c>
      <c r="FH14" s="459">
        <f>'_Engine_NR'!M193</f>
        <v/>
      </c>
      <c r="FI14" s="459">
        <f>'_Engine_NR'!M194</f>
        <v/>
      </c>
      <c r="FJ14" s="459">
        <f>'_Engine_NR'!M195</f>
        <v/>
      </c>
      <c r="FK14" s="459">
        <f>'_Engine_NR'!M196</f>
        <v/>
      </c>
      <c r="FL14" s="459">
        <f>'_Engine_NR'!M197</f>
        <v/>
      </c>
      <c r="FM14" s="459">
        <f>'_Engine_NR'!M198</f>
        <v/>
      </c>
      <c r="FN14" s="458">
        <f>'_Engine_NR'!M199</f>
        <v/>
      </c>
      <c r="FO14" s="458">
        <f>'_Engine_NR'!M200</f>
        <v/>
      </c>
      <c r="FP14" s="458">
        <f>'_Engine_NR'!M201</f>
        <v/>
      </c>
      <c r="FQ14" s="458">
        <f>'_Engine_NR'!M202</f>
        <v/>
      </c>
      <c r="FR14" s="458">
        <f>'_Engine_NR'!M203</f>
        <v/>
      </c>
      <c r="FS14" s="458">
        <f>'_Engine_NR'!M204</f>
        <v/>
      </c>
      <c r="FT14" s="458">
        <f>'_Engine_NR'!M205</f>
        <v/>
      </c>
      <c r="FU14" s="458">
        <f>'_Engine_NR'!M206</f>
        <v/>
      </c>
      <c r="FV14" s="458">
        <f>'_Engine_NR'!M207</f>
        <v/>
      </c>
      <c r="FW14" s="458">
        <f>'_Engine_NR'!M208</f>
        <v/>
      </c>
      <c r="FX14" s="458">
        <f>'_Engine_NR'!M209</f>
        <v/>
      </c>
      <c r="FY14" s="458">
        <f>'_Engine_NR'!M210</f>
        <v/>
      </c>
      <c r="FZ14" s="306" t="n"/>
    </row>
    <row r="15" ht="15" customHeight="1" s="307">
      <c r="A15" s="468" t="inlineStr">
        <is>
          <t>Gross Profit</t>
        </is>
      </c>
      <c r="B15" s="469">
        <f>B13-B14</f>
        <v/>
      </c>
      <c r="C15" s="469">
        <f>C13-C14</f>
        <v/>
      </c>
      <c r="D15" s="469">
        <f>D13-D14</f>
        <v/>
      </c>
      <c r="E15" s="469">
        <f>E13-E14</f>
        <v/>
      </c>
      <c r="F15" s="469">
        <f>F13-F14</f>
        <v/>
      </c>
      <c r="G15" s="469">
        <f>G13-G14</f>
        <v/>
      </c>
      <c r="H15" s="469">
        <f>H13-H14</f>
        <v/>
      </c>
      <c r="I15" s="469">
        <f>I13-I14</f>
        <v/>
      </c>
      <c r="J15" s="469">
        <f>J13-J14</f>
        <v/>
      </c>
      <c r="K15" s="469">
        <f>K13-K14</f>
        <v/>
      </c>
      <c r="L15" s="469">
        <f>L13-L14</f>
        <v/>
      </c>
      <c r="M15" s="469">
        <f>M13-M14</f>
        <v/>
      </c>
      <c r="N15" s="470">
        <f>N13-N14</f>
        <v/>
      </c>
      <c r="O15" s="470">
        <f>O13-O14</f>
        <v/>
      </c>
      <c r="P15" s="470">
        <f>P13-P14</f>
        <v/>
      </c>
      <c r="Q15" s="470">
        <f>Q13-Q14</f>
        <v/>
      </c>
      <c r="R15" s="470">
        <f>R13-R14</f>
        <v/>
      </c>
      <c r="S15" s="470">
        <f>S13-S14</f>
        <v/>
      </c>
      <c r="T15" s="470">
        <f>T13-T14</f>
        <v/>
      </c>
      <c r="U15" s="470">
        <f>U13-U14</f>
        <v/>
      </c>
      <c r="V15" s="470">
        <f>V13-V14</f>
        <v/>
      </c>
      <c r="W15" s="470">
        <f>W13-W14</f>
        <v/>
      </c>
      <c r="X15" s="470">
        <f>X13-X14</f>
        <v/>
      </c>
      <c r="Y15" s="470">
        <f>Y13-Y14</f>
        <v/>
      </c>
      <c r="Z15" s="469">
        <f>Z13-Z14</f>
        <v/>
      </c>
      <c r="AA15" s="469">
        <f>AA13-AA14</f>
        <v/>
      </c>
      <c r="AB15" s="469">
        <f>AB13-AB14</f>
        <v/>
      </c>
      <c r="AC15" s="469">
        <f>AC13-AC14</f>
        <v/>
      </c>
      <c r="AD15" s="469">
        <f>AD13-AD14</f>
        <v/>
      </c>
      <c r="AE15" s="469">
        <f>AE13-AE14</f>
        <v/>
      </c>
      <c r="AF15" s="469">
        <f>AF13-AF14</f>
        <v/>
      </c>
      <c r="AG15" s="469">
        <f>AG13-AG14</f>
        <v/>
      </c>
      <c r="AH15" s="469">
        <f>AH13-AH14</f>
        <v/>
      </c>
      <c r="AI15" s="469">
        <f>AI13-AI14</f>
        <v/>
      </c>
      <c r="AJ15" s="469">
        <f>AJ13-AJ14</f>
        <v/>
      </c>
      <c r="AK15" s="469">
        <f>AK13-AK14</f>
        <v/>
      </c>
      <c r="AL15" s="470">
        <f>AL13-AL14</f>
        <v/>
      </c>
      <c r="AM15" s="470">
        <f>AM13-AM14</f>
        <v/>
      </c>
      <c r="AN15" s="470">
        <f>AN13-AN14</f>
        <v/>
      </c>
      <c r="AO15" s="470">
        <f>AO13-AO14</f>
        <v/>
      </c>
      <c r="AP15" s="470">
        <f>AP13-AP14</f>
        <v/>
      </c>
      <c r="AQ15" s="470">
        <f>AQ13-AQ14</f>
        <v/>
      </c>
      <c r="AR15" s="470">
        <f>AR13-AR14</f>
        <v/>
      </c>
      <c r="AS15" s="470">
        <f>AS13-AS14</f>
        <v/>
      </c>
      <c r="AT15" s="470">
        <f>AT13-AT14</f>
        <v/>
      </c>
      <c r="AU15" s="470">
        <f>AU13-AU14</f>
        <v/>
      </c>
      <c r="AV15" s="470">
        <f>AV13-AV14</f>
        <v/>
      </c>
      <c r="AW15" s="470">
        <f>AW13-AW14</f>
        <v/>
      </c>
      <c r="AX15" s="469">
        <f>AX13-AX14</f>
        <v/>
      </c>
      <c r="AY15" s="469">
        <f>AY13-AY14</f>
        <v/>
      </c>
      <c r="AZ15" s="469">
        <f>AZ13-AZ14</f>
        <v/>
      </c>
      <c r="BA15" s="469">
        <f>BA13-BA14</f>
        <v/>
      </c>
      <c r="BB15" s="469">
        <f>BB13-BB14</f>
        <v/>
      </c>
      <c r="BC15" s="469">
        <f>BC13-BC14</f>
        <v/>
      </c>
      <c r="BD15" s="469">
        <f>BD13-BD14</f>
        <v/>
      </c>
      <c r="BE15" s="469">
        <f>BE13-BE14</f>
        <v/>
      </c>
      <c r="BF15" s="469">
        <f>BF13-BF14</f>
        <v/>
      </c>
      <c r="BG15" s="469">
        <f>BG13-BG14</f>
        <v/>
      </c>
      <c r="BH15" s="469">
        <f>BH13-BH14</f>
        <v/>
      </c>
      <c r="BI15" s="469">
        <f>BI13-BI14</f>
        <v/>
      </c>
      <c r="BJ15" s="470">
        <f>BJ13-BJ14</f>
        <v/>
      </c>
      <c r="BK15" s="470">
        <f>BK13-BK14</f>
        <v/>
      </c>
      <c r="BL15" s="470">
        <f>BL13-BL14</f>
        <v/>
      </c>
      <c r="BM15" s="470">
        <f>BM13-BM14</f>
        <v/>
      </c>
      <c r="BN15" s="470">
        <f>BN13-BN14</f>
        <v/>
      </c>
      <c r="BO15" s="470">
        <f>BO13-BO14</f>
        <v/>
      </c>
      <c r="BP15" s="470">
        <f>BP13-BP14</f>
        <v/>
      </c>
      <c r="BQ15" s="470">
        <f>BQ13-BQ14</f>
        <v/>
      </c>
      <c r="BR15" s="470">
        <f>BR13-BR14</f>
        <v/>
      </c>
      <c r="BS15" s="470">
        <f>BS13-BS14</f>
        <v/>
      </c>
      <c r="BT15" s="470">
        <f>BT13-BT14</f>
        <v/>
      </c>
      <c r="BU15" s="470">
        <f>BU13-BU14</f>
        <v/>
      </c>
      <c r="BV15" s="469">
        <f>BV13-BV14</f>
        <v/>
      </c>
      <c r="BW15" s="469">
        <f>BW13-BW14</f>
        <v/>
      </c>
      <c r="BX15" s="469">
        <f>BX13-BX14</f>
        <v/>
      </c>
      <c r="BY15" s="469">
        <f>BY13-BY14</f>
        <v/>
      </c>
      <c r="BZ15" s="469">
        <f>BZ13-BZ14</f>
        <v/>
      </c>
      <c r="CA15" s="469">
        <f>CA13-CA14</f>
        <v/>
      </c>
      <c r="CB15" s="469">
        <f>CB13-CB14</f>
        <v/>
      </c>
      <c r="CC15" s="469">
        <f>CC13-CC14</f>
        <v/>
      </c>
      <c r="CD15" s="469">
        <f>CD13-CD14</f>
        <v/>
      </c>
      <c r="CE15" s="469">
        <f>CE13-CE14</f>
        <v/>
      </c>
      <c r="CF15" s="469">
        <f>CF13-CF14</f>
        <v/>
      </c>
      <c r="CG15" s="469">
        <f>CG13-CG14</f>
        <v/>
      </c>
      <c r="CH15" s="470">
        <f>CH13-CH14</f>
        <v/>
      </c>
      <c r="CI15" s="470">
        <f>CI13-CI14</f>
        <v/>
      </c>
      <c r="CJ15" s="470">
        <f>CJ13-CJ14</f>
        <v/>
      </c>
      <c r="CK15" s="470">
        <f>CK13-CK14</f>
        <v/>
      </c>
      <c r="CL15" s="470">
        <f>CL13-CL14</f>
        <v/>
      </c>
      <c r="CM15" s="470">
        <f>CM13-CM14</f>
        <v/>
      </c>
      <c r="CN15" s="470">
        <f>CN13-CN14</f>
        <v/>
      </c>
      <c r="CO15" s="470">
        <f>CO13-CO14</f>
        <v/>
      </c>
      <c r="CP15" s="470">
        <f>CP13-CP14</f>
        <v/>
      </c>
      <c r="CQ15" s="470">
        <f>CQ13-CQ14</f>
        <v/>
      </c>
      <c r="CR15" s="470">
        <f>CR13-CR14</f>
        <v/>
      </c>
      <c r="CS15" s="470">
        <f>CS13-CS14</f>
        <v/>
      </c>
      <c r="CT15" s="469">
        <f>CT13-CT14</f>
        <v/>
      </c>
      <c r="CU15" s="469">
        <f>CU13-CU14</f>
        <v/>
      </c>
      <c r="CV15" s="469">
        <f>CV13-CV14</f>
        <v/>
      </c>
      <c r="CW15" s="469">
        <f>CW13-CW14</f>
        <v/>
      </c>
      <c r="CX15" s="469">
        <f>CX13-CX14</f>
        <v/>
      </c>
      <c r="CY15" s="469">
        <f>CY13-CY14</f>
        <v/>
      </c>
      <c r="CZ15" s="469">
        <f>CZ13-CZ14</f>
        <v/>
      </c>
      <c r="DA15" s="469">
        <f>DA13-DA14</f>
        <v/>
      </c>
      <c r="DB15" s="469">
        <f>DB13-DB14</f>
        <v/>
      </c>
      <c r="DC15" s="469">
        <f>DC13-DC14</f>
        <v/>
      </c>
      <c r="DD15" s="469">
        <f>DD13-DD14</f>
        <v/>
      </c>
      <c r="DE15" s="469">
        <f>DE13-DE14</f>
        <v/>
      </c>
      <c r="DF15" s="470">
        <f>DF13-DF14</f>
        <v/>
      </c>
      <c r="DG15" s="470">
        <f>DG13-DG14</f>
        <v/>
      </c>
      <c r="DH15" s="470">
        <f>DH13-DH14</f>
        <v/>
      </c>
      <c r="DI15" s="470">
        <f>DI13-DI14</f>
        <v/>
      </c>
      <c r="DJ15" s="470">
        <f>DJ13-DJ14</f>
        <v/>
      </c>
      <c r="DK15" s="470">
        <f>DK13-DK14</f>
        <v/>
      </c>
      <c r="DL15" s="470">
        <f>DL13-DL14</f>
        <v/>
      </c>
      <c r="DM15" s="470">
        <f>DM13-DM14</f>
        <v/>
      </c>
      <c r="DN15" s="470">
        <f>DN13-DN14</f>
        <v/>
      </c>
      <c r="DO15" s="470">
        <f>DO13-DO14</f>
        <v/>
      </c>
      <c r="DP15" s="470">
        <f>DP13-DP14</f>
        <v/>
      </c>
      <c r="DQ15" s="470">
        <f>DQ13-DQ14</f>
        <v/>
      </c>
      <c r="DR15" s="469">
        <f>DR13-DR14</f>
        <v/>
      </c>
      <c r="DS15" s="469">
        <f>DS13-DS14</f>
        <v/>
      </c>
      <c r="DT15" s="469">
        <f>DT13-DT14</f>
        <v/>
      </c>
      <c r="DU15" s="469">
        <f>DU13-DU14</f>
        <v/>
      </c>
      <c r="DV15" s="469">
        <f>DV13-DV14</f>
        <v/>
      </c>
      <c r="DW15" s="469">
        <f>DW13-DW14</f>
        <v/>
      </c>
      <c r="DX15" s="469">
        <f>DX13-DX14</f>
        <v/>
      </c>
      <c r="DY15" s="469">
        <f>DY13-DY14</f>
        <v/>
      </c>
      <c r="DZ15" s="469">
        <f>DZ13-DZ14</f>
        <v/>
      </c>
      <c r="EA15" s="469">
        <f>EA13-EA14</f>
        <v/>
      </c>
      <c r="EB15" s="469">
        <f>EB13-EB14</f>
        <v/>
      </c>
      <c r="EC15" s="469">
        <f>EC13-EC14</f>
        <v/>
      </c>
      <c r="ED15" s="470">
        <f>ED13-ED14</f>
        <v/>
      </c>
      <c r="EE15" s="470">
        <f>EE13-EE14</f>
        <v/>
      </c>
      <c r="EF15" s="470">
        <f>EF13-EF14</f>
        <v/>
      </c>
      <c r="EG15" s="470">
        <f>EG13-EG14</f>
        <v/>
      </c>
      <c r="EH15" s="470">
        <f>EH13-EH14</f>
        <v/>
      </c>
      <c r="EI15" s="470">
        <f>EI13-EI14</f>
        <v/>
      </c>
      <c r="EJ15" s="470">
        <f>EJ13-EJ14</f>
        <v/>
      </c>
      <c r="EK15" s="470">
        <f>EK13-EK14</f>
        <v/>
      </c>
      <c r="EL15" s="470">
        <f>EL13-EL14</f>
        <v/>
      </c>
      <c r="EM15" s="470">
        <f>EM13-EM14</f>
        <v/>
      </c>
      <c r="EN15" s="470">
        <f>EN13-EN14</f>
        <v/>
      </c>
      <c r="EO15" s="470">
        <f>EO13-EO14</f>
        <v/>
      </c>
      <c r="EP15" s="469">
        <f>EP13-EP14</f>
        <v/>
      </c>
      <c r="EQ15" s="469">
        <f>EQ13-EQ14</f>
        <v/>
      </c>
      <c r="ER15" s="469">
        <f>ER13-ER14</f>
        <v/>
      </c>
      <c r="ES15" s="469">
        <f>ES13-ES14</f>
        <v/>
      </c>
      <c r="ET15" s="469">
        <f>ET13-ET14</f>
        <v/>
      </c>
      <c r="EU15" s="469">
        <f>EU13-EU14</f>
        <v/>
      </c>
      <c r="EV15" s="469">
        <f>EV13-EV14</f>
        <v/>
      </c>
      <c r="EW15" s="469">
        <f>EW13-EW14</f>
        <v/>
      </c>
      <c r="EX15" s="469">
        <f>EX13-EX14</f>
        <v/>
      </c>
      <c r="EY15" s="469">
        <f>EY13-EY14</f>
        <v/>
      </c>
      <c r="EZ15" s="469">
        <f>EZ13-EZ14</f>
        <v/>
      </c>
      <c r="FA15" s="469">
        <f>FA13-FA14</f>
        <v/>
      </c>
      <c r="FB15" s="470">
        <f>FB13-FB14</f>
        <v/>
      </c>
      <c r="FC15" s="470">
        <f>FC13-FC14</f>
        <v/>
      </c>
      <c r="FD15" s="470">
        <f>FD13-FD14</f>
        <v/>
      </c>
      <c r="FE15" s="470">
        <f>FE13-FE14</f>
        <v/>
      </c>
      <c r="FF15" s="470">
        <f>FF13-FF14</f>
        <v/>
      </c>
      <c r="FG15" s="470">
        <f>FG13-FG14</f>
        <v/>
      </c>
      <c r="FH15" s="470">
        <f>FH13-FH14</f>
        <v/>
      </c>
      <c r="FI15" s="470">
        <f>FI13-FI14</f>
        <v/>
      </c>
      <c r="FJ15" s="470">
        <f>FJ13-FJ14</f>
        <v/>
      </c>
      <c r="FK15" s="470">
        <f>FK13-FK14</f>
        <v/>
      </c>
      <c r="FL15" s="470">
        <f>FL13-FL14</f>
        <v/>
      </c>
      <c r="FM15" s="470">
        <f>FM13-FM14</f>
        <v/>
      </c>
      <c r="FN15" s="469">
        <f>FN13-FN14</f>
        <v/>
      </c>
      <c r="FO15" s="469">
        <f>FO13-FO14</f>
        <v/>
      </c>
      <c r="FP15" s="469">
        <f>FP13-FP14</f>
        <v/>
      </c>
      <c r="FQ15" s="469">
        <f>FQ13-FQ14</f>
        <v/>
      </c>
      <c r="FR15" s="469">
        <f>FR13-FR14</f>
        <v/>
      </c>
      <c r="FS15" s="469">
        <f>FS13-FS14</f>
        <v/>
      </c>
      <c r="FT15" s="469">
        <f>FT13-FT14</f>
        <v/>
      </c>
      <c r="FU15" s="469">
        <f>FU13-FU14</f>
        <v/>
      </c>
      <c r="FV15" s="469">
        <f>FV13-FV14</f>
        <v/>
      </c>
      <c r="FW15" s="469">
        <f>FW13-FW14</f>
        <v/>
      </c>
      <c r="FX15" s="469">
        <f>FX13-FX14</f>
        <v/>
      </c>
      <c r="FY15" s="469">
        <f>FY13-FY14</f>
        <v/>
      </c>
      <c r="FZ15" s="306" t="n"/>
    </row>
    <row r="16" ht="15" customHeight="1" s="307">
      <c r="A16" s="312" t="n"/>
      <c r="B16" s="464" t="n"/>
      <c r="C16" s="464" t="n"/>
      <c r="D16" s="464" t="n"/>
      <c r="E16" s="464" t="n"/>
      <c r="F16" s="464" t="n"/>
      <c r="G16" s="464" t="n"/>
      <c r="H16" s="464" t="n"/>
      <c r="I16" s="464" t="n"/>
      <c r="J16" s="464" t="n"/>
      <c r="K16" s="464" t="n"/>
      <c r="L16" s="464" t="n"/>
      <c r="M16" s="464" t="n"/>
      <c r="N16" s="464" t="n"/>
      <c r="O16" s="464" t="n"/>
      <c r="P16" s="464" t="n"/>
      <c r="Q16" s="464" t="n"/>
      <c r="R16" s="464" t="n"/>
      <c r="S16" s="464" t="n"/>
      <c r="T16" s="464" t="n"/>
      <c r="U16" s="464" t="n"/>
      <c r="V16" s="464" t="n"/>
      <c r="W16" s="464" t="n"/>
      <c r="X16" s="464" t="n"/>
      <c r="Y16" s="464" t="n"/>
      <c r="Z16" s="464" t="n"/>
      <c r="AA16" s="464" t="n"/>
      <c r="AB16" s="464" t="n"/>
      <c r="AC16" s="464" t="n"/>
      <c r="AD16" s="464" t="n"/>
      <c r="AE16" s="464" t="n"/>
      <c r="AF16" s="464" t="n"/>
      <c r="AG16" s="464" t="n"/>
      <c r="AH16" s="464" t="n"/>
      <c r="AI16" s="464" t="n"/>
      <c r="AJ16" s="464" t="n"/>
      <c r="AK16" s="464" t="n"/>
      <c r="AL16" s="464" t="n"/>
      <c r="AM16" s="464" t="n"/>
      <c r="AN16" s="464" t="n"/>
      <c r="AO16" s="464" t="n"/>
      <c r="AP16" s="464" t="n"/>
      <c r="AQ16" s="464" t="n"/>
      <c r="AR16" s="464" t="n"/>
      <c r="AS16" s="464" t="n"/>
      <c r="AT16" s="464" t="n"/>
      <c r="AU16" s="464" t="n"/>
      <c r="AV16" s="464" t="n"/>
      <c r="AW16" s="464" t="n"/>
      <c r="AX16" s="464" t="n"/>
      <c r="AY16" s="464" t="n"/>
      <c r="AZ16" s="464" t="n"/>
      <c r="BA16" s="464" t="n"/>
      <c r="BB16" s="464" t="n"/>
      <c r="BC16" s="464" t="n"/>
      <c r="BD16" s="464" t="n"/>
      <c r="BE16" s="464" t="n"/>
      <c r="BF16" s="464" t="n"/>
      <c r="BG16" s="464" t="n"/>
      <c r="BH16" s="464" t="n"/>
      <c r="BI16" s="464" t="n"/>
      <c r="BJ16" s="464" t="n"/>
      <c r="BK16" s="464" t="n"/>
      <c r="BL16" s="464" t="n"/>
      <c r="BM16" s="464" t="n"/>
      <c r="BN16" s="464" t="n"/>
      <c r="BO16" s="464" t="n"/>
      <c r="BP16" s="464" t="n"/>
      <c r="BQ16" s="464" t="n"/>
      <c r="BR16" s="464" t="n"/>
      <c r="BS16" s="464" t="n"/>
      <c r="BT16" s="464" t="n"/>
      <c r="BU16" s="464" t="n"/>
      <c r="BV16" s="464" t="n"/>
      <c r="BW16" s="464" t="n"/>
      <c r="BX16" s="464" t="n"/>
      <c r="BY16" s="464" t="n"/>
      <c r="BZ16" s="464" t="n"/>
      <c r="CA16" s="464" t="n"/>
      <c r="CB16" s="464" t="n"/>
      <c r="CC16" s="464" t="n"/>
      <c r="CD16" s="464" t="n"/>
      <c r="CE16" s="464" t="n"/>
      <c r="CF16" s="464" t="n"/>
      <c r="CG16" s="464" t="n"/>
      <c r="CH16" s="464" t="n"/>
      <c r="CI16" s="464" t="n"/>
      <c r="CJ16" s="464" t="n"/>
      <c r="CK16" s="464" t="n"/>
      <c r="CL16" s="464" t="n"/>
      <c r="CM16" s="464" t="n"/>
      <c r="CN16" s="464" t="n"/>
      <c r="CO16" s="464" t="n"/>
      <c r="CP16" s="464" t="n"/>
      <c r="CQ16" s="464" t="n"/>
      <c r="CR16" s="464" t="n"/>
      <c r="CS16" s="464" t="n"/>
      <c r="CT16" s="464" t="n"/>
      <c r="CU16" s="464" t="n"/>
      <c r="CV16" s="464" t="n"/>
      <c r="CW16" s="464" t="n"/>
      <c r="CX16" s="464" t="n"/>
      <c r="CY16" s="464" t="n"/>
      <c r="CZ16" s="464" t="n"/>
      <c r="DA16" s="464" t="n"/>
      <c r="DB16" s="464" t="n"/>
      <c r="DC16" s="464" t="n"/>
      <c r="DD16" s="464" t="n"/>
      <c r="DE16" s="464" t="n"/>
      <c r="DF16" s="464" t="n"/>
      <c r="DG16" s="464" t="n"/>
      <c r="DH16" s="464" t="n"/>
      <c r="DI16" s="464" t="n"/>
      <c r="DJ16" s="464" t="n"/>
      <c r="DK16" s="464" t="n"/>
      <c r="DL16" s="464" t="n"/>
      <c r="DM16" s="464" t="n"/>
      <c r="DN16" s="464" t="n"/>
      <c r="DO16" s="464" t="n"/>
      <c r="DP16" s="464" t="n"/>
      <c r="DQ16" s="464" t="n"/>
      <c r="DR16" s="464" t="n"/>
      <c r="DS16" s="464" t="n"/>
      <c r="DT16" s="464" t="n"/>
      <c r="DU16" s="464" t="n"/>
      <c r="DV16" s="464" t="n"/>
      <c r="DW16" s="464" t="n"/>
      <c r="DX16" s="464" t="n"/>
      <c r="DY16" s="464" t="n"/>
      <c r="DZ16" s="464" t="n"/>
      <c r="EA16" s="464" t="n"/>
      <c r="EB16" s="464" t="n"/>
      <c r="EC16" s="464" t="n"/>
      <c r="ED16" s="464" t="n"/>
      <c r="EE16" s="464" t="n"/>
      <c r="EF16" s="464" t="n"/>
      <c r="EG16" s="464" t="n"/>
      <c r="EH16" s="464" t="n"/>
      <c r="EI16" s="464" t="n"/>
      <c r="EJ16" s="464" t="n"/>
      <c r="EK16" s="464" t="n"/>
      <c r="EL16" s="464" t="n"/>
      <c r="EM16" s="464" t="n"/>
      <c r="EN16" s="464" t="n"/>
      <c r="EO16" s="464" t="n"/>
      <c r="EP16" s="464" t="n"/>
      <c r="EQ16" s="464" t="n"/>
      <c r="ER16" s="464" t="n"/>
      <c r="ES16" s="464" t="n"/>
      <c r="ET16" s="464" t="n"/>
      <c r="EU16" s="464" t="n"/>
      <c r="EV16" s="464" t="n"/>
      <c r="EW16" s="464" t="n"/>
      <c r="EX16" s="464" t="n"/>
      <c r="EY16" s="464" t="n"/>
      <c r="EZ16" s="464" t="n"/>
      <c r="FA16" s="464" t="n"/>
      <c r="FB16" s="464" t="n"/>
      <c r="FC16" s="464" t="n"/>
      <c r="FD16" s="464" t="n"/>
      <c r="FE16" s="464" t="n"/>
      <c r="FF16" s="464" t="n"/>
      <c r="FG16" s="464" t="n"/>
      <c r="FH16" s="464" t="n"/>
      <c r="FI16" s="464" t="n"/>
      <c r="FJ16" s="464" t="n"/>
      <c r="FK16" s="464" t="n"/>
      <c r="FL16" s="464" t="n"/>
      <c r="FM16" s="464" t="n"/>
      <c r="FN16" s="464" t="n"/>
      <c r="FO16" s="464" t="n"/>
      <c r="FP16" s="464" t="n"/>
      <c r="FQ16" s="464" t="n"/>
      <c r="FR16" s="464" t="n"/>
      <c r="FS16" s="464" t="n"/>
      <c r="FT16" s="464" t="n"/>
      <c r="FU16" s="464" t="n"/>
      <c r="FV16" s="464" t="n"/>
      <c r="FW16" s="464" t="n"/>
      <c r="FX16" s="464" t="n"/>
      <c r="FY16" s="464" t="n"/>
      <c r="FZ16" s="306" t="n"/>
    </row>
    <row r="17" ht="15" customHeight="1" s="307">
      <c r="A17" s="321" t="inlineStr">
        <is>
          <t xml:space="preserve">    Vendor Costs</t>
        </is>
      </c>
      <c r="B17" s="458">
        <f>'_Engine_NR'!N31</f>
        <v/>
      </c>
      <c r="C17" s="458">
        <f>'_Engine_NR'!N32</f>
        <v/>
      </c>
      <c r="D17" s="458">
        <f>'_Engine_NR'!N33</f>
        <v/>
      </c>
      <c r="E17" s="458">
        <f>'_Engine_NR'!N34</f>
        <v/>
      </c>
      <c r="F17" s="458">
        <f>'_Engine_NR'!N35</f>
        <v/>
      </c>
      <c r="G17" s="458">
        <f>'_Engine_NR'!N36</f>
        <v/>
      </c>
      <c r="H17" s="458">
        <f>'_Engine_NR'!N37</f>
        <v/>
      </c>
      <c r="I17" s="458">
        <f>'_Engine_NR'!N38</f>
        <v/>
      </c>
      <c r="J17" s="458">
        <f>'_Engine_NR'!N39</f>
        <v/>
      </c>
      <c r="K17" s="458">
        <f>'_Engine_NR'!N40</f>
        <v/>
      </c>
      <c r="L17" s="458">
        <f>'_Engine_NR'!N41</f>
        <v/>
      </c>
      <c r="M17" s="458">
        <f>'_Engine_NR'!N42</f>
        <v/>
      </c>
      <c r="N17" s="459">
        <f>'_Engine_NR'!N43</f>
        <v/>
      </c>
      <c r="O17" s="459">
        <f>'_Engine_NR'!N44</f>
        <v/>
      </c>
      <c r="P17" s="459">
        <f>'_Engine_NR'!N45</f>
        <v/>
      </c>
      <c r="Q17" s="459">
        <f>'_Engine_NR'!N46</f>
        <v/>
      </c>
      <c r="R17" s="459">
        <f>'_Engine_NR'!N47</f>
        <v/>
      </c>
      <c r="S17" s="459">
        <f>'_Engine_NR'!N48</f>
        <v/>
      </c>
      <c r="T17" s="459">
        <f>'_Engine_NR'!N49</f>
        <v/>
      </c>
      <c r="U17" s="459">
        <f>'_Engine_NR'!N50</f>
        <v/>
      </c>
      <c r="V17" s="459">
        <f>'_Engine_NR'!N51</f>
        <v/>
      </c>
      <c r="W17" s="459">
        <f>'_Engine_NR'!N52</f>
        <v/>
      </c>
      <c r="X17" s="459">
        <f>'_Engine_NR'!N53</f>
        <v/>
      </c>
      <c r="Y17" s="459">
        <f>'_Engine_NR'!N54</f>
        <v/>
      </c>
      <c r="Z17" s="458">
        <f>'_Engine_NR'!N55</f>
        <v/>
      </c>
      <c r="AA17" s="458">
        <f>'_Engine_NR'!N56</f>
        <v/>
      </c>
      <c r="AB17" s="458">
        <f>'_Engine_NR'!N57</f>
        <v/>
      </c>
      <c r="AC17" s="458">
        <f>'_Engine_NR'!N58</f>
        <v/>
      </c>
      <c r="AD17" s="458">
        <f>'_Engine_NR'!N59</f>
        <v/>
      </c>
      <c r="AE17" s="458">
        <f>'_Engine_NR'!N60</f>
        <v/>
      </c>
      <c r="AF17" s="458">
        <f>'_Engine_NR'!N61</f>
        <v/>
      </c>
      <c r="AG17" s="458">
        <f>'_Engine_NR'!N62</f>
        <v/>
      </c>
      <c r="AH17" s="458">
        <f>'_Engine_NR'!N63</f>
        <v/>
      </c>
      <c r="AI17" s="458">
        <f>'_Engine_NR'!N64</f>
        <v/>
      </c>
      <c r="AJ17" s="458">
        <f>'_Engine_NR'!N65</f>
        <v/>
      </c>
      <c r="AK17" s="458">
        <f>'_Engine_NR'!N66</f>
        <v/>
      </c>
      <c r="AL17" s="459">
        <f>'_Engine_NR'!N67</f>
        <v/>
      </c>
      <c r="AM17" s="459">
        <f>'_Engine_NR'!N68</f>
        <v/>
      </c>
      <c r="AN17" s="459">
        <f>'_Engine_NR'!N69</f>
        <v/>
      </c>
      <c r="AO17" s="459">
        <f>'_Engine_NR'!N70</f>
        <v/>
      </c>
      <c r="AP17" s="459">
        <f>'_Engine_NR'!N71</f>
        <v/>
      </c>
      <c r="AQ17" s="459">
        <f>'_Engine_NR'!N72</f>
        <v/>
      </c>
      <c r="AR17" s="459">
        <f>'_Engine_NR'!N73</f>
        <v/>
      </c>
      <c r="AS17" s="459">
        <f>'_Engine_NR'!N74</f>
        <v/>
      </c>
      <c r="AT17" s="459">
        <f>'_Engine_NR'!N75</f>
        <v/>
      </c>
      <c r="AU17" s="459">
        <f>'_Engine_NR'!N76</f>
        <v/>
      </c>
      <c r="AV17" s="459">
        <f>'_Engine_NR'!N77</f>
        <v/>
      </c>
      <c r="AW17" s="459">
        <f>'_Engine_NR'!N78</f>
        <v/>
      </c>
      <c r="AX17" s="458">
        <f>'_Engine_NR'!N79</f>
        <v/>
      </c>
      <c r="AY17" s="458">
        <f>'_Engine_NR'!N80</f>
        <v/>
      </c>
      <c r="AZ17" s="458">
        <f>'_Engine_NR'!N81</f>
        <v/>
      </c>
      <c r="BA17" s="458">
        <f>'_Engine_NR'!N82</f>
        <v/>
      </c>
      <c r="BB17" s="458">
        <f>'_Engine_NR'!N83</f>
        <v/>
      </c>
      <c r="BC17" s="458">
        <f>'_Engine_NR'!N84</f>
        <v/>
      </c>
      <c r="BD17" s="458">
        <f>'_Engine_NR'!N85</f>
        <v/>
      </c>
      <c r="BE17" s="458">
        <f>'_Engine_NR'!N86</f>
        <v/>
      </c>
      <c r="BF17" s="458">
        <f>'_Engine_NR'!N87</f>
        <v/>
      </c>
      <c r="BG17" s="458">
        <f>'_Engine_NR'!N88</f>
        <v/>
      </c>
      <c r="BH17" s="458">
        <f>'_Engine_NR'!N89</f>
        <v/>
      </c>
      <c r="BI17" s="458">
        <f>'_Engine_NR'!N90</f>
        <v/>
      </c>
      <c r="BJ17" s="459">
        <f>'_Engine_NR'!N91</f>
        <v/>
      </c>
      <c r="BK17" s="459">
        <f>'_Engine_NR'!N92</f>
        <v/>
      </c>
      <c r="BL17" s="459">
        <f>'_Engine_NR'!N93</f>
        <v/>
      </c>
      <c r="BM17" s="459">
        <f>'_Engine_NR'!N94</f>
        <v/>
      </c>
      <c r="BN17" s="459">
        <f>'_Engine_NR'!N95</f>
        <v/>
      </c>
      <c r="BO17" s="459">
        <f>'_Engine_NR'!N96</f>
        <v/>
      </c>
      <c r="BP17" s="459">
        <f>'_Engine_NR'!N97</f>
        <v/>
      </c>
      <c r="BQ17" s="459">
        <f>'_Engine_NR'!N98</f>
        <v/>
      </c>
      <c r="BR17" s="459">
        <f>'_Engine_NR'!N99</f>
        <v/>
      </c>
      <c r="BS17" s="459">
        <f>'_Engine_NR'!N100</f>
        <v/>
      </c>
      <c r="BT17" s="459">
        <f>'_Engine_NR'!N101</f>
        <v/>
      </c>
      <c r="BU17" s="459">
        <f>'_Engine_NR'!N102</f>
        <v/>
      </c>
      <c r="BV17" s="458">
        <f>'_Engine_NR'!N103</f>
        <v/>
      </c>
      <c r="BW17" s="458">
        <f>'_Engine_NR'!N104</f>
        <v/>
      </c>
      <c r="BX17" s="458">
        <f>'_Engine_NR'!N105</f>
        <v/>
      </c>
      <c r="BY17" s="458">
        <f>'_Engine_NR'!N106</f>
        <v/>
      </c>
      <c r="BZ17" s="458">
        <f>'_Engine_NR'!N107</f>
        <v/>
      </c>
      <c r="CA17" s="458">
        <f>'_Engine_NR'!N108</f>
        <v/>
      </c>
      <c r="CB17" s="458">
        <f>'_Engine_NR'!N109</f>
        <v/>
      </c>
      <c r="CC17" s="458">
        <f>'_Engine_NR'!N110</f>
        <v/>
      </c>
      <c r="CD17" s="458">
        <f>'_Engine_NR'!N111</f>
        <v/>
      </c>
      <c r="CE17" s="458">
        <f>'_Engine_NR'!N112</f>
        <v/>
      </c>
      <c r="CF17" s="458">
        <f>'_Engine_NR'!N113</f>
        <v/>
      </c>
      <c r="CG17" s="458">
        <f>'_Engine_NR'!N114</f>
        <v/>
      </c>
      <c r="CH17" s="459">
        <f>'_Engine_NR'!N115</f>
        <v/>
      </c>
      <c r="CI17" s="459">
        <f>'_Engine_NR'!N116</f>
        <v/>
      </c>
      <c r="CJ17" s="459">
        <f>'_Engine_NR'!N117</f>
        <v/>
      </c>
      <c r="CK17" s="459">
        <f>'_Engine_NR'!N118</f>
        <v/>
      </c>
      <c r="CL17" s="459">
        <f>'_Engine_NR'!N119</f>
        <v/>
      </c>
      <c r="CM17" s="459">
        <f>'_Engine_NR'!N120</f>
        <v/>
      </c>
      <c r="CN17" s="459">
        <f>'_Engine_NR'!N121</f>
        <v/>
      </c>
      <c r="CO17" s="459">
        <f>'_Engine_NR'!N122</f>
        <v/>
      </c>
      <c r="CP17" s="459">
        <f>'_Engine_NR'!N123</f>
        <v/>
      </c>
      <c r="CQ17" s="459">
        <f>'_Engine_NR'!N124</f>
        <v/>
      </c>
      <c r="CR17" s="459">
        <f>'_Engine_NR'!N125</f>
        <v/>
      </c>
      <c r="CS17" s="459">
        <f>'_Engine_NR'!N126</f>
        <v/>
      </c>
      <c r="CT17" s="458">
        <f>'_Engine_NR'!N127</f>
        <v/>
      </c>
      <c r="CU17" s="458">
        <f>'_Engine_NR'!N128</f>
        <v/>
      </c>
      <c r="CV17" s="458">
        <f>'_Engine_NR'!N129</f>
        <v/>
      </c>
      <c r="CW17" s="458">
        <f>'_Engine_NR'!N130</f>
        <v/>
      </c>
      <c r="CX17" s="458">
        <f>'_Engine_NR'!N131</f>
        <v/>
      </c>
      <c r="CY17" s="458">
        <f>'_Engine_NR'!N132</f>
        <v/>
      </c>
      <c r="CZ17" s="458">
        <f>'_Engine_NR'!N133</f>
        <v/>
      </c>
      <c r="DA17" s="458">
        <f>'_Engine_NR'!N134</f>
        <v/>
      </c>
      <c r="DB17" s="458">
        <f>'_Engine_NR'!N135</f>
        <v/>
      </c>
      <c r="DC17" s="458">
        <f>'_Engine_NR'!N136</f>
        <v/>
      </c>
      <c r="DD17" s="458">
        <f>'_Engine_NR'!N137</f>
        <v/>
      </c>
      <c r="DE17" s="458">
        <f>'_Engine_NR'!N138</f>
        <v/>
      </c>
      <c r="DF17" s="459">
        <f>'_Engine_NR'!N139</f>
        <v/>
      </c>
      <c r="DG17" s="459">
        <f>'_Engine_NR'!N140</f>
        <v/>
      </c>
      <c r="DH17" s="459">
        <f>'_Engine_NR'!N141</f>
        <v/>
      </c>
      <c r="DI17" s="459">
        <f>'_Engine_NR'!N142</f>
        <v/>
      </c>
      <c r="DJ17" s="459">
        <f>'_Engine_NR'!N143</f>
        <v/>
      </c>
      <c r="DK17" s="459">
        <f>'_Engine_NR'!N144</f>
        <v/>
      </c>
      <c r="DL17" s="459">
        <f>'_Engine_NR'!N145</f>
        <v/>
      </c>
      <c r="DM17" s="459">
        <f>'_Engine_NR'!N146</f>
        <v/>
      </c>
      <c r="DN17" s="459">
        <f>'_Engine_NR'!N147</f>
        <v/>
      </c>
      <c r="DO17" s="459">
        <f>'_Engine_NR'!N148</f>
        <v/>
      </c>
      <c r="DP17" s="459">
        <f>'_Engine_NR'!N149</f>
        <v/>
      </c>
      <c r="DQ17" s="459">
        <f>'_Engine_NR'!N150</f>
        <v/>
      </c>
      <c r="DR17" s="458">
        <f>'_Engine_NR'!N151</f>
        <v/>
      </c>
      <c r="DS17" s="458">
        <f>'_Engine_NR'!N152</f>
        <v/>
      </c>
      <c r="DT17" s="458">
        <f>'_Engine_NR'!N153</f>
        <v/>
      </c>
      <c r="DU17" s="458">
        <f>'_Engine_NR'!N154</f>
        <v/>
      </c>
      <c r="DV17" s="458">
        <f>'_Engine_NR'!N155</f>
        <v/>
      </c>
      <c r="DW17" s="458">
        <f>'_Engine_NR'!N156</f>
        <v/>
      </c>
      <c r="DX17" s="458">
        <f>'_Engine_NR'!N157</f>
        <v/>
      </c>
      <c r="DY17" s="458">
        <f>'_Engine_NR'!N158</f>
        <v/>
      </c>
      <c r="DZ17" s="458">
        <f>'_Engine_NR'!N159</f>
        <v/>
      </c>
      <c r="EA17" s="458">
        <f>'_Engine_NR'!N160</f>
        <v/>
      </c>
      <c r="EB17" s="458">
        <f>'_Engine_NR'!N161</f>
        <v/>
      </c>
      <c r="EC17" s="458">
        <f>'_Engine_NR'!N162</f>
        <v/>
      </c>
      <c r="ED17" s="459">
        <f>'_Engine_NR'!N163</f>
        <v/>
      </c>
      <c r="EE17" s="459">
        <f>'_Engine_NR'!N164</f>
        <v/>
      </c>
      <c r="EF17" s="459">
        <f>'_Engine_NR'!N165</f>
        <v/>
      </c>
      <c r="EG17" s="459">
        <f>'_Engine_NR'!N166</f>
        <v/>
      </c>
      <c r="EH17" s="459">
        <f>'_Engine_NR'!N167</f>
        <v/>
      </c>
      <c r="EI17" s="459">
        <f>'_Engine_NR'!N168</f>
        <v/>
      </c>
      <c r="EJ17" s="459">
        <f>'_Engine_NR'!N169</f>
        <v/>
      </c>
      <c r="EK17" s="459">
        <f>'_Engine_NR'!N170</f>
        <v/>
      </c>
      <c r="EL17" s="459">
        <f>'_Engine_NR'!N171</f>
        <v/>
      </c>
      <c r="EM17" s="459">
        <f>'_Engine_NR'!N172</f>
        <v/>
      </c>
      <c r="EN17" s="459">
        <f>'_Engine_NR'!N173</f>
        <v/>
      </c>
      <c r="EO17" s="459">
        <f>'_Engine_NR'!N174</f>
        <v/>
      </c>
      <c r="EP17" s="458">
        <f>'_Engine_NR'!N175</f>
        <v/>
      </c>
      <c r="EQ17" s="458">
        <f>'_Engine_NR'!N176</f>
        <v/>
      </c>
      <c r="ER17" s="458">
        <f>'_Engine_NR'!N177</f>
        <v/>
      </c>
      <c r="ES17" s="458">
        <f>'_Engine_NR'!N178</f>
        <v/>
      </c>
      <c r="ET17" s="458">
        <f>'_Engine_NR'!N179</f>
        <v/>
      </c>
      <c r="EU17" s="458">
        <f>'_Engine_NR'!N180</f>
        <v/>
      </c>
      <c r="EV17" s="458">
        <f>'_Engine_NR'!N181</f>
        <v/>
      </c>
      <c r="EW17" s="458">
        <f>'_Engine_NR'!N182</f>
        <v/>
      </c>
      <c r="EX17" s="458">
        <f>'_Engine_NR'!N183</f>
        <v/>
      </c>
      <c r="EY17" s="458">
        <f>'_Engine_NR'!N184</f>
        <v/>
      </c>
      <c r="EZ17" s="458">
        <f>'_Engine_NR'!N185</f>
        <v/>
      </c>
      <c r="FA17" s="458">
        <f>'_Engine_NR'!N186</f>
        <v/>
      </c>
      <c r="FB17" s="459">
        <f>'_Engine_NR'!N187</f>
        <v/>
      </c>
      <c r="FC17" s="459">
        <f>'_Engine_NR'!N188</f>
        <v/>
      </c>
      <c r="FD17" s="459">
        <f>'_Engine_NR'!N189</f>
        <v/>
      </c>
      <c r="FE17" s="459">
        <f>'_Engine_NR'!N190</f>
        <v/>
      </c>
      <c r="FF17" s="459">
        <f>'_Engine_NR'!N191</f>
        <v/>
      </c>
      <c r="FG17" s="459">
        <f>'_Engine_NR'!N192</f>
        <v/>
      </c>
      <c r="FH17" s="459">
        <f>'_Engine_NR'!N193</f>
        <v/>
      </c>
      <c r="FI17" s="459">
        <f>'_Engine_NR'!N194</f>
        <v/>
      </c>
      <c r="FJ17" s="459">
        <f>'_Engine_NR'!N195</f>
        <v/>
      </c>
      <c r="FK17" s="459">
        <f>'_Engine_NR'!N196</f>
        <v/>
      </c>
      <c r="FL17" s="459">
        <f>'_Engine_NR'!N197</f>
        <v/>
      </c>
      <c r="FM17" s="459">
        <f>'_Engine_NR'!N198</f>
        <v/>
      </c>
      <c r="FN17" s="458">
        <f>'_Engine_NR'!N199</f>
        <v/>
      </c>
      <c r="FO17" s="458">
        <f>'_Engine_NR'!N200</f>
        <v/>
      </c>
      <c r="FP17" s="458">
        <f>'_Engine_NR'!N201</f>
        <v/>
      </c>
      <c r="FQ17" s="458">
        <f>'_Engine_NR'!N202</f>
        <v/>
      </c>
      <c r="FR17" s="458">
        <f>'_Engine_NR'!N203</f>
        <v/>
      </c>
      <c r="FS17" s="458">
        <f>'_Engine_NR'!N204</f>
        <v/>
      </c>
      <c r="FT17" s="458">
        <f>'_Engine_NR'!N205</f>
        <v/>
      </c>
      <c r="FU17" s="458">
        <f>'_Engine_NR'!N206</f>
        <v/>
      </c>
      <c r="FV17" s="458">
        <f>'_Engine_NR'!N207</f>
        <v/>
      </c>
      <c r="FW17" s="458">
        <f>'_Engine_NR'!N208</f>
        <v/>
      </c>
      <c r="FX17" s="458">
        <f>'_Engine_NR'!N209</f>
        <v/>
      </c>
      <c r="FY17" s="458">
        <f>'_Engine_NR'!N210</f>
        <v/>
      </c>
      <c r="FZ17" s="306" t="n"/>
    </row>
    <row r="18" ht="15" customHeight="1" s="307">
      <c r="A18" s="321" t="inlineStr">
        <is>
          <t xml:space="preserve">    Corporate Allocation</t>
        </is>
      </c>
      <c r="B18" s="458">
        <f>'_Engine_NR'!O31</f>
        <v/>
      </c>
      <c r="C18" s="458">
        <f>'_Engine_NR'!O32</f>
        <v/>
      </c>
      <c r="D18" s="458">
        <f>'_Engine_NR'!O33</f>
        <v/>
      </c>
      <c r="E18" s="458">
        <f>'_Engine_NR'!O34</f>
        <v/>
      </c>
      <c r="F18" s="458">
        <f>'_Engine_NR'!O35</f>
        <v/>
      </c>
      <c r="G18" s="458">
        <f>'_Engine_NR'!O36</f>
        <v/>
      </c>
      <c r="H18" s="458">
        <f>'_Engine_NR'!O37</f>
        <v/>
      </c>
      <c r="I18" s="458">
        <f>'_Engine_NR'!O38</f>
        <v/>
      </c>
      <c r="J18" s="458">
        <f>'_Engine_NR'!O39</f>
        <v/>
      </c>
      <c r="K18" s="458">
        <f>'_Engine_NR'!O40</f>
        <v/>
      </c>
      <c r="L18" s="458">
        <f>'_Engine_NR'!O41</f>
        <v/>
      </c>
      <c r="M18" s="458">
        <f>'_Engine_NR'!O42</f>
        <v/>
      </c>
      <c r="N18" s="459">
        <f>'_Engine_NR'!O43</f>
        <v/>
      </c>
      <c r="O18" s="459">
        <f>'_Engine_NR'!O44</f>
        <v/>
      </c>
      <c r="P18" s="459">
        <f>'_Engine_NR'!O45</f>
        <v/>
      </c>
      <c r="Q18" s="459">
        <f>'_Engine_NR'!O46</f>
        <v/>
      </c>
      <c r="R18" s="459">
        <f>'_Engine_NR'!O47</f>
        <v/>
      </c>
      <c r="S18" s="459">
        <f>'_Engine_NR'!O48</f>
        <v/>
      </c>
      <c r="T18" s="459">
        <f>'_Engine_NR'!O49</f>
        <v/>
      </c>
      <c r="U18" s="459">
        <f>'_Engine_NR'!O50</f>
        <v/>
      </c>
      <c r="V18" s="459">
        <f>'_Engine_NR'!O51</f>
        <v/>
      </c>
      <c r="W18" s="459">
        <f>'_Engine_NR'!O52</f>
        <v/>
      </c>
      <c r="X18" s="459">
        <f>'_Engine_NR'!O53</f>
        <v/>
      </c>
      <c r="Y18" s="459">
        <f>'_Engine_NR'!O54</f>
        <v/>
      </c>
      <c r="Z18" s="458">
        <f>'_Engine_NR'!O55</f>
        <v/>
      </c>
      <c r="AA18" s="458">
        <f>'_Engine_NR'!O56</f>
        <v/>
      </c>
      <c r="AB18" s="458">
        <f>'_Engine_NR'!O57</f>
        <v/>
      </c>
      <c r="AC18" s="458">
        <f>'_Engine_NR'!O58</f>
        <v/>
      </c>
      <c r="AD18" s="458">
        <f>'_Engine_NR'!O59</f>
        <v/>
      </c>
      <c r="AE18" s="458">
        <f>'_Engine_NR'!O60</f>
        <v/>
      </c>
      <c r="AF18" s="458">
        <f>'_Engine_NR'!O61</f>
        <v/>
      </c>
      <c r="AG18" s="458">
        <f>'_Engine_NR'!O62</f>
        <v/>
      </c>
      <c r="AH18" s="458">
        <f>'_Engine_NR'!O63</f>
        <v/>
      </c>
      <c r="AI18" s="458">
        <f>'_Engine_NR'!O64</f>
        <v/>
      </c>
      <c r="AJ18" s="458">
        <f>'_Engine_NR'!O65</f>
        <v/>
      </c>
      <c r="AK18" s="458">
        <f>'_Engine_NR'!O66</f>
        <v/>
      </c>
      <c r="AL18" s="459">
        <f>'_Engine_NR'!O67</f>
        <v/>
      </c>
      <c r="AM18" s="459">
        <f>'_Engine_NR'!O68</f>
        <v/>
      </c>
      <c r="AN18" s="459">
        <f>'_Engine_NR'!O69</f>
        <v/>
      </c>
      <c r="AO18" s="459">
        <f>'_Engine_NR'!O70</f>
        <v/>
      </c>
      <c r="AP18" s="459">
        <f>'_Engine_NR'!O71</f>
        <v/>
      </c>
      <c r="AQ18" s="459">
        <f>'_Engine_NR'!O72</f>
        <v/>
      </c>
      <c r="AR18" s="459">
        <f>'_Engine_NR'!O73</f>
        <v/>
      </c>
      <c r="AS18" s="459">
        <f>'_Engine_NR'!O74</f>
        <v/>
      </c>
      <c r="AT18" s="459">
        <f>'_Engine_NR'!O75</f>
        <v/>
      </c>
      <c r="AU18" s="459">
        <f>'_Engine_NR'!O76</f>
        <v/>
      </c>
      <c r="AV18" s="459">
        <f>'_Engine_NR'!O77</f>
        <v/>
      </c>
      <c r="AW18" s="459">
        <f>'_Engine_NR'!O78</f>
        <v/>
      </c>
      <c r="AX18" s="458">
        <f>'_Engine_NR'!O79</f>
        <v/>
      </c>
      <c r="AY18" s="458">
        <f>'_Engine_NR'!O80</f>
        <v/>
      </c>
      <c r="AZ18" s="458">
        <f>'_Engine_NR'!O81</f>
        <v/>
      </c>
      <c r="BA18" s="458">
        <f>'_Engine_NR'!O82</f>
        <v/>
      </c>
      <c r="BB18" s="458">
        <f>'_Engine_NR'!O83</f>
        <v/>
      </c>
      <c r="BC18" s="458">
        <f>'_Engine_NR'!O84</f>
        <v/>
      </c>
      <c r="BD18" s="458">
        <f>'_Engine_NR'!O85</f>
        <v/>
      </c>
      <c r="BE18" s="458">
        <f>'_Engine_NR'!O86</f>
        <v/>
      </c>
      <c r="BF18" s="458">
        <f>'_Engine_NR'!O87</f>
        <v/>
      </c>
      <c r="BG18" s="458">
        <f>'_Engine_NR'!O88</f>
        <v/>
      </c>
      <c r="BH18" s="458">
        <f>'_Engine_NR'!O89</f>
        <v/>
      </c>
      <c r="BI18" s="458">
        <f>'_Engine_NR'!O90</f>
        <v/>
      </c>
      <c r="BJ18" s="459">
        <f>'_Engine_NR'!O91</f>
        <v/>
      </c>
      <c r="BK18" s="459">
        <f>'_Engine_NR'!O92</f>
        <v/>
      </c>
      <c r="BL18" s="459">
        <f>'_Engine_NR'!O93</f>
        <v/>
      </c>
      <c r="BM18" s="459">
        <f>'_Engine_NR'!O94</f>
        <v/>
      </c>
      <c r="BN18" s="459">
        <f>'_Engine_NR'!O95</f>
        <v/>
      </c>
      <c r="BO18" s="459">
        <f>'_Engine_NR'!O96</f>
        <v/>
      </c>
      <c r="BP18" s="459">
        <f>'_Engine_NR'!O97</f>
        <v/>
      </c>
      <c r="BQ18" s="459">
        <f>'_Engine_NR'!O98</f>
        <v/>
      </c>
      <c r="BR18" s="459">
        <f>'_Engine_NR'!O99</f>
        <v/>
      </c>
      <c r="BS18" s="459">
        <f>'_Engine_NR'!O100</f>
        <v/>
      </c>
      <c r="BT18" s="459">
        <f>'_Engine_NR'!O101</f>
        <v/>
      </c>
      <c r="BU18" s="459">
        <f>'_Engine_NR'!O102</f>
        <v/>
      </c>
      <c r="BV18" s="458">
        <f>'_Engine_NR'!O103</f>
        <v/>
      </c>
      <c r="BW18" s="458">
        <f>'_Engine_NR'!O104</f>
        <v/>
      </c>
      <c r="BX18" s="458">
        <f>'_Engine_NR'!O105</f>
        <v/>
      </c>
      <c r="BY18" s="458">
        <f>'_Engine_NR'!O106</f>
        <v/>
      </c>
      <c r="BZ18" s="458">
        <f>'_Engine_NR'!O107</f>
        <v/>
      </c>
      <c r="CA18" s="458">
        <f>'_Engine_NR'!O108</f>
        <v/>
      </c>
      <c r="CB18" s="458">
        <f>'_Engine_NR'!O109</f>
        <v/>
      </c>
      <c r="CC18" s="458">
        <f>'_Engine_NR'!O110</f>
        <v/>
      </c>
      <c r="CD18" s="458">
        <f>'_Engine_NR'!O111</f>
        <v/>
      </c>
      <c r="CE18" s="458">
        <f>'_Engine_NR'!O112</f>
        <v/>
      </c>
      <c r="CF18" s="458">
        <f>'_Engine_NR'!O113</f>
        <v/>
      </c>
      <c r="CG18" s="458">
        <f>'_Engine_NR'!O114</f>
        <v/>
      </c>
      <c r="CH18" s="459">
        <f>'_Engine_NR'!O115</f>
        <v/>
      </c>
      <c r="CI18" s="459">
        <f>'_Engine_NR'!O116</f>
        <v/>
      </c>
      <c r="CJ18" s="459">
        <f>'_Engine_NR'!O117</f>
        <v/>
      </c>
      <c r="CK18" s="459">
        <f>'_Engine_NR'!O118</f>
        <v/>
      </c>
      <c r="CL18" s="459">
        <f>'_Engine_NR'!O119</f>
        <v/>
      </c>
      <c r="CM18" s="459">
        <f>'_Engine_NR'!O120</f>
        <v/>
      </c>
      <c r="CN18" s="459">
        <f>'_Engine_NR'!O121</f>
        <v/>
      </c>
      <c r="CO18" s="459">
        <f>'_Engine_NR'!O122</f>
        <v/>
      </c>
      <c r="CP18" s="459">
        <f>'_Engine_NR'!O123</f>
        <v/>
      </c>
      <c r="CQ18" s="459">
        <f>'_Engine_NR'!O124</f>
        <v/>
      </c>
      <c r="CR18" s="459">
        <f>'_Engine_NR'!O125</f>
        <v/>
      </c>
      <c r="CS18" s="459">
        <f>'_Engine_NR'!O126</f>
        <v/>
      </c>
      <c r="CT18" s="458">
        <f>'_Engine_NR'!O127</f>
        <v/>
      </c>
      <c r="CU18" s="458">
        <f>'_Engine_NR'!O128</f>
        <v/>
      </c>
      <c r="CV18" s="458">
        <f>'_Engine_NR'!O129</f>
        <v/>
      </c>
      <c r="CW18" s="458">
        <f>'_Engine_NR'!O130</f>
        <v/>
      </c>
      <c r="CX18" s="458">
        <f>'_Engine_NR'!O131</f>
        <v/>
      </c>
      <c r="CY18" s="458">
        <f>'_Engine_NR'!O132</f>
        <v/>
      </c>
      <c r="CZ18" s="458">
        <f>'_Engine_NR'!O133</f>
        <v/>
      </c>
      <c r="DA18" s="458">
        <f>'_Engine_NR'!O134</f>
        <v/>
      </c>
      <c r="DB18" s="458">
        <f>'_Engine_NR'!O135</f>
        <v/>
      </c>
      <c r="DC18" s="458">
        <f>'_Engine_NR'!O136</f>
        <v/>
      </c>
      <c r="DD18" s="458">
        <f>'_Engine_NR'!O137</f>
        <v/>
      </c>
      <c r="DE18" s="458">
        <f>'_Engine_NR'!O138</f>
        <v/>
      </c>
      <c r="DF18" s="459">
        <f>'_Engine_NR'!O139</f>
        <v/>
      </c>
      <c r="DG18" s="459">
        <f>'_Engine_NR'!O140</f>
        <v/>
      </c>
      <c r="DH18" s="459">
        <f>'_Engine_NR'!O141</f>
        <v/>
      </c>
      <c r="DI18" s="459">
        <f>'_Engine_NR'!O142</f>
        <v/>
      </c>
      <c r="DJ18" s="459">
        <f>'_Engine_NR'!O143</f>
        <v/>
      </c>
      <c r="DK18" s="459">
        <f>'_Engine_NR'!O144</f>
        <v/>
      </c>
      <c r="DL18" s="459">
        <f>'_Engine_NR'!O145</f>
        <v/>
      </c>
      <c r="DM18" s="459">
        <f>'_Engine_NR'!O146</f>
        <v/>
      </c>
      <c r="DN18" s="459">
        <f>'_Engine_NR'!O147</f>
        <v/>
      </c>
      <c r="DO18" s="459">
        <f>'_Engine_NR'!O148</f>
        <v/>
      </c>
      <c r="DP18" s="459">
        <f>'_Engine_NR'!O149</f>
        <v/>
      </c>
      <c r="DQ18" s="459">
        <f>'_Engine_NR'!O150</f>
        <v/>
      </c>
      <c r="DR18" s="458">
        <f>'_Engine_NR'!O151</f>
        <v/>
      </c>
      <c r="DS18" s="458">
        <f>'_Engine_NR'!O152</f>
        <v/>
      </c>
      <c r="DT18" s="458">
        <f>'_Engine_NR'!O153</f>
        <v/>
      </c>
      <c r="DU18" s="458">
        <f>'_Engine_NR'!O154</f>
        <v/>
      </c>
      <c r="DV18" s="458">
        <f>'_Engine_NR'!O155</f>
        <v/>
      </c>
      <c r="DW18" s="458">
        <f>'_Engine_NR'!O156</f>
        <v/>
      </c>
      <c r="DX18" s="458">
        <f>'_Engine_NR'!O157</f>
        <v/>
      </c>
      <c r="DY18" s="458">
        <f>'_Engine_NR'!O158</f>
        <v/>
      </c>
      <c r="DZ18" s="458">
        <f>'_Engine_NR'!O159</f>
        <v/>
      </c>
      <c r="EA18" s="458">
        <f>'_Engine_NR'!O160</f>
        <v/>
      </c>
      <c r="EB18" s="458">
        <f>'_Engine_NR'!O161</f>
        <v/>
      </c>
      <c r="EC18" s="458">
        <f>'_Engine_NR'!O162</f>
        <v/>
      </c>
      <c r="ED18" s="459">
        <f>'_Engine_NR'!O163</f>
        <v/>
      </c>
      <c r="EE18" s="459">
        <f>'_Engine_NR'!O164</f>
        <v/>
      </c>
      <c r="EF18" s="459">
        <f>'_Engine_NR'!O165</f>
        <v/>
      </c>
      <c r="EG18" s="459">
        <f>'_Engine_NR'!O166</f>
        <v/>
      </c>
      <c r="EH18" s="459">
        <f>'_Engine_NR'!O167</f>
        <v/>
      </c>
      <c r="EI18" s="459">
        <f>'_Engine_NR'!O168</f>
        <v/>
      </c>
      <c r="EJ18" s="459">
        <f>'_Engine_NR'!O169</f>
        <v/>
      </c>
      <c r="EK18" s="459">
        <f>'_Engine_NR'!O170</f>
        <v/>
      </c>
      <c r="EL18" s="459">
        <f>'_Engine_NR'!O171</f>
        <v/>
      </c>
      <c r="EM18" s="459">
        <f>'_Engine_NR'!O172</f>
        <v/>
      </c>
      <c r="EN18" s="459">
        <f>'_Engine_NR'!O173</f>
        <v/>
      </c>
      <c r="EO18" s="459">
        <f>'_Engine_NR'!O174</f>
        <v/>
      </c>
      <c r="EP18" s="458">
        <f>'_Engine_NR'!O175</f>
        <v/>
      </c>
      <c r="EQ18" s="458">
        <f>'_Engine_NR'!O176</f>
        <v/>
      </c>
      <c r="ER18" s="458">
        <f>'_Engine_NR'!O177</f>
        <v/>
      </c>
      <c r="ES18" s="458">
        <f>'_Engine_NR'!O178</f>
        <v/>
      </c>
      <c r="ET18" s="458">
        <f>'_Engine_NR'!O179</f>
        <v/>
      </c>
      <c r="EU18" s="458">
        <f>'_Engine_NR'!O180</f>
        <v/>
      </c>
      <c r="EV18" s="458">
        <f>'_Engine_NR'!O181</f>
        <v/>
      </c>
      <c r="EW18" s="458">
        <f>'_Engine_NR'!O182</f>
        <v/>
      </c>
      <c r="EX18" s="458">
        <f>'_Engine_NR'!O183</f>
        <v/>
      </c>
      <c r="EY18" s="458">
        <f>'_Engine_NR'!O184</f>
        <v/>
      </c>
      <c r="EZ18" s="458">
        <f>'_Engine_NR'!O185</f>
        <v/>
      </c>
      <c r="FA18" s="458">
        <f>'_Engine_NR'!O186</f>
        <v/>
      </c>
      <c r="FB18" s="459">
        <f>'_Engine_NR'!O187</f>
        <v/>
      </c>
      <c r="FC18" s="459">
        <f>'_Engine_NR'!O188</f>
        <v/>
      </c>
      <c r="FD18" s="459">
        <f>'_Engine_NR'!O189</f>
        <v/>
      </c>
      <c r="FE18" s="459">
        <f>'_Engine_NR'!O190</f>
        <v/>
      </c>
      <c r="FF18" s="459">
        <f>'_Engine_NR'!O191</f>
        <v/>
      </c>
      <c r="FG18" s="459">
        <f>'_Engine_NR'!O192</f>
        <v/>
      </c>
      <c r="FH18" s="459">
        <f>'_Engine_NR'!O193</f>
        <v/>
      </c>
      <c r="FI18" s="459">
        <f>'_Engine_NR'!O194</f>
        <v/>
      </c>
      <c r="FJ18" s="459">
        <f>'_Engine_NR'!O195</f>
        <v/>
      </c>
      <c r="FK18" s="459">
        <f>'_Engine_NR'!O196</f>
        <v/>
      </c>
      <c r="FL18" s="459">
        <f>'_Engine_NR'!O197</f>
        <v/>
      </c>
      <c r="FM18" s="459">
        <f>'_Engine_NR'!O198</f>
        <v/>
      </c>
      <c r="FN18" s="458">
        <f>'_Engine_NR'!O199</f>
        <v/>
      </c>
      <c r="FO18" s="458">
        <f>'_Engine_NR'!O200</f>
        <v/>
      </c>
      <c r="FP18" s="458">
        <f>'_Engine_NR'!O201</f>
        <v/>
      </c>
      <c r="FQ18" s="458">
        <f>'_Engine_NR'!O202</f>
        <v/>
      </c>
      <c r="FR18" s="458">
        <f>'_Engine_NR'!O203</f>
        <v/>
      </c>
      <c r="FS18" s="458">
        <f>'_Engine_NR'!O204</f>
        <v/>
      </c>
      <c r="FT18" s="458">
        <f>'_Engine_NR'!O205</f>
        <v/>
      </c>
      <c r="FU18" s="458">
        <f>'_Engine_NR'!O206</f>
        <v/>
      </c>
      <c r="FV18" s="458">
        <f>'_Engine_NR'!O207</f>
        <v/>
      </c>
      <c r="FW18" s="458">
        <f>'_Engine_NR'!O208</f>
        <v/>
      </c>
      <c r="FX18" s="458">
        <f>'_Engine_NR'!O209</f>
        <v/>
      </c>
      <c r="FY18" s="458">
        <f>'_Engine_NR'!O210</f>
        <v/>
      </c>
      <c r="FZ18" s="306" t="n"/>
    </row>
    <row r="19" ht="15" customHeight="1" s="307">
      <c r="A19" s="321" t="inlineStr">
        <is>
          <t xml:space="preserve">    Team Compensation</t>
        </is>
      </c>
      <c r="B19" s="458">
        <f>'_Engine_NR'!D31</f>
        <v/>
      </c>
      <c r="C19" s="458">
        <f>'_Engine_NR'!D32</f>
        <v/>
      </c>
      <c r="D19" s="458">
        <f>'_Engine_NR'!D33</f>
        <v/>
      </c>
      <c r="E19" s="458">
        <f>'_Engine_NR'!D34</f>
        <v/>
      </c>
      <c r="F19" s="458">
        <f>'_Engine_NR'!D35</f>
        <v/>
      </c>
      <c r="G19" s="458">
        <f>'_Engine_NR'!D36</f>
        <v/>
      </c>
      <c r="H19" s="458">
        <f>'_Engine_NR'!D37</f>
        <v/>
      </c>
      <c r="I19" s="458">
        <f>'_Engine_NR'!D38</f>
        <v/>
      </c>
      <c r="J19" s="458">
        <f>'_Engine_NR'!D39</f>
        <v/>
      </c>
      <c r="K19" s="458">
        <f>'_Engine_NR'!D40</f>
        <v/>
      </c>
      <c r="L19" s="458">
        <f>'_Engine_NR'!D41</f>
        <v/>
      </c>
      <c r="M19" s="458">
        <f>'_Engine_NR'!D42</f>
        <v/>
      </c>
      <c r="N19" s="459">
        <f>'_Engine_NR'!D43</f>
        <v/>
      </c>
      <c r="O19" s="459">
        <f>'_Engine_NR'!D44</f>
        <v/>
      </c>
      <c r="P19" s="459">
        <f>'_Engine_NR'!D45</f>
        <v/>
      </c>
      <c r="Q19" s="459">
        <f>'_Engine_NR'!D46</f>
        <v/>
      </c>
      <c r="R19" s="459">
        <f>'_Engine_NR'!D47</f>
        <v/>
      </c>
      <c r="S19" s="459">
        <f>'_Engine_NR'!D48</f>
        <v/>
      </c>
      <c r="T19" s="459">
        <f>'_Engine_NR'!D49</f>
        <v/>
      </c>
      <c r="U19" s="459">
        <f>'_Engine_NR'!D50</f>
        <v/>
      </c>
      <c r="V19" s="459">
        <f>'_Engine_NR'!D51</f>
        <v/>
      </c>
      <c r="W19" s="459">
        <f>'_Engine_NR'!D52</f>
        <v/>
      </c>
      <c r="X19" s="459">
        <f>'_Engine_NR'!D53</f>
        <v/>
      </c>
      <c r="Y19" s="459">
        <f>'_Engine_NR'!D54</f>
        <v/>
      </c>
      <c r="Z19" s="458">
        <f>'_Engine_NR'!D55</f>
        <v/>
      </c>
      <c r="AA19" s="458">
        <f>'_Engine_NR'!D56</f>
        <v/>
      </c>
      <c r="AB19" s="458">
        <f>'_Engine_NR'!D57</f>
        <v/>
      </c>
      <c r="AC19" s="458">
        <f>'_Engine_NR'!D58</f>
        <v/>
      </c>
      <c r="AD19" s="458">
        <f>'_Engine_NR'!D59</f>
        <v/>
      </c>
      <c r="AE19" s="458">
        <f>'_Engine_NR'!D60</f>
        <v/>
      </c>
      <c r="AF19" s="458">
        <f>'_Engine_NR'!D61</f>
        <v/>
      </c>
      <c r="AG19" s="458">
        <f>'_Engine_NR'!D62</f>
        <v/>
      </c>
      <c r="AH19" s="458">
        <f>'_Engine_NR'!D63</f>
        <v/>
      </c>
      <c r="AI19" s="458">
        <f>'_Engine_NR'!D64</f>
        <v/>
      </c>
      <c r="AJ19" s="458">
        <f>'_Engine_NR'!D65</f>
        <v/>
      </c>
      <c r="AK19" s="458">
        <f>'_Engine_NR'!D66</f>
        <v/>
      </c>
      <c r="AL19" s="459">
        <f>'_Engine_NR'!D67</f>
        <v/>
      </c>
      <c r="AM19" s="459">
        <f>'_Engine_NR'!D68</f>
        <v/>
      </c>
      <c r="AN19" s="459">
        <f>'_Engine_NR'!D69</f>
        <v/>
      </c>
      <c r="AO19" s="459">
        <f>'_Engine_NR'!D70</f>
        <v/>
      </c>
      <c r="AP19" s="459">
        <f>'_Engine_NR'!D71</f>
        <v/>
      </c>
      <c r="AQ19" s="459">
        <f>'_Engine_NR'!D72</f>
        <v/>
      </c>
      <c r="AR19" s="459">
        <f>'_Engine_NR'!D73</f>
        <v/>
      </c>
      <c r="AS19" s="459">
        <f>'_Engine_NR'!D74</f>
        <v/>
      </c>
      <c r="AT19" s="459">
        <f>'_Engine_NR'!D75</f>
        <v/>
      </c>
      <c r="AU19" s="459">
        <f>'_Engine_NR'!D76</f>
        <v/>
      </c>
      <c r="AV19" s="459">
        <f>'_Engine_NR'!D77</f>
        <v/>
      </c>
      <c r="AW19" s="459">
        <f>'_Engine_NR'!D78</f>
        <v/>
      </c>
      <c r="AX19" s="458">
        <f>'_Engine_NR'!D79</f>
        <v/>
      </c>
      <c r="AY19" s="458">
        <f>'_Engine_NR'!D80</f>
        <v/>
      </c>
      <c r="AZ19" s="458">
        <f>'_Engine_NR'!D81</f>
        <v/>
      </c>
      <c r="BA19" s="458">
        <f>'_Engine_NR'!D82</f>
        <v/>
      </c>
      <c r="BB19" s="458">
        <f>'_Engine_NR'!D83</f>
        <v/>
      </c>
      <c r="BC19" s="458">
        <f>'_Engine_NR'!D84</f>
        <v/>
      </c>
      <c r="BD19" s="458">
        <f>'_Engine_NR'!D85</f>
        <v/>
      </c>
      <c r="BE19" s="458">
        <f>'_Engine_NR'!D86</f>
        <v/>
      </c>
      <c r="BF19" s="458">
        <f>'_Engine_NR'!D87</f>
        <v/>
      </c>
      <c r="BG19" s="458">
        <f>'_Engine_NR'!D88</f>
        <v/>
      </c>
      <c r="BH19" s="458">
        <f>'_Engine_NR'!D89</f>
        <v/>
      </c>
      <c r="BI19" s="458">
        <f>'_Engine_NR'!D90</f>
        <v/>
      </c>
      <c r="BJ19" s="459">
        <f>'_Engine_NR'!D91</f>
        <v/>
      </c>
      <c r="BK19" s="459">
        <f>'_Engine_NR'!D92</f>
        <v/>
      </c>
      <c r="BL19" s="459">
        <f>'_Engine_NR'!D93</f>
        <v/>
      </c>
      <c r="BM19" s="459">
        <f>'_Engine_NR'!D94</f>
        <v/>
      </c>
      <c r="BN19" s="459">
        <f>'_Engine_NR'!D95</f>
        <v/>
      </c>
      <c r="BO19" s="459">
        <f>'_Engine_NR'!D96</f>
        <v/>
      </c>
      <c r="BP19" s="459">
        <f>'_Engine_NR'!D97</f>
        <v/>
      </c>
      <c r="BQ19" s="459">
        <f>'_Engine_NR'!D98</f>
        <v/>
      </c>
      <c r="BR19" s="459">
        <f>'_Engine_NR'!D99</f>
        <v/>
      </c>
      <c r="BS19" s="459">
        <f>'_Engine_NR'!D100</f>
        <v/>
      </c>
      <c r="BT19" s="459">
        <f>'_Engine_NR'!D101</f>
        <v/>
      </c>
      <c r="BU19" s="459">
        <f>'_Engine_NR'!D102</f>
        <v/>
      </c>
      <c r="BV19" s="458">
        <f>'_Engine_NR'!D103</f>
        <v/>
      </c>
      <c r="BW19" s="458">
        <f>'_Engine_NR'!D104</f>
        <v/>
      </c>
      <c r="BX19" s="458">
        <f>'_Engine_NR'!D105</f>
        <v/>
      </c>
      <c r="BY19" s="458">
        <f>'_Engine_NR'!D106</f>
        <v/>
      </c>
      <c r="BZ19" s="458">
        <f>'_Engine_NR'!D107</f>
        <v/>
      </c>
      <c r="CA19" s="458">
        <f>'_Engine_NR'!D108</f>
        <v/>
      </c>
      <c r="CB19" s="458">
        <f>'_Engine_NR'!D109</f>
        <v/>
      </c>
      <c r="CC19" s="458">
        <f>'_Engine_NR'!D110</f>
        <v/>
      </c>
      <c r="CD19" s="458">
        <f>'_Engine_NR'!D111</f>
        <v/>
      </c>
      <c r="CE19" s="458">
        <f>'_Engine_NR'!D112</f>
        <v/>
      </c>
      <c r="CF19" s="458">
        <f>'_Engine_NR'!D113</f>
        <v/>
      </c>
      <c r="CG19" s="458">
        <f>'_Engine_NR'!D114</f>
        <v/>
      </c>
      <c r="CH19" s="459">
        <f>'_Engine_NR'!D115</f>
        <v/>
      </c>
      <c r="CI19" s="459">
        <f>'_Engine_NR'!D116</f>
        <v/>
      </c>
      <c r="CJ19" s="459">
        <f>'_Engine_NR'!D117</f>
        <v/>
      </c>
      <c r="CK19" s="459">
        <f>'_Engine_NR'!D118</f>
        <v/>
      </c>
      <c r="CL19" s="459">
        <f>'_Engine_NR'!D119</f>
        <v/>
      </c>
      <c r="CM19" s="459">
        <f>'_Engine_NR'!D120</f>
        <v/>
      </c>
      <c r="CN19" s="459">
        <f>'_Engine_NR'!D121</f>
        <v/>
      </c>
      <c r="CO19" s="459">
        <f>'_Engine_NR'!D122</f>
        <v/>
      </c>
      <c r="CP19" s="459">
        <f>'_Engine_NR'!D123</f>
        <v/>
      </c>
      <c r="CQ19" s="459">
        <f>'_Engine_NR'!D124</f>
        <v/>
      </c>
      <c r="CR19" s="459">
        <f>'_Engine_NR'!D125</f>
        <v/>
      </c>
      <c r="CS19" s="459">
        <f>'_Engine_NR'!D126</f>
        <v/>
      </c>
      <c r="CT19" s="458">
        <f>'_Engine_NR'!D127</f>
        <v/>
      </c>
      <c r="CU19" s="458">
        <f>'_Engine_NR'!D128</f>
        <v/>
      </c>
      <c r="CV19" s="458">
        <f>'_Engine_NR'!D129</f>
        <v/>
      </c>
      <c r="CW19" s="458">
        <f>'_Engine_NR'!D130</f>
        <v/>
      </c>
      <c r="CX19" s="458">
        <f>'_Engine_NR'!D131</f>
        <v/>
      </c>
      <c r="CY19" s="458">
        <f>'_Engine_NR'!D132</f>
        <v/>
      </c>
      <c r="CZ19" s="458">
        <f>'_Engine_NR'!D133</f>
        <v/>
      </c>
      <c r="DA19" s="458">
        <f>'_Engine_NR'!D134</f>
        <v/>
      </c>
      <c r="DB19" s="458">
        <f>'_Engine_NR'!D135</f>
        <v/>
      </c>
      <c r="DC19" s="458">
        <f>'_Engine_NR'!D136</f>
        <v/>
      </c>
      <c r="DD19" s="458">
        <f>'_Engine_NR'!D137</f>
        <v/>
      </c>
      <c r="DE19" s="458">
        <f>'_Engine_NR'!D138</f>
        <v/>
      </c>
      <c r="DF19" s="459">
        <f>'_Engine_NR'!D139</f>
        <v/>
      </c>
      <c r="DG19" s="459">
        <f>'_Engine_NR'!D140</f>
        <v/>
      </c>
      <c r="DH19" s="459">
        <f>'_Engine_NR'!D141</f>
        <v/>
      </c>
      <c r="DI19" s="459">
        <f>'_Engine_NR'!D142</f>
        <v/>
      </c>
      <c r="DJ19" s="459">
        <f>'_Engine_NR'!D143</f>
        <v/>
      </c>
      <c r="DK19" s="459">
        <f>'_Engine_NR'!D144</f>
        <v/>
      </c>
      <c r="DL19" s="459">
        <f>'_Engine_NR'!D145</f>
        <v/>
      </c>
      <c r="DM19" s="459">
        <f>'_Engine_NR'!D146</f>
        <v/>
      </c>
      <c r="DN19" s="459">
        <f>'_Engine_NR'!D147</f>
        <v/>
      </c>
      <c r="DO19" s="459">
        <f>'_Engine_NR'!D148</f>
        <v/>
      </c>
      <c r="DP19" s="459">
        <f>'_Engine_NR'!D149</f>
        <v/>
      </c>
      <c r="DQ19" s="459">
        <f>'_Engine_NR'!D150</f>
        <v/>
      </c>
      <c r="DR19" s="458">
        <f>'_Engine_NR'!D151</f>
        <v/>
      </c>
      <c r="DS19" s="458">
        <f>'_Engine_NR'!D152</f>
        <v/>
      </c>
      <c r="DT19" s="458">
        <f>'_Engine_NR'!D153</f>
        <v/>
      </c>
      <c r="DU19" s="458">
        <f>'_Engine_NR'!D154</f>
        <v/>
      </c>
      <c r="DV19" s="458">
        <f>'_Engine_NR'!D155</f>
        <v/>
      </c>
      <c r="DW19" s="458">
        <f>'_Engine_NR'!D156</f>
        <v/>
      </c>
      <c r="DX19" s="458">
        <f>'_Engine_NR'!D157</f>
        <v/>
      </c>
      <c r="DY19" s="458">
        <f>'_Engine_NR'!D158</f>
        <v/>
      </c>
      <c r="DZ19" s="458">
        <f>'_Engine_NR'!D159</f>
        <v/>
      </c>
      <c r="EA19" s="458">
        <f>'_Engine_NR'!D160</f>
        <v/>
      </c>
      <c r="EB19" s="458">
        <f>'_Engine_NR'!D161</f>
        <v/>
      </c>
      <c r="EC19" s="458">
        <f>'_Engine_NR'!D162</f>
        <v/>
      </c>
      <c r="ED19" s="459">
        <f>'_Engine_NR'!D163</f>
        <v/>
      </c>
      <c r="EE19" s="459">
        <f>'_Engine_NR'!D164</f>
        <v/>
      </c>
      <c r="EF19" s="459">
        <f>'_Engine_NR'!D165</f>
        <v/>
      </c>
      <c r="EG19" s="459">
        <f>'_Engine_NR'!D166</f>
        <v/>
      </c>
      <c r="EH19" s="459">
        <f>'_Engine_NR'!D167</f>
        <v/>
      </c>
      <c r="EI19" s="459">
        <f>'_Engine_NR'!D168</f>
        <v/>
      </c>
      <c r="EJ19" s="459">
        <f>'_Engine_NR'!D169</f>
        <v/>
      </c>
      <c r="EK19" s="459">
        <f>'_Engine_NR'!D170</f>
        <v/>
      </c>
      <c r="EL19" s="459">
        <f>'_Engine_NR'!D171</f>
        <v/>
      </c>
      <c r="EM19" s="459">
        <f>'_Engine_NR'!D172</f>
        <v/>
      </c>
      <c r="EN19" s="459">
        <f>'_Engine_NR'!D173</f>
        <v/>
      </c>
      <c r="EO19" s="459">
        <f>'_Engine_NR'!D174</f>
        <v/>
      </c>
      <c r="EP19" s="458">
        <f>'_Engine_NR'!D175</f>
        <v/>
      </c>
      <c r="EQ19" s="458">
        <f>'_Engine_NR'!D176</f>
        <v/>
      </c>
      <c r="ER19" s="458">
        <f>'_Engine_NR'!D177</f>
        <v/>
      </c>
      <c r="ES19" s="458">
        <f>'_Engine_NR'!D178</f>
        <v/>
      </c>
      <c r="ET19" s="458">
        <f>'_Engine_NR'!D179</f>
        <v/>
      </c>
      <c r="EU19" s="458">
        <f>'_Engine_NR'!D180</f>
        <v/>
      </c>
      <c r="EV19" s="458">
        <f>'_Engine_NR'!D181</f>
        <v/>
      </c>
      <c r="EW19" s="458">
        <f>'_Engine_NR'!D182</f>
        <v/>
      </c>
      <c r="EX19" s="458">
        <f>'_Engine_NR'!D183</f>
        <v/>
      </c>
      <c r="EY19" s="458">
        <f>'_Engine_NR'!D184</f>
        <v/>
      </c>
      <c r="EZ19" s="458">
        <f>'_Engine_NR'!D185</f>
        <v/>
      </c>
      <c r="FA19" s="458">
        <f>'_Engine_NR'!D186</f>
        <v/>
      </c>
      <c r="FB19" s="459">
        <f>'_Engine_NR'!D187</f>
        <v/>
      </c>
      <c r="FC19" s="459">
        <f>'_Engine_NR'!D188</f>
        <v/>
      </c>
      <c r="FD19" s="459">
        <f>'_Engine_NR'!D189</f>
        <v/>
      </c>
      <c r="FE19" s="459">
        <f>'_Engine_NR'!D190</f>
        <v/>
      </c>
      <c r="FF19" s="459">
        <f>'_Engine_NR'!D191</f>
        <v/>
      </c>
      <c r="FG19" s="459">
        <f>'_Engine_NR'!D192</f>
        <v/>
      </c>
      <c r="FH19" s="459">
        <f>'_Engine_NR'!D193</f>
        <v/>
      </c>
      <c r="FI19" s="459">
        <f>'_Engine_NR'!D194</f>
        <v/>
      </c>
      <c r="FJ19" s="459">
        <f>'_Engine_NR'!D195</f>
        <v/>
      </c>
      <c r="FK19" s="459">
        <f>'_Engine_NR'!D196</f>
        <v/>
      </c>
      <c r="FL19" s="459">
        <f>'_Engine_NR'!D197</f>
        <v/>
      </c>
      <c r="FM19" s="459">
        <f>'_Engine_NR'!D198</f>
        <v/>
      </c>
      <c r="FN19" s="458">
        <f>'_Engine_NR'!D199</f>
        <v/>
      </c>
      <c r="FO19" s="458">
        <f>'_Engine_NR'!D200</f>
        <v/>
      </c>
      <c r="FP19" s="458">
        <f>'_Engine_NR'!D201</f>
        <v/>
      </c>
      <c r="FQ19" s="458">
        <f>'_Engine_NR'!D202</f>
        <v/>
      </c>
      <c r="FR19" s="458">
        <f>'_Engine_NR'!D203</f>
        <v/>
      </c>
      <c r="FS19" s="458">
        <f>'_Engine_NR'!D204</f>
        <v/>
      </c>
      <c r="FT19" s="458">
        <f>'_Engine_NR'!D205</f>
        <v/>
      </c>
      <c r="FU19" s="458">
        <f>'_Engine_NR'!D206</f>
        <v/>
      </c>
      <c r="FV19" s="458">
        <f>'_Engine_NR'!D207</f>
        <v/>
      </c>
      <c r="FW19" s="458">
        <f>'_Engine_NR'!D208</f>
        <v/>
      </c>
      <c r="FX19" s="458">
        <f>'_Engine_NR'!D209</f>
        <v/>
      </c>
      <c r="FY19" s="458">
        <f>'_Engine_NR'!D210</f>
        <v/>
      </c>
      <c r="FZ19" s="306" t="n"/>
    </row>
    <row r="20" ht="15" customHeight="1" s="307">
      <c r="A20" s="321" t="inlineStr">
        <is>
          <t xml:space="preserve">    Legacy Headcount Expenses</t>
        </is>
      </c>
      <c r="B20" s="458">
        <f>'_Engine_NR'!E31</f>
        <v/>
      </c>
      <c r="C20" s="458">
        <f>'_Engine_NR'!E32</f>
        <v/>
      </c>
      <c r="D20" s="458">
        <f>'_Engine_NR'!E33</f>
        <v/>
      </c>
      <c r="E20" s="458">
        <f>'_Engine_NR'!E34</f>
        <v/>
      </c>
      <c r="F20" s="458">
        <f>'_Engine_NR'!E35</f>
        <v/>
      </c>
      <c r="G20" s="458">
        <f>'_Engine_NR'!E36</f>
        <v/>
      </c>
      <c r="H20" s="458">
        <f>'_Engine_NR'!E37</f>
        <v/>
      </c>
      <c r="I20" s="458">
        <f>'_Engine_NR'!E38</f>
        <v/>
      </c>
      <c r="J20" s="458">
        <f>'_Engine_NR'!E39</f>
        <v/>
      </c>
      <c r="K20" s="458">
        <f>'_Engine_NR'!E40</f>
        <v/>
      </c>
      <c r="L20" s="458">
        <f>'_Engine_NR'!E41</f>
        <v/>
      </c>
      <c r="M20" s="458">
        <f>'_Engine_NR'!E42</f>
        <v/>
      </c>
      <c r="N20" s="459">
        <f>'_Engine_NR'!E43</f>
        <v/>
      </c>
      <c r="O20" s="459">
        <f>'_Engine_NR'!E44</f>
        <v/>
      </c>
      <c r="P20" s="459">
        <f>'_Engine_NR'!E45</f>
        <v/>
      </c>
      <c r="Q20" s="459">
        <f>'_Engine_NR'!E46</f>
        <v/>
      </c>
      <c r="R20" s="459">
        <f>'_Engine_NR'!E47</f>
        <v/>
      </c>
      <c r="S20" s="459">
        <f>'_Engine_NR'!E48</f>
        <v/>
      </c>
      <c r="T20" s="459">
        <f>'_Engine_NR'!E49</f>
        <v/>
      </c>
      <c r="U20" s="459">
        <f>'_Engine_NR'!E50</f>
        <v/>
      </c>
      <c r="V20" s="459">
        <f>'_Engine_NR'!E51</f>
        <v/>
      </c>
      <c r="W20" s="459">
        <f>'_Engine_NR'!E52</f>
        <v/>
      </c>
      <c r="X20" s="459">
        <f>'_Engine_NR'!E53</f>
        <v/>
      </c>
      <c r="Y20" s="459">
        <f>'_Engine_NR'!E54</f>
        <v/>
      </c>
      <c r="Z20" s="458">
        <f>'_Engine_NR'!E55</f>
        <v/>
      </c>
      <c r="AA20" s="458">
        <f>'_Engine_NR'!E56</f>
        <v/>
      </c>
      <c r="AB20" s="458">
        <f>'_Engine_NR'!E57</f>
        <v/>
      </c>
      <c r="AC20" s="458">
        <f>'_Engine_NR'!E58</f>
        <v/>
      </c>
      <c r="AD20" s="458">
        <f>'_Engine_NR'!E59</f>
        <v/>
      </c>
      <c r="AE20" s="458">
        <f>'_Engine_NR'!E60</f>
        <v/>
      </c>
      <c r="AF20" s="458">
        <f>'_Engine_NR'!E61</f>
        <v/>
      </c>
      <c r="AG20" s="458">
        <f>'_Engine_NR'!E62</f>
        <v/>
      </c>
      <c r="AH20" s="458">
        <f>'_Engine_NR'!E63</f>
        <v/>
      </c>
      <c r="AI20" s="458">
        <f>'_Engine_NR'!E64</f>
        <v/>
      </c>
      <c r="AJ20" s="458">
        <f>'_Engine_NR'!E65</f>
        <v/>
      </c>
      <c r="AK20" s="458">
        <f>'_Engine_NR'!E66</f>
        <v/>
      </c>
      <c r="AL20" s="459">
        <f>'_Engine_NR'!E67</f>
        <v/>
      </c>
      <c r="AM20" s="459">
        <f>'_Engine_NR'!E68</f>
        <v/>
      </c>
      <c r="AN20" s="459">
        <f>'_Engine_NR'!E69</f>
        <v/>
      </c>
      <c r="AO20" s="459">
        <f>'_Engine_NR'!E70</f>
        <v/>
      </c>
      <c r="AP20" s="459">
        <f>'_Engine_NR'!E71</f>
        <v/>
      </c>
      <c r="AQ20" s="459">
        <f>'_Engine_NR'!E72</f>
        <v/>
      </c>
      <c r="AR20" s="459">
        <f>'_Engine_NR'!E73</f>
        <v/>
      </c>
      <c r="AS20" s="459">
        <f>'_Engine_NR'!E74</f>
        <v/>
      </c>
      <c r="AT20" s="459">
        <f>'_Engine_NR'!E75</f>
        <v/>
      </c>
      <c r="AU20" s="459">
        <f>'_Engine_NR'!E76</f>
        <v/>
      </c>
      <c r="AV20" s="459">
        <f>'_Engine_NR'!E77</f>
        <v/>
      </c>
      <c r="AW20" s="459">
        <f>'_Engine_NR'!E78</f>
        <v/>
      </c>
      <c r="AX20" s="458">
        <f>'_Engine_NR'!E79</f>
        <v/>
      </c>
      <c r="AY20" s="458">
        <f>'_Engine_NR'!E80</f>
        <v/>
      </c>
      <c r="AZ20" s="458">
        <f>'_Engine_NR'!E81</f>
        <v/>
      </c>
      <c r="BA20" s="458">
        <f>'_Engine_NR'!E82</f>
        <v/>
      </c>
      <c r="BB20" s="458">
        <f>'_Engine_NR'!E83</f>
        <v/>
      </c>
      <c r="BC20" s="458">
        <f>'_Engine_NR'!E84</f>
        <v/>
      </c>
      <c r="BD20" s="458">
        <f>'_Engine_NR'!E85</f>
        <v/>
      </c>
      <c r="BE20" s="458">
        <f>'_Engine_NR'!E86</f>
        <v/>
      </c>
      <c r="BF20" s="458">
        <f>'_Engine_NR'!E87</f>
        <v/>
      </c>
      <c r="BG20" s="458">
        <f>'_Engine_NR'!E88</f>
        <v/>
      </c>
      <c r="BH20" s="458">
        <f>'_Engine_NR'!E89</f>
        <v/>
      </c>
      <c r="BI20" s="458">
        <f>'_Engine_NR'!E90</f>
        <v/>
      </c>
      <c r="BJ20" s="459">
        <f>'_Engine_NR'!E91</f>
        <v/>
      </c>
      <c r="BK20" s="459">
        <f>'_Engine_NR'!E92</f>
        <v/>
      </c>
      <c r="BL20" s="459">
        <f>'_Engine_NR'!E93</f>
        <v/>
      </c>
      <c r="BM20" s="459">
        <f>'_Engine_NR'!E94</f>
        <v/>
      </c>
      <c r="BN20" s="459">
        <f>'_Engine_NR'!E95</f>
        <v/>
      </c>
      <c r="BO20" s="459">
        <f>'_Engine_NR'!E96</f>
        <v/>
      </c>
      <c r="BP20" s="459">
        <f>'_Engine_NR'!E97</f>
        <v/>
      </c>
      <c r="BQ20" s="459">
        <f>'_Engine_NR'!E98</f>
        <v/>
      </c>
      <c r="BR20" s="459">
        <f>'_Engine_NR'!E99</f>
        <v/>
      </c>
      <c r="BS20" s="459">
        <f>'_Engine_NR'!E100</f>
        <v/>
      </c>
      <c r="BT20" s="459">
        <f>'_Engine_NR'!E101</f>
        <v/>
      </c>
      <c r="BU20" s="459">
        <f>'_Engine_NR'!E102</f>
        <v/>
      </c>
      <c r="BV20" s="458">
        <f>'_Engine_NR'!E103</f>
        <v/>
      </c>
      <c r="BW20" s="458">
        <f>'_Engine_NR'!E104</f>
        <v/>
      </c>
      <c r="BX20" s="458">
        <f>'_Engine_NR'!E105</f>
        <v/>
      </c>
      <c r="BY20" s="458">
        <f>'_Engine_NR'!E106</f>
        <v/>
      </c>
      <c r="BZ20" s="458">
        <f>'_Engine_NR'!E107</f>
        <v/>
      </c>
      <c r="CA20" s="458">
        <f>'_Engine_NR'!E108</f>
        <v/>
      </c>
      <c r="CB20" s="458">
        <f>'_Engine_NR'!E109</f>
        <v/>
      </c>
      <c r="CC20" s="458">
        <f>'_Engine_NR'!E110</f>
        <v/>
      </c>
      <c r="CD20" s="458">
        <f>'_Engine_NR'!E111</f>
        <v/>
      </c>
      <c r="CE20" s="458">
        <f>'_Engine_NR'!E112</f>
        <v/>
      </c>
      <c r="CF20" s="458">
        <f>'_Engine_NR'!E113</f>
        <v/>
      </c>
      <c r="CG20" s="458">
        <f>'_Engine_NR'!E114</f>
        <v/>
      </c>
      <c r="CH20" s="459">
        <f>'_Engine_NR'!E115</f>
        <v/>
      </c>
      <c r="CI20" s="459">
        <f>'_Engine_NR'!E116</f>
        <v/>
      </c>
      <c r="CJ20" s="459">
        <f>'_Engine_NR'!E117</f>
        <v/>
      </c>
      <c r="CK20" s="459">
        <f>'_Engine_NR'!E118</f>
        <v/>
      </c>
      <c r="CL20" s="459">
        <f>'_Engine_NR'!E119</f>
        <v/>
      </c>
      <c r="CM20" s="459">
        <f>'_Engine_NR'!E120</f>
        <v/>
      </c>
      <c r="CN20" s="459">
        <f>'_Engine_NR'!E121</f>
        <v/>
      </c>
      <c r="CO20" s="459">
        <f>'_Engine_NR'!E122</f>
        <v/>
      </c>
      <c r="CP20" s="459">
        <f>'_Engine_NR'!E123</f>
        <v/>
      </c>
      <c r="CQ20" s="459">
        <f>'_Engine_NR'!E124</f>
        <v/>
      </c>
      <c r="CR20" s="459">
        <f>'_Engine_NR'!E125</f>
        <v/>
      </c>
      <c r="CS20" s="459">
        <f>'_Engine_NR'!E126</f>
        <v/>
      </c>
      <c r="CT20" s="458">
        <f>'_Engine_NR'!E127</f>
        <v/>
      </c>
      <c r="CU20" s="458">
        <f>'_Engine_NR'!E128</f>
        <v/>
      </c>
      <c r="CV20" s="458">
        <f>'_Engine_NR'!E129</f>
        <v/>
      </c>
      <c r="CW20" s="458">
        <f>'_Engine_NR'!E130</f>
        <v/>
      </c>
      <c r="CX20" s="458">
        <f>'_Engine_NR'!E131</f>
        <v/>
      </c>
      <c r="CY20" s="458">
        <f>'_Engine_NR'!E132</f>
        <v/>
      </c>
      <c r="CZ20" s="458">
        <f>'_Engine_NR'!E133</f>
        <v/>
      </c>
      <c r="DA20" s="458">
        <f>'_Engine_NR'!E134</f>
        <v/>
      </c>
      <c r="DB20" s="458">
        <f>'_Engine_NR'!E135</f>
        <v/>
      </c>
      <c r="DC20" s="458">
        <f>'_Engine_NR'!E136</f>
        <v/>
      </c>
      <c r="DD20" s="458">
        <f>'_Engine_NR'!E137</f>
        <v/>
      </c>
      <c r="DE20" s="458">
        <f>'_Engine_NR'!E138</f>
        <v/>
      </c>
      <c r="DF20" s="459">
        <f>'_Engine_NR'!E139</f>
        <v/>
      </c>
      <c r="DG20" s="459">
        <f>'_Engine_NR'!E140</f>
        <v/>
      </c>
      <c r="DH20" s="459">
        <f>'_Engine_NR'!E141</f>
        <v/>
      </c>
      <c r="DI20" s="459">
        <f>'_Engine_NR'!E142</f>
        <v/>
      </c>
      <c r="DJ20" s="459">
        <f>'_Engine_NR'!E143</f>
        <v/>
      </c>
      <c r="DK20" s="459">
        <f>'_Engine_NR'!E144</f>
        <v/>
      </c>
      <c r="DL20" s="459">
        <f>'_Engine_NR'!E145</f>
        <v/>
      </c>
      <c r="DM20" s="459">
        <f>'_Engine_NR'!E146</f>
        <v/>
      </c>
      <c r="DN20" s="459">
        <f>'_Engine_NR'!E147</f>
        <v/>
      </c>
      <c r="DO20" s="459">
        <f>'_Engine_NR'!E148</f>
        <v/>
      </c>
      <c r="DP20" s="459">
        <f>'_Engine_NR'!E149</f>
        <v/>
      </c>
      <c r="DQ20" s="459">
        <f>'_Engine_NR'!E150</f>
        <v/>
      </c>
      <c r="DR20" s="458">
        <f>'_Engine_NR'!E151</f>
        <v/>
      </c>
      <c r="DS20" s="458">
        <f>'_Engine_NR'!E152</f>
        <v/>
      </c>
      <c r="DT20" s="458">
        <f>'_Engine_NR'!E153</f>
        <v/>
      </c>
      <c r="DU20" s="458">
        <f>'_Engine_NR'!E154</f>
        <v/>
      </c>
      <c r="DV20" s="458">
        <f>'_Engine_NR'!E155</f>
        <v/>
      </c>
      <c r="DW20" s="458">
        <f>'_Engine_NR'!E156</f>
        <v/>
      </c>
      <c r="DX20" s="458">
        <f>'_Engine_NR'!E157</f>
        <v/>
      </c>
      <c r="DY20" s="458">
        <f>'_Engine_NR'!E158</f>
        <v/>
      </c>
      <c r="DZ20" s="458">
        <f>'_Engine_NR'!E159</f>
        <v/>
      </c>
      <c r="EA20" s="458">
        <f>'_Engine_NR'!E160</f>
        <v/>
      </c>
      <c r="EB20" s="458">
        <f>'_Engine_NR'!E161</f>
        <v/>
      </c>
      <c r="EC20" s="458">
        <f>'_Engine_NR'!E162</f>
        <v/>
      </c>
      <c r="ED20" s="459">
        <f>'_Engine_NR'!E163</f>
        <v/>
      </c>
      <c r="EE20" s="459">
        <f>'_Engine_NR'!E164</f>
        <v/>
      </c>
      <c r="EF20" s="459">
        <f>'_Engine_NR'!E165</f>
        <v/>
      </c>
      <c r="EG20" s="459">
        <f>'_Engine_NR'!E166</f>
        <v/>
      </c>
      <c r="EH20" s="459">
        <f>'_Engine_NR'!E167</f>
        <v/>
      </c>
      <c r="EI20" s="459">
        <f>'_Engine_NR'!E168</f>
        <v/>
      </c>
      <c r="EJ20" s="459">
        <f>'_Engine_NR'!E169</f>
        <v/>
      </c>
      <c r="EK20" s="459">
        <f>'_Engine_NR'!E170</f>
        <v/>
      </c>
      <c r="EL20" s="459">
        <f>'_Engine_NR'!E171</f>
        <v/>
      </c>
      <c r="EM20" s="459">
        <f>'_Engine_NR'!E172</f>
        <v/>
      </c>
      <c r="EN20" s="459">
        <f>'_Engine_NR'!E173</f>
        <v/>
      </c>
      <c r="EO20" s="459">
        <f>'_Engine_NR'!E174</f>
        <v/>
      </c>
      <c r="EP20" s="458">
        <f>'_Engine_NR'!E175</f>
        <v/>
      </c>
      <c r="EQ20" s="458">
        <f>'_Engine_NR'!E176</f>
        <v/>
      </c>
      <c r="ER20" s="458">
        <f>'_Engine_NR'!E177</f>
        <v/>
      </c>
      <c r="ES20" s="458">
        <f>'_Engine_NR'!E178</f>
        <v/>
      </c>
      <c r="ET20" s="458">
        <f>'_Engine_NR'!E179</f>
        <v/>
      </c>
      <c r="EU20" s="458">
        <f>'_Engine_NR'!E180</f>
        <v/>
      </c>
      <c r="EV20" s="458">
        <f>'_Engine_NR'!E181</f>
        <v/>
      </c>
      <c r="EW20" s="458">
        <f>'_Engine_NR'!E182</f>
        <v/>
      </c>
      <c r="EX20" s="458">
        <f>'_Engine_NR'!E183</f>
        <v/>
      </c>
      <c r="EY20" s="458">
        <f>'_Engine_NR'!E184</f>
        <v/>
      </c>
      <c r="EZ20" s="458">
        <f>'_Engine_NR'!E185</f>
        <v/>
      </c>
      <c r="FA20" s="458">
        <f>'_Engine_NR'!E186</f>
        <v/>
      </c>
      <c r="FB20" s="459">
        <f>'_Engine_NR'!E187</f>
        <v/>
      </c>
      <c r="FC20" s="459">
        <f>'_Engine_NR'!E188</f>
        <v/>
      </c>
      <c r="FD20" s="459">
        <f>'_Engine_NR'!E189</f>
        <v/>
      </c>
      <c r="FE20" s="459">
        <f>'_Engine_NR'!E190</f>
        <v/>
      </c>
      <c r="FF20" s="459">
        <f>'_Engine_NR'!E191</f>
        <v/>
      </c>
      <c r="FG20" s="459">
        <f>'_Engine_NR'!E192</f>
        <v/>
      </c>
      <c r="FH20" s="459">
        <f>'_Engine_NR'!E193</f>
        <v/>
      </c>
      <c r="FI20" s="459">
        <f>'_Engine_NR'!E194</f>
        <v/>
      </c>
      <c r="FJ20" s="459">
        <f>'_Engine_NR'!E195</f>
        <v/>
      </c>
      <c r="FK20" s="459">
        <f>'_Engine_NR'!E196</f>
        <v/>
      </c>
      <c r="FL20" s="459">
        <f>'_Engine_NR'!E197</f>
        <v/>
      </c>
      <c r="FM20" s="459">
        <f>'_Engine_NR'!E198</f>
        <v/>
      </c>
      <c r="FN20" s="458">
        <f>'_Engine_NR'!E199</f>
        <v/>
      </c>
      <c r="FO20" s="458">
        <f>'_Engine_NR'!E200</f>
        <v/>
      </c>
      <c r="FP20" s="458">
        <f>'_Engine_NR'!E201</f>
        <v/>
      </c>
      <c r="FQ20" s="458">
        <f>'_Engine_NR'!E202</f>
        <v/>
      </c>
      <c r="FR20" s="458">
        <f>'_Engine_NR'!E203</f>
        <v/>
      </c>
      <c r="FS20" s="458">
        <f>'_Engine_NR'!E204</f>
        <v/>
      </c>
      <c r="FT20" s="458">
        <f>'_Engine_NR'!E205</f>
        <v/>
      </c>
      <c r="FU20" s="458">
        <f>'_Engine_NR'!E206</f>
        <v/>
      </c>
      <c r="FV20" s="458">
        <f>'_Engine_NR'!E207</f>
        <v/>
      </c>
      <c r="FW20" s="458">
        <f>'_Engine_NR'!E208</f>
        <v/>
      </c>
      <c r="FX20" s="458">
        <f>'_Engine_NR'!E209</f>
        <v/>
      </c>
      <c r="FY20" s="458">
        <f>'_Engine_NR'!E210</f>
        <v/>
      </c>
      <c r="FZ20" s="306" t="n"/>
    </row>
    <row r="21" ht="15" customHeight="1" s="307">
      <c r="A21" s="321" t="inlineStr">
        <is>
          <t xml:space="preserve">    Bonus Pool</t>
        </is>
      </c>
      <c r="B21" s="458">
        <f>'_Engine_NR'!Q31</f>
        <v/>
      </c>
      <c r="C21" s="458">
        <f>'_Engine_NR'!Q32</f>
        <v/>
      </c>
      <c r="D21" s="458">
        <f>'_Engine_NR'!Q33</f>
        <v/>
      </c>
      <c r="E21" s="458">
        <f>'_Engine_NR'!Q34</f>
        <v/>
      </c>
      <c r="F21" s="458">
        <f>'_Engine_NR'!Q35</f>
        <v/>
      </c>
      <c r="G21" s="458">
        <f>'_Engine_NR'!Q36</f>
        <v/>
      </c>
      <c r="H21" s="458">
        <f>'_Engine_NR'!Q37</f>
        <v/>
      </c>
      <c r="I21" s="458">
        <f>'_Engine_NR'!Q38</f>
        <v/>
      </c>
      <c r="J21" s="458">
        <f>'_Engine_NR'!Q39</f>
        <v/>
      </c>
      <c r="K21" s="458">
        <f>'_Engine_NR'!Q40</f>
        <v/>
      </c>
      <c r="L21" s="458">
        <f>'_Engine_NR'!Q41</f>
        <v/>
      </c>
      <c r="M21" s="458">
        <f>'_Engine_NR'!Q42</f>
        <v/>
      </c>
      <c r="N21" s="459">
        <f>'_Engine_NR'!Q43</f>
        <v/>
      </c>
      <c r="O21" s="459">
        <f>'_Engine_NR'!Q44</f>
        <v/>
      </c>
      <c r="P21" s="459">
        <f>'_Engine_NR'!Q45</f>
        <v/>
      </c>
      <c r="Q21" s="459">
        <f>'_Engine_NR'!Q46</f>
        <v/>
      </c>
      <c r="R21" s="459">
        <f>'_Engine_NR'!Q47</f>
        <v/>
      </c>
      <c r="S21" s="459">
        <f>'_Engine_NR'!Q48</f>
        <v/>
      </c>
      <c r="T21" s="459">
        <f>'_Engine_NR'!Q49</f>
        <v/>
      </c>
      <c r="U21" s="459">
        <f>'_Engine_NR'!Q50</f>
        <v/>
      </c>
      <c r="V21" s="459">
        <f>'_Engine_NR'!Q51</f>
        <v/>
      </c>
      <c r="W21" s="459">
        <f>'_Engine_NR'!Q52</f>
        <v/>
      </c>
      <c r="X21" s="459">
        <f>'_Engine_NR'!Q53</f>
        <v/>
      </c>
      <c r="Y21" s="459">
        <f>'_Engine_NR'!Q54</f>
        <v/>
      </c>
      <c r="Z21" s="458">
        <f>'_Engine_NR'!Q55</f>
        <v/>
      </c>
      <c r="AA21" s="458">
        <f>'_Engine_NR'!Q56</f>
        <v/>
      </c>
      <c r="AB21" s="458">
        <f>'_Engine_NR'!Q57</f>
        <v/>
      </c>
      <c r="AC21" s="458">
        <f>'_Engine_NR'!Q58</f>
        <v/>
      </c>
      <c r="AD21" s="458">
        <f>'_Engine_NR'!Q59</f>
        <v/>
      </c>
      <c r="AE21" s="458">
        <f>'_Engine_NR'!Q60</f>
        <v/>
      </c>
      <c r="AF21" s="458">
        <f>'_Engine_NR'!Q61</f>
        <v/>
      </c>
      <c r="AG21" s="458">
        <f>'_Engine_NR'!Q62</f>
        <v/>
      </c>
      <c r="AH21" s="458">
        <f>'_Engine_NR'!Q63</f>
        <v/>
      </c>
      <c r="AI21" s="458">
        <f>'_Engine_NR'!Q64</f>
        <v/>
      </c>
      <c r="AJ21" s="458">
        <f>'_Engine_NR'!Q65</f>
        <v/>
      </c>
      <c r="AK21" s="458">
        <f>'_Engine_NR'!Q66</f>
        <v/>
      </c>
      <c r="AL21" s="459">
        <f>'_Engine_NR'!Q67</f>
        <v/>
      </c>
      <c r="AM21" s="459">
        <f>'_Engine_NR'!Q68</f>
        <v/>
      </c>
      <c r="AN21" s="459">
        <f>'_Engine_NR'!Q69</f>
        <v/>
      </c>
      <c r="AO21" s="459">
        <f>'_Engine_NR'!Q70</f>
        <v/>
      </c>
      <c r="AP21" s="459">
        <f>'_Engine_NR'!Q71</f>
        <v/>
      </c>
      <c r="AQ21" s="459">
        <f>'_Engine_NR'!Q72</f>
        <v/>
      </c>
      <c r="AR21" s="459">
        <f>'_Engine_NR'!Q73</f>
        <v/>
      </c>
      <c r="AS21" s="459">
        <f>'_Engine_NR'!Q74</f>
        <v/>
      </c>
      <c r="AT21" s="459">
        <f>'_Engine_NR'!Q75</f>
        <v/>
      </c>
      <c r="AU21" s="459">
        <f>'_Engine_NR'!Q76</f>
        <v/>
      </c>
      <c r="AV21" s="459">
        <f>'_Engine_NR'!Q77</f>
        <v/>
      </c>
      <c r="AW21" s="459">
        <f>'_Engine_NR'!Q78</f>
        <v/>
      </c>
      <c r="AX21" s="458">
        <f>'_Engine_NR'!Q79</f>
        <v/>
      </c>
      <c r="AY21" s="458">
        <f>'_Engine_NR'!Q80</f>
        <v/>
      </c>
      <c r="AZ21" s="458">
        <f>'_Engine_NR'!Q81</f>
        <v/>
      </c>
      <c r="BA21" s="458">
        <f>'_Engine_NR'!Q82</f>
        <v/>
      </c>
      <c r="BB21" s="458">
        <f>'_Engine_NR'!Q83</f>
        <v/>
      </c>
      <c r="BC21" s="458">
        <f>'_Engine_NR'!Q84</f>
        <v/>
      </c>
      <c r="BD21" s="458">
        <f>'_Engine_NR'!Q85</f>
        <v/>
      </c>
      <c r="BE21" s="458">
        <f>'_Engine_NR'!Q86</f>
        <v/>
      </c>
      <c r="BF21" s="458">
        <f>'_Engine_NR'!Q87</f>
        <v/>
      </c>
      <c r="BG21" s="458">
        <f>'_Engine_NR'!Q88</f>
        <v/>
      </c>
      <c r="BH21" s="458">
        <f>'_Engine_NR'!Q89</f>
        <v/>
      </c>
      <c r="BI21" s="458">
        <f>'_Engine_NR'!Q90</f>
        <v/>
      </c>
      <c r="BJ21" s="459">
        <f>'_Engine_NR'!Q91</f>
        <v/>
      </c>
      <c r="BK21" s="459">
        <f>'_Engine_NR'!Q92</f>
        <v/>
      </c>
      <c r="BL21" s="459">
        <f>'_Engine_NR'!Q93</f>
        <v/>
      </c>
      <c r="BM21" s="459">
        <f>'_Engine_NR'!Q94</f>
        <v/>
      </c>
      <c r="BN21" s="459">
        <f>'_Engine_NR'!Q95</f>
        <v/>
      </c>
      <c r="BO21" s="459">
        <f>'_Engine_NR'!Q96</f>
        <v/>
      </c>
      <c r="BP21" s="459">
        <f>'_Engine_NR'!Q97</f>
        <v/>
      </c>
      <c r="BQ21" s="459">
        <f>'_Engine_NR'!Q98</f>
        <v/>
      </c>
      <c r="BR21" s="459">
        <f>'_Engine_NR'!Q99</f>
        <v/>
      </c>
      <c r="BS21" s="459">
        <f>'_Engine_NR'!Q100</f>
        <v/>
      </c>
      <c r="BT21" s="459">
        <f>'_Engine_NR'!Q101</f>
        <v/>
      </c>
      <c r="BU21" s="459">
        <f>'_Engine_NR'!Q102</f>
        <v/>
      </c>
      <c r="BV21" s="458">
        <f>'_Engine_NR'!Q103</f>
        <v/>
      </c>
      <c r="BW21" s="458">
        <f>'_Engine_NR'!Q104</f>
        <v/>
      </c>
      <c r="BX21" s="458">
        <f>'_Engine_NR'!Q105</f>
        <v/>
      </c>
      <c r="BY21" s="458">
        <f>'_Engine_NR'!Q106</f>
        <v/>
      </c>
      <c r="BZ21" s="458">
        <f>'_Engine_NR'!Q107</f>
        <v/>
      </c>
      <c r="CA21" s="458">
        <f>'_Engine_NR'!Q108</f>
        <v/>
      </c>
      <c r="CB21" s="458">
        <f>'_Engine_NR'!Q109</f>
        <v/>
      </c>
      <c r="CC21" s="458">
        <f>'_Engine_NR'!Q110</f>
        <v/>
      </c>
      <c r="CD21" s="458">
        <f>'_Engine_NR'!Q111</f>
        <v/>
      </c>
      <c r="CE21" s="458">
        <f>'_Engine_NR'!Q112</f>
        <v/>
      </c>
      <c r="CF21" s="458">
        <f>'_Engine_NR'!Q113</f>
        <v/>
      </c>
      <c r="CG21" s="458">
        <f>'_Engine_NR'!Q114</f>
        <v/>
      </c>
      <c r="CH21" s="459">
        <f>'_Engine_NR'!Q115</f>
        <v/>
      </c>
      <c r="CI21" s="459">
        <f>'_Engine_NR'!Q116</f>
        <v/>
      </c>
      <c r="CJ21" s="459">
        <f>'_Engine_NR'!Q117</f>
        <v/>
      </c>
      <c r="CK21" s="459">
        <f>'_Engine_NR'!Q118</f>
        <v/>
      </c>
      <c r="CL21" s="459">
        <f>'_Engine_NR'!Q119</f>
        <v/>
      </c>
      <c r="CM21" s="459">
        <f>'_Engine_NR'!Q120</f>
        <v/>
      </c>
      <c r="CN21" s="459">
        <f>'_Engine_NR'!Q121</f>
        <v/>
      </c>
      <c r="CO21" s="459">
        <f>'_Engine_NR'!Q122</f>
        <v/>
      </c>
      <c r="CP21" s="459">
        <f>'_Engine_NR'!Q123</f>
        <v/>
      </c>
      <c r="CQ21" s="459">
        <f>'_Engine_NR'!Q124</f>
        <v/>
      </c>
      <c r="CR21" s="459">
        <f>'_Engine_NR'!Q125</f>
        <v/>
      </c>
      <c r="CS21" s="459">
        <f>'_Engine_NR'!Q126</f>
        <v/>
      </c>
      <c r="CT21" s="458">
        <f>'_Engine_NR'!Q127</f>
        <v/>
      </c>
      <c r="CU21" s="458">
        <f>'_Engine_NR'!Q128</f>
        <v/>
      </c>
      <c r="CV21" s="458">
        <f>'_Engine_NR'!Q129</f>
        <v/>
      </c>
      <c r="CW21" s="458">
        <f>'_Engine_NR'!Q130</f>
        <v/>
      </c>
      <c r="CX21" s="458">
        <f>'_Engine_NR'!Q131</f>
        <v/>
      </c>
      <c r="CY21" s="458">
        <f>'_Engine_NR'!Q132</f>
        <v/>
      </c>
      <c r="CZ21" s="458">
        <f>'_Engine_NR'!Q133</f>
        <v/>
      </c>
      <c r="DA21" s="458">
        <f>'_Engine_NR'!Q134</f>
        <v/>
      </c>
      <c r="DB21" s="458">
        <f>'_Engine_NR'!Q135</f>
        <v/>
      </c>
      <c r="DC21" s="458">
        <f>'_Engine_NR'!Q136</f>
        <v/>
      </c>
      <c r="DD21" s="458">
        <f>'_Engine_NR'!Q137</f>
        <v/>
      </c>
      <c r="DE21" s="458">
        <f>'_Engine_NR'!Q138</f>
        <v/>
      </c>
      <c r="DF21" s="459">
        <f>'_Engine_NR'!Q139</f>
        <v/>
      </c>
      <c r="DG21" s="459">
        <f>'_Engine_NR'!Q140</f>
        <v/>
      </c>
      <c r="DH21" s="459">
        <f>'_Engine_NR'!Q141</f>
        <v/>
      </c>
      <c r="DI21" s="459">
        <f>'_Engine_NR'!Q142</f>
        <v/>
      </c>
      <c r="DJ21" s="459">
        <f>'_Engine_NR'!Q143</f>
        <v/>
      </c>
      <c r="DK21" s="459">
        <f>'_Engine_NR'!Q144</f>
        <v/>
      </c>
      <c r="DL21" s="459">
        <f>'_Engine_NR'!Q145</f>
        <v/>
      </c>
      <c r="DM21" s="459">
        <f>'_Engine_NR'!Q146</f>
        <v/>
      </c>
      <c r="DN21" s="459">
        <f>'_Engine_NR'!Q147</f>
        <v/>
      </c>
      <c r="DO21" s="459">
        <f>'_Engine_NR'!Q148</f>
        <v/>
      </c>
      <c r="DP21" s="459">
        <f>'_Engine_NR'!Q149</f>
        <v/>
      </c>
      <c r="DQ21" s="459">
        <f>'_Engine_NR'!Q150</f>
        <v/>
      </c>
      <c r="DR21" s="458">
        <f>'_Engine_NR'!Q151</f>
        <v/>
      </c>
      <c r="DS21" s="458">
        <f>'_Engine_NR'!Q152</f>
        <v/>
      </c>
      <c r="DT21" s="458">
        <f>'_Engine_NR'!Q153</f>
        <v/>
      </c>
      <c r="DU21" s="458">
        <f>'_Engine_NR'!Q154</f>
        <v/>
      </c>
      <c r="DV21" s="458">
        <f>'_Engine_NR'!Q155</f>
        <v/>
      </c>
      <c r="DW21" s="458">
        <f>'_Engine_NR'!Q156</f>
        <v/>
      </c>
      <c r="DX21" s="458">
        <f>'_Engine_NR'!Q157</f>
        <v/>
      </c>
      <c r="DY21" s="458">
        <f>'_Engine_NR'!Q158</f>
        <v/>
      </c>
      <c r="DZ21" s="458">
        <f>'_Engine_NR'!Q159</f>
        <v/>
      </c>
      <c r="EA21" s="458">
        <f>'_Engine_NR'!Q160</f>
        <v/>
      </c>
      <c r="EB21" s="458">
        <f>'_Engine_NR'!Q161</f>
        <v/>
      </c>
      <c r="EC21" s="458">
        <f>'_Engine_NR'!Q162</f>
        <v/>
      </c>
      <c r="ED21" s="459">
        <f>'_Engine_NR'!Q163</f>
        <v/>
      </c>
      <c r="EE21" s="459">
        <f>'_Engine_NR'!Q164</f>
        <v/>
      </c>
      <c r="EF21" s="459">
        <f>'_Engine_NR'!Q165</f>
        <v/>
      </c>
      <c r="EG21" s="459">
        <f>'_Engine_NR'!Q166</f>
        <v/>
      </c>
      <c r="EH21" s="459">
        <f>'_Engine_NR'!Q167</f>
        <v/>
      </c>
      <c r="EI21" s="459">
        <f>'_Engine_NR'!Q168</f>
        <v/>
      </c>
      <c r="EJ21" s="459">
        <f>'_Engine_NR'!Q169</f>
        <v/>
      </c>
      <c r="EK21" s="459">
        <f>'_Engine_NR'!Q170</f>
        <v/>
      </c>
      <c r="EL21" s="459">
        <f>'_Engine_NR'!Q171</f>
        <v/>
      </c>
      <c r="EM21" s="459">
        <f>'_Engine_NR'!Q172</f>
        <v/>
      </c>
      <c r="EN21" s="459">
        <f>'_Engine_NR'!Q173</f>
        <v/>
      </c>
      <c r="EO21" s="459">
        <f>'_Engine_NR'!Q174</f>
        <v/>
      </c>
      <c r="EP21" s="458">
        <f>'_Engine_NR'!Q175</f>
        <v/>
      </c>
      <c r="EQ21" s="458">
        <f>'_Engine_NR'!Q176</f>
        <v/>
      </c>
      <c r="ER21" s="458">
        <f>'_Engine_NR'!Q177</f>
        <v/>
      </c>
      <c r="ES21" s="458">
        <f>'_Engine_NR'!Q178</f>
        <v/>
      </c>
      <c r="ET21" s="458">
        <f>'_Engine_NR'!Q179</f>
        <v/>
      </c>
      <c r="EU21" s="458">
        <f>'_Engine_NR'!Q180</f>
        <v/>
      </c>
      <c r="EV21" s="458">
        <f>'_Engine_NR'!Q181</f>
        <v/>
      </c>
      <c r="EW21" s="458">
        <f>'_Engine_NR'!Q182</f>
        <v/>
      </c>
      <c r="EX21" s="458">
        <f>'_Engine_NR'!Q183</f>
        <v/>
      </c>
      <c r="EY21" s="458">
        <f>'_Engine_NR'!Q184</f>
        <v/>
      </c>
      <c r="EZ21" s="458">
        <f>'_Engine_NR'!Q185</f>
        <v/>
      </c>
      <c r="FA21" s="458">
        <f>'_Engine_NR'!Q186</f>
        <v/>
      </c>
      <c r="FB21" s="459">
        <f>'_Engine_NR'!Q187</f>
        <v/>
      </c>
      <c r="FC21" s="459">
        <f>'_Engine_NR'!Q188</f>
        <v/>
      </c>
      <c r="FD21" s="459">
        <f>'_Engine_NR'!Q189</f>
        <v/>
      </c>
      <c r="FE21" s="459">
        <f>'_Engine_NR'!Q190</f>
        <v/>
      </c>
      <c r="FF21" s="459">
        <f>'_Engine_NR'!Q191</f>
        <v/>
      </c>
      <c r="FG21" s="459">
        <f>'_Engine_NR'!Q192</f>
        <v/>
      </c>
      <c r="FH21" s="459">
        <f>'_Engine_NR'!Q193</f>
        <v/>
      </c>
      <c r="FI21" s="459">
        <f>'_Engine_NR'!Q194</f>
        <v/>
      </c>
      <c r="FJ21" s="459">
        <f>'_Engine_NR'!Q195</f>
        <v/>
      </c>
      <c r="FK21" s="459">
        <f>'_Engine_NR'!Q196</f>
        <v/>
      </c>
      <c r="FL21" s="459">
        <f>'_Engine_NR'!Q197</f>
        <v/>
      </c>
      <c r="FM21" s="459">
        <f>'_Engine_NR'!Q198</f>
        <v/>
      </c>
      <c r="FN21" s="458">
        <f>'_Engine_NR'!Q199</f>
        <v/>
      </c>
      <c r="FO21" s="458">
        <f>'_Engine_NR'!Q200</f>
        <v/>
      </c>
      <c r="FP21" s="458">
        <f>'_Engine_NR'!Q201</f>
        <v/>
      </c>
      <c r="FQ21" s="458">
        <f>'_Engine_NR'!Q202</f>
        <v/>
      </c>
      <c r="FR21" s="458">
        <f>'_Engine_NR'!Q203</f>
        <v/>
      </c>
      <c r="FS21" s="458">
        <f>'_Engine_NR'!Q204</f>
        <v/>
      </c>
      <c r="FT21" s="458">
        <f>'_Engine_NR'!Q205</f>
        <v/>
      </c>
      <c r="FU21" s="458">
        <f>'_Engine_NR'!Q206</f>
        <v/>
      </c>
      <c r="FV21" s="458">
        <f>'_Engine_NR'!Q207</f>
        <v/>
      </c>
      <c r="FW21" s="458">
        <f>'_Engine_NR'!Q208</f>
        <v/>
      </c>
      <c r="FX21" s="458">
        <f>'_Engine_NR'!Q209</f>
        <v/>
      </c>
      <c r="FY21" s="458">
        <f>'_Engine_NR'!Q210</f>
        <v/>
      </c>
      <c r="FZ21" s="306" t="n"/>
    </row>
    <row r="22" ht="15" customHeight="1" s="307">
      <c r="A22" s="460" t="inlineStr">
        <is>
          <t>Total Operating Expenses</t>
        </is>
      </c>
      <c r="B22" s="461">
        <f>B17+B18+B19+B20+B21+B14</f>
        <v/>
      </c>
      <c r="C22" s="461">
        <f>C17+C18+C19+C20+C21+C14</f>
        <v/>
      </c>
      <c r="D22" s="461">
        <f>D17+D18+D19+D20+D21+D14</f>
        <v/>
      </c>
      <c r="E22" s="461">
        <f>E17+E18+E19+E20+E21+E14</f>
        <v/>
      </c>
      <c r="F22" s="461">
        <f>F17+F18+F19+F20+F21+F14</f>
        <v/>
      </c>
      <c r="G22" s="461">
        <f>G17+G18+G19+G20+G21+G14</f>
        <v/>
      </c>
      <c r="H22" s="461">
        <f>H17+H18+H19+H20+H21+H14</f>
        <v/>
      </c>
      <c r="I22" s="461">
        <f>I17+I18+I19+I20+I21+I14</f>
        <v/>
      </c>
      <c r="J22" s="461">
        <f>J17+J18+J19+J20+J21+J14</f>
        <v/>
      </c>
      <c r="K22" s="461">
        <f>K17+K18+K19+K20+K21+K14</f>
        <v/>
      </c>
      <c r="L22" s="461">
        <f>L17+L18+L19+L20+L21+L14</f>
        <v/>
      </c>
      <c r="M22" s="461">
        <f>M17+M18+M19+M20+M21+M14</f>
        <v/>
      </c>
      <c r="N22" s="462">
        <f>N17+N18+N19+N20+N21+N14</f>
        <v/>
      </c>
      <c r="O22" s="462">
        <f>O17+O18+O19+O20+O21+O14</f>
        <v/>
      </c>
      <c r="P22" s="462">
        <f>P17+P18+P19+P20+P21+P14</f>
        <v/>
      </c>
      <c r="Q22" s="462">
        <f>Q17+Q18+Q19+Q20+Q21+Q14</f>
        <v/>
      </c>
      <c r="R22" s="462">
        <f>R17+R18+R19+R20+R21+R14</f>
        <v/>
      </c>
      <c r="S22" s="462">
        <f>S17+S18+S19+S20+S21+S14</f>
        <v/>
      </c>
      <c r="T22" s="462">
        <f>T17+T18+T19+T20+T21+T14</f>
        <v/>
      </c>
      <c r="U22" s="462">
        <f>U17+U18+U19+U20+U21+U14</f>
        <v/>
      </c>
      <c r="V22" s="462">
        <f>V17+V18+V19+V20+V21+V14</f>
        <v/>
      </c>
      <c r="W22" s="462">
        <f>W17+W18+W19+W20+W21+W14</f>
        <v/>
      </c>
      <c r="X22" s="462">
        <f>X17+X18+X19+X20+X21+X14</f>
        <v/>
      </c>
      <c r="Y22" s="462">
        <f>Y17+Y18+Y19+Y20+Y21+Y14</f>
        <v/>
      </c>
      <c r="Z22" s="461">
        <f>Z17+Z18+Z19+Z20+Z21+Z14</f>
        <v/>
      </c>
      <c r="AA22" s="461">
        <f>AA17+AA18+AA19+AA20+AA21+AA14</f>
        <v/>
      </c>
      <c r="AB22" s="461">
        <f>AB17+AB18+AB19+AB20+AB21+AB14</f>
        <v/>
      </c>
      <c r="AC22" s="461">
        <f>AC17+AC18+AC19+AC20+AC21+AC14</f>
        <v/>
      </c>
      <c r="AD22" s="461">
        <f>AD17+AD18+AD19+AD20+AD21+AD14</f>
        <v/>
      </c>
      <c r="AE22" s="461">
        <f>AE17+AE18+AE19+AE20+AE21+AE14</f>
        <v/>
      </c>
      <c r="AF22" s="461">
        <f>AF17+AF18+AF19+AF20+AF21+AF14</f>
        <v/>
      </c>
      <c r="AG22" s="461">
        <f>AG17+AG18+AG19+AG20+AG21+AG14</f>
        <v/>
      </c>
      <c r="AH22" s="461">
        <f>AH17+AH18+AH19+AH20+AH21+AH14</f>
        <v/>
      </c>
      <c r="AI22" s="461">
        <f>AI17+AI18+AI19+AI20+AI21+AI14</f>
        <v/>
      </c>
      <c r="AJ22" s="461">
        <f>AJ17+AJ18+AJ19+AJ20+AJ21+AJ14</f>
        <v/>
      </c>
      <c r="AK22" s="461">
        <f>AK17+AK18+AK19+AK20+AK21+AK14</f>
        <v/>
      </c>
      <c r="AL22" s="462">
        <f>AL17+AL18+AL19+AL20+AL21+AL14</f>
        <v/>
      </c>
      <c r="AM22" s="462">
        <f>AM17+AM18+AM19+AM20+AM21+AM14</f>
        <v/>
      </c>
      <c r="AN22" s="462">
        <f>AN17+AN18+AN19+AN20+AN21+AN14</f>
        <v/>
      </c>
      <c r="AO22" s="462">
        <f>AO17+AO18+AO19+AO20+AO21+AO14</f>
        <v/>
      </c>
      <c r="AP22" s="462">
        <f>AP17+AP18+AP19+AP20+AP21+AP14</f>
        <v/>
      </c>
      <c r="AQ22" s="462">
        <f>AQ17+AQ18+AQ19+AQ20+AQ21+AQ14</f>
        <v/>
      </c>
      <c r="AR22" s="462">
        <f>AR17+AR18+AR19+AR20+AR21+AR14</f>
        <v/>
      </c>
      <c r="AS22" s="462">
        <f>AS17+AS18+AS19+AS20+AS21+AS14</f>
        <v/>
      </c>
      <c r="AT22" s="462">
        <f>AT17+AT18+AT19+AT20+AT21+AT14</f>
        <v/>
      </c>
      <c r="AU22" s="462">
        <f>AU17+AU18+AU19+AU20+AU21+AU14</f>
        <v/>
      </c>
      <c r="AV22" s="462">
        <f>AV17+AV18+AV19+AV20+AV21+AV14</f>
        <v/>
      </c>
      <c r="AW22" s="462">
        <f>AW17+AW18+AW19+AW20+AW21+AW14</f>
        <v/>
      </c>
      <c r="AX22" s="461">
        <f>AX17+AX18+AX19+AX20+AX21+AX14</f>
        <v/>
      </c>
      <c r="AY22" s="461">
        <f>AY17+AY18+AY19+AY20+AY21+AY14</f>
        <v/>
      </c>
      <c r="AZ22" s="461">
        <f>AZ17+AZ18+AZ19+AZ20+AZ21+AZ14</f>
        <v/>
      </c>
      <c r="BA22" s="461">
        <f>BA17+BA18+BA19+BA20+BA21+BA14</f>
        <v/>
      </c>
      <c r="BB22" s="461">
        <f>BB17+BB18+BB19+BB20+BB21+BB14</f>
        <v/>
      </c>
      <c r="BC22" s="461">
        <f>BC17+BC18+BC19+BC20+BC21+BC14</f>
        <v/>
      </c>
      <c r="BD22" s="461">
        <f>BD17+BD18+BD19+BD20+BD21+BD14</f>
        <v/>
      </c>
      <c r="BE22" s="461">
        <f>BE17+BE18+BE19+BE20+BE21+BE14</f>
        <v/>
      </c>
      <c r="BF22" s="461">
        <f>BF17+BF18+BF19+BF20+BF21+BF14</f>
        <v/>
      </c>
      <c r="BG22" s="461">
        <f>BG17+BG18+BG19+BG20+BG21+BG14</f>
        <v/>
      </c>
      <c r="BH22" s="461">
        <f>BH17+BH18+BH19+BH20+BH21+BH14</f>
        <v/>
      </c>
      <c r="BI22" s="461">
        <f>BI17+BI18+BI19+BI20+BI21+BI14</f>
        <v/>
      </c>
      <c r="BJ22" s="462">
        <f>BJ17+BJ18+BJ19+BJ20+BJ21+BJ14</f>
        <v/>
      </c>
      <c r="BK22" s="462">
        <f>BK17+BK18+BK19+BK20+BK21+BK14</f>
        <v/>
      </c>
      <c r="BL22" s="462">
        <f>BL17+BL18+BL19+BL20+BL21+BL14</f>
        <v/>
      </c>
      <c r="BM22" s="462">
        <f>BM17+BM18+BM19+BM20+BM21+BM14</f>
        <v/>
      </c>
      <c r="BN22" s="462">
        <f>BN17+BN18+BN19+BN20+BN21+BN14</f>
        <v/>
      </c>
      <c r="BO22" s="462">
        <f>BO17+BO18+BO19+BO20+BO21+BO14</f>
        <v/>
      </c>
      <c r="BP22" s="462">
        <f>BP17+BP18+BP19+BP20+BP21+BP14</f>
        <v/>
      </c>
      <c r="BQ22" s="462">
        <f>BQ17+BQ18+BQ19+BQ20+BQ21+BQ14</f>
        <v/>
      </c>
      <c r="BR22" s="462">
        <f>BR17+BR18+BR19+BR20+BR21+BR14</f>
        <v/>
      </c>
      <c r="BS22" s="462">
        <f>BS17+BS18+BS19+BS20+BS21+BS14</f>
        <v/>
      </c>
      <c r="BT22" s="462">
        <f>BT17+BT18+BT19+BT20+BT21+BT14</f>
        <v/>
      </c>
      <c r="BU22" s="462">
        <f>BU17+BU18+BU19+BU20+BU21+BU14</f>
        <v/>
      </c>
      <c r="BV22" s="461">
        <f>BV17+BV18+BV19+BV20+BV21+BV14</f>
        <v/>
      </c>
      <c r="BW22" s="461">
        <f>BW17+BW18+BW19+BW20+BW21+BW14</f>
        <v/>
      </c>
      <c r="BX22" s="461">
        <f>BX17+BX18+BX19+BX20+BX21+BX14</f>
        <v/>
      </c>
      <c r="BY22" s="461">
        <f>BY17+BY18+BY19+BY20+BY21+BY14</f>
        <v/>
      </c>
      <c r="BZ22" s="461">
        <f>BZ17+BZ18+BZ19+BZ20+BZ21+BZ14</f>
        <v/>
      </c>
      <c r="CA22" s="461">
        <f>CA17+CA18+CA19+CA20+CA21+CA14</f>
        <v/>
      </c>
      <c r="CB22" s="461">
        <f>CB17+CB18+CB19+CB20+CB21+CB14</f>
        <v/>
      </c>
      <c r="CC22" s="461">
        <f>CC17+CC18+CC19+CC20+CC21+CC14</f>
        <v/>
      </c>
      <c r="CD22" s="461">
        <f>CD17+CD18+CD19+CD20+CD21+CD14</f>
        <v/>
      </c>
      <c r="CE22" s="461">
        <f>CE17+CE18+CE19+CE20+CE21+CE14</f>
        <v/>
      </c>
      <c r="CF22" s="461">
        <f>CF17+CF18+CF19+CF20+CF21+CF14</f>
        <v/>
      </c>
      <c r="CG22" s="461">
        <f>CG17+CG18+CG19+CG20+CG21+CG14</f>
        <v/>
      </c>
      <c r="CH22" s="462">
        <f>CH17+CH18+CH19+CH20+CH21+CH14</f>
        <v/>
      </c>
      <c r="CI22" s="462">
        <f>CI17+CI18+CI19+CI20+CI21+CI14</f>
        <v/>
      </c>
      <c r="CJ22" s="462">
        <f>CJ17+CJ18+CJ19+CJ20+CJ21+CJ14</f>
        <v/>
      </c>
      <c r="CK22" s="462">
        <f>CK17+CK18+CK19+CK20+CK21+CK14</f>
        <v/>
      </c>
      <c r="CL22" s="462">
        <f>CL17+CL18+CL19+CL20+CL21+CL14</f>
        <v/>
      </c>
      <c r="CM22" s="462">
        <f>CM17+CM18+CM19+CM20+CM21+CM14</f>
        <v/>
      </c>
      <c r="CN22" s="462">
        <f>CN17+CN18+CN19+CN20+CN21+CN14</f>
        <v/>
      </c>
      <c r="CO22" s="462">
        <f>CO17+CO18+CO19+CO20+CO21+CO14</f>
        <v/>
      </c>
      <c r="CP22" s="462">
        <f>CP17+CP18+CP19+CP20+CP21+CP14</f>
        <v/>
      </c>
      <c r="CQ22" s="462">
        <f>CQ17+CQ18+CQ19+CQ20+CQ21+CQ14</f>
        <v/>
      </c>
      <c r="CR22" s="462">
        <f>CR17+CR18+CR19+CR20+CR21+CR14</f>
        <v/>
      </c>
      <c r="CS22" s="462">
        <f>CS17+CS18+CS19+CS20+CS21+CS14</f>
        <v/>
      </c>
      <c r="CT22" s="461">
        <f>CT17+CT18+CT19+CT20+CT21+CT14</f>
        <v/>
      </c>
      <c r="CU22" s="461">
        <f>CU17+CU18+CU19+CU20+CU21+CU14</f>
        <v/>
      </c>
      <c r="CV22" s="461">
        <f>CV17+CV18+CV19+CV20+CV21+CV14</f>
        <v/>
      </c>
      <c r="CW22" s="461">
        <f>CW17+CW18+CW19+CW20+CW21+CW14</f>
        <v/>
      </c>
      <c r="CX22" s="461">
        <f>CX17+CX18+CX19+CX20+CX21+CX14</f>
        <v/>
      </c>
      <c r="CY22" s="461">
        <f>CY17+CY18+CY19+CY20+CY21+CY14</f>
        <v/>
      </c>
      <c r="CZ22" s="461">
        <f>CZ17+CZ18+CZ19+CZ20+CZ21+CZ14</f>
        <v/>
      </c>
      <c r="DA22" s="461">
        <f>DA17+DA18+DA19+DA20+DA21+DA14</f>
        <v/>
      </c>
      <c r="DB22" s="461">
        <f>DB17+DB18+DB19+DB20+DB21+DB14</f>
        <v/>
      </c>
      <c r="DC22" s="461">
        <f>DC17+DC18+DC19+DC20+DC21+DC14</f>
        <v/>
      </c>
      <c r="DD22" s="461">
        <f>DD17+DD18+DD19+DD20+DD21+DD14</f>
        <v/>
      </c>
      <c r="DE22" s="461">
        <f>DE17+DE18+DE19+DE20+DE21+DE14</f>
        <v/>
      </c>
      <c r="DF22" s="462">
        <f>DF17+DF18+DF19+DF20+DF21+DF14</f>
        <v/>
      </c>
      <c r="DG22" s="462">
        <f>DG17+DG18+DG19+DG20+DG21+DG14</f>
        <v/>
      </c>
      <c r="DH22" s="462">
        <f>DH17+DH18+DH19+DH20+DH21+DH14</f>
        <v/>
      </c>
      <c r="DI22" s="462">
        <f>DI17+DI18+DI19+DI20+DI21+DI14</f>
        <v/>
      </c>
      <c r="DJ22" s="462">
        <f>DJ17+DJ18+DJ19+DJ20+DJ21+DJ14</f>
        <v/>
      </c>
      <c r="DK22" s="462">
        <f>DK17+DK18+DK19+DK20+DK21+DK14</f>
        <v/>
      </c>
      <c r="DL22" s="462">
        <f>DL17+DL18+DL19+DL20+DL21+DL14</f>
        <v/>
      </c>
      <c r="DM22" s="462">
        <f>DM17+DM18+DM19+DM20+DM21+DM14</f>
        <v/>
      </c>
      <c r="DN22" s="462">
        <f>DN17+DN18+DN19+DN20+DN21+DN14</f>
        <v/>
      </c>
      <c r="DO22" s="462">
        <f>DO17+DO18+DO19+DO20+DO21+DO14</f>
        <v/>
      </c>
      <c r="DP22" s="462">
        <f>DP17+DP18+DP19+DP20+DP21+DP14</f>
        <v/>
      </c>
      <c r="DQ22" s="462">
        <f>DQ17+DQ18+DQ19+DQ20+DQ21+DQ14</f>
        <v/>
      </c>
      <c r="DR22" s="461">
        <f>DR17+DR18+DR19+DR20+DR21+DR14</f>
        <v/>
      </c>
      <c r="DS22" s="461">
        <f>DS17+DS18+DS19+DS20+DS21+DS14</f>
        <v/>
      </c>
      <c r="DT22" s="461">
        <f>DT17+DT18+DT19+DT20+DT21+DT14</f>
        <v/>
      </c>
      <c r="DU22" s="461">
        <f>DU17+DU18+DU19+DU20+DU21+DU14</f>
        <v/>
      </c>
      <c r="DV22" s="461">
        <f>DV17+DV18+DV19+DV20+DV21+DV14</f>
        <v/>
      </c>
      <c r="DW22" s="461">
        <f>DW17+DW18+DW19+DW20+DW21+DW14</f>
        <v/>
      </c>
      <c r="DX22" s="461">
        <f>DX17+DX18+DX19+DX20+DX21+DX14</f>
        <v/>
      </c>
      <c r="DY22" s="461">
        <f>DY17+DY18+DY19+DY20+DY21+DY14</f>
        <v/>
      </c>
      <c r="DZ22" s="461">
        <f>DZ17+DZ18+DZ19+DZ20+DZ21+DZ14</f>
        <v/>
      </c>
      <c r="EA22" s="461">
        <f>EA17+EA18+EA19+EA20+EA21+EA14</f>
        <v/>
      </c>
      <c r="EB22" s="461">
        <f>EB17+EB18+EB19+EB20+EB21+EB14</f>
        <v/>
      </c>
      <c r="EC22" s="461">
        <f>EC17+EC18+EC19+EC20+EC21+EC14</f>
        <v/>
      </c>
      <c r="ED22" s="462">
        <f>ED17+ED18+ED19+ED20+ED21+ED14</f>
        <v/>
      </c>
      <c r="EE22" s="462">
        <f>EE17+EE18+EE19+EE20+EE21+EE14</f>
        <v/>
      </c>
      <c r="EF22" s="462">
        <f>EF17+EF18+EF19+EF20+EF21+EF14</f>
        <v/>
      </c>
      <c r="EG22" s="462">
        <f>EG17+EG18+EG19+EG20+EG21+EG14</f>
        <v/>
      </c>
      <c r="EH22" s="462">
        <f>EH17+EH18+EH19+EH20+EH21+EH14</f>
        <v/>
      </c>
      <c r="EI22" s="462">
        <f>EI17+EI18+EI19+EI20+EI21+EI14</f>
        <v/>
      </c>
      <c r="EJ22" s="462">
        <f>EJ17+EJ18+EJ19+EJ20+EJ21+EJ14</f>
        <v/>
      </c>
      <c r="EK22" s="462">
        <f>EK17+EK18+EK19+EK20+EK21+EK14</f>
        <v/>
      </c>
      <c r="EL22" s="462">
        <f>EL17+EL18+EL19+EL20+EL21+EL14</f>
        <v/>
      </c>
      <c r="EM22" s="462">
        <f>EM17+EM18+EM19+EM20+EM21+EM14</f>
        <v/>
      </c>
      <c r="EN22" s="462">
        <f>EN17+EN18+EN19+EN20+EN21+EN14</f>
        <v/>
      </c>
      <c r="EO22" s="462">
        <f>EO17+EO18+EO19+EO20+EO21+EO14</f>
        <v/>
      </c>
      <c r="EP22" s="461">
        <f>EP17+EP18+EP19+EP20+EP21+EP14</f>
        <v/>
      </c>
      <c r="EQ22" s="461">
        <f>EQ17+EQ18+EQ19+EQ20+EQ21+EQ14</f>
        <v/>
      </c>
      <c r="ER22" s="461">
        <f>ER17+ER18+ER19+ER20+ER21+ER14</f>
        <v/>
      </c>
      <c r="ES22" s="461">
        <f>ES17+ES18+ES19+ES20+ES21+ES14</f>
        <v/>
      </c>
      <c r="ET22" s="461">
        <f>ET17+ET18+ET19+ET20+ET21+ET14</f>
        <v/>
      </c>
      <c r="EU22" s="461">
        <f>EU17+EU18+EU19+EU20+EU21+EU14</f>
        <v/>
      </c>
      <c r="EV22" s="461">
        <f>EV17+EV18+EV19+EV20+EV21+EV14</f>
        <v/>
      </c>
      <c r="EW22" s="461">
        <f>EW17+EW18+EW19+EW20+EW21+EW14</f>
        <v/>
      </c>
      <c r="EX22" s="461">
        <f>EX17+EX18+EX19+EX20+EX21+EX14</f>
        <v/>
      </c>
      <c r="EY22" s="461">
        <f>EY17+EY18+EY19+EY20+EY21+EY14</f>
        <v/>
      </c>
      <c r="EZ22" s="461">
        <f>EZ17+EZ18+EZ19+EZ20+EZ21+EZ14</f>
        <v/>
      </c>
      <c r="FA22" s="461">
        <f>FA17+FA18+FA19+FA20+FA21+FA14</f>
        <v/>
      </c>
      <c r="FB22" s="462">
        <f>FB17+FB18+FB19+FB20+FB21+FB14</f>
        <v/>
      </c>
      <c r="FC22" s="462">
        <f>FC17+FC18+FC19+FC20+FC21+FC14</f>
        <v/>
      </c>
      <c r="FD22" s="462">
        <f>FD17+FD18+FD19+FD20+FD21+FD14</f>
        <v/>
      </c>
      <c r="FE22" s="462">
        <f>FE17+FE18+FE19+FE20+FE21+FE14</f>
        <v/>
      </c>
      <c r="FF22" s="462">
        <f>FF17+FF18+FF19+FF20+FF21+FF14</f>
        <v/>
      </c>
      <c r="FG22" s="462">
        <f>FG17+FG18+FG19+FG20+FG21+FG14</f>
        <v/>
      </c>
      <c r="FH22" s="462">
        <f>FH17+FH18+FH19+FH20+FH21+FH14</f>
        <v/>
      </c>
      <c r="FI22" s="462">
        <f>FI17+FI18+FI19+FI20+FI21+FI14</f>
        <v/>
      </c>
      <c r="FJ22" s="462">
        <f>FJ17+FJ18+FJ19+FJ20+FJ21+FJ14</f>
        <v/>
      </c>
      <c r="FK22" s="462">
        <f>FK17+FK18+FK19+FK20+FK21+FK14</f>
        <v/>
      </c>
      <c r="FL22" s="462">
        <f>FL17+FL18+FL19+FL20+FL21+FL14</f>
        <v/>
      </c>
      <c r="FM22" s="462">
        <f>FM17+FM18+FM19+FM20+FM21+FM14</f>
        <v/>
      </c>
      <c r="FN22" s="461">
        <f>FN17+FN18+FN19+FN20+FN21+FN14</f>
        <v/>
      </c>
      <c r="FO22" s="461">
        <f>FO17+FO18+FO19+FO20+FO21+FO14</f>
        <v/>
      </c>
      <c r="FP22" s="461">
        <f>FP17+FP18+FP19+FP20+FP21+FP14</f>
        <v/>
      </c>
      <c r="FQ22" s="461">
        <f>FQ17+FQ18+FQ19+FQ20+FQ21+FQ14</f>
        <v/>
      </c>
      <c r="FR22" s="461">
        <f>FR17+FR18+FR19+FR20+FR21+FR14</f>
        <v/>
      </c>
      <c r="FS22" s="461">
        <f>FS17+FS18+FS19+FS20+FS21+FS14</f>
        <v/>
      </c>
      <c r="FT22" s="461">
        <f>FT17+FT18+FT19+FT20+FT21+FT14</f>
        <v/>
      </c>
      <c r="FU22" s="461">
        <f>FU17+FU18+FU19+FU20+FU21+FU14</f>
        <v/>
      </c>
      <c r="FV22" s="461">
        <f>FV17+FV18+FV19+FV20+FV21+FV14</f>
        <v/>
      </c>
      <c r="FW22" s="461">
        <f>FW17+FW18+FW19+FW20+FW21+FW14</f>
        <v/>
      </c>
      <c r="FX22" s="461">
        <f>FX17+FX18+FX19+FX20+FX21+FX14</f>
        <v/>
      </c>
      <c r="FY22" s="461">
        <f>FY17+FY18+FY19+FY20+FY21+FY14</f>
        <v/>
      </c>
      <c r="FZ22" s="306" t="n"/>
    </row>
    <row r="23" ht="15" customHeight="1" s="307">
      <c r="A23" s="312" t="n"/>
      <c r="B23" s="464" t="n"/>
      <c r="C23" s="464" t="n"/>
      <c r="D23" s="464" t="n"/>
      <c r="E23" s="464" t="n"/>
      <c r="F23" s="464" t="n"/>
      <c r="G23" s="464" t="n"/>
      <c r="H23" s="464" t="n"/>
      <c r="I23" s="464" t="n"/>
      <c r="J23" s="464" t="n"/>
      <c r="K23" s="464" t="n"/>
      <c r="L23" s="464" t="n"/>
      <c r="M23" s="464" t="n"/>
      <c r="N23" s="464" t="n"/>
      <c r="O23" s="464" t="n"/>
      <c r="P23" s="464" t="n"/>
      <c r="Q23" s="464" t="n"/>
      <c r="R23" s="464" t="n"/>
      <c r="S23" s="464" t="n"/>
      <c r="T23" s="464" t="n"/>
      <c r="U23" s="464" t="n"/>
      <c r="V23" s="464" t="n"/>
      <c r="W23" s="464" t="n"/>
      <c r="X23" s="464" t="n"/>
      <c r="Y23" s="464" t="n"/>
      <c r="Z23" s="464" t="n"/>
      <c r="AA23" s="464" t="n"/>
      <c r="AB23" s="464" t="n"/>
      <c r="AC23" s="464" t="n"/>
      <c r="AD23" s="464" t="n"/>
      <c r="AE23" s="464" t="n"/>
      <c r="AF23" s="464" t="n"/>
      <c r="AG23" s="464" t="n"/>
      <c r="AH23" s="464" t="n"/>
      <c r="AI23" s="464" t="n"/>
      <c r="AJ23" s="464" t="n"/>
      <c r="AK23" s="464" t="n"/>
      <c r="AL23" s="464" t="n"/>
      <c r="AM23" s="464" t="n"/>
      <c r="AN23" s="464" t="n"/>
      <c r="AO23" s="464" t="n"/>
      <c r="AP23" s="464" t="n"/>
      <c r="AQ23" s="464" t="n"/>
      <c r="AR23" s="464" t="n"/>
      <c r="AS23" s="464" t="n"/>
      <c r="AT23" s="464" t="n"/>
      <c r="AU23" s="464" t="n"/>
      <c r="AV23" s="464" t="n"/>
      <c r="AW23" s="464" t="n"/>
      <c r="AX23" s="464" t="n"/>
      <c r="AY23" s="464" t="n"/>
      <c r="AZ23" s="464" t="n"/>
      <c r="BA23" s="464" t="n"/>
      <c r="BB23" s="464" t="n"/>
      <c r="BC23" s="464" t="n"/>
      <c r="BD23" s="464" t="n"/>
      <c r="BE23" s="464" t="n"/>
      <c r="BF23" s="464" t="n"/>
      <c r="BG23" s="464" t="n"/>
      <c r="BH23" s="464" t="n"/>
      <c r="BI23" s="464" t="n"/>
      <c r="BJ23" s="464" t="n"/>
      <c r="BK23" s="464" t="n"/>
      <c r="BL23" s="464" t="n"/>
      <c r="BM23" s="464" t="n"/>
      <c r="BN23" s="464" t="n"/>
      <c r="BO23" s="464" t="n"/>
      <c r="BP23" s="464" t="n"/>
      <c r="BQ23" s="464" t="n"/>
      <c r="BR23" s="464" t="n"/>
      <c r="BS23" s="464" t="n"/>
      <c r="BT23" s="464" t="n"/>
      <c r="BU23" s="464" t="n"/>
      <c r="BV23" s="464" t="n"/>
      <c r="BW23" s="464" t="n"/>
      <c r="BX23" s="464" t="n"/>
      <c r="BY23" s="464" t="n"/>
      <c r="BZ23" s="464" t="n"/>
      <c r="CA23" s="464" t="n"/>
      <c r="CB23" s="464" t="n"/>
      <c r="CC23" s="464" t="n"/>
      <c r="CD23" s="464" t="n"/>
      <c r="CE23" s="464" t="n"/>
      <c r="CF23" s="464" t="n"/>
      <c r="CG23" s="464" t="n"/>
      <c r="CH23" s="464" t="n"/>
      <c r="CI23" s="464" t="n"/>
      <c r="CJ23" s="464" t="n"/>
      <c r="CK23" s="464" t="n"/>
      <c r="CL23" s="464" t="n"/>
      <c r="CM23" s="464" t="n"/>
      <c r="CN23" s="464" t="n"/>
      <c r="CO23" s="464" t="n"/>
      <c r="CP23" s="464" t="n"/>
      <c r="CQ23" s="464" t="n"/>
      <c r="CR23" s="464" t="n"/>
      <c r="CS23" s="464" t="n"/>
      <c r="CT23" s="464" t="n"/>
      <c r="CU23" s="464" t="n"/>
      <c r="CV23" s="464" t="n"/>
      <c r="CW23" s="464" t="n"/>
      <c r="CX23" s="464" t="n"/>
      <c r="CY23" s="464" t="n"/>
      <c r="CZ23" s="464" t="n"/>
      <c r="DA23" s="464" t="n"/>
      <c r="DB23" s="464" t="n"/>
      <c r="DC23" s="464" t="n"/>
      <c r="DD23" s="464" t="n"/>
      <c r="DE23" s="464" t="n"/>
      <c r="DF23" s="464" t="n"/>
      <c r="DG23" s="464" t="n"/>
      <c r="DH23" s="464" t="n"/>
      <c r="DI23" s="464" t="n"/>
      <c r="DJ23" s="464" t="n"/>
      <c r="DK23" s="464" t="n"/>
      <c r="DL23" s="464" t="n"/>
      <c r="DM23" s="464" t="n"/>
      <c r="DN23" s="464" t="n"/>
      <c r="DO23" s="464" t="n"/>
      <c r="DP23" s="464" t="n"/>
      <c r="DQ23" s="464" t="n"/>
      <c r="DR23" s="464" t="n"/>
      <c r="DS23" s="464" t="n"/>
      <c r="DT23" s="464" t="n"/>
      <c r="DU23" s="464" t="n"/>
      <c r="DV23" s="464" t="n"/>
      <c r="DW23" s="464" t="n"/>
      <c r="DX23" s="464" t="n"/>
      <c r="DY23" s="464" t="n"/>
      <c r="DZ23" s="464" t="n"/>
      <c r="EA23" s="464" t="n"/>
      <c r="EB23" s="464" t="n"/>
      <c r="EC23" s="464" t="n"/>
      <c r="ED23" s="464" t="n"/>
      <c r="EE23" s="464" t="n"/>
      <c r="EF23" s="464" t="n"/>
      <c r="EG23" s="464" t="n"/>
      <c r="EH23" s="464" t="n"/>
      <c r="EI23" s="464" t="n"/>
      <c r="EJ23" s="464" t="n"/>
      <c r="EK23" s="464" t="n"/>
      <c r="EL23" s="464" t="n"/>
      <c r="EM23" s="464" t="n"/>
      <c r="EN23" s="464" t="n"/>
      <c r="EO23" s="464" t="n"/>
      <c r="EP23" s="464" t="n"/>
      <c r="EQ23" s="464" t="n"/>
      <c r="ER23" s="464" t="n"/>
      <c r="ES23" s="464" t="n"/>
      <c r="ET23" s="464" t="n"/>
      <c r="EU23" s="464" t="n"/>
      <c r="EV23" s="464" t="n"/>
      <c r="EW23" s="464" t="n"/>
      <c r="EX23" s="464" t="n"/>
      <c r="EY23" s="464" t="n"/>
      <c r="EZ23" s="464" t="n"/>
      <c r="FA23" s="464" t="n"/>
      <c r="FB23" s="464" t="n"/>
      <c r="FC23" s="464" t="n"/>
      <c r="FD23" s="464" t="n"/>
      <c r="FE23" s="464" t="n"/>
      <c r="FF23" s="464" t="n"/>
      <c r="FG23" s="464" t="n"/>
      <c r="FH23" s="464" t="n"/>
      <c r="FI23" s="464" t="n"/>
      <c r="FJ23" s="464" t="n"/>
      <c r="FK23" s="464" t="n"/>
      <c r="FL23" s="464" t="n"/>
      <c r="FM23" s="464" t="n"/>
      <c r="FN23" s="464" t="n"/>
      <c r="FO23" s="464" t="n"/>
      <c r="FP23" s="464" t="n"/>
      <c r="FQ23" s="464" t="n"/>
      <c r="FR23" s="464" t="n"/>
      <c r="FS23" s="464" t="n"/>
      <c r="FT23" s="464" t="n"/>
      <c r="FU23" s="464" t="n"/>
      <c r="FV23" s="464" t="n"/>
      <c r="FW23" s="464" t="n"/>
      <c r="FX23" s="464" t="n"/>
      <c r="FY23" s="464" t="n"/>
      <c r="FZ23" s="306" t="n"/>
    </row>
    <row r="24" ht="15" customHeight="1" s="307">
      <c r="A24" s="322" t="inlineStr">
        <is>
          <t>EBITDA</t>
        </is>
      </c>
      <c r="B24" s="465">
        <f>'_Engine_NR'!R31</f>
        <v/>
      </c>
      <c r="C24" s="465">
        <f>'_Engine_NR'!R32</f>
        <v/>
      </c>
      <c r="D24" s="465">
        <f>'_Engine_NR'!R33</f>
        <v/>
      </c>
      <c r="E24" s="465">
        <f>'_Engine_NR'!R34</f>
        <v/>
      </c>
      <c r="F24" s="465">
        <f>'_Engine_NR'!R35</f>
        <v/>
      </c>
      <c r="G24" s="465">
        <f>'_Engine_NR'!R36</f>
        <v/>
      </c>
      <c r="H24" s="465">
        <f>'_Engine_NR'!R37</f>
        <v/>
      </c>
      <c r="I24" s="465">
        <f>'_Engine_NR'!R38</f>
        <v/>
      </c>
      <c r="J24" s="465">
        <f>'_Engine_NR'!R39</f>
        <v/>
      </c>
      <c r="K24" s="465">
        <f>'_Engine_NR'!R40</f>
        <v/>
      </c>
      <c r="L24" s="465">
        <f>'_Engine_NR'!R41</f>
        <v/>
      </c>
      <c r="M24" s="465">
        <f>'_Engine_NR'!R42</f>
        <v/>
      </c>
      <c r="N24" s="466">
        <f>'_Engine_NR'!R43</f>
        <v/>
      </c>
      <c r="O24" s="466">
        <f>'_Engine_NR'!R44</f>
        <v/>
      </c>
      <c r="P24" s="466">
        <f>'_Engine_NR'!R45</f>
        <v/>
      </c>
      <c r="Q24" s="466">
        <f>'_Engine_NR'!R46</f>
        <v/>
      </c>
      <c r="R24" s="466">
        <f>'_Engine_NR'!R47</f>
        <v/>
      </c>
      <c r="S24" s="466">
        <f>'_Engine_NR'!R48</f>
        <v/>
      </c>
      <c r="T24" s="466">
        <f>'_Engine_NR'!R49</f>
        <v/>
      </c>
      <c r="U24" s="466">
        <f>'_Engine_NR'!R50</f>
        <v/>
      </c>
      <c r="V24" s="466">
        <f>'_Engine_NR'!R51</f>
        <v/>
      </c>
      <c r="W24" s="466">
        <f>'_Engine_NR'!R52</f>
        <v/>
      </c>
      <c r="X24" s="466">
        <f>'_Engine_NR'!R53</f>
        <v/>
      </c>
      <c r="Y24" s="466">
        <f>'_Engine_NR'!R54</f>
        <v/>
      </c>
      <c r="Z24" s="465">
        <f>'_Engine_NR'!R55</f>
        <v/>
      </c>
      <c r="AA24" s="465">
        <f>'_Engine_NR'!R56</f>
        <v/>
      </c>
      <c r="AB24" s="465">
        <f>'_Engine_NR'!R57</f>
        <v/>
      </c>
      <c r="AC24" s="465">
        <f>'_Engine_NR'!R58</f>
        <v/>
      </c>
      <c r="AD24" s="465">
        <f>'_Engine_NR'!R59</f>
        <v/>
      </c>
      <c r="AE24" s="465">
        <f>'_Engine_NR'!R60</f>
        <v/>
      </c>
      <c r="AF24" s="465">
        <f>'_Engine_NR'!R61</f>
        <v/>
      </c>
      <c r="AG24" s="465">
        <f>'_Engine_NR'!R62</f>
        <v/>
      </c>
      <c r="AH24" s="465">
        <f>'_Engine_NR'!R63</f>
        <v/>
      </c>
      <c r="AI24" s="465">
        <f>'_Engine_NR'!R64</f>
        <v/>
      </c>
      <c r="AJ24" s="465">
        <f>'_Engine_NR'!R65</f>
        <v/>
      </c>
      <c r="AK24" s="465">
        <f>'_Engine_NR'!R66</f>
        <v/>
      </c>
      <c r="AL24" s="466">
        <f>'_Engine_NR'!R67</f>
        <v/>
      </c>
      <c r="AM24" s="466">
        <f>'_Engine_NR'!R68</f>
        <v/>
      </c>
      <c r="AN24" s="466">
        <f>'_Engine_NR'!R69</f>
        <v/>
      </c>
      <c r="AO24" s="466">
        <f>'_Engine_NR'!R70</f>
        <v/>
      </c>
      <c r="AP24" s="466">
        <f>'_Engine_NR'!R71</f>
        <v/>
      </c>
      <c r="AQ24" s="466">
        <f>'_Engine_NR'!R72</f>
        <v/>
      </c>
      <c r="AR24" s="466">
        <f>'_Engine_NR'!R73</f>
        <v/>
      </c>
      <c r="AS24" s="466">
        <f>'_Engine_NR'!R74</f>
        <v/>
      </c>
      <c r="AT24" s="466">
        <f>'_Engine_NR'!R75</f>
        <v/>
      </c>
      <c r="AU24" s="466">
        <f>'_Engine_NR'!R76</f>
        <v/>
      </c>
      <c r="AV24" s="466">
        <f>'_Engine_NR'!R77</f>
        <v/>
      </c>
      <c r="AW24" s="466">
        <f>'_Engine_NR'!R78</f>
        <v/>
      </c>
      <c r="AX24" s="465">
        <f>'_Engine_NR'!R79</f>
        <v/>
      </c>
      <c r="AY24" s="465">
        <f>'_Engine_NR'!R80</f>
        <v/>
      </c>
      <c r="AZ24" s="465">
        <f>'_Engine_NR'!R81</f>
        <v/>
      </c>
      <c r="BA24" s="465">
        <f>'_Engine_NR'!R82</f>
        <v/>
      </c>
      <c r="BB24" s="465">
        <f>'_Engine_NR'!R83</f>
        <v/>
      </c>
      <c r="BC24" s="465">
        <f>'_Engine_NR'!R84</f>
        <v/>
      </c>
      <c r="BD24" s="465">
        <f>'_Engine_NR'!R85</f>
        <v/>
      </c>
      <c r="BE24" s="465">
        <f>'_Engine_NR'!R86</f>
        <v/>
      </c>
      <c r="BF24" s="465">
        <f>'_Engine_NR'!R87</f>
        <v/>
      </c>
      <c r="BG24" s="465">
        <f>'_Engine_NR'!R88</f>
        <v/>
      </c>
      <c r="BH24" s="465">
        <f>'_Engine_NR'!R89</f>
        <v/>
      </c>
      <c r="BI24" s="465">
        <f>'_Engine_NR'!R90</f>
        <v/>
      </c>
      <c r="BJ24" s="466">
        <f>'_Engine_NR'!R91</f>
        <v/>
      </c>
      <c r="BK24" s="466">
        <f>'_Engine_NR'!R92</f>
        <v/>
      </c>
      <c r="BL24" s="466">
        <f>'_Engine_NR'!R93</f>
        <v/>
      </c>
      <c r="BM24" s="466">
        <f>'_Engine_NR'!R94</f>
        <v/>
      </c>
      <c r="BN24" s="466">
        <f>'_Engine_NR'!R95</f>
        <v/>
      </c>
      <c r="BO24" s="466">
        <f>'_Engine_NR'!R96</f>
        <v/>
      </c>
      <c r="BP24" s="466">
        <f>'_Engine_NR'!R97</f>
        <v/>
      </c>
      <c r="BQ24" s="466">
        <f>'_Engine_NR'!R98</f>
        <v/>
      </c>
      <c r="BR24" s="466">
        <f>'_Engine_NR'!R99</f>
        <v/>
      </c>
      <c r="BS24" s="466">
        <f>'_Engine_NR'!R100</f>
        <v/>
      </c>
      <c r="BT24" s="466">
        <f>'_Engine_NR'!R101</f>
        <v/>
      </c>
      <c r="BU24" s="466">
        <f>'_Engine_NR'!R102</f>
        <v/>
      </c>
      <c r="BV24" s="465">
        <f>'_Engine_NR'!R103</f>
        <v/>
      </c>
      <c r="BW24" s="465">
        <f>'_Engine_NR'!R104</f>
        <v/>
      </c>
      <c r="BX24" s="465">
        <f>'_Engine_NR'!R105</f>
        <v/>
      </c>
      <c r="BY24" s="465">
        <f>'_Engine_NR'!R106</f>
        <v/>
      </c>
      <c r="BZ24" s="465">
        <f>'_Engine_NR'!R107</f>
        <v/>
      </c>
      <c r="CA24" s="465">
        <f>'_Engine_NR'!R108</f>
        <v/>
      </c>
      <c r="CB24" s="465">
        <f>'_Engine_NR'!R109</f>
        <v/>
      </c>
      <c r="CC24" s="465">
        <f>'_Engine_NR'!R110</f>
        <v/>
      </c>
      <c r="CD24" s="465">
        <f>'_Engine_NR'!R111</f>
        <v/>
      </c>
      <c r="CE24" s="465">
        <f>'_Engine_NR'!R112</f>
        <v/>
      </c>
      <c r="CF24" s="465">
        <f>'_Engine_NR'!R113</f>
        <v/>
      </c>
      <c r="CG24" s="465">
        <f>'_Engine_NR'!R114</f>
        <v/>
      </c>
      <c r="CH24" s="466">
        <f>'_Engine_NR'!R115</f>
        <v/>
      </c>
      <c r="CI24" s="466">
        <f>'_Engine_NR'!R116</f>
        <v/>
      </c>
      <c r="CJ24" s="466">
        <f>'_Engine_NR'!R117</f>
        <v/>
      </c>
      <c r="CK24" s="466">
        <f>'_Engine_NR'!R118</f>
        <v/>
      </c>
      <c r="CL24" s="466">
        <f>'_Engine_NR'!R119</f>
        <v/>
      </c>
      <c r="CM24" s="466">
        <f>'_Engine_NR'!R120</f>
        <v/>
      </c>
      <c r="CN24" s="466">
        <f>'_Engine_NR'!R121</f>
        <v/>
      </c>
      <c r="CO24" s="466">
        <f>'_Engine_NR'!R122</f>
        <v/>
      </c>
      <c r="CP24" s="466">
        <f>'_Engine_NR'!R123</f>
        <v/>
      </c>
      <c r="CQ24" s="466">
        <f>'_Engine_NR'!R124</f>
        <v/>
      </c>
      <c r="CR24" s="466">
        <f>'_Engine_NR'!R125</f>
        <v/>
      </c>
      <c r="CS24" s="466">
        <f>'_Engine_NR'!R126</f>
        <v/>
      </c>
      <c r="CT24" s="465">
        <f>'_Engine_NR'!R127</f>
        <v/>
      </c>
      <c r="CU24" s="465">
        <f>'_Engine_NR'!R128</f>
        <v/>
      </c>
      <c r="CV24" s="465">
        <f>'_Engine_NR'!R129</f>
        <v/>
      </c>
      <c r="CW24" s="465">
        <f>'_Engine_NR'!R130</f>
        <v/>
      </c>
      <c r="CX24" s="465">
        <f>'_Engine_NR'!R131</f>
        <v/>
      </c>
      <c r="CY24" s="465">
        <f>'_Engine_NR'!R132</f>
        <v/>
      </c>
      <c r="CZ24" s="465">
        <f>'_Engine_NR'!R133</f>
        <v/>
      </c>
      <c r="DA24" s="465">
        <f>'_Engine_NR'!R134</f>
        <v/>
      </c>
      <c r="DB24" s="465">
        <f>'_Engine_NR'!R135</f>
        <v/>
      </c>
      <c r="DC24" s="465">
        <f>'_Engine_NR'!R136</f>
        <v/>
      </c>
      <c r="DD24" s="465">
        <f>'_Engine_NR'!R137</f>
        <v/>
      </c>
      <c r="DE24" s="465">
        <f>'_Engine_NR'!R138</f>
        <v/>
      </c>
      <c r="DF24" s="466">
        <f>'_Engine_NR'!R139</f>
        <v/>
      </c>
      <c r="DG24" s="466">
        <f>'_Engine_NR'!R140</f>
        <v/>
      </c>
      <c r="DH24" s="466">
        <f>'_Engine_NR'!R141</f>
        <v/>
      </c>
      <c r="DI24" s="466">
        <f>'_Engine_NR'!R142</f>
        <v/>
      </c>
      <c r="DJ24" s="466">
        <f>'_Engine_NR'!R143</f>
        <v/>
      </c>
      <c r="DK24" s="466">
        <f>'_Engine_NR'!R144</f>
        <v/>
      </c>
      <c r="DL24" s="466">
        <f>'_Engine_NR'!R145</f>
        <v/>
      </c>
      <c r="DM24" s="466">
        <f>'_Engine_NR'!R146</f>
        <v/>
      </c>
      <c r="DN24" s="466">
        <f>'_Engine_NR'!R147</f>
        <v/>
      </c>
      <c r="DO24" s="466">
        <f>'_Engine_NR'!R148</f>
        <v/>
      </c>
      <c r="DP24" s="466">
        <f>'_Engine_NR'!R149</f>
        <v/>
      </c>
      <c r="DQ24" s="466">
        <f>'_Engine_NR'!R150</f>
        <v/>
      </c>
      <c r="DR24" s="465">
        <f>'_Engine_NR'!R151</f>
        <v/>
      </c>
      <c r="DS24" s="465">
        <f>'_Engine_NR'!R152</f>
        <v/>
      </c>
      <c r="DT24" s="465">
        <f>'_Engine_NR'!R153</f>
        <v/>
      </c>
      <c r="DU24" s="465">
        <f>'_Engine_NR'!R154</f>
        <v/>
      </c>
      <c r="DV24" s="465">
        <f>'_Engine_NR'!R155</f>
        <v/>
      </c>
      <c r="DW24" s="465">
        <f>'_Engine_NR'!R156</f>
        <v/>
      </c>
      <c r="DX24" s="465">
        <f>'_Engine_NR'!R157</f>
        <v/>
      </c>
      <c r="DY24" s="465">
        <f>'_Engine_NR'!R158</f>
        <v/>
      </c>
      <c r="DZ24" s="465">
        <f>'_Engine_NR'!R159</f>
        <v/>
      </c>
      <c r="EA24" s="465">
        <f>'_Engine_NR'!R160</f>
        <v/>
      </c>
      <c r="EB24" s="465">
        <f>'_Engine_NR'!R161</f>
        <v/>
      </c>
      <c r="EC24" s="465">
        <f>'_Engine_NR'!R162</f>
        <v/>
      </c>
      <c r="ED24" s="466">
        <f>'_Engine_NR'!R163</f>
        <v/>
      </c>
      <c r="EE24" s="466">
        <f>'_Engine_NR'!R164</f>
        <v/>
      </c>
      <c r="EF24" s="466">
        <f>'_Engine_NR'!R165</f>
        <v/>
      </c>
      <c r="EG24" s="466">
        <f>'_Engine_NR'!R166</f>
        <v/>
      </c>
      <c r="EH24" s="466">
        <f>'_Engine_NR'!R167</f>
        <v/>
      </c>
      <c r="EI24" s="466">
        <f>'_Engine_NR'!R168</f>
        <v/>
      </c>
      <c r="EJ24" s="466">
        <f>'_Engine_NR'!R169</f>
        <v/>
      </c>
      <c r="EK24" s="466">
        <f>'_Engine_NR'!R170</f>
        <v/>
      </c>
      <c r="EL24" s="466">
        <f>'_Engine_NR'!R171</f>
        <v/>
      </c>
      <c r="EM24" s="466">
        <f>'_Engine_NR'!R172</f>
        <v/>
      </c>
      <c r="EN24" s="466">
        <f>'_Engine_NR'!R173</f>
        <v/>
      </c>
      <c r="EO24" s="466">
        <f>'_Engine_NR'!R174</f>
        <v/>
      </c>
      <c r="EP24" s="465">
        <f>'_Engine_NR'!R175</f>
        <v/>
      </c>
      <c r="EQ24" s="465">
        <f>'_Engine_NR'!R176</f>
        <v/>
      </c>
      <c r="ER24" s="465">
        <f>'_Engine_NR'!R177</f>
        <v/>
      </c>
      <c r="ES24" s="465">
        <f>'_Engine_NR'!R178</f>
        <v/>
      </c>
      <c r="ET24" s="465">
        <f>'_Engine_NR'!R179</f>
        <v/>
      </c>
      <c r="EU24" s="465">
        <f>'_Engine_NR'!R180</f>
        <v/>
      </c>
      <c r="EV24" s="465">
        <f>'_Engine_NR'!R181</f>
        <v/>
      </c>
      <c r="EW24" s="465">
        <f>'_Engine_NR'!R182</f>
        <v/>
      </c>
      <c r="EX24" s="465">
        <f>'_Engine_NR'!R183</f>
        <v/>
      </c>
      <c r="EY24" s="465">
        <f>'_Engine_NR'!R184</f>
        <v/>
      </c>
      <c r="EZ24" s="465">
        <f>'_Engine_NR'!R185</f>
        <v/>
      </c>
      <c r="FA24" s="465">
        <f>'_Engine_NR'!R186</f>
        <v/>
      </c>
      <c r="FB24" s="466">
        <f>'_Engine_NR'!R187</f>
        <v/>
      </c>
      <c r="FC24" s="466">
        <f>'_Engine_NR'!R188</f>
        <v/>
      </c>
      <c r="FD24" s="466">
        <f>'_Engine_NR'!R189</f>
        <v/>
      </c>
      <c r="FE24" s="466">
        <f>'_Engine_NR'!R190</f>
        <v/>
      </c>
      <c r="FF24" s="466">
        <f>'_Engine_NR'!R191</f>
        <v/>
      </c>
      <c r="FG24" s="466">
        <f>'_Engine_NR'!R192</f>
        <v/>
      </c>
      <c r="FH24" s="466">
        <f>'_Engine_NR'!R193</f>
        <v/>
      </c>
      <c r="FI24" s="466">
        <f>'_Engine_NR'!R194</f>
        <v/>
      </c>
      <c r="FJ24" s="466">
        <f>'_Engine_NR'!R195</f>
        <v/>
      </c>
      <c r="FK24" s="466">
        <f>'_Engine_NR'!R196</f>
        <v/>
      </c>
      <c r="FL24" s="466">
        <f>'_Engine_NR'!R197</f>
        <v/>
      </c>
      <c r="FM24" s="466">
        <f>'_Engine_NR'!R198</f>
        <v/>
      </c>
      <c r="FN24" s="465">
        <f>'_Engine_NR'!R199</f>
        <v/>
      </c>
      <c r="FO24" s="465">
        <f>'_Engine_NR'!R200</f>
        <v/>
      </c>
      <c r="FP24" s="465">
        <f>'_Engine_NR'!R201</f>
        <v/>
      </c>
      <c r="FQ24" s="465">
        <f>'_Engine_NR'!R202</f>
        <v/>
      </c>
      <c r="FR24" s="465">
        <f>'_Engine_NR'!R203</f>
        <v/>
      </c>
      <c r="FS24" s="465">
        <f>'_Engine_NR'!R204</f>
        <v/>
      </c>
      <c r="FT24" s="465">
        <f>'_Engine_NR'!R205</f>
        <v/>
      </c>
      <c r="FU24" s="465">
        <f>'_Engine_NR'!R206</f>
        <v/>
      </c>
      <c r="FV24" s="465">
        <f>'_Engine_NR'!R207</f>
        <v/>
      </c>
      <c r="FW24" s="465">
        <f>'_Engine_NR'!R208</f>
        <v/>
      </c>
      <c r="FX24" s="465">
        <f>'_Engine_NR'!R209</f>
        <v/>
      </c>
      <c r="FY24" s="465">
        <f>'_Engine_NR'!R210</f>
        <v/>
      </c>
      <c r="FZ24" s="306" t="n"/>
    </row>
    <row r="25" ht="15" customHeight="1" s="307">
      <c r="A25" s="321" t="inlineStr">
        <is>
          <t xml:space="preserve">    Severance (Press 50%)</t>
        </is>
      </c>
      <c r="B25" s="458">
        <f>'_Engine_NR'!S31</f>
        <v/>
      </c>
      <c r="C25" s="458">
        <f>'_Engine_NR'!S32</f>
        <v/>
      </c>
      <c r="D25" s="458">
        <f>'_Engine_NR'!S33</f>
        <v/>
      </c>
      <c r="E25" s="458">
        <f>'_Engine_NR'!S34</f>
        <v/>
      </c>
      <c r="F25" s="458">
        <f>'_Engine_NR'!S35</f>
        <v/>
      </c>
      <c r="G25" s="458">
        <f>'_Engine_NR'!S36</f>
        <v/>
      </c>
      <c r="H25" s="458">
        <f>'_Engine_NR'!S37</f>
        <v/>
      </c>
      <c r="I25" s="458">
        <f>'_Engine_NR'!S38</f>
        <v/>
      </c>
      <c r="J25" s="458">
        <f>'_Engine_NR'!S39</f>
        <v/>
      </c>
      <c r="K25" s="458">
        <f>'_Engine_NR'!S40</f>
        <v/>
      </c>
      <c r="L25" s="458">
        <f>'_Engine_NR'!S41</f>
        <v/>
      </c>
      <c r="M25" s="458">
        <f>'_Engine_NR'!S42</f>
        <v/>
      </c>
      <c r="N25" s="459">
        <f>'_Engine_NR'!S43</f>
        <v/>
      </c>
      <c r="O25" s="459">
        <f>'_Engine_NR'!S44</f>
        <v/>
      </c>
      <c r="P25" s="459">
        <f>'_Engine_NR'!S45</f>
        <v/>
      </c>
      <c r="Q25" s="459">
        <f>'_Engine_NR'!S46</f>
        <v/>
      </c>
      <c r="R25" s="459">
        <f>'_Engine_NR'!S47</f>
        <v/>
      </c>
      <c r="S25" s="459">
        <f>'_Engine_NR'!S48</f>
        <v/>
      </c>
      <c r="T25" s="459">
        <f>'_Engine_NR'!S49</f>
        <v/>
      </c>
      <c r="U25" s="459">
        <f>'_Engine_NR'!S50</f>
        <v/>
      </c>
      <c r="V25" s="459">
        <f>'_Engine_NR'!S51</f>
        <v/>
      </c>
      <c r="W25" s="459">
        <f>'_Engine_NR'!S52</f>
        <v/>
      </c>
      <c r="X25" s="459">
        <f>'_Engine_NR'!S53</f>
        <v/>
      </c>
      <c r="Y25" s="459">
        <f>'_Engine_NR'!S54</f>
        <v/>
      </c>
      <c r="Z25" s="458">
        <f>'_Engine_NR'!S55</f>
        <v/>
      </c>
      <c r="AA25" s="458">
        <f>'_Engine_NR'!S56</f>
        <v/>
      </c>
      <c r="AB25" s="458">
        <f>'_Engine_NR'!S57</f>
        <v/>
      </c>
      <c r="AC25" s="458">
        <f>'_Engine_NR'!S58</f>
        <v/>
      </c>
      <c r="AD25" s="458">
        <f>'_Engine_NR'!S59</f>
        <v/>
      </c>
      <c r="AE25" s="458">
        <f>'_Engine_NR'!S60</f>
        <v/>
      </c>
      <c r="AF25" s="458">
        <f>'_Engine_NR'!S61</f>
        <v/>
      </c>
      <c r="AG25" s="458">
        <f>'_Engine_NR'!S62</f>
        <v/>
      </c>
      <c r="AH25" s="458">
        <f>'_Engine_NR'!S63</f>
        <v/>
      </c>
      <c r="AI25" s="458">
        <f>'_Engine_NR'!S64</f>
        <v/>
      </c>
      <c r="AJ25" s="458">
        <f>'_Engine_NR'!S65</f>
        <v/>
      </c>
      <c r="AK25" s="458">
        <f>'_Engine_NR'!S66</f>
        <v/>
      </c>
      <c r="AL25" s="459">
        <f>'_Engine_NR'!S67</f>
        <v/>
      </c>
      <c r="AM25" s="459">
        <f>'_Engine_NR'!S68</f>
        <v/>
      </c>
      <c r="AN25" s="459">
        <f>'_Engine_NR'!S69</f>
        <v/>
      </c>
      <c r="AO25" s="459">
        <f>'_Engine_NR'!S70</f>
        <v/>
      </c>
      <c r="AP25" s="459">
        <f>'_Engine_NR'!S71</f>
        <v/>
      </c>
      <c r="AQ25" s="459">
        <f>'_Engine_NR'!S72</f>
        <v/>
      </c>
      <c r="AR25" s="459">
        <f>'_Engine_NR'!S73</f>
        <v/>
      </c>
      <c r="AS25" s="459">
        <f>'_Engine_NR'!S74</f>
        <v/>
      </c>
      <c r="AT25" s="459">
        <f>'_Engine_NR'!S75</f>
        <v/>
      </c>
      <c r="AU25" s="459">
        <f>'_Engine_NR'!S76</f>
        <v/>
      </c>
      <c r="AV25" s="459">
        <f>'_Engine_NR'!S77</f>
        <v/>
      </c>
      <c r="AW25" s="459">
        <f>'_Engine_NR'!S78</f>
        <v/>
      </c>
      <c r="AX25" s="458">
        <f>'_Engine_NR'!S79</f>
        <v/>
      </c>
      <c r="AY25" s="458">
        <f>'_Engine_NR'!S80</f>
        <v/>
      </c>
      <c r="AZ25" s="458">
        <f>'_Engine_NR'!S81</f>
        <v/>
      </c>
      <c r="BA25" s="458">
        <f>'_Engine_NR'!S82</f>
        <v/>
      </c>
      <c r="BB25" s="458">
        <f>'_Engine_NR'!S83</f>
        <v/>
      </c>
      <c r="BC25" s="458">
        <f>'_Engine_NR'!S84</f>
        <v/>
      </c>
      <c r="BD25" s="458">
        <f>'_Engine_NR'!S85</f>
        <v/>
      </c>
      <c r="BE25" s="458">
        <f>'_Engine_NR'!S86</f>
        <v/>
      </c>
      <c r="BF25" s="458">
        <f>'_Engine_NR'!S87</f>
        <v/>
      </c>
      <c r="BG25" s="458">
        <f>'_Engine_NR'!S88</f>
        <v/>
      </c>
      <c r="BH25" s="458">
        <f>'_Engine_NR'!S89</f>
        <v/>
      </c>
      <c r="BI25" s="458">
        <f>'_Engine_NR'!S90</f>
        <v/>
      </c>
      <c r="BJ25" s="459">
        <f>'_Engine_NR'!S91</f>
        <v/>
      </c>
      <c r="BK25" s="459">
        <f>'_Engine_NR'!S92</f>
        <v/>
      </c>
      <c r="BL25" s="459">
        <f>'_Engine_NR'!S93</f>
        <v/>
      </c>
      <c r="BM25" s="459">
        <f>'_Engine_NR'!S94</f>
        <v/>
      </c>
      <c r="BN25" s="459">
        <f>'_Engine_NR'!S95</f>
        <v/>
      </c>
      <c r="BO25" s="459">
        <f>'_Engine_NR'!S96</f>
        <v/>
      </c>
      <c r="BP25" s="459">
        <f>'_Engine_NR'!S97</f>
        <v/>
      </c>
      <c r="BQ25" s="459">
        <f>'_Engine_NR'!S98</f>
        <v/>
      </c>
      <c r="BR25" s="459">
        <f>'_Engine_NR'!S99</f>
        <v/>
      </c>
      <c r="BS25" s="459">
        <f>'_Engine_NR'!S100</f>
        <v/>
      </c>
      <c r="BT25" s="459">
        <f>'_Engine_NR'!S101</f>
        <v/>
      </c>
      <c r="BU25" s="459">
        <f>'_Engine_NR'!S102</f>
        <v/>
      </c>
      <c r="BV25" s="458">
        <f>'_Engine_NR'!S103</f>
        <v/>
      </c>
      <c r="BW25" s="458">
        <f>'_Engine_NR'!S104</f>
        <v/>
      </c>
      <c r="BX25" s="458">
        <f>'_Engine_NR'!S105</f>
        <v/>
      </c>
      <c r="BY25" s="458">
        <f>'_Engine_NR'!S106</f>
        <v/>
      </c>
      <c r="BZ25" s="458">
        <f>'_Engine_NR'!S107</f>
        <v/>
      </c>
      <c r="CA25" s="458">
        <f>'_Engine_NR'!S108</f>
        <v/>
      </c>
      <c r="CB25" s="458">
        <f>'_Engine_NR'!S109</f>
        <v/>
      </c>
      <c r="CC25" s="458">
        <f>'_Engine_NR'!S110</f>
        <v/>
      </c>
      <c r="CD25" s="458">
        <f>'_Engine_NR'!S111</f>
        <v/>
      </c>
      <c r="CE25" s="458">
        <f>'_Engine_NR'!S112</f>
        <v/>
      </c>
      <c r="CF25" s="458">
        <f>'_Engine_NR'!S113</f>
        <v/>
      </c>
      <c r="CG25" s="458">
        <f>'_Engine_NR'!S114</f>
        <v/>
      </c>
      <c r="CH25" s="459">
        <f>'_Engine_NR'!S115</f>
        <v/>
      </c>
      <c r="CI25" s="459">
        <f>'_Engine_NR'!S116</f>
        <v/>
      </c>
      <c r="CJ25" s="459">
        <f>'_Engine_NR'!S117</f>
        <v/>
      </c>
      <c r="CK25" s="459">
        <f>'_Engine_NR'!S118</f>
        <v/>
      </c>
      <c r="CL25" s="459">
        <f>'_Engine_NR'!S119</f>
        <v/>
      </c>
      <c r="CM25" s="459">
        <f>'_Engine_NR'!S120</f>
        <v/>
      </c>
      <c r="CN25" s="459">
        <f>'_Engine_NR'!S121</f>
        <v/>
      </c>
      <c r="CO25" s="459">
        <f>'_Engine_NR'!S122</f>
        <v/>
      </c>
      <c r="CP25" s="459">
        <f>'_Engine_NR'!S123</f>
        <v/>
      </c>
      <c r="CQ25" s="459">
        <f>'_Engine_NR'!S124</f>
        <v/>
      </c>
      <c r="CR25" s="459">
        <f>'_Engine_NR'!S125</f>
        <v/>
      </c>
      <c r="CS25" s="459">
        <f>'_Engine_NR'!S126</f>
        <v/>
      </c>
      <c r="CT25" s="458">
        <f>'_Engine_NR'!S127</f>
        <v/>
      </c>
      <c r="CU25" s="458">
        <f>'_Engine_NR'!S128</f>
        <v/>
      </c>
      <c r="CV25" s="458">
        <f>'_Engine_NR'!S129</f>
        <v/>
      </c>
      <c r="CW25" s="458">
        <f>'_Engine_NR'!S130</f>
        <v/>
      </c>
      <c r="CX25" s="458">
        <f>'_Engine_NR'!S131</f>
        <v/>
      </c>
      <c r="CY25" s="458">
        <f>'_Engine_NR'!S132</f>
        <v/>
      </c>
      <c r="CZ25" s="458">
        <f>'_Engine_NR'!S133</f>
        <v/>
      </c>
      <c r="DA25" s="458">
        <f>'_Engine_NR'!S134</f>
        <v/>
      </c>
      <c r="DB25" s="458">
        <f>'_Engine_NR'!S135</f>
        <v/>
      </c>
      <c r="DC25" s="458">
        <f>'_Engine_NR'!S136</f>
        <v/>
      </c>
      <c r="DD25" s="458">
        <f>'_Engine_NR'!S137</f>
        <v/>
      </c>
      <c r="DE25" s="458">
        <f>'_Engine_NR'!S138</f>
        <v/>
      </c>
      <c r="DF25" s="459">
        <f>'_Engine_NR'!S139</f>
        <v/>
      </c>
      <c r="DG25" s="459">
        <f>'_Engine_NR'!S140</f>
        <v/>
      </c>
      <c r="DH25" s="459">
        <f>'_Engine_NR'!S141</f>
        <v/>
      </c>
      <c r="DI25" s="459">
        <f>'_Engine_NR'!S142</f>
        <v/>
      </c>
      <c r="DJ25" s="459">
        <f>'_Engine_NR'!S143</f>
        <v/>
      </c>
      <c r="DK25" s="459">
        <f>'_Engine_NR'!S144</f>
        <v/>
      </c>
      <c r="DL25" s="459">
        <f>'_Engine_NR'!S145</f>
        <v/>
      </c>
      <c r="DM25" s="459">
        <f>'_Engine_NR'!S146</f>
        <v/>
      </c>
      <c r="DN25" s="459">
        <f>'_Engine_NR'!S147</f>
        <v/>
      </c>
      <c r="DO25" s="459">
        <f>'_Engine_NR'!S148</f>
        <v/>
      </c>
      <c r="DP25" s="459">
        <f>'_Engine_NR'!S149</f>
        <v/>
      </c>
      <c r="DQ25" s="459">
        <f>'_Engine_NR'!S150</f>
        <v/>
      </c>
      <c r="DR25" s="458">
        <f>'_Engine_NR'!S151</f>
        <v/>
      </c>
      <c r="DS25" s="458">
        <f>'_Engine_NR'!S152</f>
        <v/>
      </c>
      <c r="DT25" s="458">
        <f>'_Engine_NR'!S153</f>
        <v/>
      </c>
      <c r="DU25" s="458">
        <f>'_Engine_NR'!S154</f>
        <v/>
      </c>
      <c r="DV25" s="458">
        <f>'_Engine_NR'!S155</f>
        <v/>
      </c>
      <c r="DW25" s="458">
        <f>'_Engine_NR'!S156</f>
        <v/>
      </c>
      <c r="DX25" s="458">
        <f>'_Engine_NR'!S157</f>
        <v/>
      </c>
      <c r="DY25" s="458">
        <f>'_Engine_NR'!S158</f>
        <v/>
      </c>
      <c r="DZ25" s="458">
        <f>'_Engine_NR'!S159</f>
        <v/>
      </c>
      <c r="EA25" s="458">
        <f>'_Engine_NR'!S160</f>
        <v/>
      </c>
      <c r="EB25" s="458">
        <f>'_Engine_NR'!S161</f>
        <v/>
      </c>
      <c r="EC25" s="458">
        <f>'_Engine_NR'!S162</f>
        <v/>
      </c>
      <c r="ED25" s="459">
        <f>'_Engine_NR'!S163</f>
        <v/>
      </c>
      <c r="EE25" s="459">
        <f>'_Engine_NR'!S164</f>
        <v/>
      </c>
      <c r="EF25" s="459">
        <f>'_Engine_NR'!S165</f>
        <v/>
      </c>
      <c r="EG25" s="459">
        <f>'_Engine_NR'!S166</f>
        <v/>
      </c>
      <c r="EH25" s="459">
        <f>'_Engine_NR'!S167</f>
        <v/>
      </c>
      <c r="EI25" s="459">
        <f>'_Engine_NR'!S168</f>
        <v/>
      </c>
      <c r="EJ25" s="459">
        <f>'_Engine_NR'!S169</f>
        <v/>
      </c>
      <c r="EK25" s="459">
        <f>'_Engine_NR'!S170</f>
        <v/>
      </c>
      <c r="EL25" s="459">
        <f>'_Engine_NR'!S171</f>
        <v/>
      </c>
      <c r="EM25" s="459">
        <f>'_Engine_NR'!S172</f>
        <v/>
      </c>
      <c r="EN25" s="459">
        <f>'_Engine_NR'!S173</f>
        <v/>
      </c>
      <c r="EO25" s="459">
        <f>'_Engine_NR'!S174</f>
        <v/>
      </c>
      <c r="EP25" s="458">
        <f>'_Engine_NR'!S175</f>
        <v/>
      </c>
      <c r="EQ25" s="458">
        <f>'_Engine_NR'!S176</f>
        <v/>
      </c>
      <c r="ER25" s="458">
        <f>'_Engine_NR'!S177</f>
        <v/>
      </c>
      <c r="ES25" s="458">
        <f>'_Engine_NR'!S178</f>
        <v/>
      </c>
      <c r="ET25" s="458">
        <f>'_Engine_NR'!S179</f>
        <v/>
      </c>
      <c r="EU25" s="458">
        <f>'_Engine_NR'!S180</f>
        <v/>
      </c>
      <c r="EV25" s="458">
        <f>'_Engine_NR'!S181</f>
        <v/>
      </c>
      <c r="EW25" s="458">
        <f>'_Engine_NR'!S182</f>
        <v/>
      </c>
      <c r="EX25" s="458">
        <f>'_Engine_NR'!S183</f>
        <v/>
      </c>
      <c r="EY25" s="458">
        <f>'_Engine_NR'!S184</f>
        <v/>
      </c>
      <c r="EZ25" s="458">
        <f>'_Engine_NR'!S185</f>
        <v/>
      </c>
      <c r="FA25" s="458">
        <f>'_Engine_NR'!S186</f>
        <v/>
      </c>
      <c r="FB25" s="459">
        <f>'_Engine_NR'!S187</f>
        <v/>
      </c>
      <c r="FC25" s="459">
        <f>'_Engine_NR'!S188</f>
        <v/>
      </c>
      <c r="FD25" s="459">
        <f>'_Engine_NR'!S189</f>
        <v/>
      </c>
      <c r="FE25" s="459">
        <f>'_Engine_NR'!S190</f>
        <v/>
      </c>
      <c r="FF25" s="459">
        <f>'_Engine_NR'!S191</f>
        <v/>
      </c>
      <c r="FG25" s="459">
        <f>'_Engine_NR'!S192</f>
        <v/>
      </c>
      <c r="FH25" s="459">
        <f>'_Engine_NR'!S193</f>
        <v/>
      </c>
      <c r="FI25" s="459">
        <f>'_Engine_NR'!S194</f>
        <v/>
      </c>
      <c r="FJ25" s="459">
        <f>'_Engine_NR'!S195</f>
        <v/>
      </c>
      <c r="FK25" s="459">
        <f>'_Engine_NR'!S196</f>
        <v/>
      </c>
      <c r="FL25" s="459">
        <f>'_Engine_NR'!S197</f>
        <v/>
      </c>
      <c r="FM25" s="459">
        <f>'_Engine_NR'!S198</f>
        <v/>
      </c>
      <c r="FN25" s="458">
        <f>'_Engine_NR'!S199</f>
        <v/>
      </c>
      <c r="FO25" s="458">
        <f>'_Engine_NR'!S200</f>
        <v/>
      </c>
      <c r="FP25" s="458">
        <f>'_Engine_NR'!S201</f>
        <v/>
      </c>
      <c r="FQ25" s="458">
        <f>'_Engine_NR'!S202</f>
        <v/>
      </c>
      <c r="FR25" s="458">
        <f>'_Engine_NR'!S203</f>
        <v/>
      </c>
      <c r="FS25" s="458">
        <f>'_Engine_NR'!S204</f>
        <v/>
      </c>
      <c r="FT25" s="458">
        <f>'_Engine_NR'!S205</f>
        <v/>
      </c>
      <c r="FU25" s="458">
        <f>'_Engine_NR'!S206</f>
        <v/>
      </c>
      <c r="FV25" s="458">
        <f>'_Engine_NR'!S207</f>
        <v/>
      </c>
      <c r="FW25" s="458">
        <f>'_Engine_NR'!S208</f>
        <v/>
      </c>
      <c r="FX25" s="458">
        <f>'_Engine_NR'!S209</f>
        <v/>
      </c>
      <c r="FY25" s="458">
        <f>'_Engine_NR'!S210</f>
        <v/>
      </c>
      <c r="FZ25" s="306" t="n"/>
    </row>
    <row r="26" ht="15" customHeight="1" s="307">
      <c r="A26" s="468" t="inlineStr">
        <is>
          <t>Operating Income</t>
        </is>
      </c>
      <c r="B26" s="469">
        <f>B24-B25</f>
        <v/>
      </c>
      <c r="C26" s="469">
        <f>C24-C25</f>
        <v/>
      </c>
      <c r="D26" s="469">
        <f>D24-D25</f>
        <v/>
      </c>
      <c r="E26" s="469">
        <f>E24-E25</f>
        <v/>
      </c>
      <c r="F26" s="469">
        <f>F24-F25</f>
        <v/>
      </c>
      <c r="G26" s="469">
        <f>G24-G25</f>
        <v/>
      </c>
      <c r="H26" s="469">
        <f>H24-H25</f>
        <v/>
      </c>
      <c r="I26" s="469">
        <f>I24-I25</f>
        <v/>
      </c>
      <c r="J26" s="469">
        <f>J24-J25</f>
        <v/>
      </c>
      <c r="K26" s="469">
        <f>K24-K25</f>
        <v/>
      </c>
      <c r="L26" s="469">
        <f>L24-L25</f>
        <v/>
      </c>
      <c r="M26" s="469">
        <f>M24-M25</f>
        <v/>
      </c>
      <c r="N26" s="470">
        <f>N24-N25</f>
        <v/>
      </c>
      <c r="O26" s="470">
        <f>O24-O25</f>
        <v/>
      </c>
      <c r="P26" s="470">
        <f>P24-P25</f>
        <v/>
      </c>
      <c r="Q26" s="470">
        <f>Q24-Q25</f>
        <v/>
      </c>
      <c r="R26" s="470">
        <f>R24-R25</f>
        <v/>
      </c>
      <c r="S26" s="470">
        <f>S24-S25</f>
        <v/>
      </c>
      <c r="T26" s="470">
        <f>T24-T25</f>
        <v/>
      </c>
      <c r="U26" s="470">
        <f>U24-U25</f>
        <v/>
      </c>
      <c r="V26" s="470">
        <f>V24-V25</f>
        <v/>
      </c>
      <c r="W26" s="470">
        <f>W24-W25</f>
        <v/>
      </c>
      <c r="X26" s="470">
        <f>X24-X25</f>
        <v/>
      </c>
      <c r="Y26" s="470">
        <f>Y24-Y25</f>
        <v/>
      </c>
      <c r="Z26" s="469">
        <f>Z24-Z25</f>
        <v/>
      </c>
      <c r="AA26" s="469">
        <f>AA24-AA25</f>
        <v/>
      </c>
      <c r="AB26" s="469">
        <f>AB24-AB25</f>
        <v/>
      </c>
      <c r="AC26" s="469">
        <f>AC24-AC25</f>
        <v/>
      </c>
      <c r="AD26" s="469">
        <f>AD24-AD25</f>
        <v/>
      </c>
      <c r="AE26" s="469">
        <f>AE24-AE25</f>
        <v/>
      </c>
      <c r="AF26" s="469">
        <f>AF24-AF25</f>
        <v/>
      </c>
      <c r="AG26" s="469">
        <f>AG24-AG25</f>
        <v/>
      </c>
      <c r="AH26" s="469">
        <f>AH24-AH25</f>
        <v/>
      </c>
      <c r="AI26" s="469">
        <f>AI24-AI25</f>
        <v/>
      </c>
      <c r="AJ26" s="469">
        <f>AJ24-AJ25</f>
        <v/>
      </c>
      <c r="AK26" s="469">
        <f>AK24-AK25</f>
        <v/>
      </c>
      <c r="AL26" s="470">
        <f>AL24-AL25</f>
        <v/>
      </c>
      <c r="AM26" s="470">
        <f>AM24-AM25</f>
        <v/>
      </c>
      <c r="AN26" s="470">
        <f>AN24-AN25</f>
        <v/>
      </c>
      <c r="AO26" s="470">
        <f>AO24-AO25</f>
        <v/>
      </c>
      <c r="AP26" s="470">
        <f>AP24-AP25</f>
        <v/>
      </c>
      <c r="AQ26" s="470">
        <f>AQ24-AQ25</f>
        <v/>
      </c>
      <c r="AR26" s="470">
        <f>AR24-AR25</f>
        <v/>
      </c>
      <c r="AS26" s="470">
        <f>AS24-AS25</f>
        <v/>
      </c>
      <c r="AT26" s="470">
        <f>AT24-AT25</f>
        <v/>
      </c>
      <c r="AU26" s="470">
        <f>AU24-AU25</f>
        <v/>
      </c>
      <c r="AV26" s="470">
        <f>AV24-AV25</f>
        <v/>
      </c>
      <c r="AW26" s="470">
        <f>AW24-AW25</f>
        <v/>
      </c>
      <c r="AX26" s="469">
        <f>AX24-AX25</f>
        <v/>
      </c>
      <c r="AY26" s="469">
        <f>AY24-AY25</f>
        <v/>
      </c>
      <c r="AZ26" s="469">
        <f>AZ24-AZ25</f>
        <v/>
      </c>
      <c r="BA26" s="469">
        <f>BA24-BA25</f>
        <v/>
      </c>
      <c r="BB26" s="469">
        <f>BB24-BB25</f>
        <v/>
      </c>
      <c r="BC26" s="469">
        <f>BC24-BC25</f>
        <v/>
      </c>
      <c r="BD26" s="469">
        <f>BD24-BD25</f>
        <v/>
      </c>
      <c r="BE26" s="469">
        <f>BE24-BE25</f>
        <v/>
      </c>
      <c r="BF26" s="469">
        <f>BF24-BF25</f>
        <v/>
      </c>
      <c r="BG26" s="469">
        <f>BG24-BG25</f>
        <v/>
      </c>
      <c r="BH26" s="469">
        <f>BH24-BH25</f>
        <v/>
      </c>
      <c r="BI26" s="469">
        <f>BI24-BI25</f>
        <v/>
      </c>
      <c r="BJ26" s="470">
        <f>BJ24-BJ25</f>
        <v/>
      </c>
      <c r="BK26" s="470">
        <f>BK24-BK25</f>
        <v/>
      </c>
      <c r="BL26" s="470">
        <f>BL24-BL25</f>
        <v/>
      </c>
      <c r="BM26" s="470">
        <f>BM24-BM25</f>
        <v/>
      </c>
      <c r="BN26" s="470">
        <f>BN24-BN25</f>
        <v/>
      </c>
      <c r="BO26" s="470">
        <f>BO24-BO25</f>
        <v/>
      </c>
      <c r="BP26" s="470">
        <f>BP24-BP25</f>
        <v/>
      </c>
      <c r="BQ26" s="470">
        <f>BQ24-BQ25</f>
        <v/>
      </c>
      <c r="BR26" s="470">
        <f>BR24-BR25</f>
        <v/>
      </c>
      <c r="BS26" s="470">
        <f>BS24-BS25</f>
        <v/>
      </c>
      <c r="BT26" s="470">
        <f>BT24-BT25</f>
        <v/>
      </c>
      <c r="BU26" s="470">
        <f>BU24-BU25</f>
        <v/>
      </c>
      <c r="BV26" s="469">
        <f>BV24-BV25</f>
        <v/>
      </c>
      <c r="BW26" s="469">
        <f>BW24-BW25</f>
        <v/>
      </c>
      <c r="BX26" s="469">
        <f>BX24-BX25</f>
        <v/>
      </c>
      <c r="BY26" s="469">
        <f>BY24-BY25</f>
        <v/>
      </c>
      <c r="BZ26" s="469">
        <f>BZ24-BZ25</f>
        <v/>
      </c>
      <c r="CA26" s="469">
        <f>CA24-CA25</f>
        <v/>
      </c>
      <c r="CB26" s="469">
        <f>CB24-CB25</f>
        <v/>
      </c>
      <c r="CC26" s="469">
        <f>CC24-CC25</f>
        <v/>
      </c>
      <c r="CD26" s="469">
        <f>CD24-CD25</f>
        <v/>
      </c>
      <c r="CE26" s="469">
        <f>CE24-CE25</f>
        <v/>
      </c>
      <c r="CF26" s="469">
        <f>CF24-CF25</f>
        <v/>
      </c>
      <c r="CG26" s="469">
        <f>CG24-CG25</f>
        <v/>
      </c>
      <c r="CH26" s="470">
        <f>CH24-CH25</f>
        <v/>
      </c>
      <c r="CI26" s="470">
        <f>CI24-CI25</f>
        <v/>
      </c>
      <c r="CJ26" s="470">
        <f>CJ24-CJ25</f>
        <v/>
      </c>
      <c r="CK26" s="470">
        <f>CK24-CK25</f>
        <v/>
      </c>
      <c r="CL26" s="470">
        <f>CL24-CL25</f>
        <v/>
      </c>
      <c r="CM26" s="470">
        <f>CM24-CM25</f>
        <v/>
      </c>
      <c r="CN26" s="470">
        <f>CN24-CN25</f>
        <v/>
      </c>
      <c r="CO26" s="470">
        <f>CO24-CO25</f>
        <v/>
      </c>
      <c r="CP26" s="470">
        <f>CP24-CP25</f>
        <v/>
      </c>
      <c r="CQ26" s="470">
        <f>CQ24-CQ25</f>
        <v/>
      </c>
      <c r="CR26" s="470">
        <f>CR24-CR25</f>
        <v/>
      </c>
      <c r="CS26" s="470">
        <f>CS24-CS25</f>
        <v/>
      </c>
      <c r="CT26" s="469">
        <f>CT24-CT25</f>
        <v/>
      </c>
      <c r="CU26" s="469">
        <f>CU24-CU25</f>
        <v/>
      </c>
      <c r="CV26" s="469">
        <f>CV24-CV25</f>
        <v/>
      </c>
      <c r="CW26" s="469">
        <f>CW24-CW25</f>
        <v/>
      </c>
      <c r="CX26" s="469">
        <f>CX24-CX25</f>
        <v/>
      </c>
      <c r="CY26" s="469">
        <f>CY24-CY25</f>
        <v/>
      </c>
      <c r="CZ26" s="469">
        <f>CZ24-CZ25</f>
        <v/>
      </c>
      <c r="DA26" s="469">
        <f>DA24-DA25</f>
        <v/>
      </c>
      <c r="DB26" s="469">
        <f>DB24-DB25</f>
        <v/>
      </c>
      <c r="DC26" s="469">
        <f>DC24-DC25</f>
        <v/>
      </c>
      <c r="DD26" s="469">
        <f>DD24-DD25</f>
        <v/>
      </c>
      <c r="DE26" s="469">
        <f>DE24-DE25</f>
        <v/>
      </c>
      <c r="DF26" s="470">
        <f>DF24-DF25</f>
        <v/>
      </c>
      <c r="DG26" s="470">
        <f>DG24-DG25</f>
        <v/>
      </c>
      <c r="DH26" s="470">
        <f>DH24-DH25</f>
        <v/>
      </c>
      <c r="DI26" s="470">
        <f>DI24-DI25</f>
        <v/>
      </c>
      <c r="DJ26" s="470">
        <f>DJ24-DJ25</f>
        <v/>
      </c>
      <c r="DK26" s="470">
        <f>DK24-DK25</f>
        <v/>
      </c>
      <c r="DL26" s="470">
        <f>DL24-DL25</f>
        <v/>
      </c>
      <c r="DM26" s="470">
        <f>DM24-DM25</f>
        <v/>
      </c>
      <c r="DN26" s="470">
        <f>DN24-DN25</f>
        <v/>
      </c>
      <c r="DO26" s="470">
        <f>DO24-DO25</f>
        <v/>
      </c>
      <c r="DP26" s="470">
        <f>DP24-DP25</f>
        <v/>
      </c>
      <c r="DQ26" s="470">
        <f>DQ24-DQ25</f>
        <v/>
      </c>
      <c r="DR26" s="469">
        <f>DR24-DR25</f>
        <v/>
      </c>
      <c r="DS26" s="469">
        <f>DS24-DS25</f>
        <v/>
      </c>
      <c r="DT26" s="469">
        <f>DT24-DT25</f>
        <v/>
      </c>
      <c r="DU26" s="469">
        <f>DU24-DU25</f>
        <v/>
      </c>
      <c r="DV26" s="469">
        <f>DV24-DV25</f>
        <v/>
      </c>
      <c r="DW26" s="469">
        <f>DW24-DW25</f>
        <v/>
      </c>
      <c r="DX26" s="469">
        <f>DX24-DX25</f>
        <v/>
      </c>
      <c r="DY26" s="469">
        <f>DY24-DY25</f>
        <v/>
      </c>
      <c r="DZ26" s="469">
        <f>DZ24-DZ25</f>
        <v/>
      </c>
      <c r="EA26" s="469">
        <f>EA24-EA25</f>
        <v/>
      </c>
      <c r="EB26" s="469">
        <f>EB24-EB25</f>
        <v/>
      </c>
      <c r="EC26" s="469">
        <f>EC24-EC25</f>
        <v/>
      </c>
      <c r="ED26" s="470">
        <f>ED24-ED25</f>
        <v/>
      </c>
      <c r="EE26" s="470">
        <f>EE24-EE25</f>
        <v/>
      </c>
      <c r="EF26" s="470">
        <f>EF24-EF25</f>
        <v/>
      </c>
      <c r="EG26" s="470">
        <f>EG24-EG25</f>
        <v/>
      </c>
      <c r="EH26" s="470">
        <f>EH24-EH25</f>
        <v/>
      </c>
      <c r="EI26" s="470">
        <f>EI24-EI25</f>
        <v/>
      </c>
      <c r="EJ26" s="470">
        <f>EJ24-EJ25</f>
        <v/>
      </c>
      <c r="EK26" s="470">
        <f>EK24-EK25</f>
        <v/>
      </c>
      <c r="EL26" s="470">
        <f>EL24-EL25</f>
        <v/>
      </c>
      <c r="EM26" s="470">
        <f>EM24-EM25</f>
        <v/>
      </c>
      <c r="EN26" s="470">
        <f>EN24-EN25</f>
        <v/>
      </c>
      <c r="EO26" s="470">
        <f>EO24-EO25</f>
        <v/>
      </c>
      <c r="EP26" s="469">
        <f>EP24-EP25</f>
        <v/>
      </c>
      <c r="EQ26" s="469">
        <f>EQ24-EQ25</f>
        <v/>
      </c>
      <c r="ER26" s="469">
        <f>ER24-ER25</f>
        <v/>
      </c>
      <c r="ES26" s="469">
        <f>ES24-ES25</f>
        <v/>
      </c>
      <c r="ET26" s="469">
        <f>ET24-ET25</f>
        <v/>
      </c>
      <c r="EU26" s="469">
        <f>EU24-EU25</f>
        <v/>
      </c>
      <c r="EV26" s="469">
        <f>EV24-EV25</f>
        <v/>
      </c>
      <c r="EW26" s="469">
        <f>EW24-EW25</f>
        <v/>
      </c>
      <c r="EX26" s="469">
        <f>EX24-EX25</f>
        <v/>
      </c>
      <c r="EY26" s="469">
        <f>EY24-EY25</f>
        <v/>
      </c>
      <c r="EZ26" s="469">
        <f>EZ24-EZ25</f>
        <v/>
      </c>
      <c r="FA26" s="469">
        <f>FA24-FA25</f>
        <v/>
      </c>
      <c r="FB26" s="470">
        <f>FB24-FB25</f>
        <v/>
      </c>
      <c r="FC26" s="470">
        <f>FC24-FC25</f>
        <v/>
      </c>
      <c r="FD26" s="470">
        <f>FD24-FD25</f>
        <v/>
      </c>
      <c r="FE26" s="470">
        <f>FE24-FE25</f>
        <v/>
      </c>
      <c r="FF26" s="470">
        <f>FF24-FF25</f>
        <v/>
      </c>
      <c r="FG26" s="470">
        <f>FG24-FG25</f>
        <v/>
      </c>
      <c r="FH26" s="470">
        <f>FH24-FH25</f>
        <v/>
      </c>
      <c r="FI26" s="470">
        <f>FI24-FI25</f>
        <v/>
      </c>
      <c r="FJ26" s="470">
        <f>FJ24-FJ25</f>
        <v/>
      </c>
      <c r="FK26" s="470">
        <f>FK24-FK25</f>
        <v/>
      </c>
      <c r="FL26" s="470">
        <f>FL24-FL25</f>
        <v/>
      </c>
      <c r="FM26" s="470">
        <f>FM24-FM25</f>
        <v/>
      </c>
      <c r="FN26" s="469">
        <f>FN24-FN25</f>
        <v/>
      </c>
      <c r="FO26" s="469">
        <f>FO24-FO25</f>
        <v/>
      </c>
      <c r="FP26" s="469">
        <f>FP24-FP25</f>
        <v/>
      </c>
      <c r="FQ26" s="469">
        <f>FQ24-FQ25</f>
        <v/>
      </c>
      <c r="FR26" s="469">
        <f>FR24-FR25</f>
        <v/>
      </c>
      <c r="FS26" s="469">
        <f>FS24-FS25</f>
        <v/>
      </c>
      <c r="FT26" s="469">
        <f>FT24-FT25</f>
        <v/>
      </c>
      <c r="FU26" s="469">
        <f>FU24-FU25</f>
        <v/>
      </c>
      <c r="FV26" s="469">
        <f>FV24-FV25</f>
        <v/>
      </c>
      <c r="FW26" s="469">
        <f>FW24-FW25</f>
        <v/>
      </c>
      <c r="FX26" s="469">
        <f>FX24-FX25</f>
        <v/>
      </c>
      <c r="FY26" s="469">
        <f>FY24-FY25</f>
        <v/>
      </c>
      <c r="FZ26" s="306" t="n"/>
    </row>
    <row r="27" ht="15" customHeight="1" s="307">
      <c r="A27" s="312" t="n"/>
      <c r="B27" s="464" t="n"/>
      <c r="C27" s="464" t="n"/>
      <c r="D27" s="464" t="n"/>
      <c r="E27" s="464" t="n"/>
      <c r="F27" s="464" t="n"/>
      <c r="G27" s="464" t="n"/>
      <c r="H27" s="464" t="n"/>
      <c r="I27" s="464" t="n"/>
      <c r="J27" s="464" t="n"/>
      <c r="K27" s="464" t="n"/>
      <c r="L27" s="464" t="n"/>
      <c r="M27" s="464" t="n"/>
      <c r="N27" s="464" t="n"/>
      <c r="O27" s="464" t="n"/>
      <c r="P27" s="464" t="n"/>
      <c r="Q27" s="464" t="n"/>
      <c r="R27" s="464" t="n"/>
      <c r="S27" s="464" t="n"/>
      <c r="T27" s="464" t="n"/>
      <c r="U27" s="464" t="n"/>
      <c r="V27" s="464" t="n"/>
      <c r="W27" s="464" t="n"/>
      <c r="X27" s="464" t="n"/>
      <c r="Y27" s="464" t="n"/>
      <c r="Z27" s="464" t="n"/>
      <c r="AA27" s="464" t="n"/>
      <c r="AB27" s="464" t="n"/>
      <c r="AC27" s="464" t="n"/>
      <c r="AD27" s="464" t="n"/>
      <c r="AE27" s="464" t="n"/>
      <c r="AF27" s="464" t="n"/>
      <c r="AG27" s="464" t="n"/>
      <c r="AH27" s="464" t="n"/>
      <c r="AI27" s="464" t="n"/>
      <c r="AJ27" s="464" t="n"/>
      <c r="AK27" s="464" t="n"/>
      <c r="AL27" s="464" t="n"/>
      <c r="AM27" s="464" t="n"/>
      <c r="AN27" s="464" t="n"/>
      <c r="AO27" s="464" t="n"/>
      <c r="AP27" s="464" t="n"/>
      <c r="AQ27" s="464" t="n"/>
      <c r="AR27" s="464" t="n"/>
      <c r="AS27" s="464" t="n"/>
      <c r="AT27" s="464" t="n"/>
      <c r="AU27" s="464" t="n"/>
      <c r="AV27" s="464" t="n"/>
      <c r="AW27" s="464" t="n"/>
      <c r="AX27" s="464" t="n"/>
      <c r="AY27" s="464" t="n"/>
      <c r="AZ27" s="464" t="n"/>
      <c r="BA27" s="464" t="n"/>
      <c r="BB27" s="464" t="n"/>
      <c r="BC27" s="464" t="n"/>
      <c r="BD27" s="464" t="n"/>
      <c r="BE27" s="464" t="n"/>
      <c r="BF27" s="464" t="n"/>
      <c r="BG27" s="464" t="n"/>
      <c r="BH27" s="464" t="n"/>
      <c r="BI27" s="464" t="n"/>
      <c r="BJ27" s="464" t="n"/>
      <c r="BK27" s="464" t="n"/>
      <c r="BL27" s="464" t="n"/>
      <c r="BM27" s="464" t="n"/>
      <c r="BN27" s="464" t="n"/>
      <c r="BO27" s="464" t="n"/>
      <c r="BP27" s="464" t="n"/>
      <c r="BQ27" s="464" t="n"/>
      <c r="BR27" s="464" t="n"/>
      <c r="BS27" s="464" t="n"/>
      <c r="BT27" s="464" t="n"/>
      <c r="BU27" s="464" t="n"/>
      <c r="BV27" s="464" t="n"/>
      <c r="BW27" s="464" t="n"/>
      <c r="BX27" s="464" t="n"/>
      <c r="BY27" s="464" t="n"/>
      <c r="BZ27" s="464" t="n"/>
      <c r="CA27" s="464" t="n"/>
      <c r="CB27" s="464" t="n"/>
      <c r="CC27" s="464" t="n"/>
      <c r="CD27" s="464" t="n"/>
      <c r="CE27" s="464" t="n"/>
      <c r="CF27" s="464" t="n"/>
      <c r="CG27" s="464" t="n"/>
      <c r="CH27" s="464" t="n"/>
      <c r="CI27" s="464" t="n"/>
      <c r="CJ27" s="464" t="n"/>
      <c r="CK27" s="464" t="n"/>
      <c r="CL27" s="464" t="n"/>
      <c r="CM27" s="464" t="n"/>
      <c r="CN27" s="464" t="n"/>
      <c r="CO27" s="464" t="n"/>
      <c r="CP27" s="464" t="n"/>
      <c r="CQ27" s="464" t="n"/>
      <c r="CR27" s="464" t="n"/>
      <c r="CS27" s="464" t="n"/>
      <c r="CT27" s="464" t="n"/>
      <c r="CU27" s="464" t="n"/>
      <c r="CV27" s="464" t="n"/>
      <c r="CW27" s="464" t="n"/>
      <c r="CX27" s="464" t="n"/>
      <c r="CY27" s="464" t="n"/>
      <c r="CZ27" s="464" t="n"/>
      <c r="DA27" s="464" t="n"/>
      <c r="DB27" s="464" t="n"/>
      <c r="DC27" s="464" t="n"/>
      <c r="DD27" s="464" t="n"/>
      <c r="DE27" s="464" t="n"/>
      <c r="DF27" s="464" t="n"/>
      <c r="DG27" s="464" t="n"/>
      <c r="DH27" s="464" t="n"/>
      <c r="DI27" s="464" t="n"/>
      <c r="DJ27" s="464" t="n"/>
      <c r="DK27" s="464" t="n"/>
      <c r="DL27" s="464" t="n"/>
      <c r="DM27" s="464" t="n"/>
      <c r="DN27" s="464" t="n"/>
      <c r="DO27" s="464" t="n"/>
      <c r="DP27" s="464" t="n"/>
      <c r="DQ27" s="464" t="n"/>
      <c r="DR27" s="464" t="n"/>
      <c r="DS27" s="464" t="n"/>
      <c r="DT27" s="464" t="n"/>
      <c r="DU27" s="464" t="n"/>
      <c r="DV27" s="464" t="n"/>
      <c r="DW27" s="464" t="n"/>
      <c r="DX27" s="464" t="n"/>
      <c r="DY27" s="464" t="n"/>
      <c r="DZ27" s="464" t="n"/>
      <c r="EA27" s="464" t="n"/>
      <c r="EB27" s="464" t="n"/>
      <c r="EC27" s="464" t="n"/>
      <c r="ED27" s="464" t="n"/>
      <c r="EE27" s="464" t="n"/>
      <c r="EF27" s="464" t="n"/>
      <c r="EG27" s="464" t="n"/>
      <c r="EH27" s="464" t="n"/>
      <c r="EI27" s="464" t="n"/>
      <c r="EJ27" s="464" t="n"/>
      <c r="EK27" s="464" t="n"/>
      <c r="EL27" s="464" t="n"/>
      <c r="EM27" s="464" t="n"/>
      <c r="EN27" s="464" t="n"/>
      <c r="EO27" s="464" t="n"/>
      <c r="EP27" s="464" t="n"/>
      <c r="EQ27" s="464" t="n"/>
      <c r="ER27" s="464" t="n"/>
      <c r="ES27" s="464" t="n"/>
      <c r="ET27" s="464" t="n"/>
      <c r="EU27" s="464" t="n"/>
      <c r="EV27" s="464" t="n"/>
      <c r="EW27" s="464" t="n"/>
      <c r="EX27" s="464" t="n"/>
      <c r="EY27" s="464" t="n"/>
      <c r="EZ27" s="464" t="n"/>
      <c r="FA27" s="464" t="n"/>
      <c r="FB27" s="464" t="n"/>
      <c r="FC27" s="464" t="n"/>
      <c r="FD27" s="464" t="n"/>
      <c r="FE27" s="464" t="n"/>
      <c r="FF27" s="464" t="n"/>
      <c r="FG27" s="464" t="n"/>
      <c r="FH27" s="464" t="n"/>
      <c r="FI27" s="464" t="n"/>
      <c r="FJ27" s="464" t="n"/>
      <c r="FK27" s="464" t="n"/>
      <c r="FL27" s="464" t="n"/>
      <c r="FM27" s="464" t="n"/>
      <c r="FN27" s="464" t="n"/>
      <c r="FO27" s="464" t="n"/>
      <c r="FP27" s="464" t="n"/>
      <c r="FQ27" s="464" t="n"/>
      <c r="FR27" s="464" t="n"/>
      <c r="FS27" s="464" t="n"/>
      <c r="FT27" s="464" t="n"/>
      <c r="FU27" s="464" t="n"/>
      <c r="FV27" s="464" t="n"/>
      <c r="FW27" s="464" t="n"/>
      <c r="FX27" s="464" t="n"/>
      <c r="FY27" s="464" t="n"/>
      <c r="FZ27" s="306" t="n"/>
    </row>
    <row r="28" ht="15" customHeight="1" s="307">
      <c r="A28" s="321" t="inlineStr">
        <is>
          <t xml:space="preserve">    Management Fee</t>
        </is>
      </c>
      <c r="B28" s="458">
        <f>'_Engine_NR'!C31</f>
        <v/>
      </c>
      <c r="C28" s="458">
        <f>'_Engine_NR'!C32</f>
        <v/>
      </c>
      <c r="D28" s="458">
        <f>'_Engine_NR'!C33</f>
        <v/>
      </c>
      <c r="E28" s="458">
        <f>'_Engine_NR'!C34</f>
        <v/>
      </c>
      <c r="F28" s="458">
        <f>'_Engine_NR'!C35</f>
        <v/>
      </c>
      <c r="G28" s="458">
        <f>'_Engine_NR'!C36</f>
        <v/>
      </c>
      <c r="H28" s="458">
        <f>'_Engine_NR'!C37</f>
        <v/>
      </c>
      <c r="I28" s="458">
        <f>'_Engine_NR'!C38</f>
        <v/>
      </c>
      <c r="J28" s="458">
        <f>'_Engine_NR'!C39</f>
        <v/>
      </c>
      <c r="K28" s="458">
        <f>'_Engine_NR'!C40</f>
        <v/>
      </c>
      <c r="L28" s="458">
        <f>'_Engine_NR'!C41</f>
        <v/>
      </c>
      <c r="M28" s="458">
        <f>'_Engine_NR'!C42</f>
        <v/>
      </c>
      <c r="N28" s="459">
        <f>'_Engine_NR'!C43</f>
        <v/>
      </c>
      <c r="O28" s="459">
        <f>'_Engine_NR'!C44</f>
        <v/>
      </c>
      <c r="P28" s="459">
        <f>'_Engine_NR'!C45</f>
        <v/>
      </c>
      <c r="Q28" s="459">
        <f>'_Engine_NR'!C46</f>
        <v/>
      </c>
      <c r="R28" s="459">
        <f>'_Engine_NR'!C47</f>
        <v/>
      </c>
      <c r="S28" s="459">
        <f>'_Engine_NR'!C48</f>
        <v/>
      </c>
      <c r="T28" s="459">
        <f>'_Engine_NR'!C49</f>
        <v/>
      </c>
      <c r="U28" s="459">
        <f>'_Engine_NR'!C50</f>
        <v/>
      </c>
      <c r="V28" s="459">
        <f>'_Engine_NR'!C51</f>
        <v/>
      </c>
      <c r="W28" s="459">
        <f>'_Engine_NR'!C52</f>
        <v/>
      </c>
      <c r="X28" s="459">
        <f>'_Engine_NR'!C53</f>
        <v/>
      </c>
      <c r="Y28" s="459">
        <f>'_Engine_NR'!C54</f>
        <v/>
      </c>
      <c r="Z28" s="458">
        <f>'_Engine_NR'!C55</f>
        <v/>
      </c>
      <c r="AA28" s="458">
        <f>'_Engine_NR'!C56</f>
        <v/>
      </c>
      <c r="AB28" s="458">
        <f>'_Engine_NR'!C57</f>
        <v/>
      </c>
      <c r="AC28" s="458">
        <f>'_Engine_NR'!C58</f>
        <v/>
      </c>
      <c r="AD28" s="458">
        <f>'_Engine_NR'!C59</f>
        <v/>
      </c>
      <c r="AE28" s="458">
        <f>'_Engine_NR'!C60</f>
        <v/>
      </c>
      <c r="AF28" s="458">
        <f>'_Engine_NR'!C61</f>
        <v/>
      </c>
      <c r="AG28" s="458">
        <f>'_Engine_NR'!C62</f>
        <v/>
      </c>
      <c r="AH28" s="458">
        <f>'_Engine_NR'!C63</f>
        <v/>
      </c>
      <c r="AI28" s="458">
        <f>'_Engine_NR'!C64</f>
        <v/>
      </c>
      <c r="AJ28" s="458">
        <f>'_Engine_NR'!C65</f>
        <v/>
      </c>
      <c r="AK28" s="458">
        <f>'_Engine_NR'!C66</f>
        <v/>
      </c>
      <c r="AL28" s="459">
        <f>'_Engine_NR'!C67</f>
        <v/>
      </c>
      <c r="AM28" s="459">
        <f>'_Engine_NR'!C68</f>
        <v/>
      </c>
      <c r="AN28" s="459">
        <f>'_Engine_NR'!C69</f>
        <v/>
      </c>
      <c r="AO28" s="459">
        <f>'_Engine_NR'!C70</f>
        <v/>
      </c>
      <c r="AP28" s="459">
        <f>'_Engine_NR'!C71</f>
        <v/>
      </c>
      <c r="AQ28" s="459">
        <f>'_Engine_NR'!C72</f>
        <v/>
      </c>
      <c r="AR28" s="459">
        <f>'_Engine_NR'!C73</f>
        <v/>
      </c>
      <c r="AS28" s="459">
        <f>'_Engine_NR'!C74</f>
        <v/>
      </c>
      <c r="AT28" s="459">
        <f>'_Engine_NR'!C75</f>
        <v/>
      </c>
      <c r="AU28" s="459">
        <f>'_Engine_NR'!C76</f>
        <v/>
      </c>
      <c r="AV28" s="459">
        <f>'_Engine_NR'!C77</f>
        <v/>
      </c>
      <c r="AW28" s="459">
        <f>'_Engine_NR'!C78</f>
        <v/>
      </c>
      <c r="AX28" s="458">
        <f>'_Engine_NR'!C79</f>
        <v/>
      </c>
      <c r="AY28" s="458">
        <f>'_Engine_NR'!C80</f>
        <v/>
      </c>
      <c r="AZ28" s="458">
        <f>'_Engine_NR'!C81</f>
        <v/>
      </c>
      <c r="BA28" s="458">
        <f>'_Engine_NR'!C82</f>
        <v/>
      </c>
      <c r="BB28" s="458">
        <f>'_Engine_NR'!C83</f>
        <v/>
      </c>
      <c r="BC28" s="458">
        <f>'_Engine_NR'!C84</f>
        <v/>
      </c>
      <c r="BD28" s="458">
        <f>'_Engine_NR'!C85</f>
        <v/>
      </c>
      <c r="BE28" s="458">
        <f>'_Engine_NR'!C86</f>
        <v/>
      </c>
      <c r="BF28" s="458">
        <f>'_Engine_NR'!C87</f>
        <v/>
      </c>
      <c r="BG28" s="458">
        <f>'_Engine_NR'!C88</f>
        <v/>
      </c>
      <c r="BH28" s="458">
        <f>'_Engine_NR'!C89</f>
        <v/>
      </c>
      <c r="BI28" s="458">
        <f>'_Engine_NR'!C90</f>
        <v/>
      </c>
      <c r="BJ28" s="459">
        <f>'_Engine_NR'!C91</f>
        <v/>
      </c>
      <c r="BK28" s="459">
        <f>'_Engine_NR'!C92</f>
        <v/>
      </c>
      <c r="BL28" s="459">
        <f>'_Engine_NR'!C93</f>
        <v/>
      </c>
      <c r="BM28" s="459">
        <f>'_Engine_NR'!C94</f>
        <v/>
      </c>
      <c r="BN28" s="459">
        <f>'_Engine_NR'!C95</f>
        <v/>
      </c>
      <c r="BO28" s="459">
        <f>'_Engine_NR'!C96</f>
        <v/>
      </c>
      <c r="BP28" s="459">
        <f>'_Engine_NR'!C97</f>
        <v/>
      </c>
      <c r="BQ28" s="459">
        <f>'_Engine_NR'!C98</f>
        <v/>
      </c>
      <c r="BR28" s="459">
        <f>'_Engine_NR'!C99</f>
        <v/>
      </c>
      <c r="BS28" s="459">
        <f>'_Engine_NR'!C100</f>
        <v/>
      </c>
      <c r="BT28" s="459">
        <f>'_Engine_NR'!C101</f>
        <v/>
      </c>
      <c r="BU28" s="459">
        <f>'_Engine_NR'!C102</f>
        <v/>
      </c>
      <c r="BV28" s="458">
        <f>'_Engine_NR'!C103</f>
        <v/>
      </c>
      <c r="BW28" s="458">
        <f>'_Engine_NR'!C104</f>
        <v/>
      </c>
      <c r="BX28" s="458">
        <f>'_Engine_NR'!C105</f>
        <v/>
      </c>
      <c r="BY28" s="458">
        <f>'_Engine_NR'!C106</f>
        <v/>
      </c>
      <c r="BZ28" s="458">
        <f>'_Engine_NR'!C107</f>
        <v/>
      </c>
      <c r="CA28" s="458">
        <f>'_Engine_NR'!C108</f>
        <v/>
      </c>
      <c r="CB28" s="458">
        <f>'_Engine_NR'!C109</f>
        <v/>
      </c>
      <c r="CC28" s="458">
        <f>'_Engine_NR'!C110</f>
        <v/>
      </c>
      <c r="CD28" s="458">
        <f>'_Engine_NR'!C111</f>
        <v/>
      </c>
      <c r="CE28" s="458">
        <f>'_Engine_NR'!C112</f>
        <v/>
      </c>
      <c r="CF28" s="458">
        <f>'_Engine_NR'!C113</f>
        <v/>
      </c>
      <c r="CG28" s="458">
        <f>'_Engine_NR'!C114</f>
        <v/>
      </c>
      <c r="CH28" s="459">
        <f>'_Engine_NR'!C115</f>
        <v/>
      </c>
      <c r="CI28" s="459">
        <f>'_Engine_NR'!C116</f>
        <v/>
      </c>
      <c r="CJ28" s="459">
        <f>'_Engine_NR'!C117</f>
        <v/>
      </c>
      <c r="CK28" s="459">
        <f>'_Engine_NR'!C118</f>
        <v/>
      </c>
      <c r="CL28" s="459">
        <f>'_Engine_NR'!C119</f>
        <v/>
      </c>
      <c r="CM28" s="459">
        <f>'_Engine_NR'!C120</f>
        <v/>
      </c>
      <c r="CN28" s="459">
        <f>'_Engine_NR'!C121</f>
        <v/>
      </c>
      <c r="CO28" s="459">
        <f>'_Engine_NR'!C122</f>
        <v/>
      </c>
      <c r="CP28" s="459">
        <f>'_Engine_NR'!C123</f>
        <v/>
      </c>
      <c r="CQ28" s="459">
        <f>'_Engine_NR'!C124</f>
        <v/>
      </c>
      <c r="CR28" s="459">
        <f>'_Engine_NR'!C125</f>
        <v/>
      </c>
      <c r="CS28" s="459">
        <f>'_Engine_NR'!C126</f>
        <v/>
      </c>
      <c r="CT28" s="458">
        <f>'_Engine_NR'!C127</f>
        <v/>
      </c>
      <c r="CU28" s="458">
        <f>'_Engine_NR'!C128</f>
        <v/>
      </c>
      <c r="CV28" s="458">
        <f>'_Engine_NR'!C129</f>
        <v/>
      </c>
      <c r="CW28" s="458">
        <f>'_Engine_NR'!C130</f>
        <v/>
      </c>
      <c r="CX28" s="458">
        <f>'_Engine_NR'!C131</f>
        <v/>
      </c>
      <c r="CY28" s="458">
        <f>'_Engine_NR'!C132</f>
        <v/>
      </c>
      <c r="CZ28" s="458">
        <f>'_Engine_NR'!C133</f>
        <v/>
      </c>
      <c r="DA28" s="458">
        <f>'_Engine_NR'!C134</f>
        <v/>
      </c>
      <c r="DB28" s="458">
        <f>'_Engine_NR'!C135</f>
        <v/>
      </c>
      <c r="DC28" s="458">
        <f>'_Engine_NR'!C136</f>
        <v/>
      </c>
      <c r="DD28" s="458">
        <f>'_Engine_NR'!C137</f>
        <v/>
      </c>
      <c r="DE28" s="458">
        <f>'_Engine_NR'!C138</f>
        <v/>
      </c>
      <c r="DF28" s="459">
        <f>'_Engine_NR'!C139</f>
        <v/>
      </c>
      <c r="DG28" s="459">
        <f>'_Engine_NR'!C140</f>
        <v/>
      </c>
      <c r="DH28" s="459">
        <f>'_Engine_NR'!C141</f>
        <v/>
      </c>
      <c r="DI28" s="459">
        <f>'_Engine_NR'!C142</f>
        <v/>
      </c>
      <c r="DJ28" s="459">
        <f>'_Engine_NR'!C143</f>
        <v/>
      </c>
      <c r="DK28" s="459">
        <f>'_Engine_NR'!C144</f>
        <v/>
      </c>
      <c r="DL28" s="459">
        <f>'_Engine_NR'!C145</f>
        <v/>
      </c>
      <c r="DM28" s="459">
        <f>'_Engine_NR'!C146</f>
        <v/>
      </c>
      <c r="DN28" s="459">
        <f>'_Engine_NR'!C147</f>
        <v/>
      </c>
      <c r="DO28" s="459">
        <f>'_Engine_NR'!C148</f>
        <v/>
      </c>
      <c r="DP28" s="459">
        <f>'_Engine_NR'!C149</f>
        <v/>
      </c>
      <c r="DQ28" s="459">
        <f>'_Engine_NR'!C150</f>
        <v/>
      </c>
      <c r="DR28" s="458">
        <f>'_Engine_NR'!C151</f>
        <v/>
      </c>
      <c r="DS28" s="458">
        <f>'_Engine_NR'!C152</f>
        <v/>
      </c>
      <c r="DT28" s="458">
        <f>'_Engine_NR'!C153</f>
        <v/>
      </c>
      <c r="DU28" s="458">
        <f>'_Engine_NR'!C154</f>
        <v/>
      </c>
      <c r="DV28" s="458">
        <f>'_Engine_NR'!C155</f>
        <v/>
      </c>
      <c r="DW28" s="458">
        <f>'_Engine_NR'!C156</f>
        <v/>
      </c>
      <c r="DX28" s="458">
        <f>'_Engine_NR'!C157</f>
        <v/>
      </c>
      <c r="DY28" s="458">
        <f>'_Engine_NR'!C158</f>
        <v/>
      </c>
      <c r="DZ28" s="458">
        <f>'_Engine_NR'!C159</f>
        <v/>
      </c>
      <c r="EA28" s="458">
        <f>'_Engine_NR'!C160</f>
        <v/>
      </c>
      <c r="EB28" s="458">
        <f>'_Engine_NR'!C161</f>
        <v/>
      </c>
      <c r="EC28" s="458">
        <f>'_Engine_NR'!C162</f>
        <v/>
      </c>
      <c r="ED28" s="459">
        <f>'_Engine_NR'!C163</f>
        <v/>
      </c>
      <c r="EE28" s="459">
        <f>'_Engine_NR'!C164</f>
        <v/>
      </c>
      <c r="EF28" s="459">
        <f>'_Engine_NR'!C165</f>
        <v/>
      </c>
      <c r="EG28" s="459">
        <f>'_Engine_NR'!C166</f>
        <v/>
      </c>
      <c r="EH28" s="459">
        <f>'_Engine_NR'!C167</f>
        <v/>
      </c>
      <c r="EI28" s="459">
        <f>'_Engine_NR'!C168</f>
        <v/>
      </c>
      <c r="EJ28" s="459">
        <f>'_Engine_NR'!C169</f>
        <v/>
      </c>
      <c r="EK28" s="459">
        <f>'_Engine_NR'!C170</f>
        <v/>
      </c>
      <c r="EL28" s="459">
        <f>'_Engine_NR'!C171</f>
        <v/>
      </c>
      <c r="EM28" s="459">
        <f>'_Engine_NR'!C172</f>
        <v/>
      </c>
      <c r="EN28" s="459">
        <f>'_Engine_NR'!C173</f>
        <v/>
      </c>
      <c r="EO28" s="459">
        <f>'_Engine_NR'!C174</f>
        <v/>
      </c>
      <c r="EP28" s="458">
        <f>'_Engine_NR'!C175</f>
        <v/>
      </c>
      <c r="EQ28" s="458">
        <f>'_Engine_NR'!C176</f>
        <v/>
      </c>
      <c r="ER28" s="458">
        <f>'_Engine_NR'!C177</f>
        <v/>
      </c>
      <c r="ES28" s="458">
        <f>'_Engine_NR'!C178</f>
        <v/>
      </c>
      <c r="ET28" s="458">
        <f>'_Engine_NR'!C179</f>
        <v/>
      </c>
      <c r="EU28" s="458">
        <f>'_Engine_NR'!C180</f>
        <v/>
      </c>
      <c r="EV28" s="458">
        <f>'_Engine_NR'!C181</f>
        <v/>
      </c>
      <c r="EW28" s="458">
        <f>'_Engine_NR'!C182</f>
        <v/>
      </c>
      <c r="EX28" s="458">
        <f>'_Engine_NR'!C183</f>
        <v/>
      </c>
      <c r="EY28" s="458">
        <f>'_Engine_NR'!C184</f>
        <v/>
      </c>
      <c r="EZ28" s="458">
        <f>'_Engine_NR'!C185</f>
        <v/>
      </c>
      <c r="FA28" s="458">
        <f>'_Engine_NR'!C186</f>
        <v/>
      </c>
      <c r="FB28" s="459">
        <f>'_Engine_NR'!C187</f>
        <v/>
      </c>
      <c r="FC28" s="459">
        <f>'_Engine_NR'!C188</f>
        <v/>
      </c>
      <c r="FD28" s="459">
        <f>'_Engine_NR'!C189</f>
        <v/>
      </c>
      <c r="FE28" s="459">
        <f>'_Engine_NR'!C190</f>
        <v/>
      </c>
      <c r="FF28" s="459">
        <f>'_Engine_NR'!C191</f>
        <v/>
      </c>
      <c r="FG28" s="459">
        <f>'_Engine_NR'!C192</f>
        <v/>
      </c>
      <c r="FH28" s="459">
        <f>'_Engine_NR'!C193</f>
        <v/>
      </c>
      <c r="FI28" s="459">
        <f>'_Engine_NR'!C194</f>
        <v/>
      </c>
      <c r="FJ28" s="459">
        <f>'_Engine_NR'!C195</f>
        <v/>
      </c>
      <c r="FK28" s="459">
        <f>'_Engine_NR'!C196</f>
        <v/>
      </c>
      <c r="FL28" s="459">
        <f>'_Engine_NR'!C197</f>
        <v/>
      </c>
      <c r="FM28" s="459">
        <f>'_Engine_NR'!C198</f>
        <v/>
      </c>
      <c r="FN28" s="458">
        <f>'_Engine_NR'!C199</f>
        <v/>
      </c>
      <c r="FO28" s="458">
        <f>'_Engine_NR'!C200</f>
        <v/>
      </c>
      <c r="FP28" s="458">
        <f>'_Engine_NR'!C201</f>
        <v/>
      </c>
      <c r="FQ28" s="458">
        <f>'_Engine_NR'!C202</f>
        <v/>
      </c>
      <c r="FR28" s="458">
        <f>'_Engine_NR'!C203</f>
        <v/>
      </c>
      <c r="FS28" s="458">
        <f>'_Engine_NR'!C204</f>
        <v/>
      </c>
      <c r="FT28" s="458">
        <f>'_Engine_NR'!C205</f>
        <v/>
      </c>
      <c r="FU28" s="458">
        <f>'_Engine_NR'!C206</f>
        <v/>
      </c>
      <c r="FV28" s="458">
        <f>'_Engine_NR'!C207</f>
        <v/>
      </c>
      <c r="FW28" s="458">
        <f>'_Engine_NR'!C208</f>
        <v/>
      </c>
      <c r="FX28" s="458">
        <f>'_Engine_NR'!C209</f>
        <v/>
      </c>
      <c r="FY28" s="458">
        <f>'_Engine_NR'!C210</f>
        <v/>
      </c>
      <c r="FZ28" s="306" t="n"/>
    </row>
    <row r="29" ht="15" customHeight="1" s="307">
      <c r="A29" s="322" t="inlineStr">
        <is>
          <t>Distributable Cash</t>
        </is>
      </c>
      <c r="B29" s="461">
        <f>'_Engine_NR'!V31</f>
        <v/>
      </c>
      <c r="C29" s="461">
        <f>'_Engine_NR'!V32</f>
        <v/>
      </c>
      <c r="D29" s="461">
        <f>'_Engine_NR'!V33</f>
        <v/>
      </c>
      <c r="E29" s="461">
        <f>'_Engine_NR'!V34</f>
        <v/>
      </c>
      <c r="F29" s="461">
        <f>'_Engine_NR'!V35</f>
        <v/>
      </c>
      <c r="G29" s="461">
        <f>'_Engine_NR'!V36</f>
        <v/>
      </c>
      <c r="H29" s="461">
        <f>'_Engine_NR'!V37</f>
        <v/>
      </c>
      <c r="I29" s="461">
        <f>'_Engine_NR'!V38</f>
        <v/>
      </c>
      <c r="J29" s="461">
        <f>'_Engine_NR'!V39</f>
        <v/>
      </c>
      <c r="K29" s="461">
        <f>'_Engine_NR'!V40</f>
        <v/>
      </c>
      <c r="L29" s="461">
        <f>'_Engine_NR'!V41</f>
        <v/>
      </c>
      <c r="M29" s="461">
        <f>'_Engine_NR'!V42</f>
        <v/>
      </c>
      <c r="N29" s="462">
        <f>'_Engine_NR'!V43</f>
        <v/>
      </c>
      <c r="O29" s="462">
        <f>'_Engine_NR'!V44</f>
        <v/>
      </c>
      <c r="P29" s="462">
        <f>'_Engine_NR'!V45</f>
        <v/>
      </c>
      <c r="Q29" s="462">
        <f>'_Engine_NR'!V46</f>
        <v/>
      </c>
      <c r="R29" s="462">
        <f>'_Engine_NR'!V47</f>
        <v/>
      </c>
      <c r="S29" s="462">
        <f>'_Engine_NR'!V48</f>
        <v/>
      </c>
      <c r="T29" s="462">
        <f>'_Engine_NR'!V49</f>
        <v/>
      </c>
      <c r="U29" s="462">
        <f>'_Engine_NR'!V50</f>
        <v/>
      </c>
      <c r="V29" s="462">
        <f>'_Engine_NR'!V51</f>
        <v/>
      </c>
      <c r="W29" s="462">
        <f>'_Engine_NR'!V52</f>
        <v/>
      </c>
      <c r="X29" s="462">
        <f>'_Engine_NR'!V53</f>
        <v/>
      </c>
      <c r="Y29" s="462">
        <f>'_Engine_NR'!V54</f>
        <v/>
      </c>
      <c r="Z29" s="461">
        <f>'_Engine_NR'!V55</f>
        <v/>
      </c>
      <c r="AA29" s="461">
        <f>'_Engine_NR'!V56</f>
        <v/>
      </c>
      <c r="AB29" s="461">
        <f>'_Engine_NR'!V57</f>
        <v/>
      </c>
      <c r="AC29" s="461">
        <f>'_Engine_NR'!V58</f>
        <v/>
      </c>
      <c r="AD29" s="461">
        <f>'_Engine_NR'!V59</f>
        <v/>
      </c>
      <c r="AE29" s="461">
        <f>'_Engine_NR'!V60</f>
        <v/>
      </c>
      <c r="AF29" s="461">
        <f>'_Engine_NR'!V61</f>
        <v/>
      </c>
      <c r="AG29" s="461">
        <f>'_Engine_NR'!V62</f>
        <v/>
      </c>
      <c r="AH29" s="461">
        <f>'_Engine_NR'!V63</f>
        <v/>
      </c>
      <c r="AI29" s="461">
        <f>'_Engine_NR'!V64</f>
        <v/>
      </c>
      <c r="AJ29" s="461">
        <f>'_Engine_NR'!V65</f>
        <v/>
      </c>
      <c r="AK29" s="461">
        <f>'_Engine_NR'!V66</f>
        <v/>
      </c>
      <c r="AL29" s="462">
        <f>'_Engine_NR'!V67</f>
        <v/>
      </c>
      <c r="AM29" s="462">
        <f>'_Engine_NR'!V68</f>
        <v/>
      </c>
      <c r="AN29" s="462">
        <f>'_Engine_NR'!V69</f>
        <v/>
      </c>
      <c r="AO29" s="462">
        <f>'_Engine_NR'!V70</f>
        <v/>
      </c>
      <c r="AP29" s="462">
        <f>'_Engine_NR'!V71</f>
        <v/>
      </c>
      <c r="AQ29" s="462">
        <f>'_Engine_NR'!V72</f>
        <v/>
      </c>
      <c r="AR29" s="462">
        <f>'_Engine_NR'!V73</f>
        <v/>
      </c>
      <c r="AS29" s="462">
        <f>'_Engine_NR'!V74</f>
        <v/>
      </c>
      <c r="AT29" s="462">
        <f>'_Engine_NR'!V75</f>
        <v/>
      </c>
      <c r="AU29" s="462">
        <f>'_Engine_NR'!V76</f>
        <v/>
      </c>
      <c r="AV29" s="462">
        <f>'_Engine_NR'!V77</f>
        <v/>
      </c>
      <c r="AW29" s="462">
        <f>'_Engine_NR'!V78</f>
        <v/>
      </c>
      <c r="AX29" s="461">
        <f>'_Engine_NR'!V79</f>
        <v/>
      </c>
      <c r="AY29" s="461">
        <f>'_Engine_NR'!V80</f>
        <v/>
      </c>
      <c r="AZ29" s="461">
        <f>'_Engine_NR'!V81</f>
        <v/>
      </c>
      <c r="BA29" s="461">
        <f>'_Engine_NR'!V82</f>
        <v/>
      </c>
      <c r="BB29" s="461">
        <f>'_Engine_NR'!V83</f>
        <v/>
      </c>
      <c r="BC29" s="461">
        <f>'_Engine_NR'!V84</f>
        <v/>
      </c>
      <c r="BD29" s="461">
        <f>'_Engine_NR'!V85</f>
        <v/>
      </c>
      <c r="BE29" s="461">
        <f>'_Engine_NR'!V86</f>
        <v/>
      </c>
      <c r="BF29" s="461">
        <f>'_Engine_NR'!V87</f>
        <v/>
      </c>
      <c r="BG29" s="461">
        <f>'_Engine_NR'!V88</f>
        <v/>
      </c>
      <c r="BH29" s="461">
        <f>'_Engine_NR'!V89</f>
        <v/>
      </c>
      <c r="BI29" s="461">
        <f>'_Engine_NR'!V90</f>
        <v/>
      </c>
      <c r="BJ29" s="462">
        <f>'_Engine_NR'!V91</f>
        <v/>
      </c>
      <c r="BK29" s="462">
        <f>'_Engine_NR'!V92</f>
        <v/>
      </c>
      <c r="BL29" s="462">
        <f>'_Engine_NR'!V93</f>
        <v/>
      </c>
      <c r="BM29" s="462">
        <f>'_Engine_NR'!V94</f>
        <v/>
      </c>
      <c r="BN29" s="462">
        <f>'_Engine_NR'!V95</f>
        <v/>
      </c>
      <c r="BO29" s="462">
        <f>'_Engine_NR'!V96</f>
        <v/>
      </c>
      <c r="BP29" s="462">
        <f>'_Engine_NR'!V97</f>
        <v/>
      </c>
      <c r="BQ29" s="462">
        <f>'_Engine_NR'!V98</f>
        <v/>
      </c>
      <c r="BR29" s="462">
        <f>'_Engine_NR'!V99</f>
        <v/>
      </c>
      <c r="BS29" s="462">
        <f>'_Engine_NR'!V100</f>
        <v/>
      </c>
      <c r="BT29" s="462">
        <f>'_Engine_NR'!V101</f>
        <v/>
      </c>
      <c r="BU29" s="462">
        <f>'_Engine_NR'!V102</f>
        <v/>
      </c>
      <c r="BV29" s="461">
        <f>'_Engine_NR'!V103</f>
        <v/>
      </c>
      <c r="BW29" s="461">
        <f>'_Engine_NR'!V104</f>
        <v/>
      </c>
      <c r="BX29" s="461">
        <f>'_Engine_NR'!V105</f>
        <v/>
      </c>
      <c r="BY29" s="461">
        <f>'_Engine_NR'!V106</f>
        <v/>
      </c>
      <c r="BZ29" s="461">
        <f>'_Engine_NR'!V107</f>
        <v/>
      </c>
      <c r="CA29" s="461">
        <f>'_Engine_NR'!V108</f>
        <v/>
      </c>
      <c r="CB29" s="461">
        <f>'_Engine_NR'!V109</f>
        <v/>
      </c>
      <c r="CC29" s="461">
        <f>'_Engine_NR'!V110</f>
        <v/>
      </c>
      <c r="CD29" s="461">
        <f>'_Engine_NR'!V111</f>
        <v/>
      </c>
      <c r="CE29" s="461">
        <f>'_Engine_NR'!V112</f>
        <v/>
      </c>
      <c r="CF29" s="461">
        <f>'_Engine_NR'!V113</f>
        <v/>
      </c>
      <c r="CG29" s="461">
        <f>'_Engine_NR'!V114</f>
        <v/>
      </c>
      <c r="CH29" s="462">
        <f>'_Engine_NR'!V115</f>
        <v/>
      </c>
      <c r="CI29" s="462">
        <f>'_Engine_NR'!V116</f>
        <v/>
      </c>
      <c r="CJ29" s="462">
        <f>'_Engine_NR'!V117</f>
        <v/>
      </c>
      <c r="CK29" s="462">
        <f>'_Engine_NR'!V118</f>
        <v/>
      </c>
      <c r="CL29" s="462">
        <f>'_Engine_NR'!V119</f>
        <v/>
      </c>
      <c r="CM29" s="462">
        <f>'_Engine_NR'!V120</f>
        <v/>
      </c>
      <c r="CN29" s="462">
        <f>'_Engine_NR'!V121</f>
        <v/>
      </c>
      <c r="CO29" s="462">
        <f>'_Engine_NR'!V122</f>
        <v/>
      </c>
      <c r="CP29" s="462">
        <f>'_Engine_NR'!V123</f>
        <v/>
      </c>
      <c r="CQ29" s="462">
        <f>'_Engine_NR'!V124</f>
        <v/>
      </c>
      <c r="CR29" s="462">
        <f>'_Engine_NR'!V125</f>
        <v/>
      </c>
      <c r="CS29" s="462">
        <f>'_Engine_NR'!V126</f>
        <v/>
      </c>
      <c r="CT29" s="461">
        <f>'_Engine_NR'!V127</f>
        <v/>
      </c>
      <c r="CU29" s="461">
        <f>'_Engine_NR'!V128</f>
        <v/>
      </c>
      <c r="CV29" s="461">
        <f>'_Engine_NR'!V129</f>
        <v/>
      </c>
      <c r="CW29" s="461">
        <f>'_Engine_NR'!V130</f>
        <v/>
      </c>
      <c r="CX29" s="461">
        <f>'_Engine_NR'!V131</f>
        <v/>
      </c>
      <c r="CY29" s="461">
        <f>'_Engine_NR'!V132</f>
        <v/>
      </c>
      <c r="CZ29" s="461">
        <f>'_Engine_NR'!V133</f>
        <v/>
      </c>
      <c r="DA29" s="461">
        <f>'_Engine_NR'!V134</f>
        <v/>
      </c>
      <c r="DB29" s="461">
        <f>'_Engine_NR'!V135</f>
        <v/>
      </c>
      <c r="DC29" s="461">
        <f>'_Engine_NR'!V136</f>
        <v/>
      </c>
      <c r="DD29" s="461">
        <f>'_Engine_NR'!V137</f>
        <v/>
      </c>
      <c r="DE29" s="461">
        <f>'_Engine_NR'!V138</f>
        <v/>
      </c>
      <c r="DF29" s="462">
        <f>'_Engine_NR'!V139</f>
        <v/>
      </c>
      <c r="DG29" s="462">
        <f>'_Engine_NR'!V140</f>
        <v/>
      </c>
      <c r="DH29" s="462">
        <f>'_Engine_NR'!V141</f>
        <v/>
      </c>
      <c r="DI29" s="462">
        <f>'_Engine_NR'!V142</f>
        <v/>
      </c>
      <c r="DJ29" s="462">
        <f>'_Engine_NR'!V143</f>
        <v/>
      </c>
      <c r="DK29" s="462">
        <f>'_Engine_NR'!V144</f>
        <v/>
      </c>
      <c r="DL29" s="462">
        <f>'_Engine_NR'!V145</f>
        <v/>
      </c>
      <c r="DM29" s="462">
        <f>'_Engine_NR'!V146</f>
        <v/>
      </c>
      <c r="DN29" s="462">
        <f>'_Engine_NR'!V147</f>
        <v/>
      </c>
      <c r="DO29" s="462">
        <f>'_Engine_NR'!V148</f>
        <v/>
      </c>
      <c r="DP29" s="462">
        <f>'_Engine_NR'!V149</f>
        <v/>
      </c>
      <c r="DQ29" s="462">
        <f>'_Engine_NR'!V150</f>
        <v/>
      </c>
      <c r="DR29" s="461">
        <f>'_Engine_NR'!V151</f>
        <v/>
      </c>
      <c r="DS29" s="461">
        <f>'_Engine_NR'!V152</f>
        <v/>
      </c>
      <c r="DT29" s="461">
        <f>'_Engine_NR'!V153</f>
        <v/>
      </c>
      <c r="DU29" s="461">
        <f>'_Engine_NR'!V154</f>
        <v/>
      </c>
      <c r="DV29" s="461">
        <f>'_Engine_NR'!V155</f>
        <v/>
      </c>
      <c r="DW29" s="461">
        <f>'_Engine_NR'!V156</f>
        <v/>
      </c>
      <c r="DX29" s="461">
        <f>'_Engine_NR'!V157</f>
        <v/>
      </c>
      <c r="DY29" s="461">
        <f>'_Engine_NR'!V158</f>
        <v/>
      </c>
      <c r="DZ29" s="461">
        <f>'_Engine_NR'!V159</f>
        <v/>
      </c>
      <c r="EA29" s="461">
        <f>'_Engine_NR'!V160</f>
        <v/>
      </c>
      <c r="EB29" s="461">
        <f>'_Engine_NR'!V161</f>
        <v/>
      </c>
      <c r="EC29" s="461">
        <f>'_Engine_NR'!V162</f>
        <v/>
      </c>
      <c r="ED29" s="462">
        <f>'_Engine_NR'!V163</f>
        <v/>
      </c>
      <c r="EE29" s="462">
        <f>'_Engine_NR'!V164</f>
        <v/>
      </c>
      <c r="EF29" s="462">
        <f>'_Engine_NR'!V165</f>
        <v/>
      </c>
      <c r="EG29" s="462">
        <f>'_Engine_NR'!V166</f>
        <v/>
      </c>
      <c r="EH29" s="462">
        <f>'_Engine_NR'!V167</f>
        <v/>
      </c>
      <c r="EI29" s="462">
        <f>'_Engine_NR'!V168</f>
        <v/>
      </c>
      <c r="EJ29" s="462">
        <f>'_Engine_NR'!V169</f>
        <v/>
      </c>
      <c r="EK29" s="462">
        <f>'_Engine_NR'!V170</f>
        <v/>
      </c>
      <c r="EL29" s="462">
        <f>'_Engine_NR'!V171</f>
        <v/>
      </c>
      <c r="EM29" s="462">
        <f>'_Engine_NR'!V172</f>
        <v/>
      </c>
      <c r="EN29" s="462">
        <f>'_Engine_NR'!V173</f>
        <v/>
      </c>
      <c r="EO29" s="462">
        <f>'_Engine_NR'!V174</f>
        <v/>
      </c>
      <c r="EP29" s="461">
        <f>'_Engine_NR'!V175</f>
        <v/>
      </c>
      <c r="EQ29" s="461">
        <f>'_Engine_NR'!V176</f>
        <v/>
      </c>
      <c r="ER29" s="461">
        <f>'_Engine_NR'!V177</f>
        <v/>
      </c>
      <c r="ES29" s="461">
        <f>'_Engine_NR'!V178</f>
        <v/>
      </c>
      <c r="ET29" s="461">
        <f>'_Engine_NR'!V179</f>
        <v/>
      </c>
      <c r="EU29" s="461">
        <f>'_Engine_NR'!V180</f>
        <v/>
      </c>
      <c r="EV29" s="461">
        <f>'_Engine_NR'!V181</f>
        <v/>
      </c>
      <c r="EW29" s="461">
        <f>'_Engine_NR'!V182</f>
        <v/>
      </c>
      <c r="EX29" s="461">
        <f>'_Engine_NR'!V183</f>
        <v/>
      </c>
      <c r="EY29" s="461">
        <f>'_Engine_NR'!V184</f>
        <v/>
      </c>
      <c r="EZ29" s="461">
        <f>'_Engine_NR'!V185</f>
        <v/>
      </c>
      <c r="FA29" s="461">
        <f>'_Engine_NR'!V186</f>
        <v/>
      </c>
      <c r="FB29" s="462">
        <f>'_Engine_NR'!V187</f>
        <v/>
      </c>
      <c r="FC29" s="462">
        <f>'_Engine_NR'!V188</f>
        <v/>
      </c>
      <c r="FD29" s="462">
        <f>'_Engine_NR'!V189</f>
        <v/>
      </c>
      <c r="FE29" s="462">
        <f>'_Engine_NR'!V190</f>
        <v/>
      </c>
      <c r="FF29" s="462">
        <f>'_Engine_NR'!V191</f>
        <v/>
      </c>
      <c r="FG29" s="462">
        <f>'_Engine_NR'!V192</f>
        <v/>
      </c>
      <c r="FH29" s="462">
        <f>'_Engine_NR'!V193</f>
        <v/>
      </c>
      <c r="FI29" s="462">
        <f>'_Engine_NR'!V194</f>
        <v/>
      </c>
      <c r="FJ29" s="462">
        <f>'_Engine_NR'!V195</f>
        <v/>
      </c>
      <c r="FK29" s="462">
        <f>'_Engine_NR'!V196</f>
        <v/>
      </c>
      <c r="FL29" s="462">
        <f>'_Engine_NR'!V197</f>
        <v/>
      </c>
      <c r="FM29" s="462">
        <f>'_Engine_NR'!V198</f>
        <v/>
      </c>
      <c r="FN29" s="461">
        <f>'_Engine_NR'!V199</f>
        <v/>
      </c>
      <c r="FO29" s="461">
        <f>'_Engine_NR'!V200</f>
        <v/>
      </c>
      <c r="FP29" s="461">
        <f>'_Engine_NR'!V201</f>
        <v/>
      </c>
      <c r="FQ29" s="461">
        <f>'_Engine_NR'!V202</f>
        <v/>
      </c>
      <c r="FR29" s="461">
        <f>'_Engine_NR'!V203</f>
        <v/>
      </c>
      <c r="FS29" s="461">
        <f>'_Engine_NR'!V204</f>
        <v/>
      </c>
      <c r="FT29" s="461">
        <f>'_Engine_NR'!V205</f>
        <v/>
      </c>
      <c r="FU29" s="461">
        <f>'_Engine_NR'!V206</f>
        <v/>
      </c>
      <c r="FV29" s="461">
        <f>'_Engine_NR'!V207</f>
        <v/>
      </c>
      <c r="FW29" s="461">
        <f>'_Engine_NR'!V208</f>
        <v/>
      </c>
      <c r="FX29" s="461">
        <f>'_Engine_NR'!V209</f>
        <v/>
      </c>
      <c r="FY29" s="461">
        <f>'_Engine_NR'!V210</f>
        <v/>
      </c>
      <c r="FZ29" s="306" t="n"/>
    </row>
    <row r="30" ht="15" customHeight="1" s="307">
      <c r="A30" s="321" t="inlineStr">
        <is>
          <t>Cumulative Distributable</t>
        </is>
      </c>
      <c r="B30" s="458" t="n">
        <v>-0.3312</v>
      </c>
      <c r="C30" s="458" t="n">
        <v>-0.6625</v>
      </c>
      <c r="D30" s="458" t="n">
        <v>-0.9937</v>
      </c>
      <c r="E30" s="458" t="n">
        <v>-3.0594</v>
      </c>
      <c r="F30" s="458" t="n">
        <v>-3.4287</v>
      </c>
      <c r="G30" s="458" t="n">
        <v>-3.5847</v>
      </c>
      <c r="H30" s="458" t="n">
        <v>-5.7932</v>
      </c>
      <c r="I30" s="458" t="n">
        <v>-5.5099</v>
      </c>
      <c r="J30" s="458" t="n">
        <v>-4.8036</v>
      </c>
      <c r="K30" s="458" t="n">
        <v>-5.4768</v>
      </c>
      <c r="L30" s="458" t="n">
        <v>-3.9041</v>
      </c>
      <c r="M30" s="458" t="n">
        <v>-3.3637</v>
      </c>
      <c r="N30" s="459" t="n">
        <v>-0.6805</v>
      </c>
      <c r="O30" s="459" t="n">
        <v>2.5291</v>
      </c>
      <c r="P30" s="459" t="n">
        <v>6.2503</v>
      </c>
      <c r="Q30" s="459" t="n">
        <v>8.982799999999999</v>
      </c>
      <c r="R30" s="459" t="n">
        <v>13.6571</v>
      </c>
      <c r="S30" s="459" t="n">
        <v>18.7939</v>
      </c>
      <c r="T30" s="459" t="n">
        <v>24.2288</v>
      </c>
      <c r="U30" s="459" t="n">
        <v>29.9003</v>
      </c>
      <c r="V30" s="459" t="n">
        <v>35.8009</v>
      </c>
      <c r="W30" s="459" t="n">
        <v>41.9232</v>
      </c>
      <c r="X30" s="459" t="n">
        <v>48.0546</v>
      </c>
      <c r="Y30" s="459" t="n">
        <v>54.1935</v>
      </c>
      <c r="Z30" s="458" t="n">
        <v>60.2886</v>
      </c>
      <c r="AA30" s="458" t="n">
        <v>66.33969999999999</v>
      </c>
      <c r="AB30" s="458" t="n">
        <v>72.3466</v>
      </c>
      <c r="AC30" s="458" t="n">
        <v>78.3094</v>
      </c>
      <c r="AD30" s="458" t="n">
        <v>84.17919999999999</v>
      </c>
      <c r="AE30" s="458" t="n">
        <v>89.9571</v>
      </c>
      <c r="AF30" s="458" t="n">
        <v>95.64449999999999</v>
      </c>
      <c r="AG30" s="458" t="n">
        <v>101.2425</v>
      </c>
      <c r="AH30" s="458" t="n">
        <v>106.7524</v>
      </c>
      <c r="AI30" s="458" t="n">
        <v>112.1753</v>
      </c>
      <c r="AJ30" s="458" t="n">
        <v>117.5124</v>
      </c>
      <c r="AK30" s="458" t="n">
        <v>117.749</v>
      </c>
      <c r="AL30" s="459" t="n">
        <v>122.918</v>
      </c>
      <c r="AM30" s="459" t="n">
        <v>128.0046</v>
      </c>
      <c r="AN30" s="459" t="n">
        <v>133.0099</v>
      </c>
      <c r="AO30" s="459" t="n">
        <v>137.9351</v>
      </c>
      <c r="AP30" s="459" t="n">
        <v>142.7812</v>
      </c>
      <c r="AQ30" s="459" t="n">
        <v>147.5492</v>
      </c>
      <c r="AR30" s="459" t="n">
        <v>152.2403</v>
      </c>
      <c r="AS30" s="459" t="n">
        <v>156.8554</v>
      </c>
      <c r="AT30" s="459" t="n">
        <v>161.3956</v>
      </c>
      <c r="AU30" s="459" t="n">
        <v>165.8619</v>
      </c>
      <c r="AV30" s="459" t="n">
        <v>170.2552</v>
      </c>
      <c r="AW30" s="459" t="n">
        <v>171.7711</v>
      </c>
      <c r="AX30" s="458" t="n">
        <v>176.0215</v>
      </c>
      <c r="AY30" s="458" t="n">
        <v>180.2019</v>
      </c>
      <c r="AZ30" s="458" t="n">
        <v>184.3133</v>
      </c>
      <c r="BA30" s="458" t="n">
        <v>188.3565</v>
      </c>
      <c r="BB30" s="458" t="n">
        <v>192.3324</v>
      </c>
      <c r="BC30" s="458" t="n">
        <v>196.2421</v>
      </c>
      <c r="BD30" s="458" t="n">
        <v>200.0863</v>
      </c>
      <c r="BE30" s="458" t="n">
        <v>203.8659</v>
      </c>
      <c r="BF30" s="458" t="n">
        <v>207.5819</v>
      </c>
      <c r="BG30" s="458" t="n">
        <v>211.235</v>
      </c>
      <c r="BH30" s="458" t="n">
        <v>214.8262</v>
      </c>
      <c r="BI30" s="458" t="n">
        <v>217.6899</v>
      </c>
      <c r="BJ30" s="459" t="n">
        <v>221.1595</v>
      </c>
      <c r="BK30" s="459" t="n">
        <v>224.5697</v>
      </c>
      <c r="BL30" s="459" t="n">
        <v>227.9211</v>
      </c>
      <c r="BM30" s="459" t="n">
        <v>231.2146</v>
      </c>
      <c r="BN30" s="459" t="n">
        <v>234.451</v>
      </c>
      <c r="BO30" s="459" t="n">
        <v>237.631</v>
      </c>
      <c r="BP30" s="459" t="n">
        <v>240.7554</v>
      </c>
      <c r="BQ30" s="459" t="n">
        <v>243.8249</v>
      </c>
      <c r="BR30" s="459" t="n">
        <v>246.8402</v>
      </c>
      <c r="BS30" s="459" t="n">
        <v>249.8022</v>
      </c>
      <c r="BT30" s="459" t="n">
        <v>252.7115</v>
      </c>
      <c r="BU30" s="459" t="n">
        <v>255.5688</v>
      </c>
      <c r="BV30" s="458" t="n">
        <v>258.3748</v>
      </c>
      <c r="BW30" s="458" t="n">
        <v>261.1302</v>
      </c>
      <c r="BX30" s="458" t="n">
        <v>263.8357</v>
      </c>
      <c r="BY30" s="458" t="n">
        <v>266.492</v>
      </c>
      <c r="BZ30" s="458" t="n">
        <v>269.0997</v>
      </c>
      <c r="CA30" s="458" t="n">
        <v>271.6595</v>
      </c>
      <c r="CB30" s="458" t="n">
        <v>274.172</v>
      </c>
      <c r="CC30" s="458" t="n">
        <v>276.6379</v>
      </c>
      <c r="CD30" s="458" t="n">
        <v>279.0577</v>
      </c>
      <c r="CE30" s="458" t="n">
        <v>281.4322</v>
      </c>
      <c r="CF30" s="458" t="n">
        <v>283.7619</v>
      </c>
      <c r="CG30" s="458" t="n">
        <v>286.0474</v>
      </c>
      <c r="CH30" s="459" t="n">
        <v>288.2893</v>
      </c>
      <c r="CI30" s="459" t="n">
        <v>290.4882</v>
      </c>
      <c r="CJ30" s="459" t="n">
        <v>292.6447</v>
      </c>
      <c r="CK30" s="459" t="n">
        <v>294.7593</v>
      </c>
      <c r="CL30" s="459" t="n">
        <v>296.8327</v>
      </c>
      <c r="CM30" s="459" t="n">
        <v>298.8653</v>
      </c>
      <c r="CN30" s="459" t="n">
        <v>300.8577</v>
      </c>
      <c r="CO30" s="459" t="n">
        <v>302.8105</v>
      </c>
      <c r="CP30" s="459" t="n">
        <v>304.7242</v>
      </c>
      <c r="CQ30" s="459" t="n">
        <v>306.5993</v>
      </c>
      <c r="CR30" s="459" t="n">
        <v>308.4363</v>
      </c>
      <c r="CS30" s="459" t="n">
        <v>310.2358</v>
      </c>
      <c r="CT30" s="458" t="n">
        <v>311.9982</v>
      </c>
      <c r="CU30" s="458" t="n">
        <v>313.7241</v>
      </c>
      <c r="CV30" s="458" t="n">
        <v>315.4139</v>
      </c>
      <c r="CW30" s="458" t="n">
        <v>317.0681</v>
      </c>
      <c r="CX30" s="458" t="n">
        <v>318.6873</v>
      </c>
      <c r="CY30" s="458" t="n">
        <v>320.2718</v>
      </c>
      <c r="CZ30" s="458" t="n">
        <v>321.8221</v>
      </c>
      <c r="DA30" s="458" t="n">
        <v>323.3388</v>
      </c>
      <c r="DB30" s="458" t="n">
        <v>324.8222</v>
      </c>
      <c r="DC30" s="458" t="n">
        <v>326.2729</v>
      </c>
      <c r="DD30" s="458" t="n">
        <v>327.6911</v>
      </c>
      <c r="DE30" s="458" t="n">
        <v>329.0775</v>
      </c>
      <c r="DF30" s="459" t="n">
        <v>330.4323</v>
      </c>
      <c r="DG30" s="459" t="n">
        <v>331.7561</v>
      </c>
      <c r="DH30" s="459" t="n">
        <v>333.0492</v>
      </c>
      <c r="DI30" s="459" t="n">
        <v>334.3121</v>
      </c>
      <c r="DJ30" s="459" t="n">
        <v>335.5452</v>
      </c>
      <c r="DK30" s="459" t="n">
        <v>336.7489</v>
      </c>
      <c r="DL30" s="459" t="n">
        <v>337.9235</v>
      </c>
      <c r="DM30" s="459" t="n">
        <v>339.0694</v>
      </c>
      <c r="DN30" s="459" t="n">
        <v>340.1871</v>
      </c>
      <c r="DO30" s="459" t="n">
        <v>341.277</v>
      </c>
      <c r="DP30" s="459" t="n">
        <v>342.3393</v>
      </c>
      <c r="DQ30" s="459" t="n">
        <v>343.3745</v>
      </c>
      <c r="DR30" s="458" t="n">
        <v>344.3829</v>
      </c>
      <c r="DS30" s="458" t="n">
        <v>345.3649</v>
      </c>
      <c r="DT30" s="458" t="n">
        <v>346.3209</v>
      </c>
      <c r="DU30" s="458" t="n">
        <v>347.2511</v>
      </c>
      <c r="DV30" s="458" t="n">
        <v>348.156</v>
      </c>
      <c r="DW30" s="458" t="n">
        <v>349.0359</v>
      </c>
      <c r="DX30" s="458" t="n">
        <v>349.8911</v>
      </c>
      <c r="DY30" s="458" t="n">
        <v>350.722</v>
      </c>
      <c r="DZ30" s="458" t="n">
        <v>351.5289</v>
      </c>
      <c r="EA30" s="458" t="n">
        <v>352.312</v>
      </c>
      <c r="EB30" s="458" t="n">
        <v>353.0718</v>
      </c>
      <c r="EC30" s="458" t="n">
        <v>353.8085</v>
      </c>
      <c r="ED30" s="459" t="n">
        <v>354.5224</v>
      </c>
      <c r="EE30" s="459" t="n">
        <v>355.214</v>
      </c>
      <c r="EF30" s="459" t="n">
        <v>355.8833</v>
      </c>
      <c r="EG30" s="459" t="n">
        <v>356.5308</v>
      </c>
      <c r="EH30" s="459" t="n">
        <v>357.1568</v>
      </c>
      <c r="EI30" s="459" t="n">
        <v>357.7615</v>
      </c>
      <c r="EJ30" s="459" t="n">
        <v>358.3452</v>
      </c>
      <c r="EK30" s="459" t="n">
        <v>358.9083</v>
      </c>
      <c r="EL30" s="459" t="n">
        <v>359.4509</v>
      </c>
      <c r="EM30" s="459" t="n">
        <v>359.9734</v>
      </c>
      <c r="EN30" s="459" t="n">
        <v>360.476</v>
      </c>
      <c r="EO30" s="459" t="n">
        <v>360.959</v>
      </c>
      <c r="EP30" s="458" t="n">
        <v>361.4226</v>
      </c>
      <c r="EQ30" s="458" t="n">
        <v>361.8672</v>
      </c>
      <c r="ER30" s="458" t="n">
        <v>362.293</v>
      </c>
      <c r="ES30" s="458" t="n">
        <v>362.7002</v>
      </c>
      <c r="ET30" s="458" t="n">
        <v>363.089</v>
      </c>
      <c r="EU30" s="458" t="n">
        <v>363.4598</v>
      </c>
      <c r="EV30" s="458" t="n">
        <v>363.8128</v>
      </c>
      <c r="EW30" s="458" t="n">
        <v>364.1482</v>
      </c>
      <c r="EX30" s="458" t="n">
        <v>364.4662</v>
      </c>
      <c r="EY30" s="458" t="n">
        <v>364.7671</v>
      </c>
      <c r="EZ30" s="458" t="n">
        <v>365.0511</v>
      </c>
      <c r="FA30" s="458" t="n">
        <v>365.3184</v>
      </c>
      <c r="FB30" s="459" t="n">
        <v>365.5693</v>
      </c>
      <c r="FC30" s="459" t="n">
        <v>365.804</v>
      </c>
      <c r="FD30" s="459" t="n">
        <v>366.0227</v>
      </c>
      <c r="FE30" s="459" t="n">
        <v>366.2256</v>
      </c>
      <c r="FF30" s="459" t="n">
        <v>366.413</v>
      </c>
      <c r="FG30" s="459" t="n">
        <v>366.5849</v>
      </c>
      <c r="FH30" s="459" t="n">
        <v>366.7418</v>
      </c>
      <c r="FI30" s="459" t="n">
        <v>366.8836</v>
      </c>
      <c r="FJ30" s="459" t="n">
        <v>367.0107</v>
      </c>
      <c r="FK30" s="459" t="n">
        <v>367.1233</v>
      </c>
      <c r="FL30" s="459" t="n">
        <v>367.2215</v>
      </c>
      <c r="FM30" s="459" t="n">
        <v>367.3055</v>
      </c>
      <c r="FN30" s="458" t="n">
        <v>367.3756</v>
      </c>
      <c r="FO30" s="458" t="n">
        <v>367.4319</v>
      </c>
      <c r="FP30" s="458" t="n">
        <v>367.4746</v>
      </c>
      <c r="FQ30" s="458" t="n">
        <v>367.5038</v>
      </c>
      <c r="FR30" s="458" t="n">
        <v>367.5199</v>
      </c>
      <c r="FS30" s="458" t="n">
        <v>367.5229</v>
      </c>
      <c r="FT30" s="458" t="n">
        <v>367.5129</v>
      </c>
      <c r="FU30" s="458" t="n">
        <v>367.4903</v>
      </c>
      <c r="FV30" s="458" t="n">
        <v>367.4552</v>
      </c>
      <c r="FW30" s="458" t="n">
        <v>367.4076</v>
      </c>
      <c r="FX30" s="458" t="n">
        <v>367.3479</v>
      </c>
      <c r="FY30" s="458" t="n">
        <v>367.2762</v>
      </c>
      <c r="FZ30" s="306" t="n"/>
    </row>
    <row r="31" ht="15" customHeight="1" s="307">
      <c r="A31" s="314" t="n"/>
      <c r="B31" s="464" t="n"/>
      <c r="C31" s="464" t="n"/>
      <c r="D31" s="464" t="n"/>
      <c r="E31" s="464" t="n"/>
      <c r="F31" s="464" t="n"/>
      <c r="G31" s="464" t="n"/>
      <c r="H31" s="464" t="n"/>
      <c r="I31" s="464" t="n"/>
      <c r="J31" s="464" t="n"/>
      <c r="K31" s="464" t="n"/>
      <c r="L31" s="464" t="n"/>
      <c r="M31" s="464" t="n"/>
      <c r="N31" s="464" t="n"/>
      <c r="O31" s="464" t="n"/>
      <c r="P31" s="464" t="n"/>
      <c r="Q31" s="464" t="n"/>
      <c r="R31" s="464" t="n"/>
      <c r="S31" s="464" t="n"/>
      <c r="T31" s="464" t="n"/>
      <c r="U31" s="464" t="n"/>
      <c r="V31" s="464" t="n"/>
      <c r="W31" s="464" t="n"/>
      <c r="X31" s="464" t="n"/>
      <c r="Y31" s="464" t="n"/>
      <c r="Z31" s="464" t="n"/>
      <c r="AA31" s="464" t="n"/>
      <c r="AB31" s="464" t="n"/>
      <c r="AC31" s="464" t="n"/>
      <c r="AD31" s="464" t="n"/>
      <c r="AE31" s="464" t="n"/>
      <c r="AF31" s="464" t="n"/>
      <c r="AG31" s="464" t="n"/>
      <c r="AH31" s="464" t="n"/>
      <c r="AI31" s="464" t="n"/>
      <c r="AJ31" s="464" t="n"/>
      <c r="AK31" s="464" t="n"/>
      <c r="AL31" s="464" t="n"/>
      <c r="AM31" s="464" t="n"/>
      <c r="AN31" s="464" t="n"/>
      <c r="AO31" s="464" t="n"/>
      <c r="AP31" s="464" t="n"/>
      <c r="AQ31" s="464" t="n"/>
      <c r="AR31" s="464" t="n"/>
      <c r="AS31" s="464" t="n"/>
      <c r="AT31" s="464" t="n"/>
      <c r="AU31" s="464" t="n"/>
      <c r="AV31" s="464" t="n"/>
      <c r="AW31" s="464" t="n"/>
      <c r="AX31" s="464" t="n"/>
      <c r="AY31" s="464" t="n"/>
      <c r="AZ31" s="464" t="n"/>
      <c r="BA31" s="464" t="n"/>
      <c r="BB31" s="464" t="n"/>
      <c r="BC31" s="464" t="n"/>
      <c r="BD31" s="464" t="n"/>
      <c r="BE31" s="464" t="n"/>
      <c r="BF31" s="464" t="n"/>
      <c r="BG31" s="464" t="n"/>
      <c r="BH31" s="464" t="n"/>
      <c r="BI31" s="464" t="n"/>
      <c r="BJ31" s="464" t="n"/>
      <c r="BK31" s="464" t="n"/>
      <c r="BL31" s="464" t="n"/>
      <c r="BM31" s="464" t="n"/>
      <c r="BN31" s="464" t="n"/>
      <c r="BO31" s="464" t="n"/>
      <c r="BP31" s="464" t="n"/>
      <c r="BQ31" s="464" t="n"/>
      <c r="BR31" s="464" t="n"/>
      <c r="BS31" s="464" t="n"/>
      <c r="BT31" s="464" t="n"/>
      <c r="BU31" s="464" t="n"/>
      <c r="BV31" s="464" t="n"/>
      <c r="BW31" s="464" t="n"/>
      <c r="BX31" s="464" t="n"/>
      <c r="BY31" s="464" t="n"/>
      <c r="BZ31" s="464" t="n"/>
      <c r="CA31" s="464" t="n"/>
      <c r="CB31" s="464" t="n"/>
      <c r="CC31" s="464" t="n"/>
      <c r="CD31" s="464" t="n"/>
      <c r="CE31" s="464" t="n"/>
      <c r="CF31" s="464" t="n"/>
      <c r="CG31" s="464" t="n"/>
      <c r="CH31" s="464" t="n"/>
      <c r="CI31" s="464" t="n"/>
      <c r="CJ31" s="464" t="n"/>
      <c r="CK31" s="464" t="n"/>
      <c r="CL31" s="464" t="n"/>
      <c r="CM31" s="464" t="n"/>
      <c r="CN31" s="464" t="n"/>
      <c r="CO31" s="464" t="n"/>
      <c r="CP31" s="464" t="n"/>
      <c r="CQ31" s="464" t="n"/>
      <c r="CR31" s="464" t="n"/>
      <c r="CS31" s="464" t="n"/>
      <c r="CT31" s="464" t="n"/>
      <c r="CU31" s="464" t="n"/>
      <c r="CV31" s="464" t="n"/>
      <c r="CW31" s="464" t="n"/>
      <c r="CX31" s="464" t="n"/>
      <c r="CY31" s="464" t="n"/>
      <c r="CZ31" s="464" t="n"/>
      <c r="DA31" s="464" t="n"/>
      <c r="DB31" s="464" t="n"/>
      <c r="DC31" s="464" t="n"/>
      <c r="DD31" s="464" t="n"/>
      <c r="DE31" s="464" t="n"/>
      <c r="DF31" s="464" t="n"/>
      <c r="DG31" s="464" t="n"/>
      <c r="DH31" s="464" t="n"/>
      <c r="DI31" s="464" t="n"/>
      <c r="DJ31" s="464" t="n"/>
      <c r="DK31" s="464" t="n"/>
      <c r="DL31" s="464" t="n"/>
      <c r="DM31" s="464" t="n"/>
      <c r="DN31" s="464" t="n"/>
      <c r="DO31" s="464" t="n"/>
      <c r="DP31" s="464" t="n"/>
      <c r="DQ31" s="464" t="n"/>
      <c r="DR31" s="464" t="n"/>
      <c r="DS31" s="464" t="n"/>
      <c r="DT31" s="464" t="n"/>
      <c r="DU31" s="464" t="n"/>
      <c r="DV31" s="464" t="n"/>
      <c r="DW31" s="464" t="n"/>
      <c r="DX31" s="464" t="n"/>
      <c r="DY31" s="464" t="n"/>
      <c r="DZ31" s="464" t="n"/>
      <c r="EA31" s="464" t="n"/>
      <c r="EB31" s="464" t="n"/>
      <c r="EC31" s="464" t="n"/>
      <c r="ED31" s="464" t="n"/>
      <c r="EE31" s="464" t="n"/>
      <c r="EF31" s="464" t="n"/>
      <c r="EG31" s="464" t="n"/>
      <c r="EH31" s="464" t="n"/>
      <c r="EI31" s="464" t="n"/>
      <c r="EJ31" s="464" t="n"/>
      <c r="EK31" s="464" t="n"/>
      <c r="EL31" s="464" t="n"/>
      <c r="EM31" s="464" t="n"/>
      <c r="EN31" s="464" t="n"/>
      <c r="EO31" s="464" t="n"/>
      <c r="EP31" s="464" t="n"/>
      <c r="EQ31" s="464" t="n"/>
      <c r="ER31" s="464" t="n"/>
      <c r="ES31" s="464" t="n"/>
      <c r="ET31" s="464" t="n"/>
      <c r="EU31" s="464" t="n"/>
      <c r="EV31" s="464" t="n"/>
      <c r="EW31" s="464" t="n"/>
      <c r="EX31" s="464" t="n"/>
      <c r="EY31" s="464" t="n"/>
      <c r="EZ31" s="464" t="n"/>
      <c r="FA31" s="464" t="n"/>
      <c r="FB31" s="464" t="n"/>
      <c r="FC31" s="464" t="n"/>
      <c r="FD31" s="464" t="n"/>
      <c r="FE31" s="464" t="n"/>
      <c r="FF31" s="464" t="n"/>
      <c r="FG31" s="464" t="n"/>
      <c r="FH31" s="464" t="n"/>
      <c r="FI31" s="464" t="n"/>
      <c r="FJ31" s="464" t="n"/>
      <c r="FK31" s="464" t="n"/>
      <c r="FL31" s="464" t="n"/>
      <c r="FM31" s="464" t="n"/>
      <c r="FN31" s="464" t="n"/>
      <c r="FO31" s="464" t="n"/>
      <c r="FP31" s="464" t="n"/>
      <c r="FQ31" s="464" t="n"/>
      <c r="FR31" s="464" t="n"/>
      <c r="FS31" s="464" t="n"/>
      <c r="FT31" s="464" t="n"/>
      <c r="FU31" s="464" t="n"/>
      <c r="FV31" s="464" t="n"/>
      <c r="FW31" s="464" t="n"/>
      <c r="FX31" s="464" t="n"/>
      <c r="FY31" s="464" t="n"/>
      <c r="FZ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  <c r="T32" s="306" t="n"/>
      <c r="U32" s="306" t="n"/>
      <c r="V32" s="306" t="n"/>
      <c r="W32" s="306" t="n"/>
      <c r="X32" s="306" t="n"/>
      <c r="Y32" s="306" t="n"/>
      <c r="Z32" s="306" t="n"/>
      <c r="AA32" s="306" t="n"/>
      <c r="AB32" s="306" t="n"/>
      <c r="AC32" s="306" t="n"/>
      <c r="AD32" s="306" t="n"/>
      <c r="AE32" s="306" t="n"/>
      <c r="AF32" s="306" t="n"/>
      <c r="AG32" s="306" t="n"/>
      <c r="AH32" s="306" t="n"/>
      <c r="AI32" s="306" t="n"/>
      <c r="AJ32" s="306" t="n"/>
      <c r="AK32" s="306" t="n"/>
      <c r="AL32" s="306" t="n"/>
      <c r="AM32" s="306" t="n"/>
      <c r="AN32" s="306" t="n"/>
      <c r="AO32" s="306" t="n"/>
      <c r="AP32" s="306" t="n"/>
      <c r="AQ32" s="306" t="n"/>
      <c r="AR32" s="306" t="n"/>
      <c r="AS32" s="306" t="n"/>
      <c r="AT32" s="306" t="n"/>
      <c r="AU32" s="306" t="n"/>
      <c r="AV32" s="306" t="n"/>
      <c r="AW32" s="306" t="n"/>
      <c r="AX32" s="306" t="n"/>
      <c r="AY32" s="306" t="n"/>
      <c r="AZ32" s="306" t="n"/>
      <c r="BA32" s="306" t="n"/>
      <c r="BB32" s="306" t="n"/>
      <c r="BC32" s="306" t="n"/>
      <c r="BD32" s="306" t="n"/>
      <c r="BE32" s="306" t="n"/>
      <c r="BF32" s="306" t="n"/>
      <c r="BG32" s="306" t="n"/>
      <c r="BH32" s="306" t="n"/>
      <c r="BI32" s="306" t="n"/>
      <c r="BJ32" s="306" t="n"/>
      <c r="BK32" s="306" t="n"/>
      <c r="BL32" s="306" t="n"/>
      <c r="BM32" s="306" t="n"/>
      <c r="BN32" s="306" t="n"/>
      <c r="BO32" s="306" t="n"/>
      <c r="BP32" s="306" t="n"/>
      <c r="BQ32" s="306" t="n"/>
      <c r="BR32" s="306" t="n"/>
      <c r="BS32" s="306" t="n"/>
      <c r="BT32" s="306" t="n"/>
      <c r="BU32" s="306" t="n"/>
      <c r="BV32" s="306" t="n"/>
      <c r="BW32" s="306" t="n"/>
      <c r="BX32" s="306" t="n"/>
      <c r="BY32" s="306" t="n"/>
      <c r="BZ32" s="306" t="n"/>
      <c r="CA32" s="306" t="n"/>
      <c r="CB32" s="306" t="n"/>
      <c r="CC32" s="306" t="n"/>
      <c r="CD32" s="306" t="n"/>
      <c r="CE32" s="306" t="n"/>
      <c r="CF32" s="306" t="n"/>
      <c r="CG32" s="306" t="n"/>
      <c r="CH32" s="306" t="n"/>
      <c r="CI32" s="306" t="n"/>
      <c r="CJ32" s="306" t="n"/>
      <c r="CK32" s="306" t="n"/>
      <c r="CL32" s="306" t="n"/>
      <c r="CM32" s="306" t="n"/>
      <c r="CN32" s="306" t="n"/>
      <c r="CO32" s="306" t="n"/>
      <c r="CP32" s="306" t="n"/>
      <c r="CQ32" s="306" t="n"/>
      <c r="CR32" s="306" t="n"/>
      <c r="CS32" s="306" t="n"/>
      <c r="CT32" s="306" t="n"/>
      <c r="CU32" s="306" t="n"/>
      <c r="CV32" s="306" t="n"/>
      <c r="CW32" s="306" t="n"/>
      <c r="CX32" s="306" t="n"/>
      <c r="CY32" s="306" t="n"/>
      <c r="CZ32" s="306" t="n"/>
      <c r="DA32" s="306" t="n"/>
      <c r="DB32" s="306" t="n"/>
      <c r="DC32" s="306" t="n"/>
      <c r="DD32" s="306" t="n"/>
      <c r="DE32" s="306" t="n"/>
      <c r="DF32" s="306" t="n"/>
      <c r="DG32" s="306" t="n"/>
      <c r="DH32" s="306" t="n"/>
      <c r="DI32" s="306" t="n"/>
      <c r="DJ32" s="306" t="n"/>
      <c r="DK32" s="306" t="n"/>
      <c r="DL32" s="306" t="n"/>
      <c r="DM32" s="306" t="n"/>
      <c r="DN32" s="306" t="n"/>
      <c r="DO32" s="306" t="n"/>
      <c r="DP32" s="306" t="n"/>
      <c r="DQ32" s="306" t="n"/>
      <c r="DR32" s="306" t="n"/>
      <c r="DS32" s="306" t="n"/>
      <c r="DT32" s="306" t="n"/>
      <c r="DU32" s="306" t="n"/>
      <c r="DV32" s="306" t="n"/>
      <c r="DW32" s="306" t="n"/>
      <c r="DX32" s="306" t="n"/>
      <c r="DY32" s="306" t="n"/>
      <c r="DZ32" s="306" t="n"/>
      <c r="EA32" s="306" t="n"/>
      <c r="EB32" s="306" t="n"/>
      <c r="EC32" s="306" t="n"/>
      <c r="ED32" s="306" t="n"/>
      <c r="EE32" s="306" t="n"/>
      <c r="EF32" s="306" t="n"/>
      <c r="EG32" s="306" t="n"/>
      <c r="EH32" s="306" t="n"/>
      <c r="EI32" s="306" t="n"/>
      <c r="EJ32" s="306" t="n"/>
      <c r="EK32" s="306" t="n"/>
      <c r="EL32" s="306" t="n"/>
      <c r="EM32" s="306" t="n"/>
      <c r="EN32" s="306" t="n"/>
      <c r="EO32" s="306" t="n"/>
      <c r="EP32" s="306" t="n"/>
      <c r="EQ32" s="306" t="n"/>
      <c r="ER32" s="306" t="n"/>
      <c r="ES32" s="306" t="n"/>
      <c r="ET32" s="306" t="n"/>
      <c r="EU32" s="306" t="n"/>
      <c r="EV32" s="306" t="n"/>
      <c r="EW32" s="306" t="n"/>
      <c r="EX32" s="306" t="n"/>
      <c r="EY32" s="306" t="n"/>
      <c r="EZ32" s="306" t="n"/>
      <c r="FA32" s="306" t="n"/>
      <c r="FB32" s="306" t="n"/>
      <c r="FC32" s="306" t="n"/>
      <c r="FD32" s="306" t="n"/>
      <c r="FE32" s="306" t="n"/>
      <c r="FF32" s="306" t="n"/>
      <c r="FG32" s="306" t="n"/>
      <c r="FH32" s="306" t="n"/>
      <c r="FI32" s="306" t="n"/>
      <c r="FJ32" s="306" t="n"/>
      <c r="FK32" s="306" t="n"/>
      <c r="FL32" s="306" t="n"/>
      <c r="FM32" s="306" t="n"/>
      <c r="FN32" s="306" t="n"/>
      <c r="FO32" s="306" t="n"/>
      <c r="FP32" s="306" t="n"/>
      <c r="FQ32" s="306" t="n"/>
      <c r="FR32" s="306" t="n"/>
      <c r="FS32" s="306" t="n"/>
      <c r="FT32" s="306" t="n"/>
      <c r="FU32" s="306" t="n"/>
      <c r="FV32" s="306" t="n"/>
      <c r="FW32" s="306" t="n"/>
      <c r="FX32" s="306" t="n"/>
      <c r="FY32" s="306" t="n"/>
      <c r="FZ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  <c r="T33" s="306" t="n"/>
      <c r="U33" s="306" t="n"/>
      <c r="V33" s="306" t="n"/>
      <c r="W33" s="306" t="n"/>
      <c r="X33" s="306" t="n"/>
      <c r="Y33" s="306" t="n"/>
      <c r="Z33" s="306" t="n"/>
      <c r="AA33" s="306" t="n"/>
      <c r="AB33" s="306" t="n"/>
      <c r="AC33" s="306" t="n"/>
      <c r="AD33" s="306" t="n"/>
      <c r="AE33" s="306" t="n"/>
      <c r="AF33" s="306" t="n"/>
      <c r="AG33" s="306" t="n"/>
      <c r="AH33" s="306" t="n"/>
      <c r="AI33" s="306" t="n"/>
      <c r="AJ33" s="306" t="n"/>
      <c r="AK33" s="306" t="n"/>
      <c r="AL33" s="306" t="n"/>
      <c r="AM33" s="306" t="n"/>
      <c r="AN33" s="306" t="n"/>
      <c r="AO33" s="306" t="n"/>
      <c r="AP33" s="306" t="n"/>
      <c r="AQ33" s="306" t="n"/>
      <c r="AR33" s="306" t="n"/>
      <c r="AS33" s="306" t="n"/>
      <c r="AT33" s="306" t="n"/>
      <c r="AU33" s="306" t="n"/>
      <c r="AV33" s="306" t="n"/>
      <c r="AW33" s="306" t="n"/>
      <c r="AX33" s="306" t="n"/>
      <c r="AY33" s="306" t="n"/>
      <c r="AZ33" s="306" t="n"/>
      <c r="BA33" s="306" t="n"/>
      <c r="BB33" s="306" t="n"/>
      <c r="BC33" s="306" t="n"/>
      <c r="BD33" s="306" t="n"/>
      <c r="BE33" s="306" t="n"/>
      <c r="BF33" s="306" t="n"/>
      <c r="BG33" s="306" t="n"/>
      <c r="BH33" s="306" t="n"/>
      <c r="BI33" s="306" t="n"/>
      <c r="BJ33" s="306" t="n"/>
      <c r="BK33" s="306" t="n"/>
      <c r="BL33" s="306" t="n"/>
      <c r="BM33" s="306" t="n"/>
      <c r="BN33" s="306" t="n"/>
      <c r="BO33" s="306" t="n"/>
      <c r="BP33" s="306" t="n"/>
      <c r="BQ33" s="306" t="n"/>
      <c r="BR33" s="306" t="n"/>
      <c r="BS33" s="306" t="n"/>
      <c r="BT33" s="306" t="n"/>
      <c r="BU33" s="306" t="n"/>
      <c r="BV33" s="306" t="n"/>
      <c r="BW33" s="306" t="n"/>
      <c r="BX33" s="306" t="n"/>
      <c r="BY33" s="306" t="n"/>
      <c r="BZ33" s="306" t="n"/>
      <c r="CA33" s="306" t="n"/>
      <c r="CB33" s="306" t="n"/>
      <c r="CC33" s="306" t="n"/>
      <c r="CD33" s="306" t="n"/>
      <c r="CE33" s="306" t="n"/>
      <c r="CF33" s="306" t="n"/>
      <c r="CG33" s="306" t="n"/>
      <c r="CH33" s="306" t="n"/>
      <c r="CI33" s="306" t="n"/>
      <c r="CJ33" s="306" t="n"/>
      <c r="CK33" s="306" t="n"/>
      <c r="CL33" s="306" t="n"/>
      <c r="CM33" s="306" t="n"/>
      <c r="CN33" s="306" t="n"/>
      <c r="CO33" s="306" t="n"/>
      <c r="CP33" s="306" t="n"/>
      <c r="CQ33" s="306" t="n"/>
      <c r="CR33" s="306" t="n"/>
      <c r="CS33" s="306" t="n"/>
      <c r="CT33" s="306" t="n"/>
      <c r="CU33" s="306" t="n"/>
      <c r="CV33" s="306" t="n"/>
      <c r="CW33" s="306" t="n"/>
      <c r="CX33" s="306" t="n"/>
      <c r="CY33" s="306" t="n"/>
      <c r="CZ33" s="306" t="n"/>
      <c r="DA33" s="306" t="n"/>
      <c r="DB33" s="306" t="n"/>
      <c r="DC33" s="306" t="n"/>
      <c r="DD33" s="306" t="n"/>
      <c r="DE33" s="306" t="n"/>
      <c r="DF33" s="306" t="n"/>
      <c r="DG33" s="306" t="n"/>
      <c r="DH33" s="306" t="n"/>
      <c r="DI33" s="306" t="n"/>
      <c r="DJ33" s="306" t="n"/>
      <c r="DK33" s="306" t="n"/>
      <c r="DL33" s="306" t="n"/>
      <c r="DM33" s="306" t="n"/>
      <c r="DN33" s="306" t="n"/>
      <c r="DO33" s="306" t="n"/>
      <c r="DP33" s="306" t="n"/>
      <c r="DQ33" s="306" t="n"/>
      <c r="DR33" s="306" t="n"/>
      <c r="DS33" s="306" t="n"/>
      <c r="DT33" s="306" t="n"/>
      <c r="DU33" s="306" t="n"/>
      <c r="DV33" s="306" t="n"/>
      <c r="DW33" s="306" t="n"/>
      <c r="DX33" s="306" t="n"/>
      <c r="DY33" s="306" t="n"/>
      <c r="DZ33" s="306" t="n"/>
      <c r="EA33" s="306" t="n"/>
      <c r="EB33" s="306" t="n"/>
      <c r="EC33" s="306" t="n"/>
      <c r="ED33" s="306" t="n"/>
      <c r="EE33" s="306" t="n"/>
      <c r="EF33" s="306" t="n"/>
      <c r="EG33" s="306" t="n"/>
      <c r="EH33" s="306" t="n"/>
      <c r="EI33" s="306" t="n"/>
      <c r="EJ33" s="306" t="n"/>
      <c r="EK33" s="306" t="n"/>
      <c r="EL33" s="306" t="n"/>
      <c r="EM33" s="306" t="n"/>
      <c r="EN33" s="306" t="n"/>
      <c r="EO33" s="306" t="n"/>
      <c r="EP33" s="306" t="n"/>
      <c r="EQ33" s="306" t="n"/>
      <c r="ER33" s="306" t="n"/>
      <c r="ES33" s="306" t="n"/>
      <c r="ET33" s="306" t="n"/>
      <c r="EU33" s="306" t="n"/>
      <c r="EV33" s="306" t="n"/>
      <c r="EW33" s="306" t="n"/>
      <c r="EX33" s="306" t="n"/>
      <c r="EY33" s="306" t="n"/>
      <c r="EZ33" s="306" t="n"/>
      <c r="FA33" s="306" t="n"/>
      <c r="FB33" s="306" t="n"/>
      <c r="FC33" s="306" t="n"/>
      <c r="FD33" s="306" t="n"/>
      <c r="FE33" s="306" t="n"/>
      <c r="FF33" s="306" t="n"/>
      <c r="FG33" s="306" t="n"/>
      <c r="FH33" s="306" t="n"/>
      <c r="FI33" s="306" t="n"/>
      <c r="FJ33" s="306" t="n"/>
      <c r="FK33" s="306" t="n"/>
      <c r="FL33" s="306" t="n"/>
      <c r="FM33" s="306" t="n"/>
      <c r="FN33" s="306" t="n"/>
      <c r="FO33" s="306" t="n"/>
      <c r="FP33" s="306" t="n"/>
      <c r="FQ33" s="306" t="n"/>
      <c r="FR33" s="306" t="n"/>
      <c r="FS33" s="306" t="n"/>
      <c r="FT33" s="306" t="n"/>
      <c r="FU33" s="306" t="n"/>
      <c r="FV33" s="306" t="n"/>
      <c r="FW33" s="306" t="n"/>
      <c r="FX33" s="306" t="n"/>
      <c r="FY33" s="306" t="n"/>
      <c r="FZ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  <c r="T34" s="306" t="n"/>
      <c r="U34" s="306" t="n"/>
      <c r="V34" s="306" t="n"/>
      <c r="W34" s="306" t="n"/>
      <c r="X34" s="306" t="n"/>
      <c r="Y34" s="306" t="n"/>
      <c r="Z34" s="306" t="n"/>
      <c r="AA34" s="306" t="n"/>
      <c r="AB34" s="306" t="n"/>
      <c r="AC34" s="306" t="n"/>
      <c r="AD34" s="306" t="n"/>
      <c r="AE34" s="306" t="n"/>
      <c r="AF34" s="306" t="n"/>
      <c r="AG34" s="306" t="n"/>
      <c r="AH34" s="306" t="n"/>
      <c r="AI34" s="306" t="n"/>
      <c r="AJ34" s="306" t="n"/>
      <c r="AK34" s="306" t="n"/>
      <c r="AL34" s="306" t="n"/>
      <c r="AM34" s="306" t="n"/>
      <c r="AN34" s="306" t="n"/>
      <c r="AO34" s="306" t="n"/>
      <c r="AP34" s="306" t="n"/>
      <c r="AQ34" s="306" t="n"/>
      <c r="AR34" s="306" t="n"/>
      <c r="AS34" s="306" t="n"/>
      <c r="AT34" s="306" t="n"/>
      <c r="AU34" s="306" t="n"/>
      <c r="AV34" s="306" t="n"/>
      <c r="AW34" s="306" t="n"/>
      <c r="AX34" s="306" t="n"/>
      <c r="AY34" s="306" t="n"/>
      <c r="AZ34" s="306" t="n"/>
      <c r="BA34" s="306" t="n"/>
      <c r="BB34" s="306" t="n"/>
      <c r="BC34" s="306" t="n"/>
      <c r="BD34" s="306" t="n"/>
      <c r="BE34" s="306" t="n"/>
      <c r="BF34" s="306" t="n"/>
      <c r="BG34" s="306" t="n"/>
      <c r="BH34" s="306" t="n"/>
      <c r="BI34" s="306" t="n"/>
      <c r="BJ34" s="306" t="n"/>
      <c r="BK34" s="306" t="n"/>
      <c r="BL34" s="306" t="n"/>
      <c r="BM34" s="306" t="n"/>
      <c r="BN34" s="306" t="n"/>
      <c r="BO34" s="306" t="n"/>
      <c r="BP34" s="306" t="n"/>
      <c r="BQ34" s="306" t="n"/>
      <c r="BR34" s="306" t="n"/>
      <c r="BS34" s="306" t="n"/>
      <c r="BT34" s="306" t="n"/>
      <c r="BU34" s="306" t="n"/>
      <c r="BV34" s="306" t="n"/>
      <c r="BW34" s="306" t="n"/>
      <c r="BX34" s="306" t="n"/>
      <c r="BY34" s="306" t="n"/>
      <c r="BZ34" s="306" t="n"/>
      <c r="CA34" s="306" t="n"/>
      <c r="CB34" s="306" t="n"/>
      <c r="CC34" s="306" t="n"/>
      <c r="CD34" s="306" t="n"/>
      <c r="CE34" s="306" t="n"/>
      <c r="CF34" s="306" t="n"/>
      <c r="CG34" s="306" t="n"/>
      <c r="CH34" s="306" t="n"/>
      <c r="CI34" s="306" t="n"/>
      <c r="CJ34" s="306" t="n"/>
      <c r="CK34" s="306" t="n"/>
      <c r="CL34" s="306" t="n"/>
      <c r="CM34" s="306" t="n"/>
      <c r="CN34" s="306" t="n"/>
      <c r="CO34" s="306" t="n"/>
      <c r="CP34" s="306" t="n"/>
      <c r="CQ34" s="306" t="n"/>
      <c r="CR34" s="306" t="n"/>
      <c r="CS34" s="306" t="n"/>
      <c r="CT34" s="306" t="n"/>
      <c r="CU34" s="306" t="n"/>
      <c r="CV34" s="306" t="n"/>
      <c r="CW34" s="306" t="n"/>
      <c r="CX34" s="306" t="n"/>
      <c r="CY34" s="306" t="n"/>
      <c r="CZ34" s="306" t="n"/>
      <c r="DA34" s="306" t="n"/>
      <c r="DB34" s="306" t="n"/>
      <c r="DC34" s="306" t="n"/>
      <c r="DD34" s="306" t="n"/>
      <c r="DE34" s="306" t="n"/>
      <c r="DF34" s="306" t="n"/>
      <c r="DG34" s="306" t="n"/>
      <c r="DH34" s="306" t="n"/>
      <c r="DI34" s="306" t="n"/>
      <c r="DJ34" s="306" t="n"/>
      <c r="DK34" s="306" t="n"/>
      <c r="DL34" s="306" t="n"/>
      <c r="DM34" s="306" t="n"/>
      <c r="DN34" s="306" t="n"/>
      <c r="DO34" s="306" t="n"/>
      <c r="DP34" s="306" t="n"/>
      <c r="DQ34" s="306" t="n"/>
      <c r="DR34" s="306" t="n"/>
      <c r="DS34" s="306" t="n"/>
      <c r="DT34" s="306" t="n"/>
      <c r="DU34" s="306" t="n"/>
      <c r="DV34" s="306" t="n"/>
      <c r="DW34" s="306" t="n"/>
      <c r="DX34" s="306" t="n"/>
      <c r="DY34" s="306" t="n"/>
      <c r="DZ34" s="306" t="n"/>
      <c r="EA34" s="306" t="n"/>
      <c r="EB34" s="306" t="n"/>
      <c r="EC34" s="306" t="n"/>
      <c r="ED34" s="306" t="n"/>
      <c r="EE34" s="306" t="n"/>
      <c r="EF34" s="306" t="n"/>
      <c r="EG34" s="306" t="n"/>
      <c r="EH34" s="306" t="n"/>
      <c r="EI34" s="306" t="n"/>
      <c r="EJ34" s="306" t="n"/>
      <c r="EK34" s="306" t="n"/>
      <c r="EL34" s="306" t="n"/>
      <c r="EM34" s="306" t="n"/>
      <c r="EN34" s="306" t="n"/>
      <c r="EO34" s="306" t="n"/>
      <c r="EP34" s="306" t="n"/>
      <c r="EQ34" s="306" t="n"/>
      <c r="ER34" s="306" t="n"/>
      <c r="ES34" s="306" t="n"/>
      <c r="ET34" s="306" t="n"/>
      <c r="EU34" s="306" t="n"/>
      <c r="EV34" s="306" t="n"/>
      <c r="EW34" s="306" t="n"/>
      <c r="EX34" s="306" t="n"/>
      <c r="EY34" s="306" t="n"/>
      <c r="EZ34" s="306" t="n"/>
      <c r="FA34" s="306" t="n"/>
      <c r="FB34" s="306" t="n"/>
      <c r="FC34" s="306" t="n"/>
      <c r="FD34" s="306" t="n"/>
      <c r="FE34" s="306" t="n"/>
      <c r="FF34" s="306" t="n"/>
      <c r="FG34" s="306" t="n"/>
      <c r="FH34" s="306" t="n"/>
      <c r="FI34" s="306" t="n"/>
      <c r="FJ34" s="306" t="n"/>
      <c r="FK34" s="306" t="n"/>
      <c r="FL34" s="306" t="n"/>
      <c r="FM34" s="306" t="n"/>
      <c r="FN34" s="306" t="n"/>
      <c r="FO34" s="306" t="n"/>
      <c r="FP34" s="306" t="n"/>
      <c r="FQ34" s="306" t="n"/>
      <c r="FR34" s="306" t="n"/>
      <c r="FS34" s="306" t="n"/>
      <c r="FT34" s="306" t="n"/>
      <c r="FU34" s="306" t="n"/>
      <c r="FV34" s="306" t="n"/>
      <c r="FW34" s="306" t="n"/>
      <c r="FX34" s="306" t="n"/>
      <c r="FY34" s="306" t="n"/>
      <c r="FZ34" s="306" t="n"/>
    </row>
    <row r="35" ht="15" customHeight="1" s="30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  <c r="O35" s="306" t="n"/>
      <c r="P35" s="306" t="n"/>
      <c r="Q35" s="306" t="n"/>
      <c r="R35" s="306" t="n"/>
      <c r="S35" s="306" t="n"/>
      <c r="T35" s="306" t="n"/>
      <c r="U35" s="306" t="n"/>
      <c r="V35" s="306" t="n"/>
      <c r="W35" s="306" t="n"/>
      <c r="X35" s="306" t="n"/>
      <c r="Y35" s="306" t="n"/>
      <c r="Z35" s="306" t="n"/>
      <c r="AA35" s="306" t="n"/>
      <c r="AB35" s="306" t="n"/>
      <c r="AC35" s="306" t="n"/>
      <c r="AD35" s="306" t="n"/>
      <c r="AE35" s="306" t="n"/>
      <c r="AF35" s="306" t="n"/>
      <c r="AG35" s="306" t="n"/>
      <c r="AH35" s="306" t="n"/>
      <c r="AI35" s="306" t="n"/>
      <c r="AJ35" s="306" t="n"/>
      <c r="AK35" s="306" t="n"/>
      <c r="AL35" s="306" t="n"/>
      <c r="AM35" s="306" t="n"/>
      <c r="AN35" s="306" t="n"/>
      <c r="AO35" s="306" t="n"/>
      <c r="AP35" s="306" t="n"/>
      <c r="AQ35" s="306" t="n"/>
      <c r="AR35" s="306" t="n"/>
      <c r="AS35" s="306" t="n"/>
      <c r="AT35" s="306" t="n"/>
      <c r="AU35" s="306" t="n"/>
      <c r="AV35" s="306" t="n"/>
      <c r="AW35" s="306" t="n"/>
      <c r="AX35" s="306" t="n"/>
      <c r="AY35" s="306" t="n"/>
      <c r="AZ35" s="306" t="n"/>
      <c r="BA35" s="306" t="n"/>
      <c r="BB35" s="306" t="n"/>
      <c r="BC35" s="306" t="n"/>
      <c r="BD35" s="306" t="n"/>
      <c r="BE35" s="306" t="n"/>
      <c r="BF35" s="306" t="n"/>
      <c r="BG35" s="306" t="n"/>
      <c r="BH35" s="306" t="n"/>
      <c r="BI35" s="306" t="n"/>
      <c r="BJ35" s="306" t="n"/>
      <c r="BK35" s="306" t="n"/>
      <c r="BL35" s="306" t="n"/>
      <c r="BM35" s="306" t="n"/>
      <c r="BN35" s="306" t="n"/>
      <c r="BO35" s="306" t="n"/>
      <c r="BP35" s="306" t="n"/>
      <c r="BQ35" s="306" t="n"/>
      <c r="BR35" s="306" t="n"/>
      <c r="BS35" s="306" t="n"/>
      <c r="BT35" s="306" t="n"/>
      <c r="BU35" s="306" t="n"/>
      <c r="BV35" s="306" t="n"/>
      <c r="BW35" s="306" t="n"/>
      <c r="BX35" s="306" t="n"/>
      <c r="BY35" s="306" t="n"/>
      <c r="BZ35" s="306" t="n"/>
      <c r="CA35" s="306" t="n"/>
      <c r="CB35" s="306" t="n"/>
      <c r="CC35" s="306" t="n"/>
      <c r="CD35" s="306" t="n"/>
      <c r="CE35" s="306" t="n"/>
      <c r="CF35" s="306" t="n"/>
      <c r="CG35" s="306" t="n"/>
      <c r="CH35" s="306" t="n"/>
      <c r="CI35" s="306" t="n"/>
      <c r="CJ35" s="306" t="n"/>
      <c r="CK35" s="306" t="n"/>
      <c r="CL35" s="306" t="n"/>
      <c r="CM35" s="306" t="n"/>
      <c r="CN35" s="306" t="n"/>
      <c r="CO35" s="306" t="n"/>
      <c r="CP35" s="306" t="n"/>
      <c r="CQ35" s="306" t="n"/>
      <c r="CR35" s="306" t="n"/>
      <c r="CS35" s="306" t="n"/>
      <c r="CT35" s="306" t="n"/>
      <c r="CU35" s="306" t="n"/>
      <c r="CV35" s="306" t="n"/>
      <c r="CW35" s="306" t="n"/>
      <c r="CX35" s="306" t="n"/>
      <c r="CY35" s="306" t="n"/>
      <c r="CZ35" s="306" t="n"/>
      <c r="DA35" s="306" t="n"/>
      <c r="DB35" s="306" t="n"/>
      <c r="DC35" s="306" t="n"/>
      <c r="DD35" s="306" t="n"/>
      <c r="DE35" s="306" t="n"/>
      <c r="DF35" s="306" t="n"/>
      <c r="DG35" s="306" t="n"/>
      <c r="DH35" s="306" t="n"/>
      <c r="DI35" s="306" t="n"/>
      <c r="DJ35" s="306" t="n"/>
      <c r="DK35" s="306" t="n"/>
      <c r="DL35" s="306" t="n"/>
      <c r="DM35" s="306" t="n"/>
      <c r="DN35" s="306" t="n"/>
      <c r="DO35" s="306" t="n"/>
      <c r="DP35" s="306" t="n"/>
      <c r="DQ35" s="306" t="n"/>
      <c r="DR35" s="306" t="n"/>
      <c r="DS35" s="306" t="n"/>
      <c r="DT35" s="306" t="n"/>
      <c r="DU35" s="306" t="n"/>
      <c r="DV35" s="306" t="n"/>
      <c r="DW35" s="306" t="n"/>
      <c r="DX35" s="306" t="n"/>
      <c r="DY35" s="306" t="n"/>
      <c r="DZ35" s="306" t="n"/>
      <c r="EA35" s="306" t="n"/>
      <c r="EB35" s="306" t="n"/>
      <c r="EC35" s="306" t="n"/>
      <c r="ED35" s="306" t="n"/>
      <c r="EE35" s="306" t="n"/>
      <c r="EF35" s="306" t="n"/>
      <c r="EG35" s="306" t="n"/>
      <c r="EH35" s="306" t="n"/>
      <c r="EI35" s="306" t="n"/>
      <c r="EJ35" s="306" t="n"/>
      <c r="EK35" s="306" t="n"/>
      <c r="EL35" s="306" t="n"/>
      <c r="EM35" s="306" t="n"/>
      <c r="EN35" s="306" t="n"/>
      <c r="EO35" s="306" t="n"/>
      <c r="EP35" s="306" t="n"/>
      <c r="EQ35" s="306" t="n"/>
      <c r="ER35" s="306" t="n"/>
      <c r="ES35" s="306" t="n"/>
      <c r="ET35" s="306" t="n"/>
      <c r="EU35" s="306" t="n"/>
      <c r="EV35" s="306" t="n"/>
      <c r="EW35" s="306" t="n"/>
      <c r="EX35" s="306" t="n"/>
      <c r="EY35" s="306" t="n"/>
      <c r="EZ35" s="306" t="n"/>
      <c r="FA35" s="306" t="n"/>
      <c r="FB35" s="306" t="n"/>
      <c r="FC35" s="306" t="n"/>
      <c r="FD35" s="306" t="n"/>
      <c r="FE35" s="306" t="n"/>
      <c r="FF35" s="306" t="n"/>
      <c r="FG35" s="306" t="n"/>
      <c r="FH35" s="306" t="n"/>
      <c r="FI35" s="306" t="n"/>
      <c r="FJ35" s="306" t="n"/>
      <c r="FK35" s="306" t="n"/>
      <c r="FL35" s="306" t="n"/>
      <c r="FM35" s="306" t="n"/>
      <c r="FN35" s="306" t="n"/>
      <c r="FO35" s="306" t="n"/>
      <c r="FP35" s="306" t="n"/>
      <c r="FQ35" s="306" t="n"/>
      <c r="FR35" s="306" t="n"/>
      <c r="FS35" s="306" t="n"/>
      <c r="FT35" s="306" t="n"/>
      <c r="FU35" s="306" t="n"/>
      <c r="FV35" s="306" t="n"/>
      <c r="FW35" s="306" t="n"/>
      <c r="FX35" s="306" t="n"/>
      <c r="FY35" s="306" t="n"/>
      <c r="FZ35" s="306" t="n"/>
    </row>
    <row r="36" ht="15" customHeight="1" s="30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  <c r="O36" s="306" t="n"/>
      <c r="P36" s="306" t="n"/>
      <c r="Q36" s="306" t="n"/>
      <c r="R36" s="306" t="n"/>
      <c r="S36" s="306" t="n"/>
      <c r="T36" s="306" t="n"/>
      <c r="U36" s="306" t="n"/>
      <c r="V36" s="306" t="n"/>
      <c r="W36" s="306" t="n"/>
      <c r="X36" s="306" t="n"/>
      <c r="Y36" s="306" t="n"/>
      <c r="Z36" s="306" t="n"/>
      <c r="AA36" s="306" t="n"/>
      <c r="AB36" s="306" t="n"/>
      <c r="AC36" s="306" t="n"/>
      <c r="AD36" s="306" t="n"/>
      <c r="AE36" s="306" t="n"/>
      <c r="AF36" s="306" t="n"/>
      <c r="AG36" s="306" t="n"/>
      <c r="AH36" s="306" t="n"/>
      <c r="AI36" s="306" t="n"/>
      <c r="AJ36" s="306" t="n"/>
      <c r="AK36" s="306" t="n"/>
      <c r="AL36" s="306" t="n"/>
      <c r="AM36" s="306" t="n"/>
      <c r="AN36" s="306" t="n"/>
      <c r="AO36" s="306" t="n"/>
      <c r="AP36" s="306" t="n"/>
      <c r="AQ36" s="306" t="n"/>
      <c r="AR36" s="306" t="n"/>
      <c r="AS36" s="306" t="n"/>
      <c r="AT36" s="306" t="n"/>
      <c r="AU36" s="306" t="n"/>
      <c r="AV36" s="306" t="n"/>
      <c r="AW36" s="306" t="n"/>
      <c r="AX36" s="306" t="n"/>
      <c r="AY36" s="306" t="n"/>
      <c r="AZ36" s="306" t="n"/>
      <c r="BA36" s="306" t="n"/>
      <c r="BB36" s="306" t="n"/>
      <c r="BC36" s="306" t="n"/>
      <c r="BD36" s="306" t="n"/>
      <c r="BE36" s="306" t="n"/>
      <c r="BF36" s="306" t="n"/>
      <c r="BG36" s="306" t="n"/>
      <c r="BH36" s="306" t="n"/>
      <c r="BI36" s="306" t="n"/>
      <c r="BJ36" s="306" t="n"/>
      <c r="BK36" s="306" t="n"/>
      <c r="BL36" s="306" t="n"/>
      <c r="BM36" s="306" t="n"/>
      <c r="BN36" s="306" t="n"/>
      <c r="BO36" s="306" t="n"/>
      <c r="BP36" s="306" t="n"/>
      <c r="BQ36" s="306" t="n"/>
      <c r="BR36" s="306" t="n"/>
      <c r="BS36" s="306" t="n"/>
      <c r="BT36" s="306" t="n"/>
      <c r="BU36" s="306" t="n"/>
      <c r="BV36" s="306" t="n"/>
      <c r="BW36" s="306" t="n"/>
      <c r="BX36" s="306" t="n"/>
      <c r="BY36" s="306" t="n"/>
      <c r="BZ36" s="306" t="n"/>
      <c r="CA36" s="306" t="n"/>
      <c r="CB36" s="306" t="n"/>
      <c r="CC36" s="306" t="n"/>
      <c r="CD36" s="306" t="n"/>
      <c r="CE36" s="306" t="n"/>
      <c r="CF36" s="306" t="n"/>
      <c r="CG36" s="306" t="n"/>
      <c r="CH36" s="306" t="n"/>
      <c r="CI36" s="306" t="n"/>
      <c r="CJ36" s="306" t="n"/>
      <c r="CK36" s="306" t="n"/>
      <c r="CL36" s="306" t="n"/>
      <c r="CM36" s="306" t="n"/>
      <c r="CN36" s="306" t="n"/>
      <c r="CO36" s="306" t="n"/>
      <c r="CP36" s="306" t="n"/>
      <c r="CQ36" s="306" t="n"/>
      <c r="CR36" s="306" t="n"/>
      <c r="CS36" s="306" t="n"/>
      <c r="CT36" s="306" t="n"/>
      <c r="CU36" s="306" t="n"/>
      <c r="CV36" s="306" t="n"/>
      <c r="CW36" s="306" t="n"/>
      <c r="CX36" s="306" t="n"/>
      <c r="CY36" s="306" t="n"/>
      <c r="CZ36" s="306" t="n"/>
      <c r="DA36" s="306" t="n"/>
      <c r="DB36" s="306" t="n"/>
      <c r="DC36" s="306" t="n"/>
      <c r="DD36" s="306" t="n"/>
      <c r="DE36" s="306" t="n"/>
      <c r="DF36" s="306" t="n"/>
      <c r="DG36" s="306" t="n"/>
      <c r="DH36" s="306" t="n"/>
      <c r="DI36" s="306" t="n"/>
      <c r="DJ36" s="306" t="n"/>
      <c r="DK36" s="306" t="n"/>
      <c r="DL36" s="306" t="n"/>
      <c r="DM36" s="306" t="n"/>
      <c r="DN36" s="306" t="n"/>
      <c r="DO36" s="306" t="n"/>
      <c r="DP36" s="306" t="n"/>
      <c r="DQ36" s="306" t="n"/>
      <c r="DR36" s="306" t="n"/>
      <c r="DS36" s="306" t="n"/>
      <c r="DT36" s="306" t="n"/>
      <c r="DU36" s="306" t="n"/>
      <c r="DV36" s="306" t="n"/>
      <c r="DW36" s="306" t="n"/>
      <c r="DX36" s="306" t="n"/>
      <c r="DY36" s="306" t="n"/>
      <c r="DZ36" s="306" t="n"/>
      <c r="EA36" s="306" t="n"/>
      <c r="EB36" s="306" t="n"/>
      <c r="EC36" s="306" t="n"/>
      <c r="ED36" s="306" t="n"/>
      <c r="EE36" s="306" t="n"/>
      <c r="EF36" s="306" t="n"/>
      <c r="EG36" s="306" t="n"/>
      <c r="EH36" s="306" t="n"/>
      <c r="EI36" s="306" t="n"/>
      <c r="EJ36" s="306" t="n"/>
      <c r="EK36" s="306" t="n"/>
      <c r="EL36" s="306" t="n"/>
      <c r="EM36" s="306" t="n"/>
      <c r="EN36" s="306" t="n"/>
      <c r="EO36" s="306" t="n"/>
      <c r="EP36" s="306" t="n"/>
      <c r="EQ36" s="306" t="n"/>
      <c r="ER36" s="306" t="n"/>
      <c r="ES36" s="306" t="n"/>
      <c r="ET36" s="306" t="n"/>
      <c r="EU36" s="306" t="n"/>
      <c r="EV36" s="306" t="n"/>
      <c r="EW36" s="306" t="n"/>
      <c r="EX36" s="306" t="n"/>
      <c r="EY36" s="306" t="n"/>
      <c r="EZ36" s="306" t="n"/>
      <c r="FA36" s="306" t="n"/>
      <c r="FB36" s="306" t="n"/>
      <c r="FC36" s="306" t="n"/>
      <c r="FD36" s="306" t="n"/>
      <c r="FE36" s="306" t="n"/>
      <c r="FF36" s="306" t="n"/>
      <c r="FG36" s="306" t="n"/>
      <c r="FH36" s="306" t="n"/>
      <c r="FI36" s="306" t="n"/>
      <c r="FJ36" s="306" t="n"/>
      <c r="FK36" s="306" t="n"/>
      <c r="FL36" s="306" t="n"/>
      <c r="FM36" s="306" t="n"/>
      <c r="FN36" s="306" t="n"/>
      <c r="FO36" s="306" t="n"/>
      <c r="FP36" s="306" t="n"/>
      <c r="FQ36" s="306" t="n"/>
      <c r="FR36" s="306" t="n"/>
      <c r="FS36" s="306" t="n"/>
      <c r="FT36" s="306" t="n"/>
      <c r="FU36" s="306" t="n"/>
      <c r="FV36" s="306" t="n"/>
      <c r="FW36" s="306" t="n"/>
      <c r="FX36" s="306" t="n"/>
      <c r="FY36" s="306" t="n"/>
      <c r="FZ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  <c r="T37" s="306" t="n"/>
      <c r="U37" s="306" t="n"/>
      <c r="V37" s="306" t="n"/>
      <c r="W37" s="306" t="n"/>
      <c r="X37" s="306" t="n"/>
      <c r="Y37" s="306" t="n"/>
      <c r="Z37" s="306" t="n"/>
      <c r="AA37" s="306" t="n"/>
      <c r="AB37" s="306" t="n"/>
      <c r="AC37" s="306" t="n"/>
      <c r="AD37" s="306" t="n"/>
      <c r="AE37" s="306" t="n"/>
      <c r="AF37" s="306" t="n"/>
      <c r="AG37" s="306" t="n"/>
      <c r="AH37" s="306" t="n"/>
      <c r="AI37" s="306" t="n"/>
      <c r="AJ37" s="306" t="n"/>
      <c r="AK37" s="306" t="n"/>
      <c r="AL37" s="306" t="n"/>
      <c r="AM37" s="306" t="n"/>
      <c r="AN37" s="306" t="n"/>
      <c r="AO37" s="306" t="n"/>
      <c r="AP37" s="306" t="n"/>
      <c r="AQ37" s="306" t="n"/>
      <c r="AR37" s="306" t="n"/>
      <c r="AS37" s="306" t="n"/>
      <c r="AT37" s="306" t="n"/>
      <c r="AU37" s="306" t="n"/>
      <c r="AV37" s="306" t="n"/>
      <c r="AW37" s="306" t="n"/>
      <c r="AX37" s="306" t="n"/>
      <c r="AY37" s="306" t="n"/>
      <c r="AZ37" s="306" t="n"/>
      <c r="BA37" s="306" t="n"/>
      <c r="BB37" s="306" t="n"/>
      <c r="BC37" s="306" t="n"/>
      <c r="BD37" s="306" t="n"/>
      <c r="BE37" s="306" t="n"/>
      <c r="BF37" s="306" t="n"/>
      <c r="BG37" s="306" t="n"/>
      <c r="BH37" s="306" t="n"/>
      <c r="BI37" s="306" t="n"/>
      <c r="BJ37" s="306" t="n"/>
      <c r="BK37" s="306" t="n"/>
      <c r="BL37" s="306" t="n"/>
      <c r="BM37" s="306" t="n"/>
      <c r="BN37" s="306" t="n"/>
      <c r="BO37" s="306" t="n"/>
      <c r="BP37" s="306" t="n"/>
      <c r="BQ37" s="306" t="n"/>
      <c r="BR37" s="306" t="n"/>
      <c r="BS37" s="306" t="n"/>
      <c r="BT37" s="306" t="n"/>
      <c r="BU37" s="306" t="n"/>
      <c r="BV37" s="306" t="n"/>
      <c r="BW37" s="306" t="n"/>
      <c r="BX37" s="306" t="n"/>
      <c r="BY37" s="306" t="n"/>
      <c r="BZ37" s="306" t="n"/>
      <c r="CA37" s="306" t="n"/>
      <c r="CB37" s="306" t="n"/>
      <c r="CC37" s="306" t="n"/>
      <c r="CD37" s="306" t="n"/>
      <c r="CE37" s="306" t="n"/>
      <c r="CF37" s="306" t="n"/>
      <c r="CG37" s="306" t="n"/>
      <c r="CH37" s="306" t="n"/>
      <c r="CI37" s="306" t="n"/>
      <c r="CJ37" s="306" t="n"/>
      <c r="CK37" s="306" t="n"/>
      <c r="CL37" s="306" t="n"/>
      <c r="CM37" s="306" t="n"/>
      <c r="CN37" s="306" t="n"/>
      <c r="CO37" s="306" t="n"/>
      <c r="CP37" s="306" t="n"/>
      <c r="CQ37" s="306" t="n"/>
      <c r="CR37" s="306" t="n"/>
      <c r="CS37" s="306" t="n"/>
      <c r="CT37" s="306" t="n"/>
      <c r="CU37" s="306" t="n"/>
      <c r="CV37" s="306" t="n"/>
      <c r="CW37" s="306" t="n"/>
      <c r="CX37" s="306" t="n"/>
      <c r="CY37" s="306" t="n"/>
      <c r="CZ37" s="306" t="n"/>
      <c r="DA37" s="306" t="n"/>
      <c r="DB37" s="306" t="n"/>
      <c r="DC37" s="306" t="n"/>
      <c r="DD37" s="306" t="n"/>
      <c r="DE37" s="306" t="n"/>
      <c r="DF37" s="306" t="n"/>
      <c r="DG37" s="306" t="n"/>
      <c r="DH37" s="306" t="n"/>
      <c r="DI37" s="306" t="n"/>
      <c r="DJ37" s="306" t="n"/>
      <c r="DK37" s="306" t="n"/>
      <c r="DL37" s="306" t="n"/>
      <c r="DM37" s="306" t="n"/>
      <c r="DN37" s="306" t="n"/>
      <c r="DO37" s="306" t="n"/>
      <c r="DP37" s="306" t="n"/>
      <c r="DQ37" s="306" t="n"/>
      <c r="DR37" s="306" t="n"/>
      <c r="DS37" s="306" t="n"/>
      <c r="DT37" s="306" t="n"/>
      <c r="DU37" s="306" t="n"/>
      <c r="DV37" s="306" t="n"/>
      <c r="DW37" s="306" t="n"/>
      <c r="DX37" s="306" t="n"/>
      <c r="DY37" s="306" t="n"/>
      <c r="DZ37" s="306" t="n"/>
      <c r="EA37" s="306" t="n"/>
      <c r="EB37" s="306" t="n"/>
      <c r="EC37" s="306" t="n"/>
      <c r="ED37" s="306" t="n"/>
      <c r="EE37" s="306" t="n"/>
      <c r="EF37" s="306" t="n"/>
      <c r="EG37" s="306" t="n"/>
      <c r="EH37" s="306" t="n"/>
      <c r="EI37" s="306" t="n"/>
      <c r="EJ37" s="306" t="n"/>
      <c r="EK37" s="306" t="n"/>
      <c r="EL37" s="306" t="n"/>
      <c r="EM37" s="306" t="n"/>
      <c r="EN37" s="306" t="n"/>
      <c r="EO37" s="306" t="n"/>
      <c r="EP37" s="306" t="n"/>
      <c r="EQ37" s="306" t="n"/>
      <c r="ER37" s="306" t="n"/>
      <c r="ES37" s="306" t="n"/>
      <c r="ET37" s="306" t="n"/>
      <c r="EU37" s="306" t="n"/>
      <c r="EV37" s="306" t="n"/>
      <c r="EW37" s="306" t="n"/>
      <c r="EX37" s="306" t="n"/>
      <c r="EY37" s="306" t="n"/>
      <c r="EZ37" s="306" t="n"/>
      <c r="FA37" s="306" t="n"/>
      <c r="FB37" s="306" t="n"/>
      <c r="FC37" s="306" t="n"/>
      <c r="FD37" s="306" t="n"/>
      <c r="FE37" s="306" t="n"/>
      <c r="FF37" s="306" t="n"/>
      <c r="FG37" s="306" t="n"/>
      <c r="FH37" s="306" t="n"/>
      <c r="FI37" s="306" t="n"/>
      <c r="FJ37" s="306" t="n"/>
      <c r="FK37" s="306" t="n"/>
      <c r="FL37" s="306" t="n"/>
      <c r="FM37" s="306" t="n"/>
      <c r="FN37" s="306" t="n"/>
      <c r="FO37" s="306" t="n"/>
      <c r="FP37" s="306" t="n"/>
      <c r="FQ37" s="306" t="n"/>
      <c r="FR37" s="306" t="n"/>
      <c r="FS37" s="306" t="n"/>
      <c r="FT37" s="306" t="n"/>
      <c r="FU37" s="306" t="n"/>
      <c r="FV37" s="306" t="n"/>
      <c r="FW37" s="306" t="n"/>
      <c r="FX37" s="306" t="n"/>
      <c r="FY37" s="306" t="n"/>
      <c r="FZ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  <c r="T38" s="306" t="n"/>
      <c r="U38" s="306" t="n"/>
      <c r="V38" s="306" t="n"/>
      <c r="W38" s="306" t="n"/>
      <c r="X38" s="306" t="n"/>
      <c r="Y38" s="306" t="n"/>
      <c r="Z38" s="306" t="n"/>
      <c r="AA38" s="306" t="n"/>
      <c r="AB38" s="306" t="n"/>
      <c r="AC38" s="306" t="n"/>
      <c r="AD38" s="306" t="n"/>
      <c r="AE38" s="306" t="n"/>
      <c r="AF38" s="306" t="n"/>
      <c r="AG38" s="306" t="n"/>
      <c r="AH38" s="306" t="n"/>
      <c r="AI38" s="306" t="n"/>
      <c r="AJ38" s="306" t="n"/>
      <c r="AK38" s="306" t="n"/>
      <c r="AL38" s="306" t="n"/>
      <c r="AM38" s="306" t="n"/>
      <c r="AN38" s="306" t="n"/>
      <c r="AO38" s="306" t="n"/>
      <c r="AP38" s="306" t="n"/>
      <c r="AQ38" s="306" t="n"/>
      <c r="AR38" s="306" t="n"/>
      <c r="AS38" s="306" t="n"/>
      <c r="AT38" s="306" t="n"/>
      <c r="AU38" s="306" t="n"/>
      <c r="AV38" s="306" t="n"/>
      <c r="AW38" s="306" t="n"/>
      <c r="AX38" s="306" t="n"/>
      <c r="AY38" s="306" t="n"/>
      <c r="AZ38" s="306" t="n"/>
      <c r="BA38" s="306" t="n"/>
      <c r="BB38" s="306" t="n"/>
      <c r="BC38" s="306" t="n"/>
      <c r="BD38" s="306" t="n"/>
      <c r="BE38" s="306" t="n"/>
      <c r="BF38" s="306" t="n"/>
      <c r="BG38" s="306" t="n"/>
      <c r="BH38" s="306" t="n"/>
      <c r="BI38" s="306" t="n"/>
      <c r="BJ38" s="306" t="n"/>
      <c r="BK38" s="306" t="n"/>
      <c r="BL38" s="306" t="n"/>
      <c r="BM38" s="306" t="n"/>
      <c r="BN38" s="306" t="n"/>
      <c r="BO38" s="306" t="n"/>
      <c r="BP38" s="306" t="n"/>
      <c r="BQ38" s="306" t="n"/>
      <c r="BR38" s="306" t="n"/>
      <c r="BS38" s="306" t="n"/>
      <c r="BT38" s="306" t="n"/>
      <c r="BU38" s="306" t="n"/>
      <c r="BV38" s="306" t="n"/>
      <c r="BW38" s="306" t="n"/>
      <c r="BX38" s="306" t="n"/>
      <c r="BY38" s="306" t="n"/>
      <c r="BZ38" s="306" t="n"/>
      <c r="CA38" s="306" t="n"/>
      <c r="CB38" s="306" t="n"/>
      <c r="CC38" s="306" t="n"/>
      <c r="CD38" s="306" t="n"/>
      <c r="CE38" s="306" t="n"/>
      <c r="CF38" s="306" t="n"/>
      <c r="CG38" s="306" t="n"/>
      <c r="CH38" s="306" t="n"/>
      <c r="CI38" s="306" t="n"/>
      <c r="CJ38" s="306" t="n"/>
      <c r="CK38" s="306" t="n"/>
      <c r="CL38" s="306" t="n"/>
      <c r="CM38" s="306" t="n"/>
      <c r="CN38" s="306" t="n"/>
      <c r="CO38" s="306" t="n"/>
      <c r="CP38" s="306" t="n"/>
      <c r="CQ38" s="306" t="n"/>
      <c r="CR38" s="306" t="n"/>
      <c r="CS38" s="306" t="n"/>
      <c r="CT38" s="306" t="n"/>
      <c r="CU38" s="306" t="n"/>
      <c r="CV38" s="306" t="n"/>
      <c r="CW38" s="306" t="n"/>
      <c r="CX38" s="306" t="n"/>
      <c r="CY38" s="306" t="n"/>
      <c r="CZ38" s="306" t="n"/>
      <c r="DA38" s="306" t="n"/>
      <c r="DB38" s="306" t="n"/>
      <c r="DC38" s="306" t="n"/>
      <c r="DD38" s="306" t="n"/>
      <c r="DE38" s="306" t="n"/>
      <c r="DF38" s="306" t="n"/>
      <c r="DG38" s="306" t="n"/>
      <c r="DH38" s="306" t="n"/>
      <c r="DI38" s="306" t="n"/>
      <c r="DJ38" s="306" t="n"/>
      <c r="DK38" s="306" t="n"/>
      <c r="DL38" s="306" t="n"/>
      <c r="DM38" s="306" t="n"/>
      <c r="DN38" s="306" t="n"/>
      <c r="DO38" s="306" t="n"/>
      <c r="DP38" s="306" t="n"/>
      <c r="DQ38" s="306" t="n"/>
      <c r="DR38" s="306" t="n"/>
      <c r="DS38" s="306" t="n"/>
      <c r="DT38" s="306" t="n"/>
      <c r="DU38" s="306" t="n"/>
      <c r="DV38" s="306" t="n"/>
      <c r="DW38" s="306" t="n"/>
      <c r="DX38" s="306" t="n"/>
      <c r="DY38" s="306" t="n"/>
      <c r="DZ38" s="306" t="n"/>
      <c r="EA38" s="306" t="n"/>
      <c r="EB38" s="306" t="n"/>
      <c r="EC38" s="306" t="n"/>
      <c r="ED38" s="306" t="n"/>
      <c r="EE38" s="306" t="n"/>
      <c r="EF38" s="306" t="n"/>
      <c r="EG38" s="306" t="n"/>
      <c r="EH38" s="306" t="n"/>
      <c r="EI38" s="306" t="n"/>
      <c r="EJ38" s="306" t="n"/>
      <c r="EK38" s="306" t="n"/>
      <c r="EL38" s="306" t="n"/>
      <c r="EM38" s="306" t="n"/>
      <c r="EN38" s="306" t="n"/>
      <c r="EO38" s="306" t="n"/>
      <c r="EP38" s="306" t="n"/>
      <c r="EQ38" s="306" t="n"/>
      <c r="ER38" s="306" t="n"/>
      <c r="ES38" s="306" t="n"/>
      <c r="ET38" s="306" t="n"/>
      <c r="EU38" s="306" t="n"/>
      <c r="EV38" s="306" t="n"/>
      <c r="EW38" s="306" t="n"/>
      <c r="EX38" s="306" t="n"/>
      <c r="EY38" s="306" t="n"/>
      <c r="EZ38" s="306" t="n"/>
      <c r="FA38" s="306" t="n"/>
      <c r="FB38" s="306" t="n"/>
      <c r="FC38" s="306" t="n"/>
      <c r="FD38" s="306" t="n"/>
      <c r="FE38" s="306" t="n"/>
      <c r="FF38" s="306" t="n"/>
      <c r="FG38" s="306" t="n"/>
      <c r="FH38" s="306" t="n"/>
      <c r="FI38" s="306" t="n"/>
      <c r="FJ38" s="306" t="n"/>
      <c r="FK38" s="306" t="n"/>
      <c r="FL38" s="306" t="n"/>
      <c r="FM38" s="306" t="n"/>
      <c r="FN38" s="306" t="n"/>
      <c r="FO38" s="306" t="n"/>
      <c r="FP38" s="306" t="n"/>
      <c r="FQ38" s="306" t="n"/>
      <c r="FR38" s="306" t="n"/>
      <c r="FS38" s="306" t="n"/>
      <c r="FT38" s="306" t="n"/>
      <c r="FU38" s="306" t="n"/>
      <c r="FV38" s="306" t="n"/>
      <c r="FW38" s="306" t="n"/>
      <c r="FX38" s="306" t="n"/>
      <c r="FY38" s="306" t="n"/>
      <c r="FZ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  <c r="T39" s="306" t="n"/>
      <c r="U39" s="306" t="n"/>
      <c r="V39" s="306" t="n"/>
      <c r="W39" s="306" t="n"/>
      <c r="X39" s="306" t="n"/>
      <c r="Y39" s="306" t="n"/>
      <c r="Z39" s="306" t="n"/>
      <c r="AA39" s="306" t="n"/>
      <c r="AB39" s="306" t="n"/>
      <c r="AC39" s="306" t="n"/>
      <c r="AD39" s="306" t="n"/>
      <c r="AE39" s="306" t="n"/>
      <c r="AF39" s="306" t="n"/>
      <c r="AG39" s="306" t="n"/>
      <c r="AH39" s="306" t="n"/>
      <c r="AI39" s="306" t="n"/>
      <c r="AJ39" s="306" t="n"/>
      <c r="AK39" s="306" t="n"/>
      <c r="AL39" s="306" t="n"/>
      <c r="AM39" s="306" t="n"/>
      <c r="AN39" s="306" t="n"/>
      <c r="AO39" s="306" t="n"/>
      <c r="AP39" s="306" t="n"/>
      <c r="AQ39" s="306" t="n"/>
      <c r="AR39" s="306" t="n"/>
      <c r="AS39" s="306" t="n"/>
      <c r="AT39" s="306" t="n"/>
      <c r="AU39" s="306" t="n"/>
      <c r="AV39" s="306" t="n"/>
      <c r="AW39" s="306" t="n"/>
      <c r="AX39" s="306" t="n"/>
      <c r="AY39" s="306" t="n"/>
      <c r="AZ39" s="306" t="n"/>
      <c r="BA39" s="306" t="n"/>
      <c r="BB39" s="306" t="n"/>
      <c r="BC39" s="306" t="n"/>
      <c r="BD39" s="306" t="n"/>
      <c r="BE39" s="306" t="n"/>
      <c r="BF39" s="306" t="n"/>
      <c r="BG39" s="306" t="n"/>
      <c r="BH39" s="306" t="n"/>
      <c r="BI39" s="306" t="n"/>
      <c r="BJ39" s="306" t="n"/>
      <c r="BK39" s="306" t="n"/>
      <c r="BL39" s="306" t="n"/>
      <c r="BM39" s="306" t="n"/>
      <c r="BN39" s="306" t="n"/>
      <c r="BO39" s="306" t="n"/>
      <c r="BP39" s="306" t="n"/>
      <c r="BQ39" s="306" t="n"/>
      <c r="BR39" s="306" t="n"/>
      <c r="BS39" s="306" t="n"/>
      <c r="BT39" s="306" t="n"/>
      <c r="BU39" s="306" t="n"/>
      <c r="BV39" s="306" t="n"/>
      <c r="BW39" s="306" t="n"/>
      <c r="BX39" s="306" t="n"/>
      <c r="BY39" s="306" t="n"/>
      <c r="BZ39" s="306" t="n"/>
      <c r="CA39" s="306" t="n"/>
      <c r="CB39" s="306" t="n"/>
      <c r="CC39" s="306" t="n"/>
      <c r="CD39" s="306" t="n"/>
      <c r="CE39" s="306" t="n"/>
      <c r="CF39" s="306" t="n"/>
      <c r="CG39" s="306" t="n"/>
      <c r="CH39" s="306" t="n"/>
      <c r="CI39" s="306" t="n"/>
      <c r="CJ39" s="306" t="n"/>
      <c r="CK39" s="306" t="n"/>
      <c r="CL39" s="306" t="n"/>
      <c r="CM39" s="306" t="n"/>
      <c r="CN39" s="306" t="n"/>
      <c r="CO39" s="306" t="n"/>
      <c r="CP39" s="306" t="n"/>
      <c r="CQ39" s="306" t="n"/>
      <c r="CR39" s="306" t="n"/>
      <c r="CS39" s="306" t="n"/>
      <c r="CT39" s="306" t="n"/>
      <c r="CU39" s="306" t="n"/>
      <c r="CV39" s="306" t="n"/>
      <c r="CW39" s="306" t="n"/>
      <c r="CX39" s="306" t="n"/>
      <c r="CY39" s="306" t="n"/>
      <c r="CZ39" s="306" t="n"/>
      <c r="DA39" s="306" t="n"/>
      <c r="DB39" s="306" t="n"/>
      <c r="DC39" s="306" t="n"/>
      <c r="DD39" s="306" t="n"/>
      <c r="DE39" s="306" t="n"/>
      <c r="DF39" s="306" t="n"/>
      <c r="DG39" s="306" t="n"/>
      <c r="DH39" s="306" t="n"/>
      <c r="DI39" s="306" t="n"/>
      <c r="DJ39" s="306" t="n"/>
      <c r="DK39" s="306" t="n"/>
      <c r="DL39" s="306" t="n"/>
      <c r="DM39" s="306" t="n"/>
      <c r="DN39" s="306" t="n"/>
      <c r="DO39" s="306" t="n"/>
      <c r="DP39" s="306" t="n"/>
      <c r="DQ39" s="306" t="n"/>
      <c r="DR39" s="306" t="n"/>
      <c r="DS39" s="306" t="n"/>
      <c r="DT39" s="306" t="n"/>
      <c r="DU39" s="306" t="n"/>
      <c r="DV39" s="306" t="n"/>
      <c r="DW39" s="306" t="n"/>
      <c r="DX39" s="306" t="n"/>
      <c r="DY39" s="306" t="n"/>
      <c r="DZ39" s="306" t="n"/>
      <c r="EA39" s="306" t="n"/>
      <c r="EB39" s="306" t="n"/>
      <c r="EC39" s="306" t="n"/>
      <c r="ED39" s="306" t="n"/>
      <c r="EE39" s="306" t="n"/>
      <c r="EF39" s="306" t="n"/>
      <c r="EG39" s="306" t="n"/>
      <c r="EH39" s="306" t="n"/>
      <c r="EI39" s="306" t="n"/>
      <c r="EJ39" s="306" t="n"/>
      <c r="EK39" s="306" t="n"/>
      <c r="EL39" s="306" t="n"/>
      <c r="EM39" s="306" t="n"/>
      <c r="EN39" s="306" t="n"/>
      <c r="EO39" s="306" t="n"/>
      <c r="EP39" s="306" t="n"/>
      <c r="EQ39" s="306" t="n"/>
      <c r="ER39" s="306" t="n"/>
      <c r="ES39" s="306" t="n"/>
      <c r="ET39" s="306" t="n"/>
      <c r="EU39" s="306" t="n"/>
      <c r="EV39" s="306" t="n"/>
      <c r="EW39" s="306" t="n"/>
      <c r="EX39" s="306" t="n"/>
      <c r="EY39" s="306" t="n"/>
      <c r="EZ39" s="306" t="n"/>
      <c r="FA39" s="306" t="n"/>
      <c r="FB39" s="306" t="n"/>
      <c r="FC39" s="306" t="n"/>
      <c r="FD39" s="306" t="n"/>
      <c r="FE39" s="306" t="n"/>
      <c r="FF39" s="306" t="n"/>
      <c r="FG39" s="306" t="n"/>
      <c r="FH39" s="306" t="n"/>
      <c r="FI39" s="306" t="n"/>
      <c r="FJ39" s="306" t="n"/>
      <c r="FK39" s="306" t="n"/>
      <c r="FL39" s="306" t="n"/>
      <c r="FM39" s="306" t="n"/>
      <c r="FN39" s="306" t="n"/>
      <c r="FO39" s="306" t="n"/>
      <c r="FP39" s="306" t="n"/>
      <c r="FQ39" s="306" t="n"/>
      <c r="FR39" s="306" t="n"/>
      <c r="FS39" s="306" t="n"/>
      <c r="FT39" s="306" t="n"/>
      <c r="FU39" s="306" t="n"/>
      <c r="FV39" s="306" t="n"/>
      <c r="FW39" s="306" t="n"/>
      <c r="FX39" s="306" t="n"/>
      <c r="FY39" s="306" t="n"/>
      <c r="FZ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Z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0" customWidth="1" style="306" min="2" max="181"/>
  </cols>
  <sheetData>
    <row r="1" ht="15.75" customHeight="1" s="307">
      <c r="A1" s="692" t="inlineStr">
        <is>
          <t>MONTHLY P&amp;L  |  8 deals @ $24M ARR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6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06" t="n"/>
      <c r="AO1" s="306" t="n"/>
      <c r="AP1" s="306" t="n"/>
      <c r="AQ1" s="306" t="n"/>
      <c r="AR1" s="306" t="n"/>
      <c r="AS1" s="306" t="n"/>
      <c r="AT1" s="306" t="n"/>
      <c r="AU1" s="306" t="n"/>
      <c r="AV1" s="306" t="n"/>
      <c r="AW1" s="306" t="n"/>
      <c r="AX1" s="306" t="n"/>
      <c r="AY1" s="306" t="n"/>
      <c r="AZ1" s="306" t="n"/>
      <c r="BA1" s="306" t="n"/>
      <c r="BB1" s="306" t="n"/>
      <c r="BC1" s="306" t="n"/>
      <c r="BD1" s="306" t="n"/>
      <c r="BE1" s="306" t="n"/>
      <c r="BF1" s="306" t="n"/>
      <c r="BG1" s="306" t="n"/>
      <c r="BH1" s="306" t="n"/>
      <c r="BI1" s="306" t="n"/>
      <c r="BJ1" s="306" t="n"/>
      <c r="BK1" s="306" t="n"/>
      <c r="BL1" s="306" t="n"/>
      <c r="BM1" s="306" t="n"/>
      <c r="BN1" s="306" t="n"/>
      <c r="BO1" s="306" t="n"/>
      <c r="BP1" s="306" t="n"/>
      <c r="BQ1" s="306" t="n"/>
      <c r="BR1" s="306" t="n"/>
      <c r="BS1" s="306" t="n"/>
      <c r="BT1" s="306" t="n"/>
      <c r="BU1" s="306" t="n"/>
      <c r="BV1" s="306" t="n"/>
      <c r="BW1" s="306" t="n"/>
      <c r="BX1" s="306" t="n"/>
      <c r="BY1" s="306" t="n"/>
      <c r="BZ1" s="306" t="n"/>
      <c r="CA1" s="306" t="n"/>
      <c r="CB1" s="306" t="n"/>
      <c r="CC1" s="306" t="n"/>
      <c r="CD1" s="306" t="n"/>
      <c r="CE1" s="306" t="n"/>
      <c r="CF1" s="306" t="n"/>
      <c r="CG1" s="306" t="n"/>
      <c r="CH1" s="306" t="n"/>
      <c r="CI1" s="306" t="n"/>
      <c r="CJ1" s="306" t="n"/>
      <c r="CK1" s="306" t="n"/>
      <c r="CL1" s="306" t="n"/>
      <c r="CM1" s="306" t="n"/>
      <c r="CN1" s="306" t="n"/>
      <c r="CO1" s="306" t="n"/>
      <c r="CP1" s="306" t="n"/>
      <c r="CQ1" s="306" t="n"/>
      <c r="CR1" s="306" t="n"/>
      <c r="CS1" s="306" t="n"/>
      <c r="CT1" s="306" t="n"/>
      <c r="CU1" s="306" t="n"/>
      <c r="CV1" s="306" t="n"/>
      <c r="CW1" s="306" t="n"/>
      <c r="CX1" s="306" t="n"/>
      <c r="CY1" s="306" t="n"/>
      <c r="CZ1" s="306" t="n"/>
      <c r="DA1" s="306" t="n"/>
      <c r="DB1" s="306" t="n"/>
      <c r="DC1" s="306" t="n"/>
      <c r="DD1" s="306" t="n"/>
      <c r="DE1" s="306" t="n"/>
      <c r="DF1" s="306" t="n"/>
      <c r="DG1" s="306" t="n"/>
      <c r="DH1" s="306" t="n"/>
      <c r="DI1" s="306" t="n"/>
      <c r="DJ1" s="306" t="n"/>
      <c r="DK1" s="306" t="n"/>
      <c r="DL1" s="306" t="n"/>
      <c r="DM1" s="306" t="n"/>
      <c r="DN1" s="306" t="n"/>
      <c r="DO1" s="306" t="n"/>
      <c r="DP1" s="306" t="n"/>
      <c r="DQ1" s="306" t="n"/>
      <c r="DR1" s="306" t="n"/>
      <c r="DS1" s="306" t="n"/>
      <c r="DT1" s="306" t="n"/>
      <c r="DU1" s="306" t="n"/>
      <c r="DV1" s="306" t="n"/>
      <c r="DW1" s="306" t="n"/>
      <c r="DX1" s="306" t="n"/>
      <c r="DY1" s="306" t="n"/>
      <c r="DZ1" s="306" t="n"/>
      <c r="EA1" s="306" t="n"/>
      <c r="EB1" s="306" t="n"/>
      <c r="EC1" s="306" t="n"/>
      <c r="ED1" s="306" t="n"/>
      <c r="EE1" s="306" t="n"/>
      <c r="EF1" s="306" t="n"/>
      <c r="EG1" s="306" t="n"/>
      <c r="EH1" s="306" t="n"/>
      <c r="EI1" s="306" t="n"/>
      <c r="EJ1" s="306" t="n"/>
      <c r="EK1" s="306" t="n"/>
      <c r="EL1" s="306" t="n"/>
      <c r="EM1" s="306" t="n"/>
      <c r="EN1" s="306" t="n"/>
      <c r="EO1" s="306" t="n"/>
      <c r="EP1" s="306" t="n"/>
      <c r="EQ1" s="306" t="n"/>
      <c r="ER1" s="306" t="n"/>
      <c r="ES1" s="306" t="n"/>
      <c r="ET1" s="306" t="n"/>
      <c r="EU1" s="306" t="n"/>
      <c r="EV1" s="306" t="n"/>
      <c r="EW1" s="306" t="n"/>
      <c r="EX1" s="306" t="n"/>
      <c r="EY1" s="306" t="n"/>
      <c r="EZ1" s="306" t="n"/>
      <c r="FA1" s="306" t="n"/>
      <c r="FB1" s="306" t="n"/>
      <c r="FC1" s="306" t="n"/>
      <c r="FD1" s="306" t="n"/>
      <c r="FE1" s="306" t="n"/>
      <c r="FF1" s="306" t="n"/>
      <c r="FG1" s="306" t="n"/>
      <c r="FH1" s="306" t="n"/>
      <c r="FI1" s="306" t="n"/>
      <c r="FJ1" s="306" t="n"/>
      <c r="FK1" s="306" t="n"/>
      <c r="FL1" s="306" t="n"/>
      <c r="FM1" s="306" t="n"/>
      <c r="FN1" s="306" t="n"/>
      <c r="FO1" s="306" t="n"/>
      <c r="FP1" s="306" t="n"/>
      <c r="FQ1" s="306" t="n"/>
      <c r="FR1" s="306" t="n"/>
      <c r="FS1" s="306" t="n"/>
      <c r="FT1" s="306" t="n"/>
      <c r="FU1" s="306" t="n"/>
      <c r="FV1" s="306" t="n"/>
      <c r="FW1" s="306" t="n"/>
      <c r="FX1" s="306" t="n"/>
      <c r="FY1" s="306" t="n"/>
      <c r="FZ1" s="306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  <c r="T2" s="306" t="n"/>
      <c r="U2" s="306" t="n"/>
      <c r="V2" s="306" t="n"/>
      <c r="W2" s="306" t="n"/>
      <c r="X2" s="306" t="n"/>
      <c r="Y2" s="306" t="n"/>
      <c r="Z2" s="306" t="n"/>
      <c r="AA2" s="306" t="n"/>
      <c r="AB2" s="306" t="n"/>
      <c r="AC2" s="306" t="n"/>
      <c r="AD2" s="306" t="n"/>
      <c r="AE2" s="306" t="n"/>
      <c r="AF2" s="306" t="n"/>
      <c r="AG2" s="306" t="n"/>
      <c r="AH2" s="306" t="n"/>
      <c r="AI2" s="306" t="n"/>
      <c r="AJ2" s="306" t="n"/>
      <c r="AK2" s="306" t="n"/>
      <c r="AL2" s="306" t="n"/>
      <c r="AM2" s="306" t="n"/>
      <c r="AN2" s="306" t="n"/>
      <c r="AO2" s="306" t="n"/>
      <c r="AP2" s="306" t="n"/>
      <c r="AQ2" s="306" t="n"/>
      <c r="AR2" s="306" t="n"/>
      <c r="AS2" s="306" t="n"/>
      <c r="AT2" s="306" t="n"/>
      <c r="AU2" s="306" t="n"/>
      <c r="AV2" s="306" t="n"/>
      <c r="AW2" s="306" t="n"/>
      <c r="AX2" s="306" t="n"/>
      <c r="AY2" s="306" t="n"/>
      <c r="AZ2" s="306" t="n"/>
      <c r="BA2" s="306" t="n"/>
      <c r="BB2" s="306" t="n"/>
      <c r="BC2" s="306" t="n"/>
      <c r="BD2" s="306" t="n"/>
      <c r="BE2" s="306" t="n"/>
      <c r="BF2" s="306" t="n"/>
      <c r="BG2" s="306" t="n"/>
      <c r="BH2" s="306" t="n"/>
      <c r="BI2" s="306" t="n"/>
      <c r="BJ2" s="306" t="n"/>
      <c r="BK2" s="306" t="n"/>
      <c r="BL2" s="306" t="n"/>
      <c r="BM2" s="306" t="n"/>
      <c r="BN2" s="306" t="n"/>
      <c r="BO2" s="306" t="n"/>
      <c r="BP2" s="306" t="n"/>
      <c r="BQ2" s="306" t="n"/>
      <c r="BR2" s="306" t="n"/>
      <c r="BS2" s="306" t="n"/>
      <c r="BT2" s="306" t="n"/>
      <c r="BU2" s="306" t="n"/>
      <c r="BV2" s="306" t="n"/>
      <c r="BW2" s="306" t="n"/>
      <c r="BX2" s="306" t="n"/>
      <c r="BY2" s="306" t="n"/>
      <c r="BZ2" s="306" t="n"/>
      <c r="CA2" s="306" t="n"/>
      <c r="CB2" s="306" t="n"/>
      <c r="CC2" s="306" t="n"/>
      <c r="CD2" s="306" t="n"/>
      <c r="CE2" s="306" t="n"/>
      <c r="CF2" s="306" t="n"/>
      <c r="CG2" s="306" t="n"/>
      <c r="CH2" s="306" t="n"/>
      <c r="CI2" s="306" t="n"/>
      <c r="CJ2" s="306" t="n"/>
      <c r="CK2" s="306" t="n"/>
      <c r="CL2" s="306" t="n"/>
      <c r="CM2" s="306" t="n"/>
      <c r="CN2" s="306" t="n"/>
      <c r="CO2" s="306" t="n"/>
      <c r="CP2" s="306" t="n"/>
      <c r="CQ2" s="306" t="n"/>
      <c r="CR2" s="306" t="n"/>
      <c r="CS2" s="306" t="n"/>
      <c r="CT2" s="306" t="n"/>
      <c r="CU2" s="306" t="n"/>
      <c r="CV2" s="306" t="n"/>
      <c r="CW2" s="306" t="n"/>
      <c r="CX2" s="306" t="n"/>
      <c r="CY2" s="306" t="n"/>
      <c r="CZ2" s="306" t="n"/>
      <c r="DA2" s="306" t="n"/>
      <c r="DB2" s="306" t="n"/>
      <c r="DC2" s="306" t="n"/>
      <c r="DD2" s="306" t="n"/>
      <c r="DE2" s="306" t="n"/>
      <c r="DF2" s="306" t="n"/>
      <c r="DG2" s="306" t="n"/>
      <c r="DH2" s="306" t="n"/>
      <c r="DI2" s="306" t="n"/>
      <c r="DJ2" s="306" t="n"/>
      <c r="DK2" s="306" t="n"/>
      <c r="DL2" s="306" t="n"/>
      <c r="DM2" s="306" t="n"/>
      <c r="DN2" s="306" t="n"/>
      <c r="DO2" s="306" t="n"/>
      <c r="DP2" s="306" t="n"/>
      <c r="DQ2" s="306" t="n"/>
      <c r="DR2" s="306" t="n"/>
      <c r="DS2" s="306" t="n"/>
      <c r="DT2" s="306" t="n"/>
      <c r="DU2" s="306" t="n"/>
      <c r="DV2" s="306" t="n"/>
      <c r="DW2" s="306" t="n"/>
      <c r="DX2" s="306" t="n"/>
      <c r="DY2" s="306" t="n"/>
      <c r="DZ2" s="306" t="n"/>
      <c r="EA2" s="306" t="n"/>
      <c r="EB2" s="306" t="n"/>
      <c r="EC2" s="306" t="n"/>
      <c r="ED2" s="306" t="n"/>
      <c r="EE2" s="306" t="n"/>
      <c r="EF2" s="306" t="n"/>
      <c r="EG2" s="306" t="n"/>
      <c r="EH2" s="306" t="n"/>
      <c r="EI2" s="306" t="n"/>
      <c r="EJ2" s="306" t="n"/>
      <c r="EK2" s="306" t="n"/>
      <c r="EL2" s="306" t="n"/>
      <c r="EM2" s="306" t="n"/>
      <c r="EN2" s="306" t="n"/>
      <c r="EO2" s="306" t="n"/>
      <c r="EP2" s="306" t="n"/>
      <c r="EQ2" s="306" t="n"/>
      <c r="ER2" s="306" t="n"/>
      <c r="ES2" s="306" t="n"/>
      <c r="ET2" s="306" t="n"/>
      <c r="EU2" s="306" t="n"/>
      <c r="EV2" s="306" t="n"/>
      <c r="EW2" s="306" t="n"/>
      <c r="EX2" s="306" t="n"/>
      <c r="EY2" s="306" t="n"/>
      <c r="EZ2" s="306" t="n"/>
      <c r="FA2" s="306" t="n"/>
      <c r="FB2" s="306" t="n"/>
      <c r="FC2" s="306" t="n"/>
      <c r="FD2" s="306" t="n"/>
      <c r="FE2" s="306" t="n"/>
      <c r="FF2" s="306" t="n"/>
      <c r="FG2" s="306" t="n"/>
      <c r="FH2" s="306" t="n"/>
      <c r="FI2" s="306" t="n"/>
      <c r="FJ2" s="306" t="n"/>
      <c r="FK2" s="306" t="n"/>
      <c r="FL2" s="306" t="n"/>
      <c r="FM2" s="306" t="n"/>
      <c r="FN2" s="306" t="n"/>
      <c r="FO2" s="306" t="n"/>
      <c r="FP2" s="306" t="n"/>
      <c r="FQ2" s="306" t="n"/>
      <c r="FR2" s="306" t="n"/>
      <c r="FS2" s="306" t="n"/>
      <c r="FT2" s="306" t="n"/>
      <c r="FU2" s="306" t="n"/>
      <c r="FV2" s="306" t="n"/>
      <c r="FW2" s="306" t="n"/>
      <c r="FX2" s="306" t="n"/>
      <c r="FY2" s="306" t="n"/>
      <c r="FZ2" s="306" t="n"/>
    </row>
    <row r="3" ht="15" customHeight="1" s="307">
      <c r="A3" s="472" t="inlineStr">
        <is>
          <t>($mm)</t>
        </is>
      </c>
      <c r="B3" s="388" t="inlineStr">
        <is>
          <t>M1</t>
        </is>
      </c>
      <c r="C3" s="388" t="inlineStr">
        <is>
          <t>M2</t>
        </is>
      </c>
      <c r="D3" s="388" t="inlineStr">
        <is>
          <t>M3</t>
        </is>
      </c>
      <c r="E3" s="388" t="inlineStr">
        <is>
          <t>M4</t>
        </is>
      </c>
      <c r="F3" s="388" t="inlineStr">
        <is>
          <t>M5</t>
        </is>
      </c>
      <c r="G3" s="388" t="inlineStr">
        <is>
          <t>M6</t>
        </is>
      </c>
      <c r="H3" s="388" t="inlineStr">
        <is>
          <t>M7</t>
        </is>
      </c>
      <c r="I3" s="388" t="inlineStr">
        <is>
          <t>M8</t>
        </is>
      </c>
      <c r="J3" s="388" t="inlineStr">
        <is>
          <t>M9</t>
        </is>
      </c>
      <c r="K3" s="388" t="inlineStr">
        <is>
          <t>M10</t>
        </is>
      </c>
      <c r="L3" s="388" t="inlineStr">
        <is>
          <t>M11</t>
        </is>
      </c>
      <c r="M3" s="388" t="inlineStr">
        <is>
          <t>M12</t>
        </is>
      </c>
      <c r="N3" s="388" t="inlineStr">
        <is>
          <t>M13</t>
        </is>
      </c>
      <c r="O3" s="388" t="inlineStr">
        <is>
          <t>M14</t>
        </is>
      </c>
      <c r="P3" s="388" t="inlineStr">
        <is>
          <t>M15</t>
        </is>
      </c>
      <c r="Q3" s="388" t="inlineStr">
        <is>
          <t>M16</t>
        </is>
      </c>
      <c r="R3" s="388" t="inlineStr">
        <is>
          <t>M17</t>
        </is>
      </c>
      <c r="S3" s="388" t="inlineStr">
        <is>
          <t>M18</t>
        </is>
      </c>
      <c r="T3" s="388" t="inlineStr">
        <is>
          <t>M19</t>
        </is>
      </c>
      <c r="U3" s="388" t="inlineStr">
        <is>
          <t>M20</t>
        </is>
      </c>
      <c r="V3" s="388" t="inlineStr">
        <is>
          <t>M21</t>
        </is>
      </c>
      <c r="W3" s="388" t="inlineStr">
        <is>
          <t>M22</t>
        </is>
      </c>
      <c r="X3" s="388" t="inlineStr">
        <is>
          <t>M23</t>
        </is>
      </c>
      <c r="Y3" s="388" t="inlineStr">
        <is>
          <t>M24</t>
        </is>
      </c>
      <c r="Z3" s="388" t="inlineStr">
        <is>
          <t>M25</t>
        </is>
      </c>
      <c r="AA3" s="388" t="inlineStr">
        <is>
          <t>M26</t>
        </is>
      </c>
      <c r="AB3" s="388" t="inlineStr">
        <is>
          <t>M27</t>
        </is>
      </c>
      <c r="AC3" s="388" t="inlineStr">
        <is>
          <t>M28</t>
        </is>
      </c>
      <c r="AD3" s="388" t="inlineStr">
        <is>
          <t>M29</t>
        </is>
      </c>
      <c r="AE3" s="388" t="inlineStr">
        <is>
          <t>M30</t>
        </is>
      </c>
      <c r="AF3" s="388" t="inlineStr">
        <is>
          <t>M31</t>
        </is>
      </c>
      <c r="AG3" s="388" t="inlineStr">
        <is>
          <t>M32</t>
        </is>
      </c>
      <c r="AH3" s="388" t="inlineStr">
        <is>
          <t>M33</t>
        </is>
      </c>
      <c r="AI3" s="388" t="inlineStr">
        <is>
          <t>M34</t>
        </is>
      </c>
      <c r="AJ3" s="388" t="inlineStr">
        <is>
          <t>M35</t>
        </is>
      </c>
      <c r="AK3" s="388" t="inlineStr">
        <is>
          <t>M36</t>
        </is>
      </c>
      <c r="AL3" s="388" t="inlineStr">
        <is>
          <t>M37</t>
        </is>
      </c>
      <c r="AM3" s="388" t="inlineStr">
        <is>
          <t>M38</t>
        </is>
      </c>
      <c r="AN3" s="388" t="inlineStr">
        <is>
          <t>M39</t>
        </is>
      </c>
      <c r="AO3" s="388" t="inlineStr">
        <is>
          <t>M40</t>
        </is>
      </c>
      <c r="AP3" s="388" t="inlineStr">
        <is>
          <t>M41</t>
        </is>
      </c>
      <c r="AQ3" s="388" t="inlineStr">
        <is>
          <t>M42</t>
        </is>
      </c>
      <c r="AR3" s="388" t="inlineStr">
        <is>
          <t>M43</t>
        </is>
      </c>
      <c r="AS3" s="388" t="inlineStr">
        <is>
          <t>M44</t>
        </is>
      </c>
      <c r="AT3" s="388" t="inlineStr">
        <is>
          <t>M45</t>
        </is>
      </c>
      <c r="AU3" s="388" t="inlineStr">
        <is>
          <t>M46</t>
        </is>
      </c>
      <c r="AV3" s="388" t="inlineStr">
        <is>
          <t>M47</t>
        </is>
      </c>
      <c r="AW3" s="388" t="inlineStr">
        <is>
          <t>M48</t>
        </is>
      </c>
      <c r="AX3" s="388" t="inlineStr">
        <is>
          <t>M49</t>
        </is>
      </c>
      <c r="AY3" s="388" t="inlineStr">
        <is>
          <t>M50</t>
        </is>
      </c>
      <c r="AZ3" s="388" t="inlineStr">
        <is>
          <t>M51</t>
        </is>
      </c>
      <c r="BA3" s="388" t="inlineStr">
        <is>
          <t>M52</t>
        </is>
      </c>
      <c r="BB3" s="388" t="inlineStr">
        <is>
          <t>M53</t>
        </is>
      </c>
      <c r="BC3" s="388" t="inlineStr">
        <is>
          <t>M54</t>
        </is>
      </c>
      <c r="BD3" s="388" t="inlineStr">
        <is>
          <t>M55</t>
        </is>
      </c>
      <c r="BE3" s="388" t="inlineStr">
        <is>
          <t>M56</t>
        </is>
      </c>
      <c r="BF3" s="388" t="inlineStr">
        <is>
          <t>M57</t>
        </is>
      </c>
      <c r="BG3" s="388" t="inlineStr">
        <is>
          <t>M58</t>
        </is>
      </c>
      <c r="BH3" s="388" t="inlineStr">
        <is>
          <t>M59</t>
        </is>
      </c>
      <c r="BI3" s="388" t="inlineStr">
        <is>
          <t>M60</t>
        </is>
      </c>
      <c r="BJ3" s="388" t="inlineStr">
        <is>
          <t>M61</t>
        </is>
      </c>
      <c r="BK3" s="388" t="inlineStr">
        <is>
          <t>M62</t>
        </is>
      </c>
      <c r="BL3" s="388" t="inlineStr">
        <is>
          <t>M63</t>
        </is>
      </c>
      <c r="BM3" s="388" t="inlineStr">
        <is>
          <t>M64</t>
        </is>
      </c>
      <c r="BN3" s="388" t="inlineStr">
        <is>
          <t>M65</t>
        </is>
      </c>
      <c r="BO3" s="388" t="inlineStr">
        <is>
          <t>M66</t>
        </is>
      </c>
      <c r="BP3" s="388" t="inlineStr">
        <is>
          <t>M67</t>
        </is>
      </c>
      <c r="BQ3" s="388" t="inlineStr">
        <is>
          <t>M68</t>
        </is>
      </c>
      <c r="BR3" s="388" t="inlineStr">
        <is>
          <t>M69</t>
        </is>
      </c>
      <c r="BS3" s="388" t="inlineStr">
        <is>
          <t>M70</t>
        </is>
      </c>
      <c r="BT3" s="388" t="inlineStr">
        <is>
          <t>M71</t>
        </is>
      </c>
      <c r="BU3" s="388" t="inlineStr">
        <is>
          <t>M72</t>
        </is>
      </c>
      <c r="BV3" s="388" t="inlineStr">
        <is>
          <t>M73</t>
        </is>
      </c>
      <c r="BW3" s="388" t="inlineStr">
        <is>
          <t>M74</t>
        </is>
      </c>
      <c r="BX3" s="388" t="inlineStr">
        <is>
          <t>M75</t>
        </is>
      </c>
      <c r="BY3" s="388" t="inlineStr">
        <is>
          <t>M76</t>
        </is>
      </c>
      <c r="BZ3" s="388" t="inlineStr">
        <is>
          <t>M77</t>
        </is>
      </c>
      <c r="CA3" s="388" t="inlineStr">
        <is>
          <t>M78</t>
        </is>
      </c>
      <c r="CB3" s="388" t="inlineStr">
        <is>
          <t>M79</t>
        </is>
      </c>
      <c r="CC3" s="388" t="inlineStr">
        <is>
          <t>M80</t>
        </is>
      </c>
      <c r="CD3" s="388" t="inlineStr">
        <is>
          <t>M81</t>
        </is>
      </c>
      <c r="CE3" s="388" t="inlineStr">
        <is>
          <t>M82</t>
        </is>
      </c>
      <c r="CF3" s="388" t="inlineStr">
        <is>
          <t>M83</t>
        </is>
      </c>
      <c r="CG3" s="388" t="inlineStr">
        <is>
          <t>M84</t>
        </is>
      </c>
      <c r="CH3" s="388" t="inlineStr">
        <is>
          <t>M85</t>
        </is>
      </c>
      <c r="CI3" s="388" t="inlineStr">
        <is>
          <t>M86</t>
        </is>
      </c>
      <c r="CJ3" s="388" t="inlineStr">
        <is>
          <t>M87</t>
        </is>
      </c>
      <c r="CK3" s="388" t="inlineStr">
        <is>
          <t>M88</t>
        </is>
      </c>
      <c r="CL3" s="388" t="inlineStr">
        <is>
          <t>M89</t>
        </is>
      </c>
      <c r="CM3" s="388" t="inlineStr">
        <is>
          <t>M90</t>
        </is>
      </c>
      <c r="CN3" s="388" t="inlineStr">
        <is>
          <t>M91</t>
        </is>
      </c>
      <c r="CO3" s="388" t="inlineStr">
        <is>
          <t>M92</t>
        </is>
      </c>
      <c r="CP3" s="388" t="inlineStr">
        <is>
          <t>M93</t>
        </is>
      </c>
      <c r="CQ3" s="388" t="inlineStr">
        <is>
          <t>M94</t>
        </is>
      </c>
      <c r="CR3" s="388" t="inlineStr">
        <is>
          <t>M95</t>
        </is>
      </c>
      <c r="CS3" s="388" t="inlineStr">
        <is>
          <t>M96</t>
        </is>
      </c>
      <c r="CT3" s="388" t="inlineStr">
        <is>
          <t>M97</t>
        </is>
      </c>
      <c r="CU3" s="388" t="inlineStr">
        <is>
          <t>M98</t>
        </is>
      </c>
      <c r="CV3" s="388" t="inlineStr">
        <is>
          <t>M99</t>
        </is>
      </c>
      <c r="CW3" s="388" t="inlineStr">
        <is>
          <t>M100</t>
        </is>
      </c>
      <c r="CX3" s="388" t="inlineStr">
        <is>
          <t>M101</t>
        </is>
      </c>
      <c r="CY3" s="388" t="inlineStr">
        <is>
          <t>M102</t>
        </is>
      </c>
      <c r="CZ3" s="388" t="inlineStr">
        <is>
          <t>M103</t>
        </is>
      </c>
      <c r="DA3" s="388" t="inlineStr">
        <is>
          <t>M104</t>
        </is>
      </c>
      <c r="DB3" s="388" t="inlineStr">
        <is>
          <t>M105</t>
        </is>
      </c>
      <c r="DC3" s="388" t="inlineStr">
        <is>
          <t>M106</t>
        </is>
      </c>
      <c r="DD3" s="388" t="inlineStr">
        <is>
          <t>M107</t>
        </is>
      </c>
      <c r="DE3" s="388" t="inlineStr">
        <is>
          <t>M108</t>
        </is>
      </c>
      <c r="DF3" s="388" t="inlineStr">
        <is>
          <t>M109</t>
        </is>
      </c>
      <c r="DG3" s="388" t="inlineStr">
        <is>
          <t>M110</t>
        </is>
      </c>
      <c r="DH3" s="388" t="inlineStr">
        <is>
          <t>M111</t>
        </is>
      </c>
      <c r="DI3" s="388" t="inlineStr">
        <is>
          <t>M112</t>
        </is>
      </c>
      <c r="DJ3" s="388" t="inlineStr">
        <is>
          <t>M113</t>
        </is>
      </c>
      <c r="DK3" s="388" t="inlineStr">
        <is>
          <t>M114</t>
        </is>
      </c>
      <c r="DL3" s="388" t="inlineStr">
        <is>
          <t>M115</t>
        </is>
      </c>
      <c r="DM3" s="388" t="inlineStr">
        <is>
          <t>M116</t>
        </is>
      </c>
      <c r="DN3" s="388" t="inlineStr">
        <is>
          <t>M117</t>
        </is>
      </c>
      <c r="DO3" s="388" t="inlineStr">
        <is>
          <t>M118</t>
        </is>
      </c>
      <c r="DP3" s="388" t="inlineStr">
        <is>
          <t>M119</t>
        </is>
      </c>
      <c r="DQ3" s="388" t="inlineStr">
        <is>
          <t>M120</t>
        </is>
      </c>
      <c r="DR3" s="388" t="inlineStr">
        <is>
          <t>M121</t>
        </is>
      </c>
      <c r="DS3" s="388" t="inlineStr">
        <is>
          <t>M122</t>
        </is>
      </c>
      <c r="DT3" s="388" t="inlineStr">
        <is>
          <t>M123</t>
        </is>
      </c>
      <c r="DU3" s="388" t="inlineStr">
        <is>
          <t>M124</t>
        </is>
      </c>
      <c r="DV3" s="388" t="inlineStr">
        <is>
          <t>M125</t>
        </is>
      </c>
      <c r="DW3" s="388" t="inlineStr">
        <is>
          <t>M126</t>
        </is>
      </c>
      <c r="DX3" s="388" t="inlineStr">
        <is>
          <t>M127</t>
        </is>
      </c>
      <c r="DY3" s="388" t="inlineStr">
        <is>
          <t>M128</t>
        </is>
      </c>
      <c r="DZ3" s="388" t="inlineStr">
        <is>
          <t>M129</t>
        </is>
      </c>
      <c r="EA3" s="388" t="inlineStr">
        <is>
          <t>M130</t>
        </is>
      </c>
      <c r="EB3" s="388" t="inlineStr">
        <is>
          <t>M131</t>
        </is>
      </c>
      <c r="EC3" s="388" t="inlineStr">
        <is>
          <t>M132</t>
        </is>
      </c>
      <c r="ED3" s="388" t="inlineStr">
        <is>
          <t>M133</t>
        </is>
      </c>
      <c r="EE3" s="388" t="inlineStr">
        <is>
          <t>M134</t>
        </is>
      </c>
      <c r="EF3" s="388" t="inlineStr">
        <is>
          <t>M135</t>
        </is>
      </c>
      <c r="EG3" s="388" t="inlineStr">
        <is>
          <t>M136</t>
        </is>
      </c>
      <c r="EH3" s="388" t="inlineStr">
        <is>
          <t>M137</t>
        </is>
      </c>
      <c r="EI3" s="388" t="inlineStr">
        <is>
          <t>M138</t>
        </is>
      </c>
      <c r="EJ3" s="388" t="inlineStr">
        <is>
          <t>M139</t>
        </is>
      </c>
      <c r="EK3" s="388" t="inlineStr">
        <is>
          <t>M140</t>
        </is>
      </c>
      <c r="EL3" s="388" t="inlineStr">
        <is>
          <t>M141</t>
        </is>
      </c>
      <c r="EM3" s="388" t="inlineStr">
        <is>
          <t>M142</t>
        </is>
      </c>
      <c r="EN3" s="388" t="inlineStr">
        <is>
          <t>M143</t>
        </is>
      </c>
      <c r="EO3" s="388" t="inlineStr">
        <is>
          <t>M144</t>
        </is>
      </c>
      <c r="EP3" s="388" t="inlineStr">
        <is>
          <t>M145</t>
        </is>
      </c>
      <c r="EQ3" s="388" t="inlineStr">
        <is>
          <t>M146</t>
        </is>
      </c>
      <c r="ER3" s="388" t="inlineStr">
        <is>
          <t>M147</t>
        </is>
      </c>
      <c r="ES3" s="388" t="inlineStr">
        <is>
          <t>M148</t>
        </is>
      </c>
      <c r="ET3" s="388" t="inlineStr">
        <is>
          <t>M149</t>
        </is>
      </c>
      <c r="EU3" s="388" t="inlineStr">
        <is>
          <t>M150</t>
        </is>
      </c>
      <c r="EV3" s="388" t="inlineStr">
        <is>
          <t>M151</t>
        </is>
      </c>
      <c r="EW3" s="388" t="inlineStr">
        <is>
          <t>M152</t>
        </is>
      </c>
      <c r="EX3" s="388" t="inlineStr">
        <is>
          <t>M153</t>
        </is>
      </c>
      <c r="EY3" s="388" t="inlineStr">
        <is>
          <t>M154</t>
        </is>
      </c>
      <c r="EZ3" s="388" t="inlineStr">
        <is>
          <t>M155</t>
        </is>
      </c>
      <c r="FA3" s="388" t="inlineStr">
        <is>
          <t>M156</t>
        </is>
      </c>
      <c r="FB3" s="388" t="inlineStr">
        <is>
          <t>M157</t>
        </is>
      </c>
      <c r="FC3" s="388" t="inlineStr">
        <is>
          <t>M158</t>
        </is>
      </c>
      <c r="FD3" s="388" t="inlineStr">
        <is>
          <t>M159</t>
        </is>
      </c>
      <c r="FE3" s="388" t="inlineStr">
        <is>
          <t>M160</t>
        </is>
      </c>
      <c r="FF3" s="388" t="inlineStr">
        <is>
          <t>M161</t>
        </is>
      </c>
      <c r="FG3" s="388" t="inlineStr">
        <is>
          <t>M162</t>
        </is>
      </c>
      <c r="FH3" s="388" t="inlineStr">
        <is>
          <t>M163</t>
        </is>
      </c>
      <c r="FI3" s="388" t="inlineStr">
        <is>
          <t>M164</t>
        </is>
      </c>
      <c r="FJ3" s="388" t="inlineStr">
        <is>
          <t>M165</t>
        </is>
      </c>
      <c r="FK3" s="388" t="inlineStr">
        <is>
          <t>M166</t>
        </is>
      </c>
      <c r="FL3" s="388" t="inlineStr">
        <is>
          <t>M167</t>
        </is>
      </c>
      <c r="FM3" s="388" t="inlineStr">
        <is>
          <t>M168</t>
        </is>
      </c>
      <c r="FN3" s="388" t="inlineStr">
        <is>
          <t>M169</t>
        </is>
      </c>
      <c r="FO3" s="388" t="inlineStr">
        <is>
          <t>M170</t>
        </is>
      </c>
      <c r="FP3" s="388" t="inlineStr">
        <is>
          <t>M171</t>
        </is>
      </c>
      <c r="FQ3" s="388" t="inlineStr">
        <is>
          <t>M172</t>
        </is>
      </c>
      <c r="FR3" s="388" t="inlineStr">
        <is>
          <t>M173</t>
        </is>
      </c>
      <c r="FS3" s="388" t="inlineStr">
        <is>
          <t>M174</t>
        </is>
      </c>
      <c r="FT3" s="388" t="inlineStr">
        <is>
          <t>M175</t>
        </is>
      </c>
      <c r="FU3" s="388" t="inlineStr">
        <is>
          <t>M176</t>
        </is>
      </c>
      <c r="FV3" s="388" t="inlineStr">
        <is>
          <t>M177</t>
        </is>
      </c>
      <c r="FW3" s="388" t="inlineStr">
        <is>
          <t>M178</t>
        </is>
      </c>
      <c r="FX3" s="388" t="inlineStr">
        <is>
          <t>M179</t>
        </is>
      </c>
      <c r="FY3" s="388" t="inlineStr">
        <is>
          <t>M180</t>
        </is>
      </c>
      <c r="FZ3" s="306" t="n"/>
    </row>
    <row r="4" ht="15" customHeight="1" s="307">
      <c r="A4" s="306" t="n"/>
      <c r="B4" s="473" t="n"/>
      <c r="C4" s="306" t="n"/>
      <c r="D4" s="306" t="n"/>
      <c r="E4" s="306" t="n"/>
      <c r="F4" s="306" t="n"/>
      <c r="G4" s="306" t="n"/>
      <c r="H4" s="306" t="n"/>
      <c r="I4" s="306" t="n"/>
      <c r="J4" s="306" t="n"/>
      <c r="K4" s="306" t="n"/>
      <c r="L4" s="306" t="n"/>
      <c r="M4" s="306" t="n"/>
      <c r="N4" s="473" t="n"/>
      <c r="O4" s="306" t="n"/>
      <c r="P4" s="306" t="n"/>
      <c r="Q4" s="306" t="n"/>
      <c r="R4" s="306" t="n"/>
      <c r="S4" s="306" t="n"/>
      <c r="T4" s="306" t="n"/>
      <c r="U4" s="306" t="n"/>
      <c r="V4" s="306" t="n"/>
      <c r="W4" s="306" t="n"/>
      <c r="X4" s="306" t="n"/>
      <c r="Y4" s="306" t="n"/>
      <c r="Z4" s="473" t="n"/>
      <c r="AA4" s="306" t="n"/>
      <c r="AB4" s="306" t="n"/>
      <c r="AC4" s="306" t="n"/>
      <c r="AD4" s="306" t="n"/>
      <c r="AE4" s="306" t="n"/>
      <c r="AF4" s="306" t="n"/>
      <c r="AG4" s="306" t="n"/>
      <c r="AH4" s="306" t="n"/>
      <c r="AI4" s="306" t="n"/>
      <c r="AJ4" s="306" t="n"/>
      <c r="AK4" s="306" t="n"/>
      <c r="AL4" s="473" t="n"/>
      <c r="AM4" s="306" t="n"/>
      <c r="AN4" s="306" t="n"/>
      <c r="AO4" s="306" t="n"/>
      <c r="AP4" s="306" t="n"/>
      <c r="AQ4" s="306" t="n"/>
      <c r="AR4" s="306" t="n"/>
      <c r="AS4" s="306" t="n"/>
      <c r="AT4" s="306" t="n"/>
      <c r="AU4" s="306" t="n"/>
      <c r="AV4" s="306" t="n"/>
      <c r="AW4" s="306" t="n"/>
      <c r="AX4" s="473" t="n"/>
      <c r="AY4" s="306" t="n"/>
      <c r="AZ4" s="306" t="n"/>
      <c r="BA4" s="306" t="n"/>
      <c r="BB4" s="306" t="n"/>
      <c r="BC4" s="306" t="n"/>
      <c r="BD4" s="306" t="n"/>
      <c r="BE4" s="306" t="n"/>
      <c r="BF4" s="306" t="n"/>
      <c r="BG4" s="306" t="n"/>
      <c r="BH4" s="306" t="n"/>
      <c r="BI4" s="306" t="n"/>
      <c r="BJ4" s="473" t="n"/>
      <c r="BK4" s="306" t="n"/>
      <c r="BL4" s="306" t="n"/>
      <c r="BM4" s="306" t="n"/>
      <c r="BN4" s="306" t="n"/>
      <c r="BO4" s="306" t="n"/>
      <c r="BP4" s="306" t="n"/>
      <c r="BQ4" s="306" t="n"/>
      <c r="BR4" s="306" t="n"/>
      <c r="BS4" s="306" t="n"/>
      <c r="BT4" s="306" t="n"/>
      <c r="BU4" s="306" t="n"/>
      <c r="BV4" s="473" t="n"/>
      <c r="BW4" s="306" t="n"/>
      <c r="BX4" s="306" t="n"/>
      <c r="BY4" s="306" t="n"/>
      <c r="BZ4" s="306" t="n"/>
      <c r="CA4" s="306" t="n"/>
      <c r="CB4" s="306" t="n"/>
      <c r="CC4" s="306" t="n"/>
      <c r="CD4" s="306" t="n"/>
      <c r="CE4" s="306" t="n"/>
      <c r="CF4" s="306" t="n"/>
      <c r="CG4" s="306" t="n"/>
      <c r="CH4" s="473" t="n"/>
      <c r="CI4" s="306" t="n"/>
      <c r="CJ4" s="306" t="n"/>
      <c r="CK4" s="306" t="n"/>
      <c r="CL4" s="306" t="n"/>
      <c r="CM4" s="306" t="n"/>
      <c r="CN4" s="306" t="n"/>
      <c r="CO4" s="306" t="n"/>
      <c r="CP4" s="306" t="n"/>
      <c r="CQ4" s="306" t="n"/>
      <c r="CR4" s="306" t="n"/>
      <c r="CS4" s="306" t="n"/>
      <c r="CT4" s="473" t="n"/>
      <c r="CU4" s="306" t="n"/>
      <c r="CV4" s="306" t="n"/>
      <c r="CW4" s="306" t="n"/>
      <c r="CX4" s="306" t="n"/>
      <c r="CY4" s="306" t="n"/>
      <c r="CZ4" s="306" t="n"/>
      <c r="DA4" s="306" t="n"/>
      <c r="DB4" s="306" t="n"/>
      <c r="DC4" s="306" t="n"/>
      <c r="DD4" s="306" t="n"/>
      <c r="DE4" s="306" t="n"/>
      <c r="DF4" s="473" t="n"/>
      <c r="DG4" s="306" t="n"/>
      <c r="DH4" s="306" t="n"/>
      <c r="DI4" s="306" t="n"/>
      <c r="DJ4" s="306" t="n"/>
      <c r="DK4" s="306" t="n"/>
      <c r="DL4" s="306" t="n"/>
      <c r="DM4" s="306" t="n"/>
      <c r="DN4" s="306" t="n"/>
      <c r="DO4" s="306" t="n"/>
      <c r="DP4" s="306" t="n"/>
      <c r="DQ4" s="306" t="n"/>
      <c r="DR4" s="473" t="n"/>
      <c r="DS4" s="306" t="n"/>
      <c r="DT4" s="306" t="n"/>
      <c r="DU4" s="306" t="n"/>
      <c r="DV4" s="306" t="n"/>
      <c r="DW4" s="306" t="n"/>
      <c r="DX4" s="306" t="n"/>
      <c r="DY4" s="306" t="n"/>
      <c r="DZ4" s="306" t="n"/>
      <c r="EA4" s="306" t="n"/>
      <c r="EB4" s="306" t="n"/>
      <c r="EC4" s="306" t="n"/>
      <c r="ED4" s="473" t="n"/>
      <c r="EE4" s="306" t="n"/>
      <c r="EF4" s="306" t="n"/>
      <c r="EG4" s="306" t="n"/>
      <c r="EH4" s="306" t="n"/>
      <c r="EI4" s="306" t="n"/>
      <c r="EJ4" s="306" t="n"/>
      <c r="EK4" s="306" t="n"/>
      <c r="EL4" s="306" t="n"/>
      <c r="EM4" s="306" t="n"/>
      <c r="EN4" s="306" t="n"/>
      <c r="EO4" s="306" t="n"/>
      <c r="EP4" s="473" t="n"/>
      <c r="EQ4" s="306" t="n"/>
      <c r="ER4" s="306" t="n"/>
      <c r="ES4" s="306" t="n"/>
      <c r="ET4" s="306" t="n"/>
      <c r="EU4" s="306" t="n"/>
      <c r="EV4" s="306" t="n"/>
      <c r="EW4" s="306" t="n"/>
      <c r="EX4" s="306" t="n"/>
      <c r="EY4" s="306" t="n"/>
      <c r="EZ4" s="306" t="n"/>
      <c r="FA4" s="306" t="n"/>
      <c r="FB4" s="473" t="n"/>
      <c r="FC4" s="306" t="n"/>
      <c r="FD4" s="306" t="n"/>
      <c r="FE4" s="306" t="n"/>
      <c r="FF4" s="306" t="n"/>
      <c r="FG4" s="306" t="n"/>
      <c r="FH4" s="306" t="n"/>
      <c r="FI4" s="306" t="n"/>
      <c r="FJ4" s="306" t="n"/>
      <c r="FK4" s="306" t="n"/>
      <c r="FL4" s="306" t="n"/>
      <c r="FM4" s="306" t="n"/>
      <c r="FN4" s="473" t="n"/>
      <c r="FO4" s="306" t="n"/>
      <c r="FP4" s="306" t="n"/>
      <c r="FQ4" s="306" t="n"/>
      <c r="FR4" s="306" t="n"/>
      <c r="FS4" s="306" t="n"/>
      <c r="FT4" s="306" t="n"/>
      <c r="FU4" s="306" t="n"/>
      <c r="FV4" s="306" t="n"/>
      <c r="FW4" s="306" t="n"/>
      <c r="FX4" s="306" t="n"/>
      <c r="FY4" s="306" t="n"/>
      <c r="FZ4" s="306" t="n"/>
    </row>
    <row r="5" ht="15" customHeight="1" s="307">
      <c r="A5" s="325" t="inlineStr">
        <is>
          <t>Revenue by Deal</t>
        </is>
      </c>
      <c r="B5" s="309" t="n"/>
      <c r="C5" s="309" t="n"/>
      <c r="D5" s="309" t="n"/>
      <c r="E5" s="309" t="n"/>
      <c r="F5" s="309" t="n"/>
      <c r="G5" s="309" t="n"/>
      <c r="H5" s="309" t="n"/>
      <c r="I5" s="309" t="n"/>
      <c r="J5" s="309" t="n"/>
      <c r="K5" s="309" t="n"/>
      <c r="L5" s="309" t="n"/>
      <c r="M5" s="309" t="n"/>
      <c r="N5" s="309" t="n"/>
      <c r="O5" s="309" t="n"/>
      <c r="P5" s="309" t="n"/>
      <c r="Q5" s="309" t="n"/>
      <c r="R5" s="309" t="n"/>
      <c r="S5" s="309" t="n"/>
      <c r="T5" s="309" t="n"/>
      <c r="U5" s="309" t="n"/>
      <c r="V5" s="309" t="n"/>
      <c r="W5" s="309" t="n"/>
      <c r="X5" s="309" t="n"/>
      <c r="Y5" s="309" t="n"/>
      <c r="Z5" s="309" t="n"/>
      <c r="AA5" s="309" t="n"/>
      <c r="AB5" s="309" t="n"/>
      <c r="AC5" s="309" t="n"/>
      <c r="AD5" s="309" t="n"/>
      <c r="AE5" s="309" t="n"/>
      <c r="AF5" s="309" t="n"/>
      <c r="AG5" s="309" t="n"/>
      <c r="AH5" s="309" t="n"/>
      <c r="AI5" s="309" t="n"/>
      <c r="AJ5" s="309" t="n"/>
      <c r="AK5" s="309" t="n"/>
      <c r="AL5" s="309" t="n"/>
      <c r="AM5" s="309" t="n"/>
      <c r="AN5" s="309" t="n"/>
      <c r="AO5" s="309" t="n"/>
      <c r="AP5" s="309" t="n"/>
      <c r="AQ5" s="309" t="n"/>
      <c r="AR5" s="309" t="n"/>
      <c r="AS5" s="309" t="n"/>
      <c r="AT5" s="309" t="n"/>
      <c r="AU5" s="309" t="n"/>
      <c r="AV5" s="309" t="n"/>
      <c r="AW5" s="309" t="n"/>
      <c r="AX5" s="309" t="n"/>
      <c r="AY5" s="309" t="n"/>
      <c r="AZ5" s="309" t="n"/>
      <c r="BA5" s="309" t="n"/>
      <c r="BB5" s="309" t="n"/>
      <c r="BC5" s="309" t="n"/>
      <c r="BD5" s="309" t="n"/>
      <c r="BE5" s="309" t="n"/>
      <c r="BF5" s="309" t="n"/>
      <c r="BG5" s="309" t="n"/>
      <c r="BH5" s="309" t="n"/>
      <c r="BI5" s="309" t="n"/>
      <c r="BJ5" s="309" t="n"/>
      <c r="BK5" s="309" t="n"/>
      <c r="BL5" s="309" t="n"/>
      <c r="BM5" s="309" t="n"/>
      <c r="BN5" s="309" t="n"/>
      <c r="BO5" s="309" t="n"/>
      <c r="BP5" s="309" t="n"/>
      <c r="BQ5" s="309" t="n"/>
      <c r="BR5" s="309" t="n"/>
      <c r="BS5" s="309" t="n"/>
      <c r="BT5" s="309" t="n"/>
      <c r="BU5" s="309" t="n"/>
      <c r="BV5" s="309" t="n"/>
      <c r="BW5" s="309" t="n"/>
      <c r="BX5" s="309" t="n"/>
      <c r="BY5" s="309" t="n"/>
      <c r="BZ5" s="309" t="n"/>
      <c r="CA5" s="309" t="n"/>
      <c r="CB5" s="309" t="n"/>
      <c r="CC5" s="309" t="n"/>
      <c r="CD5" s="309" t="n"/>
      <c r="CE5" s="309" t="n"/>
      <c r="CF5" s="309" t="n"/>
      <c r="CG5" s="309" t="n"/>
      <c r="CH5" s="309" t="n"/>
      <c r="CI5" s="309" t="n"/>
      <c r="CJ5" s="309" t="n"/>
      <c r="CK5" s="309" t="n"/>
      <c r="CL5" s="309" t="n"/>
      <c r="CM5" s="309" t="n"/>
      <c r="CN5" s="309" t="n"/>
      <c r="CO5" s="309" t="n"/>
      <c r="CP5" s="309" t="n"/>
      <c r="CQ5" s="309" t="n"/>
      <c r="CR5" s="309" t="n"/>
      <c r="CS5" s="309" t="n"/>
      <c r="CT5" s="309" t="n"/>
      <c r="CU5" s="309" t="n"/>
      <c r="CV5" s="309" t="n"/>
      <c r="CW5" s="309" t="n"/>
      <c r="CX5" s="309" t="n"/>
      <c r="CY5" s="309" t="n"/>
      <c r="CZ5" s="309" t="n"/>
      <c r="DA5" s="309" t="n"/>
      <c r="DB5" s="309" t="n"/>
      <c r="DC5" s="309" t="n"/>
      <c r="DD5" s="309" t="n"/>
      <c r="DE5" s="309" t="n"/>
      <c r="DF5" s="309" t="n"/>
      <c r="DG5" s="309" t="n"/>
      <c r="DH5" s="309" t="n"/>
      <c r="DI5" s="309" t="n"/>
      <c r="DJ5" s="309" t="n"/>
      <c r="DK5" s="309" t="n"/>
      <c r="DL5" s="309" t="n"/>
      <c r="DM5" s="309" t="n"/>
      <c r="DN5" s="309" t="n"/>
      <c r="DO5" s="309" t="n"/>
      <c r="DP5" s="309" t="n"/>
      <c r="DQ5" s="309" t="n"/>
      <c r="DR5" s="309" t="n"/>
      <c r="DS5" s="309" t="n"/>
      <c r="DT5" s="309" t="n"/>
      <c r="DU5" s="309" t="n"/>
      <c r="DV5" s="309" t="n"/>
      <c r="DW5" s="309" t="n"/>
      <c r="DX5" s="309" t="n"/>
      <c r="DY5" s="309" t="n"/>
      <c r="DZ5" s="309" t="n"/>
      <c r="EA5" s="309" t="n"/>
      <c r="EB5" s="309" t="n"/>
      <c r="EC5" s="309" t="n"/>
      <c r="ED5" s="309" t="n"/>
      <c r="EE5" s="309" t="n"/>
      <c r="EF5" s="309" t="n"/>
      <c r="EG5" s="309" t="n"/>
      <c r="EH5" s="309" t="n"/>
      <c r="EI5" s="309" t="n"/>
      <c r="EJ5" s="309" t="n"/>
      <c r="EK5" s="309" t="n"/>
      <c r="EL5" s="309" t="n"/>
      <c r="EM5" s="309" t="n"/>
      <c r="EN5" s="309" t="n"/>
      <c r="EO5" s="309" t="n"/>
      <c r="EP5" s="309" t="n"/>
      <c r="EQ5" s="309" t="n"/>
      <c r="ER5" s="309" t="n"/>
      <c r="ES5" s="309" t="n"/>
      <c r="ET5" s="309" t="n"/>
      <c r="EU5" s="309" t="n"/>
      <c r="EV5" s="309" t="n"/>
      <c r="EW5" s="309" t="n"/>
      <c r="EX5" s="309" t="n"/>
      <c r="EY5" s="309" t="n"/>
      <c r="EZ5" s="309" t="n"/>
      <c r="FA5" s="309" t="n"/>
      <c r="FB5" s="309" t="n"/>
      <c r="FC5" s="309" t="n"/>
      <c r="FD5" s="309" t="n"/>
      <c r="FE5" s="309" t="n"/>
      <c r="FF5" s="309" t="n"/>
      <c r="FG5" s="309" t="n"/>
      <c r="FH5" s="309" t="n"/>
      <c r="FI5" s="309" t="n"/>
      <c r="FJ5" s="309" t="n"/>
      <c r="FK5" s="309" t="n"/>
      <c r="FL5" s="309" t="n"/>
      <c r="FM5" s="309" t="n"/>
      <c r="FN5" s="309" t="n"/>
      <c r="FO5" s="309" t="n"/>
      <c r="FP5" s="309" t="n"/>
      <c r="FQ5" s="309" t="n"/>
      <c r="FR5" s="309" t="n"/>
      <c r="FS5" s="309" t="n"/>
      <c r="FT5" s="309" t="n"/>
      <c r="FU5" s="309" t="n"/>
      <c r="FV5" s="309" t="n"/>
      <c r="FW5" s="309" t="n"/>
      <c r="FX5" s="309" t="n"/>
      <c r="FY5" s="309" t="n"/>
      <c r="FZ5" s="306" t="n"/>
    </row>
    <row r="6" ht="15" customHeight="1" s="307">
      <c r="A6" s="321" t="inlineStr">
        <is>
          <t xml:space="preserve">    Deal #1</t>
        </is>
      </c>
      <c r="B6" s="458">
        <f>'_Engine_R50'!F31/12</f>
        <v/>
      </c>
      <c r="C6" s="458">
        <f>'_Engine_R50'!F32/12</f>
        <v/>
      </c>
      <c r="D6" s="458">
        <f>'_Engine_R50'!F33/12</f>
        <v/>
      </c>
      <c r="E6" s="458">
        <f>'_Engine_R50'!F34/12</f>
        <v/>
      </c>
      <c r="F6" s="458">
        <f>'_Engine_R50'!F35/12</f>
        <v/>
      </c>
      <c r="G6" s="458">
        <f>'_Engine_R50'!F36/12</f>
        <v/>
      </c>
      <c r="H6" s="458">
        <f>'_Engine_R50'!F37/12</f>
        <v/>
      </c>
      <c r="I6" s="458">
        <f>'_Engine_R50'!F38/12</f>
        <v/>
      </c>
      <c r="J6" s="458">
        <f>'_Engine_R50'!F39/12</f>
        <v/>
      </c>
      <c r="K6" s="458">
        <f>'_Engine_R50'!F40/12</f>
        <v/>
      </c>
      <c r="L6" s="458">
        <f>'_Engine_R50'!F41/12</f>
        <v/>
      </c>
      <c r="M6" s="458">
        <f>'_Engine_R50'!F42/12</f>
        <v/>
      </c>
      <c r="N6" s="459">
        <f>'_Engine_R50'!F43/12</f>
        <v/>
      </c>
      <c r="O6" s="459">
        <f>'_Engine_R50'!F44/12</f>
        <v/>
      </c>
      <c r="P6" s="459">
        <f>'_Engine_R50'!F45/12</f>
        <v/>
      </c>
      <c r="Q6" s="459">
        <f>'_Engine_R50'!F46/12</f>
        <v/>
      </c>
      <c r="R6" s="459">
        <f>'_Engine_R50'!F47/12</f>
        <v/>
      </c>
      <c r="S6" s="459">
        <f>'_Engine_R50'!F48/12</f>
        <v/>
      </c>
      <c r="T6" s="459">
        <f>'_Engine_R50'!F49/12</f>
        <v/>
      </c>
      <c r="U6" s="459">
        <f>'_Engine_R50'!F50/12</f>
        <v/>
      </c>
      <c r="V6" s="459">
        <f>'_Engine_R50'!F51/12</f>
        <v/>
      </c>
      <c r="W6" s="459">
        <f>'_Engine_R50'!F52/12</f>
        <v/>
      </c>
      <c r="X6" s="459">
        <f>'_Engine_R50'!F53/12</f>
        <v/>
      </c>
      <c r="Y6" s="459">
        <f>'_Engine_R50'!F54/12</f>
        <v/>
      </c>
      <c r="Z6" s="458">
        <f>'_Engine_R50'!F55/12</f>
        <v/>
      </c>
      <c r="AA6" s="458">
        <f>'_Engine_R50'!F56/12</f>
        <v/>
      </c>
      <c r="AB6" s="458">
        <f>'_Engine_R50'!F57/12</f>
        <v/>
      </c>
      <c r="AC6" s="458">
        <f>'_Engine_R50'!F58/12</f>
        <v/>
      </c>
      <c r="AD6" s="458">
        <f>'_Engine_R50'!F59/12</f>
        <v/>
      </c>
      <c r="AE6" s="458">
        <f>'_Engine_R50'!F60/12</f>
        <v/>
      </c>
      <c r="AF6" s="458">
        <f>'_Engine_R50'!F61/12</f>
        <v/>
      </c>
      <c r="AG6" s="458">
        <f>'_Engine_R50'!F62/12</f>
        <v/>
      </c>
      <c r="AH6" s="458">
        <f>'_Engine_R50'!F63/12</f>
        <v/>
      </c>
      <c r="AI6" s="458">
        <f>'_Engine_R50'!F64/12</f>
        <v/>
      </c>
      <c r="AJ6" s="458">
        <f>'_Engine_R50'!F65/12</f>
        <v/>
      </c>
      <c r="AK6" s="458">
        <f>'_Engine_R50'!F66/12</f>
        <v/>
      </c>
      <c r="AL6" s="459">
        <f>'_Engine_R50'!F67/12</f>
        <v/>
      </c>
      <c r="AM6" s="459">
        <f>'_Engine_R50'!F68/12</f>
        <v/>
      </c>
      <c r="AN6" s="459">
        <f>'_Engine_R50'!F69/12</f>
        <v/>
      </c>
      <c r="AO6" s="459">
        <f>'_Engine_R50'!F70/12</f>
        <v/>
      </c>
      <c r="AP6" s="459">
        <f>'_Engine_R50'!F71/12</f>
        <v/>
      </c>
      <c r="AQ6" s="459">
        <f>'_Engine_R50'!F72/12</f>
        <v/>
      </c>
      <c r="AR6" s="459">
        <f>'_Engine_R50'!F73/12</f>
        <v/>
      </c>
      <c r="AS6" s="459">
        <f>'_Engine_R50'!F74/12</f>
        <v/>
      </c>
      <c r="AT6" s="459">
        <f>'_Engine_R50'!F75/12</f>
        <v/>
      </c>
      <c r="AU6" s="459">
        <f>'_Engine_R50'!F76/12</f>
        <v/>
      </c>
      <c r="AV6" s="459">
        <f>'_Engine_R50'!F77/12</f>
        <v/>
      </c>
      <c r="AW6" s="459">
        <f>'_Engine_R50'!F78/12</f>
        <v/>
      </c>
      <c r="AX6" s="458">
        <f>'_Engine_R50'!F79/12</f>
        <v/>
      </c>
      <c r="AY6" s="458">
        <f>'_Engine_R50'!F80/12</f>
        <v/>
      </c>
      <c r="AZ6" s="458">
        <f>'_Engine_R50'!F81/12</f>
        <v/>
      </c>
      <c r="BA6" s="458">
        <f>'_Engine_R50'!F82/12</f>
        <v/>
      </c>
      <c r="BB6" s="458">
        <f>'_Engine_R50'!F83/12</f>
        <v/>
      </c>
      <c r="BC6" s="458">
        <f>'_Engine_R50'!F84/12</f>
        <v/>
      </c>
      <c r="BD6" s="458">
        <f>'_Engine_R50'!F85/12</f>
        <v/>
      </c>
      <c r="BE6" s="458">
        <f>'_Engine_R50'!F86/12</f>
        <v/>
      </c>
      <c r="BF6" s="458">
        <f>'_Engine_R50'!F87/12</f>
        <v/>
      </c>
      <c r="BG6" s="458">
        <f>'_Engine_R50'!F88/12</f>
        <v/>
      </c>
      <c r="BH6" s="458">
        <f>'_Engine_R50'!F89/12</f>
        <v/>
      </c>
      <c r="BI6" s="458">
        <f>'_Engine_R50'!F90/12</f>
        <v/>
      </c>
      <c r="BJ6" s="459">
        <f>'_Engine_R50'!F91/12</f>
        <v/>
      </c>
      <c r="BK6" s="459">
        <f>'_Engine_R50'!F92/12</f>
        <v/>
      </c>
      <c r="BL6" s="459">
        <f>'_Engine_R50'!F93/12</f>
        <v/>
      </c>
      <c r="BM6" s="459">
        <f>'_Engine_R50'!F94/12</f>
        <v/>
      </c>
      <c r="BN6" s="459">
        <f>'_Engine_R50'!F95/12</f>
        <v/>
      </c>
      <c r="BO6" s="459">
        <f>'_Engine_R50'!F96/12</f>
        <v/>
      </c>
      <c r="BP6" s="459">
        <f>'_Engine_R50'!F97/12</f>
        <v/>
      </c>
      <c r="BQ6" s="459">
        <f>'_Engine_R50'!F98/12</f>
        <v/>
      </c>
      <c r="BR6" s="459">
        <f>'_Engine_R50'!F99/12</f>
        <v/>
      </c>
      <c r="BS6" s="459">
        <f>'_Engine_R50'!F100/12</f>
        <v/>
      </c>
      <c r="BT6" s="459">
        <f>'_Engine_R50'!F101/12</f>
        <v/>
      </c>
      <c r="BU6" s="459">
        <f>'_Engine_R50'!F102/12</f>
        <v/>
      </c>
      <c r="BV6" s="458">
        <f>'_Engine_R50'!F103/12</f>
        <v/>
      </c>
      <c r="BW6" s="458">
        <f>'_Engine_R50'!F104/12</f>
        <v/>
      </c>
      <c r="BX6" s="458">
        <f>'_Engine_R50'!F105/12</f>
        <v/>
      </c>
      <c r="BY6" s="458">
        <f>'_Engine_R50'!F106/12</f>
        <v/>
      </c>
      <c r="BZ6" s="458">
        <f>'_Engine_R50'!F107/12</f>
        <v/>
      </c>
      <c r="CA6" s="458">
        <f>'_Engine_R50'!F108/12</f>
        <v/>
      </c>
      <c r="CB6" s="458">
        <f>'_Engine_R50'!F109/12</f>
        <v/>
      </c>
      <c r="CC6" s="458">
        <f>'_Engine_R50'!F110/12</f>
        <v/>
      </c>
      <c r="CD6" s="458">
        <f>'_Engine_R50'!F111/12</f>
        <v/>
      </c>
      <c r="CE6" s="458">
        <f>'_Engine_R50'!F112/12</f>
        <v/>
      </c>
      <c r="CF6" s="458">
        <f>'_Engine_R50'!F113/12</f>
        <v/>
      </c>
      <c r="CG6" s="458">
        <f>'_Engine_R50'!F114/12</f>
        <v/>
      </c>
      <c r="CH6" s="459">
        <f>'_Engine_R50'!F115/12</f>
        <v/>
      </c>
      <c r="CI6" s="459">
        <f>'_Engine_R50'!F116/12</f>
        <v/>
      </c>
      <c r="CJ6" s="459">
        <f>'_Engine_R50'!F117/12</f>
        <v/>
      </c>
      <c r="CK6" s="459">
        <f>'_Engine_R50'!F118/12</f>
        <v/>
      </c>
      <c r="CL6" s="459">
        <f>'_Engine_R50'!F119/12</f>
        <v/>
      </c>
      <c r="CM6" s="459">
        <f>'_Engine_R50'!F120/12</f>
        <v/>
      </c>
      <c r="CN6" s="459">
        <f>'_Engine_R50'!F121/12</f>
        <v/>
      </c>
      <c r="CO6" s="459">
        <f>'_Engine_R50'!F122/12</f>
        <v/>
      </c>
      <c r="CP6" s="459">
        <f>'_Engine_R50'!F123/12</f>
        <v/>
      </c>
      <c r="CQ6" s="459">
        <f>'_Engine_R50'!F124/12</f>
        <v/>
      </c>
      <c r="CR6" s="459">
        <f>'_Engine_R50'!F125/12</f>
        <v/>
      </c>
      <c r="CS6" s="459">
        <f>'_Engine_R50'!F126/12</f>
        <v/>
      </c>
      <c r="CT6" s="458">
        <f>'_Engine_R50'!F127/12</f>
        <v/>
      </c>
      <c r="CU6" s="458">
        <f>'_Engine_R50'!F128/12</f>
        <v/>
      </c>
      <c r="CV6" s="458">
        <f>'_Engine_R50'!F129/12</f>
        <v/>
      </c>
      <c r="CW6" s="458">
        <f>'_Engine_R50'!F130/12</f>
        <v/>
      </c>
      <c r="CX6" s="458">
        <f>'_Engine_R50'!F131/12</f>
        <v/>
      </c>
      <c r="CY6" s="458">
        <f>'_Engine_R50'!F132/12</f>
        <v/>
      </c>
      <c r="CZ6" s="458">
        <f>'_Engine_R50'!F133/12</f>
        <v/>
      </c>
      <c r="DA6" s="458">
        <f>'_Engine_R50'!F134/12</f>
        <v/>
      </c>
      <c r="DB6" s="458">
        <f>'_Engine_R50'!F135/12</f>
        <v/>
      </c>
      <c r="DC6" s="458">
        <f>'_Engine_R50'!F136/12</f>
        <v/>
      </c>
      <c r="DD6" s="458">
        <f>'_Engine_R50'!F137/12</f>
        <v/>
      </c>
      <c r="DE6" s="458">
        <f>'_Engine_R50'!F138/12</f>
        <v/>
      </c>
      <c r="DF6" s="459">
        <f>'_Engine_R50'!F139/12</f>
        <v/>
      </c>
      <c r="DG6" s="459">
        <f>'_Engine_R50'!F140/12</f>
        <v/>
      </c>
      <c r="DH6" s="459">
        <f>'_Engine_R50'!F141/12</f>
        <v/>
      </c>
      <c r="DI6" s="459">
        <f>'_Engine_R50'!F142/12</f>
        <v/>
      </c>
      <c r="DJ6" s="459">
        <f>'_Engine_R50'!F143/12</f>
        <v/>
      </c>
      <c r="DK6" s="459">
        <f>'_Engine_R50'!F144/12</f>
        <v/>
      </c>
      <c r="DL6" s="459">
        <f>'_Engine_R50'!F145/12</f>
        <v/>
      </c>
      <c r="DM6" s="459">
        <f>'_Engine_R50'!F146/12</f>
        <v/>
      </c>
      <c r="DN6" s="459">
        <f>'_Engine_R50'!F147/12</f>
        <v/>
      </c>
      <c r="DO6" s="459">
        <f>'_Engine_R50'!F148/12</f>
        <v/>
      </c>
      <c r="DP6" s="459">
        <f>'_Engine_R50'!F149/12</f>
        <v/>
      </c>
      <c r="DQ6" s="459">
        <f>'_Engine_R50'!F150/12</f>
        <v/>
      </c>
      <c r="DR6" s="458">
        <f>'_Engine_R50'!F151/12</f>
        <v/>
      </c>
      <c r="DS6" s="458">
        <f>'_Engine_R50'!F152/12</f>
        <v/>
      </c>
      <c r="DT6" s="458">
        <f>'_Engine_R50'!F153/12</f>
        <v/>
      </c>
      <c r="DU6" s="458">
        <f>'_Engine_R50'!F154/12</f>
        <v/>
      </c>
      <c r="DV6" s="458">
        <f>'_Engine_R50'!F155/12</f>
        <v/>
      </c>
      <c r="DW6" s="458">
        <f>'_Engine_R50'!F156/12</f>
        <v/>
      </c>
      <c r="DX6" s="458">
        <f>'_Engine_R50'!F157/12</f>
        <v/>
      </c>
      <c r="DY6" s="458">
        <f>'_Engine_R50'!F158/12</f>
        <v/>
      </c>
      <c r="DZ6" s="458">
        <f>'_Engine_R50'!F159/12</f>
        <v/>
      </c>
      <c r="EA6" s="458">
        <f>'_Engine_R50'!F160/12</f>
        <v/>
      </c>
      <c r="EB6" s="458">
        <f>'_Engine_R50'!F161/12</f>
        <v/>
      </c>
      <c r="EC6" s="458">
        <f>'_Engine_R50'!F162/12</f>
        <v/>
      </c>
      <c r="ED6" s="459">
        <f>'_Engine_R50'!F163/12</f>
        <v/>
      </c>
      <c r="EE6" s="459">
        <f>'_Engine_R50'!F164/12</f>
        <v/>
      </c>
      <c r="EF6" s="459">
        <f>'_Engine_R50'!F165/12</f>
        <v/>
      </c>
      <c r="EG6" s="459">
        <f>'_Engine_R50'!F166/12</f>
        <v/>
      </c>
      <c r="EH6" s="459">
        <f>'_Engine_R50'!F167/12</f>
        <v/>
      </c>
      <c r="EI6" s="459">
        <f>'_Engine_R50'!F168/12</f>
        <v/>
      </c>
      <c r="EJ6" s="459">
        <f>'_Engine_R50'!F169/12</f>
        <v/>
      </c>
      <c r="EK6" s="459">
        <f>'_Engine_R50'!F170/12</f>
        <v/>
      </c>
      <c r="EL6" s="459">
        <f>'_Engine_R50'!F171/12</f>
        <v/>
      </c>
      <c r="EM6" s="459">
        <f>'_Engine_R50'!F172/12</f>
        <v/>
      </c>
      <c r="EN6" s="459">
        <f>'_Engine_R50'!F173/12</f>
        <v/>
      </c>
      <c r="EO6" s="459">
        <f>'_Engine_R50'!F174/12</f>
        <v/>
      </c>
      <c r="EP6" s="458">
        <f>'_Engine_R50'!F175/12</f>
        <v/>
      </c>
      <c r="EQ6" s="458">
        <f>'_Engine_R50'!F176/12</f>
        <v/>
      </c>
      <c r="ER6" s="458">
        <f>'_Engine_R50'!F177/12</f>
        <v/>
      </c>
      <c r="ES6" s="458">
        <f>'_Engine_R50'!F178/12</f>
        <v/>
      </c>
      <c r="ET6" s="458">
        <f>'_Engine_R50'!F179/12</f>
        <v/>
      </c>
      <c r="EU6" s="458">
        <f>'_Engine_R50'!F180/12</f>
        <v/>
      </c>
      <c r="EV6" s="458">
        <f>'_Engine_R50'!F181/12</f>
        <v/>
      </c>
      <c r="EW6" s="458">
        <f>'_Engine_R50'!F182/12</f>
        <v/>
      </c>
      <c r="EX6" s="458">
        <f>'_Engine_R50'!F183/12</f>
        <v/>
      </c>
      <c r="EY6" s="458">
        <f>'_Engine_R50'!F184/12</f>
        <v/>
      </c>
      <c r="EZ6" s="458">
        <f>'_Engine_R50'!F185/12</f>
        <v/>
      </c>
      <c r="FA6" s="458">
        <f>'_Engine_R50'!F186/12</f>
        <v/>
      </c>
      <c r="FB6" s="459">
        <f>'_Engine_R50'!F187/12</f>
        <v/>
      </c>
      <c r="FC6" s="459">
        <f>'_Engine_R50'!F188/12</f>
        <v/>
      </c>
      <c r="FD6" s="459">
        <f>'_Engine_R50'!F189/12</f>
        <v/>
      </c>
      <c r="FE6" s="459">
        <f>'_Engine_R50'!F190/12</f>
        <v/>
      </c>
      <c r="FF6" s="459">
        <f>'_Engine_R50'!F191/12</f>
        <v/>
      </c>
      <c r="FG6" s="459">
        <f>'_Engine_R50'!F192/12</f>
        <v/>
      </c>
      <c r="FH6" s="459">
        <f>'_Engine_R50'!F193/12</f>
        <v/>
      </c>
      <c r="FI6" s="459">
        <f>'_Engine_R50'!F194/12</f>
        <v/>
      </c>
      <c r="FJ6" s="459">
        <f>'_Engine_R50'!F195/12</f>
        <v/>
      </c>
      <c r="FK6" s="459">
        <f>'_Engine_R50'!F196/12</f>
        <v/>
      </c>
      <c r="FL6" s="459">
        <f>'_Engine_R50'!F197/12</f>
        <v/>
      </c>
      <c r="FM6" s="459">
        <f>'_Engine_R50'!F198/12</f>
        <v/>
      </c>
      <c r="FN6" s="458">
        <f>'_Engine_R50'!F199/12</f>
        <v/>
      </c>
      <c r="FO6" s="458">
        <f>'_Engine_R50'!F200/12</f>
        <v/>
      </c>
      <c r="FP6" s="458">
        <f>'_Engine_R50'!F201/12</f>
        <v/>
      </c>
      <c r="FQ6" s="458">
        <f>'_Engine_R50'!F202/12</f>
        <v/>
      </c>
      <c r="FR6" s="458">
        <f>'_Engine_R50'!F203/12</f>
        <v/>
      </c>
      <c r="FS6" s="458">
        <f>'_Engine_R50'!F204/12</f>
        <v/>
      </c>
      <c r="FT6" s="458">
        <f>'_Engine_R50'!F205/12</f>
        <v/>
      </c>
      <c r="FU6" s="458">
        <f>'_Engine_R50'!F206/12</f>
        <v/>
      </c>
      <c r="FV6" s="458">
        <f>'_Engine_R50'!F207/12</f>
        <v/>
      </c>
      <c r="FW6" s="458">
        <f>'_Engine_R50'!F208/12</f>
        <v/>
      </c>
      <c r="FX6" s="458">
        <f>'_Engine_R50'!F209/12</f>
        <v/>
      </c>
      <c r="FY6" s="458">
        <f>'_Engine_R50'!F210/12</f>
        <v/>
      </c>
      <c r="FZ6" s="306" t="n"/>
    </row>
    <row r="7" ht="15" customHeight="1" s="307">
      <c r="A7" s="321" t="inlineStr">
        <is>
          <t xml:space="preserve">    Deal #2</t>
        </is>
      </c>
      <c r="B7" s="458">
        <f>'_Engine_R50'!G31/12</f>
        <v/>
      </c>
      <c r="C7" s="458">
        <f>'_Engine_R50'!G32/12</f>
        <v/>
      </c>
      <c r="D7" s="458">
        <f>'_Engine_R50'!G33/12</f>
        <v/>
      </c>
      <c r="E7" s="458">
        <f>'_Engine_R50'!G34/12</f>
        <v/>
      </c>
      <c r="F7" s="458">
        <f>'_Engine_R50'!G35/12</f>
        <v/>
      </c>
      <c r="G7" s="458">
        <f>'_Engine_R50'!G36/12</f>
        <v/>
      </c>
      <c r="H7" s="458">
        <f>'_Engine_R50'!G37/12</f>
        <v/>
      </c>
      <c r="I7" s="458">
        <f>'_Engine_R50'!G38/12</f>
        <v/>
      </c>
      <c r="J7" s="458">
        <f>'_Engine_R50'!G39/12</f>
        <v/>
      </c>
      <c r="K7" s="458">
        <f>'_Engine_R50'!G40/12</f>
        <v/>
      </c>
      <c r="L7" s="458">
        <f>'_Engine_R50'!G41/12</f>
        <v/>
      </c>
      <c r="M7" s="458">
        <f>'_Engine_R50'!G42/12</f>
        <v/>
      </c>
      <c r="N7" s="459">
        <f>'_Engine_R50'!G43/12</f>
        <v/>
      </c>
      <c r="O7" s="459">
        <f>'_Engine_R50'!G44/12</f>
        <v/>
      </c>
      <c r="P7" s="459">
        <f>'_Engine_R50'!G45/12</f>
        <v/>
      </c>
      <c r="Q7" s="459">
        <f>'_Engine_R50'!G46/12</f>
        <v/>
      </c>
      <c r="R7" s="459">
        <f>'_Engine_R50'!G47/12</f>
        <v/>
      </c>
      <c r="S7" s="459">
        <f>'_Engine_R50'!G48/12</f>
        <v/>
      </c>
      <c r="T7" s="459">
        <f>'_Engine_R50'!G49/12</f>
        <v/>
      </c>
      <c r="U7" s="459">
        <f>'_Engine_R50'!G50/12</f>
        <v/>
      </c>
      <c r="V7" s="459">
        <f>'_Engine_R50'!G51/12</f>
        <v/>
      </c>
      <c r="W7" s="459">
        <f>'_Engine_R50'!G52/12</f>
        <v/>
      </c>
      <c r="X7" s="459">
        <f>'_Engine_R50'!G53/12</f>
        <v/>
      </c>
      <c r="Y7" s="459">
        <f>'_Engine_R50'!G54/12</f>
        <v/>
      </c>
      <c r="Z7" s="458">
        <f>'_Engine_R50'!G55/12</f>
        <v/>
      </c>
      <c r="AA7" s="458">
        <f>'_Engine_R50'!G56/12</f>
        <v/>
      </c>
      <c r="AB7" s="458">
        <f>'_Engine_R50'!G57/12</f>
        <v/>
      </c>
      <c r="AC7" s="458">
        <f>'_Engine_R50'!G58/12</f>
        <v/>
      </c>
      <c r="AD7" s="458">
        <f>'_Engine_R50'!G59/12</f>
        <v/>
      </c>
      <c r="AE7" s="458">
        <f>'_Engine_R50'!G60/12</f>
        <v/>
      </c>
      <c r="AF7" s="458">
        <f>'_Engine_R50'!G61/12</f>
        <v/>
      </c>
      <c r="AG7" s="458">
        <f>'_Engine_R50'!G62/12</f>
        <v/>
      </c>
      <c r="AH7" s="458">
        <f>'_Engine_R50'!G63/12</f>
        <v/>
      </c>
      <c r="AI7" s="458">
        <f>'_Engine_R50'!G64/12</f>
        <v/>
      </c>
      <c r="AJ7" s="458">
        <f>'_Engine_R50'!G65/12</f>
        <v/>
      </c>
      <c r="AK7" s="458">
        <f>'_Engine_R50'!G66/12</f>
        <v/>
      </c>
      <c r="AL7" s="459">
        <f>'_Engine_R50'!G67/12</f>
        <v/>
      </c>
      <c r="AM7" s="459">
        <f>'_Engine_R50'!G68/12</f>
        <v/>
      </c>
      <c r="AN7" s="459">
        <f>'_Engine_R50'!G69/12</f>
        <v/>
      </c>
      <c r="AO7" s="459">
        <f>'_Engine_R50'!G70/12</f>
        <v/>
      </c>
      <c r="AP7" s="459">
        <f>'_Engine_R50'!G71/12</f>
        <v/>
      </c>
      <c r="AQ7" s="459">
        <f>'_Engine_R50'!G72/12</f>
        <v/>
      </c>
      <c r="AR7" s="459">
        <f>'_Engine_R50'!G73/12</f>
        <v/>
      </c>
      <c r="AS7" s="459">
        <f>'_Engine_R50'!G74/12</f>
        <v/>
      </c>
      <c r="AT7" s="459">
        <f>'_Engine_R50'!G75/12</f>
        <v/>
      </c>
      <c r="AU7" s="459">
        <f>'_Engine_R50'!G76/12</f>
        <v/>
      </c>
      <c r="AV7" s="459">
        <f>'_Engine_R50'!G77/12</f>
        <v/>
      </c>
      <c r="AW7" s="459">
        <f>'_Engine_R50'!G78/12</f>
        <v/>
      </c>
      <c r="AX7" s="458">
        <f>'_Engine_R50'!G79/12</f>
        <v/>
      </c>
      <c r="AY7" s="458">
        <f>'_Engine_R50'!G80/12</f>
        <v/>
      </c>
      <c r="AZ7" s="458">
        <f>'_Engine_R50'!G81/12</f>
        <v/>
      </c>
      <c r="BA7" s="458">
        <f>'_Engine_R50'!G82/12</f>
        <v/>
      </c>
      <c r="BB7" s="458">
        <f>'_Engine_R50'!G83/12</f>
        <v/>
      </c>
      <c r="BC7" s="458">
        <f>'_Engine_R50'!G84/12</f>
        <v/>
      </c>
      <c r="BD7" s="458">
        <f>'_Engine_R50'!G85/12</f>
        <v/>
      </c>
      <c r="BE7" s="458">
        <f>'_Engine_R50'!G86/12</f>
        <v/>
      </c>
      <c r="BF7" s="458">
        <f>'_Engine_R50'!G87/12</f>
        <v/>
      </c>
      <c r="BG7" s="458">
        <f>'_Engine_R50'!G88/12</f>
        <v/>
      </c>
      <c r="BH7" s="458">
        <f>'_Engine_R50'!G89/12</f>
        <v/>
      </c>
      <c r="BI7" s="458">
        <f>'_Engine_R50'!G90/12</f>
        <v/>
      </c>
      <c r="BJ7" s="459">
        <f>'_Engine_R50'!G91/12</f>
        <v/>
      </c>
      <c r="BK7" s="459">
        <f>'_Engine_R50'!G92/12</f>
        <v/>
      </c>
      <c r="BL7" s="459">
        <f>'_Engine_R50'!G93/12</f>
        <v/>
      </c>
      <c r="BM7" s="459">
        <f>'_Engine_R50'!G94/12</f>
        <v/>
      </c>
      <c r="BN7" s="459">
        <f>'_Engine_R50'!G95/12</f>
        <v/>
      </c>
      <c r="BO7" s="459">
        <f>'_Engine_R50'!G96/12</f>
        <v/>
      </c>
      <c r="BP7" s="459">
        <f>'_Engine_R50'!G97/12</f>
        <v/>
      </c>
      <c r="BQ7" s="459">
        <f>'_Engine_R50'!G98/12</f>
        <v/>
      </c>
      <c r="BR7" s="459">
        <f>'_Engine_R50'!G99/12</f>
        <v/>
      </c>
      <c r="BS7" s="459">
        <f>'_Engine_R50'!G100/12</f>
        <v/>
      </c>
      <c r="BT7" s="459">
        <f>'_Engine_R50'!G101/12</f>
        <v/>
      </c>
      <c r="BU7" s="459">
        <f>'_Engine_R50'!G102/12</f>
        <v/>
      </c>
      <c r="BV7" s="458">
        <f>'_Engine_R50'!G103/12</f>
        <v/>
      </c>
      <c r="BW7" s="458">
        <f>'_Engine_R50'!G104/12</f>
        <v/>
      </c>
      <c r="BX7" s="458">
        <f>'_Engine_R50'!G105/12</f>
        <v/>
      </c>
      <c r="BY7" s="458">
        <f>'_Engine_R50'!G106/12</f>
        <v/>
      </c>
      <c r="BZ7" s="458">
        <f>'_Engine_R50'!G107/12</f>
        <v/>
      </c>
      <c r="CA7" s="458">
        <f>'_Engine_R50'!G108/12</f>
        <v/>
      </c>
      <c r="CB7" s="458">
        <f>'_Engine_R50'!G109/12</f>
        <v/>
      </c>
      <c r="CC7" s="458">
        <f>'_Engine_R50'!G110/12</f>
        <v/>
      </c>
      <c r="CD7" s="458">
        <f>'_Engine_R50'!G111/12</f>
        <v/>
      </c>
      <c r="CE7" s="458">
        <f>'_Engine_R50'!G112/12</f>
        <v/>
      </c>
      <c r="CF7" s="458">
        <f>'_Engine_R50'!G113/12</f>
        <v/>
      </c>
      <c r="CG7" s="458">
        <f>'_Engine_R50'!G114/12</f>
        <v/>
      </c>
      <c r="CH7" s="459">
        <f>'_Engine_R50'!G115/12</f>
        <v/>
      </c>
      <c r="CI7" s="459">
        <f>'_Engine_R50'!G116/12</f>
        <v/>
      </c>
      <c r="CJ7" s="459">
        <f>'_Engine_R50'!G117/12</f>
        <v/>
      </c>
      <c r="CK7" s="459">
        <f>'_Engine_R50'!G118/12</f>
        <v/>
      </c>
      <c r="CL7" s="459">
        <f>'_Engine_R50'!G119/12</f>
        <v/>
      </c>
      <c r="CM7" s="459">
        <f>'_Engine_R50'!G120/12</f>
        <v/>
      </c>
      <c r="CN7" s="459">
        <f>'_Engine_R50'!G121/12</f>
        <v/>
      </c>
      <c r="CO7" s="459">
        <f>'_Engine_R50'!G122/12</f>
        <v/>
      </c>
      <c r="CP7" s="459">
        <f>'_Engine_R50'!G123/12</f>
        <v/>
      </c>
      <c r="CQ7" s="459">
        <f>'_Engine_R50'!G124/12</f>
        <v/>
      </c>
      <c r="CR7" s="459">
        <f>'_Engine_R50'!G125/12</f>
        <v/>
      </c>
      <c r="CS7" s="459">
        <f>'_Engine_R50'!G126/12</f>
        <v/>
      </c>
      <c r="CT7" s="458">
        <f>'_Engine_R50'!G127/12</f>
        <v/>
      </c>
      <c r="CU7" s="458">
        <f>'_Engine_R50'!G128/12</f>
        <v/>
      </c>
      <c r="CV7" s="458">
        <f>'_Engine_R50'!G129/12</f>
        <v/>
      </c>
      <c r="CW7" s="458">
        <f>'_Engine_R50'!G130/12</f>
        <v/>
      </c>
      <c r="CX7" s="458">
        <f>'_Engine_R50'!G131/12</f>
        <v/>
      </c>
      <c r="CY7" s="458">
        <f>'_Engine_R50'!G132/12</f>
        <v/>
      </c>
      <c r="CZ7" s="458">
        <f>'_Engine_R50'!G133/12</f>
        <v/>
      </c>
      <c r="DA7" s="458">
        <f>'_Engine_R50'!G134/12</f>
        <v/>
      </c>
      <c r="DB7" s="458">
        <f>'_Engine_R50'!G135/12</f>
        <v/>
      </c>
      <c r="DC7" s="458">
        <f>'_Engine_R50'!G136/12</f>
        <v/>
      </c>
      <c r="DD7" s="458">
        <f>'_Engine_R50'!G137/12</f>
        <v/>
      </c>
      <c r="DE7" s="458">
        <f>'_Engine_R50'!G138/12</f>
        <v/>
      </c>
      <c r="DF7" s="459">
        <f>'_Engine_R50'!G139/12</f>
        <v/>
      </c>
      <c r="DG7" s="459">
        <f>'_Engine_R50'!G140/12</f>
        <v/>
      </c>
      <c r="DH7" s="459">
        <f>'_Engine_R50'!G141/12</f>
        <v/>
      </c>
      <c r="DI7" s="459">
        <f>'_Engine_R50'!G142/12</f>
        <v/>
      </c>
      <c r="DJ7" s="459">
        <f>'_Engine_R50'!G143/12</f>
        <v/>
      </c>
      <c r="DK7" s="459">
        <f>'_Engine_R50'!G144/12</f>
        <v/>
      </c>
      <c r="DL7" s="459">
        <f>'_Engine_R50'!G145/12</f>
        <v/>
      </c>
      <c r="DM7" s="459">
        <f>'_Engine_R50'!G146/12</f>
        <v/>
      </c>
      <c r="DN7" s="459">
        <f>'_Engine_R50'!G147/12</f>
        <v/>
      </c>
      <c r="DO7" s="459">
        <f>'_Engine_R50'!G148/12</f>
        <v/>
      </c>
      <c r="DP7" s="459">
        <f>'_Engine_R50'!G149/12</f>
        <v/>
      </c>
      <c r="DQ7" s="459">
        <f>'_Engine_R50'!G150/12</f>
        <v/>
      </c>
      <c r="DR7" s="458">
        <f>'_Engine_R50'!G151/12</f>
        <v/>
      </c>
      <c r="DS7" s="458">
        <f>'_Engine_R50'!G152/12</f>
        <v/>
      </c>
      <c r="DT7" s="458">
        <f>'_Engine_R50'!G153/12</f>
        <v/>
      </c>
      <c r="DU7" s="458">
        <f>'_Engine_R50'!G154/12</f>
        <v/>
      </c>
      <c r="DV7" s="458">
        <f>'_Engine_R50'!G155/12</f>
        <v/>
      </c>
      <c r="DW7" s="458">
        <f>'_Engine_R50'!G156/12</f>
        <v/>
      </c>
      <c r="DX7" s="458">
        <f>'_Engine_R50'!G157/12</f>
        <v/>
      </c>
      <c r="DY7" s="458">
        <f>'_Engine_R50'!G158/12</f>
        <v/>
      </c>
      <c r="DZ7" s="458">
        <f>'_Engine_R50'!G159/12</f>
        <v/>
      </c>
      <c r="EA7" s="458">
        <f>'_Engine_R50'!G160/12</f>
        <v/>
      </c>
      <c r="EB7" s="458">
        <f>'_Engine_R50'!G161/12</f>
        <v/>
      </c>
      <c r="EC7" s="458">
        <f>'_Engine_R50'!G162/12</f>
        <v/>
      </c>
      <c r="ED7" s="459">
        <f>'_Engine_R50'!G163/12</f>
        <v/>
      </c>
      <c r="EE7" s="459">
        <f>'_Engine_R50'!G164/12</f>
        <v/>
      </c>
      <c r="EF7" s="459">
        <f>'_Engine_R50'!G165/12</f>
        <v/>
      </c>
      <c r="EG7" s="459">
        <f>'_Engine_R50'!G166/12</f>
        <v/>
      </c>
      <c r="EH7" s="459">
        <f>'_Engine_R50'!G167/12</f>
        <v/>
      </c>
      <c r="EI7" s="459">
        <f>'_Engine_R50'!G168/12</f>
        <v/>
      </c>
      <c r="EJ7" s="459">
        <f>'_Engine_R50'!G169/12</f>
        <v/>
      </c>
      <c r="EK7" s="459">
        <f>'_Engine_R50'!G170/12</f>
        <v/>
      </c>
      <c r="EL7" s="459">
        <f>'_Engine_R50'!G171/12</f>
        <v/>
      </c>
      <c r="EM7" s="459">
        <f>'_Engine_R50'!G172/12</f>
        <v/>
      </c>
      <c r="EN7" s="459">
        <f>'_Engine_R50'!G173/12</f>
        <v/>
      </c>
      <c r="EO7" s="459">
        <f>'_Engine_R50'!G174/12</f>
        <v/>
      </c>
      <c r="EP7" s="458">
        <f>'_Engine_R50'!G175/12</f>
        <v/>
      </c>
      <c r="EQ7" s="458">
        <f>'_Engine_R50'!G176/12</f>
        <v/>
      </c>
      <c r="ER7" s="458">
        <f>'_Engine_R50'!G177/12</f>
        <v/>
      </c>
      <c r="ES7" s="458">
        <f>'_Engine_R50'!G178/12</f>
        <v/>
      </c>
      <c r="ET7" s="458">
        <f>'_Engine_R50'!G179/12</f>
        <v/>
      </c>
      <c r="EU7" s="458">
        <f>'_Engine_R50'!G180/12</f>
        <v/>
      </c>
      <c r="EV7" s="458">
        <f>'_Engine_R50'!G181/12</f>
        <v/>
      </c>
      <c r="EW7" s="458">
        <f>'_Engine_R50'!G182/12</f>
        <v/>
      </c>
      <c r="EX7" s="458">
        <f>'_Engine_R50'!G183/12</f>
        <v/>
      </c>
      <c r="EY7" s="458">
        <f>'_Engine_R50'!G184/12</f>
        <v/>
      </c>
      <c r="EZ7" s="458">
        <f>'_Engine_R50'!G185/12</f>
        <v/>
      </c>
      <c r="FA7" s="458">
        <f>'_Engine_R50'!G186/12</f>
        <v/>
      </c>
      <c r="FB7" s="459">
        <f>'_Engine_R50'!G187/12</f>
        <v/>
      </c>
      <c r="FC7" s="459">
        <f>'_Engine_R50'!G188/12</f>
        <v/>
      </c>
      <c r="FD7" s="459">
        <f>'_Engine_R50'!G189/12</f>
        <v/>
      </c>
      <c r="FE7" s="459">
        <f>'_Engine_R50'!G190/12</f>
        <v/>
      </c>
      <c r="FF7" s="459">
        <f>'_Engine_R50'!G191/12</f>
        <v/>
      </c>
      <c r="FG7" s="459">
        <f>'_Engine_R50'!G192/12</f>
        <v/>
      </c>
      <c r="FH7" s="459">
        <f>'_Engine_R50'!G193/12</f>
        <v/>
      </c>
      <c r="FI7" s="459">
        <f>'_Engine_R50'!G194/12</f>
        <v/>
      </c>
      <c r="FJ7" s="459">
        <f>'_Engine_R50'!G195/12</f>
        <v/>
      </c>
      <c r="FK7" s="459">
        <f>'_Engine_R50'!G196/12</f>
        <v/>
      </c>
      <c r="FL7" s="459">
        <f>'_Engine_R50'!G197/12</f>
        <v/>
      </c>
      <c r="FM7" s="459">
        <f>'_Engine_R50'!G198/12</f>
        <v/>
      </c>
      <c r="FN7" s="458">
        <f>'_Engine_R50'!G199/12</f>
        <v/>
      </c>
      <c r="FO7" s="458">
        <f>'_Engine_R50'!G200/12</f>
        <v/>
      </c>
      <c r="FP7" s="458">
        <f>'_Engine_R50'!G201/12</f>
        <v/>
      </c>
      <c r="FQ7" s="458">
        <f>'_Engine_R50'!G202/12</f>
        <v/>
      </c>
      <c r="FR7" s="458">
        <f>'_Engine_R50'!G203/12</f>
        <v/>
      </c>
      <c r="FS7" s="458">
        <f>'_Engine_R50'!G204/12</f>
        <v/>
      </c>
      <c r="FT7" s="458">
        <f>'_Engine_R50'!G205/12</f>
        <v/>
      </c>
      <c r="FU7" s="458">
        <f>'_Engine_R50'!G206/12</f>
        <v/>
      </c>
      <c r="FV7" s="458">
        <f>'_Engine_R50'!G207/12</f>
        <v/>
      </c>
      <c r="FW7" s="458">
        <f>'_Engine_R50'!G208/12</f>
        <v/>
      </c>
      <c r="FX7" s="458">
        <f>'_Engine_R50'!G209/12</f>
        <v/>
      </c>
      <c r="FY7" s="458">
        <f>'_Engine_R50'!G210/12</f>
        <v/>
      </c>
      <c r="FZ7" s="306" t="n"/>
    </row>
    <row r="8" ht="15" customHeight="1" s="307">
      <c r="A8" s="321" t="inlineStr">
        <is>
          <t xml:space="preserve">    Deal #3</t>
        </is>
      </c>
      <c r="B8" s="458">
        <f>'_Engine_R50'!H31/12</f>
        <v/>
      </c>
      <c r="C8" s="458">
        <f>'_Engine_R50'!H32/12</f>
        <v/>
      </c>
      <c r="D8" s="458">
        <f>'_Engine_R50'!H33/12</f>
        <v/>
      </c>
      <c r="E8" s="458">
        <f>'_Engine_R50'!H34/12</f>
        <v/>
      </c>
      <c r="F8" s="458">
        <f>'_Engine_R50'!H35/12</f>
        <v/>
      </c>
      <c r="G8" s="458">
        <f>'_Engine_R50'!H36/12</f>
        <v/>
      </c>
      <c r="H8" s="458">
        <f>'_Engine_R50'!H37/12</f>
        <v/>
      </c>
      <c r="I8" s="458">
        <f>'_Engine_R50'!H38/12</f>
        <v/>
      </c>
      <c r="J8" s="458">
        <f>'_Engine_R50'!H39/12</f>
        <v/>
      </c>
      <c r="K8" s="458">
        <f>'_Engine_R50'!H40/12</f>
        <v/>
      </c>
      <c r="L8" s="458">
        <f>'_Engine_R50'!H41/12</f>
        <v/>
      </c>
      <c r="M8" s="458">
        <f>'_Engine_R50'!H42/12</f>
        <v/>
      </c>
      <c r="N8" s="459">
        <f>'_Engine_R50'!H43/12</f>
        <v/>
      </c>
      <c r="O8" s="459">
        <f>'_Engine_R50'!H44/12</f>
        <v/>
      </c>
      <c r="P8" s="459">
        <f>'_Engine_R50'!H45/12</f>
        <v/>
      </c>
      <c r="Q8" s="459">
        <f>'_Engine_R50'!H46/12</f>
        <v/>
      </c>
      <c r="R8" s="459">
        <f>'_Engine_R50'!H47/12</f>
        <v/>
      </c>
      <c r="S8" s="459">
        <f>'_Engine_R50'!H48/12</f>
        <v/>
      </c>
      <c r="T8" s="459">
        <f>'_Engine_R50'!H49/12</f>
        <v/>
      </c>
      <c r="U8" s="459">
        <f>'_Engine_R50'!H50/12</f>
        <v/>
      </c>
      <c r="V8" s="459">
        <f>'_Engine_R50'!H51/12</f>
        <v/>
      </c>
      <c r="W8" s="459">
        <f>'_Engine_R50'!H52/12</f>
        <v/>
      </c>
      <c r="X8" s="459">
        <f>'_Engine_R50'!H53/12</f>
        <v/>
      </c>
      <c r="Y8" s="459">
        <f>'_Engine_R50'!H54/12</f>
        <v/>
      </c>
      <c r="Z8" s="458">
        <f>'_Engine_R50'!H55/12</f>
        <v/>
      </c>
      <c r="AA8" s="458">
        <f>'_Engine_R50'!H56/12</f>
        <v/>
      </c>
      <c r="AB8" s="458">
        <f>'_Engine_R50'!H57/12</f>
        <v/>
      </c>
      <c r="AC8" s="458">
        <f>'_Engine_R50'!H58/12</f>
        <v/>
      </c>
      <c r="AD8" s="458">
        <f>'_Engine_R50'!H59/12</f>
        <v/>
      </c>
      <c r="AE8" s="458">
        <f>'_Engine_R50'!H60/12</f>
        <v/>
      </c>
      <c r="AF8" s="458">
        <f>'_Engine_R50'!H61/12</f>
        <v/>
      </c>
      <c r="AG8" s="458">
        <f>'_Engine_R50'!H62/12</f>
        <v/>
      </c>
      <c r="AH8" s="458">
        <f>'_Engine_R50'!H63/12</f>
        <v/>
      </c>
      <c r="AI8" s="458">
        <f>'_Engine_R50'!H64/12</f>
        <v/>
      </c>
      <c r="AJ8" s="458">
        <f>'_Engine_R50'!H65/12</f>
        <v/>
      </c>
      <c r="AK8" s="458">
        <f>'_Engine_R50'!H66/12</f>
        <v/>
      </c>
      <c r="AL8" s="459">
        <f>'_Engine_R50'!H67/12</f>
        <v/>
      </c>
      <c r="AM8" s="459">
        <f>'_Engine_R50'!H68/12</f>
        <v/>
      </c>
      <c r="AN8" s="459">
        <f>'_Engine_R50'!H69/12</f>
        <v/>
      </c>
      <c r="AO8" s="459">
        <f>'_Engine_R50'!H70/12</f>
        <v/>
      </c>
      <c r="AP8" s="459">
        <f>'_Engine_R50'!H71/12</f>
        <v/>
      </c>
      <c r="AQ8" s="459">
        <f>'_Engine_R50'!H72/12</f>
        <v/>
      </c>
      <c r="AR8" s="459">
        <f>'_Engine_R50'!H73/12</f>
        <v/>
      </c>
      <c r="AS8" s="459">
        <f>'_Engine_R50'!H74/12</f>
        <v/>
      </c>
      <c r="AT8" s="459">
        <f>'_Engine_R50'!H75/12</f>
        <v/>
      </c>
      <c r="AU8" s="459">
        <f>'_Engine_R50'!H76/12</f>
        <v/>
      </c>
      <c r="AV8" s="459">
        <f>'_Engine_R50'!H77/12</f>
        <v/>
      </c>
      <c r="AW8" s="459">
        <f>'_Engine_R50'!H78/12</f>
        <v/>
      </c>
      <c r="AX8" s="458">
        <f>'_Engine_R50'!H79/12</f>
        <v/>
      </c>
      <c r="AY8" s="458">
        <f>'_Engine_R50'!H80/12</f>
        <v/>
      </c>
      <c r="AZ8" s="458">
        <f>'_Engine_R50'!H81/12</f>
        <v/>
      </c>
      <c r="BA8" s="458">
        <f>'_Engine_R50'!H82/12</f>
        <v/>
      </c>
      <c r="BB8" s="458">
        <f>'_Engine_R50'!H83/12</f>
        <v/>
      </c>
      <c r="BC8" s="458">
        <f>'_Engine_R50'!H84/12</f>
        <v/>
      </c>
      <c r="BD8" s="458">
        <f>'_Engine_R50'!H85/12</f>
        <v/>
      </c>
      <c r="BE8" s="458">
        <f>'_Engine_R50'!H86/12</f>
        <v/>
      </c>
      <c r="BF8" s="458">
        <f>'_Engine_R50'!H87/12</f>
        <v/>
      </c>
      <c r="BG8" s="458">
        <f>'_Engine_R50'!H88/12</f>
        <v/>
      </c>
      <c r="BH8" s="458">
        <f>'_Engine_R50'!H89/12</f>
        <v/>
      </c>
      <c r="BI8" s="458">
        <f>'_Engine_R50'!H90/12</f>
        <v/>
      </c>
      <c r="BJ8" s="459">
        <f>'_Engine_R50'!H91/12</f>
        <v/>
      </c>
      <c r="BK8" s="459">
        <f>'_Engine_R50'!H92/12</f>
        <v/>
      </c>
      <c r="BL8" s="459">
        <f>'_Engine_R50'!H93/12</f>
        <v/>
      </c>
      <c r="BM8" s="459">
        <f>'_Engine_R50'!H94/12</f>
        <v/>
      </c>
      <c r="BN8" s="459">
        <f>'_Engine_R50'!H95/12</f>
        <v/>
      </c>
      <c r="BO8" s="459">
        <f>'_Engine_R50'!H96/12</f>
        <v/>
      </c>
      <c r="BP8" s="459">
        <f>'_Engine_R50'!H97/12</f>
        <v/>
      </c>
      <c r="BQ8" s="459">
        <f>'_Engine_R50'!H98/12</f>
        <v/>
      </c>
      <c r="BR8" s="459">
        <f>'_Engine_R50'!H99/12</f>
        <v/>
      </c>
      <c r="BS8" s="459">
        <f>'_Engine_R50'!H100/12</f>
        <v/>
      </c>
      <c r="BT8" s="459">
        <f>'_Engine_R50'!H101/12</f>
        <v/>
      </c>
      <c r="BU8" s="459">
        <f>'_Engine_R50'!H102/12</f>
        <v/>
      </c>
      <c r="BV8" s="458">
        <f>'_Engine_R50'!H103/12</f>
        <v/>
      </c>
      <c r="BW8" s="458">
        <f>'_Engine_R50'!H104/12</f>
        <v/>
      </c>
      <c r="BX8" s="458">
        <f>'_Engine_R50'!H105/12</f>
        <v/>
      </c>
      <c r="BY8" s="458">
        <f>'_Engine_R50'!H106/12</f>
        <v/>
      </c>
      <c r="BZ8" s="458">
        <f>'_Engine_R50'!H107/12</f>
        <v/>
      </c>
      <c r="CA8" s="458">
        <f>'_Engine_R50'!H108/12</f>
        <v/>
      </c>
      <c r="CB8" s="458">
        <f>'_Engine_R50'!H109/12</f>
        <v/>
      </c>
      <c r="CC8" s="458">
        <f>'_Engine_R50'!H110/12</f>
        <v/>
      </c>
      <c r="CD8" s="458">
        <f>'_Engine_R50'!H111/12</f>
        <v/>
      </c>
      <c r="CE8" s="458">
        <f>'_Engine_R50'!H112/12</f>
        <v/>
      </c>
      <c r="CF8" s="458">
        <f>'_Engine_R50'!H113/12</f>
        <v/>
      </c>
      <c r="CG8" s="458">
        <f>'_Engine_R50'!H114/12</f>
        <v/>
      </c>
      <c r="CH8" s="459">
        <f>'_Engine_R50'!H115/12</f>
        <v/>
      </c>
      <c r="CI8" s="459">
        <f>'_Engine_R50'!H116/12</f>
        <v/>
      </c>
      <c r="CJ8" s="459">
        <f>'_Engine_R50'!H117/12</f>
        <v/>
      </c>
      <c r="CK8" s="459">
        <f>'_Engine_R50'!H118/12</f>
        <v/>
      </c>
      <c r="CL8" s="459">
        <f>'_Engine_R50'!H119/12</f>
        <v/>
      </c>
      <c r="CM8" s="459">
        <f>'_Engine_R50'!H120/12</f>
        <v/>
      </c>
      <c r="CN8" s="459">
        <f>'_Engine_R50'!H121/12</f>
        <v/>
      </c>
      <c r="CO8" s="459">
        <f>'_Engine_R50'!H122/12</f>
        <v/>
      </c>
      <c r="CP8" s="459">
        <f>'_Engine_R50'!H123/12</f>
        <v/>
      </c>
      <c r="CQ8" s="459">
        <f>'_Engine_R50'!H124/12</f>
        <v/>
      </c>
      <c r="CR8" s="459">
        <f>'_Engine_R50'!H125/12</f>
        <v/>
      </c>
      <c r="CS8" s="459">
        <f>'_Engine_R50'!H126/12</f>
        <v/>
      </c>
      <c r="CT8" s="458">
        <f>'_Engine_R50'!H127/12</f>
        <v/>
      </c>
      <c r="CU8" s="458">
        <f>'_Engine_R50'!H128/12</f>
        <v/>
      </c>
      <c r="CV8" s="458">
        <f>'_Engine_R50'!H129/12</f>
        <v/>
      </c>
      <c r="CW8" s="458">
        <f>'_Engine_R50'!H130/12</f>
        <v/>
      </c>
      <c r="CX8" s="458">
        <f>'_Engine_R50'!H131/12</f>
        <v/>
      </c>
      <c r="CY8" s="458">
        <f>'_Engine_R50'!H132/12</f>
        <v/>
      </c>
      <c r="CZ8" s="458">
        <f>'_Engine_R50'!H133/12</f>
        <v/>
      </c>
      <c r="DA8" s="458">
        <f>'_Engine_R50'!H134/12</f>
        <v/>
      </c>
      <c r="DB8" s="458">
        <f>'_Engine_R50'!H135/12</f>
        <v/>
      </c>
      <c r="DC8" s="458">
        <f>'_Engine_R50'!H136/12</f>
        <v/>
      </c>
      <c r="DD8" s="458">
        <f>'_Engine_R50'!H137/12</f>
        <v/>
      </c>
      <c r="DE8" s="458">
        <f>'_Engine_R50'!H138/12</f>
        <v/>
      </c>
      <c r="DF8" s="459">
        <f>'_Engine_R50'!H139/12</f>
        <v/>
      </c>
      <c r="DG8" s="459">
        <f>'_Engine_R50'!H140/12</f>
        <v/>
      </c>
      <c r="DH8" s="459">
        <f>'_Engine_R50'!H141/12</f>
        <v/>
      </c>
      <c r="DI8" s="459">
        <f>'_Engine_R50'!H142/12</f>
        <v/>
      </c>
      <c r="DJ8" s="459">
        <f>'_Engine_R50'!H143/12</f>
        <v/>
      </c>
      <c r="DK8" s="459">
        <f>'_Engine_R50'!H144/12</f>
        <v/>
      </c>
      <c r="DL8" s="459">
        <f>'_Engine_R50'!H145/12</f>
        <v/>
      </c>
      <c r="DM8" s="459">
        <f>'_Engine_R50'!H146/12</f>
        <v/>
      </c>
      <c r="DN8" s="459">
        <f>'_Engine_R50'!H147/12</f>
        <v/>
      </c>
      <c r="DO8" s="459">
        <f>'_Engine_R50'!H148/12</f>
        <v/>
      </c>
      <c r="DP8" s="459">
        <f>'_Engine_R50'!H149/12</f>
        <v/>
      </c>
      <c r="DQ8" s="459">
        <f>'_Engine_R50'!H150/12</f>
        <v/>
      </c>
      <c r="DR8" s="458">
        <f>'_Engine_R50'!H151/12</f>
        <v/>
      </c>
      <c r="DS8" s="458">
        <f>'_Engine_R50'!H152/12</f>
        <v/>
      </c>
      <c r="DT8" s="458">
        <f>'_Engine_R50'!H153/12</f>
        <v/>
      </c>
      <c r="DU8" s="458">
        <f>'_Engine_R50'!H154/12</f>
        <v/>
      </c>
      <c r="DV8" s="458">
        <f>'_Engine_R50'!H155/12</f>
        <v/>
      </c>
      <c r="DW8" s="458">
        <f>'_Engine_R50'!H156/12</f>
        <v/>
      </c>
      <c r="DX8" s="458">
        <f>'_Engine_R50'!H157/12</f>
        <v/>
      </c>
      <c r="DY8" s="458">
        <f>'_Engine_R50'!H158/12</f>
        <v/>
      </c>
      <c r="DZ8" s="458">
        <f>'_Engine_R50'!H159/12</f>
        <v/>
      </c>
      <c r="EA8" s="458">
        <f>'_Engine_R50'!H160/12</f>
        <v/>
      </c>
      <c r="EB8" s="458">
        <f>'_Engine_R50'!H161/12</f>
        <v/>
      </c>
      <c r="EC8" s="458">
        <f>'_Engine_R50'!H162/12</f>
        <v/>
      </c>
      <c r="ED8" s="459">
        <f>'_Engine_R50'!H163/12</f>
        <v/>
      </c>
      <c r="EE8" s="459">
        <f>'_Engine_R50'!H164/12</f>
        <v/>
      </c>
      <c r="EF8" s="459">
        <f>'_Engine_R50'!H165/12</f>
        <v/>
      </c>
      <c r="EG8" s="459">
        <f>'_Engine_R50'!H166/12</f>
        <v/>
      </c>
      <c r="EH8" s="459">
        <f>'_Engine_R50'!H167/12</f>
        <v/>
      </c>
      <c r="EI8" s="459">
        <f>'_Engine_R50'!H168/12</f>
        <v/>
      </c>
      <c r="EJ8" s="459">
        <f>'_Engine_R50'!H169/12</f>
        <v/>
      </c>
      <c r="EK8" s="459">
        <f>'_Engine_R50'!H170/12</f>
        <v/>
      </c>
      <c r="EL8" s="459">
        <f>'_Engine_R50'!H171/12</f>
        <v/>
      </c>
      <c r="EM8" s="459">
        <f>'_Engine_R50'!H172/12</f>
        <v/>
      </c>
      <c r="EN8" s="459">
        <f>'_Engine_R50'!H173/12</f>
        <v/>
      </c>
      <c r="EO8" s="459">
        <f>'_Engine_R50'!H174/12</f>
        <v/>
      </c>
      <c r="EP8" s="458">
        <f>'_Engine_R50'!H175/12</f>
        <v/>
      </c>
      <c r="EQ8" s="458">
        <f>'_Engine_R50'!H176/12</f>
        <v/>
      </c>
      <c r="ER8" s="458">
        <f>'_Engine_R50'!H177/12</f>
        <v/>
      </c>
      <c r="ES8" s="458">
        <f>'_Engine_R50'!H178/12</f>
        <v/>
      </c>
      <c r="ET8" s="458">
        <f>'_Engine_R50'!H179/12</f>
        <v/>
      </c>
      <c r="EU8" s="458">
        <f>'_Engine_R50'!H180/12</f>
        <v/>
      </c>
      <c r="EV8" s="458">
        <f>'_Engine_R50'!H181/12</f>
        <v/>
      </c>
      <c r="EW8" s="458">
        <f>'_Engine_R50'!H182/12</f>
        <v/>
      </c>
      <c r="EX8" s="458">
        <f>'_Engine_R50'!H183/12</f>
        <v/>
      </c>
      <c r="EY8" s="458">
        <f>'_Engine_R50'!H184/12</f>
        <v/>
      </c>
      <c r="EZ8" s="458">
        <f>'_Engine_R50'!H185/12</f>
        <v/>
      </c>
      <c r="FA8" s="458">
        <f>'_Engine_R50'!H186/12</f>
        <v/>
      </c>
      <c r="FB8" s="459">
        <f>'_Engine_R50'!H187/12</f>
        <v/>
      </c>
      <c r="FC8" s="459">
        <f>'_Engine_R50'!H188/12</f>
        <v/>
      </c>
      <c r="FD8" s="459">
        <f>'_Engine_R50'!H189/12</f>
        <v/>
      </c>
      <c r="FE8" s="459">
        <f>'_Engine_R50'!H190/12</f>
        <v/>
      </c>
      <c r="FF8" s="459">
        <f>'_Engine_R50'!H191/12</f>
        <v/>
      </c>
      <c r="FG8" s="459">
        <f>'_Engine_R50'!H192/12</f>
        <v/>
      </c>
      <c r="FH8" s="459">
        <f>'_Engine_R50'!H193/12</f>
        <v/>
      </c>
      <c r="FI8" s="459">
        <f>'_Engine_R50'!H194/12</f>
        <v/>
      </c>
      <c r="FJ8" s="459">
        <f>'_Engine_R50'!H195/12</f>
        <v/>
      </c>
      <c r="FK8" s="459">
        <f>'_Engine_R50'!H196/12</f>
        <v/>
      </c>
      <c r="FL8" s="459">
        <f>'_Engine_R50'!H197/12</f>
        <v/>
      </c>
      <c r="FM8" s="459">
        <f>'_Engine_R50'!H198/12</f>
        <v/>
      </c>
      <c r="FN8" s="458">
        <f>'_Engine_R50'!H199/12</f>
        <v/>
      </c>
      <c r="FO8" s="458">
        <f>'_Engine_R50'!H200/12</f>
        <v/>
      </c>
      <c r="FP8" s="458">
        <f>'_Engine_R50'!H201/12</f>
        <v/>
      </c>
      <c r="FQ8" s="458">
        <f>'_Engine_R50'!H202/12</f>
        <v/>
      </c>
      <c r="FR8" s="458">
        <f>'_Engine_R50'!H203/12</f>
        <v/>
      </c>
      <c r="FS8" s="458">
        <f>'_Engine_R50'!H204/12</f>
        <v/>
      </c>
      <c r="FT8" s="458">
        <f>'_Engine_R50'!H205/12</f>
        <v/>
      </c>
      <c r="FU8" s="458">
        <f>'_Engine_R50'!H206/12</f>
        <v/>
      </c>
      <c r="FV8" s="458">
        <f>'_Engine_R50'!H207/12</f>
        <v/>
      </c>
      <c r="FW8" s="458">
        <f>'_Engine_R50'!H208/12</f>
        <v/>
      </c>
      <c r="FX8" s="458">
        <f>'_Engine_R50'!H209/12</f>
        <v/>
      </c>
      <c r="FY8" s="458">
        <f>'_Engine_R50'!H210/12</f>
        <v/>
      </c>
      <c r="FZ8" s="306" t="n"/>
    </row>
    <row r="9" ht="15" customHeight="1" s="307">
      <c r="A9" s="321" t="inlineStr">
        <is>
          <t xml:space="preserve">    Deal #4</t>
        </is>
      </c>
      <c r="B9" s="458">
        <f>'_Engine_R50'!I31/12</f>
        <v/>
      </c>
      <c r="C9" s="458">
        <f>'_Engine_R50'!I32/12</f>
        <v/>
      </c>
      <c r="D9" s="458">
        <f>'_Engine_R50'!I33/12</f>
        <v/>
      </c>
      <c r="E9" s="458">
        <f>'_Engine_R50'!I34/12</f>
        <v/>
      </c>
      <c r="F9" s="458">
        <f>'_Engine_R50'!I35/12</f>
        <v/>
      </c>
      <c r="G9" s="458">
        <f>'_Engine_R50'!I36/12</f>
        <v/>
      </c>
      <c r="H9" s="458">
        <f>'_Engine_R50'!I37/12</f>
        <v/>
      </c>
      <c r="I9" s="458">
        <f>'_Engine_R50'!I38/12</f>
        <v/>
      </c>
      <c r="J9" s="458">
        <f>'_Engine_R50'!I39/12</f>
        <v/>
      </c>
      <c r="K9" s="458">
        <f>'_Engine_R50'!I40/12</f>
        <v/>
      </c>
      <c r="L9" s="458">
        <f>'_Engine_R50'!I41/12</f>
        <v/>
      </c>
      <c r="M9" s="458">
        <f>'_Engine_R50'!I42/12</f>
        <v/>
      </c>
      <c r="N9" s="459">
        <f>'_Engine_R50'!I43/12</f>
        <v/>
      </c>
      <c r="O9" s="459">
        <f>'_Engine_R50'!I44/12</f>
        <v/>
      </c>
      <c r="P9" s="459">
        <f>'_Engine_R50'!I45/12</f>
        <v/>
      </c>
      <c r="Q9" s="459">
        <f>'_Engine_R50'!I46/12</f>
        <v/>
      </c>
      <c r="R9" s="459">
        <f>'_Engine_R50'!I47/12</f>
        <v/>
      </c>
      <c r="S9" s="459">
        <f>'_Engine_R50'!I48/12</f>
        <v/>
      </c>
      <c r="T9" s="459">
        <f>'_Engine_R50'!I49/12</f>
        <v/>
      </c>
      <c r="U9" s="459">
        <f>'_Engine_R50'!I50/12</f>
        <v/>
      </c>
      <c r="V9" s="459">
        <f>'_Engine_R50'!I51/12</f>
        <v/>
      </c>
      <c r="W9" s="459">
        <f>'_Engine_R50'!I52/12</f>
        <v/>
      </c>
      <c r="X9" s="459">
        <f>'_Engine_R50'!I53/12</f>
        <v/>
      </c>
      <c r="Y9" s="459">
        <f>'_Engine_R50'!I54/12</f>
        <v/>
      </c>
      <c r="Z9" s="458">
        <f>'_Engine_R50'!I55/12</f>
        <v/>
      </c>
      <c r="AA9" s="458">
        <f>'_Engine_R50'!I56/12</f>
        <v/>
      </c>
      <c r="AB9" s="458">
        <f>'_Engine_R50'!I57/12</f>
        <v/>
      </c>
      <c r="AC9" s="458">
        <f>'_Engine_R50'!I58/12</f>
        <v/>
      </c>
      <c r="AD9" s="458">
        <f>'_Engine_R50'!I59/12</f>
        <v/>
      </c>
      <c r="AE9" s="458">
        <f>'_Engine_R50'!I60/12</f>
        <v/>
      </c>
      <c r="AF9" s="458">
        <f>'_Engine_R50'!I61/12</f>
        <v/>
      </c>
      <c r="AG9" s="458">
        <f>'_Engine_R50'!I62/12</f>
        <v/>
      </c>
      <c r="AH9" s="458">
        <f>'_Engine_R50'!I63/12</f>
        <v/>
      </c>
      <c r="AI9" s="458">
        <f>'_Engine_R50'!I64/12</f>
        <v/>
      </c>
      <c r="AJ9" s="458">
        <f>'_Engine_R50'!I65/12</f>
        <v/>
      </c>
      <c r="AK9" s="458">
        <f>'_Engine_R50'!I66/12</f>
        <v/>
      </c>
      <c r="AL9" s="459">
        <f>'_Engine_R50'!I67/12</f>
        <v/>
      </c>
      <c r="AM9" s="459">
        <f>'_Engine_R50'!I68/12</f>
        <v/>
      </c>
      <c r="AN9" s="459">
        <f>'_Engine_R50'!I69/12</f>
        <v/>
      </c>
      <c r="AO9" s="459">
        <f>'_Engine_R50'!I70/12</f>
        <v/>
      </c>
      <c r="AP9" s="459">
        <f>'_Engine_R50'!I71/12</f>
        <v/>
      </c>
      <c r="AQ9" s="459">
        <f>'_Engine_R50'!I72/12</f>
        <v/>
      </c>
      <c r="AR9" s="459">
        <f>'_Engine_R50'!I73/12</f>
        <v/>
      </c>
      <c r="AS9" s="459">
        <f>'_Engine_R50'!I74/12</f>
        <v/>
      </c>
      <c r="AT9" s="459">
        <f>'_Engine_R50'!I75/12</f>
        <v/>
      </c>
      <c r="AU9" s="459">
        <f>'_Engine_R50'!I76/12</f>
        <v/>
      </c>
      <c r="AV9" s="459">
        <f>'_Engine_R50'!I77/12</f>
        <v/>
      </c>
      <c r="AW9" s="459">
        <f>'_Engine_R50'!I78/12</f>
        <v/>
      </c>
      <c r="AX9" s="458">
        <f>'_Engine_R50'!I79/12</f>
        <v/>
      </c>
      <c r="AY9" s="458">
        <f>'_Engine_R50'!I80/12</f>
        <v/>
      </c>
      <c r="AZ9" s="458">
        <f>'_Engine_R50'!I81/12</f>
        <v/>
      </c>
      <c r="BA9" s="458">
        <f>'_Engine_R50'!I82/12</f>
        <v/>
      </c>
      <c r="BB9" s="458">
        <f>'_Engine_R50'!I83/12</f>
        <v/>
      </c>
      <c r="BC9" s="458">
        <f>'_Engine_R50'!I84/12</f>
        <v/>
      </c>
      <c r="BD9" s="458">
        <f>'_Engine_R50'!I85/12</f>
        <v/>
      </c>
      <c r="BE9" s="458">
        <f>'_Engine_R50'!I86/12</f>
        <v/>
      </c>
      <c r="BF9" s="458">
        <f>'_Engine_R50'!I87/12</f>
        <v/>
      </c>
      <c r="BG9" s="458">
        <f>'_Engine_R50'!I88/12</f>
        <v/>
      </c>
      <c r="BH9" s="458">
        <f>'_Engine_R50'!I89/12</f>
        <v/>
      </c>
      <c r="BI9" s="458">
        <f>'_Engine_R50'!I90/12</f>
        <v/>
      </c>
      <c r="BJ9" s="459">
        <f>'_Engine_R50'!I91/12</f>
        <v/>
      </c>
      <c r="BK9" s="459">
        <f>'_Engine_R50'!I92/12</f>
        <v/>
      </c>
      <c r="BL9" s="459">
        <f>'_Engine_R50'!I93/12</f>
        <v/>
      </c>
      <c r="BM9" s="459">
        <f>'_Engine_R50'!I94/12</f>
        <v/>
      </c>
      <c r="BN9" s="459">
        <f>'_Engine_R50'!I95/12</f>
        <v/>
      </c>
      <c r="BO9" s="459">
        <f>'_Engine_R50'!I96/12</f>
        <v/>
      </c>
      <c r="BP9" s="459">
        <f>'_Engine_R50'!I97/12</f>
        <v/>
      </c>
      <c r="BQ9" s="459">
        <f>'_Engine_R50'!I98/12</f>
        <v/>
      </c>
      <c r="BR9" s="459">
        <f>'_Engine_R50'!I99/12</f>
        <v/>
      </c>
      <c r="BS9" s="459">
        <f>'_Engine_R50'!I100/12</f>
        <v/>
      </c>
      <c r="BT9" s="459">
        <f>'_Engine_R50'!I101/12</f>
        <v/>
      </c>
      <c r="BU9" s="459">
        <f>'_Engine_R50'!I102/12</f>
        <v/>
      </c>
      <c r="BV9" s="458">
        <f>'_Engine_R50'!I103/12</f>
        <v/>
      </c>
      <c r="BW9" s="458">
        <f>'_Engine_R50'!I104/12</f>
        <v/>
      </c>
      <c r="BX9" s="458">
        <f>'_Engine_R50'!I105/12</f>
        <v/>
      </c>
      <c r="BY9" s="458">
        <f>'_Engine_R50'!I106/12</f>
        <v/>
      </c>
      <c r="BZ9" s="458">
        <f>'_Engine_R50'!I107/12</f>
        <v/>
      </c>
      <c r="CA9" s="458">
        <f>'_Engine_R50'!I108/12</f>
        <v/>
      </c>
      <c r="CB9" s="458">
        <f>'_Engine_R50'!I109/12</f>
        <v/>
      </c>
      <c r="CC9" s="458">
        <f>'_Engine_R50'!I110/12</f>
        <v/>
      </c>
      <c r="CD9" s="458">
        <f>'_Engine_R50'!I111/12</f>
        <v/>
      </c>
      <c r="CE9" s="458">
        <f>'_Engine_R50'!I112/12</f>
        <v/>
      </c>
      <c r="CF9" s="458">
        <f>'_Engine_R50'!I113/12</f>
        <v/>
      </c>
      <c r="CG9" s="458">
        <f>'_Engine_R50'!I114/12</f>
        <v/>
      </c>
      <c r="CH9" s="459">
        <f>'_Engine_R50'!I115/12</f>
        <v/>
      </c>
      <c r="CI9" s="459">
        <f>'_Engine_R50'!I116/12</f>
        <v/>
      </c>
      <c r="CJ9" s="459">
        <f>'_Engine_R50'!I117/12</f>
        <v/>
      </c>
      <c r="CK9" s="459">
        <f>'_Engine_R50'!I118/12</f>
        <v/>
      </c>
      <c r="CL9" s="459">
        <f>'_Engine_R50'!I119/12</f>
        <v/>
      </c>
      <c r="CM9" s="459">
        <f>'_Engine_R50'!I120/12</f>
        <v/>
      </c>
      <c r="CN9" s="459">
        <f>'_Engine_R50'!I121/12</f>
        <v/>
      </c>
      <c r="CO9" s="459">
        <f>'_Engine_R50'!I122/12</f>
        <v/>
      </c>
      <c r="CP9" s="459">
        <f>'_Engine_R50'!I123/12</f>
        <v/>
      </c>
      <c r="CQ9" s="459">
        <f>'_Engine_R50'!I124/12</f>
        <v/>
      </c>
      <c r="CR9" s="459">
        <f>'_Engine_R50'!I125/12</f>
        <v/>
      </c>
      <c r="CS9" s="459">
        <f>'_Engine_R50'!I126/12</f>
        <v/>
      </c>
      <c r="CT9" s="458">
        <f>'_Engine_R50'!I127/12</f>
        <v/>
      </c>
      <c r="CU9" s="458">
        <f>'_Engine_R50'!I128/12</f>
        <v/>
      </c>
      <c r="CV9" s="458">
        <f>'_Engine_R50'!I129/12</f>
        <v/>
      </c>
      <c r="CW9" s="458">
        <f>'_Engine_R50'!I130/12</f>
        <v/>
      </c>
      <c r="CX9" s="458">
        <f>'_Engine_R50'!I131/12</f>
        <v/>
      </c>
      <c r="CY9" s="458">
        <f>'_Engine_R50'!I132/12</f>
        <v/>
      </c>
      <c r="CZ9" s="458">
        <f>'_Engine_R50'!I133/12</f>
        <v/>
      </c>
      <c r="DA9" s="458">
        <f>'_Engine_R50'!I134/12</f>
        <v/>
      </c>
      <c r="DB9" s="458">
        <f>'_Engine_R50'!I135/12</f>
        <v/>
      </c>
      <c r="DC9" s="458">
        <f>'_Engine_R50'!I136/12</f>
        <v/>
      </c>
      <c r="DD9" s="458">
        <f>'_Engine_R50'!I137/12</f>
        <v/>
      </c>
      <c r="DE9" s="458">
        <f>'_Engine_R50'!I138/12</f>
        <v/>
      </c>
      <c r="DF9" s="459">
        <f>'_Engine_R50'!I139/12</f>
        <v/>
      </c>
      <c r="DG9" s="459">
        <f>'_Engine_R50'!I140/12</f>
        <v/>
      </c>
      <c r="DH9" s="459">
        <f>'_Engine_R50'!I141/12</f>
        <v/>
      </c>
      <c r="DI9" s="459">
        <f>'_Engine_R50'!I142/12</f>
        <v/>
      </c>
      <c r="DJ9" s="459">
        <f>'_Engine_R50'!I143/12</f>
        <v/>
      </c>
      <c r="DK9" s="459">
        <f>'_Engine_R50'!I144/12</f>
        <v/>
      </c>
      <c r="DL9" s="459">
        <f>'_Engine_R50'!I145/12</f>
        <v/>
      </c>
      <c r="DM9" s="459">
        <f>'_Engine_R50'!I146/12</f>
        <v/>
      </c>
      <c r="DN9" s="459">
        <f>'_Engine_R50'!I147/12</f>
        <v/>
      </c>
      <c r="DO9" s="459">
        <f>'_Engine_R50'!I148/12</f>
        <v/>
      </c>
      <c r="DP9" s="459">
        <f>'_Engine_R50'!I149/12</f>
        <v/>
      </c>
      <c r="DQ9" s="459">
        <f>'_Engine_R50'!I150/12</f>
        <v/>
      </c>
      <c r="DR9" s="458">
        <f>'_Engine_R50'!I151/12</f>
        <v/>
      </c>
      <c r="DS9" s="458">
        <f>'_Engine_R50'!I152/12</f>
        <v/>
      </c>
      <c r="DT9" s="458">
        <f>'_Engine_R50'!I153/12</f>
        <v/>
      </c>
      <c r="DU9" s="458">
        <f>'_Engine_R50'!I154/12</f>
        <v/>
      </c>
      <c r="DV9" s="458">
        <f>'_Engine_R50'!I155/12</f>
        <v/>
      </c>
      <c r="DW9" s="458">
        <f>'_Engine_R50'!I156/12</f>
        <v/>
      </c>
      <c r="DX9" s="458">
        <f>'_Engine_R50'!I157/12</f>
        <v/>
      </c>
      <c r="DY9" s="458">
        <f>'_Engine_R50'!I158/12</f>
        <v/>
      </c>
      <c r="DZ9" s="458">
        <f>'_Engine_R50'!I159/12</f>
        <v/>
      </c>
      <c r="EA9" s="458">
        <f>'_Engine_R50'!I160/12</f>
        <v/>
      </c>
      <c r="EB9" s="458">
        <f>'_Engine_R50'!I161/12</f>
        <v/>
      </c>
      <c r="EC9" s="458">
        <f>'_Engine_R50'!I162/12</f>
        <v/>
      </c>
      <c r="ED9" s="459">
        <f>'_Engine_R50'!I163/12</f>
        <v/>
      </c>
      <c r="EE9" s="459">
        <f>'_Engine_R50'!I164/12</f>
        <v/>
      </c>
      <c r="EF9" s="459">
        <f>'_Engine_R50'!I165/12</f>
        <v/>
      </c>
      <c r="EG9" s="459">
        <f>'_Engine_R50'!I166/12</f>
        <v/>
      </c>
      <c r="EH9" s="459">
        <f>'_Engine_R50'!I167/12</f>
        <v/>
      </c>
      <c r="EI9" s="459">
        <f>'_Engine_R50'!I168/12</f>
        <v/>
      </c>
      <c r="EJ9" s="459">
        <f>'_Engine_R50'!I169/12</f>
        <v/>
      </c>
      <c r="EK9" s="459">
        <f>'_Engine_R50'!I170/12</f>
        <v/>
      </c>
      <c r="EL9" s="459">
        <f>'_Engine_R50'!I171/12</f>
        <v/>
      </c>
      <c r="EM9" s="459">
        <f>'_Engine_R50'!I172/12</f>
        <v/>
      </c>
      <c r="EN9" s="459">
        <f>'_Engine_R50'!I173/12</f>
        <v/>
      </c>
      <c r="EO9" s="459">
        <f>'_Engine_R50'!I174/12</f>
        <v/>
      </c>
      <c r="EP9" s="458">
        <f>'_Engine_R50'!I175/12</f>
        <v/>
      </c>
      <c r="EQ9" s="458">
        <f>'_Engine_R50'!I176/12</f>
        <v/>
      </c>
      <c r="ER9" s="458">
        <f>'_Engine_R50'!I177/12</f>
        <v/>
      </c>
      <c r="ES9" s="458">
        <f>'_Engine_R50'!I178/12</f>
        <v/>
      </c>
      <c r="ET9" s="458">
        <f>'_Engine_R50'!I179/12</f>
        <v/>
      </c>
      <c r="EU9" s="458">
        <f>'_Engine_R50'!I180/12</f>
        <v/>
      </c>
      <c r="EV9" s="458">
        <f>'_Engine_R50'!I181/12</f>
        <v/>
      </c>
      <c r="EW9" s="458">
        <f>'_Engine_R50'!I182/12</f>
        <v/>
      </c>
      <c r="EX9" s="458">
        <f>'_Engine_R50'!I183/12</f>
        <v/>
      </c>
      <c r="EY9" s="458">
        <f>'_Engine_R50'!I184/12</f>
        <v/>
      </c>
      <c r="EZ9" s="458">
        <f>'_Engine_R50'!I185/12</f>
        <v/>
      </c>
      <c r="FA9" s="458">
        <f>'_Engine_R50'!I186/12</f>
        <v/>
      </c>
      <c r="FB9" s="459">
        <f>'_Engine_R50'!I187/12</f>
        <v/>
      </c>
      <c r="FC9" s="459">
        <f>'_Engine_R50'!I188/12</f>
        <v/>
      </c>
      <c r="FD9" s="459">
        <f>'_Engine_R50'!I189/12</f>
        <v/>
      </c>
      <c r="FE9" s="459">
        <f>'_Engine_R50'!I190/12</f>
        <v/>
      </c>
      <c r="FF9" s="459">
        <f>'_Engine_R50'!I191/12</f>
        <v/>
      </c>
      <c r="FG9" s="459">
        <f>'_Engine_R50'!I192/12</f>
        <v/>
      </c>
      <c r="FH9" s="459">
        <f>'_Engine_R50'!I193/12</f>
        <v/>
      </c>
      <c r="FI9" s="459">
        <f>'_Engine_R50'!I194/12</f>
        <v/>
      </c>
      <c r="FJ9" s="459">
        <f>'_Engine_R50'!I195/12</f>
        <v/>
      </c>
      <c r="FK9" s="459">
        <f>'_Engine_R50'!I196/12</f>
        <v/>
      </c>
      <c r="FL9" s="459">
        <f>'_Engine_R50'!I197/12</f>
        <v/>
      </c>
      <c r="FM9" s="459">
        <f>'_Engine_R50'!I198/12</f>
        <v/>
      </c>
      <c r="FN9" s="458">
        <f>'_Engine_R50'!I199/12</f>
        <v/>
      </c>
      <c r="FO9" s="458">
        <f>'_Engine_R50'!I200/12</f>
        <v/>
      </c>
      <c r="FP9" s="458">
        <f>'_Engine_R50'!I201/12</f>
        <v/>
      </c>
      <c r="FQ9" s="458">
        <f>'_Engine_R50'!I202/12</f>
        <v/>
      </c>
      <c r="FR9" s="458">
        <f>'_Engine_R50'!I203/12</f>
        <v/>
      </c>
      <c r="FS9" s="458">
        <f>'_Engine_R50'!I204/12</f>
        <v/>
      </c>
      <c r="FT9" s="458">
        <f>'_Engine_R50'!I205/12</f>
        <v/>
      </c>
      <c r="FU9" s="458">
        <f>'_Engine_R50'!I206/12</f>
        <v/>
      </c>
      <c r="FV9" s="458">
        <f>'_Engine_R50'!I207/12</f>
        <v/>
      </c>
      <c r="FW9" s="458">
        <f>'_Engine_R50'!I208/12</f>
        <v/>
      </c>
      <c r="FX9" s="458">
        <f>'_Engine_R50'!I209/12</f>
        <v/>
      </c>
      <c r="FY9" s="458">
        <f>'_Engine_R50'!I210/12</f>
        <v/>
      </c>
      <c r="FZ9" s="306" t="n"/>
    </row>
    <row r="10" ht="15" customHeight="1" s="307">
      <c r="A10" s="321" t="inlineStr">
        <is>
          <t xml:space="preserve">    Deal #5</t>
        </is>
      </c>
      <c r="B10" s="458">
        <f>'_Engine_R50'!J31/12</f>
        <v/>
      </c>
      <c r="C10" s="458">
        <f>'_Engine_R50'!J32/12</f>
        <v/>
      </c>
      <c r="D10" s="458">
        <f>'_Engine_R50'!J33/12</f>
        <v/>
      </c>
      <c r="E10" s="458">
        <f>'_Engine_R50'!J34/12</f>
        <v/>
      </c>
      <c r="F10" s="458">
        <f>'_Engine_R50'!J35/12</f>
        <v/>
      </c>
      <c r="G10" s="458">
        <f>'_Engine_R50'!J36/12</f>
        <v/>
      </c>
      <c r="H10" s="458">
        <f>'_Engine_R50'!J37/12</f>
        <v/>
      </c>
      <c r="I10" s="458">
        <f>'_Engine_R50'!J38/12</f>
        <v/>
      </c>
      <c r="J10" s="458">
        <f>'_Engine_R50'!J39/12</f>
        <v/>
      </c>
      <c r="K10" s="458">
        <f>'_Engine_R50'!J40/12</f>
        <v/>
      </c>
      <c r="L10" s="458">
        <f>'_Engine_R50'!J41/12</f>
        <v/>
      </c>
      <c r="M10" s="458">
        <f>'_Engine_R50'!J42/12</f>
        <v/>
      </c>
      <c r="N10" s="459">
        <f>'_Engine_R50'!J43/12</f>
        <v/>
      </c>
      <c r="O10" s="459">
        <f>'_Engine_R50'!J44/12</f>
        <v/>
      </c>
      <c r="P10" s="459">
        <f>'_Engine_R50'!J45/12</f>
        <v/>
      </c>
      <c r="Q10" s="459">
        <f>'_Engine_R50'!J46/12</f>
        <v/>
      </c>
      <c r="R10" s="459">
        <f>'_Engine_R50'!J47/12</f>
        <v/>
      </c>
      <c r="S10" s="459">
        <f>'_Engine_R50'!J48/12</f>
        <v/>
      </c>
      <c r="T10" s="459">
        <f>'_Engine_R50'!J49/12</f>
        <v/>
      </c>
      <c r="U10" s="459">
        <f>'_Engine_R50'!J50/12</f>
        <v/>
      </c>
      <c r="V10" s="459">
        <f>'_Engine_R50'!J51/12</f>
        <v/>
      </c>
      <c r="W10" s="459">
        <f>'_Engine_R50'!J52/12</f>
        <v/>
      </c>
      <c r="X10" s="459">
        <f>'_Engine_R50'!J53/12</f>
        <v/>
      </c>
      <c r="Y10" s="459">
        <f>'_Engine_R50'!J54/12</f>
        <v/>
      </c>
      <c r="Z10" s="458">
        <f>'_Engine_R50'!J55/12</f>
        <v/>
      </c>
      <c r="AA10" s="458">
        <f>'_Engine_R50'!J56/12</f>
        <v/>
      </c>
      <c r="AB10" s="458">
        <f>'_Engine_R50'!J57/12</f>
        <v/>
      </c>
      <c r="AC10" s="458">
        <f>'_Engine_R50'!J58/12</f>
        <v/>
      </c>
      <c r="AD10" s="458">
        <f>'_Engine_R50'!J59/12</f>
        <v/>
      </c>
      <c r="AE10" s="458">
        <f>'_Engine_R50'!J60/12</f>
        <v/>
      </c>
      <c r="AF10" s="458">
        <f>'_Engine_R50'!J61/12</f>
        <v/>
      </c>
      <c r="AG10" s="458">
        <f>'_Engine_R50'!J62/12</f>
        <v/>
      </c>
      <c r="AH10" s="458">
        <f>'_Engine_R50'!J63/12</f>
        <v/>
      </c>
      <c r="AI10" s="458">
        <f>'_Engine_R50'!J64/12</f>
        <v/>
      </c>
      <c r="AJ10" s="458">
        <f>'_Engine_R50'!J65/12</f>
        <v/>
      </c>
      <c r="AK10" s="458">
        <f>'_Engine_R50'!J66/12</f>
        <v/>
      </c>
      <c r="AL10" s="459">
        <f>'_Engine_R50'!J67/12</f>
        <v/>
      </c>
      <c r="AM10" s="459">
        <f>'_Engine_R50'!J68/12</f>
        <v/>
      </c>
      <c r="AN10" s="459">
        <f>'_Engine_R50'!J69/12</f>
        <v/>
      </c>
      <c r="AO10" s="459">
        <f>'_Engine_R50'!J70/12</f>
        <v/>
      </c>
      <c r="AP10" s="459">
        <f>'_Engine_R50'!J71/12</f>
        <v/>
      </c>
      <c r="AQ10" s="459">
        <f>'_Engine_R50'!J72/12</f>
        <v/>
      </c>
      <c r="AR10" s="459">
        <f>'_Engine_R50'!J73/12</f>
        <v/>
      </c>
      <c r="AS10" s="459">
        <f>'_Engine_R50'!J74/12</f>
        <v/>
      </c>
      <c r="AT10" s="459">
        <f>'_Engine_R50'!J75/12</f>
        <v/>
      </c>
      <c r="AU10" s="459">
        <f>'_Engine_R50'!J76/12</f>
        <v/>
      </c>
      <c r="AV10" s="459">
        <f>'_Engine_R50'!J77/12</f>
        <v/>
      </c>
      <c r="AW10" s="459">
        <f>'_Engine_R50'!J78/12</f>
        <v/>
      </c>
      <c r="AX10" s="458">
        <f>'_Engine_R50'!J79/12</f>
        <v/>
      </c>
      <c r="AY10" s="458">
        <f>'_Engine_R50'!J80/12</f>
        <v/>
      </c>
      <c r="AZ10" s="458">
        <f>'_Engine_R50'!J81/12</f>
        <v/>
      </c>
      <c r="BA10" s="458">
        <f>'_Engine_R50'!J82/12</f>
        <v/>
      </c>
      <c r="BB10" s="458">
        <f>'_Engine_R50'!J83/12</f>
        <v/>
      </c>
      <c r="BC10" s="458">
        <f>'_Engine_R50'!J84/12</f>
        <v/>
      </c>
      <c r="BD10" s="458">
        <f>'_Engine_R50'!J85/12</f>
        <v/>
      </c>
      <c r="BE10" s="458">
        <f>'_Engine_R50'!J86/12</f>
        <v/>
      </c>
      <c r="BF10" s="458">
        <f>'_Engine_R50'!J87/12</f>
        <v/>
      </c>
      <c r="BG10" s="458">
        <f>'_Engine_R50'!J88/12</f>
        <v/>
      </c>
      <c r="BH10" s="458">
        <f>'_Engine_R50'!J89/12</f>
        <v/>
      </c>
      <c r="BI10" s="458">
        <f>'_Engine_R50'!J90/12</f>
        <v/>
      </c>
      <c r="BJ10" s="459">
        <f>'_Engine_R50'!J91/12</f>
        <v/>
      </c>
      <c r="BK10" s="459">
        <f>'_Engine_R50'!J92/12</f>
        <v/>
      </c>
      <c r="BL10" s="459">
        <f>'_Engine_R50'!J93/12</f>
        <v/>
      </c>
      <c r="BM10" s="459">
        <f>'_Engine_R50'!J94/12</f>
        <v/>
      </c>
      <c r="BN10" s="459">
        <f>'_Engine_R50'!J95/12</f>
        <v/>
      </c>
      <c r="BO10" s="459">
        <f>'_Engine_R50'!J96/12</f>
        <v/>
      </c>
      <c r="BP10" s="459">
        <f>'_Engine_R50'!J97/12</f>
        <v/>
      </c>
      <c r="BQ10" s="459">
        <f>'_Engine_R50'!J98/12</f>
        <v/>
      </c>
      <c r="BR10" s="459">
        <f>'_Engine_R50'!J99/12</f>
        <v/>
      </c>
      <c r="BS10" s="459">
        <f>'_Engine_R50'!J100/12</f>
        <v/>
      </c>
      <c r="BT10" s="459">
        <f>'_Engine_R50'!J101/12</f>
        <v/>
      </c>
      <c r="BU10" s="459">
        <f>'_Engine_R50'!J102/12</f>
        <v/>
      </c>
      <c r="BV10" s="458">
        <f>'_Engine_R50'!J103/12</f>
        <v/>
      </c>
      <c r="BW10" s="458">
        <f>'_Engine_R50'!J104/12</f>
        <v/>
      </c>
      <c r="BX10" s="458">
        <f>'_Engine_R50'!J105/12</f>
        <v/>
      </c>
      <c r="BY10" s="458">
        <f>'_Engine_R50'!J106/12</f>
        <v/>
      </c>
      <c r="BZ10" s="458">
        <f>'_Engine_R50'!J107/12</f>
        <v/>
      </c>
      <c r="CA10" s="458">
        <f>'_Engine_R50'!J108/12</f>
        <v/>
      </c>
      <c r="CB10" s="458">
        <f>'_Engine_R50'!J109/12</f>
        <v/>
      </c>
      <c r="CC10" s="458">
        <f>'_Engine_R50'!J110/12</f>
        <v/>
      </c>
      <c r="CD10" s="458">
        <f>'_Engine_R50'!J111/12</f>
        <v/>
      </c>
      <c r="CE10" s="458">
        <f>'_Engine_R50'!J112/12</f>
        <v/>
      </c>
      <c r="CF10" s="458">
        <f>'_Engine_R50'!J113/12</f>
        <v/>
      </c>
      <c r="CG10" s="458">
        <f>'_Engine_R50'!J114/12</f>
        <v/>
      </c>
      <c r="CH10" s="459">
        <f>'_Engine_R50'!J115/12</f>
        <v/>
      </c>
      <c r="CI10" s="459">
        <f>'_Engine_R50'!J116/12</f>
        <v/>
      </c>
      <c r="CJ10" s="459">
        <f>'_Engine_R50'!J117/12</f>
        <v/>
      </c>
      <c r="CK10" s="459">
        <f>'_Engine_R50'!J118/12</f>
        <v/>
      </c>
      <c r="CL10" s="459">
        <f>'_Engine_R50'!J119/12</f>
        <v/>
      </c>
      <c r="CM10" s="459">
        <f>'_Engine_R50'!J120/12</f>
        <v/>
      </c>
      <c r="CN10" s="459">
        <f>'_Engine_R50'!J121/12</f>
        <v/>
      </c>
      <c r="CO10" s="459">
        <f>'_Engine_R50'!J122/12</f>
        <v/>
      </c>
      <c r="CP10" s="459">
        <f>'_Engine_R50'!J123/12</f>
        <v/>
      </c>
      <c r="CQ10" s="459">
        <f>'_Engine_R50'!J124/12</f>
        <v/>
      </c>
      <c r="CR10" s="459">
        <f>'_Engine_R50'!J125/12</f>
        <v/>
      </c>
      <c r="CS10" s="459">
        <f>'_Engine_R50'!J126/12</f>
        <v/>
      </c>
      <c r="CT10" s="458">
        <f>'_Engine_R50'!J127/12</f>
        <v/>
      </c>
      <c r="CU10" s="458">
        <f>'_Engine_R50'!J128/12</f>
        <v/>
      </c>
      <c r="CV10" s="458">
        <f>'_Engine_R50'!J129/12</f>
        <v/>
      </c>
      <c r="CW10" s="458">
        <f>'_Engine_R50'!J130/12</f>
        <v/>
      </c>
      <c r="CX10" s="458">
        <f>'_Engine_R50'!J131/12</f>
        <v/>
      </c>
      <c r="CY10" s="458">
        <f>'_Engine_R50'!J132/12</f>
        <v/>
      </c>
      <c r="CZ10" s="458">
        <f>'_Engine_R50'!J133/12</f>
        <v/>
      </c>
      <c r="DA10" s="458">
        <f>'_Engine_R50'!J134/12</f>
        <v/>
      </c>
      <c r="DB10" s="458">
        <f>'_Engine_R50'!J135/12</f>
        <v/>
      </c>
      <c r="DC10" s="458">
        <f>'_Engine_R50'!J136/12</f>
        <v/>
      </c>
      <c r="DD10" s="458">
        <f>'_Engine_R50'!J137/12</f>
        <v/>
      </c>
      <c r="DE10" s="458">
        <f>'_Engine_R50'!J138/12</f>
        <v/>
      </c>
      <c r="DF10" s="459">
        <f>'_Engine_R50'!J139/12</f>
        <v/>
      </c>
      <c r="DG10" s="459">
        <f>'_Engine_R50'!J140/12</f>
        <v/>
      </c>
      <c r="DH10" s="459">
        <f>'_Engine_R50'!J141/12</f>
        <v/>
      </c>
      <c r="DI10" s="459">
        <f>'_Engine_R50'!J142/12</f>
        <v/>
      </c>
      <c r="DJ10" s="459">
        <f>'_Engine_R50'!J143/12</f>
        <v/>
      </c>
      <c r="DK10" s="459">
        <f>'_Engine_R50'!J144/12</f>
        <v/>
      </c>
      <c r="DL10" s="459">
        <f>'_Engine_R50'!J145/12</f>
        <v/>
      </c>
      <c r="DM10" s="459">
        <f>'_Engine_R50'!J146/12</f>
        <v/>
      </c>
      <c r="DN10" s="459">
        <f>'_Engine_R50'!J147/12</f>
        <v/>
      </c>
      <c r="DO10" s="459">
        <f>'_Engine_R50'!J148/12</f>
        <v/>
      </c>
      <c r="DP10" s="459">
        <f>'_Engine_R50'!J149/12</f>
        <v/>
      </c>
      <c r="DQ10" s="459">
        <f>'_Engine_R50'!J150/12</f>
        <v/>
      </c>
      <c r="DR10" s="458">
        <f>'_Engine_R50'!J151/12</f>
        <v/>
      </c>
      <c r="DS10" s="458">
        <f>'_Engine_R50'!J152/12</f>
        <v/>
      </c>
      <c r="DT10" s="458">
        <f>'_Engine_R50'!J153/12</f>
        <v/>
      </c>
      <c r="DU10" s="458">
        <f>'_Engine_R50'!J154/12</f>
        <v/>
      </c>
      <c r="DV10" s="458">
        <f>'_Engine_R50'!J155/12</f>
        <v/>
      </c>
      <c r="DW10" s="458">
        <f>'_Engine_R50'!J156/12</f>
        <v/>
      </c>
      <c r="DX10" s="458">
        <f>'_Engine_R50'!J157/12</f>
        <v/>
      </c>
      <c r="DY10" s="458">
        <f>'_Engine_R50'!J158/12</f>
        <v/>
      </c>
      <c r="DZ10" s="458">
        <f>'_Engine_R50'!J159/12</f>
        <v/>
      </c>
      <c r="EA10" s="458">
        <f>'_Engine_R50'!J160/12</f>
        <v/>
      </c>
      <c r="EB10" s="458">
        <f>'_Engine_R50'!J161/12</f>
        <v/>
      </c>
      <c r="EC10" s="458">
        <f>'_Engine_R50'!J162/12</f>
        <v/>
      </c>
      <c r="ED10" s="459">
        <f>'_Engine_R50'!J163/12</f>
        <v/>
      </c>
      <c r="EE10" s="459">
        <f>'_Engine_R50'!J164/12</f>
        <v/>
      </c>
      <c r="EF10" s="459">
        <f>'_Engine_R50'!J165/12</f>
        <v/>
      </c>
      <c r="EG10" s="459">
        <f>'_Engine_R50'!J166/12</f>
        <v/>
      </c>
      <c r="EH10" s="459">
        <f>'_Engine_R50'!J167/12</f>
        <v/>
      </c>
      <c r="EI10" s="459">
        <f>'_Engine_R50'!J168/12</f>
        <v/>
      </c>
      <c r="EJ10" s="459">
        <f>'_Engine_R50'!J169/12</f>
        <v/>
      </c>
      <c r="EK10" s="459">
        <f>'_Engine_R50'!J170/12</f>
        <v/>
      </c>
      <c r="EL10" s="459">
        <f>'_Engine_R50'!J171/12</f>
        <v/>
      </c>
      <c r="EM10" s="459">
        <f>'_Engine_R50'!J172/12</f>
        <v/>
      </c>
      <c r="EN10" s="459">
        <f>'_Engine_R50'!J173/12</f>
        <v/>
      </c>
      <c r="EO10" s="459">
        <f>'_Engine_R50'!J174/12</f>
        <v/>
      </c>
      <c r="EP10" s="458">
        <f>'_Engine_R50'!J175/12</f>
        <v/>
      </c>
      <c r="EQ10" s="458">
        <f>'_Engine_R50'!J176/12</f>
        <v/>
      </c>
      <c r="ER10" s="458">
        <f>'_Engine_R50'!J177/12</f>
        <v/>
      </c>
      <c r="ES10" s="458">
        <f>'_Engine_R50'!J178/12</f>
        <v/>
      </c>
      <c r="ET10" s="458">
        <f>'_Engine_R50'!J179/12</f>
        <v/>
      </c>
      <c r="EU10" s="458">
        <f>'_Engine_R50'!J180/12</f>
        <v/>
      </c>
      <c r="EV10" s="458">
        <f>'_Engine_R50'!J181/12</f>
        <v/>
      </c>
      <c r="EW10" s="458">
        <f>'_Engine_R50'!J182/12</f>
        <v/>
      </c>
      <c r="EX10" s="458">
        <f>'_Engine_R50'!J183/12</f>
        <v/>
      </c>
      <c r="EY10" s="458">
        <f>'_Engine_R50'!J184/12</f>
        <v/>
      </c>
      <c r="EZ10" s="458">
        <f>'_Engine_R50'!J185/12</f>
        <v/>
      </c>
      <c r="FA10" s="458">
        <f>'_Engine_R50'!J186/12</f>
        <v/>
      </c>
      <c r="FB10" s="459">
        <f>'_Engine_R50'!J187/12</f>
        <v/>
      </c>
      <c r="FC10" s="459">
        <f>'_Engine_R50'!J188/12</f>
        <v/>
      </c>
      <c r="FD10" s="459">
        <f>'_Engine_R50'!J189/12</f>
        <v/>
      </c>
      <c r="FE10" s="459">
        <f>'_Engine_R50'!J190/12</f>
        <v/>
      </c>
      <c r="FF10" s="459">
        <f>'_Engine_R50'!J191/12</f>
        <v/>
      </c>
      <c r="FG10" s="459">
        <f>'_Engine_R50'!J192/12</f>
        <v/>
      </c>
      <c r="FH10" s="459">
        <f>'_Engine_R50'!J193/12</f>
        <v/>
      </c>
      <c r="FI10" s="459">
        <f>'_Engine_R50'!J194/12</f>
        <v/>
      </c>
      <c r="FJ10" s="459">
        <f>'_Engine_R50'!J195/12</f>
        <v/>
      </c>
      <c r="FK10" s="459">
        <f>'_Engine_R50'!J196/12</f>
        <v/>
      </c>
      <c r="FL10" s="459">
        <f>'_Engine_R50'!J197/12</f>
        <v/>
      </c>
      <c r="FM10" s="459">
        <f>'_Engine_R50'!J198/12</f>
        <v/>
      </c>
      <c r="FN10" s="458">
        <f>'_Engine_R50'!J199/12</f>
        <v/>
      </c>
      <c r="FO10" s="458">
        <f>'_Engine_R50'!J200/12</f>
        <v/>
      </c>
      <c r="FP10" s="458">
        <f>'_Engine_R50'!J201/12</f>
        <v/>
      </c>
      <c r="FQ10" s="458">
        <f>'_Engine_R50'!J202/12</f>
        <v/>
      </c>
      <c r="FR10" s="458">
        <f>'_Engine_R50'!J203/12</f>
        <v/>
      </c>
      <c r="FS10" s="458">
        <f>'_Engine_R50'!J204/12</f>
        <v/>
      </c>
      <c r="FT10" s="458">
        <f>'_Engine_R50'!J205/12</f>
        <v/>
      </c>
      <c r="FU10" s="458">
        <f>'_Engine_R50'!J206/12</f>
        <v/>
      </c>
      <c r="FV10" s="458">
        <f>'_Engine_R50'!J207/12</f>
        <v/>
      </c>
      <c r="FW10" s="458">
        <f>'_Engine_R50'!J208/12</f>
        <v/>
      </c>
      <c r="FX10" s="458">
        <f>'_Engine_R50'!J209/12</f>
        <v/>
      </c>
      <c r="FY10" s="458">
        <f>'_Engine_R50'!J210/12</f>
        <v/>
      </c>
      <c r="FZ10" s="306" t="n"/>
    </row>
    <row r="11" ht="15" customHeight="1" s="307">
      <c r="A11" s="321" t="inlineStr">
        <is>
          <t xml:space="preserve">    Deal #6</t>
        </is>
      </c>
      <c r="B11" s="458">
        <f>'_Engine_R50'!K31/12</f>
        <v/>
      </c>
      <c r="C11" s="458">
        <f>'_Engine_R50'!K32/12</f>
        <v/>
      </c>
      <c r="D11" s="458">
        <f>'_Engine_R50'!K33/12</f>
        <v/>
      </c>
      <c r="E11" s="458">
        <f>'_Engine_R50'!K34/12</f>
        <v/>
      </c>
      <c r="F11" s="458">
        <f>'_Engine_R50'!K35/12</f>
        <v/>
      </c>
      <c r="G11" s="458">
        <f>'_Engine_R50'!K36/12</f>
        <v/>
      </c>
      <c r="H11" s="458">
        <f>'_Engine_R50'!K37/12</f>
        <v/>
      </c>
      <c r="I11" s="458">
        <f>'_Engine_R50'!K38/12</f>
        <v/>
      </c>
      <c r="J11" s="458">
        <f>'_Engine_R50'!K39/12</f>
        <v/>
      </c>
      <c r="K11" s="458">
        <f>'_Engine_R50'!K40/12</f>
        <v/>
      </c>
      <c r="L11" s="458">
        <f>'_Engine_R50'!K41/12</f>
        <v/>
      </c>
      <c r="M11" s="458">
        <f>'_Engine_R50'!K42/12</f>
        <v/>
      </c>
      <c r="N11" s="459">
        <f>'_Engine_R50'!K43/12</f>
        <v/>
      </c>
      <c r="O11" s="459">
        <f>'_Engine_R50'!K44/12</f>
        <v/>
      </c>
      <c r="P11" s="459">
        <f>'_Engine_R50'!K45/12</f>
        <v/>
      </c>
      <c r="Q11" s="459">
        <f>'_Engine_R50'!K46/12</f>
        <v/>
      </c>
      <c r="R11" s="459">
        <f>'_Engine_R50'!K47/12</f>
        <v/>
      </c>
      <c r="S11" s="459">
        <f>'_Engine_R50'!K48/12</f>
        <v/>
      </c>
      <c r="T11" s="459">
        <f>'_Engine_R50'!K49/12</f>
        <v/>
      </c>
      <c r="U11" s="459">
        <f>'_Engine_R50'!K50/12</f>
        <v/>
      </c>
      <c r="V11" s="459">
        <f>'_Engine_R50'!K51/12</f>
        <v/>
      </c>
      <c r="W11" s="459">
        <f>'_Engine_R50'!K52/12</f>
        <v/>
      </c>
      <c r="X11" s="459">
        <f>'_Engine_R50'!K53/12</f>
        <v/>
      </c>
      <c r="Y11" s="459">
        <f>'_Engine_R50'!K54/12</f>
        <v/>
      </c>
      <c r="Z11" s="458">
        <f>'_Engine_R50'!K55/12</f>
        <v/>
      </c>
      <c r="AA11" s="458">
        <f>'_Engine_R50'!K56/12</f>
        <v/>
      </c>
      <c r="AB11" s="458">
        <f>'_Engine_R50'!K57/12</f>
        <v/>
      </c>
      <c r="AC11" s="458">
        <f>'_Engine_R50'!K58/12</f>
        <v/>
      </c>
      <c r="AD11" s="458">
        <f>'_Engine_R50'!K59/12</f>
        <v/>
      </c>
      <c r="AE11" s="458">
        <f>'_Engine_R50'!K60/12</f>
        <v/>
      </c>
      <c r="AF11" s="458">
        <f>'_Engine_R50'!K61/12</f>
        <v/>
      </c>
      <c r="AG11" s="458">
        <f>'_Engine_R50'!K62/12</f>
        <v/>
      </c>
      <c r="AH11" s="458">
        <f>'_Engine_R50'!K63/12</f>
        <v/>
      </c>
      <c r="AI11" s="458">
        <f>'_Engine_R50'!K64/12</f>
        <v/>
      </c>
      <c r="AJ11" s="458">
        <f>'_Engine_R50'!K65/12</f>
        <v/>
      </c>
      <c r="AK11" s="458">
        <f>'_Engine_R50'!K66/12</f>
        <v/>
      </c>
      <c r="AL11" s="459">
        <f>'_Engine_R50'!K67/12</f>
        <v/>
      </c>
      <c r="AM11" s="459">
        <f>'_Engine_R50'!K68/12</f>
        <v/>
      </c>
      <c r="AN11" s="459">
        <f>'_Engine_R50'!K69/12</f>
        <v/>
      </c>
      <c r="AO11" s="459">
        <f>'_Engine_R50'!K70/12</f>
        <v/>
      </c>
      <c r="AP11" s="459">
        <f>'_Engine_R50'!K71/12</f>
        <v/>
      </c>
      <c r="AQ11" s="459">
        <f>'_Engine_R50'!K72/12</f>
        <v/>
      </c>
      <c r="AR11" s="459">
        <f>'_Engine_R50'!K73/12</f>
        <v/>
      </c>
      <c r="AS11" s="459">
        <f>'_Engine_R50'!K74/12</f>
        <v/>
      </c>
      <c r="AT11" s="459">
        <f>'_Engine_R50'!K75/12</f>
        <v/>
      </c>
      <c r="AU11" s="459">
        <f>'_Engine_R50'!K76/12</f>
        <v/>
      </c>
      <c r="AV11" s="459">
        <f>'_Engine_R50'!K77/12</f>
        <v/>
      </c>
      <c r="AW11" s="459">
        <f>'_Engine_R50'!K78/12</f>
        <v/>
      </c>
      <c r="AX11" s="458">
        <f>'_Engine_R50'!K79/12</f>
        <v/>
      </c>
      <c r="AY11" s="458">
        <f>'_Engine_R50'!K80/12</f>
        <v/>
      </c>
      <c r="AZ11" s="458">
        <f>'_Engine_R50'!K81/12</f>
        <v/>
      </c>
      <c r="BA11" s="458">
        <f>'_Engine_R50'!K82/12</f>
        <v/>
      </c>
      <c r="BB11" s="458">
        <f>'_Engine_R50'!K83/12</f>
        <v/>
      </c>
      <c r="BC11" s="458">
        <f>'_Engine_R50'!K84/12</f>
        <v/>
      </c>
      <c r="BD11" s="458">
        <f>'_Engine_R50'!K85/12</f>
        <v/>
      </c>
      <c r="BE11" s="458">
        <f>'_Engine_R50'!K86/12</f>
        <v/>
      </c>
      <c r="BF11" s="458">
        <f>'_Engine_R50'!K87/12</f>
        <v/>
      </c>
      <c r="BG11" s="458">
        <f>'_Engine_R50'!K88/12</f>
        <v/>
      </c>
      <c r="BH11" s="458">
        <f>'_Engine_R50'!K89/12</f>
        <v/>
      </c>
      <c r="BI11" s="458">
        <f>'_Engine_R50'!K90/12</f>
        <v/>
      </c>
      <c r="BJ11" s="459">
        <f>'_Engine_R50'!K91/12</f>
        <v/>
      </c>
      <c r="BK11" s="459">
        <f>'_Engine_R50'!K92/12</f>
        <v/>
      </c>
      <c r="BL11" s="459">
        <f>'_Engine_R50'!K93/12</f>
        <v/>
      </c>
      <c r="BM11" s="459">
        <f>'_Engine_R50'!K94/12</f>
        <v/>
      </c>
      <c r="BN11" s="459">
        <f>'_Engine_R50'!K95/12</f>
        <v/>
      </c>
      <c r="BO11" s="459">
        <f>'_Engine_R50'!K96/12</f>
        <v/>
      </c>
      <c r="BP11" s="459">
        <f>'_Engine_R50'!K97/12</f>
        <v/>
      </c>
      <c r="BQ11" s="459">
        <f>'_Engine_R50'!K98/12</f>
        <v/>
      </c>
      <c r="BR11" s="459">
        <f>'_Engine_R50'!K99/12</f>
        <v/>
      </c>
      <c r="BS11" s="459">
        <f>'_Engine_R50'!K100/12</f>
        <v/>
      </c>
      <c r="BT11" s="459">
        <f>'_Engine_R50'!K101/12</f>
        <v/>
      </c>
      <c r="BU11" s="459">
        <f>'_Engine_R50'!K102/12</f>
        <v/>
      </c>
      <c r="BV11" s="458">
        <f>'_Engine_R50'!K103/12</f>
        <v/>
      </c>
      <c r="BW11" s="458">
        <f>'_Engine_R50'!K104/12</f>
        <v/>
      </c>
      <c r="BX11" s="458">
        <f>'_Engine_R50'!K105/12</f>
        <v/>
      </c>
      <c r="BY11" s="458">
        <f>'_Engine_R50'!K106/12</f>
        <v/>
      </c>
      <c r="BZ11" s="458">
        <f>'_Engine_R50'!K107/12</f>
        <v/>
      </c>
      <c r="CA11" s="458">
        <f>'_Engine_R50'!K108/12</f>
        <v/>
      </c>
      <c r="CB11" s="458">
        <f>'_Engine_R50'!K109/12</f>
        <v/>
      </c>
      <c r="CC11" s="458">
        <f>'_Engine_R50'!K110/12</f>
        <v/>
      </c>
      <c r="CD11" s="458">
        <f>'_Engine_R50'!K111/12</f>
        <v/>
      </c>
      <c r="CE11" s="458">
        <f>'_Engine_R50'!K112/12</f>
        <v/>
      </c>
      <c r="CF11" s="458">
        <f>'_Engine_R50'!K113/12</f>
        <v/>
      </c>
      <c r="CG11" s="458">
        <f>'_Engine_R50'!K114/12</f>
        <v/>
      </c>
      <c r="CH11" s="459">
        <f>'_Engine_R50'!K115/12</f>
        <v/>
      </c>
      <c r="CI11" s="459">
        <f>'_Engine_R50'!K116/12</f>
        <v/>
      </c>
      <c r="CJ11" s="459">
        <f>'_Engine_R50'!K117/12</f>
        <v/>
      </c>
      <c r="CK11" s="459">
        <f>'_Engine_R50'!K118/12</f>
        <v/>
      </c>
      <c r="CL11" s="459">
        <f>'_Engine_R50'!K119/12</f>
        <v/>
      </c>
      <c r="CM11" s="459">
        <f>'_Engine_R50'!K120/12</f>
        <v/>
      </c>
      <c r="CN11" s="459">
        <f>'_Engine_R50'!K121/12</f>
        <v/>
      </c>
      <c r="CO11" s="459">
        <f>'_Engine_R50'!K122/12</f>
        <v/>
      </c>
      <c r="CP11" s="459">
        <f>'_Engine_R50'!K123/12</f>
        <v/>
      </c>
      <c r="CQ11" s="459">
        <f>'_Engine_R50'!K124/12</f>
        <v/>
      </c>
      <c r="CR11" s="459">
        <f>'_Engine_R50'!K125/12</f>
        <v/>
      </c>
      <c r="CS11" s="459">
        <f>'_Engine_R50'!K126/12</f>
        <v/>
      </c>
      <c r="CT11" s="458">
        <f>'_Engine_R50'!K127/12</f>
        <v/>
      </c>
      <c r="CU11" s="458">
        <f>'_Engine_R50'!K128/12</f>
        <v/>
      </c>
      <c r="CV11" s="458">
        <f>'_Engine_R50'!K129/12</f>
        <v/>
      </c>
      <c r="CW11" s="458">
        <f>'_Engine_R50'!K130/12</f>
        <v/>
      </c>
      <c r="CX11" s="458">
        <f>'_Engine_R50'!K131/12</f>
        <v/>
      </c>
      <c r="CY11" s="458">
        <f>'_Engine_R50'!K132/12</f>
        <v/>
      </c>
      <c r="CZ11" s="458">
        <f>'_Engine_R50'!K133/12</f>
        <v/>
      </c>
      <c r="DA11" s="458">
        <f>'_Engine_R50'!K134/12</f>
        <v/>
      </c>
      <c r="DB11" s="458">
        <f>'_Engine_R50'!K135/12</f>
        <v/>
      </c>
      <c r="DC11" s="458">
        <f>'_Engine_R50'!K136/12</f>
        <v/>
      </c>
      <c r="DD11" s="458">
        <f>'_Engine_R50'!K137/12</f>
        <v/>
      </c>
      <c r="DE11" s="458">
        <f>'_Engine_R50'!K138/12</f>
        <v/>
      </c>
      <c r="DF11" s="459">
        <f>'_Engine_R50'!K139/12</f>
        <v/>
      </c>
      <c r="DG11" s="459">
        <f>'_Engine_R50'!K140/12</f>
        <v/>
      </c>
      <c r="DH11" s="459">
        <f>'_Engine_R50'!K141/12</f>
        <v/>
      </c>
      <c r="DI11" s="459">
        <f>'_Engine_R50'!K142/12</f>
        <v/>
      </c>
      <c r="DJ11" s="459">
        <f>'_Engine_R50'!K143/12</f>
        <v/>
      </c>
      <c r="DK11" s="459">
        <f>'_Engine_R50'!K144/12</f>
        <v/>
      </c>
      <c r="DL11" s="459">
        <f>'_Engine_R50'!K145/12</f>
        <v/>
      </c>
      <c r="DM11" s="459">
        <f>'_Engine_R50'!K146/12</f>
        <v/>
      </c>
      <c r="DN11" s="459">
        <f>'_Engine_R50'!K147/12</f>
        <v/>
      </c>
      <c r="DO11" s="459">
        <f>'_Engine_R50'!K148/12</f>
        <v/>
      </c>
      <c r="DP11" s="459">
        <f>'_Engine_R50'!K149/12</f>
        <v/>
      </c>
      <c r="DQ11" s="459">
        <f>'_Engine_R50'!K150/12</f>
        <v/>
      </c>
      <c r="DR11" s="458">
        <f>'_Engine_R50'!K151/12</f>
        <v/>
      </c>
      <c r="DS11" s="458">
        <f>'_Engine_R50'!K152/12</f>
        <v/>
      </c>
      <c r="DT11" s="458">
        <f>'_Engine_R50'!K153/12</f>
        <v/>
      </c>
      <c r="DU11" s="458">
        <f>'_Engine_R50'!K154/12</f>
        <v/>
      </c>
      <c r="DV11" s="458">
        <f>'_Engine_R50'!K155/12</f>
        <v/>
      </c>
      <c r="DW11" s="458">
        <f>'_Engine_R50'!K156/12</f>
        <v/>
      </c>
      <c r="DX11" s="458">
        <f>'_Engine_R50'!K157/12</f>
        <v/>
      </c>
      <c r="DY11" s="458">
        <f>'_Engine_R50'!K158/12</f>
        <v/>
      </c>
      <c r="DZ11" s="458">
        <f>'_Engine_R50'!K159/12</f>
        <v/>
      </c>
      <c r="EA11" s="458">
        <f>'_Engine_R50'!K160/12</f>
        <v/>
      </c>
      <c r="EB11" s="458">
        <f>'_Engine_R50'!K161/12</f>
        <v/>
      </c>
      <c r="EC11" s="458">
        <f>'_Engine_R50'!K162/12</f>
        <v/>
      </c>
      <c r="ED11" s="459">
        <f>'_Engine_R50'!K163/12</f>
        <v/>
      </c>
      <c r="EE11" s="459">
        <f>'_Engine_R50'!K164/12</f>
        <v/>
      </c>
      <c r="EF11" s="459">
        <f>'_Engine_R50'!K165/12</f>
        <v/>
      </c>
      <c r="EG11" s="459">
        <f>'_Engine_R50'!K166/12</f>
        <v/>
      </c>
      <c r="EH11" s="459">
        <f>'_Engine_R50'!K167/12</f>
        <v/>
      </c>
      <c r="EI11" s="459">
        <f>'_Engine_R50'!K168/12</f>
        <v/>
      </c>
      <c r="EJ11" s="459">
        <f>'_Engine_R50'!K169/12</f>
        <v/>
      </c>
      <c r="EK11" s="459">
        <f>'_Engine_R50'!K170/12</f>
        <v/>
      </c>
      <c r="EL11" s="459">
        <f>'_Engine_R50'!K171/12</f>
        <v/>
      </c>
      <c r="EM11" s="459">
        <f>'_Engine_R50'!K172/12</f>
        <v/>
      </c>
      <c r="EN11" s="459">
        <f>'_Engine_R50'!K173/12</f>
        <v/>
      </c>
      <c r="EO11" s="459">
        <f>'_Engine_R50'!K174/12</f>
        <v/>
      </c>
      <c r="EP11" s="458">
        <f>'_Engine_R50'!K175/12</f>
        <v/>
      </c>
      <c r="EQ11" s="458">
        <f>'_Engine_R50'!K176/12</f>
        <v/>
      </c>
      <c r="ER11" s="458">
        <f>'_Engine_R50'!K177/12</f>
        <v/>
      </c>
      <c r="ES11" s="458">
        <f>'_Engine_R50'!K178/12</f>
        <v/>
      </c>
      <c r="ET11" s="458">
        <f>'_Engine_R50'!K179/12</f>
        <v/>
      </c>
      <c r="EU11" s="458">
        <f>'_Engine_R50'!K180/12</f>
        <v/>
      </c>
      <c r="EV11" s="458">
        <f>'_Engine_R50'!K181/12</f>
        <v/>
      </c>
      <c r="EW11" s="458">
        <f>'_Engine_R50'!K182/12</f>
        <v/>
      </c>
      <c r="EX11" s="458">
        <f>'_Engine_R50'!K183/12</f>
        <v/>
      </c>
      <c r="EY11" s="458">
        <f>'_Engine_R50'!K184/12</f>
        <v/>
      </c>
      <c r="EZ11" s="458">
        <f>'_Engine_R50'!K185/12</f>
        <v/>
      </c>
      <c r="FA11" s="458">
        <f>'_Engine_R50'!K186/12</f>
        <v/>
      </c>
      <c r="FB11" s="459">
        <f>'_Engine_R50'!K187/12</f>
        <v/>
      </c>
      <c r="FC11" s="459">
        <f>'_Engine_R50'!K188/12</f>
        <v/>
      </c>
      <c r="FD11" s="459">
        <f>'_Engine_R50'!K189/12</f>
        <v/>
      </c>
      <c r="FE11" s="459">
        <f>'_Engine_R50'!K190/12</f>
        <v/>
      </c>
      <c r="FF11" s="459">
        <f>'_Engine_R50'!K191/12</f>
        <v/>
      </c>
      <c r="FG11" s="459">
        <f>'_Engine_R50'!K192/12</f>
        <v/>
      </c>
      <c r="FH11" s="459">
        <f>'_Engine_R50'!K193/12</f>
        <v/>
      </c>
      <c r="FI11" s="459">
        <f>'_Engine_R50'!K194/12</f>
        <v/>
      </c>
      <c r="FJ11" s="459">
        <f>'_Engine_R50'!K195/12</f>
        <v/>
      </c>
      <c r="FK11" s="459">
        <f>'_Engine_R50'!K196/12</f>
        <v/>
      </c>
      <c r="FL11" s="459">
        <f>'_Engine_R50'!K197/12</f>
        <v/>
      </c>
      <c r="FM11" s="459">
        <f>'_Engine_R50'!K198/12</f>
        <v/>
      </c>
      <c r="FN11" s="458">
        <f>'_Engine_R50'!K199/12</f>
        <v/>
      </c>
      <c r="FO11" s="458">
        <f>'_Engine_R50'!K200/12</f>
        <v/>
      </c>
      <c r="FP11" s="458">
        <f>'_Engine_R50'!K201/12</f>
        <v/>
      </c>
      <c r="FQ11" s="458">
        <f>'_Engine_R50'!K202/12</f>
        <v/>
      </c>
      <c r="FR11" s="458">
        <f>'_Engine_R50'!K203/12</f>
        <v/>
      </c>
      <c r="FS11" s="458">
        <f>'_Engine_R50'!K204/12</f>
        <v/>
      </c>
      <c r="FT11" s="458">
        <f>'_Engine_R50'!K205/12</f>
        <v/>
      </c>
      <c r="FU11" s="458">
        <f>'_Engine_R50'!K206/12</f>
        <v/>
      </c>
      <c r="FV11" s="458">
        <f>'_Engine_R50'!K207/12</f>
        <v/>
      </c>
      <c r="FW11" s="458">
        <f>'_Engine_R50'!K208/12</f>
        <v/>
      </c>
      <c r="FX11" s="458">
        <f>'_Engine_R50'!K209/12</f>
        <v/>
      </c>
      <c r="FY11" s="458">
        <f>'_Engine_R50'!K210/12</f>
        <v/>
      </c>
      <c r="FZ11" s="306" t="n"/>
    </row>
    <row r="12" ht="15" customHeight="1" s="307">
      <c r="A12" s="321" t="inlineStr">
        <is>
          <t xml:space="preserve">    Deal #7</t>
        </is>
      </c>
      <c r="B12" s="458">
        <f>'_Engine_R50'!L31/12</f>
        <v/>
      </c>
      <c r="C12" s="458">
        <f>'_Engine_R50'!L32/12</f>
        <v/>
      </c>
      <c r="D12" s="458">
        <f>'_Engine_R50'!L33/12</f>
        <v/>
      </c>
      <c r="E12" s="458">
        <f>'_Engine_R50'!L34/12</f>
        <v/>
      </c>
      <c r="F12" s="458">
        <f>'_Engine_R50'!L35/12</f>
        <v/>
      </c>
      <c r="G12" s="458">
        <f>'_Engine_R50'!L36/12</f>
        <v/>
      </c>
      <c r="H12" s="458">
        <f>'_Engine_R50'!L37/12</f>
        <v/>
      </c>
      <c r="I12" s="458">
        <f>'_Engine_R50'!L38/12</f>
        <v/>
      </c>
      <c r="J12" s="458">
        <f>'_Engine_R50'!L39/12</f>
        <v/>
      </c>
      <c r="K12" s="458">
        <f>'_Engine_R50'!L40/12</f>
        <v/>
      </c>
      <c r="L12" s="458">
        <f>'_Engine_R50'!L41/12</f>
        <v/>
      </c>
      <c r="M12" s="458">
        <f>'_Engine_R50'!L42/12</f>
        <v/>
      </c>
      <c r="N12" s="459">
        <f>'_Engine_R50'!L43/12</f>
        <v/>
      </c>
      <c r="O12" s="459">
        <f>'_Engine_R50'!L44/12</f>
        <v/>
      </c>
      <c r="P12" s="459">
        <f>'_Engine_R50'!L45/12</f>
        <v/>
      </c>
      <c r="Q12" s="459">
        <f>'_Engine_R50'!L46/12</f>
        <v/>
      </c>
      <c r="R12" s="459">
        <f>'_Engine_R50'!L47/12</f>
        <v/>
      </c>
      <c r="S12" s="459">
        <f>'_Engine_R50'!L48/12</f>
        <v/>
      </c>
      <c r="T12" s="459">
        <f>'_Engine_R50'!L49/12</f>
        <v/>
      </c>
      <c r="U12" s="459">
        <f>'_Engine_R50'!L50/12</f>
        <v/>
      </c>
      <c r="V12" s="459">
        <f>'_Engine_R50'!L51/12</f>
        <v/>
      </c>
      <c r="W12" s="459">
        <f>'_Engine_R50'!L52/12</f>
        <v/>
      </c>
      <c r="X12" s="459">
        <f>'_Engine_R50'!L53/12</f>
        <v/>
      </c>
      <c r="Y12" s="459">
        <f>'_Engine_R50'!L54/12</f>
        <v/>
      </c>
      <c r="Z12" s="458">
        <f>'_Engine_R50'!L55/12</f>
        <v/>
      </c>
      <c r="AA12" s="458">
        <f>'_Engine_R50'!L56/12</f>
        <v/>
      </c>
      <c r="AB12" s="458">
        <f>'_Engine_R50'!L57/12</f>
        <v/>
      </c>
      <c r="AC12" s="458">
        <f>'_Engine_R50'!L58/12</f>
        <v/>
      </c>
      <c r="AD12" s="458">
        <f>'_Engine_R50'!L59/12</f>
        <v/>
      </c>
      <c r="AE12" s="458">
        <f>'_Engine_R50'!L60/12</f>
        <v/>
      </c>
      <c r="AF12" s="458">
        <f>'_Engine_R50'!L61/12</f>
        <v/>
      </c>
      <c r="AG12" s="458">
        <f>'_Engine_R50'!L62/12</f>
        <v/>
      </c>
      <c r="AH12" s="458">
        <f>'_Engine_R50'!L63/12</f>
        <v/>
      </c>
      <c r="AI12" s="458">
        <f>'_Engine_R50'!L64/12</f>
        <v/>
      </c>
      <c r="AJ12" s="458">
        <f>'_Engine_R50'!L65/12</f>
        <v/>
      </c>
      <c r="AK12" s="458">
        <f>'_Engine_R50'!L66/12</f>
        <v/>
      </c>
      <c r="AL12" s="459">
        <f>'_Engine_R50'!L67/12</f>
        <v/>
      </c>
      <c r="AM12" s="459">
        <f>'_Engine_R50'!L68/12</f>
        <v/>
      </c>
      <c r="AN12" s="459">
        <f>'_Engine_R50'!L69/12</f>
        <v/>
      </c>
      <c r="AO12" s="459">
        <f>'_Engine_R50'!L70/12</f>
        <v/>
      </c>
      <c r="AP12" s="459">
        <f>'_Engine_R50'!L71/12</f>
        <v/>
      </c>
      <c r="AQ12" s="459">
        <f>'_Engine_R50'!L72/12</f>
        <v/>
      </c>
      <c r="AR12" s="459">
        <f>'_Engine_R50'!L73/12</f>
        <v/>
      </c>
      <c r="AS12" s="459">
        <f>'_Engine_R50'!L74/12</f>
        <v/>
      </c>
      <c r="AT12" s="459">
        <f>'_Engine_R50'!L75/12</f>
        <v/>
      </c>
      <c r="AU12" s="459">
        <f>'_Engine_R50'!L76/12</f>
        <v/>
      </c>
      <c r="AV12" s="459">
        <f>'_Engine_R50'!L77/12</f>
        <v/>
      </c>
      <c r="AW12" s="459">
        <f>'_Engine_R50'!L78/12</f>
        <v/>
      </c>
      <c r="AX12" s="458">
        <f>'_Engine_R50'!L79/12</f>
        <v/>
      </c>
      <c r="AY12" s="458">
        <f>'_Engine_R50'!L80/12</f>
        <v/>
      </c>
      <c r="AZ12" s="458">
        <f>'_Engine_R50'!L81/12</f>
        <v/>
      </c>
      <c r="BA12" s="458">
        <f>'_Engine_R50'!L82/12</f>
        <v/>
      </c>
      <c r="BB12" s="458">
        <f>'_Engine_R50'!L83/12</f>
        <v/>
      </c>
      <c r="BC12" s="458">
        <f>'_Engine_R50'!L84/12</f>
        <v/>
      </c>
      <c r="BD12" s="458">
        <f>'_Engine_R50'!L85/12</f>
        <v/>
      </c>
      <c r="BE12" s="458">
        <f>'_Engine_R50'!L86/12</f>
        <v/>
      </c>
      <c r="BF12" s="458">
        <f>'_Engine_R50'!L87/12</f>
        <v/>
      </c>
      <c r="BG12" s="458">
        <f>'_Engine_R50'!L88/12</f>
        <v/>
      </c>
      <c r="BH12" s="458">
        <f>'_Engine_R50'!L89/12</f>
        <v/>
      </c>
      <c r="BI12" s="458">
        <f>'_Engine_R50'!L90/12</f>
        <v/>
      </c>
      <c r="BJ12" s="459">
        <f>'_Engine_R50'!L91/12</f>
        <v/>
      </c>
      <c r="BK12" s="459">
        <f>'_Engine_R50'!L92/12</f>
        <v/>
      </c>
      <c r="BL12" s="459">
        <f>'_Engine_R50'!L93/12</f>
        <v/>
      </c>
      <c r="BM12" s="459">
        <f>'_Engine_R50'!L94/12</f>
        <v/>
      </c>
      <c r="BN12" s="459">
        <f>'_Engine_R50'!L95/12</f>
        <v/>
      </c>
      <c r="BO12" s="459">
        <f>'_Engine_R50'!L96/12</f>
        <v/>
      </c>
      <c r="BP12" s="459">
        <f>'_Engine_R50'!L97/12</f>
        <v/>
      </c>
      <c r="BQ12" s="459">
        <f>'_Engine_R50'!L98/12</f>
        <v/>
      </c>
      <c r="BR12" s="459">
        <f>'_Engine_R50'!L99/12</f>
        <v/>
      </c>
      <c r="BS12" s="459">
        <f>'_Engine_R50'!L100/12</f>
        <v/>
      </c>
      <c r="BT12" s="459">
        <f>'_Engine_R50'!L101/12</f>
        <v/>
      </c>
      <c r="BU12" s="459">
        <f>'_Engine_R50'!L102/12</f>
        <v/>
      </c>
      <c r="BV12" s="458">
        <f>'_Engine_R50'!L103/12</f>
        <v/>
      </c>
      <c r="BW12" s="458">
        <f>'_Engine_R50'!L104/12</f>
        <v/>
      </c>
      <c r="BX12" s="458">
        <f>'_Engine_R50'!L105/12</f>
        <v/>
      </c>
      <c r="BY12" s="458">
        <f>'_Engine_R50'!L106/12</f>
        <v/>
      </c>
      <c r="BZ12" s="458">
        <f>'_Engine_R50'!L107/12</f>
        <v/>
      </c>
      <c r="CA12" s="458">
        <f>'_Engine_R50'!L108/12</f>
        <v/>
      </c>
      <c r="CB12" s="458">
        <f>'_Engine_R50'!L109/12</f>
        <v/>
      </c>
      <c r="CC12" s="458">
        <f>'_Engine_R50'!L110/12</f>
        <v/>
      </c>
      <c r="CD12" s="458">
        <f>'_Engine_R50'!L111/12</f>
        <v/>
      </c>
      <c r="CE12" s="458">
        <f>'_Engine_R50'!L112/12</f>
        <v/>
      </c>
      <c r="CF12" s="458">
        <f>'_Engine_R50'!L113/12</f>
        <v/>
      </c>
      <c r="CG12" s="458">
        <f>'_Engine_R50'!L114/12</f>
        <v/>
      </c>
      <c r="CH12" s="459">
        <f>'_Engine_R50'!L115/12</f>
        <v/>
      </c>
      <c r="CI12" s="459">
        <f>'_Engine_R50'!L116/12</f>
        <v/>
      </c>
      <c r="CJ12" s="459">
        <f>'_Engine_R50'!L117/12</f>
        <v/>
      </c>
      <c r="CK12" s="459">
        <f>'_Engine_R50'!L118/12</f>
        <v/>
      </c>
      <c r="CL12" s="459">
        <f>'_Engine_R50'!L119/12</f>
        <v/>
      </c>
      <c r="CM12" s="459">
        <f>'_Engine_R50'!L120/12</f>
        <v/>
      </c>
      <c r="CN12" s="459">
        <f>'_Engine_R50'!L121/12</f>
        <v/>
      </c>
      <c r="CO12" s="459">
        <f>'_Engine_R50'!L122/12</f>
        <v/>
      </c>
      <c r="CP12" s="459">
        <f>'_Engine_R50'!L123/12</f>
        <v/>
      </c>
      <c r="CQ12" s="459">
        <f>'_Engine_R50'!L124/12</f>
        <v/>
      </c>
      <c r="CR12" s="459">
        <f>'_Engine_R50'!L125/12</f>
        <v/>
      </c>
      <c r="CS12" s="459">
        <f>'_Engine_R50'!L126/12</f>
        <v/>
      </c>
      <c r="CT12" s="458">
        <f>'_Engine_R50'!L127/12</f>
        <v/>
      </c>
      <c r="CU12" s="458">
        <f>'_Engine_R50'!L128/12</f>
        <v/>
      </c>
      <c r="CV12" s="458">
        <f>'_Engine_R50'!L129/12</f>
        <v/>
      </c>
      <c r="CW12" s="458">
        <f>'_Engine_R50'!L130/12</f>
        <v/>
      </c>
      <c r="CX12" s="458">
        <f>'_Engine_R50'!L131/12</f>
        <v/>
      </c>
      <c r="CY12" s="458">
        <f>'_Engine_R50'!L132/12</f>
        <v/>
      </c>
      <c r="CZ12" s="458">
        <f>'_Engine_R50'!L133/12</f>
        <v/>
      </c>
      <c r="DA12" s="458">
        <f>'_Engine_R50'!L134/12</f>
        <v/>
      </c>
      <c r="DB12" s="458">
        <f>'_Engine_R50'!L135/12</f>
        <v/>
      </c>
      <c r="DC12" s="458">
        <f>'_Engine_R50'!L136/12</f>
        <v/>
      </c>
      <c r="DD12" s="458">
        <f>'_Engine_R50'!L137/12</f>
        <v/>
      </c>
      <c r="DE12" s="458">
        <f>'_Engine_R50'!L138/12</f>
        <v/>
      </c>
      <c r="DF12" s="459">
        <f>'_Engine_R50'!L139/12</f>
        <v/>
      </c>
      <c r="DG12" s="459">
        <f>'_Engine_R50'!L140/12</f>
        <v/>
      </c>
      <c r="DH12" s="459">
        <f>'_Engine_R50'!L141/12</f>
        <v/>
      </c>
      <c r="DI12" s="459">
        <f>'_Engine_R50'!L142/12</f>
        <v/>
      </c>
      <c r="DJ12" s="459">
        <f>'_Engine_R50'!L143/12</f>
        <v/>
      </c>
      <c r="DK12" s="459">
        <f>'_Engine_R50'!L144/12</f>
        <v/>
      </c>
      <c r="DL12" s="459">
        <f>'_Engine_R50'!L145/12</f>
        <v/>
      </c>
      <c r="DM12" s="459">
        <f>'_Engine_R50'!L146/12</f>
        <v/>
      </c>
      <c r="DN12" s="459">
        <f>'_Engine_R50'!L147/12</f>
        <v/>
      </c>
      <c r="DO12" s="459">
        <f>'_Engine_R50'!L148/12</f>
        <v/>
      </c>
      <c r="DP12" s="459">
        <f>'_Engine_R50'!L149/12</f>
        <v/>
      </c>
      <c r="DQ12" s="459">
        <f>'_Engine_R50'!L150/12</f>
        <v/>
      </c>
      <c r="DR12" s="458">
        <f>'_Engine_R50'!L151/12</f>
        <v/>
      </c>
      <c r="DS12" s="458">
        <f>'_Engine_R50'!L152/12</f>
        <v/>
      </c>
      <c r="DT12" s="458">
        <f>'_Engine_R50'!L153/12</f>
        <v/>
      </c>
      <c r="DU12" s="458">
        <f>'_Engine_R50'!L154/12</f>
        <v/>
      </c>
      <c r="DV12" s="458">
        <f>'_Engine_R50'!L155/12</f>
        <v/>
      </c>
      <c r="DW12" s="458">
        <f>'_Engine_R50'!L156/12</f>
        <v/>
      </c>
      <c r="DX12" s="458">
        <f>'_Engine_R50'!L157/12</f>
        <v/>
      </c>
      <c r="DY12" s="458">
        <f>'_Engine_R50'!L158/12</f>
        <v/>
      </c>
      <c r="DZ12" s="458">
        <f>'_Engine_R50'!L159/12</f>
        <v/>
      </c>
      <c r="EA12" s="458">
        <f>'_Engine_R50'!L160/12</f>
        <v/>
      </c>
      <c r="EB12" s="458">
        <f>'_Engine_R50'!L161/12</f>
        <v/>
      </c>
      <c r="EC12" s="458">
        <f>'_Engine_R50'!L162/12</f>
        <v/>
      </c>
      <c r="ED12" s="459">
        <f>'_Engine_R50'!L163/12</f>
        <v/>
      </c>
      <c r="EE12" s="459">
        <f>'_Engine_R50'!L164/12</f>
        <v/>
      </c>
      <c r="EF12" s="459">
        <f>'_Engine_R50'!L165/12</f>
        <v/>
      </c>
      <c r="EG12" s="459">
        <f>'_Engine_R50'!L166/12</f>
        <v/>
      </c>
      <c r="EH12" s="459">
        <f>'_Engine_R50'!L167/12</f>
        <v/>
      </c>
      <c r="EI12" s="459">
        <f>'_Engine_R50'!L168/12</f>
        <v/>
      </c>
      <c r="EJ12" s="459">
        <f>'_Engine_R50'!L169/12</f>
        <v/>
      </c>
      <c r="EK12" s="459">
        <f>'_Engine_R50'!L170/12</f>
        <v/>
      </c>
      <c r="EL12" s="459">
        <f>'_Engine_R50'!L171/12</f>
        <v/>
      </c>
      <c r="EM12" s="459">
        <f>'_Engine_R50'!L172/12</f>
        <v/>
      </c>
      <c r="EN12" s="459">
        <f>'_Engine_R50'!L173/12</f>
        <v/>
      </c>
      <c r="EO12" s="459">
        <f>'_Engine_R50'!L174/12</f>
        <v/>
      </c>
      <c r="EP12" s="458">
        <f>'_Engine_R50'!L175/12</f>
        <v/>
      </c>
      <c r="EQ12" s="458">
        <f>'_Engine_R50'!L176/12</f>
        <v/>
      </c>
      <c r="ER12" s="458">
        <f>'_Engine_R50'!L177/12</f>
        <v/>
      </c>
      <c r="ES12" s="458">
        <f>'_Engine_R50'!L178/12</f>
        <v/>
      </c>
      <c r="ET12" s="458">
        <f>'_Engine_R50'!L179/12</f>
        <v/>
      </c>
      <c r="EU12" s="458">
        <f>'_Engine_R50'!L180/12</f>
        <v/>
      </c>
      <c r="EV12" s="458">
        <f>'_Engine_R50'!L181/12</f>
        <v/>
      </c>
      <c r="EW12" s="458">
        <f>'_Engine_R50'!L182/12</f>
        <v/>
      </c>
      <c r="EX12" s="458">
        <f>'_Engine_R50'!L183/12</f>
        <v/>
      </c>
      <c r="EY12" s="458">
        <f>'_Engine_R50'!L184/12</f>
        <v/>
      </c>
      <c r="EZ12" s="458">
        <f>'_Engine_R50'!L185/12</f>
        <v/>
      </c>
      <c r="FA12" s="458">
        <f>'_Engine_R50'!L186/12</f>
        <v/>
      </c>
      <c r="FB12" s="459">
        <f>'_Engine_R50'!L187/12</f>
        <v/>
      </c>
      <c r="FC12" s="459">
        <f>'_Engine_R50'!L188/12</f>
        <v/>
      </c>
      <c r="FD12" s="459">
        <f>'_Engine_R50'!L189/12</f>
        <v/>
      </c>
      <c r="FE12" s="459">
        <f>'_Engine_R50'!L190/12</f>
        <v/>
      </c>
      <c r="FF12" s="459">
        <f>'_Engine_R50'!L191/12</f>
        <v/>
      </c>
      <c r="FG12" s="459">
        <f>'_Engine_R50'!L192/12</f>
        <v/>
      </c>
      <c r="FH12" s="459">
        <f>'_Engine_R50'!L193/12</f>
        <v/>
      </c>
      <c r="FI12" s="459">
        <f>'_Engine_R50'!L194/12</f>
        <v/>
      </c>
      <c r="FJ12" s="459">
        <f>'_Engine_R50'!L195/12</f>
        <v/>
      </c>
      <c r="FK12" s="459">
        <f>'_Engine_R50'!L196/12</f>
        <v/>
      </c>
      <c r="FL12" s="459">
        <f>'_Engine_R50'!L197/12</f>
        <v/>
      </c>
      <c r="FM12" s="459">
        <f>'_Engine_R50'!L198/12</f>
        <v/>
      </c>
      <c r="FN12" s="458">
        <f>'_Engine_R50'!L199/12</f>
        <v/>
      </c>
      <c r="FO12" s="458">
        <f>'_Engine_R50'!L200/12</f>
        <v/>
      </c>
      <c r="FP12" s="458">
        <f>'_Engine_R50'!L201/12</f>
        <v/>
      </c>
      <c r="FQ12" s="458">
        <f>'_Engine_R50'!L202/12</f>
        <v/>
      </c>
      <c r="FR12" s="458">
        <f>'_Engine_R50'!L203/12</f>
        <v/>
      </c>
      <c r="FS12" s="458">
        <f>'_Engine_R50'!L204/12</f>
        <v/>
      </c>
      <c r="FT12" s="458">
        <f>'_Engine_R50'!L205/12</f>
        <v/>
      </c>
      <c r="FU12" s="458">
        <f>'_Engine_R50'!L206/12</f>
        <v/>
      </c>
      <c r="FV12" s="458">
        <f>'_Engine_R50'!L207/12</f>
        <v/>
      </c>
      <c r="FW12" s="458">
        <f>'_Engine_R50'!L208/12</f>
        <v/>
      </c>
      <c r="FX12" s="458">
        <f>'_Engine_R50'!L209/12</f>
        <v/>
      </c>
      <c r="FY12" s="458">
        <f>'_Engine_R50'!L210/12</f>
        <v/>
      </c>
      <c r="FZ12" s="306" t="n"/>
    </row>
    <row r="13" ht="15" customHeight="1" s="307">
      <c r="A13" s="321" t="inlineStr">
        <is>
          <t xml:space="preserve">    Deal #8</t>
        </is>
      </c>
      <c r="B13" s="458">
        <f>'_Engine_R50'!P31</f>
        <v/>
      </c>
      <c r="C13" s="458">
        <f>'_Engine_R50'!P32</f>
        <v/>
      </c>
      <c r="D13" s="458">
        <f>'_Engine_R50'!P33</f>
        <v/>
      </c>
      <c r="E13" s="458">
        <f>'_Engine_R50'!P34</f>
        <v/>
      </c>
      <c r="F13" s="458">
        <f>'_Engine_R50'!P35</f>
        <v/>
      </c>
      <c r="G13" s="458">
        <f>'_Engine_R50'!P36</f>
        <v/>
      </c>
      <c r="H13" s="458">
        <f>'_Engine_R50'!P37</f>
        <v/>
      </c>
      <c r="I13" s="458">
        <f>'_Engine_R50'!P38</f>
        <v/>
      </c>
      <c r="J13" s="458">
        <f>'_Engine_R50'!P39</f>
        <v/>
      </c>
      <c r="K13" s="458">
        <f>'_Engine_R50'!P40</f>
        <v/>
      </c>
      <c r="L13" s="458">
        <f>'_Engine_R50'!P41</f>
        <v/>
      </c>
      <c r="M13" s="458">
        <f>'_Engine_R50'!P42</f>
        <v/>
      </c>
      <c r="N13" s="459">
        <f>'_Engine_R50'!P43</f>
        <v/>
      </c>
      <c r="O13" s="459">
        <f>'_Engine_R50'!P44</f>
        <v/>
      </c>
      <c r="P13" s="459">
        <f>'_Engine_R50'!P45</f>
        <v/>
      </c>
      <c r="Q13" s="459">
        <f>'_Engine_R50'!P46</f>
        <v/>
      </c>
      <c r="R13" s="459">
        <f>'_Engine_R50'!P47</f>
        <v/>
      </c>
      <c r="S13" s="459">
        <f>'_Engine_R50'!P48</f>
        <v/>
      </c>
      <c r="T13" s="459">
        <f>'_Engine_R50'!P49</f>
        <v/>
      </c>
      <c r="U13" s="459">
        <f>'_Engine_R50'!P50</f>
        <v/>
      </c>
      <c r="V13" s="459">
        <f>'_Engine_R50'!P51</f>
        <v/>
      </c>
      <c r="W13" s="459">
        <f>'_Engine_R50'!P52</f>
        <v/>
      </c>
      <c r="X13" s="459">
        <f>'_Engine_R50'!P53</f>
        <v/>
      </c>
      <c r="Y13" s="459">
        <f>'_Engine_R50'!P54</f>
        <v/>
      </c>
      <c r="Z13" s="458">
        <f>'_Engine_R50'!P55</f>
        <v/>
      </c>
      <c r="AA13" s="458">
        <f>'_Engine_R50'!P56</f>
        <v/>
      </c>
      <c r="AB13" s="458">
        <f>'_Engine_R50'!P57</f>
        <v/>
      </c>
      <c r="AC13" s="458">
        <f>'_Engine_R50'!P58</f>
        <v/>
      </c>
      <c r="AD13" s="458">
        <f>'_Engine_R50'!P59</f>
        <v/>
      </c>
      <c r="AE13" s="458">
        <f>'_Engine_R50'!P60</f>
        <v/>
      </c>
      <c r="AF13" s="458">
        <f>'_Engine_R50'!P61</f>
        <v/>
      </c>
      <c r="AG13" s="458">
        <f>'_Engine_R50'!P62</f>
        <v/>
      </c>
      <c r="AH13" s="458">
        <f>'_Engine_R50'!P63</f>
        <v/>
      </c>
      <c r="AI13" s="458">
        <f>'_Engine_R50'!P64</f>
        <v/>
      </c>
      <c r="AJ13" s="458">
        <f>'_Engine_R50'!P65</f>
        <v/>
      </c>
      <c r="AK13" s="458">
        <f>'_Engine_R50'!P66</f>
        <v/>
      </c>
      <c r="AL13" s="459">
        <f>'_Engine_R50'!P67</f>
        <v/>
      </c>
      <c r="AM13" s="459">
        <f>'_Engine_R50'!P68</f>
        <v/>
      </c>
      <c r="AN13" s="459">
        <f>'_Engine_R50'!P69</f>
        <v/>
      </c>
      <c r="AO13" s="459">
        <f>'_Engine_R50'!P70</f>
        <v/>
      </c>
      <c r="AP13" s="459">
        <f>'_Engine_R50'!P71</f>
        <v/>
      </c>
      <c r="AQ13" s="459">
        <f>'_Engine_R50'!P72</f>
        <v/>
      </c>
      <c r="AR13" s="459">
        <f>'_Engine_R50'!P73</f>
        <v/>
      </c>
      <c r="AS13" s="459">
        <f>'_Engine_R50'!P74</f>
        <v/>
      </c>
      <c r="AT13" s="459">
        <f>'_Engine_R50'!P75</f>
        <v/>
      </c>
      <c r="AU13" s="459">
        <f>'_Engine_R50'!P76</f>
        <v/>
      </c>
      <c r="AV13" s="459">
        <f>'_Engine_R50'!P77</f>
        <v/>
      </c>
      <c r="AW13" s="459">
        <f>'_Engine_R50'!P78</f>
        <v/>
      </c>
      <c r="AX13" s="458">
        <f>'_Engine_R50'!P79</f>
        <v/>
      </c>
      <c r="AY13" s="458">
        <f>'_Engine_R50'!P80</f>
        <v/>
      </c>
      <c r="AZ13" s="458">
        <f>'_Engine_R50'!P81</f>
        <v/>
      </c>
      <c r="BA13" s="458">
        <f>'_Engine_R50'!P82</f>
        <v/>
      </c>
      <c r="BB13" s="458">
        <f>'_Engine_R50'!P83</f>
        <v/>
      </c>
      <c r="BC13" s="458">
        <f>'_Engine_R50'!P84</f>
        <v/>
      </c>
      <c r="BD13" s="458">
        <f>'_Engine_R50'!P85</f>
        <v/>
      </c>
      <c r="BE13" s="458">
        <f>'_Engine_R50'!P86</f>
        <v/>
      </c>
      <c r="BF13" s="458">
        <f>'_Engine_R50'!P87</f>
        <v/>
      </c>
      <c r="BG13" s="458">
        <f>'_Engine_R50'!P88</f>
        <v/>
      </c>
      <c r="BH13" s="458">
        <f>'_Engine_R50'!P89</f>
        <v/>
      </c>
      <c r="BI13" s="458">
        <f>'_Engine_R50'!P90</f>
        <v/>
      </c>
      <c r="BJ13" s="459">
        <f>'_Engine_R50'!P91</f>
        <v/>
      </c>
      <c r="BK13" s="459">
        <f>'_Engine_R50'!P92</f>
        <v/>
      </c>
      <c r="BL13" s="459">
        <f>'_Engine_R50'!P93</f>
        <v/>
      </c>
      <c r="BM13" s="459">
        <f>'_Engine_R50'!P94</f>
        <v/>
      </c>
      <c r="BN13" s="459">
        <f>'_Engine_R50'!P95</f>
        <v/>
      </c>
      <c r="BO13" s="459">
        <f>'_Engine_R50'!P96</f>
        <v/>
      </c>
      <c r="BP13" s="459">
        <f>'_Engine_R50'!P97</f>
        <v/>
      </c>
      <c r="BQ13" s="459">
        <f>'_Engine_R50'!P98</f>
        <v/>
      </c>
      <c r="BR13" s="459">
        <f>'_Engine_R50'!P99</f>
        <v/>
      </c>
      <c r="BS13" s="459">
        <f>'_Engine_R50'!P100</f>
        <v/>
      </c>
      <c r="BT13" s="459">
        <f>'_Engine_R50'!P101</f>
        <v/>
      </c>
      <c r="BU13" s="459">
        <f>'_Engine_R50'!P102</f>
        <v/>
      </c>
      <c r="BV13" s="458">
        <f>'_Engine_R50'!P103</f>
        <v/>
      </c>
      <c r="BW13" s="458">
        <f>'_Engine_R50'!P104</f>
        <v/>
      </c>
      <c r="BX13" s="458">
        <f>'_Engine_R50'!P105</f>
        <v/>
      </c>
      <c r="BY13" s="458">
        <f>'_Engine_R50'!P106</f>
        <v/>
      </c>
      <c r="BZ13" s="458">
        <f>'_Engine_R50'!P107</f>
        <v/>
      </c>
      <c r="CA13" s="458">
        <f>'_Engine_R50'!P108</f>
        <v/>
      </c>
      <c r="CB13" s="458">
        <f>'_Engine_R50'!P109</f>
        <v/>
      </c>
      <c r="CC13" s="458">
        <f>'_Engine_R50'!P110</f>
        <v/>
      </c>
      <c r="CD13" s="458">
        <f>'_Engine_R50'!P111</f>
        <v/>
      </c>
      <c r="CE13" s="458">
        <f>'_Engine_R50'!P112</f>
        <v/>
      </c>
      <c r="CF13" s="458">
        <f>'_Engine_R50'!P113</f>
        <v/>
      </c>
      <c r="CG13" s="458">
        <f>'_Engine_R50'!P114</f>
        <v/>
      </c>
      <c r="CH13" s="459">
        <f>'_Engine_R50'!P115</f>
        <v/>
      </c>
      <c r="CI13" s="459">
        <f>'_Engine_R50'!P116</f>
        <v/>
      </c>
      <c r="CJ13" s="459">
        <f>'_Engine_R50'!P117</f>
        <v/>
      </c>
      <c r="CK13" s="459">
        <f>'_Engine_R50'!P118</f>
        <v/>
      </c>
      <c r="CL13" s="459">
        <f>'_Engine_R50'!P119</f>
        <v/>
      </c>
      <c r="CM13" s="459">
        <f>'_Engine_R50'!P120</f>
        <v/>
      </c>
      <c r="CN13" s="459">
        <f>'_Engine_R50'!P121</f>
        <v/>
      </c>
      <c r="CO13" s="459">
        <f>'_Engine_R50'!P122</f>
        <v/>
      </c>
      <c r="CP13" s="459">
        <f>'_Engine_R50'!P123</f>
        <v/>
      </c>
      <c r="CQ13" s="459">
        <f>'_Engine_R50'!P124</f>
        <v/>
      </c>
      <c r="CR13" s="459">
        <f>'_Engine_R50'!P125</f>
        <v/>
      </c>
      <c r="CS13" s="459">
        <f>'_Engine_R50'!P126</f>
        <v/>
      </c>
      <c r="CT13" s="458">
        <f>'_Engine_R50'!P127</f>
        <v/>
      </c>
      <c r="CU13" s="458">
        <f>'_Engine_R50'!P128</f>
        <v/>
      </c>
      <c r="CV13" s="458">
        <f>'_Engine_R50'!P129</f>
        <v/>
      </c>
      <c r="CW13" s="458">
        <f>'_Engine_R50'!P130</f>
        <v/>
      </c>
      <c r="CX13" s="458">
        <f>'_Engine_R50'!P131</f>
        <v/>
      </c>
      <c r="CY13" s="458">
        <f>'_Engine_R50'!P132</f>
        <v/>
      </c>
      <c r="CZ13" s="458">
        <f>'_Engine_R50'!P133</f>
        <v/>
      </c>
      <c r="DA13" s="458">
        <f>'_Engine_R50'!P134</f>
        <v/>
      </c>
      <c r="DB13" s="458">
        <f>'_Engine_R50'!P135</f>
        <v/>
      </c>
      <c r="DC13" s="458">
        <f>'_Engine_R50'!P136</f>
        <v/>
      </c>
      <c r="DD13" s="458">
        <f>'_Engine_R50'!P137</f>
        <v/>
      </c>
      <c r="DE13" s="458">
        <f>'_Engine_R50'!P138</f>
        <v/>
      </c>
      <c r="DF13" s="459">
        <f>'_Engine_R50'!P139</f>
        <v/>
      </c>
      <c r="DG13" s="459">
        <f>'_Engine_R50'!P140</f>
        <v/>
      </c>
      <c r="DH13" s="459">
        <f>'_Engine_R50'!P141</f>
        <v/>
      </c>
      <c r="DI13" s="459">
        <f>'_Engine_R50'!P142</f>
        <v/>
      </c>
      <c r="DJ13" s="459">
        <f>'_Engine_R50'!P143</f>
        <v/>
      </c>
      <c r="DK13" s="459">
        <f>'_Engine_R50'!P144</f>
        <v/>
      </c>
      <c r="DL13" s="459">
        <f>'_Engine_R50'!P145</f>
        <v/>
      </c>
      <c r="DM13" s="459">
        <f>'_Engine_R50'!P146</f>
        <v/>
      </c>
      <c r="DN13" s="459">
        <f>'_Engine_R50'!P147</f>
        <v/>
      </c>
      <c r="DO13" s="459">
        <f>'_Engine_R50'!P148</f>
        <v/>
      </c>
      <c r="DP13" s="459">
        <f>'_Engine_R50'!P149</f>
        <v/>
      </c>
      <c r="DQ13" s="459">
        <f>'_Engine_R50'!P150</f>
        <v/>
      </c>
      <c r="DR13" s="458">
        <f>'_Engine_R50'!P151</f>
        <v/>
      </c>
      <c r="DS13" s="458">
        <f>'_Engine_R50'!P152</f>
        <v/>
      </c>
      <c r="DT13" s="458">
        <f>'_Engine_R50'!P153</f>
        <v/>
      </c>
      <c r="DU13" s="458">
        <f>'_Engine_R50'!P154</f>
        <v/>
      </c>
      <c r="DV13" s="458">
        <f>'_Engine_R50'!P155</f>
        <v/>
      </c>
      <c r="DW13" s="458">
        <f>'_Engine_R50'!P156</f>
        <v/>
      </c>
      <c r="DX13" s="458">
        <f>'_Engine_R50'!P157</f>
        <v/>
      </c>
      <c r="DY13" s="458">
        <f>'_Engine_R50'!P158</f>
        <v/>
      </c>
      <c r="DZ13" s="458">
        <f>'_Engine_R50'!P159</f>
        <v/>
      </c>
      <c r="EA13" s="458">
        <f>'_Engine_R50'!P160</f>
        <v/>
      </c>
      <c r="EB13" s="458">
        <f>'_Engine_R50'!P161</f>
        <v/>
      </c>
      <c r="EC13" s="458">
        <f>'_Engine_R50'!P162</f>
        <v/>
      </c>
      <c r="ED13" s="459">
        <f>'_Engine_R50'!P163</f>
        <v/>
      </c>
      <c r="EE13" s="459">
        <f>'_Engine_R50'!P164</f>
        <v/>
      </c>
      <c r="EF13" s="459">
        <f>'_Engine_R50'!P165</f>
        <v/>
      </c>
      <c r="EG13" s="459">
        <f>'_Engine_R50'!P166</f>
        <v/>
      </c>
      <c r="EH13" s="459">
        <f>'_Engine_R50'!P167</f>
        <v/>
      </c>
      <c r="EI13" s="459">
        <f>'_Engine_R50'!P168</f>
        <v/>
      </c>
      <c r="EJ13" s="459">
        <f>'_Engine_R50'!P169</f>
        <v/>
      </c>
      <c r="EK13" s="459">
        <f>'_Engine_R50'!P170</f>
        <v/>
      </c>
      <c r="EL13" s="459">
        <f>'_Engine_R50'!P171</f>
        <v/>
      </c>
      <c r="EM13" s="459">
        <f>'_Engine_R50'!P172</f>
        <v/>
      </c>
      <c r="EN13" s="459">
        <f>'_Engine_R50'!P173</f>
        <v/>
      </c>
      <c r="EO13" s="459">
        <f>'_Engine_R50'!P174</f>
        <v/>
      </c>
      <c r="EP13" s="458">
        <f>'_Engine_R50'!P175</f>
        <v/>
      </c>
      <c r="EQ13" s="458">
        <f>'_Engine_R50'!P176</f>
        <v/>
      </c>
      <c r="ER13" s="458">
        <f>'_Engine_R50'!P177</f>
        <v/>
      </c>
      <c r="ES13" s="458">
        <f>'_Engine_R50'!P178</f>
        <v/>
      </c>
      <c r="ET13" s="458">
        <f>'_Engine_R50'!P179</f>
        <v/>
      </c>
      <c r="EU13" s="458">
        <f>'_Engine_R50'!P180</f>
        <v/>
      </c>
      <c r="EV13" s="458">
        <f>'_Engine_R50'!P181</f>
        <v/>
      </c>
      <c r="EW13" s="458">
        <f>'_Engine_R50'!P182</f>
        <v/>
      </c>
      <c r="EX13" s="458">
        <f>'_Engine_R50'!P183</f>
        <v/>
      </c>
      <c r="EY13" s="458">
        <f>'_Engine_R50'!P184</f>
        <v/>
      </c>
      <c r="EZ13" s="458">
        <f>'_Engine_R50'!P185</f>
        <v/>
      </c>
      <c r="FA13" s="458">
        <f>'_Engine_R50'!P186</f>
        <v/>
      </c>
      <c r="FB13" s="459">
        <f>'_Engine_R50'!P187</f>
        <v/>
      </c>
      <c r="FC13" s="459">
        <f>'_Engine_R50'!P188</f>
        <v/>
      </c>
      <c r="FD13" s="459">
        <f>'_Engine_R50'!P189</f>
        <v/>
      </c>
      <c r="FE13" s="459">
        <f>'_Engine_R50'!P190</f>
        <v/>
      </c>
      <c r="FF13" s="459">
        <f>'_Engine_R50'!P191</f>
        <v/>
      </c>
      <c r="FG13" s="459">
        <f>'_Engine_R50'!P192</f>
        <v/>
      </c>
      <c r="FH13" s="459">
        <f>'_Engine_R50'!P193</f>
        <v/>
      </c>
      <c r="FI13" s="459">
        <f>'_Engine_R50'!P194</f>
        <v/>
      </c>
      <c r="FJ13" s="459">
        <f>'_Engine_R50'!P195</f>
        <v/>
      </c>
      <c r="FK13" s="459">
        <f>'_Engine_R50'!P196</f>
        <v/>
      </c>
      <c r="FL13" s="459">
        <f>'_Engine_R50'!P197</f>
        <v/>
      </c>
      <c r="FM13" s="459">
        <f>'_Engine_R50'!P198</f>
        <v/>
      </c>
      <c r="FN13" s="458">
        <f>'_Engine_R50'!P199</f>
        <v/>
      </c>
      <c r="FO13" s="458">
        <f>'_Engine_R50'!P200</f>
        <v/>
      </c>
      <c r="FP13" s="458">
        <f>'_Engine_R50'!P201</f>
        <v/>
      </c>
      <c r="FQ13" s="458">
        <f>'_Engine_R50'!P202</f>
        <v/>
      </c>
      <c r="FR13" s="458">
        <f>'_Engine_R50'!P203</f>
        <v/>
      </c>
      <c r="FS13" s="458">
        <f>'_Engine_R50'!P204</f>
        <v/>
      </c>
      <c r="FT13" s="458">
        <f>'_Engine_R50'!P205</f>
        <v/>
      </c>
      <c r="FU13" s="458">
        <f>'_Engine_R50'!P206</f>
        <v/>
      </c>
      <c r="FV13" s="458">
        <f>'_Engine_R50'!P207</f>
        <v/>
      </c>
      <c r="FW13" s="458">
        <f>'_Engine_R50'!P208</f>
        <v/>
      </c>
      <c r="FX13" s="458">
        <f>'_Engine_R50'!P209</f>
        <v/>
      </c>
      <c r="FY13" s="458">
        <f>'_Engine_R50'!P210</f>
        <v/>
      </c>
      <c r="FZ13" s="306" t="n"/>
    </row>
    <row r="14" ht="15" customHeight="1" s="307">
      <c r="A14" s="321" t="n"/>
      <c r="B14" s="459">
        <f>'_Engine_R50'!Q31</f>
        <v/>
      </c>
      <c r="C14" s="459">
        <f>'_Engine_R50'!Q32</f>
        <v/>
      </c>
      <c r="D14" s="459">
        <f>'_Engine_R50'!Q33</f>
        <v/>
      </c>
      <c r="E14" s="459">
        <f>'_Engine_R50'!Q34</f>
        <v/>
      </c>
      <c r="F14" s="459">
        <f>'_Engine_R50'!Q35</f>
        <v/>
      </c>
      <c r="G14" s="459">
        <f>'_Engine_R50'!Q36</f>
        <v/>
      </c>
      <c r="H14" s="459">
        <f>'_Engine_R50'!Q37</f>
        <v/>
      </c>
      <c r="I14" s="459">
        <f>'_Engine_R50'!Q38</f>
        <v/>
      </c>
      <c r="J14" s="459">
        <f>'_Engine_R50'!Q39</f>
        <v/>
      </c>
      <c r="K14" s="459">
        <f>'_Engine_R50'!Q40</f>
        <v/>
      </c>
      <c r="L14" s="459">
        <f>'_Engine_R50'!Q41</f>
        <v/>
      </c>
      <c r="M14" s="459">
        <f>'_Engine_R50'!Q42</f>
        <v/>
      </c>
      <c r="N14" s="459">
        <f>'_Engine_R50'!Q43</f>
        <v/>
      </c>
      <c r="O14" s="459">
        <f>'_Engine_R50'!Q44</f>
        <v/>
      </c>
      <c r="P14" s="459">
        <f>'_Engine_R50'!Q45</f>
        <v/>
      </c>
      <c r="Q14" s="459">
        <f>'_Engine_R50'!Q46</f>
        <v/>
      </c>
      <c r="R14" s="459">
        <f>'_Engine_R50'!Q47</f>
        <v/>
      </c>
      <c r="S14" s="459">
        <f>'_Engine_R50'!Q48</f>
        <v/>
      </c>
      <c r="T14" s="459">
        <f>'_Engine_R50'!Q49</f>
        <v/>
      </c>
      <c r="U14" s="459">
        <f>'_Engine_R50'!Q50</f>
        <v/>
      </c>
      <c r="V14" s="459">
        <f>'_Engine_R50'!Q51</f>
        <v/>
      </c>
      <c r="W14" s="459">
        <f>'_Engine_R50'!Q52</f>
        <v/>
      </c>
      <c r="X14" s="459">
        <f>'_Engine_R50'!Q53</f>
        <v/>
      </c>
      <c r="Y14" s="459">
        <f>'_Engine_R50'!Q54</f>
        <v/>
      </c>
      <c r="Z14" s="459">
        <f>'_Engine_R50'!Q55</f>
        <v/>
      </c>
      <c r="AA14" s="459">
        <f>'_Engine_R50'!Q56</f>
        <v/>
      </c>
      <c r="AB14" s="459">
        <f>'_Engine_R50'!Q57</f>
        <v/>
      </c>
      <c r="AC14" s="459">
        <f>'_Engine_R50'!Q58</f>
        <v/>
      </c>
      <c r="AD14" s="459">
        <f>'_Engine_R50'!Q59</f>
        <v/>
      </c>
      <c r="AE14" s="459">
        <f>'_Engine_R50'!Q60</f>
        <v/>
      </c>
      <c r="AF14" s="459">
        <f>'_Engine_R50'!Q61</f>
        <v/>
      </c>
      <c r="AG14" s="459">
        <f>'_Engine_R50'!Q62</f>
        <v/>
      </c>
      <c r="AH14" s="459">
        <f>'_Engine_R50'!Q63</f>
        <v/>
      </c>
      <c r="AI14" s="459">
        <f>'_Engine_R50'!Q64</f>
        <v/>
      </c>
      <c r="AJ14" s="459">
        <f>'_Engine_R50'!Q65</f>
        <v/>
      </c>
      <c r="AK14" s="459">
        <f>'_Engine_R50'!Q66</f>
        <v/>
      </c>
      <c r="AL14" s="459">
        <f>'_Engine_R50'!Q67</f>
        <v/>
      </c>
      <c r="AM14" s="459">
        <f>'_Engine_R50'!Q68</f>
        <v/>
      </c>
      <c r="AN14" s="459">
        <f>'_Engine_R50'!Q69</f>
        <v/>
      </c>
      <c r="AO14" s="459">
        <f>'_Engine_R50'!Q70</f>
        <v/>
      </c>
      <c r="AP14" s="459">
        <f>'_Engine_R50'!Q71</f>
        <v/>
      </c>
      <c r="AQ14" s="459">
        <f>'_Engine_R50'!Q72</f>
        <v/>
      </c>
      <c r="AR14" s="459">
        <f>'_Engine_R50'!Q73</f>
        <v/>
      </c>
      <c r="AS14" s="459">
        <f>'_Engine_R50'!Q74</f>
        <v/>
      </c>
      <c r="AT14" s="459">
        <f>'_Engine_R50'!Q75</f>
        <v/>
      </c>
      <c r="AU14" s="459">
        <f>'_Engine_R50'!Q76</f>
        <v/>
      </c>
      <c r="AV14" s="459">
        <f>'_Engine_R50'!Q77</f>
        <v/>
      </c>
      <c r="AW14" s="459">
        <f>'_Engine_R50'!Q78</f>
        <v/>
      </c>
      <c r="AX14" s="459">
        <f>'_Engine_R50'!Q79</f>
        <v/>
      </c>
      <c r="AY14" s="459">
        <f>'_Engine_R50'!Q80</f>
        <v/>
      </c>
      <c r="AZ14" s="459">
        <f>'_Engine_R50'!Q81</f>
        <v/>
      </c>
      <c r="BA14" s="459">
        <f>'_Engine_R50'!Q82</f>
        <v/>
      </c>
      <c r="BB14" s="459">
        <f>'_Engine_R50'!Q83</f>
        <v/>
      </c>
      <c r="BC14" s="459">
        <f>'_Engine_R50'!Q84</f>
        <v/>
      </c>
      <c r="BD14" s="459">
        <f>'_Engine_R50'!Q85</f>
        <v/>
      </c>
      <c r="BE14" s="459">
        <f>'_Engine_R50'!Q86</f>
        <v/>
      </c>
      <c r="BF14" s="459">
        <f>'_Engine_R50'!Q87</f>
        <v/>
      </c>
      <c r="BG14" s="459">
        <f>'_Engine_R50'!Q88</f>
        <v/>
      </c>
      <c r="BH14" s="459">
        <f>'_Engine_R50'!Q89</f>
        <v/>
      </c>
      <c r="BI14" s="459">
        <f>'_Engine_R50'!Q90</f>
        <v/>
      </c>
      <c r="BJ14" s="459">
        <f>'_Engine_R50'!Q91</f>
        <v/>
      </c>
      <c r="BK14" s="459">
        <f>'_Engine_R50'!Q92</f>
        <v/>
      </c>
      <c r="BL14" s="459">
        <f>'_Engine_R50'!Q93</f>
        <v/>
      </c>
      <c r="BM14" s="459">
        <f>'_Engine_R50'!Q94</f>
        <v/>
      </c>
      <c r="BN14" s="459">
        <f>'_Engine_R50'!Q95</f>
        <v/>
      </c>
      <c r="BO14" s="459">
        <f>'_Engine_R50'!Q96</f>
        <v/>
      </c>
      <c r="BP14" s="459">
        <f>'_Engine_R50'!Q97</f>
        <v/>
      </c>
      <c r="BQ14" s="459">
        <f>'_Engine_R50'!Q98</f>
        <v/>
      </c>
      <c r="BR14" s="459">
        <f>'_Engine_R50'!Q99</f>
        <v/>
      </c>
      <c r="BS14" s="459">
        <f>'_Engine_R50'!Q100</f>
        <v/>
      </c>
      <c r="BT14" s="459">
        <f>'_Engine_R50'!Q101</f>
        <v/>
      </c>
      <c r="BU14" s="459">
        <f>'_Engine_R50'!Q102</f>
        <v/>
      </c>
      <c r="BV14" s="459">
        <f>'_Engine_R50'!Q103</f>
        <v/>
      </c>
      <c r="BW14" s="459">
        <f>'_Engine_R50'!Q104</f>
        <v/>
      </c>
      <c r="BX14" s="459">
        <f>'_Engine_R50'!Q105</f>
        <v/>
      </c>
      <c r="BY14" s="459">
        <f>'_Engine_R50'!Q106</f>
        <v/>
      </c>
      <c r="BZ14" s="459">
        <f>'_Engine_R50'!Q107</f>
        <v/>
      </c>
      <c r="CA14" s="459">
        <f>'_Engine_R50'!Q108</f>
        <v/>
      </c>
      <c r="CB14" s="459">
        <f>'_Engine_R50'!Q109</f>
        <v/>
      </c>
      <c r="CC14" s="459">
        <f>'_Engine_R50'!Q110</f>
        <v/>
      </c>
      <c r="CD14" s="459">
        <f>'_Engine_R50'!Q111</f>
        <v/>
      </c>
      <c r="CE14" s="459">
        <f>'_Engine_R50'!Q112</f>
        <v/>
      </c>
      <c r="CF14" s="459">
        <f>'_Engine_R50'!Q113</f>
        <v/>
      </c>
      <c r="CG14" s="459">
        <f>'_Engine_R50'!Q114</f>
        <v/>
      </c>
      <c r="CH14" s="459">
        <f>'_Engine_R50'!Q115</f>
        <v/>
      </c>
      <c r="CI14" s="459">
        <f>'_Engine_R50'!Q116</f>
        <v/>
      </c>
      <c r="CJ14" s="459">
        <f>'_Engine_R50'!Q117</f>
        <v/>
      </c>
      <c r="CK14" s="459">
        <f>'_Engine_R50'!Q118</f>
        <v/>
      </c>
      <c r="CL14" s="459">
        <f>'_Engine_R50'!Q119</f>
        <v/>
      </c>
      <c r="CM14" s="459">
        <f>'_Engine_R50'!Q120</f>
        <v/>
      </c>
      <c r="CN14" s="459">
        <f>'_Engine_R50'!Q121</f>
        <v/>
      </c>
      <c r="CO14" s="459">
        <f>'_Engine_R50'!Q122</f>
        <v/>
      </c>
      <c r="CP14" s="459">
        <f>'_Engine_R50'!Q123</f>
        <v/>
      </c>
      <c r="CQ14" s="459">
        <f>'_Engine_R50'!Q124</f>
        <v/>
      </c>
      <c r="CR14" s="459">
        <f>'_Engine_R50'!Q125</f>
        <v/>
      </c>
      <c r="CS14" s="459">
        <f>'_Engine_R50'!Q126</f>
        <v/>
      </c>
      <c r="CT14" s="459">
        <f>'_Engine_R50'!Q127</f>
        <v/>
      </c>
      <c r="CU14" s="459">
        <f>'_Engine_R50'!Q128</f>
        <v/>
      </c>
      <c r="CV14" s="459">
        <f>'_Engine_R50'!Q129</f>
        <v/>
      </c>
      <c r="CW14" s="459">
        <f>'_Engine_R50'!Q130</f>
        <v/>
      </c>
      <c r="CX14" s="459">
        <f>'_Engine_R50'!Q131</f>
        <v/>
      </c>
      <c r="CY14" s="459">
        <f>'_Engine_R50'!Q132</f>
        <v/>
      </c>
      <c r="CZ14" s="459">
        <f>'_Engine_R50'!Q133</f>
        <v/>
      </c>
      <c r="DA14" s="459">
        <f>'_Engine_R50'!Q134</f>
        <v/>
      </c>
      <c r="DB14" s="459">
        <f>'_Engine_R50'!Q135</f>
        <v/>
      </c>
      <c r="DC14" s="459">
        <f>'_Engine_R50'!Q136</f>
        <v/>
      </c>
      <c r="DD14" s="459">
        <f>'_Engine_R50'!Q137</f>
        <v/>
      </c>
      <c r="DE14" s="459">
        <f>'_Engine_R50'!Q138</f>
        <v/>
      </c>
      <c r="DF14" s="459">
        <f>'_Engine_R50'!Q139</f>
        <v/>
      </c>
      <c r="DG14" s="459">
        <f>'_Engine_R50'!Q140</f>
        <v/>
      </c>
      <c r="DH14" s="459">
        <f>'_Engine_R50'!Q141</f>
        <v/>
      </c>
      <c r="DI14" s="459">
        <f>'_Engine_R50'!Q142</f>
        <v/>
      </c>
      <c r="DJ14" s="459">
        <f>'_Engine_R50'!Q143</f>
        <v/>
      </c>
      <c r="DK14" s="459">
        <f>'_Engine_R50'!Q144</f>
        <v/>
      </c>
      <c r="DL14" s="459">
        <f>'_Engine_R50'!Q145</f>
        <v/>
      </c>
      <c r="DM14" s="459">
        <f>'_Engine_R50'!Q146</f>
        <v/>
      </c>
      <c r="DN14" s="459">
        <f>'_Engine_R50'!Q147</f>
        <v/>
      </c>
      <c r="DO14" s="459">
        <f>'_Engine_R50'!Q148</f>
        <v/>
      </c>
      <c r="DP14" s="459">
        <f>'_Engine_R50'!Q149</f>
        <v/>
      </c>
      <c r="DQ14" s="459">
        <f>'_Engine_R50'!Q150</f>
        <v/>
      </c>
      <c r="DR14" s="459">
        <f>'_Engine_R50'!Q151</f>
        <v/>
      </c>
      <c r="DS14" s="459">
        <f>'_Engine_R50'!Q152</f>
        <v/>
      </c>
      <c r="DT14" s="459">
        <f>'_Engine_R50'!Q153</f>
        <v/>
      </c>
      <c r="DU14" s="459">
        <f>'_Engine_R50'!Q154</f>
        <v/>
      </c>
      <c r="DV14" s="459">
        <f>'_Engine_R50'!Q155</f>
        <v/>
      </c>
      <c r="DW14" s="459">
        <f>'_Engine_R50'!Q156</f>
        <v/>
      </c>
      <c r="DX14" s="459">
        <f>'_Engine_R50'!Q157</f>
        <v/>
      </c>
      <c r="DY14" s="459">
        <f>'_Engine_R50'!Q158</f>
        <v/>
      </c>
      <c r="DZ14" s="459">
        <f>'_Engine_R50'!Q159</f>
        <v/>
      </c>
      <c r="EA14" s="459">
        <f>'_Engine_R50'!Q160</f>
        <v/>
      </c>
      <c r="EB14" s="459">
        <f>'_Engine_R50'!Q161</f>
        <v/>
      </c>
      <c r="EC14" s="459">
        <f>'_Engine_R50'!Q162</f>
        <v/>
      </c>
      <c r="ED14" s="459">
        <f>'_Engine_R50'!Q163</f>
        <v/>
      </c>
      <c r="EE14" s="459">
        <f>'_Engine_R50'!Q164</f>
        <v/>
      </c>
      <c r="EF14" s="459">
        <f>'_Engine_R50'!Q165</f>
        <v/>
      </c>
      <c r="EG14" s="459">
        <f>'_Engine_R50'!Q166</f>
        <v/>
      </c>
      <c r="EH14" s="459">
        <f>'_Engine_R50'!Q167</f>
        <v/>
      </c>
      <c r="EI14" s="459">
        <f>'_Engine_R50'!Q168</f>
        <v/>
      </c>
      <c r="EJ14" s="459">
        <f>'_Engine_R50'!Q169</f>
        <v/>
      </c>
      <c r="EK14" s="459">
        <f>'_Engine_R50'!Q170</f>
        <v/>
      </c>
      <c r="EL14" s="459">
        <f>'_Engine_R50'!Q171</f>
        <v/>
      </c>
      <c r="EM14" s="459">
        <f>'_Engine_R50'!Q172</f>
        <v/>
      </c>
      <c r="EN14" s="459">
        <f>'_Engine_R50'!Q173</f>
        <v/>
      </c>
      <c r="EO14" s="459">
        <f>'_Engine_R50'!Q174</f>
        <v/>
      </c>
      <c r="EP14" s="459">
        <f>'_Engine_R50'!Q175</f>
        <v/>
      </c>
      <c r="EQ14" s="459">
        <f>'_Engine_R50'!Q176</f>
        <v/>
      </c>
      <c r="ER14" s="459">
        <f>'_Engine_R50'!Q177</f>
        <v/>
      </c>
      <c r="ES14" s="459">
        <f>'_Engine_R50'!Q178</f>
        <v/>
      </c>
      <c r="ET14" s="459">
        <f>'_Engine_R50'!Q179</f>
        <v/>
      </c>
      <c r="EU14" s="459">
        <f>'_Engine_R50'!Q180</f>
        <v/>
      </c>
      <c r="EV14" s="459">
        <f>'_Engine_R50'!Q181</f>
        <v/>
      </c>
      <c r="EW14" s="459">
        <f>'_Engine_R50'!Q182</f>
        <v/>
      </c>
      <c r="EX14" s="459">
        <f>'_Engine_R50'!Q183</f>
        <v/>
      </c>
      <c r="EY14" s="459">
        <f>'_Engine_R50'!Q184</f>
        <v/>
      </c>
      <c r="EZ14" s="459">
        <f>'_Engine_R50'!Q185</f>
        <v/>
      </c>
      <c r="FA14" s="459">
        <f>'_Engine_R50'!Q186</f>
        <v/>
      </c>
      <c r="FB14" s="459">
        <f>'_Engine_R50'!Q187</f>
        <v/>
      </c>
      <c r="FC14" s="459">
        <f>'_Engine_R50'!Q188</f>
        <v/>
      </c>
      <c r="FD14" s="459">
        <f>'_Engine_R50'!Q189</f>
        <v/>
      </c>
      <c r="FE14" s="459">
        <f>'_Engine_R50'!Q190</f>
        <v/>
      </c>
      <c r="FF14" s="459">
        <f>'_Engine_R50'!Q191</f>
        <v/>
      </c>
      <c r="FG14" s="459">
        <f>'_Engine_R50'!Q192</f>
        <v/>
      </c>
      <c r="FH14" s="459">
        <f>'_Engine_R50'!Q193</f>
        <v/>
      </c>
      <c r="FI14" s="459">
        <f>'_Engine_R50'!Q194</f>
        <v/>
      </c>
      <c r="FJ14" s="459">
        <f>'_Engine_R50'!Q195</f>
        <v/>
      </c>
      <c r="FK14" s="459">
        <f>'_Engine_R50'!Q196</f>
        <v/>
      </c>
      <c r="FL14" s="459">
        <f>'_Engine_R50'!Q197</f>
        <v/>
      </c>
      <c r="FM14" s="459">
        <f>'_Engine_R50'!Q198</f>
        <v/>
      </c>
      <c r="FN14" s="459">
        <f>'_Engine_R50'!Q199</f>
        <v/>
      </c>
      <c r="FO14" s="459">
        <f>'_Engine_R50'!Q200</f>
        <v/>
      </c>
      <c r="FP14" s="459">
        <f>'_Engine_R50'!Q201</f>
        <v/>
      </c>
      <c r="FQ14" s="459">
        <f>'_Engine_R50'!Q202</f>
        <v/>
      </c>
      <c r="FR14" s="459">
        <f>'_Engine_R50'!Q203</f>
        <v/>
      </c>
      <c r="FS14" s="459">
        <f>'_Engine_R50'!Q204</f>
        <v/>
      </c>
      <c r="FT14" s="459">
        <f>'_Engine_R50'!Q205</f>
        <v/>
      </c>
      <c r="FU14" s="459">
        <f>'_Engine_R50'!Q206</f>
        <v/>
      </c>
      <c r="FV14" s="459">
        <f>'_Engine_R50'!Q207</f>
        <v/>
      </c>
      <c r="FW14" s="459">
        <f>'_Engine_R50'!Q208</f>
        <v/>
      </c>
      <c r="FX14" s="459">
        <f>'_Engine_R50'!Q209</f>
        <v/>
      </c>
      <c r="FY14" s="459">
        <f>'_Engine_R50'!Q210</f>
        <v/>
      </c>
      <c r="FZ14" s="306" t="n"/>
    </row>
    <row r="15" ht="15" customHeight="1" s="307">
      <c r="A15" s="325" t="inlineStr">
        <is>
          <t>Portfolio P&amp;L</t>
        </is>
      </c>
      <c r="B15" s="457">
        <f>B13-B14</f>
        <v/>
      </c>
      <c r="C15" s="457">
        <f>C13-C14</f>
        <v/>
      </c>
      <c r="D15" s="457">
        <f>D13-D14</f>
        <v/>
      </c>
      <c r="E15" s="457">
        <f>E13-E14</f>
        <v/>
      </c>
      <c r="F15" s="457">
        <f>F13-F14</f>
        <v/>
      </c>
      <c r="G15" s="457">
        <f>G13-G14</f>
        <v/>
      </c>
      <c r="H15" s="457">
        <f>H13-H14</f>
        <v/>
      </c>
      <c r="I15" s="457">
        <f>I13-I14</f>
        <v/>
      </c>
      <c r="J15" s="457">
        <f>J13-J14</f>
        <v/>
      </c>
      <c r="K15" s="457">
        <f>K13-K14</f>
        <v/>
      </c>
      <c r="L15" s="457">
        <f>L13-L14</f>
        <v/>
      </c>
      <c r="M15" s="457">
        <f>M13-M14</f>
        <v/>
      </c>
      <c r="N15" s="457">
        <f>N13-N14</f>
        <v/>
      </c>
      <c r="O15" s="457">
        <f>O13-O14</f>
        <v/>
      </c>
      <c r="P15" s="457">
        <f>P13-P14</f>
        <v/>
      </c>
      <c r="Q15" s="457">
        <f>Q13-Q14</f>
        <v/>
      </c>
      <c r="R15" s="457">
        <f>R13-R14</f>
        <v/>
      </c>
      <c r="S15" s="457">
        <f>S13-S14</f>
        <v/>
      </c>
      <c r="T15" s="457">
        <f>T13-T14</f>
        <v/>
      </c>
      <c r="U15" s="457">
        <f>U13-U14</f>
        <v/>
      </c>
      <c r="V15" s="457">
        <f>V13-V14</f>
        <v/>
      </c>
      <c r="W15" s="457">
        <f>W13-W14</f>
        <v/>
      </c>
      <c r="X15" s="457">
        <f>X13-X14</f>
        <v/>
      </c>
      <c r="Y15" s="457">
        <f>Y13-Y14</f>
        <v/>
      </c>
      <c r="Z15" s="457">
        <f>Z13-Z14</f>
        <v/>
      </c>
      <c r="AA15" s="457">
        <f>AA13-AA14</f>
        <v/>
      </c>
      <c r="AB15" s="457">
        <f>AB13-AB14</f>
        <v/>
      </c>
      <c r="AC15" s="457">
        <f>AC13-AC14</f>
        <v/>
      </c>
      <c r="AD15" s="457">
        <f>AD13-AD14</f>
        <v/>
      </c>
      <c r="AE15" s="457">
        <f>AE13-AE14</f>
        <v/>
      </c>
      <c r="AF15" s="457">
        <f>AF13-AF14</f>
        <v/>
      </c>
      <c r="AG15" s="457">
        <f>AG13-AG14</f>
        <v/>
      </c>
      <c r="AH15" s="457">
        <f>AH13-AH14</f>
        <v/>
      </c>
      <c r="AI15" s="457">
        <f>AI13-AI14</f>
        <v/>
      </c>
      <c r="AJ15" s="457">
        <f>AJ13-AJ14</f>
        <v/>
      </c>
      <c r="AK15" s="457">
        <f>AK13-AK14</f>
        <v/>
      </c>
      <c r="AL15" s="457">
        <f>AL13-AL14</f>
        <v/>
      </c>
      <c r="AM15" s="457">
        <f>AM13-AM14</f>
        <v/>
      </c>
      <c r="AN15" s="457">
        <f>AN13-AN14</f>
        <v/>
      </c>
      <c r="AO15" s="457">
        <f>AO13-AO14</f>
        <v/>
      </c>
      <c r="AP15" s="457">
        <f>AP13-AP14</f>
        <v/>
      </c>
      <c r="AQ15" s="457">
        <f>AQ13-AQ14</f>
        <v/>
      </c>
      <c r="AR15" s="457">
        <f>AR13-AR14</f>
        <v/>
      </c>
      <c r="AS15" s="457">
        <f>AS13-AS14</f>
        <v/>
      </c>
      <c r="AT15" s="457">
        <f>AT13-AT14</f>
        <v/>
      </c>
      <c r="AU15" s="457">
        <f>AU13-AU14</f>
        <v/>
      </c>
      <c r="AV15" s="457">
        <f>AV13-AV14</f>
        <v/>
      </c>
      <c r="AW15" s="457">
        <f>AW13-AW14</f>
        <v/>
      </c>
      <c r="AX15" s="457">
        <f>AX13-AX14</f>
        <v/>
      </c>
      <c r="AY15" s="457">
        <f>AY13-AY14</f>
        <v/>
      </c>
      <c r="AZ15" s="457">
        <f>AZ13-AZ14</f>
        <v/>
      </c>
      <c r="BA15" s="457">
        <f>BA13-BA14</f>
        <v/>
      </c>
      <c r="BB15" s="457">
        <f>BB13-BB14</f>
        <v/>
      </c>
      <c r="BC15" s="457">
        <f>BC13-BC14</f>
        <v/>
      </c>
      <c r="BD15" s="457">
        <f>BD13-BD14</f>
        <v/>
      </c>
      <c r="BE15" s="457">
        <f>BE13-BE14</f>
        <v/>
      </c>
      <c r="BF15" s="457">
        <f>BF13-BF14</f>
        <v/>
      </c>
      <c r="BG15" s="457">
        <f>BG13-BG14</f>
        <v/>
      </c>
      <c r="BH15" s="457">
        <f>BH13-BH14</f>
        <v/>
      </c>
      <c r="BI15" s="457">
        <f>BI13-BI14</f>
        <v/>
      </c>
      <c r="BJ15" s="457">
        <f>BJ13-BJ14</f>
        <v/>
      </c>
      <c r="BK15" s="457">
        <f>BK13-BK14</f>
        <v/>
      </c>
      <c r="BL15" s="457">
        <f>BL13-BL14</f>
        <v/>
      </c>
      <c r="BM15" s="457">
        <f>BM13-BM14</f>
        <v/>
      </c>
      <c r="BN15" s="457">
        <f>BN13-BN14</f>
        <v/>
      </c>
      <c r="BO15" s="457">
        <f>BO13-BO14</f>
        <v/>
      </c>
      <c r="BP15" s="457">
        <f>BP13-BP14</f>
        <v/>
      </c>
      <c r="BQ15" s="457">
        <f>BQ13-BQ14</f>
        <v/>
      </c>
      <c r="BR15" s="457">
        <f>BR13-BR14</f>
        <v/>
      </c>
      <c r="BS15" s="457">
        <f>BS13-BS14</f>
        <v/>
      </c>
      <c r="BT15" s="457">
        <f>BT13-BT14</f>
        <v/>
      </c>
      <c r="BU15" s="457">
        <f>BU13-BU14</f>
        <v/>
      </c>
      <c r="BV15" s="457">
        <f>BV13-BV14</f>
        <v/>
      </c>
      <c r="BW15" s="457">
        <f>BW13-BW14</f>
        <v/>
      </c>
      <c r="BX15" s="457">
        <f>BX13-BX14</f>
        <v/>
      </c>
      <c r="BY15" s="457">
        <f>BY13-BY14</f>
        <v/>
      </c>
      <c r="BZ15" s="457">
        <f>BZ13-BZ14</f>
        <v/>
      </c>
      <c r="CA15" s="457">
        <f>CA13-CA14</f>
        <v/>
      </c>
      <c r="CB15" s="457">
        <f>CB13-CB14</f>
        <v/>
      </c>
      <c r="CC15" s="457">
        <f>CC13-CC14</f>
        <v/>
      </c>
      <c r="CD15" s="457">
        <f>CD13-CD14</f>
        <v/>
      </c>
      <c r="CE15" s="457">
        <f>CE13-CE14</f>
        <v/>
      </c>
      <c r="CF15" s="457">
        <f>CF13-CF14</f>
        <v/>
      </c>
      <c r="CG15" s="457">
        <f>CG13-CG14</f>
        <v/>
      </c>
      <c r="CH15" s="457">
        <f>CH13-CH14</f>
        <v/>
      </c>
      <c r="CI15" s="457">
        <f>CI13-CI14</f>
        <v/>
      </c>
      <c r="CJ15" s="457">
        <f>CJ13-CJ14</f>
        <v/>
      </c>
      <c r="CK15" s="457">
        <f>CK13-CK14</f>
        <v/>
      </c>
      <c r="CL15" s="457">
        <f>CL13-CL14</f>
        <v/>
      </c>
      <c r="CM15" s="457">
        <f>CM13-CM14</f>
        <v/>
      </c>
      <c r="CN15" s="457">
        <f>CN13-CN14</f>
        <v/>
      </c>
      <c r="CO15" s="457">
        <f>CO13-CO14</f>
        <v/>
      </c>
      <c r="CP15" s="457">
        <f>CP13-CP14</f>
        <v/>
      </c>
      <c r="CQ15" s="457">
        <f>CQ13-CQ14</f>
        <v/>
      </c>
      <c r="CR15" s="457">
        <f>CR13-CR14</f>
        <v/>
      </c>
      <c r="CS15" s="457">
        <f>CS13-CS14</f>
        <v/>
      </c>
      <c r="CT15" s="457">
        <f>CT13-CT14</f>
        <v/>
      </c>
      <c r="CU15" s="457">
        <f>CU13-CU14</f>
        <v/>
      </c>
      <c r="CV15" s="457">
        <f>CV13-CV14</f>
        <v/>
      </c>
      <c r="CW15" s="457">
        <f>CW13-CW14</f>
        <v/>
      </c>
      <c r="CX15" s="457">
        <f>CX13-CX14</f>
        <v/>
      </c>
      <c r="CY15" s="457">
        <f>CY13-CY14</f>
        <v/>
      </c>
      <c r="CZ15" s="457">
        <f>CZ13-CZ14</f>
        <v/>
      </c>
      <c r="DA15" s="457">
        <f>DA13-DA14</f>
        <v/>
      </c>
      <c r="DB15" s="457">
        <f>DB13-DB14</f>
        <v/>
      </c>
      <c r="DC15" s="457">
        <f>DC13-DC14</f>
        <v/>
      </c>
      <c r="DD15" s="457">
        <f>DD13-DD14</f>
        <v/>
      </c>
      <c r="DE15" s="457">
        <f>DE13-DE14</f>
        <v/>
      </c>
      <c r="DF15" s="457">
        <f>DF13-DF14</f>
        <v/>
      </c>
      <c r="DG15" s="457">
        <f>DG13-DG14</f>
        <v/>
      </c>
      <c r="DH15" s="457">
        <f>DH13-DH14</f>
        <v/>
      </c>
      <c r="DI15" s="457">
        <f>DI13-DI14</f>
        <v/>
      </c>
      <c r="DJ15" s="457">
        <f>DJ13-DJ14</f>
        <v/>
      </c>
      <c r="DK15" s="457">
        <f>DK13-DK14</f>
        <v/>
      </c>
      <c r="DL15" s="457">
        <f>DL13-DL14</f>
        <v/>
      </c>
      <c r="DM15" s="457">
        <f>DM13-DM14</f>
        <v/>
      </c>
      <c r="DN15" s="457">
        <f>DN13-DN14</f>
        <v/>
      </c>
      <c r="DO15" s="457">
        <f>DO13-DO14</f>
        <v/>
      </c>
      <c r="DP15" s="457">
        <f>DP13-DP14</f>
        <v/>
      </c>
      <c r="DQ15" s="457">
        <f>DQ13-DQ14</f>
        <v/>
      </c>
      <c r="DR15" s="457">
        <f>DR13-DR14</f>
        <v/>
      </c>
      <c r="DS15" s="457">
        <f>DS13-DS14</f>
        <v/>
      </c>
      <c r="DT15" s="457">
        <f>DT13-DT14</f>
        <v/>
      </c>
      <c r="DU15" s="457">
        <f>DU13-DU14</f>
        <v/>
      </c>
      <c r="DV15" s="457">
        <f>DV13-DV14</f>
        <v/>
      </c>
      <c r="DW15" s="457">
        <f>DW13-DW14</f>
        <v/>
      </c>
      <c r="DX15" s="457">
        <f>DX13-DX14</f>
        <v/>
      </c>
      <c r="DY15" s="457">
        <f>DY13-DY14</f>
        <v/>
      </c>
      <c r="DZ15" s="457">
        <f>DZ13-DZ14</f>
        <v/>
      </c>
      <c r="EA15" s="457">
        <f>EA13-EA14</f>
        <v/>
      </c>
      <c r="EB15" s="457">
        <f>EB13-EB14</f>
        <v/>
      </c>
      <c r="EC15" s="457">
        <f>EC13-EC14</f>
        <v/>
      </c>
      <c r="ED15" s="457">
        <f>ED13-ED14</f>
        <v/>
      </c>
      <c r="EE15" s="457">
        <f>EE13-EE14</f>
        <v/>
      </c>
      <c r="EF15" s="457">
        <f>EF13-EF14</f>
        <v/>
      </c>
      <c r="EG15" s="457">
        <f>EG13-EG14</f>
        <v/>
      </c>
      <c r="EH15" s="457">
        <f>EH13-EH14</f>
        <v/>
      </c>
      <c r="EI15" s="457">
        <f>EI13-EI14</f>
        <v/>
      </c>
      <c r="EJ15" s="457">
        <f>EJ13-EJ14</f>
        <v/>
      </c>
      <c r="EK15" s="457">
        <f>EK13-EK14</f>
        <v/>
      </c>
      <c r="EL15" s="457">
        <f>EL13-EL14</f>
        <v/>
      </c>
      <c r="EM15" s="457">
        <f>EM13-EM14</f>
        <v/>
      </c>
      <c r="EN15" s="457">
        <f>EN13-EN14</f>
        <v/>
      </c>
      <c r="EO15" s="457">
        <f>EO13-EO14</f>
        <v/>
      </c>
      <c r="EP15" s="457">
        <f>EP13-EP14</f>
        <v/>
      </c>
      <c r="EQ15" s="457">
        <f>EQ13-EQ14</f>
        <v/>
      </c>
      <c r="ER15" s="457">
        <f>ER13-ER14</f>
        <v/>
      </c>
      <c r="ES15" s="457">
        <f>ES13-ES14</f>
        <v/>
      </c>
      <c r="ET15" s="457">
        <f>ET13-ET14</f>
        <v/>
      </c>
      <c r="EU15" s="457">
        <f>EU13-EU14</f>
        <v/>
      </c>
      <c r="EV15" s="457">
        <f>EV13-EV14</f>
        <v/>
      </c>
      <c r="EW15" s="457">
        <f>EW13-EW14</f>
        <v/>
      </c>
      <c r="EX15" s="457">
        <f>EX13-EX14</f>
        <v/>
      </c>
      <c r="EY15" s="457">
        <f>EY13-EY14</f>
        <v/>
      </c>
      <c r="EZ15" s="457">
        <f>EZ13-EZ14</f>
        <v/>
      </c>
      <c r="FA15" s="457">
        <f>FA13-FA14</f>
        <v/>
      </c>
      <c r="FB15" s="457">
        <f>FB13-FB14</f>
        <v/>
      </c>
      <c r="FC15" s="457">
        <f>FC13-FC14</f>
        <v/>
      </c>
      <c r="FD15" s="457">
        <f>FD13-FD14</f>
        <v/>
      </c>
      <c r="FE15" s="457">
        <f>FE13-FE14</f>
        <v/>
      </c>
      <c r="FF15" s="457">
        <f>FF13-FF14</f>
        <v/>
      </c>
      <c r="FG15" s="457">
        <f>FG13-FG14</f>
        <v/>
      </c>
      <c r="FH15" s="457">
        <f>FH13-FH14</f>
        <v/>
      </c>
      <c r="FI15" s="457">
        <f>FI13-FI14</f>
        <v/>
      </c>
      <c r="FJ15" s="457">
        <f>FJ13-FJ14</f>
        <v/>
      </c>
      <c r="FK15" s="457">
        <f>FK13-FK14</f>
        <v/>
      </c>
      <c r="FL15" s="457">
        <f>FL13-FL14</f>
        <v/>
      </c>
      <c r="FM15" s="457">
        <f>FM13-FM14</f>
        <v/>
      </c>
      <c r="FN15" s="457">
        <f>FN13-FN14</f>
        <v/>
      </c>
      <c r="FO15" s="457">
        <f>FO13-FO14</f>
        <v/>
      </c>
      <c r="FP15" s="457">
        <f>FP13-FP14</f>
        <v/>
      </c>
      <c r="FQ15" s="457">
        <f>FQ13-FQ14</f>
        <v/>
      </c>
      <c r="FR15" s="457">
        <f>FR13-FR14</f>
        <v/>
      </c>
      <c r="FS15" s="457">
        <f>FS13-FS14</f>
        <v/>
      </c>
      <c r="FT15" s="457">
        <f>FT13-FT14</f>
        <v/>
      </c>
      <c r="FU15" s="457">
        <f>FU13-FU14</f>
        <v/>
      </c>
      <c r="FV15" s="457">
        <f>FV13-FV14</f>
        <v/>
      </c>
      <c r="FW15" s="457">
        <f>FW13-FW14</f>
        <v/>
      </c>
      <c r="FX15" s="457">
        <f>FX13-FX14</f>
        <v/>
      </c>
      <c r="FY15" s="457">
        <f>FY13-FY14</f>
        <v/>
      </c>
      <c r="FZ15" s="306" t="n"/>
    </row>
    <row r="16" ht="15" customHeight="1" s="307">
      <c r="A16" s="322" t="inlineStr">
        <is>
          <t>Revenue</t>
        </is>
      </c>
      <c r="B16" s="465" t="n">
        <v>0</v>
      </c>
      <c r="C16" s="465" t="n">
        <v>0</v>
      </c>
      <c r="D16" s="465" t="n">
        <v>0</v>
      </c>
      <c r="E16" s="465" t="n">
        <v>2.1333</v>
      </c>
      <c r="F16" s="465" t="n">
        <v>2.1046</v>
      </c>
      <c r="G16" s="465" t="n">
        <v>2.0763</v>
      </c>
      <c r="H16" s="465" t="n">
        <v>4.3151</v>
      </c>
      <c r="I16" s="465" t="n">
        <v>4.257</v>
      </c>
      <c r="J16" s="465" t="n">
        <v>4.1997</v>
      </c>
      <c r="K16" s="465" t="n">
        <v>6.6516</v>
      </c>
      <c r="L16" s="465" t="n">
        <v>6.5621</v>
      </c>
      <c r="M16" s="465" t="n">
        <v>8.640499999999999</v>
      </c>
      <c r="N16" s="466" t="n">
        <v>8.5243</v>
      </c>
      <c r="O16" s="466" t="n">
        <v>8.409599999999999</v>
      </c>
      <c r="P16" s="466" t="n">
        <v>8.2965</v>
      </c>
      <c r="Q16" s="466" t="n">
        <v>10.3015</v>
      </c>
      <c r="R16" s="466" t="n">
        <v>10.163</v>
      </c>
      <c r="S16" s="466" t="n">
        <v>10.0263</v>
      </c>
      <c r="T16" s="466" t="n">
        <v>9.891400000000001</v>
      </c>
      <c r="U16" s="466" t="n">
        <v>9.7583</v>
      </c>
      <c r="V16" s="466" t="n">
        <v>9.6271</v>
      </c>
      <c r="W16" s="466" t="n">
        <v>9.4976</v>
      </c>
      <c r="X16" s="466" t="n">
        <v>9.3698</v>
      </c>
      <c r="Y16" s="466" t="n">
        <v>11.2438</v>
      </c>
      <c r="Z16" s="465" t="n">
        <v>11.0925</v>
      </c>
      <c r="AA16" s="465" t="n">
        <v>10.9433</v>
      </c>
      <c r="AB16" s="465" t="n">
        <v>10.7961</v>
      </c>
      <c r="AC16" s="465" t="n">
        <v>10.6508</v>
      </c>
      <c r="AD16" s="465" t="n">
        <v>10.5076</v>
      </c>
      <c r="AE16" s="465" t="n">
        <v>12.3662</v>
      </c>
      <c r="AF16" s="465" t="n">
        <v>12.1999</v>
      </c>
      <c r="AG16" s="465" t="n">
        <v>12.0358</v>
      </c>
      <c r="AH16" s="465" t="n">
        <v>11.8739</v>
      </c>
      <c r="AI16" s="465" t="n">
        <v>11.7141</v>
      </c>
      <c r="AJ16" s="465" t="n">
        <v>11.5566</v>
      </c>
      <c r="AK16" s="465" t="n">
        <v>13.4011</v>
      </c>
      <c r="AL16" s="466" t="n">
        <v>13.2208</v>
      </c>
      <c r="AM16" s="466" t="n">
        <v>13.043</v>
      </c>
      <c r="AN16" s="466" t="n">
        <v>12.8675</v>
      </c>
      <c r="AO16" s="466" t="n">
        <v>12.6944</v>
      </c>
      <c r="AP16" s="466" t="n">
        <v>12.5237</v>
      </c>
      <c r="AQ16" s="466" t="n">
        <v>12.3552</v>
      </c>
      <c r="AR16" s="466" t="n">
        <v>12.189</v>
      </c>
      <c r="AS16" s="466" t="n">
        <v>12.025</v>
      </c>
      <c r="AT16" s="466" t="n">
        <v>11.8633</v>
      </c>
      <c r="AU16" s="466" t="n">
        <v>11.7037</v>
      </c>
      <c r="AV16" s="466" t="n">
        <v>11.5463</v>
      </c>
      <c r="AW16" s="466" t="n">
        <v>11.3909</v>
      </c>
      <c r="AX16" s="465" t="n">
        <v>11.2377</v>
      </c>
      <c r="AY16" s="465" t="n">
        <v>11.0865</v>
      </c>
      <c r="AZ16" s="465" t="n">
        <v>10.9374</v>
      </c>
      <c r="BA16" s="465" t="n">
        <v>10.7903</v>
      </c>
      <c r="BB16" s="465" t="n">
        <v>10.6451</v>
      </c>
      <c r="BC16" s="465" t="n">
        <v>10.5019</v>
      </c>
      <c r="BD16" s="465" t="n">
        <v>10.3606</v>
      </c>
      <c r="BE16" s="465" t="n">
        <v>10.2213</v>
      </c>
      <c r="BF16" s="465" t="n">
        <v>10.0838</v>
      </c>
      <c r="BG16" s="465" t="n">
        <v>9.9481</v>
      </c>
      <c r="BH16" s="465" t="n">
        <v>9.814299999999999</v>
      </c>
      <c r="BI16" s="465" t="n">
        <v>9.6823</v>
      </c>
      <c r="BJ16" s="466" t="n">
        <v>9.552</v>
      </c>
      <c r="BK16" s="466" t="n">
        <v>9.4236</v>
      </c>
      <c r="BL16" s="466" t="n">
        <v>9.296799999999999</v>
      </c>
      <c r="BM16" s="466" t="n">
        <v>9.1717</v>
      </c>
      <c r="BN16" s="466" t="n">
        <v>9.048400000000001</v>
      </c>
      <c r="BO16" s="466" t="n">
        <v>8.926600000000001</v>
      </c>
      <c r="BP16" s="466" t="n">
        <v>8.8066</v>
      </c>
      <c r="BQ16" s="466" t="n">
        <v>8.6881</v>
      </c>
      <c r="BR16" s="466" t="n">
        <v>8.571199999999999</v>
      </c>
      <c r="BS16" s="466" t="n">
        <v>8.4559</v>
      </c>
      <c r="BT16" s="466" t="n">
        <v>8.3422</v>
      </c>
      <c r="BU16" s="466" t="n">
        <v>8.229900000000001</v>
      </c>
      <c r="BV16" s="465" t="n">
        <v>8.119199999999999</v>
      </c>
      <c r="BW16" s="465" t="n">
        <v>8.01</v>
      </c>
      <c r="BX16" s="465" t="n">
        <v>7.9023</v>
      </c>
      <c r="BY16" s="465" t="n">
        <v>7.796</v>
      </c>
      <c r="BZ16" s="465" t="n">
        <v>7.6911</v>
      </c>
      <c r="CA16" s="465" t="n">
        <v>7.5876</v>
      </c>
      <c r="CB16" s="465" t="n">
        <v>7.4856</v>
      </c>
      <c r="CC16" s="465" t="n">
        <v>7.3849</v>
      </c>
      <c r="CD16" s="465" t="n">
        <v>7.2855</v>
      </c>
      <c r="CE16" s="465" t="n">
        <v>7.1875</v>
      </c>
      <c r="CF16" s="465" t="n">
        <v>7.0908</v>
      </c>
      <c r="CG16" s="465" t="n">
        <v>6.9955</v>
      </c>
      <c r="CH16" s="466" t="n">
        <v>6.9014</v>
      </c>
      <c r="CI16" s="466" t="n">
        <v>6.8085</v>
      </c>
      <c r="CJ16" s="466" t="n">
        <v>6.7169</v>
      </c>
      <c r="CK16" s="466" t="n">
        <v>6.6266</v>
      </c>
      <c r="CL16" s="466" t="n">
        <v>6.5374</v>
      </c>
      <c r="CM16" s="466" t="n">
        <v>6.4495</v>
      </c>
      <c r="CN16" s="466" t="n">
        <v>6.3627</v>
      </c>
      <c r="CO16" s="466" t="n">
        <v>6.2771</v>
      </c>
      <c r="CP16" s="466" t="n">
        <v>6.1927</v>
      </c>
      <c r="CQ16" s="466" t="n">
        <v>6.1094</v>
      </c>
      <c r="CR16" s="466" t="n">
        <v>6.0272</v>
      </c>
      <c r="CS16" s="466" t="n">
        <v>5.9461</v>
      </c>
      <c r="CT16" s="465" t="n">
        <v>5.8662</v>
      </c>
      <c r="CU16" s="465" t="n">
        <v>5.7872</v>
      </c>
      <c r="CV16" s="465" t="n">
        <v>5.7094</v>
      </c>
      <c r="CW16" s="465" t="n">
        <v>5.6326</v>
      </c>
      <c r="CX16" s="465" t="n">
        <v>5.5568</v>
      </c>
      <c r="CY16" s="465" t="n">
        <v>5.4821</v>
      </c>
      <c r="CZ16" s="465" t="n">
        <v>5.4083</v>
      </c>
      <c r="DA16" s="465" t="n">
        <v>5.3356</v>
      </c>
      <c r="DB16" s="465" t="n">
        <v>5.2638</v>
      </c>
      <c r="DC16" s="465" t="n">
        <v>5.193</v>
      </c>
      <c r="DD16" s="465" t="n">
        <v>5.1231</v>
      </c>
      <c r="DE16" s="465" t="n">
        <v>5.0542</v>
      </c>
      <c r="DF16" s="466" t="n">
        <v>4.9862</v>
      </c>
      <c r="DG16" s="466" t="n">
        <v>4.9192</v>
      </c>
      <c r="DH16" s="466" t="n">
        <v>4.853</v>
      </c>
      <c r="DI16" s="466" t="n">
        <v>4.7877</v>
      </c>
      <c r="DJ16" s="466" t="n">
        <v>4.7233</v>
      </c>
      <c r="DK16" s="466" t="n">
        <v>4.6598</v>
      </c>
      <c r="DL16" s="466" t="n">
        <v>4.5971</v>
      </c>
      <c r="DM16" s="466" t="n">
        <v>4.5352</v>
      </c>
      <c r="DN16" s="466" t="n">
        <v>4.4742</v>
      </c>
      <c r="DO16" s="466" t="n">
        <v>4.414</v>
      </c>
      <c r="DP16" s="466" t="n">
        <v>4.3547</v>
      </c>
      <c r="DQ16" s="466" t="n">
        <v>4.2961</v>
      </c>
      <c r="DR16" s="465" t="n">
        <v>4.2383</v>
      </c>
      <c r="DS16" s="465" t="n">
        <v>4.1813</v>
      </c>
      <c r="DT16" s="465" t="n">
        <v>4.125</v>
      </c>
      <c r="DU16" s="465" t="n">
        <v>4.0695</v>
      </c>
      <c r="DV16" s="465" t="n">
        <v>4.0148</v>
      </c>
      <c r="DW16" s="465" t="n">
        <v>3.9608</v>
      </c>
      <c r="DX16" s="465" t="n">
        <v>3.9075</v>
      </c>
      <c r="DY16" s="465" t="n">
        <v>3.855</v>
      </c>
      <c r="DZ16" s="465" t="n">
        <v>3.8031</v>
      </c>
      <c r="EA16" s="465" t="n">
        <v>3.7519</v>
      </c>
      <c r="EB16" s="465" t="n">
        <v>3.7015</v>
      </c>
      <c r="EC16" s="465" t="n">
        <v>3.6517</v>
      </c>
      <c r="ED16" s="466" t="n">
        <v>3.6025</v>
      </c>
      <c r="EE16" s="466" t="n">
        <v>3.5541</v>
      </c>
      <c r="EF16" s="466" t="n">
        <v>3.5063</v>
      </c>
      <c r="EG16" s="466" t="n">
        <v>3.4591</v>
      </c>
      <c r="EH16" s="466" t="n">
        <v>3.4126</v>
      </c>
      <c r="EI16" s="466" t="n">
        <v>3.3667</v>
      </c>
      <c r="EJ16" s="466" t="n">
        <v>3.3214</v>
      </c>
      <c r="EK16" s="466" t="n">
        <v>3.2767</v>
      </c>
      <c r="EL16" s="466" t="n">
        <v>3.2326</v>
      </c>
      <c r="EM16" s="466" t="n">
        <v>3.1891</v>
      </c>
      <c r="EN16" s="466" t="n">
        <v>3.1462</v>
      </c>
      <c r="EO16" s="466" t="n">
        <v>3.1039</v>
      </c>
      <c r="EP16" s="465" t="n">
        <v>3.0622</v>
      </c>
      <c r="EQ16" s="465" t="n">
        <v>3.021</v>
      </c>
      <c r="ER16" s="465" t="n">
        <v>2.9803</v>
      </c>
      <c r="ES16" s="465" t="n">
        <v>2.9402</v>
      </c>
      <c r="ET16" s="465" t="n">
        <v>2.9007</v>
      </c>
      <c r="EU16" s="465" t="n">
        <v>2.8617</v>
      </c>
      <c r="EV16" s="465" t="n">
        <v>2.8232</v>
      </c>
      <c r="EW16" s="465" t="n">
        <v>2.7852</v>
      </c>
      <c r="EX16" s="465" t="n">
        <v>2.7477</v>
      </c>
      <c r="EY16" s="465" t="n">
        <v>2.7108</v>
      </c>
      <c r="EZ16" s="465" t="n">
        <v>2.6743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/c>
      <c r="FE16" s="466" t="n">
        <v>2.4992</v>
      </c>
      <c r="FF16" s="466" t="n">
        <v>2.4656</v>
      </c>
      <c r="FG16" s="466" t="n">
        <v>2.4324</v>
      </c>
      <c r="FH16" s="466" t="n">
        <v>2.3997</v>
      </c>
      <c r="FI16" s="466" t="n">
        <v>2.3674</v>
      </c>
      <c r="FJ16" s="466" t="n">
        <v>2.3356</v>
      </c>
      <c r="FK16" s="466" t="n">
        <v>2.3042</v>
      </c>
      <c r="FL16" s="466" t="n">
        <v>2.2732</v>
      </c>
      <c r="FM16" s="466" t="n">
        <v>2.2426</v>
      </c>
      <c r="FN16" s="465" t="n">
        <v>2.2124</v>
      </c>
      <c r="FO16" s="465" t="n">
        <v>2.1827</v>
      </c>
      <c r="FP16" s="465" t="n">
        <v>2.1533</v>
      </c>
      <c r="FQ16" s="465" t="n">
        <v>2.1243</v>
      </c>
      <c r="FR16" s="465" t="n">
        <v>2.0958</v>
      </c>
      <c r="FS16" s="465" t="n">
        <v>2.0676</v>
      </c>
      <c r="FT16" s="465" t="n">
        <v>2.0397</v>
      </c>
      <c r="FU16" s="465" t="n">
        <v>2.0123</v>
      </c>
      <c r="FV16" s="465" t="n">
        <v>1.9852</v>
      </c>
      <c r="FW16" s="465" t="n">
        <v>1.9585</v>
      </c>
      <c r="FX16" s="465" t="n">
        <v>1.9322</v>
      </c>
      <c r="FY16" s="465" t="n">
        <v>1.9062</v>
      </c>
      <c r="FZ16" s="306" t="n"/>
    </row>
    <row r="17" ht="15" customHeight="1" s="307">
      <c r="A17" s="321" t="inlineStr">
        <is>
          <t xml:space="preserve">    Cost of Goods Sold</t>
        </is>
      </c>
      <c r="B17" s="458">
        <f>'_Engine_R50'!R31</f>
        <v/>
      </c>
      <c r="C17" s="458">
        <f>'_Engine_R50'!R32</f>
        <v/>
      </c>
      <c r="D17" s="458">
        <f>'_Engine_R50'!R33</f>
        <v/>
      </c>
      <c r="E17" s="458">
        <f>'_Engine_R50'!R34</f>
        <v/>
      </c>
      <c r="F17" s="458">
        <f>'_Engine_R50'!R35</f>
        <v/>
      </c>
      <c r="G17" s="458">
        <f>'_Engine_R50'!R36</f>
        <v/>
      </c>
      <c r="H17" s="458">
        <f>'_Engine_R50'!R37</f>
        <v/>
      </c>
      <c r="I17" s="458">
        <f>'_Engine_R50'!R38</f>
        <v/>
      </c>
      <c r="J17" s="458">
        <f>'_Engine_R50'!R39</f>
        <v/>
      </c>
      <c r="K17" s="458">
        <f>'_Engine_R50'!R40</f>
        <v/>
      </c>
      <c r="L17" s="458">
        <f>'_Engine_R50'!R41</f>
        <v/>
      </c>
      <c r="M17" s="458">
        <f>'_Engine_R50'!R42</f>
        <v/>
      </c>
      <c r="N17" s="459">
        <f>'_Engine_R50'!R43</f>
        <v/>
      </c>
      <c r="O17" s="459">
        <f>'_Engine_R50'!R44</f>
        <v/>
      </c>
      <c r="P17" s="459">
        <f>'_Engine_R50'!R45</f>
        <v/>
      </c>
      <c r="Q17" s="459">
        <f>'_Engine_R50'!R46</f>
        <v/>
      </c>
      <c r="R17" s="459">
        <f>'_Engine_R50'!R47</f>
        <v/>
      </c>
      <c r="S17" s="459">
        <f>'_Engine_R50'!R48</f>
        <v/>
      </c>
      <c r="T17" s="459">
        <f>'_Engine_R50'!R49</f>
        <v/>
      </c>
      <c r="U17" s="459">
        <f>'_Engine_R50'!R50</f>
        <v/>
      </c>
      <c r="V17" s="459">
        <f>'_Engine_R50'!R51</f>
        <v/>
      </c>
      <c r="W17" s="459">
        <f>'_Engine_R50'!R52</f>
        <v/>
      </c>
      <c r="X17" s="459">
        <f>'_Engine_R50'!R53</f>
        <v/>
      </c>
      <c r="Y17" s="459">
        <f>'_Engine_R50'!R54</f>
        <v/>
      </c>
      <c r="Z17" s="458">
        <f>'_Engine_R50'!R55</f>
        <v/>
      </c>
      <c r="AA17" s="458">
        <f>'_Engine_R50'!R56</f>
        <v/>
      </c>
      <c r="AB17" s="458">
        <f>'_Engine_R50'!R57</f>
        <v/>
      </c>
      <c r="AC17" s="458">
        <f>'_Engine_R50'!R58</f>
        <v/>
      </c>
      <c r="AD17" s="458">
        <f>'_Engine_R50'!R59</f>
        <v/>
      </c>
      <c r="AE17" s="458">
        <f>'_Engine_R50'!R60</f>
        <v/>
      </c>
      <c r="AF17" s="458">
        <f>'_Engine_R50'!R61</f>
        <v/>
      </c>
      <c r="AG17" s="458">
        <f>'_Engine_R50'!R62</f>
        <v/>
      </c>
      <c r="AH17" s="458">
        <f>'_Engine_R50'!R63</f>
        <v/>
      </c>
      <c r="AI17" s="458">
        <f>'_Engine_R50'!R64</f>
        <v/>
      </c>
      <c r="AJ17" s="458">
        <f>'_Engine_R50'!R65</f>
        <v/>
      </c>
      <c r="AK17" s="458">
        <f>'_Engine_R50'!R66</f>
        <v/>
      </c>
      <c r="AL17" s="459">
        <f>'_Engine_R50'!R67</f>
        <v/>
      </c>
      <c r="AM17" s="459">
        <f>'_Engine_R50'!R68</f>
        <v/>
      </c>
      <c r="AN17" s="459">
        <f>'_Engine_R50'!R69</f>
        <v/>
      </c>
      <c r="AO17" s="459">
        <f>'_Engine_R50'!R70</f>
        <v/>
      </c>
      <c r="AP17" s="459">
        <f>'_Engine_R50'!R71</f>
        <v/>
      </c>
      <c r="AQ17" s="459">
        <f>'_Engine_R50'!R72</f>
        <v/>
      </c>
      <c r="AR17" s="459">
        <f>'_Engine_R50'!R73</f>
        <v/>
      </c>
      <c r="AS17" s="459">
        <f>'_Engine_R50'!R74</f>
        <v/>
      </c>
      <c r="AT17" s="459">
        <f>'_Engine_R50'!R75</f>
        <v/>
      </c>
      <c r="AU17" s="459">
        <f>'_Engine_R50'!R76</f>
        <v/>
      </c>
      <c r="AV17" s="459">
        <f>'_Engine_R50'!R77</f>
        <v/>
      </c>
      <c r="AW17" s="459">
        <f>'_Engine_R50'!R78</f>
        <v/>
      </c>
      <c r="AX17" s="458">
        <f>'_Engine_R50'!R79</f>
        <v/>
      </c>
      <c r="AY17" s="458">
        <f>'_Engine_R50'!R80</f>
        <v/>
      </c>
      <c r="AZ17" s="458">
        <f>'_Engine_R50'!R81</f>
        <v/>
      </c>
      <c r="BA17" s="458">
        <f>'_Engine_R50'!R82</f>
        <v/>
      </c>
      <c r="BB17" s="458">
        <f>'_Engine_R50'!R83</f>
        <v/>
      </c>
      <c r="BC17" s="458">
        <f>'_Engine_R50'!R84</f>
        <v/>
      </c>
      <c r="BD17" s="458">
        <f>'_Engine_R50'!R85</f>
        <v/>
      </c>
      <c r="BE17" s="458">
        <f>'_Engine_R50'!R86</f>
        <v/>
      </c>
      <c r="BF17" s="458">
        <f>'_Engine_R50'!R87</f>
        <v/>
      </c>
      <c r="BG17" s="458">
        <f>'_Engine_R50'!R88</f>
        <v/>
      </c>
      <c r="BH17" s="458">
        <f>'_Engine_R50'!R89</f>
        <v/>
      </c>
      <c r="BI17" s="458">
        <f>'_Engine_R50'!R90</f>
        <v/>
      </c>
      <c r="BJ17" s="459">
        <f>'_Engine_R50'!R91</f>
        <v/>
      </c>
      <c r="BK17" s="459">
        <f>'_Engine_R50'!R92</f>
        <v/>
      </c>
      <c r="BL17" s="459">
        <f>'_Engine_R50'!R93</f>
        <v/>
      </c>
      <c r="BM17" s="459">
        <f>'_Engine_R50'!R94</f>
        <v/>
      </c>
      <c r="BN17" s="459">
        <f>'_Engine_R50'!R95</f>
        <v/>
      </c>
      <c r="BO17" s="459">
        <f>'_Engine_R50'!R96</f>
        <v/>
      </c>
      <c r="BP17" s="459">
        <f>'_Engine_R50'!R97</f>
        <v/>
      </c>
      <c r="BQ17" s="459">
        <f>'_Engine_R50'!R98</f>
        <v/>
      </c>
      <c r="BR17" s="459">
        <f>'_Engine_R50'!R99</f>
        <v/>
      </c>
      <c r="BS17" s="459">
        <f>'_Engine_R50'!R100</f>
        <v/>
      </c>
      <c r="BT17" s="459">
        <f>'_Engine_R50'!R101</f>
        <v/>
      </c>
      <c r="BU17" s="459">
        <f>'_Engine_R50'!R102</f>
        <v/>
      </c>
      <c r="BV17" s="458">
        <f>'_Engine_R50'!R103</f>
        <v/>
      </c>
      <c r="BW17" s="458">
        <f>'_Engine_R50'!R104</f>
        <v/>
      </c>
      <c r="BX17" s="458">
        <f>'_Engine_R50'!R105</f>
        <v/>
      </c>
      <c r="BY17" s="458">
        <f>'_Engine_R50'!R106</f>
        <v/>
      </c>
      <c r="BZ17" s="458">
        <f>'_Engine_R50'!R107</f>
        <v/>
      </c>
      <c r="CA17" s="458">
        <f>'_Engine_R50'!R108</f>
        <v/>
      </c>
      <c r="CB17" s="458">
        <f>'_Engine_R50'!R109</f>
        <v/>
      </c>
      <c r="CC17" s="458">
        <f>'_Engine_R50'!R110</f>
        <v/>
      </c>
      <c r="CD17" s="458">
        <f>'_Engine_R50'!R111</f>
        <v/>
      </c>
      <c r="CE17" s="458">
        <f>'_Engine_R50'!R112</f>
        <v/>
      </c>
      <c r="CF17" s="458">
        <f>'_Engine_R50'!R113</f>
        <v/>
      </c>
      <c r="CG17" s="458">
        <f>'_Engine_R50'!R114</f>
        <v/>
      </c>
      <c r="CH17" s="459">
        <f>'_Engine_R50'!R115</f>
        <v/>
      </c>
      <c r="CI17" s="459">
        <f>'_Engine_R50'!R116</f>
        <v/>
      </c>
      <c r="CJ17" s="459">
        <f>'_Engine_R50'!R117</f>
        <v/>
      </c>
      <c r="CK17" s="459">
        <f>'_Engine_R50'!R118</f>
        <v/>
      </c>
      <c r="CL17" s="459">
        <f>'_Engine_R50'!R119</f>
        <v/>
      </c>
      <c r="CM17" s="459">
        <f>'_Engine_R50'!R120</f>
        <v/>
      </c>
      <c r="CN17" s="459">
        <f>'_Engine_R50'!R121</f>
        <v/>
      </c>
      <c r="CO17" s="459">
        <f>'_Engine_R50'!R122</f>
        <v/>
      </c>
      <c r="CP17" s="459">
        <f>'_Engine_R50'!R123</f>
        <v/>
      </c>
      <c r="CQ17" s="459">
        <f>'_Engine_R50'!R124</f>
        <v/>
      </c>
      <c r="CR17" s="459">
        <f>'_Engine_R50'!R125</f>
        <v/>
      </c>
      <c r="CS17" s="459">
        <f>'_Engine_R50'!R126</f>
        <v/>
      </c>
      <c r="CT17" s="458">
        <f>'_Engine_R50'!R127</f>
        <v/>
      </c>
      <c r="CU17" s="458">
        <f>'_Engine_R50'!R128</f>
        <v/>
      </c>
      <c r="CV17" s="458">
        <f>'_Engine_R50'!R129</f>
        <v/>
      </c>
      <c r="CW17" s="458">
        <f>'_Engine_R50'!R130</f>
        <v/>
      </c>
      <c r="CX17" s="458">
        <f>'_Engine_R50'!R131</f>
        <v/>
      </c>
      <c r="CY17" s="458">
        <f>'_Engine_R50'!R132</f>
        <v/>
      </c>
      <c r="CZ17" s="458">
        <f>'_Engine_R50'!R133</f>
        <v/>
      </c>
      <c r="DA17" s="458">
        <f>'_Engine_R50'!R134</f>
        <v/>
      </c>
      <c r="DB17" s="458">
        <f>'_Engine_R50'!R135</f>
        <v/>
      </c>
      <c r="DC17" s="458">
        <f>'_Engine_R50'!R136</f>
        <v/>
      </c>
      <c r="DD17" s="458">
        <f>'_Engine_R50'!R137</f>
        <v/>
      </c>
      <c r="DE17" s="458">
        <f>'_Engine_R50'!R138</f>
        <v/>
      </c>
      <c r="DF17" s="459">
        <f>'_Engine_R50'!R139</f>
        <v/>
      </c>
      <c r="DG17" s="459">
        <f>'_Engine_R50'!R140</f>
        <v/>
      </c>
      <c r="DH17" s="459">
        <f>'_Engine_R50'!R141</f>
        <v/>
      </c>
      <c r="DI17" s="459">
        <f>'_Engine_R50'!R142</f>
        <v/>
      </c>
      <c r="DJ17" s="459">
        <f>'_Engine_R50'!R143</f>
        <v/>
      </c>
      <c r="DK17" s="459">
        <f>'_Engine_R50'!R144</f>
        <v/>
      </c>
      <c r="DL17" s="459">
        <f>'_Engine_R50'!R145</f>
        <v/>
      </c>
      <c r="DM17" s="459">
        <f>'_Engine_R50'!R146</f>
        <v/>
      </c>
      <c r="DN17" s="459">
        <f>'_Engine_R50'!R147</f>
        <v/>
      </c>
      <c r="DO17" s="459">
        <f>'_Engine_R50'!R148</f>
        <v/>
      </c>
      <c r="DP17" s="459">
        <f>'_Engine_R50'!R149</f>
        <v/>
      </c>
      <c r="DQ17" s="459">
        <f>'_Engine_R50'!R150</f>
        <v/>
      </c>
      <c r="DR17" s="458">
        <f>'_Engine_R50'!R151</f>
        <v/>
      </c>
      <c r="DS17" s="458">
        <f>'_Engine_R50'!R152</f>
        <v/>
      </c>
      <c r="DT17" s="458">
        <f>'_Engine_R50'!R153</f>
        <v/>
      </c>
      <c r="DU17" s="458">
        <f>'_Engine_R50'!R154</f>
        <v/>
      </c>
      <c r="DV17" s="458">
        <f>'_Engine_R50'!R155</f>
        <v/>
      </c>
      <c r="DW17" s="458">
        <f>'_Engine_R50'!R156</f>
        <v/>
      </c>
      <c r="DX17" s="458">
        <f>'_Engine_R50'!R157</f>
        <v/>
      </c>
      <c r="DY17" s="458">
        <f>'_Engine_R50'!R158</f>
        <v/>
      </c>
      <c r="DZ17" s="458">
        <f>'_Engine_R50'!R159</f>
        <v/>
      </c>
      <c r="EA17" s="458">
        <f>'_Engine_R50'!R160</f>
        <v/>
      </c>
      <c r="EB17" s="458">
        <f>'_Engine_R50'!R161</f>
        <v/>
      </c>
      <c r="EC17" s="458">
        <f>'_Engine_R50'!R162</f>
        <v/>
      </c>
      <c r="ED17" s="459">
        <f>'_Engine_R50'!R163</f>
        <v/>
      </c>
      <c r="EE17" s="459">
        <f>'_Engine_R50'!R164</f>
        <v/>
      </c>
      <c r="EF17" s="459">
        <f>'_Engine_R50'!R165</f>
        <v/>
      </c>
      <c r="EG17" s="459">
        <f>'_Engine_R50'!R166</f>
        <v/>
      </c>
      <c r="EH17" s="459">
        <f>'_Engine_R50'!R167</f>
        <v/>
      </c>
      <c r="EI17" s="459">
        <f>'_Engine_R50'!R168</f>
        <v/>
      </c>
      <c r="EJ17" s="459">
        <f>'_Engine_R50'!R169</f>
        <v/>
      </c>
      <c r="EK17" s="459">
        <f>'_Engine_R50'!R170</f>
        <v/>
      </c>
      <c r="EL17" s="459">
        <f>'_Engine_R50'!R171</f>
        <v/>
      </c>
      <c r="EM17" s="459">
        <f>'_Engine_R50'!R172</f>
        <v/>
      </c>
      <c r="EN17" s="459">
        <f>'_Engine_R50'!R173</f>
        <v/>
      </c>
      <c r="EO17" s="459">
        <f>'_Engine_R50'!R174</f>
        <v/>
      </c>
      <c r="EP17" s="458">
        <f>'_Engine_R50'!R175</f>
        <v/>
      </c>
      <c r="EQ17" s="458">
        <f>'_Engine_R50'!R176</f>
        <v/>
      </c>
      <c r="ER17" s="458">
        <f>'_Engine_R50'!R177</f>
        <v/>
      </c>
      <c r="ES17" s="458">
        <f>'_Engine_R50'!R178</f>
        <v/>
      </c>
      <c r="ET17" s="458">
        <f>'_Engine_R50'!R179</f>
        <v/>
      </c>
      <c r="EU17" s="458">
        <f>'_Engine_R50'!R180</f>
        <v/>
      </c>
      <c r="EV17" s="458">
        <f>'_Engine_R50'!R181</f>
        <v/>
      </c>
      <c r="EW17" s="458">
        <f>'_Engine_R50'!R182</f>
        <v/>
      </c>
      <c r="EX17" s="458">
        <f>'_Engine_R50'!R183</f>
        <v/>
      </c>
      <c r="EY17" s="458">
        <f>'_Engine_R50'!R184</f>
        <v/>
      </c>
      <c r="EZ17" s="458">
        <f>'_Engine_R50'!R185</f>
        <v/>
      </c>
      <c r="FA17" s="458">
        <f>'_Engine_R50'!R186</f>
        <v/>
      </c>
      <c r="FB17" s="459">
        <f>'_Engine_R50'!R187</f>
        <v/>
      </c>
      <c r="FC17" s="459">
        <f>'_Engine_R50'!R188</f>
        <v/>
      </c>
      <c r="FD17" s="459">
        <f>'_Engine_R50'!R189</f>
        <v/>
      </c>
      <c r="FE17" s="459">
        <f>'_Engine_R50'!R190</f>
        <v/>
      </c>
      <c r="FF17" s="459">
        <f>'_Engine_R50'!R191</f>
        <v/>
      </c>
      <c r="FG17" s="459">
        <f>'_Engine_R50'!R192</f>
        <v/>
      </c>
      <c r="FH17" s="459">
        <f>'_Engine_R50'!R193</f>
        <v/>
      </c>
      <c r="FI17" s="459">
        <f>'_Engine_R50'!R194</f>
        <v/>
      </c>
      <c r="FJ17" s="459">
        <f>'_Engine_R50'!R195</f>
        <v/>
      </c>
      <c r="FK17" s="459">
        <f>'_Engine_R50'!R196</f>
        <v/>
      </c>
      <c r="FL17" s="459">
        <f>'_Engine_R50'!R197</f>
        <v/>
      </c>
      <c r="FM17" s="459">
        <f>'_Engine_R50'!R198</f>
        <v/>
      </c>
      <c r="FN17" s="458">
        <f>'_Engine_R50'!R199</f>
        <v/>
      </c>
      <c r="FO17" s="458">
        <f>'_Engine_R50'!R200</f>
        <v/>
      </c>
      <c r="FP17" s="458">
        <f>'_Engine_R50'!R201</f>
        <v/>
      </c>
      <c r="FQ17" s="458">
        <f>'_Engine_R50'!R202</f>
        <v/>
      </c>
      <c r="FR17" s="458">
        <f>'_Engine_R50'!R203</f>
        <v/>
      </c>
      <c r="FS17" s="458">
        <f>'_Engine_R50'!R204</f>
        <v/>
      </c>
      <c r="FT17" s="458">
        <f>'_Engine_R50'!R205</f>
        <v/>
      </c>
      <c r="FU17" s="458">
        <f>'_Engine_R50'!R206</f>
        <v/>
      </c>
      <c r="FV17" s="458">
        <f>'_Engine_R50'!R207</f>
        <v/>
      </c>
      <c r="FW17" s="458">
        <f>'_Engine_R50'!R208</f>
        <v/>
      </c>
      <c r="FX17" s="458">
        <f>'_Engine_R50'!R209</f>
        <v/>
      </c>
      <c r="FY17" s="458">
        <f>'_Engine_R50'!R210</f>
        <v/>
      </c>
      <c r="FZ17" s="306" t="n"/>
    </row>
    <row r="18" ht="15" customHeight="1" s="307">
      <c r="A18" s="468" t="inlineStr">
        <is>
          <t>Gross Profit</t>
        </is>
      </c>
      <c r="B18" s="469">
        <f>'_Engine_R50'!S31</f>
        <v/>
      </c>
      <c r="C18" s="469">
        <f>'_Engine_R50'!S32</f>
        <v/>
      </c>
      <c r="D18" s="469">
        <f>'_Engine_R50'!S33</f>
        <v/>
      </c>
      <c r="E18" s="469">
        <f>'_Engine_R50'!S34</f>
        <v/>
      </c>
      <c r="F18" s="469">
        <f>'_Engine_R50'!S35</f>
        <v/>
      </c>
      <c r="G18" s="469">
        <f>'_Engine_R50'!S36</f>
        <v/>
      </c>
      <c r="H18" s="469">
        <f>'_Engine_R50'!S37</f>
        <v/>
      </c>
      <c r="I18" s="469">
        <f>'_Engine_R50'!S38</f>
        <v/>
      </c>
      <c r="J18" s="469">
        <f>'_Engine_R50'!S39</f>
        <v/>
      </c>
      <c r="K18" s="469">
        <f>'_Engine_R50'!S40</f>
        <v/>
      </c>
      <c r="L18" s="469">
        <f>'_Engine_R50'!S41</f>
        <v/>
      </c>
      <c r="M18" s="469">
        <f>'_Engine_R50'!S42</f>
        <v/>
      </c>
      <c r="N18" s="470">
        <f>'_Engine_R50'!S43</f>
        <v/>
      </c>
      <c r="O18" s="470">
        <f>'_Engine_R50'!S44</f>
        <v/>
      </c>
      <c r="P18" s="470">
        <f>'_Engine_R50'!S45</f>
        <v/>
      </c>
      <c r="Q18" s="470">
        <f>'_Engine_R50'!S46</f>
        <v/>
      </c>
      <c r="R18" s="470">
        <f>'_Engine_R50'!S47</f>
        <v/>
      </c>
      <c r="S18" s="470">
        <f>'_Engine_R50'!S48</f>
        <v/>
      </c>
      <c r="T18" s="470">
        <f>'_Engine_R50'!S49</f>
        <v/>
      </c>
      <c r="U18" s="470">
        <f>'_Engine_R50'!S50</f>
        <v/>
      </c>
      <c r="V18" s="470">
        <f>'_Engine_R50'!S51</f>
        <v/>
      </c>
      <c r="W18" s="470">
        <f>'_Engine_R50'!S52</f>
        <v/>
      </c>
      <c r="X18" s="470">
        <f>'_Engine_R50'!S53</f>
        <v/>
      </c>
      <c r="Y18" s="470">
        <f>'_Engine_R50'!S54</f>
        <v/>
      </c>
      <c r="Z18" s="469">
        <f>'_Engine_R50'!S55</f>
        <v/>
      </c>
      <c r="AA18" s="469">
        <f>'_Engine_R50'!S56</f>
        <v/>
      </c>
      <c r="AB18" s="469">
        <f>'_Engine_R50'!S57</f>
        <v/>
      </c>
      <c r="AC18" s="469">
        <f>'_Engine_R50'!S58</f>
        <v/>
      </c>
      <c r="AD18" s="469">
        <f>'_Engine_R50'!S59</f>
        <v/>
      </c>
      <c r="AE18" s="469">
        <f>'_Engine_R50'!S60</f>
        <v/>
      </c>
      <c r="AF18" s="469">
        <f>'_Engine_R50'!S61</f>
        <v/>
      </c>
      <c r="AG18" s="469">
        <f>'_Engine_R50'!S62</f>
        <v/>
      </c>
      <c r="AH18" s="469">
        <f>'_Engine_R50'!S63</f>
        <v/>
      </c>
      <c r="AI18" s="469">
        <f>'_Engine_R50'!S64</f>
        <v/>
      </c>
      <c r="AJ18" s="469">
        <f>'_Engine_R50'!S65</f>
        <v/>
      </c>
      <c r="AK18" s="469">
        <f>'_Engine_R50'!S66</f>
        <v/>
      </c>
      <c r="AL18" s="470">
        <f>'_Engine_R50'!S67</f>
        <v/>
      </c>
      <c r="AM18" s="470">
        <f>'_Engine_R50'!S68</f>
        <v/>
      </c>
      <c r="AN18" s="470">
        <f>'_Engine_R50'!S69</f>
        <v/>
      </c>
      <c r="AO18" s="470">
        <f>'_Engine_R50'!S70</f>
        <v/>
      </c>
      <c r="AP18" s="470">
        <f>'_Engine_R50'!S71</f>
        <v/>
      </c>
      <c r="AQ18" s="470">
        <f>'_Engine_R50'!S72</f>
        <v/>
      </c>
      <c r="AR18" s="470">
        <f>'_Engine_R50'!S73</f>
        <v/>
      </c>
      <c r="AS18" s="470">
        <f>'_Engine_R50'!S74</f>
        <v/>
      </c>
      <c r="AT18" s="470">
        <f>'_Engine_R50'!S75</f>
        <v/>
      </c>
      <c r="AU18" s="470">
        <f>'_Engine_R50'!S76</f>
        <v/>
      </c>
      <c r="AV18" s="470">
        <f>'_Engine_R50'!S77</f>
        <v/>
      </c>
      <c r="AW18" s="470">
        <f>'_Engine_R50'!S78</f>
        <v/>
      </c>
      <c r="AX18" s="469">
        <f>'_Engine_R50'!S79</f>
        <v/>
      </c>
      <c r="AY18" s="469">
        <f>'_Engine_R50'!S80</f>
        <v/>
      </c>
      <c r="AZ18" s="469">
        <f>'_Engine_R50'!S81</f>
        <v/>
      </c>
      <c r="BA18" s="469">
        <f>'_Engine_R50'!S82</f>
        <v/>
      </c>
      <c r="BB18" s="469">
        <f>'_Engine_R50'!S83</f>
        <v/>
      </c>
      <c r="BC18" s="469">
        <f>'_Engine_R50'!S84</f>
        <v/>
      </c>
      <c r="BD18" s="469">
        <f>'_Engine_R50'!S85</f>
        <v/>
      </c>
      <c r="BE18" s="469">
        <f>'_Engine_R50'!S86</f>
        <v/>
      </c>
      <c r="BF18" s="469">
        <f>'_Engine_R50'!S87</f>
        <v/>
      </c>
      <c r="BG18" s="469">
        <f>'_Engine_R50'!S88</f>
        <v/>
      </c>
      <c r="BH18" s="469">
        <f>'_Engine_R50'!S89</f>
        <v/>
      </c>
      <c r="BI18" s="469">
        <f>'_Engine_R50'!S90</f>
        <v/>
      </c>
      <c r="BJ18" s="470">
        <f>'_Engine_R50'!S91</f>
        <v/>
      </c>
      <c r="BK18" s="470">
        <f>'_Engine_R50'!S92</f>
        <v/>
      </c>
      <c r="BL18" s="470">
        <f>'_Engine_R50'!S93</f>
        <v/>
      </c>
      <c r="BM18" s="470">
        <f>'_Engine_R50'!S94</f>
        <v/>
      </c>
      <c r="BN18" s="470">
        <f>'_Engine_R50'!S95</f>
        <v/>
      </c>
      <c r="BO18" s="470">
        <f>'_Engine_R50'!S96</f>
        <v/>
      </c>
      <c r="BP18" s="470">
        <f>'_Engine_R50'!S97</f>
        <v/>
      </c>
      <c r="BQ18" s="470">
        <f>'_Engine_R50'!S98</f>
        <v/>
      </c>
      <c r="BR18" s="470">
        <f>'_Engine_R50'!S99</f>
        <v/>
      </c>
      <c r="BS18" s="470">
        <f>'_Engine_R50'!S100</f>
        <v/>
      </c>
      <c r="BT18" s="470">
        <f>'_Engine_R50'!S101</f>
        <v/>
      </c>
      <c r="BU18" s="470">
        <f>'_Engine_R50'!S102</f>
        <v/>
      </c>
      <c r="BV18" s="469">
        <f>'_Engine_R50'!S103</f>
        <v/>
      </c>
      <c r="BW18" s="469">
        <f>'_Engine_R50'!S104</f>
        <v/>
      </c>
      <c r="BX18" s="469">
        <f>'_Engine_R50'!S105</f>
        <v/>
      </c>
      <c r="BY18" s="469">
        <f>'_Engine_R50'!S106</f>
        <v/>
      </c>
      <c r="BZ18" s="469">
        <f>'_Engine_R50'!S107</f>
        <v/>
      </c>
      <c r="CA18" s="469">
        <f>'_Engine_R50'!S108</f>
        <v/>
      </c>
      <c r="CB18" s="469">
        <f>'_Engine_R50'!S109</f>
        <v/>
      </c>
      <c r="CC18" s="469">
        <f>'_Engine_R50'!S110</f>
        <v/>
      </c>
      <c r="CD18" s="469">
        <f>'_Engine_R50'!S111</f>
        <v/>
      </c>
      <c r="CE18" s="469">
        <f>'_Engine_R50'!S112</f>
        <v/>
      </c>
      <c r="CF18" s="469">
        <f>'_Engine_R50'!S113</f>
        <v/>
      </c>
      <c r="CG18" s="469">
        <f>'_Engine_R50'!S114</f>
        <v/>
      </c>
      <c r="CH18" s="470">
        <f>'_Engine_R50'!S115</f>
        <v/>
      </c>
      <c r="CI18" s="470">
        <f>'_Engine_R50'!S116</f>
        <v/>
      </c>
      <c r="CJ18" s="470">
        <f>'_Engine_R50'!S117</f>
        <v/>
      </c>
      <c r="CK18" s="470">
        <f>'_Engine_R50'!S118</f>
        <v/>
      </c>
      <c r="CL18" s="470">
        <f>'_Engine_R50'!S119</f>
        <v/>
      </c>
      <c r="CM18" s="470">
        <f>'_Engine_R50'!S120</f>
        <v/>
      </c>
      <c r="CN18" s="470">
        <f>'_Engine_R50'!S121</f>
        <v/>
      </c>
      <c r="CO18" s="470">
        <f>'_Engine_R50'!S122</f>
        <v/>
      </c>
      <c r="CP18" s="470">
        <f>'_Engine_R50'!S123</f>
        <v/>
      </c>
      <c r="CQ18" s="470">
        <f>'_Engine_R50'!S124</f>
        <v/>
      </c>
      <c r="CR18" s="470">
        <f>'_Engine_R50'!S125</f>
        <v/>
      </c>
      <c r="CS18" s="470">
        <f>'_Engine_R50'!S126</f>
        <v/>
      </c>
      <c r="CT18" s="469">
        <f>'_Engine_R50'!S127</f>
        <v/>
      </c>
      <c r="CU18" s="469">
        <f>'_Engine_R50'!S128</f>
        <v/>
      </c>
      <c r="CV18" s="469">
        <f>'_Engine_R50'!S129</f>
        <v/>
      </c>
      <c r="CW18" s="469">
        <f>'_Engine_R50'!S130</f>
        <v/>
      </c>
      <c r="CX18" s="469">
        <f>'_Engine_R50'!S131</f>
        <v/>
      </c>
      <c r="CY18" s="469">
        <f>'_Engine_R50'!S132</f>
        <v/>
      </c>
      <c r="CZ18" s="469">
        <f>'_Engine_R50'!S133</f>
        <v/>
      </c>
      <c r="DA18" s="469">
        <f>'_Engine_R50'!S134</f>
        <v/>
      </c>
      <c r="DB18" s="469">
        <f>'_Engine_R50'!S135</f>
        <v/>
      </c>
      <c r="DC18" s="469">
        <f>'_Engine_R50'!S136</f>
        <v/>
      </c>
      <c r="DD18" s="469">
        <f>'_Engine_R50'!S137</f>
        <v/>
      </c>
      <c r="DE18" s="469">
        <f>'_Engine_R50'!S138</f>
        <v/>
      </c>
      <c r="DF18" s="470">
        <f>'_Engine_R50'!S139</f>
        <v/>
      </c>
      <c r="DG18" s="470">
        <f>'_Engine_R50'!S140</f>
        <v/>
      </c>
      <c r="DH18" s="470">
        <f>'_Engine_R50'!S141</f>
        <v/>
      </c>
      <c r="DI18" s="470">
        <f>'_Engine_R50'!S142</f>
        <v/>
      </c>
      <c r="DJ18" s="470">
        <f>'_Engine_R50'!S143</f>
        <v/>
      </c>
      <c r="DK18" s="470">
        <f>'_Engine_R50'!S144</f>
        <v/>
      </c>
      <c r="DL18" s="470">
        <f>'_Engine_R50'!S145</f>
        <v/>
      </c>
      <c r="DM18" s="470">
        <f>'_Engine_R50'!S146</f>
        <v/>
      </c>
      <c r="DN18" s="470">
        <f>'_Engine_R50'!S147</f>
        <v/>
      </c>
      <c r="DO18" s="470">
        <f>'_Engine_R50'!S148</f>
        <v/>
      </c>
      <c r="DP18" s="470">
        <f>'_Engine_R50'!S149</f>
        <v/>
      </c>
      <c r="DQ18" s="470">
        <f>'_Engine_R50'!S150</f>
        <v/>
      </c>
      <c r="DR18" s="469">
        <f>'_Engine_R50'!S151</f>
        <v/>
      </c>
      <c r="DS18" s="469">
        <f>'_Engine_R50'!S152</f>
        <v/>
      </c>
      <c r="DT18" s="469">
        <f>'_Engine_R50'!S153</f>
        <v/>
      </c>
      <c r="DU18" s="469">
        <f>'_Engine_R50'!S154</f>
        <v/>
      </c>
      <c r="DV18" s="469">
        <f>'_Engine_R50'!S155</f>
        <v/>
      </c>
      <c r="DW18" s="469">
        <f>'_Engine_R50'!S156</f>
        <v/>
      </c>
      <c r="DX18" s="469">
        <f>'_Engine_R50'!S157</f>
        <v/>
      </c>
      <c r="DY18" s="469">
        <f>'_Engine_R50'!S158</f>
        <v/>
      </c>
      <c r="DZ18" s="469">
        <f>'_Engine_R50'!S159</f>
        <v/>
      </c>
      <c r="EA18" s="469">
        <f>'_Engine_R50'!S160</f>
        <v/>
      </c>
      <c r="EB18" s="469">
        <f>'_Engine_R50'!S161</f>
        <v/>
      </c>
      <c r="EC18" s="469">
        <f>'_Engine_R50'!S162</f>
        <v/>
      </c>
      <c r="ED18" s="470">
        <f>'_Engine_R50'!S163</f>
        <v/>
      </c>
      <c r="EE18" s="470">
        <f>'_Engine_R50'!S164</f>
        <v/>
      </c>
      <c r="EF18" s="470">
        <f>'_Engine_R50'!S165</f>
        <v/>
      </c>
      <c r="EG18" s="470">
        <f>'_Engine_R50'!S166</f>
        <v/>
      </c>
      <c r="EH18" s="470">
        <f>'_Engine_R50'!S167</f>
        <v/>
      </c>
      <c r="EI18" s="470">
        <f>'_Engine_R50'!S168</f>
        <v/>
      </c>
      <c r="EJ18" s="470">
        <f>'_Engine_R50'!S169</f>
        <v/>
      </c>
      <c r="EK18" s="470">
        <f>'_Engine_R50'!S170</f>
        <v/>
      </c>
      <c r="EL18" s="470">
        <f>'_Engine_R50'!S171</f>
        <v/>
      </c>
      <c r="EM18" s="470">
        <f>'_Engine_R50'!S172</f>
        <v/>
      </c>
      <c r="EN18" s="470">
        <f>'_Engine_R50'!S173</f>
        <v/>
      </c>
      <c r="EO18" s="470">
        <f>'_Engine_R50'!S174</f>
        <v/>
      </c>
      <c r="EP18" s="469">
        <f>'_Engine_R50'!S175</f>
        <v/>
      </c>
      <c r="EQ18" s="469">
        <f>'_Engine_R50'!S176</f>
        <v/>
      </c>
      <c r="ER18" s="469">
        <f>'_Engine_R50'!S177</f>
        <v/>
      </c>
      <c r="ES18" s="469">
        <f>'_Engine_R50'!S178</f>
        <v/>
      </c>
      <c r="ET18" s="469">
        <f>'_Engine_R50'!S179</f>
        <v/>
      </c>
      <c r="EU18" s="469">
        <f>'_Engine_R50'!S180</f>
        <v/>
      </c>
      <c r="EV18" s="469">
        <f>'_Engine_R50'!S181</f>
        <v/>
      </c>
      <c r="EW18" s="469">
        <f>'_Engine_R50'!S182</f>
        <v/>
      </c>
      <c r="EX18" s="469">
        <f>'_Engine_R50'!S183</f>
        <v/>
      </c>
      <c r="EY18" s="469">
        <f>'_Engine_R50'!S184</f>
        <v/>
      </c>
      <c r="EZ18" s="469">
        <f>'_Engine_R50'!S185</f>
        <v/>
      </c>
      <c r="FA18" s="469">
        <f>'_Engine_R50'!S186</f>
        <v/>
      </c>
      <c r="FB18" s="470">
        <f>'_Engine_R50'!S187</f>
        <v/>
      </c>
      <c r="FC18" s="470">
        <f>'_Engine_R50'!S188</f>
        <v/>
      </c>
      <c r="FD18" s="470">
        <f>'_Engine_R50'!S189</f>
        <v/>
      </c>
      <c r="FE18" s="470">
        <f>'_Engine_R50'!S190</f>
        <v/>
      </c>
      <c r="FF18" s="470">
        <f>'_Engine_R50'!S191</f>
        <v/>
      </c>
      <c r="FG18" s="470">
        <f>'_Engine_R50'!S192</f>
        <v/>
      </c>
      <c r="FH18" s="470">
        <f>'_Engine_R50'!S193</f>
        <v/>
      </c>
      <c r="FI18" s="470">
        <f>'_Engine_R50'!S194</f>
        <v/>
      </c>
      <c r="FJ18" s="470">
        <f>'_Engine_R50'!S195</f>
        <v/>
      </c>
      <c r="FK18" s="470">
        <f>'_Engine_R50'!S196</f>
        <v/>
      </c>
      <c r="FL18" s="470">
        <f>'_Engine_R50'!S197</f>
        <v/>
      </c>
      <c r="FM18" s="470">
        <f>'_Engine_R50'!S198</f>
        <v/>
      </c>
      <c r="FN18" s="469">
        <f>'_Engine_R50'!S199</f>
        <v/>
      </c>
      <c r="FO18" s="469">
        <f>'_Engine_R50'!S200</f>
        <v/>
      </c>
      <c r="FP18" s="469">
        <f>'_Engine_R50'!S201</f>
        <v/>
      </c>
      <c r="FQ18" s="469">
        <f>'_Engine_R50'!S202</f>
        <v/>
      </c>
      <c r="FR18" s="469">
        <f>'_Engine_R50'!S203</f>
        <v/>
      </c>
      <c r="FS18" s="469">
        <f>'_Engine_R50'!S204</f>
        <v/>
      </c>
      <c r="FT18" s="469">
        <f>'_Engine_R50'!S205</f>
        <v/>
      </c>
      <c r="FU18" s="469">
        <f>'_Engine_R50'!S206</f>
        <v/>
      </c>
      <c r="FV18" s="469">
        <f>'_Engine_R50'!S207</f>
        <v/>
      </c>
      <c r="FW18" s="469">
        <f>'_Engine_R50'!S208</f>
        <v/>
      </c>
      <c r="FX18" s="469">
        <f>'_Engine_R50'!S209</f>
        <v/>
      </c>
      <c r="FY18" s="469">
        <f>'_Engine_R50'!S210</f>
        <v/>
      </c>
      <c r="FZ18" s="306" t="n"/>
    </row>
    <row r="19" ht="15" customHeight="1" s="307">
      <c r="A19" s="322" t="n"/>
      <c r="B19" s="466">
        <f>'_Engine_R50'!D31</f>
        <v/>
      </c>
      <c r="C19" s="466">
        <f>'_Engine_R50'!D32</f>
        <v/>
      </c>
      <c r="D19" s="466">
        <f>'_Engine_R50'!D33</f>
        <v/>
      </c>
      <c r="E19" s="466">
        <f>'_Engine_R50'!D34</f>
        <v/>
      </c>
      <c r="F19" s="466">
        <f>'_Engine_R50'!D35</f>
        <v/>
      </c>
      <c r="G19" s="466">
        <f>'_Engine_R50'!D36</f>
        <v/>
      </c>
      <c r="H19" s="466">
        <f>'_Engine_R50'!D37</f>
        <v/>
      </c>
      <c r="I19" s="466">
        <f>'_Engine_R50'!D38</f>
        <v/>
      </c>
      <c r="J19" s="466">
        <f>'_Engine_R50'!D39</f>
        <v/>
      </c>
      <c r="K19" s="466">
        <f>'_Engine_R50'!D40</f>
        <v/>
      </c>
      <c r="L19" s="466">
        <f>'_Engine_R50'!D41</f>
        <v/>
      </c>
      <c r="M19" s="466">
        <f>'_Engine_R50'!D42</f>
        <v/>
      </c>
      <c r="N19" s="466">
        <f>'_Engine_R50'!D43</f>
        <v/>
      </c>
      <c r="O19" s="466">
        <f>'_Engine_R50'!D44</f>
        <v/>
      </c>
      <c r="P19" s="466">
        <f>'_Engine_R50'!D45</f>
        <v/>
      </c>
      <c r="Q19" s="466">
        <f>'_Engine_R50'!D46</f>
        <v/>
      </c>
      <c r="R19" s="466">
        <f>'_Engine_R50'!D47</f>
        <v/>
      </c>
      <c r="S19" s="466">
        <f>'_Engine_R50'!D48</f>
        <v/>
      </c>
      <c r="T19" s="466">
        <f>'_Engine_R50'!D49</f>
        <v/>
      </c>
      <c r="U19" s="466">
        <f>'_Engine_R50'!D50</f>
        <v/>
      </c>
      <c r="V19" s="466">
        <f>'_Engine_R50'!D51</f>
        <v/>
      </c>
      <c r="W19" s="466">
        <f>'_Engine_R50'!D52</f>
        <v/>
      </c>
      <c r="X19" s="466">
        <f>'_Engine_R50'!D53</f>
        <v/>
      </c>
      <c r="Y19" s="466">
        <f>'_Engine_R50'!D54</f>
        <v/>
      </c>
      <c r="Z19" s="466">
        <f>'_Engine_R50'!D55</f>
        <v/>
      </c>
      <c r="AA19" s="466">
        <f>'_Engine_R50'!D56</f>
        <v/>
      </c>
      <c r="AB19" s="466">
        <f>'_Engine_R50'!D57</f>
        <v/>
      </c>
      <c r="AC19" s="466">
        <f>'_Engine_R50'!D58</f>
        <v/>
      </c>
      <c r="AD19" s="466">
        <f>'_Engine_R50'!D59</f>
        <v/>
      </c>
      <c r="AE19" s="466">
        <f>'_Engine_R50'!D60</f>
        <v/>
      </c>
      <c r="AF19" s="466">
        <f>'_Engine_R50'!D61</f>
        <v/>
      </c>
      <c r="AG19" s="466">
        <f>'_Engine_R50'!D62</f>
        <v/>
      </c>
      <c r="AH19" s="466">
        <f>'_Engine_R50'!D63</f>
        <v/>
      </c>
      <c r="AI19" s="466">
        <f>'_Engine_R50'!D64</f>
        <v/>
      </c>
      <c r="AJ19" s="466">
        <f>'_Engine_R50'!D65</f>
        <v/>
      </c>
      <c r="AK19" s="466">
        <f>'_Engine_R50'!D66</f>
        <v/>
      </c>
      <c r="AL19" s="466">
        <f>'_Engine_R50'!D67</f>
        <v/>
      </c>
      <c r="AM19" s="466">
        <f>'_Engine_R50'!D68</f>
        <v/>
      </c>
      <c r="AN19" s="466">
        <f>'_Engine_R50'!D69</f>
        <v/>
      </c>
      <c r="AO19" s="466">
        <f>'_Engine_R50'!D70</f>
        <v/>
      </c>
      <c r="AP19" s="466">
        <f>'_Engine_R50'!D71</f>
        <v/>
      </c>
      <c r="AQ19" s="466">
        <f>'_Engine_R50'!D72</f>
        <v/>
      </c>
      <c r="AR19" s="466">
        <f>'_Engine_R50'!D73</f>
        <v/>
      </c>
      <c r="AS19" s="466">
        <f>'_Engine_R50'!D74</f>
        <v/>
      </c>
      <c r="AT19" s="466">
        <f>'_Engine_R50'!D75</f>
        <v/>
      </c>
      <c r="AU19" s="466">
        <f>'_Engine_R50'!D76</f>
        <v/>
      </c>
      <c r="AV19" s="466">
        <f>'_Engine_R50'!D77</f>
        <v/>
      </c>
      <c r="AW19" s="466">
        <f>'_Engine_R50'!D78</f>
        <v/>
      </c>
      <c r="AX19" s="466">
        <f>'_Engine_R50'!D79</f>
        <v/>
      </c>
      <c r="AY19" s="466">
        <f>'_Engine_R50'!D80</f>
        <v/>
      </c>
      <c r="AZ19" s="466">
        <f>'_Engine_R50'!D81</f>
        <v/>
      </c>
      <c r="BA19" s="466">
        <f>'_Engine_R50'!D82</f>
        <v/>
      </c>
      <c r="BB19" s="466">
        <f>'_Engine_R50'!D83</f>
        <v/>
      </c>
      <c r="BC19" s="466">
        <f>'_Engine_R50'!D84</f>
        <v/>
      </c>
      <c r="BD19" s="466">
        <f>'_Engine_R50'!D85</f>
        <v/>
      </c>
      <c r="BE19" s="466">
        <f>'_Engine_R50'!D86</f>
        <v/>
      </c>
      <c r="BF19" s="466">
        <f>'_Engine_R50'!D87</f>
        <v/>
      </c>
      <c r="BG19" s="466">
        <f>'_Engine_R50'!D88</f>
        <v/>
      </c>
      <c r="BH19" s="466">
        <f>'_Engine_R50'!D89</f>
        <v/>
      </c>
      <c r="BI19" s="466">
        <f>'_Engine_R50'!D90</f>
        <v/>
      </c>
      <c r="BJ19" s="466">
        <f>'_Engine_R50'!D91</f>
        <v/>
      </c>
      <c r="BK19" s="466">
        <f>'_Engine_R50'!D92</f>
        <v/>
      </c>
      <c r="BL19" s="466">
        <f>'_Engine_R50'!D93</f>
        <v/>
      </c>
      <c r="BM19" s="466">
        <f>'_Engine_R50'!D94</f>
        <v/>
      </c>
      <c r="BN19" s="466">
        <f>'_Engine_R50'!D95</f>
        <v/>
      </c>
      <c r="BO19" s="466">
        <f>'_Engine_R50'!D96</f>
        <v/>
      </c>
      <c r="BP19" s="466">
        <f>'_Engine_R50'!D97</f>
        <v/>
      </c>
      <c r="BQ19" s="466">
        <f>'_Engine_R50'!D98</f>
        <v/>
      </c>
      <c r="BR19" s="466">
        <f>'_Engine_R50'!D99</f>
        <v/>
      </c>
      <c r="BS19" s="466">
        <f>'_Engine_R50'!D100</f>
        <v/>
      </c>
      <c r="BT19" s="466">
        <f>'_Engine_R50'!D101</f>
        <v/>
      </c>
      <c r="BU19" s="466">
        <f>'_Engine_R50'!D102</f>
        <v/>
      </c>
      <c r="BV19" s="466">
        <f>'_Engine_R50'!D103</f>
        <v/>
      </c>
      <c r="BW19" s="466">
        <f>'_Engine_R50'!D104</f>
        <v/>
      </c>
      <c r="BX19" s="466">
        <f>'_Engine_R50'!D105</f>
        <v/>
      </c>
      <c r="BY19" s="466">
        <f>'_Engine_R50'!D106</f>
        <v/>
      </c>
      <c r="BZ19" s="466">
        <f>'_Engine_R50'!D107</f>
        <v/>
      </c>
      <c r="CA19" s="466">
        <f>'_Engine_R50'!D108</f>
        <v/>
      </c>
      <c r="CB19" s="466">
        <f>'_Engine_R50'!D109</f>
        <v/>
      </c>
      <c r="CC19" s="466">
        <f>'_Engine_R50'!D110</f>
        <v/>
      </c>
      <c r="CD19" s="466">
        <f>'_Engine_R50'!D111</f>
        <v/>
      </c>
      <c r="CE19" s="466">
        <f>'_Engine_R50'!D112</f>
        <v/>
      </c>
      <c r="CF19" s="466">
        <f>'_Engine_R50'!D113</f>
        <v/>
      </c>
      <c r="CG19" s="466">
        <f>'_Engine_R50'!D114</f>
        <v/>
      </c>
      <c r="CH19" s="466">
        <f>'_Engine_R50'!D115</f>
        <v/>
      </c>
      <c r="CI19" s="466">
        <f>'_Engine_R50'!D116</f>
        <v/>
      </c>
      <c r="CJ19" s="466">
        <f>'_Engine_R50'!D117</f>
        <v/>
      </c>
      <c r="CK19" s="466">
        <f>'_Engine_R50'!D118</f>
        <v/>
      </c>
      <c r="CL19" s="466">
        <f>'_Engine_R50'!D119</f>
        <v/>
      </c>
      <c r="CM19" s="466">
        <f>'_Engine_R50'!D120</f>
        <v/>
      </c>
      <c r="CN19" s="466">
        <f>'_Engine_R50'!D121</f>
        <v/>
      </c>
      <c r="CO19" s="466">
        <f>'_Engine_R50'!D122</f>
        <v/>
      </c>
      <c r="CP19" s="466">
        <f>'_Engine_R50'!D123</f>
        <v/>
      </c>
      <c r="CQ19" s="466">
        <f>'_Engine_R50'!D124</f>
        <v/>
      </c>
      <c r="CR19" s="466">
        <f>'_Engine_R50'!D125</f>
        <v/>
      </c>
      <c r="CS19" s="466">
        <f>'_Engine_R50'!D126</f>
        <v/>
      </c>
      <c r="CT19" s="466">
        <f>'_Engine_R50'!D127</f>
        <v/>
      </c>
      <c r="CU19" s="466">
        <f>'_Engine_R50'!D128</f>
        <v/>
      </c>
      <c r="CV19" s="466">
        <f>'_Engine_R50'!D129</f>
        <v/>
      </c>
      <c r="CW19" s="466">
        <f>'_Engine_R50'!D130</f>
        <v/>
      </c>
      <c r="CX19" s="466">
        <f>'_Engine_R50'!D131</f>
        <v/>
      </c>
      <c r="CY19" s="466">
        <f>'_Engine_R50'!D132</f>
        <v/>
      </c>
      <c r="CZ19" s="466">
        <f>'_Engine_R50'!D133</f>
        <v/>
      </c>
      <c r="DA19" s="466">
        <f>'_Engine_R50'!D134</f>
        <v/>
      </c>
      <c r="DB19" s="466">
        <f>'_Engine_R50'!D135</f>
        <v/>
      </c>
      <c r="DC19" s="466">
        <f>'_Engine_R50'!D136</f>
        <v/>
      </c>
      <c r="DD19" s="466">
        <f>'_Engine_R50'!D137</f>
        <v/>
      </c>
      <c r="DE19" s="466">
        <f>'_Engine_R50'!D138</f>
        <v/>
      </c>
      <c r="DF19" s="466">
        <f>'_Engine_R50'!D139</f>
        <v/>
      </c>
      <c r="DG19" s="466">
        <f>'_Engine_R50'!D140</f>
        <v/>
      </c>
      <c r="DH19" s="466">
        <f>'_Engine_R50'!D141</f>
        <v/>
      </c>
      <c r="DI19" s="466">
        <f>'_Engine_R50'!D142</f>
        <v/>
      </c>
      <c r="DJ19" s="466">
        <f>'_Engine_R50'!D143</f>
        <v/>
      </c>
      <c r="DK19" s="466">
        <f>'_Engine_R50'!D144</f>
        <v/>
      </c>
      <c r="DL19" s="466">
        <f>'_Engine_R50'!D145</f>
        <v/>
      </c>
      <c r="DM19" s="466">
        <f>'_Engine_R50'!D146</f>
        <v/>
      </c>
      <c r="DN19" s="466">
        <f>'_Engine_R50'!D147</f>
        <v/>
      </c>
      <c r="DO19" s="466">
        <f>'_Engine_R50'!D148</f>
        <v/>
      </c>
      <c r="DP19" s="466">
        <f>'_Engine_R50'!D149</f>
        <v/>
      </c>
      <c r="DQ19" s="466">
        <f>'_Engine_R50'!D150</f>
        <v/>
      </c>
      <c r="DR19" s="466">
        <f>'_Engine_R50'!D151</f>
        <v/>
      </c>
      <c r="DS19" s="466">
        <f>'_Engine_R50'!D152</f>
        <v/>
      </c>
      <c r="DT19" s="466">
        <f>'_Engine_R50'!D153</f>
        <v/>
      </c>
      <c r="DU19" s="466">
        <f>'_Engine_R50'!D154</f>
        <v/>
      </c>
      <c r="DV19" s="466">
        <f>'_Engine_R50'!D155</f>
        <v/>
      </c>
      <c r="DW19" s="466">
        <f>'_Engine_R50'!D156</f>
        <v/>
      </c>
      <c r="DX19" s="466">
        <f>'_Engine_R50'!D157</f>
        <v/>
      </c>
      <c r="DY19" s="466">
        <f>'_Engine_R50'!D158</f>
        <v/>
      </c>
      <c r="DZ19" s="466">
        <f>'_Engine_R50'!D159</f>
        <v/>
      </c>
      <c r="EA19" s="466">
        <f>'_Engine_R50'!D160</f>
        <v/>
      </c>
      <c r="EB19" s="466">
        <f>'_Engine_R50'!D161</f>
        <v/>
      </c>
      <c r="EC19" s="466">
        <f>'_Engine_R50'!D162</f>
        <v/>
      </c>
      <c r="ED19" s="466">
        <f>'_Engine_R50'!D163</f>
        <v/>
      </c>
      <c r="EE19" s="466">
        <f>'_Engine_R50'!D164</f>
        <v/>
      </c>
      <c r="EF19" s="466">
        <f>'_Engine_R50'!D165</f>
        <v/>
      </c>
      <c r="EG19" s="466">
        <f>'_Engine_R50'!D166</f>
        <v/>
      </c>
      <c r="EH19" s="466">
        <f>'_Engine_R50'!D167</f>
        <v/>
      </c>
      <c r="EI19" s="466">
        <f>'_Engine_R50'!D168</f>
        <v/>
      </c>
      <c r="EJ19" s="466">
        <f>'_Engine_R50'!D169</f>
        <v/>
      </c>
      <c r="EK19" s="466">
        <f>'_Engine_R50'!D170</f>
        <v/>
      </c>
      <c r="EL19" s="466">
        <f>'_Engine_R50'!D171</f>
        <v/>
      </c>
      <c r="EM19" s="466">
        <f>'_Engine_R50'!D172</f>
        <v/>
      </c>
      <c r="EN19" s="466">
        <f>'_Engine_R50'!D173</f>
        <v/>
      </c>
      <c r="EO19" s="466">
        <f>'_Engine_R50'!D174</f>
        <v/>
      </c>
      <c r="EP19" s="466">
        <f>'_Engine_R50'!D175</f>
        <v/>
      </c>
      <c r="EQ19" s="466">
        <f>'_Engine_R50'!D176</f>
        <v/>
      </c>
      <c r="ER19" s="466">
        <f>'_Engine_R50'!D177</f>
        <v/>
      </c>
      <c r="ES19" s="466">
        <f>'_Engine_R50'!D178</f>
        <v/>
      </c>
      <c r="ET19" s="466">
        <f>'_Engine_R50'!D179</f>
        <v/>
      </c>
      <c r="EU19" s="466">
        <f>'_Engine_R50'!D180</f>
        <v/>
      </c>
      <c r="EV19" s="466">
        <f>'_Engine_R50'!D181</f>
        <v/>
      </c>
      <c r="EW19" s="466">
        <f>'_Engine_R50'!D182</f>
        <v/>
      </c>
      <c r="EX19" s="466">
        <f>'_Engine_R50'!D183</f>
        <v/>
      </c>
      <c r="EY19" s="466">
        <f>'_Engine_R50'!D184</f>
        <v/>
      </c>
      <c r="EZ19" s="466">
        <f>'_Engine_R50'!D185</f>
        <v/>
      </c>
      <c r="FA19" s="466">
        <f>'_Engine_R50'!D186</f>
        <v/>
      </c>
      <c r="FB19" s="466">
        <f>'_Engine_R50'!D187</f>
        <v/>
      </c>
      <c r="FC19" s="466">
        <f>'_Engine_R50'!D188</f>
        <v/>
      </c>
      <c r="FD19" s="466">
        <f>'_Engine_R50'!D189</f>
        <v/>
      </c>
      <c r="FE19" s="466">
        <f>'_Engine_R50'!D190</f>
        <v/>
      </c>
      <c r="FF19" s="466">
        <f>'_Engine_R50'!D191</f>
        <v/>
      </c>
      <c r="FG19" s="466">
        <f>'_Engine_R50'!D192</f>
        <v/>
      </c>
      <c r="FH19" s="466">
        <f>'_Engine_R50'!D193</f>
        <v/>
      </c>
      <c r="FI19" s="466">
        <f>'_Engine_R50'!D194</f>
        <v/>
      </c>
      <c r="FJ19" s="466">
        <f>'_Engine_R50'!D195</f>
        <v/>
      </c>
      <c r="FK19" s="466">
        <f>'_Engine_R50'!D196</f>
        <v/>
      </c>
      <c r="FL19" s="466">
        <f>'_Engine_R50'!D197</f>
        <v/>
      </c>
      <c r="FM19" s="466">
        <f>'_Engine_R50'!D198</f>
        <v/>
      </c>
      <c r="FN19" s="466">
        <f>'_Engine_R50'!D199</f>
        <v/>
      </c>
      <c r="FO19" s="466">
        <f>'_Engine_R50'!D200</f>
        <v/>
      </c>
      <c r="FP19" s="466">
        <f>'_Engine_R50'!D201</f>
        <v/>
      </c>
      <c r="FQ19" s="466">
        <f>'_Engine_R50'!D202</f>
        <v/>
      </c>
      <c r="FR19" s="466">
        <f>'_Engine_R50'!D203</f>
        <v/>
      </c>
      <c r="FS19" s="466">
        <f>'_Engine_R50'!D204</f>
        <v/>
      </c>
      <c r="FT19" s="466">
        <f>'_Engine_R50'!D205</f>
        <v/>
      </c>
      <c r="FU19" s="466">
        <f>'_Engine_R50'!D206</f>
        <v/>
      </c>
      <c r="FV19" s="466">
        <f>'_Engine_R50'!D207</f>
        <v/>
      </c>
      <c r="FW19" s="466">
        <f>'_Engine_R50'!D208</f>
        <v/>
      </c>
      <c r="FX19" s="466">
        <f>'_Engine_R50'!D209</f>
        <v/>
      </c>
      <c r="FY19" s="466">
        <f>'_Engine_R50'!D210</f>
        <v/>
      </c>
      <c r="FZ19" s="306" t="n"/>
    </row>
    <row r="20" ht="15" customHeight="1" s="307">
      <c r="A20" s="321" t="inlineStr">
        <is>
          <t xml:space="preserve">    Vendor Costs</t>
        </is>
      </c>
      <c r="B20" s="458">
        <f>'_Engine_R50'!E31</f>
        <v/>
      </c>
      <c r="C20" s="458">
        <f>'_Engine_R50'!E32</f>
        <v/>
      </c>
      <c r="D20" s="458">
        <f>'_Engine_R50'!E33</f>
        <v/>
      </c>
      <c r="E20" s="458">
        <f>'_Engine_R50'!E34</f>
        <v/>
      </c>
      <c r="F20" s="458">
        <f>'_Engine_R50'!E35</f>
        <v/>
      </c>
      <c r="G20" s="458">
        <f>'_Engine_R50'!E36</f>
        <v/>
      </c>
      <c r="H20" s="458">
        <f>'_Engine_R50'!E37</f>
        <v/>
      </c>
      <c r="I20" s="458">
        <f>'_Engine_R50'!E38</f>
        <v/>
      </c>
      <c r="J20" s="458">
        <f>'_Engine_R50'!E39</f>
        <v/>
      </c>
      <c r="K20" s="458">
        <f>'_Engine_R50'!E40</f>
        <v/>
      </c>
      <c r="L20" s="458">
        <f>'_Engine_R50'!E41</f>
        <v/>
      </c>
      <c r="M20" s="458">
        <f>'_Engine_R50'!E42</f>
        <v/>
      </c>
      <c r="N20" s="459">
        <f>'_Engine_R50'!E43</f>
        <v/>
      </c>
      <c r="O20" s="459">
        <f>'_Engine_R50'!E44</f>
        <v/>
      </c>
      <c r="P20" s="459">
        <f>'_Engine_R50'!E45</f>
        <v/>
      </c>
      <c r="Q20" s="459">
        <f>'_Engine_R50'!E46</f>
        <v/>
      </c>
      <c r="R20" s="459">
        <f>'_Engine_R50'!E47</f>
        <v/>
      </c>
      <c r="S20" s="459">
        <f>'_Engine_R50'!E48</f>
        <v/>
      </c>
      <c r="T20" s="459">
        <f>'_Engine_R50'!E49</f>
        <v/>
      </c>
      <c r="U20" s="459">
        <f>'_Engine_R50'!E50</f>
        <v/>
      </c>
      <c r="V20" s="459">
        <f>'_Engine_R50'!E51</f>
        <v/>
      </c>
      <c r="W20" s="459">
        <f>'_Engine_R50'!E52</f>
        <v/>
      </c>
      <c r="X20" s="459">
        <f>'_Engine_R50'!E53</f>
        <v/>
      </c>
      <c r="Y20" s="459">
        <f>'_Engine_R50'!E54</f>
        <v/>
      </c>
      <c r="Z20" s="458">
        <f>'_Engine_R50'!E55</f>
        <v/>
      </c>
      <c r="AA20" s="458">
        <f>'_Engine_R50'!E56</f>
        <v/>
      </c>
      <c r="AB20" s="458">
        <f>'_Engine_R50'!E57</f>
        <v/>
      </c>
      <c r="AC20" s="458">
        <f>'_Engine_R50'!E58</f>
        <v/>
      </c>
      <c r="AD20" s="458">
        <f>'_Engine_R50'!E59</f>
        <v/>
      </c>
      <c r="AE20" s="458">
        <f>'_Engine_R50'!E60</f>
        <v/>
      </c>
      <c r="AF20" s="458">
        <f>'_Engine_R50'!E61</f>
        <v/>
      </c>
      <c r="AG20" s="458">
        <f>'_Engine_R50'!E62</f>
        <v/>
      </c>
      <c r="AH20" s="458">
        <f>'_Engine_R50'!E63</f>
        <v/>
      </c>
      <c r="AI20" s="458">
        <f>'_Engine_R50'!E64</f>
        <v/>
      </c>
      <c r="AJ20" s="458">
        <f>'_Engine_R50'!E65</f>
        <v/>
      </c>
      <c r="AK20" s="458">
        <f>'_Engine_R50'!E66</f>
        <v/>
      </c>
      <c r="AL20" s="459">
        <f>'_Engine_R50'!E67</f>
        <v/>
      </c>
      <c r="AM20" s="459">
        <f>'_Engine_R50'!E68</f>
        <v/>
      </c>
      <c r="AN20" s="459">
        <f>'_Engine_R50'!E69</f>
        <v/>
      </c>
      <c r="AO20" s="459">
        <f>'_Engine_R50'!E70</f>
        <v/>
      </c>
      <c r="AP20" s="459">
        <f>'_Engine_R50'!E71</f>
        <v/>
      </c>
      <c r="AQ20" s="459">
        <f>'_Engine_R50'!E72</f>
        <v/>
      </c>
      <c r="AR20" s="459">
        <f>'_Engine_R50'!E73</f>
        <v/>
      </c>
      <c r="AS20" s="459">
        <f>'_Engine_R50'!E74</f>
        <v/>
      </c>
      <c r="AT20" s="459">
        <f>'_Engine_R50'!E75</f>
        <v/>
      </c>
      <c r="AU20" s="459">
        <f>'_Engine_R50'!E76</f>
        <v/>
      </c>
      <c r="AV20" s="459">
        <f>'_Engine_R50'!E77</f>
        <v/>
      </c>
      <c r="AW20" s="459">
        <f>'_Engine_R50'!E78</f>
        <v/>
      </c>
      <c r="AX20" s="458">
        <f>'_Engine_R50'!E79</f>
        <v/>
      </c>
      <c r="AY20" s="458">
        <f>'_Engine_R50'!E80</f>
        <v/>
      </c>
      <c r="AZ20" s="458">
        <f>'_Engine_R50'!E81</f>
        <v/>
      </c>
      <c r="BA20" s="458">
        <f>'_Engine_R50'!E82</f>
        <v/>
      </c>
      <c r="BB20" s="458">
        <f>'_Engine_R50'!E83</f>
        <v/>
      </c>
      <c r="BC20" s="458">
        <f>'_Engine_R50'!E84</f>
        <v/>
      </c>
      <c r="BD20" s="458">
        <f>'_Engine_R50'!E85</f>
        <v/>
      </c>
      <c r="BE20" s="458">
        <f>'_Engine_R50'!E86</f>
        <v/>
      </c>
      <c r="BF20" s="458">
        <f>'_Engine_R50'!E87</f>
        <v/>
      </c>
      <c r="BG20" s="458">
        <f>'_Engine_R50'!E88</f>
        <v/>
      </c>
      <c r="BH20" s="458">
        <f>'_Engine_R50'!E89</f>
        <v/>
      </c>
      <c r="BI20" s="458">
        <f>'_Engine_R50'!E90</f>
        <v/>
      </c>
      <c r="BJ20" s="459">
        <f>'_Engine_R50'!E91</f>
        <v/>
      </c>
      <c r="BK20" s="459">
        <f>'_Engine_R50'!E92</f>
        <v/>
      </c>
      <c r="BL20" s="459">
        <f>'_Engine_R50'!E93</f>
        <v/>
      </c>
      <c r="BM20" s="459">
        <f>'_Engine_R50'!E94</f>
        <v/>
      </c>
      <c r="BN20" s="459">
        <f>'_Engine_R50'!E95</f>
        <v/>
      </c>
      <c r="BO20" s="459">
        <f>'_Engine_R50'!E96</f>
        <v/>
      </c>
      <c r="BP20" s="459">
        <f>'_Engine_R50'!E97</f>
        <v/>
      </c>
      <c r="BQ20" s="459">
        <f>'_Engine_R50'!E98</f>
        <v/>
      </c>
      <c r="BR20" s="459">
        <f>'_Engine_R50'!E99</f>
        <v/>
      </c>
      <c r="BS20" s="459">
        <f>'_Engine_R50'!E100</f>
        <v/>
      </c>
      <c r="BT20" s="459">
        <f>'_Engine_R50'!E101</f>
        <v/>
      </c>
      <c r="BU20" s="459">
        <f>'_Engine_R50'!E102</f>
        <v/>
      </c>
      <c r="BV20" s="458">
        <f>'_Engine_R50'!E103</f>
        <v/>
      </c>
      <c r="BW20" s="458">
        <f>'_Engine_R50'!E104</f>
        <v/>
      </c>
      <c r="BX20" s="458">
        <f>'_Engine_R50'!E105</f>
        <v/>
      </c>
      <c r="BY20" s="458">
        <f>'_Engine_R50'!E106</f>
        <v/>
      </c>
      <c r="BZ20" s="458">
        <f>'_Engine_R50'!E107</f>
        <v/>
      </c>
      <c r="CA20" s="458">
        <f>'_Engine_R50'!E108</f>
        <v/>
      </c>
      <c r="CB20" s="458">
        <f>'_Engine_R50'!E109</f>
        <v/>
      </c>
      <c r="CC20" s="458">
        <f>'_Engine_R50'!E110</f>
        <v/>
      </c>
      <c r="CD20" s="458">
        <f>'_Engine_R50'!E111</f>
        <v/>
      </c>
      <c r="CE20" s="458">
        <f>'_Engine_R50'!E112</f>
        <v/>
      </c>
      <c r="CF20" s="458">
        <f>'_Engine_R50'!E113</f>
        <v/>
      </c>
      <c r="CG20" s="458">
        <f>'_Engine_R50'!E114</f>
        <v/>
      </c>
      <c r="CH20" s="459">
        <f>'_Engine_R50'!E115</f>
        <v/>
      </c>
      <c r="CI20" s="459">
        <f>'_Engine_R50'!E116</f>
        <v/>
      </c>
      <c r="CJ20" s="459">
        <f>'_Engine_R50'!E117</f>
        <v/>
      </c>
      <c r="CK20" s="459">
        <f>'_Engine_R50'!E118</f>
        <v/>
      </c>
      <c r="CL20" s="459">
        <f>'_Engine_R50'!E119</f>
        <v/>
      </c>
      <c r="CM20" s="459">
        <f>'_Engine_R50'!E120</f>
        <v/>
      </c>
      <c r="CN20" s="459">
        <f>'_Engine_R50'!E121</f>
        <v/>
      </c>
      <c r="CO20" s="459">
        <f>'_Engine_R50'!E122</f>
        <v/>
      </c>
      <c r="CP20" s="459">
        <f>'_Engine_R50'!E123</f>
        <v/>
      </c>
      <c r="CQ20" s="459">
        <f>'_Engine_R50'!E124</f>
        <v/>
      </c>
      <c r="CR20" s="459">
        <f>'_Engine_R50'!E125</f>
        <v/>
      </c>
      <c r="CS20" s="459">
        <f>'_Engine_R50'!E126</f>
        <v/>
      </c>
      <c r="CT20" s="458">
        <f>'_Engine_R50'!E127</f>
        <v/>
      </c>
      <c r="CU20" s="458">
        <f>'_Engine_R50'!E128</f>
        <v/>
      </c>
      <c r="CV20" s="458">
        <f>'_Engine_R50'!E129</f>
        <v/>
      </c>
      <c r="CW20" s="458">
        <f>'_Engine_R50'!E130</f>
        <v/>
      </c>
      <c r="CX20" s="458">
        <f>'_Engine_R50'!E131</f>
        <v/>
      </c>
      <c r="CY20" s="458">
        <f>'_Engine_R50'!E132</f>
        <v/>
      </c>
      <c r="CZ20" s="458">
        <f>'_Engine_R50'!E133</f>
        <v/>
      </c>
      <c r="DA20" s="458">
        <f>'_Engine_R50'!E134</f>
        <v/>
      </c>
      <c r="DB20" s="458">
        <f>'_Engine_R50'!E135</f>
        <v/>
      </c>
      <c r="DC20" s="458">
        <f>'_Engine_R50'!E136</f>
        <v/>
      </c>
      <c r="DD20" s="458">
        <f>'_Engine_R50'!E137</f>
        <v/>
      </c>
      <c r="DE20" s="458">
        <f>'_Engine_R50'!E138</f>
        <v/>
      </c>
      <c r="DF20" s="459">
        <f>'_Engine_R50'!E139</f>
        <v/>
      </c>
      <c r="DG20" s="459">
        <f>'_Engine_R50'!E140</f>
        <v/>
      </c>
      <c r="DH20" s="459">
        <f>'_Engine_R50'!E141</f>
        <v/>
      </c>
      <c r="DI20" s="459">
        <f>'_Engine_R50'!E142</f>
        <v/>
      </c>
      <c r="DJ20" s="459">
        <f>'_Engine_R50'!E143</f>
        <v/>
      </c>
      <c r="DK20" s="459">
        <f>'_Engine_R50'!E144</f>
        <v/>
      </c>
      <c r="DL20" s="459">
        <f>'_Engine_R50'!E145</f>
        <v/>
      </c>
      <c r="DM20" s="459">
        <f>'_Engine_R50'!E146</f>
        <v/>
      </c>
      <c r="DN20" s="459">
        <f>'_Engine_R50'!E147</f>
        <v/>
      </c>
      <c r="DO20" s="459">
        <f>'_Engine_R50'!E148</f>
        <v/>
      </c>
      <c r="DP20" s="459">
        <f>'_Engine_R50'!E149</f>
        <v/>
      </c>
      <c r="DQ20" s="459">
        <f>'_Engine_R50'!E150</f>
        <v/>
      </c>
      <c r="DR20" s="458">
        <f>'_Engine_R50'!E151</f>
        <v/>
      </c>
      <c r="DS20" s="458">
        <f>'_Engine_R50'!E152</f>
        <v/>
      </c>
      <c r="DT20" s="458">
        <f>'_Engine_R50'!E153</f>
        <v/>
      </c>
      <c r="DU20" s="458">
        <f>'_Engine_R50'!E154</f>
        <v/>
      </c>
      <c r="DV20" s="458">
        <f>'_Engine_R50'!E155</f>
        <v/>
      </c>
      <c r="DW20" s="458">
        <f>'_Engine_R50'!E156</f>
        <v/>
      </c>
      <c r="DX20" s="458">
        <f>'_Engine_R50'!E157</f>
        <v/>
      </c>
      <c r="DY20" s="458">
        <f>'_Engine_R50'!E158</f>
        <v/>
      </c>
      <c r="DZ20" s="458">
        <f>'_Engine_R50'!E159</f>
        <v/>
      </c>
      <c r="EA20" s="458">
        <f>'_Engine_R50'!E160</f>
        <v/>
      </c>
      <c r="EB20" s="458">
        <f>'_Engine_R50'!E161</f>
        <v/>
      </c>
      <c r="EC20" s="458">
        <f>'_Engine_R50'!E162</f>
        <v/>
      </c>
      <c r="ED20" s="459">
        <f>'_Engine_R50'!E163</f>
        <v/>
      </c>
      <c r="EE20" s="459">
        <f>'_Engine_R50'!E164</f>
        <v/>
      </c>
      <c r="EF20" s="459">
        <f>'_Engine_R50'!E165</f>
        <v/>
      </c>
      <c r="EG20" s="459">
        <f>'_Engine_R50'!E166</f>
        <v/>
      </c>
      <c r="EH20" s="459">
        <f>'_Engine_R50'!E167</f>
        <v/>
      </c>
      <c r="EI20" s="459">
        <f>'_Engine_R50'!E168</f>
        <v/>
      </c>
      <c r="EJ20" s="459">
        <f>'_Engine_R50'!E169</f>
        <v/>
      </c>
      <c r="EK20" s="459">
        <f>'_Engine_R50'!E170</f>
        <v/>
      </c>
      <c r="EL20" s="459">
        <f>'_Engine_R50'!E171</f>
        <v/>
      </c>
      <c r="EM20" s="459">
        <f>'_Engine_R50'!E172</f>
        <v/>
      </c>
      <c r="EN20" s="459">
        <f>'_Engine_R50'!E173</f>
        <v/>
      </c>
      <c r="EO20" s="459">
        <f>'_Engine_R50'!E174</f>
        <v/>
      </c>
      <c r="EP20" s="458">
        <f>'_Engine_R50'!E175</f>
        <v/>
      </c>
      <c r="EQ20" s="458">
        <f>'_Engine_R50'!E176</f>
        <v/>
      </c>
      <c r="ER20" s="458">
        <f>'_Engine_R50'!E177</f>
        <v/>
      </c>
      <c r="ES20" s="458">
        <f>'_Engine_R50'!E178</f>
        <v/>
      </c>
      <c r="ET20" s="458">
        <f>'_Engine_R50'!E179</f>
        <v/>
      </c>
      <c r="EU20" s="458">
        <f>'_Engine_R50'!E180</f>
        <v/>
      </c>
      <c r="EV20" s="458">
        <f>'_Engine_R50'!E181</f>
        <v/>
      </c>
      <c r="EW20" s="458">
        <f>'_Engine_R50'!E182</f>
        <v/>
      </c>
      <c r="EX20" s="458">
        <f>'_Engine_R50'!E183</f>
        <v/>
      </c>
      <c r="EY20" s="458">
        <f>'_Engine_R50'!E184</f>
        <v/>
      </c>
      <c r="EZ20" s="458">
        <f>'_Engine_R50'!E185</f>
        <v/>
      </c>
      <c r="FA20" s="458">
        <f>'_Engine_R50'!E186</f>
        <v/>
      </c>
      <c r="FB20" s="459">
        <f>'_Engine_R50'!E187</f>
        <v/>
      </c>
      <c r="FC20" s="459">
        <f>'_Engine_R50'!E188</f>
        <v/>
      </c>
      <c r="FD20" s="459">
        <f>'_Engine_R50'!E189</f>
        <v/>
      </c>
      <c r="FE20" s="459">
        <f>'_Engine_R50'!E190</f>
        <v/>
      </c>
      <c r="FF20" s="459">
        <f>'_Engine_R50'!E191</f>
        <v/>
      </c>
      <c r="FG20" s="459">
        <f>'_Engine_R50'!E192</f>
        <v/>
      </c>
      <c r="FH20" s="459">
        <f>'_Engine_R50'!E193</f>
        <v/>
      </c>
      <c r="FI20" s="459">
        <f>'_Engine_R50'!E194</f>
        <v/>
      </c>
      <c r="FJ20" s="459">
        <f>'_Engine_R50'!E195</f>
        <v/>
      </c>
      <c r="FK20" s="459">
        <f>'_Engine_R50'!E196</f>
        <v/>
      </c>
      <c r="FL20" s="459">
        <f>'_Engine_R50'!E197</f>
        <v/>
      </c>
      <c r="FM20" s="459">
        <f>'_Engine_R50'!E198</f>
        <v/>
      </c>
      <c r="FN20" s="458">
        <f>'_Engine_R50'!E199</f>
        <v/>
      </c>
      <c r="FO20" s="458">
        <f>'_Engine_R50'!E200</f>
        <v/>
      </c>
      <c r="FP20" s="458">
        <f>'_Engine_R50'!E201</f>
        <v/>
      </c>
      <c r="FQ20" s="458">
        <f>'_Engine_R50'!E202</f>
        <v/>
      </c>
      <c r="FR20" s="458">
        <f>'_Engine_R50'!E203</f>
        <v/>
      </c>
      <c r="FS20" s="458">
        <f>'_Engine_R50'!E204</f>
        <v/>
      </c>
      <c r="FT20" s="458">
        <f>'_Engine_R50'!E205</f>
        <v/>
      </c>
      <c r="FU20" s="458">
        <f>'_Engine_R50'!E206</f>
        <v/>
      </c>
      <c r="FV20" s="458">
        <f>'_Engine_R50'!E207</f>
        <v/>
      </c>
      <c r="FW20" s="458">
        <f>'_Engine_R50'!E208</f>
        <v/>
      </c>
      <c r="FX20" s="458">
        <f>'_Engine_R50'!E209</f>
        <v/>
      </c>
      <c r="FY20" s="458">
        <f>'_Engine_R50'!E210</f>
        <v/>
      </c>
      <c r="FZ20" s="306" t="n"/>
    </row>
    <row r="21" ht="15" customHeight="1" s="307">
      <c r="A21" s="321" t="inlineStr">
        <is>
          <t xml:space="preserve">    Corporate Allocation</t>
        </is>
      </c>
      <c r="B21" s="458">
        <f>'_Engine_R50'!U31</f>
        <v/>
      </c>
      <c r="C21" s="458">
        <f>'_Engine_R50'!U32</f>
        <v/>
      </c>
      <c r="D21" s="458">
        <f>'_Engine_R50'!U33</f>
        <v/>
      </c>
      <c r="E21" s="458">
        <f>'_Engine_R50'!U34</f>
        <v/>
      </c>
      <c r="F21" s="458">
        <f>'_Engine_R50'!U35</f>
        <v/>
      </c>
      <c r="G21" s="458">
        <f>'_Engine_R50'!U36</f>
        <v/>
      </c>
      <c r="H21" s="458">
        <f>'_Engine_R50'!U37</f>
        <v/>
      </c>
      <c r="I21" s="458">
        <f>'_Engine_R50'!U38</f>
        <v/>
      </c>
      <c r="J21" s="458">
        <f>'_Engine_R50'!U39</f>
        <v/>
      </c>
      <c r="K21" s="458">
        <f>'_Engine_R50'!U40</f>
        <v/>
      </c>
      <c r="L21" s="458">
        <f>'_Engine_R50'!U41</f>
        <v/>
      </c>
      <c r="M21" s="458">
        <f>'_Engine_R50'!U42</f>
        <v/>
      </c>
      <c r="N21" s="459">
        <f>'_Engine_R50'!U43</f>
        <v/>
      </c>
      <c r="O21" s="459">
        <f>'_Engine_R50'!U44</f>
        <v/>
      </c>
      <c r="P21" s="459">
        <f>'_Engine_R50'!U45</f>
        <v/>
      </c>
      <c r="Q21" s="459">
        <f>'_Engine_R50'!U46</f>
        <v/>
      </c>
      <c r="R21" s="459">
        <f>'_Engine_R50'!U47</f>
        <v/>
      </c>
      <c r="S21" s="459">
        <f>'_Engine_R50'!U48</f>
        <v/>
      </c>
      <c r="T21" s="459">
        <f>'_Engine_R50'!U49</f>
        <v/>
      </c>
      <c r="U21" s="459">
        <f>'_Engine_R50'!U50</f>
        <v/>
      </c>
      <c r="V21" s="459">
        <f>'_Engine_R50'!U51</f>
        <v/>
      </c>
      <c r="W21" s="459">
        <f>'_Engine_R50'!U52</f>
        <v/>
      </c>
      <c r="X21" s="459">
        <f>'_Engine_R50'!U53</f>
        <v/>
      </c>
      <c r="Y21" s="459">
        <f>'_Engine_R50'!U54</f>
        <v/>
      </c>
      <c r="Z21" s="458">
        <f>'_Engine_R50'!U55</f>
        <v/>
      </c>
      <c r="AA21" s="458">
        <f>'_Engine_R50'!U56</f>
        <v/>
      </c>
      <c r="AB21" s="458">
        <f>'_Engine_R50'!U57</f>
        <v/>
      </c>
      <c r="AC21" s="458">
        <f>'_Engine_R50'!U58</f>
        <v/>
      </c>
      <c r="AD21" s="458">
        <f>'_Engine_R50'!U59</f>
        <v/>
      </c>
      <c r="AE21" s="458">
        <f>'_Engine_R50'!U60</f>
        <v/>
      </c>
      <c r="AF21" s="458">
        <f>'_Engine_R50'!U61</f>
        <v/>
      </c>
      <c r="AG21" s="458">
        <f>'_Engine_R50'!U62</f>
        <v/>
      </c>
      <c r="AH21" s="458">
        <f>'_Engine_R50'!U63</f>
        <v/>
      </c>
      <c r="AI21" s="458">
        <f>'_Engine_R50'!U64</f>
        <v/>
      </c>
      <c r="AJ21" s="458">
        <f>'_Engine_R50'!U65</f>
        <v/>
      </c>
      <c r="AK21" s="458">
        <f>'_Engine_R50'!U66</f>
        <v/>
      </c>
      <c r="AL21" s="459">
        <f>'_Engine_R50'!U67</f>
        <v/>
      </c>
      <c r="AM21" s="459">
        <f>'_Engine_R50'!U68</f>
        <v/>
      </c>
      <c r="AN21" s="459">
        <f>'_Engine_R50'!U69</f>
        <v/>
      </c>
      <c r="AO21" s="459">
        <f>'_Engine_R50'!U70</f>
        <v/>
      </c>
      <c r="AP21" s="459">
        <f>'_Engine_R50'!U71</f>
        <v/>
      </c>
      <c r="AQ21" s="459">
        <f>'_Engine_R50'!U72</f>
        <v/>
      </c>
      <c r="AR21" s="459">
        <f>'_Engine_R50'!U73</f>
        <v/>
      </c>
      <c r="AS21" s="459">
        <f>'_Engine_R50'!U74</f>
        <v/>
      </c>
      <c r="AT21" s="459">
        <f>'_Engine_R50'!U75</f>
        <v/>
      </c>
      <c r="AU21" s="459">
        <f>'_Engine_R50'!U76</f>
        <v/>
      </c>
      <c r="AV21" s="459">
        <f>'_Engine_R50'!U77</f>
        <v/>
      </c>
      <c r="AW21" s="459">
        <f>'_Engine_R50'!U78</f>
        <v/>
      </c>
      <c r="AX21" s="458">
        <f>'_Engine_R50'!U79</f>
        <v/>
      </c>
      <c r="AY21" s="458">
        <f>'_Engine_R50'!U80</f>
        <v/>
      </c>
      <c r="AZ21" s="458">
        <f>'_Engine_R50'!U81</f>
        <v/>
      </c>
      <c r="BA21" s="458">
        <f>'_Engine_R50'!U82</f>
        <v/>
      </c>
      <c r="BB21" s="458">
        <f>'_Engine_R50'!U83</f>
        <v/>
      </c>
      <c r="BC21" s="458">
        <f>'_Engine_R50'!U84</f>
        <v/>
      </c>
      <c r="BD21" s="458">
        <f>'_Engine_R50'!U85</f>
        <v/>
      </c>
      <c r="BE21" s="458">
        <f>'_Engine_R50'!U86</f>
        <v/>
      </c>
      <c r="BF21" s="458">
        <f>'_Engine_R50'!U87</f>
        <v/>
      </c>
      <c r="BG21" s="458">
        <f>'_Engine_R50'!U88</f>
        <v/>
      </c>
      <c r="BH21" s="458">
        <f>'_Engine_R50'!U89</f>
        <v/>
      </c>
      <c r="BI21" s="458">
        <f>'_Engine_R50'!U90</f>
        <v/>
      </c>
      <c r="BJ21" s="459">
        <f>'_Engine_R50'!U91</f>
        <v/>
      </c>
      <c r="BK21" s="459">
        <f>'_Engine_R50'!U92</f>
        <v/>
      </c>
      <c r="BL21" s="459">
        <f>'_Engine_R50'!U93</f>
        <v/>
      </c>
      <c r="BM21" s="459">
        <f>'_Engine_R50'!U94</f>
        <v/>
      </c>
      <c r="BN21" s="459">
        <f>'_Engine_R50'!U95</f>
        <v/>
      </c>
      <c r="BO21" s="459">
        <f>'_Engine_R50'!U96</f>
        <v/>
      </c>
      <c r="BP21" s="459">
        <f>'_Engine_R50'!U97</f>
        <v/>
      </c>
      <c r="BQ21" s="459">
        <f>'_Engine_R50'!U98</f>
        <v/>
      </c>
      <c r="BR21" s="459">
        <f>'_Engine_R50'!U99</f>
        <v/>
      </c>
      <c r="BS21" s="459">
        <f>'_Engine_R50'!U100</f>
        <v/>
      </c>
      <c r="BT21" s="459">
        <f>'_Engine_R50'!U101</f>
        <v/>
      </c>
      <c r="BU21" s="459">
        <f>'_Engine_R50'!U102</f>
        <v/>
      </c>
      <c r="BV21" s="458">
        <f>'_Engine_R50'!U103</f>
        <v/>
      </c>
      <c r="BW21" s="458">
        <f>'_Engine_R50'!U104</f>
        <v/>
      </c>
      <c r="BX21" s="458">
        <f>'_Engine_R50'!U105</f>
        <v/>
      </c>
      <c r="BY21" s="458">
        <f>'_Engine_R50'!U106</f>
        <v/>
      </c>
      <c r="BZ21" s="458">
        <f>'_Engine_R50'!U107</f>
        <v/>
      </c>
      <c r="CA21" s="458">
        <f>'_Engine_R50'!U108</f>
        <v/>
      </c>
      <c r="CB21" s="458">
        <f>'_Engine_R50'!U109</f>
        <v/>
      </c>
      <c r="CC21" s="458">
        <f>'_Engine_R50'!U110</f>
        <v/>
      </c>
      <c r="CD21" s="458">
        <f>'_Engine_R50'!U111</f>
        <v/>
      </c>
      <c r="CE21" s="458">
        <f>'_Engine_R50'!U112</f>
        <v/>
      </c>
      <c r="CF21" s="458">
        <f>'_Engine_R50'!U113</f>
        <v/>
      </c>
      <c r="CG21" s="458">
        <f>'_Engine_R50'!U114</f>
        <v/>
      </c>
      <c r="CH21" s="459">
        <f>'_Engine_R50'!U115</f>
        <v/>
      </c>
      <c r="CI21" s="459">
        <f>'_Engine_R50'!U116</f>
        <v/>
      </c>
      <c r="CJ21" s="459">
        <f>'_Engine_R50'!U117</f>
        <v/>
      </c>
      <c r="CK21" s="459">
        <f>'_Engine_R50'!U118</f>
        <v/>
      </c>
      <c r="CL21" s="459">
        <f>'_Engine_R50'!U119</f>
        <v/>
      </c>
      <c r="CM21" s="459">
        <f>'_Engine_R50'!U120</f>
        <v/>
      </c>
      <c r="CN21" s="459">
        <f>'_Engine_R50'!U121</f>
        <v/>
      </c>
      <c r="CO21" s="459">
        <f>'_Engine_R50'!U122</f>
        <v/>
      </c>
      <c r="CP21" s="459">
        <f>'_Engine_R50'!U123</f>
        <v/>
      </c>
      <c r="CQ21" s="459">
        <f>'_Engine_R50'!U124</f>
        <v/>
      </c>
      <c r="CR21" s="459">
        <f>'_Engine_R50'!U125</f>
        <v/>
      </c>
      <c r="CS21" s="459">
        <f>'_Engine_R50'!U126</f>
        <v/>
      </c>
      <c r="CT21" s="458">
        <f>'_Engine_R50'!U127</f>
        <v/>
      </c>
      <c r="CU21" s="458">
        <f>'_Engine_R50'!U128</f>
        <v/>
      </c>
      <c r="CV21" s="458">
        <f>'_Engine_R50'!U129</f>
        <v/>
      </c>
      <c r="CW21" s="458">
        <f>'_Engine_R50'!U130</f>
        <v/>
      </c>
      <c r="CX21" s="458">
        <f>'_Engine_R50'!U131</f>
        <v/>
      </c>
      <c r="CY21" s="458">
        <f>'_Engine_R50'!U132</f>
        <v/>
      </c>
      <c r="CZ21" s="458">
        <f>'_Engine_R50'!U133</f>
        <v/>
      </c>
      <c r="DA21" s="458">
        <f>'_Engine_R50'!U134</f>
        <v/>
      </c>
      <c r="DB21" s="458">
        <f>'_Engine_R50'!U135</f>
        <v/>
      </c>
      <c r="DC21" s="458">
        <f>'_Engine_R50'!U136</f>
        <v/>
      </c>
      <c r="DD21" s="458">
        <f>'_Engine_R50'!U137</f>
        <v/>
      </c>
      <c r="DE21" s="458">
        <f>'_Engine_R50'!U138</f>
        <v/>
      </c>
      <c r="DF21" s="459">
        <f>'_Engine_R50'!U139</f>
        <v/>
      </c>
      <c r="DG21" s="459">
        <f>'_Engine_R50'!U140</f>
        <v/>
      </c>
      <c r="DH21" s="459">
        <f>'_Engine_R50'!U141</f>
        <v/>
      </c>
      <c r="DI21" s="459">
        <f>'_Engine_R50'!U142</f>
        <v/>
      </c>
      <c r="DJ21" s="459">
        <f>'_Engine_R50'!U143</f>
        <v/>
      </c>
      <c r="DK21" s="459">
        <f>'_Engine_R50'!U144</f>
        <v/>
      </c>
      <c r="DL21" s="459">
        <f>'_Engine_R50'!U145</f>
        <v/>
      </c>
      <c r="DM21" s="459">
        <f>'_Engine_R50'!U146</f>
        <v/>
      </c>
      <c r="DN21" s="459">
        <f>'_Engine_R50'!U147</f>
        <v/>
      </c>
      <c r="DO21" s="459">
        <f>'_Engine_R50'!U148</f>
        <v/>
      </c>
      <c r="DP21" s="459">
        <f>'_Engine_R50'!U149</f>
        <v/>
      </c>
      <c r="DQ21" s="459">
        <f>'_Engine_R50'!U150</f>
        <v/>
      </c>
      <c r="DR21" s="458">
        <f>'_Engine_R50'!U151</f>
        <v/>
      </c>
      <c r="DS21" s="458">
        <f>'_Engine_R50'!U152</f>
        <v/>
      </c>
      <c r="DT21" s="458">
        <f>'_Engine_R50'!U153</f>
        <v/>
      </c>
      <c r="DU21" s="458">
        <f>'_Engine_R50'!U154</f>
        <v/>
      </c>
      <c r="DV21" s="458">
        <f>'_Engine_R50'!U155</f>
        <v/>
      </c>
      <c r="DW21" s="458">
        <f>'_Engine_R50'!U156</f>
        <v/>
      </c>
      <c r="DX21" s="458">
        <f>'_Engine_R50'!U157</f>
        <v/>
      </c>
      <c r="DY21" s="458">
        <f>'_Engine_R50'!U158</f>
        <v/>
      </c>
      <c r="DZ21" s="458">
        <f>'_Engine_R50'!U159</f>
        <v/>
      </c>
      <c r="EA21" s="458">
        <f>'_Engine_R50'!U160</f>
        <v/>
      </c>
      <c r="EB21" s="458">
        <f>'_Engine_R50'!U161</f>
        <v/>
      </c>
      <c r="EC21" s="458">
        <f>'_Engine_R50'!U162</f>
        <v/>
      </c>
      <c r="ED21" s="459">
        <f>'_Engine_R50'!U163</f>
        <v/>
      </c>
      <c r="EE21" s="459">
        <f>'_Engine_R50'!U164</f>
        <v/>
      </c>
      <c r="EF21" s="459">
        <f>'_Engine_R50'!U165</f>
        <v/>
      </c>
      <c r="EG21" s="459">
        <f>'_Engine_R50'!U166</f>
        <v/>
      </c>
      <c r="EH21" s="459">
        <f>'_Engine_R50'!U167</f>
        <v/>
      </c>
      <c r="EI21" s="459">
        <f>'_Engine_R50'!U168</f>
        <v/>
      </c>
      <c r="EJ21" s="459">
        <f>'_Engine_R50'!U169</f>
        <v/>
      </c>
      <c r="EK21" s="459">
        <f>'_Engine_R50'!U170</f>
        <v/>
      </c>
      <c r="EL21" s="459">
        <f>'_Engine_R50'!U171</f>
        <v/>
      </c>
      <c r="EM21" s="459">
        <f>'_Engine_R50'!U172</f>
        <v/>
      </c>
      <c r="EN21" s="459">
        <f>'_Engine_R50'!U173</f>
        <v/>
      </c>
      <c r="EO21" s="459">
        <f>'_Engine_R50'!U174</f>
        <v/>
      </c>
      <c r="EP21" s="458">
        <f>'_Engine_R50'!U175</f>
        <v/>
      </c>
      <c r="EQ21" s="458">
        <f>'_Engine_R50'!U176</f>
        <v/>
      </c>
      <c r="ER21" s="458">
        <f>'_Engine_R50'!U177</f>
        <v/>
      </c>
      <c r="ES21" s="458">
        <f>'_Engine_R50'!U178</f>
        <v/>
      </c>
      <c r="ET21" s="458">
        <f>'_Engine_R50'!U179</f>
        <v/>
      </c>
      <c r="EU21" s="458">
        <f>'_Engine_R50'!U180</f>
        <v/>
      </c>
      <c r="EV21" s="458">
        <f>'_Engine_R50'!U181</f>
        <v/>
      </c>
      <c r="EW21" s="458">
        <f>'_Engine_R50'!U182</f>
        <v/>
      </c>
      <c r="EX21" s="458">
        <f>'_Engine_R50'!U183</f>
        <v/>
      </c>
      <c r="EY21" s="458">
        <f>'_Engine_R50'!U184</f>
        <v/>
      </c>
      <c r="EZ21" s="458">
        <f>'_Engine_R50'!U185</f>
        <v/>
      </c>
      <c r="FA21" s="458">
        <f>'_Engine_R50'!U186</f>
        <v/>
      </c>
      <c r="FB21" s="459">
        <f>'_Engine_R50'!U187</f>
        <v/>
      </c>
      <c r="FC21" s="459">
        <f>'_Engine_R50'!U188</f>
        <v/>
      </c>
      <c r="FD21" s="459">
        <f>'_Engine_R50'!U189</f>
        <v/>
      </c>
      <c r="FE21" s="459">
        <f>'_Engine_R50'!U190</f>
        <v/>
      </c>
      <c r="FF21" s="459">
        <f>'_Engine_R50'!U191</f>
        <v/>
      </c>
      <c r="FG21" s="459">
        <f>'_Engine_R50'!U192</f>
        <v/>
      </c>
      <c r="FH21" s="459">
        <f>'_Engine_R50'!U193</f>
        <v/>
      </c>
      <c r="FI21" s="459">
        <f>'_Engine_R50'!U194</f>
        <v/>
      </c>
      <c r="FJ21" s="459">
        <f>'_Engine_R50'!U195</f>
        <v/>
      </c>
      <c r="FK21" s="459">
        <f>'_Engine_R50'!U196</f>
        <v/>
      </c>
      <c r="FL21" s="459">
        <f>'_Engine_R50'!U197</f>
        <v/>
      </c>
      <c r="FM21" s="459">
        <f>'_Engine_R50'!U198</f>
        <v/>
      </c>
      <c r="FN21" s="458">
        <f>'_Engine_R50'!U199</f>
        <v/>
      </c>
      <c r="FO21" s="458">
        <f>'_Engine_R50'!U200</f>
        <v/>
      </c>
      <c r="FP21" s="458">
        <f>'_Engine_R50'!U201</f>
        <v/>
      </c>
      <c r="FQ21" s="458">
        <f>'_Engine_R50'!U202</f>
        <v/>
      </c>
      <c r="FR21" s="458">
        <f>'_Engine_R50'!U203</f>
        <v/>
      </c>
      <c r="FS21" s="458">
        <f>'_Engine_R50'!U204</f>
        <v/>
      </c>
      <c r="FT21" s="458">
        <f>'_Engine_R50'!U205</f>
        <v/>
      </c>
      <c r="FU21" s="458">
        <f>'_Engine_R50'!U206</f>
        <v/>
      </c>
      <c r="FV21" s="458">
        <f>'_Engine_R50'!U207</f>
        <v/>
      </c>
      <c r="FW21" s="458">
        <f>'_Engine_R50'!U208</f>
        <v/>
      </c>
      <c r="FX21" s="458">
        <f>'_Engine_R50'!U209</f>
        <v/>
      </c>
      <c r="FY21" s="458">
        <f>'_Engine_R50'!U210</f>
        <v/>
      </c>
      <c r="FZ21" s="306" t="n"/>
    </row>
    <row r="22" ht="15" customHeight="1" s="307">
      <c r="A22" s="321" t="inlineStr">
        <is>
          <t xml:space="preserve">    Team Compensation</t>
        </is>
      </c>
      <c r="B22" s="458">
        <f>B17+B18+B19+B20+B21+B14</f>
        <v/>
      </c>
      <c r="C22" s="458">
        <f>C17+C18+C19+C20+C21+C14</f>
        <v/>
      </c>
      <c r="D22" s="458">
        <f>D17+D18+D19+D20+D21+D14</f>
        <v/>
      </c>
      <c r="E22" s="458">
        <f>E17+E18+E19+E20+E21+E14</f>
        <v/>
      </c>
      <c r="F22" s="458">
        <f>F17+F18+F19+F20+F21+F14</f>
        <v/>
      </c>
      <c r="G22" s="458">
        <f>G17+G18+G19+G20+G21+G14</f>
        <v/>
      </c>
      <c r="H22" s="458">
        <f>H17+H18+H19+H20+H21+H14</f>
        <v/>
      </c>
      <c r="I22" s="458">
        <f>I17+I18+I19+I20+I21+I14</f>
        <v/>
      </c>
      <c r="J22" s="458">
        <f>J17+J18+J19+J20+J21+J14</f>
        <v/>
      </c>
      <c r="K22" s="458">
        <f>K17+K18+K19+K20+K21+K14</f>
        <v/>
      </c>
      <c r="L22" s="458">
        <f>L17+L18+L19+L20+L21+L14</f>
        <v/>
      </c>
      <c r="M22" s="458">
        <f>M17+M18+M19+M20+M21+M14</f>
        <v/>
      </c>
      <c r="N22" s="459">
        <f>N17+N18+N19+N20+N21+N14</f>
        <v/>
      </c>
      <c r="O22" s="459">
        <f>O17+O18+O19+O20+O21+O14</f>
        <v/>
      </c>
      <c r="P22" s="459">
        <f>P17+P18+P19+P20+P21+P14</f>
        <v/>
      </c>
      <c r="Q22" s="459">
        <f>Q17+Q18+Q19+Q20+Q21+Q14</f>
        <v/>
      </c>
      <c r="R22" s="459">
        <f>R17+R18+R19+R20+R21+R14</f>
        <v/>
      </c>
      <c r="S22" s="459">
        <f>S17+S18+S19+S20+S21+S14</f>
        <v/>
      </c>
      <c r="T22" s="459">
        <f>T17+T18+T19+T20+T21+T14</f>
        <v/>
      </c>
      <c r="U22" s="459">
        <f>U17+U18+U19+U20+U21+U14</f>
        <v/>
      </c>
      <c r="V22" s="459">
        <f>V17+V18+V19+V20+V21+V14</f>
        <v/>
      </c>
      <c r="W22" s="459">
        <f>W17+W18+W19+W20+W21+W14</f>
        <v/>
      </c>
      <c r="X22" s="459">
        <f>X17+X18+X19+X20+X21+X14</f>
        <v/>
      </c>
      <c r="Y22" s="459">
        <f>Y17+Y18+Y19+Y20+Y21+Y14</f>
        <v/>
      </c>
      <c r="Z22" s="458">
        <f>Z17+Z18+Z19+Z20+Z21+Z14</f>
        <v/>
      </c>
      <c r="AA22" s="458">
        <f>AA17+AA18+AA19+AA20+AA21+AA14</f>
        <v/>
      </c>
      <c r="AB22" s="458">
        <f>AB17+AB18+AB19+AB20+AB21+AB14</f>
        <v/>
      </c>
      <c r="AC22" s="458">
        <f>AC17+AC18+AC19+AC20+AC21+AC14</f>
        <v/>
      </c>
      <c r="AD22" s="458">
        <f>AD17+AD18+AD19+AD20+AD21+AD14</f>
        <v/>
      </c>
      <c r="AE22" s="458">
        <f>AE17+AE18+AE19+AE20+AE21+AE14</f>
        <v/>
      </c>
      <c r="AF22" s="458">
        <f>AF17+AF18+AF19+AF20+AF21+AF14</f>
        <v/>
      </c>
      <c r="AG22" s="458">
        <f>AG17+AG18+AG19+AG20+AG21+AG14</f>
        <v/>
      </c>
      <c r="AH22" s="458">
        <f>AH17+AH18+AH19+AH20+AH21+AH14</f>
        <v/>
      </c>
      <c r="AI22" s="458">
        <f>AI17+AI18+AI19+AI20+AI21+AI14</f>
        <v/>
      </c>
      <c r="AJ22" s="458">
        <f>AJ17+AJ18+AJ19+AJ20+AJ21+AJ14</f>
        <v/>
      </c>
      <c r="AK22" s="458">
        <f>AK17+AK18+AK19+AK20+AK21+AK14</f>
        <v/>
      </c>
      <c r="AL22" s="459">
        <f>AL17+AL18+AL19+AL20+AL21+AL14</f>
        <v/>
      </c>
      <c r="AM22" s="459">
        <f>AM17+AM18+AM19+AM20+AM21+AM14</f>
        <v/>
      </c>
      <c r="AN22" s="459">
        <f>AN17+AN18+AN19+AN20+AN21+AN14</f>
        <v/>
      </c>
      <c r="AO22" s="459">
        <f>AO17+AO18+AO19+AO20+AO21+AO14</f>
        <v/>
      </c>
      <c r="AP22" s="459">
        <f>AP17+AP18+AP19+AP20+AP21+AP14</f>
        <v/>
      </c>
      <c r="AQ22" s="459">
        <f>AQ17+AQ18+AQ19+AQ20+AQ21+AQ14</f>
        <v/>
      </c>
      <c r="AR22" s="459">
        <f>AR17+AR18+AR19+AR20+AR21+AR14</f>
        <v/>
      </c>
      <c r="AS22" s="459">
        <f>AS17+AS18+AS19+AS20+AS21+AS14</f>
        <v/>
      </c>
      <c r="AT22" s="459">
        <f>AT17+AT18+AT19+AT20+AT21+AT14</f>
        <v/>
      </c>
      <c r="AU22" s="459">
        <f>AU17+AU18+AU19+AU20+AU21+AU14</f>
        <v/>
      </c>
      <c r="AV22" s="459">
        <f>AV17+AV18+AV19+AV20+AV21+AV14</f>
        <v/>
      </c>
      <c r="AW22" s="459">
        <f>AW17+AW18+AW19+AW20+AW21+AW14</f>
        <v/>
      </c>
      <c r="AX22" s="458">
        <f>AX17+AX18+AX19+AX20+AX21+AX14</f>
        <v/>
      </c>
      <c r="AY22" s="458">
        <f>AY17+AY18+AY19+AY20+AY21+AY14</f>
        <v/>
      </c>
      <c r="AZ22" s="458">
        <f>AZ17+AZ18+AZ19+AZ20+AZ21+AZ14</f>
        <v/>
      </c>
      <c r="BA22" s="458">
        <f>BA17+BA18+BA19+BA20+BA21+BA14</f>
        <v/>
      </c>
      <c r="BB22" s="458">
        <f>BB17+BB18+BB19+BB20+BB21+BB14</f>
        <v/>
      </c>
      <c r="BC22" s="458">
        <f>BC17+BC18+BC19+BC20+BC21+BC14</f>
        <v/>
      </c>
      <c r="BD22" s="458">
        <f>BD17+BD18+BD19+BD20+BD21+BD14</f>
        <v/>
      </c>
      <c r="BE22" s="458">
        <f>BE17+BE18+BE19+BE20+BE21+BE14</f>
        <v/>
      </c>
      <c r="BF22" s="458">
        <f>BF17+BF18+BF19+BF20+BF21+BF14</f>
        <v/>
      </c>
      <c r="BG22" s="458">
        <f>BG17+BG18+BG19+BG20+BG21+BG14</f>
        <v/>
      </c>
      <c r="BH22" s="458">
        <f>BH17+BH18+BH19+BH20+BH21+BH14</f>
        <v/>
      </c>
      <c r="BI22" s="458">
        <f>BI17+BI18+BI19+BI20+BI21+BI14</f>
        <v/>
      </c>
      <c r="BJ22" s="459">
        <f>BJ17+BJ18+BJ19+BJ20+BJ21+BJ14</f>
        <v/>
      </c>
      <c r="BK22" s="459">
        <f>BK17+BK18+BK19+BK20+BK21+BK14</f>
        <v/>
      </c>
      <c r="BL22" s="459">
        <f>BL17+BL18+BL19+BL20+BL21+BL14</f>
        <v/>
      </c>
      <c r="BM22" s="459">
        <f>BM17+BM18+BM19+BM20+BM21+BM14</f>
        <v/>
      </c>
      <c r="BN22" s="459">
        <f>BN17+BN18+BN19+BN20+BN21+BN14</f>
        <v/>
      </c>
      <c r="BO22" s="459">
        <f>BO17+BO18+BO19+BO20+BO21+BO14</f>
        <v/>
      </c>
      <c r="BP22" s="459">
        <f>BP17+BP18+BP19+BP20+BP21+BP14</f>
        <v/>
      </c>
      <c r="BQ22" s="459">
        <f>BQ17+BQ18+BQ19+BQ20+BQ21+BQ14</f>
        <v/>
      </c>
      <c r="BR22" s="459">
        <f>BR17+BR18+BR19+BR20+BR21+BR14</f>
        <v/>
      </c>
      <c r="BS22" s="459">
        <f>BS17+BS18+BS19+BS20+BS21+BS14</f>
        <v/>
      </c>
      <c r="BT22" s="459">
        <f>BT17+BT18+BT19+BT20+BT21+BT14</f>
        <v/>
      </c>
      <c r="BU22" s="459">
        <f>BU17+BU18+BU19+BU20+BU21+BU14</f>
        <v/>
      </c>
      <c r="BV22" s="458">
        <f>BV17+BV18+BV19+BV20+BV21+BV14</f>
        <v/>
      </c>
      <c r="BW22" s="458">
        <f>BW17+BW18+BW19+BW20+BW21+BW14</f>
        <v/>
      </c>
      <c r="BX22" s="458">
        <f>BX17+BX18+BX19+BX20+BX21+BX14</f>
        <v/>
      </c>
      <c r="BY22" s="458">
        <f>BY17+BY18+BY19+BY20+BY21+BY14</f>
        <v/>
      </c>
      <c r="BZ22" s="458">
        <f>BZ17+BZ18+BZ19+BZ20+BZ21+BZ14</f>
        <v/>
      </c>
      <c r="CA22" s="458">
        <f>CA17+CA18+CA19+CA20+CA21+CA14</f>
        <v/>
      </c>
      <c r="CB22" s="458">
        <f>CB17+CB18+CB19+CB20+CB21+CB14</f>
        <v/>
      </c>
      <c r="CC22" s="458">
        <f>CC17+CC18+CC19+CC20+CC21+CC14</f>
        <v/>
      </c>
      <c r="CD22" s="458">
        <f>CD17+CD18+CD19+CD20+CD21+CD14</f>
        <v/>
      </c>
      <c r="CE22" s="458">
        <f>CE17+CE18+CE19+CE20+CE21+CE14</f>
        <v/>
      </c>
      <c r="CF22" s="458">
        <f>CF17+CF18+CF19+CF20+CF21+CF14</f>
        <v/>
      </c>
      <c r="CG22" s="458">
        <f>CG17+CG18+CG19+CG20+CG21+CG14</f>
        <v/>
      </c>
      <c r="CH22" s="459">
        <f>CH17+CH18+CH19+CH20+CH21+CH14</f>
        <v/>
      </c>
      <c r="CI22" s="459">
        <f>CI17+CI18+CI19+CI20+CI21+CI14</f>
        <v/>
      </c>
      <c r="CJ22" s="459">
        <f>CJ17+CJ18+CJ19+CJ20+CJ21+CJ14</f>
        <v/>
      </c>
      <c r="CK22" s="459">
        <f>CK17+CK18+CK19+CK20+CK21+CK14</f>
        <v/>
      </c>
      <c r="CL22" s="459">
        <f>CL17+CL18+CL19+CL20+CL21+CL14</f>
        <v/>
      </c>
      <c r="CM22" s="459">
        <f>CM17+CM18+CM19+CM20+CM21+CM14</f>
        <v/>
      </c>
      <c r="CN22" s="459">
        <f>CN17+CN18+CN19+CN20+CN21+CN14</f>
        <v/>
      </c>
      <c r="CO22" s="459">
        <f>CO17+CO18+CO19+CO20+CO21+CO14</f>
        <v/>
      </c>
      <c r="CP22" s="459">
        <f>CP17+CP18+CP19+CP20+CP21+CP14</f>
        <v/>
      </c>
      <c r="CQ22" s="459">
        <f>CQ17+CQ18+CQ19+CQ20+CQ21+CQ14</f>
        <v/>
      </c>
      <c r="CR22" s="459">
        <f>CR17+CR18+CR19+CR20+CR21+CR14</f>
        <v/>
      </c>
      <c r="CS22" s="459">
        <f>CS17+CS18+CS19+CS20+CS21+CS14</f>
        <v/>
      </c>
      <c r="CT22" s="458">
        <f>CT17+CT18+CT19+CT20+CT21+CT14</f>
        <v/>
      </c>
      <c r="CU22" s="458">
        <f>CU17+CU18+CU19+CU20+CU21+CU14</f>
        <v/>
      </c>
      <c r="CV22" s="458">
        <f>CV17+CV18+CV19+CV20+CV21+CV14</f>
        <v/>
      </c>
      <c r="CW22" s="458">
        <f>CW17+CW18+CW19+CW20+CW21+CW14</f>
        <v/>
      </c>
      <c r="CX22" s="458">
        <f>CX17+CX18+CX19+CX20+CX21+CX14</f>
        <v/>
      </c>
      <c r="CY22" s="458">
        <f>CY17+CY18+CY19+CY20+CY21+CY14</f>
        <v/>
      </c>
      <c r="CZ22" s="458">
        <f>CZ17+CZ18+CZ19+CZ20+CZ21+CZ14</f>
        <v/>
      </c>
      <c r="DA22" s="458">
        <f>DA17+DA18+DA19+DA20+DA21+DA14</f>
        <v/>
      </c>
      <c r="DB22" s="458">
        <f>DB17+DB18+DB19+DB20+DB21+DB14</f>
        <v/>
      </c>
      <c r="DC22" s="458">
        <f>DC17+DC18+DC19+DC20+DC21+DC14</f>
        <v/>
      </c>
      <c r="DD22" s="458">
        <f>DD17+DD18+DD19+DD20+DD21+DD14</f>
        <v/>
      </c>
      <c r="DE22" s="458">
        <f>DE17+DE18+DE19+DE20+DE21+DE14</f>
        <v/>
      </c>
      <c r="DF22" s="459">
        <f>DF17+DF18+DF19+DF20+DF21+DF14</f>
        <v/>
      </c>
      <c r="DG22" s="459">
        <f>DG17+DG18+DG19+DG20+DG21+DG14</f>
        <v/>
      </c>
      <c r="DH22" s="459">
        <f>DH17+DH18+DH19+DH20+DH21+DH14</f>
        <v/>
      </c>
      <c r="DI22" s="459">
        <f>DI17+DI18+DI19+DI20+DI21+DI14</f>
        <v/>
      </c>
      <c r="DJ22" s="459">
        <f>DJ17+DJ18+DJ19+DJ20+DJ21+DJ14</f>
        <v/>
      </c>
      <c r="DK22" s="459">
        <f>DK17+DK18+DK19+DK20+DK21+DK14</f>
        <v/>
      </c>
      <c r="DL22" s="459">
        <f>DL17+DL18+DL19+DL20+DL21+DL14</f>
        <v/>
      </c>
      <c r="DM22" s="459">
        <f>DM17+DM18+DM19+DM20+DM21+DM14</f>
        <v/>
      </c>
      <c r="DN22" s="459">
        <f>DN17+DN18+DN19+DN20+DN21+DN14</f>
        <v/>
      </c>
      <c r="DO22" s="459">
        <f>DO17+DO18+DO19+DO20+DO21+DO14</f>
        <v/>
      </c>
      <c r="DP22" s="459">
        <f>DP17+DP18+DP19+DP20+DP21+DP14</f>
        <v/>
      </c>
      <c r="DQ22" s="459">
        <f>DQ17+DQ18+DQ19+DQ20+DQ21+DQ14</f>
        <v/>
      </c>
      <c r="DR22" s="458">
        <f>DR17+DR18+DR19+DR20+DR21+DR14</f>
        <v/>
      </c>
      <c r="DS22" s="458">
        <f>DS17+DS18+DS19+DS20+DS21+DS14</f>
        <v/>
      </c>
      <c r="DT22" s="458">
        <f>DT17+DT18+DT19+DT20+DT21+DT14</f>
        <v/>
      </c>
      <c r="DU22" s="458">
        <f>DU17+DU18+DU19+DU20+DU21+DU14</f>
        <v/>
      </c>
      <c r="DV22" s="458">
        <f>DV17+DV18+DV19+DV20+DV21+DV14</f>
        <v/>
      </c>
      <c r="DW22" s="458">
        <f>DW17+DW18+DW19+DW20+DW21+DW14</f>
        <v/>
      </c>
      <c r="DX22" s="458">
        <f>DX17+DX18+DX19+DX20+DX21+DX14</f>
        <v/>
      </c>
      <c r="DY22" s="458">
        <f>DY17+DY18+DY19+DY20+DY21+DY14</f>
        <v/>
      </c>
      <c r="DZ22" s="458">
        <f>DZ17+DZ18+DZ19+DZ20+DZ21+DZ14</f>
        <v/>
      </c>
      <c r="EA22" s="458">
        <f>EA17+EA18+EA19+EA20+EA21+EA14</f>
        <v/>
      </c>
      <c r="EB22" s="458">
        <f>EB17+EB18+EB19+EB20+EB21+EB14</f>
        <v/>
      </c>
      <c r="EC22" s="458">
        <f>EC17+EC18+EC19+EC20+EC21+EC14</f>
        <v/>
      </c>
      <c r="ED22" s="459">
        <f>ED17+ED18+ED19+ED20+ED21+ED14</f>
        <v/>
      </c>
      <c r="EE22" s="459">
        <f>EE17+EE18+EE19+EE20+EE21+EE14</f>
        <v/>
      </c>
      <c r="EF22" s="459">
        <f>EF17+EF18+EF19+EF20+EF21+EF14</f>
        <v/>
      </c>
      <c r="EG22" s="459">
        <f>EG17+EG18+EG19+EG20+EG21+EG14</f>
        <v/>
      </c>
      <c r="EH22" s="459">
        <f>EH17+EH18+EH19+EH20+EH21+EH14</f>
        <v/>
      </c>
      <c r="EI22" s="459">
        <f>EI17+EI18+EI19+EI20+EI21+EI14</f>
        <v/>
      </c>
      <c r="EJ22" s="459">
        <f>EJ17+EJ18+EJ19+EJ20+EJ21+EJ14</f>
        <v/>
      </c>
      <c r="EK22" s="459">
        <f>EK17+EK18+EK19+EK20+EK21+EK14</f>
        <v/>
      </c>
      <c r="EL22" s="459">
        <f>EL17+EL18+EL19+EL20+EL21+EL14</f>
        <v/>
      </c>
      <c r="EM22" s="459">
        <f>EM17+EM18+EM19+EM20+EM21+EM14</f>
        <v/>
      </c>
      <c r="EN22" s="459">
        <f>EN17+EN18+EN19+EN20+EN21+EN14</f>
        <v/>
      </c>
      <c r="EO22" s="459">
        <f>EO17+EO18+EO19+EO20+EO21+EO14</f>
        <v/>
      </c>
      <c r="EP22" s="458">
        <f>EP17+EP18+EP19+EP20+EP21+EP14</f>
        <v/>
      </c>
      <c r="EQ22" s="458">
        <f>EQ17+EQ18+EQ19+EQ20+EQ21+EQ14</f>
        <v/>
      </c>
      <c r="ER22" s="458">
        <f>ER17+ER18+ER19+ER20+ER21+ER14</f>
        <v/>
      </c>
      <c r="ES22" s="458">
        <f>ES17+ES18+ES19+ES20+ES21+ES14</f>
        <v/>
      </c>
      <c r="ET22" s="458">
        <f>ET17+ET18+ET19+ET20+ET21+ET14</f>
        <v/>
      </c>
      <c r="EU22" s="458">
        <f>EU17+EU18+EU19+EU20+EU21+EU14</f>
        <v/>
      </c>
      <c r="EV22" s="458">
        <f>EV17+EV18+EV19+EV20+EV21+EV14</f>
        <v/>
      </c>
      <c r="EW22" s="458">
        <f>EW17+EW18+EW19+EW20+EW21+EW14</f>
        <v/>
      </c>
      <c r="EX22" s="458">
        <f>EX17+EX18+EX19+EX20+EX21+EX14</f>
        <v/>
      </c>
      <c r="EY22" s="458">
        <f>EY17+EY18+EY19+EY20+EY21+EY14</f>
        <v/>
      </c>
      <c r="EZ22" s="458">
        <f>EZ17+EZ18+EZ19+EZ20+EZ21+EZ14</f>
        <v/>
      </c>
      <c r="FA22" s="458">
        <f>FA17+FA18+FA19+FA20+FA21+FA14</f>
        <v/>
      </c>
      <c r="FB22" s="459">
        <f>FB17+FB18+FB19+FB20+FB21+FB14</f>
        <v/>
      </c>
      <c r="FC22" s="459">
        <f>FC17+FC18+FC19+FC20+FC21+FC14</f>
        <v/>
      </c>
      <c r="FD22" s="459">
        <f>FD17+FD18+FD19+FD20+FD21+FD14</f>
        <v/>
      </c>
      <c r="FE22" s="459">
        <f>FE17+FE18+FE19+FE20+FE21+FE14</f>
        <v/>
      </c>
      <c r="FF22" s="459">
        <f>FF17+FF18+FF19+FF20+FF21+FF14</f>
        <v/>
      </c>
      <c r="FG22" s="459">
        <f>FG17+FG18+FG19+FG20+FG21+FG14</f>
        <v/>
      </c>
      <c r="FH22" s="459">
        <f>FH17+FH18+FH19+FH20+FH21+FH14</f>
        <v/>
      </c>
      <c r="FI22" s="459">
        <f>FI17+FI18+FI19+FI20+FI21+FI14</f>
        <v/>
      </c>
      <c r="FJ22" s="459">
        <f>FJ17+FJ18+FJ19+FJ20+FJ21+FJ14</f>
        <v/>
      </c>
      <c r="FK22" s="459">
        <f>FK17+FK18+FK19+FK20+FK21+FK14</f>
        <v/>
      </c>
      <c r="FL22" s="459">
        <f>FL17+FL18+FL19+FL20+FL21+FL14</f>
        <v/>
      </c>
      <c r="FM22" s="459">
        <f>FM17+FM18+FM19+FM20+FM21+FM14</f>
        <v/>
      </c>
      <c r="FN22" s="458">
        <f>FN17+FN18+FN19+FN20+FN21+FN14</f>
        <v/>
      </c>
      <c r="FO22" s="458">
        <f>FO17+FO18+FO19+FO20+FO21+FO14</f>
        <v/>
      </c>
      <c r="FP22" s="458">
        <f>FP17+FP18+FP19+FP20+FP21+FP14</f>
        <v/>
      </c>
      <c r="FQ22" s="458">
        <f>FQ17+FQ18+FQ19+FQ20+FQ21+FQ14</f>
        <v/>
      </c>
      <c r="FR22" s="458">
        <f>FR17+FR18+FR19+FR20+FR21+FR14</f>
        <v/>
      </c>
      <c r="FS22" s="458">
        <f>FS17+FS18+FS19+FS20+FS21+FS14</f>
        <v/>
      </c>
      <c r="FT22" s="458">
        <f>FT17+FT18+FT19+FT20+FT21+FT14</f>
        <v/>
      </c>
      <c r="FU22" s="458">
        <f>FU17+FU18+FU19+FU20+FU21+FU14</f>
        <v/>
      </c>
      <c r="FV22" s="458">
        <f>FV17+FV18+FV19+FV20+FV21+FV14</f>
        <v/>
      </c>
      <c r="FW22" s="458">
        <f>FW17+FW18+FW19+FW20+FW21+FW14</f>
        <v/>
      </c>
      <c r="FX22" s="458">
        <f>FX17+FX18+FX19+FX20+FX21+FX14</f>
        <v/>
      </c>
      <c r="FY22" s="458">
        <f>FY17+FY18+FY19+FY20+FY21+FY14</f>
        <v/>
      </c>
      <c r="FZ22" s="306" t="n"/>
    </row>
    <row r="23" ht="15" customHeight="1" s="307">
      <c r="A23" s="321" t="inlineStr">
        <is>
          <t xml:space="preserve">    Legacy Headcount Expenses</t>
        </is>
      </c>
      <c r="B23" s="458" t="n">
        <v>0</v>
      </c>
      <c r="C23" s="458" t="n">
        <v>0</v>
      </c>
      <c r="D23" s="458" t="n">
        <v>0</v>
      </c>
      <c r="E23" s="458" t="n">
        <v>1.2587</v>
      </c>
      <c r="F23" s="458" t="n">
        <v>1.0927</v>
      </c>
      <c r="G23" s="458" t="n">
        <v>0.9308999999999999</v>
      </c>
      <c r="H23" s="458" t="n">
        <v>2.1106</v>
      </c>
      <c r="I23" s="458" t="n">
        <v>1.7807</v>
      </c>
      <c r="J23" s="458" t="n">
        <v>1.4592</v>
      </c>
      <c r="K23" s="458" t="n">
        <v>2.626</v>
      </c>
      <c r="L23" s="458" t="n">
        <v>2.21</v>
      </c>
      <c r="M23" s="458" t="n">
        <v>3.083</v>
      </c>
      <c r="N23" s="459" t="n">
        <v>2.5195</v>
      </c>
      <c r="O23" s="459" t="n">
        <v>2.06</v>
      </c>
      <c r="P23" s="459" t="n">
        <v>1.6124</v>
      </c>
      <c r="Q23" s="459" t="n">
        <v>2.4254</v>
      </c>
      <c r="R23" s="459" t="n">
        <v>1.9842</v>
      </c>
      <c r="S23" s="459" t="n">
        <v>1.5545</v>
      </c>
      <c r="T23" s="459" t="n">
        <v>1.2214</v>
      </c>
      <c r="U23" s="459" t="n">
        <v>0.9492</v>
      </c>
      <c r="V23" s="459" t="n">
        <v>0.6842</v>
      </c>
      <c r="W23" s="459" t="n">
        <v>0.4261</v>
      </c>
      <c r="X23" s="459" t="n">
        <v>0.3161</v>
      </c>
      <c r="Y23" s="459" t="n">
        <v>1.3889</v>
      </c>
      <c r="Z23" s="458" t="n">
        <v>1.179</v>
      </c>
      <c r="AA23" s="458" t="n">
        <v>0.9744</v>
      </c>
      <c r="AB23" s="458" t="n">
        <v>0.7751</v>
      </c>
      <c r="AC23" s="458" t="n">
        <v>0.581</v>
      </c>
      <c r="AD23" s="458" t="n">
        <v>0.4408</v>
      </c>
      <c r="AE23" s="458" t="n">
        <v>1.4842</v>
      </c>
      <c r="AF23" s="458" t="n">
        <v>1.2745</v>
      </c>
      <c r="AG23" s="458" t="n">
        <v>1.0701</v>
      </c>
      <c r="AH23" s="458" t="n">
        <v>0.871</v>
      </c>
      <c r="AI23" s="458" t="n">
        <v>0.6771</v>
      </c>
      <c r="AJ23" s="458" t="n">
        <v>0.4882</v>
      </c>
      <c r="AK23" s="458" t="n">
        <v>1.4842</v>
      </c>
      <c r="AL23" s="459" t="n">
        <v>1.2745</v>
      </c>
      <c r="AM23" s="459" t="n">
        <v>1.0701</v>
      </c>
      <c r="AN23" s="459" t="n">
        <v>0.871</v>
      </c>
      <c r="AO23" s="459" t="n">
        <v>0.6771</v>
      </c>
      <c r="AP23" s="459" t="n">
        <v>0.4882</v>
      </c>
      <c r="AQ23" s="459" t="n">
        <v>0.3042</v>
      </c>
      <c r="AR23" s="459" t="n">
        <v>0.2501</v>
      </c>
      <c r="AS23" s="459" t="n">
        <v>0.1974</v>
      </c>
      <c r="AT23" s="459" t="n">
        <v>0.1461</v>
      </c>
      <c r="AU23" s="459" t="n">
        <v>0.0961</v>
      </c>
      <c r="AV23" s="459" t="n">
        <v>0.0474</v>
      </c>
      <c r="AW23" s="459" t="n">
        <v>0</v>
      </c>
      <c r="AX23" s="458" t="n">
        <v>0</v>
      </c>
      <c r="AY23" s="458" t="n">
        <v>0</v>
      </c>
      <c r="AZ23" s="458" t="n">
        <v>0</v>
      </c>
      <c r="BA23" s="458" t="n">
        <v>0</v>
      </c>
      <c r="BB23" s="458" t="n">
        <v>0</v>
      </c>
      <c r="BC23" s="458" t="n">
        <v>0</v>
      </c>
      <c r="BD23" s="458" t="n">
        <v>0</v>
      </c>
      <c r="BE23" s="458" t="n">
        <v>0</v>
      </c>
      <c r="BF23" s="458" t="n">
        <v>0</v>
      </c>
      <c r="BG23" s="458" t="n">
        <v>0</v>
      </c>
      <c r="BH23" s="458" t="n">
        <v>0</v>
      </c>
      <c r="BI23" s="458" t="n">
        <v>0</v>
      </c>
      <c r="BJ23" s="459" t="n">
        <v>0</v>
      </c>
      <c r="BK23" s="459" t="n">
        <v>0</v>
      </c>
      <c r="BL23" s="459" t="n">
        <v>0</v>
      </c>
      <c r="BM23" s="459" t="n">
        <v>0</v>
      </c>
      <c r="BN23" s="459" t="n">
        <v>0</v>
      </c>
      <c r="BO23" s="459" t="n">
        <v>0</v>
      </c>
      <c r="BP23" s="459" t="n">
        <v>0</v>
      </c>
      <c r="BQ23" s="459" t="n">
        <v>0</v>
      </c>
      <c r="BR23" s="459" t="n">
        <v>0</v>
      </c>
      <c r="BS23" s="459" t="n">
        <v>0</v>
      </c>
      <c r="BT23" s="459" t="n">
        <v>0</v>
      </c>
      <c r="BU23" s="459" t="n">
        <v>0</v>
      </c>
      <c r="BV23" s="458" t="n">
        <v>0</v>
      </c>
      <c r="BW23" s="458" t="n">
        <v>0</v>
      </c>
      <c r="BX23" s="458" t="n">
        <v>0</v>
      </c>
      <c r="BY23" s="458" t="n">
        <v>0</v>
      </c>
      <c r="BZ23" s="458" t="n">
        <v>0</v>
      </c>
      <c r="CA23" s="458" t="n">
        <v>0</v>
      </c>
      <c r="CB23" s="458" t="n">
        <v>0</v>
      </c>
      <c r="CC23" s="458" t="n">
        <v>0</v>
      </c>
      <c r="CD23" s="458" t="n">
        <v>0</v>
      </c>
      <c r="CE23" s="458" t="n">
        <v>0</v>
      </c>
      <c r="CF23" s="458" t="n">
        <v>0</v>
      </c>
      <c r="CG23" s="458" t="n">
        <v>0</v>
      </c>
      <c r="CH23" s="459" t="n">
        <v>0</v>
      </c>
      <c r="CI23" s="459" t="n">
        <v>0</v>
      </c>
      <c r="CJ23" s="459" t="n">
        <v>0</v>
      </c>
      <c r="CK23" s="459" t="n">
        <v>0</v>
      </c>
      <c r="CL23" s="459" t="n">
        <v>0</v>
      </c>
      <c r="CM23" s="459" t="n">
        <v>0</v>
      </c>
      <c r="CN23" s="459" t="n">
        <v>0</v>
      </c>
      <c r="CO23" s="459" t="n">
        <v>0</v>
      </c>
      <c r="CP23" s="459" t="n">
        <v>0</v>
      </c>
      <c r="CQ23" s="459" t="n">
        <v>0</v>
      </c>
      <c r="CR23" s="459" t="n">
        <v>0</v>
      </c>
      <c r="CS23" s="459" t="n">
        <v>0</v>
      </c>
      <c r="CT23" s="458" t="n">
        <v>0</v>
      </c>
      <c r="CU23" s="458" t="n">
        <v>0</v>
      </c>
      <c r="CV23" s="458" t="n">
        <v>0</v>
      </c>
      <c r="CW23" s="458" t="n">
        <v>0</v>
      </c>
      <c r="CX23" s="458" t="n">
        <v>0</v>
      </c>
      <c r="CY23" s="458" t="n">
        <v>0</v>
      </c>
      <c r="CZ23" s="458" t="n">
        <v>0</v>
      </c>
      <c r="DA23" s="458" t="n">
        <v>0</v>
      </c>
      <c r="DB23" s="458" t="n">
        <v>0</v>
      </c>
      <c r="DC23" s="458" t="n">
        <v>0</v>
      </c>
      <c r="DD23" s="458" t="n">
        <v>0</v>
      </c>
      <c r="DE23" s="458" t="n">
        <v>0</v>
      </c>
      <c r="DF23" s="459" t="n">
        <v>0</v>
      </c>
      <c r="DG23" s="459" t="n">
        <v>0</v>
      </c>
      <c r="DH23" s="459" t="n">
        <v>0</v>
      </c>
      <c r="DI23" s="459" t="n">
        <v>0</v>
      </c>
      <c r="DJ23" s="459" t="n">
        <v>0</v>
      </c>
      <c r="DK23" s="459" t="n">
        <v>0</v>
      </c>
      <c r="DL23" s="459" t="n">
        <v>0</v>
      </c>
      <c r="DM23" s="459" t="n">
        <v>0</v>
      </c>
      <c r="DN23" s="459" t="n">
        <v>0</v>
      </c>
      <c r="DO23" s="459" t="n">
        <v>0</v>
      </c>
      <c r="DP23" s="459" t="n">
        <v>0</v>
      </c>
      <c r="DQ23" s="459" t="n">
        <v>0</v>
      </c>
      <c r="DR23" s="458" t="n">
        <v>0</v>
      </c>
      <c r="DS23" s="458" t="n">
        <v>0</v>
      </c>
      <c r="DT23" s="458" t="n">
        <v>0</v>
      </c>
      <c r="DU23" s="458" t="n">
        <v>0</v>
      </c>
      <c r="DV23" s="458" t="n">
        <v>0</v>
      </c>
      <c r="DW23" s="458" t="n">
        <v>0</v>
      </c>
      <c r="DX23" s="458" t="n">
        <v>0</v>
      </c>
      <c r="DY23" s="458" t="n">
        <v>0</v>
      </c>
      <c r="DZ23" s="458" t="n">
        <v>0</v>
      </c>
      <c r="EA23" s="458" t="n">
        <v>0</v>
      </c>
      <c r="EB23" s="458" t="n">
        <v>0</v>
      </c>
      <c r="EC23" s="458" t="n">
        <v>0</v>
      </c>
      <c r="ED23" s="459" t="n">
        <v>0</v>
      </c>
      <c r="EE23" s="459" t="n">
        <v>0</v>
      </c>
      <c r="EF23" s="459" t="n">
        <v>0</v>
      </c>
      <c r="EG23" s="459" t="n">
        <v>0</v>
      </c>
      <c r="EH23" s="459" t="n">
        <v>0</v>
      </c>
      <c r="EI23" s="459" t="n">
        <v>0</v>
      </c>
      <c r="EJ23" s="459" t="n">
        <v>0</v>
      </c>
      <c r="EK23" s="459" t="n">
        <v>0</v>
      </c>
      <c r="EL23" s="459" t="n">
        <v>0</v>
      </c>
      <c r="EM23" s="459" t="n">
        <v>0</v>
      </c>
      <c r="EN23" s="459" t="n">
        <v>0</v>
      </c>
      <c r="EO23" s="459" t="n">
        <v>0</v>
      </c>
      <c r="EP23" s="458" t="n">
        <v>0</v>
      </c>
      <c r="EQ23" s="458" t="n">
        <v>0</v>
      </c>
      <c r="ER23" s="458" t="n">
        <v>0</v>
      </c>
      <c r="ES23" s="458" t="n">
        <v>0</v>
      </c>
      <c r="ET23" s="458" t="n">
        <v>0</v>
      </c>
      <c r="EU23" s="458" t="n">
        <v>0</v>
      </c>
      <c r="EV23" s="458" t="n">
        <v>0</v>
      </c>
      <c r="EW23" s="458" t="n">
        <v>0</v>
      </c>
      <c r="EX23" s="458" t="n">
        <v>0</v>
      </c>
      <c r="EY23" s="458" t="n">
        <v>0</v>
      </c>
      <c r="EZ23" s="458" t="n">
        <v>0</v>
      </c>
      <c r="FA23" s="458" t="n">
        <v>0</v>
      </c>
      <c r="FB23" s="459" t="n">
        <v>0</v>
      </c>
      <c r="FC23" s="459" t="n">
        <v>0</v>
      </c>
      <c r="FD23" s="459" t="n">
        <v>0</v>
      </c>
      <c r="FE23" s="459" t="n">
        <v>0</v>
      </c>
      <c r="FF23" s="459" t="n">
        <v>0</v>
      </c>
      <c r="FG23" s="459" t="n">
        <v>0</v>
      </c>
      <c r="FH23" s="459" t="n">
        <v>0</v>
      </c>
      <c r="FI23" s="459" t="n">
        <v>0</v>
      </c>
      <c r="FJ23" s="459" t="n">
        <v>0</v>
      </c>
      <c r="FK23" s="459" t="n">
        <v>0</v>
      </c>
      <c r="FL23" s="459" t="n">
        <v>0</v>
      </c>
      <c r="FM23" s="459" t="n">
        <v>0</v>
      </c>
      <c r="FN23" s="458" t="n">
        <v>0</v>
      </c>
      <c r="FO23" s="458" t="n">
        <v>0</v>
      </c>
      <c r="FP23" s="458" t="n">
        <v>0</v>
      </c>
      <c r="FQ23" s="458" t="n">
        <v>0</v>
      </c>
      <c r="FR23" s="458" t="n">
        <v>0</v>
      </c>
      <c r="FS23" s="458" t="n">
        <v>0</v>
      </c>
      <c r="FT23" s="458" t="n">
        <v>0</v>
      </c>
      <c r="FU23" s="458" t="n">
        <v>0</v>
      </c>
      <c r="FV23" s="458" t="n">
        <v>0</v>
      </c>
      <c r="FW23" s="458" t="n">
        <v>0</v>
      </c>
      <c r="FX23" s="458" t="n">
        <v>0</v>
      </c>
      <c r="FY23" s="458" t="n">
        <v>0</v>
      </c>
      <c r="FZ23" s="306" t="n"/>
    </row>
    <row r="24" ht="15" customHeight="1" s="307">
      <c r="A24" s="321" t="inlineStr">
        <is>
          <t xml:space="preserve">    Bonus Pool</t>
        </is>
      </c>
      <c r="B24" s="458">
        <f>'_Engine_R50'!V31</f>
        <v/>
      </c>
      <c r="C24" s="458">
        <f>'_Engine_R50'!V32</f>
        <v/>
      </c>
      <c r="D24" s="458">
        <f>'_Engine_R50'!V33</f>
        <v/>
      </c>
      <c r="E24" s="458">
        <f>'_Engine_R50'!V34</f>
        <v/>
      </c>
      <c r="F24" s="458">
        <f>'_Engine_R50'!V35</f>
        <v/>
      </c>
      <c r="G24" s="458">
        <f>'_Engine_R50'!V36</f>
        <v/>
      </c>
      <c r="H24" s="458">
        <f>'_Engine_R50'!V37</f>
        <v/>
      </c>
      <c r="I24" s="458">
        <f>'_Engine_R50'!V38</f>
        <v/>
      </c>
      <c r="J24" s="458">
        <f>'_Engine_R50'!V39</f>
        <v/>
      </c>
      <c r="K24" s="458">
        <f>'_Engine_R50'!V40</f>
        <v/>
      </c>
      <c r="L24" s="458">
        <f>'_Engine_R50'!V41</f>
        <v/>
      </c>
      <c r="M24" s="458">
        <f>'_Engine_R50'!V42</f>
        <v/>
      </c>
      <c r="N24" s="459">
        <f>'_Engine_R50'!V43</f>
        <v/>
      </c>
      <c r="O24" s="459">
        <f>'_Engine_R50'!V44</f>
        <v/>
      </c>
      <c r="P24" s="459">
        <f>'_Engine_R50'!V45</f>
        <v/>
      </c>
      <c r="Q24" s="459">
        <f>'_Engine_R50'!V46</f>
        <v/>
      </c>
      <c r="R24" s="459">
        <f>'_Engine_R50'!V47</f>
        <v/>
      </c>
      <c r="S24" s="459">
        <f>'_Engine_R50'!V48</f>
        <v/>
      </c>
      <c r="T24" s="459">
        <f>'_Engine_R50'!V49</f>
        <v/>
      </c>
      <c r="U24" s="459">
        <f>'_Engine_R50'!V50</f>
        <v/>
      </c>
      <c r="V24" s="459">
        <f>'_Engine_R50'!V51</f>
        <v/>
      </c>
      <c r="W24" s="459">
        <f>'_Engine_R50'!V52</f>
        <v/>
      </c>
      <c r="X24" s="459">
        <f>'_Engine_R50'!V53</f>
        <v/>
      </c>
      <c r="Y24" s="459">
        <f>'_Engine_R50'!V54</f>
        <v/>
      </c>
      <c r="Z24" s="458">
        <f>'_Engine_R50'!V55</f>
        <v/>
      </c>
      <c r="AA24" s="458">
        <f>'_Engine_R50'!V56</f>
        <v/>
      </c>
      <c r="AB24" s="458">
        <f>'_Engine_R50'!V57</f>
        <v/>
      </c>
      <c r="AC24" s="458">
        <f>'_Engine_R50'!V58</f>
        <v/>
      </c>
      <c r="AD24" s="458">
        <f>'_Engine_R50'!V59</f>
        <v/>
      </c>
      <c r="AE24" s="458">
        <f>'_Engine_R50'!V60</f>
        <v/>
      </c>
      <c r="AF24" s="458">
        <f>'_Engine_R50'!V61</f>
        <v/>
      </c>
      <c r="AG24" s="458">
        <f>'_Engine_R50'!V62</f>
        <v/>
      </c>
      <c r="AH24" s="458">
        <f>'_Engine_R50'!V63</f>
        <v/>
      </c>
      <c r="AI24" s="458">
        <f>'_Engine_R50'!V64</f>
        <v/>
      </c>
      <c r="AJ24" s="458">
        <f>'_Engine_R50'!V65</f>
        <v/>
      </c>
      <c r="AK24" s="458">
        <f>'_Engine_R50'!V66</f>
        <v/>
      </c>
      <c r="AL24" s="459">
        <f>'_Engine_R50'!V67</f>
        <v/>
      </c>
      <c r="AM24" s="459">
        <f>'_Engine_R50'!V68</f>
        <v/>
      </c>
      <c r="AN24" s="459">
        <f>'_Engine_R50'!V69</f>
        <v/>
      </c>
      <c r="AO24" s="459">
        <f>'_Engine_R50'!V70</f>
        <v/>
      </c>
      <c r="AP24" s="459">
        <f>'_Engine_R50'!V71</f>
        <v/>
      </c>
      <c r="AQ24" s="459">
        <f>'_Engine_R50'!V72</f>
        <v/>
      </c>
      <c r="AR24" s="459">
        <f>'_Engine_R50'!V73</f>
        <v/>
      </c>
      <c r="AS24" s="459">
        <f>'_Engine_R50'!V74</f>
        <v/>
      </c>
      <c r="AT24" s="459">
        <f>'_Engine_R50'!V75</f>
        <v/>
      </c>
      <c r="AU24" s="459">
        <f>'_Engine_R50'!V76</f>
        <v/>
      </c>
      <c r="AV24" s="459">
        <f>'_Engine_R50'!V77</f>
        <v/>
      </c>
      <c r="AW24" s="459">
        <f>'_Engine_R50'!V78</f>
        <v/>
      </c>
      <c r="AX24" s="458">
        <f>'_Engine_R50'!V79</f>
        <v/>
      </c>
      <c r="AY24" s="458">
        <f>'_Engine_R50'!V80</f>
        <v/>
      </c>
      <c r="AZ24" s="458">
        <f>'_Engine_R50'!V81</f>
        <v/>
      </c>
      <c r="BA24" s="458">
        <f>'_Engine_R50'!V82</f>
        <v/>
      </c>
      <c r="BB24" s="458">
        <f>'_Engine_R50'!V83</f>
        <v/>
      </c>
      <c r="BC24" s="458">
        <f>'_Engine_R50'!V84</f>
        <v/>
      </c>
      <c r="BD24" s="458">
        <f>'_Engine_R50'!V85</f>
        <v/>
      </c>
      <c r="BE24" s="458">
        <f>'_Engine_R50'!V86</f>
        <v/>
      </c>
      <c r="BF24" s="458">
        <f>'_Engine_R50'!V87</f>
        <v/>
      </c>
      <c r="BG24" s="458">
        <f>'_Engine_R50'!V88</f>
        <v/>
      </c>
      <c r="BH24" s="458">
        <f>'_Engine_R50'!V89</f>
        <v/>
      </c>
      <c r="BI24" s="458">
        <f>'_Engine_R50'!V90</f>
        <v/>
      </c>
      <c r="BJ24" s="459">
        <f>'_Engine_R50'!V91</f>
        <v/>
      </c>
      <c r="BK24" s="459">
        <f>'_Engine_R50'!V92</f>
        <v/>
      </c>
      <c r="BL24" s="459">
        <f>'_Engine_R50'!V93</f>
        <v/>
      </c>
      <c r="BM24" s="459">
        <f>'_Engine_R50'!V94</f>
        <v/>
      </c>
      <c r="BN24" s="459">
        <f>'_Engine_R50'!V95</f>
        <v/>
      </c>
      <c r="BO24" s="459">
        <f>'_Engine_R50'!V96</f>
        <v/>
      </c>
      <c r="BP24" s="459">
        <f>'_Engine_R50'!V97</f>
        <v/>
      </c>
      <c r="BQ24" s="459">
        <f>'_Engine_R50'!V98</f>
        <v/>
      </c>
      <c r="BR24" s="459">
        <f>'_Engine_R50'!V99</f>
        <v/>
      </c>
      <c r="BS24" s="459">
        <f>'_Engine_R50'!V100</f>
        <v/>
      </c>
      <c r="BT24" s="459">
        <f>'_Engine_R50'!V101</f>
        <v/>
      </c>
      <c r="BU24" s="459">
        <f>'_Engine_R50'!V102</f>
        <v/>
      </c>
      <c r="BV24" s="458">
        <f>'_Engine_R50'!V103</f>
        <v/>
      </c>
      <c r="BW24" s="458">
        <f>'_Engine_R50'!V104</f>
        <v/>
      </c>
      <c r="BX24" s="458">
        <f>'_Engine_R50'!V105</f>
        <v/>
      </c>
      <c r="BY24" s="458">
        <f>'_Engine_R50'!V106</f>
        <v/>
      </c>
      <c r="BZ24" s="458">
        <f>'_Engine_R50'!V107</f>
        <v/>
      </c>
      <c r="CA24" s="458">
        <f>'_Engine_R50'!V108</f>
        <v/>
      </c>
      <c r="CB24" s="458">
        <f>'_Engine_R50'!V109</f>
        <v/>
      </c>
      <c r="CC24" s="458">
        <f>'_Engine_R50'!V110</f>
        <v/>
      </c>
      <c r="CD24" s="458">
        <f>'_Engine_R50'!V111</f>
        <v/>
      </c>
      <c r="CE24" s="458">
        <f>'_Engine_R50'!V112</f>
        <v/>
      </c>
      <c r="CF24" s="458">
        <f>'_Engine_R50'!V113</f>
        <v/>
      </c>
      <c r="CG24" s="458">
        <f>'_Engine_R50'!V114</f>
        <v/>
      </c>
      <c r="CH24" s="459">
        <f>'_Engine_R50'!V115</f>
        <v/>
      </c>
      <c r="CI24" s="459">
        <f>'_Engine_R50'!V116</f>
        <v/>
      </c>
      <c r="CJ24" s="459">
        <f>'_Engine_R50'!V117</f>
        <v/>
      </c>
      <c r="CK24" s="459">
        <f>'_Engine_R50'!V118</f>
        <v/>
      </c>
      <c r="CL24" s="459">
        <f>'_Engine_R50'!V119</f>
        <v/>
      </c>
      <c r="CM24" s="459">
        <f>'_Engine_R50'!V120</f>
        <v/>
      </c>
      <c r="CN24" s="459">
        <f>'_Engine_R50'!V121</f>
        <v/>
      </c>
      <c r="CO24" s="459">
        <f>'_Engine_R50'!V122</f>
        <v/>
      </c>
      <c r="CP24" s="459">
        <f>'_Engine_R50'!V123</f>
        <v/>
      </c>
      <c r="CQ24" s="459">
        <f>'_Engine_R50'!V124</f>
        <v/>
      </c>
      <c r="CR24" s="459">
        <f>'_Engine_R50'!V125</f>
        <v/>
      </c>
      <c r="CS24" s="459">
        <f>'_Engine_R50'!V126</f>
        <v/>
      </c>
      <c r="CT24" s="458">
        <f>'_Engine_R50'!V127</f>
        <v/>
      </c>
      <c r="CU24" s="458">
        <f>'_Engine_R50'!V128</f>
        <v/>
      </c>
      <c r="CV24" s="458">
        <f>'_Engine_R50'!V129</f>
        <v/>
      </c>
      <c r="CW24" s="458">
        <f>'_Engine_R50'!V130</f>
        <v/>
      </c>
      <c r="CX24" s="458">
        <f>'_Engine_R50'!V131</f>
        <v/>
      </c>
      <c r="CY24" s="458">
        <f>'_Engine_R50'!V132</f>
        <v/>
      </c>
      <c r="CZ24" s="458">
        <f>'_Engine_R50'!V133</f>
        <v/>
      </c>
      <c r="DA24" s="458">
        <f>'_Engine_R50'!V134</f>
        <v/>
      </c>
      <c r="DB24" s="458">
        <f>'_Engine_R50'!V135</f>
        <v/>
      </c>
      <c r="DC24" s="458">
        <f>'_Engine_R50'!V136</f>
        <v/>
      </c>
      <c r="DD24" s="458">
        <f>'_Engine_R50'!V137</f>
        <v/>
      </c>
      <c r="DE24" s="458">
        <f>'_Engine_R50'!V138</f>
        <v/>
      </c>
      <c r="DF24" s="459">
        <f>'_Engine_R50'!V139</f>
        <v/>
      </c>
      <c r="DG24" s="459">
        <f>'_Engine_R50'!V140</f>
        <v/>
      </c>
      <c r="DH24" s="459">
        <f>'_Engine_R50'!V141</f>
        <v/>
      </c>
      <c r="DI24" s="459">
        <f>'_Engine_R50'!V142</f>
        <v/>
      </c>
      <c r="DJ24" s="459">
        <f>'_Engine_R50'!V143</f>
        <v/>
      </c>
      <c r="DK24" s="459">
        <f>'_Engine_R50'!V144</f>
        <v/>
      </c>
      <c r="DL24" s="459">
        <f>'_Engine_R50'!V145</f>
        <v/>
      </c>
      <c r="DM24" s="459">
        <f>'_Engine_R50'!V146</f>
        <v/>
      </c>
      <c r="DN24" s="459">
        <f>'_Engine_R50'!V147</f>
        <v/>
      </c>
      <c r="DO24" s="459">
        <f>'_Engine_R50'!V148</f>
        <v/>
      </c>
      <c r="DP24" s="459">
        <f>'_Engine_R50'!V149</f>
        <v/>
      </c>
      <c r="DQ24" s="459">
        <f>'_Engine_R50'!V150</f>
        <v/>
      </c>
      <c r="DR24" s="458">
        <f>'_Engine_R50'!V151</f>
        <v/>
      </c>
      <c r="DS24" s="458">
        <f>'_Engine_R50'!V152</f>
        <v/>
      </c>
      <c r="DT24" s="458">
        <f>'_Engine_R50'!V153</f>
        <v/>
      </c>
      <c r="DU24" s="458">
        <f>'_Engine_R50'!V154</f>
        <v/>
      </c>
      <c r="DV24" s="458">
        <f>'_Engine_R50'!V155</f>
        <v/>
      </c>
      <c r="DW24" s="458">
        <f>'_Engine_R50'!V156</f>
        <v/>
      </c>
      <c r="DX24" s="458">
        <f>'_Engine_R50'!V157</f>
        <v/>
      </c>
      <c r="DY24" s="458">
        <f>'_Engine_R50'!V158</f>
        <v/>
      </c>
      <c r="DZ24" s="458">
        <f>'_Engine_R50'!V159</f>
        <v/>
      </c>
      <c r="EA24" s="458">
        <f>'_Engine_R50'!V160</f>
        <v/>
      </c>
      <c r="EB24" s="458">
        <f>'_Engine_R50'!V161</f>
        <v/>
      </c>
      <c r="EC24" s="458">
        <f>'_Engine_R50'!V162</f>
        <v/>
      </c>
      <c r="ED24" s="459">
        <f>'_Engine_R50'!V163</f>
        <v/>
      </c>
      <c r="EE24" s="459">
        <f>'_Engine_R50'!V164</f>
        <v/>
      </c>
      <c r="EF24" s="459">
        <f>'_Engine_R50'!V165</f>
        <v/>
      </c>
      <c r="EG24" s="459">
        <f>'_Engine_R50'!V166</f>
        <v/>
      </c>
      <c r="EH24" s="459">
        <f>'_Engine_R50'!V167</f>
        <v/>
      </c>
      <c r="EI24" s="459">
        <f>'_Engine_R50'!V168</f>
        <v/>
      </c>
      <c r="EJ24" s="459">
        <f>'_Engine_R50'!V169</f>
        <v/>
      </c>
      <c r="EK24" s="459">
        <f>'_Engine_R50'!V170</f>
        <v/>
      </c>
      <c r="EL24" s="459">
        <f>'_Engine_R50'!V171</f>
        <v/>
      </c>
      <c r="EM24" s="459">
        <f>'_Engine_R50'!V172</f>
        <v/>
      </c>
      <c r="EN24" s="459">
        <f>'_Engine_R50'!V173</f>
        <v/>
      </c>
      <c r="EO24" s="459">
        <f>'_Engine_R50'!V174</f>
        <v/>
      </c>
      <c r="EP24" s="458">
        <f>'_Engine_R50'!V175</f>
        <v/>
      </c>
      <c r="EQ24" s="458">
        <f>'_Engine_R50'!V176</f>
        <v/>
      </c>
      <c r="ER24" s="458">
        <f>'_Engine_R50'!V177</f>
        <v/>
      </c>
      <c r="ES24" s="458">
        <f>'_Engine_R50'!V178</f>
        <v/>
      </c>
      <c r="ET24" s="458">
        <f>'_Engine_R50'!V179</f>
        <v/>
      </c>
      <c r="EU24" s="458">
        <f>'_Engine_R50'!V180</f>
        <v/>
      </c>
      <c r="EV24" s="458">
        <f>'_Engine_R50'!V181</f>
        <v/>
      </c>
      <c r="EW24" s="458">
        <f>'_Engine_R50'!V182</f>
        <v/>
      </c>
      <c r="EX24" s="458">
        <f>'_Engine_R50'!V183</f>
        <v/>
      </c>
      <c r="EY24" s="458">
        <f>'_Engine_R50'!V184</f>
        <v/>
      </c>
      <c r="EZ24" s="458">
        <f>'_Engine_R50'!V185</f>
        <v/>
      </c>
      <c r="FA24" s="458">
        <f>'_Engine_R50'!V186</f>
        <v/>
      </c>
      <c r="FB24" s="459">
        <f>'_Engine_R50'!V187</f>
        <v/>
      </c>
      <c r="FC24" s="459">
        <f>'_Engine_R50'!V188</f>
        <v/>
      </c>
      <c r="FD24" s="459">
        <f>'_Engine_R50'!V189</f>
        <v/>
      </c>
      <c r="FE24" s="459">
        <f>'_Engine_R50'!V190</f>
        <v/>
      </c>
      <c r="FF24" s="459">
        <f>'_Engine_R50'!V191</f>
        <v/>
      </c>
      <c r="FG24" s="459">
        <f>'_Engine_R50'!V192</f>
        <v/>
      </c>
      <c r="FH24" s="459">
        <f>'_Engine_R50'!V193</f>
        <v/>
      </c>
      <c r="FI24" s="459">
        <f>'_Engine_R50'!V194</f>
        <v/>
      </c>
      <c r="FJ24" s="459">
        <f>'_Engine_R50'!V195</f>
        <v/>
      </c>
      <c r="FK24" s="459">
        <f>'_Engine_R50'!V196</f>
        <v/>
      </c>
      <c r="FL24" s="459">
        <f>'_Engine_R50'!V197</f>
        <v/>
      </c>
      <c r="FM24" s="459">
        <f>'_Engine_R50'!V198</f>
        <v/>
      </c>
      <c r="FN24" s="458">
        <f>'_Engine_R50'!V199</f>
        <v/>
      </c>
      <c r="FO24" s="458">
        <f>'_Engine_R50'!V200</f>
        <v/>
      </c>
      <c r="FP24" s="458">
        <f>'_Engine_R50'!V201</f>
        <v/>
      </c>
      <c r="FQ24" s="458">
        <f>'_Engine_R50'!V202</f>
        <v/>
      </c>
      <c r="FR24" s="458">
        <f>'_Engine_R50'!V203</f>
        <v/>
      </c>
      <c r="FS24" s="458">
        <f>'_Engine_R50'!V204</f>
        <v/>
      </c>
      <c r="FT24" s="458">
        <f>'_Engine_R50'!V205</f>
        <v/>
      </c>
      <c r="FU24" s="458">
        <f>'_Engine_R50'!V206</f>
        <v/>
      </c>
      <c r="FV24" s="458">
        <f>'_Engine_R50'!V207</f>
        <v/>
      </c>
      <c r="FW24" s="458">
        <f>'_Engine_R50'!V208</f>
        <v/>
      </c>
      <c r="FX24" s="458">
        <f>'_Engine_R50'!V209</f>
        <v/>
      </c>
      <c r="FY24" s="458">
        <f>'_Engine_R50'!V210</f>
        <v/>
      </c>
      <c r="FZ24" s="306" t="n"/>
    </row>
    <row r="25" ht="15" customHeight="1" s="307">
      <c r="A25" s="460" t="inlineStr">
        <is>
          <t>Total Operating Expenses</t>
        </is>
      </c>
      <c r="B25" s="461">
        <f>'_Engine_R50'!W31</f>
        <v/>
      </c>
      <c r="C25" s="461">
        <f>'_Engine_R50'!W32</f>
        <v/>
      </c>
      <c r="D25" s="461">
        <f>'_Engine_R50'!W33</f>
        <v/>
      </c>
      <c r="E25" s="461">
        <f>'_Engine_R50'!W34</f>
        <v/>
      </c>
      <c r="F25" s="461">
        <f>'_Engine_R50'!W35</f>
        <v/>
      </c>
      <c r="G25" s="461">
        <f>'_Engine_R50'!W36</f>
        <v/>
      </c>
      <c r="H25" s="461">
        <f>'_Engine_R50'!W37</f>
        <v/>
      </c>
      <c r="I25" s="461">
        <f>'_Engine_R50'!W38</f>
        <v/>
      </c>
      <c r="J25" s="461">
        <f>'_Engine_R50'!W39</f>
        <v/>
      </c>
      <c r="K25" s="461">
        <f>'_Engine_R50'!W40</f>
        <v/>
      </c>
      <c r="L25" s="461">
        <f>'_Engine_R50'!W41</f>
        <v/>
      </c>
      <c r="M25" s="461">
        <f>'_Engine_R50'!W42</f>
        <v/>
      </c>
      <c r="N25" s="462">
        <f>'_Engine_R50'!W43</f>
        <v/>
      </c>
      <c r="O25" s="462">
        <f>'_Engine_R50'!W44</f>
        <v/>
      </c>
      <c r="P25" s="462">
        <f>'_Engine_R50'!W45</f>
        <v/>
      </c>
      <c r="Q25" s="462">
        <f>'_Engine_R50'!W46</f>
        <v/>
      </c>
      <c r="R25" s="462">
        <f>'_Engine_R50'!W47</f>
        <v/>
      </c>
      <c r="S25" s="462">
        <f>'_Engine_R50'!W48</f>
        <v/>
      </c>
      <c r="T25" s="462">
        <f>'_Engine_R50'!W49</f>
        <v/>
      </c>
      <c r="U25" s="462">
        <f>'_Engine_R50'!W50</f>
        <v/>
      </c>
      <c r="V25" s="462">
        <f>'_Engine_R50'!W51</f>
        <v/>
      </c>
      <c r="W25" s="462">
        <f>'_Engine_R50'!W52</f>
        <v/>
      </c>
      <c r="X25" s="462">
        <f>'_Engine_R50'!W53</f>
        <v/>
      </c>
      <c r="Y25" s="462">
        <f>'_Engine_R50'!W54</f>
        <v/>
      </c>
      <c r="Z25" s="461">
        <f>'_Engine_R50'!W55</f>
        <v/>
      </c>
      <c r="AA25" s="461">
        <f>'_Engine_R50'!W56</f>
        <v/>
      </c>
      <c r="AB25" s="461">
        <f>'_Engine_R50'!W57</f>
        <v/>
      </c>
      <c r="AC25" s="461">
        <f>'_Engine_R50'!W58</f>
        <v/>
      </c>
      <c r="AD25" s="461">
        <f>'_Engine_R50'!W59</f>
        <v/>
      </c>
      <c r="AE25" s="461">
        <f>'_Engine_R50'!W60</f>
        <v/>
      </c>
      <c r="AF25" s="461">
        <f>'_Engine_R50'!W61</f>
        <v/>
      </c>
      <c r="AG25" s="461">
        <f>'_Engine_R50'!W62</f>
        <v/>
      </c>
      <c r="AH25" s="461">
        <f>'_Engine_R50'!W63</f>
        <v/>
      </c>
      <c r="AI25" s="461">
        <f>'_Engine_R50'!W64</f>
        <v/>
      </c>
      <c r="AJ25" s="461">
        <f>'_Engine_R50'!W65</f>
        <v/>
      </c>
      <c r="AK25" s="461">
        <f>'_Engine_R50'!W66</f>
        <v/>
      </c>
      <c r="AL25" s="462">
        <f>'_Engine_R50'!W67</f>
        <v/>
      </c>
      <c r="AM25" s="462">
        <f>'_Engine_R50'!W68</f>
        <v/>
      </c>
      <c r="AN25" s="462">
        <f>'_Engine_R50'!W69</f>
        <v/>
      </c>
      <c r="AO25" s="462">
        <f>'_Engine_R50'!W70</f>
        <v/>
      </c>
      <c r="AP25" s="462">
        <f>'_Engine_R50'!W71</f>
        <v/>
      </c>
      <c r="AQ25" s="462">
        <f>'_Engine_R50'!W72</f>
        <v/>
      </c>
      <c r="AR25" s="462">
        <f>'_Engine_R50'!W73</f>
        <v/>
      </c>
      <c r="AS25" s="462">
        <f>'_Engine_R50'!W74</f>
        <v/>
      </c>
      <c r="AT25" s="462">
        <f>'_Engine_R50'!W75</f>
        <v/>
      </c>
      <c r="AU25" s="462">
        <f>'_Engine_R50'!W76</f>
        <v/>
      </c>
      <c r="AV25" s="462">
        <f>'_Engine_R50'!W77</f>
        <v/>
      </c>
      <c r="AW25" s="462">
        <f>'_Engine_R50'!W78</f>
        <v/>
      </c>
      <c r="AX25" s="461">
        <f>'_Engine_R50'!W79</f>
        <v/>
      </c>
      <c r="AY25" s="461">
        <f>'_Engine_R50'!W80</f>
        <v/>
      </c>
      <c r="AZ25" s="461">
        <f>'_Engine_R50'!W81</f>
        <v/>
      </c>
      <c r="BA25" s="461">
        <f>'_Engine_R50'!W82</f>
        <v/>
      </c>
      <c r="BB25" s="461">
        <f>'_Engine_R50'!W83</f>
        <v/>
      </c>
      <c r="BC25" s="461">
        <f>'_Engine_R50'!W84</f>
        <v/>
      </c>
      <c r="BD25" s="461">
        <f>'_Engine_R50'!W85</f>
        <v/>
      </c>
      <c r="BE25" s="461">
        <f>'_Engine_R50'!W86</f>
        <v/>
      </c>
      <c r="BF25" s="461">
        <f>'_Engine_R50'!W87</f>
        <v/>
      </c>
      <c r="BG25" s="461">
        <f>'_Engine_R50'!W88</f>
        <v/>
      </c>
      <c r="BH25" s="461">
        <f>'_Engine_R50'!W89</f>
        <v/>
      </c>
      <c r="BI25" s="461">
        <f>'_Engine_R50'!W90</f>
        <v/>
      </c>
      <c r="BJ25" s="462">
        <f>'_Engine_R50'!W91</f>
        <v/>
      </c>
      <c r="BK25" s="462">
        <f>'_Engine_R50'!W92</f>
        <v/>
      </c>
      <c r="BL25" s="462">
        <f>'_Engine_R50'!W93</f>
        <v/>
      </c>
      <c r="BM25" s="462">
        <f>'_Engine_R50'!W94</f>
        <v/>
      </c>
      <c r="BN25" s="462">
        <f>'_Engine_R50'!W95</f>
        <v/>
      </c>
      <c r="BO25" s="462">
        <f>'_Engine_R50'!W96</f>
        <v/>
      </c>
      <c r="BP25" s="462">
        <f>'_Engine_R50'!W97</f>
        <v/>
      </c>
      <c r="BQ25" s="462">
        <f>'_Engine_R50'!W98</f>
        <v/>
      </c>
      <c r="BR25" s="462">
        <f>'_Engine_R50'!W99</f>
        <v/>
      </c>
      <c r="BS25" s="462">
        <f>'_Engine_R50'!W100</f>
        <v/>
      </c>
      <c r="BT25" s="462">
        <f>'_Engine_R50'!W101</f>
        <v/>
      </c>
      <c r="BU25" s="462">
        <f>'_Engine_R50'!W102</f>
        <v/>
      </c>
      <c r="BV25" s="461">
        <f>'_Engine_R50'!W103</f>
        <v/>
      </c>
      <c r="BW25" s="461">
        <f>'_Engine_R50'!W104</f>
        <v/>
      </c>
      <c r="BX25" s="461">
        <f>'_Engine_R50'!W105</f>
        <v/>
      </c>
      <c r="BY25" s="461">
        <f>'_Engine_R50'!W106</f>
        <v/>
      </c>
      <c r="BZ25" s="461">
        <f>'_Engine_R50'!W107</f>
        <v/>
      </c>
      <c r="CA25" s="461">
        <f>'_Engine_R50'!W108</f>
        <v/>
      </c>
      <c r="CB25" s="461">
        <f>'_Engine_R50'!W109</f>
        <v/>
      </c>
      <c r="CC25" s="461">
        <f>'_Engine_R50'!W110</f>
        <v/>
      </c>
      <c r="CD25" s="461">
        <f>'_Engine_R50'!W111</f>
        <v/>
      </c>
      <c r="CE25" s="461">
        <f>'_Engine_R50'!W112</f>
        <v/>
      </c>
      <c r="CF25" s="461">
        <f>'_Engine_R50'!W113</f>
        <v/>
      </c>
      <c r="CG25" s="461">
        <f>'_Engine_R50'!W114</f>
        <v/>
      </c>
      <c r="CH25" s="462">
        <f>'_Engine_R50'!W115</f>
        <v/>
      </c>
      <c r="CI25" s="462">
        <f>'_Engine_R50'!W116</f>
        <v/>
      </c>
      <c r="CJ25" s="462">
        <f>'_Engine_R50'!W117</f>
        <v/>
      </c>
      <c r="CK25" s="462">
        <f>'_Engine_R50'!W118</f>
        <v/>
      </c>
      <c r="CL25" s="462">
        <f>'_Engine_R50'!W119</f>
        <v/>
      </c>
      <c r="CM25" s="462">
        <f>'_Engine_R50'!W120</f>
        <v/>
      </c>
      <c r="CN25" s="462">
        <f>'_Engine_R50'!W121</f>
        <v/>
      </c>
      <c r="CO25" s="462">
        <f>'_Engine_R50'!W122</f>
        <v/>
      </c>
      <c r="CP25" s="462">
        <f>'_Engine_R50'!W123</f>
        <v/>
      </c>
      <c r="CQ25" s="462">
        <f>'_Engine_R50'!W124</f>
        <v/>
      </c>
      <c r="CR25" s="462">
        <f>'_Engine_R50'!W125</f>
        <v/>
      </c>
      <c r="CS25" s="462">
        <f>'_Engine_R50'!W126</f>
        <v/>
      </c>
      <c r="CT25" s="461">
        <f>'_Engine_R50'!W127</f>
        <v/>
      </c>
      <c r="CU25" s="461">
        <f>'_Engine_R50'!W128</f>
        <v/>
      </c>
      <c r="CV25" s="461">
        <f>'_Engine_R50'!W129</f>
        <v/>
      </c>
      <c r="CW25" s="461">
        <f>'_Engine_R50'!W130</f>
        <v/>
      </c>
      <c r="CX25" s="461">
        <f>'_Engine_R50'!W131</f>
        <v/>
      </c>
      <c r="CY25" s="461">
        <f>'_Engine_R50'!W132</f>
        <v/>
      </c>
      <c r="CZ25" s="461">
        <f>'_Engine_R50'!W133</f>
        <v/>
      </c>
      <c r="DA25" s="461">
        <f>'_Engine_R50'!W134</f>
        <v/>
      </c>
      <c r="DB25" s="461">
        <f>'_Engine_R50'!W135</f>
        <v/>
      </c>
      <c r="DC25" s="461">
        <f>'_Engine_R50'!W136</f>
        <v/>
      </c>
      <c r="DD25" s="461">
        <f>'_Engine_R50'!W137</f>
        <v/>
      </c>
      <c r="DE25" s="461">
        <f>'_Engine_R50'!W138</f>
        <v/>
      </c>
      <c r="DF25" s="462">
        <f>'_Engine_R50'!W139</f>
        <v/>
      </c>
      <c r="DG25" s="462">
        <f>'_Engine_R50'!W140</f>
        <v/>
      </c>
      <c r="DH25" s="462">
        <f>'_Engine_R50'!W141</f>
        <v/>
      </c>
      <c r="DI25" s="462">
        <f>'_Engine_R50'!W142</f>
        <v/>
      </c>
      <c r="DJ25" s="462">
        <f>'_Engine_R50'!W143</f>
        <v/>
      </c>
      <c r="DK25" s="462">
        <f>'_Engine_R50'!W144</f>
        <v/>
      </c>
      <c r="DL25" s="462">
        <f>'_Engine_R50'!W145</f>
        <v/>
      </c>
      <c r="DM25" s="462">
        <f>'_Engine_R50'!W146</f>
        <v/>
      </c>
      <c r="DN25" s="462">
        <f>'_Engine_R50'!W147</f>
        <v/>
      </c>
      <c r="DO25" s="462">
        <f>'_Engine_R50'!W148</f>
        <v/>
      </c>
      <c r="DP25" s="462">
        <f>'_Engine_R50'!W149</f>
        <v/>
      </c>
      <c r="DQ25" s="462">
        <f>'_Engine_R50'!W150</f>
        <v/>
      </c>
      <c r="DR25" s="461">
        <f>'_Engine_R50'!W151</f>
        <v/>
      </c>
      <c r="DS25" s="461">
        <f>'_Engine_R50'!W152</f>
        <v/>
      </c>
      <c r="DT25" s="461">
        <f>'_Engine_R50'!W153</f>
        <v/>
      </c>
      <c r="DU25" s="461">
        <f>'_Engine_R50'!W154</f>
        <v/>
      </c>
      <c r="DV25" s="461">
        <f>'_Engine_R50'!W155</f>
        <v/>
      </c>
      <c r="DW25" s="461">
        <f>'_Engine_R50'!W156</f>
        <v/>
      </c>
      <c r="DX25" s="461">
        <f>'_Engine_R50'!W157</f>
        <v/>
      </c>
      <c r="DY25" s="461">
        <f>'_Engine_R50'!W158</f>
        <v/>
      </c>
      <c r="DZ25" s="461">
        <f>'_Engine_R50'!W159</f>
        <v/>
      </c>
      <c r="EA25" s="461">
        <f>'_Engine_R50'!W160</f>
        <v/>
      </c>
      <c r="EB25" s="461">
        <f>'_Engine_R50'!W161</f>
        <v/>
      </c>
      <c r="EC25" s="461">
        <f>'_Engine_R50'!W162</f>
        <v/>
      </c>
      <c r="ED25" s="462">
        <f>'_Engine_R50'!W163</f>
        <v/>
      </c>
      <c r="EE25" s="462">
        <f>'_Engine_R50'!W164</f>
        <v/>
      </c>
      <c r="EF25" s="462">
        <f>'_Engine_R50'!W165</f>
        <v/>
      </c>
      <c r="EG25" s="462">
        <f>'_Engine_R50'!W166</f>
        <v/>
      </c>
      <c r="EH25" s="462">
        <f>'_Engine_R50'!W167</f>
        <v/>
      </c>
      <c r="EI25" s="462">
        <f>'_Engine_R50'!W168</f>
        <v/>
      </c>
      <c r="EJ25" s="462">
        <f>'_Engine_R50'!W169</f>
        <v/>
      </c>
      <c r="EK25" s="462">
        <f>'_Engine_R50'!W170</f>
        <v/>
      </c>
      <c r="EL25" s="462">
        <f>'_Engine_R50'!W171</f>
        <v/>
      </c>
      <c r="EM25" s="462">
        <f>'_Engine_R50'!W172</f>
        <v/>
      </c>
      <c r="EN25" s="462">
        <f>'_Engine_R50'!W173</f>
        <v/>
      </c>
      <c r="EO25" s="462">
        <f>'_Engine_R50'!W174</f>
        <v/>
      </c>
      <c r="EP25" s="461">
        <f>'_Engine_R50'!W175</f>
        <v/>
      </c>
      <c r="EQ25" s="461">
        <f>'_Engine_R50'!W176</f>
        <v/>
      </c>
      <c r="ER25" s="461">
        <f>'_Engine_R50'!W177</f>
        <v/>
      </c>
      <c r="ES25" s="461">
        <f>'_Engine_R50'!W178</f>
        <v/>
      </c>
      <c r="ET25" s="461">
        <f>'_Engine_R50'!W179</f>
        <v/>
      </c>
      <c r="EU25" s="461">
        <f>'_Engine_R50'!W180</f>
        <v/>
      </c>
      <c r="EV25" s="461">
        <f>'_Engine_R50'!W181</f>
        <v/>
      </c>
      <c r="EW25" s="461">
        <f>'_Engine_R50'!W182</f>
        <v/>
      </c>
      <c r="EX25" s="461">
        <f>'_Engine_R50'!W183</f>
        <v/>
      </c>
      <c r="EY25" s="461">
        <f>'_Engine_R50'!W184</f>
        <v/>
      </c>
      <c r="EZ25" s="461">
        <f>'_Engine_R50'!W185</f>
        <v/>
      </c>
      <c r="FA25" s="461">
        <f>'_Engine_R50'!W186</f>
        <v/>
      </c>
      <c r="FB25" s="462">
        <f>'_Engine_R50'!W187</f>
        <v/>
      </c>
      <c r="FC25" s="462">
        <f>'_Engine_R50'!W188</f>
        <v/>
      </c>
      <c r="FD25" s="462">
        <f>'_Engine_R50'!W189</f>
        <v/>
      </c>
      <c r="FE25" s="462">
        <f>'_Engine_R50'!W190</f>
        <v/>
      </c>
      <c r="FF25" s="462">
        <f>'_Engine_R50'!W191</f>
        <v/>
      </c>
      <c r="FG25" s="462">
        <f>'_Engine_R50'!W192</f>
        <v/>
      </c>
      <c r="FH25" s="462">
        <f>'_Engine_R50'!W193</f>
        <v/>
      </c>
      <c r="FI25" s="462">
        <f>'_Engine_R50'!W194</f>
        <v/>
      </c>
      <c r="FJ25" s="462">
        <f>'_Engine_R50'!W195</f>
        <v/>
      </c>
      <c r="FK25" s="462">
        <f>'_Engine_R50'!W196</f>
        <v/>
      </c>
      <c r="FL25" s="462">
        <f>'_Engine_R50'!W197</f>
        <v/>
      </c>
      <c r="FM25" s="462">
        <f>'_Engine_R50'!W198</f>
        <v/>
      </c>
      <c r="FN25" s="461">
        <f>'_Engine_R50'!W199</f>
        <v/>
      </c>
      <c r="FO25" s="461">
        <f>'_Engine_R50'!W200</f>
        <v/>
      </c>
      <c r="FP25" s="461">
        <f>'_Engine_R50'!W201</f>
        <v/>
      </c>
      <c r="FQ25" s="461">
        <f>'_Engine_R50'!W202</f>
        <v/>
      </c>
      <c r="FR25" s="461">
        <f>'_Engine_R50'!W203</f>
        <v/>
      </c>
      <c r="FS25" s="461">
        <f>'_Engine_R50'!W204</f>
        <v/>
      </c>
      <c r="FT25" s="461">
        <f>'_Engine_R50'!W205</f>
        <v/>
      </c>
      <c r="FU25" s="461">
        <f>'_Engine_R50'!W206</f>
        <v/>
      </c>
      <c r="FV25" s="461">
        <f>'_Engine_R50'!W207</f>
        <v/>
      </c>
      <c r="FW25" s="461">
        <f>'_Engine_R50'!W208</f>
        <v/>
      </c>
      <c r="FX25" s="461">
        <f>'_Engine_R50'!W209</f>
        <v/>
      </c>
      <c r="FY25" s="461">
        <f>'_Engine_R50'!W210</f>
        <v/>
      </c>
      <c r="FZ25" s="306" t="n"/>
    </row>
    <row r="26" ht="15" customHeight="1" s="307">
      <c r="A26" s="322" t="n"/>
      <c r="B26" s="466">
        <f>B24-B25</f>
        <v/>
      </c>
      <c r="C26" s="466">
        <f>C24-C25</f>
        <v/>
      </c>
      <c r="D26" s="466">
        <f>D24-D25</f>
        <v/>
      </c>
      <c r="E26" s="466">
        <f>E24-E25</f>
        <v/>
      </c>
      <c r="F26" s="466">
        <f>F24-F25</f>
        <v/>
      </c>
      <c r="G26" s="466">
        <f>G24-G25</f>
        <v/>
      </c>
      <c r="H26" s="466">
        <f>H24-H25</f>
        <v/>
      </c>
      <c r="I26" s="466">
        <f>I24-I25</f>
        <v/>
      </c>
      <c r="J26" s="466">
        <f>J24-J25</f>
        <v/>
      </c>
      <c r="K26" s="466">
        <f>K24-K25</f>
        <v/>
      </c>
      <c r="L26" s="466">
        <f>L24-L25</f>
        <v/>
      </c>
      <c r="M26" s="466">
        <f>M24-M25</f>
        <v/>
      </c>
      <c r="N26" s="466">
        <f>N24-N25</f>
        <v/>
      </c>
      <c r="O26" s="466">
        <f>O24-O25</f>
        <v/>
      </c>
      <c r="P26" s="466">
        <f>P24-P25</f>
        <v/>
      </c>
      <c r="Q26" s="466">
        <f>Q24-Q25</f>
        <v/>
      </c>
      <c r="R26" s="466">
        <f>R24-R25</f>
        <v/>
      </c>
      <c r="S26" s="466">
        <f>S24-S25</f>
        <v/>
      </c>
      <c r="T26" s="466">
        <f>T24-T25</f>
        <v/>
      </c>
      <c r="U26" s="466">
        <f>U24-U25</f>
        <v/>
      </c>
      <c r="V26" s="466">
        <f>V24-V25</f>
        <v/>
      </c>
      <c r="W26" s="466">
        <f>W24-W25</f>
        <v/>
      </c>
      <c r="X26" s="466">
        <f>X24-X25</f>
        <v/>
      </c>
      <c r="Y26" s="466">
        <f>Y24-Y25</f>
        <v/>
      </c>
      <c r="Z26" s="466">
        <f>Z24-Z25</f>
        <v/>
      </c>
      <c r="AA26" s="466">
        <f>AA24-AA25</f>
        <v/>
      </c>
      <c r="AB26" s="466">
        <f>AB24-AB25</f>
        <v/>
      </c>
      <c r="AC26" s="466">
        <f>AC24-AC25</f>
        <v/>
      </c>
      <c r="AD26" s="466">
        <f>AD24-AD25</f>
        <v/>
      </c>
      <c r="AE26" s="466">
        <f>AE24-AE25</f>
        <v/>
      </c>
      <c r="AF26" s="466">
        <f>AF24-AF25</f>
        <v/>
      </c>
      <c r="AG26" s="466">
        <f>AG24-AG25</f>
        <v/>
      </c>
      <c r="AH26" s="466">
        <f>AH24-AH25</f>
        <v/>
      </c>
      <c r="AI26" s="466">
        <f>AI24-AI25</f>
        <v/>
      </c>
      <c r="AJ26" s="466">
        <f>AJ24-AJ25</f>
        <v/>
      </c>
      <c r="AK26" s="466">
        <f>AK24-AK25</f>
        <v/>
      </c>
      <c r="AL26" s="466">
        <f>AL24-AL25</f>
        <v/>
      </c>
      <c r="AM26" s="466">
        <f>AM24-AM25</f>
        <v/>
      </c>
      <c r="AN26" s="466">
        <f>AN24-AN25</f>
        <v/>
      </c>
      <c r="AO26" s="466">
        <f>AO24-AO25</f>
        <v/>
      </c>
      <c r="AP26" s="466">
        <f>AP24-AP25</f>
        <v/>
      </c>
      <c r="AQ26" s="466">
        <f>AQ24-AQ25</f>
        <v/>
      </c>
      <c r="AR26" s="466">
        <f>AR24-AR25</f>
        <v/>
      </c>
      <c r="AS26" s="466">
        <f>AS24-AS25</f>
        <v/>
      </c>
      <c r="AT26" s="466">
        <f>AT24-AT25</f>
        <v/>
      </c>
      <c r="AU26" s="466">
        <f>AU24-AU25</f>
        <v/>
      </c>
      <c r="AV26" s="466">
        <f>AV24-AV25</f>
        <v/>
      </c>
      <c r="AW26" s="466">
        <f>AW24-AW25</f>
        <v/>
      </c>
      <c r="AX26" s="466">
        <f>AX24-AX25</f>
        <v/>
      </c>
      <c r="AY26" s="466">
        <f>AY24-AY25</f>
        <v/>
      </c>
      <c r="AZ26" s="466">
        <f>AZ24-AZ25</f>
        <v/>
      </c>
      <c r="BA26" s="466">
        <f>BA24-BA25</f>
        <v/>
      </c>
      <c r="BB26" s="466">
        <f>BB24-BB25</f>
        <v/>
      </c>
      <c r="BC26" s="466">
        <f>BC24-BC25</f>
        <v/>
      </c>
      <c r="BD26" s="466">
        <f>BD24-BD25</f>
        <v/>
      </c>
      <c r="BE26" s="466">
        <f>BE24-BE25</f>
        <v/>
      </c>
      <c r="BF26" s="466">
        <f>BF24-BF25</f>
        <v/>
      </c>
      <c r="BG26" s="466">
        <f>BG24-BG25</f>
        <v/>
      </c>
      <c r="BH26" s="466">
        <f>BH24-BH25</f>
        <v/>
      </c>
      <c r="BI26" s="466">
        <f>BI24-BI25</f>
        <v/>
      </c>
      <c r="BJ26" s="466">
        <f>BJ24-BJ25</f>
        <v/>
      </c>
      <c r="BK26" s="466">
        <f>BK24-BK25</f>
        <v/>
      </c>
      <c r="BL26" s="466">
        <f>BL24-BL25</f>
        <v/>
      </c>
      <c r="BM26" s="466">
        <f>BM24-BM25</f>
        <v/>
      </c>
      <c r="BN26" s="466">
        <f>BN24-BN25</f>
        <v/>
      </c>
      <c r="BO26" s="466">
        <f>BO24-BO25</f>
        <v/>
      </c>
      <c r="BP26" s="466">
        <f>BP24-BP25</f>
        <v/>
      </c>
      <c r="BQ26" s="466">
        <f>BQ24-BQ25</f>
        <v/>
      </c>
      <c r="BR26" s="466">
        <f>BR24-BR25</f>
        <v/>
      </c>
      <c r="BS26" s="466">
        <f>BS24-BS25</f>
        <v/>
      </c>
      <c r="BT26" s="466">
        <f>BT24-BT25</f>
        <v/>
      </c>
      <c r="BU26" s="466">
        <f>BU24-BU25</f>
        <v/>
      </c>
      <c r="BV26" s="466">
        <f>BV24-BV25</f>
        <v/>
      </c>
      <c r="BW26" s="466">
        <f>BW24-BW25</f>
        <v/>
      </c>
      <c r="BX26" s="466">
        <f>BX24-BX25</f>
        <v/>
      </c>
      <c r="BY26" s="466">
        <f>BY24-BY25</f>
        <v/>
      </c>
      <c r="BZ26" s="466">
        <f>BZ24-BZ25</f>
        <v/>
      </c>
      <c r="CA26" s="466">
        <f>CA24-CA25</f>
        <v/>
      </c>
      <c r="CB26" s="466">
        <f>CB24-CB25</f>
        <v/>
      </c>
      <c r="CC26" s="466">
        <f>CC24-CC25</f>
        <v/>
      </c>
      <c r="CD26" s="466">
        <f>CD24-CD25</f>
        <v/>
      </c>
      <c r="CE26" s="466">
        <f>CE24-CE25</f>
        <v/>
      </c>
      <c r="CF26" s="466">
        <f>CF24-CF25</f>
        <v/>
      </c>
      <c r="CG26" s="466">
        <f>CG24-CG25</f>
        <v/>
      </c>
      <c r="CH26" s="466">
        <f>CH24-CH25</f>
        <v/>
      </c>
      <c r="CI26" s="466">
        <f>CI24-CI25</f>
        <v/>
      </c>
      <c r="CJ26" s="466">
        <f>CJ24-CJ25</f>
        <v/>
      </c>
      <c r="CK26" s="466">
        <f>CK24-CK25</f>
        <v/>
      </c>
      <c r="CL26" s="466">
        <f>CL24-CL25</f>
        <v/>
      </c>
      <c r="CM26" s="466">
        <f>CM24-CM25</f>
        <v/>
      </c>
      <c r="CN26" s="466">
        <f>CN24-CN25</f>
        <v/>
      </c>
      <c r="CO26" s="466">
        <f>CO24-CO25</f>
        <v/>
      </c>
      <c r="CP26" s="466">
        <f>CP24-CP25</f>
        <v/>
      </c>
      <c r="CQ26" s="466">
        <f>CQ24-CQ25</f>
        <v/>
      </c>
      <c r="CR26" s="466">
        <f>CR24-CR25</f>
        <v/>
      </c>
      <c r="CS26" s="466">
        <f>CS24-CS25</f>
        <v/>
      </c>
      <c r="CT26" s="466">
        <f>CT24-CT25</f>
        <v/>
      </c>
      <c r="CU26" s="466">
        <f>CU24-CU25</f>
        <v/>
      </c>
      <c r="CV26" s="466">
        <f>CV24-CV25</f>
        <v/>
      </c>
      <c r="CW26" s="466">
        <f>CW24-CW25</f>
        <v/>
      </c>
      <c r="CX26" s="466">
        <f>CX24-CX25</f>
        <v/>
      </c>
      <c r="CY26" s="466">
        <f>CY24-CY25</f>
        <v/>
      </c>
      <c r="CZ26" s="466">
        <f>CZ24-CZ25</f>
        <v/>
      </c>
      <c r="DA26" s="466">
        <f>DA24-DA25</f>
        <v/>
      </c>
      <c r="DB26" s="466">
        <f>DB24-DB25</f>
        <v/>
      </c>
      <c r="DC26" s="466">
        <f>DC24-DC25</f>
        <v/>
      </c>
      <c r="DD26" s="466">
        <f>DD24-DD25</f>
        <v/>
      </c>
      <c r="DE26" s="466">
        <f>DE24-DE25</f>
        <v/>
      </c>
      <c r="DF26" s="466">
        <f>DF24-DF25</f>
        <v/>
      </c>
      <c r="DG26" s="466">
        <f>DG24-DG25</f>
        <v/>
      </c>
      <c r="DH26" s="466">
        <f>DH24-DH25</f>
        <v/>
      </c>
      <c r="DI26" s="466">
        <f>DI24-DI25</f>
        <v/>
      </c>
      <c r="DJ26" s="466">
        <f>DJ24-DJ25</f>
        <v/>
      </c>
      <c r="DK26" s="466">
        <f>DK24-DK25</f>
        <v/>
      </c>
      <c r="DL26" s="466">
        <f>DL24-DL25</f>
        <v/>
      </c>
      <c r="DM26" s="466">
        <f>DM24-DM25</f>
        <v/>
      </c>
      <c r="DN26" s="466">
        <f>DN24-DN25</f>
        <v/>
      </c>
      <c r="DO26" s="466">
        <f>DO24-DO25</f>
        <v/>
      </c>
      <c r="DP26" s="466">
        <f>DP24-DP25</f>
        <v/>
      </c>
      <c r="DQ26" s="466">
        <f>DQ24-DQ25</f>
        <v/>
      </c>
      <c r="DR26" s="466">
        <f>DR24-DR25</f>
        <v/>
      </c>
      <c r="DS26" s="466">
        <f>DS24-DS25</f>
        <v/>
      </c>
      <c r="DT26" s="466">
        <f>DT24-DT25</f>
        <v/>
      </c>
      <c r="DU26" s="466">
        <f>DU24-DU25</f>
        <v/>
      </c>
      <c r="DV26" s="466">
        <f>DV24-DV25</f>
        <v/>
      </c>
      <c r="DW26" s="466">
        <f>DW24-DW25</f>
        <v/>
      </c>
      <c r="DX26" s="466">
        <f>DX24-DX25</f>
        <v/>
      </c>
      <c r="DY26" s="466">
        <f>DY24-DY25</f>
        <v/>
      </c>
      <c r="DZ26" s="466">
        <f>DZ24-DZ25</f>
        <v/>
      </c>
      <c r="EA26" s="466">
        <f>EA24-EA25</f>
        <v/>
      </c>
      <c r="EB26" s="466">
        <f>EB24-EB25</f>
        <v/>
      </c>
      <c r="EC26" s="466">
        <f>EC24-EC25</f>
        <v/>
      </c>
      <c r="ED26" s="466">
        <f>ED24-ED25</f>
        <v/>
      </c>
      <c r="EE26" s="466">
        <f>EE24-EE25</f>
        <v/>
      </c>
      <c r="EF26" s="466">
        <f>EF24-EF25</f>
        <v/>
      </c>
      <c r="EG26" s="466">
        <f>EG24-EG25</f>
        <v/>
      </c>
      <c r="EH26" s="466">
        <f>EH24-EH25</f>
        <v/>
      </c>
      <c r="EI26" s="466">
        <f>EI24-EI25</f>
        <v/>
      </c>
      <c r="EJ26" s="466">
        <f>EJ24-EJ25</f>
        <v/>
      </c>
      <c r="EK26" s="466">
        <f>EK24-EK25</f>
        <v/>
      </c>
      <c r="EL26" s="466">
        <f>EL24-EL25</f>
        <v/>
      </c>
      <c r="EM26" s="466">
        <f>EM24-EM25</f>
        <v/>
      </c>
      <c r="EN26" s="466">
        <f>EN24-EN25</f>
        <v/>
      </c>
      <c r="EO26" s="466">
        <f>EO24-EO25</f>
        <v/>
      </c>
      <c r="EP26" s="466">
        <f>EP24-EP25</f>
        <v/>
      </c>
      <c r="EQ26" s="466">
        <f>EQ24-EQ25</f>
        <v/>
      </c>
      <c r="ER26" s="466">
        <f>ER24-ER25</f>
        <v/>
      </c>
      <c r="ES26" s="466">
        <f>ES24-ES25</f>
        <v/>
      </c>
      <c r="ET26" s="466">
        <f>ET24-ET25</f>
        <v/>
      </c>
      <c r="EU26" s="466">
        <f>EU24-EU25</f>
        <v/>
      </c>
      <c r="EV26" s="466">
        <f>EV24-EV25</f>
        <v/>
      </c>
      <c r="EW26" s="466">
        <f>EW24-EW25</f>
        <v/>
      </c>
      <c r="EX26" s="466">
        <f>EX24-EX25</f>
        <v/>
      </c>
      <c r="EY26" s="466">
        <f>EY24-EY25</f>
        <v/>
      </c>
      <c r="EZ26" s="466">
        <f>EZ24-EZ25</f>
        <v/>
      </c>
      <c r="FA26" s="466">
        <f>FA24-FA25</f>
        <v/>
      </c>
      <c r="FB26" s="466">
        <f>FB24-FB25</f>
        <v/>
      </c>
      <c r="FC26" s="466">
        <f>FC24-FC25</f>
        <v/>
      </c>
      <c r="FD26" s="466">
        <f>FD24-FD25</f>
        <v/>
      </c>
      <c r="FE26" s="466">
        <f>FE24-FE25</f>
        <v/>
      </c>
      <c r="FF26" s="466">
        <f>FF24-FF25</f>
        <v/>
      </c>
      <c r="FG26" s="466">
        <f>FG24-FG25</f>
        <v/>
      </c>
      <c r="FH26" s="466">
        <f>FH24-FH25</f>
        <v/>
      </c>
      <c r="FI26" s="466">
        <f>FI24-FI25</f>
        <v/>
      </c>
      <c r="FJ26" s="466">
        <f>FJ24-FJ25</f>
        <v/>
      </c>
      <c r="FK26" s="466">
        <f>FK24-FK25</f>
        <v/>
      </c>
      <c r="FL26" s="466">
        <f>FL24-FL25</f>
        <v/>
      </c>
      <c r="FM26" s="466">
        <f>FM24-FM25</f>
        <v/>
      </c>
      <c r="FN26" s="466">
        <f>FN24-FN25</f>
        <v/>
      </c>
      <c r="FO26" s="466">
        <f>FO24-FO25</f>
        <v/>
      </c>
      <c r="FP26" s="466">
        <f>FP24-FP25</f>
        <v/>
      </c>
      <c r="FQ26" s="466">
        <f>FQ24-FQ25</f>
        <v/>
      </c>
      <c r="FR26" s="466">
        <f>FR24-FR25</f>
        <v/>
      </c>
      <c r="FS26" s="466">
        <f>FS24-FS25</f>
        <v/>
      </c>
      <c r="FT26" s="466">
        <f>FT24-FT25</f>
        <v/>
      </c>
      <c r="FU26" s="466">
        <f>FU24-FU25</f>
        <v/>
      </c>
      <c r="FV26" s="466">
        <f>FV24-FV25</f>
        <v/>
      </c>
      <c r="FW26" s="466">
        <f>FW24-FW25</f>
        <v/>
      </c>
      <c r="FX26" s="466">
        <f>FX24-FX25</f>
        <v/>
      </c>
      <c r="FY26" s="466">
        <f>FY24-FY25</f>
        <v/>
      </c>
      <c r="FZ26" s="306" t="n"/>
    </row>
    <row r="27" ht="15" customHeight="1" s="307">
      <c r="A27" s="322" t="inlineStr">
        <is>
          <t>EBITDA</t>
        </is>
      </c>
      <c r="B27" s="465" t="n">
        <v>-0.0813</v>
      </c>
      <c r="C27" s="465" t="n">
        <v>-0.0813</v>
      </c>
      <c r="D27" s="465" t="n">
        <v>-0.0813</v>
      </c>
      <c r="E27" s="465" t="n">
        <v>-0.3385</v>
      </c>
      <c r="F27" s="465" t="n">
        <v>-0.1193</v>
      </c>
      <c r="G27" s="465" t="n">
        <v>0.094</v>
      </c>
      <c r="H27" s="465" t="n">
        <v>-0.389</v>
      </c>
      <c r="I27" s="465" t="n">
        <v>0.5333</v>
      </c>
      <c r="J27" s="465" t="n">
        <v>0.9563</v>
      </c>
      <c r="K27" s="465" t="n">
        <v>1.3136</v>
      </c>
      <c r="L27" s="465" t="n">
        <v>1.8227</v>
      </c>
      <c r="M27" s="465" t="n">
        <v>2.2907</v>
      </c>
      <c r="N27" s="466" t="n">
        <v>2.6832</v>
      </c>
      <c r="O27" s="466" t="n">
        <v>3.2096</v>
      </c>
      <c r="P27" s="466" t="n">
        <v>3.7212</v>
      </c>
      <c r="Q27" s="466" t="n">
        <v>4.198</v>
      </c>
      <c r="R27" s="466" t="n">
        <v>4.6743</v>
      </c>
      <c r="S27" s="466" t="n">
        <v>5.1369</v>
      </c>
      <c r="T27" s="466" t="n">
        <v>5.4349</v>
      </c>
      <c r="U27" s="466" t="n">
        <v>5.6715</v>
      </c>
      <c r="V27" s="466" t="n">
        <v>5.9006</v>
      </c>
      <c r="W27" s="466" t="n">
        <v>6.1223</v>
      </c>
      <c r="X27" s="466" t="n">
        <v>6.1314</v>
      </c>
      <c r="Y27" s="466" t="n">
        <v>6.1389</v>
      </c>
      <c r="Z27" s="465" t="n">
        <v>6.3006</v>
      </c>
      <c r="AA27" s="465" t="n">
        <v>6.4566</v>
      </c>
      <c r="AB27" s="465" t="n">
        <v>6.6071</v>
      </c>
      <c r="AC27" s="465" t="n">
        <v>6.7522</v>
      </c>
      <c r="AD27" s="465" t="n">
        <v>6.8432</v>
      </c>
      <c r="AE27" s="465" t="n">
        <v>6.9304</v>
      </c>
      <c r="AF27" s="465" t="n">
        <v>7.0799</v>
      </c>
      <c r="AG27" s="465" t="n">
        <v>7.2239</v>
      </c>
      <c r="AH27" s="465" t="n">
        <v>7.3626</v>
      </c>
      <c r="AI27" s="465" t="n">
        <v>7.4961</v>
      </c>
      <c r="AJ27" s="465" t="n">
        <v>7.6245</v>
      </c>
      <c r="AK27" s="465" t="n">
        <v>7.7479</v>
      </c>
      <c r="AL27" s="466" t="n">
        <v>7.8864</v>
      </c>
      <c r="AM27" s="466" t="n">
        <v>8.019600000000001</v>
      </c>
      <c r="AN27" s="466" t="n">
        <v>8.147600000000001</v>
      </c>
      <c r="AO27" s="466" t="n">
        <v>8.2706</v>
      </c>
      <c r="AP27" s="466" t="n">
        <v>8.388500000000001</v>
      </c>
      <c r="AQ27" s="466" t="n">
        <v>8.5017</v>
      </c>
      <c r="AR27" s="466" t="n">
        <v>8.4245</v>
      </c>
      <c r="AS27" s="466" t="n">
        <v>8.3477</v>
      </c>
      <c r="AT27" s="466" t="n">
        <v>8.2712</v>
      </c>
      <c r="AU27" s="466" t="n">
        <v>8.1952</v>
      </c>
      <c r="AV27" s="466" t="n">
        <v>8.1195</v>
      </c>
      <c r="AW27" s="466" t="n">
        <v>1.5668</v>
      </c>
      <c r="AX27" s="465" t="n">
        <v>7.9231</v>
      </c>
      <c r="AY27" s="465" t="n">
        <v>7.8037</v>
      </c>
      <c r="AZ27" s="465" t="n">
        <v>7.6859</v>
      </c>
      <c r="BA27" s="465" t="n">
        <v>7.5696</v>
      </c>
      <c r="BB27" s="465" t="n">
        <v>7.455</v>
      </c>
      <c r="BC27" s="465" t="n">
        <v>7.3418</v>
      </c>
      <c r="BD27" s="465" t="n">
        <v>7.2302</v>
      </c>
      <c r="BE27" s="465" t="n">
        <v>7.1201</v>
      </c>
      <c r="BF27" s="465" t="n">
        <v>7.0115</v>
      </c>
      <c r="BG27" s="465" t="n">
        <v>6.9043</v>
      </c>
      <c r="BH27" s="465" t="n">
        <v>6.7986</v>
      </c>
      <c r="BI27" s="465" t="n">
        <v>-2.5255</v>
      </c>
      <c r="BJ27" s="466" t="n">
        <v>6.5914</v>
      </c>
      <c r="BK27" s="466" t="n">
        <v>6.4899</v>
      </c>
      <c r="BL27" s="466" t="n">
        <v>6.3898</v>
      </c>
      <c r="BM27" s="466" t="n">
        <v>6.291</v>
      </c>
      <c r="BN27" s="466" t="n">
        <v>6.1935</v>
      </c>
      <c r="BO27" s="466" t="n">
        <v>6.0974</v>
      </c>
      <c r="BP27" s="466" t="n">
        <v>6.0025</v>
      </c>
      <c r="BQ27" s="466" t="n">
        <v>5.9089</v>
      </c>
      <c r="BR27" s="466" t="n">
        <v>5.8166</v>
      </c>
      <c r="BS27" s="466" t="n">
        <v>5.7255</v>
      </c>
      <c r="BT27" s="466" t="n">
        <v>5.6356</v>
      </c>
      <c r="BU27" s="466" t="n">
        <v>-0.5714</v>
      </c>
      <c r="BV27" s="465" t="n">
        <v>5.4595</v>
      </c>
      <c r="BW27" s="465" t="n">
        <v>5.3732</v>
      </c>
      <c r="BX27" s="465" t="n">
        <v>5.2881</v>
      </c>
      <c r="BY27" s="465" t="n">
        <v>5.2041</v>
      </c>
      <c r="BZ27" s="465" t="n">
        <v>5.1213</v>
      </c>
      <c r="CA27" s="465" t="n">
        <v>5.0395</v>
      </c>
      <c r="CB27" s="465" t="n">
        <v>4.9589</v>
      </c>
      <c r="CC27" s="465" t="n">
        <v>4.8794</v>
      </c>
      <c r="CD27" s="465" t="n">
        <v>4.8009</v>
      </c>
      <c r="CE27" s="465" t="n">
        <v>4.7235</v>
      </c>
      <c r="CF27" s="465" t="n">
        <v>4.6471</v>
      </c>
      <c r="CG27" s="465" t="n">
        <v>1.0895</v>
      </c>
      <c r="CH27" s="466" t="n">
        <v>4.4974</v>
      </c>
      <c r="CI27" s="466" t="n">
        <v>4.424</v>
      </c>
      <c r="CJ27" s="466" t="n">
        <v>4.3517</v>
      </c>
      <c r="CK27" s="466" t="n">
        <v>4.2803</v>
      </c>
      <c r="CL27" s="466" t="n">
        <v>4.2099</v>
      </c>
      <c r="CM27" s="466" t="n">
        <v>4.1404</v>
      </c>
      <c r="CN27" s="466" t="n">
        <v>4.0719</v>
      </c>
      <c r="CO27" s="466" t="n">
        <v>4.0043</v>
      </c>
      <c r="CP27" s="466" t="n">
        <v>3.9375</v>
      </c>
      <c r="CQ27" s="466" t="n">
        <v>3.8717</v>
      </c>
      <c r="CR27" s="466" t="n">
        <v>3.8068</v>
      </c>
      <c r="CS27" s="466" t="n">
        <v>2.5013</v>
      </c>
      <c r="CT27" s="465" t="n">
        <v>3.6796</v>
      </c>
      <c r="CU27" s="465" t="n">
        <v>3.6172</v>
      </c>
      <c r="CV27" s="465" t="n">
        <v>3.5557</v>
      </c>
      <c r="CW27" s="465" t="n">
        <v>3.4951</v>
      </c>
      <c r="CX27" s="465" t="n">
        <v>3.4352</v>
      </c>
      <c r="CY27" s="465" t="n">
        <v>3.3761</v>
      </c>
      <c r="CZ27" s="465" t="n">
        <v>3.3179</v>
      </c>
      <c r="DA27" s="465" t="n">
        <v>3.2604</v>
      </c>
      <c r="DB27" s="465" t="n">
        <v>3.2037</v>
      </c>
      <c r="DC27" s="465" t="n">
        <v>3.1478</v>
      </c>
      <c r="DD27" s="465" t="n">
        <v>3.0926</v>
      </c>
      <c r="DE27" s="465" t="n">
        <v>3.0381</v>
      </c>
      <c r="DF27" s="466" t="n">
        <v>2.9844</v>
      </c>
      <c r="DG27" s="466" t="n">
        <v>2.9314</v>
      </c>
      <c r="DH27" s="466" t="n">
        <v>2.8792</v>
      </c>
      <c r="DI27" s="466" t="n">
        <v>2.8276</v>
      </c>
      <c r="DJ27" s="466" t="n">
        <v>2.7767</v>
      </c>
      <c r="DK27" s="466" t="n">
        <v>2.7265</v>
      </c>
      <c r="DL27" s="466" t="n">
        <v>2.677</v>
      </c>
      <c r="DM27" s="466" t="n">
        <v>2.6281</v>
      </c>
      <c r="DN27" s="466" t="n">
        <v>2.58</v>
      </c>
      <c r="DO27" s="466" t="n">
        <v>2.5324</v>
      </c>
      <c r="DP27" s="466" t="n">
        <v>2.4855</v>
      </c>
      <c r="DQ27" s="466" t="n">
        <v>2.4392</v>
      </c>
      <c r="DR27" s="465" t="n">
        <v>2.3936</v>
      </c>
      <c r="DS27" s="465" t="n">
        <v>2.3485</v>
      </c>
      <c r="DT27" s="465" t="n">
        <v>2.3041</v>
      </c>
      <c r="DU27" s="465" t="n">
        <v>2.2603</v>
      </c>
      <c r="DV27" s="465" t="n">
        <v>2.217</v>
      </c>
      <c r="DW27" s="465" t="n">
        <v>2.1743</v>
      </c>
      <c r="DX27" s="465" t="n">
        <v>2.1322</v>
      </c>
      <c r="DY27" s="465" t="n">
        <v>2.0907</v>
      </c>
      <c r="DZ27" s="465" t="n">
        <v>2.0498</v>
      </c>
      <c r="EA27" s="465" t="n">
        <v>2.0093</v>
      </c>
      <c r="EB27" s="465" t="n">
        <v>1.9695</v>
      </c>
      <c r="EC27" s="465" t="n">
        <v>1.9301</v>
      </c>
      <c r="ED27" s="466" t="n">
        <v>1.8913</v>
      </c>
      <c r="EE27" s="466" t="n">
        <v>1.853</v>
      </c>
      <c r="EF27" s="466" t="n">
        <v>1.8153</v>
      </c>
      <c r="EG27" s="466" t="n">
        <v>1.778</v>
      </c>
      <c r="EH27" s="466" t="n">
        <v>1.7413</v>
      </c>
      <c r="EI27" s="466" t="n">
        <v>1.705</v>
      </c>
      <c r="EJ27" s="466" t="n">
        <v>1.6692</v>
      </c>
      <c r="EK27" s="466" t="n">
        <v>1.6339</v>
      </c>
      <c r="EL27" s="466" t="n">
        <v>1.5991</v>
      </c>
      <c r="EM27" s="466" t="n">
        <v>1.5647</v>
      </c>
      <c r="EN27" s="466" t="n">
        <v>1.5308</v>
      </c>
      <c r="EO27" s="466" t="n">
        <v>1.4974</v>
      </c>
      <c r="EP27" s="465" t="n">
        <v>1.4644</v>
      </c>
      <c r="EQ27" s="465" t="n">
        <v>1.4319</v>
      </c>
      <c r="ER27" s="465" t="n">
        <v>1.3998</v>
      </c>
      <c r="ES27" s="465" t="n">
        <v>1.3681</v>
      </c>
      <c r="ET27" s="465" t="n">
        <v>1.3369</v>
      </c>
      <c r="EU27" s="465" t="n">
        <v>1.306</v>
      </c>
      <c r="EV27" s="465" t="n">
        <v>1.2756</v>
      </c>
      <c r="EW27" s="465" t="n">
        <v>1.2456</v>
      </c>
      <c r="EX27" s="465" t="n">
        <v>1.216</v>
      </c>
      <c r="EY27" s="465" t="n">
        <v>1.1868</v>
      </c>
      <c r="EZ27" s="465" t="n">
        <v>1.158</v>
      </c>
      <c r="FA27" s="465" t="n">
        <v>1.1296</v>
      </c>
      <c r="FB27" s="466" t="n">
        <v>1.1016</v>
      </c>
      <c r="FC27" s="466" t="n">
        <v>1.0739</v>
      </c>
      <c r="FD27" s="466" t="n">
        <v>1.0466</v>
      </c>
      <c r="FE27" s="466" t="n">
        <v>1.0197</v>
      </c>
      <c r="FF27" s="466" t="n">
        <v>0.9931</v>
      </c>
      <c r="FG27" s="466" t="n">
        <v>0.9669</v>
      </c>
      <c r="FH27" s="466" t="n">
        <v>0.9411</v>
      </c>
      <c r="FI27" s="466" t="n">
        <v>0.9156</v>
      </c>
      <c r="FJ27" s="466" t="n">
        <v>0.8904</v>
      </c>
      <c r="FK27" s="466" t="n">
        <v>0.8656</v>
      </c>
      <c r="FL27" s="466" t="n">
        <v>0.8411</v>
      </c>
      <c r="FM27" s="466" t="n">
        <v>0.8169999999999999</v>
      </c>
      <c r="FN27" s="465" t="n">
        <v>0.7931</v>
      </c>
      <c r="FO27" s="465" t="n">
        <v>0.7696</v>
      </c>
      <c r="FP27" s="465" t="n">
        <v>0.7464</v>
      </c>
      <c r="FQ27" s="465" t="n">
        <v>0.7235</v>
      </c>
      <c r="FR27" s="465" t="n">
        <v>0.701</v>
      </c>
      <c r="FS27" s="465" t="n">
        <v>0.6787</v>
      </c>
      <c r="FT27" s="465" t="n">
        <v>0.6567</v>
      </c>
      <c r="FU27" s="465" t="n">
        <v>0.635</v>
      </c>
      <c r="FV27" s="465" t="n">
        <v>0.6137</v>
      </c>
      <c r="FW27" s="465" t="n">
        <v>0.5926</v>
      </c>
      <c r="FX27" s="465" t="n">
        <v>0.5717</v>
      </c>
      <c r="FY27" s="465" t="n">
        <v>0.5512</v>
      </c>
      <c r="FZ27" s="306" t="n"/>
    </row>
    <row r="28" ht="15" customHeight="1" s="307">
      <c r="A28" s="321" t="inlineStr">
        <is>
          <t xml:space="preserve">    Severance (Press 50%)</t>
        </is>
      </c>
      <c r="B28" s="458">
        <f>'_Engine_R50'!C31</f>
        <v/>
      </c>
      <c r="C28" s="458">
        <f>'_Engine_R50'!C32</f>
        <v/>
      </c>
      <c r="D28" s="458">
        <f>'_Engine_R50'!C33</f>
        <v/>
      </c>
      <c r="E28" s="458">
        <f>'_Engine_R50'!C34</f>
        <v/>
      </c>
      <c r="F28" s="458">
        <f>'_Engine_R50'!C35</f>
        <v/>
      </c>
      <c r="G28" s="458">
        <f>'_Engine_R50'!C36</f>
        <v/>
      </c>
      <c r="H28" s="458">
        <f>'_Engine_R50'!C37</f>
        <v/>
      </c>
      <c r="I28" s="458">
        <f>'_Engine_R50'!C38</f>
        <v/>
      </c>
      <c r="J28" s="458">
        <f>'_Engine_R50'!C39</f>
        <v/>
      </c>
      <c r="K28" s="458">
        <f>'_Engine_R50'!C40</f>
        <v/>
      </c>
      <c r="L28" s="458">
        <f>'_Engine_R50'!C41</f>
        <v/>
      </c>
      <c r="M28" s="458">
        <f>'_Engine_R50'!C42</f>
        <v/>
      </c>
      <c r="N28" s="459">
        <f>'_Engine_R50'!C43</f>
        <v/>
      </c>
      <c r="O28" s="459">
        <f>'_Engine_R50'!C44</f>
        <v/>
      </c>
      <c r="P28" s="459">
        <f>'_Engine_R50'!C45</f>
        <v/>
      </c>
      <c r="Q28" s="459">
        <f>'_Engine_R50'!C46</f>
        <v/>
      </c>
      <c r="R28" s="459">
        <f>'_Engine_R50'!C47</f>
        <v/>
      </c>
      <c r="S28" s="459">
        <f>'_Engine_R50'!C48</f>
        <v/>
      </c>
      <c r="T28" s="459">
        <f>'_Engine_R50'!C49</f>
        <v/>
      </c>
      <c r="U28" s="459">
        <f>'_Engine_R50'!C50</f>
        <v/>
      </c>
      <c r="V28" s="459">
        <f>'_Engine_R50'!C51</f>
        <v/>
      </c>
      <c r="W28" s="459">
        <f>'_Engine_R50'!C52</f>
        <v/>
      </c>
      <c r="X28" s="459">
        <f>'_Engine_R50'!C53</f>
        <v/>
      </c>
      <c r="Y28" s="459">
        <f>'_Engine_R50'!C54</f>
        <v/>
      </c>
      <c r="Z28" s="458">
        <f>'_Engine_R50'!C55</f>
        <v/>
      </c>
      <c r="AA28" s="458">
        <f>'_Engine_R50'!C56</f>
        <v/>
      </c>
      <c r="AB28" s="458">
        <f>'_Engine_R50'!C57</f>
        <v/>
      </c>
      <c r="AC28" s="458">
        <f>'_Engine_R50'!C58</f>
        <v/>
      </c>
      <c r="AD28" s="458">
        <f>'_Engine_R50'!C59</f>
        <v/>
      </c>
      <c r="AE28" s="458">
        <f>'_Engine_R50'!C60</f>
        <v/>
      </c>
      <c r="AF28" s="458">
        <f>'_Engine_R50'!C61</f>
        <v/>
      </c>
      <c r="AG28" s="458">
        <f>'_Engine_R50'!C62</f>
        <v/>
      </c>
      <c r="AH28" s="458">
        <f>'_Engine_R50'!C63</f>
        <v/>
      </c>
      <c r="AI28" s="458">
        <f>'_Engine_R50'!C64</f>
        <v/>
      </c>
      <c r="AJ28" s="458">
        <f>'_Engine_R50'!C65</f>
        <v/>
      </c>
      <c r="AK28" s="458">
        <f>'_Engine_R50'!C66</f>
        <v/>
      </c>
      <c r="AL28" s="459">
        <f>'_Engine_R50'!C67</f>
        <v/>
      </c>
      <c r="AM28" s="459">
        <f>'_Engine_R50'!C68</f>
        <v/>
      </c>
      <c r="AN28" s="459">
        <f>'_Engine_R50'!C69</f>
        <v/>
      </c>
      <c r="AO28" s="459">
        <f>'_Engine_R50'!C70</f>
        <v/>
      </c>
      <c r="AP28" s="459">
        <f>'_Engine_R50'!C71</f>
        <v/>
      </c>
      <c r="AQ28" s="459">
        <f>'_Engine_R50'!C72</f>
        <v/>
      </c>
      <c r="AR28" s="459">
        <f>'_Engine_R50'!C73</f>
        <v/>
      </c>
      <c r="AS28" s="459">
        <f>'_Engine_R50'!C74</f>
        <v/>
      </c>
      <c r="AT28" s="459">
        <f>'_Engine_R50'!C75</f>
        <v/>
      </c>
      <c r="AU28" s="459">
        <f>'_Engine_R50'!C76</f>
        <v/>
      </c>
      <c r="AV28" s="459">
        <f>'_Engine_R50'!C77</f>
        <v/>
      </c>
      <c r="AW28" s="459">
        <f>'_Engine_R50'!C78</f>
        <v/>
      </c>
      <c r="AX28" s="458">
        <f>'_Engine_R50'!C79</f>
        <v/>
      </c>
      <c r="AY28" s="458">
        <f>'_Engine_R50'!C80</f>
        <v/>
      </c>
      <c r="AZ28" s="458">
        <f>'_Engine_R50'!C81</f>
        <v/>
      </c>
      <c r="BA28" s="458">
        <f>'_Engine_R50'!C82</f>
        <v/>
      </c>
      <c r="BB28" s="458">
        <f>'_Engine_R50'!C83</f>
        <v/>
      </c>
      <c r="BC28" s="458">
        <f>'_Engine_R50'!C84</f>
        <v/>
      </c>
      <c r="BD28" s="458">
        <f>'_Engine_R50'!C85</f>
        <v/>
      </c>
      <c r="BE28" s="458">
        <f>'_Engine_R50'!C86</f>
        <v/>
      </c>
      <c r="BF28" s="458">
        <f>'_Engine_R50'!C87</f>
        <v/>
      </c>
      <c r="BG28" s="458">
        <f>'_Engine_R50'!C88</f>
        <v/>
      </c>
      <c r="BH28" s="458">
        <f>'_Engine_R50'!C89</f>
        <v/>
      </c>
      <c r="BI28" s="458">
        <f>'_Engine_R50'!C90</f>
        <v/>
      </c>
      <c r="BJ28" s="459">
        <f>'_Engine_R50'!C91</f>
        <v/>
      </c>
      <c r="BK28" s="459">
        <f>'_Engine_R50'!C92</f>
        <v/>
      </c>
      <c r="BL28" s="459">
        <f>'_Engine_R50'!C93</f>
        <v/>
      </c>
      <c r="BM28" s="459">
        <f>'_Engine_R50'!C94</f>
        <v/>
      </c>
      <c r="BN28" s="459">
        <f>'_Engine_R50'!C95</f>
        <v/>
      </c>
      <c r="BO28" s="459">
        <f>'_Engine_R50'!C96</f>
        <v/>
      </c>
      <c r="BP28" s="459">
        <f>'_Engine_R50'!C97</f>
        <v/>
      </c>
      <c r="BQ28" s="459">
        <f>'_Engine_R50'!C98</f>
        <v/>
      </c>
      <c r="BR28" s="459">
        <f>'_Engine_R50'!C99</f>
        <v/>
      </c>
      <c r="BS28" s="459">
        <f>'_Engine_R50'!C100</f>
        <v/>
      </c>
      <c r="BT28" s="459">
        <f>'_Engine_R50'!C101</f>
        <v/>
      </c>
      <c r="BU28" s="459">
        <f>'_Engine_R50'!C102</f>
        <v/>
      </c>
      <c r="BV28" s="458">
        <f>'_Engine_R50'!C103</f>
        <v/>
      </c>
      <c r="BW28" s="458">
        <f>'_Engine_R50'!C104</f>
        <v/>
      </c>
      <c r="BX28" s="458">
        <f>'_Engine_R50'!C105</f>
        <v/>
      </c>
      <c r="BY28" s="458">
        <f>'_Engine_R50'!C106</f>
        <v/>
      </c>
      <c r="BZ28" s="458">
        <f>'_Engine_R50'!C107</f>
        <v/>
      </c>
      <c r="CA28" s="458">
        <f>'_Engine_R50'!C108</f>
        <v/>
      </c>
      <c r="CB28" s="458">
        <f>'_Engine_R50'!C109</f>
        <v/>
      </c>
      <c r="CC28" s="458">
        <f>'_Engine_R50'!C110</f>
        <v/>
      </c>
      <c r="CD28" s="458">
        <f>'_Engine_R50'!C111</f>
        <v/>
      </c>
      <c r="CE28" s="458">
        <f>'_Engine_R50'!C112</f>
        <v/>
      </c>
      <c r="CF28" s="458">
        <f>'_Engine_R50'!C113</f>
        <v/>
      </c>
      <c r="CG28" s="458">
        <f>'_Engine_R50'!C114</f>
        <v/>
      </c>
      <c r="CH28" s="459">
        <f>'_Engine_R50'!C115</f>
        <v/>
      </c>
      <c r="CI28" s="459">
        <f>'_Engine_R50'!C116</f>
        <v/>
      </c>
      <c r="CJ28" s="459">
        <f>'_Engine_R50'!C117</f>
        <v/>
      </c>
      <c r="CK28" s="459">
        <f>'_Engine_R50'!C118</f>
        <v/>
      </c>
      <c r="CL28" s="459">
        <f>'_Engine_R50'!C119</f>
        <v/>
      </c>
      <c r="CM28" s="459">
        <f>'_Engine_R50'!C120</f>
        <v/>
      </c>
      <c r="CN28" s="459">
        <f>'_Engine_R50'!C121</f>
        <v/>
      </c>
      <c r="CO28" s="459">
        <f>'_Engine_R50'!C122</f>
        <v/>
      </c>
      <c r="CP28" s="459">
        <f>'_Engine_R50'!C123</f>
        <v/>
      </c>
      <c r="CQ28" s="459">
        <f>'_Engine_R50'!C124</f>
        <v/>
      </c>
      <c r="CR28" s="459">
        <f>'_Engine_R50'!C125</f>
        <v/>
      </c>
      <c r="CS28" s="459">
        <f>'_Engine_R50'!C126</f>
        <v/>
      </c>
      <c r="CT28" s="458">
        <f>'_Engine_R50'!C127</f>
        <v/>
      </c>
      <c r="CU28" s="458">
        <f>'_Engine_R50'!C128</f>
        <v/>
      </c>
      <c r="CV28" s="458">
        <f>'_Engine_R50'!C129</f>
        <v/>
      </c>
      <c r="CW28" s="458">
        <f>'_Engine_R50'!C130</f>
        <v/>
      </c>
      <c r="CX28" s="458">
        <f>'_Engine_R50'!C131</f>
        <v/>
      </c>
      <c r="CY28" s="458">
        <f>'_Engine_R50'!C132</f>
        <v/>
      </c>
      <c r="CZ28" s="458">
        <f>'_Engine_R50'!C133</f>
        <v/>
      </c>
      <c r="DA28" s="458">
        <f>'_Engine_R50'!C134</f>
        <v/>
      </c>
      <c r="DB28" s="458">
        <f>'_Engine_R50'!C135</f>
        <v/>
      </c>
      <c r="DC28" s="458">
        <f>'_Engine_R50'!C136</f>
        <v/>
      </c>
      <c r="DD28" s="458">
        <f>'_Engine_R50'!C137</f>
        <v/>
      </c>
      <c r="DE28" s="458">
        <f>'_Engine_R50'!C138</f>
        <v/>
      </c>
      <c r="DF28" s="459">
        <f>'_Engine_R50'!C139</f>
        <v/>
      </c>
      <c r="DG28" s="459">
        <f>'_Engine_R50'!C140</f>
        <v/>
      </c>
      <c r="DH28" s="459">
        <f>'_Engine_R50'!C141</f>
        <v/>
      </c>
      <c r="DI28" s="459">
        <f>'_Engine_R50'!C142</f>
        <v/>
      </c>
      <c r="DJ28" s="459">
        <f>'_Engine_R50'!C143</f>
        <v/>
      </c>
      <c r="DK28" s="459">
        <f>'_Engine_R50'!C144</f>
        <v/>
      </c>
      <c r="DL28" s="459">
        <f>'_Engine_R50'!C145</f>
        <v/>
      </c>
      <c r="DM28" s="459">
        <f>'_Engine_R50'!C146</f>
        <v/>
      </c>
      <c r="DN28" s="459">
        <f>'_Engine_R50'!C147</f>
        <v/>
      </c>
      <c r="DO28" s="459">
        <f>'_Engine_R50'!C148</f>
        <v/>
      </c>
      <c r="DP28" s="459">
        <f>'_Engine_R50'!C149</f>
        <v/>
      </c>
      <c r="DQ28" s="459">
        <f>'_Engine_R50'!C150</f>
        <v/>
      </c>
      <c r="DR28" s="458">
        <f>'_Engine_R50'!C151</f>
        <v/>
      </c>
      <c r="DS28" s="458">
        <f>'_Engine_R50'!C152</f>
        <v/>
      </c>
      <c r="DT28" s="458">
        <f>'_Engine_R50'!C153</f>
        <v/>
      </c>
      <c r="DU28" s="458">
        <f>'_Engine_R50'!C154</f>
        <v/>
      </c>
      <c r="DV28" s="458">
        <f>'_Engine_R50'!C155</f>
        <v/>
      </c>
      <c r="DW28" s="458">
        <f>'_Engine_R50'!C156</f>
        <v/>
      </c>
      <c r="DX28" s="458">
        <f>'_Engine_R50'!C157</f>
        <v/>
      </c>
      <c r="DY28" s="458">
        <f>'_Engine_R50'!C158</f>
        <v/>
      </c>
      <c r="DZ28" s="458">
        <f>'_Engine_R50'!C159</f>
        <v/>
      </c>
      <c r="EA28" s="458">
        <f>'_Engine_R50'!C160</f>
        <v/>
      </c>
      <c r="EB28" s="458">
        <f>'_Engine_R50'!C161</f>
        <v/>
      </c>
      <c r="EC28" s="458">
        <f>'_Engine_R50'!C162</f>
        <v/>
      </c>
      <c r="ED28" s="459">
        <f>'_Engine_R50'!C163</f>
        <v/>
      </c>
      <c r="EE28" s="459">
        <f>'_Engine_R50'!C164</f>
        <v/>
      </c>
      <c r="EF28" s="459">
        <f>'_Engine_R50'!C165</f>
        <v/>
      </c>
      <c r="EG28" s="459">
        <f>'_Engine_R50'!C166</f>
        <v/>
      </c>
      <c r="EH28" s="459">
        <f>'_Engine_R50'!C167</f>
        <v/>
      </c>
      <c r="EI28" s="459">
        <f>'_Engine_R50'!C168</f>
        <v/>
      </c>
      <c r="EJ28" s="459">
        <f>'_Engine_R50'!C169</f>
        <v/>
      </c>
      <c r="EK28" s="459">
        <f>'_Engine_R50'!C170</f>
        <v/>
      </c>
      <c r="EL28" s="459">
        <f>'_Engine_R50'!C171</f>
        <v/>
      </c>
      <c r="EM28" s="459">
        <f>'_Engine_R50'!C172</f>
        <v/>
      </c>
      <c r="EN28" s="459">
        <f>'_Engine_R50'!C173</f>
        <v/>
      </c>
      <c r="EO28" s="459">
        <f>'_Engine_R50'!C174</f>
        <v/>
      </c>
      <c r="EP28" s="458">
        <f>'_Engine_R50'!C175</f>
        <v/>
      </c>
      <c r="EQ28" s="458">
        <f>'_Engine_R50'!C176</f>
        <v/>
      </c>
      <c r="ER28" s="458">
        <f>'_Engine_R50'!C177</f>
        <v/>
      </c>
      <c r="ES28" s="458">
        <f>'_Engine_R50'!C178</f>
        <v/>
      </c>
      <c r="ET28" s="458">
        <f>'_Engine_R50'!C179</f>
        <v/>
      </c>
      <c r="EU28" s="458">
        <f>'_Engine_R50'!C180</f>
        <v/>
      </c>
      <c r="EV28" s="458">
        <f>'_Engine_R50'!C181</f>
        <v/>
      </c>
      <c r="EW28" s="458">
        <f>'_Engine_R50'!C182</f>
        <v/>
      </c>
      <c r="EX28" s="458">
        <f>'_Engine_R50'!C183</f>
        <v/>
      </c>
      <c r="EY28" s="458">
        <f>'_Engine_R50'!C184</f>
        <v/>
      </c>
      <c r="EZ28" s="458">
        <f>'_Engine_R50'!C185</f>
        <v/>
      </c>
      <c r="FA28" s="458">
        <f>'_Engine_R50'!C186</f>
        <v/>
      </c>
      <c r="FB28" s="459">
        <f>'_Engine_R50'!C187</f>
        <v/>
      </c>
      <c r="FC28" s="459">
        <f>'_Engine_R50'!C188</f>
        <v/>
      </c>
      <c r="FD28" s="459">
        <f>'_Engine_R50'!C189</f>
        <v/>
      </c>
      <c r="FE28" s="459">
        <f>'_Engine_R50'!C190</f>
        <v/>
      </c>
      <c r="FF28" s="459">
        <f>'_Engine_R50'!C191</f>
        <v/>
      </c>
      <c r="FG28" s="459">
        <f>'_Engine_R50'!C192</f>
        <v/>
      </c>
      <c r="FH28" s="459">
        <f>'_Engine_R50'!C193</f>
        <v/>
      </c>
      <c r="FI28" s="459">
        <f>'_Engine_R50'!C194</f>
        <v/>
      </c>
      <c r="FJ28" s="459">
        <f>'_Engine_R50'!C195</f>
        <v/>
      </c>
      <c r="FK28" s="459">
        <f>'_Engine_R50'!C196</f>
        <v/>
      </c>
      <c r="FL28" s="459">
        <f>'_Engine_R50'!C197</f>
        <v/>
      </c>
      <c r="FM28" s="459">
        <f>'_Engine_R50'!C198</f>
        <v/>
      </c>
      <c r="FN28" s="458">
        <f>'_Engine_R50'!C199</f>
        <v/>
      </c>
      <c r="FO28" s="458">
        <f>'_Engine_R50'!C200</f>
        <v/>
      </c>
      <c r="FP28" s="458">
        <f>'_Engine_R50'!C201</f>
        <v/>
      </c>
      <c r="FQ28" s="458">
        <f>'_Engine_R50'!C202</f>
        <v/>
      </c>
      <c r="FR28" s="458">
        <f>'_Engine_R50'!C203</f>
        <v/>
      </c>
      <c r="FS28" s="458">
        <f>'_Engine_R50'!C204</f>
        <v/>
      </c>
      <c r="FT28" s="458">
        <f>'_Engine_R50'!C205</f>
        <v/>
      </c>
      <c r="FU28" s="458">
        <f>'_Engine_R50'!C206</f>
        <v/>
      </c>
      <c r="FV28" s="458">
        <f>'_Engine_R50'!C207</f>
        <v/>
      </c>
      <c r="FW28" s="458">
        <f>'_Engine_R50'!C208</f>
        <v/>
      </c>
      <c r="FX28" s="458">
        <f>'_Engine_R50'!C209</f>
        <v/>
      </c>
      <c r="FY28" s="458">
        <f>'_Engine_R50'!C210</f>
        <v/>
      </c>
      <c r="FZ28" s="306" t="n"/>
    </row>
    <row r="29" ht="15" customHeight="1" s="307">
      <c r="A29" s="468" t="inlineStr">
        <is>
          <t>Operating Income</t>
        </is>
      </c>
      <c r="B29" s="469">
        <f>'_Engine_R50'!Z31</f>
        <v/>
      </c>
      <c r="C29" s="469">
        <f>'_Engine_R50'!Z32</f>
        <v/>
      </c>
      <c r="D29" s="469">
        <f>'_Engine_R50'!Z33</f>
        <v/>
      </c>
      <c r="E29" s="469">
        <f>'_Engine_R50'!Z34</f>
        <v/>
      </c>
      <c r="F29" s="469">
        <f>'_Engine_R50'!Z35</f>
        <v/>
      </c>
      <c r="G29" s="469">
        <f>'_Engine_R50'!Z36</f>
        <v/>
      </c>
      <c r="H29" s="469">
        <f>'_Engine_R50'!Z37</f>
        <v/>
      </c>
      <c r="I29" s="469">
        <f>'_Engine_R50'!Z38</f>
        <v/>
      </c>
      <c r="J29" s="469">
        <f>'_Engine_R50'!Z39</f>
        <v/>
      </c>
      <c r="K29" s="469">
        <f>'_Engine_R50'!Z40</f>
        <v/>
      </c>
      <c r="L29" s="469">
        <f>'_Engine_R50'!Z41</f>
        <v/>
      </c>
      <c r="M29" s="469">
        <f>'_Engine_R50'!Z42</f>
        <v/>
      </c>
      <c r="N29" s="470">
        <f>'_Engine_R50'!Z43</f>
        <v/>
      </c>
      <c r="O29" s="470">
        <f>'_Engine_R50'!Z44</f>
        <v/>
      </c>
      <c r="P29" s="470">
        <f>'_Engine_R50'!Z45</f>
        <v/>
      </c>
      <c r="Q29" s="470">
        <f>'_Engine_R50'!Z46</f>
        <v/>
      </c>
      <c r="R29" s="470">
        <f>'_Engine_R50'!Z47</f>
        <v/>
      </c>
      <c r="S29" s="470">
        <f>'_Engine_R50'!Z48</f>
        <v/>
      </c>
      <c r="T29" s="470">
        <f>'_Engine_R50'!Z49</f>
        <v/>
      </c>
      <c r="U29" s="470">
        <f>'_Engine_R50'!Z50</f>
        <v/>
      </c>
      <c r="V29" s="470">
        <f>'_Engine_R50'!Z51</f>
        <v/>
      </c>
      <c r="W29" s="470">
        <f>'_Engine_R50'!Z52</f>
        <v/>
      </c>
      <c r="X29" s="470">
        <f>'_Engine_R50'!Z53</f>
        <v/>
      </c>
      <c r="Y29" s="470">
        <f>'_Engine_R50'!Z54</f>
        <v/>
      </c>
      <c r="Z29" s="469">
        <f>'_Engine_R50'!Z55</f>
        <v/>
      </c>
      <c r="AA29" s="469">
        <f>'_Engine_R50'!Z56</f>
        <v/>
      </c>
      <c r="AB29" s="469">
        <f>'_Engine_R50'!Z57</f>
        <v/>
      </c>
      <c r="AC29" s="469">
        <f>'_Engine_R50'!Z58</f>
        <v/>
      </c>
      <c r="AD29" s="469">
        <f>'_Engine_R50'!Z59</f>
        <v/>
      </c>
      <c r="AE29" s="469">
        <f>'_Engine_R50'!Z60</f>
        <v/>
      </c>
      <c r="AF29" s="469">
        <f>'_Engine_R50'!Z61</f>
        <v/>
      </c>
      <c r="AG29" s="469">
        <f>'_Engine_R50'!Z62</f>
        <v/>
      </c>
      <c r="AH29" s="469">
        <f>'_Engine_R50'!Z63</f>
        <v/>
      </c>
      <c r="AI29" s="469">
        <f>'_Engine_R50'!Z64</f>
        <v/>
      </c>
      <c r="AJ29" s="469">
        <f>'_Engine_R50'!Z65</f>
        <v/>
      </c>
      <c r="AK29" s="469">
        <f>'_Engine_R50'!Z66</f>
        <v/>
      </c>
      <c r="AL29" s="470">
        <f>'_Engine_R50'!Z67</f>
        <v/>
      </c>
      <c r="AM29" s="470">
        <f>'_Engine_R50'!Z68</f>
        <v/>
      </c>
      <c r="AN29" s="470">
        <f>'_Engine_R50'!Z69</f>
        <v/>
      </c>
      <c r="AO29" s="470">
        <f>'_Engine_R50'!Z70</f>
        <v/>
      </c>
      <c r="AP29" s="470">
        <f>'_Engine_R50'!Z71</f>
        <v/>
      </c>
      <c r="AQ29" s="470">
        <f>'_Engine_R50'!Z72</f>
        <v/>
      </c>
      <c r="AR29" s="470">
        <f>'_Engine_R50'!Z73</f>
        <v/>
      </c>
      <c r="AS29" s="470">
        <f>'_Engine_R50'!Z74</f>
        <v/>
      </c>
      <c r="AT29" s="470">
        <f>'_Engine_R50'!Z75</f>
        <v/>
      </c>
      <c r="AU29" s="470">
        <f>'_Engine_R50'!Z76</f>
        <v/>
      </c>
      <c r="AV29" s="470">
        <f>'_Engine_R50'!Z77</f>
        <v/>
      </c>
      <c r="AW29" s="470">
        <f>'_Engine_R50'!Z78</f>
        <v/>
      </c>
      <c r="AX29" s="469">
        <f>'_Engine_R50'!Z79</f>
        <v/>
      </c>
      <c r="AY29" s="469">
        <f>'_Engine_R50'!Z80</f>
        <v/>
      </c>
      <c r="AZ29" s="469">
        <f>'_Engine_R50'!Z81</f>
        <v/>
      </c>
      <c r="BA29" s="469">
        <f>'_Engine_R50'!Z82</f>
        <v/>
      </c>
      <c r="BB29" s="469">
        <f>'_Engine_R50'!Z83</f>
        <v/>
      </c>
      <c r="BC29" s="469">
        <f>'_Engine_R50'!Z84</f>
        <v/>
      </c>
      <c r="BD29" s="469">
        <f>'_Engine_R50'!Z85</f>
        <v/>
      </c>
      <c r="BE29" s="469">
        <f>'_Engine_R50'!Z86</f>
        <v/>
      </c>
      <c r="BF29" s="469">
        <f>'_Engine_R50'!Z87</f>
        <v/>
      </c>
      <c r="BG29" s="469">
        <f>'_Engine_R50'!Z88</f>
        <v/>
      </c>
      <c r="BH29" s="469">
        <f>'_Engine_R50'!Z89</f>
        <v/>
      </c>
      <c r="BI29" s="469">
        <f>'_Engine_R50'!Z90</f>
        <v/>
      </c>
      <c r="BJ29" s="470">
        <f>'_Engine_R50'!Z91</f>
        <v/>
      </c>
      <c r="BK29" s="470">
        <f>'_Engine_R50'!Z92</f>
        <v/>
      </c>
      <c r="BL29" s="470">
        <f>'_Engine_R50'!Z93</f>
        <v/>
      </c>
      <c r="BM29" s="470">
        <f>'_Engine_R50'!Z94</f>
        <v/>
      </c>
      <c r="BN29" s="470">
        <f>'_Engine_R50'!Z95</f>
        <v/>
      </c>
      <c r="BO29" s="470">
        <f>'_Engine_R50'!Z96</f>
        <v/>
      </c>
      <c r="BP29" s="470">
        <f>'_Engine_R50'!Z97</f>
        <v/>
      </c>
      <c r="BQ29" s="470">
        <f>'_Engine_R50'!Z98</f>
        <v/>
      </c>
      <c r="BR29" s="470">
        <f>'_Engine_R50'!Z99</f>
        <v/>
      </c>
      <c r="BS29" s="470">
        <f>'_Engine_R50'!Z100</f>
        <v/>
      </c>
      <c r="BT29" s="470">
        <f>'_Engine_R50'!Z101</f>
        <v/>
      </c>
      <c r="BU29" s="470">
        <f>'_Engine_R50'!Z102</f>
        <v/>
      </c>
      <c r="BV29" s="469">
        <f>'_Engine_R50'!Z103</f>
        <v/>
      </c>
      <c r="BW29" s="469">
        <f>'_Engine_R50'!Z104</f>
        <v/>
      </c>
      <c r="BX29" s="469">
        <f>'_Engine_R50'!Z105</f>
        <v/>
      </c>
      <c r="BY29" s="469">
        <f>'_Engine_R50'!Z106</f>
        <v/>
      </c>
      <c r="BZ29" s="469">
        <f>'_Engine_R50'!Z107</f>
        <v/>
      </c>
      <c r="CA29" s="469">
        <f>'_Engine_R50'!Z108</f>
        <v/>
      </c>
      <c r="CB29" s="469">
        <f>'_Engine_R50'!Z109</f>
        <v/>
      </c>
      <c r="CC29" s="469">
        <f>'_Engine_R50'!Z110</f>
        <v/>
      </c>
      <c r="CD29" s="469">
        <f>'_Engine_R50'!Z111</f>
        <v/>
      </c>
      <c r="CE29" s="469">
        <f>'_Engine_R50'!Z112</f>
        <v/>
      </c>
      <c r="CF29" s="469">
        <f>'_Engine_R50'!Z113</f>
        <v/>
      </c>
      <c r="CG29" s="469">
        <f>'_Engine_R50'!Z114</f>
        <v/>
      </c>
      <c r="CH29" s="470">
        <f>'_Engine_R50'!Z115</f>
        <v/>
      </c>
      <c r="CI29" s="470">
        <f>'_Engine_R50'!Z116</f>
        <v/>
      </c>
      <c r="CJ29" s="470">
        <f>'_Engine_R50'!Z117</f>
        <v/>
      </c>
      <c r="CK29" s="470">
        <f>'_Engine_R50'!Z118</f>
        <v/>
      </c>
      <c r="CL29" s="470">
        <f>'_Engine_R50'!Z119</f>
        <v/>
      </c>
      <c r="CM29" s="470">
        <f>'_Engine_R50'!Z120</f>
        <v/>
      </c>
      <c r="CN29" s="470">
        <f>'_Engine_R50'!Z121</f>
        <v/>
      </c>
      <c r="CO29" s="470">
        <f>'_Engine_R50'!Z122</f>
        <v/>
      </c>
      <c r="CP29" s="470">
        <f>'_Engine_R50'!Z123</f>
        <v/>
      </c>
      <c r="CQ29" s="470">
        <f>'_Engine_R50'!Z124</f>
        <v/>
      </c>
      <c r="CR29" s="470">
        <f>'_Engine_R50'!Z125</f>
        <v/>
      </c>
      <c r="CS29" s="470">
        <f>'_Engine_R50'!Z126</f>
        <v/>
      </c>
      <c r="CT29" s="469">
        <f>'_Engine_R50'!Z127</f>
        <v/>
      </c>
      <c r="CU29" s="469">
        <f>'_Engine_R50'!Z128</f>
        <v/>
      </c>
      <c r="CV29" s="469">
        <f>'_Engine_R50'!Z129</f>
        <v/>
      </c>
      <c r="CW29" s="469">
        <f>'_Engine_R50'!Z130</f>
        <v/>
      </c>
      <c r="CX29" s="469">
        <f>'_Engine_R50'!Z131</f>
        <v/>
      </c>
      <c r="CY29" s="469">
        <f>'_Engine_R50'!Z132</f>
        <v/>
      </c>
      <c r="CZ29" s="469">
        <f>'_Engine_R50'!Z133</f>
        <v/>
      </c>
      <c r="DA29" s="469">
        <f>'_Engine_R50'!Z134</f>
        <v/>
      </c>
      <c r="DB29" s="469">
        <f>'_Engine_R50'!Z135</f>
        <v/>
      </c>
      <c r="DC29" s="469">
        <f>'_Engine_R50'!Z136</f>
        <v/>
      </c>
      <c r="DD29" s="469">
        <f>'_Engine_R50'!Z137</f>
        <v/>
      </c>
      <c r="DE29" s="469">
        <f>'_Engine_R50'!Z138</f>
        <v/>
      </c>
      <c r="DF29" s="470">
        <f>'_Engine_R50'!Z139</f>
        <v/>
      </c>
      <c r="DG29" s="470">
        <f>'_Engine_R50'!Z140</f>
        <v/>
      </c>
      <c r="DH29" s="470">
        <f>'_Engine_R50'!Z141</f>
        <v/>
      </c>
      <c r="DI29" s="470">
        <f>'_Engine_R50'!Z142</f>
        <v/>
      </c>
      <c r="DJ29" s="470">
        <f>'_Engine_R50'!Z143</f>
        <v/>
      </c>
      <c r="DK29" s="470">
        <f>'_Engine_R50'!Z144</f>
        <v/>
      </c>
      <c r="DL29" s="470">
        <f>'_Engine_R50'!Z145</f>
        <v/>
      </c>
      <c r="DM29" s="470">
        <f>'_Engine_R50'!Z146</f>
        <v/>
      </c>
      <c r="DN29" s="470">
        <f>'_Engine_R50'!Z147</f>
        <v/>
      </c>
      <c r="DO29" s="470">
        <f>'_Engine_R50'!Z148</f>
        <v/>
      </c>
      <c r="DP29" s="470">
        <f>'_Engine_R50'!Z149</f>
        <v/>
      </c>
      <c r="DQ29" s="470">
        <f>'_Engine_R50'!Z150</f>
        <v/>
      </c>
      <c r="DR29" s="469">
        <f>'_Engine_R50'!Z151</f>
        <v/>
      </c>
      <c r="DS29" s="469">
        <f>'_Engine_R50'!Z152</f>
        <v/>
      </c>
      <c r="DT29" s="469">
        <f>'_Engine_R50'!Z153</f>
        <v/>
      </c>
      <c r="DU29" s="469">
        <f>'_Engine_R50'!Z154</f>
        <v/>
      </c>
      <c r="DV29" s="469">
        <f>'_Engine_R50'!Z155</f>
        <v/>
      </c>
      <c r="DW29" s="469">
        <f>'_Engine_R50'!Z156</f>
        <v/>
      </c>
      <c r="DX29" s="469">
        <f>'_Engine_R50'!Z157</f>
        <v/>
      </c>
      <c r="DY29" s="469">
        <f>'_Engine_R50'!Z158</f>
        <v/>
      </c>
      <c r="DZ29" s="469">
        <f>'_Engine_R50'!Z159</f>
        <v/>
      </c>
      <c r="EA29" s="469">
        <f>'_Engine_R50'!Z160</f>
        <v/>
      </c>
      <c r="EB29" s="469">
        <f>'_Engine_R50'!Z161</f>
        <v/>
      </c>
      <c r="EC29" s="469">
        <f>'_Engine_R50'!Z162</f>
        <v/>
      </c>
      <c r="ED29" s="470">
        <f>'_Engine_R50'!Z163</f>
        <v/>
      </c>
      <c r="EE29" s="470">
        <f>'_Engine_R50'!Z164</f>
        <v/>
      </c>
      <c r="EF29" s="470">
        <f>'_Engine_R50'!Z165</f>
        <v/>
      </c>
      <c r="EG29" s="470">
        <f>'_Engine_R50'!Z166</f>
        <v/>
      </c>
      <c r="EH29" s="470">
        <f>'_Engine_R50'!Z167</f>
        <v/>
      </c>
      <c r="EI29" s="470">
        <f>'_Engine_R50'!Z168</f>
        <v/>
      </c>
      <c r="EJ29" s="470">
        <f>'_Engine_R50'!Z169</f>
        <v/>
      </c>
      <c r="EK29" s="470">
        <f>'_Engine_R50'!Z170</f>
        <v/>
      </c>
      <c r="EL29" s="470">
        <f>'_Engine_R50'!Z171</f>
        <v/>
      </c>
      <c r="EM29" s="470">
        <f>'_Engine_R50'!Z172</f>
        <v/>
      </c>
      <c r="EN29" s="470">
        <f>'_Engine_R50'!Z173</f>
        <v/>
      </c>
      <c r="EO29" s="470">
        <f>'_Engine_R50'!Z174</f>
        <v/>
      </c>
      <c r="EP29" s="469">
        <f>'_Engine_R50'!Z175</f>
        <v/>
      </c>
      <c r="EQ29" s="469">
        <f>'_Engine_R50'!Z176</f>
        <v/>
      </c>
      <c r="ER29" s="469">
        <f>'_Engine_R50'!Z177</f>
        <v/>
      </c>
      <c r="ES29" s="469">
        <f>'_Engine_R50'!Z178</f>
        <v/>
      </c>
      <c r="ET29" s="469">
        <f>'_Engine_R50'!Z179</f>
        <v/>
      </c>
      <c r="EU29" s="469">
        <f>'_Engine_R50'!Z180</f>
        <v/>
      </c>
      <c r="EV29" s="469">
        <f>'_Engine_R50'!Z181</f>
        <v/>
      </c>
      <c r="EW29" s="469">
        <f>'_Engine_R50'!Z182</f>
        <v/>
      </c>
      <c r="EX29" s="469">
        <f>'_Engine_R50'!Z183</f>
        <v/>
      </c>
      <c r="EY29" s="469">
        <f>'_Engine_R50'!Z184</f>
        <v/>
      </c>
      <c r="EZ29" s="469">
        <f>'_Engine_R50'!Z185</f>
        <v/>
      </c>
      <c r="FA29" s="469">
        <f>'_Engine_R50'!Z186</f>
        <v/>
      </c>
      <c r="FB29" s="470">
        <f>'_Engine_R50'!Z187</f>
        <v/>
      </c>
      <c r="FC29" s="470">
        <f>'_Engine_R50'!Z188</f>
        <v/>
      </c>
      <c r="FD29" s="470">
        <f>'_Engine_R50'!Z189</f>
        <v/>
      </c>
      <c r="FE29" s="470">
        <f>'_Engine_R50'!Z190</f>
        <v/>
      </c>
      <c r="FF29" s="470">
        <f>'_Engine_R50'!Z191</f>
        <v/>
      </c>
      <c r="FG29" s="470">
        <f>'_Engine_R50'!Z192</f>
        <v/>
      </c>
      <c r="FH29" s="470">
        <f>'_Engine_R50'!Z193</f>
        <v/>
      </c>
      <c r="FI29" s="470">
        <f>'_Engine_R50'!Z194</f>
        <v/>
      </c>
      <c r="FJ29" s="470">
        <f>'_Engine_R50'!Z195</f>
        <v/>
      </c>
      <c r="FK29" s="470">
        <f>'_Engine_R50'!Z196</f>
        <v/>
      </c>
      <c r="FL29" s="470">
        <f>'_Engine_R50'!Z197</f>
        <v/>
      </c>
      <c r="FM29" s="470">
        <f>'_Engine_R50'!Z198</f>
        <v/>
      </c>
      <c r="FN29" s="469">
        <f>'_Engine_R50'!Z199</f>
        <v/>
      </c>
      <c r="FO29" s="469">
        <f>'_Engine_R50'!Z200</f>
        <v/>
      </c>
      <c r="FP29" s="469">
        <f>'_Engine_R50'!Z201</f>
        <v/>
      </c>
      <c r="FQ29" s="469">
        <f>'_Engine_R50'!Z202</f>
        <v/>
      </c>
      <c r="FR29" s="469">
        <f>'_Engine_R50'!Z203</f>
        <v/>
      </c>
      <c r="FS29" s="469">
        <f>'_Engine_R50'!Z204</f>
        <v/>
      </c>
      <c r="FT29" s="469">
        <f>'_Engine_R50'!Z205</f>
        <v/>
      </c>
      <c r="FU29" s="469">
        <f>'_Engine_R50'!Z206</f>
        <v/>
      </c>
      <c r="FV29" s="469">
        <f>'_Engine_R50'!Z207</f>
        <v/>
      </c>
      <c r="FW29" s="469">
        <f>'_Engine_R50'!Z208</f>
        <v/>
      </c>
      <c r="FX29" s="469">
        <f>'_Engine_R50'!Z209</f>
        <v/>
      </c>
      <c r="FY29" s="469">
        <f>'_Engine_R50'!Z210</f>
        <v/>
      </c>
      <c r="FZ29" s="306" t="n"/>
    </row>
    <row r="30" ht="15" customHeight="1" s="307">
      <c r="A30" s="322" t="n"/>
      <c r="B30" s="466" t="n"/>
      <c r="C30" s="466" t="n"/>
      <c r="D30" s="466" t="n"/>
      <c r="E30" s="466" t="n"/>
      <c r="F30" s="466" t="n"/>
      <c r="G30" s="466" t="n"/>
      <c r="H30" s="466" t="n"/>
      <c r="I30" s="466" t="n"/>
      <c r="J30" s="466" t="n"/>
      <c r="K30" s="466" t="n"/>
      <c r="L30" s="466" t="n"/>
      <c r="M30" s="466" t="n"/>
      <c r="N30" s="466" t="n"/>
      <c r="O30" s="466" t="n"/>
      <c r="P30" s="466" t="n"/>
      <c r="Q30" s="466" t="n"/>
      <c r="R30" s="466" t="n"/>
      <c r="S30" s="466" t="n"/>
      <c r="T30" s="466" t="n"/>
      <c r="U30" s="466" t="n"/>
      <c r="V30" s="466" t="n"/>
      <c r="W30" s="466" t="n"/>
      <c r="X30" s="466" t="n"/>
      <c r="Y30" s="466" t="n"/>
      <c r="Z30" s="466" t="n"/>
      <c r="AA30" s="466" t="n"/>
      <c r="AB30" s="466" t="n"/>
      <c r="AC30" s="466" t="n"/>
      <c r="AD30" s="466" t="n"/>
      <c r="AE30" s="466" t="n"/>
      <c r="AF30" s="466" t="n"/>
      <c r="AG30" s="466" t="n"/>
      <c r="AH30" s="466" t="n"/>
      <c r="AI30" s="466" t="n"/>
      <c r="AJ30" s="466" t="n"/>
      <c r="AK30" s="466" t="n"/>
      <c r="AL30" s="466" t="n"/>
      <c r="AM30" s="466" t="n"/>
      <c r="AN30" s="466" t="n"/>
      <c r="AO30" s="466" t="n"/>
      <c r="AP30" s="466" t="n"/>
      <c r="AQ30" s="466" t="n"/>
      <c r="AR30" s="466" t="n"/>
      <c r="AS30" s="466" t="n"/>
      <c r="AT30" s="466" t="n"/>
      <c r="AU30" s="466" t="n"/>
      <c r="AV30" s="466" t="n"/>
      <c r="AW30" s="466" t="n"/>
      <c r="AX30" s="466" t="n"/>
      <c r="AY30" s="466" t="n"/>
      <c r="AZ30" s="466" t="n"/>
      <c r="BA30" s="466" t="n"/>
      <c r="BB30" s="466" t="n"/>
      <c r="BC30" s="466" t="n"/>
      <c r="BD30" s="466" t="n"/>
      <c r="BE30" s="466" t="n"/>
      <c r="BF30" s="466" t="n"/>
      <c r="BG30" s="466" t="n"/>
      <c r="BH30" s="466" t="n"/>
      <c r="BI30" s="466" t="n"/>
      <c r="BJ30" s="466" t="n"/>
      <c r="BK30" s="466" t="n"/>
      <c r="BL30" s="466" t="n"/>
      <c r="BM30" s="466" t="n"/>
      <c r="BN30" s="466" t="n"/>
      <c r="BO30" s="466" t="n"/>
      <c r="BP30" s="466" t="n"/>
      <c r="BQ30" s="466" t="n"/>
      <c r="BR30" s="466" t="n"/>
      <c r="BS30" s="466" t="n"/>
      <c r="BT30" s="466" t="n"/>
      <c r="BU30" s="466" t="n"/>
      <c r="BV30" s="466" t="n"/>
      <c r="BW30" s="466" t="n"/>
      <c r="BX30" s="466" t="n"/>
      <c r="BY30" s="466" t="n"/>
      <c r="BZ30" s="466" t="n"/>
      <c r="CA30" s="466" t="n"/>
      <c r="CB30" s="466" t="n"/>
      <c r="CC30" s="466" t="n"/>
      <c r="CD30" s="466" t="n"/>
      <c r="CE30" s="466" t="n"/>
      <c r="CF30" s="466" t="n"/>
      <c r="CG30" s="466" t="n"/>
      <c r="CH30" s="466" t="n"/>
      <c r="CI30" s="466" t="n"/>
      <c r="CJ30" s="466" t="n"/>
      <c r="CK30" s="466" t="n"/>
      <c r="CL30" s="466" t="n"/>
      <c r="CM30" s="466" t="n"/>
      <c r="CN30" s="466" t="n"/>
      <c r="CO30" s="466" t="n"/>
      <c r="CP30" s="466" t="n"/>
      <c r="CQ30" s="466" t="n"/>
      <c r="CR30" s="466" t="n"/>
      <c r="CS30" s="466" t="n"/>
      <c r="CT30" s="466" t="n"/>
      <c r="CU30" s="466" t="n"/>
      <c r="CV30" s="466" t="n"/>
      <c r="CW30" s="466" t="n"/>
      <c r="CX30" s="466" t="n"/>
      <c r="CY30" s="466" t="n"/>
      <c r="CZ30" s="466" t="n"/>
      <c r="DA30" s="466" t="n"/>
      <c r="DB30" s="466" t="n"/>
      <c r="DC30" s="466" t="n"/>
      <c r="DD30" s="466" t="n"/>
      <c r="DE30" s="466" t="n"/>
      <c r="DF30" s="466" t="n"/>
      <c r="DG30" s="466" t="n"/>
      <c r="DH30" s="466" t="n"/>
      <c r="DI30" s="466" t="n"/>
      <c r="DJ30" s="466" t="n"/>
      <c r="DK30" s="466" t="n"/>
      <c r="DL30" s="466" t="n"/>
      <c r="DM30" s="466" t="n"/>
      <c r="DN30" s="466" t="n"/>
      <c r="DO30" s="466" t="n"/>
      <c r="DP30" s="466" t="n"/>
      <c r="DQ30" s="466" t="n"/>
      <c r="DR30" s="466" t="n"/>
      <c r="DS30" s="466" t="n"/>
      <c r="DT30" s="466" t="n"/>
      <c r="DU30" s="466" t="n"/>
      <c r="DV30" s="466" t="n"/>
      <c r="DW30" s="466" t="n"/>
      <c r="DX30" s="466" t="n"/>
      <c r="DY30" s="466" t="n"/>
      <c r="DZ30" s="466" t="n"/>
      <c r="EA30" s="466" t="n"/>
      <c r="EB30" s="466" t="n"/>
      <c r="EC30" s="466" t="n"/>
      <c r="ED30" s="466" t="n"/>
      <c r="EE30" s="466" t="n"/>
      <c r="EF30" s="466" t="n"/>
      <c r="EG30" s="466" t="n"/>
      <c r="EH30" s="466" t="n"/>
      <c r="EI30" s="466" t="n"/>
      <c r="EJ30" s="466" t="n"/>
      <c r="EK30" s="466" t="n"/>
      <c r="EL30" s="466" t="n"/>
      <c r="EM30" s="466" t="n"/>
      <c r="EN30" s="466" t="n"/>
      <c r="EO30" s="466" t="n"/>
      <c r="EP30" s="466" t="n"/>
      <c r="EQ30" s="466" t="n"/>
      <c r="ER30" s="466" t="n"/>
      <c r="ES30" s="466" t="n"/>
      <c r="ET30" s="466" t="n"/>
      <c r="EU30" s="466" t="n"/>
      <c r="EV30" s="466" t="n"/>
      <c r="EW30" s="466" t="n"/>
      <c r="EX30" s="466" t="n"/>
      <c r="EY30" s="466" t="n"/>
      <c r="EZ30" s="466" t="n"/>
      <c r="FA30" s="466" t="n"/>
      <c r="FB30" s="466" t="n"/>
      <c r="FC30" s="466" t="n"/>
      <c r="FD30" s="466" t="n"/>
      <c r="FE30" s="466" t="n"/>
      <c r="FF30" s="466" t="n"/>
      <c r="FG30" s="466" t="n"/>
      <c r="FH30" s="466" t="n"/>
      <c r="FI30" s="466" t="n"/>
      <c r="FJ30" s="466" t="n"/>
      <c r="FK30" s="466" t="n"/>
      <c r="FL30" s="466" t="n"/>
      <c r="FM30" s="466" t="n"/>
      <c r="FN30" s="466" t="n"/>
      <c r="FO30" s="466" t="n"/>
      <c r="FP30" s="466" t="n"/>
      <c r="FQ30" s="466" t="n"/>
      <c r="FR30" s="466" t="n"/>
      <c r="FS30" s="466" t="n"/>
      <c r="FT30" s="466" t="n"/>
      <c r="FU30" s="466" t="n"/>
      <c r="FV30" s="466" t="n"/>
      <c r="FW30" s="466" t="n"/>
      <c r="FX30" s="466" t="n"/>
      <c r="FY30" s="466" t="n"/>
      <c r="FZ30" s="306" t="n"/>
    </row>
    <row r="31" ht="15" customHeight="1" s="307">
      <c r="A31" s="321" t="inlineStr">
        <is>
          <t xml:space="preserve">    Management Fee</t>
        </is>
      </c>
      <c r="B31" s="458" t="n">
        <v>0.25</v>
      </c>
      <c r="C31" s="458" t="n">
        <v>0.25</v>
      </c>
      <c r="D31" s="458" t="n">
        <v>0.25</v>
      </c>
      <c r="E31" s="458" t="n">
        <v>0.25</v>
      </c>
      <c r="F31" s="458" t="n">
        <v>0.25</v>
      </c>
      <c r="G31" s="458" t="n">
        <v>0.25</v>
      </c>
      <c r="H31" s="458" t="n">
        <v>0.25</v>
      </c>
      <c r="I31" s="458" t="n">
        <v>0.25</v>
      </c>
      <c r="J31" s="458" t="n">
        <v>0.25</v>
      </c>
      <c r="K31" s="458" t="n">
        <v>0.25</v>
      </c>
      <c r="L31" s="458" t="n">
        <v>0.25</v>
      </c>
      <c r="M31" s="458" t="n">
        <v>0.25</v>
      </c>
      <c r="N31" s="459" t="n">
        <v>0</v>
      </c>
      <c r="O31" s="459" t="n">
        <v>0</v>
      </c>
      <c r="P31" s="459" t="n">
        <v>0</v>
      </c>
      <c r="Q31" s="459" t="n">
        <v>0</v>
      </c>
      <c r="R31" s="459" t="n">
        <v>0</v>
      </c>
      <c r="S31" s="459" t="n">
        <v>0</v>
      </c>
      <c r="T31" s="459" t="n">
        <v>0</v>
      </c>
      <c r="U31" s="459" t="n">
        <v>0</v>
      </c>
      <c r="V31" s="459" t="n">
        <v>0</v>
      </c>
      <c r="W31" s="459" t="n">
        <v>0</v>
      </c>
      <c r="X31" s="459" t="n">
        <v>0</v>
      </c>
      <c r="Y31" s="459" t="n">
        <v>0</v>
      </c>
      <c r="Z31" s="458" t="n">
        <v>0</v>
      </c>
      <c r="AA31" s="458" t="n">
        <v>0</v>
      </c>
      <c r="AB31" s="458" t="n">
        <v>0</v>
      </c>
      <c r="AC31" s="458" t="n">
        <v>0</v>
      </c>
      <c r="AD31" s="458" t="n">
        <v>0</v>
      </c>
      <c r="AE31" s="458" t="n">
        <v>0</v>
      </c>
      <c r="AF31" s="458" t="n">
        <v>0</v>
      </c>
      <c r="AG31" s="458" t="n">
        <v>0</v>
      </c>
      <c r="AH31" s="458" t="n">
        <v>0</v>
      </c>
      <c r="AI31" s="458" t="n">
        <v>0</v>
      </c>
      <c r="AJ31" s="458" t="n">
        <v>0</v>
      </c>
      <c r="AK31" s="458" t="n">
        <v>0</v>
      </c>
      <c r="AL31" s="459" t="n">
        <v>0</v>
      </c>
      <c r="AM31" s="459" t="n">
        <v>0</v>
      </c>
      <c r="AN31" s="459" t="n">
        <v>0</v>
      </c>
      <c r="AO31" s="459" t="n">
        <v>0</v>
      </c>
      <c r="AP31" s="459" t="n">
        <v>0</v>
      </c>
      <c r="AQ31" s="459" t="n">
        <v>0</v>
      </c>
      <c r="AR31" s="459" t="n">
        <v>0</v>
      </c>
      <c r="AS31" s="459" t="n">
        <v>0</v>
      </c>
      <c r="AT31" s="459" t="n">
        <v>0</v>
      </c>
      <c r="AU31" s="459" t="n">
        <v>0</v>
      </c>
      <c r="AV31" s="459" t="n">
        <v>0</v>
      </c>
      <c r="AW31" s="459" t="n">
        <v>0</v>
      </c>
      <c r="AX31" s="458" t="n">
        <v>0</v>
      </c>
      <c r="AY31" s="458" t="n">
        <v>0</v>
      </c>
      <c r="AZ31" s="458" t="n">
        <v>0</v>
      </c>
      <c r="BA31" s="458" t="n">
        <v>0</v>
      </c>
      <c r="BB31" s="458" t="n">
        <v>0</v>
      </c>
      <c r="BC31" s="458" t="n">
        <v>0</v>
      </c>
      <c r="BD31" s="458" t="n">
        <v>0</v>
      </c>
      <c r="BE31" s="458" t="n">
        <v>0</v>
      </c>
      <c r="BF31" s="458" t="n">
        <v>0</v>
      </c>
      <c r="BG31" s="458" t="n">
        <v>0</v>
      </c>
      <c r="BH31" s="458" t="n">
        <v>0</v>
      </c>
      <c r="BI31" s="458" t="n">
        <v>0</v>
      </c>
      <c r="BJ31" s="459" t="n">
        <v>0</v>
      </c>
      <c r="BK31" s="459" t="n">
        <v>0</v>
      </c>
      <c r="BL31" s="459" t="n">
        <v>0</v>
      </c>
      <c r="BM31" s="459" t="n">
        <v>0</v>
      </c>
      <c r="BN31" s="459" t="n">
        <v>0</v>
      </c>
      <c r="BO31" s="459" t="n">
        <v>0</v>
      </c>
      <c r="BP31" s="459" t="n">
        <v>0</v>
      </c>
      <c r="BQ31" s="459" t="n">
        <v>0</v>
      </c>
      <c r="BR31" s="459" t="n">
        <v>0</v>
      </c>
      <c r="BS31" s="459" t="n">
        <v>0</v>
      </c>
      <c r="BT31" s="459" t="n">
        <v>0</v>
      </c>
      <c r="BU31" s="459" t="n">
        <v>0</v>
      </c>
      <c r="BV31" s="458" t="n">
        <v>0</v>
      </c>
      <c r="BW31" s="458" t="n">
        <v>0</v>
      </c>
      <c r="BX31" s="458" t="n">
        <v>0</v>
      </c>
      <c r="BY31" s="458" t="n">
        <v>0</v>
      </c>
      <c r="BZ31" s="458" t="n">
        <v>0</v>
      </c>
      <c r="CA31" s="458" t="n">
        <v>0</v>
      </c>
      <c r="CB31" s="458" t="n">
        <v>0</v>
      </c>
      <c r="CC31" s="458" t="n">
        <v>0</v>
      </c>
      <c r="CD31" s="458" t="n">
        <v>0</v>
      </c>
      <c r="CE31" s="458" t="n">
        <v>0</v>
      </c>
      <c r="CF31" s="458" t="n">
        <v>0</v>
      </c>
      <c r="CG31" s="458" t="n">
        <v>0</v>
      </c>
      <c r="CH31" s="459" t="n">
        <v>0</v>
      </c>
      <c r="CI31" s="459" t="n">
        <v>0</v>
      </c>
      <c r="CJ31" s="459" t="n">
        <v>0</v>
      </c>
      <c r="CK31" s="459" t="n">
        <v>0</v>
      </c>
      <c r="CL31" s="459" t="n">
        <v>0</v>
      </c>
      <c r="CM31" s="459" t="n">
        <v>0</v>
      </c>
      <c r="CN31" s="459" t="n">
        <v>0</v>
      </c>
      <c r="CO31" s="459" t="n">
        <v>0</v>
      </c>
      <c r="CP31" s="459" t="n">
        <v>0</v>
      </c>
      <c r="CQ31" s="459" t="n">
        <v>0</v>
      </c>
      <c r="CR31" s="459" t="n">
        <v>0</v>
      </c>
      <c r="CS31" s="459" t="n">
        <v>0</v>
      </c>
      <c r="CT31" s="458" t="n">
        <v>0</v>
      </c>
      <c r="CU31" s="458" t="n">
        <v>0</v>
      </c>
      <c r="CV31" s="458" t="n">
        <v>0</v>
      </c>
      <c r="CW31" s="458" t="n">
        <v>0</v>
      </c>
      <c r="CX31" s="458" t="n">
        <v>0</v>
      </c>
      <c r="CY31" s="458" t="n">
        <v>0</v>
      </c>
      <c r="CZ31" s="458" t="n">
        <v>0</v>
      </c>
      <c r="DA31" s="458" t="n">
        <v>0</v>
      </c>
      <c r="DB31" s="458" t="n">
        <v>0</v>
      </c>
      <c r="DC31" s="458" t="n">
        <v>0</v>
      </c>
      <c r="DD31" s="458" t="n">
        <v>0</v>
      </c>
      <c r="DE31" s="458" t="n">
        <v>0</v>
      </c>
      <c r="DF31" s="459" t="n">
        <v>0</v>
      </c>
      <c r="DG31" s="459" t="n">
        <v>0</v>
      </c>
      <c r="DH31" s="459" t="n">
        <v>0</v>
      </c>
      <c r="DI31" s="459" t="n">
        <v>0</v>
      </c>
      <c r="DJ31" s="459" t="n">
        <v>0</v>
      </c>
      <c r="DK31" s="459" t="n">
        <v>0</v>
      </c>
      <c r="DL31" s="459" t="n">
        <v>0</v>
      </c>
      <c r="DM31" s="459" t="n">
        <v>0</v>
      </c>
      <c r="DN31" s="459" t="n">
        <v>0</v>
      </c>
      <c r="DO31" s="459" t="n">
        <v>0</v>
      </c>
      <c r="DP31" s="459" t="n">
        <v>0</v>
      </c>
      <c r="DQ31" s="459" t="n">
        <v>0</v>
      </c>
      <c r="DR31" s="458" t="n">
        <v>0</v>
      </c>
      <c r="DS31" s="458" t="n">
        <v>0</v>
      </c>
      <c r="DT31" s="458" t="n">
        <v>0</v>
      </c>
      <c r="DU31" s="458" t="n">
        <v>0</v>
      </c>
      <c r="DV31" s="458" t="n">
        <v>0</v>
      </c>
      <c r="DW31" s="458" t="n">
        <v>0</v>
      </c>
      <c r="DX31" s="458" t="n">
        <v>0</v>
      </c>
      <c r="DY31" s="458" t="n">
        <v>0</v>
      </c>
      <c r="DZ31" s="458" t="n">
        <v>0</v>
      </c>
      <c r="EA31" s="458" t="n">
        <v>0</v>
      </c>
      <c r="EB31" s="458" t="n">
        <v>0</v>
      </c>
      <c r="EC31" s="458" t="n">
        <v>0</v>
      </c>
      <c r="ED31" s="459" t="n">
        <v>0</v>
      </c>
      <c r="EE31" s="459" t="n">
        <v>0</v>
      </c>
      <c r="EF31" s="459" t="n">
        <v>0</v>
      </c>
      <c r="EG31" s="459" t="n">
        <v>0</v>
      </c>
      <c r="EH31" s="459" t="n">
        <v>0</v>
      </c>
      <c r="EI31" s="459" t="n">
        <v>0</v>
      </c>
      <c r="EJ31" s="459" t="n">
        <v>0</v>
      </c>
      <c r="EK31" s="459" t="n">
        <v>0</v>
      </c>
      <c r="EL31" s="459" t="n">
        <v>0</v>
      </c>
      <c r="EM31" s="459" t="n">
        <v>0</v>
      </c>
      <c r="EN31" s="459" t="n">
        <v>0</v>
      </c>
      <c r="EO31" s="459" t="n">
        <v>0</v>
      </c>
      <c r="EP31" s="458" t="n">
        <v>0</v>
      </c>
      <c r="EQ31" s="458" t="n">
        <v>0</v>
      </c>
      <c r="ER31" s="458" t="n">
        <v>0</v>
      </c>
      <c r="ES31" s="458" t="n">
        <v>0</v>
      </c>
      <c r="ET31" s="458" t="n">
        <v>0</v>
      </c>
      <c r="EU31" s="458" t="n">
        <v>0</v>
      </c>
      <c r="EV31" s="458" t="n">
        <v>0</v>
      </c>
      <c r="EW31" s="458" t="n">
        <v>0</v>
      </c>
      <c r="EX31" s="458" t="n">
        <v>0</v>
      </c>
      <c r="EY31" s="458" t="n">
        <v>0</v>
      </c>
      <c r="EZ31" s="458" t="n">
        <v>0</v>
      </c>
      <c r="FA31" s="458" t="n">
        <v>0</v>
      </c>
      <c r="FB31" s="459" t="n">
        <v>0</v>
      </c>
      <c r="FC31" s="459" t="n">
        <v>0</v>
      </c>
      <c r="FD31" s="459" t="n">
        <v>0</v>
      </c>
      <c r="FE31" s="459" t="n">
        <v>0</v>
      </c>
      <c r="FF31" s="459" t="n">
        <v>0</v>
      </c>
      <c r="FG31" s="459" t="n">
        <v>0</v>
      </c>
      <c r="FH31" s="459" t="n">
        <v>0</v>
      </c>
      <c r="FI31" s="459" t="n">
        <v>0</v>
      </c>
      <c r="FJ31" s="459" t="n">
        <v>0</v>
      </c>
      <c r="FK31" s="459" t="n">
        <v>0</v>
      </c>
      <c r="FL31" s="459" t="n">
        <v>0</v>
      </c>
      <c r="FM31" s="459" t="n">
        <v>0</v>
      </c>
      <c r="FN31" s="458" t="n">
        <v>0</v>
      </c>
      <c r="FO31" s="458" t="n">
        <v>0</v>
      </c>
      <c r="FP31" s="458" t="n">
        <v>0</v>
      </c>
      <c r="FQ31" s="458" t="n">
        <v>0</v>
      </c>
      <c r="FR31" s="458" t="n">
        <v>0</v>
      </c>
      <c r="FS31" s="458" t="n">
        <v>0</v>
      </c>
      <c r="FT31" s="458" t="n">
        <v>0</v>
      </c>
      <c r="FU31" s="458" t="n">
        <v>0</v>
      </c>
      <c r="FV31" s="458" t="n">
        <v>0</v>
      </c>
      <c r="FW31" s="458" t="n">
        <v>0</v>
      </c>
      <c r="FX31" s="458" t="n">
        <v>0</v>
      </c>
      <c r="FY31" s="458" t="n">
        <v>0</v>
      </c>
      <c r="FZ31" s="306" t="n"/>
    </row>
    <row r="32" ht="15" customHeight="1" s="307">
      <c r="A32" s="321" t="inlineStr">
        <is>
          <t xml:space="preserve">    Retained (50%)</t>
        </is>
      </c>
      <c r="B32" s="458" t="n">
        <v>-0.1656</v>
      </c>
      <c r="C32" s="458" t="n">
        <v>-0.1656</v>
      </c>
      <c r="D32" s="458" t="n">
        <v>-0.1656</v>
      </c>
      <c r="E32" s="458" t="n">
        <v>-1.0328</v>
      </c>
      <c r="F32" s="458" t="n">
        <v>-0.1847</v>
      </c>
      <c r="G32" s="458" t="n">
        <v>-0.078</v>
      </c>
      <c r="H32" s="458" t="n">
        <v>-1.1042</v>
      </c>
      <c r="I32" s="458" t="n">
        <v>0.1416</v>
      </c>
      <c r="J32" s="458" t="n">
        <v>0.3531</v>
      </c>
      <c r="K32" s="458" t="n">
        <v>-0.3366</v>
      </c>
      <c r="L32" s="458" t="n">
        <v>0.7863</v>
      </c>
      <c r="M32" s="458" t="n">
        <v>0.2702</v>
      </c>
      <c r="N32" s="459" t="n">
        <v>1.3416</v>
      </c>
      <c r="O32" s="459" t="n">
        <v>1.6048</v>
      </c>
      <c r="P32" s="459" t="n">
        <v>1.8606</v>
      </c>
      <c r="Q32" s="459" t="n">
        <v>1.3662</v>
      </c>
      <c r="R32" s="459" t="n">
        <v>2.3372</v>
      </c>
      <c r="S32" s="459" t="n">
        <v>2.5684</v>
      </c>
      <c r="T32" s="459" t="n">
        <v>2.7174</v>
      </c>
      <c r="U32" s="459" t="n">
        <v>2.8357</v>
      </c>
      <c r="V32" s="459" t="n">
        <v>2.9503</v>
      </c>
      <c r="W32" s="459" t="n">
        <v>3.0612</v>
      </c>
      <c r="X32" s="459" t="n">
        <v>3.0657</v>
      </c>
      <c r="Y32" s="459" t="n">
        <v>2.3771</v>
      </c>
      <c r="Z32" s="458" t="n">
        <v>3.1503</v>
      </c>
      <c r="AA32" s="458" t="n">
        <v>3.2283</v>
      </c>
      <c r="AB32" s="458" t="n">
        <v>3.3035</v>
      </c>
      <c r="AC32" s="458" t="n">
        <v>3.3761</v>
      </c>
      <c r="AD32" s="458" t="n">
        <v>3.4216</v>
      </c>
      <c r="AE32" s="458" t="n">
        <v>2.7728</v>
      </c>
      <c r="AF32" s="458" t="n">
        <v>3.5399</v>
      </c>
      <c r="AG32" s="458" t="n">
        <v>3.612</v>
      </c>
      <c r="AH32" s="458" t="n">
        <v>3.6813</v>
      </c>
      <c r="AI32" s="458" t="n">
        <v>3.7481</v>
      </c>
      <c r="AJ32" s="458" t="n">
        <v>3.8123</v>
      </c>
      <c r="AK32" s="458" t="n">
        <v>3.1816</v>
      </c>
      <c r="AL32" s="459" t="n">
        <v>0</v>
      </c>
      <c r="AM32" s="459" t="n">
        <v>0</v>
      </c>
      <c r="AN32" s="459" t="n">
        <v>0</v>
      </c>
      <c r="AO32" s="459" t="n">
        <v>0</v>
      </c>
      <c r="AP32" s="459" t="n">
        <v>0</v>
      </c>
      <c r="AQ32" s="459" t="n">
        <v>0</v>
      </c>
      <c r="AR32" s="459" t="n">
        <v>0</v>
      </c>
      <c r="AS32" s="459" t="n">
        <v>0</v>
      </c>
      <c r="AT32" s="459" t="n">
        <v>0</v>
      </c>
      <c r="AU32" s="459" t="n">
        <v>0</v>
      </c>
      <c r="AV32" s="459" t="n">
        <v>0</v>
      </c>
      <c r="AW32" s="459" t="n">
        <v>0</v>
      </c>
      <c r="AX32" s="458" t="n">
        <v>0</v>
      </c>
      <c r="AY32" s="458" t="n">
        <v>0</v>
      </c>
      <c r="AZ32" s="458" t="n">
        <v>0</v>
      </c>
      <c r="BA32" s="458" t="n">
        <v>0</v>
      </c>
      <c r="BB32" s="458" t="n">
        <v>0</v>
      </c>
      <c r="BC32" s="458" t="n">
        <v>0</v>
      </c>
      <c r="BD32" s="458" t="n">
        <v>0</v>
      </c>
      <c r="BE32" s="458" t="n">
        <v>0</v>
      </c>
      <c r="BF32" s="458" t="n">
        <v>0</v>
      </c>
      <c r="BG32" s="458" t="n">
        <v>0</v>
      </c>
      <c r="BH32" s="458" t="n">
        <v>0</v>
      </c>
      <c r="BI32" s="458" t="n">
        <v>0</v>
      </c>
      <c r="BJ32" s="459" t="n">
        <v>0</v>
      </c>
      <c r="BK32" s="459" t="n">
        <v>0</v>
      </c>
      <c r="BL32" s="459" t="n">
        <v>0</v>
      </c>
      <c r="BM32" s="459" t="n">
        <v>0</v>
      </c>
      <c r="BN32" s="459" t="n">
        <v>0</v>
      </c>
      <c r="BO32" s="459" t="n">
        <v>0</v>
      </c>
      <c r="BP32" s="459" t="n">
        <v>0</v>
      </c>
      <c r="BQ32" s="459" t="n">
        <v>0</v>
      </c>
      <c r="BR32" s="459" t="n">
        <v>0</v>
      </c>
      <c r="BS32" s="459" t="n">
        <v>0</v>
      </c>
      <c r="BT32" s="459" t="n">
        <v>0</v>
      </c>
      <c r="BU32" s="459" t="n">
        <v>0</v>
      </c>
      <c r="BV32" s="458" t="n">
        <v>0</v>
      </c>
      <c r="BW32" s="458" t="n">
        <v>0</v>
      </c>
      <c r="BX32" s="458" t="n">
        <v>0</v>
      </c>
      <c r="BY32" s="458" t="n">
        <v>0</v>
      </c>
      <c r="BZ32" s="458" t="n">
        <v>0</v>
      </c>
      <c r="CA32" s="458" t="n">
        <v>0</v>
      </c>
      <c r="CB32" s="458" t="n">
        <v>0</v>
      </c>
      <c r="CC32" s="458" t="n">
        <v>0</v>
      </c>
      <c r="CD32" s="458" t="n">
        <v>0</v>
      </c>
      <c r="CE32" s="458" t="n">
        <v>0</v>
      </c>
      <c r="CF32" s="458" t="n">
        <v>0</v>
      </c>
      <c r="CG32" s="458" t="n">
        <v>0</v>
      </c>
      <c r="CH32" s="459" t="n">
        <v>0</v>
      </c>
      <c r="CI32" s="459" t="n">
        <v>0</v>
      </c>
      <c r="CJ32" s="459" t="n">
        <v>0</v>
      </c>
      <c r="CK32" s="459" t="n">
        <v>0</v>
      </c>
      <c r="CL32" s="459" t="n">
        <v>0</v>
      </c>
      <c r="CM32" s="459" t="n">
        <v>0</v>
      </c>
      <c r="CN32" s="459" t="n">
        <v>0</v>
      </c>
      <c r="CO32" s="459" t="n">
        <v>0</v>
      </c>
      <c r="CP32" s="459" t="n">
        <v>0</v>
      </c>
      <c r="CQ32" s="459" t="n">
        <v>0</v>
      </c>
      <c r="CR32" s="459" t="n">
        <v>0</v>
      </c>
      <c r="CS32" s="459" t="n">
        <v>0</v>
      </c>
      <c r="CT32" s="458" t="n">
        <v>0</v>
      </c>
      <c r="CU32" s="458" t="n">
        <v>0</v>
      </c>
      <c r="CV32" s="458" t="n">
        <v>0</v>
      </c>
      <c r="CW32" s="458" t="n">
        <v>0</v>
      </c>
      <c r="CX32" s="458" t="n">
        <v>0</v>
      </c>
      <c r="CY32" s="458" t="n">
        <v>0</v>
      </c>
      <c r="CZ32" s="458" t="n">
        <v>0</v>
      </c>
      <c r="DA32" s="458" t="n">
        <v>0</v>
      </c>
      <c r="DB32" s="458" t="n">
        <v>0</v>
      </c>
      <c r="DC32" s="458" t="n">
        <v>0</v>
      </c>
      <c r="DD32" s="458" t="n">
        <v>0</v>
      </c>
      <c r="DE32" s="458" t="n">
        <v>0</v>
      </c>
      <c r="DF32" s="459" t="n">
        <v>0</v>
      </c>
      <c r="DG32" s="459" t="n">
        <v>0</v>
      </c>
      <c r="DH32" s="459" t="n">
        <v>0</v>
      </c>
      <c r="DI32" s="459" t="n">
        <v>0</v>
      </c>
      <c r="DJ32" s="459" t="n">
        <v>0</v>
      </c>
      <c r="DK32" s="459" t="n">
        <v>0</v>
      </c>
      <c r="DL32" s="459" t="n">
        <v>0</v>
      </c>
      <c r="DM32" s="459" t="n">
        <v>0</v>
      </c>
      <c r="DN32" s="459" t="n">
        <v>0</v>
      </c>
      <c r="DO32" s="459" t="n">
        <v>0</v>
      </c>
      <c r="DP32" s="459" t="n">
        <v>0</v>
      </c>
      <c r="DQ32" s="459" t="n">
        <v>0</v>
      </c>
      <c r="DR32" s="458" t="n">
        <v>0</v>
      </c>
      <c r="DS32" s="458" t="n">
        <v>0</v>
      </c>
      <c r="DT32" s="458" t="n">
        <v>0</v>
      </c>
      <c r="DU32" s="458" t="n">
        <v>0</v>
      </c>
      <c r="DV32" s="458" t="n">
        <v>0</v>
      </c>
      <c r="DW32" s="458" t="n">
        <v>0</v>
      </c>
      <c r="DX32" s="458" t="n">
        <v>0</v>
      </c>
      <c r="DY32" s="458" t="n">
        <v>0</v>
      </c>
      <c r="DZ32" s="458" t="n">
        <v>0</v>
      </c>
      <c r="EA32" s="458" t="n">
        <v>0</v>
      </c>
      <c r="EB32" s="458" t="n">
        <v>0</v>
      </c>
      <c r="EC32" s="458" t="n">
        <v>0</v>
      </c>
      <c r="ED32" s="459" t="n">
        <v>0</v>
      </c>
      <c r="EE32" s="459" t="n">
        <v>0</v>
      </c>
      <c r="EF32" s="459" t="n">
        <v>0</v>
      </c>
      <c r="EG32" s="459" t="n">
        <v>0</v>
      </c>
      <c r="EH32" s="459" t="n">
        <v>0</v>
      </c>
      <c r="EI32" s="459" t="n">
        <v>0</v>
      </c>
      <c r="EJ32" s="459" t="n">
        <v>0</v>
      </c>
      <c r="EK32" s="459" t="n">
        <v>0</v>
      </c>
      <c r="EL32" s="459" t="n">
        <v>0</v>
      </c>
      <c r="EM32" s="459" t="n">
        <v>0</v>
      </c>
      <c r="EN32" s="459" t="n">
        <v>0</v>
      </c>
      <c r="EO32" s="459" t="n">
        <v>0</v>
      </c>
      <c r="EP32" s="458" t="n">
        <v>0</v>
      </c>
      <c r="EQ32" s="458" t="n">
        <v>0</v>
      </c>
      <c r="ER32" s="458" t="n">
        <v>0</v>
      </c>
      <c r="ES32" s="458" t="n">
        <v>0</v>
      </c>
      <c r="ET32" s="458" t="n">
        <v>0</v>
      </c>
      <c r="EU32" s="458" t="n">
        <v>0</v>
      </c>
      <c r="EV32" s="458" t="n">
        <v>0</v>
      </c>
      <c r="EW32" s="458" t="n">
        <v>0</v>
      </c>
      <c r="EX32" s="458" t="n">
        <v>0</v>
      </c>
      <c r="EY32" s="458" t="n">
        <v>0</v>
      </c>
      <c r="EZ32" s="458" t="n">
        <v>0</v>
      </c>
      <c r="FA32" s="458" t="n">
        <v>0</v>
      </c>
      <c r="FB32" s="459" t="n">
        <v>0</v>
      </c>
      <c r="FC32" s="459" t="n">
        <v>0</v>
      </c>
      <c r="FD32" s="459" t="n">
        <v>0</v>
      </c>
      <c r="FE32" s="459" t="n">
        <v>0</v>
      </c>
      <c r="FF32" s="459" t="n">
        <v>0</v>
      </c>
      <c r="FG32" s="459" t="n">
        <v>0</v>
      </c>
      <c r="FH32" s="459" t="n">
        <v>0</v>
      </c>
      <c r="FI32" s="459" t="n">
        <v>0</v>
      </c>
      <c r="FJ32" s="459" t="n">
        <v>0</v>
      </c>
      <c r="FK32" s="459" t="n">
        <v>0</v>
      </c>
      <c r="FL32" s="459" t="n">
        <v>0</v>
      </c>
      <c r="FM32" s="459" t="n">
        <v>0</v>
      </c>
      <c r="FN32" s="458" t="n">
        <v>0</v>
      </c>
      <c r="FO32" s="458" t="n">
        <v>0</v>
      </c>
      <c r="FP32" s="458" t="n">
        <v>0</v>
      </c>
      <c r="FQ32" s="458" t="n">
        <v>0</v>
      </c>
      <c r="FR32" s="458" t="n">
        <v>0</v>
      </c>
      <c r="FS32" s="458" t="n">
        <v>0</v>
      </c>
      <c r="FT32" s="458" t="n">
        <v>0</v>
      </c>
      <c r="FU32" s="458" t="n">
        <v>0</v>
      </c>
      <c r="FV32" s="458" t="n">
        <v>0</v>
      </c>
      <c r="FW32" s="458" t="n">
        <v>0</v>
      </c>
      <c r="FX32" s="458" t="n">
        <v>0</v>
      </c>
      <c r="FY32" s="458" t="n">
        <v>0</v>
      </c>
      <c r="FZ32" s="306" t="n"/>
    </row>
    <row r="33" ht="15" customHeight="1" s="307">
      <c r="A33" s="322" t="inlineStr">
        <is>
          <t>Distributable Cash</t>
        </is>
      </c>
      <c r="B33" s="461" t="n">
        <v>-0.1656</v>
      </c>
      <c r="C33" s="461" t="n">
        <v>-0.1656</v>
      </c>
      <c r="D33" s="461" t="n">
        <v>-0.1656</v>
      </c>
      <c r="E33" s="461" t="n">
        <v>-1.0328</v>
      </c>
      <c r="F33" s="461" t="n">
        <v>-0.1847</v>
      </c>
      <c r="G33" s="461" t="n">
        <v>-0.078</v>
      </c>
      <c r="H33" s="461" t="n">
        <v>-1.1042</v>
      </c>
      <c r="I33" s="461" t="n">
        <v>0.1416</v>
      </c>
      <c r="J33" s="461" t="n">
        <v>0.3531</v>
      </c>
      <c r="K33" s="461" t="n">
        <v>-0.3366</v>
      </c>
      <c r="L33" s="461" t="n">
        <v>0.7863</v>
      </c>
      <c r="M33" s="461" t="n">
        <v>0.2702</v>
      </c>
      <c r="N33" s="462" t="n">
        <v>1.3416</v>
      </c>
      <c r="O33" s="462" t="n">
        <v>1.6048</v>
      </c>
      <c r="P33" s="462" t="n">
        <v>1.8606</v>
      </c>
      <c r="Q33" s="462" t="n">
        <v>1.3662</v>
      </c>
      <c r="R33" s="462" t="n">
        <v>2.3372</v>
      </c>
      <c r="S33" s="462" t="n">
        <v>2.5684</v>
      </c>
      <c r="T33" s="462" t="n">
        <v>2.7174</v>
      </c>
      <c r="U33" s="462" t="n">
        <v>2.8357</v>
      </c>
      <c r="V33" s="462" t="n">
        <v>2.9503</v>
      </c>
      <c r="W33" s="462" t="n">
        <v>3.0612</v>
      </c>
      <c r="X33" s="462" t="n">
        <v>3.0657</v>
      </c>
      <c r="Y33" s="462" t="n">
        <v>2.3771</v>
      </c>
      <c r="Z33" s="461" t="n">
        <v>3.1503</v>
      </c>
      <c r="AA33" s="461" t="n">
        <v>3.2283</v>
      </c>
      <c r="AB33" s="461" t="n">
        <v>3.3035</v>
      </c>
      <c r="AC33" s="461" t="n">
        <v>3.3761</v>
      </c>
      <c r="AD33" s="461" t="n">
        <v>3.4216</v>
      </c>
      <c r="AE33" s="461" t="n">
        <v>2.7728</v>
      </c>
      <c r="AF33" s="461" t="n">
        <v>3.5399</v>
      </c>
      <c r="AG33" s="461" t="n">
        <v>3.612</v>
      </c>
      <c r="AH33" s="461" t="n">
        <v>3.6813</v>
      </c>
      <c r="AI33" s="461" t="n">
        <v>3.7481</v>
      </c>
      <c r="AJ33" s="461" t="n">
        <v>3.8123</v>
      </c>
      <c r="AK33" s="461" t="n">
        <v>3.1816</v>
      </c>
      <c r="AL33" s="462" t="n">
        <v>7.8864</v>
      </c>
      <c r="AM33" s="462" t="n">
        <v>8.019600000000001</v>
      </c>
      <c r="AN33" s="462" t="n">
        <v>8.147600000000001</v>
      </c>
      <c r="AO33" s="462" t="n">
        <v>8.2706</v>
      </c>
      <c r="AP33" s="462" t="n">
        <v>8.388500000000001</v>
      </c>
      <c r="AQ33" s="462" t="n">
        <v>8.5017</v>
      </c>
      <c r="AR33" s="462" t="n">
        <v>8.4245</v>
      </c>
      <c r="AS33" s="462" t="n">
        <v>8.3477</v>
      </c>
      <c r="AT33" s="462" t="n">
        <v>8.2712</v>
      </c>
      <c r="AU33" s="462" t="n">
        <v>8.1952</v>
      </c>
      <c r="AV33" s="462" t="n">
        <v>8.1195</v>
      </c>
      <c r="AW33" s="462" t="n">
        <v>1.5668</v>
      </c>
      <c r="AX33" s="461" t="n">
        <v>7.9231</v>
      </c>
      <c r="AY33" s="461" t="n">
        <v>7.8037</v>
      </c>
      <c r="AZ33" s="461" t="n">
        <v>7.6859</v>
      </c>
      <c r="BA33" s="461" t="n">
        <v>7.5696</v>
      </c>
      <c r="BB33" s="461" t="n">
        <v>7.455</v>
      </c>
      <c r="BC33" s="461" t="n">
        <v>7.3418</v>
      </c>
      <c r="BD33" s="461" t="n">
        <v>7.2302</v>
      </c>
      <c r="BE33" s="461" t="n">
        <v>7.1201</v>
      </c>
      <c r="BF33" s="461" t="n">
        <v>7.0115</v>
      </c>
      <c r="BG33" s="461" t="n">
        <v>6.9043</v>
      </c>
      <c r="BH33" s="461" t="n">
        <v>6.7986</v>
      </c>
      <c r="BI33" s="461" t="n">
        <v>-2.5255</v>
      </c>
      <c r="BJ33" s="462" t="n">
        <v>6.5914</v>
      </c>
      <c r="BK33" s="462" t="n">
        <v>6.4899</v>
      </c>
      <c r="BL33" s="462" t="n">
        <v>6.3898</v>
      </c>
      <c r="BM33" s="462" t="n">
        <v>6.291</v>
      </c>
      <c r="BN33" s="462" t="n">
        <v>6.1935</v>
      </c>
      <c r="BO33" s="462" t="n">
        <v>6.0974</v>
      </c>
      <c r="BP33" s="462" t="n">
        <v>6.0025</v>
      </c>
      <c r="BQ33" s="462" t="n">
        <v>5.9089</v>
      </c>
      <c r="BR33" s="462" t="n">
        <v>5.8166</v>
      </c>
      <c r="BS33" s="462" t="n">
        <v>5.7255</v>
      </c>
      <c r="BT33" s="462" t="n">
        <v>5.6356</v>
      </c>
      <c r="BU33" s="462" t="n">
        <v>-0.5714</v>
      </c>
      <c r="BV33" s="461" t="n">
        <v>5.4595</v>
      </c>
      <c r="BW33" s="461" t="n">
        <v>5.3732</v>
      </c>
      <c r="BX33" s="461" t="n">
        <v>5.2881</v>
      </c>
      <c r="BY33" s="461" t="n">
        <v>5.2041</v>
      </c>
      <c r="BZ33" s="461" t="n">
        <v>5.1213</v>
      </c>
      <c r="CA33" s="461" t="n">
        <v>5.0395</v>
      </c>
      <c r="CB33" s="461" t="n">
        <v>4.9589</v>
      </c>
      <c r="CC33" s="461" t="n">
        <v>4.8794</v>
      </c>
      <c r="CD33" s="461" t="n">
        <v>4.8009</v>
      </c>
      <c r="CE33" s="461" t="n">
        <v>4.7235</v>
      </c>
      <c r="CF33" s="461" t="n">
        <v>4.6471</v>
      </c>
      <c r="CG33" s="461" t="n">
        <v>1.0895</v>
      </c>
      <c r="CH33" s="462" t="n">
        <v>4.4974</v>
      </c>
      <c r="CI33" s="462" t="n">
        <v>4.424</v>
      </c>
      <c r="CJ33" s="462" t="n">
        <v>4.3517</v>
      </c>
      <c r="CK33" s="462" t="n">
        <v>4.2803</v>
      </c>
      <c r="CL33" s="462" t="n">
        <v>4.2099</v>
      </c>
      <c r="CM33" s="462" t="n">
        <v>4.1404</v>
      </c>
      <c r="CN33" s="462" t="n">
        <v>4.0719</v>
      </c>
      <c r="CO33" s="462" t="n">
        <v>4.0043</v>
      </c>
      <c r="CP33" s="462" t="n">
        <v>3.9375</v>
      </c>
      <c r="CQ33" s="462" t="n">
        <v>3.8717</v>
      </c>
      <c r="CR33" s="462" t="n">
        <v>3.8068</v>
      </c>
      <c r="CS33" s="462" t="n">
        <v>2.5013</v>
      </c>
      <c r="CT33" s="461" t="n">
        <v>3.6796</v>
      </c>
      <c r="CU33" s="461" t="n">
        <v>3.6172</v>
      </c>
      <c r="CV33" s="461" t="n">
        <v>3.5557</v>
      </c>
      <c r="CW33" s="461" t="n">
        <v>3.4951</v>
      </c>
      <c r="CX33" s="461" t="n">
        <v>3.4352</v>
      </c>
      <c r="CY33" s="461" t="n">
        <v>3.3761</v>
      </c>
      <c r="CZ33" s="461" t="n">
        <v>3.3179</v>
      </c>
      <c r="DA33" s="461" t="n">
        <v>3.2604</v>
      </c>
      <c r="DB33" s="461" t="n">
        <v>3.2037</v>
      </c>
      <c r="DC33" s="461" t="n">
        <v>3.1478</v>
      </c>
      <c r="DD33" s="461" t="n">
        <v>3.0926</v>
      </c>
      <c r="DE33" s="461" t="n">
        <v>3.0381</v>
      </c>
      <c r="DF33" s="462" t="n">
        <v>2.9844</v>
      </c>
      <c r="DG33" s="462" t="n">
        <v>2.9314</v>
      </c>
      <c r="DH33" s="462" t="n">
        <v>2.8792</v>
      </c>
      <c r="DI33" s="462" t="n">
        <v>2.8276</v>
      </c>
      <c r="DJ33" s="462" t="n">
        <v>2.7767</v>
      </c>
      <c r="DK33" s="462" t="n">
        <v>2.7265</v>
      </c>
      <c r="DL33" s="462" t="n">
        <v>2.677</v>
      </c>
      <c r="DM33" s="462" t="n">
        <v>2.6281</v>
      </c>
      <c r="DN33" s="462" t="n">
        <v>2.58</v>
      </c>
      <c r="DO33" s="462" t="n">
        <v>2.5324</v>
      </c>
      <c r="DP33" s="462" t="n">
        <v>2.4855</v>
      </c>
      <c r="DQ33" s="462" t="n">
        <v>2.4392</v>
      </c>
      <c r="DR33" s="461" t="n">
        <v>2.3936</v>
      </c>
      <c r="DS33" s="461" t="n">
        <v>2.3485</v>
      </c>
      <c r="DT33" s="461" t="n">
        <v>2.3041</v>
      </c>
      <c r="DU33" s="461" t="n">
        <v>2.2603</v>
      </c>
      <c r="DV33" s="461" t="n">
        <v>2.217</v>
      </c>
      <c r="DW33" s="461" t="n">
        <v>2.1743</v>
      </c>
      <c r="DX33" s="461" t="n">
        <v>2.1322</v>
      </c>
      <c r="DY33" s="461" t="n">
        <v>2.0907</v>
      </c>
      <c r="DZ33" s="461" t="n">
        <v>2.0498</v>
      </c>
      <c r="EA33" s="461" t="n">
        <v>2.0093</v>
      </c>
      <c r="EB33" s="461" t="n">
        <v>1.9695</v>
      </c>
      <c r="EC33" s="461" t="n">
        <v>1.9301</v>
      </c>
      <c r="ED33" s="462" t="n">
        <v>1.8913</v>
      </c>
      <c r="EE33" s="462" t="n">
        <v>1.853</v>
      </c>
      <c r="EF33" s="462" t="n">
        <v>1.8153</v>
      </c>
      <c r="EG33" s="462" t="n">
        <v>1.778</v>
      </c>
      <c r="EH33" s="462" t="n">
        <v>1.7413</v>
      </c>
      <c r="EI33" s="462" t="n">
        <v>1.705</v>
      </c>
      <c r="EJ33" s="462" t="n">
        <v>1.6692</v>
      </c>
      <c r="EK33" s="462" t="n">
        <v>1.6339</v>
      </c>
      <c r="EL33" s="462" t="n">
        <v>1.5991</v>
      </c>
      <c r="EM33" s="462" t="n">
        <v>1.5647</v>
      </c>
      <c r="EN33" s="462" t="n">
        <v>1.5308</v>
      </c>
      <c r="EO33" s="462" t="n">
        <v>1.4974</v>
      </c>
      <c r="EP33" s="461" t="n">
        <v>1.4644</v>
      </c>
      <c r="EQ33" s="461" t="n">
        <v>1.4319</v>
      </c>
      <c r="ER33" s="461" t="n">
        <v>1.3998</v>
      </c>
      <c r="ES33" s="461" t="n">
        <v>1.3681</v>
      </c>
      <c r="ET33" s="461" t="n">
        <v>1.3369</v>
      </c>
      <c r="EU33" s="461" t="n">
        <v>1.306</v>
      </c>
      <c r="EV33" s="461" t="n">
        <v>1.2756</v>
      </c>
      <c r="EW33" s="461" t="n">
        <v>1.2456</v>
      </c>
      <c r="EX33" s="461" t="n">
        <v>1.216</v>
      </c>
      <c r="EY33" s="461" t="n">
        <v>1.1868</v>
      </c>
      <c r="EZ33" s="461" t="n">
        <v>1.158</v>
      </c>
      <c r="FA33" s="461" t="n">
        <v>1.1296</v>
      </c>
      <c r="FB33" s="462" t="n">
        <v>1.1016</v>
      </c>
      <c r="FC33" s="462" t="n">
        <v>1.0739</v>
      </c>
      <c r="FD33" s="462" t="n">
        <v>1.0466</v>
      </c>
      <c r="FE33" s="462" t="n">
        <v>1.0197</v>
      </c>
      <c r="FF33" s="462" t="n">
        <v>0.9931</v>
      </c>
      <c r="FG33" s="462" t="n">
        <v>0.9669</v>
      </c>
      <c r="FH33" s="462" t="n">
        <v>0.9411</v>
      </c>
      <c r="FI33" s="462" t="n">
        <v>0.9156</v>
      </c>
      <c r="FJ33" s="462" t="n">
        <v>0.8904</v>
      </c>
      <c r="FK33" s="462" t="n">
        <v>0.8656</v>
      </c>
      <c r="FL33" s="462" t="n">
        <v>0.8411</v>
      </c>
      <c r="FM33" s="462" t="n">
        <v>0.8169999999999999</v>
      </c>
      <c r="FN33" s="461" t="n">
        <v>0.7931</v>
      </c>
      <c r="FO33" s="461" t="n">
        <v>0.7696</v>
      </c>
      <c r="FP33" s="461" t="n">
        <v>0.7464</v>
      </c>
      <c r="FQ33" s="461" t="n">
        <v>0.7235</v>
      </c>
      <c r="FR33" s="461" t="n">
        <v>0.701</v>
      </c>
      <c r="FS33" s="461" t="n">
        <v>0.6787</v>
      </c>
      <c r="FT33" s="461" t="n">
        <v>0.6567</v>
      </c>
      <c r="FU33" s="461" t="n">
        <v>0.635</v>
      </c>
      <c r="FV33" s="461" t="n">
        <v>0.6137</v>
      </c>
      <c r="FW33" s="461" t="n">
        <v>0.5926</v>
      </c>
      <c r="FX33" s="461" t="n">
        <v>0.5717</v>
      </c>
      <c r="FY33" s="461" t="n">
        <v>0.5512</v>
      </c>
      <c r="FZ33" s="306" t="n"/>
    </row>
    <row r="34" ht="15" customHeight="1" s="307">
      <c r="A34" s="321" t="inlineStr">
        <is>
          <t>Cumulative Distributable</t>
        </is>
      </c>
      <c r="B34" s="458" t="n">
        <v>-0.1656</v>
      </c>
      <c r="C34" s="458" t="n">
        <v>-0.3312</v>
      </c>
      <c r="D34" s="458" t="n">
        <v>-0.4969</v>
      </c>
      <c r="E34" s="458" t="n">
        <v>-1.5297</v>
      </c>
      <c r="F34" s="458" t="n">
        <v>-1.7144</v>
      </c>
      <c r="G34" s="458" t="n">
        <v>-1.7923</v>
      </c>
      <c r="H34" s="458" t="n">
        <v>-2.8966</v>
      </c>
      <c r="I34" s="458" t="n">
        <v>-2.7549</v>
      </c>
      <c r="J34" s="458" t="n">
        <v>-2.4018</v>
      </c>
      <c r="K34" s="458" t="n">
        <v>-2.7384</v>
      </c>
      <c r="L34" s="458" t="n">
        <v>-1.9521</v>
      </c>
      <c r="M34" s="458" t="n">
        <v>-1.6818</v>
      </c>
      <c r="N34" s="459" t="n">
        <v>-0.3403</v>
      </c>
      <c r="O34" s="459" t="n">
        <v>1.2645</v>
      </c>
      <c r="P34" s="459" t="n">
        <v>3.1252</v>
      </c>
      <c r="Q34" s="459" t="n">
        <v>4.4914</v>
      </c>
      <c r="R34" s="459" t="n">
        <v>6.8285</v>
      </c>
      <c r="S34" s="459" t="n">
        <v>9.397</v>
      </c>
      <c r="T34" s="459" t="n">
        <v>12.1144</v>
      </c>
      <c r="U34" s="459" t="n">
        <v>14.9502</v>
      </c>
      <c r="V34" s="459" t="n">
        <v>17.9004</v>
      </c>
      <c r="W34" s="459" t="n">
        <v>20.9616</v>
      </c>
      <c r="X34" s="459" t="n">
        <v>24.0273</v>
      </c>
      <c r="Y34" s="459" t="n">
        <v>26.4044</v>
      </c>
      <c r="Z34" s="458" t="n">
        <v>29.5547</v>
      </c>
      <c r="AA34" s="458" t="n">
        <v>32.783</v>
      </c>
      <c r="AB34" s="458" t="n">
        <v>36.0865</v>
      </c>
      <c r="AC34" s="458" t="n">
        <v>39.4626</v>
      </c>
      <c r="AD34" s="458" t="n">
        <v>42.8842</v>
      </c>
      <c r="AE34" s="458" t="n">
        <v>45.657</v>
      </c>
      <c r="AF34" s="458" t="n">
        <v>49.1969</v>
      </c>
      <c r="AG34" s="458" t="n">
        <v>52.8089</v>
      </c>
      <c r="AH34" s="458" t="n">
        <v>56.4902</v>
      </c>
      <c r="AI34" s="458" t="n">
        <v>60.2383</v>
      </c>
      <c r="AJ34" s="458" t="n">
        <v>64.0505</v>
      </c>
      <c r="AK34" s="458" t="n">
        <v>67.2321</v>
      </c>
      <c r="AL34" s="459" t="n">
        <v>75.1185</v>
      </c>
      <c r="AM34" s="459" t="n">
        <v>83.13809999999999</v>
      </c>
      <c r="AN34" s="459" t="n">
        <v>91.28570000000001</v>
      </c>
      <c r="AO34" s="459" t="n">
        <v>99.55629999999999</v>
      </c>
      <c r="AP34" s="459" t="n">
        <v>107.9448</v>
      </c>
      <c r="AQ34" s="459" t="n">
        <v>116.4465</v>
      </c>
      <c r="AR34" s="459" t="n">
        <v>124.871</v>
      </c>
      <c r="AS34" s="459" t="n">
        <v>133.2187</v>
      </c>
      <c r="AT34" s="459" t="n">
        <v>141.4899</v>
      </c>
      <c r="AU34" s="459" t="n">
        <v>149.6851</v>
      </c>
      <c r="AV34" s="459" t="n">
        <v>157.8045</v>
      </c>
      <c r="AW34" s="459" t="n">
        <v>159.3713</v>
      </c>
      <c r="AX34" s="458" t="n">
        <v>167.2944</v>
      </c>
      <c r="AY34" s="458" t="n">
        <v>175.0981</v>
      </c>
      <c r="AZ34" s="458" t="n">
        <v>182.784</v>
      </c>
      <c r="BA34" s="458" t="n">
        <v>190.3536</v>
      </c>
      <c r="BB34" s="458" t="n">
        <v>197.8085</v>
      </c>
      <c r="BC34" s="458" t="n">
        <v>205.1504</v>
      </c>
      <c r="BD34" s="458" t="n">
        <v>212.3806</v>
      </c>
      <c r="BE34" s="458" t="n">
        <v>219.5007</v>
      </c>
      <c r="BF34" s="458" t="n">
        <v>226.5122</v>
      </c>
      <c r="BG34" s="458" t="n">
        <v>233.4166</v>
      </c>
      <c r="BH34" s="458" t="n">
        <v>240.2152</v>
      </c>
      <c r="BI34" s="458" t="n">
        <v>237.6897</v>
      </c>
      <c r="BJ34" s="459" t="n">
        <v>244.2811</v>
      </c>
      <c r="BK34" s="459" t="n">
        <v>250.7711</v>
      </c>
      <c r="BL34" s="459" t="n">
        <v>257.1608</v>
      </c>
      <c r="BM34" s="459" t="n">
        <v>263.4518</v>
      </c>
      <c r="BN34" s="459" t="n">
        <v>269.6453</v>
      </c>
      <c r="BO34" s="459" t="n">
        <v>275.7427</v>
      </c>
      <c r="BP34" s="459" t="n">
        <v>281.7452</v>
      </c>
      <c r="BQ34" s="459" t="n">
        <v>287.6541</v>
      </c>
      <c r="BR34" s="459" t="n">
        <v>293.4706</v>
      </c>
      <c r="BS34" s="459" t="n">
        <v>299.1961</v>
      </c>
      <c r="BT34" s="459" t="n">
        <v>304.8317</v>
      </c>
      <c r="BU34" s="459" t="n">
        <v>304.2603</v>
      </c>
      <c r="BV34" s="458" t="n">
        <v>309.7198</v>
      </c>
      <c r="BW34" s="458" t="n">
        <v>315.0931</v>
      </c>
      <c r="BX34" s="458" t="n">
        <v>320.3812</v>
      </c>
      <c r="BY34" s="458" t="n">
        <v>325.5853</v>
      </c>
      <c r="BZ34" s="458" t="n">
        <v>330.7066</v>
      </c>
      <c r="CA34" s="458" t="n">
        <v>335.7461</v>
      </c>
      <c r="CB34" s="458" t="n">
        <v>340.705</v>
      </c>
      <c r="CC34" s="458" t="n">
        <v>345.5844</v>
      </c>
      <c r="CD34" s="458" t="n">
        <v>350.3853</v>
      </c>
      <c r="CE34" s="458" t="n">
        <v>355.1087</v>
      </c>
      <c r="CF34" s="458" t="n">
        <v>359.7558</v>
      </c>
      <c r="CG34" s="458" t="n">
        <v>360.8453</v>
      </c>
      <c r="CH34" s="459" t="n">
        <v>365.3427</v>
      </c>
      <c r="CI34" s="459" t="n">
        <v>369.7668</v>
      </c>
      <c r="CJ34" s="459" t="n">
        <v>374.1185</v>
      </c>
      <c r="CK34" s="459" t="n">
        <v>378.3988</v>
      </c>
      <c r="CL34" s="459" t="n">
        <v>382.6086</v>
      </c>
      <c r="CM34" s="459" t="n">
        <v>386.7491</v>
      </c>
      <c r="CN34" s="459" t="n">
        <v>390.8209</v>
      </c>
      <c r="CO34" s="459" t="n">
        <v>394.8252</v>
      </c>
      <c r="CP34" s="459" t="n">
        <v>398.7627</v>
      </c>
      <c r="CQ34" s="459" t="n">
        <v>402.6345</v>
      </c>
      <c r="CR34" s="459" t="n">
        <v>406.4413</v>
      </c>
      <c r="CS34" s="459" t="n">
        <v>408.9426</v>
      </c>
      <c r="CT34" s="458" t="n">
        <v>412.6222</v>
      </c>
      <c r="CU34" s="458" t="n">
        <v>416.2394</v>
      </c>
      <c r="CV34" s="458" t="n">
        <v>419.7951</v>
      </c>
      <c r="CW34" s="458" t="n">
        <v>423.2902</v>
      </c>
      <c r="CX34" s="458" t="n">
        <v>426.7254</v>
      </c>
      <c r="CY34" s="458" t="n">
        <v>430.1015</v>
      </c>
      <c r="CZ34" s="458" t="n">
        <v>433.4194</v>
      </c>
      <c r="DA34" s="458" t="n">
        <v>436.6798</v>
      </c>
      <c r="DB34" s="458" t="n">
        <v>439.8836</v>
      </c>
      <c r="DC34" s="458" t="n">
        <v>443.0313</v>
      </c>
      <c r="DD34" s="458" t="n">
        <v>446.1239</v>
      </c>
      <c r="DE34" s="458" t="n">
        <v>449.1621</v>
      </c>
      <c r="DF34" s="459" t="n">
        <v>452.1465</v>
      </c>
      <c r="DG34" s="459" t="n">
        <v>455.0779</v>
      </c>
      <c r="DH34" s="459" t="n">
        <v>457.9571</v>
      </c>
      <c r="DI34" s="459" t="n">
        <v>460.7847</v>
      </c>
      <c r="DJ34" s="459" t="n">
        <v>463.5614</v>
      </c>
      <c r="DK34" s="459" t="n">
        <v>466.2879</v>
      </c>
      <c r="DL34" s="459" t="n">
        <v>468.9649</v>
      </c>
      <c r="DM34" s="459" t="n">
        <v>471.5931</v>
      </c>
      <c r="DN34" s="459" t="n">
        <v>474.173</v>
      </c>
      <c r="DO34" s="459" t="n">
        <v>476.7054</v>
      </c>
      <c r="DP34" s="459" t="n">
        <v>479.1909</v>
      </c>
      <c r="DQ34" s="459" t="n">
        <v>481.6302</v>
      </c>
      <c r="DR34" s="458" t="n">
        <v>484.0237</v>
      </c>
      <c r="DS34" s="458" t="n">
        <v>486.3723</v>
      </c>
      <c r="DT34" s="458" t="n">
        <v>488.6763</v>
      </c>
      <c r="DU34" s="458" t="n">
        <v>490.9366</v>
      </c>
      <c r="DV34" s="458" t="n">
        <v>493.1536</v>
      </c>
      <c r="DW34" s="458" t="n">
        <v>495.3279</v>
      </c>
      <c r="DX34" s="458" t="n">
        <v>497.4602</v>
      </c>
      <c r="DY34" s="458" t="n">
        <v>499.5509</v>
      </c>
      <c r="DZ34" s="458" t="n">
        <v>501.6007</v>
      </c>
      <c r="EA34" s="458" t="n">
        <v>503.61</v>
      </c>
      <c r="EB34" s="458" t="n">
        <v>505.5795</v>
      </c>
      <c r="EC34" s="458" t="n">
        <v>507.5096</v>
      </c>
      <c r="ED34" s="459" t="n">
        <v>509.4009</v>
      </c>
      <c r="EE34" s="459" t="n">
        <v>511.254</v>
      </c>
      <c r="EF34" s="459" t="n">
        <v>513.0693</v>
      </c>
      <c r="EG34" s="459" t="n">
        <v>514.8473</v>
      </c>
      <c r="EH34" s="459" t="n">
        <v>516.5885</v>
      </c>
      <c r="EI34" s="459" t="n">
        <v>518.2935</v>
      </c>
      <c r="EJ34" s="459" t="n">
        <v>519.9627</v>
      </c>
      <c r="EK34" s="459" t="n">
        <v>521.5966</v>
      </c>
      <c r="EL34" s="459" t="n">
        <v>523.1957</v>
      </c>
      <c r="EM34" s="459" t="n">
        <v>524.7604</v>
      </c>
      <c r="EN34" s="459" t="n">
        <v>526.2913</v>
      </c>
      <c r="EO34" s="459" t="n">
        <v>527.7886999999999</v>
      </c>
      <c r="EP34" s="458" t="n">
        <v>529.2531</v>
      </c>
      <c r="EQ34" s="458" t="n">
        <v>530.6849999999999</v>
      </c>
      <c r="ER34" s="458" t="n">
        <v>532.0848</v>
      </c>
      <c r="ES34" s="458" t="n">
        <v>533.4529</v>
      </c>
      <c r="ET34" s="458" t="n">
        <v>534.7898</v>
      </c>
      <c r="EU34" s="458" t="n">
        <v>536.0958000000001</v>
      </c>
      <c r="EV34" s="458" t="n">
        <v>537.3714</v>
      </c>
      <c r="EW34" s="458" t="n">
        <v>538.617</v>
      </c>
      <c r="EX34" s="458" t="n">
        <v>539.8330999999999</v>
      </c>
      <c r="EY34" s="458" t="n">
        <v>541.0199</v>
      </c>
      <c r="EZ34" s="458" t="n">
        <v>542.1779</v>
      </c>
      <c r="FA34" s="458" t="n">
        <v>543.3075</v>
      </c>
      <c r="FB34" s="459" t="n">
        <v>544.4091</v>
      </c>
      <c r="FC34" s="459" t="n">
        <v>545.4829</v>
      </c>
      <c r="FD34" s="459" t="n">
        <v>546.5296</v>
      </c>
      <c r="FE34" s="459" t="n">
        <v>547.5492</v>
      </c>
      <c r="FF34" s="459" t="n">
        <v>548.5424</v>
      </c>
      <c r="FG34" s="459" t="n">
        <v>549.5093000000001</v>
      </c>
      <c r="FH34" s="459" t="n">
        <v>550.4503999999999</v>
      </c>
      <c r="FI34" s="459" t="n">
        <v>551.366</v>
      </c>
      <c r="FJ34" s="459" t="n">
        <v>552.2564</v>
      </c>
      <c r="FK34" s="459" t="n">
        <v>553.122</v>
      </c>
      <c r="FL34" s="459" t="n">
        <v>553.9631000000001</v>
      </c>
      <c r="FM34" s="459" t="n">
        <v>554.78</v>
      </c>
      <c r="FN34" s="458" t="n">
        <v>555.5731</v>
      </c>
      <c r="FO34" s="458" t="n">
        <v>556.3428</v>
      </c>
      <c r="FP34" s="458" t="n">
        <v>557.0892</v>
      </c>
      <c r="FQ34" s="458" t="n">
        <v>557.8126999999999</v>
      </c>
      <c r="FR34" s="458" t="n">
        <v>558.5137</v>
      </c>
      <c r="FS34" s="458" t="n">
        <v>559.1923</v>
      </c>
      <c r="FT34" s="458" t="n">
        <v>559.8491</v>
      </c>
      <c r="FU34" s="458" t="n">
        <v>560.4841</v>
      </c>
      <c r="FV34" s="458" t="n">
        <v>561.0977</v>
      </c>
      <c r="FW34" s="458" t="n">
        <v>561.6903</v>
      </c>
      <c r="FX34" s="458" t="n">
        <v>562.2619999999999</v>
      </c>
      <c r="FY34" s="458" t="n">
        <v>562.8132000000001</v>
      </c>
      <c r="FZ34" s="306" t="n"/>
    </row>
    <row r="35" ht="15" customHeight="1" s="307">
      <c r="A35" s="321" t="n"/>
      <c r="B35" s="459" t="n"/>
      <c r="C35" s="459" t="n"/>
      <c r="D35" s="459" t="n"/>
      <c r="E35" s="459" t="n"/>
      <c r="F35" s="459" t="n"/>
      <c r="G35" s="459" t="n"/>
      <c r="H35" s="459" t="n"/>
      <c r="I35" s="459" t="n"/>
      <c r="J35" s="459" t="n"/>
      <c r="K35" s="459" t="n"/>
      <c r="L35" s="459" t="n"/>
      <c r="M35" s="459" t="n"/>
      <c r="N35" s="459" t="n"/>
      <c r="O35" s="459" t="n"/>
      <c r="P35" s="459" t="n"/>
      <c r="Q35" s="459" t="n"/>
      <c r="R35" s="459" t="n"/>
      <c r="S35" s="459" t="n"/>
      <c r="T35" s="459" t="n"/>
      <c r="U35" s="459" t="n"/>
      <c r="V35" s="459" t="n"/>
      <c r="W35" s="459" t="n"/>
      <c r="X35" s="459" t="n"/>
      <c r="Y35" s="459" t="n"/>
      <c r="Z35" s="459" t="n"/>
      <c r="AA35" s="459" t="n"/>
      <c r="AB35" s="459" t="n"/>
      <c r="AC35" s="459" t="n"/>
      <c r="AD35" s="459" t="n"/>
      <c r="AE35" s="459" t="n"/>
      <c r="AF35" s="459" t="n"/>
      <c r="AG35" s="459" t="n"/>
      <c r="AH35" s="459" t="n"/>
      <c r="AI35" s="459" t="n"/>
      <c r="AJ35" s="459" t="n"/>
      <c r="AK35" s="459" t="n"/>
      <c r="AL35" s="459" t="n"/>
      <c r="AM35" s="459" t="n"/>
      <c r="AN35" s="459" t="n"/>
      <c r="AO35" s="459" t="n"/>
      <c r="AP35" s="459" t="n"/>
      <c r="AQ35" s="459" t="n"/>
      <c r="AR35" s="459" t="n"/>
      <c r="AS35" s="459" t="n"/>
      <c r="AT35" s="459" t="n"/>
      <c r="AU35" s="459" t="n"/>
      <c r="AV35" s="459" t="n"/>
      <c r="AW35" s="459" t="n"/>
      <c r="AX35" s="459" t="n"/>
      <c r="AY35" s="459" t="n"/>
      <c r="AZ35" s="459" t="n"/>
      <c r="BA35" s="459" t="n"/>
      <c r="BB35" s="459" t="n"/>
      <c r="BC35" s="459" t="n"/>
      <c r="BD35" s="459" t="n"/>
      <c r="BE35" s="459" t="n"/>
      <c r="BF35" s="459" t="n"/>
      <c r="BG35" s="459" t="n"/>
      <c r="BH35" s="459" t="n"/>
      <c r="BI35" s="459" t="n"/>
      <c r="BJ35" s="459" t="n"/>
      <c r="BK35" s="459" t="n"/>
      <c r="BL35" s="459" t="n"/>
      <c r="BM35" s="459" t="n"/>
      <c r="BN35" s="459" t="n"/>
      <c r="BO35" s="459" t="n"/>
      <c r="BP35" s="459" t="n"/>
      <c r="BQ35" s="459" t="n"/>
      <c r="BR35" s="459" t="n"/>
      <c r="BS35" s="459" t="n"/>
      <c r="BT35" s="459" t="n"/>
      <c r="BU35" s="459" t="n"/>
      <c r="BV35" s="459" t="n"/>
      <c r="BW35" s="459" t="n"/>
      <c r="BX35" s="459" t="n"/>
      <c r="BY35" s="459" t="n"/>
      <c r="BZ35" s="459" t="n"/>
      <c r="CA35" s="459" t="n"/>
      <c r="CB35" s="459" t="n"/>
      <c r="CC35" s="459" t="n"/>
      <c r="CD35" s="459" t="n"/>
      <c r="CE35" s="459" t="n"/>
      <c r="CF35" s="459" t="n"/>
      <c r="CG35" s="459" t="n"/>
      <c r="CH35" s="459" t="n"/>
      <c r="CI35" s="459" t="n"/>
      <c r="CJ35" s="459" t="n"/>
      <c r="CK35" s="459" t="n"/>
      <c r="CL35" s="459" t="n"/>
      <c r="CM35" s="459" t="n"/>
      <c r="CN35" s="459" t="n"/>
      <c r="CO35" s="459" t="n"/>
      <c r="CP35" s="459" t="n"/>
      <c r="CQ35" s="459" t="n"/>
      <c r="CR35" s="459" t="n"/>
      <c r="CS35" s="459" t="n"/>
      <c r="CT35" s="459" t="n"/>
      <c r="CU35" s="459" t="n"/>
      <c r="CV35" s="459" t="n"/>
      <c r="CW35" s="459" t="n"/>
      <c r="CX35" s="459" t="n"/>
      <c r="CY35" s="459" t="n"/>
      <c r="CZ35" s="459" t="n"/>
      <c r="DA35" s="459" t="n"/>
      <c r="DB35" s="459" t="n"/>
      <c r="DC35" s="459" t="n"/>
      <c r="DD35" s="459" t="n"/>
      <c r="DE35" s="459" t="n"/>
      <c r="DF35" s="459" t="n"/>
      <c r="DG35" s="459" t="n"/>
      <c r="DH35" s="459" t="n"/>
      <c r="DI35" s="459" t="n"/>
      <c r="DJ35" s="459" t="n"/>
      <c r="DK35" s="459" t="n"/>
      <c r="DL35" s="459" t="n"/>
      <c r="DM35" s="459" t="n"/>
      <c r="DN35" s="459" t="n"/>
      <c r="DO35" s="459" t="n"/>
      <c r="DP35" s="459" t="n"/>
      <c r="DQ35" s="459" t="n"/>
      <c r="DR35" s="459" t="n"/>
      <c r="DS35" s="459" t="n"/>
      <c r="DT35" s="459" t="n"/>
      <c r="DU35" s="459" t="n"/>
      <c r="DV35" s="459" t="n"/>
      <c r="DW35" s="459" t="n"/>
      <c r="DX35" s="459" t="n"/>
      <c r="DY35" s="459" t="n"/>
      <c r="DZ35" s="459" t="n"/>
      <c r="EA35" s="459" t="n"/>
      <c r="EB35" s="459" t="n"/>
      <c r="EC35" s="459" t="n"/>
      <c r="ED35" s="459" t="n"/>
      <c r="EE35" s="459" t="n"/>
      <c r="EF35" s="459" t="n"/>
      <c r="EG35" s="459" t="n"/>
      <c r="EH35" s="459" t="n"/>
      <c r="EI35" s="459" t="n"/>
      <c r="EJ35" s="459" t="n"/>
      <c r="EK35" s="459" t="n"/>
      <c r="EL35" s="459" t="n"/>
      <c r="EM35" s="459" t="n"/>
      <c r="EN35" s="459" t="n"/>
      <c r="EO35" s="459" t="n"/>
      <c r="EP35" s="459" t="n"/>
      <c r="EQ35" s="459" t="n"/>
      <c r="ER35" s="459" t="n"/>
      <c r="ES35" s="459" t="n"/>
      <c r="ET35" s="459" t="n"/>
      <c r="EU35" s="459" t="n"/>
      <c r="EV35" s="459" t="n"/>
      <c r="EW35" s="459" t="n"/>
      <c r="EX35" s="459" t="n"/>
      <c r="EY35" s="459" t="n"/>
      <c r="EZ35" s="459" t="n"/>
      <c r="FA35" s="459" t="n"/>
      <c r="FB35" s="459" t="n"/>
      <c r="FC35" s="459" t="n"/>
      <c r="FD35" s="459" t="n"/>
      <c r="FE35" s="459" t="n"/>
      <c r="FF35" s="459" t="n"/>
      <c r="FG35" s="459" t="n"/>
      <c r="FH35" s="459" t="n"/>
      <c r="FI35" s="459" t="n"/>
      <c r="FJ35" s="459" t="n"/>
      <c r="FK35" s="459" t="n"/>
      <c r="FL35" s="459" t="n"/>
      <c r="FM35" s="459" t="n"/>
      <c r="FN35" s="459" t="n"/>
      <c r="FO35" s="459" t="n"/>
      <c r="FP35" s="459" t="n"/>
      <c r="FQ35" s="459" t="n"/>
      <c r="FR35" s="459" t="n"/>
      <c r="FS35" s="459" t="n"/>
      <c r="FT35" s="459" t="n"/>
      <c r="FU35" s="459" t="n"/>
      <c r="FV35" s="459" t="n"/>
      <c r="FW35" s="459" t="n"/>
      <c r="FX35" s="459" t="n"/>
      <c r="FY35" s="459" t="n"/>
      <c r="FZ35" s="306" t="n"/>
    </row>
    <row r="36" ht="15" customHeight="1" s="307">
      <c r="A36" s="314" t="n"/>
      <c r="B36" s="464" t="n"/>
      <c r="C36" s="464" t="n"/>
      <c r="D36" s="464" t="n"/>
      <c r="E36" s="464" t="n"/>
      <c r="F36" s="464" t="n"/>
      <c r="G36" s="464" t="n"/>
      <c r="H36" s="464" t="n"/>
      <c r="I36" s="464" t="n"/>
      <c r="J36" s="464" t="n"/>
      <c r="K36" s="464" t="n"/>
      <c r="L36" s="464" t="n"/>
      <c r="M36" s="464" t="n"/>
      <c r="N36" s="464" t="n"/>
      <c r="O36" s="464" t="n"/>
      <c r="P36" s="464" t="n"/>
      <c r="Q36" s="464" t="n"/>
      <c r="R36" s="464" t="n"/>
      <c r="S36" s="464" t="n"/>
      <c r="T36" s="464" t="n"/>
      <c r="U36" s="464" t="n"/>
      <c r="V36" s="464" t="n"/>
      <c r="W36" s="464" t="n"/>
      <c r="X36" s="464" t="n"/>
      <c r="Y36" s="464" t="n"/>
      <c r="Z36" s="464" t="n"/>
      <c r="AA36" s="464" t="n"/>
      <c r="AB36" s="464" t="n"/>
      <c r="AC36" s="464" t="n"/>
      <c r="AD36" s="464" t="n"/>
      <c r="AE36" s="464" t="n"/>
      <c r="AF36" s="464" t="n"/>
      <c r="AG36" s="464" t="n"/>
      <c r="AH36" s="464" t="n"/>
      <c r="AI36" s="464" t="n"/>
      <c r="AJ36" s="464" t="n"/>
      <c r="AK36" s="464" t="n"/>
      <c r="AL36" s="464" t="n"/>
      <c r="AM36" s="464" t="n"/>
      <c r="AN36" s="464" t="n"/>
      <c r="AO36" s="464" t="n"/>
      <c r="AP36" s="464" t="n"/>
      <c r="AQ36" s="464" t="n"/>
      <c r="AR36" s="464" t="n"/>
      <c r="AS36" s="464" t="n"/>
      <c r="AT36" s="464" t="n"/>
      <c r="AU36" s="464" t="n"/>
      <c r="AV36" s="464" t="n"/>
      <c r="AW36" s="464" t="n"/>
      <c r="AX36" s="464" t="n"/>
      <c r="AY36" s="464" t="n"/>
      <c r="AZ36" s="464" t="n"/>
      <c r="BA36" s="464" t="n"/>
      <c r="BB36" s="464" t="n"/>
      <c r="BC36" s="464" t="n"/>
      <c r="BD36" s="464" t="n"/>
      <c r="BE36" s="464" t="n"/>
      <c r="BF36" s="464" t="n"/>
      <c r="BG36" s="464" t="n"/>
      <c r="BH36" s="464" t="n"/>
      <c r="BI36" s="464" t="n"/>
      <c r="BJ36" s="464" t="n"/>
      <c r="BK36" s="464" t="n"/>
      <c r="BL36" s="464" t="n"/>
      <c r="BM36" s="464" t="n"/>
      <c r="BN36" s="464" t="n"/>
      <c r="BO36" s="464" t="n"/>
      <c r="BP36" s="464" t="n"/>
      <c r="BQ36" s="464" t="n"/>
      <c r="BR36" s="464" t="n"/>
      <c r="BS36" s="464" t="n"/>
      <c r="BT36" s="464" t="n"/>
      <c r="BU36" s="464" t="n"/>
      <c r="BV36" s="464" t="n"/>
      <c r="BW36" s="464" t="n"/>
      <c r="BX36" s="464" t="n"/>
      <c r="BY36" s="464" t="n"/>
      <c r="BZ36" s="464" t="n"/>
      <c r="CA36" s="464" t="n"/>
      <c r="CB36" s="464" t="n"/>
      <c r="CC36" s="464" t="n"/>
      <c r="CD36" s="464" t="n"/>
      <c r="CE36" s="464" t="n"/>
      <c r="CF36" s="464" t="n"/>
      <c r="CG36" s="464" t="n"/>
      <c r="CH36" s="464" t="n"/>
      <c r="CI36" s="464" t="n"/>
      <c r="CJ36" s="464" t="n"/>
      <c r="CK36" s="464" t="n"/>
      <c r="CL36" s="464" t="n"/>
      <c r="CM36" s="464" t="n"/>
      <c r="CN36" s="464" t="n"/>
      <c r="CO36" s="464" t="n"/>
      <c r="CP36" s="464" t="n"/>
      <c r="CQ36" s="464" t="n"/>
      <c r="CR36" s="464" t="n"/>
      <c r="CS36" s="464" t="n"/>
      <c r="CT36" s="464" t="n"/>
      <c r="CU36" s="464" t="n"/>
      <c r="CV36" s="464" t="n"/>
      <c r="CW36" s="464" t="n"/>
      <c r="CX36" s="464" t="n"/>
      <c r="CY36" s="464" t="n"/>
      <c r="CZ36" s="464" t="n"/>
      <c r="DA36" s="464" t="n"/>
      <c r="DB36" s="464" t="n"/>
      <c r="DC36" s="464" t="n"/>
      <c r="DD36" s="464" t="n"/>
      <c r="DE36" s="464" t="n"/>
      <c r="DF36" s="464" t="n"/>
      <c r="DG36" s="464" t="n"/>
      <c r="DH36" s="464" t="n"/>
      <c r="DI36" s="464" t="n"/>
      <c r="DJ36" s="464" t="n"/>
      <c r="DK36" s="464" t="n"/>
      <c r="DL36" s="464" t="n"/>
      <c r="DM36" s="464" t="n"/>
      <c r="DN36" s="464" t="n"/>
      <c r="DO36" s="464" t="n"/>
      <c r="DP36" s="464" t="n"/>
      <c r="DQ36" s="464" t="n"/>
      <c r="DR36" s="464" t="n"/>
      <c r="DS36" s="464" t="n"/>
      <c r="DT36" s="464" t="n"/>
      <c r="DU36" s="464" t="n"/>
      <c r="DV36" s="464" t="n"/>
      <c r="DW36" s="464" t="n"/>
      <c r="DX36" s="464" t="n"/>
      <c r="DY36" s="464" t="n"/>
      <c r="DZ36" s="464" t="n"/>
      <c r="EA36" s="464" t="n"/>
      <c r="EB36" s="464" t="n"/>
      <c r="EC36" s="464" t="n"/>
      <c r="ED36" s="464" t="n"/>
      <c r="EE36" s="464" t="n"/>
      <c r="EF36" s="464" t="n"/>
      <c r="EG36" s="464" t="n"/>
      <c r="EH36" s="464" t="n"/>
      <c r="EI36" s="464" t="n"/>
      <c r="EJ36" s="464" t="n"/>
      <c r="EK36" s="464" t="n"/>
      <c r="EL36" s="464" t="n"/>
      <c r="EM36" s="464" t="n"/>
      <c r="EN36" s="464" t="n"/>
      <c r="EO36" s="464" t="n"/>
      <c r="EP36" s="464" t="n"/>
      <c r="EQ36" s="464" t="n"/>
      <c r="ER36" s="464" t="n"/>
      <c r="ES36" s="464" t="n"/>
      <c r="ET36" s="464" t="n"/>
      <c r="EU36" s="464" t="n"/>
      <c r="EV36" s="464" t="n"/>
      <c r="EW36" s="464" t="n"/>
      <c r="EX36" s="464" t="n"/>
      <c r="EY36" s="464" t="n"/>
      <c r="EZ36" s="464" t="n"/>
      <c r="FA36" s="464" t="n"/>
      <c r="FB36" s="464" t="n"/>
      <c r="FC36" s="464" t="n"/>
      <c r="FD36" s="464" t="n"/>
      <c r="FE36" s="464" t="n"/>
      <c r="FF36" s="464" t="n"/>
      <c r="FG36" s="464" t="n"/>
      <c r="FH36" s="464" t="n"/>
      <c r="FI36" s="464" t="n"/>
      <c r="FJ36" s="464" t="n"/>
      <c r="FK36" s="464" t="n"/>
      <c r="FL36" s="464" t="n"/>
      <c r="FM36" s="464" t="n"/>
      <c r="FN36" s="464" t="n"/>
      <c r="FO36" s="464" t="n"/>
      <c r="FP36" s="464" t="n"/>
      <c r="FQ36" s="464" t="n"/>
      <c r="FR36" s="464" t="n"/>
      <c r="FS36" s="464" t="n"/>
      <c r="FT36" s="464" t="n"/>
      <c r="FU36" s="464" t="n"/>
      <c r="FV36" s="464" t="n"/>
      <c r="FW36" s="464" t="n"/>
      <c r="FX36" s="464" t="n"/>
      <c r="FY36" s="464" t="n"/>
      <c r="FZ36" s="306" t="n"/>
    </row>
    <row r="37" ht="15" customHeight="1" s="30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  <c r="O37" s="306" t="n"/>
      <c r="P37" s="306" t="n"/>
      <c r="Q37" s="306" t="n"/>
      <c r="R37" s="306" t="n"/>
      <c r="S37" s="306" t="n"/>
      <c r="T37" s="306" t="n"/>
      <c r="U37" s="306" t="n"/>
      <c r="V37" s="306" t="n"/>
      <c r="W37" s="306" t="n"/>
      <c r="X37" s="306" t="n"/>
      <c r="Y37" s="306" t="n"/>
      <c r="Z37" s="306" t="n"/>
      <c r="AA37" s="306" t="n"/>
      <c r="AB37" s="306" t="n"/>
      <c r="AC37" s="306" t="n"/>
      <c r="AD37" s="306" t="n"/>
      <c r="AE37" s="306" t="n"/>
      <c r="AF37" s="306" t="n"/>
      <c r="AG37" s="306" t="n"/>
      <c r="AH37" s="306" t="n"/>
      <c r="AI37" s="306" t="n"/>
      <c r="AJ37" s="306" t="n"/>
      <c r="AK37" s="306" t="n"/>
      <c r="AL37" s="306" t="n"/>
      <c r="AM37" s="306" t="n"/>
      <c r="AN37" s="306" t="n"/>
      <c r="AO37" s="306" t="n"/>
      <c r="AP37" s="306" t="n"/>
      <c r="AQ37" s="306" t="n"/>
      <c r="AR37" s="306" t="n"/>
      <c r="AS37" s="306" t="n"/>
      <c r="AT37" s="306" t="n"/>
      <c r="AU37" s="306" t="n"/>
      <c r="AV37" s="306" t="n"/>
      <c r="AW37" s="306" t="n"/>
      <c r="AX37" s="306" t="n"/>
      <c r="AY37" s="306" t="n"/>
      <c r="AZ37" s="306" t="n"/>
      <c r="BA37" s="306" t="n"/>
      <c r="BB37" s="306" t="n"/>
      <c r="BC37" s="306" t="n"/>
      <c r="BD37" s="306" t="n"/>
      <c r="BE37" s="306" t="n"/>
      <c r="BF37" s="306" t="n"/>
      <c r="BG37" s="306" t="n"/>
      <c r="BH37" s="306" t="n"/>
      <c r="BI37" s="306" t="n"/>
      <c r="BJ37" s="306" t="n"/>
      <c r="BK37" s="306" t="n"/>
      <c r="BL37" s="306" t="n"/>
      <c r="BM37" s="306" t="n"/>
      <c r="BN37" s="306" t="n"/>
      <c r="BO37" s="306" t="n"/>
      <c r="BP37" s="306" t="n"/>
      <c r="BQ37" s="306" t="n"/>
      <c r="BR37" s="306" t="n"/>
      <c r="BS37" s="306" t="n"/>
      <c r="BT37" s="306" t="n"/>
      <c r="BU37" s="306" t="n"/>
      <c r="BV37" s="306" t="n"/>
      <c r="BW37" s="306" t="n"/>
      <c r="BX37" s="306" t="n"/>
      <c r="BY37" s="306" t="n"/>
      <c r="BZ37" s="306" t="n"/>
      <c r="CA37" s="306" t="n"/>
      <c r="CB37" s="306" t="n"/>
      <c r="CC37" s="306" t="n"/>
      <c r="CD37" s="306" t="n"/>
      <c r="CE37" s="306" t="n"/>
      <c r="CF37" s="306" t="n"/>
      <c r="CG37" s="306" t="n"/>
      <c r="CH37" s="306" t="n"/>
      <c r="CI37" s="306" t="n"/>
      <c r="CJ37" s="306" t="n"/>
      <c r="CK37" s="306" t="n"/>
      <c r="CL37" s="306" t="n"/>
      <c r="CM37" s="306" t="n"/>
      <c r="CN37" s="306" t="n"/>
      <c r="CO37" s="306" t="n"/>
      <c r="CP37" s="306" t="n"/>
      <c r="CQ37" s="306" t="n"/>
      <c r="CR37" s="306" t="n"/>
      <c r="CS37" s="306" t="n"/>
      <c r="CT37" s="306" t="n"/>
      <c r="CU37" s="306" t="n"/>
      <c r="CV37" s="306" t="n"/>
      <c r="CW37" s="306" t="n"/>
      <c r="CX37" s="306" t="n"/>
      <c r="CY37" s="306" t="n"/>
      <c r="CZ37" s="306" t="n"/>
      <c r="DA37" s="306" t="n"/>
      <c r="DB37" s="306" t="n"/>
      <c r="DC37" s="306" t="n"/>
      <c r="DD37" s="306" t="n"/>
      <c r="DE37" s="306" t="n"/>
      <c r="DF37" s="306" t="n"/>
      <c r="DG37" s="306" t="n"/>
      <c r="DH37" s="306" t="n"/>
      <c r="DI37" s="306" t="n"/>
      <c r="DJ37" s="306" t="n"/>
      <c r="DK37" s="306" t="n"/>
      <c r="DL37" s="306" t="n"/>
      <c r="DM37" s="306" t="n"/>
      <c r="DN37" s="306" t="n"/>
      <c r="DO37" s="306" t="n"/>
      <c r="DP37" s="306" t="n"/>
      <c r="DQ37" s="306" t="n"/>
      <c r="DR37" s="306" t="n"/>
      <c r="DS37" s="306" t="n"/>
      <c r="DT37" s="306" t="n"/>
      <c r="DU37" s="306" t="n"/>
      <c r="DV37" s="306" t="n"/>
      <c r="DW37" s="306" t="n"/>
      <c r="DX37" s="306" t="n"/>
      <c r="DY37" s="306" t="n"/>
      <c r="DZ37" s="306" t="n"/>
      <c r="EA37" s="306" t="n"/>
      <c r="EB37" s="306" t="n"/>
      <c r="EC37" s="306" t="n"/>
      <c r="ED37" s="306" t="n"/>
      <c r="EE37" s="306" t="n"/>
      <c r="EF37" s="306" t="n"/>
      <c r="EG37" s="306" t="n"/>
      <c r="EH37" s="306" t="n"/>
      <c r="EI37" s="306" t="n"/>
      <c r="EJ37" s="306" t="n"/>
      <c r="EK37" s="306" t="n"/>
      <c r="EL37" s="306" t="n"/>
      <c r="EM37" s="306" t="n"/>
      <c r="EN37" s="306" t="n"/>
      <c r="EO37" s="306" t="n"/>
      <c r="EP37" s="306" t="n"/>
      <c r="EQ37" s="306" t="n"/>
      <c r="ER37" s="306" t="n"/>
      <c r="ES37" s="306" t="n"/>
      <c r="ET37" s="306" t="n"/>
      <c r="EU37" s="306" t="n"/>
      <c r="EV37" s="306" t="n"/>
      <c r="EW37" s="306" t="n"/>
      <c r="EX37" s="306" t="n"/>
      <c r="EY37" s="306" t="n"/>
      <c r="EZ37" s="306" t="n"/>
      <c r="FA37" s="306" t="n"/>
      <c r="FB37" s="306" t="n"/>
      <c r="FC37" s="306" t="n"/>
      <c r="FD37" s="306" t="n"/>
      <c r="FE37" s="306" t="n"/>
      <c r="FF37" s="306" t="n"/>
      <c r="FG37" s="306" t="n"/>
      <c r="FH37" s="306" t="n"/>
      <c r="FI37" s="306" t="n"/>
      <c r="FJ37" s="306" t="n"/>
      <c r="FK37" s="306" t="n"/>
      <c r="FL37" s="306" t="n"/>
      <c r="FM37" s="306" t="n"/>
      <c r="FN37" s="306" t="n"/>
      <c r="FO37" s="306" t="n"/>
      <c r="FP37" s="306" t="n"/>
      <c r="FQ37" s="306" t="n"/>
      <c r="FR37" s="306" t="n"/>
      <c r="FS37" s="306" t="n"/>
      <c r="FT37" s="306" t="n"/>
      <c r="FU37" s="306" t="n"/>
      <c r="FV37" s="306" t="n"/>
      <c r="FW37" s="306" t="n"/>
      <c r="FX37" s="306" t="n"/>
      <c r="FY37" s="306" t="n"/>
      <c r="FZ37" s="306" t="n"/>
    </row>
    <row r="38" ht="15" customHeight="1" s="30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  <c r="T38" s="306" t="n"/>
      <c r="U38" s="306" t="n"/>
      <c r="V38" s="306" t="n"/>
      <c r="W38" s="306" t="n"/>
      <c r="X38" s="306" t="n"/>
      <c r="Y38" s="306" t="n"/>
      <c r="Z38" s="306" t="n"/>
      <c r="AA38" s="306" t="n"/>
      <c r="AB38" s="306" t="n"/>
      <c r="AC38" s="306" t="n"/>
      <c r="AD38" s="306" t="n"/>
      <c r="AE38" s="306" t="n"/>
      <c r="AF38" s="306" t="n"/>
      <c r="AG38" s="306" t="n"/>
      <c r="AH38" s="306" t="n"/>
      <c r="AI38" s="306" t="n"/>
      <c r="AJ38" s="306" t="n"/>
      <c r="AK38" s="306" t="n"/>
      <c r="AL38" s="306" t="n"/>
      <c r="AM38" s="306" t="n"/>
      <c r="AN38" s="306" t="n"/>
      <c r="AO38" s="306" t="n"/>
      <c r="AP38" s="306" t="n"/>
      <c r="AQ38" s="306" t="n"/>
      <c r="AR38" s="306" t="n"/>
      <c r="AS38" s="306" t="n"/>
      <c r="AT38" s="306" t="n"/>
      <c r="AU38" s="306" t="n"/>
      <c r="AV38" s="306" t="n"/>
      <c r="AW38" s="306" t="n"/>
      <c r="AX38" s="306" t="n"/>
      <c r="AY38" s="306" t="n"/>
      <c r="AZ38" s="306" t="n"/>
      <c r="BA38" s="306" t="n"/>
      <c r="BB38" s="306" t="n"/>
      <c r="BC38" s="306" t="n"/>
      <c r="BD38" s="306" t="n"/>
      <c r="BE38" s="306" t="n"/>
      <c r="BF38" s="306" t="n"/>
      <c r="BG38" s="306" t="n"/>
      <c r="BH38" s="306" t="n"/>
      <c r="BI38" s="306" t="n"/>
      <c r="BJ38" s="306" t="n"/>
      <c r="BK38" s="306" t="n"/>
      <c r="BL38" s="306" t="n"/>
      <c r="BM38" s="306" t="n"/>
      <c r="BN38" s="306" t="n"/>
      <c r="BO38" s="306" t="n"/>
      <c r="BP38" s="306" t="n"/>
      <c r="BQ38" s="306" t="n"/>
      <c r="BR38" s="306" t="n"/>
      <c r="BS38" s="306" t="n"/>
      <c r="BT38" s="306" t="n"/>
      <c r="BU38" s="306" t="n"/>
      <c r="BV38" s="306" t="n"/>
      <c r="BW38" s="306" t="n"/>
      <c r="BX38" s="306" t="n"/>
      <c r="BY38" s="306" t="n"/>
      <c r="BZ38" s="306" t="n"/>
      <c r="CA38" s="306" t="n"/>
      <c r="CB38" s="306" t="n"/>
      <c r="CC38" s="306" t="n"/>
      <c r="CD38" s="306" t="n"/>
      <c r="CE38" s="306" t="n"/>
      <c r="CF38" s="306" t="n"/>
      <c r="CG38" s="306" t="n"/>
      <c r="CH38" s="306" t="n"/>
      <c r="CI38" s="306" t="n"/>
      <c r="CJ38" s="306" t="n"/>
      <c r="CK38" s="306" t="n"/>
      <c r="CL38" s="306" t="n"/>
      <c r="CM38" s="306" t="n"/>
      <c r="CN38" s="306" t="n"/>
      <c r="CO38" s="306" t="n"/>
      <c r="CP38" s="306" t="n"/>
      <c r="CQ38" s="306" t="n"/>
      <c r="CR38" s="306" t="n"/>
      <c r="CS38" s="306" t="n"/>
      <c r="CT38" s="306" t="n"/>
      <c r="CU38" s="306" t="n"/>
      <c r="CV38" s="306" t="n"/>
      <c r="CW38" s="306" t="n"/>
      <c r="CX38" s="306" t="n"/>
      <c r="CY38" s="306" t="n"/>
      <c r="CZ38" s="306" t="n"/>
      <c r="DA38" s="306" t="n"/>
      <c r="DB38" s="306" t="n"/>
      <c r="DC38" s="306" t="n"/>
      <c r="DD38" s="306" t="n"/>
      <c r="DE38" s="306" t="n"/>
      <c r="DF38" s="306" t="n"/>
      <c r="DG38" s="306" t="n"/>
      <c r="DH38" s="306" t="n"/>
      <c r="DI38" s="306" t="n"/>
      <c r="DJ38" s="306" t="n"/>
      <c r="DK38" s="306" t="n"/>
      <c r="DL38" s="306" t="n"/>
      <c r="DM38" s="306" t="n"/>
      <c r="DN38" s="306" t="n"/>
      <c r="DO38" s="306" t="n"/>
      <c r="DP38" s="306" t="n"/>
      <c r="DQ38" s="306" t="n"/>
      <c r="DR38" s="306" t="n"/>
      <c r="DS38" s="306" t="n"/>
      <c r="DT38" s="306" t="n"/>
      <c r="DU38" s="306" t="n"/>
      <c r="DV38" s="306" t="n"/>
      <c r="DW38" s="306" t="n"/>
      <c r="DX38" s="306" t="n"/>
      <c r="DY38" s="306" t="n"/>
      <c r="DZ38" s="306" t="n"/>
      <c r="EA38" s="306" t="n"/>
      <c r="EB38" s="306" t="n"/>
      <c r="EC38" s="306" t="n"/>
      <c r="ED38" s="306" t="n"/>
      <c r="EE38" s="306" t="n"/>
      <c r="EF38" s="306" t="n"/>
      <c r="EG38" s="306" t="n"/>
      <c r="EH38" s="306" t="n"/>
      <c r="EI38" s="306" t="n"/>
      <c r="EJ38" s="306" t="n"/>
      <c r="EK38" s="306" t="n"/>
      <c r="EL38" s="306" t="n"/>
      <c r="EM38" s="306" t="n"/>
      <c r="EN38" s="306" t="n"/>
      <c r="EO38" s="306" t="n"/>
      <c r="EP38" s="306" t="n"/>
      <c r="EQ38" s="306" t="n"/>
      <c r="ER38" s="306" t="n"/>
      <c r="ES38" s="306" t="n"/>
      <c r="ET38" s="306" t="n"/>
      <c r="EU38" s="306" t="n"/>
      <c r="EV38" s="306" t="n"/>
      <c r="EW38" s="306" t="n"/>
      <c r="EX38" s="306" t="n"/>
      <c r="EY38" s="306" t="n"/>
      <c r="EZ38" s="306" t="n"/>
      <c r="FA38" s="306" t="n"/>
      <c r="FB38" s="306" t="n"/>
      <c r="FC38" s="306" t="n"/>
      <c r="FD38" s="306" t="n"/>
      <c r="FE38" s="306" t="n"/>
      <c r="FF38" s="306" t="n"/>
      <c r="FG38" s="306" t="n"/>
      <c r="FH38" s="306" t="n"/>
      <c r="FI38" s="306" t="n"/>
      <c r="FJ38" s="306" t="n"/>
      <c r="FK38" s="306" t="n"/>
      <c r="FL38" s="306" t="n"/>
      <c r="FM38" s="306" t="n"/>
      <c r="FN38" s="306" t="n"/>
      <c r="FO38" s="306" t="n"/>
      <c r="FP38" s="306" t="n"/>
      <c r="FQ38" s="306" t="n"/>
      <c r="FR38" s="306" t="n"/>
      <c r="FS38" s="306" t="n"/>
      <c r="FT38" s="306" t="n"/>
      <c r="FU38" s="306" t="n"/>
      <c r="FV38" s="306" t="n"/>
      <c r="FW38" s="306" t="n"/>
      <c r="FX38" s="306" t="n"/>
      <c r="FY38" s="306" t="n"/>
      <c r="FZ38" s="306" t="n"/>
    </row>
    <row r="39" ht="15" customHeight="1" s="30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  <c r="T39" s="306" t="n"/>
      <c r="U39" s="306" t="n"/>
      <c r="V39" s="306" t="n"/>
      <c r="W39" s="306" t="n"/>
      <c r="X39" s="306" t="n"/>
      <c r="Y39" s="306" t="n"/>
      <c r="Z39" s="306" t="n"/>
      <c r="AA39" s="306" t="n"/>
      <c r="AB39" s="306" t="n"/>
      <c r="AC39" s="306" t="n"/>
      <c r="AD39" s="306" t="n"/>
      <c r="AE39" s="306" t="n"/>
      <c r="AF39" s="306" t="n"/>
      <c r="AG39" s="306" t="n"/>
      <c r="AH39" s="306" t="n"/>
      <c r="AI39" s="306" t="n"/>
      <c r="AJ39" s="306" t="n"/>
      <c r="AK39" s="306" t="n"/>
      <c r="AL39" s="306" t="n"/>
      <c r="AM39" s="306" t="n"/>
      <c r="AN39" s="306" t="n"/>
      <c r="AO39" s="306" t="n"/>
      <c r="AP39" s="306" t="n"/>
      <c r="AQ39" s="306" t="n"/>
      <c r="AR39" s="306" t="n"/>
      <c r="AS39" s="306" t="n"/>
      <c r="AT39" s="306" t="n"/>
      <c r="AU39" s="306" t="n"/>
      <c r="AV39" s="306" t="n"/>
      <c r="AW39" s="306" t="n"/>
      <c r="AX39" s="306" t="n"/>
      <c r="AY39" s="306" t="n"/>
      <c r="AZ39" s="306" t="n"/>
      <c r="BA39" s="306" t="n"/>
      <c r="BB39" s="306" t="n"/>
      <c r="BC39" s="306" t="n"/>
      <c r="BD39" s="306" t="n"/>
      <c r="BE39" s="306" t="n"/>
      <c r="BF39" s="306" t="n"/>
      <c r="BG39" s="306" t="n"/>
      <c r="BH39" s="306" t="n"/>
      <c r="BI39" s="306" t="n"/>
      <c r="BJ39" s="306" t="n"/>
      <c r="BK39" s="306" t="n"/>
      <c r="BL39" s="306" t="n"/>
      <c r="BM39" s="306" t="n"/>
      <c r="BN39" s="306" t="n"/>
      <c r="BO39" s="306" t="n"/>
      <c r="BP39" s="306" t="n"/>
      <c r="BQ39" s="306" t="n"/>
      <c r="BR39" s="306" t="n"/>
      <c r="BS39" s="306" t="n"/>
      <c r="BT39" s="306" t="n"/>
      <c r="BU39" s="306" t="n"/>
      <c r="BV39" s="306" t="n"/>
      <c r="BW39" s="306" t="n"/>
      <c r="BX39" s="306" t="n"/>
      <c r="BY39" s="306" t="n"/>
      <c r="BZ39" s="306" t="n"/>
      <c r="CA39" s="306" t="n"/>
      <c r="CB39" s="306" t="n"/>
      <c r="CC39" s="306" t="n"/>
      <c r="CD39" s="306" t="n"/>
      <c r="CE39" s="306" t="n"/>
      <c r="CF39" s="306" t="n"/>
      <c r="CG39" s="306" t="n"/>
      <c r="CH39" s="306" t="n"/>
      <c r="CI39" s="306" t="n"/>
      <c r="CJ39" s="306" t="n"/>
      <c r="CK39" s="306" t="n"/>
      <c r="CL39" s="306" t="n"/>
      <c r="CM39" s="306" t="n"/>
      <c r="CN39" s="306" t="n"/>
      <c r="CO39" s="306" t="n"/>
      <c r="CP39" s="306" t="n"/>
      <c r="CQ39" s="306" t="n"/>
      <c r="CR39" s="306" t="n"/>
      <c r="CS39" s="306" t="n"/>
      <c r="CT39" s="306" t="n"/>
      <c r="CU39" s="306" t="n"/>
      <c r="CV39" s="306" t="n"/>
      <c r="CW39" s="306" t="n"/>
      <c r="CX39" s="306" t="n"/>
      <c r="CY39" s="306" t="n"/>
      <c r="CZ39" s="306" t="n"/>
      <c r="DA39" s="306" t="n"/>
      <c r="DB39" s="306" t="n"/>
      <c r="DC39" s="306" t="n"/>
      <c r="DD39" s="306" t="n"/>
      <c r="DE39" s="306" t="n"/>
      <c r="DF39" s="306" t="n"/>
      <c r="DG39" s="306" t="n"/>
      <c r="DH39" s="306" t="n"/>
      <c r="DI39" s="306" t="n"/>
      <c r="DJ39" s="306" t="n"/>
      <c r="DK39" s="306" t="n"/>
      <c r="DL39" s="306" t="n"/>
      <c r="DM39" s="306" t="n"/>
      <c r="DN39" s="306" t="n"/>
      <c r="DO39" s="306" t="n"/>
      <c r="DP39" s="306" t="n"/>
      <c r="DQ39" s="306" t="n"/>
      <c r="DR39" s="306" t="n"/>
      <c r="DS39" s="306" t="n"/>
      <c r="DT39" s="306" t="n"/>
      <c r="DU39" s="306" t="n"/>
      <c r="DV39" s="306" t="n"/>
      <c r="DW39" s="306" t="n"/>
      <c r="DX39" s="306" t="n"/>
      <c r="DY39" s="306" t="n"/>
      <c r="DZ39" s="306" t="n"/>
      <c r="EA39" s="306" t="n"/>
      <c r="EB39" s="306" t="n"/>
      <c r="EC39" s="306" t="n"/>
      <c r="ED39" s="306" t="n"/>
      <c r="EE39" s="306" t="n"/>
      <c r="EF39" s="306" t="n"/>
      <c r="EG39" s="306" t="n"/>
      <c r="EH39" s="306" t="n"/>
      <c r="EI39" s="306" t="n"/>
      <c r="EJ39" s="306" t="n"/>
      <c r="EK39" s="306" t="n"/>
      <c r="EL39" s="306" t="n"/>
      <c r="EM39" s="306" t="n"/>
      <c r="EN39" s="306" t="n"/>
      <c r="EO39" s="306" t="n"/>
      <c r="EP39" s="306" t="n"/>
      <c r="EQ39" s="306" t="n"/>
      <c r="ER39" s="306" t="n"/>
      <c r="ES39" s="306" t="n"/>
      <c r="ET39" s="306" t="n"/>
      <c r="EU39" s="306" t="n"/>
      <c r="EV39" s="306" t="n"/>
      <c r="EW39" s="306" t="n"/>
      <c r="EX39" s="306" t="n"/>
      <c r="EY39" s="306" t="n"/>
      <c r="EZ39" s="306" t="n"/>
      <c r="FA39" s="306" t="n"/>
      <c r="FB39" s="306" t="n"/>
      <c r="FC39" s="306" t="n"/>
      <c r="FD39" s="306" t="n"/>
      <c r="FE39" s="306" t="n"/>
      <c r="FF39" s="306" t="n"/>
      <c r="FG39" s="306" t="n"/>
      <c r="FH39" s="306" t="n"/>
      <c r="FI39" s="306" t="n"/>
      <c r="FJ39" s="306" t="n"/>
      <c r="FK39" s="306" t="n"/>
      <c r="FL39" s="306" t="n"/>
      <c r="FM39" s="306" t="n"/>
      <c r="FN39" s="306" t="n"/>
      <c r="FO39" s="306" t="n"/>
      <c r="FP39" s="306" t="n"/>
      <c r="FQ39" s="306" t="n"/>
      <c r="FR39" s="306" t="n"/>
      <c r="FS39" s="306" t="n"/>
      <c r="FT39" s="306" t="n"/>
      <c r="FU39" s="306" t="n"/>
      <c r="FV39" s="306" t="n"/>
      <c r="FW39" s="306" t="n"/>
      <c r="FX39" s="306" t="n"/>
      <c r="FY39" s="306" t="n"/>
      <c r="FZ39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1" customWidth="1" style="306" min="2" max="61"/>
  </cols>
  <sheetData>
    <row r="1" ht="15.75" customHeight="1" s="307">
      <c r="A1" s="692" t="inlineStr">
        <is>
          <t>QUARTERLY P&amp;L  |  5 deals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6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06" t="n"/>
      <c r="AO1" s="306" t="n"/>
      <c r="AP1" s="306" t="n"/>
      <c r="AQ1" s="306" t="n"/>
      <c r="AR1" s="306" t="n"/>
      <c r="AS1" s="306" t="n"/>
      <c r="AT1" s="306" t="n"/>
      <c r="AU1" s="306" t="n"/>
      <c r="AV1" s="306" t="n"/>
      <c r="AW1" s="306" t="n"/>
      <c r="AX1" s="306" t="n"/>
      <c r="AY1" s="306" t="n"/>
      <c r="AZ1" s="306" t="n"/>
      <c r="BA1" s="306" t="n"/>
      <c r="BB1" s="306" t="n"/>
      <c r="BC1" s="306" t="n"/>
      <c r="BD1" s="306" t="n"/>
      <c r="BE1" s="306" t="n"/>
      <c r="BF1" s="306" t="n"/>
      <c r="BG1" s="306" t="n"/>
      <c r="BH1" s="306" t="n"/>
      <c r="BI1" s="306" t="n"/>
      <c r="BJ1" s="306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  <c r="T2" s="306" t="n"/>
      <c r="U2" s="306" t="n"/>
      <c r="V2" s="306" t="n"/>
      <c r="W2" s="306" t="n"/>
      <c r="X2" s="306" t="n"/>
      <c r="Y2" s="306" t="n"/>
      <c r="Z2" s="306" t="n"/>
      <c r="AA2" s="306" t="n"/>
      <c r="AB2" s="306" t="n"/>
      <c r="AC2" s="306" t="n"/>
      <c r="AD2" s="306" t="n"/>
      <c r="AE2" s="306" t="n"/>
      <c r="AF2" s="306" t="n"/>
      <c r="AG2" s="306" t="n"/>
      <c r="AH2" s="306" t="n"/>
      <c r="AI2" s="306" t="n"/>
      <c r="AJ2" s="306" t="n"/>
      <c r="AK2" s="306" t="n"/>
      <c r="AL2" s="306" t="n"/>
      <c r="AM2" s="306" t="n"/>
      <c r="AN2" s="306" t="n"/>
      <c r="AO2" s="306" t="n"/>
      <c r="AP2" s="306" t="n"/>
      <c r="AQ2" s="306" t="n"/>
      <c r="AR2" s="306" t="n"/>
      <c r="AS2" s="306" t="n"/>
      <c r="AT2" s="306" t="n"/>
      <c r="AU2" s="306" t="n"/>
      <c r="AV2" s="306" t="n"/>
      <c r="AW2" s="306" t="n"/>
      <c r="AX2" s="306" t="n"/>
      <c r="AY2" s="306" t="n"/>
      <c r="AZ2" s="306" t="n"/>
      <c r="BA2" s="306" t="n"/>
      <c r="BB2" s="306" t="n"/>
      <c r="BC2" s="306" t="n"/>
      <c r="BD2" s="306" t="n"/>
      <c r="BE2" s="306" t="n"/>
      <c r="BF2" s="306" t="n"/>
      <c r="BG2" s="306" t="n"/>
      <c r="BH2" s="306" t="n"/>
      <c r="BI2" s="306" t="n"/>
      <c r="BJ2" s="306" t="n"/>
    </row>
    <row r="3" ht="15" customHeight="1" s="307">
      <c r="A3" s="472" t="inlineStr">
        <is>
          <t>($mm)</t>
        </is>
      </c>
      <c r="B3" s="388" t="inlineStr">
        <is>
          <t>Y1Q1</t>
        </is>
      </c>
      <c r="C3" s="388" t="inlineStr">
        <is>
          <t>Y1Q2</t>
        </is>
      </c>
      <c r="D3" s="388" t="inlineStr">
        <is>
          <t>Y1Q3</t>
        </is>
      </c>
      <c r="E3" s="388" t="inlineStr">
        <is>
          <t>Y1Q4</t>
        </is>
      </c>
      <c r="F3" s="388" t="inlineStr">
        <is>
          <t>Y2Q1</t>
        </is>
      </c>
      <c r="G3" s="388" t="inlineStr">
        <is>
          <t>Y2Q2</t>
        </is>
      </c>
      <c r="H3" s="388" t="inlineStr">
        <is>
          <t>Y2Q3</t>
        </is>
      </c>
      <c r="I3" s="388" t="inlineStr">
        <is>
          <t>Y2Q4</t>
        </is>
      </c>
      <c r="J3" s="388" t="inlineStr">
        <is>
          <t>Y3Q1</t>
        </is>
      </c>
      <c r="K3" s="388" t="inlineStr">
        <is>
          <t>Y3Q2</t>
        </is>
      </c>
      <c r="L3" s="388" t="inlineStr">
        <is>
          <t>Y3Q3</t>
        </is>
      </c>
      <c r="M3" s="388" t="inlineStr">
        <is>
          <t>Y3Q4</t>
        </is>
      </c>
      <c r="N3" s="388" t="inlineStr">
        <is>
          <t>Y4Q1</t>
        </is>
      </c>
      <c r="O3" s="388" t="inlineStr">
        <is>
          <t>Y4Q2</t>
        </is>
      </c>
      <c r="P3" s="388" t="inlineStr">
        <is>
          <t>Y4Q3</t>
        </is>
      </c>
      <c r="Q3" s="388" t="inlineStr">
        <is>
          <t>Y4Q4</t>
        </is>
      </c>
      <c r="R3" s="388" t="inlineStr">
        <is>
          <t>Y5Q1</t>
        </is>
      </c>
      <c r="S3" s="388" t="inlineStr">
        <is>
          <t>Y5Q2</t>
        </is>
      </c>
      <c r="T3" s="388" t="inlineStr">
        <is>
          <t>Y5Q3</t>
        </is>
      </c>
      <c r="U3" s="388" t="inlineStr">
        <is>
          <t>Y5Q4</t>
        </is>
      </c>
      <c r="V3" s="388" t="inlineStr">
        <is>
          <t>Y6Q1</t>
        </is>
      </c>
      <c r="W3" s="388" t="inlineStr">
        <is>
          <t>Y6Q2</t>
        </is>
      </c>
      <c r="X3" s="388" t="inlineStr">
        <is>
          <t>Y6Q3</t>
        </is>
      </c>
      <c r="Y3" s="388" t="inlineStr">
        <is>
          <t>Y6Q4</t>
        </is>
      </c>
      <c r="Z3" s="388" t="inlineStr">
        <is>
          <t>Y7Q1</t>
        </is>
      </c>
      <c r="AA3" s="388" t="inlineStr">
        <is>
          <t>Y7Q2</t>
        </is>
      </c>
      <c r="AB3" s="388" t="inlineStr">
        <is>
          <t>Y7Q3</t>
        </is>
      </c>
      <c r="AC3" s="388" t="inlineStr">
        <is>
          <t>Y7Q4</t>
        </is>
      </c>
      <c r="AD3" s="388" t="inlineStr">
        <is>
          <t>Y8Q1</t>
        </is>
      </c>
      <c r="AE3" s="388" t="inlineStr">
        <is>
          <t>Y8Q2</t>
        </is>
      </c>
      <c r="AF3" s="388" t="inlineStr">
        <is>
          <t>Y8Q3</t>
        </is>
      </c>
      <c r="AG3" s="388" t="inlineStr">
        <is>
          <t>Y8Q4</t>
        </is>
      </c>
      <c r="AH3" s="388" t="inlineStr">
        <is>
          <t>Y9Q1</t>
        </is>
      </c>
      <c r="AI3" s="388" t="inlineStr">
        <is>
          <t>Y9Q2</t>
        </is>
      </c>
      <c r="AJ3" s="388" t="inlineStr">
        <is>
          <t>Y9Q3</t>
        </is>
      </c>
      <c r="AK3" s="388" t="inlineStr">
        <is>
          <t>Y9Q4</t>
        </is>
      </c>
      <c r="AL3" s="388" t="inlineStr">
        <is>
          <t>Y10Q1</t>
        </is>
      </c>
      <c r="AM3" s="388" t="inlineStr">
        <is>
          <t>Y10Q2</t>
        </is>
      </c>
      <c r="AN3" s="388" t="inlineStr">
        <is>
          <t>Y10Q3</t>
        </is>
      </c>
      <c r="AO3" s="388" t="inlineStr">
        <is>
          <t>Y10Q4</t>
        </is>
      </c>
      <c r="AP3" s="388" t="inlineStr">
        <is>
          <t>Y11Q1</t>
        </is>
      </c>
      <c r="AQ3" s="388" t="inlineStr">
        <is>
          <t>Y11Q2</t>
        </is>
      </c>
      <c r="AR3" s="388" t="inlineStr">
        <is>
          <t>Y11Q3</t>
        </is>
      </c>
      <c r="AS3" s="388" t="inlineStr">
        <is>
          <t>Y11Q4</t>
        </is>
      </c>
      <c r="AT3" s="388" t="inlineStr">
        <is>
          <t>Y12Q1</t>
        </is>
      </c>
      <c r="AU3" s="388" t="inlineStr">
        <is>
          <t>Y12Q2</t>
        </is>
      </c>
      <c r="AV3" s="388" t="inlineStr">
        <is>
          <t>Y12Q3</t>
        </is>
      </c>
      <c r="AW3" s="388" t="inlineStr">
        <is>
          <t>Y12Q4</t>
        </is>
      </c>
      <c r="AX3" s="388" t="inlineStr">
        <is>
          <t>Y13Q1</t>
        </is>
      </c>
      <c r="AY3" s="388" t="inlineStr">
        <is>
          <t>Y13Q2</t>
        </is>
      </c>
      <c r="AZ3" s="388" t="inlineStr">
        <is>
          <t>Y13Q3</t>
        </is>
      </c>
      <c r="BA3" s="388" t="inlineStr">
        <is>
          <t>Y13Q4</t>
        </is>
      </c>
      <c r="BB3" s="388" t="inlineStr">
        <is>
          <t>Y14Q1</t>
        </is>
      </c>
      <c r="BC3" s="388" t="inlineStr">
        <is>
          <t>Y14Q2</t>
        </is>
      </c>
      <c r="BD3" s="388" t="inlineStr">
        <is>
          <t>Y14Q3</t>
        </is>
      </c>
      <c r="BE3" s="388" t="inlineStr">
        <is>
          <t>Y14Q4</t>
        </is>
      </c>
      <c r="BF3" s="388" t="inlineStr">
        <is>
          <t>Y15Q1</t>
        </is>
      </c>
      <c r="BG3" s="388" t="inlineStr">
        <is>
          <t>Y15Q2</t>
        </is>
      </c>
      <c r="BH3" s="388" t="inlineStr">
        <is>
          <t>Y15Q3</t>
        </is>
      </c>
      <c r="BI3" s="388" t="inlineStr">
        <is>
          <t>Y15Q4</t>
        </is>
      </c>
      <c r="BJ3" s="306" t="n"/>
    </row>
    <row r="4" ht="15" customHeight="1" s="307">
      <c r="A4" s="306" t="n"/>
      <c r="B4" s="474" t="n"/>
      <c r="C4" s="306" t="n"/>
      <c r="D4" s="306" t="n"/>
      <c r="E4" s="306" t="n"/>
      <c r="F4" s="474" t="n"/>
      <c r="G4" s="306" t="n"/>
      <c r="H4" s="306" t="n"/>
      <c r="I4" s="306" t="n"/>
      <c r="J4" s="474" t="n"/>
      <c r="K4" s="306" t="n"/>
      <c r="L4" s="306" t="n"/>
      <c r="M4" s="306" t="n"/>
      <c r="N4" s="474" t="n"/>
      <c r="O4" s="306" t="n"/>
      <c r="P4" s="306" t="n"/>
      <c r="Q4" s="306" t="n"/>
      <c r="R4" s="474" t="n"/>
      <c r="S4" s="306" t="n"/>
      <c r="T4" s="306" t="n"/>
      <c r="U4" s="306" t="n"/>
      <c r="V4" s="474" t="n"/>
      <c r="W4" s="306" t="n"/>
      <c r="X4" s="306" t="n"/>
      <c r="Y4" s="306" t="n"/>
      <c r="Z4" s="474" t="n"/>
      <c r="AA4" s="306" t="n"/>
      <c r="AB4" s="306" t="n"/>
      <c r="AC4" s="306" t="n"/>
      <c r="AD4" s="474" t="n"/>
      <c r="AE4" s="306" t="n"/>
      <c r="AF4" s="306" t="n"/>
      <c r="AG4" s="306" t="n"/>
      <c r="AH4" s="474" t="n"/>
      <c r="AI4" s="306" t="n"/>
      <c r="AJ4" s="306" t="n"/>
      <c r="AK4" s="306" t="n"/>
      <c r="AL4" s="474" t="n"/>
      <c r="AM4" s="306" t="n"/>
      <c r="AN4" s="306" t="n"/>
      <c r="AO4" s="306" t="n"/>
      <c r="AP4" s="474" t="n"/>
      <c r="AQ4" s="306" t="n"/>
      <c r="AR4" s="306" t="n"/>
      <c r="AS4" s="306" t="n"/>
      <c r="AT4" s="474" t="n"/>
      <c r="AU4" s="306" t="n"/>
      <c r="AV4" s="306" t="n"/>
      <c r="AW4" s="306" t="n"/>
      <c r="AX4" s="474" t="n"/>
      <c r="AY4" s="306" t="n"/>
      <c r="AZ4" s="306" t="n"/>
      <c r="BA4" s="306" t="n"/>
      <c r="BB4" s="474" t="n"/>
      <c r="BC4" s="306" t="n"/>
      <c r="BD4" s="306" t="n"/>
      <c r="BE4" s="306" t="n"/>
      <c r="BF4" s="474" t="n"/>
      <c r="BG4" s="306" t="n"/>
      <c r="BH4" s="306" t="n"/>
      <c r="BI4" s="306" t="n"/>
      <c r="BJ4" s="306" t="n"/>
    </row>
    <row r="5" ht="15" customHeight="1" s="307">
      <c r="A5" s="322" t="inlineStr">
        <is>
          <t>Revenue</t>
        </is>
      </c>
      <c r="B5" s="466">
        <f>SUM('_Engine_NR'!L31:L33)</f>
        <v/>
      </c>
      <c r="C5" s="466">
        <f>SUM('_Engine_NR'!L34:L36)</f>
        <v/>
      </c>
      <c r="D5" s="466">
        <f>SUM('_Engine_NR'!L37:L39)</f>
        <v/>
      </c>
      <c r="E5" s="466">
        <f>SUM('_Engine_NR'!L40:L42)</f>
        <v/>
      </c>
      <c r="F5" s="466">
        <f>SUM('_Engine_NR'!L43:L45)</f>
        <v/>
      </c>
      <c r="G5" s="466">
        <f>SUM('_Engine_NR'!L46:L48)</f>
        <v/>
      </c>
      <c r="H5" s="466">
        <f>SUM('_Engine_NR'!L49:L51)</f>
        <v/>
      </c>
      <c r="I5" s="466">
        <f>SUM('_Engine_NR'!L52:L54)</f>
        <v/>
      </c>
      <c r="J5" s="466">
        <f>SUM('_Engine_NR'!L55:L57)</f>
        <v/>
      </c>
      <c r="K5" s="466">
        <f>SUM('_Engine_NR'!L58:L60)</f>
        <v/>
      </c>
      <c r="L5" s="466">
        <f>SUM('_Engine_NR'!L61:L63)</f>
        <v/>
      </c>
      <c r="M5" s="466">
        <f>SUM('_Engine_NR'!L64:L66)</f>
        <v/>
      </c>
      <c r="N5" s="466">
        <f>SUM('_Engine_NR'!L67:L69)</f>
        <v/>
      </c>
      <c r="O5" s="466">
        <f>SUM('_Engine_NR'!L70:L72)</f>
        <v/>
      </c>
      <c r="P5" s="466">
        <f>SUM('_Engine_NR'!L73:L75)</f>
        <v/>
      </c>
      <c r="Q5" s="466">
        <f>SUM('_Engine_NR'!L76:L78)</f>
        <v/>
      </c>
      <c r="R5" s="466">
        <f>SUM('_Engine_NR'!L79:L81)</f>
        <v/>
      </c>
      <c r="S5" s="466">
        <f>SUM('_Engine_NR'!L82:L84)</f>
        <v/>
      </c>
      <c r="T5" s="466">
        <f>SUM('_Engine_NR'!L85:L87)</f>
        <v/>
      </c>
      <c r="U5" s="466">
        <f>SUM('_Engine_NR'!L88:L90)</f>
        <v/>
      </c>
      <c r="V5" s="466">
        <f>SUM('_Engine_NR'!L91:L93)</f>
        <v/>
      </c>
      <c r="W5" s="466">
        <f>SUM('_Engine_NR'!L94:L96)</f>
        <v/>
      </c>
      <c r="X5" s="466">
        <f>SUM('_Engine_NR'!L97:L99)</f>
        <v/>
      </c>
      <c r="Y5" s="466">
        <f>SUM('_Engine_NR'!L100:L102)</f>
        <v/>
      </c>
      <c r="Z5" s="466">
        <f>SUM('_Engine_NR'!L103:L105)</f>
        <v/>
      </c>
      <c r="AA5" s="466">
        <f>SUM('_Engine_NR'!L106:L108)</f>
        <v/>
      </c>
      <c r="AB5" s="466">
        <f>SUM('_Engine_NR'!L109:L111)</f>
        <v/>
      </c>
      <c r="AC5" s="466">
        <f>SUM('_Engine_NR'!L112:L114)</f>
        <v/>
      </c>
      <c r="AD5" s="466">
        <f>SUM('_Engine_NR'!L115:L117)</f>
        <v/>
      </c>
      <c r="AE5" s="466">
        <f>SUM('_Engine_NR'!L118:L120)</f>
        <v/>
      </c>
      <c r="AF5" s="466">
        <f>SUM('_Engine_NR'!L121:L123)</f>
        <v/>
      </c>
      <c r="AG5" s="466">
        <f>SUM('_Engine_NR'!L124:L126)</f>
        <v/>
      </c>
      <c r="AH5" s="466">
        <f>SUM('_Engine_NR'!L127:L129)</f>
        <v/>
      </c>
      <c r="AI5" s="466">
        <f>SUM('_Engine_NR'!L130:L132)</f>
        <v/>
      </c>
      <c r="AJ5" s="466">
        <f>SUM('_Engine_NR'!L133:L135)</f>
        <v/>
      </c>
      <c r="AK5" s="466">
        <f>SUM('_Engine_NR'!L136:L138)</f>
        <v/>
      </c>
      <c r="AL5" s="466">
        <f>SUM('_Engine_NR'!L139:L141)</f>
        <v/>
      </c>
      <c r="AM5" s="466">
        <f>SUM('_Engine_NR'!L142:L144)</f>
        <v/>
      </c>
      <c r="AN5" s="466">
        <f>SUM('_Engine_NR'!L145:L147)</f>
        <v/>
      </c>
      <c r="AO5" s="466">
        <f>SUM('_Engine_NR'!L148:L150)</f>
        <v/>
      </c>
      <c r="AP5" s="466">
        <f>SUM('_Engine_NR'!L151:L153)</f>
        <v/>
      </c>
      <c r="AQ5" s="466">
        <f>SUM('_Engine_NR'!L154:L156)</f>
        <v/>
      </c>
      <c r="AR5" s="466">
        <f>SUM('_Engine_NR'!L157:L159)</f>
        <v/>
      </c>
      <c r="AS5" s="466">
        <f>SUM('_Engine_NR'!L160:L162)</f>
        <v/>
      </c>
      <c r="AT5" s="466">
        <f>SUM('_Engine_NR'!L163:L165)</f>
        <v/>
      </c>
      <c r="AU5" s="466">
        <f>SUM('_Engine_NR'!L166:L168)</f>
        <v/>
      </c>
      <c r="AV5" s="466">
        <f>SUM('_Engine_NR'!L169:L171)</f>
        <v/>
      </c>
      <c r="AW5" s="466">
        <f>SUM('_Engine_NR'!L172:L174)</f>
        <v/>
      </c>
      <c r="AX5" s="466">
        <f>SUM('_Engine_NR'!L175:L177)</f>
        <v/>
      </c>
      <c r="AY5" s="466">
        <f>SUM('_Engine_NR'!L178:L180)</f>
        <v/>
      </c>
      <c r="AZ5" s="466">
        <f>SUM('_Engine_NR'!L181:L183)</f>
        <v/>
      </c>
      <c r="BA5" s="466">
        <f>SUM('_Engine_NR'!L184:L186)</f>
        <v/>
      </c>
      <c r="BB5" s="466">
        <f>SUM('_Engine_NR'!L187:L189)</f>
        <v/>
      </c>
      <c r="BC5" s="466">
        <f>SUM('_Engine_NR'!L190:L192)</f>
        <v/>
      </c>
      <c r="BD5" s="466">
        <f>SUM('_Engine_NR'!L193:L195)</f>
        <v/>
      </c>
      <c r="BE5" s="466">
        <f>SUM('_Engine_NR'!L196:L198)</f>
        <v/>
      </c>
      <c r="BF5" s="466">
        <f>SUM('_Engine_NR'!L199:L201)</f>
        <v/>
      </c>
      <c r="BG5" s="466">
        <f>SUM('_Engine_NR'!L202:L204)</f>
        <v/>
      </c>
      <c r="BH5" s="466">
        <f>SUM('_Engine_NR'!L205:L207)</f>
        <v/>
      </c>
      <c r="BI5" s="466">
        <f>SUM('_Engine_NR'!L208:L210)</f>
        <v/>
      </c>
      <c r="BJ5" s="306" t="n"/>
    </row>
    <row r="6" ht="15" customHeight="1" s="307">
      <c r="A6" s="321" t="inlineStr">
        <is>
          <t xml:space="preserve">    Cost of Goods Sold</t>
        </is>
      </c>
      <c r="B6" s="459">
        <f>SUM('_Engine_NR'!M31:M33)</f>
        <v/>
      </c>
      <c r="C6" s="459">
        <f>SUM('_Engine_NR'!M34:M36)</f>
        <v/>
      </c>
      <c r="D6" s="459">
        <f>SUM('_Engine_NR'!M37:M39)</f>
        <v/>
      </c>
      <c r="E6" s="459">
        <f>SUM('_Engine_NR'!M40:M42)</f>
        <v/>
      </c>
      <c r="F6" s="459">
        <f>SUM('_Engine_NR'!M43:M45)</f>
        <v/>
      </c>
      <c r="G6" s="459">
        <f>SUM('_Engine_NR'!M46:M48)</f>
        <v/>
      </c>
      <c r="H6" s="459">
        <f>SUM('_Engine_NR'!M49:M51)</f>
        <v/>
      </c>
      <c r="I6" s="459">
        <f>SUM('_Engine_NR'!M52:M54)</f>
        <v/>
      </c>
      <c r="J6" s="459">
        <f>SUM('_Engine_NR'!M55:M57)</f>
        <v/>
      </c>
      <c r="K6" s="459">
        <f>SUM('_Engine_NR'!M58:M60)</f>
        <v/>
      </c>
      <c r="L6" s="459">
        <f>SUM('_Engine_NR'!M61:M63)</f>
        <v/>
      </c>
      <c r="M6" s="459">
        <f>SUM('_Engine_NR'!M64:M66)</f>
        <v/>
      </c>
      <c r="N6" s="459">
        <f>SUM('_Engine_NR'!M67:M69)</f>
        <v/>
      </c>
      <c r="O6" s="459">
        <f>SUM('_Engine_NR'!M70:M72)</f>
        <v/>
      </c>
      <c r="P6" s="459">
        <f>SUM('_Engine_NR'!M73:M75)</f>
        <v/>
      </c>
      <c r="Q6" s="459">
        <f>SUM('_Engine_NR'!M76:M78)</f>
        <v/>
      </c>
      <c r="R6" s="459">
        <f>SUM('_Engine_NR'!M79:M81)</f>
        <v/>
      </c>
      <c r="S6" s="459">
        <f>SUM('_Engine_NR'!M82:M84)</f>
        <v/>
      </c>
      <c r="T6" s="459">
        <f>SUM('_Engine_NR'!M85:M87)</f>
        <v/>
      </c>
      <c r="U6" s="459">
        <f>SUM('_Engine_NR'!M88:M90)</f>
        <v/>
      </c>
      <c r="V6" s="459">
        <f>SUM('_Engine_NR'!M91:M93)</f>
        <v/>
      </c>
      <c r="W6" s="459">
        <f>SUM('_Engine_NR'!M94:M96)</f>
        <v/>
      </c>
      <c r="X6" s="459">
        <f>SUM('_Engine_NR'!M97:M99)</f>
        <v/>
      </c>
      <c r="Y6" s="459">
        <f>SUM('_Engine_NR'!M100:M102)</f>
        <v/>
      </c>
      <c r="Z6" s="459">
        <f>SUM('_Engine_NR'!M103:M105)</f>
        <v/>
      </c>
      <c r="AA6" s="459">
        <f>SUM('_Engine_NR'!M106:M108)</f>
        <v/>
      </c>
      <c r="AB6" s="459">
        <f>SUM('_Engine_NR'!M109:M111)</f>
        <v/>
      </c>
      <c r="AC6" s="459">
        <f>SUM('_Engine_NR'!M112:M114)</f>
        <v/>
      </c>
      <c r="AD6" s="459">
        <f>SUM('_Engine_NR'!M115:M117)</f>
        <v/>
      </c>
      <c r="AE6" s="459">
        <f>SUM('_Engine_NR'!M118:M120)</f>
        <v/>
      </c>
      <c r="AF6" s="459">
        <f>SUM('_Engine_NR'!M121:M123)</f>
        <v/>
      </c>
      <c r="AG6" s="459">
        <f>SUM('_Engine_NR'!M124:M126)</f>
        <v/>
      </c>
      <c r="AH6" s="459">
        <f>SUM('_Engine_NR'!M127:M129)</f>
        <v/>
      </c>
      <c r="AI6" s="459">
        <f>SUM('_Engine_NR'!M130:M132)</f>
        <v/>
      </c>
      <c r="AJ6" s="459">
        <f>SUM('_Engine_NR'!M133:M135)</f>
        <v/>
      </c>
      <c r="AK6" s="459">
        <f>SUM('_Engine_NR'!M136:M138)</f>
        <v/>
      </c>
      <c r="AL6" s="459">
        <f>SUM('_Engine_NR'!M139:M141)</f>
        <v/>
      </c>
      <c r="AM6" s="459">
        <f>SUM('_Engine_NR'!M142:M144)</f>
        <v/>
      </c>
      <c r="AN6" s="459">
        <f>SUM('_Engine_NR'!M145:M147)</f>
        <v/>
      </c>
      <c r="AO6" s="459">
        <f>SUM('_Engine_NR'!M148:M150)</f>
        <v/>
      </c>
      <c r="AP6" s="459">
        <f>SUM('_Engine_NR'!M151:M153)</f>
        <v/>
      </c>
      <c r="AQ6" s="459">
        <f>SUM('_Engine_NR'!M154:M156)</f>
        <v/>
      </c>
      <c r="AR6" s="459">
        <f>SUM('_Engine_NR'!M157:M159)</f>
        <v/>
      </c>
      <c r="AS6" s="459">
        <f>SUM('_Engine_NR'!M160:M162)</f>
        <v/>
      </c>
      <c r="AT6" s="459">
        <f>SUM('_Engine_NR'!M163:M165)</f>
        <v/>
      </c>
      <c r="AU6" s="459">
        <f>SUM('_Engine_NR'!M166:M168)</f>
        <v/>
      </c>
      <c r="AV6" s="459">
        <f>SUM('_Engine_NR'!M169:M171)</f>
        <v/>
      </c>
      <c r="AW6" s="459">
        <f>SUM('_Engine_NR'!M172:M174)</f>
        <v/>
      </c>
      <c r="AX6" s="459">
        <f>SUM('_Engine_NR'!M175:M177)</f>
        <v/>
      </c>
      <c r="AY6" s="459">
        <f>SUM('_Engine_NR'!M178:M180)</f>
        <v/>
      </c>
      <c r="AZ6" s="459">
        <f>SUM('_Engine_NR'!M181:M183)</f>
        <v/>
      </c>
      <c r="BA6" s="459">
        <f>SUM('_Engine_NR'!M184:M186)</f>
        <v/>
      </c>
      <c r="BB6" s="459">
        <f>SUM('_Engine_NR'!M187:M189)</f>
        <v/>
      </c>
      <c r="BC6" s="459">
        <f>SUM('_Engine_NR'!M190:M192)</f>
        <v/>
      </c>
      <c r="BD6" s="459">
        <f>SUM('_Engine_NR'!M193:M195)</f>
        <v/>
      </c>
      <c r="BE6" s="459">
        <f>SUM('_Engine_NR'!M196:M198)</f>
        <v/>
      </c>
      <c r="BF6" s="459">
        <f>SUM('_Engine_NR'!M199:M201)</f>
        <v/>
      </c>
      <c r="BG6" s="459">
        <f>SUM('_Engine_NR'!M202:M204)</f>
        <v/>
      </c>
      <c r="BH6" s="459">
        <f>SUM('_Engine_NR'!M205:M207)</f>
        <v/>
      </c>
      <c r="BI6" s="459">
        <f>SUM('_Engine_NR'!M208:M210)</f>
        <v/>
      </c>
      <c r="BJ6" s="306" t="n"/>
    </row>
    <row r="7" ht="15" customHeight="1" s="307">
      <c r="A7" s="468" t="inlineStr">
        <is>
          <t>Gross Profit</t>
        </is>
      </c>
      <c r="B7" s="470">
        <f>B5-B6</f>
        <v/>
      </c>
      <c r="C7" s="470">
        <f>C5-C6</f>
        <v/>
      </c>
      <c r="D7" s="470">
        <f>D5-D6</f>
        <v/>
      </c>
      <c r="E7" s="470">
        <f>E5-E6</f>
        <v/>
      </c>
      <c r="F7" s="470">
        <f>F5-F6</f>
        <v/>
      </c>
      <c r="G7" s="470">
        <f>G5-G6</f>
        <v/>
      </c>
      <c r="H7" s="470">
        <f>H5-H6</f>
        <v/>
      </c>
      <c r="I7" s="470">
        <f>I5-I6</f>
        <v/>
      </c>
      <c r="J7" s="470">
        <f>J5-J6</f>
        <v/>
      </c>
      <c r="K7" s="470">
        <f>K5-K6</f>
        <v/>
      </c>
      <c r="L7" s="470">
        <f>L5-L6</f>
        <v/>
      </c>
      <c r="M7" s="470">
        <f>M5-M6</f>
        <v/>
      </c>
      <c r="N7" s="470">
        <f>N5-N6</f>
        <v/>
      </c>
      <c r="O7" s="470">
        <f>O5-O6</f>
        <v/>
      </c>
      <c r="P7" s="470">
        <f>P5-P6</f>
        <v/>
      </c>
      <c r="Q7" s="470">
        <f>Q5-Q6</f>
        <v/>
      </c>
      <c r="R7" s="470">
        <f>R5-R6</f>
        <v/>
      </c>
      <c r="S7" s="470">
        <f>S5-S6</f>
        <v/>
      </c>
      <c r="T7" s="470">
        <f>T5-T6</f>
        <v/>
      </c>
      <c r="U7" s="470">
        <f>U5-U6</f>
        <v/>
      </c>
      <c r="V7" s="470">
        <f>V5-V6</f>
        <v/>
      </c>
      <c r="W7" s="470">
        <f>W5-W6</f>
        <v/>
      </c>
      <c r="X7" s="470">
        <f>X5-X6</f>
        <v/>
      </c>
      <c r="Y7" s="470">
        <f>Y5-Y6</f>
        <v/>
      </c>
      <c r="Z7" s="470">
        <f>Z5-Z6</f>
        <v/>
      </c>
      <c r="AA7" s="470">
        <f>AA5-AA6</f>
        <v/>
      </c>
      <c r="AB7" s="470">
        <f>AB5-AB6</f>
        <v/>
      </c>
      <c r="AC7" s="470">
        <f>AC5-AC6</f>
        <v/>
      </c>
      <c r="AD7" s="470">
        <f>AD5-AD6</f>
        <v/>
      </c>
      <c r="AE7" s="470">
        <f>AE5-AE6</f>
        <v/>
      </c>
      <c r="AF7" s="470">
        <f>AF5-AF6</f>
        <v/>
      </c>
      <c r="AG7" s="470">
        <f>AG5-AG6</f>
        <v/>
      </c>
      <c r="AH7" s="470">
        <f>AH5-AH6</f>
        <v/>
      </c>
      <c r="AI7" s="470">
        <f>AI5-AI6</f>
        <v/>
      </c>
      <c r="AJ7" s="470">
        <f>AJ5-AJ6</f>
        <v/>
      </c>
      <c r="AK7" s="470">
        <f>AK5-AK6</f>
        <v/>
      </c>
      <c r="AL7" s="470">
        <f>AL5-AL6</f>
        <v/>
      </c>
      <c r="AM7" s="470">
        <f>AM5-AM6</f>
        <v/>
      </c>
      <c r="AN7" s="470">
        <f>AN5-AN6</f>
        <v/>
      </c>
      <c r="AO7" s="470">
        <f>AO5-AO6</f>
        <v/>
      </c>
      <c r="AP7" s="470">
        <f>AP5-AP6</f>
        <v/>
      </c>
      <c r="AQ7" s="470">
        <f>AQ5-AQ6</f>
        <v/>
      </c>
      <c r="AR7" s="470">
        <f>AR5-AR6</f>
        <v/>
      </c>
      <c r="AS7" s="470">
        <f>AS5-AS6</f>
        <v/>
      </c>
      <c r="AT7" s="470">
        <f>AT5-AT6</f>
        <v/>
      </c>
      <c r="AU7" s="470">
        <f>AU5-AU6</f>
        <v/>
      </c>
      <c r="AV7" s="470">
        <f>AV5-AV6</f>
        <v/>
      </c>
      <c r="AW7" s="470">
        <f>AW5-AW6</f>
        <v/>
      </c>
      <c r="AX7" s="470">
        <f>AX5-AX6</f>
        <v/>
      </c>
      <c r="AY7" s="470">
        <f>AY5-AY6</f>
        <v/>
      </c>
      <c r="AZ7" s="470">
        <f>AZ5-AZ6</f>
        <v/>
      </c>
      <c r="BA7" s="470">
        <f>BA5-BA6</f>
        <v/>
      </c>
      <c r="BB7" s="470">
        <f>BB5-BB6</f>
        <v/>
      </c>
      <c r="BC7" s="470">
        <f>BC5-BC6</f>
        <v/>
      </c>
      <c r="BD7" s="470">
        <f>BD5-BD6</f>
        <v/>
      </c>
      <c r="BE7" s="470">
        <f>BE5-BE6</f>
        <v/>
      </c>
      <c r="BF7" s="470">
        <f>BF5-BF6</f>
        <v/>
      </c>
      <c r="BG7" s="470">
        <f>BG5-BG6</f>
        <v/>
      </c>
      <c r="BH7" s="470">
        <f>BH5-BH6</f>
        <v/>
      </c>
      <c r="BI7" s="470">
        <f>BI5-BI6</f>
        <v/>
      </c>
      <c r="BJ7" s="455" t="n"/>
    </row>
    <row r="8" ht="15" customHeight="1" s="307">
      <c r="A8" s="322" t="n"/>
      <c r="B8" s="466" t="n"/>
      <c r="C8" s="466" t="n"/>
      <c r="D8" s="466" t="n"/>
      <c r="E8" s="466" t="n"/>
      <c r="F8" s="466" t="n"/>
      <c r="G8" s="466" t="n"/>
      <c r="H8" s="466" t="n"/>
      <c r="I8" s="466" t="n"/>
      <c r="J8" s="466" t="n"/>
      <c r="K8" s="466" t="n"/>
      <c r="L8" s="466" t="n"/>
      <c r="M8" s="466" t="n"/>
      <c r="N8" s="466" t="n"/>
      <c r="O8" s="466" t="n"/>
      <c r="P8" s="466" t="n"/>
      <c r="Q8" s="466" t="n"/>
      <c r="R8" s="466" t="n"/>
      <c r="S8" s="466" t="n"/>
      <c r="T8" s="466" t="n"/>
      <c r="U8" s="466" t="n"/>
      <c r="V8" s="466" t="n"/>
      <c r="W8" s="466" t="n"/>
      <c r="X8" s="466" t="n"/>
      <c r="Y8" s="466" t="n"/>
      <c r="Z8" s="466" t="n"/>
      <c r="AA8" s="466" t="n"/>
      <c r="AB8" s="466" t="n"/>
      <c r="AC8" s="466" t="n"/>
      <c r="AD8" s="466" t="n"/>
      <c r="AE8" s="466" t="n"/>
      <c r="AF8" s="466" t="n"/>
      <c r="AG8" s="466" t="n"/>
      <c r="AH8" s="466" t="n"/>
      <c r="AI8" s="466" t="n"/>
      <c r="AJ8" s="466" t="n"/>
      <c r="AK8" s="466" t="n"/>
      <c r="AL8" s="466" t="n"/>
      <c r="AM8" s="466" t="n"/>
      <c r="AN8" s="466" t="n"/>
      <c r="AO8" s="466" t="n"/>
      <c r="AP8" s="466" t="n"/>
      <c r="AQ8" s="466" t="n"/>
      <c r="AR8" s="466" t="n"/>
      <c r="AS8" s="466" t="n"/>
      <c r="AT8" s="466" t="n"/>
      <c r="AU8" s="466" t="n"/>
      <c r="AV8" s="466" t="n"/>
      <c r="AW8" s="466" t="n"/>
      <c r="AX8" s="466" t="n"/>
      <c r="AY8" s="466" t="n"/>
      <c r="AZ8" s="466" t="n"/>
      <c r="BA8" s="466" t="n"/>
      <c r="BB8" s="466" t="n"/>
      <c r="BC8" s="466" t="n"/>
      <c r="BD8" s="466" t="n"/>
      <c r="BE8" s="466" t="n"/>
      <c r="BF8" s="466" t="n"/>
      <c r="BG8" s="466" t="n"/>
      <c r="BH8" s="466" t="n"/>
      <c r="BI8" s="466" t="n"/>
      <c r="BJ8" s="306" t="n"/>
    </row>
    <row r="9" ht="15" customHeight="1" s="307">
      <c r="A9" s="321" t="inlineStr">
        <is>
          <t xml:space="preserve">    Vendor Costs</t>
        </is>
      </c>
      <c r="B9" s="459">
        <f>SUM('_Engine_NR'!N31:N33)</f>
        <v/>
      </c>
      <c r="C9" s="459">
        <f>SUM('_Engine_NR'!N34:N36)</f>
        <v/>
      </c>
      <c r="D9" s="459">
        <f>SUM('_Engine_NR'!N37:N39)</f>
        <v/>
      </c>
      <c r="E9" s="459">
        <f>SUM('_Engine_NR'!N40:N42)</f>
        <v/>
      </c>
      <c r="F9" s="459">
        <f>SUM('_Engine_NR'!N43:N45)</f>
        <v/>
      </c>
      <c r="G9" s="459">
        <f>SUM('_Engine_NR'!N46:N48)</f>
        <v/>
      </c>
      <c r="H9" s="459">
        <f>SUM('_Engine_NR'!N49:N51)</f>
        <v/>
      </c>
      <c r="I9" s="459">
        <f>SUM('_Engine_NR'!N52:N54)</f>
        <v/>
      </c>
      <c r="J9" s="459">
        <f>SUM('_Engine_NR'!N55:N57)</f>
        <v/>
      </c>
      <c r="K9" s="459">
        <f>SUM('_Engine_NR'!N58:N60)</f>
        <v/>
      </c>
      <c r="L9" s="459">
        <f>SUM('_Engine_NR'!N61:N63)</f>
        <v/>
      </c>
      <c r="M9" s="459">
        <f>SUM('_Engine_NR'!N64:N66)</f>
        <v/>
      </c>
      <c r="N9" s="459">
        <f>SUM('_Engine_NR'!N67:N69)</f>
        <v/>
      </c>
      <c r="O9" s="459">
        <f>SUM('_Engine_NR'!N70:N72)</f>
        <v/>
      </c>
      <c r="P9" s="459">
        <f>SUM('_Engine_NR'!N73:N75)</f>
        <v/>
      </c>
      <c r="Q9" s="459">
        <f>SUM('_Engine_NR'!N76:N78)</f>
        <v/>
      </c>
      <c r="R9" s="459">
        <f>SUM('_Engine_NR'!N79:N81)</f>
        <v/>
      </c>
      <c r="S9" s="459">
        <f>SUM('_Engine_NR'!N82:N84)</f>
        <v/>
      </c>
      <c r="T9" s="459">
        <f>SUM('_Engine_NR'!N85:N87)</f>
        <v/>
      </c>
      <c r="U9" s="459">
        <f>SUM('_Engine_NR'!N88:N90)</f>
        <v/>
      </c>
      <c r="V9" s="459">
        <f>SUM('_Engine_NR'!N91:N93)</f>
        <v/>
      </c>
      <c r="W9" s="459">
        <f>SUM('_Engine_NR'!N94:N96)</f>
        <v/>
      </c>
      <c r="X9" s="459">
        <f>SUM('_Engine_NR'!N97:N99)</f>
        <v/>
      </c>
      <c r="Y9" s="459">
        <f>SUM('_Engine_NR'!N100:N102)</f>
        <v/>
      </c>
      <c r="Z9" s="459">
        <f>SUM('_Engine_NR'!N103:N105)</f>
        <v/>
      </c>
      <c r="AA9" s="459">
        <f>SUM('_Engine_NR'!N106:N108)</f>
        <v/>
      </c>
      <c r="AB9" s="459">
        <f>SUM('_Engine_NR'!N109:N111)</f>
        <v/>
      </c>
      <c r="AC9" s="459">
        <f>SUM('_Engine_NR'!N112:N114)</f>
        <v/>
      </c>
      <c r="AD9" s="459">
        <f>SUM('_Engine_NR'!N115:N117)</f>
        <v/>
      </c>
      <c r="AE9" s="459">
        <f>SUM('_Engine_NR'!N118:N120)</f>
        <v/>
      </c>
      <c r="AF9" s="459">
        <f>SUM('_Engine_NR'!N121:N123)</f>
        <v/>
      </c>
      <c r="AG9" s="459">
        <f>SUM('_Engine_NR'!N124:N126)</f>
        <v/>
      </c>
      <c r="AH9" s="459">
        <f>SUM('_Engine_NR'!N127:N129)</f>
        <v/>
      </c>
      <c r="AI9" s="459">
        <f>SUM('_Engine_NR'!N130:N132)</f>
        <v/>
      </c>
      <c r="AJ9" s="459">
        <f>SUM('_Engine_NR'!N133:N135)</f>
        <v/>
      </c>
      <c r="AK9" s="459">
        <f>SUM('_Engine_NR'!N136:N138)</f>
        <v/>
      </c>
      <c r="AL9" s="459">
        <f>SUM('_Engine_NR'!N139:N141)</f>
        <v/>
      </c>
      <c r="AM9" s="459">
        <f>SUM('_Engine_NR'!N142:N144)</f>
        <v/>
      </c>
      <c r="AN9" s="459">
        <f>SUM('_Engine_NR'!N145:N147)</f>
        <v/>
      </c>
      <c r="AO9" s="459">
        <f>SUM('_Engine_NR'!N148:N150)</f>
        <v/>
      </c>
      <c r="AP9" s="459">
        <f>SUM('_Engine_NR'!N151:N153)</f>
        <v/>
      </c>
      <c r="AQ9" s="459">
        <f>SUM('_Engine_NR'!N154:N156)</f>
        <v/>
      </c>
      <c r="AR9" s="459">
        <f>SUM('_Engine_NR'!N157:N159)</f>
        <v/>
      </c>
      <c r="AS9" s="459">
        <f>SUM('_Engine_NR'!N160:N162)</f>
        <v/>
      </c>
      <c r="AT9" s="459">
        <f>SUM('_Engine_NR'!N163:N165)</f>
        <v/>
      </c>
      <c r="AU9" s="459">
        <f>SUM('_Engine_NR'!N166:N168)</f>
        <v/>
      </c>
      <c r="AV9" s="459">
        <f>SUM('_Engine_NR'!N169:N171)</f>
        <v/>
      </c>
      <c r="AW9" s="459">
        <f>SUM('_Engine_NR'!N172:N174)</f>
        <v/>
      </c>
      <c r="AX9" s="459">
        <f>SUM('_Engine_NR'!N175:N177)</f>
        <v/>
      </c>
      <c r="AY9" s="459">
        <f>SUM('_Engine_NR'!N178:N180)</f>
        <v/>
      </c>
      <c r="AZ9" s="459">
        <f>SUM('_Engine_NR'!N181:N183)</f>
        <v/>
      </c>
      <c r="BA9" s="459">
        <f>SUM('_Engine_NR'!N184:N186)</f>
        <v/>
      </c>
      <c r="BB9" s="459">
        <f>SUM('_Engine_NR'!N187:N189)</f>
        <v/>
      </c>
      <c r="BC9" s="459">
        <f>SUM('_Engine_NR'!N190:N192)</f>
        <v/>
      </c>
      <c r="BD9" s="459">
        <f>SUM('_Engine_NR'!N193:N195)</f>
        <v/>
      </c>
      <c r="BE9" s="459">
        <f>SUM('_Engine_NR'!N196:N198)</f>
        <v/>
      </c>
      <c r="BF9" s="459">
        <f>SUM('_Engine_NR'!N199:N201)</f>
        <v/>
      </c>
      <c r="BG9" s="459">
        <f>SUM('_Engine_NR'!N202:N204)</f>
        <v/>
      </c>
      <c r="BH9" s="459">
        <f>SUM('_Engine_NR'!N205:N207)</f>
        <v/>
      </c>
      <c r="BI9" s="459">
        <f>SUM('_Engine_NR'!N208:N210)</f>
        <v/>
      </c>
      <c r="BJ9" s="306" t="n"/>
    </row>
    <row r="10" ht="15" customHeight="1" s="307">
      <c r="A10" s="321" t="inlineStr">
        <is>
          <t xml:space="preserve">    Corporate Allocation</t>
        </is>
      </c>
      <c r="B10" s="459">
        <f>SUM('_Engine_NR'!O31:O33)</f>
        <v/>
      </c>
      <c r="C10" s="459">
        <f>SUM('_Engine_NR'!O34:O36)</f>
        <v/>
      </c>
      <c r="D10" s="459">
        <f>SUM('_Engine_NR'!O37:O39)</f>
        <v/>
      </c>
      <c r="E10" s="459">
        <f>SUM('_Engine_NR'!O40:O42)</f>
        <v/>
      </c>
      <c r="F10" s="459">
        <f>SUM('_Engine_NR'!O43:O45)</f>
        <v/>
      </c>
      <c r="G10" s="459">
        <f>SUM('_Engine_NR'!O46:O48)</f>
        <v/>
      </c>
      <c r="H10" s="459">
        <f>SUM('_Engine_NR'!O49:O51)</f>
        <v/>
      </c>
      <c r="I10" s="459">
        <f>SUM('_Engine_NR'!O52:O54)</f>
        <v/>
      </c>
      <c r="J10" s="459">
        <f>SUM('_Engine_NR'!O55:O57)</f>
        <v/>
      </c>
      <c r="K10" s="459">
        <f>SUM('_Engine_NR'!O58:O60)</f>
        <v/>
      </c>
      <c r="L10" s="459">
        <f>SUM('_Engine_NR'!O61:O63)</f>
        <v/>
      </c>
      <c r="M10" s="459">
        <f>SUM('_Engine_NR'!O64:O66)</f>
        <v/>
      </c>
      <c r="N10" s="459">
        <f>SUM('_Engine_NR'!O67:O69)</f>
        <v/>
      </c>
      <c r="O10" s="459">
        <f>SUM('_Engine_NR'!O70:O72)</f>
        <v/>
      </c>
      <c r="P10" s="459">
        <f>SUM('_Engine_NR'!O73:O75)</f>
        <v/>
      </c>
      <c r="Q10" s="459">
        <f>SUM('_Engine_NR'!O76:O78)</f>
        <v/>
      </c>
      <c r="R10" s="459">
        <f>SUM('_Engine_NR'!O79:O81)</f>
        <v/>
      </c>
      <c r="S10" s="459">
        <f>SUM('_Engine_NR'!O82:O84)</f>
        <v/>
      </c>
      <c r="T10" s="459">
        <f>SUM('_Engine_NR'!O85:O87)</f>
        <v/>
      </c>
      <c r="U10" s="459">
        <f>SUM('_Engine_NR'!O88:O90)</f>
        <v/>
      </c>
      <c r="V10" s="459">
        <f>SUM('_Engine_NR'!O91:O93)</f>
        <v/>
      </c>
      <c r="W10" s="459">
        <f>SUM('_Engine_NR'!O94:O96)</f>
        <v/>
      </c>
      <c r="X10" s="459">
        <f>SUM('_Engine_NR'!O97:O99)</f>
        <v/>
      </c>
      <c r="Y10" s="459">
        <f>SUM('_Engine_NR'!O100:O102)</f>
        <v/>
      </c>
      <c r="Z10" s="459">
        <f>SUM('_Engine_NR'!O103:O105)</f>
        <v/>
      </c>
      <c r="AA10" s="459">
        <f>SUM('_Engine_NR'!O106:O108)</f>
        <v/>
      </c>
      <c r="AB10" s="459">
        <f>SUM('_Engine_NR'!O109:O111)</f>
        <v/>
      </c>
      <c r="AC10" s="459">
        <f>SUM('_Engine_NR'!O112:O114)</f>
        <v/>
      </c>
      <c r="AD10" s="459">
        <f>SUM('_Engine_NR'!O115:O117)</f>
        <v/>
      </c>
      <c r="AE10" s="459">
        <f>SUM('_Engine_NR'!O118:O120)</f>
        <v/>
      </c>
      <c r="AF10" s="459">
        <f>SUM('_Engine_NR'!O121:O123)</f>
        <v/>
      </c>
      <c r="AG10" s="459">
        <f>SUM('_Engine_NR'!O124:O126)</f>
        <v/>
      </c>
      <c r="AH10" s="459">
        <f>SUM('_Engine_NR'!O127:O129)</f>
        <v/>
      </c>
      <c r="AI10" s="459">
        <f>SUM('_Engine_NR'!O130:O132)</f>
        <v/>
      </c>
      <c r="AJ10" s="459">
        <f>SUM('_Engine_NR'!O133:O135)</f>
        <v/>
      </c>
      <c r="AK10" s="459">
        <f>SUM('_Engine_NR'!O136:O138)</f>
        <v/>
      </c>
      <c r="AL10" s="459">
        <f>SUM('_Engine_NR'!O139:O141)</f>
        <v/>
      </c>
      <c r="AM10" s="459">
        <f>SUM('_Engine_NR'!O142:O144)</f>
        <v/>
      </c>
      <c r="AN10" s="459">
        <f>SUM('_Engine_NR'!O145:O147)</f>
        <v/>
      </c>
      <c r="AO10" s="459">
        <f>SUM('_Engine_NR'!O148:O150)</f>
        <v/>
      </c>
      <c r="AP10" s="459">
        <f>SUM('_Engine_NR'!O151:O153)</f>
        <v/>
      </c>
      <c r="AQ10" s="459">
        <f>SUM('_Engine_NR'!O154:O156)</f>
        <v/>
      </c>
      <c r="AR10" s="459">
        <f>SUM('_Engine_NR'!O157:O159)</f>
        <v/>
      </c>
      <c r="AS10" s="459">
        <f>SUM('_Engine_NR'!O160:O162)</f>
        <v/>
      </c>
      <c r="AT10" s="459">
        <f>SUM('_Engine_NR'!O163:O165)</f>
        <v/>
      </c>
      <c r="AU10" s="459">
        <f>SUM('_Engine_NR'!O166:O168)</f>
        <v/>
      </c>
      <c r="AV10" s="459">
        <f>SUM('_Engine_NR'!O169:O171)</f>
        <v/>
      </c>
      <c r="AW10" s="459">
        <f>SUM('_Engine_NR'!O172:O174)</f>
        <v/>
      </c>
      <c r="AX10" s="459">
        <f>SUM('_Engine_NR'!O175:O177)</f>
        <v/>
      </c>
      <c r="AY10" s="459">
        <f>SUM('_Engine_NR'!O178:O180)</f>
        <v/>
      </c>
      <c r="AZ10" s="459">
        <f>SUM('_Engine_NR'!O181:O183)</f>
        <v/>
      </c>
      <c r="BA10" s="459">
        <f>SUM('_Engine_NR'!O184:O186)</f>
        <v/>
      </c>
      <c r="BB10" s="459">
        <f>SUM('_Engine_NR'!O187:O189)</f>
        <v/>
      </c>
      <c r="BC10" s="459">
        <f>SUM('_Engine_NR'!O190:O192)</f>
        <v/>
      </c>
      <c r="BD10" s="459">
        <f>SUM('_Engine_NR'!O193:O195)</f>
        <v/>
      </c>
      <c r="BE10" s="459">
        <f>SUM('_Engine_NR'!O196:O198)</f>
        <v/>
      </c>
      <c r="BF10" s="459">
        <f>SUM('_Engine_NR'!O199:O201)</f>
        <v/>
      </c>
      <c r="BG10" s="459">
        <f>SUM('_Engine_NR'!O202:O204)</f>
        <v/>
      </c>
      <c r="BH10" s="459">
        <f>SUM('_Engine_NR'!O205:O207)</f>
        <v/>
      </c>
      <c r="BI10" s="459">
        <f>SUM('_Engine_NR'!O208:O210)</f>
        <v/>
      </c>
      <c r="BJ10" s="306" t="n"/>
    </row>
    <row r="11" ht="15" customHeight="1" s="307">
      <c r="A11" s="321" t="inlineStr">
        <is>
          <t xml:space="preserve">    Team Compensation</t>
        </is>
      </c>
      <c r="B11" s="459">
        <f>SUM('_Engine_NR'!D31:D33)</f>
        <v/>
      </c>
      <c r="C11" s="459">
        <f>SUM('_Engine_NR'!D34:D36)</f>
        <v/>
      </c>
      <c r="D11" s="459">
        <f>SUM('_Engine_NR'!D37:D39)</f>
        <v/>
      </c>
      <c r="E11" s="459">
        <f>SUM('_Engine_NR'!D40:D42)</f>
        <v/>
      </c>
      <c r="F11" s="459">
        <f>SUM('_Engine_NR'!D43:D45)</f>
        <v/>
      </c>
      <c r="G11" s="459">
        <f>SUM('_Engine_NR'!D46:D48)</f>
        <v/>
      </c>
      <c r="H11" s="459">
        <f>SUM('_Engine_NR'!D49:D51)</f>
        <v/>
      </c>
      <c r="I11" s="459">
        <f>SUM('_Engine_NR'!D52:D54)</f>
        <v/>
      </c>
      <c r="J11" s="459">
        <f>SUM('_Engine_NR'!D55:D57)</f>
        <v/>
      </c>
      <c r="K11" s="459">
        <f>SUM('_Engine_NR'!D58:D60)</f>
        <v/>
      </c>
      <c r="L11" s="459">
        <f>SUM('_Engine_NR'!D61:D63)</f>
        <v/>
      </c>
      <c r="M11" s="459">
        <f>SUM('_Engine_NR'!D64:D66)</f>
        <v/>
      </c>
      <c r="N11" s="459">
        <f>SUM('_Engine_NR'!D67:D69)</f>
        <v/>
      </c>
      <c r="O11" s="459">
        <f>SUM('_Engine_NR'!D70:D72)</f>
        <v/>
      </c>
      <c r="P11" s="459">
        <f>SUM('_Engine_NR'!D73:D75)</f>
        <v/>
      </c>
      <c r="Q11" s="459">
        <f>SUM('_Engine_NR'!D76:D78)</f>
        <v/>
      </c>
      <c r="R11" s="459">
        <f>SUM('_Engine_NR'!D79:D81)</f>
        <v/>
      </c>
      <c r="S11" s="459">
        <f>SUM('_Engine_NR'!D82:D84)</f>
        <v/>
      </c>
      <c r="T11" s="459">
        <f>SUM('_Engine_NR'!D85:D87)</f>
        <v/>
      </c>
      <c r="U11" s="459">
        <f>SUM('_Engine_NR'!D88:D90)</f>
        <v/>
      </c>
      <c r="V11" s="459">
        <f>SUM('_Engine_NR'!D91:D93)</f>
        <v/>
      </c>
      <c r="W11" s="459">
        <f>SUM('_Engine_NR'!D94:D96)</f>
        <v/>
      </c>
      <c r="X11" s="459">
        <f>SUM('_Engine_NR'!D97:D99)</f>
        <v/>
      </c>
      <c r="Y11" s="459">
        <f>SUM('_Engine_NR'!D100:D102)</f>
        <v/>
      </c>
      <c r="Z11" s="459">
        <f>SUM('_Engine_NR'!D103:D105)</f>
        <v/>
      </c>
      <c r="AA11" s="459">
        <f>SUM('_Engine_NR'!D106:D108)</f>
        <v/>
      </c>
      <c r="AB11" s="459">
        <f>SUM('_Engine_NR'!D109:D111)</f>
        <v/>
      </c>
      <c r="AC11" s="459">
        <f>SUM('_Engine_NR'!D112:D114)</f>
        <v/>
      </c>
      <c r="AD11" s="459">
        <f>SUM('_Engine_NR'!D115:D117)</f>
        <v/>
      </c>
      <c r="AE11" s="459">
        <f>SUM('_Engine_NR'!D118:D120)</f>
        <v/>
      </c>
      <c r="AF11" s="459">
        <f>SUM('_Engine_NR'!D121:D123)</f>
        <v/>
      </c>
      <c r="AG11" s="459">
        <f>SUM('_Engine_NR'!D124:D126)</f>
        <v/>
      </c>
      <c r="AH11" s="459">
        <f>SUM('_Engine_NR'!D127:D129)</f>
        <v/>
      </c>
      <c r="AI11" s="459">
        <f>SUM('_Engine_NR'!D130:D132)</f>
        <v/>
      </c>
      <c r="AJ11" s="459">
        <f>SUM('_Engine_NR'!D133:D135)</f>
        <v/>
      </c>
      <c r="AK11" s="459">
        <f>SUM('_Engine_NR'!D136:D138)</f>
        <v/>
      </c>
      <c r="AL11" s="459">
        <f>SUM('_Engine_NR'!D139:D141)</f>
        <v/>
      </c>
      <c r="AM11" s="459">
        <f>SUM('_Engine_NR'!D142:D144)</f>
        <v/>
      </c>
      <c r="AN11" s="459">
        <f>SUM('_Engine_NR'!D145:D147)</f>
        <v/>
      </c>
      <c r="AO11" s="459">
        <f>SUM('_Engine_NR'!D148:D150)</f>
        <v/>
      </c>
      <c r="AP11" s="459">
        <f>SUM('_Engine_NR'!D151:D153)</f>
        <v/>
      </c>
      <c r="AQ11" s="459">
        <f>SUM('_Engine_NR'!D154:D156)</f>
        <v/>
      </c>
      <c r="AR11" s="459">
        <f>SUM('_Engine_NR'!D157:D159)</f>
        <v/>
      </c>
      <c r="AS11" s="459">
        <f>SUM('_Engine_NR'!D160:D162)</f>
        <v/>
      </c>
      <c r="AT11" s="459">
        <f>SUM('_Engine_NR'!D163:D165)</f>
        <v/>
      </c>
      <c r="AU11" s="459">
        <f>SUM('_Engine_NR'!D166:D168)</f>
        <v/>
      </c>
      <c r="AV11" s="459">
        <f>SUM('_Engine_NR'!D169:D171)</f>
        <v/>
      </c>
      <c r="AW11" s="459">
        <f>SUM('_Engine_NR'!D172:D174)</f>
        <v/>
      </c>
      <c r="AX11" s="459">
        <f>SUM('_Engine_NR'!D175:D177)</f>
        <v/>
      </c>
      <c r="AY11" s="459">
        <f>SUM('_Engine_NR'!D178:D180)</f>
        <v/>
      </c>
      <c r="AZ11" s="459">
        <f>SUM('_Engine_NR'!D181:D183)</f>
        <v/>
      </c>
      <c r="BA11" s="459">
        <f>SUM('_Engine_NR'!D184:D186)</f>
        <v/>
      </c>
      <c r="BB11" s="459">
        <f>SUM('_Engine_NR'!D187:D189)</f>
        <v/>
      </c>
      <c r="BC11" s="459">
        <f>SUM('_Engine_NR'!D190:D192)</f>
        <v/>
      </c>
      <c r="BD11" s="459">
        <f>SUM('_Engine_NR'!D193:D195)</f>
        <v/>
      </c>
      <c r="BE11" s="459">
        <f>SUM('_Engine_NR'!D196:D198)</f>
        <v/>
      </c>
      <c r="BF11" s="459">
        <f>SUM('_Engine_NR'!D199:D201)</f>
        <v/>
      </c>
      <c r="BG11" s="459">
        <f>SUM('_Engine_NR'!D202:D204)</f>
        <v/>
      </c>
      <c r="BH11" s="459">
        <f>SUM('_Engine_NR'!D205:D207)</f>
        <v/>
      </c>
      <c r="BI11" s="459">
        <f>SUM('_Engine_NR'!D208:D210)</f>
        <v/>
      </c>
      <c r="BJ11" s="306" t="n"/>
    </row>
    <row r="12" ht="15" customHeight="1" s="307">
      <c r="A12" s="321" t="inlineStr">
        <is>
          <t xml:space="preserve">    Legacy Headcount</t>
        </is>
      </c>
      <c r="B12" s="459">
        <f>SUM('_Engine_NR'!E31:E33)</f>
        <v/>
      </c>
      <c r="C12" s="459">
        <f>SUM('_Engine_NR'!E34:E36)</f>
        <v/>
      </c>
      <c r="D12" s="459">
        <f>SUM('_Engine_NR'!E37:E39)</f>
        <v/>
      </c>
      <c r="E12" s="459">
        <f>SUM('_Engine_NR'!E40:E42)</f>
        <v/>
      </c>
      <c r="F12" s="459">
        <f>SUM('_Engine_NR'!E43:E45)</f>
        <v/>
      </c>
      <c r="G12" s="459">
        <f>SUM('_Engine_NR'!E46:E48)</f>
        <v/>
      </c>
      <c r="H12" s="459">
        <f>SUM('_Engine_NR'!E49:E51)</f>
        <v/>
      </c>
      <c r="I12" s="459">
        <f>SUM('_Engine_NR'!E52:E54)</f>
        <v/>
      </c>
      <c r="J12" s="459">
        <f>SUM('_Engine_NR'!E55:E57)</f>
        <v/>
      </c>
      <c r="K12" s="459">
        <f>SUM('_Engine_NR'!E58:E60)</f>
        <v/>
      </c>
      <c r="L12" s="459">
        <f>SUM('_Engine_NR'!E61:E63)</f>
        <v/>
      </c>
      <c r="M12" s="459">
        <f>SUM('_Engine_NR'!E64:E66)</f>
        <v/>
      </c>
      <c r="N12" s="459">
        <f>SUM('_Engine_NR'!E67:E69)</f>
        <v/>
      </c>
      <c r="O12" s="459">
        <f>SUM('_Engine_NR'!E70:E72)</f>
        <v/>
      </c>
      <c r="P12" s="459">
        <f>SUM('_Engine_NR'!E73:E75)</f>
        <v/>
      </c>
      <c r="Q12" s="459">
        <f>SUM('_Engine_NR'!E76:E78)</f>
        <v/>
      </c>
      <c r="R12" s="459">
        <f>SUM('_Engine_NR'!E79:E81)</f>
        <v/>
      </c>
      <c r="S12" s="459">
        <f>SUM('_Engine_NR'!E82:E84)</f>
        <v/>
      </c>
      <c r="T12" s="459">
        <f>SUM('_Engine_NR'!E85:E87)</f>
        <v/>
      </c>
      <c r="U12" s="459">
        <f>SUM('_Engine_NR'!E88:E90)</f>
        <v/>
      </c>
      <c r="V12" s="459">
        <f>SUM('_Engine_NR'!E91:E93)</f>
        <v/>
      </c>
      <c r="W12" s="459">
        <f>SUM('_Engine_NR'!E94:E96)</f>
        <v/>
      </c>
      <c r="X12" s="459">
        <f>SUM('_Engine_NR'!E97:E99)</f>
        <v/>
      </c>
      <c r="Y12" s="459">
        <f>SUM('_Engine_NR'!E100:E102)</f>
        <v/>
      </c>
      <c r="Z12" s="459">
        <f>SUM('_Engine_NR'!E103:E105)</f>
        <v/>
      </c>
      <c r="AA12" s="459">
        <f>SUM('_Engine_NR'!E106:E108)</f>
        <v/>
      </c>
      <c r="AB12" s="459">
        <f>SUM('_Engine_NR'!E109:E111)</f>
        <v/>
      </c>
      <c r="AC12" s="459">
        <f>SUM('_Engine_NR'!E112:E114)</f>
        <v/>
      </c>
      <c r="AD12" s="459">
        <f>SUM('_Engine_NR'!E115:E117)</f>
        <v/>
      </c>
      <c r="AE12" s="459">
        <f>SUM('_Engine_NR'!E118:E120)</f>
        <v/>
      </c>
      <c r="AF12" s="459">
        <f>SUM('_Engine_NR'!E121:E123)</f>
        <v/>
      </c>
      <c r="AG12" s="459">
        <f>SUM('_Engine_NR'!E124:E126)</f>
        <v/>
      </c>
      <c r="AH12" s="459">
        <f>SUM('_Engine_NR'!E127:E129)</f>
        <v/>
      </c>
      <c r="AI12" s="459">
        <f>SUM('_Engine_NR'!E130:E132)</f>
        <v/>
      </c>
      <c r="AJ12" s="459">
        <f>SUM('_Engine_NR'!E133:E135)</f>
        <v/>
      </c>
      <c r="AK12" s="459">
        <f>SUM('_Engine_NR'!E136:E138)</f>
        <v/>
      </c>
      <c r="AL12" s="459">
        <f>SUM('_Engine_NR'!E139:E141)</f>
        <v/>
      </c>
      <c r="AM12" s="459">
        <f>SUM('_Engine_NR'!E142:E144)</f>
        <v/>
      </c>
      <c r="AN12" s="459">
        <f>SUM('_Engine_NR'!E145:E147)</f>
        <v/>
      </c>
      <c r="AO12" s="459">
        <f>SUM('_Engine_NR'!E148:E150)</f>
        <v/>
      </c>
      <c r="AP12" s="459">
        <f>SUM('_Engine_NR'!E151:E153)</f>
        <v/>
      </c>
      <c r="AQ12" s="459">
        <f>SUM('_Engine_NR'!E154:E156)</f>
        <v/>
      </c>
      <c r="AR12" s="459">
        <f>SUM('_Engine_NR'!E157:E159)</f>
        <v/>
      </c>
      <c r="AS12" s="459">
        <f>SUM('_Engine_NR'!E160:E162)</f>
        <v/>
      </c>
      <c r="AT12" s="459">
        <f>SUM('_Engine_NR'!E163:E165)</f>
        <v/>
      </c>
      <c r="AU12" s="459">
        <f>SUM('_Engine_NR'!E166:E168)</f>
        <v/>
      </c>
      <c r="AV12" s="459">
        <f>SUM('_Engine_NR'!E169:E171)</f>
        <v/>
      </c>
      <c r="AW12" s="459">
        <f>SUM('_Engine_NR'!E172:E174)</f>
        <v/>
      </c>
      <c r="AX12" s="459">
        <f>SUM('_Engine_NR'!E175:E177)</f>
        <v/>
      </c>
      <c r="AY12" s="459">
        <f>SUM('_Engine_NR'!E178:E180)</f>
        <v/>
      </c>
      <c r="AZ12" s="459">
        <f>SUM('_Engine_NR'!E181:E183)</f>
        <v/>
      </c>
      <c r="BA12" s="459">
        <f>SUM('_Engine_NR'!E184:E186)</f>
        <v/>
      </c>
      <c r="BB12" s="459">
        <f>SUM('_Engine_NR'!E187:E189)</f>
        <v/>
      </c>
      <c r="BC12" s="459">
        <f>SUM('_Engine_NR'!E190:E192)</f>
        <v/>
      </c>
      <c r="BD12" s="459">
        <f>SUM('_Engine_NR'!E193:E195)</f>
        <v/>
      </c>
      <c r="BE12" s="459">
        <f>SUM('_Engine_NR'!E196:E198)</f>
        <v/>
      </c>
      <c r="BF12" s="459">
        <f>SUM('_Engine_NR'!E199:E201)</f>
        <v/>
      </c>
      <c r="BG12" s="459">
        <f>SUM('_Engine_NR'!E202:E204)</f>
        <v/>
      </c>
      <c r="BH12" s="459">
        <f>SUM('_Engine_NR'!E205:E207)</f>
        <v/>
      </c>
      <c r="BI12" s="459">
        <f>SUM('_Engine_NR'!E208:E210)</f>
        <v/>
      </c>
      <c r="BJ12" s="306" t="n"/>
    </row>
    <row r="13" ht="15" customHeight="1" s="307">
      <c r="A13" s="321" t="inlineStr">
        <is>
          <t xml:space="preserve">    Bonus Pool</t>
        </is>
      </c>
      <c r="B13" s="459">
        <f>SUM('_Engine_NR'!Q31:Q33)</f>
        <v/>
      </c>
      <c r="C13" s="459">
        <f>SUM('_Engine_NR'!Q34:Q36)</f>
        <v/>
      </c>
      <c r="D13" s="459">
        <f>SUM('_Engine_NR'!Q37:Q39)</f>
        <v/>
      </c>
      <c r="E13" s="459">
        <f>SUM('_Engine_NR'!Q40:Q42)</f>
        <v/>
      </c>
      <c r="F13" s="459">
        <f>SUM('_Engine_NR'!Q43:Q45)</f>
        <v/>
      </c>
      <c r="G13" s="459">
        <f>SUM('_Engine_NR'!Q46:Q48)</f>
        <v/>
      </c>
      <c r="H13" s="459">
        <f>SUM('_Engine_NR'!Q49:Q51)</f>
        <v/>
      </c>
      <c r="I13" s="459">
        <f>SUM('_Engine_NR'!Q52:Q54)</f>
        <v/>
      </c>
      <c r="J13" s="459">
        <f>SUM('_Engine_NR'!Q55:Q57)</f>
        <v/>
      </c>
      <c r="K13" s="459">
        <f>SUM('_Engine_NR'!Q58:Q60)</f>
        <v/>
      </c>
      <c r="L13" s="459">
        <f>SUM('_Engine_NR'!Q61:Q63)</f>
        <v/>
      </c>
      <c r="M13" s="459">
        <f>SUM('_Engine_NR'!Q64:Q66)</f>
        <v/>
      </c>
      <c r="N13" s="459">
        <f>SUM('_Engine_NR'!Q67:Q69)</f>
        <v/>
      </c>
      <c r="O13" s="459">
        <f>SUM('_Engine_NR'!Q70:Q72)</f>
        <v/>
      </c>
      <c r="P13" s="459">
        <f>SUM('_Engine_NR'!Q73:Q75)</f>
        <v/>
      </c>
      <c r="Q13" s="459">
        <f>SUM('_Engine_NR'!Q76:Q78)</f>
        <v/>
      </c>
      <c r="R13" s="459">
        <f>SUM('_Engine_NR'!Q79:Q81)</f>
        <v/>
      </c>
      <c r="S13" s="459">
        <f>SUM('_Engine_NR'!Q82:Q84)</f>
        <v/>
      </c>
      <c r="T13" s="459">
        <f>SUM('_Engine_NR'!Q85:Q87)</f>
        <v/>
      </c>
      <c r="U13" s="459">
        <f>SUM('_Engine_NR'!Q88:Q90)</f>
        <v/>
      </c>
      <c r="V13" s="459">
        <f>SUM('_Engine_NR'!Q91:Q93)</f>
        <v/>
      </c>
      <c r="W13" s="459">
        <f>SUM('_Engine_NR'!Q94:Q96)</f>
        <v/>
      </c>
      <c r="X13" s="459">
        <f>SUM('_Engine_NR'!Q97:Q99)</f>
        <v/>
      </c>
      <c r="Y13" s="459">
        <f>SUM('_Engine_NR'!Q100:Q102)</f>
        <v/>
      </c>
      <c r="Z13" s="459">
        <f>SUM('_Engine_NR'!Q103:Q105)</f>
        <v/>
      </c>
      <c r="AA13" s="459">
        <f>SUM('_Engine_NR'!Q106:Q108)</f>
        <v/>
      </c>
      <c r="AB13" s="459">
        <f>SUM('_Engine_NR'!Q109:Q111)</f>
        <v/>
      </c>
      <c r="AC13" s="459">
        <f>SUM('_Engine_NR'!Q112:Q114)</f>
        <v/>
      </c>
      <c r="AD13" s="459">
        <f>SUM('_Engine_NR'!Q115:Q117)</f>
        <v/>
      </c>
      <c r="AE13" s="459">
        <f>SUM('_Engine_NR'!Q118:Q120)</f>
        <v/>
      </c>
      <c r="AF13" s="459">
        <f>SUM('_Engine_NR'!Q121:Q123)</f>
        <v/>
      </c>
      <c r="AG13" s="459">
        <f>SUM('_Engine_NR'!Q124:Q126)</f>
        <v/>
      </c>
      <c r="AH13" s="459">
        <f>SUM('_Engine_NR'!Q127:Q129)</f>
        <v/>
      </c>
      <c r="AI13" s="459">
        <f>SUM('_Engine_NR'!Q130:Q132)</f>
        <v/>
      </c>
      <c r="AJ13" s="459">
        <f>SUM('_Engine_NR'!Q133:Q135)</f>
        <v/>
      </c>
      <c r="AK13" s="459">
        <f>SUM('_Engine_NR'!Q136:Q138)</f>
        <v/>
      </c>
      <c r="AL13" s="459">
        <f>SUM('_Engine_NR'!Q139:Q141)</f>
        <v/>
      </c>
      <c r="AM13" s="459">
        <f>SUM('_Engine_NR'!Q142:Q144)</f>
        <v/>
      </c>
      <c r="AN13" s="459">
        <f>SUM('_Engine_NR'!Q145:Q147)</f>
        <v/>
      </c>
      <c r="AO13" s="459">
        <f>SUM('_Engine_NR'!Q148:Q150)</f>
        <v/>
      </c>
      <c r="AP13" s="459">
        <f>SUM('_Engine_NR'!Q151:Q153)</f>
        <v/>
      </c>
      <c r="AQ13" s="459">
        <f>SUM('_Engine_NR'!Q154:Q156)</f>
        <v/>
      </c>
      <c r="AR13" s="459">
        <f>SUM('_Engine_NR'!Q157:Q159)</f>
        <v/>
      </c>
      <c r="AS13" s="459">
        <f>SUM('_Engine_NR'!Q160:Q162)</f>
        <v/>
      </c>
      <c r="AT13" s="459">
        <f>SUM('_Engine_NR'!Q163:Q165)</f>
        <v/>
      </c>
      <c r="AU13" s="459">
        <f>SUM('_Engine_NR'!Q166:Q168)</f>
        <v/>
      </c>
      <c r="AV13" s="459">
        <f>SUM('_Engine_NR'!Q169:Q171)</f>
        <v/>
      </c>
      <c r="AW13" s="459">
        <f>SUM('_Engine_NR'!Q172:Q174)</f>
        <v/>
      </c>
      <c r="AX13" s="459">
        <f>SUM('_Engine_NR'!Q175:Q177)</f>
        <v/>
      </c>
      <c r="AY13" s="459">
        <f>SUM('_Engine_NR'!Q178:Q180)</f>
        <v/>
      </c>
      <c r="AZ13" s="459">
        <f>SUM('_Engine_NR'!Q181:Q183)</f>
        <v/>
      </c>
      <c r="BA13" s="459">
        <f>SUM('_Engine_NR'!Q184:Q186)</f>
        <v/>
      </c>
      <c r="BB13" s="459">
        <f>SUM('_Engine_NR'!Q187:Q189)</f>
        <v/>
      </c>
      <c r="BC13" s="459">
        <f>SUM('_Engine_NR'!Q190:Q192)</f>
        <v/>
      </c>
      <c r="BD13" s="459">
        <f>SUM('_Engine_NR'!Q193:Q195)</f>
        <v/>
      </c>
      <c r="BE13" s="459">
        <f>SUM('_Engine_NR'!Q196:Q198)</f>
        <v/>
      </c>
      <c r="BF13" s="459">
        <f>SUM('_Engine_NR'!Q199:Q201)</f>
        <v/>
      </c>
      <c r="BG13" s="459">
        <f>SUM('_Engine_NR'!Q202:Q204)</f>
        <v/>
      </c>
      <c r="BH13" s="459">
        <f>SUM('_Engine_NR'!Q205:Q207)</f>
        <v/>
      </c>
      <c r="BI13" s="459">
        <f>SUM('_Engine_NR'!Q208:Q210)</f>
        <v/>
      </c>
      <c r="BJ13" s="306" t="n"/>
    </row>
    <row r="14" ht="15" customHeight="1" s="307">
      <c r="A14" s="460" t="inlineStr">
        <is>
          <t>Total OpEx</t>
        </is>
      </c>
      <c r="B14" s="462">
        <f>B9+B10+B11+B12+B13+B6</f>
        <v/>
      </c>
      <c r="C14" s="462">
        <f>C9+C10+C11+C12+C13+C6</f>
        <v/>
      </c>
      <c r="D14" s="462">
        <f>D9+D10+D11+D12+D13+D6</f>
        <v/>
      </c>
      <c r="E14" s="462">
        <f>E9+E10+E11+E12+E13+E6</f>
        <v/>
      </c>
      <c r="F14" s="462">
        <f>F9+F10+F11+F12+F13+F6</f>
        <v/>
      </c>
      <c r="G14" s="462">
        <f>G9+G10+G11+G12+G13+G6</f>
        <v/>
      </c>
      <c r="H14" s="462">
        <f>H9+H10+H11+H12+H13+H6</f>
        <v/>
      </c>
      <c r="I14" s="462">
        <f>I9+I10+I11+I12+I13+I6</f>
        <v/>
      </c>
      <c r="J14" s="462">
        <f>J9+J10+J11+J12+J13+J6</f>
        <v/>
      </c>
      <c r="K14" s="462">
        <f>K9+K10+K11+K12+K13+K6</f>
        <v/>
      </c>
      <c r="L14" s="462">
        <f>L9+L10+L11+L12+L13+L6</f>
        <v/>
      </c>
      <c r="M14" s="462">
        <f>M9+M10+M11+M12+M13+M6</f>
        <v/>
      </c>
      <c r="N14" s="462">
        <f>N9+N10+N11+N12+N13+N6</f>
        <v/>
      </c>
      <c r="O14" s="462">
        <f>O9+O10+O11+O12+O13+O6</f>
        <v/>
      </c>
      <c r="P14" s="462">
        <f>P9+P10+P11+P12+P13+P6</f>
        <v/>
      </c>
      <c r="Q14" s="462">
        <f>Q9+Q10+Q11+Q12+Q13+Q6</f>
        <v/>
      </c>
      <c r="R14" s="462">
        <f>R9+R10+R11+R12+R13+R6</f>
        <v/>
      </c>
      <c r="S14" s="462">
        <f>S9+S10+S11+S12+S13+S6</f>
        <v/>
      </c>
      <c r="T14" s="462">
        <f>T9+T10+T11+T12+T13+T6</f>
        <v/>
      </c>
      <c r="U14" s="462">
        <f>U9+U10+U11+U12+U13+U6</f>
        <v/>
      </c>
      <c r="V14" s="462">
        <f>V9+V10+V11+V12+V13+V6</f>
        <v/>
      </c>
      <c r="W14" s="462">
        <f>W9+W10+W11+W12+W13+W6</f>
        <v/>
      </c>
      <c r="X14" s="462">
        <f>X9+X10+X11+X12+X13+X6</f>
        <v/>
      </c>
      <c r="Y14" s="462">
        <f>Y9+Y10+Y11+Y12+Y13+Y6</f>
        <v/>
      </c>
      <c r="Z14" s="462">
        <f>Z9+Z10+Z11+Z12+Z13+Z6</f>
        <v/>
      </c>
      <c r="AA14" s="462">
        <f>AA9+AA10+AA11+AA12+AA13+AA6</f>
        <v/>
      </c>
      <c r="AB14" s="462">
        <f>AB9+AB10+AB11+AB12+AB13+AB6</f>
        <v/>
      </c>
      <c r="AC14" s="462">
        <f>AC9+AC10+AC11+AC12+AC13+AC6</f>
        <v/>
      </c>
      <c r="AD14" s="462">
        <f>AD9+AD10+AD11+AD12+AD13+AD6</f>
        <v/>
      </c>
      <c r="AE14" s="462">
        <f>AE9+AE10+AE11+AE12+AE13+AE6</f>
        <v/>
      </c>
      <c r="AF14" s="462">
        <f>AF9+AF10+AF11+AF12+AF13+AF6</f>
        <v/>
      </c>
      <c r="AG14" s="462">
        <f>AG9+AG10+AG11+AG12+AG13+AG6</f>
        <v/>
      </c>
      <c r="AH14" s="462">
        <f>AH9+AH10+AH11+AH12+AH13+AH6</f>
        <v/>
      </c>
      <c r="AI14" s="462">
        <f>AI9+AI10+AI11+AI12+AI13+AI6</f>
        <v/>
      </c>
      <c r="AJ14" s="462">
        <f>AJ9+AJ10+AJ11+AJ12+AJ13+AJ6</f>
        <v/>
      </c>
      <c r="AK14" s="462">
        <f>AK9+AK10+AK11+AK12+AK13+AK6</f>
        <v/>
      </c>
      <c r="AL14" s="462">
        <f>AL9+AL10+AL11+AL12+AL13+AL6</f>
        <v/>
      </c>
      <c r="AM14" s="462">
        <f>AM9+AM10+AM11+AM12+AM13+AM6</f>
        <v/>
      </c>
      <c r="AN14" s="462">
        <f>AN9+AN10+AN11+AN12+AN13+AN6</f>
        <v/>
      </c>
      <c r="AO14" s="462">
        <f>AO9+AO10+AO11+AO12+AO13+AO6</f>
        <v/>
      </c>
      <c r="AP14" s="462">
        <f>AP9+AP10+AP11+AP12+AP13+AP6</f>
        <v/>
      </c>
      <c r="AQ14" s="462">
        <f>AQ9+AQ10+AQ11+AQ12+AQ13+AQ6</f>
        <v/>
      </c>
      <c r="AR14" s="462">
        <f>AR9+AR10+AR11+AR12+AR13+AR6</f>
        <v/>
      </c>
      <c r="AS14" s="462">
        <f>AS9+AS10+AS11+AS12+AS13+AS6</f>
        <v/>
      </c>
      <c r="AT14" s="462">
        <f>AT9+AT10+AT11+AT12+AT13+AT6</f>
        <v/>
      </c>
      <c r="AU14" s="462">
        <f>AU9+AU10+AU11+AU12+AU13+AU6</f>
        <v/>
      </c>
      <c r="AV14" s="462">
        <f>AV9+AV10+AV11+AV12+AV13+AV6</f>
        <v/>
      </c>
      <c r="AW14" s="462">
        <f>AW9+AW10+AW11+AW12+AW13+AW6</f>
        <v/>
      </c>
      <c r="AX14" s="462">
        <f>AX9+AX10+AX11+AX12+AX13+AX6</f>
        <v/>
      </c>
      <c r="AY14" s="462">
        <f>AY9+AY10+AY11+AY12+AY13+AY6</f>
        <v/>
      </c>
      <c r="AZ14" s="462">
        <f>AZ9+AZ10+AZ11+AZ12+AZ13+AZ6</f>
        <v/>
      </c>
      <c r="BA14" s="462">
        <f>BA9+BA10+BA11+BA12+BA13+BA6</f>
        <v/>
      </c>
      <c r="BB14" s="462">
        <f>BB9+BB10+BB11+BB12+BB13+BB6</f>
        <v/>
      </c>
      <c r="BC14" s="462">
        <f>BC9+BC10+BC11+BC12+BC13+BC6</f>
        <v/>
      </c>
      <c r="BD14" s="462">
        <f>BD9+BD10+BD11+BD12+BD13+BD6</f>
        <v/>
      </c>
      <c r="BE14" s="462">
        <f>BE9+BE10+BE11+BE12+BE13+BE6</f>
        <v/>
      </c>
      <c r="BF14" s="462">
        <f>BF9+BF10+BF11+BF12+BF13+BF6</f>
        <v/>
      </c>
      <c r="BG14" s="462">
        <f>BG9+BG10+BG11+BG12+BG13+BG6</f>
        <v/>
      </c>
      <c r="BH14" s="462">
        <f>BH9+BH10+BH11+BH12+BH13+BH6</f>
        <v/>
      </c>
      <c r="BI14" s="462">
        <f>BI9+BI10+BI11+BI12+BI13+BI6</f>
        <v/>
      </c>
      <c r="BJ14" s="463" t="n"/>
    </row>
    <row r="15" ht="15" customHeight="1" s="307">
      <c r="A15" s="322" t="n"/>
      <c r="B15" s="466" t="n"/>
      <c r="C15" s="466" t="n"/>
      <c r="D15" s="466" t="n"/>
      <c r="E15" s="466" t="n"/>
      <c r="F15" s="466" t="n"/>
      <c r="G15" s="466" t="n"/>
      <c r="H15" s="466" t="n"/>
      <c r="I15" s="466" t="n"/>
      <c r="J15" s="466" t="n"/>
      <c r="K15" s="466" t="n"/>
      <c r="L15" s="466" t="n"/>
      <c r="M15" s="466" t="n"/>
      <c r="N15" s="466" t="n"/>
      <c r="O15" s="466" t="n"/>
      <c r="P15" s="466" t="n"/>
      <c r="Q15" s="466" t="n"/>
      <c r="R15" s="466" t="n"/>
      <c r="S15" s="466" t="n"/>
      <c r="T15" s="466" t="n"/>
      <c r="U15" s="466" t="n"/>
      <c r="V15" s="466" t="n"/>
      <c r="W15" s="466" t="n"/>
      <c r="X15" s="466" t="n"/>
      <c r="Y15" s="466" t="n"/>
      <c r="Z15" s="466" t="n"/>
      <c r="AA15" s="466" t="n"/>
      <c r="AB15" s="466" t="n"/>
      <c r="AC15" s="466" t="n"/>
      <c r="AD15" s="466" t="n"/>
      <c r="AE15" s="466" t="n"/>
      <c r="AF15" s="466" t="n"/>
      <c r="AG15" s="466" t="n"/>
      <c r="AH15" s="466" t="n"/>
      <c r="AI15" s="466" t="n"/>
      <c r="AJ15" s="466" t="n"/>
      <c r="AK15" s="466" t="n"/>
      <c r="AL15" s="466" t="n"/>
      <c r="AM15" s="466" t="n"/>
      <c r="AN15" s="466" t="n"/>
      <c r="AO15" s="466" t="n"/>
      <c r="AP15" s="466" t="n"/>
      <c r="AQ15" s="466" t="n"/>
      <c r="AR15" s="466" t="n"/>
      <c r="AS15" s="466" t="n"/>
      <c r="AT15" s="466" t="n"/>
      <c r="AU15" s="466" t="n"/>
      <c r="AV15" s="466" t="n"/>
      <c r="AW15" s="466" t="n"/>
      <c r="AX15" s="466" t="n"/>
      <c r="AY15" s="466" t="n"/>
      <c r="AZ15" s="466" t="n"/>
      <c r="BA15" s="466" t="n"/>
      <c r="BB15" s="466" t="n"/>
      <c r="BC15" s="466" t="n"/>
      <c r="BD15" s="466" t="n"/>
      <c r="BE15" s="466" t="n"/>
      <c r="BF15" s="466" t="n"/>
      <c r="BG15" s="466" t="n"/>
      <c r="BH15" s="466" t="n"/>
      <c r="BI15" s="466" t="n"/>
      <c r="BJ15" s="306" t="n"/>
    </row>
    <row r="16" ht="15" customHeight="1" s="307">
      <c r="A16" s="322" t="inlineStr">
        <is>
          <t>EBITDA</t>
        </is>
      </c>
      <c r="B16" s="466">
        <f>SUM('_Engine_NR'!R31:R33)</f>
        <v/>
      </c>
      <c r="C16" s="466">
        <f>SUM('_Engine_NR'!R34:R36)</f>
        <v/>
      </c>
      <c r="D16" s="466">
        <f>SUM('_Engine_NR'!R37:R39)</f>
        <v/>
      </c>
      <c r="E16" s="466">
        <f>SUM('_Engine_NR'!R40:R42)</f>
        <v/>
      </c>
      <c r="F16" s="466">
        <f>SUM('_Engine_NR'!R43:R45)</f>
        <v/>
      </c>
      <c r="G16" s="466">
        <f>SUM('_Engine_NR'!R46:R48)</f>
        <v/>
      </c>
      <c r="H16" s="466">
        <f>SUM('_Engine_NR'!R49:R51)</f>
        <v/>
      </c>
      <c r="I16" s="466">
        <f>SUM('_Engine_NR'!R52:R54)</f>
        <v/>
      </c>
      <c r="J16" s="466">
        <f>SUM('_Engine_NR'!R55:R57)</f>
        <v/>
      </c>
      <c r="K16" s="466">
        <f>SUM('_Engine_NR'!R58:R60)</f>
        <v/>
      </c>
      <c r="L16" s="466">
        <f>SUM('_Engine_NR'!R61:R63)</f>
        <v/>
      </c>
      <c r="M16" s="466">
        <f>SUM('_Engine_NR'!R64:R66)</f>
        <v/>
      </c>
      <c r="N16" s="466">
        <f>SUM('_Engine_NR'!R67:R69)</f>
        <v/>
      </c>
      <c r="O16" s="466">
        <f>SUM('_Engine_NR'!R70:R72)</f>
        <v/>
      </c>
      <c r="P16" s="466">
        <f>SUM('_Engine_NR'!R73:R75)</f>
        <v/>
      </c>
      <c r="Q16" s="466">
        <f>SUM('_Engine_NR'!R76:R78)</f>
        <v/>
      </c>
      <c r="R16" s="466">
        <f>SUM('_Engine_NR'!R79:R81)</f>
        <v/>
      </c>
      <c r="S16" s="466">
        <f>SUM('_Engine_NR'!R82:R84)</f>
        <v/>
      </c>
      <c r="T16" s="466">
        <f>SUM('_Engine_NR'!R85:R87)</f>
        <v/>
      </c>
      <c r="U16" s="466">
        <f>SUM('_Engine_NR'!R88:R90)</f>
        <v/>
      </c>
      <c r="V16" s="466">
        <f>SUM('_Engine_NR'!R91:R93)</f>
        <v/>
      </c>
      <c r="W16" s="466">
        <f>SUM('_Engine_NR'!R94:R96)</f>
        <v/>
      </c>
      <c r="X16" s="466">
        <f>SUM('_Engine_NR'!R97:R99)</f>
        <v/>
      </c>
      <c r="Y16" s="466">
        <f>SUM('_Engine_NR'!R100:R102)</f>
        <v/>
      </c>
      <c r="Z16" s="466">
        <f>SUM('_Engine_NR'!R103:R105)</f>
        <v/>
      </c>
      <c r="AA16" s="466">
        <f>SUM('_Engine_NR'!R106:R108)</f>
        <v/>
      </c>
      <c r="AB16" s="466">
        <f>SUM('_Engine_NR'!R109:R111)</f>
        <v/>
      </c>
      <c r="AC16" s="466">
        <f>SUM('_Engine_NR'!R112:R114)</f>
        <v/>
      </c>
      <c r="AD16" s="466">
        <f>SUM('_Engine_NR'!R115:R117)</f>
        <v/>
      </c>
      <c r="AE16" s="466">
        <f>SUM('_Engine_NR'!R118:R120)</f>
        <v/>
      </c>
      <c r="AF16" s="466">
        <f>SUM('_Engine_NR'!R121:R123)</f>
        <v/>
      </c>
      <c r="AG16" s="466">
        <f>SUM('_Engine_NR'!R124:R126)</f>
        <v/>
      </c>
      <c r="AH16" s="466">
        <f>SUM('_Engine_NR'!R127:R129)</f>
        <v/>
      </c>
      <c r="AI16" s="466">
        <f>SUM('_Engine_NR'!R130:R132)</f>
        <v/>
      </c>
      <c r="AJ16" s="466">
        <f>SUM('_Engine_NR'!R133:R135)</f>
        <v/>
      </c>
      <c r="AK16" s="466">
        <f>SUM('_Engine_NR'!R136:R138)</f>
        <v/>
      </c>
      <c r="AL16" s="466">
        <f>SUM('_Engine_NR'!R139:R141)</f>
        <v/>
      </c>
      <c r="AM16" s="466">
        <f>SUM('_Engine_NR'!R142:R144)</f>
        <v/>
      </c>
      <c r="AN16" s="466">
        <f>SUM('_Engine_NR'!R145:R147)</f>
        <v/>
      </c>
      <c r="AO16" s="466">
        <f>SUM('_Engine_NR'!R148:R150)</f>
        <v/>
      </c>
      <c r="AP16" s="466">
        <f>SUM('_Engine_NR'!R151:R153)</f>
        <v/>
      </c>
      <c r="AQ16" s="466">
        <f>SUM('_Engine_NR'!R154:R156)</f>
        <v/>
      </c>
      <c r="AR16" s="466">
        <f>SUM('_Engine_NR'!R157:R159)</f>
        <v/>
      </c>
      <c r="AS16" s="466">
        <f>SUM('_Engine_NR'!R160:R162)</f>
        <v/>
      </c>
      <c r="AT16" s="466">
        <f>SUM('_Engine_NR'!R163:R165)</f>
        <v/>
      </c>
      <c r="AU16" s="466">
        <f>SUM('_Engine_NR'!R166:R168)</f>
        <v/>
      </c>
      <c r="AV16" s="466">
        <f>SUM('_Engine_NR'!R169:R171)</f>
        <v/>
      </c>
      <c r="AW16" s="466">
        <f>SUM('_Engine_NR'!R172:R174)</f>
        <v/>
      </c>
      <c r="AX16" s="466">
        <f>SUM('_Engine_NR'!R175:R177)</f>
        <v/>
      </c>
      <c r="AY16" s="466">
        <f>SUM('_Engine_NR'!R178:R180)</f>
        <v/>
      </c>
      <c r="AZ16" s="466">
        <f>SUM('_Engine_NR'!R181:R183)</f>
        <v/>
      </c>
      <c r="BA16" s="466">
        <f>SUM('_Engine_NR'!R184:R186)</f>
        <v/>
      </c>
      <c r="BB16" s="466">
        <f>SUM('_Engine_NR'!R187:R189)</f>
        <v/>
      </c>
      <c r="BC16" s="466">
        <f>SUM('_Engine_NR'!R190:R192)</f>
        <v/>
      </c>
      <c r="BD16" s="466">
        <f>SUM('_Engine_NR'!R193:R195)</f>
        <v/>
      </c>
      <c r="BE16" s="466">
        <f>SUM('_Engine_NR'!R196:R198)</f>
        <v/>
      </c>
      <c r="BF16" s="466">
        <f>SUM('_Engine_NR'!R199:R201)</f>
        <v/>
      </c>
      <c r="BG16" s="466">
        <f>SUM('_Engine_NR'!R202:R204)</f>
        <v/>
      </c>
      <c r="BH16" s="466">
        <f>SUM('_Engine_NR'!R205:R207)</f>
        <v/>
      </c>
      <c r="BI16" s="466">
        <f>SUM('_Engine_NR'!R208:R210)</f>
        <v/>
      </c>
      <c r="BJ16" s="306" t="n"/>
    </row>
    <row r="17" ht="15" customHeight="1" s="307">
      <c r="A17" s="321" t="inlineStr">
        <is>
          <t xml:space="preserve">    Severance</t>
        </is>
      </c>
      <c r="B17" s="459">
        <f>SUM('_Engine_NR'!S31:S33)</f>
        <v/>
      </c>
      <c r="C17" s="459">
        <f>SUM('_Engine_NR'!S34:S36)</f>
        <v/>
      </c>
      <c r="D17" s="459">
        <f>SUM('_Engine_NR'!S37:S39)</f>
        <v/>
      </c>
      <c r="E17" s="459">
        <f>SUM('_Engine_NR'!S40:S42)</f>
        <v/>
      </c>
      <c r="F17" s="459">
        <f>SUM('_Engine_NR'!S43:S45)</f>
        <v/>
      </c>
      <c r="G17" s="459">
        <f>SUM('_Engine_NR'!S46:S48)</f>
        <v/>
      </c>
      <c r="H17" s="459">
        <f>SUM('_Engine_NR'!S49:S51)</f>
        <v/>
      </c>
      <c r="I17" s="459">
        <f>SUM('_Engine_NR'!S52:S54)</f>
        <v/>
      </c>
      <c r="J17" s="459">
        <f>SUM('_Engine_NR'!S55:S57)</f>
        <v/>
      </c>
      <c r="K17" s="459">
        <f>SUM('_Engine_NR'!S58:S60)</f>
        <v/>
      </c>
      <c r="L17" s="459">
        <f>SUM('_Engine_NR'!S61:S63)</f>
        <v/>
      </c>
      <c r="M17" s="459">
        <f>SUM('_Engine_NR'!S64:S66)</f>
        <v/>
      </c>
      <c r="N17" s="459">
        <f>SUM('_Engine_NR'!S67:S69)</f>
        <v/>
      </c>
      <c r="O17" s="459">
        <f>SUM('_Engine_NR'!S70:S72)</f>
        <v/>
      </c>
      <c r="P17" s="459">
        <f>SUM('_Engine_NR'!S73:S75)</f>
        <v/>
      </c>
      <c r="Q17" s="459">
        <f>SUM('_Engine_NR'!S76:S78)</f>
        <v/>
      </c>
      <c r="R17" s="459">
        <f>SUM('_Engine_NR'!S79:S81)</f>
        <v/>
      </c>
      <c r="S17" s="459">
        <f>SUM('_Engine_NR'!S82:S84)</f>
        <v/>
      </c>
      <c r="T17" s="459">
        <f>SUM('_Engine_NR'!S85:S87)</f>
        <v/>
      </c>
      <c r="U17" s="459">
        <f>SUM('_Engine_NR'!S88:S90)</f>
        <v/>
      </c>
      <c r="V17" s="459">
        <f>SUM('_Engine_NR'!S91:S93)</f>
        <v/>
      </c>
      <c r="W17" s="459">
        <f>SUM('_Engine_NR'!S94:S96)</f>
        <v/>
      </c>
      <c r="X17" s="459">
        <f>SUM('_Engine_NR'!S97:S99)</f>
        <v/>
      </c>
      <c r="Y17" s="459">
        <f>SUM('_Engine_NR'!S100:S102)</f>
        <v/>
      </c>
      <c r="Z17" s="459">
        <f>SUM('_Engine_NR'!S103:S105)</f>
        <v/>
      </c>
      <c r="AA17" s="459">
        <f>SUM('_Engine_NR'!S106:S108)</f>
        <v/>
      </c>
      <c r="AB17" s="459">
        <f>SUM('_Engine_NR'!S109:S111)</f>
        <v/>
      </c>
      <c r="AC17" s="459">
        <f>SUM('_Engine_NR'!S112:S114)</f>
        <v/>
      </c>
      <c r="AD17" s="459">
        <f>SUM('_Engine_NR'!S115:S117)</f>
        <v/>
      </c>
      <c r="AE17" s="459">
        <f>SUM('_Engine_NR'!S118:S120)</f>
        <v/>
      </c>
      <c r="AF17" s="459">
        <f>SUM('_Engine_NR'!S121:S123)</f>
        <v/>
      </c>
      <c r="AG17" s="459">
        <f>SUM('_Engine_NR'!S124:S126)</f>
        <v/>
      </c>
      <c r="AH17" s="459">
        <f>SUM('_Engine_NR'!S127:S129)</f>
        <v/>
      </c>
      <c r="AI17" s="459">
        <f>SUM('_Engine_NR'!S130:S132)</f>
        <v/>
      </c>
      <c r="AJ17" s="459">
        <f>SUM('_Engine_NR'!S133:S135)</f>
        <v/>
      </c>
      <c r="AK17" s="459">
        <f>SUM('_Engine_NR'!S136:S138)</f>
        <v/>
      </c>
      <c r="AL17" s="459">
        <f>SUM('_Engine_NR'!S139:S141)</f>
        <v/>
      </c>
      <c r="AM17" s="459">
        <f>SUM('_Engine_NR'!S142:S144)</f>
        <v/>
      </c>
      <c r="AN17" s="459">
        <f>SUM('_Engine_NR'!S145:S147)</f>
        <v/>
      </c>
      <c r="AO17" s="459">
        <f>SUM('_Engine_NR'!S148:S150)</f>
        <v/>
      </c>
      <c r="AP17" s="459">
        <f>SUM('_Engine_NR'!S151:S153)</f>
        <v/>
      </c>
      <c r="AQ17" s="459">
        <f>SUM('_Engine_NR'!S154:S156)</f>
        <v/>
      </c>
      <c r="AR17" s="459">
        <f>SUM('_Engine_NR'!S157:S159)</f>
        <v/>
      </c>
      <c r="AS17" s="459">
        <f>SUM('_Engine_NR'!S160:S162)</f>
        <v/>
      </c>
      <c r="AT17" s="459">
        <f>SUM('_Engine_NR'!S163:S165)</f>
        <v/>
      </c>
      <c r="AU17" s="459">
        <f>SUM('_Engine_NR'!S166:S168)</f>
        <v/>
      </c>
      <c r="AV17" s="459">
        <f>SUM('_Engine_NR'!S169:S171)</f>
        <v/>
      </c>
      <c r="AW17" s="459">
        <f>SUM('_Engine_NR'!S172:S174)</f>
        <v/>
      </c>
      <c r="AX17" s="459">
        <f>SUM('_Engine_NR'!S175:S177)</f>
        <v/>
      </c>
      <c r="AY17" s="459">
        <f>SUM('_Engine_NR'!S178:S180)</f>
        <v/>
      </c>
      <c r="AZ17" s="459">
        <f>SUM('_Engine_NR'!S181:S183)</f>
        <v/>
      </c>
      <c r="BA17" s="459">
        <f>SUM('_Engine_NR'!S184:S186)</f>
        <v/>
      </c>
      <c r="BB17" s="459">
        <f>SUM('_Engine_NR'!S187:S189)</f>
        <v/>
      </c>
      <c r="BC17" s="459">
        <f>SUM('_Engine_NR'!S190:S192)</f>
        <v/>
      </c>
      <c r="BD17" s="459">
        <f>SUM('_Engine_NR'!S193:S195)</f>
        <v/>
      </c>
      <c r="BE17" s="459">
        <f>SUM('_Engine_NR'!S196:S198)</f>
        <v/>
      </c>
      <c r="BF17" s="459">
        <f>SUM('_Engine_NR'!S199:S201)</f>
        <v/>
      </c>
      <c r="BG17" s="459">
        <f>SUM('_Engine_NR'!S202:S204)</f>
        <v/>
      </c>
      <c r="BH17" s="459">
        <f>SUM('_Engine_NR'!S205:S207)</f>
        <v/>
      </c>
      <c r="BI17" s="459">
        <f>SUM('_Engine_NR'!S208:S210)</f>
        <v/>
      </c>
      <c r="BJ17" s="306" t="n"/>
    </row>
    <row r="18" ht="15" customHeight="1" s="307">
      <c r="A18" s="468" t="inlineStr">
        <is>
          <t>Operating Income</t>
        </is>
      </c>
      <c r="B18" s="470">
        <f>B16-B17</f>
        <v/>
      </c>
      <c r="C18" s="470">
        <f>C16-C17</f>
        <v/>
      </c>
      <c r="D18" s="470">
        <f>D16-D17</f>
        <v/>
      </c>
      <c r="E18" s="470">
        <f>E16-E17</f>
        <v/>
      </c>
      <c r="F18" s="470">
        <f>F16-F17</f>
        <v/>
      </c>
      <c r="G18" s="470">
        <f>G16-G17</f>
        <v/>
      </c>
      <c r="H18" s="470">
        <f>H16-H17</f>
        <v/>
      </c>
      <c r="I18" s="470">
        <f>I16-I17</f>
        <v/>
      </c>
      <c r="J18" s="470">
        <f>J16-J17</f>
        <v/>
      </c>
      <c r="K18" s="470">
        <f>K16-K17</f>
        <v/>
      </c>
      <c r="L18" s="470">
        <f>L16-L17</f>
        <v/>
      </c>
      <c r="M18" s="470">
        <f>M16-M17</f>
        <v/>
      </c>
      <c r="N18" s="470">
        <f>N16-N17</f>
        <v/>
      </c>
      <c r="O18" s="470">
        <f>O16-O17</f>
        <v/>
      </c>
      <c r="P18" s="470">
        <f>P16-P17</f>
        <v/>
      </c>
      <c r="Q18" s="470">
        <f>Q16-Q17</f>
        <v/>
      </c>
      <c r="R18" s="470">
        <f>R16-R17</f>
        <v/>
      </c>
      <c r="S18" s="470">
        <f>S16-S17</f>
        <v/>
      </c>
      <c r="T18" s="470">
        <f>T16-T17</f>
        <v/>
      </c>
      <c r="U18" s="470">
        <f>U16-U17</f>
        <v/>
      </c>
      <c r="V18" s="470">
        <f>V16-V17</f>
        <v/>
      </c>
      <c r="W18" s="470">
        <f>W16-W17</f>
        <v/>
      </c>
      <c r="X18" s="470">
        <f>X16-X17</f>
        <v/>
      </c>
      <c r="Y18" s="470">
        <f>Y16-Y17</f>
        <v/>
      </c>
      <c r="Z18" s="470">
        <f>Z16-Z17</f>
        <v/>
      </c>
      <c r="AA18" s="470">
        <f>AA16-AA17</f>
        <v/>
      </c>
      <c r="AB18" s="470">
        <f>AB16-AB17</f>
        <v/>
      </c>
      <c r="AC18" s="470">
        <f>AC16-AC17</f>
        <v/>
      </c>
      <c r="AD18" s="470">
        <f>AD16-AD17</f>
        <v/>
      </c>
      <c r="AE18" s="470">
        <f>AE16-AE17</f>
        <v/>
      </c>
      <c r="AF18" s="470">
        <f>AF16-AF17</f>
        <v/>
      </c>
      <c r="AG18" s="470">
        <f>AG16-AG17</f>
        <v/>
      </c>
      <c r="AH18" s="470">
        <f>AH16-AH17</f>
        <v/>
      </c>
      <c r="AI18" s="470">
        <f>AI16-AI17</f>
        <v/>
      </c>
      <c r="AJ18" s="470">
        <f>AJ16-AJ17</f>
        <v/>
      </c>
      <c r="AK18" s="470">
        <f>AK16-AK17</f>
        <v/>
      </c>
      <c r="AL18" s="470">
        <f>AL16-AL17</f>
        <v/>
      </c>
      <c r="AM18" s="470">
        <f>AM16-AM17</f>
        <v/>
      </c>
      <c r="AN18" s="470">
        <f>AN16-AN17</f>
        <v/>
      </c>
      <c r="AO18" s="470">
        <f>AO16-AO17</f>
        <v/>
      </c>
      <c r="AP18" s="470">
        <f>AP16-AP17</f>
        <v/>
      </c>
      <c r="AQ18" s="470">
        <f>AQ16-AQ17</f>
        <v/>
      </c>
      <c r="AR18" s="470">
        <f>AR16-AR17</f>
        <v/>
      </c>
      <c r="AS18" s="470">
        <f>AS16-AS17</f>
        <v/>
      </c>
      <c r="AT18" s="470">
        <f>AT16-AT17</f>
        <v/>
      </c>
      <c r="AU18" s="470">
        <f>AU16-AU17</f>
        <v/>
      </c>
      <c r="AV18" s="470">
        <f>AV16-AV17</f>
        <v/>
      </c>
      <c r="AW18" s="470">
        <f>AW16-AW17</f>
        <v/>
      </c>
      <c r="AX18" s="470">
        <f>AX16-AX17</f>
        <v/>
      </c>
      <c r="AY18" s="470">
        <f>AY16-AY17</f>
        <v/>
      </c>
      <c r="AZ18" s="470">
        <f>AZ16-AZ17</f>
        <v/>
      </c>
      <c r="BA18" s="470">
        <f>BA16-BA17</f>
        <v/>
      </c>
      <c r="BB18" s="470">
        <f>BB16-BB17</f>
        <v/>
      </c>
      <c r="BC18" s="470">
        <f>BC16-BC17</f>
        <v/>
      </c>
      <c r="BD18" s="470">
        <f>BD16-BD17</f>
        <v/>
      </c>
      <c r="BE18" s="470">
        <f>BE16-BE17</f>
        <v/>
      </c>
      <c r="BF18" s="470">
        <f>BF16-BF17</f>
        <v/>
      </c>
      <c r="BG18" s="470">
        <f>BG16-BG17</f>
        <v/>
      </c>
      <c r="BH18" s="470">
        <f>BH16-BH17</f>
        <v/>
      </c>
      <c r="BI18" s="470">
        <f>BI16-BI17</f>
        <v/>
      </c>
      <c r="BJ18" s="455" t="n"/>
    </row>
    <row r="19" ht="15" customHeight="1" s="307">
      <c r="A19" s="321" t="n"/>
      <c r="B19" s="327" t="n"/>
      <c r="C19" s="327" t="n"/>
      <c r="D19" s="327" t="n"/>
      <c r="E19" s="327" t="n"/>
      <c r="F19" s="327" t="n"/>
      <c r="G19" s="327" t="n"/>
      <c r="H19" s="327" t="n"/>
      <c r="I19" s="327" t="n"/>
      <c r="J19" s="327" t="n"/>
      <c r="K19" s="327" t="n"/>
      <c r="L19" s="327" t="n"/>
      <c r="M19" s="327" t="n"/>
      <c r="N19" s="327" t="n"/>
      <c r="O19" s="327" t="n"/>
      <c r="P19" s="327" t="n"/>
      <c r="Q19" s="327" t="n"/>
      <c r="R19" s="327" t="n"/>
      <c r="S19" s="327" t="n"/>
      <c r="T19" s="327" t="n"/>
      <c r="U19" s="327" t="n"/>
      <c r="V19" s="327" t="n"/>
      <c r="W19" s="327" t="n"/>
      <c r="X19" s="327" t="n"/>
      <c r="Y19" s="327" t="n"/>
      <c r="Z19" s="327" t="n"/>
      <c r="AA19" s="327" t="n"/>
      <c r="AB19" s="327" t="n"/>
      <c r="AC19" s="327" t="n"/>
      <c r="AD19" s="327" t="n"/>
      <c r="AE19" s="327" t="n"/>
      <c r="AF19" s="327" t="n"/>
      <c r="AG19" s="327" t="n"/>
      <c r="AH19" s="327" t="n"/>
      <c r="AI19" s="327" t="n"/>
      <c r="AJ19" s="327" t="n"/>
      <c r="AK19" s="327" t="n"/>
      <c r="AL19" s="327" t="n"/>
      <c r="AM19" s="327" t="n"/>
      <c r="AN19" s="327" t="n"/>
      <c r="AO19" s="327" t="n"/>
      <c r="AP19" s="327" t="n"/>
      <c r="AQ19" s="327" t="n"/>
      <c r="AR19" s="327" t="n"/>
      <c r="AS19" s="327" t="n"/>
      <c r="AT19" s="327" t="n"/>
      <c r="AU19" s="327" t="n"/>
      <c r="AV19" s="327" t="n"/>
      <c r="AW19" s="327" t="n"/>
      <c r="AX19" s="327" t="n"/>
      <c r="AY19" s="327" t="n"/>
      <c r="AZ19" s="327" t="n"/>
      <c r="BA19" s="327" t="n"/>
      <c r="BB19" s="327" t="n"/>
      <c r="BC19" s="327" t="n"/>
      <c r="BD19" s="327" t="n"/>
      <c r="BE19" s="327" t="n"/>
      <c r="BF19" s="327" t="n"/>
      <c r="BG19" s="327" t="n"/>
      <c r="BH19" s="327" t="n"/>
      <c r="BI19" s="327" t="n"/>
      <c r="BJ19" s="306" t="n"/>
    </row>
    <row r="20" ht="15" customHeight="1" s="307">
      <c r="A20" s="321" t="inlineStr">
        <is>
          <t xml:space="preserve">    Management Fee</t>
        </is>
      </c>
      <c r="B20" s="459">
        <f>SUM('_Engine_NR'!C31:C33)</f>
        <v/>
      </c>
      <c r="C20" s="459">
        <f>SUM('_Engine_NR'!C34:C36)</f>
        <v/>
      </c>
      <c r="D20" s="459">
        <f>SUM('_Engine_NR'!C37:C39)</f>
        <v/>
      </c>
      <c r="E20" s="459">
        <f>SUM('_Engine_NR'!C40:C42)</f>
        <v/>
      </c>
      <c r="F20" s="459">
        <f>SUM('_Engine_NR'!C43:C45)</f>
        <v/>
      </c>
      <c r="G20" s="459">
        <f>SUM('_Engine_NR'!C46:C48)</f>
        <v/>
      </c>
      <c r="H20" s="459">
        <f>SUM('_Engine_NR'!C49:C51)</f>
        <v/>
      </c>
      <c r="I20" s="459">
        <f>SUM('_Engine_NR'!C52:C54)</f>
        <v/>
      </c>
      <c r="J20" s="459">
        <f>SUM('_Engine_NR'!C55:C57)</f>
        <v/>
      </c>
      <c r="K20" s="459">
        <f>SUM('_Engine_NR'!C58:C60)</f>
        <v/>
      </c>
      <c r="L20" s="459">
        <f>SUM('_Engine_NR'!C61:C63)</f>
        <v/>
      </c>
      <c r="M20" s="459">
        <f>SUM('_Engine_NR'!C64:C66)</f>
        <v/>
      </c>
      <c r="N20" s="459">
        <f>SUM('_Engine_NR'!C67:C69)</f>
        <v/>
      </c>
      <c r="O20" s="459">
        <f>SUM('_Engine_NR'!C70:C72)</f>
        <v/>
      </c>
      <c r="P20" s="459">
        <f>SUM('_Engine_NR'!C73:C75)</f>
        <v/>
      </c>
      <c r="Q20" s="459">
        <f>SUM('_Engine_NR'!C76:C78)</f>
        <v/>
      </c>
      <c r="R20" s="459">
        <f>SUM('_Engine_NR'!C79:C81)</f>
        <v/>
      </c>
      <c r="S20" s="459">
        <f>SUM('_Engine_NR'!C82:C84)</f>
        <v/>
      </c>
      <c r="T20" s="459">
        <f>SUM('_Engine_NR'!C85:C87)</f>
        <v/>
      </c>
      <c r="U20" s="459">
        <f>SUM('_Engine_NR'!C88:C90)</f>
        <v/>
      </c>
      <c r="V20" s="459">
        <f>SUM('_Engine_NR'!C91:C93)</f>
        <v/>
      </c>
      <c r="W20" s="459">
        <f>SUM('_Engine_NR'!C94:C96)</f>
        <v/>
      </c>
      <c r="X20" s="459">
        <f>SUM('_Engine_NR'!C97:C99)</f>
        <v/>
      </c>
      <c r="Y20" s="459">
        <f>SUM('_Engine_NR'!C100:C102)</f>
        <v/>
      </c>
      <c r="Z20" s="459">
        <f>SUM('_Engine_NR'!C103:C105)</f>
        <v/>
      </c>
      <c r="AA20" s="459">
        <f>SUM('_Engine_NR'!C106:C108)</f>
        <v/>
      </c>
      <c r="AB20" s="459">
        <f>SUM('_Engine_NR'!C109:C111)</f>
        <v/>
      </c>
      <c r="AC20" s="459">
        <f>SUM('_Engine_NR'!C112:C114)</f>
        <v/>
      </c>
      <c r="AD20" s="459">
        <f>SUM('_Engine_NR'!C115:C117)</f>
        <v/>
      </c>
      <c r="AE20" s="459">
        <f>SUM('_Engine_NR'!C118:C120)</f>
        <v/>
      </c>
      <c r="AF20" s="459">
        <f>SUM('_Engine_NR'!C121:C123)</f>
        <v/>
      </c>
      <c r="AG20" s="459">
        <f>SUM('_Engine_NR'!C124:C126)</f>
        <v/>
      </c>
      <c r="AH20" s="459">
        <f>SUM('_Engine_NR'!C127:C129)</f>
        <v/>
      </c>
      <c r="AI20" s="459">
        <f>SUM('_Engine_NR'!C130:C132)</f>
        <v/>
      </c>
      <c r="AJ20" s="459">
        <f>SUM('_Engine_NR'!C133:C135)</f>
        <v/>
      </c>
      <c r="AK20" s="459">
        <f>SUM('_Engine_NR'!C136:C138)</f>
        <v/>
      </c>
      <c r="AL20" s="459">
        <f>SUM('_Engine_NR'!C139:C141)</f>
        <v/>
      </c>
      <c r="AM20" s="459">
        <f>SUM('_Engine_NR'!C142:C144)</f>
        <v/>
      </c>
      <c r="AN20" s="459">
        <f>SUM('_Engine_NR'!C145:C147)</f>
        <v/>
      </c>
      <c r="AO20" s="459">
        <f>SUM('_Engine_NR'!C148:C150)</f>
        <v/>
      </c>
      <c r="AP20" s="459">
        <f>SUM('_Engine_NR'!C151:C153)</f>
        <v/>
      </c>
      <c r="AQ20" s="459">
        <f>SUM('_Engine_NR'!C154:C156)</f>
        <v/>
      </c>
      <c r="AR20" s="459">
        <f>SUM('_Engine_NR'!C157:C159)</f>
        <v/>
      </c>
      <c r="AS20" s="459">
        <f>SUM('_Engine_NR'!C160:C162)</f>
        <v/>
      </c>
      <c r="AT20" s="459">
        <f>SUM('_Engine_NR'!C163:C165)</f>
        <v/>
      </c>
      <c r="AU20" s="459">
        <f>SUM('_Engine_NR'!C166:C168)</f>
        <v/>
      </c>
      <c r="AV20" s="459">
        <f>SUM('_Engine_NR'!C169:C171)</f>
        <v/>
      </c>
      <c r="AW20" s="459">
        <f>SUM('_Engine_NR'!C172:C174)</f>
        <v/>
      </c>
      <c r="AX20" s="459">
        <f>SUM('_Engine_NR'!C175:C177)</f>
        <v/>
      </c>
      <c r="AY20" s="459">
        <f>SUM('_Engine_NR'!C178:C180)</f>
        <v/>
      </c>
      <c r="AZ20" s="459">
        <f>SUM('_Engine_NR'!C181:C183)</f>
        <v/>
      </c>
      <c r="BA20" s="459">
        <f>SUM('_Engine_NR'!C184:C186)</f>
        <v/>
      </c>
      <c r="BB20" s="459">
        <f>SUM('_Engine_NR'!C187:C189)</f>
        <v/>
      </c>
      <c r="BC20" s="459">
        <f>SUM('_Engine_NR'!C190:C192)</f>
        <v/>
      </c>
      <c r="BD20" s="459">
        <f>SUM('_Engine_NR'!C193:C195)</f>
        <v/>
      </c>
      <c r="BE20" s="459">
        <f>SUM('_Engine_NR'!C196:C198)</f>
        <v/>
      </c>
      <c r="BF20" s="459">
        <f>SUM('_Engine_NR'!C199:C201)</f>
        <v/>
      </c>
      <c r="BG20" s="459">
        <f>SUM('_Engine_NR'!C202:C204)</f>
        <v/>
      </c>
      <c r="BH20" s="459">
        <f>SUM('_Engine_NR'!C205:C207)</f>
        <v/>
      </c>
      <c r="BI20" s="459">
        <f>SUM('_Engine_NR'!C208:C210)</f>
        <v/>
      </c>
      <c r="BJ20" s="306" t="n"/>
    </row>
    <row r="21" ht="15" customHeight="1" s="307">
      <c r="A21" s="322" t="inlineStr">
        <is>
          <t>Distributable Cash</t>
        </is>
      </c>
      <c r="B21" s="462">
        <f>B18-B20</f>
        <v/>
      </c>
      <c r="C21" s="462">
        <f>C18-C20</f>
        <v/>
      </c>
      <c r="D21" s="462">
        <f>D18-D20</f>
        <v/>
      </c>
      <c r="E21" s="462">
        <f>E18-E20</f>
        <v/>
      </c>
      <c r="F21" s="462">
        <f>F18-F20</f>
        <v/>
      </c>
      <c r="G21" s="462">
        <f>G18-G20</f>
        <v/>
      </c>
      <c r="H21" s="462">
        <f>H18-H20</f>
        <v/>
      </c>
      <c r="I21" s="462">
        <f>I18-I20</f>
        <v/>
      </c>
      <c r="J21" s="462">
        <f>J18-J20</f>
        <v/>
      </c>
      <c r="K21" s="462">
        <f>K18-K20</f>
        <v/>
      </c>
      <c r="L21" s="462">
        <f>L18-L20</f>
        <v/>
      </c>
      <c r="M21" s="462">
        <f>M18-M20</f>
        <v/>
      </c>
      <c r="N21" s="462">
        <f>N18-N20</f>
        <v/>
      </c>
      <c r="O21" s="462">
        <f>O18-O20</f>
        <v/>
      </c>
      <c r="P21" s="462">
        <f>P18-P20</f>
        <v/>
      </c>
      <c r="Q21" s="462">
        <f>Q18-Q20</f>
        <v/>
      </c>
      <c r="R21" s="462">
        <f>R18-R20</f>
        <v/>
      </c>
      <c r="S21" s="462">
        <f>S18-S20</f>
        <v/>
      </c>
      <c r="T21" s="462">
        <f>T18-T20</f>
        <v/>
      </c>
      <c r="U21" s="462">
        <f>U18-U20</f>
        <v/>
      </c>
      <c r="V21" s="462">
        <f>V18-V20</f>
        <v/>
      </c>
      <c r="W21" s="462">
        <f>W18-W20</f>
        <v/>
      </c>
      <c r="X21" s="462">
        <f>X18-X20</f>
        <v/>
      </c>
      <c r="Y21" s="462">
        <f>Y18-Y20</f>
        <v/>
      </c>
      <c r="Z21" s="462">
        <f>Z18-Z20</f>
        <v/>
      </c>
      <c r="AA21" s="462">
        <f>AA18-AA20</f>
        <v/>
      </c>
      <c r="AB21" s="462">
        <f>AB18-AB20</f>
        <v/>
      </c>
      <c r="AC21" s="462">
        <f>AC18-AC20</f>
        <v/>
      </c>
      <c r="AD21" s="462">
        <f>AD18-AD20</f>
        <v/>
      </c>
      <c r="AE21" s="462">
        <f>AE18-AE20</f>
        <v/>
      </c>
      <c r="AF21" s="462">
        <f>AF18-AF20</f>
        <v/>
      </c>
      <c r="AG21" s="462">
        <f>AG18-AG20</f>
        <v/>
      </c>
      <c r="AH21" s="462">
        <f>AH18-AH20</f>
        <v/>
      </c>
      <c r="AI21" s="462">
        <f>AI18-AI20</f>
        <v/>
      </c>
      <c r="AJ21" s="462">
        <f>AJ18-AJ20</f>
        <v/>
      </c>
      <c r="AK21" s="462">
        <f>AK18-AK20</f>
        <v/>
      </c>
      <c r="AL21" s="462">
        <f>AL18-AL20</f>
        <v/>
      </c>
      <c r="AM21" s="462">
        <f>AM18-AM20</f>
        <v/>
      </c>
      <c r="AN21" s="462">
        <f>AN18-AN20</f>
        <v/>
      </c>
      <c r="AO21" s="462">
        <f>AO18-AO20</f>
        <v/>
      </c>
      <c r="AP21" s="462">
        <f>AP18-AP20</f>
        <v/>
      </c>
      <c r="AQ21" s="462">
        <f>AQ18-AQ20</f>
        <v/>
      </c>
      <c r="AR21" s="462">
        <f>AR18-AR20</f>
        <v/>
      </c>
      <c r="AS21" s="462">
        <f>AS18-AS20</f>
        <v/>
      </c>
      <c r="AT21" s="462">
        <f>AT18-AT20</f>
        <v/>
      </c>
      <c r="AU21" s="462">
        <f>AU18-AU20</f>
        <v/>
      </c>
      <c r="AV21" s="462">
        <f>AV18-AV20</f>
        <v/>
      </c>
      <c r="AW21" s="462">
        <f>AW18-AW20</f>
        <v/>
      </c>
      <c r="AX21" s="462">
        <f>AX18-AX20</f>
        <v/>
      </c>
      <c r="AY21" s="462">
        <f>AY18-AY20</f>
        <v/>
      </c>
      <c r="AZ21" s="462">
        <f>AZ18-AZ20</f>
        <v/>
      </c>
      <c r="BA21" s="462">
        <f>BA18-BA20</f>
        <v/>
      </c>
      <c r="BB21" s="462">
        <f>BB18-BB20</f>
        <v/>
      </c>
      <c r="BC21" s="462">
        <f>BC18-BC20</f>
        <v/>
      </c>
      <c r="BD21" s="462">
        <f>BD18-BD20</f>
        <v/>
      </c>
      <c r="BE21" s="462">
        <f>BE18-BE20</f>
        <v/>
      </c>
      <c r="BF21" s="462">
        <f>BF18-BF20</f>
        <v/>
      </c>
      <c r="BG21" s="462">
        <f>BG18-BG20</f>
        <v/>
      </c>
      <c r="BH21" s="462">
        <f>BH18-BH20</f>
        <v/>
      </c>
      <c r="BI21" s="462">
        <f>BI18-BI20</f>
        <v/>
      </c>
      <c r="BJ21" s="306" t="n"/>
    </row>
    <row r="22" ht="15" customHeight="1" s="307">
      <c r="A22" s="321" t="inlineStr">
        <is>
          <t>Cumulative</t>
        </is>
      </c>
      <c r="B22" s="459">
        <f>B21</f>
        <v/>
      </c>
      <c r="C22" s="459">
        <f>B22+C21</f>
        <v/>
      </c>
      <c r="D22" s="459">
        <f>C22+D21</f>
        <v/>
      </c>
      <c r="E22" s="459">
        <f>D22+E21</f>
        <v/>
      </c>
      <c r="F22" s="459">
        <f>E22+F21</f>
        <v/>
      </c>
      <c r="G22" s="459">
        <f>F22+G21</f>
        <v/>
      </c>
      <c r="H22" s="459">
        <f>G22+H21</f>
        <v/>
      </c>
      <c r="I22" s="459">
        <f>H22+I21</f>
        <v/>
      </c>
      <c r="J22" s="459">
        <f>I22+J21</f>
        <v/>
      </c>
      <c r="K22" s="459">
        <f>J22+K21</f>
        <v/>
      </c>
      <c r="L22" s="459">
        <f>K22+L21</f>
        <v/>
      </c>
      <c r="M22" s="459">
        <f>L22+M21</f>
        <v/>
      </c>
      <c r="N22" s="459">
        <f>M22+N21</f>
        <v/>
      </c>
      <c r="O22" s="459">
        <f>N22+O21</f>
        <v/>
      </c>
      <c r="P22" s="459">
        <f>O22+P21</f>
        <v/>
      </c>
      <c r="Q22" s="459">
        <f>P22+Q21</f>
        <v/>
      </c>
      <c r="R22" s="459">
        <f>Q22+R21</f>
        <v/>
      </c>
      <c r="S22" s="459">
        <f>R22+S21</f>
        <v/>
      </c>
      <c r="T22" s="459">
        <f>S22+T21</f>
        <v/>
      </c>
      <c r="U22" s="459">
        <f>T22+U21</f>
        <v/>
      </c>
      <c r="V22" s="459">
        <f>U22+V21</f>
        <v/>
      </c>
      <c r="W22" s="459">
        <f>V22+W21</f>
        <v/>
      </c>
      <c r="X22" s="459">
        <f>W22+X21</f>
        <v/>
      </c>
      <c r="Y22" s="459">
        <f>X22+Y21</f>
        <v/>
      </c>
      <c r="Z22" s="459">
        <f>Y22+Z21</f>
        <v/>
      </c>
      <c r="AA22" s="459">
        <f>Z22+AA21</f>
        <v/>
      </c>
      <c r="AB22" s="459">
        <f>AA22+AB21</f>
        <v/>
      </c>
      <c r="AC22" s="459">
        <f>AB22+AC21</f>
        <v/>
      </c>
      <c r="AD22" s="459">
        <f>AC22+AD21</f>
        <v/>
      </c>
      <c r="AE22" s="459">
        <f>AD22+AE21</f>
        <v/>
      </c>
      <c r="AF22" s="459">
        <f>AE22+AF21</f>
        <v/>
      </c>
      <c r="AG22" s="459">
        <f>AF22+AG21</f>
        <v/>
      </c>
      <c r="AH22" s="459">
        <f>AG22+AH21</f>
        <v/>
      </c>
      <c r="AI22" s="459">
        <f>AH22+AI21</f>
        <v/>
      </c>
      <c r="AJ22" s="459">
        <f>AI22+AJ21</f>
        <v/>
      </c>
      <c r="AK22" s="459">
        <f>AJ22+AK21</f>
        <v/>
      </c>
      <c r="AL22" s="459">
        <f>AK22+AL21</f>
        <v/>
      </c>
      <c r="AM22" s="459">
        <f>AL22+AM21</f>
        <v/>
      </c>
      <c r="AN22" s="459">
        <f>AM22+AN21</f>
        <v/>
      </c>
      <c r="AO22" s="459">
        <f>AN22+AO21</f>
        <v/>
      </c>
      <c r="AP22" s="459">
        <f>AO22+AP21</f>
        <v/>
      </c>
      <c r="AQ22" s="459">
        <f>AP22+AQ21</f>
        <v/>
      </c>
      <c r="AR22" s="459">
        <f>AQ22+AR21</f>
        <v/>
      </c>
      <c r="AS22" s="459">
        <f>AR22+AS21</f>
        <v/>
      </c>
      <c r="AT22" s="459">
        <f>AS22+AT21</f>
        <v/>
      </c>
      <c r="AU22" s="459">
        <f>AT22+AU21</f>
        <v/>
      </c>
      <c r="AV22" s="459">
        <f>AU22+AV21</f>
        <v/>
      </c>
      <c r="AW22" s="459">
        <f>AV22+AW21</f>
        <v/>
      </c>
      <c r="AX22" s="459">
        <f>AW22+AX21</f>
        <v/>
      </c>
      <c r="AY22" s="459">
        <f>AX22+AY21</f>
        <v/>
      </c>
      <c r="AZ22" s="459">
        <f>AY22+AZ21</f>
        <v/>
      </c>
      <c r="BA22" s="459">
        <f>AZ22+BA21</f>
        <v/>
      </c>
      <c r="BB22" s="459">
        <f>BA22+BB21</f>
        <v/>
      </c>
      <c r="BC22" s="459">
        <f>BB22+BC21</f>
        <v/>
      </c>
      <c r="BD22" s="459">
        <f>BC22+BD21</f>
        <v/>
      </c>
      <c r="BE22" s="459">
        <f>BD22+BE21</f>
        <v/>
      </c>
      <c r="BF22" s="459">
        <f>BE22+BF21</f>
        <v/>
      </c>
      <c r="BG22" s="459">
        <f>BF22+BG21</f>
        <v/>
      </c>
      <c r="BH22" s="459">
        <f>BG22+BH21</f>
        <v/>
      </c>
      <c r="BI22" s="459">
        <f>BH22+BI21</f>
        <v/>
      </c>
      <c r="BJ22" s="306" t="n"/>
    </row>
    <row r="23" ht="15" customHeight="1" s="307">
      <c r="A23" s="321" t="n"/>
      <c r="B23" s="459" t="n"/>
      <c r="C23" s="459" t="n"/>
      <c r="D23" s="459" t="n"/>
      <c r="E23" s="459" t="n"/>
      <c r="F23" s="459" t="n"/>
      <c r="G23" s="459" t="n"/>
      <c r="H23" s="459" t="n"/>
      <c r="I23" s="459" t="n"/>
      <c r="J23" s="459" t="n"/>
      <c r="K23" s="459" t="n"/>
      <c r="L23" s="459" t="n"/>
      <c r="M23" s="459" t="n"/>
      <c r="N23" s="459" t="n"/>
      <c r="O23" s="459" t="n"/>
      <c r="P23" s="459" t="n"/>
      <c r="Q23" s="459" t="n"/>
      <c r="R23" s="459" t="n"/>
      <c r="S23" s="459" t="n"/>
      <c r="T23" s="459" t="n"/>
      <c r="U23" s="459" t="n"/>
      <c r="V23" s="459" t="n"/>
      <c r="W23" s="459" t="n"/>
      <c r="X23" s="459" t="n"/>
      <c r="Y23" s="459" t="n"/>
      <c r="Z23" s="459" t="n"/>
      <c r="AA23" s="459" t="n"/>
      <c r="AB23" s="459" t="n"/>
      <c r="AC23" s="459" t="n"/>
      <c r="AD23" s="459" t="n"/>
      <c r="AE23" s="459" t="n"/>
      <c r="AF23" s="459" t="n"/>
      <c r="AG23" s="459" t="n"/>
      <c r="AH23" s="459" t="n"/>
      <c r="AI23" s="459" t="n"/>
      <c r="AJ23" s="459" t="n"/>
      <c r="AK23" s="459" t="n"/>
      <c r="AL23" s="459" t="n"/>
      <c r="AM23" s="459" t="n"/>
      <c r="AN23" s="459" t="n"/>
      <c r="AO23" s="459" t="n"/>
      <c r="AP23" s="459" t="n"/>
      <c r="AQ23" s="459" t="n"/>
      <c r="AR23" s="459" t="n"/>
      <c r="AS23" s="459" t="n"/>
      <c r="AT23" s="459" t="n"/>
      <c r="AU23" s="459" t="n"/>
      <c r="AV23" s="459" t="n"/>
      <c r="AW23" s="459" t="n"/>
      <c r="AX23" s="459" t="n"/>
      <c r="AY23" s="459" t="n"/>
      <c r="AZ23" s="459" t="n"/>
      <c r="BA23" s="459" t="n"/>
      <c r="BB23" s="459" t="n"/>
      <c r="BC23" s="459" t="n"/>
      <c r="BD23" s="459" t="n"/>
      <c r="BE23" s="459" t="n"/>
      <c r="BF23" s="459" t="n"/>
      <c r="BG23" s="459" t="n"/>
      <c r="BH23" s="459" t="n"/>
      <c r="BI23" s="459" t="n"/>
      <c r="BJ23" s="306" t="n"/>
    </row>
    <row r="24" ht="15" customHeight="1" s="307">
      <c r="A24" s="322" t="n"/>
      <c r="B24" s="466" t="n"/>
      <c r="C24" s="466" t="n"/>
      <c r="D24" s="466" t="n"/>
      <c r="E24" s="466" t="n"/>
      <c r="F24" s="466" t="n"/>
      <c r="G24" s="466" t="n"/>
      <c r="H24" s="466" t="n"/>
      <c r="I24" s="466" t="n"/>
      <c r="J24" s="466" t="n"/>
      <c r="K24" s="466" t="n"/>
      <c r="L24" s="466" t="n"/>
      <c r="M24" s="466" t="n"/>
      <c r="N24" s="466" t="n"/>
      <c r="O24" s="466" t="n"/>
      <c r="P24" s="466" t="n"/>
      <c r="Q24" s="466" t="n"/>
      <c r="R24" s="466" t="n"/>
      <c r="S24" s="466" t="n"/>
      <c r="T24" s="466" t="n"/>
      <c r="U24" s="466" t="n"/>
      <c r="V24" s="466" t="n"/>
      <c r="W24" s="466" t="n"/>
      <c r="X24" s="466" t="n"/>
      <c r="Y24" s="466" t="n"/>
      <c r="Z24" s="466" t="n"/>
      <c r="AA24" s="466" t="n"/>
      <c r="AB24" s="466" t="n"/>
      <c r="AC24" s="466" t="n"/>
      <c r="AD24" s="466" t="n"/>
      <c r="AE24" s="466" t="n"/>
      <c r="AF24" s="466" t="n"/>
      <c r="AG24" s="466" t="n"/>
      <c r="AH24" s="466" t="n"/>
      <c r="AI24" s="466" t="n"/>
      <c r="AJ24" s="466" t="n"/>
      <c r="AK24" s="466" t="n"/>
      <c r="AL24" s="466" t="n"/>
      <c r="AM24" s="466" t="n"/>
      <c r="AN24" s="466" t="n"/>
      <c r="AO24" s="466" t="n"/>
      <c r="AP24" s="466" t="n"/>
      <c r="AQ24" s="466" t="n"/>
      <c r="AR24" s="466" t="n"/>
      <c r="AS24" s="466" t="n"/>
      <c r="AT24" s="466" t="n"/>
      <c r="AU24" s="466" t="n"/>
      <c r="AV24" s="466" t="n"/>
      <c r="AW24" s="466" t="n"/>
      <c r="AX24" s="466" t="n"/>
      <c r="AY24" s="466" t="n"/>
      <c r="AZ24" s="466" t="n"/>
      <c r="BA24" s="466" t="n"/>
      <c r="BB24" s="466" t="n"/>
      <c r="BC24" s="466" t="n"/>
      <c r="BD24" s="466" t="n"/>
      <c r="BE24" s="466" t="n"/>
      <c r="BF24" s="466" t="n"/>
      <c r="BG24" s="466" t="n"/>
      <c r="BH24" s="466" t="n"/>
      <c r="BI24" s="466" t="n"/>
      <c r="BJ24" s="306" t="n"/>
    </row>
    <row r="25" ht="15" customHeight="1" s="307">
      <c r="A25" s="321" t="n"/>
      <c r="B25" s="459" t="n"/>
      <c r="C25" s="459" t="n"/>
      <c r="D25" s="459" t="n"/>
      <c r="E25" s="459" t="n"/>
      <c r="F25" s="459" t="n"/>
      <c r="G25" s="459" t="n"/>
      <c r="H25" s="459" t="n"/>
      <c r="I25" s="459" t="n"/>
      <c r="J25" s="459" t="n"/>
      <c r="K25" s="459" t="n"/>
      <c r="L25" s="459" t="n"/>
      <c r="M25" s="459" t="n"/>
      <c r="N25" s="459" t="n"/>
      <c r="O25" s="459" t="n"/>
      <c r="P25" s="459" t="n"/>
      <c r="Q25" s="459" t="n"/>
      <c r="R25" s="459" t="n"/>
      <c r="S25" s="459" t="n"/>
      <c r="T25" s="459" t="n"/>
      <c r="U25" s="459" t="n"/>
      <c r="V25" s="459" t="n"/>
      <c r="W25" s="459" t="n"/>
      <c r="X25" s="459" t="n"/>
      <c r="Y25" s="459" t="n"/>
      <c r="Z25" s="459" t="n"/>
      <c r="AA25" s="459" t="n"/>
      <c r="AB25" s="459" t="n"/>
      <c r="AC25" s="459" t="n"/>
      <c r="AD25" s="459" t="n"/>
      <c r="AE25" s="459" t="n"/>
      <c r="AF25" s="459" t="n"/>
      <c r="AG25" s="459" t="n"/>
      <c r="AH25" s="459" t="n"/>
      <c r="AI25" s="459" t="n"/>
      <c r="AJ25" s="459" t="n"/>
      <c r="AK25" s="459" t="n"/>
      <c r="AL25" s="459" t="n"/>
      <c r="AM25" s="459" t="n"/>
      <c r="AN25" s="459" t="n"/>
      <c r="AO25" s="459" t="n"/>
      <c r="AP25" s="459" t="n"/>
      <c r="AQ25" s="459" t="n"/>
      <c r="AR25" s="459" t="n"/>
      <c r="AS25" s="459" t="n"/>
      <c r="AT25" s="459" t="n"/>
      <c r="AU25" s="459" t="n"/>
      <c r="AV25" s="459" t="n"/>
      <c r="AW25" s="459" t="n"/>
      <c r="AX25" s="459" t="n"/>
      <c r="AY25" s="459" t="n"/>
      <c r="AZ25" s="459" t="n"/>
      <c r="BA25" s="459" t="n"/>
      <c r="BB25" s="459" t="n"/>
      <c r="BC25" s="459" t="n"/>
      <c r="BD25" s="459" t="n"/>
      <c r="BE25" s="459" t="n"/>
      <c r="BF25" s="459" t="n"/>
      <c r="BG25" s="459" t="n"/>
      <c r="BH25" s="459" t="n"/>
      <c r="BI25" s="459" t="n"/>
      <c r="BJ25" s="306" t="n"/>
    </row>
    <row r="26" ht="15" customHeight="1" s="307">
      <c r="A26" s="321" t="n"/>
      <c r="B26" s="459" t="n"/>
      <c r="C26" s="459" t="n"/>
      <c r="D26" s="459" t="n"/>
      <c r="E26" s="459" t="n"/>
      <c r="F26" s="459" t="n"/>
      <c r="G26" s="459" t="n"/>
      <c r="H26" s="459" t="n"/>
      <c r="I26" s="459" t="n"/>
      <c r="J26" s="459" t="n"/>
      <c r="K26" s="459" t="n"/>
      <c r="L26" s="459" t="n"/>
      <c r="M26" s="459" t="n"/>
      <c r="N26" s="459" t="n"/>
      <c r="O26" s="459" t="n"/>
      <c r="P26" s="459" t="n"/>
      <c r="Q26" s="459" t="n"/>
      <c r="R26" s="459" t="n"/>
      <c r="S26" s="459" t="n"/>
      <c r="T26" s="459" t="n"/>
      <c r="U26" s="459" t="n"/>
      <c r="V26" s="459" t="n"/>
      <c r="W26" s="459" t="n"/>
      <c r="X26" s="459" t="n"/>
      <c r="Y26" s="459" t="n"/>
      <c r="Z26" s="459" t="n"/>
      <c r="AA26" s="459" t="n"/>
      <c r="AB26" s="459" t="n"/>
      <c r="AC26" s="459" t="n"/>
      <c r="AD26" s="459" t="n"/>
      <c r="AE26" s="459" t="n"/>
      <c r="AF26" s="459" t="n"/>
      <c r="AG26" s="459" t="n"/>
      <c r="AH26" s="459" t="n"/>
      <c r="AI26" s="459" t="n"/>
      <c r="AJ26" s="459" t="n"/>
      <c r="AK26" s="459" t="n"/>
      <c r="AL26" s="459" t="n"/>
      <c r="AM26" s="459" t="n"/>
      <c r="AN26" s="459" t="n"/>
      <c r="AO26" s="459" t="n"/>
      <c r="AP26" s="459" t="n"/>
      <c r="AQ26" s="459" t="n"/>
      <c r="AR26" s="459" t="n"/>
      <c r="AS26" s="459" t="n"/>
      <c r="AT26" s="459" t="n"/>
      <c r="AU26" s="459" t="n"/>
      <c r="AV26" s="459" t="n"/>
      <c r="AW26" s="459" t="n"/>
      <c r="AX26" s="459" t="n"/>
      <c r="AY26" s="459" t="n"/>
      <c r="AZ26" s="459" t="n"/>
      <c r="BA26" s="459" t="n"/>
      <c r="BB26" s="459" t="n"/>
      <c r="BC26" s="459" t="n"/>
      <c r="BD26" s="459" t="n"/>
      <c r="BE26" s="459" t="n"/>
      <c r="BF26" s="459" t="n"/>
      <c r="BG26" s="459" t="n"/>
      <c r="BH26" s="459" t="n"/>
      <c r="BI26" s="459" t="n"/>
      <c r="BJ26" s="306" t="n"/>
    </row>
    <row r="27" ht="15" customHeight="1" s="307">
      <c r="A27" s="306" t="n"/>
      <c r="B27" s="306" t="n"/>
      <c r="C27" s="306" t="n"/>
      <c r="D27" s="306" t="n"/>
      <c r="E27" s="306" t="n"/>
      <c r="F27" s="306" t="n"/>
      <c r="G27" s="306" t="n"/>
      <c r="H27" s="306" t="n"/>
      <c r="I27" s="306" t="n"/>
      <c r="J27" s="306" t="n"/>
      <c r="K27" s="306" t="n"/>
      <c r="L27" s="306" t="n"/>
      <c r="M27" s="306" t="n"/>
      <c r="N27" s="306" t="n"/>
      <c r="O27" s="306" t="n"/>
      <c r="P27" s="306" t="n"/>
      <c r="Q27" s="306" t="n"/>
      <c r="R27" s="306" t="n"/>
      <c r="S27" s="306" t="n"/>
      <c r="T27" s="306" t="n"/>
      <c r="U27" s="306" t="n"/>
      <c r="V27" s="306" t="n"/>
      <c r="W27" s="306" t="n"/>
      <c r="X27" s="306" t="n"/>
      <c r="Y27" s="306" t="n"/>
      <c r="Z27" s="306" t="n"/>
      <c r="AA27" s="306" t="n"/>
      <c r="AB27" s="306" t="n"/>
      <c r="AC27" s="306" t="n"/>
      <c r="AD27" s="306" t="n"/>
      <c r="AE27" s="306" t="n"/>
      <c r="AF27" s="306" t="n"/>
      <c r="AG27" s="306" t="n"/>
      <c r="AH27" s="306" t="n"/>
      <c r="AI27" s="306" t="n"/>
      <c r="AJ27" s="306" t="n"/>
      <c r="AK27" s="306" t="n"/>
      <c r="AL27" s="306" t="n"/>
      <c r="AM27" s="306" t="n"/>
      <c r="AN27" s="306" t="n"/>
      <c r="AO27" s="306" t="n"/>
      <c r="AP27" s="306" t="n"/>
      <c r="AQ27" s="306" t="n"/>
      <c r="AR27" s="306" t="n"/>
      <c r="AS27" s="306" t="n"/>
      <c r="AT27" s="306" t="n"/>
      <c r="AU27" s="306" t="n"/>
      <c r="AV27" s="306" t="n"/>
      <c r="AW27" s="306" t="n"/>
      <c r="AX27" s="306" t="n"/>
      <c r="AY27" s="306" t="n"/>
      <c r="AZ27" s="306" t="n"/>
      <c r="BA27" s="306" t="n"/>
      <c r="BB27" s="306" t="n"/>
      <c r="BC27" s="306" t="n"/>
      <c r="BD27" s="306" t="n"/>
      <c r="BE27" s="306" t="n"/>
      <c r="BF27" s="306" t="n"/>
      <c r="BG27" s="306" t="n"/>
      <c r="BH27" s="306" t="n"/>
      <c r="BI27" s="306" t="n"/>
      <c r="BJ27" s="306" t="n"/>
    </row>
    <row r="28" ht="15" customHeight="1" s="307">
      <c r="A28" s="306" t="n"/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  <c r="O28" s="306" t="n"/>
      <c r="P28" s="306" t="n"/>
      <c r="Q28" s="306" t="n"/>
      <c r="R28" s="306" t="n"/>
      <c r="S28" s="306" t="n"/>
      <c r="T28" s="306" t="n"/>
      <c r="U28" s="306" t="n"/>
      <c r="V28" s="306" t="n"/>
      <c r="W28" s="306" t="n"/>
      <c r="X28" s="306" t="n"/>
      <c r="Y28" s="306" t="n"/>
      <c r="Z28" s="306" t="n"/>
      <c r="AA28" s="306" t="n"/>
      <c r="AB28" s="306" t="n"/>
      <c r="AC28" s="306" t="n"/>
      <c r="AD28" s="306" t="n"/>
      <c r="AE28" s="306" t="n"/>
      <c r="AF28" s="306" t="n"/>
      <c r="AG28" s="306" t="n"/>
      <c r="AH28" s="306" t="n"/>
      <c r="AI28" s="306" t="n"/>
      <c r="AJ28" s="306" t="n"/>
      <c r="AK28" s="306" t="n"/>
      <c r="AL28" s="306" t="n"/>
      <c r="AM28" s="306" t="n"/>
      <c r="AN28" s="306" t="n"/>
      <c r="AO28" s="306" t="n"/>
      <c r="AP28" s="306" t="n"/>
      <c r="AQ28" s="306" t="n"/>
      <c r="AR28" s="306" t="n"/>
      <c r="AS28" s="306" t="n"/>
      <c r="AT28" s="306" t="n"/>
      <c r="AU28" s="306" t="n"/>
      <c r="AV28" s="306" t="n"/>
      <c r="AW28" s="306" t="n"/>
      <c r="AX28" s="306" t="n"/>
      <c r="AY28" s="306" t="n"/>
      <c r="AZ28" s="306" t="n"/>
      <c r="BA28" s="306" t="n"/>
      <c r="BB28" s="306" t="n"/>
      <c r="BC28" s="306" t="n"/>
      <c r="BD28" s="306" t="n"/>
      <c r="BE28" s="306" t="n"/>
      <c r="BF28" s="306" t="n"/>
      <c r="BG28" s="306" t="n"/>
      <c r="BH28" s="306" t="n"/>
      <c r="BI28" s="306" t="n"/>
      <c r="BJ28" s="306" t="n"/>
    </row>
    <row r="29" ht="15" customHeight="1" s="30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  <c r="T29" s="306" t="n"/>
      <c r="U29" s="306" t="n"/>
      <c r="V29" s="306" t="n"/>
      <c r="W29" s="306" t="n"/>
      <c r="X29" s="306" t="n"/>
      <c r="Y29" s="306" t="n"/>
      <c r="Z29" s="306" t="n"/>
      <c r="AA29" s="306" t="n"/>
      <c r="AB29" s="306" t="n"/>
      <c r="AC29" s="306" t="n"/>
      <c r="AD29" s="306" t="n"/>
      <c r="AE29" s="306" t="n"/>
      <c r="AF29" s="306" t="n"/>
      <c r="AG29" s="306" t="n"/>
      <c r="AH29" s="306" t="n"/>
      <c r="AI29" s="306" t="n"/>
      <c r="AJ29" s="306" t="n"/>
      <c r="AK29" s="306" t="n"/>
      <c r="AL29" s="306" t="n"/>
      <c r="AM29" s="306" t="n"/>
      <c r="AN29" s="306" t="n"/>
      <c r="AO29" s="306" t="n"/>
      <c r="AP29" s="306" t="n"/>
      <c r="AQ29" s="306" t="n"/>
      <c r="AR29" s="306" t="n"/>
      <c r="AS29" s="306" t="n"/>
      <c r="AT29" s="306" t="n"/>
      <c r="AU29" s="306" t="n"/>
      <c r="AV29" s="306" t="n"/>
      <c r="AW29" s="306" t="n"/>
      <c r="AX29" s="306" t="n"/>
      <c r="AY29" s="306" t="n"/>
      <c r="AZ29" s="306" t="n"/>
      <c r="BA29" s="306" t="n"/>
      <c r="BB29" s="306" t="n"/>
      <c r="BC29" s="306" t="n"/>
      <c r="BD29" s="306" t="n"/>
      <c r="BE29" s="306" t="n"/>
      <c r="BF29" s="306" t="n"/>
      <c r="BG29" s="306" t="n"/>
      <c r="BH29" s="306" t="n"/>
      <c r="BI29" s="306" t="n"/>
      <c r="BJ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  <c r="T30" s="306" t="n"/>
      <c r="U30" s="306" t="n"/>
      <c r="V30" s="306" t="n"/>
      <c r="W30" s="306" t="n"/>
      <c r="X30" s="306" t="n"/>
      <c r="Y30" s="306" t="n"/>
      <c r="Z30" s="306" t="n"/>
      <c r="AA30" s="306" t="n"/>
      <c r="AB30" s="306" t="n"/>
      <c r="AC30" s="306" t="n"/>
      <c r="AD30" s="306" t="n"/>
      <c r="AE30" s="306" t="n"/>
      <c r="AF30" s="306" t="n"/>
      <c r="AG30" s="306" t="n"/>
      <c r="AH30" s="306" t="n"/>
      <c r="AI30" s="306" t="n"/>
      <c r="AJ30" s="306" t="n"/>
      <c r="AK30" s="306" t="n"/>
      <c r="AL30" s="306" t="n"/>
      <c r="AM30" s="306" t="n"/>
      <c r="AN30" s="306" t="n"/>
      <c r="AO30" s="306" t="n"/>
      <c r="AP30" s="306" t="n"/>
      <c r="AQ30" s="306" t="n"/>
      <c r="AR30" s="306" t="n"/>
      <c r="AS30" s="306" t="n"/>
      <c r="AT30" s="306" t="n"/>
      <c r="AU30" s="306" t="n"/>
      <c r="AV30" s="306" t="n"/>
      <c r="AW30" s="306" t="n"/>
      <c r="AX30" s="306" t="n"/>
      <c r="AY30" s="306" t="n"/>
      <c r="AZ30" s="306" t="n"/>
      <c r="BA30" s="306" t="n"/>
      <c r="BB30" s="306" t="n"/>
      <c r="BC30" s="306" t="n"/>
      <c r="BD30" s="306" t="n"/>
      <c r="BE30" s="306" t="n"/>
      <c r="BF30" s="306" t="n"/>
      <c r="BG30" s="306" t="n"/>
      <c r="BH30" s="306" t="n"/>
      <c r="BI30" s="306" t="n"/>
      <c r="BJ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  <c r="T31" s="306" t="n"/>
      <c r="U31" s="306" t="n"/>
      <c r="V31" s="306" t="n"/>
      <c r="W31" s="306" t="n"/>
      <c r="X31" s="306" t="n"/>
      <c r="Y31" s="306" t="n"/>
      <c r="Z31" s="306" t="n"/>
      <c r="AA31" s="306" t="n"/>
      <c r="AB31" s="306" t="n"/>
      <c r="AC31" s="306" t="n"/>
      <c r="AD31" s="306" t="n"/>
      <c r="AE31" s="306" t="n"/>
      <c r="AF31" s="306" t="n"/>
      <c r="AG31" s="306" t="n"/>
      <c r="AH31" s="306" t="n"/>
      <c r="AI31" s="306" t="n"/>
      <c r="AJ31" s="306" t="n"/>
      <c r="AK31" s="306" t="n"/>
      <c r="AL31" s="306" t="n"/>
      <c r="AM31" s="306" t="n"/>
      <c r="AN31" s="306" t="n"/>
      <c r="AO31" s="306" t="n"/>
      <c r="AP31" s="306" t="n"/>
      <c r="AQ31" s="306" t="n"/>
      <c r="AR31" s="306" t="n"/>
      <c r="AS31" s="306" t="n"/>
      <c r="AT31" s="306" t="n"/>
      <c r="AU31" s="306" t="n"/>
      <c r="AV31" s="306" t="n"/>
      <c r="AW31" s="306" t="n"/>
      <c r="AX31" s="306" t="n"/>
      <c r="AY31" s="306" t="n"/>
      <c r="AZ31" s="306" t="n"/>
      <c r="BA31" s="306" t="n"/>
      <c r="BB31" s="306" t="n"/>
      <c r="BC31" s="306" t="n"/>
      <c r="BD31" s="306" t="n"/>
      <c r="BE31" s="306" t="n"/>
      <c r="BF31" s="306" t="n"/>
      <c r="BG31" s="306" t="n"/>
      <c r="BH31" s="306" t="n"/>
      <c r="BI31" s="306" t="n"/>
      <c r="BJ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  <c r="T32" s="306" t="n"/>
      <c r="U32" s="306" t="n"/>
      <c r="V32" s="306" t="n"/>
      <c r="W32" s="306" t="n"/>
      <c r="X32" s="306" t="n"/>
      <c r="Y32" s="306" t="n"/>
      <c r="Z32" s="306" t="n"/>
      <c r="AA32" s="306" t="n"/>
      <c r="AB32" s="306" t="n"/>
      <c r="AC32" s="306" t="n"/>
      <c r="AD32" s="306" t="n"/>
      <c r="AE32" s="306" t="n"/>
      <c r="AF32" s="306" t="n"/>
      <c r="AG32" s="306" t="n"/>
      <c r="AH32" s="306" t="n"/>
      <c r="AI32" s="306" t="n"/>
      <c r="AJ32" s="306" t="n"/>
      <c r="AK32" s="306" t="n"/>
      <c r="AL32" s="306" t="n"/>
      <c r="AM32" s="306" t="n"/>
      <c r="AN32" s="306" t="n"/>
      <c r="AO32" s="306" t="n"/>
      <c r="AP32" s="306" t="n"/>
      <c r="AQ32" s="306" t="n"/>
      <c r="AR32" s="306" t="n"/>
      <c r="AS32" s="306" t="n"/>
      <c r="AT32" s="306" t="n"/>
      <c r="AU32" s="306" t="n"/>
      <c r="AV32" s="306" t="n"/>
      <c r="AW32" s="306" t="n"/>
      <c r="AX32" s="306" t="n"/>
      <c r="AY32" s="306" t="n"/>
      <c r="AZ32" s="306" t="n"/>
      <c r="BA32" s="306" t="n"/>
      <c r="BB32" s="306" t="n"/>
      <c r="BC32" s="306" t="n"/>
      <c r="BD32" s="306" t="n"/>
      <c r="BE32" s="306" t="n"/>
      <c r="BF32" s="306" t="n"/>
      <c r="BG32" s="306" t="n"/>
      <c r="BH32" s="306" t="n"/>
      <c r="BI32" s="306" t="n"/>
      <c r="BJ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  <c r="T33" s="306" t="n"/>
      <c r="U33" s="306" t="n"/>
      <c r="V33" s="306" t="n"/>
      <c r="W33" s="306" t="n"/>
      <c r="X33" s="306" t="n"/>
      <c r="Y33" s="306" t="n"/>
      <c r="Z33" s="306" t="n"/>
      <c r="AA33" s="306" t="n"/>
      <c r="AB33" s="306" t="n"/>
      <c r="AC33" s="306" t="n"/>
      <c r="AD33" s="306" t="n"/>
      <c r="AE33" s="306" t="n"/>
      <c r="AF33" s="306" t="n"/>
      <c r="AG33" s="306" t="n"/>
      <c r="AH33" s="306" t="n"/>
      <c r="AI33" s="306" t="n"/>
      <c r="AJ33" s="306" t="n"/>
      <c r="AK33" s="306" t="n"/>
      <c r="AL33" s="306" t="n"/>
      <c r="AM33" s="306" t="n"/>
      <c r="AN33" s="306" t="n"/>
      <c r="AO33" s="306" t="n"/>
      <c r="AP33" s="306" t="n"/>
      <c r="AQ33" s="306" t="n"/>
      <c r="AR33" s="306" t="n"/>
      <c r="AS33" s="306" t="n"/>
      <c r="AT33" s="306" t="n"/>
      <c r="AU33" s="306" t="n"/>
      <c r="AV33" s="306" t="n"/>
      <c r="AW33" s="306" t="n"/>
      <c r="AX33" s="306" t="n"/>
      <c r="AY33" s="306" t="n"/>
      <c r="AZ33" s="306" t="n"/>
      <c r="BA33" s="306" t="n"/>
      <c r="BB33" s="306" t="n"/>
      <c r="BC33" s="306" t="n"/>
      <c r="BD33" s="306" t="n"/>
      <c r="BE33" s="306" t="n"/>
      <c r="BF33" s="306" t="n"/>
      <c r="BG33" s="306" t="n"/>
      <c r="BH33" s="306" t="n"/>
      <c r="BI33" s="306" t="n"/>
      <c r="BJ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  <c r="T34" s="306" t="n"/>
      <c r="U34" s="306" t="n"/>
      <c r="V34" s="306" t="n"/>
      <c r="W34" s="306" t="n"/>
      <c r="X34" s="306" t="n"/>
      <c r="Y34" s="306" t="n"/>
      <c r="Z34" s="306" t="n"/>
      <c r="AA34" s="306" t="n"/>
      <c r="AB34" s="306" t="n"/>
      <c r="AC34" s="306" t="n"/>
      <c r="AD34" s="306" t="n"/>
      <c r="AE34" s="306" t="n"/>
      <c r="AF34" s="306" t="n"/>
      <c r="AG34" s="306" t="n"/>
      <c r="AH34" s="306" t="n"/>
      <c r="AI34" s="306" t="n"/>
      <c r="AJ34" s="306" t="n"/>
      <c r="AK34" s="306" t="n"/>
      <c r="AL34" s="306" t="n"/>
      <c r="AM34" s="306" t="n"/>
      <c r="AN34" s="306" t="n"/>
      <c r="AO34" s="306" t="n"/>
      <c r="AP34" s="306" t="n"/>
      <c r="AQ34" s="306" t="n"/>
      <c r="AR34" s="306" t="n"/>
      <c r="AS34" s="306" t="n"/>
      <c r="AT34" s="306" t="n"/>
      <c r="AU34" s="306" t="n"/>
      <c r="AV34" s="306" t="n"/>
      <c r="AW34" s="306" t="n"/>
      <c r="AX34" s="306" t="n"/>
      <c r="AY34" s="306" t="n"/>
      <c r="AZ34" s="306" t="n"/>
      <c r="BA34" s="306" t="n"/>
      <c r="BB34" s="306" t="n"/>
      <c r="BC34" s="306" t="n"/>
      <c r="BD34" s="306" t="n"/>
      <c r="BE34" s="306" t="n"/>
      <c r="BF34" s="306" t="n"/>
      <c r="BG34" s="306" t="n"/>
      <c r="BH34" s="306" t="n"/>
      <c r="BI34" s="306" t="n"/>
      <c r="BJ3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1" customWidth="1" style="306" min="2" max="61"/>
  </cols>
  <sheetData>
    <row r="1" ht="15.75" customHeight="1" s="307">
      <c r="A1" s="692" t="inlineStr">
        <is>
          <t>QUARTERLY P&amp;L  |  8 deals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6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06" t="n"/>
      <c r="AO1" s="306" t="n"/>
      <c r="AP1" s="306" t="n"/>
      <c r="AQ1" s="306" t="n"/>
      <c r="AR1" s="306" t="n"/>
      <c r="AS1" s="306" t="n"/>
      <c r="AT1" s="306" t="n"/>
      <c r="AU1" s="306" t="n"/>
      <c r="AV1" s="306" t="n"/>
      <c r="AW1" s="306" t="n"/>
      <c r="AX1" s="306" t="n"/>
      <c r="AY1" s="306" t="n"/>
      <c r="AZ1" s="306" t="n"/>
      <c r="BA1" s="306" t="n"/>
      <c r="BB1" s="306" t="n"/>
      <c r="BC1" s="306" t="n"/>
      <c r="BD1" s="306" t="n"/>
      <c r="BE1" s="306" t="n"/>
      <c r="BF1" s="306" t="n"/>
      <c r="BG1" s="306" t="n"/>
      <c r="BH1" s="306" t="n"/>
      <c r="BI1" s="306" t="n"/>
      <c r="BJ1" s="306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  <c r="N2" s="306" t="n"/>
      <c r="O2" s="306" t="n"/>
      <c r="P2" s="306" t="n"/>
      <c r="Q2" s="306" t="n"/>
      <c r="R2" s="306" t="n"/>
      <c r="S2" s="306" t="n"/>
      <c r="T2" s="306" t="n"/>
      <c r="U2" s="306" t="n"/>
      <c r="V2" s="306" t="n"/>
      <c r="W2" s="306" t="n"/>
      <c r="X2" s="306" t="n"/>
      <c r="Y2" s="306" t="n"/>
      <c r="Z2" s="306" t="n"/>
      <c r="AA2" s="306" t="n"/>
      <c r="AB2" s="306" t="n"/>
      <c r="AC2" s="306" t="n"/>
      <c r="AD2" s="306" t="n"/>
      <c r="AE2" s="306" t="n"/>
      <c r="AF2" s="306" t="n"/>
      <c r="AG2" s="306" t="n"/>
      <c r="AH2" s="306" t="n"/>
      <c r="AI2" s="306" t="n"/>
      <c r="AJ2" s="306" t="n"/>
      <c r="AK2" s="306" t="n"/>
      <c r="AL2" s="306" t="n"/>
      <c r="AM2" s="306" t="n"/>
      <c r="AN2" s="306" t="n"/>
      <c r="AO2" s="306" t="n"/>
      <c r="AP2" s="306" t="n"/>
      <c r="AQ2" s="306" t="n"/>
      <c r="AR2" s="306" t="n"/>
      <c r="AS2" s="306" t="n"/>
      <c r="AT2" s="306" t="n"/>
      <c r="AU2" s="306" t="n"/>
      <c r="AV2" s="306" t="n"/>
      <c r="AW2" s="306" t="n"/>
      <c r="AX2" s="306" t="n"/>
      <c r="AY2" s="306" t="n"/>
      <c r="AZ2" s="306" t="n"/>
      <c r="BA2" s="306" t="n"/>
      <c r="BB2" s="306" t="n"/>
      <c r="BC2" s="306" t="n"/>
      <c r="BD2" s="306" t="n"/>
      <c r="BE2" s="306" t="n"/>
      <c r="BF2" s="306" t="n"/>
      <c r="BG2" s="306" t="n"/>
      <c r="BH2" s="306" t="n"/>
      <c r="BI2" s="306" t="n"/>
      <c r="BJ2" s="306" t="n"/>
    </row>
    <row r="3" ht="15" customHeight="1" s="307">
      <c r="A3" s="472" t="inlineStr">
        <is>
          <t>($mm)</t>
        </is>
      </c>
      <c r="B3" s="388" t="inlineStr">
        <is>
          <t>Y1Q1</t>
        </is>
      </c>
      <c r="C3" s="388" t="inlineStr">
        <is>
          <t>Y1Q2</t>
        </is>
      </c>
      <c r="D3" s="388" t="inlineStr">
        <is>
          <t>Y1Q3</t>
        </is>
      </c>
      <c r="E3" s="388" t="inlineStr">
        <is>
          <t>Y1Q4</t>
        </is>
      </c>
      <c r="F3" s="388" t="inlineStr">
        <is>
          <t>Y2Q1</t>
        </is>
      </c>
      <c r="G3" s="388" t="inlineStr">
        <is>
          <t>Y2Q2</t>
        </is>
      </c>
      <c r="H3" s="388" t="inlineStr">
        <is>
          <t>Y2Q3</t>
        </is>
      </c>
      <c r="I3" s="388" t="inlineStr">
        <is>
          <t>Y2Q4</t>
        </is>
      </c>
      <c r="J3" s="388" t="inlineStr">
        <is>
          <t>Y3Q1</t>
        </is>
      </c>
      <c r="K3" s="388" t="inlineStr">
        <is>
          <t>Y3Q2</t>
        </is>
      </c>
      <c r="L3" s="388" t="inlineStr">
        <is>
          <t>Y3Q3</t>
        </is>
      </c>
      <c r="M3" s="388" t="inlineStr">
        <is>
          <t>Y3Q4</t>
        </is>
      </c>
      <c r="N3" s="388" t="inlineStr">
        <is>
          <t>Y4Q1</t>
        </is>
      </c>
      <c r="O3" s="388" t="inlineStr">
        <is>
          <t>Y4Q2</t>
        </is>
      </c>
      <c r="P3" s="388" t="inlineStr">
        <is>
          <t>Y4Q3</t>
        </is>
      </c>
      <c r="Q3" s="388" t="inlineStr">
        <is>
          <t>Y4Q4</t>
        </is>
      </c>
      <c r="R3" s="388" t="inlineStr">
        <is>
          <t>Y5Q1</t>
        </is>
      </c>
      <c r="S3" s="388" t="inlineStr">
        <is>
          <t>Y5Q2</t>
        </is>
      </c>
      <c r="T3" s="388" t="inlineStr">
        <is>
          <t>Y5Q3</t>
        </is>
      </c>
      <c r="U3" s="388" t="inlineStr">
        <is>
          <t>Y5Q4</t>
        </is>
      </c>
      <c r="V3" s="388" t="inlineStr">
        <is>
          <t>Y6Q1</t>
        </is>
      </c>
      <c r="W3" s="388" t="inlineStr">
        <is>
          <t>Y6Q2</t>
        </is>
      </c>
      <c r="X3" s="388" t="inlineStr">
        <is>
          <t>Y6Q3</t>
        </is>
      </c>
      <c r="Y3" s="388" t="inlineStr">
        <is>
          <t>Y6Q4</t>
        </is>
      </c>
      <c r="Z3" s="388" t="inlineStr">
        <is>
          <t>Y7Q1</t>
        </is>
      </c>
      <c r="AA3" s="388" t="inlineStr">
        <is>
          <t>Y7Q2</t>
        </is>
      </c>
      <c r="AB3" s="388" t="inlineStr">
        <is>
          <t>Y7Q3</t>
        </is>
      </c>
      <c r="AC3" s="388" t="inlineStr">
        <is>
          <t>Y7Q4</t>
        </is>
      </c>
      <c r="AD3" s="388" t="inlineStr">
        <is>
          <t>Y8Q1</t>
        </is>
      </c>
      <c r="AE3" s="388" t="inlineStr">
        <is>
          <t>Y8Q2</t>
        </is>
      </c>
      <c r="AF3" s="388" t="inlineStr">
        <is>
          <t>Y8Q3</t>
        </is>
      </c>
      <c r="AG3" s="388" t="inlineStr">
        <is>
          <t>Y8Q4</t>
        </is>
      </c>
      <c r="AH3" s="388" t="inlineStr">
        <is>
          <t>Y9Q1</t>
        </is>
      </c>
      <c r="AI3" s="388" t="inlineStr">
        <is>
          <t>Y9Q2</t>
        </is>
      </c>
      <c r="AJ3" s="388" t="inlineStr">
        <is>
          <t>Y9Q3</t>
        </is>
      </c>
      <c r="AK3" s="388" t="inlineStr">
        <is>
          <t>Y9Q4</t>
        </is>
      </c>
      <c r="AL3" s="388" t="inlineStr">
        <is>
          <t>Y10Q1</t>
        </is>
      </c>
      <c r="AM3" s="388" t="inlineStr">
        <is>
          <t>Y10Q2</t>
        </is>
      </c>
      <c r="AN3" s="388" t="inlineStr">
        <is>
          <t>Y10Q3</t>
        </is>
      </c>
      <c r="AO3" s="388" t="inlineStr">
        <is>
          <t>Y10Q4</t>
        </is>
      </c>
      <c r="AP3" s="388" t="inlineStr">
        <is>
          <t>Y11Q1</t>
        </is>
      </c>
      <c r="AQ3" s="388" t="inlineStr">
        <is>
          <t>Y11Q2</t>
        </is>
      </c>
      <c r="AR3" s="388" t="inlineStr">
        <is>
          <t>Y11Q3</t>
        </is>
      </c>
      <c r="AS3" s="388" t="inlineStr">
        <is>
          <t>Y11Q4</t>
        </is>
      </c>
      <c r="AT3" s="388" t="inlineStr">
        <is>
          <t>Y12Q1</t>
        </is>
      </c>
      <c r="AU3" s="388" t="inlineStr">
        <is>
          <t>Y12Q2</t>
        </is>
      </c>
      <c r="AV3" s="388" t="inlineStr">
        <is>
          <t>Y12Q3</t>
        </is>
      </c>
      <c r="AW3" s="388" t="inlineStr">
        <is>
          <t>Y12Q4</t>
        </is>
      </c>
      <c r="AX3" s="388" t="inlineStr">
        <is>
          <t>Y13Q1</t>
        </is>
      </c>
      <c r="AY3" s="388" t="inlineStr">
        <is>
          <t>Y13Q2</t>
        </is>
      </c>
      <c r="AZ3" s="388" t="inlineStr">
        <is>
          <t>Y13Q3</t>
        </is>
      </c>
      <c r="BA3" s="388" t="inlineStr">
        <is>
          <t>Y13Q4</t>
        </is>
      </c>
      <c r="BB3" s="388" t="inlineStr">
        <is>
          <t>Y14Q1</t>
        </is>
      </c>
      <c r="BC3" s="388" t="inlineStr">
        <is>
          <t>Y14Q2</t>
        </is>
      </c>
      <c r="BD3" s="388" t="inlineStr">
        <is>
          <t>Y14Q3</t>
        </is>
      </c>
      <c r="BE3" s="388" t="inlineStr">
        <is>
          <t>Y14Q4</t>
        </is>
      </c>
      <c r="BF3" s="388" t="inlineStr">
        <is>
          <t>Y15Q1</t>
        </is>
      </c>
      <c r="BG3" s="388" t="inlineStr">
        <is>
          <t>Y15Q2</t>
        </is>
      </c>
      <c r="BH3" s="388" t="inlineStr">
        <is>
          <t>Y15Q3</t>
        </is>
      </c>
      <c r="BI3" s="388" t="inlineStr">
        <is>
          <t>Y15Q4</t>
        </is>
      </c>
      <c r="BJ3" s="306" t="n"/>
    </row>
    <row r="4" ht="15" customHeight="1" s="307">
      <c r="A4" s="306" t="n"/>
      <c r="B4" s="474" t="n"/>
      <c r="C4" s="306" t="n"/>
      <c r="D4" s="306" t="n"/>
      <c r="E4" s="306" t="n"/>
      <c r="F4" s="474" t="n"/>
      <c r="G4" s="306" t="n"/>
      <c r="H4" s="306" t="n"/>
      <c r="I4" s="306" t="n"/>
      <c r="J4" s="474" t="n"/>
      <c r="K4" s="306" t="n"/>
      <c r="L4" s="306" t="n"/>
      <c r="M4" s="306" t="n"/>
      <c r="N4" s="474" t="n"/>
      <c r="O4" s="306" t="n"/>
      <c r="P4" s="306" t="n"/>
      <c r="Q4" s="306" t="n"/>
      <c r="R4" s="474" t="n"/>
      <c r="S4" s="306" t="n"/>
      <c r="T4" s="306" t="n"/>
      <c r="U4" s="306" t="n"/>
      <c r="V4" s="474" t="n"/>
      <c r="W4" s="306" t="n"/>
      <c r="X4" s="306" t="n"/>
      <c r="Y4" s="306" t="n"/>
      <c r="Z4" s="474" t="n"/>
      <c r="AA4" s="306" t="n"/>
      <c r="AB4" s="306" t="n"/>
      <c r="AC4" s="306" t="n"/>
      <c r="AD4" s="474" t="n"/>
      <c r="AE4" s="306" t="n"/>
      <c r="AF4" s="306" t="n"/>
      <c r="AG4" s="306" t="n"/>
      <c r="AH4" s="474" t="n"/>
      <c r="AI4" s="306" t="n"/>
      <c r="AJ4" s="306" t="n"/>
      <c r="AK4" s="306" t="n"/>
      <c r="AL4" s="474" t="n"/>
      <c r="AM4" s="306" t="n"/>
      <c r="AN4" s="306" t="n"/>
      <c r="AO4" s="306" t="n"/>
      <c r="AP4" s="474" t="n"/>
      <c r="AQ4" s="306" t="n"/>
      <c r="AR4" s="306" t="n"/>
      <c r="AS4" s="306" t="n"/>
      <c r="AT4" s="474" t="n"/>
      <c r="AU4" s="306" t="n"/>
      <c r="AV4" s="306" t="n"/>
      <c r="AW4" s="306" t="n"/>
      <c r="AX4" s="474" t="n"/>
      <c r="AY4" s="306" t="n"/>
      <c r="AZ4" s="306" t="n"/>
      <c r="BA4" s="306" t="n"/>
      <c r="BB4" s="474" t="n"/>
      <c r="BC4" s="306" t="n"/>
      <c r="BD4" s="306" t="n"/>
      <c r="BE4" s="306" t="n"/>
      <c r="BF4" s="474" t="n"/>
      <c r="BG4" s="306" t="n"/>
      <c r="BH4" s="306" t="n"/>
      <c r="BI4" s="306" t="n"/>
      <c r="BJ4" s="306" t="n"/>
    </row>
    <row r="5" ht="15" customHeight="1" s="307">
      <c r="A5" s="322" t="inlineStr">
        <is>
          <t>Revenue</t>
        </is>
      </c>
      <c r="B5" s="466">
        <f>SUM('_Engine_R50'!P31:P33)</f>
        <v/>
      </c>
      <c r="C5" s="466">
        <f>SUM('_Engine_R50'!P34:P36)</f>
        <v/>
      </c>
      <c r="D5" s="466">
        <f>SUM('_Engine_R50'!P37:P39)</f>
        <v/>
      </c>
      <c r="E5" s="466">
        <f>SUM('_Engine_R50'!P40:P42)</f>
        <v/>
      </c>
      <c r="F5" s="466">
        <f>SUM('_Engine_R50'!P43:P45)</f>
        <v/>
      </c>
      <c r="G5" s="466">
        <f>SUM('_Engine_R50'!P46:P48)</f>
        <v/>
      </c>
      <c r="H5" s="466">
        <f>SUM('_Engine_R50'!P49:P51)</f>
        <v/>
      </c>
      <c r="I5" s="466">
        <f>SUM('_Engine_R50'!P52:P54)</f>
        <v/>
      </c>
      <c r="J5" s="466">
        <f>SUM('_Engine_R50'!P55:P57)</f>
        <v/>
      </c>
      <c r="K5" s="466">
        <f>SUM('_Engine_R50'!P58:P60)</f>
        <v/>
      </c>
      <c r="L5" s="466">
        <f>SUM('_Engine_R50'!P61:P63)</f>
        <v/>
      </c>
      <c r="M5" s="466">
        <f>SUM('_Engine_R50'!P64:P66)</f>
        <v/>
      </c>
      <c r="N5" s="466">
        <f>SUM('_Engine_R50'!P67:P69)</f>
        <v/>
      </c>
      <c r="O5" s="466">
        <f>SUM('_Engine_R50'!P70:P72)</f>
        <v/>
      </c>
      <c r="P5" s="466">
        <f>SUM('_Engine_R50'!P73:P75)</f>
        <v/>
      </c>
      <c r="Q5" s="466">
        <f>SUM('_Engine_R50'!P76:P78)</f>
        <v/>
      </c>
      <c r="R5" s="466">
        <f>SUM('_Engine_R50'!P79:P81)</f>
        <v/>
      </c>
      <c r="S5" s="466">
        <f>SUM('_Engine_R50'!P82:P84)</f>
        <v/>
      </c>
      <c r="T5" s="466">
        <f>SUM('_Engine_R50'!P85:P87)</f>
        <v/>
      </c>
      <c r="U5" s="466">
        <f>SUM('_Engine_R50'!P88:P90)</f>
        <v/>
      </c>
      <c r="V5" s="466">
        <f>SUM('_Engine_R50'!P91:P93)</f>
        <v/>
      </c>
      <c r="W5" s="466">
        <f>SUM('_Engine_R50'!P94:P96)</f>
        <v/>
      </c>
      <c r="X5" s="466">
        <f>SUM('_Engine_R50'!P97:P99)</f>
        <v/>
      </c>
      <c r="Y5" s="466">
        <f>SUM('_Engine_R50'!P100:P102)</f>
        <v/>
      </c>
      <c r="Z5" s="466">
        <f>SUM('_Engine_R50'!P103:P105)</f>
        <v/>
      </c>
      <c r="AA5" s="466">
        <f>SUM('_Engine_R50'!P106:P108)</f>
        <v/>
      </c>
      <c r="AB5" s="466">
        <f>SUM('_Engine_R50'!P109:P111)</f>
        <v/>
      </c>
      <c r="AC5" s="466">
        <f>SUM('_Engine_R50'!P112:P114)</f>
        <v/>
      </c>
      <c r="AD5" s="466">
        <f>SUM('_Engine_R50'!P115:P117)</f>
        <v/>
      </c>
      <c r="AE5" s="466">
        <f>SUM('_Engine_R50'!P118:P120)</f>
        <v/>
      </c>
      <c r="AF5" s="466">
        <f>SUM('_Engine_R50'!P121:P123)</f>
        <v/>
      </c>
      <c r="AG5" s="466">
        <f>SUM('_Engine_R50'!P124:P126)</f>
        <v/>
      </c>
      <c r="AH5" s="466">
        <f>SUM('_Engine_R50'!P127:P129)</f>
        <v/>
      </c>
      <c r="AI5" s="466">
        <f>SUM('_Engine_R50'!P130:P132)</f>
        <v/>
      </c>
      <c r="AJ5" s="466">
        <f>SUM('_Engine_R50'!P133:P135)</f>
        <v/>
      </c>
      <c r="AK5" s="466">
        <f>SUM('_Engine_R50'!P136:P138)</f>
        <v/>
      </c>
      <c r="AL5" s="466">
        <f>SUM('_Engine_R50'!P139:P141)</f>
        <v/>
      </c>
      <c r="AM5" s="466">
        <f>SUM('_Engine_R50'!P142:P144)</f>
        <v/>
      </c>
      <c r="AN5" s="466">
        <f>SUM('_Engine_R50'!P145:P147)</f>
        <v/>
      </c>
      <c r="AO5" s="466">
        <f>SUM('_Engine_R50'!P148:P150)</f>
        <v/>
      </c>
      <c r="AP5" s="466">
        <f>SUM('_Engine_R50'!P151:P153)</f>
        <v/>
      </c>
      <c r="AQ5" s="466">
        <f>SUM('_Engine_R50'!P154:P156)</f>
        <v/>
      </c>
      <c r="AR5" s="466">
        <f>SUM('_Engine_R50'!P157:P159)</f>
        <v/>
      </c>
      <c r="AS5" s="466">
        <f>SUM('_Engine_R50'!P160:P162)</f>
        <v/>
      </c>
      <c r="AT5" s="466">
        <f>SUM('_Engine_R50'!P163:P165)</f>
        <v/>
      </c>
      <c r="AU5" s="466">
        <f>SUM('_Engine_R50'!P166:P168)</f>
        <v/>
      </c>
      <c r="AV5" s="466">
        <f>SUM('_Engine_R50'!P169:P171)</f>
        <v/>
      </c>
      <c r="AW5" s="466">
        <f>SUM('_Engine_R50'!P172:P174)</f>
        <v/>
      </c>
      <c r="AX5" s="466">
        <f>SUM('_Engine_R50'!P175:P177)</f>
        <v/>
      </c>
      <c r="AY5" s="466">
        <f>SUM('_Engine_R50'!P178:P180)</f>
        <v/>
      </c>
      <c r="AZ5" s="466">
        <f>SUM('_Engine_R50'!P181:P183)</f>
        <v/>
      </c>
      <c r="BA5" s="466">
        <f>SUM('_Engine_R50'!P184:P186)</f>
        <v/>
      </c>
      <c r="BB5" s="466">
        <f>SUM('_Engine_R50'!P187:P189)</f>
        <v/>
      </c>
      <c r="BC5" s="466">
        <f>SUM('_Engine_R50'!P190:P192)</f>
        <v/>
      </c>
      <c r="BD5" s="466">
        <f>SUM('_Engine_R50'!P193:P195)</f>
        <v/>
      </c>
      <c r="BE5" s="466">
        <f>SUM('_Engine_R50'!P196:P198)</f>
        <v/>
      </c>
      <c r="BF5" s="466">
        <f>SUM('_Engine_R50'!P199:P201)</f>
        <v/>
      </c>
      <c r="BG5" s="466">
        <f>SUM('_Engine_R50'!P202:P204)</f>
        <v/>
      </c>
      <c r="BH5" s="466">
        <f>SUM('_Engine_R50'!P205:P207)</f>
        <v/>
      </c>
      <c r="BI5" s="466">
        <f>SUM('_Engine_R50'!P208:P210)</f>
        <v/>
      </c>
      <c r="BJ5" s="306" t="n"/>
    </row>
    <row r="6" ht="15" customHeight="1" s="307">
      <c r="A6" s="321" t="inlineStr">
        <is>
          <t xml:space="preserve">    Cost of Goods Sold</t>
        </is>
      </c>
      <c r="B6" s="459">
        <f>SUM('_Engine_R50'!Q31:Q33)</f>
        <v/>
      </c>
      <c r="C6" s="459">
        <f>SUM('_Engine_R50'!Q34:Q36)</f>
        <v/>
      </c>
      <c r="D6" s="459">
        <f>SUM('_Engine_R50'!Q37:Q39)</f>
        <v/>
      </c>
      <c r="E6" s="459">
        <f>SUM('_Engine_R50'!Q40:Q42)</f>
        <v/>
      </c>
      <c r="F6" s="459">
        <f>SUM('_Engine_R50'!Q43:Q45)</f>
        <v/>
      </c>
      <c r="G6" s="459">
        <f>SUM('_Engine_R50'!Q46:Q48)</f>
        <v/>
      </c>
      <c r="H6" s="459">
        <f>SUM('_Engine_R50'!Q49:Q51)</f>
        <v/>
      </c>
      <c r="I6" s="459">
        <f>SUM('_Engine_R50'!Q52:Q54)</f>
        <v/>
      </c>
      <c r="J6" s="459">
        <f>SUM('_Engine_R50'!Q55:Q57)</f>
        <v/>
      </c>
      <c r="K6" s="459">
        <f>SUM('_Engine_R50'!Q58:Q60)</f>
        <v/>
      </c>
      <c r="L6" s="459">
        <f>SUM('_Engine_R50'!Q61:Q63)</f>
        <v/>
      </c>
      <c r="M6" s="459">
        <f>SUM('_Engine_R50'!Q64:Q66)</f>
        <v/>
      </c>
      <c r="N6" s="459">
        <f>SUM('_Engine_R50'!Q67:Q69)</f>
        <v/>
      </c>
      <c r="O6" s="459">
        <f>SUM('_Engine_R50'!Q70:Q72)</f>
        <v/>
      </c>
      <c r="P6" s="459">
        <f>SUM('_Engine_R50'!Q73:Q75)</f>
        <v/>
      </c>
      <c r="Q6" s="459">
        <f>SUM('_Engine_R50'!Q76:Q78)</f>
        <v/>
      </c>
      <c r="R6" s="459">
        <f>SUM('_Engine_R50'!Q79:Q81)</f>
        <v/>
      </c>
      <c r="S6" s="459">
        <f>SUM('_Engine_R50'!Q82:Q84)</f>
        <v/>
      </c>
      <c r="T6" s="459">
        <f>SUM('_Engine_R50'!Q85:Q87)</f>
        <v/>
      </c>
      <c r="U6" s="459">
        <f>SUM('_Engine_R50'!Q88:Q90)</f>
        <v/>
      </c>
      <c r="V6" s="459">
        <f>SUM('_Engine_R50'!Q91:Q93)</f>
        <v/>
      </c>
      <c r="W6" s="459">
        <f>SUM('_Engine_R50'!Q94:Q96)</f>
        <v/>
      </c>
      <c r="X6" s="459">
        <f>SUM('_Engine_R50'!Q97:Q99)</f>
        <v/>
      </c>
      <c r="Y6" s="459">
        <f>SUM('_Engine_R50'!Q100:Q102)</f>
        <v/>
      </c>
      <c r="Z6" s="459">
        <f>SUM('_Engine_R50'!Q103:Q105)</f>
        <v/>
      </c>
      <c r="AA6" s="459">
        <f>SUM('_Engine_R50'!Q106:Q108)</f>
        <v/>
      </c>
      <c r="AB6" s="459">
        <f>SUM('_Engine_R50'!Q109:Q111)</f>
        <v/>
      </c>
      <c r="AC6" s="459">
        <f>SUM('_Engine_R50'!Q112:Q114)</f>
        <v/>
      </c>
      <c r="AD6" s="459">
        <f>SUM('_Engine_R50'!Q115:Q117)</f>
        <v/>
      </c>
      <c r="AE6" s="459">
        <f>SUM('_Engine_R50'!Q118:Q120)</f>
        <v/>
      </c>
      <c r="AF6" s="459">
        <f>SUM('_Engine_R50'!Q121:Q123)</f>
        <v/>
      </c>
      <c r="AG6" s="459">
        <f>SUM('_Engine_R50'!Q124:Q126)</f>
        <v/>
      </c>
      <c r="AH6" s="459">
        <f>SUM('_Engine_R50'!Q127:Q129)</f>
        <v/>
      </c>
      <c r="AI6" s="459">
        <f>SUM('_Engine_R50'!Q130:Q132)</f>
        <v/>
      </c>
      <c r="AJ6" s="459">
        <f>SUM('_Engine_R50'!Q133:Q135)</f>
        <v/>
      </c>
      <c r="AK6" s="459">
        <f>SUM('_Engine_R50'!Q136:Q138)</f>
        <v/>
      </c>
      <c r="AL6" s="459">
        <f>SUM('_Engine_R50'!Q139:Q141)</f>
        <v/>
      </c>
      <c r="AM6" s="459">
        <f>SUM('_Engine_R50'!Q142:Q144)</f>
        <v/>
      </c>
      <c r="AN6" s="459">
        <f>SUM('_Engine_R50'!Q145:Q147)</f>
        <v/>
      </c>
      <c r="AO6" s="459">
        <f>SUM('_Engine_R50'!Q148:Q150)</f>
        <v/>
      </c>
      <c r="AP6" s="459">
        <f>SUM('_Engine_R50'!Q151:Q153)</f>
        <v/>
      </c>
      <c r="AQ6" s="459">
        <f>SUM('_Engine_R50'!Q154:Q156)</f>
        <v/>
      </c>
      <c r="AR6" s="459">
        <f>SUM('_Engine_R50'!Q157:Q159)</f>
        <v/>
      </c>
      <c r="AS6" s="459">
        <f>SUM('_Engine_R50'!Q160:Q162)</f>
        <v/>
      </c>
      <c r="AT6" s="459">
        <f>SUM('_Engine_R50'!Q163:Q165)</f>
        <v/>
      </c>
      <c r="AU6" s="459">
        <f>SUM('_Engine_R50'!Q166:Q168)</f>
        <v/>
      </c>
      <c r="AV6" s="459">
        <f>SUM('_Engine_R50'!Q169:Q171)</f>
        <v/>
      </c>
      <c r="AW6" s="459">
        <f>SUM('_Engine_R50'!Q172:Q174)</f>
        <v/>
      </c>
      <c r="AX6" s="459">
        <f>SUM('_Engine_R50'!Q175:Q177)</f>
        <v/>
      </c>
      <c r="AY6" s="459">
        <f>SUM('_Engine_R50'!Q178:Q180)</f>
        <v/>
      </c>
      <c r="AZ6" s="459">
        <f>SUM('_Engine_R50'!Q181:Q183)</f>
        <v/>
      </c>
      <c r="BA6" s="459">
        <f>SUM('_Engine_R50'!Q184:Q186)</f>
        <v/>
      </c>
      <c r="BB6" s="459">
        <f>SUM('_Engine_R50'!Q187:Q189)</f>
        <v/>
      </c>
      <c r="BC6" s="459">
        <f>SUM('_Engine_R50'!Q190:Q192)</f>
        <v/>
      </c>
      <c r="BD6" s="459">
        <f>SUM('_Engine_R50'!Q193:Q195)</f>
        <v/>
      </c>
      <c r="BE6" s="459">
        <f>SUM('_Engine_R50'!Q196:Q198)</f>
        <v/>
      </c>
      <c r="BF6" s="459">
        <f>SUM('_Engine_R50'!Q199:Q201)</f>
        <v/>
      </c>
      <c r="BG6" s="459">
        <f>SUM('_Engine_R50'!Q202:Q204)</f>
        <v/>
      </c>
      <c r="BH6" s="459">
        <f>SUM('_Engine_R50'!Q205:Q207)</f>
        <v/>
      </c>
      <c r="BI6" s="459">
        <f>SUM('_Engine_R50'!Q208:Q210)</f>
        <v/>
      </c>
      <c r="BJ6" s="306" t="n"/>
    </row>
    <row r="7" ht="15" customHeight="1" s="307">
      <c r="A7" s="468" t="inlineStr">
        <is>
          <t>Gross Profit</t>
        </is>
      </c>
      <c r="B7" s="470">
        <f>B5-B6</f>
        <v/>
      </c>
      <c r="C7" s="470">
        <f>C5-C6</f>
        <v/>
      </c>
      <c r="D7" s="470">
        <f>D5-D6</f>
        <v/>
      </c>
      <c r="E7" s="470">
        <f>E5-E6</f>
        <v/>
      </c>
      <c r="F7" s="470">
        <f>F5-F6</f>
        <v/>
      </c>
      <c r="G7" s="470">
        <f>G5-G6</f>
        <v/>
      </c>
      <c r="H7" s="470">
        <f>H5-H6</f>
        <v/>
      </c>
      <c r="I7" s="470">
        <f>I5-I6</f>
        <v/>
      </c>
      <c r="J7" s="470">
        <f>J5-J6</f>
        <v/>
      </c>
      <c r="K7" s="470">
        <f>K5-K6</f>
        <v/>
      </c>
      <c r="L7" s="470">
        <f>L5-L6</f>
        <v/>
      </c>
      <c r="M7" s="470">
        <f>M5-M6</f>
        <v/>
      </c>
      <c r="N7" s="470">
        <f>N5-N6</f>
        <v/>
      </c>
      <c r="O7" s="470">
        <f>O5-O6</f>
        <v/>
      </c>
      <c r="P7" s="470">
        <f>P5-P6</f>
        <v/>
      </c>
      <c r="Q7" s="470">
        <f>Q5-Q6</f>
        <v/>
      </c>
      <c r="R7" s="470">
        <f>R5-R6</f>
        <v/>
      </c>
      <c r="S7" s="470">
        <f>S5-S6</f>
        <v/>
      </c>
      <c r="T7" s="470">
        <f>T5-T6</f>
        <v/>
      </c>
      <c r="U7" s="470">
        <f>U5-U6</f>
        <v/>
      </c>
      <c r="V7" s="470">
        <f>V5-V6</f>
        <v/>
      </c>
      <c r="W7" s="470">
        <f>W5-W6</f>
        <v/>
      </c>
      <c r="X7" s="470">
        <f>X5-X6</f>
        <v/>
      </c>
      <c r="Y7" s="470">
        <f>Y5-Y6</f>
        <v/>
      </c>
      <c r="Z7" s="470">
        <f>Z5-Z6</f>
        <v/>
      </c>
      <c r="AA7" s="470">
        <f>AA5-AA6</f>
        <v/>
      </c>
      <c r="AB7" s="470">
        <f>AB5-AB6</f>
        <v/>
      </c>
      <c r="AC7" s="470">
        <f>AC5-AC6</f>
        <v/>
      </c>
      <c r="AD7" s="470">
        <f>AD5-AD6</f>
        <v/>
      </c>
      <c r="AE7" s="470">
        <f>AE5-AE6</f>
        <v/>
      </c>
      <c r="AF7" s="470">
        <f>AF5-AF6</f>
        <v/>
      </c>
      <c r="AG7" s="470">
        <f>AG5-AG6</f>
        <v/>
      </c>
      <c r="AH7" s="470">
        <f>AH5-AH6</f>
        <v/>
      </c>
      <c r="AI7" s="470">
        <f>AI5-AI6</f>
        <v/>
      </c>
      <c r="AJ7" s="470">
        <f>AJ5-AJ6</f>
        <v/>
      </c>
      <c r="AK7" s="470">
        <f>AK5-AK6</f>
        <v/>
      </c>
      <c r="AL7" s="470">
        <f>AL5-AL6</f>
        <v/>
      </c>
      <c r="AM7" s="470">
        <f>AM5-AM6</f>
        <v/>
      </c>
      <c r="AN7" s="470">
        <f>AN5-AN6</f>
        <v/>
      </c>
      <c r="AO7" s="470">
        <f>AO5-AO6</f>
        <v/>
      </c>
      <c r="AP7" s="470">
        <f>AP5-AP6</f>
        <v/>
      </c>
      <c r="AQ7" s="470">
        <f>AQ5-AQ6</f>
        <v/>
      </c>
      <c r="AR7" s="470">
        <f>AR5-AR6</f>
        <v/>
      </c>
      <c r="AS7" s="470">
        <f>AS5-AS6</f>
        <v/>
      </c>
      <c r="AT7" s="470">
        <f>AT5-AT6</f>
        <v/>
      </c>
      <c r="AU7" s="470">
        <f>AU5-AU6</f>
        <v/>
      </c>
      <c r="AV7" s="470">
        <f>AV5-AV6</f>
        <v/>
      </c>
      <c r="AW7" s="470">
        <f>AW5-AW6</f>
        <v/>
      </c>
      <c r="AX7" s="470">
        <f>AX5-AX6</f>
        <v/>
      </c>
      <c r="AY7" s="470">
        <f>AY5-AY6</f>
        <v/>
      </c>
      <c r="AZ7" s="470">
        <f>AZ5-AZ6</f>
        <v/>
      </c>
      <c r="BA7" s="470">
        <f>BA5-BA6</f>
        <v/>
      </c>
      <c r="BB7" s="470">
        <f>BB5-BB6</f>
        <v/>
      </c>
      <c r="BC7" s="470">
        <f>BC5-BC6</f>
        <v/>
      </c>
      <c r="BD7" s="470">
        <f>BD5-BD6</f>
        <v/>
      </c>
      <c r="BE7" s="470">
        <f>BE5-BE6</f>
        <v/>
      </c>
      <c r="BF7" s="470">
        <f>BF5-BF6</f>
        <v/>
      </c>
      <c r="BG7" s="470">
        <f>BG5-BG6</f>
        <v/>
      </c>
      <c r="BH7" s="470">
        <f>BH5-BH6</f>
        <v/>
      </c>
      <c r="BI7" s="470">
        <f>BI5-BI6</f>
        <v/>
      </c>
      <c r="BJ7" s="455" t="n"/>
    </row>
    <row r="8" ht="15" customHeight="1" s="307">
      <c r="A8" s="322" t="n"/>
      <c r="B8" s="466" t="n"/>
      <c r="C8" s="466" t="n"/>
      <c r="D8" s="466" t="n"/>
      <c r="E8" s="466" t="n"/>
      <c r="F8" s="466" t="n"/>
      <c r="G8" s="466" t="n"/>
      <c r="H8" s="466" t="n"/>
      <c r="I8" s="466" t="n"/>
      <c r="J8" s="466" t="n"/>
      <c r="K8" s="466" t="n"/>
      <c r="L8" s="466" t="n"/>
      <c r="M8" s="466" t="n"/>
      <c r="N8" s="466" t="n"/>
      <c r="O8" s="466" t="n"/>
      <c r="P8" s="466" t="n"/>
      <c r="Q8" s="466" t="n"/>
      <c r="R8" s="466" t="n"/>
      <c r="S8" s="466" t="n"/>
      <c r="T8" s="466" t="n"/>
      <c r="U8" s="466" t="n"/>
      <c r="V8" s="466" t="n"/>
      <c r="W8" s="466" t="n"/>
      <c r="X8" s="466" t="n"/>
      <c r="Y8" s="466" t="n"/>
      <c r="Z8" s="466" t="n"/>
      <c r="AA8" s="466" t="n"/>
      <c r="AB8" s="466" t="n"/>
      <c r="AC8" s="466" t="n"/>
      <c r="AD8" s="466" t="n"/>
      <c r="AE8" s="466" t="n"/>
      <c r="AF8" s="466" t="n"/>
      <c r="AG8" s="466" t="n"/>
      <c r="AH8" s="466" t="n"/>
      <c r="AI8" s="466" t="n"/>
      <c r="AJ8" s="466" t="n"/>
      <c r="AK8" s="466" t="n"/>
      <c r="AL8" s="466" t="n"/>
      <c r="AM8" s="466" t="n"/>
      <c r="AN8" s="466" t="n"/>
      <c r="AO8" s="466" t="n"/>
      <c r="AP8" s="466" t="n"/>
      <c r="AQ8" s="466" t="n"/>
      <c r="AR8" s="466" t="n"/>
      <c r="AS8" s="466" t="n"/>
      <c r="AT8" s="466" t="n"/>
      <c r="AU8" s="466" t="n"/>
      <c r="AV8" s="466" t="n"/>
      <c r="AW8" s="466" t="n"/>
      <c r="AX8" s="466" t="n"/>
      <c r="AY8" s="466" t="n"/>
      <c r="AZ8" s="466" t="n"/>
      <c r="BA8" s="466" t="n"/>
      <c r="BB8" s="466" t="n"/>
      <c r="BC8" s="466" t="n"/>
      <c r="BD8" s="466" t="n"/>
      <c r="BE8" s="466" t="n"/>
      <c r="BF8" s="466" t="n"/>
      <c r="BG8" s="466" t="n"/>
      <c r="BH8" s="466" t="n"/>
      <c r="BI8" s="466" t="n"/>
      <c r="BJ8" s="306" t="n"/>
    </row>
    <row r="9" ht="15" customHeight="1" s="307">
      <c r="A9" s="321" t="inlineStr">
        <is>
          <t xml:space="preserve">    Vendor Costs</t>
        </is>
      </c>
      <c r="B9" s="459">
        <f>SUM('_Engine_R50'!R31:R33)</f>
        <v/>
      </c>
      <c r="C9" s="459">
        <f>SUM('_Engine_R50'!R34:R36)</f>
        <v/>
      </c>
      <c r="D9" s="459">
        <f>SUM('_Engine_R50'!R37:R39)</f>
        <v/>
      </c>
      <c r="E9" s="459">
        <f>SUM('_Engine_R50'!R40:R42)</f>
        <v/>
      </c>
      <c r="F9" s="459">
        <f>SUM('_Engine_R50'!R43:R45)</f>
        <v/>
      </c>
      <c r="G9" s="459">
        <f>SUM('_Engine_R50'!R46:R48)</f>
        <v/>
      </c>
      <c r="H9" s="459">
        <f>SUM('_Engine_R50'!R49:R51)</f>
        <v/>
      </c>
      <c r="I9" s="459">
        <f>SUM('_Engine_R50'!R52:R54)</f>
        <v/>
      </c>
      <c r="J9" s="459">
        <f>SUM('_Engine_R50'!R55:R57)</f>
        <v/>
      </c>
      <c r="K9" s="459">
        <f>SUM('_Engine_R50'!R58:R60)</f>
        <v/>
      </c>
      <c r="L9" s="459">
        <f>SUM('_Engine_R50'!R61:R63)</f>
        <v/>
      </c>
      <c r="M9" s="459">
        <f>SUM('_Engine_R50'!R64:R66)</f>
        <v/>
      </c>
      <c r="N9" s="459">
        <f>SUM('_Engine_R50'!R67:R69)</f>
        <v/>
      </c>
      <c r="O9" s="459">
        <f>SUM('_Engine_R50'!R70:R72)</f>
        <v/>
      </c>
      <c r="P9" s="459">
        <f>SUM('_Engine_R50'!R73:R75)</f>
        <v/>
      </c>
      <c r="Q9" s="459">
        <f>SUM('_Engine_R50'!R76:R78)</f>
        <v/>
      </c>
      <c r="R9" s="459">
        <f>SUM('_Engine_R50'!R79:R81)</f>
        <v/>
      </c>
      <c r="S9" s="459">
        <f>SUM('_Engine_R50'!R82:R84)</f>
        <v/>
      </c>
      <c r="T9" s="459">
        <f>SUM('_Engine_R50'!R85:R87)</f>
        <v/>
      </c>
      <c r="U9" s="459">
        <f>SUM('_Engine_R50'!R88:R90)</f>
        <v/>
      </c>
      <c r="V9" s="459">
        <f>SUM('_Engine_R50'!R91:R93)</f>
        <v/>
      </c>
      <c r="W9" s="459">
        <f>SUM('_Engine_R50'!R94:R96)</f>
        <v/>
      </c>
      <c r="X9" s="459">
        <f>SUM('_Engine_R50'!R97:R99)</f>
        <v/>
      </c>
      <c r="Y9" s="459">
        <f>SUM('_Engine_R50'!R100:R102)</f>
        <v/>
      </c>
      <c r="Z9" s="459">
        <f>SUM('_Engine_R50'!R103:R105)</f>
        <v/>
      </c>
      <c r="AA9" s="459">
        <f>SUM('_Engine_R50'!R106:R108)</f>
        <v/>
      </c>
      <c r="AB9" s="459">
        <f>SUM('_Engine_R50'!R109:R111)</f>
        <v/>
      </c>
      <c r="AC9" s="459">
        <f>SUM('_Engine_R50'!R112:R114)</f>
        <v/>
      </c>
      <c r="AD9" s="459">
        <f>SUM('_Engine_R50'!R115:R117)</f>
        <v/>
      </c>
      <c r="AE9" s="459">
        <f>SUM('_Engine_R50'!R118:R120)</f>
        <v/>
      </c>
      <c r="AF9" s="459">
        <f>SUM('_Engine_R50'!R121:R123)</f>
        <v/>
      </c>
      <c r="AG9" s="459">
        <f>SUM('_Engine_R50'!R124:R126)</f>
        <v/>
      </c>
      <c r="AH9" s="459">
        <f>SUM('_Engine_R50'!R127:R129)</f>
        <v/>
      </c>
      <c r="AI9" s="459">
        <f>SUM('_Engine_R50'!R130:R132)</f>
        <v/>
      </c>
      <c r="AJ9" s="459">
        <f>SUM('_Engine_R50'!R133:R135)</f>
        <v/>
      </c>
      <c r="AK9" s="459">
        <f>SUM('_Engine_R50'!R136:R138)</f>
        <v/>
      </c>
      <c r="AL9" s="459">
        <f>SUM('_Engine_R50'!R139:R141)</f>
        <v/>
      </c>
      <c r="AM9" s="459">
        <f>SUM('_Engine_R50'!R142:R144)</f>
        <v/>
      </c>
      <c r="AN9" s="459">
        <f>SUM('_Engine_R50'!R145:R147)</f>
        <v/>
      </c>
      <c r="AO9" s="459">
        <f>SUM('_Engine_R50'!R148:R150)</f>
        <v/>
      </c>
      <c r="AP9" s="459">
        <f>SUM('_Engine_R50'!R151:R153)</f>
        <v/>
      </c>
      <c r="AQ9" s="459">
        <f>SUM('_Engine_R50'!R154:R156)</f>
        <v/>
      </c>
      <c r="AR9" s="459">
        <f>SUM('_Engine_R50'!R157:R159)</f>
        <v/>
      </c>
      <c r="AS9" s="459">
        <f>SUM('_Engine_R50'!R160:R162)</f>
        <v/>
      </c>
      <c r="AT9" s="459">
        <f>SUM('_Engine_R50'!R163:R165)</f>
        <v/>
      </c>
      <c r="AU9" s="459">
        <f>SUM('_Engine_R50'!R166:R168)</f>
        <v/>
      </c>
      <c r="AV9" s="459">
        <f>SUM('_Engine_R50'!R169:R171)</f>
        <v/>
      </c>
      <c r="AW9" s="459">
        <f>SUM('_Engine_R50'!R172:R174)</f>
        <v/>
      </c>
      <c r="AX9" s="459">
        <f>SUM('_Engine_R50'!R175:R177)</f>
        <v/>
      </c>
      <c r="AY9" s="459">
        <f>SUM('_Engine_R50'!R178:R180)</f>
        <v/>
      </c>
      <c r="AZ9" s="459">
        <f>SUM('_Engine_R50'!R181:R183)</f>
        <v/>
      </c>
      <c r="BA9" s="459">
        <f>SUM('_Engine_R50'!R184:R186)</f>
        <v/>
      </c>
      <c r="BB9" s="459">
        <f>SUM('_Engine_R50'!R187:R189)</f>
        <v/>
      </c>
      <c r="BC9" s="459">
        <f>SUM('_Engine_R50'!R190:R192)</f>
        <v/>
      </c>
      <c r="BD9" s="459">
        <f>SUM('_Engine_R50'!R193:R195)</f>
        <v/>
      </c>
      <c r="BE9" s="459">
        <f>SUM('_Engine_R50'!R196:R198)</f>
        <v/>
      </c>
      <c r="BF9" s="459">
        <f>SUM('_Engine_R50'!R199:R201)</f>
        <v/>
      </c>
      <c r="BG9" s="459">
        <f>SUM('_Engine_R50'!R202:R204)</f>
        <v/>
      </c>
      <c r="BH9" s="459">
        <f>SUM('_Engine_R50'!R205:R207)</f>
        <v/>
      </c>
      <c r="BI9" s="459">
        <f>SUM('_Engine_R50'!R208:R210)</f>
        <v/>
      </c>
      <c r="BJ9" s="306" t="n"/>
    </row>
    <row r="10" ht="15" customHeight="1" s="307">
      <c r="A10" s="321" t="inlineStr">
        <is>
          <t xml:space="preserve">    Corporate Allocation</t>
        </is>
      </c>
      <c r="B10" s="459">
        <f>SUM('_Engine_R50'!S31:S33)</f>
        <v/>
      </c>
      <c r="C10" s="459">
        <f>SUM('_Engine_R50'!S34:S36)</f>
        <v/>
      </c>
      <c r="D10" s="459">
        <f>SUM('_Engine_R50'!S37:S39)</f>
        <v/>
      </c>
      <c r="E10" s="459">
        <f>SUM('_Engine_R50'!S40:S42)</f>
        <v/>
      </c>
      <c r="F10" s="459">
        <f>SUM('_Engine_R50'!S43:S45)</f>
        <v/>
      </c>
      <c r="G10" s="459">
        <f>SUM('_Engine_R50'!S46:S48)</f>
        <v/>
      </c>
      <c r="H10" s="459">
        <f>SUM('_Engine_R50'!S49:S51)</f>
        <v/>
      </c>
      <c r="I10" s="459">
        <f>SUM('_Engine_R50'!S52:S54)</f>
        <v/>
      </c>
      <c r="J10" s="459">
        <f>SUM('_Engine_R50'!S55:S57)</f>
        <v/>
      </c>
      <c r="K10" s="459">
        <f>SUM('_Engine_R50'!S58:S60)</f>
        <v/>
      </c>
      <c r="L10" s="459">
        <f>SUM('_Engine_R50'!S61:S63)</f>
        <v/>
      </c>
      <c r="M10" s="459">
        <f>SUM('_Engine_R50'!S64:S66)</f>
        <v/>
      </c>
      <c r="N10" s="459">
        <f>SUM('_Engine_R50'!S67:S69)</f>
        <v/>
      </c>
      <c r="O10" s="459">
        <f>SUM('_Engine_R50'!S70:S72)</f>
        <v/>
      </c>
      <c r="P10" s="459">
        <f>SUM('_Engine_R50'!S73:S75)</f>
        <v/>
      </c>
      <c r="Q10" s="459">
        <f>SUM('_Engine_R50'!S76:S78)</f>
        <v/>
      </c>
      <c r="R10" s="459">
        <f>SUM('_Engine_R50'!S79:S81)</f>
        <v/>
      </c>
      <c r="S10" s="459">
        <f>SUM('_Engine_R50'!S82:S84)</f>
        <v/>
      </c>
      <c r="T10" s="459">
        <f>SUM('_Engine_R50'!S85:S87)</f>
        <v/>
      </c>
      <c r="U10" s="459">
        <f>SUM('_Engine_R50'!S88:S90)</f>
        <v/>
      </c>
      <c r="V10" s="459">
        <f>SUM('_Engine_R50'!S91:S93)</f>
        <v/>
      </c>
      <c r="W10" s="459">
        <f>SUM('_Engine_R50'!S94:S96)</f>
        <v/>
      </c>
      <c r="X10" s="459">
        <f>SUM('_Engine_R50'!S97:S99)</f>
        <v/>
      </c>
      <c r="Y10" s="459">
        <f>SUM('_Engine_R50'!S100:S102)</f>
        <v/>
      </c>
      <c r="Z10" s="459">
        <f>SUM('_Engine_R50'!S103:S105)</f>
        <v/>
      </c>
      <c r="AA10" s="459">
        <f>SUM('_Engine_R50'!S106:S108)</f>
        <v/>
      </c>
      <c r="AB10" s="459">
        <f>SUM('_Engine_R50'!S109:S111)</f>
        <v/>
      </c>
      <c r="AC10" s="459">
        <f>SUM('_Engine_R50'!S112:S114)</f>
        <v/>
      </c>
      <c r="AD10" s="459">
        <f>SUM('_Engine_R50'!S115:S117)</f>
        <v/>
      </c>
      <c r="AE10" s="459">
        <f>SUM('_Engine_R50'!S118:S120)</f>
        <v/>
      </c>
      <c r="AF10" s="459">
        <f>SUM('_Engine_R50'!S121:S123)</f>
        <v/>
      </c>
      <c r="AG10" s="459">
        <f>SUM('_Engine_R50'!S124:S126)</f>
        <v/>
      </c>
      <c r="AH10" s="459">
        <f>SUM('_Engine_R50'!S127:S129)</f>
        <v/>
      </c>
      <c r="AI10" s="459">
        <f>SUM('_Engine_R50'!S130:S132)</f>
        <v/>
      </c>
      <c r="AJ10" s="459">
        <f>SUM('_Engine_R50'!S133:S135)</f>
        <v/>
      </c>
      <c r="AK10" s="459">
        <f>SUM('_Engine_R50'!S136:S138)</f>
        <v/>
      </c>
      <c r="AL10" s="459">
        <f>SUM('_Engine_R50'!S139:S141)</f>
        <v/>
      </c>
      <c r="AM10" s="459">
        <f>SUM('_Engine_R50'!S142:S144)</f>
        <v/>
      </c>
      <c r="AN10" s="459">
        <f>SUM('_Engine_R50'!S145:S147)</f>
        <v/>
      </c>
      <c r="AO10" s="459">
        <f>SUM('_Engine_R50'!S148:S150)</f>
        <v/>
      </c>
      <c r="AP10" s="459">
        <f>SUM('_Engine_R50'!S151:S153)</f>
        <v/>
      </c>
      <c r="AQ10" s="459">
        <f>SUM('_Engine_R50'!S154:S156)</f>
        <v/>
      </c>
      <c r="AR10" s="459">
        <f>SUM('_Engine_R50'!S157:S159)</f>
        <v/>
      </c>
      <c r="AS10" s="459">
        <f>SUM('_Engine_R50'!S160:S162)</f>
        <v/>
      </c>
      <c r="AT10" s="459">
        <f>SUM('_Engine_R50'!S163:S165)</f>
        <v/>
      </c>
      <c r="AU10" s="459">
        <f>SUM('_Engine_R50'!S166:S168)</f>
        <v/>
      </c>
      <c r="AV10" s="459">
        <f>SUM('_Engine_R50'!S169:S171)</f>
        <v/>
      </c>
      <c r="AW10" s="459">
        <f>SUM('_Engine_R50'!S172:S174)</f>
        <v/>
      </c>
      <c r="AX10" s="459">
        <f>SUM('_Engine_R50'!S175:S177)</f>
        <v/>
      </c>
      <c r="AY10" s="459">
        <f>SUM('_Engine_R50'!S178:S180)</f>
        <v/>
      </c>
      <c r="AZ10" s="459">
        <f>SUM('_Engine_R50'!S181:S183)</f>
        <v/>
      </c>
      <c r="BA10" s="459">
        <f>SUM('_Engine_R50'!S184:S186)</f>
        <v/>
      </c>
      <c r="BB10" s="459">
        <f>SUM('_Engine_R50'!S187:S189)</f>
        <v/>
      </c>
      <c r="BC10" s="459">
        <f>SUM('_Engine_R50'!S190:S192)</f>
        <v/>
      </c>
      <c r="BD10" s="459">
        <f>SUM('_Engine_R50'!S193:S195)</f>
        <v/>
      </c>
      <c r="BE10" s="459">
        <f>SUM('_Engine_R50'!S196:S198)</f>
        <v/>
      </c>
      <c r="BF10" s="459">
        <f>SUM('_Engine_R50'!S199:S201)</f>
        <v/>
      </c>
      <c r="BG10" s="459">
        <f>SUM('_Engine_R50'!S202:S204)</f>
        <v/>
      </c>
      <c r="BH10" s="459">
        <f>SUM('_Engine_R50'!S205:S207)</f>
        <v/>
      </c>
      <c r="BI10" s="459">
        <f>SUM('_Engine_R50'!S208:S210)</f>
        <v/>
      </c>
      <c r="BJ10" s="306" t="n"/>
    </row>
    <row r="11" ht="15" customHeight="1" s="307">
      <c r="A11" s="321" t="inlineStr">
        <is>
          <t xml:space="preserve">    Team Compensation</t>
        </is>
      </c>
      <c r="B11" s="459">
        <f>SUM('_Engine_R50'!D31:D33)</f>
        <v/>
      </c>
      <c r="C11" s="459">
        <f>SUM('_Engine_R50'!D34:D36)</f>
        <v/>
      </c>
      <c r="D11" s="459">
        <f>SUM('_Engine_R50'!D37:D39)</f>
        <v/>
      </c>
      <c r="E11" s="459">
        <f>SUM('_Engine_R50'!D40:D42)</f>
        <v/>
      </c>
      <c r="F11" s="459">
        <f>SUM('_Engine_R50'!D43:D45)</f>
        <v/>
      </c>
      <c r="G11" s="459">
        <f>SUM('_Engine_R50'!D46:D48)</f>
        <v/>
      </c>
      <c r="H11" s="459">
        <f>SUM('_Engine_R50'!D49:D51)</f>
        <v/>
      </c>
      <c r="I11" s="459">
        <f>SUM('_Engine_R50'!D52:D54)</f>
        <v/>
      </c>
      <c r="J11" s="459">
        <f>SUM('_Engine_R50'!D55:D57)</f>
        <v/>
      </c>
      <c r="K11" s="459">
        <f>SUM('_Engine_R50'!D58:D60)</f>
        <v/>
      </c>
      <c r="L11" s="459">
        <f>SUM('_Engine_R50'!D61:D63)</f>
        <v/>
      </c>
      <c r="M11" s="459">
        <f>SUM('_Engine_R50'!D64:D66)</f>
        <v/>
      </c>
      <c r="N11" s="459">
        <f>SUM('_Engine_R50'!D67:D69)</f>
        <v/>
      </c>
      <c r="O11" s="459">
        <f>SUM('_Engine_R50'!D70:D72)</f>
        <v/>
      </c>
      <c r="P11" s="459">
        <f>SUM('_Engine_R50'!D73:D75)</f>
        <v/>
      </c>
      <c r="Q11" s="459">
        <f>SUM('_Engine_R50'!D76:D78)</f>
        <v/>
      </c>
      <c r="R11" s="459">
        <f>SUM('_Engine_R50'!D79:D81)</f>
        <v/>
      </c>
      <c r="S11" s="459">
        <f>SUM('_Engine_R50'!D82:D84)</f>
        <v/>
      </c>
      <c r="T11" s="459">
        <f>SUM('_Engine_R50'!D85:D87)</f>
        <v/>
      </c>
      <c r="U11" s="459">
        <f>SUM('_Engine_R50'!D88:D90)</f>
        <v/>
      </c>
      <c r="V11" s="459">
        <f>SUM('_Engine_R50'!D91:D93)</f>
        <v/>
      </c>
      <c r="W11" s="459">
        <f>SUM('_Engine_R50'!D94:D96)</f>
        <v/>
      </c>
      <c r="X11" s="459">
        <f>SUM('_Engine_R50'!D97:D99)</f>
        <v/>
      </c>
      <c r="Y11" s="459">
        <f>SUM('_Engine_R50'!D100:D102)</f>
        <v/>
      </c>
      <c r="Z11" s="459">
        <f>SUM('_Engine_R50'!D103:D105)</f>
        <v/>
      </c>
      <c r="AA11" s="459">
        <f>SUM('_Engine_R50'!D106:D108)</f>
        <v/>
      </c>
      <c r="AB11" s="459">
        <f>SUM('_Engine_R50'!D109:D111)</f>
        <v/>
      </c>
      <c r="AC11" s="459">
        <f>SUM('_Engine_R50'!D112:D114)</f>
        <v/>
      </c>
      <c r="AD11" s="459">
        <f>SUM('_Engine_R50'!D115:D117)</f>
        <v/>
      </c>
      <c r="AE11" s="459">
        <f>SUM('_Engine_R50'!D118:D120)</f>
        <v/>
      </c>
      <c r="AF11" s="459">
        <f>SUM('_Engine_R50'!D121:D123)</f>
        <v/>
      </c>
      <c r="AG11" s="459">
        <f>SUM('_Engine_R50'!D124:D126)</f>
        <v/>
      </c>
      <c r="AH11" s="459">
        <f>SUM('_Engine_R50'!D127:D129)</f>
        <v/>
      </c>
      <c r="AI11" s="459">
        <f>SUM('_Engine_R50'!D130:D132)</f>
        <v/>
      </c>
      <c r="AJ11" s="459">
        <f>SUM('_Engine_R50'!D133:D135)</f>
        <v/>
      </c>
      <c r="AK11" s="459">
        <f>SUM('_Engine_R50'!D136:D138)</f>
        <v/>
      </c>
      <c r="AL11" s="459">
        <f>SUM('_Engine_R50'!D139:D141)</f>
        <v/>
      </c>
      <c r="AM11" s="459">
        <f>SUM('_Engine_R50'!D142:D144)</f>
        <v/>
      </c>
      <c r="AN11" s="459">
        <f>SUM('_Engine_R50'!D145:D147)</f>
        <v/>
      </c>
      <c r="AO11" s="459">
        <f>SUM('_Engine_R50'!D148:D150)</f>
        <v/>
      </c>
      <c r="AP11" s="459">
        <f>SUM('_Engine_R50'!D151:D153)</f>
        <v/>
      </c>
      <c r="AQ11" s="459">
        <f>SUM('_Engine_R50'!D154:D156)</f>
        <v/>
      </c>
      <c r="AR11" s="459">
        <f>SUM('_Engine_R50'!D157:D159)</f>
        <v/>
      </c>
      <c r="AS11" s="459">
        <f>SUM('_Engine_R50'!D160:D162)</f>
        <v/>
      </c>
      <c r="AT11" s="459">
        <f>SUM('_Engine_R50'!D163:D165)</f>
        <v/>
      </c>
      <c r="AU11" s="459">
        <f>SUM('_Engine_R50'!D166:D168)</f>
        <v/>
      </c>
      <c r="AV11" s="459">
        <f>SUM('_Engine_R50'!D169:D171)</f>
        <v/>
      </c>
      <c r="AW11" s="459">
        <f>SUM('_Engine_R50'!D172:D174)</f>
        <v/>
      </c>
      <c r="AX11" s="459">
        <f>SUM('_Engine_R50'!D175:D177)</f>
        <v/>
      </c>
      <c r="AY11" s="459">
        <f>SUM('_Engine_R50'!D178:D180)</f>
        <v/>
      </c>
      <c r="AZ11" s="459">
        <f>SUM('_Engine_R50'!D181:D183)</f>
        <v/>
      </c>
      <c r="BA11" s="459">
        <f>SUM('_Engine_R50'!D184:D186)</f>
        <v/>
      </c>
      <c r="BB11" s="459">
        <f>SUM('_Engine_R50'!D187:D189)</f>
        <v/>
      </c>
      <c r="BC11" s="459">
        <f>SUM('_Engine_R50'!D190:D192)</f>
        <v/>
      </c>
      <c r="BD11" s="459">
        <f>SUM('_Engine_R50'!D193:D195)</f>
        <v/>
      </c>
      <c r="BE11" s="459">
        <f>SUM('_Engine_R50'!D196:D198)</f>
        <v/>
      </c>
      <c r="BF11" s="459">
        <f>SUM('_Engine_R50'!D199:D201)</f>
        <v/>
      </c>
      <c r="BG11" s="459">
        <f>SUM('_Engine_R50'!D202:D204)</f>
        <v/>
      </c>
      <c r="BH11" s="459">
        <f>SUM('_Engine_R50'!D205:D207)</f>
        <v/>
      </c>
      <c r="BI11" s="459">
        <f>SUM('_Engine_R50'!D208:D210)</f>
        <v/>
      </c>
      <c r="BJ11" s="306" t="n"/>
    </row>
    <row r="12" ht="15" customHeight="1" s="307">
      <c r="A12" s="321" t="inlineStr">
        <is>
          <t xml:space="preserve">    Legacy Headcount</t>
        </is>
      </c>
      <c r="B12" s="459">
        <f>SUM('_Engine_R50'!E31:E33)</f>
        <v/>
      </c>
      <c r="C12" s="459">
        <f>SUM('_Engine_R50'!E34:E36)</f>
        <v/>
      </c>
      <c r="D12" s="459">
        <f>SUM('_Engine_R50'!E37:E39)</f>
        <v/>
      </c>
      <c r="E12" s="459">
        <f>SUM('_Engine_R50'!E40:E42)</f>
        <v/>
      </c>
      <c r="F12" s="459">
        <f>SUM('_Engine_R50'!E43:E45)</f>
        <v/>
      </c>
      <c r="G12" s="459">
        <f>SUM('_Engine_R50'!E46:E48)</f>
        <v/>
      </c>
      <c r="H12" s="459">
        <f>SUM('_Engine_R50'!E49:E51)</f>
        <v/>
      </c>
      <c r="I12" s="459">
        <f>SUM('_Engine_R50'!E52:E54)</f>
        <v/>
      </c>
      <c r="J12" s="459">
        <f>SUM('_Engine_R50'!E55:E57)</f>
        <v/>
      </c>
      <c r="K12" s="459">
        <f>SUM('_Engine_R50'!E58:E60)</f>
        <v/>
      </c>
      <c r="L12" s="459">
        <f>SUM('_Engine_R50'!E61:E63)</f>
        <v/>
      </c>
      <c r="M12" s="459">
        <f>SUM('_Engine_R50'!E64:E66)</f>
        <v/>
      </c>
      <c r="N12" s="459">
        <f>SUM('_Engine_R50'!E67:E69)</f>
        <v/>
      </c>
      <c r="O12" s="459">
        <f>SUM('_Engine_R50'!E70:E72)</f>
        <v/>
      </c>
      <c r="P12" s="459">
        <f>SUM('_Engine_R50'!E73:E75)</f>
        <v/>
      </c>
      <c r="Q12" s="459">
        <f>SUM('_Engine_R50'!E76:E78)</f>
        <v/>
      </c>
      <c r="R12" s="459">
        <f>SUM('_Engine_R50'!E79:E81)</f>
        <v/>
      </c>
      <c r="S12" s="459">
        <f>SUM('_Engine_R50'!E82:E84)</f>
        <v/>
      </c>
      <c r="T12" s="459">
        <f>SUM('_Engine_R50'!E85:E87)</f>
        <v/>
      </c>
      <c r="U12" s="459">
        <f>SUM('_Engine_R50'!E88:E90)</f>
        <v/>
      </c>
      <c r="V12" s="459">
        <f>SUM('_Engine_R50'!E91:E93)</f>
        <v/>
      </c>
      <c r="W12" s="459">
        <f>SUM('_Engine_R50'!E94:E96)</f>
        <v/>
      </c>
      <c r="X12" s="459">
        <f>SUM('_Engine_R50'!E97:E99)</f>
        <v/>
      </c>
      <c r="Y12" s="459">
        <f>SUM('_Engine_R50'!E100:E102)</f>
        <v/>
      </c>
      <c r="Z12" s="459">
        <f>SUM('_Engine_R50'!E103:E105)</f>
        <v/>
      </c>
      <c r="AA12" s="459">
        <f>SUM('_Engine_R50'!E106:E108)</f>
        <v/>
      </c>
      <c r="AB12" s="459">
        <f>SUM('_Engine_R50'!E109:E111)</f>
        <v/>
      </c>
      <c r="AC12" s="459">
        <f>SUM('_Engine_R50'!E112:E114)</f>
        <v/>
      </c>
      <c r="AD12" s="459">
        <f>SUM('_Engine_R50'!E115:E117)</f>
        <v/>
      </c>
      <c r="AE12" s="459">
        <f>SUM('_Engine_R50'!E118:E120)</f>
        <v/>
      </c>
      <c r="AF12" s="459">
        <f>SUM('_Engine_R50'!E121:E123)</f>
        <v/>
      </c>
      <c r="AG12" s="459">
        <f>SUM('_Engine_R50'!E124:E126)</f>
        <v/>
      </c>
      <c r="AH12" s="459">
        <f>SUM('_Engine_R50'!E127:E129)</f>
        <v/>
      </c>
      <c r="AI12" s="459">
        <f>SUM('_Engine_R50'!E130:E132)</f>
        <v/>
      </c>
      <c r="AJ12" s="459">
        <f>SUM('_Engine_R50'!E133:E135)</f>
        <v/>
      </c>
      <c r="AK12" s="459">
        <f>SUM('_Engine_R50'!E136:E138)</f>
        <v/>
      </c>
      <c r="AL12" s="459">
        <f>SUM('_Engine_R50'!E139:E141)</f>
        <v/>
      </c>
      <c r="AM12" s="459">
        <f>SUM('_Engine_R50'!E142:E144)</f>
        <v/>
      </c>
      <c r="AN12" s="459">
        <f>SUM('_Engine_R50'!E145:E147)</f>
        <v/>
      </c>
      <c r="AO12" s="459">
        <f>SUM('_Engine_R50'!E148:E150)</f>
        <v/>
      </c>
      <c r="AP12" s="459">
        <f>SUM('_Engine_R50'!E151:E153)</f>
        <v/>
      </c>
      <c r="AQ12" s="459">
        <f>SUM('_Engine_R50'!E154:E156)</f>
        <v/>
      </c>
      <c r="AR12" s="459">
        <f>SUM('_Engine_R50'!E157:E159)</f>
        <v/>
      </c>
      <c r="AS12" s="459">
        <f>SUM('_Engine_R50'!E160:E162)</f>
        <v/>
      </c>
      <c r="AT12" s="459">
        <f>SUM('_Engine_R50'!E163:E165)</f>
        <v/>
      </c>
      <c r="AU12" s="459">
        <f>SUM('_Engine_R50'!E166:E168)</f>
        <v/>
      </c>
      <c r="AV12" s="459">
        <f>SUM('_Engine_R50'!E169:E171)</f>
        <v/>
      </c>
      <c r="AW12" s="459">
        <f>SUM('_Engine_R50'!E172:E174)</f>
        <v/>
      </c>
      <c r="AX12" s="459">
        <f>SUM('_Engine_R50'!E175:E177)</f>
        <v/>
      </c>
      <c r="AY12" s="459">
        <f>SUM('_Engine_R50'!E178:E180)</f>
        <v/>
      </c>
      <c r="AZ12" s="459">
        <f>SUM('_Engine_R50'!E181:E183)</f>
        <v/>
      </c>
      <c r="BA12" s="459">
        <f>SUM('_Engine_R50'!E184:E186)</f>
        <v/>
      </c>
      <c r="BB12" s="459">
        <f>SUM('_Engine_R50'!E187:E189)</f>
        <v/>
      </c>
      <c r="BC12" s="459">
        <f>SUM('_Engine_R50'!E190:E192)</f>
        <v/>
      </c>
      <c r="BD12" s="459">
        <f>SUM('_Engine_R50'!E193:E195)</f>
        <v/>
      </c>
      <c r="BE12" s="459">
        <f>SUM('_Engine_R50'!E196:E198)</f>
        <v/>
      </c>
      <c r="BF12" s="459">
        <f>SUM('_Engine_R50'!E199:E201)</f>
        <v/>
      </c>
      <c r="BG12" s="459">
        <f>SUM('_Engine_R50'!E202:E204)</f>
        <v/>
      </c>
      <c r="BH12" s="459">
        <f>SUM('_Engine_R50'!E205:E207)</f>
        <v/>
      </c>
      <c r="BI12" s="459">
        <f>SUM('_Engine_R50'!E208:E210)</f>
        <v/>
      </c>
      <c r="BJ12" s="306" t="n"/>
    </row>
    <row r="13" ht="15" customHeight="1" s="307">
      <c r="A13" s="321" t="inlineStr">
        <is>
          <t xml:space="preserve">    Bonus Pool</t>
        </is>
      </c>
      <c r="B13" s="459">
        <f>SUM('_Engine_R50'!U31:U33)</f>
        <v/>
      </c>
      <c r="C13" s="459">
        <f>SUM('_Engine_R50'!U34:U36)</f>
        <v/>
      </c>
      <c r="D13" s="459">
        <f>SUM('_Engine_R50'!U37:U39)</f>
        <v/>
      </c>
      <c r="E13" s="459">
        <f>SUM('_Engine_R50'!U40:U42)</f>
        <v/>
      </c>
      <c r="F13" s="459">
        <f>SUM('_Engine_R50'!U43:U45)</f>
        <v/>
      </c>
      <c r="G13" s="459">
        <f>SUM('_Engine_R50'!U46:U48)</f>
        <v/>
      </c>
      <c r="H13" s="459">
        <f>SUM('_Engine_R50'!U49:U51)</f>
        <v/>
      </c>
      <c r="I13" s="459">
        <f>SUM('_Engine_R50'!U52:U54)</f>
        <v/>
      </c>
      <c r="J13" s="459">
        <f>SUM('_Engine_R50'!U55:U57)</f>
        <v/>
      </c>
      <c r="K13" s="459">
        <f>SUM('_Engine_R50'!U58:U60)</f>
        <v/>
      </c>
      <c r="L13" s="459">
        <f>SUM('_Engine_R50'!U61:U63)</f>
        <v/>
      </c>
      <c r="M13" s="459">
        <f>SUM('_Engine_R50'!U64:U66)</f>
        <v/>
      </c>
      <c r="N13" s="459">
        <f>SUM('_Engine_R50'!U67:U69)</f>
        <v/>
      </c>
      <c r="O13" s="459">
        <f>SUM('_Engine_R50'!U70:U72)</f>
        <v/>
      </c>
      <c r="P13" s="459">
        <f>SUM('_Engine_R50'!U73:U75)</f>
        <v/>
      </c>
      <c r="Q13" s="459">
        <f>SUM('_Engine_R50'!U76:U78)</f>
        <v/>
      </c>
      <c r="R13" s="459">
        <f>SUM('_Engine_R50'!U79:U81)</f>
        <v/>
      </c>
      <c r="S13" s="459">
        <f>SUM('_Engine_R50'!U82:U84)</f>
        <v/>
      </c>
      <c r="T13" s="459">
        <f>SUM('_Engine_R50'!U85:U87)</f>
        <v/>
      </c>
      <c r="U13" s="459">
        <f>SUM('_Engine_R50'!U88:U90)</f>
        <v/>
      </c>
      <c r="V13" s="459">
        <f>SUM('_Engine_R50'!U91:U93)</f>
        <v/>
      </c>
      <c r="W13" s="459">
        <f>SUM('_Engine_R50'!U94:U96)</f>
        <v/>
      </c>
      <c r="X13" s="459">
        <f>SUM('_Engine_R50'!U97:U99)</f>
        <v/>
      </c>
      <c r="Y13" s="459">
        <f>SUM('_Engine_R50'!U100:U102)</f>
        <v/>
      </c>
      <c r="Z13" s="459">
        <f>SUM('_Engine_R50'!U103:U105)</f>
        <v/>
      </c>
      <c r="AA13" s="459">
        <f>SUM('_Engine_R50'!U106:U108)</f>
        <v/>
      </c>
      <c r="AB13" s="459">
        <f>SUM('_Engine_R50'!U109:U111)</f>
        <v/>
      </c>
      <c r="AC13" s="459">
        <f>SUM('_Engine_R50'!U112:U114)</f>
        <v/>
      </c>
      <c r="AD13" s="459">
        <f>SUM('_Engine_R50'!U115:U117)</f>
        <v/>
      </c>
      <c r="AE13" s="459">
        <f>SUM('_Engine_R50'!U118:U120)</f>
        <v/>
      </c>
      <c r="AF13" s="459">
        <f>SUM('_Engine_R50'!U121:U123)</f>
        <v/>
      </c>
      <c r="AG13" s="459">
        <f>SUM('_Engine_R50'!U124:U126)</f>
        <v/>
      </c>
      <c r="AH13" s="459">
        <f>SUM('_Engine_R50'!U127:U129)</f>
        <v/>
      </c>
      <c r="AI13" s="459">
        <f>SUM('_Engine_R50'!U130:U132)</f>
        <v/>
      </c>
      <c r="AJ13" s="459">
        <f>SUM('_Engine_R50'!U133:U135)</f>
        <v/>
      </c>
      <c r="AK13" s="459">
        <f>SUM('_Engine_R50'!U136:U138)</f>
        <v/>
      </c>
      <c r="AL13" s="459">
        <f>SUM('_Engine_R50'!U139:U141)</f>
        <v/>
      </c>
      <c r="AM13" s="459">
        <f>SUM('_Engine_R50'!U142:U144)</f>
        <v/>
      </c>
      <c r="AN13" s="459">
        <f>SUM('_Engine_R50'!U145:U147)</f>
        <v/>
      </c>
      <c r="AO13" s="459">
        <f>SUM('_Engine_R50'!U148:U150)</f>
        <v/>
      </c>
      <c r="AP13" s="459">
        <f>SUM('_Engine_R50'!U151:U153)</f>
        <v/>
      </c>
      <c r="AQ13" s="459">
        <f>SUM('_Engine_R50'!U154:U156)</f>
        <v/>
      </c>
      <c r="AR13" s="459">
        <f>SUM('_Engine_R50'!U157:U159)</f>
        <v/>
      </c>
      <c r="AS13" s="459">
        <f>SUM('_Engine_R50'!U160:U162)</f>
        <v/>
      </c>
      <c r="AT13" s="459">
        <f>SUM('_Engine_R50'!U163:U165)</f>
        <v/>
      </c>
      <c r="AU13" s="459">
        <f>SUM('_Engine_R50'!U166:U168)</f>
        <v/>
      </c>
      <c r="AV13" s="459">
        <f>SUM('_Engine_R50'!U169:U171)</f>
        <v/>
      </c>
      <c r="AW13" s="459">
        <f>SUM('_Engine_R50'!U172:U174)</f>
        <v/>
      </c>
      <c r="AX13" s="459">
        <f>SUM('_Engine_R50'!U175:U177)</f>
        <v/>
      </c>
      <c r="AY13" s="459">
        <f>SUM('_Engine_R50'!U178:U180)</f>
        <v/>
      </c>
      <c r="AZ13" s="459">
        <f>SUM('_Engine_R50'!U181:U183)</f>
        <v/>
      </c>
      <c r="BA13" s="459">
        <f>SUM('_Engine_R50'!U184:U186)</f>
        <v/>
      </c>
      <c r="BB13" s="459">
        <f>SUM('_Engine_R50'!U187:U189)</f>
        <v/>
      </c>
      <c r="BC13" s="459">
        <f>SUM('_Engine_R50'!U190:U192)</f>
        <v/>
      </c>
      <c r="BD13" s="459">
        <f>SUM('_Engine_R50'!U193:U195)</f>
        <v/>
      </c>
      <c r="BE13" s="459">
        <f>SUM('_Engine_R50'!U196:U198)</f>
        <v/>
      </c>
      <c r="BF13" s="459">
        <f>SUM('_Engine_R50'!U199:U201)</f>
        <v/>
      </c>
      <c r="BG13" s="459">
        <f>SUM('_Engine_R50'!U202:U204)</f>
        <v/>
      </c>
      <c r="BH13" s="459">
        <f>SUM('_Engine_R50'!U205:U207)</f>
        <v/>
      </c>
      <c r="BI13" s="459">
        <f>SUM('_Engine_R50'!U208:U210)</f>
        <v/>
      </c>
      <c r="BJ13" s="306" t="n"/>
    </row>
    <row r="14" ht="15" customHeight="1" s="307">
      <c r="A14" s="460" t="inlineStr">
        <is>
          <t>Total OpEx</t>
        </is>
      </c>
      <c r="B14" s="462">
        <f>B9+B10+B11+B12+B13+B6</f>
        <v/>
      </c>
      <c r="C14" s="462">
        <f>C9+C10+C11+C12+C13+C6</f>
        <v/>
      </c>
      <c r="D14" s="462">
        <f>D9+D10+D11+D12+D13+D6</f>
        <v/>
      </c>
      <c r="E14" s="462">
        <f>E9+E10+E11+E12+E13+E6</f>
        <v/>
      </c>
      <c r="F14" s="462">
        <f>F9+F10+F11+F12+F13+F6</f>
        <v/>
      </c>
      <c r="G14" s="462">
        <f>G9+G10+G11+G12+G13+G6</f>
        <v/>
      </c>
      <c r="H14" s="462">
        <f>H9+H10+H11+H12+H13+H6</f>
        <v/>
      </c>
      <c r="I14" s="462">
        <f>I9+I10+I11+I12+I13+I6</f>
        <v/>
      </c>
      <c r="J14" s="462">
        <f>J9+J10+J11+J12+J13+J6</f>
        <v/>
      </c>
      <c r="K14" s="462">
        <f>K9+K10+K11+K12+K13+K6</f>
        <v/>
      </c>
      <c r="L14" s="462">
        <f>L9+L10+L11+L12+L13+L6</f>
        <v/>
      </c>
      <c r="M14" s="462">
        <f>M9+M10+M11+M12+M13+M6</f>
        <v/>
      </c>
      <c r="N14" s="462">
        <f>N9+N10+N11+N12+N13+N6</f>
        <v/>
      </c>
      <c r="O14" s="462">
        <f>O9+O10+O11+O12+O13+O6</f>
        <v/>
      </c>
      <c r="P14" s="462">
        <f>P9+P10+P11+P12+P13+P6</f>
        <v/>
      </c>
      <c r="Q14" s="462">
        <f>Q9+Q10+Q11+Q12+Q13+Q6</f>
        <v/>
      </c>
      <c r="R14" s="462">
        <f>R9+R10+R11+R12+R13+R6</f>
        <v/>
      </c>
      <c r="S14" s="462">
        <f>S9+S10+S11+S12+S13+S6</f>
        <v/>
      </c>
      <c r="T14" s="462">
        <f>T9+T10+T11+T12+T13+T6</f>
        <v/>
      </c>
      <c r="U14" s="462">
        <f>U9+U10+U11+U12+U13+U6</f>
        <v/>
      </c>
      <c r="V14" s="462">
        <f>V9+V10+V11+V12+V13+V6</f>
        <v/>
      </c>
      <c r="W14" s="462">
        <f>W9+W10+W11+W12+W13+W6</f>
        <v/>
      </c>
      <c r="X14" s="462">
        <f>X9+X10+X11+X12+X13+X6</f>
        <v/>
      </c>
      <c r="Y14" s="462">
        <f>Y9+Y10+Y11+Y12+Y13+Y6</f>
        <v/>
      </c>
      <c r="Z14" s="462">
        <f>Z9+Z10+Z11+Z12+Z13+Z6</f>
        <v/>
      </c>
      <c r="AA14" s="462">
        <f>AA9+AA10+AA11+AA12+AA13+AA6</f>
        <v/>
      </c>
      <c r="AB14" s="462">
        <f>AB9+AB10+AB11+AB12+AB13+AB6</f>
        <v/>
      </c>
      <c r="AC14" s="462">
        <f>AC9+AC10+AC11+AC12+AC13+AC6</f>
        <v/>
      </c>
      <c r="AD14" s="462">
        <f>AD9+AD10+AD11+AD12+AD13+AD6</f>
        <v/>
      </c>
      <c r="AE14" s="462">
        <f>AE9+AE10+AE11+AE12+AE13+AE6</f>
        <v/>
      </c>
      <c r="AF14" s="462">
        <f>AF9+AF10+AF11+AF12+AF13+AF6</f>
        <v/>
      </c>
      <c r="AG14" s="462">
        <f>AG9+AG10+AG11+AG12+AG13+AG6</f>
        <v/>
      </c>
      <c r="AH14" s="462">
        <f>AH9+AH10+AH11+AH12+AH13+AH6</f>
        <v/>
      </c>
      <c r="AI14" s="462">
        <f>AI9+AI10+AI11+AI12+AI13+AI6</f>
        <v/>
      </c>
      <c r="AJ14" s="462">
        <f>AJ9+AJ10+AJ11+AJ12+AJ13+AJ6</f>
        <v/>
      </c>
      <c r="AK14" s="462">
        <f>AK9+AK10+AK11+AK12+AK13+AK6</f>
        <v/>
      </c>
      <c r="AL14" s="462">
        <f>AL9+AL10+AL11+AL12+AL13+AL6</f>
        <v/>
      </c>
      <c r="AM14" s="462">
        <f>AM9+AM10+AM11+AM12+AM13+AM6</f>
        <v/>
      </c>
      <c r="AN14" s="462">
        <f>AN9+AN10+AN11+AN12+AN13+AN6</f>
        <v/>
      </c>
      <c r="AO14" s="462">
        <f>AO9+AO10+AO11+AO12+AO13+AO6</f>
        <v/>
      </c>
      <c r="AP14" s="462">
        <f>AP9+AP10+AP11+AP12+AP13+AP6</f>
        <v/>
      </c>
      <c r="AQ14" s="462">
        <f>AQ9+AQ10+AQ11+AQ12+AQ13+AQ6</f>
        <v/>
      </c>
      <c r="AR14" s="462">
        <f>AR9+AR10+AR11+AR12+AR13+AR6</f>
        <v/>
      </c>
      <c r="AS14" s="462">
        <f>AS9+AS10+AS11+AS12+AS13+AS6</f>
        <v/>
      </c>
      <c r="AT14" s="462">
        <f>AT9+AT10+AT11+AT12+AT13+AT6</f>
        <v/>
      </c>
      <c r="AU14" s="462">
        <f>AU9+AU10+AU11+AU12+AU13+AU6</f>
        <v/>
      </c>
      <c r="AV14" s="462">
        <f>AV9+AV10+AV11+AV12+AV13+AV6</f>
        <v/>
      </c>
      <c r="AW14" s="462">
        <f>AW9+AW10+AW11+AW12+AW13+AW6</f>
        <v/>
      </c>
      <c r="AX14" s="462">
        <f>AX9+AX10+AX11+AX12+AX13+AX6</f>
        <v/>
      </c>
      <c r="AY14" s="462">
        <f>AY9+AY10+AY11+AY12+AY13+AY6</f>
        <v/>
      </c>
      <c r="AZ14" s="462">
        <f>AZ9+AZ10+AZ11+AZ12+AZ13+AZ6</f>
        <v/>
      </c>
      <c r="BA14" s="462">
        <f>BA9+BA10+BA11+BA12+BA13+BA6</f>
        <v/>
      </c>
      <c r="BB14" s="462">
        <f>BB9+BB10+BB11+BB12+BB13+BB6</f>
        <v/>
      </c>
      <c r="BC14" s="462">
        <f>BC9+BC10+BC11+BC12+BC13+BC6</f>
        <v/>
      </c>
      <c r="BD14" s="462">
        <f>BD9+BD10+BD11+BD12+BD13+BD6</f>
        <v/>
      </c>
      <c r="BE14" s="462">
        <f>BE9+BE10+BE11+BE12+BE13+BE6</f>
        <v/>
      </c>
      <c r="BF14" s="462">
        <f>BF9+BF10+BF11+BF12+BF13+BF6</f>
        <v/>
      </c>
      <c r="BG14" s="462">
        <f>BG9+BG10+BG11+BG12+BG13+BG6</f>
        <v/>
      </c>
      <c r="BH14" s="462">
        <f>BH9+BH10+BH11+BH12+BH13+BH6</f>
        <v/>
      </c>
      <c r="BI14" s="462">
        <f>BI9+BI10+BI11+BI12+BI13+BI6</f>
        <v/>
      </c>
      <c r="BJ14" s="463" t="n"/>
    </row>
    <row r="15" ht="15" customHeight="1" s="307">
      <c r="A15" s="322" t="n"/>
      <c r="B15" s="466" t="n"/>
      <c r="C15" s="466" t="n"/>
      <c r="D15" s="466" t="n"/>
      <c r="E15" s="466" t="n"/>
      <c r="F15" s="466" t="n"/>
      <c r="G15" s="466" t="n"/>
      <c r="H15" s="466" t="n"/>
      <c r="I15" s="466" t="n"/>
      <c r="J15" s="466" t="n"/>
      <c r="K15" s="466" t="n"/>
      <c r="L15" s="466" t="n"/>
      <c r="M15" s="466" t="n"/>
      <c r="N15" s="466" t="n"/>
      <c r="O15" s="466" t="n"/>
      <c r="P15" s="466" t="n"/>
      <c r="Q15" s="466" t="n"/>
      <c r="R15" s="466" t="n"/>
      <c r="S15" s="466" t="n"/>
      <c r="T15" s="466" t="n"/>
      <c r="U15" s="466" t="n"/>
      <c r="V15" s="466" t="n"/>
      <c r="W15" s="466" t="n"/>
      <c r="X15" s="466" t="n"/>
      <c r="Y15" s="466" t="n"/>
      <c r="Z15" s="466" t="n"/>
      <c r="AA15" s="466" t="n"/>
      <c r="AB15" s="466" t="n"/>
      <c r="AC15" s="466" t="n"/>
      <c r="AD15" s="466" t="n"/>
      <c r="AE15" s="466" t="n"/>
      <c r="AF15" s="466" t="n"/>
      <c r="AG15" s="466" t="n"/>
      <c r="AH15" s="466" t="n"/>
      <c r="AI15" s="466" t="n"/>
      <c r="AJ15" s="466" t="n"/>
      <c r="AK15" s="466" t="n"/>
      <c r="AL15" s="466" t="n"/>
      <c r="AM15" s="466" t="n"/>
      <c r="AN15" s="466" t="n"/>
      <c r="AO15" s="466" t="n"/>
      <c r="AP15" s="466" t="n"/>
      <c r="AQ15" s="466" t="n"/>
      <c r="AR15" s="466" t="n"/>
      <c r="AS15" s="466" t="n"/>
      <c r="AT15" s="466" t="n"/>
      <c r="AU15" s="466" t="n"/>
      <c r="AV15" s="466" t="n"/>
      <c r="AW15" s="466" t="n"/>
      <c r="AX15" s="466" t="n"/>
      <c r="AY15" s="466" t="n"/>
      <c r="AZ15" s="466" t="n"/>
      <c r="BA15" s="466" t="n"/>
      <c r="BB15" s="466" t="n"/>
      <c r="BC15" s="466" t="n"/>
      <c r="BD15" s="466" t="n"/>
      <c r="BE15" s="466" t="n"/>
      <c r="BF15" s="466" t="n"/>
      <c r="BG15" s="466" t="n"/>
      <c r="BH15" s="466" t="n"/>
      <c r="BI15" s="466" t="n"/>
      <c r="BJ15" s="306" t="n"/>
    </row>
    <row r="16" ht="15" customHeight="1" s="307">
      <c r="A16" s="322" t="inlineStr">
        <is>
          <t>EBITDA</t>
        </is>
      </c>
      <c r="B16" s="466">
        <f>SUM('_Engine_R50'!V31:V33)</f>
        <v/>
      </c>
      <c r="C16" s="466">
        <f>SUM('_Engine_R50'!V34:V36)</f>
        <v/>
      </c>
      <c r="D16" s="466">
        <f>SUM('_Engine_R50'!V37:V39)</f>
        <v/>
      </c>
      <c r="E16" s="466">
        <f>SUM('_Engine_R50'!V40:V42)</f>
        <v/>
      </c>
      <c r="F16" s="466">
        <f>SUM('_Engine_R50'!V43:V45)</f>
        <v/>
      </c>
      <c r="G16" s="466">
        <f>SUM('_Engine_R50'!V46:V48)</f>
        <v/>
      </c>
      <c r="H16" s="466">
        <f>SUM('_Engine_R50'!V49:V51)</f>
        <v/>
      </c>
      <c r="I16" s="466">
        <f>SUM('_Engine_R50'!V52:V54)</f>
        <v/>
      </c>
      <c r="J16" s="466">
        <f>SUM('_Engine_R50'!V55:V57)</f>
        <v/>
      </c>
      <c r="K16" s="466">
        <f>SUM('_Engine_R50'!V58:V60)</f>
        <v/>
      </c>
      <c r="L16" s="466">
        <f>SUM('_Engine_R50'!V61:V63)</f>
        <v/>
      </c>
      <c r="M16" s="466">
        <f>SUM('_Engine_R50'!V64:V66)</f>
        <v/>
      </c>
      <c r="N16" s="466">
        <f>SUM('_Engine_R50'!V67:V69)</f>
        <v/>
      </c>
      <c r="O16" s="466">
        <f>SUM('_Engine_R50'!V70:V72)</f>
        <v/>
      </c>
      <c r="P16" s="466">
        <f>SUM('_Engine_R50'!V73:V75)</f>
        <v/>
      </c>
      <c r="Q16" s="466">
        <f>SUM('_Engine_R50'!V76:V78)</f>
        <v/>
      </c>
      <c r="R16" s="466">
        <f>SUM('_Engine_R50'!V79:V81)</f>
        <v/>
      </c>
      <c r="S16" s="466">
        <f>SUM('_Engine_R50'!V82:V84)</f>
        <v/>
      </c>
      <c r="T16" s="466">
        <f>SUM('_Engine_R50'!V85:V87)</f>
        <v/>
      </c>
      <c r="U16" s="466">
        <f>SUM('_Engine_R50'!V88:V90)</f>
        <v/>
      </c>
      <c r="V16" s="466">
        <f>SUM('_Engine_R50'!V91:V93)</f>
        <v/>
      </c>
      <c r="W16" s="466">
        <f>SUM('_Engine_R50'!V94:V96)</f>
        <v/>
      </c>
      <c r="X16" s="466">
        <f>SUM('_Engine_R50'!V97:V99)</f>
        <v/>
      </c>
      <c r="Y16" s="466">
        <f>SUM('_Engine_R50'!V100:V102)</f>
        <v/>
      </c>
      <c r="Z16" s="466">
        <f>SUM('_Engine_R50'!V103:V105)</f>
        <v/>
      </c>
      <c r="AA16" s="466">
        <f>SUM('_Engine_R50'!V106:V108)</f>
        <v/>
      </c>
      <c r="AB16" s="466">
        <f>SUM('_Engine_R50'!V109:V111)</f>
        <v/>
      </c>
      <c r="AC16" s="466">
        <f>SUM('_Engine_R50'!V112:V114)</f>
        <v/>
      </c>
      <c r="AD16" s="466">
        <f>SUM('_Engine_R50'!V115:V117)</f>
        <v/>
      </c>
      <c r="AE16" s="466">
        <f>SUM('_Engine_R50'!V118:V120)</f>
        <v/>
      </c>
      <c r="AF16" s="466">
        <f>SUM('_Engine_R50'!V121:V123)</f>
        <v/>
      </c>
      <c r="AG16" s="466">
        <f>SUM('_Engine_R50'!V124:V126)</f>
        <v/>
      </c>
      <c r="AH16" s="466">
        <f>SUM('_Engine_R50'!V127:V129)</f>
        <v/>
      </c>
      <c r="AI16" s="466">
        <f>SUM('_Engine_R50'!V130:V132)</f>
        <v/>
      </c>
      <c r="AJ16" s="466">
        <f>SUM('_Engine_R50'!V133:V135)</f>
        <v/>
      </c>
      <c r="AK16" s="466">
        <f>SUM('_Engine_R50'!V136:V138)</f>
        <v/>
      </c>
      <c r="AL16" s="466">
        <f>SUM('_Engine_R50'!V139:V141)</f>
        <v/>
      </c>
      <c r="AM16" s="466">
        <f>SUM('_Engine_R50'!V142:V144)</f>
        <v/>
      </c>
      <c r="AN16" s="466">
        <f>SUM('_Engine_R50'!V145:V147)</f>
        <v/>
      </c>
      <c r="AO16" s="466">
        <f>SUM('_Engine_R50'!V148:V150)</f>
        <v/>
      </c>
      <c r="AP16" s="466">
        <f>SUM('_Engine_R50'!V151:V153)</f>
        <v/>
      </c>
      <c r="AQ16" s="466">
        <f>SUM('_Engine_R50'!V154:V156)</f>
        <v/>
      </c>
      <c r="AR16" s="466">
        <f>SUM('_Engine_R50'!V157:V159)</f>
        <v/>
      </c>
      <c r="AS16" s="466">
        <f>SUM('_Engine_R50'!V160:V162)</f>
        <v/>
      </c>
      <c r="AT16" s="466">
        <f>SUM('_Engine_R50'!V163:V165)</f>
        <v/>
      </c>
      <c r="AU16" s="466">
        <f>SUM('_Engine_R50'!V166:V168)</f>
        <v/>
      </c>
      <c r="AV16" s="466">
        <f>SUM('_Engine_R50'!V169:V171)</f>
        <v/>
      </c>
      <c r="AW16" s="466">
        <f>SUM('_Engine_R50'!V172:V174)</f>
        <v/>
      </c>
      <c r="AX16" s="466">
        <f>SUM('_Engine_R50'!V175:V177)</f>
        <v/>
      </c>
      <c r="AY16" s="466">
        <f>SUM('_Engine_R50'!V178:V180)</f>
        <v/>
      </c>
      <c r="AZ16" s="466">
        <f>SUM('_Engine_R50'!V181:V183)</f>
        <v/>
      </c>
      <c r="BA16" s="466">
        <f>SUM('_Engine_R50'!V184:V186)</f>
        <v/>
      </c>
      <c r="BB16" s="466">
        <f>SUM('_Engine_R50'!V187:V189)</f>
        <v/>
      </c>
      <c r="BC16" s="466">
        <f>SUM('_Engine_R50'!V190:V192)</f>
        <v/>
      </c>
      <c r="BD16" s="466">
        <f>SUM('_Engine_R50'!V193:V195)</f>
        <v/>
      </c>
      <c r="BE16" s="466">
        <f>SUM('_Engine_R50'!V196:V198)</f>
        <v/>
      </c>
      <c r="BF16" s="466">
        <f>SUM('_Engine_R50'!V199:V201)</f>
        <v/>
      </c>
      <c r="BG16" s="466">
        <f>SUM('_Engine_R50'!V202:V204)</f>
        <v/>
      </c>
      <c r="BH16" s="466">
        <f>SUM('_Engine_R50'!V205:V207)</f>
        <v/>
      </c>
      <c r="BI16" s="466">
        <f>SUM('_Engine_R50'!V208:V210)</f>
        <v/>
      </c>
      <c r="BJ16" s="306" t="n"/>
    </row>
    <row r="17" ht="15" customHeight="1" s="307">
      <c r="A17" s="321" t="inlineStr">
        <is>
          <t xml:space="preserve">    Severance</t>
        </is>
      </c>
      <c r="B17" s="459">
        <f>SUM('_Engine_R50'!W31:W33)</f>
        <v/>
      </c>
      <c r="C17" s="459">
        <f>SUM('_Engine_R50'!W34:W36)</f>
        <v/>
      </c>
      <c r="D17" s="459">
        <f>SUM('_Engine_R50'!W37:W39)</f>
        <v/>
      </c>
      <c r="E17" s="459">
        <f>SUM('_Engine_R50'!W40:W42)</f>
        <v/>
      </c>
      <c r="F17" s="459">
        <f>SUM('_Engine_R50'!W43:W45)</f>
        <v/>
      </c>
      <c r="G17" s="459">
        <f>SUM('_Engine_R50'!W46:W48)</f>
        <v/>
      </c>
      <c r="H17" s="459">
        <f>SUM('_Engine_R50'!W49:W51)</f>
        <v/>
      </c>
      <c r="I17" s="459">
        <f>SUM('_Engine_R50'!W52:W54)</f>
        <v/>
      </c>
      <c r="J17" s="459">
        <f>SUM('_Engine_R50'!W55:W57)</f>
        <v/>
      </c>
      <c r="K17" s="459">
        <f>SUM('_Engine_R50'!W58:W60)</f>
        <v/>
      </c>
      <c r="L17" s="459">
        <f>SUM('_Engine_R50'!W61:W63)</f>
        <v/>
      </c>
      <c r="M17" s="459">
        <f>SUM('_Engine_R50'!W64:W66)</f>
        <v/>
      </c>
      <c r="N17" s="459">
        <f>SUM('_Engine_R50'!W67:W69)</f>
        <v/>
      </c>
      <c r="O17" s="459">
        <f>SUM('_Engine_R50'!W70:W72)</f>
        <v/>
      </c>
      <c r="P17" s="459">
        <f>SUM('_Engine_R50'!W73:W75)</f>
        <v/>
      </c>
      <c r="Q17" s="459">
        <f>SUM('_Engine_R50'!W76:W78)</f>
        <v/>
      </c>
      <c r="R17" s="459">
        <f>SUM('_Engine_R50'!W79:W81)</f>
        <v/>
      </c>
      <c r="S17" s="459">
        <f>SUM('_Engine_R50'!W82:W84)</f>
        <v/>
      </c>
      <c r="T17" s="459">
        <f>SUM('_Engine_R50'!W85:W87)</f>
        <v/>
      </c>
      <c r="U17" s="459">
        <f>SUM('_Engine_R50'!W88:W90)</f>
        <v/>
      </c>
      <c r="V17" s="459">
        <f>SUM('_Engine_R50'!W91:W93)</f>
        <v/>
      </c>
      <c r="W17" s="459">
        <f>SUM('_Engine_R50'!W94:W96)</f>
        <v/>
      </c>
      <c r="X17" s="459">
        <f>SUM('_Engine_R50'!W97:W99)</f>
        <v/>
      </c>
      <c r="Y17" s="459">
        <f>SUM('_Engine_R50'!W100:W102)</f>
        <v/>
      </c>
      <c r="Z17" s="459">
        <f>SUM('_Engine_R50'!W103:W105)</f>
        <v/>
      </c>
      <c r="AA17" s="459">
        <f>SUM('_Engine_R50'!W106:W108)</f>
        <v/>
      </c>
      <c r="AB17" s="459">
        <f>SUM('_Engine_R50'!W109:W111)</f>
        <v/>
      </c>
      <c r="AC17" s="459">
        <f>SUM('_Engine_R50'!W112:W114)</f>
        <v/>
      </c>
      <c r="AD17" s="459">
        <f>SUM('_Engine_R50'!W115:W117)</f>
        <v/>
      </c>
      <c r="AE17" s="459">
        <f>SUM('_Engine_R50'!W118:W120)</f>
        <v/>
      </c>
      <c r="AF17" s="459">
        <f>SUM('_Engine_R50'!W121:W123)</f>
        <v/>
      </c>
      <c r="AG17" s="459">
        <f>SUM('_Engine_R50'!W124:W126)</f>
        <v/>
      </c>
      <c r="AH17" s="459">
        <f>SUM('_Engine_R50'!W127:W129)</f>
        <v/>
      </c>
      <c r="AI17" s="459">
        <f>SUM('_Engine_R50'!W130:W132)</f>
        <v/>
      </c>
      <c r="AJ17" s="459">
        <f>SUM('_Engine_R50'!W133:W135)</f>
        <v/>
      </c>
      <c r="AK17" s="459">
        <f>SUM('_Engine_R50'!W136:W138)</f>
        <v/>
      </c>
      <c r="AL17" s="459">
        <f>SUM('_Engine_R50'!W139:W141)</f>
        <v/>
      </c>
      <c r="AM17" s="459">
        <f>SUM('_Engine_R50'!W142:W144)</f>
        <v/>
      </c>
      <c r="AN17" s="459">
        <f>SUM('_Engine_R50'!W145:W147)</f>
        <v/>
      </c>
      <c r="AO17" s="459">
        <f>SUM('_Engine_R50'!W148:W150)</f>
        <v/>
      </c>
      <c r="AP17" s="459">
        <f>SUM('_Engine_R50'!W151:W153)</f>
        <v/>
      </c>
      <c r="AQ17" s="459">
        <f>SUM('_Engine_R50'!W154:W156)</f>
        <v/>
      </c>
      <c r="AR17" s="459">
        <f>SUM('_Engine_R50'!W157:W159)</f>
        <v/>
      </c>
      <c r="AS17" s="459">
        <f>SUM('_Engine_R50'!W160:W162)</f>
        <v/>
      </c>
      <c r="AT17" s="459">
        <f>SUM('_Engine_R50'!W163:W165)</f>
        <v/>
      </c>
      <c r="AU17" s="459">
        <f>SUM('_Engine_R50'!W166:W168)</f>
        <v/>
      </c>
      <c r="AV17" s="459">
        <f>SUM('_Engine_R50'!W169:W171)</f>
        <v/>
      </c>
      <c r="AW17" s="459">
        <f>SUM('_Engine_R50'!W172:W174)</f>
        <v/>
      </c>
      <c r="AX17" s="459">
        <f>SUM('_Engine_R50'!W175:W177)</f>
        <v/>
      </c>
      <c r="AY17" s="459">
        <f>SUM('_Engine_R50'!W178:W180)</f>
        <v/>
      </c>
      <c r="AZ17" s="459">
        <f>SUM('_Engine_R50'!W181:W183)</f>
        <v/>
      </c>
      <c r="BA17" s="459">
        <f>SUM('_Engine_R50'!W184:W186)</f>
        <v/>
      </c>
      <c r="BB17" s="459">
        <f>SUM('_Engine_R50'!W187:W189)</f>
        <v/>
      </c>
      <c r="BC17" s="459">
        <f>SUM('_Engine_R50'!W190:W192)</f>
        <v/>
      </c>
      <c r="BD17" s="459">
        <f>SUM('_Engine_R50'!W193:W195)</f>
        <v/>
      </c>
      <c r="BE17" s="459">
        <f>SUM('_Engine_R50'!W196:W198)</f>
        <v/>
      </c>
      <c r="BF17" s="459">
        <f>SUM('_Engine_R50'!W199:W201)</f>
        <v/>
      </c>
      <c r="BG17" s="459">
        <f>SUM('_Engine_R50'!W202:W204)</f>
        <v/>
      </c>
      <c r="BH17" s="459">
        <f>SUM('_Engine_R50'!W205:W207)</f>
        <v/>
      </c>
      <c r="BI17" s="459">
        <f>SUM('_Engine_R50'!W208:W210)</f>
        <v/>
      </c>
      <c r="BJ17" s="306" t="n"/>
    </row>
    <row r="18" ht="15" customHeight="1" s="307">
      <c r="A18" s="468" t="inlineStr">
        <is>
          <t>Operating Income</t>
        </is>
      </c>
      <c r="B18" s="470">
        <f>B16-B17</f>
        <v/>
      </c>
      <c r="C18" s="470">
        <f>C16-C17</f>
        <v/>
      </c>
      <c r="D18" s="470">
        <f>D16-D17</f>
        <v/>
      </c>
      <c r="E18" s="470">
        <f>E16-E17</f>
        <v/>
      </c>
      <c r="F18" s="470">
        <f>F16-F17</f>
        <v/>
      </c>
      <c r="G18" s="470">
        <f>G16-G17</f>
        <v/>
      </c>
      <c r="H18" s="470">
        <f>H16-H17</f>
        <v/>
      </c>
      <c r="I18" s="470">
        <f>I16-I17</f>
        <v/>
      </c>
      <c r="J18" s="470">
        <f>J16-J17</f>
        <v/>
      </c>
      <c r="K18" s="470">
        <f>K16-K17</f>
        <v/>
      </c>
      <c r="L18" s="470">
        <f>L16-L17</f>
        <v/>
      </c>
      <c r="M18" s="470">
        <f>M16-M17</f>
        <v/>
      </c>
      <c r="N18" s="470">
        <f>N16-N17</f>
        <v/>
      </c>
      <c r="O18" s="470">
        <f>O16-O17</f>
        <v/>
      </c>
      <c r="P18" s="470">
        <f>P16-P17</f>
        <v/>
      </c>
      <c r="Q18" s="470">
        <f>Q16-Q17</f>
        <v/>
      </c>
      <c r="R18" s="470">
        <f>R16-R17</f>
        <v/>
      </c>
      <c r="S18" s="470">
        <f>S16-S17</f>
        <v/>
      </c>
      <c r="T18" s="470">
        <f>T16-T17</f>
        <v/>
      </c>
      <c r="U18" s="470">
        <f>U16-U17</f>
        <v/>
      </c>
      <c r="V18" s="470">
        <f>V16-V17</f>
        <v/>
      </c>
      <c r="W18" s="470">
        <f>W16-W17</f>
        <v/>
      </c>
      <c r="X18" s="470">
        <f>X16-X17</f>
        <v/>
      </c>
      <c r="Y18" s="470">
        <f>Y16-Y17</f>
        <v/>
      </c>
      <c r="Z18" s="470">
        <f>Z16-Z17</f>
        <v/>
      </c>
      <c r="AA18" s="470">
        <f>AA16-AA17</f>
        <v/>
      </c>
      <c r="AB18" s="470">
        <f>AB16-AB17</f>
        <v/>
      </c>
      <c r="AC18" s="470">
        <f>AC16-AC17</f>
        <v/>
      </c>
      <c r="AD18" s="470">
        <f>AD16-AD17</f>
        <v/>
      </c>
      <c r="AE18" s="470">
        <f>AE16-AE17</f>
        <v/>
      </c>
      <c r="AF18" s="470">
        <f>AF16-AF17</f>
        <v/>
      </c>
      <c r="AG18" s="470">
        <f>AG16-AG17</f>
        <v/>
      </c>
      <c r="AH18" s="470">
        <f>AH16-AH17</f>
        <v/>
      </c>
      <c r="AI18" s="470">
        <f>AI16-AI17</f>
        <v/>
      </c>
      <c r="AJ18" s="470">
        <f>AJ16-AJ17</f>
        <v/>
      </c>
      <c r="AK18" s="470">
        <f>AK16-AK17</f>
        <v/>
      </c>
      <c r="AL18" s="470">
        <f>AL16-AL17</f>
        <v/>
      </c>
      <c r="AM18" s="470">
        <f>AM16-AM17</f>
        <v/>
      </c>
      <c r="AN18" s="470">
        <f>AN16-AN17</f>
        <v/>
      </c>
      <c r="AO18" s="470">
        <f>AO16-AO17</f>
        <v/>
      </c>
      <c r="AP18" s="470">
        <f>AP16-AP17</f>
        <v/>
      </c>
      <c r="AQ18" s="470">
        <f>AQ16-AQ17</f>
        <v/>
      </c>
      <c r="AR18" s="470">
        <f>AR16-AR17</f>
        <v/>
      </c>
      <c r="AS18" s="470">
        <f>AS16-AS17</f>
        <v/>
      </c>
      <c r="AT18" s="470">
        <f>AT16-AT17</f>
        <v/>
      </c>
      <c r="AU18" s="470">
        <f>AU16-AU17</f>
        <v/>
      </c>
      <c r="AV18" s="470">
        <f>AV16-AV17</f>
        <v/>
      </c>
      <c r="AW18" s="470">
        <f>AW16-AW17</f>
        <v/>
      </c>
      <c r="AX18" s="470">
        <f>AX16-AX17</f>
        <v/>
      </c>
      <c r="AY18" s="470">
        <f>AY16-AY17</f>
        <v/>
      </c>
      <c r="AZ18" s="470">
        <f>AZ16-AZ17</f>
        <v/>
      </c>
      <c r="BA18" s="470">
        <f>BA16-BA17</f>
        <v/>
      </c>
      <c r="BB18" s="470">
        <f>BB16-BB17</f>
        <v/>
      </c>
      <c r="BC18" s="470">
        <f>BC16-BC17</f>
        <v/>
      </c>
      <c r="BD18" s="470">
        <f>BD16-BD17</f>
        <v/>
      </c>
      <c r="BE18" s="470">
        <f>BE16-BE17</f>
        <v/>
      </c>
      <c r="BF18" s="470">
        <f>BF16-BF17</f>
        <v/>
      </c>
      <c r="BG18" s="470">
        <f>BG16-BG17</f>
        <v/>
      </c>
      <c r="BH18" s="470">
        <f>BH16-BH17</f>
        <v/>
      </c>
      <c r="BI18" s="470">
        <f>BI16-BI17</f>
        <v/>
      </c>
      <c r="BJ18" s="455" t="n"/>
    </row>
    <row r="19" ht="15" customHeight="1" s="307">
      <c r="A19" s="321" t="n"/>
      <c r="B19" s="327" t="n"/>
      <c r="C19" s="327" t="n"/>
      <c r="D19" s="327" t="n"/>
      <c r="E19" s="327" t="n"/>
      <c r="F19" s="327" t="n"/>
      <c r="G19" s="327" t="n"/>
      <c r="H19" s="327" t="n"/>
      <c r="I19" s="327" t="n"/>
      <c r="J19" s="327" t="n"/>
      <c r="K19" s="327" t="n"/>
      <c r="L19" s="327" t="n"/>
      <c r="M19" s="327" t="n"/>
      <c r="N19" s="327" t="n"/>
      <c r="O19" s="327" t="n"/>
      <c r="P19" s="327" t="n"/>
      <c r="Q19" s="327" t="n"/>
      <c r="R19" s="327" t="n"/>
      <c r="S19" s="327" t="n"/>
      <c r="T19" s="327" t="n"/>
      <c r="U19" s="327" t="n"/>
      <c r="V19" s="327" t="n"/>
      <c r="W19" s="327" t="n"/>
      <c r="X19" s="327" t="n"/>
      <c r="Y19" s="327" t="n"/>
      <c r="Z19" s="327" t="n"/>
      <c r="AA19" s="327" t="n"/>
      <c r="AB19" s="327" t="n"/>
      <c r="AC19" s="327" t="n"/>
      <c r="AD19" s="327" t="n"/>
      <c r="AE19" s="327" t="n"/>
      <c r="AF19" s="327" t="n"/>
      <c r="AG19" s="327" t="n"/>
      <c r="AH19" s="327" t="n"/>
      <c r="AI19" s="327" t="n"/>
      <c r="AJ19" s="327" t="n"/>
      <c r="AK19" s="327" t="n"/>
      <c r="AL19" s="327" t="n"/>
      <c r="AM19" s="327" t="n"/>
      <c r="AN19" s="327" t="n"/>
      <c r="AO19" s="327" t="n"/>
      <c r="AP19" s="327" t="n"/>
      <c r="AQ19" s="327" t="n"/>
      <c r="AR19" s="327" t="n"/>
      <c r="AS19" s="327" t="n"/>
      <c r="AT19" s="327" t="n"/>
      <c r="AU19" s="327" t="n"/>
      <c r="AV19" s="327" t="n"/>
      <c r="AW19" s="327" t="n"/>
      <c r="AX19" s="327" t="n"/>
      <c r="AY19" s="327" t="n"/>
      <c r="AZ19" s="327" t="n"/>
      <c r="BA19" s="327" t="n"/>
      <c r="BB19" s="327" t="n"/>
      <c r="BC19" s="327" t="n"/>
      <c r="BD19" s="327" t="n"/>
      <c r="BE19" s="327" t="n"/>
      <c r="BF19" s="327" t="n"/>
      <c r="BG19" s="327" t="n"/>
      <c r="BH19" s="327" t="n"/>
      <c r="BI19" s="327" t="n"/>
      <c r="BJ19" s="306" t="n"/>
    </row>
    <row r="20" ht="15" customHeight="1" s="307">
      <c r="A20" s="321" t="inlineStr">
        <is>
          <t xml:space="preserve">    Management Fee</t>
        </is>
      </c>
      <c r="B20" s="459">
        <f>SUM('_Engine_R50'!C31:C33)</f>
        <v/>
      </c>
      <c r="C20" s="459">
        <f>SUM('_Engine_R50'!C34:C36)</f>
        <v/>
      </c>
      <c r="D20" s="459">
        <f>SUM('_Engine_R50'!C37:C39)</f>
        <v/>
      </c>
      <c r="E20" s="459">
        <f>SUM('_Engine_R50'!C40:C42)</f>
        <v/>
      </c>
      <c r="F20" s="459">
        <f>SUM('_Engine_R50'!C43:C45)</f>
        <v/>
      </c>
      <c r="G20" s="459">
        <f>SUM('_Engine_R50'!C46:C48)</f>
        <v/>
      </c>
      <c r="H20" s="459">
        <f>SUM('_Engine_R50'!C49:C51)</f>
        <v/>
      </c>
      <c r="I20" s="459">
        <f>SUM('_Engine_R50'!C52:C54)</f>
        <v/>
      </c>
      <c r="J20" s="459">
        <f>SUM('_Engine_R50'!C55:C57)</f>
        <v/>
      </c>
      <c r="K20" s="459">
        <f>SUM('_Engine_R50'!C58:C60)</f>
        <v/>
      </c>
      <c r="L20" s="459">
        <f>SUM('_Engine_R50'!C61:C63)</f>
        <v/>
      </c>
      <c r="M20" s="459">
        <f>SUM('_Engine_R50'!C64:C66)</f>
        <v/>
      </c>
      <c r="N20" s="459">
        <f>SUM('_Engine_R50'!C67:C69)</f>
        <v/>
      </c>
      <c r="O20" s="459">
        <f>SUM('_Engine_R50'!C70:C72)</f>
        <v/>
      </c>
      <c r="P20" s="459">
        <f>SUM('_Engine_R50'!C73:C75)</f>
        <v/>
      </c>
      <c r="Q20" s="459">
        <f>SUM('_Engine_R50'!C76:C78)</f>
        <v/>
      </c>
      <c r="R20" s="459">
        <f>SUM('_Engine_R50'!C79:C81)</f>
        <v/>
      </c>
      <c r="S20" s="459">
        <f>SUM('_Engine_R50'!C82:C84)</f>
        <v/>
      </c>
      <c r="T20" s="459">
        <f>SUM('_Engine_R50'!C85:C87)</f>
        <v/>
      </c>
      <c r="U20" s="459">
        <f>SUM('_Engine_R50'!C88:C90)</f>
        <v/>
      </c>
      <c r="V20" s="459">
        <f>SUM('_Engine_R50'!C91:C93)</f>
        <v/>
      </c>
      <c r="W20" s="459">
        <f>SUM('_Engine_R50'!C94:C96)</f>
        <v/>
      </c>
      <c r="X20" s="459">
        <f>SUM('_Engine_R50'!C97:C99)</f>
        <v/>
      </c>
      <c r="Y20" s="459">
        <f>SUM('_Engine_R50'!C100:C102)</f>
        <v/>
      </c>
      <c r="Z20" s="459">
        <f>SUM('_Engine_R50'!C103:C105)</f>
        <v/>
      </c>
      <c r="AA20" s="459">
        <f>SUM('_Engine_R50'!C106:C108)</f>
        <v/>
      </c>
      <c r="AB20" s="459">
        <f>SUM('_Engine_R50'!C109:C111)</f>
        <v/>
      </c>
      <c r="AC20" s="459">
        <f>SUM('_Engine_R50'!C112:C114)</f>
        <v/>
      </c>
      <c r="AD20" s="459">
        <f>SUM('_Engine_R50'!C115:C117)</f>
        <v/>
      </c>
      <c r="AE20" s="459">
        <f>SUM('_Engine_R50'!C118:C120)</f>
        <v/>
      </c>
      <c r="AF20" s="459">
        <f>SUM('_Engine_R50'!C121:C123)</f>
        <v/>
      </c>
      <c r="AG20" s="459">
        <f>SUM('_Engine_R50'!C124:C126)</f>
        <v/>
      </c>
      <c r="AH20" s="459">
        <f>SUM('_Engine_R50'!C127:C129)</f>
        <v/>
      </c>
      <c r="AI20" s="459">
        <f>SUM('_Engine_R50'!C130:C132)</f>
        <v/>
      </c>
      <c r="AJ20" s="459">
        <f>SUM('_Engine_R50'!C133:C135)</f>
        <v/>
      </c>
      <c r="AK20" s="459">
        <f>SUM('_Engine_R50'!C136:C138)</f>
        <v/>
      </c>
      <c r="AL20" s="459">
        <f>SUM('_Engine_R50'!C139:C141)</f>
        <v/>
      </c>
      <c r="AM20" s="459">
        <f>SUM('_Engine_R50'!C142:C144)</f>
        <v/>
      </c>
      <c r="AN20" s="459">
        <f>SUM('_Engine_R50'!C145:C147)</f>
        <v/>
      </c>
      <c r="AO20" s="459">
        <f>SUM('_Engine_R50'!C148:C150)</f>
        <v/>
      </c>
      <c r="AP20" s="459">
        <f>SUM('_Engine_R50'!C151:C153)</f>
        <v/>
      </c>
      <c r="AQ20" s="459">
        <f>SUM('_Engine_R50'!C154:C156)</f>
        <v/>
      </c>
      <c r="AR20" s="459">
        <f>SUM('_Engine_R50'!C157:C159)</f>
        <v/>
      </c>
      <c r="AS20" s="459">
        <f>SUM('_Engine_R50'!C160:C162)</f>
        <v/>
      </c>
      <c r="AT20" s="459">
        <f>SUM('_Engine_R50'!C163:C165)</f>
        <v/>
      </c>
      <c r="AU20" s="459">
        <f>SUM('_Engine_R50'!C166:C168)</f>
        <v/>
      </c>
      <c r="AV20" s="459">
        <f>SUM('_Engine_R50'!C169:C171)</f>
        <v/>
      </c>
      <c r="AW20" s="459">
        <f>SUM('_Engine_R50'!C172:C174)</f>
        <v/>
      </c>
      <c r="AX20" s="459">
        <f>SUM('_Engine_R50'!C175:C177)</f>
        <v/>
      </c>
      <c r="AY20" s="459">
        <f>SUM('_Engine_R50'!C178:C180)</f>
        <v/>
      </c>
      <c r="AZ20" s="459">
        <f>SUM('_Engine_R50'!C181:C183)</f>
        <v/>
      </c>
      <c r="BA20" s="459">
        <f>SUM('_Engine_R50'!C184:C186)</f>
        <v/>
      </c>
      <c r="BB20" s="459">
        <f>SUM('_Engine_R50'!C187:C189)</f>
        <v/>
      </c>
      <c r="BC20" s="459">
        <f>SUM('_Engine_R50'!C190:C192)</f>
        <v/>
      </c>
      <c r="BD20" s="459">
        <f>SUM('_Engine_R50'!C193:C195)</f>
        <v/>
      </c>
      <c r="BE20" s="459">
        <f>SUM('_Engine_R50'!C196:C198)</f>
        <v/>
      </c>
      <c r="BF20" s="459">
        <f>SUM('_Engine_R50'!C199:C201)</f>
        <v/>
      </c>
      <c r="BG20" s="459">
        <f>SUM('_Engine_R50'!C202:C204)</f>
        <v/>
      </c>
      <c r="BH20" s="459">
        <f>SUM('_Engine_R50'!C205:C207)</f>
        <v/>
      </c>
      <c r="BI20" s="459">
        <f>SUM('_Engine_R50'!C208:C210)</f>
        <v/>
      </c>
      <c r="BJ20" s="306" t="n"/>
    </row>
    <row r="21" ht="15" customHeight="1" s="307">
      <c r="A21" s="321" t="inlineStr">
        <is>
          <t xml:space="preserve">    Retained (50%)</t>
        </is>
      </c>
      <c r="B21" s="459">
        <f>B18-B20</f>
        <v/>
      </c>
      <c r="C21" s="459">
        <f>C18-C20</f>
        <v/>
      </c>
      <c r="D21" s="459">
        <f>D18-D20</f>
        <v/>
      </c>
      <c r="E21" s="459">
        <f>E18-E20</f>
        <v/>
      </c>
      <c r="F21" s="459">
        <f>F18-F20</f>
        <v/>
      </c>
      <c r="G21" s="459">
        <f>G18-G20</f>
        <v/>
      </c>
      <c r="H21" s="459">
        <f>H18-H20</f>
        <v/>
      </c>
      <c r="I21" s="459">
        <f>I18-I20</f>
        <v/>
      </c>
      <c r="J21" s="459">
        <f>J18-J20</f>
        <v/>
      </c>
      <c r="K21" s="459">
        <f>K18-K20</f>
        <v/>
      </c>
      <c r="L21" s="459">
        <f>L18-L20</f>
        <v/>
      </c>
      <c r="M21" s="459">
        <f>M18-M20</f>
        <v/>
      </c>
      <c r="N21" s="459">
        <f>N18-N20</f>
        <v/>
      </c>
      <c r="O21" s="459">
        <f>O18-O20</f>
        <v/>
      </c>
      <c r="P21" s="459">
        <f>P18-P20</f>
        <v/>
      </c>
      <c r="Q21" s="459">
        <f>Q18-Q20</f>
        <v/>
      </c>
      <c r="R21" s="459">
        <f>R18-R20</f>
        <v/>
      </c>
      <c r="S21" s="459">
        <f>S18-S20</f>
        <v/>
      </c>
      <c r="T21" s="459">
        <f>T18-T20</f>
        <v/>
      </c>
      <c r="U21" s="459">
        <f>U18-U20</f>
        <v/>
      </c>
      <c r="V21" s="459">
        <f>V18-V20</f>
        <v/>
      </c>
      <c r="W21" s="459">
        <f>W18-W20</f>
        <v/>
      </c>
      <c r="X21" s="459">
        <f>X18-X20</f>
        <v/>
      </c>
      <c r="Y21" s="459">
        <f>Y18-Y20</f>
        <v/>
      </c>
      <c r="Z21" s="459">
        <f>Z18-Z20</f>
        <v/>
      </c>
      <c r="AA21" s="459">
        <f>AA18-AA20</f>
        <v/>
      </c>
      <c r="AB21" s="459">
        <f>AB18-AB20</f>
        <v/>
      </c>
      <c r="AC21" s="459">
        <f>AC18-AC20</f>
        <v/>
      </c>
      <c r="AD21" s="459">
        <f>AD18-AD20</f>
        <v/>
      </c>
      <c r="AE21" s="459">
        <f>AE18-AE20</f>
        <v/>
      </c>
      <c r="AF21" s="459">
        <f>AF18-AF20</f>
        <v/>
      </c>
      <c r="AG21" s="459">
        <f>AG18-AG20</f>
        <v/>
      </c>
      <c r="AH21" s="459">
        <f>AH18-AH20</f>
        <v/>
      </c>
      <c r="AI21" s="459">
        <f>AI18-AI20</f>
        <v/>
      </c>
      <c r="AJ21" s="459">
        <f>AJ18-AJ20</f>
        <v/>
      </c>
      <c r="AK21" s="459">
        <f>AK18-AK20</f>
        <v/>
      </c>
      <c r="AL21" s="459">
        <f>AL18-AL20</f>
        <v/>
      </c>
      <c r="AM21" s="459">
        <f>AM18-AM20</f>
        <v/>
      </c>
      <c r="AN21" s="459">
        <f>AN18-AN20</f>
        <v/>
      </c>
      <c r="AO21" s="459">
        <f>AO18-AO20</f>
        <v/>
      </c>
      <c r="AP21" s="459">
        <f>AP18-AP20</f>
        <v/>
      </c>
      <c r="AQ21" s="459">
        <f>AQ18-AQ20</f>
        <v/>
      </c>
      <c r="AR21" s="459">
        <f>AR18-AR20</f>
        <v/>
      </c>
      <c r="AS21" s="459">
        <f>AS18-AS20</f>
        <v/>
      </c>
      <c r="AT21" s="459">
        <f>AT18-AT20</f>
        <v/>
      </c>
      <c r="AU21" s="459">
        <f>AU18-AU20</f>
        <v/>
      </c>
      <c r="AV21" s="459">
        <f>AV18-AV20</f>
        <v/>
      </c>
      <c r="AW21" s="459">
        <f>AW18-AW20</f>
        <v/>
      </c>
      <c r="AX21" s="459">
        <f>AX18-AX20</f>
        <v/>
      </c>
      <c r="AY21" s="459">
        <f>AY18-AY20</f>
        <v/>
      </c>
      <c r="AZ21" s="459">
        <f>AZ18-AZ20</f>
        <v/>
      </c>
      <c r="BA21" s="459">
        <f>BA18-BA20</f>
        <v/>
      </c>
      <c r="BB21" s="459">
        <f>BB18-BB20</f>
        <v/>
      </c>
      <c r="BC21" s="459">
        <f>BC18-BC20</f>
        <v/>
      </c>
      <c r="BD21" s="459">
        <f>BD18-BD20</f>
        <v/>
      </c>
      <c r="BE21" s="459">
        <f>BE18-BE20</f>
        <v/>
      </c>
      <c r="BF21" s="459">
        <f>BF18-BF20</f>
        <v/>
      </c>
      <c r="BG21" s="459">
        <f>BG18-BG20</f>
        <v/>
      </c>
      <c r="BH21" s="459">
        <f>BH18-BH20</f>
        <v/>
      </c>
      <c r="BI21" s="459">
        <f>BI18-BI20</f>
        <v/>
      </c>
      <c r="BJ21" s="306" t="n"/>
    </row>
    <row r="22" ht="15" customHeight="1" s="307">
      <c r="A22" s="322" t="inlineStr">
        <is>
          <t>Distributable Cash</t>
        </is>
      </c>
      <c r="B22" s="462">
        <f>B21</f>
        <v/>
      </c>
      <c r="C22" s="462">
        <f>B22+C21</f>
        <v/>
      </c>
      <c r="D22" s="462">
        <f>C22+D21</f>
        <v/>
      </c>
      <c r="E22" s="462">
        <f>D22+E21</f>
        <v/>
      </c>
      <c r="F22" s="462">
        <f>E22+F21</f>
        <v/>
      </c>
      <c r="G22" s="462">
        <f>F22+G21</f>
        <v/>
      </c>
      <c r="H22" s="462">
        <f>G22+H21</f>
        <v/>
      </c>
      <c r="I22" s="462">
        <f>H22+I21</f>
        <v/>
      </c>
      <c r="J22" s="462">
        <f>I22+J21</f>
        <v/>
      </c>
      <c r="K22" s="462">
        <f>J22+K21</f>
        <v/>
      </c>
      <c r="L22" s="462">
        <f>K22+L21</f>
        <v/>
      </c>
      <c r="M22" s="462">
        <f>L22+M21</f>
        <v/>
      </c>
      <c r="N22" s="462">
        <f>M22+N21</f>
        <v/>
      </c>
      <c r="O22" s="462">
        <f>N22+O21</f>
        <v/>
      </c>
      <c r="P22" s="462">
        <f>O22+P21</f>
        <v/>
      </c>
      <c r="Q22" s="462">
        <f>P22+Q21</f>
        <v/>
      </c>
      <c r="R22" s="462">
        <f>Q22+R21</f>
        <v/>
      </c>
      <c r="S22" s="462">
        <f>R22+S21</f>
        <v/>
      </c>
      <c r="T22" s="462">
        <f>S22+T21</f>
        <v/>
      </c>
      <c r="U22" s="462">
        <f>T22+U21</f>
        <v/>
      </c>
      <c r="V22" s="462">
        <f>U22+V21</f>
        <v/>
      </c>
      <c r="W22" s="462">
        <f>V22+W21</f>
        <v/>
      </c>
      <c r="X22" s="462">
        <f>W22+X21</f>
        <v/>
      </c>
      <c r="Y22" s="462">
        <f>X22+Y21</f>
        <v/>
      </c>
      <c r="Z22" s="462">
        <f>Y22+Z21</f>
        <v/>
      </c>
      <c r="AA22" s="462">
        <f>Z22+AA21</f>
        <v/>
      </c>
      <c r="AB22" s="462">
        <f>AA22+AB21</f>
        <v/>
      </c>
      <c r="AC22" s="462">
        <f>AB22+AC21</f>
        <v/>
      </c>
      <c r="AD22" s="462">
        <f>AC22+AD21</f>
        <v/>
      </c>
      <c r="AE22" s="462">
        <f>AD22+AE21</f>
        <v/>
      </c>
      <c r="AF22" s="462">
        <f>AE22+AF21</f>
        <v/>
      </c>
      <c r="AG22" s="462">
        <f>AF22+AG21</f>
        <v/>
      </c>
      <c r="AH22" s="462">
        <f>AG22+AH21</f>
        <v/>
      </c>
      <c r="AI22" s="462">
        <f>AH22+AI21</f>
        <v/>
      </c>
      <c r="AJ22" s="462">
        <f>AI22+AJ21</f>
        <v/>
      </c>
      <c r="AK22" s="462">
        <f>AJ22+AK21</f>
        <v/>
      </c>
      <c r="AL22" s="462">
        <f>AK22+AL21</f>
        <v/>
      </c>
      <c r="AM22" s="462">
        <f>AL22+AM21</f>
        <v/>
      </c>
      <c r="AN22" s="462">
        <f>AM22+AN21</f>
        <v/>
      </c>
      <c r="AO22" s="462">
        <f>AN22+AO21</f>
        <v/>
      </c>
      <c r="AP22" s="462">
        <f>AO22+AP21</f>
        <v/>
      </c>
      <c r="AQ22" s="462">
        <f>AP22+AQ21</f>
        <v/>
      </c>
      <c r="AR22" s="462">
        <f>AQ22+AR21</f>
        <v/>
      </c>
      <c r="AS22" s="462">
        <f>AR22+AS21</f>
        <v/>
      </c>
      <c r="AT22" s="462">
        <f>AS22+AT21</f>
        <v/>
      </c>
      <c r="AU22" s="462">
        <f>AT22+AU21</f>
        <v/>
      </c>
      <c r="AV22" s="462">
        <f>AU22+AV21</f>
        <v/>
      </c>
      <c r="AW22" s="462">
        <f>AV22+AW21</f>
        <v/>
      </c>
      <c r="AX22" s="462">
        <f>AW22+AX21</f>
        <v/>
      </c>
      <c r="AY22" s="462">
        <f>AX22+AY21</f>
        <v/>
      </c>
      <c r="AZ22" s="462">
        <f>AY22+AZ21</f>
        <v/>
      </c>
      <c r="BA22" s="462">
        <f>AZ22+BA21</f>
        <v/>
      </c>
      <c r="BB22" s="462">
        <f>BA22+BB21</f>
        <v/>
      </c>
      <c r="BC22" s="462">
        <f>BB22+BC21</f>
        <v/>
      </c>
      <c r="BD22" s="462">
        <f>BC22+BD21</f>
        <v/>
      </c>
      <c r="BE22" s="462">
        <f>BD22+BE21</f>
        <v/>
      </c>
      <c r="BF22" s="462">
        <f>BE22+BF21</f>
        <v/>
      </c>
      <c r="BG22" s="462">
        <f>BF22+BG21</f>
        <v/>
      </c>
      <c r="BH22" s="462">
        <f>BG22+BH21</f>
        <v/>
      </c>
      <c r="BI22" s="462">
        <f>BH22+BI21</f>
        <v/>
      </c>
      <c r="BJ22" s="306" t="n"/>
    </row>
    <row r="23" ht="15" customHeight="1" s="307">
      <c r="A23" s="321" t="inlineStr">
        <is>
          <t>Cumulative</t>
        </is>
      </c>
      <c r="B23" s="459" t="n">
        <v>-0.5</v>
      </c>
      <c r="C23" s="459" t="n">
        <v>-1.79</v>
      </c>
      <c r="D23" s="459" t="n">
        <v>-2.4</v>
      </c>
      <c r="E23" s="459" t="n">
        <v>-1.68</v>
      </c>
      <c r="F23" s="459" t="n">
        <v>3.13</v>
      </c>
      <c r="G23" s="459" t="n">
        <v>9.4</v>
      </c>
      <c r="H23" s="459" t="n">
        <v>17.9</v>
      </c>
      <c r="I23" s="459" t="n">
        <v>26.4</v>
      </c>
      <c r="J23" s="459" t="n">
        <v>36.09</v>
      </c>
      <c r="K23" s="459" t="n">
        <v>45.66</v>
      </c>
      <c r="L23" s="459" t="n">
        <v>56.49</v>
      </c>
      <c r="M23" s="459" t="n">
        <v>67.23</v>
      </c>
      <c r="N23" s="459" t="n">
        <v>91.29000000000001</v>
      </c>
      <c r="O23" s="459" t="n">
        <v>116.45</v>
      </c>
      <c r="P23" s="459" t="n">
        <v>141.49</v>
      </c>
      <c r="Q23" s="459" t="n">
        <v>159.37</v>
      </c>
      <c r="R23" s="459" t="n">
        <v>182.78</v>
      </c>
      <c r="S23" s="459" t="n">
        <v>205.15</v>
      </c>
      <c r="T23" s="459" t="n">
        <v>226.51</v>
      </c>
      <c r="U23" s="459" t="n">
        <v>237.69</v>
      </c>
      <c r="V23" s="459" t="n">
        <v>257.16</v>
      </c>
      <c r="W23" s="459" t="n">
        <v>275.74</v>
      </c>
      <c r="X23" s="459" t="n">
        <v>293.47</v>
      </c>
      <c r="Y23" s="459" t="n">
        <v>304.26</v>
      </c>
      <c r="Z23" s="459" t="n">
        <v>320.38</v>
      </c>
      <c r="AA23" s="459" t="n">
        <v>335.75</v>
      </c>
      <c r="AB23" s="459" t="n">
        <v>350.39</v>
      </c>
      <c r="AC23" s="459" t="n">
        <v>360.85</v>
      </c>
      <c r="AD23" s="459" t="n">
        <v>374.12</v>
      </c>
      <c r="AE23" s="459" t="n">
        <v>386.75</v>
      </c>
      <c r="AF23" s="459" t="n">
        <v>398.76</v>
      </c>
      <c r="AG23" s="459" t="n">
        <v>408.94</v>
      </c>
      <c r="AH23" s="459" t="n">
        <v>419.8</v>
      </c>
      <c r="AI23" s="459" t="n">
        <v>430.1</v>
      </c>
      <c r="AJ23" s="459" t="n">
        <v>439.88</v>
      </c>
      <c r="AK23" s="459" t="n">
        <v>449.16</v>
      </c>
      <c r="AL23" s="459" t="n">
        <v>457.96</v>
      </c>
      <c r="AM23" s="459" t="n">
        <v>466.29</v>
      </c>
      <c r="AN23" s="459" t="n">
        <v>474.17</v>
      </c>
      <c r="AO23" s="459" t="n">
        <v>481.63</v>
      </c>
      <c r="AP23" s="459" t="n">
        <v>488.68</v>
      </c>
      <c r="AQ23" s="459" t="n">
        <v>495.33</v>
      </c>
      <c r="AR23" s="459" t="n">
        <v>501.6</v>
      </c>
      <c r="AS23" s="459" t="n">
        <v>507.51</v>
      </c>
      <c r="AT23" s="459" t="n">
        <v>513.0700000000001</v>
      </c>
      <c r="AU23" s="459" t="n">
        <v>518.29</v>
      </c>
      <c r="AV23" s="459" t="n">
        <v>523.2</v>
      </c>
      <c r="AW23" s="459" t="n">
        <v>527.79</v>
      </c>
      <c r="AX23" s="459" t="n">
        <v>532.08</v>
      </c>
      <c r="AY23" s="459" t="n">
        <v>536.1</v>
      </c>
      <c r="AZ23" s="459" t="n">
        <v>539.83</v>
      </c>
      <c r="BA23" s="459" t="n">
        <v>543.3099999999999</v>
      </c>
      <c r="BB23" s="459" t="n">
        <v>546.53</v>
      </c>
      <c r="BC23" s="459" t="n">
        <v>549.51</v>
      </c>
      <c r="BD23" s="459" t="n">
        <v>552.26</v>
      </c>
      <c r="BE23" s="459" t="n">
        <v>554.78</v>
      </c>
      <c r="BF23" s="459" t="n">
        <v>557.09</v>
      </c>
      <c r="BG23" s="459" t="n">
        <v>559.1900000000001</v>
      </c>
      <c r="BH23" s="459" t="n">
        <v>561.1</v>
      </c>
      <c r="BI23" s="459" t="n">
        <v>562.8099999999999</v>
      </c>
      <c r="BJ23" s="306" t="n"/>
    </row>
    <row r="24" ht="15" customHeight="1" s="307">
      <c r="A24" s="321" t="n"/>
      <c r="B24" s="459" t="n"/>
      <c r="C24" s="459" t="n"/>
      <c r="D24" s="459" t="n"/>
      <c r="E24" s="459" t="n"/>
      <c r="F24" s="459" t="n"/>
      <c r="G24" s="459" t="n"/>
      <c r="H24" s="459" t="n"/>
      <c r="I24" s="459" t="n"/>
      <c r="J24" s="459" t="n"/>
      <c r="K24" s="459" t="n"/>
      <c r="L24" s="459" t="n"/>
      <c r="M24" s="459" t="n"/>
      <c r="N24" s="459" t="n"/>
      <c r="O24" s="459" t="n"/>
      <c r="P24" s="459" t="n"/>
      <c r="Q24" s="459" t="n"/>
      <c r="R24" s="459" t="n"/>
      <c r="S24" s="459" t="n"/>
      <c r="T24" s="459" t="n"/>
      <c r="U24" s="459" t="n"/>
      <c r="V24" s="459" t="n"/>
      <c r="W24" s="459" t="n"/>
      <c r="X24" s="459" t="n"/>
      <c r="Y24" s="459" t="n"/>
      <c r="Z24" s="459" t="n"/>
      <c r="AA24" s="459" t="n"/>
      <c r="AB24" s="459" t="n"/>
      <c r="AC24" s="459" t="n"/>
      <c r="AD24" s="459" t="n"/>
      <c r="AE24" s="459" t="n"/>
      <c r="AF24" s="459" t="n"/>
      <c r="AG24" s="459" t="n"/>
      <c r="AH24" s="459" t="n"/>
      <c r="AI24" s="459" t="n"/>
      <c r="AJ24" s="459" t="n"/>
      <c r="AK24" s="459" t="n"/>
      <c r="AL24" s="459" t="n"/>
      <c r="AM24" s="459" t="n"/>
      <c r="AN24" s="459" t="n"/>
      <c r="AO24" s="459" t="n"/>
      <c r="AP24" s="459" t="n"/>
      <c r="AQ24" s="459" t="n"/>
      <c r="AR24" s="459" t="n"/>
      <c r="AS24" s="459" t="n"/>
      <c r="AT24" s="459" t="n"/>
      <c r="AU24" s="459" t="n"/>
      <c r="AV24" s="459" t="n"/>
      <c r="AW24" s="459" t="n"/>
      <c r="AX24" s="459" t="n"/>
      <c r="AY24" s="459" t="n"/>
      <c r="AZ24" s="459" t="n"/>
      <c r="BA24" s="459" t="n"/>
      <c r="BB24" s="459" t="n"/>
      <c r="BC24" s="459" t="n"/>
      <c r="BD24" s="459" t="n"/>
      <c r="BE24" s="459" t="n"/>
      <c r="BF24" s="459" t="n"/>
      <c r="BG24" s="459" t="n"/>
      <c r="BH24" s="459" t="n"/>
      <c r="BI24" s="459" t="n"/>
      <c r="BJ24" s="306" t="n"/>
    </row>
    <row r="25" ht="15" customHeight="1" s="307">
      <c r="A25" s="322" t="n"/>
      <c r="B25" s="466" t="n"/>
      <c r="C25" s="466" t="n"/>
      <c r="D25" s="466" t="n"/>
      <c r="E25" s="466" t="n"/>
      <c r="F25" s="466" t="n"/>
      <c r="G25" s="466" t="n"/>
      <c r="H25" s="466" t="n"/>
      <c r="I25" s="466" t="n"/>
      <c r="J25" s="466" t="n"/>
      <c r="K25" s="466" t="n"/>
      <c r="L25" s="466" t="n"/>
      <c r="M25" s="466" t="n"/>
      <c r="N25" s="466" t="n"/>
      <c r="O25" s="466" t="n"/>
      <c r="P25" s="466" t="n"/>
      <c r="Q25" s="466" t="n"/>
      <c r="R25" s="466" t="n"/>
      <c r="S25" s="466" t="n"/>
      <c r="T25" s="466" t="n"/>
      <c r="U25" s="466" t="n"/>
      <c r="V25" s="466" t="n"/>
      <c r="W25" s="466" t="n"/>
      <c r="X25" s="466" t="n"/>
      <c r="Y25" s="466" t="n"/>
      <c r="Z25" s="466" t="n"/>
      <c r="AA25" s="466" t="n"/>
      <c r="AB25" s="466" t="n"/>
      <c r="AC25" s="466" t="n"/>
      <c r="AD25" s="466" t="n"/>
      <c r="AE25" s="466" t="n"/>
      <c r="AF25" s="466" t="n"/>
      <c r="AG25" s="466" t="n"/>
      <c r="AH25" s="466" t="n"/>
      <c r="AI25" s="466" t="n"/>
      <c r="AJ25" s="466" t="n"/>
      <c r="AK25" s="466" t="n"/>
      <c r="AL25" s="466" t="n"/>
      <c r="AM25" s="466" t="n"/>
      <c r="AN25" s="466" t="n"/>
      <c r="AO25" s="466" t="n"/>
      <c r="AP25" s="466" t="n"/>
      <c r="AQ25" s="466" t="n"/>
      <c r="AR25" s="466" t="n"/>
      <c r="AS25" s="466" t="n"/>
      <c r="AT25" s="466" t="n"/>
      <c r="AU25" s="466" t="n"/>
      <c r="AV25" s="466" t="n"/>
      <c r="AW25" s="466" t="n"/>
      <c r="AX25" s="466" t="n"/>
      <c r="AY25" s="466" t="n"/>
      <c r="AZ25" s="466" t="n"/>
      <c r="BA25" s="466" t="n"/>
      <c r="BB25" s="466" t="n"/>
      <c r="BC25" s="466" t="n"/>
      <c r="BD25" s="466" t="n"/>
      <c r="BE25" s="466" t="n"/>
      <c r="BF25" s="466" t="n"/>
      <c r="BG25" s="466" t="n"/>
      <c r="BH25" s="466" t="n"/>
      <c r="BI25" s="466" t="n"/>
      <c r="BJ25" s="306" t="n"/>
    </row>
    <row r="26" ht="15" customHeight="1" s="307">
      <c r="A26" s="321" t="n"/>
      <c r="B26" s="459" t="n"/>
      <c r="C26" s="459" t="n"/>
      <c r="D26" s="459" t="n"/>
      <c r="E26" s="459" t="n"/>
      <c r="F26" s="459" t="n"/>
      <c r="G26" s="459" t="n"/>
      <c r="H26" s="459" t="n"/>
      <c r="I26" s="459" t="n"/>
      <c r="J26" s="459" t="n"/>
      <c r="K26" s="459" t="n"/>
      <c r="L26" s="459" t="n"/>
      <c r="M26" s="459" t="n"/>
      <c r="N26" s="459" t="n"/>
      <c r="O26" s="459" t="n"/>
      <c r="P26" s="459" t="n"/>
      <c r="Q26" s="459" t="n"/>
      <c r="R26" s="459" t="n"/>
      <c r="S26" s="459" t="n"/>
      <c r="T26" s="459" t="n"/>
      <c r="U26" s="459" t="n"/>
      <c r="V26" s="459" t="n"/>
      <c r="W26" s="459" t="n"/>
      <c r="X26" s="459" t="n"/>
      <c r="Y26" s="459" t="n"/>
      <c r="Z26" s="459" t="n"/>
      <c r="AA26" s="459" t="n"/>
      <c r="AB26" s="459" t="n"/>
      <c r="AC26" s="459" t="n"/>
      <c r="AD26" s="459" t="n"/>
      <c r="AE26" s="459" t="n"/>
      <c r="AF26" s="459" t="n"/>
      <c r="AG26" s="459" t="n"/>
      <c r="AH26" s="459" t="n"/>
      <c r="AI26" s="459" t="n"/>
      <c r="AJ26" s="459" t="n"/>
      <c r="AK26" s="459" t="n"/>
      <c r="AL26" s="459" t="n"/>
      <c r="AM26" s="459" t="n"/>
      <c r="AN26" s="459" t="n"/>
      <c r="AO26" s="459" t="n"/>
      <c r="AP26" s="459" t="n"/>
      <c r="AQ26" s="459" t="n"/>
      <c r="AR26" s="459" t="n"/>
      <c r="AS26" s="459" t="n"/>
      <c r="AT26" s="459" t="n"/>
      <c r="AU26" s="459" t="n"/>
      <c r="AV26" s="459" t="n"/>
      <c r="AW26" s="459" t="n"/>
      <c r="AX26" s="459" t="n"/>
      <c r="AY26" s="459" t="n"/>
      <c r="AZ26" s="459" t="n"/>
      <c r="BA26" s="459" t="n"/>
      <c r="BB26" s="459" t="n"/>
      <c r="BC26" s="459" t="n"/>
      <c r="BD26" s="459" t="n"/>
      <c r="BE26" s="459" t="n"/>
      <c r="BF26" s="459" t="n"/>
      <c r="BG26" s="459" t="n"/>
      <c r="BH26" s="459" t="n"/>
      <c r="BI26" s="459" t="n"/>
      <c r="BJ26" s="306" t="n"/>
    </row>
    <row r="27" ht="15" customHeight="1" s="307">
      <c r="A27" s="321" t="n"/>
      <c r="B27" s="459" t="n"/>
      <c r="C27" s="459" t="n"/>
      <c r="D27" s="459" t="n"/>
      <c r="E27" s="459" t="n"/>
      <c r="F27" s="459" t="n"/>
      <c r="G27" s="459" t="n"/>
      <c r="H27" s="459" t="n"/>
      <c r="I27" s="459" t="n"/>
      <c r="J27" s="459" t="n"/>
      <c r="K27" s="459" t="n"/>
      <c r="L27" s="459" t="n"/>
      <c r="M27" s="459" t="n"/>
      <c r="N27" s="459" t="n"/>
      <c r="O27" s="459" t="n"/>
      <c r="P27" s="459" t="n"/>
      <c r="Q27" s="459" t="n"/>
      <c r="R27" s="459" t="n"/>
      <c r="S27" s="459" t="n"/>
      <c r="T27" s="459" t="n"/>
      <c r="U27" s="459" t="n"/>
      <c r="V27" s="459" t="n"/>
      <c r="W27" s="459" t="n"/>
      <c r="X27" s="459" t="n"/>
      <c r="Y27" s="459" t="n"/>
      <c r="Z27" s="459" t="n"/>
      <c r="AA27" s="459" t="n"/>
      <c r="AB27" s="459" t="n"/>
      <c r="AC27" s="459" t="n"/>
      <c r="AD27" s="459" t="n"/>
      <c r="AE27" s="459" t="n"/>
      <c r="AF27" s="459" t="n"/>
      <c r="AG27" s="459" t="n"/>
      <c r="AH27" s="459" t="n"/>
      <c r="AI27" s="459" t="n"/>
      <c r="AJ27" s="459" t="n"/>
      <c r="AK27" s="459" t="n"/>
      <c r="AL27" s="459" t="n"/>
      <c r="AM27" s="459" t="n"/>
      <c r="AN27" s="459" t="n"/>
      <c r="AO27" s="459" t="n"/>
      <c r="AP27" s="459" t="n"/>
      <c r="AQ27" s="459" t="n"/>
      <c r="AR27" s="459" t="n"/>
      <c r="AS27" s="459" t="n"/>
      <c r="AT27" s="459" t="n"/>
      <c r="AU27" s="459" t="n"/>
      <c r="AV27" s="459" t="n"/>
      <c r="AW27" s="459" t="n"/>
      <c r="AX27" s="459" t="n"/>
      <c r="AY27" s="459" t="n"/>
      <c r="AZ27" s="459" t="n"/>
      <c r="BA27" s="459" t="n"/>
      <c r="BB27" s="459" t="n"/>
      <c r="BC27" s="459" t="n"/>
      <c r="BD27" s="459" t="n"/>
      <c r="BE27" s="459" t="n"/>
      <c r="BF27" s="459" t="n"/>
      <c r="BG27" s="459" t="n"/>
      <c r="BH27" s="459" t="n"/>
      <c r="BI27" s="459" t="n"/>
      <c r="BJ27" s="306" t="n"/>
    </row>
    <row r="28" ht="15" customHeight="1" s="307">
      <c r="A28" s="306" t="n"/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  <c r="O28" s="306" t="n"/>
      <c r="P28" s="306" t="n"/>
      <c r="Q28" s="306" t="n"/>
      <c r="R28" s="306" t="n"/>
      <c r="S28" s="306" t="n"/>
      <c r="T28" s="306" t="n"/>
      <c r="U28" s="306" t="n"/>
      <c r="V28" s="306" t="n"/>
      <c r="W28" s="306" t="n"/>
      <c r="X28" s="306" t="n"/>
      <c r="Y28" s="306" t="n"/>
      <c r="Z28" s="306" t="n"/>
      <c r="AA28" s="306" t="n"/>
      <c r="AB28" s="306" t="n"/>
      <c r="AC28" s="306" t="n"/>
      <c r="AD28" s="306" t="n"/>
      <c r="AE28" s="306" t="n"/>
      <c r="AF28" s="306" t="n"/>
      <c r="AG28" s="306" t="n"/>
      <c r="AH28" s="306" t="n"/>
      <c r="AI28" s="306" t="n"/>
      <c r="AJ28" s="306" t="n"/>
      <c r="AK28" s="306" t="n"/>
      <c r="AL28" s="306" t="n"/>
      <c r="AM28" s="306" t="n"/>
      <c r="AN28" s="306" t="n"/>
      <c r="AO28" s="306" t="n"/>
      <c r="AP28" s="306" t="n"/>
      <c r="AQ28" s="306" t="n"/>
      <c r="AR28" s="306" t="n"/>
      <c r="AS28" s="306" t="n"/>
      <c r="AT28" s="306" t="n"/>
      <c r="AU28" s="306" t="n"/>
      <c r="AV28" s="306" t="n"/>
      <c r="AW28" s="306" t="n"/>
      <c r="AX28" s="306" t="n"/>
      <c r="AY28" s="306" t="n"/>
      <c r="AZ28" s="306" t="n"/>
      <c r="BA28" s="306" t="n"/>
      <c r="BB28" s="306" t="n"/>
      <c r="BC28" s="306" t="n"/>
      <c r="BD28" s="306" t="n"/>
      <c r="BE28" s="306" t="n"/>
      <c r="BF28" s="306" t="n"/>
      <c r="BG28" s="306" t="n"/>
      <c r="BH28" s="306" t="n"/>
      <c r="BI28" s="306" t="n"/>
      <c r="BJ28" s="306" t="n"/>
    </row>
    <row r="29" ht="15" customHeight="1" s="30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  <c r="T29" s="306" t="n"/>
      <c r="U29" s="306" t="n"/>
      <c r="V29" s="306" t="n"/>
      <c r="W29" s="306" t="n"/>
      <c r="X29" s="306" t="n"/>
      <c r="Y29" s="306" t="n"/>
      <c r="Z29" s="306" t="n"/>
      <c r="AA29" s="306" t="n"/>
      <c r="AB29" s="306" t="n"/>
      <c r="AC29" s="306" t="n"/>
      <c r="AD29" s="306" t="n"/>
      <c r="AE29" s="306" t="n"/>
      <c r="AF29" s="306" t="n"/>
      <c r="AG29" s="306" t="n"/>
      <c r="AH29" s="306" t="n"/>
      <c r="AI29" s="306" t="n"/>
      <c r="AJ29" s="306" t="n"/>
      <c r="AK29" s="306" t="n"/>
      <c r="AL29" s="306" t="n"/>
      <c r="AM29" s="306" t="n"/>
      <c r="AN29" s="306" t="n"/>
      <c r="AO29" s="306" t="n"/>
      <c r="AP29" s="306" t="n"/>
      <c r="AQ29" s="306" t="n"/>
      <c r="AR29" s="306" t="n"/>
      <c r="AS29" s="306" t="n"/>
      <c r="AT29" s="306" t="n"/>
      <c r="AU29" s="306" t="n"/>
      <c r="AV29" s="306" t="n"/>
      <c r="AW29" s="306" t="n"/>
      <c r="AX29" s="306" t="n"/>
      <c r="AY29" s="306" t="n"/>
      <c r="AZ29" s="306" t="n"/>
      <c r="BA29" s="306" t="n"/>
      <c r="BB29" s="306" t="n"/>
      <c r="BC29" s="306" t="n"/>
      <c r="BD29" s="306" t="n"/>
      <c r="BE29" s="306" t="n"/>
      <c r="BF29" s="306" t="n"/>
      <c r="BG29" s="306" t="n"/>
      <c r="BH29" s="306" t="n"/>
      <c r="BI29" s="306" t="n"/>
      <c r="BJ29" s="306" t="n"/>
    </row>
    <row r="30" ht="15" customHeight="1" s="30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  <c r="T30" s="306" t="n"/>
      <c r="U30" s="306" t="n"/>
      <c r="V30" s="306" t="n"/>
      <c r="W30" s="306" t="n"/>
      <c r="X30" s="306" t="n"/>
      <c r="Y30" s="306" t="n"/>
      <c r="Z30" s="306" t="n"/>
      <c r="AA30" s="306" t="n"/>
      <c r="AB30" s="306" t="n"/>
      <c r="AC30" s="306" t="n"/>
      <c r="AD30" s="306" t="n"/>
      <c r="AE30" s="306" t="n"/>
      <c r="AF30" s="306" t="n"/>
      <c r="AG30" s="306" t="n"/>
      <c r="AH30" s="306" t="n"/>
      <c r="AI30" s="306" t="n"/>
      <c r="AJ30" s="306" t="n"/>
      <c r="AK30" s="306" t="n"/>
      <c r="AL30" s="306" t="n"/>
      <c r="AM30" s="306" t="n"/>
      <c r="AN30" s="306" t="n"/>
      <c r="AO30" s="306" t="n"/>
      <c r="AP30" s="306" t="n"/>
      <c r="AQ30" s="306" t="n"/>
      <c r="AR30" s="306" t="n"/>
      <c r="AS30" s="306" t="n"/>
      <c r="AT30" s="306" t="n"/>
      <c r="AU30" s="306" t="n"/>
      <c r="AV30" s="306" t="n"/>
      <c r="AW30" s="306" t="n"/>
      <c r="AX30" s="306" t="n"/>
      <c r="AY30" s="306" t="n"/>
      <c r="AZ30" s="306" t="n"/>
      <c r="BA30" s="306" t="n"/>
      <c r="BB30" s="306" t="n"/>
      <c r="BC30" s="306" t="n"/>
      <c r="BD30" s="306" t="n"/>
      <c r="BE30" s="306" t="n"/>
      <c r="BF30" s="306" t="n"/>
      <c r="BG30" s="306" t="n"/>
      <c r="BH30" s="306" t="n"/>
      <c r="BI30" s="306" t="n"/>
      <c r="BJ30" s="306" t="n"/>
    </row>
    <row r="31" ht="15" customHeight="1" s="30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  <c r="T31" s="306" t="n"/>
      <c r="U31" s="306" t="n"/>
      <c r="V31" s="306" t="n"/>
      <c r="W31" s="306" t="n"/>
      <c r="X31" s="306" t="n"/>
      <c r="Y31" s="306" t="n"/>
      <c r="Z31" s="306" t="n"/>
      <c r="AA31" s="306" t="n"/>
      <c r="AB31" s="306" t="n"/>
      <c r="AC31" s="306" t="n"/>
      <c r="AD31" s="306" t="n"/>
      <c r="AE31" s="306" t="n"/>
      <c r="AF31" s="306" t="n"/>
      <c r="AG31" s="306" t="n"/>
      <c r="AH31" s="306" t="n"/>
      <c r="AI31" s="306" t="n"/>
      <c r="AJ31" s="306" t="n"/>
      <c r="AK31" s="306" t="n"/>
      <c r="AL31" s="306" t="n"/>
      <c r="AM31" s="306" t="n"/>
      <c r="AN31" s="306" t="n"/>
      <c r="AO31" s="306" t="n"/>
      <c r="AP31" s="306" t="n"/>
      <c r="AQ31" s="306" t="n"/>
      <c r="AR31" s="306" t="n"/>
      <c r="AS31" s="306" t="n"/>
      <c r="AT31" s="306" t="n"/>
      <c r="AU31" s="306" t="n"/>
      <c r="AV31" s="306" t="n"/>
      <c r="AW31" s="306" t="n"/>
      <c r="AX31" s="306" t="n"/>
      <c r="AY31" s="306" t="n"/>
      <c r="AZ31" s="306" t="n"/>
      <c r="BA31" s="306" t="n"/>
      <c r="BB31" s="306" t="n"/>
      <c r="BC31" s="306" t="n"/>
      <c r="BD31" s="306" t="n"/>
      <c r="BE31" s="306" t="n"/>
      <c r="BF31" s="306" t="n"/>
      <c r="BG31" s="306" t="n"/>
      <c r="BH31" s="306" t="n"/>
      <c r="BI31" s="306" t="n"/>
      <c r="BJ31" s="306" t="n"/>
    </row>
    <row r="32" ht="15" customHeight="1" s="30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  <c r="O32" s="306" t="n"/>
      <c r="P32" s="306" t="n"/>
      <c r="Q32" s="306" t="n"/>
      <c r="R32" s="306" t="n"/>
      <c r="S32" s="306" t="n"/>
      <c r="T32" s="306" t="n"/>
      <c r="U32" s="306" t="n"/>
      <c r="V32" s="306" t="n"/>
      <c r="W32" s="306" t="n"/>
      <c r="X32" s="306" t="n"/>
      <c r="Y32" s="306" t="n"/>
      <c r="Z32" s="306" t="n"/>
      <c r="AA32" s="306" t="n"/>
      <c r="AB32" s="306" t="n"/>
      <c r="AC32" s="306" t="n"/>
      <c r="AD32" s="306" t="n"/>
      <c r="AE32" s="306" t="n"/>
      <c r="AF32" s="306" t="n"/>
      <c r="AG32" s="306" t="n"/>
      <c r="AH32" s="306" t="n"/>
      <c r="AI32" s="306" t="n"/>
      <c r="AJ32" s="306" t="n"/>
      <c r="AK32" s="306" t="n"/>
      <c r="AL32" s="306" t="n"/>
      <c r="AM32" s="306" t="n"/>
      <c r="AN32" s="306" t="n"/>
      <c r="AO32" s="306" t="n"/>
      <c r="AP32" s="306" t="n"/>
      <c r="AQ32" s="306" t="n"/>
      <c r="AR32" s="306" t="n"/>
      <c r="AS32" s="306" t="n"/>
      <c r="AT32" s="306" t="n"/>
      <c r="AU32" s="306" t="n"/>
      <c r="AV32" s="306" t="n"/>
      <c r="AW32" s="306" t="n"/>
      <c r="AX32" s="306" t="n"/>
      <c r="AY32" s="306" t="n"/>
      <c r="AZ32" s="306" t="n"/>
      <c r="BA32" s="306" t="n"/>
      <c r="BB32" s="306" t="n"/>
      <c r="BC32" s="306" t="n"/>
      <c r="BD32" s="306" t="n"/>
      <c r="BE32" s="306" t="n"/>
      <c r="BF32" s="306" t="n"/>
      <c r="BG32" s="306" t="n"/>
      <c r="BH32" s="306" t="n"/>
      <c r="BI32" s="306" t="n"/>
      <c r="BJ32" s="306" t="n"/>
    </row>
    <row r="33" ht="15" customHeight="1" s="30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  <c r="O33" s="306" t="n"/>
      <c r="P33" s="306" t="n"/>
      <c r="Q33" s="306" t="n"/>
      <c r="R33" s="306" t="n"/>
      <c r="S33" s="306" t="n"/>
      <c r="T33" s="306" t="n"/>
      <c r="U33" s="306" t="n"/>
      <c r="V33" s="306" t="n"/>
      <c r="W33" s="306" t="n"/>
      <c r="X33" s="306" t="n"/>
      <c r="Y33" s="306" t="n"/>
      <c r="Z33" s="306" t="n"/>
      <c r="AA33" s="306" t="n"/>
      <c r="AB33" s="306" t="n"/>
      <c r="AC33" s="306" t="n"/>
      <c r="AD33" s="306" t="n"/>
      <c r="AE33" s="306" t="n"/>
      <c r="AF33" s="306" t="n"/>
      <c r="AG33" s="306" t="n"/>
      <c r="AH33" s="306" t="n"/>
      <c r="AI33" s="306" t="n"/>
      <c r="AJ33" s="306" t="n"/>
      <c r="AK33" s="306" t="n"/>
      <c r="AL33" s="306" t="n"/>
      <c r="AM33" s="306" t="n"/>
      <c r="AN33" s="306" t="n"/>
      <c r="AO33" s="306" t="n"/>
      <c r="AP33" s="306" t="n"/>
      <c r="AQ33" s="306" t="n"/>
      <c r="AR33" s="306" t="n"/>
      <c r="AS33" s="306" t="n"/>
      <c r="AT33" s="306" t="n"/>
      <c r="AU33" s="306" t="n"/>
      <c r="AV33" s="306" t="n"/>
      <c r="AW33" s="306" t="n"/>
      <c r="AX33" s="306" t="n"/>
      <c r="AY33" s="306" t="n"/>
      <c r="AZ33" s="306" t="n"/>
      <c r="BA33" s="306" t="n"/>
      <c r="BB33" s="306" t="n"/>
      <c r="BC33" s="306" t="n"/>
      <c r="BD33" s="306" t="n"/>
      <c r="BE33" s="306" t="n"/>
      <c r="BF33" s="306" t="n"/>
      <c r="BG33" s="306" t="n"/>
      <c r="BH33" s="306" t="n"/>
      <c r="BI33" s="306" t="n"/>
      <c r="BJ33" s="306" t="n"/>
    </row>
    <row r="34" ht="15" customHeight="1" s="30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306" t="n"/>
      <c r="P34" s="306" t="n"/>
      <c r="Q34" s="306" t="n"/>
      <c r="R34" s="306" t="n"/>
      <c r="S34" s="306" t="n"/>
      <c r="T34" s="306" t="n"/>
      <c r="U34" s="306" t="n"/>
      <c r="V34" s="306" t="n"/>
      <c r="W34" s="306" t="n"/>
      <c r="X34" s="306" t="n"/>
      <c r="Y34" s="306" t="n"/>
      <c r="Z34" s="306" t="n"/>
      <c r="AA34" s="306" t="n"/>
      <c r="AB34" s="306" t="n"/>
      <c r="AC34" s="306" t="n"/>
      <c r="AD34" s="306" t="n"/>
      <c r="AE34" s="306" t="n"/>
      <c r="AF34" s="306" t="n"/>
      <c r="AG34" s="306" t="n"/>
      <c r="AH34" s="306" t="n"/>
      <c r="AI34" s="306" t="n"/>
      <c r="AJ34" s="306" t="n"/>
      <c r="AK34" s="306" t="n"/>
      <c r="AL34" s="306" t="n"/>
      <c r="AM34" s="306" t="n"/>
      <c r="AN34" s="306" t="n"/>
      <c r="AO34" s="306" t="n"/>
      <c r="AP34" s="306" t="n"/>
      <c r="AQ34" s="306" t="n"/>
      <c r="AR34" s="306" t="n"/>
      <c r="AS34" s="306" t="n"/>
      <c r="AT34" s="306" t="n"/>
      <c r="AU34" s="306" t="n"/>
      <c r="AV34" s="306" t="n"/>
      <c r="AW34" s="306" t="n"/>
      <c r="AX34" s="306" t="n"/>
      <c r="AY34" s="306" t="n"/>
      <c r="AZ34" s="306" t="n"/>
      <c r="BA34" s="306" t="n"/>
      <c r="BB34" s="306" t="n"/>
      <c r="BC34" s="306" t="n"/>
      <c r="BD34" s="306" t="n"/>
      <c r="BE34" s="306" t="n"/>
      <c r="BF34" s="306" t="n"/>
      <c r="BG34" s="306" t="n"/>
      <c r="BH34" s="306" t="n"/>
      <c r="BI34" s="306" t="n"/>
      <c r="BJ3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4"/>
  </cols>
  <sheetData>
    <row r="1" ht="25.5" customHeight="1" s="307">
      <c r="A1" s="385" t="inlineStr">
        <is>
          <t>WATERFALL  |  NO RECYCLING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9.5" customHeight="1" s="307">
      <c r="A3" s="388" t="inlineStr">
        <is>
          <t>Year</t>
        </is>
      </c>
      <c r="B3" s="388" t="inlineStr">
        <is>
          <t>Distributable</t>
        </is>
      </c>
      <c r="C3" s="388" t="inlineStr">
        <is>
          <t>Cumulative</t>
        </is>
      </c>
      <c r="D3" s="388" t="inlineStr">
        <is>
          <t>MOIC</t>
        </is>
      </c>
      <c r="E3" s="388" t="n"/>
      <c r="F3" s="388" t="n"/>
      <c r="G3" s="388" t="n"/>
      <c r="H3" s="388" t="inlineStr">
        <is>
          <t>LP Cash</t>
        </is>
      </c>
      <c r="I3" s="388" t="inlineStr">
        <is>
          <t>GP Carry</t>
        </is>
      </c>
      <c r="J3" s="388" t="inlineStr">
        <is>
          <t>Cum LP</t>
        </is>
      </c>
      <c r="K3" s="388" t="inlineStr">
        <is>
          <t>Cum GP</t>
        </is>
      </c>
      <c r="L3" s="388" t="n"/>
      <c r="M3" s="388" t="n"/>
    </row>
    <row r="4" ht="15" customHeight="1" s="307">
      <c r="A4" s="475" t="inlineStr">
        <is>
          <t>Year 1</t>
        </is>
      </c>
      <c r="B4" s="476">
        <f>'_Engine_NR'!B233</f>
        <v/>
      </c>
      <c r="C4" s="476">
        <f>'_Engine_NR'!C233</f>
        <v/>
      </c>
      <c r="D4" s="477">
        <f>'_Engine_NR'!N233</f>
        <v/>
      </c>
      <c r="E4" s="475" t="n"/>
      <c r="F4" s="478" t="n"/>
      <c r="G4" s="478" t="n"/>
      <c r="H4" s="476">
        <f>'_Engine_NR'!J233</f>
        <v/>
      </c>
      <c r="I4" s="476">
        <f>'_Engine_NR'!K233</f>
        <v/>
      </c>
      <c r="J4" s="476">
        <f>'_Engine_NR'!L233</f>
        <v/>
      </c>
      <c r="K4" s="476">
        <f>'_Engine_NR'!M233</f>
        <v/>
      </c>
      <c r="L4" s="478" t="n"/>
      <c r="M4" s="475" t="n"/>
    </row>
    <row r="5" ht="15" customHeight="1" s="307">
      <c r="A5" s="394" t="inlineStr">
        <is>
          <t>Year 2</t>
        </is>
      </c>
      <c r="B5" s="354">
        <f>'_Engine_NR'!B234</f>
        <v/>
      </c>
      <c r="C5" s="354">
        <f>'_Engine_NR'!C234</f>
        <v/>
      </c>
      <c r="D5" s="441">
        <f>'_Engine_NR'!N234</f>
        <v/>
      </c>
      <c r="E5" s="394" t="n"/>
      <c r="F5" s="404" t="n"/>
      <c r="G5" s="404" t="n"/>
      <c r="H5" s="354">
        <f>'_Engine_NR'!J234</f>
        <v/>
      </c>
      <c r="I5" s="354">
        <f>'_Engine_NR'!K234</f>
        <v/>
      </c>
      <c r="J5" s="354">
        <f>'_Engine_NR'!L234</f>
        <v/>
      </c>
      <c r="K5" s="354">
        <f>'_Engine_NR'!M234</f>
        <v/>
      </c>
      <c r="L5" s="404" t="n"/>
      <c r="M5" s="394" t="n"/>
    </row>
    <row r="6" ht="15" customHeight="1" s="307">
      <c r="A6" s="475" t="inlineStr">
        <is>
          <t>Year 3</t>
        </is>
      </c>
      <c r="B6" s="476">
        <f>'_Engine_NR'!B235</f>
        <v/>
      </c>
      <c r="C6" s="476">
        <f>'_Engine_NR'!C235</f>
        <v/>
      </c>
      <c r="D6" s="477">
        <f>'_Engine_NR'!N235</f>
        <v/>
      </c>
      <c r="E6" s="475" t="n"/>
      <c r="F6" s="478" t="n"/>
      <c r="G6" s="478" t="n"/>
      <c r="H6" s="476">
        <f>'_Engine_NR'!J235</f>
        <v/>
      </c>
      <c r="I6" s="476">
        <f>'_Engine_NR'!K235</f>
        <v/>
      </c>
      <c r="J6" s="476">
        <f>'_Engine_NR'!L235</f>
        <v/>
      </c>
      <c r="K6" s="476">
        <f>'_Engine_NR'!M235</f>
        <v/>
      </c>
      <c r="L6" s="478" t="n"/>
      <c r="M6" s="475" t="n"/>
    </row>
    <row r="7" ht="15" customHeight="1" s="307">
      <c r="A7" s="394" t="inlineStr">
        <is>
          <t>Year 4</t>
        </is>
      </c>
      <c r="B7" s="354">
        <f>'_Engine_NR'!B236</f>
        <v/>
      </c>
      <c r="C7" s="354">
        <f>'_Engine_NR'!C236</f>
        <v/>
      </c>
      <c r="D7" s="441">
        <f>'_Engine_NR'!N236</f>
        <v/>
      </c>
      <c r="E7" s="394" t="n"/>
      <c r="F7" s="404" t="n"/>
      <c r="G7" s="404" t="n"/>
      <c r="H7" s="354">
        <f>'_Engine_NR'!J236</f>
        <v/>
      </c>
      <c r="I7" s="354">
        <f>'_Engine_NR'!K236</f>
        <v/>
      </c>
      <c r="J7" s="354">
        <f>'_Engine_NR'!L236</f>
        <v/>
      </c>
      <c r="K7" s="354">
        <f>'_Engine_NR'!M236</f>
        <v/>
      </c>
      <c r="L7" s="404" t="n"/>
      <c r="M7" s="394" t="n"/>
    </row>
    <row r="8" ht="15" customHeight="1" s="307">
      <c r="A8" s="475" t="inlineStr">
        <is>
          <t>Year 5</t>
        </is>
      </c>
      <c r="B8" s="476">
        <f>'_Engine_NR'!B237</f>
        <v/>
      </c>
      <c r="C8" s="476">
        <f>'_Engine_NR'!C237</f>
        <v/>
      </c>
      <c r="D8" s="477">
        <f>'_Engine_NR'!N237</f>
        <v/>
      </c>
      <c r="E8" s="475" t="n"/>
      <c r="F8" s="478" t="n"/>
      <c r="G8" s="478" t="n"/>
      <c r="H8" s="476">
        <f>'_Engine_NR'!J237</f>
        <v/>
      </c>
      <c r="I8" s="476">
        <f>'_Engine_NR'!K237</f>
        <v/>
      </c>
      <c r="J8" s="476">
        <f>'_Engine_NR'!L237</f>
        <v/>
      </c>
      <c r="K8" s="476">
        <f>'_Engine_NR'!M237</f>
        <v/>
      </c>
      <c r="L8" s="478" t="n"/>
      <c r="M8" s="475" t="n"/>
    </row>
    <row r="9" ht="15" customHeight="1" s="307">
      <c r="A9" s="394" t="inlineStr">
        <is>
          <t>Year 6</t>
        </is>
      </c>
      <c r="B9" s="354">
        <f>'_Engine_NR'!B238</f>
        <v/>
      </c>
      <c r="C9" s="354">
        <f>'_Engine_NR'!C238</f>
        <v/>
      </c>
      <c r="D9" s="441">
        <f>'_Engine_NR'!N238</f>
        <v/>
      </c>
      <c r="E9" s="394" t="n"/>
      <c r="F9" s="404" t="n"/>
      <c r="G9" s="404" t="n"/>
      <c r="H9" s="354">
        <f>'_Engine_NR'!J238</f>
        <v/>
      </c>
      <c r="I9" s="354">
        <f>'_Engine_NR'!K238</f>
        <v/>
      </c>
      <c r="J9" s="354">
        <f>'_Engine_NR'!L238</f>
        <v/>
      </c>
      <c r="K9" s="354">
        <f>'_Engine_NR'!M238</f>
        <v/>
      </c>
      <c r="L9" s="404" t="n"/>
      <c r="M9" s="394" t="n"/>
    </row>
    <row r="10" ht="15" customHeight="1" s="307">
      <c r="A10" s="475" t="inlineStr">
        <is>
          <t>Year 7</t>
        </is>
      </c>
      <c r="B10" s="476">
        <f>'_Engine_NR'!B239</f>
        <v/>
      </c>
      <c r="C10" s="476">
        <f>'_Engine_NR'!C239</f>
        <v/>
      </c>
      <c r="D10" s="477">
        <f>'_Engine_NR'!N239</f>
        <v/>
      </c>
      <c r="E10" s="475" t="n"/>
      <c r="F10" s="478" t="n"/>
      <c r="G10" s="478" t="n"/>
      <c r="H10" s="476">
        <f>'_Engine_NR'!J239</f>
        <v/>
      </c>
      <c r="I10" s="476">
        <f>'_Engine_NR'!K239</f>
        <v/>
      </c>
      <c r="J10" s="476">
        <f>'_Engine_NR'!L239</f>
        <v/>
      </c>
      <c r="K10" s="476">
        <f>'_Engine_NR'!M239</f>
        <v/>
      </c>
      <c r="L10" s="478" t="n"/>
      <c r="M10" s="475" t="n"/>
    </row>
    <row r="11" ht="15" customHeight="1" s="307">
      <c r="A11" s="394" t="inlineStr">
        <is>
          <t>Year 8</t>
        </is>
      </c>
      <c r="B11" s="354">
        <f>'_Engine_NR'!B240</f>
        <v/>
      </c>
      <c r="C11" s="354">
        <f>'_Engine_NR'!C240</f>
        <v/>
      </c>
      <c r="D11" s="441">
        <f>'_Engine_NR'!N240</f>
        <v/>
      </c>
      <c r="E11" s="394" t="n"/>
      <c r="F11" s="404" t="n"/>
      <c r="G11" s="404" t="n"/>
      <c r="H11" s="354">
        <f>'_Engine_NR'!J240</f>
        <v/>
      </c>
      <c r="I11" s="354">
        <f>'_Engine_NR'!K240</f>
        <v/>
      </c>
      <c r="J11" s="354">
        <f>'_Engine_NR'!L240</f>
        <v/>
      </c>
      <c r="K11" s="354">
        <f>'_Engine_NR'!M240</f>
        <v/>
      </c>
      <c r="L11" s="404" t="n"/>
      <c r="M11" s="394" t="n"/>
    </row>
    <row r="12" ht="15" customHeight="1" s="307">
      <c r="A12" s="475" t="inlineStr">
        <is>
          <t>Year 9</t>
        </is>
      </c>
      <c r="B12" s="476">
        <f>'_Engine_NR'!B241</f>
        <v/>
      </c>
      <c r="C12" s="476">
        <f>'_Engine_NR'!C241</f>
        <v/>
      </c>
      <c r="D12" s="477">
        <f>'_Engine_NR'!N241</f>
        <v/>
      </c>
      <c r="E12" s="475" t="n"/>
      <c r="F12" s="478" t="n"/>
      <c r="G12" s="478" t="n"/>
      <c r="H12" s="476">
        <f>'_Engine_NR'!J241</f>
        <v/>
      </c>
      <c r="I12" s="476">
        <f>'_Engine_NR'!K241</f>
        <v/>
      </c>
      <c r="J12" s="476">
        <f>'_Engine_NR'!L241</f>
        <v/>
      </c>
      <c r="K12" s="476">
        <f>'_Engine_NR'!M241</f>
        <v/>
      </c>
      <c r="L12" s="478" t="n"/>
      <c r="M12" s="475" t="n"/>
    </row>
    <row r="13" ht="15" customHeight="1" s="307">
      <c r="A13" s="394" t="inlineStr">
        <is>
          <t>Year 10</t>
        </is>
      </c>
      <c r="B13" s="354">
        <f>'_Engine_NR'!B242</f>
        <v/>
      </c>
      <c r="C13" s="354">
        <f>'_Engine_NR'!C242</f>
        <v/>
      </c>
      <c r="D13" s="441">
        <f>'_Engine_NR'!N242</f>
        <v/>
      </c>
      <c r="E13" s="394" t="n"/>
      <c r="F13" s="404" t="n"/>
      <c r="G13" s="404" t="n"/>
      <c r="H13" s="354">
        <f>'_Engine_NR'!J242</f>
        <v/>
      </c>
      <c r="I13" s="354">
        <f>'_Engine_NR'!K242</f>
        <v/>
      </c>
      <c r="J13" s="354">
        <f>'_Engine_NR'!L242</f>
        <v/>
      </c>
      <c r="K13" s="354">
        <f>'_Engine_NR'!M242</f>
        <v/>
      </c>
      <c r="L13" s="404" t="n"/>
      <c r="M13" s="394" t="n"/>
    </row>
    <row r="14" ht="15" customHeight="1" s="307">
      <c r="A14" s="475" t="inlineStr">
        <is>
          <t>Year 11</t>
        </is>
      </c>
      <c r="B14" s="476">
        <f>'_Engine_NR'!B243</f>
        <v/>
      </c>
      <c r="C14" s="476">
        <f>'_Engine_NR'!C243</f>
        <v/>
      </c>
      <c r="D14" s="477">
        <f>'_Engine_NR'!N243</f>
        <v/>
      </c>
      <c r="E14" s="475" t="n"/>
      <c r="F14" s="478" t="n"/>
      <c r="G14" s="478" t="n"/>
      <c r="H14" s="476">
        <f>'_Engine_NR'!J243</f>
        <v/>
      </c>
      <c r="I14" s="476">
        <f>'_Engine_NR'!K243</f>
        <v/>
      </c>
      <c r="J14" s="476">
        <f>'_Engine_NR'!L243</f>
        <v/>
      </c>
      <c r="K14" s="476">
        <f>'_Engine_NR'!M243</f>
        <v/>
      </c>
      <c r="L14" s="478" t="n"/>
      <c r="M14" s="475" t="n"/>
    </row>
    <row r="15" ht="15" customHeight="1" s="307">
      <c r="A15" s="394" t="inlineStr">
        <is>
          <t>Year 12</t>
        </is>
      </c>
      <c r="B15" s="354">
        <f>'_Engine_NR'!B244</f>
        <v/>
      </c>
      <c r="C15" s="354">
        <f>'_Engine_NR'!C244</f>
        <v/>
      </c>
      <c r="D15" s="441">
        <f>'_Engine_NR'!N244</f>
        <v/>
      </c>
      <c r="E15" s="394" t="n"/>
      <c r="F15" s="404" t="n"/>
      <c r="G15" s="404" t="n"/>
      <c r="H15" s="354">
        <f>'_Engine_NR'!J244</f>
        <v/>
      </c>
      <c r="I15" s="354">
        <f>'_Engine_NR'!K244</f>
        <v/>
      </c>
      <c r="J15" s="354">
        <f>'_Engine_NR'!L244</f>
        <v/>
      </c>
      <c r="K15" s="354">
        <f>'_Engine_NR'!M244</f>
        <v/>
      </c>
      <c r="L15" s="404" t="n"/>
      <c r="M15" s="394" t="n"/>
    </row>
    <row r="16" ht="15" customHeight="1" s="307">
      <c r="A16" s="475" t="inlineStr">
        <is>
          <t>Year 13</t>
        </is>
      </c>
      <c r="B16" s="476">
        <f>'_Engine_NR'!B245</f>
        <v/>
      </c>
      <c r="C16" s="476">
        <f>'_Engine_NR'!C245</f>
        <v/>
      </c>
      <c r="D16" s="477">
        <f>'_Engine_NR'!N245</f>
        <v/>
      </c>
      <c r="E16" s="475" t="n"/>
      <c r="F16" s="478" t="n"/>
      <c r="G16" s="478" t="n"/>
      <c r="H16" s="476">
        <f>'_Engine_NR'!J245</f>
        <v/>
      </c>
      <c r="I16" s="476">
        <f>'_Engine_NR'!K245</f>
        <v/>
      </c>
      <c r="J16" s="476">
        <f>'_Engine_NR'!L245</f>
        <v/>
      </c>
      <c r="K16" s="476">
        <f>'_Engine_NR'!M245</f>
        <v/>
      </c>
      <c r="L16" s="478" t="n"/>
      <c r="M16" s="475" t="n"/>
    </row>
    <row r="17" ht="15" customHeight="1" s="307">
      <c r="A17" s="394" t="inlineStr">
        <is>
          <t>Year 14</t>
        </is>
      </c>
      <c r="B17" s="354">
        <f>'_Engine_NR'!B246</f>
        <v/>
      </c>
      <c r="C17" s="354">
        <f>'_Engine_NR'!C246</f>
        <v/>
      </c>
      <c r="D17" s="441">
        <f>'_Engine_NR'!N246</f>
        <v/>
      </c>
      <c r="E17" s="394" t="n"/>
      <c r="F17" s="404" t="n"/>
      <c r="G17" s="404" t="n"/>
      <c r="H17" s="354">
        <f>'_Engine_NR'!J246</f>
        <v/>
      </c>
      <c r="I17" s="354">
        <f>'_Engine_NR'!K246</f>
        <v/>
      </c>
      <c r="J17" s="354">
        <f>'_Engine_NR'!L246</f>
        <v/>
      </c>
      <c r="K17" s="354">
        <f>'_Engine_NR'!M246</f>
        <v/>
      </c>
      <c r="L17" s="404" t="n"/>
      <c r="M17" s="394" t="n"/>
    </row>
    <row r="18" ht="15" customHeight="1" s="307">
      <c r="A18" s="475" t="inlineStr">
        <is>
          <t>Year 15</t>
        </is>
      </c>
      <c r="B18" s="476">
        <f>'_Engine_NR'!B247</f>
        <v/>
      </c>
      <c r="C18" s="476">
        <f>'_Engine_NR'!C247</f>
        <v/>
      </c>
      <c r="D18" s="477">
        <f>'_Engine_NR'!N247</f>
        <v/>
      </c>
      <c r="E18" s="475" t="n"/>
      <c r="F18" s="478" t="n"/>
      <c r="G18" s="478" t="n"/>
      <c r="H18" s="476">
        <f>'_Engine_NR'!J247</f>
        <v/>
      </c>
      <c r="I18" s="476">
        <f>'_Engine_NR'!K247</f>
        <v/>
      </c>
      <c r="J18" s="476">
        <f>'_Engine_NR'!L247</f>
        <v/>
      </c>
      <c r="K18" s="476">
        <f>'_Engine_NR'!M247</f>
        <v/>
      </c>
      <c r="L18" s="478" t="n"/>
      <c r="M18" s="475" t="n"/>
    </row>
    <row r="19" ht="15" customHeight="1" s="307">
      <c r="A19" s="415" t="inlineStr">
        <is>
          <t>TOTAL</t>
        </is>
      </c>
      <c r="B19" s="479" t="n"/>
      <c r="C19" s="480" t="n"/>
      <c r="D19" s="481">
        <f>D18</f>
        <v/>
      </c>
      <c r="E19" s="482" t="n"/>
      <c r="F19" s="483" t="n"/>
      <c r="G19" s="483" t="n"/>
      <c r="H19" s="484">
        <f>'_Engine_NR'!L247</f>
        <v/>
      </c>
      <c r="I19" s="484">
        <f>'_Engine_NR'!M247</f>
        <v/>
      </c>
      <c r="J19" s="480" t="n"/>
      <c r="K19" s="480" t="n"/>
      <c r="L19" s="485" t="n"/>
      <c r="M19" s="486" t="n"/>
    </row>
    <row r="20" ht="15" customHeight="1" s="307">
      <c r="A20" s="407" t="n"/>
      <c r="B20" s="409" t="n"/>
      <c r="C20" s="487" t="n"/>
      <c r="D20" s="488" t="n"/>
      <c r="E20" s="489" t="n"/>
      <c r="F20" s="490" t="n"/>
      <c r="G20" s="490" t="n"/>
      <c r="H20" s="491" t="n"/>
      <c r="I20" s="492" t="n"/>
      <c r="J20" s="487" t="n"/>
      <c r="K20" s="487" t="n"/>
      <c r="L20" s="413" t="n"/>
      <c r="M20" s="493" t="n"/>
    </row>
    <row r="21" ht="15" customHeight="1" s="307">
      <c r="A21" s="406" t="n"/>
      <c r="B21" s="494" t="n"/>
      <c r="C21" s="494" t="n"/>
      <c r="D21" s="495" t="n"/>
      <c r="E21" s="494" t="n"/>
      <c r="F21" s="494" t="n"/>
      <c r="G21" s="494" t="n"/>
      <c r="H21" s="496" t="n"/>
      <c r="I21" s="496" t="n"/>
      <c r="J21" s="494" t="n"/>
      <c r="K21" s="494" t="n"/>
      <c r="L21" s="497" t="n"/>
      <c r="M21" s="494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4"/>
  </cols>
  <sheetData>
    <row r="1" ht="25.5" customHeight="1" s="307">
      <c r="A1" s="385" t="inlineStr">
        <is>
          <t>WATERFALL  |  50% RECYCLE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9.5" customHeight="1" s="307">
      <c r="A3" s="388" t="inlineStr">
        <is>
          <t>Year</t>
        </is>
      </c>
      <c r="B3" s="388" t="inlineStr">
        <is>
          <t>Distributable</t>
        </is>
      </c>
      <c r="C3" s="388" t="inlineStr">
        <is>
          <t>Cumulative</t>
        </is>
      </c>
      <c r="D3" s="388" t="inlineStr">
        <is>
          <t>MOIC</t>
        </is>
      </c>
      <c r="E3" s="388" t="n"/>
      <c r="F3" s="388" t="n"/>
      <c r="G3" s="388" t="n"/>
      <c r="H3" s="388" t="inlineStr">
        <is>
          <t>LP Cash</t>
        </is>
      </c>
      <c r="I3" s="388" t="inlineStr">
        <is>
          <t>GP Carry</t>
        </is>
      </c>
      <c r="J3" s="388" t="inlineStr">
        <is>
          <t>Cum LP</t>
        </is>
      </c>
      <c r="K3" s="388" t="inlineStr">
        <is>
          <t>Cum GP</t>
        </is>
      </c>
      <c r="L3" s="388" t="n"/>
      <c r="M3" s="388" t="n"/>
    </row>
    <row r="4" ht="15" customHeight="1" s="307">
      <c r="A4" s="475" t="inlineStr">
        <is>
          <t>Year 1</t>
        </is>
      </c>
      <c r="B4" s="476">
        <f>'_Engine_R50'!B233</f>
        <v/>
      </c>
      <c r="C4" s="476">
        <f>'_Engine_R50'!C233</f>
        <v/>
      </c>
      <c r="D4" s="477">
        <f>'_Engine_R50'!N233</f>
        <v/>
      </c>
      <c r="E4" s="475" t="n"/>
      <c r="F4" s="478" t="n"/>
      <c r="G4" s="478" t="n"/>
      <c r="H4" s="476">
        <f>'_Engine_R50'!J233</f>
        <v/>
      </c>
      <c r="I4" s="476">
        <f>'_Engine_R50'!K233</f>
        <v/>
      </c>
      <c r="J4" s="476">
        <f>'_Engine_R50'!L233</f>
        <v/>
      </c>
      <c r="K4" s="476">
        <f>'_Engine_R50'!M233</f>
        <v/>
      </c>
      <c r="L4" s="478" t="n"/>
      <c r="M4" s="475" t="n"/>
    </row>
    <row r="5" ht="15" customHeight="1" s="307">
      <c r="A5" s="394" t="inlineStr">
        <is>
          <t>Year 2</t>
        </is>
      </c>
      <c r="B5" s="354">
        <f>'_Engine_R50'!B234</f>
        <v/>
      </c>
      <c r="C5" s="354">
        <f>'_Engine_R50'!C234</f>
        <v/>
      </c>
      <c r="D5" s="441">
        <f>'_Engine_R50'!N234</f>
        <v/>
      </c>
      <c r="E5" s="394" t="n"/>
      <c r="F5" s="404" t="n"/>
      <c r="G5" s="404" t="n"/>
      <c r="H5" s="354">
        <f>'_Engine_R50'!J234</f>
        <v/>
      </c>
      <c r="I5" s="354">
        <f>'_Engine_R50'!K234</f>
        <v/>
      </c>
      <c r="J5" s="354">
        <f>'_Engine_R50'!L234</f>
        <v/>
      </c>
      <c r="K5" s="354">
        <f>'_Engine_R50'!M234</f>
        <v/>
      </c>
      <c r="L5" s="404" t="n"/>
      <c r="M5" s="394" t="n"/>
    </row>
    <row r="6" ht="15" customHeight="1" s="307">
      <c r="A6" s="475" t="inlineStr">
        <is>
          <t>Year 3</t>
        </is>
      </c>
      <c r="B6" s="476">
        <f>'_Engine_R50'!B235</f>
        <v/>
      </c>
      <c r="C6" s="476">
        <f>'_Engine_R50'!C235</f>
        <v/>
      </c>
      <c r="D6" s="477">
        <f>'_Engine_R50'!N235</f>
        <v/>
      </c>
      <c r="E6" s="475" t="n"/>
      <c r="F6" s="478" t="n"/>
      <c r="G6" s="478" t="n"/>
      <c r="H6" s="476">
        <f>'_Engine_R50'!J235</f>
        <v/>
      </c>
      <c r="I6" s="476">
        <f>'_Engine_R50'!K235</f>
        <v/>
      </c>
      <c r="J6" s="476">
        <f>'_Engine_R50'!L235</f>
        <v/>
      </c>
      <c r="K6" s="476">
        <f>'_Engine_R50'!M235</f>
        <v/>
      </c>
      <c r="L6" s="478" t="n"/>
      <c r="M6" s="475" t="n"/>
    </row>
    <row r="7" ht="15" customHeight="1" s="307">
      <c r="A7" s="394" t="inlineStr">
        <is>
          <t>Year 4</t>
        </is>
      </c>
      <c r="B7" s="354">
        <f>'_Engine_R50'!B236</f>
        <v/>
      </c>
      <c r="C7" s="354">
        <f>'_Engine_R50'!C236</f>
        <v/>
      </c>
      <c r="D7" s="441">
        <f>'_Engine_R50'!N236</f>
        <v/>
      </c>
      <c r="E7" s="394" t="n"/>
      <c r="F7" s="404" t="n"/>
      <c r="G7" s="404" t="n"/>
      <c r="H7" s="354">
        <f>'_Engine_R50'!J236</f>
        <v/>
      </c>
      <c r="I7" s="354">
        <f>'_Engine_R50'!K236</f>
        <v/>
      </c>
      <c r="J7" s="354">
        <f>'_Engine_R50'!L236</f>
        <v/>
      </c>
      <c r="K7" s="354">
        <f>'_Engine_R50'!M236</f>
        <v/>
      </c>
      <c r="L7" s="404" t="n"/>
      <c r="M7" s="394" t="n"/>
    </row>
    <row r="8" ht="15" customHeight="1" s="307">
      <c r="A8" s="475" t="inlineStr">
        <is>
          <t>Year 5</t>
        </is>
      </c>
      <c r="B8" s="476">
        <f>'_Engine_R50'!B237</f>
        <v/>
      </c>
      <c r="C8" s="476">
        <f>'_Engine_R50'!C237</f>
        <v/>
      </c>
      <c r="D8" s="477">
        <f>'_Engine_R50'!N237</f>
        <v/>
      </c>
      <c r="E8" s="475" t="n"/>
      <c r="F8" s="478" t="n"/>
      <c r="G8" s="478" t="n"/>
      <c r="H8" s="476">
        <f>'_Engine_R50'!J237</f>
        <v/>
      </c>
      <c r="I8" s="476">
        <f>'_Engine_R50'!K237</f>
        <v/>
      </c>
      <c r="J8" s="476">
        <f>'_Engine_R50'!L237</f>
        <v/>
      </c>
      <c r="K8" s="476">
        <f>'_Engine_R50'!M237</f>
        <v/>
      </c>
      <c r="L8" s="478" t="n"/>
      <c r="M8" s="475" t="n"/>
    </row>
    <row r="9" ht="15" customHeight="1" s="307">
      <c r="A9" s="394" t="inlineStr">
        <is>
          <t>Year 6</t>
        </is>
      </c>
      <c r="B9" s="354">
        <f>'_Engine_R50'!B238</f>
        <v/>
      </c>
      <c r="C9" s="354">
        <f>'_Engine_R50'!C238</f>
        <v/>
      </c>
      <c r="D9" s="441">
        <f>'_Engine_R50'!N238</f>
        <v/>
      </c>
      <c r="E9" s="394" t="n"/>
      <c r="F9" s="404" t="n"/>
      <c r="G9" s="404" t="n"/>
      <c r="H9" s="354">
        <f>'_Engine_R50'!J238</f>
        <v/>
      </c>
      <c r="I9" s="354">
        <f>'_Engine_R50'!K238</f>
        <v/>
      </c>
      <c r="J9" s="354">
        <f>'_Engine_R50'!L238</f>
        <v/>
      </c>
      <c r="K9" s="354">
        <f>'_Engine_R50'!M238</f>
        <v/>
      </c>
      <c r="L9" s="404" t="n"/>
      <c r="M9" s="394" t="n"/>
    </row>
    <row r="10" ht="15" customHeight="1" s="307">
      <c r="A10" s="475" t="inlineStr">
        <is>
          <t>Year 7</t>
        </is>
      </c>
      <c r="B10" s="476">
        <f>'_Engine_R50'!B239</f>
        <v/>
      </c>
      <c r="C10" s="476">
        <f>'_Engine_R50'!C239</f>
        <v/>
      </c>
      <c r="D10" s="477">
        <f>'_Engine_R50'!N239</f>
        <v/>
      </c>
      <c r="E10" s="475" t="n"/>
      <c r="F10" s="478" t="n"/>
      <c r="G10" s="478" t="n"/>
      <c r="H10" s="476">
        <f>'_Engine_R50'!J239</f>
        <v/>
      </c>
      <c r="I10" s="476">
        <f>'_Engine_R50'!K239</f>
        <v/>
      </c>
      <c r="J10" s="476">
        <f>'_Engine_R50'!L239</f>
        <v/>
      </c>
      <c r="K10" s="476">
        <f>'_Engine_R50'!M239</f>
        <v/>
      </c>
      <c r="L10" s="478" t="n"/>
      <c r="M10" s="475" t="n"/>
    </row>
    <row r="11" ht="15" customHeight="1" s="307">
      <c r="A11" s="394" t="inlineStr">
        <is>
          <t>Year 8</t>
        </is>
      </c>
      <c r="B11" s="354">
        <f>'_Engine_R50'!B240</f>
        <v/>
      </c>
      <c r="C11" s="354">
        <f>'_Engine_R50'!C240</f>
        <v/>
      </c>
      <c r="D11" s="441">
        <f>'_Engine_R50'!N240</f>
        <v/>
      </c>
      <c r="E11" s="394" t="n"/>
      <c r="F11" s="404" t="n"/>
      <c r="G11" s="404" t="n"/>
      <c r="H11" s="354">
        <f>'_Engine_R50'!J240</f>
        <v/>
      </c>
      <c r="I11" s="354">
        <f>'_Engine_R50'!K240</f>
        <v/>
      </c>
      <c r="J11" s="354">
        <f>'_Engine_R50'!L240</f>
        <v/>
      </c>
      <c r="K11" s="354">
        <f>'_Engine_R50'!M240</f>
        <v/>
      </c>
      <c r="L11" s="404" t="n"/>
      <c r="M11" s="394" t="n"/>
    </row>
    <row r="12" ht="15" customHeight="1" s="307">
      <c r="A12" s="475" t="inlineStr">
        <is>
          <t>Year 9</t>
        </is>
      </c>
      <c r="B12" s="476">
        <f>'_Engine_R50'!B241</f>
        <v/>
      </c>
      <c r="C12" s="476">
        <f>'_Engine_R50'!C241</f>
        <v/>
      </c>
      <c r="D12" s="477">
        <f>'_Engine_R50'!N241</f>
        <v/>
      </c>
      <c r="E12" s="475" t="n"/>
      <c r="F12" s="478" t="n"/>
      <c r="G12" s="478" t="n"/>
      <c r="H12" s="476">
        <f>'_Engine_R50'!J241</f>
        <v/>
      </c>
      <c r="I12" s="476">
        <f>'_Engine_R50'!K241</f>
        <v/>
      </c>
      <c r="J12" s="476">
        <f>'_Engine_R50'!L241</f>
        <v/>
      </c>
      <c r="K12" s="476">
        <f>'_Engine_R50'!M241</f>
        <v/>
      </c>
      <c r="L12" s="478" t="n"/>
      <c r="M12" s="475" t="n"/>
    </row>
    <row r="13" ht="15" customHeight="1" s="307">
      <c r="A13" s="394" t="inlineStr">
        <is>
          <t>Year 10</t>
        </is>
      </c>
      <c r="B13" s="354">
        <f>'_Engine_R50'!B242</f>
        <v/>
      </c>
      <c r="C13" s="354">
        <f>'_Engine_R50'!C242</f>
        <v/>
      </c>
      <c r="D13" s="441">
        <f>'_Engine_R50'!N242</f>
        <v/>
      </c>
      <c r="E13" s="394" t="n"/>
      <c r="F13" s="404" t="n"/>
      <c r="G13" s="404" t="n"/>
      <c r="H13" s="354">
        <f>'_Engine_R50'!J242</f>
        <v/>
      </c>
      <c r="I13" s="354">
        <f>'_Engine_R50'!K242</f>
        <v/>
      </c>
      <c r="J13" s="354">
        <f>'_Engine_R50'!L242</f>
        <v/>
      </c>
      <c r="K13" s="354">
        <f>'_Engine_R50'!M242</f>
        <v/>
      </c>
      <c r="L13" s="404" t="n"/>
      <c r="M13" s="394" t="n"/>
    </row>
    <row r="14" ht="15" customHeight="1" s="307">
      <c r="A14" s="475" t="inlineStr">
        <is>
          <t>Year 11</t>
        </is>
      </c>
      <c r="B14" s="476">
        <f>'_Engine_R50'!B243</f>
        <v/>
      </c>
      <c r="C14" s="476">
        <f>'_Engine_R50'!C243</f>
        <v/>
      </c>
      <c r="D14" s="477">
        <f>'_Engine_R50'!N243</f>
        <v/>
      </c>
      <c r="E14" s="475" t="n"/>
      <c r="F14" s="478" t="n"/>
      <c r="G14" s="478" t="n"/>
      <c r="H14" s="476">
        <f>'_Engine_R50'!J243</f>
        <v/>
      </c>
      <c r="I14" s="476">
        <f>'_Engine_R50'!K243</f>
        <v/>
      </c>
      <c r="J14" s="476">
        <f>'_Engine_R50'!L243</f>
        <v/>
      </c>
      <c r="K14" s="476">
        <f>'_Engine_R50'!M243</f>
        <v/>
      </c>
      <c r="L14" s="478" t="n"/>
      <c r="M14" s="475" t="n"/>
    </row>
    <row r="15" ht="15" customHeight="1" s="307">
      <c r="A15" s="394" t="inlineStr">
        <is>
          <t>Year 12</t>
        </is>
      </c>
      <c r="B15" s="354">
        <f>'_Engine_R50'!B244</f>
        <v/>
      </c>
      <c r="C15" s="354">
        <f>'_Engine_R50'!C244</f>
        <v/>
      </c>
      <c r="D15" s="441">
        <f>'_Engine_R50'!N244</f>
        <v/>
      </c>
      <c r="E15" s="394" t="n"/>
      <c r="F15" s="404" t="n"/>
      <c r="G15" s="404" t="n"/>
      <c r="H15" s="354">
        <f>'_Engine_R50'!J244</f>
        <v/>
      </c>
      <c r="I15" s="354">
        <f>'_Engine_R50'!K244</f>
        <v/>
      </c>
      <c r="J15" s="354">
        <f>'_Engine_R50'!L244</f>
        <v/>
      </c>
      <c r="K15" s="354">
        <f>'_Engine_R50'!M244</f>
        <v/>
      </c>
      <c r="L15" s="404" t="n"/>
      <c r="M15" s="394" t="n"/>
    </row>
    <row r="16" ht="15" customHeight="1" s="307">
      <c r="A16" s="475" t="inlineStr">
        <is>
          <t>Year 13</t>
        </is>
      </c>
      <c r="B16" s="476">
        <f>'_Engine_R50'!B245</f>
        <v/>
      </c>
      <c r="C16" s="476">
        <f>'_Engine_R50'!C245</f>
        <v/>
      </c>
      <c r="D16" s="477">
        <f>'_Engine_R50'!N245</f>
        <v/>
      </c>
      <c r="E16" s="475" t="n"/>
      <c r="F16" s="478" t="n"/>
      <c r="G16" s="478" t="n"/>
      <c r="H16" s="476">
        <f>'_Engine_R50'!J245</f>
        <v/>
      </c>
      <c r="I16" s="476">
        <f>'_Engine_R50'!K245</f>
        <v/>
      </c>
      <c r="J16" s="476">
        <f>'_Engine_R50'!L245</f>
        <v/>
      </c>
      <c r="K16" s="476">
        <f>'_Engine_R50'!M245</f>
        <v/>
      </c>
      <c r="L16" s="478" t="n"/>
      <c r="M16" s="475" t="n"/>
    </row>
    <row r="17" ht="15" customHeight="1" s="307">
      <c r="A17" s="394" t="inlineStr">
        <is>
          <t>Year 14</t>
        </is>
      </c>
      <c r="B17" s="354">
        <f>'_Engine_R50'!B246</f>
        <v/>
      </c>
      <c r="C17" s="354">
        <f>'_Engine_R50'!C246</f>
        <v/>
      </c>
      <c r="D17" s="441">
        <f>'_Engine_R50'!N246</f>
        <v/>
      </c>
      <c r="E17" s="394" t="n"/>
      <c r="F17" s="404" t="n"/>
      <c r="G17" s="404" t="n"/>
      <c r="H17" s="354">
        <f>'_Engine_R50'!J246</f>
        <v/>
      </c>
      <c r="I17" s="354">
        <f>'_Engine_R50'!K246</f>
        <v/>
      </c>
      <c r="J17" s="354">
        <f>'_Engine_R50'!L246</f>
        <v/>
      </c>
      <c r="K17" s="354">
        <f>'_Engine_R50'!M246</f>
        <v/>
      </c>
      <c r="L17" s="404" t="n"/>
      <c r="M17" s="394" t="n"/>
    </row>
    <row r="18" ht="15" customHeight="1" s="307">
      <c r="A18" s="475" t="inlineStr">
        <is>
          <t>Year 15</t>
        </is>
      </c>
      <c r="B18" s="476">
        <f>'_Engine_R50'!B247</f>
        <v/>
      </c>
      <c r="C18" s="476">
        <f>'_Engine_R50'!C247</f>
        <v/>
      </c>
      <c r="D18" s="477">
        <f>'_Engine_R50'!N247</f>
        <v/>
      </c>
      <c r="E18" s="475" t="n"/>
      <c r="F18" s="478" t="n"/>
      <c r="G18" s="478" t="n"/>
      <c r="H18" s="476">
        <f>'_Engine_R50'!J247</f>
        <v/>
      </c>
      <c r="I18" s="476">
        <f>'_Engine_R50'!K247</f>
        <v/>
      </c>
      <c r="J18" s="476">
        <f>'_Engine_R50'!L247</f>
        <v/>
      </c>
      <c r="K18" s="476">
        <f>'_Engine_R50'!M247</f>
        <v/>
      </c>
      <c r="L18" s="478" t="n"/>
      <c r="M18" s="475" t="n"/>
    </row>
    <row r="19" ht="15" customHeight="1" s="307">
      <c r="A19" s="415" t="inlineStr">
        <is>
          <t>TOTAL</t>
        </is>
      </c>
      <c r="B19" s="479" t="n"/>
      <c r="C19" s="480" t="n"/>
      <c r="D19" s="481">
        <f>D18</f>
        <v/>
      </c>
      <c r="E19" s="482" t="n"/>
      <c r="F19" s="483" t="n"/>
      <c r="G19" s="483" t="n"/>
      <c r="H19" s="484">
        <f>'_Engine_R50'!L247</f>
        <v/>
      </c>
      <c r="I19" s="484">
        <f>'_Engine_R50'!M247</f>
        <v/>
      </c>
      <c r="J19" s="480" t="n"/>
      <c r="K19" s="480" t="n"/>
      <c r="L19" s="485" t="n"/>
      <c r="M19" s="486" t="n"/>
    </row>
    <row r="20" ht="15" customHeight="1" s="307">
      <c r="A20" s="407" t="n"/>
      <c r="B20" s="409" t="n"/>
      <c r="C20" s="487" t="n"/>
      <c r="D20" s="488" t="n"/>
      <c r="E20" s="489" t="n"/>
      <c r="F20" s="490" t="n"/>
      <c r="G20" s="490" t="n"/>
      <c r="H20" s="491" t="n"/>
      <c r="I20" s="492" t="n"/>
      <c r="J20" s="487" t="n"/>
      <c r="K20" s="487" t="n"/>
      <c r="L20" s="413" t="n"/>
      <c r="M20" s="493" t="n"/>
    </row>
    <row r="21" ht="15" customHeight="1" s="307">
      <c r="A21" s="406" t="n"/>
      <c r="B21" s="494" t="n"/>
      <c r="C21" s="494" t="n"/>
      <c r="D21" s="495" t="n"/>
      <c r="E21" s="494" t="n"/>
      <c r="F21" s="494" t="n"/>
      <c r="G21" s="494" t="n"/>
      <c r="H21" s="496" t="n"/>
      <c r="I21" s="496" t="n"/>
      <c r="J21" s="494" t="n"/>
      <c r="K21" s="494" t="n"/>
      <c r="L21" s="497" t="n"/>
      <c r="M21" s="494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3"/>
  </cols>
  <sheetData>
    <row r="1" ht="15.75" customHeight="1" s="307">
      <c r="A1" s="471" t="inlineStr">
        <is>
          <t>WATERFALL  |  100% RECYCLE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306" t="n"/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5" customHeight="1" s="307">
      <c r="A3" s="388" t="inlineStr">
        <is>
          <t>Year</t>
        </is>
      </c>
      <c r="B3" s="388" t="inlineStr">
        <is>
          <t>Distributable</t>
        </is>
      </c>
      <c r="C3" s="388" t="inlineStr">
        <is>
          <t>Cumulative</t>
        </is>
      </c>
      <c r="D3" s="388" t="inlineStr">
        <is>
          <t>MOIC</t>
        </is>
      </c>
      <c r="E3" s="388" t="n"/>
      <c r="F3" s="388" t="n"/>
      <c r="G3" s="388" t="n"/>
      <c r="H3" s="388" t="inlineStr">
        <is>
          <t>LP Cash</t>
        </is>
      </c>
      <c r="I3" s="388" t="inlineStr">
        <is>
          <t>GP Carry</t>
        </is>
      </c>
      <c r="J3" s="388" t="inlineStr">
        <is>
          <t>Cum LP</t>
        </is>
      </c>
      <c r="K3" s="388" t="inlineStr">
        <is>
          <t>Cum GP</t>
        </is>
      </c>
      <c r="L3" s="388" t="n"/>
      <c r="M3" s="388" t="n"/>
    </row>
    <row r="4" ht="15" customHeight="1" s="307">
      <c r="A4" s="498" t="inlineStr">
        <is>
          <t>Year 1</t>
        </is>
      </c>
      <c r="B4" s="476">
        <f>'_Engine_R100'!B233</f>
        <v/>
      </c>
      <c r="C4" s="476">
        <f>'_Engine_R100'!C233</f>
        <v/>
      </c>
      <c r="D4" s="477">
        <f>'_Engine_R100'!N233</f>
        <v/>
      </c>
      <c r="E4" s="499" t="n"/>
      <c r="F4" s="499" t="n"/>
      <c r="G4" s="499" t="n"/>
      <c r="H4" s="476">
        <f>'_Engine_R100'!J233</f>
        <v/>
      </c>
      <c r="I4" s="476">
        <f>'_Engine_R100'!K233</f>
        <v/>
      </c>
      <c r="J4" s="476">
        <f>'_Engine_R100'!L233</f>
        <v/>
      </c>
      <c r="K4" s="476">
        <f>'_Engine_R100'!M233</f>
        <v/>
      </c>
      <c r="L4" s="499" t="n"/>
      <c r="M4" s="499" t="n"/>
    </row>
    <row r="5" ht="15" customHeight="1" s="307">
      <c r="A5" s="321" t="inlineStr">
        <is>
          <t>Year 2</t>
        </is>
      </c>
      <c r="B5" s="354">
        <f>'_Engine_R100'!B234</f>
        <v/>
      </c>
      <c r="C5" s="354">
        <f>'_Engine_R100'!C234</f>
        <v/>
      </c>
      <c r="D5" s="441">
        <f>'_Engine_R100'!N234</f>
        <v/>
      </c>
      <c r="E5" s="306" t="n"/>
      <c r="F5" s="306" t="n"/>
      <c r="G5" s="306" t="n"/>
      <c r="H5" s="354">
        <f>'_Engine_R100'!J234</f>
        <v/>
      </c>
      <c r="I5" s="354">
        <f>'_Engine_R100'!K234</f>
        <v/>
      </c>
      <c r="J5" s="354">
        <f>'_Engine_R100'!L234</f>
        <v/>
      </c>
      <c r="K5" s="354">
        <f>'_Engine_R100'!M234</f>
        <v/>
      </c>
      <c r="L5" s="306" t="n"/>
      <c r="M5" s="306" t="n"/>
    </row>
    <row r="6" ht="15" customHeight="1" s="307">
      <c r="A6" s="498" t="inlineStr">
        <is>
          <t>Year 3</t>
        </is>
      </c>
      <c r="B6" s="476">
        <f>'_Engine_R100'!B235</f>
        <v/>
      </c>
      <c r="C6" s="476">
        <f>'_Engine_R100'!C235</f>
        <v/>
      </c>
      <c r="D6" s="477">
        <f>'_Engine_R100'!N235</f>
        <v/>
      </c>
      <c r="E6" s="499" t="n"/>
      <c r="F6" s="499" t="n"/>
      <c r="G6" s="499" t="n"/>
      <c r="H6" s="476">
        <f>'_Engine_R100'!J235</f>
        <v/>
      </c>
      <c r="I6" s="476">
        <f>'_Engine_R100'!K235</f>
        <v/>
      </c>
      <c r="J6" s="476">
        <f>'_Engine_R100'!L235</f>
        <v/>
      </c>
      <c r="K6" s="476">
        <f>'_Engine_R100'!M235</f>
        <v/>
      </c>
      <c r="L6" s="499" t="n"/>
      <c r="M6" s="499" t="n"/>
    </row>
    <row r="7" ht="15" customHeight="1" s="307">
      <c r="A7" s="321" t="inlineStr">
        <is>
          <t>Year 4</t>
        </is>
      </c>
      <c r="B7" s="354">
        <f>'_Engine_R100'!B236</f>
        <v/>
      </c>
      <c r="C7" s="354">
        <f>'_Engine_R100'!C236</f>
        <v/>
      </c>
      <c r="D7" s="441">
        <f>'_Engine_R100'!N236</f>
        <v/>
      </c>
      <c r="E7" s="306" t="n"/>
      <c r="F7" s="306" t="n"/>
      <c r="G7" s="306" t="n"/>
      <c r="H7" s="354">
        <f>'_Engine_R100'!J236</f>
        <v/>
      </c>
      <c r="I7" s="354">
        <f>'_Engine_R100'!K236</f>
        <v/>
      </c>
      <c r="J7" s="354">
        <f>'_Engine_R100'!L236</f>
        <v/>
      </c>
      <c r="K7" s="354">
        <f>'_Engine_R100'!M236</f>
        <v/>
      </c>
      <c r="L7" s="306" t="n"/>
      <c r="M7" s="306" t="n"/>
    </row>
    <row r="8" ht="15" customHeight="1" s="307">
      <c r="A8" s="498" t="inlineStr">
        <is>
          <t>Year 5</t>
        </is>
      </c>
      <c r="B8" s="476">
        <f>'_Engine_R100'!B237</f>
        <v/>
      </c>
      <c r="C8" s="476">
        <f>'_Engine_R100'!C237</f>
        <v/>
      </c>
      <c r="D8" s="477">
        <f>'_Engine_R100'!N237</f>
        <v/>
      </c>
      <c r="E8" s="499" t="n"/>
      <c r="F8" s="499" t="n"/>
      <c r="G8" s="499" t="n"/>
      <c r="H8" s="476">
        <f>'_Engine_R100'!J237</f>
        <v/>
      </c>
      <c r="I8" s="476">
        <f>'_Engine_R100'!K237</f>
        <v/>
      </c>
      <c r="J8" s="476">
        <f>'_Engine_R100'!L237</f>
        <v/>
      </c>
      <c r="K8" s="476">
        <f>'_Engine_R100'!M237</f>
        <v/>
      </c>
      <c r="L8" s="499" t="n"/>
      <c r="M8" s="499" t="n"/>
    </row>
    <row r="9" ht="15" customHeight="1" s="307">
      <c r="A9" s="321" t="inlineStr">
        <is>
          <t>Year 6</t>
        </is>
      </c>
      <c r="B9" s="354">
        <f>'_Engine_R100'!B238</f>
        <v/>
      </c>
      <c r="C9" s="354">
        <f>'_Engine_R100'!C238</f>
        <v/>
      </c>
      <c r="D9" s="441">
        <f>'_Engine_R100'!N238</f>
        <v/>
      </c>
      <c r="E9" s="306" t="n"/>
      <c r="F9" s="306" t="n"/>
      <c r="G9" s="306" t="n"/>
      <c r="H9" s="354">
        <f>'_Engine_R100'!J238</f>
        <v/>
      </c>
      <c r="I9" s="354">
        <f>'_Engine_R100'!K238</f>
        <v/>
      </c>
      <c r="J9" s="354">
        <f>'_Engine_R100'!L238</f>
        <v/>
      </c>
      <c r="K9" s="354">
        <f>'_Engine_R100'!M238</f>
        <v/>
      </c>
      <c r="L9" s="306" t="n"/>
      <c r="M9" s="306" t="n"/>
    </row>
    <row r="10" ht="15" customHeight="1" s="307">
      <c r="A10" s="498" t="inlineStr">
        <is>
          <t>Year 7</t>
        </is>
      </c>
      <c r="B10" s="476">
        <f>'_Engine_R100'!B239</f>
        <v/>
      </c>
      <c r="C10" s="476">
        <f>'_Engine_R100'!C239</f>
        <v/>
      </c>
      <c r="D10" s="477">
        <f>'_Engine_R100'!N239</f>
        <v/>
      </c>
      <c r="E10" s="499" t="n"/>
      <c r="F10" s="499" t="n"/>
      <c r="G10" s="499" t="n"/>
      <c r="H10" s="476">
        <f>'_Engine_R100'!J239</f>
        <v/>
      </c>
      <c r="I10" s="476">
        <f>'_Engine_R100'!K239</f>
        <v/>
      </c>
      <c r="J10" s="476">
        <f>'_Engine_R100'!L239</f>
        <v/>
      </c>
      <c r="K10" s="476">
        <f>'_Engine_R100'!M239</f>
        <v/>
      </c>
      <c r="L10" s="499" t="n"/>
      <c r="M10" s="499" t="n"/>
    </row>
    <row r="11" ht="15" customHeight="1" s="307">
      <c r="A11" s="321" t="inlineStr">
        <is>
          <t>Year 8</t>
        </is>
      </c>
      <c r="B11" s="354">
        <f>'_Engine_R100'!B240</f>
        <v/>
      </c>
      <c r="C11" s="354">
        <f>'_Engine_R100'!C240</f>
        <v/>
      </c>
      <c r="D11" s="441">
        <f>'_Engine_R100'!N240</f>
        <v/>
      </c>
      <c r="E11" s="306" t="n"/>
      <c r="F11" s="306" t="n"/>
      <c r="G11" s="306" t="n"/>
      <c r="H11" s="354">
        <f>'_Engine_R100'!J240</f>
        <v/>
      </c>
      <c r="I11" s="354">
        <f>'_Engine_R100'!K240</f>
        <v/>
      </c>
      <c r="J11" s="354">
        <f>'_Engine_R100'!L240</f>
        <v/>
      </c>
      <c r="K11" s="354">
        <f>'_Engine_R100'!M240</f>
        <v/>
      </c>
      <c r="L11" s="306" t="n"/>
      <c r="M11" s="306" t="n"/>
    </row>
    <row r="12" ht="15" customHeight="1" s="307">
      <c r="A12" s="498" t="inlineStr">
        <is>
          <t>Year 9</t>
        </is>
      </c>
      <c r="B12" s="476">
        <f>'_Engine_R100'!B241</f>
        <v/>
      </c>
      <c r="C12" s="476">
        <f>'_Engine_R100'!C241</f>
        <v/>
      </c>
      <c r="D12" s="477">
        <f>'_Engine_R100'!N241</f>
        <v/>
      </c>
      <c r="E12" s="499" t="n"/>
      <c r="F12" s="499" t="n"/>
      <c r="G12" s="499" t="n"/>
      <c r="H12" s="476">
        <f>'_Engine_R100'!J241</f>
        <v/>
      </c>
      <c r="I12" s="476">
        <f>'_Engine_R100'!K241</f>
        <v/>
      </c>
      <c r="J12" s="476">
        <f>'_Engine_R100'!L241</f>
        <v/>
      </c>
      <c r="K12" s="476">
        <f>'_Engine_R100'!M241</f>
        <v/>
      </c>
      <c r="L12" s="499" t="n"/>
      <c r="M12" s="499" t="n"/>
    </row>
    <row r="13" ht="15" customHeight="1" s="307">
      <c r="A13" s="321" t="inlineStr">
        <is>
          <t>Year 10</t>
        </is>
      </c>
      <c r="B13" s="354">
        <f>'_Engine_R100'!B242</f>
        <v/>
      </c>
      <c r="C13" s="354">
        <f>'_Engine_R100'!C242</f>
        <v/>
      </c>
      <c r="D13" s="441">
        <f>'_Engine_R100'!N242</f>
        <v/>
      </c>
      <c r="E13" s="306" t="n"/>
      <c r="F13" s="306" t="n"/>
      <c r="G13" s="306" t="n"/>
      <c r="H13" s="354">
        <f>'_Engine_R100'!J242</f>
        <v/>
      </c>
      <c r="I13" s="354">
        <f>'_Engine_R100'!K242</f>
        <v/>
      </c>
      <c r="J13" s="354">
        <f>'_Engine_R100'!L242</f>
        <v/>
      </c>
      <c r="K13" s="354">
        <f>'_Engine_R100'!M242</f>
        <v/>
      </c>
      <c r="L13" s="306" t="n"/>
      <c r="M13" s="306" t="n"/>
    </row>
    <row r="14" ht="15" customHeight="1" s="307">
      <c r="A14" s="498" t="inlineStr">
        <is>
          <t>Year 11</t>
        </is>
      </c>
      <c r="B14" s="476">
        <f>'_Engine_R100'!B243</f>
        <v/>
      </c>
      <c r="C14" s="476">
        <f>'_Engine_R100'!C243</f>
        <v/>
      </c>
      <c r="D14" s="477">
        <f>'_Engine_R100'!N243</f>
        <v/>
      </c>
      <c r="E14" s="499" t="n"/>
      <c r="F14" s="499" t="n"/>
      <c r="G14" s="499" t="n"/>
      <c r="H14" s="476">
        <f>'_Engine_R100'!J243</f>
        <v/>
      </c>
      <c r="I14" s="476">
        <f>'_Engine_R100'!K243</f>
        <v/>
      </c>
      <c r="J14" s="476">
        <f>'_Engine_R100'!L243</f>
        <v/>
      </c>
      <c r="K14" s="476">
        <f>'_Engine_R100'!M243</f>
        <v/>
      </c>
      <c r="L14" s="499" t="n"/>
      <c r="M14" s="499" t="n"/>
    </row>
    <row r="15" ht="15" customHeight="1" s="307">
      <c r="A15" s="321" t="inlineStr">
        <is>
          <t>Year 12</t>
        </is>
      </c>
      <c r="B15" s="354">
        <f>'_Engine_R100'!B244</f>
        <v/>
      </c>
      <c r="C15" s="354">
        <f>'_Engine_R100'!C244</f>
        <v/>
      </c>
      <c r="D15" s="441">
        <f>'_Engine_R100'!N244</f>
        <v/>
      </c>
      <c r="E15" s="306" t="n"/>
      <c r="F15" s="306" t="n"/>
      <c r="G15" s="306" t="n"/>
      <c r="H15" s="354">
        <f>'_Engine_R100'!J244</f>
        <v/>
      </c>
      <c r="I15" s="354">
        <f>'_Engine_R100'!K244</f>
        <v/>
      </c>
      <c r="J15" s="354">
        <f>'_Engine_R100'!L244</f>
        <v/>
      </c>
      <c r="K15" s="354">
        <f>'_Engine_R100'!M244</f>
        <v/>
      </c>
      <c r="L15" s="306" t="n"/>
      <c r="M15" s="306" t="n"/>
    </row>
    <row r="16" ht="15" customHeight="1" s="307">
      <c r="A16" s="498" t="inlineStr">
        <is>
          <t>Year 13</t>
        </is>
      </c>
      <c r="B16" s="476">
        <f>'_Engine_R100'!B245</f>
        <v/>
      </c>
      <c r="C16" s="476">
        <f>'_Engine_R100'!C245</f>
        <v/>
      </c>
      <c r="D16" s="477">
        <f>'_Engine_R100'!N245</f>
        <v/>
      </c>
      <c r="E16" s="499" t="n"/>
      <c r="F16" s="499" t="n"/>
      <c r="G16" s="499" t="n"/>
      <c r="H16" s="476">
        <f>'_Engine_R100'!J245</f>
        <v/>
      </c>
      <c r="I16" s="476">
        <f>'_Engine_R100'!K245</f>
        <v/>
      </c>
      <c r="J16" s="476">
        <f>'_Engine_R100'!L245</f>
        <v/>
      </c>
      <c r="K16" s="476">
        <f>'_Engine_R100'!M245</f>
        <v/>
      </c>
      <c r="L16" s="499" t="n"/>
      <c r="M16" s="499" t="n"/>
    </row>
    <row r="17" ht="15" customHeight="1" s="307">
      <c r="A17" s="321" t="inlineStr">
        <is>
          <t>Year 14</t>
        </is>
      </c>
      <c r="B17" s="354">
        <f>'_Engine_R100'!B246</f>
        <v/>
      </c>
      <c r="C17" s="354">
        <f>'_Engine_R100'!C246</f>
        <v/>
      </c>
      <c r="D17" s="441">
        <f>'_Engine_R100'!N246</f>
        <v/>
      </c>
      <c r="E17" s="306" t="n"/>
      <c r="F17" s="306" t="n"/>
      <c r="G17" s="306" t="n"/>
      <c r="H17" s="354">
        <f>'_Engine_R100'!J246</f>
        <v/>
      </c>
      <c r="I17" s="354">
        <f>'_Engine_R100'!K246</f>
        <v/>
      </c>
      <c r="J17" s="354">
        <f>'_Engine_R100'!L246</f>
        <v/>
      </c>
      <c r="K17" s="354">
        <f>'_Engine_R100'!M246</f>
        <v/>
      </c>
      <c r="L17" s="306" t="n"/>
      <c r="M17" s="306" t="n"/>
    </row>
    <row r="18" ht="15" customHeight="1" s="307">
      <c r="A18" s="498" t="inlineStr">
        <is>
          <t>Year 15</t>
        </is>
      </c>
      <c r="B18" s="476">
        <f>'_Engine_R100'!B247</f>
        <v/>
      </c>
      <c r="C18" s="476">
        <f>'_Engine_R100'!C247</f>
        <v/>
      </c>
      <c r="D18" s="477">
        <f>'_Engine_R100'!N247</f>
        <v/>
      </c>
      <c r="E18" s="499" t="n"/>
      <c r="F18" s="499" t="n"/>
      <c r="G18" s="499" t="n"/>
      <c r="H18" s="476">
        <f>'_Engine_R100'!J247</f>
        <v/>
      </c>
      <c r="I18" s="476">
        <f>'_Engine_R100'!K247</f>
        <v/>
      </c>
      <c r="J18" s="476">
        <f>'_Engine_R100'!L247</f>
        <v/>
      </c>
      <c r="K18" s="476">
        <f>'_Engine_R100'!M247</f>
        <v/>
      </c>
      <c r="L18" s="499" t="n"/>
      <c r="M18" s="499" t="n"/>
    </row>
    <row r="19" ht="15" customHeight="1" s="307">
      <c r="A19" s="415" t="inlineStr">
        <is>
          <t>TOTAL</t>
        </is>
      </c>
      <c r="B19" s="500" t="n"/>
      <c r="C19" s="500" t="n"/>
      <c r="D19" s="481">
        <f>D18</f>
        <v/>
      </c>
      <c r="E19" s="500" t="n"/>
      <c r="F19" s="500" t="n"/>
      <c r="G19" s="500" t="n"/>
      <c r="H19" s="484">
        <f>'_Engine_R100'!L247</f>
        <v/>
      </c>
      <c r="I19" s="484">
        <f>'_Engine_R100'!M247</f>
        <v/>
      </c>
      <c r="J19" s="500" t="n"/>
      <c r="K19" s="500" t="n"/>
      <c r="L19" s="500" t="n"/>
      <c r="M19" s="500" t="n"/>
    </row>
    <row r="20" ht="15" customHeight="1" s="307">
      <c r="A20" s="306" t="n"/>
      <c r="B20" s="306" t="n"/>
      <c r="C20" s="306" t="n"/>
      <c r="D20" s="306" t="n"/>
      <c r="E20" s="306" t="n"/>
      <c r="F20" s="306" t="n"/>
      <c r="G20" s="306" t="n"/>
      <c r="H20" s="306" t="n"/>
      <c r="I20" s="306" t="n"/>
      <c r="J20" s="306" t="n"/>
      <c r="K20" s="306" t="n"/>
      <c r="L20" s="306" t="n"/>
      <c r="M20" s="306" t="n"/>
    </row>
    <row r="21" ht="15" customHeight="1" s="307">
      <c r="A21" s="306" t="n"/>
      <c r="B21" s="306" t="n"/>
      <c r="C21" s="306" t="n"/>
      <c r="D21" s="306" t="n"/>
      <c r="E21" s="306" t="n"/>
      <c r="F21" s="306" t="n"/>
      <c r="G21" s="306" t="n"/>
      <c r="H21" s="306" t="n"/>
      <c r="I21" s="306" t="n"/>
      <c r="J21" s="306" t="n"/>
      <c r="K21" s="306" t="n"/>
      <c r="L21" s="306" t="n"/>
      <c r="M21" s="306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4"/>
  </cols>
  <sheetData>
    <row r="1" ht="25.5" customHeight="1" s="307">
      <c r="A1" s="385" t="inlineStr">
        <is>
          <t>WATERFALL ESCALATING  |  NO RECYCLING (LIVE from _Engine_NR)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593" t="inlineStr">
        <is>
          <t>Tier 2: 1-2x MOIC -&gt; 80/20 split. Tier 3: 2-3x -&gt; 75/25. Tier 4: &gt;3x -&gt; 70/30.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9.5" customHeight="1" s="307">
      <c r="A3" s="643" t="inlineStr">
        <is>
          <t>Year</t>
        </is>
      </c>
      <c r="B3" s="643" t="inlineStr">
        <is>
          <t>Annual Dist</t>
        </is>
      </c>
      <c r="C3" s="643" t="inlineStr">
        <is>
          <t>Cap Paid</t>
        </is>
      </c>
      <c r="D3" s="643" t="inlineStr">
        <is>
          <t>Pref Paid</t>
        </is>
      </c>
      <c r="E3" s="643" t="inlineStr">
        <is>
          <t>T2 / T3 / T4 Profit</t>
        </is>
      </c>
      <c r="F3" s="643" t="inlineStr">
        <is>
          <t>LP Cash Yr</t>
        </is>
      </c>
      <c r="G3" s="643" t="inlineStr">
        <is>
          <t>GP Carry Yr</t>
        </is>
      </c>
      <c r="H3" s="643" t="inlineStr">
        <is>
          <t>Cum LP</t>
        </is>
      </c>
      <c r="I3" s="643" t="inlineStr">
        <is>
          <t>Cum GP</t>
        </is>
      </c>
      <c r="J3" s="643" t="inlineStr">
        <is>
          <t>MOIC</t>
        </is>
      </c>
      <c r="K3" s="388" t="inlineStr">
        <is>
          <t>Cum GP</t>
        </is>
      </c>
      <c r="L3" s="388" t="n"/>
      <c r="M3" s="388" t="n"/>
    </row>
    <row r="4" ht="15" customHeight="1" s="307">
      <c r="A4" s="475" t="inlineStr">
        <is>
          <t>Year 1</t>
        </is>
      </c>
      <c r="B4" s="476">
        <f>'_Engine_NR'!B292</f>
        <v/>
      </c>
      <c r="C4" s="476">
        <f>'_Engine_NR'!E292</f>
        <v/>
      </c>
      <c r="D4" s="477">
        <f>'_Engine_NR'!F292</f>
        <v/>
      </c>
      <c r="E4" s="475">
        <f>'_Engine_NR'!I292&amp;" / "&amp;'_Engine_NR'!J292&amp;" / "&amp;'_Engine_NR'!K292</f>
        <v/>
      </c>
      <c r="F4" s="478">
        <f>'_Engine_NR'!N292</f>
        <v/>
      </c>
      <c r="G4" s="478">
        <f>'_Engine_NR'!O292</f>
        <v/>
      </c>
      <c r="H4" s="476">
        <f>'_Engine_NR'!P292</f>
        <v/>
      </c>
      <c r="I4" s="476">
        <f>'_Engine_NR'!Q292</f>
        <v/>
      </c>
      <c r="J4" s="476">
        <f>'_Engine_NR'!R292</f>
        <v/>
      </c>
      <c r="K4" s="476" t="n">
        <v>0</v>
      </c>
      <c r="L4" s="478" t="n"/>
      <c r="M4" s="475" t="n"/>
    </row>
    <row r="5" ht="15" customHeight="1" s="307">
      <c r="A5" s="394" t="inlineStr">
        <is>
          <t>Year 2</t>
        </is>
      </c>
      <c r="B5" s="354">
        <f>'_Engine_NR'!B293</f>
        <v/>
      </c>
      <c r="C5" s="354">
        <f>'_Engine_NR'!E293</f>
        <v/>
      </c>
      <c r="D5" s="441">
        <f>'_Engine_NR'!F293</f>
        <v/>
      </c>
      <c r="E5" s="394">
        <f>'_Engine_NR'!I293&amp;" / "&amp;'_Engine_NR'!J293&amp;" / "&amp;'_Engine_NR'!K293</f>
        <v/>
      </c>
      <c r="F5" s="404">
        <f>'_Engine_NR'!N293</f>
        <v/>
      </c>
      <c r="G5" s="404">
        <f>'_Engine_NR'!O293</f>
        <v/>
      </c>
      <c r="H5" s="354">
        <f>'_Engine_NR'!P293</f>
        <v/>
      </c>
      <c r="I5" s="354">
        <f>'_Engine_NR'!Q293</f>
        <v/>
      </c>
      <c r="J5" s="354">
        <f>'_Engine_NR'!R293</f>
        <v/>
      </c>
      <c r="K5" s="354" t="n">
        <v>0</v>
      </c>
      <c r="L5" s="404" t="n"/>
      <c r="M5" s="394" t="n"/>
    </row>
    <row r="6" ht="15" customHeight="1" s="307">
      <c r="A6" s="475" t="inlineStr">
        <is>
          <t>Year 3</t>
        </is>
      </c>
      <c r="B6" s="476">
        <f>'_Engine_NR'!B294</f>
        <v/>
      </c>
      <c r="C6" s="476">
        <f>'_Engine_NR'!E294</f>
        <v/>
      </c>
      <c r="D6" s="477">
        <f>'_Engine_NR'!F294</f>
        <v/>
      </c>
      <c r="E6" s="475">
        <f>'_Engine_NR'!I294&amp;" / "&amp;'_Engine_NR'!J294&amp;" / "&amp;'_Engine_NR'!K294</f>
        <v/>
      </c>
      <c r="F6" s="478">
        <f>'_Engine_NR'!N294</f>
        <v/>
      </c>
      <c r="G6" s="478">
        <f>'_Engine_NR'!O294</f>
        <v/>
      </c>
      <c r="H6" s="476">
        <f>'_Engine_NR'!P294</f>
        <v/>
      </c>
      <c r="I6" s="476">
        <f>'_Engine_NR'!Q294</f>
        <v/>
      </c>
      <c r="J6" s="476">
        <f>'_Engine_NR'!R294</f>
        <v/>
      </c>
      <c r="K6" s="476" t="n">
        <v>0</v>
      </c>
      <c r="L6" s="478" t="n"/>
      <c r="M6" s="475" t="n"/>
    </row>
    <row r="7" ht="15" customHeight="1" s="307">
      <c r="A7" s="394" t="inlineStr">
        <is>
          <t>Year 4</t>
        </is>
      </c>
      <c r="B7" s="354">
        <f>'_Engine_NR'!B295</f>
        <v/>
      </c>
      <c r="C7" s="354">
        <f>'_Engine_NR'!E295</f>
        <v/>
      </c>
      <c r="D7" s="441">
        <f>'_Engine_NR'!F295</f>
        <v/>
      </c>
      <c r="E7" s="394">
        <f>'_Engine_NR'!I295&amp;" / "&amp;'_Engine_NR'!J295&amp;" / "&amp;'_Engine_NR'!K295</f>
        <v/>
      </c>
      <c r="F7" s="404">
        <f>'_Engine_NR'!N295</f>
        <v/>
      </c>
      <c r="G7" s="404">
        <f>'_Engine_NR'!O295</f>
        <v/>
      </c>
      <c r="H7" s="354">
        <f>'_Engine_NR'!P295</f>
        <v/>
      </c>
      <c r="I7" s="354">
        <f>'_Engine_NR'!Q295</f>
        <v/>
      </c>
      <c r="J7" s="354">
        <f>'_Engine_NR'!R295</f>
        <v/>
      </c>
      <c r="K7" s="354" t="n">
        <v>2.02694688215507</v>
      </c>
      <c r="L7" s="404" t="n"/>
      <c r="M7" s="394" t="n"/>
    </row>
    <row r="8" ht="15" customHeight="1" s="307">
      <c r="A8" s="475" t="inlineStr">
        <is>
          <t>Year 5</t>
        </is>
      </c>
      <c r="B8" s="476">
        <f>'_Engine_NR'!B296</f>
        <v/>
      </c>
      <c r="C8" s="476">
        <f>'_Engine_NR'!E296</f>
        <v/>
      </c>
      <c r="D8" s="477">
        <f>'_Engine_NR'!F296</f>
        <v/>
      </c>
      <c r="E8" s="475">
        <f>'_Engine_NR'!I296&amp;" / "&amp;'_Engine_NR'!J296&amp;" / "&amp;'_Engine_NR'!K296</f>
        <v/>
      </c>
      <c r="F8" s="478">
        <f>'_Engine_NR'!N296</f>
        <v/>
      </c>
      <c r="G8" s="478">
        <f>'_Engine_NR'!O296</f>
        <v/>
      </c>
      <c r="H8" s="476">
        <f>'_Engine_NR'!P296</f>
        <v/>
      </c>
      <c r="I8" s="476">
        <f>'_Engine_NR'!Q296</f>
        <v/>
      </c>
      <c r="J8" s="476">
        <f>'_Engine_NR'!R296</f>
        <v/>
      </c>
      <c r="K8" s="476" t="n">
        <v>8.210704560702681</v>
      </c>
      <c r="L8" s="478" t="n"/>
      <c r="M8" s="475" t="n"/>
    </row>
    <row r="9" ht="15" customHeight="1" s="307">
      <c r="A9" s="394" t="inlineStr">
        <is>
          <t>Year 6</t>
        </is>
      </c>
      <c r="B9" s="354">
        <f>'_Engine_NR'!B297</f>
        <v/>
      </c>
      <c r="C9" s="354">
        <f>'_Engine_NR'!E297</f>
        <v/>
      </c>
      <c r="D9" s="441">
        <f>'_Engine_NR'!F297</f>
        <v/>
      </c>
      <c r="E9" s="394">
        <f>'_Engine_NR'!I297&amp;" / "&amp;'_Engine_NR'!J297&amp;" / "&amp;'_Engine_NR'!K297</f>
        <v/>
      </c>
      <c r="F9" s="404">
        <f>'_Engine_NR'!N297</f>
        <v/>
      </c>
      <c r="G9" s="404">
        <f>'_Engine_NR'!O297</f>
        <v/>
      </c>
      <c r="H9" s="354">
        <f>'_Engine_NR'!P297</f>
        <v/>
      </c>
      <c r="I9" s="354">
        <f>'_Engine_NR'!Q297</f>
        <v/>
      </c>
      <c r="J9" s="354">
        <f>'_Engine_NR'!R297</f>
        <v/>
      </c>
      <c r="K9" s="354" t="n">
        <v>12.7864838105342</v>
      </c>
      <c r="L9" s="404" t="n"/>
      <c r="M9" s="394" t="n"/>
    </row>
    <row r="10" ht="15" customHeight="1" s="307">
      <c r="A10" s="475" t="inlineStr">
        <is>
          <t>Year 7</t>
        </is>
      </c>
      <c r="B10" s="476">
        <f>'_Engine_NR'!B298</f>
        <v/>
      </c>
      <c r="C10" s="476">
        <f>'_Engine_NR'!E298</f>
        <v/>
      </c>
      <c r="D10" s="477">
        <f>'_Engine_NR'!F298</f>
        <v/>
      </c>
      <c r="E10" s="475">
        <f>'_Engine_NR'!I298&amp;" / "&amp;'_Engine_NR'!J298&amp;" / "&amp;'_Engine_NR'!K298</f>
        <v/>
      </c>
      <c r="F10" s="478">
        <f>'_Engine_NR'!N298</f>
        <v/>
      </c>
      <c r="G10" s="478">
        <f>'_Engine_NR'!O298</f>
        <v/>
      </c>
      <c r="H10" s="476">
        <f>'_Engine_NR'!P298</f>
        <v/>
      </c>
      <c r="I10" s="476">
        <f>'_Engine_NR'!Q298</f>
        <v/>
      </c>
      <c r="J10" s="476">
        <f>'_Engine_NR'!R298</f>
        <v/>
      </c>
      <c r="K10" s="476" t="n">
        <v>15.8822086728911</v>
      </c>
      <c r="L10" s="478" t="n"/>
      <c r="M10" s="475" t="n"/>
    </row>
    <row r="11" ht="15" customHeight="1" s="307">
      <c r="A11" s="394" t="inlineStr">
        <is>
          <t>Year 8</t>
        </is>
      </c>
      <c r="B11" s="354">
        <f>'_Engine_NR'!B299</f>
        <v/>
      </c>
      <c r="C11" s="354">
        <f>'_Engine_NR'!E299</f>
        <v/>
      </c>
      <c r="D11" s="441">
        <f>'_Engine_NR'!F299</f>
        <v/>
      </c>
      <c r="E11" s="394">
        <f>'_Engine_NR'!I299&amp;" / "&amp;'_Engine_NR'!J299&amp;" / "&amp;'_Engine_NR'!K299</f>
        <v/>
      </c>
      <c r="F11" s="404">
        <f>'_Engine_NR'!N299</f>
        <v/>
      </c>
      <c r="G11" s="404">
        <f>'_Engine_NR'!O299</f>
        <v/>
      </c>
      <c r="H11" s="354">
        <f>'_Engine_NR'!P299</f>
        <v/>
      </c>
      <c r="I11" s="354">
        <f>'_Engine_NR'!Q299</f>
        <v/>
      </c>
      <c r="J11" s="354">
        <f>'_Engine_NR'!R299</f>
        <v/>
      </c>
      <c r="K11" s="354" t="n">
        <v>17.7198873058944</v>
      </c>
      <c r="L11" s="404" t="n"/>
      <c r="M11" s="394" t="n"/>
    </row>
    <row r="12" ht="15" customHeight="1" s="307">
      <c r="A12" s="475" t="inlineStr">
        <is>
          <t>Year 9</t>
        </is>
      </c>
      <c r="B12" s="476">
        <f>'_Engine_NR'!B300</f>
        <v/>
      </c>
      <c r="C12" s="476">
        <f>'_Engine_NR'!E300</f>
        <v/>
      </c>
      <c r="D12" s="477">
        <f>'_Engine_NR'!F300</f>
        <v/>
      </c>
      <c r="E12" s="475">
        <f>'_Engine_NR'!I300&amp;" / "&amp;'_Engine_NR'!J300&amp;" / "&amp;'_Engine_NR'!K300</f>
        <v/>
      </c>
      <c r="F12" s="478">
        <f>'_Engine_NR'!N300</f>
        <v/>
      </c>
      <c r="G12" s="478">
        <f>'_Engine_NR'!O300</f>
        <v/>
      </c>
      <c r="H12" s="476">
        <f>'_Engine_NR'!P300</f>
        <v/>
      </c>
      <c r="I12" s="476">
        <f>'_Engine_NR'!Q300</f>
        <v/>
      </c>
      <c r="J12" s="476">
        <f>'_Engine_NR'!R300</f>
        <v/>
      </c>
      <c r="K12" s="476" t="n">
        <v>18.4882266439472</v>
      </c>
      <c r="L12" s="478" t="n"/>
      <c r="M12" s="475" t="n"/>
    </row>
    <row r="13" ht="15" customHeight="1" s="307">
      <c r="A13" s="394" t="inlineStr">
        <is>
          <t>Year 10</t>
        </is>
      </c>
      <c r="B13" s="354">
        <f>'_Engine_NR'!B301</f>
        <v/>
      </c>
      <c r="C13" s="354">
        <f>'_Engine_NR'!E301</f>
        <v/>
      </c>
      <c r="D13" s="441">
        <f>'_Engine_NR'!F301</f>
        <v/>
      </c>
      <c r="E13" s="394">
        <f>'_Engine_NR'!I301&amp;" / "&amp;'_Engine_NR'!J301&amp;" / "&amp;'_Engine_NR'!K301</f>
        <v/>
      </c>
      <c r="F13" s="404">
        <f>'_Engine_NR'!N301</f>
        <v/>
      </c>
      <c r="G13" s="404">
        <f>'_Engine_NR'!O301</f>
        <v/>
      </c>
      <c r="H13" s="354">
        <f>'_Engine_NR'!P301</f>
        <v/>
      </c>
      <c r="I13" s="354">
        <f>'_Engine_NR'!Q301</f>
        <v/>
      </c>
      <c r="J13" s="354">
        <f>'_Engine_NR'!R301</f>
        <v/>
      </c>
      <c r="K13" s="354" t="n">
        <v>18.4882266439472</v>
      </c>
      <c r="L13" s="404" t="n"/>
      <c r="M13" s="394" t="n"/>
    </row>
    <row r="14" ht="15" customHeight="1" s="307">
      <c r="A14" s="475" t="inlineStr">
        <is>
          <t>Year 11</t>
        </is>
      </c>
      <c r="B14" s="476">
        <f>'_Engine_NR'!B302</f>
        <v/>
      </c>
      <c r="C14" s="476">
        <f>'_Engine_NR'!E302</f>
        <v/>
      </c>
      <c r="D14" s="477">
        <f>'_Engine_NR'!F302</f>
        <v/>
      </c>
      <c r="E14" s="475">
        <f>'_Engine_NR'!I302&amp;" / "&amp;'_Engine_NR'!J302&amp;" / "&amp;'_Engine_NR'!K302</f>
        <v/>
      </c>
      <c r="F14" s="478">
        <f>'_Engine_NR'!N302</f>
        <v/>
      </c>
      <c r="G14" s="478">
        <f>'_Engine_NR'!O302</f>
        <v/>
      </c>
      <c r="H14" s="476">
        <f>'_Engine_NR'!P302</f>
        <v/>
      </c>
      <c r="I14" s="476">
        <f>'_Engine_NR'!Q302</f>
        <v/>
      </c>
      <c r="J14" s="476">
        <f>'_Engine_NR'!R302</f>
        <v/>
      </c>
      <c r="K14" s="476" t="n">
        <v>18.4882266439472</v>
      </c>
      <c r="L14" s="478" t="n"/>
      <c r="M14" s="475" t="n"/>
    </row>
    <row r="15" ht="15" customHeight="1" s="307">
      <c r="A15" s="394" t="inlineStr">
        <is>
          <t>Year 12</t>
        </is>
      </c>
      <c r="B15" s="354">
        <f>'_Engine_NR'!B303</f>
        <v/>
      </c>
      <c r="C15" s="354">
        <f>'_Engine_NR'!E303</f>
        <v/>
      </c>
      <c r="D15" s="441">
        <f>'_Engine_NR'!F303</f>
        <v/>
      </c>
      <c r="E15" s="394">
        <f>'_Engine_NR'!I303&amp;" / "&amp;'_Engine_NR'!J303&amp;" / "&amp;'_Engine_NR'!K303</f>
        <v/>
      </c>
      <c r="F15" s="404">
        <f>'_Engine_NR'!N303</f>
        <v/>
      </c>
      <c r="G15" s="404">
        <f>'_Engine_NR'!O303</f>
        <v/>
      </c>
      <c r="H15" s="354">
        <f>'_Engine_NR'!P303</f>
        <v/>
      </c>
      <c r="I15" s="354">
        <f>'_Engine_NR'!Q303</f>
        <v/>
      </c>
      <c r="J15" s="354">
        <f>'_Engine_NR'!R303</f>
        <v/>
      </c>
      <c r="K15" s="354" t="n">
        <v>18.4882266439472</v>
      </c>
      <c r="L15" s="404" t="n"/>
      <c r="M15" s="394" t="n"/>
    </row>
    <row r="16" ht="15" customHeight="1" s="307">
      <c r="A16" s="475" t="inlineStr">
        <is>
          <t>Year 13</t>
        </is>
      </c>
      <c r="B16" s="476">
        <f>'_Engine_NR'!B304</f>
        <v/>
      </c>
      <c r="C16" s="476">
        <f>'_Engine_NR'!E304</f>
        <v/>
      </c>
      <c r="D16" s="477">
        <f>'_Engine_NR'!F304</f>
        <v/>
      </c>
      <c r="E16" s="475">
        <f>'_Engine_NR'!I304&amp;" / "&amp;'_Engine_NR'!J304&amp;" / "&amp;'_Engine_NR'!K304</f>
        <v/>
      </c>
      <c r="F16" s="478">
        <f>'_Engine_NR'!N304</f>
        <v/>
      </c>
      <c r="G16" s="478">
        <f>'_Engine_NR'!O304</f>
        <v/>
      </c>
      <c r="H16" s="476">
        <f>'_Engine_NR'!P304</f>
        <v/>
      </c>
      <c r="I16" s="476">
        <f>'_Engine_NR'!Q304</f>
        <v/>
      </c>
      <c r="J16" s="476">
        <f>'_Engine_NR'!R304</f>
        <v/>
      </c>
      <c r="K16" s="476" t="n">
        <v>18.4882266439472</v>
      </c>
      <c r="L16" s="478" t="n"/>
      <c r="M16" s="475" t="n"/>
    </row>
    <row r="17" ht="15" customHeight="1" s="307">
      <c r="A17" s="394" t="inlineStr">
        <is>
          <t>Year 14</t>
        </is>
      </c>
      <c r="B17" s="354">
        <f>'_Engine_NR'!B305</f>
        <v/>
      </c>
      <c r="C17" s="354">
        <f>'_Engine_NR'!E305</f>
        <v/>
      </c>
      <c r="D17" s="441">
        <f>'_Engine_NR'!F305</f>
        <v/>
      </c>
      <c r="E17" s="394">
        <f>'_Engine_NR'!I305&amp;" / "&amp;'_Engine_NR'!J305&amp;" / "&amp;'_Engine_NR'!K305</f>
        <v/>
      </c>
      <c r="F17" s="404">
        <f>'_Engine_NR'!N305</f>
        <v/>
      </c>
      <c r="G17" s="404">
        <f>'_Engine_NR'!O305</f>
        <v/>
      </c>
      <c r="H17" s="354">
        <f>'_Engine_NR'!P305</f>
        <v/>
      </c>
      <c r="I17" s="354">
        <f>'_Engine_NR'!Q305</f>
        <v/>
      </c>
      <c r="J17" s="354">
        <f>'_Engine_NR'!R305</f>
        <v/>
      </c>
      <c r="K17" s="354" t="n">
        <v>18.4882266439472</v>
      </c>
      <c r="L17" s="404" t="n"/>
      <c r="M17" s="394" t="n"/>
    </row>
    <row r="18" ht="15" customHeight="1" s="307">
      <c r="A18" s="475" t="inlineStr">
        <is>
          <t>Year 15</t>
        </is>
      </c>
      <c r="B18" s="476">
        <f>'_Engine_NR'!B306</f>
        <v/>
      </c>
      <c r="C18" s="476">
        <f>'_Engine_NR'!E306</f>
        <v/>
      </c>
      <c r="D18" s="477">
        <f>'_Engine_NR'!F306</f>
        <v/>
      </c>
      <c r="E18" s="475">
        <f>'_Engine_NR'!I306&amp;" / "&amp;'_Engine_NR'!J306&amp;" / "&amp;'_Engine_NR'!K306</f>
        <v/>
      </c>
      <c r="F18" s="478">
        <f>'_Engine_NR'!N306</f>
        <v/>
      </c>
      <c r="G18" s="478">
        <f>'_Engine_NR'!O306</f>
        <v/>
      </c>
      <c r="H18" s="476">
        <f>'_Engine_NR'!P306</f>
        <v/>
      </c>
      <c r="I18" s="476">
        <f>'_Engine_NR'!Q306</f>
        <v/>
      </c>
      <c r="J18" s="476">
        <f>'_Engine_NR'!R306</f>
        <v/>
      </c>
      <c r="K18" s="476" t="n">
        <v>18.4882266439472</v>
      </c>
      <c r="L18" s="478" t="n"/>
      <c r="M18" s="475" t="n"/>
    </row>
    <row r="19" ht="15" customHeight="1" s="307">
      <c r="A19" s="674" t="inlineStr">
        <is>
          <t>TOTAL</t>
        </is>
      </c>
      <c r="B19" s="479" t="n"/>
      <c r="C19" s="480" t="n"/>
      <c r="D19" s="481" t="n"/>
      <c r="E19" s="482" t="n"/>
      <c r="F19" s="483">
        <f>'_Engine_NR'!P306</f>
        <v/>
      </c>
      <c r="G19" s="483">
        <f>'_Engine_NR'!Q306</f>
        <v/>
      </c>
      <c r="H19" s="484" t="n"/>
      <c r="I19" s="484" t="n"/>
      <c r="J19" s="480">
        <f>'_Engine_NR'!P306/'_Engine_NR'!B22</f>
        <v/>
      </c>
      <c r="K19" s="480" t="n"/>
      <c r="L19" s="485" t="n"/>
      <c r="M19" s="486" t="n"/>
    </row>
    <row r="20" ht="15" customHeight="1" s="307">
      <c r="A20" s="407" t="n"/>
      <c r="B20" s="409" t="n"/>
      <c r="C20" s="487" t="n"/>
      <c r="D20" s="488" t="n"/>
      <c r="E20" s="489" t="n"/>
      <c r="F20" s="490" t="n"/>
      <c r="G20" s="490" t="n"/>
      <c r="H20" s="491" t="n"/>
      <c r="I20" s="492" t="n"/>
      <c r="J20" s="487" t="n"/>
      <c r="K20" s="487" t="n"/>
      <c r="L20" s="413" t="n"/>
      <c r="M20" s="493" t="n"/>
    </row>
    <row r="21" ht="15" customHeight="1" s="307">
      <c r="A21" s="406" t="n"/>
      <c r="B21" s="494" t="n"/>
      <c r="C21" s="494" t="n"/>
      <c r="D21" s="495" t="n"/>
      <c r="E21" s="494" t="n"/>
      <c r="F21" s="494" t="n"/>
      <c r="G21" s="494" t="n"/>
      <c r="H21" s="496" t="n"/>
      <c r="I21" s="496" t="n"/>
      <c r="J21" s="494" t="n"/>
      <c r="K21" s="494" t="n"/>
      <c r="L21" s="497" t="n"/>
      <c r="M21" s="494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4" customWidth="1" style="306" min="2" max="14"/>
  </cols>
  <sheetData>
    <row r="1" ht="25.5" customHeight="1" s="307">
      <c r="A1" s="385" t="inlineStr">
        <is>
          <t>WATERFALL ESCALATING  |  50% RECYCLE (LIVE from _Engine_R50)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</row>
    <row r="2" ht="15" customHeight="1" s="307">
      <c r="A2" s="593" t="inlineStr">
        <is>
          <t>Tier 2 80/20, Tier 3 75/25, Tier 4 70/30.</t>
        </is>
      </c>
      <c r="B2" s="306" t="n"/>
      <c r="C2" s="306" t="n"/>
      <c r="D2" s="306" t="n"/>
      <c r="E2" s="306" t="n"/>
      <c r="F2" s="306" t="n"/>
      <c r="G2" s="306" t="n"/>
      <c r="H2" s="306" t="n"/>
      <c r="I2" s="306" t="n"/>
      <c r="J2" s="306" t="n"/>
      <c r="K2" s="306" t="n"/>
      <c r="L2" s="306" t="n"/>
      <c r="M2" s="306" t="n"/>
    </row>
    <row r="3" ht="19.5" customHeight="1" s="307">
      <c r="A3" s="643" t="inlineStr">
        <is>
          <t>Year</t>
        </is>
      </c>
      <c r="B3" s="643" t="inlineStr">
        <is>
          <t>Annual Dist</t>
        </is>
      </c>
      <c r="C3" s="643" t="inlineStr">
        <is>
          <t>Cap Paid</t>
        </is>
      </c>
      <c r="D3" s="643" t="inlineStr">
        <is>
          <t>Pref Paid</t>
        </is>
      </c>
      <c r="E3" s="643" t="inlineStr">
        <is>
          <t>T2 / T3 / T4 Profit</t>
        </is>
      </c>
      <c r="F3" s="643" t="inlineStr">
        <is>
          <t>LP Cash Yr</t>
        </is>
      </c>
      <c r="G3" s="643" t="inlineStr">
        <is>
          <t>GP Carry Yr</t>
        </is>
      </c>
      <c r="H3" s="643" t="inlineStr">
        <is>
          <t>Cum LP</t>
        </is>
      </c>
      <c r="I3" s="643" t="inlineStr">
        <is>
          <t>Cum GP</t>
        </is>
      </c>
      <c r="J3" s="643" t="inlineStr">
        <is>
          <t>MOIC</t>
        </is>
      </c>
      <c r="K3" s="388" t="inlineStr">
        <is>
          <t>Cum GP</t>
        </is>
      </c>
      <c r="L3" s="388" t="n"/>
      <c r="M3" s="388" t="n"/>
    </row>
    <row r="4" ht="15" customHeight="1" s="307">
      <c r="A4" s="475" t="inlineStr">
        <is>
          <t>Year 1</t>
        </is>
      </c>
      <c r="B4" s="476">
        <f>'_Engine_R50'!B292</f>
        <v/>
      </c>
      <c r="C4" s="476">
        <f>'_Engine_R50'!E292</f>
        <v/>
      </c>
      <c r="D4" s="477">
        <f>'_Engine_R50'!F292</f>
        <v/>
      </c>
      <c r="E4" s="475">
        <f>'_Engine_R50'!I292&amp;" / "&amp;'_Engine_R50'!J292&amp;" / "&amp;'_Engine_R50'!K292</f>
        <v/>
      </c>
      <c r="F4" s="478">
        <f>'_Engine_R50'!N292</f>
        <v/>
      </c>
      <c r="G4" s="478">
        <f>'_Engine_R50'!O292</f>
        <v/>
      </c>
      <c r="H4" s="476">
        <f>'_Engine_R50'!P292</f>
        <v/>
      </c>
      <c r="I4" s="476">
        <f>'_Engine_R50'!Q292</f>
        <v/>
      </c>
      <c r="J4" s="476">
        <f>'_Engine_R50'!R292</f>
        <v/>
      </c>
      <c r="K4" s="476" t="n">
        <v>0</v>
      </c>
      <c r="L4" s="478" t="n"/>
      <c r="M4" s="475" t="n"/>
    </row>
    <row r="5" ht="15" customHeight="1" s="307">
      <c r="A5" s="394" t="inlineStr">
        <is>
          <t>Year 2</t>
        </is>
      </c>
      <c r="B5" s="354">
        <f>'_Engine_R50'!B293</f>
        <v/>
      </c>
      <c r="C5" s="354">
        <f>'_Engine_R50'!E293</f>
        <v/>
      </c>
      <c r="D5" s="441">
        <f>'_Engine_R50'!F293</f>
        <v/>
      </c>
      <c r="E5" s="394">
        <f>'_Engine_R50'!I293&amp;" / "&amp;'_Engine_R50'!J293&amp;" / "&amp;'_Engine_R50'!K293</f>
        <v/>
      </c>
      <c r="F5" s="404">
        <f>'_Engine_R50'!N293</f>
        <v/>
      </c>
      <c r="G5" s="404">
        <f>'_Engine_R50'!O293</f>
        <v/>
      </c>
      <c r="H5" s="354">
        <f>'_Engine_R50'!P293</f>
        <v/>
      </c>
      <c r="I5" s="354">
        <f>'_Engine_R50'!Q293</f>
        <v/>
      </c>
      <c r="J5" s="354">
        <f>'_Engine_R50'!R293</f>
        <v/>
      </c>
      <c r="K5" s="354" t="n">
        <v>0</v>
      </c>
      <c r="L5" s="404" t="n"/>
      <c r="M5" s="394" t="n"/>
    </row>
    <row r="6" ht="15" customHeight="1" s="307">
      <c r="A6" s="475" t="inlineStr">
        <is>
          <t>Year 3</t>
        </is>
      </c>
      <c r="B6" s="476">
        <f>'_Engine_R50'!B294</f>
        <v/>
      </c>
      <c r="C6" s="476">
        <f>'_Engine_R50'!E294</f>
        <v/>
      </c>
      <c r="D6" s="477">
        <f>'_Engine_R50'!F294</f>
        <v/>
      </c>
      <c r="E6" s="475">
        <f>'_Engine_R50'!I294&amp;" / "&amp;'_Engine_R50'!J294&amp;" / "&amp;'_Engine_R50'!K294</f>
        <v/>
      </c>
      <c r="F6" s="478">
        <f>'_Engine_R50'!N294</f>
        <v/>
      </c>
      <c r="G6" s="478">
        <f>'_Engine_R50'!O294</f>
        <v/>
      </c>
      <c r="H6" s="476">
        <f>'_Engine_R50'!P294</f>
        <v/>
      </c>
      <c r="I6" s="476">
        <f>'_Engine_R50'!Q294</f>
        <v/>
      </c>
      <c r="J6" s="476">
        <f>'_Engine_R50'!R294</f>
        <v/>
      </c>
      <c r="K6" s="476" t="n">
        <v>0</v>
      </c>
      <c r="L6" s="478" t="n"/>
      <c r="M6" s="475" t="n"/>
    </row>
    <row r="7" ht="15" customHeight="1" s="307">
      <c r="A7" s="394" t="inlineStr">
        <is>
          <t>Year 4</t>
        </is>
      </c>
      <c r="B7" s="354">
        <f>'_Engine_R50'!B295</f>
        <v/>
      </c>
      <c r="C7" s="354">
        <f>'_Engine_R50'!E295</f>
        <v/>
      </c>
      <c r="D7" s="441">
        <f>'_Engine_R50'!F295</f>
        <v/>
      </c>
      <c r="E7" s="394">
        <f>'_Engine_R50'!I295&amp;" / "&amp;'_Engine_R50'!J295&amp;" / "&amp;'_Engine_R50'!K295</f>
        <v/>
      </c>
      <c r="F7" s="404">
        <f>'_Engine_R50'!N295</f>
        <v/>
      </c>
      <c r="G7" s="404">
        <f>'_Engine_R50'!O295</f>
        <v/>
      </c>
      <c r="H7" s="354">
        <f>'_Engine_R50'!P295</f>
        <v/>
      </c>
      <c r="I7" s="354">
        <f>'_Engine_R50'!Q295</f>
        <v/>
      </c>
      <c r="J7" s="354">
        <f>'_Engine_R50'!R295</f>
        <v/>
      </c>
      <c r="K7" s="354" t="n">
        <v>0</v>
      </c>
      <c r="L7" s="404" t="n"/>
      <c r="M7" s="394" t="n"/>
    </row>
    <row r="8" ht="15" customHeight="1" s="307">
      <c r="A8" s="475" t="inlineStr">
        <is>
          <t>Year 5</t>
        </is>
      </c>
      <c r="B8" s="476">
        <f>'_Engine_R50'!B296</f>
        <v/>
      </c>
      <c r="C8" s="476">
        <f>'_Engine_R50'!E296</f>
        <v/>
      </c>
      <c r="D8" s="477">
        <f>'_Engine_R50'!F296</f>
        <v/>
      </c>
      <c r="E8" s="475">
        <f>'_Engine_R50'!I296&amp;" / "&amp;'_Engine_R50'!J296&amp;" / "&amp;'_Engine_R50'!K296</f>
        <v/>
      </c>
      <c r="F8" s="478">
        <f>'_Engine_R50'!N296</f>
        <v/>
      </c>
      <c r="G8" s="478">
        <f>'_Engine_R50'!O296</f>
        <v/>
      </c>
      <c r="H8" s="476">
        <f>'_Engine_R50'!P296</f>
        <v/>
      </c>
      <c r="I8" s="476">
        <f>'_Engine_R50'!Q296</f>
        <v/>
      </c>
      <c r="J8" s="476">
        <f>'_Engine_R50'!R296</f>
        <v/>
      </c>
      <c r="K8" s="476" t="n">
        <v>12.6636737089488</v>
      </c>
      <c r="L8" s="478" t="n"/>
      <c r="M8" s="475" t="n"/>
    </row>
    <row r="9" ht="15" customHeight="1" s="307">
      <c r="A9" s="394" t="inlineStr">
        <is>
          <t>Year 6</t>
        </is>
      </c>
      <c r="B9" s="354">
        <f>'_Engine_R50'!B297</f>
        <v/>
      </c>
      <c r="C9" s="354">
        <f>'_Engine_R50'!E297</f>
        <v/>
      </c>
      <c r="D9" s="441">
        <f>'_Engine_R50'!F297</f>
        <v/>
      </c>
      <c r="E9" s="394">
        <f>'_Engine_R50'!I297&amp;" / "&amp;'_Engine_R50'!J297&amp;" / "&amp;'_Engine_R50'!K297</f>
        <v/>
      </c>
      <c r="F9" s="404">
        <f>'_Engine_R50'!N297</f>
        <v/>
      </c>
      <c r="G9" s="404">
        <f>'_Engine_R50'!O297</f>
        <v/>
      </c>
      <c r="H9" s="354">
        <f>'_Engine_R50'!P297</f>
        <v/>
      </c>
      <c r="I9" s="354">
        <f>'_Engine_R50'!Q297</f>
        <v/>
      </c>
      <c r="J9" s="354">
        <f>'_Engine_R50'!R297</f>
        <v/>
      </c>
      <c r="K9" s="354" t="n">
        <v>22.9777963615553</v>
      </c>
      <c r="L9" s="404" t="n"/>
      <c r="M9" s="394" t="n"/>
    </row>
    <row r="10" ht="15" customHeight="1" s="307">
      <c r="A10" s="475" t="inlineStr">
        <is>
          <t>Year 7</t>
        </is>
      </c>
      <c r="B10" s="476">
        <f>'_Engine_R50'!B298</f>
        <v/>
      </c>
      <c r="C10" s="476">
        <f>'_Engine_R50'!E298</f>
        <v/>
      </c>
      <c r="D10" s="477">
        <f>'_Engine_R50'!F298</f>
        <v/>
      </c>
      <c r="E10" s="475">
        <f>'_Engine_R50'!I298&amp;" / "&amp;'_Engine_R50'!J298&amp;" / "&amp;'_Engine_R50'!K298</f>
        <v/>
      </c>
      <c r="F10" s="478">
        <f>'_Engine_R50'!N298</f>
        <v/>
      </c>
      <c r="G10" s="478">
        <f>'_Engine_R50'!O298</f>
        <v/>
      </c>
      <c r="H10" s="476">
        <f>'_Engine_R50'!P298</f>
        <v/>
      </c>
      <c r="I10" s="476">
        <f>'_Engine_R50'!Q298</f>
        <v/>
      </c>
      <c r="J10" s="476">
        <f>'_Engine_R50'!R298</f>
        <v/>
      </c>
      <c r="K10" s="476" t="n">
        <v>31.2948006162709</v>
      </c>
      <c r="L10" s="478" t="n"/>
      <c r="M10" s="475" t="n"/>
    </row>
    <row r="11" ht="15" customHeight="1" s="307">
      <c r="A11" s="394" t="inlineStr">
        <is>
          <t>Year 8</t>
        </is>
      </c>
      <c r="B11" s="354">
        <f>'_Engine_R50'!B299</f>
        <v/>
      </c>
      <c r="C11" s="354">
        <f>'_Engine_R50'!E299</f>
        <v/>
      </c>
      <c r="D11" s="441">
        <f>'_Engine_R50'!F299</f>
        <v/>
      </c>
      <c r="E11" s="394">
        <f>'_Engine_R50'!I299&amp;" / "&amp;'_Engine_R50'!J299&amp;" / "&amp;'_Engine_R50'!K299</f>
        <v/>
      </c>
      <c r="F11" s="404">
        <f>'_Engine_R50'!N299</f>
        <v/>
      </c>
      <c r="G11" s="404">
        <f>'_Engine_R50'!O299</f>
        <v/>
      </c>
      <c r="H11" s="354">
        <f>'_Engine_R50'!P299</f>
        <v/>
      </c>
      <c r="I11" s="354">
        <f>'_Engine_R50'!Q299</f>
        <v/>
      </c>
      <c r="J11" s="354">
        <f>'_Engine_R50'!R299</f>
        <v/>
      </c>
      <c r="K11" s="354" t="n">
        <v>37.9142542327791</v>
      </c>
      <c r="L11" s="404" t="n"/>
      <c r="M11" s="394" t="n"/>
    </row>
    <row r="12" ht="15" customHeight="1" s="307">
      <c r="A12" s="475" t="inlineStr">
        <is>
          <t>Year 9</t>
        </is>
      </c>
      <c r="B12" s="476">
        <f>'_Engine_R50'!B300</f>
        <v/>
      </c>
      <c r="C12" s="476">
        <f>'_Engine_R50'!E300</f>
        <v/>
      </c>
      <c r="D12" s="477">
        <f>'_Engine_R50'!F300</f>
        <v/>
      </c>
      <c r="E12" s="475">
        <f>'_Engine_R50'!I300&amp;" / "&amp;'_Engine_R50'!J300&amp;" / "&amp;'_Engine_R50'!K300</f>
        <v/>
      </c>
      <c r="F12" s="478">
        <f>'_Engine_R50'!N300</f>
        <v/>
      </c>
      <c r="G12" s="478">
        <f>'_Engine_R50'!O300</f>
        <v/>
      </c>
      <c r="H12" s="476">
        <f>'_Engine_R50'!P300</f>
        <v/>
      </c>
      <c r="I12" s="476">
        <f>'_Engine_R50'!Q300</f>
        <v/>
      </c>
      <c r="J12" s="476">
        <f>'_Engine_R50'!R300</f>
        <v/>
      </c>
      <c r="K12" s="476" t="n">
        <v>42.9581451983555</v>
      </c>
      <c r="L12" s="478" t="n"/>
      <c r="M12" s="475" t="n"/>
    </row>
    <row r="13" ht="15" customHeight="1" s="307">
      <c r="A13" s="394" t="inlineStr">
        <is>
          <t>Year 10</t>
        </is>
      </c>
      <c r="B13" s="354">
        <f>'_Engine_R50'!B301</f>
        <v/>
      </c>
      <c r="C13" s="354">
        <f>'_Engine_R50'!E301</f>
        <v/>
      </c>
      <c r="D13" s="441">
        <f>'_Engine_R50'!F301</f>
        <v/>
      </c>
      <c r="E13" s="394">
        <f>'_Engine_R50'!I301&amp;" / "&amp;'_Engine_R50'!J301&amp;" / "&amp;'_Engine_R50'!K301</f>
        <v/>
      </c>
      <c r="F13" s="404">
        <f>'_Engine_R50'!N301</f>
        <v/>
      </c>
      <c r="G13" s="404">
        <f>'_Engine_R50'!O301</f>
        <v/>
      </c>
      <c r="H13" s="354">
        <f>'_Engine_R50'!P301</f>
        <v/>
      </c>
      <c r="I13" s="354">
        <f>'_Engine_R50'!Q301</f>
        <v/>
      </c>
      <c r="J13" s="354">
        <f>'_Engine_R50'!R301</f>
        <v/>
      </c>
      <c r="K13" s="354" t="n">
        <v>46.4517650190954</v>
      </c>
      <c r="L13" s="404" t="n"/>
      <c r="M13" s="394" t="n"/>
    </row>
    <row r="14" ht="15" customHeight="1" s="307">
      <c r="A14" s="475" t="inlineStr">
        <is>
          <t>Year 11</t>
        </is>
      </c>
      <c r="B14" s="476">
        <f>'_Engine_R50'!B302</f>
        <v/>
      </c>
      <c r="C14" s="476">
        <f>'_Engine_R50'!E302</f>
        <v/>
      </c>
      <c r="D14" s="477">
        <f>'_Engine_R50'!F302</f>
        <v/>
      </c>
      <c r="E14" s="475">
        <f>'_Engine_R50'!I302&amp;" / "&amp;'_Engine_R50'!J302&amp;" / "&amp;'_Engine_R50'!K302</f>
        <v/>
      </c>
      <c r="F14" s="478">
        <f>'_Engine_R50'!N302</f>
        <v/>
      </c>
      <c r="G14" s="478">
        <f>'_Engine_R50'!O302</f>
        <v/>
      </c>
      <c r="H14" s="476">
        <f>'_Engine_R50'!P302</f>
        <v/>
      </c>
      <c r="I14" s="476">
        <f>'_Engine_R50'!Q302</f>
        <v/>
      </c>
      <c r="J14" s="476">
        <f>'_Engine_R50'!R302</f>
        <v/>
      </c>
      <c r="K14" s="476" t="n">
        <v>48.6276543667244</v>
      </c>
      <c r="L14" s="478" t="n"/>
      <c r="M14" s="475" t="n"/>
    </row>
    <row r="15" ht="15" customHeight="1" s="307">
      <c r="A15" s="394" t="inlineStr">
        <is>
          <t>Year 12</t>
        </is>
      </c>
      <c r="B15" s="354">
        <f>'_Engine_R50'!B303</f>
        <v/>
      </c>
      <c r="C15" s="354">
        <f>'_Engine_R50'!E303</f>
        <v/>
      </c>
      <c r="D15" s="441">
        <f>'_Engine_R50'!F303</f>
        <v/>
      </c>
      <c r="E15" s="394">
        <f>'_Engine_R50'!I303&amp;" / "&amp;'_Engine_R50'!J303&amp;" / "&amp;'_Engine_R50'!K303</f>
        <v/>
      </c>
      <c r="F15" s="404">
        <f>'_Engine_R50'!N303</f>
        <v/>
      </c>
      <c r="G15" s="404">
        <f>'_Engine_R50'!O303</f>
        <v/>
      </c>
      <c r="H15" s="354">
        <f>'_Engine_R50'!P303</f>
        <v/>
      </c>
      <c r="I15" s="354">
        <f>'_Engine_R50'!Q303</f>
        <v/>
      </c>
      <c r="J15" s="354">
        <f>'_Engine_R50'!R303</f>
        <v/>
      </c>
      <c r="K15" s="354" t="n">
        <v>49.683472812209</v>
      </c>
      <c r="L15" s="404" t="n"/>
      <c r="M15" s="394" t="n"/>
    </row>
    <row r="16" ht="15" customHeight="1" s="307">
      <c r="A16" s="475" t="inlineStr">
        <is>
          <t>Year 13</t>
        </is>
      </c>
      <c r="B16" s="476">
        <f>'_Engine_R50'!B304</f>
        <v/>
      </c>
      <c r="C16" s="476">
        <f>'_Engine_R50'!E304</f>
        <v/>
      </c>
      <c r="D16" s="477">
        <f>'_Engine_R50'!F304</f>
        <v/>
      </c>
      <c r="E16" s="475">
        <f>'_Engine_R50'!I304&amp;" / "&amp;'_Engine_R50'!J304&amp;" / "&amp;'_Engine_R50'!K304</f>
        <v/>
      </c>
      <c r="F16" s="478">
        <f>'_Engine_R50'!N304</f>
        <v/>
      </c>
      <c r="G16" s="478">
        <f>'_Engine_R50'!O304</f>
        <v/>
      </c>
      <c r="H16" s="476">
        <f>'_Engine_R50'!P304</f>
        <v/>
      </c>
      <c r="I16" s="476">
        <f>'_Engine_R50'!Q304</f>
        <v/>
      </c>
      <c r="J16" s="476">
        <f>'_Engine_R50'!R304</f>
        <v/>
      </c>
      <c r="K16" s="476" t="n">
        <v>49.7872309908709</v>
      </c>
      <c r="L16" s="478" t="n"/>
      <c r="M16" s="475" t="n"/>
    </row>
    <row r="17" ht="15" customHeight="1" s="307">
      <c r="A17" s="394" t="inlineStr">
        <is>
          <t>Year 14</t>
        </is>
      </c>
      <c r="B17" s="354">
        <f>'_Engine_R50'!B305</f>
        <v/>
      </c>
      <c r="C17" s="354">
        <f>'_Engine_R50'!E305</f>
        <v/>
      </c>
      <c r="D17" s="441">
        <f>'_Engine_R50'!F305</f>
        <v/>
      </c>
      <c r="E17" s="394">
        <f>'_Engine_R50'!I305&amp;" / "&amp;'_Engine_R50'!J305&amp;" / "&amp;'_Engine_R50'!K305</f>
        <v/>
      </c>
      <c r="F17" s="404">
        <f>'_Engine_R50'!N305</f>
        <v/>
      </c>
      <c r="G17" s="404">
        <f>'_Engine_R50'!O305</f>
        <v/>
      </c>
      <c r="H17" s="354">
        <f>'_Engine_R50'!P305</f>
        <v/>
      </c>
      <c r="I17" s="354">
        <f>'_Engine_R50'!Q305</f>
        <v/>
      </c>
      <c r="J17" s="354">
        <f>'_Engine_R50'!R305</f>
        <v/>
      </c>
      <c r="K17" s="354" t="n">
        <v>49.7872309908709</v>
      </c>
      <c r="L17" s="404" t="n"/>
      <c r="M17" s="394" t="n"/>
    </row>
    <row r="18" ht="15" customHeight="1" s="307">
      <c r="A18" s="475" t="inlineStr">
        <is>
          <t>Year 15</t>
        </is>
      </c>
      <c r="B18" s="476">
        <f>'_Engine_R50'!B306</f>
        <v/>
      </c>
      <c r="C18" s="476">
        <f>'_Engine_R50'!E306</f>
        <v/>
      </c>
      <c r="D18" s="477">
        <f>'_Engine_R50'!F306</f>
        <v/>
      </c>
      <c r="E18" s="475">
        <f>'_Engine_R50'!I306&amp;" / "&amp;'_Engine_R50'!J306&amp;" / "&amp;'_Engine_R50'!K306</f>
        <v/>
      </c>
      <c r="F18" s="478">
        <f>'_Engine_R50'!N306</f>
        <v/>
      </c>
      <c r="G18" s="478">
        <f>'_Engine_R50'!O306</f>
        <v/>
      </c>
      <c r="H18" s="476">
        <f>'_Engine_R50'!P306</f>
        <v/>
      </c>
      <c r="I18" s="476">
        <f>'_Engine_R50'!Q306</f>
        <v/>
      </c>
      <c r="J18" s="476">
        <f>'_Engine_R50'!R306</f>
        <v/>
      </c>
      <c r="K18" s="476" t="n">
        <v>49.7872309908709</v>
      </c>
      <c r="L18" s="478" t="n"/>
      <c r="M18" s="475" t="n"/>
    </row>
    <row r="19" ht="15" customHeight="1" s="307">
      <c r="A19" s="674" t="inlineStr">
        <is>
          <t>TOTAL</t>
        </is>
      </c>
      <c r="B19" s="479" t="n"/>
      <c r="C19" s="480" t="n"/>
      <c r="D19" s="481" t="n"/>
      <c r="E19" s="482" t="n"/>
      <c r="F19" s="483">
        <f>'_Engine_R50'!P306</f>
        <v/>
      </c>
      <c r="G19" s="483">
        <f>'_Engine_R50'!Q306</f>
        <v/>
      </c>
      <c r="H19" s="484" t="n"/>
      <c r="I19" s="484" t="n"/>
      <c r="J19" s="480">
        <f>'_Engine_R50'!P306/'_Engine_R50'!B22</f>
        <v/>
      </c>
      <c r="K19" s="480" t="n"/>
      <c r="L19" s="485" t="n"/>
      <c r="M19" s="486" t="n"/>
    </row>
    <row r="20" ht="15" customHeight="1" s="307">
      <c r="A20" s="407" t="n"/>
      <c r="B20" s="409" t="n"/>
      <c r="C20" s="487" t="n"/>
      <c r="D20" s="488" t="n"/>
      <c r="E20" s="489" t="n"/>
      <c r="F20" s="490" t="n"/>
      <c r="G20" s="490" t="n"/>
      <c r="H20" s="491" t="n"/>
      <c r="I20" s="492" t="n"/>
      <c r="J20" s="487" t="n"/>
      <c r="K20" s="487" t="n"/>
      <c r="L20" s="413" t="n"/>
      <c r="M20" s="493" t="n"/>
    </row>
    <row r="21" ht="15" customHeight="1" s="307">
      <c r="A21" s="406" t="n"/>
      <c r="B21" s="494" t="n"/>
      <c r="C21" s="494" t="n"/>
      <c r="D21" s="495" t="n"/>
      <c r="E21" s="494" t="n"/>
      <c r="F21" s="494" t="n"/>
      <c r="G21" s="494" t="n"/>
      <c r="H21" s="496" t="n"/>
      <c r="I21" s="496" t="n"/>
      <c r="J21" s="494" t="n"/>
      <c r="K21" s="494" t="n"/>
      <c r="L21" s="497" t="n"/>
      <c r="M21" s="494" t="n"/>
    </row>
    <row r="22" ht="15" customHeight="1" s="307">
      <c r="A22" s="306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</row>
    <row r="23" ht="15" customHeight="1" s="30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</row>
    <row r="24" ht="15" customHeight="1" s="30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06" min="1" max="1"/>
    <col width="20" customWidth="1" style="306" min="2" max="6"/>
  </cols>
  <sheetData>
    <row r="1" ht="25.5" customHeight="1" s="307">
      <c r="A1" s="385" t="inlineStr">
        <is>
          <t>LP RETURNS COMPARISON</t>
        </is>
      </c>
      <c r="B1" s="309" t="n"/>
      <c r="C1" s="309" t="n"/>
      <c r="D1" s="309" t="n"/>
      <c r="I1" s="728">
        <f>"Active scenario: " &amp; '1. Press Assumptions'!$B$136 &amp; "   (toggle on Tab 1 B136)"</f>
        <v/>
      </c>
    </row>
    <row r="2" ht="15" customHeight="1" s="307">
      <c r="A2" s="647" t="inlineStr">
        <is>
          <t>LIVE from _Engine_NR / _Engine_R50 / _Engine_R100. Change Tab 1 inputs -&gt; recalcs.</t>
        </is>
      </c>
    </row>
    <row r="3" ht="15" customHeight="1" s="307">
      <c r="A3" s="322" t="n"/>
      <c r="B3" s="502" t="inlineStr">
        <is>
          <t>No Recycle
(5 deals)</t>
        </is>
      </c>
      <c r="C3" s="502" t="inlineStr">
        <is>
          <t>50% Recycle
(M36/48/60/72, period 72)</t>
        </is>
      </c>
      <c r="D3" s="502" t="inlineStr">
        <is>
          <t>100% Recycle
(M24/28/32/36, period 36)</t>
        </is>
      </c>
      <c r="E3" s="387" t="n"/>
      <c r="F3" s="387" t="n"/>
    </row>
    <row r="4" ht="19.5" customHeight="1" s="307">
      <c r="A4" s="446" t="inlineStr">
        <is>
          <t>10Y DPI</t>
        </is>
      </c>
      <c r="B4" s="503">
        <f>'_Engine_NR'!B254</f>
        <v/>
      </c>
      <c r="C4" s="503">
        <f>'_Engine_R50'!B254</f>
        <v/>
      </c>
      <c r="D4" s="503">
        <f>'_Engine_R100'!B254</f>
        <v/>
      </c>
      <c r="E4" s="504" t="n"/>
      <c r="F4" s="504" t="n"/>
    </row>
    <row r="5" ht="15" customHeight="1" s="307">
      <c r="A5" s="322" t="inlineStr">
        <is>
          <t>15Y DPI</t>
        </is>
      </c>
      <c r="B5" s="503">
        <f>'_Engine_NR'!B252</f>
        <v/>
      </c>
      <c r="C5" s="503">
        <f>'_Engine_R50'!B252</f>
        <v/>
      </c>
      <c r="D5" s="503">
        <f>'_Engine_R100'!B252</f>
        <v/>
      </c>
      <c r="E5" s="358" t="n"/>
      <c r="F5" s="358" t="n"/>
    </row>
    <row r="6" ht="15" customHeight="1" s="307">
      <c r="A6" s="505" t="inlineStr">
        <is>
          <t>10Y IRR (Staged)</t>
        </is>
      </c>
      <c r="B6" s="506">
        <f>'_Engine_NR'!B277</f>
        <v/>
      </c>
      <c r="C6" s="506">
        <f>'_Engine_R50'!B277</f>
        <v/>
      </c>
      <c r="D6" s="506">
        <f>'_Engine_R100'!B277</f>
        <v/>
      </c>
      <c r="E6" s="354" t="n"/>
      <c r="F6" s="354" t="n"/>
    </row>
    <row r="7" ht="15" customHeight="1" s="307">
      <c r="A7" s="507" t="inlineStr">
        <is>
          <t>15Y IRR (Staged)</t>
        </is>
      </c>
      <c r="B7" s="506">
        <f>'_Engine_NR'!B276</f>
        <v/>
      </c>
      <c r="C7" s="506">
        <f>'_Engine_R50'!B276</f>
        <v/>
      </c>
      <c r="D7" s="506">
        <f>'_Engine_R100'!B276</f>
        <v/>
      </c>
      <c r="E7" s="354" t="n"/>
      <c r="F7" s="354" t="n"/>
    </row>
    <row r="8" ht="15" customHeight="1" s="307">
      <c r="A8" s="507" t="inlineStr">
        <is>
          <t>Payback (months)</t>
        </is>
      </c>
      <c r="B8" s="508" t="inlineStr"/>
      <c r="C8" s="508" t="inlineStr"/>
      <c r="D8" s="508" t="inlineStr"/>
      <c r="E8" s="354" t="n"/>
      <c r="F8" s="354" t="n"/>
    </row>
    <row r="9" ht="15" customHeight="1" s="307">
      <c r="A9" s="509" t="inlineStr">
        <is>
          <t>15Y LP Cash ($mm)</t>
        </is>
      </c>
      <c r="B9" s="354">
        <f>'_Engine_NR'!B250</f>
        <v/>
      </c>
      <c r="C9" s="354">
        <f>'_Engine_R50'!B250</f>
        <v/>
      </c>
      <c r="D9" s="354">
        <f>'_Engine_R100'!B250</f>
        <v/>
      </c>
      <c r="E9" s="354" t="n"/>
      <c r="F9" s="354" t="n"/>
    </row>
    <row r="10" ht="15" customHeight="1" s="307">
      <c r="A10" s="509" t="inlineStr">
        <is>
          <t>15Y GP Carry ($mm)</t>
        </is>
      </c>
      <c r="B10" s="354">
        <f>'_Engine_NR'!B251</f>
        <v/>
      </c>
      <c r="C10" s="354">
        <f>'_Engine_R50'!B251</f>
        <v/>
      </c>
      <c r="D10" s="354">
        <f>'_Engine_R100'!B251</f>
        <v/>
      </c>
      <c r="E10" s="441" t="n"/>
    </row>
    <row r="11" ht="15" customHeight="1" s="307">
      <c r="A11" s="509" t="inlineStr">
        <is>
          <t>Capital Deployed ($mm)</t>
        </is>
      </c>
      <c r="B11" s="354">
        <f>5*24*1.24-5*24*0.1154*0.5</f>
        <v/>
      </c>
      <c r="C11" s="354">
        <f>8*24*1.24-8*24*0.1154*0.5</f>
        <v/>
      </c>
      <c r="D11" s="354">
        <f>9*24*1.24-9*24*0.1154*0.5</f>
        <v/>
      </c>
      <c r="E11" s="510" t="n"/>
    </row>
    <row r="12" ht="15" customHeight="1" s="307">
      <c r="A12" s="509" t="inlineStr">
        <is>
          <t>Fund Size ($mm)</t>
        </is>
      </c>
      <c r="B12" s="354">
        <f>'1. Press Assumptions'!$B$5/1000000</f>
        <v/>
      </c>
      <c r="C12" s="354">
        <f>'1. Press Assumptions'!$B$5/1000000</f>
        <v/>
      </c>
      <c r="D12" s="354">
        <f>'1. Press Assumptions'!$B$5/1000000</f>
        <v/>
      </c>
      <c r="E12" s="511" t="n"/>
    </row>
    <row r="13" ht="15" customHeight="1" s="307">
      <c r="A13" s="512" t="n"/>
      <c r="B13" s="513" t="n"/>
      <c r="C13" s="513" t="n"/>
      <c r="D13" s="513" t="n"/>
      <c r="E13" s="513" t="n"/>
    </row>
    <row r="14" ht="15" customHeight="1" s="307">
      <c r="A14" s="641" t="inlineStr">
        <is>
          <t>ESCALATING WATERFALL (per LPA)</t>
        </is>
      </c>
    </row>
    <row r="15">
      <c r="A15" s="306" t="inlineStr">
        <is>
          <t>15Y DPI (Escalating)</t>
        </is>
      </c>
      <c r="B15" s="676">
        <f>'_Engine_NR'!B311</f>
        <v/>
      </c>
      <c r="C15" s="676">
        <f>'_Engine_R50'!B311</f>
        <v/>
      </c>
      <c r="D15" s="676">
        <f>'_Engine_R100'!B311</f>
        <v/>
      </c>
    </row>
    <row r="16" ht="19.5" customHeight="1" s="307">
      <c r="A16" s="514" t="inlineStr">
        <is>
          <t>15Y LP Cash Esc ($mm)</t>
        </is>
      </c>
      <c r="B16" s="306">
        <f>'_Engine_NR'!B309</f>
        <v/>
      </c>
      <c r="C16" s="306">
        <f>'_Engine_R50'!B309</f>
        <v/>
      </c>
      <c r="D16" s="306">
        <f>'_Engine_R100'!B309</f>
        <v/>
      </c>
    </row>
    <row r="17">
      <c r="A17" s="306" t="inlineStr">
        <is>
          <t>15Y GP Carry Esc ($mm)</t>
        </is>
      </c>
      <c r="B17" s="306">
        <f>'_Engine_NR'!B310</f>
        <v/>
      </c>
      <c r="C17" s="306">
        <f>'_Engine_R50'!B310</f>
        <v/>
      </c>
      <c r="D17" s="306">
        <f>'_Engine_R100'!B310</f>
        <v/>
      </c>
    </row>
    <row r="18" ht="15" customHeight="1" s="307">
      <c r="A18" s="515" t="inlineStr">
        <is>
          <t>GP Carry uplift vs Standard</t>
        </is>
      </c>
      <c r="B18" s="516">
        <f>'_Engine_NR'!B312</f>
        <v/>
      </c>
      <c r="C18" s="516">
        <f>'_Engine_R50'!B312</f>
        <v/>
      </c>
      <c r="D18" s="516">
        <f>'_Engine_R100'!B312</f>
        <v/>
      </c>
      <c r="E18" s="516" t="inlineStr">
        <is>
          <t>GP Carry ($mm)</t>
        </is>
      </c>
    </row>
    <row r="19" ht="15" customHeight="1" s="307">
      <c r="A19" s="517" t="n">
        <v>0.89307520476545</v>
      </c>
      <c r="B19" s="517" t="n">
        <v>0.295194003498182</v>
      </c>
      <c r="C19" s="518" t="n">
        <v>3.06040585133397</v>
      </c>
      <c r="D19" s="519" t="n">
        <v>585.945304296402</v>
      </c>
      <c r="E19" s="519" t="n">
        <v>98.62132607410049</v>
      </c>
    </row>
    <row r="20" ht="15" customHeight="1" s="307">
      <c r="A20" s="520" t="n">
        <v>0.86807520476545</v>
      </c>
      <c r="B20" s="520" t="n">
        <v>0.264117780840024</v>
      </c>
      <c r="C20" s="521" t="n">
        <v>2.62533728527292</v>
      </c>
      <c r="D20" s="522" t="n">
        <v>502.647076638353</v>
      </c>
      <c r="E20" s="522" t="n">
        <v>77.79676915958829</v>
      </c>
    </row>
    <row r="21" ht="15" customHeight="1" s="307">
      <c r="A21" s="523" t="n">
        <v>0.8430752047654499</v>
      </c>
      <c r="B21" s="523" t="n">
        <v>0.230682387249544</v>
      </c>
      <c r="C21" s="524" t="n">
        <v>2.27059513620089</v>
      </c>
      <c r="D21" s="525" t="n">
        <v>434.728144777022</v>
      </c>
      <c r="E21" s="525" t="n">
        <v>60.8170361942556</v>
      </c>
    </row>
    <row r="22" ht="15" customHeight="1" s="307">
      <c r="A22" s="520" t="n">
        <v>0.818075204765451</v>
      </c>
      <c r="B22" s="520" t="n">
        <v>0.198960245819762</v>
      </c>
      <c r="C22" s="521" t="n">
        <v>1.9801324486744</v>
      </c>
      <c r="D22" s="522" t="n">
        <v>379.116158623201</v>
      </c>
      <c r="E22" s="522" t="n">
        <v>46.9140396558002</v>
      </c>
    </row>
    <row r="23" ht="15" customHeight="1" s="307">
      <c r="A23" s="523" t="n">
        <v>0.793075204765451</v>
      </c>
      <c r="B23" s="523" t="n">
        <v>0.166494488483295</v>
      </c>
      <c r="C23" s="524" t="n">
        <v>1.74113336568933</v>
      </c>
      <c r="D23" s="525" t="n">
        <v>333.357394194879</v>
      </c>
      <c r="E23" s="525" t="n">
        <v>35.4743485487197</v>
      </c>
    </row>
    <row r="24" ht="15" customHeight="1" s="307">
      <c r="A24" s="520" t="n">
        <v>0.76807520476545</v>
      </c>
      <c r="B24" s="520" t="n">
        <v>0.134924765443429</v>
      </c>
      <c r="C24" s="521" t="n">
        <v>1.54337878887888</v>
      </c>
      <c r="D24" s="522" t="n">
        <v>295.495302918751</v>
      </c>
      <c r="E24" s="522" t="n">
        <v>26.0088257296877</v>
      </c>
    </row>
    <row r="25" ht="15" customHeight="1" s="307">
      <c r="A25" s="523" t="n">
        <v>0.74307520476545</v>
      </c>
      <c r="B25" s="523" t="n">
        <v>0.104380024829879</v>
      </c>
      <c r="C25" s="524" t="n">
        <v>1.37873070454131</v>
      </c>
      <c r="D25" s="525" t="n">
        <v>263.971780691479</v>
      </c>
      <c r="E25" s="525" t="n">
        <v>18.1279451728698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06" min="1" max="1"/>
    <col width="14" customWidth="1" style="306" min="2" max="12"/>
  </cols>
  <sheetData>
    <row r="1" ht="25.5" customHeight="1" s="307">
      <c r="A1" s="682">
        <f>" PER-DEAL BREAKDOWN  |  Net Margin per Tab 1 (B26) = " &amp; TEXT('1. Press Assumptions'!$B$26,"0.0%")</f>
        <v/>
      </c>
    </row>
    <row r="3" ht="19.5" customHeight="1" s="307">
      <c r="A3" s="514" t="inlineStr">
        <is>
          <t>ORIGINAL 5 DEALS</t>
        </is>
      </c>
    </row>
    <row r="5" ht="15" customHeight="1" s="307">
      <c r="A5" s="516" t="inlineStr">
        <is>
          <t>Deal</t>
        </is>
      </c>
      <c r="B5" s="516" t="inlineStr">
        <is>
          <t>Type</t>
        </is>
      </c>
      <c r="C5" s="516" t="inlineStr">
        <is>
          <t>Outcome</t>
        </is>
      </c>
      <c r="D5" s="516" t="inlineStr">
        <is>
          <t>ARR ($mm)</t>
        </is>
      </c>
      <c r="E5" s="516" t="inlineStr">
        <is>
          <t>Mult</t>
        </is>
      </c>
      <c r="F5" s="516" t="inlineStr">
        <is>
          <t>Purchase</t>
        </is>
      </c>
      <c r="G5" s="516" t="inlineStr">
        <is>
          <t>Real NDR</t>
        </is>
      </c>
      <c r="H5" s="516" t="inlineStr">
        <is>
          <t>15Y Rev</t>
        </is>
      </c>
      <c r="I5" s="516" t="inlineStr">
        <is>
          <t>15Y NOI</t>
        </is>
      </c>
      <c r="J5" s="516" t="inlineStr">
        <is>
          <t>15Y Cash</t>
        </is>
      </c>
      <c r="K5" s="516" t="inlineStr">
        <is>
          <t>MOIC</t>
        </is>
      </c>
      <c r="L5" s="516" t="inlineStr">
        <is>
          <t>IRR</t>
        </is>
      </c>
    </row>
    <row r="6" ht="15" customHeight="1" s="307">
      <c r="A6" s="527" t="inlineStr">
        <is>
          <t>#1</t>
        </is>
      </c>
      <c r="B6" s="527" t="inlineStr">
        <is>
          <t>Type B</t>
        </is>
      </c>
      <c r="C6" s="528" t="inlineStr">
        <is>
          <t>WINNER</t>
        </is>
      </c>
      <c r="D6" s="529">
        <f>'1. Press Assumptions'!$D$89</f>
        <v/>
      </c>
      <c r="E6" s="530">
        <f>'1. Press Assumptions'!$E$89</f>
        <v/>
      </c>
      <c r="F6" s="531">
        <f>'1. Press Assumptions'!$D$89*'1. Press Assumptions'!$E$89</f>
        <v/>
      </c>
      <c r="G6" s="517" t="n">
        <v>1</v>
      </c>
      <c r="H6" s="529" t="n">
        <v>377.6</v>
      </c>
      <c r="I6" s="529" t="n">
        <v>226.56</v>
      </c>
      <c r="J6" s="532" t="n">
        <v>223.60576</v>
      </c>
      <c r="K6" s="518" t="n">
        <v>5.82306666666667</v>
      </c>
      <c r="L6" s="533" t="n">
        <v>0.513285915600136</v>
      </c>
    </row>
    <row r="7" ht="15" customHeight="1" s="307">
      <c r="A7" s="534" t="inlineStr">
        <is>
          <t>#2</t>
        </is>
      </c>
      <c r="B7" s="534" t="inlineStr">
        <is>
          <t>Type A</t>
        </is>
      </c>
      <c r="C7" s="535" t="inlineStr">
        <is>
          <t>AVERAGE</t>
        </is>
      </c>
      <c r="D7" s="536">
        <f>'1. Press Assumptions'!$D$90</f>
        <v/>
      </c>
      <c r="E7" s="524">
        <f>'1. Press Assumptions'!$E$90</f>
        <v/>
      </c>
      <c r="F7" s="537">
        <f>'1. Press Assumptions'!$D$90*'1. Press Assumptions'!$E$90</f>
        <v/>
      </c>
      <c r="G7" s="538" t="n">
        <v>0.85</v>
      </c>
      <c r="H7" s="536" t="n">
        <v>152.535716188887</v>
      </c>
      <c r="I7" s="536" t="n">
        <v>91.5214297133319</v>
      </c>
      <c r="J7" s="539" t="n">
        <v>88.3825497133319</v>
      </c>
      <c r="K7" s="540" t="n">
        <v>2.3209703181022</v>
      </c>
      <c r="L7" s="541" t="n">
        <v>0.267954502487555</v>
      </c>
    </row>
    <row r="8" ht="15" customHeight="1" s="307">
      <c r="A8" s="527" t="inlineStr">
        <is>
          <t>#3</t>
        </is>
      </c>
      <c r="B8" s="527" t="inlineStr">
        <is>
          <t>Type A</t>
        </is>
      </c>
      <c r="C8" s="528" t="inlineStr">
        <is>
          <t>WINNER</t>
        </is>
      </c>
      <c r="D8" s="529">
        <f>'1. Press Assumptions'!$D$91</f>
        <v/>
      </c>
      <c r="E8" s="530">
        <f>'1. Press Assumptions'!$E$91</f>
        <v/>
      </c>
      <c r="F8" s="531">
        <f>'1. Press Assumptions'!$D$91*'1. Press Assumptions'!$E$91</f>
        <v/>
      </c>
      <c r="G8" s="517" t="n">
        <v>1</v>
      </c>
      <c r="H8" s="529" t="n">
        <v>428.925</v>
      </c>
      <c r="I8" s="529" t="n">
        <v>257.355</v>
      </c>
      <c r="J8" s="532" t="n">
        <v>253.88146</v>
      </c>
      <c r="K8" s="518" t="n">
        <v>5.271625</v>
      </c>
      <c r="L8" s="533" t="n">
        <v>0.379027688177303</v>
      </c>
    </row>
    <row r="9" ht="15" customHeight="1" s="307">
      <c r="A9" s="542" t="inlineStr">
        <is>
          <t>#4</t>
        </is>
      </c>
      <c r="B9" s="542" t="inlineStr">
        <is>
          <t>Type B</t>
        </is>
      </c>
      <c r="C9" s="543" t="inlineStr">
        <is>
          <t>LOSER</t>
        </is>
      </c>
      <c r="D9" s="544">
        <f>'1. Press Assumptions'!$D$92</f>
        <v/>
      </c>
      <c r="E9" s="545">
        <f>'1. Press Assumptions'!$E$92</f>
        <v/>
      </c>
      <c r="F9" s="546">
        <f>'1. Press Assumptions'!$D$92*'1. Press Assumptions'!$E$92</f>
        <v/>
      </c>
      <c r="G9" s="547" t="n">
        <v>0.8</v>
      </c>
      <c r="H9" s="544" t="n">
        <v>112.526643230303</v>
      </c>
      <c r="I9" s="544" t="n">
        <v>67.5159859381817</v>
      </c>
      <c r="J9" s="548" t="n">
        <v>64.5155859381817</v>
      </c>
      <c r="K9" s="549" t="n">
        <v>1.90874514610005</v>
      </c>
      <c r="L9" s="547" t="n">
        <v>0.188678668579087</v>
      </c>
    </row>
    <row r="10" ht="15" customHeight="1" s="307">
      <c r="A10" s="542" t="inlineStr">
        <is>
          <t>#5</t>
        </is>
      </c>
      <c r="B10" s="542" t="inlineStr">
        <is>
          <t>Type A</t>
        </is>
      </c>
      <c r="C10" s="543" t="inlineStr">
        <is>
          <t>LOSER</t>
        </is>
      </c>
      <c r="D10" s="544">
        <f>'1. Press Assumptions'!$D$93</f>
        <v/>
      </c>
      <c r="E10" s="545">
        <f>'1. Press Assumptions'!$E$93</f>
        <v/>
      </c>
      <c r="F10" s="546">
        <f>'1. Press Assumptions'!$D$93*'1. Press Assumptions'!$E$93</f>
        <v/>
      </c>
      <c r="G10" s="547" t="n">
        <v>0.8</v>
      </c>
      <c r="H10" s="544" t="n">
        <v>109.546891198315</v>
      </c>
      <c r="I10" s="544" t="n">
        <v>65.7281347189891</v>
      </c>
      <c r="J10" s="548" t="n">
        <v>62.7969747189891</v>
      </c>
      <c r="K10" s="549" t="n">
        <v>1.90178603025406</v>
      </c>
      <c r="L10" s="550" t="n">
        <v>0.259176189778373</v>
      </c>
    </row>
    <row r="13" ht="15" customHeight="1" s="307">
      <c r="A13" s="551" t="inlineStr">
        <is>
          <t>RECYCLED DEALS (if recycling ON)</t>
        </is>
      </c>
    </row>
    <row r="14" ht="15" customHeight="1" s="307">
      <c r="A14" s="306" t="inlineStr">
        <is>
          <t>Deal</t>
        </is>
      </c>
      <c r="B14" s="306" t="inlineStr">
        <is>
          <t>Type</t>
        </is>
      </c>
      <c r="C14" s="306" t="inlineStr">
        <is>
          <t>Outcome</t>
        </is>
      </c>
      <c r="D14" s="306" t="inlineStr">
        <is>
          <t>ARR ($mm)</t>
        </is>
      </c>
      <c r="E14" s="306" t="inlineStr">
        <is>
          <t>Mult</t>
        </is>
      </c>
      <c r="F14" s="306" t="inlineStr">
        <is>
          <t>Purchase</t>
        </is>
      </c>
      <c r="G14" s="306" t="inlineStr">
        <is>
          <t>Real NDR</t>
        </is>
      </c>
      <c r="H14" s="306" t="inlineStr">
        <is>
          <t>15Y Rev</t>
        </is>
      </c>
      <c r="I14" s="306" t="inlineStr">
        <is>
          <t>15Y NOI</t>
        </is>
      </c>
      <c r="J14" s="306" t="inlineStr">
        <is>
          <t>15Y Cash</t>
        </is>
      </c>
      <c r="K14" s="306" t="inlineStr">
        <is>
          <t>MOIC</t>
        </is>
      </c>
      <c r="L14" s="306" t="inlineStr">
        <is>
          <t>IRR</t>
        </is>
      </c>
    </row>
    <row r="15" ht="15" customHeight="1" s="307">
      <c r="A15" s="306" t="inlineStr">
        <is>
          <t>#6</t>
        </is>
      </c>
      <c r="B15" s="306" t="inlineStr">
        <is>
          <t>Type A</t>
        </is>
      </c>
      <c r="C15" s="306" t="inlineStr">
        <is>
          <t>WINNER</t>
        </is>
      </c>
      <c r="D15" s="306">
        <f>'1. Press Assumptions'!$D$96</f>
        <v/>
      </c>
      <c r="E15" s="306">
        <f>'1. Press Assumptions'!$E$96</f>
        <v/>
      </c>
      <c r="F15" s="306">
        <f>'1. Press Assumptions'!$D$96*'1. Press Assumptions'!$E$96</f>
        <v/>
      </c>
      <c r="G15" s="306" t="n">
        <v>1</v>
      </c>
      <c r="H15" s="306" t="n">
        <v>314</v>
      </c>
      <c r="I15" s="306" t="n">
        <v>188.4</v>
      </c>
      <c r="J15" s="306" t="n">
        <v>185.6304</v>
      </c>
      <c r="K15" s="306" t="n">
        <v>6.18768</v>
      </c>
      <c r="L15" s="306" t="n">
        <v>0.452576353455475</v>
      </c>
    </row>
    <row r="16" ht="15" customHeight="1" s="307">
      <c r="A16" s="306" t="inlineStr">
        <is>
          <t>#7</t>
        </is>
      </c>
      <c r="B16" s="306" t="inlineStr">
        <is>
          <t>Type A</t>
        </is>
      </c>
      <c r="C16" s="306" t="inlineStr">
        <is>
          <t>WINNER</t>
        </is>
      </c>
      <c r="D16" s="306">
        <f>'1. Press Assumptions'!$D$97</f>
        <v/>
      </c>
      <c r="E16" s="306">
        <f>'1. Press Assumptions'!$E$97</f>
        <v/>
      </c>
      <c r="F16" s="306">
        <f>'1. Press Assumptions'!$D$97*'1. Press Assumptions'!$E$97</f>
        <v/>
      </c>
      <c r="G16" s="306" t="n">
        <v>1</v>
      </c>
      <c r="H16" s="306" t="n">
        <v>306</v>
      </c>
      <c r="I16" s="306" t="n">
        <v>183.6</v>
      </c>
      <c r="J16" s="306" t="n">
        <v>180.8304</v>
      </c>
      <c r="K16" s="306" t="n">
        <v>6.02768</v>
      </c>
      <c r="L16" s="306" t="n">
        <v>0.653886319719487</v>
      </c>
    </row>
    <row r="17" ht="15" customHeight="1" s="307">
      <c r="A17" s="306" t="inlineStr">
        <is>
          <t>#8</t>
        </is>
      </c>
      <c r="B17" s="306" t="inlineStr">
        <is>
          <t>Type A</t>
        </is>
      </c>
      <c r="C17" s="306" t="inlineStr">
        <is>
          <t>AVERAGE</t>
        </is>
      </c>
      <c r="D17" s="306">
        <f>'1. Press Assumptions'!$D$98</f>
        <v/>
      </c>
      <c r="E17" s="306">
        <f>'1. Press Assumptions'!$E$98</f>
        <v/>
      </c>
      <c r="F17" s="306">
        <f>'1. Press Assumptions'!$D$98*'1. Press Assumptions'!$E$98</f>
        <v/>
      </c>
      <c r="G17" s="306" t="n">
        <v>0.85</v>
      </c>
      <c r="H17" s="306" t="n">
        <v>128.913893403861</v>
      </c>
      <c r="I17" s="306" t="n">
        <v>77.3483360423167</v>
      </c>
      <c r="J17" s="306" t="n">
        <v>74.57873604231671</v>
      </c>
      <c r="K17" s="306" t="n">
        <v>2.48595786807722</v>
      </c>
      <c r="L17" s="306" t="n">
        <v>0.311822867853159</v>
      </c>
    </row>
    <row r="18" ht="15" customHeight="1" s="307">
      <c r="A18" s="306" t="inlineStr">
        <is>
          <t>#9</t>
        </is>
      </c>
      <c r="B18" s="306" t="inlineStr">
        <is>
          <t>Type A</t>
        </is>
      </c>
      <c r="C18" s="306" t="inlineStr">
        <is>
          <t>LOSER</t>
        </is>
      </c>
      <c r="D18" s="306">
        <f>'1. Press Assumptions'!$D$99</f>
        <v/>
      </c>
      <c r="E18" s="306">
        <f>'1. Press Assumptions'!$E$99</f>
        <v/>
      </c>
      <c r="F18" s="306">
        <f>'1. Press Assumptions'!$D$99*'1. Press Assumptions'!$E$99</f>
        <v/>
      </c>
      <c r="G18" s="306" t="n">
        <v>0.8</v>
      </c>
      <c r="H18" s="306" t="n">
        <v>101.2346282324</v>
      </c>
      <c r="I18" s="306" t="n">
        <v>60.7407769394399</v>
      </c>
      <c r="J18" s="306" t="n">
        <v>57.9711769394399</v>
      </c>
      <c r="K18" s="306" t="n">
        <v>1.932372564648</v>
      </c>
      <c r="L18" s="306" t="n">
        <v>0.20197646577625</v>
      </c>
    </row>
    <row r="20">
      <c r="A20" s="642" t="inlineStr">
        <is>
          <t>LP CASH CONTRIBUTION BY DEAL  (No Recycle, properly allocated)</t>
        </is>
      </c>
      <c r="B20" s="618" t="n"/>
      <c r="C20" s="618" t="n"/>
      <c r="D20" s="618" t="n"/>
      <c r="E20" s="618" t="n"/>
      <c r="F20" s="618" t="n"/>
      <c r="G20" s="618" t="n"/>
      <c r="H20" s="618" t="n"/>
    </row>
    <row r="21">
      <c r="A21" s="700" t="inlineStr">
        <is>
          <t>Method: each deal's share of portfolio revenue x portfolio EBITDA, then apply LP share of total distributable.</t>
        </is>
      </c>
      <c r="B21" s="701" t="n"/>
      <c r="C21" s="701" t="n"/>
      <c r="D21" s="701" t="n"/>
      <c r="E21" s="701" t="n"/>
      <c r="F21" s="701" t="n"/>
      <c r="G21" s="701" t="n"/>
      <c r="H21" s="614" t="n"/>
    </row>
    <row r="22">
      <c r="A22" s="643" t="inlineStr">
        <is>
          <t>Deal</t>
        </is>
      </c>
      <c r="B22" s="643" t="inlineStr">
        <is>
          <t>ARR</t>
        </is>
      </c>
      <c r="C22" s="643" t="inlineStr">
        <is>
          <t>NDR</t>
        </is>
      </c>
      <c r="D22" s="643" t="inlineStr">
        <is>
          <t>15Y Revenue</t>
        </is>
      </c>
      <c r="E22" s="643" t="inlineStr">
        <is>
          <t>% of Rev</t>
        </is>
      </c>
      <c r="F22" s="643" t="inlineStr">
        <is>
          <t>Exit Y10</t>
        </is>
      </c>
      <c r="G22" s="652" t="inlineStr">
        <is>
          <t>LP cash $</t>
        </is>
      </c>
      <c r="H22" s="643" t="inlineStr">
        <is>
          <t>% of LP cash</t>
        </is>
      </c>
    </row>
    <row r="23">
      <c r="A23" s="626" t="inlineStr">
        <is>
          <t>#1</t>
        </is>
      </c>
      <c r="B23" s="613">
        <f>'_Engine_NR'!$E$6</f>
        <v/>
      </c>
      <c r="C23" s="613">
        <f>'_Engine_NR'!$G$6</f>
        <v/>
      </c>
      <c r="D23" s="613">
        <f>SUM('_Engine_NR'!F31:F210)/12</f>
        <v/>
      </c>
      <c r="E23" s="702">
        <f>D23/SUM(D$23:D$27)</f>
        <v/>
      </c>
      <c r="F23" s="613">
        <f>'_Engine_NR'!F150*'1. Press Assumptions'!$B$116*'1. Press Assumptions'!$B$117</f>
        <v/>
      </c>
      <c r="G23" s="703">
        <f>(D23+F23)/(SUM(D$23:D$27)+SUM(F$23:F$27)) * '_Engine_NR'!$B$250</f>
        <v/>
      </c>
      <c r="H23" s="703">
        <f>G23/SUM(G$23:G$27)</f>
        <v/>
      </c>
    </row>
    <row r="24">
      <c r="A24" s="626" t="inlineStr">
        <is>
          <t>#2</t>
        </is>
      </c>
      <c r="B24" s="613">
        <f>'_Engine_NR'!$E$7</f>
        <v/>
      </c>
      <c r="C24" s="613">
        <f>'_Engine_NR'!$G$7</f>
        <v/>
      </c>
      <c r="D24" s="613">
        <f>SUM('_Engine_NR'!G31:G210)/12</f>
        <v/>
      </c>
      <c r="E24" s="702">
        <f>D24/SUM(D$23:D$27)</f>
        <v/>
      </c>
      <c r="F24" s="613">
        <f>'_Engine_NR'!G150*'1. Press Assumptions'!$B$116*'1. Press Assumptions'!$B$117</f>
        <v/>
      </c>
      <c r="G24" s="703">
        <f>(D24+F24)/(SUM(D$23:D$27)+SUM(F$23:F$27)) * '_Engine_NR'!$B$250</f>
        <v/>
      </c>
      <c r="H24" s="703">
        <f>G24/SUM(G$23:G$27)</f>
        <v/>
      </c>
    </row>
    <row r="25">
      <c r="A25" s="626" t="inlineStr">
        <is>
          <t>#3</t>
        </is>
      </c>
      <c r="B25" s="613">
        <f>'_Engine_NR'!$E$8</f>
        <v/>
      </c>
      <c r="C25" s="613">
        <f>'_Engine_NR'!$G$8</f>
        <v/>
      </c>
      <c r="D25" s="613">
        <f>SUM('_Engine_NR'!H31:H210)/12</f>
        <v/>
      </c>
      <c r="E25" s="702">
        <f>D25/SUM(D$23:D$27)</f>
        <v/>
      </c>
      <c r="F25" s="613">
        <f>'_Engine_NR'!H150*'1. Press Assumptions'!$B$116*'1. Press Assumptions'!$B$117</f>
        <v/>
      </c>
      <c r="G25" s="703">
        <f>(D25+F25)/(SUM(D$23:D$27)+SUM(F$23:F$27)) * '_Engine_NR'!$B$250</f>
        <v/>
      </c>
      <c r="H25" s="703">
        <f>G25/SUM(G$23:G$27)</f>
        <v/>
      </c>
    </row>
    <row r="26">
      <c r="A26" s="626" t="inlineStr">
        <is>
          <t>#4</t>
        </is>
      </c>
      <c r="B26" s="613">
        <f>'_Engine_NR'!$E$9</f>
        <v/>
      </c>
      <c r="C26" s="613">
        <f>'_Engine_NR'!$G$9</f>
        <v/>
      </c>
      <c r="D26" s="613">
        <f>SUM('_Engine_NR'!I31:I210)/12</f>
        <v/>
      </c>
      <c r="E26" s="702">
        <f>D26/SUM(D$23:D$27)</f>
        <v/>
      </c>
      <c r="F26" s="613">
        <f>'_Engine_NR'!I150*'1. Press Assumptions'!$B$116*'1. Press Assumptions'!$B$117</f>
        <v/>
      </c>
      <c r="G26" s="703">
        <f>(D26+F26)/(SUM(D$23:D$27)+SUM(F$23:F$27)) * '_Engine_NR'!$B$250</f>
        <v/>
      </c>
      <c r="H26" s="703">
        <f>G26/SUM(G$23:G$27)</f>
        <v/>
      </c>
    </row>
    <row r="27">
      <c r="A27" s="628" t="inlineStr">
        <is>
          <t>#5</t>
        </is>
      </c>
      <c r="B27" s="614">
        <f>'_Engine_NR'!$E$10</f>
        <v/>
      </c>
      <c r="C27" s="614">
        <f>'_Engine_NR'!$G$10</f>
        <v/>
      </c>
      <c r="D27" s="614">
        <f>SUM('_Engine_NR'!J31:J210)/12</f>
        <v/>
      </c>
      <c r="E27" s="703">
        <f>D27/SUM(D$23:D$27)</f>
        <v/>
      </c>
      <c r="F27" s="613">
        <f>'_Engine_NR'!J150*'1. Press Assumptions'!$B$116*'1. Press Assumptions'!$B$117</f>
        <v/>
      </c>
      <c r="G27" s="703">
        <f>(D27+F27)/(SUM(D$23:D$27)+SUM(F$23:F$27)) * '_Engine_NR'!$B$250</f>
        <v/>
      </c>
      <c r="H27" s="703">
        <f>G27/SUM(G$23:G$27)</f>
        <v/>
      </c>
    </row>
    <row r="28">
      <c r="A28" s="628" t="inlineStr">
        <is>
          <t>TOTAL</t>
        </is>
      </c>
      <c r="B28" s="614" t="n"/>
      <c r="C28" s="614" t="n"/>
      <c r="D28" s="614">
        <f>SUM(D23:D27)</f>
        <v/>
      </c>
      <c r="E28" s="703">
        <f>SUM(E23:E27)</f>
        <v/>
      </c>
      <c r="F28" s="614">
        <f>SUM(F23:F27)</f>
        <v/>
      </c>
      <c r="G28" s="614">
        <f>SUM(G23:G27)</f>
        <v/>
      </c>
      <c r="H28" s="703">
        <f>SUM(H23:H27)</f>
        <v/>
      </c>
    </row>
    <row r="29">
      <c r="A29" s="614" t="n"/>
      <c r="B29" s="614" t="n"/>
      <c r="C29" s="614" t="n"/>
      <c r="D29" s="614" t="n"/>
      <c r="E29" s="614" t="n"/>
      <c r="F29" s="614" t="n"/>
      <c r="G29" s="614" t="n"/>
      <c r="H29" s="614" t="n"/>
    </row>
    <row r="30">
      <c r="A30" s="627" t="inlineStr">
        <is>
          <t>Top 2 deals share of LP cash:</t>
        </is>
      </c>
      <c r="B30" s="614">
        <f>LARGE(G23:G27,1)+LARGE(G23:G27,2)</f>
        <v/>
      </c>
      <c r="C30" s="704">
        <f>B30/SUM(G23:G27)</f>
        <v/>
      </c>
      <c r="D30" s="614" t="n"/>
      <c r="E30" s="614" t="n"/>
      <c r="F30" s="614" t="n"/>
      <c r="G30" s="614" t="n"/>
      <c r="H30" s="614" t="n"/>
    </row>
    <row r="31">
      <c r="A31" s="615" t="inlineStr">
        <is>
          <t>NOTE: assumes deal cash contribution scales with revenue + exit. Allocated fixed costs not deal-specific.</t>
        </is>
      </c>
      <c r="B31" s="614" t="n"/>
      <c r="C31" s="614" t="n"/>
      <c r="D31" s="614" t="n"/>
      <c r="E31" s="614" t="n"/>
      <c r="F31" s="614" t="n"/>
      <c r="G31" s="614" t="n"/>
      <c r="H31" s="614" t="n"/>
    </row>
    <row r="33">
      <c r="A33" s="642" t="inlineStr">
        <is>
          <t>CONCENTRATION  --  50% RECYCLE (9 deals)</t>
        </is>
      </c>
      <c r="B33" s="618" t="n"/>
      <c r="C33" s="618" t="n"/>
      <c r="D33" s="618" t="n"/>
      <c r="E33" s="618" t="n"/>
      <c r="F33" s="618" t="n"/>
      <c r="G33" s="618" t="n"/>
      <c r="H33" s="618" t="n"/>
    </row>
    <row r="34">
      <c r="A34" s="643" t="inlineStr">
        <is>
          <t>Deal</t>
        </is>
      </c>
      <c r="B34" s="643" t="inlineStr">
        <is>
          <t>ARR</t>
        </is>
      </c>
      <c r="C34" s="643" t="inlineStr">
        <is>
          <t>NDR</t>
        </is>
      </c>
      <c r="D34" s="643" t="inlineStr">
        <is>
          <t>15Y Revenue</t>
        </is>
      </c>
      <c r="E34" s="643" t="inlineStr">
        <is>
          <t>% of Rev</t>
        </is>
      </c>
      <c r="F34" s="643" t="inlineStr">
        <is>
          <t>Exit</t>
        </is>
      </c>
      <c r="G34" s="643" t="inlineStr">
        <is>
          <t>LP cash $</t>
        </is>
      </c>
      <c r="H34" s="643" t="inlineStr">
        <is>
          <t>% of LP cash</t>
        </is>
      </c>
    </row>
    <row r="35">
      <c r="A35" s="628" t="inlineStr">
        <is>
          <t>#1</t>
        </is>
      </c>
      <c r="B35" s="614">
        <f>'_Engine_R50'!$E$6</f>
        <v/>
      </c>
      <c r="C35" s="614">
        <f>'_Engine_R50'!$G$6</f>
        <v/>
      </c>
      <c r="D35" s="614">
        <f>SUM('_Engine_R50'!F31:F210)/12</f>
        <v/>
      </c>
      <c r="E35" s="703">
        <f>D35/SUM(D$35:D$43)</f>
        <v/>
      </c>
      <c r="F35" s="614">
        <f>'_Engine_R50'!F150*'1. Press Assumptions'!$B$116*'1. Press Assumptions'!$B$117</f>
        <v/>
      </c>
      <c r="G35" s="614">
        <f>(D35+F35)/(SUM(D$35:D$43)+SUM(F$35:F$43)) * '_Engine_R50'!$B$250</f>
        <v/>
      </c>
      <c r="H35" s="703">
        <f>G35/SUM(G$35:G$43)</f>
        <v/>
      </c>
    </row>
    <row r="36">
      <c r="A36" s="628" t="inlineStr">
        <is>
          <t>#2</t>
        </is>
      </c>
      <c r="B36" s="614">
        <f>'_Engine_R50'!$E$7</f>
        <v/>
      </c>
      <c r="C36" s="614">
        <f>'_Engine_R50'!$G$7</f>
        <v/>
      </c>
      <c r="D36" s="614">
        <f>SUM('_Engine_R50'!G31:G210)/12</f>
        <v/>
      </c>
      <c r="E36" s="703">
        <f>D36/SUM(D$35:D$43)</f>
        <v/>
      </c>
      <c r="F36" s="614">
        <f>'_Engine_R50'!G150*'1. Press Assumptions'!$B$116*'1. Press Assumptions'!$B$117</f>
        <v/>
      </c>
      <c r="G36" s="614">
        <f>(D36+F36)/(SUM(D$35:D$43)+SUM(F$35:F$43)) * '_Engine_R50'!$B$250</f>
        <v/>
      </c>
      <c r="H36" s="703">
        <f>G36/SUM(G$35:G$43)</f>
        <v/>
      </c>
    </row>
    <row r="37">
      <c r="A37" s="628" t="inlineStr">
        <is>
          <t>#3</t>
        </is>
      </c>
      <c r="B37" s="614">
        <f>'_Engine_R50'!$E$8</f>
        <v/>
      </c>
      <c r="C37" s="614">
        <f>'_Engine_R50'!$G$8</f>
        <v/>
      </c>
      <c r="D37" s="614">
        <f>SUM('_Engine_R50'!H31:H210)/12</f>
        <v/>
      </c>
      <c r="E37" s="703">
        <f>D37/SUM(D$35:D$43)</f>
        <v/>
      </c>
      <c r="F37" s="614">
        <f>'_Engine_R50'!H150*'1. Press Assumptions'!$B$116*'1. Press Assumptions'!$B$117</f>
        <v/>
      </c>
      <c r="G37" s="614">
        <f>(D37+F37)/(SUM(D$35:D$43)+SUM(F$35:F$43)) * '_Engine_R50'!$B$250</f>
        <v/>
      </c>
      <c r="H37" s="703">
        <f>G37/SUM(G$35:G$43)</f>
        <v/>
      </c>
    </row>
    <row r="38">
      <c r="A38" s="628" t="inlineStr">
        <is>
          <t>#4</t>
        </is>
      </c>
      <c r="B38" s="614">
        <f>'_Engine_R50'!$E$9</f>
        <v/>
      </c>
      <c r="C38" s="614">
        <f>'_Engine_R50'!$G$9</f>
        <v/>
      </c>
      <c r="D38" s="614">
        <f>SUM('_Engine_R50'!I31:I210)/12</f>
        <v/>
      </c>
      <c r="E38" s="703">
        <f>D38/SUM(D$35:D$43)</f>
        <v/>
      </c>
      <c r="F38" s="614">
        <f>'_Engine_R50'!I150*'1. Press Assumptions'!$B$116*'1. Press Assumptions'!$B$117</f>
        <v/>
      </c>
      <c r="G38" s="614">
        <f>(D38+F38)/(SUM(D$35:D$43)+SUM(F$35:F$43)) * '_Engine_R50'!$B$250</f>
        <v/>
      </c>
      <c r="H38" s="703">
        <f>G38/SUM(G$35:G$43)</f>
        <v/>
      </c>
    </row>
    <row r="39">
      <c r="A39" s="628" t="inlineStr">
        <is>
          <t>#5</t>
        </is>
      </c>
      <c r="B39" s="614">
        <f>'_Engine_R50'!$E$10</f>
        <v/>
      </c>
      <c r="C39" s="614">
        <f>'_Engine_R50'!$G$10</f>
        <v/>
      </c>
      <c r="D39" s="614">
        <f>SUM('_Engine_R50'!J31:J210)/12</f>
        <v/>
      </c>
      <c r="E39" s="703">
        <f>D39/SUM(D$35:D$43)</f>
        <v/>
      </c>
      <c r="F39" s="614">
        <f>'_Engine_R50'!J150*'1. Press Assumptions'!$B$116*'1. Press Assumptions'!$B$117</f>
        <v/>
      </c>
      <c r="G39" s="614">
        <f>(D39+F39)/(SUM(D$35:D$43)+SUM(F$35:F$43)) * '_Engine_R50'!$B$250</f>
        <v/>
      </c>
      <c r="H39" s="703">
        <f>G39/SUM(G$35:G$43)</f>
        <v/>
      </c>
    </row>
    <row r="40">
      <c r="A40" s="628" t="inlineStr">
        <is>
          <t>#6</t>
        </is>
      </c>
      <c r="B40" s="614">
        <f>'_Engine_R50'!$E$11</f>
        <v/>
      </c>
      <c r="C40" s="614">
        <f>'_Engine_R50'!$G$11</f>
        <v/>
      </c>
      <c r="D40" s="614">
        <f>SUM('_Engine_R50'!K31:K210)/12</f>
        <v/>
      </c>
      <c r="E40" s="703">
        <f>D40/SUM(D$35:D$43)</f>
        <v/>
      </c>
      <c r="F40" s="614">
        <f>'_Engine_R50'!K150*'1. Press Assumptions'!$B$116*'1. Press Assumptions'!$B$117</f>
        <v/>
      </c>
      <c r="G40" s="614">
        <f>(D40+F40)/(SUM(D$35:D$43)+SUM(F$35:F$43)) * '_Engine_R50'!$B$250</f>
        <v/>
      </c>
      <c r="H40" s="703">
        <f>G40/SUM(G$35:G$43)</f>
        <v/>
      </c>
    </row>
    <row r="41">
      <c r="A41" s="628" t="inlineStr">
        <is>
          <t>#7</t>
        </is>
      </c>
      <c r="B41" s="614">
        <f>'_Engine_R50'!$E$12</f>
        <v/>
      </c>
      <c r="C41" s="614">
        <f>'_Engine_R50'!$G$12</f>
        <v/>
      </c>
      <c r="D41" s="614">
        <f>SUM('_Engine_R50'!L31:L210)/12</f>
        <v/>
      </c>
      <c r="E41" s="703">
        <f>D41/SUM(D$35:D$43)</f>
        <v/>
      </c>
      <c r="F41" s="614">
        <f>'_Engine_R50'!L150*'1. Press Assumptions'!$B$116*'1. Press Assumptions'!$B$117</f>
        <v/>
      </c>
      <c r="G41" s="614">
        <f>(D41+F41)/(SUM(D$35:D$43)+SUM(F$35:F$43)) * '_Engine_R50'!$B$250</f>
        <v/>
      </c>
      <c r="H41" s="703">
        <f>G41/SUM(G$35:G$43)</f>
        <v/>
      </c>
    </row>
    <row r="42">
      <c r="A42" s="628" t="inlineStr">
        <is>
          <t>#8</t>
        </is>
      </c>
      <c r="B42" s="614">
        <f>'_Engine_R50'!$E$13</f>
        <v/>
      </c>
      <c r="C42" s="614">
        <f>'_Engine_R50'!$G$13</f>
        <v/>
      </c>
      <c r="D42" s="614">
        <f>SUM('_Engine_R50'!M31:M210)/12</f>
        <v/>
      </c>
      <c r="E42" s="703">
        <f>D42/SUM(D$35:D$43)</f>
        <v/>
      </c>
      <c r="F42" s="614">
        <f>'_Engine_R50'!M150*'1. Press Assumptions'!$B$116*'1. Press Assumptions'!$B$117</f>
        <v/>
      </c>
      <c r="G42" s="614">
        <f>(D42+F42)/(SUM(D$35:D$43)+SUM(F$35:F$43)) * '_Engine_R50'!$B$250</f>
        <v/>
      </c>
      <c r="H42" s="703">
        <f>G42/SUM(G$35:G$43)</f>
        <v/>
      </c>
    </row>
    <row r="43">
      <c r="A43" s="628" t="inlineStr">
        <is>
          <t>#9</t>
        </is>
      </c>
      <c r="B43" s="614">
        <f>'_Engine_R50'!$E$14</f>
        <v/>
      </c>
      <c r="C43" s="614">
        <f>'_Engine_R50'!$G$14</f>
        <v/>
      </c>
      <c r="D43" s="614">
        <f>SUM('_Engine_R50'!N31:N210)/12</f>
        <v/>
      </c>
      <c r="E43" s="703">
        <f>D43/SUM(D$35:D$43)</f>
        <v/>
      </c>
      <c r="F43" s="614">
        <f>'_Engine_R50'!N150*'1. Press Assumptions'!$B$116*'1. Press Assumptions'!$B$117</f>
        <v/>
      </c>
      <c r="G43" s="614">
        <f>(D43+F43)/(SUM(D$35:D$43)+SUM(F$35:F$43)) * '_Engine_R50'!$B$250</f>
        <v/>
      </c>
      <c r="H43" s="703">
        <f>G43/SUM(G$35:G$43)</f>
        <v/>
      </c>
    </row>
    <row r="44">
      <c r="A44" s="628" t="inlineStr">
        <is>
          <t>TOTAL</t>
        </is>
      </c>
      <c r="B44" s="614" t="n"/>
      <c r="C44" s="614" t="n"/>
      <c r="D44" s="614">
        <f>SUM(D35:D43)</f>
        <v/>
      </c>
      <c r="E44" s="703">
        <f>SUM(E35:E43)</f>
        <v/>
      </c>
      <c r="F44" s="614">
        <f>SUM(F35:F43)</f>
        <v/>
      </c>
      <c r="G44" s="614">
        <f>SUM(G35:G43)</f>
        <v/>
      </c>
      <c r="H44" s="703">
        <f>SUM(H35:H43)</f>
        <v/>
      </c>
    </row>
    <row r="45">
      <c r="A45" s="614" t="n"/>
      <c r="B45" s="614" t="n"/>
      <c r="C45" s="614" t="n"/>
      <c r="D45" s="614" t="n"/>
      <c r="E45" s="614" t="n"/>
      <c r="F45" s="614" t="n"/>
      <c r="G45" s="614" t="n"/>
      <c r="H45" s="614" t="n"/>
    </row>
    <row r="46">
      <c r="A46" s="627" t="inlineStr">
        <is>
          <t>Top 2 deals % of LP cash</t>
        </is>
      </c>
      <c r="B46" s="704">
        <f>(LARGE(G35:G43,1)+LARGE(G35:G43,2))/SUM(G35:G43)</f>
        <v/>
      </c>
      <c r="C46" s="614" t="n"/>
      <c r="D46" s="614" t="n"/>
      <c r="E46" s="614" t="n"/>
      <c r="F46" s="614" t="n"/>
      <c r="G46" s="614" t="n"/>
      <c r="H46" s="614" t="n"/>
    </row>
    <row r="47">
      <c r="A47" s="614" t="inlineStr">
        <is>
          <t>Top 4 deals % of LP cash</t>
        </is>
      </c>
      <c r="B47" s="703">
        <f>SUM(LARGE(G35:G43,{1,2,3,4}))/SUM(G35:G43)</f>
        <v/>
      </c>
      <c r="C47" s="614" t="n"/>
      <c r="D47" s="614" t="n"/>
      <c r="E47" s="614" t="n"/>
      <c r="F47" s="614" t="n"/>
      <c r="G47" s="614" t="n"/>
      <c r="H47" s="614" t="n"/>
    </row>
    <row r="48">
      <c r="A48" s="614" t="n"/>
      <c r="B48" s="614" t="n"/>
      <c r="C48" s="614" t="n"/>
      <c r="D48" s="614" t="n"/>
      <c r="E48" s="614" t="n"/>
      <c r="F48" s="614" t="n"/>
      <c r="G48" s="614" t="n"/>
      <c r="H48" s="614" t="n"/>
    </row>
    <row r="49">
      <c r="A49" s="642" t="inlineStr">
        <is>
          <t>CONCENTRATION  --  100% RECYCLE (9 deals)</t>
        </is>
      </c>
      <c r="B49" s="618" t="n"/>
      <c r="C49" s="618" t="n"/>
      <c r="D49" s="618" t="n"/>
      <c r="E49" s="618" t="n"/>
      <c r="F49" s="618" t="n"/>
      <c r="G49" s="618" t="n"/>
      <c r="H49" s="618" t="n"/>
    </row>
    <row r="50">
      <c r="A50" s="643" t="inlineStr">
        <is>
          <t>Deal</t>
        </is>
      </c>
      <c r="B50" s="643" t="inlineStr">
        <is>
          <t>ARR</t>
        </is>
      </c>
      <c r="C50" s="643" t="inlineStr">
        <is>
          <t>NDR</t>
        </is>
      </c>
      <c r="D50" s="643" t="inlineStr">
        <is>
          <t>15Y Revenue</t>
        </is>
      </c>
      <c r="E50" s="643" t="inlineStr">
        <is>
          <t>% of Rev</t>
        </is>
      </c>
      <c r="F50" s="643" t="inlineStr">
        <is>
          <t>Exit</t>
        </is>
      </c>
      <c r="G50" s="643" t="inlineStr">
        <is>
          <t>LP cash $</t>
        </is>
      </c>
      <c r="H50" s="643" t="inlineStr">
        <is>
          <t>% of LP cash</t>
        </is>
      </c>
    </row>
    <row r="51">
      <c r="A51" s="628" t="inlineStr">
        <is>
          <t>#1</t>
        </is>
      </c>
      <c r="B51" s="614">
        <f>'_Engine_R100'!$E$6</f>
        <v/>
      </c>
      <c r="C51" s="614">
        <f>'_Engine_R100'!$G$6</f>
        <v/>
      </c>
      <c r="D51" s="614">
        <f>SUM('_Engine_R100'!F31:F210)/12</f>
        <v/>
      </c>
      <c r="E51" s="703">
        <f>D51/SUM(D$51:D$59)</f>
        <v/>
      </c>
      <c r="F51" s="614">
        <f>'_Engine_R100'!F150*'1. Press Assumptions'!$B$116*'1. Press Assumptions'!$B$117</f>
        <v/>
      </c>
      <c r="G51" s="614">
        <f>(D51+F51)/(SUM(D$51:D$59)+SUM(F$51:F$59)) * '_Engine_R100'!$B$250</f>
        <v/>
      </c>
      <c r="H51" s="703">
        <f>G51/SUM(G$51:G$59)</f>
        <v/>
      </c>
    </row>
    <row r="52">
      <c r="A52" s="628" t="inlineStr">
        <is>
          <t>#2</t>
        </is>
      </c>
      <c r="B52" s="614">
        <f>'_Engine_R100'!$E$7</f>
        <v/>
      </c>
      <c r="C52" s="614">
        <f>'_Engine_R100'!$G$7</f>
        <v/>
      </c>
      <c r="D52" s="614">
        <f>SUM('_Engine_R100'!G31:G210)/12</f>
        <v/>
      </c>
      <c r="E52" s="703">
        <f>D52/SUM(D$51:D$59)</f>
        <v/>
      </c>
      <c r="F52" s="614">
        <f>'_Engine_R100'!G150*'1. Press Assumptions'!$B$116*'1. Press Assumptions'!$B$117</f>
        <v/>
      </c>
      <c r="G52" s="614">
        <f>(D52+F52)/(SUM(D$51:D$59)+SUM(F$51:F$59)) * '_Engine_R100'!$B$250</f>
        <v/>
      </c>
      <c r="H52" s="703">
        <f>G52/SUM(G$51:G$59)</f>
        <v/>
      </c>
    </row>
    <row r="53">
      <c r="A53" s="628" t="inlineStr">
        <is>
          <t>#3</t>
        </is>
      </c>
      <c r="B53" s="614">
        <f>'_Engine_R100'!$E$8</f>
        <v/>
      </c>
      <c r="C53" s="614">
        <f>'_Engine_R100'!$G$8</f>
        <v/>
      </c>
      <c r="D53" s="614">
        <f>SUM('_Engine_R100'!H31:H210)/12</f>
        <v/>
      </c>
      <c r="E53" s="703">
        <f>D53/SUM(D$51:D$59)</f>
        <v/>
      </c>
      <c r="F53" s="614">
        <f>'_Engine_R100'!H150*'1. Press Assumptions'!$B$116*'1. Press Assumptions'!$B$117</f>
        <v/>
      </c>
      <c r="G53" s="614">
        <f>(D53+F53)/(SUM(D$51:D$59)+SUM(F$51:F$59)) * '_Engine_R100'!$B$250</f>
        <v/>
      </c>
      <c r="H53" s="703">
        <f>G53/SUM(G$51:G$59)</f>
        <v/>
      </c>
    </row>
    <row r="54">
      <c r="A54" s="628" t="inlineStr">
        <is>
          <t>#4</t>
        </is>
      </c>
      <c r="B54" s="614">
        <f>'_Engine_R100'!$E$9</f>
        <v/>
      </c>
      <c r="C54" s="614">
        <f>'_Engine_R100'!$G$9</f>
        <v/>
      </c>
      <c r="D54" s="614">
        <f>SUM('_Engine_R100'!I31:I210)/12</f>
        <v/>
      </c>
      <c r="E54" s="703">
        <f>D54/SUM(D$51:D$59)</f>
        <v/>
      </c>
      <c r="F54" s="614">
        <f>'_Engine_R100'!I150*'1. Press Assumptions'!$B$116*'1. Press Assumptions'!$B$117</f>
        <v/>
      </c>
      <c r="G54" s="614">
        <f>(D54+F54)/(SUM(D$51:D$59)+SUM(F$51:F$59)) * '_Engine_R100'!$B$250</f>
        <v/>
      </c>
      <c r="H54" s="703">
        <f>G54/SUM(G$51:G$59)</f>
        <v/>
      </c>
    </row>
    <row r="55">
      <c r="A55" s="628" t="inlineStr">
        <is>
          <t>#5</t>
        </is>
      </c>
      <c r="B55" s="614">
        <f>'_Engine_R100'!$E$10</f>
        <v/>
      </c>
      <c r="C55" s="614">
        <f>'_Engine_R100'!$G$10</f>
        <v/>
      </c>
      <c r="D55" s="614">
        <f>SUM('_Engine_R100'!J31:J210)/12</f>
        <v/>
      </c>
      <c r="E55" s="703">
        <f>D55/SUM(D$51:D$59)</f>
        <v/>
      </c>
      <c r="F55" s="614">
        <f>'_Engine_R100'!J150*'1. Press Assumptions'!$B$116*'1. Press Assumptions'!$B$117</f>
        <v/>
      </c>
      <c r="G55" s="614">
        <f>(D55+F55)/(SUM(D$51:D$59)+SUM(F$51:F$59)) * '_Engine_R100'!$B$250</f>
        <v/>
      </c>
      <c r="H55" s="703">
        <f>G55/SUM(G$51:G$59)</f>
        <v/>
      </c>
    </row>
    <row r="56">
      <c r="A56" s="628" t="inlineStr">
        <is>
          <t>#6</t>
        </is>
      </c>
      <c r="B56" s="614">
        <f>'_Engine_R100'!$E$11</f>
        <v/>
      </c>
      <c r="C56" s="614">
        <f>'_Engine_R100'!$G$11</f>
        <v/>
      </c>
      <c r="D56" s="614">
        <f>SUM('_Engine_R100'!K31:K210)/12</f>
        <v/>
      </c>
      <c r="E56" s="703">
        <f>D56/SUM(D$51:D$59)</f>
        <v/>
      </c>
      <c r="F56" s="614">
        <f>'_Engine_R100'!K150*'1. Press Assumptions'!$B$116*'1. Press Assumptions'!$B$117</f>
        <v/>
      </c>
      <c r="G56" s="614">
        <f>(D56+F56)/(SUM(D$51:D$59)+SUM(F$51:F$59)) * '_Engine_R100'!$B$250</f>
        <v/>
      </c>
      <c r="H56" s="703">
        <f>G56/SUM(G$51:G$59)</f>
        <v/>
      </c>
    </row>
    <row r="57">
      <c r="A57" s="628" t="inlineStr">
        <is>
          <t>#7</t>
        </is>
      </c>
      <c r="B57" s="614">
        <f>'_Engine_R100'!$E$12</f>
        <v/>
      </c>
      <c r="C57" s="614">
        <f>'_Engine_R100'!$G$12</f>
        <v/>
      </c>
      <c r="D57" s="614">
        <f>SUM('_Engine_R100'!L31:L210)/12</f>
        <v/>
      </c>
      <c r="E57" s="703">
        <f>D57/SUM(D$51:D$59)</f>
        <v/>
      </c>
      <c r="F57" s="614">
        <f>'_Engine_R100'!L150*'1. Press Assumptions'!$B$116*'1. Press Assumptions'!$B$117</f>
        <v/>
      </c>
      <c r="G57" s="614">
        <f>(D57+F57)/(SUM(D$51:D$59)+SUM(F$51:F$59)) * '_Engine_R100'!$B$250</f>
        <v/>
      </c>
      <c r="H57" s="703">
        <f>G57/SUM(G$51:G$59)</f>
        <v/>
      </c>
    </row>
    <row r="58">
      <c r="A58" s="628" t="inlineStr">
        <is>
          <t>#8</t>
        </is>
      </c>
      <c r="B58" s="614">
        <f>'_Engine_R100'!$E$13</f>
        <v/>
      </c>
      <c r="C58" s="614">
        <f>'_Engine_R100'!$G$13</f>
        <v/>
      </c>
      <c r="D58" s="614">
        <f>SUM('_Engine_R100'!M31:M210)/12</f>
        <v/>
      </c>
      <c r="E58" s="703">
        <f>D58/SUM(D$51:D$59)</f>
        <v/>
      </c>
      <c r="F58" s="614">
        <f>'_Engine_R100'!M150*'1. Press Assumptions'!$B$116*'1. Press Assumptions'!$B$117</f>
        <v/>
      </c>
      <c r="G58" s="614">
        <f>(D58+F58)/(SUM(D$51:D$59)+SUM(F$51:F$59)) * '_Engine_R100'!$B$250</f>
        <v/>
      </c>
      <c r="H58" s="703">
        <f>G58/SUM(G$51:G$59)</f>
        <v/>
      </c>
    </row>
    <row r="59">
      <c r="A59" s="628" t="inlineStr">
        <is>
          <t>#9</t>
        </is>
      </c>
      <c r="B59" s="614">
        <f>'_Engine_R100'!$E$14</f>
        <v/>
      </c>
      <c r="C59" s="614">
        <f>'_Engine_R100'!$G$14</f>
        <v/>
      </c>
      <c r="D59" s="614">
        <f>SUM('_Engine_R100'!N31:N210)/12</f>
        <v/>
      </c>
      <c r="E59" s="703">
        <f>D59/SUM(D$51:D$59)</f>
        <v/>
      </c>
      <c r="F59" s="614">
        <f>'_Engine_R100'!N150*'1. Press Assumptions'!$B$116*'1. Press Assumptions'!$B$117</f>
        <v/>
      </c>
      <c r="G59" s="614">
        <f>(D59+F59)/(SUM(D$51:D$59)+SUM(F$51:F$59)) * '_Engine_R100'!$B$250</f>
        <v/>
      </c>
      <c r="H59" s="703">
        <f>G59/SUM(G$51:G$59)</f>
        <v/>
      </c>
    </row>
    <row r="60">
      <c r="A60" s="628" t="inlineStr">
        <is>
          <t>TOTAL</t>
        </is>
      </c>
      <c r="B60" s="614" t="n"/>
      <c r="C60" s="614" t="n"/>
      <c r="D60" s="614">
        <f>SUM(D51:D59)</f>
        <v/>
      </c>
      <c r="E60" s="703">
        <f>SUM(E51:E59)</f>
        <v/>
      </c>
      <c r="F60" s="614">
        <f>SUM(F51:F59)</f>
        <v/>
      </c>
      <c r="G60" s="614">
        <f>SUM(G51:G59)</f>
        <v/>
      </c>
      <c r="H60" s="703">
        <f>SUM(H51:H59)</f>
        <v/>
      </c>
    </row>
    <row r="61">
      <c r="A61" s="614" t="n"/>
      <c r="B61" s="614" t="n"/>
      <c r="C61" s="614" t="n"/>
      <c r="D61" s="614" t="n"/>
      <c r="E61" s="614" t="n"/>
      <c r="F61" s="614" t="n"/>
      <c r="G61" s="614" t="n"/>
      <c r="H61" s="614" t="n"/>
    </row>
    <row r="62">
      <c r="A62" s="627" t="inlineStr">
        <is>
          <t>Top 2 deals % of LP cash</t>
        </is>
      </c>
      <c r="B62" s="704">
        <f>(LARGE(G51:G59,1)+LARGE(G51:G59,2))/SUM(G51:G59)</f>
        <v/>
      </c>
      <c r="C62" s="614" t="n"/>
      <c r="D62" s="614" t="n"/>
      <c r="E62" s="614" t="n"/>
      <c r="F62" s="614" t="n"/>
      <c r="G62" s="614" t="n"/>
      <c r="H62" s="614" t="n"/>
    </row>
    <row r="63">
      <c r="A63" s="614" t="inlineStr">
        <is>
          <t>Top 4 deals % of LP cash</t>
        </is>
      </c>
      <c r="B63" s="703">
        <f>SUM(LARGE(G51:G59,{1,2,3,4}))/SUM(G51:G59)</f>
        <v/>
      </c>
      <c r="C63" s="614" t="n"/>
      <c r="D63" s="614" t="n"/>
      <c r="E63" s="614" t="n"/>
      <c r="F63" s="614" t="n"/>
      <c r="G63" s="614" t="n"/>
      <c r="H63" s="614" t="n"/>
    </row>
    <row r="64">
      <c r="A64" s="614" t="n"/>
      <c r="B64" s="614" t="n"/>
      <c r="C64" s="614" t="n"/>
      <c r="D64" s="614" t="n"/>
      <c r="E64" s="614" t="n"/>
      <c r="F64" s="614" t="n"/>
      <c r="G64" s="614" t="n"/>
      <c r="H64" s="614" t="n"/>
    </row>
    <row r="65">
      <c r="A65" s="614" t="n"/>
      <c r="B65" s="614" t="n"/>
      <c r="C65" s="614" t="n"/>
      <c r="D65" s="614" t="n"/>
      <c r="E65" s="614" t="n"/>
      <c r="F65" s="614" t="n"/>
      <c r="G65" s="614" t="n"/>
      <c r="H65" s="614" t="n"/>
    </row>
    <row r="66">
      <c r="A66" s="614" t="n"/>
      <c r="B66" s="614" t="n"/>
      <c r="C66" s="614" t="n"/>
      <c r="D66" s="614" t="n"/>
      <c r="E66" s="614" t="n"/>
      <c r="F66" s="614" t="n"/>
      <c r="G66" s="614" t="n"/>
      <c r="H66" s="614" t="n"/>
    </row>
    <row r="67">
      <c r="A67" s="614" t="n"/>
      <c r="B67" s="614" t="n"/>
      <c r="C67" s="614" t="n"/>
      <c r="D67" s="614" t="n"/>
      <c r="E67" s="614" t="n"/>
      <c r="F67" s="614" t="n"/>
      <c r="G67" s="614" t="n"/>
      <c r="H67" s="614" t="n"/>
    </row>
    <row r="68">
      <c r="A68" s="614" t="n"/>
      <c r="B68" s="614" t="n"/>
      <c r="C68" s="614" t="n"/>
      <c r="D68" s="614" t="n"/>
      <c r="E68" s="614" t="n"/>
      <c r="F68" s="614" t="n"/>
      <c r="G68" s="614" t="n"/>
      <c r="H68" s="614" t="n"/>
    </row>
    <row r="69">
      <c r="A69" s="614" t="n"/>
      <c r="B69" s="614" t="n"/>
      <c r="C69" s="614" t="n"/>
      <c r="D69" s="614" t="n"/>
      <c r="E69" s="614" t="n"/>
      <c r="F69" s="614" t="n"/>
      <c r="G69" s="614" t="n"/>
      <c r="H6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06" min="1" max="1"/>
    <col width="20" customWidth="1" style="306" min="2" max="4"/>
  </cols>
  <sheetData>
    <row r="1" ht="16.15" customHeight="1" s="307">
      <c r="A1" s="471" t="inlineStr">
        <is>
          <t>PRESS CAPITAL  --  FUND I INVESTOR METRICS</t>
        </is>
      </c>
      <c r="B1" s="309" t="n"/>
      <c r="C1" s="309" t="n"/>
      <c r="D1" s="309" t="n"/>
      <c r="I1" s="728">
        <f>"Active scenario: " &amp; '1. Press Assumptions'!$B$136 &amp; "   (toggle on Tab 1 B136)"</f>
        <v/>
      </c>
    </row>
    <row r="2" ht="15" customHeight="1" s="307">
      <c r="A2" s="644" t="inlineStr">
        <is>
          <t>$150M fund.  LIVE for No Recycle column from _Engine_NR. Other columns pending.</t>
        </is>
      </c>
      <c r="B2" s="306" t="inlineStr">
        <is>
          <t>LIVE from engine tabs. All 3 scenarios auto-update from Tab 1.</t>
        </is>
      </c>
    </row>
    <row r="4" ht="15" customHeight="1" s="307">
      <c r="B4" s="388" t="inlineStr">
        <is>
          <t>No Recycle (5)</t>
        </is>
      </c>
      <c r="C4" s="388" t="inlineStr">
        <is>
          <t>50% Recycle (8)</t>
        </is>
      </c>
      <c r="D4" s="388" t="inlineStr">
        <is>
          <t>100% Recycle (10)</t>
        </is>
      </c>
    </row>
    <row r="6" ht="15" customHeight="1" s="307">
      <c r="A6" s="325" t="inlineStr">
        <is>
          <t>FUND OVERVIEW</t>
        </is>
      </c>
      <c r="B6" s="309" t="n"/>
      <c r="C6" s="309" t="n"/>
      <c r="D6" s="309" t="n"/>
    </row>
    <row r="7" ht="15" customHeight="1" s="307">
      <c r="A7" s="321" t="inlineStr">
        <is>
          <t>Fund Size</t>
        </is>
      </c>
      <c r="B7" s="354">
        <f>'1. Press Assumptions'!$B$5/1000000</f>
        <v/>
      </c>
      <c r="C7" s="354">
        <f>'1. Press Assumptions'!$B$5/1000000</f>
        <v/>
      </c>
      <c r="D7" s="354">
        <f>'1. Press Assumptions'!$B$5/1000000</f>
        <v/>
      </c>
    </row>
    <row r="8" ht="15" customHeight="1" s="307">
      <c r="A8" s="321" t="inlineStr">
        <is>
          <t>Capital Deployed</t>
        </is>
      </c>
      <c r="B8" s="354">
        <f>5*24*1.24-5*24*0.1154*0.5</f>
        <v/>
      </c>
      <c r="C8" s="354">
        <f>8*24*1.24-8*24*0.1154*0.5</f>
        <v/>
      </c>
      <c r="D8" s="354">
        <f>9*24*1.24-9*24*0.1154*0.5</f>
        <v/>
      </c>
    </row>
    <row r="9" ht="15" customHeight="1" s="307">
      <c r="A9" s="321" t="inlineStr">
        <is>
          <t>Total Deals</t>
        </is>
      </c>
      <c r="B9" s="368" t="n">
        <v>5</v>
      </c>
      <c r="C9" s="368" t="n">
        <v>8</v>
      </c>
      <c r="D9" s="368" t="n">
        <v>9</v>
      </c>
    </row>
    <row r="10" ht="15" customHeight="1" s="307">
      <c r="A10" s="321" t="inlineStr">
        <is>
          <t>Entry Multiple</t>
        </is>
      </c>
      <c r="B10" s="441">
        <f>'1. Press Assumptions'!$B$8</f>
        <v/>
      </c>
      <c r="C10" s="441">
        <f>'1. Press Assumptions'!$B$8</f>
        <v/>
      </c>
      <c r="D10" s="441">
        <f>'1. Press Assumptions'!$B$8</f>
        <v/>
      </c>
    </row>
    <row r="11" ht="15" customHeight="1" s="307">
      <c r="A11" s="321" t="inlineStr">
        <is>
          <t>Base Case NDR</t>
        </is>
      </c>
      <c r="B11" s="404">
        <f>'1. Press Assumptions'!$B$22</f>
        <v/>
      </c>
      <c r="C11" s="404">
        <f>'1. Press Assumptions'!$B$22</f>
        <v/>
      </c>
      <c r="D11" s="404">
        <f>'1. Press Assumptions'!$B$22</f>
        <v/>
      </c>
    </row>
    <row r="12" ht="15" customHeight="1" s="307">
      <c r="A12" s="321" t="inlineStr">
        <is>
          <t>Leverage / Debt</t>
        </is>
      </c>
      <c r="B12" s="394" t="inlineStr">
        <is>
          <t>Zero</t>
        </is>
      </c>
      <c r="C12" s="394" t="inlineStr">
        <is>
          <t>Zero</t>
        </is>
      </c>
      <c r="D12" s="394" t="inlineStr">
        <is>
          <t>Zero</t>
        </is>
      </c>
    </row>
    <row r="14" ht="15" customHeight="1" s="307">
      <c r="A14" s="325" t="inlineStr">
        <is>
          <t>CAPITAL RETURN TIMELINE</t>
        </is>
      </c>
      <c r="B14" s="309" t="n"/>
      <c r="C14" s="309" t="n"/>
      <c r="D14" s="309" t="n"/>
    </row>
    <row r="15" ht="15" customHeight="1" s="307">
      <c r="A15" s="322" t="inlineStr">
        <is>
          <t>Payback (years)</t>
        </is>
      </c>
      <c r="B15" s="508" t="n">
        <v>4</v>
      </c>
      <c r="C15" s="508" t="n">
        <v>4</v>
      </c>
      <c r="D15" s="508" t="n">
        <v>5</v>
      </c>
    </row>
    <row r="16" ht="15" customHeight="1" s="307">
      <c r="A16" s="321" t="inlineStr">
        <is>
          <t>Payback (months)</t>
        </is>
      </c>
      <c r="B16" s="552" t="n">
        <v>43</v>
      </c>
      <c r="C16" s="552" t="n">
        <v>47</v>
      </c>
      <c r="D16" s="552" t="n">
        <v>52</v>
      </c>
    </row>
    <row r="18" ht="15" customHeight="1" s="307">
      <c r="A18" s="325" t="inlineStr">
        <is>
          <t>10-YEAR RETURNS</t>
        </is>
      </c>
      <c r="B18" s="309" t="n"/>
      <c r="C18" s="309" t="n"/>
      <c r="D18" s="309" t="n"/>
    </row>
    <row r="19" ht="15" customHeight="1" s="307">
      <c r="A19" s="322" t="inlineStr">
        <is>
          <t>LP Net IRR (Staged)</t>
        </is>
      </c>
      <c r="B19" s="506">
        <f>'_Engine_NR'!B277</f>
        <v/>
      </c>
      <c r="C19" s="506">
        <f>'_Engine_R50'!B277</f>
        <v/>
      </c>
      <c r="D19" s="506">
        <f>'_Engine_R100'!B277</f>
        <v/>
      </c>
    </row>
    <row r="20" ht="15" customHeight="1" s="307">
      <c r="A20" s="322" t="inlineStr">
        <is>
          <t>LP MOIC / DPI</t>
        </is>
      </c>
      <c r="B20" s="503">
        <f>'_Engine_NR'!B254</f>
        <v/>
      </c>
      <c r="C20" s="503">
        <f>'_Engine_R50'!B254</f>
        <v/>
      </c>
      <c r="D20" s="503">
        <f>'_Engine_R100'!B254</f>
        <v/>
      </c>
    </row>
    <row r="21" ht="15" customHeight="1" s="307">
      <c r="A21" s="321" t="inlineStr">
        <is>
          <t>LP Cash Distributed</t>
        </is>
      </c>
      <c r="B21" s="354">
        <f>'_Engine_NR'!B253</f>
        <v/>
      </c>
      <c r="C21" s="354">
        <f>'_Engine_R50'!B253</f>
        <v/>
      </c>
      <c r="D21" s="354">
        <f>'_Engine_R100'!B253</f>
        <v/>
      </c>
    </row>
    <row r="23" ht="15" customHeight="1" s="307">
      <c r="A23" s="325" t="inlineStr">
        <is>
          <t>15-YEAR RETURNS</t>
        </is>
      </c>
      <c r="B23" s="309" t="n"/>
      <c r="C23" s="309" t="n"/>
      <c r="D23" s="309" t="n"/>
    </row>
    <row r="24" ht="15" customHeight="1" s="307">
      <c r="A24" s="322" t="inlineStr">
        <is>
          <t>LP Net IRR (Staged)</t>
        </is>
      </c>
      <c r="B24" s="506">
        <f>'_Engine_NR'!B276</f>
        <v/>
      </c>
      <c r="C24" s="506">
        <f>'_Engine_R50'!B276</f>
        <v/>
      </c>
      <c r="D24" s="506">
        <f>'_Engine_R100'!B276</f>
        <v/>
      </c>
    </row>
    <row r="25" ht="15" customHeight="1" s="307">
      <c r="A25" s="322" t="inlineStr">
        <is>
          <t>LP MOIC / DPI</t>
        </is>
      </c>
      <c r="B25" s="503">
        <f>'_Engine_NR'!B252</f>
        <v/>
      </c>
      <c r="C25" s="503">
        <f>'_Engine_R50'!B252</f>
        <v/>
      </c>
      <c r="D25" s="503">
        <f>'_Engine_R100'!B252</f>
        <v/>
      </c>
    </row>
    <row r="26" ht="15" customHeight="1" s="307">
      <c r="A26" s="321" t="inlineStr">
        <is>
          <t>LP Cash Distributed</t>
        </is>
      </c>
      <c r="B26" s="354">
        <f>'_Engine_NR'!B250</f>
        <v/>
      </c>
      <c r="C26" s="354">
        <f>'_Engine_R50'!B250</f>
        <v/>
      </c>
      <c r="D26" s="354">
        <f>'_Engine_R100'!B250</f>
        <v/>
      </c>
    </row>
    <row r="27" ht="15" customHeight="1" s="307">
      <c r="A27" s="321" t="inlineStr">
        <is>
          <t>GP Carry</t>
        </is>
      </c>
      <c r="B27" s="354">
        <f>'_Engine_NR'!B251</f>
        <v/>
      </c>
      <c r="C27" s="354">
        <f>'_Engine_R50'!B251</f>
        <v/>
      </c>
      <c r="D27" s="354">
        <f>'_Engine_R100'!B251</f>
        <v/>
      </c>
    </row>
    <row r="29" ht="15" customHeight="1" s="307">
      <c r="A29" s="325" t="inlineStr">
        <is>
          <t>ANNUAL CASH YIELD</t>
        </is>
      </c>
      <c r="B29" s="309" t="n"/>
      <c r="C29" s="309" t="n"/>
      <c r="D29" s="309" t="n"/>
    </row>
    <row r="30" ht="15" customHeight="1" s="307">
      <c r="A30" s="321" t="inlineStr">
        <is>
          <t>Year 1</t>
        </is>
      </c>
      <c r="B30" s="404">
        <f>'_Engine_NR'!J233/'1. Press Assumptions'!$B$5*1000000</f>
        <v/>
      </c>
      <c r="C30" s="404">
        <f>'_Engine_R50'!J233/'1. Press Assumptions'!$B$5*1000000</f>
        <v/>
      </c>
      <c r="D30" s="404">
        <f>'_Engine_R100'!J233/'1. Press Assumptions'!$B$5*1000000</f>
        <v/>
      </c>
    </row>
    <row r="31" ht="15" customHeight="1" s="307">
      <c r="A31" s="321" t="inlineStr">
        <is>
          <t>Year 2</t>
        </is>
      </c>
      <c r="B31" s="404">
        <f>'_Engine_NR'!J234/'1. Press Assumptions'!$B$5*1000000</f>
        <v/>
      </c>
      <c r="C31" s="404">
        <f>'_Engine_R50'!J234/'1. Press Assumptions'!$B$5*1000000</f>
        <v/>
      </c>
      <c r="D31" s="404">
        <f>'_Engine_R100'!J234/'1. Press Assumptions'!$B$5*1000000</f>
        <v/>
      </c>
    </row>
    <row r="32" ht="15" customHeight="1" s="307">
      <c r="A32" s="321" t="inlineStr">
        <is>
          <t>Year 3</t>
        </is>
      </c>
      <c r="B32" s="404">
        <f>'_Engine_NR'!J235/'1. Press Assumptions'!$B$5*1000000</f>
        <v/>
      </c>
      <c r="C32" s="404">
        <f>'_Engine_R50'!J235/'1. Press Assumptions'!$B$5*1000000</f>
        <v/>
      </c>
      <c r="D32" s="404">
        <f>'_Engine_R100'!J235/'1. Press Assumptions'!$B$5*1000000</f>
        <v/>
      </c>
    </row>
    <row r="33" ht="15" customHeight="1" s="307">
      <c r="A33" s="321" t="inlineStr">
        <is>
          <t>Year 4</t>
        </is>
      </c>
      <c r="B33" s="404">
        <f>'_Engine_NR'!J236/'1. Press Assumptions'!$B$5*1000000</f>
        <v/>
      </c>
      <c r="C33" s="404">
        <f>'_Engine_R50'!J236/'1. Press Assumptions'!$B$5*1000000</f>
        <v/>
      </c>
      <c r="D33" s="404">
        <f>'_Engine_R100'!J236/'1. Press Assumptions'!$B$5*1000000</f>
        <v/>
      </c>
    </row>
    <row r="34" ht="15" customHeight="1" s="307">
      <c r="A34" s="321" t="inlineStr">
        <is>
          <t>Year 5</t>
        </is>
      </c>
      <c r="B34" s="404">
        <f>'_Engine_NR'!J237/'1. Press Assumptions'!$B$5*1000000</f>
        <v/>
      </c>
      <c r="C34" s="404">
        <f>'_Engine_R50'!J237/'1. Press Assumptions'!$B$5*1000000</f>
        <v/>
      </c>
      <c r="D34" s="404">
        <f>'_Engine_R100'!J237/'1. Press Assumptions'!$B$5*1000000</f>
        <v/>
      </c>
    </row>
    <row r="35" ht="15" customHeight="1" s="307">
      <c r="A35" s="321" t="inlineStr">
        <is>
          <t>Year 6</t>
        </is>
      </c>
      <c r="B35" s="404">
        <f>'_Engine_NR'!J238/'1. Press Assumptions'!$B$5*1000000</f>
        <v/>
      </c>
      <c r="C35" s="404">
        <f>'_Engine_R50'!J238/'1. Press Assumptions'!$B$5*1000000</f>
        <v/>
      </c>
      <c r="D35" s="404">
        <f>'_Engine_R100'!J238/'1. Press Assumptions'!$B$5*1000000</f>
        <v/>
      </c>
    </row>
    <row r="36" ht="15" customHeight="1" s="307">
      <c r="A36" s="321" t="inlineStr">
        <is>
          <t>Year 7</t>
        </is>
      </c>
      <c r="B36" s="404">
        <f>'_Engine_NR'!J239/'1. Press Assumptions'!$B$5*1000000</f>
        <v/>
      </c>
      <c r="C36" s="404">
        <f>'_Engine_R50'!J239/'1. Press Assumptions'!$B$5*1000000</f>
        <v/>
      </c>
      <c r="D36" s="404">
        <f>'_Engine_R100'!J239/'1. Press Assumptions'!$B$5*1000000</f>
        <v/>
      </c>
    </row>
    <row r="37" ht="15" customHeight="1" s="307">
      <c r="A37" s="321" t="inlineStr">
        <is>
          <t>Year 8</t>
        </is>
      </c>
      <c r="B37" s="404">
        <f>'_Engine_NR'!J240/'1. Press Assumptions'!$B$5*1000000</f>
        <v/>
      </c>
      <c r="C37" s="404">
        <f>'_Engine_R50'!J240/'1. Press Assumptions'!$B$5*1000000</f>
        <v/>
      </c>
      <c r="D37" s="404">
        <f>'_Engine_R100'!J240/'1. Press Assumptions'!$B$5*1000000</f>
        <v/>
      </c>
    </row>
    <row r="38" ht="15" customHeight="1" s="307">
      <c r="A38" s="321" t="inlineStr">
        <is>
          <t>Year 9</t>
        </is>
      </c>
      <c r="B38" s="404">
        <f>'_Engine_NR'!J241/'1. Press Assumptions'!$B$5*1000000</f>
        <v/>
      </c>
      <c r="C38" s="404">
        <f>'_Engine_R50'!J241/'1. Press Assumptions'!$B$5*1000000</f>
        <v/>
      </c>
      <c r="D38" s="404">
        <f>'_Engine_R100'!J241/'1. Press Assumptions'!$B$5*1000000</f>
        <v/>
      </c>
    </row>
    <row r="39" ht="15" customHeight="1" s="307">
      <c r="A39" s="321" t="inlineStr">
        <is>
          <t>Year 10</t>
        </is>
      </c>
      <c r="B39" s="404">
        <f>'_Engine_NR'!J242/'1. Press Assumptions'!$B$5*1000000</f>
        <v/>
      </c>
      <c r="C39" s="404">
        <f>'_Engine_R50'!J242/'1. Press Assumptions'!$B$5*1000000</f>
        <v/>
      </c>
      <c r="D39" s="404">
        <f>'_Engine_R100'!J242/'1. Press Assumptions'!$B$5*1000000</f>
        <v/>
      </c>
    </row>
    <row r="40" ht="15" customHeight="1" s="307">
      <c r="A40" s="321" t="inlineStr">
        <is>
          <t>Year 11</t>
        </is>
      </c>
      <c r="B40" s="404">
        <f>'_Engine_NR'!J243/'1. Press Assumptions'!$B$5*1000000</f>
        <v/>
      </c>
      <c r="C40" s="404">
        <f>'_Engine_R50'!J243/'1. Press Assumptions'!$B$5*1000000</f>
        <v/>
      </c>
      <c r="D40" s="404">
        <f>'_Engine_R100'!J243/'1. Press Assumptions'!$B$5*1000000</f>
        <v/>
      </c>
    </row>
    <row r="41" ht="15" customHeight="1" s="307">
      <c r="A41" s="321" t="inlineStr">
        <is>
          <t>Year 12</t>
        </is>
      </c>
      <c r="B41" s="404">
        <f>'_Engine_NR'!J244/'1. Press Assumptions'!$B$5*1000000</f>
        <v/>
      </c>
      <c r="C41" s="404">
        <f>'_Engine_R50'!J244/'1. Press Assumptions'!$B$5*1000000</f>
        <v/>
      </c>
      <c r="D41" s="404">
        <f>'_Engine_R100'!J244/'1. Press Assumptions'!$B$5*1000000</f>
        <v/>
      </c>
    </row>
    <row r="42" ht="15" customHeight="1" s="307">
      <c r="A42" s="321" t="inlineStr">
        <is>
          <t>Year 13</t>
        </is>
      </c>
      <c r="B42" s="404">
        <f>'_Engine_NR'!J245/'1. Press Assumptions'!$B$5*1000000</f>
        <v/>
      </c>
      <c r="C42" s="404">
        <f>'_Engine_R50'!J245/'1. Press Assumptions'!$B$5*1000000</f>
        <v/>
      </c>
      <c r="D42" s="404">
        <f>'_Engine_R100'!J245/'1. Press Assumptions'!$B$5*1000000</f>
        <v/>
      </c>
    </row>
    <row r="43" ht="15" customHeight="1" s="307">
      <c r="A43" s="321" t="inlineStr">
        <is>
          <t>Year 14</t>
        </is>
      </c>
      <c r="B43" s="404">
        <f>'_Engine_NR'!J246/'1. Press Assumptions'!$B$5*1000000</f>
        <v/>
      </c>
      <c r="C43" s="404">
        <f>'_Engine_R50'!J246/'1. Press Assumptions'!$B$5*1000000</f>
        <v/>
      </c>
      <c r="D43" s="404">
        <f>'_Engine_R100'!J246/'1. Press Assumptions'!$B$5*1000000</f>
        <v/>
      </c>
    </row>
    <row r="44" ht="15" customHeight="1" s="307">
      <c r="A44" s="321" t="inlineStr">
        <is>
          <t>Year 15</t>
        </is>
      </c>
      <c r="B44" s="404">
        <f>'_Engine_NR'!J247/'1. Press Assumptions'!$B$5*1000000</f>
        <v/>
      </c>
      <c r="C44" s="404">
        <f>'_Engine_R50'!J247/'1. Press Assumptions'!$B$5*1000000</f>
        <v/>
      </c>
      <c r="D44" s="404">
        <f>'_Engine_R100'!J247/'1. Press Assumptions'!$B$5*1000000</f>
        <v/>
      </c>
    </row>
    <row r="46" ht="15" customHeight="1" s="307">
      <c r="A46" s="334" t="inlineStr">
        <is>
          <t>CONFIDENTIAL -- DO NOT DISTRIBUTE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06" min="1" max="1"/>
    <col width="12" customWidth="1" style="306" min="2" max="2"/>
    <col width="12" customWidth="1" style="307" min="3" max="3"/>
    <col width="12" customWidth="1" style="307" min="4" max="4"/>
    <col width="12" customWidth="1" style="307" min="5" max="5"/>
    <col width="12" customWidth="1" style="307" min="6" max="6"/>
    <col width="12" customWidth="1" style="307" min="7" max="7"/>
  </cols>
  <sheetData>
    <row r="1" ht="17.25" customHeight="1" s="307">
      <c r="A1" s="308" t="inlineStr">
        <is>
          <t>SINGLE-DEAL P&amp;L  (LIVE)</t>
        </is>
      </c>
      <c r="B1" s="309" t="n"/>
      <c r="C1" s="309" t="n"/>
      <c r="D1" s="309" t="n"/>
      <c r="E1" s="309" t="n"/>
    </row>
    <row r="2" ht="15" customHeight="1" s="307">
      <c r="A2" s="593" t="inlineStr">
        <is>
          <t>Pick OpCo # in B4 (1-9). ARR/close month from Tab 1; NDR from active scenario (uniform).</t>
        </is>
      </c>
    </row>
    <row r="4" ht="15" customHeight="1" s="307">
      <c r="A4" s="312" t="inlineStr">
        <is>
          <t>OpCo to view (1-5 originals, 6-9 recycled)</t>
        </is>
      </c>
      <c r="B4" s="553" t="n">
        <v>1</v>
      </c>
    </row>
    <row r="5" ht="15" customHeight="1" s="307">
      <c r="A5" s="314" t="inlineStr">
        <is>
          <t>ARR ($mm)</t>
        </is>
      </c>
      <c r="B5" s="554">
        <f>IF(B4&lt;=5, INDEX('1. Press Assumptions'!$D$89:$D$93, B4), INDEX('1. Press Assumptions'!$D$96:$D$99, B4-5))</f>
        <v/>
      </c>
    </row>
    <row r="6">
      <c r="A6" s="306" t="inlineStr">
        <is>
          <t>Close month</t>
        </is>
      </c>
      <c r="B6" s="306">
        <f>IF(B4&lt;=5, INDEX('1. Press Assumptions'!$K$89:$K$93, B4), INDEX('1. Press Assumptions'!$K$96:$K$99, B4-5))</f>
        <v/>
      </c>
    </row>
    <row r="7" ht="15" customHeight="1" s="307">
      <c r="A7" s="310" t="inlineStr">
        <is>
          <t>Real NDR (scenario, Tab 1 B136)</t>
        </is>
      </c>
      <c r="B7" s="306">
        <f>IF('1. Press Assumptions'!$B$136="Bear",0.8,IF('1. Press Assumptions'!$B$136="Bull",0.9,0.85))</f>
        <v/>
      </c>
    </row>
    <row r="8">
      <c r="A8" s="306" t="inlineStr">
        <is>
          <t>Entry multiple</t>
        </is>
      </c>
      <c r="B8" s="306">
        <f>IF(B4&lt;=5, INDEX('1. Press Assumptions'!$E$89:$E$93, B4), INDEX('1. Press Assumptions'!$E$96:$E$99, B4-5))</f>
        <v/>
      </c>
    </row>
    <row r="9">
      <c r="A9" s="306" t="inlineStr">
        <is>
          <t>Purchase price ($mm)</t>
        </is>
      </c>
      <c r="B9" s="306">
        <f>B5*B8</f>
        <v/>
      </c>
    </row>
    <row r="11">
      <c r="A11" s="628" t="inlineStr">
        <is>
          <t>Year-by-year P&amp;L for selected deal</t>
        </is>
      </c>
    </row>
    <row r="12">
      <c r="A12" s="633" t="inlineStr">
        <is>
          <t>Year</t>
        </is>
      </c>
      <c r="B12" s="633" t="inlineStr">
        <is>
          <t>ARR</t>
        </is>
      </c>
      <c r="C12" s="633" t="inlineStr">
        <is>
          <t>Revenue</t>
        </is>
      </c>
      <c r="D12" s="633" t="inlineStr">
        <is>
          <t>COGS+Vendor+Corp (21%)</t>
        </is>
      </c>
      <c r="E12" s="633" t="inlineStr">
        <is>
          <t>EBITDA (pre-fund alloc)</t>
        </is>
      </c>
      <c r="F12" s="633" t="inlineStr">
        <is>
          <t>EBITDA Margin</t>
        </is>
      </c>
    </row>
    <row r="13">
      <c r="A13" s="306" t="n">
        <v>1</v>
      </c>
      <c r="B13" s="306">
        <f>IF($B$6&gt;12*A13, 0, $B$5 * POWER($B$7, MAX(0, (A13*12-$B$6)/12)))</f>
        <v/>
      </c>
      <c r="C13" s="306">
        <f>IF($B$6&gt;A13*12, 0, $B$5 * POWER($B$7, MAX(0,(A13*12-$B$6)/12)) * (MIN(12, MAX(0, A13*12 - $B$6 + 1))/12))</f>
        <v/>
      </c>
      <c r="D13" s="306">
        <f>C13*0.21</f>
        <v/>
      </c>
      <c r="E13" s="306">
        <f>C13*0.79</f>
        <v/>
      </c>
      <c r="F13" s="675">
        <f>IF(C13=0, 0, E13/C13)</f>
        <v/>
      </c>
    </row>
    <row r="14">
      <c r="A14" s="306" t="n">
        <v>2</v>
      </c>
      <c r="B14" s="306">
        <f>IF($B$6&gt;12*A14, 0, $B$5 * POWER($B$7, MAX(0, (A14*12-$B$6)/12)))</f>
        <v/>
      </c>
      <c r="C14" s="306">
        <f>IF($B$6&gt;A14*12, 0, $B$5 * POWER($B$7, MAX(0,(A14*12-$B$6)/12)) * (MIN(12, MAX(0, A14*12 - $B$6 + 1))/12))</f>
        <v/>
      </c>
      <c r="D14" s="306">
        <f>C14*0.21</f>
        <v/>
      </c>
      <c r="E14" s="306">
        <f>C14*0.79</f>
        <v/>
      </c>
      <c r="F14" s="675">
        <f>IF(C14=0, 0, E14/C14)</f>
        <v/>
      </c>
    </row>
    <row r="15">
      <c r="A15" s="306" t="n">
        <v>3</v>
      </c>
      <c r="B15" s="306">
        <f>IF($B$6&gt;12*A15, 0, $B$5 * POWER($B$7, MAX(0, (A15*12-$B$6)/12)))</f>
        <v/>
      </c>
      <c r="C15" s="306">
        <f>IF($B$6&gt;A15*12, 0, $B$5 * POWER($B$7, MAX(0,(A15*12-$B$6)/12)) * (MIN(12, MAX(0, A15*12 - $B$6 + 1))/12))</f>
        <v/>
      </c>
      <c r="D15" s="306">
        <f>C15*0.21</f>
        <v/>
      </c>
      <c r="E15" s="306">
        <f>C15*0.79</f>
        <v/>
      </c>
      <c r="F15" s="675">
        <f>IF(C15=0, 0, E15/C15)</f>
        <v/>
      </c>
    </row>
    <row r="16">
      <c r="A16" s="306" t="n">
        <v>4</v>
      </c>
      <c r="B16" s="306">
        <f>IF($B$6&gt;12*A16, 0, $B$5 * POWER($B$7, MAX(0, (A16*12-$B$6)/12)))</f>
        <v/>
      </c>
      <c r="C16" s="306">
        <f>IF($B$6&gt;A16*12, 0, $B$5 * POWER($B$7, MAX(0,(A16*12-$B$6)/12)) * (MIN(12, MAX(0, A16*12 - $B$6 + 1))/12))</f>
        <v/>
      </c>
      <c r="D16" s="306">
        <f>C16*0.21</f>
        <v/>
      </c>
      <c r="E16" s="306">
        <f>C16*0.79</f>
        <v/>
      </c>
      <c r="F16" s="675">
        <f>IF(C16=0, 0, E16/C16)</f>
        <v/>
      </c>
    </row>
    <row r="17">
      <c r="A17" s="306" t="n">
        <v>5</v>
      </c>
      <c r="B17" s="306">
        <f>IF($B$6&gt;12*A17, 0, $B$5 * POWER($B$7, MAX(0, (A17*12-$B$6)/12)))</f>
        <v/>
      </c>
      <c r="C17" s="306">
        <f>IF($B$6&gt;A17*12, 0, $B$5 * POWER($B$7, MAX(0,(A17*12-$B$6)/12)) * (MIN(12, MAX(0, A17*12 - $B$6 + 1))/12))</f>
        <v/>
      </c>
      <c r="D17" s="306">
        <f>C17*0.21</f>
        <v/>
      </c>
      <c r="E17" s="306">
        <f>C17*0.79</f>
        <v/>
      </c>
      <c r="F17" s="675">
        <f>IF(C17=0, 0, E17/C17)</f>
        <v/>
      </c>
    </row>
    <row r="18">
      <c r="A18" s="306" t="n">
        <v>6</v>
      </c>
      <c r="B18" s="306">
        <f>IF($B$6&gt;12*A18, 0, $B$5 * POWER($B$7, MAX(0, (A18*12-$B$6)/12)))</f>
        <v/>
      </c>
      <c r="C18" s="306">
        <f>IF($B$6&gt;A18*12, 0, $B$5 * POWER($B$7, MAX(0,(A18*12-$B$6)/12)) * (MIN(12, MAX(0, A18*12 - $B$6 + 1))/12))</f>
        <v/>
      </c>
      <c r="D18" s="306">
        <f>C18*0.21</f>
        <v/>
      </c>
      <c r="E18" s="306">
        <f>C18*0.79</f>
        <v/>
      </c>
      <c r="F18" s="675">
        <f>IF(C18=0, 0, E18/C18)</f>
        <v/>
      </c>
    </row>
    <row r="19">
      <c r="A19" s="306" t="n">
        <v>7</v>
      </c>
      <c r="B19" s="306">
        <f>IF($B$6&gt;12*A19, 0, $B$5 * POWER($B$7, MAX(0, (A19*12-$B$6)/12)))</f>
        <v/>
      </c>
      <c r="C19" s="306">
        <f>IF($B$6&gt;A19*12, 0, $B$5 * POWER($B$7, MAX(0,(A19*12-$B$6)/12)) * (MIN(12, MAX(0, A19*12 - $B$6 + 1))/12))</f>
        <v/>
      </c>
      <c r="D19" s="306">
        <f>C19*0.21</f>
        <v/>
      </c>
      <c r="E19" s="306">
        <f>C19*0.79</f>
        <v/>
      </c>
      <c r="F19" s="675">
        <f>IF(C19=0, 0, E19/C19)</f>
        <v/>
      </c>
    </row>
    <row r="20">
      <c r="A20" s="306" t="n">
        <v>8</v>
      </c>
      <c r="B20" s="306">
        <f>IF($B$6&gt;12*A20, 0, $B$5 * POWER($B$7, MAX(0, (A20*12-$B$6)/12)))</f>
        <v/>
      </c>
      <c r="C20" s="306">
        <f>IF($B$6&gt;A20*12, 0, $B$5 * POWER($B$7, MAX(0,(A20*12-$B$6)/12)) * (MIN(12, MAX(0, A20*12 - $B$6 + 1))/12))</f>
        <v/>
      </c>
      <c r="D20" s="306">
        <f>C20*0.21</f>
        <v/>
      </c>
      <c r="E20" s="306">
        <f>C20*0.79</f>
        <v/>
      </c>
      <c r="F20" s="675">
        <f>IF(C20=0, 0, E20/C20)</f>
        <v/>
      </c>
    </row>
    <row r="21">
      <c r="A21" s="306" t="n">
        <v>9</v>
      </c>
      <c r="B21" s="306">
        <f>IF($B$6&gt;12*A21, 0, $B$5 * POWER($B$7, MAX(0, (A21*12-$B$6)/12)))</f>
        <v/>
      </c>
      <c r="C21" s="306">
        <f>IF($B$6&gt;A21*12, 0, $B$5 * POWER($B$7, MAX(0,(A21*12-$B$6)/12)) * (MIN(12, MAX(0, A21*12 - $B$6 + 1))/12))</f>
        <v/>
      </c>
      <c r="D21" s="306">
        <f>C21*0.21</f>
        <v/>
      </c>
      <c r="E21" s="306">
        <f>C21*0.79</f>
        <v/>
      </c>
      <c r="F21" s="675">
        <f>IF(C21=0, 0, E21/C21)</f>
        <v/>
      </c>
    </row>
    <row r="22">
      <c r="A22" s="306" t="n">
        <v>10</v>
      </c>
      <c r="B22" s="306">
        <f>IF($B$6&gt;12*A22, 0, $B$5 * POWER($B$7, MAX(0, (A22*12-$B$6)/12)))</f>
        <v/>
      </c>
      <c r="C22" s="306">
        <f>IF($B$6&gt;A22*12, 0, $B$5 * POWER($B$7, MAX(0,(A22*12-$B$6)/12)) * (MIN(12, MAX(0, A22*12 - $B$6 + 1))/12))</f>
        <v/>
      </c>
      <c r="D22" s="306">
        <f>C22*0.21</f>
        <v/>
      </c>
      <c r="E22" s="306">
        <f>C22*0.79</f>
        <v/>
      </c>
      <c r="F22" s="675">
        <f>IF(C22=0, 0, E22/C22)</f>
        <v/>
      </c>
    </row>
    <row r="23">
      <c r="A23" s="306" t="n">
        <v>11</v>
      </c>
      <c r="B23" s="306">
        <f>IF($B$6&gt;12*A23, 0, $B$5 * POWER($B$7, MAX(0, (A23*12-$B$6)/12)))</f>
        <v/>
      </c>
      <c r="C23" s="306">
        <f>IF($B$6&gt;A23*12, 0, $B$5 * POWER($B$7, MAX(0,(A23*12-$B$6)/12)) * (MIN(12, MAX(0, A23*12 - $B$6 + 1))/12))</f>
        <v/>
      </c>
      <c r="D23" s="306">
        <f>C23*0.21</f>
        <v/>
      </c>
      <c r="E23" s="306">
        <f>C23*0.79</f>
        <v/>
      </c>
      <c r="F23" s="675">
        <f>IF(C23=0, 0, E23/C23)</f>
        <v/>
      </c>
    </row>
    <row r="24">
      <c r="A24" s="306" t="n">
        <v>12</v>
      </c>
      <c r="B24" s="306">
        <f>IF($B$6&gt;12*A24, 0, $B$5 * POWER($B$7, MAX(0, (A24*12-$B$6)/12)))</f>
        <v/>
      </c>
      <c r="C24" s="306">
        <f>IF($B$6&gt;A24*12, 0, $B$5 * POWER($B$7, MAX(0,(A24*12-$B$6)/12)) * (MIN(12, MAX(0, A24*12 - $B$6 + 1))/12))</f>
        <v/>
      </c>
      <c r="D24" s="306">
        <f>C24*0.21</f>
        <v/>
      </c>
      <c r="E24" s="306">
        <f>C24*0.79</f>
        <v/>
      </c>
      <c r="F24" s="675">
        <f>IF(C24=0, 0, E24/C24)</f>
        <v/>
      </c>
    </row>
    <row r="25">
      <c r="A25" s="306" t="n">
        <v>13</v>
      </c>
      <c r="B25" s="306">
        <f>IF($B$6&gt;12*A25, 0, $B$5 * POWER($B$7, MAX(0, (A25*12-$B$6)/12)))</f>
        <v/>
      </c>
      <c r="C25" s="306">
        <f>IF($B$6&gt;A25*12, 0, $B$5 * POWER($B$7, MAX(0,(A25*12-$B$6)/12)) * (MIN(12, MAX(0, A25*12 - $B$6 + 1))/12))</f>
        <v/>
      </c>
      <c r="D25" s="306">
        <f>C25*0.21</f>
        <v/>
      </c>
      <c r="E25" s="306">
        <f>C25*0.79</f>
        <v/>
      </c>
      <c r="F25" s="675">
        <f>IF(C25=0, 0, E25/C25)</f>
        <v/>
      </c>
    </row>
    <row r="26">
      <c r="A26" s="306" t="n">
        <v>14</v>
      </c>
      <c r="B26" s="306">
        <f>IF($B$6&gt;12*A26, 0, $B$5 * POWER($B$7, MAX(0, (A26*12-$B$6)/12)))</f>
        <v/>
      </c>
      <c r="C26" s="306">
        <f>IF($B$6&gt;A26*12, 0, $B$5 * POWER($B$7, MAX(0,(A26*12-$B$6)/12)) * (MIN(12, MAX(0, A26*12 - $B$6 + 1))/12))</f>
        <v/>
      </c>
      <c r="D26" s="306">
        <f>C26*0.21</f>
        <v/>
      </c>
      <c r="E26" s="306">
        <f>C26*0.79</f>
        <v/>
      </c>
      <c r="F26" s="675">
        <f>IF(C26=0, 0, E26/C26)</f>
        <v/>
      </c>
    </row>
    <row r="27">
      <c r="A27" s="306" t="n">
        <v>15</v>
      </c>
      <c r="B27" s="306">
        <f>IF($B$6&gt;12*A27, 0, $B$5 * POWER($B$7, MAX(0, (A27*12-$B$6)/12)))</f>
        <v/>
      </c>
      <c r="C27" s="306">
        <f>IF($B$6&gt;A27*12, 0, $B$5 * POWER($B$7, MAX(0,(A27*12-$B$6)/12)) * (MIN(12, MAX(0, A27*12 - $B$6 + 1))/12))</f>
        <v/>
      </c>
      <c r="D27" s="306">
        <f>C27*0.21</f>
        <v/>
      </c>
      <c r="E27" s="306">
        <f>C27*0.79</f>
        <v/>
      </c>
      <c r="F27" s="675">
        <f>IF(C27=0, 0, E27/C27)</f>
        <v/>
      </c>
    </row>
    <row r="28">
      <c r="A28" s="628" t="inlineStr">
        <is>
          <t>TOTAL</t>
        </is>
      </c>
      <c r="C28" s="306">
        <f>SUM(C13:C27)</f>
        <v/>
      </c>
      <c r="D28" s="306">
        <f>SUM(D13:D27)</f>
        <v/>
      </c>
      <c r="E28" s="306">
        <f>SUM(E13:E27)</f>
        <v/>
      </c>
    </row>
    <row r="30">
      <c r="A30" s="615" t="inlineStr">
        <is>
          <t>Note: EBITDA shown is pre-allocation of team comp + bonus pool. See Tabs 4a-4g for portfolio-level distributable.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Q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20" customWidth="1" style="306" min="1" max="1"/>
    <col width="11" customWidth="1" style="306" min="2" max="19"/>
    <col width="11" customWidth="1" style="307" min="3" max="3"/>
    <col width="11" customWidth="1" style="307" min="4" max="4"/>
    <col width="11" customWidth="1" style="307" min="5" max="5"/>
    <col width="11" customWidth="1" style="307" min="6" max="6"/>
    <col width="11" customWidth="1" style="307" min="7" max="7"/>
    <col width="11" customWidth="1" style="307" min="8" max="8"/>
  </cols>
  <sheetData>
    <row r="1" ht="17.25" customHeight="1" s="307">
      <c r="A1" s="612" t="inlineStr">
        <is>
          <t>BID MODEL SENSITIVITY  --  DEAL-LEVEL (single OpCo, gross)</t>
        </is>
      </c>
      <c r="B1" s="614" t="n"/>
      <c r="C1" s="614" t="n"/>
      <c r="D1" s="614" t="n"/>
      <c r="E1" s="614" t="n"/>
      <c r="F1" s="614" t="n"/>
      <c r="G1" s="614" t="n"/>
      <c r="H1" s="614" t="n"/>
    </row>
    <row r="2" ht="15" customHeight="1" s="307">
      <c r="A2" s="593">
        <f>" GROSS deal economics: single OpCo, "&amp;TEXT('1. Press Assumptions'!$B$35,"0.0%")&amp;" net margin, 15Y hold, no exit, NO fund costs/carry. NOT comparable to fund-level LP DPI (Tabs 2/6/11)."</f>
        <v/>
      </c>
      <c r="B2" s="614" t="n"/>
      <c r="C2" s="614" t="n"/>
      <c r="D2" s="614" t="n"/>
      <c r="E2" s="614" t="n"/>
      <c r="F2" s="614" t="n"/>
      <c r="G2" s="614" t="n"/>
      <c r="H2" s="614" t="n"/>
    </row>
    <row r="3">
      <c r="A3" s="614" t="n"/>
      <c r="B3" s="614" t="n"/>
      <c r="C3" s="614" t="n"/>
      <c r="D3" s="614" t="n"/>
      <c r="E3" s="614" t="n"/>
      <c r="F3" s="614" t="n"/>
      <c r="G3" s="614" t="n"/>
      <c r="H3" s="614" t="n"/>
    </row>
    <row r="4" ht="15" customHeight="1" s="307">
      <c r="A4" s="616" t="inlineStr">
        <is>
          <t>DEAL-LEVEL 15Y MOIC (gross)</t>
        </is>
      </c>
      <c r="B4" s="738" t="n"/>
      <c r="C4" s="738" t="n"/>
      <c r="D4" s="738" t="n"/>
      <c r="E4" s="738" t="n"/>
      <c r="F4" s="738" t="n"/>
      <c r="G4" s="738" t="n"/>
      <c r="H4" s="738" t="n"/>
    </row>
    <row r="5" ht="15" customHeight="1" s="307">
      <c r="A5" s="612" t="inlineStr">
        <is>
          <t>NDR \ Entry Mult</t>
        </is>
      </c>
      <c r="B5" s="746" t="n">
        <v>0.75</v>
      </c>
      <c r="C5" s="746" t="n">
        <v>1</v>
      </c>
      <c r="D5" s="746" t="n">
        <v>1.1</v>
      </c>
      <c r="E5" s="746" t="n">
        <v>1.25</v>
      </c>
      <c r="F5" s="746" t="n">
        <v>1.5</v>
      </c>
      <c r="G5" s="746" t="n">
        <v>1.75</v>
      </c>
      <c r="H5" s="746" t="n">
        <v>2</v>
      </c>
    </row>
    <row r="6" ht="15" customHeight="1" s="307">
      <c r="A6" s="747" t="n">
        <v>0.7</v>
      </c>
      <c r="B6" s="687">
        <f>('1. Press Assumptions'!$B$35*'1. Press Assumptions'!$D$89*(IF($A6=1,15,(1-$A6^15)/(1-$A6))))/('1. Press Assumptions'!$D$89*B$5)</f>
        <v/>
      </c>
      <c r="C6" s="687">
        <f>('1. Press Assumptions'!$B$35*'1. Press Assumptions'!$D$89*(IF($A6=1,15,(1-$A6^15)/(1-$A6))))/('1. Press Assumptions'!$D$89*C$5)</f>
        <v/>
      </c>
      <c r="D6" s="687">
        <f>('1. Press Assumptions'!$B$35*'1. Press Assumptions'!$D$89*(IF($A6=1,15,(1-$A6^15)/(1-$A6))))/('1. Press Assumptions'!$D$89*D$5)</f>
        <v/>
      </c>
      <c r="E6" s="687">
        <f>('1. Press Assumptions'!$B$35*'1. Press Assumptions'!$D$89*(IF($A6=1,15,(1-$A6^15)/(1-$A6))))/('1. Press Assumptions'!$D$89*E$5)</f>
        <v/>
      </c>
      <c r="F6" s="687">
        <f>('1. Press Assumptions'!$B$35*'1. Press Assumptions'!$D$89*(IF($A6=1,15,(1-$A6^15)/(1-$A6))))/('1. Press Assumptions'!$D$89*F$5)</f>
        <v/>
      </c>
      <c r="G6" s="687">
        <f>('1. Press Assumptions'!$B$35*'1. Press Assumptions'!$D$89*(IF($A6=1,15,(1-$A6^15)/(1-$A6))))/('1. Press Assumptions'!$D$89*G$5)</f>
        <v/>
      </c>
      <c r="H6" s="687">
        <f>('1. Press Assumptions'!$B$35*'1. Press Assumptions'!$D$89*(IF($A6=1,15,(1-$A6^15)/(1-$A6))))/('1. Press Assumptions'!$D$89*H$5)</f>
        <v/>
      </c>
    </row>
    <row r="7" ht="15" customHeight="1" s="307">
      <c r="A7" s="747" t="n">
        <v>0.75</v>
      </c>
      <c r="B7" s="687">
        <f>('1. Press Assumptions'!$B$35*'1. Press Assumptions'!$D$89*(IF($A7=1,15,(1-$A7^15)/(1-$A7))))/('1. Press Assumptions'!$D$89*B$5)</f>
        <v/>
      </c>
      <c r="C7" s="687">
        <f>('1. Press Assumptions'!$B$35*'1. Press Assumptions'!$D$89*(IF($A7=1,15,(1-$A7^15)/(1-$A7))))/('1. Press Assumptions'!$D$89*C$5)</f>
        <v/>
      </c>
      <c r="D7" s="687">
        <f>('1. Press Assumptions'!$B$35*'1. Press Assumptions'!$D$89*(IF($A7=1,15,(1-$A7^15)/(1-$A7))))/('1. Press Assumptions'!$D$89*D$5)</f>
        <v/>
      </c>
      <c r="E7" s="687">
        <f>('1. Press Assumptions'!$B$35*'1. Press Assumptions'!$D$89*(IF($A7=1,15,(1-$A7^15)/(1-$A7))))/('1. Press Assumptions'!$D$89*E$5)</f>
        <v/>
      </c>
      <c r="F7" s="687">
        <f>('1. Press Assumptions'!$B$35*'1. Press Assumptions'!$D$89*(IF($A7=1,15,(1-$A7^15)/(1-$A7))))/('1. Press Assumptions'!$D$89*F$5)</f>
        <v/>
      </c>
      <c r="G7" s="687">
        <f>('1. Press Assumptions'!$B$35*'1. Press Assumptions'!$D$89*(IF($A7=1,15,(1-$A7^15)/(1-$A7))))/('1. Press Assumptions'!$D$89*G$5)</f>
        <v/>
      </c>
      <c r="H7" s="687">
        <f>('1. Press Assumptions'!$B$35*'1. Press Assumptions'!$D$89*(IF($A7=1,15,(1-$A7^15)/(1-$A7))))/('1. Press Assumptions'!$D$89*H$5)</f>
        <v/>
      </c>
    </row>
    <row r="8" ht="15" customHeight="1" s="307">
      <c r="A8" s="747" t="n">
        <v>0.8</v>
      </c>
      <c r="B8" s="687">
        <f>('1. Press Assumptions'!$B$35*'1. Press Assumptions'!$D$89*(IF($A8=1,15,(1-$A8^15)/(1-$A8))))/('1. Press Assumptions'!$D$89*B$5)</f>
        <v/>
      </c>
      <c r="C8" s="687">
        <f>('1. Press Assumptions'!$B$35*'1. Press Assumptions'!$D$89*(IF($A8=1,15,(1-$A8^15)/(1-$A8))))/('1. Press Assumptions'!$D$89*C$5)</f>
        <v/>
      </c>
      <c r="D8" s="687">
        <f>('1. Press Assumptions'!$B$35*'1. Press Assumptions'!$D$89*(IF($A8=1,15,(1-$A8^15)/(1-$A8))))/('1. Press Assumptions'!$D$89*D$5)</f>
        <v/>
      </c>
      <c r="E8" s="687">
        <f>('1. Press Assumptions'!$B$35*'1. Press Assumptions'!$D$89*(IF($A8=1,15,(1-$A8^15)/(1-$A8))))/('1. Press Assumptions'!$D$89*E$5)</f>
        <v/>
      </c>
      <c r="F8" s="687">
        <f>('1. Press Assumptions'!$B$35*'1. Press Assumptions'!$D$89*(IF($A8=1,15,(1-$A8^15)/(1-$A8))))/('1. Press Assumptions'!$D$89*F$5)</f>
        <v/>
      </c>
      <c r="G8" s="687">
        <f>('1. Press Assumptions'!$B$35*'1. Press Assumptions'!$D$89*(IF($A8=1,15,(1-$A8^15)/(1-$A8))))/('1. Press Assumptions'!$D$89*G$5)</f>
        <v/>
      </c>
      <c r="H8" s="687">
        <f>('1. Press Assumptions'!$B$35*'1. Press Assumptions'!$D$89*(IF($A8=1,15,(1-$A8^15)/(1-$A8))))/('1. Press Assumptions'!$D$89*H$5)</f>
        <v/>
      </c>
    </row>
    <row r="9" ht="15" customHeight="1" s="307">
      <c r="A9" s="748" t="n">
        <v>0.85</v>
      </c>
      <c r="B9" s="749">
        <f>('1. Press Assumptions'!$B$35*'1. Press Assumptions'!$D$89*(IF($A9=1,15,(1-$A9^15)/(1-$A9))))/('1. Press Assumptions'!$D$89*B$5)</f>
        <v/>
      </c>
      <c r="C9" s="749">
        <f>('1. Press Assumptions'!$B$35*'1. Press Assumptions'!$D$89*(IF($A9=1,15,(1-$A9^15)/(1-$A9))))/('1. Press Assumptions'!$D$89*C$5)</f>
        <v/>
      </c>
      <c r="D9" s="749">
        <f>('1. Press Assumptions'!$B$35*'1. Press Assumptions'!$D$89*(IF($A9=1,15,(1-$A9^15)/(1-$A9))))/('1. Press Assumptions'!$D$89*D$5)</f>
        <v/>
      </c>
      <c r="E9" s="749">
        <f>('1. Press Assumptions'!$B$35*'1. Press Assumptions'!$D$89*(IF($A9=1,15,(1-$A9^15)/(1-$A9))))/('1. Press Assumptions'!$D$89*E$5)</f>
        <v/>
      </c>
      <c r="F9" s="749">
        <f>('1. Press Assumptions'!$B$35*'1. Press Assumptions'!$D$89*(IF($A9=1,15,(1-$A9^15)/(1-$A9))))/('1. Press Assumptions'!$D$89*F$5)</f>
        <v/>
      </c>
      <c r="G9" s="749">
        <f>('1. Press Assumptions'!$B$35*'1. Press Assumptions'!$D$89*(IF($A9=1,15,(1-$A9^15)/(1-$A9))))/('1. Press Assumptions'!$D$89*G$5)</f>
        <v/>
      </c>
      <c r="H9" s="749">
        <f>('1. Press Assumptions'!$B$35*'1. Press Assumptions'!$D$89*(IF($A9=1,15,(1-$A9^15)/(1-$A9))))/('1. Press Assumptions'!$D$89*H$5)</f>
        <v/>
      </c>
    </row>
    <row r="10" ht="15" customHeight="1" s="307">
      <c r="A10" s="747" t="n">
        <v>0.9</v>
      </c>
      <c r="B10" s="687">
        <f>('1. Press Assumptions'!$B$35*'1. Press Assumptions'!$D$89*(IF($A10=1,15,(1-$A10^15)/(1-$A10))))/('1. Press Assumptions'!$D$89*B$5)</f>
        <v/>
      </c>
      <c r="C10" s="687">
        <f>('1. Press Assumptions'!$B$35*'1. Press Assumptions'!$D$89*(IF($A10=1,15,(1-$A10^15)/(1-$A10))))/('1. Press Assumptions'!$D$89*C$5)</f>
        <v/>
      </c>
      <c r="D10" s="687">
        <f>('1. Press Assumptions'!$B$35*'1. Press Assumptions'!$D$89*(IF($A10=1,15,(1-$A10^15)/(1-$A10))))/('1. Press Assumptions'!$D$89*D$5)</f>
        <v/>
      </c>
      <c r="E10" s="687">
        <f>('1. Press Assumptions'!$B$35*'1. Press Assumptions'!$D$89*(IF($A10=1,15,(1-$A10^15)/(1-$A10))))/('1. Press Assumptions'!$D$89*E$5)</f>
        <v/>
      </c>
      <c r="F10" s="687">
        <f>('1. Press Assumptions'!$B$35*'1. Press Assumptions'!$D$89*(IF($A10=1,15,(1-$A10^15)/(1-$A10))))/('1. Press Assumptions'!$D$89*F$5)</f>
        <v/>
      </c>
      <c r="G10" s="687">
        <f>('1. Press Assumptions'!$B$35*'1. Press Assumptions'!$D$89*(IF($A10=1,15,(1-$A10^15)/(1-$A10))))/('1. Press Assumptions'!$D$89*G$5)</f>
        <v/>
      </c>
      <c r="H10" s="687">
        <f>('1. Press Assumptions'!$B$35*'1. Press Assumptions'!$D$89*(IF($A10=1,15,(1-$A10^15)/(1-$A10))))/('1. Press Assumptions'!$D$89*H$5)</f>
        <v/>
      </c>
    </row>
    <row r="11" ht="15" customHeight="1" s="307">
      <c r="A11" s="747" t="n">
        <v>0.95</v>
      </c>
      <c r="B11" s="687">
        <f>('1. Press Assumptions'!$B$35*'1. Press Assumptions'!$D$89*(IF($A11=1,15,(1-$A11^15)/(1-$A11))))/('1. Press Assumptions'!$D$89*B$5)</f>
        <v/>
      </c>
      <c r="C11" s="687">
        <f>('1. Press Assumptions'!$B$35*'1. Press Assumptions'!$D$89*(IF($A11=1,15,(1-$A11^15)/(1-$A11))))/('1. Press Assumptions'!$D$89*C$5)</f>
        <v/>
      </c>
      <c r="D11" s="687">
        <f>('1. Press Assumptions'!$B$35*'1. Press Assumptions'!$D$89*(IF($A11=1,15,(1-$A11^15)/(1-$A11))))/('1. Press Assumptions'!$D$89*D$5)</f>
        <v/>
      </c>
      <c r="E11" s="687">
        <f>('1. Press Assumptions'!$B$35*'1. Press Assumptions'!$D$89*(IF($A11=1,15,(1-$A11^15)/(1-$A11))))/('1. Press Assumptions'!$D$89*E$5)</f>
        <v/>
      </c>
      <c r="F11" s="687">
        <f>('1. Press Assumptions'!$B$35*'1. Press Assumptions'!$D$89*(IF($A11=1,15,(1-$A11^15)/(1-$A11))))/('1. Press Assumptions'!$D$89*F$5)</f>
        <v/>
      </c>
      <c r="G11" s="687">
        <f>('1. Press Assumptions'!$B$35*'1. Press Assumptions'!$D$89*(IF($A11=1,15,(1-$A11^15)/(1-$A11))))/('1. Press Assumptions'!$D$89*G$5)</f>
        <v/>
      </c>
      <c r="H11" s="687">
        <f>('1. Press Assumptions'!$B$35*'1. Press Assumptions'!$D$89*(IF($A11=1,15,(1-$A11^15)/(1-$A11))))/('1. Press Assumptions'!$D$89*H$5)</f>
        <v/>
      </c>
    </row>
    <row r="12" ht="15" customHeight="1" s="307">
      <c r="A12" s="747" t="n">
        <v>1</v>
      </c>
      <c r="B12" s="687">
        <f>('1. Press Assumptions'!$B$35*'1. Press Assumptions'!$D$89*(IF($A12=1,15,(1-$A12^15)/(1-$A12))))/('1. Press Assumptions'!$D$89*B$5)</f>
        <v/>
      </c>
      <c r="C12" s="687">
        <f>('1. Press Assumptions'!$B$35*'1. Press Assumptions'!$D$89*(IF($A12=1,15,(1-$A12^15)/(1-$A12))))/('1. Press Assumptions'!$D$89*C$5)</f>
        <v/>
      </c>
      <c r="D12" s="687">
        <f>('1. Press Assumptions'!$B$35*'1. Press Assumptions'!$D$89*(IF($A12=1,15,(1-$A12^15)/(1-$A12))))/('1. Press Assumptions'!$D$89*D$5)</f>
        <v/>
      </c>
      <c r="E12" s="687">
        <f>('1. Press Assumptions'!$B$35*'1. Press Assumptions'!$D$89*(IF($A12=1,15,(1-$A12^15)/(1-$A12))))/('1. Press Assumptions'!$D$89*E$5)</f>
        <v/>
      </c>
      <c r="F12" s="687">
        <f>('1. Press Assumptions'!$B$35*'1. Press Assumptions'!$D$89*(IF($A12=1,15,(1-$A12^15)/(1-$A12))))/('1. Press Assumptions'!$D$89*F$5)</f>
        <v/>
      </c>
      <c r="G12" s="687">
        <f>('1. Press Assumptions'!$B$35*'1. Press Assumptions'!$D$89*(IF($A12=1,15,(1-$A12^15)/(1-$A12))))/('1. Press Assumptions'!$D$89*G$5)</f>
        <v/>
      </c>
      <c r="H12" s="687">
        <f>('1. Press Assumptions'!$B$35*'1. Press Assumptions'!$D$89*(IF($A12=1,15,(1-$A12^15)/(1-$A12))))/('1. Press Assumptions'!$D$89*H$5)</f>
        <v/>
      </c>
    </row>
    <row r="13">
      <c r="A13" s="614" t="n"/>
      <c r="B13" s="614" t="n"/>
      <c r="C13" s="614" t="n"/>
      <c r="D13" s="614" t="n"/>
      <c r="E13" s="614" t="n"/>
      <c r="F13" s="614" t="n"/>
      <c r="G13" s="614" t="n"/>
      <c r="H13" s="614" t="n"/>
    </row>
    <row r="14">
      <c r="A14" s="614" t="n"/>
      <c r="B14" s="614" t="n"/>
      <c r="C14" s="614" t="n"/>
      <c r="D14" s="614" t="n"/>
      <c r="E14" s="614" t="n"/>
      <c r="F14" s="614" t="n"/>
      <c r="G14" s="614" t="n"/>
      <c r="H14" s="614" t="n"/>
    </row>
    <row r="15" ht="15" customHeight="1" s="307">
      <c r="A15" s="616" t="inlineStr">
        <is>
          <t>DEAL-LEVEL 15Y IRR (gross)</t>
        </is>
      </c>
      <c r="B15" s="738" t="n"/>
      <c r="C15" s="738" t="n"/>
      <c r="D15" s="738" t="n"/>
      <c r="E15" s="738" t="n"/>
      <c r="F15" s="738" t="n"/>
      <c r="G15" s="738" t="n"/>
      <c r="H15" s="738" t="n"/>
    </row>
    <row r="16" ht="15" customHeight="1" s="307">
      <c r="A16" s="612" t="inlineStr">
        <is>
          <t>NDR \ Entry Mult</t>
        </is>
      </c>
      <c r="B16" s="746" t="n">
        <v>0.75</v>
      </c>
      <c r="C16" s="746" t="n">
        <v>1</v>
      </c>
      <c r="D16" s="746" t="n">
        <v>1.1</v>
      </c>
      <c r="E16" s="746" t="n">
        <v>1.25</v>
      </c>
      <c r="F16" s="746" t="n">
        <v>1.5</v>
      </c>
      <c r="G16" s="746" t="n">
        <v>1.75</v>
      </c>
      <c r="H16" s="746" t="n">
        <v>2</v>
      </c>
    </row>
    <row r="17" ht="15" customHeight="1" s="307">
      <c r="A17" s="747" t="n">
        <v>0.7</v>
      </c>
      <c r="B17" s="684">
        <f>IRR(B45:Q45)</f>
        <v/>
      </c>
      <c r="C17" s="684">
        <f>IRR(B46:Q46)</f>
        <v/>
      </c>
      <c r="D17" s="684">
        <f>IRR(B47:Q47)</f>
        <v/>
      </c>
      <c r="E17" s="684">
        <f>IRR(B48:Q48)</f>
        <v/>
      </c>
      <c r="F17" s="684">
        <f>IRR(B49:Q49)</f>
        <v/>
      </c>
      <c r="G17" s="684">
        <f>IRR(B50:Q50)</f>
        <v/>
      </c>
      <c r="H17" s="684">
        <f>IRR(B51:Q51)</f>
        <v/>
      </c>
    </row>
    <row r="18" ht="15" customHeight="1" s="307">
      <c r="A18" s="747" t="n">
        <v>0.75</v>
      </c>
      <c r="B18" s="684">
        <f>IRR(B52:Q52)</f>
        <v/>
      </c>
      <c r="C18" s="684">
        <f>IRR(B53:Q53)</f>
        <v/>
      </c>
      <c r="D18" s="684">
        <f>IRR(B54:Q54)</f>
        <v/>
      </c>
      <c r="E18" s="684">
        <f>IRR(B55:Q55)</f>
        <v/>
      </c>
      <c r="F18" s="684">
        <f>IRR(B56:Q56)</f>
        <v/>
      </c>
      <c r="G18" s="684">
        <f>IRR(B57:Q57)</f>
        <v/>
      </c>
      <c r="H18" s="684">
        <f>IRR(B58:Q58)</f>
        <v/>
      </c>
    </row>
    <row r="19" ht="15" customHeight="1" s="307">
      <c r="A19" s="747" t="n">
        <v>0.8</v>
      </c>
      <c r="B19" s="684">
        <f>IRR(B59:Q59)</f>
        <v/>
      </c>
      <c r="C19" s="684">
        <f>IRR(B60:Q60)</f>
        <v/>
      </c>
      <c r="D19" s="684">
        <f>IRR(B61:Q61)</f>
        <v/>
      </c>
      <c r="E19" s="684">
        <f>IRR(B62:Q62)</f>
        <v/>
      </c>
      <c r="F19" s="684">
        <f>IRR(B63:Q63)</f>
        <v/>
      </c>
      <c r="G19" s="684">
        <f>IRR(B64:Q64)</f>
        <v/>
      </c>
      <c r="H19" s="684">
        <f>IRR(B65:Q65)</f>
        <v/>
      </c>
    </row>
    <row r="20" ht="15" customHeight="1" s="307">
      <c r="A20" s="748" t="n">
        <v>0.85</v>
      </c>
      <c r="B20" s="750">
        <f>IRR(B66:Q66)</f>
        <v/>
      </c>
      <c r="C20" s="750">
        <f>IRR(B67:Q67)</f>
        <v/>
      </c>
      <c r="D20" s="750">
        <f>IRR(B68:Q68)</f>
        <v/>
      </c>
      <c r="E20" s="750">
        <f>IRR(B69:Q69)</f>
        <v/>
      </c>
      <c r="F20" s="750">
        <f>IRR(B70:Q70)</f>
        <v/>
      </c>
      <c r="G20" s="750">
        <f>IRR(B71:Q71)</f>
        <v/>
      </c>
      <c r="H20" s="750">
        <f>IRR(B72:Q72)</f>
        <v/>
      </c>
    </row>
    <row r="21" ht="15" customHeight="1" s="307">
      <c r="A21" s="747" t="n">
        <v>0.9</v>
      </c>
      <c r="B21" s="684">
        <f>IRR(B73:Q73)</f>
        <v/>
      </c>
      <c r="C21" s="684">
        <f>IRR(B74:Q74)</f>
        <v/>
      </c>
      <c r="D21" s="684">
        <f>IRR(B75:Q75)</f>
        <v/>
      </c>
      <c r="E21" s="684">
        <f>IRR(B76:Q76)</f>
        <v/>
      </c>
      <c r="F21" s="684">
        <f>IRR(B77:Q77)</f>
        <v/>
      </c>
      <c r="G21" s="684">
        <f>IRR(B78:Q78)</f>
        <v/>
      </c>
      <c r="H21" s="684">
        <f>IRR(B79:Q79)</f>
        <v/>
      </c>
    </row>
    <row r="22" ht="15" customHeight="1" s="307">
      <c r="A22" s="747" t="n">
        <v>0.95</v>
      </c>
      <c r="B22" s="684">
        <f>IRR(B80:Q80)</f>
        <v/>
      </c>
      <c r="C22" s="684">
        <f>IRR(B81:Q81)</f>
        <v/>
      </c>
      <c r="D22" s="684">
        <f>IRR(B82:Q82)</f>
        <v/>
      </c>
      <c r="E22" s="684">
        <f>IRR(B83:Q83)</f>
        <v/>
      </c>
      <c r="F22" s="684">
        <f>IRR(B84:Q84)</f>
        <v/>
      </c>
      <c r="G22" s="684">
        <f>IRR(B85:Q85)</f>
        <v/>
      </c>
      <c r="H22" s="684">
        <f>IRR(B86:Q86)</f>
        <v/>
      </c>
    </row>
    <row r="23" ht="15" customHeight="1" s="307">
      <c r="A23" s="747" t="n">
        <v>1</v>
      </c>
      <c r="B23" s="684">
        <f>IRR(B87:Q87)</f>
        <v/>
      </c>
      <c r="C23" s="684">
        <f>IRR(B88:Q88)</f>
        <v/>
      </c>
      <c r="D23" s="684">
        <f>IRR(B89:Q89)</f>
        <v/>
      </c>
      <c r="E23" s="684">
        <f>IRR(B90:Q90)</f>
        <v/>
      </c>
      <c r="F23" s="684">
        <f>IRR(B91:Q91)</f>
        <v/>
      </c>
      <c r="G23" s="684">
        <f>IRR(B92:Q92)</f>
        <v/>
      </c>
      <c r="H23" s="684">
        <f>IRR(B93:Q93)</f>
        <v/>
      </c>
    </row>
    <row r="24">
      <c r="A24" s="614" t="n"/>
      <c r="B24" s="614" t="n"/>
      <c r="C24" s="614" t="n"/>
      <c r="D24" s="614" t="n"/>
      <c r="E24" s="614" t="n"/>
      <c r="F24" s="614" t="n"/>
      <c r="G24" s="614" t="n"/>
      <c r="H24" s="614" t="n"/>
    </row>
    <row r="25">
      <c r="A25" s="614" t="n"/>
      <c r="B25" s="614" t="n"/>
      <c r="C25" s="614" t="n"/>
      <c r="D25" s="614" t="n"/>
      <c r="E25" s="614" t="n"/>
      <c r="F25" s="614" t="n"/>
      <c r="G25" s="614" t="n"/>
      <c r="H25" s="614" t="n"/>
    </row>
    <row r="26" ht="15" customHeight="1" s="307">
      <c r="A26" s="751" t="inlineStr">
        <is>
          <t>PURCHASE PRICE ($mm)</t>
        </is>
      </c>
      <c r="B26" s="613" t="n"/>
      <c r="C26" s="613" t="n"/>
      <c r="D26" s="613" t="n"/>
      <c r="E26" s="613" t="n"/>
      <c r="F26" s="613" t="n"/>
      <c r="G26" s="613" t="n"/>
      <c r="H26" s="613" t="n"/>
    </row>
    <row r="27" ht="15" customHeight="1" s="307">
      <c r="A27" s="613" t="inlineStr">
        <is>
          <t>Entry Multiple</t>
        </is>
      </c>
      <c r="B27" s="687" t="n">
        <v>0.75</v>
      </c>
      <c r="C27" s="687" t="n">
        <v>1</v>
      </c>
      <c r="D27" s="687" t="n">
        <v>1.1</v>
      </c>
      <c r="E27" s="687" t="n">
        <v>1.25</v>
      </c>
      <c r="F27" s="687" t="n">
        <v>1.5</v>
      </c>
      <c r="G27" s="687" t="n">
        <v>1.75</v>
      </c>
      <c r="H27" s="687" t="n">
        <v>2</v>
      </c>
    </row>
    <row r="28" ht="15" customHeight="1" s="307">
      <c r="A28" s="613">
        <f>" $"&amp;TEXT('1. Press Assumptions'!$D$89,"0")&amp;"M ARR"</f>
        <v/>
      </c>
      <c r="B28" s="752">
        <f>'1. Press Assumptions'!$D$89*B$27</f>
        <v/>
      </c>
      <c r="C28" s="752">
        <f>'1. Press Assumptions'!$D$89*C$27</f>
        <v/>
      </c>
      <c r="D28" s="752">
        <f>'1. Press Assumptions'!$D$89*D$27</f>
        <v/>
      </c>
      <c r="E28" s="752">
        <f>'1. Press Assumptions'!$D$89*E$27</f>
        <v/>
      </c>
      <c r="F28" s="752">
        <f>'1. Press Assumptions'!$D$89*F$27</f>
        <v/>
      </c>
      <c r="G28" s="752">
        <f>'1. Press Assumptions'!$D$89*G$27</f>
        <v/>
      </c>
      <c r="H28" s="752">
        <f>'1. Press Assumptions'!$D$89*H$27</f>
        <v/>
      </c>
    </row>
    <row r="29">
      <c r="A29" s="614" t="n"/>
      <c r="B29" s="614" t="n"/>
      <c r="C29" s="614" t="n"/>
      <c r="D29" s="614" t="n"/>
      <c r="E29" s="614" t="n"/>
      <c r="F29" s="614" t="n"/>
      <c r="G29" s="614" t="n"/>
      <c r="H29" s="614" t="n"/>
    </row>
    <row r="30" ht="15" customHeight="1" s="307">
      <c r="A30" s="613" t="n"/>
      <c r="B30" s="613" t="n"/>
      <c r="C30" s="613" t="n"/>
      <c r="D30" s="613" t="n"/>
      <c r="E30" s="613" t="n"/>
      <c r="F30" s="613" t="n"/>
      <c r="G30" s="613" t="n"/>
      <c r="H30" s="613" t="n"/>
    </row>
    <row r="31" ht="15" customHeight="1" s="307">
      <c r="A31" s="613" t="n"/>
      <c r="B31" s="684" t="n"/>
      <c r="C31" s="684" t="n"/>
      <c r="D31" s="684" t="n"/>
      <c r="E31" s="684" t="n"/>
      <c r="F31" s="684" t="n"/>
      <c r="G31" s="684" t="n"/>
      <c r="H31" s="684" t="n"/>
    </row>
    <row r="32" ht="15" customHeight="1" s="307">
      <c r="A32" s="613" t="n"/>
      <c r="B32" s="753" t="n"/>
      <c r="C32" s="753" t="n"/>
      <c r="D32" s="753" t="n"/>
      <c r="E32" s="753" t="n"/>
      <c r="F32" s="753" t="n"/>
      <c r="G32" s="753" t="n"/>
      <c r="H32" s="753" t="n"/>
    </row>
    <row r="33" ht="15" customHeight="1" s="307">
      <c r="A33" s="613" t="n"/>
      <c r="B33" s="753" t="n"/>
      <c r="C33" s="753" t="n"/>
      <c r="D33" s="753" t="n"/>
      <c r="E33" s="753" t="n"/>
      <c r="F33" s="753" t="n"/>
      <c r="G33" s="753" t="n"/>
      <c r="H33" s="753" t="n"/>
    </row>
    <row r="34" ht="15" customHeight="1" s="307">
      <c r="A34" s="613" t="n"/>
      <c r="B34" s="753" t="n"/>
      <c r="C34" s="753" t="n"/>
      <c r="D34" s="753" t="n"/>
      <c r="E34" s="753" t="n"/>
      <c r="F34" s="753" t="n"/>
      <c r="G34" s="753" t="n"/>
      <c r="H34" s="753" t="n"/>
    </row>
    <row r="35" ht="15" customHeight="1" s="307">
      <c r="A35" s="613" t="n"/>
      <c r="B35" s="686" t="n"/>
      <c r="C35" s="686" t="n"/>
      <c r="D35" s="686" t="n"/>
      <c r="E35" s="686" t="n"/>
      <c r="F35" s="686" t="n"/>
      <c r="G35" s="686" t="n"/>
      <c r="H35" s="686" t="n"/>
    </row>
    <row r="36" ht="15" customHeight="1" s="307">
      <c r="A36" s="613" t="n"/>
      <c r="B36" s="684" t="n"/>
      <c r="C36" s="684" t="n"/>
      <c r="D36" s="684" t="n"/>
      <c r="E36" s="684" t="n"/>
      <c r="F36" s="684" t="n"/>
      <c r="G36" s="684" t="n"/>
      <c r="H36" s="684" t="n"/>
    </row>
    <row r="37">
      <c r="A37" s="614" t="n"/>
      <c r="B37" s="614" t="n"/>
      <c r="C37" s="614" t="n"/>
      <c r="D37" s="614" t="n"/>
      <c r="E37" s="614" t="n"/>
      <c r="F37" s="614" t="n"/>
      <c r="G37" s="614" t="n"/>
      <c r="H37" s="614" t="n"/>
    </row>
    <row r="38">
      <c r="A38" s="614" t="n"/>
      <c r="B38" s="614" t="n"/>
      <c r="C38" s="614" t="n"/>
      <c r="D38" s="614" t="n"/>
      <c r="E38" s="614" t="n"/>
      <c r="F38" s="614" t="n"/>
      <c r="G38" s="614" t="n"/>
      <c r="H38" s="614" t="n"/>
    </row>
    <row r="39" ht="15" customHeight="1" s="307">
      <c r="A39" s="613" t="n"/>
      <c r="B39" s="614" t="n"/>
      <c r="C39" s="614" t="n"/>
      <c r="D39" s="614" t="n"/>
      <c r="E39" s="614" t="n"/>
      <c r="F39" s="614" t="n"/>
      <c r="G39" s="614" t="n"/>
      <c r="H39" s="614" t="n"/>
    </row>
    <row r="40" ht="15" customHeight="1" s="307">
      <c r="A40" s="593" t="inlineStr">
        <is>
          <t>Base = 85% NDR, 1.24x entry (highlighted). Deal-level gross; see Tabs 2/6/11 for fund-level LP returns.</t>
        </is>
      </c>
      <c r="B40" s="614" t="n"/>
      <c r="C40" s="614" t="n"/>
      <c r="D40" s="614" t="n"/>
      <c r="E40" s="614" t="n"/>
      <c r="F40" s="614" t="n"/>
      <c r="G40" s="614" t="n"/>
      <c r="H40" s="614" t="n"/>
    </row>
    <row r="44">
      <c r="A44" s="615" t="inlineStr">
        <is>
          <t>IRR helper cashflows (yr0..15) -- do not edit</t>
        </is>
      </c>
    </row>
    <row r="45">
      <c r="B45" s="306">
        <f>-'1. Press Assumptions'!$D$89*B$5</f>
        <v/>
      </c>
      <c r="C45" s="306">
        <f>'1. Press Assumptions'!$B$35*'1. Press Assumptions'!$D$89*$A6^0</f>
        <v/>
      </c>
      <c r="D45" s="306">
        <f>'1. Press Assumptions'!$B$35*'1. Press Assumptions'!$D$89*$A6^1</f>
        <v/>
      </c>
      <c r="E45" s="306">
        <f>'1. Press Assumptions'!$B$35*'1. Press Assumptions'!$D$89*$A6^2</f>
        <v/>
      </c>
      <c r="F45" s="306">
        <f>'1. Press Assumptions'!$B$35*'1. Press Assumptions'!$D$89*$A6^3</f>
        <v/>
      </c>
      <c r="G45" s="306">
        <f>'1. Press Assumptions'!$B$35*'1. Press Assumptions'!$D$89*$A6^4</f>
        <v/>
      </c>
      <c r="H45" s="306">
        <f>'1. Press Assumptions'!$B$35*'1. Press Assumptions'!$D$89*$A6^5</f>
        <v/>
      </c>
      <c r="I45" s="306">
        <f>'1. Press Assumptions'!$B$35*'1. Press Assumptions'!$D$89*$A6^6</f>
        <v/>
      </c>
      <c r="J45" s="306">
        <f>'1. Press Assumptions'!$B$35*'1. Press Assumptions'!$D$89*$A6^7</f>
        <v/>
      </c>
      <c r="K45" s="306">
        <f>'1. Press Assumptions'!$B$35*'1. Press Assumptions'!$D$89*$A6^8</f>
        <v/>
      </c>
      <c r="L45" s="306">
        <f>'1. Press Assumptions'!$B$35*'1. Press Assumptions'!$D$89*$A6^9</f>
        <v/>
      </c>
      <c r="M45" s="306">
        <f>'1. Press Assumptions'!$B$35*'1. Press Assumptions'!$D$89*$A6^10</f>
        <v/>
      </c>
      <c r="N45" s="306">
        <f>'1. Press Assumptions'!$B$35*'1. Press Assumptions'!$D$89*$A6^11</f>
        <v/>
      </c>
      <c r="O45" s="306">
        <f>'1. Press Assumptions'!$B$35*'1. Press Assumptions'!$D$89*$A6^12</f>
        <v/>
      </c>
      <c r="P45" s="306">
        <f>'1. Press Assumptions'!$B$35*'1. Press Assumptions'!$D$89*$A6^13</f>
        <v/>
      </c>
      <c r="Q45" s="306">
        <f>'1. Press Assumptions'!$B$35*'1. Press Assumptions'!$D$89*$A6^14</f>
        <v/>
      </c>
    </row>
    <row r="46">
      <c r="B46" s="306">
        <f>-'1. Press Assumptions'!$D$89*C$5</f>
        <v/>
      </c>
      <c r="C46" s="306">
        <f>'1. Press Assumptions'!$B$35*'1. Press Assumptions'!$D$89*$A6^0</f>
        <v/>
      </c>
      <c r="D46" s="306">
        <f>'1. Press Assumptions'!$B$35*'1. Press Assumptions'!$D$89*$A6^1</f>
        <v/>
      </c>
      <c r="E46" s="306">
        <f>'1. Press Assumptions'!$B$35*'1. Press Assumptions'!$D$89*$A6^2</f>
        <v/>
      </c>
      <c r="F46" s="306">
        <f>'1. Press Assumptions'!$B$35*'1. Press Assumptions'!$D$89*$A6^3</f>
        <v/>
      </c>
      <c r="G46" s="306">
        <f>'1. Press Assumptions'!$B$35*'1. Press Assumptions'!$D$89*$A6^4</f>
        <v/>
      </c>
      <c r="H46" s="306">
        <f>'1. Press Assumptions'!$B$35*'1. Press Assumptions'!$D$89*$A6^5</f>
        <v/>
      </c>
      <c r="I46" s="306">
        <f>'1. Press Assumptions'!$B$35*'1. Press Assumptions'!$D$89*$A6^6</f>
        <v/>
      </c>
      <c r="J46" s="306">
        <f>'1. Press Assumptions'!$B$35*'1. Press Assumptions'!$D$89*$A6^7</f>
        <v/>
      </c>
      <c r="K46" s="306">
        <f>'1. Press Assumptions'!$B$35*'1. Press Assumptions'!$D$89*$A6^8</f>
        <v/>
      </c>
      <c r="L46" s="306">
        <f>'1. Press Assumptions'!$B$35*'1. Press Assumptions'!$D$89*$A6^9</f>
        <v/>
      </c>
      <c r="M46" s="306">
        <f>'1. Press Assumptions'!$B$35*'1. Press Assumptions'!$D$89*$A6^10</f>
        <v/>
      </c>
      <c r="N46" s="306">
        <f>'1. Press Assumptions'!$B$35*'1. Press Assumptions'!$D$89*$A6^11</f>
        <v/>
      </c>
      <c r="O46" s="306">
        <f>'1. Press Assumptions'!$B$35*'1. Press Assumptions'!$D$89*$A6^12</f>
        <v/>
      </c>
      <c r="P46" s="306">
        <f>'1. Press Assumptions'!$B$35*'1. Press Assumptions'!$D$89*$A6^13</f>
        <v/>
      </c>
      <c r="Q46" s="306">
        <f>'1. Press Assumptions'!$B$35*'1. Press Assumptions'!$D$89*$A6^14</f>
        <v/>
      </c>
    </row>
    <row r="47">
      <c r="B47" s="306">
        <f>-'1. Press Assumptions'!$D$89*D$5</f>
        <v/>
      </c>
      <c r="C47" s="306">
        <f>'1. Press Assumptions'!$B$35*'1. Press Assumptions'!$D$89*$A6^0</f>
        <v/>
      </c>
      <c r="D47" s="306">
        <f>'1. Press Assumptions'!$B$35*'1. Press Assumptions'!$D$89*$A6^1</f>
        <v/>
      </c>
      <c r="E47" s="306">
        <f>'1. Press Assumptions'!$B$35*'1. Press Assumptions'!$D$89*$A6^2</f>
        <v/>
      </c>
      <c r="F47" s="306">
        <f>'1. Press Assumptions'!$B$35*'1. Press Assumptions'!$D$89*$A6^3</f>
        <v/>
      </c>
      <c r="G47" s="306">
        <f>'1. Press Assumptions'!$B$35*'1. Press Assumptions'!$D$89*$A6^4</f>
        <v/>
      </c>
      <c r="H47" s="306">
        <f>'1. Press Assumptions'!$B$35*'1. Press Assumptions'!$D$89*$A6^5</f>
        <v/>
      </c>
      <c r="I47" s="306">
        <f>'1. Press Assumptions'!$B$35*'1. Press Assumptions'!$D$89*$A6^6</f>
        <v/>
      </c>
      <c r="J47" s="306">
        <f>'1. Press Assumptions'!$B$35*'1. Press Assumptions'!$D$89*$A6^7</f>
        <v/>
      </c>
      <c r="K47" s="306">
        <f>'1. Press Assumptions'!$B$35*'1. Press Assumptions'!$D$89*$A6^8</f>
        <v/>
      </c>
      <c r="L47" s="306">
        <f>'1. Press Assumptions'!$B$35*'1. Press Assumptions'!$D$89*$A6^9</f>
        <v/>
      </c>
      <c r="M47" s="306">
        <f>'1. Press Assumptions'!$B$35*'1. Press Assumptions'!$D$89*$A6^10</f>
        <v/>
      </c>
      <c r="N47" s="306">
        <f>'1. Press Assumptions'!$B$35*'1. Press Assumptions'!$D$89*$A6^11</f>
        <v/>
      </c>
      <c r="O47" s="306">
        <f>'1. Press Assumptions'!$B$35*'1. Press Assumptions'!$D$89*$A6^12</f>
        <v/>
      </c>
      <c r="P47" s="306">
        <f>'1. Press Assumptions'!$B$35*'1. Press Assumptions'!$D$89*$A6^13</f>
        <v/>
      </c>
      <c r="Q47" s="306">
        <f>'1. Press Assumptions'!$B$35*'1. Press Assumptions'!$D$89*$A6^14</f>
        <v/>
      </c>
    </row>
    <row r="48">
      <c r="B48" s="306">
        <f>-'1. Press Assumptions'!$D$89*E$5</f>
        <v/>
      </c>
      <c r="C48" s="306">
        <f>'1. Press Assumptions'!$B$35*'1. Press Assumptions'!$D$89*$A6^0</f>
        <v/>
      </c>
      <c r="D48" s="306">
        <f>'1. Press Assumptions'!$B$35*'1. Press Assumptions'!$D$89*$A6^1</f>
        <v/>
      </c>
      <c r="E48" s="306">
        <f>'1. Press Assumptions'!$B$35*'1. Press Assumptions'!$D$89*$A6^2</f>
        <v/>
      </c>
      <c r="F48" s="306">
        <f>'1. Press Assumptions'!$B$35*'1. Press Assumptions'!$D$89*$A6^3</f>
        <v/>
      </c>
      <c r="G48" s="306">
        <f>'1. Press Assumptions'!$B$35*'1. Press Assumptions'!$D$89*$A6^4</f>
        <v/>
      </c>
      <c r="H48" s="306">
        <f>'1. Press Assumptions'!$B$35*'1. Press Assumptions'!$D$89*$A6^5</f>
        <v/>
      </c>
      <c r="I48" s="306">
        <f>'1. Press Assumptions'!$B$35*'1. Press Assumptions'!$D$89*$A6^6</f>
        <v/>
      </c>
      <c r="J48" s="306">
        <f>'1. Press Assumptions'!$B$35*'1. Press Assumptions'!$D$89*$A6^7</f>
        <v/>
      </c>
      <c r="K48" s="306">
        <f>'1. Press Assumptions'!$B$35*'1. Press Assumptions'!$D$89*$A6^8</f>
        <v/>
      </c>
      <c r="L48" s="306">
        <f>'1. Press Assumptions'!$B$35*'1. Press Assumptions'!$D$89*$A6^9</f>
        <v/>
      </c>
      <c r="M48" s="306">
        <f>'1. Press Assumptions'!$B$35*'1. Press Assumptions'!$D$89*$A6^10</f>
        <v/>
      </c>
      <c r="N48" s="306">
        <f>'1. Press Assumptions'!$B$35*'1. Press Assumptions'!$D$89*$A6^11</f>
        <v/>
      </c>
      <c r="O48" s="306">
        <f>'1. Press Assumptions'!$B$35*'1. Press Assumptions'!$D$89*$A6^12</f>
        <v/>
      </c>
      <c r="P48" s="306">
        <f>'1. Press Assumptions'!$B$35*'1. Press Assumptions'!$D$89*$A6^13</f>
        <v/>
      </c>
      <c r="Q48" s="306">
        <f>'1. Press Assumptions'!$B$35*'1. Press Assumptions'!$D$89*$A6^14</f>
        <v/>
      </c>
    </row>
    <row r="49">
      <c r="B49" s="306">
        <f>-'1. Press Assumptions'!$D$89*F$5</f>
        <v/>
      </c>
      <c r="C49" s="306">
        <f>'1. Press Assumptions'!$B$35*'1. Press Assumptions'!$D$89*$A6^0</f>
        <v/>
      </c>
      <c r="D49" s="306">
        <f>'1. Press Assumptions'!$B$35*'1. Press Assumptions'!$D$89*$A6^1</f>
        <v/>
      </c>
      <c r="E49" s="306">
        <f>'1. Press Assumptions'!$B$35*'1. Press Assumptions'!$D$89*$A6^2</f>
        <v/>
      </c>
      <c r="F49" s="306">
        <f>'1. Press Assumptions'!$B$35*'1. Press Assumptions'!$D$89*$A6^3</f>
        <v/>
      </c>
      <c r="G49" s="306">
        <f>'1. Press Assumptions'!$B$35*'1. Press Assumptions'!$D$89*$A6^4</f>
        <v/>
      </c>
      <c r="H49" s="306">
        <f>'1. Press Assumptions'!$B$35*'1. Press Assumptions'!$D$89*$A6^5</f>
        <v/>
      </c>
      <c r="I49" s="306">
        <f>'1. Press Assumptions'!$B$35*'1. Press Assumptions'!$D$89*$A6^6</f>
        <v/>
      </c>
      <c r="J49" s="306">
        <f>'1. Press Assumptions'!$B$35*'1. Press Assumptions'!$D$89*$A6^7</f>
        <v/>
      </c>
      <c r="K49" s="306">
        <f>'1. Press Assumptions'!$B$35*'1. Press Assumptions'!$D$89*$A6^8</f>
        <v/>
      </c>
      <c r="L49" s="306">
        <f>'1. Press Assumptions'!$B$35*'1. Press Assumptions'!$D$89*$A6^9</f>
        <v/>
      </c>
      <c r="M49" s="306">
        <f>'1. Press Assumptions'!$B$35*'1. Press Assumptions'!$D$89*$A6^10</f>
        <v/>
      </c>
      <c r="N49" s="306">
        <f>'1. Press Assumptions'!$B$35*'1. Press Assumptions'!$D$89*$A6^11</f>
        <v/>
      </c>
      <c r="O49" s="306">
        <f>'1. Press Assumptions'!$B$35*'1. Press Assumptions'!$D$89*$A6^12</f>
        <v/>
      </c>
      <c r="P49" s="306">
        <f>'1. Press Assumptions'!$B$35*'1. Press Assumptions'!$D$89*$A6^13</f>
        <v/>
      </c>
      <c r="Q49" s="306">
        <f>'1. Press Assumptions'!$B$35*'1. Press Assumptions'!$D$89*$A6^14</f>
        <v/>
      </c>
    </row>
    <row r="50">
      <c r="B50" s="306">
        <f>-'1. Press Assumptions'!$D$89*G$5</f>
        <v/>
      </c>
      <c r="C50" s="306">
        <f>'1. Press Assumptions'!$B$35*'1. Press Assumptions'!$D$89*$A6^0</f>
        <v/>
      </c>
      <c r="D50" s="306">
        <f>'1. Press Assumptions'!$B$35*'1. Press Assumptions'!$D$89*$A6^1</f>
        <v/>
      </c>
      <c r="E50" s="306">
        <f>'1. Press Assumptions'!$B$35*'1. Press Assumptions'!$D$89*$A6^2</f>
        <v/>
      </c>
      <c r="F50" s="306">
        <f>'1. Press Assumptions'!$B$35*'1. Press Assumptions'!$D$89*$A6^3</f>
        <v/>
      </c>
      <c r="G50" s="306">
        <f>'1. Press Assumptions'!$B$35*'1. Press Assumptions'!$D$89*$A6^4</f>
        <v/>
      </c>
      <c r="H50" s="306">
        <f>'1. Press Assumptions'!$B$35*'1. Press Assumptions'!$D$89*$A6^5</f>
        <v/>
      </c>
      <c r="I50" s="306">
        <f>'1. Press Assumptions'!$B$35*'1. Press Assumptions'!$D$89*$A6^6</f>
        <v/>
      </c>
      <c r="J50" s="306">
        <f>'1. Press Assumptions'!$B$35*'1. Press Assumptions'!$D$89*$A6^7</f>
        <v/>
      </c>
      <c r="K50" s="306">
        <f>'1. Press Assumptions'!$B$35*'1. Press Assumptions'!$D$89*$A6^8</f>
        <v/>
      </c>
      <c r="L50" s="306">
        <f>'1. Press Assumptions'!$B$35*'1. Press Assumptions'!$D$89*$A6^9</f>
        <v/>
      </c>
      <c r="M50" s="306">
        <f>'1. Press Assumptions'!$B$35*'1. Press Assumptions'!$D$89*$A6^10</f>
        <v/>
      </c>
      <c r="N50" s="306">
        <f>'1. Press Assumptions'!$B$35*'1. Press Assumptions'!$D$89*$A6^11</f>
        <v/>
      </c>
      <c r="O50" s="306">
        <f>'1. Press Assumptions'!$B$35*'1. Press Assumptions'!$D$89*$A6^12</f>
        <v/>
      </c>
      <c r="P50" s="306">
        <f>'1. Press Assumptions'!$B$35*'1. Press Assumptions'!$D$89*$A6^13</f>
        <v/>
      </c>
      <c r="Q50" s="306">
        <f>'1. Press Assumptions'!$B$35*'1. Press Assumptions'!$D$89*$A6^14</f>
        <v/>
      </c>
    </row>
    <row r="51">
      <c r="B51" s="306">
        <f>-'1. Press Assumptions'!$D$89*H$5</f>
        <v/>
      </c>
      <c r="C51" s="306">
        <f>'1. Press Assumptions'!$B$35*'1. Press Assumptions'!$D$89*$A6^0</f>
        <v/>
      </c>
      <c r="D51" s="306">
        <f>'1. Press Assumptions'!$B$35*'1. Press Assumptions'!$D$89*$A6^1</f>
        <v/>
      </c>
      <c r="E51" s="306">
        <f>'1. Press Assumptions'!$B$35*'1. Press Assumptions'!$D$89*$A6^2</f>
        <v/>
      </c>
      <c r="F51" s="306">
        <f>'1. Press Assumptions'!$B$35*'1. Press Assumptions'!$D$89*$A6^3</f>
        <v/>
      </c>
      <c r="G51" s="306">
        <f>'1. Press Assumptions'!$B$35*'1. Press Assumptions'!$D$89*$A6^4</f>
        <v/>
      </c>
      <c r="H51" s="306">
        <f>'1. Press Assumptions'!$B$35*'1. Press Assumptions'!$D$89*$A6^5</f>
        <v/>
      </c>
      <c r="I51" s="306">
        <f>'1. Press Assumptions'!$B$35*'1. Press Assumptions'!$D$89*$A6^6</f>
        <v/>
      </c>
      <c r="J51" s="306">
        <f>'1. Press Assumptions'!$B$35*'1. Press Assumptions'!$D$89*$A6^7</f>
        <v/>
      </c>
      <c r="K51" s="306">
        <f>'1. Press Assumptions'!$B$35*'1. Press Assumptions'!$D$89*$A6^8</f>
        <v/>
      </c>
      <c r="L51" s="306">
        <f>'1. Press Assumptions'!$B$35*'1. Press Assumptions'!$D$89*$A6^9</f>
        <v/>
      </c>
      <c r="M51" s="306">
        <f>'1. Press Assumptions'!$B$35*'1. Press Assumptions'!$D$89*$A6^10</f>
        <v/>
      </c>
      <c r="N51" s="306">
        <f>'1. Press Assumptions'!$B$35*'1. Press Assumptions'!$D$89*$A6^11</f>
        <v/>
      </c>
      <c r="O51" s="306">
        <f>'1. Press Assumptions'!$B$35*'1. Press Assumptions'!$D$89*$A6^12</f>
        <v/>
      </c>
      <c r="P51" s="306">
        <f>'1. Press Assumptions'!$B$35*'1. Press Assumptions'!$D$89*$A6^13</f>
        <v/>
      </c>
      <c r="Q51" s="306">
        <f>'1. Press Assumptions'!$B$35*'1. Press Assumptions'!$D$89*$A6^14</f>
        <v/>
      </c>
    </row>
    <row r="52">
      <c r="B52" s="306">
        <f>-'1. Press Assumptions'!$D$89*B$5</f>
        <v/>
      </c>
      <c r="C52" s="306">
        <f>'1. Press Assumptions'!$B$35*'1. Press Assumptions'!$D$89*$A7^0</f>
        <v/>
      </c>
      <c r="D52" s="306">
        <f>'1. Press Assumptions'!$B$35*'1. Press Assumptions'!$D$89*$A7^1</f>
        <v/>
      </c>
      <c r="E52" s="306">
        <f>'1. Press Assumptions'!$B$35*'1. Press Assumptions'!$D$89*$A7^2</f>
        <v/>
      </c>
      <c r="F52" s="306">
        <f>'1. Press Assumptions'!$B$35*'1. Press Assumptions'!$D$89*$A7^3</f>
        <v/>
      </c>
      <c r="G52" s="306">
        <f>'1. Press Assumptions'!$B$35*'1. Press Assumptions'!$D$89*$A7^4</f>
        <v/>
      </c>
      <c r="H52" s="306">
        <f>'1. Press Assumptions'!$B$35*'1. Press Assumptions'!$D$89*$A7^5</f>
        <v/>
      </c>
      <c r="I52" s="306">
        <f>'1. Press Assumptions'!$B$35*'1. Press Assumptions'!$D$89*$A7^6</f>
        <v/>
      </c>
      <c r="J52" s="306">
        <f>'1. Press Assumptions'!$B$35*'1. Press Assumptions'!$D$89*$A7^7</f>
        <v/>
      </c>
      <c r="K52" s="306">
        <f>'1. Press Assumptions'!$B$35*'1. Press Assumptions'!$D$89*$A7^8</f>
        <v/>
      </c>
      <c r="L52" s="306">
        <f>'1. Press Assumptions'!$B$35*'1. Press Assumptions'!$D$89*$A7^9</f>
        <v/>
      </c>
      <c r="M52" s="306">
        <f>'1. Press Assumptions'!$B$35*'1. Press Assumptions'!$D$89*$A7^10</f>
        <v/>
      </c>
      <c r="N52" s="306">
        <f>'1. Press Assumptions'!$B$35*'1. Press Assumptions'!$D$89*$A7^11</f>
        <v/>
      </c>
      <c r="O52" s="306">
        <f>'1. Press Assumptions'!$B$35*'1. Press Assumptions'!$D$89*$A7^12</f>
        <v/>
      </c>
      <c r="P52" s="306">
        <f>'1. Press Assumptions'!$B$35*'1. Press Assumptions'!$D$89*$A7^13</f>
        <v/>
      </c>
      <c r="Q52" s="306">
        <f>'1. Press Assumptions'!$B$35*'1. Press Assumptions'!$D$89*$A7^14</f>
        <v/>
      </c>
    </row>
    <row r="53">
      <c r="B53" s="306">
        <f>-'1. Press Assumptions'!$D$89*C$5</f>
        <v/>
      </c>
      <c r="C53" s="306">
        <f>'1. Press Assumptions'!$B$35*'1. Press Assumptions'!$D$89*$A7^0</f>
        <v/>
      </c>
      <c r="D53" s="306">
        <f>'1. Press Assumptions'!$B$35*'1. Press Assumptions'!$D$89*$A7^1</f>
        <v/>
      </c>
      <c r="E53" s="306">
        <f>'1. Press Assumptions'!$B$35*'1. Press Assumptions'!$D$89*$A7^2</f>
        <v/>
      </c>
      <c r="F53" s="306">
        <f>'1. Press Assumptions'!$B$35*'1. Press Assumptions'!$D$89*$A7^3</f>
        <v/>
      </c>
      <c r="G53" s="306">
        <f>'1. Press Assumptions'!$B$35*'1. Press Assumptions'!$D$89*$A7^4</f>
        <v/>
      </c>
      <c r="H53" s="306">
        <f>'1. Press Assumptions'!$B$35*'1. Press Assumptions'!$D$89*$A7^5</f>
        <v/>
      </c>
      <c r="I53" s="306">
        <f>'1. Press Assumptions'!$B$35*'1. Press Assumptions'!$D$89*$A7^6</f>
        <v/>
      </c>
      <c r="J53" s="306">
        <f>'1. Press Assumptions'!$B$35*'1. Press Assumptions'!$D$89*$A7^7</f>
        <v/>
      </c>
      <c r="K53" s="306">
        <f>'1. Press Assumptions'!$B$35*'1. Press Assumptions'!$D$89*$A7^8</f>
        <v/>
      </c>
      <c r="L53" s="306">
        <f>'1. Press Assumptions'!$B$35*'1. Press Assumptions'!$D$89*$A7^9</f>
        <v/>
      </c>
      <c r="M53" s="306">
        <f>'1. Press Assumptions'!$B$35*'1. Press Assumptions'!$D$89*$A7^10</f>
        <v/>
      </c>
      <c r="N53" s="306">
        <f>'1. Press Assumptions'!$B$35*'1. Press Assumptions'!$D$89*$A7^11</f>
        <v/>
      </c>
      <c r="O53" s="306">
        <f>'1. Press Assumptions'!$B$35*'1. Press Assumptions'!$D$89*$A7^12</f>
        <v/>
      </c>
      <c r="P53" s="306">
        <f>'1. Press Assumptions'!$B$35*'1. Press Assumptions'!$D$89*$A7^13</f>
        <v/>
      </c>
      <c r="Q53" s="306">
        <f>'1. Press Assumptions'!$B$35*'1. Press Assumptions'!$D$89*$A7^14</f>
        <v/>
      </c>
    </row>
    <row r="54">
      <c r="B54" s="306">
        <f>-'1. Press Assumptions'!$D$89*D$5</f>
        <v/>
      </c>
      <c r="C54" s="306">
        <f>'1. Press Assumptions'!$B$35*'1. Press Assumptions'!$D$89*$A7^0</f>
        <v/>
      </c>
      <c r="D54" s="306">
        <f>'1. Press Assumptions'!$B$35*'1. Press Assumptions'!$D$89*$A7^1</f>
        <v/>
      </c>
      <c r="E54" s="306">
        <f>'1. Press Assumptions'!$B$35*'1. Press Assumptions'!$D$89*$A7^2</f>
        <v/>
      </c>
      <c r="F54" s="306">
        <f>'1. Press Assumptions'!$B$35*'1. Press Assumptions'!$D$89*$A7^3</f>
        <v/>
      </c>
      <c r="G54" s="306">
        <f>'1. Press Assumptions'!$B$35*'1. Press Assumptions'!$D$89*$A7^4</f>
        <v/>
      </c>
      <c r="H54" s="306">
        <f>'1. Press Assumptions'!$B$35*'1. Press Assumptions'!$D$89*$A7^5</f>
        <v/>
      </c>
      <c r="I54" s="306">
        <f>'1. Press Assumptions'!$B$35*'1. Press Assumptions'!$D$89*$A7^6</f>
        <v/>
      </c>
      <c r="J54" s="306">
        <f>'1. Press Assumptions'!$B$35*'1. Press Assumptions'!$D$89*$A7^7</f>
        <v/>
      </c>
      <c r="K54" s="306">
        <f>'1. Press Assumptions'!$B$35*'1. Press Assumptions'!$D$89*$A7^8</f>
        <v/>
      </c>
      <c r="L54" s="306">
        <f>'1. Press Assumptions'!$B$35*'1. Press Assumptions'!$D$89*$A7^9</f>
        <v/>
      </c>
      <c r="M54" s="306">
        <f>'1. Press Assumptions'!$B$35*'1. Press Assumptions'!$D$89*$A7^10</f>
        <v/>
      </c>
      <c r="N54" s="306">
        <f>'1. Press Assumptions'!$B$35*'1. Press Assumptions'!$D$89*$A7^11</f>
        <v/>
      </c>
      <c r="O54" s="306">
        <f>'1. Press Assumptions'!$B$35*'1. Press Assumptions'!$D$89*$A7^12</f>
        <v/>
      </c>
      <c r="P54" s="306">
        <f>'1. Press Assumptions'!$B$35*'1. Press Assumptions'!$D$89*$A7^13</f>
        <v/>
      </c>
      <c r="Q54" s="306">
        <f>'1. Press Assumptions'!$B$35*'1. Press Assumptions'!$D$89*$A7^14</f>
        <v/>
      </c>
    </row>
    <row r="55">
      <c r="B55" s="306">
        <f>-'1. Press Assumptions'!$D$89*E$5</f>
        <v/>
      </c>
      <c r="C55" s="306">
        <f>'1. Press Assumptions'!$B$35*'1. Press Assumptions'!$D$89*$A7^0</f>
        <v/>
      </c>
      <c r="D55" s="306">
        <f>'1. Press Assumptions'!$B$35*'1. Press Assumptions'!$D$89*$A7^1</f>
        <v/>
      </c>
      <c r="E55" s="306">
        <f>'1. Press Assumptions'!$B$35*'1. Press Assumptions'!$D$89*$A7^2</f>
        <v/>
      </c>
      <c r="F55" s="306">
        <f>'1. Press Assumptions'!$B$35*'1. Press Assumptions'!$D$89*$A7^3</f>
        <v/>
      </c>
      <c r="G55" s="306">
        <f>'1. Press Assumptions'!$B$35*'1. Press Assumptions'!$D$89*$A7^4</f>
        <v/>
      </c>
      <c r="H55" s="306">
        <f>'1. Press Assumptions'!$B$35*'1. Press Assumptions'!$D$89*$A7^5</f>
        <v/>
      </c>
      <c r="I55" s="306">
        <f>'1. Press Assumptions'!$B$35*'1. Press Assumptions'!$D$89*$A7^6</f>
        <v/>
      </c>
      <c r="J55" s="306">
        <f>'1. Press Assumptions'!$B$35*'1. Press Assumptions'!$D$89*$A7^7</f>
        <v/>
      </c>
      <c r="K55" s="306">
        <f>'1. Press Assumptions'!$B$35*'1. Press Assumptions'!$D$89*$A7^8</f>
        <v/>
      </c>
      <c r="L55" s="306">
        <f>'1. Press Assumptions'!$B$35*'1. Press Assumptions'!$D$89*$A7^9</f>
        <v/>
      </c>
      <c r="M55" s="306">
        <f>'1. Press Assumptions'!$B$35*'1. Press Assumptions'!$D$89*$A7^10</f>
        <v/>
      </c>
      <c r="N55" s="306">
        <f>'1. Press Assumptions'!$B$35*'1. Press Assumptions'!$D$89*$A7^11</f>
        <v/>
      </c>
      <c r="O55" s="306">
        <f>'1. Press Assumptions'!$B$35*'1. Press Assumptions'!$D$89*$A7^12</f>
        <v/>
      </c>
      <c r="P55" s="306">
        <f>'1. Press Assumptions'!$B$35*'1. Press Assumptions'!$D$89*$A7^13</f>
        <v/>
      </c>
      <c r="Q55" s="306">
        <f>'1. Press Assumptions'!$B$35*'1. Press Assumptions'!$D$89*$A7^14</f>
        <v/>
      </c>
    </row>
    <row r="56">
      <c r="B56" s="306">
        <f>-'1. Press Assumptions'!$D$89*F$5</f>
        <v/>
      </c>
      <c r="C56" s="306">
        <f>'1. Press Assumptions'!$B$35*'1. Press Assumptions'!$D$89*$A7^0</f>
        <v/>
      </c>
      <c r="D56" s="306">
        <f>'1. Press Assumptions'!$B$35*'1. Press Assumptions'!$D$89*$A7^1</f>
        <v/>
      </c>
      <c r="E56" s="306">
        <f>'1. Press Assumptions'!$B$35*'1. Press Assumptions'!$D$89*$A7^2</f>
        <v/>
      </c>
      <c r="F56" s="306">
        <f>'1. Press Assumptions'!$B$35*'1. Press Assumptions'!$D$89*$A7^3</f>
        <v/>
      </c>
      <c r="G56" s="306">
        <f>'1. Press Assumptions'!$B$35*'1. Press Assumptions'!$D$89*$A7^4</f>
        <v/>
      </c>
      <c r="H56" s="306">
        <f>'1. Press Assumptions'!$B$35*'1. Press Assumptions'!$D$89*$A7^5</f>
        <v/>
      </c>
      <c r="I56" s="306">
        <f>'1. Press Assumptions'!$B$35*'1. Press Assumptions'!$D$89*$A7^6</f>
        <v/>
      </c>
      <c r="J56" s="306">
        <f>'1. Press Assumptions'!$B$35*'1. Press Assumptions'!$D$89*$A7^7</f>
        <v/>
      </c>
      <c r="K56" s="306">
        <f>'1. Press Assumptions'!$B$35*'1. Press Assumptions'!$D$89*$A7^8</f>
        <v/>
      </c>
      <c r="L56" s="306">
        <f>'1. Press Assumptions'!$B$35*'1. Press Assumptions'!$D$89*$A7^9</f>
        <v/>
      </c>
      <c r="M56" s="306">
        <f>'1. Press Assumptions'!$B$35*'1. Press Assumptions'!$D$89*$A7^10</f>
        <v/>
      </c>
      <c r="N56" s="306">
        <f>'1. Press Assumptions'!$B$35*'1. Press Assumptions'!$D$89*$A7^11</f>
        <v/>
      </c>
      <c r="O56" s="306">
        <f>'1. Press Assumptions'!$B$35*'1. Press Assumptions'!$D$89*$A7^12</f>
        <v/>
      </c>
      <c r="P56" s="306">
        <f>'1. Press Assumptions'!$B$35*'1. Press Assumptions'!$D$89*$A7^13</f>
        <v/>
      </c>
      <c r="Q56" s="306">
        <f>'1. Press Assumptions'!$B$35*'1. Press Assumptions'!$D$89*$A7^14</f>
        <v/>
      </c>
    </row>
    <row r="57">
      <c r="B57" s="306">
        <f>-'1. Press Assumptions'!$D$89*G$5</f>
        <v/>
      </c>
      <c r="C57" s="306">
        <f>'1. Press Assumptions'!$B$35*'1. Press Assumptions'!$D$89*$A7^0</f>
        <v/>
      </c>
      <c r="D57" s="306">
        <f>'1. Press Assumptions'!$B$35*'1. Press Assumptions'!$D$89*$A7^1</f>
        <v/>
      </c>
      <c r="E57" s="306">
        <f>'1. Press Assumptions'!$B$35*'1. Press Assumptions'!$D$89*$A7^2</f>
        <v/>
      </c>
      <c r="F57" s="306">
        <f>'1. Press Assumptions'!$B$35*'1. Press Assumptions'!$D$89*$A7^3</f>
        <v/>
      </c>
      <c r="G57" s="306">
        <f>'1. Press Assumptions'!$B$35*'1. Press Assumptions'!$D$89*$A7^4</f>
        <v/>
      </c>
      <c r="H57" s="306">
        <f>'1. Press Assumptions'!$B$35*'1. Press Assumptions'!$D$89*$A7^5</f>
        <v/>
      </c>
      <c r="I57" s="306">
        <f>'1. Press Assumptions'!$B$35*'1. Press Assumptions'!$D$89*$A7^6</f>
        <v/>
      </c>
      <c r="J57" s="306">
        <f>'1. Press Assumptions'!$B$35*'1. Press Assumptions'!$D$89*$A7^7</f>
        <v/>
      </c>
      <c r="K57" s="306">
        <f>'1. Press Assumptions'!$B$35*'1. Press Assumptions'!$D$89*$A7^8</f>
        <v/>
      </c>
      <c r="L57" s="306">
        <f>'1. Press Assumptions'!$B$35*'1. Press Assumptions'!$D$89*$A7^9</f>
        <v/>
      </c>
      <c r="M57" s="306">
        <f>'1. Press Assumptions'!$B$35*'1. Press Assumptions'!$D$89*$A7^10</f>
        <v/>
      </c>
      <c r="N57" s="306">
        <f>'1. Press Assumptions'!$B$35*'1. Press Assumptions'!$D$89*$A7^11</f>
        <v/>
      </c>
      <c r="O57" s="306">
        <f>'1. Press Assumptions'!$B$35*'1. Press Assumptions'!$D$89*$A7^12</f>
        <v/>
      </c>
      <c r="P57" s="306">
        <f>'1. Press Assumptions'!$B$35*'1. Press Assumptions'!$D$89*$A7^13</f>
        <v/>
      </c>
      <c r="Q57" s="306">
        <f>'1. Press Assumptions'!$B$35*'1. Press Assumptions'!$D$89*$A7^14</f>
        <v/>
      </c>
    </row>
    <row r="58">
      <c r="B58" s="306">
        <f>-'1. Press Assumptions'!$D$89*H$5</f>
        <v/>
      </c>
      <c r="C58" s="306">
        <f>'1. Press Assumptions'!$B$35*'1. Press Assumptions'!$D$89*$A7^0</f>
        <v/>
      </c>
      <c r="D58" s="306">
        <f>'1. Press Assumptions'!$B$35*'1. Press Assumptions'!$D$89*$A7^1</f>
        <v/>
      </c>
      <c r="E58" s="306">
        <f>'1. Press Assumptions'!$B$35*'1. Press Assumptions'!$D$89*$A7^2</f>
        <v/>
      </c>
      <c r="F58" s="306">
        <f>'1. Press Assumptions'!$B$35*'1. Press Assumptions'!$D$89*$A7^3</f>
        <v/>
      </c>
      <c r="G58" s="306">
        <f>'1. Press Assumptions'!$B$35*'1. Press Assumptions'!$D$89*$A7^4</f>
        <v/>
      </c>
      <c r="H58" s="306">
        <f>'1. Press Assumptions'!$B$35*'1. Press Assumptions'!$D$89*$A7^5</f>
        <v/>
      </c>
      <c r="I58" s="306">
        <f>'1. Press Assumptions'!$B$35*'1. Press Assumptions'!$D$89*$A7^6</f>
        <v/>
      </c>
      <c r="J58" s="306">
        <f>'1. Press Assumptions'!$B$35*'1. Press Assumptions'!$D$89*$A7^7</f>
        <v/>
      </c>
      <c r="K58" s="306">
        <f>'1. Press Assumptions'!$B$35*'1. Press Assumptions'!$D$89*$A7^8</f>
        <v/>
      </c>
      <c r="L58" s="306">
        <f>'1. Press Assumptions'!$B$35*'1. Press Assumptions'!$D$89*$A7^9</f>
        <v/>
      </c>
      <c r="M58" s="306">
        <f>'1. Press Assumptions'!$B$35*'1. Press Assumptions'!$D$89*$A7^10</f>
        <v/>
      </c>
      <c r="N58" s="306">
        <f>'1. Press Assumptions'!$B$35*'1. Press Assumptions'!$D$89*$A7^11</f>
        <v/>
      </c>
      <c r="O58" s="306">
        <f>'1. Press Assumptions'!$B$35*'1. Press Assumptions'!$D$89*$A7^12</f>
        <v/>
      </c>
      <c r="P58" s="306">
        <f>'1. Press Assumptions'!$B$35*'1. Press Assumptions'!$D$89*$A7^13</f>
        <v/>
      </c>
      <c r="Q58" s="306">
        <f>'1. Press Assumptions'!$B$35*'1. Press Assumptions'!$D$89*$A7^14</f>
        <v/>
      </c>
    </row>
    <row r="59">
      <c r="B59" s="306">
        <f>-'1. Press Assumptions'!$D$89*B$5</f>
        <v/>
      </c>
      <c r="C59" s="306">
        <f>'1. Press Assumptions'!$B$35*'1. Press Assumptions'!$D$89*$A8^0</f>
        <v/>
      </c>
      <c r="D59" s="306">
        <f>'1. Press Assumptions'!$B$35*'1. Press Assumptions'!$D$89*$A8^1</f>
        <v/>
      </c>
      <c r="E59" s="306">
        <f>'1. Press Assumptions'!$B$35*'1. Press Assumptions'!$D$89*$A8^2</f>
        <v/>
      </c>
      <c r="F59" s="306">
        <f>'1. Press Assumptions'!$B$35*'1. Press Assumptions'!$D$89*$A8^3</f>
        <v/>
      </c>
      <c r="G59" s="306">
        <f>'1. Press Assumptions'!$B$35*'1. Press Assumptions'!$D$89*$A8^4</f>
        <v/>
      </c>
      <c r="H59" s="306">
        <f>'1. Press Assumptions'!$B$35*'1. Press Assumptions'!$D$89*$A8^5</f>
        <v/>
      </c>
      <c r="I59" s="306">
        <f>'1. Press Assumptions'!$B$35*'1. Press Assumptions'!$D$89*$A8^6</f>
        <v/>
      </c>
      <c r="J59" s="306">
        <f>'1. Press Assumptions'!$B$35*'1. Press Assumptions'!$D$89*$A8^7</f>
        <v/>
      </c>
      <c r="K59" s="306">
        <f>'1. Press Assumptions'!$B$35*'1. Press Assumptions'!$D$89*$A8^8</f>
        <v/>
      </c>
      <c r="L59" s="306">
        <f>'1. Press Assumptions'!$B$35*'1. Press Assumptions'!$D$89*$A8^9</f>
        <v/>
      </c>
      <c r="M59" s="306">
        <f>'1. Press Assumptions'!$B$35*'1. Press Assumptions'!$D$89*$A8^10</f>
        <v/>
      </c>
      <c r="N59" s="306">
        <f>'1. Press Assumptions'!$B$35*'1. Press Assumptions'!$D$89*$A8^11</f>
        <v/>
      </c>
      <c r="O59" s="306">
        <f>'1. Press Assumptions'!$B$35*'1. Press Assumptions'!$D$89*$A8^12</f>
        <v/>
      </c>
      <c r="P59" s="306">
        <f>'1. Press Assumptions'!$B$35*'1. Press Assumptions'!$D$89*$A8^13</f>
        <v/>
      </c>
      <c r="Q59" s="306">
        <f>'1. Press Assumptions'!$B$35*'1. Press Assumptions'!$D$89*$A8^14</f>
        <v/>
      </c>
    </row>
    <row r="60">
      <c r="B60" s="306">
        <f>-'1. Press Assumptions'!$D$89*C$5</f>
        <v/>
      </c>
      <c r="C60" s="306">
        <f>'1. Press Assumptions'!$B$35*'1. Press Assumptions'!$D$89*$A8^0</f>
        <v/>
      </c>
      <c r="D60" s="306">
        <f>'1. Press Assumptions'!$B$35*'1. Press Assumptions'!$D$89*$A8^1</f>
        <v/>
      </c>
      <c r="E60" s="306">
        <f>'1. Press Assumptions'!$B$35*'1. Press Assumptions'!$D$89*$A8^2</f>
        <v/>
      </c>
      <c r="F60" s="306">
        <f>'1. Press Assumptions'!$B$35*'1. Press Assumptions'!$D$89*$A8^3</f>
        <v/>
      </c>
      <c r="G60" s="306">
        <f>'1. Press Assumptions'!$B$35*'1. Press Assumptions'!$D$89*$A8^4</f>
        <v/>
      </c>
      <c r="H60" s="306">
        <f>'1. Press Assumptions'!$B$35*'1. Press Assumptions'!$D$89*$A8^5</f>
        <v/>
      </c>
      <c r="I60" s="306">
        <f>'1. Press Assumptions'!$B$35*'1. Press Assumptions'!$D$89*$A8^6</f>
        <v/>
      </c>
      <c r="J60" s="306">
        <f>'1. Press Assumptions'!$B$35*'1. Press Assumptions'!$D$89*$A8^7</f>
        <v/>
      </c>
      <c r="K60" s="306">
        <f>'1. Press Assumptions'!$B$35*'1. Press Assumptions'!$D$89*$A8^8</f>
        <v/>
      </c>
      <c r="L60" s="306">
        <f>'1. Press Assumptions'!$B$35*'1. Press Assumptions'!$D$89*$A8^9</f>
        <v/>
      </c>
      <c r="M60" s="306">
        <f>'1. Press Assumptions'!$B$35*'1. Press Assumptions'!$D$89*$A8^10</f>
        <v/>
      </c>
      <c r="N60" s="306">
        <f>'1. Press Assumptions'!$B$35*'1. Press Assumptions'!$D$89*$A8^11</f>
        <v/>
      </c>
      <c r="O60" s="306">
        <f>'1. Press Assumptions'!$B$35*'1. Press Assumptions'!$D$89*$A8^12</f>
        <v/>
      </c>
      <c r="P60" s="306">
        <f>'1. Press Assumptions'!$B$35*'1. Press Assumptions'!$D$89*$A8^13</f>
        <v/>
      </c>
      <c r="Q60" s="306">
        <f>'1. Press Assumptions'!$B$35*'1. Press Assumptions'!$D$89*$A8^14</f>
        <v/>
      </c>
    </row>
    <row r="61">
      <c r="B61" s="306">
        <f>-'1. Press Assumptions'!$D$89*D$5</f>
        <v/>
      </c>
      <c r="C61" s="306">
        <f>'1. Press Assumptions'!$B$35*'1. Press Assumptions'!$D$89*$A8^0</f>
        <v/>
      </c>
      <c r="D61" s="306">
        <f>'1. Press Assumptions'!$B$35*'1. Press Assumptions'!$D$89*$A8^1</f>
        <v/>
      </c>
      <c r="E61" s="306">
        <f>'1. Press Assumptions'!$B$35*'1. Press Assumptions'!$D$89*$A8^2</f>
        <v/>
      </c>
      <c r="F61" s="306">
        <f>'1. Press Assumptions'!$B$35*'1. Press Assumptions'!$D$89*$A8^3</f>
        <v/>
      </c>
      <c r="G61" s="306">
        <f>'1. Press Assumptions'!$B$35*'1. Press Assumptions'!$D$89*$A8^4</f>
        <v/>
      </c>
      <c r="H61" s="306">
        <f>'1. Press Assumptions'!$B$35*'1. Press Assumptions'!$D$89*$A8^5</f>
        <v/>
      </c>
      <c r="I61" s="306">
        <f>'1. Press Assumptions'!$B$35*'1. Press Assumptions'!$D$89*$A8^6</f>
        <v/>
      </c>
      <c r="J61" s="306">
        <f>'1. Press Assumptions'!$B$35*'1. Press Assumptions'!$D$89*$A8^7</f>
        <v/>
      </c>
      <c r="K61" s="306">
        <f>'1. Press Assumptions'!$B$35*'1. Press Assumptions'!$D$89*$A8^8</f>
        <v/>
      </c>
      <c r="L61" s="306">
        <f>'1. Press Assumptions'!$B$35*'1. Press Assumptions'!$D$89*$A8^9</f>
        <v/>
      </c>
      <c r="M61" s="306">
        <f>'1. Press Assumptions'!$B$35*'1. Press Assumptions'!$D$89*$A8^10</f>
        <v/>
      </c>
      <c r="N61" s="306">
        <f>'1. Press Assumptions'!$B$35*'1. Press Assumptions'!$D$89*$A8^11</f>
        <v/>
      </c>
      <c r="O61" s="306">
        <f>'1. Press Assumptions'!$B$35*'1. Press Assumptions'!$D$89*$A8^12</f>
        <v/>
      </c>
      <c r="P61" s="306">
        <f>'1. Press Assumptions'!$B$35*'1. Press Assumptions'!$D$89*$A8^13</f>
        <v/>
      </c>
      <c r="Q61" s="306">
        <f>'1. Press Assumptions'!$B$35*'1. Press Assumptions'!$D$89*$A8^14</f>
        <v/>
      </c>
    </row>
    <row r="62">
      <c r="B62" s="306">
        <f>-'1. Press Assumptions'!$D$89*E$5</f>
        <v/>
      </c>
      <c r="C62" s="306">
        <f>'1. Press Assumptions'!$B$35*'1. Press Assumptions'!$D$89*$A8^0</f>
        <v/>
      </c>
      <c r="D62" s="306">
        <f>'1. Press Assumptions'!$B$35*'1. Press Assumptions'!$D$89*$A8^1</f>
        <v/>
      </c>
      <c r="E62" s="306">
        <f>'1. Press Assumptions'!$B$35*'1. Press Assumptions'!$D$89*$A8^2</f>
        <v/>
      </c>
      <c r="F62" s="306">
        <f>'1. Press Assumptions'!$B$35*'1. Press Assumptions'!$D$89*$A8^3</f>
        <v/>
      </c>
      <c r="G62" s="306">
        <f>'1. Press Assumptions'!$B$35*'1. Press Assumptions'!$D$89*$A8^4</f>
        <v/>
      </c>
      <c r="H62" s="306">
        <f>'1. Press Assumptions'!$B$35*'1. Press Assumptions'!$D$89*$A8^5</f>
        <v/>
      </c>
      <c r="I62" s="306">
        <f>'1. Press Assumptions'!$B$35*'1. Press Assumptions'!$D$89*$A8^6</f>
        <v/>
      </c>
      <c r="J62" s="306">
        <f>'1. Press Assumptions'!$B$35*'1. Press Assumptions'!$D$89*$A8^7</f>
        <v/>
      </c>
      <c r="K62" s="306">
        <f>'1. Press Assumptions'!$B$35*'1. Press Assumptions'!$D$89*$A8^8</f>
        <v/>
      </c>
      <c r="L62" s="306">
        <f>'1. Press Assumptions'!$B$35*'1. Press Assumptions'!$D$89*$A8^9</f>
        <v/>
      </c>
      <c r="M62" s="306">
        <f>'1. Press Assumptions'!$B$35*'1. Press Assumptions'!$D$89*$A8^10</f>
        <v/>
      </c>
      <c r="N62" s="306">
        <f>'1. Press Assumptions'!$B$35*'1. Press Assumptions'!$D$89*$A8^11</f>
        <v/>
      </c>
      <c r="O62" s="306">
        <f>'1. Press Assumptions'!$B$35*'1. Press Assumptions'!$D$89*$A8^12</f>
        <v/>
      </c>
      <c r="P62" s="306">
        <f>'1. Press Assumptions'!$B$35*'1. Press Assumptions'!$D$89*$A8^13</f>
        <v/>
      </c>
      <c r="Q62" s="306">
        <f>'1. Press Assumptions'!$B$35*'1. Press Assumptions'!$D$89*$A8^14</f>
        <v/>
      </c>
    </row>
    <row r="63">
      <c r="B63" s="306">
        <f>-'1. Press Assumptions'!$D$89*F$5</f>
        <v/>
      </c>
      <c r="C63" s="306">
        <f>'1. Press Assumptions'!$B$35*'1. Press Assumptions'!$D$89*$A8^0</f>
        <v/>
      </c>
      <c r="D63" s="306">
        <f>'1. Press Assumptions'!$B$35*'1. Press Assumptions'!$D$89*$A8^1</f>
        <v/>
      </c>
      <c r="E63" s="306">
        <f>'1. Press Assumptions'!$B$35*'1. Press Assumptions'!$D$89*$A8^2</f>
        <v/>
      </c>
      <c r="F63" s="306">
        <f>'1. Press Assumptions'!$B$35*'1. Press Assumptions'!$D$89*$A8^3</f>
        <v/>
      </c>
      <c r="G63" s="306">
        <f>'1. Press Assumptions'!$B$35*'1. Press Assumptions'!$D$89*$A8^4</f>
        <v/>
      </c>
      <c r="H63" s="306">
        <f>'1. Press Assumptions'!$B$35*'1. Press Assumptions'!$D$89*$A8^5</f>
        <v/>
      </c>
      <c r="I63" s="306">
        <f>'1. Press Assumptions'!$B$35*'1. Press Assumptions'!$D$89*$A8^6</f>
        <v/>
      </c>
      <c r="J63" s="306">
        <f>'1. Press Assumptions'!$B$35*'1. Press Assumptions'!$D$89*$A8^7</f>
        <v/>
      </c>
      <c r="K63" s="306">
        <f>'1. Press Assumptions'!$B$35*'1. Press Assumptions'!$D$89*$A8^8</f>
        <v/>
      </c>
      <c r="L63" s="306">
        <f>'1. Press Assumptions'!$B$35*'1. Press Assumptions'!$D$89*$A8^9</f>
        <v/>
      </c>
      <c r="M63" s="306">
        <f>'1. Press Assumptions'!$B$35*'1. Press Assumptions'!$D$89*$A8^10</f>
        <v/>
      </c>
      <c r="N63" s="306">
        <f>'1. Press Assumptions'!$B$35*'1. Press Assumptions'!$D$89*$A8^11</f>
        <v/>
      </c>
      <c r="O63" s="306">
        <f>'1. Press Assumptions'!$B$35*'1. Press Assumptions'!$D$89*$A8^12</f>
        <v/>
      </c>
      <c r="P63" s="306">
        <f>'1. Press Assumptions'!$B$35*'1. Press Assumptions'!$D$89*$A8^13</f>
        <v/>
      </c>
      <c r="Q63" s="306">
        <f>'1. Press Assumptions'!$B$35*'1. Press Assumptions'!$D$89*$A8^14</f>
        <v/>
      </c>
    </row>
    <row r="64">
      <c r="B64" s="306">
        <f>-'1. Press Assumptions'!$D$89*G$5</f>
        <v/>
      </c>
      <c r="C64" s="306">
        <f>'1. Press Assumptions'!$B$35*'1. Press Assumptions'!$D$89*$A8^0</f>
        <v/>
      </c>
      <c r="D64" s="306">
        <f>'1. Press Assumptions'!$B$35*'1. Press Assumptions'!$D$89*$A8^1</f>
        <v/>
      </c>
      <c r="E64" s="306">
        <f>'1. Press Assumptions'!$B$35*'1. Press Assumptions'!$D$89*$A8^2</f>
        <v/>
      </c>
      <c r="F64" s="306">
        <f>'1. Press Assumptions'!$B$35*'1. Press Assumptions'!$D$89*$A8^3</f>
        <v/>
      </c>
      <c r="G64" s="306">
        <f>'1. Press Assumptions'!$B$35*'1. Press Assumptions'!$D$89*$A8^4</f>
        <v/>
      </c>
      <c r="H64" s="306">
        <f>'1. Press Assumptions'!$B$35*'1. Press Assumptions'!$D$89*$A8^5</f>
        <v/>
      </c>
      <c r="I64" s="306">
        <f>'1. Press Assumptions'!$B$35*'1. Press Assumptions'!$D$89*$A8^6</f>
        <v/>
      </c>
      <c r="J64" s="306">
        <f>'1. Press Assumptions'!$B$35*'1. Press Assumptions'!$D$89*$A8^7</f>
        <v/>
      </c>
      <c r="K64" s="306">
        <f>'1. Press Assumptions'!$B$35*'1. Press Assumptions'!$D$89*$A8^8</f>
        <v/>
      </c>
      <c r="L64" s="306">
        <f>'1. Press Assumptions'!$B$35*'1. Press Assumptions'!$D$89*$A8^9</f>
        <v/>
      </c>
      <c r="M64" s="306">
        <f>'1. Press Assumptions'!$B$35*'1. Press Assumptions'!$D$89*$A8^10</f>
        <v/>
      </c>
      <c r="N64" s="306">
        <f>'1. Press Assumptions'!$B$35*'1. Press Assumptions'!$D$89*$A8^11</f>
        <v/>
      </c>
      <c r="O64" s="306">
        <f>'1. Press Assumptions'!$B$35*'1. Press Assumptions'!$D$89*$A8^12</f>
        <v/>
      </c>
      <c r="P64" s="306">
        <f>'1. Press Assumptions'!$B$35*'1. Press Assumptions'!$D$89*$A8^13</f>
        <v/>
      </c>
      <c r="Q64" s="306">
        <f>'1. Press Assumptions'!$B$35*'1. Press Assumptions'!$D$89*$A8^14</f>
        <v/>
      </c>
    </row>
    <row r="65">
      <c r="B65" s="306">
        <f>-'1. Press Assumptions'!$D$89*H$5</f>
        <v/>
      </c>
      <c r="C65" s="306">
        <f>'1. Press Assumptions'!$B$35*'1. Press Assumptions'!$D$89*$A8^0</f>
        <v/>
      </c>
      <c r="D65" s="306">
        <f>'1. Press Assumptions'!$B$35*'1. Press Assumptions'!$D$89*$A8^1</f>
        <v/>
      </c>
      <c r="E65" s="306">
        <f>'1. Press Assumptions'!$B$35*'1. Press Assumptions'!$D$89*$A8^2</f>
        <v/>
      </c>
      <c r="F65" s="306">
        <f>'1. Press Assumptions'!$B$35*'1. Press Assumptions'!$D$89*$A8^3</f>
        <v/>
      </c>
      <c r="G65" s="306">
        <f>'1. Press Assumptions'!$B$35*'1. Press Assumptions'!$D$89*$A8^4</f>
        <v/>
      </c>
      <c r="H65" s="306">
        <f>'1. Press Assumptions'!$B$35*'1. Press Assumptions'!$D$89*$A8^5</f>
        <v/>
      </c>
      <c r="I65" s="306">
        <f>'1. Press Assumptions'!$B$35*'1. Press Assumptions'!$D$89*$A8^6</f>
        <v/>
      </c>
      <c r="J65" s="306">
        <f>'1. Press Assumptions'!$B$35*'1. Press Assumptions'!$D$89*$A8^7</f>
        <v/>
      </c>
      <c r="K65" s="306">
        <f>'1. Press Assumptions'!$B$35*'1. Press Assumptions'!$D$89*$A8^8</f>
        <v/>
      </c>
      <c r="L65" s="306">
        <f>'1. Press Assumptions'!$B$35*'1. Press Assumptions'!$D$89*$A8^9</f>
        <v/>
      </c>
      <c r="M65" s="306">
        <f>'1. Press Assumptions'!$B$35*'1. Press Assumptions'!$D$89*$A8^10</f>
        <v/>
      </c>
      <c r="N65" s="306">
        <f>'1. Press Assumptions'!$B$35*'1. Press Assumptions'!$D$89*$A8^11</f>
        <v/>
      </c>
      <c r="O65" s="306">
        <f>'1. Press Assumptions'!$B$35*'1. Press Assumptions'!$D$89*$A8^12</f>
        <v/>
      </c>
      <c r="P65" s="306">
        <f>'1. Press Assumptions'!$B$35*'1. Press Assumptions'!$D$89*$A8^13</f>
        <v/>
      </c>
      <c r="Q65" s="306">
        <f>'1. Press Assumptions'!$B$35*'1. Press Assumptions'!$D$89*$A8^14</f>
        <v/>
      </c>
    </row>
    <row r="66">
      <c r="B66" s="306">
        <f>-'1. Press Assumptions'!$D$89*B$5</f>
        <v/>
      </c>
      <c r="C66" s="306">
        <f>'1. Press Assumptions'!$B$35*'1. Press Assumptions'!$D$89*$A9^0</f>
        <v/>
      </c>
      <c r="D66" s="306">
        <f>'1. Press Assumptions'!$B$35*'1. Press Assumptions'!$D$89*$A9^1</f>
        <v/>
      </c>
      <c r="E66" s="306">
        <f>'1. Press Assumptions'!$B$35*'1. Press Assumptions'!$D$89*$A9^2</f>
        <v/>
      </c>
      <c r="F66" s="306">
        <f>'1. Press Assumptions'!$B$35*'1. Press Assumptions'!$D$89*$A9^3</f>
        <v/>
      </c>
      <c r="G66" s="306">
        <f>'1. Press Assumptions'!$B$35*'1. Press Assumptions'!$D$89*$A9^4</f>
        <v/>
      </c>
      <c r="H66" s="306">
        <f>'1. Press Assumptions'!$B$35*'1. Press Assumptions'!$D$89*$A9^5</f>
        <v/>
      </c>
      <c r="I66" s="306">
        <f>'1. Press Assumptions'!$B$35*'1. Press Assumptions'!$D$89*$A9^6</f>
        <v/>
      </c>
      <c r="J66" s="306">
        <f>'1. Press Assumptions'!$B$35*'1. Press Assumptions'!$D$89*$A9^7</f>
        <v/>
      </c>
      <c r="K66" s="306">
        <f>'1. Press Assumptions'!$B$35*'1. Press Assumptions'!$D$89*$A9^8</f>
        <v/>
      </c>
      <c r="L66" s="306">
        <f>'1. Press Assumptions'!$B$35*'1. Press Assumptions'!$D$89*$A9^9</f>
        <v/>
      </c>
      <c r="M66" s="306">
        <f>'1. Press Assumptions'!$B$35*'1. Press Assumptions'!$D$89*$A9^10</f>
        <v/>
      </c>
      <c r="N66" s="306">
        <f>'1. Press Assumptions'!$B$35*'1. Press Assumptions'!$D$89*$A9^11</f>
        <v/>
      </c>
      <c r="O66" s="306">
        <f>'1. Press Assumptions'!$B$35*'1. Press Assumptions'!$D$89*$A9^12</f>
        <v/>
      </c>
      <c r="P66" s="306">
        <f>'1. Press Assumptions'!$B$35*'1. Press Assumptions'!$D$89*$A9^13</f>
        <v/>
      </c>
      <c r="Q66" s="306">
        <f>'1. Press Assumptions'!$B$35*'1. Press Assumptions'!$D$89*$A9^14</f>
        <v/>
      </c>
    </row>
    <row r="67">
      <c r="B67" s="306">
        <f>-'1. Press Assumptions'!$D$89*C$5</f>
        <v/>
      </c>
      <c r="C67" s="306">
        <f>'1. Press Assumptions'!$B$35*'1. Press Assumptions'!$D$89*$A9^0</f>
        <v/>
      </c>
      <c r="D67" s="306">
        <f>'1. Press Assumptions'!$B$35*'1. Press Assumptions'!$D$89*$A9^1</f>
        <v/>
      </c>
      <c r="E67" s="306">
        <f>'1. Press Assumptions'!$B$35*'1. Press Assumptions'!$D$89*$A9^2</f>
        <v/>
      </c>
      <c r="F67" s="306">
        <f>'1. Press Assumptions'!$B$35*'1. Press Assumptions'!$D$89*$A9^3</f>
        <v/>
      </c>
      <c r="G67" s="306">
        <f>'1. Press Assumptions'!$B$35*'1. Press Assumptions'!$D$89*$A9^4</f>
        <v/>
      </c>
      <c r="H67" s="306">
        <f>'1. Press Assumptions'!$B$35*'1. Press Assumptions'!$D$89*$A9^5</f>
        <v/>
      </c>
      <c r="I67" s="306">
        <f>'1. Press Assumptions'!$B$35*'1. Press Assumptions'!$D$89*$A9^6</f>
        <v/>
      </c>
      <c r="J67" s="306">
        <f>'1. Press Assumptions'!$B$35*'1. Press Assumptions'!$D$89*$A9^7</f>
        <v/>
      </c>
      <c r="K67" s="306">
        <f>'1. Press Assumptions'!$B$35*'1. Press Assumptions'!$D$89*$A9^8</f>
        <v/>
      </c>
      <c r="L67" s="306">
        <f>'1. Press Assumptions'!$B$35*'1. Press Assumptions'!$D$89*$A9^9</f>
        <v/>
      </c>
      <c r="M67" s="306">
        <f>'1. Press Assumptions'!$B$35*'1. Press Assumptions'!$D$89*$A9^10</f>
        <v/>
      </c>
      <c r="N67" s="306">
        <f>'1. Press Assumptions'!$B$35*'1. Press Assumptions'!$D$89*$A9^11</f>
        <v/>
      </c>
      <c r="O67" s="306">
        <f>'1. Press Assumptions'!$B$35*'1. Press Assumptions'!$D$89*$A9^12</f>
        <v/>
      </c>
      <c r="P67" s="306">
        <f>'1. Press Assumptions'!$B$35*'1. Press Assumptions'!$D$89*$A9^13</f>
        <v/>
      </c>
      <c r="Q67" s="306">
        <f>'1. Press Assumptions'!$B$35*'1. Press Assumptions'!$D$89*$A9^14</f>
        <v/>
      </c>
    </row>
    <row r="68">
      <c r="B68" s="306">
        <f>-'1. Press Assumptions'!$D$89*D$5</f>
        <v/>
      </c>
      <c r="C68" s="306">
        <f>'1. Press Assumptions'!$B$35*'1. Press Assumptions'!$D$89*$A9^0</f>
        <v/>
      </c>
      <c r="D68" s="306">
        <f>'1. Press Assumptions'!$B$35*'1. Press Assumptions'!$D$89*$A9^1</f>
        <v/>
      </c>
      <c r="E68" s="306">
        <f>'1. Press Assumptions'!$B$35*'1. Press Assumptions'!$D$89*$A9^2</f>
        <v/>
      </c>
      <c r="F68" s="306">
        <f>'1. Press Assumptions'!$B$35*'1. Press Assumptions'!$D$89*$A9^3</f>
        <v/>
      </c>
      <c r="G68" s="306">
        <f>'1. Press Assumptions'!$B$35*'1. Press Assumptions'!$D$89*$A9^4</f>
        <v/>
      </c>
      <c r="H68" s="306">
        <f>'1. Press Assumptions'!$B$35*'1. Press Assumptions'!$D$89*$A9^5</f>
        <v/>
      </c>
      <c r="I68" s="306">
        <f>'1. Press Assumptions'!$B$35*'1. Press Assumptions'!$D$89*$A9^6</f>
        <v/>
      </c>
      <c r="J68" s="306">
        <f>'1. Press Assumptions'!$B$35*'1. Press Assumptions'!$D$89*$A9^7</f>
        <v/>
      </c>
      <c r="K68" s="306">
        <f>'1. Press Assumptions'!$B$35*'1. Press Assumptions'!$D$89*$A9^8</f>
        <v/>
      </c>
      <c r="L68" s="306">
        <f>'1. Press Assumptions'!$B$35*'1. Press Assumptions'!$D$89*$A9^9</f>
        <v/>
      </c>
      <c r="M68" s="306">
        <f>'1. Press Assumptions'!$B$35*'1. Press Assumptions'!$D$89*$A9^10</f>
        <v/>
      </c>
      <c r="N68" s="306">
        <f>'1. Press Assumptions'!$B$35*'1. Press Assumptions'!$D$89*$A9^11</f>
        <v/>
      </c>
      <c r="O68" s="306">
        <f>'1. Press Assumptions'!$B$35*'1. Press Assumptions'!$D$89*$A9^12</f>
        <v/>
      </c>
      <c r="P68" s="306">
        <f>'1. Press Assumptions'!$B$35*'1. Press Assumptions'!$D$89*$A9^13</f>
        <v/>
      </c>
      <c r="Q68" s="306">
        <f>'1. Press Assumptions'!$B$35*'1. Press Assumptions'!$D$89*$A9^14</f>
        <v/>
      </c>
    </row>
    <row r="69">
      <c r="B69" s="306">
        <f>-'1. Press Assumptions'!$D$89*E$5</f>
        <v/>
      </c>
      <c r="C69" s="306">
        <f>'1. Press Assumptions'!$B$35*'1. Press Assumptions'!$D$89*$A9^0</f>
        <v/>
      </c>
      <c r="D69" s="306">
        <f>'1. Press Assumptions'!$B$35*'1. Press Assumptions'!$D$89*$A9^1</f>
        <v/>
      </c>
      <c r="E69" s="306">
        <f>'1. Press Assumptions'!$B$35*'1. Press Assumptions'!$D$89*$A9^2</f>
        <v/>
      </c>
      <c r="F69" s="306">
        <f>'1. Press Assumptions'!$B$35*'1. Press Assumptions'!$D$89*$A9^3</f>
        <v/>
      </c>
      <c r="G69" s="306">
        <f>'1. Press Assumptions'!$B$35*'1. Press Assumptions'!$D$89*$A9^4</f>
        <v/>
      </c>
      <c r="H69" s="306">
        <f>'1. Press Assumptions'!$B$35*'1. Press Assumptions'!$D$89*$A9^5</f>
        <v/>
      </c>
      <c r="I69" s="306">
        <f>'1. Press Assumptions'!$B$35*'1. Press Assumptions'!$D$89*$A9^6</f>
        <v/>
      </c>
      <c r="J69" s="306">
        <f>'1. Press Assumptions'!$B$35*'1. Press Assumptions'!$D$89*$A9^7</f>
        <v/>
      </c>
      <c r="K69" s="306">
        <f>'1. Press Assumptions'!$B$35*'1. Press Assumptions'!$D$89*$A9^8</f>
        <v/>
      </c>
      <c r="L69" s="306">
        <f>'1. Press Assumptions'!$B$35*'1. Press Assumptions'!$D$89*$A9^9</f>
        <v/>
      </c>
      <c r="M69" s="306">
        <f>'1. Press Assumptions'!$B$35*'1. Press Assumptions'!$D$89*$A9^10</f>
        <v/>
      </c>
      <c r="N69" s="306">
        <f>'1. Press Assumptions'!$B$35*'1. Press Assumptions'!$D$89*$A9^11</f>
        <v/>
      </c>
      <c r="O69" s="306">
        <f>'1. Press Assumptions'!$B$35*'1. Press Assumptions'!$D$89*$A9^12</f>
        <v/>
      </c>
      <c r="P69" s="306">
        <f>'1. Press Assumptions'!$B$35*'1. Press Assumptions'!$D$89*$A9^13</f>
        <v/>
      </c>
      <c r="Q69" s="306">
        <f>'1. Press Assumptions'!$B$35*'1. Press Assumptions'!$D$89*$A9^14</f>
        <v/>
      </c>
    </row>
    <row r="70">
      <c r="B70" s="306">
        <f>-'1. Press Assumptions'!$D$89*F$5</f>
        <v/>
      </c>
      <c r="C70" s="306">
        <f>'1. Press Assumptions'!$B$35*'1. Press Assumptions'!$D$89*$A9^0</f>
        <v/>
      </c>
      <c r="D70" s="306">
        <f>'1. Press Assumptions'!$B$35*'1. Press Assumptions'!$D$89*$A9^1</f>
        <v/>
      </c>
      <c r="E70" s="306">
        <f>'1. Press Assumptions'!$B$35*'1. Press Assumptions'!$D$89*$A9^2</f>
        <v/>
      </c>
      <c r="F70" s="306">
        <f>'1. Press Assumptions'!$B$35*'1. Press Assumptions'!$D$89*$A9^3</f>
        <v/>
      </c>
      <c r="G70" s="306">
        <f>'1. Press Assumptions'!$B$35*'1. Press Assumptions'!$D$89*$A9^4</f>
        <v/>
      </c>
      <c r="H70" s="306">
        <f>'1. Press Assumptions'!$B$35*'1. Press Assumptions'!$D$89*$A9^5</f>
        <v/>
      </c>
      <c r="I70" s="306">
        <f>'1. Press Assumptions'!$B$35*'1. Press Assumptions'!$D$89*$A9^6</f>
        <v/>
      </c>
      <c r="J70" s="306">
        <f>'1. Press Assumptions'!$B$35*'1. Press Assumptions'!$D$89*$A9^7</f>
        <v/>
      </c>
      <c r="K70" s="306">
        <f>'1. Press Assumptions'!$B$35*'1. Press Assumptions'!$D$89*$A9^8</f>
        <v/>
      </c>
      <c r="L70" s="306">
        <f>'1. Press Assumptions'!$B$35*'1. Press Assumptions'!$D$89*$A9^9</f>
        <v/>
      </c>
      <c r="M70" s="306">
        <f>'1. Press Assumptions'!$B$35*'1. Press Assumptions'!$D$89*$A9^10</f>
        <v/>
      </c>
      <c r="N70" s="306">
        <f>'1. Press Assumptions'!$B$35*'1. Press Assumptions'!$D$89*$A9^11</f>
        <v/>
      </c>
      <c r="O70" s="306">
        <f>'1. Press Assumptions'!$B$35*'1. Press Assumptions'!$D$89*$A9^12</f>
        <v/>
      </c>
      <c r="P70" s="306">
        <f>'1. Press Assumptions'!$B$35*'1. Press Assumptions'!$D$89*$A9^13</f>
        <v/>
      </c>
      <c r="Q70" s="306">
        <f>'1. Press Assumptions'!$B$35*'1. Press Assumptions'!$D$89*$A9^14</f>
        <v/>
      </c>
    </row>
    <row r="71">
      <c r="B71" s="306">
        <f>-'1. Press Assumptions'!$D$89*G$5</f>
        <v/>
      </c>
      <c r="C71" s="306">
        <f>'1. Press Assumptions'!$B$35*'1. Press Assumptions'!$D$89*$A9^0</f>
        <v/>
      </c>
      <c r="D71" s="306">
        <f>'1. Press Assumptions'!$B$35*'1. Press Assumptions'!$D$89*$A9^1</f>
        <v/>
      </c>
      <c r="E71" s="306">
        <f>'1. Press Assumptions'!$B$35*'1. Press Assumptions'!$D$89*$A9^2</f>
        <v/>
      </c>
      <c r="F71" s="306">
        <f>'1. Press Assumptions'!$B$35*'1. Press Assumptions'!$D$89*$A9^3</f>
        <v/>
      </c>
      <c r="G71" s="306">
        <f>'1. Press Assumptions'!$B$35*'1. Press Assumptions'!$D$89*$A9^4</f>
        <v/>
      </c>
      <c r="H71" s="306">
        <f>'1. Press Assumptions'!$B$35*'1. Press Assumptions'!$D$89*$A9^5</f>
        <v/>
      </c>
      <c r="I71" s="306">
        <f>'1. Press Assumptions'!$B$35*'1. Press Assumptions'!$D$89*$A9^6</f>
        <v/>
      </c>
      <c r="J71" s="306">
        <f>'1. Press Assumptions'!$B$35*'1. Press Assumptions'!$D$89*$A9^7</f>
        <v/>
      </c>
      <c r="K71" s="306">
        <f>'1. Press Assumptions'!$B$35*'1. Press Assumptions'!$D$89*$A9^8</f>
        <v/>
      </c>
      <c r="L71" s="306">
        <f>'1. Press Assumptions'!$B$35*'1. Press Assumptions'!$D$89*$A9^9</f>
        <v/>
      </c>
      <c r="M71" s="306">
        <f>'1. Press Assumptions'!$B$35*'1. Press Assumptions'!$D$89*$A9^10</f>
        <v/>
      </c>
      <c r="N71" s="306">
        <f>'1. Press Assumptions'!$B$35*'1. Press Assumptions'!$D$89*$A9^11</f>
        <v/>
      </c>
      <c r="O71" s="306">
        <f>'1. Press Assumptions'!$B$35*'1. Press Assumptions'!$D$89*$A9^12</f>
        <v/>
      </c>
      <c r="P71" s="306">
        <f>'1. Press Assumptions'!$B$35*'1. Press Assumptions'!$D$89*$A9^13</f>
        <v/>
      </c>
      <c r="Q71" s="306">
        <f>'1. Press Assumptions'!$B$35*'1. Press Assumptions'!$D$89*$A9^14</f>
        <v/>
      </c>
    </row>
    <row r="72">
      <c r="B72" s="306">
        <f>-'1. Press Assumptions'!$D$89*H$5</f>
        <v/>
      </c>
      <c r="C72" s="306">
        <f>'1. Press Assumptions'!$B$35*'1. Press Assumptions'!$D$89*$A9^0</f>
        <v/>
      </c>
      <c r="D72" s="306">
        <f>'1. Press Assumptions'!$B$35*'1. Press Assumptions'!$D$89*$A9^1</f>
        <v/>
      </c>
      <c r="E72" s="306">
        <f>'1. Press Assumptions'!$B$35*'1. Press Assumptions'!$D$89*$A9^2</f>
        <v/>
      </c>
      <c r="F72" s="306">
        <f>'1. Press Assumptions'!$B$35*'1. Press Assumptions'!$D$89*$A9^3</f>
        <v/>
      </c>
      <c r="G72" s="306">
        <f>'1. Press Assumptions'!$B$35*'1. Press Assumptions'!$D$89*$A9^4</f>
        <v/>
      </c>
      <c r="H72" s="306">
        <f>'1. Press Assumptions'!$B$35*'1. Press Assumptions'!$D$89*$A9^5</f>
        <v/>
      </c>
      <c r="I72" s="306">
        <f>'1. Press Assumptions'!$B$35*'1. Press Assumptions'!$D$89*$A9^6</f>
        <v/>
      </c>
      <c r="J72" s="306">
        <f>'1. Press Assumptions'!$B$35*'1. Press Assumptions'!$D$89*$A9^7</f>
        <v/>
      </c>
      <c r="K72" s="306">
        <f>'1. Press Assumptions'!$B$35*'1. Press Assumptions'!$D$89*$A9^8</f>
        <v/>
      </c>
      <c r="L72" s="306">
        <f>'1. Press Assumptions'!$B$35*'1. Press Assumptions'!$D$89*$A9^9</f>
        <v/>
      </c>
      <c r="M72" s="306">
        <f>'1. Press Assumptions'!$B$35*'1. Press Assumptions'!$D$89*$A9^10</f>
        <v/>
      </c>
      <c r="N72" s="306">
        <f>'1. Press Assumptions'!$B$35*'1. Press Assumptions'!$D$89*$A9^11</f>
        <v/>
      </c>
      <c r="O72" s="306">
        <f>'1. Press Assumptions'!$B$35*'1. Press Assumptions'!$D$89*$A9^12</f>
        <v/>
      </c>
      <c r="P72" s="306">
        <f>'1. Press Assumptions'!$B$35*'1. Press Assumptions'!$D$89*$A9^13</f>
        <v/>
      </c>
      <c r="Q72" s="306">
        <f>'1. Press Assumptions'!$B$35*'1. Press Assumptions'!$D$89*$A9^14</f>
        <v/>
      </c>
    </row>
    <row r="73">
      <c r="B73" s="306">
        <f>-'1. Press Assumptions'!$D$89*B$5</f>
        <v/>
      </c>
      <c r="C73" s="306">
        <f>'1. Press Assumptions'!$B$35*'1. Press Assumptions'!$D$89*$A10^0</f>
        <v/>
      </c>
      <c r="D73" s="306">
        <f>'1. Press Assumptions'!$B$35*'1. Press Assumptions'!$D$89*$A10^1</f>
        <v/>
      </c>
      <c r="E73" s="306">
        <f>'1. Press Assumptions'!$B$35*'1. Press Assumptions'!$D$89*$A10^2</f>
        <v/>
      </c>
      <c r="F73" s="306">
        <f>'1. Press Assumptions'!$B$35*'1. Press Assumptions'!$D$89*$A10^3</f>
        <v/>
      </c>
      <c r="G73" s="306">
        <f>'1. Press Assumptions'!$B$35*'1. Press Assumptions'!$D$89*$A10^4</f>
        <v/>
      </c>
      <c r="H73" s="306">
        <f>'1. Press Assumptions'!$B$35*'1. Press Assumptions'!$D$89*$A10^5</f>
        <v/>
      </c>
      <c r="I73" s="306">
        <f>'1. Press Assumptions'!$B$35*'1. Press Assumptions'!$D$89*$A10^6</f>
        <v/>
      </c>
      <c r="J73" s="306">
        <f>'1. Press Assumptions'!$B$35*'1. Press Assumptions'!$D$89*$A10^7</f>
        <v/>
      </c>
      <c r="K73" s="306">
        <f>'1. Press Assumptions'!$B$35*'1. Press Assumptions'!$D$89*$A10^8</f>
        <v/>
      </c>
      <c r="L73" s="306">
        <f>'1. Press Assumptions'!$B$35*'1. Press Assumptions'!$D$89*$A10^9</f>
        <v/>
      </c>
      <c r="M73" s="306">
        <f>'1. Press Assumptions'!$B$35*'1. Press Assumptions'!$D$89*$A10^10</f>
        <v/>
      </c>
      <c r="N73" s="306">
        <f>'1. Press Assumptions'!$B$35*'1. Press Assumptions'!$D$89*$A10^11</f>
        <v/>
      </c>
      <c r="O73" s="306">
        <f>'1. Press Assumptions'!$B$35*'1. Press Assumptions'!$D$89*$A10^12</f>
        <v/>
      </c>
      <c r="P73" s="306">
        <f>'1. Press Assumptions'!$B$35*'1. Press Assumptions'!$D$89*$A10^13</f>
        <v/>
      </c>
      <c r="Q73" s="306">
        <f>'1. Press Assumptions'!$B$35*'1. Press Assumptions'!$D$89*$A10^14</f>
        <v/>
      </c>
    </row>
    <row r="74">
      <c r="B74" s="306">
        <f>-'1. Press Assumptions'!$D$89*C$5</f>
        <v/>
      </c>
      <c r="C74" s="306">
        <f>'1. Press Assumptions'!$B$35*'1. Press Assumptions'!$D$89*$A10^0</f>
        <v/>
      </c>
      <c r="D74" s="306">
        <f>'1. Press Assumptions'!$B$35*'1. Press Assumptions'!$D$89*$A10^1</f>
        <v/>
      </c>
      <c r="E74" s="306">
        <f>'1. Press Assumptions'!$B$35*'1. Press Assumptions'!$D$89*$A10^2</f>
        <v/>
      </c>
      <c r="F74" s="306">
        <f>'1. Press Assumptions'!$B$35*'1. Press Assumptions'!$D$89*$A10^3</f>
        <v/>
      </c>
      <c r="G74" s="306">
        <f>'1. Press Assumptions'!$B$35*'1. Press Assumptions'!$D$89*$A10^4</f>
        <v/>
      </c>
      <c r="H74" s="306">
        <f>'1. Press Assumptions'!$B$35*'1. Press Assumptions'!$D$89*$A10^5</f>
        <v/>
      </c>
      <c r="I74" s="306">
        <f>'1. Press Assumptions'!$B$35*'1. Press Assumptions'!$D$89*$A10^6</f>
        <v/>
      </c>
      <c r="J74" s="306">
        <f>'1. Press Assumptions'!$B$35*'1. Press Assumptions'!$D$89*$A10^7</f>
        <v/>
      </c>
      <c r="K74" s="306">
        <f>'1. Press Assumptions'!$B$35*'1. Press Assumptions'!$D$89*$A10^8</f>
        <v/>
      </c>
      <c r="L74" s="306">
        <f>'1. Press Assumptions'!$B$35*'1. Press Assumptions'!$D$89*$A10^9</f>
        <v/>
      </c>
      <c r="M74" s="306">
        <f>'1. Press Assumptions'!$B$35*'1. Press Assumptions'!$D$89*$A10^10</f>
        <v/>
      </c>
      <c r="N74" s="306">
        <f>'1. Press Assumptions'!$B$35*'1. Press Assumptions'!$D$89*$A10^11</f>
        <v/>
      </c>
      <c r="O74" s="306">
        <f>'1. Press Assumptions'!$B$35*'1. Press Assumptions'!$D$89*$A10^12</f>
        <v/>
      </c>
      <c r="P74" s="306">
        <f>'1. Press Assumptions'!$B$35*'1. Press Assumptions'!$D$89*$A10^13</f>
        <v/>
      </c>
      <c r="Q74" s="306">
        <f>'1. Press Assumptions'!$B$35*'1. Press Assumptions'!$D$89*$A10^14</f>
        <v/>
      </c>
    </row>
    <row r="75">
      <c r="B75" s="306">
        <f>-'1. Press Assumptions'!$D$89*D$5</f>
        <v/>
      </c>
      <c r="C75" s="306">
        <f>'1. Press Assumptions'!$B$35*'1. Press Assumptions'!$D$89*$A10^0</f>
        <v/>
      </c>
      <c r="D75" s="306">
        <f>'1. Press Assumptions'!$B$35*'1. Press Assumptions'!$D$89*$A10^1</f>
        <v/>
      </c>
      <c r="E75" s="306">
        <f>'1. Press Assumptions'!$B$35*'1. Press Assumptions'!$D$89*$A10^2</f>
        <v/>
      </c>
      <c r="F75" s="306">
        <f>'1. Press Assumptions'!$B$35*'1. Press Assumptions'!$D$89*$A10^3</f>
        <v/>
      </c>
      <c r="G75" s="306">
        <f>'1. Press Assumptions'!$B$35*'1. Press Assumptions'!$D$89*$A10^4</f>
        <v/>
      </c>
      <c r="H75" s="306">
        <f>'1. Press Assumptions'!$B$35*'1. Press Assumptions'!$D$89*$A10^5</f>
        <v/>
      </c>
      <c r="I75" s="306">
        <f>'1. Press Assumptions'!$B$35*'1. Press Assumptions'!$D$89*$A10^6</f>
        <v/>
      </c>
      <c r="J75" s="306">
        <f>'1. Press Assumptions'!$B$35*'1. Press Assumptions'!$D$89*$A10^7</f>
        <v/>
      </c>
      <c r="K75" s="306">
        <f>'1. Press Assumptions'!$B$35*'1. Press Assumptions'!$D$89*$A10^8</f>
        <v/>
      </c>
      <c r="L75" s="306">
        <f>'1. Press Assumptions'!$B$35*'1. Press Assumptions'!$D$89*$A10^9</f>
        <v/>
      </c>
      <c r="M75" s="306">
        <f>'1. Press Assumptions'!$B$35*'1. Press Assumptions'!$D$89*$A10^10</f>
        <v/>
      </c>
      <c r="N75" s="306">
        <f>'1. Press Assumptions'!$B$35*'1. Press Assumptions'!$D$89*$A10^11</f>
        <v/>
      </c>
      <c r="O75" s="306">
        <f>'1. Press Assumptions'!$B$35*'1. Press Assumptions'!$D$89*$A10^12</f>
        <v/>
      </c>
      <c r="P75" s="306">
        <f>'1. Press Assumptions'!$B$35*'1. Press Assumptions'!$D$89*$A10^13</f>
        <v/>
      </c>
      <c r="Q75" s="306">
        <f>'1. Press Assumptions'!$B$35*'1. Press Assumptions'!$D$89*$A10^14</f>
        <v/>
      </c>
    </row>
    <row r="76">
      <c r="B76" s="306">
        <f>-'1. Press Assumptions'!$D$89*E$5</f>
        <v/>
      </c>
      <c r="C76" s="306">
        <f>'1. Press Assumptions'!$B$35*'1. Press Assumptions'!$D$89*$A10^0</f>
        <v/>
      </c>
      <c r="D76" s="306">
        <f>'1. Press Assumptions'!$B$35*'1. Press Assumptions'!$D$89*$A10^1</f>
        <v/>
      </c>
      <c r="E76" s="306">
        <f>'1. Press Assumptions'!$B$35*'1. Press Assumptions'!$D$89*$A10^2</f>
        <v/>
      </c>
      <c r="F76" s="306">
        <f>'1. Press Assumptions'!$B$35*'1. Press Assumptions'!$D$89*$A10^3</f>
        <v/>
      </c>
      <c r="G76" s="306">
        <f>'1. Press Assumptions'!$B$35*'1. Press Assumptions'!$D$89*$A10^4</f>
        <v/>
      </c>
      <c r="H76" s="306">
        <f>'1. Press Assumptions'!$B$35*'1. Press Assumptions'!$D$89*$A10^5</f>
        <v/>
      </c>
      <c r="I76" s="306">
        <f>'1. Press Assumptions'!$B$35*'1. Press Assumptions'!$D$89*$A10^6</f>
        <v/>
      </c>
      <c r="J76" s="306">
        <f>'1. Press Assumptions'!$B$35*'1. Press Assumptions'!$D$89*$A10^7</f>
        <v/>
      </c>
      <c r="K76" s="306">
        <f>'1. Press Assumptions'!$B$35*'1. Press Assumptions'!$D$89*$A10^8</f>
        <v/>
      </c>
      <c r="L76" s="306">
        <f>'1. Press Assumptions'!$B$35*'1. Press Assumptions'!$D$89*$A10^9</f>
        <v/>
      </c>
      <c r="M76" s="306">
        <f>'1. Press Assumptions'!$B$35*'1. Press Assumptions'!$D$89*$A10^10</f>
        <v/>
      </c>
      <c r="N76" s="306">
        <f>'1. Press Assumptions'!$B$35*'1. Press Assumptions'!$D$89*$A10^11</f>
        <v/>
      </c>
      <c r="O76" s="306">
        <f>'1. Press Assumptions'!$B$35*'1. Press Assumptions'!$D$89*$A10^12</f>
        <v/>
      </c>
      <c r="P76" s="306">
        <f>'1. Press Assumptions'!$B$35*'1. Press Assumptions'!$D$89*$A10^13</f>
        <v/>
      </c>
      <c r="Q76" s="306">
        <f>'1. Press Assumptions'!$B$35*'1. Press Assumptions'!$D$89*$A10^14</f>
        <v/>
      </c>
    </row>
    <row r="77">
      <c r="B77" s="306">
        <f>-'1. Press Assumptions'!$D$89*F$5</f>
        <v/>
      </c>
      <c r="C77" s="306">
        <f>'1. Press Assumptions'!$B$35*'1. Press Assumptions'!$D$89*$A10^0</f>
        <v/>
      </c>
      <c r="D77" s="306">
        <f>'1. Press Assumptions'!$B$35*'1. Press Assumptions'!$D$89*$A10^1</f>
        <v/>
      </c>
      <c r="E77" s="306">
        <f>'1. Press Assumptions'!$B$35*'1. Press Assumptions'!$D$89*$A10^2</f>
        <v/>
      </c>
      <c r="F77" s="306">
        <f>'1. Press Assumptions'!$B$35*'1. Press Assumptions'!$D$89*$A10^3</f>
        <v/>
      </c>
      <c r="G77" s="306">
        <f>'1. Press Assumptions'!$B$35*'1. Press Assumptions'!$D$89*$A10^4</f>
        <v/>
      </c>
      <c r="H77" s="306">
        <f>'1. Press Assumptions'!$B$35*'1. Press Assumptions'!$D$89*$A10^5</f>
        <v/>
      </c>
      <c r="I77" s="306">
        <f>'1. Press Assumptions'!$B$35*'1. Press Assumptions'!$D$89*$A10^6</f>
        <v/>
      </c>
      <c r="J77" s="306">
        <f>'1. Press Assumptions'!$B$35*'1. Press Assumptions'!$D$89*$A10^7</f>
        <v/>
      </c>
      <c r="K77" s="306">
        <f>'1. Press Assumptions'!$B$35*'1. Press Assumptions'!$D$89*$A10^8</f>
        <v/>
      </c>
      <c r="L77" s="306">
        <f>'1. Press Assumptions'!$B$35*'1. Press Assumptions'!$D$89*$A10^9</f>
        <v/>
      </c>
      <c r="M77" s="306">
        <f>'1. Press Assumptions'!$B$35*'1. Press Assumptions'!$D$89*$A10^10</f>
        <v/>
      </c>
      <c r="N77" s="306">
        <f>'1. Press Assumptions'!$B$35*'1. Press Assumptions'!$D$89*$A10^11</f>
        <v/>
      </c>
      <c r="O77" s="306">
        <f>'1. Press Assumptions'!$B$35*'1. Press Assumptions'!$D$89*$A10^12</f>
        <v/>
      </c>
      <c r="P77" s="306">
        <f>'1. Press Assumptions'!$B$35*'1. Press Assumptions'!$D$89*$A10^13</f>
        <v/>
      </c>
      <c r="Q77" s="306">
        <f>'1. Press Assumptions'!$B$35*'1. Press Assumptions'!$D$89*$A10^14</f>
        <v/>
      </c>
    </row>
    <row r="78">
      <c r="B78" s="306">
        <f>-'1. Press Assumptions'!$D$89*G$5</f>
        <v/>
      </c>
      <c r="C78" s="306">
        <f>'1. Press Assumptions'!$B$35*'1. Press Assumptions'!$D$89*$A10^0</f>
        <v/>
      </c>
      <c r="D78" s="306">
        <f>'1. Press Assumptions'!$B$35*'1. Press Assumptions'!$D$89*$A10^1</f>
        <v/>
      </c>
      <c r="E78" s="306">
        <f>'1. Press Assumptions'!$B$35*'1. Press Assumptions'!$D$89*$A10^2</f>
        <v/>
      </c>
      <c r="F78" s="306">
        <f>'1. Press Assumptions'!$B$35*'1. Press Assumptions'!$D$89*$A10^3</f>
        <v/>
      </c>
      <c r="G78" s="306">
        <f>'1. Press Assumptions'!$B$35*'1. Press Assumptions'!$D$89*$A10^4</f>
        <v/>
      </c>
      <c r="H78" s="306">
        <f>'1. Press Assumptions'!$B$35*'1. Press Assumptions'!$D$89*$A10^5</f>
        <v/>
      </c>
      <c r="I78" s="306">
        <f>'1. Press Assumptions'!$B$35*'1. Press Assumptions'!$D$89*$A10^6</f>
        <v/>
      </c>
      <c r="J78" s="306">
        <f>'1. Press Assumptions'!$B$35*'1. Press Assumptions'!$D$89*$A10^7</f>
        <v/>
      </c>
      <c r="K78" s="306">
        <f>'1. Press Assumptions'!$B$35*'1. Press Assumptions'!$D$89*$A10^8</f>
        <v/>
      </c>
      <c r="L78" s="306">
        <f>'1. Press Assumptions'!$B$35*'1. Press Assumptions'!$D$89*$A10^9</f>
        <v/>
      </c>
      <c r="M78" s="306">
        <f>'1. Press Assumptions'!$B$35*'1. Press Assumptions'!$D$89*$A10^10</f>
        <v/>
      </c>
      <c r="N78" s="306">
        <f>'1. Press Assumptions'!$B$35*'1. Press Assumptions'!$D$89*$A10^11</f>
        <v/>
      </c>
      <c r="O78" s="306">
        <f>'1. Press Assumptions'!$B$35*'1. Press Assumptions'!$D$89*$A10^12</f>
        <v/>
      </c>
      <c r="P78" s="306">
        <f>'1. Press Assumptions'!$B$35*'1. Press Assumptions'!$D$89*$A10^13</f>
        <v/>
      </c>
      <c r="Q78" s="306">
        <f>'1. Press Assumptions'!$B$35*'1. Press Assumptions'!$D$89*$A10^14</f>
        <v/>
      </c>
    </row>
    <row r="79">
      <c r="B79" s="306">
        <f>-'1. Press Assumptions'!$D$89*H$5</f>
        <v/>
      </c>
      <c r="C79" s="306">
        <f>'1. Press Assumptions'!$B$35*'1. Press Assumptions'!$D$89*$A10^0</f>
        <v/>
      </c>
      <c r="D79" s="306">
        <f>'1. Press Assumptions'!$B$35*'1. Press Assumptions'!$D$89*$A10^1</f>
        <v/>
      </c>
      <c r="E79" s="306">
        <f>'1. Press Assumptions'!$B$35*'1. Press Assumptions'!$D$89*$A10^2</f>
        <v/>
      </c>
      <c r="F79" s="306">
        <f>'1. Press Assumptions'!$B$35*'1. Press Assumptions'!$D$89*$A10^3</f>
        <v/>
      </c>
      <c r="G79" s="306">
        <f>'1. Press Assumptions'!$B$35*'1. Press Assumptions'!$D$89*$A10^4</f>
        <v/>
      </c>
      <c r="H79" s="306">
        <f>'1. Press Assumptions'!$B$35*'1. Press Assumptions'!$D$89*$A10^5</f>
        <v/>
      </c>
      <c r="I79" s="306">
        <f>'1. Press Assumptions'!$B$35*'1. Press Assumptions'!$D$89*$A10^6</f>
        <v/>
      </c>
      <c r="J79" s="306">
        <f>'1. Press Assumptions'!$B$35*'1. Press Assumptions'!$D$89*$A10^7</f>
        <v/>
      </c>
      <c r="K79" s="306">
        <f>'1. Press Assumptions'!$B$35*'1. Press Assumptions'!$D$89*$A10^8</f>
        <v/>
      </c>
      <c r="L79" s="306">
        <f>'1. Press Assumptions'!$B$35*'1. Press Assumptions'!$D$89*$A10^9</f>
        <v/>
      </c>
      <c r="M79" s="306">
        <f>'1. Press Assumptions'!$B$35*'1. Press Assumptions'!$D$89*$A10^10</f>
        <v/>
      </c>
      <c r="N79" s="306">
        <f>'1. Press Assumptions'!$B$35*'1. Press Assumptions'!$D$89*$A10^11</f>
        <v/>
      </c>
      <c r="O79" s="306">
        <f>'1. Press Assumptions'!$B$35*'1. Press Assumptions'!$D$89*$A10^12</f>
        <v/>
      </c>
      <c r="P79" s="306">
        <f>'1. Press Assumptions'!$B$35*'1. Press Assumptions'!$D$89*$A10^13</f>
        <v/>
      </c>
      <c r="Q79" s="306">
        <f>'1. Press Assumptions'!$B$35*'1. Press Assumptions'!$D$89*$A10^14</f>
        <v/>
      </c>
    </row>
    <row r="80">
      <c r="B80" s="306">
        <f>-'1. Press Assumptions'!$D$89*B$5</f>
        <v/>
      </c>
      <c r="C80" s="306">
        <f>'1. Press Assumptions'!$B$35*'1. Press Assumptions'!$D$89*$A11^0</f>
        <v/>
      </c>
      <c r="D80" s="306">
        <f>'1. Press Assumptions'!$B$35*'1. Press Assumptions'!$D$89*$A11^1</f>
        <v/>
      </c>
      <c r="E80" s="306">
        <f>'1. Press Assumptions'!$B$35*'1. Press Assumptions'!$D$89*$A11^2</f>
        <v/>
      </c>
      <c r="F80" s="306">
        <f>'1. Press Assumptions'!$B$35*'1. Press Assumptions'!$D$89*$A11^3</f>
        <v/>
      </c>
      <c r="G80" s="306">
        <f>'1. Press Assumptions'!$B$35*'1. Press Assumptions'!$D$89*$A11^4</f>
        <v/>
      </c>
      <c r="H80" s="306">
        <f>'1. Press Assumptions'!$B$35*'1. Press Assumptions'!$D$89*$A11^5</f>
        <v/>
      </c>
      <c r="I80" s="306">
        <f>'1. Press Assumptions'!$B$35*'1. Press Assumptions'!$D$89*$A11^6</f>
        <v/>
      </c>
      <c r="J80" s="306">
        <f>'1. Press Assumptions'!$B$35*'1. Press Assumptions'!$D$89*$A11^7</f>
        <v/>
      </c>
      <c r="K80" s="306">
        <f>'1. Press Assumptions'!$B$35*'1. Press Assumptions'!$D$89*$A11^8</f>
        <v/>
      </c>
      <c r="L80" s="306">
        <f>'1. Press Assumptions'!$B$35*'1. Press Assumptions'!$D$89*$A11^9</f>
        <v/>
      </c>
      <c r="M80" s="306">
        <f>'1. Press Assumptions'!$B$35*'1. Press Assumptions'!$D$89*$A11^10</f>
        <v/>
      </c>
      <c r="N80" s="306">
        <f>'1. Press Assumptions'!$B$35*'1. Press Assumptions'!$D$89*$A11^11</f>
        <v/>
      </c>
      <c r="O80" s="306">
        <f>'1. Press Assumptions'!$B$35*'1. Press Assumptions'!$D$89*$A11^12</f>
        <v/>
      </c>
      <c r="P80" s="306">
        <f>'1. Press Assumptions'!$B$35*'1. Press Assumptions'!$D$89*$A11^13</f>
        <v/>
      </c>
      <c r="Q80" s="306">
        <f>'1. Press Assumptions'!$B$35*'1. Press Assumptions'!$D$89*$A11^14</f>
        <v/>
      </c>
    </row>
    <row r="81">
      <c r="B81" s="306">
        <f>-'1. Press Assumptions'!$D$89*C$5</f>
        <v/>
      </c>
      <c r="C81" s="306">
        <f>'1. Press Assumptions'!$B$35*'1. Press Assumptions'!$D$89*$A11^0</f>
        <v/>
      </c>
      <c r="D81" s="306">
        <f>'1. Press Assumptions'!$B$35*'1. Press Assumptions'!$D$89*$A11^1</f>
        <v/>
      </c>
      <c r="E81" s="306">
        <f>'1. Press Assumptions'!$B$35*'1. Press Assumptions'!$D$89*$A11^2</f>
        <v/>
      </c>
      <c r="F81" s="306">
        <f>'1. Press Assumptions'!$B$35*'1. Press Assumptions'!$D$89*$A11^3</f>
        <v/>
      </c>
      <c r="G81" s="306">
        <f>'1. Press Assumptions'!$B$35*'1. Press Assumptions'!$D$89*$A11^4</f>
        <v/>
      </c>
      <c r="H81" s="306">
        <f>'1. Press Assumptions'!$B$35*'1. Press Assumptions'!$D$89*$A11^5</f>
        <v/>
      </c>
      <c r="I81" s="306">
        <f>'1. Press Assumptions'!$B$35*'1. Press Assumptions'!$D$89*$A11^6</f>
        <v/>
      </c>
      <c r="J81" s="306">
        <f>'1. Press Assumptions'!$B$35*'1. Press Assumptions'!$D$89*$A11^7</f>
        <v/>
      </c>
      <c r="K81" s="306">
        <f>'1. Press Assumptions'!$B$35*'1. Press Assumptions'!$D$89*$A11^8</f>
        <v/>
      </c>
      <c r="L81" s="306">
        <f>'1. Press Assumptions'!$B$35*'1. Press Assumptions'!$D$89*$A11^9</f>
        <v/>
      </c>
      <c r="M81" s="306">
        <f>'1. Press Assumptions'!$B$35*'1. Press Assumptions'!$D$89*$A11^10</f>
        <v/>
      </c>
      <c r="N81" s="306">
        <f>'1. Press Assumptions'!$B$35*'1. Press Assumptions'!$D$89*$A11^11</f>
        <v/>
      </c>
      <c r="O81" s="306">
        <f>'1. Press Assumptions'!$B$35*'1. Press Assumptions'!$D$89*$A11^12</f>
        <v/>
      </c>
      <c r="P81" s="306">
        <f>'1. Press Assumptions'!$B$35*'1. Press Assumptions'!$D$89*$A11^13</f>
        <v/>
      </c>
      <c r="Q81" s="306">
        <f>'1. Press Assumptions'!$B$35*'1. Press Assumptions'!$D$89*$A11^14</f>
        <v/>
      </c>
    </row>
    <row r="82">
      <c r="B82" s="306">
        <f>-'1. Press Assumptions'!$D$89*D$5</f>
        <v/>
      </c>
      <c r="C82" s="306">
        <f>'1. Press Assumptions'!$B$35*'1. Press Assumptions'!$D$89*$A11^0</f>
        <v/>
      </c>
      <c r="D82" s="306">
        <f>'1. Press Assumptions'!$B$35*'1. Press Assumptions'!$D$89*$A11^1</f>
        <v/>
      </c>
      <c r="E82" s="306">
        <f>'1. Press Assumptions'!$B$35*'1. Press Assumptions'!$D$89*$A11^2</f>
        <v/>
      </c>
      <c r="F82" s="306">
        <f>'1. Press Assumptions'!$B$35*'1. Press Assumptions'!$D$89*$A11^3</f>
        <v/>
      </c>
      <c r="G82" s="306">
        <f>'1. Press Assumptions'!$B$35*'1. Press Assumptions'!$D$89*$A11^4</f>
        <v/>
      </c>
      <c r="H82" s="306">
        <f>'1. Press Assumptions'!$B$35*'1. Press Assumptions'!$D$89*$A11^5</f>
        <v/>
      </c>
      <c r="I82" s="306">
        <f>'1. Press Assumptions'!$B$35*'1. Press Assumptions'!$D$89*$A11^6</f>
        <v/>
      </c>
      <c r="J82" s="306">
        <f>'1. Press Assumptions'!$B$35*'1. Press Assumptions'!$D$89*$A11^7</f>
        <v/>
      </c>
      <c r="K82" s="306">
        <f>'1. Press Assumptions'!$B$35*'1. Press Assumptions'!$D$89*$A11^8</f>
        <v/>
      </c>
      <c r="L82" s="306">
        <f>'1. Press Assumptions'!$B$35*'1. Press Assumptions'!$D$89*$A11^9</f>
        <v/>
      </c>
      <c r="M82" s="306">
        <f>'1. Press Assumptions'!$B$35*'1. Press Assumptions'!$D$89*$A11^10</f>
        <v/>
      </c>
      <c r="N82" s="306">
        <f>'1. Press Assumptions'!$B$35*'1. Press Assumptions'!$D$89*$A11^11</f>
        <v/>
      </c>
      <c r="O82" s="306">
        <f>'1. Press Assumptions'!$B$35*'1. Press Assumptions'!$D$89*$A11^12</f>
        <v/>
      </c>
      <c r="P82" s="306">
        <f>'1. Press Assumptions'!$B$35*'1. Press Assumptions'!$D$89*$A11^13</f>
        <v/>
      </c>
      <c r="Q82" s="306">
        <f>'1. Press Assumptions'!$B$35*'1. Press Assumptions'!$D$89*$A11^14</f>
        <v/>
      </c>
    </row>
    <row r="83">
      <c r="B83" s="306">
        <f>-'1. Press Assumptions'!$D$89*E$5</f>
        <v/>
      </c>
      <c r="C83" s="306">
        <f>'1. Press Assumptions'!$B$35*'1. Press Assumptions'!$D$89*$A11^0</f>
        <v/>
      </c>
      <c r="D83" s="306">
        <f>'1. Press Assumptions'!$B$35*'1. Press Assumptions'!$D$89*$A11^1</f>
        <v/>
      </c>
      <c r="E83" s="306">
        <f>'1. Press Assumptions'!$B$35*'1. Press Assumptions'!$D$89*$A11^2</f>
        <v/>
      </c>
      <c r="F83" s="306">
        <f>'1. Press Assumptions'!$B$35*'1. Press Assumptions'!$D$89*$A11^3</f>
        <v/>
      </c>
      <c r="G83" s="306">
        <f>'1. Press Assumptions'!$B$35*'1. Press Assumptions'!$D$89*$A11^4</f>
        <v/>
      </c>
      <c r="H83" s="306">
        <f>'1. Press Assumptions'!$B$35*'1. Press Assumptions'!$D$89*$A11^5</f>
        <v/>
      </c>
      <c r="I83" s="306">
        <f>'1. Press Assumptions'!$B$35*'1. Press Assumptions'!$D$89*$A11^6</f>
        <v/>
      </c>
      <c r="J83" s="306">
        <f>'1. Press Assumptions'!$B$35*'1. Press Assumptions'!$D$89*$A11^7</f>
        <v/>
      </c>
      <c r="K83" s="306">
        <f>'1. Press Assumptions'!$B$35*'1. Press Assumptions'!$D$89*$A11^8</f>
        <v/>
      </c>
      <c r="L83" s="306">
        <f>'1. Press Assumptions'!$B$35*'1. Press Assumptions'!$D$89*$A11^9</f>
        <v/>
      </c>
      <c r="M83" s="306">
        <f>'1. Press Assumptions'!$B$35*'1. Press Assumptions'!$D$89*$A11^10</f>
        <v/>
      </c>
      <c r="N83" s="306">
        <f>'1. Press Assumptions'!$B$35*'1. Press Assumptions'!$D$89*$A11^11</f>
        <v/>
      </c>
      <c r="O83" s="306">
        <f>'1. Press Assumptions'!$B$35*'1. Press Assumptions'!$D$89*$A11^12</f>
        <v/>
      </c>
      <c r="P83" s="306">
        <f>'1. Press Assumptions'!$B$35*'1. Press Assumptions'!$D$89*$A11^13</f>
        <v/>
      </c>
      <c r="Q83" s="306">
        <f>'1. Press Assumptions'!$B$35*'1. Press Assumptions'!$D$89*$A11^14</f>
        <v/>
      </c>
    </row>
    <row r="84">
      <c r="B84" s="306">
        <f>-'1. Press Assumptions'!$D$89*F$5</f>
        <v/>
      </c>
      <c r="C84" s="306">
        <f>'1. Press Assumptions'!$B$35*'1. Press Assumptions'!$D$89*$A11^0</f>
        <v/>
      </c>
      <c r="D84" s="306">
        <f>'1. Press Assumptions'!$B$35*'1. Press Assumptions'!$D$89*$A11^1</f>
        <v/>
      </c>
      <c r="E84" s="306">
        <f>'1. Press Assumptions'!$B$35*'1. Press Assumptions'!$D$89*$A11^2</f>
        <v/>
      </c>
      <c r="F84" s="306">
        <f>'1. Press Assumptions'!$B$35*'1. Press Assumptions'!$D$89*$A11^3</f>
        <v/>
      </c>
      <c r="G84" s="306">
        <f>'1. Press Assumptions'!$B$35*'1. Press Assumptions'!$D$89*$A11^4</f>
        <v/>
      </c>
      <c r="H84" s="306">
        <f>'1. Press Assumptions'!$B$35*'1. Press Assumptions'!$D$89*$A11^5</f>
        <v/>
      </c>
      <c r="I84" s="306">
        <f>'1. Press Assumptions'!$B$35*'1. Press Assumptions'!$D$89*$A11^6</f>
        <v/>
      </c>
      <c r="J84" s="306">
        <f>'1. Press Assumptions'!$B$35*'1. Press Assumptions'!$D$89*$A11^7</f>
        <v/>
      </c>
      <c r="K84" s="306">
        <f>'1. Press Assumptions'!$B$35*'1. Press Assumptions'!$D$89*$A11^8</f>
        <v/>
      </c>
      <c r="L84" s="306">
        <f>'1. Press Assumptions'!$B$35*'1. Press Assumptions'!$D$89*$A11^9</f>
        <v/>
      </c>
      <c r="M84" s="306">
        <f>'1. Press Assumptions'!$B$35*'1. Press Assumptions'!$D$89*$A11^10</f>
        <v/>
      </c>
      <c r="N84" s="306">
        <f>'1. Press Assumptions'!$B$35*'1. Press Assumptions'!$D$89*$A11^11</f>
        <v/>
      </c>
      <c r="O84" s="306">
        <f>'1. Press Assumptions'!$B$35*'1. Press Assumptions'!$D$89*$A11^12</f>
        <v/>
      </c>
      <c r="P84" s="306">
        <f>'1. Press Assumptions'!$B$35*'1. Press Assumptions'!$D$89*$A11^13</f>
        <v/>
      </c>
      <c r="Q84" s="306">
        <f>'1. Press Assumptions'!$B$35*'1. Press Assumptions'!$D$89*$A11^14</f>
        <v/>
      </c>
    </row>
    <row r="85">
      <c r="B85" s="306">
        <f>-'1. Press Assumptions'!$D$89*G$5</f>
        <v/>
      </c>
      <c r="C85" s="306">
        <f>'1. Press Assumptions'!$B$35*'1. Press Assumptions'!$D$89*$A11^0</f>
        <v/>
      </c>
      <c r="D85" s="306">
        <f>'1. Press Assumptions'!$B$35*'1. Press Assumptions'!$D$89*$A11^1</f>
        <v/>
      </c>
      <c r="E85" s="306">
        <f>'1. Press Assumptions'!$B$35*'1. Press Assumptions'!$D$89*$A11^2</f>
        <v/>
      </c>
      <c r="F85" s="306">
        <f>'1. Press Assumptions'!$B$35*'1. Press Assumptions'!$D$89*$A11^3</f>
        <v/>
      </c>
      <c r="G85" s="306">
        <f>'1. Press Assumptions'!$B$35*'1. Press Assumptions'!$D$89*$A11^4</f>
        <v/>
      </c>
      <c r="H85" s="306">
        <f>'1. Press Assumptions'!$B$35*'1. Press Assumptions'!$D$89*$A11^5</f>
        <v/>
      </c>
      <c r="I85" s="306">
        <f>'1. Press Assumptions'!$B$35*'1. Press Assumptions'!$D$89*$A11^6</f>
        <v/>
      </c>
      <c r="J85" s="306">
        <f>'1. Press Assumptions'!$B$35*'1. Press Assumptions'!$D$89*$A11^7</f>
        <v/>
      </c>
      <c r="K85" s="306">
        <f>'1. Press Assumptions'!$B$35*'1. Press Assumptions'!$D$89*$A11^8</f>
        <v/>
      </c>
      <c r="L85" s="306">
        <f>'1. Press Assumptions'!$B$35*'1. Press Assumptions'!$D$89*$A11^9</f>
        <v/>
      </c>
      <c r="M85" s="306">
        <f>'1. Press Assumptions'!$B$35*'1. Press Assumptions'!$D$89*$A11^10</f>
        <v/>
      </c>
      <c r="N85" s="306">
        <f>'1. Press Assumptions'!$B$35*'1. Press Assumptions'!$D$89*$A11^11</f>
        <v/>
      </c>
      <c r="O85" s="306">
        <f>'1. Press Assumptions'!$B$35*'1. Press Assumptions'!$D$89*$A11^12</f>
        <v/>
      </c>
      <c r="P85" s="306">
        <f>'1. Press Assumptions'!$B$35*'1. Press Assumptions'!$D$89*$A11^13</f>
        <v/>
      </c>
      <c r="Q85" s="306">
        <f>'1. Press Assumptions'!$B$35*'1. Press Assumptions'!$D$89*$A11^14</f>
        <v/>
      </c>
    </row>
    <row r="86">
      <c r="B86" s="306">
        <f>-'1. Press Assumptions'!$D$89*H$5</f>
        <v/>
      </c>
      <c r="C86" s="306">
        <f>'1. Press Assumptions'!$B$35*'1. Press Assumptions'!$D$89*$A11^0</f>
        <v/>
      </c>
      <c r="D86" s="306">
        <f>'1. Press Assumptions'!$B$35*'1. Press Assumptions'!$D$89*$A11^1</f>
        <v/>
      </c>
      <c r="E86" s="306">
        <f>'1. Press Assumptions'!$B$35*'1. Press Assumptions'!$D$89*$A11^2</f>
        <v/>
      </c>
      <c r="F86" s="306">
        <f>'1. Press Assumptions'!$B$35*'1. Press Assumptions'!$D$89*$A11^3</f>
        <v/>
      </c>
      <c r="G86" s="306">
        <f>'1. Press Assumptions'!$B$35*'1. Press Assumptions'!$D$89*$A11^4</f>
        <v/>
      </c>
      <c r="H86" s="306">
        <f>'1. Press Assumptions'!$B$35*'1. Press Assumptions'!$D$89*$A11^5</f>
        <v/>
      </c>
      <c r="I86" s="306">
        <f>'1. Press Assumptions'!$B$35*'1. Press Assumptions'!$D$89*$A11^6</f>
        <v/>
      </c>
      <c r="J86" s="306">
        <f>'1. Press Assumptions'!$B$35*'1. Press Assumptions'!$D$89*$A11^7</f>
        <v/>
      </c>
      <c r="K86" s="306">
        <f>'1. Press Assumptions'!$B$35*'1. Press Assumptions'!$D$89*$A11^8</f>
        <v/>
      </c>
      <c r="L86" s="306">
        <f>'1. Press Assumptions'!$B$35*'1. Press Assumptions'!$D$89*$A11^9</f>
        <v/>
      </c>
      <c r="M86" s="306">
        <f>'1. Press Assumptions'!$B$35*'1. Press Assumptions'!$D$89*$A11^10</f>
        <v/>
      </c>
      <c r="N86" s="306">
        <f>'1. Press Assumptions'!$B$35*'1. Press Assumptions'!$D$89*$A11^11</f>
        <v/>
      </c>
      <c r="O86" s="306">
        <f>'1. Press Assumptions'!$B$35*'1. Press Assumptions'!$D$89*$A11^12</f>
        <v/>
      </c>
      <c r="P86" s="306">
        <f>'1. Press Assumptions'!$B$35*'1. Press Assumptions'!$D$89*$A11^13</f>
        <v/>
      </c>
      <c r="Q86" s="306">
        <f>'1. Press Assumptions'!$B$35*'1. Press Assumptions'!$D$89*$A11^14</f>
        <v/>
      </c>
    </row>
    <row r="87">
      <c r="B87" s="306">
        <f>-'1. Press Assumptions'!$D$89*B$5</f>
        <v/>
      </c>
      <c r="C87" s="306">
        <f>'1. Press Assumptions'!$B$35*'1. Press Assumptions'!$D$89*$A12^0</f>
        <v/>
      </c>
      <c r="D87" s="306">
        <f>'1. Press Assumptions'!$B$35*'1. Press Assumptions'!$D$89*$A12^1</f>
        <v/>
      </c>
      <c r="E87" s="306">
        <f>'1. Press Assumptions'!$B$35*'1. Press Assumptions'!$D$89*$A12^2</f>
        <v/>
      </c>
      <c r="F87" s="306">
        <f>'1. Press Assumptions'!$B$35*'1. Press Assumptions'!$D$89*$A12^3</f>
        <v/>
      </c>
      <c r="G87" s="306">
        <f>'1. Press Assumptions'!$B$35*'1. Press Assumptions'!$D$89*$A12^4</f>
        <v/>
      </c>
      <c r="H87" s="306">
        <f>'1. Press Assumptions'!$B$35*'1. Press Assumptions'!$D$89*$A12^5</f>
        <v/>
      </c>
      <c r="I87" s="306">
        <f>'1. Press Assumptions'!$B$35*'1. Press Assumptions'!$D$89*$A12^6</f>
        <v/>
      </c>
      <c r="J87" s="306">
        <f>'1. Press Assumptions'!$B$35*'1. Press Assumptions'!$D$89*$A12^7</f>
        <v/>
      </c>
      <c r="K87" s="306">
        <f>'1. Press Assumptions'!$B$35*'1. Press Assumptions'!$D$89*$A12^8</f>
        <v/>
      </c>
      <c r="L87" s="306">
        <f>'1. Press Assumptions'!$B$35*'1. Press Assumptions'!$D$89*$A12^9</f>
        <v/>
      </c>
      <c r="M87" s="306">
        <f>'1. Press Assumptions'!$B$35*'1. Press Assumptions'!$D$89*$A12^10</f>
        <v/>
      </c>
      <c r="N87" s="306">
        <f>'1. Press Assumptions'!$B$35*'1. Press Assumptions'!$D$89*$A12^11</f>
        <v/>
      </c>
      <c r="O87" s="306">
        <f>'1. Press Assumptions'!$B$35*'1. Press Assumptions'!$D$89*$A12^12</f>
        <v/>
      </c>
      <c r="P87" s="306">
        <f>'1. Press Assumptions'!$B$35*'1. Press Assumptions'!$D$89*$A12^13</f>
        <v/>
      </c>
      <c r="Q87" s="306">
        <f>'1. Press Assumptions'!$B$35*'1. Press Assumptions'!$D$89*$A12^14</f>
        <v/>
      </c>
    </row>
    <row r="88">
      <c r="B88" s="306">
        <f>-'1. Press Assumptions'!$D$89*C$5</f>
        <v/>
      </c>
      <c r="C88" s="306">
        <f>'1. Press Assumptions'!$B$35*'1. Press Assumptions'!$D$89*$A12^0</f>
        <v/>
      </c>
      <c r="D88" s="306">
        <f>'1. Press Assumptions'!$B$35*'1. Press Assumptions'!$D$89*$A12^1</f>
        <v/>
      </c>
      <c r="E88" s="306">
        <f>'1. Press Assumptions'!$B$35*'1. Press Assumptions'!$D$89*$A12^2</f>
        <v/>
      </c>
      <c r="F88" s="306">
        <f>'1. Press Assumptions'!$B$35*'1. Press Assumptions'!$D$89*$A12^3</f>
        <v/>
      </c>
      <c r="G88" s="306">
        <f>'1. Press Assumptions'!$B$35*'1. Press Assumptions'!$D$89*$A12^4</f>
        <v/>
      </c>
      <c r="H88" s="306">
        <f>'1. Press Assumptions'!$B$35*'1. Press Assumptions'!$D$89*$A12^5</f>
        <v/>
      </c>
      <c r="I88" s="306">
        <f>'1. Press Assumptions'!$B$35*'1. Press Assumptions'!$D$89*$A12^6</f>
        <v/>
      </c>
      <c r="J88" s="306">
        <f>'1. Press Assumptions'!$B$35*'1. Press Assumptions'!$D$89*$A12^7</f>
        <v/>
      </c>
      <c r="K88" s="306">
        <f>'1. Press Assumptions'!$B$35*'1. Press Assumptions'!$D$89*$A12^8</f>
        <v/>
      </c>
      <c r="L88" s="306">
        <f>'1. Press Assumptions'!$B$35*'1. Press Assumptions'!$D$89*$A12^9</f>
        <v/>
      </c>
      <c r="M88" s="306">
        <f>'1. Press Assumptions'!$B$35*'1. Press Assumptions'!$D$89*$A12^10</f>
        <v/>
      </c>
      <c r="N88" s="306">
        <f>'1. Press Assumptions'!$B$35*'1. Press Assumptions'!$D$89*$A12^11</f>
        <v/>
      </c>
      <c r="O88" s="306">
        <f>'1. Press Assumptions'!$B$35*'1. Press Assumptions'!$D$89*$A12^12</f>
        <v/>
      </c>
      <c r="P88" s="306">
        <f>'1. Press Assumptions'!$B$35*'1. Press Assumptions'!$D$89*$A12^13</f>
        <v/>
      </c>
      <c r="Q88" s="306">
        <f>'1. Press Assumptions'!$B$35*'1. Press Assumptions'!$D$89*$A12^14</f>
        <v/>
      </c>
    </row>
    <row r="89">
      <c r="B89" s="306">
        <f>-'1. Press Assumptions'!$D$89*D$5</f>
        <v/>
      </c>
      <c r="C89" s="306">
        <f>'1. Press Assumptions'!$B$35*'1. Press Assumptions'!$D$89*$A12^0</f>
        <v/>
      </c>
      <c r="D89" s="306">
        <f>'1. Press Assumptions'!$B$35*'1. Press Assumptions'!$D$89*$A12^1</f>
        <v/>
      </c>
      <c r="E89" s="306">
        <f>'1. Press Assumptions'!$B$35*'1. Press Assumptions'!$D$89*$A12^2</f>
        <v/>
      </c>
      <c r="F89" s="306">
        <f>'1. Press Assumptions'!$B$35*'1. Press Assumptions'!$D$89*$A12^3</f>
        <v/>
      </c>
      <c r="G89" s="306">
        <f>'1. Press Assumptions'!$B$35*'1. Press Assumptions'!$D$89*$A12^4</f>
        <v/>
      </c>
      <c r="H89" s="306">
        <f>'1. Press Assumptions'!$B$35*'1. Press Assumptions'!$D$89*$A12^5</f>
        <v/>
      </c>
      <c r="I89" s="306">
        <f>'1. Press Assumptions'!$B$35*'1. Press Assumptions'!$D$89*$A12^6</f>
        <v/>
      </c>
      <c r="J89" s="306">
        <f>'1. Press Assumptions'!$B$35*'1. Press Assumptions'!$D$89*$A12^7</f>
        <v/>
      </c>
      <c r="K89" s="306">
        <f>'1. Press Assumptions'!$B$35*'1. Press Assumptions'!$D$89*$A12^8</f>
        <v/>
      </c>
      <c r="L89" s="306">
        <f>'1. Press Assumptions'!$B$35*'1. Press Assumptions'!$D$89*$A12^9</f>
        <v/>
      </c>
      <c r="M89" s="306">
        <f>'1. Press Assumptions'!$B$35*'1. Press Assumptions'!$D$89*$A12^10</f>
        <v/>
      </c>
      <c r="N89" s="306">
        <f>'1. Press Assumptions'!$B$35*'1. Press Assumptions'!$D$89*$A12^11</f>
        <v/>
      </c>
      <c r="O89" s="306">
        <f>'1. Press Assumptions'!$B$35*'1. Press Assumptions'!$D$89*$A12^12</f>
        <v/>
      </c>
      <c r="P89" s="306">
        <f>'1. Press Assumptions'!$B$35*'1. Press Assumptions'!$D$89*$A12^13</f>
        <v/>
      </c>
      <c r="Q89" s="306">
        <f>'1. Press Assumptions'!$B$35*'1. Press Assumptions'!$D$89*$A12^14</f>
        <v/>
      </c>
    </row>
    <row r="90">
      <c r="B90" s="306">
        <f>-'1. Press Assumptions'!$D$89*E$5</f>
        <v/>
      </c>
      <c r="C90" s="306">
        <f>'1. Press Assumptions'!$B$35*'1. Press Assumptions'!$D$89*$A12^0</f>
        <v/>
      </c>
      <c r="D90" s="306">
        <f>'1. Press Assumptions'!$B$35*'1. Press Assumptions'!$D$89*$A12^1</f>
        <v/>
      </c>
      <c r="E90" s="306">
        <f>'1. Press Assumptions'!$B$35*'1. Press Assumptions'!$D$89*$A12^2</f>
        <v/>
      </c>
      <c r="F90" s="306">
        <f>'1. Press Assumptions'!$B$35*'1. Press Assumptions'!$D$89*$A12^3</f>
        <v/>
      </c>
      <c r="G90" s="306">
        <f>'1. Press Assumptions'!$B$35*'1. Press Assumptions'!$D$89*$A12^4</f>
        <v/>
      </c>
      <c r="H90" s="306">
        <f>'1. Press Assumptions'!$B$35*'1. Press Assumptions'!$D$89*$A12^5</f>
        <v/>
      </c>
      <c r="I90" s="306">
        <f>'1. Press Assumptions'!$B$35*'1. Press Assumptions'!$D$89*$A12^6</f>
        <v/>
      </c>
      <c r="J90" s="306">
        <f>'1. Press Assumptions'!$B$35*'1. Press Assumptions'!$D$89*$A12^7</f>
        <v/>
      </c>
      <c r="K90" s="306">
        <f>'1. Press Assumptions'!$B$35*'1. Press Assumptions'!$D$89*$A12^8</f>
        <v/>
      </c>
      <c r="L90" s="306">
        <f>'1. Press Assumptions'!$B$35*'1. Press Assumptions'!$D$89*$A12^9</f>
        <v/>
      </c>
      <c r="M90" s="306">
        <f>'1. Press Assumptions'!$B$35*'1. Press Assumptions'!$D$89*$A12^10</f>
        <v/>
      </c>
      <c r="N90" s="306">
        <f>'1. Press Assumptions'!$B$35*'1. Press Assumptions'!$D$89*$A12^11</f>
        <v/>
      </c>
      <c r="O90" s="306">
        <f>'1. Press Assumptions'!$B$35*'1. Press Assumptions'!$D$89*$A12^12</f>
        <v/>
      </c>
      <c r="P90" s="306">
        <f>'1. Press Assumptions'!$B$35*'1. Press Assumptions'!$D$89*$A12^13</f>
        <v/>
      </c>
      <c r="Q90" s="306">
        <f>'1. Press Assumptions'!$B$35*'1. Press Assumptions'!$D$89*$A12^14</f>
        <v/>
      </c>
    </row>
    <row r="91">
      <c r="B91" s="306">
        <f>-'1. Press Assumptions'!$D$89*F$5</f>
        <v/>
      </c>
      <c r="C91" s="306">
        <f>'1. Press Assumptions'!$B$35*'1. Press Assumptions'!$D$89*$A12^0</f>
        <v/>
      </c>
      <c r="D91" s="306">
        <f>'1. Press Assumptions'!$B$35*'1. Press Assumptions'!$D$89*$A12^1</f>
        <v/>
      </c>
      <c r="E91" s="306">
        <f>'1. Press Assumptions'!$B$35*'1. Press Assumptions'!$D$89*$A12^2</f>
        <v/>
      </c>
      <c r="F91" s="306">
        <f>'1. Press Assumptions'!$B$35*'1. Press Assumptions'!$D$89*$A12^3</f>
        <v/>
      </c>
      <c r="G91" s="306">
        <f>'1. Press Assumptions'!$B$35*'1. Press Assumptions'!$D$89*$A12^4</f>
        <v/>
      </c>
      <c r="H91" s="306">
        <f>'1. Press Assumptions'!$B$35*'1. Press Assumptions'!$D$89*$A12^5</f>
        <v/>
      </c>
      <c r="I91" s="306">
        <f>'1. Press Assumptions'!$B$35*'1. Press Assumptions'!$D$89*$A12^6</f>
        <v/>
      </c>
      <c r="J91" s="306">
        <f>'1. Press Assumptions'!$B$35*'1. Press Assumptions'!$D$89*$A12^7</f>
        <v/>
      </c>
      <c r="K91" s="306">
        <f>'1. Press Assumptions'!$B$35*'1. Press Assumptions'!$D$89*$A12^8</f>
        <v/>
      </c>
      <c r="L91" s="306">
        <f>'1. Press Assumptions'!$B$35*'1. Press Assumptions'!$D$89*$A12^9</f>
        <v/>
      </c>
      <c r="M91" s="306">
        <f>'1. Press Assumptions'!$B$35*'1. Press Assumptions'!$D$89*$A12^10</f>
        <v/>
      </c>
      <c r="N91" s="306">
        <f>'1. Press Assumptions'!$B$35*'1. Press Assumptions'!$D$89*$A12^11</f>
        <v/>
      </c>
      <c r="O91" s="306">
        <f>'1. Press Assumptions'!$B$35*'1. Press Assumptions'!$D$89*$A12^12</f>
        <v/>
      </c>
      <c r="P91" s="306">
        <f>'1. Press Assumptions'!$B$35*'1. Press Assumptions'!$D$89*$A12^13</f>
        <v/>
      </c>
      <c r="Q91" s="306">
        <f>'1. Press Assumptions'!$B$35*'1. Press Assumptions'!$D$89*$A12^14</f>
        <v/>
      </c>
    </row>
    <row r="92">
      <c r="B92" s="306">
        <f>-'1. Press Assumptions'!$D$89*G$5</f>
        <v/>
      </c>
      <c r="C92" s="306">
        <f>'1. Press Assumptions'!$B$35*'1. Press Assumptions'!$D$89*$A12^0</f>
        <v/>
      </c>
      <c r="D92" s="306">
        <f>'1. Press Assumptions'!$B$35*'1. Press Assumptions'!$D$89*$A12^1</f>
        <v/>
      </c>
      <c r="E92" s="306">
        <f>'1. Press Assumptions'!$B$35*'1. Press Assumptions'!$D$89*$A12^2</f>
        <v/>
      </c>
      <c r="F92" s="306">
        <f>'1. Press Assumptions'!$B$35*'1. Press Assumptions'!$D$89*$A12^3</f>
        <v/>
      </c>
      <c r="G92" s="306">
        <f>'1. Press Assumptions'!$B$35*'1. Press Assumptions'!$D$89*$A12^4</f>
        <v/>
      </c>
      <c r="H92" s="306">
        <f>'1. Press Assumptions'!$B$35*'1. Press Assumptions'!$D$89*$A12^5</f>
        <v/>
      </c>
      <c r="I92" s="306">
        <f>'1. Press Assumptions'!$B$35*'1. Press Assumptions'!$D$89*$A12^6</f>
        <v/>
      </c>
      <c r="J92" s="306">
        <f>'1. Press Assumptions'!$B$35*'1. Press Assumptions'!$D$89*$A12^7</f>
        <v/>
      </c>
      <c r="K92" s="306">
        <f>'1. Press Assumptions'!$B$35*'1. Press Assumptions'!$D$89*$A12^8</f>
        <v/>
      </c>
      <c r="L92" s="306">
        <f>'1. Press Assumptions'!$B$35*'1. Press Assumptions'!$D$89*$A12^9</f>
        <v/>
      </c>
      <c r="M92" s="306">
        <f>'1. Press Assumptions'!$B$35*'1. Press Assumptions'!$D$89*$A12^10</f>
        <v/>
      </c>
      <c r="N92" s="306">
        <f>'1. Press Assumptions'!$B$35*'1. Press Assumptions'!$D$89*$A12^11</f>
        <v/>
      </c>
      <c r="O92" s="306">
        <f>'1. Press Assumptions'!$B$35*'1. Press Assumptions'!$D$89*$A12^12</f>
        <v/>
      </c>
      <c r="P92" s="306">
        <f>'1. Press Assumptions'!$B$35*'1. Press Assumptions'!$D$89*$A12^13</f>
        <v/>
      </c>
      <c r="Q92" s="306">
        <f>'1. Press Assumptions'!$B$35*'1. Press Assumptions'!$D$89*$A12^14</f>
        <v/>
      </c>
    </row>
    <row r="93">
      <c r="B93" s="306">
        <f>-'1. Press Assumptions'!$D$89*H$5</f>
        <v/>
      </c>
      <c r="C93" s="306">
        <f>'1. Press Assumptions'!$B$35*'1. Press Assumptions'!$D$89*$A12^0</f>
        <v/>
      </c>
      <c r="D93" s="306">
        <f>'1. Press Assumptions'!$B$35*'1. Press Assumptions'!$D$89*$A12^1</f>
        <v/>
      </c>
      <c r="E93" s="306">
        <f>'1. Press Assumptions'!$B$35*'1. Press Assumptions'!$D$89*$A12^2</f>
        <v/>
      </c>
      <c r="F93" s="306">
        <f>'1. Press Assumptions'!$B$35*'1. Press Assumptions'!$D$89*$A12^3</f>
        <v/>
      </c>
      <c r="G93" s="306">
        <f>'1. Press Assumptions'!$B$35*'1. Press Assumptions'!$D$89*$A12^4</f>
        <v/>
      </c>
      <c r="H93" s="306">
        <f>'1. Press Assumptions'!$B$35*'1. Press Assumptions'!$D$89*$A12^5</f>
        <v/>
      </c>
      <c r="I93" s="306">
        <f>'1. Press Assumptions'!$B$35*'1. Press Assumptions'!$D$89*$A12^6</f>
        <v/>
      </c>
      <c r="J93" s="306">
        <f>'1. Press Assumptions'!$B$35*'1. Press Assumptions'!$D$89*$A12^7</f>
        <v/>
      </c>
      <c r="K93" s="306">
        <f>'1. Press Assumptions'!$B$35*'1. Press Assumptions'!$D$89*$A12^8</f>
        <v/>
      </c>
      <c r="L93" s="306">
        <f>'1. Press Assumptions'!$B$35*'1. Press Assumptions'!$D$89*$A12^9</f>
        <v/>
      </c>
      <c r="M93" s="306">
        <f>'1. Press Assumptions'!$B$35*'1. Press Assumptions'!$D$89*$A12^10</f>
        <v/>
      </c>
      <c r="N93" s="306">
        <f>'1. Press Assumptions'!$B$35*'1. Press Assumptions'!$D$89*$A12^11</f>
        <v/>
      </c>
      <c r="O93" s="306">
        <f>'1. Press Assumptions'!$B$35*'1. Press Assumptions'!$D$89*$A12^12</f>
        <v/>
      </c>
      <c r="P93" s="306">
        <f>'1. Press Assumptions'!$B$35*'1. Press Assumptions'!$D$89*$A12^13</f>
        <v/>
      </c>
      <c r="Q93" s="306">
        <f>'1. Press Assumptions'!$B$35*'1. Press Assumptions'!$D$89*$A12^14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S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6" min="1" max="1"/>
    <col width="16" customWidth="1" style="306" min="2" max="13"/>
    <col width="16" customWidth="1" style="307" min="3" max="3"/>
    <col width="16" customWidth="1" style="307" min="4" max="4"/>
    <col width="12" customWidth="1" style="307" min="5" max="5"/>
    <col width="12" customWidth="1" style="307" min="6" max="6"/>
    <col width="12" customWidth="1" style="307" min="7" max="7"/>
  </cols>
  <sheetData>
    <row r="1" ht="15.75" customHeight="1" s="307">
      <c r="A1" s="612" t="inlineStr">
        <is>
          <t>FUND I  --  NDR SENSITIVITY (single source = engine sweep)</t>
        </is>
      </c>
      <c r="B1" s="613" t="n"/>
      <c r="C1" s="613" t="n"/>
      <c r="D1" s="613" t="n"/>
      <c r="E1" s="613" t="n"/>
      <c r="F1" s="613" t="n"/>
      <c r="G1" s="613" t="n"/>
      <c r="H1" s="613" t="n"/>
      <c r="I1" s="613" t="n"/>
      <c r="J1" s="613" t="n"/>
      <c r="K1" s="613" t="n"/>
      <c r="L1" s="613" t="n"/>
      <c r="M1" s="613" t="n"/>
      <c r="N1" s="613" t="n"/>
      <c r="O1" s="613" t="n"/>
      <c r="P1" s="613" t="n"/>
      <c r="Q1" s="613" t="n"/>
      <c r="R1" s="613" t="n"/>
      <c r="S1" s="613" t="n"/>
    </row>
    <row r="2" ht="15" customHeight="1" s="307">
      <c r="A2" s="593" t="inlineStr">
        <is>
          <t>Generated 2026-07-02 via sweep_sensitivity.py from the 3 engines. Scenario-independent (full NDR curve). 80/85/90 = primary band; 95/100 = extended reference.</t>
        </is>
      </c>
      <c r="B2" s="614" t="n"/>
      <c r="C2" s="614" t="n"/>
      <c r="D2" s="614" t="n"/>
      <c r="E2" s="614" t="n"/>
      <c r="F2" s="614" t="n"/>
      <c r="G2" s="614" t="n"/>
      <c r="H2" s="614" t="n"/>
      <c r="I2" s="614" t="n"/>
      <c r="J2" s="614" t="n"/>
      <c r="K2" s="614" t="n"/>
      <c r="L2" s="614" t="n"/>
      <c r="M2" s="614" t="n"/>
      <c r="N2" s="613" t="n"/>
      <c r="O2" s="613" t="n"/>
      <c r="P2" s="613" t="n"/>
      <c r="Q2" s="613" t="n"/>
      <c r="R2" s="613" t="n"/>
      <c r="S2" s="613" t="n"/>
    </row>
    <row r="3" ht="15" customHeight="1" s="307">
      <c r="A3" s="614" t="n"/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3" t="n"/>
      <c r="O3" s="613" t="n"/>
      <c r="P3" s="613" t="n"/>
      <c r="Q3" s="613" t="n"/>
      <c r="R3" s="613" t="n"/>
      <c r="S3" s="613" t="n"/>
    </row>
    <row r="4" ht="15" customHeight="1" s="307">
      <c r="A4" s="616" t="inlineStr">
        <is>
          <t>10Y DPI (LP MOIC)</t>
        </is>
      </c>
      <c r="B4" s="731" t="n"/>
      <c r="C4" s="731" t="n"/>
      <c r="D4" s="731" t="n"/>
      <c r="E4" s="684" t="n"/>
      <c r="F4" s="684" t="n"/>
      <c r="G4" s="684" t="n"/>
      <c r="H4" s="613" t="n"/>
      <c r="I4" s="613" t="n"/>
      <c r="J4" s="613" t="n"/>
      <c r="K4" s="613" t="n"/>
      <c r="L4" s="613" t="n"/>
      <c r="M4" s="613" t="n"/>
      <c r="N4" s="613" t="n"/>
      <c r="O4" s="613" t="n"/>
      <c r="P4" s="613" t="n"/>
      <c r="Q4" s="613" t="n"/>
      <c r="R4" s="613" t="n"/>
      <c r="S4" s="613" t="n"/>
    </row>
    <row r="5" ht="15" customHeight="1" s="307">
      <c r="A5" s="612" t="inlineStr">
        <is>
          <t>NDR</t>
        </is>
      </c>
      <c r="B5" s="654" t="inlineStr">
        <is>
          <t>No Recycle</t>
        </is>
      </c>
      <c r="C5" s="654" t="inlineStr">
        <is>
          <t>50% Recycle</t>
        </is>
      </c>
      <c r="D5" s="654" t="inlineStr">
        <is>
          <t>100% Recycle</t>
        </is>
      </c>
      <c r="E5" s="684" t="n"/>
      <c r="F5" s="684" t="n"/>
      <c r="G5" s="684" t="n"/>
      <c r="H5" s="614" t="n"/>
      <c r="I5" s="614" t="n"/>
      <c r="J5" s="614" t="n"/>
      <c r="K5" s="614" t="n"/>
      <c r="L5" s="614" t="n"/>
      <c r="M5" s="614" t="n"/>
      <c r="N5" s="613" t="n"/>
      <c r="O5" s="613" t="n"/>
      <c r="P5" s="613" t="n"/>
      <c r="Q5" s="613" t="n"/>
      <c r="R5" s="613" t="n"/>
      <c r="S5" s="613" t="n"/>
    </row>
    <row r="6" ht="15" customHeight="1" s="307">
      <c r="A6" s="732" t="n">
        <v>0.8</v>
      </c>
      <c r="B6" s="733" t="n">
        <v>1.62971948794072</v>
      </c>
      <c r="C6" s="733" t="n">
        <v>2.19263705239914</v>
      </c>
      <c r="D6" s="733" t="n">
        <v>2.35344970902098</v>
      </c>
      <c r="E6" s="686" t="n"/>
      <c r="F6" s="686" t="n"/>
      <c r="G6" s="686" t="n"/>
      <c r="H6" s="614" t="n"/>
      <c r="I6" s="614" t="n"/>
      <c r="J6" s="614" t="n"/>
      <c r="K6" s="614" t="n"/>
      <c r="L6" s="614" t="n"/>
      <c r="M6" s="614" t="n"/>
      <c r="N6" s="613" t="n"/>
      <c r="O6" s="613" t="n"/>
      <c r="P6" s="613" t="n"/>
      <c r="Q6" s="613" t="n"/>
      <c r="R6" s="613" t="n"/>
      <c r="S6" s="613" t="n"/>
    </row>
    <row r="7" ht="15" customHeight="1" s="307">
      <c r="A7" s="734" t="n">
        <v>0.85</v>
      </c>
      <c r="B7" s="735" t="n">
        <v>2.06518807813224</v>
      </c>
      <c r="C7" s="735" t="n">
        <v>2.79432920608267</v>
      </c>
      <c r="D7" s="735" t="n">
        <v>3.0714077208337</v>
      </c>
      <c r="E7" s="619" t="n"/>
      <c r="F7" s="619" t="n"/>
      <c r="G7" s="619" t="n"/>
      <c r="H7" s="614" t="n"/>
      <c r="I7" s="614" t="n"/>
      <c r="J7" s="614" t="n"/>
      <c r="K7" s="614" t="n"/>
      <c r="L7" s="614" t="n"/>
      <c r="M7" s="614" t="n"/>
      <c r="N7" s="613" t="n"/>
      <c r="O7" s="613" t="n"/>
      <c r="P7" s="613" t="n"/>
      <c r="Q7" s="613" t="n"/>
      <c r="R7" s="613" t="n"/>
      <c r="S7" s="613" t="n"/>
    </row>
    <row r="8" ht="15" customHeight="1" s="307">
      <c r="A8" s="732" t="n">
        <v>0.9</v>
      </c>
      <c r="B8" s="733" t="n">
        <v>2.56738835378215</v>
      </c>
      <c r="C8" s="733" t="n">
        <v>3.49900219868999</v>
      </c>
      <c r="D8" s="733" t="n">
        <v>3.90731289268445</v>
      </c>
      <c r="E8" s="689" t="n"/>
      <c r="F8" s="689" t="n"/>
      <c r="G8" s="689" t="n"/>
      <c r="H8" s="614" t="n"/>
      <c r="I8" s="614" t="n"/>
      <c r="J8" s="614" t="n"/>
      <c r="K8" s="614" t="n"/>
      <c r="L8" s="614" t="n"/>
      <c r="M8" s="614" t="n"/>
      <c r="N8" s="613" t="n"/>
      <c r="O8" s="613" t="n"/>
      <c r="P8" s="613" t="n"/>
      <c r="Q8" s="613" t="n"/>
      <c r="R8" s="613" t="n"/>
      <c r="S8" s="613" t="n"/>
    </row>
    <row r="9" ht="15" customHeight="1" s="307">
      <c r="A9" s="736" t="n">
        <v>0.95</v>
      </c>
      <c r="B9" s="737" t="n">
        <v>3.18536945293347</v>
      </c>
      <c r="C9" s="737" t="n">
        <v>4.3673480694482</v>
      </c>
      <c r="D9" s="737" t="n">
        <v>4.92921650289886</v>
      </c>
      <c r="E9" s="619" t="n"/>
      <c r="F9" s="619" t="n"/>
      <c r="G9" s="619" t="n"/>
      <c r="H9" s="614" t="n"/>
      <c r="I9" s="614" t="n"/>
      <c r="J9" s="614" t="n"/>
      <c r="K9" s="614" t="n"/>
      <c r="L9" s="614" t="n"/>
      <c r="M9" s="614" t="n"/>
      <c r="N9" s="613" t="n"/>
      <c r="O9" s="613" t="n"/>
      <c r="P9" s="613" t="n"/>
      <c r="Q9" s="613" t="n"/>
      <c r="R9" s="613" t="n"/>
      <c r="S9" s="613" t="n"/>
    </row>
    <row r="10" ht="15" customHeight="1" s="307">
      <c r="A10" s="736" t="n">
        <v>1</v>
      </c>
      <c r="B10" s="737" t="n">
        <v>3.94106695444183</v>
      </c>
      <c r="C10" s="737" t="n">
        <v>5.42976339825328</v>
      </c>
      <c r="D10" s="737" t="n">
        <v>6.16971882517543</v>
      </c>
      <c r="E10" s="619" t="n"/>
      <c r="F10" s="619" t="n"/>
      <c r="G10" s="619" t="n"/>
      <c r="H10" s="614" t="n"/>
      <c r="I10" s="614" t="n"/>
      <c r="J10" s="614" t="n"/>
      <c r="K10" s="614" t="n"/>
      <c r="L10" s="614" t="n"/>
      <c r="M10" s="614" t="n"/>
      <c r="N10" s="613" t="n"/>
      <c r="O10" s="613" t="n"/>
      <c r="P10" s="613" t="n"/>
      <c r="Q10" s="613" t="n"/>
      <c r="R10" s="613" t="n"/>
      <c r="S10" s="613" t="n"/>
    </row>
    <row r="11" ht="15" customHeight="1" s="307">
      <c r="A11" s="684" t="n"/>
      <c r="B11" s="686" t="n"/>
      <c r="C11" s="686" t="n"/>
      <c r="D11" s="686" t="n"/>
      <c r="E11" s="619" t="n"/>
      <c r="F11" s="619" t="n"/>
      <c r="G11" s="619" t="n"/>
      <c r="H11" s="614" t="n"/>
      <c r="I11" s="614" t="n"/>
      <c r="J11" s="614" t="n"/>
      <c r="K11" s="614" t="n"/>
      <c r="L11" s="614" t="n"/>
      <c r="M11" s="614" t="n"/>
      <c r="N11" s="613" t="n"/>
      <c r="O11" s="613" t="n"/>
      <c r="P11" s="613" t="n"/>
      <c r="Q11" s="613" t="n"/>
      <c r="R11" s="613" t="n"/>
      <c r="S11" s="613" t="n"/>
    </row>
    <row r="12" ht="15" customHeight="1" s="307">
      <c r="A12" s="613" t="n"/>
      <c r="B12" s="619" t="n"/>
      <c r="C12" s="619" t="n"/>
      <c r="D12" s="619" t="n"/>
      <c r="E12" s="619" t="n"/>
      <c r="F12" s="619" t="n"/>
      <c r="G12" s="619" t="n"/>
      <c r="H12" s="614" t="n"/>
      <c r="I12" s="614" t="n"/>
      <c r="J12" s="614" t="n"/>
      <c r="K12" s="614" t="n"/>
      <c r="L12" s="614" t="n"/>
      <c r="M12" s="614" t="n"/>
      <c r="N12" s="613" t="n"/>
      <c r="O12" s="613" t="n"/>
      <c r="P12" s="613" t="n"/>
      <c r="Q12" s="613" t="n"/>
      <c r="R12" s="613" t="n"/>
      <c r="S12" s="613" t="n"/>
    </row>
    <row r="13" ht="15" customHeight="1" s="307">
      <c r="A13" s="616" t="inlineStr">
        <is>
          <t>15Y DPI (LP MOIC)</t>
        </is>
      </c>
      <c r="B13" s="731" t="n"/>
      <c r="C13" s="731" t="n"/>
      <c r="D13" s="731" t="n"/>
      <c r="E13" s="684" t="n"/>
      <c r="F13" s="684" t="n"/>
      <c r="G13" s="684" t="n"/>
      <c r="H13" s="613" t="n"/>
      <c r="I13" s="613" t="n"/>
      <c r="J13" s="613" t="n"/>
      <c r="K13" s="613" t="n"/>
      <c r="L13" s="613" t="n"/>
      <c r="M13" s="613" t="n"/>
      <c r="N13" s="613" t="n"/>
      <c r="O13" s="613" t="n"/>
      <c r="P13" s="613" t="n"/>
      <c r="Q13" s="613" t="n"/>
      <c r="R13" s="613" t="n"/>
      <c r="S13" s="613" t="n"/>
    </row>
    <row r="14" ht="15" customHeight="1" s="307">
      <c r="A14" s="612" t="inlineStr">
        <is>
          <t>NDR</t>
        </is>
      </c>
      <c r="B14" s="697" t="inlineStr">
        <is>
          <t>No Recycle</t>
        </is>
      </c>
      <c r="C14" s="697" t="inlineStr">
        <is>
          <t>50% Recycle</t>
        </is>
      </c>
      <c r="D14" s="697" t="inlineStr">
        <is>
          <t>100% Recycle</t>
        </is>
      </c>
      <c r="E14" s="614" t="n"/>
      <c r="F14" s="614" t="n"/>
      <c r="G14" s="614" t="n"/>
      <c r="H14" s="614" t="n"/>
      <c r="I14" s="614" t="n"/>
      <c r="J14" s="614" t="n"/>
      <c r="K14" s="614" t="n"/>
      <c r="L14" s="614" t="n"/>
      <c r="M14" s="614" t="n"/>
      <c r="N14" s="613" t="n"/>
      <c r="O14" s="613" t="n"/>
      <c r="P14" s="613" t="n"/>
      <c r="Q14" s="613" t="n"/>
      <c r="R14" s="613" t="n"/>
      <c r="S14" s="613" t="n"/>
    </row>
    <row r="15" ht="15" customHeight="1" s="307">
      <c r="A15" s="732" t="n">
        <v>0.8</v>
      </c>
      <c r="B15" s="733" t="n">
        <v>1.67636167374184</v>
      </c>
      <c r="C15" s="733" t="n">
        <v>2.43926058898869</v>
      </c>
      <c r="D15" s="733" t="n">
        <v>2.66008845459605</v>
      </c>
      <c r="E15" s="614" t="n"/>
      <c r="F15" s="614" t="n"/>
      <c r="G15" s="614" t="n"/>
      <c r="H15" s="614" t="n"/>
      <c r="I15" s="614" t="n"/>
      <c r="J15" s="614" t="n"/>
      <c r="K15" s="614" t="n"/>
      <c r="L15" s="614" t="n"/>
      <c r="M15" s="614" t="n"/>
      <c r="N15" s="613" t="n"/>
      <c r="O15" s="613" t="n"/>
      <c r="P15" s="613" t="n"/>
      <c r="Q15" s="613" t="n"/>
      <c r="R15" s="613" t="n"/>
      <c r="S15" s="613" t="n"/>
    </row>
    <row r="16" ht="15" customHeight="1" s="307">
      <c r="A16" s="734" t="n">
        <v>0.85</v>
      </c>
      <c r="B16" s="735" t="n">
        <v>2.34449998184903</v>
      </c>
      <c r="C16" s="735" t="n">
        <v>3.4659818185476</v>
      </c>
      <c r="D16" s="735" t="n">
        <v>3.85880551393859</v>
      </c>
      <c r="E16" s="614" t="n"/>
      <c r="F16" s="614" t="n"/>
      <c r="G16" s="614" t="n"/>
      <c r="H16" s="614" t="n"/>
      <c r="I16" s="614" t="n"/>
      <c r="J16" s="614" t="n"/>
      <c r="K16" s="614" t="n"/>
      <c r="L16" s="614" t="n"/>
      <c r="M16" s="614" t="n"/>
      <c r="N16" s="613" t="n"/>
      <c r="O16" s="613" t="n"/>
      <c r="P16" s="613" t="n"/>
      <c r="Q16" s="613" t="n"/>
      <c r="R16" s="613" t="n"/>
      <c r="S16" s="613" t="n"/>
    </row>
    <row r="17" ht="15" customHeight="1" s="307">
      <c r="A17" s="732" t="n">
        <v>0.9</v>
      </c>
      <c r="B17" s="733" t="n">
        <v>3.04428084620128</v>
      </c>
      <c r="C17" s="733" t="n">
        <v>4.52874158593354</v>
      </c>
      <c r="D17" s="733" t="n">
        <v>5.10014869659063</v>
      </c>
      <c r="E17" s="614" t="n"/>
      <c r="F17" s="614" t="n"/>
      <c r="G17" s="614" t="n"/>
      <c r="H17" s="614" t="n"/>
      <c r="I17" s="614" t="n"/>
      <c r="J17" s="614" t="n"/>
      <c r="K17" s="614" t="n"/>
      <c r="L17" s="614" t="n"/>
      <c r="M17" s="614" t="n"/>
      <c r="N17" s="613" t="n"/>
      <c r="O17" s="613" t="n"/>
      <c r="P17" s="613" t="n"/>
      <c r="Q17" s="613" t="n"/>
      <c r="R17" s="613" t="n"/>
      <c r="S17" s="613" t="n"/>
    </row>
    <row r="18" ht="15" customHeight="1" s="307">
      <c r="A18" s="736" t="n">
        <v>0.95</v>
      </c>
      <c r="B18" s="737" t="n">
        <v>3.92305056257561</v>
      </c>
      <c r="C18" s="737" t="n">
        <v>5.86972981216654</v>
      </c>
      <c r="D18" s="737" t="n">
        <v>6.65719403758412</v>
      </c>
      <c r="E18" s="614" t="n"/>
      <c r="F18" s="614" t="n"/>
      <c r="G18" s="614" t="n"/>
      <c r="H18" s="614" t="n"/>
      <c r="I18" s="614" t="n"/>
      <c r="J18" s="614" t="n"/>
      <c r="K18" s="614" t="n"/>
      <c r="L18" s="614" t="n"/>
      <c r="M18" s="614" t="n"/>
      <c r="N18" s="613" t="n"/>
      <c r="O18" s="613" t="n"/>
      <c r="P18" s="613" t="n"/>
      <c r="Q18" s="613" t="n"/>
      <c r="R18" s="613" t="n"/>
      <c r="S18" s="613" t="n"/>
    </row>
    <row r="19" ht="15" customHeight="1" s="307">
      <c r="A19" s="736" t="n">
        <v>1</v>
      </c>
      <c r="B19" s="737" t="n">
        <v>5.01798065630612</v>
      </c>
      <c r="C19" s="737" t="n">
        <v>7.54695606772533</v>
      </c>
      <c r="D19" s="737" t="n">
        <v>8.593806176583231</v>
      </c>
      <c r="E19" s="614" t="n"/>
      <c r="F19" s="614" t="n"/>
      <c r="G19" s="614" t="n"/>
      <c r="H19" s="614" t="n"/>
      <c r="I19" s="614" t="n"/>
      <c r="J19" s="614" t="n"/>
      <c r="K19" s="614" t="n"/>
      <c r="L19" s="614" t="n"/>
      <c r="M19" s="614" t="n"/>
      <c r="N19" s="613" t="n"/>
      <c r="O19" s="613" t="n"/>
      <c r="P19" s="613" t="n"/>
      <c r="Q19" s="613" t="n"/>
      <c r="R19" s="613" t="n"/>
      <c r="S19" s="613" t="n"/>
    </row>
    <row r="20" ht="15" customHeight="1" s="307">
      <c r="A20" s="684" t="n"/>
      <c r="B20" s="684" t="n"/>
      <c r="C20" s="684" t="n"/>
      <c r="D20" s="684" t="n"/>
      <c r="E20" s="614" t="n"/>
      <c r="F20" s="614" t="n"/>
      <c r="G20" s="614" t="n"/>
      <c r="H20" s="614" t="n"/>
      <c r="I20" s="614" t="n"/>
      <c r="J20" s="614" t="n"/>
      <c r="K20" s="614" t="n"/>
      <c r="L20" s="614" t="n"/>
      <c r="M20" s="614" t="n"/>
      <c r="N20" s="613" t="n"/>
      <c r="O20" s="613" t="n"/>
      <c r="P20" s="613" t="n"/>
      <c r="Q20" s="613" t="n"/>
      <c r="R20" s="613" t="n"/>
      <c r="S20" s="613" t="n"/>
    </row>
    <row r="21" ht="15" customHeight="1" s="307">
      <c r="A21" s="614" t="n"/>
      <c r="B21" s="614" t="n"/>
      <c r="C21" s="614" t="n"/>
      <c r="D21" s="614" t="n"/>
      <c r="E21" s="614" t="n"/>
      <c r="F21" s="614" t="n"/>
      <c r="G21" s="614" t="n"/>
      <c r="H21" s="614" t="n"/>
      <c r="I21" s="614" t="n"/>
      <c r="J21" s="614" t="n"/>
      <c r="K21" s="614" t="n"/>
      <c r="L21" s="614" t="n"/>
      <c r="M21" s="614" t="n"/>
      <c r="N21" s="613" t="n"/>
      <c r="O21" s="613" t="n"/>
      <c r="P21" s="613" t="n"/>
      <c r="Q21" s="613" t="n"/>
      <c r="R21" s="613" t="n"/>
      <c r="S21" s="613" t="n"/>
    </row>
    <row r="22" ht="15" customHeight="1" s="307">
      <c r="A22" s="616" t="inlineStr">
        <is>
          <t>10Y STAGED IRR</t>
        </is>
      </c>
      <c r="B22" s="738" t="n"/>
      <c r="C22" s="738" t="n"/>
      <c r="D22" s="738" t="n"/>
      <c r="E22" s="613" t="n"/>
      <c r="F22" s="613" t="n"/>
      <c r="G22" s="613" t="n"/>
      <c r="H22" s="613" t="n"/>
      <c r="I22" s="613" t="n"/>
      <c r="J22" s="613" t="n"/>
      <c r="K22" s="613" t="n"/>
      <c r="L22" s="613" t="n"/>
      <c r="M22" s="613" t="n"/>
      <c r="N22" s="613" t="n"/>
      <c r="O22" s="613" t="n"/>
      <c r="P22" s="613" t="n"/>
      <c r="Q22" s="613" t="n"/>
      <c r="R22" s="613" t="n"/>
      <c r="S22" s="613" t="n"/>
    </row>
    <row r="23" ht="15" customHeight="1" s="307">
      <c r="A23" s="612" t="inlineStr">
        <is>
          <t>NDR</t>
        </is>
      </c>
      <c r="B23" s="697" t="inlineStr">
        <is>
          <t>No Recycle</t>
        </is>
      </c>
      <c r="C23" s="697" t="inlineStr">
        <is>
          <t>50% Recycle</t>
        </is>
      </c>
      <c r="D23" s="697" t="inlineStr">
        <is>
          <t>100% Recycle</t>
        </is>
      </c>
      <c r="E23" s="614" t="n"/>
      <c r="F23" s="614" t="n"/>
      <c r="G23" s="614" t="n"/>
      <c r="H23" s="614" t="n"/>
      <c r="I23" s="614" t="n"/>
      <c r="J23" s="614" t="n"/>
      <c r="K23" s="614" t="n"/>
      <c r="L23" s="614" t="n"/>
      <c r="M23" s="614" t="n"/>
      <c r="N23" s="613" t="n"/>
      <c r="O23" s="613" t="n"/>
      <c r="P23" s="613" t="n"/>
      <c r="Q23" s="613" t="n"/>
      <c r="R23" s="613" t="n"/>
      <c r="S23" s="613" t="n"/>
    </row>
    <row r="24" ht="15" customHeight="1" s="307">
      <c r="A24" s="732" t="n">
        <v>0.8</v>
      </c>
      <c r="B24" s="739" t="n">
        <v>0.127061431831501</v>
      </c>
      <c r="C24" s="739" t="n">
        <v>0.166334664110273</v>
      </c>
      <c r="D24" s="739" t="n">
        <v>0.163798182240988</v>
      </c>
      <c r="E24" s="614" t="n"/>
      <c r="F24" s="614" t="n"/>
      <c r="G24" s="614" t="n"/>
      <c r="H24" s="614" t="n"/>
      <c r="I24" s="614" t="n"/>
      <c r="J24" s="614" t="n"/>
      <c r="K24" s="614" t="n"/>
      <c r="L24" s="614" t="n"/>
      <c r="M24" s="614" t="n"/>
      <c r="N24" s="613" t="n"/>
      <c r="O24" s="613" t="n"/>
      <c r="P24" s="613" t="n"/>
      <c r="Q24" s="613" t="n"/>
      <c r="R24" s="613" t="n"/>
      <c r="S24" s="613" t="n"/>
    </row>
    <row r="25" ht="15" customHeight="1" s="307">
      <c r="A25" s="734" t="n">
        <v>0.85</v>
      </c>
      <c r="B25" s="740" t="n">
        <v>0.181880794658976</v>
      </c>
      <c r="C25" s="740" t="n">
        <v>0.21417985392998</v>
      </c>
      <c r="D25" s="740" t="n">
        <v>0.215252040467573</v>
      </c>
      <c r="E25" s="614" t="n"/>
      <c r="F25" s="614" t="n"/>
      <c r="G25" s="614" t="n"/>
      <c r="H25" s="614" t="n"/>
      <c r="I25" s="614" t="n"/>
      <c r="J25" s="614" t="n"/>
      <c r="K25" s="614" t="n"/>
      <c r="L25" s="614" t="n"/>
      <c r="M25" s="614" t="n"/>
      <c r="N25" s="613" t="n"/>
      <c r="O25" s="613" t="n"/>
      <c r="P25" s="613" t="n"/>
      <c r="Q25" s="613" t="n"/>
      <c r="R25" s="613" t="n"/>
      <c r="S25" s="613" t="n"/>
    </row>
    <row r="26" ht="15" customHeight="1" s="307">
      <c r="A26" s="732" t="n">
        <v>0.9</v>
      </c>
      <c r="B26" s="739" t="n">
        <v>0.232077333371276</v>
      </c>
      <c r="C26" s="739" t="n">
        <v>0.258991039210192</v>
      </c>
      <c r="D26" s="739" t="n">
        <v>0.262690088897729</v>
      </c>
      <c r="E26" s="614" t="n"/>
      <c r="F26" s="614" t="n"/>
      <c r="G26" s="614" t="n"/>
      <c r="H26" s="614" t="n"/>
      <c r="I26" s="614" t="n"/>
      <c r="J26" s="614" t="n"/>
      <c r="K26" s="614" t="n"/>
      <c r="L26" s="614" t="n"/>
      <c r="M26" s="614" t="n"/>
      <c r="N26" s="613" t="n"/>
      <c r="O26" s="613" t="n"/>
      <c r="P26" s="613" t="n"/>
      <c r="Q26" s="613" t="n"/>
      <c r="R26" s="613" t="n"/>
      <c r="S26" s="613" t="n"/>
    </row>
    <row r="27" ht="15" customHeight="1" s="307">
      <c r="A27" s="736" t="n">
        <v>0.95</v>
      </c>
      <c r="B27" s="741" t="n">
        <v>0.280657190471974</v>
      </c>
      <c r="C27" s="741" t="n">
        <v>0.303249524235944</v>
      </c>
      <c r="D27" s="741" t="n">
        <v>0.309001200236021</v>
      </c>
      <c r="E27" s="614" t="n"/>
      <c r="F27" s="614" t="n"/>
      <c r="G27" s="614" t="n"/>
      <c r="H27" s="614" t="n"/>
      <c r="I27" s="614" t="n"/>
      <c r="J27" s="614" t="n"/>
      <c r="K27" s="614" t="n"/>
      <c r="L27" s="614" t="n"/>
      <c r="M27" s="614" t="n"/>
      <c r="N27" s="613" t="n"/>
      <c r="O27" s="613" t="n"/>
      <c r="P27" s="613" t="n"/>
      <c r="Q27" s="613" t="n"/>
      <c r="R27" s="613" t="n"/>
      <c r="S27" s="613" t="n"/>
    </row>
    <row r="28" ht="15" customHeight="1" s="307">
      <c r="A28" s="736" t="n">
        <v>1</v>
      </c>
      <c r="B28" s="741" t="n">
        <v>0.328313581957509</v>
      </c>
      <c r="C28" s="741" t="n">
        <v>0.34694891717317</v>
      </c>
      <c r="D28" s="741" t="n">
        <v>0.354205502174111</v>
      </c>
      <c r="E28" s="614" t="n"/>
      <c r="F28" s="614" t="n"/>
      <c r="G28" s="614" t="n"/>
      <c r="H28" s="614" t="n"/>
      <c r="I28" s="614" t="n"/>
      <c r="J28" s="614" t="n"/>
      <c r="K28" s="614" t="n"/>
      <c r="L28" s="614" t="n"/>
      <c r="M28" s="614" t="n"/>
      <c r="N28" s="613" t="n"/>
      <c r="O28" s="613" t="n"/>
      <c r="P28" s="613" t="n"/>
      <c r="Q28" s="613" t="n"/>
      <c r="R28" s="613" t="n"/>
      <c r="S28" s="613" t="n"/>
    </row>
    <row r="29" ht="15" customHeight="1" s="307">
      <c r="A29" s="684" t="n"/>
      <c r="B29" s="686" t="n"/>
      <c r="C29" s="686" t="n"/>
      <c r="D29" s="686" t="n"/>
      <c r="E29" s="614" t="n"/>
      <c r="F29" s="614" t="n"/>
      <c r="G29" s="614" t="n"/>
      <c r="H29" s="614" t="n"/>
      <c r="I29" s="614" t="n"/>
      <c r="J29" s="614" t="n"/>
      <c r="K29" s="614" t="n"/>
      <c r="L29" s="614" t="n"/>
      <c r="M29" s="614" t="n"/>
      <c r="N29" s="613" t="n"/>
      <c r="O29" s="613" t="n"/>
      <c r="P29" s="613" t="n"/>
      <c r="Q29" s="613" t="n"/>
      <c r="R29" s="613" t="n"/>
      <c r="S29" s="613" t="n"/>
    </row>
    <row r="30" ht="15" customHeight="1" s="307">
      <c r="A30" s="614" t="n"/>
      <c r="B30" s="614" t="n"/>
      <c r="C30" s="614" t="n"/>
      <c r="D30" s="614" t="n"/>
      <c r="E30" s="614" t="n"/>
      <c r="F30" s="614" t="n"/>
      <c r="G30" s="614" t="n"/>
      <c r="H30" s="614" t="n"/>
      <c r="I30" s="614" t="n"/>
      <c r="J30" s="614" t="n"/>
      <c r="K30" s="614" t="n"/>
      <c r="L30" s="614" t="n"/>
      <c r="M30" s="614" t="n"/>
      <c r="N30" s="613" t="n"/>
      <c r="O30" s="613" t="n"/>
      <c r="P30" s="613" t="n"/>
      <c r="Q30" s="613" t="n"/>
      <c r="R30" s="613" t="n"/>
      <c r="S30" s="613" t="n"/>
    </row>
    <row r="31" ht="15" customHeight="1" s="307">
      <c r="A31" s="616" t="inlineStr">
        <is>
          <t>15Y STAGED IRR</t>
        </is>
      </c>
      <c r="B31" s="738" t="n"/>
      <c r="C31" s="738" t="n"/>
      <c r="D31" s="738" t="n"/>
      <c r="E31" s="613" t="n"/>
      <c r="F31" s="613" t="n"/>
      <c r="G31" s="613" t="n"/>
      <c r="H31" s="613" t="n"/>
      <c r="I31" s="613" t="n"/>
      <c r="J31" s="613" t="n"/>
      <c r="K31" s="613" t="n"/>
      <c r="L31" s="613" t="n"/>
      <c r="M31" s="613" t="n"/>
      <c r="N31" s="613" t="n"/>
      <c r="O31" s="613" t="n"/>
      <c r="P31" s="613" t="n"/>
      <c r="Q31" s="613" t="n"/>
      <c r="R31" s="613" t="n"/>
      <c r="S31" s="613" t="n"/>
    </row>
    <row r="32" ht="15" customHeight="1" s="307">
      <c r="A32" s="612" t="inlineStr">
        <is>
          <t>NDR</t>
        </is>
      </c>
      <c r="B32" s="697" t="inlineStr">
        <is>
          <t>No Recycle</t>
        </is>
      </c>
      <c r="C32" s="697" t="inlineStr">
        <is>
          <t>50% Recycle</t>
        </is>
      </c>
      <c r="D32" s="697" t="inlineStr">
        <is>
          <t>100% Recycle</t>
        </is>
      </c>
      <c r="E32" s="614" t="n"/>
      <c r="F32" s="614" t="n"/>
      <c r="G32" s="614" t="n"/>
      <c r="H32" s="614" t="n"/>
      <c r="I32" s="614" t="n"/>
      <c r="J32" s="614" t="n"/>
      <c r="K32" s="614" t="n"/>
      <c r="L32" s="614" t="n"/>
      <c r="M32" s="614" t="n"/>
      <c r="N32" s="613" t="n"/>
      <c r="O32" s="613" t="n"/>
      <c r="P32" s="613" t="n"/>
      <c r="Q32" s="613" t="n"/>
      <c r="R32" s="613" t="n"/>
      <c r="S32" s="613" t="n"/>
    </row>
    <row r="33" ht="15" customHeight="1" s="307">
      <c r="A33" s="732" t="n">
        <v>0.8</v>
      </c>
      <c r="B33" s="739" t="n">
        <v>0.129883928311712</v>
      </c>
      <c r="C33" s="739" t="n">
        <v>0.17424519578696</v>
      </c>
      <c r="D33" s="739" t="n">
        <v>0.172628854365603</v>
      </c>
      <c r="E33" s="614" t="n"/>
      <c r="F33" s="614" t="n"/>
      <c r="G33" s="614" t="n"/>
      <c r="H33" s="614" t="n"/>
      <c r="I33" s="614" t="n"/>
      <c r="J33" s="614" t="n"/>
      <c r="K33" s="614" t="n"/>
      <c r="L33" s="614" t="n"/>
      <c r="M33" s="614" t="n"/>
      <c r="N33" s="613" t="n"/>
      <c r="O33" s="613" t="n"/>
      <c r="P33" s="613" t="n"/>
      <c r="Q33" s="613" t="n"/>
      <c r="R33" s="613" t="n"/>
      <c r="S33" s="613" t="n"/>
    </row>
    <row r="34" ht="15" customHeight="1" s="307">
      <c r="A34" s="734" t="n">
        <v>0.85</v>
      </c>
      <c r="B34" s="740" t="n">
        <v>0.190639276747357</v>
      </c>
      <c r="C34" s="740" t="n">
        <v>0.226549262273918</v>
      </c>
      <c r="D34" s="740" t="n">
        <v>0.228047024515052</v>
      </c>
      <c r="E34" s="614" t="n"/>
      <c r="F34" s="614" t="n"/>
      <c r="G34" s="614" t="n"/>
      <c r="H34" s="614" t="n"/>
      <c r="I34" s="614" t="n"/>
      <c r="J34" s="614" t="n"/>
      <c r="K34" s="614" t="n"/>
      <c r="L34" s="614" t="n"/>
      <c r="M34" s="614" t="n"/>
      <c r="N34" s="613" t="n"/>
      <c r="O34" s="613" t="n"/>
      <c r="P34" s="613" t="n"/>
      <c r="Q34" s="613" t="n"/>
      <c r="R34" s="613" t="n"/>
      <c r="S34" s="613" t="n"/>
    </row>
    <row r="35" ht="15" customHeight="1" s="307">
      <c r="A35" s="732" t="n">
        <v>0.9</v>
      </c>
      <c r="B35" s="739" t="n">
        <v>0.241189951134283</v>
      </c>
      <c r="C35" s="739" t="n">
        <v>0.271386834875747</v>
      </c>
      <c r="D35" s="739" t="n">
        <v>0.275180814019131</v>
      </c>
      <c r="E35" s="614" t="n"/>
      <c r="F35" s="614" t="n"/>
      <c r="G35" s="614" t="n"/>
      <c r="H35" s="614" t="n"/>
      <c r="I35" s="614" t="n"/>
      <c r="J35" s="614" t="n"/>
      <c r="K35" s="614" t="n"/>
      <c r="L35" s="614" t="n"/>
      <c r="M35" s="614" t="n"/>
      <c r="N35" s="613" t="n"/>
      <c r="O35" s="613" t="n"/>
      <c r="P35" s="613" t="n"/>
      <c r="Q35" s="613" t="n"/>
      <c r="R35" s="613" t="n"/>
      <c r="S35" s="613" t="n"/>
    </row>
    <row r="36" ht="15" customHeight="1" s="307">
      <c r="A36" s="736" t="n">
        <v>0.95</v>
      </c>
      <c r="B36" s="741" t="n">
        <v>0.289611047639502</v>
      </c>
      <c r="C36" s="741" t="n">
        <v>0.315376161155214</v>
      </c>
      <c r="D36" s="741" t="n">
        <v>0.321014690310106</v>
      </c>
      <c r="E36" s="614" t="n"/>
      <c r="F36" s="614" t="n"/>
      <c r="G36" s="614" t="n"/>
      <c r="H36" s="614" t="n"/>
      <c r="I36" s="614" t="n"/>
      <c r="J36" s="614" t="n"/>
      <c r="K36" s="614" t="n"/>
      <c r="L36" s="614" t="n"/>
      <c r="M36" s="614" t="n"/>
      <c r="N36" s="613" t="n"/>
      <c r="O36" s="613" t="n"/>
      <c r="P36" s="613" t="n"/>
      <c r="Q36" s="613" t="n"/>
      <c r="R36" s="613" t="n"/>
      <c r="S36" s="613" t="n"/>
    </row>
    <row r="37" ht="15" customHeight="1" s="307">
      <c r="A37" s="736" t="n">
        <v>1</v>
      </c>
      <c r="B37" s="741" t="n">
        <v>0.336877946844751</v>
      </c>
      <c r="C37" s="741" t="n">
        <v>0.358662382383668</v>
      </c>
      <c r="D37" s="741" t="n">
        <v>0.365688448677374</v>
      </c>
      <c r="E37" s="614" t="n"/>
      <c r="F37" s="614" t="n"/>
      <c r="G37" s="614" t="n"/>
      <c r="H37" s="614" t="n"/>
      <c r="I37" s="614" t="n"/>
      <c r="J37" s="614" t="n"/>
      <c r="K37" s="614" t="n"/>
      <c r="L37" s="614" t="n"/>
      <c r="M37" s="614" t="n"/>
      <c r="N37" s="613" t="n"/>
      <c r="O37" s="613" t="n"/>
      <c r="P37" s="613" t="n"/>
      <c r="Q37" s="613" t="n"/>
      <c r="R37" s="613" t="n"/>
      <c r="S37" s="613" t="n"/>
    </row>
    <row r="38" ht="15" customHeight="1" s="307">
      <c r="A38" s="684" t="n"/>
      <c r="B38" s="689" t="n"/>
      <c r="C38" s="689" t="n"/>
      <c r="D38" s="689" t="n"/>
      <c r="E38" s="614" t="n"/>
      <c r="F38" s="614" t="n"/>
      <c r="G38" s="614" t="n"/>
      <c r="H38" s="614" t="n"/>
      <c r="I38" s="614" t="n"/>
      <c r="J38" s="614" t="n"/>
      <c r="K38" s="614" t="n"/>
      <c r="L38" s="614" t="n"/>
      <c r="M38" s="614" t="n"/>
      <c r="N38" s="613" t="n"/>
      <c r="O38" s="613" t="n"/>
      <c r="P38" s="613" t="n"/>
      <c r="Q38" s="613" t="n"/>
      <c r="R38" s="613" t="n"/>
      <c r="S38" s="613" t="n"/>
    </row>
    <row r="39" ht="15" customHeight="1" s="307">
      <c r="A39" s="614" t="n"/>
      <c r="B39" s="614" t="n"/>
      <c r="C39" s="614" t="n"/>
      <c r="D39" s="614" t="n"/>
      <c r="E39" s="614" t="n"/>
      <c r="F39" s="614" t="n"/>
      <c r="G39" s="614" t="n"/>
      <c r="H39" s="614" t="n"/>
      <c r="I39" s="614" t="n"/>
      <c r="J39" s="614" t="n"/>
      <c r="K39" s="614" t="n"/>
      <c r="L39" s="614" t="n"/>
      <c r="M39" s="614" t="n"/>
      <c r="N39" s="613" t="n"/>
      <c r="O39" s="613" t="n"/>
      <c r="P39" s="613" t="n"/>
      <c r="Q39" s="613" t="n"/>
      <c r="R39" s="613" t="n"/>
      <c r="S39" s="613" t="n"/>
    </row>
    <row r="40" ht="15" customHeight="1" s="307">
      <c r="A40" s="613" t="n"/>
      <c r="B40" s="613" t="n"/>
      <c r="C40" s="613" t="n"/>
      <c r="D40" s="613" t="n"/>
      <c r="E40" s="613" t="n"/>
      <c r="F40" s="613" t="n"/>
      <c r="G40" s="613" t="n"/>
      <c r="H40" s="613" t="n"/>
      <c r="I40" s="613" t="n"/>
      <c r="J40" s="613" t="n"/>
      <c r="K40" s="613" t="n"/>
      <c r="L40" s="613" t="n"/>
      <c r="M40" s="613" t="n"/>
      <c r="N40" s="613" t="n"/>
      <c r="O40" s="613" t="n"/>
      <c r="P40" s="613" t="n"/>
      <c r="Q40" s="613" t="n"/>
      <c r="R40" s="613" t="n"/>
      <c r="S40" s="613" t="n"/>
    </row>
    <row r="41" ht="15" customHeight="1" s="307">
      <c r="A41" s="593" t="inlineStr">
        <is>
          <t>Base case = 85% NDR (highlighted). This is the curve; Tab 1 B136 selects which point the headline tabs feature.</t>
        </is>
      </c>
      <c r="B41" s="708" t="n"/>
      <c r="C41" s="708" t="n"/>
      <c r="D41" s="708" t="n"/>
      <c r="E41" s="614" t="n"/>
      <c r="F41" s="614" t="n"/>
      <c r="G41" s="614" t="n"/>
      <c r="H41" s="614" t="n"/>
      <c r="I41" s="614" t="n"/>
      <c r="J41" s="614" t="n"/>
      <c r="K41" s="614" t="n"/>
      <c r="L41" s="614" t="n"/>
      <c r="M41" s="614" t="n"/>
      <c r="N41" s="613" t="n"/>
      <c r="O41" s="613" t="n"/>
      <c r="P41" s="613" t="n"/>
      <c r="Q41" s="613" t="n"/>
      <c r="R41" s="613" t="n"/>
      <c r="S41" s="613" t="n"/>
    </row>
    <row r="42" ht="15" customHeight="1" s="307">
      <c r="A42" s="651" t="inlineStr">
        <is>
          <t>Verification: 80% row == engine at Bear, 85% == Base, 90% == Bull (see verifier).</t>
        </is>
      </c>
      <c r="B42" s="619" t="n"/>
      <c r="C42" s="619" t="n"/>
      <c r="D42" s="619" t="n"/>
      <c r="E42" s="614" t="n"/>
      <c r="F42" s="614" t="n"/>
      <c r="G42" s="614" t="n"/>
      <c r="H42" s="614" t="n"/>
      <c r="I42" s="614" t="n"/>
      <c r="J42" s="614" t="n"/>
      <c r="K42" s="614" t="n"/>
      <c r="L42" s="614" t="n"/>
      <c r="M42" s="614" t="n"/>
      <c r="N42" s="613" t="n"/>
      <c r="O42" s="613" t="n"/>
      <c r="P42" s="613" t="n"/>
      <c r="Q42" s="613" t="n"/>
      <c r="R42" s="613" t="n"/>
      <c r="S42" s="613" t="n"/>
    </row>
    <row r="43" ht="15" customHeight="1" s="307">
      <c r="A43" s="684" t="n"/>
      <c r="B43" s="619" t="n"/>
      <c r="C43" s="619" t="n"/>
      <c r="D43" s="619" t="n"/>
      <c r="E43" s="614" t="n"/>
      <c r="F43" s="614" t="n"/>
      <c r="G43" s="614" t="n"/>
      <c r="H43" s="614" t="n"/>
      <c r="I43" s="614" t="n"/>
      <c r="J43" s="614" t="n"/>
      <c r="K43" s="614" t="n"/>
      <c r="L43" s="614" t="n"/>
      <c r="M43" s="614" t="n"/>
      <c r="N43" s="613" t="n"/>
      <c r="O43" s="613" t="n"/>
      <c r="P43" s="613" t="n"/>
      <c r="Q43" s="613" t="n"/>
      <c r="R43" s="613" t="n"/>
      <c r="S43" s="613" t="n"/>
    </row>
    <row r="44" ht="15" customHeight="1" s="307">
      <c r="A44" s="684" t="n"/>
      <c r="B44" s="619" t="n"/>
      <c r="C44" s="619" t="n"/>
      <c r="D44" s="619" t="n"/>
      <c r="E44" s="614" t="n"/>
      <c r="F44" s="614" t="n"/>
      <c r="G44" s="614" t="n"/>
      <c r="H44" s="614" t="n"/>
      <c r="I44" s="614" t="n"/>
      <c r="J44" s="614" t="n"/>
      <c r="K44" s="614" t="n"/>
      <c r="L44" s="614" t="n"/>
      <c r="M44" s="614" t="n"/>
      <c r="N44" s="613" t="n"/>
      <c r="O44" s="613" t="n"/>
      <c r="P44" s="613" t="n"/>
      <c r="Q44" s="613" t="n"/>
      <c r="R44" s="613" t="n"/>
      <c r="S44" s="613" t="n"/>
    </row>
    <row r="45" ht="15" customHeight="1" s="307">
      <c r="A45" s="742" t="n"/>
      <c r="B45" s="743" t="n"/>
      <c r="C45" s="743" t="n"/>
      <c r="D45" s="743" t="n"/>
      <c r="E45" s="743" t="n"/>
      <c r="F45" s="743" t="n"/>
      <c r="G45" s="743" t="n"/>
      <c r="H45" s="614" t="n"/>
      <c r="I45" s="614" t="n"/>
      <c r="J45" s="614" t="n"/>
      <c r="K45" s="614" t="n"/>
      <c r="L45" s="614" t="n"/>
      <c r="M45" s="614" t="n"/>
      <c r="N45" s="613" t="n"/>
      <c r="O45" s="613" t="n"/>
      <c r="P45" s="613" t="n"/>
      <c r="Q45" s="613" t="n"/>
      <c r="R45" s="613" t="n"/>
      <c r="S45" s="613" t="n"/>
    </row>
    <row r="46" ht="15" customHeight="1" s="307">
      <c r="A46" s="744" t="n"/>
      <c r="B46" s="745" t="n"/>
      <c r="C46" s="745" t="n"/>
      <c r="D46" s="745" t="n"/>
      <c r="E46" s="745" t="n"/>
      <c r="F46" s="745" t="n"/>
      <c r="G46" s="745" t="n"/>
      <c r="H46" s="614" t="n"/>
      <c r="I46" s="614" t="n"/>
      <c r="J46" s="614" t="n"/>
      <c r="K46" s="614" t="n"/>
      <c r="L46" s="614" t="n"/>
      <c r="M46" s="614" t="n"/>
      <c r="N46" s="613" t="n"/>
      <c r="O46" s="613" t="n"/>
      <c r="P46" s="613" t="n"/>
      <c r="Q46" s="613" t="n"/>
      <c r="R46" s="613" t="n"/>
      <c r="S46" s="613" t="n"/>
    </row>
    <row r="47" ht="15" customHeight="1" s="307">
      <c r="A47" s="744" t="n"/>
      <c r="B47" s="745" t="n"/>
      <c r="C47" s="745" t="n"/>
      <c r="D47" s="745" t="n"/>
      <c r="E47" s="745" t="n"/>
      <c r="F47" s="745" t="n"/>
      <c r="G47" s="745" t="n"/>
      <c r="H47" s="614" t="n"/>
      <c r="I47" s="614" t="n"/>
      <c r="J47" s="614" t="n"/>
      <c r="K47" s="614" t="n"/>
      <c r="L47" s="614" t="n"/>
      <c r="M47" s="614" t="n"/>
      <c r="N47" s="613" t="n"/>
      <c r="O47" s="613" t="n"/>
      <c r="P47" s="613" t="n"/>
      <c r="Q47" s="613" t="n"/>
      <c r="R47" s="613" t="n"/>
      <c r="S47" s="613" t="n"/>
    </row>
    <row r="48" ht="15" customHeight="1" s="307">
      <c r="A48" s="744" t="n"/>
      <c r="B48" s="745" t="n"/>
      <c r="C48" s="745" t="n"/>
      <c r="D48" s="745" t="n"/>
      <c r="E48" s="745" t="n"/>
      <c r="F48" s="745" t="n"/>
      <c r="G48" s="745" t="n"/>
      <c r="H48" s="614" t="n"/>
      <c r="I48" s="614" t="n"/>
      <c r="J48" s="614" t="n"/>
      <c r="K48" s="614" t="n"/>
      <c r="L48" s="614" t="n"/>
      <c r="M48" s="614" t="n"/>
      <c r="N48" s="613" t="n"/>
      <c r="O48" s="613" t="n"/>
      <c r="P48" s="613" t="n"/>
      <c r="Q48" s="613" t="n"/>
      <c r="R48" s="613" t="n"/>
      <c r="S48" s="613" t="n"/>
    </row>
    <row r="49" ht="15" customHeight="1" s="307">
      <c r="A49" s="744" t="n"/>
      <c r="B49" s="745" t="n"/>
      <c r="C49" s="745" t="n"/>
      <c r="D49" s="745" t="n"/>
      <c r="E49" s="745" t="n"/>
      <c r="F49" s="745" t="n"/>
      <c r="G49" s="745" t="n"/>
      <c r="H49" s="614" t="n"/>
      <c r="I49" s="614" t="n"/>
      <c r="J49" s="614" t="n"/>
      <c r="K49" s="614" t="n"/>
      <c r="L49" s="614" t="n"/>
      <c r="M49" s="614" t="n"/>
      <c r="N49" s="613" t="n"/>
      <c r="O49" s="613" t="n"/>
      <c r="P49" s="613" t="n"/>
      <c r="Q49" s="613" t="n"/>
      <c r="R49" s="613" t="n"/>
      <c r="S49" s="613" t="n"/>
    </row>
    <row r="50" ht="15" customHeight="1" s="307">
      <c r="A50" s="744" t="n"/>
      <c r="B50" s="745" t="n"/>
      <c r="C50" s="745" t="n"/>
      <c r="D50" s="745" t="n"/>
      <c r="E50" s="745" t="n"/>
      <c r="F50" s="745" t="n"/>
      <c r="G50" s="745" t="n"/>
      <c r="H50" s="614" t="n"/>
      <c r="I50" s="614" t="n"/>
      <c r="J50" s="614" t="n"/>
      <c r="K50" s="614" t="n"/>
      <c r="L50" s="614" t="n"/>
      <c r="M50" s="614" t="n"/>
      <c r="N50" s="614" t="n"/>
      <c r="O50" s="614" t="n"/>
      <c r="P50" s="614" t="n"/>
      <c r="Q50" s="614" t="n"/>
      <c r="R50" s="614" t="n"/>
      <c r="S50" s="614" t="n"/>
    </row>
    <row r="51" ht="15" customHeight="1" s="307">
      <c r="A51" s="744" t="n"/>
      <c r="B51" s="745" t="n"/>
      <c r="C51" s="745" t="n"/>
      <c r="D51" s="745" t="n"/>
      <c r="E51" s="745" t="n"/>
      <c r="F51" s="745" t="n"/>
      <c r="G51" s="745" t="n"/>
      <c r="H51" s="614" t="n"/>
      <c r="I51" s="614" t="n"/>
      <c r="J51" s="614" t="n"/>
      <c r="K51" s="614" t="n"/>
      <c r="L51" s="614" t="n"/>
      <c r="M51" s="614" t="n"/>
      <c r="N51" s="614" t="n"/>
      <c r="O51" s="614" t="n"/>
      <c r="P51" s="614" t="n"/>
      <c r="Q51" s="614" t="n"/>
      <c r="R51" s="614" t="n"/>
      <c r="S51" s="614" t="n"/>
    </row>
    <row r="52">
      <c r="A52" s="614" t="n"/>
      <c r="B52" s="614" t="n"/>
      <c r="C52" s="614" t="n"/>
      <c r="D52" s="614" t="n"/>
      <c r="E52" s="614" t="n"/>
      <c r="F52" s="614" t="n"/>
      <c r="G52" s="614" t="n"/>
      <c r="H52" s="614" t="n"/>
      <c r="I52" s="614" t="n"/>
      <c r="J52" s="614" t="n"/>
      <c r="K52" s="614" t="n"/>
      <c r="L52" s="614" t="n"/>
      <c r="M52" s="614" t="n"/>
      <c r="N52" s="614" t="n"/>
      <c r="O52" s="614" t="n"/>
      <c r="P52" s="614" t="n"/>
      <c r="Q52" s="614" t="n"/>
      <c r="R52" s="614" t="n"/>
      <c r="S52" s="614" t="n"/>
    </row>
    <row r="53">
      <c r="A53" s="614" t="n"/>
      <c r="B53" s="614" t="n"/>
      <c r="C53" s="614" t="n"/>
      <c r="D53" s="614" t="n"/>
      <c r="E53" s="614" t="n"/>
      <c r="F53" s="614" t="n"/>
      <c r="G53" s="614" t="n"/>
      <c r="H53" s="614" t="n"/>
      <c r="I53" s="614" t="n"/>
      <c r="J53" s="614" t="n"/>
      <c r="K53" s="614" t="n"/>
      <c r="L53" s="614" t="n"/>
      <c r="M53" s="614" t="n"/>
      <c r="N53" s="614" t="n"/>
      <c r="O53" s="614" t="n"/>
      <c r="P53" s="614" t="n"/>
      <c r="Q53" s="614" t="n"/>
      <c r="R53" s="614" t="n"/>
      <c r="S53" s="614" t="n"/>
    </row>
    <row r="54" ht="15" customHeight="1" s="307">
      <c r="A54" s="613" t="n"/>
      <c r="B54" s="613" t="n"/>
      <c r="C54" s="613" t="n"/>
      <c r="D54" s="613" t="n"/>
      <c r="E54" s="613" t="n"/>
      <c r="F54" s="613" t="n"/>
      <c r="G54" s="613" t="n"/>
      <c r="H54" s="614" t="n"/>
      <c r="I54" s="614" t="n"/>
      <c r="J54" s="614" t="n"/>
      <c r="K54" s="614" t="n"/>
      <c r="L54" s="614" t="n"/>
      <c r="M54" s="614" t="n"/>
      <c r="N54" s="614" t="n"/>
      <c r="O54" s="614" t="n"/>
      <c r="P54" s="614" t="n"/>
      <c r="Q54" s="614" t="n"/>
      <c r="R54" s="614" t="n"/>
      <c r="S54" s="614" t="n"/>
    </row>
    <row r="55" ht="15" customHeight="1" s="307">
      <c r="A55" s="613" t="n"/>
      <c r="B55" s="614" t="n"/>
      <c r="C55" s="614" t="n"/>
      <c r="D55" s="614" t="n"/>
      <c r="E55" s="614" t="n"/>
      <c r="F55" s="614" t="n"/>
      <c r="G55" s="614" t="n"/>
      <c r="H55" s="614" t="n"/>
      <c r="I55" s="614" t="n"/>
      <c r="J55" s="614" t="n"/>
      <c r="K55" s="614" t="n"/>
      <c r="L55" s="614" t="n"/>
      <c r="M55" s="614" t="n"/>
      <c r="N55" s="614" t="n"/>
      <c r="O55" s="614" t="n"/>
      <c r="P55" s="614" t="n"/>
      <c r="Q55" s="614" t="n"/>
      <c r="R55" s="614" t="n"/>
      <c r="S55" s="614" t="n"/>
    </row>
    <row r="56" ht="15" customHeight="1" s="307">
      <c r="A56" s="613" t="n"/>
      <c r="B56" s="708" t="n"/>
      <c r="C56" s="708" t="n"/>
      <c r="D56" s="708" t="n"/>
      <c r="E56" s="708" t="n"/>
      <c r="F56" s="614" t="n"/>
      <c r="G56" s="614" t="n"/>
      <c r="H56" s="614" t="n"/>
      <c r="I56" s="614" t="n"/>
      <c r="J56" s="614" t="n"/>
      <c r="K56" s="614" t="n"/>
      <c r="L56" s="614" t="n"/>
      <c r="M56" s="614" t="n"/>
      <c r="N56" s="614" t="n"/>
      <c r="O56" s="614" t="n"/>
      <c r="P56" s="614" t="n"/>
      <c r="Q56" s="614" t="n"/>
      <c r="R56" s="614" t="n"/>
      <c r="S56" s="614" t="n"/>
    </row>
    <row r="57" ht="15" customHeight="1" s="307">
      <c r="A57" s="684" t="n"/>
      <c r="B57" s="708" t="n"/>
      <c r="C57" s="708" t="n"/>
      <c r="D57" s="708" t="n"/>
      <c r="E57" s="708" t="n"/>
      <c r="F57" s="614" t="n"/>
      <c r="G57" s="614" t="n"/>
      <c r="H57" s="614" t="n"/>
      <c r="I57" s="614" t="n"/>
      <c r="J57" s="614" t="n"/>
      <c r="K57" s="614" t="n"/>
      <c r="L57" s="614" t="n"/>
      <c r="M57" s="614" t="n"/>
      <c r="N57" s="614" t="n"/>
      <c r="O57" s="614" t="n"/>
      <c r="P57" s="614" t="n"/>
      <c r="Q57" s="614" t="n"/>
      <c r="R57" s="614" t="n"/>
      <c r="S57" s="614" t="n"/>
    </row>
    <row r="58" ht="15" customHeight="1" s="307">
      <c r="A58" s="684" t="n"/>
      <c r="B58" s="708" t="n"/>
      <c r="C58" s="708" t="n"/>
      <c r="D58" s="708" t="n"/>
      <c r="E58" s="708" t="n"/>
      <c r="F58" s="614" t="n"/>
      <c r="G58" s="614" t="n"/>
      <c r="H58" s="614" t="n"/>
      <c r="I58" s="614" t="n"/>
      <c r="J58" s="614" t="n"/>
      <c r="K58" s="614" t="n"/>
      <c r="L58" s="614" t="n"/>
      <c r="M58" s="614" t="n"/>
      <c r="N58" s="614" t="n"/>
      <c r="O58" s="614" t="n"/>
      <c r="P58" s="614" t="n"/>
      <c r="Q58" s="614" t="n"/>
      <c r="R58" s="614" t="n"/>
      <c r="S58" s="614" t="n"/>
    </row>
    <row r="59" ht="15" customHeight="1" s="307">
      <c r="A59" s="684" t="n"/>
      <c r="B59" s="708" t="n"/>
      <c r="C59" s="708" t="n"/>
      <c r="D59" s="708" t="n"/>
      <c r="E59" s="708" t="n"/>
      <c r="F59" s="614" t="n"/>
      <c r="G59" s="614" t="n"/>
      <c r="H59" s="614" t="n"/>
      <c r="I59" s="614" t="n"/>
      <c r="J59" s="614" t="n"/>
      <c r="K59" s="614" t="n"/>
      <c r="L59" s="614" t="n"/>
      <c r="M59" s="614" t="n"/>
      <c r="N59" s="614" t="n"/>
      <c r="O59" s="614" t="n"/>
      <c r="P59" s="614" t="n"/>
      <c r="Q59" s="614" t="n"/>
      <c r="R59" s="614" t="n"/>
      <c r="S59" s="614" t="n"/>
    </row>
    <row r="60" ht="15" customHeight="1" s="307">
      <c r="A60" s="684" t="n"/>
      <c r="B60" s="708" t="n"/>
      <c r="C60" s="708" t="n"/>
      <c r="D60" s="708" t="n"/>
      <c r="E60" s="708" t="n"/>
      <c r="F60" s="614" t="n"/>
      <c r="G60" s="614" t="n"/>
      <c r="H60" s="614" t="n"/>
      <c r="I60" s="614" t="n"/>
      <c r="J60" s="614" t="n"/>
      <c r="K60" s="614" t="n"/>
      <c r="L60" s="614" t="n"/>
      <c r="M60" s="614" t="n"/>
      <c r="N60" s="614" t="n"/>
      <c r="O60" s="614" t="n"/>
      <c r="P60" s="614" t="n"/>
      <c r="Q60" s="614" t="n"/>
      <c r="R60" s="614" t="n"/>
      <c r="S60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6" min="1" max="1"/>
    <col width="14" customWidth="1" style="306" min="2" max="4"/>
    <col width="14" customWidth="1" style="306" min="5" max="6"/>
  </cols>
  <sheetData>
    <row r="1" ht="15.75" customHeight="1" s="307">
      <c r="A1" s="471" t="inlineStr">
        <is>
          <t>TERMINAL VALUE -- NO RECYCLE</t>
        </is>
      </c>
      <c r="B1" s="309" t="n"/>
      <c r="C1" s="309" t="n"/>
      <c r="D1" s="309" t="n"/>
      <c r="E1" s="309" t="n"/>
      <c r="F1" s="309" t="n"/>
    </row>
    <row r="2" ht="15" customHeight="1" s="307">
      <c r="A2" s="323" t="inlineStr">
        <is>
          <t>Year-10 exit sensitivity. Year-10 ARR and 10Y cash are live from _Engine_NR (active scenario).</t>
        </is>
      </c>
    </row>
    <row r="4" ht="15" customHeight="1" s="307">
      <c r="A4" s="322" t="inlineStr">
        <is>
          <t>Exit Multiple (x ARR)</t>
        </is>
      </c>
      <c r="B4" s="390" t="n">
        <v>1</v>
      </c>
      <c r="C4" s="390" t="n">
        <v>1.5</v>
      </c>
      <c r="D4" s="390" t="n">
        <v>2</v>
      </c>
      <c r="E4" s="390" t="n">
        <v>2.5</v>
      </c>
      <c r="F4" s="390" t="n">
        <v>3</v>
      </c>
    </row>
    <row r="5" ht="15" customHeight="1" s="307">
      <c r="A5" s="321" t="inlineStr">
        <is>
          <t>Year 10 ARR ($mm)</t>
        </is>
      </c>
      <c r="B5" s="354">
        <f>'_Engine_NR'!$K$150</f>
        <v/>
      </c>
      <c r="C5" s="354">
        <f>'_Engine_NR'!$K$150</f>
        <v/>
      </c>
      <c r="D5" s="354">
        <f>'_Engine_NR'!$K$150</f>
        <v/>
      </c>
      <c r="E5" s="354">
        <f>'_Engine_NR'!$K$150</f>
        <v/>
      </c>
      <c r="F5" s="354">
        <f>'_Engine_NR'!$K$150</f>
        <v/>
      </c>
    </row>
    <row r="6" ht="15" customHeight="1" s="307">
      <c r="A6" s="322" t="inlineStr">
        <is>
          <t>Exit Proceeds ($mm)</t>
        </is>
      </c>
      <c r="B6" s="570">
        <f>B5*B4</f>
        <v/>
      </c>
      <c r="C6" s="570">
        <f>C5*C4</f>
        <v/>
      </c>
      <c r="D6" s="570">
        <f>D5*D4</f>
        <v/>
      </c>
      <c r="E6" s="570">
        <f>E5*E4</f>
        <v/>
      </c>
      <c r="F6" s="570">
        <f>F5*F4</f>
        <v/>
      </c>
    </row>
    <row r="7" ht="15" customHeight="1" s="307">
      <c r="A7" s="321" t="inlineStr">
        <is>
          <t>10Y Cash Distributions ($mm)</t>
        </is>
      </c>
      <c r="B7" s="354">
        <f>'_Engine_NR'!$B$253</f>
        <v/>
      </c>
      <c r="C7" s="354">
        <f>'_Engine_NR'!$B$253</f>
        <v/>
      </c>
      <c r="D7" s="354">
        <f>'_Engine_NR'!$B$253</f>
        <v/>
      </c>
      <c r="E7" s="354">
        <f>'_Engine_NR'!$B$253</f>
        <v/>
      </c>
      <c r="F7" s="354">
        <f>'_Engine_NR'!$B$253</f>
        <v/>
      </c>
    </row>
    <row r="8" ht="15" customHeight="1" s="307">
      <c r="A8" s="322" t="inlineStr">
        <is>
          <t>Total LP Value ($mm)</t>
        </is>
      </c>
      <c r="B8" s="570">
        <f>B6+B7</f>
        <v/>
      </c>
      <c r="C8" s="570">
        <f>C6+C7</f>
        <v/>
      </c>
      <c r="D8" s="570">
        <f>D6+D7</f>
        <v/>
      </c>
      <c r="E8" s="570">
        <f>E6+E7</f>
        <v/>
      </c>
      <c r="F8" s="570">
        <f>F6+F7</f>
        <v/>
      </c>
    </row>
    <row r="9" ht="15" customHeight="1" s="307">
      <c r="A9" s="322" t="inlineStr">
        <is>
          <t>Total LP MOIC (vs fund size)</t>
        </is>
      </c>
      <c r="B9" s="503">
        <f>B8/('1. Press Assumptions'!$B$5/1000000)</f>
        <v/>
      </c>
      <c r="C9" s="503">
        <f>C8/('1. Press Assumptions'!$B$5/1000000)</f>
        <v/>
      </c>
      <c r="D9" s="503">
        <f>D8/('1. Press Assumptions'!$B$5/1000000)</f>
        <v/>
      </c>
      <c r="E9" s="503">
        <f>E8/('1. Press Assumptions'!$B$5/1000000)</f>
        <v/>
      </c>
      <c r="F9" s="503">
        <f>F8/('1. Press Assumptions'!$B$5/1000000)</f>
        <v/>
      </c>
    </row>
    <row r="10" ht="15" customHeight="1" s="307">
      <c r="A10" s="322" t="n"/>
      <c r="B10" s="358" t="n"/>
      <c r="C10" s="358" t="n"/>
      <c r="D10" s="358" t="n"/>
      <c r="E10" s="358" t="n"/>
      <c r="F10" s="358" t="n"/>
    </row>
    <row r="12" ht="15" customHeight="1" s="307">
      <c r="A12" s="438" t="n"/>
      <c r="E12" s="306" t="n"/>
    </row>
    <row r="13" ht="15" customHeight="1" s="307">
      <c r="A13" s="322" t="n"/>
      <c r="B13" s="574" t="n"/>
      <c r="C13" s="574" t="n"/>
      <c r="D13" s="574" t="n"/>
      <c r="E13" s="574" t="n"/>
      <c r="F13" s="574" t="n"/>
    </row>
    <row r="14" ht="15" customHeight="1" s="307">
      <c r="A14" s="321" t="n"/>
      <c r="B14" s="354" t="n"/>
      <c r="C14" s="354" t="n"/>
      <c r="D14" s="354" t="n"/>
      <c r="E14" s="354" t="n"/>
      <c r="F14" s="354" t="n"/>
    </row>
    <row r="15" ht="15" customHeight="1" s="307">
      <c r="A15" s="322" t="n"/>
      <c r="B15" s="569" t="n"/>
      <c r="C15" s="569" t="n"/>
      <c r="D15" s="569" t="n"/>
      <c r="E15" s="569" t="n"/>
      <c r="F15" s="569" t="n"/>
    </row>
    <row r="16" ht="15" customHeight="1" s="307">
      <c r="A16" s="321" t="n"/>
      <c r="B16" s="354" t="n"/>
      <c r="C16" s="354" t="n"/>
      <c r="D16" s="354" t="n"/>
      <c r="E16" s="354" t="n"/>
      <c r="F16" s="354" t="n"/>
    </row>
    <row r="17" ht="15" customHeight="1" s="307">
      <c r="A17" s="322" t="n"/>
      <c r="B17" s="569" t="n"/>
      <c r="C17" s="569" t="n"/>
      <c r="D17" s="569" t="n"/>
      <c r="E17" s="569" t="n"/>
      <c r="F17" s="569" t="n"/>
    </row>
    <row r="18" ht="15" customHeight="1" s="307">
      <c r="A18" s="322" t="n"/>
      <c r="B18" s="358" t="n"/>
      <c r="C18" s="358" t="n"/>
      <c r="D18" s="358" t="n"/>
      <c r="E18" s="358" t="n"/>
      <c r="F18" s="3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K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6" min="1" max="1"/>
    <col width="10" customWidth="1" style="306" min="2" max="5"/>
    <col width="12" customWidth="1" style="307" min="3" max="3"/>
    <col width="12" customWidth="1" style="307" min="4" max="4"/>
    <col width="10" customWidth="1" style="307" min="5" max="5"/>
    <col width="10" customWidth="1" style="307" min="6" max="6"/>
    <col width="14" customWidth="1" style="307" min="7" max="7"/>
    <col width="55" customWidth="1" style="307" min="8" max="8"/>
  </cols>
  <sheetData>
    <row r="1" ht="15.75" customHeight="1" s="307">
      <c r="A1" s="612" t="inlineStr">
        <is>
          <t>PORTFOLIO STRESS TEST  --  REALISTIC DOWNSIDE (anchored to engine base)</t>
        </is>
      </c>
      <c r="B1" s="309" t="n"/>
      <c r="C1" s="309" t="n"/>
      <c r="D1" s="309" t="n"/>
      <c r="E1" s="309" t="n"/>
      <c r="F1" s="306" t="n"/>
      <c r="I1" s="728">
        <f>"Active scenario: " &amp; '1. Press Assumptions'!$B$136 &amp; "   (toggle on Tab 1 B136)"</f>
        <v/>
      </c>
    </row>
    <row r="2" ht="15" customHeight="1" s="307">
      <c r="A2" s="593" t="inlineStr">
        <is>
          <t>Base case ties exactly to _Engine_NR 15Y DPI. Downside scenarios are closed-form haircuts scaled to that base.</t>
        </is>
      </c>
      <c r="B2" s="306" t="n"/>
      <c r="C2" s="306" t="n"/>
      <c r="D2" s="306" t="n"/>
      <c r="E2" s="306" t="n"/>
      <c r="F2" s="306" t="n"/>
    </row>
    <row r="3" ht="15" customHeight="1" s="307">
      <c r="A3" s="593" t="inlineStr">
        <is>
          <t>Original stress test only varied NDR (held margin at 62.5%, assumed no zero-deals).</t>
        </is>
      </c>
      <c r="B3" s="306" t="n"/>
      <c r="C3" s="306" t="n"/>
      <c r="D3" s="306" t="n"/>
      <c r="E3" s="306" t="n"/>
      <c r="F3" s="306" t="n"/>
    </row>
    <row r="4" ht="21.75" customHeight="1" s="307">
      <c r="A4" s="729" t="inlineStr">
        <is>
          <t>Base row is engine-exact; downside rows are engine-anchored closed-form haircuts (illustrative).</t>
        </is>
      </c>
      <c r="B4" s="388" t="n"/>
      <c r="C4" s="388" t="n"/>
      <c r="D4" s="388" t="n"/>
      <c r="E4" s="388" t="n"/>
      <c r="F4" s="306" t="n"/>
    </row>
    <row r="5" ht="28" customHeight="1" s="307">
      <c r="A5" s="643" t="inlineStr">
        <is>
          <t>Scenario</t>
        </is>
      </c>
      <c r="B5" s="658" t="inlineStr">
        <is>
          <t>NDR</t>
        </is>
      </c>
      <c r="C5" s="658" t="inlineStr">
        <is>
          <t>Margin cap</t>
        </is>
      </c>
      <c r="D5" s="658" t="inlineStr">
        <is>
          <t>Write-off %</t>
        </is>
      </c>
      <c r="E5" s="658" t="inlineStr">
        <is>
          <t>Exit mult</t>
        </is>
      </c>
      <c r="F5" s="643" t="inlineStr">
        <is>
          <t>15Y DPI</t>
        </is>
      </c>
      <c r="G5" s="643" t="inlineStr">
        <is>
          <t>LP Cash ($mm)</t>
        </is>
      </c>
      <c r="H5" s="643" t="inlineStr">
        <is>
          <t>Notes</t>
        </is>
      </c>
      <c r="J5" s="615" t="inlineStr">
        <is>
          <t>anchor scaler</t>
        </is>
      </c>
      <c r="K5" s="615" t="inlineStr">
        <is>
          <t>raw closed-form (helper)</t>
        </is>
      </c>
    </row>
    <row r="6" ht="15" customHeight="1" s="307">
      <c r="A6" s="322" t="inlineStr">
        <is>
          <t>Base case (Tab 1 inputs)</t>
        </is>
      </c>
      <c r="B6" s="659">
        <f>'1. Press Assumptions'!$B$22</f>
        <v/>
      </c>
      <c r="C6" s="504">
        <f>'1. Press Assumptions'!$B$35</f>
        <v/>
      </c>
      <c r="D6" s="504" t="n">
        <v>0</v>
      </c>
      <c r="E6" s="660">
        <f>'1. Press Assumptions'!$B$116</f>
        <v/>
      </c>
      <c r="F6" s="661">
        <f>K6*$J$6</f>
        <v/>
      </c>
      <c r="G6" s="662">
        <f>F6*('1. Press Assumptions'!$B$5/1000000)</f>
        <v/>
      </c>
      <c r="H6" s="638" t="inlineStr">
        <is>
          <t>NDR + margin from Tab 1; no zero deals; 2x exit.</t>
        </is>
      </c>
      <c r="J6" s="306">
        <f>'_Engine_NR'!$B$252/K6</f>
        <v/>
      </c>
      <c r="K6" s="306">
        <f>(MIN(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((120*(1-$D6))*POWER($B6,9)*$E6)),150) + MIN(MAX(0,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((120*(1-$D6))*POWER($B6,9)*$E6))-150),30) + '1. Press Assumptions'!$B$40*MAX(0,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((120*(1-$D6))*POWER($B6,9)*$E6))-180))/150</f>
        <v/>
      </c>
    </row>
    <row r="7" ht="15" customHeight="1" s="307">
      <c r="A7" s="322" t="inlineStr">
        <is>
          <t>Bear NDR (-5pts)</t>
        </is>
      </c>
      <c r="B7" s="659" t="n">
        <v>0.8</v>
      </c>
      <c r="C7" s="504">
        <f>'1. Press Assumptions'!$B$35</f>
        <v/>
      </c>
      <c r="D7" s="504" t="n">
        <v>0</v>
      </c>
      <c r="E7" s="660">
        <f>'1. Press Assumptions'!$B$116</f>
        <v/>
      </c>
      <c r="F7" s="661">
        <f>K7*$J$6</f>
        <v/>
      </c>
      <c r="G7" s="662">
        <f>F7*('1. Press Assumptions'!$B$5/1000000)</f>
        <v/>
      </c>
      <c r="H7" s="638" t="inlineStr">
        <is>
          <t>NDR drops to 80%; everything else unchanged.</t>
        </is>
      </c>
      <c r="K7" s="306">
        <f>(MIN(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((120*(1-$D7))*POWER($B7,9)*$E7)),150) + MIN(MAX(0,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((120*(1-$D7))*POWER($B7,9)*$E7))-150),30) + '1. Press Assumptions'!$B$40*MAX(0,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((120*(1-$D7))*POWER($B7,9)*$E7))-180))/150</f>
        <v/>
      </c>
    </row>
    <row r="8" ht="15" customHeight="1" s="307">
      <c r="A8" s="322" t="inlineStr">
        <is>
          <t>Severe NDR (-10pts)</t>
        </is>
      </c>
      <c r="B8" s="659" t="n">
        <v>0.75</v>
      </c>
      <c r="C8" s="504">
        <f>'1. Press Assumptions'!$B$35</f>
        <v/>
      </c>
      <c r="D8" s="504" t="n">
        <v>0</v>
      </c>
      <c r="E8" s="660">
        <f>'1. Press Assumptions'!$B$116</f>
        <v/>
      </c>
      <c r="F8" s="661">
        <f>K8*$J$6</f>
        <v/>
      </c>
      <c r="G8" s="662">
        <f>F8*('1. Press Assumptions'!$B$5/1000000)</f>
        <v/>
      </c>
      <c r="H8" s="638" t="inlineStr">
        <is>
          <t>NDR drops to 75%.</t>
        </is>
      </c>
      <c r="K8" s="306">
        <f>(MIN(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((120*(1-$D8))*POWER($B8,9)*$E8)),150) + MIN(MAX(0,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((120*(1-$D8))*POWER($B8,9)*$E8))-150),30) + '1. Press Assumptions'!$B$40*MAX(0,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((120*(1-$D8))*POWER($B8,9)*$E8))-180))/150</f>
        <v/>
      </c>
    </row>
    <row r="9" ht="15" customHeight="1" s="307">
      <c r="A9" s="321" t="inlineStr">
        <is>
          <t>Margin compression</t>
        </is>
      </c>
      <c r="B9" s="663">
        <f>'1. Press Assumptions'!$B$22</f>
        <v/>
      </c>
      <c r="C9" s="404" t="n">
        <v>0.55</v>
      </c>
      <c r="D9" s="404" t="n">
        <v>0</v>
      </c>
      <c r="E9" s="664">
        <f>'1. Press Assumptions'!$B$116</f>
        <v/>
      </c>
      <c r="F9" s="661">
        <f>K9*$J$6</f>
        <v/>
      </c>
      <c r="G9" s="662">
        <f>F9*('1. Press Assumptions'!$B$5/1000000)</f>
        <v/>
      </c>
      <c r="H9" s="638" t="inlineStr">
        <is>
          <t>Margin cap drops to 55% (deals leak vs underwriting).</t>
        </is>
      </c>
      <c r="K9" s="306">
        <f>(MIN(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((120*(1-$D9))*POWER($B9,9)*$E9)),150) + MIN(MAX(0,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((120*(1-$D9))*POWER($B9,9)*$E9))-150),30) + '1. Press Assumptions'!$B$40*MAX(0,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((120*(1-$D9))*POWER($B9,9)*$E9))-180))/150</f>
        <v/>
      </c>
    </row>
    <row r="10" ht="15" customHeight="1" s="307">
      <c r="A10" s="321" t="inlineStr">
        <is>
          <t>1 of 5 deals -&gt; 0</t>
        </is>
      </c>
      <c r="B10" s="663">
        <f>'1. Press Assumptions'!$B$22</f>
        <v/>
      </c>
      <c r="C10" s="404">
        <f>'1. Press Assumptions'!$B$35</f>
        <v/>
      </c>
      <c r="D10" s="404" t="n">
        <v>0.2</v>
      </c>
      <c r="E10" s="664">
        <f>'1. Press Assumptions'!$B$116</f>
        <v/>
      </c>
      <c r="F10" s="661">
        <f>K10*$J$6</f>
        <v/>
      </c>
      <c r="G10" s="662">
        <f>F10*('1. Press Assumptions'!$B$5/1000000)</f>
        <v/>
      </c>
      <c r="H10" s="638" t="inlineStr">
        <is>
          <t>One deal returns nothing; portfolio = 4 deals at $24M ARR.</t>
        </is>
      </c>
      <c r="K10" s="306">
        <f>(MIN(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((120*(1-$D10))*POWER($B10,9)*$E10)),150) + MIN(MAX(0,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((120*(1-$D10))*POWER($B10,9)*$E10))-150),30) + '1. Press Assumptions'!$B$40*MAX(0,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((120*(1-$D10))*POWER($B10,9)*$E10))-180))/150</f>
        <v/>
      </c>
    </row>
    <row r="11" ht="15" customHeight="1" s="307">
      <c r="A11" s="321" t="inlineStr">
        <is>
          <t>No exit premium (1x ARR)</t>
        </is>
      </c>
      <c r="B11" s="663">
        <f>'1. Press Assumptions'!$B$22</f>
        <v/>
      </c>
      <c r="C11" s="404">
        <f>'1. Press Assumptions'!$B$35</f>
        <v/>
      </c>
      <c r="D11" s="404" t="n">
        <v>0</v>
      </c>
      <c r="E11" s="664" t="n">
        <v>1</v>
      </c>
      <c r="F11" s="661">
        <f>K11*$J$6</f>
        <v/>
      </c>
      <c r="G11" s="662">
        <f>F11*('1. Press Assumptions'!$B$5/1000000)</f>
        <v/>
      </c>
      <c r="H11" s="638" t="inlineStr">
        <is>
          <t>1x ARR exit -- buyer pays book; no premium for cash flow capture.</t>
        </is>
      </c>
      <c r="K11" s="306">
        <f>(MIN(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((120*(1-$D11))*POWER($B11,9)*$E11)),150) + MIN(MAX(0,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((120*(1-$D11))*POWER($B11,9)*$E11))-150),30) + '1. Press Assumptions'!$B$40*MAX(0,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((120*(1-$D11))*POWER($B11,9)*$E11))-180))/150</f>
        <v/>
      </c>
    </row>
    <row r="12" ht="15" customHeight="1" s="307">
      <c r="A12" s="306" t="inlineStr">
        <is>
          <t>Combined moderate</t>
        </is>
      </c>
      <c r="B12" s="665" t="n">
        <v>0.8</v>
      </c>
      <c r="C12" s="666" t="n">
        <v>0.55</v>
      </c>
      <c r="D12" s="666" t="n">
        <v>0.2</v>
      </c>
      <c r="E12" s="661" t="n">
        <v>1.5</v>
      </c>
      <c r="F12" s="661">
        <f>K12*$J$6</f>
        <v/>
      </c>
      <c r="G12" s="662">
        <f>F12*('1. Press Assumptions'!$B$5/1000000)</f>
        <v/>
      </c>
      <c r="H12" s="638" t="inlineStr">
        <is>
          <t>NDR 80% + margin 55% + 1 write-off + 1.5x exit.</t>
        </is>
      </c>
      <c r="K12" s="306">
        <f>(MIN(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((120*(1-$D12))*POWER($B12,9)*$E12)),150) + MIN(MAX(0,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((120*(1-$D12))*POWER($B12,9)*$E12))-150),30) + '1. Press Assumptions'!$B$40*MAX(0,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((120*(1-$D12))*POWER($B12,9)*$E12))-180))/150</f>
        <v/>
      </c>
    </row>
    <row r="13" ht="15" customHeight="1" s="307">
      <c r="A13" s="306" t="inlineStr">
        <is>
          <t>Combined severe</t>
        </is>
      </c>
      <c r="B13" s="665" t="n">
        <v>0.7</v>
      </c>
      <c r="C13" s="666" t="n">
        <v>0.45</v>
      </c>
      <c r="D13" s="666" t="n">
        <v>0.4</v>
      </c>
      <c r="E13" s="661" t="n">
        <v>1</v>
      </c>
      <c r="F13" s="661">
        <f>K13*$J$6</f>
        <v/>
      </c>
      <c r="G13" s="662">
        <f>F13*('1. Press Assumptions'!$B$5/1000000)</f>
        <v/>
      </c>
      <c r="H13" s="638" t="inlineStr">
        <is>
          <t>NDR 70% + margin 45% + 2 write-offs + 1x exit.</t>
        </is>
      </c>
      <c r="K13" s="306">
        <f>(MIN(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((120*(1-$D13))*POWER($B13,9)*$E13)),150) + MIN(MAX(0,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((120*(1-$D13))*POWER($B13,9)*$E13))-150),30) + '1. Press Assumptions'!$B$40*MAX(0,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((120*(1-$D13))*POWER($B13,9)*$E13))-180))/150</f>
        <v/>
      </c>
    </row>
    <row r="14" ht="15" customHeight="1" s="307">
      <c r="A14" s="306" t="n"/>
      <c r="B14" s="306" t="n"/>
      <c r="C14" s="306" t="n"/>
      <c r="D14" s="306" t="n"/>
      <c r="E14" s="306" t="n"/>
      <c r="F14" s="306" t="n"/>
    </row>
    <row r="15" ht="15" customHeight="1" s="307">
      <c r="A15" s="626" t="inlineStr">
        <is>
          <t>FINDINGS:</t>
        </is>
      </c>
      <c r="B15" s="306" t="n"/>
      <c r="C15" s="306" t="n"/>
      <c r="D15" s="306" t="n"/>
      <c r="E15" s="306" t="n"/>
      <c r="F15" s="306" t="n"/>
    </row>
    <row r="16" ht="15" customHeight="1" s="307">
      <c r="A16" s="593" t="inlineStr">
        <is>
          <t>(1) "Combined severe" (NDR 70% + margin 45% + 2 write-offs + 1x exit) = ~0.4-0.6x DPI. LP loses 40-60% of capital.</t>
        </is>
      </c>
      <c r="B16" s="306" t="n"/>
      <c r="C16" s="306" t="n"/>
      <c r="D16" s="306" t="n"/>
      <c r="E16" s="306" t="n"/>
      <c r="F16" s="306" t="n"/>
    </row>
    <row r="17" ht="15" customHeight="1" s="307">
      <c r="A17" s="593" t="inlineStr">
        <is>
          <t>(2) Single-variable stresses (one downside at a time) still return ~1x DPI. Real risk is correlated stress.</t>
        </is>
      </c>
      <c r="B17" s="306" t="n"/>
      <c r="C17" s="306" t="n"/>
      <c r="D17" s="306" t="n"/>
      <c r="E17" s="306" t="n"/>
      <c r="F17" s="306" t="n"/>
    </row>
    <row r="18" ht="15" customHeight="1" s="307">
      <c r="A18" s="593" t="inlineStr">
        <is>
          <t>(3) Margin compression (62.5% -&gt; 55%) alone barely moves DPI at NDR=85% -- bonus pool absorbs the loss.</t>
        </is>
      </c>
      <c r="B18" s="306" t="n"/>
      <c r="C18" s="306" t="n"/>
      <c r="D18" s="306" t="n"/>
      <c r="E18" s="306" t="n"/>
      <c r="F18" s="306" t="n"/>
    </row>
    <row r="19" ht="15" customHeight="1" s="307">
      <c r="A19" s="593" t="inlineStr">
        <is>
          <t>(4) Exit multiple matters as much as NDR. 2x vs 1x = 60-80% of total LP cash difference.</t>
        </is>
      </c>
      <c r="B19" s="306" t="n"/>
      <c r="C19" s="306" t="n"/>
      <c r="D19" s="306" t="n"/>
      <c r="E19" s="306" t="n"/>
      <c r="F19" s="306" t="n"/>
    </row>
    <row r="22">
      <c r="A22" s="642" t="inlineStr">
        <is>
          <t>STRESS SCALED TO R50 / R100  (NR stress x scenario uplift ratio)</t>
        </is>
      </c>
      <c r="B22" s="618" t="n"/>
      <c r="C22" s="618" t="n"/>
      <c r="D22" s="618" t="n"/>
      <c r="E22" s="618" t="n"/>
      <c r="F22" s="618" t="n"/>
      <c r="G22" s="618" t="n"/>
      <c r="H22" s="618" t="n"/>
      <c r="I22" s="614" t="n"/>
      <c r="J22" s="614" t="n"/>
      <c r="K22" s="614" t="n"/>
    </row>
    <row r="23">
      <c r="A23" s="615" t="inlineStr">
        <is>
          <t>Method: NR stress DPI x (R50_base / NR_base) -- approximate. Recycling amplifies BOTH upside AND downside.</t>
        </is>
      </c>
      <c r="B23" s="614" t="n"/>
      <c r="C23" s="614" t="n"/>
      <c r="D23" s="614" t="n"/>
      <c r="E23" s="614" t="n"/>
      <c r="F23" s="614" t="n"/>
      <c r="G23" s="614" t="n"/>
      <c r="H23" s="614" t="n"/>
      <c r="I23" s="614" t="n"/>
      <c r="J23" s="614" t="n"/>
      <c r="K23" s="614" t="n"/>
    </row>
    <row r="24">
      <c r="A24" s="697" t="inlineStr">
        <is>
          <t>Scenario</t>
        </is>
      </c>
      <c r="B24" s="697" t="inlineStr">
        <is>
          <t>NR DPI</t>
        </is>
      </c>
      <c r="C24" s="697" t="inlineStr">
        <is>
          <t>R50 DPI*</t>
        </is>
      </c>
      <c r="D24" s="697" t="inlineStr">
        <is>
          <t>R100 DPI*</t>
        </is>
      </c>
      <c r="E24" s="697" t="inlineStr">
        <is>
          <t>NR LP $</t>
        </is>
      </c>
      <c r="F24" s="697" t="inlineStr">
        <is>
          <t>R50 LP $</t>
        </is>
      </c>
      <c r="G24" s="697" t="inlineStr">
        <is>
          <t>R100 LP $</t>
        </is>
      </c>
      <c r="H24" s="614" t="n"/>
      <c r="I24" s="614" t="n"/>
      <c r="J24" s="614" t="n"/>
      <c r="K24" s="614" t="n"/>
    </row>
    <row r="25">
      <c r="A25" s="614">
        <f>A6</f>
        <v/>
      </c>
      <c r="B25" s="690">
        <f>F6</f>
        <v/>
      </c>
      <c r="C25" s="690">
        <f>F6*'_Engine_R50'!$B$252/'_Engine_NR'!$B$252</f>
        <v/>
      </c>
      <c r="D25" s="690">
        <f>F6*'_Engine_R100'!$B$252/'_Engine_NR'!$B$252</f>
        <v/>
      </c>
      <c r="E25" s="691">
        <f>G6</f>
        <v/>
      </c>
      <c r="F25" s="691">
        <f>G6*'_Engine_R50'!$B$250/'_Engine_NR'!$B$250</f>
        <v/>
      </c>
      <c r="G25" s="691">
        <f>G6*'_Engine_R100'!$B$250/'_Engine_NR'!$B$250</f>
        <v/>
      </c>
      <c r="H25" s="614" t="n"/>
      <c r="I25" s="614" t="n"/>
      <c r="J25" s="614" t="n"/>
      <c r="K25" s="614" t="n"/>
    </row>
    <row r="26">
      <c r="A26" s="614">
        <f>A7</f>
        <v/>
      </c>
      <c r="B26" s="690">
        <f>F7</f>
        <v/>
      </c>
      <c r="C26" s="690">
        <f>F7*'_Engine_R50'!$B$252/'_Engine_NR'!$B$252</f>
        <v/>
      </c>
      <c r="D26" s="690">
        <f>F7*'_Engine_R100'!$B$252/'_Engine_NR'!$B$252</f>
        <v/>
      </c>
      <c r="E26" s="691">
        <f>G7</f>
        <v/>
      </c>
      <c r="F26" s="691">
        <f>G7*'_Engine_R50'!$B$250/'_Engine_NR'!$B$250</f>
        <v/>
      </c>
      <c r="G26" s="691">
        <f>G7*'_Engine_R100'!$B$250/'_Engine_NR'!$B$250</f>
        <v/>
      </c>
      <c r="H26" s="614" t="n"/>
      <c r="I26" s="614" t="n"/>
      <c r="J26" s="614" t="n"/>
      <c r="K26" s="614" t="n"/>
    </row>
    <row r="27">
      <c r="A27" s="614">
        <f>A8</f>
        <v/>
      </c>
      <c r="B27" s="690">
        <f>F8</f>
        <v/>
      </c>
      <c r="C27" s="690">
        <f>F8*'_Engine_R50'!$B$252/'_Engine_NR'!$B$252</f>
        <v/>
      </c>
      <c r="D27" s="690">
        <f>F8*'_Engine_R100'!$B$252/'_Engine_NR'!$B$252</f>
        <v/>
      </c>
      <c r="E27" s="691">
        <f>G8</f>
        <v/>
      </c>
      <c r="F27" s="691">
        <f>G8*'_Engine_R50'!$B$250/'_Engine_NR'!$B$250</f>
        <v/>
      </c>
      <c r="G27" s="691">
        <f>G8*'_Engine_R100'!$B$250/'_Engine_NR'!$B$250</f>
        <v/>
      </c>
      <c r="H27" s="614" t="n"/>
      <c r="I27" s="614" t="n"/>
      <c r="J27" s="614" t="n"/>
      <c r="K27" s="614" t="n"/>
    </row>
    <row r="28">
      <c r="A28" s="614">
        <f>A9</f>
        <v/>
      </c>
      <c r="B28" s="690">
        <f>F9</f>
        <v/>
      </c>
      <c r="C28" s="690">
        <f>F9*'_Engine_R50'!$B$252/'_Engine_NR'!$B$252</f>
        <v/>
      </c>
      <c r="D28" s="690">
        <f>F9*'_Engine_R100'!$B$252/'_Engine_NR'!$B$252</f>
        <v/>
      </c>
      <c r="E28" s="691">
        <f>G9</f>
        <v/>
      </c>
      <c r="F28" s="691">
        <f>G9*'_Engine_R50'!$B$250/'_Engine_NR'!$B$250</f>
        <v/>
      </c>
      <c r="G28" s="691">
        <f>G9*'_Engine_R100'!$B$250/'_Engine_NR'!$B$250</f>
        <v/>
      </c>
      <c r="H28" s="614" t="n"/>
      <c r="I28" s="614" t="n"/>
      <c r="J28" s="614" t="n"/>
      <c r="K28" s="614" t="n"/>
    </row>
    <row r="29">
      <c r="A29" s="614">
        <f>A10</f>
        <v/>
      </c>
      <c r="B29" s="690">
        <f>F10</f>
        <v/>
      </c>
      <c r="C29" s="690">
        <f>F10*'_Engine_R50'!$B$252/'_Engine_NR'!$B$252</f>
        <v/>
      </c>
      <c r="D29" s="690">
        <f>F10*'_Engine_R100'!$B$252/'_Engine_NR'!$B$252</f>
        <v/>
      </c>
      <c r="E29" s="691">
        <f>G10</f>
        <v/>
      </c>
      <c r="F29" s="691">
        <f>G10*'_Engine_R50'!$B$250/'_Engine_NR'!$B$250</f>
        <v/>
      </c>
      <c r="G29" s="691">
        <f>G10*'_Engine_R100'!$B$250/'_Engine_NR'!$B$250</f>
        <v/>
      </c>
      <c r="H29" s="614" t="n"/>
      <c r="I29" s="614" t="n"/>
      <c r="J29" s="614" t="n"/>
      <c r="K29" s="614" t="n"/>
    </row>
    <row r="30">
      <c r="A30" s="614">
        <f>A11</f>
        <v/>
      </c>
      <c r="B30" s="690">
        <f>F11</f>
        <v/>
      </c>
      <c r="C30" s="690">
        <f>F11*'_Engine_R50'!$B$252/'_Engine_NR'!$B$252</f>
        <v/>
      </c>
      <c r="D30" s="690">
        <f>F11*'_Engine_R100'!$B$252/'_Engine_NR'!$B$252</f>
        <v/>
      </c>
      <c r="E30" s="691">
        <f>G11</f>
        <v/>
      </c>
      <c r="F30" s="691">
        <f>G11*'_Engine_R50'!$B$250/'_Engine_NR'!$B$250</f>
        <v/>
      </c>
      <c r="G30" s="691">
        <f>G11*'_Engine_R100'!$B$250/'_Engine_NR'!$B$250</f>
        <v/>
      </c>
      <c r="H30" s="614" t="n"/>
      <c r="I30" s="614" t="n"/>
      <c r="J30" s="614" t="n"/>
      <c r="K30" s="614" t="n"/>
    </row>
    <row r="31">
      <c r="A31" s="614">
        <f>A12</f>
        <v/>
      </c>
      <c r="B31" s="690">
        <f>F12</f>
        <v/>
      </c>
      <c r="C31" s="690">
        <f>F12*'_Engine_R50'!$B$252/'_Engine_NR'!$B$252</f>
        <v/>
      </c>
      <c r="D31" s="690">
        <f>F12*'_Engine_R100'!$B$252/'_Engine_NR'!$B$252</f>
        <v/>
      </c>
      <c r="E31" s="691">
        <f>G12</f>
        <v/>
      </c>
      <c r="F31" s="691">
        <f>G12*'_Engine_R50'!$B$250/'_Engine_NR'!$B$250</f>
        <v/>
      </c>
      <c r="G31" s="691">
        <f>G12*'_Engine_R100'!$B$250/'_Engine_NR'!$B$250</f>
        <v/>
      </c>
      <c r="H31" s="614" t="n"/>
      <c r="I31" s="614" t="n"/>
      <c r="J31" s="614" t="n"/>
      <c r="K31" s="614" t="n"/>
    </row>
    <row r="32">
      <c r="A32" s="614">
        <f>A13</f>
        <v/>
      </c>
      <c r="B32" s="690">
        <f>F13</f>
        <v/>
      </c>
      <c r="C32" s="690">
        <f>F13*'_Engine_R50'!$B$252/'_Engine_NR'!$B$252</f>
        <v/>
      </c>
      <c r="D32" s="690">
        <f>F13*'_Engine_R100'!$B$252/'_Engine_NR'!$B$252</f>
        <v/>
      </c>
      <c r="E32" s="691">
        <f>G13</f>
        <v/>
      </c>
      <c r="F32" s="691">
        <f>G13*'_Engine_R50'!$B$250/'_Engine_NR'!$B$250</f>
        <v/>
      </c>
      <c r="G32" s="691">
        <f>G13*'_Engine_R100'!$B$250/'_Engine_NR'!$B$250</f>
        <v/>
      </c>
      <c r="H32" s="614" t="n"/>
      <c r="I32" s="614" t="n"/>
      <c r="J32" s="614" t="n"/>
      <c r="K32" s="614" t="n"/>
    </row>
    <row r="33">
      <c r="A33" s="614" t="n"/>
      <c r="B33" s="614" t="n"/>
      <c r="C33" s="614" t="n"/>
      <c r="D33" s="614" t="n"/>
      <c r="E33" s="614" t="n"/>
      <c r="F33" s="614" t="n"/>
      <c r="G33" s="614" t="n"/>
      <c r="H33" s="614" t="n"/>
      <c r="I33" s="614" t="n"/>
      <c r="J33" s="614" t="n"/>
      <c r="K33" s="614" t="n"/>
    </row>
    <row r="34">
      <c r="A34" s="615" t="inlineStr">
        <is>
          <t>* Scaled approximation. Engine cannot run stress against alternate inputs without manual scenario change on Tab 1.</t>
        </is>
      </c>
      <c r="B34" s="614" t="n"/>
      <c r="C34" s="614" t="n"/>
      <c r="D34" s="614" t="n"/>
      <c r="E34" s="614" t="n"/>
      <c r="F34" s="614" t="n"/>
      <c r="G34" s="614" t="n"/>
      <c r="H34" s="614" t="n"/>
      <c r="I34" s="614" t="n"/>
      <c r="J34" s="614" t="n"/>
      <c r="K34" s="614" t="n"/>
    </row>
    <row r="35">
      <c r="A35" s="627" t="inlineStr">
        <is>
          <t>CRITICAL: under "Combined severe" stress, R50 retained cash likely INSUFFICIENT for recycled deals.</t>
        </is>
      </c>
      <c r="B35" s="614" t="n"/>
      <c r="C35" s="614" t="n"/>
      <c r="D35" s="614" t="n"/>
      <c r="E35" s="614" t="n"/>
      <c r="F35" s="614" t="n"/>
      <c r="G35" s="614" t="n"/>
      <c r="H35" s="614" t="n"/>
      <c r="I35" s="614" t="n"/>
      <c r="J35" s="614" t="n"/>
      <c r="K35" s="614" t="n"/>
    </row>
    <row r="36">
      <c r="A36" s="615" t="inlineStr">
        <is>
          <t>If revenue / EBITDA collapses, retained pool shrinks below $120M -- recycle program fails.</t>
        </is>
      </c>
      <c r="B36" s="614" t="n"/>
      <c r="C36" s="614" t="n"/>
      <c r="D36" s="614" t="n"/>
      <c r="E36" s="614" t="n"/>
      <c r="F36" s="614" t="n"/>
      <c r="G36" s="614" t="n"/>
      <c r="H36" s="614" t="n"/>
      <c r="I36" s="614" t="n"/>
      <c r="J36" s="614" t="n"/>
      <c r="K36" s="614" t="n"/>
    </row>
    <row r="37">
      <c r="A37" s="614" t="n"/>
      <c r="B37" s="614" t="n"/>
      <c r="C37" s="614" t="n"/>
      <c r="D37" s="614" t="n"/>
      <c r="E37" s="614" t="n"/>
      <c r="F37" s="614" t="n"/>
      <c r="G37" s="614" t="n"/>
      <c r="H37" s="614" t="n"/>
      <c r="I37" s="614" t="n"/>
      <c r="J37" s="614" t="n"/>
      <c r="K37" s="614" t="n"/>
    </row>
    <row r="38">
      <c r="A38" s="614" t="n"/>
      <c r="B38" s="614" t="n"/>
      <c r="C38" s="614" t="n"/>
      <c r="D38" s="614" t="n"/>
      <c r="E38" s="614" t="n"/>
      <c r="F38" s="614" t="n"/>
      <c r="G38" s="614" t="n"/>
      <c r="H38" s="614" t="n"/>
      <c r="I38" s="614" t="n"/>
      <c r="J38" s="614" t="n"/>
      <c r="K38" s="614" t="n"/>
    </row>
    <row r="39">
      <c r="A39" s="614" t="n"/>
      <c r="B39" s="614" t="n"/>
      <c r="C39" s="614" t="n"/>
      <c r="D39" s="614" t="n"/>
      <c r="E39" s="614" t="n"/>
      <c r="F39" s="614" t="n"/>
      <c r="G39" s="614" t="n"/>
      <c r="H39" s="614" t="n"/>
      <c r="I39" s="614" t="n"/>
      <c r="J39" s="614" t="n"/>
      <c r="K39" s="614" t="n"/>
    </row>
    <row r="40">
      <c r="A40" s="614" t="n"/>
      <c r="B40" s="614" t="n"/>
      <c r="C40" s="614" t="n"/>
      <c r="D40" s="614" t="n"/>
      <c r="E40" s="614" t="n"/>
      <c r="F40" s="614" t="n"/>
      <c r="G40" s="614" t="n"/>
      <c r="H40" s="614" t="n"/>
      <c r="I40" s="614" t="n"/>
      <c r="J40" s="614" t="n"/>
      <c r="K40" s="614" t="n"/>
    </row>
    <row r="41">
      <c r="A41" s="614" t="n"/>
      <c r="B41" s="614" t="n"/>
      <c r="C41" s="614" t="n"/>
      <c r="D41" s="614" t="n"/>
      <c r="E41" s="614" t="n"/>
      <c r="F41" s="614" t="n"/>
      <c r="G41" s="614" t="n"/>
      <c r="H41" s="614" t="n"/>
      <c r="I41" s="614" t="n"/>
      <c r="J41" s="614" t="n"/>
      <c r="K41" s="614" t="n"/>
    </row>
    <row r="42">
      <c r="A42" s="614" t="n"/>
      <c r="B42" s="614" t="n"/>
      <c r="C42" s="614" t="n"/>
      <c r="D42" s="614" t="n"/>
      <c r="E42" s="614" t="n"/>
      <c r="F42" s="614" t="n"/>
      <c r="G42" s="614" t="n"/>
      <c r="H42" s="614" t="n"/>
      <c r="I42" s="614" t="n"/>
      <c r="J42" s="614" t="n"/>
      <c r="K42" s="614" t="n"/>
    </row>
    <row r="43">
      <c r="A43" s="614" t="n"/>
      <c r="B43" s="614" t="n"/>
      <c r="C43" s="614" t="n"/>
      <c r="D43" s="614" t="n"/>
      <c r="E43" s="614" t="n"/>
      <c r="F43" s="614" t="n"/>
      <c r="G43" s="614" t="n"/>
      <c r="H43" s="614" t="n"/>
      <c r="I43" s="614" t="n"/>
      <c r="J43" s="614" t="n"/>
      <c r="K43" s="614" t="n"/>
    </row>
    <row r="44">
      <c r="A44" s="614" t="n"/>
      <c r="B44" s="614" t="n"/>
      <c r="C44" s="614" t="n"/>
      <c r="D44" s="614" t="n"/>
      <c r="E44" s="614" t="n"/>
      <c r="F44" s="614" t="n"/>
      <c r="G44" s="614" t="n"/>
      <c r="H44" s="614" t="n"/>
      <c r="I44" s="614" t="n"/>
      <c r="J44" s="614" t="n"/>
      <c r="K44" s="614" t="n"/>
    </row>
    <row r="45">
      <c r="A45" s="614" t="n"/>
      <c r="B45" s="614" t="n"/>
      <c r="C45" s="614" t="n"/>
      <c r="D45" s="614" t="n"/>
      <c r="E45" s="614" t="n"/>
      <c r="F45" s="614" t="n"/>
      <c r="G45" s="614" t="n"/>
      <c r="H45" s="614" t="n"/>
      <c r="I45" s="614" t="n"/>
      <c r="J45" s="614" t="n"/>
      <c r="K45" s="614" t="n"/>
    </row>
    <row r="46">
      <c r="A46" s="614" t="n"/>
      <c r="B46" s="614" t="n"/>
      <c r="C46" s="614" t="n"/>
      <c r="D46" s="614" t="n"/>
      <c r="E46" s="614" t="n"/>
      <c r="F46" s="614" t="n"/>
      <c r="G46" s="614" t="n"/>
      <c r="H46" s="614" t="n"/>
      <c r="I46" s="614" t="n"/>
      <c r="J46" s="614" t="n"/>
      <c r="K46" s="614" t="n"/>
    </row>
    <row r="47">
      <c r="A47" s="614" t="n"/>
      <c r="B47" s="614" t="n"/>
      <c r="C47" s="614" t="n"/>
      <c r="D47" s="614" t="n"/>
      <c r="E47" s="614" t="n"/>
      <c r="F47" s="614" t="n"/>
      <c r="G47" s="614" t="n"/>
      <c r="H47" s="614" t="n"/>
      <c r="I47" s="614" t="n"/>
      <c r="J47" s="614" t="n"/>
      <c r="K47" s="614" t="n"/>
    </row>
    <row r="48">
      <c r="A48" s="614" t="n"/>
      <c r="B48" s="614" t="n"/>
      <c r="C48" s="614" t="n"/>
      <c r="D48" s="614" t="n"/>
      <c r="E48" s="614" t="n"/>
      <c r="F48" s="614" t="n"/>
      <c r="G48" s="614" t="n"/>
      <c r="H48" s="614" t="n"/>
      <c r="I48" s="614" t="n"/>
      <c r="J48" s="614" t="n"/>
      <c r="K48" s="614" t="n"/>
    </row>
    <row r="49">
      <c r="A49" s="614" t="n"/>
      <c r="B49" s="614" t="n"/>
      <c r="C49" s="614" t="n"/>
      <c r="D49" s="614" t="n"/>
      <c r="E49" s="614" t="n"/>
      <c r="F49" s="614" t="n"/>
      <c r="G49" s="614" t="n"/>
      <c r="H49" s="614" t="n"/>
      <c r="I49" s="614" t="n"/>
      <c r="J49" s="614" t="n"/>
      <c r="K4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C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6" min="1" max="1"/>
    <col width="12" customWidth="1" style="306" min="2" max="25"/>
  </cols>
  <sheetData>
    <row r="1" ht="15.75" customHeight="1" s="307">
      <c r="A1" s="471" t="inlineStr">
        <is>
          <t>WORKING CAPITAL / J-CURVE  --  FIRST 24 MONTHS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09" t="n"/>
      <c r="W1" s="309" t="n"/>
      <c r="X1" s="309" t="n"/>
      <c r="Y1" s="309" t="n"/>
    </row>
    <row r="2" ht="15" customHeight="1" s="307">
      <c r="A2" s="644" t="inlineStr">
        <is>
          <t>No recycling. Live from _Engine_NR. First 24 months of LP cash position.</t>
        </is>
      </c>
    </row>
    <row r="4" ht="15" customHeight="1" s="307">
      <c r="A4" s="472" t="inlineStr">
        <is>
          <t>($mm)</t>
        </is>
      </c>
      <c r="B4" s="388" t="inlineStr">
        <is>
          <t>M1</t>
        </is>
      </c>
      <c r="C4" s="388" t="inlineStr">
        <is>
          <t>M2</t>
        </is>
      </c>
      <c r="D4" s="388" t="inlineStr">
        <is>
          <t>M3</t>
        </is>
      </c>
      <c r="E4" s="388" t="inlineStr">
        <is>
          <t>M4</t>
        </is>
      </c>
      <c r="F4" s="388" t="inlineStr">
        <is>
          <t>M5</t>
        </is>
      </c>
      <c r="G4" s="388" t="inlineStr">
        <is>
          <t>M6</t>
        </is>
      </c>
      <c r="H4" s="388" t="inlineStr">
        <is>
          <t>M7</t>
        </is>
      </c>
      <c r="I4" s="388" t="inlineStr">
        <is>
          <t>M8</t>
        </is>
      </c>
      <c r="J4" s="388" t="inlineStr">
        <is>
          <t>M9</t>
        </is>
      </c>
      <c r="K4" s="388" t="inlineStr">
        <is>
          <t>M10</t>
        </is>
      </c>
      <c r="L4" s="388" t="inlineStr">
        <is>
          <t>M11</t>
        </is>
      </c>
      <c r="M4" s="388" t="inlineStr">
        <is>
          <t>M12</t>
        </is>
      </c>
      <c r="N4" s="388" t="inlineStr">
        <is>
          <t>M13</t>
        </is>
      </c>
      <c r="O4" s="388" t="inlineStr">
        <is>
          <t>M14</t>
        </is>
      </c>
      <c r="P4" s="388" t="inlineStr">
        <is>
          <t>M15</t>
        </is>
      </c>
      <c r="Q4" s="388" t="inlineStr">
        <is>
          <t>M16</t>
        </is>
      </c>
      <c r="R4" s="388" t="inlineStr">
        <is>
          <t>M17</t>
        </is>
      </c>
      <c r="S4" s="388" t="inlineStr">
        <is>
          <t>M18</t>
        </is>
      </c>
      <c r="T4" s="388" t="inlineStr">
        <is>
          <t>M19</t>
        </is>
      </c>
      <c r="U4" s="388" t="inlineStr">
        <is>
          <t>M20</t>
        </is>
      </c>
      <c r="V4" s="388" t="inlineStr">
        <is>
          <t>M21</t>
        </is>
      </c>
      <c r="W4" s="388" t="inlineStr">
        <is>
          <t>M22</t>
        </is>
      </c>
      <c r="X4" s="388" t="inlineStr">
        <is>
          <t>M23</t>
        </is>
      </c>
      <c r="Y4" s="388" t="inlineStr">
        <is>
          <t>M24</t>
        </is>
      </c>
    </row>
    <row r="6" ht="15" customHeight="1" s="307">
      <c r="A6" s="322" t="inlineStr">
        <is>
          <t>Capital Calls</t>
        </is>
      </c>
      <c r="B6" s="569">
        <f>SUMPRODUCT((1='1. Press Assumptions'!$K$89:$K$93)*('1. Press Assumptions'!$D$89:$D$93*'1. Press Assumptions'!$E$89:$E$93))</f>
        <v/>
      </c>
      <c r="C6" s="569">
        <f>SUMPRODUCT((2='1. Press Assumptions'!$K$89:$K$93)*('1. Press Assumptions'!$D$89:$D$93*'1. Press Assumptions'!$E$89:$E$93))</f>
        <v/>
      </c>
      <c r="D6" s="569">
        <f>SUMPRODUCT((3='1. Press Assumptions'!$K$89:$K$93)*('1. Press Assumptions'!$D$89:$D$93*'1. Press Assumptions'!$E$89:$E$93))</f>
        <v/>
      </c>
      <c r="E6" s="569">
        <f>SUMPRODUCT((4='1. Press Assumptions'!$K$89:$K$93)*('1. Press Assumptions'!$D$89:$D$93*'1. Press Assumptions'!$E$89:$E$93))</f>
        <v/>
      </c>
      <c r="F6" s="569">
        <f>SUMPRODUCT((5='1. Press Assumptions'!$K$89:$K$93)*('1. Press Assumptions'!$D$89:$D$93*'1. Press Assumptions'!$E$89:$E$93))</f>
        <v/>
      </c>
      <c r="G6" s="569">
        <f>SUMPRODUCT((6='1. Press Assumptions'!$K$89:$K$93)*('1. Press Assumptions'!$D$89:$D$93*'1. Press Assumptions'!$E$89:$E$93))</f>
        <v/>
      </c>
      <c r="H6" s="569">
        <f>SUMPRODUCT((7='1. Press Assumptions'!$K$89:$K$93)*('1. Press Assumptions'!$D$89:$D$93*'1. Press Assumptions'!$E$89:$E$93))</f>
        <v/>
      </c>
      <c r="I6" s="569">
        <f>SUMPRODUCT((8='1. Press Assumptions'!$K$89:$K$93)*('1. Press Assumptions'!$D$89:$D$93*'1. Press Assumptions'!$E$89:$E$93))</f>
        <v/>
      </c>
      <c r="J6" s="569">
        <f>SUMPRODUCT((9='1. Press Assumptions'!$K$89:$K$93)*('1. Press Assumptions'!$D$89:$D$93*'1. Press Assumptions'!$E$89:$E$93))</f>
        <v/>
      </c>
      <c r="K6" s="569">
        <f>SUMPRODUCT((10='1. Press Assumptions'!$K$89:$K$93)*('1. Press Assumptions'!$D$89:$D$93*'1. Press Assumptions'!$E$89:$E$93))</f>
        <v/>
      </c>
      <c r="L6" s="569">
        <f>SUMPRODUCT((11='1. Press Assumptions'!$K$89:$K$93)*('1. Press Assumptions'!$D$89:$D$93*'1. Press Assumptions'!$E$89:$E$93))</f>
        <v/>
      </c>
      <c r="M6" s="569">
        <f>SUMPRODUCT((12='1. Press Assumptions'!$K$89:$K$93)*('1. Press Assumptions'!$D$89:$D$93*'1. Press Assumptions'!$E$89:$E$93))</f>
        <v/>
      </c>
      <c r="N6" s="569">
        <f>SUMPRODUCT((13='1. Press Assumptions'!$K$89:$K$93)*('1. Press Assumptions'!$D$89:$D$93*'1. Press Assumptions'!$E$89:$E$93))</f>
        <v/>
      </c>
      <c r="O6" s="569">
        <f>SUMPRODUCT((14='1. Press Assumptions'!$K$89:$K$93)*('1. Press Assumptions'!$D$89:$D$93*'1. Press Assumptions'!$E$89:$E$93))</f>
        <v/>
      </c>
      <c r="P6" s="569">
        <f>SUMPRODUCT((15='1. Press Assumptions'!$K$89:$K$93)*('1. Press Assumptions'!$D$89:$D$93*'1. Press Assumptions'!$E$89:$E$93))</f>
        <v/>
      </c>
      <c r="Q6" s="569">
        <f>SUMPRODUCT((16='1. Press Assumptions'!$K$89:$K$93)*('1. Press Assumptions'!$D$89:$D$93*'1. Press Assumptions'!$E$89:$E$93))</f>
        <v/>
      </c>
      <c r="R6" s="569">
        <f>SUMPRODUCT((17='1. Press Assumptions'!$K$89:$K$93)*('1. Press Assumptions'!$D$89:$D$93*'1. Press Assumptions'!$E$89:$E$93))</f>
        <v/>
      </c>
      <c r="S6" s="569">
        <f>SUMPRODUCT((18='1. Press Assumptions'!$K$89:$K$93)*('1. Press Assumptions'!$D$89:$D$93*'1. Press Assumptions'!$E$89:$E$93))</f>
        <v/>
      </c>
      <c r="T6" s="569">
        <f>SUMPRODUCT((19='1. Press Assumptions'!$K$89:$K$93)*('1. Press Assumptions'!$D$89:$D$93*'1. Press Assumptions'!$E$89:$E$93))</f>
        <v/>
      </c>
      <c r="U6" s="569">
        <f>SUMPRODUCT((20='1. Press Assumptions'!$K$89:$K$93)*('1. Press Assumptions'!$D$89:$D$93*'1. Press Assumptions'!$E$89:$E$93))</f>
        <v/>
      </c>
      <c r="V6" s="569">
        <f>SUMPRODUCT((21='1. Press Assumptions'!$K$89:$K$93)*('1. Press Assumptions'!$D$89:$D$93*'1. Press Assumptions'!$E$89:$E$93))</f>
        <v/>
      </c>
      <c r="W6" s="569">
        <f>SUMPRODUCT((22='1. Press Assumptions'!$K$89:$K$93)*('1. Press Assumptions'!$D$89:$D$93*'1. Press Assumptions'!$E$89:$E$93))</f>
        <v/>
      </c>
      <c r="X6" s="569">
        <f>SUMPRODUCT((23='1. Press Assumptions'!$K$89:$K$93)*('1. Press Assumptions'!$D$89:$D$93*'1. Press Assumptions'!$E$89:$E$93))</f>
        <v/>
      </c>
      <c r="Y6" s="569">
        <f>SUMPRODUCT((24='1. Press Assumptions'!$K$89:$K$93)*('1. Press Assumptions'!$D$89:$D$93*'1. Press Assumptions'!$E$89:$E$93))</f>
        <v/>
      </c>
    </row>
    <row r="7" ht="15" customHeight="1" s="307">
      <c r="A7" s="321" t="inlineStr">
        <is>
          <t>Revenue</t>
        </is>
      </c>
      <c r="B7" s="354">
        <f>'_Engine_NR'!L31</f>
        <v/>
      </c>
      <c r="C7" s="354">
        <f>'_Engine_NR'!L32</f>
        <v/>
      </c>
      <c r="D7" s="354">
        <f>'_Engine_NR'!L33</f>
        <v/>
      </c>
      <c r="E7" s="354">
        <f>'_Engine_NR'!L34</f>
        <v/>
      </c>
      <c r="F7" s="354">
        <f>'_Engine_NR'!L35</f>
        <v/>
      </c>
      <c r="G7" s="354">
        <f>'_Engine_NR'!L36</f>
        <v/>
      </c>
      <c r="H7" s="354">
        <f>'_Engine_NR'!L37</f>
        <v/>
      </c>
      <c r="I7" s="354">
        <f>'_Engine_NR'!L38</f>
        <v/>
      </c>
      <c r="J7" s="354">
        <f>'_Engine_NR'!L39</f>
        <v/>
      </c>
      <c r="K7" s="354">
        <f>'_Engine_NR'!L40</f>
        <v/>
      </c>
      <c r="L7" s="354">
        <f>'_Engine_NR'!L41</f>
        <v/>
      </c>
      <c r="M7" s="354">
        <f>'_Engine_NR'!L42</f>
        <v/>
      </c>
      <c r="N7" s="354">
        <f>'_Engine_NR'!L43</f>
        <v/>
      </c>
      <c r="O7" s="354">
        <f>'_Engine_NR'!L44</f>
        <v/>
      </c>
      <c r="P7" s="354">
        <f>'_Engine_NR'!L45</f>
        <v/>
      </c>
      <c r="Q7" s="354">
        <f>'_Engine_NR'!L46</f>
        <v/>
      </c>
      <c r="R7" s="354">
        <f>'_Engine_NR'!L47</f>
        <v/>
      </c>
      <c r="S7" s="354">
        <f>'_Engine_NR'!L48</f>
        <v/>
      </c>
      <c r="T7" s="354">
        <f>'_Engine_NR'!L49</f>
        <v/>
      </c>
      <c r="U7" s="354">
        <f>'_Engine_NR'!L50</f>
        <v/>
      </c>
      <c r="V7" s="354">
        <f>'_Engine_NR'!L51</f>
        <v/>
      </c>
      <c r="W7" s="354">
        <f>'_Engine_NR'!L52</f>
        <v/>
      </c>
      <c r="X7" s="354">
        <f>'_Engine_NR'!L53</f>
        <v/>
      </c>
      <c r="Y7" s="354">
        <f>'_Engine_NR'!L54</f>
        <v/>
      </c>
    </row>
    <row r="8" ht="15" customHeight="1" s="307">
      <c r="A8" s="321" t="inlineStr">
        <is>
          <t>Operating Expenses</t>
        </is>
      </c>
      <c r="B8" s="354">
        <f>'_Engine_NR'!M31+'_Engine_NR'!N31+'_Engine_NR'!O31+'_Engine_NR'!D31+'_Engine_NR'!E31+'_Engine_NR'!Q31</f>
        <v/>
      </c>
      <c r="C8" s="354">
        <f>'_Engine_NR'!M32+'_Engine_NR'!N32+'_Engine_NR'!O32+'_Engine_NR'!D32+'_Engine_NR'!E32+'_Engine_NR'!Q32</f>
        <v/>
      </c>
      <c r="D8" s="354">
        <f>'_Engine_NR'!M33+'_Engine_NR'!N33+'_Engine_NR'!O33+'_Engine_NR'!D33+'_Engine_NR'!E33+'_Engine_NR'!Q33</f>
        <v/>
      </c>
      <c r="E8" s="354">
        <f>'_Engine_NR'!M34+'_Engine_NR'!N34+'_Engine_NR'!O34+'_Engine_NR'!D34+'_Engine_NR'!E34+'_Engine_NR'!Q34</f>
        <v/>
      </c>
      <c r="F8" s="354">
        <f>'_Engine_NR'!M35+'_Engine_NR'!N35+'_Engine_NR'!O35+'_Engine_NR'!D35+'_Engine_NR'!E35+'_Engine_NR'!Q35</f>
        <v/>
      </c>
      <c r="G8" s="354">
        <f>'_Engine_NR'!M36+'_Engine_NR'!N36+'_Engine_NR'!O36+'_Engine_NR'!D36+'_Engine_NR'!E36+'_Engine_NR'!Q36</f>
        <v/>
      </c>
      <c r="H8" s="354">
        <f>'_Engine_NR'!M37+'_Engine_NR'!N37+'_Engine_NR'!O37+'_Engine_NR'!D37+'_Engine_NR'!E37+'_Engine_NR'!Q37</f>
        <v/>
      </c>
      <c r="I8" s="354">
        <f>'_Engine_NR'!M38+'_Engine_NR'!N38+'_Engine_NR'!O38+'_Engine_NR'!D38+'_Engine_NR'!E38+'_Engine_NR'!Q38</f>
        <v/>
      </c>
      <c r="J8" s="354">
        <f>'_Engine_NR'!M39+'_Engine_NR'!N39+'_Engine_NR'!O39+'_Engine_NR'!D39+'_Engine_NR'!E39+'_Engine_NR'!Q39</f>
        <v/>
      </c>
      <c r="K8" s="354">
        <f>'_Engine_NR'!M40+'_Engine_NR'!N40+'_Engine_NR'!O40+'_Engine_NR'!D40+'_Engine_NR'!E40+'_Engine_NR'!Q40</f>
        <v/>
      </c>
      <c r="L8" s="354">
        <f>'_Engine_NR'!M41+'_Engine_NR'!N41+'_Engine_NR'!O41+'_Engine_NR'!D41+'_Engine_NR'!E41+'_Engine_NR'!Q41</f>
        <v/>
      </c>
      <c r="M8" s="354">
        <f>'_Engine_NR'!M42+'_Engine_NR'!N42+'_Engine_NR'!O42+'_Engine_NR'!D42+'_Engine_NR'!E42+'_Engine_NR'!Q42</f>
        <v/>
      </c>
      <c r="N8" s="354">
        <f>'_Engine_NR'!M43+'_Engine_NR'!N43+'_Engine_NR'!O43+'_Engine_NR'!D43+'_Engine_NR'!E43+'_Engine_NR'!Q43</f>
        <v/>
      </c>
      <c r="O8" s="354">
        <f>'_Engine_NR'!M44+'_Engine_NR'!N44+'_Engine_NR'!O44+'_Engine_NR'!D44+'_Engine_NR'!E44+'_Engine_NR'!Q44</f>
        <v/>
      </c>
      <c r="P8" s="354">
        <f>'_Engine_NR'!M45+'_Engine_NR'!N45+'_Engine_NR'!O45+'_Engine_NR'!D45+'_Engine_NR'!E45+'_Engine_NR'!Q45</f>
        <v/>
      </c>
      <c r="Q8" s="354">
        <f>'_Engine_NR'!M46+'_Engine_NR'!N46+'_Engine_NR'!O46+'_Engine_NR'!D46+'_Engine_NR'!E46+'_Engine_NR'!Q46</f>
        <v/>
      </c>
      <c r="R8" s="354">
        <f>'_Engine_NR'!M47+'_Engine_NR'!N47+'_Engine_NR'!O47+'_Engine_NR'!D47+'_Engine_NR'!E47+'_Engine_NR'!Q47</f>
        <v/>
      </c>
      <c r="S8" s="354">
        <f>'_Engine_NR'!M48+'_Engine_NR'!N48+'_Engine_NR'!O48+'_Engine_NR'!D48+'_Engine_NR'!E48+'_Engine_NR'!Q48</f>
        <v/>
      </c>
      <c r="T8" s="354">
        <f>'_Engine_NR'!M49+'_Engine_NR'!N49+'_Engine_NR'!O49+'_Engine_NR'!D49+'_Engine_NR'!E49+'_Engine_NR'!Q49</f>
        <v/>
      </c>
      <c r="U8" s="354">
        <f>'_Engine_NR'!M50+'_Engine_NR'!N50+'_Engine_NR'!O50+'_Engine_NR'!D50+'_Engine_NR'!E50+'_Engine_NR'!Q50</f>
        <v/>
      </c>
      <c r="V8" s="354">
        <f>'_Engine_NR'!M51+'_Engine_NR'!N51+'_Engine_NR'!O51+'_Engine_NR'!D51+'_Engine_NR'!E51+'_Engine_NR'!Q51</f>
        <v/>
      </c>
      <c r="W8" s="354">
        <f>'_Engine_NR'!M52+'_Engine_NR'!N52+'_Engine_NR'!O52+'_Engine_NR'!D52+'_Engine_NR'!E52+'_Engine_NR'!Q52</f>
        <v/>
      </c>
      <c r="X8" s="354">
        <f>'_Engine_NR'!M53+'_Engine_NR'!N53+'_Engine_NR'!O53+'_Engine_NR'!D53+'_Engine_NR'!E53+'_Engine_NR'!Q53</f>
        <v/>
      </c>
      <c r="Y8" s="354">
        <f>'_Engine_NR'!M54+'_Engine_NR'!N54+'_Engine_NR'!O54+'_Engine_NR'!D54+'_Engine_NR'!E54+'_Engine_NR'!Q54</f>
        <v/>
      </c>
    </row>
    <row r="9" ht="15" customHeight="1" s="307">
      <c r="A9" s="321" t="inlineStr">
        <is>
          <t>Severance</t>
        </is>
      </c>
      <c r="B9" s="354">
        <f>'_Engine_NR'!S31</f>
        <v/>
      </c>
      <c r="C9" s="354">
        <f>'_Engine_NR'!S32</f>
        <v/>
      </c>
      <c r="D9" s="354">
        <f>'_Engine_NR'!S33</f>
        <v/>
      </c>
      <c r="E9" s="354">
        <f>'_Engine_NR'!S34</f>
        <v/>
      </c>
      <c r="F9" s="354">
        <f>'_Engine_NR'!S35</f>
        <v/>
      </c>
      <c r="G9" s="354">
        <f>'_Engine_NR'!S36</f>
        <v/>
      </c>
      <c r="H9" s="354">
        <f>'_Engine_NR'!S37</f>
        <v/>
      </c>
      <c r="I9" s="354">
        <f>'_Engine_NR'!S38</f>
        <v/>
      </c>
      <c r="J9" s="354">
        <f>'_Engine_NR'!S39</f>
        <v/>
      </c>
      <c r="K9" s="354">
        <f>'_Engine_NR'!S40</f>
        <v/>
      </c>
      <c r="L9" s="354">
        <f>'_Engine_NR'!S41</f>
        <v/>
      </c>
      <c r="M9" s="354">
        <f>'_Engine_NR'!S42</f>
        <v/>
      </c>
      <c r="N9" s="354">
        <f>'_Engine_NR'!S43</f>
        <v/>
      </c>
      <c r="O9" s="354">
        <f>'_Engine_NR'!S44</f>
        <v/>
      </c>
      <c r="P9" s="354">
        <f>'_Engine_NR'!S45</f>
        <v/>
      </c>
      <c r="Q9" s="354">
        <f>'_Engine_NR'!S46</f>
        <v/>
      </c>
      <c r="R9" s="354">
        <f>'_Engine_NR'!S47</f>
        <v/>
      </c>
      <c r="S9" s="354">
        <f>'_Engine_NR'!S48</f>
        <v/>
      </c>
      <c r="T9" s="354">
        <f>'_Engine_NR'!S49</f>
        <v/>
      </c>
      <c r="U9" s="354">
        <f>'_Engine_NR'!S50</f>
        <v/>
      </c>
      <c r="V9" s="354">
        <f>'_Engine_NR'!S51</f>
        <v/>
      </c>
      <c r="W9" s="354">
        <f>'_Engine_NR'!S52</f>
        <v/>
      </c>
      <c r="X9" s="354">
        <f>'_Engine_NR'!S53</f>
        <v/>
      </c>
      <c r="Y9" s="354">
        <f>'_Engine_NR'!S54</f>
        <v/>
      </c>
    </row>
    <row r="10" ht="15" customHeight="1" s="307">
      <c r="A10" s="321" t="inlineStr">
        <is>
          <t>Management Fee</t>
        </is>
      </c>
      <c r="B10" s="354">
        <f>'_Engine_NR'!C31</f>
        <v/>
      </c>
      <c r="C10" s="354">
        <f>'_Engine_NR'!C32</f>
        <v/>
      </c>
      <c r="D10" s="354">
        <f>'_Engine_NR'!C33</f>
        <v/>
      </c>
      <c r="E10" s="354">
        <f>'_Engine_NR'!C34</f>
        <v/>
      </c>
      <c r="F10" s="354">
        <f>'_Engine_NR'!C35</f>
        <v/>
      </c>
      <c r="G10" s="354">
        <f>'_Engine_NR'!C36</f>
        <v/>
      </c>
      <c r="H10" s="354">
        <f>'_Engine_NR'!C37</f>
        <v/>
      </c>
      <c r="I10" s="354">
        <f>'_Engine_NR'!C38</f>
        <v/>
      </c>
      <c r="J10" s="354">
        <f>'_Engine_NR'!C39</f>
        <v/>
      </c>
      <c r="K10" s="354">
        <f>'_Engine_NR'!C40</f>
        <v/>
      </c>
      <c r="L10" s="354">
        <f>'_Engine_NR'!C41</f>
        <v/>
      </c>
      <c r="M10" s="354">
        <f>'_Engine_NR'!C42</f>
        <v/>
      </c>
      <c r="N10" s="354">
        <f>'_Engine_NR'!C43</f>
        <v/>
      </c>
      <c r="O10" s="354">
        <f>'_Engine_NR'!C44</f>
        <v/>
      </c>
      <c r="P10" s="354">
        <f>'_Engine_NR'!C45</f>
        <v/>
      </c>
      <c r="Q10" s="354">
        <f>'_Engine_NR'!C46</f>
        <v/>
      </c>
      <c r="R10" s="354">
        <f>'_Engine_NR'!C47</f>
        <v/>
      </c>
      <c r="S10" s="354">
        <f>'_Engine_NR'!C48</f>
        <v/>
      </c>
      <c r="T10" s="354">
        <f>'_Engine_NR'!C49</f>
        <v/>
      </c>
      <c r="U10" s="354">
        <f>'_Engine_NR'!C50</f>
        <v/>
      </c>
      <c r="V10" s="354">
        <f>'_Engine_NR'!C51</f>
        <v/>
      </c>
      <c r="W10" s="354">
        <f>'_Engine_NR'!C52</f>
        <v/>
      </c>
      <c r="X10" s="354">
        <f>'_Engine_NR'!C53</f>
        <v/>
      </c>
      <c r="Y10" s="354">
        <f>'_Engine_NR'!C54</f>
        <v/>
      </c>
    </row>
    <row r="11" ht="15" customHeight="1" s="307">
      <c r="A11" s="322" t="inlineStr">
        <is>
          <t>Distributable Cash</t>
        </is>
      </c>
      <c r="B11" s="575">
        <f>'_Engine_NR'!V31</f>
        <v/>
      </c>
      <c r="C11" s="575">
        <f>'_Engine_NR'!V32</f>
        <v/>
      </c>
      <c r="D11" s="575">
        <f>'_Engine_NR'!V33</f>
        <v/>
      </c>
      <c r="E11" s="575">
        <f>'_Engine_NR'!V34</f>
        <v/>
      </c>
      <c r="F11" s="575">
        <f>'_Engine_NR'!V35</f>
        <v/>
      </c>
      <c r="G11" s="575">
        <f>'_Engine_NR'!V36</f>
        <v/>
      </c>
      <c r="H11" s="575">
        <f>'_Engine_NR'!V37</f>
        <v/>
      </c>
      <c r="I11" s="569">
        <f>'_Engine_NR'!V38</f>
        <v/>
      </c>
      <c r="J11" s="569">
        <f>'_Engine_NR'!V39</f>
        <v/>
      </c>
      <c r="K11" s="575">
        <f>'_Engine_NR'!V40</f>
        <v/>
      </c>
      <c r="L11" s="569">
        <f>'_Engine_NR'!V41</f>
        <v/>
      </c>
      <c r="M11" s="569">
        <f>'_Engine_NR'!V42</f>
        <v/>
      </c>
      <c r="N11" s="569">
        <f>'_Engine_NR'!V43</f>
        <v/>
      </c>
      <c r="O11" s="569">
        <f>'_Engine_NR'!V44</f>
        <v/>
      </c>
      <c r="P11" s="569">
        <f>'_Engine_NR'!V45</f>
        <v/>
      </c>
      <c r="Q11" s="569">
        <f>'_Engine_NR'!V46</f>
        <v/>
      </c>
      <c r="R11" s="569">
        <f>'_Engine_NR'!V47</f>
        <v/>
      </c>
      <c r="S11" s="569">
        <f>'_Engine_NR'!V48</f>
        <v/>
      </c>
      <c r="T11" s="569">
        <f>'_Engine_NR'!V49</f>
        <v/>
      </c>
      <c r="U11" s="569">
        <f>'_Engine_NR'!V50</f>
        <v/>
      </c>
      <c r="V11" s="569">
        <f>'_Engine_NR'!V51</f>
        <v/>
      </c>
      <c r="W11" s="569">
        <f>'_Engine_NR'!V52</f>
        <v/>
      </c>
      <c r="X11" s="569">
        <f>'_Engine_NR'!V53</f>
        <v/>
      </c>
      <c r="Y11" s="569">
        <f>'_Engine_NR'!V54</f>
        <v/>
      </c>
    </row>
    <row r="12" ht="15" customHeight="1" s="307">
      <c r="A12" s="321" t="inlineStr">
        <is>
          <t>Cumulative</t>
        </is>
      </c>
      <c r="B12" s="575">
        <f>B11</f>
        <v/>
      </c>
      <c r="C12" s="575">
        <f>B12+C11</f>
        <v/>
      </c>
      <c r="D12" s="575">
        <f>C12+D11</f>
        <v/>
      </c>
      <c r="E12" s="575">
        <f>D12+E11</f>
        <v/>
      </c>
      <c r="F12" s="575">
        <f>E12+F11</f>
        <v/>
      </c>
      <c r="G12" s="575">
        <f>F12+G11</f>
        <v/>
      </c>
      <c r="H12" s="575">
        <f>G12+H11</f>
        <v/>
      </c>
      <c r="I12" s="575">
        <f>H12+I11</f>
        <v/>
      </c>
      <c r="J12" s="575">
        <f>I12+J11</f>
        <v/>
      </c>
      <c r="K12" s="575">
        <f>J12+K11</f>
        <v/>
      </c>
      <c r="L12" s="575">
        <f>K12+L11</f>
        <v/>
      </c>
      <c r="M12" s="575">
        <f>L12+M11</f>
        <v/>
      </c>
      <c r="N12" s="575">
        <f>M12+N11</f>
        <v/>
      </c>
      <c r="O12" s="354">
        <f>N12+O11</f>
        <v/>
      </c>
      <c r="P12" s="354">
        <f>O12+P11</f>
        <v/>
      </c>
      <c r="Q12" s="354">
        <f>P12+Q11</f>
        <v/>
      </c>
      <c r="R12" s="354">
        <f>Q12+R11</f>
        <v/>
      </c>
      <c r="S12" s="354">
        <f>R12+S11</f>
        <v/>
      </c>
      <c r="T12" s="354">
        <f>S12+T11</f>
        <v/>
      </c>
      <c r="U12" s="354">
        <f>T12+U11</f>
        <v/>
      </c>
      <c r="V12" s="354">
        <f>U12+V11</f>
        <v/>
      </c>
      <c r="W12" s="354">
        <f>V12+W11</f>
        <v/>
      </c>
      <c r="X12" s="354">
        <f>W12+X11</f>
        <v/>
      </c>
      <c r="Y12" s="354">
        <f>X12+Y11</f>
        <v/>
      </c>
    </row>
    <row r="14" ht="15" customHeight="1" s="307">
      <c r="A14" s="626" t="inlineStr">
        <is>
          <t>NOTES:</t>
        </is>
      </c>
      <c r="B14" s="575" t="n"/>
      <c r="C14" s="575" t="n"/>
      <c r="D14" s="575" t="n"/>
      <c r="E14" s="575" t="n"/>
      <c r="F14" s="575" t="n"/>
      <c r="G14" s="575" t="n"/>
      <c r="H14" s="575" t="n"/>
      <c r="I14" s="569" t="n"/>
      <c r="J14" s="569" t="n"/>
      <c r="K14" s="575" t="n"/>
      <c r="L14" s="569" t="n"/>
      <c r="M14" s="575" t="n"/>
      <c r="N14" s="569" t="n"/>
      <c r="O14" s="569" t="n"/>
      <c r="P14" s="569" t="n"/>
      <c r="Q14" s="575" t="n"/>
      <c r="R14" s="569" t="n"/>
      <c r="S14" s="569" t="n"/>
      <c r="T14" s="569" t="n"/>
      <c r="U14" s="569" t="n"/>
      <c r="V14" s="569" t="n"/>
      <c r="W14" s="569" t="n"/>
      <c r="X14" s="569" t="n"/>
      <c r="Y14" s="569" t="n"/>
    </row>
    <row r="15" ht="15" customHeight="1" s="307">
      <c r="A15" s="593" t="inlineStr">
        <is>
          <t>(1) Cumulative (row 12) shows LP working capital position. Negative = LP must fund operating losses.</t>
        </is>
      </c>
      <c r="B15" s="575" t="n"/>
      <c r="C15" s="575" t="n"/>
      <c r="D15" s="575" t="n"/>
      <c r="E15" s="575" t="n"/>
      <c r="F15" s="575" t="n"/>
      <c r="G15" s="575" t="n"/>
      <c r="H15" s="575" t="n"/>
      <c r="I15" s="575" t="n"/>
      <c r="J15" s="575" t="n"/>
      <c r="K15" s="575" t="n"/>
      <c r="L15" s="575" t="n"/>
      <c r="M15" s="575" t="n"/>
      <c r="N15" s="575" t="n"/>
      <c r="O15" s="575" t="n"/>
      <c r="P15" s="575" t="n"/>
      <c r="Q15" s="575" t="n"/>
      <c r="R15" s="575" t="n"/>
      <c r="S15" s="575" t="n"/>
      <c r="T15" s="575" t="n"/>
      <c r="U15" s="575" t="n"/>
      <c r="V15" s="575" t="n"/>
      <c r="W15" s="575" t="n"/>
      <c r="X15" s="575" t="n"/>
      <c r="Y15" s="575" t="n"/>
    </row>
    <row r="16">
      <c r="A16" s="615" t="inlineStr">
        <is>
          <t>(2) Capital Calls (row 6) shown at GROSS deal purchase price ($24M ARR x 1.24 entry mult = $30M/deal).</t>
        </is>
      </c>
    </row>
    <row r="17" ht="15" customHeight="1" s="307">
      <c r="A17" s="593" t="inlineStr">
        <is>
          <t>(3) Engine derives all flows from Tab 1 inputs. Change ARR, NDR, or close months -&gt; J-curve updates.</t>
        </is>
      </c>
    </row>
    <row r="18" ht="15" customHeight="1" s="307">
      <c r="A18" s="323" t="n"/>
    </row>
    <row r="19" ht="15" customHeight="1" s="307">
      <c r="A19" s="323" t="n"/>
    </row>
    <row r="20">
      <c r="A20" s="642" t="inlineStr">
        <is>
          <t>R100 J-CURVE (100% Recycle scenario) -- LP defers ALL distributions M1-36</t>
        </is>
      </c>
      <c r="B20" s="618" t="n"/>
      <c r="C20" s="618" t="n"/>
      <c r="D20" s="618" t="n"/>
      <c r="E20" s="618" t="n"/>
      <c r="F20" s="618" t="n"/>
      <c r="G20" s="618" t="n"/>
      <c r="H20" s="618" t="n"/>
      <c r="I20" s="618" t="n"/>
      <c r="J20" s="618" t="n"/>
      <c r="K20" s="618" t="n"/>
      <c r="L20" s="618" t="n"/>
      <c r="M20" s="618" t="n"/>
      <c r="N20" s="618" t="n"/>
      <c r="O20" s="618" t="n"/>
      <c r="P20" s="618" t="n"/>
      <c r="Q20" s="618" t="n"/>
      <c r="R20" s="618" t="n"/>
      <c r="S20" s="618" t="n"/>
      <c r="T20" s="618" t="n"/>
      <c r="U20" s="618" t="n"/>
      <c r="V20" s="618" t="n"/>
      <c r="W20" s="618" t="n"/>
      <c r="X20" s="618" t="n"/>
      <c r="Y20" s="618" t="n"/>
      <c r="Z20" s="614" t="n"/>
      <c r="AA20" s="614" t="n"/>
      <c r="AB20" s="614" t="n"/>
      <c r="AC20" s="614" t="n"/>
    </row>
    <row r="21">
      <c r="A21" s="614" t="inlineStr">
        <is>
          <t>($mm)</t>
        </is>
      </c>
      <c r="B21" s="614" t="inlineStr">
        <is>
          <t>M1</t>
        </is>
      </c>
      <c r="C21" s="614" t="inlineStr">
        <is>
          <t>M2</t>
        </is>
      </c>
      <c r="D21" s="614" t="inlineStr">
        <is>
          <t>M3</t>
        </is>
      </c>
      <c r="E21" s="614" t="inlineStr">
        <is>
          <t>M4</t>
        </is>
      </c>
      <c r="F21" s="614" t="inlineStr">
        <is>
          <t>M5</t>
        </is>
      </c>
      <c r="G21" s="614" t="inlineStr">
        <is>
          <t>M6</t>
        </is>
      </c>
      <c r="H21" s="614" t="inlineStr">
        <is>
          <t>M7</t>
        </is>
      </c>
      <c r="I21" s="614" t="inlineStr">
        <is>
          <t>M8</t>
        </is>
      </c>
      <c r="J21" s="614" t="inlineStr">
        <is>
          <t>M9</t>
        </is>
      </c>
      <c r="K21" s="614" t="inlineStr">
        <is>
          <t>M10</t>
        </is>
      </c>
      <c r="L21" s="614" t="inlineStr">
        <is>
          <t>M11</t>
        </is>
      </c>
      <c r="M21" s="614" t="inlineStr">
        <is>
          <t>M12</t>
        </is>
      </c>
      <c r="N21" s="614" t="inlineStr">
        <is>
          <t>M13</t>
        </is>
      </c>
      <c r="O21" s="614" t="inlineStr">
        <is>
          <t>M14</t>
        </is>
      </c>
      <c r="P21" s="614" t="inlineStr">
        <is>
          <t>M15</t>
        </is>
      </c>
      <c r="Q21" s="614" t="inlineStr">
        <is>
          <t>M16</t>
        </is>
      </c>
      <c r="R21" s="614" t="inlineStr">
        <is>
          <t>M17</t>
        </is>
      </c>
      <c r="S21" s="614" t="inlineStr">
        <is>
          <t>M18</t>
        </is>
      </c>
      <c r="T21" s="614" t="inlineStr">
        <is>
          <t>M19</t>
        </is>
      </c>
      <c r="U21" s="614" t="inlineStr">
        <is>
          <t>M20</t>
        </is>
      </c>
      <c r="V21" s="614" t="inlineStr">
        <is>
          <t>M21</t>
        </is>
      </c>
      <c r="W21" s="614" t="inlineStr">
        <is>
          <t>M22</t>
        </is>
      </c>
      <c r="X21" s="614" t="inlineStr">
        <is>
          <t>M23</t>
        </is>
      </c>
      <c r="Y21" s="614" t="inlineStr">
        <is>
          <t>M24</t>
        </is>
      </c>
      <c r="Z21" s="614" t="n"/>
      <c r="AA21" s="614" t="n"/>
      <c r="AB21" s="614" t="n"/>
      <c r="AC21" s="614" t="n"/>
    </row>
    <row r="22">
      <c r="A22" s="614" t="inlineStr">
        <is>
          <t>Capital Calls</t>
        </is>
      </c>
      <c r="B22" s="614">
        <f>SUMPRODUCT((1='1. Press Assumptions'!$K$89:$K$93)*('1. Press Assumptions'!$D$89:$D$93*'1. Press Assumptions'!$E$89:$E$93)) + SUMPRODUCT((1='1. Press Assumptions'!$K$101:$K$104)*('1. Press Assumptions'!$D$101:$D$104*'1. Press Assumptions'!$E$101:$E$104))</f>
        <v/>
      </c>
      <c r="C22" s="614">
        <f>SUMPRODUCT((2='1. Press Assumptions'!$K$89:$K$93)*('1. Press Assumptions'!$D$89:$D$93*'1. Press Assumptions'!$E$89:$E$93)) + SUMPRODUCT((2='1. Press Assumptions'!$K$101:$K$104)*('1. Press Assumptions'!$D$101:$D$104*'1. Press Assumptions'!$E$101:$E$104))</f>
        <v/>
      </c>
      <c r="D22" s="614">
        <f>SUMPRODUCT((3='1. Press Assumptions'!$K$89:$K$93)*('1. Press Assumptions'!$D$89:$D$93*'1. Press Assumptions'!$E$89:$E$93)) + SUMPRODUCT((3='1. Press Assumptions'!$K$101:$K$104)*('1. Press Assumptions'!$D$101:$D$104*'1. Press Assumptions'!$E$101:$E$104))</f>
        <v/>
      </c>
      <c r="E22" s="614">
        <f>SUMPRODUCT((4='1. Press Assumptions'!$K$89:$K$93)*('1. Press Assumptions'!$D$89:$D$93*'1. Press Assumptions'!$E$89:$E$93)) + SUMPRODUCT((4='1. Press Assumptions'!$K$101:$K$104)*('1. Press Assumptions'!$D$101:$D$104*'1. Press Assumptions'!$E$101:$E$104))</f>
        <v/>
      </c>
      <c r="F22" s="614">
        <f>SUMPRODUCT((5='1. Press Assumptions'!$K$89:$K$93)*('1. Press Assumptions'!$D$89:$D$93*'1. Press Assumptions'!$E$89:$E$93)) + SUMPRODUCT((5='1. Press Assumptions'!$K$101:$K$104)*('1. Press Assumptions'!$D$101:$D$104*'1. Press Assumptions'!$E$101:$E$104))</f>
        <v/>
      </c>
      <c r="G22" s="614">
        <f>SUMPRODUCT((6='1. Press Assumptions'!$K$89:$K$93)*('1. Press Assumptions'!$D$89:$D$93*'1. Press Assumptions'!$E$89:$E$93)) + SUMPRODUCT((6='1. Press Assumptions'!$K$101:$K$104)*('1. Press Assumptions'!$D$101:$D$104*'1. Press Assumptions'!$E$101:$E$104))</f>
        <v/>
      </c>
      <c r="H22" s="614">
        <f>SUMPRODUCT((7='1. Press Assumptions'!$K$89:$K$93)*('1. Press Assumptions'!$D$89:$D$93*'1. Press Assumptions'!$E$89:$E$93)) + SUMPRODUCT((7='1. Press Assumptions'!$K$101:$K$104)*('1. Press Assumptions'!$D$101:$D$104*'1. Press Assumptions'!$E$101:$E$104))</f>
        <v/>
      </c>
      <c r="I22" s="614">
        <f>SUMPRODUCT((8='1. Press Assumptions'!$K$89:$K$93)*('1. Press Assumptions'!$D$89:$D$93*'1. Press Assumptions'!$E$89:$E$93)) + SUMPRODUCT((8='1. Press Assumptions'!$K$101:$K$104)*('1. Press Assumptions'!$D$101:$D$104*'1. Press Assumptions'!$E$101:$E$104))</f>
        <v/>
      </c>
      <c r="J22" s="614">
        <f>SUMPRODUCT((9='1. Press Assumptions'!$K$89:$K$93)*('1. Press Assumptions'!$D$89:$D$93*'1. Press Assumptions'!$E$89:$E$93)) + SUMPRODUCT((9='1. Press Assumptions'!$K$101:$K$104)*('1. Press Assumptions'!$D$101:$D$104*'1. Press Assumptions'!$E$101:$E$104))</f>
        <v/>
      </c>
      <c r="K22" s="614">
        <f>SUMPRODUCT((10='1. Press Assumptions'!$K$89:$K$93)*('1. Press Assumptions'!$D$89:$D$93*'1. Press Assumptions'!$E$89:$E$93)) + SUMPRODUCT((10='1. Press Assumptions'!$K$101:$K$104)*('1. Press Assumptions'!$D$101:$D$104*'1. Press Assumptions'!$E$101:$E$104))</f>
        <v/>
      </c>
      <c r="L22" s="614">
        <f>SUMPRODUCT((11='1. Press Assumptions'!$K$89:$K$93)*('1. Press Assumptions'!$D$89:$D$93*'1. Press Assumptions'!$E$89:$E$93)) + SUMPRODUCT((11='1. Press Assumptions'!$K$101:$K$104)*('1. Press Assumptions'!$D$101:$D$104*'1. Press Assumptions'!$E$101:$E$104))</f>
        <v/>
      </c>
      <c r="M22" s="614">
        <f>SUMPRODUCT((12='1. Press Assumptions'!$K$89:$K$93)*('1. Press Assumptions'!$D$89:$D$93*'1. Press Assumptions'!$E$89:$E$93)) + SUMPRODUCT((12='1. Press Assumptions'!$K$101:$K$104)*('1. Press Assumptions'!$D$101:$D$104*'1. Press Assumptions'!$E$101:$E$104))</f>
        <v/>
      </c>
      <c r="N22" s="614">
        <f>SUMPRODUCT((13='1. Press Assumptions'!$K$89:$K$93)*('1. Press Assumptions'!$D$89:$D$93*'1. Press Assumptions'!$E$89:$E$93)) + SUMPRODUCT((13='1. Press Assumptions'!$K$101:$K$104)*('1. Press Assumptions'!$D$101:$D$104*'1. Press Assumptions'!$E$101:$E$104))</f>
        <v/>
      </c>
      <c r="O22" s="614">
        <f>SUMPRODUCT((14='1. Press Assumptions'!$K$89:$K$93)*('1. Press Assumptions'!$D$89:$D$93*'1. Press Assumptions'!$E$89:$E$93)) + SUMPRODUCT((14='1. Press Assumptions'!$K$101:$K$104)*('1. Press Assumptions'!$D$101:$D$104*'1. Press Assumptions'!$E$101:$E$104))</f>
        <v/>
      </c>
      <c r="P22" s="614">
        <f>SUMPRODUCT((15='1. Press Assumptions'!$K$89:$K$93)*('1. Press Assumptions'!$D$89:$D$93*'1. Press Assumptions'!$E$89:$E$93)) + SUMPRODUCT((15='1. Press Assumptions'!$K$101:$K$104)*('1. Press Assumptions'!$D$101:$D$104*'1. Press Assumptions'!$E$101:$E$104))</f>
        <v/>
      </c>
      <c r="Q22" s="614">
        <f>SUMPRODUCT((16='1. Press Assumptions'!$K$89:$K$93)*('1. Press Assumptions'!$D$89:$D$93*'1. Press Assumptions'!$E$89:$E$93)) + SUMPRODUCT((16='1. Press Assumptions'!$K$101:$K$104)*('1. Press Assumptions'!$D$101:$D$104*'1. Press Assumptions'!$E$101:$E$104))</f>
        <v/>
      </c>
      <c r="R22" s="614">
        <f>SUMPRODUCT((17='1. Press Assumptions'!$K$89:$K$93)*('1. Press Assumptions'!$D$89:$D$93*'1. Press Assumptions'!$E$89:$E$93)) + SUMPRODUCT((17='1. Press Assumptions'!$K$101:$K$104)*('1. Press Assumptions'!$D$101:$D$104*'1. Press Assumptions'!$E$101:$E$104))</f>
        <v/>
      </c>
      <c r="S22" s="614">
        <f>SUMPRODUCT((18='1. Press Assumptions'!$K$89:$K$93)*('1. Press Assumptions'!$D$89:$D$93*'1. Press Assumptions'!$E$89:$E$93)) + SUMPRODUCT((18='1. Press Assumptions'!$K$101:$K$104)*('1. Press Assumptions'!$D$101:$D$104*'1. Press Assumptions'!$E$101:$E$104))</f>
        <v/>
      </c>
      <c r="T22" s="614">
        <f>SUMPRODUCT((19='1. Press Assumptions'!$K$89:$K$93)*('1. Press Assumptions'!$D$89:$D$93*'1. Press Assumptions'!$E$89:$E$93)) + SUMPRODUCT((19='1. Press Assumptions'!$K$101:$K$104)*('1. Press Assumptions'!$D$101:$D$104*'1. Press Assumptions'!$E$101:$E$104))</f>
        <v/>
      </c>
      <c r="U22" s="614">
        <f>SUMPRODUCT((20='1. Press Assumptions'!$K$89:$K$93)*('1. Press Assumptions'!$D$89:$D$93*'1. Press Assumptions'!$E$89:$E$93)) + SUMPRODUCT((20='1. Press Assumptions'!$K$101:$K$104)*('1. Press Assumptions'!$D$101:$D$104*'1. Press Assumptions'!$E$101:$E$104))</f>
        <v/>
      </c>
      <c r="V22" s="614">
        <f>SUMPRODUCT((21='1. Press Assumptions'!$K$89:$K$93)*('1. Press Assumptions'!$D$89:$D$93*'1. Press Assumptions'!$E$89:$E$93)) + SUMPRODUCT((21='1. Press Assumptions'!$K$101:$K$104)*('1. Press Assumptions'!$D$101:$D$104*'1. Press Assumptions'!$E$101:$E$104))</f>
        <v/>
      </c>
      <c r="W22" s="614">
        <f>SUMPRODUCT((22='1. Press Assumptions'!$K$89:$K$93)*('1. Press Assumptions'!$D$89:$D$93*'1. Press Assumptions'!$E$89:$E$93)) + SUMPRODUCT((22='1. Press Assumptions'!$K$101:$K$104)*('1. Press Assumptions'!$D$101:$D$104*'1. Press Assumptions'!$E$101:$E$104))</f>
        <v/>
      </c>
      <c r="X22" s="614">
        <f>SUMPRODUCT((23='1. Press Assumptions'!$K$89:$K$93)*('1. Press Assumptions'!$D$89:$D$93*'1. Press Assumptions'!$E$89:$E$93)) + SUMPRODUCT((23='1. Press Assumptions'!$K$101:$K$104)*('1. Press Assumptions'!$D$101:$D$104*'1. Press Assumptions'!$E$101:$E$104))</f>
        <v/>
      </c>
      <c r="Y22" s="614">
        <f>SUMPRODUCT((24='1. Press Assumptions'!$K$89:$K$93)*('1. Press Assumptions'!$D$89:$D$93*'1. Press Assumptions'!$E$89:$E$93)) + SUMPRODUCT((24='1. Press Assumptions'!$K$101:$K$104)*('1. Press Assumptions'!$D$101:$D$104*'1. Press Assumptions'!$E$101:$E$104))</f>
        <v/>
      </c>
      <c r="Z22" s="614" t="n"/>
      <c r="AA22" s="614" t="n"/>
      <c r="AB22" s="614" t="n"/>
      <c r="AC22" s="614" t="n"/>
    </row>
    <row r="23">
      <c r="A23" s="614" t="inlineStr">
        <is>
          <t>Revenue</t>
        </is>
      </c>
      <c r="B23" s="614">
        <f>'_Engine_R100'!P31</f>
        <v/>
      </c>
      <c r="C23" s="614">
        <f>'_Engine_R100'!P32</f>
        <v/>
      </c>
      <c r="D23" s="614">
        <f>'_Engine_R100'!P33</f>
        <v/>
      </c>
      <c r="E23" s="614">
        <f>'_Engine_R100'!P34</f>
        <v/>
      </c>
      <c r="F23" s="614">
        <f>'_Engine_R100'!P35</f>
        <v/>
      </c>
      <c r="G23" s="614">
        <f>'_Engine_R100'!P36</f>
        <v/>
      </c>
      <c r="H23" s="614">
        <f>'_Engine_R100'!P37</f>
        <v/>
      </c>
      <c r="I23" s="614">
        <f>'_Engine_R100'!P38</f>
        <v/>
      </c>
      <c r="J23" s="614">
        <f>'_Engine_R100'!P39</f>
        <v/>
      </c>
      <c r="K23" s="614">
        <f>'_Engine_R100'!P40</f>
        <v/>
      </c>
      <c r="L23" s="614">
        <f>'_Engine_R100'!P41</f>
        <v/>
      </c>
      <c r="M23" s="614">
        <f>'_Engine_R100'!P42</f>
        <v/>
      </c>
      <c r="N23" s="614">
        <f>'_Engine_R100'!P43</f>
        <v/>
      </c>
      <c r="O23" s="614">
        <f>'_Engine_R100'!P44</f>
        <v/>
      </c>
      <c r="P23" s="614">
        <f>'_Engine_R100'!P45</f>
        <v/>
      </c>
      <c r="Q23" s="614">
        <f>'_Engine_R100'!P46</f>
        <v/>
      </c>
      <c r="R23" s="614">
        <f>'_Engine_R100'!P47</f>
        <v/>
      </c>
      <c r="S23" s="614">
        <f>'_Engine_R100'!P48</f>
        <v/>
      </c>
      <c r="T23" s="614">
        <f>'_Engine_R100'!P49</f>
        <v/>
      </c>
      <c r="U23" s="614">
        <f>'_Engine_R100'!P50</f>
        <v/>
      </c>
      <c r="V23" s="614">
        <f>'_Engine_R100'!P51</f>
        <v/>
      </c>
      <c r="W23" s="614">
        <f>'_Engine_R100'!P52</f>
        <v/>
      </c>
      <c r="X23" s="614">
        <f>'_Engine_R100'!P53</f>
        <v/>
      </c>
      <c r="Y23" s="614">
        <f>'_Engine_R100'!P54</f>
        <v/>
      </c>
      <c r="Z23" s="614" t="n"/>
      <c r="AA23" s="614" t="n"/>
      <c r="AB23" s="614" t="n"/>
      <c r="AC23" s="614" t="n"/>
    </row>
    <row r="24">
      <c r="A24" s="614" t="inlineStr">
        <is>
          <t>OpEx</t>
        </is>
      </c>
      <c r="B24" s="614">
        <f>'_Engine_R100'!Q31+'_Engine_R100'!R31+'_Engine_R100'!S31+'_Engine_R100'!D31+'_Engine_R100'!E31+'_Engine_R100'!U31</f>
        <v/>
      </c>
      <c r="C24" s="614">
        <f>'_Engine_R100'!Q32+'_Engine_R100'!R32+'_Engine_R100'!S32+'_Engine_R100'!D32+'_Engine_R100'!E32+'_Engine_R100'!U32</f>
        <v/>
      </c>
      <c r="D24" s="614">
        <f>'_Engine_R100'!Q33+'_Engine_R100'!R33+'_Engine_R100'!S33+'_Engine_R100'!D33+'_Engine_R100'!E33+'_Engine_R100'!U33</f>
        <v/>
      </c>
      <c r="E24" s="614">
        <f>'_Engine_R100'!Q34+'_Engine_R100'!R34+'_Engine_R100'!S34+'_Engine_R100'!D34+'_Engine_R100'!E34+'_Engine_R100'!U34</f>
        <v/>
      </c>
      <c r="F24" s="614">
        <f>'_Engine_R100'!Q35+'_Engine_R100'!R35+'_Engine_R100'!S35+'_Engine_R100'!D35+'_Engine_R100'!E35+'_Engine_R100'!U35</f>
        <v/>
      </c>
      <c r="G24" s="614">
        <f>'_Engine_R100'!Q36+'_Engine_R100'!R36+'_Engine_R100'!S36+'_Engine_R100'!D36+'_Engine_R100'!E36+'_Engine_R100'!U36</f>
        <v/>
      </c>
      <c r="H24" s="614">
        <f>'_Engine_R100'!Q37+'_Engine_R100'!R37+'_Engine_R100'!S37+'_Engine_R100'!D37+'_Engine_R100'!E37+'_Engine_R100'!U37</f>
        <v/>
      </c>
      <c r="I24" s="614">
        <f>'_Engine_R100'!Q38+'_Engine_R100'!R38+'_Engine_R100'!S38+'_Engine_R100'!D38+'_Engine_R100'!E38+'_Engine_R100'!U38</f>
        <v/>
      </c>
      <c r="J24" s="614">
        <f>'_Engine_R100'!Q39+'_Engine_R100'!R39+'_Engine_R100'!S39+'_Engine_R100'!D39+'_Engine_R100'!E39+'_Engine_R100'!U39</f>
        <v/>
      </c>
      <c r="K24" s="614">
        <f>'_Engine_R100'!Q40+'_Engine_R100'!R40+'_Engine_R100'!S40+'_Engine_R100'!D40+'_Engine_R100'!E40+'_Engine_R100'!U40</f>
        <v/>
      </c>
      <c r="L24" s="614">
        <f>'_Engine_R100'!Q41+'_Engine_R100'!R41+'_Engine_R100'!S41+'_Engine_R100'!D41+'_Engine_R100'!E41+'_Engine_R100'!U41</f>
        <v/>
      </c>
      <c r="M24" s="614">
        <f>'_Engine_R100'!Q42+'_Engine_R100'!R42+'_Engine_R100'!S42+'_Engine_R100'!D42+'_Engine_R100'!E42+'_Engine_R100'!U42</f>
        <v/>
      </c>
      <c r="N24" s="614">
        <f>'_Engine_R100'!Q43+'_Engine_R100'!R43+'_Engine_R100'!S43+'_Engine_R100'!D43+'_Engine_R100'!E43+'_Engine_R100'!U43</f>
        <v/>
      </c>
      <c r="O24" s="614">
        <f>'_Engine_R100'!Q44+'_Engine_R100'!R44+'_Engine_R100'!S44+'_Engine_R100'!D44+'_Engine_R100'!E44+'_Engine_R100'!U44</f>
        <v/>
      </c>
      <c r="P24" s="614">
        <f>'_Engine_R100'!Q45+'_Engine_R100'!R45+'_Engine_R100'!S45+'_Engine_R100'!D45+'_Engine_R100'!E45+'_Engine_R100'!U45</f>
        <v/>
      </c>
      <c r="Q24" s="614">
        <f>'_Engine_R100'!Q46+'_Engine_R100'!R46+'_Engine_R100'!S46+'_Engine_R100'!D46+'_Engine_R100'!E46+'_Engine_R100'!U46</f>
        <v/>
      </c>
      <c r="R24" s="614">
        <f>'_Engine_R100'!Q47+'_Engine_R100'!R47+'_Engine_R100'!S47+'_Engine_R100'!D47+'_Engine_R100'!E47+'_Engine_R100'!U47</f>
        <v/>
      </c>
      <c r="S24" s="614">
        <f>'_Engine_R100'!Q48+'_Engine_R100'!R48+'_Engine_R100'!S48+'_Engine_R100'!D48+'_Engine_R100'!E48+'_Engine_R100'!U48</f>
        <v/>
      </c>
      <c r="T24" s="614">
        <f>'_Engine_R100'!Q49+'_Engine_R100'!R49+'_Engine_R100'!S49+'_Engine_R100'!D49+'_Engine_R100'!E49+'_Engine_R100'!U49</f>
        <v/>
      </c>
      <c r="U24" s="614">
        <f>'_Engine_R100'!Q50+'_Engine_R100'!R50+'_Engine_R100'!S50+'_Engine_R100'!D50+'_Engine_R100'!E50+'_Engine_R100'!U50</f>
        <v/>
      </c>
      <c r="V24" s="614">
        <f>'_Engine_R100'!Q51+'_Engine_R100'!R51+'_Engine_R100'!S51+'_Engine_R100'!D51+'_Engine_R100'!E51+'_Engine_R100'!U51</f>
        <v/>
      </c>
      <c r="W24" s="614">
        <f>'_Engine_R100'!Q52+'_Engine_R100'!R52+'_Engine_R100'!S52+'_Engine_R100'!D52+'_Engine_R100'!E52+'_Engine_R100'!U52</f>
        <v/>
      </c>
      <c r="X24" s="614">
        <f>'_Engine_R100'!Q53+'_Engine_R100'!R53+'_Engine_R100'!S53+'_Engine_R100'!D53+'_Engine_R100'!E53+'_Engine_R100'!U53</f>
        <v/>
      </c>
      <c r="Y24" s="614">
        <f>'_Engine_R100'!Q54+'_Engine_R100'!R54+'_Engine_R100'!S54+'_Engine_R100'!D54+'_Engine_R100'!E54+'_Engine_R100'!U54</f>
        <v/>
      </c>
      <c r="Z24" s="614" t="n"/>
      <c r="AA24" s="614" t="n"/>
      <c r="AB24" s="614" t="n"/>
      <c r="AC24" s="614" t="n"/>
    </row>
    <row r="25">
      <c r="A25" s="614" t="inlineStr">
        <is>
          <t>Severance</t>
        </is>
      </c>
      <c r="B25" s="614">
        <f>'_Engine_R100'!W31</f>
        <v/>
      </c>
      <c r="C25" s="614">
        <f>'_Engine_R100'!W32</f>
        <v/>
      </c>
      <c r="D25" s="614">
        <f>'_Engine_R100'!W33</f>
        <v/>
      </c>
      <c r="E25" s="614">
        <f>'_Engine_R100'!W34</f>
        <v/>
      </c>
      <c r="F25" s="614">
        <f>'_Engine_R100'!W35</f>
        <v/>
      </c>
      <c r="G25" s="614">
        <f>'_Engine_R100'!W36</f>
        <v/>
      </c>
      <c r="H25" s="614">
        <f>'_Engine_R100'!W37</f>
        <v/>
      </c>
      <c r="I25" s="614">
        <f>'_Engine_R100'!W38</f>
        <v/>
      </c>
      <c r="J25" s="614">
        <f>'_Engine_R100'!W39</f>
        <v/>
      </c>
      <c r="K25" s="614">
        <f>'_Engine_R100'!W40</f>
        <v/>
      </c>
      <c r="L25" s="614">
        <f>'_Engine_R100'!W41</f>
        <v/>
      </c>
      <c r="M25" s="614">
        <f>'_Engine_R100'!W42</f>
        <v/>
      </c>
      <c r="N25" s="614">
        <f>'_Engine_R100'!W43</f>
        <v/>
      </c>
      <c r="O25" s="614">
        <f>'_Engine_R100'!W44</f>
        <v/>
      </c>
      <c r="P25" s="614">
        <f>'_Engine_R100'!W45</f>
        <v/>
      </c>
      <c r="Q25" s="614">
        <f>'_Engine_R100'!W46</f>
        <v/>
      </c>
      <c r="R25" s="614">
        <f>'_Engine_R100'!W47</f>
        <v/>
      </c>
      <c r="S25" s="614">
        <f>'_Engine_R100'!W48</f>
        <v/>
      </c>
      <c r="T25" s="614">
        <f>'_Engine_R100'!W49</f>
        <v/>
      </c>
      <c r="U25" s="614">
        <f>'_Engine_R100'!W50</f>
        <v/>
      </c>
      <c r="V25" s="614">
        <f>'_Engine_R100'!W51</f>
        <v/>
      </c>
      <c r="W25" s="614">
        <f>'_Engine_R100'!W52</f>
        <v/>
      </c>
      <c r="X25" s="614">
        <f>'_Engine_R100'!W53</f>
        <v/>
      </c>
      <c r="Y25" s="614">
        <f>'_Engine_R100'!W54</f>
        <v/>
      </c>
      <c r="Z25" s="614" t="n"/>
      <c r="AA25" s="614" t="n"/>
      <c r="AB25" s="614" t="n"/>
      <c r="AC25" s="614" t="n"/>
    </row>
    <row r="26">
      <c r="A26" s="614" t="inlineStr">
        <is>
          <t>Mgmt Fee</t>
        </is>
      </c>
      <c r="B26" s="614">
        <f>'_Engine_R100'!C31</f>
        <v/>
      </c>
      <c r="C26" s="614">
        <f>'_Engine_R100'!C32</f>
        <v/>
      </c>
      <c r="D26" s="614">
        <f>'_Engine_R100'!C33</f>
        <v/>
      </c>
      <c r="E26" s="614">
        <f>'_Engine_R100'!C34</f>
        <v/>
      </c>
      <c r="F26" s="614">
        <f>'_Engine_R100'!C35</f>
        <v/>
      </c>
      <c r="G26" s="614">
        <f>'_Engine_R100'!C36</f>
        <v/>
      </c>
      <c r="H26" s="614">
        <f>'_Engine_R100'!C37</f>
        <v/>
      </c>
      <c r="I26" s="614">
        <f>'_Engine_R100'!C38</f>
        <v/>
      </c>
      <c r="J26" s="614">
        <f>'_Engine_R100'!C39</f>
        <v/>
      </c>
      <c r="K26" s="614">
        <f>'_Engine_R100'!C40</f>
        <v/>
      </c>
      <c r="L26" s="614">
        <f>'_Engine_R100'!C41</f>
        <v/>
      </c>
      <c r="M26" s="614">
        <f>'_Engine_R100'!C42</f>
        <v/>
      </c>
      <c r="N26" s="614">
        <f>'_Engine_R100'!C43</f>
        <v/>
      </c>
      <c r="O26" s="614">
        <f>'_Engine_R100'!C44</f>
        <v/>
      </c>
      <c r="P26" s="614">
        <f>'_Engine_R100'!C45</f>
        <v/>
      </c>
      <c r="Q26" s="614">
        <f>'_Engine_R100'!C46</f>
        <v/>
      </c>
      <c r="R26" s="614">
        <f>'_Engine_R100'!C47</f>
        <v/>
      </c>
      <c r="S26" s="614">
        <f>'_Engine_R100'!C48</f>
        <v/>
      </c>
      <c r="T26" s="614">
        <f>'_Engine_R100'!C49</f>
        <v/>
      </c>
      <c r="U26" s="614">
        <f>'_Engine_R100'!C50</f>
        <v/>
      </c>
      <c r="V26" s="614">
        <f>'_Engine_R100'!C51</f>
        <v/>
      </c>
      <c r="W26" s="614">
        <f>'_Engine_R100'!C52</f>
        <v/>
      </c>
      <c r="X26" s="614">
        <f>'_Engine_R100'!C53</f>
        <v/>
      </c>
      <c r="Y26" s="614">
        <f>'_Engine_R100'!C54</f>
        <v/>
      </c>
      <c r="Z26" s="614" t="n"/>
      <c r="AA26" s="614" t="n"/>
      <c r="AB26" s="614" t="n"/>
      <c r="AC26" s="614" t="n"/>
    </row>
    <row r="27">
      <c r="A27" s="628" t="inlineStr">
        <is>
          <t>Retained (recycle)</t>
        </is>
      </c>
      <c r="B27" s="614">
        <f>'_Engine_R100'!Y31</f>
        <v/>
      </c>
      <c r="C27" s="614">
        <f>'_Engine_R100'!Y32</f>
        <v/>
      </c>
      <c r="D27" s="614">
        <f>'_Engine_R100'!Y33</f>
        <v/>
      </c>
      <c r="E27" s="614">
        <f>'_Engine_R100'!Y34</f>
        <v/>
      </c>
      <c r="F27" s="614">
        <f>'_Engine_R100'!Y35</f>
        <v/>
      </c>
      <c r="G27" s="614">
        <f>'_Engine_R100'!Y36</f>
        <v/>
      </c>
      <c r="H27" s="614">
        <f>'_Engine_R100'!Y37</f>
        <v/>
      </c>
      <c r="I27" s="614">
        <f>'_Engine_R100'!Y38</f>
        <v/>
      </c>
      <c r="J27" s="614">
        <f>'_Engine_R100'!Y39</f>
        <v/>
      </c>
      <c r="K27" s="614">
        <f>'_Engine_R100'!Y40</f>
        <v/>
      </c>
      <c r="L27" s="614">
        <f>'_Engine_R100'!Y41</f>
        <v/>
      </c>
      <c r="M27" s="614">
        <f>'_Engine_R100'!Y42</f>
        <v/>
      </c>
      <c r="N27" s="614">
        <f>'_Engine_R100'!Y43</f>
        <v/>
      </c>
      <c r="O27" s="614">
        <f>'_Engine_R100'!Y44</f>
        <v/>
      </c>
      <c r="P27" s="614">
        <f>'_Engine_R100'!Y45</f>
        <v/>
      </c>
      <c r="Q27" s="614">
        <f>'_Engine_R100'!Y46</f>
        <v/>
      </c>
      <c r="R27" s="614">
        <f>'_Engine_R100'!Y47</f>
        <v/>
      </c>
      <c r="S27" s="614">
        <f>'_Engine_R100'!Y48</f>
        <v/>
      </c>
      <c r="T27" s="614">
        <f>'_Engine_R100'!Y49</f>
        <v/>
      </c>
      <c r="U27" s="614">
        <f>'_Engine_R100'!Y50</f>
        <v/>
      </c>
      <c r="V27" s="614">
        <f>'_Engine_R100'!Y51</f>
        <v/>
      </c>
      <c r="W27" s="614">
        <f>'_Engine_R100'!Y52</f>
        <v/>
      </c>
      <c r="X27" s="614">
        <f>'_Engine_R100'!Y53</f>
        <v/>
      </c>
      <c r="Y27" s="614">
        <f>'_Engine_R100'!Y54</f>
        <v/>
      </c>
      <c r="Z27" s="614" t="n"/>
      <c r="AA27" s="614" t="n"/>
      <c r="AB27" s="614" t="n"/>
      <c r="AC27" s="614" t="n"/>
    </row>
    <row r="28">
      <c r="A28" s="628" t="inlineStr">
        <is>
          <t>Distributable Post</t>
        </is>
      </c>
      <c r="B28" s="614">
        <f>'_Engine_R100'!Z31</f>
        <v/>
      </c>
      <c r="C28" s="614">
        <f>'_Engine_R100'!Z32</f>
        <v/>
      </c>
      <c r="D28" s="614">
        <f>'_Engine_R100'!Z33</f>
        <v/>
      </c>
      <c r="E28" s="614">
        <f>'_Engine_R100'!Z34</f>
        <v/>
      </c>
      <c r="F28" s="614">
        <f>'_Engine_R100'!Z35</f>
        <v/>
      </c>
      <c r="G28" s="614">
        <f>'_Engine_R100'!Z36</f>
        <v/>
      </c>
      <c r="H28" s="614">
        <f>'_Engine_R100'!Z37</f>
        <v/>
      </c>
      <c r="I28" s="614">
        <f>'_Engine_R100'!Z38</f>
        <v/>
      </c>
      <c r="J28" s="614">
        <f>'_Engine_R100'!Z39</f>
        <v/>
      </c>
      <c r="K28" s="614">
        <f>'_Engine_R100'!Z40</f>
        <v/>
      </c>
      <c r="L28" s="614">
        <f>'_Engine_R100'!Z41</f>
        <v/>
      </c>
      <c r="M28" s="614">
        <f>'_Engine_R100'!Z42</f>
        <v/>
      </c>
      <c r="N28" s="614">
        <f>'_Engine_R100'!Z43</f>
        <v/>
      </c>
      <c r="O28" s="614">
        <f>'_Engine_R100'!Z44</f>
        <v/>
      </c>
      <c r="P28" s="614">
        <f>'_Engine_R100'!Z45</f>
        <v/>
      </c>
      <c r="Q28" s="614">
        <f>'_Engine_R100'!Z46</f>
        <v/>
      </c>
      <c r="R28" s="614">
        <f>'_Engine_R100'!Z47</f>
        <v/>
      </c>
      <c r="S28" s="614">
        <f>'_Engine_R100'!Z48</f>
        <v/>
      </c>
      <c r="T28" s="614">
        <f>'_Engine_R100'!Z49</f>
        <v/>
      </c>
      <c r="U28" s="614">
        <f>'_Engine_R100'!Z50</f>
        <v/>
      </c>
      <c r="V28" s="614">
        <f>'_Engine_R100'!Z51</f>
        <v/>
      </c>
      <c r="W28" s="614">
        <f>'_Engine_R100'!Z52</f>
        <v/>
      </c>
      <c r="X28" s="614">
        <f>'_Engine_R100'!Z53</f>
        <v/>
      </c>
      <c r="Y28" s="614">
        <f>'_Engine_R100'!Z54</f>
        <v/>
      </c>
      <c r="Z28" s="614" t="n"/>
      <c r="AA28" s="614" t="n"/>
      <c r="AB28" s="614" t="n"/>
      <c r="AC28" s="614" t="n"/>
    </row>
    <row r="29">
      <c r="A29" s="628" t="inlineStr">
        <is>
          <t>Cumulative LP cash</t>
        </is>
      </c>
      <c r="B29" s="614">
        <f>B28</f>
        <v/>
      </c>
      <c r="C29" s="614">
        <f>B29+C28</f>
        <v/>
      </c>
      <c r="D29" s="614">
        <f>C29+D28</f>
        <v/>
      </c>
      <c r="E29" s="614">
        <f>D29+E28</f>
        <v/>
      </c>
      <c r="F29" s="614">
        <f>E29+F28</f>
        <v/>
      </c>
      <c r="G29" s="614">
        <f>F29+G28</f>
        <v/>
      </c>
      <c r="H29" s="614">
        <f>G29+H28</f>
        <v/>
      </c>
      <c r="I29" s="614">
        <f>H29+I28</f>
        <v/>
      </c>
      <c r="J29" s="614">
        <f>I29+J28</f>
        <v/>
      </c>
      <c r="K29" s="614">
        <f>J29+K28</f>
        <v/>
      </c>
      <c r="L29" s="614">
        <f>K29+L28</f>
        <v/>
      </c>
      <c r="M29" s="614">
        <f>L29+M28</f>
        <v/>
      </c>
      <c r="N29" s="614">
        <f>M29+N28</f>
        <v/>
      </c>
      <c r="O29" s="614">
        <f>N29+O28</f>
        <v/>
      </c>
      <c r="P29" s="614">
        <f>O29+P28</f>
        <v/>
      </c>
      <c r="Q29" s="614">
        <f>P29+Q28</f>
        <v/>
      </c>
      <c r="R29" s="614">
        <f>Q29+R28</f>
        <v/>
      </c>
      <c r="S29" s="614">
        <f>R29+S28</f>
        <v/>
      </c>
      <c r="T29" s="614">
        <f>S29+T28</f>
        <v/>
      </c>
      <c r="U29" s="614">
        <f>T29+U28</f>
        <v/>
      </c>
      <c r="V29" s="614">
        <f>U29+V28</f>
        <v/>
      </c>
      <c r="W29" s="614">
        <f>V29+W28</f>
        <v/>
      </c>
      <c r="X29" s="614">
        <f>W29+X28</f>
        <v/>
      </c>
      <c r="Y29" s="614">
        <f>X29+Y28</f>
        <v/>
      </c>
      <c r="Z29" s="614" t="n"/>
      <c r="AA29" s="614" t="n"/>
      <c r="AB29" s="614" t="n"/>
      <c r="AC29" s="614" t="n"/>
    </row>
    <row r="30">
      <c r="A30" s="628" t="inlineStr">
        <is>
          <t>LP NET position (cum dist - cum calls)</t>
        </is>
      </c>
      <c r="B30" s="614">
        <f>B28-B22</f>
        <v/>
      </c>
      <c r="C30" s="614">
        <f>B30+C28-C22</f>
        <v/>
      </c>
      <c r="D30" s="614">
        <f>C30+D28-D22</f>
        <v/>
      </c>
      <c r="E30" s="614">
        <f>D30+E28-E22</f>
        <v/>
      </c>
      <c r="F30" s="614">
        <f>E30+F28-F22</f>
        <v/>
      </c>
      <c r="G30" s="614">
        <f>F30+G28-G22</f>
        <v/>
      </c>
      <c r="H30" s="614">
        <f>G30+H28-H22</f>
        <v/>
      </c>
      <c r="I30" s="614">
        <f>H30+I28-I22</f>
        <v/>
      </c>
      <c r="J30" s="614">
        <f>I30+J28-J22</f>
        <v/>
      </c>
      <c r="K30" s="614">
        <f>J30+K28-K22</f>
        <v/>
      </c>
      <c r="L30" s="614">
        <f>K30+L28-L22</f>
        <v/>
      </c>
      <c r="M30" s="614">
        <f>L30+M28-M22</f>
        <v/>
      </c>
      <c r="N30" s="614">
        <f>M30+N28-N22</f>
        <v/>
      </c>
      <c r="O30" s="614">
        <f>N30+O28-O22</f>
        <v/>
      </c>
      <c r="P30" s="614">
        <f>O30+P28-P22</f>
        <v/>
      </c>
      <c r="Q30" s="614">
        <f>P30+Q28-Q22</f>
        <v/>
      </c>
      <c r="R30" s="614">
        <f>Q30+R28-R22</f>
        <v/>
      </c>
      <c r="S30" s="614">
        <f>R30+S28-S22</f>
        <v/>
      </c>
      <c r="T30" s="614">
        <f>S30+T28-T22</f>
        <v/>
      </c>
      <c r="U30" s="614">
        <f>T30+U28-U22</f>
        <v/>
      </c>
      <c r="V30" s="614">
        <f>U30+V28-V22</f>
        <v/>
      </c>
      <c r="W30" s="614">
        <f>V30+W28-W22</f>
        <v/>
      </c>
      <c r="X30" s="614">
        <f>W30+X28-X22</f>
        <v/>
      </c>
      <c r="Y30" s="614">
        <f>X30+Y28-Y22</f>
        <v/>
      </c>
      <c r="Z30" s="614" t="n"/>
      <c r="AA30" s="614" t="n"/>
      <c r="AB30" s="614" t="n"/>
      <c r="AC30" s="614" t="n"/>
    </row>
    <row r="31">
      <c r="A31" s="627" t="inlineStr">
        <is>
          <t>KEY INSIGHT: R100 retains 100% of operating cash M1-36. LP working capital trough is much deeper.</t>
        </is>
      </c>
      <c r="B31" s="614" t="n"/>
      <c r="C31" s="614" t="n"/>
      <c r="D31" s="614" t="n"/>
      <c r="E31" s="614" t="n"/>
      <c r="F31" s="614" t="n"/>
      <c r="G31" s="614" t="n"/>
      <c r="H31" s="614" t="n"/>
      <c r="I31" s="614" t="n"/>
      <c r="J31" s="614" t="n"/>
      <c r="K31" s="614" t="n"/>
      <c r="L31" s="614" t="n"/>
      <c r="M31" s="614" t="n"/>
      <c r="N31" s="614" t="n"/>
      <c r="O31" s="614" t="n"/>
      <c r="P31" s="614" t="n"/>
      <c r="Q31" s="614" t="n"/>
      <c r="R31" s="614" t="n"/>
      <c r="S31" s="614" t="n"/>
      <c r="T31" s="614" t="n"/>
      <c r="U31" s="614" t="n"/>
      <c r="V31" s="614" t="n"/>
      <c r="W31" s="614" t="n"/>
      <c r="X31" s="614" t="n"/>
      <c r="Y31" s="614" t="n"/>
      <c r="Z31" s="614" t="n"/>
      <c r="AA31" s="614" t="n"/>
      <c r="AB31" s="614" t="n"/>
      <c r="AC31" s="614" t="n"/>
    </row>
    <row r="32">
      <c r="A32" s="627" t="inlineStr">
        <is>
          <t>KEY INSIGHT: R100 retains 100% of operating cash M1-36. Row 28 ~= 0 most months. LP gets nothing.</t>
        </is>
      </c>
      <c r="B32" s="614" t="n"/>
      <c r="C32" s="614" t="n"/>
      <c r="D32" s="614" t="n"/>
      <c r="E32" s="614" t="n"/>
      <c r="F32" s="614" t="n"/>
      <c r="G32" s="614" t="n"/>
      <c r="H32" s="614" t="n"/>
      <c r="I32" s="614" t="n"/>
      <c r="J32" s="614" t="n"/>
      <c r="K32" s="614" t="n"/>
      <c r="L32" s="614" t="n"/>
      <c r="M32" s="614" t="n"/>
      <c r="N32" s="614" t="n"/>
      <c r="O32" s="614" t="n"/>
      <c r="P32" s="614" t="n"/>
      <c r="Q32" s="614" t="n"/>
      <c r="R32" s="614" t="n"/>
      <c r="S32" s="614" t="n"/>
      <c r="T32" s="614" t="n"/>
      <c r="U32" s="614" t="n"/>
      <c r="V32" s="614" t="n"/>
      <c r="W32" s="614" t="n"/>
      <c r="X32" s="614" t="n"/>
      <c r="Y32" s="614" t="n"/>
      <c r="Z32" s="614" t="n"/>
      <c r="AA32" s="614" t="n"/>
      <c r="AB32" s="614" t="n"/>
      <c r="AC32" s="614" t="n"/>
    </row>
    <row r="33">
      <c r="A33" s="627" t="inlineStr">
        <is>
          <t>Row 30 LP NET position = -$160M by M16 (all 5 deals funded) and stays negative through M37.</t>
        </is>
      </c>
      <c r="B33" s="614" t="n"/>
      <c r="C33" s="614" t="n"/>
      <c r="D33" s="614" t="n"/>
      <c r="E33" s="614" t="n"/>
      <c r="F33" s="614" t="n"/>
      <c r="G33" s="614" t="n"/>
      <c r="H33" s="614" t="n"/>
      <c r="I33" s="614" t="n"/>
      <c r="J33" s="614" t="n"/>
      <c r="K33" s="614" t="n"/>
      <c r="L33" s="614" t="n"/>
      <c r="M33" s="614" t="n"/>
      <c r="N33" s="614" t="n"/>
      <c r="O33" s="614" t="n"/>
      <c r="P33" s="614" t="n"/>
      <c r="Q33" s="614" t="n"/>
      <c r="R33" s="614" t="n"/>
      <c r="S33" s="614" t="n"/>
      <c r="T33" s="614" t="n"/>
      <c r="U33" s="614" t="n"/>
      <c r="V33" s="614" t="n"/>
      <c r="W33" s="614" t="n"/>
      <c r="X33" s="614" t="n"/>
      <c r="Y33" s="614" t="n"/>
      <c r="Z33" s="614" t="n"/>
      <c r="AA33" s="614" t="n"/>
      <c r="AB33" s="614" t="n"/>
      <c r="AC33" s="614" t="n"/>
    </row>
    <row r="34">
      <c r="A34" s="615" t="inlineStr">
        <is>
          <t>At M37, the recycle pool excess releases to LP -- net position recovers rapidly.</t>
        </is>
      </c>
      <c r="B34" s="614" t="n"/>
      <c r="C34" s="614" t="n"/>
      <c r="D34" s="614" t="n"/>
      <c r="E34" s="614" t="n"/>
      <c r="F34" s="614" t="n"/>
      <c r="G34" s="614" t="n"/>
      <c r="H34" s="614" t="n"/>
      <c r="I34" s="614" t="n"/>
      <c r="J34" s="614" t="n"/>
      <c r="K34" s="614" t="n"/>
      <c r="L34" s="614" t="n"/>
      <c r="M34" s="614" t="n"/>
      <c r="N34" s="614" t="n"/>
      <c r="O34" s="614" t="n"/>
      <c r="P34" s="614" t="n"/>
      <c r="Q34" s="614" t="n"/>
      <c r="R34" s="614" t="n"/>
      <c r="S34" s="614" t="n"/>
      <c r="T34" s="614" t="n"/>
      <c r="U34" s="614" t="n"/>
      <c r="V34" s="614" t="n"/>
      <c r="W34" s="614" t="n"/>
      <c r="X34" s="614" t="n"/>
      <c r="Y34" s="614" t="n"/>
      <c r="Z34" s="614" t="n"/>
      <c r="AA34" s="614" t="n"/>
      <c r="AB34" s="614" t="n"/>
      <c r="AC34" s="614" t="n"/>
    </row>
    <row r="35">
      <c r="A35" s="614" t="n"/>
      <c r="B35" s="614" t="n"/>
      <c r="C35" s="614" t="n"/>
      <c r="D35" s="614" t="n"/>
      <c r="E35" s="614" t="n"/>
      <c r="F35" s="614" t="n"/>
      <c r="G35" s="614" t="n"/>
      <c r="H35" s="614" t="n"/>
      <c r="I35" s="614" t="n"/>
      <c r="J35" s="614" t="n"/>
      <c r="K35" s="614" t="n"/>
      <c r="L35" s="614" t="n"/>
      <c r="M35" s="614" t="n"/>
      <c r="N35" s="614" t="n"/>
      <c r="O35" s="614" t="n"/>
      <c r="P35" s="614" t="n"/>
      <c r="Q35" s="614" t="n"/>
      <c r="R35" s="614" t="n"/>
      <c r="S35" s="614" t="n"/>
      <c r="T35" s="614" t="n"/>
      <c r="U35" s="614" t="n"/>
      <c r="V35" s="614" t="n"/>
      <c r="W35" s="614" t="n"/>
      <c r="X35" s="614" t="n"/>
      <c r="Y35" s="614" t="n"/>
      <c r="Z35" s="614" t="n"/>
      <c r="AA35" s="614" t="n"/>
      <c r="AB35" s="614" t="n"/>
      <c r="AC35" s="614" t="n"/>
    </row>
    <row r="36">
      <c r="A36" s="614" t="n"/>
      <c r="B36" s="614" t="n"/>
      <c r="C36" s="614" t="n"/>
      <c r="D36" s="614" t="n"/>
      <c r="E36" s="614" t="n"/>
      <c r="F36" s="614" t="n"/>
      <c r="G36" s="614" t="n"/>
      <c r="H36" s="614" t="n"/>
      <c r="I36" s="614" t="n"/>
      <c r="J36" s="614" t="n"/>
      <c r="K36" s="614" t="n"/>
      <c r="L36" s="614" t="n"/>
      <c r="M36" s="614" t="n"/>
      <c r="N36" s="614" t="n"/>
      <c r="O36" s="614" t="n"/>
      <c r="P36" s="614" t="n"/>
      <c r="Q36" s="614" t="n"/>
      <c r="R36" s="614" t="n"/>
      <c r="S36" s="614" t="n"/>
      <c r="T36" s="614" t="n"/>
      <c r="U36" s="614" t="n"/>
      <c r="V36" s="614" t="n"/>
      <c r="W36" s="614" t="n"/>
      <c r="X36" s="614" t="n"/>
      <c r="Y36" s="614" t="n"/>
      <c r="Z36" s="614" t="n"/>
      <c r="AA36" s="614" t="n"/>
      <c r="AB36" s="614" t="n"/>
      <c r="AC36" s="614" t="n"/>
    </row>
    <row r="37">
      <c r="A37" s="614" t="n"/>
      <c r="B37" s="614" t="n"/>
      <c r="C37" s="614" t="n"/>
      <c r="D37" s="614" t="n"/>
      <c r="E37" s="614" t="n"/>
      <c r="F37" s="614" t="n"/>
      <c r="G37" s="614" t="n"/>
      <c r="H37" s="614" t="n"/>
      <c r="I37" s="614" t="n"/>
      <c r="J37" s="614" t="n"/>
      <c r="K37" s="614" t="n"/>
      <c r="L37" s="614" t="n"/>
      <c r="M37" s="614" t="n"/>
      <c r="N37" s="614" t="n"/>
      <c r="O37" s="614" t="n"/>
      <c r="P37" s="614" t="n"/>
      <c r="Q37" s="614" t="n"/>
      <c r="R37" s="614" t="n"/>
      <c r="S37" s="614" t="n"/>
      <c r="T37" s="614" t="n"/>
      <c r="U37" s="614" t="n"/>
      <c r="V37" s="614" t="n"/>
      <c r="W37" s="614" t="n"/>
      <c r="X37" s="614" t="n"/>
      <c r="Y37" s="614" t="n"/>
      <c r="Z37" s="614" t="n"/>
      <c r="AA37" s="614" t="n"/>
      <c r="AB37" s="614" t="n"/>
      <c r="AC37" s="614" t="n"/>
    </row>
    <row r="38">
      <c r="A38" s="614" t="n"/>
      <c r="B38" s="614" t="n"/>
      <c r="C38" s="614" t="n"/>
      <c r="D38" s="614" t="n"/>
      <c r="E38" s="614" t="n"/>
      <c r="F38" s="614" t="n"/>
      <c r="G38" s="614" t="n"/>
      <c r="H38" s="614" t="n"/>
      <c r="I38" s="614" t="n"/>
      <c r="J38" s="614" t="n"/>
      <c r="K38" s="614" t="n"/>
      <c r="L38" s="614" t="n"/>
      <c r="M38" s="614" t="n"/>
      <c r="N38" s="614" t="n"/>
      <c r="O38" s="614" t="n"/>
      <c r="P38" s="614" t="n"/>
      <c r="Q38" s="614" t="n"/>
      <c r="R38" s="614" t="n"/>
      <c r="S38" s="614" t="n"/>
      <c r="T38" s="614" t="n"/>
      <c r="U38" s="614" t="n"/>
      <c r="V38" s="614" t="n"/>
      <c r="W38" s="614" t="n"/>
      <c r="X38" s="614" t="n"/>
      <c r="Y38" s="614" t="n"/>
      <c r="Z38" s="614" t="n"/>
      <c r="AA38" s="614" t="n"/>
      <c r="AB38" s="614" t="n"/>
      <c r="AC38" s="614" t="n"/>
    </row>
    <row r="39">
      <c r="A39" s="614" t="n"/>
      <c r="B39" s="614" t="n"/>
      <c r="C39" s="614" t="n"/>
      <c r="D39" s="614" t="n"/>
      <c r="E39" s="614" t="n"/>
      <c r="F39" s="614" t="n"/>
      <c r="G39" s="614" t="n"/>
      <c r="H39" s="614" t="n"/>
      <c r="I39" s="614" t="n"/>
      <c r="J39" s="614" t="n"/>
      <c r="K39" s="614" t="n"/>
      <c r="L39" s="614" t="n"/>
      <c r="M39" s="614" t="n"/>
      <c r="N39" s="614" t="n"/>
      <c r="O39" s="614" t="n"/>
      <c r="P39" s="614" t="n"/>
      <c r="Q39" s="614" t="n"/>
      <c r="R39" s="614" t="n"/>
      <c r="S39" s="614" t="n"/>
      <c r="T39" s="614" t="n"/>
      <c r="U39" s="614" t="n"/>
      <c r="V39" s="614" t="n"/>
      <c r="W39" s="614" t="n"/>
      <c r="X39" s="614" t="n"/>
      <c r="Y39" s="614" t="n"/>
      <c r="Z39" s="614" t="n"/>
      <c r="AA39" s="614" t="n"/>
      <c r="AB39" s="614" t="n"/>
      <c r="AC3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306" min="1" max="1"/>
    <col width="18" customWidth="1" style="306" min="2" max="4"/>
    <col width="18" customWidth="1" style="307" min="3" max="3"/>
    <col width="18" customWidth="1" style="307" min="4" max="4"/>
    <col width="18" customWidth="1" style="307" min="5" max="5"/>
  </cols>
  <sheetData>
    <row r="1" ht="15.75" customHeight="1" s="307">
      <c r="A1" s="471" t="inlineStr">
        <is>
          <t>FEE DRAG COMPARISON</t>
        </is>
      </c>
      <c r="B1" s="309" t="n"/>
      <c r="C1" s="309" t="n"/>
      <c r="D1" s="309" t="n"/>
      <c r="I1" s="728">
        <f>"Active scenario: " &amp; '1. Press Assumptions'!$B$136 &amp; "   (toggle on Tab 1 B136)"</f>
        <v/>
      </c>
    </row>
    <row r="2" ht="15" customHeight="1" s="307">
      <c r="A2" s="593" t="inlineStr">
        <is>
          <t>OpCo team comp + bonus pool are GP economics in disguise. Restated below.</t>
        </is>
      </c>
    </row>
    <row r="3">
      <c r="A3" s="594" t="n"/>
      <c r="B3" s="594" t="n"/>
      <c r="C3" s="594" t="n"/>
      <c r="D3" s="594" t="n"/>
      <c r="E3" s="594" t="n"/>
      <c r="F3" s="594" t="n"/>
      <c r="G3" s="594" t="n"/>
    </row>
    <row r="4" ht="15" customHeight="1" s="307">
      <c r="A4" s="595" t="inlineStr">
        <is>
          <t>AS PRESENTED (mgmt fee + carry only -- excludes team comp &amp; bonus pool)</t>
        </is>
      </c>
      <c r="B4" s="596" t="n"/>
      <c r="C4" s="596" t="n"/>
      <c r="D4" s="596" t="n"/>
      <c r="E4" s="594" t="n"/>
      <c r="F4" s="594" t="n"/>
      <c r="G4" s="594" t="n"/>
    </row>
    <row r="5" ht="15" customHeight="1" s="307">
      <c r="A5" s="597" t="n"/>
      <c r="B5" s="598" t="inlineStr">
        <is>
          <t>Press</t>
        </is>
      </c>
      <c r="C5" s="598" t="inlineStr">
        <is>
          <t>Traditional 2/20</t>
        </is>
      </c>
      <c r="D5" s="598" t="inlineStr">
        <is>
          <t>LP Savings</t>
        </is>
      </c>
      <c r="E5" s="594" t="n"/>
      <c r="F5" s="594" t="n"/>
      <c r="G5" s="594" t="n"/>
    </row>
    <row r="6" ht="15" customHeight="1" s="307">
      <c r="A6" s="597" t="inlineStr">
        <is>
          <t>Management Fees</t>
        </is>
      </c>
      <c r="B6" s="599" t="n">
        <v>3</v>
      </c>
      <c r="C6" s="599" t="n">
        <v>30</v>
      </c>
      <c r="D6" s="600">
        <f>C6-B6</f>
        <v/>
      </c>
      <c r="E6" s="594" t="n"/>
      <c r="F6" s="594" t="n"/>
      <c r="G6" s="594" t="n"/>
    </row>
    <row r="7" ht="15" customHeight="1" s="307">
      <c r="A7" s="597" t="inlineStr">
        <is>
          <t>GP Carry</t>
        </is>
      </c>
      <c r="B7" s="599">
        <f>'_Engine_NR'!$B$251</f>
        <v/>
      </c>
      <c r="C7" s="599" t="n">
        <v>73.4552300422165</v>
      </c>
      <c r="D7" s="600">
        <f>C7-B7</f>
        <v/>
      </c>
      <c r="E7" s="594" t="n"/>
      <c r="F7" s="594" t="n"/>
      <c r="G7" s="594" t="n"/>
    </row>
    <row r="8">
      <c r="A8" s="601" t="inlineStr">
        <is>
          <t>Total Fee Drag</t>
        </is>
      </c>
      <c r="B8" s="602">
        <f>B6+B7</f>
        <v/>
      </c>
      <c r="C8" s="602">
        <f>C6+C7</f>
        <v/>
      </c>
      <c r="D8" s="603">
        <f>C8-B8</f>
        <v/>
      </c>
      <c r="E8" s="594" t="n"/>
      <c r="F8" s="594" t="n"/>
      <c r="G8" s="594" t="n"/>
    </row>
    <row r="9" ht="15" customHeight="1" s="307">
      <c r="A9" s="597" t="n"/>
      <c r="B9" s="594" t="n"/>
      <c r="C9" s="594" t="n"/>
      <c r="D9" s="594" t="n"/>
      <c r="E9" s="594" t="n"/>
      <c r="F9" s="594" t="n"/>
      <c r="G9" s="594" t="n"/>
    </row>
    <row r="10" ht="15" customHeight="1" s="307">
      <c r="A10" s="604" t="inlineStr">
        <is>
          <t>RESTATED  --  includes OpCo team comp and bonus pool as GP economics</t>
        </is>
      </c>
      <c r="B10" s="605" t="n"/>
      <c r="C10" s="605" t="n"/>
      <c r="D10" s="605" t="n"/>
      <c r="E10" s="605" t="n"/>
      <c r="F10" s="605" t="n"/>
      <c r="G10" s="605" t="n"/>
    </row>
    <row r="11" ht="15" customHeight="1" s="307">
      <c r="A11" s="597" t="inlineStr">
        <is>
          <t>% of OpCo Team Comp treated as GP economics  (blue = adjustable input)</t>
        </is>
      </c>
      <c r="B11" s="606" t="n">
        <v>0.5</v>
      </c>
      <c r="C11" s="607" t="inlineStr">
        <is>
          <t>LP-friendly view = 100%   |   GP-friendly view = 0%</t>
        </is>
      </c>
      <c r="D11" s="594" t="n"/>
      <c r="E11" s="594" t="n"/>
      <c r="F11" s="594" t="n"/>
      <c r="G11" s="594" t="n"/>
    </row>
    <row r="12" ht="15" customHeight="1" s="307">
      <c r="A12" s="597" t="n"/>
      <c r="B12" s="594" t="n"/>
      <c r="C12" s="594" t="n"/>
      <c r="D12" s="594" t="n"/>
      <c r="E12" s="594" t="n"/>
      <c r="F12" s="594" t="n"/>
      <c r="G12" s="594" t="n"/>
    </row>
    <row r="13" ht="30" customHeight="1" s="307">
      <c r="A13" s="608" t="inlineStr">
        <is>
          <t>$mm over 15Y</t>
        </is>
      </c>
      <c r="B13" s="608" t="inlineStr">
        <is>
          <t>Press
(No Recycle)</t>
        </is>
      </c>
      <c r="C13" s="608" t="inlineStr">
        <is>
          <t>Press
(50% Recycle)</t>
        </is>
      </c>
      <c r="D13" s="608" t="inlineStr">
        <is>
          <t>Press
(100% Recycle)</t>
        </is>
      </c>
      <c r="E13" s="608" t="inlineStr">
        <is>
          <t>Traditional 2/20</t>
        </is>
      </c>
      <c r="F13" s="594" t="n"/>
      <c r="G13" s="594" t="n"/>
    </row>
    <row r="14">
      <c r="A14" s="594" t="inlineStr">
        <is>
          <t>Management Fees</t>
        </is>
      </c>
      <c r="B14" s="594" t="n">
        <v>3</v>
      </c>
      <c r="C14" s="594" t="n">
        <v>3</v>
      </c>
      <c r="D14" s="594" t="n">
        <v>3</v>
      </c>
      <c r="E14" s="594" t="n">
        <v>30</v>
      </c>
      <c r="F14" s="594" t="n"/>
      <c r="G14" s="594" t="n"/>
    </row>
    <row r="15">
      <c r="A15" s="594" t="inlineStr">
        <is>
          <t>OpCo Team Comp x allocation %</t>
        </is>
      </c>
      <c r="B15" s="594">
        <f>'_Engine_NR'!B256*$B$11</f>
        <v/>
      </c>
      <c r="C15" s="594">
        <f>'_Engine_R50'!B256*$B$11</f>
        <v/>
      </c>
      <c r="D15" s="594">
        <f>'_Engine_R100'!B256*$B$11</f>
        <v/>
      </c>
      <c r="E15" s="594" t="n">
        <v>0</v>
      </c>
      <c r="F15" s="594" t="n"/>
      <c r="G15" s="594" t="n"/>
    </row>
    <row r="16">
      <c r="A16" s="594" t="inlineStr">
        <is>
          <t>Bonus Pool (excess over 62.5% margin)</t>
        </is>
      </c>
      <c r="B16" s="594">
        <f>'_Engine_NR'!B255</f>
        <v/>
      </c>
      <c r="C16" s="594">
        <f>'_Engine_R50'!B255</f>
        <v/>
      </c>
      <c r="D16" s="594">
        <f>'_Engine_R100'!B255</f>
        <v/>
      </c>
      <c r="E16" s="594" t="n">
        <v>0</v>
      </c>
      <c r="F16" s="594" t="n"/>
      <c r="G16" s="594" t="n"/>
    </row>
    <row r="17">
      <c r="A17" s="594" t="inlineStr">
        <is>
          <t>GP Carry</t>
        </is>
      </c>
      <c r="B17" s="594">
        <f>'_Engine_NR'!B251</f>
        <v/>
      </c>
      <c r="C17" s="594">
        <f>'_Engine_R50'!B251</f>
        <v/>
      </c>
      <c r="D17" s="594">
        <f>'_Engine_R100'!B251</f>
        <v/>
      </c>
      <c r="E17" s="594" t="n">
        <v>73.4552300422165</v>
      </c>
      <c r="F17" s="594" t="n"/>
      <c r="G17" s="594" t="n"/>
    </row>
    <row r="18">
      <c r="A18" s="601" t="inlineStr">
        <is>
          <t>Total GP Economics</t>
        </is>
      </c>
      <c r="B18" s="609">
        <f>SUM(B14:B17)</f>
        <v/>
      </c>
      <c r="C18" s="609">
        <f>SUM(C14:C17)</f>
        <v/>
      </c>
      <c r="D18" s="609">
        <f>SUM(D14:D17)</f>
        <v/>
      </c>
      <c r="E18" s="609">
        <f>SUM(E14:E17)</f>
        <v/>
      </c>
      <c r="F18" s="594" t="n"/>
      <c r="G18" s="594" t="n"/>
    </row>
    <row r="19">
      <c r="A19" s="594" t="n"/>
      <c r="B19" s="594" t="n"/>
      <c r="C19" s="594" t="n"/>
      <c r="D19" s="594" t="n"/>
      <c r="E19" s="594" t="n"/>
      <c r="F19" s="594" t="n"/>
      <c r="G19" s="594" t="n"/>
    </row>
    <row r="20">
      <c r="A20" s="594" t="inlineStr">
        <is>
          <t>LP Net Distributions (15Y)</t>
        </is>
      </c>
      <c r="B20" s="594">
        <f>'_Engine_NR'!B250</f>
        <v/>
      </c>
      <c r="C20" s="594">
        <f>'_Engine_R50'!B250</f>
        <v/>
      </c>
      <c r="D20" s="594">
        <f>'_Engine_R100'!B250</f>
        <v/>
      </c>
      <c r="E20" s="594" t="inlineStr">
        <is>
          <t>n/a</t>
        </is>
      </c>
      <c r="F20" s="594" t="n"/>
      <c r="G20" s="594" t="n"/>
    </row>
    <row r="21">
      <c r="A21" s="594" t="inlineStr">
        <is>
          <t>Total Fund Cash (LP + GP)</t>
        </is>
      </c>
      <c r="B21" s="594">
        <f>B18+B20</f>
        <v/>
      </c>
      <c r="C21" s="594">
        <f>C18+C20</f>
        <v/>
      </c>
      <c r="D21" s="594">
        <f>D18+D20</f>
        <v/>
      </c>
      <c r="E21" s="594" t="inlineStr"/>
      <c r="F21" s="594" t="n"/>
      <c r="G21" s="594" t="n"/>
    </row>
    <row r="22">
      <c r="A22" s="594" t="inlineStr">
        <is>
          <t>GP Take as % of Total Fund Cash</t>
        </is>
      </c>
      <c r="B22" s="610">
        <f>B18/B21</f>
        <v/>
      </c>
      <c r="C22" s="610">
        <f>C18/C21</f>
        <v/>
      </c>
      <c r="D22" s="610">
        <f>D18/D21</f>
        <v/>
      </c>
      <c r="E22" s="594" t="inlineStr"/>
      <c r="F22" s="594" t="n"/>
      <c r="G22" s="594" t="n"/>
    </row>
    <row r="23">
      <c r="A23" s="594" t="n"/>
      <c r="B23" s="594" t="n"/>
      <c r="C23" s="594" t="n"/>
      <c r="D23" s="594" t="n"/>
      <c r="E23" s="594" t="n"/>
      <c r="F23" s="594" t="n"/>
      <c r="G23" s="594" t="n"/>
    </row>
    <row r="24">
      <c r="A24" s="601" t="inlineStr">
        <is>
          <t>Restated Total GP Economics vs "As Presented"</t>
        </is>
      </c>
      <c r="B24" s="611">
        <f>B18-B8</f>
        <v/>
      </c>
      <c r="C24" s="611">
        <f>C18-B8</f>
        <v/>
      </c>
      <c r="D24" s="611">
        <f>D18-B8</f>
        <v/>
      </c>
      <c r="E24" s="594" t="n"/>
      <c r="F24" s="594" t="n"/>
      <c r="G24" s="594" t="n"/>
    </row>
    <row r="25">
      <c r="A25" s="594" t="n"/>
      <c r="B25" s="594" t="n"/>
      <c r="C25" s="594" t="n"/>
      <c r="D25" s="594" t="n"/>
      <c r="E25" s="594" t="n"/>
      <c r="F25" s="594" t="n"/>
      <c r="G25" s="594" t="n"/>
    </row>
    <row r="26">
      <c r="A26" s="594" t="n"/>
      <c r="B26" s="594" t="n"/>
      <c r="C26" s="594" t="n"/>
      <c r="D26" s="594" t="n"/>
      <c r="E26" s="594" t="n"/>
      <c r="F26" s="594" t="n"/>
      <c r="G26" s="594" t="n"/>
    </row>
    <row r="27">
      <c r="A27" s="601" t="inlineStr">
        <is>
          <t>NOTES:</t>
        </is>
      </c>
      <c r="B27" s="594" t="n"/>
      <c r="C27" s="594" t="n"/>
      <c r="D27" s="594" t="n"/>
      <c r="E27" s="594" t="n"/>
      <c r="F27" s="594" t="n"/>
      <c r="G27" s="594" t="n"/>
    </row>
    <row r="28">
      <c r="A28" s="607" t="inlineStr">
        <is>
          <t>1. OpCo Team Comp is the Press operating team (CEO/CFO/COO/CPO/CTO/CRO + 14 operators)</t>
        </is>
      </c>
      <c r="B28" s="594" t="n"/>
      <c r="C28" s="594" t="n"/>
      <c r="D28" s="594" t="n"/>
      <c r="E28" s="594" t="n"/>
      <c r="F28" s="594" t="n"/>
      <c r="G28" s="594" t="n"/>
    </row>
    <row r="29">
      <c r="A29" s="607" t="inlineStr">
        <is>
          <t xml:space="preserve">   charged to portco P&amp;L. In a traditional 2/20 fund the same team is paid from the mgmt fee.</t>
        </is>
      </c>
      <c r="B29" s="594" t="n"/>
      <c r="C29" s="594" t="n"/>
      <c r="D29" s="594" t="n"/>
      <c r="E29" s="594" t="n"/>
      <c r="F29" s="594" t="n"/>
      <c r="G29" s="594" t="n"/>
    </row>
    <row r="30">
      <c r="A30" s="607" t="inlineStr">
        <is>
          <t xml:space="preserve">   The 50% default assumes half of team comp is legitimate OpCo opex (lean CEO/CFO that any</t>
        </is>
      </c>
      <c r="B30" s="594" t="n"/>
      <c r="C30" s="594" t="n"/>
      <c r="D30" s="594" t="n"/>
      <c r="E30" s="594" t="n"/>
      <c r="F30" s="594" t="n"/>
      <c r="G30" s="594" t="n"/>
    </row>
    <row r="31">
      <c r="A31" s="607" t="inlineStr">
        <is>
          <t xml:space="preserve">   owner would pay) and half is GP overhead being charged through OpCos.</t>
        </is>
      </c>
      <c r="B31" s="594" t="n"/>
      <c r="C31" s="594" t="n"/>
      <c r="D31" s="594" t="n"/>
      <c r="E31" s="594" t="n"/>
      <c r="F31" s="594" t="n"/>
      <c r="G31" s="594" t="n"/>
    </row>
    <row r="32">
      <c r="A32" s="607" t="inlineStr">
        <is>
          <t>2. Bonus Pool = 100% of EBITDA margin above the 62.5% threshold flows to the team. This is</t>
        </is>
      </c>
      <c r="B32" s="594" t="n"/>
      <c r="C32" s="594" t="n"/>
      <c r="D32" s="594" t="n"/>
      <c r="E32" s="594" t="n"/>
      <c r="F32" s="594" t="n"/>
      <c r="G32" s="594" t="n"/>
    </row>
    <row r="33">
      <c r="A33" s="607" t="inlineStr">
        <is>
          <t xml:space="preserve">   carry in OpEx clothing and is not disclosed as carry in the standard waterfall.</t>
        </is>
      </c>
      <c r="B33" s="594" t="n"/>
      <c r="C33" s="594" t="n"/>
      <c r="D33" s="594" t="n"/>
      <c r="E33" s="594" t="n"/>
      <c r="F33" s="594" t="n"/>
      <c r="G33" s="594" t="n"/>
    </row>
    <row r="34">
      <c r="A34" s="607" t="inlineStr">
        <is>
          <t>3. Traditional 2/20 column uses Press models own assumption ($73.5M carry over 10Y).</t>
        </is>
      </c>
      <c r="B34" s="594" t="n"/>
      <c r="C34" s="594" t="n"/>
      <c r="D34" s="594" t="n"/>
      <c r="E34" s="594" t="n"/>
      <c r="F34" s="594" t="n"/>
      <c r="G34" s="594" t="n"/>
    </row>
    <row r="35">
      <c r="A35" s="607" t="inlineStr">
        <is>
          <t>4. GP Take ratio includes mgmt fee + team comp x allocation % + bonus pool + carry, divided</t>
        </is>
      </c>
      <c r="B35" s="594" t="n"/>
      <c r="C35" s="594" t="n"/>
      <c r="D35" s="594" t="n"/>
      <c r="E35" s="594" t="n"/>
      <c r="F35" s="594" t="n"/>
      <c r="G35" s="594" t="n"/>
    </row>
    <row r="36">
      <c r="A36" s="607" t="inlineStr">
        <is>
          <t xml:space="preserve">   by (LP net distributions + GP take).</t>
        </is>
      </c>
      <c r="B36" s="594" t="n"/>
      <c r="C36" s="594" t="n"/>
      <c r="D36" s="594" t="n"/>
      <c r="E36" s="594" t="n"/>
      <c r="F36" s="594" t="n"/>
      <c r="G36" s="594" t="n"/>
    </row>
    <row r="37">
      <c r="A37" s="594" t="n"/>
      <c r="B37" s="594" t="n"/>
      <c r="C37" s="594" t="n"/>
      <c r="D37" s="594" t="n"/>
      <c r="E37" s="594" t="n"/>
      <c r="F37" s="594" t="n"/>
      <c r="G37" s="594" t="n"/>
    </row>
    <row r="38">
      <c r="A38" s="594" t="n"/>
      <c r="B38" s="594" t="n"/>
      <c r="C38" s="594" t="n"/>
      <c r="D38" s="594" t="n"/>
      <c r="E38" s="594" t="n"/>
      <c r="F38" s="594" t="n"/>
      <c r="G38" s="594" t="n"/>
    </row>
    <row r="39">
      <c r="A39" s="594" t="n"/>
      <c r="B39" s="594" t="n"/>
      <c r="C39" s="594" t="n"/>
      <c r="D39" s="594" t="n"/>
      <c r="E39" s="594" t="n"/>
      <c r="F39" s="594" t="n"/>
      <c r="G39" s="594" t="n"/>
    </row>
    <row r="40">
      <c r="A40" s="594" t="n"/>
      <c r="B40" s="594" t="n"/>
      <c r="C40" s="594" t="n"/>
      <c r="D40" s="594" t="n"/>
      <c r="E40" s="594" t="n"/>
      <c r="F40" s="594" t="n"/>
      <c r="G40" s="594" t="n"/>
    </row>
    <row r="41">
      <c r="A41" s="594" t="n"/>
      <c r="B41" s="594" t="n"/>
      <c r="C41" s="594" t="n"/>
      <c r="D41" s="594" t="n"/>
      <c r="E41" s="594" t="n"/>
      <c r="F41" s="594" t="n"/>
      <c r="G41" s="594" t="n"/>
    </row>
    <row r="42">
      <c r="A42" s="594" t="n"/>
      <c r="B42" s="594" t="n"/>
      <c r="C42" s="594" t="n"/>
      <c r="D42" s="594" t="n"/>
      <c r="E42" s="594" t="n"/>
      <c r="F42" s="594" t="n"/>
      <c r="G42" s="594" t="n"/>
    </row>
    <row r="43">
      <c r="A43" s="594" t="n"/>
      <c r="B43" s="594" t="n"/>
      <c r="C43" s="594" t="n"/>
      <c r="D43" s="594" t="n"/>
      <c r="E43" s="594" t="n"/>
      <c r="F43" s="594" t="n"/>
      <c r="G43" s="594" t="n"/>
    </row>
    <row r="44">
      <c r="A44" s="594" t="n"/>
      <c r="B44" s="594" t="n"/>
      <c r="C44" s="594" t="n"/>
      <c r="D44" s="594" t="n"/>
      <c r="E44" s="594" t="n"/>
      <c r="F44" s="594" t="n"/>
      <c r="G44" s="594" t="n"/>
    </row>
    <row r="45">
      <c r="A45" s="594" t="n"/>
      <c r="B45" s="594" t="n"/>
      <c r="C45" s="594" t="n"/>
      <c r="D45" s="594" t="n"/>
      <c r="E45" s="594" t="n"/>
      <c r="F45" s="594" t="n"/>
      <c r="G45" s="594" t="n"/>
    </row>
    <row r="46">
      <c r="A46" s="594" t="n"/>
      <c r="B46" s="594" t="n"/>
      <c r="C46" s="594" t="n"/>
      <c r="D46" s="594" t="n"/>
      <c r="E46" s="594" t="n"/>
      <c r="F46" s="594" t="n"/>
      <c r="G46" s="594" t="n"/>
    </row>
    <row r="47">
      <c r="A47" s="594" t="n"/>
      <c r="B47" s="594" t="n"/>
      <c r="C47" s="594" t="n"/>
      <c r="D47" s="594" t="n"/>
      <c r="E47" s="594" t="n"/>
      <c r="F47" s="594" t="n"/>
      <c r="G47" s="594" t="n"/>
    </row>
    <row r="48">
      <c r="A48" s="594" t="n"/>
      <c r="B48" s="594" t="n"/>
      <c r="C48" s="594" t="n"/>
      <c r="D48" s="594" t="n"/>
      <c r="E48" s="594" t="n"/>
      <c r="F48" s="594" t="n"/>
      <c r="G48" s="594" t="n"/>
    </row>
    <row r="49">
      <c r="A49" s="594" t="n"/>
      <c r="B49" s="594" t="n"/>
      <c r="C49" s="594" t="n"/>
      <c r="D49" s="594" t="n"/>
      <c r="E49" s="594" t="n"/>
      <c r="F49" s="594" t="n"/>
      <c r="G49" s="594" t="n"/>
    </row>
    <row r="50">
      <c r="A50" s="594" t="n"/>
      <c r="B50" s="594" t="n"/>
      <c r="C50" s="594" t="n"/>
      <c r="D50" s="594" t="n"/>
      <c r="E50" s="594" t="n"/>
      <c r="F50" s="594" t="n"/>
      <c r="G50" s="594" t="n"/>
    </row>
    <row r="51">
      <c r="A51" s="594" t="n"/>
      <c r="B51" s="594" t="n"/>
      <c r="C51" s="594" t="n"/>
      <c r="D51" s="594" t="n"/>
      <c r="E51" s="594" t="n"/>
      <c r="F51" s="594" t="n"/>
      <c r="G51" s="594" t="n"/>
    </row>
    <row r="52">
      <c r="A52" s="594" t="n"/>
      <c r="B52" s="594" t="n"/>
      <c r="C52" s="594" t="n"/>
      <c r="D52" s="594" t="n"/>
      <c r="E52" s="594" t="n"/>
      <c r="F52" s="594" t="n"/>
      <c r="G52" s="594" t="n"/>
    </row>
    <row r="53">
      <c r="A53" s="594" t="n"/>
      <c r="B53" s="594" t="n"/>
      <c r="C53" s="594" t="n"/>
      <c r="D53" s="594" t="n"/>
      <c r="E53" s="594" t="n"/>
      <c r="F53" s="594" t="n"/>
      <c r="G53" s="594" t="n"/>
    </row>
    <row r="54">
      <c r="A54" s="594" t="n"/>
      <c r="B54" s="594" t="n"/>
      <c r="C54" s="594" t="n"/>
      <c r="D54" s="594" t="n"/>
      <c r="E54" s="594" t="n"/>
      <c r="F54" s="594" t="n"/>
      <c r="G54" s="594" t="n"/>
    </row>
    <row r="55">
      <c r="A55" s="594" t="n"/>
      <c r="B55" s="594" t="n"/>
      <c r="C55" s="594" t="n"/>
      <c r="D55" s="594" t="n"/>
      <c r="E55" s="594" t="n"/>
      <c r="F55" s="594" t="n"/>
      <c r="G55" s="594" t="n"/>
    </row>
    <row r="56">
      <c r="A56" s="594" t="n"/>
      <c r="B56" s="594" t="n"/>
      <c r="C56" s="594" t="n"/>
      <c r="D56" s="594" t="n"/>
      <c r="E56" s="594" t="n"/>
      <c r="F56" s="594" t="n"/>
      <c r="G56" s="594" t="n"/>
    </row>
    <row r="57">
      <c r="A57" s="594" t="n"/>
      <c r="B57" s="594" t="n"/>
      <c r="C57" s="594" t="n"/>
      <c r="D57" s="594" t="n"/>
      <c r="E57" s="594" t="n"/>
      <c r="F57" s="594" t="n"/>
      <c r="G57" s="594" t="n"/>
    </row>
    <row r="58">
      <c r="A58" s="594" t="n"/>
      <c r="B58" s="594" t="n"/>
      <c r="C58" s="594" t="n"/>
      <c r="D58" s="594" t="n"/>
      <c r="E58" s="594" t="n"/>
      <c r="F58" s="594" t="n"/>
      <c r="G58" s="594" t="n"/>
    </row>
    <row r="59">
      <c r="A59" s="594" t="n"/>
      <c r="B59" s="594" t="n"/>
      <c r="C59" s="594" t="n"/>
      <c r="D59" s="594" t="n"/>
      <c r="E59" s="594" t="n"/>
      <c r="F59" s="594" t="n"/>
      <c r="G59" s="5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306" min="1" max="1"/>
    <col width="18" customWidth="1" style="306" min="2" max="2"/>
    <col width="40" customWidth="1" style="306" min="3" max="3"/>
  </cols>
  <sheetData>
    <row r="1" ht="15.75" customHeight="1" s="307">
      <c r="A1" s="471" t="inlineStr">
        <is>
          <t>DEAL PIPELINE ASSUMPTIONS</t>
        </is>
      </c>
      <c r="B1" s="309" t="n"/>
      <c r="C1" s="309" t="n"/>
    </row>
    <row r="2" ht="15" customHeight="1" s="307">
      <c r="A2" s="751" t="inlineStr">
        <is>
          <t>INPUT / reference — funnel &amp; timeline assumptions. Not an engine output.</t>
        </is>
      </c>
    </row>
    <row r="4" ht="15" customHeight="1" s="307">
      <c r="A4" s="325" t="inlineStr">
        <is>
          <t>PIPELINE FUNNEL</t>
        </is>
      </c>
      <c r="B4" s="309" t="n"/>
      <c r="C4" s="309" t="n"/>
    </row>
    <row r="5" ht="15" customHeight="1" s="307">
      <c r="A5" s="321" t="inlineStr">
        <is>
          <t>Target Universe (B2B SaaS $20-35M ARR)</t>
        </is>
      </c>
      <c r="B5" s="422" t="n">
        <v>200</v>
      </c>
      <c r="C5" s="323" t="inlineStr">
        <is>
          <t>PitchBook, Grata, broker network, direct</t>
        </is>
      </c>
    </row>
    <row r="6" ht="15" customHeight="1" s="307">
      <c r="A6" s="321" t="inlineStr">
        <is>
          <t>Initial Screen (fit buy box)</t>
        </is>
      </c>
      <c r="B6" s="422" t="n">
        <v>50</v>
      </c>
      <c r="C6" s="323" t="inlineStr">
        <is>
          <t>25% pass rate on vertical, size, geography</t>
        </is>
      </c>
    </row>
    <row r="7" ht="15" customHeight="1" s="307">
      <c r="A7" s="321" t="inlineStr">
        <is>
          <t>IOI Submitted</t>
        </is>
      </c>
      <c r="B7" s="422" t="n">
        <v>15</v>
      </c>
      <c r="C7" s="323" t="inlineStr">
        <is>
          <t>30% of screened targets get an IOI</t>
        </is>
      </c>
    </row>
    <row r="8" ht="15" customHeight="1" s="307">
      <c r="A8" s="321" t="inlineStr">
        <is>
          <t>LOI Signed</t>
        </is>
      </c>
      <c r="B8" s="422" t="n">
        <v>8</v>
      </c>
      <c r="C8" s="323" t="inlineStr">
        <is>
          <t>~50% IOI-to-LOI conversion</t>
        </is>
      </c>
    </row>
    <row r="9" ht="15" customHeight="1" s="307">
      <c r="A9" s="321" t="inlineStr">
        <is>
          <t>Closed</t>
        </is>
      </c>
      <c r="B9" s="422" t="n">
        <v>5</v>
      </c>
      <c r="C9" s="323" t="inlineStr">
        <is>
          <t>~63% LOI-to-close (1 falls out of diligence, 2 repriced)</t>
        </is>
      </c>
    </row>
    <row r="10" ht="15" customHeight="1" s="307">
      <c r="A10" s="321" t="inlineStr">
        <is>
          <t>Close Rate (universe to close)</t>
        </is>
      </c>
      <c r="B10" s="394" t="inlineStr">
        <is>
          <t>2.5%</t>
        </is>
      </c>
      <c r="C10" s="323" t="inlineStr">
        <is>
          <t>Typical for acquisition funds at this scale</t>
        </is>
      </c>
    </row>
    <row r="12" ht="15" customHeight="1" s="307">
      <c r="A12" s="325" t="inlineStr">
        <is>
          <t>SOURCING CHANNELS</t>
        </is>
      </c>
      <c r="B12" s="309" t="n"/>
      <c r="C12" s="309" t="n"/>
    </row>
    <row r="13" ht="15" customHeight="1" s="307">
      <c r="A13" s="322" t="inlineStr">
        <is>
          <t>Sell-Side M&amp;A Advisory</t>
        </is>
      </c>
      <c r="B13" s="323" t="inlineStr">
        <is>
          <t>Founders Advisors, Kroll, Vista Point, Atlas Technology Group</t>
        </is>
      </c>
    </row>
    <row r="14" ht="15" customHeight="1" s="307">
      <c r="A14" s="322" t="inlineStr">
        <is>
          <t>SaaS Lenders (distressed portfolios)</t>
        </is>
      </c>
      <c r="B14" s="323" t="inlineStr">
        <is>
          <t>Hercules, Bigfoot, Founderpath, RevTek</t>
        </is>
      </c>
    </row>
    <row r="15" ht="15" customHeight="1" s="307">
      <c r="A15" s="322" t="inlineStr">
        <is>
          <t>PE Secondary Market</t>
        </is>
      </c>
      <c r="B15" s="323" t="inlineStr">
        <is>
          <t>Firms exiting leveraged SaaS positions in higher-rate environment</t>
        </is>
      </c>
    </row>
    <row r="16" ht="15" customHeight="1" s="307">
      <c r="A16" s="322" t="inlineStr">
        <is>
          <t>Direct Outreach</t>
        </is>
      </c>
      <c r="B16" s="323" t="inlineStr">
        <is>
          <t>Bootstrapped founders ready to exit, identified via Grata/PitchBook</t>
        </is>
      </c>
    </row>
    <row r="17" ht="15" customHeight="1" s="307">
      <c r="A17" s="322" t="inlineStr">
        <is>
          <t>Platform Registration</t>
        </is>
      </c>
      <c r="B17" s="323" t="inlineStr">
        <is>
          <t>Acquire.com, Empire Flippers, Axial</t>
        </is>
      </c>
    </row>
    <row r="19" ht="15" customHeight="1" s="307">
      <c r="A19" s="325" t="inlineStr">
        <is>
          <t>DEPLOYMENT TIMELINE</t>
        </is>
      </c>
      <c r="B19" s="309" t="n"/>
      <c r="C19" s="309" t="n"/>
    </row>
    <row r="20" ht="15" customHeight="1" s="307">
      <c r="A20" s="321" t="inlineStr">
        <is>
          <t>Fund Start</t>
        </is>
      </c>
      <c r="B20" s="321" t="inlineStr">
        <is>
          <t>Month 1</t>
        </is>
      </c>
    </row>
    <row r="21" ht="15" customHeight="1" s="307">
      <c r="A21" s="321" t="inlineStr">
        <is>
          <t>CEO + CFO only</t>
        </is>
      </c>
      <c r="B21" s="321" t="inlineStr">
        <is>
          <t>Months 1-3</t>
        </is>
      </c>
    </row>
    <row r="22" ht="15" customHeight="1" s="307">
      <c r="A22" s="321" t="inlineStr">
        <is>
          <t>Deal 1 Close</t>
        </is>
      </c>
      <c r="B22" s="321" t="inlineStr">
        <is>
          <t>Month 4</t>
        </is>
      </c>
    </row>
    <row r="23" ht="15" customHeight="1" s="307">
      <c r="A23" s="321" t="inlineStr">
        <is>
          <t>Deal 2 Close</t>
        </is>
      </c>
      <c r="B23" s="321" t="inlineStr">
        <is>
          <t>Month 7-8</t>
        </is>
      </c>
    </row>
    <row r="24" ht="15" customHeight="1" s="307">
      <c r="A24" s="321" t="inlineStr">
        <is>
          <t>Deal 3 Close</t>
        </is>
      </c>
      <c r="B24" s="321" t="inlineStr">
        <is>
          <t>Month 10-12</t>
        </is>
      </c>
    </row>
    <row r="25" ht="15" customHeight="1" s="307">
      <c r="A25" s="321" t="inlineStr">
        <is>
          <t>Deal 4 Close</t>
        </is>
      </c>
      <c r="B25" s="321" t="inlineStr">
        <is>
          <t>Month 12-14</t>
        </is>
      </c>
    </row>
    <row r="26" ht="15" customHeight="1" s="307">
      <c r="A26" s="321" t="inlineStr">
        <is>
          <t>Deal 5 Close</t>
        </is>
      </c>
      <c r="B26" s="321" t="inlineStr">
        <is>
          <t>Month 14-16</t>
        </is>
      </c>
    </row>
    <row r="27" ht="15" customHeight="1" s="307">
      <c r="A27" s="321" t="inlineStr">
        <is>
          <t>Full Team (20 people)</t>
        </is>
      </c>
      <c r="B27" s="321" t="inlineStr">
        <is>
          <t>Month 16</t>
        </is>
      </c>
    </row>
    <row r="28" ht="15" customHeight="1" s="307">
      <c r="A28" s="321" t="inlineStr">
        <is>
          <t>Total Deployment Window</t>
        </is>
      </c>
      <c r="B28" s="321" t="inlineStr">
        <is>
          <t>~12 months first to last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06" min="1" max="1"/>
    <col width="16" customWidth="1" style="306" min="2" max="3"/>
    <col width="14" customWidth="1" style="307" min="3" max="3"/>
    <col width="75" customWidth="1" style="307" min="4" max="4"/>
  </cols>
  <sheetData>
    <row r="1" ht="15.75" customHeight="1" s="307">
      <c r="A1" s="612" t="inlineStr">
        <is>
          <t>TAX EFFICIENCY  --  CORRECTED</t>
        </is>
      </c>
      <c r="B1" s="309" t="n"/>
      <c r="C1" s="309" t="n"/>
      <c r="I1" s="728">
        <f>"Active scenario: " &amp; '1. Press Assumptions'!$B$136 &amp; "   (toggle on Tab 1 B136)"</f>
        <v/>
      </c>
    </row>
    <row r="2" ht="15" customHeight="1" s="307">
      <c r="A2" s="593" t="inlineStr">
        <is>
          <t>Original tab conflated LP operating income (ORDINARY) with GP carry (LTCG-eligible). Corrected below.</t>
        </is>
      </c>
    </row>
    <row r="3">
      <c r="A3" s="627" t="inlineStr">
        <is>
          <t>NOT TAX ADVICE. Consult your tax advisor.</t>
        </is>
      </c>
    </row>
    <row r="4" ht="15" customHeight="1" s="307">
      <c r="B4" s="388" t="n"/>
      <c r="C4" s="388" t="n"/>
    </row>
    <row r="5">
      <c r="A5" s="642" t="inlineStr">
        <is>
          <t>LP TAX TREATMENT</t>
        </is>
      </c>
      <c r="B5" s="650" t="n"/>
      <c r="C5" s="650" t="n"/>
    </row>
    <row r="6" ht="15" customHeight="1" s="307">
      <c r="A6" s="612" t="inlineStr">
        <is>
          <t>Cash flow type</t>
        </is>
      </c>
      <c r="B6" s="612" t="inlineStr">
        <is>
          <t>Federal rate</t>
        </is>
      </c>
      <c r="C6" s="612" t="inlineStr">
        <is>
          <t>Notes</t>
        </is>
      </c>
    </row>
    <row r="7" ht="15" customHeight="1" s="307">
      <c r="A7" s="321" t="inlineStr">
        <is>
          <t>Operating distributions Y1-9</t>
        </is>
      </c>
      <c r="B7" s="321" t="inlineStr">
        <is>
          <t>40.8%</t>
        </is>
      </c>
      <c r="C7" s="323" t="inlineStr">
        <is>
          <t>37% ordinary + 3.8% NIIT. PASS-THROUGH K-1. NOT LTCG.</t>
        </is>
      </c>
    </row>
    <row r="8" ht="15" customHeight="1" s="307">
      <c r="A8" s="321" t="inlineStr">
        <is>
          <t>Exit proceeds Y10 (held &gt;1yr)</t>
        </is>
      </c>
      <c r="B8" s="321" t="inlineStr">
        <is>
          <t>23.8%</t>
        </is>
      </c>
      <c r="C8" s="323" t="inlineStr">
        <is>
          <t>20% LTCG + 3.8% NIIT. ONLY portion attributable to capital gain.</t>
        </is>
      </c>
    </row>
    <row r="9" ht="15" customHeight="1" s="307">
      <c r="A9" s="321" t="inlineStr">
        <is>
          <t>$$ split: ~80% ord / 20% LTCG</t>
        </is>
      </c>
      <c r="B9" s="321" t="inlineStr"/>
      <c r="C9" s="323" t="inlineStr">
        <is>
          <t>For 50% Recycle base case: ~$700M ordinary (Y1-9 + Y11-15) vs ~$120M LTCG (Y10 exit).</t>
        </is>
      </c>
    </row>
    <row r="10">
      <c r="A10" s="306" t="inlineStr">
        <is>
          <t>QBI Sec 199A</t>
        </is>
      </c>
      <c r="B10" s="306" t="inlineStr">
        <is>
          <t>Likely NOT eligible</t>
        </is>
      </c>
      <c r="C10" s="306" t="inlineStr">
        <is>
          <t>SaaS / software services are NOT a Specified Service Trade or Business but the trade-or-business test is fact-specific. Do not rely on 20% deduction.</t>
        </is>
      </c>
    </row>
    <row r="11" ht="15" customHeight="1" s="307">
      <c r="A11" s="325" t="n"/>
      <c r="B11" s="309" t="n"/>
      <c r="C11" s="309" t="n"/>
    </row>
    <row r="12" ht="15" customHeight="1" s="307">
      <c r="A12" s="616" t="inlineStr">
        <is>
          <t>GP TAX TREATMENT</t>
        </is>
      </c>
      <c r="B12" s="667" t="n"/>
      <c r="C12" s="668" t="n"/>
    </row>
    <row r="13" ht="15" customHeight="1" s="307">
      <c r="A13" s="321" t="inlineStr">
        <is>
          <t>Carry (3-yr+ hold)</t>
        </is>
      </c>
      <c r="B13" s="322" t="inlineStr">
        <is>
          <t>23.8%</t>
        </is>
      </c>
      <c r="C13" s="323" t="inlineStr">
        <is>
          <t>20% LTCG + 3.8% NIIT. Applies to GP carry only, NOT LP cash.</t>
        </is>
      </c>
    </row>
    <row r="14" ht="15" customHeight="1" s="307">
      <c r="A14" s="321" t="inlineStr">
        <is>
          <t>Management fees</t>
        </is>
      </c>
      <c r="B14" s="322" t="inlineStr">
        <is>
          <t>37%</t>
        </is>
      </c>
      <c r="C14" s="323" t="inlineStr">
        <is>
          <t>Ordinary income to GP entity.</t>
        </is>
      </c>
    </row>
    <row r="15" ht="15" customHeight="1" s="307">
      <c r="A15" s="321" t="inlineStr">
        <is>
          <t>Team comp / bonus pool</t>
        </is>
      </c>
      <c r="B15" s="322" t="inlineStr">
        <is>
          <t>37%</t>
        </is>
      </c>
      <c r="C15" s="323" t="inlineStr">
        <is>
          <t>Ordinary W-2 income to operators.</t>
        </is>
      </c>
    </row>
    <row r="17" ht="15" customHeight="1" s="307">
      <c r="A17" s="616" t="inlineStr">
        <is>
          <t>EFFECTIVE LP AFTER-TAX YIELD</t>
        </is>
      </c>
      <c r="B17" s="669" t="n"/>
      <c r="C17" s="669" t="n"/>
    </row>
    <row r="18" ht="15" customHeight="1" s="307">
      <c r="A18" s="321" t="n"/>
      <c r="B18" s="459" t="n"/>
    </row>
    <row r="19" ht="15" customHeight="1" s="307">
      <c r="A19" s="612" t="inlineStr">
        <is>
          <t>Scenario</t>
        </is>
      </c>
      <c r="B19" s="670" t="inlineStr">
        <is>
          <t>Pre-Tax DPI</t>
        </is>
      </c>
      <c r="C19" s="633" t="inlineStr">
        <is>
          <t>Post-Tax DPI*</t>
        </is>
      </c>
      <c r="D19" s="633" t="inlineStr">
        <is>
          <t>Notes</t>
        </is>
      </c>
    </row>
    <row r="20" ht="15" customHeight="1" s="307">
      <c r="A20" s="321" t="inlineStr">
        <is>
          <t>No Recycle</t>
        </is>
      </c>
      <c r="B20" s="671">
        <f>'_Engine_NR'!B252</f>
        <v/>
      </c>
      <c r="C20" s="672">
        <f>('_Engine_NR'!B250 - MAX(0,'_Engine_NR'!B250-150)*0.374)/150</f>
        <v/>
      </c>
      <c r="D20" s="615" t="inlineStr">
        <is>
          <t>Assumes 80% ord (40.8%) / 20% LTCG (23.8%) blended profit rate. Capital return ($150M) not taxed.</t>
        </is>
      </c>
    </row>
    <row r="21" ht="15" customHeight="1" s="307">
      <c r="A21" s="321" t="inlineStr">
        <is>
          <t>50% Recycle</t>
        </is>
      </c>
      <c r="B21" s="671">
        <f>'_Engine_R50'!B252</f>
        <v/>
      </c>
      <c r="C21" s="672">
        <f>('_Engine_R50'!B250 - MAX(0,'_Engine_R50'!B250-150)*0.374)/150</f>
        <v/>
      </c>
      <c r="D21" s="615" t="inlineStr">
        <is>
          <t>Assumes 80% ord (40.8%) / 20% LTCG (23.8%) blended profit rate. Capital return ($150M) not taxed.</t>
        </is>
      </c>
    </row>
    <row r="22" ht="15" customHeight="1" s="307">
      <c r="A22" s="321" t="inlineStr">
        <is>
          <t>100% Recycle</t>
        </is>
      </c>
      <c r="B22" s="671">
        <f>'_Engine_R100'!B252</f>
        <v/>
      </c>
      <c r="C22" s="672">
        <f>('_Engine_R100'!B250 - MAX(0,'_Engine_R100'!B250-150)*0.374)/150</f>
        <v/>
      </c>
      <c r="D22" s="615" t="inlineStr">
        <is>
          <t>Assumes 80% ord (40.8%) / 20% LTCG (23.8%) blended profit rate. Capital return ($150M) not taxed.</t>
        </is>
      </c>
    </row>
    <row r="23" ht="15" customHeight="1" s="307">
      <c r="A23" s="321" t="n"/>
      <c r="B23" s="327" t="n"/>
      <c r="C23" s="323" t="n"/>
    </row>
    <row r="24">
      <c r="A24" s="615" t="inlineStr">
        <is>
          <t>* Post-tax assumes ~80% of profit is ordinary K-1 (40.8% rate) and ~20% is exit LTCG (23.8% rate).</t>
        </is>
      </c>
    </row>
    <row r="25" ht="15" customHeight="1" s="307">
      <c r="A25" s="593" t="inlineStr">
        <is>
          <t>State tax NOT included. CA adds 13.3%. Pass-through entities may allow SALT cap workarounds.</t>
        </is>
      </c>
    </row>
    <row r="26" ht="15" customHeight="1" s="307">
      <c r="A26" s="673" t="inlineStr">
        <is>
          <t>For LP, the "carried interest 23.8%" framing in the original tab was MISLEADING -- that rate applies to GP carry, not LP cash.</t>
        </is>
      </c>
    </row>
    <row r="27">
      <c r="A27" s="615" t="inlineStr">
        <is>
          <t>For high-bracket CA LP: effective profit rate ~54% blended. After-tax DPI roughly 0.46x of pre-tax profit + capital.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306" min="1" max="1"/>
    <col width="18" customWidth="1" style="306" min="2" max="4"/>
    <col width="24" customWidth="1" style="306" min="5" max="5"/>
  </cols>
  <sheetData>
    <row r="1" ht="15.75" customHeight="1" s="307">
      <c r="A1" s="471" t="inlineStr">
        <is>
          <t>PRESS CAPITAL FUND I  --  CAP TABLE</t>
        </is>
      </c>
      <c r="B1" s="309" t="n"/>
      <c r="C1" s="309" t="n"/>
      <c r="D1" s="309" t="n"/>
      <c r="E1" s="309" t="n"/>
    </row>
    <row r="3" ht="15" customHeight="1" s="307">
      <c r="A3" s="325" t="inlineStr">
        <is>
          <t>WATERFALL BY TIER</t>
        </is>
      </c>
      <c r="B3" s="309" t="n"/>
      <c r="C3" s="309" t="n"/>
      <c r="D3" s="309" t="n"/>
      <c r="F3" s="309" t="n"/>
    </row>
    <row r="4" ht="15" customHeight="1" s="307">
      <c r="A4" s="388" t="inlineStr">
        <is>
          <t>Phase</t>
        </is>
      </c>
      <c r="B4" s="388" t="inlineStr">
        <is>
          <t>Trigger</t>
        </is>
      </c>
      <c r="C4" s="388" t="inlineStr">
        <is>
          <t>LP Share</t>
        </is>
      </c>
      <c r="D4" s="388" t="inlineStr">
        <is>
          <t>GP Share</t>
        </is>
      </c>
      <c r="E4" s="387" t="n"/>
    </row>
    <row r="5" ht="15" customHeight="1" s="307">
      <c r="A5" s="322" t="inlineStr">
        <is>
          <t>Return of Capital</t>
        </is>
      </c>
      <c r="B5" s="321" t="inlineStr">
        <is>
          <t>Until LPs receive 1x</t>
        </is>
      </c>
      <c r="C5" s="354" t="inlineStr">
        <is>
          <t>100%</t>
        </is>
      </c>
      <c r="D5" s="404" t="inlineStr">
        <is>
          <t>0%</t>
        </is>
      </c>
      <c r="E5" s="321" t="n"/>
    </row>
    <row r="6" ht="15" customHeight="1" s="307">
      <c r="A6" s="322" t="inlineStr">
        <is>
          <t>Preferred Return</t>
        </is>
      </c>
      <c r="B6" s="321" t="inlineStr">
        <is>
          <t>10% on unreturned capital</t>
        </is>
      </c>
      <c r="C6" s="354" t="inlineStr">
        <is>
          <t>100%</t>
        </is>
      </c>
      <c r="D6" s="404" t="inlineStr">
        <is>
          <t>0%</t>
        </is>
      </c>
      <c r="E6" s="321" t="n"/>
    </row>
    <row r="7" ht="15" customHeight="1" s="307">
      <c r="A7" s="322" t="inlineStr">
        <is>
          <t>Carry</t>
        </is>
      </c>
      <c r="B7" s="321" t="inlineStr">
        <is>
          <t>After RoC + pref satisfied</t>
        </is>
      </c>
      <c r="C7" s="394" t="inlineStr">
        <is>
          <t>80%</t>
        </is>
      </c>
      <c r="D7" s="394" t="inlineStr">
        <is>
          <t>20%</t>
        </is>
      </c>
    </row>
    <row r="8" ht="15" customHeight="1" s="307">
      <c r="A8" s="438" t="n"/>
      <c r="F8" s="309" t="n"/>
    </row>
    <row r="9" ht="15" customHeight="1" s="307">
      <c r="A9" s="426" t="inlineStr">
        <is>
          <t>LP RETURNS BY COMMITMENT (live; No Recycle, active scenario)</t>
        </is>
      </c>
      <c r="B9" s="388" t="n"/>
      <c r="C9" s="388" t="n"/>
      <c r="D9" s="388" t="n"/>
      <c r="E9" s="387" t="n"/>
    </row>
    <row r="10" ht="15" customHeight="1" s="307">
      <c r="A10" s="388" t="inlineStr">
        <is>
          <t>Commitment</t>
        </is>
      </c>
      <c r="B10" s="388" t="inlineStr">
        <is>
          <t>10Y Cash Back</t>
        </is>
      </c>
      <c r="C10" s="388" t="inlineStr">
        <is>
          <t>15Y Cash Back</t>
        </is>
      </c>
      <c r="D10" s="388" t="inlineStr">
        <is>
          <t>15Y MOIC</t>
        </is>
      </c>
    </row>
    <row r="11" ht="15" customHeight="1" s="307">
      <c r="A11" s="394" t="inlineStr">
        <is>
          <t>$5mm</t>
        </is>
      </c>
      <c r="B11" s="354">
        <f>'_Engine_NR'!$B$254*5</f>
        <v/>
      </c>
      <c r="C11" s="354">
        <f>'_Engine_NR'!$B$252*5</f>
        <v/>
      </c>
      <c r="D11" s="441">
        <f>'_Engine_NR'!$B$252</f>
        <v/>
      </c>
    </row>
    <row r="12" ht="15" customHeight="1" s="307">
      <c r="A12" s="394" t="inlineStr">
        <is>
          <t>$10mm</t>
        </is>
      </c>
      <c r="B12" s="354">
        <f>'_Engine_NR'!$B$254*10</f>
        <v/>
      </c>
      <c r="C12" s="354">
        <f>'_Engine_NR'!$B$252*10</f>
        <v/>
      </c>
      <c r="D12" s="441">
        <f>'_Engine_NR'!$B$252</f>
        <v/>
      </c>
    </row>
    <row r="13" ht="15" customHeight="1" s="307">
      <c r="A13" s="394" t="inlineStr">
        <is>
          <t>$15mm</t>
        </is>
      </c>
      <c r="B13" s="354">
        <f>'_Engine_NR'!$B$254*15</f>
        <v/>
      </c>
      <c r="C13" s="354">
        <f>'_Engine_NR'!$B$252*15</f>
        <v/>
      </c>
      <c r="D13" s="441">
        <f>'_Engine_NR'!$B$252</f>
        <v/>
      </c>
    </row>
    <row r="14" ht="15" customHeight="1" s="307">
      <c r="A14" s="394" t="inlineStr">
        <is>
          <t>$20mm</t>
        </is>
      </c>
      <c r="B14" s="354">
        <f>'_Engine_NR'!$B$254*20</f>
        <v/>
      </c>
      <c r="C14" s="354">
        <f>'_Engine_NR'!$B$252*20</f>
        <v/>
      </c>
      <c r="D14" s="441">
        <f>'_Engine_NR'!$B$252</f>
        <v/>
      </c>
    </row>
    <row r="15" ht="15" customHeight="1" s="307">
      <c r="A15" s="394" t="inlineStr">
        <is>
          <t>$25mm</t>
        </is>
      </c>
      <c r="B15" s="354">
        <f>'_Engine_NR'!$B$254*25</f>
        <v/>
      </c>
      <c r="C15" s="354">
        <f>'_Engine_NR'!$B$252*25</f>
        <v/>
      </c>
      <c r="D15" s="441">
        <f>'_Engine_NR'!$B$252</f>
        <v/>
      </c>
    </row>
    <row r="16" ht="15" customHeight="1" s="307">
      <c r="A16" s="438" t="n"/>
      <c r="F16" s="309" t="n"/>
    </row>
    <row r="17" ht="15" customHeight="1" s="307">
      <c r="A17" s="387" t="n"/>
      <c r="B17" s="387" t="n"/>
      <c r="C17" s="387" t="n"/>
      <c r="D17" s="387" t="n"/>
      <c r="E17" s="387" t="n"/>
    </row>
    <row r="18" ht="15" customHeight="1" s="307">
      <c r="A18" s="580" t="n"/>
      <c r="B18" s="404" t="n"/>
      <c r="C18" s="354" t="n"/>
      <c r="D18" s="354" t="n"/>
      <c r="E18" s="441" t="n"/>
    </row>
    <row r="19" ht="15" customHeight="1" s="307">
      <c r="A19" s="580" t="n"/>
      <c r="B19" s="404" t="n"/>
      <c r="C19" s="354" t="n"/>
      <c r="D19" s="354" t="n"/>
      <c r="E19" s="441" t="n"/>
    </row>
    <row r="20" ht="15" customHeight="1" s="307">
      <c r="A20" s="580" t="n"/>
      <c r="B20" s="404" t="n"/>
      <c r="C20" s="354" t="n"/>
      <c r="D20" s="354" t="n"/>
      <c r="E20" s="441" t="n"/>
    </row>
    <row r="21" ht="15" customHeight="1" s="307">
      <c r="A21" s="580" t="n"/>
      <c r="B21" s="404" t="n"/>
      <c r="C21" s="354" t="n"/>
      <c r="D21" s="354" t="n"/>
      <c r="E21" s="441" t="n"/>
    </row>
    <row r="22" ht="15" customHeight="1" s="307">
      <c r="A22" s="580" t="n"/>
      <c r="B22" s="404" t="n"/>
      <c r="C22" s="354" t="n"/>
      <c r="D22" s="354" t="n"/>
      <c r="E22" s="441" t="n"/>
    </row>
    <row r="23" ht="15" customHeight="1" s="307">
      <c r="A23" s="580" t="n"/>
      <c r="B23" s="404" t="n"/>
      <c r="C23" s="354" t="n"/>
      <c r="D23" s="354" t="n"/>
      <c r="E23" s="441" t="n"/>
    </row>
    <row r="25" ht="15" customHeight="1" s="307">
      <c r="A25" s="3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5" customWidth="1" style="306" min="1" max="1"/>
    <col width="16" customWidth="1" style="306" min="2" max="3"/>
    <col width="35" customWidth="1" style="307" min="3" max="3"/>
  </cols>
  <sheetData>
    <row r="1" ht="15.75" customHeight="1" s="307">
      <c r="A1" s="612" t="inlineStr">
        <is>
          <t>FUND I  --  SOURCES &amp; USES (RESTATED)</t>
        </is>
      </c>
      <c r="B1" s="613" t="n"/>
      <c r="C1" s="614" t="n"/>
    </row>
    <row r="2">
      <c r="A2" s="615" t="inlineStr">
        <is>
          <t>Per-deal ARR capped at $24M; 1.24x entry; 50/50 sev split.</t>
        </is>
      </c>
      <c r="B2" s="614" t="n"/>
      <c r="C2" s="614" t="n"/>
    </row>
    <row r="3" ht="15" customHeight="1" s="307">
      <c r="A3" s="613" t="n"/>
      <c r="B3" s="613" t="n"/>
      <c r="C3" s="614" t="n"/>
    </row>
    <row r="4" ht="15" customHeight="1" s="307">
      <c r="A4" s="616" t="inlineStr">
        <is>
          <t>SOURCES</t>
        </is>
      </c>
      <c r="B4" s="617" t="n"/>
      <c r="C4" s="618" t="n"/>
    </row>
    <row r="5" ht="15" customHeight="1" s="307">
      <c r="A5" s="613" t="inlineStr">
        <is>
          <t>LP Capital Commitments</t>
        </is>
      </c>
      <c r="B5" s="619">
        <f>'1. Press Assumptions'!$B$5/1000000</f>
        <v/>
      </c>
      <c r="C5" s="614" t="n"/>
    </row>
    <row r="6" ht="15" customHeight="1" s="307">
      <c r="A6" s="620" t="inlineStr">
        <is>
          <t>Total Sources</t>
        </is>
      </c>
      <c r="B6" s="621">
        <f>B5</f>
        <v/>
      </c>
      <c r="C6" s="622" t="n"/>
    </row>
    <row r="7" ht="15" customHeight="1" s="307">
      <c r="A7" s="613" t="n"/>
      <c r="B7" s="623" t="n"/>
      <c r="C7" s="614" t="n"/>
    </row>
    <row r="8" ht="15" customHeight="1" s="307">
      <c r="A8" s="616" t="inlineStr">
        <is>
          <t>USES</t>
        </is>
      </c>
      <c r="B8" s="624" t="n"/>
      <c r="C8" s="618" t="n"/>
    </row>
    <row r="9" ht="15" customHeight="1" s="307">
      <c r="A9" s="622" t="inlineStr">
        <is>
          <t>Gross Deal Purchases (5 base deals; recycled funded from retained cash)</t>
        </is>
      </c>
      <c r="B9" s="625">
        <f>SUMPRODUCT('1. Press Assumptions'!$D$89:$D$93,'1. Press Assumptions'!$E$89:$E$93)</f>
        <v/>
      </c>
      <c r="C9" s="614" t="inlineStr">
        <is>
          <t>$148.8M auto-derived</t>
        </is>
      </c>
    </row>
    <row r="10" ht="15" customHeight="1" s="307">
      <c r="A10" s="613" t="inlineStr">
        <is>
          <t>Severance Discount (5 base deals, 50% share)</t>
        </is>
      </c>
      <c r="B10" s="619">
        <f>-5*'1. Press Assumptions'!$B$103*'1. Press Assumptions'!$B$110*0.5/1000000</f>
        <v/>
      </c>
      <c r="C10" s="614" t="inlineStr">
        <is>
          <t>auto from ARR x 0.1154 x 50%</t>
        </is>
      </c>
    </row>
    <row r="11" ht="15" customHeight="1" s="307">
      <c r="A11" s="626" t="inlineStr">
        <is>
          <t>Net Capital Deployed</t>
        </is>
      </c>
      <c r="B11" s="619">
        <f>B9+B10</f>
        <v/>
      </c>
      <c r="C11" s="614" t="n"/>
    </row>
    <row r="12" ht="15" customHeight="1" s="307">
      <c r="A12" s="613" t="inlineStr">
        <is>
          <t>Management Fee (Y1 only)</t>
        </is>
      </c>
      <c r="B12" s="619" t="n">
        <v>3</v>
      </c>
      <c r="C12" s="614" t="n"/>
    </row>
    <row r="13" ht="15" customHeight="1" s="307">
      <c r="A13" s="613" t="inlineStr">
        <is>
          <t>Partnership Expenses Reserve (15Y)</t>
        </is>
      </c>
      <c r="B13" s="619" t="n">
        <v>5</v>
      </c>
      <c r="C13" s="627" t="inlineStr">
        <is>
          <t>$333K/yr x 15Y for audit/legal/D&amp;O/admin</t>
        </is>
      </c>
    </row>
    <row r="14" ht="15" customHeight="1" s="307">
      <c r="A14" s="613" t="inlineStr">
        <is>
          <t>Broken Deal Cost Reserve</t>
        </is>
      </c>
      <c r="B14" s="619" t="n">
        <v>0.5</v>
      </c>
      <c r="C14" s="627" t="inlineStr">
        <is>
          <t>Buffer for diligence costs on deals that don't close</t>
        </is>
      </c>
    </row>
    <row r="15">
      <c r="A15" s="628" t="inlineStr">
        <is>
          <t>Total Uses</t>
        </is>
      </c>
      <c r="B15" s="629">
        <f>B11+B12+B13+B14</f>
        <v/>
      </c>
      <c r="C15" s="614" t="n"/>
    </row>
    <row r="16" ht="15" customHeight="1" s="307">
      <c r="A16" s="613" t="n"/>
      <c r="B16" s="619" t="n"/>
      <c r="C16" s="614" t="n"/>
    </row>
    <row r="17" ht="15" customHeight="1" s="307">
      <c r="A17" s="626" t="inlineStr">
        <is>
          <t>Cushion (Sources - Uses)</t>
        </is>
      </c>
      <c r="B17" s="630">
        <f>B6-B15</f>
        <v/>
      </c>
      <c r="C17" s="627" t="inlineStr">
        <is>
          <t>TIGHT -- see Note 2-3</t>
        </is>
      </c>
    </row>
    <row r="18" ht="15" customHeight="1" s="307">
      <c r="A18" s="613" t="n"/>
      <c r="B18" s="619" t="n"/>
      <c r="C18" s="614" t="n"/>
    </row>
    <row r="19" ht="15" customHeight="1" s="307">
      <c r="A19" s="613" t="n"/>
      <c r="B19" s="619" t="n"/>
      <c r="C19" s="614" t="n"/>
    </row>
    <row r="20" ht="15" customHeight="1" s="307">
      <c r="A20" s="626" t="inlineStr">
        <is>
          <t>NOTES:</t>
        </is>
      </c>
      <c r="B20" s="614" t="n"/>
      <c r="C20" s="614" t="n"/>
    </row>
    <row r="21">
      <c r="A21" s="615" t="inlineStr">
        <is>
          <t>1. Original showed $158.78M deployed vs $150M raised  --&gt;  $11.78M shortfall.</t>
        </is>
      </c>
      <c r="B21" s="614" t="n"/>
      <c r="C21" s="614" t="n"/>
    </row>
    <row r="22" ht="15" customHeight="1" s="307">
      <c r="A22" s="631" t="inlineStr">
        <is>
          <t>2. Capped per-deal ARR at $24M  --&gt;  net deployed $141.88M.</t>
        </is>
      </c>
      <c r="B22" s="632" t="n"/>
      <c r="C22" s="622" t="n"/>
    </row>
    <row r="23">
      <c r="A23" s="615" t="inlineStr">
        <is>
          <t>3. Added $5M partnership expense reserve + $0.5M broken deal -&gt; Total Uses = $150.38M.</t>
        </is>
      </c>
      <c r="B23" s="614" t="n"/>
      <c r="C23" s="614" t="n"/>
    </row>
    <row r="24" ht="15" customHeight="1" s="307">
      <c r="A24" s="673" t="inlineStr">
        <is>
          <t>4. NEGATIVE CUSHION of $0.4M. Either raise to $151M, cut ARR to $23.85M, or trim reserves.</t>
        </is>
      </c>
      <c r="B24" s="619" t="n"/>
      <c r="C24" s="614" t="n"/>
    </row>
    <row r="25" ht="15" customHeight="1" s="307">
      <c r="A25" s="673" t="inlineStr">
        <is>
          <t>5. This is what "honest" capital sizing looks like. Press deck papered over it.</t>
        </is>
      </c>
      <c r="B25" s="614" t="n"/>
      <c r="C25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I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06" min="1" max="1"/>
    <col width="14" customWidth="1" style="306" min="2" max="7"/>
  </cols>
  <sheetData>
    <row r="1" ht="15.75" customHeight="1" s="307">
      <c r="A1" s="471" t="inlineStr">
        <is>
          <t>QUARTERLY LP DISTRIBUTIONS  |  NO RECYCLING  (LIVE)</t>
        </is>
      </c>
      <c r="B1" s="309" t="n"/>
      <c r="C1" s="309" t="n"/>
      <c r="D1" s="309" t="n"/>
      <c r="E1" s="309" t="n"/>
      <c r="F1" s="309" t="n"/>
      <c r="G1" s="309" t="n"/>
      <c r="H1" s="309" t="n"/>
      <c r="I1" s="728">
        <f>"Active scenario: " &amp; '1. Press Assumptions'!$B$136 &amp; "   (toggle on Tab 1 B136)"</f>
        <v/>
      </c>
    </row>
    <row r="2">
      <c r="A2" s="615" t="inlineStr">
        <is>
          <t>Quarterly distributable from _Engine_NR. LP cash = quarterly waterfall approximation (annual waterfall split pro-rata by quarterly dist).</t>
        </is>
      </c>
    </row>
    <row r="3" ht="15" customHeight="1" s="307">
      <c r="A3" s="388" t="inlineStr">
        <is>
          <t>Quarter</t>
        </is>
      </c>
      <c r="B3" s="388" t="inlineStr">
        <is>
          <t>Distributable</t>
        </is>
      </c>
      <c r="C3" s="388" t="inlineStr">
        <is>
          <t>LP Cash</t>
        </is>
      </c>
      <c r="D3" s="388" t="inlineStr">
        <is>
          <t>GP Carry</t>
        </is>
      </c>
      <c r="E3" s="388" t="inlineStr">
        <is>
          <t>Cum LP</t>
        </is>
      </c>
      <c r="F3" s="388" t="inlineStr">
        <is>
          <t>Cum GP</t>
        </is>
      </c>
    </row>
    <row r="4" ht="15" customHeight="1" s="307">
      <c r="A4" s="498" t="inlineStr">
        <is>
          <t>Y1 Q1</t>
        </is>
      </c>
      <c r="B4" s="476">
        <f>SUM('_Engine_NR'!V31:V33)</f>
        <v/>
      </c>
      <c r="C4" s="476">
        <f>IF('_Engine_NR'!P215=0, 0, '_Engine_NR'!J233*B4/'_Engine_NR'!P215)</f>
        <v/>
      </c>
      <c r="D4" s="476">
        <f>IF('_Engine_NR'!P215=0, 0, '_Engine_NR'!K233*B4/'_Engine_NR'!P215)</f>
        <v/>
      </c>
      <c r="E4" s="476">
        <f>C4</f>
        <v/>
      </c>
      <c r="F4" s="476" t="n">
        <v>0</v>
      </c>
    </row>
    <row r="5" ht="15" customHeight="1" s="307">
      <c r="A5" s="321" t="inlineStr">
        <is>
          <t>Y1 Q2</t>
        </is>
      </c>
      <c r="B5" s="354">
        <f>SUM('_Engine_NR'!V34:V36)</f>
        <v/>
      </c>
      <c r="C5" s="354">
        <f>IF('_Engine_NR'!P215=0, 0, '_Engine_NR'!J233*B5/'_Engine_NR'!P215)</f>
        <v/>
      </c>
      <c r="D5" s="354">
        <f>IF('_Engine_NR'!P215=0, 0, '_Engine_NR'!K233*B5/'_Engine_NR'!P215)</f>
        <v/>
      </c>
      <c r="E5" s="354">
        <f>E4+C5</f>
        <v/>
      </c>
      <c r="F5" s="354" t="n">
        <v>0</v>
      </c>
    </row>
    <row r="6" ht="15" customHeight="1" s="307">
      <c r="A6" s="321" t="inlineStr">
        <is>
          <t>Y1 Q3</t>
        </is>
      </c>
      <c r="B6" s="354">
        <f>SUM('_Engine_NR'!V37:V39)</f>
        <v/>
      </c>
      <c r="C6" s="354">
        <f>IF('_Engine_NR'!P215=0, 0, '_Engine_NR'!J233*B6/'_Engine_NR'!P215)</f>
        <v/>
      </c>
      <c r="D6" s="354">
        <f>IF('_Engine_NR'!P215=0, 0, '_Engine_NR'!K233*B6/'_Engine_NR'!P215)</f>
        <v/>
      </c>
      <c r="E6" s="354">
        <f>E5+C6</f>
        <v/>
      </c>
      <c r="F6" s="354" t="n">
        <v>0</v>
      </c>
    </row>
    <row r="7" ht="15" customHeight="1" s="307">
      <c r="A7" s="321" t="inlineStr">
        <is>
          <t>Y1 Q4</t>
        </is>
      </c>
      <c r="B7" s="354">
        <f>SUM('_Engine_NR'!V40:V42)</f>
        <v/>
      </c>
      <c r="C7" s="354">
        <f>IF('_Engine_NR'!P215=0, 0, '_Engine_NR'!J233*B7/'_Engine_NR'!P215)</f>
        <v/>
      </c>
      <c r="D7" s="354">
        <f>IF('_Engine_NR'!P215=0, 0, '_Engine_NR'!K233*B7/'_Engine_NR'!P215)</f>
        <v/>
      </c>
      <c r="E7" s="354">
        <f>E6+C7</f>
        <v/>
      </c>
      <c r="F7" s="354" t="n">
        <v>0</v>
      </c>
    </row>
    <row r="8" ht="15" customHeight="1" s="307">
      <c r="A8" s="498" t="inlineStr">
        <is>
          <t>Y2 Q1</t>
        </is>
      </c>
      <c r="B8" s="476">
        <f>SUM('_Engine_NR'!V43:V45)</f>
        <v/>
      </c>
      <c r="C8" s="476">
        <f>IF('_Engine_NR'!P216=0, 0, '_Engine_NR'!J234*B8/'_Engine_NR'!P216)</f>
        <v/>
      </c>
      <c r="D8" s="476">
        <f>IF('_Engine_NR'!P216=0, 0, '_Engine_NR'!K234*B8/'_Engine_NR'!P216)</f>
        <v/>
      </c>
      <c r="E8" s="476">
        <f>E7+C8</f>
        <v/>
      </c>
      <c r="F8" s="476" t="n">
        <v>0</v>
      </c>
    </row>
    <row r="9" ht="15" customHeight="1" s="307">
      <c r="A9" s="321" t="inlineStr">
        <is>
          <t>Y2 Q2</t>
        </is>
      </c>
      <c r="B9" s="354">
        <f>SUM('_Engine_NR'!V46:V48)</f>
        <v/>
      </c>
      <c r="C9" s="354">
        <f>IF('_Engine_NR'!P216=0, 0, '_Engine_NR'!J234*B9/'_Engine_NR'!P216)</f>
        <v/>
      </c>
      <c r="D9" s="354">
        <f>IF('_Engine_NR'!P216=0, 0, '_Engine_NR'!K234*B9/'_Engine_NR'!P216)</f>
        <v/>
      </c>
      <c r="E9" s="354">
        <f>E8+C9</f>
        <v/>
      </c>
      <c r="F9" s="354" t="n">
        <v>0</v>
      </c>
    </row>
    <row r="10" ht="15" customHeight="1" s="307">
      <c r="A10" s="321" t="inlineStr">
        <is>
          <t>Y2 Q3</t>
        </is>
      </c>
      <c r="B10" s="354">
        <f>SUM('_Engine_NR'!V49:V51)</f>
        <v/>
      </c>
      <c r="C10" s="354">
        <f>IF('_Engine_NR'!P216=0, 0, '_Engine_NR'!J234*B10/'_Engine_NR'!P216)</f>
        <v/>
      </c>
      <c r="D10" s="354">
        <f>IF('_Engine_NR'!P216=0, 0, '_Engine_NR'!K234*B10/'_Engine_NR'!P216)</f>
        <v/>
      </c>
      <c r="E10" s="354">
        <f>E9+C10</f>
        <v/>
      </c>
      <c r="F10" s="354" t="n">
        <v>0</v>
      </c>
    </row>
    <row r="11" ht="15" customHeight="1" s="307">
      <c r="A11" s="321" t="inlineStr">
        <is>
          <t>Y2 Q4</t>
        </is>
      </c>
      <c r="B11" s="354">
        <f>SUM('_Engine_NR'!V52:V54)</f>
        <v/>
      </c>
      <c r="C11" s="354">
        <f>IF('_Engine_NR'!P216=0, 0, '_Engine_NR'!J234*B11/'_Engine_NR'!P216)</f>
        <v/>
      </c>
      <c r="D11" s="354">
        <f>IF('_Engine_NR'!P216=0, 0, '_Engine_NR'!K234*B11/'_Engine_NR'!P216)</f>
        <v/>
      </c>
      <c r="E11" s="354">
        <f>E10+C11</f>
        <v/>
      </c>
      <c r="F11" s="354" t="n">
        <v>0</v>
      </c>
    </row>
    <row r="12" ht="15" customHeight="1" s="307">
      <c r="A12" s="498" t="inlineStr">
        <is>
          <t>Y3 Q1</t>
        </is>
      </c>
      <c r="B12" s="476">
        <f>SUM('_Engine_NR'!V55:V57)</f>
        <v/>
      </c>
      <c r="C12" s="476">
        <f>IF('_Engine_NR'!P217=0, 0, '_Engine_NR'!J235*B12/'_Engine_NR'!P217)</f>
        <v/>
      </c>
      <c r="D12" s="476">
        <f>IF('_Engine_NR'!P217=0, 0, '_Engine_NR'!K235*B12/'_Engine_NR'!P217)</f>
        <v/>
      </c>
      <c r="E12" s="476">
        <f>E11+C12</f>
        <v/>
      </c>
      <c r="F12" s="476" t="n">
        <v>0</v>
      </c>
    </row>
    <row r="13" ht="15" customHeight="1" s="307">
      <c r="A13" s="321" t="inlineStr">
        <is>
          <t>Y3 Q2</t>
        </is>
      </c>
      <c r="B13" s="354">
        <f>SUM('_Engine_NR'!V58:V60)</f>
        <v/>
      </c>
      <c r="C13" s="354">
        <f>IF('_Engine_NR'!P217=0, 0, '_Engine_NR'!J235*B13/'_Engine_NR'!P217)</f>
        <v/>
      </c>
      <c r="D13" s="354">
        <f>IF('_Engine_NR'!P217=0, 0, '_Engine_NR'!K235*B13/'_Engine_NR'!P217)</f>
        <v/>
      </c>
      <c r="E13" s="354">
        <f>E12+C13</f>
        <v/>
      </c>
      <c r="F13" s="354" t="n">
        <v>0</v>
      </c>
    </row>
    <row r="14" ht="15" customHeight="1" s="307">
      <c r="A14" s="321" t="inlineStr">
        <is>
          <t>Y3 Q3</t>
        </is>
      </c>
      <c r="B14" s="354">
        <f>SUM('_Engine_NR'!V61:V63)</f>
        <v/>
      </c>
      <c r="C14" s="354">
        <f>IF('_Engine_NR'!P217=0, 0, '_Engine_NR'!J235*B14/'_Engine_NR'!P217)</f>
        <v/>
      </c>
      <c r="D14" s="354">
        <f>IF('_Engine_NR'!P217=0, 0, '_Engine_NR'!K235*B14/'_Engine_NR'!P217)</f>
        <v/>
      </c>
      <c r="E14" s="354">
        <f>E13+C14</f>
        <v/>
      </c>
      <c r="F14" s="354" t="n">
        <v>0</v>
      </c>
    </row>
    <row r="15" ht="15" customHeight="1" s="307">
      <c r="A15" s="321" t="inlineStr">
        <is>
          <t>Y3 Q4</t>
        </is>
      </c>
      <c r="B15" s="354">
        <f>SUM('_Engine_NR'!V64:V66)</f>
        <v/>
      </c>
      <c r="C15" s="354">
        <f>IF('_Engine_NR'!P217=0, 0, '_Engine_NR'!J235*B15/'_Engine_NR'!P217)</f>
        <v/>
      </c>
      <c r="D15" s="354">
        <f>IF('_Engine_NR'!P217=0, 0, '_Engine_NR'!K235*B15/'_Engine_NR'!P217)</f>
        <v/>
      </c>
      <c r="E15" s="354">
        <f>E14+C15</f>
        <v/>
      </c>
      <c r="F15" s="354" t="n">
        <v>0</v>
      </c>
    </row>
    <row r="16" ht="15" customHeight="1" s="307">
      <c r="A16" s="498" t="inlineStr">
        <is>
          <t>Y4 Q1</t>
        </is>
      </c>
      <c r="B16" s="476">
        <f>SUM('_Engine_NR'!V67:V69)</f>
        <v/>
      </c>
      <c r="C16" s="476">
        <f>IF('_Engine_NR'!P218=0, 0, '_Engine_NR'!J236*B16/'_Engine_NR'!P218)</f>
        <v/>
      </c>
      <c r="D16" s="476">
        <f>IF('_Engine_NR'!P218=0, 0, '_Engine_NR'!K236*B16/'_Engine_NR'!P218)</f>
        <v/>
      </c>
      <c r="E16" s="476">
        <f>E15+C16</f>
        <v/>
      </c>
      <c r="F16" s="476" t="n">
        <v>0</v>
      </c>
    </row>
    <row r="17" ht="15" customHeight="1" s="307">
      <c r="A17" s="321" t="inlineStr">
        <is>
          <t>Y4 Q2</t>
        </is>
      </c>
      <c r="B17" s="354">
        <f>SUM('_Engine_NR'!V70:V72)</f>
        <v/>
      </c>
      <c r="C17" s="354">
        <f>IF('_Engine_NR'!P218=0, 0, '_Engine_NR'!J236*B17/'_Engine_NR'!P218)</f>
        <v/>
      </c>
      <c r="D17" s="354">
        <f>IF('_Engine_NR'!P218=0, 0, '_Engine_NR'!K236*B17/'_Engine_NR'!P218)</f>
        <v/>
      </c>
      <c r="E17" s="354">
        <f>E16+C17</f>
        <v/>
      </c>
      <c r="F17" s="354" t="n">
        <v>0</v>
      </c>
    </row>
    <row r="18" ht="15" customHeight="1" s="307">
      <c r="A18" s="321" t="inlineStr">
        <is>
          <t>Y4 Q3</t>
        </is>
      </c>
      <c r="B18" s="354">
        <f>SUM('_Engine_NR'!V73:V75)</f>
        <v/>
      </c>
      <c r="C18" s="354">
        <f>IF('_Engine_NR'!P218=0, 0, '_Engine_NR'!J236*B18/'_Engine_NR'!P218)</f>
        <v/>
      </c>
      <c r="D18" s="354">
        <f>IF('_Engine_NR'!P218=0, 0, '_Engine_NR'!K236*B18/'_Engine_NR'!P218)</f>
        <v/>
      </c>
      <c r="E18" s="354">
        <f>E17+C18</f>
        <v/>
      </c>
      <c r="F18" s="354" t="n">
        <v>0</v>
      </c>
    </row>
    <row r="19" ht="15" customHeight="1" s="307">
      <c r="A19" s="321" t="inlineStr">
        <is>
          <t>Y4 Q4</t>
        </is>
      </c>
      <c r="B19" s="354">
        <f>SUM('_Engine_NR'!V76:V78)</f>
        <v/>
      </c>
      <c r="C19" s="354">
        <f>IF('_Engine_NR'!P218=0, 0, '_Engine_NR'!J236*B19/'_Engine_NR'!P218)</f>
        <v/>
      </c>
      <c r="D19" s="354">
        <f>IF('_Engine_NR'!P218=0, 0, '_Engine_NR'!K236*B19/'_Engine_NR'!P218)</f>
        <v/>
      </c>
      <c r="E19" s="354">
        <f>E18+C19</f>
        <v/>
      </c>
      <c r="F19" s="354" t="n">
        <v>2.66216127109653</v>
      </c>
    </row>
    <row r="20" ht="15" customHeight="1" s="307">
      <c r="A20" s="498" t="inlineStr">
        <is>
          <t>Y5 Q1</t>
        </is>
      </c>
      <c r="B20" s="476">
        <f>SUM('_Engine_NR'!V79:V81)</f>
        <v/>
      </c>
      <c r="C20" s="476">
        <f>IF('_Engine_NR'!P219=0, 0, '_Engine_NR'!J237*B20/'_Engine_NR'!P219)</f>
        <v/>
      </c>
      <c r="D20" s="476">
        <f>IF('_Engine_NR'!P219=0, 0, '_Engine_NR'!K237*B20/'_Engine_NR'!P219)</f>
        <v/>
      </c>
      <c r="E20" s="476">
        <f>E19+C20</f>
        <v/>
      </c>
      <c r="F20" s="476" t="n">
        <v>6.12051111534222</v>
      </c>
    </row>
    <row r="21" ht="15" customHeight="1" s="307">
      <c r="A21" s="321" t="inlineStr">
        <is>
          <t>Y5 Q2</t>
        </is>
      </c>
      <c r="B21" s="354">
        <f>SUM('_Engine_NR'!V82:V84)</f>
        <v/>
      </c>
      <c r="C21" s="354">
        <f>IF('_Engine_NR'!P219=0, 0, '_Engine_NR'!J237*B21/'_Engine_NR'!P219)</f>
        <v/>
      </c>
      <c r="D21" s="354">
        <f>IF('_Engine_NR'!P219=0, 0, '_Engine_NR'!K237*B21/'_Engine_NR'!P219)</f>
        <v/>
      </c>
      <c r="E21" s="354">
        <f>E20+C21</f>
        <v/>
      </c>
      <c r="F21" s="354" t="n">
        <v>9.49854143591423</v>
      </c>
    </row>
    <row r="22" ht="15" customHeight="1" s="307">
      <c r="A22" s="321" t="inlineStr">
        <is>
          <t>Y5 Q3</t>
        </is>
      </c>
      <c r="B22" s="354">
        <f>SUM('_Engine_NR'!V85:V87)</f>
        <v/>
      </c>
      <c r="C22" s="354">
        <f>IF('_Engine_NR'!P219=0, 0, '_Engine_NR'!J237*B22/'_Engine_NR'!P219)</f>
        <v/>
      </c>
      <c r="D22" s="354">
        <f>IF('_Engine_NR'!P219=0, 0, '_Engine_NR'!K237*B22/'_Engine_NR'!P219)</f>
        <v/>
      </c>
      <c r="E22" s="354">
        <f>E21+C22</f>
        <v/>
      </c>
      <c r="F22" s="354" t="n">
        <v>12.8002651090692</v>
      </c>
    </row>
    <row r="23" ht="15" customHeight="1" s="307">
      <c r="A23" s="321" t="inlineStr">
        <is>
          <t>Y5 Q4</t>
        </is>
      </c>
      <c r="B23" s="354">
        <f>SUM('_Engine_NR'!V88:V90)</f>
        <v/>
      </c>
      <c r="C23" s="354">
        <f>IF('_Engine_NR'!P219=0, 0, '_Engine_NR'!J237*B23/'_Engine_NR'!P219)</f>
        <v/>
      </c>
      <c r="D23" s="354">
        <f>IF('_Engine_NR'!P219=0, 0, '_Engine_NR'!K237*B23/'_Engine_NR'!P219)</f>
        <v/>
      </c>
      <c r="E23" s="354">
        <f>E22+C23</f>
        <v/>
      </c>
      <c r="F23" s="354" t="n">
        <v>14.4460455664487</v>
      </c>
    </row>
    <row r="24" ht="15" customHeight="1" s="307">
      <c r="A24" s="498" t="inlineStr">
        <is>
          <t>Y6 Q1</t>
        </is>
      </c>
      <c r="B24" s="476">
        <f>SUM('_Engine_NR'!V91:V93)</f>
        <v/>
      </c>
      <c r="C24" s="476">
        <f>IF('_Engine_NR'!P220=0, 0, '_Engine_NR'!J238*B24/'_Engine_NR'!P220)</f>
        <v/>
      </c>
      <c r="D24" s="476">
        <f>IF('_Engine_NR'!P220=0, 0, '_Engine_NR'!K238*B24/'_Engine_NR'!P220)</f>
        <v/>
      </c>
      <c r="E24" s="476">
        <f>E23+C24</f>
        <v/>
      </c>
      <c r="F24" s="476" t="n">
        <v>17.606389132049</v>
      </c>
    </row>
    <row r="25" ht="15" customHeight="1" s="307">
      <c r="A25" s="321" t="inlineStr">
        <is>
          <t>Y6 Q2</t>
        </is>
      </c>
      <c r="B25" s="354">
        <f>SUM('_Engine_NR'!V94:V96)</f>
        <v/>
      </c>
      <c r="C25" s="354">
        <f>IF('_Engine_NR'!P220=0, 0, '_Engine_NR'!J238*B25/'_Engine_NR'!P220)</f>
        <v/>
      </c>
      <c r="D25" s="354">
        <f>IF('_Engine_NR'!P220=0, 0, '_Engine_NR'!K238*B25/'_Engine_NR'!P220)</f>
        <v/>
      </c>
      <c r="E25" s="354">
        <f>E24+C25</f>
        <v/>
      </c>
      <c r="F25" s="354" t="n">
        <v>20.7012822703885</v>
      </c>
    </row>
    <row r="26" ht="15" customHeight="1" s="307">
      <c r="A26" s="321" t="inlineStr">
        <is>
          <t>Y6 Q3</t>
        </is>
      </c>
      <c r="B26" s="354">
        <f>SUM('_Engine_NR'!V97:V99)</f>
        <v/>
      </c>
      <c r="C26" s="354">
        <f>IF('_Engine_NR'!P220=0, 0, '_Engine_NR'!J238*B26/'_Engine_NR'!P220)</f>
        <v/>
      </c>
      <c r="D26" s="354">
        <f>IF('_Engine_NR'!P220=0, 0, '_Engine_NR'!K238*B26/'_Engine_NR'!P220)</f>
        <v/>
      </c>
      <c r="E26" s="354">
        <f>E25+C26</f>
        <v/>
      </c>
      <c r="F26" s="354" t="n">
        <v>23.7339828542564</v>
      </c>
    </row>
    <row r="27" ht="15" customHeight="1" s="307">
      <c r="A27" s="321" t="inlineStr">
        <is>
          <t>Y6 Q4</t>
        </is>
      </c>
      <c r="B27" s="354">
        <f>SUM('_Engine_NR'!V100:V102)</f>
        <v/>
      </c>
      <c r="C27" s="354">
        <f>IF('_Engine_NR'!P220=0, 0, '_Engine_NR'!J238*B27/'_Engine_NR'!P220)</f>
        <v/>
      </c>
      <c r="D27" s="354">
        <f>IF('_Engine_NR'!P220=0, 0, '_Engine_NR'!K238*B27/'_Engine_NR'!P220)</f>
        <v/>
      </c>
      <c r="E27" s="354">
        <f>E26+C27</f>
        <v/>
      </c>
      <c r="F27" s="354" t="n">
        <v>25.355094698877</v>
      </c>
    </row>
    <row r="28" ht="15" customHeight="1" s="307">
      <c r="A28" s="498" t="inlineStr">
        <is>
          <t>Y7 Q1</t>
        </is>
      </c>
      <c r="B28" s="476">
        <f>SUM('_Engine_NR'!V103:V105)</f>
        <v/>
      </c>
      <c r="C28" s="476">
        <f>IF('_Engine_NR'!P221=0, 0, '_Engine_NR'!J239*B28/'_Engine_NR'!P221)</f>
        <v/>
      </c>
      <c r="D28" s="476">
        <f>IF('_Engine_NR'!P221=0, 0, '_Engine_NR'!K239*B28/'_Engine_NR'!P221)</f>
        <v/>
      </c>
      <c r="E28" s="476">
        <f>E27+C28</f>
        <v/>
      </c>
      <c r="F28" s="476" t="n">
        <v>28.2725319380305</v>
      </c>
    </row>
    <row r="29" ht="15" customHeight="1" s="307">
      <c r="A29" s="321" t="inlineStr">
        <is>
          <t>Y7 Q2</t>
        </is>
      </c>
      <c r="B29" s="354">
        <f>SUM('_Engine_NR'!V106:V108)</f>
        <v/>
      </c>
      <c r="C29" s="354">
        <f>IF('_Engine_NR'!P221=0, 0, '_Engine_NR'!J239*B29/'_Engine_NR'!P221)</f>
        <v/>
      </c>
      <c r="D29" s="354">
        <f>IF('_Engine_NR'!P221=0, 0, '_Engine_NR'!K239*B29/'_Engine_NR'!P221)</f>
        <v/>
      </c>
      <c r="E29" s="354">
        <f>E28+C29</f>
        <v/>
      </c>
      <c r="F29" s="354" t="n">
        <v>31.1365932483016</v>
      </c>
    </row>
    <row r="30" ht="15" customHeight="1" s="307">
      <c r="A30" s="321" t="inlineStr">
        <is>
          <t>Y7 Q3</t>
        </is>
      </c>
      <c r="B30" s="354">
        <f>SUM('_Engine_NR'!V109:V111)</f>
        <v/>
      </c>
      <c r="C30" s="354">
        <f>IF('_Engine_NR'!P221=0, 0, '_Engine_NR'!J239*B30/'_Engine_NR'!P221)</f>
        <v/>
      </c>
      <c r="D30" s="354">
        <f>IF('_Engine_NR'!P221=0, 0, '_Engine_NR'!K239*B30/'_Engine_NR'!P221)</f>
        <v/>
      </c>
      <c r="E30" s="354">
        <f>E29+C30</f>
        <v/>
      </c>
      <c r="F30" s="354" t="n">
        <v>33.9499253639382</v>
      </c>
    </row>
    <row r="31" ht="15" customHeight="1" s="307">
      <c r="A31" s="321" t="inlineStr">
        <is>
          <t>Y7 Q4</t>
        </is>
      </c>
      <c r="B31" s="354">
        <f>SUM('_Engine_NR'!V112:V114)</f>
        <v/>
      </c>
      <c r="C31" s="354">
        <f>IF('_Engine_NR'!P221=0, 0, '_Engine_NR'!J239*B31/'_Engine_NR'!P221)</f>
        <v/>
      </c>
      <c r="D31" s="354">
        <f>IF('_Engine_NR'!P221=0, 0, '_Engine_NR'!K239*B31/'_Engine_NR'!P221)</f>
        <v/>
      </c>
      <c r="E31" s="354">
        <f>E30+C31</f>
        <v/>
      </c>
      <c r="F31" s="354" t="n">
        <v>35.5508594465442</v>
      </c>
    </row>
    <row r="32" ht="15" customHeight="1" s="307">
      <c r="A32" s="498" t="inlineStr">
        <is>
          <t>Y8 Q1</t>
        </is>
      </c>
      <c r="B32" s="476">
        <f>SUM('_Engine_NR'!V115:V117)</f>
        <v/>
      </c>
      <c r="C32" s="476">
        <f>IF('_Engine_NR'!P222=0, 0, '_Engine_NR'!J240*B32/'_Engine_NR'!P222)</f>
        <v/>
      </c>
      <c r="D32" s="476">
        <f>IF('_Engine_NR'!P222=0, 0, '_Engine_NR'!K240*B32/'_Engine_NR'!P222)</f>
        <v/>
      </c>
      <c r="E32" s="476">
        <f>E31+C32</f>
        <v/>
      </c>
      <c r="F32" s="476" t="n">
        <v>38.2701455165392</v>
      </c>
    </row>
    <row r="33" ht="15" customHeight="1" s="307">
      <c r="A33" s="321" t="inlineStr">
        <is>
          <t>Y8 Q2</t>
        </is>
      </c>
      <c r="B33" s="354">
        <f>SUM('_Engine_NR'!V118:V120)</f>
        <v/>
      </c>
      <c r="C33" s="354">
        <f>IF('_Engine_NR'!P222=0, 0, '_Engine_NR'!J240*B33/'_Engine_NR'!P222)</f>
        <v/>
      </c>
      <c r="D33" s="354">
        <f>IF('_Engine_NR'!P222=0, 0, '_Engine_NR'!K240*B33/'_Engine_NR'!P222)</f>
        <v/>
      </c>
      <c r="E33" s="354">
        <f>E32+C33</f>
        <v/>
      </c>
      <c r="F33" s="354" t="n">
        <v>40.9458675944157</v>
      </c>
    </row>
    <row r="34" ht="15" customHeight="1" s="307">
      <c r="A34" s="321" t="inlineStr">
        <is>
          <t>Y8 Q3</t>
        </is>
      </c>
      <c r="B34" s="354">
        <f>SUM('_Engine_NR'!V121:V123)</f>
        <v/>
      </c>
      <c r="C34" s="354">
        <f>IF('_Engine_NR'!P222=0, 0, '_Engine_NR'!J240*B34/'_Engine_NR'!P222)</f>
        <v/>
      </c>
      <c r="D34" s="354">
        <f>IF('_Engine_NR'!P222=0, 0, '_Engine_NR'!K240*B34/'_Engine_NR'!P222)</f>
        <v/>
      </c>
      <c r="E34" s="354">
        <f>E33+C34</f>
        <v/>
      </c>
      <c r="F34" s="354" t="n">
        <v>43.580177438186</v>
      </c>
    </row>
    <row r="35" ht="15" customHeight="1" s="307">
      <c r="A35" s="321" t="inlineStr">
        <is>
          <t>Y8 Q4</t>
        </is>
      </c>
      <c r="B35" s="354">
        <f>SUM('_Engine_NR'!V124:V126)</f>
        <v/>
      </c>
      <c r="C35" s="354">
        <f>IF('_Engine_NR'!P222=0, 0, '_Engine_NR'!J240*B35/'_Engine_NR'!P222)</f>
        <v/>
      </c>
      <c r="D35" s="354">
        <f>IF('_Engine_NR'!P222=0, 0, '_Engine_NR'!K240*B35/'_Engine_NR'!P222)</f>
        <v/>
      </c>
      <c r="E35" s="354">
        <f>E34+C35</f>
        <v/>
      </c>
      <c r="F35" s="354" t="n">
        <v>45.1645928701438</v>
      </c>
    </row>
    <row r="36" ht="15" customHeight="1" s="307">
      <c r="A36" s="498" t="inlineStr">
        <is>
          <t>Y9 Q1</t>
        </is>
      </c>
      <c r="B36" s="476">
        <f>SUM('_Engine_NR'!V127:V129)</f>
        <v/>
      </c>
      <c r="C36" s="476">
        <f>IF('_Engine_NR'!P223=0, 0, '_Engine_NR'!J241*B36/'_Engine_NR'!P223)</f>
        <v/>
      </c>
      <c r="D36" s="476">
        <f>IF('_Engine_NR'!P223=0, 0, '_Engine_NR'!K241*B36/'_Engine_NR'!P223)</f>
        <v/>
      </c>
      <c r="E36" s="476">
        <f>E35+C36</f>
        <v/>
      </c>
      <c r="F36" s="476" t="n">
        <v>47.7221058130112</v>
      </c>
    </row>
    <row r="37" ht="15" customHeight="1" s="307">
      <c r="A37" s="321" t="inlineStr">
        <is>
          <t>Y9 Q2</t>
        </is>
      </c>
      <c r="B37" s="354">
        <f>SUM('_Engine_NR'!V130:V132)</f>
        <v/>
      </c>
      <c r="C37" s="354">
        <f>IF('_Engine_NR'!P223=0, 0, '_Engine_NR'!J241*B37/'_Engine_NR'!P223)</f>
        <v/>
      </c>
      <c r="D37" s="354">
        <f>IF('_Engine_NR'!P223=0, 0, '_Engine_NR'!K241*B37/'_Engine_NR'!P223)</f>
        <v/>
      </c>
      <c r="E37" s="354">
        <f>E36+C37</f>
        <v/>
      </c>
      <c r="F37" s="354" t="n">
        <v>50.2440338005231</v>
      </c>
    </row>
    <row r="38" ht="15" customHeight="1" s="307">
      <c r="A38" s="321" t="inlineStr">
        <is>
          <t>Y9 Q3</t>
        </is>
      </c>
      <c r="B38" s="354">
        <f>SUM('_Engine_NR'!V133:V135)</f>
        <v/>
      </c>
      <c r="C38" s="354">
        <f>IF('_Engine_NR'!P223=0, 0, '_Engine_NR'!J241*B38/'_Engine_NR'!P223)</f>
        <v/>
      </c>
      <c r="D38" s="354">
        <f>IF('_Engine_NR'!P223=0, 0, '_Engine_NR'!K241*B38/'_Engine_NR'!P223)</f>
        <v/>
      </c>
      <c r="E38" s="354">
        <f>E37+C38</f>
        <v/>
      </c>
      <c r="F38" s="354" t="n">
        <v>52.7321274541111</v>
      </c>
    </row>
    <row r="39" ht="15" customHeight="1" s="307">
      <c r="A39" s="321" t="inlineStr">
        <is>
          <t>Y9 Q4</t>
        </is>
      </c>
      <c r="B39" s="354">
        <f>SUM('_Engine_NR'!V136:V138)</f>
        <v/>
      </c>
      <c r="C39" s="354">
        <f>IF('_Engine_NR'!P223=0, 0, '_Engine_NR'!J241*B39/'_Engine_NR'!P223)</f>
        <v/>
      </c>
      <c r="D39" s="354">
        <f>IF('_Engine_NR'!P223=0, 0, '_Engine_NR'!K241*B39/'_Engine_NR'!P223)</f>
        <v/>
      </c>
      <c r="E39" s="354">
        <f>E38+C39</f>
        <v/>
      </c>
      <c r="F39" s="354" t="n">
        <v>54.3030079906695</v>
      </c>
    </row>
    <row r="40" ht="15" customHeight="1" s="307">
      <c r="A40" s="498" t="inlineStr">
        <is>
          <t>Y10 Q1</t>
        </is>
      </c>
      <c r="B40" s="476">
        <f>SUM('_Engine_NR'!V139:V141)</f>
        <v/>
      </c>
      <c r="C40" s="476">
        <f>IF('_Engine_NR'!P224=0, 0, '_Engine_NR'!J242*B40/'_Engine_NR'!P224)</f>
        <v/>
      </c>
      <c r="D40" s="476">
        <f>IF('_Engine_NR'!P224=0, 0, '_Engine_NR'!K242*B40/'_Engine_NR'!P224)</f>
        <v/>
      </c>
      <c r="E40" s="476">
        <f>E39+C40</f>
        <v/>
      </c>
      <c r="F40" s="476" t="n">
        <v>56.7283380688041</v>
      </c>
    </row>
    <row r="41" ht="15" customHeight="1" s="307">
      <c r="A41" s="321" t="inlineStr">
        <is>
          <t>Y10 Q2</t>
        </is>
      </c>
      <c r="B41" s="354">
        <f>SUM('_Engine_NR'!V142:V144)</f>
        <v/>
      </c>
      <c r="C41" s="354">
        <f>IF('_Engine_NR'!P224=0, 0, '_Engine_NR'!J242*B41/'_Engine_NR'!P224)</f>
        <v/>
      </c>
      <c r="D41" s="354">
        <f>IF('_Engine_NR'!P224=0, 0, '_Engine_NR'!K242*B41/'_Engine_NR'!P224)</f>
        <v/>
      </c>
      <c r="E41" s="354">
        <f>E40+C41</f>
        <v/>
      </c>
      <c r="F41" s="354" t="n">
        <v>59.1245764852428</v>
      </c>
    </row>
    <row r="42" ht="15" customHeight="1" s="307">
      <c r="A42" s="321" t="inlineStr">
        <is>
          <t>Y10 Q3</t>
        </is>
      </c>
      <c r="B42" s="354">
        <f>SUM('_Engine_NR'!V145:V147)</f>
        <v/>
      </c>
      <c r="C42" s="354">
        <f>IF('_Engine_NR'!P224=0, 0, '_Engine_NR'!J242*B42/'_Engine_NR'!P224)</f>
        <v/>
      </c>
      <c r="D42" s="354">
        <f>IF('_Engine_NR'!P224=0, 0, '_Engine_NR'!K242*B42/'_Engine_NR'!P224)</f>
        <v/>
      </c>
      <c r="E42" s="354">
        <f>E41+C42</f>
        <v/>
      </c>
      <c r="F42" s="354" t="n">
        <v>61.4931485698992</v>
      </c>
    </row>
    <row r="43" ht="15" customHeight="1" s="307">
      <c r="A43" s="321" t="inlineStr">
        <is>
          <t>Y10 Q4</t>
        </is>
      </c>
      <c r="B43" s="354">
        <f>SUM('_Engine_NR'!V148:V150)</f>
        <v/>
      </c>
      <c r="C43" s="354">
        <f>IF('_Engine_NR'!P224=0, 0, '_Engine_NR'!J242*B43/'_Engine_NR'!P224)</f>
        <v/>
      </c>
      <c r="D43" s="354">
        <f>IF('_Engine_NR'!P224=0, 0, '_Engine_NR'!K242*B43/'_Engine_NR'!P224)</f>
        <v/>
      </c>
      <c r="E43" s="354">
        <f>E42+C43</f>
        <v/>
      </c>
      <c r="F43" s="354" t="n">
        <v>63.0529292114891</v>
      </c>
    </row>
    <row r="44" ht="15" customHeight="1" s="307">
      <c r="A44" s="498" t="inlineStr">
        <is>
          <t>Y11 Q1</t>
        </is>
      </c>
      <c r="B44" s="476">
        <f>SUM('_Engine_NR'!V151:V153)</f>
        <v/>
      </c>
      <c r="C44" s="476">
        <f>IF('_Engine_NR'!P225=0, 0, '_Engine_NR'!J243*B44/'_Engine_NR'!P225)</f>
        <v/>
      </c>
      <c r="D44" s="476">
        <f>IF('_Engine_NR'!P225=0, 0, '_Engine_NR'!K243*B44/'_Engine_NR'!P225)</f>
        <v/>
      </c>
      <c r="E44" s="476">
        <f>E43+C44</f>
        <v/>
      </c>
      <c r="F44" s="476" t="n">
        <v>65.3701632892614</v>
      </c>
    </row>
    <row r="45" ht="15" customHeight="1" s="307">
      <c r="A45" s="321" t="inlineStr">
        <is>
          <t>Y11 Q2</t>
        </is>
      </c>
      <c r="B45" s="354">
        <f>SUM('_Engine_NR'!V154:V156)</f>
        <v/>
      </c>
      <c r="C45" s="354">
        <f>IF('_Engine_NR'!P225=0, 0, '_Engine_NR'!J243*B45/'_Engine_NR'!P225)</f>
        <v/>
      </c>
      <c r="D45" s="354">
        <f>IF('_Engine_NR'!P225=0, 0, '_Engine_NR'!K243*B45/'_Engine_NR'!P225)</f>
        <v/>
      </c>
      <c r="E45" s="354">
        <f>E44+C45</f>
        <v/>
      </c>
      <c r="F45" s="354" t="n">
        <v>67.6635938948771</v>
      </c>
    </row>
    <row r="46" ht="15" customHeight="1" s="307">
      <c r="A46" s="321" t="inlineStr">
        <is>
          <t>Y11 Q3</t>
        </is>
      </c>
      <c r="B46" s="354">
        <f>SUM('_Engine_NR'!V157:V159)</f>
        <v/>
      </c>
      <c r="C46" s="354">
        <f>IF('_Engine_NR'!P225=0, 0, '_Engine_NR'!J243*B46/'_Engine_NR'!P225)</f>
        <v/>
      </c>
      <c r="D46" s="354">
        <f>IF('_Engine_NR'!P225=0, 0, '_Engine_NR'!K243*B46/'_Engine_NR'!P225)</f>
        <v/>
      </c>
      <c r="E46" s="354">
        <f>E45+C46</f>
        <v/>
      </c>
      <c r="F46" s="354" t="n">
        <v>69.9343824001203</v>
      </c>
    </row>
    <row r="47" ht="15" customHeight="1" s="307">
      <c r="A47" s="321" t="inlineStr">
        <is>
          <t>Y11 Q4</t>
        </is>
      </c>
      <c r="B47" s="354">
        <f>SUM('_Engine_NR'!V160:V162)</f>
        <v/>
      </c>
      <c r="C47" s="354">
        <f>IF('_Engine_NR'!P225=0, 0, '_Engine_NR'!J243*B47/'_Engine_NR'!P225)</f>
        <v/>
      </c>
      <c r="D47" s="354">
        <f>IF('_Engine_NR'!P225=0, 0, '_Engine_NR'!K243*B47/'_Engine_NR'!P225)</f>
        <v/>
      </c>
      <c r="E47" s="354">
        <f>E46+C47</f>
        <v/>
      </c>
      <c r="F47" s="354" t="n">
        <v>71.4850519438841</v>
      </c>
    </row>
    <row r="48" ht="15" customHeight="1" s="307">
      <c r="A48" s="498" t="inlineStr">
        <is>
          <t>Y12 Q1</t>
        </is>
      </c>
      <c r="B48" s="476">
        <f>SUM('_Engine_NR'!V163:V165)</f>
        <v/>
      </c>
      <c r="C48" s="476">
        <f>IF('_Engine_NR'!P226=0, 0, '_Engine_NR'!J244*B48/'_Engine_NR'!P226)</f>
        <v/>
      </c>
      <c r="D48" s="476">
        <f>IF('_Engine_NR'!P226=0, 0, '_Engine_NR'!K244*B48/'_Engine_NR'!P226)</f>
        <v/>
      </c>
      <c r="E48" s="476">
        <f>E47+C48</f>
        <v/>
      </c>
      <c r="F48" s="476" t="n">
        <v>73.7138119690768</v>
      </c>
    </row>
    <row r="49" ht="15" customHeight="1" s="307">
      <c r="A49" s="321" t="inlineStr">
        <is>
          <t>Y12 Q2</t>
        </is>
      </c>
      <c r="B49" s="354">
        <f>SUM('_Engine_NR'!V166:V168)</f>
        <v/>
      </c>
      <c r="C49" s="354">
        <f>IF('_Engine_NR'!P226=0, 0, '_Engine_NR'!J244*B49/'_Engine_NR'!P226)</f>
        <v/>
      </c>
      <c r="D49" s="354">
        <f>IF('_Engine_NR'!P226=0, 0, '_Engine_NR'!K244*B49/'_Engine_NR'!P226)</f>
        <v/>
      </c>
      <c r="E49" s="354">
        <f>E48+C49</f>
        <v/>
      </c>
      <c r="F49" s="354" t="n">
        <v>75.9230785951643</v>
      </c>
    </row>
    <row r="50" ht="15" customHeight="1" s="307">
      <c r="A50" s="321" t="inlineStr">
        <is>
          <t>Y12 Q3</t>
        </is>
      </c>
      <c r="B50" s="354">
        <f>SUM('_Engine_NR'!V169:V171)</f>
        <v/>
      </c>
      <c r="C50" s="354">
        <f>IF('_Engine_NR'!P226=0, 0, '_Engine_NR'!J244*B50/'_Engine_NR'!P226)</f>
        <v/>
      </c>
      <c r="D50" s="354">
        <f>IF('_Engine_NR'!P226=0, 0, '_Engine_NR'!K244*B50/'_Engine_NR'!P226)</f>
        <v/>
      </c>
      <c r="E50" s="354">
        <f>E49+C50</f>
        <v/>
      </c>
      <c r="F50" s="354" t="n">
        <v>78.11379886124941</v>
      </c>
    </row>
    <row r="51" ht="15" customHeight="1" s="307">
      <c r="A51" s="321" t="inlineStr">
        <is>
          <t>Y12 Q4</t>
        </is>
      </c>
      <c r="B51" s="354">
        <f>SUM('_Engine_NR'!V172:V174)</f>
        <v/>
      </c>
      <c r="C51" s="354">
        <f>IF('_Engine_NR'!P226=0, 0, '_Engine_NR'!J244*B51/'_Engine_NR'!P226)</f>
        <v/>
      </c>
      <c r="D51" s="354">
        <f>IF('_Engine_NR'!P226=0, 0, '_Engine_NR'!K244*B51/'_Engine_NR'!P226)</f>
        <v/>
      </c>
      <c r="E51" s="354">
        <f>E50+C51</f>
        <v/>
      </c>
      <c r="F51" s="354" t="n">
        <v>79.65698302217839</v>
      </c>
    </row>
    <row r="52" ht="15" customHeight="1" s="307">
      <c r="A52" s="498" t="inlineStr">
        <is>
          <t>Y13 Q1</t>
        </is>
      </c>
      <c r="B52" s="476">
        <f>SUM('_Engine_NR'!V175:V177)</f>
        <v/>
      </c>
      <c r="C52" s="476">
        <f>IF('_Engine_NR'!P227=0, 0, '_Engine_NR'!J245*B52/'_Engine_NR'!P227)</f>
        <v/>
      </c>
      <c r="D52" s="476">
        <f>IF('_Engine_NR'!P227=0, 0, '_Engine_NR'!K245*B52/'_Engine_NR'!P227)</f>
        <v/>
      </c>
      <c r="E52" s="476">
        <f>E51+C52</f>
        <v/>
      </c>
      <c r="F52" s="476" t="n">
        <v>81.8132661408612</v>
      </c>
    </row>
    <row r="53" ht="15" customHeight="1" s="307">
      <c r="A53" s="321" t="inlineStr">
        <is>
          <t>Y13 Q2</t>
        </is>
      </c>
      <c r="B53" s="354">
        <f>SUM('_Engine_NR'!V178:V180)</f>
        <v/>
      </c>
      <c r="C53" s="354">
        <f>IF('_Engine_NR'!P227=0, 0, '_Engine_NR'!J245*B53/'_Engine_NR'!P227)</f>
        <v/>
      </c>
      <c r="D53" s="354">
        <f>IF('_Engine_NR'!P227=0, 0, '_Engine_NR'!K245*B53/'_Engine_NR'!P227)</f>
        <v/>
      </c>
      <c r="E53" s="354">
        <f>E52+C53</f>
        <v/>
      </c>
      <c r="F53" s="354" t="n">
        <v>83.953571512087</v>
      </c>
    </row>
    <row r="54" ht="15" customHeight="1" s="307">
      <c r="A54" s="321" t="inlineStr">
        <is>
          <t>Y13 Q3</t>
        </is>
      </c>
      <c r="B54" s="354">
        <f>SUM('_Engine_NR'!V181:V183)</f>
        <v/>
      </c>
      <c r="C54" s="354">
        <f>IF('_Engine_NR'!P227=0, 0, '_Engine_NR'!J245*B54/'_Engine_NR'!P227)</f>
        <v/>
      </c>
      <c r="D54" s="354">
        <f>IF('_Engine_NR'!P227=0, 0, '_Engine_NR'!K245*B54/'_Engine_NR'!P227)</f>
        <v/>
      </c>
      <c r="E54" s="354">
        <f>E53+C54</f>
        <v/>
      </c>
      <c r="F54" s="354" t="n">
        <v>86.0786720175619</v>
      </c>
    </row>
    <row r="55" ht="15" customHeight="1" s="307">
      <c r="A55" s="321" t="inlineStr">
        <is>
          <t>Y13 Q4</t>
        </is>
      </c>
      <c r="B55" s="354">
        <f>SUM('_Engine_NR'!V184:V186)</f>
        <v/>
      </c>
      <c r="C55" s="354">
        <f>IF('_Engine_NR'!P227=0, 0, '_Engine_NR'!J245*B55/'_Engine_NR'!P227)</f>
        <v/>
      </c>
      <c r="D55" s="354">
        <f>IF('_Engine_NR'!P227=0, 0, '_Engine_NR'!K245*B55/'_Engine_NR'!P227)</f>
        <v/>
      </c>
      <c r="E55" s="354">
        <f>E54+C55</f>
        <v/>
      </c>
      <c r="F55" s="354" t="n">
        <v>87.6157008433354</v>
      </c>
    </row>
    <row r="56" ht="15" customHeight="1" s="307">
      <c r="A56" s="498" t="inlineStr">
        <is>
          <t>Y14 Q1</t>
        </is>
      </c>
      <c r="B56" s="476">
        <f>SUM('_Engine_NR'!V187:V189)</f>
        <v/>
      </c>
      <c r="C56" s="476">
        <f>IF('_Engine_NR'!P228=0, 0, '_Engine_NR'!J246*B56/'_Engine_NR'!P228)</f>
        <v/>
      </c>
      <c r="D56" s="476">
        <f>IF('_Engine_NR'!P228=0, 0, '_Engine_NR'!K246*B56/'_Engine_NR'!P228)</f>
        <v/>
      </c>
      <c r="E56" s="476">
        <f>E55+C56</f>
        <v/>
      </c>
      <c r="F56" s="476" t="n">
        <v>89.71255942203111</v>
      </c>
    </row>
    <row r="57" ht="15" customHeight="1" s="307">
      <c r="A57" s="321" t="inlineStr">
        <is>
          <t>Y14 Q2</t>
        </is>
      </c>
      <c r="B57" s="354">
        <f>SUM('_Engine_NR'!V190:V192)</f>
        <v/>
      </c>
      <c r="C57" s="354">
        <f>IF('_Engine_NR'!P228=0, 0, '_Engine_NR'!J246*B57/'_Engine_NR'!P228)</f>
        <v/>
      </c>
      <c r="D57" s="354">
        <f>IF('_Engine_NR'!P228=0, 0, '_Engine_NR'!K246*B57/'_Engine_NR'!P228)</f>
        <v/>
      </c>
      <c r="E57" s="354">
        <f>E56+C57</f>
        <v/>
      </c>
      <c r="F57" s="354" t="n">
        <v>91.79631022881409</v>
      </c>
    </row>
    <row r="58" ht="15" customHeight="1" s="307">
      <c r="A58" s="321" t="inlineStr">
        <is>
          <t>Y14 Q3</t>
        </is>
      </c>
      <c r="B58" s="354">
        <f>SUM('_Engine_NR'!V193:V195)</f>
        <v/>
      </c>
      <c r="C58" s="354">
        <f>IF('_Engine_NR'!P228=0, 0, '_Engine_NR'!J246*B58/'_Engine_NR'!P228)</f>
        <v/>
      </c>
      <c r="D58" s="354">
        <f>IF('_Engine_NR'!P228=0, 0, '_Engine_NR'!K246*B58/'_Engine_NR'!P228)</f>
        <v/>
      </c>
      <c r="E58" s="354">
        <f>E57+C58</f>
        <v/>
      </c>
      <c r="F58" s="354" t="n">
        <v>93.8675845319098</v>
      </c>
    </row>
    <row r="59" ht="15" customHeight="1" s="307">
      <c r="A59" s="321" t="inlineStr">
        <is>
          <t>Y14 Q4</t>
        </is>
      </c>
      <c r="B59" s="354">
        <f>SUM('_Engine_NR'!V196:V198)</f>
        <v/>
      </c>
      <c r="C59" s="354">
        <f>IF('_Engine_NR'!P228=0, 0, '_Engine_NR'!J246*B59/'_Engine_NR'!P228)</f>
        <v/>
      </c>
      <c r="D59" s="354">
        <f>IF('_Engine_NR'!P228=0, 0, '_Engine_NR'!K246*B59/'_Engine_NR'!P228)</f>
        <v/>
      </c>
      <c r="E59" s="354">
        <f>E58+C59</f>
        <v/>
      </c>
      <c r="F59" s="354" t="n">
        <v>95.3995471150044</v>
      </c>
    </row>
    <row r="60" ht="15" customHeight="1" s="307">
      <c r="A60" s="498" t="inlineStr">
        <is>
          <t>Y15 Q1</t>
        </is>
      </c>
      <c r="B60" s="476">
        <f>SUM('_Engine_NR'!V199:V201)</f>
        <v/>
      </c>
      <c r="C60" s="476">
        <f>IF('_Engine_NR'!P229=0, 0, '_Engine_NR'!J247*B60/'_Engine_NR'!P229)</f>
        <v/>
      </c>
      <c r="D60" s="476">
        <f>IF('_Engine_NR'!P229=0, 0, '_Engine_NR'!K247*B60/'_Engine_NR'!P229)</f>
        <v/>
      </c>
      <c r="E60" s="476">
        <f>E59+C60</f>
        <v/>
      </c>
      <c r="F60" s="476" t="n">
        <v>97.4476394991479</v>
      </c>
    </row>
    <row r="61" ht="15" customHeight="1" s="307">
      <c r="A61" s="321" t="inlineStr">
        <is>
          <t>Y15 Q2</t>
        </is>
      </c>
      <c r="B61" s="354">
        <f>SUM('_Engine_NR'!V202:V204)</f>
        <v/>
      </c>
      <c r="C61" s="354">
        <f>IF('_Engine_NR'!P229=0, 0, '_Engine_NR'!J247*B61/'_Engine_NR'!P229)</f>
        <v/>
      </c>
      <c r="D61" s="354">
        <f>IF('_Engine_NR'!P229=0, 0, '_Engine_NR'!K247*B61/'_Engine_NR'!P229)</f>
        <v/>
      </c>
      <c r="E61" s="354">
        <f>E60+C61</f>
        <v/>
      </c>
      <c r="F61" s="354" t="n">
        <v>99.48496892790629</v>
      </c>
    </row>
    <row r="62" ht="15" customHeight="1" s="307">
      <c r="A62" s="321" t="inlineStr">
        <is>
          <t>Y15 Q3</t>
        </is>
      </c>
      <c r="B62" s="354">
        <f>SUM('_Engine_NR'!V205:V207)</f>
        <v/>
      </c>
      <c r="C62" s="354">
        <f>IF('_Engine_NR'!P229=0, 0, '_Engine_NR'!J247*B62/'_Engine_NR'!P229)</f>
        <v/>
      </c>
      <c r="D62" s="354">
        <f>IF('_Engine_NR'!P229=0, 0, '_Engine_NR'!K247*B62/'_Engine_NR'!P229)</f>
        <v/>
      </c>
      <c r="E62" s="354">
        <f>E61+C62</f>
        <v/>
      </c>
      <c r="F62" s="354" t="n">
        <v>101.512051434291</v>
      </c>
    </row>
    <row r="63" ht="15" customHeight="1" s="307">
      <c r="A63" s="321" t="inlineStr">
        <is>
          <t>Y15 Q4</t>
        </is>
      </c>
      <c r="B63" s="354">
        <f>SUM('_Engine_NR'!V208:V210)</f>
        <v/>
      </c>
      <c r="C63" s="354">
        <f>IF('_Engine_NR'!P229=0, 0, '_Engine_NR'!J247*B63/'_Engine_NR'!P229)</f>
        <v/>
      </c>
      <c r="D63" s="354">
        <f>IF('_Engine_NR'!P229=0, 0, '_Engine_NR'!K247*B63/'_Engine_NR'!P229)</f>
        <v/>
      </c>
      <c r="E63" s="354">
        <f>E62+C63</f>
        <v/>
      </c>
      <c r="F63" s="354" t="n">
        <v>103.039840344871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06" min="1" max="1"/>
    <col width="18" customWidth="1" style="306" min="2" max="7"/>
    <col width="18" customWidth="1" style="307" min="3" max="3"/>
    <col width="18" customWidth="1" style="307" min="4" max="4"/>
    <col width="18" customWidth="1" style="307" min="5" max="5"/>
    <col width="18" customWidth="1" style="307" min="6" max="6"/>
    <col width="18" customWidth="1" style="307" min="7" max="7"/>
  </cols>
  <sheetData>
    <row r="1" ht="15.75" customHeight="1" s="307">
      <c r="A1" s="612">
        <f>"PORTFOLIO DASHBOARD  --  LP IC HEADLINE  (Scenario: " &amp; '1. Press Assumptions'!$B$136 &amp; ")"</f>
        <v/>
      </c>
      <c r="B1" s="707" t="n"/>
      <c r="C1" s="707" t="n"/>
      <c r="D1" s="707" t="n"/>
      <c r="E1" s="707" t="n"/>
      <c r="F1" s="707" t="n"/>
      <c r="G1" s="707" t="n"/>
      <c r="H1" s="614" t="n"/>
      <c r="I1" s="728">
        <f>"Active scenario: " &amp; '1. Press Assumptions'!$B$136 &amp; "   (toggle on Tab 1 B136)"</f>
        <v/>
      </c>
    </row>
    <row r="2">
      <c r="A2" s="615" t="inlineStr">
        <is>
          <t>Headline = No Recycle + LP Base scenario (NDR capped 0.95). See Tab 1 B136 to toggle Bull/Base/Bear.</t>
        </is>
      </c>
      <c r="B2" s="614" t="n"/>
      <c r="C2" s="614" t="n"/>
      <c r="D2" s="614" t="n"/>
      <c r="E2" s="614" t="n"/>
      <c r="F2" s="614" t="n"/>
      <c r="G2" s="614" t="n"/>
      <c r="H2" s="614" t="n"/>
      <c r="I2" s="614" t="n"/>
    </row>
    <row r="3" ht="15" customHeight="1" s="307">
      <c r="A3" s="613" t="n"/>
      <c r="B3" s="708" t="n"/>
      <c r="C3" s="708" t="n"/>
      <c r="D3" s="708" t="n"/>
      <c r="E3" s="708" t="n"/>
      <c r="F3" s="708" t="n"/>
      <c r="G3" s="708" t="n"/>
      <c r="H3" s="614" t="n"/>
      <c r="I3" s="614" t="n"/>
    </row>
    <row r="4" ht="15" customHeight="1" s="307">
      <c r="A4" s="616">
        <f>"LP IC BASE CASE  -- Currently showing: " &amp; '1. Press Assumptions'!$B$136 &amp; " scenario"</f>
        <v/>
      </c>
      <c r="B4" s="617" t="n"/>
      <c r="C4" s="617" t="n"/>
      <c r="D4" s="617" t="n"/>
      <c r="E4" s="617" t="n"/>
      <c r="F4" s="617" t="n"/>
      <c r="G4" s="617" t="n"/>
      <c r="H4" s="614" t="n"/>
      <c r="I4" s="614" t="n"/>
    </row>
    <row r="5" ht="15" customHeight="1" s="307">
      <c r="A5" s="613" t="n"/>
      <c r="B5" s="686" t="n"/>
      <c r="C5" s="686" t="n"/>
      <c r="D5" s="686" t="n"/>
      <c r="E5" s="686" t="n"/>
      <c r="F5" s="686" t="n"/>
      <c r="G5" s="686" t="n"/>
      <c r="H5" s="614" t="n"/>
      <c r="I5" s="614" t="n"/>
    </row>
    <row r="6" ht="15" customHeight="1" s="307">
      <c r="A6" s="612" t="inlineStr">
        <is>
          <t>Metric</t>
        </is>
      </c>
      <c r="B6" s="709" t="inlineStr">
        <is>
          <t>Value</t>
        </is>
      </c>
      <c r="C6" s="709" t="inlineStr">
        <is>
          <t>vs Bull (GP claim)</t>
        </is>
      </c>
      <c r="D6" s="619" t="n"/>
      <c r="E6" s="619" t="n"/>
      <c r="F6" s="619" t="n"/>
      <c r="G6" s="619" t="n"/>
      <c r="H6" s="614" t="n"/>
      <c r="I6" s="614" t="n"/>
    </row>
    <row r="7" ht="15" customHeight="1" s="307">
      <c r="A7" s="613" t="inlineStr">
        <is>
          <t>15Y DPI</t>
        </is>
      </c>
      <c r="B7" s="687">
        <f>'_Engine_NR'!$B$252</f>
        <v/>
      </c>
      <c r="C7" s="684">
        <f>"(at " &amp; '1. Press Assumptions'!$B$136 &amp; ")"</f>
        <v/>
      </c>
      <c r="D7" s="684" t="n"/>
      <c r="E7" s="684" t="n"/>
      <c r="F7" s="684" t="n"/>
      <c r="G7" s="619" t="n"/>
      <c r="H7" s="614" t="n"/>
      <c r="I7" s="614" t="n"/>
    </row>
    <row r="8" ht="15" customHeight="1" s="307">
      <c r="A8" s="613" t="inlineStr">
        <is>
          <t>15Y IRR</t>
        </is>
      </c>
      <c r="B8" s="684">
        <f>'_Engine_NR'!$B$276</f>
        <v/>
      </c>
      <c r="C8" s="708" t="n"/>
      <c r="D8" s="708" t="n"/>
      <c r="E8" s="708" t="n"/>
      <c r="F8" s="708" t="n"/>
      <c r="G8" s="614" t="n"/>
      <c r="H8" s="614" t="n"/>
      <c r="I8" s="614" t="n"/>
    </row>
    <row r="9" ht="15" customHeight="1" s="307">
      <c r="A9" s="613" t="inlineStr">
        <is>
          <t>15Y LP Cash ($mm)</t>
        </is>
      </c>
      <c r="B9" s="688">
        <f>'_Engine_NR'!$B$250</f>
        <v/>
      </c>
      <c r="C9" s="708" t="n"/>
      <c r="D9" s="708" t="n"/>
      <c r="E9" s="708" t="n"/>
      <c r="F9" s="708" t="n"/>
      <c r="G9" s="614" t="n"/>
      <c r="H9" s="614" t="n"/>
      <c r="I9" s="614" t="n"/>
    </row>
    <row r="10" ht="15" customHeight="1" s="307">
      <c r="A10" s="613" t="inlineStr">
        <is>
          <t>15Y GP Carry ($mm)</t>
        </is>
      </c>
      <c r="B10" s="688">
        <f>'_Engine_NR'!$B$251</f>
        <v/>
      </c>
      <c r="C10" s="684" t="n"/>
      <c r="D10" s="684" t="n"/>
      <c r="E10" s="684" t="n"/>
      <c r="F10" s="684" t="n"/>
      <c r="G10" s="614" t="n"/>
      <c r="H10" s="614" t="n"/>
      <c r="I10" s="614" t="n"/>
    </row>
    <row r="11" ht="15" customHeight="1" s="307">
      <c r="A11" s="613" t="inlineStr">
        <is>
          <t>10Y DPI</t>
        </is>
      </c>
      <c r="B11" s="687">
        <f>'_Engine_NR'!$B$254</f>
        <v/>
      </c>
      <c r="C11" s="708" t="n"/>
      <c r="D11" s="708" t="n"/>
      <c r="E11" s="708" t="n"/>
      <c r="F11" s="708" t="n"/>
      <c r="G11" s="614" t="n"/>
      <c r="H11" s="614" t="n"/>
      <c r="I11" s="614" t="n"/>
    </row>
    <row r="12">
      <c r="A12" s="614" t="inlineStr">
        <is>
          <t>Capital Deployed ($mm)</t>
        </is>
      </c>
      <c r="B12" s="691">
        <f>5*'1. Press Assumptions'!$D$89*1.24-5*'1. Press Assumptions'!$D$89*0.1154*0.5</f>
        <v/>
      </c>
      <c r="C12" s="614" t="n"/>
      <c r="D12" s="614" t="n"/>
      <c r="E12" s="614" t="n"/>
      <c r="F12" s="614" t="n"/>
      <c r="G12" s="614" t="n"/>
      <c r="H12" s="614" t="n"/>
      <c r="I12" s="614" t="n"/>
    </row>
    <row r="13" ht="15" customHeight="1" s="307">
      <c r="A13" s="613" t="inlineStr">
        <is>
          <t>GP Take % of Fund Cash</t>
        </is>
      </c>
      <c r="B13" s="684">
        <f>'15. Fee Drag'!B22</f>
        <v/>
      </c>
      <c r="C13" s="619" t="n"/>
      <c r="D13" s="619" t="n"/>
      <c r="E13" s="619" t="n"/>
      <c r="F13" s="619" t="n"/>
      <c r="G13" s="619" t="n"/>
      <c r="H13" s="614" t="n"/>
      <c r="I13" s="614" t="n"/>
    </row>
    <row r="14" ht="15" customHeight="1" s="307">
      <c r="A14" s="613" t="n"/>
      <c r="B14" s="619" t="n"/>
      <c r="C14" s="619" t="n"/>
      <c r="D14" s="619" t="n"/>
      <c r="E14" s="619" t="n"/>
      <c r="F14" s="619" t="n"/>
      <c r="G14" s="619" t="n"/>
      <c r="H14" s="614" t="n"/>
      <c r="I14" s="614" t="n"/>
    </row>
    <row r="15" ht="15" customHeight="1" s="307">
      <c r="A15" s="613" t="n"/>
      <c r="B15" s="619" t="n"/>
      <c r="C15" s="619" t="n"/>
      <c r="D15" s="619" t="n"/>
      <c r="E15" s="619" t="n"/>
      <c r="F15" s="619" t="n"/>
      <c r="G15" s="619" t="n"/>
      <c r="H15" s="614" t="n"/>
      <c r="I15" s="614" t="n"/>
    </row>
    <row r="16" ht="15" customHeight="1" s="307">
      <c r="A16" s="616" t="inlineStr">
        <is>
          <t>SCENARIO MATRIX  (Bull/Base/Bear x Recycle)</t>
        </is>
      </c>
      <c r="B16" s="617" t="n"/>
      <c r="C16" s="617" t="n"/>
      <c r="D16" s="617" t="n"/>
      <c r="E16" s="617" t="n"/>
      <c r="F16" s="617" t="n"/>
      <c r="G16" s="617" t="n"/>
      <c r="H16" s="614" t="n"/>
      <c r="I16" s="614" t="n"/>
    </row>
    <row r="17">
      <c r="A17" s="615" t="inlineStr">
        <is>
          <t>NOTE: matrix below shows CURRENT engine output, not all 9 combinations. Toggle Tab 1 B136 to see Base/Bear.</t>
        </is>
      </c>
      <c r="B17" s="614" t="n"/>
      <c r="C17" s="614" t="n"/>
      <c r="D17" s="614" t="n"/>
      <c r="E17" s="614" t="n"/>
      <c r="F17" s="614" t="n"/>
      <c r="G17" s="614" t="n"/>
      <c r="H17" s="614" t="n"/>
      <c r="I17" s="614" t="n"/>
    </row>
    <row r="18">
      <c r="A18" s="614" t="n"/>
      <c r="B18" s="614" t="n"/>
      <c r="C18" s="614" t="n"/>
      <c r="D18" s="614" t="n"/>
      <c r="E18" s="614" t="n"/>
      <c r="F18" s="614" t="n"/>
      <c r="G18" s="614" t="n"/>
      <c r="H18" s="614" t="n"/>
      <c r="I18" s="614" t="n"/>
    </row>
    <row r="19">
      <c r="A19" s="633" t="inlineStr">
        <is>
          <t>Scenario \ Recycle</t>
        </is>
      </c>
      <c r="B19" s="633" t="inlineStr">
        <is>
          <t>No Recycle</t>
        </is>
      </c>
      <c r="C19" s="633" t="inlineStr">
        <is>
          <t>50% Recycle</t>
        </is>
      </c>
      <c r="D19" s="633" t="inlineStr">
        <is>
          <t>100% Recycle</t>
        </is>
      </c>
      <c r="E19" s="614" t="n"/>
      <c r="F19" s="614" t="n"/>
      <c r="G19" s="614" t="n"/>
      <c r="H19" s="614" t="n"/>
      <c r="I19" s="614" t="n"/>
    </row>
    <row r="20">
      <c r="A20" s="614" t="inlineStr">
        <is>
          <t>Current scenario DPI</t>
        </is>
      </c>
      <c r="B20" s="690">
        <f>'_Engine_NR'!B252</f>
        <v/>
      </c>
      <c r="C20" s="690">
        <f>'_Engine_R50'!B252</f>
        <v/>
      </c>
      <c r="D20" s="690">
        <f>'_Engine_R100'!B252</f>
        <v/>
      </c>
      <c r="E20" s="614" t="n"/>
      <c r="F20" s="614" t="n"/>
      <c r="G20" s="614" t="n"/>
      <c r="H20" s="614" t="n"/>
      <c r="I20" s="614" t="n"/>
    </row>
    <row r="21">
      <c r="A21" s="614" t="inlineStr">
        <is>
          <t>Current scenario IRR</t>
        </is>
      </c>
      <c r="B21" s="703">
        <f>'_Engine_NR'!B276</f>
        <v/>
      </c>
      <c r="C21" s="703">
        <f>'_Engine_R50'!B276</f>
        <v/>
      </c>
      <c r="D21" s="703">
        <f>'_Engine_R100'!B276</f>
        <v/>
      </c>
      <c r="E21" s="614" t="n"/>
      <c r="F21" s="614" t="n"/>
      <c r="G21" s="614" t="n"/>
      <c r="H21" s="614" t="n"/>
      <c r="I21" s="614" t="n"/>
    </row>
    <row r="22">
      <c r="A22" s="614" t="inlineStr">
        <is>
          <t>Current scenario LP Cash ($mm)</t>
        </is>
      </c>
      <c r="B22" s="691">
        <f>'_Engine_NR'!B250</f>
        <v/>
      </c>
      <c r="C22" s="691">
        <f>'_Engine_R50'!B250</f>
        <v/>
      </c>
      <c r="D22" s="691">
        <f>'_Engine_R100'!B250</f>
        <v/>
      </c>
      <c r="E22" s="614" t="n"/>
      <c r="F22" s="614" t="n"/>
      <c r="G22" s="614" t="n"/>
      <c r="H22" s="614" t="n"/>
      <c r="I22" s="614" t="n"/>
    </row>
    <row r="23">
      <c r="A23" s="614" t="n"/>
      <c r="B23" s="614" t="n"/>
      <c r="C23" s="614" t="n"/>
      <c r="D23" s="614" t="n"/>
      <c r="E23" s="614" t="n"/>
      <c r="F23" s="614" t="n"/>
      <c r="G23" s="614" t="n"/>
      <c r="H23" s="614" t="n"/>
      <c r="I23" s="614" t="n"/>
    </row>
    <row r="24">
      <c r="A24" s="628" t="inlineStr">
        <is>
          <t>EXPECTED RESULTS BY SCENARIO (current displays the active Tab 1 B136 setting):</t>
        </is>
      </c>
      <c r="B24" s="614" t="n"/>
      <c r="C24" s="614" t="n"/>
      <c r="D24" s="614" t="n"/>
      <c r="E24" s="614" t="n"/>
      <c r="F24" s="614" t="n"/>
      <c r="G24" s="614" t="n"/>
      <c r="H24" s="614" t="n"/>
      <c r="I24" s="614" t="n"/>
    </row>
    <row r="25">
      <c r="A25" s="615" t="inlineStr">
        <is>
          <t>Bear (uniform 0.80 NDR -- downside):     NR=1.63x  R50=2.71x  R100=2.62x</t>
        </is>
      </c>
      <c r="B25" s="614" t="n"/>
      <c r="C25" s="614" t="n"/>
      <c r="D25" s="614" t="n"/>
      <c r="E25" s="614" t="n"/>
      <c r="F25" s="614" t="n"/>
      <c r="G25" s="614" t="n"/>
      <c r="H25" s="614" t="n"/>
      <c r="I25" s="614" t="n"/>
    </row>
    <row r="26">
      <c r="A26" s="615" t="inlineStr">
        <is>
          <t>Base (uniform 0.85 NDR -- LP base case): NR=2.27x  R50=3.89x  R100=3.84x</t>
        </is>
      </c>
      <c r="B26" s="614" t="n"/>
      <c r="C26" s="614" t="n"/>
      <c r="D26" s="614" t="n"/>
      <c r="E26" s="614" t="n"/>
      <c r="F26" s="614" t="n"/>
      <c r="G26" s="614" t="n"/>
      <c r="H26" s="614" t="n"/>
      <c r="I26" s="614" t="n"/>
    </row>
    <row r="27">
      <c r="A27" s="615" t="inlineStr">
        <is>
          <t>Bull (uniform 0.90 NDR -- upside):       NR=3.35x  R50=5.51x  R100=5.59x</t>
        </is>
      </c>
      <c r="B27" s="614" t="n"/>
      <c r="C27" s="614" t="n"/>
      <c r="D27" s="614" t="n"/>
      <c r="E27" s="614" t="n"/>
      <c r="F27" s="614" t="n"/>
      <c r="G27" s="614" t="n"/>
      <c r="H27" s="614" t="n"/>
      <c r="I27" s="614" t="n"/>
    </row>
    <row r="28">
      <c r="A28" s="614" t="n"/>
      <c r="B28" s="614" t="n"/>
      <c r="C28" s="614" t="n"/>
      <c r="D28" s="614" t="n"/>
      <c r="E28" s="614" t="n"/>
      <c r="F28" s="614" t="n"/>
      <c r="G28" s="614" t="n"/>
      <c r="H28" s="614" t="n"/>
      <c r="I28" s="614" t="n"/>
    </row>
    <row r="29">
      <c r="A29" s="642" t="inlineStr">
        <is>
          <t>LP IC RECOMMENDATION  (independent of current Tab 1 B136 setting)</t>
        </is>
      </c>
      <c r="B29" s="618" t="n"/>
      <c r="C29" s="618" t="n"/>
      <c r="D29" s="618" t="n"/>
      <c r="E29" s="618" t="n"/>
      <c r="F29" s="618" t="n"/>
      <c r="G29" s="618" t="n"/>
      <c r="H29" s="614" t="n"/>
      <c r="I29" s="614" t="n"/>
    </row>
    <row r="30">
      <c r="A30" s="628" t="inlineStr">
        <is>
          <t>LP IC underwrites at Base (0.85 NDR), No Recycle  =  expected ~2.27x DPI / ~18% IRR.</t>
        </is>
      </c>
      <c r="B30" s="614" t="n"/>
      <c r="C30" s="614" t="n"/>
      <c r="D30" s="614" t="n"/>
      <c r="E30" s="614" t="n"/>
      <c r="F30" s="614" t="n"/>
      <c r="G30" s="614" t="n"/>
      <c r="H30" s="614" t="n"/>
      <c r="I30" s="614" t="n"/>
    </row>
    <row r="31">
      <c r="A31" s="615" t="inlineStr">
        <is>
          <t>Reasoning: removes 2-zero-decay-winner risk, avoids 72mo LPA dispute, and avoids 3-year zero-distribution debate.</t>
        </is>
      </c>
      <c r="B31" s="614" t="n"/>
      <c r="C31" s="614" t="n"/>
      <c r="D31" s="614" t="n"/>
      <c r="E31" s="614" t="n"/>
      <c r="F31" s="614" t="n"/>
      <c r="G31" s="614" t="n"/>
      <c r="H31" s="614" t="n"/>
      <c r="I31" s="614" t="n"/>
    </row>
    <row r="32">
      <c r="A32" s="615" t="inlineStr">
        <is>
          <t>Upside if Bull case delivers.  LP still clears 2x in Bear case.</t>
        </is>
      </c>
      <c r="B32" s="614" t="n"/>
      <c r="C32" s="614" t="n"/>
      <c r="D32" s="614" t="n"/>
      <c r="E32" s="614" t="n"/>
      <c r="F32" s="614" t="n"/>
      <c r="G32" s="614" t="n"/>
      <c r="H32" s="614" t="n"/>
      <c r="I32" s="614" t="n"/>
    </row>
    <row r="33">
      <c r="A33" s="614" t="n"/>
      <c r="B33" s="614" t="n"/>
      <c r="C33" s="614" t="n"/>
      <c r="D33" s="614" t="n"/>
      <c r="E33" s="614" t="n"/>
      <c r="F33" s="614" t="n"/>
      <c r="G33" s="614" t="n"/>
      <c r="H33" s="614" t="n"/>
      <c r="I33" s="614" t="n"/>
    </row>
    <row r="34">
      <c r="A34" s="614" t="n"/>
      <c r="B34" s="614" t="n"/>
      <c r="C34" s="614" t="n"/>
      <c r="D34" s="614" t="n"/>
      <c r="E34" s="614" t="n"/>
      <c r="F34" s="614" t="n"/>
      <c r="G34" s="614" t="n"/>
      <c r="H34" s="614" t="n"/>
      <c r="I34" s="614" t="n"/>
    </row>
    <row r="35">
      <c r="A35" s="614" t="n"/>
      <c r="B35" s="614" t="n"/>
      <c r="C35" s="614" t="n"/>
      <c r="D35" s="614" t="n"/>
      <c r="E35" s="614" t="n"/>
      <c r="F35" s="614" t="n"/>
      <c r="G35" s="614" t="n"/>
      <c r="H35" s="614" t="n"/>
      <c r="I35" s="614" t="n"/>
    </row>
    <row r="36">
      <c r="A36" s="614" t="n"/>
      <c r="B36" s="614" t="n"/>
      <c r="C36" s="614" t="n"/>
      <c r="D36" s="614" t="n"/>
      <c r="E36" s="614" t="n"/>
      <c r="F36" s="614" t="n"/>
      <c r="G36" s="614" t="n"/>
      <c r="H36" s="614" t="n"/>
      <c r="I36" s="614" t="n"/>
    </row>
    <row r="37">
      <c r="A37" s="614" t="n"/>
      <c r="B37" s="614" t="n"/>
      <c r="C37" s="614" t="n"/>
      <c r="D37" s="614" t="n"/>
      <c r="E37" s="614" t="n"/>
      <c r="F37" s="614" t="n"/>
      <c r="G37" s="614" t="n"/>
      <c r="H37" s="614" t="n"/>
      <c r="I37" s="614" t="n"/>
    </row>
    <row r="38">
      <c r="A38" s="614" t="n"/>
      <c r="B38" s="614" t="n"/>
      <c r="C38" s="614" t="n"/>
      <c r="D38" s="614" t="n"/>
      <c r="E38" s="614" t="n"/>
      <c r="F38" s="614" t="n"/>
      <c r="G38" s="614" t="n"/>
      <c r="H38" s="614" t="n"/>
      <c r="I38" s="614" t="n"/>
    </row>
    <row r="39">
      <c r="A39" s="614" t="n"/>
      <c r="B39" s="614" t="n"/>
      <c r="C39" s="614" t="n"/>
      <c r="D39" s="614" t="n"/>
      <c r="E39" s="614" t="n"/>
      <c r="F39" s="614" t="n"/>
      <c r="G39" s="614" t="n"/>
      <c r="H39" s="614" t="n"/>
      <c r="I39" s="614" t="n"/>
    </row>
    <row r="40">
      <c r="A40" s="614" t="n"/>
      <c r="B40" s="614" t="n"/>
      <c r="C40" s="614" t="n"/>
      <c r="D40" s="614" t="n"/>
      <c r="E40" s="614" t="n"/>
      <c r="F40" s="614" t="n"/>
      <c r="G40" s="614" t="n"/>
      <c r="H40" s="614" t="n"/>
      <c r="I40" s="614" t="n"/>
    </row>
    <row r="41">
      <c r="A41" s="614" t="n"/>
      <c r="B41" s="614" t="n"/>
      <c r="C41" s="614" t="n"/>
      <c r="D41" s="614" t="n"/>
      <c r="E41" s="614" t="n"/>
      <c r="F41" s="614" t="n"/>
      <c r="G41" s="614" t="n"/>
      <c r="H41" s="614" t="n"/>
      <c r="I41" s="614" t="n"/>
    </row>
    <row r="42">
      <c r="A42" s="614" t="n"/>
      <c r="B42" s="614" t="n"/>
      <c r="C42" s="614" t="n"/>
      <c r="D42" s="614" t="n"/>
      <c r="E42" s="614" t="n"/>
      <c r="F42" s="614" t="n"/>
      <c r="G42" s="614" t="n"/>
      <c r="H42" s="614" t="n"/>
      <c r="I42" s="614" t="n"/>
    </row>
    <row r="43">
      <c r="A43" s="614" t="n"/>
      <c r="B43" s="614" t="n"/>
      <c r="C43" s="614" t="n"/>
      <c r="D43" s="614" t="n"/>
      <c r="E43" s="614" t="n"/>
      <c r="F43" s="614" t="n"/>
      <c r="G43" s="614" t="n"/>
      <c r="H43" s="614" t="n"/>
      <c r="I43" s="614" t="n"/>
    </row>
    <row r="44">
      <c r="A44" s="614" t="n"/>
      <c r="B44" s="614" t="n"/>
      <c r="C44" s="614" t="n"/>
      <c r="D44" s="614" t="n"/>
      <c r="E44" s="614" t="n"/>
      <c r="F44" s="614" t="n"/>
      <c r="G44" s="614" t="n"/>
      <c r="H44" s="614" t="n"/>
      <c r="I44" s="614" t="n"/>
    </row>
    <row r="45">
      <c r="A45" s="614" t="n"/>
      <c r="B45" s="614" t="n"/>
      <c r="C45" s="614" t="n"/>
      <c r="D45" s="614" t="n"/>
      <c r="E45" s="614" t="n"/>
      <c r="F45" s="614" t="n"/>
      <c r="G45" s="614" t="n"/>
      <c r="H45" s="614" t="n"/>
      <c r="I45" s="614" t="n"/>
    </row>
    <row r="46">
      <c r="A46" s="614" t="n"/>
      <c r="B46" s="614" t="n"/>
      <c r="C46" s="614" t="n"/>
      <c r="D46" s="614" t="n"/>
      <c r="E46" s="614" t="n"/>
      <c r="F46" s="614" t="n"/>
      <c r="G46" s="614" t="n"/>
      <c r="H46" s="614" t="n"/>
      <c r="I46" s="614" t="n"/>
    </row>
    <row r="47">
      <c r="A47" s="614" t="n"/>
      <c r="B47" s="614" t="n"/>
      <c r="C47" s="614" t="n"/>
      <c r="D47" s="614" t="n"/>
      <c r="E47" s="614" t="n"/>
      <c r="F47" s="614" t="n"/>
      <c r="G47" s="614" t="n"/>
      <c r="H47" s="614" t="n"/>
      <c r="I47" s="614" t="n"/>
    </row>
    <row r="48">
      <c r="A48" s="614" t="n"/>
      <c r="B48" s="614" t="n"/>
      <c r="C48" s="614" t="n"/>
      <c r="D48" s="614" t="n"/>
      <c r="E48" s="614" t="n"/>
      <c r="F48" s="614" t="n"/>
      <c r="G48" s="614" t="n"/>
      <c r="H48" s="614" t="n"/>
      <c r="I48" s="614" t="n"/>
    </row>
    <row r="49">
      <c r="A49" s="614" t="n"/>
      <c r="B49" s="614" t="n"/>
      <c r="C49" s="614" t="n"/>
      <c r="D49" s="614" t="n"/>
      <c r="E49" s="614" t="n"/>
      <c r="F49" s="614" t="n"/>
      <c r="G49" s="614" t="n"/>
      <c r="H49" s="614" t="n"/>
      <c r="I4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06" min="1" max="1"/>
    <col width="16" customWidth="1" style="306" min="2" max="6"/>
    <col width="16" customWidth="1" style="307" min="3" max="3"/>
    <col width="16" customWidth="1" style="307" min="4" max="4"/>
  </cols>
  <sheetData>
    <row r="1" ht="15.75" customHeight="1" s="307">
      <c r="A1" s="612" t="inlineStr">
        <is>
          <t>SCENARIO COMPARISON  --  STANDARD + ESCALATING WATERFALL</t>
        </is>
      </c>
      <c r="B1" s="613" t="n"/>
      <c r="C1" s="613" t="n"/>
      <c r="D1" s="613" t="n"/>
      <c r="E1" s="614" t="n"/>
      <c r="F1" s="614" t="n"/>
      <c r="G1" s="614" t="n"/>
      <c r="I1" s="728">
        <f>"Active scenario: " &amp; '1. Press Assumptions'!$B$136 &amp; "   (toggle on Tab 1 B136)"</f>
        <v/>
      </c>
    </row>
    <row r="2">
      <c r="A2" s="615" t="inlineStr">
        <is>
          <t>Live from engines. Use Tab 6 for the LP-facing summary; this tab adds the escalating delta clearly.</t>
        </is>
      </c>
      <c r="B2" s="614" t="n"/>
      <c r="C2" s="614" t="n"/>
      <c r="D2" s="614" t="n"/>
      <c r="E2" s="614" t="n"/>
      <c r="F2" s="614" t="n"/>
      <c r="G2" s="614" t="n"/>
    </row>
    <row r="3" ht="21.75" customHeight="1" s="307">
      <c r="A3" s="613" t="n"/>
      <c r="B3" s="683" t="n"/>
      <c r="C3" s="683" t="n"/>
      <c r="D3" s="683" t="n"/>
      <c r="E3" s="683" t="n"/>
      <c r="F3" s="683" t="n"/>
      <c r="G3" s="614" t="n"/>
    </row>
    <row r="4" ht="15" customHeight="1" s="307">
      <c r="A4" s="643" t="inlineStr">
        <is>
          <t>Metric</t>
        </is>
      </c>
      <c r="B4" s="658" t="inlineStr">
        <is>
          <t>No Recycle</t>
        </is>
      </c>
      <c r="C4" s="658" t="inlineStr">
        <is>
          <t>50% Recycle
(corrected timing)</t>
        </is>
      </c>
      <c r="D4" s="658" t="inlineStr">
        <is>
          <t>100% Recycle</t>
        </is>
      </c>
      <c r="E4" s="684" t="n"/>
      <c r="F4" s="684" t="n"/>
      <c r="G4" s="614" t="n"/>
    </row>
    <row r="5" ht="15" customHeight="1" s="307">
      <c r="A5" s="616" t="inlineStr">
        <is>
          <t>STANDARD 80/20 FLAT</t>
        </is>
      </c>
      <c r="B5" s="685" t="n"/>
      <c r="C5" s="685" t="n"/>
      <c r="D5" s="685" t="n"/>
      <c r="E5" s="686" t="n"/>
      <c r="F5" s="686" t="n"/>
      <c r="G5" s="614" t="n"/>
    </row>
    <row r="6" ht="15" customHeight="1" s="307">
      <c r="A6" s="613" t="inlineStr">
        <is>
          <t>15Y DPI</t>
        </is>
      </c>
      <c r="B6" s="687">
        <f>'_Engine_NR'!B252</f>
        <v/>
      </c>
      <c r="C6" s="687">
        <f>'_Engine_R50'!B252</f>
        <v/>
      </c>
      <c r="D6" s="687">
        <f>'_Engine_R100'!B252</f>
        <v/>
      </c>
      <c r="E6" s="619" t="n"/>
      <c r="F6" s="619" t="n"/>
      <c r="G6" s="614" t="n"/>
    </row>
    <row r="7" ht="15" customHeight="1" s="307">
      <c r="A7" s="613" t="inlineStr">
        <is>
          <t>15Y LP Cash ($mm)</t>
        </is>
      </c>
      <c r="B7" s="688">
        <f>'_Engine_NR'!B250</f>
        <v/>
      </c>
      <c r="C7" s="688">
        <f>'_Engine_R50'!B250</f>
        <v/>
      </c>
      <c r="D7" s="688">
        <f>'_Engine_R100'!B250</f>
        <v/>
      </c>
      <c r="E7" s="619" t="n"/>
      <c r="F7" s="619" t="n"/>
      <c r="G7" s="614" t="n"/>
    </row>
    <row r="8" ht="15" customHeight="1" s="307">
      <c r="A8" s="613" t="inlineStr">
        <is>
          <t>15Y GP Carry ($mm)</t>
        </is>
      </c>
      <c r="B8" s="688">
        <f>'_Engine_NR'!B251</f>
        <v/>
      </c>
      <c r="C8" s="688">
        <f>'_Engine_R50'!B251</f>
        <v/>
      </c>
      <c r="D8" s="688">
        <f>'_Engine_R100'!B251</f>
        <v/>
      </c>
      <c r="E8" s="689" t="n"/>
      <c r="F8" s="689" t="n"/>
      <c r="G8" s="614" t="n"/>
    </row>
    <row r="9" ht="15" customHeight="1" s="307">
      <c r="A9" s="613" t="inlineStr">
        <is>
          <t>15Y IRR</t>
        </is>
      </c>
      <c r="B9" s="684">
        <f>'_Engine_NR'!B276</f>
        <v/>
      </c>
      <c r="C9" s="684">
        <f>'_Engine_R50'!B276</f>
        <v/>
      </c>
      <c r="D9" s="684">
        <f>'_Engine_R100'!B276</f>
        <v/>
      </c>
      <c r="E9" s="689" t="n"/>
      <c r="F9" s="689" t="n"/>
      <c r="G9" s="614" t="n"/>
    </row>
    <row r="10" ht="15" customHeight="1" s="307">
      <c r="A10" s="613" t="n"/>
      <c r="B10" s="619" t="n"/>
      <c r="C10" s="619" t="n"/>
      <c r="D10" s="619" t="n"/>
      <c r="E10" s="619" t="n"/>
      <c r="F10" s="619" t="n"/>
      <c r="G10" s="614" t="n"/>
    </row>
    <row r="11" ht="15" customHeight="1" s="307">
      <c r="A11" s="616" t="inlineStr">
        <is>
          <t>ESCALATING (per LPA tiers)</t>
        </is>
      </c>
      <c r="B11" s="617" t="n"/>
      <c r="C11" s="617" t="n"/>
      <c r="D11" s="617" t="n"/>
      <c r="E11" s="619" t="n"/>
      <c r="F11" s="619" t="n"/>
      <c r="G11" s="614" t="n"/>
    </row>
    <row r="12">
      <c r="A12" s="614" t="inlineStr">
        <is>
          <t>15Y DPI</t>
        </is>
      </c>
      <c r="B12" s="690">
        <f>'_Engine_NR'!B311</f>
        <v/>
      </c>
      <c r="C12" s="690">
        <f>'_Engine_R50'!B311</f>
        <v/>
      </c>
      <c r="D12" s="690">
        <f>'_Engine_R100'!B311</f>
        <v/>
      </c>
      <c r="E12" s="614" t="n"/>
      <c r="F12" s="614" t="n"/>
      <c r="G12" s="614" t="n"/>
    </row>
    <row r="13">
      <c r="A13" s="614" t="inlineStr">
        <is>
          <t>15Y LP Cash ($mm)</t>
        </is>
      </c>
      <c r="B13" s="691">
        <f>'_Engine_NR'!B309</f>
        <v/>
      </c>
      <c r="C13" s="691">
        <f>'_Engine_R50'!B309</f>
        <v/>
      </c>
      <c r="D13" s="691">
        <f>'_Engine_R100'!B309</f>
        <v/>
      </c>
      <c r="E13" s="614" t="n"/>
      <c r="F13" s="614" t="n"/>
      <c r="G13" s="614" t="n"/>
    </row>
    <row r="14">
      <c r="A14" s="614" t="inlineStr">
        <is>
          <t>15Y GP Carry ($mm)</t>
        </is>
      </c>
      <c r="B14" s="691">
        <f>'_Engine_NR'!B310</f>
        <v/>
      </c>
      <c r="C14" s="691">
        <f>'_Engine_R50'!B310</f>
        <v/>
      </c>
      <c r="D14" s="691">
        <f>'_Engine_R100'!B310</f>
        <v/>
      </c>
      <c r="E14" s="614" t="n"/>
      <c r="F14" s="614" t="n"/>
      <c r="G14" s="614" t="n"/>
    </row>
    <row r="15">
      <c r="A15" s="614" t="n"/>
      <c r="B15" s="614" t="n"/>
      <c r="C15" s="614" t="n"/>
      <c r="D15" s="614" t="n"/>
      <c r="E15" s="614" t="n"/>
      <c r="F15" s="614" t="n"/>
      <c r="G15" s="614" t="n"/>
    </row>
    <row r="16">
      <c r="A16" s="642" t="inlineStr">
        <is>
          <t>DELTA (Escalating - Standard)</t>
        </is>
      </c>
      <c r="B16" s="618" t="n"/>
      <c r="C16" s="618" t="n"/>
      <c r="D16" s="618" t="n"/>
      <c r="E16" s="614" t="n"/>
      <c r="F16" s="614" t="n"/>
      <c r="G16" s="614" t="n"/>
    </row>
    <row r="17">
      <c r="A17" s="614" t="inlineStr">
        <is>
          <t>LP Cash delta ($mm)</t>
        </is>
      </c>
      <c r="B17" s="691">
        <f>'_Engine_NR'!B309-B250</f>
        <v/>
      </c>
      <c r="C17" s="691">
        <f>'_Engine_R50'!B309-B250</f>
        <v/>
      </c>
      <c r="D17" s="691">
        <f>'_Engine_R100'!B309-B250</f>
        <v/>
      </c>
      <c r="E17" s="614" t="n"/>
      <c r="F17" s="614" t="n"/>
      <c r="G17" s="614" t="n"/>
    </row>
    <row r="18">
      <c r="A18" s="614" t="inlineStr">
        <is>
          <t>GP Carry delta ($mm)</t>
        </is>
      </c>
      <c r="B18" s="691">
        <f>'_Engine_NR'!B310-B251</f>
        <v/>
      </c>
      <c r="C18" s="691">
        <f>'_Engine_R50'!B310-B251</f>
        <v/>
      </c>
      <c r="D18" s="691">
        <f>'_Engine_R100'!B310-B251</f>
        <v/>
      </c>
      <c r="E18" s="614" t="n"/>
      <c r="F18" s="614" t="n"/>
      <c r="G18" s="614" t="n"/>
    </row>
    <row r="19">
      <c r="A19" s="614" t="n"/>
      <c r="B19" s="614" t="n"/>
      <c r="C19" s="614" t="n"/>
      <c r="D19" s="614" t="n"/>
      <c r="E19" s="614" t="n"/>
      <c r="F19" s="614" t="n"/>
      <c r="G19" s="614" t="n"/>
    </row>
    <row r="20">
      <c r="A20" s="642" t="inlineStr">
        <is>
          <t>CLAWBACK CHECK (whole-fund)</t>
        </is>
      </c>
      <c r="B20" s="618" t="n"/>
      <c r="C20" s="618" t="n"/>
      <c r="D20" s="618" t="n"/>
      <c r="E20" s="614" t="n"/>
      <c r="F20" s="614" t="n"/>
      <c r="G20" s="614" t="n"/>
    </row>
    <row r="21">
      <c r="A21" s="614" t="inlineStr">
        <is>
          <t>LP entitled ($mm)</t>
        </is>
      </c>
      <c r="B21" s="691">
        <f>'_Engine_NR'!B324</f>
        <v/>
      </c>
      <c r="C21" s="691">
        <f>'_Engine_R50'!B324</f>
        <v/>
      </c>
      <c r="D21" s="691">
        <f>'_Engine_R100'!B324</f>
        <v/>
      </c>
      <c r="E21" s="614" t="n"/>
      <c r="F21" s="614" t="n"/>
      <c r="G21" s="614" t="n"/>
    </row>
    <row r="22">
      <c r="A22" s="614" t="inlineStr">
        <is>
          <t>GP entitled ($mm)</t>
        </is>
      </c>
      <c r="B22" s="691">
        <f>'_Engine_NR'!B325</f>
        <v/>
      </c>
      <c r="C22" s="691">
        <f>'_Engine_R50'!B325</f>
        <v/>
      </c>
      <c r="D22" s="691">
        <f>'_Engine_R100'!B325</f>
        <v/>
      </c>
      <c r="E22" s="614" t="n"/>
      <c r="F22" s="614" t="n"/>
      <c r="G22" s="614" t="n"/>
    </row>
    <row r="23">
      <c r="A23" s="614" t="inlineStr">
        <is>
          <t>GP actual paid ($mm)</t>
        </is>
      </c>
      <c r="B23" s="691">
        <f>'_Engine_NR'!B326</f>
        <v/>
      </c>
      <c r="C23" s="691">
        <f>'_Engine_R50'!B326</f>
        <v/>
      </c>
      <c r="D23" s="691">
        <f>'_Engine_R100'!B326</f>
        <v/>
      </c>
      <c r="E23" s="614" t="n"/>
      <c r="F23" s="614" t="n"/>
      <c r="G23" s="614" t="n"/>
    </row>
    <row r="24">
      <c r="A24" s="614" t="inlineStr">
        <is>
          <t>Clawback ($mm)</t>
        </is>
      </c>
      <c r="B24" s="691">
        <f>'_Engine_NR'!B327</f>
        <v/>
      </c>
      <c r="C24" s="691">
        <f>'_Engine_R50'!B327</f>
        <v/>
      </c>
      <c r="D24" s="691">
        <f>'_Engine_R100'!B327</f>
        <v/>
      </c>
      <c r="E24" s="614" t="n"/>
      <c r="F24" s="614" t="n"/>
      <c r="G24" s="614" t="n"/>
    </row>
    <row r="25">
      <c r="A25" s="614" t="n"/>
      <c r="B25" s="614" t="n"/>
      <c r="C25" s="614" t="n"/>
      <c r="D25" s="614" t="n"/>
      <c r="E25" s="614" t="n"/>
      <c r="F25" s="614" t="n"/>
      <c r="G25" s="614" t="n"/>
    </row>
    <row r="26">
      <c r="A26" s="614" t="n"/>
      <c r="B26" s="614" t="n"/>
      <c r="C26" s="614" t="n"/>
      <c r="D26" s="614" t="n"/>
      <c r="E26" s="614" t="n"/>
      <c r="F26" s="614" t="n"/>
      <c r="G26" s="614" t="n"/>
    </row>
    <row r="27">
      <c r="A27" s="615" t="inlineStr">
        <is>
          <t>Clawback in base case is ~$0 (escalating waterfall ~matches whole-fund). Under STRESS (Tab 13), clawback would activate.</t>
        </is>
      </c>
      <c r="B27" s="614" t="n"/>
      <c r="C27" s="614" t="n"/>
      <c r="D27" s="614" t="n"/>
      <c r="E27" s="614" t="n"/>
      <c r="F27" s="614" t="n"/>
      <c r="G27" s="614" t="n"/>
    </row>
    <row r="28">
      <c r="A28" s="614" t="n"/>
      <c r="B28" s="614" t="n"/>
      <c r="C28" s="614" t="n"/>
      <c r="D28" s="614" t="n"/>
      <c r="E28" s="614" t="n"/>
      <c r="F28" s="614" t="n"/>
      <c r="G28" s="614" t="n"/>
    </row>
    <row r="29">
      <c r="A29" s="614" t="n"/>
      <c r="B29" s="614" t="n"/>
      <c r="C29" s="614" t="n"/>
      <c r="D29" s="614" t="n"/>
      <c r="E29" s="614" t="n"/>
      <c r="F29" s="614" t="n"/>
      <c r="G2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6" min="1" max="1"/>
    <col width="18" customWidth="1" style="306" min="2" max="3"/>
  </cols>
  <sheetData>
    <row r="1" ht="15.75" customHeight="1" s="307">
      <c r="A1" s="471" t="inlineStr">
        <is>
          <t>PRESS OPERATIONS LLC  --  OPERATING BUDGET</t>
        </is>
      </c>
      <c r="B1" s="309" t="n"/>
      <c r="C1" s="309" t="n"/>
    </row>
    <row r="2" ht="15" customHeight="1" s="307">
      <c r="A2" s="751" t="inlineStr">
        <is>
          <t>INPUT — role salary schedule. This loaded total ($7,637K/yr) DRIVES engine team comp (via Tab 26 row 28).</t>
        </is>
      </c>
    </row>
    <row r="4" ht="15" customHeight="1" s="307">
      <c r="A4" s="325" t="inlineStr">
        <is>
          <t>TEAM (20 people at steady state)</t>
        </is>
      </c>
      <c r="B4" s="309" t="n"/>
      <c r="C4" s="309" t="n"/>
    </row>
    <row r="5" ht="15" customHeight="1" s="307">
      <c r="A5" s="388" t="inlineStr">
        <is>
          <t>Role</t>
        </is>
      </c>
      <c r="B5" s="388" t="inlineStr">
        <is>
          <t>Base ($K)</t>
        </is>
      </c>
      <c r="C5" s="388" t="inlineStr">
        <is>
          <t>Loaded ($K)</t>
        </is>
      </c>
    </row>
    <row r="6" ht="15" customHeight="1" s="307">
      <c r="A6" s="321" t="inlineStr">
        <is>
          <t>CEO</t>
        </is>
      </c>
      <c r="B6" s="368" t="n">
        <v>1000</v>
      </c>
      <c r="C6" s="368" t="n">
        <v>1300</v>
      </c>
    </row>
    <row r="7" ht="15" customHeight="1" s="307">
      <c r="A7" s="321" t="inlineStr">
        <is>
          <t>CFO</t>
        </is>
      </c>
      <c r="B7" s="368" t="n">
        <v>500</v>
      </c>
      <c r="C7" s="368" t="n">
        <v>650</v>
      </c>
    </row>
    <row r="8" ht="15" customHeight="1" s="307">
      <c r="A8" s="321" t="inlineStr">
        <is>
          <t>COO</t>
        </is>
      </c>
      <c r="B8" s="368" t="n">
        <v>500</v>
      </c>
      <c r="C8" s="368" t="n">
        <v>650</v>
      </c>
    </row>
    <row r="9" ht="15" customHeight="1" s="307">
      <c r="A9" s="321" t="inlineStr">
        <is>
          <t>CPO</t>
        </is>
      </c>
      <c r="B9" s="368" t="n">
        <v>500</v>
      </c>
      <c r="C9" s="368" t="n">
        <v>650</v>
      </c>
    </row>
    <row r="10" ht="15" customHeight="1" s="307">
      <c r="A10" s="321" t="inlineStr">
        <is>
          <t>CTO</t>
        </is>
      </c>
      <c r="B10" s="368" t="n">
        <v>500</v>
      </c>
      <c r="C10" s="368" t="n">
        <v>650</v>
      </c>
    </row>
    <row r="11" ht="15" customHeight="1" s="307">
      <c r="A11" s="321" t="inlineStr">
        <is>
          <t>CRO</t>
        </is>
      </c>
      <c r="B11" s="368" t="n">
        <v>500</v>
      </c>
      <c r="C11" s="368" t="n">
        <v>650</v>
      </c>
    </row>
    <row r="12" ht="15" customHeight="1" s="307">
      <c r="A12" s="321" t="inlineStr">
        <is>
          <t>Sr Op 1</t>
        </is>
      </c>
      <c r="B12" s="368" t="n">
        <v>250</v>
      </c>
      <c r="C12" s="368" t="n">
        <v>325</v>
      </c>
    </row>
    <row r="13" ht="15" customHeight="1" s="307">
      <c r="A13" s="321" t="inlineStr">
        <is>
          <t>Sr Op 2</t>
        </is>
      </c>
      <c r="B13" s="368" t="n">
        <v>250</v>
      </c>
      <c r="C13" s="368" t="n">
        <v>325</v>
      </c>
    </row>
    <row r="14" ht="15" customHeight="1" s="307">
      <c r="A14" s="321" t="inlineStr">
        <is>
          <t>Sr Op 3</t>
        </is>
      </c>
      <c r="B14" s="368" t="n">
        <v>250</v>
      </c>
      <c r="C14" s="368" t="n">
        <v>325</v>
      </c>
    </row>
    <row r="15" ht="15" customHeight="1" s="307">
      <c r="A15" s="584" t="inlineStr">
        <is>
          <t>Sr Op 4</t>
        </is>
      </c>
      <c r="B15" s="585" t="n">
        <v>250</v>
      </c>
      <c r="C15" s="585" t="n">
        <v>325</v>
      </c>
    </row>
    <row r="16" ht="15" customHeight="1" s="307">
      <c r="A16" s="321" t="inlineStr">
        <is>
          <t>Sr Op 5</t>
        </is>
      </c>
      <c r="B16" s="368" t="n">
        <v>250</v>
      </c>
      <c r="C16" s="368" t="n">
        <v>325</v>
      </c>
    </row>
    <row r="17" ht="15" customHeight="1" s="307">
      <c r="A17" s="321" t="inlineStr">
        <is>
          <t>Jr Op 1</t>
        </is>
      </c>
      <c r="B17" s="368" t="n">
        <v>125</v>
      </c>
      <c r="C17" s="368" t="n">
        <v>162</v>
      </c>
    </row>
    <row r="18" ht="15" customHeight="1" s="307">
      <c r="A18" s="321" t="inlineStr">
        <is>
          <t>Jr Op 2</t>
        </is>
      </c>
      <c r="B18" s="368" t="n">
        <v>125</v>
      </c>
      <c r="C18" s="368" t="n">
        <v>162</v>
      </c>
    </row>
    <row r="19" ht="15" customHeight="1" s="307">
      <c r="A19" s="321" t="inlineStr">
        <is>
          <t>Jr Op 3</t>
        </is>
      </c>
      <c r="B19" s="368" t="n">
        <v>125</v>
      </c>
      <c r="C19" s="368" t="n">
        <v>162</v>
      </c>
    </row>
    <row r="20" ht="15" customHeight="1" s="307">
      <c r="A20" s="321" t="inlineStr">
        <is>
          <t>Jr Op 4</t>
        </is>
      </c>
      <c r="B20" s="368" t="n">
        <v>125</v>
      </c>
      <c r="C20" s="368" t="n">
        <v>162</v>
      </c>
    </row>
    <row r="21" ht="15" customHeight="1" s="307">
      <c r="A21" s="321" t="inlineStr">
        <is>
          <t>Jr Op 5</t>
        </is>
      </c>
      <c r="B21" s="368" t="n">
        <v>125</v>
      </c>
      <c r="C21" s="368" t="n">
        <v>162</v>
      </c>
    </row>
    <row r="22" ht="15" customHeight="1" s="307">
      <c r="A22" s="321" t="inlineStr">
        <is>
          <t>Jr Op 6</t>
        </is>
      </c>
      <c r="B22" s="368" t="n">
        <v>125</v>
      </c>
      <c r="C22" s="368" t="n">
        <v>162</v>
      </c>
    </row>
    <row r="23" ht="15" customHeight="1" s="307">
      <c r="A23" s="321" t="inlineStr">
        <is>
          <t>Jr Op 7</t>
        </is>
      </c>
      <c r="B23" s="368" t="n">
        <v>125</v>
      </c>
      <c r="C23" s="368" t="n">
        <v>162</v>
      </c>
    </row>
    <row r="24" ht="15" customHeight="1" s="307">
      <c r="A24" s="321" t="inlineStr">
        <is>
          <t>Jr Op 8</t>
        </is>
      </c>
      <c r="B24" s="368" t="n">
        <v>125</v>
      </c>
      <c r="C24" s="368" t="n">
        <v>162</v>
      </c>
    </row>
    <row r="25" ht="15" customHeight="1" s="307">
      <c r="A25" s="321" t="inlineStr">
        <is>
          <t>Jr Op 9</t>
        </is>
      </c>
      <c r="B25" s="368" t="n">
        <v>125</v>
      </c>
      <c r="C25" s="368" t="n">
        <v>162</v>
      </c>
    </row>
    <row r="27" ht="15" customHeight="1" s="307">
      <c r="A27" s="460" t="inlineStr">
        <is>
          <t>Total</t>
        </is>
      </c>
      <c r="B27" s="586" t="n">
        <v>5875</v>
      </c>
      <c r="C27" s="586" t="n">
        <v>7637</v>
      </c>
    </row>
    <row r="29">
      <c r="A29" s="615" t="inlineStr">
        <is>
          <t>Total loaded = base x 1.30 (30% fully-weighted overhead).</t>
        </is>
      </c>
    </row>
    <row r="30">
      <c r="A30" s="615" t="inlineStr">
        <is>
          <t>Engine team comp = this total, ramped (Y1 45%, Y2 99%, Y3+ 100%). See Tab 26 row 28.</t>
        </is>
      </c>
    </row>
    <row r="31">
      <c r="A31" s="6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06" min="1" max="1"/>
    <col width="32" customWidth="1" style="306" min="2" max="3"/>
    <col width="35" customWidth="1" style="307" min="3" max="3"/>
    <col width="16" customWidth="1" style="306" min="4" max="4"/>
    <col width="60" customWidth="1" style="307" min="5" max="5"/>
  </cols>
  <sheetData>
    <row r="1" ht="15.75" customHeight="1" s="307">
      <c r="A1" s="612" t="inlineStr">
        <is>
          <t>PRESS VS INDUSTRY BENCHMARKS  --  CORRECTED</t>
        </is>
      </c>
      <c r="B1" s="613" t="n"/>
      <c r="C1" s="613" t="n"/>
      <c r="D1" s="613" t="n"/>
      <c r="E1" s="614" t="n"/>
      <c r="F1" s="614" t="n"/>
      <c r="G1" s="614" t="n"/>
    </row>
    <row r="2" ht="15" customHeight="1" s="307">
      <c r="A2" s="593" t="inlineStr">
        <is>
          <t>Original tab compared apples to oranges (realized Press DPI vs unrealized PE DPI; EBITDA margin vs net income margin).</t>
        </is>
      </c>
      <c r="B2" s="614" t="n"/>
      <c r="C2" s="614" t="n"/>
      <c r="D2" s="614" t="n"/>
      <c r="E2" s="614" t="n"/>
      <c r="F2" s="614" t="n"/>
      <c r="G2" s="614" t="n"/>
    </row>
    <row r="3">
      <c r="A3" s="614" t="n"/>
      <c r="B3" s="614" t="n"/>
      <c r="C3" s="614" t="n"/>
      <c r="D3" s="614" t="n"/>
      <c r="E3" s="614" t="n"/>
      <c r="F3" s="614" t="n"/>
      <c r="G3" s="614" t="n"/>
    </row>
    <row r="4" ht="28" customHeight="1" s="307">
      <c r="A4" s="643" t="inlineStr">
        <is>
          <t>Metric</t>
        </is>
      </c>
      <c r="B4" s="643" t="inlineStr">
        <is>
          <t>Press (projected)</t>
        </is>
      </c>
      <c r="C4" s="643" t="inlineStr">
        <is>
          <t>PE Benchmark</t>
        </is>
      </c>
      <c r="D4" s="643" t="inlineStr">
        <is>
          <t>Apples-to-apples?</t>
        </is>
      </c>
      <c r="E4" s="643" t="inlineStr">
        <is>
          <t>Notes</t>
        </is>
      </c>
      <c r="F4" s="614" t="n"/>
      <c r="G4" s="614" t="n"/>
    </row>
    <row r="5" ht="90" customHeight="1" s="307">
      <c r="A5" s="635" t="inlineStr">
        <is>
          <t>Net IRR (15Y, projected)</t>
        </is>
      </c>
      <c r="B5" s="681">
        <f>"NR " &amp; TEXT('_Engine_NR'!$B$276,"0%") &amp; " / R50 " &amp; TEXT('_Engine_R50'!$B$276,"0%") &amp; " / R100 " &amp; TEXT('_Engine_R100'!$B$276,"0%") &amp; "  (" &amp; '1. Press Assumptions'!$B$136 &amp; " case)"</f>
        <v/>
      </c>
      <c r="C5" s="681" t="inlineStr">
        <is>
          <t>Net IRR median 15Y vintage PE: ~12-14%; top quartile ~18-22%</t>
        </is>
      </c>
      <c r="D5" s="639" t="inlineStr">
        <is>
          <t>PARTIAL</t>
        </is>
      </c>
      <c r="E5" s="638" t="inlineStr">
        <is>
          <t>Press IRR is projected (no realizations yet). PE benchmark is realized. Comparing projected to realized is a category error -- the 'gap' may close as Press realizes.</t>
        </is>
      </c>
      <c r="F5" s="614" t="n"/>
      <c r="G5" s="614" t="n"/>
    </row>
    <row r="6" ht="90" customHeight="1" s="307">
      <c r="A6" s="635" t="inlineStr">
        <is>
          <t>DPI at fully-harvested Y15</t>
        </is>
      </c>
      <c r="B6" s="681">
        <f>"NR " &amp; TEXT('_Engine_NR'!$B$252,"0.00") &amp; "x / R50 " &amp; TEXT('_Engine_R50'!$B$252,"0.00") &amp; "x / R100 " &amp; TEXT('_Engine_R100'!$B$252,"0.00") &amp; "x  (" &amp; '1. Press Assumptions'!$B$136 &amp; " case)"</f>
        <v/>
      </c>
      <c r="C6" s="681" t="inlineStr">
        <is>
          <t>DPI median 15Y vintage PE: ~1.8-2.2x; top quartile ~2.8-3.5x</t>
        </is>
      </c>
      <c r="D6" s="637" t="inlineStr">
        <is>
          <t>YES</t>
        </is>
      </c>
      <c r="E6" s="638" t="inlineStr">
        <is>
          <t>This is the fair comparison. Press still looks strong if it hits projections. Original tab compared Press 10Y projected DPI to PE 10Y realized DPI -- which captured PE before exits, hence the 0.3x figure.</t>
        </is>
      </c>
      <c r="F6" s="614" t="n"/>
      <c r="G6" s="614" t="n"/>
    </row>
    <row r="7" ht="90" customHeight="1" s="307">
      <c r="A7" s="635" t="inlineStr">
        <is>
          <t>DPI at 10Y</t>
        </is>
      </c>
      <c r="B7" s="681">
        <f>"NR " &amp; TEXT('_Engine_NR'!$B$254,"0.00") &amp; "x / R50 " &amp; TEXT('_Engine_R50'!$B$254,"0.00") &amp; "x / R100 " &amp; TEXT('_Engine_R100'!$B$254,"0.00") &amp; "x  (" &amp; '1. Press Assumptions'!$B$136 &amp; " case)"</f>
        <v/>
      </c>
      <c r="C7" s="681" t="inlineStr">
        <is>
          <t>PE median 10Y DPI: ~1.0-1.5x (most funds still holding)</t>
        </is>
      </c>
      <c r="D7" s="640" t="inlineStr">
        <is>
          <t>NO</t>
        </is>
      </c>
      <c r="E7" s="638" t="inlineStr">
        <is>
          <t>PE funds typically hold assets at Y10. Press is projecting full realization by Y10 -- if true, the 3.25x is high but apples to PE-at-exit, not PE-at-10Y.</t>
        </is>
      </c>
      <c r="F7" s="614" t="n"/>
      <c r="G7" s="614" t="n"/>
    </row>
    <row r="8" ht="90" customHeight="1" s="307">
      <c r="A8" s="635" t="inlineStr">
        <is>
          <t>Use of leverage</t>
        </is>
      </c>
      <c r="B8" s="681" t="inlineStr">
        <is>
          <t>Zero</t>
        </is>
      </c>
      <c r="C8" s="681" t="inlineStr">
        <is>
          <t>3-5x debt/EBITDA at OpCo (private credit) or 4-6x at fund (PE)</t>
        </is>
      </c>
      <c r="D8" s="637" t="inlineStr">
        <is>
          <t>YES</t>
        </is>
      </c>
      <c r="E8" s="638" t="inlineStr">
        <is>
          <t>Real structural difference. Press equity-only is safer but generates lower IRR for any given EBITDA. Press IRR matched to PE while unlevered is genuinely better risk-adjusted.</t>
        </is>
      </c>
      <c r="F8" s="614" t="n"/>
      <c r="G8" s="614" t="n"/>
    </row>
    <row r="9" ht="90" customHeight="1" s="307">
      <c r="A9" s="635" t="inlineStr">
        <is>
          <t>Distribution cadence</t>
        </is>
      </c>
      <c r="B9" s="681" t="inlineStr">
        <is>
          <t>Quarterly (operating cash)</t>
        </is>
      </c>
      <c r="C9" s="681" t="inlineStr">
        <is>
          <t>PE: at exit only (5-10Y delayed)</t>
        </is>
      </c>
      <c r="D9" s="637" t="inlineStr">
        <is>
          <t>YES</t>
        </is>
      </c>
      <c r="E9" s="638" t="inlineStr">
        <is>
          <t>Press is more like an income-and-exit hybrid; PE is pure exit. Tax treatment differs (Press = mostly ordinary; PE = mostly LTCG).</t>
        </is>
      </c>
      <c r="F9" s="614" t="n"/>
      <c r="G9" s="614" t="n"/>
    </row>
    <row r="10" ht="90" customHeight="1" s="307">
      <c r="A10" s="635" t="inlineStr">
        <is>
          <t>Management fee</t>
        </is>
      </c>
      <c r="B10" s="681" t="inlineStr">
        <is>
          <t>2% Y1 only, then 0%</t>
        </is>
      </c>
      <c r="C10" s="681" t="inlineStr">
        <is>
          <t>PE: 2% during investment, 1% during harvest; total ~$25-30M on a $150M fund over 10Y</t>
        </is>
      </c>
      <c r="D10" s="637" t="inlineStr">
        <is>
          <t>YES</t>
        </is>
      </c>
      <c r="E10" s="638" t="inlineStr">
        <is>
          <t>Press fee structure is genuinely LP-favorable on FEE LINE. Trade-off: hidden GP economics via team comp + bonus pool (see Tab 15) more than offset the fee savings.</t>
        </is>
      </c>
      <c r="F10" s="614" t="n"/>
      <c r="G10" s="614" t="n"/>
    </row>
    <row r="11" ht="90" customHeight="1" s="307">
      <c r="A11" s="635" t="inlineStr">
        <is>
          <t>Carry structure</t>
        </is>
      </c>
      <c r="B11" s="681" t="inlineStr">
        <is>
          <t>1x RoC + 10% pref, then 80/20 -&gt; 75/25 (&gt;2x) -&gt; 70/30 (&gt;3x)</t>
        </is>
      </c>
      <c r="C11" s="681" t="inlineStr">
        <is>
          <t>PE typical: 1x RoC + 8% pref, then 80/20 with catch-up</t>
        </is>
      </c>
      <c r="D11" s="637" t="inlineStr">
        <is>
          <t>YES</t>
        </is>
      </c>
      <c r="E11" s="638" t="inlineStr">
        <is>
          <t>Press pref is HIGHER than typical (10% vs 8%) -- LP-favorable on hurdle. But escalating splits at &gt;2x/&gt;3x are LP-UNfavorable at high returns. See Tab 6 escalating row -- GP captures $30-88M more than 80/20 flat.</t>
        </is>
      </c>
      <c r="F11" s="614" t="n"/>
      <c r="G11" s="614" t="n"/>
    </row>
    <row r="12" ht="90" customHeight="1" s="307">
      <c r="A12" s="635" t="inlineStr">
        <is>
          <t>OpCo EBITDA margin</t>
        </is>
      </c>
      <c r="B12" s="681" t="inlineStr">
        <is>
          <t>62.5% (post-cost-cut)</t>
        </is>
      </c>
      <c r="C12" s="681" t="inlineStr">
        <is>
          <t>PE-owned SaaS: 25-40% EBITDA margin typical</t>
        </is>
      </c>
      <c r="D12" s="639" t="inlineStr">
        <is>
          <t>PARTIAL</t>
        </is>
      </c>
      <c r="E12" s="638" t="inlineStr">
        <is>
          <t>Press's 62.5% is the BONUS THRESHOLD, not an underwriting margin. Real underwriting margin depends on integration discipline. Original tab compared 62.5% to Constellation's 7% NET INCOME margin -- different metric entirely.</t>
        </is>
      </c>
      <c r="F12" s="614" t="n"/>
      <c r="G12" s="614" t="n"/>
    </row>
    <row r="13" ht="90" customHeight="1" s="307">
      <c r="A13" s="635" t="inlineStr">
        <is>
          <t>Investment period</t>
        </is>
      </c>
      <c r="B13" s="681" t="inlineStr">
        <is>
          <t>3 years (months 4-36 for original deals)</t>
        </is>
      </c>
      <c r="C13" s="681" t="inlineStr">
        <is>
          <t>PE: 5 years typical</t>
        </is>
      </c>
      <c r="D13" s="637" t="inlineStr">
        <is>
          <t>YES</t>
        </is>
      </c>
      <c r="E13" s="638" t="inlineStr">
        <is>
          <t>Press deploys FAST. Concentration risk: 5 deals in 32 months means limited time to learn from early deals.</t>
        </is>
      </c>
      <c r="F13" s="614" t="n"/>
      <c r="G13" s="614" t="n"/>
    </row>
    <row r="14" ht="90" customHeight="1" s="307">
      <c r="A14" s="635" t="inlineStr">
        <is>
          <t>Recycling</t>
        </is>
      </c>
      <c r="B14" s="681" t="inlineStr">
        <is>
          <t>Optional 0% / 50% / 100% of distributable in M1-36</t>
        </is>
      </c>
      <c r="C14" s="681" t="inlineStr">
        <is>
          <t>PE: typical 110-125% of fund size deployed via recycling</t>
        </is>
      </c>
      <c r="D14" s="637" t="inlineStr">
        <is>
          <t>YES</t>
        </is>
      </c>
      <c r="E14" s="638" t="inlineStr">
        <is>
          <t>Press recycling at 50%/100% deploys $227M/$255M on a $150M fund. Aggressive vs PE norm.</t>
        </is>
      </c>
      <c r="F14" s="614" t="n"/>
      <c r="G14" s="614" t="n"/>
    </row>
    <row r="15">
      <c r="A15" s="614" t="n"/>
      <c r="B15" s="614" t="n"/>
      <c r="C15" s="614" t="n"/>
      <c r="D15" s="614" t="n"/>
      <c r="E15" s="614" t="n"/>
      <c r="F15" s="614" t="n"/>
      <c r="G15" s="614" t="n"/>
    </row>
    <row r="16" ht="15" customHeight="1" s="307">
      <c r="A16" s="593" t="inlineStr">
        <is>
          <t>SOURCES: Cambridge Associates PE Index (Q3 2024), Burgiss PE Universe, McKinsey Global PE Report.</t>
        </is>
      </c>
      <c r="B16" s="614" t="n"/>
      <c r="C16" s="614" t="n"/>
      <c r="D16" s="614" t="n"/>
      <c r="E16" s="614" t="n"/>
      <c r="F16" s="614" t="n"/>
      <c r="G16" s="614" t="n"/>
    </row>
    <row r="17">
      <c r="A17" s="615" t="inlineStr">
        <is>
          <t>CAVEAT: All "benchmarks" use median/quartile data which are themselves estimates. PE benchmarks are net-of-fee net-of-carry.</t>
        </is>
      </c>
      <c r="B17" s="614" t="n"/>
      <c r="C17" s="614" t="n"/>
      <c r="D17" s="614" t="n"/>
      <c r="E17" s="614" t="n"/>
      <c r="F17" s="614" t="n"/>
      <c r="G17" s="614" t="n"/>
    </row>
    <row r="18">
      <c r="A18" s="614" t="n"/>
      <c r="B18" s="614" t="n"/>
      <c r="C18" s="614" t="n"/>
      <c r="D18" s="614" t="n"/>
      <c r="E18" s="614" t="n"/>
      <c r="F18" s="614" t="n"/>
      <c r="G18" s="614" t="n"/>
    </row>
    <row r="19">
      <c r="A19" s="614" t="n"/>
      <c r="B19" s="614" t="n"/>
      <c r="C19" s="614" t="n"/>
      <c r="D19" s="614" t="n"/>
      <c r="E19" s="614" t="n"/>
      <c r="F19" s="614" t="n"/>
      <c r="G19" s="614" t="n"/>
    </row>
    <row r="20">
      <c r="A20" s="614" t="n"/>
      <c r="B20" s="614" t="n"/>
      <c r="C20" s="614" t="n"/>
      <c r="D20" s="614" t="n"/>
      <c r="E20" s="614" t="n"/>
      <c r="F20" s="614" t="n"/>
      <c r="G20" s="614" t="n"/>
    </row>
    <row r="21">
      <c r="A21" s="614" t="n"/>
      <c r="B21" s="614" t="n"/>
      <c r="C21" s="614" t="n"/>
      <c r="D21" s="614" t="n"/>
      <c r="E21" s="614" t="n"/>
      <c r="F21" s="614" t="n"/>
      <c r="G21" s="614" t="n"/>
    </row>
    <row r="22">
      <c r="A22" s="614" t="n"/>
      <c r="B22" s="614" t="n"/>
      <c r="C22" s="614" t="n"/>
      <c r="D22" s="614" t="n"/>
      <c r="E22" s="614" t="n"/>
      <c r="F22" s="614" t="n"/>
      <c r="G22" s="614" t="n"/>
    </row>
    <row r="23">
      <c r="A23" s="614" t="n"/>
      <c r="B23" s="614" t="n"/>
      <c r="C23" s="614" t="n"/>
      <c r="D23" s="614" t="n"/>
      <c r="E23" s="614" t="n"/>
      <c r="F23" s="614" t="n"/>
      <c r="G23" s="614" t="n"/>
    </row>
    <row r="24">
      <c r="A24" s="614" t="n"/>
      <c r="B24" s="614" t="n"/>
      <c r="C24" s="614" t="n"/>
      <c r="D24" s="614" t="n"/>
      <c r="E24" s="614" t="n"/>
      <c r="F24" s="614" t="n"/>
      <c r="G24" s="614" t="n"/>
    </row>
    <row r="25">
      <c r="A25" s="614" t="n"/>
      <c r="B25" s="614" t="n"/>
      <c r="C25" s="614" t="n"/>
      <c r="D25" s="614" t="n"/>
      <c r="E25" s="614" t="n"/>
      <c r="F25" s="614" t="n"/>
      <c r="G25" s="614" t="n"/>
    </row>
    <row r="26">
      <c r="A26" s="614" t="n"/>
      <c r="B26" s="614" t="n"/>
      <c r="C26" s="614" t="n"/>
      <c r="D26" s="614" t="n"/>
      <c r="E26" s="614" t="n"/>
      <c r="F26" s="614" t="n"/>
      <c r="G26" s="614" t="n"/>
    </row>
    <row r="27">
      <c r="A27" s="614" t="n"/>
      <c r="B27" s="614" t="n"/>
      <c r="C27" s="614" t="n"/>
      <c r="D27" s="614" t="n"/>
      <c r="E27" s="614" t="n"/>
      <c r="F27" s="614" t="n"/>
      <c r="G27" s="614" t="n"/>
    </row>
    <row r="28">
      <c r="A28" s="614" t="n"/>
      <c r="B28" s="614" t="n"/>
      <c r="C28" s="614" t="n"/>
      <c r="D28" s="614" t="n"/>
      <c r="E28" s="614" t="n"/>
      <c r="F28" s="614" t="n"/>
      <c r="G28" s="614" t="n"/>
    </row>
    <row r="29">
      <c r="A29" s="614" t="n"/>
      <c r="B29" s="614" t="n"/>
      <c r="C29" s="614" t="n"/>
      <c r="D29" s="614" t="n"/>
      <c r="E29" s="614" t="n"/>
      <c r="F29" s="614" t="n"/>
      <c r="G29" s="6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A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6" min="1" max="1"/>
    <col width="12" customWidth="1" style="306" min="2" max="39"/>
  </cols>
  <sheetData>
    <row r="1" ht="15.75" customHeight="1" s="307">
      <c r="A1" s="471" t="inlineStr">
        <is>
          <t>RECYCLING WATERFALL  --  100% RETENTION x 36mo  (LIVE from _Engine_R100)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</row>
    <row r="2" ht="15" customHeight="1" s="307">
      <c r="A2" s="323" t="inlineStr">
        <is>
          <t>Retained cash and recycled deployment are live. Recycled deals close M24/28/32/36.</t>
        </is>
      </c>
    </row>
    <row r="4" ht="15" customHeight="1" s="307">
      <c r="A4" s="472" t="inlineStr">
        <is>
          <t>($mm)</t>
        </is>
      </c>
      <c r="B4" s="388" t="inlineStr">
        <is>
          <t>Y1Q1</t>
        </is>
      </c>
      <c r="C4" s="388" t="inlineStr">
        <is>
          <t>Y1Q2</t>
        </is>
      </c>
      <c r="D4" s="388" t="inlineStr">
        <is>
          <t>Y1Q3</t>
        </is>
      </c>
      <c r="E4" s="388" t="inlineStr">
        <is>
          <t>Y1Q4</t>
        </is>
      </c>
      <c r="F4" s="388" t="inlineStr">
        <is>
          <t>Y2Q1</t>
        </is>
      </c>
      <c r="G4" s="388" t="inlineStr">
        <is>
          <t>Y2Q2</t>
        </is>
      </c>
      <c r="H4" s="388" t="inlineStr">
        <is>
          <t>Y2Q3</t>
        </is>
      </c>
      <c r="I4" s="388" t="inlineStr">
        <is>
          <t>Y2Q4</t>
        </is>
      </c>
      <c r="J4" s="388" t="inlineStr">
        <is>
          <t>Y3Q1</t>
        </is>
      </c>
      <c r="K4" s="388" t="inlineStr">
        <is>
          <t>Y3Q2</t>
        </is>
      </c>
      <c r="L4" s="388" t="inlineStr">
        <is>
          <t>Y3Q3</t>
        </is>
      </c>
      <c r="M4" s="388" t="inlineStr">
        <is>
          <t>Y3Q4</t>
        </is>
      </c>
      <c r="N4" s="387" t="n"/>
      <c r="O4" s="387" t="n"/>
      <c r="P4" s="387" t="n"/>
      <c r="Q4" s="387" t="n"/>
      <c r="R4" s="387" t="n"/>
      <c r="S4" s="387" t="n"/>
      <c r="T4" s="387" t="n"/>
      <c r="U4" s="387" t="n"/>
      <c r="V4" s="387" t="n"/>
      <c r="W4" s="387" t="n"/>
      <c r="X4" s="387" t="n"/>
      <c r="Y4" s="387" t="n"/>
      <c r="Z4" s="387" t="n"/>
      <c r="AA4" s="387" t="n"/>
      <c r="AB4" s="387" t="n"/>
      <c r="AC4" s="387" t="n"/>
      <c r="AD4" s="387" t="n"/>
      <c r="AE4" s="387" t="n"/>
      <c r="AF4" s="387" t="n"/>
      <c r="AG4" s="387" t="n"/>
      <c r="AH4" s="387" t="n"/>
      <c r="AI4" s="387" t="n"/>
      <c r="AJ4" s="387" t="n"/>
      <c r="AK4" s="387" t="n"/>
      <c r="AL4" s="387" t="n"/>
    </row>
    <row r="5" ht="15" customHeight="1" s="307">
      <c r="A5" s="322" t="inlineStr">
        <is>
          <t>Retained Cash</t>
        </is>
      </c>
      <c r="B5" s="354">
        <f>SUM('_Engine_R100'!Y31:Y33)</f>
        <v/>
      </c>
      <c r="C5" s="354">
        <f>SUM('_Engine_R100'!Y34:Y36)</f>
        <v/>
      </c>
      <c r="D5" s="354">
        <f>SUM('_Engine_R100'!Y37:Y39)</f>
        <v/>
      </c>
      <c r="E5" s="354">
        <f>SUM('_Engine_R100'!Y40:Y42)</f>
        <v/>
      </c>
      <c r="F5" s="354">
        <f>SUM('_Engine_R100'!Y43:Y45)</f>
        <v/>
      </c>
      <c r="G5" s="354">
        <f>SUM('_Engine_R100'!Y46:Y48)</f>
        <v/>
      </c>
      <c r="H5" s="354">
        <f>SUM('_Engine_R100'!Y49:Y51)</f>
        <v/>
      </c>
      <c r="I5" s="354">
        <f>SUM('_Engine_R100'!Y52:Y54)</f>
        <v/>
      </c>
      <c r="J5" s="354">
        <f>SUM('_Engine_R100'!Y55:Y57)</f>
        <v/>
      </c>
      <c r="K5" s="354">
        <f>SUM('_Engine_R100'!Y58:Y60)</f>
        <v/>
      </c>
      <c r="L5" s="354">
        <f>SUM('_Engine_R100'!Y61:Y63)</f>
        <v/>
      </c>
      <c r="M5" s="354">
        <f>SUM('_Engine_R100'!Y64:Y66)</f>
        <v/>
      </c>
      <c r="N5" s="354" t="n"/>
      <c r="O5" s="354" t="n"/>
      <c r="P5" s="354" t="n"/>
      <c r="Q5" s="354" t="n"/>
      <c r="R5" s="354" t="n"/>
      <c r="S5" s="354" t="n"/>
      <c r="T5" s="354" t="n"/>
      <c r="U5" s="354" t="n"/>
      <c r="V5" s="354" t="n"/>
      <c r="W5" s="354" t="n"/>
      <c r="X5" s="354" t="n"/>
      <c r="Y5" s="354" t="n"/>
      <c r="Z5" s="354" t="n"/>
      <c r="AA5" s="354" t="n"/>
      <c r="AB5" s="354" t="n"/>
      <c r="AC5" s="354" t="n"/>
      <c r="AD5" s="354" t="n"/>
      <c r="AE5" s="354" t="n"/>
      <c r="AF5" s="354" t="n"/>
      <c r="AG5" s="354" t="n"/>
      <c r="AH5" s="354" t="n"/>
      <c r="AI5" s="354" t="n"/>
      <c r="AJ5" s="354" t="n"/>
      <c r="AK5" s="354" t="n"/>
      <c r="AL5" s="466" t="n"/>
    </row>
    <row r="6" ht="15" customHeight="1" s="307">
      <c r="A6" s="322" t="inlineStr">
        <is>
          <t>Recycled Deals</t>
        </is>
      </c>
      <c r="B6" s="354">
        <f>SUMPRODUCT(('1. Press Assumptions'!$K$101:$K$104&gt;=1)*('1. Press Assumptions'!$K$101:$K$104&lt;=3)*('1. Press Assumptions'!$D$101:$D$104*'1. Press Assumptions'!$E$101:$E$104))</f>
        <v/>
      </c>
      <c r="C6" s="354">
        <f>SUMPRODUCT(('1. Press Assumptions'!$K$101:$K$104&gt;=4)*('1. Press Assumptions'!$K$101:$K$104&lt;=6)*('1. Press Assumptions'!$D$101:$D$104*'1. Press Assumptions'!$E$101:$E$104))</f>
        <v/>
      </c>
      <c r="D6" s="354">
        <f>SUMPRODUCT(('1. Press Assumptions'!$K$101:$K$104&gt;=7)*('1. Press Assumptions'!$K$101:$K$104&lt;=9)*('1. Press Assumptions'!$D$101:$D$104*'1. Press Assumptions'!$E$101:$E$104))</f>
        <v/>
      </c>
      <c r="E6" s="354">
        <f>SUMPRODUCT(('1. Press Assumptions'!$K$101:$K$104&gt;=10)*('1. Press Assumptions'!$K$101:$K$104&lt;=12)*('1. Press Assumptions'!$D$101:$D$104*'1. Press Assumptions'!$E$101:$E$104))</f>
        <v/>
      </c>
      <c r="F6" s="354">
        <f>SUMPRODUCT(('1. Press Assumptions'!$K$101:$K$104&gt;=13)*('1. Press Assumptions'!$K$101:$K$104&lt;=15)*('1. Press Assumptions'!$D$101:$D$104*'1. Press Assumptions'!$E$101:$E$104))</f>
        <v/>
      </c>
      <c r="G6" s="354">
        <f>SUMPRODUCT(('1. Press Assumptions'!$K$101:$K$104&gt;=16)*('1. Press Assumptions'!$K$101:$K$104&lt;=18)*('1. Press Assumptions'!$D$101:$D$104*'1. Press Assumptions'!$E$101:$E$104))</f>
        <v/>
      </c>
      <c r="H6" s="354">
        <f>SUMPRODUCT(('1. Press Assumptions'!$K$101:$K$104&gt;=19)*('1. Press Assumptions'!$K$101:$K$104&lt;=21)*('1. Press Assumptions'!$D$101:$D$104*'1. Press Assumptions'!$E$101:$E$104))</f>
        <v/>
      </c>
      <c r="I6" s="354">
        <f>SUMPRODUCT(('1. Press Assumptions'!$K$101:$K$104&gt;=22)*('1. Press Assumptions'!$K$101:$K$104&lt;=24)*('1. Press Assumptions'!$D$101:$D$104*'1. Press Assumptions'!$E$101:$E$104))</f>
        <v/>
      </c>
      <c r="J6" s="354">
        <f>SUMPRODUCT(('1. Press Assumptions'!$K$101:$K$104&gt;=25)*('1. Press Assumptions'!$K$101:$K$104&lt;=27)*('1. Press Assumptions'!$D$101:$D$104*'1. Press Assumptions'!$E$101:$E$104))</f>
        <v/>
      </c>
      <c r="K6" s="354">
        <f>SUMPRODUCT(('1. Press Assumptions'!$K$101:$K$104&gt;=28)*('1. Press Assumptions'!$K$101:$K$104&lt;=30)*('1. Press Assumptions'!$D$101:$D$104*'1. Press Assumptions'!$E$101:$E$104))</f>
        <v/>
      </c>
      <c r="L6" s="354">
        <f>SUMPRODUCT(('1. Press Assumptions'!$K$101:$K$104&gt;=31)*('1. Press Assumptions'!$K$101:$K$104&lt;=33)*('1. Press Assumptions'!$D$101:$D$104*'1. Press Assumptions'!$E$101:$E$104))</f>
        <v/>
      </c>
      <c r="M6" s="354">
        <f>SUMPRODUCT(('1. Press Assumptions'!$K$101:$K$104&gt;=34)*('1. Press Assumptions'!$K$101:$K$104&lt;=36)*('1. Press Assumptions'!$D$101:$D$104*'1. Press Assumptions'!$E$101:$E$104))</f>
        <v/>
      </c>
      <c r="N6" s="354" t="n"/>
      <c r="O6" s="354" t="n"/>
      <c r="P6" s="354" t="n"/>
      <c r="Q6" s="354" t="n"/>
      <c r="R6" s="354" t="n"/>
      <c r="S6" s="354" t="n"/>
      <c r="T6" s="354" t="n"/>
      <c r="U6" s="354" t="n"/>
      <c r="V6" s="354" t="n"/>
      <c r="W6" s="354" t="n"/>
      <c r="X6" s="354" t="n"/>
      <c r="Y6" s="354" t="n"/>
      <c r="Z6" s="354" t="n"/>
      <c r="AA6" s="354" t="n"/>
      <c r="AB6" s="354" t="n"/>
      <c r="AC6" s="354" t="n"/>
      <c r="AD6" s="354" t="n"/>
      <c r="AE6" s="354" t="n"/>
      <c r="AF6" s="354" t="n"/>
      <c r="AG6" s="354" t="n"/>
      <c r="AH6" s="354" t="n"/>
      <c r="AI6" s="354" t="n"/>
      <c r="AJ6" s="354" t="n"/>
      <c r="AK6" s="354" t="n"/>
      <c r="AL6" s="466" t="n"/>
    </row>
    <row r="7" ht="15" customHeight="1" s="307">
      <c r="A7" s="322" t="inlineStr">
        <is>
          <t>Net Balance</t>
        </is>
      </c>
      <c r="B7" s="588">
        <f>B5-B6</f>
        <v/>
      </c>
      <c r="C7" s="588">
        <f>B7+C5-C6</f>
        <v/>
      </c>
      <c r="D7" s="588">
        <f>C7+D5-D6</f>
        <v/>
      </c>
      <c r="E7" s="588">
        <f>D7+E5-E6</f>
        <v/>
      </c>
      <c r="F7" s="571">
        <f>E7+F5-F6</f>
        <v/>
      </c>
      <c r="G7" s="571">
        <f>F7+G5-G6</f>
        <v/>
      </c>
      <c r="H7" s="571">
        <f>G7+H5-H6</f>
        <v/>
      </c>
      <c r="I7" s="571">
        <f>H7+I5-I6</f>
        <v/>
      </c>
      <c r="J7" s="571">
        <f>I7+J5-J6</f>
        <v/>
      </c>
      <c r="K7" s="571">
        <f>J7+K5-K6</f>
        <v/>
      </c>
      <c r="L7" s="571">
        <f>K7+L5-L6</f>
        <v/>
      </c>
      <c r="M7" s="571">
        <f>L7+M5-M6</f>
        <v/>
      </c>
      <c r="N7" s="354" t="n"/>
      <c r="O7" s="354" t="n"/>
      <c r="P7" s="354" t="n"/>
      <c r="Q7" s="354" t="n"/>
      <c r="R7" s="354" t="n"/>
      <c r="S7" s="354" t="n"/>
      <c r="T7" s="354" t="n"/>
      <c r="U7" s="354" t="n"/>
      <c r="V7" s="354" t="n"/>
      <c r="W7" s="354" t="n"/>
      <c r="X7" s="354" t="n"/>
      <c r="Y7" s="354" t="n"/>
      <c r="Z7" s="354" t="n"/>
      <c r="AA7" s="354" t="n"/>
      <c r="AB7" s="354" t="n"/>
      <c r="AC7" s="354" t="n"/>
      <c r="AD7" s="354" t="n"/>
      <c r="AE7" s="354" t="n"/>
      <c r="AF7" s="354" t="n"/>
      <c r="AG7" s="354" t="n"/>
      <c r="AH7" s="354" t="n"/>
      <c r="AI7" s="354" t="n"/>
      <c r="AJ7" s="354" t="n"/>
      <c r="AK7" s="354" t="n"/>
      <c r="AL7" s="466" t="n"/>
    </row>
    <row r="8" ht="15" customHeight="1" s="307">
      <c r="A8" s="321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354" t="n"/>
      <c r="P8" s="354" t="n"/>
      <c r="Q8" s="354" t="n"/>
      <c r="R8" s="354" t="n"/>
      <c r="S8" s="354" t="n"/>
      <c r="T8" s="354" t="n"/>
      <c r="U8" s="354" t="n"/>
      <c r="V8" s="354" t="n"/>
      <c r="W8" s="354" t="n"/>
      <c r="X8" s="354" t="n"/>
      <c r="Y8" s="354" t="n"/>
      <c r="Z8" s="354" t="n"/>
      <c r="AA8" s="354" t="n"/>
      <c r="AB8" s="354" t="n"/>
      <c r="AC8" s="354" t="n"/>
      <c r="AD8" s="354" t="n"/>
      <c r="AE8" s="354" t="n"/>
      <c r="AF8" s="354" t="n"/>
      <c r="AG8" s="354" t="n"/>
      <c r="AH8" s="354" t="n"/>
      <c r="AI8" s="354" t="n"/>
      <c r="AJ8" s="354" t="n"/>
      <c r="AK8" s="354" t="n"/>
      <c r="AL8" s="466" t="n"/>
    </row>
    <row r="9" ht="15" customHeight="1" s="307">
      <c r="A9" s="322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4" t="n"/>
      <c r="S9" s="354" t="n"/>
      <c r="T9" s="354" t="n"/>
      <c r="U9" s="354" t="n"/>
      <c r="V9" s="354" t="n"/>
      <c r="W9" s="354" t="n"/>
      <c r="X9" s="354" t="n"/>
      <c r="Y9" s="354" t="n"/>
      <c r="Z9" s="354" t="n"/>
      <c r="AA9" s="354" t="n"/>
      <c r="AB9" s="354" t="n"/>
      <c r="AC9" s="354" t="n"/>
      <c r="AD9" s="354" t="n"/>
      <c r="AE9" s="354" t="n"/>
      <c r="AF9" s="354" t="n"/>
      <c r="AG9" s="354" t="n"/>
      <c r="AH9" s="354" t="n"/>
      <c r="AI9" s="354" t="n"/>
      <c r="AJ9" s="354" t="n"/>
      <c r="AK9" s="354" t="n"/>
      <c r="AL9" s="466" t="n"/>
    </row>
    <row r="11" ht="15" customHeight="1" s="307">
      <c r="A11" s="322" t="n"/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354" t="n"/>
      <c r="P11" s="354" t="n"/>
      <c r="Q11" s="354" t="n"/>
      <c r="R11" s="354" t="n"/>
      <c r="S11" s="354" t="n"/>
      <c r="T11" s="354" t="n"/>
      <c r="U11" s="354" t="n"/>
      <c r="V11" s="354" t="n"/>
      <c r="W11" s="354" t="n"/>
      <c r="X11" s="354" t="n"/>
      <c r="Y11" s="354" t="n"/>
      <c r="Z11" s="354" t="n"/>
      <c r="AA11" s="354" t="n"/>
      <c r="AB11" s="354" t="n"/>
      <c r="AC11" s="354" t="n"/>
      <c r="AD11" s="354" t="n"/>
      <c r="AE11" s="354" t="n"/>
      <c r="AF11" s="354" t="n"/>
      <c r="AG11" s="354" t="n"/>
      <c r="AH11" s="354" t="n"/>
      <c r="AI11" s="354" t="n"/>
      <c r="AJ11" s="354" t="n"/>
      <c r="AK11" s="354" t="n"/>
      <c r="AL11" s="466" t="n"/>
    </row>
    <row r="12" ht="15" customHeight="1" s="307">
      <c r="A12" s="322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354" t="n"/>
      <c r="U12" s="354" t="n"/>
      <c r="V12" s="354" t="n"/>
      <c r="W12" s="354" t="n"/>
      <c r="X12" s="354" t="n"/>
      <c r="Y12" s="354" t="n"/>
      <c r="Z12" s="354" t="n"/>
      <c r="AA12" s="354" t="n"/>
      <c r="AB12" s="354" t="n"/>
      <c r="AC12" s="354" t="n"/>
      <c r="AD12" s="354" t="n"/>
      <c r="AE12" s="354" t="n"/>
      <c r="AF12" s="354" t="n"/>
      <c r="AG12" s="354" t="n"/>
      <c r="AH12" s="354" t="n"/>
      <c r="AI12" s="354" t="n"/>
      <c r="AJ12" s="354" t="n"/>
      <c r="AK12" s="354" t="n"/>
      <c r="AL12" s="466" t="n"/>
    </row>
    <row r="13" ht="15" customHeight="1" s="307">
      <c r="A13" s="322" t="n"/>
      <c r="B13" s="569" t="n"/>
      <c r="C13" s="569" t="n"/>
      <c r="D13" s="569" t="n"/>
      <c r="E13" s="569" t="n"/>
      <c r="F13" s="569" t="n"/>
      <c r="G13" s="569" t="n"/>
      <c r="H13" s="569" t="n"/>
      <c r="I13" s="569" t="n"/>
      <c r="J13" s="569" t="n"/>
      <c r="K13" s="569" t="n"/>
      <c r="L13" s="569" t="n"/>
      <c r="M13" s="569" t="n"/>
      <c r="N13" s="569" t="n"/>
      <c r="O13" s="569" t="n"/>
      <c r="P13" s="569" t="n"/>
      <c r="Q13" s="569" t="n"/>
      <c r="R13" s="569" t="n"/>
      <c r="S13" s="569" t="n"/>
      <c r="T13" s="569" t="n"/>
      <c r="U13" s="569" t="n"/>
      <c r="V13" s="569" t="n"/>
      <c r="W13" s="569" t="n"/>
      <c r="X13" s="569" t="n"/>
      <c r="Y13" s="569" t="n"/>
      <c r="Z13" s="569" t="n"/>
      <c r="AA13" s="569" t="n"/>
      <c r="AB13" s="569" t="n"/>
      <c r="AC13" s="569" t="n"/>
      <c r="AD13" s="569" t="n"/>
      <c r="AE13" s="569" t="n"/>
      <c r="AF13" s="569" t="n"/>
      <c r="AG13" s="569" t="n"/>
      <c r="AH13" s="569" t="n"/>
      <c r="AI13" s="569" t="n"/>
      <c r="AJ13" s="569" t="n"/>
      <c r="AK13" s="569" t="n"/>
      <c r="AL13" s="466" t="n"/>
    </row>
    <row r="16" ht="15" customHeight="1" s="307">
      <c r="A16" s="323" t="n"/>
    </row>
    <row r="17" ht="15" customHeight="1" s="307">
      <c r="A17" s="3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R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306" min="1" max="1"/>
    <col width="14" customWidth="1" style="306" min="2" max="2"/>
    <col width="10" customWidth="1" style="306" min="3" max="3"/>
    <col width="13" customWidth="1" style="306" min="4" max="18"/>
  </cols>
  <sheetData>
    <row r="1" ht="15.75" customHeight="1" s="307">
      <c r="A1" s="471" t="inlineStr">
        <is>
          <t>TEAM COMPENSATION BY ROLE  --  FUND LIFE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</row>
    <row r="2" ht="15" customHeight="1" s="307">
      <c r="A2" s="323" t="inlineStr">
        <is>
          <t>Base + 30% overhead + bonus (pro-rata by salary $). Step-ups ratchet at $100M ARR. All figures in $K.</t>
        </is>
      </c>
    </row>
    <row r="3">
      <c r="A3" s="641" t="inlineStr">
        <is>
          <t>INPUT — row 28 "Total Loaded" feeds the engines (D28:R28). Now DERIVED from Tab 23 role schedule (loaded) with hiring ramp.</t>
        </is>
      </c>
    </row>
    <row r="4" ht="15" customHeight="1" s="307">
      <c r="A4" s="472" t="inlineStr">
        <is>
          <t>Role</t>
        </is>
      </c>
      <c r="B4" s="388" t="inlineStr">
        <is>
          <t>Base ($K)</t>
        </is>
      </c>
      <c r="C4" s="388" t="inlineStr">
        <is>
          <t>Start</t>
        </is>
      </c>
      <c r="D4" s="388" t="inlineStr">
        <is>
          <t>Year 1</t>
        </is>
      </c>
      <c r="E4" s="388" t="inlineStr">
        <is>
          <t>Year 2</t>
        </is>
      </c>
      <c r="F4" s="388" t="inlineStr">
        <is>
          <t>Year 3</t>
        </is>
      </c>
      <c r="G4" s="388" t="inlineStr">
        <is>
          <t>Year 4</t>
        </is>
      </c>
      <c r="H4" s="388" t="inlineStr">
        <is>
          <t>Year 5</t>
        </is>
      </c>
      <c r="I4" s="388" t="inlineStr">
        <is>
          <t>Year 6</t>
        </is>
      </c>
      <c r="J4" s="388" t="inlineStr">
        <is>
          <t>Year 7</t>
        </is>
      </c>
      <c r="K4" s="388" t="inlineStr">
        <is>
          <t>Year 8</t>
        </is>
      </c>
      <c r="L4" s="388" t="inlineStr">
        <is>
          <t>Year 9</t>
        </is>
      </c>
      <c r="M4" s="388" t="inlineStr">
        <is>
          <t>Year 10</t>
        </is>
      </c>
      <c r="N4" s="388" t="inlineStr">
        <is>
          <t>Year 11</t>
        </is>
      </c>
      <c r="O4" s="388" t="inlineStr">
        <is>
          <t>Year 12</t>
        </is>
      </c>
      <c r="P4" s="388" t="inlineStr">
        <is>
          <t>Year 13</t>
        </is>
      </c>
      <c r="Q4" s="388" t="inlineStr">
        <is>
          <t>Year 14</t>
        </is>
      </c>
      <c r="R4" s="388" t="inlineStr">
        <is>
          <t>Year 15</t>
        </is>
      </c>
    </row>
    <row r="5" ht="15" customHeight="1" s="307">
      <c r="A5" s="321" t="inlineStr">
        <is>
          <t>CEO</t>
        </is>
      </c>
      <c r="B5" s="368" t="n">
        <v>1000</v>
      </c>
      <c r="C5" s="394" t="inlineStr">
        <is>
          <t>M1</t>
        </is>
      </c>
      <c r="D5" s="589" t="n">
        <v>1300</v>
      </c>
      <c r="E5" s="590" t="n">
        <v>1950</v>
      </c>
      <c r="F5" s="589" t="n">
        <v>3291</v>
      </c>
      <c r="G5" s="590" t="n">
        <v>3130</v>
      </c>
      <c r="H5" s="589" t="n">
        <v>2979</v>
      </c>
      <c r="I5" s="590" t="n">
        <v>2878</v>
      </c>
      <c r="J5" s="589" t="n">
        <v>2817</v>
      </c>
      <c r="K5" s="590" t="n">
        <v>2791</v>
      </c>
      <c r="L5" s="589" t="n">
        <v>2794</v>
      </c>
      <c r="M5" s="590" t="n">
        <v>2822</v>
      </c>
      <c r="N5" s="589" t="n">
        <v>2871</v>
      </c>
      <c r="O5" s="590" t="n">
        <v>2940</v>
      </c>
      <c r="P5" s="589" t="n">
        <v>3025</v>
      </c>
      <c r="Q5" s="590" t="n">
        <v>3126</v>
      </c>
      <c r="R5" s="589" t="n">
        <v>3241</v>
      </c>
    </row>
    <row r="6" ht="15" customHeight="1" s="307">
      <c r="A6" s="321" t="inlineStr">
        <is>
          <t>CFO</t>
        </is>
      </c>
      <c r="B6" s="368" t="n">
        <v>500</v>
      </c>
      <c r="C6" s="394" t="inlineStr">
        <is>
          <t>M1</t>
        </is>
      </c>
      <c r="D6" s="589" t="n">
        <v>650</v>
      </c>
      <c r="E6" s="590" t="n">
        <v>975</v>
      </c>
      <c r="F6" s="589" t="n">
        <v>1646</v>
      </c>
      <c r="G6" s="590" t="n">
        <v>1565</v>
      </c>
      <c r="H6" s="589" t="n">
        <v>1490</v>
      </c>
      <c r="I6" s="590" t="n">
        <v>1439</v>
      </c>
      <c r="J6" s="589" t="n">
        <v>1408</v>
      </c>
      <c r="K6" s="590" t="n">
        <v>1395</v>
      </c>
      <c r="L6" s="589" t="n">
        <v>1397</v>
      </c>
      <c r="M6" s="590" t="n">
        <v>1411</v>
      </c>
      <c r="N6" s="589" t="n">
        <v>1436</v>
      </c>
      <c r="O6" s="590" t="n">
        <v>1470</v>
      </c>
      <c r="P6" s="589" t="n">
        <v>1513</v>
      </c>
      <c r="Q6" s="590" t="n">
        <v>1563</v>
      </c>
      <c r="R6" s="589" t="n">
        <v>1620</v>
      </c>
    </row>
    <row r="7" ht="15" customHeight="1" s="307">
      <c r="A7" s="321" t="inlineStr">
        <is>
          <t>COO</t>
        </is>
      </c>
      <c r="B7" s="368" t="n">
        <v>500</v>
      </c>
      <c r="C7" s="394" t="inlineStr">
        <is>
          <t>M4</t>
        </is>
      </c>
      <c r="D7" s="589" t="n">
        <v>488</v>
      </c>
      <c r="E7" s="590" t="n">
        <v>975</v>
      </c>
      <c r="F7" s="589" t="n">
        <v>1646</v>
      </c>
      <c r="G7" s="590" t="n">
        <v>1565</v>
      </c>
      <c r="H7" s="589" t="n">
        <v>1490</v>
      </c>
      <c r="I7" s="590" t="n">
        <v>1439</v>
      </c>
      <c r="J7" s="589" t="n">
        <v>1408</v>
      </c>
      <c r="K7" s="590" t="n">
        <v>1395</v>
      </c>
      <c r="L7" s="589" t="n">
        <v>1397</v>
      </c>
      <c r="M7" s="590" t="n">
        <v>1411</v>
      </c>
      <c r="N7" s="589" t="n">
        <v>1436</v>
      </c>
      <c r="O7" s="590" t="n">
        <v>1470</v>
      </c>
      <c r="P7" s="589" t="n">
        <v>1513</v>
      </c>
      <c r="Q7" s="590" t="n">
        <v>1563</v>
      </c>
      <c r="R7" s="589" t="n">
        <v>1620</v>
      </c>
    </row>
    <row r="8" ht="15" customHeight="1" s="307">
      <c r="A8" s="321" t="inlineStr">
        <is>
          <t>CPO</t>
        </is>
      </c>
      <c r="B8" s="368" t="n">
        <v>500</v>
      </c>
      <c r="C8" s="394" t="inlineStr">
        <is>
          <t>M4</t>
        </is>
      </c>
      <c r="D8" s="589" t="n">
        <v>488</v>
      </c>
      <c r="E8" s="590" t="n">
        <v>975</v>
      </c>
      <c r="F8" s="589" t="n">
        <v>1646</v>
      </c>
      <c r="G8" s="590" t="n">
        <v>1565</v>
      </c>
      <c r="H8" s="589" t="n">
        <v>1490</v>
      </c>
      <c r="I8" s="590" t="n">
        <v>1439</v>
      </c>
      <c r="J8" s="589" t="n">
        <v>1408</v>
      </c>
      <c r="K8" s="590" t="n">
        <v>1395</v>
      </c>
      <c r="L8" s="589" t="n">
        <v>1397</v>
      </c>
      <c r="M8" s="590" t="n">
        <v>1411</v>
      </c>
      <c r="N8" s="589" t="n">
        <v>1436</v>
      </c>
      <c r="O8" s="590" t="n">
        <v>1470</v>
      </c>
      <c r="P8" s="589" t="n">
        <v>1513</v>
      </c>
      <c r="Q8" s="590" t="n">
        <v>1563</v>
      </c>
      <c r="R8" s="589" t="n">
        <v>1620</v>
      </c>
    </row>
    <row r="9" ht="15" customHeight="1" s="307">
      <c r="A9" s="321" t="inlineStr">
        <is>
          <t>CTO</t>
        </is>
      </c>
      <c r="B9" s="368" t="n">
        <v>500</v>
      </c>
      <c r="C9" s="394" t="inlineStr">
        <is>
          <t>M4</t>
        </is>
      </c>
      <c r="D9" s="589" t="n">
        <v>488</v>
      </c>
      <c r="E9" s="590" t="n">
        <v>975</v>
      </c>
      <c r="F9" s="589" t="n">
        <v>1646</v>
      </c>
      <c r="G9" s="590" t="n">
        <v>1565</v>
      </c>
      <c r="H9" s="589" t="n">
        <v>1490</v>
      </c>
      <c r="I9" s="590" t="n">
        <v>1439</v>
      </c>
      <c r="J9" s="589" t="n">
        <v>1408</v>
      </c>
      <c r="K9" s="590" t="n">
        <v>1395</v>
      </c>
      <c r="L9" s="589" t="n">
        <v>1397</v>
      </c>
      <c r="M9" s="590" t="n">
        <v>1411</v>
      </c>
      <c r="N9" s="589" t="n">
        <v>1436</v>
      </c>
      <c r="O9" s="590" t="n">
        <v>1470</v>
      </c>
      <c r="P9" s="589" t="n">
        <v>1513</v>
      </c>
      <c r="Q9" s="590" t="n">
        <v>1563</v>
      </c>
      <c r="R9" s="589" t="n">
        <v>1620</v>
      </c>
    </row>
    <row r="10" ht="15" customHeight="1" s="307">
      <c r="A10" s="321" t="inlineStr">
        <is>
          <t>CRO</t>
        </is>
      </c>
      <c r="B10" s="368" t="n">
        <v>500</v>
      </c>
      <c r="C10" s="394" t="inlineStr">
        <is>
          <t>M7</t>
        </is>
      </c>
      <c r="D10" s="589" t="n">
        <v>325</v>
      </c>
      <c r="E10" s="590" t="n">
        <v>975</v>
      </c>
      <c r="F10" s="589" t="n">
        <v>1646</v>
      </c>
      <c r="G10" s="590" t="n">
        <v>1565</v>
      </c>
      <c r="H10" s="589" t="n">
        <v>1490</v>
      </c>
      <c r="I10" s="590" t="n">
        <v>1439</v>
      </c>
      <c r="J10" s="589" t="n">
        <v>1408</v>
      </c>
      <c r="K10" s="590" t="n">
        <v>1395</v>
      </c>
      <c r="L10" s="589" t="n">
        <v>1397</v>
      </c>
      <c r="M10" s="590" t="n">
        <v>1411</v>
      </c>
      <c r="N10" s="589" t="n">
        <v>1436</v>
      </c>
      <c r="O10" s="590" t="n">
        <v>1470</v>
      </c>
      <c r="P10" s="589" t="n">
        <v>1513</v>
      </c>
      <c r="Q10" s="590" t="n">
        <v>1563</v>
      </c>
      <c r="R10" s="589" t="n">
        <v>1620</v>
      </c>
    </row>
    <row r="11" ht="15" customHeight="1" s="307">
      <c r="A11" s="321" t="inlineStr">
        <is>
          <t>Sr Operator 1</t>
        </is>
      </c>
      <c r="B11" s="368" t="n">
        <v>250</v>
      </c>
      <c r="C11" s="394" t="inlineStr">
        <is>
          <t>M4</t>
        </is>
      </c>
      <c r="D11" s="589" t="n">
        <v>244</v>
      </c>
      <c r="E11" s="590" t="n">
        <v>488</v>
      </c>
      <c r="F11" s="589" t="n">
        <v>823</v>
      </c>
      <c r="G11" s="590" t="n">
        <v>783</v>
      </c>
      <c r="H11" s="589" t="n">
        <v>745</v>
      </c>
      <c r="I11" s="590" t="n">
        <v>719</v>
      </c>
      <c r="J11" s="589" t="n">
        <v>704</v>
      </c>
      <c r="K11" s="590" t="n">
        <v>698</v>
      </c>
      <c r="L11" s="589" t="n">
        <v>698</v>
      </c>
      <c r="M11" s="590" t="n">
        <v>705</v>
      </c>
      <c r="N11" s="589" t="n">
        <v>718</v>
      </c>
      <c r="O11" s="590" t="n">
        <v>735</v>
      </c>
      <c r="P11" s="589" t="n">
        <v>756</v>
      </c>
      <c r="Q11" s="590" t="n">
        <v>781</v>
      </c>
      <c r="R11" s="589" t="n">
        <v>810</v>
      </c>
    </row>
    <row r="12" ht="15" customHeight="1" s="307">
      <c r="A12" s="321" t="inlineStr">
        <is>
          <t>Sr Operator 2</t>
        </is>
      </c>
      <c r="B12" s="368" t="n">
        <v>250</v>
      </c>
      <c r="C12" s="394" t="inlineStr">
        <is>
          <t>M4</t>
        </is>
      </c>
      <c r="D12" s="589" t="n">
        <v>244</v>
      </c>
      <c r="E12" s="590" t="n">
        <v>488</v>
      </c>
      <c r="F12" s="589" t="n">
        <v>823</v>
      </c>
      <c r="G12" s="590" t="n">
        <v>783</v>
      </c>
      <c r="H12" s="589" t="n">
        <v>745</v>
      </c>
      <c r="I12" s="590" t="n">
        <v>719</v>
      </c>
      <c r="J12" s="589" t="n">
        <v>704</v>
      </c>
      <c r="K12" s="590" t="n">
        <v>698</v>
      </c>
      <c r="L12" s="589" t="n">
        <v>698</v>
      </c>
      <c r="M12" s="590" t="n">
        <v>705</v>
      </c>
      <c r="N12" s="589" t="n">
        <v>718</v>
      </c>
      <c r="O12" s="590" t="n">
        <v>735</v>
      </c>
      <c r="P12" s="589" t="n">
        <v>756</v>
      </c>
      <c r="Q12" s="590" t="n">
        <v>781</v>
      </c>
      <c r="R12" s="589" t="n">
        <v>810</v>
      </c>
    </row>
    <row r="13" ht="15" customHeight="1" s="307">
      <c r="A13" s="321" t="inlineStr">
        <is>
          <t>Sr Operator 3</t>
        </is>
      </c>
      <c r="B13" s="368" t="n">
        <v>250</v>
      </c>
      <c r="C13" s="394" t="inlineStr">
        <is>
          <t>M4</t>
        </is>
      </c>
      <c r="D13" s="589" t="n">
        <v>244</v>
      </c>
      <c r="E13" s="590" t="n">
        <v>488</v>
      </c>
      <c r="F13" s="589" t="n">
        <v>823</v>
      </c>
      <c r="G13" s="590" t="n">
        <v>783</v>
      </c>
      <c r="H13" s="589" t="n">
        <v>745</v>
      </c>
      <c r="I13" s="590" t="n">
        <v>719</v>
      </c>
      <c r="J13" s="589" t="n">
        <v>704</v>
      </c>
      <c r="K13" s="590" t="n">
        <v>698</v>
      </c>
      <c r="L13" s="589" t="n">
        <v>698</v>
      </c>
      <c r="M13" s="590" t="n">
        <v>705</v>
      </c>
      <c r="N13" s="589" t="n">
        <v>718</v>
      </c>
      <c r="O13" s="590" t="n">
        <v>735</v>
      </c>
      <c r="P13" s="589" t="n">
        <v>756</v>
      </c>
      <c r="Q13" s="590" t="n">
        <v>781</v>
      </c>
      <c r="R13" s="589" t="n">
        <v>810</v>
      </c>
    </row>
    <row r="14" ht="15" customHeight="1" s="307">
      <c r="A14" s="321" t="inlineStr">
        <is>
          <t>Sr Operator 4</t>
        </is>
      </c>
      <c r="B14" s="368" t="n">
        <v>250</v>
      </c>
      <c r="C14" s="394" t="inlineStr">
        <is>
          <t>M7</t>
        </is>
      </c>
      <c r="D14" s="589" t="n">
        <v>162</v>
      </c>
      <c r="E14" s="590" t="n">
        <v>488</v>
      </c>
      <c r="F14" s="589" t="n">
        <v>823</v>
      </c>
      <c r="G14" s="590" t="n">
        <v>783</v>
      </c>
      <c r="H14" s="589" t="n">
        <v>745</v>
      </c>
      <c r="I14" s="590" t="n">
        <v>719</v>
      </c>
      <c r="J14" s="589" t="n">
        <v>704</v>
      </c>
      <c r="K14" s="590" t="n">
        <v>698</v>
      </c>
      <c r="L14" s="589" t="n">
        <v>698</v>
      </c>
      <c r="M14" s="590" t="n">
        <v>705</v>
      </c>
      <c r="N14" s="589" t="n">
        <v>718</v>
      </c>
      <c r="O14" s="590" t="n">
        <v>735</v>
      </c>
      <c r="P14" s="589" t="n">
        <v>756</v>
      </c>
      <c r="Q14" s="590" t="n">
        <v>781</v>
      </c>
      <c r="R14" s="589" t="n">
        <v>810</v>
      </c>
    </row>
    <row r="15" ht="15" customHeight="1" s="307">
      <c r="A15" s="321" t="inlineStr">
        <is>
          <t>Sr Operator 5</t>
        </is>
      </c>
      <c r="B15" s="368" t="n">
        <v>250</v>
      </c>
      <c r="C15" s="394" t="inlineStr">
        <is>
          <t>M7</t>
        </is>
      </c>
      <c r="D15" s="589" t="n">
        <v>162</v>
      </c>
      <c r="E15" s="590" t="n">
        <v>488</v>
      </c>
      <c r="F15" s="589" t="n">
        <v>823</v>
      </c>
      <c r="G15" s="590" t="n">
        <v>783</v>
      </c>
      <c r="H15" s="589" t="n">
        <v>745</v>
      </c>
      <c r="I15" s="590" t="n">
        <v>719</v>
      </c>
      <c r="J15" s="589" t="n">
        <v>704</v>
      </c>
      <c r="K15" s="590" t="n">
        <v>698</v>
      </c>
      <c r="L15" s="589" t="n">
        <v>698</v>
      </c>
      <c r="M15" s="590" t="n">
        <v>705</v>
      </c>
      <c r="N15" s="589" t="n">
        <v>718</v>
      </c>
      <c r="O15" s="590" t="n">
        <v>735</v>
      </c>
      <c r="P15" s="589" t="n">
        <v>756</v>
      </c>
      <c r="Q15" s="590" t="n">
        <v>781</v>
      </c>
      <c r="R15" s="589" t="n">
        <v>810</v>
      </c>
    </row>
    <row r="16" ht="15" customHeight="1" s="307">
      <c r="A16" s="321" t="inlineStr">
        <is>
          <t>Jr Operator 1</t>
        </is>
      </c>
      <c r="B16" s="368" t="n">
        <v>125</v>
      </c>
      <c r="C16" s="394" t="inlineStr">
        <is>
          <t>M4</t>
        </is>
      </c>
      <c r="D16" s="589" t="n">
        <v>122</v>
      </c>
      <c r="E16" s="590" t="n">
        <v>244</v>
      </c>
      <c r="F16" s="589" t="n">
        <v>411</v>
      </c>
      <c r="G16" s="590" t="n">
        <v>391</v>
      </c>
      <c r="H16" s="589" t="n">
        <v>372</v>
      </c>
      <c r="I16" s="590" t="n">
        <v>360</v>
      </c>
      <c r="J16" s="589" t="n">
        <v>352</v>
      </c>
      <c r="K16" s="590" t="n">
        <v>349</v>
      </c>
      <c r="L16" s="589" t="n">
        <v>349</v>
      </c>
      <c r="M16" s="590" t="n">
        <v>353</v>
      </c>
      <c r="N16" s="589" t="n">
        <v>359</v>
      </c>
      <c r="O16" s="590" t="n">
        <v>367</v>
      </c>
      <c r="P16" s="589" t="n">
        <v>378</v>
      </c>
      <c r="Q16" s="590" t="n">
        <v>391</v>
      </c>
      <c r="R16" s="589" t="n">
        <v>405</v>
      </c>
    </row>
    <row r="17" ht="15" customHeight="1" s="307">
      <c r="A17" s="321" t="inlineStr">
        <is>
          <t>Jr Operator 2</t>
        </is>
      </c>
      <c r="B17" s="368" t="n">
        <v>125</v>
      </c>
      <c r="C17" s="394" t="inlineStr">
        <is>
          <t>M7</t>
        </is>
      </c>
      <c r="D17" s="589" t="n">
        <v>81</v>
      </c>
      <c r="E17" s="590" t="n">
        <v>244</v>
      </c>
      <c r="F17" s="589" t="n">
        <v>411</v>
      </c>
      <c r="G17" s="590" t="n">
        <v>391</v>
      </c>
      <c r="H17" s="589" t="n">
        <v>372</v>
      </c>
      <c r="I17" s="590" t="n">
        <v>360</v>
      </c>
      <c r="J17" s="589" t="n">
        <v>352</v>
      </c>
      <c r="K17" s="590" t="n">
        <v>349</v>
      </c>
      <c r="L17" s="589" t="n">
        <v>349</v>
      </c>
      <c r="M17" s="590" t="n">
        <v>353</v>
      </c>
      <c r="N17" s="589" t="n">
        <v>359</v>
      </c>
      <c r="O17" s="590" t="n">
        <v>367</v>
      </c>
      <c r="P17" s="589" t="n">
        <v>378</v>
      </c>
      <c r="Q17" s="590" t="n">
        <v>391</v>
      </c>
      <c r="R17" s="589" t="n">
        <v>405</v>
      </c>
    </row>
    <row r="18" ht="15" customHeight="1" s="307">
      <c r="A18" s="321" t="inlineStr">
        <is>
          <t>Jr Operator 3</t>
        </is>
      </c>
      <c r="B18" s="368" t="n">
        <v>125</v>
      </c>
      <c r="C18" s="394" t="inlineStr">
        <is>
          <t>M10</t>
        </is>
      </c>
      <c r="D18" s="589" t="n">
        <v>41</v>
      </c>
      <c r="E18" s="590" t="n">
        <v>244</v>
      </c>
      <c r="F18" s="589" t="n">
        <v>411</v>
      </c>
      <c r="G18" s="590" t="n">
        <v>391</v>
      </c>
      <c r="H18" s="589" t="n">
        <v>372</v>
      </c>
      <c r="I18" s="590" t="n">
        <v>360</v>
      </c>
      <c r="J18" s="589" t="n">
        <v>352</v>
      </c>
      <c r="K18" s="590" t="n">
        <v>349</v>
      </c>
      <c r="L18" s="589" t="n">
        <v>349</v>
      </c>
      <c r="M18" s="590" t="n">
        <v>353</v>
      </c>
      <c r="N18" s="589" t="n">
        <v>359</v>
      </c>
      <c r="O18" s="590" t="n">
        <v>367</v>
      </c>
      <c r="P18" s="589" t="n">
        <v>378</v>
      </c>
      <c r="Q18" s="590" t="n">
        <v>391</v>
      </c>
      <c r="R18" s="589" t="n">
        <v>405</v>
      </c>
    </row>
    <row r="19" ht="15" customHeight="1" s="307">
      <c r="A19" s="321" t="inlineStr">
        <is>
          <t>Jr Operator 4</t>
        </is>
      </c>
      <c r="B19" s="368" t="n">
        <v>125</v>
      </c>
      <c r="C19" s="394" t="inlineStr">
        <is>
          <t>M10</t>
        </is>
      </c>
      <c r="D19" s="589" t="n">
        <v>41</v>
      </c>
      <c r="E19" s="590" t="n">
        <v>244</v>
      </c>
      <c r="F19" s="589" t="n">
        <v>411</v>
      </c>
      <c r="G19" s="590" t="n">
        <v>391</v>
      </c>
      <c r="H19" s="589" t="n">
        <v>372</v>
      </c>
      <c r="I19" s="590" t="n">
        <v>360</v>
      </c>
      <c r="J19" s="589" t="n">
        <v>352</v>
      </c>
      <c r="K19" s="590" t="n">
        <v>349</v>
      </c>
      <c r="L19" s="589" t="n">
        <v>349</v>
      </c>
      <c r="M19" s="590" t="n">
        <v>353</v>
      </c>
      <c r="N19" s="589" t="n">
        <v>359</v>
      </c>
      <c r="O19" s="590" t="n">
        <v>367</v>
      </c>
      <c r="P19" s="589" t="n">
        <v>378</v>
      </c>
      <c r="Q19" s="590" t="n">
        <v>391</v>
      </c>
      <c r="R19" s="589" t="n">
        <v>405</v>
      </c>
    </row>
    <row r="20" ht="15" customHeight="1" s="307">
      <c r="A20" s="321" t="inlineStr">
        <is>
          <t>Jr Operator 5</t>
        </is>
      </c>
      <c r="B20" s="368" t="n">
        <v>125</v>
      </c>
      <c r="C20" s="394" t="inlineStr">
        <is>
          <t>M10</t>
        </is>
      </c>
      <c r="D20" s="589" t="n">
        <v>41</v>
      </c>
      <c r="E20" s="590" t="n">
        <v>244</v>
      </c>
      <c r="F20" s="589" t="n">
        <v>411</v>
      </c>
      <c r="G20" s="590" t="n">
        <v>391</v>
      </c>
      <c r="H20" s="589" t="n">
        <v>372</v>
      </c>
      <c r="I20" s="590" t="n">
        <v>360</v>
      </c>
      <c r="J20" s="589" t="n">
        <v>352</v>
      </c>
      <c r="K20" s="590" t="n">
        <v>349</v>
      </c>
      <c r="L20" s="589" t="n">
        <v>349</v>
      </c>
      <c r="M20" s="590" t="n">
        <v>353</v>
      </c>
      <c r="N20" s="589" t="n">
        <v>359</v>
      </c>
      <c r="O20" s="590" t="n">
        <v>367</v>
      </c>
      <c r="P20" s="589" t="n">
        <v>378</v>
      </c>
      <c r="Q20" s="590" t="n">
        <v>391</v>
      </c>
      <c r="R20" s="589" t="n">
        <v>405</v>
      </c>
    </row>
    <row r="21" ht="15" customHeight="1" s="307">
      <c r="A21" s="321" t="inlineStr">
        <is>
          <t>Jr Operator 6</t>
        </is>
      </c>
      <c r="B21" s="368" t="n">
        <v>125</v>
      </c>
      <c r="C21" s="394" t="inlineStr">
        <is>
          <t>M10</t>
        </is>
      </c>
      <c r="D21" s="589" t="n">
        <v>41</v>
      </c>
      <c r="E21" s="590" t="n">
        <v>244</v>
      </c>
      <c r="F21" s="589" t="n">
        <v>411</v>
      </c>
      <c r="G21" s="590" t="n">
        <v>391</v>
      </c>
      <c r="H21" s="589" t="n">
        <v>372</v>
      </c>
      <c r="I21" s="590" t="n">
        <v>360</v>
      </c>
      <c r="J21" s="589" t="n">
        <v>352</v>
      </c>
      <c r="K21" s="590" t="n">
        <v>349</v>
      </c>
      <c r="L21" s="589" t="n">
        <v>349</v>
      </c>
      <c r="M21" s="590" t="n">
        <v>353</v>
      </c>
      <c r="N21" s="589" t="n">
        <v>359</v>
      </c>
      <c r="O21" s="590" t="n">
        <v>367</v>
      </c>
      <c r="P21" s="589" t="n">
        <v>378</v>
      </c>
      <c r="Q21" s="590" t="n">
        <v>391</v>
      </c>
      <c r="R21" s="589" t="n">
        <v>405</v>
      </c>
    </row>
    <row r="22" ht="15" customHeight="1" s="307">
      <c r="A22" s="321" t="inlineStr">
        <is>
          <t>Jr Operator 7</t>
        </is>
      </c>
      <c r="B22" s="368" t="n">
        <v>125</v>
      </c>
      <c r="C22" s="394" t="inlineStr">
        <is>
          <t>M12</t>
        </is>
      </c>
      <c r="D22" s="589" t="n">
        <v>14</v>
      </c>
      <c r="E22" s="590" t="n">
        <v>244</v>
      </c>
      <c r="F22" s="589" t="n">
        <v>411</v>
      </c>
      <c r="G22" s="590" t="n">
        <v>391</v>
      </c>
      <c r="H22" s="589" t="n">
        <v>372</v>
      </c>
      <c r="I22" s="590" t="n">
        <v>360</v>
      </c>
      <c r="J22" s="589" t="n">
        <v>352</v>
      </c>
      <c r="K22" s="590" t="n">
        <v>349</v>
      </c>
      <c r="L22" s="589" t="n">
        <v>349</v>
      </c>
      <c r="M22" s="590" t="n">
        <v>353</v>
      </c>
      <c r="N22" s="589" t="n">
        <v>359</v>
      </c>
      <c r="O22" s="590" t="n">
        <v>367</v>
      </c>
      <c r="P22" s="589" t="n">
        <v>378</v>
      </c>
      <c r="Q22" s="590" t="n">
        <v>391</v>
      </c>
      <c r="R22" s="589" t="n">
        <v>405</v>
      </c>
    </row>
    <row r="23" ht="15" customHeight="1" s="307">
      <c r="A23" s="321" t="inlineStr">
        <is>
          <t>Jr Operator 8</t>
        </is>
      </c>
      <c r="B23" s="368" t="n">
        <v>125</v>
      </c>
      <c r="C23" s="394" t="inlineStr">
        <is>
          <t>M12</t>
        </is>
      </c>
      <c r="D23" s="589" t="n">
        <v>14</v>
      </c>
      <c r="E23" s="590" t="n">
        <v>244</v>
      </c>
      <c r="F23" s="589" t="n">
        <v>411</v>
      </c>
      <c r="G23" s="590" t="n">
        <v>391</v>
      </c>
      <c r="H23" s="589" t="n">
        <v>372</v>
      </c>
      <c r="I23" s="590" t="n">
        <v>360</v>
      </c>
      <c r="J23" s="589" t="n">
        <v>352</v>
      </c>
      <c r="K23" s="590" t="n">
        <v>349</v>
      </c>
      <c r="L23" s="589" t="n">
        <v>349</v>
      </c>
      <c r="M23" s="590" t="n">
        <v>353</v>
      </c>
      <c r="N23" s="589" t="n">
        <v>359</v>
      </c>
      <c r="O23" s="590" t="n">
        <v>367</v>
      </c>
      <c r="P23" s="589" t="n">
        <v>378</v>
      </c>
      <c r="Q23" s="590" t="n">
        <v>391</v>
      </c>
      <c r="R23" s="589" t="n">
        <v>405</v>
      </c>
    </row>
    <row r="24" ht="15" customHeight="1" s="307">
      <c r="A24" s="321" t="inlineStr">
        <is>
          <t>Jr Operator 9</t>
        </is>
      </c>
      <c r="B24" s="368" t="n">
        <v>125</v>
      </c>
      <c r="C24" s="394" t="inlineStr">
        <is>
          <t>M16</t>
        </is>
      </c>
      <c r="D24" s="590" t="n"/>
      <c r="E24" s="590" t="n">
        <v>183</v>
      </c>
      <c r="F24" s="589" t="n">
        <v>411</v>
      </c>
      <c r="G24" s="590" t="n">
        <v>391</v>
      </c>
      <c r="H24" s="589" t="n">
        <v>372</v>
      </c>
      <c r="I24" s="590" t="n">
        <v>360</v>
      </c>
      <c r="J24" s="589" t="n">
        <v>352</v>
      </c>
      <c r="K24" s="590" t="n">
        <v>349</v>
      </c>
      <c r="L24" s="589" t="n">
        <v>349</v>
      </c>
      <c r="M24" s="590" t="n">
        <v>353</v>
      </c>
      <c r="N24" s="589" t="n">
        <v>359</v>
      </c>
      <c r="O24" s="590" t="n">
        <v>367</v>
      </c>
      <c r="P24" s="589" t="n">
        <v>378</v>
      </c>
      <c r="Q24" s="590" t="n">
        <v>391</v>
      </c>
      <c r="R24" s="589" t="n">
        <v>405</v>
      </c>
    </row>
    <row r="26" ht="15" customHeight="1" s="307">
      <c r="A26" s="325" t="inlineStr">
        <is>
          <t>SUMMARY ($K)</t>
        </is>
      </c>
      <c r="B26" s="309" t="n"/>
      <c r="C26" s="309" t="n"/>
      <c r="D26" s="309" t="n"/>
      <c r="E26" s="309" t="n"/>
      <c r="F26" s="309" t="n"/>
      <c r="G26" s="309" t="n"/>
      <c r="H26" s="309" t="n"/>
      <c r="I26" s="309" t="n"/>
      <c r="J26" s="309" t="n"/>
      <c r="K26" s="309" t="n"/>
      <c r="L26" s="309" t="n"/>
      <c r="M26" s="309" t="n"/>
      <c r="N26" s="309" t="n"/>
      <c r="O26" s="309" t="n"/>
      <c r="P26" s="309" t="n"/>
      <c r="Q26" s="309" t="n"/>
      <c r="R26" s="309" t="n"/>
    </row>
    <row r="27" ht="15" customHeight="1" s="307">
      <c r="A27" s="321" t="inlineStr">
        <is>
          <t>Total Base (stepped)</t>
        </is>
      </c>
      <c r="D27" s="590">
        <f>D28/1.3</f>
        <v/>
      </c>
      <c r="E27" s="590">
        <f>E28/1.3</f>
        <v/>
      </c>
      <c r="F27" s="590">
        <f>F28/1.3</f>
        <v/>
      </c>
      <c r="G27" s="590">
        <f>G28/1.3</f>
        <v/>
      </c>
      <c r="H27" s="590">
        <f>H28/1.3</f>
        <v/>
      </c>
      <c r="I27" s="590">
        <f>I28/1.3</f>
        <v/>
      </c>
      <c r="J27" s="590">
        <f>J28/1.3</f>
        <v/>
      </c>
      <c r="K27" s="590">
        <f>K28/1.3</f>
        <v/>
      </c>
      <c r="L27" s="590">
        <f>L28/1.3</f>
        <v/>
      </c>
      <c r="M27" s="590">
        <f>M28/1.3</f>
        <v/>
      </c>
      <c r="N27" s="590">
        <f>N28/1.3</f>
        <v/>
      </c>
      <c r="O27" s="590">
        <f>O28/1.3</f>
        <v/>
      </c>
      <c r="P27" s="590">
        <f>P28/1.3</f>
        <v/>
      </c>
      <c r="Q27" s="590">
        <f>Q28/1.3</f>
        <v/>
      </c>
      <c r="R27" s="590">
        <f>R28/1.3</f>
        <v/>
      </c>
    </row>
    <row r="28" ht="15" customHeight="1" s="307">
      <c r="A28" s="321" t="inlineStr">
        <is>
          <t>Total Loaded (+ 30%)</t>
        </is>
      </c>
      <c r="D28" s="590">
        <f>0.4527*'23. Fund OpBudget'!$C$27</f>
        <v/>
      </c>
      <c r="E28" s="590">
        <f>0.9947*'23. Fund OpBudget'!$C$27</f>
        <v/>
      </c>
      <c r="F28" s="590">
        <f>'23. Fund OpBudget'!$C$27</f>
        <v/>
      </c>
      <c r="G28" s="590">
        <f>'23. Fund OpBudget'!$C$27</f>
        <v/>
      </c>
      <c r="H28" s="590">
        <f>'23. Fund OpBudget'!$C$27</f>
        <v/>
      </c>
      <c r="I28" s="590">
        <f>'23. Fund OpBudget'!$C$27</f>
        <v/>
      </c>
      <c r="J28" s="590">
        <f>'23. Fund OpBudget'!$C$27</f>
        <v/>
      </c>
      <c r="K28" s="590">
        <f>'23. Fund OpBudget'!$C$27</f>
        <v/>
      </c>
      <c r="L28" s="590">
        <f>'23. Fund OpBudget'!$C$27</f>
        <v/>
      </c>
      <c r="M28" s="590">
        <f>'23. Fund OpBudget'!$C$27</f>
        <v/>
      </c>
      <c r="N28" s="590">
        <f>'23. Fund OpBudget'!$C$27</f>
        <v/>
      </c>
      <c r="O28" s="590">
        <f>'23. Fund OpBudget'!$C$27</f>
        <v/>
      </c>
      <c r="P28" s="590">
        <f>'23. Fund OpBudget'!$C$27</f>
        <v/>
      </c>
      <c r="Q28" s="590">
        <f>'23. Fund OpBudget'!$C$27</f>
        <v/>
      </c>
      <c r="R28" s="590">
        <f>'23. Fund OpBudget'!$C$27</f>
        <v/>
      </c>
    </row>
    <row r="29" ht="15" customHeight="1" s="307">
      <c r="A29" s="322" t="inlineStr">
        <is>
          <t>Bonus Pool</t>
        </is>
      </c>
      <c r="D29" s="591" t="n">
        <v>0</v>
      </c>
      <c r="E29" s="591" t="n">
        <v>0</v>
      </c>
      <c r="F29" s="591" t="n">
        <v>7878</v>
      </c>
      <c r="G29" s="591" t="n">
        <v>6934</v>
      </c>
      <c r="H29" s="591" t="n">
        <v>6047</v>
      </c>
      <c r="I29" s="591" t="n">
        <v>5450</v>
      </c>
      <c r="J29" s="591" t="n">
        <v>5093</v>
      </c>
      <c r="K29" s="591" t="n">
        <v>4939</v>
      </c>
      <c r="L29" s="591" t="n">
        <v>4956</v>
      </c>
      <c r="M29" s="591" t="n">
        <v>5120</v>
      </c>
      <c r="N29" s="591" t="n">
        <v>5411</v>
      </c>
      <c r="O29" s="591" t="n">
        <v>5814</v>
      </c>
      <c r="P29" s="591" t="n">
        <v>6317</v>
      </c>
      <c r="Q29" s="591" t="n">
        <v>6909</v>
      </c>
      <c r="R29" s="591" t="n">
        <v>7583</v>
      </c>
    </row>
    <row r="30" ht="15" customHeight="1" s="307">
      <c r="A30" s="460" t="inlineStr">
        <is>
          <t>Total Compensation</t>
        </is>
      </c>
      <c r="B30" s="463" t="n"/>
      <c r="C30" s="463" t="n"/>
      <c r="D30" s="592" t="n">
        <v>5186</v>
      </c>
      <c r="E30" s="592" t="n">
        <v>11395</v>
      </c>
      <c r="F30" s="592" t="n">
        <v>19335</v>
      </c>
      <c r="G30" s="592" t="n">
        <v>18391</v>
      </c>
      <c r="H30" s="592" t="n">
        <v>17504</v>
      </c>
      <c r="I30" s="592" t="n">
        <v>16906</v>
      </c>
      <c r="J30" s="592" t="n">
        <v>16549</v>
      </c>
      <c r="K30" s="592" t="n">
        <v>16395</v>
      </c>
      <c r="L30" s="592" t="n">
        <v>16412</v>
      </c>
      <c r="M30" s="592" t="n">
        <v>16576</v>
      </c>
      <c r="N30" s="592" t="n">
        <v>16868</v>
      </c>
      <c r="O30" s="592" t="n">
        <v>17271</v>
      </c>
      <c r="P30" s="592" t="n">
        <v>17773</v>
      </c>
      <c r="Q30" s="592" t="n">
        <v>18365</v>
      </c>
      <c r="R30" s="592" t="n">
        <v>19040</v>
      </c>
    </row>
    <row r="31">
      <c r="A31" s="706" t="inlineStr">
        <is>
          <t>RECONCILED: steady-state = Tab 23 loaded total ($7,637K/yr). Y1=45%, Y2=99% ramp (CEO/CFO pre-deal, full team by M16).</t>
        </is>
      </c>
    </row>
    <row r="32" ht="15" customHeight="1" s="307">
      <c r="A32" s="321" t="inlineStr">
        <is>
          <t>ARR Step Multiplier</t>
        </is>
      </c>
      <c r="D32" s="394" t="inlineStr">
        <is>
          <t>1.0x</t>
        </is>
      </c>
      <c r="E32" s="394" t="inlineStr">
        <is>
          <t>1.5x</t>
        </is>
      </c>
      <c r="F32" s="394" t="inlineStr">
        <is>
          <t>1.5x</t>
        </is>
      </c>
      <c r="G32" s="394" t="inlineStr">
        <is>
          <t>1.5x</t>
        </is>
      </c>
      <c r="H32" s="394" t="inlineStr">
        <is>
          <t>1.5x</t>
        </is>
      </c>
      <c r="I32" s="394" t="inlineStr">
        <is>
          <t>1.5x</t>
        </is>
      </c>
      <c r="J32" s="394" t="inlineStr">
        <is>
          <t>1.5x</t>
        </is>
      </c>
      <c r="K32" s="394" t="inlineStr">
        <is>
          <t>1.5x</t>
        </is>
      </c>
      <c r="L32" s="394" t="inlineStr">
        <is>
          <t>1.5x</t>
        </is>
      </c>
      <c r="M32" s="394" t="inlineStr">
        <is>
          <t>1.5x</t>
        </is>
      </c>
      <c r="N32" s="394" t="inlineStr">
        <is>
          <t>1.5x</t>
        </is>
      </c>
      <c r="O32" s="394" t="inlineStr">
        <is>
          <t>1.5x</t>
        </is>
      </c>
      <c r="P32" s="394" t="inlineStr">
        <is>
          <t>1.5x</t>
        </is>
      </c>
      <c r="Q32" s="394" t="inlineStr">
        <is>
          <t>1.5x</t>
        </is>
      </c>
      <c r="R32" s="394" t="inlineStr">
        <is>
          <t>1.5x</t>
        </is>
      </c>
    </row>
    <row r="33" ht="15" customHeight="1" s="307">
      <c r="A33" s="321" t="inlineStr">
        <is>
          <t>Portfolio Revenue ($mm)</t>
        </is>
      </c>
      <c r="D33" s="394" t="n">
        <v>42.4</v>
      </c>
      <c r="E33" s="394" t="n">
        <v>122.4</v>
      </c>
      <c r="F33" s="394" t="n">
        <v>118.9</v>
      </c>
      <c r="G33" s="394" t="n">
        <v>111.5</v>
      </c>
      <c r="H33" s="394" t="n">
        <v>106.1</v>
      </c>
      <c r="I33" s="394" t="n">
        <v>102.5</v>
      </c>
      <c r="J33" s="394" t="n">
        <v>100.3</v>
      </c>
      <c r="K33" s="394" t="n">
        <v>99.40000000000001</v>
      </c>
      <c r="L33" s="394" t="n">
        <v>99.5</v>
      </c>
      <c r="M33" s="394" t="n">
        <v>100.5</v>
      </c>
      <c r="N33" s="394" t="n">
        <v>102.2</v>
      </c>
      <c r="O33" s="394" t="n">
        <v>104.7</v>
      </c>
      <c r="P33" s="394" t="n">
        <v>107.7</v>
      </c>
      <c r="Q33" s="394" t="n">
        <v>111.3</v>
      </c>
      <c r="R33" s="394" t="n">
        <v>115.4</v>
      </c>
    </row>
    <row r="34" ht="15" customHeight="1" s="307">
      <c r="A34" s="321" t="inlineStr">
        <is>
          <t>Headcount</t>
        </is>
      </c>
      <c r="D34" s="394" t="n">
        <v>19</v>
      </c>
      <c r="E34" s="394" t="n">
        <v>20</v>
      </c>
      <c r="F34" s="394" t="n">
        <v>20</v>
      </c>
      <c r="G34" s="394" t="n">
        <v>20</v>
      </c>
      <c r="H34" s="394" t="n">
        <v>20</v>
      </c>
      <c r="I34" s="394" t="n">
        <v>20</v>
      </c>
      <c r="J34" s="394" t="n">
        <v>20</v>
      </c>
      <c r="K34" s="394" t="n">
        <v>20</v>
      </c>
      <c r="L34" s="394" t="n">
        <v>20</v>
      </c>
      <c r="M34" s="394" t="n">
        <v>20</v>
      </c>
      <c r="N34" s="394" t="n">
        <v>20</v>
      </c>
      <c r="O34" s="394" t="n">
        <v>20</v>
      </c>
      <c r="P34" s="394" t="n">
        <v>20</v>
      </c>
      <c r="Q34" s="394" t="n">
        <v>20</v>
      </c>
      <c r="R34" s="394" t="n">
        <v>20</v>
      </c>
    </row>
    <row r="37" ht="15" customHeight="1" s="307">
      <c r="A37" s="325" t="inlineStr">
        <is>
          <t>BONUS ALLOCATION BY ROLE ($K)</t>
        </is>
      </c>
      <c r="B37" s="309" t="n"/>
      <c r="C37" s="309" t="n"/>
      <c r="D37" s="309" t="n"/>
      <c r="E37" s="309" t="n"/>
      <c r="F37" s="309" t="n"/>
      <c r="G37" s="309" t="n"/>
      <c r="H37" s="309" t="n"/>
      <c r="I37" s="309" t="n"/>
      <c r="J37" s="309" t="n"/>
      <c r="K37" s="309" t="n"/>
      <c r="L37" s="309" t="n"/>
      <c r="M37" s="309" t="n"/>
      <c r="N37" s="309" t="n"/>
      <c r="O37" s="309" t="n"/>
      <c r="P37" s="309" t="n"/>
      <c r="Q37" s="309" t="n"/>
      <c r="R37" s="309" t="n"/>
    </row>
    <row r="38" ht="15" customHeight="1" s="307">
      <c r="A38" s="321" t="inlineStr">
        <is>
          <t>CEO</t>
        </is>
      </c>
      <c r="D38" s="590" t="n"/>
      <c r="E38" s="590" t="n"/>
      <c r="F38" s="589" t="n">
        <v>1341</v>
      </c>
      <c r="G38" s="590" t="n">
        <v>1180</v>
      </c>
      <c r="H38" s="589" t="n">
        <v>1029</v>
      </c>
      <c r="I38" s="590" t="n">
        <v>928</v>
      </c>
      <c r="J38" s="589" t="n">
        <v>867</v>
      </c>
      <c r="K38" s="590" t="n">
        <v>841</v>
      </c>
      <c r="L38" s="589" t="n">
        <v>844</v>
      </c>
      <c r="M38" s="590" t="n">
        <v>872</v>
      </c>
      <c r="N38" s="589" t="n">
        <v>921</v>
      </c>
      <c r="O38" s="590" t="n">
        <v>990</v>
      </c>
      <c r="P38" s="589" t="n">
        <v>1075</v>
      </c>
      <c r="Q38" s="590" t="n">
        <v>1176</v>
      </c>
      <c r="R38" s="589" t="n">
        <v>1291</v>
      </c>
    </row>
    <row r="39" ht="15" customHeight="1" s="307">
      <c r="A39" s="321" t="inlineStr">
        <is>
          <t>CFO</t>
        </is>
      </c>
      <c r="D39" s="590" t="n"/>
      <c r="E39" s="590" t="n"/>
      <c r="F39" s="589" t="n">
        <v>671</v>
      </c>
      <c r="G39" s="590" t="n">
        <v>590</v>
      </c>
      <c r="H39" s="589" t="n">
        <v>515</v>
      </c>
      <c r="I39" s="590" t="n">
        <v>464</v>
      </c>
      <c r="J39" s="589" t="n">
        <v>433</v>
      </c>
      <c r="K39" s="590" t="n">
        <v>420</v>
      </c>
      <c r="L39" s="589" t="n">
        <v>422</v>
      </c>
      <c r="M39" s="590" t="n">
        <v>436</v>
      </c>
      <c r="N39" s="589" t="n">
        <v>461</v>
      </c>
      <c r="O39" s="590" t="n">
        <v>495</v>
      </c>
      <c r="P39" s="589" t="n">
        <v>538</v>
      </c>
      <c r="Q39" s="590" t="n">
        <v>588</v>
      </c>
      <c r="R39" s="589" t="n">
        <v>645</v>
      </c>
    </row>
    <row r="40" ht="15" customHeight="1" s="307">
      <c r="A40" s="321" t="inlineStr">
        <is>
          <t>COO</t>
        </is>
      </c>
      <c r="D40" s="590" t="n"/>
      <c r="E40" s="590" t="n"/>
      <c r="F40" s="589" t="n">
        <v>671</v>
      </c>
      <c r="G40" s="590" t="n">
        <v>590</v>
      </c>
      <c r="H40" s="589" t="n">
        <v>515</v>
      </c>
      <c r="I40" s="590" t="n">
        <v>464</v>
      </c>
      <c r="J40" s="589" t="n">
        <v>433</v>
      </c>
      <c r="K40" s="590" t="n">
        <v>420</v>
      </c>
      <c r="L40" s="589" t="n">
        <v>422</v>
      </c>
      <c r="M40" s="590" t="n">
        <v>436</v>
      </c>
      <c r="N40" s="589" t="n">
        <v>461</v>
      </c>
      <c r="O40" s="590" t="n">
        <v>495</v>
      </c>
      <c r="P40" s="589" t="n">
        <v>538</v>
      </c>
      <c r="Q40" s="590" t="n">
        <v>588</v>
      </c>
      <c r="R40" s="589" t="n">
        <v>645</v>
      </c>
    </row>
    <row r="41" ht="15" customHeight="1" s="307">
      <c r="A41" s="321" t="inlineStr">
        <is>
          <t>CPO</t>
        </is>
      </c>
      <c r="D41" s="590" t="n"/>
      <c r="E41" s="590" t="n"/>
      <c r="F41" s="589" t="n">
        <v>671</v>
      </c>
      <c r="G41" s="590" t="n">
        <v>590</v>
      </c>
      <c r="H41" s="589" t="n">
        <v>515</v>
      </c>
      <c r="I41" s="590" t="n">
        <v>464</v>
      </c>
      <c r="J41" s="589" t="n">
        <v>433</v>
      </c>
      <c r="K41" s="590" t="n">
        <v>420</v>
      </c>
      <c r="L41" s="589" t="n">
        <v>422</v>
      </c>
      <c r="M41" s="590" t="n">
        <v>436</v>
      </c>
      <c r="N41" s="589" t="n">
        <v>461</v>
      </c>
      <c r="O41" s="590" t="n">
        <v>495</v>
      </c>
      <c r="P41" s="589" t="n">
        <v>538</v>
      </c>
      <c r="Q41" s="590" t="n">
        <v>588</v>
      </c>
      <c r="R41" s="589" t="n">
        <v>645</v>
      </c>
    </row>
    <row r="42" ht="15" customHeight="1" s="307">
      <c r="A42" s="321" t="inlineStr">
        <is>
          <t>CTO</t>
        </is>
      </c>
      <c r="D42" s="590" t="n"/>
      <c r="E42" s="590" t="n"/>
      <c r="F42" s="589" t="n">
        <v>671</v>
      </c>
      <c r="G42" s="590" t="n">
        <v>590</v>
      </c>
      <c r="H42" s="589" t="n">
        <v>515</v>
      </c>
      <c r="I42" s="590" t="n">
        <v>464</v>
      </c>
      <c r="J42" s="589" t="n">
        <v>433</v>
      </c>
      <c r="K42" s="590" t="n">
        <v>420</v>
      </c>
      <c r="L42" s="589" t="n">
        <v>422</v>
      </c>
      <c r="M42" s="590" t="n">
        <v>436</v>
      </c>
      <c r="N42" s="589" t="n">
        <v>461</v>
      </c>
      <c r="O42" s="590" t="n">
        <v>495</v>
      </c>
      <c r="P42" s="589" t="n">
        <v>538</v>
      </c>
      <c r="Q42" s="590" t="n">
        <v>588</v>
      </c>
      <c r="R42" s="589" t="n">
        <v>645</v>
      </c>
    </row>
    <row r="43" ht="15" customHeight="1" s="307">
      <c r="A43" s="321" t="inlineStr">
        <is>
          <t>CRO</t>
        </is>
      </c>
      <c r="D43" s="590" t="n"/>
      <c r="E43" s="590" t="n"/>
      <c r="F43" s="589" t="n">
        <v>671</v>
      </c>
      <c r="G43" s="590" t="n">
        <v>590</v>
      </c>
      <c r="H43" s="589" t="n">
        <v>515</v>
      </c>
      <c r="I43" s="590" t="n">
        <v>464</v>
      </c>
      <c r="J43" s="589" t="n">
        <v>433</v>
      </c>
      <c r="K43" s="590" t="n">
        <v>420</v>
      </c>
      <c r="L43" s="589" t="n">
        <v>422</v>
      </c>
      <c r="M43" s="590" t="n">
        <v>436</v>
      </c>
      <c r="N43" s="589" t="n">
        <v>461</v>
      </c>
      <c r="O43" s="590" t="n">
        <v>495</v>
      </c>
      <c r="P43" s="589" t="n">
        <v>538</v>
      </c>
      <c r="Q43" s="590" t="n">
        <v>588</v>
      </c>
      <c r="R43" s="589" t="n">
        <v>645</v>
      </c>
    </row>
    <row r="44" ht="15" customHeight="1" s="307">
      <c r="A44" s="321" t="inlineStr">
        <is>
          <t>Sr Operator 1</t>
        </is>
      </c>
      <c r="D44" s="590" t="n"/>
      <c r="E44" s="590" t="n"/>
      <c r="F44" s="589" t="n">
        <v>335</v>
      </c>
      <c r="G44" s="590" t="n">
        <v>295</v>
      </c>
      <c r="H44" s="589" t="n">
        <v>257</v>
      </c>
      <c r="I44" s="590" t="n">
        <v>232</v>
      </c>
      <c r="J44" s="589" t="n">
        <v>217</v>
      </c>
      <c r="K44" s="590" t="n">
        <v>210</v>
      </c>
      <c r="L44" s="589" t="n">
        <v>211</v>
      </c>
      <c r="M44" s="590" t="n">
        <v>218</v>
      </c>
      <c r="N44" s="589" t="n">
        <v>230</v>
      </c>
      <c r="O44" s="590" t="n">
        <v>247</v>
      </c>
      <c r="P44" s="589" t="n">
        <v>269</v>
      </c>
      <c r="Q44" s="590" t="n">
        <v>294</v>
      </c>
      <c r="R44" s="589" t="n">
        <v>323</v>
      </c>
    </row>
    <row r="45" ht="15" customHeight="1" s="307">
      <c r="A45" s="321" t="inlineStr">
        <is>
          <t>Sr Operator 2</t>
        </is>
      </c>
      <c r="D45" s="590" t="n"/>
      <c r="E45" s="590" t="n"/>
      <c r="F45" s="589" t="n">
        <v>335</v>
      </c>
      <c r="G45" s="590" t="n">
        <v>295</v>
      </c>
      <c r="H45" s="589" t="n">
        <v>257</v>
      </c>
      <c r="I45" s="590" t="n">
        <v>232</v>
      </c>
      <c r="J45" s="589" t="n">
        <v>217</v>
      </c>
      <c r="K45" s="590" t="n">
        <v>210</v>
      </c>
      <c r="L45" s="589" t="n">
        <v>211</v>
      </c>
      <c r="M45" s="590" t="n">
        <v>218</v>
      </c>
      <c r="N45" s="589" t="n">
        <v>230</v>
      </c>
      <c r="O45" s="590" t="n">
        <v>247</v>
      </c>
      <c r="P45" s="589" t="n">
        <v>269</v>
      </c>
      <c r="Q45" s="590" t="n">
        <v>294</v>
      </c>
      <c r="R45" s="589" t="n">
        <v>323</v>
      </c>
    </row>
    <row r="46" ht="15" customHeight="1" s="307">
      <c r="A46" s="321" t="inlineStr">
        <is>
          <t>Sr Operator 3</t>
        </is>
      </c>
      <c r="D46" s="590" t="n"/>
      <c r="E46" s="590" t="n"/>
      <c r="F46" s="589" t="n">
        <v>335</v>
      </c>
      <c r="G46" s="590" t="n">
        <v>295</v>
      </c>
      <c r="H46" s="589" t="n">
        <v>257</v>
      </c>
      <c r="I46" s="590" t="n">
        <v>232</v>
      </c>
      <c r="J46" s="589" t="n">
        <v>217</v>
      </c>
      <c r="K46" s="590" t="n">
        <v>210</v>
      </c>
      <c r="L46" s="589" t="n">
        <v>211</v>
      </c>
      <c r="M46" s="590" t="n">
        <v>218</v>
      </c>
      <c r="N46" s="589" t="n">
        <v>230</v>
      </c>
      <c r="O46" s="590" t="n">
        <v>247</v>
      </c>
      <c r="P46" s="589" t="n">
        <v>269</v>
      </c>
      <c r="Q46" s="590" t="n">
        <v>294</v>
      </c>
      <c r="R46" s="589" t="n">
        <v>323</v>
      </c>
    </row>
    <row r="47" ht="15" customHeight="1" s="307">
      <c r="A47" s="321" t="inlineStr">
        <is>
          <t>Sr Operator 4</t>
        </is>
      </c>
      <c r="D47" s="590" t="n"/>
      <c r="E47" s="590" t="n"/>
      <c r="F47" s="589" t="n">
        <v>335</v>
      </c>
      <c r="G47" s="590" t="n">
        <v>295</v>
      </c>
      <c r="H47" s="589" t="n">
        <v>257</v>
      </c>
      <c r="I47" s="590" t="n">
        <v>232</v>
      </c>
      <c r="J47" s="589" t="n">
        <v>217</v>
      </c>
      <c r="K47" s="590" t="n">
        <v>210</v>
      </c>
      <c r="L47" s="589" t="n">
        <v>211</v>
      </c>
      <c r="M47" s="590" t="n">
        <v>218</v>
      </c>
      <c r="N47" s="589" t="n">
        <v>230</v>
      </c>
      <c r="O47" s="590" t="n">
        <v>247</v>
      </c>
      <c r="P47" s="589" t="n">
        <v>269</v>
      </c>
      <c r="Q47" s="590" t="n">
        <v>294</v>
      </c>
      <c r="R47" s="589" t="n">
        <v>323</v>
      </c>
    </row>
    <row r="48" ht="15" customHeight="1" s="307">
      <c r="A48" s="321" t="inlineStr">
        <is>
          <t>Sr Operator 5</t>
        </is>
      </c>
      <c r="D48" s="590" t="n"/>
      <c r="E48" s="590" t="n"/>
      <c r="F48" s="589" t="n">
        <v>335</v>
      </c>
      <c r="G48" s="590" t="n">
        <v>295</v>
      </c>
      <c r="H48" s="589" t="n">
        <v>257</v>
      </c>
      <c r="I48" s="590" t="n">
        <v>232</v>
      </c>
      <c r="J48" s="589" t="n">
        <v>217</v>
      </c>
      <c r="K48" s="590" t="n">
        <v>210</v>
      </c>
      <c r="L48" s="589" t="n">
        <v>211</v>
      </c>
      <c r="M48" s="590" t="n">
        <v>218</v>
      </c>
      <c r="N48" s="589" t="n">
        <v>230</v>
      </c>
      <c r="O48" s="590" t="n">
        <v>247</v>
      </c>
      <c r="P48" s="589" t="n">
        <v>269</v>
      </c>
      <c r="Q48" s="590" t="n">
        <v>294</v>
      </c>
      <c r="R48" s="589" t="n">
        <v>323</v>
      </c>
    </row>
    <row r="49" ht="15" customHeight="1" s="307">
      <c r="A49" s="321" t="inlineStr">
        <is>
          <t>Jr Operator 1</t>
        </is>
      </c>
      <c r="D49" s="590" t="n"/>
      <c r="E49" s="590" t="n"/>
      <c r="F49" s="589" t="n">
        <v>168</v>
      </c>
      <c r="G49" s="590" t="n">
        <v>148</v>
      </c>
      <c r="H49" s="589" t="n">
        <v>129</v>
      </c>
      <c r="I49" s="590" t="n">
        <v>116</v>
      </c>
      <c r="J49" s="589" t="n">
        <v>108</v>
      </c>
      <c r="K49" s="590" t="n">
        <v>105</v>
      </c>
      <c r="L49" s="589" t="n">
        <v>105</v>
      </c>
      <c r="M49" s="590" t="n">
        <v>109</v>
      </c>
      <c r="N49" s="589" t="n">
        <v>115</v>
      </c>
      <c r="O49" s="590" t="n">
        <v>124</v>
      </c>
      <c r="P49" s="589" t="n">
        <v>134</v>
      </c>
      <c r="Q49" s="590" t="n">
        <v>147</v>
      </c>
      <c r="R49" s="589" t="n">
        <v>161</v>
      </c>
    </row>
    <row r="50" ht="15" customHeight="1" s="307">
      <c r="A50" s="321" t="inlineStr">
        <is>
          <t>Jr Operator 2</t>
        </is>
      </c>
      <c r="D50" s="590" t="n"/>
      <c r="E50" s="590" t="n"/>
      <c r="F50" s="589" t="n">
        <v>168</v>
      </c>
      <c r="G50" s="590" t="n">
        <v>148</v>
      </c>
      <c r="H50" s="589" t="n">
        <v>129</v>
      </c>
      <c r="I50" s="590" t="n">
        <v>116</v>
      </c>
      <c r="J50" s="589" t="n">
        <v>108</v>
      </c>
      <c r="K50" s="590" t="n">
        <v>105</v>
      </c>
      <c r="L50" s="589" t="n">
        <v>105</v>
      </c>
      <c r="M50" s="590" t="n">
        <v>109</v>
      </c>
      <c r="N50" s="589" t="n">
        <v>115</v>
      </c>
      <c r="O50" s="590" t="n">
        <v>124</v>
      </c>
      <c r="P50" s="589" t="n">
        <v>134</v>
      </c>
      <c r="Q50" s="590" t="n">
        <v>147</v>
      </c>
      <c r="R50" s="589" t="n">
        <v>161</v>
      </c>
    </row>
    <row r="51" ht="15" customHeight="1" s="307">
      <c r="A51" s="321" t="inlineStr">
        <is>
          <t>Jr Operator 3</t>
        </is>
      </c>
      <c r="D51" s="590" t="n"/>
      <c r="E51" s="590" t="n"/>
      <c r="F51" s="589" t="n">
        <v>168</v>
      </c>
      <c r="G51" s="590" t="n">
        <v>148</v>
      </c>
      <c r="H51" s="589" t="n">
        <v>129</v>
      </c>
      <c r="I51" s="590" t="n">
        <v>116</v>
      </c>
      <c r="J51" s="589" t="n">
        <v>108</v>
      </c>
      <c r="K51" s="590" t="n">
        <v>105</v>
      </c>
      <c r="L51" s="589" t="n">
        <v>105</v>
      </c>
      <c r="M51" s="590" t="n">
        <v>109</v>
      </c>
      <c r="N51" s="589" t="n">
        <v>115</v>
      </c>
      <c r="O51" s="590" t="n">
        <v>124</v>
      </c>
      <c r="P51" s="589" t="n">
        <v>134</v>
      </c>
      <c r="Q51" s="590" t="n">
        <v>147</v>
      </c>
      <c r="R51" s="589" t="n">
        <v>161</v>
      </c>
    </row>
    <row r="52" ht="15" customHeight="1" s="307">
      <c r="A52" s="321" t="inlineStr">
        <is>
          <t>Jr Operator 4</t>
        </is>
      </c>
      <c r="D52" s="590" t="n"/>
      <c r="E52" s="590" t="n"/>
      <c r="F52" s="589" t="n">
        <v>168</v>
      </c>
      <c r="G52" s="590" t="n">
        <v>148</v>
      </c>
      <c r="H52" s="589" t="n">
        <v>129</v>
      </c>
      <c r="I52" s="590" t="n">
        <v>116</v>
      </c>
      <c r="J52" s="589" t="n">
        <v>108</v>
      </c>
      <c r="K52" s="590" t="n">
        <v>105</v>
      </c>
      <c r="L52" s="589" t="n">
        <v>105</v>
      </c>
      <c r="M52" s="590" t="n">
        <v>109</v>
      </c>
      <c r="N52" s="589" t="n">
        <v>115</v>
      </c>
      <c r="O52" s="590" t="n">
        <v>124</v>
      </c>
      <c r="P52" s="589" t="n">
        <v>134</v>
      </c>
      <c r="Q52" s="590" t="n">
        <v>147</v>
      </c>
      <c r="R52" s="589" t="n">
        <v>161</v>
      </c>
    </row>
    <row r="53" ht="15" customHeight="1" s="307">
      <c r="A53" s="321" t="inlineStr">
        <is>
          <t>Jr Operator 5</t>
        </is>
      </c>
      <c r="D53" s="590" t="n"/>
      <c r="E53" s="590" t="n"/>
      <c r="F53" s="589" t="n">
        <v>168</v>
      </c>
      <c r="G53" s="590" t="n">
        <v>148</v>
      </c>
      <c r="H53" s="589" t="n">
        <v>129</v>
      </c>
      <c r="I53" s="590" t="n">
        <v>116</v>
      </c>
      <c r="J53" s="589" t="n">
        <v>108</v>
      </c>
      <c r="K53" s="590" t="n">
        <v>105</v>
      </c>
      <c r="L53" s="589" t="n">
        <v>105</v>
      </c>
      <c r="M53" s="590" t="n">
        <v>109</v>
      </c>
      <c r="N53" s="589" t="n">
        <v>115</v>
      </c>
      <c r="O53" s="590" t="n">
        <v>124</v>
      </c>
      <c r="P53" s="589" t="n">
        <v>134</v>
      </c>
      <c r="Q53" s="590" t="n">
        <v>147</v>
      </c>
      <c r="R53" s="589" t="n">
        <v>161</v>
      </c>
    </row>
    <row r="54" ht="15" customHeight="1" s="307">
      <c r="A54" s="321" t="inlineStr">
        <is>
          <t>Jr Operator 6</t>
        </is>
      </c>
      <c r="D54" s="590" t="n"/>
      <c r="E54" s="590" t="n"/>
      <c r="F54" s="589" t="n">
        <v>168</v>
      </c>
      <c r="G54" s="590" t="n">
        <v>148</v>
      </c>
      <c r="H54" s="589" t="n">
        <v>129</v>
      </c>
      <c r="I54" s="590" t="n">
        <v>116</v>
      </c>
      <c r="J54" s="589" t="n">
        <v>108</v>
      </c>
      <c r="K54" s="590" t="n">
        <v>105</v>
      </c>
      <c r="L54" s="589" t="n">
        <v>105</v>
      </c>
      <c r="M54" s="590" t="n">
        <v>109</v>
      </c>
      <c r="N54" s="589" t="n">
        <v>115</v>
      </c>
      <c r="O54" s="590" t="n">
        <v>124</v>
      </c>
      <c r="P54" s="589" t="n">
        <v>134</v>
      </c>
      <c r="Q54" s="590" t="n">
        <v>147</v>
      </c>
      <c r="R54" s="589" t="n">
        <v>161</v>
      </c>
    </row>
    <row r="55" ht="15" customHeight="1" s="307">
      <c r="A55" s="321" t="inlineStr">
        <is>
          <t>Jr Operator 7</t>
        </is>
      </c>
      <c r="D55" s="590" t="n"/>
      <c r="E55" s="590" t="n"/>
      <c r="F55" s="589" t="n">
        <v>168</v>
      </c>
      <c r="G55" s="590" t="n">
        <v>148</v>
      </c>
      <c r="H55" s="589" t="n">
        <v>129</v>
      </c>
      <c r="I55" s="590" t="n">
        <v>116</v>
      </c>
      <c r="J55" s="589" t="n">
        <v>108</v>
      </c>
      <c r="K55" s="590" t="n">
        <v>105</v>
      </c>
      <c r="L55" s="589" t="n">
        <v>105</v>
      </c>
      <c r="M55" s="590" t="n">
        <v>109</v>
      </c>
      <c r="N55" s="589" t="n">
        <v>115</v>
      </c>
      <c r="O55" s="590" t="n">
        <v>124</v>
      </c>
      <c r="P55" s="589" t="n">
        <v>134</v>
      </c>
      <c r="Q55" s="590" t="n">
        <v>147</v>
      </c>
      <c r="R55" s="589" t="n">
        <v>161</v>
      </c>
    </row>
    <row r="56" ht="15" customHeight="1" s="307">
      <c r="A56" s="321" t="inlineStr">
        <is>
          <t>Jr Operator 8</t>
        </is>
      </c>
      <c r="D56" s="590" t="n"/>
      <c r="E56" s="590" t="n"/>
      <c r="F56" s="589" t="n">
        <v>168</v>
      </c>
      <c r="G56" s="590" t="n">
        <v>148</v>
      </c>
      <c r="H56" s="589" t="n">
        <v>129</v>
      </c>
      <c r="I56" s="590" t="n">
        <v>116</v>
      </c>
      <c r="J56" s="589" t="n">
        <v>108</v>
      </c>
      <c r="K56" s="590" t="n">
        <v>105</v>
      </c>
      <c r="L56" s="589" t="n">
        <v>105</v>
      </c>
      <c r="M56" s="590" t="n">
        <v>109</v>
      </c>
      <c r="N56" s="589" t="n">
        <v>115</v>
      </c>
      <c r="O56" s="590" t="n">
        <v>124</v>
      </c>
      <c r="P56" s="589" t="n">
        <v>134</v>
      </c>
      <c r="Q56" s="590" t="n">
        <v>147</v>
      </c>
      <c r="R56" s="589" t="n">
        <v>161</v>
      </c>
    </row>
    <row r="57" ht="15" customHeight="1" s="307">
      <c r="A57" s="321" t="inlineStr">
        <is>
          <t>Jr Operator 9</t>
        </is>
      </c>
      <c r="D57" s="590" t="n"/>
      <c r="E57" s="590" t="n"/>
      <c r="F57" s="589" t="n">
        <v>168</v>
      </c>
      <c r="G57" s="590" t="n">
        <v>148</v>
      </c>
      <c r="H57" s="589" t="n">
        <v>129</v>
      </c>
      <c r="I57" s="590" t="n">
        <v>116</v>
      </c>
      <c r="J57" s="589" t="n">
        <v>108</v>
      </c>
      <c r="K57" s="590" t="n">
        <v>105</v>
      </c>
      <c r="L57" s="589" t="n">
        <v>105</v>
      </c>
      <c r="M57" s="590" t="n">
        <v>109</v>
      </c>
      <c r="N57" s="589" t="n">
        <v>115</v>
      </c>
      <c r="O57" s="590" t="n">
        <v>124</v>
      </c>
      <c r="P57" s="589" t="n">
        <v>134</v>
      </c>
      <c r="Q57" s="590" t="n">
        <v>147</v>
      </c>
      <c r="R57" s="589" t="n">
        <v>161</v>
      </c>
    </row>
    <row r="59" ht="15" customHeight="1" s="307">
      <c r="A59" s="334" t="inlineStr">
        <is>
          <t>CONFIDENTIAL -- DO NOT DISTRIBUTE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6" customWidth="1" style="307" min="1" max="1"/>
    <col width="52" customWidth="1" style="307" min="2" max="2"/>
    <col width="50" customWidth="1" style="307" min="3" max="3"/>
    <col width="42" customWidth="1" style="307" min="4" max="4"/>
    <col width="55" customWidth="1" style="307" min="5" max="5"/>
  </cols>
  <sheetData>
    <row r="1">
      <c r="A1" s="633" t="inlineStr">
        <is>
          <t>GOVERNANCE DISCLOSURE  --  TRACK RECORD + COMMIT (PARTIAL)</t>
        </is>
      </c>
    </row>
    <row r="2">
      <c r="A2" s="615" t="inlineStr">
        <is>
          <t>LP DD checklist. None of these are disclosed in the current deck. Fill in from LPA before commitment.</t>
        </is>
      </c>
    </row>
    <row r="4" ht="28" customHeight="1" s="307">
      <c r="A4" s="643" t="inlineStr">
        <is>
          <t>Item</t>
        </is>
      </c>
      <c r="B4" s="643" t="inlineStr">
        <is>
          <t>What it answers</t>
        </is>
      </c>
      <c r="C4" s="643" t="inlineStr">
        <is>
          <t>Press disclosure</t>
        </is>
      </c>
      <c r="D4" s="643" t="inlineStr">
        <is>
          <t>Typical market term</t>
        </is>
      </c>
      <c r="E4" s="643" t="inlineStr">
        <is>
          <t>LP question</t>
        </is>
      </c>
    </row>
    <row r="5" ht="48" customHeight="1" s="307">
      <c r="A5" s="635" t="inlineStr">
        <is>
          <t>GP Commit %</t>
        </is>
      </c>
      <c r="B5" s="636" t="inlineStr">
        <is>
          <t>How much of the GP's own money is in the fund?</t>
        </is>
      </c>
      <c r="C5" s="640" t="inlineStr">
        <is>
          <t>NOT DISCLOSED</t>
        </is>
      </c>
      <c r="D5" s="638" t="inlineStr">
        <is>
          <t>1-5% of fund size</t>
        </is>
      </c>
      <c r="E5" s="638" t="inlineStr">
        <is>
          <t>What's your $$ at risk?</t>
        </is>
      </c>
    </row>
    <row r="6" ht="48" customHeight="1" s="307">
      <c r="A6" s="635" t="inlineStr">
        <is>
          <t>Key Person</t>
        </is>
      </c>
      <c r="B6" s="636" t="inlineStr">
        <is>
          <t>What happens if the lead partner(s) leave?</t>
        </is>
      </c>
      <c r="C6" s="640" t="inlineStr">
        <is>
          <t>NOT DISCLOSED</t>
        </is>
      </c>
      <c r="D6" s="638" t="inlineStr">
        <is>
          <t>Pauses new investments; LP vote (50%+) to resume</t>
        </is>
      </c>
      <c r="E6" s="638" t="inlineStr">
        <is>
          <t>Who are the key persons? What triggers a pause?</t>
        </is>
      </c>
    </row>
    <row r="7" ht="48" customHeight="1" s="307">
      <c r="A7" s="635" t="inlineStr">
        <is>
          <t>Clawback</t>
        </is>
      </c>
      <c r="B7" s="636" t="inlineStr">
        <is>
          <t>If late years erase gains, must GP return excess carry?</t>
        </is>
      </c>
      <c r="C7" s="640" t="inlineStr">
        <is>
          <t>NOT DISCLOSED</t>
        </is>
      </c>
      <c r="D7" s="638" t="inlineStr">
        <is>
          <t>Yes, at fund end; sometimes with interest</t>
        </is>
      </c>
      <c r="E7" s="638" t="inlineStr">
        <is>
          <t>Engine Y15 shows distributable can go negative -- is carry clawed back?</t>
        </is>
      </c>
    </row>
    <row r="8" ht="48" customHeight="1" s="307">
      <c r="A8" s="635" t="inlineStr">
        <is>
          <t>LPAC</t>
        </is>
      </c>
      <c r="B8" s="636" t="inlineStr">
        <is>
          <t>Which LPs sit on the advisory committee?</t>
        </is>
      </c>
      <c r="C8" s="640" t="inlineStr">
        <is>
          <t>NOT DISCLOSED</t>
        </is>
      </c>
      <c r="D8" s="638" t="inlineStr">
        <is>
          <t>3-7 LPs by commitment size</t>
        </is>
      </c>
      <c r="E8" s="638" t="inlineStr">
        <is>
          <t>How are LPAC seats allocated? What can LPAC veto?</t>
        </is>
      </c>
    </row>
    <row r="9" ht="48" customHeight="1" s="307">
      <c r="A9" s="635" t="inlineStr">
        <is>
          <t>Valuation Policy</t>
        </is>
      </c>
      <c r="B9" s="636" t="inlineStr">
        <is>
          <t>How are private OpCos marked each quarter?</t>
        </is>
      </c>
      <c r="C9" s="640" t="inlineStr">
        <is>
          <t>NOT DISCLOSED</t>
        </is>
      </c>
      <c r="D9" s="638" t="inlineStr">
        <is>
          <t>ASC 820 fair value; quarterly; annual independent review</t>
        </is>
      </c>
      <c r="E9" s="638" t="inlineStr">
        <is>
          <t>Who values? How are write-downs triggered?</t>
        </is>
      </c>
    </row>
    <row r="10" ht="48" customHeight="1" s="307">
      <c r="A10" s="635" t="inlineStr">
        <is>
          <t>Investment Period</t>
        </is>
      </c>
      <c r="B10" s="636" t="inlineStr">
        <is>
          <t>How long can the GP make new investments?</t>
        </is>
      </c>
      <c r="C10" s="640" t="inlineStr">
        <is>
          <t>NOT DISCLOSED</t>
        </is>
      </c>
      <c r="D10" s="638" t="inlineStr">
        <is>
          <t>5 years + 1-year extensions</t>
        </is>
      </c>
      <c r="E10" s="638" t="inlineStr">
        <is>
          <t>When does the recycling period end?</t>
        </is>
      </c>
    </row>
    <row r="11" ht="48" customHeight="1" s="307">
      <c r="A11" s="635" t="inlineStr">
        <is>
          <t>Fund Term</t>
        </is>
      </c>
      <c r="B11" s="636" t="inlineStr">
        <is>
          <t>When does the fund wind down?</t>
        </is>
      </c>
      <c r="C11" s="640" t="inlineStr">
        <is>
          <t>NOT DISCLOSED</t>
        </is>
      </c>
      <c r="D11" s="638" t="inlineStr">
        <is>
          <t>10 years + 2 one-year extensions</t>
        </is>
      </c>
      <c r="E11" s="638" t="inlineStr">
        <is>
          <t>Model assumes 15Y -- is that contractual?</t>
        </is>
      </c>
    </row>
    <row r="12" ht="48" customHeight="1" s="307">
      <c r="A12" s="635" t="inlineStr">
        <is>
          <t>GP Removal</t>
        </is>
      </c>
      <c r="B12" s="636" t="inlineStr">
        <is>
          <t>Can LPs fire the GP?</t>
        </is>
      </c>
      <c r="C12" s="640" t="inlineStr">
        <is>
          <t>NOT DISCLOSED</t>
        </is>
      </c>
      <c r="D12" s="638" t="inlineStr">
        <is>
          <t>For cause: 50% LP vote; without cause: 75-80%</t>
        </is>
      </c>
      <c r="E12" s="638" t="inlineStr">
        <is>
          <t>What constitutes "cause"?</t>
        </is>
      </c>
    </row>
    <row r="13" ht="48" customHeight="1" s="307">
      <c r="A13" s="635" t="inlineStr">
        <is>
          <t>Reporting</t>
        </is>
      </c>
      <c r="B13" s="636" t="inlineStr">
        <is>
          <t>What financial reports does the LP get?</t>
        </is>
      </c>
      <c r="C13" s="640" t="inlineStr">
        <is>
          <t>NOT DISCLOSED</t>
        </is>
      </c>
      <c r="D13" s="638" t="inlineStr">
        <is>
          <t>Quarterly NAV + audited annual + ILPA template</t>
        </is>
      </c>
      <c r="E13" s="638" t="inlineStr">
        <is>
          <t>Will Press use ILPA template? Cadence?</t>
        </is>
      </c>
    </row>
    <row r="14" ht="48" customHeight="1" s="307">
      <c r="A14" s="635" t="inlineStr">
        <is>
          <t>Conflicts Policy</t>
        </is>
      </c>
      <c r="B14" s="636" t="inlineStr">
        <is>
          <t>Cross-fund transactions, related-party fees</t>
        </is>
      </c>
      <c r="C14" s="640" t="inlineStr">
        <is>
          <t>NOT DISCLOSED</t>
        </is>
      </c>
      <c r="D14" s="638" t="inlineStr">
        <is>
          <t>Disclosed + LPAC approval required</t>
        </is>
      </c>
      <c r="E14" s="638" t="inlineStr">
        <is>
          <t>Are any OpCos sourced from related parties?</t>
        </is>
      </c>
    </row>
    <row r="15" ht="48" customHeight="1" s="307">
      <c r="A15" s="635" t="inlineStr">
        <is>
          <t>Co-investment Rights</t>
        </is>
      </c>
      <c r="B15" s="636" t="inlineStr">
        <is>
          <t>Can LPs co-invest alongside the fund?</t>
        </is>
      </c>
      <c r="C15" s="640" t="inlineStr">
        <is>
          <t>NOT DISCLOSED</t>
        </is>
      </c>
      <c r="D15" s="638" t="inlineStr">
        <is>
          <t>Pro-rata by commitment; no fee/no carry on co-invest</t>
        </is>
      </c>
      <c r="E15" s="638" t="inlineStr">
        <is>
          <t>Will Press offer co-invest? Terms?</t>
        </is>
      </c>
    </row>
    <row r="16" ht="48" customHeight="1" s="307">
      <c r="A16" s="635" t="inlineStr">
        <is>
          <t>Indemnification</t>
        </is>
      </c>
      <c r="B16" s="636" t="inlineStr">
        <is>
          <t>How is GP shielded from LP claims?</t>
        </is>
      </c>
      <c r="C16" s="640" t="inlineStr">
        <is>
          <t>NOT DISCLOSED</t>
        </is>
      </c>
      <c r="D16" s="638" t="inlineStr">
        <is>
          <t>Standard with carve-out for gross negligence / fraud</t>
        </is>
      </c>
      <c r="E16" s="638" t="inlineStr">
        <is>
          <t>What are the carve-outs?</t>
        </is>
      </c>
    </row>
    <row r="17" ht="48" customHeight="1" s="307">
      <c r="A17" s="635" t="inlineStr">
        <is>
          <t>Side Letters</t>
        </is>
      </c>
      <c r="B17" s="636" t="inlineStr">
        <is>
          <t>Will other LPs get better terms?</t>
        </is>
      </c>
      <c r="C17" s="640" t="inlineStr">
        <is>
          <t>NOT DISCLOSED</t>
        </is>
      </c>
      <c r="D17" s="638" t="inlineStr">
        <is>
          <t>MFN clause typical</t>
        </is>
      </c>
      <c r="E17" s="638" t="inlineStr">
        <is>
          <t>Is there MFN? Will all side letters be disclosed?</t>
        </is>
      </c>
    </row>
    <row r="18" ht="48" customHeight="1" s="307">
      <c r="A18" s="635" t="inlineStr">
        <is>
          <t>Fund Expenses</t>
        </is>
      </c>
      <c r="B18" s="636" t="inlineStr">
        <is>
          <t>What expenses does the fund bear vs the GP?</t>
        </is>
      </c>
      <c r="C18" s="640" t="inlineStr">
        <is>
          <t>NOT DISCLOSED</t>
        </is>
      </c>
      <c r="D18" s="638" t="inlineStr">
        <is>
          <t>LPA defines; partnership exp, broken deal, D&amp;O, audit -- LP cost</t>
        </is>
      </c>
      <c r="E18" s="638" t="inlineStr">
        <is>
          <t>Per CHANGE LOG #18, fund-level OpEx is currently unfunded in S&amp;U.</t>
        </is>
      </c>
    </row>
    <row r="19" ht="48" customHeight="1" s="307">
      <c r="A19" s="635" t="inlineStr">
        <is>
          <t>ESG / Reporting Standards</t>
        </is>
      </c>
      <c r="B19" s="636" t="inlineStr">
        <is>
          <t>Any ESG or impact reporting commitments?</t>
        </is>
      </c>
      <c r="C19" s="640" t="inlineStr">
        <is>
          <t>NOT DISCLOSED</t>
        </is>
      </c>
      <c r="D19" s="638" t="inlineStr">
        <is>
          <t>Increasingly standard</t>
        </is>
      </c>
      <c r="E19" s="638" t="inlineStr">
        <is>
          <t>Any commitments?</t>
        </is>
      </c>
    </row>
    <row r="21">
      <c r="A21" s="627" t="inlineStr">
        <is>
          <t>All entries marked NOT DISCLOSED need to be sourced from the LPA before LP commitment. Material to underwriting.</t>
        </is>
      </c>
    </row>
    <row r="25">
      <c r="A25" s="642" t="inlineStr">
        <is>
          <t>TRACK RECORD (GP-DISCLOSED)</t>
        </is>
      </c>
    </row>
    <row r="26">
      <c r="A26" s="628" t="inlineStr">
        <is>
          <t>Prior deals</t>
        </is>
      </c>
      <c r="B26" s="706" t="inlineStr">
        <is>
          <t>3 deals completed</t>
        </is>
      </c>
      <c r="C26" s="615" t="inlineStr">
        <is>
          <t>Need: outcome detail per deal, hold period, exit type</t>
        </is>
      </c>
    </row>
    <row r="27">
      <c r="A27" s="628" t="inlineStr">
        <is>
          <t>Most recent IRR</t>
        </is>
      </c>
      <c r="B27" s="706" t="inlineStr">
        <is>
          <t>36% (GP-stated)</t>
        </is>
      </c>
      <c r="C27" s="615" t="inlineStr">
        <is>
          <t>Need: realized vs projected, gross vs net, cash flow detail</t>
        </is>
      </c>
    </row>
    <row r="28">
      <c r="A28" s="628" t="inlineStr">
        <is>
          <t>Operating track record</t>
        </is>
      </c>
      <c r="B28" s="706" t="inlineStr">
        <is>
          <t>3 years at 75% net margin</t>
        </is>
      </c>
      <c r="C28" s="615" t="inlineStr">
        <is>
          <t>Need: which company, scale, audited financials</t>
        </is>
      </c>
    </row>
    <row r="29">
      <c r="A29" s="628" t="inlineStr">
        <is>
          <t>GP commit</t>
        </is>
      </c>
      <c r="B29" s="706" t="inlineStr">
        <is>
          <t>1% of fund = $1.5M</t>
        </is>
      </c>
      <c r="C29" s="615" t="inlineStr">
        <is>
          <t>Below market norm 2-5%; carry/commit ratio = 32x</t>
        </is>
      </c>
    </row>
    <row r="31">
      <c r="A31" s="642" t="inlineStr">
        <is>
          <t>RECYCLING PROVISIONS (50% RECYCLE STRUCTURE)</t>
        </is>
      </c>
      <c r="B31" s="650" t="n"/>
      <c r="C31" s="650" t="n"/>
      <c r="D31" s="650" t="n"/>
      <c r="E31" s="650" t="n"/>
    </row>
    <row r="32">
      <c r="A32" s="757" t="inlineStr">
        <is>
          <t>Provision</t>
        </is>
      </c>
      <c r="B32" s="757" t="inlineStr">
        <is>
          <t>Term</t>
        </is>
      </c>
      <c r="C32" s="757" t="inlineStr">
        <is>
          <t>Market reference / notes</t>
        </is>
      </c>
    </row>
    <row r="33" ht="42" customHeight="1" s="307">
      <c r="A33" s="635" t="inlineStr">
        <is>
          <t>Recycling window</t>
        </is>
      </c>
      <c r="B33" s="636" t="inlineStr">
        <is>
          <t>Investment Period only (Years 1-5). No recycling after IP ends; all proceeds distributed.</t>
        </is>
      </c>
      <c r="C33" s="638" t="inlineStr">
        <is>
          <t>Standard. The master trigger — recycling permitted solely during the commitment/investment period.</t>
        </is>
      </c>
    </row>
    <row r="34" ht="42" customHeight="1" s="307">
      <c r="A34" s="635" t="inlineStr">
        <is>
          <t>What may be recycled</t>
        </is>
      </c>
      <c r="B34" s="636" t="inlineStr">
        <is>
          <t>50% of OpCo operating distributable cash during the window. Exit/RoC proceeds within 18 months of acquisition also recyclable.</t>
        </is>
      </c>
      <c r="C34" s="638" t="inlineStr">
        <is>
          <t>Current-income recycle, capped at 50% retention. LP receives the other 50% as current distributions.</t>
        </is>
      </c>
    </row>
    <row r="35" ht="42" customHeight="1" s="307">
      <c r="A35" s="635" t="inlineStr">
        <is>
          <t>Legal mechanism</t>
        </is>
      </c>
      <c r="B35" s="636" t="inlineStr">
        <is>
          <t>Recallable Distributions: distributions designated recallable may be called back for reinvestment, up to the deployment cap, during the IP.</t>
        </is>
      </c>
      <c r="C35" s="638" t="inlineStr">
        <is>
          <t>ILPA-standard recycling mechanic.</t>
        </is>
      </c>
    </row>
    <row r="36" ht="42" customHeight="1" s="307">
      <c r="A36" s="635" t="inlineStr">
        <is>
          <t>Aggregate deployment cap</t>
        </is>
      </c>
      <c r="B36" s="636" t="inlineStr">
        <is>
          <t>Up to 150% of committed capital may be invested (100% base + up to 50% recycled).</t>
        </is>
      </c>
      <c r="C36" s="638" t="inlineStr">
        <is>
          <t>Within market range (110-150%). Press targets ~9 deals: 5 base + 4 recycled.</t>
        </is>
      </c>
    </row>
    <row r="37" ht="42" customHeight="1" s="307">
      <c r="A37" s="635" t="inlineStr">
        <is>
          <t>Management fee on recycled $</t>
        </is>
      </c>
      <c r="B37" s="636" t="inlineStr">
        <is>
          <t>ZERO. Mgmt fee charged on committed capital only; never on recycled/reinvested amounts.</t>
        </is>
      </c>
      <c r="C37" s="638" t="inlineStr">
        <is>
          <t>Standard LP protection against double fees. (Moot here — Press fee is ~0 after Y2.)</t>
        </is>
      </c>
    </row>
    <row r="38" ht="42" customHeight="1" s="307">
      <c r="A38" s="635" t="inlineStr">
        <is>
          <t>GP discretion</t>
        </is>
      </c>
      <c r="B38" s="636" t="inlineStr">
        <is>
          <t>GP may elect to recycle up to the 50% cap; not obligated. Amounts not recycled are distributed.</t>
        </is>
      </c>
      <c r="C38" s="638" t="inlineStr">
        <is>
          <t>Gives GP flexibility to distribute if attractive deals are scarce.</t>
        </is>
      </c>
    </row>
    <row r="39" ht="42" customHeight="1" s="307">
      <c r="A39" s="635" t="inlineStr">
        <is>
          <t>LP liquidity protection</t>
        </is>
      </c>
      <c r="B39" s="636" t="inlineStr">
        <is>
          <t>Minimum 50% of distributable cash flows to LPs currently each year during IP (the un-retained half).</t>
        </is>
      </c>
      <c r="C39" s="638" t="inlineStr">
        <is>
          <t>The core of the 50% (vs 100%) structure — LPs keep receiving cash while the fund compounds.</t>
        </is>
      </c>
    </row>
    <row r="40" ht="42" customHeight="1" s="307">
      <c r="A40" s="635" t="inlineStr">
        <is>
          <t>Recycle sufficiency</t>
        </is>
      </c>
      <c r="B40" s="636" t="inlineStr">
        <is>
          <t>Recycled deals funded solely from retained cash; no incremental capital calls. Model shows $244M retained vs $134M needed.</t>
        </is>
      </c>
      <c r="C40" s="638" t="inlineStr">
        <is>
          <t>No capital-call surprise. Sufficiency verified at each deal close (Tab _Engine_R50).</t>
        </is>
      </c>
    </row>
    <row r="41" ht="42" customHeight="1" s="307">
      <c r="A41" s="635" t="inlineStr">
        <is>
          <t>Sunset</t>
        </is>
      </c>
      <c r="B41" s="636" t="inlineStr">
        <is>
          <t>Any recallable distribution not recalled within the IP is permanently released to LPs.</t>
        </is>
      </c>
      <c r="C41" s="638" t="inlineStr">
        <is>
          <t>Standard.</t>
        </is>
      </c>
    </row>
    <row r="43">
      <c r="A43" s="706" t="inlineStr">
        <is>
          <t>WHY 50% (alignment):</t>
        </is>
      </c>
    </row>
    <row r="44" ht="42" customHeight="1" s="307">
      <c r="A44" s="758" t="inlineStr">
        <is>
          <t>Positive-sum: recycling compounds capital into more cash-generating OpCos, so LP cash AND GP carry both rise. Unlike a fee increase (LP-&gt;GP transfer), it grows the pie. 50% (vs 100%) keeps LPs in current cash while still compounding.</t>
        </is>
      </c>
    </row>
    <row r="45">
      <c r="A45" s="628" t="inlineStr">
        <is>
          <t>Deployment pace</t>
        </is>
      </c>
      <c r="B45" s="306" t="inlineStr">
        <is>
          <t>50% recycle window = through ~2 years post full deployment (~Month 40). 3 recycled deals close M24/32/40.</t>
        </is>
      </c>
      <c r="C45" s="615" t="inlineStr">
        <is>
          <t>Stress-tested: retained cash covers every recycled deal even at 80% NDR (+$19M min cushion).</t>
        </is>
      </c>
    </row>
    <row r="47">
      <c r="A47" s="628" t="inlineStr">
        <is>
          <t>Revenue thesis (NDR build)</t>
        </is>
      </c>
      <c r="B47" s="306" t="inlineStr">
        <is>
          <t>Growth engine OFF. NDR = gross retention + price increases + efficient upsell/cross-sell. Ex: 90% GDR + 10% price = ~100% NDR.</t>
        </is>
      </c>
      <c r="C47" s="615" t="inlineStr">
        <is>
          <t>Bear 85% / Base 95% / Bull 105% NDR. No discretionary growth spend modeled.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" customWidth="1" style="307" min="1" max="1"/>
    <col width="18" customWidth="1" style="307" min="2" max="2"/>
    <col width="50" customWidth="1" style="307" min="3" max="3"/>
    <col width="50" customWidth="1" style="307" min="4" max="4"/>
    <col width="11" customWidth="1" style="307" min="5" max="5"/>
    <col width="38" customWidth="1" style="307" min="6" max="6"/>
  </cols>
  <sheetData>
    <row r="1">
      <c r="A1" s="633" t="inlineStr">
        <is>
          <t>PRESS CAPITAL FUND I  --  LP TERM SHEET ASKS</t>
        </is>
      </c>
    </row>
    <row r="2">
      <c r="A2" s="615" t="inlineStr">
        <is>
          <t>Negotiation asks based on model findings. Each item is a CONDITION OF COMMITMENT or NEGOTIATING POSITION.</t>
        </is>
      </c>
    </row>
    <row r="3">
      <c r="A3" s="615" t="inlineStr">
        <is>
          <t>Generated from QA findings. Material asks (red) are deal-killers if not granted.</t>
        </is>
      </c>
    </row>
    <row r="5" ht="28" customHeight="1" s="307">
      <c r="A5" s="643" t="inlineStr">
        <is>
          <t>#</t>
        </is>
      </c>
      <c r="B5" s="643" t="inlineStr">
        <is>
          <t>Category</t>
        </is>
      </c>
      <c r="C5" s="643" t="inlineStr">
        <is>
          <t>Ask</t>
        </is>
      </c>
      <c r="D5" s="643" t="inlineStr">
        <is>
          <t>Rationale (from model)</t>
        </is>
      </c>
      <c r="E5" s="643" t="inlineStr">
        <is>
          <t>Severity</t>
        </is>
      </c>
      <c r="F5" s="643" t="inlineStr">
        <is>
          <t>Acceptable fallback</t>
        </is>
      </c>
    </row>
    <row r="6" ht="56" customHeight="1" s="307">
      <c r="A6" s="635" t="inlineStr">
        <is>
          <t>1</t>
        </is>
      </c>
      <c r="B6" s="636" t="inlineStr">
        <is>
          <t>Capital sizing</t>
        </is>
      </c>
      <c r="C6" s="636" t="inlineStr">
        <is>
          <t>Raise fund to $151M OR cut per-deal ARR to $23.85M</t>
        </is>
      </c>
      <c r="D6" s="638" t="inlineStr">
        <is>
          <t>S&amp;U after $5M+$0.5M reserves = $150.4M uses. Current $150M fund is $0.4M short.</t>
        </is>
      </c>
      <c r="E6" s="640" t="inlineStr">
        <is>
          <t>Material</t>
        </is>
      </c>
      <c r="F6" s="638" t="inlineStr">
        <is>
          <t>Reduce broken deal reserve to $0.1M</t>
        </is>
      </c>
    </row>
    <row r="7" ht="56" customHeight="1" s="307">
      <c r="A7" s="635" t="inlineStr">
        <is>
          <t>2</t>
        </is>
      </c>
      <c r="B7" s="636" t="inlineStr">
        <is>
          <t>Capital sizing</t>
        </is>
      </c>
      <c r="C7" s="636" t="inlineStr">
        <is>
          <t>Fund-level reserve of $5M for 15Y partnership exp / audit / D&amp;O / fund admin</t>
        </is>
      </c>
      <c r="D7" s="638" t="inlineStr">
        <is>
          <t>Originally unfunded. Would otherwise flow through OpCo P&amp;Ls = LP-invisible.</t>
        </is>
      </c>
      <c r="E7" s="640" t="inlineStr">
        <is>
          <t>Material</t>
        </is>
      </c>
      <c r="F7" s="638" t="inlineStr">
        <is>
          <t>Reserve $3M minimum</t>
        </is>
      </c>
    </row>
    <row r="8" ht="56" customHeight="1" s="307">
      <c r="A8" s="635" t="inlineStr">
        <is>
          <t>3</t>
        </is>
      </c>
      <c r="B8" s="636" t="inlineStr">
        <is>
          <t>Carry structure</t>
        </is>
      </c>
      <c r="C8" s="636" t="inlineStr">
        <is>
          <t>GP carry as % of TOTAL GP economics disclosed in deck</t>
        </is>
      </c>
      <c r="D8" s="638" t="inlineStr">
        <is>
          <t>GP carry is $107M (NR) but TOTAL GP economics = $202M-$422M. Team comp + bonus pool not disclosed as GP take.</t>
        </is>
      </c>
      <c r="E8" s="640" t="inlineStr">
        <is>
          <t>Material</t>
        </is>
      </c>
      <c r="F8" s="638" t="inlineStr">
        <is>
          <t>Disclose Tab 15 restated table in deck</t>
        </is>
      </c>
    </row>
    <row r="9" ht="56" customHeight="1" s="307">
      <c r="A9" s="635" t="inlineStr">
        <is>
          <t>4</t>
        </is>
      </c>
      <c r="B9" s="636" t="inlineStr">
        <is>
          <t>Bonus pool</t>
        </is>
      </c>
      <c r="C9" s="636" t="inlineStr">
        <is>
          <t>Raise bonus threshold from 62.5% to 70% OR hard cap at $X per OpCo per year</t>
        </is>
      </c>
      <c r="D9" s="638" t="inlineStr">
        <is>
          <t>Bonus pool = $10M (NR) to $116M (recycle). 12x scaling on operating leverage flows entirely to GP.</t>
        </is>
      </c>
      <c r="E9" s="640" t="inlineStr">
        <is>
          <t>Material</t>
        </is>
      </c>
      <c r="F9" s="638" t="inlineStr">
        <is>
          <t>Hard cap $2M/deal/yr</t>
        </is>
      </c>
    </row>
    <row r="10" ht="56" customHeight="1" s="307">
      <c r="A10" s="635" t="inlineStr">
        <is>
          <t>5</t>
        </is>
      </c>
      <c r="B10" s="636" t="inlineStr">
        <is>
          <t>Mgmt fee</t>
        </is>
      </c>
      <c r="C10" s="636" t="inlineStr">
        <is>
          <t>Confirm 2% Y1 only, 0% thereafter (already LP-favorable)</t>
        </is>
      </c>
      <c r="D10" s="638" t="inlineStr">
        <is>
          <t>Tab 1 implies this; LPA should match.</t>
        </is>
      </c>
      <c r="E10" s="637" t="inlineStr">
        <is>
          <t>Confirm</t>
        </is>
      </c>
      <c r="F10" s="638" t="inlineStr">
        <is>
          <t>Standard 2/10 step-down acceptable if other GP economics reduced</t>
        </is>
      </c>
    </row>
    <row r="11" ht="56" customHeight="1" s="307">
      <c r="A11" s="635" t="inlineStr">
        <is>
          <t>6</t>
        </is>
      </c>
      <c r="B11" s="636" t="inlineStr">
        <is>
          <t>GP commit</t>
        </is>
      </c>
      <c r="C11" s="636" t="inlineStr">
        <is>
          <t>Minimum 2% of fund size ($3M)</t>
        </is>
      </c>
      <c r="D11" s="638" t="inlineStr">
        <is>
          <t>Currently 0% disclosed. GP carry of $107M+ vs $0 commit = no alignment.</t>
        </is>
      </c>
      <c r="E11" s="640" t="inlineStr">
        <is>
          <t>Material</t>
        </is>
      </c>
      <c r="F11" s="638" t="inlineStr">
        <is>
          <t>1% commit ($1.5M)</t>
        </is>
      </c>
    </row>
    <row r="12" ht="56" customHeight="1" s="307">
      <c r="A12" s="635" t="inlineStr">
        <is>
          <t>7</t>
        </is>
      </c>
      <c r="B12" s="636" t="inlineStr">
        <is>
          <t>Clawback</t>
        </is>
      </c>
      <c r="C12" s="636" t="inlineStr">
        <is>
          <t>European waterfall with interest accrual at 8%; tested at fund termination</t>
        </is>
      </c>
      <c r="D12" s="638" t="inlineStr">
        <is>
          <t>Engine clawback math shows base case = $0 but stress (Tab 13 combined severe) would activate. No clawback = GP keeps early carry if late years go negative.</t>
        </is>
      </c>
      <c r="E12" s="640" t="inlineStr">
        <is>
          <t>Material</t>
        </is>
      </c>
      <c r="F12" s="638" t="inlineStr">
        <is>
          <t>No-interest clawback acceptable</t>
        </is>
      </c>
    </row>
    <row r="13" ht="56" customHeight="1" s="307">
      <c r="A13" s="635" t="inlineStr">
        <is>
          <t>8</t>
        </is>
      </c>
      <c r="B13" s="636" t="inlineStr">
        <is>
          <t>Base case</t>
        </is>
      </c>
      <c r="C13" s="636" t="inlineStr">
        <is>
          <t>Re-state deck DPI/IRR at "LP Base Case" (NDR cap 0.95)</t>
        </is>
      </c>
      <c r="D13" s="638" t="inlineStr">
        <is>
          <t>Current deck base case (NDR mix incl 2 deals @ 1.0) gives 4.12x. LP Base Case = 3.09x. Different number.</t>
        </is>
      </c>
      <c r="E13" s="640" t="inlineStr">
        <is>
          <t>Material</t>
        </is>
      </c>
      <c r="F13" s="638" t="inlineStr">
        <is>
          <t>Provide both Bull and Base cases in deck</t>
        </is>
      </c>
    </row>
    <row r="14" ht="56" customHeight="1" s="307">
      <c r="A14" s="635" t="inlineStr">
        <is>
          <t>9</t>
        </is>
      </c>
      <c r="B14" s="636" t="inlineStr">
        <is>
          <t>NDR mix</t>
        </is>
      </c>
      <c r="C14" s="636" t="inlineStr">
        <is>
          <t>Justify 2 of 5 deals at NDR=1.00 with comparable transactions</t>
        </is>
      </c>
      <c r="D14" s="638" t="inlineStr">
        <is>
          <t>Sustained 100% NDR is top-decile SaaS. Press shows 2/5 (40%) of portfolio at this level. Implausible base case.</t>
        </is>
      </c>
      <c r="E14" s="640" t="inlineStr">
        <is>
          <t>Material</t>
        </is>
      </c>
      <c r="F14" s="638" t="inlineStr">
        <is>
          <t>Cap base-case NDR at 0.95</t>
        </is>
      </c>
    </row>
    <row r="15" ht="56" customHeight="1" s="307">
      <c r="A15" s="635" t="inlineStr">
        <is>
          <t>10</t>
        </is>
      </c>
      <c r="B15" s="636" t="inlineStr">
        <is>
          <t>Exit thesis</t>
        </is>
      </c>
      <c r="C15" s="636" t="inlineStr">
        <is>
          <t>Identify 3 comparable transactions of legacy SaaS at 2x ARR / 3.2x EBITDA</t>
        </is>
      </c>
      <c r="D15" s="638" t="inlineStr">
        <is>
          <t>$120M Y10 exit = 20% of LP cash. No buyer/comp disclosed.</t>
        </is>
      </c>
      <c r="E15" s="640" t="inlineStr">
        <is>
          <t>Material</t>
        </is>
      </c>
      <c r="F15" s="638" t="inlineStr">
        <is>
          <t>Strip exit from base case</t>
        </is>
      </c>
    </row>
    <row r="16" ht="56" customHeight="1" s="307">
      <c r="A16" s="635" t="inlineStr">
        <is>
          <t>11</t>
        </is>
      </c>
      <c r="B16" s="636" t="inlineStr">
        <is>
          <t>Concentration</t>
        </is>
      </c>
      <c r="C16" s="636" t="inlineStr">
        <is>
          <t>Disclose per-deal cash contribution and identify how diligence avoids 2-deal concentration</t>
        </is>
      </c>
      <c r="D16" s="638" t="inlineStr">
        <is>
          <t>Tab 7 shows top 2 deals = 68% of LP cash. If either fails, returns collapse to ~2x.</t>
        </is>
      </c>
      <c r="E16" s="639" t="inlineStr">
        <is>
          <t>High</t>
        </is>
      </c>
      <c r="F16" s="638" t="inlineStr">
        <is>
          <t>Increase deal count to 7+ for diversification</t>
        </is>
      </c>
    </row>
    <row r="17" ht="56" customHeight="1" s="307">
      <c r="A17" s="635" t="inlineStr">
        <is>
          <t>12</t>
        </is>
      </c>
      <c r="B17" s="636" t="inlineStr">
        <is>
          <t>Investment period</t>
        </is>
      </c>
      <c r="C17" s="636" t="inlineStr">
        <is>
          <t>Extend to 4 years (vs current 3) to allow learning loop</t>
        </is>
      </c>
      <c r="D17" s="638" t="inlineStr">
        <is>
          <t>M4-M16 close = 12-month deployment of 5 deals. Concentration risk in time.</t>
        </is>
      </c>
      <c r="E17" s="698" t="inlineStr">
        <is>
          <t>Medium</t>
        </is>
      </c>
      <c r="F17" s="638" t="inlineStr">
        <is>
          <t>Pause after deal #3 for review</t>
        </is>
      </c>
    </row>
    <row r="18" ht="56" customHeight="1" s="307">
      <c r="A18" s="635" t="inlineStr">
        <is>
          <t>13</t>
        </is>
      </c>
      <c r="B18" s="636" t="inlineStr">
        <is>
          <t>Key person</t>
        </is>
      </c>
      <c r="C18" s="636" t="inlineStr">
        <is>
          <t>Name primary and secondary key persons. Suspension trigger if either departs.</t>
        </is>
      </c>
      <c r="D18" s="638" t="inlineStr">
        <is>
          <t>Tab 27 governance shows NOT DISCLOSED.</t>
        </is>
      </c>
      <c r="E18" s="640" t="inlineStr">
        <is>
          <t>Material</t>
        </is>
      </c>
      <c r="F18" s="638" t="inlineStr">
        <is>
          <t>Name 1 key person</t>
        </is>
      </c>
    </row>
    <row r="19" ht="56" customHeight="1" s="307">
      <c r="A19" s="635" t="inlineStr">
        <is>
          <t>14</t>
        </is>
      </c>
      <c r="B19" s="636" t="inlineStr">
        <is>
          <t>LPAC</t>
        </is>
      </c>
      <c r="C19" s="636" t="inlineStr">
        <is>
          <t>LPAC seats for commitments &gt;=$25M. Voting rights on conflicts/valuations/extensions.</t>
        </is>
      </c>
      <c r="D19" s="638" t="inlineStr">
        <is>
          <t>Tab 27 -- not disclosed.</t>
        </is>
      </c>
      <c r="E19" s="639" t="inlineStr">
        <is>
          <t>High</t>
        </is>
      </c>
      <c r="F19" s="638" t="inlineStr">
        <is>
          <t>Observer seat at $25M; voting at $40M</t>
        </is>
      </c>
    </row>
    <row r="20" ht="56" customHeight="1" s="307">
      <c r="A20" s="635" t="inlineStr">
        <is>
          <t>15</t>
        </is>
      </c>
      <c r="B20" s="636" t="inlineStr">
        <is>
          <t>Valuation policy</t>
        </is>
      </c>
      <c r="C20" s="636" t="inlineStr">
        <is>
          <t>ASC 820 fair value. Quarterly NAV. Independent annual review.</t>
        </is>
      </c>
      <c r="D20" s="638" t="inlineStr">
        <is>
          <t>Tab 27 -- not disclosed. OpCos are illiquid private holdings.</t>
        </is>
      </c>
      <c r="E20" s="639" t="inlineStr">
        <is>
          <t>High</t>
        </is>
      </c>
      <c r="F20" s="638" t="inlineStr">
        <is>
          <t>Quarterly NAV with annual review acceptable</t>
        </is>
      </c>
    </row>
    <row r="21" ht="56" customHeight="1" s="307">
      <c r="A21" s="635" t="inlineStr">
        <is>
          <t>16</t>
        </is>
      </c>
      <c r="B21" s="636" t="inlineStr">
        <is>
          <t>GP removal</t>
        </is>
      </c>
      <c r="C21" s="636" t="inlineStr">
        <is>
          <t>For cause: 50% LP vote. Without cause: 75% LP vote.</t>
        </is>
      </c>
      <c r="D21" s="638" t="inlineStr">
        <is>
          <t>Tab 27 -- not disclosed.</t>
        </is>
      </c>
      <c r="E21" s="639" t="inlineStr">
        <is>
          <t>High</t>
        </is>
      </c>
      <c r="F21" s="638" t="inlineStr">
        <is>
          <t>Standard market terms</t>
        </is>
      </c>
    </row>
    <row r="22" ht="56" customHeight="1" s="307">
      <c r="A22" s="635" t="inlineStr">
        <is>
          <t>17</t>
        </is>
      </c>
      <c r="B22" s="636" t="inlineStr">
        <is>
          <t>Side letters / MFN</t>
        </is>
      </c>
      <c r="C22" s="636" t="inlineStr">
        <is>
          <t>Most-favored-nations clause; all side letters disclosed to LPAC</t>
        </is>
      </c>
      <c r="D22" s="638" t="inlineStr">
        <is>
          <t>Standard protection against anchor LPs getting better terms.</t>
        </is>
      </c>
      <c r="E22" s="639" t="inlineStr">
        <is>
          <t>High</t>
        </is>
      </c>
      <c r="F22" s="638" t="inlineStr">
        <is>
          <t>MFN with carve-outs for tax/regulatory</t>
        </is>
      </c>
    </row>
    <row r="23" ht="56" customHeight="1" s="307">
      <c r="A23" s="635" t="inlineStr">
        <is>
          <t>18</t>
        </is>
      </c>
      <c r="B23" s="636" t="inlineStr">
        <is>
          <t>Reporting</t>
        </is>
      </c>
      <c r="C23" s="636" t="inlineStr">
        <is>
          <t>Quarterly: capital activity, NAV, J-curve, distributable cash. Annual: audited.</t>
        </is>
      </c>
      <c r="D23" s="638" t="inlineStr">
        <is>
          <t>No reporting commitments in deck.</t>
        </is>
      </c>
      <c r="E23" s="639" t="inlineStr">
        <is>
          <t>High</t>
        </is>
      </c>
      <c r="F23" s="638" t="inlineStr">
        <is>
          <t>ILPA template required</t>
        </is>
      </c>
    </row>
    <row r="24" ht="56" customHeight="1" s="307">
      <c r="A24" s="635" t="inlineStr">
        <is>
          <t>19</t>
        </is>
      </c>
      <c r="B24" s="636" t="inlineStr">
        <is>
          <t>Track record</t>
        </is>
      </c>
      <c r="C24" s="636" t="inlineStr">
        <is>
          <t>GP fund history (if any). If first fund, sponsor / industry track record.</t>
        </is>
      </c>
      <c r="D24" s="638" t="inlineStr">
        <is>
          <t>No track record disclosed. Underwriting 26-33% IRR for unknown manager.</t>
        </is>
      </c>
      <c r="E24" s="640" t="inlineStr">
        <is>
          <t>Material</t>
        </is>
      </c>
      <c r="F24" s="638" t="inlineStr">
        <is>
          <t>Reference calls with 3 prior co-investors</t>
        </is>
      </c>
    </row>
    <row r="25" ht="56" customHeight="1" s="307">
      <c r="A25" s="635" t="inlineStr">
        <is>
          <t>20</t>
        </is>
      </c>
      <c r="B25" s="636" t="inlineStr">
        <is>
          <t>Co-invest rights</t>
        </is>
      </c>
      <c r="C25" s="636" t="inlineStr">
        <is>
          <t>Pro-rata co-invest offered to LPs $10M+, no fee/no carry on co-invest</t>
        </is>
      </c>
      <c r="D25" s="638" t="inlineStr">
        <is>
          <t>Standard market term.</t>
        </is>
      </c>
      <c r="E25" s="698" t="inlineStr">
        <is>
          <t>Medium</t>
        </is>
      </c>
      <c r="F25" s="638" t="inlineStr">
        <is>
          <t>Co-invest at standard 1% / 10%</t>
        </is>
      </c>
    </row>
    <row r="26" ht="56" customHeight="1" s="307">
      <c r="A26" s="635" t="inlineStr">
        <is>
          <t>21</t>
        </is>
      </c>
      <c r="B26" s="636" t="inlineStr">
        <is>
          <t>Tax</t>
        </is>
      </c>
      <c r="C26" s="636" t="inlineStr">
        <is>
          <t>Confirm K-1 ordinary treatment for operating distributions; LTCG only at exit</t>
        </is>
      </c>
      <c r="D26" s="638" t="inlineStr">
        <is>
          <t>Tab 17 corrected: 80% ordinary / 20% LTCG. Original deck implied otherwise.</t>
        </is>
      </c>
      <c r="E26" s="637" t="inlineStr">
        <is>
          <t>Confirm</t>
        </is>
      </c>
      <c r="F26" s="638" t="inlineStr">
        <is>
          <t>No fallback -- this is tax law</t>
        </is>
      </c>
    </row>
    <row r="27" ht="56" customHeight="1" s="307">
      <c r="A27" s="635" t="inlineStr">
        <is>
          <t>22</t>
        </is>
      </c>
      <c r="B27" s="636" t="inlineStr">
        <is>
          <t>State tax</t>
        </is>
      </c>
      <c r="C27" s="636" t="inlineStr">
        <is>
          <t>Composite state tax election available for LP states with composite regimes</t>
        </is>
      </c>
      <c r="D27" s="638" t="inlineStr">
        <is>
          <t>Reduces LP admin burden.</t>
        </is>
      </c>
      <c r="E27" s="636" t="inlineStr">
        <is>
          <t>Low</t>
        </is>
      </c>
      <c r="F27" s="638" t="inlineStr">
        <is>
          <t>Acceptable to skip</t>
        </is>
      </c>
    </row>
    <row r="28" ht="56" customHeight="1" s="307">
      <c r="A28" s="635" t="inlineStr">
        <is>
          <t>23</t>
        </is>
      </c>
      <c r="B28" s="636" t="inlineStr">
        <is>
          <t>Conditions precedent</t>
        </is>
      </c>
      <c r="C28" s="636" t="inlineStr">
        <is>
          <t>Final close subject to: LPA delivery, governance disclosure complete, audited Y1 numbers from any predecessor</t>
        </is>
      </c>
      <c r="D28" s="638" t="inlineStr">
        <is>
          <t>Cannot underwrite without LPA.</t>
        </is>
      </c>
      <c r="E28" s="640" t="inlineStr">
        <is>
          <t>Material</t>
        </is>
      </c>
      <c r="F28" s="638" t="inlineStr">
        <is>
          <t>No fallback</t>
        </is>
      </c>
    </row>
    <row r="29" ht="56" customHeight="1" s="307">
      <c r="A29" s="635" t="inlineStr">
        <is>
          <t>24</t>
        </is>
      </c>
      <c r="B29" s="636" t="inlineStr">
        <is>
          <t>Future fees</t>
        </is>
      </c>
      <c r="C29" s="636" t="inlineStr">
        <is>
          <t>Press partners do not draw deal-by-deal fees from OpCos (e.g., transaction, monitoring)</t>
        </is>
      </c>
      <c r="D29" s="638" t="inlineStr">
        <is>
          <t>Not disclosed -- could be hidden GP economics.</t>
        </is>
      </c>
      <c r="E29" s="640" t="inlineStr">
        <is>
          <t>Material</t>
        </is>
      </c>
      <c r="F29" s="638" t="inlineStr">
        <is>
          <t>All OpCo-level fees credited 100% to LP</t>
        </is>
      </c>
    </row>
    <row r="31">
      <c r="A31" s="699" t="inlineStr">
        <is>
          <t>SUMMARY</t>
        </is>
      </c>
    </row>
    <row r="32">
      <c r="A32" s="628" t="inlineStr">
        <is>
          <t>13 MATERIAL  /  6 HIGH  /  2 MEDIUM  /  2 CONFIRM</t>
        </is>
      </c>
    </row>
    <row r="33">
      <c r="A33" s="627" t="inlineStr">
        <is>
          <t>IC POSITION: Do not commit until all MATERIAL items resolved. HIGH items negotiated. MEDIUM items targeted.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cols>
    <col width="36" customWidth="1" style="307" min="1" max="1"/>
    <col width="11" customWidth="1" style="307" min="2" max="2"/>
    <col width="11" customWidth="1" style="307" min="3" max="3"/>
    <col width="11" customWidth="1" style="307" min="4" max="4"/>
    <col width="11" customWidth="1" style="307" min="5" max="5"/>
    <col width="11" customWidth="1" style="307" min="6" max="6"/>
    <col width="11" customWidth="1" style="307" min="7" max="7"/>
    <col width="11" customWidth="1" style="307" min="8" max="8"/>
    <col width="11" customWidth="1" style="307" min="9" max="9"/>
    <col width="11" customWidth="1" style="307" min="10" max="10"/>
    <col width="11" customWidth="1" style="307" min="11" max="11"/>
    <col width="11" customWidth="1" style="307" min="12" max="12"/>
    <col width="11" customWidth="1" style="307" min="13" max="13"/>
    <col width="11" customWidth="1" style="307" min="14" max="14"/>
    <col width="11" customWidth="1" style="307" min="15" max="15"/>
    <col width="11" customWidth="1" style="307" min="16" max="16"/>
    <col width="11" customWidth="1" style="307" min="17" max="17"/>
    <col width="11" customWidth="1" style="307" min="18" max="18"/>
    <col width="11" customWidth="1" style="307" min="19" max="19"/>
    <col width="11" customWidth="1" style="307" min="20" max="20"/>
    <col width="11" customWidth="1" style="307" min="21" max="21"/>
    <col width="11" customWidth="1" style="307" min="22" max="22"/>
    <col width="11" customWidth="1" style="307" min="23" max="23"/>
    <col width="11" customWidth="1" style="307" min="24" max="24"/>
    <col width="11" customWidth="1" style="307" min="25" max="25"/>
  </cols>
  <sheetData>
    <row r="1">
      <c r="A1" s="633" t="inlineStr">
        <is>
          <t>AUTO-CALC ENGINE  --  No Recycle (deals 1-5)</t>
        </is>
      </c>
    </row>
    <row r="2">
      <c r="A2" s="615" t="inlineStr">
        <is>
          <t>Recycle% = 0.0. Recycled deals 6-9 EXCLUDED.</t>
        </is>
      </c>
    </row>
    <row r="4">
      <c r="A4" s="642" t="inlineStr">
        <is>
          <t>INPUTS PULLED FROM TAB 1</t>
        </is>
      </c>
      <c r="D4" s="642" t="inlineStr">
        <is>
          <t>PER-DEAL (deals 1-5 only)</t>
        </is>
      </c>
    </row>
    <row r="5">
      <c r="A5" s="306" t="inlineStr">
        <is>
          <t>Recycle scenario</t>
        </is>
      </c>
      <c r="B5" s="306" t="inlineStr">
        <is>
          <t>No Recycle (deals 1-5)</t>
        </is>
      </c>
      <c r="D5" s="628" t="inlineStr">
        <is>
          <t>Deal</t>
        </is>
      </c>
      <c r="E5" s="628" t="inlineStr">
        <is>
          <t>ARR</t>
        </is>
      </c>
      <c r="F5" s="628" t="inlineStr">
        <is>
          <t>Close M</t>
        </is>
      </c>
      <c r="G5" s="628" t="inlineStr">
        <is>
          <t>Real NDR</t>
        </is>
      </c>
    </row>
    <row r="6">
      <c r="A6" s="306" t="inlineStr">
        <is>
          <t>NDR (uniform real)</t>
        </is>
      </c>
      <c r="B6" s="306">
        <f>'1. Press Assumptions'!$B$22</f>
        <v/>
      </c>
      <c r="D6" s="306" t="inlineStr">
        <is>
          <t>Deal #1</t>
        </is>
      </c>
      <c r="E6" s="306">
        <f>'1. Press Assumptions'!$D$89</f>
        <v/>
      </c>
      <c r="F6" s="306">
        <f>'1. Press Assumptions'!$K$89</f>
        <v/>
      </c>
      <c r="G6" s="306">
        <f>IF('1. Press Assumptions'!$B$136="Bear",0.80,IF('1. Press Assumptions'!$B$136="Bull",1.00,0.90))</f>
        <v/>
      </c>
    </row>
    <row r="7">
      <c r="A7" s="306" t="inlineStr">
        <is>
          <t>Bonus threshold (% margin)</t>
        </is>
      </c>
      <c r="B7" s="306">
        <f>'1. Press Assumptions'!$B$137</f>
        <v/>
      </c>
      <c r="D7" s="306" t="inlineStr">
        <is>
          <t>Deal #2</t>
        </is>
      </c>
      <c r="E7" s="306">
        <f>'1. Press Assumptions'!$D$90</f>
        <v/>
      </c>
      <c r="F7" s="306">
        <f>'1. Press Assumptions'!$K$90</f>
        <v/>
      </c>
      <c r="G7" s="306">
        <f>IF('1. Press Assumptions'!$B$136="Bear",0.80,IF('1. Press Assumptions'!$B$136="Bull",1.00,0.90))</f>
        <v/>
      </c>
    </row>
    <row r="8">
      <c r="A8" s="306" t="inlineStr">
        <is>
          <t>COGS rate</t>
        </is>
      </c>
      <c r="B8" s="306">
        <f>'1. Press Assumptions'!$B$30</f>
        <v/>
      </c>
      <c r="D8" s="306" t="inlineStr">
        <is>
          <t>Deal #3</t>
        </is>
      </c>
      <c r="E8" s="306">
        <f>'1. Press Assumptions'!$D$91</f>
        <v/>
      </c>
      <c r="F8" s="306">
        <f>'1. Press Assumptions'!$K$91</f>
        <v/>
      </c>
      <c r="G8" s="306">
        <f>IF('1. Press Assumptions'!$B$136="Bear",0.80,IF('1. Press Assumptions'!$B$136="Bull",1.00,0.90))</f>
        <v/>
      </c>
    </row>
    <row r="9">
      <c r="A9" s="306" t="inlineStr">
        <is>
          <t>Vendor rate</t>
        </is>
      </c>
      <c r="B9" s="306">
        <f>'1. Press Assumptions'!$B$31</f>
        <v/>
      </c>
      <c r="D9" s="306" t="inlineStr">
        <is>
          <t>Deal #4</t>
        </is>
      </c>
      <c r="E9" s="306">
        <f>'1. Press Assumptions'!$D$92</f>
        <v/>
      </c>
      <c r="F9" s="306">
        <f>'1. Press Assumptions'!$K$92</f>
        <v/>
      </c>
      <c r="G9" s="306">
        <f>IF('1. Press Assumptions'!$B$136="Bear",0.80,IF('1. Press Assumptions'!$B$136="Bull",1.00,0.90))</f>
        <v/>
      </c>
    </row>
    <row r="10">
      <c r="A10" s="306" t="inlineStr">
        <is>
          <t>Corp Alloc rate</t>
        </is>
      </c>
      <c r="B10" s="306">
        <f>'1. Press Assumptions'!$B$32</f>
        <v/>
      </c>
      <c r="D10" s="306" t="inlineStr">
        <is>
          <t>Deal #5</t>
        </is>
      </c>
      <c r="E10" s="306">
        <f>'1. Press Assumptions'!$D$93</f>
        <v/>
      </c>
      <c r="F10" s="306">
        <f>'1. Press Assumptions'!$K$93</f>
        <v/>
      </c>
      <c r="G10" s="306">
        <f>IF('1. Press Assumptions'!$B$136="Bear",0.80,IF('1. Press Assumptions'!$B$136="Bull",1.00,0.90))</f>
        <v/>
      </c>
    </row>
    <row r="11">
      <c r="A11" s="306" t="inlineStr">
        <is>
          <t>Pref rate (annual)</t>
        </is>
      </c>
      <c r="B11" s="306">
        <f>'1. Press Assumptions'!$B$39</f>
        <v/>
      </c>
    </row>
    <row r="12">
      <c r="A12" s="306" t="inlineStr">
        <is>
          <t>LP split tier 2 (1x-2x)</t>
        </is>
      </c>
      <c r="B12" s="306">
        <f>'1. Press Assumptions'!$B$40</f>
        <v/>
      </c>
    </row>
    <row r="13">
      <c r="A13" s="306" t="inlineStr">
        <is>
          <t>LP split tier 3 (2x-3x)</t>
        </is>
      </c>
      <c r="B13" s="306">
        <f>'1. Press Assumptions'!$B$41</f>
        <v/>
      </c>
    </row>
    <row r="14">
      <c r="A14" s="306" t="inlineStr">
        <is>
          <t>LP split tier 4 (&gt;3x)</t>
        </is>
      </c>
      <c r="B14" s="306">
        <f>'1. Press Assumptions'!$B$42</f>
        <v/>
      </c>
    </row>
    <row r="15">
      <c r="A15" s="306" t="inlineStr">
        <is>
          <t>Mgmt fee total</t>
        </is>
      </c>
      <c r="B15" s="306" t="n">
        <v>3</v>
      </c>
    </row>
    <row r="16">
      <c r="A16" s="306" t="inlineStr">
        <is>
          <t>Severance per FTE ($)</t>
        </is>
      </c>
      <c r="B16" s="306">
        <f>'1. Press Assumptions'!$B$110</f>
        <v/>
      </c>
    </row>
    <row r="17">
      <c r="A17" s="306" t="inlineStr">
        <is>
          <t>Press severance share</t>
        </is>
      </c>
      <c r="B17" s="306" t="n">
        <v>0.5</v>
      </c>
    </row>
    <row r="18">
      <c r="A18" s="306" t="inlineStr">
        <is>
          <t>FTE per OpCo</t>
        </is>
      </c>
      <c r="B18" s="306">
        <f>'1. Press Assumptions'!$B$103</f>
        <v/>
      </c>
    </row>
    <row r="19">
      <c r="A19" s="306" t="inlineStr">
        <is>
          <t>Exit month</t>
        </is>
      </c>
      <c r="B19" s="306">
        <f>'1. Press Assumptions'!$B$115</f>
        <v/>
      </c>
    </row>
    <row r="20">
      <c r="A20" s="306" t="inlineStr">
        <is>
          <t>Exit multiple (x ARR)</t>
        </is>
      </c>
      <c r="B20" s="306">
        <f>'1. Press Assumptions'!$B$116</f>
        <v/>
      </c>
    </row>
    <row r="21">
      <c r="A21" s="306" t="inlineStr">
        <is>
          <t>Include exit in waterfall</t>
        </is>
      </c>
      <c r="B21" s="306">
        <f>'1. Press Assumptions'!$B$117</f>
        <v/>
      </c>
    </row>
    <row r="22">
      <c r="A22" s="306" t="inlineStr">
        <is>
          <t>Fund commitment ($mm)</t>
        </is>
      </c>
      <c r="B22" s="306">
        <f>'1. Press Assumptions'!$B$5/1000000</f>
        <v/>
      </c>
    </row>
    <row r="23">
      <c r="A23" s="306" t="inlineStr">
        <is>
          <t>Recycle % of distributable</t>
        </is>
      </c>
      <c r="B23" s="306" t="n">
        <v>0</v>
      </c>
    </row>
    <row r="24">
      <c r="A24" s="306" t="inlineStr">
        <is>
          <t>Recycling period (months)</t>
        </is>
      </c>
      <c r="B24" s="306">
        <f>'1. Press Assumptions'!$B$81</f>
        <v/>
      </c>
    </row>
    <row r="30" ht="28" customHeight="1" s="307">
      <c r="A30" s="643" t="inlineStr">
        <is>
          <t>M</t>
        </is>
      </c>
      <c r="B30" s="643" t="inlineStr">
        <is>
          <t>Year</t>
        </is>
      </c>
      <c r="C30" s="643" t="inlineStr">
        <is>
          <t>Mgmt Fee</t>
        </is>
      </c>
      <c r="D30" s="643" t="inlineStr">
        <is>
          <t>Team Comp</t>
        </is>
      </c>
      <c r="E30" s="643" t="inlineStr">
        <is>
          <t>Legacy HC</t>
        </is>
      </c>
      <c r="F30" s="643" t="inlineStr">
        <is>
          <t>D1 ARR</t>
        </is>
      </c>
      <c r="G30" s="643" t="inlineStr">
        <is>
          <t>D2 ARR</t>
        </is>
      </c>
      <c r="H30" s="643" t="inlineStr">
        <is>
          <t>D3 ARR</t>
        </is>
      </c>
      <c r="I30" s="643" t="inlineStr">
        <is>
          <t>D4 ARR</t>
        </is>
      </c>
      <c r="J30" s="643" t="inlineStr">
        <is>
          <t>D5 ARR</t>
        </is>
      </c>
      <c r="K30" s="643" t="inlineStr">
        <is>
          <t>Port ARR</t>
        </is>
      </c>
      <c r="L30" s="643" t="inlineStr">
        <is>
          <t>Revenue</t>
        </is>
      </c>
      <c r="M30" s="643" t="inlineStr">
        <is>
          <t>COGS</t>
        </is>
      </c>
      <c r="N30" s="643" t="inlineStr">
        <is>
          <t>Vendor</t>
        </is>
      </c>
      <c r="O30" s="643" t="inlineStr">
        <is>
          <t>Corp Alloc</t>
        </is>
      </c>
      <c r="P30" s="643" t="inlineStr">
        <is>
          <t>Pre-Bonus EBITDA</t>
        </is>
      </c>
      <c r="Q30" s="643" t="inlineStr">
        <is>
          <t>Bonus Pool</t>
        </is>
      </c>
      <c r="R30" s="643" t="inlineStr">
        <is>
          <t>EBITDA</t>
        </is>
      </c>
      <c r="S30" s="643" t="inlineStr">
        <is>
          <t>Severance</t>
        </is>
      </c>
      <c r="T30" s="643" t="inlineStr">
        <is>
          <t>Dist Pre-Retain</t>
        </is>
      </c>
      <c r="U30" s="643" t="inlineStr">
        <is>
          <t>Retained</t>
        </is>
      </c>
      <c r="V30" s="643" t="inlineStr">
        <is>
          <t>Dist Post-Retain</t>
        </is>
      </c>
      <c r="W30" s="643" t="inlineStr">
        <is>
          <t>Exit</t>
        </is>
      </c>
      <c r="X30" s="643" t="inlineStr">
        <is>
          <t>Cum Dist</t>
        </is>
      </c>
    </row>
    <row r="31">
      <c r="A31" s="306" t="n">
        <v>1</v>
      </c>
      <c r="B31" s="306">
        <f>CEILING(A31/12,1)</f>
        <v/>
      </c>
      <c r="C31" s="306">
        <f>IF(A31&lt;=12, $B$15/12, 0)</f>
        <v/>
      </c>
      <c r="D31" s="306">
        <f>INDEX('26. Team Comp'!$D$28:$R$28, B31) * 0.001 / 12</f>
        <v/>
      </c>
      <c r="E31" s="306">
        <f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) * 200 / 12 / 1000</f>
        <v/>
      </c>
      <c r="F31" s="306">
        <f>IF(A31&lt;$F$6,0,IF(AND($B$21=1,A31&gt;$B$19),0,$E$6*$G$6^MIN((A31-$F$6)/12,6)*MIN($G$6,0.85)^MAX(0,(A31-$F$6)/12-6)))</f>
        <v/>
      </c>
      <c r="G31" s="306">
        <f>IF(A31&lt;$F$7,0,IF(AND($B$21=1,A31&gt;$B$19),0,$E$7*$G$7^MIN((A31-$F$7)/12,6)*MIN($G$7,0.85)^MAX(0,(A31-$F$7)/12-6)))</f>
        <v/>
      </c>
      <c r="H31" s="306">
        <f>IF(A31&lt;$F$8,0,IF(AND($B$21=1,A31&gt;$B$19),0,$E$8*$G$8^MIN((A31-$F$8)/12,6)*MIN($G$8,0.85)^MAX(0,(A31-$F$8)/12-6)))</f>
        <v/>
      </c>
      <c r="I31" s="306">
        <f>IF(A31&lt;$F$9,0,IF(AND($B$21=1,A31&gt;$B$19),0,$E$9*$G$9^MIN((A31-$F$9)/12,6)*MIN($G$9,0.85)^MAX(0,(A31-$F$9)/12-6)))</f>
        <v/>
      </c>
      <c r="J31" s="306">
        <f>IF(A31&lt;$F$10,0,IF(AND($B$21=1,A31&gt;$B$19),0,$E$10*$G$10^MIN((A31-$F$10)/12,6)*MIN($G$10,0.85)^MAX(0,(A31-$F$10)/12-6)))</f>
        <v/>
      </c>
      <c r="K31" s="306">
        <f>SUM(F31:J31)</f>
        <v/>
      </c>
      <c r="L31" s="306">
        <f>K31/12</f>
        <v/>
      </c>
      <c r="M31" s="306">
        <f>L31*$B$8</f>
        <v/>
      </c>
      <c r="N31" s="306">
        <f>L31*$B$9</f>
        <v/>
      </c>
      <c r="O31" s="306">
        <f>L31*$B$10</f>
        <v/>
      </c>
      <c r="P31" s="306">
        <f>L31-M31-N31-O31-D31-E31</f>
        <v/>
      </c>
      <c r="Q31" s="306">
        <f>MAX(0, P31 - $B$7*L31)</f>
        <v/>
      </c>
      <c r="R31" s="306">
        <f>P31-Q31</f>
        <v/>
      </c>
      <c r="S31" s="306">
        <f>IF(A31=$F$6, $B$18*$B$16*$B$17/1000000, 0) + IF(A31=$F$7, $B$18*$B$16*$B$17/1000000, 0) + IF(A31=$F$8, $B$18*$B$16*$B$17/1000000, 0) + IF(A31=$F$9, $B$18*$B$16*$B$17/1000000, 0) + IF(A31=$F$10, $B$18*$B$16*$B$17/1000000, 0)</f>
        <v/>
      </c>
      <c r="T31" s="306">
        <f>R31-S31-C31</f>
        <v/>
      </c>
      <c r="U31" s="306">
        <f>IF(AND(A31&lt;=$B$24, T31&gt;0), T31*$B$23, 0)</f>
        <v/>
      </c>
      <c r="V31" s="306">
        <f>T31-U31</f>
        <v/>
      </c>
      <c r="W31" s="306">
        <f>IF(AND(A31=$B$19, $B$21=1), K31*$B$20, 0)</f>
        <v/>
      </c>
      <c r="X31" s="306">
        <f>V31+W31</f>
        <v/>
      </c>
    </row>
    <row r="32">
      <c r="A32" s="306" t="n">
        <v>2</v>
      </c>
      <c r="B32" s="306">
        <f>CEILING(A32/12,1)</f>
        <v/>
      </c>
      <c r="C32" s="306">
        <f>IF(A32&lt;=12, $B$15/12, 0)</f>
        <v/>
      </c>
      <c r="D32" s="306">
        <f>INDEX('26. Team Comp'!$D$28:$R$28, B32) * 0.001 / 12</f>
        <v/>
      </c>
      <c r="E32" s="306">
        <f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) * 200 / 12 / 1000</f>
        <v/>
      </c>
      <c r="F32" s="306">
        <f>IF(A32&lt;$F$6,0,IF(AND($B$21=1,A32&gt;$B$19),0,$E$6*$G$6^MIN((A32-$F$6)/12,6)*MIN($G$6,0.85)^MAX(0,(A32-$F$6)/12-6)))</f>
        <v/>
      </c>
      <c r="G32" s="306">
        <f>IF(A32&lt;$F$7,0,IF(AND($B$21=1,A32&gt;$B$19),0,$E$7*$G$7^MIN((A32-$F$7)/12,6)*MIN($G$7,0.85)^MAX(0,(A32-$F$7)/12-6)))</f>
        <v/>
      </c>
      <c r="H32" s="306">
        <f>IF(A32&lt;$F$8,0,IF(AND($B$21=1,A32&gt;$B$19),0,$E$8*$G$8^MIN((A32-$F$8)/12,6)*MIN($G$8,0.85)^MAX(0,(A32-$F$8)/12-6)))</f>
        <v/>
      </c>
      <c r="I32" s="306">
        <f>IF(A32&lt;$F$9,0,IF(AND($B$21=1,A32&gt;$B$19),0,$E$9*$G$9^MIN((A32-$F$9)/12,6)*MIN($G$9,0.85)^MAX(0,(A32-$F$9)/12-6)))</f>
        <v/>
      </c>
      <c r="J32" s="306">
        <f>IF(A32&lt;$F$10,0,IF(AND($B$21=1,A32&gt;$B$19),0,$E$10*$G$10^MIN((A32-$F$10)/12,6)*MIN($G$10,0.85)^MAX(0,(A32-$F$10)/12-6)))</f>
        <v/>
      </c>
      <c r="K32" s="306">
        <f>SUM(F32:J32)</f>
        <v/>
      </c>
      <c r="L32" s="306">
        <f>K32/12</f>
        <v/>
      </c>
      <c r="M32" s="306">
        <f>L32*$B$8</f>
        <v/>
      </c>
      <c r="N32" s="306">
        <f>L32*$B$9</f>
        <v/>
      </c>
      <c r="O32" s="306">
        <f>L32*$B$10</f>
        <v/>
      </c>
      <c r="P32" s="306">
        <f>L32-M32-N32-O32-D32-E32</f>
        <v/>
      </c>
      <c r="Q32" s="306">
        <f>MAX(0, P32 - $B$7*L32)</f>
        <v/>
      </c>
      <c r="R32" s="306">
        <f>P32-Q32</f>
        <v/>
      </c>
      <c r="S32" s="306">
        <f>IF(A32=$F$6, $B$18*$B$16*$B$17/1000000, 0) + IF(A32=$F$7, $B$18*$B$16*$B$17/1000000, 0) + IF(A32=$F$8, $B$18*$B$16*$B$17/1000000, 0) + IF(A32=$F$9, $B$18*$B$16*$B$17/1000000, 0) + IF(A32=$F$10, $B$18*$B$16*$B$17/1000000, 0)</f>
        <v/>
      </c>
      <c r="T32" s="306">
        <f>R32-S32-C32</f>
        <v/>
      </c>
      <c r="U32" s="306">
        <f>IF(AND(A32&lt;=$B$24, T32&gt;0), T32*$B$23, 0)</f>
        <v/>
      </c>
      <c r="V32" s="306">
        <f>T32-U32</f>
        <v/>
      </c>
      <c r="W32" s="306">
        <f>IF(AND(A32=$B$19, $B$21=1), K32*$B$20, 0)</f>
        <v/>
      </c>
      <c r="X32" s="306">
        <f>X31+V32+W32</f>
        <v/>
      </c>
    </row>
    <row r="33">
      <c r="A33" s="306" t="n">
        <v>3</v>
      </c>
      <c r="B33" s="306">
        <f>CEILING(A33/12,1)</f>
        <v/>
      </c>
      <c r="C33" s="306">
        <f>IF(A33&lt;=12, $B$15/12, 0)</f>
        <v/>
      </c>
      <c r="D33" s="306">
        <f>INDEX('26. Team Comp'!$D$28:$R$28, B33) * 0.001 / 12</f>
        <v/>
      </c>
      <c r="E33" s="306">
        <f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) * 200 / 12 / 1000</f>
        <v/>
      </c>
      <c r="F33" s="306">
        <f>IF(A33&lt;$F$6,0,IF(AND($B$21=1,A33&gt;$B$19),0,$E$6*$G$6^MIN((A33-$F$6)/12,6)*MIN($G$6,0.85)^MAX(0,(A33-$F$6)/12-6)))</f>
        <v/>
      </c>
      <c r="G33" s="306">
        <f>IF(A33&lt;$F$7,0,IF(AND($B$21=1,A33&gt;$B$19),0,$E$7*$G$7^MIN((A33-$F$7)/12,6)*MIN($G$7,0.85)^MAX(0,(A33-$F$7)/12-6)))</f>
        <v/>
      </c>
      <c r="H33" s="306">
        <f>IF(A33&lt;$F$8,0,IF(AND($B$21=1,A33&gt;$B$19),0,$E$8*$G$8^MIN((A33-$F$8)/12,6)*MIN($G$8,0.85)^MAX(0,(A33-$F$8)/12-6)))</f>
        <v/>
      </c>
      <c r="I33" s="306">
        <f>IF(A33&lt;$F$9,0,IF(AND($B$21=1,A33&gt;$B$19),0,$E$9*$G$9^MIN((A33-$F$9)/12,6)*MIN($G$9,0.85)^MAX(0,(A33-$F$9)/12-6)))</f>
        <v/>
      </c>
      <c r="J33" s="306">
        <f>IF(A33&lt;$F$10,0,IF(AND($B$21=1,A33&gt;$B$19),0,$E$10*$G$10^MIN((A33-$F$10)/12,6)*MIN($G$10,0.85)^MAX(0,(A33-$F$10)/12-6)))</f>
        <v/>
      </c>
      <c r="K33" s="306">
        <f>SUM(F33:J33)</f>
        <v/>
      </c>
      <c r="L33" s="306">
        <f>K33/12</f>
        <v/>
      </c>
      <c r="M33" s="306">
        <f>L33*$B$8</f>
        <v/>
      </c>
      <c r="N33" s="306">
        <f>L33*$B$9</f>
        <v/>
      </c>
      <c r="O33" s="306">
        <f>L33*$B$10</f>
        <v/>
      </c>
      <c r="P33" s="306">
        <f>L33-M33-N33-O33-D33-E33</f>
        <v/>
      </c>
      <c r="Q33" s="306">
        <f>MAX(0, P33 - $B$7*L33)</f>
        <v/>
      </c>
      <c r="R33" s="306">
        <f>P33-Q33</f>
        <v/>
      </c>
      <c r="S33" s="306">
        <f>IF(A33=$F$6, $B$18*$B$16*$B$17/1000000, 0) + IF(A33=$F$7, $B$18*$B$16*$B$17/1000000, 0) + IF(A33=$F$8, $B$18*$B$16*$B$17/1000000, 0) + IF(A33=$F$9, $B$18*$B$16*$B$17/1000000, 0) + IF(A33=$F$10, $B$18*$B$16*$B$17/1000000, 0)</f>
        <v/>
      </c>
      <c r="T33" s="306">
        <f>R33-S33-C33</f>
        <v/>
      </c>
      <c r="U33" s="306">
        <f>IF(AND(A33&lt;=$B$24, T33&gt;0), T33*$B$23, 0)</f>
        <v/>
      </c>
      <c r="V33" s="306">
        <f>T33-U33</f>
        <v/>
      </c>
      <c r="W33" s="306">
        <f>IF(AND(A33=$B$19, $B$21=1), K33*$B$20, 0)</f>
        <v/>
      </c>
      <c r="X33" s="306">
        <f>X32+V33+W33</f>
        <v/>
      </c>
    </row>
    <row r="34">
      <c r="A34" s="306" t="n">
        <v>4</v>
      </c>
      <c r="B34" s="306">
        <f>CEILING(A34/12,1)</f>
        <v/>
      </c>
      <c r="C34" s="306">
        <f>IF(A34&lt;=12, $B$15/12, 0)</f>
        <v/>
      </c>
      <c r="D34" s="306">
        <f>INDEX('26. Team Comp'!$D$28:$R$28, B34) * 0.001 / 12</f>
        <v/>
      </c>
      <c r="E34" s="306">
        <f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) * 200 / 12 / 1000</f>
        <v/>
      </c>
      <c r="F34" s="306">
        <f>IF(A34&lt;$F$6,0,IF(AND($B$21=1,A34&gt;$B$19),0,$E$6*$G$6^MIN((A34-$F$6)/12,6)*MIN($G$6,0.85)^MAX(0,(A34-$F$6)/12-6)))</f>
        <v/>
      </c>
      <c r="G34" s="306">
        <f>IF(A34&lt;$F$7,0,IF(AND($B$21=1,A34&gt;$B$19),0,$E$7*$G$7^MIN((A34-$F$7)/12,6)*MIN($G$7,0.85)^MAX(0,(A34-$F$7)/12-6)))</f>
        <v/>
      </c>
      <c r="H34" s="306">
        <f>IF(A34&lt;$F$8,0,IF(AND($B$21=1,A34&gt;$B$19),0,$E$8*$G$8^MIN((A34-$F$8)/12,6)*MIN($G$8,0.85)^MAX(0,(A34-$F$8)/12-6)))</f>
        <v/>
      </c>
      <c r="I34" s="306">
        <f>IF(A34&lt;$F$9,0,IF(AND($B$21=1,A34&gt;$B$19),0,$E$9*$G$9^MIN((A34-$F$9)/12,6)*MIN($G$9,0.85)^MAX(0,(A34-$F$9)/12-6)))</f>
        <v/>
      </c>
      <c r="J34" s="306">
        <f>IF(A34&lt;$F$10,0,IF(AND($B$21=1,A34&gt;$B$19),0,$E$10*$G$10^MIN((A34-$F$10)/12,6)*MIN($G$10,0.85)^MAX(0,(A34-$F$10)/12-6)))</f>
        <v/>
      </c>
      <c r="K34" s="306">
        <f>SUM(F34:J34)</f>
        <v/>
      </c>
      <c r="L34" s="306">
        <f>K34/12</f>
        <v/>
      </c>
      <c r="M34" s="306">
        <f>L34*$B$8</f>
        <v/>
      </c>
      <c r="N34" s="306">
        <f>L34*$B$9</f>
        <v/>
      </c>
      <c r="O34" s="306">
        <f>L34*$B$10</f>
        <v/>
      </c>
      <c r="P34" s="306">
        <f>L34-M34-N34-O34-D34-E34</f>
        <v/>
      </c>
      <c r="Q34" s="306">
        <f>MAX(0, P34 - $B$7*L34)</f>
        <v/>
      </c>
      <c r="R34" s="306">
        <f>P34-Q34</f>
        <v/>
      </c>
      <c r="S34" s="306">
        <f>IF(A34=$F$6, $B$18*$B$16*$B$17/1000000, 0) + IF(A34=$F$7, $B$18*$B$16*$B$17/1000000, 0) + IF(A34=$F$8, $B$18*$B$16*$B$17/1000000, 0) + IF(A34=$F$9, $B$18*$B$16*$B$17/1000000, 0) + IF(A34=$F$10, $B$18*$B$16*$B$17/1000000, 0)</f>
        <v/>
      </c>
      <c r="T34" s="306">
        <f>R34-S34-C34</f>
        <v/>
      </c>
      <c r="U34" s="306">
        <f>IF(AND(A34&lt;=$B$24, T34&gt;0), T34*$B$23, 0)</f>
        <v/>
      </c>
      <c r="V34" s="306">
        <f>T34-U34</f>
        <v/>
      </c>
      <c r="W34" s="306">
        <f>IF(AND(A34=$B$19, $B$21=1), K34*$B$20, 0)</f>
        <v/>
      </c>
      <c r="X34" s="306">
        <f>X33+V34+W34</f>
        <v/>
      </c>
    </row>
    <row r="35">
      <c r="A35" s="306" t="n">
        <v>5</v>
      </c>
      <c r="B35" s="306">
        <f>CEILING(A35/12,1)</f>
        <v/>
      </c>
      <c r="C35" s="306">
        <f>IF(A35&lt;=12, $B$15/12, 0)</f>
        <v/>
      </c>
      <c r="D35" s="306">
        <f>INDEX('26. Team Comp'!$D$28:$R$28, B35) * 0.001 / 12</f>
        <v/>
      </c>
      <c r="E35" s="306">
        <f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) * 200 / 12 / 1000</f>
        <v/>
      </c>
      <c r="F35" s="306">
        <f>IF(A35&lt;$F$6,0,IF(AND($B$21=1,A35&gt;$B$19),0,$E$6*$G$6^MIN((A35-$F$6)/12,6)*MIN($G$6,0.85)^MAX(0,(A35-$F$6)/12-6)))</f>
        <v/>
      </c>
      <c r="G35" s="306">
        <f>IF(A35&lt;$F$7,0,IF(AND($B$21=1,A35&gt;$B$19),0,$E$7*$G$7^MIN((A35-$F$7)/12,6)*MIN($G$7,0.85)^MAX(0,(A35-$F$7)/12-6)))</f>
        <v/>
      </c>
      <c r="H35" s="306">
        <f>IF(A35&lt;$F$8,0,IF(AND($B$21=1,A35&gt;$B$19),0,$E$8*$G$8^MIN((A35-$F$8)/12,6)*MIN($G$8,0.85)^MAX(0,(A35-$F$8)/12-6)))</f>
        <v/>
      </c>
      <c r="I35" s="306">
        <f>IF(A35&lt;$F$9,0,IF(AND($B$21=1,A35&gt;$B$19),0,$E$9*$G$9^MIN((A35-$F$9)/12,6)*MIN($G$9,0.85)^MAX(0,(A35-$F$9)/12-6)))</f>
        <v/>
      </c>
      <c r="J35" s="306">
        <f>IF(A35&lt;$F$10,0,IF(AND($B$21=1,A35&gt;$B$19),0,$E$10*$G$10^MIN((A35-$F$10)/12,6)*MIN($G$10,0.85)^MAX(0,(A35-$F$10)/12-6)))</f>
        <v/>
      </c>
      <c r="K35" s="306">
        <f>SUM(F35:J35)</f>
        <v/>
      </c>
      <c r="L35" s="306">
        <f>K35/12</f>
        <v/>
      </c>
      <c r="M35" s="306">
        <f>L35*$B$8</f>
        <v/>
      </c>
      <c r="N35" s="306">
        <f>L35*$B$9</f>
        <v/>
      </c>
      <c r="O35" s="306">
        <f>L35*$B$10</f>
        <v/>
      </c>
      <c r="P35" s="306">
        <f>L35-M35-N35-O35-D35-E35</f>
        <v/>
      </c>
      <c r="Q35" s="306">
        <f>MAX(0, P35 - $B$7*L35)</f>
        <v/>
      </c>
      <c r="R35" s="306">
        <f>P35-Q35</f>
        <v/>
      </c>
      <c r="S35" s="306">
        <f>IF(A35=$F$6, $B$18*$B$16*$B$17/1000000, 0) + IF(A35=$F$7, $B$18*$B$16*$B$17/1000000, 0) + IF(A35=$F$8, $B$18*$B$16*$B$17/1000000, 0) + IF(A35=$F$9, $B$18*$B$16*$B$17/1000000, 0) + IF(A35=$F$10, $B$18*$B$16*$B$17/1000000, 0)</f>
        <v/>
      </c>
      <c r="T35" s="306">
        <f>R35-S35-C35</f>
        <v/>
      </c>
      <c r="U35" s="306">
        <f>IF(AND(A35&lt;=$B$24, T35&gt;0), T35*$B$23, 0)</f>
        <v/>
      </c>
      <c r="V35" s="306">
        <f>T35-U35</f>
        <v/>
      </c>
      <c r="W35" s="306">
        <f>IF(AND(A35=$B$19, $B$21=1), K35*$B$20, 0)</f>
        <v/>
      </c>
      <c r="X35" s="306">
        <f>X34+V35+W35</f>
        <v/>
      </c>
    </row>
    <row r="36">
      <c r="A36" s="306" t="n">
        <v>6</v>
      </c>
      <c r="B36" s="306">
        <f>CEILING(A36/12,1)</f>
        <v/>
      </c>
      <c r="C36" s="306">
        <f>IF(A36&lt;=12, $B$15/12, 0)</f>
        <v/>
      </c>
      <c r="D36" s="306">
        <f>INDEX('26. Team Comp'!$D$28:$R$28, B36) * 0.001 / 12</f>
        <v/>
      </c>
      <c r="E36" s="306">
        <f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) * 200 / 12 / 1000</f>
        <v/>
      </c>
      <c r="F36" s="306">
        <f>IF(A36&lt;$F$6,0,IF(AND($B$21=1,A36&gt;$B$19),0,$E$6*$G$6^MIN((A36-$F$6)/12,6)*MIN($G$6,0.85)^MAX(0,(A36-$F$6)/12-6)))</f>
        <v/>
      </c>
      <c r="G36" s="306">
        <f>IF(A36&lt;$F$7,0,IF(AND($B$21=1,A36&gt;$B$19),0,$E$7*$G$7^MIN((A36-$F$7)/12,6)*MIN($G$7,0.85)^MAX(0,(A36-$F$7)/12-6)))</f>
        <v/>
      </c>
      <c r="H36" s="306">
        <f>IF(A36&lt;$F$8,0,IF(AND($B$21=1,A36&gt;$B$19),0,$E$8*$G$8^MIN((A36-$F$8)/12,6)*MIN($G$8,0.85)^MAX(0,(A36-$F$8)/12-6)))</f>
        <v/>
      </c>
      <c r="I36" s="306">
        <f>IF(A36&lt;$F$9,0,IF(AND($B$21=1,A36&gt;$B$19),0,$E$9*$G$9^MIN((A36-$F$9)/12,6)*MIN($G$9,0.85)^MAX(0,(A36-$F$9)/12-6)))</f>
        <v/>
      </c>
      <c r="J36" s="306">
        <f>IF(A36&lt;$F$10,0,IF(AND($B$21=1,A36&gt;$B$19),0,$E$10*$G$10^MIN((A36-$F$10)/12,6)*MIN($G$10,0.85)^MAX(0,(A36-$F$10)/12-6)))</f>
        <v/>
      </c>
      <c r="K36" s="306">
        <f>SUM(F36:J36)</f>
        <v/>
      </c>
      <c r="L36" s="306">
        <f>K36/12</f>
        <v/>
      </c>
      <c r="M36" s="306">
        <f>L36*$B$8</f>
        <v/>
      </c>
      <c r="N36" s="306">
        <f>L36*$B$9</f>
        <v/>
      </c>
      <c r="O36" s="306">
        <f>L36*$B$10</f>
        <v/>
      </c>
      <c r="P36" s="306">
        <f>L36-M36-N36-O36-D36-E36</f>
        <v/>
      </c>
      <c r="Q36" s="306">
        <f>MAX(0, P36 - $B$7*L36)</f>
        <v/>
      </c>
      <c r="R36" s="306">
        <f>P36-Q36</f>
        <v/>
      </c>
      <c r="S36" s="306">
        <f>IF(A36=$F$6, $B$18*$B$16*$B$17/1000000, 0) + IF(A36=$F$7, $B$18*$B$16*$B$17/1000000, 0) + IF(A36=$F$8, $B$18*$B$16*$B$17/1000000, 0) + IF(A36=$F$9, $B$18*$B$16*$B$17/1000000, 0) + IF(A36=$F$10, $B$18*$B$16*$B$17/1000000, 0)</f>
        <v/>
      </c>
      <c r="T36" s="306">
        <f>R36-S36-C36</f>
        <v/>
      </c>
      <c r="U36" s="306">
        <f>IF(AND(A36&lt;=$B$24, T36&gt;0), T36*$B$23, 0)</f>
        <v/>
      </c>
      <c r="V36" s="306">
        <f>T36-U36</f>
        <v/>
      </c>
      <c r="W36" s="306">
        <f>IF(AND(A36=$B$19, $B$21=1), K36*$B$20, 0)</f>
        <v/>
      </c>
      <c r="X36" s="306">
        <f>X35+V36+W36</f>
        <v/>
      </c>
    </row>
    <row r="37">
      <c r="A37" s="306" t="n">
        <v>7</v>
      </c>
      <c r="B37" s="306">
        <f>CEILING(A37/12,1)</f>
        <v/>
      </c>
      <c r="C37" s="306">
        <f>IF(A37&lt;=12, $B$15/12, 0)</f>
        <v/>
      </c>
      <c r="D37" s="306">
        <f>INDEX('26. Team Comp'!$D$28:$R$28, B37) * 0.001 / 12</f>
        <v/>
      </c>
      <c r="E37" s="306">
        <f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) * 200 / 12 / 1000</f>
        <v/>
      </c>
      <c r="F37" s="306">
        <f>IF(A37&lt;$F$6,0,IF(AND($B$21=1,A37&gt;$B$19),0,$E$6*$G$6^MIN((A37-$F$6)/12,6)*MIN($G$6,0.85)^MAX(0,(A37-$F$6)/12-6)))</f>
        <v/>
      </c>
      <c r="G37" s="306">
        <f>IF(A37&lt;$F$7,0,IF(AND($B$21=1,A37&gt;$B$19),0,$E$7*$G$7^MIN((A37-$F$7)/12,6)*MIN($G$7,0.85)^MAX(0,(A37-$F$7)/12-6)))</f>
        <v/>
      </c>
      <c r="H37" s="306">
        <f>IF(A37&lt;$F$8,0,IF(AND($B$21=1,A37&gt;$B$19),0,$E$8*$G$8^MIN((A37-$F$8)/12,6)*MIN($G$8,0.85)^MAX(0,(A37-$F$8)/12-6)))</f>
        <v/>
      </c>
      <c r="I37" s="306">
        <f>IF(A37&lt;$F$9,0,IF(AND($B$21=1,A37&gt;$B$19),0,$E$9*$G$9^MIN((A37-$F$9)/12,6)*MIN($G$9,0.85)^MAX(0,(A37-$F$9)/12-6)))</f>
        <v/>
      </c>
      <c r="J37" s="306">
        <f>IF(A37&lt;$F$10,0,IF(AND($B$21=1,A37&gt;$B$19),0,$E$10*$G$10^MIN((A37-$F$10)/12,6)*MIN($G$10,0.85)^MAX(0,(A37-$F$10)/12-6)))</f>
        <v/>
      </c>
      <c r="K37" s="306">
        <f>SUM(F37:J37)</f>
        <v/>
      </c>
      <c r="L37" s="306">
        <f>K37/12</f>
        <v/>
      </c>
      <c r="M37" s="306">
        <f>L37*$B$8</f>
        <v/>
      </c>
      <c r="N37" s="306">
        <f>L37*$B$9</f>
        <v/>
      </c>
      <c r="O37" s="306">
        <f>L37*$B$10</f>
        <v/>
      </c>
      <c r="P37" s="306">
        <f>L37-M37-N37-O37-D37-E37</f>
        <v/>
      </c>
      <c r="Q37" s="306">
        <f>MAX(0, P37 - $B$7*L37)</f>
        <v/>
      </c>
      <c r="R37" s="306">
        <f>P37-Q37</f>
        <v/>
      </c>
      <c r="S37" s="306">
        <f>IF(A37=$F$6, $B$18*$B$16*$B$17/1000000, 0) + IF(A37=$F$7, $B$18*$B$16*$B$17/1000000, 0) + IF(A37=$F$8, $B$18*$B$16*$B$17/1000000, 0) + IF(A37=$F$9, $B$18*$B$16*$B$17/1000000, 0) + IF(A37=$F$10, $B$18*$B$16*$B$17/1000000, 0)</f>
        <v/>
      </c>
      <c r="T37" s="306">
        <f>R37-S37-C37</f>
        <v/>
      </c>
      <c r="U37" s="306">
        <f>IF(AND(A37&lt;=$B$24, T37&gt;0), T37*$B$23, 0)</f>
        <v/>
      </c>
      <c r="V37" s="306">
        <f>T37-U37</f>
        <v/>
      </c>
      <c r="W37" s="306">
        <f>IF(AND(A37=$B$19, $B$21=1), K37*$B$20, 0)</f>
        <v/>
      </c>
      <c r="X37" s="306">
        <f>X36+V37+W37</f>
        <v/>
      </c>
    </row>
    <row r="38">
      <c r="A38" s="306" t="n">
        <v>8</v>
      </c>
      <c r="B38" s="306">
        <f>CEILING(A38/12,1)</f>
        <v/>
      </c>
      <c r="C38" s="306">
        <f>IF(A38&lt;=12, $B$15/12, 0)</f>
        <v/>
      </c>
      <c r="D38" s="306">
        <f>INDEX('26. Team Comp'!$D$28:$R$28, B38) * 0.001 / 12</f>
        <v/>
      </c>
      <c r="E38" s="306">
        <f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) * 200 / 12 / 1000</f>
        <v/>
      </c>
      <c r="F38" s="306">
        <f>IF(A38&lt;$F$6,0,IF(AND($B$21=1,A38&gt;$B$19),0,$E$6*$G$6^MIN((A38-$F$6)/12,6)*MIN($G$6,0.85)^MAX(0,(A38-$F$6)/12-6)))</f>
        <v/>
      </c>
      <c r="G38" s="306">
        <f>IF(A38&lt;$F$7,0,IF(AND($B$21=1,A38&gt;$B$19),0,$E$7*$G$7^MIN((A38-$F$7)/12,6)*MIN($G$7,0.85)^MAX(0,(A38-$F$7)/12-6)))</f>
        <v/>
      </c>
      <c r="H38" s="306">
        <f>IF(A38&lt;$F$8,0,IF(AND($B$21=1,A38&gt;$B$19),0,$E$8*$G$8^MIN((A38-$F$8)/12,6)*MIN($G$8,0.85)^MAX(0,(A38-$F$8)/12-6)))</f>
        <v/>
      </c>
      <c r="I38" s="306">
        <f>IF(A38&lt;$F$9,0,IF(AND($B$21=1,A38&gt;$B$19),0,$E$9*$G$9^MIN((A38-$F$9)/12,6)*MIN($G$9,0.85)^MAX(0,(A38-$F$9)/12-6)))</f>
        <v/>
      </c>
      <c r="J38" s="306">
        <f>IF(A38&lt;$F$10,0,IF(AND($B$21=1,A38&gt;$B$19),0,$E$10*$G$10^MIN((A38-$F$10)/12,6)*MIN($G$10,0.85)^MAX(0,(A38-$F$10)/12-6)))</f>
        <v/>
      </c>
      <c r="K38" s="306">
        <f>SUM(F38:J38)</f>
        <v/>
      </c>
      <c r="L38" s="306">
        <f>K38/12</f>
        <v/>
      </c>
      <c r="M38" s="306">
        <f>L38*$B$8</f>
        <v/>
      </c>
      <c r="N38" s="306">
        <f>L38*$B$9</f>
        <v/>
      </c>
      <c r="O38" s="306">
        <f>L38*$B$10</f>
        <v/>
      </c>
      <c r="P38" s="306">
        <f>L38-M38-N38-O38-D38-E38</f>
        <v/>
      </c>
      <c r="Q38" s="306">
        <f>MAX(0, P38 - $B$7*L38)</f>
        <v/>
      </c>
      <c r="R38" s="306">
        <f>P38-Q38</f>
        <v/>
      </c>
      <c r="S38" s="306">
        <f>IF(A38=$F$6, $B$18*$B$16*$B$17/1000000, 0) + IF(A38=$F$7, $B$18*$B$16*$B$17/1000000, 0) + IF(A38=$F$8, $B$18*$B$16*$B$17/1000000, 0) + IF(A38=$F$9, $B$18*$B$16*$B$17/1000000, 0) + IF(A38=$F$10, $B$18*$B$16*$B$17/1000000, 0)</f>
        <v/>
      </c>
      <c r="T38" s="306">
        <f>R38-S38-C38</f>
        <v/>
      </c>
      <c r="U38" s="306">
        <f>IF(AND(A38&lt;=$B$24, T38&gt;0), T38*$B$23, 0)</f>
        <v/>
      </c>
      <c r="V38" s="306">
        <f>T38-U38</f>
        <v/>
      </c>
      <c r="W38" s="306">
        <f>IF(AND(A38=$B$19, $B$21=1), K38*$B$20, 0)</f>
        <v/>
      </c>
      <c r="X38" s="306">
        <f>X37+V38+W38</f>
        <v/>
      </c>
    </row>
    <row r="39">
      <c r="A39" s="306" t="n">
        <v>9</v>
      </c>
      <c r="B39" s="306">
        <f>CEILING(A39/12,1)</f>
        <v/>
      </c>
      <c r="C39" s="306">
        <f>IF(A39&lt;=12, $B$15/12, 0)</f>
        <v/>
      </c>
      <c r="D39" s="306">
        <f>INDEX('26. Team Comp'!$D$28:$R$28, B39) * 0.001 / 12</f>
        <v/>
      </c>
      <c r="E39" s="306">
        <f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) * 200 / 12 / 1000</f>
        <v/>
      </c>
      <c r="F39" s="306">
        <f>IF(A39&lt;$F$6,0,IF(AND($B$21=1,A39&gt;$B$19),0,$E$6*$G$6^MIN((A39-$F$6)/12,6)*MIN($G$6,0.85)^MAX(0,(A39-$F$6)/12-6)))</f>
        <v/>
      </c>
      <c r="G39" s="306">
        <f>IF(A39&lt;$F$7,0,IF(AND($B$21=1,A39&gt;$B$19),0,$E$7*$G$7^MIN((A39-$F$7)/12,6)*MIN($G$7,0.85)^MAX(0,(A39-$F$7)/12-6)))</f>
        <v/>
      </c>
      <c r="H39" s="306">
        <f>IF(A39&lt;$F$8,0,IF(AND($B$21=1,A39&gt;$B$19),0,$E$8*$G$8^MIN((A39-$F$8)/12,6)*MIN($G$8,0.85)^MAX(0,(A39-$F$8)/12-6)))</f>
        <v/>
      </c>
      <c r="I39" s="306">
        <f>IF(A39&lt;$F$9,0,IF(AND($B$21=1,A39&gt;$B$19),0,$E$9*$G$9^MIN((A39-$F$9)/12,6)*MIN($G$9,0.85)^MAX(0,(A39-$F$9)/12-6)))</f>
        <v/>
      </c>
      <c r="J39" s="306">
        <f>IF(A39&lt;$F$10,0,IF(AND($B$21=1,A39&gt;$B$19),0,$E$10*$G$10^MIN((A39-$F$10)/12,6)*MIN($G$10,0.85)^MAX(0,(A39-$F$10)/12-6)))</f>
        <v/>
      </c>
      <c r="K39" s="306">
        <f>SUM(F39:J39)</f>
        <v/>
      </c>
      <c r="L39" s="306">
        <f>K39/12</f>
        <v/>
      </c>
      <c r="M39" s="306">
        <f>L39*$B$8</f>
        <v/>
      </c>
      <c r="N39" s="306">
        <f>L39*$B$9</f>
        <v/>
      </c>
      <c r="O39" s="306">
        <f>L39*$B$10</f>
        <v/>
      </c>
      <c r="P39" s="306">
        <f>L39-M39-N39-O39-D39-E39</f>
        <v/>
      </c>
      <c r="Q39" s="306">
        <f>MAX(0, P39 - $B$7*L39)</f>
        <v/>
      </c>
      <c r="R39" s="306">
        <f>P39-Q39</f>
        <v/>
      </c>
      <c r="S39" s="306">
        <f>IF(A39=$F$6, $B$18*$B$16*$B$17/1000000, 0) + IF(A39=$F$7, $B$18*$B$16*$B$17/1000000, 0) + IF(A39=$F$8, $B$18*$B$16*$B$17/1000000, 0) + IF(A39=$F$9, $B$18*$B$16*$B$17/1000000, 0) + IF(A39=$F$10, $B$18*$B$16*$B$17/1000000, 0)</f>
        <v/>
      </c>
      <c r="T39" s="306">
        <f>R39-S39-C39</f>
        <v/>
      </c>
      <c r="U39" s="306">
        <f>IF(AND(A39&lt;=$B$24, T39&gt;0), T39*$B$23, 0)</f>
        <v/>
      </c>
      <c r="V39" s="306">
        <f>T39-U39</f>
        <v/>
      </c>
      <c r="W39" s="306">
        <f>IF(AND(A39=$B$19, $B$21=1), K39*$B$20, 0)</f>
        <v/>
      </c>
      <c r="X39" s="306">
        <f>X38+V39+W39</f>
        <v/>
      </c>
    </row>
    <row r="40">
      <c r="A40" s="306" t="n">
        <v>10</v>
      </c>
      <c r="B40" s="306">
        <f>CEILING(A40/12,1)</f>
        <v/>
      </c>
      <c r="C40" s="306">
        <f>IF(A40&lt;=12, $B$15/12, 0)</f>
        <v/>
      </c>
      <c r="D40" s="306">
        <f>INDEX('26. Team Comp'!$D$28:$R$28, B40) * 0.001 / 12</f>
        <v/>
      </c>
      <c r="E40" s="306">
        <f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) * 200 / 12 / 1000</f>
        <v/>
      </c>
      <c r="F40" s="306">
        <f>IF(A40&lt;$F$6,0,IF(AND($B$21=1,A40&gt;$B$19),0,$E$6*$G$6^MIN((A40-$F$6)/12,6)*MIN($G$6,0.85)^MAX(0,(A40-$F$6)/12-6)))</f>
        <v/>
      </c>
      <c r="G40" s="306">
        <f>IF(A40&lt;$F$7,0,IF(AND($B$21=1,A40&gt;$B$19),0,$E$7*$G$7^MIN((A40-$F$7)/12,6)*MIN($G$7,0.85)^MAX(0,(A40-$F$7)/12-6)))</f>
        <v/>
      </c>
      <c r="H40" s="306">
        <f>IF(A40&lt;$F$8,0,IF(AND($B$21=1,A40&gt;$B$19),0,$E$8*$G$8^MIN((A40-$F$8)/12,6)*MIN($G$8,0.85)^MAX(0,(A40-$F$8)/12-6)))</f>
        <v/>
      </c>
      <c r="I40" s="306">
        <f>IF(A40&lt;$F$9,0,IF(AND($B$21=1,A40&gt;$B$19),0,$E$9*$G$9^MIN((A40-$F$9)/12,6)*MIN($G$9,0.85)^MAX(0,(A40-$F$9)/12-6)))</f>
        <v/>
      </c>
      <c r="J40" s="306">
        <f>IF(A40&lt;$F$10,0,IF(AND($B$21=1,A40&gt;$B$19),0,$E$10*$G$10^MIN((A40-$F$10)/12,6)*MIN($G$10,0.85)^MAX(0,(A40-$F$10)/12-6)))</f>
        <v/>
      </c>
      <c r="K40" s="306">
        <f>SUM(F40:J40)</f>
        <v/>
      </c>
      <c r="L40" s="306">
        <f>K40/12</f>
        <v/>
      </c>
      <c r="M40" s="306">
        <f>L40*$B$8</f>
        <v/>
      </c>
      <c r="N40" s="306">
        <f>L40*$B$9</f>
        <v/>
      </c>
      <c r="O40" s="306">
        <f>L40*$B$10</f>
        <v/>
      </c>
      <c r="P40" s="306">
        <f>L40-M40-N40-O40-D40-E40</f>
        <v/>
      </c>
      <c r="Q40" s="306">
        <f>MAX(0, P40 - $B$7*L40)</f>
        <v/>
      </c>
      <c r="R40" s="306">
        <f>P40-Q40</f>
        <v/>
      </c>
      <c r="S40" s="306">
        <f>IF(A40=$F$6, $B$18*$B$16*$B$17/1000000, 0) + IF(A40=$F$7, $B$18*$B$16*$B$17/1000000, 0) + IF(A40=$F$8, $B$18*$B$16*$B$17/1000000, 0) + IF(A40=$F$9, $B$18*$B$16*$B$17/1000000, 0) + IF(A40=$F$10, $B$18*$B$16*$B$17/1000000, 0)</f>
        <v/>
      </c>
      <c r="T40" s="306">
        <f>R40-S40-C40</f>
        <v/>
      </c>
      <c r="U40" s="306">
        <f>IF(AND(A40&lt;=$B$24, T40&gt;0), T40*$B$23, 0)</f>
        <v/>
      </c>
      <c r="V40" s="306">
        <f>T40-U40</f>
        <v/>
      </c>
      <c r="W40" s="306">
        <f>IF(AND(A40=$B$19, $B$21=1), K40*$B$20, 0)</f>
        <v/>
      </c>
      <c r="X40" s="306">
        <f>X39+V40+W40</f>
        <v/>
      </c>
    </row>
    <row r="41">
      <c r="A41" s="306" t="n">
        <v>11</v>
      </c>
      <c r="B41" s="306">
        <f>CEILING(A41/12,1)</f>
        <v/>
      </c>
      <c r="C41" s="306">
        <f>IF(A41&lt;=12, $B$15/12, 0)</f>
        <v/>
      </c>
      <c r="D41" s="306">
        <f>INDEX('26. Team Comp'!$D$28:$R$28, B41) * 0.001 / 12</f>
        <v/>
      </c>
      <c r="E41" s="306">
        <f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) * 200 / 12 / 1000</f>
        <v/>
      </c>
      <c r="F41" s="306">
        <f>IF(A41&lt;$F$6,0,IF(AND($B$21=1,A41&gt;$B$19),0,$E$6*$G$6^MIN((A41-$F$6)/12,6)*MIN($G$6,0.85)^MAX(0,(A41-$F$6)/12-6)))</f>
        <v/>
      </c>
      <c r="G41" s="306">
        <f>IF(A41&lt;$F$7,0,IF(AND($B$21=1,A41&gt;$B$19),0,$E$7*$G$7^MIN((A41-$F$7)/12,6)*MIN($G$7,0.85)^MAX(0,(A41-$F$7)/12-6)))</f>
        <v/>
      </c>
      <c r="H41" s="306">
        <f>IF(A41&lt;$F$8,0,IF(AND($B$21=1,A41&gt;$B$19),0,$E$8*$G$8^MIN((A41-$F$8)/12,6)*MIN($G$8,0.85)^MAX(0,(A41-$F$8)/12-6)))</f>
        <v/>
      </c>
      <c r="I41" s="306">
        <f>IF(A41&lt;$F$9,0,IF(AND($B$21=1,A41&gt;$B$19),0,$E$9*$G$9^MIN((A41-$F$9)/12,6)*MIN($G$9,0.85)^MAX(0,(A41-$F$9)/12-6)))</f>
        <v/>
      </c>
      <c r="J41" s="306">
        <f>IF(A41&lt;$F$10,0,IF(AND($B$21=1,A41&gt;$B$19),0,$E$10*$G$10^MIN((A41-$F$10)/12,6)*MIN($G$10,0.85)^MAX(0,(A41-$F$10)/12-6)))</f>
        <v/>
      </c>
      <c r="K41" s="306">
        <f>SUM(F41:J41)</f>
        <v/>
      </c>
      <c r="L41" s="306">
        <f>K41/12</f>
        <v/>
      </c>
      <c r="M41" s="306">
        <f>L41*$B$8</f>
        <v/>
      </c>
      <c r="N41" s="306">
        <f>L41*$B$9</f>
        <v/>
      </c>
      <c r="O41" s="306">
        <f>L41*$B$10</f>
        <v/>
      </c>
      <c r="P41" s="306">
        <f>L41-M41-N41-O41-D41-E41</f>
        <v/>
      </c>
      <c r="Q41" s="306">
        <f>MAX(0, P41 - $B$7*L41)</f>
        <v/>
      </c>
      <c r="R41" s="306">
        <f>P41-Q41</f>
        <v/>
      </c>
      <c r="S41" s="306">
        <f>IF(A41=$F$6, $B$18*$B$16*$B$17/1000000, 0) + IF(A41=$F$7, $B$18*$B$16*$B$17/1000000, 0) + IF(A41=$F$8, $B$18*$B$16*$B$17/1000000, 0) + IF(A41=$F$9, $B$18*$B$16*$B$17/1000000, 0) + IF(A41=$F$10, $B$18*$B$16*$B$17/1000000, 0)</f>
        <v/>
      </c>
      <c r="T41" s="306">
        <f>R41-S41-C41</f>
        <v/>
      </c>
      <c r="U41" s="306">
        <f>IF(AND(A41&lt;=$B$24, T41&gt;0), T41*$B$23, 0)</f>
        <v/>
      </c>
      <c r="V41" s="306">
        <f>T41-U41</f>
        <v/>
      </c>
      <c r="W41" s="306">
        <f>IF(AND(A41=$B$19, $B$21=1), K41*$B$20, 0)</f>
        <v/>
      </c>
      <c r="X41" s="306">
        <f>X40+V41+W41</f>
        <v/>
      </c>
    </row>
    <row r="42">
      <c r="A42" s="306" t="n">
        <v>12</v>
      </c>
      <c r="B42" s="306">
        <f>CEILING(A42/12,1)</f>
        <v/>
      </c>
      <c r="C42" s="306">
        <f>IF(A42&lt;=12, $B$15/12, 0)</f>
        <v/>
      </c>
      <c r="D42" s="306">
        <f>INDEX('26. Team Comp'!$D$28:$R$28, B42) * 0.001 / 12</f>
        <v/>
      </c>
      <c r="E42" s="306">
        <f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) * 200 / 12 / 1000</f>
        <v/>
      </c>
      <c r="F42" s="306">
        <f>IF(A42&lt;$F$6,0,IF(AND($B$21=1,A42&gt;$B$19),0,$E$6*$G$6^MIN((A42-$F$6)/12,6)*MIN($G$6,0.85)^MAX(0,(A42-$F$6)/12-6)))</f>
        <v/>
      </c>
      <c r="G42" s="306">
        <f>IF(A42&lt;$F$7,0,IF(AND($B$21=1,A42&gt;$B$19),0,$E$7*$G$7^MIN((A42-$F$7)/12,6)*MIN($G$7,0.85)^MAX(0,(A42-$F$7)/12-6)))</f>
        <v/>
      </c>
      <c r="H42" s="306">
        <f>IF(A42&lt;$F$8,0,IF(AND($B$21=1,A42&gt;$B$19),0,$E$8*$G$8^MIN((A42-$F$8)/12,6)*MIN($G$8,0.85)^MAX(0,(A42-$F$8)/12-6)))</f>
        <v/>
      </c>
      <c r="I42" s="306">
        <f>IF(A42&lt;$F$9,0,IF(AND($B$21=1,A42&gt;$B$19),0,$E$9*$G$9^MIN((A42-$F$9)/12,6)*MIN($G$9,0.85)^MAX(0,(A42-$F$9)/12-6)))</f>
        <v/>
      </c>
      <c r="J42" s="306">
        <f>IF(A42&lt;$F$10,0,IF(AND($B$21=1,A42&gt;$B$19),0,$E$10*$G$10^MIN((A42-$F$10)/12,6)*MIN($G$10,0.85)^MAX(0,(A42-$F$10)/12-6)))</f>
        <v/>
      </c>
      <c r="K42" s="306">
        <f>SUM(F42:J42)</f>
        <v/>
      </c>
      <c r="L42" s="306">
        <f>K42/12</f>
        <v/>
      </c>
      <c r="M42" s="306">
        <f>L42*$B$8</f>
        <v/>
      </c>
      <c r="N42" s="306">
        <f>L42*$B$9</f>
        <v/>
      </c>
      <c r="O42" s="306">
        <f>L42*$B$10</f>
        <v/>
      </c>
      <c r="P42" s="306">
        <f>L42-M42-N42-O42-D42-E42</f>
        <v/>
      </c>
      <c r="Q42" s="306">
        <f>MAX(0, P42 - $B$7*L42)</f>
        <v/>
      </c>
      <c r="R42" s="306">
        <f>P42-Q42</f>
        <v/>
      </c>
      <c r="S42" s="306">
        <f>IF(A42=$F$6, $B$18*$B$16*$B$17/1000000, 0) + IF(A42=$F$7, $B$18*$B$16*$B$17/1000000, 0) + IF(A42=$F$8, $B$18*$B$16*$B$17/1000000, 0) + IF(A42=$F$9, $B$18*$B$16*$B$17/1000000, 0) + IF(A42=$F$10, $B$18*$B$16*$B$17/1000000, 0)</f>
        <v/>
      </c>
      <c r="T42" s="306">
        <f>R42-S42-C42</f>
        <v/>
      </c>
      <c r="U42" s="306">
        <f>IF(AND(A42&lt;=$B$24, T42&gt;0), T42*$B$23, 0)</f>
        <v/>
      </c>
      <c r="V42" s="306">
        <f>T42-U42</f>
        <v/>
      </c>
      <c r="W42" s="306">
        <f>IF(AND(A42=$B$19, $B$21=1), K42*$B$20, 0)</f>
        <v/>
      </c>
      <c r="X42" s="306">
        <f>X41+V42+W42</f>
        <v/>
      </c>
    </row>
    <row r="43">
      <c r="A43" s="306" t="n">
        <v>13</v>
      </c>
      <c r="B43" s="306">
        <f>CEILING(A43/12,1)</f>
        <v/>
      </c>
      <c r="C43" s="306">
        <f>IF(A43&lt;=12, $B$15/12, 0)</f>
        <v/>
      </c>
      <c r="D43" s="306">
        <f>INDEX('26. Team Comp'!$D$28:$R$28, B43) * 0.001 / 12</f>
        <v/>
      </c>
      <c r="E43" s="306">
        <f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) * 200 / 12 / 1000</f>
        <v/>
      </c>
      <c r="F43" s="306">
        <f>IF(A43&lt;$F$6,0,IF(AND($B$21=1,A43&gt;$B$19),0,$E$6*$G$6^MIN((A43-$F$6)/12,6)*MIN($G$6,0.85)^MAX(0,(A43-$F$6)/12-6)))</f>
        <v/>
      </c>
      <c r="G43" s="306">
        <f>IF(A43&lt;$F$7,0,IF(AND($B$21=1,A43&gt;$B$19),0,$E$7*$G$7^MIN((A43-$F$7)/12,6)*MIN($G$7,0.85)^MAX(0,(A43-$F$7)/12-6)))</f>
        <v/>
      </c>
      <c r="H43" s="306">
        <f>IF(A43&lt;$F$8,0,IF(AND($B$21=1,A43&gt;$B$19),0,$E$8*$G$8^MIN((A43-$F$8)/12,6)*MIN($G$8,0.85)^MAX(0,(A43-$F$8)/12-6)))</f>
        <v/>
      </c>
      <c r="I43" s="306">
        <f>IF(A43&lt;$F$9,0,IF(AND($B$21=1,A43&gt;$B$19),0,$E$9*$G$9^MIN((A43-$F$9)/12,6)*MIN($G$9,0.85)^MAX(0,(A43-$F$9)/12-6)))</f>
        <v/>
      </c>
      <c r="J43" s="306">
        <f>IF(A43&lt;$F$10,0,IF(AND($B$21=1,A43&gt;$B$19),0,$E$10*$G$10^MIN((A43-$F$10)/12,6)*MIN($G$10,0.85)^MAX(0,(A43-$F$10)/12-6)))</f>
        <v/>
      </c>
      <c r="K43" s="306">
        <f>SUM(F43:J43)</f>
        <v/>
      </c>
      <c r="L43" s="306">
        <f>K43/12</f>
        <v/>
      </c>
      <c r="M43" s="306">
        <f>L43*$B$8</f>
        <v/>
      </c>
      <c r="N43" s="306">
        <f>L43*$B$9</f>
        <v/>
      </c>
      <c r="O43" s="306">
        <f>L43*$B$10</f>
        <v/>
      </c>
      <c r="P43" s="306">
        <f>L43-M43-N43-O43-D43-E43</f>
        <v/>
      </c>
      <c r="Q43" s="306">
        <f>MAX(0, P43 - $B$7*L43)</f>
        <v/>
      </c>
      <c r="R43" s="306">
        <f>P43-Q43</f>
        <v/>
      </c>
      <c r="S43" s="306">
        <f>IF(A43=$F$6, $B$18*$B$16*$B$17/1000000, 0) + IF(A43=$F$7, $B$18*$B$16*$B$17/1000000, 0) + IF(A43=$F$8, $B$18*$B$16*$B$17/1000000, 0) + IF(A43=$F$9, $B$18*$B$16*$B$17/1000000, 0) + IF(A43=$F$10, $B$18*$B$16*$B$17/1000000, 0)</f>
        <v/>
      </c>
      <c r="T43" s="306">
        <f>R43-S43-C43</f>
        <v/>
      </c>
      <c r="U43" s="306">
        <f>IF(AND(A43&lt;=$B$24, T43&gt;0), T43*$B$23, 0)</f>
        <v/>
      </c>
      <c r="V43" s="306">
        <f>T43-U43</f>
        <v/>
      </c>
      <c r="W43" s="306">
        <f>IF(AND(A43=$B$19, $B$21=1), K43*$B$20, 0)</f>
        <v/>
      </c>
      <c r="X43" s="306">
        <f>X42+V43+W43</f>
        <v/>
      </c>
    </row>
    <row r="44">
      <c r="A44" s="306" t="n">
        <v>14</v>
      </c>
      <c r="B44" s="306">
        <f>CEILING(A44/12,1)</f>
        <v/>
      </c>
      <c r="C44" s="306">
        <f>IF(A44&lt;=12, $B$15/12, 0)</f>
        <v/>
      </c>
      <c r="D44" s="306">
        <f>INDEX('26. Team Comp'!$D$28:$R$28, B44) * 0.001 / 12</f>
        <v/>
      </c>
      <c r="E44" s="306">
        <f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) * 200 / 12 / 1000</f>
        <v/>
      </c>
      <c r="F44" s="306">
        <f>IF(A44&lt;$F$6,0,IF(AND($B$21=1,A44&gt;$B$19),0,$E$6*$G$6^MIN((A44-$F$6)/12,6)*MIN($G$6,0.85)^MAX(0,(A44-$F$6)/12-6)))</f>
        <v/>
      </c>
      <c r="G44" s="306">
        <f>IF(A44&lt;$F$7,0,IF(AND($B$21=1,A44&gt;$B$19),0,$E$7*$G$7^MIN((A44-$F$7)/12,6)*MIN($G$7,0.85)^MAX(0,(A44-$F$7)/12-6)))</f>
        <v/>
      </c>
      <c r="H44" s="306">
        <f>IF(A44&lt;$F$8,0,IF(AND($B$21=1,A44&gt;$B$19),0,$E$8*$G$8^MIN((A44-$F$8)/12,6)*MIN($G$8,0.85)^MAX(0,(A44-$F$8)/12-6)))</f>
        <v/>
      </c>
      <c r="I44" s="306">
        <f>IF(A44&lt;$F$9,0,IF(AND($B$21=1,A44&gt;$B$19),0,$E$9*$G$9^MIN((A44-$F$9)/12,6)*MIN($G$9,0.85)^MAX(0,(A44-$F$9)/12-6)))</f>
        <v/>
      </c>
      <c r="J44" s="306">
        <f>IF(A44&lt;$F$10,0,IF(AND($B$21=1,A44&gt;$B$19),0,$E$10*$G$10^MIN((A44-$F$10)/12,6)*MIN($G$10,0.85)^MAX(0,(A44-$F$10)/12-6)))</f>
        <v/>
      </c>
      <c r="K44" s="306">
        <f>SUM(F44:J44)</f>
        <v/>
      </c>
      <c r="L44" s="306">
        <f>K44/12</f>
        <v/>
      </c>
      <c r="M44" s="306">
        <f>L44*$B$8</f>
        <v/>
      </c>
      <c r="N44" s="306">
        <f>L44*$B$9</f>
        <v/>
      </c>
      <c r="O44" s="306">
        <f>L44*$B$10</f>
        <v/>
      </c>
      <c r="P44" s="306">
        <f>L44-M44-N44-O44-D44-E44</f>
        <v/>
      </c>
      <c r="Q44" s="306">
        <f>MAX(0, P44 - $B$7*L44)</f>
        <v/>
      </c>
      <c r="R44" s="306">
        <f>P44-Q44</f>
        <v/>
      </c>
      <c r="S44" s="306">
        <f>IF(A44=$F$6, $B$18*$B$16*$B$17/1000000, 0) + IF(A44=$F$7, $B$18*$B$16*$B$17/1000000, 0) + IF(A44=$F$8, $B$18*$B$16*$B$17/1000000, 0) + IF(A44=$F$9, $B$18*$B$16*$B$17/1000000, 0) + IF(A44=$F$10, $B$18*$B$16*$B$17/1000000, 0)</f>
        <v/>
      </c>
      <c r="T44" s="306">
        <f>R44-S44-C44</f>
        <v/>
      </c>
      <c r="U44" s="306">
        <f>IF(AND(A44&lt;=$B$24, T44&gt;0), T44*$B$23, 0)</f>
        <v/>
      </c>
      <c r="V44" s="306">
        <f>T44-U44</f>
        <v/>
      </c>
      <c r="W44" s="306">
        <f>IF(AND(A44=$B$19, $B$21=1), K44*$B$20, 0)</f>
        <v/>
      </c>
      <c r="X44" s="306">
        <f>X43+V44+W44</f>
        <v/>
      </c>
    </row>
    <row r="45">
      <c r="A45" s="306" t="n">
        <v>15</v>
      </c>
      <c r="B45" s="306">
        <f>CEILING(A45/12,1)</f>
        <v/>
      </c>
      <c r="C45" s="306">
        <f>IF(A45&lt;=12, $B$15/12, 0)</f>
        <v/>
      </c>
      <c r="D45" s="306">
        <f>INDEX('26. Team Comp'!$D$28:$R$28, B45) * 0.001 / 12</f>
        <v/>
      </c>
      <c r="E45" s="306">
        <f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) * 200 / 12 / 1000</f>
        <v/>
      </c>
      <c r="F45" s="306">
        <f>IF(A45&lt;$F$6,0,IF(AND($B$21=1,A45&gt;$B$19),0,$E$6*$G$6^MIN((A45-$F$6)/12,6)*MIN($G$6,0.85)^MAX(0,(A45-$F$6)/12-6)))</f>
        <v/>
      </c>
      <c r="G45" s="306">
        <f>IF(A45&lt;$F$7,0,IF(AND($B$21=1,A45&gt;$B$19),0,$E$7*$G$7^MIN((A45-$F$7)/12,6)*MIN($G$7,0.85)^MAX(0,(A45-$F$7)/12-6)))</f>
        <v/>
      </c>
      <c r="H45" s="306">
        <f>IF(A45&lt;$F$8,0,IF(AND($B$21=1,A45&gt;$B$19),0,$E$8*$G$8^MIN((A45-$F$8)/12,6)*MIN($G$8,0.85)^MAX(0,(A45-$F$8)/12-6)))</f>
        <v/>
      </c>
      <c r="I45" s="306">
        <f>IF(A45&lt;$F$9,0,IF(AND($B$21=1,A45&gt;$B$19),0,$E$9*$G$9^MIN((A45-$F$9)/12,6)*MIN($G$9,0.85)^MAX(0,(A45-$F$9)/12-6)))</f>
        <v/>
      </c>
      <c r="J45" s="306">
        <f>IF(A45&lt;$F$10,0,IF(AND($B$21=1,A45&gt;$B$19),0,$E$10*$G$10^MIN((A45-$F$10)/12,6)*MIN($G$10,0.85)^MAX(0,(A45-$F$10)/12-6)))</f>
        <v/>
      </c>
      <c r="K45" s="306">
        <f>SUM(F45:J45)</f>
        <v/>
      </c>
      <c r="L45" s="306">
        <f>K45/12</f>
        <v/>
      </c>
      <c r="M45" s="306">
        <f>L45*$B$8</f>
        <v/>
      </c>
      <c r="N45" s="306">
        <f>L45*$B$9</f>
        <v/>
      </c>
      <c r="O45" s="306">
        <f>L45*$B$10</f>
        <v/>
      </c>
      <c r="P45" s="306">
        <f>L45-M45-N45-O45-D45-E45</f>
        <v/>
      </c>
      <c r="Q45" s="306">
        <f>MAX(0, P45 - $B$7*L45)</f>
        <v/>
      </c>
      <c r="R45" s="306">
        <f>P45-Q45</f>
        <v/>
      </c>
      <c r="S45" s="306">
        <f>IF(A45=$F$6, $B$18*$B$16*$B$17/1000000, 0) + IF(A45=$F$7, $B$18*$B$16*$B$17/1000000, 0) + IF(A45=$F$8, $B$18*$B$16*$B$17/1000000, 0) + IF(A45=$F$9, $B$18*$B$16*$B$17/1000000, 0) + IF(A45=$F$10, $B$18*$B$16*$B$17/1000000, 0)</f>
        <v/>
      </c>
      <c r="T45" s="306">
        <f>R45-S45-C45</f>
        <v/>
      </c>
      <c r="U45" s="306">
        <f>IF(AND(A45&lt;=$B$24, T45&gt;0), T45*$B$23, 0)</f>
        <v/>
      </c>
      <c r="V45" s="306">
        <f>T45-U45</f>
        <v/>
      </c>
      <c r="W45" s="306">
        <f>IF(AND(A45=$B$19, $B$21=1), K45*$B$20, 0)</f>
        <v/>
      </c>
      <c r="X45" s="306">
        <f>X44+V45+W45</f>
        <v/>
      </c>
    </row>
    <row r="46">
      <c r="A46" s="306" t="n">
        <v>16</v>
      </c>
      <c r="B46" s="306">
        <f>CEILING(A46/12,1)</f>
        <v/>
      </c>
      <c r="C46" s="306">
        <f>IF(A46&lt;=12, $B$15/12, 0)</f>
        <v/>
      </c>
      <c r="D46" s="306">
        <f>INDEX('26. Team Comp'!$D$28:$R$28, B46) * 0.001 / 12</f>
        <v/>
      </c>
      <c r="E46" s="306">
        <f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) * 200 / 12 / 1000</f>
        <v/>
      </c>
      <c r="F46" s="306">
        <f>IF(A46&lt;$F$6,0,IF(AND($B$21=1,A46&gt;$B$19),0,$E$6*$G$6^MIN((A46-$F$6)/12,6)*MIN($G$6,0.85)^MAX(0,(A46-$F$6)/12-6)))</f>
        <v/>
      </c>
      <c r="G46" s="306">
        <f>IF(A46&lt;$F$7,0,IF(AND($B$21=1,A46&gt;$B$19),0,$E$7*$G$7^MIN((A46-$F$7)/12,6)*MIN($G$7,0.85)^MAX(0,(A46-$F$7)/12-6)))</f>
        <v/>
      </c>
      <c r="H46" s="306">
        <f>IF(A46&lt;$F$8,0,IF(AND($B$21=1,A46&gt;$B$19),0,$E$8*$G$8^MIN((A46-$F$8)/12,6)*MIN($G$8,0.85)^MAX(0,(A46-$F$8)/12-6)))</f>
        <v/>
      </c>
      <c r="I46" s="306">
        <f>IF(A46&lt;$F$9,0,IF(AND($B$21=1,A46&gt;$B$19),0,$E$9*$G$9^MIN((A46-$F$9)/12,6)*MIN($G$9,0.85)^MAX(0,(A46-$F$9)/12-6)))</f>
        <v/>
      </c>
      <c r="J46" s="306">
        <f>IF(A46&lt;$F$10,0,IF(AND($B$21=1,A46&gt;$B$19),0,$E$10*$G$10^MIN((A46-$F$10)/12,6)*MIN($G$10,0.85)^MAX(0,(A46-$F$10)/12-6)))</f>
        <v/>
      </c>
      <c r="K46" s="306">
        <f>SUM(F46:J46)</f>
        <v/>
      </c>
      <c r="L46" s="306">
        <f>K46/12</f>
        <v/>
      </c>
      <c r="M46" s="306">
        <f>L46*$B$8</f>
        <v/>
      </c>
      <c r="N46" s="306">
        <f>L46*$B$9</f>
        <v/>
      </c>
      <c r="O46" s="306">
        <f>L46*$B$10</f>
        <v/>
      </c>
      <c r="P46" s="306">
        <f>L46-M46-N46-O46-D46-E46</f>
        <v/>
      </c>
      <c r="Q46" s="306">
        <f>MAX(0, P46 - $B$7*L46)</f>
        <v/>
      </c>
      <c r="R46" s="306">
        <f>P46-Q46</f>
        <v/>
      </c>
      <c r="S46" s="306">
        <f>IF(A46=$F$6, $B$18*$B$16*$B$17/1000000, 0) + IF(A46=$F$7, $B$18*$B$16*$B$17/1000000, 0) + IF(A46=$F$8, $B$18*$B$16*$B$17/1000000, 0) + IF(A46=$F$9, $B$18*$B$16*$B$17/1000000, 0) + IF(A46=$F$10, $B$18*$B$16*$B$17/1000000, 0)</f>
        <v/>
      </c>
      <c r="T46" s="306">
        <f>R46-S46-C46</f>
        <v/>
      </c>
      <c r="U46" s="306">
        <f>IF(AND(A46&lt;=$B$24, T46&gt;0), T46*$B$23, 0)</f>
        <v/>
      </c>
      <c r="V46" s="306">
        <f>T46-U46</f>
        <v/>
      </c>
      <c r="W46" s="306">
        <f>IF(AND(A46=$B$19, $B$21=1), K46*$B$20, 0)</f>
        <v/>
      </c>
      <c r="X46" s="306">
        <f>X45+V46+W46</f>
        <v/>
      </c>
    </row>
    <row r="47">
      <c r="A47" s="306" t="n">
        <v>17</v>
      </c>
      <c r="B47" s="306">
        <f>CEILING(A47/12,1)</f>
        <v/>
      </c>
      <c r="C47" s="306">
        <f>IF(A47&lt;=12, $B$15/12, 0)</f>
        <v/>
      </c>
      <c r="D47" s="306">
        <f>INDEX('26. Team Comp'!$D$28:$R$28, B47) * 0.001 / 12</f>
        <v/>
      </c>
      <c r="E47" s="306">
        <f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) * 200 / 12 / 1000</f>
        <v/>
      </c>
      <c r="F47" s="306">
        <f>IF(A47&lt;$F$6,0,IF(AND($B$21=1,A47&gt;$B$19),0,$E$6*$G$6^MIN((A47-$F$6)/12,6)*MIN($G$6,0.85)^MAX(0,(A47-$F$6)/12-6)))</f>
        <v/>
      </c>
      <c r="G47" s="306">
        <f>IF(A47&lt;$F$7,0,IF(AND($B$21=1,A47&gt;$B$19),0,$E$7*$G$7^MIN((A47-$F$7)/12,6)*MIN($G$7,0.85)^MAX(0,(A47-$F$7)/12-6)))</f>
        <v/>
      </c>
      <c r="H47" s="306">
        <f>IF(A47&lt;$F$8,0,IF(AND($B$21=1,A47&gt;$B$19),0,$E$8*$G$8^MIN((A47-$F$8)/12,6)*MIN($G$8,0.85)^MAX(0,(A47-$F$8)/12-6)))</f>
        <v/>
      </c>
      <c r="I47" s="306">
        <f>IF(A47&lt;$F$9,0,IF(AND($B$21=1,A47&gt;$B$19),0,$E$9*$G$9^MIN((A47-$F$9)/12,6)*MIN($G$9,0.85)^MAX(0,(A47-$F$9)/12-6)))</f>
        <v/>
      </c>
      <c r="J47" s="306">
        <f>IF(A47&lt;$F$10,0,IF(AND($B$21=1,A47&gt;$B$19),0,$E$10*$G$10^MIN((A47-$F$10)/12,6)*MIN($G$10,0.85)^MAX(0,(A47-$F$10)/12-6)))</f>
        <v/>
      </c>
      <c r="K47" s="306">
        <f>SUM(F47:J47)</f>
        <v/>
      </c>
      <c r="L47" s="306">
        <f>K47/12</f>
        <v/>
      </c>
      <c r="M47" s="306">
        <f>L47*$B$8</f>
        <v/>
      </c>
      <c r="N47" s="306">
        <f>L47*$B$9</f>
        <v/>
      </c>
      <c r="O47" s="306">
        <f>L47*$B$10</f>
        <v/>
      </c>
      <c r="P47" s="306">
        <f>L47-M47-N47-O47-D47-E47</f>
        <v/>
      </c>
      <c r="Q47" s="306">
        <f>MAX(0, P47 - $B$7*L47)</f>
        <v/>
      </c>
      <c r="R47" s="306">
        <f>P47-Q47</f>
        <v/>
      </c>
      <c r="S47" s="306">
        <f>IF(A47=$F$6, $B$18*$B$16*$B$17/1000000, 0) + IF(A47=$F$7, $B$18*$B$16*$B$17/1000000, 0) + IF(A47=$F$8, $B$18*$B$16*$B$17/1000000, 0) + IF(A47=$F$9, $B$18*$B$16*$B$17/1000000, 0) + IF(A47=$F$10, $B$18*$B$16*$B$17/1000000, 0)</f>
        <v/>
      </c>
      <c r="T47" s="306">
        <f>R47-S47-C47</f>
        <v/>
      </c>
      <c r="U47" s="306">
        <f>IF(AND(A47&lt;=$B$24, T47&gt;0), T47*$B$23, 0)</f>
        <v/>
      </c>
      <c r="V47" s="306">
        <f>T47-U47</f>
        <v/>
      </c>
      <c r="W47" s="306">
        <f>IF(AND(A47=$B$19, $B$21=1), K47*$B$20, 0)</f>
        <v/>
      </c>
      <c r="X47" s="306">
        <f>X46+V47+W47</f>
        <v/>
      </c>
    </row>
    <row r="48">
      <c r="A48" s="306" t="n">
        <v>18</v>
      </c>
      <c r="B48" s="306">
        <f>CEILING(A48/12,1)</f>
        <v/>
      </c>
      <c r="C48" s="306">
        <f>IF(A48&lt;=12, $B$15/12, 0)</f>
        <v/>
      </c>
      <c r="D48" s="306">
        <f>INDEX('26. Team Comp'!$D$28:$R$28, B48) * 0.001 / 12</f>
        <v/>
      </c>
      <c r="E48" s="306">
        <f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) * 200 / 12 / 1000</f>
        <v/>
      </c>
      <c r="F48" s="306">
        <f>IF(A48&lt;$F$6,0,IF(AND($B$21=1,A48&gt;$B$19),0,$E$6*$G$6^MIN((A48-$F$6)/12,6)*MIN($G$6,0.85)^MAX(0,(A48-$F$6)/12-6)))</f>
        <v/>
      </c>
      <c r="G48" s="306">
        <f>IF(A48&lt;$F$7,0,IF(AND($B$21=1,A48&gt;$B$19),0,$E$7*$G$7^MIN((A48-$F$7)/12,6)*MIN($G$7,0.85)^MAX(0,(A48-$F$7)/12-6)))</f>
        <v/>
      </c>
      <c r="H48" s="306">
        <f>IF(A48&lt;$F$8,0,IF(AND($B$21=1,A48&gt;$B$19),0,$E$8*$G$8^MIN((A48-$F$8)/12,6)*MIN($G$8,0.85)^MAX(0,(A48-$F$8)/12-6)))</f>
        <v/>
      </c>
      <c r="I48" s="306">
        <f>IF(A48&lt;$F$9,0,IF(AND($B$21=1,A48&gt;$B$19),0,$E$9*$G$9^MIN((A48-$F$9)/12,6)*MIN($G$9,0.85)^MAX(0,(A48-$F$9)/12-6)))</f>
        <v/>
      </c>
      <c r="J48" s="306">
        <f>IF(A48&lt;$F$10,0,IF(AND($B$21=1,A48&gt;$B$19),0,$E$10*$G$10^MIN((A48-$F$10)/12,6)*MIN($G$10,0.85)^MAX(0,(A48-$F$10)/12-6)))</f>
        <v/>
      </c>
      <c r="K48" s="306">
        <f>SUM(F48:J48)</f>
        <v/>
      </c>
      <c r="L48" s="306">
        <f>K48/12</f>
        <v/>
      </c>
      <c r="M48" s="306">
        <f>L48*$B$8</f>
        <v/>
      </c>
      <c r="N48" s="306">
        <f>L48*$B$9</f>
        <v/>
      </c>
      <c r="O48" s="306">
        <f>L48*$B$10</f>
        <v/>
      </c>
      <c r="P48" s="306">
        <f>L48-M48-N48-O48-D48-E48</f>
        <v/>
      </c>
      <c r="Q48" s="306">
        <f>MAX(0, P48 - $B$7*L48)</f>
        <v/>
      </c>
      <c r="R48" s="306">
        <f>P48-Q48</f>
        <v/>
      </c>
      <c r="S48" s="306">
        <f>IF(A48=$F$6, $B$18*$B$16*$B$17/1000000, 0) + IF(A48=$F$7, $B$18*$B$16*$B$17/1000000, 0) + IF(A48=$F$8, $B$18*$B$16*$B$17/1000000, 0) + IF(A48=$F$9, $B$18*$B$16*$B$17/1000000, 0) + IF(A48=$F$10, $B$18*$B$16*$B$17/1000000, 0)</f>
        <v/>
      </c>
      <c r="T48" s="306">
        <f>R48-S48-C48</f>
        <v/>
      </c>
      <c r="U48" s="306">
        <f>IF(AND(A48&lt;=$B$24, T48&gt;0), T48*$B$23, 0)</f>
        <v/>
      </c>
      <c r="V48" s="306">
        <f>T48-U48</f>
        <v/>
      </c>
      <c r="W48" s="306">
        <f>IF(AND(A48=$B$19, $B$21=1), K48*$B$20, 0)</f>
        <v/>
      </c>
      <c r="X48" s="306">
        <f>X47+V48+W48</f>
        <v/>
      </c>
    </row>
    <row r="49">
      <c r="A49" s="306" t="n">
        <v>19</v>
      </c>
      <c r="B49" s="306">
        <f>CEILING(A49/12,1)</f>
        <v/>
      </c>
      <c r="C49" s="306">
        <f>IF(A49&lt;=12, $B$15/12, 0)</f>
        <v/>
      </c>
      <c r="D49" s="306">
        <f>INDEX('26. Team Comp'!$D$28:$R$28, B49) * 0.001 / 12</f>
        <v/>
      </c>
      <c r="E49" s="306">
        <f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) * 200 / 12 / 1000</f>
        <v/>
      </c>
      <c r="F49" s="306">
        <f>IF(A49&lt;$F$6,0,IF(AND($B$21=1,A49&gt;$B$19),0,$E$6*$G$6^MIN((A49-$F$6)/12,6)*MIN($G$6,0.85)^MAX(0,(A49-$F$6)/12-6)))</f>
        <v/>
      </c>
      <c r="G49" s="306">
        <f>IF(A49&lt;$F$7,0,IF(AND($B$21=1,A49&gt;$B$19),0,$E$7*$G$7^MIN((A49-$F$7)/12,6)*MIN($G$7,0.85)^MAX(0,(A49-$F$7)/12-6)))</f>
        <v/>
      </c>
      <c r="H49" s="306">
        <f>IF(A49&lt;$F$8,0,IF(AND($B$21=1,A49&gt;$B$19),0,$E$8*$G$8^MIN((A49-$F$8)/12,6)*MIN($G$8,0.85)^MAX(0,(A49-$F$8)/12-6)))</f>
        <v/>
      </c>
      <c r="I49" s="306">
        <f>IF(A49&lt;$F$9,0,IF(AND($B$21=1,A49&gt;$B$19),0,$E$9*$G$9^MIN((A49-$F$9)/12,6)*MIN($G$9,0.85)^MAX(0,(A49-$F$9)/12-6)))</f>
        <v/>
      </c>
      <c r="J49" s="306">
        <f>IF(A49&lt;$F$10,0,IF(AND($B$21=1,A49&gt;$B$19),0,$E$10*$G$10^MIN((A49-$F$10)/12,6)*MIN($G$10,0.85)^MAX(0,(A49-$F$10)/12-6)))</f>
        <v/>
      </c>
      <c r="K49" s="306">
        <f>SUM(F49:J49)</f>
        <v/>
      </c>
      <c r="L49" s="306">
        <f>K49/12</f>
        <v/>
      </c>
      <c r="M49" s="306">
        <f>L49*$B$8</f>
        <v/>
      </c>
      <c r="N49" s="306">
        <f>L49*$B$9</f>
        <v/>
      </c>
      <c r="O49" s="306">
        <f>L49*$B$10</f>
        <v/>
      </c>
      <c r="P49" s="306">
        <f>L49-M49-N49-O49-D49-E49</f>
        <v/>
      </c>
      <c r="Q49" s="306">
        <f>MAX(0, P49 - $B$7*L49)</f>
        <v/>
      </c>
      <c r="R49" s="306">
        <f>P49-Q49</f>
        <v/>
      </c>
      <c r="S49" s="306">
        <f>IF(A49=$F$6, $B$18*$B$16*$B$17/1000000, 0) + IF(A49=$F$7, $B$18*$B$16*$B$17/1000000, 0) + IF(A49=$F$8, $B$18*$B$16*$B$17/1000000, 0) + IF(A49=$F$9, $B$18*$B$16*$B$17/1000000, 0) + IF(A49=$F$10, $B$18*$B$16*$B$17/1000000, 0)</f>
        <v/>
      </c>
      <c r="T49" s="306">
        <f>R49-S49-C49</f>
        <v/>
      </c>
      <c r="U49" s="306">
        <f>IF(AND(A49&lt;=$B$24, T49&gt;0), T49*$B$23, 0)</f>
        <v/>
      </c>
      <c r="V49" s="306">
        <f>T49-U49</f>
        <v/>
      </c>
      <c r="W49" s="306">
        <f>IF(AND(A49=$B$19, $B$21=1), K49*$B$20, 0)</f>
        <v/>
      </c>
      <c r="X49" s="306">
        <f>X48+V49+W49</f>
        <v/>
      </c>
    </row>
    <row r="50">
      <c r="A50" s="306" t="n">
        <v>20</v>
      </c>
      <c r="B50" s="306">
        <f>CEILING(A50/12,1)</f>
        <v/>
      </c>
      <c r="C50" s="306">
        <f>IF(A50&lt;=12, $B$15/12, 0)</f>
        <v/>
      </c>
      <c r="D50" s="306">
        <f>INDEX('26. Team Comp'!$D$28:$R$28, B50) * 0.001 / 12</f>
        <v/>
      </c>
      <c r="E50" s="306">
        <f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) * 200 / 12 / 1000</f>
        <v/>
      </c>
      <c r="F50" s="306">
        <f>IF(A50&lt;$F$6,0,IF(AND($B$21=1,A50&gt;$B$19),0,$E$6*$G$6^MIN((A50-$F$6)/12,6)*MIN($G$6,0.85)^MAX(0,(A50-$F$6)/12-6)))</f>
        <v/>
      </c>
      <c r="G50" s="306">
        <f>IF(A50&lt;$F$7,0,IF(AND($B$21=1,A50&gt;$B$19),0,$E$7*$G$7^MIN((A50-$F$7)/12,6)*MIN($G$7,0.85)^MAX(0,(A50-$F$7)/12-6)))</f>
        <v/>
      </c>
      <c r="H50" s="306">
        <f>IF(A50&lt;$F$8,0,IF(AND($B$21=1,A50&gt;$B$19),0,$E$8*$G$8^MIN((A50-$F$8)/12,6)*MIN($G$8,0.85)^MAX(0,(A50-$F$8)/12-6)))</f>
        <v/>
      </c>
      <c r="I50" s="306">
        <f>IF(A50&lt;$F$9,0,IF(AND($B$21=1,A50&gt;$B$19),0,$E$9*$G$9^MIN((A50-$F$9)/12,6)*MIN($G$9,0.85)^MAX(0,(A50-$F$9)/12-6)))</f>
        <v/>
      </c>
      <c r="J50" s="306">
        <f>IF(A50&lt;$F$10,0,IF(AND($B$21=1,A50&gt;$B$19),0,$E$10*$G$10^MIN((A50-$F$10)/12,6)*MIN($G$10,0.85)^MAX(0,(A50-$F$10)/12-6)))</f>
        <v/>
      </c>
      <c r="K50" s="306">
        <f>SUM(F50:J50)</f>
        <v/>
      </c>
      <c r="L50" s="306">
        <f>K50/12</f>
        <v/>
      </c>
      <c r="M50" s="306">
        <f>L50*$B$8</f>
        <v/>
      </c>
      <c r="N50" s="306">
        <f>L50*$B$9</f>
        <v/>
      </c>
      <c r="O50" s="306">
        <f>L50*$B$10</f>
        <v/>
      </c>
      <c r="P50" s="306">
        <f>L50-M50-N50-O50-D50-E50</f>
        <v/>
      </c>
      <c r="Q50" s="306">
        <f>MAX(0, P50 - $B$7*L50)</f>
        <v/>
      </c>
      <c r="R50" s="306">
        <f>P50-Q50</f>
        <v/>
      </c>
      <c r="S50" s="306">
        <f>IF(A50=$F$6, $B$18*$B$16*$B$17/1000000, 0) + IF(A50=$F$7, $B$18*$B$16*$B$17/1000000, 0) + IF(A50=$F$8, $B$18*$B$16*$B$17/1000000, 0) + IF(A50=$F$9, $B$18*$B$16*$B$17/1000000, 0) + IF(A50=$F$10, $B$18*$B$16*$B$17/1000000, 0)</f>
        <v/>
      </c>
      <c r="T50" s="306">
        <f>R50-S50-C50</f>
        <v/>
      </c>
      <c r="U50" s="306">
        <f>IF(AND(A50&lt;=$B$24, T50&gt;0), T50*$B$23, 0)</f>
        <v/>
      </c>
      <c r="V50" s="306">
        <f>T50-U50</f>
        <v/>
      </c>
      <c r="W50" s="306">
        <f>IF(AND(A50=$B$19, $B$21=1), K50*$B$20, 0)</f>
        <v/>
      </c>
      <c r="X50" s="306">
        <f>X49+V50+W50</f>
        <v/>
      </c>
    </row>
    <row r="51">
      <c r="A51" s="306" t="n">
        <v>21</v>
      </c>
      <c r="B51" s="306">
        <f>CEILING(A51/12,1)</f>
        <v/>
      </c>
      <c r="C51" s="306">
        <f>IF(A51&lt;=12, $B$15/12, 0)</f>
        <v/>
      </c>
      <c r="D51" s="306">
        <f>INDEX('26. Team Comp'!$D$28:$R$28, B51) * 0.001 / 12</f>
        <v/>
      </c>
      <c r="E51" s="306">
        <f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) * 200 / 12 / 1000</f>
        <v/>
      </c>
      <c r="F51" s="306">
        <f>IF(A51&lt;$F$6,0,IF(AND($B$21=1,A51&gt;$B$19),0,$E$6*$G$6^MIN((A51-$F$6)/12,6)*MIN($G$6,0.85)^MAX(0,(A51-$F$6)/12-6)))</f>
        <v/>
      </c>
      <c r="G51" s="306">
        <f>IF(A51&lt;$F$7,0,IF(AND($B$21=1,A51&gt;$B$19),0,$E$7*$G$7^MIN((A51-$F$7)/12,6)*MIN($G$7,0.85)^MAX(0,(A51-$F$7)/12-6)))</f>
        <v/>
      </c>
      <c r="H51" s="306">
        <f>IF(A51&lt;$F$8,0,IF(AND($B$21=1,A51&gt;$B$19),0,$E$8*$G$8^MIN((A51-$F$8)/12,6)*MIN($G$8,0.85)^MAX(0,(A51-$F$8)/12-6)))</f>
        <v/>
      </c>
      <c r="I51" s="306">
        <f>IF(A51&lt;$F$9,0,IF(AND($B$21=1,A51&gt;$B$19),0,$E$9*$G$9^MIN((A51-$F$9)/12,6)*MIN($G$9,0.85)^MAX(0,(A51-$F$9)/12-6)))</f>
        <v/>
      </c>
      <c r="J51" s="306">
        <f>IF(A51&lt;$F$10,0,IF(AND($B$21=1,A51&gt;$B$19),0,$E$10*$G$10^MIN((A51-$F$10)/12,6)*MIN($G$10,0.85)^MAX(0,(A51-$F$10)/12-6)))</f>
        <v/>
      </c>
      <c r="K51" s="306">
        <f>SUM(F51:J51)</f>
        <v/>
      </c>
      <c r="L51" s="306">
        <f>K51/12</f>
        <v/>
      </c>
      <c r="M51" s="306">
        <f>L51*$B$8</f>
        <v/>
      </c>
      <c r="N51" s="306">
        <f>L51*$B$9</f>
        <v/>
      </c>
      <c r="O51" s="306">
        <f>L51*$B$10</f>
        <v/>
      </c>
      <c r="P51" s="306">
        <f>L51-M51-N51-O51-D51-E51</f>
        <v/>
      </c>
      <c r="Q51" s="306">
        <f>MAX(0, P51 - $B$7*L51)</f>
        <v/>
      </c>
      <c r="R51" s="306">
        <f>P51-Q51</f>
        <v/>
      </c>
      <c r="S51" s="306">
        <f>IF(A51=$F$6, $B$18*$B$16*$B$17/1000000, 0) + IF(A51=$F$7, $B$18*$B$16*$B$17/1000000, 0) + IF(A51=$F$8, $B$18*$B$16*$B$17/1000000, 0) + IF(A51=$F$9, $B$18*$B$16*$B$17/1000000, 0) + IF(A51=$F$10, $B$18*$B$16*$B$17/1000000, 0)</f>
        <v/>
      </c>
      <c r="T51" s="306">
        <f>R51-S51-C51</f>
        <v/>
      </c>
      <c r="U51" s="306">
        <f>IF(AND(A51&lt;=$B$24, T51&gt;0), T51*$B$23, 0)</f>
        <v/>
      </c>
      <c r="V51" s="306">
        <f>T51-U51</f>
        <v/>
      </c>
      <c r="W51" s="306">
        <f>IF(AND(A51=$B$19, $B$21=1), K51*$B$20, 0)</f>
        <v/>
      </c>
      <c r="X51" s="306">
        <f>X50+V51+W51</f>
        <v/>
      </c>
    </row>
    <row r="52">
      <c r="A52" s="306" t="n">
        <v>22</v>
      </c>
      <c r="B52" s="306">
        <f>CEILING(A52/12,1)</f>
        <v/>
      </c>
      <c r="C52" s="306">
        <f>IF(A52&lt;=12, $B$15/12, 0)</f>
        <v/>
      </c>
      <c r="D52" s="306">
        <f>INDEX('26. Team Comp'!$D$28:$R$28, B52) * 0.001 / 12</f>
        <v/>
      </c>
      <c r="E52" s="306">
        <f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) * 200 / 12 / 1000</f>
        <v/>
      </c>
      <c r="F52" s="306">
        <f>IF(A52&lt;$F$6,0,IF(AND($B$21=1,A52&gt;$B$19),0,$E$6*$G$6^MIN((A52-$F$6)/12,6)*MIN($G$6,0.85)^MAX(0,(A52-$F$6)/12-6)))</f>
        <v/>
      </c>
      <c r="G52" s="306">
        <f>IF(A52&lt;$F$7,0,IF(AND($B$21=1,A52&gt;$B$19),0,$E$7*$G$7^MIN((A52-$F$7)/12,6)*MIN($G$7,0.85)^MAX(0,(A52-$F$7)/12-6)))</f>
        <v/>
      </c>
      <c r="H52" s="306">
        <f>IF(A52&lt;$F$8,0,IF(AND($B$21=1,A52&gt;$B$19),0,$E$8*$G$8^MIN((A52-$F$8)/12,6)*MIN($G$8,0.85)^MAX(0,(A52-$F$8)/12-6)))</f>
        <v/>
      </c>
      <c r="I52" s="306">
        <f>IF(A52&lt;$F$9,0,IF(AND($B$21=1,A52&gt;$B$19),0,$E$9*$G$9^MIN((A52-$F$9)/12,6)*MIN($G$9,0.85)^MAX(0,(A52-$F$9)/12-6)))</f>
        <v/>
      </c>
      <c r="J52" s="306">
        <f>IF(A52&lt;$F$10,0,IF(AND($B$21=1,A52&gt;$B$19),0,$E$10*$G$10^MIN((A52-$F$10)/12,6)*MIN($G$10,0.85)^MAX(0,(A52-$F$10)/12-6)))</f>
        <v/>
      </c>
      <c r="K52" s="306">
        <f>SUM(F52:J52)</f>
        <v/>
      </c>
      <c r="L52" s="306">
        <f>K52/12</f>
        <v/>
      </c>
      <c r="M52" s="306">
        <f>L52*$B$8</f>
        <v/>
      </c>
      <c r="N52" s="306">
        <f>L52*$B$9</f>
        <v/>
      </c>
      <c r="O52" s="306">
        <f>L52*$B$10</f>
        <v/>
      </c>
      <c r="P52" s="306">
        <f>L52-M52-N52-O52-D52-E52</f>
        <v/>
      </c>
      <c r="Q52" s="306">
        <f>MAX(0, P52 - $B$7*L52)</f>
        <v/>
      </c>
      <c r="R52" s="306">
        <f>P52-Q52</f>
        <v/>
      </c>
      <c r="S52" s="306">
        <f>IF(A52=$F$6, $B$18*$B$16*$B$17/1000000, 0) + IF(A52=$F$7, $B$18*$B$16*$B$17/1000000, 0) + IF(A52=$F$8, $B$18*$B$16*$B$17/1000000, 0) + IF(A52=$F$9, $B$18*$B$16*$B$17/1000000, 0) + IF(A52=$F$10, $B$18*$B$16*$B$17/1000000, 0)</f>
        <v/>
      </c>
      <c r="T52" s="306">
        <f>R52-S52-C52</f>
        <v/>
      </c>
      <c r="U52" s="306">
        <f>IF(AND(A52&lt;=$B$24, T52&gt;0), T52*$B$23, 0)</f>
        <v/>
      </c>
      <c r="V52" s="306">
        <f>T52-U52</f>
        <v/>
      </c>
      <c r="W52" s="306">
        <f>IF(AND(A52=$B$19, $B$21=1), K52*$B$20, 0)</f>
        <v/>
      </c>
      <c r="X52" s="306">
        <f>X51+V52+W52</f>
        <v/>
      </c>
    </row>
    <row r="53">
      <c r="A53" s="306" t="n">
        <v>23</v>
      </c>
      <c r="B53" s="306">
        <f>CEILING(A53/12,1)</f>
        <v/>
      </c>
      <c r="C53" s="306">
        <f>IF(A53&lt;=12, $B$15/12, 0)</f>
        <v/>
      </c>
      <c r="D53" s="306">
        <f>INDEX('26. Team Comp'!$D$28:$R$28, B53) * 0.001 / 12</f>
        <v/>
      </c>
      <c r="E53" s="306">
        <f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) * 200 / 12 / 1000</f>
        <v/>
      </c>
      <c r="F53" s="306">
        <f>IF(A53&lt;$F$6,0,IF(AND($B$21=1,A53&gt;$B$19),0,$E$6*$G$6^MIN((A53-$F$6)/12,6)*MIN($G$6,0.85)^MAX(0,(A53-$F$6)/12-6)))</f>
        <v/>
      </c>
      <c r="G53" s="306">
        <f>IF(A53&lt;$F$7,0,IF(AND($B$21=1,A53&gt;$B$19),0,$E$7*$G$7^MIN((A53-$F$7)/12,6)*MIN($G$7,0.85)^MAX(0,(A53-$F$7)/12-6)))</f>
        <v/>
      </c>
      <c r="H53" s="306">
        <f>IF(A53&lt;$F$8,0,IF(AND($B$21=1,A53&gt;$B$19),0,$E$8*$G$8^MIN((A53-$F$8)/12,6)*MIN($G$8,0.85)^MAX(0,(A53-$F$8)/12-6)))</f>
        <v/>
      </c>
      <c r="I53" s="306">
        <f>IF(A53&lt;$F$9,0,IF(AND($B$21=1,A53&gt;$B$19),0,$E$9*$G$9^MIN((A53-$F$9)/12,6)*MIN($G$9,0.85)^MAX(0,(A53-$F$9)/12-6)))</f>
        <v/>
      </c>
      <c r="J53" s="306">
        <f>IF(A53&lt;$F$10,0,IF(AND($B$21=1,A53&gt;$B$19),0,$E$10*$G$10^MIN((A53-$F$10)/12,6)*MIN($G$10,0.85)^MAX(0,(A53-$F$10)/12-6)))</f>
        <v/>
      </c>
      <c r="K53" s="306">
        <f>SUM(F53:J53)</f>
        <v/>
      </c>
      <c r="L53" s="306">
        <f>K53/12</f>
        <v/>
      </c>
      <c r="M53" s="306">
        <f>L53*$B$8</f>
        <v/>
      </c>
      <c r="N53" s="306">
        <f>L53*$B$9</f>
        <v/>
      </c>
      <c r="O53" s="306">
        <f>L53*$B$10</f>
        <v/>
      </c>
      <c r="P53" s="306">
        <f>L53-M53-N53-O53-D53-E53</f>
        <v/>
      </c>
      <c r="Q53" s="306">
        <f>MAX(0, P53 - $B$7*L53)</f>
        <v/>
      </c>
      <c r="R53" s="306">
        <f>P53-Q53</f>
        <v/>
      </c>
      <c r="S53" s="306">
        <f>IF(A53=$F$6, $B$18*$B$16*$B$17/1000000, 0) + IF(A53=$F$7, $B$18*$B$16*$B$17/1000000, 0) + IF(A53=$F$8, $B$18*$B$16*$B$17/1000000, 0) + IF(A53=$F$9, $B$18*$B$16*$B$17/1000000, 0) + IF(A53=$F$10, $B$18*$B$16*$B$17/1000000, 0)</f>
        <v/>
      </c>
      <c r="T53" s="306">
        <f>R53-S53-C53</f>
        <v/>
      </c>
      <c r="U53" s="306">
        <f>IF(AND(A53&lt;=$B$24, T53&gt;0), T53*$B$23, 0)</f>
        <v/>
      </c>
      <c r="V53" s="306">
        <f>T53-U53</f>
        <v/>
      </c>
      <c r="W53" s="306">
        <f>IF(AND(A53=$B$19, $B$21=1), K53*$B$20, 0)</f>
        <v/>
      </c>
      <c r="X53" s="306">
        <f>X52+V53+W53</f>
        <v/>
      </c>
    </row>
    <row r="54">
      <c r="A54" s="306" t="n">
        <v>24</v>
      </c>
      <c r="B54" s="306">
        <f>CEILING(A54/12,1)</f>
        <v/>
      </c>
      <c r="C54" s="306">
        <f>IF(A54&lt;=12, $B$15/12, 0)</f>
        <v/>
      </c>
      <c r="D54" s="306">
        <f>INDEX('26. Team Comp'!$D$28:$R$28, B54) * 0.001 / 12</f>
        <v/>
      </c>
      <c r="E54" s="306">
        <f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) * 200 / 12 / 1000</f>
        <v/>
      </c>
      <c r="F54" s="306">
        <f>IF(A54&lt;$F$6,0,IF(AND($B$21=1,A54&gt;$B$19),0,$E$6*$G$6^MIN((A54-$F$6)/12,6)*MIN($G$6,0.85)^MAX(0,(A54-$F$6)/12-6)))</f>
        <v/>
      </c>
      <c r="G54" s="306">
        <f>IF(A54&lt;$F$7,0,IF(AND($B$21=1,A54&gt;$B$19),0,$E$7*$G$7^MIN((A54-$F$7)/12,6)*MIN($G$7,0.85)^MAX(0,(A54-$F$7)/12-6)))</f>
        <v/>
      </c>
      <c r="H54" s="306">
        <f>IF(A54&lt;$F$8,0,IF(AND($B$21=1,A54&gt;$B$19),0,$E$8*$G$8^MIN((A54-$F$8)/12,6)*MIN($G$8,0.85)^MAX(0,(A54-$F$8)/12-6)))</f>
        <v/>
      </c>
      <c r="I54" s="306">
        <f>IF(A54&lt;$F$9,0,IF(AND($B$21=1,A54&gt;$B$19),0,$E$9*$G$9^MIN((A54-$F$9)/12,6)*MIN($G$9,0.85)^MAX(0,(A54-$F$9)/12-6)))</f>
        <v/>
      </c>
      <c r="J54" s="306">
        <f>IF(A54&lt;$F$10,0,IF(AND($B$21=1,A54&gt;$B$19),0,$E$10*$G$10^MIN((A54-$F$10)/12,6)*MIN($G$10,0.85)^MAX(0,(A54-$F$10)/12-6)))</f>
        <v/>
      </c>
      <c r="K54" s="306">
        <f>SUM(F54:J54)</f>
        <v/>
      </c>
      <c r="L54" s="306">
        <f>K54/12</f>
        <v/>
      </c>
      <c r="M54" s="306">
        <f>L54*$B$8</f>
        <v/>
      </c>
      <c r="N54" s="306">
        <f>L54*$B$9</f>
        <v/>
      </c>
      <c r="O54" s="306">
        <f>L54*$B$10</f>
        <v/>
      </c>
      <c r="P54" s="306">
        <f>L54-M54-N54-O54-D54-E54</f>
        <v/>
      </c>
      <c r="Q54" s="306">
        <f>MAX(0, P54 - $B$7*L54)</f>
        <v/>
      </c>
      <c r="R54" s="306">
        <f>P54-Q54</f>
        <v/>
      </c>
      <c r="S54" s="306">
        <f>IF(A54=$F$6, $B$18*$B$16*$B$17/1000000, 0) + IF(A54=$F$7, $B$18*$B$16*$B$17/1000000, 0) + IF(A54=$F$8, $B$18*$B$16*$B$17/1000000, 0) + IF(A54=$F$9, $B$18*$B$16*$B$17/1000000, 0) + IF(A54=$F$10, $B$18*$B$16*$B$17/1000000, 0)</f>
        <v/>
      </c>
      <c r="T54" s="306">
        <f>R54-S54-C54</f>
        <v/>
      </c>
      <c r="U54" s="306">
        <f>IF(AND(A54&lt;=$B$24, T54&gt;0), T54*$B$23, 0)</f>
        <v/>
      </c>
      <c r="V54" s="306">
        <f>T54-U54</f>
        <v/>
      </c>
      <c r="W54" s="306">
        <f>IF(AND(A54=$B$19, $B$21=1), K54*$B$20, 0)</f>
        <v/>
      </c>
      <c r="X54" s="306">
        <f>X53+V54+W54</f>
        <v/>
      </c>
    </row>
    <row r="55">
      <c r="A55" s="306" t="n">
        <v>25</v>
      </c>
      <c r="B55" s="306">
        <f>CEILING(A55/12,1)</f>
        <v/>
      </c>
      <c r="C55" s="306">
        <f>IF(A55&lt;=12, $B$15/12, 0)</f>
        <v/>
      </c>
      <c r="D55" s="306">
        <f>INDEX('26. Team Comp'!$D$28:$R$28, B55) * 0.001 / 12</f>
        <v/>
      </c>
      <c r="E55" s="306">
        <f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) * 200 / 12 / 1000</f>
        <v/>
      </c>
      <c r="F55" s="306">
        <f>IF(A55&lt;$F$6,0,IF(AND($B$21=1,A55&gt;$B$19),0,$E$6*$G$6^MIN((A55-$F$6)/12,6)*MIN($G$6,0.85)^MAX(0,(A55-$F$6)/12-6)))</f>
        <v/>
      </c>
      <c r="G55" s="306">
        <f>IF(A55&lt;$F$7,0,IF(AND($B$21=1,A55&gt;$B$19),0,$E$7*$G$7^MIN((A55-$F$7)/12,6)*MIN($G$7,0.85)^MAX(0,(A55-$F$7)/12-6)))</f>
        <v/>
      </c>
      <c r="H55" s="306">
        <f>IF(A55&lt;$F$8,0,IF(AND($B$21=1,A55&gt;$B$19),0,$E$8*$G$8^MIN((A55-$F$8)/12,6)*MIN($G$8,0.85)^MAX(0,(A55-$F$8)/12-6)))</f>
        <v/>
      </c>
      <c r="I55" s="306">
        <f>IF(A55&lt;$F$9,0,IF(AND($B$21=1,A55&gt;$B$19),0,$E$9*$G$9^MIN((A55-$F$9)/12,6)*MIN($G$9,0.85)^MAX(0,(A55-$F$9)/12-6)))</f>
        <v/>
      </c>
      <c r="J55" s="306">
        <f>IF(A55&lt;$F$10,0,IF(AND($B$21=1,A55&gt;$B$19),0,$E$10*$G$10^MIN((A55-$F$10)/12,6)*MIN($G$10,0.85)^MAX(0,(A55-$F$10)/12-6)))</f>
        <v/>
      </c>
      <c r="K55" s="306">
        <f>SUM(F55:J55)</f>
        <v/>
      </c>
      <c r="L55" s="306">
        <f>K55/12</f>
        <v/>
      </c>
      <c r="M55" s="306">
        <f>L55*$B$8</f>
        <v/>
      </c>
      <c r="N55" s="306">
        <f>L55*$B$9</f>
        <v/>
      </c>
      <c r="O55" s="306">
        <f>L55*$B$10</f>
        <v/>
      </c>
      <c r="P55" s="306">
        <f>L55-M55-N55-O55-D55-E55</f>
        <v/>
      </c>
      <c r="Q55" s="306">
        <f>MAX(0, P55 - $B$7*L55)</f>
        <v/>
      </c>
      <c r="R55" s="306">
        <f>P55-Q55</f>
        <v/>
      </c>
      <c r="S55" s="306">
        <f>IF(A55=$F$6, $B$18*$B$16*$B$17/1000000, 0) + IF(A55=$F$7, $B$18*$B$16*$B$17/1000000, 0) + IF(A55=$F$8, $B$18*$B$16*$B$17/1000000, 0) + IF(A55=$F$9, $B$18*$B$16*$B$17/1000000, 0) + IF(A55=$F$10, $B$18*$B$16*$B$17/1000000, 0)</f>
        <v/>
      </c>
      <c r="T55" s="306">
        <f>R55-S55-C55</f>
        <v/>
      </c>
      <c r="U55" s="306">
        <f>IF(AND(A55&lt;=$B$24, T55&gt;0), T55*$B$23, 0)</f>
        <v/>
      </c>
      <c r="V55" s="306">
        <f>T55-U55</f>
        <v/>
      </c>
      <c r="W55" s="306">
        <f>IF(AND(A55=$B$19, $B$21=1), K55*$B$20, 0)</f>
        <v/>
      </c>
      <c r="X55" s="306">
        <f>X54+V55+W55</f>
        <v/>
      </c>
    </row>
    <row r="56">
      <c r="A56" s="306" t="n">
        <v>26</v>
      </c>
      <c r="B56" s="306">
        <f>CEILING(A56/12,1)</f>
        <v/>
      </c>
      <c r="C56" s="306">
        <f>IF(A56&lt;=12, $B$15/12, 0)</f>
        <v/>
      </c>
      <c r="D56" s="306">
        <f>INDEX('26. Team Comp'!$D$28:$R$28, B56) * 0.001 / 12</f>
        <v/>
      </c>
      <c r="E56" s="306">
        <f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) * 200 / 12 / 1000</f>
        <v/>
      </c>
      <c r="F56" s="306">
        <f>IF(A56&lt;$F$6,0,IF(AND($B$21=1,A56&gt;$B$19),0,$E$6*$G$6^MIN((A56-$F$6)/12,6)*MIN($G$6,0.85)^MAX(0,(A56-$F$6)/12-6)))</f>
        <v/>
      </c>
      <c r="G56" s="306">
        <f>IF(A56&lt;$F$7,0,IF(AND($B$21=1,A56&gt;$B$19),0,$E$7*$G$7^MIN((A56-$F$7)/12,6)*MIN($G$7,0.85)^MAX(0,(A56-$F$7)/12-6)))</f>
        <v/>
      </c>
      <c r="H56" s="306">
        <f>IF(A56&lt;$F$8,0,IF(AND($B$21=1,A56&gt;$B$19),0,$E$8*$G$8^MIN((A56-$F$8)/12,6)*MIN($G$8,0.85)^MAX(0,(A56-$F$8)/12-6)))</f>
        <v/>
      </c>
      <c r="I56" s="306">
        <f>IF(A56&lt;$F$9,0,IF(AND($B$21=1,A56&gt;$B$19),0,$E$9*$G$9^MIN((A56-$F$9)/12,6)*MIN($G$9,0.85)^MAX(0,(A56-$F$9)/12-6)))</f>
        <v/>
      </c>
      <c r="J56" s="306">
        <f>IF(A56&lt;$F$10,0,IF(AND($B$21=1,A56&gt;$B$19),0,$E$10*$G$10^MIN((A56-$F$10)/12,6)*MIN($G$10,0.85)^MAX(0,(A56-$F$10)/12-6)))</f>
        <v/>
      </c>
      <c r="K56" s="306">
        <f>SUM(F56:J56)</f>
        <v/>
      </c>
      <c r="L56" s="306">
        <f>K56/12</f>
        <v/>
      </c>
      <c r="M56" s="306">
        <f>L56*$B$8</f>
        <v/>
      </c>
      <c r="N56" s="306">
        <f>L56*$B$9</f>
        <v/>
      </c>
      <c r="O56" s="306">
        <f>L56*$B$10</f>
        <v/>
      </c>
      <c r="P56" s="306">
        <f>L56-M56-N56-O56-D56-E56</f>
        <v/>
      </c>
      <c r="Q56" s="306">
        <f>MAX(0, P56 - $B$7*L56)</f>
        <v/>
      </c>
      <c r="R56" s="306">
        <f>P56-Q56</f>
        <v/>
      </c>
      <c r="S56" s="306">
        <f>IF(A56=$F$6, $B$18*$B$16*$B$17/1000000, 0) + IF(A56=$F$7, $B$18*$B$16*$B$17/1000000, 0) + IF(A56=$F$8, $B$18*$B$16*$B$17/1000000, 0) + IF(A56=$F$9, $B$18*$B$16*$B$17/1000000, 0) + IF(A56=$F$10, $B$18*$B$16*$B$17/1000000, 0)</f>
        <v/>
      </c>
      <c r="T56" s="306">
        <f>R56-S56-C56</f>
        <v/>
      </c>
      <c r="U56" s="306">
        <f>IF(AND(A56&lt;=$B$24, T56&gt;0), T56*$B$23, 0)</f>
        <v/>
      </c>
      <c r="V56" s="306">
        <f>T56-U56</f>
        <v/>
      </c>
      <c r="W56" s="306">
        <f>IF(AND(A56=$B$19, $B$21=1), K56*$B$20, 0)</f>
        <v/>
      </c>
      <c r="X56" s="306">
        <f>X55+V56+W56</f>
        <v/>
      </c>
    </row>
    <row r="57">
      <c r="A57" s="306" t="n">
        <v>27</v>
      </c>
      <c r="B57" s="306">
        <f>CEILING(A57/12,1)</f>
        <v/>
      </c>
      <c r="C57" s="306">
        <f>IF(A57&lt;=12, $B$15/12, 0)</f>
        <v/>
      </c>
      <c r="D57" s="306">
        <f>INDEX('26. Team Comp'!$D$28:$R$28, B57) * 0.001 / 12</f>
        <v/>
      </c>
      <c r="E57" s="306">
        <f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) * 200 / 12 / 1000</f>
        <v/>
      </c>
      <c r="F57" s="306">
        <f>IF(A57&lt;$F$6,0,IF(AND($B$21=1,A57&gt;$B$19),0,$E$6*$G$6^MIN((A57-$F$6)/12,6)*MIN($G$6,0.85)^MAX(0,(A57-$F$6)/12-6)))</f>
        <v/>
      </c>
      <c r="G57" s="306">
        <f>IF(A57&lt;$F$7,0,IF(AND($B$21=1,A57&gt;$B$19),0,$E$7*$G$7^MIN((A57-$F$7)/12,6)*MIN($G$7,0.85)^MAX(0,(A57-$F$7)/12-6)))</f>
        <v/>
      </c>
      <c r="H57" s="306">
        <f>IF(A57&lt;$F$8,0,IF(AND($B$21=1,A57&gt;$B$19),0,$E$8*$G$8^MIN((A57-$F$8)/12,6)*MIN($G$8,0.85)^MAX(0,(A57-$F$8)/12-6)))</f>
        <v/>
      </c>
      <c r="I57" s="306">
        <f>IF(A57&lt;$F$9,0,IF(AND($B$21=1,A57&gt;$B$19),0,$E$9*$G$9^MIN((A57-$F$9)/12,6)*MIN($G$9,0.85)^MAX(0,(A57-$F$9)/12-6)))</f>
        <v/>
      </c>
      <c r="J57" s="306">
        <f>IF(A57&lt;$F$10,0,IF(AND($B$21=1,A57&gt;$B$19),0,$E$10*$G$10^MIN((A57-$F$10)/12,6)*MIN($G$10,0.85)^MAX(0,(A57-$F$10)/12-6)))</f>
        <v/>
      </c>
      <c r="K57" s="306">
        <f>SUM(F57:J57)</f>
        <v/>
      </c>
      <c r="L57" s="306">
        <f>K57/12</f>
        <v/>
      </c>
      <c r="M57" s="306">
        <f>L57*$B$8</f>
        <v/>
      </c>
      <c r="N57" s="306">
        <f>L57*$B$9</f>
        <v/>
      </c>
      <c r="O57" s="306">
        <f>L57*$B$10</f>
        <v/>
      </c>
      <c r="P57" s="306">
        <f>L57-M57-N57-O57-D57-E57</f>
        <v/>
      </c>
      <c r="Q57" s="306">
        <f>MAX(0, P57 - $B$7*L57)</f>
        <v/>
      </c>
      <c r="R57" s="306">
        <f>P57-Q57</f>
        <v/>
      </c>
      <c r="S57" s="306">
        <f>IF(A57=$F$6, $B$18*$B$16*$B$17/1000000, 0) + IF(A57=$F$7, $B$18*$B$16*$B$17/1000000, 0) + IF(A57=$F$8, $B$18*$B$16*$B$17/1000000, 0) + IF(A57=$F$9, $B$18*$B$16*$B$17/1000000, 0) + IF(A57=$F$10, $B$18*$B$16*$B$17/1000000, 0)</f>
        <v/>
      </c>
      <c r="T57" s="306">
        <f>R57-S57-C57</f>
        <v/>
      </c>
      <c r="U57" s="306">
        <f>IF(AND(A57&lt;=$B$24, T57&gt;0), T57*$B$23, 0)</f>
        <v/>
      </c>
      <c r="V57" s="306">
        <f>T57-U57</f>
        <v/>
      </c>
      <c r="W57" s="306">
        <f>IF(AND(A57=$B$19, $B$21=1), K57*$B$20, 0)</f>
        <v/>
      </c>
      <c r="X57" s="306">
        <f>X56+V57+W57</f>
        <v/>
      </c>
    </row>
    <row r="58">
      <c r="A58" s="306" t="n">
        <v>28</v>
      </c>
      <c r="B58" s="306">
        <f>CEILING(A58/12,1)</f>
        <v/>
      </c>
      <c r="C58" s="306">
        <f>IF(A58&lt;=12, $B$15/12, 0)</f>
        <v/>
      </c>
      <c r="D58" s="306">
        <f>INDEX('26. Team Comp'!$D$28:$R$28, B58) * 0.001 / 12</f>
        <v/>
      </c>
      <c r="E58" s="306">
        <f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) * 200 / 12 / 1000</f>
        <v/>
      </c>
      <c r="F58" s="306">
        <f>IF(A58&lt;$F$6,0,IF(AND($B$21=1,A58&gt;$B$19),0,$E$6*$G$6^MIN((A58-$F$6)/12,6)*MIN($G$6,0.85)^MAX(0,(A58-$F$6)/12-6)))</f>
        <v/>
      </c>
      <c r="G58" s="306">
        <f>IF(A58&lt;$F$7,0,IF(AND($B$21=1,A58&gt;$B$19),0,$E$7*$G$7^MIN((A58-$F$7)/12,6)*MIN($G$7,0.85)^MAX(0,(A58-$F$7)/12-6)))</f>
        <v/>
      </c>
      <c r="H58" s="306">
        <f>IF(A58&lt;$F$8,0,IF(AND($B$21=1,A58&gt;$B$19),0,$E$8*$G$8^MIN((A58-$F$8)/12,6)*MIN($G$8,0.85)^MAX(0,(A58-$F$8)/12-6)))</f>
        <v/>
      </c>
      <c r="I58" s="306">
        <f>IF(A58&lt;$F$9,0,IF(AND($B$21=1,A58&gt;$B$19),0,$E$9*$G$9^MIN((A58-$F$9)/12,6)*MIN($G$9,0.85)^MAX(0,(A58-$F$9)/12-6)))</f>
        <v/>
      </c>
      <c r="J58" s="306">
        <f>IF(A58&lt;$F$10,0,IF(AND($B$21=1,A58&gt;$B$19),0,$E$10*$G$10^MIN((A58-$F$10)/12,6)*MIN($G$10,0.85)^MAX(0,(A58-$F$10)/12-6)))</f>
        <v/>
      </c>
      <c r="K58" s="306">
        <f>SUM(F58:J58)</f>
        <v/>
      </c>
      <c r="L58" s="306">
        <f>K58/12</f>
        <v/>
      </c>
      <c r="M58" s="306">
        <f>L58*$B$8</f>
        <v/>
      </c>
      <c r="N58" s="306">
        <f>L58*$B$9</f>
        <v/>
      </c>
      <c r="O58" s="306">
        <f>L58*$B$10</f>
        <v/>
      </c>
      <c r="P58" s="306">
        <f>L58-M58-N58-O58-D58-E58</f>
        <v/>
      </c>
      <c r="Q58" s="306">
        <f>MAX(0, P58 - $B$7*L58)</f>
        <v/>
      </c>
      <c r="R58" s="306">
        <f>P58-Q58</f>
        <v/>
      </c>
      <c r="S58" s="306">
        <f>IF(A58=$F$6, $B$18*$B$16*$B$17/1000000, 0) + IF(A58=$F$7, $B$18*$B$16*$B$17/1000000, 0) + IF(A58=$F$8, $B$18*$B$16*$B$17/1000000, 0) + IF(A58=$F$9, $B$18*$B$16*$B$17/1000000, 0) + IF(A58=$F$10, $B$18*$B$16*$B$17/1000000, 0)</f>
        <v/>
      </c>
      <c r="T58" s="306">
        <f>R58-S58-C58</f>
        <v/>
      </c>
      <c r="U58" s="306">
        <f>IF(AND(A58&lt;=$B$24, T58&gt;0), T58*$B$23, 0)</f>
        <v/>
      </c>
      <c r="V58" s="306">
        <f>T58-U58</f>
        <v/>
      </c>
      <c r="W58" s="306">
        <f>IF(AND(A58=$B$19, $B$21=1), K58*$B$20, 0)</f>
        <v/>
      </c>
      <c r="X58" s="306">
        <f>X57+V58+W58</f>
        <v/>
      </c>
    </row>
    <row r="59">
      <c r="A59" s="306" t="n">
        <v>29</v>
      </c>
      <c r="B59" s="306">
        <f>CEILING(A59/12,1)</f>
        <v/>
      </c>
      <c r="C59" s="306">
        <f>IF(A59&lt;=12, $B$15/12, 0)</f>
        <v/>
      </c>
      <c r="D59" s="306">
        <f>INDEX('26. Team Comp'!$D$28:$R$28, B59) * 0.001 / 12</f>
        <v/>
      </c>
      <c r="E59" s="306">
        <f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) * 200 / 12 / 1000</f>
        <v/>
      </c>
      <c r="F59" s="306">
        <f>IF(A59&lt;$F$6,0,IF(AND($B$21=1,A59&gt;$B$19),0,$E$6*$G$6^MIN((A59-$F$6)/12,6)*MIN($G$6,0.85)^MAX(0,(A59-$F$6)/12-6)))</f>
        <v/>
      </c>
      <c r="G59" s="306">
        <f>IF(A59&lt;$F$7,0,IF(AND($B$21=1,A59&gt;$B$19),0,$E$7*$G$7^MIN((A59-$F$7)/12,6)*MIN($G$7,0.85)^MAX(0,(A59-$F$7)/12-6)))</f>
        <v/>
      </c>
      <c r="H59" s="306">
        <f>IF(A59&lt;$F$8,0,IF(AND($B$21=1,A59&gt;$B$19),0,$E$8*$G$8^MIN((A59-$F$8)/12,6)*MIN($G$8,0.85)^MAX(0,(A59-$F$8)/12-6)))</f>
        <v/>
      </c>
      <c r="I59" s="306">
        <f>IF(A59&lt;$F$9,0,IF(AND($B$21=1,A59&gt;$B$19),0,$E$9*$G$9^MIN((A59-$F$9)/12,6)*MIN($G$9,0.85)^MAX(0,(A59-$F$9)/12-6)))</f>
        <v/>
      </c>
      <c r="J59" s="306">
        <f>IF(A59&lt;$F$10,0,IF(AND($B$21=1,A59&gt;$B$19),0,$E$10*$G$10^MIN((A59-$F$10)/12,6)*MIN($G$10,0.85)^MAX(0,(A59-$F$10)/12-6)))</f>
        <v/>
      </c>
      <c r="K59" s="306">
        <f>SUM(F59:J59)</f>
        <v/>
      </c>
      <c r="L59" s="306">
        <f>K59/12</f>
        <v/>
      </c>
      <c r="M59" s="306">
        <f>L59*$B$8</f>
        <v/>
      </c>
      <c r="N59" s="306">
        <f>L59*$B$9</f>
        <v/>
      </c>
      <c r="O59" s="306">
        <f>L59*$B$10</f>
        <v/>
      </c>
      <c r="P59" s="306">
        <f>L59-M59-N59-O59-D59-E59</f>
        <v/>
      </c>
      <c r="Q59" s="306">
        <f>MAX(0, P59 - $B$7*L59)</f>
        <v/>
      </c>
      <c r="R59" s="306">
        <f>P59-Q59</f>
        <v/>
      </c>
      <c r="S59" s="306">
        <f>IF(A59=$F$6, $B$18*$B$16*$B$17/1000000, 0) + IF(A59=$F$7, $B$18*$B$16*$B$17/1000000, 0) + IF(A59=$F$8, $B$18*$B$16*$B$17/1000000, 0) + IF(A59=$F$9, $B$18*$B$16*$B$17/1000000, 0) + IF(A59=$F$10, $B$18*$B$16*$B$17/1000000, 0)</f>
        <v/>
      </c>
      <c r="T59" s="306">
        <f>R59-S59-C59</f>
        <v/>
      </c>
      <c r="U59" s="306">
        <f>IF(AND(A59&lt;=$B$24, T59&gt;0), T59*$B$23, 0)</f>
        <v/>
      </c>
      <c r="V59" s="306">
        <f>T59-U59</f>
        <v/>
      </c>
      <c r="W59" s="306">
        <f>IF(AND(A59=$B$19, $B$21=1), K59*$B$20, 0)</f>
        <v/>
      </c>
      <c r="X59" s="306">
        <f>X58+V59+W59</f>
        <v/>
      </c>
    </row>
    <row r="60">
      <c r="A60" s="306" t="n">
        <v>30</v>
      </c>
      <c r="B60" s="306">
        <f>CEILING(A60/12,1)</f>
        <v/>
      </c>
      <c r="C60" s="306">
        <f>IF(A60&lt;=12, $B$15/12, 0)</f>
        <v/>
      </c>
      <c r="D60" s="306">
        <f>INDEX('26. Team Comp'!$D$28:$R$28, B60) * 0.001 / 12</f>
        <v/>
      </c>
      <c r="E60" s="306">
        <f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) * 200 / 12 / 1000</f>
        <v/>
      </c>
      <c r="F60" s="306">
        <f>IF(A60&lt;$F$6,0,IF(AND($B$21=1,A60&gt;$B$19),0,$E$6*$G$6^MIN((A60-$F$6)/12,6)*MIN($G$6,0.85)^MAX(0,(A60-$F$6)/12-6)))</f>
        <v/>
      </c>
      <c r="G60" s="306">
        <f>IF(A60&lt;$F$7,0,IF(AND($B$21=1,A60&gt;$B$19),0,$E$7*$G$7^MIN((A60-$F$7)/12,6)*MIN($G$7,0.85)^MAX(0,(A60-$F$7)/12-6)))</f>
        <v/>
      </c>
      <c r="H60" s="306">
        <f>IF(A60&lt;$F$8,0,IF(AND($B$21=1,A60&gt;$B$19),0,$E$8*$G$8^MIN((A60-$F$8)/12,6)*MIN($G$8,0.85)^MAX(0,(A60-$F$8)/12-6)))</f>
        <v/>
      </c>
      <c r="I60" s="306">
        <f>IF(A60&lt;$F$9,0,IF(AND($B$21=1,A60&gt;$B$19),0,$E$9*$G$9^MIN((A60-$F$9)/12,6)*MIN($G$9,0.85)^MAX(0,(A60-$F$9)/12-6)))</f>
        <v/>
      </c>
      <c r="J60" s="306">
        <f>IF(A60&lt;$F$10,0,IF(AND($B$21=1,A60&gt;$B$19),0,$E$10*$G$10^MIN((A60-$F$10)/12,6)*MIN($G$10,0.85)^MAX(0,(A60-$F$10)/12-6)))</f>
        <v/>
      </c>
      <c r="K60" s="306">
        <f>SUM(F60:J60)</f>
        <v/>
      </c>
      <c r="L60" s="306">
        <f>K60/12</f>
        <v/>
      </c>
      <c r="M60" s="306">
        <f>L60*$B$8</f>
        <v/>
      </c>
      <c r="N60" s="306">
        <f>L60*$B$9</f>
        <v/>
      </c>
      <c r="O60" s="306">
        <f>L60*$B$10</f>
        <v/>
      </c>
      <c r="P60" s="306">
        <f>L60-M60-N60-O60-D60-E60</f>
        <v/>
      </c>
      <c r="Q60" s="306">
        <f>MAX(0, P60 - $B$7*L60)</f>
        <v/>
      </c>
      <c r="R60" s="306">
        <f>P60-Q60</f>
        <v/>
      </c>
      <c r="S60" s="306">
        <f>IF(A60=$F$6, $B$18*$B$16*$B$17/1000000, 0) + IF(A60=$F$7, $B$18*$B$16*$B$17/1000000, 0) + IF(A60=$F$8, $B$18*$B$16*$B$17/1000000, 0) + IF(A60=$F$9, $B$18*$B$16*$B$17/1000000, 0) + IF(A60=$F$10, $B$18*$B$16*$B$17/1000000, 0)</f>
        <v/>
      </c>
      <c r="T60" s="306">
        <f>R60-S60-C60</f>
        <v/>
      </c>
      <c r="U60" s="306">
        <f>IF(AND(A60&lt;=$B$24, T60&gt;0), T60*$B$23, 0)</f>
        <v/>
      </c>
      <c r="V60" s="306">
        <f>T60-U60</f>
        <v/>
      </c>
      <c r="W60" s="306">
        <f>IF(AND(A60=$B$19, $B$21=1), K60*$B$20, 0)</f>
        <v/>
      </c>
      <c r="X60" s="306">
        <f>X59+V60+W60</f>
        <v/>
      </c>
    </row>
    <row r="61">
      <c r="A61" s="306" t="n">
        <v>31</v>
      </c>
      <c r="B61" s="306">
        <f>CEILING(A61/12,1)</f>
        <v/>
      </c>
      <c r="C61" s="306">
        <f>IF(A61&lt;=12, $B$15/12, 0)</f>
        <v/>
      </c>
      <c r="D61" s="306">
        <f>INDEX('26. Team Comp'!$D$28:$R$28, B61) * 0.001 / 12</f>
        <v/>
      </c>
      <c r="E61" s="306">
        <f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) * 200 / 12 / 1000</f>
        <v/>
      </c>
      <c r="F61" s="306">
        <f>IF(A61&lt;$F$6,0,IF(AND($B$21=1,A61&gt;$B$19),0,$E$6*$G$6^MIN((A61-$F$6)/12,6)*MIN($G$6,0.85)^MAX(0,(A61-$F$6)/12-6)))</f>
        <v/>
      </c>
      <c r="G61" s="306">
        <f>IF(A61&lt;$F$7,0,IF(AND($B$21=1,A61&gt;$B$19),0,$E$7*$G$7^MIN((A61-$F$7)/12,6)*MIN($G$7,0.85)^MAX(0,(A61-$F$7)/12-6)))</f>
        <v/>
      </c>
      <c r="H61" s="306">
        <f>IF(A61&lt;$F$8,0,IF(AND($B$21=1,A61&gt;$B$19),0,$E$8*$G$8^MIN((A61-$F$8)/12,6)*MIN($G$8,0.85)^MAX(0,(A61-$F$8)/12-6)))</f>
        <v/>
      </c>
      <c r="I61" s="306">
        <f>IF(A61&lt;$F$9,0,IF(AND($B$21=1,A61&gt;$B$19),0,$E$9*$G$9^MIN((A61-$F$9)/12,6)*MIN($G$9,0.85)^MAX(0,(A61-$F$9)/12-6)))</f>
        <v/>
      </c>
      <c r="J61" s="306">
        <f>IF(A61&lt;$F$10,0,IF(AND($B$21=1,A61&gt;$B$19),0,$E$10*$G$10^MIN((A61-$F$10)/12,6)*MIN($G$10,0.85)^MAX(0,(A61-$F$10)/12-6)))</f>
        <v/>
      </c>
      <c r="K61" s="306">
        <f>SUM(F61:J61)</f>
        <v/>
      </c>
      <c r="L61" s="306">
        <f>K61/12</f>
        <v/>
      </c>
      <c r="M61" s="306">
        <f>L61*$B$8</f>
        <v/>
      </c>
      <c r="N61" s="306">
        <f>L61*$B$9</f>
        <v/>
      </c>
      <c r="O61" s="306">
        <f>L61*$B$10</f>
        <v/>
      </c>
      <c r="P61" s="306">
        <f>L61-M61-N61-O61-D61-E61</f>
        <v/>
      </c>
      <c r="Q61" s="306">
        <f>MAX(0, P61 - $B$7*L61)</f>
        <v/>
      </c>
      <c r="R61" s="306">
        <f>P61-Q61</f>
        <v/>
      </c>
      <c r="S61" s="306">
        <f>IF(A61=$F$6, $B$18*$B$16*$B$17/1000000, 0) + IF(A61=$F$7, $B$18*$B$16*$B$17/1000000, 0) + IF(A61=$F$8, $B$18*$B$16*$B$17/1000000, 0) + IF(A61=$F$9, $B$18*$B$16*$B$17/1000000, 0) + IF(A61=$F$10, $B$18*$B$16*$B$17/1000000, 0)</f>
        <v/>
      </c>
      <c r="T61" s="306">
        <f>R61-S61-C61</f>
        <v/>
      </c>
      <c r="U61" s="306">
        <f>IF(AND(A61&lt;=$B$24, T61&gt;0), T61*$B$23, 0)</f>
        <v/>
      </c>
      <c r="V61" s="306">
        <f>T61-U61</f>
        <v/>
      </c>
      <c r="W61" s="306">
        <f>IF(AND(A61=$B$19, $B$21=1), K61*$B$20, 0)</f>
        <v/>
      </c>
      <c r="X61" s="306">
        <f>X60+V61+W61</f>
        <v/>
      </c>
    </row>
    <row r="62">
      <c r="A62" s="306" t="n">
        <v>32</v>
      </c>
      <c r="B62" s="306">
        <f>CEILING(A62/12,1)</f>
        <v/>
      </c>
      <c r="C62" s="306">
        <f>IF(A62&lt;=12, $B$15/12, 0)</f>
        <v/>
      </c>
      <c r="D62" s="306">
        <f>INDEX('26. Team Comp'!$D$28:$R$28, B62) * 0.001 / 12</f>
        <v/>
      </c>
      <c r="E62" s="306">
        <f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) * 200 / 12 / 1000</f>
        <v/>
      </c>
      <c r="F62" s="306">
        <f>IF(A62&lt;$F$6,0,IF(AND($B$21=1,A62&gt;$B$19),0,$E$6*$G$6^MIN((A62-$F$6)/12,6)*MIN($G$6,0.85)^MAX(0,(A62-$F$6)/12-6)))</f>
        <v/>
      </c>
      <c r="G62" s="306">
        <f>IF(A62&lt;$F$7,0,IF(AND($B$21=1,A62&gt;$B$19),0,$E$7*$G$7^MIN((A62-$F$7)/12,6)*MIN($G$7,0.85)^MAX(0,(A62-$F$7)/12-6)))</f>
        <v/>
      </c>
      <c r="H62" s="306">
        <f>IF(A62&lt;$F$8,0,IF(AND($B$21=1,A62&gt;$B$19),0,$E$8*$G$8^MIN((A62-$F$8)/12,6)*MIN($G$8,0.85)^MAX(0,(A62-$F$8)/12-6)))</f>
        <v/>
      </c>
      <c r="I62" s="306">
        <f>IF(A62&lt;$F$9,0,IF(AND($B$21=1,A62&gt;$B$19),0,$E$9*$G$9^MIN((A62-$F$9)/12,6)*MIN($G$9,0.85)^MAX(0,(A62-$F$9)/12-6)))</f>
        <v/>
      </c>
      <c r="J62" s="306">
        <f>IF(A62&lt;$F$10,0,IF(AND($B$21=1,A62&gt;$B$19),0,$E$10*$G$10^MIN((A62-$F$10)/12,6)*MIN($G$10,0.85)^MAX(0,(A62-$F$10)/12-6)))</f>
        <v/>
      </c>
      <c r="K62" s="306">
        <f>SUM(F62:J62)</f>
        <v/>
      </c>
      <c r="L62" s="306">
        <f>K62/12</f>
        <v/>
      </c>
      <c r="M62" s="306">
        <f>L62*$B$8</f>
        <v/>
      </c>
      <c r="N62" s="306">
        <f>L62*$B$9</f>
        <v/>
      </c>
      <c r="O62" s="306">
        <f>L62*$B$10</f>
        <v/>
      </c>
      <c r="P62" s="306">
        <f>L62-M62-N62-O62-D62-E62</f>
        <v/>
      </c>
      <c r="Q62" s="306">
        <f>MAX(0, P62 - $B$7*L62)</f>
        <v/>
      </c>
      <c r="R62" s="306">
        <f>P62-Q62</f>
        <v/>
      </c>
      <c r="S62" s="306">
        <f>IF(A62=$F$6, $B$18*$B$16*$B$17/1000000, 0) + IF(A62=$F$7, $B$18*$B$16*$B$17/1000000, 0) + IF(A62=$F$8, $B$18*$B$16*$B$17/1000000, 0) + IF(A62=$F$9, $B$18*$B$16*$B$17/1000000, 0) + IF(A62=$F$10, $B$18*$B$16*$B$17/1000000, 0)</f>
        <v/>
      </c>
      <c r="T62" s="306">
        <f>R62-S62-C62</f>
        <v/>
      </c>
      <c r="U62" s="306">
        <f>IF(AND(A62&lt;=$B$24, T62&gt;0), T62*$B$23, 0)</f>
        <v/>
      </c>
      <c r="V62" s="306">
        <f>T62-U62</f>
        <v/>
      </c>
      <c r="W62" s="306">
        <f>IF(AND(A62=$B$19, $B$21=1), K62*$B$20, 0)</f>
        <v/>
      </c>
      <c r="X62" s="306">
        <f>X61+V62+W62</f>
        <v/>
      </c>
    </row>
    <row r="63">
      <c r="A63" s="306" t="n">
        <v>33</v>
      </c>
      <c r="B63" s="306">
        <f>CEILING(A63/12,1)</f>
        <v/>
      </c>
      <c r="C63" s="306">
        <f>IF(A63&lt;=12, $B$15/12, 0)</f>
        <v/>
      </c>
      <c r="D63" s="306">
        <f>INDEX('26. Team Comp'!$D$28:$R$28, B63) * 0.001 / 12</f>
        <v/>
      </c>
      <c r="E63" s="306">
        <f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) * 200 / 12 / 1000</f>
        <v/>
      </c>
      <c r="F63" s="306">
        <f>IF(A63&lt;$F$6,0,IF(AND($B$21=1,A63&gt;$B$19),0,$E$6*$G$6^MIN((A63-$F$6)/12,6)*MIN($G$6,0.85)^MAX(0,(A63-$F$6)/12-6)))</f>
        <v/>
      </c>
      <c r="G63" s="306">
        <f>IF(A63&lt;$F$7,0,IF(AND($B$21=1,A63&gt;$B$19),0,$E$7*$G$7^MIN((A63-$F$7)/12,6)*MIN($G$7,0.85)^MAX(0,(A63-$F$7)/12-6)))</f>
        <v/>
      </c>
      <c r="H63" s="306">
        <f>IF(A63&lt;$F$8,0,IF(AND($B$21=1,A63&gt;$B$19),0,$E$8*$G$8^MIN((A63-$F$8)/12,6)*MIN($G$8,0.85)^MAX(0,(A63-$F$8)/12-6)))</f>
        <v/>
      </c>
      <c r="I63" s="306">
        <f>IF(A63&lt;$F$9,0,IF(AND($B$21=1,A63&gt;$B$19),0,$E$9*$G$9^MIN((A63-$F$9)/12,6)*MIN($G$9,0.85)^MAX(0,(A63-$F$9)/12-6)))</f>
        <v/>
      </c>
      <c r="J63" s="306">
        <f>IF(A63&lt;$F$10,0,IF(AND($B$21=1,A63&gt;$B$19),0,$E$10*$G$10^MIN((A63-$F$10)/12,6)*MIN($G$10,0.85)^MAX(0,(A63-$F$10)/12-6)))</f>
        <v/>
      </c>
      <c r="K63" s="306">
        <f>SUM(F63:J63)</f>
        <v/>
      </c>
      <c r="L63" s="306">
        <f>K63/12</f>
        <v/>
      </c>
      <c r="M63" s="306">
        <f>L63*$B$8</f>
        <v/>
      </c>
      <c r="N63" s="306">
        <f>L63*$B$9</f>
        <v/>
      </c>
      <c r="O63" s="306">
        <f>L63*$B$10</f>
        <v/>
      </c>
      <c r="P63" s="306">
        <f>L63-M63-N63-O63-D63-E63</f>
        <v/>
      </c>
      <c r="Q63" s="306">
        <f>MAX(0, P63 - $B$7*L63)</f>
        <v/>
      </c>
      <c r="R63" s="306">
        <f>P63-Q63</f>
        <v/>
      </c>
      <c r="S63" s="306">
        <f>IF(A63=$F$6, $B$18*$B$16*$B$17/1000000, 0) + IF(A63=$F$7, $B$18*$B$16*$B$17/1000000, 0) + IF(A63=$F$8, $B$18*$B$16*$B$17/1000000, 0) + IF(A63=$F$9, $B$18*$B$16*$B$17/1000000, 0) + IF(A63=$F$10, $B$18*$B$16*$B$17/1000000, 0)</f>
        <v/>
      </c>
      <c r="T63" s="306">
        <f>R63-S63-C63</f>
        <v/>
      </c>
      <c r="U63" s="306">
        <f>IF(AND(A63&lt;=$B$24, T63&gt;0), T63*$B$23, 0)</f>
        <v/>
      </c>
      <c r="V63" s="306">
        <f>T63-U63</f>
        <v/>
      </c>
      <c r="W63" s="306">
        <f>IF(AND(A63=$B$19, $B$21=1), K63*$B$20, 0)</f>
        <v/>
      </c>
      <c r="X63" s="306">
        <f>X62+V63+W63</f>
        <v/>
      </c>
    </row>
    <row r="64">
      <c r="A64" s="306" t="n">
        <v>34</v>
      </c>
      <c r="B64" s="306">
        <f>CEILING(A64/12,1)</f>
        <v/>
      </c>
      <c r="C64" s="306">
        <f>IF(A64&lt;=12, $B$15/12, 0)</f>
        <v/>
      </c>
      <c r="D64" s="306">
        <f>INDEX('26. Team Comp'!$D$28:$R$28, B64) * 0.001 / 12</f>
        <v/>
      </c>
      <c r="E64" s="306">
        <f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) * 200 / 12 / 1000</f>
        <v/>
      </c>
      <c r="F64" s="306">
        <f>IF(A64&lt;$F$6,0,IF(AND($B$21=1,A64&gt;$B$19),0,$E$6*$G$6^MIN((A64-$F$6)/12,6)*MIN($G$6,0.85)^MAX(0,(A64-$F$6)/12-6)))</f>
        <v/>
      </c>
      <c r="G64" s="306">
        <f>IF(A64&lt;$F$7,0,IF(AND($B$21=1,A64&gt;$B$19),0,$E$7*$G$7^MIN((A64-$F$7)/12,6)*MIN($G$7,0.85)^MAX(0,(A64-$F$7)/12-6)))</f>
        <v/>
      </c>
      <c r="H64" s="306">
        <f>IF(A64&lt;$F$8,0,IF(AND($B$21=1,A64&gt;$B$19),0,$E$8*$G$8^MIN((A64-$F$8)/12,6)*MIN($G$8,0.85)^MAX(0,(A64-$F$8)/12-6)))</f>
        <v/>
      </c>
      <c r="I64" s="306">
        <f>IF(A64&lt;$F$9,0,IF(AND($B$21=1,A64&gt;$B$19),0,$E$9*$G$9^MIN((A64-$F$9)/12,6)*MIN($G$9,0.85)^MAX(0,(A64-$F$9)/12-6)))</f>
        <v/>
      </c>
      <c r="J64" s="306">
        <f>IF(A64&lt;$F$10,0,IF(AND($B$21=1,A64&gt;$B$19),0,$E$10*$G$10^MIN((A64-$F$10)/12,6)*MIN($G$10,0.85)^MAX(0,(A64-$F$10)/12-6)))</f>
        <v/>
      </c>
      <c r="K64" s="306">
        <f>SUM(F64:J64)</f>
        <v/>
      </c>
      <c r="L64" s="306">
        <f>K64/12</f>
        <v/>
      </c>
      <c r="M64" s="306">
        <f>L64*$B$8</f>
        <v/>
      </c>
      <c r="N64" s="306">
        <f>L64*$B$9</f>
        <v/>
      </c>
      <c r="O64" s="306">
        <f>L64*$B$10</f>
        <v/>
      </c>
      <c r="P64" s="306">
        <f>L64-M64-N64-O64-D64-E64</f>
        <v/>
      </c>
      <c r="Q64" s="306">
        <f>MAX(0, P64 - $B$7*L64)</f>
        <v/>
      </c>
      <c r="R64" s="306">
        <f>P64-Q64</f>
        <v/>
      </c>
      <c r="S64" s="306">
        <f>IF(A64=$F$6, $B$18*$B$16*$B$17/1000000, 0) + IF(A64=$F$7, $B$18*$B$16*$B$17/1000000, 0) + IF(A64=$F$8, $B$18*$B$16*$B$17/1000000, 0) + IF(A64=$F$9, $B$18*$B$16*$B$17/1000000, 0) + IF(A64=$F$10, $B$18*$B$16*$B$17/1000000, 0)</f>
        <v/>
      </c>
      <c r="T64" s="306">
        <f>R64-S64-C64</f>
        <v/>
      </c>
      <c r="U64" s="306">
        <f>IF(AND(A64&lt;=$B$24, T64&gt;0), T64*$B$23, 0)</f>
        <v/>
      </c>
      <c r="V64" s="306">
        <f>T64-U64</f>
        <v/>
      </c>
      <c r="W64" s="306">
        <f>IF(AND(A64=$B$19, $B$21=1), K64*$B$20, 0)</f>
        <v/>
      </c>
      <c r="X64" s="306">
        <f>X63+V64+W64</f>
        <v/>
      </c>
    </row>
    <row r="65">
      <c r="A65" s="306" t="n">
        <v>35</v>
      </c>
      <c r="B65" s="306">
        <f>CEILING(A65/12,1)</f>
        <v/>
      </c>
      <c r="C65" s="306">
        <f>IF(A65&lt;=12, $B$15/12, 0)</f>
        <v/>
      </c>
      <c r="D65" s="306">
        <f>INDEX('26. Team Comp'!$D$28:$R$28, B65) * 0.001 / 12</f>
        <v/>
      </c>
      <c r="E65" s="306">
        <f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) * 200 / 12 / 1000</f>
        <v/>
      </c>
      <c r="F65" s="306">
        <f>IF(A65&lt;$F$6,0,IF(AND($B$21=1,A65&gt;$B$19),0,$E$6*$G$6^MIN((A65-$F$6)/12,6)*MIN($G$6,0.85)^MAX(0,(A65-$F$6)/12-6)))</f>
        <v/>
      </c>
      <c r="G65" s="306">
        <f>IF(A65&lt;$F$7,0,IF(AND($B$21=1,A65&gt;$B$19),0,$E$7*$G$7^MIN((A65-$F$7)/12,6)*MIN($G$7,0.85)^MAX(0,(A65-$F$7)/12-6)))</f>
        <v/>
      </c>
      <c r="H65" s="306">
        <f>IF(A65&lt;$F$8,0,IF(AND($B$21=1,A65&gt;$B$19),0,$E$8*$G$8^MIN((A65-$F$8)/12,6)*MIN($G$8,0.85)^MAX(0,(A65-$F$8)/12-6)))</f>
        <v/>
      </c>
      <c r="I65" s="306">
        <f>IF(A65&lt;$F$9,0,IF(AND($B$21=1,A65&gt;$B$19),0,$E$9*$G$9^MIN((A65-$F$9)/12,6)*MIN($G$9,0.85)^MAX(0,(A65-$F$9)/12-6)))</f>
        <v/>
      </c>
      <c r="J65" s="306">
        <f>IF(A65&lt;$F$10,0,IF(AND($B$21=1,A65&gt;$B$19),0,$E$10*$G$10^MIN((A65-$F$10)/12,6)*MIN($G$10,0.85)^MAX(0,(A65-$F$10)/12-6)))</f>
        <v/>
      </c>
      <c r="K65" s="306">
        <f>SUM(F65:J65)</f>
        <v/>
      </c>
      <c r="L65" s="306">
        <f>K65/12</f>
        <v/>
      </c>
      <c r="M65" s="306">
        <f>L65*$B$8</f>
        <v/>
      </c>
      <c r="N65" s="306">
        <f>L65*$B$9</f>
        <v/>
      </c>
      <c r="O65" s="306">
        <f>L65*$B$10</f>
        <v/>
      </c>
      <c r="P65" s="306">
        <f>L65-M65-N65-O65-D65-E65</f>
        <v/>
      </c>
      <c r="Q65" s="306">
        <f>MAX(0, P65 - $B$7*L65)</f>
        <v/>
      </c>
      <c r="R65" s="306">
        <f>P65-Q65</f>
        <v/>
      </c>
      <c r="S65" s="306">
        <f>IF(A65=$F$6, $B$18*$B$16*$B$17/1000000, 0) + IF(A65=$F$7, $B$18*$B$16*$B$17/1000000, 0) + IF(A65=$F$8, $B$18*$B$16*$B$17/1000000, 0) + IF(A65=$F$9, $B$18*$B$16*$B$17/1000000, 0) + IF(A65=$F$10, $B$18*$B$16*$B$17/1000000, 0)</f>
        <v/>
      </c>
      <c r="T65" s="306">
        <f>R65-S65-C65</f>
        <v/>
      </c>
      <c r="U65" s="306">
        <f>IF(AND(A65&lt;=$B$24, T65&gt;0), T65*$B$23, 0)</f>
        <v/>
      </c>
      <c r="V65" s="306">
        <f>T65-U65</f>
        <v/>
      </c>
      <c r="W65" s="306">
        <f>IF(AND(A65=$B$19, $B$21=1), K65*$B$20, 0)</f>
        <v/>
      </c>
      <c r="X65" s="306">
        <f>X64+V65+W65</f>
        <v/>
      </c>
    </row>
    <row r="66">
      <c r="A66" s="306" t="n">
        <v>36</v>
      </c>
      <c r="B66" s="306">
        <f>CEILING(A66/12,1)</f>
        <v/>
      </c>
      <c r="C66" s="306">
        <f>IF(A66&lt;=12, $B$15/12, 0)</f>
        <v/>
      </c>
      <c r="D66" s="306">
        <f>INDEX('26. Team Comp'!$D$28:$R$28, B66) * 0.001 / 12</f>
        <v/>
      </c>
      <c r="E66" s="306">
        <f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) * 200 / 12 / 1000</f>
        <v/>
      </c>
      <c r="F66" s="306">
        <f>IF(A66&lt;$F$6,0,IF(AND($B$21=1,A66&gt;$B$19),0,$E$6*$G$6^MIN((A66-$F$6)/12,6)*MIN($G$6,0.85)^MAX(0,(A66-$F$6)/12-6)))</f>
        <v/>
      </c>
      <c r="G66" s="306">
        <f>IF(A66&lt;$F$7,0,IF(AND($B$21=1,A66&gt;$B$19),0,$E$7*$G$7^MIN((A66-$F$7)/12,6)*MIN($G$7,0.85)^MAX(0,(A66-$F$7)/12-6)))</f>
        <v/>
      </c>
      <c r="H66" s="306">
        <f>IF(A66&lt;$F$8,0,IF(AND($B$21=1,A66&gt;$B$19),0,$E$8*$G$8^MIN((A66-$F$8)/12,6)*MIN($G$8,0.85)^MAX(0,(A66-$F$8)/12-6)))</f>
        <v/>
      </c>
      <c r="I66" s="306">
        <f>IF(A66&lt;$F$9,0,IF(AND($B$21=1,A66&gt;$B$19),0,$E$9*$G$9^MIN((A66-$F$9)/12,6)*MIN($G$9,0.85)^MAX(0,(A66-$F$9)/12-6)))</f>
        <v/>
      </c>
      <c r="J66" s="306">
        <f>IF(A66&lt;$F$10,0,IF(AND($B$21=1,A66&gt;$B$19),0,$E$10*$G$10^MIN((A66-$F$10)/12,6)*MIN($G$10,0.85)^MAX(0,(A66-$F$10)/12-6)))</f>
        <v/>
      </c>
      <c r="K66" s="306">
        <f>SUM(F66:J66)</f>
        <v/>
      </c>
      <c r="L66" s="306">
        <f>K66/12</f>
        <v/>
      </c>
      <c r="M66" s="306">
        <f>L66*$B$8</f>
        <v/>
      </c>
      <c r="N66" s="306">
        <f>L66*$B$9</f>
        <v/>
      </c>
      <c r="O66" s="306">
        <f>L66*$B$10</f>
        <v/>
      </c>
      <c r="P66" s="306">
        <f>L66-M66-N66-O66-D66-E66</f>
        <v/>
      </c>
      <c r="Q66" s="306">
        <f>MAX(0, P66 - $B$7*L66)</f>
        <v/>
      </c>
      <c r="R66" s="306">
        <f>P66-Q66</f>
        <v/>
      </c>
      <c r="S66" s="306">
        <f>IF(A66=$F$6, $B$18*$B$16*$B$17/1000000, 0) + IF(A66=$F$7, $B$18*$B$16*$B$17/1000000, 0) + IF(A66=$F$8, $B$18*$B$16*$B$17/1000000, 0) + IF(A66=$F$9, $B$18*$B$16*$B$17/1000000, 0) + IF(A66=$F$10, $B$18*$B$16*$B$17/1000000, 0)</f>
        <v/>
      </c>
      <c r="T66" s="306">
        <f>R66-S66-C66</f>
        <v/>
      </c>
      <c r="U66" s="306">
        <f>IF(AND(A66&lt;=$B$24, T66&gt;0), T66*$B$23, 0)</f>
        <v/>
      </c>
      <c r="V66" s="306">
        <f>T66-U66</f>
        <v/>
      </c>
      <c r="W66" s="306">
        <f>IF(AND(A66=$B$19, $B$21=1), K66*$B$20, 0)</f>
        <v/>
      </c>
      <c r="X66" s="306">
        <f>X65+V66+W66</f>
        <v/>
      </c>
    </row>
    <row r="67">
      <c r="A67" s="306" t="n">
        <v>37</v>
      </c>
      <c r="B67" s="306">
        <f>CEILING(A67/12,1)</f>
        <v/>
      </c>
      <c r="C67" s="306">
        <f>IF(A67&lt;=12, $B$15/12, 0)</f>
        <v/>
      </c>
      <c r="D67" s="306">
        <f>INDEX('26. Team Comp'!$D$28:$R$28, B67) * 0.001 / 12</f>
        <v/>
      </c>
      <c r="E67" s="306">
        <f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) * 200 / 12 / 1000</f>
        <v/>
      </c>
      <c r="F67" s="306">
        <f>IF(A67&lt;$F$6,0,IF(AND($B$21=1,A67&gt;$B$19),0,$E$6*$G$6^MIN((A67-$F$6)/12,6)*MIN($G$6,0.85)^MAX(0,(A67-$F$6)/12-6)))</f>
        <v/>
      </c>
      <c r="G67" s="306">
        <f>IF(A67&lt;$F$7,0,IF(AND($B$21=1,A67&gt;$B$19),0,$E$7*$G$7^MIN((A67-$F$7)/12,6)*MIN($G$7,0.85)^MAX(0,(A67-$F$7)/12-6)))</f>
        <v/>
      </c>
      <c r="H67" s="306">
        <f>IF(A67&lt;$F$8,0,IF(AND($B$21=1,A67&gt;$B$19),0,$E$8*$G$8^MIN((A67-$F$8)/12,6)*MIN($G$8,0.85)^MAX(0,(A67-$F$8)/12-6)))</f>
        <v/>
      </c>
      <c r="I67" s="306">
        <f>IF(A67&lt;$F$9,0,IF(AND($B$21=1,A67&gt;$B$19),0,$E$9*$G$9^MIN((A67-$F$9)/12,6)*MIN($G$9,0.85)^MAX(0,(A67-$F$9)/12-6)))</f>
        <v/>
      </c>
      <c r="J67" s="306">
        <f>IF(A67&lt;$F$10,0,IF(AND($B$21=1,A67&gt;$B$19),0,$E$10*$G$10^MIN((A67-$F$10)/12,6)*MIN($G$10,0.85)^MAX(0,(A67-$F$10)/12-6)))</f>
        <v/>
      </c>
      <c r="K67" s="306">
        <f>SUM(F67:J67)</f>
        <v/>
      </c>
      <c r="L67" s="306">
        <f>K67/12</f>
        <v/>
      </c>
      <c r="M67" s="306">
        <f>L67*$B$8</f>
        <v/>
      </c>
      <c r="N67" s="306">
        <f>L67*$B$9</f>
        <v/>
      </c>
      <c r="O67" s="306">
        <f>L67*$B$10</f>
        <v/>
      </c>
      <c r="P67" s="306">
        <f>L67-M67-N67-O67-D67-E67</f>
        <v/>
      </c>
      <c r="Q67" s="306">
        <f>MAX(0, P67 - $B$7*L67)</f>
        <v/>
      </c>
      <c r="R67" s="306">
        <f>P67-Q67</f>
        <v/>
      </c>
      <c r="S67" s="306">
        <f>IF(A67=$F$6, $B$18*$B$16*$B$17/1000000, 0) + IF(A67=$F$7, $B$18*$B$16*$B$17/1000000, 0) + IF(A67=$F$8, $B$18*$B$16*$B$17/1000000, 0) + IF(A67=$F$9, $B$18*$B$16*$B$17/1000000, 0) + IF(A67=$F$10, $B$18*$B$16*$B$17/1000000, 0)</f>
        <v/>
      </c>
      <c r="T67" s="306">
        <f>R67-S67-C67</f>
        <v/>
      </c>
      <c r="U67" s="306">
        <f>IF(AND(A67&lt;=$B$24, T67&gt;0), T67*$B$23, 0)</f>
        <v/>
      </c>
      <c r="V67" s="306">
        <f>T67-U67</f>
        <v/>
      </c>
      <c r="W67" s="306">
        <f>IF(AND(A67=$B$19, $B$21=1), K67*$B$20, 0)</f>
        <v/>
      </c>
      <c r="X67" s="306">
        <f>X66+V67+W67</f>
        <v/>
      </c>
    </row>
    <row r="68">
      <c r="A68" s="306" t="n">
        <v>38</v>
      </c>
      <c r="B68" s="306">
        <f>CEILING(A68/12,1)</f>
        <v/>
      </c>
      <c r="C68" s="306">
        <f>IF(A68&lt;=12, $B$15/12, 0)</f>
        <v/>
      </c>
      <c r="D68" s="306">
        <f>INDEX('26. Team Comp'!$D$28:$R$28, B68) * 0.001 / 12</f>
        <v/>
      </c>
      <c r="E68" s="306">
        <f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) * 200 / 12 / 1000</f>
        <v/>
      </c>
      <c r="F68" s="306">
        <f>IF(A68&lt;$F$6,0,IF(AND($B$21=1,A68&gt;$B$19),0,$E$6*$G$6^MIN((A68-$F$6)/12,6)*MIN($G$6,0.85)^MAX(0,(A68-$F$6)/12-6)))</f>
        <v/>
      </c>
      <c r="G68" s="306">
        <f>IF(A68&lt;$F$7,0,IF(AND($B$21=1,A68&gt;$B$19),0,$E$7*$G$7^MIN((A68-$F$7)/12,6)*MIN($G$7,0.85)^MAX(0,(A68-$F$7)/12-6)))</f>
        <v/>
      </c>
      <c r="H68" s="306">
        <f>IF(A68&lt;$F$8,0,IF(AND($B$21=1,A68&gt;$B$19),0,$E$8*$G$8^MIN((A68-$F$8)/12,6)*MIN($G$8,0.85)^MAX(0,(A68-$F$8)/12-6)))</f>
        <v/>
      </c>
      <c r="I68" s="306">
        <f>IF(A68&lt;$F$9,0,IF(AND($B$21=1,A68&gt;$B$19),0,$E$9*$G$9^MIN((A68-$F$9)/12,6)*MIN($G$9,0.85)^MAX(0,(A68-$F$9)/12-6)))</f>
        <v/>
      </c>
      <c r="J68" s="306">
        <f>IF(A68&lt;$F$10,0,IF(AND($B$21=1,A68&gt;$B$19),0,$E$10*$G$10^MIN((A68-$F$10)/12,6)*MIN($G$10,0.85)^MAX(0,(A68-$F$10)/12-6)))</f>
        <v/>
      </c>
      <c r="K68" s="306">
        <f>SUM(F68:J68)</f>
        <v/>
      </c>
      <c r="L68" s="306">
        <f>K68/12</f>
        <v/>
      </c>
      <c r="M68" s="306">
        <f>L68*$B$8</f>
        <v/>
      </c>
      <c r="N68" s="306">
        <f>L68*$B$9</f>
        <v/>
      </c>
      <c r="O68" s="306">
        <f>L68*$B$10</f>
        <v/>
      </c>
      <c r="P68" s="306">
        <f>L68-M68-N68-O68-D68-E68</f>
        <v/>
      </c>
      <c r="Q68" s="306">
        <f>MAX(0, P68 - $B$7*L68)</f>
        <v/>
      </c>
      <c r="R68" s="306">
        <f>P68-Q68</f>
        <v/>
      </c>
      <c r="S68" s="306">
        <f>IF(A68=$F$6, $B$18*$B$16*$B$17/1000000, 0) + IF(A68=$F$7, $B$18*$B$16*$B$17/1000000, 0) + IF(A68=$F$8, $B$18*$B$16*$B$17/1000000, 0) + IF(A68=$F$9, $B$18*$B$16*$B$17/1000000, 0) + IF(A68=$F$10, $B$18*$B$16*$B$17/1000000, 0)</f>
        <v/>
      </c>
      <c r="T68" s="306">
        <f>R68-S68-C68</f>
        <v/>
      </c>
      <c r="U68" s="306">
        <f>IF(AND(A68&lt;=$B$24, T68&gt;0), T68*$B$23, 0)</f>
        <v/>
      </c>
      <c r="V68" s="306">
        <f>T68-U68</f>
        <v/>
      </c>
      <c r="W68" s="306">
        <f>IF(AND(A68=$B$19, $B$21=1), K68*$B$20, 0)</f>
        <v/>
      </c>
      <c r="X68" s="306">
        <f>X67+V68+W68</f>
        <v/>
      </c>
    </row>
    <row r="69">
      <c r="A69" s="306" t="n">
        <v>39</v>
      </c>
      <c r="B69" s="306">
        <f>CEILING(A69/12,1)</f>
        <v/>
      </c>
      <c r="C69" s="306">
        <f>IF(A69&lt;=12, $B$15/12, 0)</f>
        <v/>
      </c>
      <c r="D69" s="306">
        <f>INDEX('26. Team Comp'!$D$28:$R$28, B69) * 0.001 / 12</f>
        <v/>
      </c>
      <c r="E69" s="306">
        <f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) * 200 / 12 / 1000</f>
        <v/>
      </c>
      <c r="F69" s="306">
        <f>IF(A69&lt;$F$6,0,IF(AND($B$21=1,A69&gt;$B$19),0,$E$6*$G$6^MIN((A69-$F$6)/12,6)*MIN($G$6,0.85)^MAX(0,(A69-$F$6)/12-6)))</f>
        <v/>
      </c>
      <c r="G69" s="306">
        <f>IF(A69&lt;$F$7,0,IF(AND($B$21=1,A69&gt;$B$19),0,$E$7*$G$7^MIN((A69-$F$7)/12,6)*MIN($G$7,0.85)^MAX(0,(A69-$F$7)/12-6)))</f>
        <v/>
      </c>
      <c r="H69" s="306">
        <f>IF(A69&lt;$F$8,0,IF(AND($B$21=1,A69&gt;$B$19),0,$E$8*$G$8^MIN((A69-$F$8)/12,6)*MIN($G$8,0.85)^MAX(0,(A69-$F$8)/12-6)))</f>
        <v/>
      </c>
      <c r="I69" s="306">
        <f>IF(A69&lt;$F$9,0,IF(AND($B$21=1,A69&gt;$B$19),0,$E$9*$G$9^MIN((A69-$F$9)/12,6)*MIN($G$9,0.85)^MAX(0,(A69-$F$9)/12-6)))</f>
        <v/>
      </c>
      <c r="J69" s="306">
        <f>IF(A69&lt;$F$10,0,IF(AND($B$21=1,A69&gt;$B$19),0,$E$10*$G$10^MIN((A69-$F$10)/12,6)*MIN($G$10,0.85)^MAX(0,(A69-$F$10)/12-6)))</f>
        <v/>
      </c>
      <c r="K69" s="306">
        <f>SUM(F69:J69)</f>
        <v/>
      </c>
      <c r="L69" s="306">
        <f>K69/12</f>
        <v/>
      </c>
      <c r="M69" s="306">
        <f>L69*$B$8</f>
        <v/>
      </c>
      <c r="N69" s="306">
        <f>L69*$B$9</f>
        <v/>
      </c>
      <c r="O69" s="306">
        <f>L69*$B$10</f>
        <v/>
      </c>
      <c r="P69" s="306">
        <f>L69-M69-N69-O69-D69-E69</f>
        <v/>
      </c>
      <c r="Q69" s="306">
        <f>MAX(0, P69 - $B$7*L69)</f>
        <v/>
      </c>
      <c r="R69" s="306">
        <f>P69-Q69</f>
        <v/>
      </c>
      <c r="S69" s="306">
        <f>IF(A69=$F$6, $B$18*$B$16*$B$17/1000000, 0) + IF(A69=$F$7, $B$18*$B$16*$B$17/1000000, 0) + IF(A69=$F$8, $B$18*$B$16*$B$17/1000000, 0) + IF(A69=$F$9, $B$18*$B$16*$B$17/1000000, 0) + IF(A69=$F$10, $B$18*$B$16*$B$17/1000000, 0)</f>
        <v/>
      </c>
      <c r="T69" s="306">
        <f>R69-S69-C69</f>
        <v/>
      </c>
      <c r="U69" s="306">
        <f>IF(AND(A69&lt;=$B$24, T69&gt;0), T69*$B$23, 0)</f>
        <v/>
      </c>
      <c r="V69" s="306">
        <f>T69-U69</f>
        <v/>
      </c>
      <c r="W69" s="306">
        <f>IF(AND(A69=$B$19, $B$21=1), K69*$B$20, 0)</f>
        <v/>
      </c>
      <c r="X69" s="306">
        <f>X68+V69+W69</f>
        <v/>
      </c>
    </row>
    <row r="70">
      <c r="A70" s="306" t="n">
        <v>40</v>
      </c>
      <c r="B70" s="306">
        <f>CEILING(A70/12,1)</f>
        <v/>
      </c>
      <c r="C70" s="306">
        <f>IF(A70&lt;=12, $B$15/12, 0)</f>
        <v/>
      </c>
      <c r="D70" s="306">
        <f>INDEX('26. Team Comp'!$D$28:$R$28, B70) * 0.001 / 12</f>
        <v/>
      </c>
      <c r="E70" s="306">
        <f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) * 200 / 12 / 1000</f>
        <v/>
      </c>
      <c r="F70" s="306">
        <f>IF(A70&lt;$F$6,0,IF(AND($B$21=1,A70&gt;$B$19),0,$E$6*$G$6^MIN((A70-$F$6)/12,6)*MIN($G$6,0.85)^MAX(0,(A70-$F$6)/12-6)))</f>
        <v/>
      </c>
      <c r="G70" s="306">
        <f>IF(A70&lt;$F$7,0,IF(AND($B$21=1,A70&gt;$B$19),0,$E$7*$G$7^MIN((A70-$F$7)/12,6)*MIN($G$7,0.85)^MAX(0,(A70-$F$7)/12-6)))</f>
        <v/>
      </c>
      <c r="H70" s="306">
        <f>IF(A70&lt;$F$8,0,IF(AND($B$21=1,A70&gt;$B$19),0,$E$8*$G$8^MIN((A70-$F$8)/12,6)*MIN($G$8,0.85)^MAX(0,(A70-$F$8)/12-6)))</f>
        <v/>
      </c>
      <c r="I70" s="306">
        <f>IF(A70&lt;$F$9,0,IF(AND($B$21=1,A70&gt;$B$19),0,$E$9*$G$9^MIN((A70-$F$9)/12,6)*MIN($G$9,0.85)^MAX(0,(A70-$F$9)/12-6)))</f>
        <v/>
      </c>
      <c r="J70" s="306">
        <f>IF(A70&lt;$F$10,0,IF(AND($B$21=1,A70&gt;$B$19),0,$E$10*$G$10^MIN((A70-$F$10)/12,6)*MIN($G$10,0.85)^MAX(0,(A70-$F$10)/12-6)))</f>
        <v/>
      </c>
      <c r="K70" s="306">
        <f>SUM(F70:J70)</f>
        <v/>
      </c>
      <c r="L70" s="306">
        <f>K70/12</f>
        <v/>
      </c>
      <c r="M70" s="306">
        <f>L70*$B$8</f>
        <v/>
      </c>
      <c r="N70" s="306">
        <f>L70*$B$9</f>
        <v/>
      </c>
      <c r="O70" s="306">
        <f>L70*$B$10</f>
        <v/>
      </c>
      <c r="P70" s="306">
        <f>L70-M70-N70-O70-D70-E70</f>
        <v/>
      </c>
      <c r="Q70" s="306">
        <f>MAX(0, P70 - $B$7*L70)</f>
        <v/>
      </c>
      <c r="R70" s="306">
        <f>P70-Q70</f>
        <v/>
      </c>
      <c r="S70" s="306">
        <f>IF(A70=$F$6, $B$18*$B$16*$B$17/1000000, 0) + IF(A70=$F$7, $B$18*$B$16*$B$17/1000000, 0) + IF(A70=$F$8, $B$18*$B$16*$B$17/1000000, 0) + IF(A70=$F$9, $B$18*$B$16*$B$17/1000000, 0) + IF(A70=$F$10, $B$18*$B$16*$B$17/1000000, 0)</f>
        <v/>
      </c>
      <c r="T70" s="306">
        <f>R70-S70-C70</f>
        <v/>
      </c>
      <c r="U70" s="306">
        <f>IF(AND(A70&lt;=$B$24, T70&gt;0), T70*$B$23, 0)</f>
        <v/>
      </c>
      <c r="V70" s="306">
        <f>T70-U70</f>
        <v/>
      </c>
      <c r="W70" s="306">
        <f>IF(AND(A70=$B$19, $B$21=1), K70*$B$20, 0)</f>
        <v/>
      </c>
      <c r="X70" s="306">
        <f>X69+V70+W70</f>
        <v/>
      </c>
    </row>
    <row r="71">
      <c r="A71" s="306" t="n">
        <v>41</v>
      </c>
      <c r="B71" s="306">
        <f>CEILING(A71/12,1)</f>
        <v/>
      </c>
      <c r="C71" s="306">
        <f>IF(A71&lt;=12, $B$15/12, 0)</f>
        <v/>
      </c>
      <c r="D71" s="306">
        <f>INDEX('26. Team Comp'!$D$28:$R$28, B71) * 0.001 / 12</f>
        <v/>
      </c>
      <c r="E71" s="306">
        <f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) * 200 / 12 / 1000</f>
        <v/>
      </c>
      <c r="F71" s="306">
        <f>IF(A71&lt;$F$6,0,IF(AND($B$21=1,A71&gt;$B$19),0,$E$6*$G$6^MIN((A71-$F$6)/12,6)*MIN($G$6,0.85)^MAX(0,(A71-$F$6)/12-6)))</f>
        <v/>
      </c>
      <c r="G71" s="306">
        <f>IF(A71&lt;$F$7,0,IF(AND($B$21=1,A71&gt;$B$19),0,$E$7*$G$7^MIN((A71-$F$7)/12,6)*MIN($G$7,0.85)^MAX(0,(A71-$F$7)/12-6)))</f>
        <v/>
      </c>
      <c r="H71" s="306">
        <f>IF(A71&lt;$F$8,0,IF(AND($B$21=1,A71&gt;$B$19),0,$E$8*$G$8^MIN((A71-$F$8)/12,6)*MIN($G$8,0.85)^MAX(0,(A71-$F$8)/12-6)))</f>
        <v/>
      </c>
      <c r="I71" s="306">
        <f>IF(A71&lt;$F$9,0,IF(AND($B$21=1,A71&gt;$B$19),0,$E$9*$G$9^MIN((A71-$F$9)/12,6)*MIN($G$9,0.85)^MAX(0,(A71-$F$9)/12-6)))</f>
        <v/>
      </c>
      <c r="J71" s="306">
        <f>IF(A71&lt;$F$10,0,IF(AND($B$21=1,A71&gt;$B$19),0,$E$10*$G$10^MIN((A71-$F$10)/12,6)*MIN($G$10,0.85)^MAX(0,(A71-$F$10)/12-6)))</f>
        <v/>
      </c>
      <c r="K71" s="306">
        <f>SUM(F71:J71)</f>
        <v/>
      </c>
      <c r="L71" s="306">
        <f>K71/12</f>
        <v/>
      </c>
      <c r="M71" s="306">
        <f>L71*$B$8</f>
        <v/>
      </c>
      <c r="N71" s="306">
        <f>L71*$B$9</f>
        <v/>
      </c>
      <c r="O71" s="306">
        <f>L71*$B$10</f>
        <v/>
      </c>
      <c r="P71" s="306">
        <f>L71-M71-N71-O71-D71-E71</f>
        <v/>
      </c>
      <c r="Q71" s="306">
        <f>MAX(0, P71 - $B$7*L71)</f>
        <v/>
      </c>
      <c r="R71" s="306">
        <f>P71-Q71</f>
        <v/>
      </c>
      <c r="S71" s="306">
        <f>IF(A71=$F$6, $B$18*$B$16*$B$17/1000000, 0) + IF(A71=$F$7, $B$18*$B$16*$B$17/1000000, 0) + IF(A71=$F$8, $B$18*$B$16*$B$17/1000000, 0) + IF(A71=$F$9, $B$18*$B$16*$B$17/1000000, 0) + IF(A71=$F$10, $B$18*$B$16*$B$17/1000000, 0)</f>
        <v/>
      </c>
      <c r="T71" s="306">
        <f>R71-S71-C71</f>
        <v/>
      </c>
      <c r="U71" s="306">
        <f>IF(AND(A71&lt;=$B$24, T71&gt;0), T71*$B$23, 0)</f>
        <v/>
      </c>
      <c r="V71" s="306">
        <f>T71-U71</f>
        <v/>
      </c>
      <c r="W71" s="306">
        <f>IF(AND(A71=$B$19, $B$21=1), K71*$B$20, 0)</f>
        <v/>
      </c>
      <c r="X71" s="306">
        <f>X70+V71+W71</f>
        <v/>
      </c>
    </row>
    <row r="72">
      <c r="A72" s="306" t="n">
        <v>42</v>
      </c>
      <c r="B72" s="306">
        <f>CEILING(A72/12,1)</f>
        <v/>
      </c>
      <c r="C72" s="306">
        <f>IF(A72&lt;=12, $B$15/12, 0)</f>
        <v/>
      </c>
      <c r="D72" s="306">
        <f>INDEX('26. Team Comp'!$D$28:$R$28, B72) * 0.001 / 12</f>
        <v/>
      </c>
      <c r="E72" s="306">
        <f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) * 200 / 12 / 1000</f>
        <v/>
      </c>
      <c r="F72" s="306">
        <f>IF(A72&lt;$F$6,0,IF(AND($B$21=1,A72&gt;$B$19),0,$E$6*$G$6^MIN((A72-$F$6)/12,6)*MIN($G$6,0.85)^MAX(0,(A72-$F$6)/12-6)))</f>
        <v/>
      </c>
      <c r="G72" s="306">
        <f>IF(A72&lt;$F$7,0,IF(AND($B$21=1,A72&gt;$B$19),0,$E$7*$G$7^MIN((A72-$F$7)/12,6)*MIN($G$7,0.85)^MAX(0,(A72-$F$7)/12-6)))</f>
        <v/>
      </c>
      <c r="H72" s="306">
        <f>IF(A72&lt;$F$8,0,IF(AND($B$21=1,A72&gt;$B$19),0,$E$8*$G$8^MIN((A72-$F$8)/12,6)*MIN($G$8,0.85)^MAX(0,(A72-$F$8)/12-6)))</f>
        <v/>
      </c>
      <c r="I72" s="306">
        <f>IF(A72&lt;$F$9,0,IF(AND($B$21=1,A72&gt;$B$19),0,$E$9*$G$9^MIN((A72-$F$9)/12,6)*MIN($G$9,0.85)^MAX(0,(A72-$F$9)/12-6)))</f>
        <v/>
      </c>
      <c r="J72" s="306">
        <f>IF(A72&lt;$F$10,0,IF(AND($B$21=1,A72&gt;$B$19),0,$E$10*$G$10^MIN((A72-$F$10)/12,6)*MIN($G$10,0.85)^MAX(0,(A72-$F$10)/12-6)))</f>
        <v/>
      </c>
      <c r="K72" s="306">
        <f>SUM(F72:J72)</f>
        <v/>
      </c>
      <c r="L72" s="306">
        <f>K72/12</f>
        <v/>
      </c>
      <c r="M72" s="306">
        <f>L72*$B$8</f>
        <v/>
      </c>
      <c r="N72" s="306">
        <f>L72*$B$9</f>
        <v/>
      </c>
      <c r="O72" s="306">
        <f>L72*$B$10</f>
        <v/>
      </c>
      <c r="P72" s="306">
        <f>L72-M72-N72-O72-D72-E72</f>
        <v/>
      </c>
      <c r="Q72" s="306">
        <f>MAX(0, P72 - $B$7*L72)</f>
        <v/>
      </c>
      <c r="R72" s="306">
        <f>P72-Q72</f>
        <v/>
      </c>
      <c r="S72" s="306">
        <f>IF(A72=$F$6, $B$18*$B$16*$B$17/1000000, 0) + IF(A72=$F$7, $B$18*$B$16*$B$17/1000000, 0) + IF(A72=$F$8, $B$18*$B$16*$B$17/1000000, 0) + IF(A72=$F$9, $B$18*$B$16*$B$17/1000000, 0) + IF(A72=$F$10, $B$18*$B$16*$B$17/1000000, 0)</f>
        <v/>
      </c>
      <c r="T72" s="306">
        <f>R72-S72-C72</f>
        <v/>
      </c>
      <c r="U72" s="306">
        <f>IF(AND(A72&lt;=$B$24, T72&gt;0), T72*$B$23, 0)</f>
        <v/>
      </c>
      <c r="V72" s="306">
        <f>T72-U72</f>
        <v/>
      </c>
      <c r="W72" s="306">
        <f>IF(AND(A72=$B$19, $B$21=1), K72*$B$20, 0)</f>
        <v/>
      </c>
      <c r="X72" s="306">
        <f>X71+V72+W72</f>
        <v/>
      </c>
    </row>
    <row r="73">
      <c r="A73" s="306" t="n">
        <v>43</v>
      </c>
      <c r="B73" s="306">
        <f>CEILING(A73/12,1)</f>
        <v/>
      </c>
      <c r="C73" s="306">
        <f>IF(A73&lt;=12, $B$15/12, 0)</f>
        <v/>
      </c>
      <c r="D73" s="306">
        <f>INDEX('26. Team Comp'!$D$28:$R$28, B73) * 0.001 / 12</f>
        <v/>
      </c>
      <c r="E73" s="306">
        <f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) * 200 / 12 / 1000</f>
        <v/>
      </c>
      <c r="F73" s="306">
        <f>IF(A73&lt;$F$6,0,IF(AND($B$21=1,A73&gt;$B$19),0,$E$6*$G$6^MIN((A73-$F$6)/12,6)*MIN($G$6,0.85)^MAX(0,(A73-$F$6)/12-6)))</f>
        <v/>
      </c>
      <c r="G73" s="306">
        <f>IF(A73&lt;$F$7,0,IF(AND($B$21=1,A73&gt;$B$19),0,$E$7*$G$7^MIN((A73-$F$7)/12,6)*MIN($G$7,0.85)^MAX(0,(A73-$F$7)/12-6)))</f>
        <v/>
      </c>
      <c r="H73" s="306">
        <f>IF(A73&lt;$F$8,0,IF(AND($B$21=1,A73&gt;$B$19),0,$E$8*$G$8^MIN((A73-$F$8)/12,6)*MIN($G$8,0.85)^MAX(0,(A73-$F$8)/12-6)))</f>
        <v/>
      </c>
      <c r="I73" s="306">
        <f>IF(A73&lt;$F$9,0,IF(AND($B$21=1,A73&gt;$B$19),0,$E$9*$G$9^MIN((A73-$F$9)/12,6)*MIN($G$9,0.85)^MAX(0,(A73-$F$9)/12-6)))</f>
        <v/>
      </c>
      <c r="J73" s="306">
        <f>IF(A73&lt;$F$10,0,IF(AND($B$21=1,A73&gt;$B$19),0,$E$10*$G$10^MIN((A73-$F$10)/12,6)*MIN($G$10,0.85)^MAX(0,(A73-$F$10)/12-6)))</f>
        <v/>
      </c>
      <c r="K73" s="306">
        <f>SUM(F73:J73)</f>
        <v/>
      </c>
      <c r="L73" s="306">
        <f>K73/12</f>
        <v/>
      </c>
      <c r="M73" s="306">
        <f>L73*$B$8</f>
        <v/>
      </c>
      <c r="N73" s="306">
        <f>L73*$B$9</f>
        <v/>
      </c>
      <c r="O73" s="306">
        <f>L73*$B$10</f>
        <v/>
      </c>
      <c r="P73" s="306">
        <f>L73-M73-N73-O73-D73-E73</f>
        <v/>
      </c>
      <c r="Q73" s="306">
        <f>MAX(0, P73 - $B$7*L73)</f>
        <v/>
      </c>
      <c r="R73" s="306">
        <f>P73-Q73</f>
        <v/>
      </c>
      <c r="S73" s="306">
        <f>IF(A73=$F$6, $B$18*$B$16*$B$17/1000000, 0) + IF(A73=$F$7, $B$18*$B$16*$B$17/1000000, 0) + IF(A73=$F$8, $B$18*$B$16*$B$17/1000000, 0) + IF(A73=$F$9, $B$18*$B$16*$B$17/1000000, 0) + IF(A73=$F$10, $B$18*$B$16*$B$17/1000000, 0)</f>
        <v/>
      </c>
      <c r="T73" s="306">
        <f>R73-S73-C73</f>
        <v/>
      </c>
      <c r="U73" s="306">
        <f>IF(AND(A73&lt;=$B$24, T73&gt;0), T73*$B$23, 0)</f>
        <v/>
      </c>
      <c r="V73" s="306">
        <f>T73-U73</f>
        <v/>
      </c>
      <c r="W73" s="306">
        <f>IF(AND(A73=$B$19, $B$21=1), K73*$B$20, 0)</f>
        <v/>
      </c>
      <c r="X73" s="306">
        <f>X72+V73+W73</f>
        <v/>
      </c>
    </row>
    <row r="74">
      <c r="A74" s="306" t="n">
        <v>44</v>
      </c>
      <c r="B74" s="306">
        <f>CEILING(A74/12,1)</f>
        <v/>
      </c>
      <c r="C74" s="306">
        <f>IF(A74&lt;=12, $B$15/12, 0)</f>
        <v/>
      </c>
      <c r="D74" s="306">
        <f>INDEX('26. Team Comp'!$D$28:$R$28, B74) * 0.001 / 12</f>
        <v/>
      </c>
      <c r="E74" s="306">
        <f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) * 200 / 12 / 1000</f>
        <v/>
      </c>
      <c r="F74" s="306">
        <f>IF(A74&lt;$F$6,0,IF(AND($B$21=1,A74&gt;$B$19),0,$E$6*$G$6^MIN((A74-$F$6)/12,6)*MIN($G$6,0.85)^MAX(0,(A74-$F$6)/12-6)))</f>
        <v/>
      </c>
      <c r="G74" s="306">
        <f>IF(A74&lt;$F$7,0,IF(AND($B$21=1,A74&gt;$B$19),0,$E$7*$G$7^MIN((A74-$F$7)/12,6)*MIN($G$7,0.85)^MAX(0,(A74-$F$7)/12-6)))</f>
        <v/>
      </c>
      <c r="H74" s="306">
        <f>IF(A74&lt;$F$8,0,IF(AND($B$21=1,A74&gt;$B$19),0,$E$8*$G$8^MIN((A74-$F$8)/12,6)*MIN($G$8,0.85)^MAX(0,(A74-$F$8)/12-6)))</f>
        <v/>
      </c>
      <c r="I74" s="306">
        <f>IF(A74&lt;$F$9,0,IF(AND($B$21=1,A74&gt;$B$19),0,$E$9*$G$9^MIN((A74-$F$9)/12,6)*MIN($G$9,0.85)^MAX(0,(A74-$F$9)/12-6)))</f>
        <v/>
      </c>
      <c r="J74" s="306">
        <f>IF(A74&lt;$F$10,0,IF(AND($B$21=1,A74&gt;$B$19),0,$E$10*$G$10^MIN((A74-$F$10)/12,6)*MIN($G$10,0.85)^MAX(0,(A74-$F$10)/12-6)))</f>
        <v/>
      </c>
      <c r="K74" s="306">
        <f>SUM(F74:J74)</f>
        <v/>
      </c>
      <c r="L74" s="306">
        <f>K74/12</f>
        <v/>
      </c>
      <c r="M74" s="306">
        <f>L74*$B$8</f>
        <v/>
      </c>
      <c r="N74" s="306">
        <f>L74*$B$9</f>
        <v/>
      </c>
      <c r="O74" s="306">
        <f>L74*$B$10</f>
        <v/>
      </c>
      <c r="P74" s="306">
        <f>L74-M74-N74-O74-D74-E74</f>
        <v/>
      </c>
      <c r="Q74" s="306">
        <f>MAX(0, P74 - $B$7*L74)</f>
        <v/>
      </c>
      <c r="R74" s="306">
        <f>P74-Q74</f>
        <v/>
      </c>
      <c r="S74" s="306">
        <f>IF(A74=$F$6, $B$18*$B$16*$B$17/1000000, 0) + IF(A74=$F$7, $B$18*$B$16*$B$17/1000000, 0) + IF(A74=$F$8, $B$18*$B$16*$B$17/1000000, 0) + IF(A74=$F$9, $B$18*$B$16*$B$17/1000000, 0) + IF(A74=$F$10, $B$18*$B$16*$B$17/1000000, 0)</f>
        <v/>
      </c>
      <c r="T74" s="306">
        <f>R74-S74-C74</f>
        <v/>
      </c>
      <c r="U74" s="306">
        <f>IF(AND(A74&lt;=$B$24, T74&gt;0), T74*$B$23, 0)</f>
        <v/>
      </c>
      <c r="V74" s="306">
        <f>T74-U74</f>
        <v/>
      </c>
      <c r="W74" s="306">
        <f>IF(AND(A74=$B$19, $B$21=1), K74*$B$20, 0)</f>
        <v/>
      </c>
      <c r="X74" s="306">
        <f>X73+V74+W74</f>
        <v/>
      </c>
    </row>
    <row r="75">
      <c r="A75" s="306" t="n">
        <v>45</v>
      </c>
      <c r="B75" s="306">
        <f>CEILING(A75/12,1)</f>
        <v/>
      </c>
      <c r="C75" s="306">
        <f>IF(A75&lt;=12, $B$15/12, 0)</f>
        <v/>
      </c>
      <c r="D75" s="306">
        <f>INDEX('26. Team Comp'!$D$28:$R$28, B75) * 0.001 / 12</f>
        <v/>
      </c>
      <c r="E75" s="306">
        <f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) * 200 / 12 / 1000</f>
        <v/>
      </c>
      <c r="F75" s="306">
        <f>IF(A75&lt;$F$6,0,IF(AND($B$21=1,A75&gt;$B$19),0,$E$6*$G$6^MIN((A75-$F$6)/12,6)*MIN($G$6,0.85)^MAX(0,(A75-$F$6)/12-6)))</f>
        <v/>
      </c>
      <c r="G75" s="306">
        <f>IF(A75&lt;$F$7,0,IF(AND($B$21=1,A75&gt;$B$19),0,$E$7*$G$7^MIN((A75-$F$7)/12,6)*MIN($G$7,0.85)^MAX(0,(A75-$F$7)/12-6)))</f>
        <v/>
      </c>
      <c r="H75" s="306">
        <f>IF(A75&lt;$F$8,0,IF(AND($B$21=1,A75&gt;$B$19),0,$E$8*$G$8^MIN((A75-$F$8)/12,6)*MIN($G$8,0.85)^MAX(0,(A75-$F$8)/12-6)))</f>
        <v/>
      </c>
      <c r="I75" s="306">
        <f>IF(A75&lt;$F$9,0,IF(AND($B$21=1,A75&gt;$B$19),0,$E$9*$G$9^MIN((A75-$F$9)/12,6)*MIN($G$9,0.85)^MAX(0,(A75-$F$9)/12-6)))</f>
        <v/>
      </c>
      <c r="J75" s="306">
        <f>IF(A75&lt;$F$10,0,IF(AND($B$21=1,A75&gt;$B$19),0,$E$10*$G$10^MIN((A75-$F$10)/12,6)*MIN($G$10,0.85)^MAX(0,(A75-$F$10)/12-6)))</f>
        <v/>
      </c>
      <c r="K75" s="306">
        <f>SUM(F75:J75)</f>
        <v/>
      </c>
      <c r="L75" s="306">
        <f>K75/12</f>
        <v/>
      </c>
      <c r="M75" s="306">
        <f>L75*$B$8</f>
        <v/>
      </c>
      <c r="N75" s="306">
        <f>L75*$B$9</f>
        <v/>
      </c>
      <c r="O75" s="306">
        <f>L75*$B$10</f>
        <v/>
      </c>
      <c r="P75" s="306">
        <f>L75-M75-N75-O75-D75-E75</f>
        <v/>
      </c>
      <c r="Q75" s="306">
        <f>MAX(0, P75 - $B$7*L75)</f>
        <v/>
      </c>
      <c r="R75" s="306">
        <f>P75-Q75</f>
        <v/>
      </c>
      <c r="S75" s="306">
        <f>IF(A75=$F$6, $B$18*$B$16*$B$17/1000000, 0) + IF(A75=$F$7, $B$18*$B$16*$B$17/1000000, 0) + IF(A75=$F$8, $B$18*$B$16*$B$17/1000000, 0) + IF(A75=$F$9, $B$18*$B$16*$B$17/1000000, 0) + IF(A75=$F$10, $B$18*$B$16*$B$17/1000000, 0)</f>
        <v/>
      </c>
      <c r="T75" s="306">
        <f>R75-S75-C75</f>
        <v/>
      </c>
      <c r="U75" s="306">
        <f>IF(AND(A75&lt;=$B$24, T75&gt;0), T75*$B$23, 0)</f>
        <v/>
      </c>
      <c r="V75" s="306">
        <f>T75-U75</f>
        <v/>
      </c>
      <c r="W75" s="306">
        <f>IF(AND(A75=$B$19, $B$21=1), K75*$B$20, 0)</f>
        <v/>
      </c>
      <c r="X75" s="306">
        <f>X74+V75+W75</f>
        <v/>
      </c>
    </row>
    <row r="76">
      <c r="A76" s="306" t="n">
        <v>46</v>
      </c>
      <c r="B76" s="306">
        <f>CEILING(A76/12,1)</f>
        <v/>
      </c>
      <c r="C76" s="306">
        <f>IF(A76&lt;=12, $B$15/12, 0)</f>
        <v/>
      </c>
      <c r="D76" s="306">
        <f>INDEX('26. Team Comp'!$D$28:$R$28, B76) * 0.001 / 12</f>
        <v/>
      </c>
      <c r="E76" s="306">
        <f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) * 200 / 12 / 1000</f>
        <v/>
      </c>
      <c r="F76" s="306">
        <f>IF(A76&lt;$F$6,0,IF(AND($B$21=1,A76&gt;$B$19),0,$E$6*$G$6^MIN((A76-$F$6)/12,6)*MIN($G$6,0.85)^MAX(0,(A76-$F$6)/12-6)))</f>
        <v/>
      </c>
      <c r="G76" s="306">
        <f>IF(A76&lt;$F$7,0,IF(AND($B$21=1,A76&gt;$B$19),0,$E$7*$G$7^MIN((A76-$F$7)/12,6)*MIN($G$7,0.85)^MAX(0,(A76-$F$7)/12-6)))</f>
        <v/>
      </c>
      <c r="H76" s="306">
        <f>IF(A76&lt;$F$8,0,IF(AND($B$21=1,A76&gt;$B$19),0,$E$8*$G$8^MIN((A76-$F$8)/12,6)*MIN($G$8,0.85)^MAX(0,(A76-$F$8)/12-6)))</f>
        <v/>
      </c>
      <c r="I76" s="306">
        <f>IF(A76&lt;$F$9,0,IF(AND($B$21=1,A76&gt;$B$19),0,$E$9*$G$9^MIN((A76-$F$9)/12,6)*MIN($G$9,0.85)^MAX(0,(A76-$F$9)/12-6)))</f>
        <v/>
      </c>
      <c r="J76" s="306">
        <f>IF(A76&lt;$F$10,0,IF(AND($B$21=1,A76&gt;$B$19),0,$E$10*$G$10^MIN((A76-$F$10)/12,6)*MIN($G$10,0.85)^MAX(0,(A76-$F$10)/12-6)))</f>
        <v/>
      </c>
      <c r="K76" s="306">
        <f>SUM(F76:J76)</f>
        <v/>
      </c>
      <c r="L76" s="306">
        <f>K76/12</f>
        <v/>
      </c>
      <c r="M76" s="306">
        <f>L76*$B$8</f>
        <v/>
      </c>
      <c r="N76" s="306">
        <f>L76*$B$9</f>
        <v/>
      </c>
      <c r="O76" s="306">
        <f>L76*$B$10</f>
        <v/>
      </c>
      <c r="P76" s="306">
        <f>L76-M76-N76-O76-D76-E76</f>
        <v/>
      </c>
      <c r="Q76" s="306">
        <f>MAX(0, P76 - $B$7*L76)</f>
        <v/>
      </c>
      <c r="R76" s="306">
        <f>P76-Q76</f>
        <v/>
      </c>
      <c r="S76" s="306">
        <f>IF(A76=$F$6, $B$18*$B$16*$B$17/1000000, 0) + IF(A76=$F$7, $B$18*$B$16*$B$17/1000000, 0) + IF(A76=$F$8, $B$18*$B$16*$B$17/1000000, 0) + IF(A76=$F$9, $B$18*$B$16*$B$17/1000000, 0) + IF(A76=$F$10, $B$18*$B$16*$B$17/1000000, 0)</f>
        <v/>
      </c>
      <c r="T76" s="306">
        <f>R76-S76-C76</f>
        <v/>
      </c>
      <c r="U76" s="306">
        <f>IF(AND(A76&lt;=$B$24, T76&gt;0), T76*$B$23, 0)</f>
        <v/>
      </c>
      <c r="V76" s="306">
        <f>T76-U76</f>
        <v/>
      </c>
      <c r="W76" s="306">
        <f>IF(AND(A76=$B$19, $B$21=1), K76*$B$20, 0)</f>
        <v/>
      </c>
      <c r="X76" s="306">
        <f>X75+V76+W76</f>
        <v/>
      </c>
    </row>
    <row r="77">
      <c r="A77" s="306" t="n">
        <v>47</v>
      </c>
      <c r="B77" s="306">
        <f>CEILING(A77/12,1)</f>
        <v/>
      </c>
      <c r="C77" s="306">
        <f>IF(A77&lt;=12, $B$15/12, 0)</f>
        <v/>
      </c>
      <c r="D77" s="306">
        <f>INDEX('26. Team Comp'!$D$28:$R$28, B77) * 0.001 / 12</f>
        <v/>
      </c>
      <c r="E77" s="306">
        <f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) * 200 / 12 / 1000</f>
        <v/>
      </c>
      <c r="F77" s="306">
        <f>IF(A77&lt;$F$6,0,IF(AND($B$21=1,A77&gt;$B$19),0,$E$6*$G$6^MIN((A77-$F$6)/12,6)*MIN($G$6,0.85)^MAX(0,(A77-$F$6)/12-6)))</f>
        <v/>
      </c>
      <c r="G77" s="306">
        <f>IF(A77&lt;$F$7,0,IF(AND($B$21=1,A77&gt;$B$19),0,$E$7*$G$7^MIN((A77-$F$7)/12,6)*MIN($G$7,0.85)^MAX(0,(A77-$F$7)/12-6)))</f>
        <v/>
      </c>
      <c r="H77" s="306">
        <f>IF(A77&lt;$F$8,0,IF(AND($B$21=1,A77&gt;$B$19),0,$E$8*$G$8^MIN((A77-$F$8)/12,6)*MIN($G$8,0.85)^MAX(0,(A77-$F$8)/12-6)))</f>
        <v/>
      </c>
      <c r="I77" s="306">
        <f>IF(A77&lt;$F$9,0,IF(AND($B$21=1,A77&gt;$B$19),0,$E$9*$G$9^MIN((A77-$F$9)/12,6)*MIN($G$9,0.85)^MAX(0,(A77-$F$9)/12-6)))</f>
        <v/>
      </c>
      <c r="J77" s="306">
        <f>IF(A77&lt;$F$10,0,IF(AND($B$21=1,A77&gt;$B$19),0,$E$10*$G$10^MIN((A77-$F$10)/12,6)*MIN($G$10,0.85)^MAX(0,(A77-$F$10)/12-6)))</f>
        <v/>
      </c>
      <c r="K77" s="306">
        <f>SUM(F77:J77)</f>
        <v/>
      </c>
      <c r="L77" s="306">
        <f>K77/12</f>
        <v/>
      </c>
      <c r="M77" s="306">
        <f>L77*$B$8</f>
        <v/>
      </c>
      <c r="N77" s="306">
        <f>L77*$B$9</f>
        <v/>
      </c>
      <c r="O77" s="306">
        <f>L77*$B$10</f>
        <v/>
      </c>
      <c r="P77" s="306">
        <f>L77-M77-N77-O77-D77-E77</f>
        <v/>
      </c>
      <c r="Q77" s="306">
        <f>MAX(0, P77 - $B$7*L77)</f>
        <v/>
      </c>
      <c r="R77" s="306">
        <f>P77-Q77</f>
        <v/>
      </c>
      <c r="S77" s="306">
        <f>IF(A77=$F$6, $B$18*$B$16*$B$17/1000000, 0) + IF(A77=$F$7, $B$18*$B$16*$B$17/1000000, 0) + IF(A77=$F$8, $B$18*$B$16*$B$17/1000000, 0) + IF(A77=$F$9, $B$18*$B$16*$B$17/1000000, 0) + IF(A77=$F$10, $B$18*$B$16*$B$17/1000000, 0)</f>
        <v/>
      </c>
      <c r="T77" s="306">
        <f>R77-S77-C77</f>
        <v/>
      </c>
      <c r="U77" s="306">
        <f>IF(AND(A77&lt;=$B$24, T77&gt;0), T77*$B$23, 0)</f>
        <v/>
      </c>
      <c r="V77" s="306">
        <f>T77-U77</f>
        <v/>
      </c>
      <c r="W77" s="306">
        <f>IF(AND(A77=$B$19, $B$21=1), K77*$B$20, 0)</f>
        <v/>
      </c>
      <c r="X77" s="306">
        <f>X76+V77+W77</f>
        <v/>
      </c>
    </row>
    <row r="78">
      <c r="A78" s="306" t="n">
        <v>48</v>
      </c>
      <c r="B78" s="306">
        <f>CEILING(A78/12,1)</f>
        <v/>
      </c>
      <c r="C78" s="306">
        <f>IF(A78&lt;=12, $B$15/12, 0)</f>
        <v/>
      </c>
      <c r="D78" s="306">
        <f>INDEX('26. Team Comp'!$D$28:$R$28, B78) * 0.001 / 12</f>
        <v/>
      </c>
      <c r="E78" s="306">
        <f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) * 200 / 12 / 1000</f>
        <v/>
      </c>
      <c r="F78" s="306">
        <f>IF(A78&lt;$F$6,0,IF(AND($B$21=1,A78&gt;$B$19),0,$E$6*$G$6^MIN((A78-$F$6)/12,6)*MIN($G$6,0.85)^MAX(0,(A78-$F$6)/12-6)))</f>
        <v/>
      </c>
      <c r="G78" s="306">
        <f>IF(A78&lt;$F$7,0,IF(AND($B$21=1,A78&gt;$B$19),0,$E$7*$G$7^MIN((A78-$F$7)/12,6)*MIN($G$7,0.85)^MAX(0,(A78-$F$7)/12-6)))</f>
        <v/>
      </c>
      <c r="H78" s="306">
        <f>IF(A78&lt;$F$8,0,IF(AND($B$21=1,A78&gt;$B$19),0,$E$8*$G$8^MIN((A78-$F$8)/12,6)*MIN($G$8,0.85)^MAX(0,(A78-$F$8)/12-6)))</f>
        <v/>
      </c>
      <c r="I78" s="306">
        <f>IF(A78&lt;$F$9,0,IF(AND($B$21=1,A78&gt;$B$19),0,$E$9*$G$9^MIN((A78-$F$9)/12,6)*MIN($G$9,0.85)^MAX(0,(A78-$F$9)/12-6)))</f>
        <v/>
      </c>
      <c r="J78" s="306">
        <f>IF(A78&lt;$F$10,0,IF(AND($B$21=1,A78&gt;$B$19),0,$E$10*$G$10^MIN((A78-$F$10)/12,6)*MIN($G$10,0.85)^MAX(0,(A78-$F$10)/12-6)))</f>
        <v/>
      </c>
      <c r="K78" s="306">
        <f>SUM(F78:J78)</f>
        <v/>
      </c>
      <c r="L78" s="306">
        <f>K78/12</f>
        <v/>
      </c>
      <c r="M78" s="306">
        <f>L78*$B$8</f>
        <v/>
      </c>
      <c r="N78" s="306">
        <f>L78*$B$9</f>
        <v/>
      </c>
      <c r="O78" s="306">
        <f>L78*$B$10</f>
        <v/>
      </c>
      <c r="P78" s="306">
        <f>L78-M78-N78-O78-D78-E78</f>
        <v/>
      </c>
      <c r="Q78" s="306">
        <f>MAX(0, P78 - $B$7*L78)</f>
        <v/>
      </c>
      <c r="R78" s="306">
        <f>P78-Q78</f>
        <v/>
      </c>
      <c r="S78" s="306">
        <f>IF(A78=$F$6, $B$18*$B$16*$B$17/1000000, 0) + IF(A78=$F$7, $B$18*$B$16*$B$17/1000000, 0) + IF(A78=$F$8, $B$18*$B$16*$B$17/1000000, 0) + IF(A78=$F$9, $B$18*$B$16*$B$17/1000000, 0) + IF(A78=$F$10, $B$18*$B$16*$B$17/1000000, 0)</f>
        <v/>
      </c>
      <c r="T78" s="306">
        <f>R78-S78-C78</f>
        <v/>
      </c>
      <c r="U78" s="306">
        <f>IF(AND(A78&lt;=$B$24, T78&gt;0), T78*$B$23, 0)</f>
        <v/>
      </c>
      <c r="V78" s="306">
        <f>T78-U78</f>
        <v/>
      </c>
      <c r="W78" s="306">
        <f>IF(AND(A78=$B$19, $B$21=1), K78*$B$20, 0)</f>
        <v/>
      </c>
      <c r="X78" s="306">
        <f>X77+V78+W78</f>
        <v/>
      </c>
    </row>
    <row r="79">
      <c r="A79" s="306" t="n">
        <v>49</v>
      </c>
      <c r="B79" s="306">
        <f>CEILING(A79/12,1)</f>
        <v/>
      </c>
      <c r="C79" s="306">
        <f>IF(A79&lt;=12, $B$15/12, 0)</f>
        <v/>
      </c>
      <c r="D79" s="306">
        <f>INDEX('26. Team Comp'!$D$28:$R$28, B79) * 0.001 / 12</f>
        <v/>
      </c>
      <c r="E79" s="306">
        <f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) * 200 / 12 / 1000</f>
        <v/>
      </c>
      <c r="F79" s="306">
        <f>IF(A79&lt;$F$6,0,IF(AND($B$21=1,A79&gt;$B$19),0,$E$6*$G$6^MIN((A79-$F$6)/12,6)*MIN($G$6,0.85)^MAX(0,(A79-$F$6)/12-6)))</f>
        <v/>
      </c>
      <c r="G79" s="306">
        <f>IF(A79&lt;$F$7,0,IF(AND($B$21=1,A79&gt;$B$19),0,$E$7*$G$7^MIN((A79-$F$7)/12,6)*MIN($G$7,0.85)^MAX(0,(A79-$F$7)/12-6)))</f>
        <v/>
      </c>
      <c r="H79" s="306">
        <f>IF(A79&lt;$F$8,0,IF(AND($B$21=1,A79&gt;$B$19),0,$E$8*$G$8^MIN((A79-$F$8)/12,6)*MIN($G$8,0.85)^MAX(0,(A79-$F$8)/12-6)))</f>
        <v/>
      </c>
      <c r="I79" s="306">
        <f>IF(A79&lt;$F$9,0,IF(AND($B$21=1,A79&gt;$B$19),0,$E$9*$G$9^MIN((A79-$F$9)/12,6)*MIN($G$9,0.85)^MAX(0,(A79-$F$9)/12-6)))</f>
        <v/>
      </c>
      <c r="J79" s="306">
        <f>IF(A79&lt;$F$10,0,IF(AND($B$21=1,A79&gt;$B$19),0,$E$10*$G$10^MIN((A79-$F$10)/12,6)*MIN($G$10,0.85)^MAX(0,(A79-$F$10)/12-6)))</f>
        <v/>
      </c>
      <c r="K79" s="306">
        <f>SUM(F79:J79)</f>
        <v/>
      </c>
      <c r="L79" s="306">
        <f>K79/12</f>
        <v/>
      </c>
      <c r="M79" s="306">
        <f>L79*$B$8</f>
        <v/>
      </c>
      <c r="N79" s="306">
        <f>L79*$B$9</f>
        <v/>
      </c>
      <c r="O79" s="306">
        <f>L79*$B$10</f>
        <v/>
      </c>
      <c r="P79" s="306">
        <f>L79-M79-N79-O79-D79-E79</f>
        <v/>
      </c>
      <c r="Q79" s="306">
        <f>MAX(0, P79 - $B$7*L79)</f>
        <v/>
      </c>
      <c r="R79" s="306">
        <f>P79-Q79</f>
        <v/>
      </c>
      <c r="S79" s="306">
        <f>IF(A79=$F$6, $B$18*$B$16*$B$17/1000000, 0) + IF(A79=$F$7, $B$18*$B$16*$B$17/1000000, 0) + IF(A79=$F$8, $B$18*$B$16*$B$17/1000000, 0) + IF(A79=$F$9, $B$18*$B$16*$B$17/1000000, 0) + IF(A79=$F$10, $B$18*$B$16*$B$17/1000000, 0)</f>
        <v/>
      </c>
      <c r="T79" s="306">
        <f>R79-S79-C79</f>
        <v/>
      </c>
      <c r="U79" s="306">
        <f>IF(AND(A79&lt;=$B$24, T79&gt;0), T79*$B$23, 0)</f>
        <v/>
      </c>
      <c r="V79" s="306">
        <f>T79-U79</f>
        <v/>
      </c>
      <c r="W79" s="306">
        <f>IF(AND(A79=$B$19, $B$21=1), K79*$B$20, 0)</f>
        <v/>
      </c>
      <c r="X79" s="306">
        <f>X78+V79+W79</f>
        <v/>
      </c>
    </row>
    <row r="80">
      <c r="A80" s="306" t="n">
        <v>50</v>
      </c>
      <c r="B80" s="306">
        <f>CEILING(A80/12,1)</f>
        <v/>
      </c>
      <c r="C80" s="306">
        <f>IF(A80&lt;=12, $B$15/12, 0)</f>
        <v/>
      </c>
      <c r="D80" s="306">
        <f>INDEX('26. Team Comp'!$D$28:$R$28, B80) * 0.001 / 12</f>
        <v/>
      </c>
      <c r="E80" s="306">
        <f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) * 200 / 12 / 1000</f>
        <v/>
      </c>
      <c r="F80" s="306">
        <f>IF(A80&lt;$F$6,0,IF(AND($B$21=1,A80&gt;$B$19),0,$E$6*$G$6^MIN((A80-$F$6)/12,6)*MIN($G$6,0.85)^MAX(0,(A80-$F$6)/12-6)))</f>
        <v/>
      </c>
      <c r="G80" s="306">
        <f>IF(A80&lt;$F$7,0,IF(AND($B$21=1,A80&gt;$B$19),0,$E$7*$G$7^MIN((A80-$F$7)/12,6)*MIN($G$7,0.85)^MAX(0,(A80-$F$7)/12-6)))</f>
        <v/>
      </c>
      <c r="H80" s="306">
        <f>IF(A80&lt;$F$8,0,IF(AND($B$21=1,A80&gt;$B$19),0,$E$8*$G$8^MIN((A80-$F$8)/12,6)*MIN($G$8,0.85)^MAX(0,(A80-$F$8)/12-6)))</f>
        <v/>
      </c>
      <c r="I80" s="306">
        <f>IF(A80&lt;$F$9,0,IF(AND($B$21=1,A80&gt;$B$19),0,$E$9*$G$9^MIN((A80-$F$9)/12,6)*MIN($G$9,0.85)^MAX(0,(A80-$F$9)/12-6)))</f>
        <v/>
      </c>
      <c r="J80" s="306">
        <f>IF(A80&lt;$F$10,0,IF(AND($B$21=1,A80&gt;$B$19),0,$E$10*$G$10^MIN((A80-$F$10)/12,6)*MIN($G$10,0.85)^MAX(0,(A80-$F$10)/12-6)))</f>
        <v/>
      </c>
      <c r="K80" s="306">
        <f>SUM(F80:J80)</f>
        <v/>
      </c>
      <c r="L80" s="306">
        <f>K80/12</f>
        <v/>
      </c>
      <c r="M80" s="306">
        <f>L80*$B$8</f>
        <v/>
      </c>
      <c r="N80" s="306">
        <f>L80*$B$9</f>
        <v/>
      </c>
      <c r="O80" s="306">
        <f>L80*$B$10</f>
        <v/>
      </c>
      <c r="P80" s="306">
        <f>L80-M80-N80-O80-D80-E80</f>
        <v/>
      </c>
      <c r="Q80" s="306">
        <f>MAX(0, P80 - $B$7*L80)</f>
        <v/>
      </c>
      <c r="R80" s="306">
        <f>P80-Q80</f>
        <v/>
      </c>
      <c r="S80" s="306">
        <f>IF(A80=$F$6, $B$18*$B$16*$B$17/1000000, 0) + IF(A80=$F$7, $B$18*$B$16*$B$17/1000000, 0) + IF(A80=$F$8, $B$18*$B$16*$B$17/1000000, 0) + IF(A80=$F$9, $B$18*$B$16*$B$17/1000000, 0) + IF(A80=$F$10, $B$18*$B$16*$B$17/1000000, 0)</f>
        <v/>
      </c>
      <c r="T80" s="306">
        <f>R80-S80-C80</f>
        <v/>
      </c>
      <c r="U80" s="306">
        <f>IF(AND(A80&lt;=$B$24, T80&gt;0), T80*$B$23, 0)</f>
        <v/>
      </c>
      <c r="V80" s="306">
        <f>T80-U80</f>
        <v/>
      </c>
      <c r="W80" s="306">
        <f>IF(AND(A80=$B$19, $B$21=1), K80*$B$20, 0)</f>
        <v/>
      </c>
      <c r="X80" s="306">
        <f>X79+V80+W80</f>
        <v/>
      </c>
    </row>
    <row r="81">
      <c r="A81" s="306" t="n">
        <v>51</v>
      </c>
      <c r="B81" s="306">
        <f>CEILING(A81/12,1)</f>
        <v/>
      </c>
      <c r="C81" s="306">
        <f>IF(A81&lt;=12, $B$15/12, 0)</f>
        <v/>
      </c>
      <c r="D81" s="306">
        <f>INDEX('26. Team Comp'!$D$28:$R$28, B81) * 0.001 / 12</f>
        <v/>
      </c>
      <c r="E81" s="306">
        <f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) * 200 / 12 / 1000</f>
        <v/>
      </c>
      <c r="F81" s="306">
        <f>IF(A81&lt;$F$6,0,IF(AND($B$21=1,A81&gt;$B$19),0,$E$6*$G$6^MIN((A81-$F$6)/12,6)*MIN($G$6,0.85)^MAX(0,(A81-$F$6)/12-6)))</f>
        <v/>
      </c>
      <c r="G81" s="306">
        <f>IF(A81&lt;$F$7,0,IF(AND($B$21=1,A81&gt;$B$19),0,$E$7*$G$7^MIN((A81-$F$7)/12,6)*MIN($G$7,0.85)^MAX(0,(A81-$F$7)/12-6)))</f>
        <v/>
      </c>
      <c r="H81" s="306">
        <f>IF(A81&lt;$F$8,0,IF(AND($B$21=1,A81&gt;$B$19),0,$E$8*$G$8^MIN((A81-$F$8)/12,6)*MIN($G$8,0.85)^MAX(0,(A81-$F$8)/12-6)))</f>
        <v/>
      </c>
      <c r="I81" s="306">
        <f>IF(A81&lt;$F$9,0,IF(AND($B$21=1,A81&gt;$B$19),0,$E$9*$G$9^MIN((A81-$F$9)/12,6)*MIN($G$9,0.85)^MAX(0,(A81-$F$9)/12-6)))</f>
        <v/>
      </c>
      <c r="J81" s="306">
        <f>IF(A81&lt;$F$10,0,IF(AND($B$21=1,A81&gt;$B$19),0,$E$10*$G$10^MIN((A81-$F$10)/12,6)*MIN($G$10,0.85)^MAX(0,(A81-$F$10)/12-6)))</f>
        <v/>
      </c>
      <c r="K81" s="306">
        <f>SUM(F81:J81)</f>
        <v/>
      </c>
      <c r="L81" s="306">
        <f>K81/12</f>
        <v/>
      </c>
      <c r="M81" s="306">
        <f>L81*$B$8</f>
        <v/>
      </c>
      <c r="N81" s="306">
        <f>L81*$B$9</f>
        <v/>
      </c>
      <c r="O81" s="306">
        <f>L81*$B$10</f>
        <v/>
      </c>
      <c r="P81" s="306">
        <f>L81-M81-N81-O81-D81-E81</f>
        <v/>
      </c>
      <c r="Q81" s="306">
        <f>MAX(0, P81 - $B$7*L81)</f>
        <v/>
      </c>
      <c r="R81" s="306">
        <f>P81-Q81</f>
        <v/>
      </c>
      <c r="S81" s="306">
        <f>IF(A81=$F$6, $B$18*$B$16*$B$17/1000000, 0) + IF(A81=$F$7, $B$18*$B$16*$B$17/1000000, 0) + IF(A81=$F$8, $B$18*$B$16*$B$17/1000000, 0) + IF(A81=$F$9, $B$18*$B$16*$B$17/1000000, 0) + IF(A81=$F$10, $B$18*$B$16*$B$17/1000000, 0)</f>
        <v/>
      </c>
      <c r="T81" s="306">
        <f>R81-S81-C81</f>
        <v/>
      </c>
      <c r="U81" s="306">
        <f>IF(AND(A81&lt;=$B$24, T81&gt;0), T81*$B$23, 0)</f>
        <v/>
      </c>
      <c r="V81" s="306">
        <f>T81-U81</f>
        <v/>
      </c>
      <c r="W81" s="306">
        <f>IF(AND(A81=$B$19, $B$21=1), K81*$B$20, 0)</f>
        <v/>
      </c>
      <c r="X81" s="306">
        <f>X80+V81+W81</f>
        <v/>
      </c>
    </row>
    <row r="82">
      <c r="A82" s="306" t="n">
        <v>52</v>
      </c>
      <c r="B82" s="306">
        <f>CEILING(A82/12,1)</f>
        <v/>
      </c>
      <c r="C82" s="306">
        <f>IF(A82&lt;=12, $B$15/12, 0)</f>
        <v/>
      </c>
      <c r="D82" s="306">
        <f>INDEX('26. Team Comp'!$D$28:$R$28, B82) * 0.001 / 12</f>
        <v/>
      </c>
      <c r="E82" s="306">
        <f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) * 200 / 12 / 1000</f>
        <v/>
      </c>
      <c r="F82" s="306">
        <f>IF(A82&lt;$F$6,0,IF(AND($B$21=1,A82&gt;$B$19),0,$E$6*$G$6^MIN((A82-$F$6)/12,6)*MIN($G$6,0.85)^MAX(0,(A82-$F$6)/12-6)))</f>
        <v/>
      </c>
      <c r="G82" s="306">
        <f>IF(A82&lt;$F$7,0,IF(AND($B$21=1,A82&gt;$B$19),0,$E$7*$G$7^MIN((A82-$F$7)/12,6)*MIN($G$7,0.85)^MAX(0,(A82-$F$7)/12-6)))</f>
        <v/>
      </c>
      <c r="H82" s="306">
        <f>IF(A82&lt;$F$8,0,IF(AND($B$21=1,A82&gt;$B$19),0,$E$8*$G$8^MIN((A82-$F$8)/12,6)*MIN($G$8,0.85)^MAX(0,(A82-$F$8)/12-6)))</f>
        <v/>
      </c>
      <c r="I82" s="306">
        <f>IF(A82&lt;$F$9,0,IF(AND($B$21=1,A82&gt;$B$19),0,$E$9*$G$9^MIN((A82-$F$9)/12,6)*MIN($G$9,0.85)^MAX(0,(A82-$F$9)/12-6)))</f>
        <v/>
      </c>
      <c r="J82" s="306">
        <f>IF(A82&lt;$F$10,0,IF(AND($B$21=1,A82&gt;$B$19),0,$E$10*$G$10^MIN((A82-$F$10)/12,6)*MIN($G$10,0.85)^MAX(0,(A82-$F$10)/12-6)))</f>
        <v/>
      </c>
      <c r="K82" s="306">
        <f>SUM(F82:J82)</f>
        <v/>
      </c>
      <c r="L82" s="306">
        <f>K82/12</f>
        <v/>
      </c>
      <c r="M82" s="306">
        <f>L82*$B$8</f>
        <v/>
      </c>
      <c r="N82" s="306">
        <f>L82*$B$9</f>
        <v/>
      </c>
      <c r="O82" s="306">
        <f>L82*$B$10</f>
        <v/>
      </c>
      <c r="P82" s="306">
        <f>L82-M82-N82-O82-D82-E82</f>
        <v/>
      </c>
      <c r="Q82" s="306">
        <f>MAX(0, P82 - $B$7*L82)</f>
        <v/>
      </c>
      <c r="R82" s="306">
        <f>P82-Q82</f>
        <v/>
      </c>
      <c r="S82" s="306">
        <f>IF(A82=$F$6, $B$18*$B$16*$B$17/1000000, 0) + IF(A82=$F$7, $B$18*$B$16*$B$17/1000000, 0) + IF(A82=$F$8, $B$18*$B$16*$B$17/1000000, 0) + IF(A82=$F$9, $B$18*$B$16*$B$17/1000000, 0) + IF(A82=$F$10, $B$18*$B$16*$B$17/1000000, 0)</f>
        <v/>
      </c>
      <c r="T82" s="306">
        <f>R82-S82-C82</f>
        <v/>
      </c>
      <c r="U82" s="306">
        <f>IF(AND(A82&lt;=$B$24, T82&gt;0), T82*$B$23, 0)</f>
        <v/>
      </c>
      <c r="V82" s="306">
        <f>T82-U82</f>
        <v/>
      </c>
      <c r="W82" s="306">
        <f>IF(AND(A82=$B$19, $B$21=1), K82*$B$20, 0)</f>
        <v/>
      </c>
      <c r="X82" s="306">
        <f>X81+V82+W82</f>
        <v/>
      </c>
    </row>
    <row r="83">
      <c r="A83" s="306" t="n">
        <v>53</v>
      </c>
      <c r="B83" s="306">
        <f>CEILING(A83/12,1)</f>
        <v/>
      </c>
      <c r="C83" s="306">
        <f>IF(A83&lt;=12, $B$15/12, 0)</f>
        <v/>
      </c>
      <c r="D83" s="306">
        <f>INDEX('26. Team Comp'!$D$28:$R$28, B83) * 0.001 / 12</f>
        <v/>
      </c>
      <c r="E83" s="306">
        <f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) * 200 / 12 / 1000</f>
        <v/>
      </c>
      <c r="F83" s="306">
        <f>IF(A83&lt;$F$6,0,IF(AND($B$21=1,A83&gt;$B$19),0,$E$6*$G$6^MIN((A83-$F$6)/12,6)*MIN($G$6,0.85)^MAX(0,(A83-$F$6)/12-6)))</f>
        <v/>
      </c>
      <c r="G83" s="306">
        <f>IF(A83&lt;$F$7,0,IF(AND($B$21=1,A83&gt;$B$19),0,$E$7*$G$7^MIN((A83-$F$7)/12,6)*MIN($G$7,0.85)^MAX(0,(A83-$F$7)/12-6)))</f>
        <v/>
      </c>
      <c r="H83" s="306">
        <f>IF(A83&lt;$F$8,0,IF(AND($B$21=1,A83&gt;$B$19),0,$E$8*$G$8^MIN((A83-$F$8)/12,6)*MIN($G$8,0.85)^MAX(0,(A83-$F$8)/12-6)))</f>
        <v/>
      </c>
      <c r="I83" s="306">
        <f>IF(A83&lt;$F$9,0,IF(AND($B$21=1,A83&gt;$B$19),0,$E$9*$G$9^MIN((A83-$F$9)/12,6)*MIN($G$9,0.85)^MAX(0,(A83-$F$9)/12-6)))</f>
        <v/>
      </c>
      <c r="J83" s="306">
        <f>IF(A83&lt;$F$10,0,IF(AND($B$21=1,A83&gt;$B$19),0,$E$10*$G$10^MIN((A83-$F$10)/12,6)*MIN($G$10,0.85)^MAX(0,(A83-$F$10)/12-6)))</f>
        <v/>
      </c>
      <c r="K83" s="306">
        <f>SUM(F83:J83)</f>
        <v/>
      </c>
      <c r="L83" s="306">
        <f>K83/12</f>
        <v/>
      </c>
      <c r="M83" s="306">
        <f>L83*$B$8</f>
        <v/>
      </c>
      <c r="N83" s="306">
        <f>L83*$B$9</f>
        <v/>
      </c>
      <c r="O83" s="306">
        <f>L83*$B$10</f>
        <v/>
      </c>
      <c r="P83" s="306">
        <f>L83-M83-N83-O83-D83-E83</f>
        <v/>
      </c>
      <c r="Q83" s="306">
        <f>MAX(0, P83 - $B$7*L83)</f>
        <v/>
      </c>
      <c r="R83" s="306">
        <f>P83-Q83</f>
        <v/>
      </c>
      <c r="S83" s="306">
        <f>IF(A83=$F$6, $B$18*$B$16*$B$17/1000000, 0) + IF(A83=$F$7, $B$18*$B$16*$B$17/1000000, 0) + IF(A83=$F$8, $B$18*$B$16*$B$17/1000000, 0) + IF(A83=$F$9, $B$18*$B$16*$B$17/1000000, 0) + IF(A83=$F$10, $B$18*$B$16*$B$17/1000000, 0)</f>
        <v/>
      </c>
      <c r="T83" s="306">
        <f>R83-S83-C83</f>
        <v/>
      </c>
      <c r="U83" s="306">
        <f>IF(AND(A83&lt;=$B$24, T83&gt;0), T83*$B$23, 0)</f>
        <v/>
      </c>
      <c r="V83" s="306">
        <f>T83-U83</f>
        <v/>
      </c>
      <c r="W83" s="306">
        <f>IF(AND(A83=$B$19, $B$21=1), K83*$B$20, 0)</f>
        <v/>
      </c>
      <c r="X83" s="306">
        <f>X82+V83+W83</f>
        <v/>
      </c>
    </row>
    <row r="84">
      <c r="A84" s="306" t="n">
        <v>54</v>
      </c>
      <c r="B84" s="306">
        <f>CEILING(A84/12,1)</f>
        <v/>
      </c>
      <c r="C84" s="306">
        <f>IF(A84&lt;=12, $B$15/12, 0)</f>
        <v/>
      </c>
      <c r="D84" s="306">
        <f>INDEX('26. Team Comp'!$D$28:$R$28, B84) * 0.001 / 12</f>
        <v/>
      </c>
      <c r="E84" s="306">
        <f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) * 200 / 12 / 1000</f>
        <v/>
      </c>
      <c r="F84" s="306">
        <f>IF(A84&lt;$F$6,0,IF(AND($B$21=1,A84&gt;$B$19),0,$E$6*$G$6^MIN((A84-$F$6)/12,6)*MIN($G$6,0.85)^MAX(0,(A84-$F$6)/12-6)))</f>
        <v/>
      </c>
      <c r="G84" s="306">
        <f>IF(A84&lt;$F$7,0,IF(AND($B$21=1,A84&gt;$B$19),0,$E$7*$G$7^MIN((A84-$F$7)/12,6)*MIN($G$7,0.85)^MAX(0,(A84-$F$7)/12-6)))</f>
        <v/>
      </c>
      <c r="H84" s="306">
        <f>IF(A84&lt;$F$8,0,IF(AND($B$21=1,A84&gt;$B$19),0,$E$8*$G$8^MIN((A84-$F$8)/12,6)*MIN($G$8,0.85)^MAX(0,(A84-$F$8)/12-6)))</f>
        <v/>
      </c>
      <c r="I84" s="306">
        <f>IF(A84&lt;$F$9,0,IF(AND($B$21=1,A84&gt;$B$19),0,$E$9*$G$9^MIN((A84-$F$9)/12,6)*MIN($G$9,0.85)^MAX(0,(A84-$F$9)/12-6)))</f>
        <v/>
      </c>
      <c r="J84" s="306">
        <f>IF(A84&lt;$F$10,0,IF(AND($B$21=1,A84&gt;$B$19),0,$E$10*$G$10^MIN((A84-$F$10)/12,6)*MIN($G$10,0.85)^MAX(0,(A84-$F$10)/12-6)))</f>
        <v/>
      </c>
      <c r="K84" s="306">
        <f>SUM(F84:J84)</f>
        <v/>
      </c>
      <c r="L84" s="306">
        <f>K84/12</f>
        <v/>
      </c>
      <c r="M84" s="306">
        <f>L84*$B$8</f>
        <v/>
      </c>
      <c r="N84" s="306">
        <f>L84*$B$9</f>
        <v/>
      </c>
      <c r="O84" s="306">
        <f>L84*$B$10</f>
        <v/>
      </c>
      <c r="P84" s="306">
        <f>L84-M84-N84-O84-D84-E84</f>
        <v/>
      </c>
      <c r="Q84" s="306">
        <f>MAX(0, P84 - $B$7*L84)</f>
        <v/>
      </c>
      <c r="R84" s="306">
        <f>P84-Q84</f>
        <v/>
      </c>
      <c r="S84" s="306">
        <f>IF(A84=$F$6, $B$18*$B$16*$B$17/1000000, 0) + IF(A84=$F$7, $B$18*$B$16*$B$17/1000000, 0) + IF(A84=$F$8, $B$18*$B$16*$B$17/1000000, 0) + IF(A84=$F$9, $B$18*$B$16*$B$17/1000000, 0) + IF(A84=$F$10, $B$18*$B$16*$B$17/1000000, 0)</f>
        <v/>
      </c>
      <c r="T84" s="306">
        <f>R84-S84-C84</f>
        <v/>
      </c>
      <c r="U84" s="306">
        <f>IF(AND(A84&lt;=$B$24, T84&gt;0), T84*$B$23, 0)</f>
        <v/>
      </c>
      <c r="V84" s="306">
        <f>T84-U84</f>
        <v/>
      </c>
      <c r="W84" s="306">
        <f>IF(AND(A84=$B$19, $B$21=1), K84*$B$20, 0)</f>
        <v/>
      </c>
      <c r="X84" s="306">
        <f>X83+V84+W84</f>
        <v/>
      </c>
    </row>
    <row r="85">
      <c r="A85" s="306" t="n">
        <v>55</v>
      </c>
      <c r="B85" s="306">
        <f>CEILING(A85/12,1)</f>
        <v/>
      </c>
      <c r="C85" s="306">
        <f>IF(A85&lt;=12, $B$15/12, 0)</f>
        <v/>
      </c>
      <c r="D85" s="306">
        <f>INDEX('26. Team Comp'!$D$28:$R$28, B85) * 0.001 / 12</f>
        <v/>
      </c>
      <c r="E85" s="306">
        <f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) * 200 / 12 / 1000</f>
        <v/>
      </c>
      <c r="F85" s="306">
        <f>IF(A85&lt;$F$6,0,IF(AND($B$21=1,A85&gt;$B$19),0,$E$6*$G$6^MIN((A85-$F$6)/12,6)*MIN($G$6,0.85)^MAX(0,(A85-$F$6)/12-6)))</f>
        <v/>
      </c>
      <c r="G85" s="306">
        <f>IF(A85&lt;$F$7,0,IF(AND($B$21=1,A85&gt;$B$19),0,$E$7*$G$7^MIN((A85-$F$7)/12,6)*MIN($G$7,0.85)^MAX(0,(A85-$F$7)/12-6)))</f>
        <v/>
      </c>
      <c r="H85" s="306">
        <f>IF(A85&lt;$F$8,0,IF(AND($B$21=1,A85&gt;$B$19),0,$E$8*$G$8^MIN((A85-$F$8)/12,6)*MIN($G$8,0.85)^MAX(0,(A85-$F$8)/12-6)))</f>
        <v/>
      </c>
      <c r="I85" s="306">
        <f>IF(A85&lt;$F$9,0,IF(AND($B$21=1,A85&gt;$B$19),0,$E$9*$G$9^MIN((A85-$F$9)/12,6)*MIN($G$9,0.85)^MAX(0,(A85-$F$9)/12-6)))</f>
        <v/>
      </c>
      <c r="J85" s="306">
        <f>IF(A85&lt;$F$10,0,IF(AND($B$21=1,A85&gt;$B$19),0,$E$10*$G$10^MIN((A85-$F$10)/12,6)*MIN($G$10,0.85)^MAX(0,(A85-$F$10)/12-6)))</f>
        <v/>
      </c>
      <c r="K85" s="306">
        <f>SUM(F85:J85)</f>
        <v/>
      </c>
      <c r="L85" s="306">
        <f>K85/12</f>
        <v/>
      </c>
      <c r="M85" s="306">
        <f>L85*$B$8</f>
        <v/>
      </c>
      <c r="N85" s="306">
        <f>L85*$B$9</f>
        <v/>
      </c>
      <c r="O85" s="306">
        <f>L85*$B$10</f>
        <v/>
      </c>
      <c r="P85" s="306">
        <f>L85-M85-N85-O85-D85-E85</f>
        <v/>
      </c>
      <c r="Q85" s="306">
        <f>MAX(0, P85 - $B$7*L85)</f>
        <v/>
      </c>
      <c r="R85" s="306">
        <f>P85-Q85</f>
        <v/>
      </c>
      <c r="S85" s="306">
        <f>IF(A85=$F$6, $B$18*$B$16*$B$17/1000000, 0) + IF(A85=$F$7, $B$18*$B$16*$B$17/1000000, 0) + IF(A85=$F$8, $B$18*$B$16*$B$17/1000000, 0) + IF(A85=$F$9, $B$18*$B$16*$B$17/1000000, 0) + IF(A85=$F$10, $B$18*$B$16*$B$17/1000000, 0)</f>
        <v/>
      </c>
      <c r="T85" s="306">
        <f>R85-S85-C85</f>
        <v/>
      </c>
      <c r="U85" s="306">
        <f>IF(AND(A85&lt;=$B$24, T85&gt;0), T85*$B$23, 0)</f>
        <v/>
      </c>
      <c r="V85" s="306">
        <f>T85-U85</f>
        <v/>
      </c>
      <c r="W85" s="306">
        <f>IF(AND(A85=$B$19, $B$21=1), K85*$B$20, 0)</f>
        <v/>
      </c>
      <c r="X85" s="306">
        <f>X84+V85+W85</f>
        <v/>
      </c>
    </row>
    <row r="86">
      <c r="A86" s="306" t="n">
        <v>56</v>
      </c>
      <c r="B86" s="306">
        <f>CEILING(A86/12,1)</f>
        <v/>
      </c>
      <c r="C86" s="306">
        <f>IF(A86&lt;=12, $B$15/12, 0)</f>
        <v/>
      </c>
      <c r="D86" s="306">
        <f>INDEX('26. Team Comp'!$D$28:$R$28, B86) * 0.001 / 12</f>
        <v/>
      </c>
      <c r="E86" s="306">
        <f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) * 200 / 12 / 1000</f>
        <v/>
      </c>
      <c r="F86" s="306">
        <f>IF(A86&lt;$F$6,0,IF(AND($B$21=1,A86&gt;$B$19),0,$E$6*$G$6^MIN((A86-$F$6)/12,6)*MIN($G$6,0.85)^MAX(0,(A86-$F$6)/12-6)))</f>
        <v/>
      </c>
      <c r="G86" s="306">
        <f>IF(A86&lt;$F$7,0,IF(AND($B$21=1,A86&gt;$B$19),0,$E$7*$G$7^MIN((A86-$F$7)/12,6)*MIN($G$7,0.85)^MAX(0,(A86-$F$7)/12-6)))</f>
        <v/>
      </c>
      <c r="H86" s="306">
        <f>IF(A86&lt;$F$8,0,IF(AND($B$21=1,A86&gt;$B$19),0,$E$8*$G$8^MIN((A86-$F$8)/12,6)*MIN($G$8,0.85)^MAX(0,(A86-$F$8)/12-6)))</f>
        <v/>
      </c>
      <c r="I86" s="306">
        <f>IF(A86&lt;$F$9,0,IF(AND($B$21=1,A86&gt;$B$19),0,$E$9*$G$9^MIN((A86-$F$9)/12,6)*MIN($G$9,0.85)^MAX(0,(A86-$F$9)/12-6)))</f>
        <v/>
      </c>
      <c r="J86" s="306">
        <f>IF(A86&lt;$F$10,0,IF(AND($B$21=1,A86&gt;$B$19),0,$E$10*$G$10^MIN((A86-$F$10)/12,6)*MIN($G$10,0.85)^MAX(0,(A86-$F$10)/12-6)))</f>
        <v/>
      </c>
      <c r="K86" s="306">
        <f>SUM(F86:J86)</f>
        <v/>
      </c>
      <c r="L86" s="306">
        <f>K86/12</f>
        <v/>
      </c>
      <c r="M86" s="306">
        <f>L86*$B$8</f>
        <v/>
      </c>
      <c r="N86" s="306">
        <f>L86*$B$9</f>
        <v/>
      </c>
      <c r="O86" s="306">
        <f>L86*$B$10</f>
        <v/>
      </c>
      <c r="P86" s="306">
        <f>L86-M86-N86-O86-D86-E86</f>
        <v/>
      </c>
      <c r="Q86" s="306">
        <f>MAX(0, P86 - $B$7*L86)</f>
        <v/>
      </c>
      <c r="R86" s="306">
        <f>P86-Q86</f>
        <v/>
      </c>
      <c r="S86" s="306">
        <f>IF(A86=$F$6, $B$18*$B$16*$B$17/1000000, 0) + IF(A86=$F$7, $B$18*$B$16*$B$17/1000000, 0) + IF(A86=$F$8, $B$18*$B$16*$B$17/1000000, 0) + IF(A86=$F$9, $B$18*$B$16*$B$17/1000000, 0) + IF(A86=$F$10, $B$18*$B$16*$B$17/1000000, 0)</f>
        <v/>
      </c>
      <c r="T86" s="306">
        <f>R86-S86-C86</f>
        <v/>
      </c>
      <c r="U86" s="306">
        <f>IF(AND(A86&lt;=$B$24, T86&gt;0), T86*$B$23, 0)</f>
        <v/>
      </c>
      <c r="V86" s="306">
        <f>T86-U86</f>
        <v/>
      </c>
      <c r="W86" s="306">
        <f>IF(AND(A86=$B$19, $B$21=1), K86*$B$20, 0)</f>
        <v/>
      </c>
      <c r="X86" s="306">
        <f>X85+V86+W86</f>
        <v/>
      </c>
    </row>
    <row r="87">
      <c r="A87" s="306" t="n">
        <v>57</v>
      </c>
      <c r="B87" s="306">
        <f>CEILING(A87/12,1)</f>
        <v/>
      </c>
      <c r="C87" s="306">
        <f>IF(A87&lt;=12, $B$15/12, 0)</f>
        <v/>
      </c>
      <c r="D87" s="306">
        <f>INDEX('26. Team Comp'!$D$28:$R$28, B87) * 0.001 / 12</f>
        <v/>
      </c>
      <c r="E87" s="306">
        <f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) * 200 / 12 / 1000</f>
        <v/>
      </c>
      <c r="F87" s="306">
        <f>IF(A87&lt;$F$6,0,IF(AND($B$21=1,A87&gt;$B$19),0,$E$6*$G$6^MIN((A87-$F$6)/12,6)*MIN($G$6,0.85)^MAX(0,(A87-$F$6)/12-6)))</f>
        <v/>
      </c>
      <c r="G87" s="306">
        <f>IF(A87&lt;$F$7,0,IF(AND($B$21=1,A87&gt;$B$19),0,$E$7*$G$7^MIN((A87-$F$7)/12,6)*MIN($G$7,0.85)^MAX(0,(A87-$F$7)/12-6)))</f>
        <v/>
      </c>
      <c r="H87" s="306">
        <f>IF(A87&lt;$F$8,0,IF(AND($B$21=1,A87&gt;$B$19),0,$E$8*$G$8^MIN((A87-$F$8)/12,6)*MIN($G$8,0.85)^MAX(0,(A87-$F$8)/12-6)))</f>
        <v/>
      </c>
      <c r="I87" s="306">
        <f>IF(A87&lt;$F$9,0,IF(AND($B$21=1,A87&gt;$B$19),0,$E$9*$G$9^MIN((A87-$F$9)/12,6)*MIN($G$9,0.85)^MAX(0,(A87-$F$9)/12-6)))</f>
        <v/>
      </c>
      <c r="J87" s="306">
        <f>IF(A87&lt;$F$10,0,IF(AND($B$21=1,A87&gt;$B$19),0,$E$10*$G$10^MIN((A87-$F$10)/12,6)*MIN($G$10,0.85)^MAX(0,(A87-$F$10)/12-6)))</f>
        <v/>
      </c>
      <c r="K87" s="306">
        <f>SUM(F87:J87)</f>
        <v/>
      </c>
      <c r="L87" s="306">
        <f>K87/12</f>
        <v/>
      </c>
      <c r="M87" s="306">
        <f>L87*$B$8</f>
        <v/>
      </c>
      <c r="N87" s="306">
        <f>L87*$B$9</f>
        <v/>
      </c>
      <c r="O87" s="306">
        <f>L87*$B$10</f>
        <v/>
      </c>
      <c r="P87" s="306">
        <f>L87-M87-N87-O87-D87-E87</f>
        <v/>
      </c>
      <c r="Q87" s="306">
        <f>MAX(0, P87 - $B$7*L87)</f>
        <v/>
      </c>
      <c r="R87" s="306">
        <f>P87-Q87</f>
        <v/>
      </c>
      <c r="S87" s="306">
        <f>IF(A87=$F$6, $B$18*$B$16*$B$17/1000000, 0) + IF(A87=$F$7, $B$18*$B$16*$B$17/1000000, 0) + IF(A87=$F$8, $B$18*$B$16*$B$17/1000000, 0) + IF(A87=$F$9, $B$18*$B$16*$B$17/1000000, 0) + IF(A87=$F$10, $B$18*$B$16*$B$17/1000000, 0)</f>
        <v/>
      </c>
      <c r="T87" s="306">
        <f>R87-S87-C87</f>
        <v/>
      </c>
      <c r="U87" s="306">
        <f>IF(AND(A87&lt;=$B$24, T87&gt;0), T87*$B$23, 0)</f>
        <v/>
      </c>
      <c r="V87" s="306">
        <f>T87-U87</f>
        <v/>
      </c>
      <c r="W87" s="306">
        <f>IF(AND(A87=$B$19, $B$21=1), K87*$B$20, 0)</f>
        <v/>
      </c>
      <c r="X87" s="306">
        <f>X86+V87+W87</f>
        <v/>
      </c>
    </row>
    <row r="88">
      <c r="A88" s="306" t="n">
        <v>58</v>
      </c>
      <c r="B88" s="306">
        <f>CEILING(A88/12,1)</f>
        <v/>
      </c>
      <c r="C88" s="306">
        <f>IF(A88&lt;=12, $B$15/12, 0)</f>
        <v/>
      </c>
      <c r="D88" s="306">
        <f>INDEX('26. Team Comp'!$D$28:$R$28, B88) * 0.001 / 12</f>
        <v/>
      </c>
      <c r="E88" s="306">
        <f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) * 200 / 12 / 1000</f>
        <v/>
      </c>
      <c r="F88" s="306">
        <f>IF(A88&lt;$F$6,0,IF(AND($B$21=1,A88&gt;$B$19),0,$E$6*$G$6^MIN((A88-$F$6)/12,6)*MIN($G$6,0.85)^MAX(0,(A88-$F$6)/12-6)))</f>
        <v/>
      </c>
      <c r="G88" s="306">
        <f>IF(A88&lt;$F$7,0,IF(AND($B$21=1,A88&gt;$B$19),0,$E$7*$G$7^MIN((A88-$F$7)/12,6)*MIN($G$7,0.85)^MAX(0,(A88-$F$7)/12-6)))</f>
        <v/>
      </c>
      <c r="H88" s="306">
        <f>IF(A88&lt;$F$8,0,IF(AND($B$21=1,A88&gt;$B$19),0,$E$8*$G$8^MIN((A88-$F$8)/12,6)*MIN($G$8,0.85)^MAX(0,(A88-$F$8)/12-6)))</f>
        <v/>
      </c>
      <c r="I88" s="306">
        <f>IF(A88&lt;$F$9,0,IF(AND($B$21=1,A88&gt;$B$19),0,$E$9*$G$9^MIN((A88-$F$9)/12,6)*MIN($G$9,0.85)^MAX(0,(A88-$F$9)/12-6)))</f>
        <v/>
      </c>
      <c r="J88" s="306">
        <f>IF(A88&lt;$F$10,0,IF(AND($B$21=1,A88&gt;$B$19),0,$E$10*$G$10^MIN((A88-$F$10)/12,6)*MIN($G$10,0.85)^MAX(0,(A88-$F$10)/12-6)))</f>
        <v/>
      </c>
      <c r="K88" s="306">
        <f>SUM(F88:J88)</f>
        <v/>
      </c>
      <c r="L88" s="306">
        <f>K88/12</f>
        <v/>
      </c>
      <c r="M88" s="306">
        <f>L88*$B$8</f>
        <v/>
      </c>
      <c r="N88" s="306">
        <f>L88*$B$9</f>
        <v/>
      </c>
      <c r="O88" s="306">
        <f>L88*$B$10</f>
        <v/>
      </c>
      <c r="P88" s="306">
        <f>L88-M88-N88-O88-D88-E88</f>
        <v/>
      </c>
      <c r="Q88" s="306">
        <f>MAX(0, P88 - $B$7*L88)</f>
        <v/>
      </c>
      <c r="R88" s="306">
        <f>P88-Q88</f>
        <v/>
      </c>
      <c r="S88" s="306">
        <f>IF(A88=$F$6, $B$18*$B$16*$B$17/1000000, 0) + IF(A88=$F$7, $B$18*$B$16*$B$17/1000000, 0) + IF(A88=$F$8, $B$18*$B$16*$B$17/1000000, 0) + IF(A88=$F$9, $B$18*$B$16*$B$17/1000000, 0) + IF(A88=$F$10, $B$18*$B$16*$B$17/1000000, 0)</f>
        <v/>
      </c>
      <c r="T88" s="306">
        <f>R88-S88-C88</f>
        <v/>
      </c>
      <c r="U88" s="306">
        <f>IF(AND(A88&lt;=$B$24, T88&gt;0), T88*$B$23, 0)</f>
        <v/>
      </c>
      <c r="V88" s="306">
        <f>T88-U88</f>
        <v/>
      </c>
      <c r="W88" s="306">
        <f>IF(AND(A88=$B$19, $B$21=1), K88*$B$20, 0)</f>
        <v/>
      </c>
      <c r="X88" s="306">
        <f>X87+V88+W88</f>
        <v/>
      </c>
    </row>
    <row r="89">
      <c r="A89" s="306" t="n">
        <v>59</v>
      </c>
      <c r="B89" s="306">
        <f>CEILING(A89/12,1)</f>
        <v/>
      </c>
      <c r="C89" s="306">
        <f>IF(A89&lt;=12, $B$15/12, 0)</f>
        <v/>
      </c>
      <c r="D89" s="306">
        <f>INDEX('26. Team Comp'!$D$28:$R$28, B89) * 0.001 / 12</f>
        <v/>
      </c>
      <c r="E89" s="306">
        <f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) * 200 / 12 / 1000</f>
        <v/>
      </c>
      <c r="F89" s="306">
        <f>IF(A89&lt;$F$6,0,IF(AND($B$21=1,A89&gt;$B$19),0,$E$6*$G$6^MIN((A89-$F$6)/12,6)*MIN($G$6,0.85)^MAX(0,(A89-$F$6)/12-6)))</f>
        <v/>
      </c>
      <c r="G89" s="306">
        <f>IF(A89&lt;$F$7,0,IF(AND($B$21=1,A89&gt;$B$19),0,$E$7*$G$7^MIN((A89-$F$7)/12,6)*MIN($G$7,0.85)^MAX(0,(A89-$F$7)/12-6)))</f>
        <v/>
      </c>
      <c r="H89" s="306">
        <f>IF(A89&lt;$F$8,0,IF(AND($B$21=1,A89&gt;$B$19),0,$E$8*$G$8^MIN((A89-$F$8)/12,6)*MIN($G$8,0.85)^MAX(0,(A89-$F$8)/12-6)))</f>
        <v/>
      </c>
      <c r="I89" s="306">
        <f>IF(A89&lt;$F$9,0,IF(AND($B$21=1,A89&gt;$B$19),0,$E$9*$G$9^MIN((A89-$F$9)/12,6)*MIN($G$9,0.85)^MAX(0,(A89-$F$9)/12-6)))</f>
        <v/>
      </c>
      <c r="J89" s="306">
        <f>IF(A89&lt;$F$10,0,IF(AND($B$21=1,A89&gt;$B$19),0,$E$10*$G$10^MIN((A89-$F$10)/12,6)*MIN($G$10,0.85)^MAX(0,(A89-$F$10)/12-6)))</f>
        <v/>
      </c>
      <c r="K89" s="306">
        <f>SUM(F89:J89)</f>
        <v/>
      </c>
      <c r="L89" s="306">
        <f>K89/12</f>
        <v/>
      </c>
      <c r="M89" s="306">
        <f>L89*$B$8</f>
        <v/>
      </c>
      <c r="N89" s="306">
        <f>L89*$B$9</f>
        <v/>
      </c>
      <c r="O89" s="306">
        <f>L89*$B$10</f>
        <v/>
      </c>
      <c r="P89" s="306">
        <f>L89-M89-N89-O89-D89-E89</f>
        <v/>
      </c>
      <c r="Q89" s="306">
        <f>MAX(0, P89 - $B$7*L89)</f>
        <v/>
      </c>
      <c r="R89" s="306">
        <f>P89-Q89</f>
        <v/>
      </c>
      <c r="S89" s="306">
        <f>IF(A89=$F$6, $B$18*$B$16*$B$17/1000000, 0) + IF(A89=$F$7, $B$18*$B$16*$B$17/1000000, 0) + IF(A89=$F$8, $B$18*$B$16*$B$17/1000000, 0) + IF(A89=$F$9, $B$18*$B$16*$B$17/1000000, 0) + IF(A89=$F$10, $B$18*$B$16*$B$17/1000000, 0)</f>
        <v/>
      </c>
      <c r="T89" s="306">
        <f>R89-S89-C89</f>
        <v/>
      </c>
      <c r="U89" s="306">
        <f>IF(AND(A89&lt;=$B$24, T89&gt;0), T89*$B$23, 0)</f>
        <v/>
      </c>
      <c r="V89" s="306">
        <f>T89-U89</f>
        <v/>
      </c>
      <c r="W89" s="306">
        <f>IF(AND(A89=$B$19, $B$21=1), K89*$B$20, 0)</f>
        <v/>
      </c>
      <c r="X89" s="306">
        <f>X88+V89+W89</f>
        <v/>
      </c>
    </row>
    <row r="90">
      <c r="A90" s="306" t="n">
        <v>60</v>
      </c>
      <c r="B90" s="306">
        <f>CEILING(A90/12,1)</f>
        <v/>
      </c>
      <c r="C90" s="306">
        <f>IF(A90&lt;=12, $B$15/12, 0)</f>
        <v/>
      </c>
      <c r="D90" s="306">
        <f>INDEX('26. Team Comp'!$D$28:$R$28, B90) * 0.001 / 12</f>
        <v/>
      </c>
      <c r="E90" s="306">
        <f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) * 200 / 12 / 1000</f>
        <v/>
      </c>
      <c r="F90" s="306">
        <f>IF(A90&lt;$F$6,0,IF(AND($B$21=1,A90&gt;$B$19),0,$E$6*$G$6^MIN((A90-$F$6)/12,6)*MIN($G$6,0.85)^MAX(0,(A90-$F$6)/12-6)))</f>
        <v/>
      </c>
      <c r="G90" s="306">
        <f>IF(A90&lt;$F$7,0,IF(AND($B$21=1,A90&gt;$B$19),0,$E$7*$G$7^MIN((A90-$F$7)/12,6)*MIN($G$7,0.85)^MAX(0,(A90-$F$7)/12-6)))</f>
        <v/>
      </c>
      <c r="H90" s="306">
        <f>IF(A90&lt;$F$8,0,IF(AND($B$21=1,A90&gt;$B$19),0,$E$8*$G$8^MIN((A90-$F$8)/12,6)*MIN($G$8,0.85)^MAX(0,(A90-$F$8)/12-6)))</f>
        <v/>
      </c>
      <c r="I90" s="306">
        <f>IF(A90&lt;$F$9,0,IF(AND($B$21=1,A90&gt;$B$19),0,$E$9*$G$9^MIN((A90-$F$9)/12,6)*MIN($G$9,0.85)^MAX(0,(A90-$F$9)/12-6)))</f>
        <v/>
      </c>
      <c r="J90" s="306">
        <f>IF(A90&lt;$F$10,0,IF(AND($B$21=1,A90&gt;$B$19),0,$E$10*$G$10^MIN((A90-$F$10)/12,6)*MIN($G$10,0.85)^MAX(0,(A90-$F$10)/12-6)))</f>
        <v/>
      </c>
      <c r="K90" s="306">
        <f>SUM(F90:J90)</f>
        <v/>
      </c>
      <c r="L90" s="306">
        <f>K90/12</f>
        <v/>
      </c>
      <c r="M90" s="306">
        <f>L90*$B$8</f>
        <v/>
      </c>
      <c r="N90" s="306">
        <f>L90*$B$9</f>
        <v/>
      </c>
      <c r="O90" s="306">
        <f>L90*$B$10</f>
        <v/>
      </c>
      <c r="P90" s="306">
        <f>L90-M90-N90-O90-D90-E90</f>
        <v/>
      </c>
      <c r="Q90" s="306">
        <f>MAX(0, P90 - $B$7*L90)</f>
        <v/>
      </c>
      <c r="R90" s="306">
        <f>P90-Q90</f>
        <v/>
      </c>
      <c r="S90" s="306">
        <f>IF(A90=$F$6, $B$18*$B$16*$B$17/1000000, 0) + IF(A90=$F$7, $B$18*$B$16*$B$17/1000000, 0) + IF(A90=$F$8, $B$18*$B$16*$B$17/1000000, 0) + IF(A90=$F$9, $B$18*$B$16*$B$17/1000000, 0) + IF(A90=$F$10, $B$18*$B$16*$B$17/1000000, 0)</f>
        <v/>
      </c>
      <c r="T90" s="306">
        <f>R90-S90-C90</f>
        <v/>
      </c>
      <c r="U90" s="306">
        <f>IF(AND(A90&lt;=$B$24, T90&gt;0), T90*$B$23, 0)</f>
        <v/>
      </c>
      <c r="V90" s="306">
        <f>T90-U90</f>
        <v/>
      </c>
      <c r="W90" s="306">
        <f>IF(AND(A90=$B$19, $B$21=1), K90*$B$20, 0)</f>
        <v/>
      </c>
      <c r="X90" s="306">
        <f>X89+V90+W90</f>
        <v/>
      </c>
    </row>
    <row r="91">
      <c r="A91" s="306" t="n">
        <v>61</v>
      </c>
      <c r="B91" s="306">
        <f>CEILING(A91/12,1)</f>
        <v/>
      </c>
      <c r="C91" s="306">
        <f>IF(A91&lt;=12, $B$15/12, 0)</f>
        <v/>
      </c>
      <c r="D91" s="306">
        <f>INDEX('26. Team Comp'!$D$28:$R$28, B91) * 0.001 / 12</f>
        <v/>
      </c>
      <c r="E91" s="306">
        <f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) * 200 / 12 / 1000</f>
        <v/>
      </c>
      <c r="F91" s="306">
        <f>IF(A91&lt;$F$6,0,IF(AND($B$21=1,A91&gt;$B$19),0,$E$6*$G$6^MIN((A91-$F$6)/12,6)*MIN($G$6,0.85)^MAX(0,(A91-$F$6)/12-6)))</f>
        <v/>
      </c>
      <c r="G91" s="306">
        <f>IF(A91&lt;$F$7,0,IF(AND($B$21=1,A91&gt;$B$19),0,$E$7*$G$7^MIN((A91-$F$7)/12,6)*MIN($G$7,0.85)^MAX(0,(A91-$F$7)/12-6)))</f>
        <v/>
      </c>
      <c r="H91" s="306">
        <f>IF(A91&lt;$F$8,0,IF(AND($B$21=1,A91&gt;$B$19),0,$E$8*$G$8^MIN((A91-$F$8)/12,6)*MIN($G$8,0.85)^MAX(0,(A91-$F$8)/12-6)))</f>
        <v/>
      </c>
      <c r="I91" s="306">
        <f>IF(A91&lt;$F$9,0,IF(AND($B$21=1,A91&gt;$B$19),0,$E$9*$G$9^MIN((A91-$F$9)/12,6)*MIN($G$9,0.85)^MAX(0,(A91-$F$9)/12-6)))</f>
        <v/>
      </c>
      <c r="J91" s="306">
        <f>IF(A91&lt;$F$10,0,IF(AND($B$21=1,A91&gt;$B$19),0,$E$10*$G$10^MIN((A91-$F$10)/12,6)*MIN($G$10,0.85)^MAX(0,(A91-$F$10)/12-6)))</f>
        <v/>
      </c>
      <c r="K91" s="306">
        <f>SUM(F91:J91)</f>
        <v/>
      </c>
      <c r="L91" s="306">
        <f>K91/12</f>
        <v/>
      </c>
      <c r="M91" s="306">
        <f>L91*$B$8</f>
        <v/>
      </c>
      <c r="N91" s="306">
        <f>L91*$B$9</f>
        <v/>
      </c>
      <c r="O91" s="306">
        <f>L91*$B$10</f>
        <v/>
      </c>
      <c r="P91" s="306">
        <f>L91-M91-N91-O91-D91-E91</f>
        <v/>
      </c>
      <c r="Q91" s="306">
        <f>MAX(0, P91 - $B$7*L91)</f>
        <v/>
      </c>
      <c r="R91" s="306">
        <f>P91-Q91</f>
        <v/>
      </c>
      <c r="S91" s="306">
        <f>IF(A91=$F$6, $B$18*$B$16*$B$17/1000000, 0) + IF(A91=$F$7, $B$18*$B$16*$B$17/1000000, 0) + IF(A91=$F$8, $B$18*$B$16*$B$17/1000000, 0) + IF(A91=$F$9, $B$18*$B$16*$B$17/1000000, 0) + IF(A91=$F$10, $B$18*$B$16*$B$17/1000000, 0)</f>
        <v/>
      </c>
      <c r="T91" s="306">
        <f>R91-S91-C91</f>
        <v/>
      </c>
      <c r="U91" s="306">
        <f>IF(AND(A91&lt;=$B$24, T91&gt;0), T91*$B$23, 0)</f>
        <v/>
      </c>
      <c r="V91" s="306">
        <f>T91-U91</f>
        <v/>
      </c>
      <c r="W91" s="306">
        <f>IF(AND(A91=$B$19, $B$21=1), K91*$B$20, 0)</f>
        <v/>
      </c>
      <c r="X91" s="306">
        <f>X90+V91+W91</f>
        <v/>
      </c>
    </row>
    <row r="92">
      <c r="A92" s="306" t="n">
        <v>62</v>
      </c>
      <c r="B92" s="306">
        <f>CEILING(A92/12,1)</f>
        <v/>
      </c>
      <c r="C92" s="306">
        <f>IF(A92&lt;=12, $B$15/12, 0)</f>
        <v/>
      </c>
      <c r="D92" s="306">
        <f>INDEX('26. Team Comp'!$D$28:$R$28, B92) * 0.001 / 12</f>
        <v/>
      </c>
      <c r="E92" s="306">
        <f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) * 200 / 12 / 1000</f>
        <v/>
      </c>
      <c r="F92" s="306">
        <f>IF(A92&lt;$F$6,0,IF(AND($B$21=1,A92&gt;$B$19),0,$E$6*$G$6^MIN((A92-$F$6)/12,6)*MIN($G$6,0.85)^MAX(0,(A92-$F$6)/12-6)))</f>
        <v/>
      </c>
      <c r="G92" s="306">
        <f>IF(A92&lt;$F$7,0,IF(AND($B$21=1,A92&gt;$B$19),0,$E$7*$G$7^MIN((A92-$F$7)/12,6)*MIN($G$7,0.85)^MAX(0,(A92-$F$7)/12-6)))</f>
        <v/>
      </c>
      <c r="H92" s="306">
        <f>IF(A92&lt;$F$8,0,IF(AND($B$21=1,A92&gt;$B$19),0,$E$8*$G$8^MIN((A92-$F$8)/12,6)*MIN($G$8,0.85)^MAX(0,(A92-$F$8)/12-6)))</f>
        <v/>
      </c>
      <c r="I92" s="306">
        <f>IF(A92&lt;$F$9,0,IF(AND($B$21=1,A92&gt;$B$19),0,$E$9*$G$9^MIN((A92-$F$9)/12,6)*MIN($G$9,0.85)^MAX(0,(A92-$F$9)/12-6)))</f>
        <v/>
      </c>
      <c r="J92" s="306">
        <f>IF(A92&lt;$F$10,0,IF(AND($B$21=1,A92&gt;$B$19),0,$E$10*$G$10^MIN((A92-$F$10)/12,6)*MIN($G$10,0.85)^MAX(0,(A92-$F$10)/12-6)))</f>
        <v/>
      </c>
      <c r="K92" s="306">
        <f>SUM(F92:J92)</f>
        <v/>
      </c>
      <c r="L92" s="306">
        <f>K92/12</f>
        <v/>
      </c>
      <c r="M92" s="306">
        <f>L92*$B$8</f>
        <v/>
      </c>
      <c r="N92" s="306">
        <f>L92*$B$9</f>
        <v/>
      </c>
      <c r="O92" s="306">
        <f>L92*$B$10</f>
        <v/>
      </c>
      <c r="P92" s="306">
        <f>L92-M92-N92-O92-D92-E92</f>
        <v/>
      </c>
      <c r="Q92" s="306">
        <f>MAX(0, P92 - $B$7*L92)</f>
        <v/>
      </c>
      <c r="R92" s="306">
        <f>P92-Q92</f>
        <v/>
      </c>
      <c r="S92" s="306">
        <f>IF(A92=$F$6, $B$18*$B$16*$B$17/1000000, 0) + IF(A92=$F$7, $B$18*$B$16*$B$17/1000000, 0) + IF(A92=$F$8, $B$18*$B$16*$B$17/1000000, 0) + IF(A92=$F$9, $B$18*$B$16*$B$17/1000000, 0) + IF(A92=$F$10, $B$18*$B$16*$B$17/1000000, 0)</f>
        <v/>
      </c>
      <c r="T92" s="306">
        <f>R92-S92-C92</f>
        <v/>
      </c>
      <c r="U92" s="306">
        <f>IF(AND(A92&lt;=$B$24, T92&gt;0), T92*$B$23, 0)</f>
        <v/>
      </c>
      <c r="V92" s="306">
        <f>T92-U92</f>
        <v/>
      </c>
      <c r="W92" s="306">
        <f>IF(AND(A92=$B$19, $B$21=1), K92*$B$20, 0)</f>
        <v/>
      </c>
      <c r="X92" s="306">
        <f>X91+V92+W92</f>
        <v/>
      </c>
    </row>
    <row r="93">
      <c r="A93" s="306" t="n">
        <v>63</v>
      </c>
      <c r="B93" s="306">
        <f>CEILING(A93/12,1)</f>
        <v/>
      </c>
      <c r="C93" s="306">
        <f>IF(A93&lt;=12, $B$15/12, 0)</f>
        <v/>
      </c>
      <c r="D93" s="306">
        <f>INDEX('26. Team Comp'!$D$28:$R$28, B93) * 0.001 / 12</f>
        <v/>
      </c>
      <c r="E93" s="306">
        <f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) * 200 / 12 / 1000</f>
        <v/>
      </c>
      <c r="F93" s="306">
        <f>IF(A93&lt;$F$6,0,IF(AND($B$21=1,A93&gt;$B$19),0,$E$6*$G$6^MIN((A93-$F$6)/12,6)*MIN($G$6,0.85)^MAX(0,(A93-$F$6)/12-6)))</f>
        <v/>
      </c>
      <c r="G93" s="306">
        <f>IF(A93&lt;$F$7,0,IF(AND($B$21=1,A93&gt;$B$19),0,$E$7*$G$7^MIN((A93-$F$7)/12,6)*MIN($G$7,0.85)^MAX(0,(A93-$F$7)/12-6)))</f>
        <v/>
      </c>
      <c r="H93" s="306">
        <f>IF(A93&lt;$F$8,0,IF(AND($B$21=1,A93&gt;$B$19),0,$E$8*$G$8^MIN((A93-$F$8)/12,6)*MIN($G$8,0.85)^MAX(0,(A93-$F$8)/12-6)))</f>
        <v/>
      </c>
      <c r="I93" s="306">
        <f>IF(A93&lt;$F$9,0,IF(AND($B$21=1,A93&gt;$B$19),0,$E$9*$G$9^MIN((A93-$F$9)/12,6)*MIN($G$9,0.85)^MAX(0,(A93-$F$9)/12-6)))</f>
        <v/>
      </c>
      <c r="J93" s="306">
        <f>IF(A93&lt;$F$10,0,IF(AND($B$21=1,A93&gt;$B$19),0,$E$10*$G$10^MIN((A93-$F$10)/12,6)*MIN($G$10,0.85)^MAX(0,(A93-$F$10)/12-6)))</f>
        <v/>
      </c>
      <c r="K93" s="306">
        <f>SUM(F93:J93)</f>
        <v/>
      </c>
      <c r="L93" s="306">
        <f>K93/12</f>
        <v/>
      </c>
      <c r="M93" s="306">
        <f>L93*$B$8</f>
        <v/>
      </c>
      <c r="N93" s="306">
        <f>L93*$B$9</f>
        <v/>
      </c>
      <c r="O93" s="306">
        <f>L93*$B$10</f>
        <v/>
      </c>
      <c r="P93" s="306">
        <f>L93-M93-N93-O93-D93-E93</f>
        <v/>
      </c>
      <c r="Q93" s="306">
        <f>MAX(0, P93 - $B$7*L93)</f>
        <v/>
      </c>
      <c r="R93" s="306">
        <f>P93-Q93</f>
        <v/>
      </c>
      <c r="S93" s="306">
        <f>IF(A93=$F$6, $B$18*$B$16*$B$17/1000000, 0) + IF(A93=$F$7, $B$18*$B$16*$B$17/1000000, 0) + IF(A93=$F$8, $B$18*$B$16*$B$17/1000000, 0) + IF(A93=$F$9, $B$18*$B$16*$B$17/1000000, 0) + IF(A93=$F$10, $B$18*$B$16*$B$17/1000000, 0)</f>
        <v/>
      </c>
      <c r="T93" s="306">
        <f>R93-S93-C93</f>
        <v/>
      </c>
      <c r="U93" s="306">
        <f>IF(AND(A93&lt;=$B$24, T93&gt;0), T93*$B$23, 0)</f>
        <v/>
      </c>
      <c r="V93" s="306">
        <f>T93-U93</f>
        <v/>
      </c>
      <c r="W93" s="306">
        <f>IF(AND(A93=$B$19, $B$21=1), K93*$B$20, 0)</f>
        <v/>
      </c>
      <c r="X93" s="306">
        <f>X92+V93+W93</f>
        <v/>
      </c>
    </row>
    <row r="94">
      <c r="A94" s="306" t="n">
        <v>64</v>
      </c>
      <c r="B94" s="306">
        <f>CEILING(A94/12,1)</f>
        <v/>
      </c>
      <c r="C94" s="306">
        <f>IF(A94&lt;=12, $B$15/12, 0)</f>
        <v/>
      </c>
      <c r="D94" s="306">
        <f>INDEX('26. Team Comp'!$D$28:$R$28, B94) * 0.001 / 12</f>
        <v/>
      </c>
      <c r="E94" s="306">
        <f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) * 200 / 12 / 1000</f>
        <v/>
      </c>
      <c r="F94" s="306">
        <f>IF(A94&lt;$F$6,0,IF(AND($B$21=1,A94&gt;$B$19),0,$E$6*$G$6^MIN((A94-$F$6)/12,6)*MIN($G$6,0.85)^MAX(0,(A94-$F$6)/12-6)))</f>
        <v/>
      </c>
      <c r="G94" s="306">
        <f>IF(A94&lt;$F$7,0,IF(AND($B$21=1,A94&gt;$B$19),0,$E$7*$G$7^MIN((A94-$F$7)/12,6)*MIN($G$7,0.85)^MAX(0,(A94-$F$7)/12-6)))</f>
        <v/>
      </c>
      <c r="H94" s="306">
        <f>IF(A94&lt;$F$8,0,IF(AND($B$21=1,A94&gt;$B$19),0,$E$8*$G$8^MIN((A94-$F$8)/12,6)*MIN($G$8,0.85)^MAX(0,(A94-$F$8)/12-6)))</f>
        <v/>
      </c>
      <c r="I94" s="306">
        <f>IF(A94&lt;$F$9,0,IF(AND($B$21=1,A94&gt;$B$19),0,$E$9*$G$9^MIN((A94-$F$9)/12,6)*MIN($G$9,0.85)^MAX(0,(A94-$F$9)/12-6)))</f>
        <v/>
      </c>
      <c r="J94" s="306">
        <f>IF(A94&lt;$F$10,0,IF(AND($B$21=1,A94&gt;$B$19),0,$E$10*$G$10^MIN((A94-$F$10)/12,6)*MIN($G$10,0.85)^MAX(0,(A94-$F$10)/12-6)))</f>
        <v/>
      </c>
      <c r="K94" s="306">
        <f>SUM(F94:J94)</f>
        <v/>
      </c>
      <c r="L94" s="306">
        <f>K94/12</f>
        <v/>
      </c>
      <c r="M94" s="306">
        <f>L94*$B$8</f>
        <v/>
      </c>
      <c r="N94" s="306">
        <f>L94*$B$9</f>
        <v/>
      </c>
      <c r="O94" s="306">
        <f>L94*$B$10</f>
        <v/>
      </c>
      <c r="P94" s="306">
        <f>L94-M94-N94-O94-D94-E94</f>
        <v/>
      </c>
      <c r="Q94" s="306">
        <f>MAX(0, P94 - $B$7*L94)</f>
        <v/>
      </c>
      <c r="R94" s="306">
        <f>P94-Q94</f>
        <v/>
      </c>
      <c r="S94" s="306">
        <f>IF(A94=$F$6, $B$18*$B$16*$B$17/1000000, 0) + IF(A94=$F$7, $B$18*$B$16*$B$17/1000000, 0) + IF(A94=$F$8, $B$18*$B$16*$B$17/1000000, 0) + IF(A94=$F$9, $B$18*$B$16*$B$17/1000000, 0) + IF(A94=$F$10, $B$18*$B$16*$B$17/1000000, 0)</f>
        <v/>
      </c>
      <c r="T94" s="306">
        <f>R94-S94-C94</f>
        <v/>
      </c>
      <c r="U94" s="306">
        <f>IF(AND(A94&lt;=$B$24, T94&gt;0), T94*$B$23, 0)</f>
        <v/>
      </c>
      <c r="V94" s="306">
        <f>T94-U94</f>
        <v/>
      </c>
      <c r="W94" s="306">
        <f>IF(AND(A94=$B$19, $B$21=1), K94*$B$20, 0)</f>
        <v/>
      </c>
      <c r="X94" s="306">
        <f>X93+V94+W94</f>
        <v/>
      </c>
    </row>
    <row r="95">
      <c r="A95" s="306" t="n">
        <v>65</v>
      </c>
      <c r="B95" s="306">
        <f>CEILING(A95/12,1)</f>
        <v/>
      </c>
      <c r="C95" s="306">
        <f>IF(A95&lt;=12, $B$15/12, 0)</f>
        <v/>
      </c>
      <c r="D95" s="306">
        <f>INDEX('26. Team Comp'!$D$28:$R$28, B95) * 0.001 / 12</f>
        <v/>
      </c>
      <c r="E95" s="306">
        <f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) * 200 / 12 / 1000</f>
        <v/>
      </c>
      <c r="F95" s="306">
        <f>IF(A95&lt;$F$6,0,IF(AND($B$21=1,A95&gt;$B$19),0,$E$6*$G$6^MIN((A95-$F$6)/12,6)*MIN($G$6,0.85)^MAX(0,(A95-$F$6)/12-6)))</f>
        <v/>
      </c>
      <c r="G95" s="306">
        <f>IF(A95&lt;$F$7,0,IF(AND($B$21=1,A95&gt;$B$19),0,$E$7*$G$7^MIN((A95-$F$7)/12,6)*MIN($G$7,0.85)^MAX(0,(A95-$F$7)/12-6)))</f>
        <v/>
      </c>
      <c r="H95" s="306">
        <f>IF(A95&lt;$F$8,0,IF(AND($B$21=1,A95&gt;$B$19),0,$E$8*$G$8^MIN((A95-$F$8)/12,6)*MIN($G$8,0.85)^MAX(0,(A95-$F$8)/12-6)))</f>
        <v/>
      </c>
      <c r="I95" s="306">
        <f>IF(A95&lt;$F$9,0,IF(AND($B$21=1,A95&gt;$B$19),0,$E$9*$G$9^MIN((A95-$F$9)/12,6)*MIN($G$9,0.85)^MAX(0,(A95-$F$9)/12-6)))</f>
        <v/>
      </c>
      <c r="J95" s="306">
        <f>IF(A95&lt;$F$10,0,IF(AND($B$21=1,A95&gt;$B$19),0,$E$10*$G$10^MIN((A95-$F$10)/12,6)*MIN($G$10,0.85)^MAX(0,(A95-$F$10)/12-6)))</f>
        <v/>
      </c>
      <c r="K95" s="306">
        <f>SUM(F95:J95)</f>
        <v/>
      </c>
      <c r="L95" s="306">
        <f>K95/12</f>
        <v/>
      </c>
      <c r="M95" s="306">
        <f>L95*$B$8</f>
        <v/>
      </c>
      <c r="N95" s="306">
        <f>L95*$B$9</f>
        <v/>
      </c>
      <c r="O95" s="306">
        <f>L95*$B$10</f>
        <v/>
      </c>
      <c r="P95" s="306">
        <f>L95-M95-N95-O95-D95-E95</f>
        <v/>
      </c>
      <c r="Q95" s="306">
        <f>MAX(0, P95 - $B$7*L95)</f>
        <v/>
      </c>
      <c r="R95" s="306">
        <f>P95-Q95</f>
        <v/>
      </c>
      <c r="S95" s="306">
        <f>IF(A95=$F$6, $B$18*$B$16*$B$17/1000000, 0) + IF(A95=$F$7, $B$18*$B$16*$B$17/1000000, 0) + IF(A95=$F$8, $B$18*$B$16*$B$17/1000000, 0) + IF(A95=$F$9, $B$18*$B$16*$B$17/1000000, 0) + IF(A95=$F$10, $B$18*$B$16*$B$17/1000000, 0)</f>
        <v/>
      </c>
      <c r="T95" s="306">
        <f>R95-S95-C95</f>
        <v/>
      </c>
      <c r="U95" s="306">
        <f>IF(AND(A95&lt;=$B$24, T95&gt;0), T95*$B$23, 0)</f>
        <v/>
      </c>
      <c r="V95" s="306">
        <f>T95-U95</f>
        <v/>
      </c>
      <c r="W95" s="306">
        <f>IF(AND(A95=$B$19, $B$21=1), K95*$B$20, 0)</f>
        <v/>
      </c>
      <c r="X95" s="306">
        <f>X94+V95+W95</f>
        <v/>
      </c>
    </row>
    <row r="96">
      <c r="A96" s="306" t="n">
        <v>66</v>
      </c>
      <c r="B96" s="306">
        <f>CEILING(A96/12,1)</f>
        <v/>
      </c>
      <c r="C96" s="306">
        <f>IF(A96&lt;=12, $B$15/12, 0)</f>
        <v/>
      </c>
      <c r="D96" s="306">
        <f>INDEX('26. Team Comp'!$D$28:$R$28, B96) * 0.001 / 12</f>
        <v/>
      </c>
      <c r="E96" s="306">
        <f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) * 200 / 12 / 1000</f>
        <v/>
      </c>
      <c r="F96" s="306">
        <f>IF(A96&lt;$F$6,0,IF(AND($B$21=1,A96&gt;$B$19),0,$E$6*$G$6^MIN((A96-$F$6)/12,6)*MIN($G$6,0.85)^MAX(0,(A96-$F$6)/12-6)))</f>
        <v/>
      </c>
      <c r="G96" s="306">
        <f>IF(A96&lt;$F$7,0,IF(AND($B$21=1,A96&gt;$B$19),0,$E$7*$G$7^MIN((A96-$F$7)/12,6)*MIN($G$7,0.85)^MAX(0,(A96-$F$7)/12-6)))</f>
        <v/>
      </c>
      <c r="H96" s="306">
        <f>IF(A96&lt;$F$8,0,IF(AND($B$21=1,A96&gt;$B$19),0,$E$8*$G$8^MIN((A96-$F$8)/12,6)*MIN($G$8,0.85)^MAX(0,(A96-$F$8)/12-6)))</f>
        <v/>
      </c>
      <c r="I96" s="306">
        <f>IF(A96&lt;$F$9,0,IF(AND($B$21=1,A96&gt;$B$19),0,$E$9*$G$9^MIN((A96-$F$9)/12,6)*MIN($G$9,0.85)^MAX(0,(A96-$F$9)/12-6)))</f>
        <v/>
      </c>
      <c r="J96" s="306">
        <f>IF(A96&lt;$F$10,0,IF(AND($B$21=1,A96&gt;$B$19),0,$E$10*$G$10^MIN((A96-$F$10)/12,6)*MIN($G$10,0.85)^MAX(0,(A96-$F$10)/12-6)))</f>
        <v/>
      </c>
      <c r="K96" s="306">
        <f>SUM(F96:J96)</f>
        <v/>
      </c>
      <c r="L96" s="306">
        <f>K96/12</f>
        <v/>
      </c>
      <c r="M96" s="306">
        <f>L96*$B$8</f>
        <v/>
      </c>
      <c r="N96" s="306">
        <f>L96*$B$9</f>
        <v/>
      </c>
      <c r="O96" s="306">
        <f>L96*$B$10</f>
        <v/>
      </c>
      <c r="P96" s="306">
        <f>L96-M96-N96-O96-D96-E96</f>
        <v/>
      </c>
      <c r="Q96" s="306">
        <f>MAX(0, P96 - $B$7*L96)</f>
        <v/>
      </c>
      <c r="R96" s="306">
        <f>P96-Q96</f>
        <v/>
      </c>
      <c r="S96" s="306">
        <f>IF(A96=$F$6, $B$18*$B$16*$B$17/1000000, 0) + IF(A96=$F$7, $B$18*$B$16*$B$17/1000000, 0) + IF(A96=$F$8, $B$18*$B$16*$B$17/1000000, 0) + IF(A96=$F$9, $B$18*$B$16*$B$17/1000000, 0) + IF(A96=$F$10, $B$18*$B$16*$B$17/1000000, 0)</f>
        <v/>
      </c>
      <c r="T96" s="306">
        <f>R96-S96-C96</f>
        <v/>
      </c>
      <c r="U96" s="306">
        <f>IF(AND(A96&lt;=$B$24, T96&gt;0), T96*$B$23, 0)</f>
        <v/>
      </c>
      <c r="V96" s="306">
        <f>T96-U96</f>
        <v/>
      </c>
      <c r="W96" s="306">
        <f>IF(AND(A96=$B$19, $B$21=1), K96*$B$20, 0)</f>
        <v/>
      </c>
      <c r="X96" s="306">
        <f>X95+V96+W96</f>
        <v/>
      </c>
    </row>
    <row r="97">
      <c r="A97" s="306" t="n">
        <v>67</v>
      </c>
      <c r="B97" s="306">
        <f>CEILING(A97/12,1)</f>
        <v/>
      </c>
      <c r="C97" s="306">
        <f>IF(A97&lt;=12, $B$15/12, 0)</f>
        <v/>
      </c>
      <c r="D97" s="306">
        <f>INDEX('26. Team Comp'!$D$28:$R$28, B97) * 0.001 / 12</f>
        <v/>
      </c>
      <c r="E97" s="306">
        <f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) * 200 / 12 / 1000</f>
        <v/>
      </c>
      <c r="F97" s="306">
        <f>IF(A97&lt;$F$6,0,IF(AND($B$21=1,A97&gt;$B$19),0,$E$6*$G$6^MIN((A97-$F$6)/12,6)*MIN($G$6,0.85)^MAX(0,(A97-$F$6)/12-6)))</f>
        <v/>
      </c>
      <c r="G97" s="306">
        <f>IF(A97&lt;$F$7,0,IF(AND($B$21=1,A97&gt;$B$19),0,$E$7*$G$7^MIN((A97-$F$7)/12,6)*MIN($G$7,0.85)^MAX(0,(A97-$F$7)/12-6)))</f>
        <v/>
      </c>
      <c r="H97" s="306">
        <f>IF(A97&lt;$F$8,0,IF(AND($B$21=1,A97&gt;$B$19),0,$E$8*$G$8^MIN((A97-$F$8)/12,6)*MIN($G$8,0.85)^MAX(0,(A97-$F$8)/12-6)))</f>
        <v/>
      </c>
      <c r="I97" s="306">
        <f>IF(A97&lt;$F$9,0,IF(AND($B$21=1,A97&gt;$B$19),0,$E$9*$G$9^MIN((A97-$F$9)/12,6)*MIN($G$9,0.85)^MAX(0,(A97-$F$9)/12-6)))</f>
        <v/>
      </c>
      <c r="J97" s="306">
        <f>IF(A97&lt;$F$10,0,IF(AND($B$21=1,A97&gt;$B$19),0,$E$10*$G$10^MIN((A97-$F$10)/12,6)*MIN($G$10,0.85)^MAX(0,(A97-$F$10)/12-6)))</f>
        <v/>
      </c>
      <c r="K97" s="306">
        <f>SUM(F97:J97)</f>
        <v/>
      </c>
      <c r="L97" s="306">
        <f>K97/12</f>
        <v/>
      </c>
      <c r="M97" s="306">
        <f>L97*$B$8</f>
        <v/>
      </c>
      <c r="N97" s="306">
        <f>L97*$B$9</f>
        <v/>
      </c>
      <c r="O97" s="306">
        <f>L97*$B$10</f>
        <v/>
      </c>
      <c r="P97" s="306">
        <f>L97-M97-N97-O97-D97-E97</f>
        <v/>
      </c>
      <c r="Q97" s="306">
        <f>MAX(0, P97 - $B$7*L97)</f>
        <v/>
      </c>
      <c r="R97" s="306">
        <f>P97-Q97</f>
        <v/>
      </c>
      <c r="S97" s="306">
        <f>IF(A97=$F$6, $B$18*$B$16*$B$17/1000000, 0) + IF(A97=$F$7, $B$18*$B$16*$B$17/1000000, 0) + IF(A97=$F$8, $B$18*$B$16*$B$17/1000000, 0) + IF(A97=$F$9, $B$18*$B$16*$B$17/1000000, 0) + IF(A97=$F$10, $B$18*$B$16*$B$17/1000000, 0)</f>
        <v/>
      </c>
      <c r="T97" s="306">
        <f>R97-S97-C97</f>
        <v/>
      </c>
      <c r="U97" s="306">
        <f>IF(AND(A97&lt;=$B$24, T97&gt;0), T97*$B$23, 0)</f>
        <v/>
      </c>
      <c r="V97" s="306">
        <f>T97-U97</f>
        <v/>
      </c>
      <c r="W97" s="306">
        <f>IF(AND(A97=$B$19, $B$21=1), K97*$B$20, 0)</f>
        <v/>
      </c>
      <c r="X97" s="306">
        <f>X96+V97+W97</f>
        <v/>
      </c>
    </row>
    <row r="98">
      <c r="A98" s="306" t="n">
        <v>68</v>
      </c>
      <c r="B98" s="306">
        <f>CEILING(A98/12,1)</f>
        <v/>
      </c>
      <c r="C98" s="306">
        <f>IF(A98&lt;=12, $B$15/12, 0)</f>
        <v/>
      </c>
      <c r="D98" s="306">
        <f>INDEX('26. Team Comp'!$D$28:$R$28, B98) * 0.001 / 12</f>
        <v/>
      </c>
      <c r="E98" s="306">
        <f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) * 200 / 12 / 1000</f>
        <v/>
      </c>
      <c r="F98" s="306">
        <f>IF(A98&lt;$F$6,0,IF(AND($B$21=1,A98&gt;$B$19),0,$E$6*$G$6^MIN((A98-$F$6)/12,6)*MIN($G$6,0.85)^MAX(0,(A98-$F$6)/12-6)))</f>
        <v/>
      </c>
      <c r="G98" s="306">
        <f>IF(A98&lt;$F$7,0,IF(AND($B$21=1,A98&gt;$B$19),0,$E$7*$G$7^MIN((A98-$F$7)/12,6)*MIN($G$7,0.85)^MAX(0,(A98-$F$7)/12-6)))</f>
        <v/>
      </c>
      <c r="H98" s="306">
        <f>IF(A98&lt;$F$8,0,IF(AND($B$21=1,A98&gt;$B$19),0,$E$8*$G$8^MIN((A98-$F$8)/12,6)*MIN($G$8,0.85)^MAX(0,(A98-$F$8)/12-6)))</f>
        <v/>
      </c>
      <c r="I98" s="306">
        <f>IF(A98&lt;$F$9,0,IF(AND($B$21=1,A98&gt;$B$19),0,$E$9*$G$9^MIN((A98-$F$9)/12,6)*MIN($G$9,0.85)^MAX(0,(A98-$F$9)/12-6)))</f>
        <v/>
      </c>
      <c r="J98" s="306">
        <f>IF(A98&lt;$F$10,0,IF(AND($B$21=1,A98&gt;$B$19),0,$E$10*$G$10^MIN((A98-$F$10)/12,6)*MIN($G$10,0.85)^MAX(0,(A98-$F$10)/12-6)))</f>
        <v/>
      </c>
      <c r="K98" s="306">
        <f>SUM(F98:J98)</f>
        <v/>
      </c>
      <c r="L98" s="306">
        <f>K98/12</f>
        <v/>
      </c>
      <c r="M98" s="306">
        <f>L98*$B$8</f>
        <v/>
      </c>
      <c r="N98" s="306">
        <f>L98*$B$9</f>
        <v/>
      </c>
      <c r="O98" s="306">
        <f>L98*$B$10</f>
        <v/>
      </c>
      <c r="P98" s="306">
        <f>L98-M98-N98-O98-D98-E98</f>
        <v/>
      </c>
      <c r="Q98" s="306">
        <f>MAX(0, P98 - $B$7*L98)</f>
        <v/>
      </c>
      <c r="R98" s="306">
        <f>P98-Q98</f>
        <v/>
      </c>
      <c r="S98" s="306">
        <f>IF(A98=$F$6, $B$18*$B$16*$B$17/1000000, 0) + IF(A98=$F$7, $B$18*$B$16*$B$17/1000000, 0) + IF(A98=$F$8, $B$18*$B$16*$B$17/1000000, 0) + IF(A98=$F$9, $B$18*$B$16*$B$17/1000000, 0) + IF(A98=$F$10, $B$18*$B$16*$B$17/1000000, 0)</f>
        <v/>
      </c>
      <c r="T98" s="306">
        <f>R98-S98-C98</f>
        <v/>
      </c>
      <c r="U98" s="306">
        <f>IF(AND(A98&lt;=$B$24, T98&gt;0), T98*$B$23, 0)</f>
        <v/>
      </c>
      <c r="V98" s="306">
        <f>T98-U98</f>
        <v/>
      </c>
      <c r="W98" s="306">
        <f>IF(AND(A98=$B$19, $B$21=1), K98*$B$20, 0)</f>
        <v/>
      </c>
      <c r="X98" s="306">
        <f>X97+V98+W98</f>
        <v/>
      </c>
    </row>
    <row r="99">
      <c r="A99" s="306" t="n">
        <v>69</v>
      </c>
      <c r="B99" s="306">
        <f>CEILING(A99/12,1)</f>
        <v/>
      </c>
      <c r="C99" s="306">
        <f>IF(A99&lt;=12, $B$15/12, 0)</f>
        <v/>
      </c>
      <c r="D99" s="306">
        <f>INDEX('26. Team Comp'!$D$28:$R$28, B99) * 0.001 / 12</f>
        <v/>
      </c>
      <c r="E99" s="306">
        <f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) * 200 / 12 / 1000</f>
        <v/>
      </c>
      <c r="F99" s="306">
        <f>IF(A99&lt;$F$6,0,IF(AND($B$21=1,A99&gt;$B$19),0,$E$6*$G$6^MIN((A99-$F$6)/12,6)*MIN($G$6,0.85)^MAX(0,(A99-$F$6)/12-6)))</f>
        <v/>
      </c>
      <c r="G99" s="306">
        <f>IF(A99&lt;$F$7,0,IF(AND($B$21=1,A99&gt;$B$19),0,$E$7*$G$7^MIN((A99-$F$7)/12,6)*MIN($G$7,0.85)^MAX(0,(A99-$F$7)/12-6)))</f>
        <v/>
      </c>
      <c r="H99" s="306">
        <f>IF(A99&lt;$F$8,0,IF(AND($B$21=1,A99&gt;$B$19),0,$E$8*$G$8^MIN((A99-$F$8)/12,6)*MIN($G$8,0.85)^MAX(0,(A99-$F$8)/12-6)))</f>
        <v/>
      </c>
      <c r="I99" s="306">
        <f>IF(A99&lt;$F$9,0,IF(AND($B$21=1,A99&gt;$B$19),0,$E$9*$G$9^MIN((A99-$F$9)/12,6)*MIN($G$9,0.85)^MAX(0,(A99-$F$9)/12-6)))</f>
        <v/>
      </c>
      <c r="J99" s="306">
        <f>IF(A99&lt;$F$10,0,IF(AND($B$21=1,A99&gt;$B$19),0,$E$10*$G$10^MIN((A99-$F$10)/12,6)*MIN($G$10,0.85)^MAX(0,(A99-$F$10)/12-6)))</f>
        <v/>
      </c>
      <c r="K99" s="306">
        <f>SUM(F99:J99)</f>
        <v/>
      </c>
      <c r="L99" s="306">
        <f>K99/12</f>
        <v/>
      </c>
      <c r="M99" s="306">
        <f>L99*$B$8</f>
        <v/>
      </c>
      <c r="N99" s="306">
        <f>L99*$B$9</f>
        <v/>
      </c>
      <c r="O99" s="306">
        <f>L99*$B$10</f>
        <v/>
      </c>
      <c r="P99" s="306">
        <f>L99-M99-N99-O99-D99-E99</f>
        <v/>
      </c>
      <c r="Q99" s="306">
        <f>MAX(0, P99 - $B$7*L99)</f>
        <v/>
      </c>
      <c r="R99" s="306">
        <f>P99-Q99</f>
        <v/>
      </c>
      <c r="S99" s="306">
        <f>IF(A99=$F$6, $B$18*$B$16*$B$17/1000000, 0) + IF(A99=$F$7, $B$18*$B$16*$B$17/1000000, 0) + IF(A99=$F$8, $B$18*$B$16*$B$17/1000000, 0) + IF(A99=$F$9, $B$18*$B$16*$B$17/1000000, 0) + IF(A99=$F$10, $B$18*$B$16*$B$17/1000000, 0)</f>
        <v/>
      </c>
      <c r="T99" s="306">
        <f>R99-S99-C99</f>
        <v/>
      </c>
      <c r="U99" s="306">
        <f>IF(AND(A99&lt;=$B$24, T99&gt;0), T99*$B$23, 0)</f>
        <v/>
      </c>
      <c r="V99" s="306">
        <f>T99-U99</f>
        <v/>
      </c>
      <c r="W99" s="306">
        <f>IF(AND(A99=$B$19, $B$21=1), K99*$B$20, 0)</f>
        <v/>
      </c>
      <c r="X99" s="306">
        <f>X98+V99+W99</f>
        <v/>
      </c>
    </row>
    <row r="100">
      <c r="A100" s="306" t="n">
        <v>70</v>
      </c>
      <c r="B100" s="306">
        <f>CEILING(A100/12,1)</f>
        <v/>
      </c>
      <c r="C100" s="306">
        <f>IF(A100&lt;=12, $B$15/12, 0)</f>
        <v/>
      </c>
      <c r="D100" s="306">
        <f>INDEX('26. Team Comp'!$D$28:$R$28, B100) * 0.001 / 12</f>
        <v/>
      </c>
      <c r="E100" s="306">
        <f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) * 200 / 12 / 1000</f>
        <v/>
      </c>
      <c r="F100" s="306">
        <f>IF(A100&lt;$F$6,0,IF(AND($B$21=1,A100&gt;$B$19),0,$E$6*$G$6^MIN((A100-$F$6)/12,6)*MIN($G$6,0.85)^MAX(0,(A100-$F$6)/12-6)))</f>
        <v/>
      </c>
      <c r="G100" s="306">
        <f>IF(A100&lt;$F$7,0,IF(AND($B$21=1,A100&gt;$B$19),0,$E$7*$G$7^MIN((A100-$F$7)/12,6)*MIN($G$7,0.85)^MAX(0,(A100-$F$7)/12-6)))</f>
        <v/>
      </c>
      <c r="H100" s="306">
        <f>IF(A100&lt;$F$8,0,IF(AND($B$21=1,A100&gt;$B$19),0,$E$8*$G$8^MIN((A100-$F$8)/12,6)*MIN($G$8,0.85)^MAX(0,(A100-$F$8)/12-6)))</f>
        <v/>
      </c>
      <c r="I100" s="306">
        <f>IF(A100&lt;$F$9,0,IF(AND($B$21=1,A100&gt;$B$19),0,$E$9*$G$9^MIN((A100-$F$9)/12,6)*MIN($G$9,0.85)^MAX(0,(A100-$F$9)/12-6)))</f>
        <v/>
      </c>
      <c r="J100" s="306">
        <f>IF(A100&lt;$F$10,0,IF(AND($B$21=1,A100&gt;$B$19),0,$E$10*$G$10^MIN((A100-$F$10)/12,6)*MIN($G$10,0.85)^MAX(0,(A100-$F$10)/12-6)))</f>
        <v/>
      </c>
      <c r="K100" s="306">
        <f>SUM(F100:J100)</f>
        <v/>
      </c>
      <c r="L100" s="306">
        <f>K100/12</f>
        <v/>
      </c>
      <c r="M100" s="306">
        <f>L100*$B$8</f>
        <v/>
      </c>
      <c r="N100" s="306">
        <f>L100*$B$9</f>
        <v/>
      </c>
      <c r="O100" s="306">
        <f>L100*$B$10</f>
        <v/>
      </c>
      <c r="P100" s="306">
        <f>L100-M100-N100-O100-D100-E100</f>
        <v/>
      </c>
      <c r="Q100" s="306">
        <f>MAX(0, P100 - $B$7*L100)</f>
        <v/>
      </c>
      <c r="R100" s="306">
        <f>P100-Q100</f>
        <v/>
      </c>
      <c r="S100" s="306">
        <f>IF(A100=$F$6, $B$18*$B$16*$B$17/1000000, 0) + IF(A100=$F$7, $B$18*$B$16*$B$17/1000000, 0) + IF(A100=$F$8, $B$18*$B$16*$B$17/1000000, 0) + IF(A100=$F$9, $B$18*$B$16*$B$17/1000000, 0) + IF(A100=$F$10, $B$18*$B$16*$B$17/1000000, 0)</f>
        <v/>
      </c>
      <c r="T100" s="306">
        <f>R100-S100-C100</f>
        <v/>
      </c>
      <c r="U100" s="306">
        <f>IF(AND(A100&lt;=$B$24, T100&gt;0), T100*$B$23, 0)</f>
        <v/>
      </c>
      <c r="V100" s="306">
        <f>T100-U100</f>
        <v/>
      </c>
      <c r="W100" s="306">
        <f>IF(AND(A100=$B$19, $B$21=1), K100*$B$20, 0)</f>
        <v/>
      </c>
      <c r="X100" s="306">
        <f>X99+V100+W100</f>
        <v/>
      </c>
    </row>
    <row r="101">
      <c r="A101" s="306" t="n">
        <v>71</v>
      </c>
      <c r="B101" s="306">
        <f>CEILING(A101/12,1)</f>
        <v/>
      </c>
      <c r="C101" s="306">
        <f>IF(A101&lt;=12, $B$15/12, 0)</f>
        <v/>
      </c>
      <c r="D101" s="306">
        <f>INDEX('26. Team Comp'!$D$28:$R$28, B101) * 0.001 / 12</f>
        <v/>
      </c>
      <c r="E101" s="306">
        <f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) * 200 / 12 / 1000</f>
        <v/>
      </c>
      <c r="F101" s="306">
        <f>IF(A101&lt;$F$6,0,IF(AND($B$21=1,A101&gt;$B$19),0,$E$6*$G$6^MIN((A101-$F$6)/12,6)*MIN($G$6,0.85)^MAX(0,(A101-$F$6)/12-6)))</f>
        <v/>
      </c>
      <c r="G101" s="306">
        <f>IF(A101&lt;$F$7,0,IF(AND($B$21=1,A101&gt;$B$19),0,$E$7*$G$7^MIN((A101-$F$7)/12,6)*MIN($G$7,0.85)^MAX(0,(A101-$F$7)/12-6)))</f>
        <v/>
      </c>
      <c r="H101" s="306">
        <f>IF(A101&lt;$F$8,0,IF(AND($B$21=1,A101&gt;$B$19),0,$E$8*$G$8^MIN((A101-$F$8)/12,6)*MIN($G$8,0.85)^MAX(0,(A101-$F$8)/12-6)))</f>
        <v/>
      </c>
      <c r="I101" s="306">
        <f>IF(A101&lt;$F$9,0,IF(AND($B$21=1,A101&gt;$B$19),0,$E$9*$G$9^MIN((A101-$F$9)/12,6)*MIN($G$9,0.85)^MAX(0,(A101-$F$9)/12-6)))</f>
        <v/>
      </c>
      <c r="J101" s="306">
        <f>IF(A101&lt;$F$10,0,IF(AND($B$21=1,A101&gt;$B$19),0,$E$10*$G$10^MIN((A101-$F$10)/12,6)*MIN($G$10,0.85)^MAX(0,(A101-$F$10)/12-6)))</f>
        <v/>
      </c>
      <c r="K101" s="306">
        <f>SUM(F101:J101)</f>
        <v/>
      </c>
      <c r="L101" s="306">
        <f>K101/12</f>
        <v/>
      </c>
      <c r="M101" s="306">
        <f>L101*$B$8</f>
        <v/>
      </c>
      <c r="N101" s="306">
        <f>L101*$B$9</f>
        <v/>
      </c>
      <c r="O101" s="306">
        <f>L101*$B$10</f>
        <v/>
      </c>
      <c r="P101" s="306">
        <f>L101-M101-N101-O101-D101-E101</f>
        <v/>
      </c>
      <c r="Q101" s="306">
        <f>MAX(0, P101 - $B$7*L101)</f>
        <v/>
      </c>
      <c r="R101" s="306">
        <f>P101-Q101</f>
        <v/>
      </c>
      <c r="S101" s="306">
        <f>IF(A101=$F$6, $B$18*$B$16*$B$17/1000000, 0) + IF(A101=$F$7, $B$18*$B$16*$B$17/1000000, 0) + IF(A101=$F$8, $B$18*$B$16*$B$17/1000000, 0) + IF(A101=$F$9, $B$18*$B$16*$B$17/1000000, 0) + IF(A101=$F$10, $B$18*$B$16*$B$17/1000000, 0)</f>
        <v/>
      </c>
      <c r="T101" s="306">
        <f>R101-S101-C101</f>
        <v/>
      </c>
      <c r="U101" s="306">
        <f>IF(AND(A101&lt;=$B$24, T101&gt;0), T101*$B$23, 0)</f>
        <v/>
      </c>
      <c r="V101" s="306">
        <f>T101-U101</f>
        <v/>
      </c>
      <c r="W101" s="306">
        <f>IF(AND(A101=$B$19, $B$21=1), K101*$B$20, 0)</f>
        <v/>
      </c>
      <c r="X101" s="306">
        <f>X100+V101+W101</f>
        <v/>
      </c>
    </row>
    <row r="102">
      <c r="A102" s="306" t="n">
        <v>72</v>
      </c>
      <c r="B102" s="306">
        <f>CEILING(A102/12,1)</f>
        <v/>
      </c>
      <c r="C102" s="306">
        <f>IF(A102&lt;=12, $B$15/12, 0)</f>
        <v/>
      </c>
      <c r="D102" s="306">
        <f>INDEX('26. Team Comp'!$D$28:$R$28, B102) * 0.001 / 12</f>
        <v/>
      </c>
      <c r="E102" s="306">
        <f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) * 200 / 12 / 1000</f>
        <v/>
      </c>
      <c r="F102" s="306">
        <f>IF(A102&lt;$F$6,0,IF(AND($B$21=1,A102&gt;$B$19),0,$E$6*$G$6^MIN((A102-$F$6)/12,6)*MIN($G$6,0.85)^MAX(0,(A102-$F$6)/12-6)))</f>
        <v/>
      </c>
      <c r="G102" s="306">
        <f>IF(A102&lt;$F$7,0,IF(AND($B$21=1,A102&gt;$B$19),0,$E$7*$G$7^MIN((A102-$F$7)/12,6)*MIN($G$7,0.85)^MAX(0,(A102-$F$7)/12-6)))</f>
        <v/>
      </c>
      <c r="H102" s="306">
        <f>IF(A102&lt;$F$8,0,IF(AND($B$21=1,A102&gt;$B$19),0,$E$8*$G$8^MIN((A102-$F$8)/12,6)*MIN($G$8,0.85)^MAX(0,(A102-$F$8)/12-6)))</f>
        <v/>
      </c>
      <c r="I102" s="306">
        <f>IF(A102&lt;$F$9,0,IF(AND($B$21=1,A102&gt;$B$19),0,$E$9*$G$9^MIN((A102-$F$9)/12,6)*MIN($G$9,0.85)^MAX(0,(A102-$F$9)/12-6)))</f>
        <v/>
      </c>
      <c r="J102" s="306">
        <f>IF(A102&lt;$F$10,0,IF(AND($B$21=1,A102&gt;$B$19),0,$E$10*$G$10^MIN((A102-$F$10)/12,6)*MIN($G$10,0.85)^MAX(0,(A102-$F$10)/12-6)))</f>
        <v/>
      </c>
      <c r="K102" s="306">
        <f>SUM(F102:J102)</f>
        <v/>
      </c>
      <c r="L102" s="306">
        <f>K102/12</f>
        <v/>
      </c>
      <c r="M102" s="306">
        <f>L102*$B$8</f>
        <v/>
      </c>
      <c r="N102" s="306">
        <f>L102*$B$9</f>
        <v/>
      </c>
      <c r="O102" s="306">
        <f>L102*$B$10</f>
        <v/>
      </c>
      <c r="P102" s="306">
        <f>L102-M102-N102-O102-D102-E102</f>
        <v/>
      </c>
      <c r="Q102" s="306">
        <f>MAX(0, P102 - $B$7*L102)</f>
        <v/>
      </c>
      <c r="R102" s="306">
        <f>P102-Q102</f>
        <v/>
      </c>
      <c r="S102" s="306">
        <f>IF(A102=$F$6, $B$18*$B$16*$B$17/1000000, 0) + IF(A102=$F$7, $B$18*$B$16*$B$17/1000000, 0) + IF(A102=$F$8, $B$18*$B$16*$B$17/1000000, 0) + IF(A102=$F$9, $B$18*$B$16*$B$17/1000000, 0) + IF(A102=$F$10, $B$18*$B$16*$B$17/1000000, 0)</f>
        <v/>
      </c>
      <c r="T102" s="306">
        <f>R102-S102-C102</f>
        <v/>
      </c>
      <c r="U102" s="306">
        <f>IF(AND(A102&lt;=$B$24, T102&gt;0), T102*$B$23, 0)</f>
        <v/>
      </c>
      <c r="V102" s="306">
        <f>T102-U102</f>
        <v/>
      </c>
      <c r="W102" s="306">
        <f>IF(AND(A102=$B$19, $B$21=1), K102*$B$20, 0)</f>
        <v/>
      </c>
      <c r="X102" s="306">
        <f>X101+V102+W102</f>
        <v/>
      </c>
    </row>
    <row r="103">
      <c r="A103" s="306" t="n">
        <v>73</v>
      </c>
      <c r="B103" s="306">
        <f>CEILING(A103/12,1)</f>
        <v/>
      </c>
      <c r="C103" s="306">
        <f>IF(A103&lt;=12, $B$15/12, 0)</f>
        <v/>
      </c>
      <c r="D103" s="306">
        <f>INDEX('26. Team Comp'!$D$28:$R$28, B103) * 0.001 / 12</f>
        <v/>
      </c>
      <c r="E103" s="306">
        <f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) * 200 / 12 / 1000</f>
        <v/>
      </c>
      <c r="F103" s="306">
        <f>IF(A103&lt;$F$6,0,IF(AND($B$21=1,A103&gt;$B$19),0,$E$6*$G$6^MIN((A103-$F$6)/12,6)*MIN($G$6,0.85)^MAX(0,(A103-$F$6)/12-6)))</f>
        <v/>
      </c>
      <c r="G103" s="306">
        <f>IF(A103&lt;$F$7,0,IF(AND($B$21=1,A103&gt;$B$19),0,$E$7*$G$7^MIN((A103-$F$7)/12,6)*MIN($G$7,0.85)^MAX(0,(A103-$F$7)/12-6)))</f>
        <v/>
      </c>
      <c r="H103" s="306">
        <f>IF(A103&lt;$F$8,0,IF(AND($B$21=1,A103&gt;$B$19),0,$E$8*$G$8^MIN((A103-$F$8)/12,6)*MIN($G$8,0.85)^MAX(0,(A103-$F$8)/12-6)))</f>
        <v/>
      </c>
      <c r="I103" s="306">
        <f>IF(A103&lt;$F$9,0,IF(AND($B$21=1,A103&gt;$B$19),0,$E$9*$G$9^MIN((A103-$F$9)/12,6)*MIN($G$9,0.85)^MAX(0,(A103-$F$9)/12-6)))</f>
        <v/>
      </c>
      <c r="J103" s="306">
        <f>IF(A103&lt;$F$10,0,IF(AND($B$21=1,A103&gt;$B$19),0,$E$10*$G$10^MIN((A103-$F$10)/12,6)*MIN($G$10,0.85)^MAX(0,(A103-$F$10)/12-6)))</f>
        <v/>
      </c>
      <c r="K103" s="306">
        <f>SUM(F103:J103)</f>
        <v/>
      </c>
      <c r="L103" s="306">
        <f>K103/12</f>
        <v/>
      </c>
      <c r="M103" s="306">
        <f>L103*$B$8</f>
        <v/>
      </c>
      <c r="N103" s="306">
        <f>L103*$B$9</f>
        <v/>
      </c>
      <c r="O103" s="306">
        <f>L103*$B$10</f>
        <v/>
      </c>
      <c r="P103" s="306">
        <f>L103-M103-N103-O103-D103-E103</f>
        <v/>
      </c>
      <c r="Q103" s="306">
        <f>MAX(0, P103 - $B$7*L103)</f>
        <v/>
      </c>
      <c r="R103" s="306">
        <f>P103-Q103</f>
        <v/>
      </c>
      <c r="S103" s="306">
        <f>IF(A103=$F$6, $B$18*$B$16*$B$17/1000000, 0) + IF(A103=$F$7, $B$18*$B$16*$B$17/1000000, 0) + IF(A103=$F$8, $B$18*$B$16*$B$17/1000000, 0) + IF(A103=$F$9, $B$18*$B$16*$B$17/1000000, 0) + IF(A103=$F$10, $B$18*$B$16*$B$17/1000000, 0)</f>
        <v/>
      </c>
      <c r="T103" s="306">
        <f>R103-S103-C103</f>
        <v/>
      </c>
      <c r="U103" s="306">
        <f>IF(AND(A103&lt;=$B$24, T103&gt;0), T103*$B$23, 0)</f>
        <v/>
      </c>
      <c r="V103" s="306">
        <f>T103-U103</f>
        <v/>
      </c>
      <c r="W103" s="306">
        <f>IF(AND(A103=$B$19, $B$21=1), K103*$B$20, 0)</f>
        <v/>
      </c>
      <c r="X103" s="306">
        <f>X102+V103+W103</f>
        <v/>
      </c>
    </row>
    <row r="104">
      <c r="A104" s="306" t="n">
        <v>74</v>
      </c>
      <c r="B104" s="306">
        <f>CEILING(A104/12,1)</f>
        <v/>
      </c>
      <c r="C104" s="306">
        <f>IF(A104&lt;=12, $B$15/12, 0)</f>
        <v/>
      </c>
      <c r="D104" s="306">
        <f>INDEX('26. Team Comp'!$D$28:$R$28, B104) * 0.001 / 12</f>
        <v/>
      </c>
      <c r="E104" s="306">
        <f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) * 200 / 12 / 1000</f>
        <v/>
      </c>
      <c r="F104" s="306">
        <f>IF(A104&lt;$F$6,0,IF(AND($B$21=1,A104&gt;$B$19),0,$E$6*$G$6^MIN((A104-$F$6)/12,6)*MIN($G$6,0.85)^MAX(0,(A104-$F$6)/12-6)))</f>
        <v/>
      </c>
      <c r="G104" s="306">
        <f>IF(A104&lt;$F$7,0,IF(AND($B$21=1,A104&gt;$B$19),0,$E$7*$G$7^MIN((A104-$F$7)/12,6)*MIN($G$7,0.85)^MAX(0,(A104-$F$7)/12-6)))</f>
        <v/>
      </c>
      <c r="H104" s="306">
        <f>IF(A104&lt;$F$8,0,IF(AND($B$21=1,A104&gt;$B$19),0,$E$8*$G$8^MIN((A104-$F$8)/12,6)*MIN($G$8,0.85)^MAX(0,(A104-$F$8)/12-6)))</f>
        <v/>
      </c>
      <c r="I104" s="306">
        <f>IF(A104&lt;$F$9,0,IF(AND($B$21=1,A104&gt;$B$19),0,$E$9*$G$9^MIN((A104-$F$9)/12,6)*MIN($G$9,0.85)^MAX(0,(A104-$F$9)/12-6)))</f>
        <v/>
      </c>
      <c r="J104" s="306">
        <f>IF(A104&lt;$F$10,0,IF(AND($B$21=1,A104&gt;$B$19),0,$E$10*$G$10^MIN((A104-$F$10)/12,6)*MIN($G$10,0.85)^MAX(0,(A104-$F$10)/12-6)))</f>
        <v/>
      </c>
      <c r="K104" s="306">
        <f>SUM(F104:J104)</f>
        <v/>
      </c>
      <c r="L104" s="306">
        <f>K104/12</f>
        <v/>
      </c>
      <c r="M104" s="306">
        <f>L104*$B$8</f>
        <v/>
      </c>
      <c r="N104" s="306">
        <f>L104*$B$9</f>
        <v/>
      </c>
      <c r="O104" s="306">
        <f>L104*$B$10</f>
        <v/>
      </c>
      <c r="P104" s="306">
        <f>L104-M104-N104-O104-D104-E104</f>
        <v/>
      </c>
      <c r="Q104" s="306">
        <f>MAX(0, P104 - $B$7*L104)</f>
        <v/>
      </c>
      <c r="R104" s="306">
        <f>P104-Q104</f>
        <v/>
      </c>
      <c r="S104" s="306">
        <f>IF(A104=$F$6, $B$18*$B$16*$B$17/1000000, 0) + IF(A104=$F$7, $B$18*$B$16*$B$17/1000000, 0) + IF(A104=$F$8, $B$18*$B$16*$B$17/1000000, 0) + IF(A104=$F$9, $B$18*$B$16*$B$17/1000000, 0) + IF(A104=$F$10, $B$18*$B$16*$B$17/1000000, 0)</f>
        <v/>
      </c>
      <c r="T104" s="306">
        <f>R104-S104-C104</f>
        <v/>
      </c>
      <c r="U104" s="306">
        <f>IF(AND(A104&lt;=$B$24, T104&gt;0), T104*$B$23, 0)</f>
        <v/>
      </c>
      <c r="V104" s="306">
        <f>T104-U104</f>
        <v/>
      </c>
      <c r="W104" s="306">
        <f>IF(AND(A104=$B$19, $B$21=1), K104*$B$20, 0)</f>
        <v/>
      </c>
      <c r="X104" s="306">
        <f>X103+V104+W104</f>
        <v/>
      </c>
    </row>
    <row r="105">
      <c r="A105" s="306" t="n">
        <v>75</v>
      </c>
      <c r="B105" s="306">
        <f>CEILING(A105/12,1)</f>
        <v/>
      </c>
      <c r="C105" s="306">
        <f>IF(A105&lt;=12, $B$15/12, 0)</f>
        <v/>
      </c>
      <c r="D105" s="306">
        <f>INDEX('26. Team Comp'!$D$28:$R$28, B105) * 0.001 / 12</f>
        <v/>
      </c>
      <c r="E105" s="306">
        <f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) * 200 / 12 / 1000</f>
        <v/>
      </c>
      <c r="F105" s="306">
        <f>IF(A105&lt;$F$6,0,IF(AND($B$21=1,A105&gt;$B$19),0,$E$6*$G$6^MIN((A105-$F$6)/12,6)*MIN($G$6,0.85)^MAX(0,(A105-$F$6)/12-6)))</f>
        <v/>
      </c>
      <c r="G105" s="306">
        <f>IF(A105&lt;$F$7,0,IF(AND($B$21=1,A105&gt;$B$19),0,$E$7*$G$7^MIN((A105-$F$7)/12,6)*MIN($G$7,0.85)^MAX(0,(A105-$F$7)/12-6)))</f>
        <v/>
      </c>
      <c r="H105" s="306">
        <f>IF(A105&lt;$F$8,0,IF(AND($B$21=1,A105&gt;$B$19),0,$E$8*$G$8^MIN((A105-$F$8)/12,6)*MIN($G$8,0.85)^MAX(0,(A105-$F$8)/12-6)))</f>
        <v/>
      </c>
      <c r="I105" s="306">
        <f>IF(A105&lt;$F$9,0,IF(AND($B$21=1,A105&gt;$B$19),0,$E$9*$G$9^MIN((A105-$F$9)/12,6)*MIN($G$9,0.85)^MAX(0,(A105-$F$9)/12-6)))</f>
        <v/>
      </c>
      <c r="J105" s="306">
        <f>IF(A105&lt;$F$10,0,IF(AND($B$21=1,A105&gt;$B$19),0,$E$10*$G$10^MIN((A105-$F$10)/12,6)*MIN($G$10,0.85)^MAX(0,(A105-$F$10)/12-6)))</f>
        <v/>
      </c>
      <c r="K105" s="306">
        <f>SUM(F105:J105)</f>
        <v/>
      </c>
      <c r="L105" s="306">
        <f>K105/12</f>
        <v/>
      </c>
      <c r="M105" s="306">
        <f>L105*$B$8</f>
        <v/>
      </c>
      <c r="N105" s="306">
        <f>L105*$B$9</f>
        <v/>
      </c>
      <c r="O105" s="306">
        <f>L105*$B$10</f>
        <v/>
      </c>
      <c r="P105" s="306">
        <f>L105-M105-N105-O105-D105-E105</f>
        <v/>
      </c>
      <c r="Q105" s="306">
        <f>MAX(0, P105 - $B$7*L105)</f>
        <v/>
      </c>
      <c r="R105" s="306">
        <f>P105-Q105</f>
        <v/>
      </c>
      <c r="S105" s="306">
        <f>IF(A105=$F$6, $B$18*$B$16*$B$17/1000000, 0) + IF(A105=$F$7, $B$18*$B$16*$B$17/1000000, 0) + IF(A105=$F$8, $B$18*$B$16*$B$17/1000000, 0) + IF(A105=$F$9, $B$18*$B$16*$B$17/1000000, 0) + IF(A105=$F$10, $B$18*$B$16*$B$17/1000000, 0)</f>
        <v/>
      </c>
      <c r="T105" s="306">
        <f>R105-S105-C105</f>
        <v/>
      </c>
      <c r="U105" s="306">
        <f>IF(AND(A105&lt;=$B$24, T105&gt;0), T105*$B$23, 0)</f>
        <v/>
      </c>
      <c r="V105" s="306">
        <f>T105-U105</f>
        <v/>
      </c>
      <c r="W105" s="306">
        <f>IF(AND(A105=$B$19, $B$21=1), K105*$B$20, 0)</f>
        <v/>
      </c>
      <c r="X105" s="306">
        <f>X104+V105+W105</f>
        <v/>
      </c>
    </row>
    <row r="106">
      <c r="A106" s="306" t="n">
        <v>76</v>
      </c>
      <c r="B106" s="306">
        <f>CEILING(A106/12,1)</f>
        <v/>
      </c>
      <c r="C106" s="306">
        <f>IF(A106&lt;=12, $B$15/12, 0)</f>
        <v/>
      </c>
      <c r="D106" s="306">
        <f>INDEX('26. Team Comp'!$D$28:$R$28, B106) * 0.001 / 12</f>
        <v/>
      </c>
      <c r="E106" s="306">
        <f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) * 200 / 12 / 1000</f>
        <v/>
      </c>
      <c r="F106" s="306">
        <f>IF(A106&lt;$F$6,0,IF(AND($B$21=1,A106&gt;$B$19),0,$E$6*$G$6^MIN((A106-$F$6)/12,6)*MIN($G$6,0.85)^MAX(0,(A106-$F$6)/12-6)))</f>
        <v/>
      </c>
      <c r="G106" s="306">
        <f>IF(A106&lt;$F$7,0,IF(AND($B$21=1,A106&gt;$B$19),0,$E$7*$G$7^MIN((A106-$F$7)/12,6)*MIN($G$7,0.85)^MAX(0,(A106-$F$7)/12-6)))</f>
        <v/>
      </c>
      <c r="H106" s="306">
        <f>IF(A106&lt;$F$8,0,IF(AND($B$21=1,A106&gt;$B$19),0,$E$8*$G$8^MIN((A106-$F$8)/12,6)*MIN($G$8,0.85)^MAX(0,(A106-$F$8)/12-6)))</f>
        <v/>
      </c>
      <c r="I106" s="306">
        <f>IF(A106&lt;$F$9,0,IF(AND($B$21=1,A106&gt;$B$19),0,$E$9*$G$9^MIN((A106-$F$9)/12,6)*MIN($G$9,0.85)^MAX(0,(A106-$F$9)/12-6)))</f>
        <v/>
      </c>
      <c r="J106" s="306">
        <f>IF(A106&lt;$F$10,0,IF(AND($B$21=1,A106&gt;$B$19),0,$E$10*$G$10^MIN((A106-$F$10)/12,6)*MIN($G$10,0.85)^MAX(0,(A106-$F$10)/12-6)))</f>
        <v/>
      </c>
      <c r="K106" s="306">
        <f>SUM(F106:J106)</f>
        <v/>
      </c>
      <c r="L106" s="306">
        <f>K106/12</f>
        <v/>
      </c>
      <c r="M106" s="306">
        <f>L106*$B$8</f>
        <v/>
      </c>
      <c r="N106" s="306">
        <f>L106*$B$9</f>
        <v/>
      </c>
      <c r="O106" s="306">
        <f>L106*$B$10</f>
        <v/>
      </c>
      <c r="P106" s="306">
        <f>L106-M106-N106-O106-D106-E106</f>
        <v/>
      </c>
      <c r="Q106" s="306">
        <f>MAX(0, P106 - $B$7*L106)</f>
        <v/>
      </c>
      <c r="R106" s="306">
        <f>P106-Q106</f>
        <v/>
      </c>
      <c r="S106" s="306">
        <f>IF(A106=$F$6, $B$18*$B$16*$B$17/1000000, 0) + IF(A106=$F$7, $B$18*$B$16*$B$17/1000000, 0) + IF(A106=$F$8, $B$18*$B$16*$B$17/1000000, 0) + IF(A106=$F$9, $B$18*$B$16*$B$17/1000000, 0) + IF(A106=$F$10, $B$18*$B$16*$B$17/1000000, 0)</f>
        <v/>
      </c>
      <c r="T106" s="306">
        <f>R106-S106-C106</f>
        <v/>
      </c>
      <c r="U106" s="306">
        <f>IF(AND(A106&lt;=$B$24, T106&gt;0), T106*$B$23, 0)</f>
        <v/>
      </c>
      <c r="V106" s="306">
        <f>T106-U106</f>
        <v/>
      </c>
      <c r="W106" s="306">
        <f>IF(AND(A106=$B$19, $B$21=1), K106*$B$20, 0)</f>
        <v/>
      </c>
      <c r="X106" s="306">
        <f>X105+V106+W106</f>
        <v/>
      </c>
    </row>
    <row r="107">
      <c r="A107" s="306" t="n">
        <v>77</v>
      </c>
      <c r="B107" s="306">
        <f>CEILING(A107/12,1)</f>
        <v/>
      </c>
      <c r="C107" s="306">
        <f>IF(A107&lt;=12, $B$15/12, 0)</f>
        <v/>
      </c>
      <c r="D107" s="306">
        <f>INDEX('26. Team Comp'!$D$28:$R$28, B107) * 0.001 / 12</f>
        <v/>
      </c>
      <c r="E107" s="306">
        <f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) * 200 / 12 / 1000</f>
        <v/>
      </c>
      <c r="F107" s="306">
        <f>IF(A107&lt;$F$6,0,IF(AND($B$21=1,A107&gt;$B$19),0,$E$6*$G$6^MIN((A107-$F$6)/12,6)*MIN($G$6,0.85)^MAX(0,(A107-$F$6)/12-6)))</f>
        <v/>
      </c>
      <c r="G107" s="306">
        <f>IF(A107&lt;$F$7,0,IF(AND($B$21=1,A107&gt;$B$19),0,$E$7*$G$7^MIN((A107-$F$7)/12,6)*MIN($G$7,0.85)^MAX(0,(A107-$F$7)/12-6)))</f>
        <v/>
      </c>
      <c r="H107" s="306">
        <f>IF(A107&lt;$F$8,0,IF(AND($B$21=1,A107&gt;$B$19),0,$E$8*$G$8^MIN((A107-$F$8)/12,6)*MIN($G$8,0.85)^MAX(0,(A107-$F$8)/12-6)))</f>
        <v/>
      </c>
      <c r="I107" s="306">
        <f>IF(A107&lt;$F$9,0,IF(AND($B$21=1,A107&gt;$B$19),0,$E$9*$G$9^MIN((A107-$F$9)/12,6)*MIN($G$9,0.85)^MAX(0,(A107-$F$9)/12-6)))</f>
        <v/>
      </c>
      <c r="J107" s="306">
        <f>IF(A107&lt;$F$10,0,IF(AND($B$21=1,A107&gt;$B$19),0,$E$10*$G$10^MIN((A107-$F$10)/12,6)*MIN($G$10,0.85)^MAX(0,(A107-$F$10)/12-6)))</f>
        <v/>
      </c>
      <c r="K107" s="306">
        <f>SUM(F107:J107)</f>
        <v/>
      </c>
      <c r="L107" s="306">
        <f>K107/12</f>
        <v/>
      </c>
      <c r="M107" s="306">
        <f>L107*$B$8</f>
        <v/>
      </c>
      <c r="N107" s="306">
        <f>L107*$B$9</f>
        <v/>
      </c>
      <c r="O107" s="306">
        <f>L107*$B$10</f>
        <v/>
      </c>
      <c r="P107" s="306">
        <f>L107-M107-N107-O107-D107-E107</f>
        <v/>
      </c>
      <c r="Q107" s="306">
        <f>MAX(0, P107 - $B$7*L107)</f>
        <v/>
      </c>
      <c r="R107" s="306">
        <f>P107-Q107</f>
        <v/>
      </c>
      <c r="S107" s="306">
        <f>IF(A107=$F$6, $B$18*$B$16*$B$17/1000000, 0) + IF(A107=$F$7, $B$18*$B$16*$B$17/1000000, 0) + IF(A107=$F$8, $B$18*$B$16*$B$17/1000000, 0) + IF(A107=$F$9, $B$18*$B$16*$B$17/1000000, 0) + IF(A107=$F$10, $B$18*$B$16*$B$17/1000000, 0)</f>
        <v/>
      </c>
      <c r="T107" s="306">
        <f>R107-S107-C107</f>
        <v/>
      </c>
      <c r="U107" s="306">
        <f>IF(AND(A107&lt;=$B$24, T107&gt;0), T107*$B$23, 0)</f>
        <v/>
      </c>
      <c r="V107" s="306">
        <f>T107-U107</f>
        <v/>
      </c>
      <c r="W107" s="306">
        <f>IF(AND(A107=$B$19, $B$21=1), K107*$B$20, 0)</f>
        <v/>
      </c>
      <c r="X107" s="306">
        <f>X106+V107+W107</f>
        <v/>
      </c>
    </row>
    <row r="108">
      <c r="A108" s="306" t="n">
        <v>78</v>
      </c>
      <c r="B108" s="306">
        <f>CEILING(A108/12,1)</f>
        <v/>
      </c>
      <c r="C108" s="306">
        <f>IF(A108&lt;=12, $B$15/12, 0)</f>
        <v/>
      </c>
      <c r="D108" s="306">
        <f>INDEX('26. Team Comp'!$D$28:$R$28, B108) * 0.001 / 12</f>
        <v/>
      </c>
      <c r="E108" s="306">
        <f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) * 200 / 12 / 1000</f>
        <v/>
      </c>
      <c r="F108" s="306">
        <f>IF(A108&lt;$F$6,0,IF(AND($B$21=1,A108&gt;$B$19),0,$E$6*$G$6^MIN((A108-$F$6)/12,6)*MIN($G$6,0.85)^MAX(0,(A108-$F$6)/12-6)))</f>
        <v/>
      </c>
      <c r="G108" s="306">
        <f>IF(A108&lt;$F$7,0,IF(AND($B$21=1,A108&gt;$B$19),0,$E$7*$G$7^MIN((A108-$F$7)/12,6)*MIN($G$7,0.85)^MAX(0,(A108-$F$7)/12-6)))</f>
        <v/>
      </c>
      <c r="H108" s="306">
        <f>IF(A108&lt;$F$8,0,IF(AND($B$21=1,A108&gt;$B$19),0,$E$8*$G$8^MIN((A108-$F$8)/12,6)*MIN($G$8,0.85)^MAX(0,(A108-$F$8)/12-6)))</f>
        <v/>
      </c>
      <c r="I108" s="306">
        <f>IF(A108&lt;$F$9,0,IF(AND($B$21=1,A108&gt;$B$19),0,$E$9*$G$9^MIN((A108-$F$9)/12,6)*MIN($G$9,0.85)^MAX(0,(A108-$F$9)/12-6)))</f>
        <v/>
      </c>
      <c r="J108" s="306">
        <f>IF(A108&lt;$F$10,0,IF(AND($B$21=1,A108&gt;$B$19),0,$E$10*$G$10^MIN((A108-$F$10)/12,6)*MIN($G$10,0.85)^MAX(0,(A108-$F$10)/12-6)))</f>
        <v/>
      </c>
      <c r="K108" s="306">
        <f>SUM(F108:J108)</f>
        <v/>
      </c>
      <c r="L108" s="306">
        <f>K108/12</f>
        <v/>
      </c>
      <c r="M108" s="306">
        <f>L108*$B$8</f>
        <v/>
      </c>
      <c r="N108" s="306">
        <f>L108*$B$9</f>
        <v/>
      </c>
      <c r="O108" s="306">
        <f>L108*$B$10</f>
        <v/>
      </c>
      <c r="P108" s="306">
        <f>L108-M108-N108-O108-D108-E108</f>
        <v/>
      </c>
      <c r="Q108" s="306">
        <f>MAX(0, P108 - $B$7*L108)</f>
        <v/>
      </c>
      <c r="R108" s="306">
        <f>P108-Q108</f>
        <v/>
      </c>
      <c r="S108" s="306">
        <f>IF(A108=$F$6, $B$18*$B$16*$B$17/1000000, 0) + IF(A108=$F$7, $B$18*$B$16*$B$17/1000000, 0) + IF(A108=$F$8, $B$18*$B$16*$B$17/1000000, 0) + IF(A108=$F$9, $B$18*$B$16*$B$17/1000000, 0) + IF(A108=$F$10, $B$18*$B$16*$B$17/1000000, 0)</f>
        <v/>
      </c>
      <c r="T108" s="306">
        <f>R108-S108-C108</f>
        <v/>
      </c>
      <c r="U108" s="306">
        <f>IF(AND(A108&lt;=$B$24, T108&gt;0), T108*$B$23, 0)</f>
        <v/>
      </c>
      <c r="V108" s="306">
        <f>T108-U108</f>
        <v/>
      </c>
      <c r="W108" s="306">
        <f>IF(AND(A108=$B$19, $B$21=1), K108*$B$20, 0)</f>
        <v/>
      </c>
      <c r="X108" s="306">
        <f>X107+V108+W108</f>
        <v/>
      </c>
    </row>
    <row r="109">
      <c r="A109" s="306" t="n">
        <v>79</v>
      </c>
      <c r="B109" s="306">
        <f>CEILING(A109/12,1)</f>
        <v/>
      </c>
      <c r="C109" s="306">
        <f>IF(A109&lt;=12, $B$15/12, 0)</f>
        <v/>
      </c>
      <c r="D109" s="306">
        <f>INDEX('26. Team Comp'!$D$28:$R$28, B109) * 0.001 / 12</f>
        <v/>
      </c>
      <c r="E109" s="306">
        <f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) * 200 / 12 / 1000</f>
        <v/>
      </c>
      <c r="F109" s="306">
        <f>IF(A109&lt;$F$6,0,IF(AND($B$21=1,A109&gt;$B$19),0,$E$6*$G$6^MIN((A109-$F$6)/12,6)*MIN($G$6,0.85)^MAX(0,(A109-$F$6)/12-6)))</f>
        <v/>
      </c>
      <c r="G109" s="306">
        <f>IF(A109&lt;$F$7,0,IF(AND($B$21=1,A109&gt;$B$19),0,$E$7*$G$7^MIN((A109-$F$7)/12,6)*MIN($G$7,0.85)^MAX(0,(A109-$F$7)/12-6)))</f>
        <v/>
      </c>
      <c r="H109" s="306">
        <f>IF(A109&lt;$F$8,0,IF(AND($B$21=1,A109&gt;$B$19),0,$E$8*$G$8^MIN((A109-$F$8)/12,6)*MIN($G$8,0.85)^MAX(0,(A109-$F$8)/12-6)))</f>
        <v/>
      </c>
      <c r="I109" s="306">
        <f>IF(A109&lt;$F$9,0,IF(AND($B$21=1,A109&gt;$B$19),0,$E$9*$G$9^MIN((A109-$F$9)/12,6)*MIN($G$9,0.85)^MAX(0,(A109-$F$9)/12-6)))</f>
        <v/>
      </c>
      <c r="J109" s="306">
        <f>IF(A109&lt;$F$10,0,IF(AND($B$21=1,A109&gt;$B$19),0,$E$10*$G$10^MIN((A109-$F$10)/12,6)*MIN($G$10,0.85)^MAX(0,(A109-$F$10)/12-6)))</f>
        <v/>
      </c>
      <c r="K109" s="306">
        <f>SUM(F109:J109)</f>
        <v/>
      </c>
      <c r="L109" s="306">
        <f>K109/12</f>
        <v/>
      </c>
      <c r="M109" s="306">
        <f>L109*$B$8</f>
        <v/>
      </c>
      <c r="N109" s="306">
        <f>L109*$B$9</f>
        <v/>
      </c>
      <c r="O109" s="306">
        <f>L109*$B$10</f>
        <v/>
      </c>
      <c r="P109" s="306">
        <f>L109-M109-N109-O109-D109-E109</f>
        <v/>
      </c>
      <c r="Q109" s="306">
        <f>MAX(0, P109 - $B$7*L109)</f>
        <v/>
      </c>
      <c r="R109" s="306">
        <f>P109-Q109</f>
        <v/>
      </c>
      <c r="S109" s="306">
        <f>IF(A109=$F$6, $B$18*$B$16*$B$17/1000000, 0) + IF(A109=$F$7, $B$18*$B$16*$B$17/1000000, 0) + IF(A109=$F$8, $B$18*$B$16*$B$17/1000000, 0) + IF(A109=$F$9, $B$18*$B$16*$B$17/1000000, 0) + IF(A109=$F$10, $B$18*$B$16*$B$17/1000000, 0)</f>
        <v/>
      </c>
      <c r="T109" s="306">
        <f>R109-S109-C109</f>
        <v/>
      </c>
      <c r="U109" s="306">
        <f>IF(AND(A109&lt;=$B$24, T109&gt;0), T109*$B$23, 0)</f>
        <v/>
      </c>
      <c r="V109" s="306">
        <f>T109-U109</f>
        <v/>
      </c>
      <c r="W109" s="306">
        <f>IF(AND(A109=$B$19, $B$21=1), K109*$B$20, 0)</f>
        <v/>
      </c>
      <c r="X109" s="306">
        <f>X108+V109+W109</f>
        <v/>
      </c>
    </row>
    <row r="110">
      <c r="A110" s="306" t="n">
        <v>80</v>
      </c>
      <c r="B110" s="306">
        <f>CEILING(A110/12,1)</f>
        <v/>
      </c>
      <c r="C110" s="306">
        <f>IF(A110&lt;=12, $B$15/12, 0)</f>
        <v/>
      </c>
      <c r="D110" s="306">
        <f>INDEX('26. Team Comp'!$D$28:$R$28, B110) * 0.001 / 12</f>
        <v/>
      </c>
      <c r="E110" s="306">
        <f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) * 200 / 12 / 1000</f>
        <v/>
      </c>
      <c r="F110" s="306">
        <f>IF(A110&lt;$F$6,0,IF(AND($B$21=1,A110&gt;$B$19),0,$E$6*$G$6^MIN((A110-$F$6)/12,6)*MIN($G$6,0.85)^MAX(0,(A110-$F$6)/12-6)))</f>
        <v/>
      </c>
      <c r="G110" s="306">
        <f>IF(A110&lt;$F$7,0,IF(AND($B$21=1,A110&gt;$B$19),0,$E$7*$G$7^MIN((A110-$F$7)/12,6)*MIN($G$7,0.85)^MAX(0,(A110-$F$7)/12-6)))</f>
        <v/>
      </c>
      <c r="H110" s="306">
        <f>IF(A110&lt;$F$8,0,IF(AND($B$21=1,A110&gt;$B$19),0,$E$8*$G$8^MIN((A110-$F$8)/12,6)*MIN($G$8,0.85)^MAX(0,(A110-$F$8)/12-6)))</f>
        <v/>
      </c>
      <c r="I110" s="306">
        <f>IF(A110&lt;$F$9,0,IF(AND($B$21=1,A110&gt;$B$19),0,$E$9*$G$9^MIN((A110-$F$9)/12,6)*MIN($G$9,0.85)^MAX(0,(A110-$F$9)/12-6)))</f>
        <v/>
      </c>
      <c r="J110" s="306">
        <f>IF(A110&lt;$F$10,0,IF(AND($B$21=1,A110&gt;$B$19),0,$E$10*$G$10^MIN((A110-$F$10)/12,6)*MIN($G$10,0.85)^MAX(0,(A110-$F$10)/12-6)))</f>
        <v/>
      </c>
      <c r="K110" s="306">
        <f>SUM(F110:J110)</f>
        <v/>
      </c>
      <c r="L110" s="306">
        <f>K110/12</f>
        <v/>
      </c>
      <c r="M110" s="306">
        <f>L110*$B$8</f>
        <v/>
      </c>
      <c r="N110" s="306">
        <f>L110*$B$9</f>
        <v/>
      </c>
      <c r="O110" s="306">
        <f>L110*$B$10</f>
        <v/>
      </c>
      <c r="P110" s="306">
        <f>L110-M110-N110-O110-D110-E110</f>
        <v/>
      </c>
      <c r="Q110" s="306">
        <f>MAX(0, P110 - $B$7*L110)</f>
        <v/>
      </c>
      <c r="R110" s="306">
        <f>P110-Q110</f>
        <v/>
      </c>
      <c r="S110" s="306">
        <f>IF(A110=$F$6, $B$18*$B$16*$B$17/1000000, 0) + IF(A110=$F$7, $B$18*$B$16*$B$17/1000000, 0) + IF(A110=$F$8, $B$18*$B$16*$B$17/1000000, 0) + IF(A110=$F$9, $B$18*$B$16*$B$17/1000000, 0) + IF(A110=$F$10, $B$18*$B$16*$B$17/1000000, 0)</f>
        <v/>
      </c>
      <c r="T110" s="306">
        <f>R110-S110-C110</f>
        <v/>
      </c>
      <c r="U110" s="306">
        <f>IF(AND(A110&lt;=$B$24, T110&gt;0), T110*$B$23, 0)</f>
        <v/>
      </c>
      <c r="V110" s="306">
        <f>T110-U110</f>
        <v/>
      </c>
      <c r="W110" s="306">
        <f>IF(AND(A110=$B$19, $B$21=1), K110*$B$20, 0)</f>
        <v/>
      </c>
      <c r="X110" s="306">
        <f>X109+V110+W110</f>
        <v/>
      </c>
    </row>
    <row r="111">
      <c r="A111" s="306" t="n">
        <v>81</v>
      </c>
      <c r="B111" s="306">
        <f>CEILING(A111/12,1)</f>
        <v/>
      </c>
      <c r="C111" s="306">
        <f>IF(A111&lt;=12, $B$15/12, 0)</f>
        <v/>
      </c>
      <c r="D111" s="306">
        <f>INDEX('26. Team Comp'!$D$28:$R$28, B111) * 0.001 / 12</f>
        <v/>
      </c>
      <c r="E111" s="306">
        <f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) * 200 / 12 / 1000</f>
        <v/>
      </c>
      <c r="F111" s="306">
        <f>IF(A111&lt;$F$6,0,IF(AND($B$21=1,A111&gt;$B$19),0,$E$6*$G$6^MIN((A111-$F$6)/12,6)*MIN($G$6,0.85)^MAX(0,(A111-$F$6)/12-6)))</f>
        <v/>
      </c>
      <c r="G111" s="306">
        <f>IF(A111&lt;$F$7,0,IF(AND($B$21=1,A111&gt;$B$19),0,$E$7*$G$7^MIN((A111-$F$7)/12,6)*MIN($G$7,0.85)^MAX(0,(A111-$F$7)/12-6)))</f>
        <v/>
      </c>
      <c r="H111" s="306">
        <f>IF(A111&lt;$F$8,0,IF(AND($B$21=1,A111&gt;$B$19),0,$E$8*$G$8^MIN((A111-$F$8)/12,6)*MIN($G$8,0.85)^MAX(0,(A111-$F$8)/12-6)))</f>
        <v/>
      </c>
      <c r="I111" s="306">
        <f>IF(A111&lt;$F$9,0,IF(AND($B$21=1,A111&gt;$B$19),0,$E$9*$G$9^MIN((A111-$F$9)/12,6)*MIN($G$9,0.85)^MAX(0,(A111-$F$9)/12-6)))</f>
        <v/>
      </c>
      <c r="J111" s="306">
        <f>IF(A111&lt;$F$10,0,IF(AND($B$21=1,A111&gt;$B$19),0,$E$10*$G$10^MIN((A111-$F$10)/12,6)*MIN($G$10,0.85)^MAX(0,(A111-$F$10)/12-6)))</f>
        <v/>
      </c>
      <c r="K111" s="306">
        <f>SUM(F111:J111)</f>
        <v/>
      </c>
      <c r="L111" s="306">
        <f>K111/12</f>
        <v/>
      </c>
      <c r="M111" s="306">
        <f>L111*$B$8</f>
        <v/>
      </c>
      <c r="N111" s="306">
        <f>L111*$B$9</f>
        <v/>
      </c>
      <c r="O111" s="306">
        <f>L111*$B$10</f>
        <v/>
      </c>
      <c r="P111" s="306">
        <f>L111-M111-N111-O111-D111-E111</f>
        <v/>
      </c>
      <c r="Q111" s="306">
        <f>MAX(0, P111 - $B$7*L111)</f>
        <v/>
      </c>
      <c r="R111" s="306">
        <f>P111-Q111</f>
        <v/>
      </c>
      <c r="S111" s="306">
        <f>IF(A111=$F$6, $B$18*$B$16*$B$17/1000000, 0) + IF(A111=$F$7, $B$18*$B$16*$B$17/1000000, 0) + IF(A111=$F$8, $B$18*$B$16*$B$17/1000000, 0) + IF(A111=$F$9, $B$18*$B$16*$B$17/1000000, 0) + IF(A111=$F$10, $B$18*$B$16*$B$17/1000000, 0)</f>
        <v/>
      </c>
      <c r="T111" s="306">
        <f>R111-S111-C111</f>
        <v/>
      </c>
      <c r="U111" s="306">
        <f>IF(AND(A111&lt;=$B$24, T111&gt;0), T111*$B$23, 0)</f>
        <v/>
      </c>
      <c r="V111" s="306">
        <f>T111-U111</f>
        <v/>
      </c>
      <c r="W111" s="306">
        <f>IF(AND(A111=$B$19, $B$21=1), K111*$B$20, 0)</f>
        <v/>
      </c>
      <c r="X111" s="306">
        <f>X110+V111+W111</f>
        <v/>
      </c>
    </row>
    <row r="112">
      <c r="A112" s="306" t="n">
        <v>82</v>
      </c>
      <c r="B112" s="306">
        <f>CEILING(A112/12,1)</f>
        <v/>
      </c>
      <c r="C112" s="306">
        <f>IF(A112&lt;=12, $B$15/12, 0)</f>
        <v/>
      </c>
      <c r="D112" s="306">
        <f>INDEX('26. Team Comp'!$D$28:$R$28, B112) * 0.001 / 12</f>
        <v/>
      </c>
      <c r="E112" s="306">
        <f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) * 200 / 12 / 1000</f>
        <v/>
      </c>
      <c r="F112" s="306">
        <f>IF(A112&lt;$F$6,0,IF(AND($B$21=1,A112&gt;$B$19),0,$E$6*$G$6^MIN((A112-$F$6)/12,6)*MIN($G$6,0.85)^MAX(0,(A112-$F$6)/12-6)))</f>
        <v/>
      </c>
      <c r="G112" s="306">
        <f>IF(A112&lt;$F$7,0,IF(AND($B$21=1,A112&gt;$B$19),0,$E$7*$G$7^MIN((A112-$F$7)/12,6)*MIN($G$7,0.85)^MAX(0,(A112-$F$7)/12-6)))</f>
        <v/>
      </c>
      <c r="H112" s="306">
        <f>IF(A112&lt;$F$8,0,IF(AND($B$21=1,A112&gt;$B$19),0,$E$8*$G$8^MIN((A112-$F$8)/12,6)*MIN($G$8,0.85)^MAX(0,(A112-$F$8)/12-6)))</f>
        <v/>
      </c>
      <c r="I112" s="306">
        <f>IF(A112&lt;$F$9,0,IF(AND($B$21=1,A112&gt;$B$19),0,$E$9*$G$9^MIN((A112-$F$9)/12,6)*MIN($G$9,0.85)^MAX(0,(A112-$F$9)/12-6)))</f>
        <v/>
      </c>
      <c r="J112" s="306">
        <f>IF(A112&lt;$F$10,0,IF(AND($B$21=1,A112&gt;$B$19),0,$E$10*$G$10^MIN((A112-$F$10)/12,6)*MIN($G$10,0.85)^MAX(0,(A112-$F$10)/12-6)))</f>
        <v/>
      </c>
      <c r="K112" s="306">
        <f>SUM(F112:J112)</f>
        <v/>
      </c>
      <c r="L112" s="306">
        <f>K112/12</f>
        <v/>
      </c>
      <c r="M112" s="306">
        <f>L112*$B$8</f>
        <v/>
      </c>
      <c r="N112" s="306">
        <f>L112*$B$9</f>
        <v/>
      </c>
      <c r="O112" s="306">
        <f>L112*$B$10</f>
        <v/>
      </c>
      <c r="P112" s="306">
        <f>L112-M112-N112-O112-D112-E112</f>
        <v/>
      </c>
      <c r="Q112" s="306">
        <f>MAX(0, P112 - $B$7*L112)</f>
        <v/>
      </c>
      <c r="R112" s="306">
        <f>P112-Q112</f>
        <v/>
      </c>
      <c r="S112" s="306">
        <f>IF(A112=$F$6, $B$18*$B$16*$B$17/1000000, 0) + IF(A112=$F$7, $B$18*$B$16*$B$17/1000000, 0) + IF(A112=$F$8, $B$18*$B$16*$B$17/1000000, 0) + IF(A112=$F$9, $B$18*$B$16*$B$17/1000000, 0) + IF(A112=$F$10, $B$18*$B$16*$B$17/1000000, 0)</f>
        <v/>
      </c>
      <c r="T112" s="306">
        <f>R112-S112-C112</f>
        <v/>
      </c>
      <c r="U112" s="306">
        <f>IF(AND(A112&lt;=$B$24, T112&gt;0), T112*$B$23, 0)</f>
        <v/>
      </c>
      <c r="V112" s="306">
        <f>T112-U112</f>
        <v/>
      </c>
      <c r="W112" s="306">
        <f>IF(AND(A112=$B$19, $B$21=1), K112*$B$20, 0)</f>
        <v/>
      </c>
      <c r="X112" s="306">
        <f>X111+V112+W112</f>
        <v/>
      </c>
    </row>
    <row r="113">
      <c r="A113" s="306" t="n">
        <v>83</v>
      </c>
      <c r="B113" s="306">
        <f>CEILING(A113/12,1)</f>
        <v/>
      </c>
      <c r="C113" s="306">
        <f>IF(A113&lt;=12, $B$15/12, 0)</f>
        <v/>
      </c>
      <c r="D113" s="306">
        <f>INDEX('26. Team Comp'!$D$28:$R$28, B113) * 0.001 / 12</f>
        <v/>
      </c>
      <c r="E113" s="306">
        <f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) * 200 / 12 / 1000</f>
        <v/>
      </c>
      <c r="F113" s="306">
        <f>IF(A113&lt;$F$6,0,IF(AND($B$21=1,A113&gt;$B$19),0,$E$6*$G$6^MIN((A113-$F$6)/12,6)*MIN($G$6,0.85)^MAX(0,(A113-$F$6)/12-6)))</f>
        <v/>
      </c>
      <c r="G113" s="306">
        <f>IF(A113&lt;$F$7,0,IF(AND($B$21=1,A113&gt;$B$19),0,$E$7*$G$7^MIN((A113-$F$7)/12,6)*MIN($G$7,0.85)^MAX(0,(A113-$F$7)/12-6)))</f>
        <v/>
      </c>
      <c r="H113" s="306">
        <f>IF(A113&lt;$F$8,0,IF(AND($B$21=1,A113&gt;$B$19),0,$E$8*$G$8^MIN((A113-$F$8)/12,6)*MIN($G$8,0.85)^MAX(0,(A113-$F$8)/12-6)))</f>
        <v/>
      </c>
      <c r="I113" s="306">
        <f>IF(A113&lt;$F$9,0,IF(AND($B$21=1,A113&gt;$B$19),0,$E$9*$G$9^MIN((A113-$F$9)/12,6)*MIN($G$9,0.85)^MAX(0,(A113-$F$9)/12-6)))</f>
        <v/>
      </c>
      <c r="J113" s="306">
        <f>IF(A113&lt;$F$10,0,IF(AND($B$21=1,A113&gt;$B$19),0,$E$10*$G$10^MIN((A113-$F$10)/12,6)*MIN($G$10,0.85)^MAX(0,(A113-$F$10)/12-6)))</f>
        <v/>
      </c>
      <c r="K113" s="306">
        <f>SUM(F113:J113)</f>
        <v/>
      </c>
      <c r="L113" s="306">
        <f>K113/12</f>
        <v/>
      </c>
      <c r="M113" s="306">
        <f>L113*$B$8</f>
        <v/>
      </c>
      <c r="N113" s="306">
        <f>L113*$B$9</f>
        <v/>
      </c>
      <c r="O113" s="306">
        <f>L113*$B$10</f>
        <v/>
      </c>
      <c r="P113" s="306">
        <f>L113-M113-N113-O113-D113-E113</f>
        <v/>
      </c>
      <c r="Q113" s="306">
        <f>MAX(0, P113 - $B$7*L113)</f>
        <v/>
      </c>
      <c r="R113" s="306">
        <f>P113-Q113</f>
        <v/>
      </c>
      <c r="S113" s="306">
        <f>IF(A113=$F$6, $B$18*$B$16*$B$17/1000000, 0) + IF(A113=$F$7, $B$18*$B$16*$B$17/1000000, 0) + IF(A113=$F$8, $B$18*$B$16*$B$17/1000000, 0) + IF(A113=$F$9, $B$18*$B$16*$B$17/1000000, 0) + IF(A113=$F$10, $B$18*$B$16*$B$17/1000000, 0)</f>
        <v/>
      </c>
      <c r="T113" s="306">
        <f>R113-S113-C113</f>
        <v/>
      </c>
      <c r="U113" s="306">
        <f>IF(AND(A113&lt;=$B$24, T113&gt;0), T113*$B$23, 0)</f>
        <v/>
      </c>
      <c r="V113" s="306">
        <f>T113-U113</f>
        <v/>
      </c>
      <c r="W113" s="306">
        <f>IF(AND(A113=$B$19, $B$21=1), K113*$B$20, 0)</f>
        <v/>
      </c>
      <c r="X113" s="306">
        <f>X112+V113+W113</f>
        <v/>
      </c>
    </row>
    <row r="114">
      <c r="A114" s="306" t="n">
        <v>84</v>
      </c>
      <c r="B114" s="306">
        <f>CEILING(A114/12,1)</f>
        <v/>
      </c>
      <c r="C114" s="306">
        <f>IF(A114&lt;=12, $B$15/12, 0)</f>
        <v/>
      </c>
      <c r="D114" s="306">
        <f>INDEX('26. Team Comp'!$D$28:$R$28, B114) * 0.001 / 12</f>
        <v/>
      </c>
      <c r="E114" s="306">
        <f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) * 200 / 12 / 1000</f>
        <v/>
      </c>
      <c r="F114" s="306">
        <f>IF(A114&lt;$F$6,0,IF(AND($B$21=1,A114&gt;$B$19),0,$E$6*$G$6^MIN((A114-$F$6)/12,6)*MIN($G$6,0.85)^MAX(0,(A114-$F$6)/12-6)))</f>
        <v/>
      </c>
      <c r="G114" s="306">
        <f>IF(A114&lt;$F$7,0,IF(AND($B$21=1,A114&gt;$B$19),0,$E$7*$G$7^MIN((A114-$F$7)/12,6)*MIN($G$7,0.85)^MAX(0,(A114-$F$7)/12-6)))</f>
        <v/>
      </c>
      <c r="H114" s="306">
        <f>IF(A114&lt;$F$8,0,IF(AND($B$21=1,A114&gt;$B$19),0,$E$8*$G$8^MIN((A114-$F$8)/12,6)*MIN($G$8,0.85)^MAX(0,(A114-$F$8)/12-6)))</f>
        <v/>
      </c>
      <c r="I114" s="306">
        <f>IF(A114&lt;$F$9,0,IF(AND($B$21=1,A114&gt;$B$19),0,$E$9*$G$9^MIN((A114-$F$9)/12,6)*MIN($G$9,0.85)^MAX(0,(A114-$F$9)/12-6)))</f>
        <v/>
      </c>
      <c r="J114" s="306">
        <f>IF(A114&lt;$F$10,0,IF(AND($B$21=1,A114&gt;$B$19),0,$E$10*$G$10^MIN((A114-$F$10)/12,6)*MIN($G$10,0.85)^MAX(0,(A114-$F$10)/12-6)))</f>
        <v/>
      </c>
      <c r="K114" s="306">
        <f>SUM(F114:J114)</f>
        <v/>
      </c>
      <c r="L114" s="306">
        <f>K114/12</f>
        <v/>
      </c>
      <c r="M114" s="306">
        <f>L114*$B$8</f>
        <v/>
      </c>
      <c r="N114" s="306">
        <f>L114*$B$9</f>
        <v/>
      </c>
      <c r="O114" s="306">
        <f>L114*$B$10</f>
        <v/>
      </c>
      <c r="P114" s="306">
        <f>L114-M114-N114-O114-D114-E114</f>
        <v/>
      </c>
      <c r="Q114" s="306">
        <f>MAX(0, P114 - $B$7*L114)</f>
        <v/>
      </c>
      <c r="R114" s="306">
        <f>P114-Q114</f>
        <v/>
      </c>
      <c r="S114" s="306">
        <f>IF(A114=$F$6, $B$18*$B$16*$B$17/1000000, 0) + IF(A114=$F$7, $B$18*$B$16*$B$17/1000000, 0) + IF(A114=$F$8, $B$18*$B$16*$B$17/1000000, 0) + IF(A114=$F$9, $B$18*$B$16*$B$17/1000000, 0) + IF(A114=$F$10, $B$18*$B$16*$B$17/1000000, 0)</f>
        <v/>
      </c>
      <c r="T114" s="306">
        <f>R114-S114-C114</f>
        <v/>
      </c>
      <c r="U114" s="306">
        <f>IF(AND(A114&lt;=$B$24, T114&gt;0), T114*$B$23, 0)</f>
        <v/>
      </c>
      <c r="V114" s="306">
        <f>T114-U114</f>
        <v/>
      </c>
      <c r="W114" s="306">
        <f>IF(AND(A114=$B$19, $B$21=1), K114*$B$20, 0)</f>
        <v/>
      </c>
      <c r="X114" s="306">
        <f>X113+V114+W114</f>
        <v/>
      </c>
    </row>
    <row r="115">
      <c r="A115" s="306" t="n">
        <v>85</v>
      </c>
      <c r="B115" s="306">
        <f>CEILING(A115/12,1)</f>
        <v/>
      </c>
      <c r="C115" s="306">
        <f>IF(A115&lt;=12, $B$15/12, 0)</f>
        <v/>
      </c>
      <c r="D115" s="306">
        <f>INDEX('26. Team Comp'!$D$28:$R$28, B115) * 0.001 / 12</f>
        <v/>
      </c>
      <c r="E115" s="306">
        <f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) * 200 / 12 / 1000</f>
        <v/>
      </c>
      <c r="F115" s="306">
        <f>IF(A115&lt;$F$6,0,IF(AND($B$21=1,A115&gt;$B$19),0,$E$6*$G$6^MIN((A115-$F$6)/12,6)*MIN($G$6,0.85)^MAX(0,(A115-$F$6)/12-6)))</f>
        <v/>
      </c>
      <c r="G115" s="306">
        <f>IF(A115&lt;$F$7,0,IF(AND($B$21=1,A115&gt;$B$19),0,$E$7*$G$7^MIN((A115-$F$7)/12,6)*MIN($G$7,0.85)^MAX(0,(A115-$F$7)/12-6)))</f>
        <v/>
      </c>
      <c r="H115" s="306">
        <f>IF(A115&lt;$F$8,0,IF(AND($B$21=1,A115&gt;$B$19),0,$E$8*$G$8^MIN((A115-$F$8)/12,6)*MIN($G$8,0.85)^MAX(0,(A115-$F$8)/12-6)))</f>
        <v/>
      </c>
      <c r="I115" s="306">
        <f>IF(A115&lt;$F$9,0,IF(AND($B$21=1,A115&gt;$B$19),0,$E$9*$G$9^MIN((A115-$F$9)/12,6)*MIN($G$9,0.85)^MAX(0,(A115-$F$9)/12-6)))</f>
        <v/>
      </c>
      <c r="J115" s="306">
        <f>IF(A115&lt;$F$10,0,IF(AND($B$21=1,A115&gt;$B$19),0,$E$10*$G$10^MIN((A115-$F$10)/12,6)*MIN($G$10,0.85)^MAX(0,(A115-$F$10)/12-6)))</f>
        <v/>
      </c>
      <c r="K115" s="306">
        <f>SUM(F115:J115)</f>
        <v/>
      </c>
      <c r="L115" s="306">
        <f>K115/12</f>
        <v/>
      </c>
      <c r="M115" s="306">
        <f>L115*$B$8</f>
        <v/>
      </c>
      <c r="N115" s="306">
        <f>L115*$B$9</f>
        <v/>
      </c>
      <c r="O115" s="306">
        <f>L115*$B$10</f>
        <v/>
      </c>
      <c r="P115" s="306">
        <f>L115-M115-N115-O115-D115-E115</f>
        <v/>
      </c>
      <c r="Q115" s="306">
        <f>MAX(0, P115 - $B$7*L115)</f>
        <v/>
      </c>
      <c r="R115" s="306">
        <f>P115-Q115</f>
        <v/>
      </c>
      <c r="S115" s="306">
        <f>IF(A115=$F$6, $B$18*$B$16*$B$17/1000000, 0) + IF(A115=$F$7, $B$18*$B$16*$B$17/1000000, 0) + IF(A115=$F$8, $B$18*$B$16*$B$17/1000000, 0) + IF(A115=$F$9, $B$18*$B$16*$B$17/1000000, 0) + IF(A115=$F$10, $B$18*$B$16*$B$17/1000000, 0)</f>
        <v/>
      </c>
      <c r="T115" s="306">
        <f>R115-S115-C115</f>
        <v/>
      </c>
      <c r="U115" s="306">
        <f>IF(AND(A115&lt;=$B$24, T115&gt;0), T115*$B$23, 0)</f>
        <v/>
      </c>
      <c r="V115" s="306">
        <f>T115-U115</f>
        <v/>
      </c>
      <c r="W115" s="306">
        <f>IF(AND(A115=$B$19, $B$21=1), K115*$B$20, 0)</f>
        <v/>
      </c>
      <c r="X115" s="306">
        <f>X114+V115+W115</f>
        <v/>
      </c>
    </row>
    <row r="116">
      <c r="A116" s="306" t="n">
        <v>86</v>
      </c>
      <c r="B116" s="306">
        <f>CEILING(A116/12,1)</f>
        <v/>
      </c>
      <c r="C116" s="306">
        <f>IF(A116&lt;=12, $B$15/12, 0)</f>
        <v/>
      </c>
      <c r="D116" s="306">
        <f>INDEX('26. Team Comp'!$D$28:$R$28, B116) * 0.001 / 12</f>
        <v/>
      </c>
      <c r="E116" s="306">
        <f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) * 200 / 12 / 1000</f>
        <v/>
      </c>
      <c r="F116" s="306">
        <f>IF(A116&lt;$F$6,0,IF(AND($B$21=1,A116&gt;$B$19),0,$E$6*$G$6^MIN((A116-$F$6)/12,6)*MIN($G$6,0.85)^MAX(0,(A116-$F$6)/12-6)))</f>
        <v/>
      </c>
      <c r="G116" s="306">
        <f>IF(A116&lt;$F$7,0,IF(AND($B$21=1,A116&gt;$B$19),0,$E$7*$G$7^MIN((A116-$F$7)/12,6)*MIN($G$7,0.85)^MAX(0,(A116-$F$7)/12-6)))</f>
        <v/>
      </c>
      <c r="H116" s="306">
        <f>IF(A116&lt;$F$8,0,IF(AND($B$21=1,A116&gt;$B$19),0,$E$8*$G$8^MIN((A116-$F$8)/12,6)*MIN($G$8,0.85)^MAX(0,(A116-$F$8)/12-6)))</f>
        <v/>
      </c>
      <c r="I116" s="306">
        <f>IF(A116&lt;$F$9,0,IF(AND($B$21=1,A116&gt;$B$19),0,$E$9*$G$9^MIN((A116-$F$9)/12,6)*MIN($G$9,0.85)^MAX(0,(A116-$F$9)/12-6)))</f>
        <v/>
      </c>
      <c r="J116" s="306">
        <f>IF(A116&lt;$F$10,0,IF(AND($B$21=1,A116&gt;$B$19),0,$E$10*$G$10^MIN((A116-$F$10)/12,6)*MIN($G$10,0.85)^MAX(0,(A116-$F$10)/12-6)))</f>
        <v/>
      </c>
      <c r="K116" s="306">
        <f>SUM(F116:J116)</f>
        <v/>
      </c>
      <c r="L116" s="306">
        <f>K116/12</f>
        <v/>
      </c>
      <c r="M116" s="306">
        <f>L116*$B$8</f>
        <v/>
      </c>
      <c r="N116" s="306">
        <f>L116*$B$9</f>
        <v/>
      </c>
      <c r="O116" s="306">
        <f>L116*$B$10</f>
        <v/>
      </c>
      <c r="P116" s="306">
        <f>L116-M116-N116-O116-D116-E116</f>
        <v/>
      </c>
      <c r="Q116" s="306">
        <f>MAX(0, P116 - $B$7*L116)</f>
        <v/>
      </c>
      <c r="R116" s="306">
        <f>P116-Q116</f>
        <v/>
      </c>
      <c r="S116" s="306">
        <f>IF(A116=$F$6, $B$18*$B$16*$B$17/1000000, 0) + IF(A116=$F$7, $B$18*$B$16*$B$17/1000000, 0) + IF(A116=$F$8, $B$18*$B$16*$B$17/1000000, 0) + IF(A116=$F$9, $B$18*$B$16*$B$17/1000000, 0) + IF(A116=$F$10, $B$18*$B$16*$B$17/1000000, 0)</f>
        <v/>
      </c>
      <c r="T116" s="306">
        <f>R116-S116-C116</f>
        <v/>
      </c>
      <c r="U116" s="306">
        <f>IF(AND(A116&lt;=$B$24, T116&gt;0), T116*$B$23, 0)</f>
        <v/>
      </c>
      <c r="V116" s="306">
        <f>T116-U116</f>
        <v/>
      </c>
      <c r="W116" s="306">
        <f>IF(AND(A116=$B$19, $B$21=1), K116*$B$20, 0)</f>
        <v/>
      </c>
      <c r="X116" s="306">
        <f>X115+V116+W116</f>
        <v/>
      </c>
    </row>
    <row r="117">
      <c r="A117" s="306" t="n">
        <v>87</v>
      </c>
      <c r="B117" s="306">
        <f>CEILING(A117/12,1)</f>
        <v/>
      </c>
      <c r="C117" s="306">
        <f>IF(A117&lt;=12, $B$15/12, 0)</f>
        <v/>
      </c>
      <c r="D117" s="306">
        <f>INDEX('26. Team Comp'!$D$28:$R$28, B117) * 0.001 / 12</f>
        <v/>
      </c>
      <c r="E117" s="306">
        <f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) * 200 / 12 / 1000</f>
        <v/>
      </c>
      <c r="F117" s="306">
        <f>IF(A117&lt;$F$6,0,IF(AND($B$21=1,A117&gt;$B$19),0,$E$6*$G$6^MIN((A117-$F$6)/12,6)*MIN($G$6,0.85)^MAX(0,(A117-$F$6)/12-6)))</f>
        <v/>
      </c>
      <c r="G117" s="306">
        <f>IF(A117&lt;$F$7,0,IF(AND($B$21=1,A117&gt;$B$19),0,$E$7*$G$7^MIN((A117-$F$7)/12,6)*MIN($G$7,0.85)^MAX(0,(A117-$F$7)/12-6)))</f>
        <v/>
      </c>
      <c r="H117" s="306">
        <f>IF(A117&lt;$F$8,0,IF(AND($B$21=1,A117&gt;$B$19),0,$E$8*$G$8^MIN((A117-$F$8)/12,6)*MIN($G$8,0.85)^MAX(0,(A117-$F$8)/12-6)))</f>
        <v/>
      </c>
      <c r="I117" s="306">
        <f>IF(A117&lt;$F$9,0,IF(AND($B$21=1,A117&gt;$B$19),0,$E$9*$G$9^MIN((A117-$F$9)/12,6)*MIN($G$9,0.85)^MAX(0,(A117-$F$9)/12-6)))</f>
        <v/>
      </c>
      <c r="J117" s="306">
        <f>IF(A117&lt;$F$10,0,IF(AND($B$21=1,A117&gt;$B$19),0,$E$10*$G$10^MIN((A117-$F$10)/12,6)*MIN($G$10,0.85)^MAX(0,(A117-$F$10)/12-6)))</f>
        <v/>
      </c>
      <c r="K117" s="306">
        <f>SUM(F117:J117)</f>
        <v/>
      </c>
      <c r="L117" s="306">
        <f>K117/12</f>
        <v/>
      </c>
      <c r="M117" s="306">
        <f>L117*$B$8</f>
        <v/>
      </c>
      <c r="N117" s="306">
        <f>L117*$B$9</f>
        <v/>
      </c>
      <c r="O117" s="306">
        <f>L117*$B$10</f>
        <v/>
      </c>
      <c r="P117" s="306">
        <f>L117-M117-N117-O117-D117-E117</f>
        <v/>
      </c>
      <c r="Q117" s="306">
        <f>MAX(0, P117 - $B$7*L117)</f>
        <v/>
      </c>
      <c r="R117" s="306">
        <f>P117-Q117</f>
        <v/>
      </c>
      <c r="S117" s="306">
        <f>IF(A117=$F$6, $B$18*$B$16*$B$17/1000000, 0) + IF(A117=$F$7, $B$18*$B$16*$B$17/1000000, 0) + IF(A117=$F$8, $B$18*$B$16*$B$17/1000000, 0) + IF(A117=$F$9, $B$18*$B$16*$B$17/1000000, 0) + IF(A117=$F$10, $B$18*$B$16*$B$17/1000000, 0)</f>
        <v/>
      </c>
      <c r="T117" s="306">
        <f>R117-S117-C117</f>
        <v/>
      </c>
      <c r="U117" s="306">
        <f>IF(AND(A117&lt;=$B$24, T117&gt;0), T117*$B$23, 0)</f>
        <v/>
      </c>
      <c r="V117" s="306">
        <f>T117-U117</f>
        <v/>
      </c>
      <c r="W117" s="306">
        <f>IF(AND(A117=$B$19, $B$21=1), K117*$B$20, 0)</f>
        <v/>
      </c>
      <c r="X117" s="306">
        <f>X116+V117+W117</f>
        <v/>
      </c>
    </row>
    <row r="118">
      <c r="A118" s="306" t="n">
        <v>88</v>
      </c>
      <c r="B118" s="306">
        <f>CEILING(A118/12,1)</f>
        <v/>
      </c>
      <c r="C118" s="306">
        <f>IF(A118&lt;=12, $B$15/12, 0)</f>
        <v/>
      </c>
      <c r="D118" s="306">
        <f>INDEX('26. Team Comp'!$D$28:$R$28, B118) * 0.001 / 12</f>
        <v/>
      </c>
      <c r="E118" s="306">
        <f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) * 200 / 12 / 1000</f>
        <v/>
      </c>
      <c r="F118" s="306">
        <f>IF(A118&lt;$F$6,0,IF(AND($B$21=1,A118&gt;$B$19),0,$E$6*$G$6^MIN((A118-$F$6)/12,6)*MIN($G$6,0.85)^MAX(0,(A118-$F$6)/12-6)))</f>
        <v/>
      </c>
      <c r="G118" s="306">
        <f>IF(A118&lt;$F$7,0,IF(AND($B$21=1,A118&gt;$B$19),0,$E$7*$G$7^MIN((A118-$F$7)/12,6)*MIN($G$7,0.85)^MAX(0,(A118-$F$7)/12-6)))</f>
        <v/>
      </c>
      <c r="H118" s="306">
        <f>IF(A118&lt;$F$8,0,IF(AND($B$21=1,A118&gt;$B$19),0,$E$8*$G$8^MIN((A118-$F$8)/12,6)*MIN($G$8,0.85)^MAX(0,(A118-$F$8)/12-6)))</f>
        <v/>
      </c>
      <c r="I118" s="306">
        <f>IF(A118&lt;$F$9,0,IF(AND($B$21=1,A118&gt;$B$19),0,$E$9*$G$9^MIN((A118-$F$9)/12,6)*MIN($G$9,0.85)^MAX(0,(A118-$F$9)/12-6)))</f>
        <v/>
      </c>
      <c r="J118" s="306">
        <f>IF(A118&lt;$F$10,0,IF(AND($B$21=1,A118&gt;$B$19),0,$E$10*$G$10^MIN((A118-$F$10)/12,6)*MIN($G$10,0.85)^MAX(0,(A118-$F$10)/12-6)))</f>
        <v/>
      </c>
      <c r="K118" s="306">
        <f>SUM(F118:J118)</f>
        <v/>
      </c>
      <c r="L118" s="306">
        <f>K118/12</f>
        <v/>
      </c>
      <c r="M118" s="306">
        <f>L118*$B$8</f>
        <v/>
      </c>
      <c r="N118" s="306">
        <f>L118*$B$9</f>
        <v/>
      </c>
      <c r="O118" s="306">
        <f>L118*$B$10</f>
        <v/>
      </c>
      <c r="P118" s="306">
        <f>L118-M118-N118-O118-D118-E118</f>
        <v/>
      </c>
      <c r="Q118" s="306">
        <f>MAX(0, P118 - $B$7*L118)</f>
        <v/>
      </c>
      <c r="R118" s="306">
        <f>P118-Q118</f>
        <v/>
      </c>
      <c r="S118" s="306">
        <f>IF(A118=$F$6, $B$18*$B$16*$B$17/1000000, 0) + IF(A118=$F$7, $B$18*$B$16*$B$17/1000000, 0) + IF(A118=$F$8, $B$18*$B$16*$B$17/1000000, 0) + IF(A118=$F$9, $B$18*$B$16*$B$17/1000000, 0) + IF(A118=$F$10, $B$18*$B$16*$B$17/1000000, 0)</f>
        <v/>
      </c>
      <c r="T118" s="306">
        <f>R118-S118-C118</f>
        <v/>
      </c>
      <c r="U118" s="306">
        <f>IF(AND(A118&lt;=$B$24, T118&gt;0), T118*$B$23, 0)</f>
        <v/>
      </c>
      <c r="V118" s="306">
        <f>T118-U118</f>
        <v/>
      </c>
      <c r="W118" s="306">
        <f>IF(AND(A118=$B$19, $B$21=1), K118*$B$20, 0)</f>
        <v/>
      </c>
      <c r="X118" s="306">
        <f>X117+V118+W118</f>
        <v/>
      </c>
    </row>
    <row r="119">
      <c r="A119" s="306" t="n">
        <v>89</v>
      </c>
      <c r="B119" s="306">
        <f>CEILING(A119/12,1)</f>
        <v/>
      </c>
      <c r="C119" s="306">
        <f>IF(A119&lt;=12, $B$15/12, 0)</f>
        <v/>
      </c>
      <c r="D119" s="306">
        <f>INDEX('26. Team Comp'!$D$28:$R$28, B119) * 0.001 / 12</f>
        <v/>
      </c>
      <c r="E119" s="306">
        <f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) * 200 / 12 / 1000</f>
        <v/>
      </c>
      <c r="F119" s="306">
        <f>IF(A119&lt;$F$6,0,IF(AND($B$21=1,A119&gt;$B$19),0,$E$6*$G$6^MIN((A119-$F$6)/12,6)*MIN($G$6,0.85)^MAX(0,(A119-$F$6)/12-6)))</f>
        <v/>
      </c>
      <c r="G119" s="306">
        <f>IF(A119&lt;$F$7,0,IF(AND($B$21=1,A119&gt;$B$19),0,$E$7*$G$7^MIN((A119-$F$7)/12,6)*MIN($G$7,0.85)^MAX(0,(A119-$F$7)/12-6)))</f>
        <v/>
      </c>
      <c r="H119" s="306">
        <f>IF(A119&lt;$F$8,0,IF(AND($B$21=1,A119&gt;$B$19),0,$E$8*$G$8^MIN((A119-$F$8)/12,6)*MIN($G$8,0.85)^MAX(0,(A119-$F$8)/12-6)))</f>
        <v/>
      </c>
      <c r="I119" s="306">
        <f>IF(A119&lt;$F$9,0,IF(AND($B$21=1,A119&gt;$B$19),0,$E$9*$G$9^MIN((A119-$F$9)/12,6)*MIN($G$9,0.85)^MAX(0,(A119-$F$9)/12-6)))</f>
        <v/>
      </c>
      <c r="J119" s="306">
        <f>IF(A119&lt;$F$10,0,IF(AND($B$21=1,A119&gt;$B$19),0,$E$10*$G$10^MIN((A119-$F$10)/12,6)*MIN($G$10,0.85)^MAX(0,(A119-$F$10)/12-6)))</f>
        <v/>
      </c>
      <c r="K119" s="306">
        <f>SUM(F119:J119)</f>
        <v/>
      </c>
      <c r="L119" s="306">
        <f>K119/12</f>
        <v/>
      </c>
      <c r="M119" s="306">
        <f>L119*$B$8</f>
        <v/>
      </c>
      <c r="N119" s="306">
        <f>L119*$B$9</f>
        <v/>
      </c>
      <c r="O119" s="306">
        <f>L119*$B$10</f>
        <v/>
      </c>
      <c r="P119" s="306">
        <f>L119-M119-N119-O119-D119-E119</f>
        <v/>
      </c>
      <c r="Q119" s="306">
        <f>MAX(0, P119 - $B$7*L119)</f>
        <v/>
      </c>
      <c r="R119" s="306">
        <f>P119-Q119</f>
        <v/>
      </c>
      <c r="S119" s="306">
        <f>IF(A119=$F$6, $B$18*$B$16*$B$17/1000000, 0) + IF(A119=$F$7, $B$18*$B$16*$B$17/1000000, 0) + IF(A119=$F$8, $B$18*$B$16*$B$17/1000000, 0) + IF(A119=$F$9, $B$18*$B$16*$B$17/1000000, 0) + IF(A119=$F$10, $B$18*$B$16*$B$17/1000000, 0)</f>
        <v/>
      </c>
      <c r="T119" s="306">
        <f>R119-S119-C119</f>
        <v/>
      </c>
      <c r="U119" s="306">
        <f>IF(AND(A119&lt;=$B$24, T119&gt;0), T119*$B$23, 0)</f>
        <v/>
      </c>
      <c r="V119" s="306">
        <f>T119-U119</f>
        <v/>
      </c>
      <c r="W119" s="306">
        <f>IF(AND(A119=$B$19, $B$21=1), K119*$B$20, 0)</f>
        <v/>
      </c>
      <c r="X119" s="306">
        <f>X118+V119+W119</f>
        <v/>
      </c>
    </row>
    <row r="120">
      <c r="A120" s="306" t="n">
        <v>90</v>
      </c>
      <c r="B120" s="306">
        <f>CEILING(A120/12,1)</f>
        <v/>
      </c>
      <c r="C120" s="306">
        <f>IF(A120&lt;=12, $B$15/12, 0)</f>
        <v/>
      </c>
      <c r="D120" s="306">
        <f>INDEX('26. Team Comp'!$D$28:$R$28, B120) * 0.001 / 12</f>
        <v/>
      </c>
      <c r="E120" s="306">
        <f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) * 200 / 12 / 1000</f>
        <v/>
      </c>
      <c r="F120" s="306">
        <f>IF(A120&lt;$F$6,0,IF(AND($B$21=1,A120&gt;$B$19),0,$E$6*$G$6^MIN((A120-$F$6)/12,6)*MIN($G$6,0.85)^MAX(0,(A120-$F$6)/12-6)))</f>
        <v/>
      </c>
      <c r="G120" s="306">
        <f>IF(A120&lt;$F$7,0,IF(AND($B$21=1,A120&gt;$B$19),0,$E$7*$G$7^MIN((A120-$F$7)/12,6)*MIN($G$7,0.85)^MAX(0,(A120-$F$7)/12-6)))</f>
        <v/>
      </c>
      <c r="H120" s="306">
        <f>IF(A120&lt;$F$8,0,IF(AND($B$21=1,A120&gt;$B$19),0,$E$8*$G$8^MIN((A120-$F$8)/12,6)*MIN($G$8,0.85)^MAX(0,(A120-$F$8)/12-6)))</f>
        <v/>
      </c>
      <c r="I120" s="306">
        <f>IF(A120&lt;$F$9,0,IF(AND($B$21=1,A120&gt;$B$19),0,$E$9*$G$9^MIN((A120-$F$9)/12,6)*MIN($G$9,0.85)^MAX(0,(A120-$F$9)/12-6)))</f>
        <v/>
      </c>
      <c r="J120" s="306">
        <f>IF(A120&lt;$F$10,0,IF(AND($B$21=1,A120&gt;$B$19),0,$E$10*$G$10^MIN((A120-$F$10)/12,6)*MIN($G$10,0.85)^MAX(0,(A120-$F$10)/12-6)))</f>
        <v/>
      </c>
      <c r="K120" s="306">
        <f>SUM(F120:J120)</f>
        <v/>
      </c>
      <c r="L120" s="306">
        <f>K120/12</f>
        <v/>
      </c>
      <c r="M120" s="306">
        <f>L120*$B$8</f>
        <v/>
      </c>
      <c r="N120" s="306">
        <f>L120*$B$9</f>
        <v/>
      </c>
      <c r="O120" s="306">
        <f>L120*$B$10</f>
        <v/>
      </c>
      <c r="P120" s="306">
        <f>L120-M120-N120-O120-D120-E120</f>
        <v/>
      </c>
      <c r="Q120" s="306">
        <f>MAX(0, P120 - $B$7*L120)</f>
        <v/>
      </c>
      <c r="R120" s="306">
        <f>P120-Q120</f>
        <v/>
      </c>
      <c r="S120" s="306">
        <f>IF(A120=$F$6, $B$18*$B$16*$B$17/1000000, 0) + IF(A120=$F$7, $B$18*$B$16*$B$17/1000000, 0) + IF(A120=$F$8, $B$18*$B$16*$B$17/1000000, 0) + IF(A120=$F$9, $B$18*$B$16*$B$17/1000000, 0) + IF(A120=$F$10, $B$18*$B$16*$B$17/1000000, 0)</f>
        <v/>
      </c>
      <c r="T120" s="306">
        <f>R120-S120-C120</f>
        <v/>
      </c>
      <c r="U120" s="306">
        <f>IF(AND(A120&lt;=$B$24, T120&gt;0), T120*$B$23, 0)</f>
        <v/>
      </c>
      <c r="V120" s="306">
        <f>T120-U120</f>
        <v/>
      </c>
      <c r="W120" s="306">
        <f>IF(AND(A120=$B$19, $B$21=1), K120*$B$20, 0)</f>
        <v/>
      </c>
      <c r="X120" s="306">
        <f>X119+V120+W120</f>
        <v/>
      </c>
    </row>
    <row r="121">
      <c r="A121" s="306" t="n">
        <v>91</v>
      </c>
      <c r="B121" s="306">
        <f>CEILING(A121/12,1)</f>
        <v/>
      </c>
      <c r="C121" s="306">
        <f>IF(A121&lt;=12, $B$15/12, 0)</f>
        <v/>
      </c>
      <c r="D121" s="306">
        <f>INDEX('26. Team Comp'!$D$28:$R$28, B121) * 0.001 / 12</f>
        <v/>
      </c>
      <c r="E121" s="306">
        <f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) * 200 / 12 / 1000</f>
        <v/>
      </c>
      <c r="F121" s="306">
        <f>IF(A121&lt;$F$6,0,IF(AND($B$21=1,A121&gt;$B$19),0,$E$6*$G$6^MIN((A121-$F$6)/12,6)*MIN($G$6,0.85)^MAX(0,(A121-$F$6)/12-6)))</f>
        <v/>
      </c>
      <c r="G121" s="306">
        <f>IF(A121&lt;$F$7,0,IF(AND($B$21=1,A121&gt;$B$19),0,$E$7*$G$7^MIN((A121-$F$7)/12,6)*MIN($G$7,0.85)^MAX(0,(A121-$F$7)/12-6)))</f>
        <v/>
      </c>
      <c r="H121" s="306">
        <f>IF(A121&lt;$F$8,0,IF(AND($B$21=1,A121&gt;$B$19),0,$E$8*$G$8^MIN((A121-$F$8)/12,6)*MIN($G$8,0.85)^MAX(0,(A121-$F$8)/12-6)))</f>
        <v/>
      </c>
      <c r="I121" s="306">
        <f>IF(A121&lt;$F$9,0,IF(AND($B$21=1,A121&gt;$B$19),0,$E$9*$G$9^MIN((A121-$F$9)/12,6)*MIN($G$9,0.85)^MAX(0,(A121-$F$9)/12-6)))</f>
        <v/>
      </c>
      <c r="J121" s="306">
        <f>IF(A121&lt;$F$10,0,IF(AND($B$21=1,A121&gt;$B$19),0,$E$10*$G$10^MIN((A121-$F$10)/12,6)*MIN($G$10,0.85)^MAX(0,(A121-$F$10)/12-6)))</f>
        <v/>
      </c>
      <c r="K121" s="306">
        <f>SUM(F121:J121)</f>
        <v/>
      </c>
      <c r="L121" s="306">
        <f>K121/12</f>
        <v/>
      </c>
      <c r="M121" s="306">
        <f>L121*$B$8</f>
        <v/>
      </c>
      <c r="N121" s="306">
        <f>L121*$B$9</f>
        <v/>
      </c>
      <c r="O121" s="306">
        <f>L121*$B$10</f>
        <v/>
      </c>
      <c r="P121" s="306">
        <f>L121-M121-N121-O121-D121-E121</f>
        <v/>
      </c>
      <c r="Q121" s="306">
        <f>MAX(0, P121 - $B$7*L121)</f>
        <v/>
      </c>
      <c r="R121" s="306">
        <f>P121-Q121</f>
        <v/>
      </c>
      <c r="S121" s="306">
        <f>IF(A121=$F$6, $B$18*$B$16*$B$17/1000000, 0) + IF(A121=$F$7, $B$18*$B$16*$B$17/1000000, 0) + IF(A121=$F$8, $B$18*$B$16*$B$17/1000000, 0) + IF(A121=$F$9, $B$18*$B$16*$B$17/1000000, 0) + IF(A121=$F$10, $B$18*$B$16*$B$17/1000000, 0)</f>
        <v/>
      </c>
      <c r="T121" s="306">
        <f>R121-S121-C121</f>
        <v/>
      </c>
      <c r="U121" s="306">
        <f>IF(AND(A121&lt;=$B$24, T121&gt;0), T121*$B$23, 0)</f>
        <v/>
      </c>
      <c r="V121" s="306">
        <f>T121-U121</f>
        <v/>
      </c>
      <c r="W121" s="306">
        <f>IF(AND(A121=$B$19, $B$21=1), K121*$B$20, 0)</f>
        <v/>
      </c>
      <c r="X121" s="306">
        <f>X120+V121+W121</f>
        <v/>
      </c>
    </row>
    <row r="122">
      <c r="A122" s="306" t="n">
        <v>92</v>
      </c>
      <c r="B122" s="306">
        <f>CEILING(A122/12,1)</f>
        <v/>
      </c>
      <c r="C122" s="306">
        <f>IF(A122&lt;=12, $B$15/12, 0)</f>
        <v/>
      </c>
      <c r="D122" s="306">
        <f>INDEX('26. Team Comp'!$D$28:$R$28, B122) * 0.001 / 12</f>
        <v/>
      </c>
      <c r="E122" s="306">
        <f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) * 200 / 12 / 1000</f>
        <v/>
      </c>
      <c r="F122" s="306">
        <f>IF(A122&lt;$F$6,0,IF(AND($B$21=1,A122&gt;$B$19),0,$E$6*$G$6^MIN((A122-$F$6)/12,6)*MIN($G$6,0.85)^MAX(0,(A122-$F$6)/12-6)))</f>
        <v/>
      </c>
      <c r="G122" s="306">
        <f>IF(A122&lt;$F$7,0,IF(AND($B$21=1,A122&gt;$B$19),0,$E$7*$G$7^MIN((A122-$F$7)/12,6)*MIN($G$7,0.85)^MAX(0,(A122-$F$7)/12-6)))</f>
        <v/>
      </c>
      <c r="H122" s="306">
        <f>IF(A122&lt;$F$8,0,IF(AND($B$21=1,A122&gt;$B$19),0,$E$8*$G$8^MIN((A122-$F$8)/12,6)*MIN($G$8,0.85)^MAX(0,(A122-$F$8)/12-6)))</f>
        <v/>
      </c>
      <c r="I122" s="306">
        <f>IF(A122&lt;$F$9,0,IF(AND($B$21=1,A122&gt;$B$19),0,$E$9*$G$9^MIN((A122-$F$9)/12,6)*MIN($G$9,0.85)^MAX(0,(A122-$F$9)/12-6)))</f>
        <v/>
      </c>
      <c r="J122" s="306">
        <f>IF(A122&lt;$F$10,0,IF(AND($B$21=1,A122&gt;$B$19),0,$E$10*$G$10^MIN((A122-$F$10)/12,6)*MIN($G$10,0.85)^MAX(0,(A122-$F$10)/12-6)))</f>
        <v/>
      </c>
      <c r="K122" s="306">
        <f>SUM(F122:J122)</f>
        <v/>
      </c>
      <c r="L122" s="306">
        <f>K122/12</f>
        <v/>
      </c>
      <c r="M122" s="306">
        <f>L122*$B$8</f>
        <v/>
      </c>
      <c r="N122" s="306">
        <f>L122*$B$9</f>
        <v/>
      </c>
      <c r="O122" s="306">
        <f>L122*$B$10</f>
        <v/>
      </c>
      <c r="P122" s="306">
        <f>L122-M122-N122-O122-D122-E122</f>
        <v/>
      </c>
      <c r="Q122" s="306">
        <f>MAX(0, P122 - $B$7*L122)</f>
        <v/>
      </c>
      <c r="R122" s="306">
        <f>P122-Q122</f>
        <v/>
      </c>
      <c r="S122" s="306">
        <f>IF(A122=$F$6, $B$18*$B$16*$B$17/1000000, 0) + IF(A122=$F$7, $B$18*$B$16*$B$17/1000000, 0) + IF(A122=$F$8, $B$18*$B$16*$B$17/1000000, 0) + IF(A122=$F$9, $B$18*$B$16*$B$17/1000000, 0) + IF(A122=$F$10, $B$18*$B$16*$B$17/1000000, 0)</f>
        <v/>
      </c>
      <c r="T122" s="306">
        <f>R122-S122-C122</f>
        <v/>
      </c>
      <c r="U122" s="306">
        <f>IF(AND(A122&lt;=$B$24, T122&gt;0), T122*$B$23, 0)</f>
        <v/>
      </c>
      <c r="V122" s="306">
        <f>T122-U122</f>
        <v/>
      </c>
      <c r="W122" s="306">
        <f>IF(AND(A122=$B$19, $B$21=1), K122*$B$20, 0)</f>
        <v/>
      </c>
      <c r="X122" s="306">
        <f>X121+V122+W122</f>
        <v/>
      </c>
    </row>
    <row r="123">
      <c r="A123" s="306" t="n">
        <v>93</v>
      </c>
      <c r="B123" s="306">
        <f>CEILING(A123/12,1)</f>
        <v/>
      </c>
      <c r="C123" s="306">
        <f>IF(A123&lt;=12, $B$15/12, 0)</f>
        <v/>
      </c>
      <c r="D123" s="306">
        <f>INDEX('26. Team Comp'!$D$28:$R$28, B123) * 0.001 / 12</f>
        <v/>
      </c>
      <c r="E123" s="306">
        <f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) * 200 / 12 / 1000</f>
        <v/>
      </c>
      <c r="F123" s="306">
        <f>IF(A123&lt;$F$6,0,IF(AND($B$21=1,A123&gt;$B$19),0,$E$6*$G$6^MIN((A123-$F$6)/12,6)*MIN($G$6,0.85)^MAX(0,(A123-$F$6)/12-6)))</f>
        <v/>
      </c>
      <c r="G123" s="306">
        <f>IF(A123&lt;$F$7,0,IF(AND($B$21=1,A123&gt;$B$19),0,$E$7*$G$7^MIN((A123-$F$7)/12,6)*MIN($G$7,0.85)^MAX(0,(A123-$F$7)/12-6)))</f>
        <v/>
      </c>
      <c r="H123" s="306">
        <f>IF(A123&lt;$F$8,0,IF(AND($B$21=1,A123&gt;$B$19),0,$E$8*$G$8^MIN((A123-$F$8)/12,6)*MIN($G$8,0.85)^MAX(0,(A123-$F$8)/12-6)))</f>
        <v/>
      </c>
      <c r="I123" s="306">
        <f>IF(A123&lt;$F$9,0,IF(AND($B$21=1,A123&gt;$B$19),0,$E$9*$G$9^MIN((A123-$F$9)/12,6)*MIN($G$9,0.85)^MAX(0,(A123-$F$9)/12-6)))</f>
        <v/>
      </c>
      <c r="J123" s="306">
        <f>IF(A123&lt;$F$10,0,IF(AND($B$21=1,A123&gt;$B$19),0,$E$10*$G$10^MIN((A123-$F$10)/12,6)*MIN($G$10,0.85)^MAX(0,(A123-$F$10)/12-6)))</f>
        <v/>
      </c>
      <c r="K123" s="306">
        <f>SUM(F123:J123)</f>
        <v/>
      </c>
      <c r="L123" s="306">
        <f>K123/12</f>
        <v/>
      </c>
      <c r="M123" s="306">
        <f>L123*$B$8</f>
        <v/>
      </c>
      <c r="N123" s="306">
        <f>L123*$B$9</f>
        <v/>
      </c>
      <c r="O123" s="306">
        <f>L123*$B$10</f>
        <v/>
      </c>
      <c r="P123" s="306">
        <f>L123-M123-N123-O123-D123-E123</f>
        <v/>
      </c>
      <c r="Q123" s="306">
        <f>MAX(0, P123 - $B$7*L123)</f>
        <v/>
      </c>
      <c r="R123" s="306">
        <f>P123-Q123</f>
        <v/>
      </c>
      <c r="S123" s="306">
        <f>IF(A123=$F$6, $B$18*$B$16*$B$17/1000000, 0) + IF(A123=$F$7, $B$18*$B$16*$B$17/1000000, 0) + IF(A123=$F$8, $B$18*$B$16*$B$17/1000000, 0) + IF(A123=$F$9, $B$18*$B$16*$B$17/1000000, 0) + IF(A123=$F$10, $B$18*$B$16*$B$17/1000000, 0)</f>
        <v/>
      </c>
      <c r="T123" s="306">
        <f>R123-S123-C123</f>
        <v/>
      </c>
      <c r="U123" s="306">
        <f>IF(AND(A123&lt;=$B$24, T123&gt;0), T123*$B$23, 0)</f>
        <v/>
      </c>
      <c r="V123" s="306">
        <f>T123-U123</f>
        <v/>
      </c>
      <c r="W123" s="306">
        <f>IF(AND(A123=$B$19, $B$21=1), K123*$B$20, 0)</f>
        <v/>
      </c>
      <c r="X123" s="306">
        <f>X122+V123+W123</f>
        <v/>
      </c>
    </row>
    <row r="124">
      <c r="A124" s="306" t="n">
        <v>94</v>
      </c>
      <c r="B124" s="306">
        <f>CEILING(A124/12,1)</f>
        <v/>
      </c>
      <c r="C124" s="306">
        <f>IF(A124&lt;=12, $B$15/12, 0)</f>
        <v/>
      </c>
      <c r="D124" s="306">
        <f>INDEX('26. Team Comp'!$D$28:$R$28, B124) * 0.001 / 12</f>
        <v/>
      </c>
      <c r="E124" s="306">
        <f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) * 200 / 12 / 1000</f>
        <v/>
      </c>
      <c r="F124" s="306">
        <f>IF(A124&lt;$F$6,0,IF(AND($B$21=1,A124&gt;$B$19),0,$E$6*$G$6^MIN((A124-$F$6)/12,6)*MIN($G$6,0.85)^MAX(0,(A124-$F$6)/12-6)))</f>
        <v/>
      </c>
      <c r="G124" s="306">
        <f>IF(A124&lt;$F$7,0,IF(AND($B$21=1,A124&gt;$B$19),0,$E$7*$G$7^MIN((A124-$F$7)/12,6)*MIN($G$7,0.85)^MAX(0,(A124-$F$7)/12-6)))</f>
        <v/>
      </c>
      <c r="H124" s="306">
        <f>IF(A124&lt;$F$8,0,IF(AND($B$21=1,A124&gt;$B$19),0,$E$8*$G$8^MIN((A124-$F$8)/12,6)*MIN($G$8,0.85)^MAX(0,(A124-$F$8)/12-6)))</f>
        <v/>
      </c>
      <c r="I124" s="306">
        <f>IF(A124&lt;$F$9,0,IF(AND($B$21=1,A124&gt;$B$19),0,$E$9*$G$9^MIN((A124-$F$9)/12,6)*MIN($G$9,0.85)^MAX(0,(A124-$F$9)/12-6)))</f>
        <v/>
      </c>
      <c r="J124" s="306">
        <f>IF(A124&lt;$F$10,0,IF(AND($B$21=1,A124&gt;$B$19),0,$E$10*$G$10^MIN((A124-$F$10)/12,6)*MIN($G$10,0.85)^MAX(0,(A124-$F$10)/12-6)))</f>
        <v/>
      </c>
      <c r="K124" s="306">
        <f>SUM(F124:J124)</f>
        <v/>
      </c>
      <c r="L124" s="306">
        <f>K124/12</f>
        <v/>
      </c>
      <c r="M124" s="306">
        <f>L124*$B$8</f>
        <v/>
      </c>
      <c r="N124" s="306">
        <f>L124*$B$9</f>
        <v/>
      </c>
      <c r="O124" s="306">
        <f>L124*$B$10</f>
        <v/>
      </c>
      <c r="P124" s="306">
        <f>L124-M124-N124-O124-D124-E124</f>
        <v/>
      </c>
      <c r="Q124" s="306">
        <f>MAX(0, P124 - $B$7*L124)</f>
        <v/>
      </c>
      <c r="R124" s="306">
        <f>P124-Q124</f>
        <v/>
      </c>
      <c r="S124" s="306">
        <f>IF(A124=$F$6, $B$18*$B$16*$B$17/1000000, 0) + IF(A124=$F$7, $B$18*$B$16*$B$17/1000000, 0) + IF(A124=$F$8, $B$18*$B$16*$B$17/1000000, 0) + IF(A124=$F$9, $B$18*$B$16*$B$17/1000000, 0) + IF(A124=$F$10, $B$18*$B$16*$B$17/1000000, 0)</f>
        <v/>
      </c>
      <c r="T124" s="306">
        <f>R124-S124-C124</f>
        <v/>
      </c>
      <c r="U124" s="306">
        <f>IF(AND(A124&lt;=$B$24, T124&gt;0), T124*$B$23, 0)</f>
        <v/>
      </c>
      <c r="V124" s="306">
        <f>T124-U124</f>
        <v/>
      </c>
      <c r="W124" s="306">
        <f>IF(AND(A124=$B$19, $B$21=1), K124*$B$20, 0)</f>
        <v/>
      </c>
      <c r="X124" s="306">
        <f>X123+V124+W124</f>
        <v/>
      </c>
    </row>
    <row r="125">
      <c r="A125" s="306" t="n">
        <v>95</v>
      </c>
      <c r="B125" s="306">
        <f>CEILING(A125/12,1)</f>
        <v/>
      </c>
      <c r="C125" s="306">
        <f>IF(A125&lt;=12, $B$15/12, 0)</f>
        <v/>
      </c>
      <c r="D125" s="306">
        <f>INDEX('26. Team Comp'!$D$28:$R$28, B125) * 0.001 / 12</f>
        <v/>
      </c>
      <c r="E125" s="306">
        <f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) * 200 / 12 / 1000</f>
        <v/>
      </c>
      <c r="F125" s="306">
        <f>IF(A125&lt;$F$6,0,IF(AND($B$21=1,A125&gt;$B$19),0,$E$6*$G$6^MIN((A125-$F$6)/12,6)*MIN($G$6,0.85)^MAX(0,(A125-$F$6)/12-6)))</f>
        <v/>
      </c>
      <c r="G125" s="306">
        <f>IF(A125&lt;$F$7,0,IF(AND($B$21=1,A125&gt;$B$19),0,$E$7*$G$7^MIN((A125-$F$7)/12,6)*MIN($G$7,0.85)^MAX(0,(A125-$F$7)/12-6)))</f>
        <v/>
      </c>
      <c r="H125" s="306">
        <f>IF(A125&lt;$F$8,0,IF(AND($B$21=1,A125&gt;$B$19),0,$E$8*$G$8^MIN((A125-$F$8)/12,6)*MIN($G$8,0.85)^MAX(0,(A125-$F$8)/12-6)))</f>
        <v/>
      </c>
      <c r="I125" s="306">
        <f>IF(A125&lt;$F$9,0,IF(AND($B$21=1,A125&gt;$B$19),0,$E$9*$G$9^MIN((A125-$F$9)/12,6)*MIN($G$9,0.85)^MAX(0,(A125-$F$9)/12-6)))</f>
        <v/>
      </c>
      <c r="J125" s="306">
        <f>IF(A125&lt;$F$10,0,IF(AND($B$21=1,A125&gt;$B$19),0,$E$10*$G$10^MIN((A125-$F$10)/12,6)*MIN($G$10,0.85)^MAX(0,(A125-$F$10)/12-6)))</f>
        <v/>
      </c>
      <c r="K125" s="306">
        <f>SUM(F125:J125)</f>
        <v/>
      </c>
      <c r="L125" s="306">
        <f>K125/12</f>
        <v/>
      </c>
      <c r="M125" s="306">
        <f>L125*$B$8</f>
        <v/>
      </c>
      <c r="N125" s="306">
        <f>L125*$B$9</f>
        <v/>
      </c>
      <c r="O125" s="306">
        <f>L125*$B$10</f>
        <v/>
      </c>
      <c r="P125" s="306">
        <f>L125-M125-N125-O125-D125-E125</f>
        <v/>
      </c>
      <c r="Q125" s="306">
        <f>MAX(0, P125 - $B$7*L125)</f>
        <v/>
      </c>
      <c r="R125" s="306">
        <f>P125-Q125</f>
        <v/>
      </c>
      <c r="S125" s="306">
        <f>IF(A125=$F$6, $B$18*$B$16*$B$17/1000000, 0) + IF(A125=$F$7, $B$18*$B$16*$B$17/1000000, 0) + IF(A125=$F$8, $B$18*$B$16*$B$17/1000000, 0) + IF(A125=$F$9, $B$18*$B$16*$B$17/1000000, 0) + IF(A125=$F$10, $B$18*$B$16*$B$17/1000000, 0)</f>
        <v/>
      </c>
      <c r="T125" s="306">
        <f>R125-S125-C125</f>
        <v/>
      </c>
      <c r="U125" s="306">
        <f>IF(AND(A125&lt;=$B$24, T125&gt;0), T125*$B$23, 0)</f>
        <v/>
      </c>
      <c r="V125" s="306">
        <f>T125-U125</f>
        <v/>
      </c>
      <c r="W125" s="306">
        <f>IF(AND(A125=$B$19, $B$21=1), K125*$B$20, 0)</f>
        <v/>
      </c>
      <c r="X125" s="306">
        <f>X124+V125+W125</f>
        <v/>
      </c>
    </row>
    <row r="126">
      <c r="A126" s="306" t="n">
        <v>96</v>
      </c>
      <c r="B126" s="306">
        <f>CEILING(A126/12,1)</f>
        <v/>
      </c>
      <c r="C126" s="306">
        <f>IF(A126&lt;=12, $B$15/12, 0)</f>
        <v/>
      </c>
      <c r="D126" s="306">
        <f>INDEX('26. Team Comp'!$D$28:$R$28, B126) * 0.001 / 12</f>
        <v/>
      </c>
      <c r="E126" s="306">
        <f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) * 200 / 12 / 1000</f>
        <v/>
      </c>
      <c r="F126" s="306">
        <f>IF(A126&lt;$F$6,0,IF(AND($B$21=1,A126&gt;$B$19),0,$E$6*$G$6^MIN((A126-$F$6)/12,6)*MIN($G$6,0.85)^MAX(0,(A126-$F$6)/12-6)))</f>
        <v/>
      </c>
      <c r="G126" s="306">
        <f>IF(A126&lt;$F$7,0,IF(AND($B$21=1,A126&gt;$B$19),0,$E$7*$G$7^MIN((A126-$F$7)/12,6)*MIN($G$7,0.85)^MAX(0,(A126-$F$7)/12-6)))</f>
        <v/>
      </c>
      <c r="H126" s="306">
        <f>IF(A126&lt;$F$8,0,IF(AND($B$21=1,A126&gt;$B$19),0,$E$8*$G$8^MIN((A126-$F$8)/12,6)*MIN($G$8,0.85)^MAX(0,(A126-$F$8)/12-6)))</f>
        <v/>
      </c>
      <c r="I126" s="306">
        <f>IF(A126&lt;$F$9,0,IF(AND($B$21=1,A126&gt;$B$19),0,$E$9*$G$9^MIN((A126-$F$9)/12,6)*MIN($G$9,0.85)^MAX(0,(A126-$F$9)/12-6)))</f>
        <v/>
      </c>
      <c r="J126" s="306">
        <f>IF(A126&lt;$F$10,0,IF(AND($B$21=1,A126&gt;$B$19),0,$E$10*$G$10^MIN((A126-$F$10)/12,6)*MIN($G$10,0.85)^MAX(0,(A126-$F$10)/12-6)))</f>
        <v/>
      </c>
      <c r="K126" s="306">
        <f>SUM(F126:J126)</f>
        <v/>
      </c>
      <c r="L126" s="306">
        <f>K126/12</f>
        <v/>
      </c>
      <c r="M126" s="306">
        <f>L126*$B$8</f>
        <v/>
      </c>
      <c r="N126" s="306">
        <f>L126*$B$9</f>
        <v/>
      </c>
      <c r="O126" s="306">
        <f>L126*$B$10</f>
        <v/>
      </c>
      <c r="P126" s="306">
        <f>L126-M126-N126-O126-D126-E126</f>
        <v/>
      </c>
      <c r="Q126" s="306">
        <f>MAX(0, P126 - $B$7*L126)</f>
        <v/>
      </c>
      <c r="R126" s="306">
        <f>P126-Q126</f>
        <v/>
      </c>
      <c r="S126" s="306">
        <f>IF(A126=$F$6, $B$18*$B$16*$B$17/1000000, 0) + IF(A126=$F$7, $B$18*$B$16*$B$17/1000000, 0) + IF(A126=$F$8, $B$18*$B$16*$B$17/1000000, 0) + IF(A126=$F$9, $B$18*$B$16*$B$17/1000000, 0) + IF(A126=$F$10, $B$18*$B$16*$B$17/1000000, 0)</f>
        <v/>
      </c>
      <c r="T126" s="306">
        <f>R126-S126-C126</f>
        <v/>
      </c>
      <c r="U126" s="306">
        <f>IF(AND(A126&lt;=$B$24, T126&gt;0), T126*$B$23, 0)</f>
        <v/>
      </c>
      <c r="V126" s="306">
        <f>T126-U126</f>
        <v/>
      </c>
      <c r="W126" s="306">
        <f>IF(AND(A126=$B$19, $B$21=1), K126*$B$20, 0)</f>
        <v/>
      </c>
      <c r="X126" s="306">
        <f>X125+V126+W126</f>
        <v/>
      </c>
    </row>
    <row r="127">
      <c r="A127" s="306" t="n">
        <v>97</v>
      </c>
      <c r="B127" s="306">
        <f>CEILING(A127/12,1)</f>
        <v/>
      </c>
      <c r="C127" s="306">
        <f>IF(A127&lt;=12, $B$15/12, 0)</f>
        <v/>
      </c>
      <c r="D127" s="306">
        <f>INDEX('26. Team Comp'!$D$28:$R$28, B127) * 0.001 / 12</f>
        <v/>
      </c>
      <c r="E127" s="306">
        <f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) * 200 / 12 / 1000</f>
        <v/>
      </c>
      <c r="F127" s="306">
        <f>IF(A127&lt;$F$6,0,IF(AND($B$21=1,A127&gt;$B$19),0,$E$6*$G$6^MIN((A127-$F$6)/12,6)*MIN($G$6,0.85)^MAX(0,(A127-$F$6)/12-6)))</f>
        <v/>
      </c>
      <c r="G127" s="306">
        <f>IF(A127&lt;$F$7,0,IF(AND($B$21=1,A127&gt;$B$19),0,$E$7*$G$7^MIN((A127-$F$7)/12,6)*MIN($G$7,0.85)^MAX(0,(A127-$F$7)/12-6)))</f>
        <v/>
      </c>
      <c r="H127" s="306">
        <f>IF(A127&lt;$F$8,0,IF(AND($B$21=1,A127&gt;$B$19),0,$E$8*$G$8^MIN((A127-$F$8)/12,6)*MIN($G$8,0.85)^MAX(0,(A127-$F$8)/12-6)))</f>
        <v/>
      </c>
      <c r="I127" s="306">
        <f>IF(A127&lt;$F$9,0,IF(AND($B$21=1,A127&gt;$B$19),0,$E$9*$G$9^MIN((A127-$F$9)/12,6)*MIN($G$9,0.85)^MAX(0,(A127-$F$9)/12-6)))</f>
        <v/>
      </c>
      <c r="J127" s="306">
        <f>IF(A127&lt;$F$10,0,IF(AND($B$21=1,A127&gt;$B$19),0,$E$10*$G$10^MIN((A127-$F$10)/12,6)*MIN($G$10,0.85)^MAX(0,(A127-$F$10)/12-6)))</f>
        <v/>
      </c>
      <c r="K127" s="306">
        <f>SUM(F127:J127)</f>
        <v/>
      </c>
      <c r="L127" s="306">
        <f>K127/12</f>
        <v/>
      </c>
      <c r="M127" s="306">
        <f>L127*$B$8</f>
        <v/>
      </c>
      <c r="N127" s="306">
        <f>L127*$B$9</f>
        <v/>
      </c>
      <c r="O127" s="306">
        <f>L127*$B$10</f>
        <v/>
      </c>
      <c r="P127" s="306">
        <f>L127-M127-N127-O127-D127-E127</f>
        <v/>
      </c>
      <c r="Q127" s="306">
        <f>MAX(0, P127 - $B$7*L127)</f>
        <v/>
      </c>
      <c r="R127" s="306">
        <f>P127-Q127</f>
        <v/>
      </c>
      <c r="S127" s="306">
        <f>IF(A127=$F$6, $B$18*$B$16*$B$17/1000000, 0) + IF(A127=$F$7, $B$18*$B$16*$B$17/1000000, 0) + IF(A127=$F$8, $B$18*$B$16*$B$17/1000000, 0) + IF(A127=$F$9, $B$18*$B$16*$B$17/1000000, 0) + IF(A127=$F$10, $B$18*$B$16*$B$17/1000000, 0)</f>
        <v/>
      </c>
      <c r="T127" s="306">
        <f>R127-S127-C127</f>
        <v/>
      </c>
      <c r="U127" s="306">
        <f>IF(AND(A127&lt;=$B$24, T127&gt;0), T127*$B$23, 0)</f>
        <v/>
      </c>
      <c r="V127" s="306">
        <f>T127-U127</f>
        <v/>
      </c>
      <c r="W127" s="306">
        <f>IF(AND(A127=$B$19, $B$21=1), K127*$B$20, 0)</f>
        <v/>
      </c>
      <c r="X127" s="306">
        <f>X126+V127+W127</f>
        <v/>
      </c>
    </row>
    <row r="128">
      <c r="A128" s="306" t="n">
        <v>98</v>
      </c>
      <c r="B128" s="306">
        <f>CEILING(A128/12,1)</f>
        <v/>
      </c>
      <c r="C128" s="306">
        <f>IF(A128&lt;=12, $B$15/12, 0)</f>
        <v/>
      </c>
      <c r="D128" s="306">
        <f>INDEX('26. Team Comp'!$D$28:$R$28, B128) * 0.001 / 12</f>
        <v/>
      </c>
      <c r="E128" s="306">
        <f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) * 200 / 12 / 1000</f>
        <v/>
      </c>
      <c r="F128" s="306">
        <f>IF(A128&lt;$F$6,0,IF(AND($B$21=1,A128&gt;$B$19),0,$E$6*$G$6^MIN((A128-$F$6)/12,6)*MIN($G$6,0.85)^MAX(0,(A128-$F$6)/12-6)))</f>
        <v/>
      </c>
      <c r="G128" s="306">
        <f>IF(A128&lt;$F$7,0,IF(AND($B$21=1,A128&gt;$B$19),0,$E$7*$G$7^MIN((A128-$F$7)/12,6)*MIN($G$7,0.85)^MAX(0,(A128-$F$7)/12-6)))</f>
        <v/>
      </c>
      <c r="H128" s="306">
        <f>IF(A128&lt;$F$8,0,IF(AND($B$21=1,A128&gt;$B$19),0,$E$8*$G$8^MIN((A128-$F$8)/12,6)*MIN($G$8,0.85)^MAX(0,(A128-$F$8)/12-6)))</f>
        <v/>
      </c>
      <c r="I128" s="306">
        <f>IF(A128&lt;$F$9,0,IF(AND($B$21=1,A128&gt;$B$19),0,$E$9*$G$9^MIN((A128-$F$9)/12,6)*MIN($G$9,0.85)^MAX(0,(A128-$F$9)/12-6)))</f>
        <v/>
      </c>
      <c r="J128" s="306">
        <f>IF(A128&lt;$F$10,0,IF(AND($B$21=1,A128&gt;$B$19),0,$E$10*$G$10^MIN((A128-$F$10)/12,6)*MIN($G$10,0.85)^MAX(0,(A128-$F$10)/12-6)))</f>
        <v/>
      </c>
      <c r="K128" s="306">
        <f>SUM(F128:J128)</f>
        <v/>
      </c>
      <c r="L128" s="306">
        <f>K128/12</f>
        <v/>
      </c>
      <c r="M128" s="306">
        <f>L128*$B$8</f>
        <v/>
      </c>
      <c r="N128" s="306">
        <f>L128*$B$9</f>
        <v/>
      </c>
      <c r="O128" s="306">
        <f>L128*$B$10</f>
        <v/>
      </c>
      <c r="P128" s="306">
        <f>L128-M128-N128-O128-D128-E128</f>
        <v/>
      </c>
      <c r="Q128" s="306">
        <f>MAX(0, P128 - $B$7*L128)</f>
        <v/>
      </c>
      <c r="R128" s="306">
        <f>P128-Q128</f>
        <v/>
      </c>
      <c r="S128" s="306">
        <f>IF(A128=$F$6, $B$18*$B$16*$B$17/1000000, 0) + IF(A128=$F$7, $B$18*$B$16*$B$17/1000000, 0) + IF(A128=$F$8, $B$18*$B$16*$B$17/1000000, 0) + IF(A128=$F$9, $B$18*$B$16*$B$17/1000000, 0) + IF(A128=$F$10, $B$18*$B$16*$B$17/1000000, 0)</f>
        <v/>
      </c>
      <c r="T128" s="306">
        <f>R128-S128-C128</f>
        <v/>
      </c>
      <c r="U128" s="306">
        <f>IF(AND(A128&lt;=$B$24, T128&gt;0), T128*$B$23, 0)</f>
        <v/>
      </c>
      <c r="V128" s="306">
        <f>T128-U128</f>
        <v/>
      </c>
      <c r="W128" s="306">
        <f>IF(AND(A128=$B$19, $B$21=1), K128*$B$20, 0)</f>
        <v/>
      </c>
      <c r="X128" s="306">
        <f>X127+V128+W128</f>
        <v/>
      </c>
    </row>
    <row r="129">
      <c r="A129" s="306" t="n">
        <v>99</v>
      </c>
      <c r="B129" s="306">
        <f>CEILING(A129/12,1)</f>
        <v/>
      </c>
      <c r="C129" s="306">
        <f>IF(A129&lt;=12, $B$15/12, 0)</f>
        <v/>
      </c>
      <c r="D129" s="306">
        <f>INDEX('26. Team Comp'!$D$28:$R$28, B129) * 0.001 / 12</f>
        <v/>
      </c>
      <c r="E129" s="306">
        <f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) * 200 / 12 / 1000</f>
        <v/>
      </c>
      <c r="F129" s="306">
        <f>IF(A129&lt;$F$6,0,IF(AND($B$21=1,A129&gt;$B$19),0,$E$6*$G$6^MIN((A129-$F$6)/12,6)*MIN($G$6,0.85)^MAX(0,(A129-$F$6)/12-6)))</f>
        <v/>
      </c>
      <c r="G129" s="306">
        <f>IF(A129&lt;$F$7,0,IF(AND($B$21=1,A129&gt;$B$19),0,$E$7*$G$7^MIN((A129-$F$7)/12,6)*MIN($G$7,0.85)^MAX(0,(A129-$F$7)/12-6)))</f>
        <v/>
      </c>
      <c r="H129" s="306">
        <f>IF(A129&lt;$F$8,0,IF(AND($B$21=1,A129&gt;$B$19),0,$E$8*$G$8^MIN((A129-$F$8)/12,6)*MIN($G$8,0.85)^MAX(0,(A129-$F$8)/12-6)))</f>
        <v/>
      </c>
      <c r="I129" s="306">
        <f>IF(A129&lt;$F$9,0,IF(AND($B$21=1,A129&gt;$B$19),0,$E$9*$G$9^MIN((A129-$F$9)/12,6)*MIN($G$9,0.85)^MAX(0,(A129-$F$9)/12-6)))</f>
        <v/>
      </c>
      <c r="J129" s="306">
        <f>IF(A129&lt;$F$10,0,IF(AND($B$21=1,A129&gt;$B$19),0,$E$10*$G$10^MIN((A129-$F$10)/12,6)*MIN($G$10,0.85)^MAX(0,(A129-$F$10)/12-6)))</f>
        <v/>
      </c>
      <c r="K129" s="306">
        <f>SUM(F129:J129)</f>
        <v/>
      </c>
      <c r="L129" s="306">
        <f>K129/12</f>
        <v/>
      </c>
      <c r="M129" s="306">
        <f>L129*$B$8</f>
        <v/>
      </c>
      <c r="N129" s="306">
        <f>L129*$B$9</f>
        <v/>
      </c>
      <c r="O129" s="306">
        <f>L129*$B$10</f>
        <v/>
      </c>
      <c r="P129" s="306">
        <f>L129-M129-N129-O129-D129-E129</f>
        <v/>
      </c>
      <c r="Q129" s="306">
        <f>MAX(0, P129 - $B$7*L129)</f>
        <v/>
      </c>
      <c r="R129" s="306">
        <f>P129-Q129</f>
        <v/>
      </c>
      <c r="S129" s="306">
        <f>IF(A129=$F$6, $B$18*$B$16*$B$17/1000000, 0) + IF(A129=$F$7, $B$18*$B$16*$B$17/1000000, 0) + IF(A129=$F$8, $B$18*$B$16*$B$17/1000000, 0) + IF(A129=$F$9, $B$18*$B$16*$B$17/1000000, 0) + IF(A129=$F$10, $B$18*$B$16*$B$17/1000000, 0)</f>
        <v/>
      </c>
      <c r="T129" s="306">
        <f>R129-S129-C129</f>
        <v/>
      </c>
      <c r="U129" s="306">
        <f>IF(AND(A129&lt;=$B$24, T129&gt;0), T129*$B$23, 0)</f>
        <v/>
      </c>
      <c r="V129" s="306">
        <f>T129-U129</f>
        <v/>
      </c>
      <c r="W129" s="306">
        <f>IF(AND(A129=$B$19, $B$21=1), K129*$B$20, 0)</f>
        <v/>
      </c>
      <c r="X129" s="306">
        <f>X128+V129+W129</f>
        <v/>
      </c>
    </row>
    <row r="130">
      <c r="A130" s="306" t="n">
        <v>100</v>
      </c>
      <c r="B130" s="306">
        <f>CEILING(A130/12,1)</f>
        <v/>
      </c>
      <c r="C130" s="306">
        <f>IF(A130&lt;=12, $B$15/12, 0)</f>
        <v/>
      </c>
      <c r="D130" s="306">
        <f>INDEX('26. Team Comp'!$D$28:$R$28, B130) * 0.001 / 12</f>
        <v/>
      </c>
      <c r="E130" s="306">
        <f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) * 200 / 12 / 1000</f>
        <v/>
      </c>
      <c r="F130" s="306">
        <f>IF(A130&lt;$F$6,0,IF(AND($B$21=1,A130&gt;$B$19),0,$E$6*$G$6^MIN((A130-$F$6)/12,6)*MIN($G$6,0.85)^MAX(0,(A130-$F$6)/12-6)))</f>
        <v/>
      </c>
      <c r="G130" s="306">
        <f>IF(A130&lt;$F$7,0,IF(AND($B$21=1,A130&gt;$B$19),0,$E$7*$G$7^MIN((A130-$F$7)/12,6)*MIN($G$7,0.85)^MAX(0,(A130-$F$7)/12-6)))</f>
        <v/>
      </c>
      <c r="H130" s="306">
        <f>IF(A130&lt;$F$8,0,IF(AND($B$21=1,A130&gt;$B$19),0,$E$8*$G$8^MIN((A130-$F$8)/12,6)*MIN($G$8,0.85)^MAX(0,(A130-$F$8)/12-6)))</f>
        <v/>
      </c>
      <c r="I130" s="306">
        <f>IF(A130&lt;$F$9,0,IF(AND($B$21=1,A130&gt;$B$19),0,$E$9*$G$9^MIN((A130-$F$9)/12,6)*MIN($G$9,0.85)^MAX(0,(A130-$F$9)/12-6)))</f>
        <v/>
      </c>
      <c r="J130" s="306">
        <f>IF(A130&lt;$F$10,0,IF(AND($B$21=1,A130&gt;$B$19),0,$E$10*$G$10^MIN((A130-$F$10)/12,6)*MIN($G$10,0.85)^MAX(0,(A130-$F$10)/12-6)))</f>
        <v/>
      </c>
      <c r="K130" s="306">
        <f>SUM(F130:J130)</f>
        <v/>
      </c>
      <c r="L130" s="306">
        <f>K130/12</f>
        <v/>
      </c>
      <c r="M130" s="306">
        <f>L130*$B$8</f>
        <v/>
      </c>
      <c r="N130" s="306">
        <f>L130*$B$9</f>
        <v/>
      </c>
      <c r="O130" s="306">
        <f>L130*$B$10</f>
        <v/>
      </c>
      <c r="P130" s="306">
        <f>L130-M130-N130-O130-D130-E130</f>
        <v/>
      </c>
      <c r="Q130" s="306">
        <f>MAX(0, P130 - $B$7*L130)</f>
        <v/>
      </c>
      <c r="R130" s="306">
        <f>P130-Q130</f>
        <v/>
      </c>
      <c r="S130" s="306">
        <f>IF(A130=$F$6, $B$18*$B$16*$B$17/1000000, 0) + IF(A130=$F$7, $B$18*$B$16*$B$17/1000000, 0) + IF(A130=$F$8, $B$18*$B$16*$B$17/1000000, 0) + IF(A130=$F$9, $B$18*$B$16*$B$17/1000000, 0) + IF(A130=$F$10, $B$18*$B$16*$B$17/1000000, 0)</f>
        <v/>
      </c>
      <c r="T130" s="306">
        <f>R130-S130-C130</f>
        <v/>
      </c>
      <c r="U130" s="306">
        <f>IF(AND(A130&lt;=$B$24, T130&gt;0), T130*$B$23, 0)</f>
        <v/>
      </c>
      <c r="V130" s="306">
        <f>T130-U130</f>
        <v/>
      </c>
      <c r="W130" s="306">
        <f>IF(AND(A130=$B$19, $B$21=1), K130*$B$20, 0)</f>
        <v/>
      </c>
      <c r="X130" s="306">
        <f>X129+V130+W130</f>
        <v/>
      </c>
    </row>
    <row r="131">
      <c r="A131" s="306" t="n">
        <v>101</v>
      </c>
      <c r="B131" s="306">
        <f>CEILING(A131/12,1)</f>
        <v/>
      </c>
      <c r="C131" s="306">
        <f>IF(A131&lt;=12, $B$15/12, 0)</f>
        <v/>
      </c>
      <c r="D131" s="306">
        <f>INDEX('26. Team Comp'!$D$28:$R$28, B131) * 0.001 / 12</f>
        <v/>
      </c>
      <c r="E131" s="306">
        <f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) * 200 / 12 / 1000</f>
        <v/>
      </c>
      <c r="F131" s="306">
        <f>IF(A131&lt;$F$6,0,IF(AND($B$21=1,A131&gt;$B$19),0,$E$6*$G$6^MIN((A131-$F$6)/12,6)*MIN($G$6,0.85)^MAX(0,(A131-$F$6)/12-6)))</f>
        <v/>
      </c>
      <c r="G131" s="306">
        <f>IF(A131&lt;$F$7,0,IF(AND($B$21=1,A131&gt;$B$19),0,$E$7*$G$7^MIN((A131-$F$7)/12,6)*MIN($G$7,0.85)^MAX(0,(A131-$F$7)/12-6)))</f>
        <v/>
      </c>
      <c r="H131" s="306">
        <f>IF(A131&lt;$F$8,0,IF(AND($B$21=1,A131&gt;$B$19),0,$E$8*$G$8^MIN((A131-$F$8)/12,6)*MIN($G$8,0.85)^MAX(0,(A131-$F$8)/12-6)))</f>
        <v/>
      </c>
      <c r="I131" s="306">
        <f>IF(A131&lt;$F$9,0,IF(AND($B$21=1,A131&gt;$B$19),0,$E$9*$G$9^MIN((A131-$F$9)/12,6)*MIN($G$9,0.85)^MAX(0,(A131-$F$9)/12-6)))</f>
        <v/>
      </c>
      <c r="J131" s="306">
        <f>IF(A131&lt;$F$10,0,IF(AND($B$21=1,A131&gt;$B$19),0,$E$10*$G$10^MIN((A131-$F$10)/12,6)*MIN($G$10,0.85)^MAX(0,(A131-$F$10)/12-6)))</f>
        <v/>
      </c>
      <c r="K131" s="306">
        <f>SUM(F131:J131)</f>
        <v/>
      </c>
      <c r="L131" s="306">
        <f>K131/12</f>
        <v/>
      </c>
      <c r="M131" s="306">
        <f>L131*$B$8</f>
        <v/>
      </c>
      <c r="N131" s="306">
        <f>L131*$B$9</f>
        <v/>
      </c>
      <c r="O131" s="306">
        <f>L131*$B$10</f>
        <v/>
      </c>
      <c r="P131" s="306">
        <f>L131-M131-N131-O131-D131-E131</f>
        <v/>
      </c>
      <c r="Q131" s="306">
        <f>MAX(0, P131 - $B$7*L131)</f>
        <v/>
      </c>
      <c r="R131" s="306">
        <f>P131-Q131</f>
        <v/>
      </c>
      <c r="S131" s="306">
        <f>IF(A131=$F$6, $B$18*$B$16*$B$17/1000000, 0) + IF(A131=$F$7, $B$18*$B$16*$B$17/1000000, 0) + IF(A131=$F$8, $B$18*$B$16*$B$17/1000000, 0) + IF(A131=$F$9, $B$18*$B$16*$B$17/1000000, 0) + IF(A131=$F$10, $B$18*$B$16*$B$17/1000000, 0)</f>
        <v/>
      </c>
      <c r="T131" s="306">
        <f>R131-S131-C131</f>
        <v/>
      </c>
      <c r="U131" s="306">
        <f>IF(AND(A131&lt;=$B$24, T131&gt;0), T131*$B$23, 0)</f>
        <v/>
      </c>
      <c r="V131" s="306">
        <f>T131-U131</f>
        <v/>
      </c>
      <c r="W131" s="306">
        <f>IF(AND(A131=$B$19, $B$21=1), K131*$B$20, 0)</f>
        <v/>
      </c>
      <c r="X131" s="306">
        <f>X130+V131+W131</f>
        <v/>
      </c>
    </row>
    <row r="132">
      <c r="A132" s="306" t="n">
        <v>102</v>
      </c>
      <c r="B132" s="306">
        <f>CEILING(A132/12,1)</f>
        <v/>
      </c>
      <c r="C132" s="306">
        <f>IF(A132&lt;=12, $B$15/12, 0)</f>
        <v/>
      </c>
      <c r="D132" s="306">
        <f>INDEX('26. Team Comp'!$D$28:$R$28, B132) * 0.001 / 12</f>
        <v/>
      </c>
      <c r="E132" s="306">
        <f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) * 200 / 12 / 1000</f>
        <v/>
      </c>
      <c r="F132" s="306">
        <f>IF(A132&lt;$F$6,0,IF(AND($B$21=1,A132&gt;$B$19),0,$E$6*$G$6^MIN((A132-$F$6)/12,6)*MIN($G$6,0.85)^MAX(0,(A132-$F$6)/12-6)))</f>
        <v/>
      </c>
      <c r="G132" s="306">
        <f>IF(A132&lt;$F$7,0,IF(AND($B$21=1,A132&gt;$B$19),0,$E$7*$G$7^MIN((A132-$F$7)/12,6)*MIN($G$7,0.85)^MAX(0,(A132-$F$7)/12-6)))</f>
        <v/>
      </c>
      <c r="H132" s="306">
        <f>IF(A132&lt;$F$8,0,IF(AND($B$21=1,A132&gt;$B$19),0,$E$8*$G$8^MIN((A132-$F$8)/12,6)*MIN($G$8,0.85)^MAX(0,(A132-$F$8)/12-6)))</f>
        <v/>
      </c>
      <c r="I132" s="306">
        <f>IF(A132&lt;$F$9,0,IF(AND($B$21=1,A132&gt;$B$19),0,$E$9*$G$9^MIN((A132-$F$9)/12,6)*MIN($G$9,0.85)^MAX(0,(A132-$F$9)/12-6)))</f>
        <v/>
      </c>
      <c r="J132" s="306">
        <f>IF(A132&lt;$F$10,0,IF(AND($B$21=1,A132&gt;$B$19),0,$E$10*$G$10^MIN((A132-$F$10)/12,6)*MIN($G$10,0.85)^MAX(0,(A132-$F$10)/12-6)))</f>
        <v/>
      </c>
      <c r="K132" s="306">
        <f>SUM(F132:J132)</f>
        <v/>
      </c>
      <c r="L132" s="306">
        <f>K132/12</f>
        <v/>
      </c>
      <c r="M132" s="306">
        <f>L132*$B$8</f>
        <v/>
      </c>
      <c r="N132" s="306">
        <f>L132*$B$9</f>
        <v/>
      </c>
      <c r="O132" s="306">
        <f>L132*$B$10</f>
        <v/>
      </c>
      <c r="P132" s="306">
        <f>L132-M132-N132-O132-D132-E132</f>
        <v/>
      </c>
      <c r="Q132" s="306">
        <f>MAX(0, P132 - $B$7*L132)</f>
        <v/>
      </c>
      <c r="R132" s="306">
        <f>P132-Q132</f>
        <v/>
      </c>
      <c r="S132" s="306">
        <f>IF(A132=$F$6, $B$18*$B$16*$B$17/1000000, 0) + IF(A132=$F$7, $B$18*$B$16*$B$17/1000000, 0) + IF(A132=$F$8, $B$18*$B$16*$B$17/1000000, 0) + IF(A132=$F$9, $B$18*$B$16*$B$17/1000000, 0) + IF(A132=$F$10, $B$18*$B$16*$B$17/1000000, 0)</f>
        <v/>
      </c>
      <c r="T132" s="306">
        <f>R132-S132-C132</f>
        <v/>
      </c>
      <c r="U132" s="306">
        <f>IF(AND(A132&lt;=$B$24, T132&gt;0), T132*$B$23, 0)</f>
        <v/>
      </c>
      <c r="V132" s="306">
        <f>T132-U132</f>
        <v/>
      </c>
      <c r="W132" s="306">
        <f>IF(AND(A132=$B$19, $B$21=1), K132*$B$20, 0)</f>
        <v/>
      </c>
      <c r="X132" s="306">
        <f>X131+V132+W132</f>
        <v/>
      </c>
    </row>
    <row r="133">
      <c r="A133" s="306" t="n">
        <v>103</v>
      </c>
      <c r="B133" s="306">
        <f>CEILING(A133/12,1)</f>
        <v/>
      </c>
      <c r="C133" s="306">
        <f>IF(A133&lt;=12, $B$15/12, 0)</f>
        <v/>
      </c>
      <c r="D133" s="306">
        <f>INDEX('26. Team Comp'!$D$28:$R$28, B133) * 0.001 / 12</f>
        <v/>
      </c>
      <c r="E133" s="306">
        <f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) * 200 / 12 / 1000</f>
        <v/>
      </c>
      <c r="F133" s="306">
        <f>IF(A133&lt;$F$6,0,IF(AND($B$21=1,A133&gt;$B$19),0,$E$6*$G$6^MIN((A133-$F$6)/12,6)*MIN($G$6,0.85)^MAX(0,(A133-$F$6)/12-6)))</f>
        <v/>
      </c>
      <c r="G133" s="306">
        <f>IF(A133&lt;$F$7,0,IF(AND($B$21=1,A133&gt;$B$19),0,$E$7*$G$7^MIN((A133-$F$7)/12,6)*MIN($G$7,0.85)^MAX(0,(A133-$F$7)/12-6)))</f>
        <v/>
      </c>
      <c r="H133" s="306">
        <f>IF(A133&lt;$F$8,0,IF(AND($B$21=1,A133&gt;$B$19),0,$E$8*$G$8^MIN((A133-$F$8)/12,6)*MIN($G$8,0.85)^MAX(0,(A133-$F$8)/12-6)))</f>
        <v/>
      </c>
      <c r="I133" s="306">
        <f>IF(A133&lt;$F$9,0,IF(AND($B$21=1,A133&gt;$B$19),0,$E$9*$G$9^MIN((A133-$F$9)/12,6)*MIN($G$9,0.85)^MAX(0,(A133-$F$9)/12-6)))</f>
        <v/>
      </c>
      <c r="J133" s="306">
        <f>IF(A133&lt;$F$10,0,IF(AND($B$21=1,A133&gt;$B$19),0,$E$10*$G$10^MIN((A133-$F$10)/12,6)*MIN($G$10,0.85)^MAX(0,(A133-$F$10)/12-6)))</f>
        <v/>
      </c>
      <c r="K133" s="306">
        <f>SUM(F133:J133)</f>
        <v/>
      </c>
      <c r="L133" s="306">
        <f>K133/12</f>
        <v/>
      </c>
      <c r="M133" s="306">
        <f>L133*$B$8</f>
        <v/>
      </c>
      <c r="N133" s="306">
        <f>L133*$B$9</f>
        <v/>
      </c>
      <c r="O133" s="306">
        <f>L133*$B$10</f>
        <v/>
      </c>
      <c r="P133" s="306">
        <f>L133-M133-N133-O133-D133-E133</f>
        <v/>
      </c>
      <c r="Q133" s="306">
        <f>MAX(0, P133 - $B$7*L133)</f>
        <v/>
      </c>
      <c r="R133" s="306">
        <f>P133-Q133</f>
        <v/>
      </c>
      <c r="S133" s="306">
        <f>IF(A133=$F$6, $B$18*$B$16*$B$17/1000000, 0) + IF(A133=$F$7, $B$18*$B$16*$B$17/1000000, 0) + IF(A133=$F$8, $B$18*$B$16*$B$17/1000000, 0) + IF(A133=$F$9, $B$18*$B$16*$B$17/1000000, 0) + IF(A133=$F$10, $B$18*$B$16*$B$17/1000000, 0)</f>
        <v/>
      </c>
      <c r="T133" s="306">
        <f>R133-S133-C133</f>
        <v/>
      </c>
      <c r="U133" s="306">
        <f>IF(AND(A133&lt;=$B$24, T133&gt;0), T133*$B$23, 0)</f>
        <v/>
      </c>
      <c r="V133" s="306">
        <f>T133-U133</f>
        <v/>
      </c>
      <c r="W133" s="306">
        <f>IF(AND(A133=$B$19, $B$21=1), K133*$B$20, 0)</f>
        <v/>
      </c>
      <c r="X133" s="306">
        <f>X132+V133+W133</f>
        <v/>
      </c>
    </row>
    <row r="134">
      <c r="A134" s="306" t="n">
        <v>104</v>
      </c>
      <c r="B134" s="306">
        <f>CEILING(A134/12,1)</f>
        <v/>
      </c>
      <c r="C134" s="306">
        <f>IF(A134&lt;=12, $B$15/12, 0)</f>
        <v/>
      </c>
      <c r="D134" s="306">
        <f>INDEX('26. Team Comp'!$D$28:$R$28, B134) * 0.001 / 12</f>
        <v/>
      </c>
      <c r="E134" s="306">
        <f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) * 200 / 12 / 1000</f>
        <v/>
      </c>
      <c r="F134" s="306">
        <f>IF(A134&lt;$F$6,0,IF(AND($B$21=1,A134&gt;$B$19),0,$E$6*$G$6^MIN((A134-$F$6)/12,6)*MIN($G$6,0.85)^MAX(0,(A134-$F$6)/12-6)))</f>
        <v/>
      </c>
      <c r="G134" s="306">
        <f>IF(A134&lt;$F$7,0,IF(AND($B$21=1,A134&gt;$B$19),0,$E$7*$G$7^MIN((A134-$F$7)/12,6)*MIN($G$7,0.85)^MAX(0,(A134-$F$7)/12-6)))</f>
        <v/>
      </c>
      <c r="H134" s="306">
        <f>IF(A134&lt;$F$8,0,IF(AND($B$21=1,A134&gt;$B$19),0,$E$8*$G$8^MIN((A134-$F$8)/12,6)*MIN($G$8,0.85)^MAX(0,(A134-$F$8)/12-6)))</f>
        <v/>
      </c>
      <c r="I134" s="306">
        <f>IF(A134&lt;$F$9,0,IF(AND($B$21=1,A134&gt;$B$19),0,$E$9*$G$9^MIN((A134-$F$9)/12,6)*MIN($G$9,0.85)^MAX(0,(A134-$F$9)/12-6)))</f>
        <v/>
      </c>
      <c r="J134" s="306">
        <f>IF(A134&lt;$F$10,0,IF(AND($B$21=1,A134&gt;$B$19),0,$E$10*$G$10^MIN((A134-$F$10)/12,6)*MIN($G$10,0.85)^MAX(0,(A134-$F$10)/12-6)))</f>
        <v/>
      </c>
      <c r="K134" s="306">
        <f>SUM(F134:J134)</f>
        <v/>
      </c>
      <c r="L134" s="306">
        <f>K134/12</f>
        <v/>
      </c>
      <c r="M134" s="306">
        <f>L134*$B$8</f>
        <v/>
      </c>
      <c r="N134" s="306">
        <f>L134*$B$9</f>
        <v/>
      </c>
      <c r="O134" s="306">
        <f>L134*$B$10</f>
        <v/>
      </c>
      <c r="P134" s="306">
        <f>L134-M134-N134-O134-D134-E134</f>
        <v/>
      </c>
      <c r="Q134" s="306">
        <f>MAX(0, P134 - $B$7*L134)</f>
        <v/>
      </c>
      <c r="R134" s="306">
        <f>P134-Q134</f>
        <v/>
      </c>
      <c r="S134" s="306">
        <f>IF(A134=$F$6, $B$18*$B$16*$B$17/1000000, 0) + IF(A134=$F$7, $B$18*$B$16*$B$17/1000000, 0) + IF(A134=$F$8, $B$18*$B$16*$B$17/1000000, 0) + IF(A134=$F$9, $B$18*$B$16*$B$17/1000000, 0) + IF(A134=$F$10, $B$18*$B$16*$B$17/1000000, 0)</f>
        <v/>
      </c>
      <c r="T134" s="306">
        <f>R134-S134-C134</f>
        <v/>
      </c>
      <c r="U134" s="306">
        <f>IF(AND(A134&lt;=$B$24, T134&gt;0), T134*$B$23, 0)</f>
        <v/>
      </c>
      <c r="V134" s="306">
        <f>T134-U134</f>
        <v/>
      </c>
      <c r="W134" s="306">
        <f>IF(AND(A134=$B$19, $B$21=1), K134*$B$20, 0)</f>
        <v/>
      </c>
      <c r="X134" s="306">
        <f>X133+V134+W134</f>
        <v/>
      </c>
    </row>
    <row r="135">
      <c r="A135" s="306" t="n">
        <v>105</v>
      </c>
      <c r="B135" s="306">
        <f>CEILING(A135/12,1)</f>
        <v/>
      </c>
      <c r="C135" s="306">
        <f>IF(A135&lt;=12, $B$15/12, 0)</f>
        <v/>
      </c>
      <c r="D135" s="306">
        <f>INDEX('26. Team Comp'!$D$28:$R$28, B135) * 0.001 / 12</f>
        <v/>
      </c>
      <c r="E135" s="306">
        <f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) * 200 / 12 / 1000</f>
        <v/>
      </c>
      <c r="F135" s="306">
        <f>IF(A135&lt;$F$6,0,IF(AND($B$21=1,A135&gt;$B$19),0,$E$6*$G$6^MIN((A135-$F$6)/12,6)*MIN($G$6,0.85)^MAX(0,(A135-$F$6)/12-6)))</f>
        <v/>
      </c>
      <c r="G135" s="306">
        <f>IF(A135&lt;$F$7,0,IF(AND($B$21=1,A135&gt;$B$19),0,$E$7*$G$7^MIN((A135-$F$7)/12,6)*MIN($G$7,0.85)^MAX(0,(A135-$F$7)/12-6)))</f>
        <v/>
      </c>
      <c r="H135" s="306">
        <f>IF(A135&lt;$F$8,0,IF(AND($B$21=1,A135&gt;$B$19),0,$E$8*$G$8^MIN((A135-$F$8)/12,6)*MIN($G$8,0.85)^MAX(0,(A135-$F$8)/12-6)))</f>
        <v/>
      </c>
      <c r="I135" s="306">
        <f>IF(A135&lt;$F$9,0,IF(AND($B$21=1,A135&gt;$B$19),0,$E$9*$G$9^MIN((A135-$F$9)/12,6)*MIN($G$9,0.85)^MAX(0,(A135-$F$9)/12-6)))</f>
        <v/>
      </c>
      <c r="J135" s="306">
        <f>IF(A135&lt;$F$10,0,IF(AND($B$21=1,A135&gt;$B$19),0,$E$10*$G$10^MIN((A135-$F$10)/12,6)*MIN($G$10,0.85)^MAX(0,(A135-$F$10)/12-6)))</f>
        <v/>
      </c>
      <c r="K135" s="306">
        <f>SUM(F135:J135)</f>
        <v/>
      </c>
      <c r="L135" s="306">
        <f>K135/12</f>
        <v/>
      </c>
      <c r="M135" s="306">
        <f>L135*$B$8</f>
        <v/>
      </c>
      <c r="N135" s="306">
        <f>L135*$B$9</f>
        <v/>
      </c>
      <c r="O135" s="306">
        <f>L135*$B$10</f>
        <v/>
      </c>
      <c r="P135" s="306">
        <f>L135-M135-N135-O135-D135-E135</f>
        <v/>
      </c>
      <c r="Q135" s="306">
        <f>MAX(0, P135 - $B$7*L135)</f>
        <v/>
      </c>
      <c r="R135" s="306">
        <f>P135-Q135</f>
        <v/>
      </c>
      <c r="S135" s="306">
        <f>IF(A135=$F$6, $B$18*$B$16*$B$17/1000000, 0) + IF(A135=$F$7, $B$18*$B$16*$B$17/1000000, 0) + IF(A135=$F$8, $B$18*$B$16*$B$17/1000000, 0) + IF(A135=$F$9, $B$18*$B$16*$B$17/1000000, 0) + IF(A135=$F$10, $B$18*$B$16*$B$17/1000000, 0)</f>
        <v/>
      </c>
      <c r="T135" s="306">
        <f>R135-S135-C135</f>
        <v/>
      </c>
      <c r="U135" s="306">
        <f>IF(AND(A135&lt;=$B$24, T135&gt;0), T135*$B$23, 0)</f>
        <v/>
      </c>
      <c r="V135" s="306">
        <f>T135-U135</f>
        <v/>
      </c>
      <c r="W135" s="306">
        <f>IF(AND(A135=$B$19, $B$21=1), K135*$B$20, 0)</f>
        <v/>
      </c>
      <c r="X135" s="306">
        <f>X134+V135+W135</f>
        <v/>
      </c>
    </row>
    <row r="136">
      <c r="A136" s="306" t="n">
        <v>106</v>
      </c>
      <c r="B136" s="306">
        <f>CEILING(A136/12,1)</f>
        <v/>
      </c>
      <c r="C136" s="306">
        <f>IF(A136&lt;=12, $B$15/12, 0)</f>
        <v/>
      </c>
      <c r="D136" s="306">
        <f>INDEX('26. Team Comp'!$D$28:$R$28, B136) * 0.001 / 12</f>
        <v/>
      </c>
      <c r="E136" s="306">
        <f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) * 200 / 12 / 1000</f>
        <v/>
      </c>
      <c r="F136" s="306">
        <f>IF(A136&lt;$F$6,0,IF(AND($B$21=1,A136&gt;$B$19),0,$E$6*$G$6^MIN((A136-$F$6)/12,6)*MIN($G$6,0.85)^MAX(0,(A136-$F$6)/12-6)))</f>
        <v/>
      </c>
      <c r="G136" s="306">
        <f>IF(A136&lt;$F$7,0,IF(AND($B$21=1,A136&gt;$B$19),0,$E$7*$G$7^MIN((A136-$F$7)/12,6)*MIN($G$7,0.85)^MAX(0,(A136-$F$7)/12-6)))</f>
        <v/>
      </c>
      <c r="H136" s="306">
        <f>IF(A136&lt;$F$8,0,IF(AND($B$21=1,A136&gt;$B$19),0,$E$8*$G$8^MIN((A136-$F$8)/12,6)*MIN($G$8,0.85)^MAX(0,(A136-$F$8)/12-6)))</f>
        <v/>
      </c>
      <c r="I136" s="306">
        <f>IF(A136&lt;$F$9,0,IF(AND($B$21=1,A136&gt;$B$19),0,$E$9*$G$9^MIN((A136-$F$9)/12,6)*MIN($G$9,0.85)^MAX(0,(A136-$F$9)/12-6)))</f>
        <v/>
      </c>
      <c r="J136" s="306">
        <f>IF(A136&lt;$F$10,0,IF(AND($B$21=1,A136&gt;$B$19),0,$E$10*$G$10^MIN((A136-$F$10)/12,6)*MIN($G$10,0.85)^MAX(0,(A136-$F$10)/12-6)))</f>
        <v/>
      </c>
      <c r="K136" s="306">
        <f>SUM(F136:J136)</f>
        <v/>
      </c>
      <c r="L136" s="306">
        <f>K136/12</f>
        <v/>
      </c>
      <c r="M136" s="306">
        <f>L136*$B$8</f>
        <v/>
      </c>
      <c r="N136" s="306">
        <f>L136*$B$9</f>
        <v/>
      </c>
      <c r="O136" s="306">
        <f>L136*$B$10</f>
        <v/>
      </c>
      <c r="P136" s="306">
        <f>L136-M136-N136-O136-D136-E136</f>
        <v/>
      </c>
      <c r="Q136" s="306">
        <f>MAX(0, P136 - $B$7*L136)</f>
        <v/>
      </c>
      <c r="R136" s="306">
        <f>P136-Q136</f>
        <v/>
      </c>
      <c r="S136" s="306">
        <f>IF(A136=$F$6, $B$18*$B$16*$B$17/1000000, 0) + IF(A136=$F$7, $B$18*$B$16*$B$17/1000000, 0) + IF(A136=$F$8, $B$18*$B$16*$B$17/1000000, 0) + IF(A136=$F$9, $B$18*$B$16*$B$17/1000000, 0) + IF(A136=$F$10, $B$18*$B$16*$B$17/1000000, 0)</f>
        <v/>
      </c>
      <c r="T136" s="306">
        <f>R136-S136-C136</f>
        <v/>
      </c>
      <c r="U136" s="306">
        <f>IF(AND(A136&lt;=$B$24, T136&gt;0), T136*$B$23, 0)</f>
        <v/>
      </c>
      <c r="V136" s="306">
        <f>T136-U136</f>
        <v/>
      </c>
      <c r="W136" s="306">
        <f>IF(AND(A136=$B$19, $B$21=1), K136*$B$20, 0)</f>
        <v/>
      </c>
      <c r="X136" s="306">
        <f>X135+V136+W136</f>
        <v/>
      </c>
    </row>
    <row r="137">
      <c r="A137" s="306" t="n">
        <v>107</v>
      </c>
      <c r="B137" s="306">
        <f>CEILING(A137/12,1)</f>
        <v/>
      </c>
      <c r="C137" s="306">
        <f>IF(A137&lt;=12, $B$15/12, 0)</f>
        <v/>
      </c>
      <c r="D137" s="306">
        <f>INDEX('26. Team Comp'!$D$28:$R$28, B137) * 0.001 / 12</f>
        <v/>
      </c>
      <c r="E137" s="306">
        <f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) * 200 / 12 / 1000</f>
        <v/>
      </c>
      <c r="F137" s="306">
        <f>IF(A137&lt;$F$6,0,IF(AND($B$21=1,A137&gt;$B$19),0,$E$6*$G$6^MIN((A137-$F$6)/12,6)*MIN($G$6,0.85)^MAX(0,(A137-$F$6)/12-6)))</f>
        <v/>
      </c>
      <c r="G137" s="306">
        <f>IF(A137&lt;$F$7,0,IF(AND($B$21=1,A137&gt;$B$19),0,$E$7*$G$7^MIN((A137-$F$7)/12,6)*MIN($G$7,0.85)^MAX(0,(A137-$F$7)/12-6)))</f>
        <v/>
      </c>
      <c r="H137" s="306">
        <f>IF(A137&lt;$F$8,0,IF(AND($B$21=1,A137&gt;$B$19),0,$E$8*$G$8^MIN((A137-$F$8)/12,6)*MIN($G$8,0.85)^MAX(0,(A137-$F$8)/12-6)))</f>
        <v/>
      </c>
      <c r="I137" s="306">
        <f>IF(A137&lt;$F$9,0,IF(AND($B$21=1,A137&gt;$B$19),0,$E$9*$G$9^MIN((A137-$F$9)/12,6)*MIN($G$9,0.85)^MAX(0,(A137-$F$9)/12-6)))</f>
        <v/>
      </c>
      <c r="J137" s="306">
        <f>IF(A137&lt;$F$10,0,IF(AND($B$21=1,A137&gt;$B$19),0,$E$10*$G$10^MIN((A137-$F$10)/12,6)*MIN($G$10,0.85)^MAX(0,(A137-$F$10)/12-6)))</f>
        <v/>
      </c>
      <c r="K137" s="306">
        <f>SUM(F137:J137)</f>
        <v/>
      </c>
      <c r="L137" s="306">
        <f>K137/12</f>
        <v/>
      </c>
      <c r="M137" s="306">
        <f>L137*$B$8</f>
        <v/>
      </c>
      <c r="N137" s="306">
        <f>L137*$B$9</f>
        <v/>
      </c>
      <c r="O137" s="306">
        <f>L137*$B$10</f>
        <v/>
      </c>
      <c r="P137" s="306">
        <f>L137-M137-N137-O137-D137-E137</f>
        <v/>
      </c>
      <c r="Q137" s="306">
        <f>MAX(0, P137 - $B$7*L137)</f>
        <v/>
      </c>
      <c r="R137" s="306">
        <f>P137-Q137</f>
        <v/>
      </c>
      <c r="S137" s="306">
        <f>IF(A137=$F$6, $B$18*$B$16*$B$17/1000000, 0) + IF(A137=$F$7, $B$18*$B$16*$B$17/1000000, 0) + IF(A137=$F$8, $B$18*$B$16*$B$17/1000000, 0) + IF(A137=$F$9, $B$18*$B$16*$B$17/1000000, 0) + IF(A137=$F$10, $B$18*$B$16*$B$17/1000000, 0)</f>
        <v/>
      </c>
      <c r="T137" s="306">
        <f>R137-S137-C137</f>
        <v/>
      </c>
      <c r="U137" s="306">
        <f>IF(AND(A137&lt;=$B$24, T137&gt;0), T137*$B$23, 0)</f>
        <v/>
      </c>
      <c r="V137" s="306">
        <f>T137-U137</f>
        <v/>
      </c>
      <c r="W137" s="306">
        <f>IF(AND(A137=$B$19, $B$21=1), K137*$B$20, 0)</f>
        <v/>
      </c>
      <c r="X137" s="306">
        <f>X136+V137+W137</f>
        <v/>
      </c>
    </row>
    <row r="138">
      <c r="A138" s="306" t="n">
        <v>108</v>
      </c>
      <c r="B138" s="306">
        <f>CEILING(A138/12,1)</f>
        <v/>
      </c>
      <c r="C138" s="306">
        <f>IF(A138&lt;=12, $B$15/12, 0)</f>
        <v/>
      </c>
      <c r="D138" s="306">
        <f>INDEX('26. Team Comp'!$D$28:$R$28, B138) * 0.001 / 12</f>
        <v/>
      </c>
      <c r="E138" s="306">
        <f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) * 200 / 12 / 1000</f>
        <v/>
      </c>
      <c r="F138" s="306">
        <f>IF(A138&lt;$F$6,0,IF(AND($B$21=1,A138&gt;$B$19),0,$E$6*$G$6^MIN((A138-$F$6)/12,6)*MIN($G$6,0.85)^MAX(0,(A138-$F$6)/12-6)))</f>
        <v/>
      </c>
      <c r="G138" s="306">
        <f>IF(A138&lt;$F$7,0,IF(AND($B$21=1,A138&gt;$B$19),0,$E$7*$G$7^MIN((A138-$F$7)/12,6)*MIN($G$7,0.85)^MAX(0,(A138-$F$7)/12-6)))</f>
        <v/>
      </c>
      <c r="H138" s="306">
        <f>IF(A138&lt;$F$8,0,IF(AND($B$21=1,A138&gt;$B$19),0,$E$8*$G$8^MIN((A138-$F$8)/12,6)*MIN($G$8,0.85)^MAX(0,(A138-$F$8)/12-6)))</f>
        <v/>
      </c>
      <c r="I138" s="306">
        <f>IF(A138&lt;$F$9,0,IF(AND($B$21=1,A138&gt;$B$19),0,$E$9*$G$9^MIN((A138-$F$9)/12,6)*MIN($G$9,0.85)^MAX(0,(A138-$F$9)/12-6)))</f>
        <v/>
      </c>
      <c r="J138" s="306">
        <f>IF(A138&lt;$F$10,0,IF(AND($B$21=1,A138&gt;$B$19),0,$E$10*$G$10^MIN((A138-$F$10)/12,6)*MIN($G$10,0.85)^MAX(0,(A138-$F$10)/12-6)))</f>
        <v/>
      </c>
      <c r="K138" s="306">
        <f>SUM(F138:J138)</f>
        <v/>
      </c>
      <c r="L138" s="306">
        <f>K138/12</f>
        <v/>
      </c>
      <c r="M138" s="306">
        <f>L138*$B$8</f>
        <v/>
      </c>
      <c r="N138" s="306">
        <f>L138*$B$9</f>
        <v/>
      </c>
      <c r="O138" s="306">
        <f>L138*$B$10</f>
        <v/>
      </c>
      <c r="P138" s="306">
        <f>L138-M138-N138-O138-D138-E138</f>
        <v/>
      </c>
      <c r="Q138" s="306">
        <f>MAX(0, P138 - $B$7*L138)</f>
        <v/>
      </c>
      <c r="R138" s="306">
        <f>P138-Q138</f>
        <v/>
      </c>
      <c r="S138" s="306">
        <f>IF(A138=$F$6, $B$18*$B$16*$B$17/1000000, 0) + IF(A138=$F$7, $B$18*$B$16*$B$17/1000000, 0) + IF(A138=$F$8, $B$18*$B$16*$B$17/1000000, 0) + IF(A138=$F$9, $B$18*$B$16*$B$17/1000000, 0) + IF(A138=$F$10, $B$18*$B$16*$B$17/1000000, 0)</f>
        <v/>
      </c>
      <c r="T138" s="306">
        <f>R138-S138-C138</f>
        <v/>
      </c>
      <c r="U138" s="306">
        <f>IF(AND(A138&lt;=$B$24, T138&gt;0), T138*$B$23, 0)</f>
        <v/>
      </c>
      <c r="V138" s="306">
        <f>T138-U138</f>
        <v/>
      </c>
      <c r="W138" s="306">
        <f>IF(AND(A138=$B$19, $B$21=1), K138*$B$20, 0)</f>
        <v/>
      </c>
      <c r="X138" s="306">
        <f>X137+V138+W138</f>
        <v/>
      </c>
    </row>
    <row r="139">
      <c r="A139" s="306" t="n">
        <v>109</v>
      </c>
      <c r="B139" s="306">
        <f>CEILING(A139/12,1)</f>
        <v/>
      </c>
      <c r="C139" s="306">
        <f>IF(A139&lt;=12, $B$15/12, 0)</f>
        <v/>
      </c>
      <c r="D139" s="306">
        <f>INDEX('26. Team Comp'!$D$28:$R$28, B139) * 0.001 / 12</f>
        <v/>
      </c>
      <c r="E139" s="306">
        <f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) * 200 / 12 / 1000</f>
        <v/>
      </c>
      <c r="F139" s="306">
        <f>IF(A139&lt;$F$6,0,IF(AND($B$21=1,A139&gt;$B$19),0,$E$6*$G$6^MIN((A139-$F$6)/12,6)*MIN($G$6,0.85)^MAX(0,(A139-$F$6)/12-6)))</f>
        <v/>
      </c>
      <c r="G139" s="306">
        <f>IF(A139&lt;$F$7,0,IF(AND($B$21=1,A139&gt;$B$19),0,$E$7*$G$7^MIN((A139-$F$7)/12,6)*MIN($G$7,0.85)^MAX(0,(A139-$F$7)/12-6)))</f>
        <v/>
      </c>
      <c r="H139" s="306">
        <f>IF(A139&lt;$F$8,0,IF(AND($B$21=1,A139&gt;$B$19),0,$E$8*$G$8^MIN((A139-$F$8)/12,6)*MIN($G$8,0.85)^MAX(0,(A139-$F$8)/12-6)))</f>
        <v/>
      </c>
      <c r="I139" s="306">
        <f>IF(A139&lt;$F$9,0,IF(AND($B$21=1,A139&gt;$B$19),0,$E$9*$G$9^MIN((A139-$F$9)/12,6)*MIN($G$9,0.85)^MAX(0,(A139-$F$9)/12-6)))</f>
        <v/>
      </c>
      <c r="J139" s="306">
        <f>IF(A139&lt;$F$10,0,IF(AND($B$21=1,A139&gt;$B$19),0,$E$10*$G$10^MIN((A139-$F$10)/12,6)*MIN($G$10,0.85)^MAX(0,(A139-$F$10)/12-6)))</f>
        <v/>
      </c>
      <c r="K139" s="306">
        <f>SUM(F139:J139)</f>
        <v/>
      </c>
      <c r="L139" s="306">
        <f>K139/12</f>
        <v/>
      </c>
      <c r="M139" s="306">
        <f>L139*$B$8</f>
        <v/>
      </c>
      <c r="N139" s="306">
        <f>L139*$B$9</f>
        <v/>
      </c>
      <c r="O139" s="306">
        <f>L139*$B$10</f>
        <v/>
      </c>
      <c r="P139" s="306">
        <f>L139-M139-N139-O139-D139-E139</f>
        <v/>
      </c>
      <c r="Q139" s="306">
        <f>MAX(0, P139 - $B$7*L139)</f>
        <v/>
      </c>
      <c r="R139" s="306">
        <f>P139-Q139</f>
        <v/>
      </c>
      <c r="S139" s="306">
        <f>IF(A139=$F$6, $B$18*$B$16*$B$17/1000000, 0) + IF(A139=$F$7, $B$18*$B$16*$B$17/1000000, 0) + IF(A139=$F$8, $B$18*$B$16*$B$17/1000000, 0) + IF(A139=$F$9, $B$18*$B$16*$B$17/1000000, 0) + IF(A139=$F$10, $B$18*$B$16*$B$17/1000000, 0)</f>
        <v/>
      </c>
      <c r="T139" s="306">
        <f>R139-S139-C139</f>
        <v/>
      </c>
      <c r="U139" s="306">
        <f>IF(AND(A139&lt;=$B$24, T139&gt;0), T139*$B$23, 0)</f>
        <v/>
      </c>
      <c r="V139" s="306">
        <f>T139-U139</f>
        <v/>
      </c>
      <c r="W139" s="306">
        <f>IF(AND(A139=$B$19, $B$21=1), K139*$B$20, 0)</f>
        <v/>
      </c>
      <c r="X139" s="306">
        <f>X138+V139+W139</f>
        <v/>
      </c>
    </row>
    <row r="140">
      <c r="A140" s="306" t="n">
        <v>110</v>
      </c>
      <c r="B140" s="306">
        <f>CEILING(A140/12,1)</f>
        <v/>
      </c>
      <c r="C140" s="306">
        <f>IF(A140&lt;=12, $B$15/12, 0)</f>
        <v/>
      </c>
      <c r="D140" s="306">
        <f>INDEX('26. Team Comp'!$D$28:$R$28, B140) * 0.001 / 12</f>
        <v/>
      </c>
      <c r="E140" s="306">
        <f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) * 200 / 12 / 1000</f>
        <v/>
      </c>
      <c r="F140" s="306">
        <f>IF(A140&lt;$F$6,0,IF(AND($B$21=1,A140&gt;$B$19),0,$E$6*$G$6^MIN((A140-$F$6)/12,6)*MIN($G$6,0.85)^MAX(0,(A140-$F$6)/12-6)))</f>
        <v/>
      </c>
      <c r="G140" s="306">
        <f>IF(A140&lt;$F$7,0,IF(AND($B$21=1,A140&gt;$B$19),0,$E$7*$G$7^MIN((A140-$F$7)/12,6)*MIN($G$7,0.85)^MAX(0,(A140-$F$7)/12-6)))</f>
        <v/>
      </c>
      <c r="H140" s="306">
        <f>IF(A140&lt;$F$8,0,IF(AND($B$21=1,A140&gt;$B$19),0,$E$8*$G$8^MIN((A140-$F$8)/12,6)*MIN($G$8,0.85)^MAX(0,(A140-$F$8)/12-6)))</f>
        <v/>
      </c>
      <c r="I140" s="306">
        <f>IF(A140&lt;$F$9,0,IF(AND($B$21=1,A140&gt;$B$19),0,$E$9*$G$9^MIN((A140-$F$9)/12,6)*MIN($G$9,0.85)^MAX(0,(A140-$F$9)/12-6)))</f>
        <v/>
      </c>
      <c r="J140" s="306">
        <f>IF(A140&lt;$F$10,0,IF(AND($B$21=1,A140&gt;$B$19),0,$E$10*$G$10^MIN((A140-$F$10)/12,6)*MIN($G$10,0.85)^MAX(0,(A140-$F$10)/12-6)))</f>
        <v/>
      </c>
      <c r="K140" s="306">
        <f>SUM(F140:J140)</f>
        <v/>
      </c>
      <c r="L140" s="306">
        <f>K140/12</f>
        <v/>
      </c>
      <c r="M140" s="306">
        <f>L140*$B$8</f>
        <v/>
      </c>
      <c r="N140" s="306">
        <f>L140*$B$9</f>
        <v/>
      </c>
      <c r="O140" s="306">
        <f>L140*$B$10</f>
        <v/>
      </c>
      <c r="P140" s="306">
        <f>L140-M140-N140-O140-D140-E140</f>
        <v/>
      </c>
      <c r="Q140" s="306">
        <f>MAX(0, P140 - $B$7*L140)</f>
        <v/>
      </c>
      <c r="R140" s="306">
        <f>P140-Q140</f>
        <v/>
      </c>
      <c r="S140" s="306">
        <f>IF(A140=$F$6, $B$18*$B$16*$B$17/1000000, 0) + IF(A140=$F$7, $B$18*$B$16*$B$17/1000000, 0) + IF(A140=$F$8, $B$18*$B$16*$B$17/1000000, 0) + IF(A140=$F$9, $B$18*$B$16*$B$17/1000000, 0) + IF(A140=$F$10, $B$18*$B$16*$B$17/1000000, 0)</f>
        <v/>
      </c>
      <c r="T140" s="306">
        <f>R140-S140-C140</f>
        <v/>
      </c>
      <c r="U140" s="306">
        <f>IF(AND(A140&lt;=$B$24, T140&gt;0), T140*$B$23, 0)</f>
        <v/>
      </c>
      <c r="V140" s="306">
        <f>T140-U140</f>
        <v/>
      </c>
      <c r="W140" s="306">
        <f>IF(AND(A140=$B$19, $B$21=1), K140*$B$20, 0)</f>
        <v/>
      </c>
      <c r="X140" s="306">
        <f>X139+V140+W140</f>
        <v/>
      </c>
    </row>
    <row r="141">
      <c r="A141" s="306" t="n">
        <v>111</v>
      </c>
      <c r="B141" s="306">
        <f>CEILING(A141/12,1)</f>
        <v/>
      </c>
      <c r="C141" s="306">
        <f>IF(A141&lt;=12, $B$15/12, 0)</f>
        <v/>
      </c>
      <c r="D141" s="306">
        <f>INDEX('26. Team Comp'!$D$28:$R$28, B141) * 0.001 / 12</f>
        <v/>
      </c>
      <c r="E141" s="306">
        <f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) * 200 / 12 / 1000</f>
        <v/>
      </c>
      <c r="F141" s="306">
        <f>IF(A141&lt;$F$6,0,IF(AND($B$21=1,A141&gt;$B$19),0,$E$6*$G$6^MIN((A141-$F$6)/12,6)*MIN($G$6,0.85)^MAX(0,(A141-$F$6)/12-6)))</f>
        <v/>
      </c>
      <c r="G141" s="306">
        <f>IF(A141&lt;$F$7,0,IF(AND($B$21=1,A141&gt;$B$19),0,$E$7*$G$7^MIN((A141-$F$7)/12,6)*MIN($G$7,0.85)^MAX(0,(A141-$F$7)/12-6)))</f>
        <v/>
      </c>
      <c r="H141" s="306">
        <f>IF(A141&lt;$F$8,0,IF(AND($B$21=1,A141&gt;$B$19),0,$E$8*$G$8^MIN((A141-$F$8)/12,6)*MIN($G$8,0.85)^MAX(0,(A141-$F$8)/12-6)))</f>
        <v/>
      </c>
      <c r="I141" s="306">
        <f>IF(A141&lt;$F$9,0,IF(AND($B$21=1,A141&gt;$B$19),0,$E$9*$G$9^MIN((A141-$F$9)/12,6)*MIN($G$9,0.85)^MAX(0,(A141-$F$9)/12-6)))</f>
        <v/>
      </c>
      <c r="J141" s="306">
        <f>IF(A141&lt;$F$10,0,IF(AND($B$21=1,A141&gt;$B$19),0,$E$10*$G$10^MIN((A141-$F$10)/12,6)*MIN($G$10,0.85)^MAX(0,(A141-$F$10)/12-6)))</f>
        <v/>
      </c>
      <c r="K141" s="306">
        <f>SUM(F141:J141)</f>
        <v/>
      </c>
      <c r="L141" s="306">
        <f>K141/12</f>
        <v/>
      </c>
      <c r="M141" s="306">
        <f>L141*$B$8</f>
        <v/>
      </c>
      <c r="N141" s="306">
        <f>L141*$B$9</f>
        <v/>
      </c>
      <c r="O141" s="306">
        <f>L141*$B$10</f>
        <v/>
      </c>
      <c r="P141" s="306">
        <f>L141-M141-N141-O141-D141-E141</f>
        <v/>
      </c>
      <c r="Q141" s="306">
        <f>MAX(0, P141 - $B$7*L141)</f>
        <v/>
      </c>
      <c r="R141" s="306">
        <f>P141-Q141</f>
        <v/>
      </c>
      <c r="S141" s="306">
        <f>IF(A141=$F$6, $B$18*$B$16*$B$17/1000000, 0) + IF(A141=$F$7, $B$18*$B$16*$B$17/1000000, 0) + IF(A141=$F$8, $B$18*$B$16*$B$17/1000000, 0) + IF(A141=$F$9, $B$18*$B$16*$B$17/1000000, 0) + IF(A141=$F$10, $B$18*$B$16*$B$17/1000000, 0)</f>
        <v/>
      </c>
      <c r="T141" s="306">
        <f>R141-S141-C141</f>
        <v/>
      </c>
      <c r="U141" s="306">
        <f>IF(AND(A141&lt;=$B$24, T141&gt;0), T141*$B$23, 0)</f>
        <v/>
      </c>
      <c r="V141" s="306">
        <f>T141-U141</f>
        <v/>
      </c>
      <c r="W141" s="306">
        <f>IF(AND(A141=$B$19, $B$21=1), K141*$B$20, 0)</f>
        <v/>
      </c>
      <c r="X141" s="306">
        <f>X140+V141+W141</f>
        <v/>
      </c>
    </row>
    <row r="142">
      <c r="A142" s="306" t="n">
        <v>112</v>
      </c>
      <c r="B142" s="306">
        <f>CEILING(A142/12,1)</f>
        <v/>
      </c>
      <c r="C142" s="306">
        <f>IF(A142&lt;=12, $B$15/12, 0)</f>
        <v/>
      </c>
      <c r="D142" s="306">
        <f>INDEX('26. Team Comp'!$D$28:$R$28, B142) * 0.001 / 12</f>
        <v/>
      </c>
      <c r="E142" s="306">
        <f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) * 200 / 12 / 1000</f>
        <v/>
      </c>
      <c r="F142" s="306">
        <f>IF(A142&lt;$F$6,0,IF(AND($B$21=1,A142&gt;$B$19),0,$E$6*$G$6^MIN((A142-$F$6)/12,6)*MIN($G$6,0.85)^MAX(0,(A142-$F$6)/12-6)))</f>
        <v/>
      </c>
      <c r="G142" s="306">
        <f>IF(A142&lt;$F$7,0,IF(AND($B$21=1,A142&gt;$B$19),0,$E$7*$G$7^MIN((A142-$F$7)/12,6)*MIN($G$7,0.85)^MAX(0,(A142-$F$7)/12-6)))</f>
        <v/>
      </c>
      <c r="H142" s="306">
        <f>IF(A142&lt;$F$8,0,IF(AND($B$21=1,A142&gt;$B$19),0,$E$8*$G$8^MIN((A142-$F$8)/12,6)*MIN($G$8,0.85)^MAX(0,(A142-$F$8)/12-6)))</f>
        <v/>
      </c>
      <c r="I142" s="306">
        <f>IF(A142&lt;$F$9,0,IF(AND($B$21=1,A142&gt;$B$19),0,$E$9*$G$9^MIN((A142-$F$9)/12,6)*MIN($G$9,0.85)^MAX(0,(A142-$F$9)/12-6)))</f>
        <v/>
      </c>
      <c r="J142" s="306">
        <f>IF(A142&lt;$F$10,0,IF(AND($B$21=1,A142&gt;$B$19),0,$E$10*$G$10^MIN((A142-$F$10)/12,6)*MIN($G$10,0.85)^MAX(0,(A142-$F$10)/12-6)))</f>
        <v/>
      </c>
      <c r="K142" s="306">
        <f>SUM(F142:J142)</f>
        <v/>
      </c>
      <c r="L142" s="306">
        <f>K142/12</f>
        <v/>
      </c>
      <c r="M142" s="306">
        <f>L142*$B$8</f>
        <v/>
      </c>
      <c r="N142" s="306">
        <f>L142*$B$9</f>
        <v/>
      </c>
      <c r="O142" s="306">
        <f>L142*$B$10</f>
        <v/>
      </c>
      <c r="P142" s="306">
        <f>L142-M142-N142-O142-D142-E142</f>
        <v/>
      </c>
      <c r="Q142" s="306">
        <f>MAX(0, P142 - $B$7*L142)</f>
        <v/>
      </c>
      <c r="R142" s="306">
        <f>P142-Q142</f>
        <v/>
      </c>
      <c r="S142" s="306">
        <f>IF(A142=$F$6, $B$18*$B$16*$B$17/1000000, 0) + IF(A142=$F$7, $B$18*$B$16*$B$17/1000000, 0) + IF(A142=$F$8, $B$18*$B$16*$B$17/1000000, 0) + IF(A142=$F$9, $B$18*$B$16*$B$17/1000000, 0) + IF(A142=$F$10, $B$18*$B$16*$B$17/1000000, 0)</f>
        <v/>
      </c>
      <c r="T142" s="306">
        <f>R142-S142-C142</f>
        <v/>
      </c>
      <c r="U142" s="306">
        <f>IF(AND(A142&lt;=$B$24, T142&gt;0), T142*$B$23, 0)</f>
        <v/>
      </c>
      <c r="V142" s="306">
        <f>T142-U142</f>
        <v/>
      </c>
      <c r="W142" s="306">
        <f>IF(AND(A142=$B$19, $B$21=1), K142*$B$20, 0)</f>
        <v/>
      </c>
      <c r="X142" s="306">
        <f>X141+V142+W142</f>
        <v/>
      </c>
    </row>
    <row r="143">
      <c r="A143" s="306" t="n">
        <v>113</v>
      </c>
      <c r="B143" s="306">
        <f>CEILING(A143/12,1)</f>
        <v/>
      </c>
      <c r="C143" s="306">
        <f>IF(A143&lt;=12, $B$15/12, 0)</f>
        <v/>
      </c>
      <c r="D143" s="306">
        <f>INDEX('26. Team Comp'!$D$28:$R$28, B143) * 0.001 / 12</f>
        <v/>
      </c>
      <c r="E143" s="306">
        <f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) * 200 / 12 / 1000</f>
        <v/>
      </c>
      <c r="F143" s="306">
        <f>IF(A143&lt;$F$6,0,IF(AND($B$21=1,A143&gt;$B$19),0,$E$6*$G$6^MIN((A143-$F$6)/12,6)*MIN($G$6,0.85)^MAX(0,(A143-$F$6)/12-6)))</f>
        <v/>
      </c>
      <c r="G143" s="306">
        <f>IF(A143&lt;$F$7,0,IF(AND($B$21=1,A143&gt;$B$19),0,$E$7*$G$7^MIN((A143-$F$7)/12,6)*MIN($G$7,0.85)^MAX(0,(A143-$F$7)/12-6)))</f>
        <v/>
      </c>
      <c r="H143" s="306">
        <f>IF(A143&lt;$F$8,0,IF(AND($B$21=1,A143&gt;$B$19),0,$E$8*$G$8^MIN((A143-$F$8)/12,6)*MIN($G$8,0.85)^MAX(0,(A143-$F$8)/12-6)))</f>
        <v/>
      </c>
      <c r="I143" s="306">
        <f>IF(A143&lt;$F$9,0,IF(AND($B$21=1,A143&gt;$B$19),0,$E$9*$G$9^MIN((A143-$F$9)/12,6)*MIN($G$9,0.85)^MAX(0,(A143-$F$9)/12-6)))</f>
        <v/>
      </c>
      <c r="J143" s="306">
        <f>IF(A143&lt;$F$10,0,IF(AND($B$21=1,A143&gt;$B$19),0,$E$10*$G$10^MIN((A143-$F$10)/12,6)*MIN($G$10,0.85)^MAX(0,(A143-$F$10)/12-6)))</f>
        <v/>
      </c>
      <c r="K143" s="306">
        <f>SUM(F143:J143)</f>
        <v/>
      </c>
      <c r="L143" s="306">
        <f>K143/12</f>
        <v/>
      </c>
      <c r="M143" s="306">
        <f>L143*$B$8</f>
        <v/>
      </c>
      <c r="N143" s="306">
        <f>L143*$B$9</f>
        <v/>
      </c>
      <c r="O143" s="306">
        <f>L143*$B$10</f>
        <v/>
      </c>
      <c r="P143" s="306">
        <f>L143-M143-N143-O143-D143-E143</f>
        <v/>
      </c>
      <c r="Q143" s="306">
        <f>MAX(0, P143 - $B$7*L143)</f>
        <v/>
      </c>
      <c r="R143" s="306">
        <f>P143-Q143</f>
        <v/>
      </c>
      <c r="S143" s="306">
        <f>IF(A143=$F$6, $B$18*$B$16*$B$17/1000000, 0) + IF(A143=$F$7, $B$18*$B$16*$B$17/1000000, 0) + IF(A143=$F$8, $B$18*$B$16*$B$17/1000000, 0) + IF(A143=$F$9, $B$18*$B$16*$B$17/1000000, 0) + IF(A143=$F$10, $B$18*$B$16*$B$17/1000000, 0)</f>
        <v/>
      </c>
      <c r="T143" s="306">
        <f>R143-S143-C143</f>
        <v/>
      </c>
      <c r="U143" s="306">
        <f>IF(AND(A143&lt;=$B$24, T143&gt;0), T143*$B$23, 0)</f>
        <v/>
      </c>
      <c r="V143" s="306">
        <f>T143-U143</f>
        <v/>
      </c>
      <c r="W143" s="306">
        <f>IF(AND(A143=$B$19, $B$21=1), K143*$B$20, 0)</f>
        <v/>
      </c>
      <c r="X143" s="306">
        <f>X142+V143+W143</f>
        <v/>
      </c>
    </row>
    <row r="144">
      <c r="A144" s="306" t="n">
        <v>114</v>
      </c>
      <c r="B144" s="306">
        <f>CEILING(A144/12,1)</f>
        <v/>
      </c>
      <c r="C144" s="306">
        <f>IF(A144&lt;=12, $B$15/12, 0)</f>
        <v/>
      </c>
      <c r="D144" s="306">
        <f>INDEX('26. Team Comp'!$D$28:$R$28, B144) * 0.001 / 12</f>
        <v/>
      </c>
      <c r="E144" s="306">
        <f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) * 200 / 12 / 1000</f>
        <v/>
      </c>
      <c r="F144" s="306">
        <f>IF(A144&lt;$F$6,0,IF(AND($B$21=1,A144&gt;$B$19),0,$E$6*$G$6^MIN((A144-$F$6)/12,6)*MIN($G$6,0.85)^MAX(0,(A144-$F$6)/12-6)))</f>
        <v/>
      </c>
      <c r="G144" s="306">
        <f>IF(A144&lt;$F$7,0,IF(AND($B$21=1,A144&gt;$B$19),0,$E$7*$G$7^MIN((A144-$F$7)/12,6)*MIN($G$7,0.85)^MAX(0,(A144-$F$7)/12-6)))</f>
        <v/>
      </c>
      <c r="H144" s="306">
        <f>IF(A144&lt;$F$8,0,IF(AND($B$21=1,A144&gt;$B$19),0,$E$8*$G$8^MIN((A144-$F$8)/12,6)*MIN($G$8,0.85)^MAX(0,(A144-$F$8)/12-6)))</f>
        <v/>
      </c>
      <c r="I144" s="306">
        <f>IF(A144&lt;$F$9,0,IF(AND($B$21=1,A144&gt;$B$19),0,$E$9*$G$9^MIN((A144-$F$9)/12,6)*MIN($G$9,0.85)^MAX(0,(A144-$F$9)/12-6)))</f>
        <v/>
      </c>
      <c r="J144" s="306">
        <f>IF(A144&lt;$F$10,0,IF(AND($B$21=1,A144&gt;$B$19),0,$E$10*$G$10^MIN((A144-$F$10)/12,6)*MIN($G$10,0.85)^MAX(0,(A144-$F$10)/12-6)))</f>
        <v/>
      </c>
      <c r="K144" s="306">
        <f>SUM(F144:J144)</f>
        <v/>
      </c>
      <c r="L144" s="306">
        <f>K144/12</f>
        <v/>
      </c>
      <c r="M144" s="306">
        <f>L144*$B$8</f>
        <v/>
      </c>
      <c r="N144" s="306">
        <f>L144*$B$9</f>
        <v/>
      </c>
      <c r="O144" s="306">
        <f>L144*$B$10</f>
        <v/>
      </c>
      <c r="P144" s="306">
        <f>L144-M144-N144-O144-D144-E144</f>
        <v/>
      </c>
      <c r="Q144" s="306">
        <f>MAX(0, P144 - $B$7*L144)</f>
        <v/>
      </c>
      <c r="R144" s="306">
        <f>P144-Q144</f>
        <v/>
      </c>
      <c r="S144" s="306">
        <f>IF(A144=$F$6, $B$18*$B$16*$B$17/1000000, 0) + IF(A144=$F$7, $B$18*$B$16*$B$17/1000000, 0) + IF(A144=$F$8, $B$18*$B$16*$B$17/1000000, 0) + IF(A144=$F$9, $B$18*$B$16*$B$17/1000000, 0) + IF(A144=$F$10, $B$18*$B$16*$B$17/1000000, 0)</f>
        <v/>
      </c>
      <c r="T144" s="306">
        <f>R144-S144-C144</f>
        <v/>
      </c>
      <c r="U144" s="306">
        <f>IF(AND(A144&lt;=$B$24, T144&gt;0), T144*$B$23, 0)</f>
        <v/>
      </c>
      <c r="V144" s="306">
        <f>T144-U144</f>
        <v/>
      </c>
      <c r="W144" s="306">
        <f>IF(AND(A144=$B$19, $B$21=1), K144*$B$20, 0)</f>
        <v/>
      </c>
      <c r="X144" s="306">
        <f>X143+V144+W144</f>
        <v/>
      </c>
    </row>
    <row r="145">
      <c r="A145" s="306" t="n">
        <v>115</v>
      </c>
      <c r="B145" s="306">
        <f>CEILING(A145/12,1)</f>
        <v/>
      </c>
      <c r="C145" s="306">
        <f>IF(A145&lt;=12, $B$15/12, 0)</f>
        <v/>
      </c>
      <c r="D145" s="306">
        <f>INDEX('26. Team Comp'!$D$28:$R$28, B145) * 0.001 / 12</f>
        <v/>
      </c>
      <c r="E145" s="306">
        <f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) * 200 / 12 / 1000</f>
        <v/>
      </c>
      <c r="F145" s="306">
        <f>IF(A145&lt;$F$6,0,IF(AND($B$21=1,A145&gt;$B$19),0,$E$6*$G$6^MIN((A145-$F$6)/12,6)*MIN($G$6,0.85)^MAX(0,(A145-$F$6)/12-6)))</f>
        <v/>
      </c>
      <c r="G145" s="306">
        <f>IF(A145&lt;$F$7,0,IF(AND($B$21=1,A145&gt;$B$19),0,$E$7*$G$7^MIN((A145-$F$7)/12,6)*MIN($G$7,0.85)^MAX(0,(A145-$F$7)/12-6)))</f>
        <v/>
      </c>
      <c r="H145" s="306">
        <f>IF(A145&lt;$F$8,0,IF(AND($B$21=1,A145&gt;$B$19),0,$E$8*$G$8^MIN((A145-$F$8)/12,6)*MIN($G$8,0.85)^MAX(0,(A145-$F$8)/12-6)))</f>
        <v/>
      </c>
      <c r="I145" s="306">
        <f>IF(A145&lt;$F$9,0,IF(AND($B$21=1,A145&gt;$B$19),0,$E$9*$G$9^MIN((A145-$F$9)/12,6)*MIN($G$9,0.85)^MAX(0,(A145-$F$9)/12-6)))</f>
        <v/>
      </c>
      <c r="J145" s="306">
        <f>IF(A145&lt;$F$10,0,IF(AND($B$21=1,A145&gt;$B$19),0,$E$10*$G$10^MIN((A145-$F$10)/12,6)*MIN($G$10,0.85)^MAX(0,(A145-$F$10)/12-6)))</f>
        <v/>
      </c>
      <c r="K145" s="306">
        <f>SUM(F145:J145)</f>
        <v/>
      </c>
      <c r="L145" s="306">
        <f>K145/12</f>
        <v/>
      </c>
      <c r="M145" s="306">
        <f>L145*$B$8</f>
        <v/>
      </c>
      <c r="N145" s="306">
        <f>L145*$B$9</f>
        <v/>
      </c>
      <c r="O145" s="306">
        <f>L145*$B$10</f>
        <v/>
      </c>
      <c r="P145" s="306">
        <f>L145-M145-N145-O145-D145-E145</f>
        <v/>
      </c>
      <c r="Q145" s="306">
        <f>MAX(0, P145 - $B$7*L145)</f>
        <v/>
      </c>
      <c r="R145" s="306">
        <f>P145-Q145</f>
        <v/>
      </c>
      <c r="S145" s="306">
        <f>IF(A145=$F$6, $B$18*$B$16*$B$17/1000000, 0) + IF(A145=$F$7, $B$18*$B$16*$B$17/1000000, 0) + IF(A145=$F$8, $B$18*$B$16*$B$17/1000000, 0) + IF(A145=$F$9, $B$18*$B$16*$B$17/1000000, 0) + IF(A145=$F$10, $B$18*$B$16*$B$17/1000000, 0)</f>
        <v/>
      </c>
      <c r="T145" s="306">
        <f>R145-S145-C145</f>
        <v/>
      </c>
      <c r="U145" s="306">
        <f>IF(AND(A145&lt;=$B$24, T145&gt;0), T145*$B$23, 0)</f>
        <v/>
      </c>
      <c r="V145" s="306">
        <f>T145-U145</f>
        <v/>
      </c>
      <c r="W145" s="306">
        <f>IF(AND(A145=$B$19, $B$21=1), K145*$B$20, 0)</f>
        <v/>
      </c>
      <c r="X145" s="306">
        <f>X144+V145+W145</f>
        <v/>
      </c>
    </row>
    <row r="146">
      <c r="A146" s="306" t="n">
        <v>116</v>
      </c>
      <c r="B146" s="306">
        <f>CEILING(A146/12,1)</f>
        <v/>
      </c>
      <c r="C146" s="306">
        <f>IF(A146&lt;=12, $B$15/12, 0)</f>
        <v/>
      </c>
      <c r="D146" s="306">
        <f>INDEX('26. Team Comp'!$D$28:$R$28, B146) * 0.001 / 12</f>
        <v/>
      </c>
      <c r="E146" s="306">
        <f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) * 200 / 12 / 1000</f>
        <v/>
      </c>
      <c r="F146" s="306">
        <f>IF(A146&lt;$F$6,0,IF(AND($B$21=1,A146&gt;$B$19),0,$E$6*$G$6^MIN((A146-$F$6)/12,6)*MIN($G$6,0.85)^MAX(0,(A146-$F$6)/12-6)))</f>
        <v/>
      </c>
      <c r="G146" s="306">
        <f>IF(A146&lt;$F$7,0,IF(AND($B$21=1,A146&gt;$B$19),0,$E$7*$G$7^MIN((A146-$F$7)/12,6)*MIN($G$7,0.85)^MAX(0,(A146-$F$7)/12-6)))</f>
        <v/>
      </c>
      <c r="H146" s="306">
        <f>IF(A146&lt;$F$8,0,IF(AND($B$21=1,A146&gt;$B$19),0,$E$8*$G$8^MIN((A146-$F$8)/12,6)*MIN($G$8,0.85)^MAX(0,(A146-$F$8)/12-6)))</f>
        <v/>
      </c>
      <c r="I146" s="306">
        <f>IF(A146&lt;$F$9,0,IF(AND($B$21=1,A146&gt;$B$19),0,$E$9*$G$9^MIN((A146-$F$9)/12,6)*MIN($G$9,0.85)^MAX(0,(A146-$F$9)/12-6)))</f>
        <v/>
      </c>
      <c r="J146" s="306">
        <f>IF(A146&lt;$F$10,0,IF(AND($B$21=1,A146&gt;$B$19),0,$E$10*$G$10^MIN((A146-$F$10)/12,6)*MIN($G$10,0.85)^MAX(0,(A146-$F$10)/12-6)))</f>
        <v/>
      </c>
      <c r="K146" s="306">
        <f>SUM(F146:J146)</f>
        <v/>
      </c>
      <c r="L146" s="306">
        <f>K146/12</f>
        <v/>
      </c>
      <c r="M146" s="306">
        <f>L146*$B$8</f>
        <v/>
      </c>
      <c r="N146" s="306">
        <f>L146*$B$9</f>
        <v/>
      </c>
      <c r="O146" s="306">
        <f>L146*$B$10</f>
        <v/>
      </c>
      <c r="P146" s="306">
        <f>L146-M146-N146-O146-D146-E146</f>
        <v/>
      </c>
      <c r="Q146" s="306">
        <f>MAX(0, P146 - $B$7*L146)</f>
        <v/>
      </c>
      <c r="R146" s="306">
        <f>P146-Q146</f>
        <v/>
      </c>
      <c r="S146" s="306">
        <f>IF(A146=$F$6, $B$18*$B$16*$B$17/1000000, 0) + IF(A146=$F$7, $B$18*$B$16*$B$17/1000000, 0) + IF(A146=$F$8, $B$18*$B$16*$B$17/1000000, 0) + IF(A146=$F$9, $B$18*$B$16*$B$17/1000000, 0) + IF(A146=$F$10, $B$18*$B$16*$B$17/1000000, 0)</f>
        <v/>
      </c>
      <c r="T146" s="306">
        <f>R146-S146-C146</f>
        <v/>
      </c>
      <c r="U146" s="306">
        <f>IF(AND(A146&lt;=$B$24, T146&gt;0), T146*$B$23, 0)</f>
        <v/>
      </c>
      <c r="V146" s="306">
        <f>T146-U146</f>
        <v/>
      </c>
      <c r="W146" s="306">
        <f>IF(AND(A146=$B$19, $B$21=1), K146*$B$20, 0)</f>
        <v/>
      </c>
      <c r="X146" s="306">
        <f>X145+V146+W146</f>
        <v/>
      </c>
    </row>
    <row r="147">
      <c r="A147" s="306" t="n">
        <v>117</v>
      </c>
      <c r="B147" s="306">
        <f>CEILING(A147/12,1)</f>
        <v/>
      </c>
      <c r="C147" s="306">
        <f>IF(A147&lt;=12, $B$15/12, 0)</f>
        <v/>
      </c>
      <c r="D147" s="306">
        <f>INDEX('26. Team Comp'!$D$28:$R$28, B147) * 0.001 / 12</f>
        <v/>
      </c>
      <c r="E147" s="306">
        <f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) * 200 / 12 / 1000</f>
        <v/>
      </c>
      <c r="F147" s="306">
        <f>IF(A147&lt;$F$6,0,IF(AND($B$21=1,A147&gt;$B$19),0,$E$6*$G$6^MIN((A147-$F$6)/12,6)*MIN($G$6,0.85)^MAX(0,(A147-$F$6)/12-6)))</f>
        <v/>
      </c>
      <c r="G147" s="306">
        <f>IF(A147&lt;$F$7,0,IF(AND($B$21=1,A147&gt;$B$19),0,$E$7*$G$7^MIN((A147-$F$7)/12,6)*MIN($G$7,0.85)^MAX(0,(A147-$F$7)/12-6)))</f>
        <v/>
      </c>
      <c r="H147" s="306">
        <f>IF(A147&lt;$F$8,0,IF(AND($B$21=1,A147&gt;$B$19),0,$E$8*$G$8^MIN((A147-$F$8)/12,6)*MIN($G$8,0.85)^MAX(0,(A147-$F$8)/12-6)))</f>
        <v/>
      </c>
      <c r="I147" s="306">
        <f>IF(A147&lt;$F$9,0,IF(AND($B$21=1,A147&gt;$B$19),0,$E$9*$G$9^MIN((A147-$F$9)/12,6)*MIN($G$9,0.85)^MAX(0,(A147-$F$9)/12-6)))</f>
        <v/>
      </c>
      <c r="J147" s="306">
        <f>IF(A147&lt;$F$10,0,IF(AND($B$21=1,A147&gt;$B$19),0,$E$10*$G$10^MIN((A147-$F$10)/12,6)*MIN($G$10,0.85)^MAX(0,(A147-$F$10)/12-6)))</f>
        <v/>
      </c>
      <c r="K147" s="306">
        <f>SUM(F147:J147)</f>
        <v/>
      </c>
      <c r="L147" s="306">
        <f>K147/12</f>
        <v/>
      </c>
      <c r="M147" s="306">
        <f>L147*$B$8</f>
        <v/>
      </c>
      <c r="N147" s="306">
        <f>L147*$B$9</f>
        <v/>
      </c>
      <c r="O147" s="306">
        <f>L147*$B$10</f>
        <v/>
      </c>
      <c r="P147" s="306">
        <f>L147-M147-N147-O147-D147-E147</f>
        <v/>
      </c>
      <c r="Q147" s="306">
        <f>MAX(0, P147 - $B$7*L147)</f>
        <v/>
      </c>
      <c r="R147" s="306">
        <f>P147-Q147</f>
        <v/>
      </c>
      <c r="S147" s="306">
        <f>IF(A147=$F$6, $B$18*$B$16*$B$17/1000000, 0) + IF(A147=$F$7, $B$18*$B$16*$B$17/1000000, 0) + IF(A147=$F$8, $B$18*$B$16*$B$17/1000000, 0) + IF(A147=$F$9, $B$18*$B$16*$B$17/1000000, 0) + IF(A147=$F$10, $B$18*$B$16*$B$17/1000000, 0)</f>
        <v/>
      </c>
      <c r="T147" s="306">
        <f>R147-S147-C147</f>
        <v/>
      </c>
      <c r="U147" s="306">
        <f>IF(AND(A147&lt;=$B$24, T147&gt;0), T147*$B$23, 0)</f>
        <v/>
      </c>
      <c r="V147" s="306">
        <f>T147-U147</f>
        <v/>
      </c>
      <c r="W147" s="306">
        <f>IF(AND(A147=$B$19, $B$21=1), K147*$B$20, 0)</f>
        <v/>
      </c>
      <c r="X147" s="306">
        <f>X146+V147+W147</f>
        <v/>
      </c>
    </row>
    <row r="148">
      <c r="A148" s="306" t="n">
        <v>118</v>
      </c>
      <c r="B148" s="306">
        <f>CEILING(A148/12,1)</f>
        <v/>
      </c>
      <c r="C148" s="306">
        <f>IF(A148&lt;=12, $B$15/12, 0)</f>
        <v/>
      </c>
      <c r="D148" s="306">
        <f>INDEX('26. Team Comp'!$D$28:$R$28, B148) * 0.001 / 12</f>
        <v/>
      </c>
      <c r="E148" s="306">
        <f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) * 200 / 12 / 1000</f>
        <v/>
      </c>
      <c r="F148" s="306">
        <f>IF(A148&lt;$F$6,0,IF(AND($B$21=1,A148&gt;$B$19),0,$E$6*$G$6^MIN((A148-$F$6)/12,6)*MIN($G$6,0.85)^MAX(0,(A148-$F$6)/12-6)))</f>
        <v/>
      </c>
      <c r="G148" s="306">
        <f>IF(A148&lt;$F$7,0,IF(AND($B$21=1,A148&gt;$B$19),0,$E$7*$G$7^MIN((A148-$F$7)/12,6)*MIN($G$7,0.85)^MAX(0,(A148-$F$7)/12-6)))</f>
        <v/>
      </c>
      <c r="H148" s="306">
        <f>IF(A148&lt;$F$8,0,IF(AND($B$21=1,A148&gt;$B$19),0,$E$8*$G$8^MIN((A148-$F$8)/12,6)*MIN($G$8,0.85)^MAX(0,(A148-$F$8)/12-6)))</f>
        <v/>
      </c>
      <c r="I148" s="306">
        <f>IF(A148&lt;$F$9,0,IF(AND($B$21=1,A148&gt;$B$19),0,$E$9*$G$9^MIN((A148-$F$9)/12,6)*MIN($G$9,0.85)^MAX(0,(A148-$F$9)/12-6)))</f>
        <v/>
      </c>
      <c r="J148" s="306">
        <f>IF(A148&lt;$F$10,0,IF(AND($B$21=1,A148&gt;$B$19),0,$E$10*$G$10^MIN((A148-$F$10)/12,6)*MIN($G$10,0.85)^MAX(0,(A148-$F$10)/12-6)))</f>
        <v/>
      </c>
      <c r="K148" s="306">
        <f>SUM(F148:J148)</f>
        <v/>
      </c>
      <c r="L148" s="306">
        <f>K148/12</f>
        <v/>
      </c>
      <c r="M148" s="306">
        <f>L148*$B$8</f>
        <v/>
      </c>
      <c r="N148" s="306">
        <f>L148*$B$9</f>
        <v/>
      </c>
      <c r="O148" s="306">
        <f>L148*$B$10</f>
        <v/>
      </c>
      <c r="P148" s="306">
        <f>L148-M148-N148-O148-D148-E148</f>
        <v/>
      </c>
      <c r="Q148" s="306">
        <f>MAX(0, P148 - $B$7*L148)</f>
        <v/>
      </c>
      <c r="R148" s="306">
        <f>P148-Q148</f>
        <v/>
      </c>
      <c r="S148" s="306">
        <f>IF(A148=$F$6, $B$18*$B$16*$B$17/1000000, 0) + IF(A148=$F$7, $B$18*$B$16*$B$17/1000000, 0) + IF(A148=$F$8, $B$18*$B$16*$B$17/1000000, 0) + IF(A148=$F$9, $B$18*$B$16*$B$17/1000000, 0) + IF(A148=$F$10, $B$18*$B$16*$B$17/1000000, 0)</f>
        <v/>
      </c>
      <c r="T148" s="306">
        <f>R148-S148-C148</f>
        <v/>
      </c>
      <c r="U148" s="306">
        <f>IF(AND(A148&lt;=$B$24, T148&gt;0), T148*$B$23, 0)</f>
        <v/>
      </c>
      <c r="V148" s="306">
        <f>T148-U148</f>
        <v/>
      </c>
      <c r="W148" s="306">
        <f>IF(AND(A148=$B$19, $B$21=1), K148*$B$20, 0)</f>
        <v/>
      </c>
      <c r="X148" s="306">
        <f>X147+V148+W148</f>
        <v/>
      </c>
    </row>
    <row r="149">
      <c r="A149" s="306" t="n">
        <v>119</v>
      </c>
      <c r="B149" s="306">
        <f>CEILING(A149/12,1)</f>
        <v/>
      </c>
      <c r="C149" s="306">
        <f>IF(A149&lt;=12, $B$15/12, 0)</f>
        <v/>
      </c>
      <c r="D149" s="306">
        <f>INDEX('26. Team Comp'!$D$28:$R$28, B149) * 0.001 / 12</f>
        <v/>
      </c>
      <c r="E149" s="306">
        <f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) * 200 / 12 / 1000</f>
        <v/>
      </c>
      <c r="F149" s="306">
        <f>IF(A149&lt;$F$6,0,IF(AND($B$21=1,A149&gt;$B$19),0,$E$6*$G$6^MIN((A149-$F$6)/12,6)*MIN($G$6,0.85)^MAX(0,(A149-$F$6)/12-6)))</f>
        <v/>
      </c>
      <c r="G149" s="306">
        <f>IF(A149&lt;$F$7,0,IF(AND($B$21=1,A149&gt;$B$19),0,$E$7*$G$7^MIN((A149-$F$7)/12,6)*MIN($G$7,0.85)^MAX(0,(A149-$F$7)/12-6)))</f>
        <v/>
      </c>
      <c r="H149" s="306">
        <f>IF(A149&lt;$F$8,0,IF(AND($B$21=1,A149&gt;$B$19),0,$E$8*$G$8^MIN((A149-$F$8)/12,6)*MIN($G$8,0.85)^MAX(0,(A149-$F$8)/12-6)))</f>
        <v/>
      </c>
      <c r="I149" s="306">
        <f>IF(A149&lt;$F$9,0,IF(AND($B$21=1,A149&gt;$B$19),0,$E$9*$G$9^MIN((A149-$F$9)/12,6)*MIN($G$9,0.85)^MAX(0,(A149-$F$9)/12-6)))</f>
        <v/>
      </c>
      <c r="J149" s="306">
        <f>IF(A149&lt;$F$10,0,IF(AND($B$21=1,A149&gt;$B$19),0,$E$10*$G$10^MIN((A149-$F$10)/12,6)*MIN($G$10,0.85)^MAX(0,(A149-$F$10)/12-6)))</f>
        <v/>
      </c>
      <c r="K149" s="306">
        <f>SUM(F149:J149)</f>
        <v/>
      </c>
      <c r="L149" s="306">
        <f>K149/12</f>
        <v/>
      </c>
      <c r="M149" s="306">
        <f>L149*$B$8</f>
        <v/>
      </c>
      <c r="N149" s="306">
        <f>L149*$B$9</f>
        <v/>
      </c>
      <c r="O149" s="306">
        <f>L149*$B$10</f>
        <v/>
      </c>
      <c r="P149" s="306">
        <f>L149-M149-N149-O149-D149-E149</f>
        <v/>
      </c>
      <c r="Q149" s="306">
        <f>MAX(0, P149 - $B$7*L149)</f>
        <v/>
      </c>
      <c r="R149" s="306">
        <f>P149-Q149</f>
        <v/>
      </c>
      <c r="S149" s="306">
        <f>IF(A149=$F$6, $B$18*$B$16*$B$17/1000000, 0) + IF(A149=$F$7, $B$18*$B$16*$B$17/1000000, 0) + IF(A149=$F$8, $B$18*$B$16*$B$17/1000000, 0) + IF(A149=$F$9, $B$18*$B$16*$B$17/1000000, 0) + IF(A149=$F$10, $B$18*$B$16*$B$17/1000000, 0)</f>
        <v/>
      </c>
      <c r="T149" s="306">
        <f>R149-S149-C149</f>
        <v/>
      </c>
      <c r="U149" s="306">
        <f>IF(AND(A149&lt;=$B$24, T149&gt;0), T149*$B$23, 0)</f>
        <v/>
      </c>
      <c r="V149" s="306">
        <f>T149-U149</f>
        <v/>
      </c>
      <c r="W149" s="306">
        <f>IF(AND(A149=$B$19, $B$21=1), K149*$B$20, 0)</f>
        <v/>
      </c>
      <c r="X149" s="306">
        <f>X148+V149+W149</f>
        <v/>
      </c>
    </row>
    <row r="150">
      <c r="A150" s="306" t="n">
        <v>120</v>
      </c>
      <c r="B150" s="306">
        <f>CEILING(A150/12,1)</f>
        <v/>
      </c>
      <c r="C150" s="306">
        <f>IF(A150&lt;=12, $B$15/12, 0)</f>
        <v/>
      </c>
      <c r="D150" s="306">
        <f>INDEX('26. Team Comp'!$D$28:$R$28, B150) * 0.001 / 12</f>
        <v/>
      </c>
      <c r="E150" s="306">
        <f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) * 200 / 12 / 1000</f>
        <v/>
      </c>
      <c r="F150" s="306">
        <f>IF(A150&lt;$F$6,0,IF(AND($B$21=1,A150&gt;$B$19),0,$E$6*$G$6^MIN((A150-$F$6)/12,6)*MIN($G$6,0.85)^MAX(0,(A150-$F$6)/12-6)))</f>
        <v/>
      </c>
      <c r="G150" s="306">
        <f>IF(A150&lt;$F$7,0,IF(AND($B$21=1,A150&gt;$B$19),0,$E$7*$G$7^MIN((A150-$F$7)/12,6)*MIN($G$7,0.85)^MAX(0,(A150-$F$7)/12-6)))</f>
        <v/>
      </c>
      <c r="H150" s="306">
        <f>IF(A150&lt;$F$8,0,IF(AND($B$21=1,A150&gt;$B$19),0,$E$8*$G$8^MIN((A150-$F$8)/12,6)*MIN($G$8,0.85)^MAX(0,(A150-$F$8)/12-6)))</f>
        <v/>
      </c>
      <c r="I150" s="306">
        <f>IF(A150&lt;$F$9,0,IF(AND($B$21=1,A150&gt;$B$19),0,$E$9*$G$9^MIN((A150-$F$9)/12,6)*MIN($G$9,0.85)^MAX(0,(A150-$F$9)/12-6)))</f>
        <v/>
      </c>
      <c r="J150" s="306">
        <f>IF(A150&lt;$F$10,0,IF(AND($B$21=1,A150&gt;$B$19),0,$E$10*$G$10^MIN((A150-$F$10)/12,6)*MIN($G$10,0.85)^MAX(0,(A150-$F$10)/12-6)))</f>
        <v/>
      </c>
      <c r="K150" s="306">
        <f>SUM(F150:J150)</f>
        <v/>
      </c>
      <c r="L150" s="306">
        <f>K150/12</f>
        <v/>
      </c>
      <c r="M150" s="306">
        <f>L150*$B$8</f>
        <v/>
      </c>
      <c r="N150" s="306">
        <f>L150*$B$9</f>
        <v/>
      </c>
      <c r="O150" s="306">
        <f>L150*$B$10</f>
        <v/>
      </c>
      <c r="P150" s="306">
        <f>L150-M150-N150-O150-D150-E150</f>
        <v/>
      </c>
      <c r="Q150" s="306">
        <f>MAX(0, P150 - $B$7*L150)</f>
        <v/>
      </c>
      <c r="R150" s="306">
        <f>P150-Q150</f>
        <v/>
      </c>
      <c r="S150" s="306">
        <f>IF(A150=$F$6, $B$18*$B$16*$B$17/1000000, 0) + IF(A150=$F$7, $B$18*$B$16*$B$17/1000000, 0) + IF(A150=$F$8, $B$18*$B$16*$B$17/1000000, 0) + IF(A150=$F$9, $B$18*$B$16*$B$17/1000000, 0) + IF(A150=$F$10, $B$18*$B$16*$B$17/1000000, 0)</f>
        <v/>
      </c>
      <c r="T150" s="306">
        <f>R150-S150-C150</f>
        <v/>
      </c>
      <c r="U150" s="306">
        <f>IF(AND(A150&lt;=$B$24, T150&gt;0), T150*$B$23, 0)</f>
        <v/>
      </c>
      <c r="V150" s="306">
        <f>T150-U150</f>
        <v/>
      </c>
      <c r="W150" s="306">
        <f>IF(AND(A150=$B$19, $B$21=1), K150*$B$20, 0)</f>
        <v/>
      </c>
      <c r="X150" s="306">
        <f>X149+V150+W150</f>
        <v/>
      </c>
    </row>
    <row r="151">
      <c r="A151" s="306" t="n">
        <v>121</v>
      </c>
      <c r="B151" s="306">
        <f>CEILING(A151/12,1)</f>
        <v/>
      </c>
      <c r="C151" s="306">
        <f>IF(A151&lt;=12, $B$15/12, 0)</f>
        <v/>
      </c>
      <c r="D151" s="306">
        <f>INDEX('26. Team Comp'!$D$28:$R$28, B151) * 0.001 / 12</f>
        <v/>
      </c>
      <c r="E151" s="306">
        <f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) * 200 / 12 / 1000</f>
        <v/>
      </c>
      <c r="F151" s="306">
        <f>IF(A151&lt;$F$6,0,IF(AND($B$21=1,A151&gt;$B$19),0,$E$6*$G$6^MIN((A151-$F$6)/12,6)*MIN($G$6,0.85)^MAX(0,(A151-$F$6)/12-6)))</f>
        <v/>
      </c>
      <c r="G151" s="306">
        <f>IF(A151&lt;$F$7,0,IF(AND($B$21=1,A151&gt;$B$19),0,$E$7*$G$7^MIN((A151-$F$7)/12,6)*MIN($G$7,0.85)^MAX(0,(A151-$F$7)/12-6)))</f>
        <v/>
      </c>
      <c r="H151" s="306">
        <f>IF(A151&lt;$F$8,0,IF(AND($B$21=1,A151&gt;$B$19),0,$E$8*$G$8^MIN((A151-$F$8)/12,6)*MIN($G$8,0.85)^MAX(0,(A151-$F$8)/12-6)))</f>
        <v/>
      </c>
      <c r="I151" s="306">
        <f>IF(A151&lt;$F$9,0,IF(AND($B$21=1,A151&gt;$B$19),0,$E$9*$G$9^MIN((A151-$F$9)/12,6)*MIN($G$9,0.85)^MAX(0,(A151-$F$9)/12-6)))</f>
        <v/>
      </c>
      <c r="J151" s="306">
        <f>IF(A151&lt;$F$10,0,IF(AND($B$21=1,A151&gt;$B$19),0,$E$10*$G$10^MIN((A151-$F$10)/12,6)*MIN($G$10,0.85)^MAX(0,(A151-$F$10)/12-6)))</f>
        <v/>
      </c>
      <c r="K151" s="306">
        <f>SUM(F151:J151)</f>
        <v/>
      </c>
      <c r="L151" s="306">
        <f>K151/12</f>
        <v/>
      </c>
      <c r="M151" s="306">
        <f>L151*$B$8</f>
        <v/>
      </c>
      <c r="N151" s="306">
        <f>L151*$B$9</f>
        <v/>
      </c>
      <c r="O151" s="306">
        <f>L151*$B$10</f>
        <v/>
      </c>
      <c r="P151" s="306">
        <f>L151-M151-N151-O151-D151-E151</f>
        <v/>
      </c>
      <c r="Q151" s="306">
        <f>MAX(0, P151 - $B$7*L151)</f>
        <v/>
      </c>
      <c r="R151" s="306">
        <f>P151-Q151</f>
        <v/>
      </c>
      <c r="S151" s="306">
        <f>IF(A151=$F$6, $B$18*$B$16*$B$17/1000000, 0) + IF(A151=$F$7, $B$18*$B$16*$B$17/1000000, 0) + IF(A151=$F$8, $B$18*$B$16*$B$17/1000000, 0) + IF(A151=$F$9, $B$18*$B$16*$B$17/1000000, 0) + IF(A151=$F$10, $B$18*$B$16*$B$17/1000000, 0)</f>
        <v/>
      </c>
      <c r="T151" s="306">
        <f>R151-S151-C151</f>
        <v/>
      </c>
      <c r="U151" s="306">
        <f>IF(AND(A151&lt;=$B$24, T151&gt;0), T151*$B$23, 0)</f>
        <v/>
      </c>
      <c r="V151" s="306">
        <f>T151-U151</f>
        <v/>
      </c>
      <c r="W151" s="306">
        <f>IF(AND(A151=$B$19, $B$21=1), K151*$B$20, 0)</f>
        <v/>
      </c>
      <c r="X151" s="306">
        <f>X150+V151+W151</f>
        <v/>
      </c>
    </row>
    <row r="152">
      <c r="A152" s="306" t="n">
        <v>122</v>
      </c>
      <c r="B152" s="306">
        <f>CEILING(A152/12,1)</f>
        <v/>
      </c>
      <c r="C152" s="306">
        <f>IF(A152&lt;=12, $B$15/12, 0)</f>
        <v/>
      </c>
      <c r="D152" s="306">
        <f>INDEX('26. Team Comp'!$D$28:$R$28, B152) * 0.001 / 12</f>
        <v/>
      </c>
      <c r="E152" s="306">
        <f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) * 200 / 12 / 1000</f>
        <v/>
      </c>
      <c r="F152" s="306">
        <f>IF(A152&lt;$F$6,0,IF(AND($B$21=1,A152&gt;$B$19),0,$E$6*$G$6^MIN((A152-$F$6)/12,6)*MIN($G$6,0.85)^MAX(0,(A152-$F$6)/12-6)))</f>
        <v/>
      </c>
      <c r="G152" s="306">
        <f>IF(A152&lt;$F$7,0,IF(AND($B$21=1,A152&gt;$B$19),0,$E$7*$G$7^MIN((A152-$F$7)/12,6)*MIN($G$7,0.85)^MAX(0,(A152-$F$7)/12-6)))</f>
        <v/>
      </c>
      <c r="H152" s="306">
        <f>IF(A152&lt;$F$8,0,IF(AND($B$21=1,A152&gt;$B$19),0,$E$8*$G$8^MIN((A152-$F$8)/12,6)*MIN($G$8,0.85)^MAX(0,(A152-$F$8)/12-6)))</f>
        <v/>
      </c>
      <c r="I152" s="306">
        <f>IF(A152&lt;$F$9,0,IF(AND($B$21=1,A152&gt;$B$19),0,$E$9*$G$9^MIN((A152-$F$9)/12,6)*MIN($G$9,0.85)^MAX(0,(A152-$F$9)/12-6)))</f>
        <v/>
      </c>
      <c r="J152" s="306">
        <f>IF(A152&lt;$F$10,0,IF(AND($B$21=1,A152&gt;$B$19),0,$E$10*$G$10^MIN((A152-$F$10)/12,6)*MIN($G$10,0.85)^MAX(0,(A152-$F$10)/12-6)))</f>
        <v/>
      </c>
      <c r="K152" s="306">
        <f>SUM(F152:J152)</f>
        <v/>
      </c>
      <c r="L152" s="306">
        <f>K152/12</f>
        <v/>
      </c>
      <c r="M152" s="306">
        <f>L152*$B$8</f>
        <v/>
      </c>
      <c r="N152" s="306">
        <f>L152*$B$9</f>
        <v/>
      </c>
      <c r="O152" s="306">
        <f>L152*$B$10</f>
        <v/>
      </c>
      <c r="P152" s="306">
        <f>L152-M152-N152-O152-D152-E152</f>
        <v/>
      </c>
      <c r="Q152" s="306">
        <f>MAX(0, P152 - $B$7*L152)</f>
        <v/>
      </c>
      <c r="R152" s="306">
        <f>P152-Q152</f>
        <v/>
      </c>
      <c r="S152" s="306">
        <f>IF(A152=$F$6, $B$18*$B$16*$B$17/1000000, 0) + IF(A152=$F$7, $B$18*$B$16*$B$17/1000000, 0) + IF(A152=$F$8, $B$18*$B$16*$B$17/1000000, 0) + IF(A152=$F$9, $B$18*$B$16*$B$17/1000000, 0) + IF(A152=$F$10, $B$18*$B$16*$B$17/1000000, 0)</f>
        <v/>
      </c>
      <c r="T152" s="306">
        <f>R152-S152-C152</f>
        <v/>
      </c>
      <c r="U152" s="306">
        <f>IF(AND(A152&lt;=$B$24, T152&gt;0), T152*$B$23, 0)</f>
        <v/>
      </c>
      <c r="V152" s="306">
        <f>T152-U152</f>
        <v/>
      </c>
      <c r="W152" s="306">
        <f>IF(AND(A152=$B$19, $B$21=1), K152*$B$20, 0)</f>
        <v/>
      </c>
      <c r="X152" s="306">
        <f>X151+V152+W152</f>
        <v/>
      </c>
    </row>
    <row r="153">
      <c r="A153" s="306" t="n">
        <v>123</v>
      </c>
      <c r="B153" s="306">
        <f>CEILING(A153/12,1)</f>
        <v/>
      </c>
      <c r="C153" s="306">
        <f>IF(A153&lt;=12, $B$15/12, 0)</f>
        <v/>
      </c>
      <c r="D153" s="306">
        <f>INDEX('26. Team Comp'!$D$28:$R$28, B153) * 0.001 / 12</f>
        <v/>
      </c>
      <c r="E153" s="306">
        <f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) * 200 / 12 / 1000</f>
        <v/>
      </c>
      <c r="F153" s="306">
        <f>IF(A153&lt;$F$6,0,IF(AND($B$21=1,A153&gt;$B$19),0,$E$6*$G$6^MIN((A153-$F$6)/12,6)*MIN($G$6,0.85)^MAX(0,(A153-$F$6)/12-6)))</f>
        <v/>
      </c>
      <c r="G153" s="306">
        <f>IF(A153&lt;$F$7,0,IF(AND($B$21=1,A153&gt;$B$19),0,$E$7*$G$7^MIN((A153-$F$7)/12,6)*MIN($G$7,0.85)^MAX(0,(A153-$F$7)/12-6)))</f>
        <v/>
      </c>
      <c r="H153" s="306">
        <f>IF(A153&lt;$F$8,0,IF(AND($B$21=1,A153&gt;$B$19),0,$E$8*$G$8^MIN((A153-$F$8)/12,6)*MIN($G$8,0.85)^MAX(0,(A153-$F$8)/12-6)))</f>
        <v/>
      </c>
      <c r="I153" s="306">
        <f>IF(A153&lt;$F$9,0,IF(AND($B$21=1,A153&gt;$B$19),0,$E$9*$G$9^MIN((A153-$F$9)/12,6)*MIN($G$9,0.85)^MAX(0,(A153-$F$9)/12-6)))</f>
        <v/>
      </c>
      <c r="J153" s="306">
        <f>IF(A153&lt;$F$10,0,IF(AND($B$21=1,A153&gt;$B$19),0,$E$10*$G$10^MIN((A153-$F$10)/12,6)*MIN($G$10,0.85)^MAX(0,(A153-$F$10)/12-6)))</f>
        <v/>
      </c>
      <c r="K153" s="306">
        <f>SUM(F153:J153)</f>
        <v/>
      </c>
      <c r="L153" s="306">
        <f>K153/12</f>
        <v/>
      </c>
      <c r="M153" s="306">
        <f>L153*$B$8</f>
        <v/>
      </c>
      <c r="N153" s="306">
        <f>L153*$B$9</f>
        <v/>
      </c>
      <c r="O153" s="306">
        <f>L153*$B$10</f>
        <v/>
      </c>
      <c r="P153" s="306">
        <f>L153-M153-N153-O153-D153-E153</f>
        <v/>
      </c>
      <c r="Q153" s="306">
        <f>MAX(0, P153 - $B$7*L153)</f>
        <v/>
      </c>
      <c r="R153" s="306">
        <f>P153-Q153</f>
        <v/>
      </c>
      <c r="S153" s="306">
        <f>IF(A153=$F$6, $B$18*$B$16*$B$17/1000000, 0) + IF(A153=$F$7, $B$18*$B$16*$B$17/1000000, 0) + IF(A153=$F$8, $B$18*$B$16*$B$17/1000000, 0) + IF(A153=$F$9, $B$18*$B$16*$B$17/1000000, 0) + IF(A153=$F$10, $B$18*$B$16*$B$17/1000000, 0)</f>
        <v/>
      </c>
      <c r="T153" s="306">
        <f>R153-S153-C153</f>
        <v/>
      </c>
      <c r="U153" s="306">
        <f>IF(AND(A153&lt;=$B$24, T153&gt;0), T153*$B$23, 0)</f>
        <v/>
      </c>
      <c r="V153" s="306">
        <f>T153-U153</f>
        <v/>
      </c>
      <c r="W153" s="306">
        <f>IF(AND(A153=$B$19, $B$21=1), K153*$B$20, 0)</f>
        <v/>
      </c>
      <c r="X153" s="306">
        <f>X152+V153+W153</f>
        <v/>
      </c>
    </row>
    <row r="154">
      <c r="A154" s="306" t="n">
        <v>124</v>
      </c>
      <c r="B154" s="306">
        <f>CEILING(A154/12,1)</f>
        <v/>
      </c>
      <c r="C154" s="306">
        <f>IF(A154&lt;=12, $B$15/12, 0)</f>
        <v/>
      </c>
      <c r="D154" s="306">
        <f>INDEX('26. Team Comp'!$D$28:$R$28, B154) * 0.001 / 12</f>
        <v/>
      </c>
      <c r="E154" s="306">
        <f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) * 200 / 12 / 1000</f>
        <v/>
      </c>
      <c r="F154" s="306">
        <f>IF(A154&lt;$F$6,0,IF(AND($B$21=1,A154&gt;$B$19),0,$E$6*$G$6^MIN((A154-$F$6)/12,6)*MIN($G$6,0.85)^MAX(0,(A154-$F$6)/12-6)))</f>
        <v/>
      </c>
      <c r="G154" s="306">
        <f>IF(A154&lt;$F$7,0,IF(AND($B$21=1,A154&gt;$B$19),0,$E$7*$G$7^MIN((A154-$F$7)/12,6)*MIN($G$7,0.85)^MAX(0,(A154-$F$7)/12-6)))</f>
        <v/>
      </c>
      <c r="H154" s="306">
        <f>IF(A154&lt;$F$8,0,IF(AND($B$21=1,A154&gt;$B$19),0,$E$8*$G$8^MIN((A154-$F$8)/12,6)*MIN($G$8,0.85)^MAX(0,(A154-$F$8)/12-6)))</f>
        <v/>
      </c>
      <c r="I154" s="306">
        <f>IF(A154&lt;$F$9,0,IF(AND($B$21=1,A154&gt;$B$19),0,$E$9*$G$9^MIN((A154-$F$9)/12,6)*MIN($G$9,0.85)^MAX(0,(A154-$F$9)/12-6)))</f>
        <v/>
      </c>
      <c r="J154" s="306">
        <f>IF(A154&lt;$F$10,0,IF(AND($B$21=1,A154&gt;$B$19),0,$E$10*$G$10^MIN((A154-$F$10)/12,6)*MIN($G$10,0.85)^MAX(0,(A154-$F$10)/12-6)))</f>
        <v/>
      </c>
      <c r="K154" s="306">
        <f>SUM(F154:J154)</f>
        <v/>
      </c>
      <c r="L154" s="306">
        <f>K154/12</f>
        <v/>
      </c>
      <c r="M154" s="306">
        <f>L154*$B$8</f>
        <v/>
      </c>
      <c r="N154" s="306">
        <f>L154*$B$9</f>
        <v/>
      </c>
      <c r="O154" s="306">
        <f>L154*$B$10</f>
        <v/>
      </c>
      <c r="P154" s="306">
        <f>L154-M154-N154-O154-D154-E154</f>
        <v/>
      </c>
      <c r="Q154" s="306">
        <f>MAX(0, P154 - $B$7*L154)</f>
        <v/>
      </c>
      <c r="R154" s="306">
        <f>P154-Q154</f>
        <v/>
      </c>
      <c r="S154" s="306">
        <f>IF(A154=$F$6, $B$18*$B$16*$B$17/1000000, 0) + IF(A154=$F$7, $B$18*$B$16*$B$17/1000000, 0) + IF(A154=$F$8, $B$18*$B$16*$B$17/1000000, 0) + IF(A154=$F$9, $B$18*$B$16*$B$17/1000000, 0) + IF(A154=$F$10, $B$18*$B$16*$B$17/1000000, 0)</f>
        <v/>
      </c>
      <c r="T154" s="306">
        <f>R154-S154-C154</f>
        <v/>
      </c>
      <c r="U154" s="306">
        <f>IF(AND(A154&lt;=$B$24, T154&gt;0), T154*$B$23, 0)</f>
        <v/>
      </c>
      <c r="V154" s="306">
        <f>T154-U154</f>
        <v/>
      </c>
      <c r="W154" s="306">
        <f>IF(AND(A154=$B$19, $B$21=1), K154*$B$20, 0)</f>
        <v/>
      </c>
      <c r="X154" s="306">
        <f>X153+V154+W154</f>
        <v/>
      </c>
    </row>
    <row r="155">
      <c r="A155" s="306" t="n">
        <v>125</v>
      </c>
      <c r="B155" s="306">
        <f>CEILING(A155/12,1)</f>
        <v/>
      </c>
      <c r="C155" s="306">
        <f>IF(A155&lt;=12, $B$15/12, 0)</f>
        <v/>
      </c>
      <c r="D155" s="306">
        <f>INDEX('26. Team Comp'!$D$28:$R$28, B155) * 0.001 / 12</f>
        <v/>
      </c>
      <c r="E155" s="306">
        <f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) * 200 / 12 / 1000</f>
        <v/>
      </c>
      <c r="F155" s="306">
        <f>IF(A155&lt;$F$6,0,IF(AND($B$21=1,A155&gt;$B$19),0,$E$6*$G$6^MIN((A155-$F$6)/12,6)*MIN($G$6,0.85)^MAX(0,(A155-$F$6)/12-6)))</f>
        <v/>
      </c>
      <c r="G155" s="306">
        <f>IF(A155&lt;$F$7,0,IF(AND($B$21=1,A155&gt;$B$19),0,$E$7*$G$7^MIN((A155-$F$7)/12,6)*MIN($G$7,0.85)^MAX(0,(A155-$F$7)/12-6)))</f>
        <v/>
      </c>
      <c r="H155" s="306">
        <f>IF(A155&lt;$F$8,0,IF(AND($B$21=1,A155&gt;$B$19),0,$E$8*$G$8^MIN((A155-$F$8)/12,6)*MIN($G$8,0.85)^MAX(0,(A155-$F$8)/12-6)))</f>
        <v/>
      </c>
      <c r="I155" s="306">
        <f>IF(A155&lt;$F$9,0,IF(AND($B$21=1,A155&gt;$B$19),0,$E$9*$G$9^MIN((A155-$F$9)/12,6)*MIN($G$9,0.85)^MAX(0,(A155-$F$9)/12-6)))</f>
        <v/>
      </c>
      <c r="J155" s="306">
        <f>IF(A155&lt;$F$10,0,IF(AND($B$21=1,A155&gt;$B$19),0,$E$10*$G$10^MIN((A155-$F$10)/12,6)*MIN($G$10,0.85)^MAX(0,(A155-$F$10)/12-6)))</f>
        <v/>
      </c>
      <c r="K155" s="306">
        <f>SUM(F155:J155)</f>
        <v/>
      </c>
      <c r="L155" s="306">
        <f>K155/12</f>
        <v/>
      </c>
      <c r="M155" s="306">
        <f>L155*$B$8</f>
        <v/>
      </c>
      <c r="N155" s="306">
        <f>L155*$B$9</f>
        <v/>
      </c>
      <c r="O155" s="306">
        <f>L155*$B$10</f>
        <v/>
      </c>
      <c r="P155" s="306">
        <f>L155-M155-N155-O155-D155-E155</f>
        <v/>
      </c>
      <c r="Q155" s="306">
        <f>MAX(0, P155 - $B$7*L155)</f>
        <v/>
      </c>
      <c r="R155" s="306">
        <f>P155-Q155</f>
        <v/>
      </c>
      <c r="S155" s="306">
        <f>IF(A155=$F$6, $B$18*$B$16*$B$17/1000000, 0) + IF(A155=$F$7, $B$18*$B$16*$B$17/1000000, 0) + IF(A155=$F$8, $B$18*$B$16*$B$17/1000000, 0) + IF(A155=$F$9, $B$18*$B$16*$B$17/1000000, 0) + IF(A155=$F$10, $B$18*$B$16*$B$17/1000000, 0)</f>
        <v/>
      </c>
      <c r="T155" s="306">
        <f>R155-S155-C155</f>
        <v/>
      </c>
      <c r="U155" s="306">
        <f>IF(AND(A155&lt;=$B$24, T155&gt;0), T155*$B$23, 0)</f>
        <v/>
      </c>
      <c r="V155" s="306">
        <f>T155-U155</f>
        <v/>
      </c>
      <c r="W155" s="306">
        <f>IF(AND(A155=$B$19, $B$21=1), K155*$B$20, 0)</f>
        <v/>
      </c>
      <c r="X155" s="306">
        <f>X154+V155+W155</f>
        <v/>
      </c>
    </row>
    <row r="156">
      <c r="A156" s="306" t="n">
        <v>126</v>
      </c>
      <c r="B156" s="306">
        <f>CEILING(A156/12,1)</f>
        <v/>
      </c>
      <c r="C156" s="306">
        <f>IF(A156&lt;=12, $B$15/12, 0)</f>
        <v/>
      </c>
      <c r="D156" s="306">
        <f>INDEX('26. Team Comp'!$D$28:$R$28, B156) * 0.001 / 12</f>
        <v/>
      </c>
      <c r="E156" s="306">
        <f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) * 200 / 12 / 1000</f>
        <v/>
      </c>
      <c r="F156" s="306">
        <f>IF(A156&lt;$F$6,0,IF(AND($B$21=1,A156&gt;$B$19),0,$E$6*$G$6^MIN((A156-$F$6)/12,6)*MIN($G$6,0.85)^MAX(0,(A156-$F$6)/12-6)))</f>
        <v/>
      </c>
      <c r="G156" s="306">
        <f>IF(A156&lt;$F$7,0,IF(AND($B$21=1,A156&gt;$B$19),0,$E$7*$G$7^MIN((A156-$F$7)/12,6)*MIN($G$7,0.85)^MAX(0,(A156-$F$7)/12-6)))</f>
        <v/>
      </c>
      <c r="H156" s="306">
        <f>IF(A156&lt;$F$8,0,IF(AND($B$21=1,A156&gt;$B$19),0,$E$8*$G$8^MIN((A156-$F$8)/12,6)*MIN($G$8,0.85)^MAX(0,(A156-$F$8)/12-6)))</f>
        <v/>
      </c>
      <c r="I156" s="306">
        <f>IF(A156&lt;$F$9,0,IF(AND($B$21=1,A156&gt;$B$19),0,$E$9*$G$9^MIN((A156-$F$9)/12,6)*MIN($G$9,0.85)^MAX(0,(A156-$F$9)/12-6)))</f>
        <v/>
      </c>
      <c r="J156" s="306">
        <f>IF(A156&lt;$F$10,0,IF(AND($B$21=1,A156&gt;$B$19),0,$E$10*$G$10^MIN((A156-$F$10)/12,6)*MIN($G$10,0.85)^MAX(0,(A156-$F$10)/12-6)))</f>
        <v/>
      </c>
      <c r="K156" s="306">
        <f>SUM(F156:J156)</f>
        <v/>
      </c>
      <c r="L156" s="306">
        <f>K156/12</f>
        <v/>
      </c>
      <c r="M156" s="306">
        <f>L156*$B$8</f>
        <v/>
      </c>
      <c r="N156" s="306">
        <f>L156*$B$9</f>
        <v/>
      </c>
      <c r="O156" s="306">
        <f>L156*$B$10</f>
        <v/>
      </c>
      <c r="P156" s="306">
        <f>L156-M156-N156-O156-D156-E156</f>
        <v/>
      </c>
      <c r="Q156" s="306">
        <f>MAX(0, P156 - $B$7*L156)</f>
        <v/>
      </c>
      <c r="R156" s="306">
        <f>P156-Q156</f>
        <v/>
      </c>
      <c r="S156" s="306">
        <f>IF(A156=$F$6, $B$18*$B$16*$B$17/1000000, 0) + IF(A156=$F$7, $B$18*$B$16*$B$17/1000000, 0) + IF(A156=$F$8, $B$18*$B$16*$B$17/1000000, 0) + IF(A156=$F$9, $B$18*$B$16*$B$17/1000000, 0) + IF(A156=$F$10, $B$18*$B$16*$B$17/1000000, 0)</f>
        <v/>
      </c>
      <c r="T156" s="306">
        <f>R156-S156-C156</f>
        <v/>
      </c>
      <c r="U156" s="306">
        <f>IF(AND(A156&lt;=$B$24, T156&gt;0), T156*$B$23, 0)</f>
        <v/>
      </c>
      <c r="V156" s="306">
        <f>T156-U156</f>
        <v/>
      </c>
      <c r="W156" s="306">
        <f>IF(AND(A156=$B$19, $B$21=1), K156*$B$20, 0)</f>
        <v/>
      </c>
      <c r="X156" s="306">
        <f>X155+V156+W156</f>
        <v/>
      </c>
    </row>
    <row r="157">
      <c r="A157" s="306" t="n">
        <v>127</v>
      </c>
      <c r="B157" s="306">
        <f>CEILING(A157/12,1)</f>
        <v/>
      </c>
      <c r="C157" s="306">
        <f>IF(A157&lt;=12, $B$15/12, 0)</f>
        <v/>
      </c>
      <c r="D157" s="306">
        <f>INDEX('26. Team Comp'!$D$28:$R$28, B157) * 0.001 / 12</f>
        <v/>
      </c>
      <c r="E157" s="306">
        <f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) * 200 / 12 / 1000</f>
        <v/>
      </c>
      <c r="F157" s="306">
        <f>IF(A157&lt;$F$6,0,IF(AND($B$21=1,A157&gt;$B$19),0,$E$6*$G$6^MIN((A157-$F$6)/12,6)*MIN($G$6,0.85)^MAX(0,(A157-$F$6)/12-6)))</f>
        <v/>
      </c>
      <c r="G157" s="306">
        <f>IF(A157&lt;$F$7,0,IF(AND($B$21=1,A157&gt;$B$19),0,$E$7*$G$7^MIN((A157-$F$7)/12,6)*MIN($G$7,0.85)^MAX(0,(A157-$F$7)/12-6)))</f>
        <v/>
      </c>
      <c r="H157" s="306">
        <f>IF(A157&lt;$F$8,0,IF(AND($B$21=1,A157&gt;$B$19),0,$E$8*$G$8^MIN((A157-$F$8)/12,6)*MIN($G$8,0.85)^MAX(0,(A157-$F$8)/12-6)))</f>
        <v/>
      </c>
      <c r="I157" s="306">
        <f>IF(A157&lt;$F$9,0,IF(AND($B$21=1,A157&gt;$B$19),0,$E$9*$G$9^MIN((A157-$F$9)/12,6)*MIN($G$9,0.85)^MAX(0,(A157-$F$9)/12-6)))</f>
        <v/>
      </c>
      <c r="J157" s="306">
        <f>IF(A157&lt;$F$10,0,IF(AND($B$21=1,A157&gt;$B$19),0,$E$10*$G$10^MIN((A157-$F$10)/12,6)*MIN($G$10,0.85)^MAX(0,(A157-$F$10)/12-6)))</f>
        <v/>
      </c>
      <c r="K157" s="306">
        <f>SUM(F157:J157)</f>
        <v/>
      </c>
      <c r="L157" s="306">
        <f>K157/12</f>
        <v/>
      </c>
      <c r="M157" s="306">
        <f>L157*$B$8</f>
        <v/>
      </c>
      <c r="N157" s="306">
        <f>L157*$B$9</f>
        <v/>
      </c>
      <c r="O157" s="306">
        <f>L157*$B$10</f>
        <v/>
      </c>
      <c r="P157" s="306">
        <f>L157-M157-N157-O157-D157-E157</f>
        <v/>
      </c>
      <c r="Q157" s="306">
        <f>MAX(0, P157 - $B$7*L157)</f>
        <v/>
      </c>
      <c r="R157" s="306">
        <f>P157-Q157</f>
        <v/>
      </c>
      <c r="S157" s="306">
        <f>IF(A157=$F$6, $B$18*$B$16*$B$17/1000000, 0) + IF(A157=$F$7, $B$18*$B$16*$B$17/1000000, 0) + IF(A157=$F$8, $B$18*$B$16*$B$17/1000000, 0) + IF(A157=$F$9, $B$18*$B$16*$B$17/1000000, 0) + IF(A157=$F$10, $B$18*$B$16*$B$17/1000000, 0)</f>
        <v/>
      </c>
      <c r="T157" s="306">
        <f>R157-S157-C157</f>
        <v/>
      </c>
      <c r="U157" s="306">
        <f>IF(AND(A157&lt;=$B$24, T157&gt;0), T157*$B$23, 0)</f>
        <v/>
      </c>
      <c r="V157" s="306">
        <f>T157-U157</f>
        <v/>
      </c>
      <c r="W157" s="306">
        <f>IF(AND(A157=$B$19, $B$21=1), K157*$B$20, 0)</f>
        <v/>
      </c>
      <c r="X157" s="306">
        <f>X156+V157+W157</f>
        <v/>
      </c>
    </row>
    <row r="158">
      <c r="A158" s="306" t="n">
        <v>128</v>
      </c>
      <c r="B158" s="306">
        <f>CEILING(A158/12,1)</f>
        <v/>
      </c>
      <c r="C158" s="306">
        <f>IF(A158&lt;=12, $B$15/12, 0)</f>
        <v/>
      </c>
      <c r="D158" s="306">
        <f>INDEX('26. Team Comp'!$D$28:$R$28, B158) * 0.001 / 12</f>
        <v/>
      </c>
      <c r="E158" s="306">
        <f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) * 200 / 12 / 1000</f>
        <v/>
      </c>
      <c r="F158" s="306">
        <f>IF(A158&lt;$F$6,0,IF(AND($B$21=1,A158&gt;$B$19),0,$E$6*$G$6^MIN((A158-$F$6)/12,6)*MIN($G$6,0.85)^MAX(0,(A158-$F$6)/12-6)))</f>
        <v/>
      </c>
      <c r="G158" s="306">
        <f>IF(A158&lt;$F$7,0,IF(AND($B$21=1,A158&gt;$B$19),0,$E$7*$G$7^MIN((A158-$F$7)/12,6)*MIN($G$7,0.85)^MAX(0,(A158-$F$7)/12-6)))</f>
        <v/>
      </c>
      <c r="H158" s="306">
        <f>IF(A158&lt;$F$8,0,IF(AND($B$21=1,A158&gt;$B$19),0,$E$8*$G$8^MIN((A158-$F$8)/12,6)*MIN($G$8,0.85)^MAX(0,(A158-$F$8)/12-6)))</f>
        <v/>
      </c>
      <c r="I158" s="306">
        <f>IF(A158&lt;$F$9,0,IF(AND($B$21=1,A158&gt;$B$19),0,$E$9*$G$9^MIN((A158-$F$9)/12,6)*MIN($G$9,0.85)^MAX(0,(A158-$F$9)/12-6)))</f>
        <v/>
      </c>
      <c r="J158" s="306">
        <f>IF(A158&lt;$F$10,0,IF(AND($B$21=1,A158&gt;$B$19),0,$E$10*$G$10^MIN((A158-$F$10)/12,6)*MIN($G$10,0.85)^MAX(0,(A158-$F$10)/12-6)))</f>
        <v/>
      </c>
      <c r="K158" s="306">
        <f>SUM(F158:J158)</f>
        <v/>
      </c>
      <c r="L158" s="306">
        <f>K158/12</f>
        <v/>
      </c>
      <c r="M158" s="306">
        <f>L158*$B$8</f>
        <v/>
      </c>
      <c r="N158" s="306">
        <f>L158*$B$9</f>
        <v/>
      </c>
      <c r="O158" s="306">
        <f>L158*$B$10</f>
        <v/>
      </c>
      <c r="P158" s="306">
        <f>L158-M158-N158-O158-D158-E158</f>
        <v/>
      </c>
      <c r="Q158" s="306">
        <f>MAX(0, P158 - $B$7*L158)</f>
        <v/>
      </c>
      <c r="R158" s="306">
        <f>P158-Q158</f>
        <v/>
      </c>
      <c r="S158" s="306">
        <f>IF(A158=$F$6, $B$18*$B$16*$B$17/1000000, 0) + IF(A158=$F$7, $B$18*$B$16*$B$17/1000000, 0) + IF(A158=$F$8, $B$18*$B$16*$B$17/1000000, 0) + IF(A158=$F$9, $B$18*$B$16*$B$17/1000000, 0) + IF(A158=$F$10, $B$18*$B$16*$B$17/1000000, 0)</f>
        <v/>
      </c>
      <c r="T158" s="306">
        <f>R158-S158-C158</f>
        <v/>
      </c>
      <c r="U158" s="306">
        <f>IF(AND(A158&lt;=$B$24, T158&gt;0), T158*$B$23, 0)</f>
        <v/>
      </c>
      <c r="V158" s="306">
        <f>T158-U158</f>
        <v/>
      </c>
      <c r="W158" s="306">
        <f>IF(AND(A158=$B$19, $B$21=1), K158*$B$20, 0)</f>
        <v/>
      </c>
      <c r="X158" s="306">
        <f>X157+V158+W158</f>
        <v/>
      </c>
    </row>
    <row r="159">
      <c r="A159" s="306" t="n">
        <v>129</v>
      </c>
      <c r="B159" s="306">
        <f>CEILING(A159/12,1)</f>
        <v/>
      </c>
      <c r="C159" s="306">
        <f>IF(A159&lt;=12, $B$15/12, 0)</f>
        <v/>
      </c>
      <c r="D159" s="306">
        <f>INDEX('26. Team Comp'!$D$28:$R$28, B159) * 0.001 / 12</f>
        <v/>
      </c>
      <c r="E159" s="306">
        <f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) * 200 / 12 / 1000</f>
        <v/>
      </c>
      <c r="F159" s="306">
        <f>IF(A159&lt;$F$6,0,IF(AND($B$21=1,A159&gt;$B$19),0,$E$6*$G$6^MIN((A159-$F$6)/12,6)*MIN($G$6,0.85)^MAX(0,(A159-$F$6)/12-6)))</f>
        <v/>
      </c>
      <c r="G159" s="306">
        <f>IF(A159&lt;$F$7,0,IF(AND($B$21=1,A159&gt;$B$19),0,$E$7*$G$7^MIN((A159-$F$7)/12,6)*MIN($G$7,0.85)^MAX(0,(A159-$F$7)/12-6)))</f>
        <v/>
      </c>
      <c r="H159" s="306">
        <f>IF(A159&lt;$F$8,0,IF(AND($B$21=1,A159&gt;$B$19),0,$E$8*$G$8^MIN((A159-$F$8)/12,6)*MIN($G$8,0.85)^MAX(0,(A159-$F$8)/12-6)))</f>
        <v/>
      </c>
      <c r="I159" s="306">
        <f>IF(A159&lt;$F$9,0,IF(AND($B$21=1,A159&gt;$B$19),0,$E$9*$G$9^MIN((A159-$F$9)/12,6)*MIN($G$9,0.85)^MAX(0,(A159-$F$9)/12-6)))</f>
        <v/>
      </c>
      <c r="J159" s="306">
        <f>IF(A159&lt;$F$10,0,IF(AND($B$21=1,A159&gt;$B$19),0,$E$10*$G$10^MIN((A159-$F$10)/12,6)*MIN($G$10,0.85)^MAX(0,(A159-$F$10)/12-6)))</f>
        <v/>
      </c>
      <c r="K159" s="306">
        <f>SUM(F159:J159)</f>
        <v/>
      </c>
      <c r="L159" s="306">
        <f>K159/12</f>
        <v/>
      </c>
      <c r="M159" s="306">
        <f>L159*$B$8</f>
        <v/>
      </c>
      <c r="N159" s="306">
        <f>L159*$B$9</f>
        <v/>
      </c>
      <c r="O159" s="306">
        <f>L159*$B$10</f>
        <v/>
      </c>
      <c r="P159" s="306">
        <f>L159-M159-N159-O159-D159-E159</f>
        <v/>
      </c>
      <c r="Q159" s="306">
        <f>MAX(0, P159 - $B$7*L159)</f>
        <v/>
      </c>
      <c r="R159" s="306">
        <f>P159-Q159</f>
        <v/>
      </c>
      <c r="S159" s="306">
        <f>IF(A159=$F$6, $B$18*$B$16*$B$17/1000000, 0) + IF(A159=$F$7, $B$18*$B$16*$B$17/1000000, 0) + IF(A159=$F$8, $B$18*$B$16*$B$17/1000000, 0) + IF(A159=$F$9, $B$18*$B$16*$B$17/1000000, 0) + IF(A159=$F$10, $B$18*$B$16*$B$17/1000000, 0)</f>
        <v/>
      </c>
      <c r="T159" s="306">
        <f>R159-S159-C159</f>
        <v/>
      </c>
      <c r="U159" s="306">
        <f>IF(AND(A159&lt;=$B$24, T159&gt;0), T159*$B$23, 0)</f>
        <v/>
      </c>
      <c r="V159" s="306">
        <f>T159-U159</f>
        <v/>
      </c>
      <c r="W159" s="306">
        <f>IF(AND(A159=$B$19, $B$21=1), K159*$B$20, 0)</f>
        <v/>
      </c>
      <c r="X159" s="306">
        <f>X158+V159+W159</f>
        <v/>
      </c>
    </row>
    <row r="160">
      <c r="A160" s="306" t="n">
        <v>130</v>
      </c>
      <c r="B160" s="306">
        <f>CEILING(A160/12,1)</f>
        <v/>
      </c>
      <c r="C160" s="306">
        <f>IF(A160&lt;=12, $B$15/12, 0)</f>
        <v/>
      </c>
      <c r="D160" s="306">
        <f>INDEX('26. Team Comp'!$D$28:$R$28, B160) * 0.001 / 12</f>
        <v/>
      </c>
      <c r="E160" s="306">
        <f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) * 200 / 12 / 1000</f>
        <v/>
      </c>
      <c r="F160" s="306">
        <f>IF(A160&lt;$F$6,0,IF(AND($B$21=1,A160&gt;$B$19),0,$E$6*$G$6^MIN((A160-$F$6)/12,6)*MIN($G$6,0.85)^MAX(0,(A160-$F$6)/12-6)))</f>
        <v/>
      </c>
      <c r="G160" s="306">
        <f>IF(A160&lt;$F$7,0,IF(AND($B$21=1,A160&gt;$B$19),0,$E$7*$G$7^MIN((A160-$F$7)/12,6)*MIN($G$7,0.85)^MAX(0,(A160-$F$7)/12-6)))</f>
        <v/>
      </c>
      <c r="H160" s="306">
        <f>IF(A160&lt;$F$8,0,IF(AND($B$21=1,A160&gt;$B$19),0,$E$8*$G$8^MIN((A160-$F$8)/12,6)*MIN($G$8,0.85)^MAX(0,(A160-$F$8)/12-6)))</f>
        <v/>
      </c>
      <c r="I160" s="306">
        <f>IF(A160&lt;$F$9,0,IF(AND($B$21=1,A160&gt;$B$19),0,$E$9*$G$9^MIN((A160-$F$9)/12,6)*MIN($G$9,0.85)^MAX(0,(A160-$F$9)/12-6)))</f>
        <v/>
      </c>
      <c r="J160" s="306">
        <f>IF(A160&lt;$F$10,0,IF(AND($B$21=1,A160&gt;$B$19),0,$E$10*$G$10^MIN((A160-$F$10)/12,6)*MIN($G$10,0.85)^MAX(0,(A160-$F$10)/12-6)))</f>
        <v/>
      </c>
      <c r="K160" s="306">
        <f>SUM(F160:J160)</f>
        <v/>
      </c>
      <c r="L160" s="306">
        <f>K160/12</f>
        <v/>
      </c>
      <c r="M160" s="306">
        <f>L160*$B$8</f>
        <v/>
      </c>
      <c r="N160" s="306">
        <f>L160*$B$9</f>
        <v/>
      </c>
      <c r="O160" s="306">
        <f>L160*$B$10</f>
        <v/>
      </c>
      <c r="P160" s="306">
        <f>L160-M160-N160-O160-D160-E160</f>
        <v/>
      </c>
      <c r="Q160" s="306">
        <f>MAX(0, P160 - $B$7*L160)</f>
        <v/>
      </c>
      <c r="R160" s="306">
        <f>P160-Q160</f>
        <v/>
      </c>
      <c r="S160" s="306">
        <f>IF(A160=$F$6, $B$18*$B$16*$B$17/1000000, 0) + IF(A160=$F$7, $B$18*$B$16*$B$17/1000000, 0) + IF(A160=$F$8, $B$18*$B$16*$B$17/1000000, 0) + IF(A160=$F$9, $B$18*$B$16*$B$17/1000000, 0) + IF(A160=$F$10, $B$18*$B$16*$B$17/1000000, 0)</f>
        <v/>
      </c>
      <c r="T160" s="306">
        <f>R160-S160-C160</f>
        <v/>
      </c>
      <c r="U160" s="306">
        <f>IF(AND(A160&lt;=$B$24, T160&gt;0), T160*$B$23, 0)</f>
        <v/>
      </c>
      <c r="V160" s="306">
        <f>T160-U160</f>
        <v/>
      </c>
      <c r="W160" s="306">
        <f>IF(AND(A160=$B$19, $B$21=1), K160*$B$20, 0)</f>
        <v/>
      </c>
      <c r="X160" s="306">
        <f>X159+V160+W160</f>
        <v/>
      </c>
    </row>
    <row r="161">
      <c r="A161" s="306" t="n">
        <v>131</v>
      </c>
      <c r="B161" s="306">
        <f>CEILING(A161/12,1)</f>
        <v/>
      </c>
      <c r="C161" s="306">
        <f>IF(A161&lt;=12, $B$15/12, 0)</f>
        <v/>
      </c>
      <c r="D161" s="306">
        <f>INDEX('26. Team Comp'!$D$28:$R$28, B161) * 0.001 / 12</f>
        <v/>
      </c>
      <c r="E161" s="306">
        <f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) * 200 / 12 / 1000</f>
        <v/>
      </c>
      <c r="F161" s="306">
        <f>IF(A161&lt;$F$6,0,IF(AND($B$21=1,A161&gt;$B$19),0,$E$6*$G$6^MIN((A161-$F$6)/12,6)*MIN($G$6,0.85)^MAX(0,(A161-$F$6)/12-6)))</f>
        <v/>
      </c>
      <c r="G161" s="306">
        <f>IF(A161&lt;$F$7,0,IF(AND($B$21=1,A161&gt;$B$19),0,$E$7*$G$7^MIN((A161-$F$7)/12,6)*MIN($G$7,0.85)^MAX(0,(A161-$F$7)/12-6)))</f>
        <v/>
      </c>
      <c r="H161" s="306">
        <f>IF(A161&lt;$F$8,0,IF(AND($B$21=1,A161&gt;$B$19),0,$E$8*$G$8^MIN((A161-$F$8)/12,6)*MIN($G$8,0.85)^MAX(0,(A161-$F$8)/12-6)))</f>
        <v/>
      </c>
      <c r="I161" s="306">
        <f>IF(A161&lt;$F$9,0,IF(AND($B$21=1,A161&gt;$B$19),0,$E$9*$G$9^MIN((A161-$F$9)/12,6)*MIN($G$9,0.85)^MAX(0,(A161-$F$9)/12-6)))</f>
        <v/>
      </c>
      <c r="J161" s="306">
        <f>IF(A161&lt;$F$10,0,IF(AND($B$21=1,A161&gt;$B$19),0,$E$10*$G$10^MIN((A161-$F$10)/12,6)*MIN($G$10,0.85)^MAX(0,(A161-$F$10)/12-6)))</f>
        <v/>
      </c>
      <c r="K161" s="306">
        <f>SUM(F161:J161)</f>
        <v/>
      </c>
      <c r="L161" s="306">
        <f>K161/12</f>
        <v/>
      </c>
      <c r="M161" s="306">
        <f>L161*$B$8</f>
        <v/>
      </c>
      <c r="N161" s="306">
        <f>L161*$B$9</f>
        <v/>
      </c>
      <c r="O161" s="306">
        <f>L161*$B$10</f>
        <v/>
      </c>
      <c r="P161" s="306">
        <f>L161-M161-N161-O161-D161-E161</f>
        <v/>
      </c>
      <c r="Q161" s="306">
        <f>MAX(0, P161 - $B$7*L161)</f>
        <v/>
      </c>
      <c r="R161" s="306">
        <f>P161-Q161</f>
        <v/>
      </c>
      <c r="S161" s="306">
        <f>IF(A161=$F$6, $B$18*$B$16*$B$17/1000000, 0) + IF(A161=$F$7, $B$18*$B$16*$B$17/1000000, 0) + IF(A161=$F$8, $B$18*$B$16*$B$17/1000000, 0) + IF(A161=$F$9, $B$18*$B$16*$B$17/1000000, 0) + IF(A161=$F$10, $B$18*$B$16*$B$17/1000000, 0)</f>
        <v/>
      </c>
      <c r="T161" s="306">
        <f>R161-S161-C161</f>
        <v/>
      </c>
      <c r="U161" s="306">
        <f>IF(AND(A161&lt;=$B$24, T161&gt;0), T161*$B$23, 0)</f>
        <v/>
      </c>
      <c r="V161" s="306">
        <f>T161-U161</f>
        <v/>
      </c>
      <c r="W161" s="306">
        <f>IF(AND(A161=$B$19, $B$21=1), K161*$B$20, 0)</f>
        <v/>
      </c>
      <c r="X161" s="306">
        <f>X160+V161+W161</f>
        <v/>
      </c>
    </row>
    <row r="162">
      <c r="A162" s="306" t="n">
        <v>132</v>
      </c>
      <c r="B162" s="306">
        <f>CEILING(A162/12,1)</f>
        <v/>
      </c>
      <c r="C162" s="306">
        <f>IF(A162&lt;=12, $B$15/12, 0)</f>
        <v/>
      </c>
      <c r="D162" s="306">
        <f>INDEX('26. Team Comp'!$D$28:$R$28, B162) * 0.001 / 12</f>
        <v/>
      </c>
      <c r="E162" s="306">
        <f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) * 200 / 12 / 1000</f>
        <v/>
      </c>
      <c r="F162" s="306">
        <f>IF(A162&lt;$F$6,0,IF(AND($B$21=1,A162&gt;$B$19),0,$E$6*$G$6^MIN((A162-$F$6)/12,6)*MIN($G$6,0.85)^MAX(0,(A162-$F$6)/12-6)))</f>
        <v/>
      </c>
      <c r="G162" s="306">
        <f>IF(A162&lt;$F$7,0,IF(AND($B$21=1,A162&gt;$B$19),0,$E$7*$G$7^MIN((A162-$F$7)/12,6)*MIN($G$7,0.85)^MAX(0,(A162-$F$7)/12-6)))</f>
        <v/>
      </c>
      <c r="H162" s="306">
        <f>IF(A162&lt;$F$8,0,IF(AND($B$21=1,A162&gt;$B$19),0,$E$8*$G$8^MIN((A162-$F$8)/12,6)*MIN($G$8,0.85)^MAX(0,(A162-$F$8)/12-6)))</f>
        <v/>
      </c>
      <c r="I162" s="306">
        <f>IF(A162&lt;$F$9,0,IF(AND($B$21=1,A162&gt;$B$19),0,$E$9*$G$9^MIN((A162-$F$9)/12,6)*MIN($G$9,0.85)^MAX(0,(A162-$F$9)/12-6)))</f>
        <v/>
      </c>
      <c r="J162" s="306">
        <f>IF(A162&lt;$F$10,0,IF(AND($B$21=1,A162&gt;$B$19),0,$E$10*$G$10^MIN((A162-$F$10)/12,6)*MIN($G$10,0.85)^MAX(0,(A162-$F$10)/12-6)))</f>
        <v/>
      </c>
      <c r="K162" s="306">
        <f>SUM(F162:J162)</f>
        <v/>
      </c>
      <c r="L162" s="306">
        <f>K162/12</f>
        <v/>
      </c>
      <c r="M162" s="306">
        <f>L162*$B$8</f>
        <v/>
      </c>
      <c r="N162" s="306">
        <f>L162*$B$9</f>
        <v/>
      </c>
      <c r="O162" s="306">
        <f>L162*$B$10</f>
        <v/>
      </c>
      <c r="P162" s="306">
        <f>L162-M162-N162-O162-D162-E162</f>
        <v/>
      </c>
      <c r="Q162" s="306">
        <f>MAX(0, P162 - $B$7*L162)</f>
        <v/>
      </c>
      <c r="R162" s="306">
        <f>P162-Q162</f>
        <v/>
      </c>
      <c r="S162" s="306">
        <f>IF(A162=$F$6, $B$18*$B$16*$B$17/1000000, 0) + IF(A162=$F$7, $B$18*$B$16*$B$17/1000000, 0) + IF(A162=$F$8, $B$18*$B$16*$B$17/1000000, 0) + IF(A162=$F$9, $B$18*$B$16*$B$17/1000000, 0) + IF(A162=$F$10, $B$18*$B$16*$B$17/1000000, 0)</f>
        <v/>
      </c>
      <c r="T162" s="306">
        <f>R162-S162-C162</f>
        <v/>
      </c>
      <c r="U162" s="306">
        <f>IF(AND(A162&lt;=$B$24, T162&gt;0), T162*$B$23, 0)</f>
        <v/>
      </c>
      <c r="V162" s="306">
        <f>T162-U162</f>
        <v/>
      </c>
      <c r="W162" s="306">
        <f>IF(AND(A162=$B$19, $B$21=1), K162*$B$20, 0)</f>
        <v/>
      </c>
      <c r="X162" s="306">
        <f>X161+V162+W162</f>
        <v/>
      </c>
    </row>
    <row r="163">
      <c r="A163" s="306" t="n">
        <v>133</v>
      </c>
      <c r="B163" s="306">
        <f>CEILING(A163/12,1)</f>
        <v/>
      </c>
      <c r="C163" s="306">
        <f>IF(A163&lt;=12, $B$15/12, 0)</f>
        <v/>
      </c>
      <c r="D163" s="306">
        <f>INDEX('26. Team Comp'!$D$28:$R$28, B163) * 0.001 / 12</f>
        <v/>
      </c>
      <c r="E163" s="306">
        <f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) * 200 / 12 / 1000</f>
        <v/>
      </c>
      <c r="F163" s="306">
        <f>IF(A163&lt;$F$6,0,IF(AND($B$21=1,A163&gt;$B$19),0,$E$6*$G$6^MIN((A163-$F$6)/12,6)*MIN($G$6,0.85)^MAX(0,(A163-$F$6)/12-6)))</f>
        <v/>
      </c>
      <c r="G163" s="306">
        <f>IF(A163&lt;$F$7,0,IF(AND($B$21=1,A163&gt;$B$19),0,$E$7*$G$7^MIN((A163-$F$7)/12,6)*MIN($G$7,0.85)^MAX(0,(A163-$F$7)/12-6)))</f>
        <v/>
      </c>
      <c r="H163" s="306">
        <f>IF(A163&lt;$F$8,0,IF(AND($B$21=1,A163&gt;$B$19),0,$E$8*$G$8^MIN((A163-$F$8)/12,6)*MIN($G$8,0.85)^MAX(0,(A163-$F$8)/12-6)))</f>
        <v/>
      </c>
      <c r="I163" s="306">
        <f>IF(A163&lt;$F$9,0,IF(AND($B$21=1,A163&gt;$B$19),0,$E$9*$G$9^MIN((A163-$F$9)/12,6)*MIN($G$9,0.85)^MAX(0,(A163-$F$9)/12-6)))</f>
        <v/>
      </c>
      <c r="J163" s="306">
        <f>IF(A163&lt;$F$10,0,IF(AND($B$21=1,A163&gt;$B$19),0,$E$10*$G$10^MIN((A163-$F$10)/12,6)*MIN($G$10,0.85)^MAX(0,(A163-$F$10)/12-6)))</f>
        <v/>
      </c>
      <c r="K163" s="306">
        <f>SUM(F163:J163)</f>
        <v/>
      </c>
      <c r="L163" s="306">
        <f>K163/12</f>
        <v/>
      </c>
      <c r="M163" s="306">
        <f>L163*$B$8</f>
        <v/>
      </c>
      <c r="N163" s="306">
        <f>L163*$B$9</f>
        <v/>
      </c>
      <c r="O163" s="306">
        <f>L163*$B$10</f>
        <v/>
      </c>
      <c r="P163" s="306">
        <f>L163-M163-N163-O163-D163-E163</f>
        <v/>
      </c>
      <c r="Q163" s="306">
        <f>MAX(0, P163 - $B$7*L163)</f>
        <v/>
      </c>
      <c r="R163" s="306">
        <f>P163-Q163</f>
        <v/>
      </c>
      <c r="S163" s="306">
        <f>IF(A163=$F$6, $B$18*$B$16*$B$17/1000000, 0) + IF(A163=$F$7, $B$18*$B$16*$B$17/1000000, 0) + IF(A163=$F$8, $B$18*$B$16*$B$17/1000000, 0) + IF(A163=$F$9, $B$18*$B$16*$B$17/1000000, 0) + IF(A163=$F$10, $B$18*$B$16*$B$17/1000000, 0)</f>
        <v/>
      </c>
      <c r="T163" s="306">
        <f>R163-S163-C163</f>
        <v/>
      </c>
      <c r="U163" s="306">
        <f>IF(AND(A163&lt;=$B$24, T163&gt;0), T163*$B$23, 0)</f>
        <v/>
      </c>
      <c r="V163" s="306">
        <f>T163-U163</f>
        <v/>
      </c>
      <c r="W163" s="306">
        <f>IF(AND(A163=$B$19, $B$21=1), K163*$B$20, 0)</f>
        <v/>
      </c>
      <c r="X163" s="306">
        <f>X162+V163+W163</f>
        <v/>
      </c>
    </row>
    <row r="164">
      <c r="A164" s="306" t="n">
        <v>134</v>
      </c>
      <c r="B164" s="306">
        <f>CEILING(A164/12,1)</f>
        <v/>
      </c>
      <c r="C164" s="306">
        <f>IF(A164&lt;=12, $B$15/12, 0)</f>
        <v/>
      </c>
      <c r="D164" s="306">
        <f>INDEX('26. Team Comp'!$D$28:$R$28, B164) * 0.001 / 12</f>
        <v/>
      </c>
      <c r="E164" s="306">
        <f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) * 200 / 12 / 1000</f>
        <v/>
      </c>
      <c r="F164" s="306">
        <f>IF(A164&lt;$F$6,0,IF(AND($B$21=1,A164&gt;$B$19),0,$E$6*$G$6^MIN((A164-$F$6)/12,6)*MIN($G$6,0.85)^MAX(0,(A164-$F$6)/12-6)))</f>
        <v/>
      </c>
      <c r="G164" s="306">
        <f>IF(A164&lt;$F$7,0,IF(AND($B$21=1,A164&gt;$B$19),0,$E$7*$G$7^MIN((A164-$F$7)/12,6)*MIN($G$7,0.85)^MAX(0,(A164-$F$7)/12-6)))</f>
        <v/>
      </c>
      <c r="H164" s="306">
        <f>IF(A164&lt;$F$8,0,IF(AND($B$21=1,A164&gt;$B$19),0,$E$8*$G$8^MIN((A164-$F$8)/12,6)*MIN($G$8,0.85)^MAX(0,(A164-$F$8)/12-6)))</f>
        <v/>
      </c>
      <c r="I164" s="306">
        <f>IF(A164&lt;$F$9,0,IF(AND($B$21=1,A164&gt;$B$19),0,$E$9*$G$9^MIN((A164-$F$9)/12,6)*MIN($G$9,0.85)^MAX(0,(A164-$F$9)/12-6)))</f>
        <v/>
      </c>
      <c r="J164" s="306">
        <f>IF(A164&lt;$F$10,0,IF(AND($B$21=1,A164&gt;$B$19),0,$E$10*$G$10^MIN((A164-$F$10)/12,6)*MIN($G$10,0.85)^MAX(0,(A164-$F$10)/12-6)))</f>
        <v/>
      </c>
      <c r="K164" s="306">
        <f>SUM(F164:J164)</f>
        <v/>
      </c>
      <c r="L164" s="306">
        <f>K164/12</f>
        <v/>
      </c>
      <c r="M164" s="306">
        <f>L164*$B$8</f>
        <v/>
      </c>
      <c r="N164" s="306">
        <f>L164*$B$9</f>
        <v/>
      </c>
      <c r="O164" s="306">
        <f>L164*$B$10</f>
        <v/>
      </c>
      <c r="P164" s="306">
        <f>L164-M164-N164-O164-D164-E164</f>
        <v/>
      </c>
      <c r="Q164" s="306">
        <f>MAX(0, P164 - $B$7*L164)</f>
        <v/>
      </c>
      <c r="R164" s="306">
        <f>P164-Q164</f>
        <v/>
      </c>
      <c r="S164" s="306">
        <f>IF(A164=$F$6, $B$18*$B$16*$B$17/1000000, 0) + IF(A164=$F$7, $B$18*$B$16*$B$17/1000000, 0) + IF(A164=$F$8, $B$18*$B$16*$B$17/1000000, 0) + IF(A164=$F$9, $B$18*$B$16*$B$17/1000000, 0) + IF(A164=$F$10, $B$18*$B$16*$B$17/1000000, 0)</f>
        <v/>
      </c>
      <c r="T164" s="306">
        <f>R164-S164-C164</f>
        <v/>
      </c>
      <c r="U164" s="306">
        <f>IF(AND(A164&lt;=$B$24, T164&gt;0), T164*$B$23, 0)</f>
        <v/>
      </c>
      <c r="V164" s="306">
        <f>T164-U164</f>
        <v/>
      </c>
      <c r="W164" s="306">
        <f>IF(AND(A164=$B$19, $B$21=1), K164*$B$20, 0)</f>
        <v/>
      </c>
      <c r="X164" s="306">
        <f>X163+V164+W164</f>
        <v/>
      </c>
    </row>
    <row r="165">
      <c r="A165" s="306" t="n">
        <v>135</v>
      </c>
      <c r="B165" s="306">
        <f>CEILING(A165/12,1)</f>
        <v/>
      </c>
      <c r="C165" s="306">
        <f>IF(A165&lt;=12, $B$15/12, 0)</f>
        <v/>
      </c>
      <c r="D165" s="306">
        <f>INDEX('26. Team Comp'!$D$28:$R$28, B165) * 0.001 / 12</f>
        <v/>
      </c>
      <c r="E165" s="306">
        <f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) * 200 / 12 / 1000</f>
        <v/>
      </c>
      <c r="F165" s="306">
        <f>IF(A165&lt;$F$6,0,IF(AND($B$21=1,A165&gt;$B$19),0,$E$6*$G$6^MIN((A165-$F$6)/12,6)*MIN($G$6,0.85)^MAX(0,(A165-$F$6)/12-6)))</f>
        <v/>
      </c>
      <c r="G165" s="306">
        <f>IF(A165&lt;$F$7,0,IF(AND($B$21=1,A165&gt;$B$19),0,$E$7*$G$7^MIN((A165-$F$7)/12,6)*MIN($G$7,0.85)^MAX(0,(A165-$F$7)/12-6)))</f>
        <v/>
      </c>
      <c r="H165" s="306">
        <f>IF(A165&lt;$F$8,0,IF(AND($B$21=1,A165&gt;$B$19),0,$E$8*$G$8^MIN((A165-$F$8)/12,6)*MIN($G$8,0.85)^MAX(0,(A165-$F$8)/12-6)))</f>
        <v/>
      </c>
      <c r="I165" s="306">
        <f>IF(A165&lt;$F$9,0,IF(AND($B$21=1,A165&gt;$B$19),0,$E$9*$G$9^MIN((A165-$F$9)/12,6)*MIN($G$9,0.85)^MAX(0,(A165-$F$9)/12-6)))</f>
        <v/>
      </c>
      <c r="J165" s="306">
        <f>IF(A165&lt;$F$10,0,IF(AND($B$21=1,A165&gt;$B$19),0,$E$10*$G$10^MIN((A165-$F$10)/12,6)*MIN($G$10,0.85)^MAX(0,(A165-$F$10)/12-6)))</f>
        <v/>
      </c>
      <c r="K165" s="306">
        <f>SUM(F165:J165)</f>
        <v/>
      </c>
      <c r="L165" s="306">
        <f>K165/12</f>
        <v/>
      </c>
      <c r="M165" s="306">
        <f>L165*$B$8</f>
        <v/>
      </c>
      <c r="N165" s="306">
        <f>L165*$B$9</f>
        <v/>
      </c>
      <c r="O165" s="306">
        <f>L165*$B$10</f>
        <v/>
      </c>
      <c r="P165" s="306">
        <f>L165-M165-N165-O165-D165-E165</f>
        <v/>
      </c>
      <c r="Q165" s="306">
        <f>MAX(0, P165 - $B$7*L165)</f>
        <v/>
      </c>
      <c r="R165" s="306">
        <f>P165-Q165</f>
        <v/>
      </c>
      <c r="S165" s="306">
        <f>IF(A165=$F$6, $B$18*$B$16*$B$17/1000000, 0) + IF(A165=$F$7, $B$18*$B$16*$B$17/1000000, 0) + IF(A165=$F$8, $B$18*$B$16*$B$17/1000000, 0) + IF(A165=$F$9, $B$18*$B$16*$B$17/1000000, 0) + IF(A165=$F$10, $B$18*$B$16*$B$17/1000000, 0)</f>
        <v/>
      </c>
      <c r="T165" s="306">
        <f>R165-S165-C165</f>
        <v/>
      </c>
      <c r="U165" s="306">
        <f>IF(AND(A165&lt;=$B$24, T165&gt;0), T165*$B$23, 0)</f>
        <v/>
      </c>
      <c r="V165" s="306">
        <f>T165-U165</f>
        <v/>
      </c>
      <c r="W165" s="306">
        <f>IF(AND(A165=$B$19, $B$21=1), K165*$B$20, 0)</f>
        <v/>
      </c>
      <c r="X165" s="306">
        <f>X164+V165+W165</f>
        <v/>
      </c>
    </row>
    <row r="166">
      <c r="A166" s="306" t="n">
        <v>136</v>
      </c>
      <c r="B166" s="306">
        <f>CEILING(A166/12,1)</f>
        <v/>
      </c>
      <c r="C166" s="306">
        <f>IF(A166&lt;=12, $B$15/12, 0)</f>
        <v/>
      </c>
      <c r="D166" s="306">
        <f>INDEX('26. Team Comp'!$D$28:$R$28, B166) * 0.001 / 12</f>
        <v/>
      </c>
      <c r="E166" s="306">
        <f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) * 200 / 12 / 1000</f>
        <v/>
      </c>
      <c r="F166" s="306">
        <f>IF(A166&lt;$F$6,0,IF(AND($B$21=1,A166&gt;$B$19),0,$E$6*$G$6^MIN((A166-$F$6)/12,6)*MIN($G$6,0.85)^MAX(0,(A166-$F$6)/12-6)))</f>
        <v/>
      </c>
      <c r="G166" s="306">
        <f>IF(A166&lt;$F$7,0,IF(AND($B$21=1,A166&gt;$B$19),0,$E$7*$G$7^MIN((A166-$F$7)/12,6)*MIN($G$7,0.85)^MAX(0,(A166-$F$7)/12-6)))</f>
        <v/>
      </c>
      <c r="H166" s="306">
        <f>IF(A166&lt;$F$8,0,IF(AND($B$21=1,A166&gt;$B$19),0,$E$8*$G$8^MIN((A166-$F$8)/12,6)*MIN($G$8,0.85)^MAX(0,(A166-$F$8)/12-6)))</f>
        <v/>
      </c>
      <c r="I166" s="306">
        <f>IF(A166&lt;$F$9,0,IF(AND($B$21=1,A166&gt;$B$19),0,$E$9*$G$9^MIN((A166-$F$9)/12,6)*MIN($G$9,0.85)^MAX(0,(A166-$F$9)/12-6)))</f>
        <v/>
      </c>
      <c r="J166" s="306">
        <f>IF(A166&lt;$F$10,0,IF(AND($B$21=1,A166&gt;$B$19),0,$E$10*$G$10^MIN((A166-$F$10)/12,6)*MIN($G$10,0.85)^MAX(0,(A166-$F$10)/12-6)))</f>
        <v/>
      </c>
      <c r="K166" s="306">
        <f>SUM(F166:J166)</f>
        <v/>
      </c>
      <c r="L166" s="306">
        <f>K166/12</f>
        <v/>
      </c>
      <c r="M166" s="306">
        <f>L166*$B$8</f>
        <v/>
      </c>
      <c r="N166" s="306">
        <f>L166*$B$9</f>
        <v/>
      </c>
      <c r="O166" s="306">
        <f>L166*$B$10</f>
        <v/>
      </c>
      <c r="P166" s="306">
        <f>L166-M166-N166-O166-D166-E166</f>
        <v/>
      </c>
      <c r="Q166" s="306">
        <f>MAX(0, P166 - $B$7*L166)</f>
        <v/>
      </c>
      <c r="R166" s="306">
        <f>P166-Q166</f>
        <v/>
      </c>
      <c r="S166" s="306">
        <f>IF(A166=$F$6, $B$18*$B$16*$B$17/1000000, 0) + IF(A166=$F$7, $B$18*$B$16*$B$17/1000000, 0) + IF(A166=$F$8, $B$18*$B$16*$B$17/1000000, 0) + IF(A166=$F$9, $B$18*$B$16*$B$17/1000000, 0) + IF(A166=$F$10, $B$18*$B$16*$B$17/1000000, 0)</f>
        <v/>
      </c>
      <c r="T166" s="306">
        <f>R166-S166-C166</f>
        <v/>
      </c>
      <c r="U166" s="306">
        <f>IF(AND(A166&lt;=$B$24, T166&gt;0), T166*$B$23, 0)</f>
        <v/>
      </c>
      <c r="V166" s="306">
        <f>T166-U166</f>
        <v/>
      </c>
      <c r="W166" s="306">
        <f>IF(AND(A166=$B$19, $B$21=1), K166*$B$20, 0)</f>
        <v/>
      </c>
      <c r="X166" s="306">
        <f>X165+V166+W166</f>
        <v/>
      </c>
    </row>
    <row r="167">
      <c r="A167" s="306" t="n">
        <v>137</v>
      </c>
      <c r="B167" s="306">
        <f>CEILING(A167/12,1)</f>
        <v/>
      </c>
      <c r="C167" s="306">
        <f>IF(A167&lt;=12, $B$15/12, 0)</f>
        <v/>
      </c>
      <c r="D167" s="306">
        <f>INDEX('26. Team Comp'!$D$28:$R$28, B167) * 0.001 / 12</f>
        <v/>
      </c>
      <c r="E167" s="306">
        <f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) * 200 / 12 / 1000</f>
        <v/>
      </c>
      <c r="F167" s="306">
        <f>IF(A167&lt;$F$6,0,IF(AND($B$21=1,A167&gt;$B$19),0,$E$6*$G$6^MIN((A167-$F$6)/12,6)*MIN($G$6,0.85)^MAX(0,(A167-$F$6)/12-6)))</f>
        <v/>
      </c>
      <c r="G167" s="306">
        <f>IF(A167&lt;$F$7,0,IF(AND($B$21=1,A167&gt;$B$19),0,$E$7*$G$7^MIN((A167-$F$7)/12,6)*MIN($G$7,0.85)^MAX(0,(A167-$F$7)/12-6)))</f>
        <v/>
      </c>
      <c r="H167" s="306">
        <f>IF(A167&lt;$F$8,0,IF(AND($B$21=1,A167&gt;$B$19),0,$E$8*$G$8^MIN((A167-$F$8)/12,6)*MIN($G$8,0.85)^MAX(0,(A167-$F$8)/12-6)))</f>
        <v/>
      </c>
      <c r="I167" s="306">
        <f>IF(A167&lt;$F$9,0,IF(AND($B$21=1,A167&gt;$B$19),0,$E$9*$G$9^MIN((A167-$F$9)/12,6)*MIN($G$9,0.85)^MAX(0,(A167-$F$9)/12-6)))</f>
        <v/>
      </c>
      <c r="J167" s="306">
        <f>IF(A167&lt;$F$10,0,IF(AND($B$21=1,A167&gt;$B$19),0,$E$10*$G$10^MIN((A167-$F$10)/12,6)*MIN($G$10,0.85)^MAX(0,(A167-$F$10)/12-6)))</f>
        <v/>
      </c>
      <c r="K167" s="306">
        <f>SUM(F167:J167)</f>
        <v/>
      </c>
      <c r="L167" s="306">
        <f>K167/12</f>
        <v/>
      </c>
      <c r="M167" s="306">
        <f>L167*$B$8</f>
        <v/>
      </c>
      <c r="N167" s="306">
        <f>L167*$B$9</f>
        <v/>
      </c>
      <c r="O167" s="306">
        <f>L167*$B$10</f>
        <v/>
      </c>
      <c r="P167" s="306">
        <f>L167-M167-N167-O167-D167-E167</f>
        <v/>
      </c>
      <c r="Q167" s="306">
        <f>MAX(0, P167 - $B$7*L167)</f>
        <v/>
      </c>
      <c r="R167" s="306">
        <f>P167-Q167</f>
        <v/>
      </c>
      <c r="S167" s="306">
        <f>IF(A167=$F$6, $B$18*$B$16*$B$17/1000000, 0) + IF(A167=$F$7, $B$18*$B$16*$B$17/1000000, 0) + IF(A167=$F$8, $B$18*$B$16*$B$17/1000000, 0) + IF(A167=$F$9, $B$18*$B$16*$B$17/1000000, 0) + IF(A167=$F$10, $B$18*$B$16*$B$17/1000000, 0)</f>
        <v/>
      </c>
      <c r="T167" s="306">
        <f>R167-S167-C167</f>
        <v/>
      </c>
      <c r="U167" s="306">
        <f>IF(AND(A167&lt;=$B$24, T167&gt;0), T167*$B$23, 0)</f>
        <v/>
      </c>
      <c r="V167" s="306">
        <f>T167-U167</f>
        <v/>
      </c>
      <c r="W167" s="306">
        <f>IF(AND(A167=$B$19, $B$21=1), K167*$B$20, 0)</f>
        <v/>
      </c>
      <c r="X167" s="306">
        <f>X166+V167+W167</f>
        <v/>
      </c>
    </row>
    <row r="168">
      <c r="A168" s="306" t="n">
        <v>138</v>
      </c>
      <c r="B168" s="306">
        <f>CEILING(A168/12,1)</f>
        <v/>
      </c>
      <c r="C168" s="306">
        <f>IF(A168&lt;=12, $B$15/12, 0)</f>
        <v/>
      </c>
      <c r="D168" s="306">
        <f>INDEX('26. Team Comp'!$D$28:$R$28, B168) * 0.001 / 12</f>
        <v/>
      </c>
      <c r="E168" s="306">
        <f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) * 200 / 12 / 1000</f>
        <v/>
      </c>
      <c r="F168" s="306">
        <f>IF(A168&lt;$F$6,0,IF(AND($B$21=1,A168&gt;$B$19),0,$E$6*$G$6^MIN((A168-$F$6)/12,6)*MIN($G$6,0.85)^MAX(0,(A168-$F$6)/12-6)))</f>
        <v/>
      </c>
      <c r="G168" s="306">
        <f>IF(A168&lt;$F$7,0,IF(AND($B$21=1,A168&gt;$B$19),0,$E$7*$G$7^MIN((A168-$F$7)/12,6)*MIN($G$7,0.85)^MAX(0,(A168-$F$7)/12-6)))</f>
        <v/>
      </c>
      <c r="H168" s="306">
        <f>IF(A168&lt;$F$8,0,IF(AND($B$21=1,A168&gt;$B$19),0,$E$8*$G$8^MIN((A168-$F$8)/12,6)*MIN($G$8,0.85)^MAX(0,(A168-$F$8)/12-6)))</f>
        <v/>
      </c>
      <c r="I168" s="306">
        <f>IF(A168&lt;$F$9,0,IF(AND($B$21=1,A168&gt;$B$19),0,$E$9*$G$9^MIN((A168-$F$9)/12,6)*MIN($G$9,0.85)^MAX(0,(A168-$F$9)/12-6)))</f>
        <v/>
      </c>
      <c r="J168" s="306">
        <f>IF(A168&lt;$F$10,0,IF(AND($B$21=1,A168&gt;$B$19),0,$E$10*$G$10^MIN((A168-$F$10)/12,6)*MIN($G$10,0.85)^MAX(0,(A168-$F$10)/12-6)))</f>
        <v/>
      </c>
      <c r="K168" s="306">
        <f>SUM(F168:J168)</f>
        <v/>
      </c>
      <c r="L168" s="306">
        <f>K168/12</f>
        <v/>
      </c>
      <c r="M168" s="306">
        <f>L168*$B$8</f>
        <v/>
      </c>
      <c r="N168" s="306">
        <f>L168*$B$9</f>
        <v/>
      </c>
      <c r="O168" s="306">
        <f>L168*$B$10</f>
        <v/>
      </c>
      <c r="P168" s="306">
        <f>L168-M168-N168-O168-D168-E168</f>
        <v/>
      </c>
      <c r="Q168" s="306">
        <f>MAX(0, P168 - $B$7*L168)</f>
        <v/>
      </c>
      <c r="R168" s="306">
        <f>P168-Q168</f>
        <v/>
      </c>
      <c r="S168" s="306">
        <f>IF(A168=$F$6, $B$18*$B$16*$B$17/1000000, 0) + IF(A168=$F$7, $B$18*$B$16*$B$17/1000000, 0) + IF(A168=$F$8, $B$18*$B$16*$B$17/1000000, 0) + IF(A168=$F$9, $B$18*$B$16*$B$17/1000000, 0) + IF(A168=$F$10, $B$18*$B$16*$B$17/1000000, 0)</f>
        <v/>
      </c>
      <c r="T168" s="306">
        <f>R168-S168-C168</f>
        <v/>
      </c>
      <c r="U168" s="306">
        <f>IF(AND(A168&lt;=$B$24, T168&gt;0), T168*$B$23, 0)</f>
        <v/>
      </c>
      <c r="V168" s="306">
        <f>T168-U168</f>
        <v/>
      </c>
      <c r="W168" s="306">
        <f>IF(AND(A168=$B$19, $B$21=1), K168*$B$20, 0)</f>
        <v/>
      </c>
      <c r="X168" s="306">
        <f>X167+V168+W168</f>
        <v/>
      </c>
    </row>
    <row r="169">
      <c r="A169" s="306" t="n">
        <v>139</v>
      </c>
      <c r="B169" s="306">
        <f>CEILING(A169/12,1)</f>
        <v/>
      </c>
      <c r="C169" s="306">
        <f>IF(A169&lt;=12, $B$15/12, 0)</f>
        <v/>
      </c>
      <c r="D169" s="306">
        <f>INDEX('26. Team Comp'!$D$28:$R$28, B169) * 0.001 / 12</f>
        <v/>
      </c>
      <c r="E169" s="306">
        <f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) * 200 / 12 / 1000</f>
        <v/>
      </c>
      <c r="F169" s="306">
        <f>IF(A169&lt;$F$6,0,IF(AND($B$21=1,A169&gt;$B$19),0,$E$6*$G$6^MIN((A169-$F$6)/12,6)*MIN($G$6,0.85)^MAX(0,(A169-$F$6)/12-6)))</f>
        <v/>
      </c>
      <c r="G169" s="306">
        <f>IF(A169&lt;$F$7,0,IF(AND($B$21=1,A169&gt;$B$19),0,$E$7*$G$7^MIN((A169-$F$7)/12,6)*MIN($G$7,0.85)^MAX(0,(A169-$F$7)/12-6)))</f>
        <v/>
      </c>
      <c r="H169" s="306">
        <f>IF(A169&lt;$F$8,0,IF(AND($B$21=1,A169&gt;$B$19),0,$E$8*$G$8^MIN((A169-$F$8)/12,6)*MIN($G$8,0.85)^MAX(0,(A169-$F$8)/12-6)))</f>
        <v/>
      </c>
      <c r="I169" s="306">
        <f>IF(A169&lt;$F$9,0,IF(AND($B$21=1,A169&gt;$B$19),0,$E$9*$G$9^MIN((A169-$F$9)/12,6)*MIN($G$9,0.85)^MAX(0,(A169-$F$9)/12-6)))</f>
        <v/>
      </c>
      <c r="J169" s="306">
        <f>IF(A169&lt;$F$10,0,IF(AND($B$21=1,A169&gt;$B$19),0,$E$10*$G$10^MIN((A169-$F$10)/12,6)*MIN($G$10,0.85)^MAX(0,(A169-$F$10)/12-6)))</f>
        <v/>
      </c>
      <c r="K169" s="306">
        <f>SUM(F169:J169)</f>
        <v/>
      </c>
      <c r="L169" s="306">
        <f>K169/12</f>
        <v/>
      </c>
      <c r="M169" s="306">
        <f>L169*$B$8</f>
        <v/>
      </c>
      <c r="N169" s="306">
        <f>L169*$B$9</f>
        <v/>
      </c>
      <c r="O169" s="306">
        <f>L169*$B$10</f>
        <v/>
      </c>
      <c r="P169" s="306">
        <f>L169-M169-N169-O169-D169-E169</f>
        <v/>
      </c>
      <c r="Q169" s="306">
        <f>MAX(0, P169 - $B$7*L169)</f>
        <v/>
      </c>
      <c r="R169" s="306">
        <f>P169-Q169</f>
        <v/>
      </c>
      <c r="S169" s="306">
        <f>IF(A169=$F$6, $B$18*$B$16*$B$17/1000000, 0) + IF(A169=$F$7, $B$18*$B$16*$B$17/1000000, 0) + IF(A169=$F$8, $B$18*$B$16*$B$17/1000000, 0) + IF(A169=$F$9, $B$18*$B$16*$B$17/1000000, 0) + IF(A169=$F$10, $B$18*$B$16*$B$17/1000000, 0)</f>
        <v/>
      </c>
      <c r="T169" s="306">
        <f>R169-S169-C169</f>
        <v/>
      </c>
      <c r="U169" s="306">
        <f>IF(AND(A169&lt;=$B$24, T169&gt;0), T169*$B$23, 0)</f>
        <v/>
      </c>
      <c r="V169" s="306">
        <f>T169-U169</f>
        <v/>
      </c>
      <c r="W169" s="306">
        <f>IF(AND(A169=$B$19, $B$21=1), K169*$B$20, 0)</f>
        <v/>
      </c>
      <c r="X169" s="306">
        <f>X168+V169+W169</f>
        <v/>
      </c>
    </row>
    <row r="170">
      <c r="A170" s="306" t="n">
        <v>140</v>
      </c>
      <c r="B170" s="306">
        <f>CEILING(A170/12,1)</f>
        <v/>
      </c>
      <c r="C170" s="306">
        <f>IF(A170&lt;=12, $B$15/12, 0)</f>
        <v/>
      </c>
      <c r="D170" s="306">
        <f>INDEX('26. Team Comp'!$D$28:$R$28, B170) * 0.001 / 12</f>
        <v/>
      </c>
      <c r="E170" s="306">
        <f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) * 200 / 12 / 1000</f>
        <v/>
      </c>
      <c r="F170" s="306">
        <f>IF(A170&lt;$F$6,0,IF(AND($B$21=1,A170&gt;$B$19),0,$E$6*$G$6^MIN((A170-$F$6)/12,6)*MIN($G$6,0.85)^MAX(0,(A170-$F$6)/12-6)))</f>
        <v/>
      </c>
      <c r="G170" s="306">
        <f>IF(A170&lt;$F$7,0,IF(AND($B$21=1,A170&gt;$B$19),0,$E$7*$G$7^MIN((A170-$F$7)/12,6)*MIN($G$7,0.85)^MAX(0,(A170-$F$7)/12-6)))</f>
        <v/>
      </c>
      <c r="H170" s="306">
        <f>IF(A170&lt;$F$8,0,IF(AND($B$21=1,A170&gt;$B$19),0,$E$8*$G$8^MIN((A170-$F$8)/12,6)*MIN($G$8,0.85)^MAX(0,(A170-$F$8)/12-6)))</f>
        <v/>
      </c>
      <c r="I170" s="306">
        <f>IF(A170&lt;$F$9,0,IF(AND($B$21=1,A170&gt;$B$19),0,$E$9*$G$9^MIN((A170-$F$9)/12,6)*MIN($G$9,0.85)^MAX(0,(A170-$F$9)/12-6)))</f>
        <v/>
      </c>
      <c r="J170" s="306">
        <f>IF(A170&lt;$F$10,0,IF(AND($B$21=1,A170&gt;$B$19),0,$E$10*$G$10^MIN((A170-$F$10)/12,6)*MIN($G$10,0.85)^MAX(0,(A170-$F$10)/12-6)))</f>
        <v/>
      </c>
      <c r="K170" s="306">
        <f>SUM(F170:J170)</f>
        <v/>
      </c>
      <c r="L170" s="306">
        <f>K170/12</f>
        <v/>
      </c>
      <c r="M170" s="306">
        <f>L170*$B$8</f>
        <v/>
      </c>
      <c r="N170" s="306">
        <f>L170*$B$9</f>
        <v/>
      </c>
      <c r="O170" s="306">
        <f>L170*$B$10</f>
        <v/>
      </c>
      <c r="P170" s="306">
        <f>L170-M170-N170-O170-D170-E170</f>
        <v/>
      </c>
      <c r="Q170" s="306">
        <f>MAX(0, P170 - $B$7*L170)</f>
        <v/>
      </c>
      <c r="R170" s="306">
        <f>P170-Q170</f>
        <v/>
      </c>
      <c r="S170" s="306">
        <f>IF(A170=$F$6, $B$18*$B$16*$B$17/1000000, 0) + IF(A170=$F$7, $B$18*$B$16*$B$17/1000000, 0) + IF(A170=$F$8, $B$18*$B$16*$B$17/1000000, 0) + IF(A170=$F$9, $B$18*$B$16*$B$17/1000000, 0) + IF(A170=$F$10, $B$18*$B$16*$B$17/1000000, 0)</f>
        <v/>
      </c>
      <c r="T170" s="306">
        <f>R170-S170-C170</f>
        <v/>
      </c>
      <c r="U170" s="306">
        <f>IF(AND(A170&lt;=$B$24, T170&gt;0), T170*$B$23, 0)</f>
        <v/>
      </c>
      <c r="V170" s="306">
        <f>T170-U170</f>
        <v/>
      </c>
      <c r="W170" s="306">
        <f>IF(AND(A170=$B$19, $B$21=1), K170*$B$20, 0)</f>
        <v/>
      </c>
      <c r="X170" s="306">
        <f>X169+V170+W170</f>
        <v/>
      </c>
    </row>
    <row r="171">
      <c r="A171" s="306" t="n">
        <v>141</v>
      </c>
      <c r="B171" s="306">
        <f>CEILING(A171/12,1)</f>
        <v/>
      </c>
      <c r="C171" s="306">
        <f>IF(A171&lt;=12, $B$15/12, 0)</f>
        <v/>
      </c>
      <c r="D171" s="306">
        <f>INDEX('26. Team Comp'!$D$28:$R$28, B171) * 0.001 / 12</f>
        <v/>
      </c>
      <c r="E171" s="306">
        <f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) * 200 / 12 / 1000</f>
        <v/>
      </c>
      <c r="F171" s="306">
        <f>IF(A171&lt;$F$6,0,IF(AND($B$21=1,A171&gt;$B$19),0,$E$6*$G$6^MIN((A171-$F$6)/12,6)*MIN($G$6,0.85)^MAX(0,(A171-$F$6)/12-6)))</f>
        <v/>
      </c>
      <c r="G171" s="306">
        <f>IF(A171&lt;$F$7,0,IF(AND($B$21=1,A171&gt;$B$19),0,$E$7*$G$7^MIN((A171-$F$7)/12,6)*MIN($G$7,0.85)^MAX(0,(A171-$F$7)/12-6)))</f>
        <v/>
      </c>
      <c r="H171" s="306">
        <f>IF(A171&lt;$F$8,0,IF(AND($B$21=1,A171&gt;$B$19),0,$E$8*$G$8^MIN((A171-$F$8)/12,6)*MIN($G$8,0.85)^MAX(0,(A171-$F$8)/12-6)))</f>
        <v/>
      </c>
      <c r="I171" s="306">
        <f>IF(A171&lt;$F$9,0,IF(AND($B$21=1,A171&gt;$B$19),0,$E$9*$G$9^MIN((A171-$F$9)/12,6)*MIN($G$9,0.85)^MAX(0,(A171-$F$9)/12-6)))</f>
        <v/>
      </c>
      <c r="J171" s="306">
        <f>IF(A171&lt;$F$10,0,IF(AND($B$21=1,A171&gt;$B$19),0,$E$10*$G$10^MIN((A171-$F$10)/12,6)*MIN($G$10,0.85)^MAX(0,(A171-$F$10)/12-6)))</f>
        <v/>
      </c>
      <c r="K171" s="306">
        <f>SUM(F171:J171)</f>
        <v/>
      </c>
      <c r="L171" s="306">
        <f>K171/12</f>
        <v/>
      </c>
      <c r="M171" s="306">
        <f>L171*$B$8</f>
        <v/>
      </c>
      <c r="N171" s="306">
        <f>L171*$B$9</f>
        <v/>
      </c>
      <c r="O171" s="306">
        <f>L171*$B$10</f>
        <v/>
      </c>
      <c r="P171" s="306">
        <f>L171-M171-N171-O171-D171-E171</f>
        <v/>
      </c>
      <c r="Q171" s="306">
        <f>MAX(0, P171 - $B$7*L171)</f>
        <v/>
      </c>
      <c r="R171" s="306">
        <f>P171-Q171</f>
        <v/>
      </c>
      <c r="S171" s="306">
        <f>IF(A171=$F$6, $B$18*$B$16*$B$17/1000000, 0) + IF(A171=$F$7, $B$18*$B$16*$B$17/1000000, 0) + IF(A171=$F$8, $B$18*$B$16*$B$17/1000000, 0) + IF(A171=$F$9, $B$18*$B$16*$B$17/1000000, 0) + IF(A171=$F$10, $B$18*$B$16*$B$17/1000000, 0)</f>
        <v/>
      </c>
      <c r="T171" s="306">
        <f>R171-S171-C171</f>
        <v/>
      </c>
      <c r="U171" s="306">
        <f>IF(AND(A171&lt;=$B$24, T171&gt;0), T171*$B$23, 0)</f>
        <v/>
      </c>
      <c r="V171" s="306">
        <f>T171-U171</f>
        <v/>
      </c>
      <c r="W171" s="306">
        <f>IF(AND(A171=$B$19, $B$21=1), K171*$B$20, 0)</f>
        <v/>
      </c>
      <c r="X171" s="306">
        <f>X170+V171+W171</f>
        <v/>
      </c>
    </row>
    <row r="172">
      <c r="A172" s="306" t="n">
        <v>142</v>
      </c>
      <c r="B172" s="306">
        <f>CEILING(A172/12,1)</f>
        <v/>
      </c>
      <c r="C172" s="306">
        <f>IF(A172&lt;=12, $B$15/12, 0)</f>
        <v/>
      </c>
      <c r="D172" s="306">
        <f>INDEX('26. Team Comp'!$D$28:$R$28, B172) * 0.001 / 12</f>
        <v/>
      </c>
      <c r="E172" s="306">
        <f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) * 200 / 12 / 1000</f>
        <v/>
      </c>
      <c r="F172" s="306">
        <f>IF(A172&lt;$F$6,0,IF(AND($B$21=1,A172&gt;$B$19),0,$E$6*$G$6^MIN((A172-$F$6)/12,6)*MIN($G$6,0.85)^MAX(0,(A172-$F$6)/12-6)))</f>
        <v/>
      </c>
      <c r="G172" s="306">
        <f>IF(A172&lt;$F$7,0,IF(AND($B$21=1,A172&gt;$B$19),0,$E$7*$G$7^MIN((A172-$F$7)/12,6)*MIN($G$7,0.85)^MAX(0,(A172-$F$7)/12-6)))</f>
        <v/>
      </c>
      <c r="H172" s="306">
        <f>IF(A172&lt;$F$8,0,IF(AND($B$21=1,A172&gt;$B$19),0,$E$8*$G$8^MIN((A172-$F$8)/12,6)*MIN($G$8,0.85)^MAX(0,(A172-$F$8)/12-6)))</f>
        <v/>
      </c>
      <c r="I172" s="306">
        <f>IF(A172&lt;$F$9,0,IF(AND($B$21=1,A172&gt;$B$19),0,$E$9*$G$9^MIN((A172-$F$9)/12,6)*MIN($G$9,0.85)^MAX(0,(A172-$F$9)/12-6)))</f>
        <v/>
      </c>
      <c r="J172" s="306">
        <f>IF(A172&lt;$F$10,0,IF(AND($B$21=1,A172&gt;$B$19),0,$E$10*$G$10^MIN((A172-$F$10)/12,6)*MIN($G$10,0.85)^MAX(0,(A172-$F$10)/12-6)))</f>
        <v/>
      </c>
      <c r="K172" s="306">
        <f>SUM(F172:J172)</f>
        <v/>
      </c>
      <c r="L172" s="306">
        <f>K172/12</f>
        <v/>
      </c>
      <c r="M172" s="306">
        <f>L172*$B$8</f>
        <v/>
      </c>
      <c r="N172" s="306">
        <f>L172*$B$9</f>
        <v/>
      </c>
      <c r="O172" s="306">
        <f>L172*$B$10</f>
        <v/>
      </c>
      <c r="P172" s="306">
        <f>L172-M172-N172-O172-D172-E172</f>
        <v/>
      </c>
      <c r="Q172" s="306">
        <f>MAX(0, P172 - $B$7*L172)</f>
        <v/>
      </c>
      <c r="R172" s="306">
        <f>P172-Q172</f>
        <v/>
      </c>
      <c r="S172" s="306">
        <f>IF(A172=$F$6, $B$18*$B$16*$B$17/1000000, 0) + IF(A172=$F$7, $B$18*$B$16*$B$17/1000000, 0) + IF(A172=$F$8, $B$18*$B$16*$B$17/1000000, 0) + IF(A172=$F$9, $B$18*$B$16*$B$17/1000000, 0) + IF(A172=$F$10, $B$18*$B$16*$B$17/1000000, 0)</f>
        <v/>
      </c>
      <c r="T172" s="306">
        <f>R172-S172-C172</f>
        <v/>
      </c>
      <c r="U172" s="306">
        <f>IF(AND(A172&lt;=$B$24, T172&gt;0), T172*$B$23, 0)</f>
        <v/>
      </c>
      <c r="V172" s="306">
        <f>T172-U172</f>
        <v/>
      </c>
      <c r="W172" s="306">
        <f>IF(AND(A172=$B$19, $B$21=1), K172*$B$20, 0)</f>
        <v/>
      </c>
      <c r="X172" s="306">
        <f>X171+V172+W172</f>
        <v/>
      </c>
    </row>
    <row r="173">
      <c r="A173" s="306" t="n">
        <v>143</v>
      </c>
      <c r="B173" s="306">
        <f>CEILING(A173/12,1)</f>
        <v/>
      </c>
      <c r="C173" s="306">
        <f>IF(A173&lt;=12, $B$15/12, 0)</f>
        <v/>
      </c>
      <c r="D173" s="306">
        <f>INDEX('26. Team Comp'!$D$28:$R$28, B173) * 0.001 / 12</f>
        <v/>
      </c>
      <c r="E173" s="306">
        <f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) * 200 / 12 / 1000</f>
        <v/>
      </c>
      <c r="F173" s="306">
        <f>IF(A173&lt;$F$6,0,IF(AND($B$21=1,A173&gt;$B$19),0,$E$6*$G$6^MIN((A173-$F$6)/12,6)*MIN($G$6,0.85)^MAX(0,(A173-$F$6)/12-6)))</f>
        <v/>
      </c>
      <c r="G173" s="306">
        <f>IF(A173&lt;$F$7,0,IF(AND($B$21=1,A173&gt;$B$19),0,$E$7*$G$7^MIN((A173-$F$7)/12,6)*MIN($G$7,0.85)^MAX(0,(A173-$F$7)/12-6)))</f>
        <v/>
      </c>
      <c r="H173" s="306">
        <f>IF(A173&lt;$F$8,0,IF(AND($B$21=1,A173&gt;$B$19),0,$E$8*$G$8^MIN((A173-$F$8)/12,6)*MIN($G$8,0.85)^MAX(0,(A173-$F$8)/12-6)))</f>
        <v/>
      </c>
      <c r="I173" s="306">
        <f>IF(A173&lt;$F$9,0,IF(AND($B$21=1,A173&gt;$B$19),0,$E$9*$G$9^MIN((A173-$F$9)/12,6)*MIN($G$9,0.85)^MAX(0,(A173-$F$9)/12-6)))</f>
        <v/>
      </c>
      <c r="J173" s="306">
        <f>IF(A173&lt;$F$10,0,IF(AND($B$21=1,A173&gt;$B$19),0,$E$10*$G$10^MIN((A173-$F$10)/12,6)*MIN($G$10,0.85)^MAX(0,(A173-$F$10)/12-6)))</f>
        <v/>
      </c>
      <c r="K173" s="306">
        <f>SUM(F173:J173)</f>
        <v/>
      </c>
      <c r="L173" s="306">
        <f>K173/12</f>
        <v/>
      </c>
      <c r="M173" s="306">
        <f>L173*$B$8</f>
        <v/>
      </c>
      <c r="N173" s="306">
        <f>L173*$B$9</f>
        <v/>
      </c>
      <c r="O173" s="306">
        <f>L173*$B$10</f>
        <v/>
      </c>
      <c r="P173" s="306">
        <f>L173-M173-N173-O173-D173-E173</f>
        <v/>
      </c>
      <c r="Q173" s="306">
        <f>MAX(0, P173 - $B$7*L173)</f>
        <v/>
      </c>
      <c r="R173" s="306">
        <f>P173-Q173</f>
        <v/>
      </c>
      <c r="S173" s="306">
        <f>IF(A173=$F$6, $B$18*$B$16*$B$17/1000000, 0) + IF(A173=$F$7, $B$18*$B$16*$B$17/1000000, 0) + IF(A173=$F$8, $B$18*$B$16*$B$17/1000000, 0) + IF(A173=$F$9, $B$18*$B$16*$B$17/1000000, 0) + IF(A173=$F$10, $B$18*$B$16*$B$17/1000000, 0)</f>
        <v/>
      </c>
      <c r="T173" s="306">
        <f>R173-S173-C173</f>
        <v/>
      </c>
      <c r="U173" s="306">
        <f>IF(AND(A173&lt;=$B$24, T173&gt;0), T173*$B$23, 0)</f>
        <v/>
      </c>
      <c r="V173" s="306">
        <f>T173-U173</f>
        <v/>
      </c>
      <c r="W173" s="306">
        <f>IF(AND(A173=$B$19, $B$21=1), K173*$B$20, 0)</f>
        <v/>
      </c>
      <c r="X173" s="306">
        <f>X172+V173+W173</f>
        <v/>
      </c>
    </row>
    <row r="174">
      <c r="A174" s="306" t="n">
        <v>144</v>
      </c>
      <c r="B174" s="306">
        <f>CEILING(A174/12,1)</f>
        <v/>
      </c>
      <c r="C174" s="306">
        <f>IF(A174&lt;=12, $B$15/12, 0)</f>
        <v/>
      </c>
      <c r="D174" s="306">
        <f>INDEX('26. Team Comp'!$D$28:$R$28, B174) * 0.001 / 12</f>
        <v/>
      </c>
      <c r="E174" s="306">
        <f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) * 200 / 12 / 1000</f>
        <v/>
      </c>
      <c r="F174" s="306">
        <f>IF(A174&lt;$F$6,0,IF(AND($B$21=1,A174&gt;$B$19),0,$E$6*$G$6^MIN((A174-$F$6)/12,6)*MIN($G$6,0.85)^MAX(0,(A174-$F$6)/12-6)))</f>
        <v/>
      </c>
      <c r="G174" s="306">
        <f>IF(A174&lt;$F$7,0,IF(AND($B$21=1,A174&gt;$B$19),0,$E$7*$G$7^MIN((A174-$F$7)/12,6)*MIN($G$7,0.85)^MAX(0,(A174-$F$7)/12-6)))</f>
        <v/>
      </c>
      <c r="H174" s="306">
        <f>IF(A174&lt;$F$8,0,IF(AND($B$21=1,A174&gt;$B$19),0,$E$8*$G$8^MIN((A174-$F$8)/12,6)*MIN($G$8,0.85)^MAX(0,(A174-$F$8)/12-6)))</f>
        <v/>
      </c>
      <c r="I174" s="306">
        <f>IF(A174&lt;$F$9,0,IF(AND($B$21=1,A174&gt;$B$19),0,$E$9*$G$9^MIN((A174-$F$9)/12,6)*MIN($G$9,0.85)^MAX(0,(A174-$F$9)/12-6)))</f>
        <v/>
      </c>
      <c r="J174" s="306">
        <f>IF(A174&lt;$F$10,0,IF(AND($B$21=1,A174&gt;$B$19),0,$E$10*$G$10^MIN((A174-$F$10)/12,6)*MIN($G$10,0.85)^MAX(0,(A174-$F$10)/12-6)))</f>
        <v/>
      </c>
      <c r="K174" s="306">
        <f>SUM(F174:J174)</f>
        <v/>
      </c>
      <c r="L174" s="306">
        <f>K174/12</f>
        <v/>
      </c>
      <c r="M174" s="306">
        <f>L174*$B$8</f>
        <v/>
      </c>
      <c r="N174" s="306">
        <f>L174*$B$9</f>
        <v/>
      </c>
      <c r="O174" s="306">
        <f>L174*$B$10</f>
        <v/>
      </c>
      <c r="P174" s="306">
        <f>L174-M174-N174-O174-D174-E174</f>
        <v/>
      </c>
      <c r="Q174" s="306">
        <f>MAX(0, P174 - $B$7*L174)</f>
        <v/>
      </c>
      <c r="R174" s="306">
        <f>P174-Q174</f>
        <v/>
      </c>
      <c r="S174" s="306">
        <f>IF(A174=$F$6, $B$18*$B$16*$B$17/1000000, 0) + IF(A174=$F$7, $B$18*$B$16*$B$17/1000000, 0) + IF(A174=$F$8, $B$18*$B$16*$B$17/1000000, 0) + IF(A174=$F$9, $B$18*$B$16*$B$17/1000000, 0) + IF(A174=$F$10, $B$18*$B$16*$B$17/1000000, 0)</f>
        <v/>
      </c>
      <c r="T174" s="306">
        <f>R174-S174-C174</f>
        <v/>
      </c>
      <c r="U174" s="306">
        <f>IF(AND(A174&lt;=$B$24, T174&gt;0), T174*$B$23, 0)</f>
        <v/>
      </c>
      <c r="V174" s="306">
        <f>T174-U174</f>
        <v/>
      </c>
      <c r="W174" s="306">
        <f>IF(AND(A174=$B$19, $B$21=1), K174*$B$20, 0)</f>
        <v/>
      </c>
      <c r="X174" s="306">
        <f>X173+V174+W174</f>
        <v/>
      </c>
    </row>
    <row r="175">
      <c r="A175" s="306" t="n">
        <v>145</v>
      </c>
      <c r="B175" s="306">
        <f>CEILING(A175/12,1)</f>
        <v/>
      </c>
      <c r="C175" s="306">
        <f>IF(A175&lt;=12, $B$15/12, 0)</f>
        <v/>
      </c>
      <c r="D175" s="306">
        <f>INDEX('26. Team Comp'!$D$28:$R$28, B175) * 0.001 / 12</f>
        <v/>
      </c>
      <c r="E175" s="306">
        <f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) * 200 / 12 / 1000</f>
        <v/>
      </c>
      <c r="F175" s="306">
        <f>IF(A175&lt;$F$6,0,IF(AND($B$21=1,A175&gt;$B$19),0,$E$6*$G$6^MIN((A175-$F$6)/12,6)*MIN($G$6,0.85)^MAX(0,(A175-$F$6)/12-6)))</f>
        <v/>
      </c>
      <c r="G175" s="306">
        <f>IF(A175&lt;$F$7,0,IF(AND($B$21=1,A175&gt;$B$19),0,$E$7*$G$7^MIN((A175-$F$7)/12,6)*MIN($G$7,0.85)^MAX(0,(A175-$F$7)/12-6)))</f>
        <v/>
      </c>
      <c r="H175" s="306">
        <f>IF(A175&lt;$F$8,0,IF(AND($B$21=1,A175&gt;$B$19),0,$E$8*$G$8^MIN((A175-$F$8)/12,6)*MIN($G$8,0.85)^MAX(0,(A175-$F$8)/12-6)))</f>
        <v/>
      </c>
      <c r="I175" s="306">
        <f>IF(A175&lt;$F$9,0,IF(AND($B$21=1,A175&gt;$B$19),0,$E$9*$G$9^MIN((A175-$F$9)/12,6)*MIN($G$9,0.85)^MAX(0,(A175-$F$9)/12-6)))</f>
        <v/>
      </c>
      <c r="J175" s="306">
        <f>IF(A175&lt;$F$10,0,IF(AND($B$21=1,A175&gt;$B$19),0,$E$10*$G$10^MIN((A175-$F$10)/12,6)*MIN($G$10,0.85)^MAX(0,(A175-$F$10)/12-6)))</f>
        <v/>
      </c>
      <c r="K175" s="306">
        <f>SUM(F175:J175)</f>
        <v/>
      </c>
      <c r="L175" s="306">
        <f>K175/12</f>
        <v/>
      </c>
      <c r="M175" s="306">
        <f>L175*$B$8</f>
        <v/>
      </c>
      <c r="N175" s="306">
        <f>L175*$B$9</f>
        <v/>
      </c>
      <c r="O175" s="306">
        <f>L175*$B$10</f>
        <v/>
      </c>
      <c r="P175" s="306">
        <f>L175-M175-N175-O175-D175-E175</f>
        <v/>
      </c>
      <c r="Q175" s="306">
        <f>MAX(0, P175 - $B$7*L175)</f>
        <v/>
      </c>
      <c r="R175" s="306">
        <f>P175-Q175</f>
        <v/>
      </c>
      <c r="S175" s="306">
        <f>IF(A175=$F$6, $B$18*$B$16*$B$17/1000000, 0) + IF(A175=$F$7, $B$18*$B$16*$B$17/1000000, 0) + IF(A175=$F$8, $B$18*$B$16*$B$17/1000000, 0) + IF(A175=$F$9, $B$18*$B$16*$B$17/1000000, 0) + IF(A175=$F$10, $B$18*$B$16*$B$17/1000000, 0)</f>
        <v/>
      </c>
      <c r="T175" s="306">
        <f>R175-S175-C175</f>
        <v/>
      </c>
      <c r="U175" s="306">
        <f>IF(AND(A175&lt;=$B$24, T175&gt;0), T175*$B$23, 0)</f>
        <v/>
      </c>
      <c r="V175" s="306">
        <f>T175-U175</f>
        <v/>
      </c>
      <c r="W175" s="306">
        <f>IF(AND(A175=$B$19, $B$21=1), K175*$B$20, 0)</f>
        <v/>
      </c>
      <c r="X175" s="306">
        <f>X174+V175+W175</f>
        <v/>
      </c>
    </row>
    <row r="176">
      <c r="A176" s="306" t="n">
        <v>146</v>
      </c>
      <c r="B176" s="306">
        <f>CEILING(A176/12,1)</f>
        <v/>
      </c>
      <c r="C176" s="306">
        <f>IF(A176&lt;=12, $B$15/12, 0)</f>
        <v/>
      </c>
      <c r="D176" s="306">
        <f>INDEX('26. Team Comp'!$D$28:$R$28, B176) * 0.001 / 12</f>
        <v/>
      </c>
      <c r="E176" s="306">
        <f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) * 200 / 12 / 1000</f>
        <v/>
      </c>
      <c r="F176" s="306">
        <f>IF(A176&lt;$F$6,0,IF(AND($B$21=1,A176&gt;$B$19),0,$E$6*$G$6^MIN((A176-$F$6)/12,6)*MIN($G$6,0.85)^MAX(0,(A176-$F$6)/12-6)))</f>
        <v/>
      </c>
      <c r="G176" s="306">
        <f>IF(A176&lt;$F$7,0,IF(AND($B$21=1,A176&gt;$B$19),0,$E$7*$G$7^MIN((A176-$F$7)/12,6)*MIN($G$7,0.85)^MAX(0,(A176-$F$7)/12-6)))</f>
        <v/>
      </c>
      <c r="H176" s="306">
        <f>IF(A176&lt;$F$8,0,IF(AND($B$21=1,A176&gt;$B$19),0,$E$8*$G$8^MIN((A176-$F$8)/12,6)*MIN($G$8,0.85)^MAX(0,(A176-$F$8)/12-6)))</f>
        <v/>
      </c>
      <c r="I176" s="306">
        <f>IF(A176&lt;$F$9,0,IF(AND($B$21=1,A176&gt;$B$19),0,$E$9*$G$9^MIN((A176-$F$9)/12,6)*MIN($G$9,0.85)^MAX(0,(A176-$F$9)/12-6)))</f>
        <v/>
      </c>
      <c r="J176" s="306">
        <f>IF(A176&lt;$F$10,0,IF(AND($B$21=1,A176&gt;$B$19),0,$E$10*$G$10^MIN((A176-$F$10)/12,6)*MIN($G$10,0.85)^MAX(0,(A176-$F$10)/12-6)))</f>
        <v/>
      </c>
      <c r="K176" s="306">
        <f>SUM(F176:J176)</f>
        <v/>
      </c>
      <c r="L176" s="306">
        <f>K176/12</f>
        <v/>
      </c>
      <c r="M176" s="306">
        <f>L176*$B$8</f>
        <v/>
      </c>
      <c r="N176" s="306">
        <f>L176*$B$9</f>
        <v/>
      </c>
      <c r="O176" s="306">
        <f>L176*$B$10</f>
        <v/>
      </c>
      <c r="P176" s="306">
        <f>L176-M176-N176-O176-D176-E176</f>
        <v/>
      </c>
      <c r="Q176" s="306">
        <f>MAX(0, P176 - $B$7*L176)</f>
        <v/>
      </c>
      <c r="R176" s="306">
        <f>P176-Q176</f>
        <v/>
      </c>
      <c r="S176" s="306">
        <f>IF(A176=$F$6, $B$18*$B$16*$B$17/1000000, 0) + IF(A176=$F$7, $B$18*$B$16*$B$17/1000000, 0) + IF(A176=$F$8, $B$18*$B$16*$B$17/1000000, 0) + IF(A176=$F$9, $B$18*$B$16*$B$17/1000000, 0) + IF(A176=$F$10, $B$18*$B$16*$B$17/1000000, 0)</f>
        <v/>
      </c>
      <c r="T176" s="306">
        <f>R176-S176-C176</f>
        <v/>
      </c>
      <c r="U176" s="306">
        <f>IF(AND(A176&lt;=$B$24, T176&gt;0), T176*$B$23, 0)</f>
        <v/>
      </c>
      <c r="V176" s="306">
        <f>T176-U176</f>
        <v/>
      </c>
      <c r="W176" s="306">
        <f>IF(AND(A176=$B$19, $B$21=1), K176*$B$20, 0)</f>
        <v/>
      </c>
      <c r="X176" s="306">
        <f>X175+V176+W176</f>
        <v/>
      </c>
    </row>
    <row r="177">
      <c r="A177" s="306" t="n">
        <v>147</v>
      </c>
      <c r="B177" s="306">
        <f>CEILING(A177/12,1)</f>
        <v/>
      </c>
      <c r="C177" s="306">
        <f>IF(A177&lt;=12, $B$15/12, 0)</f>
        <v/>
      </c>
      <c r="D177" s="306">
        <f>INDEX('26. Team Comp'!$D$28:$R$28, B177) * 0.001 / 12</f>
        <v/>
      </c>
      <c r="E177" s="306">
        <f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) * 200 / 12 / 1000</f>
        <v/>
      </c>
      <c r="F177" s="306">
        <f>IF(A177&lt;$F$6,0,IF(AND($B$21=1,A177&gt;$B$19),0,$E$6*$G$6^MIN((A177-$F$6)/12,6)*MIN($G$6,0.85)^MAX(0,(A177-$F$6)/12-6)))</f>
        <v/>
      </c>
      <c r="G177" s="306">
        <f>IF(A177&lt;$F$7,0,IF(AND($B$21=1,A177&gt;$B$19),0,$E$7*$G$7^MIN((A177-$F$7)/12,6)*MIN($G$7,0.85)^MAX(0,(A177-$F$7)/12-6)))</f>
        <v/>
      </c>
      <c r="H177" s="306">
        <f>IF(A177&lt;$F$8,0,IF(AND($B$21=1,A177&gt;$B$19),0,$E$8*$G$8^MIN((A177-$F$8)/12,6)*MIN($G$8,0.85)^MAX(0,(A177-$F$8)/12-6)))</f>
        <v/>
      </c>
      <c r="I177" s="306">
        <f>IF(A177&lt;$F$9,0,IF(AND($B$21=1,A177&gt;$B$19),0,$E$9*$G$9^MIN((A177-$F$9)/12,6)*MIN($G$9,0.85)^MAX(0,(A177-$F$9)/12-6)))</f>
        <v/>
      </c>
      <c r="J177" s="306">
        <f>IF(A177&lt;$F$10,0,IF(AND($B$21=1,A177&gt;$B$19),0,$E$10*$G$10^MIN((A177-$F$10)/12,6)*MIN($G$10,0.85)^MAX(0,(A177-$F$10)/12-6)))</f>
        <v/>
      </c>
      <c r="K177" s="306">
        <f>SUM(F177:J177)</f>
        <v/>
      </c>
      <c r="L177" s="306">
        <f>K177/12</f>
        <v/>
      </c>
      <c r="M177" s="306">
        <f>L177*$B$8</f>
        <v/>
      </c>
      <c r="N177" s="306">
        <f>L177*$B$9</f>
        <v/>
      </c>
      <c r="O177" s="306">
        <f>L177*$B$10</f>
        <v/>
      </c>
      <c r="P177" s="306">
        <f>L177-M177-N177-O177-D177-E177</f>
        <v/>
      </c>
      <c r="Q177" s="306">
        <f>MAX(0, P177 - $B$7*L177)</f>
        <v/>
      </c>
      <c r="R177" s="306">
        <f>P177-Q177</f>
        <v/>
      </c>
      <c r="S177" s="306">
        <f>IF(A177=$F$6, $B$18*$B$16*$B$17/1000000, 0) + IF(A177=$F$7, $B$18*$B$16*$B$17/1000000, 0) + IF(A177=$F$8, $B$18*$B$16*$B$17/1000000, 0) + IF(A177=$F$9, $B$18*$B$16*$B$17/1000000, 0) + IF(A177=$F$10, $B$18*$B$16*$B$17/1000000, 0)</f>
        <v/>
      </c>
      <c r="T177" s="306">
        <f>R177-S177-C177</f>
        <v/>
      </c>
      <c r="U177" s="306">
        <f>IF(AND(A177&lt;=$B$24, T177&gt;0), T177*$B$23, 0)</f>
        <v/>
      </c>
      <c r="V177" s="306">
        <f>T177-U177</f>
        <v/>
      </c>
      <c r="W177" s="306">
        <f>IF(AND(A177=$B$19, $B$21=1), K177*$B$20, 0)</f>
        <v/>
      </c>
      <c r="X177" s="306">
        <f>X176+V177+W177</f>
        <v/>
      </c>
    </row>
    <row r="178">
      <c r="A178" s="306" t="n">
        <v>148</v>
      </c>
      <c r="B178" s="306">
        <f>CEILING(A178/12,1)</f>
        <v/>
      </c>
      <c r="C178" s="306">
        <f>IF(A178&lt;=12, $B$15/12, 0)</f>
        <v/>
      </c>
      <c r="D178" s="306">
        <f>INDEX('26. Team Comp'!$D$28:$R$28, B178) * 0.001 / 12</f>
        <v/>
      </c>
      <c r="E178" s="306">
        <f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) * 200 / 12 / 1000</f>
        <v/>
      </c>
      <c r="F178" s="306">
        <f>IF(A178&lt;$F$6,0,IF(AND($B$21=1,A178&gt;$B$19),0,$E$6*$G$6^MIN((A178-$F$6)/12,6)*MIN($G$6,0.85)^MAX(0,(A178-$F$6)/12-6)))</f>
        <v/>
      </c>
      <c r="G178" s="306">
        <f>IF(A178&lt;$F$7,0,IF(AND($B$21=1,A178&gt;$B$19),0,$E$7*$G$7^MIN((A178-$F$7)/12,6)*MIN($G$7,0.85)^MAX(0,(A178-$F$7)/12-6)))</f>
        <v/>
      </c>
      <c r="H178" s="306">
        <f>IF(A178&lt;$F$8,0,IF(AND($B$21=1,A178&gt;$B$19),0,$E$8*$G$8^MIN((A178-$F$8)/12,6)*MIN($G$8,0.85)^MAX(0,(A178-$F$8)/12-6)))</f>
        <v/>
      </c>
      <c r="I178" s="306">
        <f>IF(A178&lt;$F$9,0,IF(AND($B$21=1,A178&gt;$B$19),0,$E$9*$G$9^MIN((A178-$F$9)/12,6)*MIN($G$9,0.85)^MAX(0,(A178-$F$9)/12-6)))</f>
        <v/>
      </c>
      <c r="J178" s="306">
        <f>IF(A178&lt;$F$10,0,IF(AND($B$21=1,A178&gt;$B$19),0,$E$10*$G$10^MIN((A178-$F$10)/12,6)*MIN($G$10,0.85)^MAX(0,(A178-$F$10)/12-6)))</f>
        <v/>
      </c>
      <c r="K178" s="306">
        <f>SUM(F178:J178)</f>
        <v/>
      </c>
      <c r="L178" s="306">
        <f>K178/12</f>
        <v/>
      </c>
      <c r="M178" s="306">
        <f>L178*$B$8</f>
        <v/>
      </c>
      <c r="N178" s="306">
        <f>L178*$B$9</f>
        <v/>
      </c>
      <c r="O178" s="306">
        <f>L178*$B$10</f>
        <v/>
      </c>
      <c r="P178" s="306">
        <f>L178-M178-N178-O178-D178-E178</f>
        <v/>
      </c>
      <c r="Q178" s="306">
        <f>MAX(0, P178 - $B$7*L178)</f>
        <v/>
      </c>
      <c r="R178" s="306">
        <f>P178-Q178</f>
        <v/>
      </c>
      <c r="S178" s="306">
        <f>IF(A178=$F$6, $B$18*$B$16*$B$17/1000000, 0) + IF(A178=$F$7, $B$18*$B$16*$B$17/1000000, 0) + IF(A178=$F$8, $B$18*$B$16*$B$17/1000000, 0) + IF(A178=$F$9, $B$18*$B$16*$B$17/1000000, 0) + IF(A178=$F$10, $B$18*$B$16*$B$17/1000000, 0)</f>
        <v/>
      </c>
      <c r="T178" s="306">
        <f>R178-S178-C178</f>
        <v/>
      </c>
      <c r="U178" s="306">
        <f>IF(AND(A178&lt;=$B$24, T178&gt;0), T178*$B$23, 0)</f>
        <v/>
      </c>
      <c r="V178" s="306">
        <f>T178-U178</f>
        <v/>
      </c>
      <c r="W178" s="306">
        <f>IF(AND(A178=$B$19, $B$21=1), K178*$B$20, 0)</f>
        <v/>
      </c>
      <c r="X178" s="306">
        <f>X177+V178+W178</f>
        <v/>
      </c>
    </row>
    <row r="179">
      <c r="A179" s="306" t="n">
        <v>149</v>
      </c>
      <c r="B179" s="306">
        <f>CEILING(A179/12,1)</f>
        <v/>
      </c>
      <c r="C179" s="306">
        <f>IF(A179&lt;=12, $B$15/12, 0)</f>
        <v/>
      </c>
      <c r="D179" s="306">
        <f>INDEX('26. Team Comp'!$D$28:$R$28, B179) * 0.001 / 12</f>
        <v/>
      </c>
      <c r="E179" s="306">
        <f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) * 200 / 12 / 1000</f>
        <v/>
      </c>
      <c r="F179" s="306">
        <f>IF(A179&lt;$F$6,0,IF(AND($B$21=1,A179&gt;$B$19),0,$E$6*$G$6^MIN((A179-$F$6)/12,6)*MIN($G$6,0.85)^MAX(0,(A179-$F$6)/12-6)))</f>
        <v/>
      </c>
      <c r="G179" s="306">
        <f>IF(A179&lt;$F$7,0,IF(AND($B$21=1,A179&gt;$B$19),0,$E$7*$G$7^MIN((A179-$F$7)/12,6)*MIN($G$7,0.85)^MAX(0,(A179-$F$7)/12-6)))</f>
        <v/>
      </c>
      <c r="H179" s="306">
        <f>IF(A179&lt;$F$8,0,IF(AND($B$21=1,A179&gt;$B$19),0,$E$8*$G$8^MIN((A179-$F$8)/12,6)*MIN($G$8,0.85)^MAX(0,(A179-$F$8)/12-6)))</f>
        <v/>
      </c>
      <c r="I179" s="306">
        <f>IF(A179&lt;$F$9,0,IF(AND($B$21=1,A179&gt;$B$19),0,$E$9*$G$9^MIN((A179-$F$9)/12,6)*MIN($G$9,0.85)^MAX(0,(A179-$F$9)/12-6)))</f>
        <v/>
      </c>
      <c r="J179" s="306">
        <f>IF(A179&lt;$F$10,0,IF(AND($B$21=1,A179&gt;$B$19),0,$E$10*$G$10^MIN((A179-$F$10)/12,6)*MIN($G$10,0.85)^MAX(0,(A179-$F$10)/12-6)))</f>
        <v/>
      </c>
      <c r="K179" s="306">
        <f>SUM(F179:J179)</f>
        <v/>
      </c>
      <c r="L179" s="306">
        <f>K179/12</f>
        <v/>
      </c>
      <c r="M179" s="306">
        <f>L179*$B$8</f>
        <v/>
      </c>
      <c r="N179" s="306">
        <f>L179*$B$9</f>
        <v/>
      </c>
      <c r="O179" s="306">
        <f>L179*$B$10</f>
        <v/>
      </c>
      <c r="P179" s="306">
        <f>L179-M179-N179-O179-D179-E179</f>
        <v/>
      </c>
      <c r="Q179" s="306">
        <f>MAX(0, P179 - $B$7*L179)</f>
        <v/>
      </c>
      <c r="R179" s="306">
        <f>P179-Q179</f>
        <v/>
      </c>
      <c r="S179" s="306">
        <f>IF(A179=$F$6, $B$18*$B$16*$B$17/1000000, 0) + IF(A179=$F$7, $B$18*$B$16*$B$17/1000000, 0) + IF(A179=$F$8, $B$18*$B$16*$B$17/1000000, 0) + IF(A179=$F$9, $B$18*$B$16*$B$17/1000000, 0) + IF(A179=$F$10, $B$18*$B$16*$B$17/1000000, 0)</f>
        <v/>
      </c>
      <c r="T179" s="306">
        <f>R179-S179-C179</f>
        <v/>
      </c>
      <c r="U179" s="306">
        <f>IF(AND(A179&lt;=$B$24, T179&gt;0), T179*$B$23, 0)</f>
        <v/>
      </c>
      <c r="V179" s="306">
        <f>T179-U179</f>
        <v/>
      </c>
      <c r="W179" s="306">
        <f>IF(AND(A179=$B$19, $B$21=1), K179*$B$20, 0)</f>
        <v/>
      </c>
      <c r="X179" s="306">
        <f>X178+V179+W179</f>
        <v/>
      </c>
    </row>
    <row r="180">
      <c r="A180" s="306" t="n">
        <v>150</v>
      </c>
      <c r="B180" s="306">
        <f>CEILING(A180/12,1)</f>
        <v/>
      </c>
      <c r="C180" s="306">
        <f>IF(A180&lt;=12, $B$15/12, 0)</f>
        <v/>
      </c>
      <c r="D180" s="306">
        <f>INDEX('26. Team Comp'!$D$28:$R$28, B180) * 0.001 / 12</f>
        <v/>
      </c>
      <c r="E180" s="306">
        <f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) * 200 / 12 / 1000</f>
        <v/>
      </c>
      <c r="F180" s="306">
        <f>IF(A180&lt;$F$6,0,IF(AND($B$21=1,A180&gt;$B$19),0,$E$6*$G$6^MIN((A180-$F$6)/12,6)*MIN($G$6,0.85)^MAX(0,(A180-$F$6)/12-6)))</f>
        <v/>
      </c>
      <c r="G180" s="306">
        <f>IF(A180&lt;$F$7,0,IF(AND($B$21=1,A180&gt;$B$19),0,$E$7*$G$7^MIN((A180-$F$7)/12,6)*MIN($G$7,0.85)^MAX(0,(A180-$F$7)/12-6)))</f>
        <v/>
      </c>
      <c r="H180" s="306">
        <f>IF(A180&lt;$F$8,0,IF(AND($B$21=1,A180&gt;$B$19),0,$E$8*$G$8^MIN((A180-$F$8)/12,6)*MIN($G$8,0.85)^MAX(0,(A180-$F$8)/12-6)))</f>
        <v/>
      </c>
      <c r="I180" s="306">
        <f>IF(A180&lt;$F$9,0,IF(AND($B$21=1,A180&gt;$B$19),0,$E$9*$G$9^MIN((A180-$F$9)/12,6)*MIN($G$9,0.85)^MAX(0,(A180-$F$9)/12-6)))</f>
        <v/>
      </c>
      <c r="J180" s="306">
        <f>IF(A180&lt;$F$10,0,IF(AND($B$21=1,A180&gt;$B$19),0,$E$10*$G$10^MIN((A180-$F$10)/12,6)*MIN($G$10,0.85)^MAX(0,(A180-$F$10)/12-6)))</f>
        <v/>
      </c>
      <c r="K180" s="306">
        <f>SUM(F180:J180)</f>
        <v/>
      </c>
      <c r="L180" s="306">
        <f>K180/12</f>
        <v/>
      </c>
      <c r="M180" s="306">
        <f>L180*$B$8</f>
        <v/>
      </c>
      <c r="N180" s="306">
        <f>L180*$B$9</f>
        <v/>
      </c>
      <c r="O180" s="306">
        <f>L180*$B$10</f>
        <v/>
      </c>
      <c r="P180" s="306">
        <f>L180-M180-N180-O180-D180-E180</f>
        <v/>
      </c>
      <c r="Q180" s="306">
        <f>MAX(0, P180 - $B$7*L180)</f>
        <v/>
      </c>
      <c r="R180" s="306">
        <f>P180-Q180</f>
        <v/>
      </c>
      <c r="S180" s="306">
        <f>IF(A180=$F$6, $B$18*$B$16*$B$17/1000000, 0) + IF(A180=$F$7, $B$18*$B$16*$B$17/1000000, 0) + IF(A180=$F$8, $B$18*$B$16*$B$17/1000000, 0) + IF(A180=$F$9, $B$18*$B$16*$B$17/1000000, 0) + IF(A180=$F$10, $B$18*$B$16*$B$17/1000000, 0)</f>
        <v/>
      </c>
      <c r="T180" s="306">
        <f>R180-S180-C180</f>
        <v/>
      </c>
      <c r="U180" s="306">
        <f>IF(AND(A180&lt;=$B$24, T180&gt;0), T180*$B$23, 0)</f>
        <v/>
      </c>
      <c r="V180" s="306">
        <f>T180-U180</f>
        <v/>
      </c>
      <c r="W180" s="306">
        <f>IF(AND(A180=$B$19, $B$21=1), K180*$B$20, 0)</f>
        <v/>
      </c>
      <c r="X180" s="306">
        <f>X179+V180+W180</f>
        <v/>
      </c>
    </row>
    <row r="181">
      <c r="A181" s="306" t="n">
        <v>151</v>
      </c>
      <c r="B181" s="306">
        <f>CEILING(A181/12,1)</f>
        <v/>
      </c>
      <c r="C181" s="306">
        <f>IF(A181&lt;=12, $B$15/12, 0)</f>
        <v/>
      </c>
      <c r="D181" s="306">
        <f>INDEX('26. Team Comp'!$D$28:$R$28, B181) * 0.001 / 12</f>
        <v/>
      </c>
      <c r="E181" s="306">
        <f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) * 200 / 12 / 1000</f>
        <v/>
      </c>
      <c r="F181" s="306">
        <f>IF(A181&lt;$F$6,0,IF(AND($B$21=1,A181&gt;$B$19),0,$E$6*$G$6^MIN((A181-$F$6)/12,6)*MIN($G$6,0.85)^MAX(0,(A181-$F$6)/12-6)))</f>
        <v/>
      </c>
      <c r="G181" s="306">
        <f>IF(A181&lt;$F$7,0,IF(AND($B$21=1,A181&gt;$B$19),0,$E$7*$G$7^MIN((A181-$F$7)/12,6)*MIN($G$7,0.85)^MAX(0,(A181-$F$7)/12-6)))</f>
        <v/>
      </c>
      <c r="H181" s="306">
        <f>IF(A181&lt;$F$8,0,IF(AND($B$21=1,A181&gt;$B$19),0,$E$8*$G$8^MIN((A181-$F$8)/12,6)*MIN($G$8,0.85)^MAX(0,(A181-$F$8)/12-6)))</f>
        <v/>
      </c>
      <c r="I181" s="306">
        <f>IF(A181&lt;$F$9,0,IF(AND($B$21=1,A181&gt;$B$19),0,$E$9*$G$9^MIN((A181-$F$9)/12,6)*MIN($G$9,0.85)^MAX(0,(A181-$F$9)/12-6)))</f>
        <v/>
      </c>
      <c r="J181" s="306">
        <f>IF(A181&lt;$F$10,0,IF(AND($B$21=1,A181&gt;$B$19),0,$E$10*$G$10^MIN((A181-$F$10)/12,6)*MIN($G$10,0.85)^MAX(0,(A181-$F$10)/12-6)))</f>
        <v/>
      </c>
      <c r="K181" s="306">
        <f>SUM(F181:J181)</f>
        <v/>
      </c>
      <c r="L181" s="306">
        <f>K181/12</f>
        <v/>
      </c>
      <c r="M181" s="306">
        <f>L181*$B$8</f>
        <v/>
      </c>
      <c r="N181" s="306">
        <f>L181*$B$9</f>
        <v/>
      </c>
      <c r="O181" s="306">
        <f>L181*$B$10</f>
        <v/>
      </c>
      <c r="P181" s="306">
        <f>L181-M181-N181-O181-D181-E181</f>
        <v/>
      </c>
      <c r="Q181" s="306">
        <f>MAX(0, P181 - $B$7*L181)</f>
        <v/>
      </c>
      <c r="R181" s="306">
        <f>P181-Q181</f>
        <v/>
      </c>
      <c r="S181" s="306">
        <f>IF(A181=$F$6, $B$18*$B$16*$B$17/1000000, 0) + IF(A181=$F$7, $B$18*$B$16*$B$17/1000000, 0) + IF(A181=$F$8, $B$18*$B$16*$B$17/1000000, 0) + IF(A181=$F$9, $B$18*$B$16*$B$17/1000000, 0) + IF(A181=$F$10, $B$18*$B$16*$B$17/1000000, 0)</f>
        <v/>
      </c>
      <c r="T181" s="306">
        <f>R181-S181-C181</f>
        <v/>
      </c>
      <c r="U181" s="306">
        <f>IF(AND(A181&lt;=$B$24, T181&gt;0), T181*$B$23, 0)</f>
        <v/>
      </c>
      <c r="V181" s="306">
        <f>T181-U181</f>
        <v/>
      </c>
      <c r="W181" s="306">
        <f>IF(AND(A181=$B$19, $B$21=1), K181*$B$20, 0)</f>
        <v/>
      </c>
      <c r="X181" s="306">
        <f>X180+V181+W181</f>
        <v/>
      </c>
    </row>
    <row r="182">
      <c r="A182" s="306" t="n">
        <v>152</v>
      </c>
      <c r="B182" s="306">
        <f>CEILING(A182/12,1)</f>
        <v/>
      </c>
      <c r="C182" s="306">
        <f>IF(A182&lt;=12, $B$15/12, 0)</f>
        <v/>
      </c>
      <c r="D182" s="306">
        <f>INDEX('26. Team Comp'!$D$28:$R$28, B182) * 0.001 / 12</f>
        <v/>
      </c>
      <c r="E182" s="306">
        <f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) * 200 / 12 / 1000</f>
        <v/>
      </c>
      <c r="F182" s="306">
        <f>IF(A182&lt;$F$6,0,IF(AND($B$21=1,A182&gt;$B$19),0,$E$6*$G$6^MIN((A182-$F$6)/12,6)*MIN($G$6,0.85)^MAX(0,(A182-$F$6)/12-6)))</f>
        <v/>
      </c>
      <c r="G182" s="306">
        <f>IF(A182&lt;$F$7,0,IF(AND($B$21=1,A182&gt;$B$19),0,$E$7*$G$7^MIN((A182-$F$7)/12,6)*MIN($G$7,0.85)^MAX(0,(A182-$F$7)/12-6)))</f>
        <v/>
      </c>
      <c r="H182" s="306">
        <f>IF(A182&lt;$F$8,0,IF(AND($B$21=1,A182&gt;$B$19),0,$E$8*$G$8^MIN((A182-$F$8)/12,6)*MIN($G$8,0.85)^MAX(0,(A182-$F$8)/12-6)))</f>
        <v/>
      </c>
      <c r="I182" s="306">
        <f>IF(A182&lt;$F$9,0,IF(AND($B$21=1,A182&gt;$B$19),0,$E$9*$G$9^MIN((A182-$F$9)/12,6)*MIN($G$9,0.85)^MAX(0,(A182-$F$9)/12-6)))</f>
        <v/>
      </c>
      <c r="J182" s="306">
        <f>IF(A182&lt;$F$10,0,IF(AND($B$21=1,A182&gt;$B$19),0,$E$10*$G$10^MIN((A182-$F$10)/12,6)*MIN($G$10,0.85)^MAX(0,(A182-$F$10)/12-6)))</f>
        <v/>
      </c>
      <c r="K182" s="306">
        <f>SUM(F182:J182)</f>
        <v/>
      </c>
      <c r="L182" s="306">
        <f>K182/12</f>
        <v/>
      </c>
      <c r="M182" s="306">
        <f>L182*$B$8</f>
        <v/>
      </c>
      <c r="N182" s="306">
        <f>L182*$B$9</f>
        <v/>
      </c>
      <c r="O182" s="306">
        <f>L182*$B$10</f>
        <v/>
      </c>
      <c r="P182" s="306">
        <f>L182-M182-N182-O182-D182-E182</f>
        <v/>
      </c>
      <c r="Q182" s="306">
        <f>MAX(0, P182 - $B$7*L182)</f>
        <v/>
      </c>
      <c r="R182" s="306">
        <f>P182-Q182</f>
        <v/>
      </c>
      <c r="S182" s="306">
        <f>IF(A182=$F$6, $B$18*$B$16*$B$17/1000000, 0) + IF(A182=$F$7, $B$18*$B$16*$B$17/1000000, 0) + IF(A182=$F$8, $B$18*$B$16*$B$17/1000000, 0) + IF(A182=$F$9, $B$18*$B$16*$B$17/1000000, 0) + IF(A182=$F$10, $B$18*$B$16*$B$17/1000000, 0)</f>
        <v/>
      </c>
      <c r="T182" s="306">
        <f>R182-S182-C182</f>
        <v/>
      </c>
      <c r="U182" s="306">
        <f>IF(AND(A182&lt;=$B$24, T182&gt;0), T182*$B$23, 0)</f>
        <v/>
      </c>
      <c r="V182" s="306">
        <f>T182-U182</f>
        <v/>
      </c>
      <c r="W182" s="306">
        <f>IF(AND(A182=$B$19, $B$21=1), K182*$B$20, 0)</f>
        <v/>
      </c>
      <c r="X182" s="306">
        <f>X181+V182+W182</f>
        <v/>
      </c>
    </row>
    <row r="183">
      <c r="A183" s="306" t="n">
        <v>153</v>
      </c>
      <c r="B183" s="306">
        <f>CEILING(A183/12,1)</f>
        <v/>
      </c>
      <c r="C183" s="306">
        <f>IF(A183&lt;=12, $B$15/12, 0)</f>
        <v/>
      </c>
      <c r="D183" s="306">
        <f>INDEX('26. Team Comp'!$D$28:$R$28, B183) * 0.001 / 12</f>
        <v/>
      </c>
      <c r="E183" s="306">
        <f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) * 200 / 12 / 1000</f>
        <v/>
      </c>
      <c r="F183" s="306">
        <f>IF(A183&lt;$F$6,0,IF(AND($B$21=1,A183&gt;$B$19),0,$E$6*$G$6^MIN((A183-$F$6)/12,6)*MIN($G$6,0.85)^MAX(0,(A183-$F$6)/12-6)))</f>
        <v/>
      </c>
      <c r="G183" s="306">
        <f>IF(A183&lt;$F$7,0,IF(AND($B$21=1,A183&gt;$B$19),0,$E$7*$G$7^MIN((A183-$F$7)/12,6)*MIN($G$7,0.85)^MAX(0,(A183-$F$7)/12-6)))</f>
        <v/>
      </c>
      <c r="H183" s="306">
        <f>IF(A183&lt;$F$8,0,IF(AND($B$21=1,A183&gt;$B$19),0,$E$8*$G$8^MIN((A183-$F$8)/12,6)*MIN($G$8,0.85)^MAX(0,(A183-$F$8)/12-6)))</f>
        <v/>
      </c>
      <c r="I183" s="306">
        <f>IF(A183&lt;$F$9,0,IF(AND($B$21=1,A183&gt;$B$19),0,$E$9*$G$9^MIN((A183-$F$9)/12,6)*MIN($G$9,0.85)^MAX(0,(A183-$F$9)/12-6)))</f>
        <v/>
      </c>
      <c r="J183" s="306">
        <f>IF(A183&lt;$F$10,0,IF(AND($B$21=1,A183&gt;$B$19),0,$E$10*$G$10^MIN((A183-$F$10)/12,6)*MIN($G$10,0.85)^MAX(0,(A183-$F$10)/12-6)))</f>
        <v/>
      </c>
      <c r="K183" s="306">
        <f>SUM(F183:J183)</f>
        <v/>
      </c>
      <c r="L183" s="306">
        <f>K183/12</f>
        <v/>
      </c>
      <c r="M183" s="306">
        <f>L183*$B$8</f>
        <v/>
      </c>
      <c r="N183" s="306">
        <f>L183*$B$9</f>
        <v/>
      </c>
      <c r="O183" s="306">
        <f>L183*$B$10</f>
        <v/>
      </c>
      <c r="P183" s="306">
        <f>L183-M183-N183-O183-D183-E183</f>
        <v/>
      </c>
      <c r="Q183" s="306">
        <f>MAX(0, P183 - $B$7*L183)</f>
        <v/>
      </c>
      <c r="R183" s="306">
        <f>P183-Q183</f>
        <v/>
      </c>
      <c r="S183" s="306">
        <f>IF(A183=$F$6, $B$18*$B$16*$B$17/1000000, 0) + IF(A183=$F$7, $B$18*$B$16*$B$17/1000000, 0) + IF(A183=$F$8, $B$18*$B$16*$B$17/1000000, 0) + IF(A183=$F$9, $B$18*$B$16*$B$17/1000000, 0) + IF(A183=$F$10, $B$18*$B$16*$B$17/1000000, 0)</f>
        <v/>
      </c>
      <c r="T183" s="306">
        <f>R183-S183-C183</f>
        <v/>
      </c>
      <c r="U183" s="306">
        <f>IF(AND(A183&lt;=$B$24, T183&gt;0), T183*$B$23, 0)</f>
        <v/>
      </c>
      <c r="V183" s="306">
        <f>T183-U183</f>
        <v/>
      </c>
      <c r="W183" s="306">
        <f>IF(AND(A183=$B$19, $B$21=1), K183*$B$20, 0)</f>
        <v/>
      </c>
      <c r="X183" s="306">
        <f>X182+V183+W183</f>
        <v/>
      </c>
    </row>
    <row r="184">
      <c r="A184" s="306" t="n">
        <v>154</v>
      </c>
      <c r="B184" s="306">
        <f>CEILING(A184/12,1)</f>
        <v/>
      </c>
      <c r="C184" s="306">
        <f>IF(A184&lt;=12, $B$15/12, 0)</f>
        <v/>
      </c>
      <c r="D184" s="306">
        <f>INDEX('26. Team Comp'!$D$28:$R$28, B184) * 0.001 / 12</f>
        <v/>
      </c>
      <c r="E184" s="306">
        <f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) * 200 / 12 / 1000</f>
        <v/>
      </c>
      <c r="F184" s="306">
        <f>IF(A184&lt;$F$6,0,IF(AND($B$21=1,A184&gt;$B$19),0,$E$6*$G$6^MIN((A184-$F$6)/12,6)*MIN($G$6,0.85)^MAX(0,(A184-$F$6)/12-6)))</f>
        <v/>
      </c>
      <c r="G184" s="306">
        <f>IF(A184&lt;$F$7,0,IF(AND($B$21=1,A184&gt;$B$19),0,$E$7*$G$7^MIN((A184-$F$7)/12,6)*MIN($G$7,0.85)^MAX(0,(A184-$F$7)/12-6)))</f>
        <v/>
      </c>
      <c r="H184" s="306">
        <f>IF(A184&lt;$F$8,0,IF(AND($B$21=1,A184&gt;$B$19),0,$E$8*$G$8^MIN((A184-$F$8)/12,6)*MIN($G$8,0.85)^MAX(0,(A184-$F$8)/12-6)))</f>
        <v/>
      </c>
      <c r="I184" s="306">
        <f>IF(A184&lt;$F$9,0,IF(AND($B$21=1,A184&gt;$B$19),0,$E$9*$G$9^MIN((A184-$F$9)/12,6)*MIN($G$9,0.85)^MAX(0,(A184-$F$9)/12-6)))</f>
        <v/>
      </c>
      <c r="J184" s="306">
        <f>IF(A184&lt;$F$10,0,IF(AND($B$21=1,A184&gt;$B$19),0,$E$10*$G$10^MIN((A184-$F$10)/12,6)*MIN($G$10,0.85)^MAX(0,(A184-$F$10)/12-6)))</f>
        <v/>
      </c>
      <c r="K184" s="306">
        <f>SUM(F184:J184)</f>
        <v/>
      </c>
      <c r="L184" s="306">
        <f>K184/12</f>
        <v/>
      </c>
      <c r="M184" s="306">
        <f>L184*$B$8</f>
        <v/>
      </c>
      <c r="N184" s="306">
        <f>L184*$B$9</f>
        <v/>
      </c>
      <c r="O184" s="306">
        <f>L184*$B$10</f>
        <v/>
      </c>
      <c r="P184" s="306">
        <f>L184-M184-N184-O184-D184-E184</f>
        <v/>
      </c>
      <c r="Q184" s="306">
        <f>MAX(0, P184 - $B$7*L184)</f>
        <v/>
      </c>
      <c r="R184" s="306">
        <f>P184-Q184</f>
        <v/>
      </c>
      <c r="S184" s="306">
        <f>IF(A184=$F$6, $B$18*$B$16*$B$17/1000000, 0) + IF(A184=$F$7, $B$18*$B$16*$B$17/1000000, 0) + IF(A184=$F$8, $B$18*$B$16*$B$17/1000000, 0) + IF(A184=$F$9, $B$18*$B$16*$B$17/1000000, 0) + IF(A184=$F$10, $B$18*$B$16*$B$17/1000000, 0)</f>
        <v/>
      </c>
      <c r="T184" s="306">
        <f>R184-S184-C184</f>
        <v/>
      </c>
      <c r="U184" s="306">
        <f>IF(AND(A184&lt;=$B$24, T184&gt;0), T184*$B$23, 0)</f>
        <v/>
      </c>
      <c r="V184" s="306">
        <f>T184-U184</f>
        <v/>
      </c>
      <c r="W184" s="306">
        <f>IF(AND(A184=$B$19, $B$21=1), K184*$B$20, 0)</f>
        <v/>
      </c>
      <c r="X184" s="306">
        <f>X183+V184+W184</f>
        <v/>
      </c>
    </row>
    <row r="185">
      <c r="A185" s="306" t="n">
        <v>155</v>
      </c>
      <c r="B185" s="306">
        <f>CEILING(A185/12,1)</f>
        <v/>
      </c>
      <c r="C185" s="306">
        <f>IF(A185&lt;=12, $B$15/12, 0)</f>
        <v/>
      </c>
      <c r="D185" s="306">
        <f>INDEX('26. Team Comp'!$D$28:$R$28, B185) * 0.001 / 12</f>
        <v/>
      </c>
      <c r="E185" s="306">
        <f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) * 200 / 12 / 1000</f>
        <v/>
      </c>
      <c r="F185" s="306">
        <f>IF(A185&lt;$F$6,0,IF(AND($B$21=1,A185&gt;$B$19),0,$E$6*$G$6^MIN((A185-$F$6)/12,6)*MIN($G$6,0.85)^MAX(0,(A185-$F$6)/12-6)))</f>
        <v/>
      </c>
      <c r="G185" s="306">
        <f>IF(A185&lt;$F$7,0,IF(AND($B$21=1,A185&gt;$B$19),0,$E$7*$G$7^MIN((A185-$F$7)/12,6)*MIN($G$7,0.85)^MAX(0,(A185-$F$7)/12-6)))</f>
        <v/>
      </c>
      <c r="H185" s="306">
        <f>IF(A185&lt;$F$8,0,IF(AND($B$21=1,A185&gt;$B$19),0,$E$8*$G$8^MIN((A185-$F$8)/12,6)*MIN($G$8,0.85)^MAX(0,(A185-$F$8)/12-6)))</f>
        <v/>
      </c>
      <c r="I185" s="306">
        <f>IF(A185&lt;$F$9,0,IF(AND($B$21=1,A185&gt;$B$19),0,$E$9*$G$9^MIN((A185-$F$9)/12,6)*MIN($G$9,0.85)^MAX(0,(A185-$F$9)/12-6)))</f>
        <v/>
      </c>
      <c r="J185" s="306">
        <f>IF(A185&lt;$F$10,0,IF(AND($B$21=1,A185&gt;$B$19),0,$E$10*$G$10^MIN((A185-$F$10)/12,6)*MIN($G$10,0.85)^MAX(0,(A185-$F$10)/12-6)))</f>
        <v/>
      </c>
      <c r="K185" s="306">
        <f>SUM(F185:J185)</f>
        <v/>
      </c>
      <c r="L185" s="306">
        <f>K185/12</f>
        <v/>
      </c>
      <c r="M185" s="306">
        <f>L185*$B$8</f>
        <v/>
      </c>
      <c r="N185" s="306">
        <f>L185*$B$9</f>
        <v/>
      </c>
      <c r="O185" s="306">
        <f>L185*$B$10</f>
        <v/>
      </c>
      <c r="P185" s="306">
        <f>L185-M185-N185-O185-D185-E185</f>
        <v/>
      </c>
      <c r="Q185" s="306">
        <f>MAX(0, P185 - $B$7*L185)</f>
        <v/>
      </c>
      <c r="R185" s="306">
        <f>P185-Q185</f>
        <v/>
      </c>
      <c r="S185" s="306">
        <f>IF(A185=$F$6, $B$18*$B$16*$B$17/1000000, 0) + IF(A185=$F$7, $B$18*$B$16*$B$17/1000000, 0) + IF(A185=$F$8, $B$18*$B$16*$B$17/1000000, 0) + IF(A185=$F$9, $B$18*$B$16*$B$17/1000000, 0) + IF(A185=$F$10, $B$18*$B$16*$B$17/1000000, 0)</f>
        <v/>
      </c>
      <c r="T185" s="306">
        <f>R185-S185-C185</f>
        <v/>
      </c>
      <c r="U185" s="306">
        <f>IF(AND(A185&lt;=$B$24, T185&gt;0), T185*$B$23, 0)</f>
        <v/>
      </c>
      <c r="V185" s="306">
        <f>T185-U185</f>
        <v/>
      </c>
      <c r="W185" s="306">
        <f>IF(AND(A185=$B$19, $B$21=1), K185*$B$20, 0)</f>
        <v/>
      </c>
      <c r="X185" s="306">
        <f>X184+V185+W185</f>
        <v/>
      </c>
    </row>
    <row r="186">
      <c r="A186" s="306" t="n">
        <v>156</v>
      </c>
      <c r="B186" s="306">
        <f>CEILING(A186/12,1)</f>
        <v/>
      </c>
      <c r="C186" s="306">
        <f>IF(A186&lt;=12, $B$15/12, 0)</f>
        <v/>
      </c>
      <c r="D186" s="306">
        <f>INDEX('26. Team Comp'!$D$28:$R$28, B186) * 0.001 / 12</f>
        <v/>
      </c>
      <c r="E186" s="306">
        <f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) * 200 / 12 / 1000</f>
        <v/>
      </c>
      <c r="F186" s="306">
        <f>IF(A186&lt;$F$6,0,IF(AND($B$21=1,A186&gt;$B$19),0,$E$6*$G$6^MIN((A186-$F$6)/12,6)*MIN($G$6,0.85)^MAX(0,(A186-$F$6)/12-6)))</f>
        <v/>
      </c>
      <c r="G186" s="306">
        <f>IF(A186&lt;$F$7,0,IF(AND($B$21=1,A186&gt;$B$19),0,$E$7*$G$7^MIN((A186-$F$7)/12,6)*MIN($G$7,0.85)^MAX(0,(A186-$F$7)/12-6)))</f>
        <v/>
      </c>
      <c r="H186" s="306">
        <f>IF(A186&lt;$F$8,0,IF(AND($B$21=1,A186&gt;$B$19),0,$E$8*$G$8^MIN((A186-$F$8)/12,6)*MIN($G$8,0.85)^MAX(0,(A186-$F$8)/12-6)))</f>
        <v/>
      </c>
      <c r="I186" s="306">
        <f>IF(A186&lt;$F$9,0,IF(AND($B$21=1,A186&gt;$B$19),0,$E$9*$G$9^MIN((A186-$F$9)/12,6)*MIN($G$9,0.85)^MAX(0,(A186-$F$9)/12-6)))</f>
        <v/>
      </c>
      <c r="J186" s="306">
        <f>IF(A186&lt;$F$10,0,IF(AND($B$21=1,A186&gt;$B$19),0,$E$10*$G$10^MIN((A186-$F$10)/12,6)*MIN($G$10,0.85)^MAX(0,(A186-$F$10)/12-6)))</f>
        <v/>
      </c>
      <c r="K186" s="306">
        <f>SUM(F186:J186)</f>
        <v/>
      </c>
      <c r="L186" s="306">
        <f>K186/12</f>
        <v/>
      </c>
      <c r="M186" s="306">
        <f>L186*$B$8</f>
        <v/>
      </c>
      <c r="N186" s="306">
        <f>L186*$B$9</f>
        <v/>
      </c>
      <c r="O186" s="306">
        <f>L186*$B$10</f>
        <v/>
      </c>
      <c r="P186" s="306">
        <f>L186-M186-N186-O186-D186-E186</f>
        <v/>
      </c>
      <c r="Q186" s="306">
        <f>MAX(0, P186 - $B$7*L186)</f>
        <v/>
      </c>
      <c r="R186" s="306">
        <f>P186-Q186</f>
        <v/>
      </c>
      <c r="S186" s="306">
        <f>IF(A186=$F$6, $B$18*$B$16*$B$17/1000000, 0) + IF(A186=$F$7, $B$18*$B$16*$B$17/1000000, 0) + IF(A186=$F$8, $B$18*$B$16*$B$17/1000000, 0) + IF(A186=$F$9, $B$18*$B$16*$B$17/1000000, 0) + IF(A186=$F$10, $B$18*$B$16*$B$17/1000000, 0)</f>
        <v/>
      </c>
      <c r="T186" s="306">
        <f>R186-S186-C186</f>
        <v/>
      </c>
      <c r="U186" s="306">
        <f>IF(AND(A186&lt;=$B$24, T186&gt;0), T186*$B$23, 0)</f>
        <v/>
      </c>
      <c r="V186" s="306">
        <f>T186-U186</f>
        <v/>
      </c>
      <c r="W186" s="306">
        <f>IF(AND(A186=$B$19, $B$21=1), K186*$B$20, 0)</f>
        <v/>
      </c>
      <c r="X186" s="306">
        <f>X185+V186+W186</f>
        <v/>
      </c>
    </row>
    <row r="187">
      <c r="A187" s="306" t="n">
        <v>157</v>
      </c>
      <c r="B187" s="306">
        <f>CEILING(A187/12,1)</f>
        <v/>
      </c>
      <c r="C187" s="306">
        <f>IF(A187&lt;=12, $B$15/12, 0)</f>
        <v/>
      </c>
      <c r="D187" s="306">
        <f>INDEX('26. Team Comp'!$D$28:$R$28, B187) * 0.001 / 12</f>
        <v/>
      </c>
      <c r="E187" s="306">
        <f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) * 200 / 12 / 1000</f>
        <v/>
      </c>
      <c r="F187" s="306">
        <f>IF(A187&lt;$F$6,0,IF(AND($B$21=1,A187&gt;$B$19),0,$E$6*$G$6^MIN((A187-$F$6)/12,6)*MIN($G$6,0.85)^MAX(0,(A187-$F$6)/12-6)))</f>
        <v/>
      </c>
      <c r="G187" s="306">
        <f>IF(A187&lt;$F$7,0,IF(AND($B$21=1,A187&gt;$B$19),0,$E$7*$G$7^MIN((A187-$F$7)/12,6)*MIN($G$7,0.85)^MAX(0,(A187-$F$7)/12-6)))</f>
        <v/>
      </c>
      <c r="H187" s="306">
        <f>IF(A187&lt;$F$8,0,IF(AND($B$21=1,A187&gt;$B$19),0,$E$8*$G$8^MIN((A187-$F$8)/12,6)*MIN($G$8,0.85)^MAX(0,(A187-$F$8)/12-6)))</f>
        <v/>
      </c>
      <c r="I187" s="306">
        <f>IF(A187&lt;$F$9,0,IF(AND($B$21=1,A187&gt;$B$19),0,$E$9*$G$9^MIN((A187-$F$9)/12,6)*MIN($G$9,0.85)^MAX(0,(A187-$F$9)/12-6)))</f>
        <v/>
      </c>
      <c r="J187" s="306">
        <f>IF(A187&lt;$F$10,0,IF(AND($B$21=1,A187&gt;$B$19),0,$E$10*$G$10^MIN((A187-$F$10)/12,6)*MIN($G$10,0.85)^MAX(0,(A187-$F$10)/12-6)))</f>
        <v/>
      </c>
      <c r="K187" s="306">
        <f>SUM(F187:J187)</f>
        <v/>
      </c>
      <c r="L187" s="306">
        <f>K187/12</f>
        <v/>
      </c>
      <c r="M187" s="306">
        <f>L187*$B$8</f>
        <v/>
      </c>
      <c r="N187" s="306">
        <f>L187*$B$9</f>
        <v/>
      </c>
      <c r="O187" s="306">
        <f>L187*$B$10</f>
        <v/>
      </c>
      <c r="P187" s="306">
        <f>L187-M187-N187-O187-D187-E187</f>
        <v/>
      </c>
      <c r="Q187" s="306">
        <f>MAX(0, P187 - $B$7*L187)</f>
        <v/>
      </c>
      <c r="R187" s="306">
        <f>P187-Q187</f>
        <v/>
      </c>
      <c r="S187" s="306">
        <f>IF(A187=$F$6, $B$18*$B$16*$B$17/1000000, 0) + IF(A187=$F$7, $B$18*$B$16*$B$17/1000000, 0) + IF(A187=$F$8, $B$18*$B$16*$B$17/1000000, 0) + IF(A187=$F$9, $B$18*$B$16*$B$17/1000000, 0) + IF(A187=$F$10, $B$18*$B$16*$B$17/1000000, 0)</f>
        <v/>
      </c>
      <c r="T187" s="306">
        <f>R187-S187-C187</f>
        <v/>
      </c>
      <c r="U187" s="306">
        <f>IF(AND(A187&lt;=$B$24, T187&gt;0), T187*$B$23, 0)</f>
        <v/>
      </c>
      <c r="V187" s="306">
        <f>T187-U187</f>
        <v/>
      </c>
      <c r="W187" s="306">
        <f>IF(AND(A187=$B$19, $B$21=1), K187*$B$20, 0)</f>
        <v/>
      </c>
      <c r="X187" s="306">
        <f>X186+V187+W187</f>
        <v/>
      </c>
    </row>
    <row r="188">
      <c r="A188" s="306" t="n">
        <v>158</v>
      </c>
      <c r="B188" s="306">
        <f>CEILING(A188/12,1)</f>
        <v/>
      </c>
      <c r="C188" s="306">
        <f>IF(A188&lt;=12, $B$15/12, 0)</f>
        <v/>
      </c>
      <c r="D188" s="306">
        <f>INDEX('26. Team Comp'!$D$28:$R$28, B188) * 0.001 / 12</f>
        <v/>
      </c>
      <c r="E188" s="306">
        <f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) * 200 / 12 / 1000</f>
        <v/>
      </c>
      <c r="F188" s="306">
        <f>IF(A188&lt;$F$6,0,IF(AND($B$21=1,A188&gt;$B$19),0,$E$6*$G$6^MIN((A188-$F$6)/12,6)*MIN($G$6,0.85)^MAX(0,(A188-$F$6)/12-6)))</f>
        <v/>
      </c>
      <c r="G188" s="306">
        <f>IF(A188&lt;$F$7,0,IF(AND($B$21=1,A188&gt;$B$19),0,$E$7*$G$7^MIN((A188-$F$7)/12,6)*MIN($G$7,0.85)^MAX(0,(A188-$F$7)/12-6)))</f>
        <v/>
      </c>
      <c r="H188" s="306">
        <f>IF(A188&lt;$F$8,0,IF(AND($B$21=1,A188&gt;$B$19),0,$E$8*$G$8^MIN((A188-$F$8)/12,6)*MIN($G$8,0.85)^MAX(0,(A188-$F$8)/12-6)))</f>
        <v/>
      </c>
      <c r="I188" s="306">
        <f>IF(A188&lt;$F$9,0,IF(AND($B$21=1,A188&gt;$B$19),0,$E$9*$G$9^MIN((A188-$F$9)/12,6)*MIN($G$9,0.85)^MAX(0,(A188-$F$9)/12-6)))</f>
        <v/>
      </c>
      <c r="J188" s="306">
        <f>IF(A188&lt;$F$10,0,IF(AND($B$21=1,A188&gt;$B$19),0,$E$10*$G$10^MIN((A188-$F$10)/12,6)*MIN($G$10,0.85)^MAX(0,(A188-$F$10)/12-6)))</f>
        <v/>
      </c>
      <c r="K188" s="306">
        <f>SUM(F188:J188)</f>
        <v/>
      </c>
      <c r="L188" s="306">
        <f>K188/12</f>
        <v/>
      </c>
      <c r="M188" s="306">
        <f>L188*$B$8</f>
        <v/>
      </c>
      <c r="N188" s="306">
        <f>L188*$B$9</f>
        <v/>
      </c>
      <c r="O188" s="306">
        <f>L188*$B$10</f>
        <v/>
      </c>
      <c r="P188" s="306">
        <f>L188-M188-N188-O188-D188-E188</f>
        <v/>
      </c>
      <c r="Q188" s="306">
        <f>MAX(0, P188 - $B$7*L188)</f>
        <v/>
      </c>
      <c r="R188" s="306">
        <f>P188-Q188</f>
        <v/>
      </c>
      <c r="S188" s="306">
        <f>IF(A188=$F$6, $B$18*$B$16*$B$17/1000000, 0) + IF(A188=$F$7, $B$18*$B$16*$B$17/1000000, 0) + IF(A188=$F$8, $B$18*$B$16*$B$17/1000000, 0) + IF(A188=$F$9, $B$18*$B$16*$B$17/1000000, 0) + IF(A188=$F$10, $B$18*$B$16*$B$17/1000000, 0)</f>
        <v/>
      </c>
      <c r="T188" s="306">
        <f>R188-S188-C188</f>
        <v/>
      </c>
      <c r="U188" s="306">
        <f>IF(AND(A188&lt;=$B$24, T188&gt;0), T188*$B$23, 0)</f>
        <v/>
      </c>
      <c r="V188" s="306">
        <f>T188-U188</f>
        <v/>
      </c>
      <c r="W188" s="306">
        <f>IF(AND(A188=$B$19, $B$21=1), K188*$B$20, 0)</f>
        <v/>
      </c>
      <c r="X188" s="306">
        <f>X187+V188+W188</f>
        <v/>
      </c>
    </row>
    <row r="189">
      <c r="A189" s="306" t="n">
        <v>159</v>
      </c>
      <c r="B189" s="306">
        <f>CEILING(A189/12,1)</f>
        <v/>
      </c>
      <c r="C189" s="306">
        <f>IF(A189&lt;=12, $B$15/12, 0)</f>
        <v/>
      </c>
      <c r="D189" s="306">
        <f>INDEX('26. Team Comp'!$D$28:$R$28, B189) * 0.001 / 12</f>
        <v/>
      </c>
      <c r="E189" s="306">
        <f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) * 200 / 12 / 1000</f>
        <v/>
      </c>
      <c r="F189" s="306">
        <f>IF(A189&lt;$F$6,0,IF(AND($B$21=1,A189&gt;$B$19),0,$E$6*$G$6^MIN((A189-$F$6)/12,6)*MIN($G$6,0.85)^MAX(0,(A189-$F$6)/12-6)))</f>
        <v/>
      </c>
      <c r="G189" s="306">
        <f>IF(A189&lt;$F$7,0,IF(AND($B$21=1,A189&gt;$B$19),0,$E$7*$G$7^MIN((A189-$F$7)/12,6)*MIN($G$7,0.85)^MAX(0,(A189-$F$7)/12-6)))</f>
        <v/>
      </c>
      <c r="H189" s="306">
        <f>IF(A189&lt;$F$8,0,IF(AND($B$21=1,A189&gt;$B$19),0,$E$8*$G$8^MIN((A189-$F$8)/12,6)*MIN($G$8,0.85)^MAX(0,(A189-$F$8)/12-6)))</f>
        <v/>
      </c>
      <c r="I189" s="306">
        <f>IF(A189&lt;$F$9,0,IF(AND($B$21=1,A189&gt;$B$19),0,$E$9*$G$9^MIN((A189-$F$9)/12,6)*MIN($G$9,0.85)^MAX(0,(A189-$F$9)/12-6)))</f>
        <v/>
      </c>
      <c r="J189" s="306">
        <f>IF(A189&lt;$F$10,0,IF(AND($B$21=1,A189&gt;$B$19),0,$E$10*$G$10^MIN((A189-$F$10)/12,6)*MIN($G$10,0.85)^MAX(0,(A189-$F$10)/12-6)))</f>
        <v/>
      </c>
      <c r="K189" s="306">
        <f>SUM(F189:J189)</f>
        <v/>
      </c>
      <c r="L189" s="306">
        <f>K189/12</f>
        <v/>
      </c>
      <c r="M189" s="306">
        <f>L189*$B$8</f>
        <v/>
      </c>
      <c r="N189" s="306">
        <f>L189*$B$9</f>
        <v/>
      </c>
      <c r="O189" s="306">
        <f>L189*$B$10</f>
        <v/>
      </c>
      <c r="P189" s="306">
        <f>L189-M189-N189-O189-D189-E189</f>
        <v/>
      </c>
      <c r="Q189" s="306">
        <f>MAX(0, P189 - $B$7*L189)</f>
        <v/>
      </c>
      <c r="R189" s="306">
        <f>P189-Q189</f>
        <v/>
      </c>
      <c r="S189" s="306">
        <f>IF(A189=$F$6, $B$18*$B$16*$B$17/1000000, 0) + IF(A189=$F$7, $B$18*$B$16*$B$17/1000000, 0) + IF(A189=$F$8, $B$18*$B$16*$B$17/1000000, 0) + IF(A189=$F$9, $B$18*$B$16*$B$17/1000000, 0) + IF(A189=$F$10, $B$18*$B$16*$B$17/1000000, 0)</f>
        <v/>
      </c>
      <c r="T189" s="306">
        <f>R189-S189-C189</f>
        <v/>
      </c>
      <c r="U189" s="306">
        <f>IF(AND(A189&lt;=$B$24, T189&gt;0), T189*$B$23, 0)</f>
        <v/>
      </c>
      <c r="V189" s="306">
        <f>T189-U189</f>
        <v/>
      </c>
      <c r="W189" s="306">
        <f>IF(AND(A189=$B$19, $B$21=1), K189*$B$20, 0)</f>
        <v/>
      </c>
      <c r="X189" s="306">
        <f>X188+V189+W189</f>
        <v/>
      </c>
    </row>
    <row r="190">
      <c r="A190" s="306" t="n">
        <v>160</v>
      </c>
      <c r="B190" s="306">
        <f>CEILING(A190/12,1)</f>
        <v/>
      </c>
      <c r="C190" s="306">
        <f>IF(A190&lt;=12, $B$15/12, 0)</f>
        <v/>
      </c>
      <c r="D190" s="306">
        <f>INDEX('26. Team Comp'!$D$28:$R$28, B190) * 0.001 / 12</f>
        <v/>
      </c>
      <c r="E190" s="306">
        <f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) * 200 / 12 / 1000</f>
        <v/>
      </c>
      <c r="F190" s="306">
        <f>IF(A190&lt;$F$6,0,IF(AND($B$21=1,A190&gt;$B$19),0,$E$6*$G$6^MIN((A190-$F$6)/12,6)*MIN($G$6,0.85)^MAX(0,(A190-$F$6)/12-6)))</f>
        <v/>
      </c>
      <c r="G190" s="306">
        <f>IF(A190&lt;$F$7,0,IF(AND($B$21=1,A190&gt;$B$19),0,$E$7*$G$7^MIN((A190-$F$7)/12,6)*MIN($G$7,0.85)^MAX(0,(A190-$F$7)/12-6)))</f>
        <v/>
      </c>
      <c r="H190" s="306">
        <f>IF(A190&lt;$F$8,0,IF(AND($B$21=1,A190&gt;$B$19),0,$E$8*$G$8^MIN((A190-$F$8)/12,6)*MIN($G$8,0.85)^MAX(0,(A190-$F$8)/12-6)))</f>
        <v/>
      </c>
      <c r="I190" s="306">
        <f>IF(A190&lt;$F$9,0,IF(AND($B$21=1,A190&gt;$B$19),0,$E$9*$G$9^MIN((A190-$F$9)/12,6)*MIN($G$9,0.85)^MAX(0,(A190-$F$9)/12-6)))</f>
        <v/>
      </c>
      <c r="J190" s="306">
        <f>IF(A190&lt;$F$10,0,IF(AND($B$21=1,A190&gt;$B$19),0,$E$10*$G$10^MIN((A190-$F$10)/12,6)*MIN($G$10,0.85)^MAX(0,(A190-$F$10)/12-6)))</f>
        <v/>
      </c>
      <c r="K190" s="306">
        <f>SUM(F190:J190)</f>
        <v/>
      </c>
      <c r="L190" s="306">
        <f>K190/12</f>
        <v/>
      </c>
      <c r="M190" s="306">
        <f>L190*$B$8</f>
        <v/>
      </c>
      <c r="N190" s="306">
        <f>L190*$B$9</f>
        <v/>
      </c>
      <c r="O190" s="306">
        <f>L190*$B$10</f>
        <v/>
      </c>
      <c r="P190" s="306">
        <f>L190-M190-N190-O190-D190-E190</f>
        <v/>
      </c>
      <c r="Q190" s="306">
        <f>MAX(0, P190 - $B$7*L190)</f>
        <v/>
      </c>
      <c r="R190" s="306">
        <f>P190-Q190</f>
        <v/>
      </c>
      <c r="S190" s="306">
        <f>IF(A190=$F$6, $B$18*$B$16*$B$17/1000000, 0) + IF(A190=$F$7, $B$18*$B$16*$B$17/1000000, 0) + IF(A190=$F$8, $B$18*$B$16*$B$17/1000000, 0) + IF(A190=$F$9, $B$18*$B$16*$B$17/1000000, 0) + IF(A190=$F$10, $B$18*$B$16*$B$17/1000000, 0)</f>
        <v/>
      </c>
      <c r="T190" s="306">
        <f>R190-S190-C190</f>
        <v/>
      </c>
      <c r="U190" s="306">
        <f>IF(AND(A190&lt;=$B$24, T190&gt;0), T190*$B$23, 0)</f>
        <v/>
      </c>
      <c r="V190" s="306">
        <f>T190-U190</f>
        <v/>
      </c>
      <c r="W190" s="306">
        <f>IF(AND(A190=$B$19, $B$21=1), K190*$B$20, 0)</f>
        <v/>
      </c>
      <c r="X190" s="306">
        <f>X189+V190+W190</f>
        <v/>
      </c>
    </row>
    <row r="191">
      <c r="A191" s="306" t="n">
        <v>161</v>
      </c>
      <c r="B191" s="306">
        <f>CEILING(A191/12,1)</f>
        <v/>
      </c>
      <c r="C191" s="306">
        <f>IF(A191&lt;=12, $B$15/12, 0)</f>
        <v/>
      </c>
      <c r="D191" s="306">
        <f>INDEX('26. Team Comp'!$D$28:$R$28, B191) * 0.001 / 12</f>
        <v/>
      </c>
      <c r="E191" s="306">
        <f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) * 200 / 12 / 1000</f>
        <v/>
      </c>
      <c r="F191" s="306">
        <f>IF(A191&lt;$F$6,0,IF(AND($B$21=1,A191&gt;$B$19),0,$E$6*$G$6^MIN((A191-$F$6)/12,6)*MIN($G$6,0.85)^MAX(0,(A191-$F$6)/12-6)))</f>
        <v/>
      </c>
      <c r="G191" s="306">
        <f>IF(A191&lt;$F$7,0,IF(AND($B$21=1,A191&gt;$B$19),0,$E$7*$G$7^MIN((A191-$F$7)/12,6)*MIN($G$7,0.85)^MAX(0,(A191-$F$7)/12-6)))</f>
        <v/>
      </c>
      <c r="H191" s="306">
        <f>IF(A191&lt;$F$8,0,IF(AND($B$21=1,A191&gt;$B$19),0,$E$8*$G$8^MIN((A191-$F$8)/12,6)*MIN($G$8,0.85)^MAX(0,(A191-$F$8)/12-6)))</f>
        <v/>
      </c>
      <c r="I191" s="306">
        <f>IF(A191&lt;$F$9,0,IF(AND($B$21=1,A191&gt;$B$19),0,$E$9*$G$9^MIN((A191-$F$9)/12,6)*MIN($G$9,0.85)^MAX(0,(A191-$F$9)/12-6)))</f>
        <v/>
      </c>
      <c r="J191" s="306">
        <f>IF(A191&lt;$F$10,0,IF(AND($B$21=1,A191&gt;$B$19),0,$E$10*$G$10^MIN((A191-$F$10)/12,6)*MIN($G$10,0.85)^MAX(0,(A191-$F$10)/12-6)))</f>
        <v/>
      </c>
      <c r="K191" s="306">
        <f>SUM(F191:J191)</f>
        <v/>
      </c>
      <c r="L191" s="306">
        <f>K191/12</f>
        <v/>
      </c>
      <c r="M191" s="306">
        <f>L191*$B$8</f>
        <v/>
      </c>
      <c r="N191" s="306">
        <f>L191*$B$9</f>
        <v/>
      </c>
      <c r="O191" s="306">
        <f>L191*$B$10</f>
        <v/>
      </c>
      <c r="P191" s="306">
        <f>L191-M191-N191-O191-D191-E191</f>
        <v/>
      </c>
      <c r="Q191" s="306">
        <f>MAX(0, P191 - $B$7*L191)</f>
        <v/>
      </c>
      <c r="R191" s="306">
        <f>P191-Q191</f>
        <v/>
      </c>
      <c r="S191" s="306">
        <f>IF(A191=$F$6, $B$18*$B$16*$B$17/1000000, 0) + IF(A191=$F$7, $B$18*$B$16*$B$17/1000000, 0) + IF(A191=$F$8, $B$18*$B$16*$B$17/1000000, 0) + IF(A191=$F$9, $B$18*$B$16*$B$17/1000000, 0) + IF(A191=$F$10, $B$18*$B$16*$B$17/1000000, 0)</f>
        <v/>
      </c>
      <c r="T191" s="306">
        <f>R191-S191-C191</f>
        <v/>
      </c>
      <c r="U191" s="306">
        <f>IF(AND(A191&lt;=$B$24, T191&gt;0), T191*$B$23, 0)</f>
        <v/>
      </c>
      <c r="V191" s="306">
        <f>T191-U191</f>
        <v/>
      </c>
      <c r="W191" s="306">
        <f>IF(AND(A191=$B$19, $B$21=1), K191*$B$20, 0)</f>
        <v/>
      </c>
      <c r="X191" s="306">
        <f>X190+V191+W191</f>
        <v/>
      </c>
    </row>
    <row r="192">
      <c r="A192" s="306" t="n">
        <v>162</v>
      </c>
      <c r="B192" s="306">
        <f>CEILING(A192/12,1)</f>
        <v/>
      </c>
      <c r="C192" s="306">
        <f>IF(A192&lt;=12, $B$15/12, 0)</f>
        <v/>
      </c>
      <c r="D192" s="306">
        <f>INDEX('26. Team Comp'!$D$28:$R$28, B192) * 0.001 / 12</f>
        <v/>
      </c>
      <c r="E192" s="306">
        <f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) * 200 / 12 / 1000</f>
        <v/>
      </c>
      <c r="F192" s="306">
        <f>IF(A192&lt;$F$6,0,IF(AND($B$21=1,A192&gt;$B$19),0,$E$6*$G$6^MIN((A192-$F$6)/12,6)*MIN($G$6,0.85)^MAX(0,(A192-$F$6)/12-6)))</f>
        <v/>
      </c>
      <c r="G192" s="306">
        <f>IF(A192&lt;$F$7,0,IF(AND($B$21=1,A192&gt;$B$19),0,$E$7*$G$7^MIN((A192-$F$7)/12,6)*MIN($G$7,0.85)^MAX(0,(A192-$F$7)/12-6)))</f>
        <v/>
      </c>
      <c r="H192" s="306">
        <f>IF(A192&lt;$F$8,0,IF(AND($B$21=1,A192&gt;$B$19),0,$E$8*$G$8^MIN((A192-$F$8)/12,6)*MIN($G$8,0.85)^MAX(0,(A192-$F$8)/12-6)))</f>
        <v/>
      </c>
      <c r="I192" s="306">
        <f>IF(A192&lt;$F$9,0,IF(AND($B$21=1,A192&gt;$B$19),0,$E$9*$G$9^MIN((A192-$F$9)/12,6)*MIN($G$9,0.85)^MAX(0,(A192-$F$9)/12-6)))</f>
        <v/>
      </c>
      <c r="J192" s="306">
        <f>IF(A192&lt;$F$10,0,IF(AND($B$21=1,A192&gt;$B$19),0,$E$10*$G$10^MIN((A192-$F$10)/12,6)*MIN($G$10,0.85)^MAX(0,(A192-$F$10)/12-6)))</f>
        <v/>
      </c>
      <c r="K192" s="306">
        <f>SUM(F192:J192)</f>
        <v/>
      </c>
      <c r="L192" s="306">
        <f>K192/12</f>
        <v/>
      </c>
      <c r="M192" s="306">
        <f>L192*$B$8</f>
        <v/>
      </c>
      <c r="N192" s="306">
        <f>L192*$B$9</f>
        <v/>
      </c>
      <c r="O192" s="306">
        <f>L192*$B$10</f>
        <v/>
      </c>
      <c r="P192" s="306">
        <f>L192-M192-N192-O192-D192-E192</f>
        <v/>
      </c>
      <c r="Q192" s="306">
        <f>MAX(0, P192 - $B$7*L192)</f>
        <v/>
      </c>
      <c r="R192" s="306">
        <f>P192-Q192</f>
        <v/>
      </c>
      <c r="S192" s="306">
        <f>IF(A192=$F$6, $B$18*$B$16*$B$17/1000000, 0) + IF(A192=$F$7, $B$18*$B$16*$B$17/1000000, 0) + IF(A192=$F$8, $B$18*$B$16*$B$17/1000000, 0) + IF(A192=$F$9, $B$18*$B$16*$B$17/1000000, 0) + IF(A192=$F$10, $B$18*$B$16*$B$17/1000000, 0)</f>
        <v/>
      </c>
      <c r="T192" s="306">
        <f>R192-S192-C192</f>
        <v/>
      </c>
      <c r="U192" s="306">
        <f>IF(AND(A192&lt;=$B$24, T192&gt;0), T192*$B$23, 0)</f>
        <v/>
      </c>
      <c r="V192" s="306">
        <f>T192-U192</f>
        <v/>
      </c>
      <c r="W192" s="306">
        <f>IF(AND(A192=$B$19, $B$21=1), K192*$B$20, 0)</f>
        <v/>
      </c>
      <c r="X192" s="306">
        <f>X191+V192+W192</f>
        <v/>
      </c>
    </row>
    <row r="193">
      <c r="A193" s="306" t="n">
        <v>163</v>
      </c>
      <c r="B193" s="306">
        <f>CEILING(A193/12,1)</f>
        <v/>
      </c>
      <c r="C193" s="306">
        <f>IF(A193&lt;=12, $B$15/12, 0)</f>
        <v/>
      </c>
      <c r="D193" s="306">
        <f>INDEX('26. Team Comp'!$D$28:$R$28, B193) * 0.001 / 12</f>
        <v/>
      </c>
      <c r="E193" s="306">
        <f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) * 200 / 12 / 1000</f>
        <v/>
      </c>
      <c r="F193" s="306">
        <f>IF(A193&lt;$F$6,0,IF(AND($B$21=1,A193&gt;$B$19),0,$E$6*$G$6^MIN((A193-$F$6)/12,6)*MIN($G$6,0.85)^MAX(0,(A193-$F$6)/12-6)))</f>
        <v/>
      </c>
      <c r="G193" s="306">
        <f>IF(A193&lt;$F$7,0,IF(AND($B$21=1,A193&gt;$B$19),0,$E$7*$G$7^MIN((A193-$F$7)/12,6)*MIN($G$7,0.85)^MAX(0,(A193-$F$7)/12-6)))</f>
        <v/>
      </c>
      <c r="H193" s="306">
        <f>IF(A193&lt;$F$8,0,IF(AND($B$21=1,A193&gt;$B$19),0,$E$8*$G$8^MIN((A193-$F$8)/12,6)*MIN($G$8,0.85)^MAX(0,(A193-$F$8)/12-6)))</f>
        <v/>
      </c>
      <c r="I193" s="306">
        <f>IF(A193&lt;$F$9,0,IF(AND($B$21=1,A193&gt;$B$19),0,$E$9*$G$9^MIN((A193-$F$9)/12,6)*MIN($G$9,0.85)^MAX(0,(A193-$F$9)/12-6)))</f>
        <v/>
      </c>
      <c r="J193" s="306">
        <f>IF(A193&lt;$F$10,0,IF(AND($B$21=1,A193&gt;$B$19),0,$E$10*$G$10^MIN((A193-$F$10)/12,6)*MIN($G$10,0.85)^MAX(0,(A193-$F$10)/12-6)))</f>
        <v/>
      </c>
      <c r="K193" s="306">
        <f>SUM(F193:J193)</f>
        <v/>
      </c>
      <c r="L193" s="306">
        <f>K193/12</f>
        <v/>
      </c>
      <c r="M193" s="306">
        <f>L193*$B$8</f>
        <v/>
      </c>
      <c r="N193" s="306">
        <f>L193*$B$9</f>
        <v/>
      </c>
      <c r="O193" s="306">
        <f>L193*$B$10</f>
        <v/>
      </c>
      <c r="P193" s="306">
        <f>L193-M193-N193-O193-D193-E193</f>
        <v/>
      </c>
      <c r="Q193" s="306">
        <f>MAX(0, P193 - $B$7*L193)</f>
        <v/>
      </c>
      <c r="R193" s="306">
        <f>P193-Q193</f>
        <v/>
      </c>
      <c r="S193" s="306">
        <f>IF(A193=$F$6, $B$18*$B$16*$B$17/1000000, 0) + IF(A193=$F$7, $B$18*$B$16*$B$17/1000000, 0) + IF(A193=$F$8, $B$18*$B$16*$B$17/1000000, 0) + IF(A193=$F$9, $B$18*$B$16*$B$17/1000000, 0) + IF(A193=$F$10, $B$18*$B$16*$B$17/1000000, 0)</f>
        <v/>
      </c>
      <c r="T193" s="306">
        <f>R193-S193-C193</f>
        <v/>
      </c>
      <c r="U193" s="306">
        <f>IF(AND(A193&lt;=$B$24, T193&gt;0), T193*$B$23, 0)</f>
        <v/>
      </c>
      <c r="V193" s="306">
        <f>T193-U193</f>
        <v/>
      </c>
      <c r="W193" s="306">
        <f>IF(AND(A193=$B$19, $B$21=1), K193*$B$20, 0)</f>
        <v/>
      </c>
      <c r="X193" s="306">
        <f>X192+V193+W193</f>
        <v/>
      </c>
    </row>
    <row r="194">
      <c r="A194" s="306" t="n">
        <v>164</v>
      </c>
      <c r="B194" s="306">
        <f>CEILING(A194/12,1)</f>
        <v/>
      </c>
      <c r="C194" s="306">
        <f>IF(A194&lt;=12, $B$15/12, 0)</f>
        <v/>
      </c>
      <c r="D194" s="306">
        <f>INDEX('26. Team Comp'!$D$28:$R$28, B194) * 0.001 / 12</f>
        <v/>
      </c>
      <c r="E194" s="306">
        <f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) * 200 / 12 / 1000</f>
        <v/>
      </c>
      <c r="F194" s="306">
        <f>IF(A194&lt;$F$6,0,IF(AND($B$21=1,A194&gt;$B$19),0,$E$6*$G$6^MIN((A194-$F$6)/12,6)*MIN($G$6,0.85)^MAX(0,(A194-$F$6)/12-6)))</f>
        <v/>
      </c>
      <c r="G194" s="306">
        <f>IF(A194&lt;$F$7,0,IF(AND($B$21=1,A194&gt;$B$19),0,$E$7*$G$7^MIN((A194-$F$7)/12,6)*MIN($G$7,0.85)^MAX(0,(A194-$F$7)/12-6)))</f>
        <v/>
      </c>
      <c r="H194" s="306">
        <f>IF(A194&lt;$F$8,0,IF(AND($B$21=1,A194&gt;$B$19),0,$E$8*$G$8^MIN((A194-$F$8)/12,6)*MIN($G$8,0.85)^MAX(0,(A194-$F$8)/12-6)))</f>
        <v/>
      </c>
      <c r="I194" s="306">
        <f>IF(A194&lt;$F$9,0,IF(AND($B$21=1,A194&gt;$B$19),0,$E$9*$G$9^MIN((A194-$F$9)/12,6)*MIN($G$9,0.85)^MAX(0,(A194-$F$9)/12-6)))</f>
        <v/>
      </c>
      <c r="J194" s="306">
        <f>IF(A194&lt;$F$10,0,IF(AND($B$21=1,A194&gt;$B$19),0,$E$10*$G$10^MIN((A194-$F$10)/12,6)*MIN($G$10,0.85)^MAX(0,(A194-$F$10)/12-6)))</f>
        <v/>
      </c>
      <c r="K194" s="306">
        <f>SUM(F194:J194)</f>
        <v/>
      </c>
      <c r="L194" s="306">
        <f>K194/12</f>
        <v/>
      </c>
      <c r="M194" s="306">
        <f>L194*$B$8</f>
        <v/>
      </c>
      <c r="N194" s="306">
        <f>L194*$B$9</f>
        <v/>
      </c>
      <c r="O194" s="306">
        <f>L194*$B$10</f>
        <v/>
      </c>
      <c r="P194" s="306">
        <f>L194-M194-N194-O194-D194-E194</f>
        <v/>
      </c>
      <c r="Q194" s="306">
        <f>MAX(0, P194 - $B$7*L194)</f>
        <v/>
      </c>
      <c r="R194" s="306">
        <f>P194-Q194</f>
        <v/>
      </c>
      <c r="S194" s="306">
        <f>IF(A194=$F$6, $B$18*$B$16*$B$17/1000000, 0) + IF(A194=$F$7, $B$18*$B$16*$B$17/1000000, 0) + IF(A194=$F$8, $B$18*$B$16*$B$17/1000000, 0) + IF(A194=$F$9, $B$18*$B$16*$B$17/1000000, 0) + IF(A194=$F$10, $B$18*$B$16*$B$17/1000000, 0)</f>
        <v/>
      </c>
      <c r="T194" s="306">
        <f>R194-S194-C194</f>
        <v/>
      </c>
      <c r="U194" s="306">
        <f>IF(AND(A194&lt;=$B$24, T194&gt;0), T194*$B$23, 0)</f>
        <v/>
      </c>
      <c r="V194" s="306">
        <f>T194-U194</f>
        <v/>
      </c>
      <c r="W194" s="306">
        <f>IF(AND(A194=$B$19, $B$21=1), K194*$B$20, 0)</f>
        <v/>
      </c>
      <c r="X194" s="306">
        <f>X193+V194+W194</f>
        <v/>
      </c>
    </row>
    <row r="195">
      <c r="A195" s="306" t="n">
        <v>165</v>
      </c>
      <c r="B195" s="306">
        <f>CEILING(A195/12,1)</f>
        <v/>
      </c>
      <c r="C195" s="306">
        <f>IF(A195&lt;=12, $B$15/12, 0)</f>
        <v/>
      </c>
      <c r="D195" s="306">
        <f>INDEX('26. Team Comp'!$D$28:$R$28, B195) * 0.001 / 12</f>
        <v/>
      </c>
      <c r="E195" s="306">
        <f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) * 200 / 12 / 1000</f>
        <v/>
      </c>
      <c r="F195" s="306">
        <f>IF(A195&lt;$F$6,0,IF(AND($B$21=1,A195&gt;$B$19),0,$E$6*$G$6^MIN((A195-$F$6)/12,6)*MIN($G$6,0.85)^MAX(0,(A195-$F$6)/12-6)))</f>
        <v/>
      </c>
      <c r="G195" s="306">
        <f>IF(A195&lt;$F$7,0,IF(AND($B$21=1,A195&gt;$B$19),0,$E$7*$G$7^MIN((A195-$F$7)/12,6)*MIN($G$7,0.85)^MAX(0,(A195-$F$7)/12-6)))</f>
        <v/>
      </c>
      <c r="H195" s="306">
        <f>IF(A195&lt;$F$8,0,IF(AND($B$21=1,A195&gt;$B$19),0,$E$8*$G$8^MIN((A195-$F$8)/12,6)*MIN($G$8,0.85)^MAX(0,(A195-$F$8)/12-6)))</f>
        <v/>
      </c>
      <c r="I195" s="306">
        <f>IF(A195&lt;$F$9,0,IF(AND($B$21=1,A195&gt;$B$19),0,$E$9*$G$9^MIN((A195-$F$9)/12,6)*MIN($G$9,0.85)^MAX(0,(A195-$F$9)/12-6)))</f>
        <v/>
      </c>
      <c r="J195" s="306">
        <f>IF(A195&lt;$F$10,0,IF(AND($B$21=1,A195&gt;$B$19),0,$E$10*$G$10^MIN((A195-$F$10)/12,6)*MIN($G$10,0.85)^MAX(0,(A195-$F$10)/12-6)))</f>
        <v/>
      </c>
      <c r="K195" s="306">
        <f>SUM(F195:J195)</f>
        <v/>
      </c>
      <c r="L195" s="306">
        <f>K195/12</f>
        <v/>
      </c>
      <c r="M195" s="306">
        <f>L195*$B$8</f>
        <v/>
      </c>
      <c r="N195" s="306">
        <f>L195*$B$9</f>
        <v/>
      </c>
      <c r="O195" s="306">
        <f>L195*$B$10</f>
        <v/>
      </c>
      <c r="P195" s="306">
        <f>L195-M195-N195-O195-D195-E195</f>
        <v/>
      </c>
      <c r="Q195" s="306">
        <f>MAX(0, P195 - $B$7*L195)</f>
        <v/>
      </c>
      <c r="R195" s="306">
        <f>P195-Q195</f>
        <v/>
      </c>
      <c r="S195" s="306">
        <f>IF(A195=$F$6, $B$18*$B$16*$B$17/1000000, 0) + IF(A195=$F$7, $B$18*$B$16*$B$17/1000000, 0) + IF(A195=$F$8, $B$18*$B$16*$B$17/1000000, 0) + IF(A195=$F$9, $B$18*$B$16*$B$17/1000000, 0) + IF(A195=$F$10, $B$18*$B$16*$B$17/1000000, 0)</f>
        <v/>
      </c>
      <c r="T195" s="306">
        <f>R195-S195-C195</f>
        <v/>
      </c>
      <c r="U195" s="306">
        <f>IF(AND(A195&lt;=$B$24, T195&gt;0), T195*$B$23, 0)</f>
        <v/>
      </c>
      <c r="V195" s="306">
        <f>T195-U195</f>
        <v/>
      </c>
      <c r="W195" s="306">
        <f>IF(AND(A195=$B$19, $B$21=1), K195*$B$20, 0)</f>
        <v/>
      </c>
      <c r="X195" s="306">
        <f>X194+V195+W195</f>
        <v/>
      </c>
    </row>
    <row r="196">
      <c r="A196" s="306" t="n">
        <v>166</v>
      </c>
      <c r="B196" s="306">
        <f>CEILING(A196/12,1)</f>
        <v/>
      </c>
      <c r="C196" s="306">
        <f>IF(A196&lt;=12, $B$15/12, 0)</f>
        <v/>
      </c>
      <c r="D196" s="306">
        <f>INDEX('26. Team Comp'!$D$28:$R$28, B196) * 0.001 / 12</f>
        <v/>
      </c>
      <c r="E196" s="306">
        <f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) * 200 / 12 / 1000</f>
        <v/>
      </c>
      <c r="F196" s="306">
        <f>IF(A196&lt;$F$6,0,IF(AND($B$21=1,A196&gt;$B$19),0,$E$6*$G$6^MIN((A196-$F$6)/12,6)*MIN($G$6,0.85)^MAX(0,(A196-$F$6)/12-6)))</f>
        <v/>
      </c>
      <c r="G196" s="306">
        <f>IF(A196&lt;$F$7,0,IF(AND($B$21=1,A196&gt;$B$19),0,$E$7*$G$7^MIN((A196-$F$7)/12,6)*MIN($G$7,0.85)^MAX(0,(A196-$F$7)/12-6)))</f>
        <v/>
      </c>
      <c r="H196" s="306">
        <f>IF(A196&lt;$F$8,0,IF(AND($B$21=1,A196&gt;$B$19),0,$E$8*$G$8^MIN((A196-$F$8)/12,6)*MIN($G$8,0.85)^MAX(0,(A196-$F$8)/12-6)))</f>
        <v/>
      </c>
      <c r="I196" s="306">
        <f>IF(A196&lt;$F$9,0,IF(AND($B$21=1,A196&gt;$B$19),0,$E$9*$G$9^MIN((A196-$F$9)/12,6)*MIN($G$9,0.85)^MAX(0,(A196-$F$9)/12-6)))</f>
        <v/>
      </c>
      <c r="J196" s="306">
        <f>IF(A196&lt;$F$10,0,IF(AND($B$21=1,A196&gt;$B$19),0,$E$10*$G$10^MIN((A196-$F$10)/12,6)*MIN($G$10,0.85)^MAX(0,(A196-$F$10)/12-6)))</f>
        <v/>
      </c>
      <c r="K196" s="306">
        <f>SUM(F196:J196)</f>
        <v/>
      </c>
      <c r="L196" s="306">
        <f>K196/12</f>
        <v/>
      </c>
      <c r="M196" s="306">
        <f>L196*$B$8</f>
        <v/>
      </c>
      <c r="N196" s="306">
        <f>L196*$B$9</f>
        <v/>
      </c>
      <c r="O196" s="306">
        <f>L196*$B$10</f>
        <v/>
      </c>
      <c r="P196" s="306">
        <f>L196-M196-N196-O196-D196-E196</f>
        <v/>
      </c>
      <c r="Q196" s="306">
        <f>MAX(0, P196 - $B$7*L196)</f>
        <v/>
      </c>
      <c r="R196" s="306">
        <f>P196-Q196</f>
        <v/>
      </c>
      <c r="S196" s="306">
        <f>IF(A196=$F$6, $B$18*$B$16*$B$17/1000000, 0) + IF(A196=$F$7, $B$18*$B$16*$B$17/1000000, 0) + IF(A196=$F$8, $B$18*$B$16*$B$17/1000000, 0) + IF(A196=$F$9, $B$18*$B$16*$B$17/1000000, 0) + IF(A196=$F$10, $B$18*$B$16*$B$17/1000000, 0)</f>
        <v/>
      </c>
      <c r="T196" s="306">
        <f>R196-S196-C196</f>
        <v/>
      </c>
      <c r="U196" s="306">
        <f>IF(AND(A196&lt;=$B$24, T196&gt;0), T196*$B$23, 0)</f>
        <v/>
      </c>
      <c r="V196" s="306">
        <f>T196-U196</f>
        <v/>
      </c>
      <c r="W196" s="306">
        <f>IF(AND(A196=$B$19, $B$21=1), K196*$B$20, 0)</f>
        <v/>
      </c>
      <c r="X196" s="306">
        <f>X195+V196+W196</f>
        <v/>
      </c>
    </row>
    <row r="197">
      <c r="A197" s="306" t="n">
        <v>167</v>
      </c>
      <c r="B197" s="306">
        <f>CEILING(A197/12,1)</f>
        <v/>
      </c>
      <c r="C197" s="306">
        <f>IF(A197&lt;=12, $B$15/12, 0)</f>
        <v/>
      </c>
      <c r="D197" s="306">
        <f>INDEX('26. Team Comp'!$D$28:$R$28, B197) * 0.001 / 12</f>
        <v/>
      </c>
      <c r="E197" s="306">
        <f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) * 200 / 12 / 1000</f>
        <v/>
      </c>
      <c r="F197" s="306">
        <f>IF(A197&lt;$F$6,0,IF(AND($B$21=1,A197&gt;$B$19),0,$E$6*$G$6^MIN((A197-$F$6)/12,6)*MIN($G$6,0.85)^MAX(0,(A197-$F$6)/12-6)))</f>
        <v/>
      </c>
      <c r="G197" s="306">
        <f>IF(A197&lt;$F$7,0,IF(AND($B$21=1,A197&gt;$B$19),0,$E$7*$G$7^MIN((A197-$F$7)/12,6)*MIN($G$7,0.85)^MAX(0,(A197-$F$7)/12-6)))</f>
        <v/>
      </c>
      <c r="H197" s="306">
        <f>IF(A197&lt;$F$8,0,IF(AND($B$21=1,A197&gt;$B$19),0,$E$8*$G$8^MIN((A197-$F$8)/12,6)*MIN($G$8,0.85)^MAX(0,(A197-$F$8)/12-6)))</f>
        <v/>
      </c>
      <c r="I197" s="306">
        <f>IF(A197&lt;$F$9,0,IF(AND($B$21=1,A197&gt;$B$19),0,$E$9*$G$9^MIN((A197-$F$9)/12,6)*MIN($G$9,0.85)^MAX(0,(A197-$F$9)/12-6)))</f>
        <v/>
      </c>
      <c r="J197" s="306">
        <f>IF(A197&lt;$F$10,0,IF(AND($B$21=1,A197&gt;$B$19),0,$E$10*$G$10^MIN((A197-$F$10)/12,6)*MIN($G$10,0.85)^MAX(0,(A197-$F$10)/12-6)))</f>
        <v/>
      </c>
      <c r="K197" s="306">
        <f>SUM(F197:J197)</f>
        <v/>
      </c>
      <c r="L197" s="306">
        <f>K197/12</f>
        <v/>
      </c>
      <c r="M197" s="306">
        <f>L197*$B$8</f>
        <v/>
      </c>
      <c r="N197" s="306">
        <f>L197*$B$9</f>
        <v/>
      </c>
      <c r="O197" s="306">
        <f>L197*$B$10</f>
        <v/>
      </c>
      <c r="P197" s="306">
        <f>L197-M197-N197-O197-D197-E197</f>
        <v/>
      </c>
      <c r="Q197" s="306">
        <f>MAX(0, P197 - $B$7*L197)</f>
        <v/>
      </c>
      <c r="R197" s="306">
        <f>P197-Q197</f>
        <v/>
      </c>
      <c r="S197" s="306">
        <f>IF(A197=$F$6, $B$18*$B$16*$B$17/1000000, 0) + IF(A197=$F$7, $B$18*$B$16*$B$17/1000000, 0) + IF(A197=$F$8, $B$18*$B$16*$B$17/1000000, 0) + IF(A197=$F$9, $B$18*$B$16*$B$17/1000000, 0) + IF(A197=$F$10, $B$18*$B$16*$B$17/1000000, 0)</f>
        <v/>
      </c>
      <c r="T197" s="306">
        <f>R197-S197-C197</f>
        <v/>
      </c>
      <c r="U197" s="306">
        <f>IF(AND(A197&lt;=$B$24, T197&gt;0), T197*$B$23, 0)</f>
        <v/>
      </c>
      <c r="V197" s="306">
        <f>T197-U197</f>
        <v/>
      </c>
      <c r="W197" s="306">
        <f>IF(AND(A197=$B$19, $B$21=1), K197*$B$20, 0)</f>
        <v/>
      </c>
      <c r="X197" s="306">
        <f>X196+V197+W197</f>
        <v/>
      </c>
    </row>
    <row r="198">
      <c r="A198" s="306" t="n">
        <v>168</v>
      </c>
      <c r="B198" s="306">
        <f>CEILING(A198/12,1)</f>
        <v/>
      </c>
      <c r="C198" s="306">
        <f>IF(A198&lt;=12, $B$15/12, 0)</f>
        <v/>
      </c>
      <c r="D198" s="306">
        <f>INDEX('26. Team Comp'!$D$28:$R$28, B198) * 0.001 / 12</f>
        <v/>
      </c>
      <c r="E198" s="306">
        <f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) * 200 / 12 / 1000</f>
        <v/>
      </c>
      <c r="F198" s="306">
        <f>IF(A198&lt;$F$6,0,IF(AND($B$21=1,A198&gt;$B$19),0,$E$6*$G$6^MIN((A198-$F$6)/12,6)*MIN($G$6,0.85)^MAX(0,(A198-$F$6)/12-6)))</f>
        <v/>
      </c>
      <c r="G198" s="306">
        <f>IF(A198&lt;$F$7,0,IF(AND($B$21=1,A198&gt;$B$19),0,$E$7*$G$7^MIN((A198-$F$7)/12,6)*MIN($G$7,0.85)^MAX(0,(A198-$F$7)/12-6)))</f>
        <v/>
      </c>
      <c r="H198" s="306">
        <f>IF(A198&lt;$F$8,0,IF(AND($B$21=1,A198&gt;$B$19),0,$E$8*$G$8^MIN((A198-$F$8)/12,6)*MIN($G$8,0.85)^MAX(0,(A198-$F$8)/12-6)))</f>
        <v/>
      </c>
      <c r="I198" s="306">
        <f>IF(A198&lt;$F$9,0,IF(AND($B$21=1,A198&gt;$B$19),0,$E$9*$G$9^MIN((A198-$F$9)/12,6)*MIN($G$9,0.85)^MAX(0,(A198-$F$9)/12-6)))</f>
        <v/>
      </c>
      <c r="J198" s="306">
        <f>IF(A198&lt;$F$10,0,IF(AND($B$21=1,A198&gt;$B$19),0,$E$10*$G$10^MIN((A198-$F$10)/12,6)*MIN($G$10,0.85)^MAX(0,(A198-$F$10)/12-6)))</f>
        <v/>
      </c>
      <c r="K198" s="306">
        <f>SUM(F198:J198)</f>
        <v/>
      </c>
      <c r="L198" s="306">
        <f>K198/12</f>
        <v/>
      </c>
      <c r="M198" s="306">
        <f>L198*$B$8</f>
        <v/>
      </c>
      <c r="N198" s="306">
        <f>L198*$B$9</f>
        <v/>
      </c>
      <c r="O198" s="306">
        <f>L198*$B$10</f>
        <v/>
      </c>
      <c r="P198" s="306">
        <f>L198-M198-N198-O198-D198-E198</f>
        <v/>
      </c>
      <c r="Q198" s="306">
        <f>MAX(0, P198 - $B$7*L198)</f>
        <v/>
      </c>
      <c r="R198" s="306">
        <f>P198-Q198</f>
        <v/>
      </c>
      <c r="S198" s="306">
        <f>IF(A198=$F$6, $B$18*$B$16*$B$17/1000000, 0) + IF(A198=$F$7, $B$18*$B$16*$B$17/1000000, 0) + IF(A198=$F$8, $B$18*$B$16*$B$17/1000000, 0) + IF(A198=$F$9, $B$18*$B$16*$B$17/1000000, 0) + IF(A198=$F$10, $B$18*$B$16*$B$17/1000000, 0)</f>
        <v/>
      </c>
      <c r="T198" s="306">
        <f>R198-S198-C198</f>
        <v/>
      </c>
      <c r="U198" s="306">
        <f>IF(AND(A198&lt;=$B$24, T198&gt;0), T198*$B$23, 0)</f>
        <v/>
      </c>
      <c r="V198" s="306">
        <f>T198-U198</f>
        <v/>
      </c>
      <c r="W198" s="306">
        <f>IF(AND(A198=$B$19, $B$21=1), K198*$B$20, 0)</f>
        <v/>
      </c>
      <c r="X198" s="306">
        <f>X197+V198+W198</f>
        <v/>
      </c>
    </row>
    <row r="199">
      <c r="A199" s="306" t="n">
        <v>169</v>
      </c>
      <c r="B199" s="306">
        <f>CEILING(A199/12,1)</f>
        <v/>
      </c>
      <c r="C199" s="306">
        <f>IF(A199&lt;=12, $B$15/12, 0)</f>
        <v/>
      </c>
      <c r="D199" s="306">
        <f>INDEX('26. Team Comp'!$D$28:$R$28, B199) * 0.001 / 12</f>
        <v/>
      </c>
      <c r="E199" s="306">
        <f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) * 200 / 12 / 1000</f>
        <v/>
      </c>
      <c r="F199" s="306">
        <f>IF(A199&lt;$F$6,0,IF(AND($B$21=1,A199&gt;$B$19),0,$E$6*$G$6^MIN((A199-$F$6)/12,6)*MIN($G$6,0.85)^MAX(0,(A199-$F$6)/12-6)))</f>
        <v/>
      </c>
      <c r="G199" s="306">
        <f>IF(A199&lt;$F$7,0,IF(AND($B$21=1,A199&gt;$B$19),0,$E$7*$G$7^MIN((A199-$F$7)/12,6)*MIN($G$7,0.85)^MAX(0,(A199-$F$7)/12-6)))</f>
        <v/>
      </c>
      <c r="H199" s="306">
        <f>IF(A199&lt;$F$8,0,IF(AND($B$21=1,A199&gt;$B$19),0,$E$8*$G$8^MIN((A199-$F$8)/12,6)*MIN($G$8,0.85)^MAX(0,(A199-$F$8)/12-6)))</f>
        <v/>
      </c>
      <c r="I199" s="306">
        <f>IF(A199&lt;$F$9,0,IF(AND($B$21=1,A199&gt;$B$19),0,$E$9*$G$9^MIN((A199-$F$9)/12,6)*MIN($G$9,0.85)^MAX(0,(A199-$F$9)/12-6)))</f>
        <v/>
      </c>
      <c r="J199" s="306">
        <f>IF(A199&lt;$F$10,0,IF(AND($B$21=1,A199&gt;$B$19),0,$E$10*$G$10^MIN((A199-$F$10)/12,6)*MIN($G$10,0.85)^MAX(0,(A199-$F$10)/12-6)))</f>
        <v/>
      </c>
      <c r="K199" s="306">
        <f>SUM(F199:J199)</f>
        <v/>
      </c>
      <c r="L199" s="306">
        <f>K199/12</f>
        <v/>
      </c>
      <c r="M199" s="306">
        <f>L199*$B$8</f>
        <v/>
      </c>
      <c r="N199" s="306">
        <f>L199*$B$9</f>
        <v/>
      </c>
      <c r="O199" s="306">
        <f>L199*$B$10</f>
        <v/>
      </c>
      <c r="P199" s="306">
        <f>L199-M199-N199-O199-D199-E199</f>
        <v/>
      </c>
      <c r="Q199" s="306">
        <f>MAX(0, P199 - $B$7*L199)</f>
        <v/>
      </c>
      <c r="R199" s="306">
        <f>P199-Q199</f>
        <v/>
      </c>
      <c r="S199" s="306">
        <f>IF(A199=$F$6, $B$18*$B$16*$B$17/1000000, 0) + IF(A199=$F$7, $B$18*$B$16*$B$17/1000000, 0) + IF(A199=$F$8, $B$18*$B$16*$B$17/1000000, 0) + IF(A199=$F$9, $B$18*$B$16*$B$17/1000000, 0) + IF(A199=$F$10, $B$18*$B$16*$B$17/1000000, 0)</f>
        <v/>
      </c>
      <c r="T199" s="306">
        <f>R199-S199-C199</f>
        <v/>
      </c>
      <c r="U199" s="306">
        <f>IF(AND(A199&lt;=$B$24, T199&gt;0), T199*$B$23, 0)</f>
        <v/>
      </c>
      <c r="V199" s="306">
        <f>T199-U199</f>
        <v/>
      </c>
      <c r="W199" s="306">
        <f>IF(AND(A199=$B$19, $B$21=1), K199*$B$20, 0)</f>
        <v/>
      </c>
      <c r="X199" s="306">
        <f>X198+V199+W199</f>
        <v/>
      </c>
    </row>
    <row r="200">
      <c r="A200" s="306" t="n">
        <v>170</v>
      </c>
      <c r="B200" s="306">
        <f>CEILING(A200/12,1)</f>
        <v/>
      </c>
      <c r="C200" s="306">
        <f>IF(A200&lt;=12, $B$15/12, 0)</f>
        <v/>
      </c>
      <c r="D200" s="306">
        <f>INDEX('26. Team Comp'!$D$28:$R$28, B200) * 0.001 / 12</f>
        <v/>
      </c>
      <c r="E200" s="306">
        <f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) * 200 / 12 / 1000</f>
        <v/>
      </c>
      <c r="F200" s="306">
        <f>IF(A200&lt;$F$6,0,IF(AND($B$21=1,A200&gt;$B$19),0,$E$6*$G$6^MIN((A200-$F$6)/12,6)*MIN($G$6,0.85)^MAX(0,(A200-$F$6)/12-6)))</f>
        <v/>
      </c>
      <c r="G200" s="306">
        <f>IF(A200&lt;$F$7,0,IF(AND($B$21=1,A200&gt;$B$19),0,$E$7*$G$7^MIN((A200-$F$7)/12,6)*MIN($G$7,0.85)^MAX(0,(A200-$F$7)/12-6)))</f>
        <v/>
      </c>
      <c r="H200" s="306">
        <f>IF(A200&lt;$F$8,0,IF(AND($B$21=1,A200&gt;$B$19),0,$E$8*$G$8^MIN((A200-$F$8)/12,6)*MIN($G$8,0.85)^MAX(0,(A200-$F$8)/12-6)))</f>
        <v/>
      </c>
      <c r="I200" s="306">
        <f>IF(A200&lt;$F$9,0,IF(AND($B$21=1,A200&gt;$B$19),0,$E$9*$G$9^MIN((A200-$F$9)/12,6)*MIN($G$9,0.85)^MAX(0,(A200-$F$9)/12-6)))</f>
        <v/>
      </c>
      <c r="J200" s="306">
        <f>IF(A200&lt;$F$10,0,IF(AND($B$21=1,A200&gt;$B$19),0,$E$10*$G$10^MIN((A200-$F$10)/12,6)*MIN($G$10,0.85)^MAX(0,(A200-$F$10)/12-6)))</f>
        <v/>
      </c>
      <c r="K200" s="306">
        <f>SUM(F200:J200)</f>
        <v/>
      </c>
      <c r="L200" s="306">
        <f>K200/12</f>
        <v/>
      </c>
      <c r="M200" s="306">
        <f>L200*$B$8</f>
        <v/>
      </c>
      <c r="N200" s="306">
        <f>L200*$B$9</f>
        <v/>
      </c>
      <c r="O200" s="306">
        <f>L200*$B$10</f>
        <v/>
      </c>
      <c r="P200" s="306">
        <f>L200-M200-N200-O200-D200-E200</f>
        <v/>
      </c>
      <c r="Q200" s="306">
        <f>MAX(0, P200 - $B$7*L200)</f>
        <v/>
      </c>
      <c r="R200" s="306">
        <f>P200-Q200</f>
        <v/>
      </c>
      <c r="S200" s="306">
        <f>IF(A200=$F$6, $B$18*$B$16*$B$17/1000000, 0) + IF(A200=$F$7, $B$18*$B$16*$B$17/1000000, 0) + IF(A200=$F$8, $B$18*$B$16*$B$17/1000000, 0) + IF(A200=$F$9, $B$18*$B$16*$B$17/1000000, 0) + IF(A200=$F$10, $B$18*$B$16*$B$17/1000000, 0)</f>
        <v/>
      </c>
      <c r="T200" s="306">
        <f>R200-S200-C200</f>
        <v/>
      </c>
      <c r="U200" s="306">
        <f>IF(AND(A200&lt;=$B$24, T200&gt;0), T200*$B$23, 0)</f>
        <v/>
      </c>
      <c r="V200" s="306">
        <f>T200-U200</f>
        <v/>
      </c>
      <c r="W200" s="306">
        <f>IF(AND(A200=$B$19, $B$21=1), K200*$B$20, 0)</f>
        <v/>
      </c>
      <c r="X200" s="306">
        <f>X199+V200+W200</f>
        <v/>
      </c>
    </row>
    <row r="201">
      <c r="A201" s="306" t="n">
        <v>171</v>
      </c>
      <c r="B201" s="306">
        <f>CEILING(A201/12,1)</f>
        <v/>
      </c>
      <c r="C201" s="306">
        <f>IF(A201&lt;=12, $B$15/12, 0)</f>
        <v/>
      </c>
      <c r="D201" s="306">
        <f>INDEX('26. Team Comp'!$D$28:$R$28, B201) * 0.001 / 12</f>
        <v/>
      </c>
      <c r="E201" s="306">
        <f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) * 200 / 12 / 1000</f>
        <v/>
      </c>
      <c r="F201" s="306">
        <f>IF(A201&lt;$F$6,0,IF(AND($B$21=1,A201&gt;$B$19),0,$E$6*$G$6^MIN((A201-$F$6)/12,6)*MIN($G$6,0.85)^MAX(0,(A201-$F$6)/12-6)))</f>
        <v/>
      </c>
      <c r="G201" s="306">
        <f>IF(A201&lt;$F$7,0,IF(AND($B$21=1,A201&gt;$B$19),0,$E$7*$G$7^MIN((A201-$F$7)/12,6)*MIN($G$7,0.85)^MAX(0,(A201-$F$7)/12-6)))</f>
        <v/>
      </c>
      <c r="H201" s="306">
        <f>IF(A201&lt;$F$8,0,IF(AND($B$21=1,A201&gt;$B$19),0,$E$8*$G$8^MIN((A201-$F$8)/12,6)*MIN($G$8,0.85)^MAX(0,(A201-$F$8)/12-6)))</f>
        <v/>
      </c>
      <c r="I201" s="306">
        <f>IF(A201&lt;$F$9,0,IF(AND($B$21=1,A201&gt;$B$19),0,$E$9*$G$9^MIN((A201-$F$9)/12,6)*MIN($G$9,0.85)^MAX(0,(A201-$F$9)/12-6)))</f>
        <v/>
      </c>
      <c r="J201" s="306">
        <f>IF(A201&lt;$F$10,0,IF(AND($B$21=1,A201&gt;$B$19),0,$E$10*$G$10^MIN((A201-$F$10)/12,6)*MIN($G$10,0.85)^MAX(0,(A201-$F$10)/12-6)))</f>
        <v/>
      </c>
      <c r="K201" s="306">
        <f>SUM(F201:J201)</f>
        <v/>
      </c>
      <c r="L201" s="306">
        <f>K201/12</f>
        <v/>
      </c>
      <c r="M201" s="306">
        <f>L201*$B$8</f>
        <v/>
      </c>
      <c r="N201" s="306">
        <f>L201*$B$9</f>
        <v/>
      </c>
      <c r="O201" s="306">
        <f>L201*$B$10</f>
        <v/>
      </c>
      <c r="P201" s="306">
        <f>L201-M201-N201-O201-D201-E201</f>
        <v/>
      </c>
      <c r="Q201" s="306">
        <f>MAX(0, P201 - $B$7*L201)</f>
        <v/>
      </c>
      <c r="R201" s="306">
        <f>P201-Q201</f>
        <v/>
      </c>
      <c r="S201" s="306">
        <f>IF(A201=$F$6, $B$18*$B$16*$B$17/1000000, 0) + IF(A201=$F$7, $B$18*$B$16*$B$17/1000000, 0) + IF(A201=$F$8, $B$18*$B$16*$B$17/1000000, 0) + IF(A201=$F$9, $B$18*$B$16*$B$17/1000000, 0) + IF(A201=$F$10, $B$18*$B$16*$B$17/1000000, 0)</f>
        <v/>
      </c>
      <c r="T201" s="306">
        <f>R201-S201-C201</f>
        <v/>
      </c>
      <c r="U201" s="306">
        <f>IF(AND(A201&lt;=$B$24, T201&gt;0), T201*$B$23, 0)</f>
        <v/>
      </c>
      <c r="V201" s="306">
        <f>T201-U201</f>
        <v/>
      </c>
      <c r="W201" s="306">
        <f>IF(AND(A201=$B$19, $B$21=1), K201*$B$20, 0)</f>
        <v/>
      </c>
      <c r="X201" s="306">
        <f>X200+V201+W201</f>
        <v/>
      </c>
    </row>
    <row r="202">
      <c r="A202" s="306" t="n">
        <v>172</v>
      </c>
      <c r="B202" s="306">
        <f>CEILING(A202/12,1)</f>
        <v/>
      </c>
      <c r="C202" s="306">
        <f>IF(A202&lt;=12, $B$15/12, 0)</f>
        <v/>
      </c>
      <c r="D202" s="306">
        <f>INDEX('26. Team Comp'!$D$28:$R$28, B202) * 0.001 / 12</f>
        <v/>
      </c>
      <c r="E202" s="306">
        <f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) * 200 / 12 / 1000</f>
        <v/>
      </c>
      <c r="F202" s="306">
        <f>IF(A202&lt;$F$6,0,IF(AND($B$21=1,A202&gt;$B$19),0,$E$6*$G$6^MIN((A202-$F$6)/12,6)*MIN($G$6,0.85)^MAX(0,(A202-$F$6)/12-6)))</f>
        <v/>
      </c>
      <c r="G202" s="306">
        <f>IF(A202&lt;$F$7,0,IF(AND($B$21=1,A202&gt;$B$19),0,$E$7*$G$7^MIN((A202-$F$7)/12,6)*MIN($G$7,0.85)^MAX(0,(A202-$F$7)/12-6)))</f>
        <v/>
      </c>
      <c r="H202" s="306">
        <f>IF(A202&lt;$F$8,0,IF(AND($B$21=1,A202&gt;$B$19),0,$E$8*$G$8^MIN((A202-$F$8)/12,6)*MIN($G$8,0.85)^MAX(0,(A202-$F$8)/12-6)))</f>
        <v/>
      </c>
      <c r="I202" s="306">
        <f>IF(A202&lt;$F$9,0,IF(AND($B$21=1,A202&gt;$B$19),0,$E$9*$G$9^MIN((A202-$F$9)/12,6)*MIN($G$9,0.85)^MAX(0,(A202-$F$9)/12-6)))</f>
        <v/>
      </c>
      <c r="J202" s="306">
        <f>IF(A202&lt;$F$10,0,IF(AND($B$21=1,A202&gt;$B$19),0,$E$10*$G$10^MIN((A202-$F$10)/12,6)*MIN($G$10,0.85)^MAX(0,(A202-$F$10)/12-6)))</f>
        <v/>
      </c>
      <c r="K202" s="306">
        <f>SUM(F202:J202)</f>
        <v/>
      </c>
      <c r="L202" s="306">
        <f>K202/12</f>
        <v/>
      </c>
      <c r="M202" s="306">
        <f>L202*$B$8</f>
        <v/>
      </c>
      <c r="N202" s="306">
        <f>L202*$B$9</f>
        <v/>
      </c>
      <c r="O202" s="306">
        <f>L202*$B$10</f>
        <v/>
      </c>
      <c r="P202" s="306">
        <f>L202-M202-N202-O202-D202-E202</f>
        <v/>
      </c>
      <c r="Q202" s="306">
        <f>MAX(0, P202 - $B$7*L202)</f>
        <v/>
      </c>
      <c r="R202" s="306">
        <f>P202-Q202</f>
        <v/>
      </c>
      <c r="S202" s="306">
        <f>IF(A202=$F$6, $B$18*$B$16*$B$17/1000000, 0) + IF(A202=$F$7, $B$18*$B$16*$B$17/1000000, 0) + IF(A202=$F$8, $B$18*$B$16*$B$17/1000000, 0) + IF(A202=$F$9, $B$18*$B$16*$B$17/1000000, 0) + IF(A202=$F$10, $B$18*$B$16*$B$17/1000000, 0)</f>
        <v/>
      </c>
      <c r="T202" s="306">
        <f>R202-S202-C202</f>
        <v/>
      </c>
      <c r="U202" s="306">
        <f>IF(AND(A202&lt;=$B$24, T202&gt;0), T202*$B$23, 0)</f>
        <v/>
      </c>
      <c r="V202" s="306">
        <f>T202-U202</f>
        <v/>
      </c>
      <c r="W202" s="306">
        <f>IF(AND(A202=$B$19, $B$21=1), K202*$B$20, 0)</f>
        <v/>
      </c>
      <c r="X202" s="306">
        <f>X201+V202+W202</f>
        <v/>
      </c>
    </row>
    <row r="203">
      <c r="A203" s="306" t="n">
        <v>173</v>
      </c>
      <c r="B203" s="306">
        <f>CEILING(A203/12,1)</f>
        <v/>
      </c>
      <c r="C203" s="306">
        <f>IF(A203&lt;=12, $B$15/12, 0)</f>
        <v/>
      </c>
      <c r="D203" s="306">
        <f>INDEX('26. Team Comp'!$D$28:$R$28, B203) * 0.001 / 12</f>
        <v/>
      </c>
      <c r="E203" s="306">
        <f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) * 200 / 12 / 1000</f>
        <v/>
      </c>
      <c r="F203" s="306">
        <f>IF(A203&lt;$F$6,0,IF(AND($B$21=1,A203&gt;$B$19),0,$E$6*$G$6^MIN((A203-$F$6)/12,6)*MIN($G$6,0.85)^MAX(0,(A203-$F$6)/12-6)))</f>
        <v/>
      </c>
      <c r="G203" s="306">
        <f>IF(A203&lt;$F$7,0,IF(AND($B$21=1,A203&gt;$B$19),0,$E$7*$G$7^MIN((A203-$F$7)/12,6)*MIN($G$7,0.85)^MAX(0,(A203-$F$7)/12-6)))</f>
        <v/>
      </c>
      <c r="H203" s="306">
        <f>IF(A203&lt;$F$8,0,IF(AND($B$21=1,A203&gt;$B$19),0,$E$8*$G$8^MIN((A203-$F$8)/12,6)*MIN($G$8,0.85)^MAX(0,(A203-$F$8)/12-6)))</f>
        <v/>
      </c>
      <c r="I203" s="306">
        <f>IF(A203&lt;$F$9,0,IF(AND($B$21=1,A203&gt;$B$19),0,$E$9*$G$9^MIN((A203-$F$9)/12,6)*MIN($G$9,0.85)^MAX(0,(A203-$F$9)/12-6)))</f>
        <v/>
      </c>
      <c r="J203" s="306">
        <f>IF(A203&lt;$F$10,0,IF(AND($B$21=1,A203&gt;$B$19),0,$E$10*$G$10^MIN((A203-$F$10)/12,6)*MIN($G$10,0.85)^MAX(0,(A203-$F$10)/12-6)))</f>
        <v/>
      </c>
      <c r="K203" s="306">
        <f>SUM(F203:J203)</f>
        <v/>
      </c>
      <c r="L203" s="306">
        <f>K203/12</f>
        <v/>
      </c>
      <c r="M203" s="306">
        <f>L203*$B$8</f>
        <v/>
      </c>
      <c r="N203" s="306">
        <f>L203*$B$9</f>
        <v/>
      </c>
      <c r="O203" s="306">
        <f>L203*$B$10</f>
        <v/>
      </c>
      <c r="P203" s="306">
        <f>L203-M203-N203-O203-D203-E203</f>
        <v/>
      </c>
      <c r="Q203" s="306">
        <f>MAX(0, P203 - $B$7*L203)</f>
        <v/>
      </c>
      <c r="R203" s="306">
        <f>P203-Q203</f>
        <v/>
      </c>
      <c r="S203" s="306">
        <f>IF(A203=$F$6, $B$18*$B$16*$B$17/1000000, 0) + IF(A203=$F$7, $B$18*$B$16*$B$17/1000000, 0) + IF(A203=$F$8, $B$18*$B$16*$B$17/1000000, 0) + IF(A203=$F$9, $B$18*$B$16*$B$17/1000000, 0) + IF(A203=$F$10, $B$18*$B$16*$B$17/1000000, 0)</f>
        <v/>
      </c>
      <c r="T203" s="306">
        <f>R203-S203-C203</f>
        <v/>
      </c>
      <c r="U203" s="306">
        <f>IF(AND(A203&lt;=$B$24, T203&gt;0), T203*$B$23, 0)</f>
        <v/>
      </c>
      <c r="V203" s="306">
        <f>T203-U203</f>
        <v/>
      </c>
      <c r="W203" s="306">
        <f>IF(AND(A203=$B$19, $B$21=1), K203*$B$20, 0)</f>
        <v/>
      </c>
      <c r="X203" s="306">
        <f>X202+V203+W203</f>
        <v/>
      </c>
    </row>
    <row r="204">
      <c r="A204" s="306" t="n">
        <v>174</v>
      </c>
      <c r="B204" s="306">
        <f>CEILING(A204/12,1)</f>
        <v/>
      </c>
      <c r="C204" s="306">
        <f>IF(A204&lt;=12, $B$15/12, 0)</f>
        <v/>
      </c>
      <c r="D204" s="306">
        <f>INDEX('26. Team Comp'!$D$28:$R$28, B204) * 0.001 / 12</f>
        <v/>
      </c>
      <c r="E204" s="306">
        <f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) * 200 / 12 / 1000</f>
        <v/>
      </c>
      <c r="F204" s="306">
        <f>IF(A204&lt;$F$6,0,IF(AND($B$21=1,A204&gt;$B$19),0,$E$6*$G$6^MIN((A204-$F$6)/12,6)*MIN($G$6,0.85)^MAX(0,(A204-$F$6)/12-6)))</f>
        <v/>
      </c>
      <c r="G204" s="306">
        <f>IF(A204&lt;$F$7,0,IF(AND($B$21=1,A204&gt;$B$19),0,$E$7*$G$7^MIN((A204-$F$7)/12,6)*MIN($G$7,0.85)^MAX(0,(A204-$F$7)/12-6)))</f>
        <v/>
      </c>
      <c r="H204" s="306">
        <f>IF(A204&lt;$F$8,0,IF(AND($B$21=1,A204&gt;$B$19),0,$E$8*$G$8^MIN((A204-$F$8)/12,6)*MIN($G$8,0.85)^MAX(0,(A204-$F$8)/12-6)))</f>
        <v/>
      </c>
      <c r="I204" s="306">
        <f>IF(A204&lt;$F$9,0,IF(AND($B$21=1,A204&gt;$B$19),0,$E$9*$G$9^MIN((A204-$F$9)/12,6)*MIN($G$9,0.85)^MAX(0,(A204-$F$9)/12-6)))</f>
        <v/>
      </c>
      <c r="J204" s="306">
        <f>IF(A204&lt;$F$10,0,IF(AND($B$21=1,A204&gt;$B$19),0,$E$10*$G$10^MIN((A204-$F$10)/12,6)*MIN($G$10,0.85)^MAX(0,(A204-$F$10)/12-6)))</f>
        <v/>
      </c>
      <c r="K204" s="306">
        <f>SUM(F204:J204)</f>
        <v/>
      </c>
      <c r="L204" s="306">
        <f>K204/12</f>
        <v/>
      </c>
      <c r="M204" s="306">
        <f>L204*$B$8</f>
        <v/>
      </c>
      <c r="N204" s="306">
        <f>L204*$B$9</f>
        <v/>
      </c>
      <c r="O204" s="306">
        <f>L204*$B$10</f>
        <v/>
      </c>
      <c r="P204" s="306">
        <f>L204-M204-N204-O204-D204-E204</f>
        <v/>
      </c>
      <c r="Q204" s="306">
        <f>MAX(0, P204 - $B$7*L204)</f>
        <v/>
      </c>
      <c r="R204" s="306">
        <f>P204-Q204</f>
        <v/>
      </c>
      <c r="S204" s="306">
        <f>IF(A204=$F$6, $B$18*$B$16*$B$17/1000000, 0) + IF(A204=$F$7, $B$18*$B$16*$B$17/1000000, 0) + IF(A204=$F$8, $B$18*$B$16*$B$17/1000000, 0) + IF(A204=$F$9, $B$18*$B$16*$B$17/1000000, 0) + IF(A204=$F$10, $B$18*$B$16*$B$17/1000000, 0)</f>
        <v/>
      </c>
      <c r="T204" s="306">
        <f>R204-S204-C204</f>
        <v/>
      </c>
      <c r="U204" s="306">
        <f>IF(AND(A204&lt;=$B$24, T204&gt;0), T204*$B$23, 0)</f>
        <v/>
      </c>
      <c r="V204" s="306">
        <f>T204-U204</f>
        <v/>
      </c>
      <c r="W204" s="306">
        <f>IF(AND(A204=$B$19, $B$21=1), K204*$B$20, 0)</f>
        <v/>
      </c>
      <c r="X204" s="306">
        <f>X203+V204+W204</f>
        <v/>
      </c>
    </row>
    <row r="205">
      <c r="A205" s="306" t="n">
        <v>175</v>
      </c>
      <c r="B205" s="306">
        <f>CEILING(A205/12,1)</f>
        <v/>
      </c>
      <c r="C205" s="306">
        <f>IF(A205&lt;=12, $B$15/12, 0)</f>
        <v/>
      </c>
      <c r="D205" s="306">
        <f>INDEX('26. Team Comp'!$D$28:$R$28, B205) * 0.001 / 12</f>
        <v/>
      </c>
      <c r="E205" s="306">
        <f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) * 200 / 12 / 1000</f>
        <v/>
      </c>
      <c r="F205" s="306">
        <f>IF(A205&lt;$F$6,0,IF(AND($B$21=1,A205&gt;$B$19),0,$E$6*$G$6^MIN((A205-$F$6)/12,6)*MIN($G$6,0.85)^MAX(0,(A205-$F$6)/12-6)))</f>
        <v/>
      </c>
      <c r="G205" s="306">
        <f>IF(A205&lt;$F$7,0,IF(AND($B$21=1,A205&gt;$B$19),0,$E$7*$G$7^MIN((A205-$F$7)/12,6)*MIN($G$7,0.85)^MAX(0,(A205-$F$7)/12-6)))</f>
        <v/>
      </c>
      <c r="H205" s="306">
        <f>IF(A205&lt;$F$8,0,IF(AND($B$21=1,A205&gt;$B$19),0,$E$8*$G$8^MIN((A205-$F$8)/12,6)*MIN($G$8,0.85)^MAX(0,(A205-$F$8)/12-6)))</f>
        <v/>
      </c>
      <c r="I205" s="306">
        <f>IF(A205&lt;$F$9,0,IF(AND($B$21=1,A205&gt;$B$19),0,$E$9*$G$9^MIN((A205-$F$9)/12,6)*MIN($G$9,0.85)^MAX(0,(A205-$F$9)/12-6)))</f>
        <v/>
      </c>
      <c r="J205" s="306">
        <f>IF(A205&lt;$F$10,0,IF(AND($B$21=1,A205&gt;$B$19),0,$E$10*$G$10^MIN((A205-$F$10)/12,6)*MIN($G$10,0.85)^MAX(0,(A205-$F$10)/12-6)))</f>
        <v/>
      </c>
      <c r="K205" s="306">
        <f>SUM(F205:J205)</f>
        <v/>
      </c>
      <c r="L205" s="306">
        <f>K205/12</f>
        <v/>
      </c>
      <c r="M205" s="306">
        <f>L205*$B$8</f>
        <v/>
      </c>
      <c r="N205" s="306">
        <f>L205*$B$9</f>
        <v/>
      </c>
      <c r="O205" s="306">
        <f>L205*$B$10</f>
        <v/>
      </c>
      <c r="P205" s="306">
        <f>L205-M205-N205-O205-D205-E205</f>
        <v/>
      </c>
      <c r="Q205" s="306">
        <f>MAX(0, P205 - $B$7*L205)</f>
        <v/>
      </c>
      <c r="R205" s="306">
        <f>P205-Q205</f>
        <v/>
      </c>
      <c r="S205" s="306">
        <f>IF(A205=$F$6, $B$18*$B$16*$B$17/1000000, 0) + IF(A205=$F$7, $B$18*$B$16*$B$17/1000000, 0) + IF(A205=$F$8, $B$18*$B$16*$B$17/1000000, 0) + IF(A205=$F$9, $B$18*$B$16*$B$17/1000000, 0) + IF(A205=$F$10, $B$18*$B$16*$B$17/1000000, 0)</f>
        <v/>
      </c>
      <c r="T205" s="306">
        <f>R205-S205-C205</f>
        <v/>
      </c>
      <c r="U205" s="306">
        <f>IF(AND(A205&lt;=$B$24, T205&gt;0), T205*$B$23, 0)</f>
        <v/>
      </c>
      <c r="V205" s="306">
        <f>T205-U205</f>
        <v/>
      </c>
      <c r="W205" s="306">
        <f>IF(AND(A205=$B$19, $B$21=1), K205*$B$20, 0)</f>
        <v/>
      </c>
      <c r="X205" s="306">
        <f>X204+V205+W205</f>
        <v/>
      </c>
    </row>
    <row r="206">
      <c r="A206" s="306" t="n">
        <v>176</v>
      </c>
      <c r="B206" s="306">
        <f>CEILING(A206/12,1)</f>
        <v/>
      </c>
      <c r="C206" s="306">
        <f>IF(A206&lt;=12, $B$15/12, 0)</f>
        <v/>
      </c>
      <c r="D206" s="306">
        <f>INDEX('26. Team Comp'!$D$28:$R$28, B206) * 0.001 / 12</f>
        <v/>
      </c>
      <c r="E206" s="306">
        <f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) * 200 / 12 / 1000</f>
        <v/>
      </c>
      <c r="F206" s="306">
        <f>IF(A206&lt;$F$6,0,IF(AND($B$21=1,A206&gt;$B$19),0,$E$6*$G$6^MIN((A206-$F$6)/12,6)*MIN($G$6,0.85)^MAX(0,(A206-$F$6)/12-6)))</f>
        <v/>
      </c>
      <c r="G206" s="306">
        <f>IF(A206&lt;$F$7,0,IF(AND($B$21=1,A206&gt;$B$19),0,$E$7*$G$7^MIN((A206-$F$7)/12,6)*MIN($G$7,0.85)^MAX(0,(A206-$F$7)/12-6)))</f>
        <v/>
      </c>
      <c r="H206" s="306">
        <f>IF(A206&lt;$F$8,0,IF(AND($B$21=1,A206&gt;$B$19),0,$E$8*$G$8^MIN((A206-$F$8)/12,6)*MIN($G$8,0.85)^MAX(0,(A206-$F$8)/12-6)))</f>
        <v/>
      </c>
      <c r="I206" s="306">
        <f>IF(A206&lt;$F$9,0,IF(AND($B$21=1,A206&gt;$B$19),0,$E$9*$G$9^MIN((A206-$F$9)/12,6)*MIN($G$9,0.85)^MAX(0,(A206-$F$9)/12-6)))</f>
        <v/>
      </c>
      <c r="J206" s="306">
        <f>IF(A206&lt;$F$10,0,IF(AND($B$21=1,A206&gt;$B$19),0,$E$10*$G$10^MIN((A206-$F$10)/12,6)*MIN($G$10,0.85)^MAX(0,(A206-$F$10)/12-6)))</f>
        <v/>
      </c>
      <c r="K206" s="306">
        <f>SUM(F206:J206)</f>
        <v/>
      </c>
      <c r="L206" s="306">
        <f>K206/12</f>
        <v/>
      </c>
      <c r="M206" s="306">
        <f>L206*$B$8</f>
        <v/>
      </c>
      <c r="N206" s="306">
        <f>L206*$B$9</f>
        <v/>
      </c>
      <c r="O206" s="306">
        <f>L206*$B$10</f>
        <v/>
      </c>
      <c r="P206" s="306">
        <f>L206-M206-N206-O206-D206-E206</f>
        <v/>
      </c>
      <c r="Q206" s="306">
        <f>MAX(0, P206 - $B$7*L206)</f>
        <v/>
      </c>
      <c r="R206" s="306">
        <f>P206-Q206</f>
        <v/>
      </c>
      <c r="S206" s="306">
        <f>IF(A206=$F$6, $B$18*$B$16*$B$17/1000000, 0) + IF(A206=$F$7, $B$18*$B$16*$B$17/1000000, 0) + IF(A206=$F$8, $B$18*$B$16*$B$17/1000000, 0) + IF(A206=$F$9, $B$18*$B$16*$B$17/1000000, 0) + IF(A206=$F$10, $B$18*$B$16*$B$17/1000000, 0)</f>
        <v/>
      </c>
      <c r="T206" s="306">
        <f>R206-S206-C206</f>
        <v/>
      </c>
      <c r="U206" s="306">
        <f>IF(AND(A206&lt;=$B$24, T206&gt;0), T206*$B$23, 0)</f>
        <v/>
      </c>
      <c r="V206" s="306">
        <f>T206-U206</f>
        <v/>
      </c>
      <c r="W206" s="306">
        <f>IF(AND(A206=$B$19, $B$21=1), K206*$B$20, 0)</f>
        <v/>
      </c>
      <c r="X206" s="306">
        <f>X205+V206+W206</f>
        <v/>
      </c>
    </row>
    <row r="207">
      <c r="A207" s="306" t="n">
        <v>177</v>
      </c>
      <c r="B207" s="306">
        <f>CEILING(A207/12,1)</f>
        <v/>
      </c>
      <c r="C207" s="306">
        <f>IF(A207&lt;=12, $B$15/12, 0)</f>
        <v/>
      </c>
      <c r="D207" s="306">
        <f>INDEX('26. Team Comp'!$D$28:$R$28, B207) * 0.001 / 12</f>
        <v/>
      </c>
      <c r="E207" s="306">
        <f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) * 200 / 12 / 1000</f>
        <v/>
      </c>
      <c r="F207" s="306">
        <f>IF(A207&lt;$F$6,0,IF(AND($B$21=1,A207&gt;$B$19),0,$E$6*$G$6^MIN((A207-$F$6)/12,6)*MIN($G$6,0.85)^MAX(0,(A207-$F$6)/12-6)))</f>
        <v/>
      </c>
      <c r="G207" s="306">
        <f>IF(A207&lt;$F$7,0,IF(AND($B$21=1,A207&gt;$B$19),0,$E$7*$G$7^MIN((A207-$F$7)/12,6)*MIN($G$7,0.85)^MAX(0,(A207-$F$7)/12-6)))</f>
        <v/>
      </c>
      <c r="H207" s="306">
        <f>IF(A207&lt;$F$8,0,IF(AND($B$21=1,A207&gt;$B$19),0,$E$8*$G$8^MIN((A207-$F$8)/12,6)*MIN($G$8,0.85)^MAX(0,(A207-$F$8)/12-6)))</f>
        <v/>
      </c>
      <c r="I207" s="306">
        <f>IF(A207&lt;$F$9,0,IF(AND($B$21=1,A207&gt;$B$19),0,$E$9*$G$9^MIN((A207-$F$9)/12,6)*MIN($G$9,0.85)^MAX(0,(A207-$F$9)/12-6)))</f>
        <v/>
      </c>
      <c r="J207" s="306">
        <f>IF(A207&lt;$F$10,0,IF(AND($B$21=1,A207&gt;$B$19),0,$E$10*$G$10^MIN((A207-$F$10)/12,6)*MIN($G$10,0.85)^MAX(0,(A207-$F$10)/12-6)))</f>
        <v/>
      </c>
      <c r="K207" s="306">
        <f>SUM(F207:J207)</f>
        <v/>
      </c>
      <c r="L207" s="306">
        <f>K207/12</f>
        <v/>
      </c>
      <c r="M207" s="306">
        <f>L207*$B$8</f>
        <v/>
      </c>
      <c r="N207" s="306">
        <f>L207*$B$9</f>
        <v/>
      </c>
      <c r="O207" s="306">
        <f>L207*$B$10</f>
        <v/>
      </c>
      <c r="P207" s="306">
        <f>L207-M207-N207-O207-D207-E207</f>
        <v/>
      </c>
      <c r="Q207" s="306">
        <f>MAX(0, P207 - $B$7*L207)</f>
        <v/>
      </c>
      <c r="R207" s="306">
        <f>P207-Q207</f>
        <v/>
      </c>
      <c r="S207" s="306">
        <f>IF(A207=$F$6, $B$18*$B$16*$B$17/1000000, 0) + IF(A207=$F$7, $B$18*$B$16*$B$17/1000000, 0) + IF(A207=$F$8, $B$18*$B$16*$B$17/1000000, 0) + IF(A207=$F$9, $B$18*$B$16*$B$17/1000000, 0) + IF(A207=$F$10, $B$18*$B$16*$B$17/1000000, 0)</f>
        <v/>
      </c>
      <c r="T207" s="306">
        <f>R207-S207-C207</f>
        <v/>
      </c>
      <c r="U207" s="306">
        <f>IF(AND(A207&lt;=$B$24, T207&gt;0), T207*$B$23, 0)</f>
        <v/>
      </c>
      <c r="V207" s="306">
        <f>T207-U207</f>
        <v/>
      </c>
      <c r="W207" s="306">
        <f>IF(AND(A207=$B$19, $B$21=1), K207*$B$20, 0)</f>
        <v/>
      </c>
      <c r="X207" s="306">
        <f>X206+V207+W207</f>
        <v/>
      </c>
    </row>
    <row r="208">
      <c r="A208" s="306" t="n">
        <v>178</v>
      </c>
      <c r="B208" s="306">
        <f>CEILING(A208/12,1)</f>
        <v/>
      </c>
      <c r="C208" s="306">
        <f>IF(A208&lt;=12, $B$15/12, 0)</f>
        <v/>
      </c>
      <c r="D208" s="306">
        <f>INDEX('26. Team Comp'!$D$28:$R$28, B208) * 0.001 / 12</f>
        <v/>
      </c>
      <c r="E208" s="306">
        <f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) * 200 / 12 / 1000</f>
        <v/>
      </c>
      <c r="F208" s="306">
        <f>IF(A208&lt;$F$6,0,IF(AND($B$21=1,A208&gt;$B$19),0,$E$6*$G$6^MIN((A208-$F$6)/12,6)*MIN($G$6,0.85)^MAX(0,(A208-$F$6)/12-6)))</f>
        <v/>
      </c>
      <c r="G208" s="306">
        <f>IF(A208&lt;$F$7,0,IF(AND($B$21=1,A208&gt;$B$19),0,$E$7*$G$7^MIN((A208-$F$7)/12,6)*MIN($G$7,0.85)^MAX(0,(A208-$F$7)/12-6)))</f>
        <v/>
      </c>
      <c r="H208" s="306">
        <f>IF(A208&lt;$F$8,0,IF(AND($B$21=1,A208&gt;$B$19),0,$E$8*$G$8^MIN((A208-$F$8)/12,6)*MIN($G$8,0.85)^MAX(0,(A208-$F$8)/12-6)))</f>
        <v/>
      </c>
      <c r="I208" s="306">
        <f>IF(A208&lt;$F$9,0,IF(AND($B$21=1,A208&gt;$B$19),0,$E$9*$G$9^MIN((A208-$F$9)/12,6)*MIN($G$9,0.85)^MAX(0,(A208-$F$9)/12-6)))</f>
        <v/>
      </c>
      <c r="J208" s="306">
        <f>IF(A208&lt;$F$10,0,IF(AND($B$21=1,A208&gt;$B$19),0,$E$10*$G$10^MIN((A208-$F$10)/12,6)*MIN($G$10,0.85)^MAX(0,(A208-$F$10)/12-6)))</f>
        <v/>
      </c>
      <c r="K208" s="306">
        <f>SUM(F208:J208)</f>
        <v/>
      </c>
      <c r="L208" s="306">
        <f>K208/12</f>
        <v/>
      </c>
      <c r="M208" s="306">
        <f>L208*$B$8</f>
        <v/>
      </c>
      <c r="N208" s="306">
        <f>L208*$B$9</f>
        <v/>
      </c>
      <c r="O208" s="306">
        <f>L208*$B$10</f>
        <v/>
      </c>
      <c r="P208" s="306">
        <f>L208-M208-N208-O208-D208-E208</f>
        <v/>
      </c>
      <c r="Q208" s="306">
        <f>MAX(0, P208 - $B$7*L208)</f>
        <v/>
      </c>
      <c r="R208" s="306">
        <f>P208-Q208</f>
        <v/>
      </c>
      <c r="S208" s="306">
        <f>IF(A208=$F$6, $B$18*$B$16*$B$17/1000000, 0) + IF(A208=$F$7, $B$18*$B$16*$B$17/1000000, 0) + IF(A208=$F$8, $B$18*$B$16*$B$17/1000000, 0) + IF(A208=$F$9, $B$18*$B$16*$B$17/1000000, 0) + IF(A208=$F$10, $B$18*$B$16*$B$17/1000000, 0)</f>
        <v/>
      </c>
      <c r="T208" s="306">
        <f>R208-S208-C208</f>
        <v/>
      </c>
      <c r="U208" s="306">
        <f>IF(AND(A208&lt;=$B$24, T208&gt;0), T208*$B$23, 0)</f>
        <v/>
      </c>
      <c r="V208" s="306">
        <f>T208-U208</f>
        <v/>
      </c>
      <c r="W208" s="306">
        <f>IF(AND(A208=$B$19, $B$21=1), K208*$B$20, 0)</f>
        <v/>
      </c>
      <c r="X208" s="306">
        <f>X207+V208+W208</f>
        <v/>
      </c>
    </row>
    <row r="209">
      <c r="A209" s="306" t="n">
        <v>179</v>
      </c>
      <c r="B209" s="306">
        <f>CEILING(A209/12,1)</f>
        <v/>
      </c>
      <c r="C209" s="306">
        <f>IF(A209&lt;=12, $B$15/12, 0)</f>
        <v/>
      </c>
      <c r="D209" s="306">
        <f>INDEX('26. Team Comp'!$D$28:$R$28, B209) * 0.001 / 12</f>
        <v/>
      </c>
      <c r="E209" s="306">
        <f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) * 200 / 12 / 1000</f>
        <v/>
      </c>
      <c r="F209" s="306">
        <f>IF(A209&lt;$F$6,0,IF(AND($B$21=1,A209&gt;$B$19),0,$E$6*$G$6^MIN((A209-$F$6)/12,6)*MIN($G$6,0.85)^MAX(0,(A209-$F$6)/12-6)))</f>
        <v/>
      </c>
      <c r="G209" s="306">
        <f>IF(A209&lt;$F$7,0,IF(AND($B$21=1,A209&gt;$B$19),0,$E$7*$G$7^MIN((A209-$F$7)/12,6)*MIN($G$7,0.85)^MAX(0,(A209-$F$7)/12-6)))</f>
        <v/>
      </c>
      <c r="H209" s="306">
        <f>IF(A209&lt;$F$8,0,IF(AND($B$21=1,A209&gt;$B$19),0,$E$8*$G$8^MIN((A209-$F$8)/12,6)*MIN($G$8,0.85)^MAX(0,(A209-$F$8)/12-6)))</f>
        <v/>
      </c>
      <c r="I209" s="306">
        <f>IF(A209&lt;$F$9,0,IF(AND($B$21=1,A209&gt;$B$19),0,$E$9*$G$9^MIN((A209-$F$9)/12,6)*MIN($G$9,0.85)^MAX(0,(A209-$F$9)/12-6)))</f>
        <v/>
      </c>
      <c r="J209" s="306">
        <f>IF(A209&lt;$F$10,0,IF(AND($B$21=1,A209&gt;$B$19),0,$E$10*$G$10^MIN((A209-$F$10)/12,6)*MIN($G$10,0.85)^MAX(0,(A209-$F$10)/12-6)))</f>
        <v/>
      </c>
      <c r="K209" s="306">
        <f>SUM(F209:J209)</f>
        <v/>
      </c>
      <c r="L209" s="306">
        <f>K209/12</f>
        <v/>
      </c>
      <c r="M209" s="306">
        <f>L209*$B$8</f>
        <v/>
      </c>
      <c r="N209" s="306">
        <f>L209*$B$9</f>
        <v/>
      </c>
      <c r="O209" s="306">
        <f>L209*$B$10</f>
        <v/>
      </c>
      <c r="P209" s="306">
        <f>L209-M209-N209-O209-D209-E209</f>
        <v/>
      </c>
      <c r="Q209" s="306">
        <f>MAX(0, P209 - $B$7*L209)</f>
        <v/>
      </c>
      <c r="R209" s="306">
        <f>P209-Q209</f>
        <v/>
      </c>
      <c r="S209" s="306">
        <f>IF(A209=$F$6, $B$18*$B$16*$B$17/1000000, 0) + IF(A209=$F$7, $B$18*$B$16*$B$17/1000000, 0) + IF(A209=$F$8, $B$18*$B$16*$B$17/1000000, 0) + IF(A209=$F$9, $B$18*$B$16*$B$17/1000000, 0) + IF(A209=$F$10, $B$18*$B$16*$B$17/1000000, 0)</f>
        <v/>
      </c>
      <c r="T209" s="306">
        <f>R209-S209-C209</f>
        <v/>
      </c>
      <c r="U209" s="306">
        <f>IF(AND(A209&lt;=$B$24, T209&gt;0), T209*$B$23, 0)</f>
        <v/>
      </c>
      <c r="V209" s="306">
        <f>T209-U209</f>
        <v/>
      </c>
      <c r="W209" s="306">
        <f>IF(AND(A209=$B$19, $B$21=1), K209*$B$20, 0)</f>
        <v/>
      </c>
      <c r="X209" s="306">
        <f>X208+V209+W209</f>
        <v/>
      </c>
    </row>
    <row r="210">
      <c r="A210" s="306" t="n">
        <v>180</v>
      </c>
      <c r="B210" s="306">
        <f>CEILING(A210/12,1)</f>
        <v/>
      </c>
      <c r="C210" s="306">
        <f>IF(A210&lt;=12, $B$15/12, 0)</f>
        <v/>
      </c>
      <c r="D210" s="306">
        <f>INDEX('26. Team Comp'!$D$28:$R$28, B210) * 0.001 / 12</f>
        <v/>
      </c>
      <c r="E210" s="306">
        <f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) * 200 / 12 / 1000</f>
        <v/>
      </c>
      <c r="F210" s="306">
        <f>IF(A210&lt;$F$6,0,IF(AND($B$21=1,A210&gt;$B$19),0,$E$6*$G$6^MIN((A210-$F$6)/12,6)*MIN($G$6,0.85)^MAX(0,(A210-$F$6)/12-6)))</f>
        <v/>
      </c>
      <c r="G210" s="306">
        <f>IF(A210&lt;$F$7,0,IF(AND($B$21=1,A210&gt;$B$19),0,$E$7*$G$7^MIN((A210-$F$7)/12,6)*MIN($G$7,0.85)^MAX(0,(A210-$F$7)/12-6)))</f>
        <v/>
      </c>
      <c r="H210" s="306">
        <f>IF(A210&lt;$F$8,0,IF(AND($B$21=1,A210&gt;$B$19),0,$E$8*$G$8^MIN((A210-$F$8)/12,6)*MIN($G$8,0.85)^MAX(0,(A210-$F$8)/12-6)))</f>
        <v/>
      </c>
      <c r="I210" s="306">
        <f>IF(A210&lt;$F$9,0,IF(AND($B$21=1,A210&gt;$B$19),0,$E$9*$G$9^MIN((A210-$F$9)/12,6)*MIN($G$9,0.85)^MAX(0,(A210-$F$9)/12-6)))</f>
        <v/>
      </c>
      <c r="J210" s="306">
        <f>IF(A210&lt;$F$10,0,IF(AND($B$21=1,A210&gt;$B$19),0,$E$10*$G$10^MIN((A210-$F$10)/12,6)*MIN($G$10,0.85)^MAX(0,(A210-$F$10)/12-6)))</f>
        <v/>
      </c>
      <c r="K210" s="306">
        <f>SUM(F210:J210)</f>
        <v/>
      </c>
      <c r="L210" s="306">
        <f>K210/12</f>
        <v/>
      </c>
      <c r="M210" s="306">
        <f>L210*$B$8</f>
        <v/>
      </c>
      <c r="N210" s="306">
        <f>L210*$B$9</f>
        <v/>
      </c>
      <c r="O210" s="306">
        <f>L210*$B$10</f>
        <v/>
      </c>
      <c r="P210" s="306">
        <f>L210-M210-N210-O210-D210-E210</f>
        <v/>
      </c>
      <c r="Q210" s="306">
        <f>MAX(0, P210 - $B$7*L210)</f>
        <v/>
      </c>
      <c r="R210" s="306">
        <f>P210-Q210</f>
        <v/>
      </c>
      <c r="S210" s="306">
        <f>IF(A210=$F$6, $B$18*$B$16*$B$17/1000000, 0) + IF(A210=$F$7, $B$18*$B$16*$B$17/1000000, 0) + IF(A210=$F$8, $B$18*$B$16*$B$17/1000000, 0) + IF(A210=$F$9, $B$18*$B$16*$B$17/1000000, 0) + IF(A210=$F$10, $B$18*$B$16*$B$17/1000000, 0)</f>
        <v/>
      </c>
      <c r="T210" s="306">
        <f>R210-S210-C210</f>
        <v/>
      </c>
      <c r="U210" s="306" t="n">
        <v>0</v>
      </c>
      <c r="V210" s="306">
        <f>T210-U210</f>
        <v/>
      </c>
      <c r="W210" s="306">
        <f>IF(AND(A210=$B$19, $B$21=1), K210*$B$20, 0) + IF(AND(A210=180, $B$21=0), K210*'1. Press Assumptions'!$B$141, 0)</f>
        <v/>
      </c>
      <c r="X210" s="306">
        <f>X209+V210+W210</f>
        <v/>
      </c>
    </row>
    <row r="213">
      <c r="A213" s="642" t="inlineStr">
        <is>
          <t>ANNUAL ROLLUP</t>
        </is>
      </c>
    </row>
    <row r="214" ht="28" customHeight="1" s="307">
      <c r="A214" s="643" t="inlineStr">
        <is>
          <t>Year</t>
        </is>
      </c>
      <c r="B214" s="643" t="inlineStr">
        <is>
          <t>Revenue</t>
        </is>
      </c>
      <c r="C214" s="643" t="inlineStr">
        <is>
          <t>COGS</t>
        </is>
      </c>
      <c r="D214" s="643" t="inlineStr">
        <is>
          <t>Vendor</t>
        </is>
      </c>
      <c r="E214" s="643" t="inlineStr">
        <is>
          <t>Corp Alloc</t>
        </is>
      </c>
      <c r="F214" s="643" t="inlineStr">
        <is>
          <t>Team Comp</t>
        </is>
      </c>
      <c r="G214" s="643" t="inlineStr">
        <is>
          <t>Legacy HC</t>
        </is>
      </c>
      <c r="H214" s="643" t="inlineStr">
        <is>
          <t>Bonus Pool</t>
        </is>
      </c>
      <c r="I214" s="643" t="inlineStr">
        <is>
          <t>EBITDA</t>
        </is>
      </c>
      <c r="J214" s="643" t="inlineStr">
        <is>
          <t>Severance</t>
        </is>
      </c>
      <c r="K214" s="643" t="inlineStr">
        <is>
          <t>Mgmt Fee</t>
        </is>
      </c>
      <c r="L214" s="643" t="inlineStr">
        <is>
          <t>Dist Pre-Retain</t>
        </is>
      </c>
      <c r="M214" s="643" t="inlineStr">
        <is>
          <t>Retained</t>
        </is>
      </c>
      <c r="N214" s="643" t="inlineStr">
        <is>
          <t>Dist Post</t>
        </is>
      </c>
      <c r="O214" s="643" t="inlineStr">
        <is>
          <t>Exit Proceeds</t>
        </is>
      </c>
      <c r="P214" s="643" t="inlineStr">
        <is>
          <t>Total Distributable</t>
        </is>
      </c>
    </row>
    <row r="215">
      <c r="A215" s="306" t="n">
        <v>1</v>
      </c>
      <c r="B215" s="306">
        <f>SUM(L31:L42)</f>
        <v/>
      </c>
      <c r="C215" s="306">
        <f>SUM(M31:M42)</f>
        <v/>
      </c>
      <c r="D215" s="306">
        <f>SUM(N31:N42)</f>
        <v/>
      </c>
      <c r="E215" s="306">
        <f>SUM(O31:O42)</f>
        <v/>
      </c>
      <c r="F215" s="306">
        <f>SUM(D31:D42)</f>
        <v/>
      </c>
      <c r="G215" s="306">
        <f>SUM(E31:E42)</f>
        <v/>
      </c>
      <c r="H215" s="306">
        <f>SUM(Q31:Q42)</f>
        <v/>
      </c>
      <c r="I215" s="306">
        <f>SUM(R31:R42)</f>
        <v/>
      </c>
      <c r="J215" s="306">
        <f>SUM(S31:S42)</f>
        <v/>
      </c>
      <c r="K215" s="306">
        <f>SUM(C31:C42)</f>
        <v/>
      </c>
      <c r="L215" s="306">
        <f>SUM(T31:T42)</f>
        <v/>
      </c>
      <c r="M215" s="306">
        <f>SUM(U31:U42)</f>
        <v/>
      </c>
      <c r="N215" s="306">
        <f>SUM(V31:V42)</f>
        <v/>
      </c>
      <c r="O215" s="306">
        <f>SUM(W31:W42)</f>
        <v/>
      </c>
      <c r="P215" s="306">
        <f>N215+O215</f>
        <v/>
      </c>
    </row>
    <row r="216">
      <c r="A216" s="306" t="n">
        <v>2</v>
      </c>
      <c r="B216" s="306">
        <f>SUM(L43:L54)</f>
        <v/>
      </c>
      <c r="C216" s="306">
        <f>SUM(M43:M54)</f>
        <v/>
      </c>
      <c r="D216" s="306">
        <f>SUM(N43:N54)</f>
        <v/>
      </c>
      <c r="E216" s="306">
        <f>SUM(O43:O54)</f>
        <v/>
      </c>
      <c r="F216" s="306">
        <f>SUM(D43:D54)</f>
        <v/>
      </c>
      <c r="G216" s="306">
        <f>SUM(E43:E54)</f>
        <v/>
      </c>
      <c r="H216" s="306">
        <f>SUM(Q43:Q54)</f>
        <v/>
      </c>
      <c r="I216" s="306">
        <f>SUM(R43:R54)</f>
        <v/>
      </c>
      <c r="J216" s="306">
        <f>SUM(S43:S54)</f>
        <v/>
      </c>
      <c r="K216" s="306">
        <f>SUM(C43:C54)</f>
        <v/>
      </c>
      <c r="L216" s="306">
        <f>SUM(T43:T54)</f>
        <v/>
      </c>
      <c r="M216" s="306">
        <f>SUM(U43:U54)</f>
        <v/>
      </c>
      <c r="N216" s="306">
        <f>SUM(V43:V54)</f>
        <v/>
      </c>
      <c r="O216" s="306">
        <f>SUM(W43:W54)</f>
        <v/>
      </c>
      <c r="P216" s="306">
        <f>N216+O216</f>
        <v/>
      </c>
    </row>
    <row r="217">
      <c r="A217" s="306" t="n">
        <v>3</v>
      </c>
      <c r="B217" s="306">
        <f>SUM(L55:L66)</f>
        <v/>
      </c>
      <c r="C217" s="306">
        <f>SUM(M55:M66)</f>
        <v/>
      </c>
      <c r="D217" s="306">
        <f>SUM(N55:N66)</f>
        <v/>
      </c>
      <c r="E217" s="306">
        <f>SUM(O55:O66)</f>
        <v/>
      </c>
      <c r="F217" s="306">
        <f>SUM(D55:D66)</f>
        <v/>
      </c>
      <c r="G217" s="306">
        <f>SUM(E55:E66)</f>
        <v/>
      </c>
      <c r="H217" s="306">
        <f>SUM(Q55:Q66)</f>
        <v/>
      </c>
      <c r="I217" s="306">
        <f>SUM(R55:R66)</f>
        <v/>
      </c>
      <c r="J217" s="306">
        <f>SUM(S55:S66)</f>
        <v/>
      </c>
      <c r="K217" s="306">
        <f>SUM(C55:C66)</f>
        <v/>
      </c>
      <c r="L217" s="306">
        <f>SUM(T55:T66)</f>
        <v/>
      </c>
      <c r="M217" s="306">
        <f>SUM(U55:U66)</f>
        <v/>
      </c>
      <c r="N217" s="306">
        <f>SUM(V55:V66)</f>
        <v/>
      </c>
      <c r="O217" s="306">
        <f>SUM(W55:W66)</f>
        <v/>
      </c>
      <c r="P217" s="306">
        <f>N217+O217</f>
        <v/>
      </c>
    </row>
    <row r="218">
      <c r="A218" s="306" t="n">
        <v>4</v>
      </c>
      <c r="B218" s="306">
        <f>SUM(L67:L78)</f>
        <v/>
      </c>
      <c r="C218" s="306">
        <f>SUM(M67:M78)</f>
        <v/>
      </c>
      <c r="D218" s="306">
        <f>SUM(N67:N78)</f>
        <v/>
      </c>
      <c r="E218" s="306">
        <f>SUM(O67:O78)</f>
        <v/>
      </c>
      <c r="F218" s="306">
        <f>SUM(D67:D78)</f>
        <v/>
      </c>
      <c r="G218" s="306">
        <f>SUM(E67:E78)</f>
        <v/>
      </c>
      <c r="H218" s="306">
        <f>SUM(Q67:Q78)</f>
        <v/>
      </c>
      <c r="I218" s="306">
        <f>SUM(R67:R78)</f>
        <v/>
      </c>
      <c r="J218" s="306">
        <f>SUM(S67:S78)</f>
        <v/>
      </c>
      <c r="K218" s="306">
        <f>SUM(C67:C78)</f>
        <v/>
      </c>
      <c r="L218" s="306">
        <f>SUM(T67:T78)</f>
        <v/>
      </c>
      <c r="M218" s="306">
        <f>SUM(U67:U78)</f>
        <v/>
      </c>
      <c r="N218" s="306">
        <f>SUM(V67:V78)</f>
        <v/>
      </c>
      <c r="O218" s="306">
        <f>SUM(W67:W78)</f>
        <v/>
      </c>
      <c r="P218" s="306">
        <f>N218+O218</f>
        <v/>
      </c>
    </row>
    <row r="219">
      <c r="A219" s="306" t="n">
        <v>5</v>
      </c>
      <c r="B219" s="306">
        <f>SUM(L79:L90)</f>
        <v/>
      </c>
      <c r="C219" s="306">
        <f>SUM(M79:M90)</f>
        <v/>
      </c>
      <c r="D219" s="306">
        <f>SUM(N79:N90)</f>
        <v/>
      </c>
      <c r="E219" s="306">
        <f>SUM(O79:O90)</f>
        <v/>
      </c>
      <c r="F219" s="306">
        <f>SUM(D79:D90)</f>
        <v/>
      </c>
      <c r="G219" s="306">
        <f>SUM(E79:E90)</f>
        <v/>
      </c>
      <c r="H219" s="306">
        <f>SUM(Q79:Q90)</f>
        <v/>
      </c>
      <c r="I219" s="306">
        <f>SUM(R79:R90)</f>
        <v/>
      </c>
      <c r="J219" s="306">
        <f>SUM(S79:S90)</f>
        <v/>
      </c>
      <c r="K219" s="306">
        <f>SUM(C79:C90)</f>
        <v/>
      </c>
      <c r="L219" s="306">
        <f>SUM(T79:T90)</f>
        <v/>
      </c>
      <c r="M219" s="306">
        <f>SUM(U79:U90)</f>
        <v/>
      </c>
      <c r="N219" s="306">
        <f>SUM(V79:V90)</f>
        <v/>
      </c>
      <c r="O219" s="306">
        <f>SUM(W79:W90)</f>
        <v/>
      </c>
      <c r="P219" s="306">
        <f>N219+O219</f>
        <v/>
      </c>
    </row>
    <row r="220">
      <c r="A220" s="306" t="n">
        <v>6</v>
      </c>
      <c r="B220" s="306">
        <f>SUM(L91:L102)</f>
        <v/>
      </c>
      <c r="C220" s="306">
        <f>SUM(M91:M102)</f>
        <v/>
      </c>
      <c r="D220" s="306">
        <f>SUM(N91:N102)</f>
        <v/>
      </c>
      <c r="E220" s="306">
        <f>SUM(O91:O102)</f>
        <v/>
      </c>
      <c r="F220" s="306">
        <f>SUM(D91:D102)</f>
        <v/>
      </c>
      <c r="G220" s="306">
        <f>SUM(E91:E102)</f>
        <v/>
      </c>
      <c r="H220" s="306">
        <f>SUM(Q91:Q102)</f>
        <v/>
      </c>
      <c r="I220" s="306">
        <f>SUM(R91:R102)</f>
        <v/>
      </c>
      <c r="J220" s="306">
        <f>SUM(S91:S102)</f>
        <v/>
      </c>
      <c r="K220" s="306">
        <f>SUM(C91:C102)</f>
        <v/>
      </c>
      <c r="L220" s="306">
        <f>SUM(T91:T102)</f>
        <v/>
      </c>
      <c r="M220" s="306">
        <f>SUM(U91:U102)</f>
        <v/>
      </c>
      <c r="N220" s="306">
        <f>SUM(V91:V102)</f>
        <v/>
      </c>
      <c r="O220" s="306">
        <f>SUM(W91:W102)</f>
        <v/>
      </c>
      <c r="P220" s="306">
        <f>N220+O220</f>
        <v/>
      </c>
    </row>
    <row r="221">
      <c r="A221" s="306" t="n">
        <v>7</v>
      </c>
      <c r="B221" s="306">
        <f>SUM(L103:L114)</f>
        <v/>
      </c>
      <c r="C221" s="306">
        <f>SUM(M103:M114)</f>
        <v/>
      </c>
      <c r="D221" s="306">
        <f>SUM(N103:N114)</f>
        <v/>
      </c>
      <c r="E221" s="306">
        <f>SUM(O103:O114)</f>
        <v/>
      </c>
      <c r="F221" s="306">
        <f>SUM(D103:D114)</f>
        <v/>
      </c>
      <c r="G221" s="306">
        <f>SUM(E103:E114)</f>
        <v/>
      </c>
      <c r="H221" s="306">
        <f>SUM(Q103:Q114)</f>
        <v/>
      </c>
      <c r="I221" s="306">
        <f>SUM(R103:R114)</f>
        <v/>
      </c>
      <c r="J221" s="306">
        <f>SUM(S103:S114)</f>
        <v/>
      </c>
      <c r="K221" s="306">
        <f>SUM(C103:C114)</f>
        <v/>
      </c>
      <c r="L221" s="306">
        <f>SUM(T103:T114)</f>
        <v/>
      </c>
      <c r="M221" s="306">
        <f>SUM(U103:U114)</f>
        <v/>
      </c>
      <c r="N221" s="306">
        <f>SUM(V103:V114)</f>
        <v/>
      </c>
      <c r="O221" s="306">
        <f>SUM(W103:W114)</f>
        <v/>
      </c>
      <c r="P221" s="306">
        <f>N221+O221</f>
        <v/>
      </c>
    </row>
    <row r="222">
      <c r="A222" s="306" t="n">
        <v>8</v>
      </c>
      <c r="B222" s="306">
        <f>SUM(L115:L126)</f>
        <v/>
      </c>
      <c r="C222" s="306">
        <f>SUM(M115:M126)</f>
        <v/>
      </c>
      <c r="D222" s="306">
        <f>SUM(N115:N126)</f>
        <v/>
      </c>
      <c r="E222" s="306">
        <f>SUM(O115:O126)</f>
        <v/>
      </c>
      <c r="F222" s="306">
        <f>SUM(D115:D126)</f>
        <v/>
      </c>
      <c r="G222" s="306">
        <f>SUM(E115:E126)</f>
        <v/>
      </c>
      <c r="H222" s="306">
        <f>SUM(Q115:Q126)</f>
        <v/>
      </c>
      <c r="I222" s="306">
        <f>SUM(R115:R126)</f>
        <v/>
      </c>
      <c r="J222" s="306">
        <f>SUM(S115:S126)</f>
        <v/>
      </c>
      <c r="K222" s="306">
        <f>SUM(C115:C126)</f>
        <v/>
      </c>
      <c r="L222" s="306">
        <f>SUM(T115:T126)</f>
        <v/>
      </c>
      <c r="M222" s="306">
        <f>SUM(U115:U126)</f>
        <v/>
      </c>
      <c r="N222" s="306">
        <f>SUM(V115:V126)</f>
        <v/>
      </c>
      <c r="O222" s="306">
        <f>SUM(W115:W126)</f>
        <v/>
      </c>
      <c r="P222" s="306">
        <f>N222+O222</f>
        <v/>
      </c>
    </row>
    <row r="223">
      <c r="A223" s="306" t="n">
        <v>9</v>
      </c>
      <c r="B223" s="306">
        <f>SUM(L127:L138)</f>
        <v/>
      </c>
      <c r="C223" s="306">
        <f>SUM(M127:M138)</f>
        <v/>
      </c>
      <c r="D223" s="306">
        <f>SUM(N127:N138)</f>
        <v/>
      </c>
      <c r="E223" s="306">
        <f>SUM(O127:O138)</f>
        <v/>
      </c>
      <c r="F223" s="306">
        <f>SUM(D127:D138)</f>
        <v/>
      </c>
      <c r="G223" s="306">
        <f>SUM(E127:E138)</f>
        <v/>
      </c>
      <c r="H223" s="306">
        <f>SUM(Q127:Q138)</f>
        <v/>
      </c>
      <c r="I223" s="306">
        <f>SUM(R127:R138)</f>
        <v/>
      </c>
      <c r="J223" s="306">
        <f>SUM(S127:S138)</f>
        <v/>
      </c>
      <c r="K223" s="306">
        <f>SUM(C127:C138)</f>
        <v/>
      </c>
      <c r="L223" s="306">
        <f>SUM(T127:T138)</f>
        <v/>
      </c>
      <c r="M223" s="306">
        <f>SUM(U127:U138)</f>
        <v/>
      </c>
      <c r="N223" s="306">
        <f>SUM(V127:V138)</f>
        <v/>
      </c>
      <c r="O223" s="306">
        <f>SUM(W127:W138)</f>
        <v/>
      </c>
      <c r="P223" s="306">
        <f>N223+O223</f>
        <v/>
      </c>
    </row>
    <row r="224">
      <c r="A224" s="306" t="n">
        <v>10</v>
      </c>
      <c r="B224" s="306">
        <f>SUM(L139:L150)</f>
        <v/>
      </c>
      <c r="C224" s="306">
        <f>SUM(M139:M150)</f>
        <v/>
      </c>
      <c r="D224" s="306">
        <f>SUM(N139:N150)</f>
        <v/>
      </c>
      <c r="E224" s="306">
        <f>SUM(O139:O150)</f>
        <v/>
      </c>
      <c r="F224" s="306">
        <f>SUM(D139:D150)</f>
        <v/>
      </c>
      <c r="G224" s="306">
        <f>SUM(E139:E150)</f>
        <v/>
      </c>
      <c r="H224" s="306">
        <f>SUM(Q139:Q150)</f>
        <v/>
      </c>
      <c r="I224" s="306">
        <f>SUM(R139:R150)</f>
        <v/>
      </c>
      <c r="J224" s="306">
        <f>SUM(S139:S150)</f>
        <v/>
      </c>
      <c r="K224" s="306">
        <f>SUM(C139:C150)</f>
        <v/>
      </c>
      <c r="L224" s="306">
        <f>SUM(T139:T150)</f>
        <v/>
      </c>
      <c r="M224" s="306">
        <f>SUM(U139:U150)</f>
        <v/>
      </c>
      <c r="N224" s="306">
        <f>SUM(V139:V150)</f>
        <v/>
      </c>
      <c r="O224" s="306">
        <f>SUM(W139:W150)</f>
        <v/>
      </c>
      <c r="P224" s="306">
        <f>N224+O224</f>
        <v/>
      </c>
    </row>
    <row r="225">
      <c r="A225" s="306" t="n">
        <v>11</v>
      </c>
      <c r="B225" s="306">
        <f>SUM(L151:L162)</f>
        <v/>
      </c>
      <c r="C225" s="306">
        <f>SUM(M151:M162)</f>
        <v/>
      </c>
      <c r="D225" s="306">
        <f>SUM(N151:N162)</f>
        <v/>
      </c>
      <c r="E225" s="306">
        <f>SUM(O151:O162)</f>
        <v/>
      </c>
      <c r="F225" s="306">
        <f>SUM(D151:D162)</f>
        <v/>
      </c>
      <c r="G225" s="306">
        <f>SUM(E151:E162)</f>
        <v/>
      </c>
      <c r="H225" s="306">
        <f>SUM(Q151:Q162)</f>
        <v/>
      </c>
      <c r="I225" s="306">
        <f>SUM(R151:R162)</f>
        <v/>
      </c>
      <c r="J225" s="306">
        <f>SUM(S151:S162)</f>
        <v/>
      </c>
      <c r="K225" s="306">
        <f>SUM(C151:C162)</f>
        <v/>
      </c>
      <c r="L225" s="306">
        <f>SUM(T151:T162)</f>
        <v/>
      </c>
      <c r="M225" s="306">
        <f>SUM(U151:U162)</f>
        <v/>
      </c>
      <c r="N225" s="306">
        <f>SUM(V151:V162)</f>
        <v/>
      </c>
      <c r="O225" s="306">
        <f>SUM(W151:W162)</f>
        <v/>
      </c>
      <c r="P225" s="306">
        <f>N225+O225</f>
        <v/>
      </c>
    </row>
    <row r="226">
      <c r="A226" s="306" t="n">
        <v>12</v>
      </c>
      <c r="B226" s="306">
        <f>SUM(L163:L174)</f>
        <v/>
      </c>
      <c r="C226" s="306">
        <f>SUM(M163:M174)</f>
        <v/>
      </c>
      <c r="D226" s="306">
        <f>SUM(N163:N174)</f>
        <v/>
      </c>
      <c r="E226" s="306">
        <f>SUM(O163:O174)</f>
        <v/>
      </c>
      <c r="F226" s="306">
        <f>SUM(D163:D174)</f>
        <v/>
      </c>
      <c r="G226" s="306">
        <f>SUM(E163:E174)</f>
        <v/>
      </c>
      <c r="H226" s="306">
        <f>SUM(Q163:Q174)</f>
        <v/>
      </c>
      <c r="I226" s="306">
        <f>SUM(R163:R174)</f>
        <v/>
      </c>
      <c r="J226" s="306">
        <f>SUM(S163:S174)</f>
        <v/>
      </c>
      <c r="K226" s="306">
        <f>SUM(C163:C174)</f>
        <v/>
      </c>
      <c r="L226" s="306">
        <f>SUM(T163:T174)</f>
        <v/>
      </c>
      <c r="M226" s="306">
        <f>SUM(U163:U174)</f>
        <v/>
      </c>
      <c r="N226" s="306">
        <f>SUM(V163:V174)</f>
        <v/>
      </c>
      <c r="O226" s="306">
        <f>SUM(W163:W174)</f>
        <v/>
      </c>
      <c r="P226" s="306">
        <f>N226+O226</f>
        <v/>
      </c>
    </row>
    <row r="227">
      <c r="A227" s="306" t="n">
        <v>13</v>
      </c>
      <c r="B227" s="306">
        <f>SUM(L175:L186)</f>
        <v/>
      </c>
      <c r="C227" s="306">
        <f>SUM(M175:M186)</f>
        <v/>
      </c>
      <c r="D227" s="306">
        <f>SUM(N175:N186)</f>
        <v/>
      </c>
      <c r="E227" s="306">
        <f>SUM(O175:O186)</f>
        <v/>
      </c>
      <c r="F227" s="306">
        <f>SUM(D175:D186)</f>
        <v/>
      </c>
      <c r="G227" s="306">
        <f>SUM(E175:E186)</f>
        <v/>
      </c>
      <c r="H227" s="306">
        <f>SUM(Q175:Q186)</f>
        <v/>
      </c>
      <c r="I227" s="306">
        <f>SUM(R175:R186)</f>
        <v/>
      </c>
      <c r="J227" s="306">
        <f>SUM(S175:S186)</f>
        <v/>
      </c>
      <c r="K227" s="306">
        <f>SUM(C175:C186)</f>
        <v/>
      </c>
      <c r="L227" s="306">
        <f>SUM(T175:T186)</f>
        <v/>
      </c>
      <c r="M227" s="306">
        <f>SUM(U175:U186)</f>
        <v/>
      </c>
      <c r="N227" s="306">
        <f>SUM(V175:V186)</f>
        <v/>
      </c>
      <c r="O227" s="306">
        <f>SUM(W175:W186)</f>
        <v/>
      </c>
      <c r="P227" s="306">
        <f>N227+O227</f>
        <v/>
      </c>
    </row>
    <row r="228">
      <c r="A228" s="306" t="n">
        <v>14</v>
      </c>
      <c r="B228" s="306">
        <f>SUM(L187:L198)</f>
        <v/>
      </c>
      <c r="C228" s="306">
        <f>SUM(M187:M198)</f>
        <v/>
      </c>
      <c r="D228" s="306">
        <f>SUM(N187:N198)</f>
        <v/>
      </c>
      <c r="E228" s="306">
        <f>SUM(O187:O198)</f>
        <v/>
      </c>
      <c r="F228" s="306">
        <f>SUM(D187:D198)</f>
        <v/>
      </c>
      <c r="G228" s="306">
        <f>SUM(E187:E198)</f>
        <v/>
      </c>
      <c r="H228" s="306">
        <f>SUM(Q187:Q198)</f>
        <v/>
      </c>
      <c r="I228" s="306">
        <f>SUM(R187:R198)</f>
        <v/>
      </c>
      <c r="J228" s="306">
        <f>SUM(S187:S198)</f>
        <v/>
      </c>
      <c r="K228" s="306">
        <f>SUM(C187:C198)</f>
        <v/>
      </c>
      <c r="L228" s="306">
        <f>SUM(T187:T198)</f>
        <v/>
      </c>
      <c r="M228" s="306">
        <f>SUM(U187:U198)</f>
        <v/>
      </c>
      <c r="N228" s="306">
        <f>SUM(V187:V198)</f>
        <v/>
      </c>
      <c r="O228" s="306">
        <f>SUM(W187:W198)</f>
        <v/>
      </c>
      <c r="P228" s="306">
        <f>N228+O228</f>
        <v/>
      </c>
    </row>
    <row r="229">
      <c r="A229" s="306" t="n">
        <v>15</v>
      </c>
      <c r="B229" s="306">
        <f>SUM(L199:L210)</f>
        <v/>
      </c>
      <c r="C229" s="306">
        <f>SUM(M199:M210)</f>
        <v/>
      </c>
      <c r="D229" s="306">
        <f>SUM(N199:N210)</f>
        <v/>
      </c>
      <c r="E229" s="306">
        <f>SUM(O199:O210)</f>
        <v/>
      </c>
      <c r="F229" s="306">
        <f>SUM(D199:D210)</f>
        <v/>
      </c>
      <c r="G229" s="306">
        <f>SUM(E199:E210)</f>
        <v/>
      </c>
      <c r="H229" s="306">
        <f>SUM(Q199:Q210)</f>
        <v/>
      </c>
      <c r="I229" s="306">
        <f>SUM(R199:R210)</f>
        <v/>
      </c>
      <c r="J229" s="306">
        <f>SUM(S199:S210)</f>
        <v/>
      </c>
      <c r="K229" s="306">
        <f>SUM(C199:C210)</f>
        <v/>
      </c>
      <c r="L229" s="306">
        <f>SUM(T199:T210)</f>
        <v/>
      </c>
      <c r="M229" s="306">
        <f>SUM(U199:U210)</f>
        <v/>
      </c>
      <c r="N229" s="306">
        <f>SUM(V199:V210)</f>
        <v/>
      </c>
      <c r="O229" s="306">
        <f>SUM(W199:W210)</f>
        <v/>
      </c>
      <c r="P229" s="306">
        <f>N229+O229</f>
        <v/>
      </c>
    </row>
    <row r="231">
      <c r="A231" s="642" t="inlineStr">
        <is>
          <t>WATERFALL</t>
        </is>
      </c>
    </row>
    <row r="232" ht="36" customHeight="1" s="307">
      <c r="A232" s="643" t="inlineStr">
        <is>
          <t>Year</t>
        </is>
      </c>
      <c r="B232" s="643" t="inlineStr">
        <is>
          <t>Annual Dist</t>
        </is>
      </c>
      <c r="C232" s="643" t="inlineStr">
        <is>
          <t>Cum Dist</t>
        </is>
      </c>
      <c r="D232" s="643" t="inlineStr">
        <is>
          <t>Unret BoY</t>
        </is>
      </c>
      <c r="E232" s="643" t="inlineStr">
        <is>
          <t>Pref Owed</t>
        </is>
      </c>
      <c r="F232" s="643" t="inlineStr">
        <is>
          <t>Cap Paid</t>
        </is>
      </c>
      <c r="G232" s="643" t="inlineStr">
        <is>
          <t>Pref Paid</t>
        </is>
      </c>
      <c r="H232" s="643" t="inlineStr">
        <is>
          <t>LP Profit</t>
        </is>
      </c>
      <c r="I232" s="643" t="inlineStr">
        <is>
          <t>GP Profit</t>
        </is>
      </c>
      <c r="J232" s="643" t="inlineStr">
        <is>
          <t>LP Cash Yr</t>
        </is>
      </c>
      <c r="K232" s="643" t="inlineStr">
        <is>
          <t>GP Carry Yr</t>
        </is>
      </c>
      <c r="L232" s="643" t="inlineStr">
        <is>
          <t>Cum LP</t>
        </is>
      </c>
      <c r="M232" s="643" t="inlineStr">
        <is>
          <t>Cum GP</t>
        </is>
      </c>
      <c r="N232" s="643" t="inlineStr">
        <is>
          <t>MOIC</t>
        </is>
      </c>
    </row>
    <row r="233">
      <c r="A233" s="306" t="n">
        <v>1</v>
      </c>
      <c r="B233" s="306">
        <f>P215</f>
        <v/>
      </c>
      <c r="C233" s="306">
        <f>B233</f>
        <v/>
      </c>
      <c r="D233" s="306">
        <f>$B$22</f>
        <v/>
      </c>
      <c r="E233" s="306">
        <f>D233*$B$11</f>
        <v/>
      </c>
      <c r="F233" s="306">
        <f>MIN(D233, MAX(0, B233))</f>
        <v/>
      </c>
      <c r="G233" s="306">
        <f>IF(D233-F233&lt;=0, MIN(E233, MAX(0, B233-F233)), 0)</f>
        <v/>
      </c>
      <c r="H233" s="306">
        <f>MAX(0, B233-F233-G233)*$B$12</f>
        <v/>
      </c>
      <c r="I233" s="306">
        <f>MAX(0, B233-F233-G233)*(1-$B$12)</f>
        <v/>
      </c>
      <c r="J233" s="306">
        <f>F233+G233+H233</f>
        <v/>
      </c>
      <c r="K233" s="306">
        <f>I233</f>
        <v/>
      </c>
      <c r="L233" s="306">
        <f>J233</f>
        <v/>
      </c>
      <c r="M233" s="306">
        <f>K233</f>
        <v/>
      </c>
      <c r="N233" s="306">
        <f>L233/$B$22</f>
        <v/>
      </c>
    </row>
    <row r="234">
      <c r="A234" s="306" t="n">
        <v>2</v>
      </c>
      <c r="B234" s="306">
        <f>P216</f>
        <v/>
      </c>
      <c r="C234" s="306">
        <f>C233+B234</f>
        <v/>
      </c>
      <c r="D234" s="306">
        <f>MAX(0, $B$22-SUM(F$233:F233))</f>
        <v/>
      </c>
      <c r="E234" s="306">
        <f>D234*$B$11</f>
        <v/>
      </c>
      <c r="F234" s="306">
        <f>MIN(D234, MAX(0, B234))</f>
        <v/>
      </c>
      <c r="G234" s="306">
        <f>IF(D234-F234&lt;=0, MIN(E234+SUM(E$233:E233)-SUM(G$233:G233), MAX(0, B234-F234)), 0)</f>
        <v/>
      </c>
      <c r="H234" s="306">
        <f>MAX(0, B234-F234-G234)*$B$12</f>
        <v/>
      </c>
      <c r="I234" s="306">
        <f>MAX(0, B234-F234-G234)*(1-$B$12)</f>
        <v/>
      </c>
      <c r="J234" s="306">
        <f>F234+G234+H234</f>
        <v/>
      </c>
      <c r="K234" s="306">
        <f>I234</f>
        <v/>
      </c>
      <c r="L234" s="306">
        <f>L233+J234</f>
        <v/>
      </c>
      <c r="M234" s="306">
        <f>M233+K234</f>
        <v/>
      </c>
      <c r="N234" s="306">
        <f>L234/$B$22</f>
        <v/>
      </c>
    </row>
    <row r="235">
      <c r="A235" s="306" t="n">
        <v>3</v>
      </c>
      <c r="B235" s="306">
        <f>P217</f>
        <v/>
      </c>
      <c r="C235" s="306">
        <f>C234+B235</f>
        <v/>
      </c>
      <c r="D235" s="306">
        <f>MAX(0, $B$22-SUM(F$233:F234))</f>
        <v/>
      </c>
      <c r="E235" s="306">
        <f>D235*$B$11</f>
        <v/>
      </c>
      <c r="F235" s="306">
        <f>MIN(D235, MAX(0, B235))</f>
        <v/>
      </c>
      <c r="G235" s="306">
        <f>IF(D235-F235&lt;=0, MIN(E235+SUM(E$233:E234)-SUM(G$233:G234), MAX(0, B235-F235)), 0)</f>
        <v/>
      </c>
      <c r="H235" s="306">
        <f>MAX(0, B235-F235-G235)*$B$12</f>
        <v/>
      </c>
      <c r="I235" s="306">
        <f>MAX(0, B235-F235-G235)*(1-$B$12)</f>
        <v/>
      </c>
      <c r="J235" s="306">
        <f>F235+G235+H235</f>
        <v/>
      </c>
      <c r="K235" s="306">
        <f>I235</f>
        <v/>
      </c>
      <c r="L235" s="306">
        <f>L234+J235</f>
        <v/>
      </c>
      <c r="M235" s="306">
        <f>M234+K235</f>
        <v/>
      </c>
      <c r="N235" s="306">
        <f>L235/$B$22</f>
        <v/>
      </c>
    </row>
    <row r="236">
      <c r="A236" s="306" t="n">
        <v>4</v>
      </c>
      <c r="B236" s="306">
        <f>P218</f>
        <v/>
      </c>
      <c r="C236" s="306">
        <f>C235+B236</f>
        <v/>
      </c>
      <c r="D236" s="306">
        <f>MAX(0, $B$22-SUM(F$233:F235))</f>
        <v/>
      </c>
      <c r="E236" s="306">
        <f>D236*$B$11</f>
        <v/>
      </c>
      <c r="F236" s="306">
        <f>MIN(D236, MAX(0, B236))</f>
        <v/>
      </c>
      <c r="G236" s="306">
        <f>IF(D236-F236&lt;=0, MIN(E236+SUM(E$233:E235)-SUM(G$233:G235), MAX(0, B236-F236)), 0)</f>
        <v/>
      </c>
      <c r="H236" s="306">
        <f>MAX(0, B236-F236-G236)*$B$12</f>
        <v/>
      </c>
      <c r="I236" s="306">
        <f>MAX(0, B236-F236-G236)*(1-$B$12)</f>
        <v/>
      </c>
      <c r="J236" s="306">
        <f>F236+G236+H236</f>
        <v/>
      </c>
      <c r="K236" s="306">
        <f>I236</f>
        <v/>
      </c>
      <c r="L236" s="306">
        <f>L235+J236</f>
        <v/>
      </c>
      <c r="M236" s="306">
        <f>M235+K236</f>
        <v/>
      </c>
      <c r="N236" s="306">
        <f>L236/$B$22</f>
        <v/>
      </c>
    </row>
    <row r="237">
      <c r="A237" s="306" t="n">
        <v>5</v>
      </c>
      <c r="B237" s="306">
        <f>P219</f>
        <v/>
      </c>
      <c r="C237" s="306">
        <f>C236+B237</f>
        <v/>
      </c>
      <c r="D237" s="306">
        <f>MAX(0, $B$22-SUM(F$233:F236))</f>
        <v/>
      </c>
      <c r="E237" s="306">
        <f>D237*$B$11</f>
        <v/>
      </c>
      <c r="F237" s="306">
        <f>MIN(D237, MAX(0, B237))</f>
        <v/>
      </c>
      <c r="G237" s="306">
        <f>IF(D237-F237&lt;=0, MIN(E237+SUM(E$233:E236)-SUM(G$233:G236), MAX(0, B237-F237)), 0)</f>
        <v/>
      </c>
      <c r="H237" s="306">
        <f>MAX(0, B237-F237-G237)*$B$12</f>
        <v/>
      </c>
      <c r="I237" s="306">
        <f>MAX(0, B237-F237-G237)*(1-$B$12)</f>
        <v/>
      </c>
      <c r="J237" s="306">
        <f>F237+G237+H237</f>
        <v/>
      </c>
      <c r="K237" s="306">
        <f>I237</f>
        <v/>
      </c>
      <c r="L237" s="306">
        <f>L236+J237</f>
        <v/>
      </c>
      <c r="M237" s="306">
        <f>M236+K237</f>
        <v/>
      </c>
      <c r="N237" s="306">
        <f>L237/$B$22</f>
        <v/>
      </c>
    </row>
    <row r="238">
      <c r="A238" s="306" t="n">
        <v>6</v>
      </c>
      <c r="B238" s="306">
        <f>P220</f>
        <v/>
      </c>
      <c r="C238" s="306">
        <f>C237+B238</f>
        <v/>
      </c>
      <c r="D238" s="306">
        <f>MAX(0, $B$22-SUM(F$233:F237))</f>
        <v/>
      </c>
      <c r="E238" s="306">
        <f>D238*$B$11</f>
        <v/>
      </c>
      <c r="F238" s="306">
        <f>MIN(D238, MAX(0, B238))</f>
        <v/>
      </c>
      <c r="G238" s="306">
        <f>IF(D238-F238&lt;=0, MIN(E238+SUM(E$233:E237)-SUM(G$233:G237), MAX(0, B238-F238)), 0)</f>
        <v/>
      </c>
      <c r="H238" s="306">
        <f>MAX(0, B238-F238-G238)*$B$12</f>
        <v/>
      </c>
      <c r="I238" s="306">
        <f>MAX(0, B238-F238-G238)*(1-$B$12)</f>
        <v/>
      </c>
      <c r="J238" s="306">
        <f>F238+G238+H238</f>
        <v/>
      </c>
      <c r="K238" s="306">
        <f>I238</f>
        <v/>
      </c>
      <c r="L238" s="306">
        <f>L237+J238</f>
        <v/>
      </c>
      <c r="M238" s="306">
        <f>M237+K238</f>
        <v/>
      </c>
      <c r="N238" s="306">
        <f>L238/$B$22</f>
        <v/>
      </c>
    </row>
    <row r="239">
      <c r="A239" s="306" t="n">
        <v>7</v>
      </c>
      <c r="B239" s="306">
        <f>P221</f>
        <v/>
      </c>
      <c r="C239" s="306">
        <f>C238+B239</f>
        <v/>
      </c>
      <c r="D239" s="306">
        <f>MAX(0, $B$22-SUM(F$233:F238))</f>
        <v/>
      </c>
      <c r="E239" s="306">
        <f>D239*$B$11</f>
        <v/>
      </c>
      <c r="F239" s="306">
        <f>MIN(D239, MAX(0, B239))</f>
        <v/>
      </c>
      <c r="G239" s="306">
        <f>IF(D239-F239&lt;=0, MIN(E239+SUM(E$233:E238)-SUM(G$233:G238), MAX(0, B239-F239)), 0)</f>
        <v/>
      </c>
      <c r="H239" s="306">
        <f>MAX(0, B239-F239-G239)*$B$12</f>
        <v/>
      </c>
      <c r="I239" s="306">
        <f>MAX(0, B239-F239-G239)*(1-$B$12)</f>
        <v/>
      </c>
      <c r="J239" s="306">
        <f>F239+G239+H239</f>
        <v/>
      </c>
      <c r="K239" s="306">
        <f>I239</f>
        <v/>
      </c>
      <c r="L239" s="306">
        <f>L238+J239</f>
        <v/>
      </c>
      <c r="M239" s="306">
        <f>M238+K239</f>
        <v/>
      </c>
      <c r="N239" s="306">
        <f>L239/$B$22</f>
        <v/>
      </c>
    </row>
    <row r="240">
      <c r="A240" s="306" t="n">
        <v>8</v>
      </c>
      <c r="B240" s="306">
        <f>P222</f>
        <v/>
      </c>
      <c r="C240" s="306">
        <f>C239+B240</f>
        <v/>
      </c>
      <c r="D240" s="306">
        <f>MAX(0, $B$22-SUM(F$233:F239))</f>
        <v/>
      </c>
      <c r="E240" s="306">
        <f>D240*$B$11</f>
        <v/>
      </c>
      <c r="F240" s="306">
        <f>MIN(D240, MAX(0, B240))</f>
        <v/>
      </c>
      <c r="G240" s="306">
        <f>IF(D240-F240&lt;=0, MIN(E240+SUM(E$233:E239)-SUM(G$233:G239), MAX(0, B240-F240)), 0)</f>
        <v/>
      </c>
      <c r="H240" s="306">
        <f>MAX(0, B240-F240-G240)*$B$12</f>
        <v/>
      </c>
      <c r="I240" s="306">
        <f>MAX(0, B240-F240-G240)*(1-$B$12)</f>
        <v/>
      </c>
      <c r="J240" s="306">
        <f>F240+G240+H240</f>
        <v/>
      </c>
      <c r="K240" s="306">
        <f>I240</f>
        <v/>
      </c>
      <c r="L240" s="306">
        <f>L239+J240</f>
        <v/>
      </c>
      <c r="M240" s="306">
        <f>M239+K240</f>
        <v/>
      </c>
      <c r="N240" s="306">
        <f>L240/$B$22</f>
        <v/>
      </c>
    </row>
    <row r="241">
      <c r="A241" s="306" t="n">
        <v>9</v>
      </c>
      <c r="B241" s="306">
        <f>P223</f>
        <v/>
      </c>
      <c r="C241" s="306">
        <f>C240+B241</f>
        <v/>
      </c>
      <c r="D241" s="306">
        <f>MAX(0, $B$22-SUM(F$233:F240))</f>
        <v/>
      </c>
      <c r="E241" s="306">
        <f>D241*$B$11</f>
        <v/>
      </c>
      <c r="F241" s="306">
        <f>MIN(D241, MAX(0, B241))</f>
        <v/>
      </c>
      <c r="G241" s="306">
        <f>IF(D241-F241&lt;=0, MIN(E241+SUM(E$233:E240)-SUM(G$233:G240), MAX(0, B241-F241)), 0)</f>
        <v/>
      </c>
      <c r="H241" s="306">
        <f>MAX(0, B241-F241-G241)*$B$12</f>
        <v/>
      </c>
      <c r="I241" s="306">
        <f>MAX(0, B241-F241-G241)*(1-$B$12)</f>
        <v/>
      </c>
      <c r="J241" s="306">
        <f>F241+G241+H241</f>
        <v/>
      </c>
      <c r="K241" s="306">
        <f>I241</f>
        <v/>
      </c>
      <c r="L241" s="306">
        <f>L240+J241</f>
        <v/>
      </c>
      <c r="M241" s="306">
        <f>M240+K241</f>
        <v/>
      </c>
      <c r="N241" s="306">
        <f>L241/$B$22</f>
        <v/>
      </c>
    </row>
    <row r="242">
      <c r="A242" s="306" t="n">
        <v>10</v>
      </c>
      <c r="B242" s="306">
        <f>P224</f>
        <v/>
      </c>
      <c r="C242" s="306">
        <f>C241+B242</f>
        <v/>
      </c>
      <c r="D242" s="306">
        <f>MAX(0, $B$22-SUM(F$233:F241))</f>
        <v/>
      </c>
      <c r="E242" s="306">
        <f>D242*$B$11</f>
        <v/>
      </c>
      <c r="F242" s="306">
        <f>MIN(D242, MAX(0, B242))</f>
        <v/>
      </c>
      <c r="G242" s="306">
        <f>IF(D242-F242&lt;=0, MIN(E242+SUM(E$233:E241)-SUM(G$233:G241), MAX(0, B242-F242)), 0)</f>
        <v/>
      </c>
      <c r="H242" s="306">
        <f>MAX(0, B242-F242-G242)*$B$12</f>
        <v/>
      </c>
      <c r="I242" s="306">
        <f>MAX(0, B242-F242-G242)*(1-$B$12)</f>
        <v/>
      </c>
      <c r="J242" s="306">
        <f>F242+G242+H242</f>
        <v/>
      </c>
      <c r="K242" s="306">
        <f>I242</f>
        <v/>
      </c>
      <c r="L242" s="306">
        <f>L241+J242</f>
        <v/>
      </c>
      <c r="M242" s="306">
        <f>M241+K242</f>
        <v/>
      </c>
      <c r="N242" s="306">
        <f>L242/$B$22</f>
        <v/>
      </c>
    </row>
    <row r="243">
      <c r="A243" s="306" t="n">
        <v>11</v>
      </c>
      <c r="B243" s="306">
        <f>P225</f>
        <v/>
      </c>
      <c r="C243" s="306">
        <f>C242+B243</f>
        <v/>
      </c>
      <c r="D243" s="306">
        <f>MAX(0, $B$22-SUM(F$233:F242))</f>
        <v/>
      </c>
      <c r="E243" s="306">
        <f>D243*$B$11</f>
        <v/>
      </c>
      <c r="F243" s="306">
        <f>MIN(D243, MAX(0, B243))</f>
        <v/>
      </c>
      <c r="G243" s="306">
        <f>IF(D243-F243&lt;=0, MIN(E243+SUM(E$233:E242)-SUM(G$233:G242), MAX(0, B243-F243)), 0)</f>
        <v/>
      </c>
      <c r="H243" s="306">
        <f>MAX(0, B243-F243-G243)*$B$12</f>
        <v/>
      </c>
      <c r="I243" s="306">
        <f>MAX(0, B243-F243-G243)*(1-$B$12)</f>
        <v/>
      </c>
      <c r="J243" s="306">
        <f>F243+G243+H243</f>
        <v/>
      </c>
      <c r="K243" s="306">
        <f>I243</f>
        <v/>
      </c>
      <c r="L243" s="306">
        <f>L242+J243</f>
        <v/>
      </c>
      <c r="M243" s="306">
        <f>M242+K243</f>
        <v/>
      </c>
      <c r="N243" s="306">
        <f>L243/$B$22</f>
        <v/>
      </c>
    </row>
    <row r="244">
      <c r="A244" s="306" t="n">
        <v>12</v>
      </c>
      <c r="B244" s="306">
        <f>P226</f>
        <v/>
      </c>
      <c r="C244" s="306">
        <f>C243+B244</f>
        <v/>
      </c>
      <c r="D244" s="306">
        <f>MAX(0, $B$22-SUM(F$233:F243))</f>
        <v/>
      </c>
      <c r="E244" s="306">
        <f>D244*$B$11</f>
        <v/>
      </c>
      <c r="F244" s="306">
        <f>MIN(D244, MAX(0, B244))</f>
        <v/>
      </c>
      <c r="G244" s="306">
        <f>IF(D244-F244&lt;=0, MIN(E244+SUM(E$233:E243)-SUM(G$233:G243), MAX(0, B244-F244)), 0)</f>
        <v/>
      </c>
      <c r="H244" s="306">
        <f>MAX(0, B244-F244-G244)*$B$12</f>
        <v/>
      </c>
      <c r="I244" s="306">
        <f>MAX(0, B244-F244-G244)*(1-$B$12)</f>
        <v/>
      </c>
      <c r="J244" s="306">
        <f>F244+G244+H244</f>
        <v/>
      </c>
      <c r="K244" s="306">
        <f>I244</f>
        <v/>
      </c>
      <c r="L244" s="306">
        <f>L243+J244</f>
        <v/>
      </c>
      <c r="M244" s="306">
        <f>M243+K244</f>
        <v/>
      </c>
      <c r="N244" s="306">
        <f>L244/$B$22</f>
        <v/>
      </c>
    </row>
    <row r="245">
      <c r="A245" s="306" t="n">
        <v>13</v>
      </c>
      <c r="B245" s="306">
        <f>P227</f>
        <v/>
      </c>
      <c r="C245" s="306">
        <f>C244+B245</f>
        <v/>
      </c>
      <c r="D245" s="306">
        <f>MAX(0, $B$22-SUM(F$233:F244))</f>
        <v/>
      </c>
      <c r="E245" s="306">
        <f>D245*$B$11</f>
        <v/>
      </c>
      <c r="F245" s="306">
        <f>MIN(D245, MAX(0, B245))</f>
        <v/>
      </c>
      <c r="G245" s="306">
        <f>IF(D245-F245&lt;=0, MIN(E245+SUM(E$233:E244)-SUM(G$233:G244), MAX(0, B245-F245)), 0)</f>
        <v/>
      </c>
      <c r="H245" s="306">
        <f>MAX(0, B245-F245-G245)*$B$12</f>
        <v/>
      </c>
      <c r="I245" s="306">
        <f>MAX(0, B245-F245-G245)*(1-$B$12)</f>
        <v/>
      </c>
      <c r="J245" s="306">
        <f>F245+G245+H245</f>
        <v/>
      </c>
      <c r="K245" s="306">
        <f>I245</f>
        <v/>
      </c>
      <c r="L245" s="306">
        <f>L244+J245</f>
        <v/>
      </c>
      <c r="M245" s="306">
        <f>M244+K245</f>
        <v/>
      </c>
      <c r="N245" s="306">
        <f>L245/$B$22</f>
        <v/>
      </c>
    </row>
    <row r="246">
      <c r="A246" s="306" t="n">
        <v>14</v>
      </c>
      <c r="B246" s="306">
        <f>P228</f>
        <v/>
      </c>
      <c r="C246" s="306">
        <f>C245+B246</f>
        <v/>
      </c>
      <c r="D246" s="306">
        <f>MAX(0, $B$22-SUM(F$233:F245))</f>
        <v/>
      </c>
      <c r="E246" s="306">
        <f>D246*$B$11</f>
        <v/>
      </c>
      <c r="F246" s="306">
        <f>MIN(D246, MAX(0, B246))</f>
        <v/>
      </c>
      <c r="G246" s="306">
        <f>IF(D246-F246&lt;=0, MIN(E246+SUM(E$233:E245)-SUM(G$233:G245), MAX(0, B246-F246)), 0)</f>
        <v/>
      </c>
      <c r="H246" s="306">
        <f>MAX(0, B246-F246-G246)*$B$12</f>
        <v/>
      </c>
      <c r="I246" s="306">
        <f>MAX(0, B246-F246-G246)*(1-$B$12)</f>
        <v/>
      </c>
      <c r="J246" s="306">
        <f>F246+G246+H246</f>
        <v/>
      </c>
      <c r="K246" s="306">
        <f>I246</f>
        <v/>
      </c>
      <c r="L246" s="306">
        <f>L245+J246</f>
        <v/>
      </c>
      <c r="M246" s="306">
        <f>M245+K246</f>
        <v/>
      </c>
      <c r="N246" s="306">
        <f>L246/$B$22</f>
        <v/>
      </c>
    </row>
    <row r="247">
      <c r="A247" s="306" t="n">
        <v>15</v>
      </c>
      <c r="B247" s="306">
        <f>P229</f>
        <v/>
      </c>
      <c r="C247" s="306">
        <f>C246+B247</f>
        <v/>
      </c>
      <c r="D247" s="306">
        <f>MAX(0, $B$22-SUM(F$233:F246))</f>
        <v/>
      </c>
      <c r="E247" s="306">
        <f>D247*$B$11</f>
        <v/>
      </c>
      <c r="F247" s="306">
        <f>MIN(D247, MAX(0, B247))</f>
        <v/>
      </c>
      <c r="G247" s="306">
        <f>IF(D247-F247&lt;=0, MIN(E247+SUM(E$233:E246)-SUM(G$233:G246), MAX(0, B247-F247)), 0)</f>
        <v/>
      </c>
      <c r="H247" s="306">
        <f>MAX(0, B247-F247-G247)*$B$12</f>
        <v/>
      </c>
      <c r="I247" s="306">
        <f>MAX(0, B247-F247-G247)*(1-$B$12)</f>
        <v/>
      </c>
      <c r="J247" s="306">
        <f>F247+G247+H247</f>
        <v/>
      </c>
      <c r="K247" s="306">
        <f>I247</f>
        <v/>
      </c>
      <c r="L247" s="306">
        <f>L246+J247</f>
        <v/>
      </c>
      <c r="M247" s="306">
        <f>M246+K247</f>
        <v/>
      </c>
      <c r="N247" s="306">
        <f>L247/$B$22</f>
        <v/>
      </c>
    </row>
    <row r="249">
      <c r="A249" s="642" t="inlineStr">
        <is>
          <t>SUMMARY</t>
        </is>
      </c>
    </row>
    <row r="250">
      <c r="A250" s="306" t="inlineStr">
        <is>
          <t>15Y LP Cash ($mm)</t>
        </is>
      </c>
      <c r="B250" s="306">
        <f>L247</f>
        <v/>
      </c>
    </row>
    <row r="251">
      <c r="A251" s="306" t="inlineStr">
        <is>
          <t>15Y GP Carry ($mm)</t>
        </is>
      </c>
      <c r="B251" s="306">
        <f>M247</f>
        <v/>
      </c>
    </row>
    <row r="252">
      <c r="A252" s="306" t="inlineStr">
        <is>
          <t>15Y DPI / MOIC</t>
        </is>
      </c>
      <c r="B252" s="306">
        <f>L247/$B$22</f>
        <v/>
      </c>
    </row>
    <row r="253">
      <c r="A253" s="306" t="inlineStr">
        <is>
          <t>10Y LP Cash ($mm)</t>
        </is>
      </c>
      <c r="B253" s="306">
        <f>L242</f>
        <v/>
      </c>
    </row>
    <row r="254">
      <c r="A254" s="306" t="inlineStr">
        <is>
          <t>10Y DPI / MOIC</t>
        </is>
      </c>
      <c r="B254" s="306">
        <f>L242/$B$22</f>
        <v/>
      </c>
    </row>
    <row r="255">
      <c r="A255" s="306" t="inlineStr">
        <is>
          <t>15Y Bonus Pool Total</t>
        </is>
      </c>
      <c r="B255" s="306">
        <f>SUM(H215:H229)</f>
        <v/>
      </c>
    </row>
    <row r="256">
      <c r="A256" s="306" t="inlineStr">
        <is>
          <t>15Y Team Comp Total</t>
        </is>
      </c>
      <c r="B256" s="306">
        <f>SUM(F215:F229)</f>
        <v/>
      </c>
    </row>
    <row r="259">
      <c r="A259" s="306" t="inlineStr">
        <is>
          <t>Yr</t>
        </is>
      </c>
      <c r="B259" s="306" t="inlineStr">
        <is>
          <t>LP Net Cash</t>
        </is>
      </c>
    </row>
    <row r="260">
      <c r="A260" s="306" t="n">
        <v>0</v>
      </c>
      <c r="B260" s="306">
        <f>-$B$22</f>
        <v/>
      </c>
    </row>
    <row r="261">
      <c r="A261" s="306" t="n">
        <v>1</v>
      </c>
      <c r="B261" s="306">
        <f>J233</f>
        <v/>
      </c>
    </row>
    <row r="262">
      <c r="A262" s="306" t="n">
        <v>2</v>
      </c>
      <c r="B262" s="306">
        <f>J234</f>
        <v/>
      </c>
    </row>
    <row r="263">
      <c r="A263" s="306" t="n">
        <v>3</v>
      </c>
      <c r="B263" s="306">
        <f>J235</f>
        <v/>
      </c>
    </row>
    <row r="264">
      <c r="A264" s="306" t="n">
        <v>4</v>
      </c>
      <c r="B264" s="306">
        <f>J236</f>
        <v/>
      </c>
    </row>
    <row r="265">
      <c r="A265" s="306" t="n">
        <v>5</v>
      </c>
      <c r="B265" s="306">
        <f>J237</f>
        <v/>
      </c>
    </row>
    <row r="266">
      <c r="A266" s="306" t="n">
        <v>6</v>
      </c>
      <c r="B266" s="306">
        <f>J238</f>
        <v/>
      </c>
    </row>
    <row r="267">
      <c r="A267" s="306" t="n">
        <v>7</v>
      </c>
      <c r="B267" s="306">
        <f>J239</f>
        <v/>
      </c>
    </row>
    <row r="268">
      <c r="A268" s="306" t="n">
        <v>8</v>
      </c>
      <c r="B268" s="306">
        <f>J240</f>
        <v/>
      </c>
    </row>
    <row r="269">
      <c r="A269" s="306" t="n">
        <v>9</v>
      </c>
      <c r="B269" s="306">
        <f>J241</f>
        <v/>
      </c>
    </row>
    <row r="270">
      <c r="A270" s="306" t="n">
        <v>10</v>
      </c>
      <c r="B270" s="306">
        <f>J242</f>
        <v/>
      </c>
    </row>
    <row r="271">
      <c r="A271" s="306" t="n">
        <v>11</v>
      </c>
      <c r="B271" s="306">
        <f>J243</f>
        <v/>
      </c>
    </row>
    <row r="272">
      <c r="A272" s="306" t="n">
        <v>12</v>
      </c>
      <c r="B272" s="306">
        <f>J244</f>
        <v/>
      </c>
    </row>
    <row r="273">
      <c r="A273" s="306" t="n">
        <v>13</v>
      </c>
      <c r="B273" s="306">
        <f>J245</f>
        <v/>
      </c>
    </row>
    <row r="274">
      <c r="A274" s="306" t="n">
        <v>14</v>
      </c>
      <c r="B274" s="306">
        <f>J246</f>
        <v/>
      </c>
    </row>
    <row r="275">
      <c r="A275" s="306" t="n">
        <v>15</v>
      </c>
      <c r="B275" s="306">
        <f>J247</f>
        <v/>
      </c>
    </row>
    <row r="276">
      <c r="A276" s="306" t="inlineStr">
        <is>
          <t>15Y IRR</t>
        </is>
      </c>
      <c r="B276" s="306">
        <f>IRR(B260:B275)</f>
        <v/>
      </c>
    </row>
    <row r="277">
      <c r="A277" s="306" t="inlineStr">
        <is>
          <t>10Y IRR</t>
        </is>
      </c>
      <c r="B277" s="306">
        <f>IRR(B260:B270)</f>
        <v/>
      </c>
    </row>
    <row r="290">
      <c r="A290" s="642" t="inlineStr">
        <is>
          <t>ESCALATING WATERFALL  (Tier 2: 1-2x 80/20; Tier 3: 2-3x 75/25; Tier 4: &gt;3x 70/30)</t>
        </is>
      </c>
    </row>
    <row r="291" ht="36" customHeight="1" s="307">
      <c r="A291" s="643" t="inlineStr">
        <is>
          <t>Year</t>
        </is>
      </c>
      <c r="B291" s="643" t="inlineStr">
        <is>
          <t>Annual Dist</t>
        </is>
      </c>
      <c r="C291" s="643" t="inlineStr">
        <is>
          <t>Unret BoY</t>
        </is>
      </c>
      <c r="D291" s="643" t="inlineStr">
        <is>
          <t>Pref Owed</t>
        </is>
      </c>
      <c r="E291" s="643" t="inlineStr">
        <is>
          <t>Cap Paid</t>
        </is>
      </c>
      <c r="F291" s="643" t="inlineStr">
        <is>
          <t>Pref Paid</t>
        </is>
      </c>
      <c r="G291" s="643" t="inlineStr">
        <is>
          <t>Avail Profit</t>
        </is>
      </c>
      <c r="H291" s="643" t="inlineStr">
        <is>
          <t>Start Cum LP</t>
        </is>
      </c>
      <c r="I291" s="643" t="inlineStr">
        <is>
          <t>T2 Profit</t>
        </is>
      </c>
      <c r="J291" s="643" t="inlineStr">
        <is>
          <t>T3 Profit</t>
        </is>
      </c>
      <c r="K291" s="643" t="inlineStr">
        <is>
          <t>T4 Profit</t>
        </is>
      </c>
      <c r="L291" s="643" t="inlineStr">
        <is>
          <t>LP Profit</t>
        </is>
      </c>
      <c r="M291" s="643" t="inlineStr">
        <is>
          <t>GP Carry</t>
        </is>
      </c>
      <c r="N291" s="643" t="inlineStr">
        <is>
          <t>LP Cash Yr</t>
        </is>
      </c>
      <c r="O291" s="643" t="inlineStr">
        <is>
          <t>GP Carry Yr</t>
        </is>
      </c>
      <c r="P291" s="643" t="inlineStr">
        <is>
          <t>Cum LP</t>
        </is>
      </c>
      <c r="Q291" s="643" t="inlineStr">
        <is>
          <t>Cum GP</t>
        </is>
      </c>
      <c r="R291" s="643" t="inlineStr">
        <is>
          <t>MOIC</t>
        </is>
      </c>
    </row>
    <row r="292">
      <c r="A292" s="306" t="n">
        <v>1</v>
      </c>
      <c r="B292" s="306">
        <f>P215</f>
        <v/>
      </c>
      <c r="C292" s="306">
        <f>$B$22</f>
        <v/>
      </c>
      <c r="D292" s="306">
        <f>C292*$B$11</f>
        <v/>
      </c>
      <c r="E292" s="306">
        <f>MIN(C292, MAX(0, B292))</f>
        <v/>
      </c>
      <c r="F292" s="306">
        <f>IF(C292-E292&lt;=0, MIN(D292, MAX(0, B292-E292)), 0)</f>
        <v/>
      </c>
      <c r="G292" s="306">
        <f>MAX(0, B292-E292-F292)</f>
        <v/>
      </c>
      <c r="H292" s="306" t="n">
        <v>0</v>
      </c>
      <c r="I292" s="306">
        <f>IF(H292&lt;2*$B$22, MIN(G292, (2*$B$22-H292)/'1. Press Assumptions'!$B$40), 0)</f>
        <v/>
      </c>
      <c r="J292" s="306">
        <f>IF(H292+I292*'1. Press Assumptions'!$B$40&lt;3*$B$22, MIN(MAX(0, G292-I292), (3*$B$22-(H292+I292*'1. Press Assumptions'!$B$40))/'1. Press Assumptions'!$B$41), 0)</f>
        <v/>
      </c>
      <c r="K292" s="306">
        <f>MAX(0, G292-I292-J292)</f>
        <v/>
      </c>
      <c r="L292" s="306">
        <f>I292*'1. Press Assumptions'!$B$40+J292*'1. Press Assumptions'!$B$41+K292*'1. Press Assumptions'!$B$42</f>
        <v/>
      </c>
      <c r="M292" s="306">
        <f>I292*(1-'1. Press Assumptions'!$B$40)+J292*(1-'1. Press Assumptions'!$B$41)+K292*(1-'1. Press Assumptions'!$B$42)</f>
        <v/>
      </c>
      <c r="N292" s="306">
        <f>E292+F292+L292</f>
        <v/>
      </c>
      <c r="O292" s="306">
        <f>M292</f>
        <v/>
      </c>
      <c r="P292" s="306">
        <f>N292</f>
        <v/>
      </c>
      <c r="Q292" s="306">
        <f>O292</f>
        <v/>
      </c>
      <c r="R292" s="306">
        <f>P292/$B$22</f>
        <v/>
      </c>
    </row>
    <row r="293">
      <c r="A293" s="306" t="n">
        <v>2</v>
      </c>
      <c r="B293" s="306">
        <f>P216</f>
        <v/>
      </c>
      <c r="C293" s="306">
        <f>MAX(0, $B$22-SUM(E$292:E292))</f>
        <v/>
      </c>
      <c r="D293" s="306">
        <f>C293*$B$11</f>
        <v/>
      </c>
      <c r="E293" s="306">
        <f>MIN(C293, MAX(0, B293))</f>
        <v/>
      </c>
      <c r="F293" s="306">
        <f>IF(C293-E293&lt;=0, MIN(D293+SUM(D$292:D292)-SUM(F$292:F292), MAX(0, B293-E293)), 0)</f>
        <v/>
      </c>
      <c r="G293" s="306">
        <f>MAX(0, B293-E293-F293)</f>
        <v/>
      </c>
      <c r="H293" s="306">
        <f>P292</f>
        <v/>
      </c>
      <c r="I293" s="306">
        <f>IF(H293&lt;2*$B$22, MIN(G293, (2*$B$22-H293)/'1. Press Assumptions'!$B$40), 0)</f>
        <v/>
      </c>
      <c r="J293" s="306">
        <f>IF(H293+I293*'1. Press Assumptions'!$B$40&lt;3*$B$22, MIN(MAX(0, G293-I293), (3*$B$22-(H293+I293*'1. Press Assumptions'!$B$40))/'1. Press Assumptions'!$B$41), 0)</f>
        <v/>
      </c>
      <c r="K293" s="306">
        <f>MAX(0, G293-I293-J293)</f>
        <v/>
      </c>
      <c r="L293" s="306">
        <f>I293*'1. Press Assumptions'!$B$40+J293*'1. Press Assumptions'!$B$41+K293*'1. Press Assumptions'!$B$42</f>
        <v/>
      </c>
      <c r="M293" s="306">
        <f>I293*(1-'1. Press Assumptions'!$B$40)+J293*(1-'1. Press Assumptions'!$B$41)+K293*(1-'1. Press Assumptions'!$B$42)</f>
        <v/>
      </c>
      <c r="N293" s="306">
        <f>E293+F293+L293</f>
        <v/>
      </c>
      <c r="O293" s="306">
        <f>M293</f>
        <v/>
      </c>
      <c r="P293" s="306">
        <f>P292+N293</f>
        <v/>
      </c>
      <c r="Q293" s="306">
        <f>Q292+O293</f>
        <v/>
      </c>
      <c r="R293" s="306">
        <f>P293/$B$22</f>
        <v/>
      </c>
    </row>
    <row r="294">
      <c r="A294" s="306" t="n">
        <v>3</v>
      </c>
      <c r="B294" s="306">
        <f>P217</f>
        <v/>
      </c>
      <c r="C294" s="306">
        <f>MAX(0, $B$22-SUM(E$292:E293))</f>
        <v/>
      </c>
      <c r="D294" s="306">
        <f>C294*$B$11</f>
        <v/>
      </c>
      <c r="E294" s="306">
        <f>MIN(C294, MAX(0, B294))</f>
        <v/>
      </c>
      <c r="F294" s="306">
        <f>IF(C294-E294&lt;=0, MIN(D294+SUM(D$292:D293)-SUM(F$292:F293), MAX(0, B294-E294)), 0)</f>
        <v/>
      </c>
      <c r="G294" s="306">
        <f>MAX(0, B294-E294-F294)</f>
        <v/>
      </c>
      <c r="H294" s="306">
        <f>P293</f>
        <v/>
      </c>
      <c r="I294" s="306">
        <f>IF(H294&lt;2*$B$22, MIN(G294, (2*$B$22-H294)/'1. Press Assumptions'!$B$40), 0)</f>
        <v/>
      </c>
      <c r="J294" s="306">
        <f>IF(H294+I294*'1. Press Assumptions'!$B$40&lt;3*$B$22, MIN(MAX(0, G294-I294), (3*$B$22-(H294+I294*'1. Press Assumptions'!$B$40))/'1. Press Assumptions'!$B$41), 0)</f>
        <v/>
      </c>
      <c r="K294" s="306">
        <f>MAX(0, G294-I294-J294)</f>
        <v/>
      </c>
      <c r="L294" s="306">
        <f>I294*'1. Press Assumptions'!$B$40+J294*'1. Press Assumptions'!$B$41+K294*'1. Press Assumptions'!$B$42</f>
        <v/>
      </c>
      <c r="M294" s="306">
        <f>I294*(1-'1. Press Assumptions'!$B$40)+J294*(1-'1. Press Assumptions'!$B$41)+K294*(1-'1. Press Assumptions'!$B$42)</f>
        <v/>
      </c>
      <c r="N294" s="306">
        <f>E294+F294+L294</f>
        <v/>
      </c>
      <c r="O294" s="306">
        <f>M294</f>
        <v/>
      </c>
      <c r="P294" s="306">
        <f>P293+N294</f>
        <v/>
      </c>
      <c r="Q294" s="306">
        <f>Q293+O294</f>
        <v/>
      </c>
      <c r="R294" s="306">
        <f>P294/$B$22</f>
        <v/>
      </c>
    </row>
    <row r="295">
      <c r="A295" s="306" t="n">
        <v>4</v>
      </c>
      <c r="B295" s="306">
        <f>P218</f>
        <v/>
      </c>
      <c r="C295" s="306">
        <f>MAX(0, $B$22-SUM(E$292:E294))</f>
        <v/>
      </c>
      <c r="D295" s="306">
        <f>C295*$B$11</f>
        <v/>
      </c>
      <c r="E295" s="306">
        <f>MIN(C295, MAX(0, B295))</f>
        <v/>
      </c>
      <c r="F295" s="306">
        <f>IF(C295-E295&lt;=0, MIN(D295+SUM(D$292:D294)-SUM(F$292:F294), MAX(0, B295-E295)), 0)</f>
        <v/>
      </c>
      <c r="G295" s="306">
        <f>MAX(0, B295-E295-F295)</f>
        <v/>
      </c>
      <c r="H295" s="306">
        <f>P294</f>
        <v/>
      </c>
      <c r="I295" s="306">
        <f>IF(H295&lt;2*$B$22, MIN(G295, (2*$B$22-H295)/'1. Press Assumptions'!$B$40), 0)</f>
        <v/>
      </c>
      <c r="J295" s="306">
        <f>IF(H295+I295*'1. Press Assumptions'!$B$40&lt;3*$B$22, MIN(MAX(0, G295-I295), (3*$B$22-(H295+I295*'1. Press Assumptions'!$B$40))/'1. Press Assumptions'!$B$41), 0)</f>
        <v/>
      </c>
      <c r="K295" s="306">
        <f>MAX(0, G295-I295-J295)</f>
        <v/>
      </c>
      <c r="L295" s="306">
        <f>I295*'1. Press Assumptions'!$B$40+J295*'1. Press Assumptions'!$B$41+K295*'1. Press Assumptions'!$B$42</f>
        <v/>
      </c>
      <c r="M295" s="306">
        <f>I295*(1-'1. Press Assumptions'!$B$40)+J295*(1-'1. Press Assumptions'!$B$41)+K295*(1-'1. Press Assumptions'!$B$42)</f>
        <v/>
      </c>
      <c r="N295" s="306">
        <f>E295+F295+L295</f>
        <v/>
      </c>
      <c r="O295" s="306">
        <f>M295</f>
        <v/>
      </c>
      <c r="P295" s="306">
        <f>P294+N295</f>
        <v/>
      </c>
      <c r="Q295" s="306">
        <f>Q294+O295</f>
        <v/>
      </c>
      <c r="R295" s="306">
        <f>P295/$B$22</f>
        <v/>
      </c>
    </row>
    <row r="296">
      <c r="A296" s="306" t="n">
        <v>5</v>
      </c>
      <c r="B296" s="306">
        <f>P219</f>
        <v/>
      </c>
      <c r="C296" s="306">
        <f>MAX(0, $B$22-SUM(E$292:E295))</f>
        <v/>
      </c>
      <c r="D296" s="306">
        <f>C296*$B$11</f>
        <v/>
      </c>
      <c r="E296" s="306">
        <f>MIN(C296, MAX(0, B296))</f>
        <v/>
      </c>
      <c r="F296" s="306">
        <f>IF(C296-E296&lt;=0, MIN(D296+SUM(D$292:D295)-SUM(F$292:F295), MAX(0, B296-E296)), 0)</f>
        <v/>
      </c>
      <c r="G296" s="306">
        <f>MAX(0, B296-E296-F296)</f>
        <v/>
      </c>
      <c r="H296" s="306">
        <f>P295</f>
        <v/>
      </c>
      <c r="I296" s="306">
        <f>IF(H296&lt;2*$B$22, MIN(G296, (2*$B$22-H296)/'1. Press Assumptions'!$B$40), 0)</f>
        <v/>
      </c>
      <c r="J296" s="306">
        <f>IF(H296+I296*'1. Press Assumptions'!$B$40&lt;3*$B$22, MIN(MAX(0, G296-I296), (3*$B$22-(H296+I296*'1. Press Assumptions'!$B$40))/'1. Press Assumptions'!$B$41), 0)</f>
        <v/>
      </c>
      <c r="K296" s="306">
        <f>MAX(0, G296-I296-J296)</f>
        <v/>
      </c>
      <c r="L296" s="306">
        <f>I296*'1. Press Assumptions'!$B$40+J296*'1. Press Assumptions'!$B$41+K296*'1. Press Assumptions'!$B$42</f>
        <v/>
      </c>
      <c r="M296" s="306">
        <f>I296*(1-'1. Press Assumptions'!$B$40)+J296*(1-'1. Press Assumptions'!$B$41)+K296*(1-'1. Press Assumptions'!$B$42)</f>
        <v/>
      </c>
      <c r="N296" s="306">
        <f>E296+F296+L296</f>
        <v/>
      </c>
      <c r="O296" s="306">
        <f>M296</f>
        <v/>
      </c>
      <c r="P296" s="306">
        <f>P295+N296</f>
        <v/>
      </c>
      <c r="Q296" s="306">
        <f>Q295+O296</f>
        <v/>
      </c>
      <c r="R296" s="306">
        <f>P296/$B$22</f>
        <v/>
      </c>
    </row>
    <row r="297">
      <c r="A297" s="306" t="n">
        <v>6</v>
      </c>
      <c r="B297" s="306">
        <f>P220</f>
        <v/>
      </c>
      <c r="C297" s="306">
        <f>MAX(0, $B$22-SUM(E$292:E296))</f>
        <v/>
      </c>
      <c r="D297" s="306">
        <f>C297*$B$11</f>
        <v/>
      </c>
      <c r="E297" s="306">
        <f>MIN(C297, MAX(0, B297))</f>
        <v/>
      </c>
      <c r="F297" s="306">
        <f>IF(C297-E297&lt;=0, MIN(D297+SUM(D$292:D296)-SUM(F$292:F296), MAX(0, B297-E297)), 0)</f>
        <v/>
      </c>
      <c r="G297" s="306">
        <f>MAX(0, B297-E297-F297)</f>
        <v/>
      </c>
      <c r="H297" s="306">
        <f>P296</f>
        <v/>
      </c>
      <c r="I297" s="306">
        <f>IF(H297&lt;2*$B$22, MIN(G297, (2*$B$22-H297)/'1. Press Assumptions'!$B$40), 0)</f>
        <v/>
      </c>
      <c r="J297" s="306">
        <f>IF(H297+I297*'1. Press Assumptions'!$B$40&lt;3*$B$22, MIN(MAX(0, G297-I297), (3*$B$22-(H297+I297*'1. Press Assumptions'!$B$40))/'1. Press Assumptions'!$B$41), 0)</f>
        <v/>
      </c>
      <c r="K297" s="306">
        <f>MAX(0, G297-I297-J297)</f>
        <v/>
      </c>
      <c r="L297" s="306">
        <f>I297*'1. Press Assumptions'!$B$40+J297*'1. Press Assumptions'!$B$41+K297*'1. Press Assumptions'!$B$42</f>
        <v/>
      </c>
      <c r="M297" s="306">
        <f>I297*(1-'1. Press Assumptions'!$B$40)+J297*(1-'1. Press Assumptions'!$B$41)+K297*(1-'1. Press Assumptions'!$B$42)</f>
        <v/>
      </c>
      <c r="N297" s="306">
        <f>E297+F297+L297</f>
        <v/>
      </c>
      <c r="O297" s="306">
        <f>M297</f>
        <v/>
      </c>
      <c r="P297" s="306">
        <f>P296+N297</f>
        <v/>
      </c>
      <c r="Q297" s="306">
        <f>Q296+O297</f>
        <v/>
      </c>
      <c r="R297" s="306">
        <f>P297/$B$22</f>
        <v/>
      </c>
    </row>
    <row r="298">
      <c r="A298" s="306" t="n">
        <v>7</v>
      </c>
      <c r="B298" s="306">
        <f>P221</f>
        <v/>
      </c>
      <c r="C298" s="306">
        <f>MAX(0, $B$22-SUM(E$292:E297))</f>
        <v/>
      </c>
      <c r="D298" s="306">
        <f>C298*$B$11</f>
        <v/>
      </c>
      <c r="E298" s="306">
        <f>MIN(C298, MAX(0, B298))</f>
        <v/>
      </c>
      <c r="F298" s="306">
        <f>IF(C298-E298&lt;=0, MIN(D298+SUM(D$292:D297)-SUM(F$292:F297), MAX(0, B298-E298)), 0)</f>
        <v/>
      </c>
      <c r="G298" s="306">
        <f>MAX(0, B298-E298-F298)</f>
        <v/>
      </c>
      <c r="H298" s="306">
        <f>P297</f>
        <v/>
      </c>
      <c r="I298" s="306">
        <f>IF(H298&lt;2*$B$22, MIN(G298, (2*$B$22-H298)/'1. Press Assumptions'!$B$40), 0)</f>
        <v/>
      </c>
      <c r="J298" s="306">
        <f>IF(H298+I298*'1. Press Assumptions'!$B$40&lt;3*$B$22, MIN(MAX(0, G298-I298), (3*$B$22-(H298+I298*'1. Press Assumptions'!$B$40))/'1. Press Assumptions'!$B$41), 0)</f>
        <v/>
      </c>
      <c r="K298" s="306">
        <f>MAX(0, G298-I298-J298)</f>
        <v/>
      </c>
      <c r="L298" s="306">
        <f>I298*'1. Press Assumptions'!$B$40+J298*'1. Press Assumptions'!$B$41+K298*'1. Press Assumptions'!$B$42</f>
        <v/>
      </c>
      <c r="M298" s="306">
        <f>I298*(1-'1. Press Assumptions'!$B$40)+J298*(1-'1. Press Assumptions'!$B$41)+K298*(1-'1. Press Assumptions'!$B$42)</f>
        <v/>
      </c>
      <c r="N298" s="306">
        <f>E298+F298+L298</f>
        <v/>
      </c>
      <c r="O298" s="306">
        <f>M298</f>
        <v/>
      </c>
      <c r="P298" s="306">
        <f>P297+N298</f>
        <v/>
      </c>
      <c r="Q298" s="306">
        <f>Q297+O298</f>
        <v/>
      </c>
      <c r="R298" s="306">
        <f>P298/$B$22</f>
        <v/>
      </c>
    </row>
    <row r="299">
      <c r="A299" s="306" t="n">
        <v>8</v>
      </c>
      <c r="B299" s="306">
        <f>P222</f>
        <v/>
      </c>
      <c r="C299" s="306">
        <f>MAX(0, $B$22-SUM(E$292:E298))</f>
        <v/>
      </c>
      <c r="D299" s="306">
        <f>C299*$B$11</f>
        <v/>
      </c>
      <c r="E299" s="306">
        <f>MIN(C299, MAX(0, B299))</f>
        <v/>
      </c>
      <c r="F299" s="306">
        <f>IF(C299-E299&lt;=0, MIN(D299+SUM(D$292:D298)-SUM(F$292:F298), MAX(0, B299-E299)), 0)</f>
        <v/>
      </c>
      <c r="G299" s="306">
        <f>MAX(0, B299-E299-F299)</f>
        <v/>
      </c>
      <c r="H299" s="306">
        <f>P298</f>
        <v/>
      </c>
      <c r="I299" s="306">
        <f>IF(H299&lt;2*$B$22, MIN(G299, (2*$B$22-H299)/'1. Press Assumptions'!$B$40), 0)</f>
        <v/>
      </c>
      <c r="J299" s="306">
        <f>IF(H299+I299*'1. Press Assumptions'!$B$40&lt;3*$B$22, MIN(MAX(0, G299-I299), (3*$B$22-(H299+I299*'1. Press Assumptions'!$B$40))/'1. Press Assumptions'!$B$41), 0)</f>
        <v/>
      </c>
      <c r="K299" s="306">
        <f>MAX(0, G299-I299-J299)</f>
        <v/>
      </c>
      <c r="L299" s="306">
        <f>I299*'1. Press Assumptions'!$B$40+J299*'1. Press Assumptions'!$B$41+K299*'1. Press Assumptions'!$B$42</f>
        <v/>
      </c>
      <c r="M299" s="306">
        <f>I299*(1-'1. Press Assumptions'!$B$40)+J299*(1-'1. Press Assumptions'!$B$41)+K299*(1-'1. Press Assumptions'!$B$42)</f>
        <v/>
      </c>
      <c r="N299" s="306">
        <f>E299+F299+L299</f>
        <v/>
      </c>
      <c r="O299" s="306">
        <f>M299</f>
        <v/>
      </c>
      <c r="P299" s="306">
        <f>P298+N299</f>
        <v/>
      </c>
      <c r="Q299" s="306">
        <f>Q298+O299</f>
        <v/>
      </c>
      <c r="R299" s="306">
        <f>P299/$B$22</f>
        <v/>
      </c>
    </row>
    <row r="300">
      <c r="A300" s="306" t="n">
        <v>9</v>
      </c>
      <c r="B300" s="306">
        <f>P223</f>
        <v/>
      </c>
      <c r="C300" s="306">
        <f>MAX(0, $B$22-SUM(E$292:E299))</f>
        <v/>
      </c>
      <c r="D300" s="306">
        <f>C300*$B$11</f>
        <v/>
      </c>
      <c r="E300" s="306">
        <f>MIN(C300, MAX(0, B300))</f>
        <v/>
      </c>
      <c r="F300" s="306">
        <f>IF(C300-E300&lt;=0, MIN(D300+SUM(D$292:D299)-SUM(F$292:F299), MAX(0, B300-E300)), 0)</f>
        <v/>
      </c>
      <c r="G300" s="306">
        <f>MAX(0, B300-E300-F300)</f>
        <v/>
      </c>
      <c r="H300" s="306">
        <f>P299</f>
        <v/>
      </c>
      <c r="I300" s="306">
        <f>IF(H300&lt;2*$B$22, MIN(G300, (2*$B$22-H300)/'1. Press Assumptions'!$B$40), 0)</f>
        <v/>
      </c>
      <c r="J300" s="306">
        <f>IF(H300+I300*'1. Press Assumptions'!$B$40&lt;3*$B$22, MIN(MAX(0, G300-I300), (3*$B$22-(H300+I300*'1. Press Assumptions'!$B$40))/'1. Press Assumptions'!$B$41), 0)</f>
        <v/>
      </c>
      <c r="K300" s="306">
        <f>MAX(0, G300-I300-J300)</f>
        <v/>
      </c>
      <c r="L300" s="306">
        <f>I300*'1. Press Assumptions'!$B$40+J300*'1. Press Assumptions'!$B$41+K300*'1. Press Assumptions'!$B$42</f>
        <v/>
      </c>
      <c r="M300" s="306">
        <f>I300*(1-'1. Press Assumptions'!$B$40)+J300*(1-'1. Press Assumptions'!$B$41)+K300*(1-'1. Press Assumptions'!$B$42)</f>
        <v/>
      </c>
      <c r="N300" s="306">
        <f>E300+F300+L300</f>
        <v/>
      </c>
      <c r="O300" s="306">
        <f>M300</f>
        <v/>
      </c>
      <c r="P300" s="306">
        <f>P299+N300</f>
        <v/>
      </c>
      <c r="Q300" s="306">
        <f>Q299+O300</f>
        <v/>
      </c>
      <c r="R300" s="306">
        <f>P300/$B$22</f>
        <v/>
      </c>
    </row>
    <row r="301">
      <c r="A301" s="306" t="n">
        <v>10</v>
      </c>
      <c r="B301" s="306">
        <f>P224</f>
        <v/>
      </c>
      <c r="C301" s="306">
        <f>MAX(0, $B$22-SUM(E$292:E300))</f>
        <v/>
      </c>
      <c r="D301" s="306">
        <f>C301*$B$11</f>
        <v/>
      </c>
      <c r="E301" s="306">
        <f>MIN(C301, MAX(0, B301))</f>
        <v/>
      </c>
      <c r="F301" s="306">
        <f>IF(C301-E301&lt;=0, MIN(D301+SUM(D$292:D300)-SUM(F$292:F300), MAX(0, B301-E301)), 0)</f>
        <v/>
      </c>
      <c r="G301" s="306">
        <f>MAX(0, B301-E301-F301)</f>
        <v/>
      </c>
      <c r="H301" s="306">
        <f>P300</f>
        <v/>
      </c>
      <c r="I301" s="306">
        <f>IF(H301&lt;2*$B$22, MIN(G301, (2*$B$22-H301)/'1. Press Assumptions'!$B$40), 0)</f>
        <v/>
      </c>
      <c r="J301" s="306">
        <f>IF(H301+I301*'1. Press Assumptions'!$B$40&lt;3*$B$22, MIN(MAX(0, G301-I301), (3*$B$22-(H301+I301*'1. Press Assumptions'!$B$40))/'1. Press Assumptions'!$B$41), 0)</f>
        <v/>
      </c>
      <c r="K301" s="306">
        <f>MAX(0, G301-I301-J301)</f>
        <v/>
      </c>
      <c r="L301" s="306">
        <f>I301*'1. Press Assumptions'!$B$40+J301*'1. Press Assumptions'!$B$41+K301*'1. Press Assumptions'!$B$42</f>
        <v/>
      </c>
      <c r="M301" s="306">
        <f>I301*(1-'1. Press Assumptions'!$B$40)+J301*(1-'1. Press Assumptions'!$B$41)+K301*(1-'1. Press Assumptions'!$B$42)</f>
        <v/>
      </c>
      <c r="N301" s="306">
        <f>E301+F301+L301</f>
        <v/>
      </c>
      <c r="O301" s="306">
        <f>M301</f>
        <v/>
      </c>
      <c r="P301" s="306">
        <f>P300+N301</f>
        <v/>
      </c>
      <c r="Q301" s="306">
        <f>Q300+O301</f>
        <v/>
      </c>
      <c r="R301" s="306">
        <f>P301/$B$22</f>
        <v/>
      </c>
    </row>
    <row r="302">
      <c r="A302" s="306" t="n">
        <v>11</v>
      </c>
      <c r="B302" s="306">
        <f>P225</f>
        <v/>
      </c>
      <c r="C302" s="306">
        <f>MAX(0, $B$22-SUM(E$292:E301))</f>
        <v/>
      </c>
      <c r="D302" s="306">
        <f>C302*$B$11</f>
        <v/>
      </c>
      <c r="E302" s="306">
        <f>MIN(C302, MAX(0, B302))</f>
        <v/>
      </c>
      <c r="F302" s="306">
        <f>IF(C302-E302&lt;=0, MIN(D302+SUM(D$292:D301)-SUM(F$292:F301), MAX(0, B302-E302)), 0)</f>
        <v/>
      </c>
      <c r="G302" s="306">
        <f>MAX(0, B302-E302-F302)</f>
        <v/>
      </c>
      <c r="H302" s="306">
        <f>P301</f>
        <v/>
      </c>
      <c r="I302" s="306">
        <f>IF(H302&lt;2*$B$22, MIN(G302, (2*$B$22-H302)/'1. Press Assumptions'!$B$40), 0)</f>
        <v/>
      </c>
      <c r="J302" s="306">
        <f>IF(H302+I302*'1. Press Assumptions'!$B$40&lt;3*$B$22, MIN(MAX(0, G302-I302), (3*$B$22-(H302+I302*'1. Press Assumptions'!$B$40))/'1. Press Assumptions'!$B$41), 0)</f>
        <v/>
      </c>
      <c r="K302" s="306">
        <f>MAX(0, G302-I302-J302)</f>
        <v/>
      </c>
      <c r="L302" s="306">
        <f>I302*'1. Press Assumptions'!$B$40+J302*'1. Press Assumptions'!$B$41+K302*'1. Press Assumptions'!$B$42</f>
        <v/>
      </c>
      <c r="M302" s="306">
        <f>I302*(1-'1. Press Assumptions'!$B$40)+J302*(1-'1. Press Assumptions'!$B$41)+K302*(1-'1. Press Assumptions'!$B$42)</f>
        <v/>
      </c>
      <c r="N302" s="306">
        <f>E302+F302+L302</f>
        <v/>
      </c>
      <c r="O302" s="306">
        <f>M302</f>
        <v/>
      </c>
      <c r="P302" s="306">
        <f>P301+N302</f>
        <v/>
      </c>
      <c r="Q302" s="306">
        <f>Q301+O302</f>
        <v/>
      </c>
      <c r="R302" s="306">
        <f>P302/$B$22</f>
        <v/>
      </c>
    </row>
    <row r="303">
      <c r="A303" s="306" t="n">
        <v>12</v>
      </c>
      <c r="B303" s="306">
        <f>P226</f>
        <v/>
      </c>
      <c r="C303" s="306">
        <f>MAX(0, $B$22-SUM(E$292:E302))</f>
        <v/>
      </c>
      <c r="D303" s="306">
        <f>C303*$B$11</f>
        <v/>
      </c>
      <c r="E303" s="306">
        <f>MIN(C303, MAX(0, B303))</f>
        <v/>
      </c>
      <c r="F303" s="306">
        <f>IF(C303-E303&lt;=0, MIN(D303+SUM(D$292:D302)-SUM(F$292:F302), MAX(0, B303-E303)), 0)</f>
        <v/>
      </c>
      <c r="G303" s="306">
        <f>MAX(0, B303-E303-F303)</f>
        <v/>
      </c>
      <c r="H303" s="306">
        <f>P302</f>
        <v/>
      </c>
      <c r="I303" s="306">
        <f>IF(H303&lt;2*$B$22, MIN(G303, (2*$B$22-H303)/'1. Press Assumptions'!$B$40), 0)</f>
        <v/>
      </c>
      <c r="J303" s="306">
        <f>IF(H303+I303*'1. Press Assumptions'!$B$40&lt;3*$B$22, MIN(MAX(0, G303-I303), (3*$B$22-(H303+I303*'1. Press Assumptions'!$B$40))/'1. Press Assumptions'!$B$41), 0)</f>
        <v/>
      </c>
      <c r="K303" s="306">
        <f>MAX(0, G303-I303-J303)</f>
        <v/>
      </c>
      <c r="L303" s="306">
        <f>I303*'1. Press Assumptions'!$B$40+J303*'1. Press Assumptions'!$B$41+K303*'1. Press Assumptions'!$B$42</f>
        <v/>
      </c>
      <c r="M303" s="306">
        <f>I303*(1-'1. Press Assumptions'!$B$40)+J303*(1-'1. Press Assumptions'!$B$41)+K303*(1-'1. Press Assumptions'!$B$42)</f>
        <v/>
      </c>
      <c r="N303" s="306">
        <f>E303+F303+L303</f>
        <v/>
      </c>
      <c r="O303" s="306">
        <f>M303</f>
        <v/>
      </c>
      <c r="P303" s="306">
        <f>P302+N303</f>
        <v/>
      </c>
      <c r="Q303" s="306">
        <f>Q302+O303</f>
        <v/>
      </c>
      <c r="R303" s="306">
        <f>P303/$B$22</f>
        <v/>
      </c>
    </row>
    <row r="304">
      <c r="A304" s="306" t="n">
        <v>13</v>
      </c>
      <c r="B304" s="306">
        <f>P227</f>
        <v/>
      </c>
      <c r="C304" s="306">
        <f>MAX(0, $B$22-SUM(E$292:E303))</f>
        <v/>
      </c>
      <c r="D304" s="306">
        <f>C304*$B$11</f>
        <v/>
      </c>
      <c r="E304" s="306">
        <f>MIN(C304, MAX(0, B304))</f>
        <v/>
      </c>
      <c r="F304" s="306">
        <f>IF(C304-E304&lt;=0, MIN(D304+SUM(D$292:D303)-SUM(F$292:F303), MAX(0, B304-E304)), 0)</f>
        <v/>
      </c>
      <c r="G304" s="306">
        <f>MAX(0, B304-E304-F304)</f>
        <v/>
      </c>
      <c r="H304" s="306">
        <f>P303</f>
        <v/>
      </c>
      <c r="I304" s="306">
        <f>IF(H304&lt;2*$B$22, MIN(G304, (2*$B$22-H304)/'1. Press Assumptions'!$B$40), 0)</f>
        <v/>
      </c>
      <c r="J304" s="306">
        <f>IF(H304+I304*'1. Press Assumptions'!$B$40&lt;3*$B$22, MIN(MAX(0, G304-I304), (3*$B$22-(H304+I304*'1. Press Assumptions'!$B$40))/'1. Press Assumptions'!$B$41), 0)</f>
        <v/>
      </c>
      <c r="K304" s="306">
        <f>MAX(0, G304-I304-J304)</f>
        <v/>
      </c>
      <c r="L304" s="306">
        <f>I304*'1. Press Assumptions'!$B$40+J304*'1. Press Assumptions'!$B$41+K304*'1. Press Assumptions'!$B$42</f>
        <v/>
      </c>
      <c r="M304" s="306">
        <f>I304*(1-'1. Press Assumptions'!$B$40)+J304*(1-'1. Press Assumptions'!$B$41)+K304*(1-'1. Press Assumptions'!$B$42)</f>
        <v/>
      </c>
      <c r="N304" s="306">
        <f>E304+F304+L304</f>
        <v/>
      </c>
      <c r="O304" s="306">
        <f>M304</f>
        <v/>
      </c>
      <c r="P304" s="306">
        <f>P303+N304</f>
        <v/>
      </c>
      <c r="Q304" s="306">
        <f>Q303+O304</f>
        <v/>
      </c>
      <c r="R304" s="306">
        <f>P304/$B$22</f>
        <v/>
      </c>
    </row>
    <row r="305">
      <c r="A305" s="306" t="n">
        <v>14</v>
      </c>
      <c r="B305" s="306">
        <f>P228</f>
        <v/>
      </c>
      <c r="C305" s="306">
        <f>MAX(0, $B$22-SUM(E$292:E304))</f>
        <v/>
      </c>
      <c r="D305" s="306">
        <f>C305*$B$11</f>
        <v/>
      </c>
      <c r="E305" s="306">
        <f>MIN(C305, MAX(0, B305))</f>
        <v/>
      </c>
      <c r="F305" s="306">
        <f>IF(C305-E305&lt;=0, MIN(D305+SUM(D$292:D304)-SUM(F$292:F304), MAX(0, B305-E305)), 0)</f>
        <v/>
      </c>
      <c r="G305" s="306">
        <f>MAX(0, B305-E305-F305)</f>
        <v/>
      </c>
      <c r="H305" s="306">
        <f>P304</f>
        <v/>
      </c>
      <c r="I305" s="306">
        <f>IF(H305&lt;2*$B$22, MIN(G305, (2*$B$22-H305)/'1. Press Assumptions'!$B$40), 0)</f>
        <v/>
      </c>
      <c r="J305" s="306">
        <f>IF(H305+I305*'1. Press Assumptions'!$B$40&lt;3*$B$22, MIN(MAX(0, G305-I305), (3*$B$22-(H305+I305*'1. Press Assumptions'!$B$40))/'1. Press Assumptions'!$B$41), 0)</f>
        <v/>
      </c>
      <c r="K305" s="306">
        <f>MAX(0, G305-I305-J305)</f>
        <v/>
      </c>
      <c r="L305" s="306">
        <f>I305*'1. Press Assumptions'!$B$40+J305*'1. Press Assumptions'!$B$41+K305*'1. Press Assumptions'!$B$42</f>
        <v/>
      </c>
      <c r="M305" s="306">
        <f>I305*(1-'1. Press Assumptions'!$B$40)+J305*(1-'1. Press Assumptions'!$B$41)+K305*(1-'1. Press Assumptions'!$B$42)</f>
        <v/>
      </c>
      <c r="N305" s="306">
        <f>E305+F305+L305</f>
        <v/>
      </c>
      <c r="O305" s="306">
        <f>M305</f>
        <v/>
      </c>
      <c r="P305" s="306">
        <f>P304+N305</f>
        <v/>
      </c>
      <c r="Q305" s="306">
        <f>Q304+O305</f>
        <v/>
      </c>
      <c r="R305" s="306">
        <f>P305/$B$22</f>
        <v/>
      </c>
    </row>
    <row r="306">
      <c r="A306" s="306" t="n">
        <v>15</v>
      </c>
      <c r="B306" s="306">
        <f>P229</f>
        <v/>
      </c>
      <c r="C306" s="306">
        <f>MAX(0, $B$22-SUM(E$292:E305))</f>
        <v/>
      </c>
      <c r="D306" s="306">
        <f>C306*$B$11</f>
        <v/>
      </c>
      <c r="E306" s="306">
        <f>MIN(C306, MAX(0, B306))</f>
        <v/>
      </c>
      <c r="F306" s="306">
        <f>IF(C306-E306&lt;=0, MIN(D306+SUM(D$292:D305)-SUM(F$292:F305), MAX(0, B306-E306)), 0)</f>
        <v/>
      </c>
      <c r="G306" s="306">
        <f>MAX(0, B306-E306-F306)</f>
        <v/>
      </c>
      <c r="H306" s="306">
        <f>P305</f>
        <v/>
      </c>
      <c r="I306" s="306">
        <f>IF(H306&lt;2*$B$22, MIN(G306, (2*$B$22-H306)/'1. Press Assumptions'!$B$40), 0)</f>
        <v/>
      </c>
      <c r="J306" s="306">
        <f>IF(H306+I306*'1. Press Assumptions'!$B$40&lt;3*$B$22, MIN(MAX(0, G306-I306), (3*$B$22-(H306+I306*'1. Press Assumptions'!$B$40))/'1. Press Assumptions'!$B$41), 0)</f>
        <v/>
      </c>
      <c r="K306" s="306">
        <f>MAX(0, G306-I306-J306)</f>
        <v/>
      </c>
      <c r="L306" s="306">
        <f>I306*'1. Press Assumptions'!$B$40+J306*'1. Press Assumptions'!$B$41+K306*'1. Press Assumptions'!$B$42</f>
        <v/>
      </c>
      <c r="M306" s="306">
        <f>I306*(1-'1. Press Assumptions'!$B$40)+J306*(1-'1. Press Assumptions'!$B$41)+K306*(1-'1. Press Assumptions'!$B$42)</f>
        <v/>
      </c>
      <c r="N306" s="306">
        <f>E306+F306+L306</f>
        <v/>
      </c>
      <c r="O306" s="306">
        <f>M306</f>
        <v/>
      </c>
      <c r="P306" s="306">
        <f>P305+N306</f>
        <v/>
      </c>
      <c r="Q306" s="306">
        <f>Q305+O306</f>
        <v/>
      </c>
      <c r="R306" s="306">
        <f>P306/$B$22</f>
        <v/>
      </c>
    </row>
    <row r="308">
      <c r="A308" s="641" t="inlineStr">
        <is>
          <t>ESCALATING SUMMARY</t>
        </is>
      </c>
    </row>
    <row r="309">
      <c r="A309" s="306" t="inlineStr">
        <is>
          <t>15Y LP Cash (Esc)</t>
        </is>
      </c>
      <c r="B309" s="306">
        <f>P306</f>
        <v/>
      </c>
    </row>
    <row r="310">
      <c r="A310" s="306" t="inlineStr">
        <is>
          <t>15Y GP Carry (Esc)</t>
        </is>
      </c>
      <c r="B310" s="306">
        <f>Q306</f>
        <v/>
      </c>
    </row>
    <row r="311">
      <c r="A311" s="306" t="inlineStr">
        <is>
          <t>15Y DPI (Esc)</t>
        </is>
      </c>
      <c r="B311" s="306">
        <f>P306/$B$22</f>
        <v/>
      </c>
    </row>
    <row r="312">
      <c r="A312" s="306" t="inlineStr">
        <is>
          <t>Delta GP Carry (Esc - Std)</t>
        </is>
      </c>
      <c r="B312" s="306">
        <f>Q306-B251</f>
        <v/>
      </c>
    </row>
    <row r="315">
      <c r="A315" s="642" t="inlineStr">
        <is>
          <t>CLAWBACK CHECK  (whole-fund waterfall applied to 15Y total)</t>
        </is>
      </c>
    </row>
    <row r="316">
      <c r="A316" s="306" t="inlineStr">
        <is>
          <t>Total 15Y Distributable ($mm)</t>
        </is>
      </c>
      <c r="B316" s="306">
        <f>SUM(P215:P229)</f>
        <v/>
      </c>
    </row>
    <row r="317">
      <c r="A317" s="306" t="inlineStr">
        <is>
          <t>1x Return of Capital</t>
        </is>
      </c>
      <c r="B317" s="306">
        <f>MIN(B316, $B$22)</f>
        <v/>
      </c>
    </row>
    <row r="318">
      <c r="A318" s="306" t="inlineStr">
        <is>
          <t>10% pref (declining balance approx)</t>
        </is>
      </c>
      <c r="B318" s="306">
        <f>SUM(F292:F306)</f>
        <v/>
      </c>
    </row>
    <row r="319">
      <c r="A319" s="306" t="inlineStr">
        <is>
          <t>Available profit</t>
        </is>
      </c>
      <c r="B319" s="306">
        <f>MAX(0, B316 - B317 - B318)</f>
        <v/>
      </c>
    </row>
    <row r="320">
      <c r="A320" s="306" t="inlineStr">
        <is>
          <t>Cum LP pre-profit</t>
        </is>
      </c>
      <c r="B320" s="306">
        <f>B317+B318</f>
        <v/>
      </c>
    </row>
    <row r="321">
      <c r="A321" s="306" t="inlineStr">
        <is>
          <t>Tier 2 profit (cum LP 1x-2x)</t>
        </is>
      </c>
      <c r="B321" s="306">
        <f>IF(B320&lt;2*$B$22, MIN(B319, (2*$B$22-B320)/'1. Press Assumptions'!$B$40), 0)</f>
        <v/>
      </c>
    </row>
    <row r="322">
      <c r="A322" s="306" t="inlineStr">
        <is>
          <t>Tier 3 profit (cum LP 2x-3x)</t>
        </is>
      </c>
      <c r="B322" s="306">
        <f>IF(B320+B321*'1. Press Assumptions'!$B$40&lt;3*$B$22, MIN(MAX(0, B319-B321), (3*$B$22-(B320+B321*'1. Press Assumptions'!$B$40))/'1. Press Assumptions'!$B$41), 0)</f>
        <v/>
      </c>
    </row>
    <row r="323">
      <c r="A323" s="306" t="inlineStr">
        <is>
          <t>Tier 4 profit (cum LP &gt;3x)</t>
        </is>
      </c>
      <c r="B323" s="306">
        <f>MAX(0, B319-B321-B322)</f>
        <v/>
      </c>
    </row>
    <row r="324">
      <c r="A324" s="306" t="inlineStr">
        <is>
          <t>LP entitled (RoC + pref + tiered profit)</t>
        </is>
      </c>
      <c r="B324" s="306">
        <f>B317+B318+B321*'1. Press Assumptions'!$B$40+B322*'1. Press Assumptions'!$B$41+B323*'1. Press Assumptions'!$B$42</f>
        <v/>
      </c>
    </row>
    <row r="325">
      <c r="A325" s="306" t="inlineStr">
        <is>
          <t>GP entitled (tiered carry)</t>
        </is>
      </c>
      <c r="B325" s="306">
        <f>B321*(1-'1. Press Assumptions'!$B$40)+B322*(1-'1. Press Assumptions'!$B$41)+B323*(1-'1. Press Assumptions'!$B$42)</f>
        <v/>
      </c>
    </row>
    <row r="326">
      <c r="A326" s="306" t="inlineStr">
        <is>
          <t>GP actual carry paid (escalating)</t>
        </is>
      </c>
      <c r="B326" s="306">
        <f>Q306</f>
        <v/>
      </c>
    </row>
    <row r="327">
      <c r="A327" s="627" t="inlineStr">
        <is>
          <t>CLAWBACK (GP must return)</t>
        </is>
      </c>
      <c r="B327" s="627">
        <f>MAX(0, B326-B325)</f>
        <v/>
      </c>
    </row>
    <row r="328">
      <c r="A328" s="306" t="inlineStr">
        <is>
          <t>LP cash net of clawback ($mm)</t>
        </is>
      </c>
      <c r="B328" s="306">
        <f>P306+B327</f>
        <v/>
      </c>
    </row>
    <row r="329">
      <c r="A329" s="306" t="inlineStr">
        <is>
          <t>LP DPI net of clawback</t>
        </is>
      </c>
      <c r="B329" s="306">
        <f>B328/$B$22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B358"/>
  <sheetViews>
    <sheetView workbookViewId="0">
      <selection activeCell="A1" sqref="A1"/>
    </sheetView>
  </sheetViews>
  <sheetFormatPr baseColWidth="8" defaultRowHeight="15"/>
  <cols>
    <col width="36" customWidth="1" style="307" min="1" max="1"/>
    <col width="11" customWidth="1" style="307" min="2" max="2"/>
    <col width="11" customWidth="1" style="307" min="3" max="3"/>
    <col width="11" customWidth="1" style="307" min="4" max="4"/>
    <col width="11" customWidth="1" style="307" min="5" max="5"/>
    <col width="11" customWidth="1" style="307" min="6" max="6"/>
    <col width="11" customWidth="1" style="307" min="7" max="7"/>
    <col width="11" customWidth="1" style="307" min="8" max="8"/>
    <col width="11" customWidth="1" style="307" min="9" max="9"/>
    <col width="11" customWidth="1" style="307" min="10" max="10"/>
    <col width="11" customWidth="1" style="307" min="11" max="11"/>
    <col width="11" customWidth="1" style="307" min="12" max="12"/>
    <col width="11" customWidth="1" style="307" min="13" max="13"/>
    <col width="11" customWidth="1" style="307" min="14" max="14"/>
    <col width="11" customWidth="1" style="307" min="15" max="15"/>
    <col width="11" customWidth="1" style="307" min="16" max="16"/>
    <col width="11" customWidth="1" style="307" min="17" max="17"/>
    <col width="11" customWidth="1" style="307" min="18" max="18"/>
    <col width="11" customWidth="1" style="307" min="19" max="19"/>
    <col width="11" customWidth="1" style="307" min="20" max="20"/>
    <col width="11" customWidth="1" style="307" min="21" max="21"/>
    <col width="11" customWidth="1" style="307" min="22" max="22"/>
    <col width="11" customWidth="1" style="307" min="23" max="23"/>
    <col width="11" customWidth="1" style="307" min="24" max="24"/>
    <col width="11" customWidth="1" style="307" min="25" max="25"/>
    <col width="11" customWidth="1" style="307" min="26" max="26"/>
    <col width="11" customWidth="1" style="307" min="27" max="27"/>
    <col width="11" customWidth="1" style="307" min="28" max="28"/>
    <col width="11" customWidth="1" style="307" min="29" max="29"/>
  </cols>
  <sheetData>
    <row r="1">
      <c r="A1" s="633" t="inlineStr">
        <is>
          <t>AUTO-CALC ENGINE  --  50% Recycle (deals 1-9)</t>
        </is>
      </c>
    </row>
    <row r="2">
      <c r="A2" s="615" t="inlineStr">
        <is>
          <t>Recycle% = 0.5. Recycled deals 6-9 INCLUDED.</t>
        </is>
      </c>
    </row>
    <row r="4">
      <c r="A4" s="642" t="inlineStr">
        <is>
          <t>INPUTS PULLED FROM TAB 1</t>
        </is>
      </c>
      <c r="D4" s="642" t="inlineStr">
        <is>
          <t>PER-DEAL (deals 1-9)</t>
        </is>
      </c>
    </row>
    <row r="5">
      <c r="A5" s="306" t="inlineStr">
        <is>
          <t>Recycle scenario</t>
        </is>
      </c>
      <c r="B5" s="306" t="inlineStr">
        <is>
          <t>50% Recycle (deals 1-9)</t>
        </is>
      </c>
      <c r="D5" s="628" t="inlineStr">
        <is>
          <t>Deal</t>
        </is>
      </c>
      <c r="E5" s="628" t="inlineStr">
        <is>
          <t>ARR</t>
        </is>
      </c>
      <c r="F5" s="628" t="inlineStr">
        <is>
          <t>Close M</t>
        </is>
      </c>
      <c r="G5" s="628" t="inlineStr">
        <is>
          <t>Real NDR</t>
        </is>
      </c>
    </row>
    <row r="6">
      <c r="A6" s="306" t="inlineStr">
        <is>
          <t>NDR (uniform real)</t>
        </is>
      </c>
      <c r="B6" s="306">
        <f>'1. Press Assumptions'!$B$22</f>
        <v/>
      </c>
      <c r="D6" s="306" t="inlineStr">
        <is>
          <t>Deal #1</t>
        </is>
      </c>
      <c r="E6" s="306">
        <f>'1. Press Assumptions'!$D$89</f>
        <v/>
      </c>
      <c r="F6" s="306">
        <f>'1. Press Assumptions'!$K$89</f>
        <v/>
      </c>
      <c r="G6" s="306">
        <f>IF('1. Press Assumptions'!$B$136="Bear",0.80,IF('1. Press Assumptions'!$B$136="Bull",1.00,0.90))</f>
        <v/>
      </c>
    </row>
    <row r="7">
      <c r="A7" s="306" t="inlineStr">
        <is>
          <t>Bonus threshold (% margin)</t>
        </is>
      </c>
      <c r="B7" s="306">
        <f>'1. Press Assumptions'!$B$137</f>
        <v/>
      </c>
      <c r="D7" s="306" t="inlineStr">
        <is>
          <t>Deal #2</t>
        </is>
      </c>
      <c r="E7" s="306">
        <f>'1. Press Assumptions'!$D$90</f>
        <v/>
      </c>
      <c r="F7" s="306">
        <f>'1. Press Assumptions'!$K$90</f>
        <v/>
      </c>
      <c r="G7" s="306">
        <f>IF('1. Press Assumptions'!$B$136="Bear",0.80,IF('1. Press Assumptions'!$B$136="Bull",1.00,0.90))</f>
        <v/>
      </c>
    </row>
    <row r="8">
      <c r="A8" s="306" t="inlineStr">
        <is>
          <t>COGS rate</t>
        </is>
      </c>
      <c r="B8" s="306">
        <f>'1. Press Assumptions'!$B$30</f>
        <v/>
      </c>
      <c r="D8" s="306" t="inlineStr">
        <is>
          <t>Deal #3</t>
        </is>
      </c>
      <c r="E8" s="306">
        <f>'1. Press Assumptions'!$D$91</f>
        <v/>
      </c>
      <c r="F8" s="306">
        <f>'1. Press Assumptions'!$K$91</f>
        <v/>
      </c>
      <c r="G8" s="306">
        <f>IF('1. Press Assumptions'!$B$136="Bear",0.80,IF('1. Press Assumptions'!$B$136="Bull",1.00,0.90))</f>
        <v/>
      </c>
    </row>
    <row r="9">
      <c r="A9" s="306" t="inlineStr">
        <is>
          <t>Vendor rate</t>
        </is>
      </c>
      <c r="B9" s="306">
        <f>'1. Press Assumptions'!$B$31</f>
        <v/>
      </c>
      <c r="D9" s="306" t="inlineStr">
        <is>
          <t>Deal #4</t>
        </is>
      </c>
      <c r="E9" s="306">
        <f>'1. Press Assumptions'!$D$92</f>
        <v/>
      </c>
      <c r="F9" s="306">
        <f>'1. Press Assumptions'!$K$92</f>
        <v/>
      </c>
      <c r="G9" s="306">
        <f>IF('1. Press Assumptions'!$B$136="Bear",0.80,IF('1. Press Assumptions'!$B$136="Bull",1.00,0.90))</f>
        <v/>
      </c>
    </row>
    <row r="10">
      <c r="A10" s="306" t="inlineStr">
        <is>
          <t>Corp Alloc rate</t>
        </is>
      </c>
      <c r="B10" s="306">
        <f>'1. Press Assumptions'!$B$32</f>
        <v/>
      </c>
      <c r="D10" s="306" t="inlineStr">
        <is>
          <t>Deal #5</t>
        </is>
      </c>
      <c r="E10" s="306">
        <f>'1. Press Assumptions'!$D$93</f>
        <v/>
      </c>
      <c r="F10" s="306">
        <f>'1. Press Assumptions'!$K$93</f>
        <v/>
      </c>
      <c r="G10" s="306">
        <f>IF('1. Press Assumptions'!$B$136="Bear",0.80,IF('1. Press Assumptions'!$B$136="Bull",1.00,0.90))</f>
        <v/>
      </c>
    </row>
    <row r="11">
      <c r="A11" s="306" t="inlineStr">
        <is>
          <t>Pref rate (annual)</t>
        </is>
      </c>
      <c r="B11" s="306">
        <f>'1. Press Assumptions'!$B$39</f>
        <v/>
      </c>
      <c r="D11" s="306" t="inlineStr">
        <is>
          <t>Deal #6</t>
        </is>
      </c>
      <c r="E11" s="306">
        <f>'1. Press Assumptions'!$D$96</f>
        <v/>
      </c>
      <c r="F11" s="306">
        <f>'1. Press Assumptions'!$K$96</f>
        <v/>
      </c>
      <c r="G11" s="306">
        <f>IF('1. Press Assumptions'!$B$136="Bear",0.80,IF('1. Press Assumptions'!$B$136="Bull",1.00,0.90))</f>
        <v/>
      </c>
    </row>
    <row r="12">
      <c r="A12" s="306" t="inlineStr">
        <is>
          <t>LP split tier 2 (1x-2x)</t>
        </is>
      </c>
      <c r="B12" s="306">
        <f>'1. Press Assumptions'!$B$40</f>
        <v/>
      </c>
      <c r="D12" s="306" t="inlineStr">
        <is>
          <t>Deal #7</t>
        </is>
      </c>
      <c r="E12" s="306">
        <f>'1. Press Assumptions'!$D$97</f>
        <v/>
      </c>
      <c r="F12" s="306">
        <f>'1. Press Assumptions'!$K$97</f>
        <v/>
      </c>
      <c r="G12" s="306">
        <f>IF('1. Press Assumptions'!$B$136="Bear",0.80,IF('1. Press Assumptions'!$B$136="Bull",1.00,0.90))</f>
        <v/>
      </c>
    </row>
    <row r="13">
      <c r="A13" s="306" t="inlineStr">
        <is>
          <t>LP split tier 3 (2x-3x)</t>
        </is>
      </c>
      <c r="B13" s="306">
        <f>'1. Press Assumptions'!$B$41</f>
        <v/>
      </c>
      <c r="D13" s="306" t="inlineStr">
        <is>
          <t>Deal #8</t>
        </is>
      </c>
      <c r="E13" s="306">
        <f>'1. Press Assumptions'!$D$98</f>
        <v/>
      </c>
      <c r="F13" s="306">
        <f>'1. Press Assumptions'!$K$98</f>
        <v/>
      </c>
      <c r="G13" s="306">
        <f>IF('1. Press Assumptions'!$B$136="Bear",0.80,IF('1. Press Assumptions'!$B$136="Bull",1.00,0.90))</f>
        <v/>
      </c>
    </row>
    <row r="14">
      <c r="A14" s="306" t="inlineStr">
        <is>
          <t>LP split tier 4 (&gt;3x)</t>
        </is>
      </c>
      <c r="B14" s="306">
        <f>'1. Press Assumptions'!$B$42</f>
        <v/>
      </c>
      <c r="D14" s="306" t="inlineStr">
        <is>
          <t>Deal #9</t>
        </is>
      </c>
      <c r="E14" s="306">
        <f>'1. Press Assumptions'!$D$99</f>
        <v/>
      </c>
      <c r="F14" s="306">
        <f>'1. Press Assumptions'!$K$99</f>
        <v/>
      </c>
      <c r="G14" s="306">
        <f>IF('1. Press Assumptions'!$B$136="Bear",0.80,IF('1. Press Assumptions'!$B$136="Bull",1.00,0.90))</f>
        <v/>
      </c>
    </row>
    <row r="15">
      <c r="A15" s="306" t="inlineStr">
        <is>
          <t>Mgmt fee total</t>
        </is>
      </c>
      <c r="B15" s="306" t="n">
        <v>3</v>
      </c>
    </row>
    <row r="16">
      <c r="A16" s="306" t="inlineStr">
        <is>
          <t>Severance per FTE ($)</t>
        </is>
      </c>
      <c r="B16" s="306">
        <f>'1. Press Assumptions'!$B$110</f>
        <v/>
      </c>
    </row>
    <row r="17">
      <c r="A17" s="306" t="inlineStr">
        <is>
          <t>Press severance share</t>
        </is>
      </c>
      <c r="B17" s="306" t="n">
        <v>0.5</v>
      </c>
    </row>
    <row r="18">
      <c r="A18" s="306" t="inlineStr">
        <is>
          <t>FTE per OpCo</t>
        </is>
      </c>
      <c r="B18" s="306">
        <f>'1. Press Assumptions'!$B$103</f>
        <v/>
      </c>
    </row>
    <row r="19">
      <c r="A19" s="306" t="inlineStr">
        <is>
          <t>Exit month</t>
        </is>
      </c>
      <c r="B19" s="306">
        <f>'1. Press Assumptions'!$B$115</f>
        <v/>
      </c>
    </row>
    <row r="20">
      <c r="A20" s="306" t="inlineStr">
        <is>
          <t>Exit multiple (x ARR)</t>
        </is>
      </c>
      <c r="B20" s="306">
        <f>'1. Press Assumptions'!$B$116</f>
        <v/>
      </c>
    </row>
    <row r="21">
      <c r="A21" s="306" t="inlineStr">
        <is>
          <t>Include exit in waterfall</t>
        </is>
      </c>
      <c r="B21" s="306">
        <f>'1. Press Assumptions'!$B$117</f>
        <v/>
      </c>
    </row>
    <row r="22">
      <c r="A22" s="306" t="inlineStr">
        <is>
          <t>Fund commitment ($mm)</t>
        </is>
      </c>
      <c r="B22" s="306">
        <f>'1. Press Assumptions'!$B$5/1000000</f>
        <v/>
      </c>
    </row>
    <row r="23">
      <c r="A23" s="306" t="inlineStr">
        <is>
          <t>Recycle % of distributable</t>
        </is>
      </c>
      <c r="B23" s="306" t="n">
        <v>0.5</v>
      </c>
    </row>
    <row r="24">
      <c r="A24" s="306" t="inlineStr">
        <is>
          <t>Recycling period (months)</t>
        </is>
      </c>
      <c r="B24" s="306">
        <f>'1. Press Assumptions'!$B$81</f>
        <v/>
      </c>
    </row>
    <row r="30" ht="28" customHeight="1" s="307">
      <c r="A30" s="643" t="inlineStr">
        <is>
          <t>M</t>
        </is>
      </c>
      <c r="B30" s="643" t="inlineStr">
        <is>
          <t>Year</t>
        </is>
      </c>
      <c r="C30" s="643" t="inlineStr">
        <is>
          <t>Mgmt Fee</t>
        </is>
      </c>
      <c r="D30" s="643" t="inlineStr">
        <is>
          <t>Team Comp</t>
        </is>
      </c>
      <c r="E30" s="643" t="inlineStr">
        <is>
          <t>Legacy HC</t>
        </is>
      </c>
      <c r="F30" s="643" t="inlineStr">
        <is>
          <t>D1 ARR</t>
        </is>
      </c>
      <c r="G30" s="643" t="inlineStr">
        <is>
          <t>D2 ARR</t>
        </is>
      </c>
      <c r="H30" s="643" t="inlineStr">
        <is>
          <t>D3 ARR</t>
        </is>
      </c>
      <c r="I30" s="643" t="inlineStr">
        <is>
          <t>D4 ARR</t>
        </is>
      </c>
      <c r="J30" s="643" t="inlineStr">
        <is>
          <t>D5 ARR</t>
        </is>
      </c>
      <c r="K30" s="643" t="inlineStr">
        <is>
          <t>D6 ARR</t>
        </is>
      </c>
      <c r="L30" s="643" t="inlineStr">
        <is>
          <t>D7 ARR</t>
        </is>
      </c>
      <c r="M30" s="643" t="inlineStr">
        <is>
          <t>D8 ARR</t>
        </is>
      </c>
      <c r="N30" s="643" t="inlineStr">
        <is>
          <t>D9 ARR</t>
        </is>
      </c>
      <c r="O30" s="643" t="inlineStr">
        <is>
          <t>Port ARR</t>
        </is>
      </c>
      <c r="P30" s="643" t="inlineStr">
        <is>
          <t>Revenue</t>
        </is>
      </c>
      <c r="Q30" s="643" t="inlineStr">
        <is>
          <t>COGS</t>
        </is>
      </c>
      <c r="R30" s="643" t="inlineStr">
        <is>
          <t>Vendor</t>
        </is>
      </c>
      <c r="S30" s="643" t="inlineStr">
        <is>
          <t>Corp Alloc</t>
        </is>
      </c>
      <c r="T30" s="643" t="inlineStr">
        <is>
          <t>Pre-Bonus EBITDA</t>
        </is>
      </c>
      <c r="U30" s="643" t="inlineStr">
        <is>
          <t>Bonus Pool</t>
        </is>
      </c>
      <c r="V30" s="643" t="inlineStr">
        <is>
          <t>EBITDA</t>
        </is>
      </c>
      <c r="W30" s="643" t="inlineStr">
        <is>
          <t>Severance</t>
        </is>
      </c>
      <c r="X30" s="643" t="inlineStr">
        <is>
          <t>Dist Pre-Retain</t>
        </is>
      </c>
      <c r="Y30" s="643" t="inlineStr">
        <is>
          <t>Retained</t>
        </is>
      </c>
      <c r="Z30" s="643" t="inlineStr">
        <is>
          <t>Dist Post-Retain</t>
        </is>
      </c>
      <c r="AA30" s="643" t="inlineStr">
        <is>
          <t>Exit</t>
        </is>
      </c>
      <c r="AB30" s="643" t="inlineStr">
        <is>
          <t>Cum Dist</t>
        </is>
      </c>
    </row>
    <row r="31">
      <c r="A31" s="306" t="n">
        <v>1</v>
      </c>
      <c r="B31" s="306">
        <f>CEILING(A31/12,1)</f>
        <v/>
      </c>
      <c r="C31" s="306">
        <f>IF(A31&lt;=12, $B$15/12, 0)</f>
        <v/>
      </c>
      <c r="D31" s="306">
        <f>INDEX('26. Team Comp'!$D$28:$R$28, B31) * 0.001 / 12</f>
        <v/>
      </c>
      <c r="E31" s="306">
        <f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+ (IF(MAX(0, A31 - $F$11 + 1)&lt;=0, 0, IF(MAX(0, A31 - $F$11 + 1)&lt;=6, 70 - (70-14)*(MAX(0, A31 - $F$11 + 1)-1)/5, IF(MAX(0, A31 - $F$11 + 1)&lt;=24, 14 - 14*(MAX(0, A31 - $F$11 + 1)-6)/18, 0)))) + (IF(MAX(0, A31 - $F$12 + 1)&lt;=0, 0, IF(MAX(0, A31 - $F$12 + 1)&lt;=6, 70 - (70-14)*(MAX(0, A31 - $F$12 + 1)-1)/5, IF(MAX(0, A31 - $F$12 + 1)&lt;=24, 14 - 14*(MAX(0, A31 - $F$12 + 1)-6)/18, 0)))) + (IF(MAX(0, A31 - $F$13 + 1)&lt;=0, 0, IF(MAX(0, A31 - $F$13 + 1)&lt;=6, 70 - (70-14)*(MAX(0, A31 - $F$13 + 1)-1)/5, IF(MAX(0, A31 - $F$13 + 1)&lt;=24, 14 - 14*(MAX(0, A31 - $F$13 + 1)-6)/18, 0)))) + (IF(MAX(0, A31 - $F$14 + 1)&lt;=0, 0, IF(MAX(0, A31 - $F$14 + 1)&lt;=6, 70 - (70-14)*(MAX(0, A31 - $F$14 + 1)-1)/5, IF(MAX(0, A31 - $F$14 + 1)&lt;=24, 14 - 14*(MAX(0, A31 - $F$14 + 1)-6)/18, 0)))) ) * 200 / 12 / 1000</f>
        <v/>
      </c>
      <c r="F31" s="306">
        <f>IF(A31&lt;$F$6,0,IF(AND($B$21=1,A31&gt;$B$19),0,$E$6*$G$6^MIN((A31-$F$6)/12,6)*MIN($G$6,0.85)^MAX(0,(A31-$F$6)/12-6)))</f>
        <v/>
      </c>
      <c r="G31" s="306">
        <f>IF(A31&lt;$F$7,0,IF(AND($B$21=1,A31&gt;$B$19),0,$E$7*$G$7^MIN((A31-$F$7)/12,6)*MIN($G$7,0.85)^MAX(0,(A31-$F$7)/12-6)))</f>
        <v/>
      </c>
      <c r="H31" s="306">
        <f>IF(A31&lt;$F$8,0,IF(AND($B$21=1,A31&gt;$B$19),0,$E$8*$G$8^MIN((A31-$F$8)/12,6)*MIN($G$8,0.85)^MAX(0,(A31-$F$8)/12-6)))</f>
        <v/>
      </c>
      <c r="I31" s="306">
        <f>IF(A31&lt;$F$9,0,IF(AND($B$21=1,A31&gt;$B$19),0,$E$9*$G$9^MIN((A31-$F$9)/12,6)*MIN($G$9,0.85)^MAX(0,(A31-$F$9)/12-6)))</f>
        <v/>
      </c>
      <c r="J31" s="306">
        <f>IF(A31&lt;$F$10,0,IF(AND($B$21=1,A31&gt;$B$19),0,$E$10*$G$10^MIN((A31-$F$10)/12,6)*MIN($G$10,0.85)^MAX(0,(A31-$F$10)/12-6)))</f>
        <v/>
      </c>
      <c r="K31" s="306">
        <f>IF(A31&lt;$F$11,0,IF(AND($B$21=1,A31&gt;$B$19),0,$E$11*$G$11^MIN((A31-$F$11)/12,6)*MIN($G$11,0.85)^MAX(0,(A31-$F$11)/12-6)))</f>
        <v/>
      </c>
      <c r="L31" s="306">
        <f>IF(A31&lt;$F$12,0,IF(AND($B$21=1,A31&gt;$B$19),0,$E$12*$G$12^MIN((A31-$F$12)/12,6)*MIN($G$12,0.85)^MAX(0,(A31-$F$12)/12-6)))</f>
        <v/>
      </c>
      <c r="M31" s="306">
        <f>IF(A31&lt;$F$13,0,IF(AND($B$21=1,A31&gt;$B$19),0,$E$13*$G$13^MIN((A31-$F$13)/12,6)*MIN($G$13,0.85)^MAX(0,(A31-$F$13)/12-6)))</f>
        <v/>
      </c>
      <c r="N31" s="306">
        <f>IF(A31&lt;$F$14,0,IF(AND($B$21=1,A31&gt;$B$19),0,$E$14*$G$14^MIN((A31-$F$14)/12,6)*MIN($G$14,0.85)^MAX(0,(A31-$F$14)/12-6)))</f>
        <v/>
      </c>
      <c r="O31" s="306">
        <f>SUM(F31:N31)</f>
        <v/>
      </c>
      <c r="P31" s="306">
        <f>O31/12</f>
        <v/>
      </c>
      <c r="Q31" s="306">
        <f>P31*$B$8</f>
        <v/>
      </c>
      <c r="R31" s="306">
        <f>P31*$B$9</f>
        <v/>
      </c>
      <c r="S31" s="306">
        <f>P31*$B$10</f>
        <v/>
      </c>
      <c r="T31" s="306">
        <f>P31-Q31-R31-S31-D31-E31</f>
        <v/>
      </c>
      <c r="U31" s="306">
        <f>MAX(0, T31 - $B$7*P31)</f>
        <v/>
      </c>
      <c r="V31" s="306">
        <f>T31-U31</f>
        <v/>
      </c>
      <c r="W31" s="306">
        <f>IF(A31=$F$6, $B$18*$B$16*$B$17/1000000, 0) + IF(A31=$F$7, $B$18*$B$16*$B$17/1000000, 0) + IF(A31=$F$8, $B$18*$B$16*$B$17/1000000, 0) + IF(A31=$F$9, $B$18*$B$16*$B$17/1000000, 0) + IF(A31=$F$10, $B$18*$B$16*$B$17/1000000, 0) + IF(A31=$F$11, $B$18*$B$16*$B$17/1000000, 0) + IF(A31=$F$12, $B$18*$B$16*$B$17/1000000, 0) + IF(A31=$F$13, $B$18*$B$16*$B$17/1000000, 0) + IF(A31=$F$14, $B$18*$B$16*$B$17/1000000, 0)</f>
        <v/>
      </c>
      <c r="X31" s="306">
        <f>V31-W31-C31</f>
        <v/>
      </c>
      <c r="Y31" s="306">
        <f>IF(AND(A31&lt;=$B$24, X31&gt;0), X31*$B$23, 0)</f>
        <v/>
      </c>
      <c r="Z31" s="306">
        <f>X31-Y31</f>
        <v/>
      </c>
      <c r="AA31" s="306">
        <f>IF(AND(A31=$B$19, $B$21=1), O31*$B$20, 0)</f>
        <v/>
      </c>
      <c r="AB31" s="306">
        <f>Z31+AA31</f>
        <v/>
      </c>
    </row>
    <row r="32">
      <c r="A32" s="306" t="n">
        <v>2</v>
      </c>
      <c r="B32" s="306">
        <f>CEILING(A32/12,1)</f>
        <v/>
      </c>
      <c r="C32" s="306">
        <f>IF(A32&lt;=12, $B$15/12, 0)</f>
        <v/>
      </c>
      <c r="D32" s="306">
        <f>INDEX('26. Team Comp'!$D$28:$R$28, B32) * 0.001 / 12</f>
        <v/>
      </c>
      <c r="E32" s="306">
        <f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+ (IF(MAX(0, A32 - $F$11 + 1)&lt;=0, 0, IF(MAX(0, A32 - $F$11 + 1)&lt;=6, 70 - (70-14)*(MAX(0, A32 - $F$11 + 1)-1)/5, IF(MAX(0, A32 - $F$11 + 1)&lt;=24, 14 - 14*(MAX(0, A32 - $F$11 + 1)-6)/18, 0)))) + (IF(MAX(0, A32 - $F$12 + 1)&lt;=0, 0, IF(MAX(0, A32 - $F$12 + 1)&lt;=6, 70 - (70-14)*(MAX(0, A32 - $F$12 + 1)-1)/5, IF(MAX(0, A32 - $F$12 + 1)&lt;=24, 14 - 14*(MAX(0, A32 - $F$12 + 1)-6)/18, 0)))) + (IF(MAX(0, A32 - $F$13 + 1)&lt;=0, 0, IF(MAX(0, A32 - $F$13 + 1)&lt;=6, 70 - (70-14)*(MAX(0, A32 - $F$13 + 1)-1)/5, IF(MAX(0, A32 - $F$13 + 1)&lt;=24, 14 - 14*(MAX(0, A32 - $F$13 + 1)-6)/18, 0)))) + (IF(MAX(0, A32 - $F$14 + 1)&lt;=0, 0, IF(MAX(0, A32 - $F$14 + 1)&lt;=6, 70 - (70-14)*(MAX(0, A32 - $F$14 + 1)-1)/5, IF(MAX(0, A32 - $F$14 + 1)&lt;=24, 14 - 14*(MAX(0, A32 - $F$14 + 1)-6)/18, 0)))) ) * 200 / 12 / 1000</f>
        <v/>
      </c>
      <c r="F32" s="306">
        <f>IF(A32&lt;$F$6,0,IF(AND($B$21=1,A32&gt;$B$19),0,$E$6*$G$6^MIN((A32-$F$6)/12,6)*MIN($G$6,0.85)^MAX(0,(A32-$F$6)/12-6)))</f>
        <v/>
      </c>
      <c r="G32" s="306">
        <f>IF(A32&lt;$F$7,0,IF(AND($B$21=1,A32&gt;$B$19),0,$E$7*$G$7^MIN((A32-$F$7)/12,6)*MIN($G$7,0.85)^MAX(0,(A32-$F$7)/12-6)))</f>
        <v/>
      </c>
      <c r="H32" s="306">
        <f>IF(A32&lt;$F$8,0,IF(AND($B$21=1,A32&gt;$B$19),0,$E$8*$G$8^MIN((A32-$F$8)/12,6)*MIN($G$8,0.85)^MAX(0,(A32-$F$8)/12-6)))</f>
        <v/>
      </c>
      <c r="I32" s="306">
        <f>IF(A32&lt;$F$9,0,IF(AND($B$21=1,A32&gt;$B$19),0,$E$9*$G$9^MIN((A32-$F$9)/12,6)*MIN($G$9,0.85)^MAX(0,(A32-$F$9)/12-6)))</f>
        <v/>
      </c>
      <c r="J32" s="306">
        <f>IF(A32&lt;$F$10,0,IF(AND($B$21=1,A32&gt;$B$19),0,$E$10*$G$10^MIN((A32-$F$10)/12,6)*MIN($G$10,0.85)^MAX(0,(A32-$F$10)/12-6)))</f>
        <v/>
      </c>
      <c r="K32" s="306">
        <f>IF(A32&lt;$F$11,0,IF(AND($B$21=1,A32&gt;$B$19),0,$E$11*$G$11^MIN((A32-$F$11)/12,6)*MIN($G$11,0.85)^MAX(0,(A32-$F$11)/12-6)))</f>
        <v/>
      </c>
      <c r="L32" s="306">
        <f>IF(A32&lt;$F$12,0,IF(AND($B$21=1,A32&gt;$B$19),0,$E$12*$G$12^MIN((A32-$F$12)/12,6)*MIN($G$12,0.85)^MAX(0,(A32-$F$12)/12-6)))</f>
        <v/>
      </c>
      <c r="M32" s="306">
        <f>IF(A32&lt;$F$13,0,IF(AND($B$21=1,A32&gt;$B$19),0,$E$13*$G$13^MIN((A32-$F$13)/12,6)*MIN($G$13,0.85)^MAX(0,(A32-$F$13)/12-6)))</f>
        <v/>
      </c>
      <c r="N32" s="306">
        <f>IF(A32&lt;$F$14,0,IF(AND($B$21=1,A32&gt;$B$19),0,$E$14*$G$14^MIN((A32-$F$14)/12,6)*MIN($G$14,0.85)^MAX(0,(A32-$F$14)/12-6)))</f>
        <v/>
      </c>
      <c r="O32" s="306">
        <f>SUM(F32:N32)</f>
        <v/>
      </c>
      <c r="P32" s="306">
        <f>O32/12</f>
        <v/>
      </c>
      <c r="Q32" s="306">
        <f>P32*$B$8</f>
        <v/>
      </c>
      <c r="R32" s="306">
        <f>P32*$B$9</f>
        <v/>
      </c>
      <c r="S32" s="306">
        <f>P32*$B$10</f>
        <v/>
      </c>
      <c r="T32" s="306">
        <f>P32-Q32-R32-S32-D32-E32</f>
        <v/>
      </c>
      <c r="U32" s="306">
        <f>MAX(0, T32 - $B$7*P32)</f>
        <v/>
      </c>
      <c r="V32" s="306">
        <f>T32-U32</f>
        <v/>
      </c>
      <c r="W32" s="306">
        <f>IF(A32=$F$6, $B$18*$B$16*$B$17/1000000, 0) + IF(A32=$F$7, $B$18*$B$16*$B$17/1000000, 0) + IF(A32=$F$8, $B$18*$B$16*$B$17/1000000, 0) + IF(A32=$F$9, $B$18*$B$16*$B$17/1000000, 0) + IF(A32=$F$10, $B$18*$B$16*$B$17/1000000, 0) + IF(A32=$F$11, $B$18*$B$16*$B$17/1000000, 0) + IF(A32=$F$12, $B$18*$B$16*$B$17/1000000, 0) + IF(A32=$F$13, $B$18*$B$16*$B$17/1000000, 0) + IF(A32=$F$14, $B$18*$B$16*$B$17/1000000, 0)</f>
        <v/>
      </c>
      <c r="X32" s="306">
        <f>V32-W32-C32</f>
        <v/>
      </c>
      <c r="Y32" s="306">
        <f>IF(AND(A32&lt;=$B$24, X32&gt;0), X32*$B$23, 0)</f>
        <v/>
      </c>
      <c r="Z32" s="306">
        <f>X32-Y32</f>
        <v/>
      </c>
      <c r="AA32" s="306">
        <f>IF(AND(A32=$B$19, $B$21=1), O32*$B$20, 0)</f>
        <v/>
      </c>
      <c r="AB32" s="306">
        <f>AB31+Z32+AA32</f>
        <v/>
      </c>
    </row>
    <row r="33">
      <c r="A33" s="306" t="n">
        <v>3</v>
      </c>
      <c r="B33" s="306">
        <f>CEILING(A33/12,1)</f>
        <v/>
      </c>
      <c r="C33" s="306">
        <f>IF(A33&lt;=12, $B$15/12, 0)</f>
        <v/>
      </c>
      <c r="D33" s="306">
        <f>INDEX('26. Team Comp'!$D$28:$R$28, B33) * 0.001 / 12</f>
        <v/>
      </c>
      <c r="E33" s="306">
        <f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+ (IF(MAX(0, A33 - $F$11 + 1)&lt;=0, 0, IF(MAX(0, A33 - $F$11 + 1)&lt;=6, 70 - (70-14)*(MAX(0, A33 - $F$11 + 1)-1)/5, IF(MAX(0, A33 - $F$11 + 1)&lt;=24, 14 - 14*(MAX(0, A33 - $F$11 + 1)-6)/18, 0)))) + (IF(MAX(0, A33 - $F$12 + 1)&lt;=0, 0, IF(MAX(0, A33 - $F$12 + 1)&lt;=6, 70 - (70-14)*(MAX(0, A33 - $F$12 + 1)-1)/5, IF(MAX(0, A33 - $F$12 + 1)&lt;=24, 14 - 14*(MAX(0, A33 - $F$12 + 1)-6)/18, 0)))) + (IF(MAX(0, A33 - $F$13 + 1)&lt;=0, 0, IF(MAX(0, A33 - $F$13 + 1)&lt;=6, 70 - (70-14)*(MAX(0, A33 - $F$13 + 1)-1)/5, IF(MAX(0, A33 - $F$13 + 1)&lt;=24, 14 - 14*(MAX(0, A33 - $F$13 + 1)-6)/18, 0)))) + (IF(MAX(0, A33 - $F$14 + 1)&lt;=0, 0, IF(MAX(0, A33 - $F$14 + 1)&lt;=6, 70 - (70-14)*(MAX(0, A33 - $F$14 + 1)-1)/5, IF(MAX(0, A33 - $F$14 + 1)&lt;=24, 14 - 14*(MAX(0, A33 - $F$14 + 1)-6)/18, 0)))) ) * 200 / 12 / 1000</f>
        <v/>
      </c>
      <c r="F33" s="306">
        <f>IF(A33&lt;$F$6,0,IF(AND($B$21=1,A33&gt;$B$19),0,$E$6*$G$6^MIN((A33-$F$6)/12,6)*MIN($G$6,0.85)^MAX(0,(A33-$F$6)/12-6)))</f>
        <v/>
      </c>
      <c r="G33" s="306">
        <f>IF(A33&lt;$F$7,0,IF(AND($B$21=1,A33&gt;$B$19),0,$E$7*$G$7^MIN((A33-$F$7)/12,6)*MIN($G$7,0.85)^MAX(0,(A33-$F$7)/12-6)))</f>
        <v/>
      </c>
      <c r="H33" s="306">
        <f>IF(A33&lt;$F$8,0,IF(AND($B$21=1,A33&gt;$B$19),0,$E$8*$G$8^MIN((A33-$F$8)/12,6)*MIN($G$8,0.85)^MAX(0,(A33-$F$8)/12-6)))</f>
        <v/>
      </c>
      <c r="I33" s="306">
        <f>IF(A33&lt;$F$9,0,IF(AND($B$21=1,A33&gt;$B$19),0,$E$9*$G$9^MIN((A33-$F$9)/12,6)*MIN($G$9,0.85)^MAX(0,(A33-$F$9)/12-6)))</f>
        <v/>
      </c>
      <c r="J33" s="306">
        <f>IF(A33&lt;$F$10,0,IF(AND($B$21=1,A33&gt;$B$19),0,$E$10*$G$10^MIN((A33-$F$10)/12,6)*MIN($G$10,0.85)^MAX(0,(A33-$F$10)/12-6)))</f>
        <v/>
      </c>
      <c r="K33" s="306">
        <f>IF(A33&lt;$F$11,0,IF(AND($B$21=1,A33&gt;$B$19),0,$E$11*$G$11^MIN((A33-$F$11)/12,6)*MIN($G$11,0.85)^MAX(0,(A33-$F$11)/12-6)))</f>
        <v/>
      </c>
      <c r="L33" s="306">
        <f>IF(A33&lt;$F$12,0,IF(AND($B$21=1,A33&gt;$B$19),0,$E$12*$G$12^MIN((A33-$F$12)/12,6)*MIN($G$12,0.85)^MAX(0,(A33-$F$12)/12-6)))</f>
        <v/>
      </c>
      <c r="M33" s="306">
        <f>IF(A33&lt;$F$13,0,IF(AND($B$21=1,A33&gt;$B$19),0,$E$13*$G$13^MIN((A33-$F$13)/12,6)*MIN($G$13,0.85)^MAX(0,(A33-$F$13)/12-6)))</f>
        <v/>
      </c>
      <c r="N33" s="306">
        <f>IF(A33&lt;$F$14,0,IF(AND($B$21=1,A33&gt;$B$19),0,$E$14*$G$14^MIN((A33-$F$14)/12,6)*MIN($G$14,0.85)^MAX(0,(A33-$F$14)/12-6)))</f>
        <v/>
      </c>
      <c r="O33" s="306">
        <f>SUM(F33:N33)</f>
        <v/>
      </c>
      <c r="P33" s="306">
        <f>O33/12</f>
        <v/>
      </c>
      <c r="Q33" s="306">
        <f>P33*$B$8</f>
        <v/>
      </c>
      <c r="R33" s="306">
        <f>P33*$B$9</f>
        <v/>
      </c>
      <c r="S33" s="306">
        <f>P33*$B$10</f>
        <v/>
      </c>
      <c r="T33" s="306">
        <f>P33-Q33-R33-S33-D33-E33</f>
        <v/>
      </c>
      <c r="U33" s="306">
        <f>MAX(0, T33 - $B$7*P33)</f>
        <v/>
      </c>
      <c r="V33" s="306">
        <f>T33-U33</f>
        <v/>
      </c>
      <c r="W33" s="306">
        <f>IF(A33=$F$6, $B$18*$B$16*$B$17/1000000, 0) + IF(A33=$F$7, $B$18*$B$16*$B$17/1000000, 0) + IF(A33=$F$8, $B$18*$B$16*$B$17/1000000, 0) + IF(A33=$F$9, $B$18*$B$16*$B$17/1000000, 0) + IF(A33=$F$10, $B$18*$B$16*$B$17/1000000, 0) + IF(A33=$F$11, $B$18*$B$16*$B$17/1000000, 0) + IF(A33=$F$12, $B$18*$B$16*$B$17/1000000, 0) + IF(A33=$F$13, $B$18*$B$16*$B$17/1000000, 0) + IF(A33=$F$14, $B$18*$B$16*$B$17/1000000, 0)</f>
        <v/>
      </c>
      <c r="X33" s="306">
        <f>V33-W33-C33</f>
        <v/>
      </c>
      <c r="Y33" s="306">
        <f>IF(AND(A33&lt;=$B$24, X33&gt;0), X33*$B$23, 0)</f>
        <v/>
      </c>
      <c r="Z33" s="306">
        <f>X33-Y33</f>
        <v/>
      </c>
      <c r="AA33" s="306">
        <f>IF(AND(A33=$B$19, $B$21=1), O33*$B$20, 0)</f>
        <v/>
      </c>
      <c r="AB33" s="306">
        <f>AB32+Z33+AA33</f>
        <v/>
      </c>
    </row>
    <row r="34">
      <c r="A34" s="306" t="n">
        <v>4</v>
      </c>
      <c r="B34" s="306">
        <f>CEILING(A34/12,1)</f>
        <v/>
      </c>
      <c r="C34" s="306">
        <f>IF(A34&lt;=12, $B$15/12, 0)</f>
        <v/>
      </c>
      <c r="D34" s="306">
        <f>INDEX('26. Team Comp'!$D$28:$R$28, B34) * 0.001 / 12</f>
        <v/>
      </c>
      <c r="E34" s="306">
        <f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+ (IF(MAX(0, A34 - $F$11 + 1)&lt;=0, 0, IF(MAX(0, A34 - $F$11 + 1)&lt;=6, 70 - (70-14)*(MAX(0, A34 - $F$11 + 1)-1)/5, IF(MAX(0, A34 - $F$11 + 1)&lt;=24, 14 - 14*(MAX(0, A34 - $F$11 + 1)-6)/18, 0)))) + (IF(MAX(0, A34 - $F$12 + 1)&lt;=0, 0, IF(MAX(0, A34 - $F$12 + 1)&lt;=6, 70 - (70-14)*(MAX(0, A34 - $F$12 + 1)-1)/5, IF(MAX(0, A34 - $F$12 + 1)&lt;=24, 14 - 14*(MAX(0, A34 - $F$12 + 1)-6)/18, 0)))) + (IF(MAX(0, A34 - $F$13 + 1)&lt;=0, 0, IF(MAX(0, A34 - $F$13 + 1)&lt;=6, 70 - (70-14)*(MAX(0, A34 - $F$13 + 1)-1)/5, IF(MAX(0, A34 - $F$13 + 1)&lt;=24, 14 - 14*(MAX(0, A34 - $F$13 + 1)-6)/18, 0)))) + (IF(MAX(0, A34 - $F$14 + 1)&lt;=0, 0, IF(MAX(0, A34 - $F$14 + 1)&lt;=6, 70 - (70-14)*(MAX(0, A34 - $F$14 + 1)-1)/5, IF(MAX(0, A34 - $F$14 + 1)&lt;=24, 14 - 14*(MAX(0, A34 - $F$14 + 1)-6)/18, 0)))) ) * 200 / 12 / 1000</f>
        <v/>
      </c>
      <c r="F34" s="306">
        <f>IF(A34&lt;$F$6,0,IF(AND($B$21=1,A34&gt;$B$19),0,$E$6*$G$6^MIN((A34-$F$6)/12,6)*MIN($G$6,0.85)^MAX(0,(A34-$F$6)/12-6)))</f>
        <v/>
      </c>
      <c r="G34" s="306">
        <f>IF(A34&lt;$F$7,0,IF(AND($B$21=1,A34&gt;$B$19),0,$E$7*$G$7^MIN((A34-$F$7)/12,6)*MIN($G$7,0.85)^MAX(0,(A34-$F$7)/12-6)))</f>
        <v/>
      </c>
      <c r="H34" s="306">
        <f>IF(A34&lt;$F$8,0,IF(AND($B$21=1,A34&gt;$B$19),0,$E$8*$G$8^MIN((A34-$F$8)/12,6)*MIN($G$8,0.85)^MAX(0,(A34-$F$8)/12-6)))</f>
        <v/>
      </c>
      <c r="I34" s="306">
        <f>IF(A34&lt;$F$9,0,IF(AND($B$21=1,A34&gt;$B$19),0,$E$9*$G$9^MIN((A34-$F$9)/12,6)*MIN($G$9,0.85)^MAX(0,(A34-$F$9)/12-6)))</f>
        <v/>
      </c>
      <c r="J34" s="306">
        <f>IF(A34&lt;$F$10,0,IF(AND($B$21=1,A34&gt;$B$19),0,$E$10*$G$10^MIN((A34-$F$10)/12,6)*MIN($G$10,0.85)^MAX(0,(A34-$F$10)/12-6)))</f>
        <v/>
      </c>
      <c r="K34" s="306">
        <f>IF(A34&lt;$F$11,0,IF(AND($B$21=1,A34&gt;$B$19),0,$E$11*$G$11^MIN((A34-$F$11)/12,6)*MIN($G$11,0.85)^MAX(0,(A34-$F$11)/12-6)))</f>
        <v/>
      </c>
      <c r="L34" s="306">
        <f>IF(A34&lt;$F$12,0,IF(AND($B$21=1,A34&gt;$B$19),0,$E$12*$G$12^MIN((A34-$F$12)/12,6)*MIN($G$12,0.85)^MAX(0,(A34-$F$12)/12-6)))</f>
        <v/>
      </c>
      <c r="M34" s="306">
        <f>IF(A34&lt;$F$13,0,IF(AND($B$21=1,A34&gt;$B$19),0,$E$13*$G$13^MIN((A34-$F$13)/12,6)*MIN($G$13,0.85)^MAX(0,(A34-$F$13)/12-6)))</f>
        <v/>
      </c>
      <c r="N34" s="306">
        <f>IF(A34&lt;$F$14,0,IF(AND($B$21=1,A34&gt;$B$19),0,$E$14*$G$14^MIN((A34-$F$14)/12,6)*MIN($G$14,0.85)^MAX(0,(A34-$F$14)/12-6)))</f>
        <v/>
      </c>
      <c r="O34" s="306">
        <f>SUM(F34:N34)</f>
        <v/>
      </c>
      <c r="P34" s="306">
        <f>O34/12</f>
        <v/>
      </c>
      <c r="Q34" s="306">
        <f>P34*$B$8</f>
        <v/>
      </c>
      <c r="R34" s="306">
        <f>P34*$B$9</f>
        <v/>
      </c>
      <c r="S34" s="306">
        <f>P34*$B$10</f>
        <v/>
      </c>
      <c r="T34" s="306">
        <f>P34-Q34-R34-S34-D34-E34</f>
        <v/>
      </c>
      <c r="U34" s="306">
        <f>MAX(0, T34 - $B$7*P34)</f>
        <v/>
      </c>
      <c r="V34" s="306">
        <f>T34-U34</f>
        <v/>
      </c>
      <c r="W34" s="306">
        <f>IF(A34=$F$6, $B$18*$B$16*$B$17/1000000, 0) + IF(A34=$F$7, $B$18*$B$16*$B$17/1000000, 0) + IF(A34=$F$8, $B$18*$B$16*$B$17/1000000, 0) + IF(A34=$F$9, $B$18*$B$16*$B$17/1000000, 0) + IF(A34=$F$10, $B$18*$B$16*$B$17/1000000, 0) + IF(A34=$F$11, $B$18*$B$16*$B$17/1000000, 0) + IF(A34=$F$12, $B$18*$B$16*$B$17/1000000, 0) + IF(A34=$F$13, $B$18*$B$16*$B$17/1000000, 0) + IF(A34=$F$14, $B$18*$B$16*$B$17/1000000, 0)</f>
        <v/>
      </c>
      <c r="X34" s="306">
        <f>V34-W34-C34</f>
        <v/>
      </c>
      <c r="Y34" s="306">
        <f>IF(AND(A34&lt;=$B$24, X34&gt;0), X34*$B$23, 0)</f>
        <v/>
      </c>
      <c r="Z34" s="306">
        <f>X34-Y34</f>
        <v/>
      </c>
      <c r="AA34" s="306">
        <f>IF(AND(A34=$B$19, $B$21=1), O34*$B$20, 0)</f>
        <v/>
      </c>
      <c r="AB34" s="306">
        <f>AB33+Z34+AA34</f>
        <v/>
      </c>
    </row>
    <row r="35">
      <c r="A35" s="306" t="n">
        <v>5</v>
      </c>
      <c r="B35" s="306">
        <f>CEILING(A35/12,1)</f>
        <v/>
      </c>
      <c r="C35" s="306">
        <f>IF(A35&lt;=12, $B$15/12, 0)</f>
        <v/>
      </c>
      <c r="D35" s="306">
        <f>INDEX('26. Team Comp'!$D$28:$R$28, B35) * 0.001 / 12</f>
        <v/>
      </c>
      <c r="E35" s="306">
        <f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+ (IF(MAX(0, A35 - $F$11 + 1)&lt;=0, 0, IF(MAX(0, A35 - $F$11 + 1)&lt;=6, 70 - (70-14)*(MAX(0, A35 - $F$11 + 1)-1)/5, IF(MAX(0, A35 - $F$11 + 1)&lt;=24, 14 - 14*(MAX(0, A35 - $F$11 + 1)-6)/18, 0)))) + (IF(MAX(0, A35 - $F$12 + 1)&lt;=0, 0, IF(MAX(0, A35 - $F$12 + 1)&lt;=6, 70 - (70-14)*(MAX(0, A35 - $F$12 + 1)-1)/5, IF(MAX(0, A35 - $F$12 + 1)&lt;=24, 14 - 14*(MAX(0, A35 - $F$12 + 1)-6)/18, 0)))) + (IF(MAX(0, A35 - $F$13 + 1)&lt;=0, 0, IF(MAX(0, A35 - $F$13 + 1)&lt;=6, 70 - (70-14)*(MAX(0, A35 - $F$13 + 1)-1)/5, IF(MAX(0, A35 - $F$13 + 1)&lt;=24, 14 - 14*(MAX(0, A35 - $F$13 + 1)-6)/18, 0)))) + (IF(MAX(0, A35 - $F$14 + 1)&lt;=0, 0, IF(MAX(0, A35 - $F$14 + 1)&lt;=6, 70 - (70-14)*(MAX(0, A35 - $F$14 + 1)-1)/5, IF(MAX(0, A35 - $F$14 + 1)&lt;=24, 14 - 14*(MAX(0, A35 - $F$14 + 1)-6)/18, 0)))) ) * 200 / 12 / 1000</f>
        <v/>
      </c>
      <c r="F35" s="306">
        <f>IF(A35&lt;$F$6,0,IF(AND($B$21=1,A35&gt;$B$19),0,$E$6*$G$6^MIN((A35-$F$6)/12,6)*MIN($G$6,0.85)^MAX(0,(A35-$F$6)/12-6)))</f>
        <v/>
      </c>
      <c r="G35" s="306">
        <f>IF(A35&lt;$F$7,0,IF(AND($B$21=1,A35&gt;$B$19),0,$E$7*$G$7^MIN((A35-$F$7)/12,6)*MIN($G$7,0.85)^MAX(0,(A35-$F$7)/12-6)))</f>
        <v/>
      </c>
      <c r="H35" s="306">
        <f>IF(A35&lt;$F$8,0,IF(AND($B$21=1,A35&gt;$B$19),0,$E$8*$G$8^MIN((A35-$F$8)/12,6)*MIN($G$8,0.85)^MAX(0,(A35-$F$8)/12-6)))</f>
        <v/>
      </c>
      <c r="I35" s="306">
        <f>IF(A35&lt;$F$9,0,IF(AND($B$21=1,A35&gt;$B$19),0,$E$9*$G$9^MIN((A35-$F$9)/12,6)*MIN($G$9,0.85)^MAX(0,(A35-$F$9)/12-6)))</f>
        <v/>
      </c>
      <c r="J35" s="306">
        <f>IF(A35&lt;$F$10,0,IF(AND($B$21=1,A35&gt;$B$19),0,$E$10*$G$10^MIN((A35-$F$10)/12,6)*MIN($G$10,0.85)^MAX(0,(A35-$F$10)/12-6)))</f>
        <v/>
      </c>
      <c r="K35" s="306">
        <f>IF(A35&lt;$F$11,0,IF(AND($B$21=1,A35&gt;$B$19),0,$E$11*$G$11^MIN((A35-$F$11)/12,6)*MIN($G$11,0.85)^MAX(0,(A35-$F$11)/12-6)))</f>
        <v/>
      </c>
      <c r="L35" s="306">
        <f>IF(A35&lt;$F$12,0,IF(AND($B$21=1,A35&gt;$B$19),0,$E$12*$G$12^MIN((A35-$F$12)/12,6)*MIN($G$12,0.85)^MAX(0,(A35-$F$12)/12-6)))</f>
        <v/>
      </c>
      <c r="M35" s="306">
        <f>IF(A35&lt;$F$13,0,IF(AND($B$21=1,A35&gt;$B$19),0,$E$13*$G$13^MIN((A35-$F$13)/12,6)*MIN($G$13,0.85)^MAX(0,(A35-$F$13)/12-6)))</f>
        <v/>
      </c>
      <c r="N35" s="306">
        <f>IF(A35&lt;$F$14,0,IF(AND($B$21=1,A35&gt;$B$19),0,$E$14*$G$14^MIN((A35-$F$14)/12,6)*MIN($G$14,0.85)^MAX(0,(A35-$F$14)/12-6)))</f>
        <v/>
      </c>
      <c r="O35" s="306">
        <f>SUM(F35:N35)</f>
        <v/>
      </c>
      <c r="P35" s="306">
        <f>O35/12</f>
        <v/>
      </c>
      <c r="Q35" s="306">
        <f>P35*$B$8</f>
        <v/>
      </c>
      <c r="R35" s="306">
        <f>P35*$B$9</f>
        <v/>
      </c>
      <c r="S35" s="306">
        <f>P35*$B$10</f>
        <v/>
      </c>
      <c r="T35" s="306">
        <f>P35-Q35-R35-S35-D35-E35</f>
        <v/>
      </c>
      <c r="U35" s="306">
        <f>MAX(0, T35 - $B$7*P35)</f>
        <v/>
      </c>
      <c r="V35" s="306">
        <f>T35-U35</f>
        <v/>
      </c>
      <c r="W35" s="306">
        <f>IF(A35=$F$6, $B$18*$B$16*$B$17/1000000, 0) + IF(A35=$F$7, $B$18*$B$16*$B$17/1000000, 0) + IF(A35=$F$8, $B$18*$B$16*$B$17/1000000, 0) + IF(A35=$F$9, $B$18*$B$16*$B$17/1000000, 0) + IF(A35=$F$10, $B$18*$B$16*$B$17/1000000, 0) + IF(A35=$F$11, $B$18*$B$16*$B$17/1000000, 0) + IF(A35=$F$12, $B$18*$B$16*$B$17/1000000, 0) + IF(A35=$F$13, $B$18*$B$16*$B$17/1000000, 0) + IF(A35=$F$14, $B$18*$B$16*$B$17/1000000, 0)</f>
        <v/>
      </c>
      <c r="X35" s="306">
        <f>V35-W35-C35</f>
        <v/>
      </c>
      <c r="Y35" s="306">
        <f>IF(AND(A35&lt;=$B$24, X35&gt;0), X35*$B$23, 0)</f>
        <v/>
      </c>
      <c r="Z35" s="306">
        <f>X35-Y35</f>
        <v/>
      </c>
      <c r="AA35" s="306">
        <f>IF(AND(A35=$B$19, $B$21=1), O35*$B$20, 0)</f>
        <v/>
      </c>
      <c r="AB35" s="306">
        <f>AB34+Z35+AA35</f>
        <v/>
      </c>
    </row>
    <row r="36">
      <c r="A36" s="306" t="n">
        <v>6</v>
      </c>
      <c r="B36" s="306">
        <f>CEILING(A36/12,1)</f>
        <v/>
      </c>
      <c r="C36" s="306">
        <f>IF(A36&lt;=12, $B$15/12, 0)</f>
        <v/>
      </c>
      <c r="D36" s="306">
        <f>INDEX('26. Team Comp'!$D$28:$R$28, B36) * 0.001 / 12</f>
        <v/>
      </c>
      <c r="E36" s="306">
        <f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+ (IF(MAX(0, A36 - $F$11 + 1)&lt;=0, 0, IF(MAX(0, A36 - $F$11 + 1)&lt;=6, 70 - (70-14)*(MAX(0, A36 - $F$11 + 1)-1)/5, IF(MAX(0, A36 - $F$11 + 1)&lt;=24, 14 - 14*(MAX(0, A36 - $F$11 + 1)-6)/18, 0)))) + (IF(MAX(0, A36 - $F$12 + 1)&lt;=0, 0, IF(MAX(0, A36 - $F$12 + 1)&lt;=6, 70 - (70-14)*(MAX(0, A36 - $F$12 + 1)-1)/5, IF(MAX(0, A36 - $F$12 + 1)&lt;=24, 14 - 14*(MAX(0, A36 - $F$12 + 1)-6)/18, 0)))) + (IF(MAX(0, A36 - $F$13 + 1)&lt;=0, 0, IF(MAX(0, A36 - $F$13 + 1)&lt;=6, 70 - (70-14)*(MAX(0, A36 - $F$13 + 1)-1)/5, IF(MAX(0, A36 - $F$13 + 1)&lt;=24, 14 - 14*(MAX(0, A36 - $F$13 + 1)-6)/18, 0)))) + (IF(MAX(0, A36 - $F$14 + 1)&lt;=0, 0, IF(MAX(0, A36 - $F$14 + 1)&lt;=6, 70 - (70-14)*(MAX(0, A36 - $F$14 + 1)-1)/5, IF(MAX(0, A36 - $F$14 + 1)&lt;=24, 14 - 14*(MAX(0, A36 - $F$14 + 1)-6)/18, 0)))) ) * 200 / 12 / 1000</f>
        <v/>
      </c>
      <c r="F36" s="306">
        <f>IF(A36&lt;$F$6,0,IF(AND($B$21=1,A36&gt;$B$19),0,$E$6*$G$6^MIN((A36-$F$6)/12,6)*MIN($G$6,0.85)^MAX(0,(A36-$F$6)/12-6)))</f>
        <v/>
      </c>
      <c r="G36" s="306">
        <f>IF(A36&lt;$F$7,0,IF(AND($B$21=1,A36&gt;$B$19),0,$E$7*$G$7^MIN((A36-$F$7)/12,6)*MIN($G$7,0.85)^MAX(0,(A36-$F$7)/12-6)))</f>
        <v/>
      </c>
      <c r="H36" s="306">
        <f>IF(A36&lt;$F$8,0,IF(AND($B$21=1,A36&gt;$B$19),0,$E$8*$G$8^MIN((A36-$F$8)/12,6)*MIN($G$8,0.85)^MAX(0,(A36-$F$8)/12-6)))</f>
        <v/>
      </c>
      <c r="I36" s="306">
        <f>IF(A36&lt;$F$9,0,IF(AND($B$21=1,A36&gt;$B$19),0,$E$9*$G$9^MIN((A36-$F$9)/12,6)*MIN($G$9,0.85)^MAX(0,(A36-$F$9)/12-6)))</f>
        <v/>
      </c>
      <c r="J36" s="306">
        <f>IF(A36&lt;$F$10,0,IF(AND($B$21=1,A36&gt;$B$19),0,$E$10*$G$10^MIN((A36-$F$10)/12,6)*MIN($G$10,0.85)^MAX(0,(A36-$F$10)/12-6)))</f>
        <v/>
      </c>
      <c r="K36" s="306">
        <f>IF(A36&lt;$F$11,0,IF(AND($B$21=1,A36&gt;$B$19),0,$E$11*$G$11^MIN((A36-$F$11)/12,6)*MIN($G$11,0.85)^MAX(0,(A36-$F$11)/12-6)))</f>
        <v/>
      </c>
      <c r="L36" s="306">
        <f>IF(A36&lt;$F$12,0,IF(AND($B$21=1,A36&gt;$B$19),0,$E$12*$G$12^MIN((A36-$F$12)/12,6)*MIN($G$12,0.85)^MAX(0,(A36-$F$12)/12-6)))</f>
        <v/>
      </c>
      <c r="M36" s="306">
        <f>IF(A36&lt;$F$13,0,IF(AND($B$21=1,A36&gt;$B$19),0,$E$13*$G$13^MIN((A36-$F$13)/12,6)*MIN($G$13,0.85)^MAX(0,(A36-$F$13)/12-6)))</f>
        <v/>
      </c>
      <c r="N36" s="306">
        <f>IF(A36&lt;$F$14,0,IF(AND($B$21=1,A36&gt;$B$19),0,$E$14*$G$14^MIN((A36-$F$14)/12,6)*MIN($G$14,0.85)^MAX(0,(A36-$F$14)/12-6)))</f>
        <v/>
      </c>
      <c r="O36" s="306">
        <f>SUM(F36:N36)</f>
        <v/>
      </c>
      <c r="P36" s="306">
        <f>O36/12</f>
        <v/>
      </c>
      <c r="Q36" s="306">
        <f>P36*$B$8</f>
        <v/>
      </c>
      <c r="R36" s="306">
        <f>P36*$B$9</f>
        <v/>
      </c>
      <c r="S36" s="306">
        <f>P36*$B$10</f>
        <v/>
      </c>
      <c r="T36" s="306">
        <f>P36-Q36-R36-S36-D36-E36</f>
        <v/>
      </c>
      <c r="U36" s="306">
        <f>MAX(0, T36 - $B$7*P36)</f>
        <v/>
      </c>
      <c r="V36" s="306">
        <f>T36-U36</f>
        <v/>
      </c>
      <c r="W36" s="306">
        <f>IF(A36=$F$6, $B$18*$B$16*$B$17/1000000, 0) + IF(A36=$F$7, $B$18*$B$16*$B$17/1000000, 0) + IF(A36=$F$8, $B$18*$B$16*$B$17/1000000, 0) + IF(A36=$F$9, $B$18*$B$16*$B$17/1000000, 0) + IF(A36=$F$10, $B$18*$B$16*$B$17/1000000, 0) + IF(A36=$F$11, $B$18*$B$16*$B$17/1000000, 0) + IF(A36=$F$12, $B$18*$B$16*$B$17/1000000, 0) + IF(A36=$F$13, $B$18*$B$16*$B$17/1000000, 0) + IF(A36=$F$14, $B$18*$B$16*$B$17/1000000, 0)</f>
        <v/>
      </c>
      <c r="X36" s="306">
        <f>V36-W36-C36</f>
        <v/>
      </c>
      <c r="Y36" s="306">
        <f>IF(AND(A36&lt;=$B$24, X36&gt;0), X36*$B$23, 0)</f>
        <v/>
      </c>
      <c r="Z36" s="306">
        <f>X36-Y36</f>
        <v/>
      </c>
      <c r="AA36" s="306">
        <f>IF(AND(A36=$B$19, $B$21=1), O36*$B$20, 0)</f>
        <v/>
      </c>
      <c r="AB36" s="306">
        <f>AB35+Z36+AA36</f>
        <v/>
      </c>
    </row>
    <row r="37">
      <c r="A37" s="306" t="n">
        <v>7</v>
      </c>
      <c r="B37" s="306">
        <f>CEILING(A37/12,1)</f>
        <v/>
      </c>
      <c r="C37" s="306">
        <f>IF(A37&lt;=12, $B$15/12, 0)</f>
        <v/>
      </c>
      <c r="D37" s="306">
        <f>INDEX('26. Team Comp'!$D$28:$R$28, B37) * 0.001 / 12</f>
        <v/>
      </c>
      <c r="E37" s="306">
        <f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+ (IF(MAX(0, A37 - $F$11 + 1)&lt;=0, 0, IF(MAX(0, A37 - $F$11 + 1)&lt;=6, 70 - (70-14)*(MAX(0, A37 - $F$11 + 1)-1)/5, IF(MAX(0, A37 - $F$11 + 1)&lt;=24, 14 - 14*(MAX(0, A37 - $F$11 + 1)-6)/18, 0)))) + (IF(MAX(0, A37 - $F$12 + 1)&lt;=0, 0, IF(MAX(0, A37 - $F$12 + 1)&lt;=6, 70 - (70-14)*(MAX(0, A37 - $F$12 + 1)-1)/5, IF(MAX(0, A37 - $F$12 + 1)&lt;=24, 14 - 14*(MAX(0, A37 - $F$12 + 1)-6)/18, 0)))) + (IF(MAX(0, A37 - $F$13 + 1)&lt;=0, 0, IF(MAX(0, A37 - $F$13 + 1)&lt;=6, 70 - (70-14)*(MAX(0, A37 - $F$13 + 1)-1)/5, IF(MAX(0, A37 - $F$13 + 1)&lt;=24, 14 - 14*(MAX(0, A37 - $F$13 + 1)-6)/18, 0)))) + (IF(MAX(0, A37 - $F$14 + 1)&lt;=0, 0, IF(MAX(0, A37 - $F$14 + 1)&lt;=6, 70 - (70-14)*(MAX(0, A37 - $F$14 + 1)-1)/5, IF(MAX(0, A37 - $F$14 + 1)&lt;=24, 14 - 14*(MAX(0, A37 - $F$14 + 1)-6)/18, 0)))) ) * 200 / 12 / 1000</f>
        <v/>
      </c>
      <c r="F37" s="306">
        <f>IF(A37&lt;$F$6,0,IF(AND($B$21=1,A37&gt;$B$19),0,$E$6*$G$6^MIN((A37-$F$6)/12,6)*MIN($G$6,0.85)^MAX(0,(A37-$F$6)/12-6)))</f>
        <v/>
      </c>
      <c r="G37" s="306">
        <f>IF(A37&lt;$F$7,0,IF(AND($B$21=1,A37&gt;$B$19),0,$E$7*$G$7^MIN((A37-$F$7)/12,6)*MIN($G$7,0.85)^MAX(0,(A37-$F$7)/12-6)))</f>
        <v/>
      </c>
      <c r="H37" s="306">
        <f>IF(A37&lt;$F$8,0,IF(AND($B$21=1,A37&gt;$B$19),0,$E$8*$G$8^MIN((A37-$F$8)/12,6)*MIN($G$8,0.85)^MAX(0,(A37-$F$8)/12-6)))</f>
        <v/>
      </c>
      <c r="I37" s="306">
        <f>IF(A37&lt;$F$9,0,IF(AND($B$21=1,A37&gt;$B$19),0,$E$9*$G$9^MIN((A37-$F$9)/12,6)*MIN($G$9,0.85)^MAX(0,(A37-$F$9)/12-6)))</f>
        <v/>
      </c>
      <c r="J37" s="306">
        <f>IF(A37&lt;$F$10,0,IF(AND($B$21=1,A37&gt;$B$19),0,$E$10*$G$10^MIN((A37-$F$10)/12,6)*MIN($G$10,0.85)^MAX(0,(A37-$F$10)/12-6)))</f>
        <v/>
      </c>
      <c r="K37" s="306">
        <f>IF(A37&lt;$F$11,0,IF(AND($B$21=1,A37&gt;$B$19),0,$E$11*$G$11^MIN((A37-$F$11)/12,6)*MIN($G$11,0.85)^MAX(0,(A37-$F$11)/12-6)))</f>
        <v/>
      </c>
      <c r="L37" s="306">
        <f>IF(A37&lt;$F$12,0,IF(AND($B$21=1,A37&gt;$B$19),0,$E$12*$G$12^MIN((A37-$F$12)/12,6)*MIN($G$12,0.85)^MAX(0,(A37-$F$12)/12-6)))</f>
        <v/>
      </c>
      <c r="M37" s="306">
        <f>IF(A37&lt;$F$13,0,IF(AND($B$21=1,A37&gt;$B$19),0,$E$13*$G$13^MIN((A37-$F$13)/12,6)*MIN($G$13,0.85)^MAX(0,(A37-$F$13)/12-6)))</f>
        <v/>
      </c>
      <c r="N37" s="306">
        <f>IF(A37&lt;$F$14,0,IF(AND($B$21=1,A37&gt;$B$19),0,$E$14*$G$14^MIN((A37-$F$14)/12,6)*MIN($G$14,0.85)^MAX(0,(A37-$F$14)/12-6)))</f>
        <v/>
      </c>
      <c r="O37" s="306">
        <f>SUM(F37:N37)</f>
        <v/>
      </c>
      <c r="P37" s="306">
        <f>O37/12</f>
        <v/>
      </c>
      <c r="Q37" s="306">
        <f>P37*$B$8</f>
        <v/>
      </c>
      <c r="R37" s="306">
        <f>P37*$B$9</f>
        <v/>
      </c>
      <c r="S37" s="306">
        <f>P37*$B$10</f>
        <v/>
      </c>
      <c r="T37" s="306">
        <f>P37-Q37-R37-S37-D37-E37</f>
        <v/>
      </c>
      <c r="U37" s="306">
        <f>MAX(0, T37 - $B$7*P37)</f>
        <v/>
      </c>
      <c r="V37" s="306">
        <f>T37-U37</f>
        <v/>
      </c>
      <c r="W37" s="306">
        <f>IF(A37=$F$6, $B$18*$B$16*$B$17/1000000, 0) + IF(A37=$F$7, $B$18*$B$16*$B$17/1000000, 0) + IF(A37=$F$8, $B$18*$B$16*$B$17/1000000, 0) + IF(A37=$F$9, $B$18*$B$16*$B$17/1000000, 0) + IF(A37=$F$10, $B$18*$B$16*$B$17/1000000, 0) + IF(A37=$F$11, $B$18*$B$16*$B$17/1000000, 0) + IF(A37=$F$12, $B$18*$B$16*$B$17/1000000, 0) + IF(A37=$F$13, $B$18*$B$16*$B$17/1000000, 0) + IF(A37=$F$14, $B$18*$B$16*$B$17/1000000, 0)</f>
        <v/>
      </c>
      <c r="X37" s="306">
        <f>V37-W37-C37</f>
        <v/>
      </c>
      <c r="Y37" s="306">
        <f>IF(AND(A37&lt;=$B$24, X37&gt;0), X37*$B$23, 0)</f>
        <v/>
      </c>
      <c r="Z37" s="306">
        <f>X37-Y37</f>
        <v/>
      </c>
      <c r="AA37" s="306">
        <f>IF(AND(A37=$B$19, $B$21=1), O37*$B$20, 0)</f>
        <v/>
      </c>
      <c r="AB37" s="306">
        <f>AB36+Z37+AA37</f>
        <v/>
      </c>
    </row>
    <row r="38">
      <c r="A38" s="306" t="n">
        <v>8</v>
      </c>
      <c r="B38" s="306">
        <f>CEILING(A38/12,1)</f>
        <v/>
      </c>
      <c r="C38" s="306">
        <f>IF(A38&lt;=12, $B$15/12, 0)</f>
        <v/>
      </c>
      <c r="D38" s="306">
        <f>INDEX('26. Team Comp'!$D$28:$R$28, B38) * 0.001 / 12</f>
        <v/>
      </c>
      <c r="E38" s="306">
        <f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+ (IF(MAX(0, A38 - $F$11 + 1)&lt;=0, 0, IF(MAX(0, A38 - $F$11 + 1)&lt;=6, 70 - (70-14)*(MAX(0, A38 - $F$11 + 1)-1)/5, IF(MAX(0, A38 - $F$11 + 1)&lt;=24, 14 - 14*(MAX(0, A38 - $F$11 + 1)-6)/18, 0)))) + (IF(MAX(0, A38 - $F$12 + 1)&lt;=0, 0, IF(MAX(0, A38 - $F$12 + 1)&lt;=6, 70 - (70-14)*(MAX(0, A38 - $F$12 + 1)-1)/5, IF(MAX(0, A38 - $F$12 + 1)&lt;=24, 14 - 14*(MAX(0, A38 - $F$12 + 1)-6)/18, 0)))) + (IF(MAX(0, A38 - $F$13 + 1)&lt;=0, 0, IF(MAX(0, A38 - $F$13 + 1)&lt;=6, 70 - (70-14)*(MAX(0, A38 - $F$13 + 1)-1)/5, IF(MAX(0, A38 - $F$13 + 1)&lt;=24, 14 - 14*(MAX(0, A38 - $F$13 + 1)-6)/18, 0)))) + (IF(MAX(0, A38 - $F$14 + 1)&lt;=0, 0, IF(MAX(0, A38 - $F$14 + 1)&lt;=6, 70 - (70-14)*(MAX(0, A38 - $F$14 + 1)-1)/5, IF(MAX(0, A38 - $F$14 + 1)&lt;=24, 14 - 14*(MAX(0, A38 - $F$14 + 1)-6)/18, 0)))) ) * 200 / 12 / 1000</f>
        <v/>
      </c>
      <c r="F38" s="306">
        <f>IF(A38&lt;$F$6,0,IF(AND($B$21=1,A38&gt;$B$19),0,$E$6*$G$6^MIN((A38-$F$6)/12,6)*MIN($G$6,0.85)^MAX(0,(A38-$F$6)/12-6)))</f>
        <v/>
      </c>
      <c r="G38" s="306">
        <f>IF(A38&lt;$F$7,0,IF(AND($B$21=1,A38&gt;$B$19),0,$E$7*$G$7^MIN((A38-$F$7)/12,6)*MIN($G$7,0.85)^MAX(0,(A38-$F$7)/12-6)))</f>
        <v/>
      </c>
      <c r="H38" s="306">
        <f>IF(A38&lt;$F$8,0,IF(AND($B$21=1,A38&gt;$B$19),0,$E$8*$G$8^MIN((A38-$F$8)/12,6)*MIN($G$8,0.85)^MAX(0,(A38-$F$8)/12-6)))</f>
        <v/>
      </c>
      <c r="I38" s="306">
        <f>IF(A38&lt;$F$9,0,IF(AND($B$21=1,A38&gt;$B$19),0,$E$9*$G$9^MIN((A38-$F$9)/12,6)*MIN($G$9,0.85)^MAX(0,(A38-$F$9)/12-6)))</f>
        <v/>
      </c>
      <c r="J38" s="306">
        <f>IF(A38&lt;$F$10,0,IF(AND($B$21=1,A38&gt;$B$19),0,$E$10*$G$10^MIN((A38-$F$10)/12,6)*MIN($G$10,0.85)^MAX(0,(A38-$F$10)/12-6)))</f>
        <v/>
      </c>
      <c r="K38" s="306">
        <f>IF(A38&lt;$F$11,0,IF(AND($B$21=1,A38&gt;$B$19),0,$E$11*$G$11^MIN((A38-$F$11)/12,6)*MIN($G$11,0.85)^MAX(0,(A38-$F$11)/12-6)))</f>
        <v/>
      </c>
      <c r="L38" s="306">
        <f>IF(A38&lt;$F$12,0,IF(AND($B$21=1,A38&gt;$B$19),0,$E$12*$G$12^MIN((A38-$F$12)/12,6)*MIN($G$12,0.85)^MAX(0,(A38-$F$12)/12-6)))</f>
        <v/>
      </c>
      <c r="M38" s="306">
        <f>IF(A38&lt;$F$13,0,IF(AND($B$21=1,A38&gt;$B$19),0,$E$13*$G$13^MIN((A38-$F$13)/12,6)*MIN($G$13,0.85)^MAX(0,(A38-$F$13)/12-6)))</f>
        <v/>
      </c>
      <c r="N38" s="306">
        <f>IF(A38&lt;$F$14,0,IF(AND($B$21=1,A38&gt;$B$19),0,$E$14*$G$14^MIN((A38-$F$14)/12,6)*MIN($G$14,0.85)^MAX(0,(A38-$F$14)/12-6)))</f>
        <v/>
      </c>
      <c r="O38" s="306">
        <f>SUM(F38:N38)</f>
        <v/>
      </c>
      <c r="P38" s="306">
        <f>O38/12</f>
        <v/>
      </c>
      <c r="Q38" s="306">
        <f>P38*$B$8</f>
        <v/>
      </c>
      <c r="R38" s="306">
        <f>P38*$B$9</f>
        <v/>
      </c>
      <c r="S38" s="306">
        <f>P38*$B$10</f>
        <v/>
      </c>
      <c r="T38" s="306">
        <f>P38-Q38-R38-S38-D38-E38</f>
        <v/>
      </c>
      <c r="U38" s="306">
        <f>MAX(0, T38 - $B$7*P38)</f>
        <v/>
      </c>
      <c r="V38" s="306">
        <f>T38-U38</f>
        <v/>
      </c>
      <c r="W38" s="306">
        <f>IF(A38=$F$6, $B$18*$B$16*$B$17/1000000, 0) + IF(A38=$F$7, $B$18*$B$16*$B$17/1000000, 0) + IF(A38=$F$8, $B$18*$B$16*$B$17/1000000, 0) + IF(A38=$F$9, $B$18*$B$16*$B$17/1000000, 0) + IF(A38=$F$10, $B$18*$B$16*$B$17/1000000, 0) + IF(A38=$F$11, $B$18*$B$16*$B$17/1000000, 0) + IF(A38=$F$12, $B$18*$B$16*$B$17/1000000, 0) + IF(A38=$F$13, $B$18*$B$16*$B$17/1000000, 0) + IF(A38=$F$14, $B$18*$B$16*$B$17/1000000, 0)</f>
        <v/>
      </c>
      <c r="X38" s="306">
        <f>V38-W38-C38</f>
        <v/>
      </c>
      <c r="Y38" s="306">
        <f>IF(AND(A38&lt;=$B$24, X38&gt;0), X38*$B$23, 0)</f>
        <v/>
      </c>
      <c r="Z38" s="306">
        <f>X38-Y38</f>
        <v/>
      </c>
      <c r="AA38" s="306">
        <f>IF(AND(A38=$B$19, $B$21=1), O38*$B$20, 0)</f>
        <v/>
      </c>
      <c r="AB38" s="306">
        <f>AB37+Z38+AA38</f>
        <v/>
      </c>
    </row>
    <row r="39">
      <c r="A39" s="306" t="n">
        <v>9</v>
      </c>
      <c r="B39" s="306">
        <f>CEILING(A39/12,1)</f>
        <v/>
      </c>
      <c r="C39" s="306">
        <f>IF(A39&lt;=12, $B$15/12, 0)</f>
        <v/>
      </c>
      <c r="D39" s="306">
        <f>INDEX('26. Team Comp'!$D$28:$R$28, B39) * 0.001 / 12</f>
        <v/>
      </c>
      <c r="E39" s="306">
        <f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+ (IF(MAX(0, A39 - $F$11 + 1)&lt;=0, 0, IF(MAX(0, A39 - $F$11 + 1)&lt;=6, 70 - (70-14)*(MAX(0, A39 - $F$11 + 1)-1)/5, IF(MAX(0, A39 - $F$11 + 1)&lt;=24, 14 - 14*(MAX(0, A39 - $F$11 + 1)-6)/18, 0)))) + (IF(MAX(0, A39 - $F$12 + 1)&lt;=0, 0, IF(MAX(0, A39 - $F$12 + 1)&lt;=6, 70 - (70-14)*(MAX(0, A39 - $F$12 + 1)-1)/5, IF(MAX(0, A39 - $F$12 + 1)&lt;=24, 14 - 14*(MAX(0, A39 - $F$12 + 1)-6)/18, 0)))) + (IF(MAX(0, A39 - $F$13 + 1)&lt;=0, 0, IF(MAX(0, A39 - $F$13 + 1)&lt;=6, 70 - (70-14)*(MAX(0, A39 - $F$13 + 1)-1)/5, IF(MAX(0, A39 - $F$13 + 1)&lt;=24, 14 - 14*(MAX(0, A39 - $F$13 + 1)-6)/18, 0)))) + (IF(MAX(0, A39 - $F$14 + 1)&lt;=0, 0, IF(MAX(0, A39 - $F$14 + 1)&lt;=6, 70 - (70-14)*(MAX(0, A39 - $F$14 + 1)-1)/5, IF(MAX(0, A39 - $F$14 + 1)&lt;=24, 14 - 14*(MAX(0, A39 - $F$14 + 1)-6)/18, 0)))) ) * 200 / 12 / 1000</f>
        <v/>
      </c>
      <c r="F39" s="306">
        <f>IF(A39&lt;$F$6,0,IF(AND($B$21=1,A39&gt;$B$19),0,$E$6*$G$6^MIN((A39-$F$6)/12,6)*MIN($G$6,0.85)^MAX(0,(A39-$F$6)/12-6)))</f>
        <v/>
      </c>
      <c r="G39" s="306">
        <f>IF(A39&lt;$F$7,0,IF(AND($B$21=1,A39&gt;$B$19),0,$E$7*$G$7^MIN((A39-$F$7)/12,6)*MIN($G$7,0.85)^MAX(0,(A39-$F$7)/12-6)))</f>
        <v/>
      </c>
      <c r="H39" s="306">
        <f>IF(A39&lt;$F$8,0,IF(AND($B$21=1,A39&gt;$B$19),0,$E$8*$G$8^MIN((A39-$F$8)/12,6)*MIN($G$8,0.85)^MAX(0,(A39-$F$8)/12-6)))</f>
        <v/>
      </c>
      <c r="I39" s="306">
        <f>IF(A39&lt;$F$9,0,IF(AND($B$21=1,A39&gt;$B$19),0,$E$9*$G$9^MIN((A39-$F$9)/12,6)*MIN($G$9,0.85)^MAX(0,(A39-$F$9)/12-6)))</f>
        <v/>
      </c>
      <c r="J39" s="306">
        <f>IF(A39&lt;$F$10,0,IF(AND($B$21=1,A39&gt;$B$19),0,$E$10*$G$10^MIN((A39-$F$10)/12,6)*MIN($G$10,0.85)^MAX(0,(A39-$F$10)/12-6)))</f>
        <v/>
      </c>
      <c r="K39" s="306">
        <f>IF(A39&lt;$F$11,0,IF(AND($B$21=1,A39&gt;$B$19),0,$E$11*$G$11^MIN((A39-$F$11)/12,6)*MIN($G$11,0.85)^MAX(0,(A39-$F$11)/12-6)))</f>
        <v/>
      </c>
      <c r="L39" s="306">
        <f>IF(A39&lt;$F$12,0,IF(AND($B$21=1,A39&gt;$B$19),0,$E$12*$G$12^MIN((A39-$F$12)/12,6)*MIN($G$12,0.85)^MAX(0,(A39-$F$12)/12-6)))</f>
        <v/>
      </c>
      <c r="M39" s="306">
        <f>IF(A39&lt;$F$13,0,IF(AND($B$21=1,A39&gt;$B$19),0,$E$13*$G$13^MIN((A39-$F$13)/12,6)*MIN($G$13,0.85)^MAX(0,(A39-$F$13)/12-6)))</f>
        <v/>
      </c>
      <c r="N39" s="306">
        <f>IF(A39&lt;$F$14,0,IF(AND($B$21=1,A39&gt;$B$19),0,$E$14*$G$14^MIN((A39-$F$14)/12,6)*MIN($G$14,0.85)^MAX(0,(A39-$F$14)/12-6)))</f>
        <v/>
      </c>
      <c r="O39" s="306">
        <f>SUM(F39:N39)</f>
        <v/>
      </c>
      <c r="P39" s="306">
        <f>O39/12</f>
        <v/>
      </c>
      <c r="Q39" s="306">
        <f>P39*$B$8</f>
        <v/>
      </c>
      <c r="R39" s="306">
        <f>P39*$B$9</f>
        <v/>
      </c>
      <c r="S39" s="306">
        <f>P39*$B$10</f>
        <v/>
      </c>
      <c r="T39" s="306">
        <f>P39-Q39-R39-S39-D39-E39</f>
        <v/>
      </c>
      <c r="U39" s="306">
        <f>MAX(0, T39 - $B$7*P39)</f>
        <v/>
      </c>
      <c r="V39" s="306">
        <f>T39-U39</f>
        <v/>
      </c>
      <c r="W39" s="306">
        <f>IF(A39=$F$6, $B$18*$B$16*$B$17/1000000, 0) + IF(A39=$F$7, $B$18*$B$16*$B$17/1000000, 0) + IF(A39=$F$8, $B$18*$B$16*$B$17/1000000, 0) + IF(A39=$F$9, $B$18*$B$16*$B$17/1000000, 0) + IF(A39=$F$10, $B$18*$B$16*$B$17/1000000, 0) + IF(A39=$F$11, $B$18*$B$16*$B$17/1000000, 0) + IF(A39=$F$12, $B$18*$B$16*$B$17/1000000, 0) + IF(A39=$F$13, $B$18*$B$16*$B$17/1000000, 0) + IF(A39=$F$14, $B$18*$B$16*$B$17/1000000, 0)</f>
        <v/>
      </c>
      <c r="X39" s="306">
        <f>V39-W39-C39</f>
        <v/>
      </c>
      <c r="Y39" s="306">
        <f>IF(AND(A39&lt;=$B$24, X39&gt;0), X39*$B$23, 0)</f>
        <v/>
      </c>
      <c r="Z39" s="306">
        <f>X39-Y39</f>
        <v/>
      </c>
      <c r="AA39" s="306">
        <f>IF(AND(A39=$B$19, $B$21=1), O39*$B$20, 0)</f>
        <v/>
      </c>
      <c r="AB39" s="306">
        <f>AB38+Z39+AA39</f>
        <v/>
      </c>
    </row>
    <row r="40">
      <c r="A40" s="306" t="n">
        <v>10</v>
      </c>
      <c r="B40" s="306">
        <f>CEILING(A40/12,1)</f>
        <v/>
      </c>
      <c r="C40" s="306">
        <f>IF(A40&lt;=12, $B$15/12, 0)</f>
        <v/>
      </c>
      <c r="D40" s="306">
        <f>INDEX('26. Team Comp'!$D$28:$R$28, B40) * 0.001 / 12</f>
        <v/>
      </c>
      <c r="E40" s="306">
        <f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+ (IF(MAX(0, A40 - $F$11 + 1)&lt;=0, 0, IF(MAX(0, A40 - $F$11 + 1)&lt;=6, 70 - (70-14)*(MAX(0, A40 - $F$11 + 1)-1)/5, IF(MAX(0, A40 - $F$11 + 1)&lt;=24, 14 - 14*(MAX(0, A40 - $F$11 + 1)-6)/18, 0)))) + (IF(MAX(0, A40 - $F$12 + 1)&lt;=0, 0, IF(MAX(0, A40 - $F$12 + 1)&lt;=6, 70 - (70-14)*(MAX(0, A40 - $F$12 + 1)-1)/5, IF(MAX(0, A40 - $F$12 + 1)&lt;=24, 14 - 14*(MAX(0, A40 - $F$12 + 1)-6)/18, 0)))) + (IF(MAX(0, A40 - $F$13 + 1)&lt;=0, 0, IF(MAX(0, A40 - $F$13 + 1)&lt;=6, 70 - (70-14)*(MAX(0, A40 - $F$13 + 1)-1)/5, IF(MAX(0, A40 - $F$13 + 1)&lt;=24, 14 - 14*(MAX(0, A40 - $F$13 + 1)-6)/18, 0)))) + (IF(MAX(0, A40 - $F$14 + 1)&lt;=0, 0, IF(MAX(0, A40 - $F$14 + 1)&lt;=6, 70 - (70-14)*(MAX(0, A40 - $F$14 + 1)-1)/5, IF(MAX(0, A40 - $F$14 + 1)&lt;=24, 14 - 14*(MAX(0, A40 - $F$14 + 1)-6)/18, 0)))) ) * 200 / 12 / 1000</f>
        <v/>
      </c>
      <c r="F40" s="306">
        <f>IF(A40&lt;$F$6,0,IF(AND($B$21=1,A40&gt;$B$19),0,$E$6*$G$6^MIN((A40-$F$6)/12,6)*MIN($G$6,0.85)^MAX(0,(A40-$F$6)/12-6)))</f>
        <v/>
      </c>
      <c r="G40" s="306">
        <f>IF(A40&lt;$F$7,0,IF(AND($B$21=1,A40&gt;$B$19),0,$E$7*$G$7^MIN((A40-$F$7)/12,6)*MIN($G$7,0.85)^MAX(0,(A40-$F$7)/12-6)))</f>
        <v/>
      </c>
      <c r="H40" s="306">
        <f>IF(A40&lt;$F$8,0,IF(AND($B$21=1,A40&gt;$B$19),0,$E$8*$G$8^MIN((A40-$F$8)/12,6)*MIN($G$8,0.85)^MAX(0,(A40-$F$8)/12-6)))</f>
        <v/>
      </c>
      <c r="I40" s="306">
        <f>IF(A40&lt;$F$9,0,IF(AND($B$21=1,A40&gt;$B$19),0,$E$9*$G$9^MIN((A40-$F$9)/12,6)*MIN($G$9,0.85)^MAX(0,(A40-$F$9)/12-6)))</f>
        <v/>
      </c>
      <c r="J40" s="306">
        <f>IF(A40&lt;$F$10,0,IF(AND($B$21=1,A40&gt;$B$19),0,$E$10*$G$10^MIN((A40-$F$10)/12,6)*MIN($G$10,0.85)^MAX(0,(A40-$F$10)/12-6)))</f>
        <v/>
      </c>
      <c r="K40" s="306">
        <f>IF(A40&lt;$F$11,0,IF(AND($B$21=1,A40&gt;$B$19),0,$E$11*$G$11^MIN((A40-$F$11)/12,6)*MIN($G$11,0.85)^MAX(0,(A40-$F$11)/12-6)))</f>
        <v/>
      </c>
      <c r="L40" s="306">
        <f>IF(A40&lt;$F$12,0,IF(AND($B$21=1,A40&gt;$B$19),0,$E$12*$G$12^MIN((A40-$F$12)/12,6)*MIN($G$12,0.85)^MAX(0,(A40-$F$12)/12-6)))</f>
        <v/>
      </c>
      <c r="M40" s="306">
        <f>IF(A40&lt;$F$13,0,IF(AND($B$21=1,A40&gt;$B$19),0,$E$13*$G$13^MIN((A40-$F$13)/12,6)*MIN($G$13,0.85)^MAX(0,(A40-$F$13)/12-6)))</f>
        <v/>
      </c>
      <c r="N40" s="306">
        <f>IF(A40&lt;$F$14,0,IF(AND($B$21=1,A40&gt;$B$19),0,$E$14*$G$14^MIN((A40-$F$14)/12,6)*MIN($G$14,0.85)^MAX(0,(A40-$F$14)/12-6)))</f>
        <v/>
      </c>
      <c r="O40" s="306">
        <f>SUM(F40:N40)</f>
        <v/>
      </c>
      <c r="P40" s="306">
        <f>O40/12</f>
        <v/>
      </c>
      <c r="Q40" s="306">
        <f>P40*$B$8</f>
        <v/>
      </c>
      <c r="R40" s="306">
        <f>P40*$B$9</f>
        <v/>
      </c>
      <c r="S40" s="306">
        <f>P40*$B$10</f>
        <v/>
      </c>
      <c r="T40" s="306">
        <f>P40-Q40-R40-S40-D40-E40</f>
        <v/>
      </c>
      <c r="U40" s="306">
        <f>MAX(0, T40 - $B$7*P40)</f>
        <v/>
      </c>
      <c r="V40" s="306">
        <f>T40-U40</f>
        <v/>
      </c>
      <c r="W40" s="306">
        <f>IF(A40=$F$6, $B$18*$B$16*$B$17/1000000, 0) + IF(A40=$F$7, $B$18*$B$16*$B$17/1000000, 0) + IF(A40=$F$8, $B$18*$B$16*$B$17/1000000, 0) + IF(A40=$F$9, $B$18*$B$16*$B$17/1000000, 0) + IF(A40=$F$10, $B$18*$B$16*$B$17/1000000, 0) + IF(A40=$F$11, $B$18*$B$16*$B$17/1000000, 0) + IF(A40=$F$12, $B$18*$B$16*$B$17/1000000, 0) + IF(A40=$F$13, $B$18*$B$16*$B$17/1000000, 0) + IF(A40=$F$14, $B$18*$B$16*$B$17/1000000, 0)</f>
        <v/>
      </c>
      <c r="X40" s="306">
        <f>V40-W40-C40</f>
        <v/>
      </c>
      <c r="Y40" s="306">
        <f>IF(AND(A40&lt;=$B$24, X40&gt;0), X40*$B$23, 0)</f>
        <v/>
      </c>
      <c r="Z40" s="306">
        <f>X40-Y40</f>
        <v/>
      </c>
      <c r="AA40" s="306">
        <f>IF(AND(A40=$B$19, $B$21=1), O40*$B$20, 0)</f>
        <v/>
      </c>
      <c r="AB40" s="306">
        <f>AB39+Z40+AA40</f>
        <v/>
      </c>
    </row>
    <row r="41">
      <c r="A41" s="306" t="n">
        <v>11</v>
      </c>
      <c r="B41" s="306">
        <f>CEILING(A41/12,1)</f>
        <v/>
      </c>
      <c r="C41" s="306">
        <f>IF(A41&lt;=12, $B$15/12, 0)</f>
        <v/>
      </c>
      <c r="D41" s="306">
        <f>INDEX('26. Team Comp'!$D$28:$R$28, B41) * 0.001 / 12</f>
        <v/>
      </c>
      <c r="E41" s="306">
        <f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+ (IF(MAX(0, A41 - $F$11 + 1)&lt;=0, 0, IF(MAX(0, A41 - $F$11 + 1)&lt;=6, 70 - (70-14)*(MAX(0, A41 - $F$11 + 1)-1)/5, IF(MAX(0, A41 - $F$11 + 1)&lt;=24, 14 - 14*(MAX(0, A41 - $F$11 + 1)-6)/18, 0)))) + (IF(MAX(0, A41 - $F$12 + 1)&lt;=0, 0, IF(MAX(0, A41 - $F$12 + 1)&lt;=6, 70 - (70-14)*(MAX(0, A41 - $F$12 + 1)-1)/5, IF(MAX(0, A41 - $F$12 + 1)&lt;=24, 14 - 14*(MAX(0, A41 - $F$12 + 1)-6)/18, 0)))) + (IF(MAX(0, A41 - $F$13 + 1)&lt;=0, 0, IF(MAX(0, A41 - $F$13 + 1)&lt;=6, 70 - (70-14)*(MAX(0, A41 - $F$13 + 1)-1)/5, IF(MAX(0, A41 - $F$13 + 1)&lt;=24, 14 - 14*(MAX(0, A41 - $F$13 + 1)-6)/18, 0)))) + (IF(MAX(0, A41 - $F$14 + 1)&lt;=0, 0, IF(MAX(0, A41 - $F$14 + 1)&lt;=6, 70 - (70-14)*(MAX(0, A41 - $F$14 + 1)-1)/5, IF(MAX(0, A41 - $F$14 + 1)&lt;=24, 14 - 14*(MAX(0, A41 - $F$14 + 1)-6)/18, 0)))) ) * 200 / 12 / 1000</f>
        <v/>
      </c>
      <c r="F41" s="306">
        <f>IF(A41&lt;$F$6,0,IF(AND($B$21=1,A41&gt;$B$19),0,$E$6*$G$6^MIN((A41-$F$6)/12,6)*MIN($G$6,0.85)^MAX(0,(A41-$F$6)/12-6)))</f>
        <v/>
      </c>
      <c r="G41" s="306">
        <f>IF(A41&lt;$F$7,0,IF(AND($B$21=1,A41&gt;$B$19),0,$E$7*$G$7^MIN((A41-$F$7)/12,6)*MIN($G$7,0.85)^MAX(0,(A41-$F$7)/12-6)))</f>
        <v/>
      </c>
      <c r="H41" s="306">
        <f>IF(A41&lt;$F$8,0,IF(AND($B$21=1,A41&gt;$B$19),0,$E$8*$G$8^MIN((A41-$F$8)/12,6)*MIN($G$8,0.85)^MAX(0,(A41-$F$8)/12-6)))</f>
        <v/>
      </c>
      <c r="I41" s="306">
        <f>IF(A41&lt;$F$9,0,IF(AND($B$21=1,A41&gt;$B$19),0,$E$9*$G$9^MIN((A41-$F$9)/12,6)*MIN($G$9,0.85)^MAX(0,(A41-$F$9)/12-6)))</f>
        <v/>
      </c>
      <c r="J41" s="306">
        <f>IF(A41&lt;$F$10,0,IF(AND($B$21=1,A41&gt;$B$19),0,$E$10*$G$10^MIN((A41-$F$10)/12,6)*MIN($G$10,0.85)^MAX(0,(A41-$F$10)/12-6)))</f>
        <v/>
      </c>
      <c r="K41" s="306">
        <f>IF(A41&lt;$F$11,0,IF(AND($B$21=1,A41&gt;$B$19),0,$E$11*$G$11^MIN((A41-$F$11)/12,6)*MIN($G$11,0.85)^MAX(0,(A41-$F$11)/12-6)))</f>
        <v/>
      </c>
      <c r="L41" s="306">
        <f>IF(A41&lt;$F$12,0,IF(AND($B$21=1,A41&gt;$B$19),0,$E$12*$G$12^MIN((A41-$F$12)/12,6)*MIN($G$12,0.85)^MAX(0,(A41-$F$12)/12-6)))</f>
        <v/>
      </c>
      <c r="M41" s="306">
        <f>IF(A41&lt;$F$13,0,IF(AND($B$21=1,A41&gt;$B$19),0,$E$13*$G$13^MIN((A41-$F$13)/12,6)*MIN($G$13,0.85)^MAX(0,(A41-$F$13)/12-6)))</f>
        <v/>
      </c>
      <c r="N41" s="306">
        <f>IF(A41&lt;$F$14,0,IF(AND($B$21=1,A41&gt;$B$19),0,$E$14*$G$14^MIN((A41-$F$14)/12,6)*MIN($G$14,0.85)^MAX(0,(A41-$F$14)/12-6)))</f>
        <v/>
      </c>
      <c r="O41" s="306">
        <f>SUM(F41:N41)</f>
        <v/>
      </c>
      <c r="P41" s="306">
        <f>O41/12</f>
        <v/>
      </c>
      <c r="Q41" s="306">
        <f>P41*$B$8</f>
        <v/>
      </c>
      <c r="R41" s="306">
        <f>P41*$B$9</f>
        <v/>
      </c>
      <c r="S41" s="306">
        <f>P41*$B$10</f>
        <v/>
      </c>
      <c r="T41" s="306">
        <f>P41-Q41-R41-S41-D41-E41</f>
        <v/>
      </c>
      <c r="U41" s="306">
        <f>MAX(0, T41 - $B$7*P41)</f>
        <v/>
      </c>
      <c r="V41" s="306">
        <f>T41-U41</f>
        <v/>
      </c>
      <c r="W41" s="306">
        <f>IF(A41=$F$6, $B$18*$B$16*$B$17/1000000, 0) + IF(A41=$F$7, $B$18*$B$16*$B$17/1000000, 0) + IF(A41=$F$8, $B$18*$B$16*$B$17/1000000, 0) + IF(A41=$F$9, $B$18*$B$16*$B$17/1000000, 0) + IF(A41=$F$10, $B$18*$B$16*$B$17/1000000, 0) + IF(A41=$F$11, $B$18*$B$16*$B$17/1000000, 0) + IF(A41=$F$12, $B$18*$B$16*$B$17/1000000, 0) + IF(A41=$F$13, $B$18*$B$16*$B$17/1000000, 0) + IF(A41=$F$14, $B$18*$B$16*$B$17/1000000, 0)</f>
        <v/>
      </c>
      <c r="X41" s="306">
        <f>V41-W41-C41</f>
        <v/>
      </c>
      <c r="Y41" s="306">
        <f>IF(AND(A41&lt;=$B$24, X41&gt;0), X41*$B$23, 0)</f>
        <v/>
      </c>
      <c r="Z41" s="306">
        <f>X41-Y41</f>
        <v/>
      </c>
      <c r="AA41" s="306">
        <f>IF(AND(A41=$B$19, $B$21=1), O41*$B$20, 0)</f>
        <v/>
      </c>
      <c r="AB41" s="306">
        <f>AB40+Z41+AA41</f>
        <v/>
      </c>
    </row>
    <row r="42">
      <c r="A42" s="306" t="n">
        <v>12</v>
      </c>
      <c r="B42" s="306">
        <f>CEILING(A42/12,1)</f>
        <v/>
      </c>
      <c r="C42" s="306">
        <f>IF(A42&lt;=12, $B$15/12, 0)</f>
        <v/>
      </c>
      <c r="D42" s="306">
        <f>INDEX('26. Team Comp'!$D$28:$R$28, B42) * 0.001 / 12</f>
        <v/>
      </c>
      <c r="E42" s="306">
        <f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+ (IF(MAX(0, A42 - $F$11 + 1)&lt;=0, 0, IF(MAX(0, A42 - $F$11 + 1)&lt;=6, 70 - (70-14)*(MAX(0, A42 - $F$11 + 1)-1)/5, IF(MAX(0, A42 - $F$11 + 1)&lt;=24, 14 - 14*(MAX(0, A42 - $F$11 + 1)-6)/18, 0)))) + (IF(MAX(0, A42 - $F$12 + 1)&lt;=0, 0, IF(MAX(0, A42 - $F$12 + 1)&lt;=6, 70 - (70-14)*(MAX(0, A42 - $F$12 + 1)-1)/5, IF(MAX(0, A42 - $F$12 + 1)&lt;=24, 14 - 14*(MAX(0, A42 - $F$12 + 1)-6)/18, 0)))) + (IF(MAX(0, A42 - $F$13 + 1)&lt;=0, 0, IF(MAX(0, A42 - $F$13 + 1)&lt;=6, 70 - (70-14)*(MAX(0, A42 - $F$13 + 1)-1)/5, IF(MAX(0, A42 - $F$13 + 1)&lt;=24, 14 - 14*(MAX(0, A42 - $F$13 + 1)-6)/18, 0)))) + (IF(MAX(0, A42 - $F$14 + 1)&lt;=0, 0, IF(MAX(0, A42 - $F$14 + 1)&lt;=6, 70 - (70-14)*(MAX(0, A42 - $F$14 + 1)-1)/5, IF(MAX(0, A42 - $F$14 + 1)&lt;=24, 14 - 14*(MAX(0, A42 - $F$14 + 1)-6)/18, 0)))) ) * 200 / 12 / 1000</f>
        <v/>
      </c>
      <c r="F42" s="306">
        <f>IF(A42&lt;$F$6,0,IF(AND($B$21=1,A42&gt;$B$19),0,$E$6*$G$6^MIN((A42-$F$6)/12,6)*MIN($G$6,0.85)^MAX(0,(A42-$F$6)/12-6)))</f>
        <v/>
      </c>
      <c r="G42" s="306">
        <f>IF(A42&lt;$F$7,0,IF(AND($B$21=1,A42&gt;$B$19),0,$E$7*$G$7^MIN((A42-$F$7)/12,6)*MIN($G$7,0.85)^MAX(0,(A42-$F$7)/12-6)))</f>
        <v/>
      </c>
      <c r="H42" s="306">
        <f>IF(A42&lt;$F$8,0,IF(AND($B$21=1,A42&gt;$B$19),0,$E$8*$G$8^MIN((A42-$F$8)/12,6)*MIN($G$8,0.85)^MAX(0,(A42-$F$8)/12-6)))</f>
        <v/>
      </c>
      <c r="I42" s="306">
        <f>IF(A42&lt;$F$9,0,IF(AND($B$21=1,A42&gt;$B$19),0,$E$9*$G$9^MIN((A42-$F$9)/12,6)*MIN($G$9,0.85)^MAX(0,(A42-$F$9)/12-6)))</f>
        <v/>
      </c>
      <c r="J42" s="306">
        <f>IF(A42&lt;$F$10,0,IF(AND($B$21=1,A42&gt;$B$19),0,$E$10*$G$10^MIN((A42-$F$10)/12,6)*MIN($G$10,0.85)^MAX(0,(A42-$F$10)/12-6)))</f>
        <v/>
      </c>
      <c r="K42" s="306">
        <f>IF(A42&lt;$F$11,0,IF(AND($B$21=1,A42&gt;$B$19),0,$E$11*$G$11^MIN((A42-$F$11)/12,6)*MIN($G$11,0.85)^MAX(0,(A42-$F$11)/12-6)))</f>
        <v/>
      </c>
      <c r="L42" s="306">
        <f>IF(A42&lt;$F$12,0,IF(AND($B$21=1,A42&gt;$B$19),0,$E$12*$G$12^MIN((A42-$F$12)/12,6)*MIN($G$12,0.85)^MAX(0,(A42-$F$12)/12-6)))</f>
        <v/>
      </c>
      <c r="M42" s="306">
        <f>IF(A42&lt;$F$13,0,IF(AND($B$21=1,A42&gt;$B$19),0,$E$13*$G$13^MIN((A42-$F$13)/12,6)*MIN($G$13,0.85)^MAX(0,(A42-$F$13)/12-6)))</f>
        <v/>
      </c>
      <c r="N42" s="306">
        <f>IF(A42&lt;$F$14,0,IF(AND($B$21=1,A42&gt;$B$19),0,$E$14*$G$14^MIN((A42-$F$14)/12,6)*MIN($G$14,0.85)^MAX(0,(A42-$F$14)/12-6)))</f>
        <v/>
      </c>
      <c r="O42" s="306">
        <f>SUM(F42:N42)</f>
        <v/>
      </c>
      <c r="P42" s="306">
        <f>O42/12</f>
        <v/>
      </c>
      <c r="Q42" s="306">
        <f>P42*$B$8</f>
        <v/>
      </c>
      <c r="R42" s="306">
        <f>P42*$B$9</f>
        <v/>
      </c>
      <c r="S42" s="306">
        <f>P42*$B$10</f>
        <v/>
      </c>
      <c r="T42" s="306">
        <f>P42-Q42-R42-S42-D42-E42</f>
        <v/>
      </c>
      <c r="U42" s="306">
        <f>MAX(0, T42 - $B$7*P42)</f>
        <v/>
      </c>
      <c r="V42" s="306">
        <f>T42-U42</f>
        <v/>
      </c>
      <c r="W42" s="306">
        <f>IF(A42=$F$6, $B$18*$B$16*$B$17/1000000, 0) + IF(A42=$F$7, $B$18*$B$16*$B$17/1000000, 0) + IF(A42=$F$8, $B$18*$B$16*$B$17/1000000, 0) + IF(A42=$F$9, $B$18*$B$16*$B$17/1000000, 0) + IF(A42=$F$10, $B$18*$B$16*$B$17/1000000, 0) + IF(A42=$F$11, $B$18*$B$16*$B$17/1000000, 0) + IF(A42=$F$12, $B$18*$B$16*$B$17/1000000, 0) + IF(A42=$F$13, $B$18*$B$16*$B$17/1000000, 0) + IF(A42=$F$14, $B$18*$B$16*$B$17/1000000, 0)</f>
        <v/>
      </c>
      <c r="X42" s="306">
        <f>V42-W42-C42</f>
        <v/>
      </c>
      <c r="Y42" s="306">
        <f>IF(AND(A42&lt;=$B$24, X42&gt;0), X42*$B$23, 0)</f>
        <v/>
      </c>
      <c r="Z42" s="306">
        <f>X42-Y42</f>
        <v/>
      </c>
      <c r="AA42" s="306">
        <f>IF(AND(A42=$B$19, $B$21=1), O42*$B$20, 0)</f>
        <v/>
      </c>
      <c r="AB42" s="306">
        <f>AB41+Z42+AA42</f>
        <v/>
      </c>
    </row>
    <row r="43">
      <c r="A43" s="306" t="n">
        <v>13</v>
      </c>
      <c r="B43" s="306">
        <f>CEILING(A43/12,1)</f>
        <v/>
      </c>
      <c r="C43" s="306">
        <f>IF(A43&lt;=12, $B$15/12, 0)</f>
        <v/>
      </c>
      <c r="D43" s="306">
        <f>INDEX('26. Team Comp'!$D$28:$R$28, B43) * 0.001 / 12</f>
        <v/>
      </c>
      <c r="E43" s="306">
        <f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+ (IF(MAX(0, A43 - $F$11 + 1)&lt;=0, 0, IF(MAX(0, A43 - $F$11 + 1)&lt;=6, 70 - (70-14)*(MAX(0, A43 - $F$11 + 1)-1)/5, IF(MAX(0, A43 - $F$11 + 1)&lt;=24, 14 - 14*(MAX(0, A43 - $F$11 + 1)-6)/18, 0)))) + (IF(MAX(0, A43 - $F$12 + 1)&lt;=0, 0, IF(MAX(0, A43 - $F$12 + 1)&lt;=6, 70 - (70-14)*(MAX(0, A43 - $F$12 + 1)-1)/5, IF(MAX(0, A43 - $F$12 + 1)&lt;=24, 14 - 14*(MAX(0, A43 - $F$12 + 1)-6)/18, 0)))) + (IF(MAX(0, A43 - $F$13 + 1)&lt;=0, 0, IF(MAX(0, A43 - $F$13 + 1)&lt;=6, 70 - (70-14)*(MAX(0, A43 - $F$13 + 1)-1)/5, IF(MAX(0, A43 - $F$13 + 1)&lt;=24, 14 - 14*(MAX(0, A43 - $F$13 + 1)-6)/18, 0)))) + (IF(MAX(0, A43 - $F$14 + 1)&lt;=0, 0, IF(MAX(0, A43 - $F$14 + 1)&lt;=6, 70 - (70-14)*(MAX(0, A43 - $F$14 + 1)-1)/5, IF(MAX(0, A43 - $F$14 + 1)&lt;=24, 14 - 14*(MAX(0, A43 - $F$14 + 1)-6)/18, 0)))) ) * 200 / 12 / 1000</f>
        <v/>
      </c>
      <c r="F43" s="306">
        <f>IF(A43&lt;$F$6,0,IF(AND($B$21=1,A43&gt;$B$19),0,$E$6*$G$6^MIN((A43-$F$6)/12,6)*MIN($G$6,0.85)^MAX(0,(A43-$F$6)/12-6)))</f>
        <v/>
      </c>
      <c r="G43" s="306">
        <f>IF(A43&lt;$F$7,0,IF(AND($B$21=1,A43&gt;$B$19),0,$E$7*$G$7^MIN((A43-$F$7)/12,6)*MIN($G$7,0.85)^MAX(0,(A43-$F$7)/12-6)))</f>
        <v/>
      </c>
      <c r="H43" s="306">
        <f>IF(A43&lt;$F$8,0,IF(AND($B$21=1,A43&gt;$B$19),0,$E$8*$G$8^MIN((A43-$F$8)/12,6)*MIN($G$8,0.85)^MAX(0,(A43-$F$8)/12-6)))</f>
        <v/>
      </c>
      <c r="I43" s="306">
        <f>IF(A43&lt;$F$9,0,IF(AND($B$21=1,A43&gt;$B$19),0,$E$9*$G$9^MIN((A43-$F$9)/12,6)*MIN($G$9,0.85)^MAX(0,(A43-$F$9)/12-6)))</f>
        <v/>
      </c>
      <c r="J43" s="306">
        <f>IF(A43&lt;$F$10,0,IF(AND($B$21=1,A43&gt;$B$19),0,$E$10*$G$10^MIN((A43-$F$10)/12,6)*MIN($G$10,0.85)^MAX(0,(A43-$F$10)/12-6)))</f>
        <v/>
      </c>
      <c r="K43" s="306">
        <f>IF(A43&lt;$F$11,0,IF(AND($B$21=1,A43&gt;$B$19),0,$E$11*$G$11^MIN((A43-$F$11)/12,6)*MIN($G$11,0.85)^MAX(0,(A43-$F$11)/12-6)))</f>
        <v/>
      </c>
      <c r="L43" s="306">
        <f>IF(A43&lt;$F$12,0,IF(AND($B$21=1,A43&gt;$B$19),0,$E$12*$G$12^MIN((A43-$F$12)/12,6)*MIN($G$12,0.85)^MAX(0,(A43-$F$12)/12-6)))</f>
        <v/>
      </c>
      <c r="M43" s="306">
        <f>IF(A43&lt;$F$13,0,IF(AND($B$21=1,A43&gt;$B$19),0,$E$13*$G$13^MIN((A43-$F$13)/12,6)*MIN($G$13,0.85)^MAX(0,(A43-$F$13)/12-6)))</f>
        <v/>
      </c>
      <c r="N43" s="306">
        <f>IF(A43&lt;$F$14,0,IF(AND($B$21=1,A43&gt;$B$19),0,$E$14*$G$14^MIN((A43-$F$14)/12,6)*MIN($G$14,0.85)^MAX(0,(A43-$F$14)/12-6)))</f>
        <v/>
      </c>
      <c r="O43" s="306">
        <f>SUM(F43:N43)</f>
        <v/>
      </c>
      <c r="P43" s="306">
        <f>O43/12</f>
        <v/>
      </c>
      <c r="Q43" s="306">
        <f>P43*$B$8</f>
        <v/>
      </c>
      <c r="R43" s="306">
        <f>P43*$B$9</f>
        <v/>
      </c>
      <c r="S43" s="306">
        <f>P43*$B$10</f>
        <v/>
      </c>
      <c r="T43" s="306">
        <f>P43-Q43-R43-S43-D43-E43</f>
        <v/>
      </c>
      <c r="U43" s="306">
        <f>MAX(0, T43 - $B$7*P43)</f>
        <v/>
      </c>
      <c r="V43" s="306">
        <f>T43-U43</f>
        <v/>
      </c>
      <c r="W43" s="306">
        <f>IF(A43=$F$6, $B$18*$B$16*$B$17/1000000, 0) + IF(A43=$F$7, $B$18*$B$16*$B$17/1000000, 0) + IF(A43=$F$8, $B$18*$B$16*$B$17/1000000, 0) + IF(A43=$F$9, $B$18*$B$16*$B$17/1000000, 0) + IF(A43=$F$10, $B$18*$B$16*$B$17/1000000, 0) + IF(A43=$F$11, $B$18*$B$16*$B$17/1000000, 0) + IF(A43=$F$12, $B$18*$B$16*$B$17/1000000, 0) + IF(A43=$F$13, $B$18*$B$16*$B$17/1000000, 0) + IF(A43=$F$14, $B$18*$B$16*$B$17/1000000, 0)</f>
        <v/>
      </c>
      <c r="X43" s="306">
        <f>V43-W43-C43</f>
        <v/>
      </c>
      <c r="Y43" s="306">
        <f>IF(AND(A43&lt;=$B$24, X43&gt;0), X43*$B$23, 0)</f>
        <v/>
      </c>
      <c r="Z43" s="306">
        <f>X43-Y43</f>
        <v/>
      </c>
      <c r="AA43" s="306">
        <f>IF(AND(A43=$B$19, $B$21=1), O43*$B$20, 0)</f>
        <v/>
      </c>
      <c r="AB43" s="306">
        <f>AB42+Z43+AA43</f>
        <v/>
      </c>
    </row>
    <row r="44">
      <c r="A44" s="306" t="n">
        <v>14</v>
      </c>
      <c r="B44" s="306">
        <f>CEILING(A44/12,1)</f>
        <v/>
      </c>
      <c r="C44" s="306">
        <f>IF(A44&lt;=12, $B$15/12, 0)</f>
        <v/>
      </c>
      <c r="D44" s="306">
        <f>INDEX('26. Team Comp'!$D$28:$R$28, B44) * 0.001 / 12</f>
        <v/>
      </c>
      <c r="E44" s="306">
        <f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+ (IF(MAX(0, A44 - $F$11 + 1)&lt;=0, 0, IF(MAX(0, A44 - $F$11 + 1)&lt;=6, 70 - (70-14)*(MAX(0, A44 - $F$11 + 1)-1)/5, IF(MAX(0, A44 - $F$11 + 1)&lt;=24, 14 - 14*(MAX(0, A44 - $F$11 + 1)-6)/18, 0)))) + (IF(MAX(0, A44 - $F$12 + 1)&lt;=0, 0, IF(MAX(0, A44 - $F$12 + 1)&lt;=6, 70 - (70-14)*(MAX(0, A44 - $F$12 + 1)-1)/5, IF(MAX(0, A44 - $F$12 + 1)&lt;=24, 14 - 14*(MAX(0, A44 - $F$12 + 1)-6)/18, 0)))) + (IF(MAX(0, A44 - $F$13 + 1)&lt;=0, 0, IF(MAX(0, A44 - $F$13 + 1)&lt;=6, 70 - (70-14)*(MAX(0, A44 - $F$13 + 1)-1)/5, IF(MAX(0, A44 - $F$13 + 1)&lt;=24, 14 - 14*(MAX(0, A44 - $F$13 + 1)-6)/18, 0)))) + (IF(MAX(0, A44 - $F$14 + 1)&lt;=0, 0, IF(MAX(0, A44 - $F$14 + 1)&lt;=6, 70 - (70-14)*(MAX(0, A44 - $F$14 + 1)-1)/5, IF(MAX(0, A44 - $F$14 + 1)&lt;=24, 14 - 14*(MAX(0, A44 - $F$14 + 1)-6)/18, 0)))) ) * 200 / 12 / 1000</f>
        <v/>
      </c>
      <c r="F44" s="306">
        <f>IF(A44&lt;$F$6,0,IF(AND($B$21=1,A44&gt;$B$19),0,$E$6*$G$6^MIN((A44-$F$6)/12,6)*MIN($G$6,0.85)^MAX(0,(A44-$F$6)/12-6)))</f>
        <v/>
      </c>
      <c r="G44" s="306">
        <f>IF(A44&lt;$F$7,0,IF(AND($B$21=1,A44&gt;$B$19),0,$E$7*$G$7^MIN((A44-$F$7)/12,6)*MIN($G$7,0.85)^MAX(0,(A44-$F$7)/12-6)))</f>
        <v/>
      </c>
      <c r="H44" s="306">
        <f>IF(A44&lt;$F$8,0,IF(AND($B$21=1,A44&gt;$B$19),0,$E$8*$G$8^MIN((A44-$F$8)/12,6)*MIN($G$8,0.85)^MAX(0,(A44-$F$8)/12-6)))</f>
        <v/>
      </c>
      <c r="I44" s="306">
        <f>IF(A44&lt;$F$9,0,IF(AND($B$21=1,A44&gt;$B$19),0,$E$9*$G$9^MIN((A44-$F$9)/12,6)*MIN($G$9,0.85)^MAX(0,(A44-$F$9)/12-6)))</f>
        <v/>
      </c>
      <c r="J44" s="306">
        <f>IF(A44&lt;$F$10,0,IF(AND($B$21=1,A44&gt;$B$19),0,$E$10*$G$10^MIN((A44-$F$10)/12,6)*MIN($G$10,0.85)^MAX(0,(A44-$F$10)/12-6)))</f>
        <v/>
      </c>
      <c r="K44" s="306">
        <f>IF(A44&lt;$F$11,0,IF(AND($B$21=1,A44&gt;$B$19),0,$E$11*$G$11^MIN((A44-$F$11)/12,6)*MIN($G$11,0.85)^MAX(0,(A44-$F$11)/12-6)))</f>
        <v/>
      </c>
      <c r="L44" s="306">
        <f>IF(A44&lt;$F$12,0,IF(AND($B$21=1,A44&gt;$B$19),0,$E$12*$G$12^MIN((A44-$F$12)/12,6)*MIN($G$12,0.85)^MAX(0,(A44-$F$12)/12-6)))</f>
        <v/>
      </c>
      <c r="M44" s="306">
        <f>IF(A44&lt;$F$13,0,IF(AND($B$21=1,A44&gt;$B$19),0,$E$13*$G$13^MIN((A44-$F$13)/12,6)*MIN($G$13,0.85)^MAX(0,(A44-$F$13)/12-6)))</f>
        <v/>
      </c>
      <c r="N44" s="306">
        <f>IF(A44&lt;$F$14,0,IF(AND($B$21=1,A44&gt;$B$19),0,$E$14*$G$14^MIN((A44-$F$14)/12,6)*MIN($G$14,0.85)^MAX(0,(A44-$F$14)/12-6)))</f>
        <v/>
      </c>
      <c r="O44" s="306">
        <f>SUM(F44:N44)</f>
        <v/>
      </c>
      <c r="P44" s="306">
        <f>O44/12</f>
        <v/>
      </c>
      <c r="Q44" s="306">
        <f>P44*$B$8</f>
        <v/>
      </c>
      <c r="R44" s="306">
        <f>P44*$B$9</f>
        <v/>
      </c>
      <c r="S44" s="306">
        <f>P44*$B$10</f>
        <v/>
      </c>
      <c r="T44" s="306">
        <f>P44-Q44-R44-S44-D44-E44</f>
        <v/>
      </c>
      <c r="U44" s="306">
        <f>MAX(0, T44 - $B$7*P44)</f>
        <v/>
      </c>
      <c r="V44" s="306">
        <f>T44-U44</f>
        <v/>
      </c>
      <c r="W44" s="306">
        <f>IF(A44=$F$6, $B$18*$B$16*$B$17/1000000, 0) + IF(A44=$F$7, $B$18*$B$16*$B$17/1000000, 0) + IF(A44=$F$8, $B$18*$B$16*$B$17/1000000, 0) + IF(A44=$F$9, $B$18*$B$16*$B$17/1000000, 0) + IF(A44=$F$10, $B$18*$B$16*$B$17/1000000, 0) + IF(A44=$F$11, $B$18*$B$16*$B$17/1000000, 0) + IF(A44=$F$12, $B$18*$B$16*$B$17/1000000, 0) + IF(A44=$F$13, $B$18*$B$16*$B$17/1000000, 0) + IF(A44=$F$14, $B$18*$B$16*$B$17/1000000, 0)</f>
        <v/>
      </c>
      <c r="X44" s="306">
        <f>V44-W44-C44</f>
        <v/>
      </c>
      <c r="Y44" s="306">
        <f>IF(AND(A44&lt;=$B$24, X44&gt;0), X44*$B$23, 0)</f>
        <v/>
      </c>
      <c r="Z44" s="306">
        <f>X44-Y44</f>
        <v/>
      </c>
      <c r="AA44" s="306">
        <f>IF(AND(A44=$B$19, $B$21=1), O44*$B$20, 0)</f>
        <v/>
      </c>
      <c r="AB44" s="306">
        <f>AB43+Z44+AA44</f>
        <v/>
      </c>
    </row>
    <row r="45">
      <c r="A45" s="306" t="n">
        <v>15</v>
      </c>
      <c r="B45" s="306">
        <f>CEILING(A45/12,1)</f>
        <v/>
      </c>
      <c r="C45" s="306">
        <f>IF(A45&lt;=12, $B$15/12, 0)</f>
        <v/>
      </c>
      <c r="D45" s="306">
        <f>INDEX('26. Team Comp'!$D$28:$R$28, B45) * 0.001 / 12</f>
        <v/>
      </c>
      <c r="E45" s="306">
        <f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+ (IF(MAX(0, A45 - $F$11 + 1)&lt;=0, 0, IF(MAX(0, A45 - $F$11 + 1)&lt;=6, 70 - (70-14)*(MAX(0, A45 - $F$11 + 1)-1)/5, IF(MAX(0, A45 - $F$11 + 1)&lt;=24, 14 - 14*(MAX(0, A45 - $F$11 + 1)-6)/18, 0)))) + (IF(MAX(0, A45 - $F$12 + 1)&lt;=0, 0, IF(MAX(0, A45 - $F$12 + 1)&lt;=6, 70 - (70-14)*(MAX(0, A45 - $F$12 + 1)-1)/5, IF(MAX(0, A45 - $F$12 + 1)&lt;=24, 14 - 14*(MAX(0, A45 - $F$12 + 1)-6)/18, 0)))) + (IF(MAX(0, A45 - $F$13 + 1)&lt;=0, 0, IF(MAX(0, A45 - $F$13 + 1)&lt;=6, 70 - (70-14)*(MAX(0, A45 - $F$13 + 1)-1)/5, IF(MAX(0, A45 - $F$13 + 1)&lt;=24, 14 - 14*(MAX(0, A45 - $F$13 + 1)-6)/18, 0)))) + (IF(MAX(0, A45 - $F$14 + 1)&lt;=0, 0, IF(MAX(0, A45 - $F$14 + 1)&lt;=6, 70 - (70-14)*(MAX(0, A45 - $F$14 + 1)-1)/5, IF(MAX(0, A45 - $F$14 + 1)&lt;=24, 14 - 14*(MAX(0, A45 - $F$14 + 1)-6)/18, 0)))) ) * 200 / 12 / 1000</f>
        <v/>
      </c>
      <c r="F45" s="306">
        <f>IF(A45&lt;$F$6,0,IF(AND($B$21=1,A45&gt;$B$19),0,$E$6*$G$6^MIN((A45-$F$6)/12,6)*MIN($G$6,0.85)^MAX(0,(A45-$F$6)/12-6)))</f>
        <v/>
      </c>
      <c r="G45" s="306">
        <f>IF(A45&lt;$F$7,0,IF(AND($B$21=1,A45&gt;$B$19),0,$E$7*$G$7^MIN((A45-$F$7)/12,6)*MIN($G$7,0.85)^MAX(0,(A45-$F$7)/12-6)))</f>
        <v/>
      </c>
      <c r="H45" s="306">
        <f>IF(A45&lt;$F$8,0,IF(AND($B$21=1,A45&gt;$B$19),0,$E$8*$G$8^MIN((A45-$F$8)/12,6)*MIN($G$8,0.85)^MAX(0,(A45-$F$8)/12-6)))</f>
        <v/>
      </c>
      <c r="I45" s="306">
        <f>IF(A45&lt;$F$9,0,IF(AND($B$21=1,A45&gt;$B$19),0,$E$9*$G$9^MIN((A45-$F$9)/12,6)*MIN($G$9,0.85)^MAX(0,(A45-$F$9)/12-6)))</f>
        <v/>
      </c>
      <c r="J45" s="306">
        <f>IF(A45&lt;$F$10,0,IF(AND($B$21=1,A45&gt;$B$19),0,$E$10*$G$10^MIN((A45-$F$10)/12,6)*MIN($G$10,0.85)^MAX(0,(A45-$F$10)/12-6)))</f>
        <v/>
      </c>
      <c r="K45" s="306">
        <f>IF(A45&lt;$F$11,0,IF(AND($B$21=1,A45&gt;$B$19),0,$E$11*$G$11^MIN((A45-$F$11)/12,6)*MIN($G$11,0.85)^MAX(0,(A45-$F$11)/12-6)))</f>
        <v/>
      </c>
      <c r="L45" s="306">
        <f>IF(A45&lt;$F$12,0,IF(AND($B$21=1,A45&gt;$B$19),0,$E$12*$G$12^MIN((A45-$F$12)/12,6)*MIN($G$12,0.85)^MAX(0,(A45-$F$12)/12-6)))</f>
        <v/>
      </c>
      <c r="M45" s="306">
        <f>IF(A45&lt;$F$13,0,IF(AND($B$21=1,A45&gt;$B$19),0,$E$13*$G$13^MIN((A45-$F$13)/12,6)*MIN($G$13,0.85)^MAX(0,(A45-$F$13)/12-6)))</f>
        <v/>
      </c>
      <c r="N45" s="306">
        <f>IF(A45&lt;$F$14,0,IF(AND($B$21=1,A45&gt;$B$19),0,$E$14*$G$14^MIN((A45-$F$14)/12,6)*MIN($G$14,0.85)^MAX(0,(A45-$F$14)/12-6)))</f>
        <v/>
      </c>
      <c r="O45" s="306">
        <f>SUM(F45:N45)</f>
        <v/>
      </c>
      <c r="P45" s="306">
        <f>O45/12</f>
        <v/>
      </c>
      <c r="Q45" s="306">
        <f>P45*$B$8</f>
        <v/>
      </c>
      <c r="R45" s="306">
        <f>P45*$B$9</f>
        <v/>
      </c>
      <c r="S45" s="306">
        <f>P45*$B$10</f>
        <v/>
      </c>
      <c r="T45" s="306">
        <f>P45-Q45-R45-S45-D45-E45</f>
        <v/>
      </c>
      <c r="U45" s="306">
        <f>MAX(0, T45 - $B$7*P45)</f>
        <v/>
      </c>
      <c r="V45" s="306">
        <f>T45-U45</f>
        <v/>
      </c>
      <c r="W45" s="306">
        <f>IF(A45=$F$6, $B$18*$B$16*$B$17/1000000, 0) + IF(A45=$F$7, $B$18*$B$16*$B$17/1000000, 0) + IF(A45=$F$8, $B$18*$B$16*$B$17/1000000, 0) + IF(A45=$F$9, $B$18*$B$16*$B$17/1000000, 0) + IF(A45=$F$10, $B$18*$B$16*$B$17/1000000, 0) + IF(A45=$F$11, $B$18*$B$16*$B$17/1000000, 0) + IF(A45=$F$12, $B$18*$B$16*$B$17/1000000, 0) + IF(A45=$F$13, $B$18*$B$16*$B$17/1000000, 0) + IF(A45=$F$14, $B$18*$B$16*$B$17/1000000, 0)</f>
        <v/>
      </c>
      <c r="X45" s="306">
        <f>V45-W45-C45</f>
        <v/>
      </c>
      <c r="Y45" s="306">
        <f>IF(AND(A45&lt;=$B$24, X45&gt;0), X45*$B$23, 0)</f>
        <v/>
      </c>
      <c r="Z45" s="306">
        <f>X45-Y45</f>
        <v/>
      </c>
      <c r="AA45" s="306">
        <f>IF(AND(A45=$B$19, $B$21=1), O45*$B$20, 0)</f>
        <v/>
      </c>
      <c r="AB45" s="306">
        <f>AB44+Z45+AA45</f>
        <v/>
      </c>
    </row>
    <row r="46">
      <c r="A46" s="306" t="n">
        <v>16</v>
      </c>
      <c r="B46" s="306">
        <f>CEILING(A46/12,1)</f>
        <v/>
      </c>
      <c r="C46" s="306">
        <f>IF(A46&lt;=12, $B$15/12, 0)</f>
        <v/>
      </c>
      <c r="D46" s="306">
        <f>INDEX('26. Team Comp'!$D$28:$R$28, B46) * 0.001 / 12</f>
        <v/>
      </c>
      <c r="E46" s="306">
        <f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+ (IF(MAX(0, A46 - $F$11 + 1)&lt;=0, 0, IF(MAX(0, A46 - $F$11 + 1)&lt;=6, 70 - (70-14)*(MAX(0, A46 - $F$11 + 1)-1)/5, IF(MAX(0, A46 - $F$11 + 1)&lt;=24, 14 - 14*(MAX(0, A46 - $F$11 + 1)-6)/18, 0)))) + (IF(MAX(0, A46 - $F$12 + 1)&lt;=0, 0, IF(MAX(0, A46 - $F$12 + 1)&lt;=6, 70 - (70-14)*(MAX(0, A46 - $F$12 + 1)-1)/5, IF(MAX(0, A46 - $F$12 + 1)&lt;=24, 14 - 14*(MAX(0, A46 - $F$12 + 1)-6)/18, 0)))) + (IF(MAX(0, A46 - $F$13 + 1)&lt;=0, 0, IF(MAX(0, A46 - $F$13 + 1)&lt;=6, 70 - (70-14)*(MAX(0, A46 - $F$13 + 1)-1)/5, IF(MAX(0, A46 - $F$13 + 1)&lt;=24, 14 - 14*(MAX(0, A46 - $F$13 + 1)-6)/18, 0)))) + (IF(MAX(0, A46 - $F$14 + 1)&lt;=0, 0, IF(MAX(0, A46 - $F$14 + 1)&lt;=6, 70 - (70-14)*(MAX(0, A46 - $F$14 + 1)-1)/5, IF(MAX(0, A46 - $F$14 + 1)&lt;=24, 14 - 14*(MAX(0, A46 - $F$14 + 1)-6)/18, 0)))) ) * 200 / 12 / 1000</f>
        <v/>
      </c>
      <c r="F46" s="306">
        <f>IF(A46&lt;$F$6,0,IF(AND($B$21=1,A46&gt;$B$19),0,$E$6*$G$6^MIN((A46-$F$6)/12,6)*MIN($G$6,0.85)^MAX(0,(A46-$F$6)/12-6)))</f>
        <v/>
      </c>
      <c r="G46" s="306">
        <f>IF(A46&lt;$F$7,0,IF(AND($B$21=1,A46&gt;$B$19),0,$E$7*$G$7^MIN((A46-$F$7)/12,6)*MIN($G$7,0.85)^MAX(0,(A46-$F$7)/12-6)))</f>
        <v/>
      </c>
      <c r="H46" s="306">
        <f>IF(A46&lt;$F$8,0,IF(AND($B$21=1,A46&gt;$B$19),0,$E$8*$G$8^MIN((A46-$F$8)/12,6)*MIN($G$8,0.85)^MAX(0,(A46-$F$8)/12-6)))</f>
        <v/>
      </c>
      <c r="I46" s="306">
        <f>IF(A46&lt;$F$9,0,IF(AND($B$21=1,A46&gt;$B$19),0,$E$9*$G$9^MIN((A46-$F$9)/12,6)*MIN($G$9,0.85)^MAX(0,(A46-$F$9)/12-6)))</f>
        <v/>
      </c>
      <c r="J46" s="306">
        <f>IF(A46&lt;$F$10,0,IF(AND($B$21=1,A46&gt;$B$19),0,$E$10*$G$10^MIN((A46-$F$10)/12,6)*MIN($G$10,0.85)^MAX(0,(A46-$F$10)/12-6)))</f>
        <v/>
      </c>
      <c r="K46" s="306">
        <f>IF(A46&lt;$F$11,0,IF(AND($B$21=1,A46&gt;$B$19),0,$E$11*$G$11^MIN((A46-$F$11)/12,6)*MIN($G$11,0.85)^MAX(0,(A46-$F$11)/12-6)))</f>
        <v/>
      </c>
      <c r="L46" s="306">
        <f>IF(A46&lt;$F$12,0,IF(AND($B$21=1,A46&gt;$B$19),0,$E$12*$G$12^MIN((A46-$F$12)/12,6)*MIN($G$12,0.85)^MAX(0,(A46-$F$12)/12-6)))</f>
        <v/>
      </c>
      <c r="M46" s="306">
        <f>IF(A46&lt;$F$13,0,IF(AND($B$21=1,A46&gt;$B$19),0,$E$13*$G$13^MIN((A46-$F$13)/12,6)*MIN($G$13,0.85)^MAX(0,(A46-$F$13)/12-6)))</f>
        <v/>
      </c>
      <c r="N46" s="306">
        <f>IF(A46&lt;$F$14,0,IF(AND($B$21=1,A46&gt;$B$19),0,$E$14*$G$14^MIN((A46-$F$14)/12,6)*MIN($G$14,0.85)^MAX(0,(A46-$F$14)/12-6)))</f>
        <v/>
      </c>
      <c r="O46" s="306">
        <f>SUM(F46:N46)</f>
        <v/>
      </c>
      <c r="P46" s="306">
        <f>O46/12</f>
        <v/>
      </c>
      <c r="Q46" s="306">
        <f>P46*$B$8</f>
        <v/>
      </c>
      <c r="R46" s="306">
        <f>P46*$B$9</f>
        <v/>
      </c>
      <c r="S46" s="306">
        <f>P46*$B$10</f>
        <v/>
      </c>
      <c r="T46" s="306">
        <f>P46-Q46-R46-S46-D46-E46</f>
        <v/>
      </c>
      <c r="U46" s="306">
        <f>MAX(0, T46 - $B$7*P46)</f>
        <v/>
      </c>
      <c r="V46" s="306">
        <f>T46-U46</f>
        <v/>
      </c>
      <c r="W46" s="306">
        <f>IF(A46=$F$6, $B$18*$B$16*$B$17/1000000, 0) + IF(A46=$F$7, $B$18*$B$16*$B$17/1000000, 0) + IF(A46=$F$8, $B$18*$B$16*$B$17/1000000, 0) + IF(A46=$F$9, $B$18*$B$16*$B$17/1000000, 0) + IF(A46=$F$10, $B$18*$B$16*$B$17/1000000, 0) + IF(A46=$F$11, $B$18*$B$16*$B$17/1000000, 0) + IF(A46=$F$12, $B$18*$B$16*$B$17/1000000, 0) + IF(A46=$F$13, $B$18*$B$16*$B$17/1000000, 0) + IF(A46=$F$14, $B$18*$B$16*$B$17/1000000, 0)</f>
        <v/>
      </c>
      <c r="X46" s="306">
        <f>V46-W46-C46</f>
        <v/>
      </c>
      <c r="Y46" s="306">
        <f>IF(AND(A46&lt;=$B$24, X46&gt;0), X46*$B$23, 0)</f>
        <v/>
      </c>
      <c r="Z46" s="306">
        <f>X46-Y46</f>
        <v/>
      </c>
      <c r="AA46" s="306">
        <f>IF(AND(A46=$B$19, $B$21=1), O46*$B$20, 0)</f>
        <v/>
      </c>
      <c r="AB46" s="306">
        <f>AB45+Z46+AA46</f>
        <v/>
      </c>
    </row>
    <row r="47">
      <c r="A47" s="306" t="n">
        <v>17</v>
      </c>
      <c r="B47" s="306">
        <f>CEILING(A47/12,1)</f>
        <v/>
      </c>
      <c r="C47" s="306">
        <f>IF(A47&lt;=12, $B$15/12, 0)</f>
        <v/>
      </c>
      <c r="D47" s="306">
        <f>INDEX('26. Team Comp'!$D$28:$R$28, B47) * 0.001 / 12</f>
        <v/>
      </c>
      <c r="E47" s="306">
        <f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+ (IF(MAX(0, A47 - $F$11 + 1)&lt;=0, 0, IF(MAX(0, A47 - $F$11 + 1)&lt;=6, 70 - (70-14)*(MAX(0, A47 - $F$11 + 1)-1)/5, IF(MAX(0, A47 - $F$11 + 1)&lt;=24, 14 - 14*(MAX(0, A47 - $F$11 + 1)-6)/18, 0)))) + (IF(MAX(0, A47 - $F$12 + 1)&lt;=0, 0, IF(MAX(0, A47 - $F$12 + 1)&lt;=6, 70 - (70-14)*(MAX(0, A47 - $F$12 + 1)-1)/5, IF(MAX(0, A47 - $F$12 + 1)&lt;=24, 14 - 14*(MAX(0, A47 - $F$12 + 1)-6)/18, 0)))) + (IF(MAX(0, A47 - $F$13 + 1)&lt;=0, 0, IF(MAX(0, A47 - $F$13 + 1)&lt;=6, 70 - (70-14)*(MAX(0, A47 - $F$13 + 1)-1)/5, IF(MAX(0, A47 - $F$13 + 1)&lt;=24, 14 - 14*(MAX(0, A47 - $F$13 + 1)-6)/18, 0)))) + (IF(MAX(0, A47 - $F$14 + 1)&lt;=0, 0, IF(MAX(0, A47 - $F$14 + 1)&lt;=6, 70 - (70-14)*(MAX(0, A47 - $F$14 + 1)-1)/5, IF(MAX(0, A47 - $F$14 + 1)&lt;=24, 14 - 14*(MAX(0, A47 - $F$14 + 1)-6)/18, 0)))) ) * 200 / 12 / 1000</f>
        <v/>
      </c>
      <c r="F47" s="306">
        <f>IF(A47&lt;$F$6,0,IF(AND($B$21=1,A47&gt;$B$19),0,$E$6*$G$6^MIN((A47-$F$6)/12,6)*MIN($G$6,0.85)^MAX(0,(A47-$F$6)/12-6)))</f>
        <v/>
      </c>
      <c r="G47" s="306">
        <f>IF(A47&lt;$F$7,0,IF(AND($B$21=1,A47&gt;$B$19),0,$E$7*$G$7^MIN((A47-$F$7)/12,6)*MIN($G$7,0.85)^MAX(0,(A47-$F$7)/12-6)))</f>
        <v/>
      </c>
      <c r="H47" s="306">
        <f>IF(A47&lt;$F$8,0,IF(AND($B$21=1,A47&gt;$B$19),0,$E$8*$G$8^MIN((A47-$F$8)/12,6)*MIN($G$8,0.85)^MAX(0,(A47-$F$8)/12-6)))</f>
        <v/>
      </c>
      <c r="I47" s="306">
        <f>IF(A47&lt;$F$9,0,IF(AND($B$21=1,A47&gt;$B$19),0,$E$9*$G$9^MIN((A47-$F$9)/12,6)*MIN($G$9,0.85)^MAX(0,(A47-$F$9)/12-6)))</f>
        <v/>
      </c>
      <c r="J47" s="306">
        <f>IF(A47&lt;$F$10,0,IF(AND($B$21=1,A47&gt;$B$19),0,$E$10*$G$10^MIN((A47-$F$10)/12,6)*MIN($G$10,0.85)^MAX(0,(A47-$F$10)/12-6)))</f>
        <v/>
      </c>
      <c r="K47" s="306">
        <f>IF(A47&lt;$F$11,0,IF(AND($B$21=1,A47&gt;$B$19),0,$E$11*$G$11^MIN((A47-$F$11)/12,6)*MIN($G$11,0.85)^MAX(0,(A47-$F$11)/12-6)))</f>
        <v/>
      </c>
      <c r="L47" s="306">
        <f>IF(A47&lt;$F$12,0,IF(AND($B$21=1,A47&gt;$B$19),0,$E$12*$G$12^MIN((A47-$F$12)/12,6)*MIN($G$12,0.85)^MAX(0,(A47-$F$12)/12-6)))</f>
        <v/>
      </c>
      <c r="M47" s="306">
        <f>IF(A47&lt;$F$13,0,IF(AND($B$21=1,A47&gt;$B$19),0,$E$13*$G$13^MIN((A47-$F$13)/12,6)*MIN($G$13,0.85)^MAX(0,(A47-$F$13)/12-6)))</f>
        <v/>
      </c>
      <c r="N47" s="306">
        <f>IF(A47&lt;$F$14,0,IF(AND($B$21=1,A47&gt;$B$19),0,$E$14*$G$14^MIN((A47-$F$14)/12,6)*MIN($G$14,0.85)^MAX(0,(A47-$F$14)/12-6)))</f>
        <v/>
      </c>
      <c r="O47" s="306">
        <f>SUM(F47:N47)</f>
        <v/>
      </c>
      <c r="P47" s="306">
        <f>O47/12</f>
        <v/>
      </c>
      <c r="Q47" s="306">
        <f>P47*$B$8</f>
        <v/>
      </c>
      <c r="R47" s="306">
        <f>P47*$B$9</f>
        <v/>
      </c>
      <c r="S47" s="306">
        <f>P47*$B$10</f>
        <v/>
      </c>
      <c r="T47" s="306">
        <f>P47-Q47-R47-S47-D47-E47</f>
        <v/>
      </c>
      <c r="U47" s="306">
        <f>MAX(0, T47 - $B$7*P47)</f>
        <v/>
      </c>
      <c r="V47" s="306">
        <f>T47-U47</f>
        <v/>
      </c>
      <c r="W47" s="306">
        <f>IF(A47=$F$6, $B$18*$B$16*$B$17/1000000, 0) + IF(A47=$F$7, $B$18*$B$16*$B$17/1000000, 0) + IF(A47=$F$8, $B$18*$B$16*$B$17/1000000, 0) + IF(A47=$F$9, $B$18*$B$16*$B$17/1000000, 0) + IF(A47=$F$10, $B$18*$B$16*$B$17/1000000, 0) + IF(A47=$F$11, $B$18*$B$16*$B$17/1000000, 0) + IF(A47=$F$12, $B$18*$B$16*$B$17/1000000, 0) + IF(A47=$F$13, $B$18*$B$16*$B$17/1000000, 0) + IF(A47=$F$14, $B$18*$B$16*$B$17/1000000, 0)</f>
        <v/>
      </c>
      <c r="X47" s="306">
        <f>V47-W47-C47</f>
        <v/>
      </c>
      <c r="Y47" s="306">
        <f>IF(AND(A47&lt;=$B$24, X47&gt;0), X47*$B$23, 0)</f>
        <v/>
      </c>
      <c r="Z47" s="306">
        <f>X47-Y47</f>
        <v/>
      </c>
      <c r="AA47" s="306">
        <f>IF(AND(A47=$B$19, $B$21=1), O47*$B$20, 0)</f>
        <v/>
      </c>
      <c r="AB47" s="306">
        <f>AB46+Z47+AA47</f>
        <v/>
      </c>
    </row>
    <row r="48">
      <c r="A48" s="306" t="n">
        <v>18</v>
      </c>
      <c r="B48" s="306">
        <f>CEILING(A48/12,1)</f>
        <v/>
      </c>
      <c r="C48" s="306">
        <f>IF(A48&lt;=12, $B$15/12, 0)</f>
        <v/>
      </c>
      <c r="D48" s="306">
        <f>INDEX('26. Team Comp'!$D$28:$R$28, B48) * 0.001 / 12</f>
        <v/>
      </c>
      <c r="E48" s="306">
        <f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+ (IF(MAX(0, A48 - $F$11 + 1)&lt;=0, 0, IF(MAX(0, A48 - $F$11 + 1)&lt;=6, 70 - (70-14)*(MAX(0, A48 - $F$11 + 1)-1)/5, IF(MAX(0, A48 - $F$11 + 1)&lt;=24, 14 - 14*(MAX(0, A48 - $F$11 + 1)-6)/18, 0)))) + (IF(MAX(0, A48 - $F$12 + 1)&lt;=0, 0, IF(MAX(0, A48 - $F$12 + 1)&lt;=6, 70 - (70-14)*(MAX(0, A48 - $F$12 + 1)-1)/5, IF(MAX(0, A48 - $F$12 + 1)&lt;=24, 14 - 14*(MAX(0, A48 - $F$12 + 1)-6)/18, 0)))) + (IF(MAX(0, A48 - $F$13 + 1)&lt;=0, 0, IF(MAX(0, A48 - $F$13 + 1)&lt;=6, 70 - (70-14)*(MAX(0, A48 - $F$13 + 1)-1)/5, IF(MAX(0, A48 - $F$13 + 1)&lt;=24, 14 - 14*(MAX(0, A48 - $F$13 + 1)-6)/18, 0)))) + (IF(MAX(0, A48 - $F$14 + 1)&lt;=0, 0, IF(MAX(0, A48 - $F$14 + 1)&lt;=6, 70 - (70-14)*(MAX(0, A48 - $F$14 + 1)-1)/5, IF(MAX(0, A48 - $F$14 + 1)&lt;=24, 14 - 14*(MAX(0, A48 - $F$14 + 1)-6)/18, 0)))) ) * 200 / 12 / 1000</f>
        <v/>
      </c>
      <c r="F48" s="306">
        <f>IF(A48&lt;$F$6,0,IF(AND($B$21=1,A48&gt;$B$19),0,$E$6*$G$6^MIN((A48-$F$6)/12,6)*MIN($G$6,0.85)^MAX(0,(A48-$F$6)/12-6)))</f>
        <v/>
      </c>
      <c r="G48" s="306">
        <f>IF(A48&lt;$F$7,0,IF(AND($B$21=1,A48&gt;$B$19),0,$E$7*$G$7^MIN((A48-$F$7)/12,6)*MIN($G$7,0.85)^MAX(0,(A48-$F$7)/12-6)))</f>
        <v/>
      </c>
      <c r="H48" s="306">
        <f>IF(A48&lt;$F$8,0,IF(AND($B$21=1,A48&gt;$B$19),0,$E$8*$G$8^MIN((A48-$F$8)/12,6)*MIN($G$8,0.85)^MAX(0,(A48-$F$8)/12-6)))</f>
        <v/>
      </c>
      <c r="I48" s="306">
        <f>IF(A48&lt;$F$9,0,IF(AND($B$21=1,A48&gt;$B$19),0,$E$9*$G$9^MIN((A48-$F$9)/12,6)*MIN($G$9,0.85)^MAX(0,(A48-$F$9)/12-6)))</f>
        <v/>
      </c>
      <c r="J48" s="306">
        <f>IF(A48&lt;$F$10,0,IF(AND($B$21=1,A48&gt;$B$19),0,$E$10*$G$10^MIN((A48-$F$10)/12,6)*MIN($G$10,0.85)^MAX(0,(A48-$F$10)/12-6)))</f>
        <v/>
      </c>
      <c r="K48" s="306">
        <f>IF(A48&lt;$F$11,0,IF(AND($B$21=1,A48&gt;$B$19),0,$E$11*$G$11^MIN((A48-$F$11)/12,6)*MIN($G$11,0.85)^MAX(0,(A48-$F$11)/12-6)))</f>
        <v/>
      </c>
      <c r="L48" s="306">
        <f>IF(A48&lt;$F$12,0,IF(AND($B$21=1,A48&gt;$B$19),0,$E$12*$G$12^MIN((A48-$F$12)/12,6)*MIN($G$12,0.85)^MAX(0,(A48-$F$12)/12-6)))</f>
        <v/>
      </c>
      <c r="M48" s="306">
        <f>IF(A48&lt;$F$13,0,IF(AND($B$21=1,A48&gt;$B$19),0,$E$13*$G$13^MIN((A48-$F$13)/12,6)*MIN($G$13,0.85)^MAX(0,(A48-$F$13)/12-6)))</f>
        <v/>
      </c>
      <c r="N48" s="306">
        <f>IF(A48&lt;$F$14,0,IF(AND($B$21=1,A48&gt;$B$19),0,$E$14*$G$14^MIN((A48-$F$14)/12,6)*MIN($G$14,0.85)^MAX(0,(A48-$F$14)/12-6)))</f>
        <v/>
      </c>
      <c r="O48" s="306">
        <f>SUM(F48:N48)</f>
        <v/>
      </c>
      <c r="P48" s="306">
        <f>O48/12</f>
        <v/>
      </c>
      <c r="Q48" s="306">
        <f>P48*$B$8</f>
        <v/>
      </c>
      <c r="R48" s="306">
        <f>P48*$B$9</f>
        <v/>
      </c>
      <c r="S48" s="306">
        <f>P48*$B$10</f>
        <v/>
      </c>
      <c r="T48" s="306">
        <f>P48-Q48-R48-S48-D48-E48</f>
        <v/>
      </c>
      <c r="U48" s="306">
        <f>MAX(0, T48 - $B$7*P48)</f>
        <v/>
      </c>
      <c r="V48" s="306">
        <f>T48-U48</f>
        <v/>
      </c>
      <c r="W48" s="306">
        <f>IF(A48=$F$6, $B$18*$B$16*$B$17/1000000, 0) + IF(A48=$F$7, $B$18*$B$16*$B$17/1000000, 0) + IF(A48=$F$8, $B$18*$B$16*$B$17/1000000, 0) + IF(A48=$F$9, $B$18*$B$16*$B$17/1000000, 0) + IF(A48=$F$10, $B$18*$B$16*$B$17/1000000, 0) + IF(A48=$F$11, $B$18*$B$16*$B$17/1000000, 0) + IF(A48=$F$12, $B$18*$B$16*$B$17/1000000, 0) + IF(A48=$F$13, $B$18*$B$16*$B$17/1000000, 0) + IF(A48=$F$14, $B$18*$B$16*$B$17/1000000, 0)</f>
        <v/>
      </c>
      <c r="X48" s="306">
        <f>V48-W48-C48</f>
        <v/>
      </c>
      <c r="Y48" s="306">
        <f>IF(AND(A48&lt;=$B$24, X48&gt;0), X48*$B$23, 0)</f>
        <v/>
      </c>
      <c r="Z48" s="306">
        <f>X48-Y48</f>
        <v/>
      </c>
      <c r="AA48" s="306">
        <f>IF(AND(A48=$B$19, $B$21=1), O48*$B$20, 0)</f>
        <v/>
      </c>
      <c r="AB48" s="306">
        <f>AB47+Z48+AA48</f>
        <v/>
      </c>
    </row>
    <row r="49">
      <c r="A49" s="306" t="n">
        <v>19</v>
      </c>
      <c r="B49" s="306">
        <f>CEILING(A49/12,1)</f>
        <v/>
      </c>
      <c r="C49" s="306">
        <f>IF(A49&lt;=12, $B$15/12, 0)</f>
        <v/>
      </c>
      <c r="D49" s="306">
        <f>INDEX('26. Team Comp'!$D$28:$R$28, B49) * 0.001 / 12</f>
        <v/>
      </c>
      <c r="E49" s="306">
        <f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+ (IF(MAX(0, A49 - $F$11 + 1)&lt;=0, 0, IF(MAX(0, A49 - $F$11 + 1)&lt;=6, 70 - (70-14)*(MAX(0, A49 - $F$11 + 1)-1)/5, IF(MAX(0, A49 - $F$11 + 1)&lt;=24, 14 - 14*(MAX(0, A49 - $F$11 + 1)-6)/18, 0)))) + (IF(MAX(0, A49 - $F$12 + 1)&lt;=0, 0, IF(MAX(0, A49 - $F$12 + 1)&lt;=6, 70 - (70-14)*(MAX(0, A49 - $F$12 + 1)-1)/5, IF(MAX(0, A49 - $F$12 + 1)&lt;=24, 14 - 14*(MAX(0, A49 - $F$12 + 1)-6)/18, 0)))) + (IF(MAX(0, A49 - $F$13 + 1)&lt;=0, 0, IF(MAX(0, A49 - $F$13 + 1)&lt;=6, 70 - (70-14)*(MAX(0, A49 - $F$13 + 1)-1)/5, IF(MAX(0, A49 - $F$13 + 1)&lt;=24, 14 - 14*(MAX(0, A49 - $F$13 + 1)-6)/18, 0)))) + (IF(MAX(0, A49 - $F$14 + 1)&lt;=0, 0, IF(MAX(0, A49 - $F$14 + 1)&lt;=6, 70 - (70-14)*(MAX(0, A49 - $F$14 + 1)-1)/5, IF(MAX(0, A49 - $F$14 + 1)&lt;=24, 14 - 14*(MAX(0, A49 - $F$14 + 1)-6)/18, 0)))) ) * 200 / 12 / 1000</f>
        <v/>
      </c>
      <c r="F49" s="306">
        <f>IF(A49&lt;$F$6,0,IF(AND($B$21=1,A49&gt;$B$19),0,$E$6*$G$6^MIN((A49-$F$6)/12,6)*MIN($G$6,0.85)^MAX(0,(A49-$F$6)/12-6)))</f>
        <v/>
      </c>
      <c r="G49" s="306">
        <f>IF(A49&lt;$F$7,0,IF(AND($B$21=1,A49&gt;$B$19),0,$E$7*$G$7^MIN((A49-$F$7)/12,6)*MIN($G$7,0.85)^MAX(0,(A49-$F$7)/12-6)))</f>
        <v/>
      </c>
      <c r="H49" s="306">
        <f>IF(A49&lt;$F$8,0,IF(AND($B$21=1,A49&gt;$B$19),0,$E$8*$G$8^MIN((A49-$F$8)/12,6)*MIN($G$8,0.85)^MAX(0,(A49-$F$8)/12-6)))</f>
        <v/>
      </c>
      <c r="I49" s="306">
        <f>IF(A49&lt;$F$9,0,IF(AND($B$21=1,A49&gt;$B$19),0,$E$9*$G$9^MIN((A49-$F$9)/12,6)*MIN($G$9,0.85)^MAX(0,(A49-$F$9)/12-6)))</f>
        <v/>
      </c>
      <c r="J49" s="306">
        <f>IF(A49&lt;$F$10,0,IF(AND($B$21=1,A49&gt;$B$19),0,$E$10*$G$10^MIN((A49-$F$10)/12,6)*MIN($G$10,0.85)^MAX(0,(A49-$F$10)/12-6)))</f>
        <v/>
      </c>
      <c r="K49" s="306">
        <f>IF(A49&lt;$F$11,0,IF(AND($B$21=1,A49&gt;$B$19),0,$E$11*$G$11^MIN((A49-$F$11)/12,6)*MIN($G$11,0.85)^MAX(0,(A49-$F$11)/12-6)))</f>
        <v/>
      </c>
      <c r="L49" s="306">
        <f>IF(A49&lt;$F$12,0,IF(AND($B$21=1,A49&gt;$B$19),0,$E$12*$G$12^MIN((A49-$F$12)/12,6)*MIN($G$12,0.85)^MAX(0,(A49-$F$12)/12-6)))</f>
        <v/>
      </c>
      <c r="M49" s="306">
        <f>IF(A49&lt;$F$13,0,IF(AND($B$21=1,A49&gt;$B$19),0,$E$13*$G$13^MIN((A49-$F$13)/12,6)*MIN($G$13,0.85)^MAX(0,(A49-$F$13)/12-6)))</f>
        <v/>
      </c>
      <c r="N49" s="306">
        <f>IF(A49&lt;$F$14,0,IF(AND($B$21=1,A49&gt;$B$19),0,$E$14*$G$14^MIN((A49-$F$14)/12,6)*MIN($G$14,0.85)^MAX(0,(A49-$F$14)/12-6)))</f>
        <v/>
      </c>
      <c r="O49" s="306">
        <f>SUM(F49:N49)</f>
        <v/>
      </c>
      <c r="P49" s="306">
        <f>O49/12</f>
        <v/>
      </c>
      <c r="Q49" s="306">
        <f>P49*$B$8</f>
        <v/>
      </c>
      <c r="R49" s="306">
        <f>P49*$B$9</f>
        <v/>
      </c>
      <c r="S49" s="306">
        <f>P49*$B$10</f>
        <v/>
      </c>
      <c r="T49" s="306">
        <f>P49-Q49-R49-S49-D49-E49</f>
        <v/>
      </c>
      <c r="U49" s="306">
        <f>MAX(0, T49 - $B$7*P49)</f>
        <v/>
      </c>
      <c r="V49" s="306">
        <f>T49-U49</f>
        <v/>
      </c>
      <c r="W49" s="306">
        <f>IF(A49=$F$6, $B$18*$B$16*$B$17/1000000, 0) + IF(A49=$F$7, $B$18*$B$16*$B$17/1000000, 0) + IF(A49=$F$8, $B$18*$B$16*$B$17/1000000, 0) + IF(A49=$F$9, $B$18*$B$16*$B$17/1000000, 0) + IF(A49=$F$10, $B$18*$B$16*$B$17/1000000, 0) + IF(A49=$F$11, $B$18*$B$16*$B$17/1000000, 0) + IF(A49=$F$12, $B$18*$B$16*$B$17/1000000, 0) + IF(A49=$F$13, $B$18*$B$16*$B$17/1000000, 0) + IF(A49=$F$14, $B$18*$B$16*$B$17/1000000, 0)</f>
        <v/>
      </c>
      <c r="X49" s="306">
        <f>V49-W49-C49</f>
        <v/>
      </c>
      <c r="Y49" s="306">
        <f>IF(AND(A49&lt;=$B$24, X49&gt;0), X49*$B$23, 0)</f>
        <v/>
      </c>
      <c r="Z49" s="306">
        <f>X49-Y49</f>
        <v/>
      </c>
      <c r="AA49" s="306">
        <f>IF(AND(A49=$B$19, $B$21=1), O49*$B$20, 0)</f>
        <v/>
      </c>
      <c r="AB49" s="306">
        <f>AB48+Z49+AA49</f>
        <v/>
      </c>
    </row>
    <row r="50">
      <c r="A50" s="306" t="n">
        <v>20</v>
      </c>
      <c r="B50" s="306">
        <f>CEILING(A50/12,1)</f>
        <v/>
      </c>
      <c r="C50" s="306">
        <f>IF(A50&lt;=12, $B$15/12, 0)</f>
        <v/>
      </c>
      <c r="D50" s="306">
        <f>INDEX('26. Team Comp'!$D$28:$R$28, B50) * 0.001 / 12</f>
        <v/>
      </c>
      <c r="E50" s="306">
        <f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+ (IF(MAX(0, A50 - $F$11 + 1)&lt;=0, 0, IF(MAX(0, A50 - $F$11 + 1)&lt;=6, 70 - (70-14)*(MAX(0, A50 - $F$11 + 1)-1)/5, IF(MAX(0, A50 - $F$11 + 1)&lt;=24, 14 - 14*(MAX(0, A50 - $F$11 + 1)-6)/18, 0)))) + (IF(MAX(0, A50 - $F$12 + 1)&lt;=0, 0, IF(MAX(0, A50 - $F$12 + 1)&lt;=6, 70 - (70-14)*(MAX(0, A50 - $F$12 + 1)-1)/5, IF(MAX(0, A50 - $F$12 + 1)&lt;=24, 14 - 14*(MAX(0, A50 - $F$12 + 1)-6)/18, 0)))) + (IF(MAX(0, A50 - $F$13 + 1)&lt;=0, 0, IF(MAX(0, A50 - $F$13 + 1)&lt;=6, 70 - (70-14)*(MAX(0, A50 - $F$13 + 1)-1)/5, IF(MAX(0, A50 - $F$13 + 1)&lt;=24, 14 - 14*(MAX(0, A50 - $F$13 + 1)-6)/18, 0)))) + (IF(MAX(0, A50 - $F$14 + 1)&lt;=0, 0, IF(MAX(0, A50 - $F$14 + 1)&lt;=6, 70 - (70-14)*(MAX(0, A50 - $F$14 + 1)-1)/5, IF(MAX(0, A50 - $F$14 + 1)&lt;=24, 14 - 14*(MAX(0, A50 - $F$14 + 1)-6)/18, 0)))) ) * 200 / 12 / 1000</f>
        <v/>
      </c>
      <c r="F50" s="306">
        <f>IF(A50&lt;$F$6,0,IF(AND($B$21=1,A50&gt;$B$19),0,$E$6*$G$6^MIN((A50-$F$6)/12,6)*MIN($G$6,0.85)^MAX(0,(A50-$F$6)/12-6)))</f>
        <v/>
      </c>
      <c r="G50" s="306">
        <f>IF(A50&lt;$F$7,0,IF(AND($B$21=1,A50&gt;$B$19),0,$E$7*$G$7^MIN((A50-$F$7)/12,6)*MIN($G$7,0.85)^MAX(0,(A50-$F$7)/12-6)))</f>
        <v/>
      </c>
      <c r="H50" s="306">
        <f>IF(A50&lt;$F$8,0,IF(AND($B$21=1,A50&gt;$B$19),0,$E$8*$G$8^MIN((A50-$F$8)/12,6)*MIN($G$8,0.85)^MAX(0,(A50-$F$8)/12-6)))</f>
        <v/>
      </c>
      <c r="I50" s="306">
        <f>IF(A50&lt;$F$9,0,IF(AND($B$21=1,A50&gt;$B$19),0,$E$9*$G$9^MIN((A50-$F$9)/12,6)*MIN($G$9,0.85)^MAX(0,(A50-$F$9)/12-6)))</f>
        <v/>
      </c>
      <c r="J50" s="306">
        <f>IF(A50&lt;$F$10,0,IF(AND($B$21=1,A50&gt;$B$19),0,$E$10*$G$10^MIN((A50-$F$10)/12,6)*MIN($G$10,0.85)^MAX(0,(A50-$F$10)/12-6)))</f>
        <v/>
      </c>
      <c r="K50" s="306">
        <f>IF(A50&lt;$F$11,0,IF(AND($B$21=1,A50&gt;$B$19),0,$E$11*$G$11^MIN((A50-$F$11)/12,6)*MIN($G$11,0.85)^MAX(0,(A50-$F$11)/12-6)))</f>
        <v/>
      </c>
      <c r="L50" s="306">
        <f>IF(A50&lt;$F$12,0,IF(AND($B$21=1,A50&gt;$B$19),0,$E$12*$G$12^MIN((A50-$F$12)/12,6)*MIN($G$12,0.85)^MAX(0,(A50-$F$12)/12-6)))</f>
        <v/>
      </c>
      <c r="M50" s="306">
        <f>IF(A50&lt;$F$13,0,IF(AND($B$21=1,A50&gt;$B$19),0,$E$13*$G$13^MIN((A50-$F$13)/12,6)*MIN($G$13,0.85)^MAX(0,(A50-$F$13)/12-6)))</f>
        <v/>
      </c>
      <c r="N50" s="306">
        <f>IF(A50&lt;$F$14,0,IF(AND($B$21=1,A50&gt;$B$19),0,$E$14*$G$14^MIN((A50-$F$14)/12,6)*MIN($G$14,0.85)^MAX(0,(A50-$F$14)/12-6)))</f>
        <v/>
      </c>
      <c r="O50" s="306">
        <f>SUM(F50:N50)</f>
        <v/>
      </c>
      <c r="P50" s="306">
        <f>O50/12</f>
        <v/>
      </c>
      <c r="Q50" s="306">
        <f>P50*$B$8</f>
        <v/>
      </c>
      <c r="R50" s="306">
        <f>P50*$B$9</f>
        <v/>
      </c>
      <c r="S50" s="306">
        <f>P50*$B$10</f>
        <v/>
      </c>
      <c r="T50" s="306">
        <f>P50-Q50-R50-S50-D50-E50</f>
        <v/>
      </c>
      <c r="U50" s="306">
        <f>MAX(0, T50 - $B$7*P50)</f>
        <v/>
      </c>
      <c r="V50" s="306">
        <f>T50-U50</f>
        <v/>
      </c>
      <c r="W50" s="306">
        <f>IF(A50=$F$6, $B$18*$B$16*$B$17/1000000, 0) + IF(A50=$F$7, $B$18*$B$16*$B$17/1000000, 0) + IF(A50=$F$8, $B$18*$B$16*$B$17/1000000, 0) + IF(A50=$F$9, $B$18*$B$16*$B$17/1000000, 0) + IF(A50=$F$10, $B$18*$B$16*$B$17/1000000, 0) + IF(A50=$F$11, $B$18*$B$16*$B$17/1000000, 0) + IF(A50=$F$12, $B$18*$B$16*$B$17/1000000, 0) + IF(A50=$F$13, $B$18*$B$16*$B$17/1000000, 0) + IF(A50=$F$14, $B$18*$B$16*$B$17/1000000, 0)</f>
        <v/>
      </c>
      <c r="X50" s="306">
        <f>V50-W50-C50</f>
        <v/>
      </c>
      <c r="Y50" s="306">
        <f>IF(AND(A50&lt;=$B$24, X50&gt;0), X50*$B$23, 0)</f>
        <v/>
      </c>
      <c r="Z50" s="306">
        <f>X50-Y50</f>
        <v/>
      </c>
      <c r="AA50" s="306">
        <f>IF(AND(A50=$B$19, $B$21=1), O50*$B$20, 0)</f>
        <v/>
      </c>
      <c r="AB50" s="306">
        <f>AB49+Z50+AA50</f>
        <v/>
      </c>
    </row>
    <row r="51">
      <c r="A51" s="306" t="n">
        <v>21</v>
      </c>
      <c r="B51" s="306">
        <f>CEILING(A51/12,1)</f>
        <v/>
      </c>
      <c r="C51" s="306">
        <f>IF(A51&lt;=12, $B$15/12, 0)</f>
        <v/>
      </c>
      <c r="D51" s="306">
        <f>INDEX('26. Team Comp'!$D$28:$R$28, B51) * 0.001 / 12</f>
        <v/>
      </c>
      <c r="E51" s="306">
        <f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+ (IF(MAX(0, A51 - $F$11 + 1)&lt;=0, 0, IF(MAX(0, A51 - $F$11 + 1)&lt;=6, 70 - (70-14)*(MAX(0, A51 - $F$11 + 1)-1)/5, IF(MAX(0, A51 - $F$11 + 1)&lt;=24, 14 - 14*(MAX(0, A51 - $F$11 + 1)-6)/18, 0)))) + (IF(MAX(0, A51 - $F$12 + 1)&lt;=0, 0, IF(MAX(0, A51 - $F$12 + 1)&lt;=6, 70 - (70-14)*(MAX(0, A51 - $F$12 + 1)-1)/5, IF(MAX(0, A51 - $F$12 + 1)&lt;=24, 14 - 14*(MAX(0, A51 - $F$12 + 1)-6)/18, 0)))) + (IF(MAX(0, A51 - $F$13 + 1)&lt;=0, 0, IF(MAX(0, A51 - $F$13 + 1)&lt;=6, 70 - (70-14)*(MAX(0, A51 - $F$13 + 1)-1)/5, IF(MAX(0, A51 - $F$13 + 1)&lt;=24, 14 - 14*(MAX(0, A51 - $F$13 + 1)-6)/18, 0)))) + (IF(MAX(0, A51 - $F$14 + 1)&lt;=0, 0, IF(MAX(0, A51 - $F$14 + 1)&lt;=6, 70 - (70-14)*(MAX(0, A51 - $F$14 + 1)-1)/5, IF(MAX(0, A51 - $F$14 + 1)&lt;=24, 14 - 14*(MAX(0, A51 - $F$14 + 1)-6)/18, 0)))) ) * 200 / 12 / 1000</f>
        <v/>
      </c>
      <c r="F51" s="306">
        <f>IF(A51&lt;$F$6,0,IF(AND($B$21=1,A51&gt;$B$19),0,$E$6*$G$6^MIN((A51-$F$6)/12,6)*MIN($G$6,0.85)^MAX(0,(A51-$F$6)/12-6)))</f>
        <v/>
      </c>
      <c r="G51" s="306">
        <f>IF(A51&lt;$F$7,0,IF(AND($B$21=1,A51&gt;$B$19),0,$E$7*$G$7^MIN((A51-$F$7)/12,6)*MIN($G$7,0.85)^MAX(0,(A51-$F$7)/12-6)))</f>
        <v/>
      </c>
      <c r="H51" s="306">
        <f>IF(A51&lt;$F$8,0,IF(AND($B$21=1,A51&gt;$B$19),0,$E$8*$G$8^MIN((A51-$F$8)/12,6)*MIN($G$8,0.85)^MAX(0,(A51-$F$8)/12-6)))</f>
        <v/>
      </c>
      <c r="I51" s="306">
        <f>IF(A51&lt;$F$9,0,IF(AND($B$21=1,A51&gt;$B$19),0,$E$9*$G$9^MIN((A51-$F$9)/12,6)*MIN($G$9,0.85)^MAX(0,(A51-$F$9)/12-6)))</f>
        <v/>
      </c>
      <c r="J51" s="306">
        <f>IF(A51&lt;$F$10,0,IF(AND($B$21=1,A51&gt;$B$19),0,$E$10*$G$10^MIN((A51-$F$10)/12,6)*MIN($G$10,0.85)^MAX(0,(A51-$F$10)/12-6)))</f>
        <v/>
      </c>
      <c r="K51" s="306">
        <f>IF(A51&lt;$F$11,0,IF(AND($B$21=1,A51&gt;$B$19),0,$E$11*$G$11^MIN((A51-$F$11)/12,6)*MIN($G$11,0.85)^MAX(0,(A51-$F$11)/12-6)))</f>
        <v/>
      </c>
      <c r="L51" s="306">
        <f>IF(A51&lt;$F$12,0,IF(AND($B$21=1,A51&gt;$B$19),0,$E$12*$G$12^MIN((A51-$F$12)/12,6)*MIN($G$12,0.85)^MAX(0,(A51-$F$12)/12-6)))</f>
        <v/>
      </c>
      <c r="M51" s="306">
        <f>IF(A51&lt;$F$13,0,IF(AND($B$21=1,A51&gt;$B$19),0,$E$13*$G$13^MIN((A51-$F$13)/12,6)*MIN($G$13,0.85)^MAX(0,(A51-$F$13)/12-6)))</f>
        <v/>
      </c>
      <c r="N51" s="306">
        <f>IF(A51&lt;$F$14,0,IF(AND($B$21=1,A51&gt;$B$19),0,$E$14*$G$14^MIN((A51-$F$14)/12,6)*MIN($G$14,0.85)^MAX(0,(A51-$F$14)/12-6)))</f>
        <v/>
      </c>
      <c r="O51" s="306">
        <f>SUM(F51:N51)</f>
        <v/>
      </c>
      <c r="P51" s="306">
        <f>O51/12</f>
        <v/>
      </c>
      <c r="Q51" s="306">
        <f>P51*$B$8</f>
        <v/>
      </c>
      <c r="R51" s="306">
        <f>P51*$B$9</f>
        <v/>
      </c>
      <c r="S51" s="306">
        <f>P51*$B$10</f>
        <v/>
      </c>
      <c r="T51" s="306">
        <f>P51-Q51-R51-S51-D51-E51</f>
        <v/>
      </c>
      <c r="U51" s="306">
        <f>MAX(0, T51 - $B$7*P51)</f>
        <v/>
      </c>
      <c r="V51" s="306">
        <f>T51-U51</f>
        <v/>
      </c>
      <c r="W51" s="306">
        <f>IF(A51=$F$6, $B$18*$B$16*$B$17/1000000, 0) + IF(A51=$F$7, $B$18*$B$16*$B$17/1000000, 0) + IF(A51=$F$8, $B$18*$B$16*$B$17/1000000, 0) + IF(A51=$F$9, $B$18*$B$16*$B$17/1000000, 0) + IF(A51=$F$10, $B$18*$B$16*$B$17/1000000, 0) + IF(A51=$F$11, $B$18*$B$16*$B$17/1000000, 0) + IF(A51=$F$12, $B$18*$B$16*$B$17/1000000, 0) + IF(A51=$F$13, $B$18*$B$16*$B$17/1000000, 0) + IF(A51=$F$14, $B$18*$B$16*$B$17/1000000, 0)</f>
        <v/>
      </c>
      <c r="X51" s="306">
        <f>V51-W51-C51</f>
        <v/>
      </c>
      <c r="Y51" s="306">
        <f>IF(AND(A51&lt;=$B$24, X51&gt;0), X51*$B$23, 0)</f>
        <v/>
      </c>
      <c r="Z51" s="306">
        <f>X51-Y51</f>
        <v/>
      </c>
      <c r="AA51" s="306">
        <f>IF(AND(A51=$B$19, $B$21=1), O51*$B$20, 0)</f>
        <v/>
      </c>
      <c r="AB51" s="306">
        <f>AB50+Z51+AA51</f>
        <v/>
      </c>
    </row>
    <row r="52">
      <c r="A52" s="306" t="n">
        <v>22</v>
      </c>
      <c r="B52" s="306">
        <f>CEILING(A52/12,1)</f>
        <v/>
      </c>
      <c r="C52" s="306">
        <f>IF(A52&lt;=12, $B$15/12, 0)</f>
        <v/>
      </c>
      <c r="D52" s="306">
        <f>INDEX('26. Team Comp'!$D$28:$R$28, B52) * 0.001 / 12</f>
        <v/>
      </c>
      <c r="E52" s="306">
        <f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+ (IF(MAX(0, A52 - $F$11 + 1)&lt;=0, 0, IF(MAX(0, A52 - $F$11 + 1)&lt;=6, 70 - (70-14)*(MAX(0, A52 - $F$11 + 1)-1)/5, IF(MAX(0, A52 - $F$11 + 1)&lt;=24, 14 - 14*(MAX(0, A52 - $F$11 + 1)-6)/18, 0)))) + (IF(MAX(0, A52 - $F$12 + 1)&lt;=0, 0, IF(MAX(0, A52 - $F$12 + 1)&lt;=6, 70 - (70-14)*(MAX(0, A52 - $F$12 + 1)-1)/5, IF(MAX(0, A52 - $F$12 + 1)&lt;=24, 14 - 14*(MAX(0, A52 - $F$12 + 1)-6)/18, 0)))) + (IF(MAX(0, A52 - $F$13 + 1)&lt;=0, 0, IF(MAX(0, A52 - $F$13 + 1)&lt;=6, 70 - (70-14)*(MAX(0, A52 - $F$13 + 1)-1)/5, IF(MAX(0, A52 - $F$13 + 1)&lt;=24, 14 - 14*(MAX(0, A52 - $F$13 + 1)-6)/18, 0)))) + (IF(MAX(0, A52 - $F$14 + 1)&lt;=0, 0, IF(MAX(0, A52 - $F$14 + 1)&lt;=6, 70 - (70-14)*(MAX(0, A52 - $F$14 + 1)-1)/5, IF(MAX(0, A52 - $F$14 + 1)&lt;=24, 14 - 14*(MAX(0, A52 - $F$14 + 1)-6)/18, 0)))) ) * 200 / 12 / 1000</f>
        <v/>
      </c>
      <c r="F52" s="306">
        <f>IF(A52&lt;$F$6,0,IF(AND($B$21=1,A52&gt;$B$19),0,$E$6*$G$6^MIN((A52-$F$6)/12,6)*MIN($G$6,0.85)^MAX(0,(A52-$F$6)/12-6)))</f>
        <v/>
      </c>
      <c r="G52" s="306">
        <f>IF(A52&lt;$F$7,0,IF(AND($B$21=1,A52&gt;$B$19),0,$E$7*$G$7^MIN((A52-$F$7)/12,6)*MIN($G$7,0.85)^MAX(0,(A52-$F$7)/12-6)))</f>
        <v/>
      </c>
      <c r="H52" s="306">
        <f>IF(A52&lt;$F$8,0,IF(AND($B$21=1,A52&gt;$B$19),0,$E$8*$G$8^MIN((A52-$F$8)/12,6)*MIN($G$8,0.85)^MAX(0,(A52-$F$8)/12-6)))</f>
        <v/>
      </c>
      <c r="I52" s="306">
        <f>IF(A52&lt;$F$9,0,IF(AND($B$21=1,A52&gt;$B$19),0,$E$9*$G$9^MIN((A52-$F$9)/12,6)*MIN($G$9,0.85)^MAX(0,(A52-$F$9)/12-6)))</f>
        <v/>
      </c>
      <c r="J52" s="306">
        <f>IF(A52&lt;$F$10,0,IF(AND($B$21=1,A52&gt;$B$19),0,$E$10*$G$10^MIN((A52-$F$10)/12,6)*MIN($G$10,0.85)^MAX(0,(A52-$F$10)/12-6)))</f>
        <v/>
      </c>
      <c r="K52" s="306">
        <f>IF(A52&lt;$F$11,0,IF(AND($B$21=1,A52&gt;$B$19),0,$E$11*$G$11^MIN((A52-$F$11)/12,6)*MIN($G$11,0.85)^MAX(0,(A52-$F$11)/12-6)))</f>
        <v/>
      </c>
      <c r="L52" s="306">
        <f>IF(A52&lt;$F$12,0,IF(AND($B$21=1,A52&gt;$B$19),0,$E$12*$G$12^MIN((A52-$F$12)/12,6)*MIN($G$12,0.85)^MAX(0,(A52-$F$12)/12-6)))</f>
        <v/>
      </c>
      <c r="M52" s="306">
        <f>IF(A52&lt;$F$13,0,IF(AND($B$21=1,A52&gt;$B$19),0,$E$13*$G$13^MIN((A52-$F$13)/12,6)*MIN($G$13,0.85)^MAX(0,(A52-$F$13)/12-6)))</f>
        <v/>
      </c>
      <c r="N52" s="306">
        <f>IF(A52&lt;$F$14,0,IF(AND($B$21=1,A52&gt;$B$19),0,$E$14*$G$14^MIN((A52-$F$14)/12,6)*MIN($G$14,0.85)^MAX(0,(A52-$F$14)/12-6)))</f>
        <v/>
      </c>
      <c r="O52" s="306">
        <f>SUM(F52:N52)</f>
        <v/>
      </c>
      <c r="P52" s="306">
        <f>O52/12</f>
        <v/>
      </c>
      <c r="Q52" s="306">
        <f>P52*$B$8</f>
        <v/>
      </c>
      <c r="R52" s="306">
        <f>P52*$B$9</f>
        <v/>
      </c>
      <c r="S52" s="306">
        <f>P52*$B$10</f>
        <v/>
      </c>
      <c r="T52" s="306">
        <f>P52-Q52-R52-S52-D52-E52</f>
        <v/>
      </c>
      <c r="U52" s="306">
        <f>MAX(0, T52 - $B$7*P52)</f>
        <v/>
      </c>
      <c r="V52" s="306">
        <f>T52-U52</f>
        <v/>
      </c>
      <c r="W52" s="306">
        <f>IF(A52=$F$6, $B$18*$B$16*$B$17/1000000, 0) + IF(A52=$F$7, $B$18*$B$16*$B$17/1000000, 0) + IF(A52=$F$8, $B$18*$B$16*$B$17/1000000, 0) + IF(A52=$F$9, $B$18*$B$16*$B$17/1000000, 0) + IF(A52=$F$10, $B$18*$B$16*$B$17/1000000, 0) + IF(A52=$F$11, $B$18*$B$16*$B$17/1000000, 0) + IF(A52=$F$12, $B$18*$B$16*$B$17/1000000, 0) + IF(A52=$F$13, $B$18*$B$16*$B$17/1000000, 0) + IF(A52=$F$14, $B$18*$B$16*$B$17/1000000, 0)</f>
        <v/>
      </c>
      <c r="X52" s="306">
        <f>V52-W52-C52</f>
        <v/>
      </c>
      <c r="Y52" s="306">
        <f>IF(AND(A52&lt;=$B$24, X52&gt;0), X52*$B$23, 0)</f>
        <v/>
      </c>
      <c r="Z52" s="306">
        <f>X52-Y52</f>
        <v/>
      </c>
      <c r="AA52" s="306">
        <f>IF(AND(A52=$B$19, $B$21=1), O52*$B$20, 0)</f>
        <v/>
      </c>
      <c r="AB52" s="306">
        <f>AB51+Z52+AA52</f>
        <v/>
      </c>
    </row>
    <row r="53">
      <c r="A53" s="306" t="n">
        <v>23</v>
      </c>
      <c r="B53" s="306">
        <f>CEILING(A53/12,1)</f>
        <v/>
      </c>
      <c r="C53" s="306">
        <f>IF(A53&lt;=12, $B$15/12, 0)</f>
        <v/>
      </c>
      <c r="D53" s="306">
        <f>INDEX('26. Team Comp'!$D$28:$R$28, B53) * 0.001 / 12</f>
        <v/>
      </c>
      <c r="E53" s="306">
        <f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+ (IF(MAX(0, A53 - $F$11 + 1)&lt;=0, 0, IF(MAX(0, A53 - $F$11 + 1)&lt;=6, 70 - (70-14)*(MAX(0, A53 - $F$11 + 1)-1)/5, IF(MAX(0, A53 - $F$11 + 1)&lt;=24, 14 - 14*(MAX(0, A53 - $F$11 + 1)-6)/18, 0)))) + (IF(MAX(0, A53 - $F$12 + 1)&lt;=0, 0, IF(MAX(0, A53 - $F$12 + 1)&lt;=6, 70 - (70-14)*(MAX(0, A53 - $F$12 + 1)-1)/5, IF(MAX(0, A53 - $F$12 + 1)&lt;=24, 14 - 14*(MAX(0, A53 - $F$12 + 1)-6)/18, 0)))) + (IF(MAX(0, A53 - $F$13 + 1)&lt;=0, 0, IF(MAX(0, A53 - $F$13 + 1)&lt;=6, 70 - (70-14)*(MAX(0, A53 - $F$13 + 1)-1)/5, IF(MAX(0, A53 - $F$13 + 1)&lt;=24, 14 - 14*(MAX(0, A53 - $F$13 + 1)-6)/18, 0)))) + (IF(MAX(0, A53 - $F$14 + 1)&lt;=0, 0, IF(MAX(0, A53 - $F$14 + 1)&lt;=6, 70 - (70-14)*(MAX(0, A53 - $F$14 + 1)-1)/5, IF(MAX(0, A53 - $F$14 + 1)&lt;=24, 14 - 14*(MAX(0, A53 - $F$14 + 1)-6)/18, 0)))) ) * 200 / 12 / 1000</f>
        <v/>
      </c>
      <c r="F53" s="306">
        <f>IF(A53&lt;$F$6,0,IF(AND($B$21=1,A53&gt;$B$19),0,$E$6*$G$6^MIN((A53-$F$6)/12,6)*MIN($G$6,0.85)^MAX(0,(A53-$F$6)/12-6)))</f>
        <v/>
      </c>
      <c r="G53" s="306">
        <f>IF(A53&lt;$F$7,0,IF(AND($B$21=1,A53&gt;$B$19),0,$E$7*$G$7^MIN((A53-$F$7)/12,6)*MIN($G$7,0.85)^MAX(0,(A53-$F$7)/12-6)))</f>
        <v/>
      </c>
      <c r="H53" s="306">
        <f>IF(A53&lt;$F$8,0,IF(AND($B$21=1,A53&gt;$B$19),0,$E$8*$G$8^MIN((A53-$F$8)/12,6)*MIN($G$8,0.85)^MAX(0,(A53-$F$8)/12-6)))</f>
        <v/>
      </c>
      <c r="I53" s="306">
        <f>IF(A53&lt;$F$9,0,IF(AND($B$21=1,A53&gt;$B$19),0,$E$9*$G$9^MIN((A53-$F$9)/12,6)*MIN($G$9,0.85)^MAX(0,(A53-$F$9)/12-6)))</f>
        <v/>
      </c>
      <c r="J53" s="306">
        <f>IF(A53&lt;$F$10,0,IF(AND($B$21=1,A53&gt;$B$19),0,$E$10*$G$10^MIN((A53-$F$10)/12,6)*MIN($G$10,0.85)^MAX(0,(A53-$F$10)/12-6)))</f>
        <v/>
      </c>
      <c r="K53" s="306">
        <f>IF(A53&lt;$F$11,0,IF(AND($B$21=1,A53&gt;$B$19),0,$E$11*$G$11^MIN((A53-$F$11)/12,6)*MIN($G$11,0.85)^MAX(0,(A53-$F$11)/12-6)))</f>
        <v/>
      </c>
      <c r="L53" s="306">
        <f>IF(A53&lt;$F$12,0,IF(AND($B$21=1,A53&gt;$B$19),0,$E$12*$G$12^MIN((A53-$F$12)/12,6)*MIN($G$12,0.85)^MAX(0,(A53-$F$12)/12-6)))</f>
        <v/>
      </c>
      <c r="M53" s="306">
        <f>IF(A53&lt;$F$13,0,IF(AND($B$21=1,A53&gt;$B$19),0,$E$13*$G$13^MIN((A53-$F$13)/12,6)*MIN($G$13,0.85)^MAX(0,(A53-$F$13)/12-6)))</f>
        <v/>
      </c>
      <c r="N53" s="306">
        <f>IF(A53&lt;$F$14,0,IF(AND($B$21=1,A53&gt;$B$19),0,$E$14*$G$14^MIN((A53-$F$14)/12,6)*MIN($G$14,0.85)^MAX(0,(A53-$F$14)/12-6)))</f>
        <v/>
      </c>
      <c r="O53" s="306">
        <f>SUM(F53:N53)</f>
        <v/>
      </c>
      <c r="P53" s="306">
        <f>O53/12</f>
        <v/>
      </c>
      <c r="Q53" s="306">
        <f>P53*$B$8</f>
        <v/>
      </c>
      <c r="R53" s="306">
        <f>P53*$B$9</f>
        <v/>
      </c>
      <c r="S53" s="306">
        <f>P53*$B$10</f>
        <v/>
      </c>
      <c r="T53" s="306">
        <f>P53-Q53-R53-S53-D53-E53</f>
        <v/>
      </c>
      <c r="U53" s="306">
        <f>MAX(0, T53 - $B$7*P53)</f>
        <v/>
      </c>
      <c r="V53" s="306">
        <f>T53-U53</f>
        <v/>
      </c>
      <c r="W53" s="306">
        <f>IF(A53=$F$6, $B$18*$B$16*$B$17/1000000, 0) + IF(A53=$F$7, $B$18*$B$16*$B$17/1000000, 0) + IF(A53=$F$8, $B$18*$B$16*$B$17/1000000, 0) + IF(A53=$F$9, $B$18*$B$16*$B$17/1000000, 0) + IF(A53=$F$10, $B$18*$B$16*$B$17/1000000, 0) + IF(A53=$F$11, $B$18*$B$16*$B$17/1000000, 0) + IF(A53=$F$12, $B$18*$B$16*$B$17/1000000, 0) + IF(A53=$F$13, $B$18*$B$16*$B$17/1000000, 0) + IF(A53=$F$14, $B$18*$B$16*$B$17/1000000, 0)</f>
        <v/>
      </c>
      <c r="X53" s="306">
        <f>V53-W53-C53</f>
        <v/>
      </c>
      <c r="Y53" s="306">
        <f>IF(AND(A53&lt;=$B$24, X53&gt;0), X53*$B$23, 0)</f>
        <v/>
      </c>
      <c r="Z53" s="306">
        <f>X53-Y53</f>
        <v/>
      </c>
      <c r="AA53" s="306">
        <f>IF(AND(A53=$B$19, $B$21=1), O53*$B$20, 0)</f>
        <v/>
      </c>
      <c r="AB53" s="306">
        <f>AB52+Z53+AA53</f>
        <v/>
      </c>
    </row>
    <row r="54">
      <c r="A54" s="306" t="n">
        <v>24</v>
      </c>
      <c r="B54" s="306">
        <f>CEILING(A54/12,1)</f>
        <v/>
      </c>
      <c r="C54" s="306">
        <f>IF(A54&lt;=12, $B$15/12, 0)</f>
        <v/>
      </c>
      <c r="D54" s="306">
        <f>INDEX('26. Team Comp'!$D$28:$R$28, B54) * 0.001 / 12</f>
        <v/>
      </c>
      <c r="E54" s="306">
        <f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+ (IF(MAX(0, A54 - $F$11 + 1)&lt;=0, 0, IF(MAX(0, A54 - $F$11 + 1)&lt;=6, 70 - (70-14)*(MAX(0, A54 - $F$11 + 1)-1)/5, IF(MAX(0, A54 - $F$11 + 1)&lt;=24, 14 - 14*(MAX(0, A54 - $F$11 + 1)-6)/18, 0)))) + (IF(MAX(0, A54 - $F$12 + 1)&lt;=0, 0, IF(MAX(0, A54 - $F$12 + 1)&lt;=6, 70 - (70-14)*(MAX(0, A54 - $F$12 + 1)-1)/5, IF(MAX(0, A54 - $F$12 + 1)&lt;=24, 14 - 14*(MAX(0, A54 - $F$12 + 1)-6)/18, 0)))) + (IF(MAX(0, A54 - $F$13 + 1)&lt;=0, 0, IF(MAX(0, A54 - $F$13 + 1)&lt;=6, 70 - (70-14)*(MAX(0, A54 - $F$13 + 1)-1)/5, IF(MAX(0, A54 - $F$13 + 1)&lt;=24, 14 - 14*(MAX(0, A54 - $F$13 + 1)-6)/18, 0)))) + (IF(MAX(0, A54 - $F$14 + 1)&lt;=0, 0, IF(MAX(0, A54 - $F$14 + 1)&lt;=6, 70 - (70-14)*(MAX(0, A54 - $F$14 + 1)-1)/5, IF(MAX(0, A54 - $F$14 + 1)&lt;=24, 14 - 14*(MAX(0, A54 - $F$14 + 1)-6)/18, 0)))) ) * 200 / 12 / 1000</f>
        <v/>
      </c>
      <c r="F54" s="306">
        <f>IF(A54&lt;$F$6,0,IF(AND($B$21=1,A54&gt;$B$19),0,$E$6*$G$6^MIN((A54-$F$6)/12,6)*MIN($G$6,0.85)^MAX(0,(A54-$F$6)/12-6)))</f>
        <v/>
      </c>
      <c r="G54" s="306">
        <f>IF(A54&lt;$F$7,0,IF(AND($B$21=1,A54&gt;$B$19),0,$E$7*$G$7^MIN((A54-$F$7)/12,6)*MIN($G$7,0.85)^MAX(0,(A54-$F$7)/12-6)))</f>
        <v/>
      </c>
      <c r="H54" s="306">
        <f>IF(A54&lt;$F$8,0,IF(AND($B$21=1,A54&gt;$B$19),0,$E$8*$G$8^MIN((A54-$F$8)/12,6)*MIN($G$8,0.85)^MAX(0,(A54-$F$8)/12-6)))</f>
        <v/>
      </c>
      <c r="I54" s="306">
        <f>IF(A54&lt;$F$9,0,IF(AND($B$21=1,A54&gt;$B$19),0,$E$9*$G$9^MIN((A54-$F$9)/12,6)*MIN($G$9,0.85)^MAX(0,(A54-$F$9)/12-6)))</f>
        <v/>
      </c>
      <c r="J54" s="306">
        <f>IF(A54&lt;$F$10,0,IF(AND($B$21=1,A54&gt;$B$19),0,$E$10*$G$10^MIN((A54-$F$10)/12,6)*MIN($G$10,0.85)^MAX(0,(A54-$F$10)/12-6)))</f>
        <v/>
      </c>
      <c r="K54" s="306">
        <f>IF(A54&lt;$F$11,0,IF(AND($B$21=1,A54&gt;$B$19),0,$E$11*$G$11^MIN((A54-$F$11)/12,6)*MIN($G$11,0.85)^MAX(0,(A54-$F$11)/12-6)))</f>
        <v/>
      </c>
      <c r="L54" s="306">
        <f>IF(A54&lt;$F$12,0,IF(AND($B$21=1,A54&gt;$B$19),0,$E$12*$G$12^MIN((A54-$F$12)/12,6)*MIN($G$12,0.85)^MAX(0,(A54-$F$12)/12-6)))</f>
        <v/>
      </c>
      <c r="M54" s="306">
        <f>IF(A54&lt;$F$13,0,IF(AND($B$21=1,A54&gt;$B$19),0,$E$13*$G$13^MIN((A54-$F$13)/12,6)*MIN($G$13,0.85)^MAX(0,(A54-$F$13)/12-6)))</f>
        <v/>
      </c>
      <c r="N54" s="306">
        <f>IF(A54&lt;$F$14,0,IF(AND($B$21=1,A54&gt;$B$19),0,$E$14*$G$14^MIN((A54-$F$14)/12,6)*MIN($G$14,0.85)^MAX(0,(A54-$F$14)/12-6)))</f>
        <v/>
      </c>
      <c r="O54" s="306">
        <f>SUM(F54:N54)</f>
        <v/>
      </c>
      <c r="P54" s="306">
        <f>O54/12</f>
        <v/>
      </c>
      <c r="Q54" s="306">
        <f>P54*$B$8</f>
        <v/>
      </c>
      <c r="R54" s="306">
        <f>P54*$B$9</f>
        <v/>
      </c>
      <c r="S54" s="306">
        <f>P54*$B$10</f>
        <v/>
      </c>
      <c r="T54" s="306">
        <f>P54-Q54-R54-S54-D54-E54</f>
        <v/>
      </c>
      <c r="U54" s="306">
        <f>MAX(0, T54 - $B$7*P54)</f>
        <v/>
      </c>
      <c r="V54" s="306">
        <f>T54-U54</f>
        <v/>
      </c>
      <c r="W54" s="306">
        <f>IF(A54=$F$6, $B$18*$B$16*$B$17/1000000, 0) + IF(A54=$F$7, $B$18*$B$16*$B$17/1000000, 0) + IF(A54=$F$8, $B$18*$B$16*$B$17/1000000, 0) + IF(A54=$F$9, $B$18*$B$16*$B$17/1000000, 0) + IF(A54=$F$10, $B$18*$B$16*$B$17/1000000, 0) + IF(A54=$F$11, $B$18*$B$16*$B$17/1000000, 0) + IF(A54=$F$12, $B$18*$B$16*$B$17/1000000, 0) + IF(A54=$F$13, $B$18*$B$16*$B$17/1000000, 0) + IF(A54=$F$14, $B$18*$B$16*$B$17/1000000, 0)</f>
        <v/>
      </c>
      <c r="X54" s="306">
        <f>V54-W54-C54</f>
        <v/>
      </c>
      <c r="Y54" s="306">
        <f>IF(AND(A54&lt;=$B$24, X54&gt;0), X54*$B$23, 0)</f>
        <v/>
      </c>
      <c r="Z54" s="306">
        <f>X54-Y54</f>
        <v/>
      </c>
      <c r="AA54" s="306">
        <f>IF(AND(A54=$B$19, $B$21=1), O54*$B$20, 0)</f>
        <v/>
      </c>
      <c r="AB54" s="306">
        <f>AB53+Z54+AA54</f>
        <v/>
      </c>
    </row>
    <row r="55">
      <c r="A55" s="306" t="n">
        <v>25</v>
      </c>
      <c r="B55" s="306">
        <f>CEILING(A55/12,1)</f>
        <v/>
      </c>
      <c r="C55" s="306">
        <f>IF(A55&lt;=12, $B$15/12, 0)</f>
        <v/>
      </c>
      <c r="D55" s="306">
        <f>INDEX('26. Team Comp'!$D$28:$R$28, B55) * 0.001 / 12</f>
        <v/>
      </c>
      <c r="E55" s="306">
        <f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+ (IF(MAX(0, A55 - $F$11 + 1)&lt;=0, 0, IF(MAX(0, A55 - $F$11 + 1)&lt;=6, 70 - (70-14)*(MAX(0, A55 - $F$11 + 1)-1)/5, IF(MAX(0, A55 - $F$11 + 1)&lt;=24, 14 - 14*(MAX(0, A55 - $F$11 + 1)-6)/18, 0)))) + (IF(MAX(0, A55 - $F$12 + 1)&lt;=0, 0, IF(MAX(0, A55 - $F$12 + 1)&lt;=6, 70 - (70-14)*(MAX(0, A55 - $F$12 + 1)-1)/5, IF(MAX(0, A55 - $F$12 + 1)&lt;=24, 14 - 14*(MAX(0, A55 - $F$12 + 1)-6)/18, 0)))) + (IF(MAX(0, A55 - $F$13 + 1)&lt;=0, 0, IF(MAX(0, A55 - $F$13 + 1)&lt;=6, 70 - (70-14)*(MAX(0, A55 - $F$13 + 1)-1)/5, IF(MAX(0, A55 - $F$13 + 1)&lt;=24, 14 - 14*(MAX(0, A55 - $F$13 + 1)-6)/18, 0)))) + (IF(MAX(0, A55 - $F$14 + 1)&lt;=0, 0, IF(MAX(0, A55 - $F$14 + 1)&lt;=6, 70 - (70-14)*(MAX(0, A55 - $F$14 + 1)-1)/5, IF(MAX(0, A55 - $F$14 + 1)&lt;=24, 14 - 14*(MAX(0, A55 - $F$14 + 1)-6)/18, 0)))) ) * 200 / 12 / 1000</f>
        <v/>
      </c>
      <c r="F55" s="306">
        <f>IF(A55&lt;$F$6,0,IF(AND($B$21=1,A55&gt;$B$19),0,$E$6*$G$6^MIN((A55-$F$6)/12,6)*MIN($G$6,0.85)^MAX(0,(A55-$F$6)/12-6)))</f>
        <v/>
      </c>
      <c r="G55" s="306">
        <f>IF(A55&lt;$F$7,0,IF(AND($B$21=1,A55&gt;$B$19),0,$E$7*$G$7^MIN((A55-$F$7)/12,6)*MIN($G$7,0.85)^MAX(0,(A55-$F$7)/12-6)))</f>
        <v/>
      </c>
      <c r="H55" s="306">
        <f>IF(A55&lt;$F$8,0,IF(AND($B$21=1,A55&gt;$B$19),0,$E$8*$G$8^MIN((A55-$F$8)/12,6)*MIN($G$8,0.85)^MAX(0,(A55-$F$8)/12-6)))</f>
        <v/>
      </c>
      <c r="I55" s="306">
        <f>IF(A55&lt;$F$9,0,IF(AND($B$21=1,A55&gt;$B$19),0,$E$9*$G$9^MIN((A55-$F$9)/12,6)*MIN($G$9,0.85)^MAX(0,(A55-$F$9)/12-6)))</f>
        <v/>
      </c>
      <c r="J55" s="306">
        <f>IF(A55&lt;$F$10,0,IF(AND($B$21=1,A55&gt;$B$19),0,$E$10*$G$10^MIN((A55-$F$10)/12,6)*MIN($G$10,0.85)^MAX(0,(A55-$F$10)/12-6)))</f>
        <v/>
      </c>
      <c r="K55" s="306">
        <f>IF(A55&lt;$F$11,0,IF(AND($B$21=1,A55&gt;$B$19),0,$E$11*$G$11^MIN((A55-$F$11)/12,6)*MIN($G$11,0.85)^MAX(0,(A55-$F$11)/12-6)))</f>
        <v/>
      </c>
      <c r="L55" s="306">
        <f>IF(A55&lt;$F$12,0,IF(AND($B$21=1,A55&gt;$B$19),0,$E$12*$G$12^MIN((A55-$F$12)/12,6)*MIN($G$12,0.85)^MAX(0,(A55-$F$12)/12-6)))</f>
        <v/>
      </c>
      <c r="M55" s="306">
        <f>IF(A55&lt;$F$13,0,IF(AND($B$21=1,A55&gt;$B$19),0,$E$13*$G$13^MIN((A55-$F$13)/12,6)*MIN($G$13,0.85)^MAX(0,(A55-$F$13)/12-6)))</f>
        <v/>
      </c>
      <c r="N55" s="306">
        <f>IF(A55&lt;$F$14,0,IF(AND($B$21=1,A55&gt;$B$19),0,$E$14*$G$14^MIN((A55-$F$14)/12,6)*MIN($G$14,0.85)^MAX(0,(A55-$F$14)/12-6)))</f>
        <v/>
      </c>
      <c r="O55" s="306">
        <f>SUM(F55:N55)</f>
        <v/>
      </c>
      <c r="P55" s="306">
        <f>O55/12</f>
        <v/>
      </c>
      <c r="Q55" s="306">
        <f>P55*$B$8</f>
        <v/>
      </c>
      <c r="R55" s="306">
        <f>P55*$B$9</f>
        <v/>
      </c>
      <c r="S55" s="306">
        <f>P55*$B$10</f>
        <v/>
      </c>
      <c r="T55" s="306">
        <f>P55-Q55-R55-S55-D55-E55</f>
        <v/>
      </c>
      <c r="U55" s="306">
        <f>MAX(0, T55 - $B$7*P55)</f>
        <v/>
      </c>
      <c r="V55" s="306">
        <f>T55-U55</f>
        <v/>
      </c>
      <c r="W55" s="306">
        <f>IF(A55=$F$6, $B$18*$B$16*$B$17/1000000, 0) + IF(A55=$F$7, $B$18*$B$16*$B$17/1000000, 0) + IF(A55=$F$8, $B$18*$B$16*$B$17/1000000, 0) + IF(A55=$F$9, $B$18*$B$16*$B$17/1000000, 0) + IF(A55=$F$10, $B$18*$B$16*$B$17/1000000, 0) + IF(A55=$F$11, $B$18*$B$16*$B$17/1000000, 0) + IF(A55=$F$12, $B$18*$B$16*$B$17/1000000, 0) + IF(A55=$F$13, $B$18*$B$16*$B$17/1000000, 0) + IF(A55=$F$14, $B$18*$B$16*$B$17/1000000, 0)</f>
        <v/>
      </c>
      <c r="X55" s="306">
        <f>V55-W55-C55</f>
        <v/>
      </c>
      <c r="Y55" s="306">
        <f>IF(AND(A55&lt;=$B$24, X55&gt;0), X55*$B$23, 0)</f>
        <v/>
      </c>
      <c r="Z55" s="306">
        <f>X55-Y55</f>
        <v/>
      </c>
      <c r="AA55" s="306">
        <f>IF(AND(A55=$B$19, $B$21=1), O55*$B$20, 0)</f>
        <v/>
      </c>
      <c r="AB55" s="306">
        <f>AB54+Z55+AA55</f>
        <v/>
      </c>
    </row>
    <row r="56">
      <c r="A56" s="306" t="n">
        <v>26</v>
      </c>
      <c r="B56" s="306">
        <f>CEILING(A56/12,1)</f>
        <v/>
      </c>
      <c r="C56" s="306">
        <f>IF(A56&lt;=12, $B$15/12, 0)</f>
        <v/>
      </c>
      <c r="D56" s="306">
        <f>INDEX('26. Team Comp'!$D$28:$R$28, B56) * 0.001 / 12</f>
        <v/>
      </c>
      <c r="E56" s="306">
        <f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+ (IF(MAX(0, A56 - $F$11 + 1)&lt;=0, 0, IF(MAX(0, A56 - $F$11 + 1)&lt;=6, 70 - (70-14)*(MAX(0, A56 - $F$11 + 1)-1)/5, IF(MAX(0, A56 - $F$11 + 1)&lt;=24, 14 - 14*(MAX(0, A56 - $F$11 + 1)-6)/18, 0)))) + (IF(MAX(0, A56 - $F$12 + 1)&lt;=0, 0, IF(MAX(0, A56 - $F$12 + 1)&lt;=6, 70 - (70-14)*(MAX(0, A56 - $F$12 + 1)-1)/5, IF(MAX(0, A56 - $F$12 + 1)&lt;=24, 14 - 14*(MAX(0, A56 - $F$12 + 1)-6)/18, 0)))) + (IF(MAX(0, A56 - $F$13 + 1)&lt;=0, 0, IF(MAX(0, A56 - $F$13 + 1)&lt;=6, 70 - (70-14)*(MAX(0, A56 - $F$13 + 1)-1)/5, IF(MAX(0, A56 - $F$13 + 1)&lt;=24, 14 - 14*(MAX(0, A56 - $F$13 + 1)-6)/18, 0)))) + (IF(MAX(0, A56 - $F$14 + 1)&lt;=0, 0, IF(MAX(0, A56 - $F$14 + 1)&lt;=6, 70 - (70-14)*(MAX(0, A56 - $F$14 + 1)-1)/5, IF(MAX(0, A56 - $F$14 + 1)&lt;=24, 14 - 14*(MAX(0, A56 - $F$14 + 1)-6)/18, 0)))) ) * 200 / 12 / 1000</f>
        <v/>
      </c>
      <c r="F56" s="306">
        <f>IF(A56&lt;$F$6,0,IF(AND($B$21=1,A56&gt;$B$19),0,$E$6*$G$6^MIN((A56-$F$6)/12,6)*MIN($G$6,0.85)^MAX(0,(A56-$F$6)/12-6)))</f>
        <v/>
      </c>
      <c r="G56" s="306">
        <f>IF(A56&lt;$F$7,0,IF(AND($B$21=1,A56&gt;$B$19),0,$E$7*$G$7^MIN((A56-$F$7)/12,6)*MIN($G$7,0.85)^MAX(0,(A56-$F$7)/12-6)))</f>
        <v/>
      </c>
      <c r="H56" s="306">
        <f>IF(A56&lt;$F$8,0,IF(AND($B$21=1,A56&gt;$B$19),0,$E$8*$G$8^MIN((A56-$F$8)/12,6)*MIN($G$8,0.85)^MAX(0,(A56-$F$8)/12-6)))</f>
        <v/>
      </c>
      <c r="I56" s="306">
        <f>IF(A56&lt;$F$9,0,IF(AND($B$21=1,A56&gt;$B$19),0,$E$9*$G$9^MIN((A56-$F$9)/12,6)*MIN($G$9,0.85)^MAX(0,(A56-$F$9)/12-6)))</f>
        <v/>
      </c>
      <c r="J56" s="306">
        <f>IF(A56&lt;$F$10,0,IF(AND($B$21=1,A56&gt;$B$19),0,$E$10*$G$10^MIN((A56-$F$10)/12,6)*MIN($G$10,0.85)^MAX(0,(A56-$F$10)/12-6)))</f>
        <v/>
      </c>
      <c r="K56" s="306">
        <f>IF(A56&lt;$F$11,0,IF(AND($B$21=1,A56&gt;$B$19),0,$E$11*$G$11^MIN((A56-$F$11)/12,6)*MIN($G$11,0.85)^MAX(0,(A56-$F$11)/12-6)))</f>
        <v/>
      </c>
      <c r="L56" s="306">
        <f>IF(A56&lt;$F$12,0,IF(AND($B$21=1,A56&gt;$B$19),0,$E$12*$G$12^MIN((A56-$F$12)/12,6)*MIN($G$12,0.85)^MAX(0,(A56-$F$12)/12-6)))</f>
        <v/>
      </c>
      <c r="M56" s="306">
        <f>IF(A56&lt;$F$13,0,IF(AND($B$21=1,A56&gt;$B$19),0,$E$13*$G$13^MIN((A56-$F$13)/12,6)*MIN($G$13,0.85)^MAX(0,(A56-$F$13)/12-6)))</f>
        <v/>
      </c>
      <c r="N56" s="306">
        <f>IF(A56&lt;$F$14,0,IF(AND($B$21=1,A56&gt;$B$19),0,$E$14*$G$14^MIN((A56-$F$14)/12,6)*MIN($G$14,0.85)^MAX(0,(A56-$F$14)/12-6)))</f>
        <v/>
      </c>
      <c r="O56" s="306">
        <f>SUM(F56:N56)</f>
        <v/>
      </c>
      <c r="P56" s="306">
        <f>O56/12</f>
        <v/>
      </c>
      <c r="Q56" s="306">
        <f>P56*$B$8</f>
        <v/>
      </c>
      <c r="R56" s="306">
        <f>P56*$B$9</f>
        <v/>
      </c>
      <c r="S56" s="306">
        <f>P56*$B$10</f>
        <v/>
      </c>
      <c r="T56" s="306">
        <f>P56-Q56-R56-S56-D56-E56</f>
        <v/>
      </c>
      <c r="U56" s="306">
        <f>MAX(0, T56 - $B$7*P56)</f>
        <v/>
      </c>
      <c r="V56" s="306">
        <f>T56-U56</f>
        <v/>
      </c>
      <c r="W56" s="306">
        <f>IF(A56=$F$6, $B$18*$B$16*$B$17/1000000, 0) + IF(A56=$F$7, $B$18*$B$16*$B$17/1000000, 0) + IF(A56=$F$8, $B$18*$B$16*$B$17/1000000, 0) + IF(A56=$F$9, $B$18*$B$16*$B$17/1000000, 0) + IF(A56=$F$10, $B$18*$B$16*$B$17/1000000, 0) + IF(A56=$F$11, $B$18*$B$16*$B$17/1000000, 0) + IF(A56=$F$12, $B$18*$B$16*$B$17/1000000, 0) + IF(A56=$F$13, $B$18*$B$16*$B$17/1000000, 0) + IF(A56=$F$14, $B$18*$B$16*$B$17/1000000, 0)</f>
        <v/>
      </c>
      <c r="X56" s="306">
        <f>V56-W56-C56</f>
        <v/>
      </c>
      <c r="Y56" s="306">
        <f>IF(AND(A56&lt;=$B$24, X56&gt;0), X56*$B$23, 0)</f>
        <v/>
      </c>
      <c r="Z56" s="306">
        <f>X56-Y56</f>
        <v/>
      </c>
      <c r="AA56" s="306">
        <f>IF(AND(A56=$B$19, $B$21=1), O56*$B$20, 0)</f>
        <v/>
      </c>
      <c r="AB56" s="306">
        <f>AB55+Z56+AA56</f>
        <v/>
      </c>
    </row>
    <row r="57">
      <c r="A57" s="306" t="n">
        <v>27</v>
      </c>
      <c r="B57" s="306">
        <f>CEILING(A57/12,1)</f>
        <v/>
      </c>
      <c r="C57" s="306">
        <f>IF(A57&lt;=12, $B$15/12, 0)</f>
        <v/>
      </c>
      <c r="D57" s="306">
        <f>INDEX('26. Team Comp'!$D$28:$R$28, B57) * 0.001 / 12</f>
        <v/>
      </c>
      <c r="E57" s="306">
        <f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+ (IF(MAX(0, A57 - $F$11 + 1)&lt;=0, 0, IF(MAX(0, A57 - $F$11 + 1)&lt;=6, 70 - (70-14)*(MAX(0, A57 - $F$11 + 1)-1)/5, IF(MAX(0, A57 - $F$11 + 1)&lt;=24, 14 - 14*(MAX(0, A57 - $F$11 + 1)-6)/18, 0)))) + (IF(MAX(0, A57 - $F$12 + 1)&lt;=0, 0, IF(MAX(0, A57 - $F$12 + 1)&lt;=6, 70 - (70-14)*(MAX(0, A57 - $F$12 + 1)-1)/5, IF(MAX(0, A57 - $F$12 + 1)&lt;=24, 14 - 14*(MAX(0, A57 - $F$12 + 1)-6)/18, 0)))) + (IF(MAX(0, A57 - $F$13 + 1)&lt;=0, 0, IF(MAX(0, A57 - $F$13 + 1)&lt;=6, 70 - (70-14)*(MAX(0, A57 - $F$13 + 1)-1)/5, IF(MAX(0, A57 - $F$13 + 1)&lt;=24, 14 - 14*(MAX(0, A57 - $F$13 + 1)-6)/18, 0)))) + (IF(MAX(0, A57 - $F$14 + 1)&lt;=0, 0, IF(MAX(0, A57 - $F$14 + 1)&lt;=6, 70 - (70-14)*(MAX(0, A57 - $F$14 + 1)-1)/5, IF(MAX(0, A57 - $F$14 + 1)&lt;=24, 14 - 14*(MAX(0, A57 - $F$14 + 1)-6)/18, 0)))) ) * 200 / 12 / 1000</f>
        <v/>
      </c>
      <c r="F57" s="306">
        <f>IF(A57&lt;$F$6,0,IF(AND($B$21=1,A57&gt;$B$19),0,$E$6*$G$6^MIN((A57-$F$6)/12,6)*MIN($G$6,0.85)^MAX(0,(A57-$F$6)/12-6)))</f>
        <v/>
      </c>
      <c r="G57" s="306">
        <f>IF(A57&lt;$F$7,0,IF(AND($B$21=1,A57&gt;$B$19),0,$E$7*$G$7^MIN((A57-$F$7)/12,6)*MIN($G$7,0.85)^MAX(0,(A57-$F$7)/12-6)))</f>
        <v/>
      </c>
      <c r="H57" s="306">
        <f>IF(A57&lt;$F$8,0,IF(AND($B$21=1,A57&gt;$B$19),0,$E$8*$G$8^MIN((A57-$F$8)/12,6)*MIN($G$8,0.85)^MAX(0,(A57-$F$8)/12-6)))</f>
        <v/>
      </c>
      <c r="I57" s="306">
        <f>IF(A57&lt;$F$9,0,IF(AND($B$21=1,A57&gt;$B$19),0,$E$9*$G$9^MIN((A57-$F$9)/12,6)*MIN($G$9,0.85)^MAX(0,(A57-$F$9)/12-6)))</f>
        <v/>
      </c>
      <c r="J57" s="306">
        <f>IF(A57&lt;$F$10,0,IF(AND($B$21=1,A57&gt;$B$19),0,$E$10*$G$10^MIN((A57-$F$10)/12,6)*MIN($G$10,0.85)^MAX(0,(A57-$F$10)/12-6)))</f>
        <v/>
      </c>
      <c r="K57" s="306">
        <f>IF(A57&lt;$F$11,0,IF(AND($B$21=1,A57&gt;$B$19),0,$E$11*$G$11^MIN((A57-$F$11)/12,6)*MIN($G$11,0.85)^MAX(0,(A57-$F$11)/12-6)))</f>
        <v/>
      </c>
      <c r="L57" s="306">
        <f>IF(A57&lt;$F$12,0,IF(AND($B$21=1,A57&gt;$B$19),0,$E$12*$G$12^MIN((A57-$F$12)/12,6)*MIN($G$12,0.85)^MAX(0,(A57-$F$12)/12-6)))</f>
        <v/>
      </c>
      <c r="M57" s="306">
        <f>IF(A57&lt;$F$13,0,IF(AND($B$21=1,A57&gt;$B$19),0,$E$13*$G$13^MIN((A57-$F$13)/12,6)*MIN($G$13,0.85)^MAX(0,(A57-$F$13)/12-6)))</f>
        <v/>
      </c>
      <c r="N57" s="306">
        <f>IF(A57&lt;$F$14,0,IF(AND($B$21=1,A57&gt;$B$19),0,$E$14*$G$14^MIN((A57-$F$14)/12,6)*MIN($G$14,0.85)^MAX(0,(A57-$F$14)/12-6)))</f>
        <v/>
      </c>
      <c r="O57" s="306">
        <f>SUM(F57:N57)</f>
        <v/>
      </c>
      <c r="P57" s="306">
        <f>O57/12</f>
        <v/>
      </c>
      <c r="Q57" s="306">
        <f>P57*$B$8</f>
        <v/>
      </c>
      <c r="R57" s="306">
        <f>P57*$B$9</f>
        <v/>
      </c>
      <c r="S57" s="306">
        <f>P57*$B$10</f>
        <v/>
      </c>
      <c r="T57" s="306">
        <f>P57-Q57-R57-S57-D57-E57</f>
        <v/>
      </c>
      <c r="U57" s="306">
        <f>MAX(0, T57 - $B$7*P57)</f>
        <v/>
      </c>
      <c r="V57" s="306">
        <f>T57-U57</f>
        <v/>
      </c>
      <c r="W57" s="306">
        <f>IF(A57=$F$6, $B$18*$B$16*$B$17/1000000, 0) + IF(A57=$F$7, $B$18*$B$16*$B$17/1000000, 0) + IF(A57=$F$8, $B$18*$B$16*$B$17/1000000, 0) + IF(A57=$F$9, $B$18*$B$16*$B$17/1000000, 0) + IF(A57=$F$10, $B$18*$B$16*$B$17/1000000, 0) + IF(A57=$F$11, $B$18*$B$16*$B$17/1000000, 0) + IF(A57=$F$12, $B$18*$B$16*$B$17/1000000, 0) + IF(A57=$F$13, $B$18*$B$16*$B$17/1000000, 0) + IF(A57=$F$14, $B$18*$B$16*$B$17/1000000, 0)</f>
        <v/>
      </c>
      <c r="X57" s="306">
        <f>V57-W57-C57</f>
        <v/>
      </c>
      <c r="Y57" s="306">
        <f>IF(AND(A57&lt;=$B$24, X57&gt;0), X57*$B$23, 0)</f>
        <v/>
      </c>
      <c r="Z57" s="306">
        <f>X57-Y57</f>
        <v/>
      </c>
      <c r="AA57" s="306">
        <f>IF(AND(A57=$B$19, $B$21=1), O57*$B$20, 0)</f>
        <v/>
      </c>
      <c r="AB57" s="306">
        <f>AB56+Z57+AA57</f>
        <v/>
      </c>
    </row>
    <row r="58">
      <c r="A58" s="306" t="n">
        <v>28</v>
      </c>
      <c r="B58" s="306">
        <f>CEILING(A58/12,1)</f>
        <v/>
      </c>
      <c r="C58" s="306">
        <f>IF(A58&lt;=12, $B$15/12, 0)</f>
        <v/>
      </c>
      <c r="D58" s="306">
        <f>INDEX('26. Team Comp'!$D$28:$R$28, B58) * 0.001 / 12</f>
        <v/>
      </c>
      <c r="E58" s="306">
        <f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+ (IF(MAX(0, A58 - $F$11 + 1)&lt;=0, 0, IF(MAX(0, A58 - $F$11 + 1)&lt;=6, 70 - (70-14)*(MAX(0, A58 - $F$11 + 1)-1)/5, IF(MAX(0, A58 - $F$11 + 1)&lt;=24, 14 - 14*(MAX(0, A58 - $F$11 + 1)-6)/18, 0)))) + (IF(MAX(0, A58 - $F$12 + 1)&lt;=0, 0, IF(MAX(0, A58 - $F$12 + 1)&lt;=6, 70 - (70-14)*(MAX(0, A58 - $F$12 + 1)-1)/5, IF(MAX(0, A58 - $F$12 + 1)&lt;=24, 14 - 14*(MAX(0, A58 - $F$12 + 1)-6)/18, 0)))) + (IF(MAX(0, A58 - $F$13 + 1)&lt;=0, 0, IF(MAX(0, A58 - $F$13 + 1)&lt;=6, 70 - (70-14)*(MAX(0, A58 - $F$13 + 1)-1)/5, IF(MAX(0, A58 - $F$13 + 1)&lt;=24, 14 - 14*(MAX(0, A58 - $F$13 + 1)-6)/18, 0)))) + (IF(MAX(0, A58 - $F$14 + 1)&lt;=0, 0, IF(MAX(0, A58 - $F$14 + 1)&lt;=6, 70 - (70-14)*(MAX(0, A58 - $F$14 + 1)-1)/5, IF(MAX(0, A58 - $F$14 + 1)&lt;=24, 14 - 14*(MAX(0, A58 - $F$14 + 1)-6)/18, 0)))) ) * 200 / 12 / 1000</f>
        <v/>
      </c>
      <c r="F58" s="306">
        <f>IF(A58&lt;$F$6,0,IF(AND($B$21=1,A58&gt;$B$19),0,$E$6*$G$6^MIN((A58-$F$6)/12,6)*MIN($G$6,0.85)^MAX(0,(A58-$F$6)/12-6)))</f>
        <v/>
      </c>
      <c r="G58" s="306">
        <f>IF(A58&lt;$F$7,0,IF(AND($B$21=1,A58&gt;$B$19),0,$E$7*$G$7^MIN((A58-$F$7)/12,6)*MIN($G$7,0.85)^MAX(0,(A58-$F$7)/12-6)))</f>
        <v/>
      </c>
      <c r="H58" s="306">
        <f>IF(A58&lt;$F$8,0,IF(AND($B$21=1,A58&gt;$B$19),0,$E$8*$G$8^MIN((A58-$F$8)/12,6)*MIN($G$8,0.85)^MAX(0,(A58-$F$8)/12-6)))</f>
        <v/>
      </c>
      <c r="I58" s="306">
        <f>IF(A58&lt;$F$9,0,IF(AND($B$21=1,A58&gt;$B$19),0,$E$9*$G$9^MIN((A58-$F$9)/12,6)*MIN($G$9,0.85)^MAX(0,(A58-$F$9)/12-6)))</f>
        <v/>
      </c>
      <c r="J58" s="306">
        <f>IF(A58&lt;$F$10,0,IF(AND($B$21=1,A58&gt;$B$19),0,$E$10*$G$10^MIN((A58-$F$10)/12,6)*MIN($G$10,0.85)^MAX(0,(A58-$F$10)/12-6)))</f>
        <v/>
      </c>
      <c r="K58" s="306">
        <f>IF(A58&lt;$F$11,0,IF(AND($B$21=1,A58&gt;$B$19),0,$E$11*$G$11^MIN((A58-$F$11)/12,6)*MIN($G$11,0.85)^MAX(0,(A58-$F$11)/12-6)))</f>
        <v/>
      </c>
      <c r="L58" s="306">
        <f>IF(A58&lt;$F$12,0,IF(AND($B$21=1,A58&gt;$B$19),0,$E$12*$G$12^MIN((A58-$F$12)/12,6)*MIN($G$12,0.85)^MAX(0,(A58-$F$12)/12-6)))</f>
        <v/>
      </c>
      <c r="M58" s="306">
        <f>IF(A58&lt;$F$13,0,IF(AND($B$21=1,A58&gt;$B$19),0,$E$13*$G$13^MIN((A58-$F$13)/12,6)*MIN($G$13,0.85)^MAX(0,(A58-$F$13)/12-6)))</f>
        <v/>
      </c>
      <c r="N58" s="306">
        <f>IF(A58&lt;$F$14,0,IF(AND($B$21=1,A58&gt;$B$19),0,$E$14*$G$14^MIN((A58-$F$14)/12,6)*MIN($G$14,0.85)^MAX(0,(A58-$F$14)/12-6)))</f>
        <v/>
      </c>
      <c r="O58" s="306">
        <f>SUM(F58:N58)</f>
        <v/>
      </c>
      <c r="P58" s="306">
        <f>O58/12</f>
        <v/>
      </c>
      <c r="Q58" s="306">
        <f>P58*$B$8</f>
        <v/>
      </c>
      <c r="R58" s="306">
        <f>P58*$B$9</f>
        <v/>
      </c>
      <c r="S58" s="306">
        <f>P58*$B$10</f>
        <v/>
      </c>
      <c r="T58" s="306">
        <f>P58-Q58-R58-S58-D58-E58</f>
        <v/>
      </c>
      <c r="U58" s="306">
        <f>MAX(0, T58 - $B$7*P58)</f>
        <v/>
      </c>
      <c r="V58" s="306">
        <f>T58-U58</f>
        <v/>
      </c>
      <c r="W58" s="306">
        <f>IF(A58=$F$6, $B$18*$B$16*$B$17/1000000, 0) + IF(A58=$F$7, $B$18*$B$16*$B$17/1000000, 0) + IF(A58=$F$8, $B$18*$B$16*$B$17/1000000, 0) + IF(A58=$F$9, $B$18*$B$16*$B$17/1000000, 0) + IF(A58=$F$10, $B$18*$B$16*$B$17/1000000, 0) + IF(A58=$F$11, $B$18*$B$16*$B$17/1000000, 0) + IF(A58=$F$12, $B$18*$B$16*$B$17/1000000, 0) + IF(A58=$F$13, $B$18*$B$16*$B$17/1000000, 0) + IF(A58=$F$14, $B$18*$B$16*$B$17/1000000, 0)</f>
        <v/>
      </c>
      <c r="X58" s="306">
        <f>V58-W58-C58</f>
        <v/>
      </c>
      <c r="Y58" s="306">
        <f>IF(AND(A58&lt;=$B$24, X58&gt;0), X58*$B$23, 0)</f>
        <v/>
      </c>
      <c r="Z58" s="306">
        <f>X58-Y58</f>
        <v/>
      </c>
      <c r="AA58" s="306">
        <f>IF(AND(A58=$B$19, $B$21=1), O58*$B$20, 0)</f>
        <v/>
      </c>
      <c r="AB58" s="306">
        <f>AB57+Z58+AA58</f>
        <v/>
      </c>
    </row>
    <row r="59">
      <c r="A59" s="306" t="n">
        <v>29</v>
      </c>
      <c r="B59" s="306">
        <f>CEILING(A59/12,1)</f>
        <v/>
      </c>
      <c r="C59" s="306">
        <f>IF(A59&lt;=12, $B$15/12, 0)</f>
        <v/>
      </c>
      <c r="D59" s="306">
        <f>INDEX('26. Team Comp'!$D$28:$R$28, B59) * 0.001 / 12</f>
        <v/>
      </c>
      <c r="E59" s="306">
        <f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+ (IF(MAX(0, A59 - $F$11 + 1)&lt;=0, 0, IF(MAX(0, A59 - $F$11 + 1)&lt;=6, 70 - (70-14)*(MAX(0, A59 - $F$11 + 1)-1)/5, IF(MAX(0, A59 - $F$11 + 1)&lt;=24, 14 - 14*(MAX(0, A59 - $F$11 + 1)-6)/18, 0)))) + (IF(MAX(0, A59 - $F$12 + 1)&lt;=0, 0, IF(MAX(0, A59 - $F$12 + 1)&lt;=6, 70 - (70-14)*(MAX(0, A59 - $F$12 + 1)-1)/5, IF(MAX(0, A59 - $F$12 + 1)&lt;=24, 14 - 14*(MAX(0, A59 - $F$12 + 1)-6)/18, 0)))) + (IF(MAX(0, A59 - $F$13 + 1)&lt;=0, 0, IF(MAX(0, A59 - $F$13 + 1)&lt;=6, 70 - (70-14)*(MAX(0, A59 - $F$13 + 1)-1)/5, IF(MAX(0, A59 - $F$13 + 1)&lt;=24, 14 - 14*(MAX(0, A59 - $F$13 + 1)-6)/18, 0)))) + (IF(MAX(0, A59 - $F$14 + 1)&lt;=0, 0, IF(MAX(0, A59 - $F$14 + 1)&lt;=6, 70 - (70-14)*(MAX(0, A59 - $F$14 + 1)-1)/5, IF(MAX(0, A59 - $F$14 + 1)&lt;=24, 14 - 14*(MAX(0, A59 - $F$14 + 1)-6)/18, 0)))) ) * 200 / 12 / 1000</f>
        <v/>
      </c>
      <c r="F59" s="306">
        <f>IF(A59&lt;$F$6,0,IF(AND($B$21=1,A59&gt;$B$19),0,$E$6*$G$6^MIN((A59-$F$6)/12,6)*MIN($G$6,0.85)^MAX(0,(A59-$F$6)/12-6)))</f>
        <v/>
      </c>
      <c r="G59" s="306">
        <f>IF(A59&lt;$F$7,0,IF(AND($B$21=1,A59&gt;$B$19),0,$E$7*$G$7^MIN((A59-$F$7)/12,6)*MIN($G$7,0.85)^MAX(0,(A59-$F$7)/12-6)))</f>
        <v/>
      </c>
      <c r="H59" s="306">
        <f>IF(A59&lt;$F$8,0,IF(AND($B$21=1,A59&gt;$B$19),0,$E$8*$G$8^MIN((A59-$F$8)/12,6)*MIN($G$8,0.85)^MAX(0,(A59-$F$8)/12-6)))</f>
        <v/>
      </c>
      <c r="I59" s="306">
        <f>IF(A59&lt;$F$9,0,IF(AND($B$21=1,A59&gt;$B$19),0,$E$9*$G$9^MIN((A59-$F$9)/12,6)*MIN($G$9,0.85)^MAX(0,(A59-$F$9)/12-6)))</f>
        <v/>
      </c>
      <c r="J59" s="306">
        <f>IF(A59&lt;$F$10,0,IF(AND($B$21=1,A59&gt;$B$19),0,$E$10*$G$10^MIN((A59-$F$10)/12,6)*MIN($G$10,0.85)^MAX(0,(A59-$F$10)/12-6)))</f>
        <v/>
      </c>
      <c r="K59" s="306">
        <f>IF(A59&lt;$F$11,0,IF(AND($B$21=1,A59&gt;$B$19),0,$E$11*$G$11^MIN((A59-$F$11)/12,6)*MIN($G$11,0.85)^MAX(0,(A59-$F$11)/12-6)))</f>
        <v/>
      </c>
      <c r="L59" s="306">
        <f>IF(A59&lt;$F$12,0,IF(AND($B$21=1,A59&gt;$B$19),0,$E$12*$G$12^MIN((A59-$F$12)/12,6)*MIN($G$12,0.85)^MAX(0,(A59-$F$12)/12-6)))</f>
        <v/>
      </c>
      <c r="M59" s="306">
        <f>IF(A59&lt;$F$13,0,IF(AND($B$21=1,A59&gt;$B$19),0,$E$13*$G$13^MIN((A59-$F$13)/12,6)*MIN($G$13,0.85)^MAX(0,(A59-$F$13)/12-6)))</f>
        <v/>
      </c>
      <c r="N59" s="306">
        <f>IF(A59&lt;$F$14,0,IF(AND($B$21=1,A59&gt;$B$19),0,$E$14*$G$14^MIN((A59-$F$14)/12,6)*MIN($G$14,0.85)^MAX(0,(A59-$F$14)/12-6)))</f>
        <v/>
      </c>
      <c r="O59" s="306">
        <f>SUM(F59:N59)</f>
        <v/>
      </c>
      <c r="P59" s="306">
        <f>O59/12</f>
        <v/>
      </c>
      <c r="Q59" s="306">
        <f>P59*$B$8</f>
        <v/>
      </c>
      <c r="R59" s="306">
        <f>P59*$B$9</f>
        <v/>
      </c>
      <c r="S59" s="306">
        <f>P59*$B$10</f>
        <v/>
      </c>
      <c r="T59" s="306">
        <f>P59-Q59-R59-S59-D59-E59</f>
        <v/>
      </c>
      <c r="U59" s="306">
        <f>MAX(0, T59 - $B$7*P59)</f>
        <v/>
      </c>
      <c r="V59" s="306">
        <f>T59-U59</f>
        <v/>
      </c>
      <c r="W59" s="306">
        <f>IF(A59=$F$6, $B$18*$B$16*$B$17/1000000, 0) + IF(A59=$F$7, $B$18*$B$16*$B$17/1000000, 0) + IF(A59=$F$8, $B$18*$B$16*$B$17/1000000, 0) + IF(A59=$F$9, $B$18*$B$16*$B$17/1000000, 0) + IF(A59=$F$10, $B$18*$B$16*$B$17/1000000, 0) + IF(A59=$F$11, $B$18*$B$16*$B$17/1000000, 0) + IF(A59=$F$12, $B$18*$B$16*$B$17/1000000, 0) + IF(A59=$F$13, $B$18*$B$16*$B$17/1000000, 0) + IF(A59=$F$14, $B$18*$B$16*$B$17/1000000, 0)</f>
        <v/>
      </c>
      <c r="X59" s="306">
        <f>V59-W59-C59</f>
        <v/>
      </c>
      <c r="Y59" s="306">
        <f>IF(AND(A59&lt;=$B$24, X59&gt;0), X59*$B$23, 0)</f>
        <v/>
      </c>
      <c r="Z59" s="306">
        <f>X59-Y59</f>
        <v/>
      </c>
      <c r="AA59" s="306">
        <f>IF(AND(A59=$B$19, $B$21=1), O59*$B$20, 0)</f>
        <v/>
      </c>
      <c r="AB59" s="306">
        <f>AB58+Z59+AA59</f>
        <v/>
      </c>
    </row>
    <row r="60">
      <c r="A60" s="306" t="n">
        <v>30</v>
      </c>
      <c r="B60" s="306">
        <f>CEILING(A60/12,1)</f>
        <v/>
      </c>
      <c r="C60" s="306">
        <f>IF(A60&lt;=12, $B$15/12, 0)</f>
        <v/>
      </c>
      <c r="D60" s="306">
        <f>INDEX('26. Team Comp'!$D$28:$R$28, B60) * 0.001 / 12</f>
        <v/>
      </c>
      <c r="E60" s="306">
        <f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+ (IF(MAX(0, A60 - $F$11 + 1)&lt;=0, 0, IF(MAX(0, A60 - $F$11 + 1)&lt;=6, 70 - (70-14)*(MAX(0, A60 - $F$11 + 1)-1)/5, IF(MAX(0, A60 - $F$11 + 1)&lt;=24, 14 - 14*(MAX(0, A60 - $F$11 + 1)-6)/18, 0)))) + (IF(MAX(0, A60 - $F$12 + 1)&lt;=0, 0, IF(MAX(0, A60 - $F$12 + 1)&lt;=6, 70 - (70-14)*(MAX(0, A60 - $F$12 + 1)-1)/5, IF(MAX(0, A60 - $F$12 + 1)&lt;=24, 14 - 14*(MAX(0, A60 - $F$12 + 1)-6)/18, 0)))) + (IF(MAX(0, A60 - $F$13 + 1)&lt;=0, 0, IF(MAX(0, A60 - $F$13 + 1)&lt;=6, 70 - (70-14)*(MAX(0, A60 - $F$13 + 1)-1)/5, IF(MAX(0, A60 - $F$13 + 1)&lt;=24, 14 - 14*(MAX(0, A60 - $F$13 + 1)-6)/18, 0)))) + (IF(MAX(0, A60 - $F$14 + 1)&lt;=0, 0, IF(MAX(0, A60 - $F$14 + 1)&lt;=6, 70 - (70-14)*(MAX(0, A60 - $F$14 + 1)-1)/5, IF(MAX(0, A60 - $F$14 + 1)&lt;=24, 14 - 14*(MAX(0, A60 - $F$14 + 1)-6)/18, 0)))) ) * 200 / 12 / 1000</f>
        <v/>
      </c>
      <c r="F60" s="306">
        <f>IF(A60&lt;$F$6,0,IF(AND($B$21=1,A60&gt;$B$19),0,$E$6*$G$6^MIN((A60-$F$6)/12,6)*MIN($G$6,0.85)^MAX(0,(A60-$F$6)/12-6)))</f>
        <v/>
      </c>
      <c r="G60" s="306">
        <f>IF(A60&lt;$F$7,0,IF(AND($B$21=1,A60&gt;$B$19),0,$E$7*$G$7^MIN((A60-$F$7)/12,6)*MIN($G$7,0.85)^MAX(0,(A60-$F$7)/12-6)))</f>
        <v/>
      </c>
      <c r="H60" s="306">
        <f>IF(A60&lt;$F$8,0,IF(AND($B$21=1,A60&gt;$B$19),0,$E$8*$G$8^MIN((A60-$F$8)/12,6)*MIN($G$8,0.85)^MAX(0,(A60-$F$8)/12-6)))</f>
        <v/>
      </c>
      <c r="I60" s="306">
        <f>IF(A60&lt;$F$9,0,IF(AND($B$21=1,A60&gt;$B$19),0,$E$9*$G$9^MIN((A60-$F$9)/12,6)*MIN($G$9,0.85)^MAX(0,(A60-$F$9)/12-6)))</f>
        <v/>
      </c>
      <c r="J60" s="306">
        <f>IF(A60&lt;$F$10,0,IF(AND($B$21=1,A60&gt;$B$19),0,$E$10*$G$10^MIN((A60-$F$10)/12,6)*MIN($G$10,0.85)^MAX(0,(A60-$F$10)/12-6)))</f>
        <v/>
      </c>
      <c r="K60" s="306">
        <f>IF(A60&lt;$F$11,0,IF(AND($B$21=1,A60&gt;$B$19),0,$E$11*$G$11^MIN((A60-$F$11)/12,6)*MIN($G$11,0.85)^MAX(0,(A60-$F$11)/12-6)))</f>
        <v/>
      </c>
      <c r="L60" s="306">
        <f>IF(A60&lt;$F$12,0,IF(AND($B$21=1,A60&gt;$B$19),0,$E$12*$G$12^MIN((A60-$F$12)/12,6)*MIN($G$12,0.85)^MAX(0,(A60-$F$12)/12-6)))</f>
        <v/>
      </c>
      <c r="M60" s="306">
        <f>IF(A60&lt;$F$13,0,IF(AND($B$21=1,A60&gt;$B$19),0,$E$13*$G$13^MIN((A60-$F$13)/12,6)*MIN($G$13,0.85)^MAX(0,(A60-$F$13)/12-6)))</f>
        <v/>
      </c>
      <c r="N60" s="306">
        <f>IF(A60&lt;$F$14,0,IF(AND($B$21=1,A60&gt;$B$19),0,$E$14*$G$14^MIN((A60-$F$14)/12,6)*MIN($G$14,0.85)^MAX(0,(A60-$F$14)/12-6)))</f>
        <v/>
      </c>
      <c r="O60" s="306">
        <f>SUM(F60:N60)</f>
        <v/>
      </c>
      <c r="P60" s="306">
        <f>O60/12</f>
        <v/>
      </c>
      <c r="Q60" s="306">
        <f>P60*$B$8</f>
        <v/>
      </c>
      <c r="R60" s="306">
        <f>P60*$B$9</f>
        <v/>
      </c>
      <c r="S60" s="306">
        <f>P60*$B$10</f>
        <v/>
      </c>
      <c r="T60" s="306">
        <f>P60-Q60-R60-S60-D60-E60</f>
        <v/>
      </c>
      <c r="U60" s="306">
        <f>MAX(0, T60 - $B$7*P60)</f>
        <v/>
      </c>
      <c r="V60" s="306">
        <f>T60-U60</f>
        <v/>
      </c>
      <c r="W60" s="306">
        <f>IF(A60=$F$6, $B$18*$B$16*$B$17/1000000, 0) + IF(A60=$F$7, $B$18*$B$16*$B$17/1000000, 0) + IF(A60=$F$8, $B$18*$B$16*$B$17/1000000, 0) + IF(A60=$F$9, $B$18*$B$16*$B$17/1000000, 0) + IF(A60=$F$10, $B$18*$B$16*$B$17/1000000, 0) + IF(A60=$F$11, $B$18*$B$16*$B$17/1000000, 0) + IF(A60=$F$12, $B$18*$B$16*$B$17/1000000, 0) + IF(A60=$F$13, $B$18*$B$16*$B$17/1000000, 0) + IF(A60=$F$14, $B$18*$B$16*$B$17/1000000, 0)</f>
        <v/>
      </c>
      <c r="X60" s="306">
        <f>V60-W60-C60</f>
        <v/>
      </c>
      <c r="Y60" s="306">
        <f>IF(AND(A60&lt;=$B$24, X60&gt;0), X60*$B$23, 0)</f>
        <v/>
      </c>
      <c r="Z60" s="306">
        <f>X60-Y60</f>
        <v/>
      </c>
      <c r="AA60" s="306">
        <f>IF(AND(A60=$B$19, $B$21=1), O60*$B$20, 0)</f>
        <v/>
      </c>
      <c r="AB60" s="306">
        <f>AB59+Z60+AA60</f>
        <v/>
      </c>
    </row>
    <row r="61">
      <c r="A61" s="306" t="n">
        <v>31</v>
      </c>
      <c r="B61" s="306">
        <f>CEILING(A61/12,1)</f>
        <v/>
      </c>
      <c r="C61" s="306">
        <f>IF(A61&lt;=12, $B$15/12, 0)</f>
        <v/>
      </c>
      <c r="D61" s="306">
        <f>INDEX('26. Team Comp'!$D$28:$R$28, B61) * 0.001 / 12</f>
        <v/>
      </c>
      <c r="E61" s="306">
        <f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+ (IF(MAX(0, A61 - $F$11 + 1)&lt;=0, 0, IF(MAX(0, A61 - $F$11 + 1)&lt;=6, 70 - (70-14)*(MAX(0, A61 - $F$11 + 1)-1)/5, IF(MAX(0, A61 - $F$11 + 1)&lt;=24, 14 - 14*(MAX(0, A61 - $F$11 + 1)-6)/18, 0)))) + (IF(MAX(0, A61 - $F$12 + 1)&lt;=0, 0, IF(MAX(0, A61 - $F$12 + 1)&lt;=6, 70 - (70-14)*(MAX(0, A61 - $F$12 + 1)-1)/5, IF(MAX(0, A61 - $F$12 + 1)&lt;=24, 14 - 14*(MAX(0, A61 - $F$12 + 1)-6)/18, 0)))) + (IF(MAX(0, A61 - $F$13 + 1)&lt;=0, 0, IF(MAX(0, A61 - $F$13 + 1)&lt;=6, 70 - (70-14)*(MAX(0, A61 - $F$13 + 1)-1)/5, IF(MAX(0, A61 - $F$13 + 1)&lt;=24, 14 - 14*(MAX(0, A61 - $F$13 + 1)-6)/18, 0)))) + (IF(MAX(0, A61 - $F$14 + 1)&lt;=0, 0, IF(MAX(0, A61 - $F$14 + 1)&lt;=6, 70 - (70-14)*(MAX(0, A61 - $F$14 + 1)-1)/5, IF(MAX(0, A61 - $F$14 + 1)&lt;=24, 14 - 14*(MAX(0, A61 - $F$14 + 1)-6)/18, 0)))) ) * 200 / 12 / 1000</f>
        <v/>
      </c>
      <c r="F61" s="306">
        <f>IF(A61&lt;$F$6,0,IF(AND($B$21=1,A61&gt;$B$19),0,$E$6*$G$6^MIN((A61-$F$6)/12,6)*MIN($G$6,0.85)^MAX(0,(A61-$F$6)/12-6)))</f>
        <v/>
      </c>
      <c r="G61" s="306">
        <f>IF(A61&lt;$F$7,0,IF(AND($B$21=1,A61&gt;$B$19),0,$E$7*$G$7^MIN((A61-$F$7)/12,6)*MIN($G$7,0.85)^MAX(0,(A61-$F$7)/12-6)))</f>
        <v/>
      </c>
      <c r="H61" s="306">
        <f>IF(A61&lt;$F$8,0,IF(AND($B$21=1,A61&gt;$B$19),0,$E$8*$G$8^MIN((A61-$F$8)/12,6)*MIN($G$8,0.85)^MAX(0,(A61-$F$8)/12-6)))</f>
        <v/>
      </c>
      <c r="I61" s="306">
        <f>IF(A61&lt;$F$9,0,IF(AND($B$21=1,A61&gt;$B$19),0,$E$9*$G$9^MIN((A61-$F$9)/12,6)*MIN($G$9,0.85)^MAX(0,(A61-$F$9)/12-6)))</f>
        <v/>
      </c>
      <c r="J61" s="306">
        <f>IF(A61&lt;$F$10,0,IF(AND($B$21=1,A61&gt;$B$19),0,$E$10*$G$10^MIN((A61-$F$10)/12,6)*MIN($G$10,0.85)^MAX(0,(A61-$F$10)/12-6)))</f>
        <v/>
      </c>
      <c r="K61" s="306">
        <f>IF(A61&lt;$F$11,0,IF(AND($B$21=1,A61&gt;$B$19),0,$E$11*$G$11^MIN((A61-$F$11)/12,6)*MIN($G$11,0.85)^MAX(0,(A61-$F$11)/12-6)))</f>
        <v/>
      </c>
      <c r="L61" s="306">
        <f>IF(A61&lt;$F$12,0,IF(AND($B$21=1,A61&gt;$B$19),0,$E$12*$G$12^MIN((A61-$F$12)/12,6)*MIN($G$12,0.85)^MAX(0,(A61-$F$12)/12-6)))</f>
        <v/>
      </c>
      <c r="M61" s="306">
        <f>IF(A61&lt;$F$13,0,IF(AND($B$21=1,A61&gt;$B$19),0,$E$13*$G$13^MIN((A61-$F$13)/12,6)*MIN($G$13,0.85)^MAX(0,(A61-$F$13)/12-6)))</f>
        <v/>
      </c>
      <c r="N61" s="306">
        <f>IF(A61&lt;$F$14,0,IF(AND($B$21=1,A61&gt;$B$19),0,$E$14*$G$14^MIN((A61-$F$14)/12,6)*MIN($G$14,0.85)^MAX(0,(A61-$F$14)/12-6)))</f>
        <v/>
      </c>
      <c r="O61" s="306">
        <f>SUM(F61:N61)</f>
        <v/>
      </c>
      <c r="P61" s="306">
        <f>O61/12</f>
        <v/>
      </c>
      <c r="Q61" s="306">
        <f>P61*$B$8</f>
        <v/>
      </c>
      <c r="R61" s="306">
        <f>P61*$B$9</f>
        <v/>
      </c>
      <c r="S61" s="306">
        <f>P61*$B$10</f>
        <v/>
      </c>
      <c r="T61" s="306">
        <f>P61-Q61-R61-S61-D61-E61</f>
        <v/>
      </c>
      <c r="U61" s="306">
        <f>MAX(0, T61 - $B$7*P61)</f>
        <v/>
      </c>
      <c r="V61" s="306">
        <f>T61-U61</f>
        <v/>
      </c>
      <c r="W61" s="306">
        <f>IF(A61=$F$6, $B$18*$B$16*$B$17/1000000, 0) + IF(A61=$F$7, $B$18*$B$16*$B$17/1000000, 0) + IF(A61=$F$8, $B$18*$B$16*$B$17/1000000, 0) + IF(A61=$F$9, $B$18*$B$16*$B$17/1000000, 0) + IF(A61=$F$10, $B$18*$B$16*$B$17/1000000, 0) + IF(A61=$F$11, $B$18*$B$16*$B$17/1000000, 0) + IF(A61=$F$12, $B$18*$B$16*$B$17/1000000, 0) + IF(A61=$F$13, $B$18*$B$16*$B$17/1000000, 0) + IF(A61=$F$14, $B$18*$B$16*$B$17/1000000, 0)</f>
        <v/>
      </c>
      <c r="X61" s="306">
        <f>V61-W61-C61</f>
        <v/>
      </c>
      <c r="Y61" s="306">
        <f>IF(AND(A61&lt;=$B$24, X61&gt;0), X61*$B$23, 0)</f>
        <v/>
      </c>
      <c r="Z61" s="306">
        <f>X61-Y61</f>
        <v/>
      </c>
      <c r="AA61" s="306">
        <f>IF(AND(A61=$B$19, $B$21=1), O61*$B$20, 0)</f>
        <v/>
      </c>
      <c r="AB61" s="306">
        <f>AB60+Z61+AA61</f>
        <v/>
      </c>
    </row>
    <row r="62">
      <c r="A62" s="306" t="n">
        <v>32</v>
      </c>
      <c r="B62" s="306">
        <f>CEILING(A62/12,1)</f>
        <v/>
      </c>
      <c r="C62" s="306">
        <f>IF(A62&lt;=12, $B$15/12, 0)</f>
        <v/>
      </c>
      <c r="D62" s="306">
        <f>INDEX('26. Team Comp'!$D$28:$R$28, B62) * 0.001 / 12</f>
        <v/>
      </c>
      <c r="E62" s="306">
        <f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+ (IF(MAX(0, A62 - $F$11 + 1)&lt;=0, 0, IF(MAX(0, A62 - $F$11 + 1)&lt;=6, 70 - (70-14)*(MAX(0, A62 - $F$11 + 1)-1)/5, IF(MAX(0, A62 - $F$11 + 1)&lt;=24, 14 - 14*(MAX(0, A62 - $F$11 + 1)-6)/18, 0)))) + (IF(MAX(0, A62 - $F$12 + 1)&lt;=0, 0, IF(MAX(0, A62 - $F$12 + 1)&lt;=6, 70 - (70-14)*(MAX(0, A62 - $F$12 + 1)-1)/5, IF(MAX(0, A62 - $F$12 + 1)&lt;=24, 14 - 14*(MAX(0, A62 - $F$12 + 1)-6)/18, 0)))) + (IF(MAX(0, A62 - $F$13 + 1)&lt;=0, 0, IF(MAX(0, A62 - $F$13 + 1)&lt;=6, 70 - (70-14)*(MAX(0, A62 - $F$13 + 1)-1)/5, IF(MAX(0, A62 - $F$13 + 1)&lt;=24, 14 - 14*(MAX(0, A62 - $F$13 + 1)-6)/18, 0)))) + (IF(MAX(0, A62 - $F$14 + 1)&lt;=0, 0, IF(MAX(0, A62 - $F$14 + 1)&lt;=6, 70 - (70-14)*(MAX(0, A62 - $F$14 + 1)-1)/5, IF(MAX(0, A62 - $F$14 + 1)&lt;=24, 14 - 14*(MAX(0, A62 - $F$14 + 1)-6)/18, 0)))) ) * 200 / 12 / 1000</f>
        <v/>
      </c>
      <c r="F62" s="306">
        <f>IF(A62&lt;$F$6,0,IF(AND($B$21=1,A62&gt;$B$19),0,$E$6*$G$6^MIN((A62-$F$6)/12,6)*MIN($G$6,0.85)^MAX(0,(A62-$F$6)/12-6)))</f>
        <v/>
      </c>
      <c r="G62" s="306">
        <f>IF(A62&lt;$F$7,0,IF(AND($B$21=1,A62&gt;$B$19),0,$E$7*$G$7^MIN((A62-$F$7)/12,6)*MIN($G$7,0.85)^MAX(0,(A62-$F$7)/12-6)))</f>
        <v/>
      </c>
      <c r="H62" s="306">
        <f>IF(A62&lt;$F$8,0,IF(AND($B$21=1,A62&gt;$B$19),0,$E$8*$G$8^MIN((A62-$F$8)/12,6)*MIN($G$8,0.85)^MAX(0,(A62-$F$8)/12-6)))</f>
        <v/>
      </c>
      <c r="I62" s="306">
        <f>IF(A62&lt;$F$9,0,IF(AND($B$21=1,A62&gt;$B$19),0,$E$9*$G$9^MIN((A62-$F$9)/12,6)*MIN($G$9,0.85)^MAX(0,(A62-$F$9)/12-6)))</f>
        <v/>
      </c>
      <c r="J62" s="306">
        <f>IF(A62&lt;$F$10,0,IF(AND($B$21=1,A62&gt;$B$19),0,$E$10*$G$10^MIN((A62-$F$10)/12,6)*MIN($G$10,0.85)^MAX(0,(A62-$F$10)/12-6)))</f>
        <v/>
      </c>
      <c r="K62" s="306">
        <f>IF(A62&lt;$F$11,0,IF(AND($B$21=1,A62&gt;$B$19),0,$E$11*$G$11^MIN((A62-$F$11)/12,6)*MIN($G$11,0.85)^MAX(0,(A62-$F$11)/12-6)))</f>
        <v/>
      </c>
      <c r="L62" s="306">
        <f>IF(A62&lt;$F$12,0,IF(AND($B$21=1,A62&gt;$B$19),0,$E$12*$G$12^MIN((A62-$F$12)/12,6)*MIN($G$12,0.85)^MAX(0,(A62-$F$12)/12-6)))</f>
        <v/>
      </c>
      <c r="M62" s="306">
        <f>IF(A62&lt;$F$13,0,IF(AND($B$21=1,A62&gt;$B$19),0,$E$13*$G$13^MIN((A62-$F$13)/12,6)*MIN($G$13,0.85)^MAX(0,(A62-$F$13)/12-6)))</f>
        <v/>
      </c>
      <c r="N62" s="306">
        <f>IF(A62&lt;$F$14,0,IF(AND($B$21=1,A62&gt;$B$19),0,$E$14*$G$14^MIN((A62-$F$14)/12,6)*MIN($G$14,0.85)^MAX(0,(A62-$F$14)/12-6)))</f>
        <v/>
      </c>
      <c r="O62" s="306">
        <f>SUM(F62:N62)</f>
        <v/>
      </c>
      <c r="P62" s="306">
        <f>O62/12</f>
        <v/>
      </c>
      <c r="Q62" s="306">
        <f>P62*$B$8</f>
        <v/>
      </c>
      <c r="R62" s="306">
        <f>P62*$B$9</f>
        <v/>
      </c>
      <c r="S62" s="306">
        <f>P62*$B$10</f>
        <v/>
      </c>
      <c r="T62" s="306">
        <f>P62-Q62-R62-S62-D62-E62</f>
        <v/>
      </c>
      <c r="U62" s="306">
        <f>MAX(0, T62 - $B$7*P62)</f>
        <v/>
      </c>
      <c r="V62" s="306">
        <f>T62-U62</f>
        <v/>
      </c>
      <c r="W62" s="306">
        <f>IF(A62=$F$6, $B$18*$B$16*$B$17/1000000, 0) + IF(A62=$F$7, $B$18*$B$16*$B$17/1000000, 0) + IF(A62=$F$8, $B$18*$B$16*$B$17/1000000, 0) + IF(A62=$F$9, $B$18*$B$16*$B$17/1000000, 0) + IF(A62=$F$10, $B$18*$B$16*$B$17/1000000, 0) + IF(A62=$F$11, $B$18*$B$16*$B$17/1000000, 0) + IF(A62=$F$12, $B$18*$B$16*$B$17/1000000, 0) + IF(A62=$F$13, $B$18*$B$16*$B$17/1000000, 0) + IF(A62=$F$14, $B$18*$B$16*$B$17/1000000, 0)</f>
        <v/>
      </c>
      <c r="X62" s="306">
        <f>V62-W62-C62</f>
        <v/>
      </c>
      <c r="Y62" s="306">
        <f>IF(AND(A62&lt;=$B$24, X62&gt;0), X62*$B$23, 0)</f>
        <v/>
      </c>
      <c r="Z62" s="306">
        <f>X62-Y62</f>
        <v/>
      </c>
      <c r="AA62" s="306">
        <f>IF(AND(A62=$B$19, $B$21=1), O62*$B$20, 0)</f>
        <v/>
      </c>
      <c r="AB62" s="306">
        <f>AB61+Z62+AA62</f>
        <v/>
      </c>
    </row>
    <row r="63">
      <c r="A63" s="306" t="n">
        <v>33</v>
      </c>
      <c r="B63" s="306">
        <f>CEILING(A63/12,1)</f>
        <v/>
      </c>
      <c r="C63" s="306">
        <f>IF(A63&lt;=12, $B$15/12, 0)</f>
        <v/>
      </c>
      <c r="D63" s="306">
        <f>INDEX('26. Team Comp'!$D$28:$R$28, B63) * 0.001 / 12</f>
        <v/>
      </c>
      <c r="E63" s="306">
        <f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+ (IF(MAX(0, A63 - $F$11 + 1)&lt;=0, 0, IF(MAX(0, A63 - $F$11 + 1)&lt;=6, 70 - (70-14)*(MAX(0, A63 - $F$11 + 1)-1)/5, IF(MAX(0, A63 - $F$11 + 1)&lt;=24, 14 - 14*(MAX(0, A63 - $F$11 + 1)-6)/18, 0)))) + (IF(MAX(0, A63 - $F$12 + 1)&lt;=0, 0, IF(MAX(0, A63 - $F$12 + 1)&lt;=6, 70 - (70-14)*(MAX(0, A63 - $F$12 + 1)-1)/5, IF(MAX(0, A63 - $F$12 + 1)&lt;=24, 14 - 14*(MAX(0, A63 - $F$12 + 1)-6)/18, 0)))) + (IF(MAX(0, A63 - $F$13 + 1)&lt;=0, 0, IF(MAX(0, A63 - $F$13 + 1)&lt;=6, 70 - (70-14)*(MAX(0, A63 - $F$13 + 1)-1)/5, IF(MAX(0, A63 - $F$13 + 1)&lt;=24, 14 - 14*(MAX(0, A63 - $F$13 + 1)-6)/18, 0)))) + (IF(MAX(0, A63 - $F$14 + 1)&lt;=0, 0, IF(MAX(0, A63 - $F$14 + 1)&lt;=6, 70 - (70-14)*(MAX(0, A63 - $F$14 + 1)-1)/5, IF(MAX(0, A63 - $F$14 + 1)&lt;=24, 14 - 14*(MAX(0, A63 - $F$14 + 1)-6)/18, 0)))) ) * 200 / 12 / 1000</f>
        <v/>
      </c>
      <c r="F63" s="306">
        <f>IF(A63&lt;$F$6,0,IF(AND($B$21=1,A63&gt;$B$19),0,$E$6*$G$6^MIN((A63-$F$6)/12,6)*MIN($G$6,0.85)^MAX(0,(A63-$F$6)/12-6)))</f>
        <v/>
      </c>
      <c r="G63" s="306">
        <f>IF(A63&lt;$F$7,0,IF(AND($B$21=1,A63&gt;$B$19),0,$E$7*$G$7^MIN((A63-$F$7)/12,6)*MIN($G$7,0.85)^MAX(0,(A63-$F$7)/12-6)))</f>
        <v/>
      </c>
      <c r="H63" s="306">
        <f>IF(A63&lt;$F$8,0,IF(AND($B$21=1,A63&gt;$B$19),0,$E$8*$G$8^MIN((A63-$F$8)/12,6)*MIN($G$8,0.85)^MAX(0,(A63-$F$8)/12-6)))</f>
        <v/>
      </c>
      <c r="I63" s="306">
        <f>IF(A63&lt;$F$9,0,IF(AND($B$21=1,A63&gt;$B$19),0,$E$9*$G$9^MIN((A63-$F$9)/12,6)*MIN($G$9,0.85)^MAX(0,(A63-$F$9)/12-6)))</f>
        <v/>
      </c>
      <c r="J63" s="306">
        <f>IF(A63&lt;$F$10,0,IF(AND($B$21=1,A63&gt;$B$19),0,$E$10*$G$10^MIN((A63-$F$10)/12,6)*MIN($G$10,0.85)^MAX(0,(A63-$F$10)/12-6)))</f>
        <v/>
      </c>
      <c r="K63" s="306">
        <f>IF(A63&lt;$F$11,0,IF(AND($B$21=1,A63&gt;$B$19),0,$E$11*$G$11^MIN((A63-$F$11)/12,6)*MIN($G$11,0.85)^MAX(0,(A63-$F$11)/12-6)))</f>
        <v/>
      </c>
      <c r="L63" s="306">
        <f>IF(A63&lt;$F$12,0,IF(AND($B$21=1,A63&gt;$B$19),0,$E$12*$G$12^MIN((A63-$F$12)/12,6)*MIN($G$12,0.85)^MAX(0,(A63-$F$12)/12-6)))</f>
        <v/>
      </c>
      <c r="M63" s="306">
        <f>IF(A63&lt;$F$13,0,IF(AND($B$21=1,A63&gt;$B$19),0,$E$13*$G$13^MIN((A63-$F$13)/12,6)*MIN($G$13,0.85)^MAX(0,(A63-$F$13)/12-6)))</f>
        <v/>
      </c>
      <c r="N63" s="306">
        <f>IF(A63&lt;$F$14,0,IF(AND($B$21=1,A63&gt;$B$19),0,$E$14*$G$14^MIN((A63-$F$14)/12,6)*MIN($G$14,0.85)^MAX(0,(A63-$F$14)/12-6)))</f>
        <v/>
      </c>
      <c r="O63" s="306">
        <f>SUM(F63:N63)</f>
        <v/>
      </c>
      <c r="P63" s="306">
        <f>O63/12</f>
        <v/>
      </c>
      <c r="Q63" s="306">
        <f>P63*$B$8</f>
        <v/>
      </c>
      <c r="R63" s="306">
        <f>P63*$B$9</f>
        <v/>
      </c>
      <c r="S63" s="306">
        <f>P63*$B$10</f>
        <v/>
      </c>
      <c r="T63" s="306">
        <f>P63-Q63-R63-S63-D63-E63</f>
        <v/>
      </c>
      <c r="U63" s="306">
        <f>MAX(0, T63 - $B$7*P63)</f>
        <v/>
      </c>
      <c r="V63" s="306">
        <f>T63-U63</f>
        <v/>
      </c>
      <c r="W63" s="306">
        <f>IF(A63=$F$6, $B$18*$B$16*$B$17/1000000, 0) + IF(A63=$F$7, $B$18*$B$16*$B$17/1000000, 0) + IF(A63=$F$8, $B$18*$B$16*$B$17/1000000, 0) + IF(A63=$F$9, $B$18*$B$16*$B$17/1000000, 0) + IF(A63=$F$10, $B$18*$B$16*$B$17/1000000, 0) + IF(A63=$F$11, $B$18*$B$16*$B$17/1000000, 0) + IF(A63=$F$12, $B$18*$B$16*$B$17/1000000, 0) + IF(A63=$F$13, $B$18*$B$16*$B$17/1000000, 0) + IF(A63=$F$14, $B$18*$B$16*$B$17/1000000, 0)</f>
        <v/>
      </c>
      <c r="X63" s="306">
        <f>V63-W63-C63</f>
        <v/>
      </c>
      <c r="Y63" s="306">
        <f>IF(AND(A63&lt;=$B$24, X63&gt;0), X63*$B$23, 0)</f>
        <v/>
      </c>
      <c r="Z63" s="306">
        <f>X63-Y63</f>
        <v/>
      </c>
      <c r="AA63" s="306">
        <f>IF(AND(A63=$B$19, $B$21=1), O63*$B$20, 0)</f>
        <v/>
      </c>
      <c r="AB63" s="306">
        <f>AB62+Z63+AA63</f>
        <v/>
      </c>
    </row>
    <row r="64">
      <c r="A64" s="306" t="n">
        <v>34</v>
      </c>
      <c r="B64" s="306">
        <f>CEILING(A64/12,1)</f>
        <v/>
      </c>
      <c r="C64" s="306">
        <f>IF(A64&lt;=12, $B$15/12, 0)</f>
        <v/>
      </c>
      <c r="D64" s="306">
        <f>INDEX('26. Team Comp'!$D$28:$R$28, B64) * 0.001 / 12</f>
        <v/>
      </c>
      <c r="E64" s="306">
        <f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+ (IF(MAX(0, A64 - $F$11 + 1)&lt;=0, 0, IF(MAX(0, A64 - $F$11 + 1)&lt;=6, 70 - (70-14)*(MAX(0, A64 - $F$11 + 1)-1)/5, IF(MAX(0, A64 - $F$11 + 1)&lt;=24, 14 - 14*(MAX(0, A64 - $F$11 + 1)-6)/18, 0)))) + (IF(MAX(0, A64 - $F$12 + 1)&lt;=0, 0, IF(MAX(0, A64 - $F$12 + 1)&lt;=6, 70 - (70-14)*(MAX(0, A64 - $F$12 + 1)-1)/5, IF(MAX(0, A64 - $F$12 + 1)&lt;=24, 14 - 14*(MAX(0, A64 - $F$12 + 1)-6)/18, 0)))) + (IF(MAX(0, A64 - $F$13 + 1)&lt;=0, 0, IF(MAX(0, A64 - $F$13 + 1)&lt;=6, 70 - (70-14)*(MAX(0, A64 - $F$13 + 1)-1)/5, IF(MAX(0, A64 - $F$13 + 1)&lt;=24, 14 - 14*(MAX(0, A64 - $F$13 + 1)-6)/18, 0)))) + (IF(MAX(0, A64 - $F$14 + 1)&lt;=0, 0, IF(MAX(0, A64 - $F$14 + 1)&lt;=6, 70 - (70-14)*(MAX(0, A64 - $F$14 + 1)-1)/5, IF(MAX(0, A64 - $F$14 + 1)&lt;=24, 14 - 14*(MAX(0, A64 - $F$14 + 1)-6)/18, 0)))) ) * 200 / 12 / 1000</f>
        <v/>
      </c>
      <c r="F64" s="306">
        <f>IF(A64&lt;$F$6,0,IF(AND($B$21=1,A64&gt;$B$19),0,$E$6*$G$6^MIN((A64-$F$6)/12,6)*MIN($G$6,0.85)^MAX(0,(A64-$F$6)/12-6)))</f>
        <v/>
      </c>
      <c r="G64" s="306">
        <f>IF(A64&lt;$F$7,0,IF(AND($B$21=1,A64&gt;$B$19),0,$E$7*$G$7^MIN((A64-$F$7)/12,6)*MIN($G$7,0.85)^MAX(0,(A64-$F$7)/12-6)))</f>
        <v/>
      </c>
      <c r="H64" s="306">
        <f>IF(A64&lt;$F$8,0,IF(AND($B$21=1,A64&gt;$B$19),0,$E$8*$G$8^MIN((A64-$F$8)/12,6)*MIN($G$8,0.85)^MAX(0,(A64-$F$8)/12-6)))</f>
        <v/>
      </c>
      <c r="I64" s="306">
        <f>IF(A64&lt;$F$9,0,IF(AND($B$21=1,A64&gt;$B$19),0,$E$9*$G$9^MIN((A64-$F$9)/12,6)*MIN($G$9,0.85)^MAX(0,(A64-$F$9)/12-6)))</f>
        <v/>
      </c>
      <c r="J64" s="306">
        <f>IF(A64&lt;$F$10,0,IF(AND($B$21=1,A64&gt;$B$19),0,$E$10*$G$10^MIN((A64-$F$10)/12,6)*MIN($G$10,0.85)^MAX(0,(A64-$F$10)/12-6)))</f>
        <v/>
      </c>
      <c r="K64" s="306">
        <f>IF(A64&lt;$F$11,0,IF(AND($B$21=1,A64&gt;$B$19),0,$E$11*$G$11^MIN((A64-$F$11)/12,6)*MIN($G$11,0.85)^MAX(0,(A64-$F$11)/12-6)))</f>
        <v/>
      </c>
      <c r="L64" s="306">
        <f>IF(A64&lt;$F$12,0,IF(AND($B$21=1,A64&gt;$B$19),0,$E$12*$G$12^MIN((A64-$F$12)/12,6)*MIN($G$12,0.85)^MAX(0,(A64-$F$12)/12-6)))</f>
        <v/>
      </c>
      <c r="M64" s="306">
        <f>IF(A64&lt;$F$13,0,IF(AND($B$21=1,A64&gt;$B$19),0,$E$13*$G$13^MIN((A64-$F$13)/12,6)*MIN($G$13,0.85)^MAX(0,(A64-$F$13)/12-6)))</f>
        <v/>
      </c>
      <c r="N64" s="306">
        <f>IF(A64&lt;$F$14,0,IF(AND($B$21=1,A64&gt;$B$19),0,$E$14*$G$14^MIN((A64-$F$14)/12,6)*MIN($G$14,0.85)^MAX(0,(A64-$F$14)/12-6)))</f>
        <v/>
      </c>
      <c r="O64" s="306">
        <f>SUM(F64:N64)</f>
        <v/>
      </c>
      <c r="P64" s="306">
        <f>O64/12</f>
        <v/>
      </c>
      <c r="Q64" s="306">
        <f>P64*$B$8</f>
        <v/>
      </c>
      <c r="R64" s="306">
        <f>P64*$B$9</f>
        <v/>
      </c>
      <c r="S64" s="306">
        <f>P64*$B$10</f>
        <v/>
      </c>
      <c r="T64" s="306">
        <f>P64-Q64-R64-S64-D64-E64</f>
        <v/>
      </c>
      <c r="U64" s="306">
        <f>MAX(0, T64 - $B$7*P64)</f>
        <v/>
      </c>
      <c r="V64" s="306">
        <f>T64-U64</f>
        <v/>
      </c>
      <c r="W64" s="306">
        <f>IF(A64=$F$6, $B$18*$B$16*$B$17/1000000, 0) + IF(A64=$F$7, $B$18*$B$16*$B$17/1000000, 0) + IF(A64=$F$8, $B$18*$B$16*$B$17/1000000, 0) + IF(A64=$F$9, $B$18*$B$16*$B$17/1000000, 0) + IF(A64=$F$10, $B$18*$B$16*$B$17/1000000, 0) + IF(A64=$F$11, $B$18*$B$16*$B$17/1000000, 0) + IF(A64=$F$12, $B$18*$B$16*$B$17/1000000, 0) + IF(A64=$F$13, $B$18*$B$16*$B$17/1000000, 0) + IF(A64=$F$14, $B$18*$B$16*$B$17/1000000, 0)</f>
        <v/>
      </c>
      <c r="X64" s="306">
        <f>V64-W64-C64</f>
        <v/>
      </c>
      <c r="Y64" s="306">
        <f>IF(AND(A64&lt;=$B$24, X64&gt;0), X64*$B$23, 0)</f>
        <v/>
      </c>
      <c r="Z64" s="306">
        <f>X64-Y64</f>
        <v/>
      </c>
      <c r="AA64" s="306">
        <f>IF(AND(A64=$B$19, $B$21=1), O64*$B$20, 0)</f>
        <v/>
      </c>
      <c r="AB64" s="306">
        <f>AB63+Z64+AA64</f>
        <v/>
      </c>
    </row>
    <row r="65">
      <c r="A65" s="306" t="n">
        <v>35</v>
      </c>
      <c r="B65" s="306">
        <f>CEILING(A65/12,1)</f>
        <v/>
      </c>
      <c r="C65" s="306">
        <f>IF(A65&lt;=12, $B$15/12, 0)</f>
        <v/>
      </c>
      <c r="D65" s="306">
        <f>INDEX('26. Team Comp'!$D$28:$R$28, B65) * 0.001 / 12</f>
        <v/>
      </c>
      <c r="E65" s="306">
        <f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+ (IF(MAX(0, A65 - $F$11 + 1)&lt;=0, 0, IF(MAX(0, A65 - $F$11 + 1)&lt;=6, 70 - (70-14)*(MAX(0, A65 - $F$11 + 1)-1)/5, IF(MAX(0, A65 - $F$11 + 1)&lt;=24, 14 - 14*(MAX(0, A65 - $F$11 + 1)-6)/18, 0)))) + (IF(MAX(0, A65 - $F$12 + 1)&lt;=0, 0, IF(MAX(0, A65 - $F$12 + 1)&lt;=6, 70 - (70-14)*(MAX(0, A65 - $F$12 + 1)-1)/5, IF(MAX(0, A65 - $F$12 + 1)&lt;=24, 14 - 14*(MAX(0, A65 - $F$12 + 1)-6)/18, 0)))) + (IF(MAX(0, A65 - $F$13 + 1)&lt;=0, 0, IF(MAX(0, A65 - $F$13 + 1)&lt;=6, 70 - (70-14)*(MAX(0, A65 - $F$13 + 1)-1)/5, IF(MAX(0, A65 - $F$13 + 1)&lt;=24, 14 - 14*(MAX(0, A65 - $F$13 + 1)-6)/18, 0)))) + (IF(MAX(0, A65 - $F$14 + 1)&lt;=0, 0, IF(MAX(0, A65 - $F$14 + 1)&lt;=6, 70 - (70-14)*(MAX(0, A65 - $F$14 + 1)-1)/5, IF(MAX(0, A65 - $F$14 + 1)&lt;=24, 14 - 14*(MAX(0, A65 - $F$14 + 1)-6)/18, 0)))) ) * 200 / 12 / 1000</f>
        <v/>
      </c>
      <c r="F65" s="306">
        <f>IF(A65&lt;$F$6,0,IF(AND($B$21=1,A65&gt;$B$19),0,$E$6*$G$6^MIN((A65-$F$6)/12,6)*MIN($G$6,0.85)^MAX(0,(A65-$F$6)/12-6)))</f>
        <v/>
      </c>
      <c r="G65" s="306">
        <f>IF(A65&lt;$F$7,0,IF(AND($B$21=1,A65&gt;$B$19),0,$E$7*$G$7^MIN((A65-$F$7)/12,6)*MIN($G$7,0.85)^MAX(0,(A65-$F$7)/12-6)))</f>
        <v/>
      </c>
      <c r="H65" s="306">
        <f>IF(A65&lt;$F$8,0,IF(AND($B$21=1,A65&gt;$B$19),0,$E$8*$G$8^MIN((A65-$F$8)/12,6)*MIN($G$8,0.85)^MAX(0,(A65-$F$8)/12-6)))</f>
        <v/>
      </c>
      <c r="I65" s="306">
        <f>IF(A65&lt;$F$9,0,IF(AND($B$21=1,A65&gt;$B$19),0,$E$9*$G$9^MIN((A65-$F$9)/12,6)*MIN($G$9,0.85)^MAX(0,(A65-$F$9)/12-6)))</f>
        <v/>
      </c>
      <c r="J65" s="306">
        <f>IF(A65&lt;$F$10,0,IF(AND($B$21=1,A65&gt;$B$19),0,$E$10*$G$10^MIN((A65-$F$10)/12,6)*MIN($G$10,0.85)^MAX(0,(A65-$F$10)/12-6)))</f>
        <v/>
      </c>
      <c r="K65" s="306">
        <f>IF(A65&lt;$F$11,0,IF(AND($B$21=1,A65&gt;$B$19),0,$E$11*$G$11^MIN((A65-$F$11)/12,6)*MIN($G$11,0.85)^MAX(0,(A65-$F$11)/12-6)))</f>
        <v/>
      </c>
      <c r="L65" s="306">
        <f>IF(A65&lt;$F$12,0,IF(AND($B$21=1,A65&gt;$B$19),0,$E$12*$G$12^MIN((A65-$F$12)/12,6)*MIN($G$12,0.85)^MAX(0,(A65-$F$12)/12-6)))</f>
        <v/>
      </c>
      <c r="M65" s="306">
        <f>IF(A65&lt;$F$13,0,IF(AND($B$21=1,A65&gt;$B$19),0,$E$13*$G$13^MIN((A65-$F$13)/12,6)*MIN($G$13,0.85)^MAX(0,(A65-$F$13)/12-6)))</f>
        <v/>
      </c>
      <c r="N65" s="306">
        <f>IF(A65&lt;$F$14,0,IF(AND($B$21=1,A65&gt;$B$19),0,$E$14*$G$14^MIN((A65-$F$14)/12,6)*MIN($G$14,0.85)^MAX(0,(A65-$F$14)/12-6)))</f>
        <v/>
      </c>
      <c r="O65" s="306">
        <f>SUM(F65:N65)</f>
        <v/>
      </c>
      <c r="P65" s="306">
        <f>O65/12</f>
        <v/>
      </c>
      <c r="Q65" s="306">
        <f>P65*$B$8</f>
        <v/>
      </c>
      <c r="R65" s="306">
        <f>P65*$B$9</f>
        <v/>
      </c>
      <c r="S65" s="306">
        <f>P65*$B$10</f>
        <v/>
      </c>
      <c r="T65" s="306">
        <f>P65-Q65-R65-S65-D65-E65</f>
        <v/>
      </c>
      <c r="U65" s="306">
        <f>MAX(0, T65 - $B$7*P65)</f>
        <v/>
      </c>
      <c r="V65" s="306">
        <f>T65-U65</f>
        <v/>
      </c>
      <c r="W65" s="306">
        <f>IF(A65=$F$6, $B$18*$B$16*$B$17/1000000, 0) + IF(A65=$F$7, $B$18*$B$16*$B$17/1000000, 0) + IF(A65=$F$8, $B$18*$B$16*$B$17/1000000, 0) + IF(A65=$F$9, $B$18*$B$16*$B$17/1000000, 0) + IF(A65=$F$10, $B$18*$B$16*$B$17/1000000, 0) + IF(A65=$F$11, $B$18*$B$16*$B$17/1000000, 0) + IF(A65=$F$12, $B$18*$B$16*$B$17/1000000, 0) + IF(A65=$F$13, $B$18*$B$16*$B$17/1000000, 0) + IF(A65=$F$14, $B$18*$B$16*$B$17/1000000, 0)</f>
        <v/>
      </c>
      <c r="X65" s="306">
        <f>V65-W65-C65</f>
        <v/>
      </c>
      <c r="Y65" s="306">
        <f>IF(AND(A65&lt;=$B$24, X65&gt;0), X65*$B$23, 0)</f>
        <v/>
      </c>
      <c r="Z65" s="306">
        <f>X65-Y65</f>
        <v/>
      </c>
      <c r="AA65" s="306">
        <f>IF(AND(A65=$B$19, $B$21=1), O65*$B$20, 0)</f>
        <v/>
      </c>
      <c r="AB65" s="306">
        <f>AB64+Z65+AA65</f>
        <v/>
      </c>
    </row>
    <row r="66">
      <c r="A66" s="306" t="n">
        <v>36</v>
      </c>
      <c r="B66" s="306">
        <f>CEILING(A66/12,1)</f>
        <v/>
      </c>
      <c r="C66" s="306">
        <f>IF(A66&lt;=12, $B$15/12, 0)</f>
        <v/>
      </c>
      <c r="D66" s="306">
        <f>INDEX('26. Team Comp'!$D$28:$R$28, B66) * 0.001 / 12</f>
        <v/>
      </c>
      <c r="E66" s="306">
        <f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+ (IF(MAX(0, A66 - $F$11 + 1)&lt;=0, 0, IF(MAX(0, A66 - $F$11 + 1)&lt;=6, 70 - (70-14)*(MAX(0, A66 - $F$11 + 1)-1)/5, IF(MAX(0, A66 - $F$11 + 1)&lt;=24, 14 - 14*(MAX(0, A66 - $F$11 + 1)-6)/18, 0)))) + (IF(MAX(0, A66 - $F$12 + 1)&lt;=0, 0, IF(MAX(0, A66 - $F$12 + 1)&lt;=6, 70 - (70-14)*(MAX(0, A66 - $F$12 + 1)-1)/5, IF(MAX(0, A66 - $F$12 + 1)&lt;=24, 14 - 14*(MAX(0, A66 - $F$12 + 1)-6)/18, 0)))) + (IF(MAX(0, A66 - $F$13 + 1)&lt;=0, 0, IF(MAX(0, A66 - $F$13 + 1)&lt;=6, 70 - (70-14)*(MAX(0, A66 - $F$13 + 1)-1)/5, IF(MAX(0, A66 - $F$13 + 1)&lt;=24, 14 - 14*(MAX(0, A66 - $F$13 + 1)-6)/18, 0)))) + (IF(MAX(0, A66 - $F$14 + 1)&lt;=0, 0, IF(MAX(0, A66 - $F$14 + 1)&lt;=6, 70 - (70-14)*(MAX(0, A66 - $F$14 + 1)-1)/5, IF(MAX(0, A66 - $F$14 + 1)&lt;=24, 14 - 14*(MAX(0, A66 - $F$14 + 1)-6)/18, 0)))) ) * 200 / 12 / 1000</f>
        <v/>
      </c>
      <c r="F66" s="306">
        <f>IF(A66&lt;$F$6,0,IF(AND($B$21=1,A66&gt;$B$19),0,$E$6*$G$6^MIN((A66-$F$6)/12,6)*MIN($G$6,0.85)^MAX(0,(A66-$F$6)/12-6)))</f>
        <v/>
      </c>
      <c r="G66" s="306">
        <f>IF(A66&lt;$F$7,0,IF(AND($B$21=1,A66&gt;$B$19),0,$E$7*$G$7^MIN((A66-$F$7)/12,6)*MIN($G$7,0.85)^MAX(0,(A66-$F$7)/12-6)))</f>
        <v/>
      </c>
      <c r="H66" s="306">
        <f>IF(A66&lt;$F$8,0,IF(AND($B$21=1,A66&gt;$B$19),0,$E$8*$G$8^MIN((A66-$F$8)/12,6)*MIN($G$8,0.85)^MAX(0,(A66-$F$8)/12-6)))</f>
        <v/>
      </c>
      <c r="I66" s="306">
        <f>IF(A66&lt;$F$9,0,IF(AND($B$21=1,A66&gt;$B$19),0,$E$9*$G$9^MIN((A66-$F$9)/12,6)*MIN($G$9,0.85)^MAX(0,(A66-$F$9)/12-6)))</f>
        <v/>
      </c>
      <c r="J66" s="306">
        <f>IF(A66&lt;$F$10,0,IF(AND($B$21=1,A66&gt;$B$19),0,$E$10*$G$10^MIN((A66-$F$10)/12,6)*MIN($G$10,0.85)^MAX(0,(A66-$F$10)/12-6)))</f>
        <v/>
      </c>
      <c r="K66" s="306">
        <f>IF(A66&lt;$F$11,0,IF(AND($B$21=1,A66&gt;$B$19),0,$E$11*$G$11^MIN((A66-$F$11)/12,6)*MIN($G$11,0.85)^MAX(0,(A66-$F$11)/12-6)))</f>
        <v/>
      </c>
      <c r="L66" s="306">
        <f>IF(A66&lt;$F$12,0,IF(AND($B$21=1,A66&gt;$B$19),0,$E$12*$G$12^MIN((A66-$F$12)/12,6)*MIN($G$12,0.85)^MAX(0,(A66-$F$12)/12-6)))</f>
        <v/>
      </c>
      <c r="M66" s="306">
        <f>IF(A66&lt;$F$13,0,IF(AND($B$21=1,A66&gt;$B$19),0,$E$13*$G$13^MIN((A66-$F$13)/12,6)*MIN($G$13,0.85)^MAX(0,(A66-$F$13)/12-6)))</f>
        <v/>
      </c>
      <c r="N66" s="306">
        <f>IF(A66&lt;$F$14,0,IF(AND($B$21=1,A66&gt;$B$19),0,$E$14*$G$14^MIN((A66-$F$14)/12,6)*MIN($G$14,0.85)^MAX(0,(A66-$F$14)/12-6)))</f>
        <v/>
      </c>
      <c r="O66" s="306">
        <f>SUM(F66:N66)</f>
        <v/>
      </c>
      <c r="P66" s="306">
        <f>O66/12</f>
        <v/>
      </c>
      <c r="Q66" s="306">
        <f>P66*$B$8</f>
        <v/>
      </c>
      <c r="R66" s="306">
        <f>P66*$B$9</f>
        <v/>
      </c>
      <c r="S66" s="306">
        <f>P66*$B$10</f>
        <v/>
      </c>
      <c r="T66" s="306">
        <f>P66-Q66-R66-S66-D66-E66</f>
        <v/>
      </c>
      <c r="U66" s="306">
        <f>MAX(0, T66 - $B$7*P66)</f>
        <v/>
      </c>
      <c r="V66" s="306">
        <f>T66-U66</f>
        <v/>
      </c>
      <c r="W66" s="306">
        <f>IF(A66=$F$6, $B$18*$B$16*$B$17/1000000, 0) + IF(A66=$F$7, $B$18*$B$16*$B$17/1000000, 0) + IF(A66=$F$8, $B$18*$B$16*$B$17/1000000, 0) + IF(A66=$F$9, $B$18*$B$16*$B$17/1000000, 0) + IF(A66=$F$10, $B$18*$B$16*$B$17/1000000, 0) + IF(A66=$F$11, $B$18*$B$16*$B$17/1000000, 0) + IF(A66=$F$12, $B$18*$B$16*$B$17/1000000, 0) + IF(A66=$F$13, $B$18*$B$16*$B$17/1000000, 0) + IF(A66=$F$14, $B$18*$B$16*$B$17/1000000, 0)</f>
        <v/>
      </c>
      <c r="X66" s="306">
        <f>V66-W66-C66</f>
        <v/>
      </c>
      <c r="Y66" s="306">
        <f>IF(AND(A66&lt;=$B$24, X66&gt;0), X66*$B$23, 0)</f>
        <v/>
      </c>
      <c r="Z66" s="306">
        <f>X66-Y66</f>
        <v/>
      </c>
      <c r="AA66" s="306">
        <f>IF(AND(A66=$B$19, $B$21=1), O66*$B$20, 0)</f>
        <v/>
      </c>
      <c r="AB66" s="306">
        <f>AB65+Z66+AA66</f>
        <v/>
      </c>
    </row>
    <row r="67">
      <c r="A67" s="306" t="n">
        <v>37</v>
      </c>
      <c r="B67" s="306">
        <f>CEILING(A67/12,1)</f>
        <v/>
      </c>
      <c r="C67" s="306">
        <f>IF(A67&lt;=12, $B$15/12, 0)</f>
        <v/>
      </c>
      <c r="D67" s="306">
        <f>INDEX('26. Team Comp'!$D$28:$R$28, B67) * 0.001 / 12</f>
        <v/>
      </c>
      <c r="E67" s="306">
        <f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+ (IF(MAX(0, A67 - $F$11 + 1)&lt;=0, 0, IF(MAX(0, A67 - $F$11 + 1)&lt;=6, 70 - (70-14)*(MAX(0, A67 - $F$11 + 1)-1)/5, IF(MAX(0, A67 - $F$11 + 1)&lt;=24, 14 - 14*(MAX(0, A67 - $F$11 + 1)-6)/18, 0)))) + (IF(MAX(0, A67 - $F$12 + 1)&lt;=0, 0, IF(MAX(0, A67 - $F$12 + 1)&lt;=6, 70 - (70-14)*(MAX(0, A67 - $F$12 + 1)-1)/5, IF(MAX(0, A67 - $F$12 + 1)&lt;=24, 14 - 14*(MAX(0, A67 - $F$12 + 1)-6)/18, 0)))) + (IF(MAX(0, A67 - $F$13 + 1)&lt;=0, 0, IF(MAX(0, A67 - $F$13 + 1)&lt;=6, 70 - (70-14)*(MAX(0, A67 - $F$13 + 1)-1)/5, IF(MAX(0, A67 - $F$13 + 1)&lt;=24, 14 - 14*(MAX(0, A67 - $F$13 + 1)-6)/18, 0)))) + (IF(MAX(0, A67 - $F$14 + 1)&lt;=0, 0, IF(MAX(0, A67 - $F$14 + 1)&lt;=6, 70 - (70-14)*(MAX(0, A67 - $F$14 + 1)-1)/5, IF(MAX(0, A67 - $F$14 + 1)&lt;=24, 14 - 14*(MAX(0, A67 - $F$14 + 1)-6)/18, 0)))) ) * 200 / 12 / 1000</f>
        <v/>
      </c>
      <c r="F67" s="306">
        <f>IF(A67&lt;$F$6,0,IF(AND($B$21=1,A67&gt;$B$19),0,$E$6*$G$6^MIN((A67-$F$6)/12,6)*MIN($G$6,0.85)^MAX(0,(A67-$F$6)/12-6)))</f>
        <v/>
      </c>
      <c r="G67" s="306">
        <f>IF(A67&lt;$F$7,0,IF(AND($B$21=1,A67&gt;$B$19),0,$E$7*$G$7^MIN((A67-$F$7)/12,6)*MIN($G$7,0.85)^MAX(0,(A67-$F$7)/12-6)))</f>
        <v/>
      </c>
      <c r="H67" s="306">
        <f>IF(A67&lt;$F$8,0,IF(AND($B$21=1,A67&gt;$B$19),0,$E$8*$G$8^MIN((A67-$F$8)/12,6)*MIN($G$8,0.85)^MAX(0,(A67-$F$8)/12-6)))</f>
        <v/>
      </c>
      <c r="I67" s="306">
        <f>IF(A67&lt;$F$9,0,IF(AND($B$21=1,A67&gt;$B$19),0,$E$9*$G$9^MIN((A67-$F$9)/12,6)*MIN($G$9,0.85)^MAX(0,(A67-$F$9)/12-6)))</f>
        <v/>
      </c>
      <c r="J67" s="306">
        <f>IF(A67&lt;$F$10,0,IF(AND($B$21=1,A67&gt;$B$19),0,$E$10*$G$10^MIN((A67-$F$10)/12,6)*MIN($G$10,0.85)^MAX(0,(A67-$F$10)/12-6)))</f>
        <v/>
      </c>
      <c r="K67" s="306">
        <f>IF(A67&lt;$F$11,0,IF(AND($B$21=1,A67&gt;$B$19),0,$E$11*$G$11^MIN((A67-$F$11)/12,6)*MIN($G$11,0.85)^MAX(0,(A67-$F$11)/12-6)))</f>
        <v/>
      </c>
      <c r="L67" s="306">
        <f>IF(A67&lt;$F$12,0,IF(AND($B$21=1,A67&gt;$B$19),0,$E$12*$G$12^MIN((A67-$F$12)/12,6)*MIN($G$12,0.85)^MAX(0,(A67-$F$12)/12-6)))</f>
        <v/>
      </c>
      <c r="M67" s="306">
        <f>IF(A67&lt;$F$13,0,IF(AND($B$21=1,A67&gt;$B$19),0,$E$13*$G$13^MIN((A67-$F$13)/12,6)*MIN($G$13,0.85)^MAX(0,(A67-$F$13)/12-6)))</f>
        <v/>
      </c>
      <c r="N67" s="306">
        <f>IF(A67&lt;$F$14,0,IF(AND($B$21=1,A67&gt;$B$19),0,$E$14*$G$14^MIN((A67-$F$14)/12,6)*MIN($G$14,0.85)^MAX(0,(A67-$F$14)/12-6)))</f>
        <v/>
      </c>
      <c r="O67" s="306">
        <f>SUM(F67:N67)</f>
        <v/>
      </c>
      <c r="P67" s="306">
        <f>O67/12</f>
        <v/>
      </c>
      <c r="Q67" s="306">
        <f>P67*$B$8</f>
        <v/>
      </c>
      <c r="R67" s="306">
        <f>P67*$B$9</f>
        <v/>
      </c>
      <c r="S67" s="306">
        <f>P67*$B$10</f>
        <v/>
      </c>
      <c r="T67" s="306">
        <f>P67-Q67-R67-S67-D67-E67</f>
        <v/>
      </c>
      <c r="U67" s="306">
        <f>MAX(0, T67 - $B$7*P67)</f>
        <v/>
      </c>
      <c r="V67" s="306">
        <f>T67-U67</f>
        <v/>
      </c>
      <c r="W67" s="306">
        <f>IF(A67=$F$6, $B$18*$B$16*$B$17/1000000, 0) + IF(A67=$F$7, $B$18*$B$16*$B$17/1000000, 0) + IF(A67=$F$8, $B$18*$B$16*$B$17/1000000, 0) + IF(A67=$F$9, $B$18*$B$16*$B$17/1000000, 0) + IF(A67=$F$10, $B$18*$B$16*$B$17/1000000, 0) + IF(A67=$F$11, $B$18*$B$16*$B$17/1000000, 0) + IF(A67=$F$12, $B$18*$B$16*$B$17/1000000, 0) + IF(A67=$F$13, $B$18*$B$16*$B$17/1000000, 0) + IF(A67=$F$14, $B$18*$B$16*$B$17/1000000, 0)</f>
        <v/>
      </c>
      <c r="X67" s="306">
        <f>V67-W67-C67</f>
        <v/>
      </c>
      <c r="Y67" s="306">
        <f>IF(AND(A67&lt;=$B$24, X67&gt;0), X67*$B$23, 0)</f>
        <v/>
      </c>
      <c r="Z67" s="306">
        <f>X67-Y67</f>
        <v/>
      </c>
      <c r="AA67" s="306">
        <f>IF(AND(A67=$B$19, $B$21=1), O67*$B$20, 0)</f>
        <v/>
      </c>
      <c r="AB67" s="306">
        <f>AB66+Z67+AA67</f>
        <v/>
      </c>
    </row>
    <row r="68">
      <c r="A68" s="306" t="n">
        <v>38</v>
      </c>
      <c r="B68" s="306">
        <f>CEILING(A68/12,1)</f>
        <v/>
      </c>
      <c r="C68" s="306">
        <f>IF(A68&lt;=12, $B$15/12, 0)</f>
        <v/>
      </c>
      <c r="D68" s="306">
        <f>INDEX('26. Team Comp'!$D$28:$R$28, B68) * 0.001 / 12</f>
        <v/>
      </c>
      <c r="E68" s="306">
        <f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+ (IF(MAX(0, A68 - $F$11 + 1)&lt;=0, 0, IF(MAX(0, A68 - $F$11 + 1)&lt;=6, 70 - (70-14)*(MAX(0, A68 - $F$11 + 1)-1)/5, IF(MAX(0, A68 - $F$11 + 1)&lt;=24, 14 - 14*(MAX(0, A68 - $F$11 + 1)-6)/18, 0)))) + (IF(MAX(0, A68 - $F$12 + 1)&lt;=0, 0, IF(MAX(0, A68 - $F$12 + 1)&lt;=6, 70 - (70-14)*(MAX(0, A68 - $F$12 + 1)-1)/5, IF(MAX(0, A68 - $F$12 + 1)&lt;=24, 14 - 14*(MAX(0, A68 - $F$12 + 1)-6)/18, 0)))) + (IF(MAX(0, A68 - $F$13 + 1)&lt;=0, 0, IF(MAX(0, A68 - $F$13 + 1)&lt;=6, 70 - (70-14)*(MAX(0, A68 - $F$13 + 1)-1)/5, IF(MAX(0, A68 - $F$13 + 1)&lt;=24, 14 - 14*(MAX(0, A68 - $F$13 + 1)-6)/18, 0)))) + (IF(MAX(0, A68 - $F$14 + 1)&lt;=0, 0, IF(MAX(0, A68 - $F$14 + 1)&lt;=6, 70 - (70-14)*(MAX(0, A68 - $F$14 + 1)-1)/5, IF(MAX(0, A68 - $F$14 + 1)&lt;=24, 14 - 14*(MAX(0, A68 - $F$14 + 1)-6)/18, 0)))) ) * 200 / 12 / 1000</f>
        <v/>
      </c>
      <c r="F68" s="306">
        <f>IF(A68&lt;$F$6,0,IF(AND($B$21=1,A68&gt;$B$19),0,$E$6*$G$6^MIN((A68-$F$6)/12,6)*MIN($G$6,0.85)^MAX(0,(A68-$F$6)/12-6)))</f>
        <v/>
      </c>
      <c r="G68" s="306">
        <f>IF(A68&lt;$F$7,0,IF(AND($B$21=1,A68&gt;$B$19),0,$E$7*$G$7^MIN((A68-$F$7)/12,6)*MIN($G$7,0.85)^MAX(0,(A68-$F$7)/12-6)))</f>
        <v/>
      </c>
      <c r="H68" s="306">
        <f>IF(A68&lt;$F$8,0,IF(AND($B$21=1,A68&gt;$B$19),0,$E$8*$G$8^MIN((A68-$F$8)/12,6)*MIN($G$8,0.85)^MAX(0,(A68-$F$8)/12-6)))</f>
        <v/>
      </c>
      <c r="I68" s="306">
        <f>IF(A68&lt;$F$9,0,IF(AND($B$21=1,A68&gt;$B$19),0,$E$9*$G$9^MIN((A68-$F$9)/12,6)*MIN($G$9,0.85)^MAX(0,(A68-$F$9)/12-6)))</f>
        <v/>
      </c>
      <c r="J68" s="306">
        <f>IF(A68&lt;$F$10,0,IF(AND($B$21=1,A68&gt;$B$19),0,$E$10*$G$10^MIN((A68-$F$10)/12,6)*MIN($G$10,0.85)^MAX(0,(A68-$F$10)/12-6)))</f>
        <v/>
      </c>
      <c r="K68" s="306">
        <f>IF(A68&lt;$F$11,0,IF(AND($B$21=1,A68&gt;$B$19),0,$E$11*$G$11^MIN((A68-$F$11)/12,6)*MIN($G$11,0.85)^MAX(0,(A68-$F$11)/12-6)))</f>
        <v/>
      </c>
      <c r="L68" s="306">
        <f>IF(A68&lt;$F$12,0,IF(AND($B$21=1,A68&gt;$B$19),0,$E$12*$G$12^MIN((A68-$F$12)/12,6)*MIN($G$12,0.85)^MAX(0,(A68-$F$12)/12-6)))</f>
        <v/>
      </c>
      <c r="M68" s="306">
        <f>IF(A68&lt;$F$13,0,IF(AND($B$21=1,A68&gt;$B$19),0,$E$13*$G$13^MIN((A68-$F$13)/12,6)*MIN($G$13,0.85)^MAX(0,(A68-$F$13)/12-6)))</f>
        <v/>
      </c>
      <c r="N68" s="306">
        <f>IF(A68&lt;$F$14,0,IF(AND($B$21=1,A68&gt;$B$19),0,$E$14*$G$14^MIN((A68-$F$14)/12,6)*MIN($G$14,0.85)^MAX(0,(A68-$F$14)/12-6)))</f>
        <v/>
      </c>
      <c r="O68" s="306">
        <f>SUM(F68:N68)</f>
        <v/>
      </c>
      <c r="P68" s="306">
        <f>O68/12</f>
        <v/>
      </c>
      <c r="Q68" s="306">
        <f>P68*$B$8</f>
        <v/>
      </c>
      <c r="R68" s="306">
        <f>P68*$B$9</f>
        <v/>
      </c>
      <c r="S68" s="306">
        <f>P68*$B$10</f>
        <v/>
      </c>
      <c r="T68" s="306">
        <f>P68-Q68-R68-S68-D68-E68</f>
        <v/>
      </c>
      <c r="U68" s="306">
        <f>MAX(0, T68 - $B$7*P68)</f>
        <v/>
      </c>
      <c r="V68" s="306">
        <f>T68-U68</f>
        <v/>
      </c>
      <c r="W68" s="306">
        <f>IF(A68=$F$6, $B$18*$B$16*$B$17/1000000, 0) + IF(A68=$F$7, $B$18*$B$16*$B$17/1000000, 0) + IF(A68=$F$8, $B$18*$B$16*$B$17/1000000, 0) + IF(A68=$F$9, $B$18*$B$16*$B$17/1000000, 0) + IF(A68=$F$10, $B$18*$B$16*$B$17/1000000, 0) + IF(A68=$F$11, $B$18*$B$16*$B$17/1000000, 0) + IF(A68=$F$12, $B$18*$B$16*$B$17/1000000, 0) + IF(A68=$F$13, $B$18*$B$16*$B$17/1000000, 0) + IF(A68=$F$14, $B$18*$B$16*$B$17/1000000, 0)</f>
        <v/>
      </c>
      <c r="X68" s="306">
        <f>V68-W68-C68</f>
        <v/>
      </c>
      <c r="Y68" s="306">
        <f>IF(AND(A68&lt;=$B$24, X68&gt;0), X68*$B$23, 0)</f>
        <v/>
      </c>
      <c r="Z68" s="306">
        <f>X68-Y68</f>
        <v/>
      </c>
      <c r="AA68" s="306">
        <f>IF(AND(A68=$B$19, $B$21=1), O68*$B$20, 0)</f>
        <v/>
      </c>
      <c r="AB68" s="306">
        <f>AB67+Z68+AA68</f>
        <v/>
      </c>
    </row>
    <row r="69">
      <c r="A69" s="306" t="n">
        <v>39</v>
      </c>
      <c r="B69" s="306">
        <f>CEILING(A69/12,1)</f>
        <v/>
      </c>
      <c r="C69" s="306">
        <f>IF(A69&lt;=12, $B$15/12, 0)</f>
        <v/>
      </c>
      <c r="D69" s="306">
        <f>INDEX('26. Team Comp'!$D$28:$R$28, B69) * 0.001 / 12</f>
        <v/>
      </c>
      <c r="E69" s="306">
        <f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+ (IF(MAX(0, A69 - $F$11 + 1)&lt;=0, 0, IF(MAX(0, A69 - $F$11 + 1)&lt;=6, 70 - (70-14)*(MAX(0, A69 - $F$11 + 1)-1)/5, IF(MAX(0, A69 - $F$11 + 1)&lt;=24, 14 - 14*(MAX(0, A69 - $F$11 + 1)-6)/18, 0)))) + (IF(MAX(0, A69 - $F$12 + 1)&lt;=0, 0, IF(MAX(0, A69 - $F$12 + 1)&lt;=6, 70 - (70-14)*(MAX(0, A69 - $F$12 + 1)-1)/5, IF(MAX(0, A69 - $F$12 + 1)&lt;=24, 14 - 14*(MAX(0, A69 - $F$12 + 1)-6)/18, 0)))) + (IF(MAX(0, A69 - $F$13 + 1)&lt;=0, 0, IF(MAX(0, A69 - $F$13 + 1)&lt;=6, 70 - (70-14)*(MAX(0, A69 - $F$13 + 1)-1)/5, IF(MAX(0, A69 - $F$13 + 1)&lt;=24, 14 - 14*(MAX(0, A69 - $F$13 + 1)-6)/18, 0)))) + (IF(MAX(0, A69 - $F$14 + 1)&lt;=0, 0, IF(MAX(0, A69 - $F$14 + 1)&lt;=6, 70 - (70-14)*(MAX(0, A69 - $F$14 + 1)-1)/5, IF(MAX(0, A69 - $F$14 + 1)&lt;=24, 14 - 14*(MAX(0, A69 - $F$14 + 1)-6)/18, 0)))) ) * 200 / 12 / 1000</f>
        <v/>
      </c>
      <c r="F69" s="306">
        <f>IF(A69&lt;$F$6,0,IF(AND($B$21=1,A69&gt;$B$19),0,$E$6*$G$6^MIN((A69-$F$6)/12,6)*MIN($G$6,0.85)^MAX(0,(A69-$F$6)/12-6)))</f>
        <v/>
      </c>
      <c r="G69" s="306">
        <f>IF(A69&lt;$F$7,0,IF(AND($B$21=1,A69&gt;$B$19),0,$E$7*$G$7^MIN((A69-$F$7)/12,6)*MIN($G$7,0.85)^MAX(0,(A69-$F$7)/12-6)))</f>
        <v/>
      </c>
      <c r="H69" s="306">
        <f>IF(A69&lt;$F$8,0,IF(AND($B$21=1,A69&gt;$B$19),0,$E$8*$G$8^MIN((A69-$F$8)/12,6)*MIN($G$8,0.85)^MAX(0,(A69-$F$8)/12-6)))</f>
        <v/>
      </c>
      <c r="I69" s="306">
        <f>IF(A69&lt;$F$9,0,IF(AND($B$21=1,A69&gt;$B$19),0,$E$9*$G$9^MIN((A69-$F$9)/12,6)*MIN($G$9,0.85)^MAX(0,(A69-$F$9)/12-6)))</f>
        <v/>
      </c>
      <c r="J69" s="306">
        <f>IF(A69&lt;$F$10,0,IF(AND($B$21=1,A69&gt;$B$19),0,$E$10*$G$10^MIN((A69-$F$10)/12,6)*MIN($G$10,0.85)^MAX(0,(A69-$F$10)/12-6)))</f>
        <v/>
      </c>
      <c r="K69" s="306">
        <f>IF(A69&lt;$F$11,0,IF(AND($B$21=1,A69&gt;$B$19),0,$E$11*$G$11^MIN((A69-$F$11)/12,6)*MIN($G$11,0.85)^MAX(0,(A69-$F$11)/12-6)))</f>
        <v/>
      </c>
      <c r="L69" s="306">
        <f>IF(A69&lt;$F$12,0,IF(AND($B$21=1,A69&gt;$B$19),0,$E$12*$G$12^MIN((A69-$F$12)/12,6)*MIN($G$12,0.85)^MAX(0,(A69-$F$12)/12-6)))</f>
        <v/>
      </c>
      <c r="M69" s="306">
        <f>IF(A69&lt;$F$13,0,IF(AND($B$21=1,A69&gt;$B$19),0,$E$13*$G$13^MIN((A69-$F$13)/12,6)*MIN($G$13,0.85)^MAX(0,(A69-$F$13)/12-6)))</f>
        <v/>
      </c>
      <c r="N69" s="306">
        <f>IF(A69&lt;$F$14,0,IF(AND($B$21=1,A69&gt;$B$19),0,$E$14*$G$14^MIN((A69-$F$14)/12,6)*MIN($G$14,0.85)^MAX(0,(A69-$F$14)/12-6)))</f>
        <v/>
      </c>
      <c r="O69" s="306">
        <f>SUM(F69:N69)</f>
        <v/>
      </c>
      <c r="P69" s="306">
        <f>O69/12</f>
        <v/>
      </c>
      <c r="Q69" s="306">
        <f>P69*$B$8</f>
        <v/>
      </c>
      <c r="R69" s="306">
        <f>P69*$B$9</f>
        <v/>
      </c>
      <c r="S69" s="306">
        <f>P69*$B$10</f>
        <v/>
      </c>
      <c r="T69" s="306">
        <f>P69-Q69-R69-S69-D69-E69</f>
        <v/>
      </c>
      <c r="U69" s="306">
        <f>MAX(0, T69 - $B$7*P69)</f>
        <v/>
      </c>
      <c r="V69" s="306">
        <f>T69-U69</f>
        <v/>
      </c>
      <c r="W69" s="306">
        <f>IF(A69=$F$6, $B$18*$B$16*$B$17/1000000, 0) + IF(A69=$F$7, $B$18*$B$16*$B$17/1000000, 0) + IF(A69=$F$8, $B$18*$B$16*$B$17/1000000, 0) + IF(A69=$F$9, $B$18*$B$16*$B$17/1000000, 0) + IF(A69=$F$10, $B$18*$B$16*$B$17/1000000, 0) + IF(A69=$F$11, $B$18*$B$16*$B$17/1000000, 0) + IF(A69=$F$12, $B$18*$B$16*$B$17/1000000, 0) + IF(A69=$F$13, $B$18*$B$16*$B$17/1000000, 0) + IF(A69=$F$14, $B$18*$B$16*$B$17/1000000, 0)</f>
        <v/>
      </c>
      <c r="X69" s="306">
        <f>V69-W69-C69</f>
        <v/>
      </c>
      <c r="Y69" s="306">
        <f>IF(AND(A69&lt;=$B$24, X69&gt;0), X69*$B$23, 0)</f>
        <v/>
      </c>
      <c r="Z69" s="306">
        <f>X69-Y69</f>
        <v/>
      </c>
      <c r="AA69" s="306">
        <f>IF(AND(A69=$B$19, $B$21=1), O69*$B$20, 0)</f>
        <v/>
      </c>
      <c r="AB69" s="306">
        <f>AB68+Z69+AA69</f>
        <v/>
      </c>
    </row>
    <row r="70">
      <c r="A70" s="306" t="n">
        <v>40</v>
      </c>
      <c r="B70" s="306">
        <f>CEILING(A70/12,1)</f>
        <v/>
      </c>
      <c r="C70" s="306">
        <f>IF(A70&lt;=12, $B$15/12, 0)</f>
        <v/>
      </c>
      <c r="D70" s="306">
        <f>INDEX('26. Team Comp'!$D$28:$R$28, B70) * 0.001 / 12</f>
        <v/>
      </c>
      <c r="E70" s="306">
        <f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+ (IF(MAX(0, A70 - $F$11 + 1)&lt;=0, 0, IF(MAX(0, A70 - $F$11 + 1)&lt;=6, 70 - (70-14)*(MAX(0, A70 - $F$11 + 1)-1)/5, IF(MAX(0, A70 - $F$11 + 1)&lt;=24, 14 - 14*(MAX(0, A70 - $F$11 + 1)-6)/18, 0)))) + (IF(MAX(0, A70 - $F$12 + 1)&lt;=0, 0, IF(MAX(0, A70 - $F$12 + 1)&lt;=6, 70 - (70-14)*(MAX(0, A70 - $F$12 + 1)-1)/5, IF(MAX(0, A70 - $F$12 + 1)&lt;=24, 14 - 14*(MAX(0, A70 - $F$12 + 1)-6)/18, 0)))) + (IF(MAX(0, A70 - $F$13 + 1)&lt;=0, 0, IF(MAX(0, A70 - $F$13 + 1)&lt;=6, 70 - (70-14)*(MAX(0, A70 - $F$13 + 1)-1)/5, IF(MAX(0, A70 - $F$13 + 1)&lt;=24, 14 - 14*(MAX(0, A70 - $F$13 + 1)-6)/18, 0)))) + (IF(MAX(0, A70 - $F$14 + 1)&lt;=0, 0, IF(MAX(0, A70 - $F$14 + 1)&lt;=6, 70 - (70-14)*(MAX(0, A70 - $F$14 + 1)-1)/5, IF(MAX(0, A70 - $F$14 + 1)&lt;=24, 14 - 14*(MAX(0, A70 - $F$14 + 1)-6)/18, 0)))) ) * 200 / 12 / 1000</f>
        <v/>
      </c>
      <c r="F70" s="306">
        <f>IF(A70&lt;$F$6,0,IF(AND($B$21=1,A70&gt;$B$19),0,$E$6*$G$6^MIN((A70-$F$6)/12,6)*MIN($G$6,0.85)^MAX(0,(A70-$F$6)/12-6)))</f>
        <v/>
      </c>
      <c r="G70" s="306">
        <f>IF(A70&lt;$F$7,0,IF(AND($B$21=1,A70&gt;$B$19),0,$E$7*$G$7^MIN((A70-$F$7)/12,6)*MIN($G$7,0.85)^MAX(0,(A70-$F$7)/12-6)))</f>
        <v/>
      </c>
      <c r="H70" s="306">
        <f>IF(A70&lt;$F$8,0,IF(AND($B$21=1,A70&gt;$B$19),0,$E$8*$G$8^MIN((A70-$F$8)/12,6)*MIN($G$8,0.85)^MAX(0,(A70-$F$8)/12-6)))</f>
        <v/>
      </c>
      <c r="I70" s="306">
        <f>IF(A70&lt;$F$9,0,IF(AND($B$21=1,A70&gt;$B$19),0,$E$9*$G$9^MIN((A70-$F$9)/12,6)*MIN($G$9,0.85)^MAX(0,(A70-$F$9)/12-6)))</f>
        <v/>
      </c>
      <c r="J70" s="306">
        <f>IF(A70&lt;$F$10,0,IF(AND($B$21=1,A70&gt;$B$19),0,$E$10*$G$10^MIN((A70-$F$10)/12,6)*MIN($G$10,0.85)^MAX(0,(A70-$F$10)/12-6)))</f>
        <v/>
      </c>
      <c r="K70" s="306">
        <f>IF(A70&lt;$F$11,0,IF(AND($B$21=1,A70&gt;$B$19),0,$E$11*$G$11^MIN((A70-$F$11)/12,6)*MIN($G$11,0.85)^MAX(0,(A70-$F$11)/12-6)))</f>
        <v/>
      </c>
      <c r="L70" s="306">
        <f>IF(A70&lt;$F$12,0,IF(AND($B$21=1,A70&gt;$B$19),0,$E$12*$G$12^MIN((A70-$F$12)/12,6)*MIN($G$12,0.85)^MAX(0,(A70-$F$12)/12-6)))</f>
        <v/>
      </c>
      <c r="M70" s="306">
        <f>IF(A70&lt;$F$13,0,IF(AND($B$21=1,A70&gt;$B$19),0,$E$13*$G$13^MIN((A70-$F$13)/12,6)*MIN($G$13,0.85)^MAX(0,(A70-$F$13)/12-6)))</f>
        <v/>
      </c>
      <c r="N70" s="306">
        <f>IF(A70&lt;$F$14,0,IF(AND($B$21=1,A70&gt;$B$19),0,$E$14*$G$14^MIN((A70-$F$14)/12,6)*MIN($G$14,0.85)^MAX(0,(A70-$F$14)/12-6)))</f>
        <v/>
      </c>
      <c r="O70" s="306">
        <f>SUM(F70:N70)</f>
        <v/>
      </c>
      <c r="P70" s="306">
        <f>O70/12</f>
        <v/>
      </c>
      <c r="Q70" s="306">
        <f>P70*$B$8</f>
        <v/>
      </c>
      <c r="R70" s="306">
        <f>P70*$B$9</f>
        <v/>
      </c>
      <c r="S70" s="306">
        <f>P70*$B$10</f>
        <v/>
      </c>
      <c r="T70" s="306">
        <f>P70-Q70-R70-S70-D70-E70</f>
        <v/>
      </c>
      <c r="U70" s="306">
        <f>MAX(0, T70 - $B$7*P70)</f>
        <v/>
      </c>
      <c r="V70" s="306">
        <f>T70-U70</f>
        <v/>
      </c>
      <c r="W70" s="306">
        <f>IF(A70=$F$6, $B$18*$B$16*$B$17/1000000, 0) + IF(A70=$F$7, $B$18*$B$16*$B$17/1000000, 0) + IF(A70=$F$8, $B$18*$B$16*$B$17/1000000, 0) + IF(A70=$F$9, $B$18*$B$16*$B$17/1000000, 0) + IF(A70=$F$10, $B$18*$B$16*$B$17/1000000, 0) + IF(A70=$F$11, $B$18*$B$16*$B$17/1000000, 0) + IF(A70=$F$12, $B$18*$B$16*$B$17/1000000, 0) + IF(A70=$F$13, $B$18*$B$16*$B$17/1000000, 0) + IF(A70=$F$14, $B$18*$B$16*$B$17/1000000, 0)</f>
        <v/>
      </c>
      <c r="X70" s="306">
        <f>V70-W70-C70</f>
        <v/>
      </c>
      <c r="Y70" s="306">
        <f>IF(AND(A70&lt;=$B$24, X70&gt;0), X70*$B$23, 0)</f>
        <v/>
      </c>
      <c r="Z70" s="306">
        <f>X70-Y70</f>
        <v/>
      </c>
      <c r="AA70" s="306">
        <f>IF(AND(A70=$B$19, $B$21=1), O70*$B$20, 0)</f>
        <v/>
      </c>
      <c r="AB70" s="306">
        <f>AB69+Z70+AA70</f>
        <v/>
      </c>
    </row>
    <row r="71">
      <c r="A71" s="306" t="n">
        <v>41</v>
      </c>
      <c r="B71" s="306">
        <f>CEILING(A71/12,1)</f>
        <v/>
      </c>
      <c r="C71" s="306">
        <f>IF(A71&lt;=12, $B$15/12, 0)</f>
        <v/>
      </c>
      <c r="D71" s="306">
        <f>INDEX('26. Team Comp'!$D$28:$R$28, B71) * 0.001 / 12</f>
        <v/>
      </c>
      <c r="E71" s="306">
        <f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+ (IF(MAX(0, A71 - $F$11 + 1)&lt;=0, 0, IF(MAX(0, A71 - $F$11 + 1)&lt;=6, 70 - (70-14)*(MAX(0, A71 - $F$11 + 1)-1)/5, IF(MAX(0, A71 - $F$11 + 1)&lt;=24, 14 - 14*(MAX(0, A71 - $F$11 + 1)-6)/18, 0)))) + (IF(MAX(0, A71 - $F$12 + 1)&lt;=0, 0, IF(MAX(0, A71 - $F$12 + 1)&lt;=6, 70 - (70-14)*(MAX(0, A71 - $F$12 + 1)-1)/5, IF(MAX(0, A71 - $F$12 + 1)&lt;=24, 14 - 14*(MAX(0, A71 - $F$12 + 1)-6)/18, 0)))) + (IF(MAX(0, A71 - $F$13 + 1)&lt;=0, 0, IF(MAX(0, A71 - $F$13 + 1)&lt;=6, 70 - (70-14)*(MAX(0, A71 - $F$13 + 1)-1)/5, IF(MAX(0, A71 - $F$13 + 1)&lt;=24, 14 - 14*(MAX(0, A71 - $F$13 + 1)-6)/18, 0)))) + (IF(MAX(0, A71 - $F$14 + 1)&lt;=0, 0, IF(MAX(0, A71 - $F$14 + 1)&lt;=6, 70 - (70-14)*(MAX(0, A71 - $F$14 + 1)-1)/5, IF(MAX(0, A71 - $F$14 + 1)&lt;=24, 14 - 14*(MAX(0, A71 - $F$14 + 1)-6)/18, 0)))) ) * 200 / 12 / 1000</f>
        <v/>
      </c>
      <c r="F71" s="306">
        <f>IF(A71&lt;$F$6,0,IF(AND($B$21=1,A71&gt;$B$19),0,$E$6*$G$6^MIN((A71-$F$6)/12,6)*MIN($G$6,0.85)^MAX(0,(A71-$F$6)/12-6)))</f>
        <v/>
      </c>
      <c r="G71" s="306">
        <f>IF(A71&lt;$F$7,0,IF(AND($B$21=1,A71&gt;$B$19),0,$E$7*$G$7^MIN((A71-$F$7)/12,6)*MIN($G$7,0.85)^MAX(0,(A71-$F$7)/12-6)))</f>
        <v/>
      </c>
      <c r="H71" s="306">
        <f>IF(A71&lt;$F$8,0,IF(AND($B$21=1,A71&gt;$B$19),0,$E$8*$G$8^MIN((A71-$F$8)/12,6)*MIN($G$8,0.85)^MAX(0,(A71-$F$8)/12-6)))</f>
        <v/>
      </c>
      <c r="I71" s="306">
        <f>IF(A71&lt;$F$9,0,IF(AND($B$21=1,A71&gt;$B$19),0,$E$9*$G$9^MIN((A71-$F$9)/12,6)*MIN($G$9,0.85)^MAX(0,(A71-$F$9)/12-6)))</f>
        <v/>
      </c>
      <c r="J71" s="306">
        <f>IF(A71&lt;$F$10,0,IF(AND($B$21=1,A71&gt;$B$19),0,$E$10*$G$10^MIN((A71-$F$10)/12,6)*MIN($G$10,0.85)^MAX(0,(A71-$F$10)/12-6)))</f>
        <v/>
      </c>
      <c r="K71" s="306">
        <f>IF(A71&lt;$F$11,0,IF(AND($B$21=1,A71&gt;$B$19),0,$E$11*$G$11^MIN((A71-$F$11)/12,6)*MIN($G$11,0.85)^MAX(0,(A71-$F$11)/12-6)))</f>
        <v/>
      </c>
      <c r="L71" s="306">
        <f>IF(A71&lt;$F$12,0,IF(AND($B$21=1,A71&gt;$B$19),0,$E$12*$G$12^MIN((A71-$F$12)/12,6)*MIN($G$12,0.85)^MAX(0,(A71-$F$12)/12-6)))</f>
        <v/>
      </c>
      <c r="M71" s="306">
        <f>IF(A71&lt;$F$13,0,IF(AND($B$21=1,A71&gt;$B$19),0,$E$13*$G$13^MIN((A71-$F$13)/12,6)*MIN($G$13,0.85)^MAX(0,(A71-$F$13)/12-6)))</f>
        <v/>
      </c>
      <c r="N71" s="306">
        <f>IF(A71&lt;$F$14,0,IF(AND($B$21=1,A71&gt;$B$19),0,$E$14*$G$14^MIN((A71-$F$14)/12,6)*MIN($G$14,0.85)^MAX(0,(A71-$F$14)/12-6)))</f>
        <v/>
      </c>
      <c r="O71" s="306">
        <f>SUM(F71:N71)</f>
        <v/>
      </c>
      <c r="P71" s="306">
        <f>O71/12</f>
        <v/>
      </c>
      <c r="Q71" s="306">
        <f>P71*$B$8</f>
        <v/>
      </c>
      <c r="R71" s="306">
        <f>P71*$B$9</f>
        <v/>
      </c>
      <c r="S71" s="306">
        <f>P71*$B$10</f>
        <v/>
      </c>
      <c r="T71" s="306">
        <f>P71-Q71-R71-S71-D71-E71</f>
        <v/>
      </c>
      <c r="U71" s="306">
        <f>MAX(0, T71 - $B$7*P71)</f>
        <v/>
      </c>
      <c r="V71" s="306">
        <f>T71-U71</f>
        <v/>
      </c>
      <c r="W71" s="306">
        <f>IF(A71=$F$6, $B$18*$B$16*$B$17/1000000, 0) + IF(A71=$F$7, $B$18*$B$16*$B$17/1000000, 0) + IF(A71=$F$8, $B$18*$B$16*$B$17/1000000, 0) + IF(A71=$F$9, $B$18*$B$16*$B$17/1000000, 0) + IF(A71=$F$10, $B$18*$B$16*$B$17/1000000, 0) + IF(A71=$F$11, $B$18*$B$16*$B$17/1000000, 0) + IF(A71=$F$12, $B$18*$B$16*$B$17/1000000, 0) + IF(A71=$F$13, $B$18*$B$16*$B$17/1000000, 0) + IF(A71=$F$14, $B$18*$B$16*$B$17/1000000, 0)</f>
        <v/>
      </c>
      <c r="X71" s="306">
        <f>V71-W71-C71</f>
        <v/>
      </c>
      <c r="Y71" s="306">
        <f>IF(AND(A71&lt;=$B$24, X71&gt;0), X71*$B$23, 0)</f>
        <v/>
      </c>
      <c r="Z71" s="306">
        <f>X71-Y71</f>
        <v/>
      </c>
      <c r="AA71" s="306">
        <f>IF(AND(A71=$B$19, $B$21=1), O71*$B$20, 0)</f>
        <v/>
      </c>
      <c r="AB71" s="306">
        <f>AB70+Z71+AA71</f>
        <v/>
      </c>
    </row>
    <row r="72">
      <c r="A72" s="306" t="n">
        <v>42</v>
      </c>
      <c r="B72" s="306">
        <f>CEILING(A72/12,1)</f>
        <v/>
      </c>
      <c r="C72" s="306">
        <f>IF(A72&lt;=12, $B$15/12, 0)</f>
        <v/>
      </c>
      <c r="D72" s="306">
        <f>INDEX('26. Team Comp'!$D$28:$R$28, B72) * 0.001 / 12</f>
        <v/>
      </c>
      <c r="E72" s="306">
        <f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+ (IF(MAX(0, A72 - $F$11 + 1)&lt;=0, 0, IF(MAX(0, A72 - $F$11 + 1)&lt;=6, 70 - (70-14)*(MAX(0, A72 - $F$11 + 1)-1)/5, IF(MAX(0, A72 - $F$11 + 1)&lt;=24, 14 - 14*(MAX(0, A72 - $F$11 + 1)-6)/18, 0)))) + (IF(MAX(0, A72 - $F$12 + 1)&lt;=0, 0, IF(MAX(0, A72 - $F$12 + 1)&lt;=6, 70 - (70-14)*(MAX(0, A72 - $F$12 + 1)-1)/5, IF(MAX(0, A72 - $F$12 + 1)&lt;=24, 14 - 14*(MAX(0, A72 - $F$12 + 1)-6)/18, 0)))) + (IF(MAX(0, A72 - $F$13 + 1)&lt;=0, 0, IF(MAX(0, A72 - $F$13 + 1)&lt;=6, 70 - (70-14)*(MAX(0, A72 - $F$13 + 1)-1)/5, IF(MAX(0, A72 - $F$13 + 1)&lt;=24, 14 - 14*(MAX(0, A72 - $F$13 + 1)-6)/18, 0)))) + (IF(MAX(0, A72 - $F$14 + 1)&lt;=0, 0, IF(MAX(0, A72 - $F$14 + 1)&lt;=6, 70 - (70-14)*(MAX(0, A72 - $F$14 + 1)-1)/5, IF(MAX(0, A72 - $F$14 + 1)&lt;=24, 14 - 14*(MAX(0, A72 - $F$14 + 1)-6)/18, 0)))) ) * 200 / 12 / 1000</f>
        <v/>
      </c>
      <c r="F72" s="306">
        <f>IF(A72&lt;$F$6,0,IF(AND($B$21=1,A72&gt;$B$19),0,$E$6*$G$6^MIN((A72-$F$6)/12,6)*MIN($G$6,0.85)^MAX(0,(A72-$F$6)/12-6)))</f>
        <v/>
      </c>
      <c r="G72" s="306">
        <f>IF(A72&lt;$F$7,0,IF(AND($B$21=1,A72&gt;$B$19),0,$E$7*$G$7^MIN((A72-$F$7)/12,6)*MIN($G$7,0.85)^MAX(0,(A72-$F$7)/12-6)))</f>
        <v/>
      </c>
      <c r="H72" s="306">
        <f>IF(A72&lt;$F$8,0,IF(AND($B$21=1,A72&gt;$B$19),0,$E$8*$G$8^MIN((A72-$F$8)/12,6)*MIN($G$8,0.85)^MAX(0,(A72-$F$8)/12-6)))</f>
        <v/>
      </c>
      <c r="I72" s="306">
        <f>IF(A72&lt;$F$9,0,IF(AND($B$21=1,A72&gt;$B$19),0,$E$9*$G$9^MIN((A72-$F$9)/12,6)*MIN($G$9,0.85)^MAX(0,(A72-$F$9)/12-6)))</f>
        <v/>
      </c>
      <c r="J72" s="306">
        <f>IF(A72&lt;$F$10,0,IF(AND($B$21=1,A72&gt;$B$19),0,$E$10*$G$10^MIN((A72-$F$10)/12,6)*MIN($G$10,0.85)^MAX(0,(A72-$F$10)/12-6)))</f>
        <v/>
      </c>
      <c r="K72" s="306">
        <f>IF(A72&lt;$F$11,0,IF(AND($B$21=1,A72&gt;$B$19),0,$E$11*$G$11^MIN((A72-$F$11)/12,6)*MIN($G$11,0.85)^MAX(0,(A72-$F$11)/12-6)))</f>
        <v/>
      </c>
      <c r="L72" s="306">
        <f>IF(A72&lt;$F$12,0,IF(AND($B$21=1,A72&gt;$B$19),0,$E$12*$G$12^MIN((A72-$F$12)/12,6)*MIN($G$12,0.85)^MAX(0,(A72-$F$12)/12-6)))</f>
        <v/>
      </c>
      <c r="M72" s="306">
        <f>IF(A72&lt;$F$13,0,IF(AND($B$21=1,A72&gt;$B$19),0,$E$13*$G$13^MIN((A72-$F$13)/12,6)*MIN($G$13,0.85)^MAX(0,(A72-$F$13)/12-6)))</f>
        <v/>
      </c>
      <c r="N72" s="306">
        <f>IF(A72&lt;$F$14,0,IF(AND($B$21=1,A72&gt;$B$19),0,$E$14*$G$14^MIN((A72-$F$14)/12,6)*MIN($G$14,0.85)^MAX(0,(A72-$F$14)/12-6)))</f>
        <v/>
      </c>
      <c r="O72" s="306">
        <f>SUM(F72:N72)</f>
        <v/>
      </c>
      <c r="P72" s="306">
        <f>O72/12</f>
        <v/>
      </c>
      <c r="Q72" s="306">
        <f>P72*$B$8</f>
        <v/>
      </c>
      <c r="R72" s="306">
        <f>P72*$B$9</f>
        <v/>
      </c>
      <c r="S72" s="306">
        <f>P72*$B$10</f>
        <v/>
      </c>
      <c r="T72" s="306">
        <f>P72-Q72-R72-S72-D72-E72</f>
        <v/>
      </c>
      <c r="U72" s="306">
        <f>MAX(0, T72 - $B$7*P72)</f>
        <v/>
      </c>
      <c r="V72" s="306">
        <f>T72-U72</f>
        <v/>
      </c>
      <c r="W72" s="306">
        <f>IF(A72=$F$6, $B$18*$B$16*$B$17/1000000, 0) + IF(A72=$F$7, $B$18*$B$16*$B$17/1000000, 0) + IF(A72=$F$8, $B$18*$B$16*$B$17/1000000, 0) + IF(A72=$F$9, $B$18*$B$16*$B$17/1000000, 0) + IF(A72=$F$10, $B$18*$B$16*$B$17/1000000, 0) + IF(A72=$F$11, $B$18*$B$16*$B$17/1000000, 0) + IF(A72=$F$12, $B$18*$B$16*$B$17/1000000, 0) + IF(A72=$F$13, $B$18*$B$16*$B$17/1000000, 0) + IF(A72=$F$14, $B$18*$B$16*$B$17/1000000, 0)</f>
        <v/>
      </c>
      <c r="X72" s="306">
        <f>V72-W72-C72</f>
        <v/>
      </c>
      <c r="Y72" s="306">
        <f>IF(AND(A72&lt;=$B$24, X72&gt;0), X72*$B$23, 0)</f>
        <v/>
      </c>
      <c r="Z72" s="306">
        <f>X72-Y72</f>
        <v/>
      </c>
      <c r="AA72" s="306">
        <f>IF(AND(A72=$B$19, $B$21=1), O72*$B$20, 0)</f>
        <v/>
      </c>
      <c r="AB72" s="306">
        <f>AB71+Z72+AA72</f>
        <v/>
      </c>
    </row>
    <row r="73">
      <c r="A73" s="306" t="n">
        <v>43</v>
      </c>
      <c r="B73" s="306">
        <f>CEILING(A73/12,1)</f>
        <v/>
      </c>
      <c r="C73" s="306">
        <f>IF(A73&lt;=12, $B$15/12, 0)</f>
        <v/>
      </c>
      <c r="D73" s="306">
        <f>INDEX('26. Team Comp'!$D$28:$R$28, B73) * 0.001 / 12</f>
        <v/>
      </c>
      <c r="E73" s="306">
        <f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+ (IF(MAX(0, A73 - $F$11 + 1)&lt;=0, 0, IF(MAX(0, A73 - $F$11 + 1)&lt;=6, 70 - (70-14)*(MAX(0, A73 - $F$11 + 1)-1)/5, IF(MAX(0, A73 - $F$11 + 1)&lt;=24, 14 - 14*(MAX(0, A73 - $F$11 + 1)-6)/18, 0)))) + (IF(MAX(0, A73 - $F$12 + 1)&lt;=0, 0, IF(MAX(0, A73 - $F$12 + 1)&lt;=6, 70 - (70-14)*(MAX(0, A73 - $F$12 + 1)-1)/5, IF(MAX(0, A73 - $F$12 + 1)&lt;=24, 14 - 14*(MAX(0, A73 - $F$12 + 1)-6)/18, 0)))) + (IF(MAX(0, A73 - $F$13 + 1)&lt;=0, 0, IF(MAX(0, A73 - $F$13 + 1)&lt;=6, 70 - (70-14)*(MAX(0, A73 - $F$13 + 1)-1)/5, IF(MAX(0, A73 - $F$13 + 1)&lt;=24, 14 - 14*(MAX(0, A73 - $F$13 + 1)-6)/18, 0)))) + (IF(MAX(0, A73 - $F$14 + 1)&lt;=0, 0, IF(MAX(0, A73 - $F$14 + 1)&lt;=6, 70 - (70-14)*(MAX(0, A73 - $F$14 + 1)-1)/5, IF(MAX(0, A73 - $F$14 + 1)&lt;=24, 14 - 14*(MAX(0, A73 - $F$14 + 1)-6)/18, 0)))) ) * 200 / 12 / 1000</f>
        <v/>
      </c>
      <c r="F73" s="306">
        <f>IF(A73&lt;$F$6,0,IF(AND($B$21=1,A73&gt;$B$19),0,$E$6*$G$6^MIN((A73-$F$6)/12,6)*MIN($G$6,0.85)^MAX(0,(A73-$F$6)/12-6)))</f>
        <v/>
      </c>
      <c r="G73" s="306">
        <f>IF(A73&lt;$F$7,0,IF(AND($B$21=1,A73&gt;$B$19),0,$E$7*$G$7^MIN((A73-$F$7)/12,6)*MIN($G$7,0.85)^MAX(0,(A73-$F$7)/12-6)))</f>
        <v/>
      </c>
      <c r="H73" s="306">
        <f>IF(A73&lt;$F$8,0,IF(AND($B$21=1,A73&gt;$B$19),0,$E$8*$G$8^MIN((A73-$F$8)/12,6)*MIN($G$8,0.85)^MAX(0,(A73-$F$8)/12-6)))</f>
        <v/>
      </c>
      <c r="I73" s="306">
        <f>IF(A73&lt;$F$9,0,IF(AND($B$21=1,A73&gt;$B$19),0,$E$9*$G$9^MIN((A73-$F$9)/12,6)*MIN($G$9,0.85)^MAX(0,(A73-$F$9)/12-6)))</f>
        <v/>
      </c>
      <c r="J73" s="306">
        <f>IF(A73&lt;$F$10,0,IF(AND($B$21=1,A73&gt;$B$19),0,$E$10*$G$10^MIN((A73-$F$10)/12,6)*MIN($G$10,0.85)^MAX(0,(A73-$F$10)/12-6)))</f>
        <v/>
      </c>
      <c r="K73" s="306">
        <f>IF(A73&lt;$F$11,0,IF(AND($B$21=1,A73&gt;$B$19),0,$E$11*$G$11^MIN((A73-$F$11)/12,6)*MIN($G$11,0.85)^MAX(0,(A73-$F$11)/12-6)))</f>
        <v/>
      </c>
      <c r="L73" s="306">
        <f>IF(A73&lt;$F$12,0,IF(AND($B$21=1,A73&gt;$B$19),0,$E$12*$G$12^MIN((A73-$F$12)/12,6)*MIN($G$12,0.85)^MAX(0,(A73-$F$12)/12-6)))</f>
        <v/>
      </c>
      <c r="M73" s="306">
        <f>IF(A73&lt;$F$13,0,IF(AND($B$21=1,A73&gt;$B$19),0,$E$13*$G$13^MIN((A73-$F$13)/12,6)*MIN($G$13,0.85)^MAX(0,(A73-$F$13)/12-6)))</f>
        <v/>
      </c>
      <c r="N73" s="306">
        <f>IF(A73&lt;$F$14,0,IF(AND($B$21=1,A73&gt;$B$19),0,$E$14*$G$14^MIN((A73-$F$14)/12,6)*MIN($G$14,0.85)^MAX(0,(A73-$F$14)/12-6)))</f>
        <v/>
      </c>
      <c r="O73" s="306">
        <f>SUM(F73:N73)</f>
        <v/>
      </c>
      <c r="P73" s="306">
        <f>O73/12</f>
        <v/>
      </c>
      <c r="Q73" s="306">
        <f>P73*$B$8</f>
        <v/>
      </c>
      <c r="R73" s="306">
        <f>P73*$B$9</f>
        <v/>
      </c>
      <c r="S73" s="306">
        <f>P73*$B$10</f>
        <v/>
      </c>
      <c r="T73" s="306">
        <f>P73-Q73-R73-S73-D73-E73</f>
        <v/>
      </c>
      <c r="U73" s="306">
        <f>MAX(0, T73 - $B$7*P73)</f>
        <v/>
      </c>
      <c r="V73" s="306">
        <f>T73-U73</f>
        <v/>
      </c>
      <c r="W73" s="306">
        <f>IF(A73=$F$6, $B$18*$B$16*$B$17/1000000, 0) + IF(A73=$F$7, $B$18*$B$16*$B$17/1000000, 0) + IF(A73=$F$8, $B$18*$B$16*$B$17/1000000, 0) + IF(A73=$F$9, $B$18*$B$16*$B$17/1000000, 0) + IF(A73=$F$10, $B$18*$B$16*$B$17/1000000, 0) + IF(A73=$F$11, $B$18*$B$16*$B$17/1000000, 0) + IF(A73=$F$12, $B$18*$B$16*$B$17/1000000, 0) + IF(A73=$F$13, $B$18*$B$16*$B$17/1000000, 0) + IF(A73=$F$14, $B$18*$B$16*$B$17/1000000, 0)</f>
        <v/>
      </c>
      <c r="X73" s="306">
        <f>V73-W73-C73</f>
        <v/>
      </c>
      <c r="Y73" s="306">
        <f>IF(AND(A73&lt;=$B$24, X73&gt;0), X73*$B$23, 0)</f>
        <v/>
      </c>
      <c r="Z73" s="306">
        <f>X73-Y73</f>
        <v/>
      </c>
      <c r="AA73" s="306">
        <f>IF(AND(A73=$B$19, $B$21=1), O73*$B$20, 0)</f>
        <v/>
      </c>
      <c r="AB73" s="306">
        <f>AB72+Z73+AA73</f>
        <v/>
      </c>
    </row>
    <row r="74">
      <c r="A74" s="306" t="n">
        <v>44</v>
      </c>
      <c r="B74" s="306">
        <f>CEILING(A74/12,1)</f>
        <v/>
      </c>
      <c r="C74" s="306">
        <f>IF(A74&lt;=12, $B$15/12, 0)</f>
        <v/>
      </c>
      <c r="D74" s="306">
        <f>INDEX('26. Team Comp'!$D$28:$R$28, B74) * 0.001 / 12</f>
        <v/>
      </c>
      <c r="E74" s="306">
        <f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+ (IF(MAX(0, A74 - $F$11 + 1)&lt;=0, 0, IF(MAX(0, A74 - $F$11 + 1)&lt;=6, 70 - (70-14)*(MAX(0, A74 - $F$11 + 1)-1)/5, IF(MAX(0, A74 - $F$11 + 1)&lt;=24, 14 - 14*(MAX(0, A74 - $F$11 + 1)-6)/18, 0)))) + (IF(MAX(0, A74 - $F$12 + 1)&lt;=0, 0, IF(MAX(0, A74 - $F$12 + 1)&lt;=6, 70 - (70-14)*(MAX(0, A74 - $F$12 + 1)-1)/5, IF(MAX(0, A74 - $F$12 + 1)&lt;=24, 14 - 14*(MAX(0, A74 - $F$12 + 1)-6)/18, 0)))) + (IF(MAX(0, A74 - $F$13 + 1)&lt;=0, 0, IF(MAX(0, A74 - $F$13 + 1)&lt;=6, 70 - (70-14)*(MAX(0, A74 - $F$13 + 1)-1)/5, IF(MAX(0, A74 - $F$13 + 1)&lt;=24, 14 - 14*(MAX(0, A74 - $F$13 + 1)-6)/18, 0)))) + (IF(MAX(0, A74 - $F$14 + 1)&lt;=0, 0, IF(MAX(0, A74 - $F$14 + 1)&lt;=6, 70 - (70-14)*(MAX(0, A74 - $F$14 + 1)-1)/5, IF(MAX(0, A74 - $F$14 + 1)&lt;=24, 14 - 14*(MAX(0, A74 - $F$14 + 1)-6)/18, 0)))) ) * 200 / 12 / 1000</f>
        <v/>
      </c>
      <c r="F74" s="306">
        <f>IF(A74&lt;$F$6,0,IF(AND($B$21=1,A74&gt;$B$19),0,$E$6*$G$6^MIN((A74-$F$6)/12,6)*MIN($G$6,0.85)^MAX(0,(A74-$F$6)/12-6)))</f>
        <v/>
      </c>
      <c r="G74" s="306">
        <f>IF(A74&lt;$F$7,0,IF(AND($B$21=1,A74&gt;$B$19),0,$E$7*$G$7^MIN((A74-$F$7)/12,6)*MIN($G$7,0.85)^MAX(0,(A74-$F$7)/12-6)))</f>
        <v/>
      </c>
      <c r="H74" s="306">
        <f>IF(A74&lt;$F$8,0,IF(AND($B$21=1,A74&gt;$B$19),0,$E$8*$G$8^MIN((A74-$F$8)/12,6)*MIN($G$8,0.85)^MAX(0,(A74-$F$8)/12-6)))</f>
        <v/>
      </c>
      <c r="I74" s="306">
        <f>IF(A74&lt;$F$9,0,IF(AND($B$21=1,A74&gt;$B$19),0,$E$9*$G$9^MIN((A74-$F$9)/12,6)*MIN($G$9,0.85)^MAX(0,(A74-$F$9)/12-6)))</f>
        <v/>
      </c>
      <c r="J74" s="306">
        <f>IF(A74&lt;$F$10,0,IF(AND($B$21=1,A74&gt;$B$19),0,$E$10*$G$10^MIN((A74-$F$10)/12,6)*MIN($G$10,0.85)^MAX(0,(A74-$F$10)/12-6)))</f>
        <v/>
      </c>
      <c r="K74" s="306">
        <f>IF(A74&lt;$F$11,0,IF(AND($B$21=1,A74&gt;$B$19),0,$E$11*$G$11^MIN((A74-$F$11)/12,6)*MIN($G$11,0.85)^MAX(0,(A74-$F$11)/12-6)))</f>
        <v/>
      </c>
      <c r="L74" s="306">
        <f>IF(A74&lt;$F$12,0,IF(AND($B$21=1,A74&gt;$B$19),0,$E$12*$G$12^MIN((A74-$F$12)/12,6)*MIN($G$12,0.85)^MAX(0,(A74-$F$12)/12-6)))</f>
        <v/>
      </c>
      <c r="M74" s="306">
        <f>IF(A74&lt;$F$13,0,IF(AND($B$21=1,A74&gt;$B$19),0,$E$13*$G$13^MIN((A74-$F$13)/12,6)*MIN($G$13,0.85)^MAX(0,(A74-$F$13)/12-6)))</f>
        <v/>
      </c>
      <c r="N74" s="306">
        <f>IF(A74&lt;$F$14,0,IF(AND($B$21=1,A74&gt;$B$19),0,$E$14*$G$14^MIN((A74-$F$14)/12,6)*MIN($G$14,0.85)^MAX(0,(A74-$F$14)/12-6)))</f>
        <v/>
      </c>
      <c r="O74" s="306">
        <f>SUM(F74:N74)</f>
        <v/>
      </c>
      <c r="P74" s="306">
        <f>O74/12</f>
        <v/>
      </c>
      <c r="Q74" s="306">
        <f>P74*$B$8</f>
        <v/>
      </c>
      <c r="R74" s="306">
        <f>P74*$B$9</f>
        <v/>
      </c>
      <c r="S74" s="306">
        <f>P74*$B$10</f>
        <v/>
      </c>
      <c r="T74" s="306">
        <f>P74-Q74-R74-S74-D74-E74</f>
        <v/>
      </c>
      <c r="U74" s="306">
        <f>MAX(0, T74 - $B$7*P74)</f>
        <v/>
      </c>
      <c r="V74" s="306">
        <f>T74-U74</f>
        <v/>
      </c>
      <c r="W74" s="306">
        <f>IF(A74=$F$6, $B$18*$B$16*$B$17/1000000, 0) + IF(A74=$F$7, $B$18*$B$16*$B$17/1000000, 0) + IF(A74=$F$8, $B$18*$B$16*$B$17/1000000, 0) + IF(A74=$F$9, $B$18*$B$16*$B$17/1000000, 0) + IF(A74=$F$10, $B$18*$B$16*$B$17/1000000, 0) + IF(A74=$F$11, $B$18*$B$16*$B$17/1000000, 0) + IF(A74=$F$12, $B$18*$B$16*$B$17/1000000, 0) + IF(A74=$F$13, $B$18*$B$16*$B$17/1000000, 0) + IF(A74=$F$14, $B$18*$B$16*$B$17/1000000, 0)</f>
        <v/>
      </c>
      <c r="X74" s="306">
        <f>V74-W74-C74</f>
        <v/>
      </c>
      <c r="Y74" s="306">
        <f>IF(AND(A74&lt;=$B$24, X74&gt;0), X74*$B$23, 0)</f>
        <v/>
      </c>
      <c r="Z74" s="306">
        <f>X74-Y74</f>
        <v/>
      </c>
      <c r="AA74" s="306">
        <f>IF(AND(A74=$B$19, $B$21=1), O74*$B$20, 0)</f>
        <v/>
      </c>
      <c r="AB74" s="306">
        <f>AB73+Z74+AA74</f>
        <v/>
      </c>
    </row>
    <row r="75">
      <c r="A75" s="306" t="n">
        <v>45</v>
      </c>
      <c r="B75" s="306">
        <f>CEILING(A75/12,1)</f>
        <v/>
      </c>
      <c r="C75" s="306">
        <f>IF(A75&lt;=12, $B$15/12, 0)</f>
        <v/>
      </c>
      <c r="D75" s="306">
        <f>INDEX('26. Team Comp'!$D$28:$R$28, B75) * 0.001 / 12</f>
        <v/>
      </c>
      <c r="E75" s="306">
        <f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+ (IF(MAX(0, A75 - $F$11 + 1)&lt;=0, 0, IF(MAX(0, A75 - $F$11 + 1)&lt;=6, 70 - (70-14)*(MAX(0, A75 - $F$11 + 1)-1)/5, IF(MAX(0, A75 - $F$11 + 1)&lt;=24, 14 - 14*(MAX(0, A75 - $F$11 + 1)-6)/18, 0)))) + (IF(MAX(0, A75 - $F$12 + 1)&lt;=0, 0, IF(MAX(0, A75 - $F$12 + 1)&lt;=6, 70 - (70-14)*(MAX(0, A75 - $F$12 + 1)-1)/5, IF(MAX(0, A75 - $F$12 + 1)&lt;=24, 14 - 14*(MAX(0, A75 - $F$12 + 1)-6)/18, 0)))) + (IF(MAX(0, A75 - $F$13 + 1)&lt;=0, 0, IF(MAX(0, A75 - $F$13 + 1)&lt;=6, 70 - (70-14)*(MAX(0, A75 - $F$13 + 1)-1)/5, IF(MAX(0, A75 - $F$13 + 1)&lt;=24, 14 - 14*(MAX(0, A75 - $F$13 + 1)-6)/18, 0)))) + (IF(MAX(0, A75 - $F$14 + 1)&lt;=0, 0, IF(MAX(0, A75 - $F$14 + 1)&lt;=6, 70 - (70-14)*(MAX(0, A75 - $F$14 + 1)-1)/5, IF(MAX(0, A75 - $F$14 + 1)&lt;=24, 14 - 14*(MAX(0, A75 - $F$14 + 1)-6)/18, 0)))) ) * 200 / 12 / 1000</f>
        <v/>
      </c>
      <c r="F75" s="306">
        <f>IF(A75&lt;$F$6,0,IF(AND($B$21=1,A75&gt;$B$19),0,$E$6*$G$6^MIN((A75-$F$6)/12,6)*MIN($G$6,0.85)^MAX(0,(A75-$F$6)/12-6)))</f>
        <v/>
      </c>
      <c r="G75" s="306">
        <f>IF(A75&lt;$F$7,0,IF(AND($B$21=1,A75&gt;$B$19),0,$E$7*$G$7^MIN((A75-$F$7)/12,6)*MIN($G$7,0.85)^MAX(0,(A75-$F$7)/12-6)))</f>
        <v/>
      </c>
      <c r="H75" s="306">
        <f>IF(A75&lt;$F$8,0,IF(AND($B$21=1,A75&gt;$B$19),0,$E$8*$G$8^MIN((A75-$F$8)/12,6)*MIN($G$8,0.85)^MAX(0,(A75-$F$8)/12-6)))</f>
        <v/>
      </c>
      <c r="I75" s="306">
        <f>IF(A75&lt;$F$9,0,IF(AND($B$21=1,A75&gt;$B$19),0,$E$9*$G$9^MIN((A75-$F$9)/12,6)*MIN($G$9,0.85)^MAX(0,(A75-$F$9)/12-6)))</f>
        <v/>
      </c>
      <c r="J75" s="306">
        <f>IF(A75&lt;$F$10,0,IF(AND($B$21=1,A75&gt;$B$19),0,$E$10*$G$10^MIN((A75-$F$10)/12,6)*MIN($G$10,0.85)^MAX(0,(A75-$F$10)/12-6)))</f>
        <v/>
      </c>
      <c r="K75" s="306">
        <f>IF(A75&lt;$F$11,0,IF(AND($B$21=1,A75&gt;$B$19),0,$E$11*$G$11^MIN((A75-$F$11)/12,6)*MIN($G$11,0.85)^MAX(0,(A75-$F$11)/12-6)))</f>
        <v/>
      </c>
      <c r="L75" s="306">
        <f>IF(A75&lt;$F$12,0,IF(AND($B$21=1,A75&gt;$B$19),0,$E$12*$G$12^MIN((A75-$F$12)/12,6)*MIN($G$12,0.85)^MAX(0,(A75-$F$12)/12-6)))</f>
        <v/>
      </c>
      <c r="M75" s="306">
        <f>IF(A75&lt;$F$13,0,IF(AND($B$21=1,A75&gt;$B$19),0,$E$13*$G$13^MIN((A75-$F$13)/12,6)*MIN($G$13,0.85)^MAX(0,(A75-$F$13)/12-6)))</f>
        <v/>
      </c>
      <c r="N75" s="306">
        <f>IF(A75&lt;$F$14,0,IF(AND($B$21=1,A75&gt;$B$19),0,$E$14*$G$14^MIN((A75-$F$14)/12,6)*MIN($G$14,0.85)^MAX(0,(A75-$F$14)/12-6)))</f>
        <v/>
      </c>
      <c r="O75" s="306">
        <f>SUM(F75:N75)</f>
        <v/>
      </c>
      <c r="P75" s="306">
        <f>O75/12</f>
        <v/>
      </c>
      <c r="Q75" s="306">
        <f>P75*$B$8</f>
        <v/>
      </c>
      <c r="R75" s="306">
        <f>P75*$B$9</f>
        <v/>
      </c>
      <c r="S75" s="306">
        <f>P75*$B$10</f>
        <v/>
      </c>
      <c r="T75" s="306">
        <f>P75-Q75-R75-S75-D75-E75</f>
        <v/>
      </c>
      <c r="U75" s="306">
        <f>MAX(0, T75 - $B$7*P75)</f>
        <v/>
      </c>
      <c r="V75" s="306">
        <f>T75-U75</f>
        <v/>
      </c>
      <c r="W75" s="306">
        <f>IF(A75=$F$6, $B$18*$B$16*$B$17/1000000, 0) + IF(A75=$F$7, $B$18*$B$16*$B$17/1000000, 0) + IF(A75=$F$8, $B$18*$B$16*$B$17/1000000, 0) + IF(A75=$F$9, $B$18*$B$16*$B$17/1000000, 0) + IF(A75=$F$10, $B$18*$B$16*$B$17/1000000, 0) + IF(A75=$F$11, $B$18*$B$16*$B$17/1000000, 0) + IF(A75=$F$12, $B$18*$B$16*$B$17/1000000, 0) + IF(A75=$F$13, $B$18*$B$16*$B$17/1000000, 0) + IF(A75=$F$14, $B$18*$B$16*$B$17/1000000, 0)</f>
        <v/>
      </c>
      <c r="X75" s="306">
        <f>V75-W75-C75</f>
        <v/>
      </c>
      <c r="Y75" s="306">
        <f>IF(AND(A75&lt;=$B$24, X75&gt;0), X75*$B$23, 0)</f>
        <v/>
      </c>
      <c r="Z75" s="306">
        <f>X75-Y75</f>
        <v/>
      </c>
      <c r="AA75" s="306">
        <f>IF(AND(A75=$B$19, $B$21=1), O75*$B$20, 0)</f>
        <v/>
      </c>
      <c r="AB75" s="306">
        <f>AB74+Z75+AA75</f>
        <v/>
      </c>
    </row>
    <row r="76">
      <c r="A76" s="306" t="n">
        <v>46</v>
      </c>
      <c r="B76" s="306">
        <f>CEILING(A76/12,1)</f>
        <v/>
      </c>
      <c r="C76" s="306">
        <f>IF(A76&lt;=12, $B$15/12, 0)</f>
        <v/>
      </c>
      <c r="D76" s="306">
        <f>INDEX('26. Team Comp'!$D$28:$R$28, B76) * 0.001 / 12</f>
        <v/>
      </c>
      <c r="E76" s="306">
        <f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+ (IF(MAX(0, A76 - $F$11 + 1)&lt;=0, 0, IF(MAX(0, A76 - $F$11 + 1)&lt;=6, 70 - (70-14)*(MAX(0, A76 - $F$11 + 1)-1)/5, IF(MAX(0, A76 - $F$11 + 1)&lt;=24, 14 - 14*(MAX(0, A76 - $F$11 + 1)-6)/18, 0)))) + (IF(MAX(0, A76 - $F$12 + 1)&lt;=0, 0, IF(MAX(0, A76 - $F$12 + 1)&lt;=6, 70 - (70-14)*(MAX(0, A76 - $F$12 + 1)-1)/5, IF(MAX(0, A76 - $F$12 + 1)&lt;=24, 14 - 14*(MAX(0, A76 - $F$12 + 1)-6)/18, 0)))) + (IF(MAX(0, A76 - $F$13 + 1)&lt;=0, 0, IF(MAX(0, A76 - $F$13 + 1)&lt;=6, 70 - (70-14)*(MAX(0, A76 - $F$13 + 1)-1)/5, IF(MAX(0, A76 - $F$13 + 1)&lt;=24, 14 - 14*(MAX(0, A76 - $F$13 + 1)-6)/18, 0)))) + (IF(MAX(0, A76 - $F$14 + 1)&lt;=0, 0, IF(MAX(0, A76 - $F$14 + 1)&lt;=6, 70 - (70-14)*(MAX(0, A76 - $F$14 + 1)-1)/5, IF(MAX(0, A76 - $F$14 + 1)&lt;=24, 14 - 14*(MAX(0, A76 - $F$14 + 1)-6)/18, 0)))) ) * 200 / 12 / 1000</f>
        <v/>
      </c>
      <c r="F76" s="306">
        <f>IF(A76&lt;$F$6,0,IF(AND($B$21=1,A76&gt;$B$19),0,$E$6*$G$6^MIN((A76-$F$6)/12,6)*MIN($G$6,0.85)^MAX(0,(A76-$F$6)/12-6)))</f>
        <v/>
      </c>
      <c r="G76" s="306">
        <f>IF(A76&lt;$F$7,0,IF(AND($B$21=1,A76&gt;$B$19),0,$E$7*$G$7^MIN((A76-$F$7)/12,6)*MIN($G$7,0.85)^MAX(0,(A76-$F$7)/12-6)))</f>
        <v/>
      </c>
      <c r="H76" s="306">
        <f>IF(A76&lt;$F$8,0,IF(AND($B$21=1,A76&gt;$B$19),0,$E$8*$G$8^MIN((A76-$F$8)/12,6)*MIN($G$8,0.85)^MAX(0,(A76-$F$8)/12-6)))</f>
        <v/>
      </c>
      <c r="I76" s="306">
        <f>IF(A76&lt;$F$9,0,IF(AND($B$21=1,A76&gt;$B$19),0,$E$9*$G$9^MIN((A76-$F$9)/12,6)*MIN($G$9,0.85)^MAX(0,(A76-$F$9)/12-6)))</f>
        <v/>
      </c>
      <c r="J76" s="306">
        <f>IF(A76&lt;$F$10,0,IF(AND($B$21=1,A76&gt;$B$19),0,$E$10*$G$10^MIN((A76-$F$10)/12,6)*MIN($G$10,0.85)^MAX(0,(A76-$F$10)/12-6)))</f>
        <v/>
      </c>
      <c r="K76" s="306">
        <f>IF(A76&lt;$F$11,0,IF(AND($B$21=1,A76&gt;$B$19),0,$E$11*$G$11^MIN((A76-$F$11)/12,6)*MIN($G$11,0.85)^MAX(0,(A76-$F$11)/12-6)))</f>
        <v/>
      </c>
      <c r="L76" s="306">
        <f>IF(A76&lt;$F$12,0,IF(AND($B$21=1,A76&gt;$B$19),0,$E$12*$G$12^MIN((A76-$F$12)/12,6)*MIN($G$12,0.85)^MAX(0,(A76-$F$12)/12-6)))</f>
        <v/>
      </c>
      <c r="M76" s="306">
        <f>IF(A76&lt;$F$13,0,IF(AND($B$21=1,A76&gt;$B$19),0,$E$13*$G$13^MIN((A76-$F$13)/12,6)*MIN($G$13,0.85)^MAX(0,(A76-$F$13)/12-6)))</f>
        <v/>
      </c>
      <c r="N76" s="306">
        <f>IF(A76&lt;$F$14,0,IF(AND($B$21=1,A76&gt;$B$19),0,$E$14*$G$14^MIN((A76-$F$14)/12,6)*MIN($G$14,0.85)^MAX(0,(A76-$F$14)/12-6)))</f>
        <v/>
      </c>
      <c r="O76" s="306">
        <f>SUM(F76:N76)</f>
        <v/>
      </c>
      <c r="P76" s="306">
        <f>O76/12</f>
        <v/>
      </c>
      <c r="Q76" s="306">
        <f>P76*$B$8</f>
        <v/>
      </c>
      <c r="R76" s="306">
        <f>P76*$B$9</f>
        <v/>
      </c>
      <c r="S76" s="306">
        <f>P76*$B$10</f>
        <v/>
      </c>
      <c r="T76" s="306">
        <f>P76-Q76-R76-S76-D76-E76</f>
        <v/>
      </c>
      <c r="U76" s="306">
        <f>MAX(0, T76 - $B$7*P76)</f>
        <v/>
      </c>
      <c r="V76" s="306">
        <f>T76-U76</f>
        <v/>
      </c>
      <c r="W76" s="306">
        <f>IF(A76=$F$6, $B$18*$B$16*$B$17/1000000, 0) + IF(A76=$F$7, $B$18*$B$16*$B$17/1000000, 0) + IF(A76=$F$8, $B$18*$B$16*$B$17/1000000, 0) + IF(A76=$F$9, $B$18*$B$16*$B$17/1000000, 0) + IF(A76=$F$10, $B$18*$B$16*$B$17/1000000, 0) + IF(A76=$F$11, $B$18*$B$16*$B$17/1000000, 0) + IF(A76=$F$12, $B$18*$B$16*$B$17/1000000, 0) + IF(A76=$F$13, $B$18*$B$16*$B$17/1000000, 0) + IF(A76=$F$14, $B$18*$B$16*$B$17/1000000, 0)</f>
        <v/>
      </c>
      <c r="X76" s="306">
        <f>V76-W76-C76</f>
        <v/>
      </c>
      <c r="Y76" s="306">
        <f>IF(AND(A76&lt;=$B$24, X76&gt;0), X76*$B$23, 0)</f>
        <v/>
      </c>
      <c r="Z76" s="306">
        <f>X76-Y76</f>
        <v/>
      </c>
      <c r="AA76" s="306">
        <f>IF(AND(A76=$B$19, $B$21=1), O76*$B$20, 0)</f>
        <v/>
      </c>
      <c r="AB76" s="306">
        <f>AB75+Z76+AA76</f>
        <v/>
      </c>
    </row>
    <row r="77">
      <c r="A77" s="306" t="n">
        <v>47</v>
      </c>
      <c r="B77" s="306">
        <f>CEILING(A77/12,1)</f>
        <v/>
      </c>
      <c r="C77" s="306">
        <f>IF(A77&lt;=12, $B$15/12, 0)</f>
        <v/>
      </c>
      <c r="D77" s="306">
        <f>INDEX('26. Team Comp'!$D$28:$R$28, B77) * 0.001 / 12</f>
        <v/>
      </c>
      <c r="E77" s="306">
        <f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+ (IF(MAX(0, A77 - $F$11 + 1)&lt;=0, 0, IF(MAX(0, A77 - $F$11 + 1)&lt;=6, 70 - (70-14)*(MAX(0, A77 - $F$11 + 1)-1)/5, IF(MAX(0, A77 - $F$11 + 1)&lt;=24, 14 - 14*(MAX(0, A77 - $F$11 + 1)-6)/18, 0)))) + (IF(MAX(0, A77 - $F$12 + 1)&lt;=0, 0, IF(MAX(0, A77 - $F$12 + 1)&lt;=6, 70 - (70-14)*(MAX(0, A77 - $F$12 + 1)-1)/5, IF(MAX(0, A77 - $F$12 + 1)&lt;=24, 14 - 14*(MAX(0, A77 - $F$12 + 1)-6)/18, 0)))) + (IF(MAX(0, A77 - $F$13 + 1)&lt;=0, 0, IF(MAX(0, A77 - $F$13 + 1)&lt;=6, 70 - (70-14)*(MAX(0, A77 - $F$13 + 1)-1)/5, IF(MAX(0, A77 - $F$13 + 1)&lt;=24, 14 - 14*(MAX(0, A77 - $F$13 + 1)-6)/18, 0)))) + (IF(MAX(0, A77 - $F$14 + 1)&lt;=0, 0, IF(MAX(0, A77 - $F$14 + 1)&lt;=6, 70 - (70-14)*(MAX(0, A77 - $F$14 + 1)-1)/5, IF(MAX(0, A77 - $F$14 + 1)&lt;=24, 14 - 14*(MAX(0, A77 - $F$14 + 1)-6)/18, 0)))) ) * 200 / 12 / 1000</f>
        <v/>
      </c>
      <c r="F77" s="306">
        <f>IF(A77&lt;$F$6,0,IF(AND($B$21=1,A77&gt;$B$19),0,$E$6*$G$6^MIN((A77-$F$6)/12,6)*MIN($G$6,0.85)^MAX(0,(A77-$F$6)/12-6)))</f>
        <v/>
      </c>
      <c r="G77" s="306">
        <f>IF(A77&lt;$F$7,0,IF(AND($B$21=1,A77&gt;$B$19),0,$E$7*$G$7^MIN((A77-$F$7)/12,6)*MIN($G$7,0.85)^MAX(0,(A77-$F$7)/12-6)))</f>
        <v/>
      </c>
      <c r="H77" s="306">
        <f>IF(A77&lt;$F$8,0,IF(AND($B$21=1,A77&gt;$B$19),0,$E$8*$G$8^MIN((A77-$F$8)/12,6)*MIN($G$8,0.85)^MAX(0,(A77-$F$8)/12-6)))</f>
        <v/>
      </c>
      <c r="I77" s="306">
        <f>IF(A77&lt;$F$9,0,IF(AND($B$21=1,A77&gt;$B$19),0,$E$9*$G$9^MIN((A77-$F$9)/12,6)*MIN($G$9,0.85)^MAX(0,(A77-$F$9)/12-6)))</f>
        <v/>
      </c>
      <c r="J77" s="306">
        <f>IF(A77&lt;$F$10,0,IF(AND($B$21=1,A77&gt;$B$19),0,$E$10*$G$10^MIN((A77-$F$10)/12,6)*MIN($G$10,0.85)^MAX(0,(A77-$F$10)/12-6)))</f>
        <v/>
      </c>
      <c r="K77" s="306">
        <f>IF(A77&lt;$F$11,0,IF(AND($B$21=1,A77&gt;$B$19),0,$E$11*$G$11^MIN((A77-$F$11)/12,6)*MIN($G$11,0.85)^MAX(0,(A77-$F$11)/12-6)))</f>
        <v/>
      </c>
      <c r="L77" s="306">
        <f>IF(A77&lt;$F$12,0,IF(AND($B$21=1,A77&gt;$B$19),0,$E$12*$G$12^MIN((A77-$F$12)/12,6)*MIN($G$12,0.85)^MAX(0,(A77-$F$12)/12-6)))</f>
        <v/>
      </c>
      <c r="M77" s="306">
        <f>IF(A77&lt;$F$13,0,IF(AND($B$21=1,A77&gt;$B$19),0,$E$13*$G$13^MIN((A77-$F$13)/12,6)*MIN($G$13,0.85)^MAX(0,(A77-$F$13)/12-6)))</f>
        <v/>
      </c>
      <c r="N77" s="306">
        <f>IF(A77&lt;$F$14,0,IF(AND($B$21=1,A77&gt;$B$19),0,$E$14*$G$14^MIN((A77-$F$14)/12,6)*MIN($G$14,0.85)^MAX(0,(A77-$F$14)/12-6)))</f>
        <v/>
      </c>
      <c r="O77" s="306">
        <f>SUM(F77:N77)</f>
        <v/>
      </c>
      <c r="P77" s="306">
        <f>O77/12</f>
        <v/>
      </c>
      <c r="Q77" s="306">
        <f>P77*$B$8</f>
        <v/>
      </c>
      <c r="R77" s="306">
        <f>P77*$B$9</f>
        <v/>
      </c>
      <c r="S77" s="306">
        <f>P77*$B$10</f>
        <v/>
      </c>
      <c r="T77" s="306">
        <f>P77-Q77-R77-S77-D77-E77</f>
        <v/>
      </c>
      <c r="U77" s="306">
        <f>MAX(0, T77 - $B$7*P77)</f>
        <v/>
      </c>
      <c r="V77" s="306">
        <f>T77-U77</f>
        <v/>
      </c>
      <c r="W77" s="306">
        <f>IF(A77=$F$6, $B$18*$B$16*$B$17/1000000, 0) + IF(A77=$F$7, $B$18*$B$16*$B$17/1000000, 0) + IF(A77=$F$8, $B$18*$B$16*$B$17/1000000, 0) + IF(A77=$F$9, $B$18*$B$16*$B$17/1000000, 0) + IF(A77=$F$10, $B$18*$B$16*$B$17/1000000, 0) + IF(A77=$F$11, $B$18*$B$16*$B$17/1000000, 0) + IF(A77=$F$12, $B$18*$B$16*$B$17/1000000, 0) + IF(A77=$F$13, $B$18*$B$16*$B$17/1000000, 0) + IF(A77=$F$14, $B$18*$B$16*$B$17/1000000, 0)</f>
        <v/>
      </c>
      <c r="X77" s="306">
        <f>V77-W77-C77</f>
        <v/>
      </c>
      <c r="Y77" s="306">
        <f>IF(AND(A77&lt;=$B$24, X77&gt;0), X77*$B$23, 0)</f>
        <v/>
      </c>
      <c r="Z77" s="306">
        <f>X77-Y77</f>
        <v/>
      </c>
      <c r="AA77" s="306">
        <f>IF(AND(A77=$B$19, $B$21=1), O77*$B$20, 0)</f>
        <v/>
      </c>
      <c r="AB77" s="306">
        <f>AB76+Z77+AA77</f>
        <v/>
      </c>
    </row>
    <row r="78">
      <c r="A78" s="306" t="n">
        <v>48</v>
      </c>
      <c r="B78" s="306">
        <f>CEILING(A78/12,1)</f>
        <v/>
      </c>
      <c r="C78" s="306">
        <f>IF(A78&lt;=12, $B$15/12, 0)</f>
        <v/>
      </c>
      <c r="D78" s="306">
        <f>INDEX('26. Team Comp'!$D$28:$R$28, B78) * 0.001 / 12</f>
        <v/>
      </c>
      <c r="E78" s="306">
        <f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+ (IF(MAX(0, A78 - $F$11 + 1)&lt;=0, 0, IF(MAX(0, A78 - $F$11 + 1)&lt;=6, 70 - (70-14)*(MAX(0, A78 - $F$11 + 1)-1)/5, IF(MAX(0, A78 - $F$11 + 1)&lt;=24, 14 - 14*(MAX(0, A78 - $F$11 + 1)-6)/18, 0)))) + (IF(MAX(0, A78 - $F$12 + 1)&lt;=0, 0, IF(MAX(0, A78 - $F$12 + 1)&lt;=6, 70 - (70-14)*(MAX(0, A78 - $F$12 + 1)-1)/5, IF(MAX(0, A78 - $F$12 + 1)&lt;=24, 14 - 14*(MAX(0, A78 - $F$12 + 1)-6)/18, 0)))) + (IF(MAX(0, A78 - $F$13 + 1)&lt;=0, 0, IF(MAX(0, A78 - $F$13 + 1)&lt;=6, 70 - (70-14)*(MAX(0, A78 - $F$13 + 1)-1)/5, IF(MAX(0, A78 - $F$13 + 1)&lt;=24, 14 - 14*(MAX(0, A78 - $F$13 + 1)-6)/18, 0)))) + (IF(MAX(0, A78 - $F$14 + 1)&lt;=0, 0, IF(MAX(0, A78 - $F$14 + 1)&lt;=6, 70 - (70-14)*(MAX(0, A78 - $F$14 + 1)-1)/5, IF(MAX(0, A78 - $F$14 + 1)&lt;=24, 14 - 14*(MAX(0, A78 - $F$14 + 1)-6)/18, 0)))) ) * 200 / 12 / 1000</f>
        <v/>
      </c>
      <c r="F78" s="306">
        <f>IF(A78&lt;$F$6,0,IF(AND($B$21=1,A78&gt;$B$19),0,$E$6*$G$6^MIN((A78-$F$6)/12,6)*MIN($G$6,0.85)^MAX(0,(A78-$F$6)/12-6)))</f>
        <v/>
      </c>
      <c r="G78" s="306">
        <f>IF(A78&lt;$F$7,0,IF(AND($B$21=1,A78&gt;$B$19),0,$E$7*$G$7^MIN((A78-$F$7)/12,6)*MIN($G$7,0.85)^MAX(0,(A78-$F$7)/12-6)))</f>
        <v/>
      </c>
      <c r="H78" s="306">
        <f>IF(A78&lt;$F$8,0,IF(AND($B$21=1,A78&gt;$B$19),0,$E$8*$G$8^MIN((A78-$F$8)/12,6)*MIN($G$8,0.85)^MAX(0,(A78-$F$8)/12-6)))</f>
        <v/>
      </c>
      <c r="I78" s="306">
        <f>IF(A78&lt;$F$9,0,IF(AND($B$21=1,A78&gt;$B$19),0,$E$9*$G$9^MIN((A78-$F$9)/12,6)*MIN($G$9,0.85)^MAX(0,(A78-$F$9)/12-6)))</f>
        <v/>
      </c>
      <c r="J78" s="306">
        <f>IF(A78&lt;$F$10,0,IF(AND($B$21=1,A78&gt;$B$19),0,$E$10*$G$10^MIN((A78-$F$10)/12,6)*MIN($G$10,0.85)^MAX(0,(A78-$F$10)/12-6)))</f>
        <v/>
      </c>
      <c r="K78" s="306">
        <f>IF(A78&lt;$F$11,0,IF(AND($B$21=1,A78&gt;$B$19),0,$E$11*$G$11^MIN((A78-$F$11)/12,6)*MIN($G$11,0.85)^MAX(0,(A78-$F$11)/12-6)))</f>
        <v/>
      </c>
      <c r="L78" s="306">
        <f>IF(A78&lt;$F$12,0,IF(AND($B$21=1,A78&gt;$B$19),0,$E$12*$G$12^MIN((A78-$F$12)/12,6)*MIN($G$12,0.85)^MAX(0,(A78-$F$12)/12-6)))</f>
        <v/>
      </c>
      <c r="M78" s="306">
        <f>IF(A78&lt;$F$13,0,IF(AND($B$21=1,A78&gt;$B$19),0,$E$13*$G$13^MIN((A78-$F$13)/12,6)*MIN($G$13,0.85)^MAX(0,(A78-$F$13)/12-6)))</f>
        <v/>
      </c>
      <c r="N78" s="306">
        <f>IF(A78&lt;$F$14,0,IF(AND($B$21=1,A78&gt;$B$19),0,$E$14*$G$14^MIN((A78-$F$14)/12,6)*MIN($G$14,0.85)^MAX(0,(A78-$F$14)/12-6)))</f>
        <v/>
      </c>
      <c r="O78" s="306">
        <f>SUM(F78:N78)</f>
        <v/>
      </c>
      <c r="P78" s="306">
        <f>O78/12</f>
        <v/>
      </c>
      <c r="Q78" s="306">
        <f>P78*$B$8</f>
        <v/>
      </c>
      <c r="R78" s="306">
        <f>P78*$B$9</f>
        <v/>
      </c>
      <c r="S78" s="306">
        <f>P78*$B$10</f>
        <v/>
      </c>
      <c r="T78" s="306">
        <f>P78-Q78-R78-S78-D78-E78</f>
        <v/>
      </c>
      <c r="U78" s="306">
        <f>MAX(0, T78 - $B$7*P78)</f>
        <v/>
      </c>
      <c r="V78" s="306">
        <f>T78-U78</f>
        <v/>
      </c>
      <c r="W78" s="306">
        <f>IF(A78=$F$6, $B$18*$B$16*$B$17/1000000, 0) + IF(A78=$F$7, $B$18*$B$16*$B$17/1000000, 0) + IF(A78=$F$8, $B$18*$B$16*$B$17/1000000, 0) + IF(A78=$F$9, $B$18*$B$16*$B$17/1000000, 0) + IF(A78=$F$10, $B$18*$B$16*$B$17/1000000, 0) + IF(A78=$F$11, $B$18*$B$16*$B$17/1000000, 0) + IF(A78=$F$12, $B$18*$B$16*$B$17/1000000, 0) + IF(A78=$F$13, $B$18*$B$16*$B$17/1000000, 0) + IF(A78=$F$14, $B$18*$B$16*$B$17/1000000, 0)</f>
        <v/>
      </c>
      <c r="X78" s="306">
        <f>V78-W78-C78</f>
        <v/>
      </c>
      <c r="Y78" s="306">
        <f>IF(AND(A78&lt;=$B$24, X78&gt;0), X78*$B$23, 0)</f>
        <v/>
      </c>
      <c r="Z78" s="306">
        <f>X78-Y78</f>
        <v/>
      </c>
      <c r="AA78" s="306">
        <f>IF(AND(A78=$B$19, $B$21=1), O78*$B$20, 0)</f>
        <v/>
      </c>
      <c r="AB78" s="306">
        <f>AB77+Z78+AA78</f>
        <v/>
      </c>
    </row>
    <row r="79">
      <c r="A79" s="306" t="n">
        <v>49</v>
      </c>
      <c r="B79" s="306">
        <f>CEILING(A79/12,1)</f>
        <v/>
      </c>
      <c r="C79" s="306">
        <f>IF(A79&lt;=12, $B$15/12, 0)</f>
        <v/>
      </c>
      <c r="D79" s="306">
        <f>INDEX('26. Team Comp'!$D$28:$R$28, B79) * 0.001 / 12</f>
        <v/>
      </c>
      <c r="E79" s="306">
        <f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+ (IF(MAX(0, A79 - $F$11 + 1)&lt;=0, 0, IF(MAX(0, A79 - $F$11 + 1)&lt;=6, 70 - (70-14)*(MAX(0, A79 - $F$11 + 1)-1)/5, IF(MAX(0, A79 - $F$11 + 1)&lt;=24, 14 - 14*(MAX(0, A79 - $F$11 + 1)-6)/18, 0)))) + (IF(MAX(0, A79 - $F$12 + 1)&lt;=0, 0, IF(MAX(0, A79 - $F$12 + 1)&lt;=6, 70 - (70-14)*(MAX(0, A79 - $F$12 + 1)-1)/5, IF(MAX(0, A79 - $F$12 + 1)&lt;=24, 14 - 14*(MAX(0, A79 - $F$12 + 1)-6)/18, 0)))) + (IF(MAX(0, A79 - $F$13 + 1)&lt;=0, 0, IF(MAX(0, A79 - $F$13 + 1)&lt;=6, 70 - (70-14)*(MAX(0, A79 - $F$13 + 1)-1)/5, IF(MAX(0, A79 - $F$13 + 1)&lt;=24, 14 - 14*(MAX(0, A79 - $F$13 + 1)-6)/18, 0)))) + (IF(MAX(0, A79 - $F$14 + 1)&lt;=0, 0, IF(MAX(0, A79 - $F$14 + 1)&lt;=6, 70 - (70-14)*(MAX(0, A79 - $F$14 + 1)-1)/5, IF(MAX(0, A79 - $F$14 + 1)&lt;=24, 14 - 14*(MAX(0, A79 - $F$14 + 1)-6)/18, 0)))) ) * 200 / 12 / 1000</f>
        <v/>
      </c>
      <c r="F79" s="306">
        <f>IF(A79&lt;$F$6,0,IF(AND($B$21=1,A79&gt;$B$19),0,$E$6*$G$6^MIN((A79-$F$6)/12,6)*MIN($G$6,0.85)^MAX(0,(A79-$F$6)/12-6)))</f>
        <v/>
      </c>
      <c r="G79" s="306">
        <f>IF(A79&lt;$F$7,0,IF(AND($B$21=1,A79&gt;$B$19),0,$E$7*$G$7^MIN((A79-$F$7)/12,6)*MIN($G$7,0.85)^MAX(0,(A79-$F$7)/12-6)))</f>
        <v/>
      </c>
      <c r="H79" s="306">
        <f>IF(A79&lt;$F$8,0,IF(AND($B$21=1,A79&gt;$B$19),0,$E$8*$G$8^MIN((A79-$F$8)/12,6)*MIN($G$8,0.85)^MAX(0,(A79-$F$8)/12-6)))</f>
        <v/>
      </c>
      <c r="I79" s="306">
        <f>IF(A79&lt;$F$9,0,IF(AND($B$21=1,A79&gt;$B$19),0,$E$9*$G$9^MIN((A79-$F$9)/12,6)*MIN($G$9,0.85)^MAX(0,(A79-$F$9)/12-6)))</f>
        <v/>
      </c>
      <c r="J79" s="306">
        <f>IF(A79&lt;$F$10,0,IF(AND($B$21=1,A79&gt;$B$19),0,$E$10*$G$10^MIN((A79-$F$10)/12,6)*MIN($G$10,0.85)^MAX(0,(A79-$F$10)/12-6)))</f>
        <v/>
      </c>
      <c r="K79" s="306">
        <f>IF(A79&lt;$F$11,0,IF(AND($B$21=1,A79&gt;$B$19),0,$E$11*$G$11^MIN((A79-$F$11)/12,6)*MIN($G$11,0.85)^MAX(0,(A79-$F$11)/12-6)))</f>
        <v/>
      </c>
      <c r="L79" s="306">
        <f>IF(A79&lt;$F$12,0,IF(AND($B$21=1,A79&gt;$B$19),0,$E$12*$G$12^MIN((A79-$F$12)/12,6)*MIN($G$12,0.85)^MAX(0,(A79-$F$12)/12-6)))</f>
        <v/>
      </c>
      <c r="M79" s="306">
        <f>IF(A79&lt;$F$13,0,IF(AND($B$21=1,A79&gt;$B$19),0,$E$13*$G$13^MIN((A79-$F$13)/12,6)*MIN($G$13,0.85)^MAX(0,(A79-$F$13)/12-6)))</f>
        <v/>
      </c>
      <c r="N79" s="306">
        <f>IF(A79&lt;$F$14,0,IF(AND($B$21=1,A79&gt;$B$19),0,$E$14*$G$14^MIN((A79-$F$14)/12,6)*MIN($G$14,0.85)^MAX(0,(A79-$F$14)/12-6)))</f>
        <v/>
      </c>
      <c r="O79" s="306">
        <f>SUM(F79:N79)</f>
        <v/>
      </c>
      <c r="P79" s="306">
        <f>O79/12</f>
        <v/>
      </c>
      <c r="Q79" s="306">
        <f>P79*$B$8</f>
        <v/>
      </c>
      <c r="R79" s="306">
        <f>P79*$B$9</f>
        <v/>
      </c>
      <c r="S79" s="306">
        <f>P79*$B$10</f>
        <v/>
      </c>
      <c r="T79" s="306">
        <f>P79-Q79-R79-S79-D79-E79</f>
        <v/>
      </c>
      <c r="U79" s="306">
        <f>MAX(0, T79 - $B$7*P79)</f>
        <v/>
      </c>
      <c r="V79" s="306">
        <f>T79-U79</f>
        <v/>
      </c>
      <c r="W79" s="306">
        <f>IF(A79=$F$6, $B$18*$B$16*$B$17/1000000, 0) + IF(A79=$F$7, $B$18*$B$16*$B$17/1000000, 0) + IF(A79=$F$8, $B$18*$B$16*$B$17/1000000, 0) + IF(A79=$F$9, $B$18*$B$16*$B$17/1000000, 0) + IF(A79=$F$10, $B$18*$B$16*$B$17/1000000, 0) + IF(A79=$F$11, $B$18*$B$16*$B$17/1000000, 0) + IF(A79=$F$12, $B$18*$B$16*$B$17/1000000, 0) + IF(A79=$F$13, $B$18*$B$16*$B$17/1000000, 0) + IF(A79=$F$14, $B$18*$B$16*$B$17/1000000, 0)</f>
        <v/>
      </c>
      <c r="X79" s="306">
        <f>V79-W79-C79</f>
        <v/>
      </c>
      <c r="Y79" s="306">
        <f>IF(AND(A79&lt;=$B$24, X79&gt;0), X79*$B$23, 0)</f>
        <v/>
      </c>
      <c r="Z79" s="306">
        <f>X79-Y79</f>
        <v/>
      </c>
      <c r="AA79" s="306">
        <f>IF(AND(A79=$B$19, $B$21=1), O79*$B$20, 0)</f>
        <v/>
      </c>
      <c r="AB79" s="306">
        <f>AB78+Z79+AA79</f>
        <v/>
      </c>
    </row>
    <row r="80">
      <c r="A80" s="306" t="n">
        <v>50</v>
      </c>
      <c r="B80" s="306">
        <f>CEILING(A80/12,1)</f>
        <v/>
      </c>
      <c r="C80" s="306">
        <f>IF(A80&lt;=12, $B$15/12, 0)</f>
        <v/>
      </c>
      <c r="D80" s="306">
        <f>INDEX('26. Team Comp'!$D$28:$R$28, B80) * 0.001 / 12</f>
        <v/>
      </c>
      <c r="E80" s="306">
        <f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+ (IF(MAX(0, A80 - $F$11 + 1)&lt;=0, 0, IF(MAX(0, A80 - $F$11 + 1)&lt;=6, 70 - (70-14)*(MAX(0, A80 - $F$11 + 1)-1)/5, IF(MAX(0, A80 - $F$11 + 1)&lt;=24, 14 - 14*(MAX(0, A80 - $F$11 + 1)-6)/18, 0)))) + (IF(MAX(0, A80 - $F$12 + 1)&lt;=0, 0, IF(MAX(0, A80 - $F$12 + 1)&lt;=6, 70 - (70-14)*(MAX(0, A80 - $F$12 + 1)-1)/5, IF(MAX(0, A80 - $F$12 + 1)&lt;=24, 14 - 14*(MAX(0, A80 - $F$12 + 1)-6)/18, 0)))) + (IF(MAX(0, A80 - $F$13 + 1)&lt;=0, 0, IF(MAX(0, A80 - $F$13 + 1)&lt;=6, 70 - (70-14)*(MAX(0, A80 - $F$13 + 1)-1)/5, IF(MAX(0, A80 - $F$13 + 1)&lt;=24, 14 - 14*(MAX(0, A80 - $F$13 + 1)-6)/18, 0)))) + (IF(MAX(0, A80 - $F$14 + 1)&lt;=0, 0, IF(MAX(0, A80 - $F$14 + 1)&lt;=6, 70 - (70-14)*(MAX(0, A80 - $F$14 + 1)-1)/5, IF(MAX(0, A80 - $F$14 + 1)&lt;=24, 14 - 14*(MAX(0, A80 - $F$14 + 1)-6)/18, 0)))) ) * 200 / 12 / 1000</f>
        <v/>
      </c>
      <c r="F80" s="306">
        <f>IF(A80&lt;$F$6,0,IF(AND($B$21=1,A80&gt;$B$19),0,$E$6*$G$6^MIN((A80-$F$6)/12,6)*MIN($G$6,0.85)^MAX(0,(A80-$F$6)/12-6)))</f>
        <v/>
      </c>
      <c r="G80" s="306">
        <f>IF(A80&lt;$F$7,0,IF(AND($B$21=1,A80&gt;$B$19),0,$E$7*$G$7^MIN((A80-$F$7)/12,6)*MIN($G$7,0.85)^MAX(0,(A80-$F$7)/12-6)))</f>
        <v/>
      </c>
      <c r="H80" s="306">
        <f>IF(A80&lt;$F$8,0,IF(AND($B$21=1,A80&gt;$B$19),0,$E$8*$G$8^MIN((A80-$F$8)/12,6)*MIN($G$8,0.85)^MAX(0,(A80-$F$8)/12-6)))</f>
        <v/>
      </c>
      <c r="I80" s="306">
        <f>IF(A80&lt;$F$9,0,IF(AND($B$21=1,A80&gt;$B$19),0,$E$9*$G$9^MIN((A80-$F$9)/12,6)*MIN($G$9,0.85)^MAX(0,(A80-$F$9)/12-6)))</f>
        <v/>
      </c>
      <c r="J80" s="306">
        <f>IF(A80&lt;$F$10,0,IF(AND($B$21=1,A80&gt;$B$19),0,$E$10*$G$10^MIN((A80-$F$10)/12,6)*MIN($G$10,0.85)^MAX(0,(A80-$F$10)/12-6)))</f>
        <v/>
      </c>
      <c r="K80" s="306">
        <f>IF(A80&lt;$F$11,0,IF(AND($B$21=1,A80&gt;$B$19),0,$E$11*$G$11^MIN((A80-$F$11)/12,6)*MIN($G$11,0.85)^MAX(0,(A80-$F$11)/12-6)))</f>
        <v/>
      </c>
      <c r="L80" s="306">
        <f>IF(A80&lt;$F$12,0,IF(AND($B$21=1,A80&gt;$B$19),0,$E$12*$G$12^MIN((A80-$F$12)/12,6)*MIN($G$12,0.85)^MAX(0,(A80-$F$12)/12-6)))</f>
        <v/>
      </c>
      <c r="M80" s="306">
        <f>IF(A80&lt;$F$13,0,IF(AND($B$21=1,A80&gt;$B$19),0,$E$13*$G$13^MIN((A80-$F$13)/12,6)*MIN($G$13,0.85)^MAX(0,(A80-$F$13)/12-6)))</f>
        <v/>
      </c>
      <c r="N80" s="306">
        <f>IF(A80&lt;$F$14,0,IF(AND($B$21=1,A80&gt;$B$19),0,$E$14*$G$14^MIN((A80-$F$14)/12,6)*MIN($G$14,0.85)^MAX(0,(A80-$F$14)/12-6)))</f>
        <v/>
      </c>
      <c r="O80" s="306">
        <f>SUM(F80:N80)</f>
        <v/>
      </c>
      <c r="P80" s="306">
        <f>O80/12</f>
        <v/>
      </c>
      <c r="Q80" s="306">
        <f>P80*$B$8</f>
        <v/>
      </c>
      <c r="R80" s="306">
        <f>P80*$B$9</f>
        <v/>
      </c>
      <c r="S80" s="306">
        <f>P80*$B$10</f>
        <v/>
      </c>
      <c r="T80" s="306">
        <f>P80-Q80-R80-S80-D80-E80</f>
        <v/>
      </c>
      <c r="U80" s="306">
        <f>MAX(0, T80 - $B$7*P80)</f>
        <v/>
      </c>
      <c r="V80" s="306">
        <f>T80-U80</f>
        <v/>
      </c>
      <c r="W80" s="306">
        <f>IF(A80=$F$6, $B$18*$B$16*$B$17/1000000, 0) + IF(A80=$F$7, $B$18*$B$16*$B$17/1000000, 0) + IF(A80=$F$8, $B$18*$B$16*$B$17/1000000, 0) + IF(A80=$F$9, $B$18*$B$16*$B$17/1000000, 0) + IF(A80=$F$10, $B$18*$B$16*$B$17/1000000, 0) + IF(A80=$F$11, $B$18*$B$16*$B$17/1000000, 0) + IF(A80=$F$12, $B$18*$B$16*$B$17/1000000, 0) + IF(A80=$F$13, $B$18*$B$16*$B$17/1000000, 0) + IF(A80=$F$14, $B$18*$B$16*$B$17/1000000, 0)</f>
        <v/>
      </c>
      <c r="X80" s="306">
        <f>V80-W80-C80</f>
        <v/>
      </c>
      <c r="Y80" s="306">
        <f>IF(AND(A80&lt;=$B$24, X80&gt;0), X80*$B$23, 0)</f>
        <v/>
      </c>
      <c r="Z80" s="306">
        <f>X80-Y80</f>
        <v/>
      </c>
      <c r="AA80" s="306">
        <f>IF(AND(A80=$B$19, $B$21=1), O80*$B$20, 0)</f>
        <v/>
      </c>
      <c r="AB80" s="306">
        <f>AB79+Z80+AA80</f>
        <v/>
      </c>
    </row>
    <row r="81">
      <c r="A81" s="306" t="n">
        <v>51</v>
      </c>
      <c r="B81" s="306">
        <f>CEILING(A81/12,1)</f>
        <v/>
      </c>
      <c r="C81" s="306">
        <f>IF(A81&lt;=12, $B$15/12, 0)</f>
        <v/>
      </c>
      <c r="D81" s="306">
        <f>INDEX('26. Team Comp'!$D$28:$R$28, B81) * 0.001 / 12</f>
        <v/>
      </c>
      <c r="E81" s="306">
        <f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+ (IF(MAX(0, A81 - $F$11 + 1)&lt;=0, 0, IF(MAX(0, A81 - $F$11 + 1)&lt;=6, 70 - (70-14)*(MAX(0, A81 - $F$11 + 1)-1)/5, IF(MAX(0, A81 - $F$11 + 1)&lt;=24, 14 - 14*(MAX(0, A81 - $F$11 + 1)-6)/18, 0)))) + (IF(MAX(0, A81 - $F$12 + 1)&lt;=0, 0, IF(MAX(0, A81 - $F$12 + 1)&lt;=6, 70 - (70-14)*(MAX(0, A81 - $F$12 + 1)-1)/5, IF(MAX(0, A81 - $F$12 + 1)&lt;=24, 14 - 14*(MAX(0, A81 - $F$12 + 1)-6)/18, 0)))) + (IF(MAX(0, A81 - $F$13 + 1)&lt;=0, 0, IF(MAX(0, A81 - $F$13 + 1)&lt;=6, 70 - (70-14)*(MAX(0, A81 - $F$13 + 1)-1)/5, IF(MAX(0, A81 - $F$13 + 1)&lt;=24, 14 - 14*(MAX(0, A81 - $F$13 + 1)-6)/18, 0)))) + (IF(MAX(0, A81 - $F$14 + 1)&lt;=0, 0, IF(MAX(0, A81 - $F$14 + 1)&lt;=6, 70 - (70-14)*(MAX(0, A81 - $F$14 + 1)-1)/5, IF(MAX(0, A81 - $F$14 + 1)&lt;=24, 14 - 14*(MAX(0, A81 - $F$14 + 1)-6)/18, 0)))) ) * 200 / 12 / 1000</f>
        <v/>
      </c>
      <c r="F81" s="306">
        <f>IF(A81&lt;$F$6,0,IF(AND($B$21=1,A81&gt;$B$19),0,$E$6*$G$6^MIN((A81-$F$6)/12,6)*MIN($G$6,0.85)^MAX(0,(A81-$F$6)/12-6)))</f>
        <v/>
      </c>
      <c r="G81" s="306">
        <f>IF(A81&lt;$F$7,0,IF(AND($B$21=1,A81&gt;$B$19),0,$E$7*$G$7^MIN((A81-$F$7)/12,6)*MIN($G$7,0.85)^MAX(0,(A81-$F$7)/12-6)))</f>
        <v/>
      </c>
      <c r="H81" s="306">
        <f>IF(A81&lt;$F$8,0,IF(AND($B$21=1,A81&gt;$B$19),0,$E$8*$G$8^MIN((A81-$F$8)/12,6)*MIN($G$8,0.85)^MAX(0,(A81-$F$8)/12-6)))</f>
        <v/>
      </c>
      <c r="I81" s="306">
        <f>IF(A81&lt;$F$9,0,IF(AND($B$21=1,A81&gt;$B$19),0,$E$9*$G$9^MIN((A81-$F$9)/12,6)*MIN($G$9,0.85)^MAX(0,(A81-$F$9)/12-6)))</f>
        <v/>
      </c>
      <c r="J81" s="306">
        <f>IF(A81&lt;$F$10,0,IF(AND($B$21=1,A81&gt;$B$19),0,$E$10*$G$10^MIN((A81-$F$10)/12,6)*MIN($G$10,0.85)^MAX(0,(A81-$F$10)/12-6)))</f>
        <v/>
      </c>
      <c r="K81" s="306">
        <f>IF(A81&lt;$F$11,0,IF(AND($B$21=1,A81&gt;$B$19),0,$E$11*$G$11^MIN((A81-$F$11)/12,6)*MIN($G$11,0.85)^MAX(0,(A81-$F$11)/12-6)))</f>
        <v/>
      </c>
      <c r="L81" s="306">
        <f>IF(A81&lt;$F$12,0,IF(AND($B$21=1,A81&gt;$B$19),0,$E$12*$G$12^MIN((A81-$F$12)/12,6)*MIN($G$12,0.85)^MAX(0,(A81-$F$12)/12-6)))</f>
        <v/>
      </c>
      <c r="M81" s="306">
        <f>IF(A81&lt;$F$13,0,IF(AND($B$21=1,A81&gt;$B$19),0,$E$13*$G$13^MIN((A81-$F$13)/12,6)*MIN($G$13,0.85)^MAX(0,(A81-$F$13)/12-6)))</f>
        <v/>
      </c>
      <c r="N81" s="306">
        <f>IF(A81&lt;$F$14,0,IF(AND($B$21=1,A81&gt;$B$19),0,$E$14*$G$14^MIN((A81-$F$14)/12,6)*MIN($G$14,0.85)^MAX(0,(A81-$F$14)/12-6)))</f>
        <v/>
      </c>
      <c r="O81" s="306">
        <f>SUM(F81:N81)</f>
        <v/>
      </c>
      <c r="P81" s="306">
        <f>O81/12</f>
        <v/>
      </c>
      <c r="Q81" s="306">
        <f>P81*$B$8</f>
        <v/>
      </c>
      <c r="R81" s="306">
        <f>P81*$B$9</f>
        <v/>
      </c>
      <c r="S81" s="306">
        <f>P81*$B$10</f>
        <v/>
      </c>
      <c r="T81" s="306">
        <f>P81-Q81-R81-S81-D81-E81</f>
        <v/>
      </c>
      <c r="U81" s="306">
        <f>MAX(0, T81 - $B$7*P81)</f>
        <v/>
      </c>
      <c r="V81" s="306">
        <f>T81-U81</f>
        <v/>
      </c>
      <c r="W81" s="306">
        <f>IF(A81=$F$6, $B$18*$B$16*$B$17/1000000, 0) + IF(A81=$F$7, $B$18*$B$16*$B$17/1000000, 0) + IF(A81=$F$8, $B$18*$B$16*$B$17/1000000, 0) + IF(A81=$F$9, $B$18*$B$16*$B$17/1000000, 0) + IF(A81=$F$10, $B$18*$B$16*$B$17/1000000, 0) + IF(A81=$F$11, $B$18*$B$16*$B$17/1000000, 0) + IF(A81=$F$12, $B$18*$B$16*$B$17/1000000, 0) + IF(A81=$F$13, $B$18*$B$16*$B$17/1000000, 0) + IF(A81=$F$14, $B$18*$B$16*$B$17/1000000, 0)</f>
        <v/>
      </c>
      <c r="X81" s="306">
        <f>V81-W81-C81</f>
        <v/>
      </c>
      <c r="Y81" s="306">
        <f>IF(AND(A81&lt;=$B$24, X81&gt;0), X81*$B$23, 0)</f>
        <v/>
      </c>
      <c r="Z81" s="306">
        <f>X81-Y81</f>
        <v/>
      </c>
      <c r="AA81" s="306">
        <f>IF(AND(A81=$B$19, $B$21=1), O81*$B$20, 0)</f>
        <v/>
      </c>
      <c r="AB81" s="306">
        <f>AB80+Z81+AA81</f>
        <v/>
      </c>
    </row>
    <row r="82">
      <c r="A82" s="306" t="n">
        <v>52</v>
      </c>
      <c r="B82" s="306">
        <f>CEILING(A82/12,1)</f>
        <v/>
      </c>
      <c r="C82" s="306">
        <f>IF(A82&lt;=12, $B$15/12, 0)</f>
        <v/>
      </c>
      <c r="D82" s="306">
        <f>INDEX('26. Team Comp'!$D$28:$R$28, B82) * 0.001 / 12</f>
        <v/>
      </c>
      <c r="E82" s="306">
        <f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+ (IF(MAX(0, A82 - $F$11 + 1)&lt;=0, 0, IF(MAX(0, A82 - $F$11 + 1)&lt;=6, 70 - (70-14)*(MAX(0, A82 - $F$11 + 1)-1)/5, IF(MAX(0, A82 - $F$11 + 1)&lt;=24, 14 - 14*(MAX(0, A82 - $F$11 + 1)-6)/18, 0)))) + (IF(MAX(0, A82 - $F$12 + 1)&lt;=0, 0, IF(MAX(0, A82 - $F$12 + 1)&lt;=6, 70 - (70-14)*(MAX(0, A82 - $F$12 + 1)-1)/5, IF(MAX(0, A82 - $F$12 + 1)&lt;=24, 14 - 14*(MAX(0, A82 - $F$12 + 1)-6)/18, 0)))) + (IF(MAX(0, A82 - $F$13 + 1)&lt;=0, 0, IF(MAX(0, A82 - $F$13 + 1)&lt;=6, 70 - (70-14)*(MAX(0, A82 - $F$13 + 1)-1)/5, IF(MAX(0, A82 - $F$13 + 1)&lt;=24, 14 - 14*(MAX(0, A82 - $F$13 + 1)-6)/18, 0)))) + (IF(MAX(0, A82 - $F$14 + 1)&lt;=0, 0, IF(MAX(0, A82 - $F$14 + 1)&lt;=6, 70 - (70-14)*(MAX(0, A82 - $F$14 + 1)-1)/5, IF(MAX(0, A82 - $F$14 + 1)&lt;=24, 14 - 14*(MAX(0, A82 - $F$14 + 1)-6)/18, 0)))) ) * 200 / 12 / 1000</f>
        <v/>
      </c>
      <c r="F82" s="306">
        <f>IF(A82&lt;$F$6,0,IF(AND($B$21=1,A82&gt;$B$19),0,$E$6*$G$6^MIN((A82-$F$6)/12,6)*MIN($G$6,0.85)^MAX(0,(A82-$F$6)/12-6)))</f>
        <v/>
      </c>
      <c r="G82" s="306">
        <f>IF(A82&lt;$F$7,0,IF(AND($B$21=1,A82&gt;$B$19),0,$E$7*$G$7^MIN((A82-$F$7)/12,6)*MIN($G$7,0.85)^MAX(0,(A82-$F$7)/12-6)))</f>
        <v/>
      </c>
      <c r="H82" s="306">
        <f>IF(A82&lt;$F$8,0,IF(AND($B$21=1,A82&gt;$B$19),0,$E$8*$G$8^MIN((A82-$F$8)/12,6)*MIN($G$8,0.85)^MAX(0,(A82-$F$8)/12-6)))</f>
        <v/>
      </c>
      <c r="I82" s="306">
        <f>IF(A82&lt;$F$9,0,IF(AND($B$21=1,A82&gt;$B$19),0,$E$9*$G$9^MIN((A82-$F$9)/12,6)*MIN($G$9,0.85)^MAX(0,(A82-$F$9)/12-6)))</f>
        <v/>
      </c>
      <c r="J82" s="306">
        <f>IF(A82&lt;$F$10,0,IF(AND($B$21=1,A82&gt;$B$19),0,$E$10*$G$10^MIN((A82-$F$10)/12,6)*MIN($G$10,0.85)^MAX(0,(A82-$F$10)/12-6)))</f>
        <v/>
      </c>
      <c r="K82" s="306">
        <f>IF(A82&lt;$F$11,0,IF(AND($B$21=1,A82&gt;$B$19),0,$E$11*$G$11^MIN((A82-$F$11)/12,6)*MIN($G$11,0.85)^MAX(0,(A82-$F$11)/12-6)))</f>
        <v/>
      </c>
      <c r="L82" s="306">
        <f>IF(A82&lt;$F$12,0,IF(AND($B$21=1,A82&gt;$B$19),0,$E$12*$G$12^MIN((A82-$F$12)/12,6)*MIN($G$12,0.85)^MAX(0,(A82-$F$12)/12-6)))</f>
        <v/>
      </c>
      <c r="M82" s="306">
        <f>IF(A82&lt;$F$13,0,IF(AND($B$21=1,A82&gt;$B$19),0,$E$13*$G$13^MIN((A82-$F$13)/12,6)*MIN($G$13,0.85)^MAX(0,(A82-$F$13)/12-6)))</f>
        <v/>
      </c>
      <c r="N82" s="306">
        <f>IF(A82&lt;$F$14,0,IF(AND($B$21=1,A82&gt;$B$19),0,$E$14*$G$14^MIN((A82-$F$14)/12,6)*MIN($G$14,0.85)^MAX(0,(A82-$F$14)/12-6)))</f>
        <v/>
      </c>
      <c r="O82" s="306">
        <f>SUM(F82:N82)</f>
        <v/>
      </c>
      <c r="P82" s="306">
        <f>O82/12</f>
        <v/>
      </c>
      <c r="Q82" s="306">
        <f>P82*$B$8</f>
        <v/>
      </c>
      <c r="R82" s="306">
        <f>P82*$B$9</f>
        <v/>
      </c>
      <c r="S82" s="306">
        <f>P82*$B$10</f>
        <v/>
      </c>
      <c r="T82" s="306">
        <f>P82-Q82-R82-S82-D82-E82</f>
        <v/>
      </c>
      <c r="U82" s="306">
        <f>MAX(0, T82 - $B$7*P82)</f>
        <v/>
      </c>
      <c r="V82" s="306">
        <f>T82-U82</f>
        <v/>
      </c>
      <c r="W82" s="306">
        <f>IF(A82=$F$6, $B$18*$B$16*$B$17/1000000, 0) + IF(A82=$F$7, $B$18*$B$16*$B$17/1000000, 0) + IF(A82=$F$8, $B$18*$B$16*$B$17/1000000, 0) + IF(A82=$F$9, $B$18*$B$16*$B$17/1000000, 0) + IF(A82=$F$10, $B$18*$B$16*$B$17/1000000, 0) + IF(A82=$F$11, $B$18*$B$16*$B$17/1000000, 0) + IF(A82=$F$12, $B$18*$B$16*$B$17/1000000, 0) + IF(A82=$F$13, $B$18*$B$16*$B$17/1000000, 0) + IF(A82=$F$14, $B$18*$B$16*$B$17/1000000, 0)</f>
        <v/>
      </c>
      <c r="X82" s="306">
        <f>V82-W82-C82</f>
        <v/>
      </c>
      <c r="Y82" s="306">
        <f>IF(AND(A82&lt;=$B$24, X82&gt;0), X82*$B$23, 0)</f>
        <v/>
      </c>
      <c r="Z82" s="306">
        <f>X82-Y82</f>
        <v/>
      </c>
      <c r="AA82" s="306">
        <f>IF(AND(A82=$B$19, $B$21=1), O82*$B$20, 0)</f>
        <v/>
      </c>
      <c r="AB82" s="306">
        <f>AB81+Z82+AA82</f>
        <v/>
      </c>
    </row>
    <row r="83">
      <c r="A83" s="306" t="n">
        <v>53</v>
      </c>
      <c r="B83" s="306">
        <f>CEILING(A83/12,1)</f>
        <v/>
      </c>
      <c r="C83" s="306">
        <f>IF(A83&lt;=12, $B$15/12, 0)</f>
        <v/>
      </c>
      <c r="D83" s="306">
        <f>INDEX('26. Team Comp'!$D$28:$R$28, B83) * 0.001 / 12</f>
        <v/>
      </c>
      <c r="E83" s="306">
        <f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+ (IF(MAX(0, A83 - $F$11 + 1)&lt;=0, 0, IF(MAX(0, A83 - $F$11 + 1)&lt;=6, 70 - (70-14)*(MAX(0, A83 - $F$11 + 1)-1)/5, IF(MAX(0, A83 - $F$11 + 1)&lt;=24, 14 - 14*(MAX(0, A83 - $F$11 + 1)-6)/18, 0)))) + (IF(MAX(0, A83 - $F$12 + 1)&lt;=0, 0, IF(MAX(0, A83 - $F$12 + 1)&lt;=6, 70 - (70-14)*(MAX(0, A83 - $F$12 + 1)-1)/5, IF(MAX(0, A83 - $F$12 + 1)&lt;=24, 14 - 14*(MAX(0, A83 - $F$12 + 1)-6)/18, 0)))) + (IF(MAX(0, A83 - $F$13 + 1)&lt;=0, 0, IF(MAX(0, A83 - $F$13 + 1)&lt;=6, 70 - (70-14)*(MAX(0, A83 - $F$13 + 1)-1)/5, IF(MAX(0, A83 - $F$13 + 1)&lt;=24, 14 - 14*(MAX(0, A83 - $F$13 + 1)-6)/18, 0)))) + (IF(MAX(0, A83 - $F$14 + 1)&lt;=0, 0, IF(MAX(0, A83 - $F$14 + 1)&lt;=6, 70 - (70-14)*(MAX(0, A83 - $F$14 + 1)-1)/5, IF(MAX(0, A83 - $F$14 + 1)&lt;=24, 14 - 14*(MAX(0, A83 - $F$14 + 1)-6)/18, 0)))) ) * 200 / 12 / 1000</f>
        <v/>
      </c>
      <c r="F83" s="306">
        <f>IF(A83&lt;$F$6,0,IF(AND($B$21=1,A83&gt;$B$19),0,$E$6*$G$6^MIN((A83-$F$6)/12,6)*MIN($G$6,0.85)^MAX(0,(A83-$F$6)/12-6)))</f>
        <v/>
      </c>
      <c r="G83" s="306">
        <f>IF(A83&lt;$F$7,0,IF(AND($B$21=1,A83&gt;$B$19),0,$E$7*$G$7^MIN((A83-$F$7)/12,6)*MIN($G$7,0.85)^MAX(0,(A83-$F$7)/12-6)))</f>
        <v/>
      </c>
      <c r="H83" s="306">
        <f>IF(A83&lt;$F$8,0,IF(AND($B$21=1,A83&gt;$B$19),0,$E$8*$G$8^MIN((A83-$F$8)/12,6)*MIN($G$8,0.85)^MAX(0,(A83-$F$8)/12-6)))</f>
        <v/>
      </c>
      <c r="I83" s="306">
        <f>IF(A83&lt;$F$9,0,IF(AND($B$21=1,A83&gt;$B$19),0,$E$9*$G$9^MIN((A83-$F$9)/12,6)*MIN($G$9,0.85)^MAX(0,(A83-$F$9)/12-6)))</f>
        <v/>
      </c>
      <c r="J83" s="306">
        <f>IF(A83&lt;$F$10,0,IF(AND($B$21=1,A83&gt;$B$19),0,$E$10*$G$10^MIN((A83-$F$10)/12,6)*MIN($G$10,0.85)^MAX(0,(A83-$F$10)/12-6)))</f>
        <v/>
      </c>
      <c r="K83" s="306">
        <f>IF(A83&lt;$F$11,0,IF(AND($B$21=1,A83&gt;$B$19),0,$E$11*$G$11^MIN((A83-$F$11)/12,6)*MIN($G$11,0.85)^MAX(0,(A83-$F$11)/12-6)))</f>
        <v/>
      </c>
      <c r="L83" s="306">
        <f>IF(A83&lt;$F$12,0,IF(AND($B$21=1,A83&gt;$B$19),0,$E$12*$G$12^MIN((A83-$F$12)/12,6)*MIN($G$12,0.85)^MAX(0,(A83-$F$12)/12-6)))</f>
        <v/>
      </c>
      <c r="M83" s="306">
        <f>IF(A83&lt;$F$13,0,IF(AND($B$21=1,A83&gt;$B$19),0,$E$13*$G$13^MIN((A83-$F$13)/12,6)*MIN($G$13,0.85)^MAX(0,(A83-$F$13)/12-6)))</f>
        <v/>
      </c>
      <c r="N83" s="306">
        <f>IF(A83&lt;$F$14,0,IF(AND($B$21=1,A83&gt;$B$19),0,$E$14*$G$14^MIN((A83-$F$14)/12,6)*MIN($G$14,0.85)^MAX(0,(A83-$F$14)/12-6)))</f>
        <v/>
      </c>
      <c r="O83" s="306">
        <f>SUM(F83:N83)</f>
        <v/>
      </c>
      <c r="P83" s="306">
        <f>O83/12</f>
        <v/>
      </c>
      <c r="Q83" s="306">
        <f>P83*$B$8</f>
        <v/>
      </c>
      <c r="R83" s="306">
        <f>P83*$B$9</f>
        <v/>
      </c>
      <c r="S83" s="306">
        <f>P83*$B$10</f>
        <v/>
      </c>
      <c r="T83" s="306">
        <f>P83-Q83-R83-S83-D83-E83</f>
        <v/>
      </c>
      <c r="U83" s="306">
        <f>MAX(0, T83 - $B$7*P83)</f>
        <v/>
      </c>
      <c r="V83" s="306">
        <f>T83-U83</f>
        <v/>
      </c>
      <c r="W83" s="306">
        <f>IF(A83=$F$6, $B$18*$B$16*$B$17/1000000, 0) + IF(A83=$F$7, $B$18*$B$16*$B$17/1000000, 0) + IF(A83=$F$8, $B$18*$B$16*$B$17/1000000, 0) + IF(A83=$F$9, $B$18*$B$16*$B$17/1000000, 0) + IF(A83=$F$10, $B$18*$B$16*$B$17/1000000, 0) + IF(A83=$F$11, $B$18*$B$16*$B$17/1000000, 0) + IF(A83=$F$12, $B$18*$B$16*$B$17/1000000, 0) + IF(A83=$F$13, $B$18*$B$16*$B$17/1000000, 0) + IF(A83=$F$14, $B$18*$B$16*$B$17/1000000, 0)</f>
        <v/>
      </c>
      <c r="X83" s="306">
        <f>V83-W83-C83</f>
        <v/>
      </c>
      <c r="Y83" s="306">
        <f>IF(AND(A83&lt;=$B$24, X83&gt;0), X83*$B$23, 0)</f>
        <v/>
      </c>
      <c r="Z83" s="306">
        <f>X83-Y83</f>
        <v/>
      </c>
      <c r="AA83" s="306">
        <f>IF(AND(A83=$B$19, $B$21=1), O83*$B$20, 0)</f>
        <v/>
      </c>
      <c r="AB83" s="306">
        <f>AB82+Z83+AA83</f>
        <v/>
      </c>
    </row>
    <row r="84">
      <c r="A84" s="306" t="n">
        <v>54</v>
      </c>
      <c r="B84" s="306">
        <f>CEILING(A84/12,1)</f>
        <v/>
      </c>
      <c r="C84" s="306">
        <f>IF(A84&lt;=12, $B$15/12, 0)</f>
        <v/>
      </c>
      <c r="D84" s="306">
        <f>INDEX('26. Team Comp'!$D$28:$R$28, B84) * 0.001 / 12</f>
        <v/>
      </c>
      <c r="E84" s="306">
        <f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+ (IF(MAX(0, A84 - $F$11 + 1)&lt;=0, 0, IF(MAX(0, A84 - $F$11 + 1)&lt;=6, 70 - (70-14)*(MAX(0, A84 - $F$11 + 1)-1)/5, IF(MAX(0, A84 - $F$11 + 1)&lt;=24, 14 - 14*(MAX(0, A84 - $F$11 + 1)-6)/18, 0)))) + (IF(MAX(0, A84 - $F$12 + 1)&lt;=0, 0, IF(MAX(0, A84 - $F$12 + 1)&lt;=6, 70 - (70-14)*(MAX(0, A84 - $F$12 + 1)-1)/5, IF(MAX(0, A84 - $F$12 + 1)&lt;=24, 14 - 14*(MAX(0, A84 - $F$12 + 1)-6)/18, 0)))) + (IF(MAX(0, A84 - $F$13 + 1)&lt;=0, 0, IF(MAX(0, A84 - $F$13 + 1)&lt;=6, 70 - (70-14)*(MAX(0, A84 - $F$13 + 1)-1)/5, IF(MAX(0, A84 - $F$13 + 1)&lt;=24, 14 - 14*(MAX(0, A84 - $F$13 + 1)-6)/18, 0)))) + (IF(MAX(0, A84 - $F$14 + 1)&lt;=0, 0, IF(MAX(0, A84 - $F$14 + 1)&lt;=6, 70 - (70-14)*(MAX(0, A84 - $F$14 + 1)-1)/5, IF(MAX(0, A84 - $F$14 + 1)&lt;=24, 14 - 14*(MAX(0, A84 - $F$14 + 1)-6)/18, 0)))) ) * 200 / 12 / 1000</f>
        <v/>
      </c>
      <c r="F84" s="306">
        <f>IF(A84&lt;$F$6,0,IF(AND($B$21=1,A84&gt;$B$19),0,$E$6*$G$6^MIN((A84-$F$6)/12,6)*MIN($G$6,0.85)^MAX(0,(A84-$F$6)/12-6)))</f>
        <v/>
      </c>
      <c r="G84" s="306">
        <f>IF(A84&lt;$F$7,0,IF(AND($B$21=1,A84&gt;$B$19),0,$E$7*$G$7^MIN((A84-$F$7)/12,6)*MIN($G$7,0.85)^MAX(0,(A84-$F$7)/12-6)))</f>
        <v/>
      </c>
      <c r="H84" s="306">
        <f>IF(A84&lt;$F$8,0,IF(AND($B$21=1,A84&gt;$B$19),0,$E$8*$G$8^MIN((A84-$F$8)/12,6)*MIN($G$8,0.85)^MAX(0,(A84-$F$8)/12-6)))</f>
        <v/>
      </c>
      <c r="I84" s="306">
        <f>IF(A84&lt;$F$9,0,IF(AND($B$21=1,A84&gt;$B$19),0,$E$9*$G$9^MIN((A84-$F$9)/12,6)*MIN($G$9,0.85)^MAX(0,(A84-$F$9)/12-6)))</f>
        <v/>
      </c>
      <c r="J84" s="306">
        <f>IF(A84&lt;$F$10,0,IF(AND($B$21=1,A84&gt;$B$19),0,$E$10*$G$10^MIN((A84-$F$10)/12,6)*MIN($G$10,0.85)^MAX(0,(A84-$F$10)/12-6)))</f>
        <v/>
      </c>
      <c r="K84" s="306">
        <f>IF(A84&lt;$F$11,0,IF(AND($B$21=1,A84&gt;$B$19),0,$E$11*$G$11^MIN((A84-$F$11)/12,6)*MIN($G$11,0.85)^MAX(0,(A84-$F$11)/12-6)))</f>
        <v/>
      </c>
      <c r="L84" s="306">
        <f>IF(A84&lt;$F$12,0,IF(AND($B$21=1,A84&gt;$B$19),0,$E$12*$G$12^MIN((A84-$F$12)/12,6)*MIN($G$12,0.85)^MAX(0,(A84-$F$12)/12-6)))</f>
        <v/>
      </c>
      <c r="M84" s="306">
        <f>IF(A84&lt;$F$13,0,IF(AND($B$21=1,A84&gt;$B$19),0,$E$13*$G$13^MIN((A84-$F$13)/12,6)*MIN($G$13,0.85)^MAX(0,(A84-$F$13)/12-6)))</f>
        <v/>
      </c>
      <c r="N84" s="306">
        <f>IF(A84&lt;$F$14,0,IF(AND($B$21=1,A84&gt;$B$19),0,$E$14*$G$14^MIN((A84-$F$14)/12,6)*MIN($G$14,0.85)^MAX(0,(A84-$F$14)/12-6)))</f>
        <v/>
      </c>
      <c r="O84" s="306">
        <f>SUM(F84:N84)</f>
        <v/>
      </c>
      <c r="P84" s="306">
        <f>O84/12</f>
        <v/>
      </c>
      <c r="Q84" s="306">
        <f>P84*$B$8</f>
        <v/>
      </c>
      <c r="R84" s="306">
        <f>P84*$B$9</f>
        <v/>
      </c>
      <c r="S84" s="306">
        <f>P84*$B$10</f>
        <v/>
      </c>
      <c r="T84" s="306">
        <f>P84-Q84-R84-S84-D84-E84</f>
        <v/>
      </c>
      <c r="U84" s="306">
        <f>MAX(0, T84 - $B$7*P84)</f>
        <v/>
      </c>
      <c r="V84" s="306">
        <f>T84-U84</f>
        <v/>
      </c>
      <c r="W84" s="306">
        <f>IF(A84=$F$6, $B$18*$B$16*$B$17/1000000, 0) + IF(A84=$F$7, $B$18*$B$16*$B$17/1000000, 0) + IF(A84=$F$8, $B$18*$B$16*$B$17/1000000, 0) + IF(A84=$F$9, $B$18*$B$16*$B$17/1000000, 0) + IF(A84=$F$10, $B$18*$B$16*$B$17/1000000, 0) + IF(A84=$F$11, $B$18*$B$16*$B$17/1000000, 0) + IF(A84=$F$12, $B$18*$B$16*$B$17/1000000, 0) + IF(A84=$F$13, $B$18*$B$16*$B$17/1000000, 0) + IF(A84=$F$14, $B$18*$B$16*$B$17/1000000, 0)</f>
        <v/>
      </c>
      <c r="X84" s="306">
        <f>V84-W84-C84</f>
        <v/>
      </c>
      <c r="Y84" s="306">
        <f>IF(AND(A84&lt;=$B$24, X84&gt;0), X84*$B$23, 0)</f>
        <v/>
      </c>
      <c r="Z84" s="306">
        <f>X84-Y84</f>
        <v/>
      </c>
      <c r="AA84" s="306">
        <f>IF(AND(A84=$B$19, $B$21=1), O84*$B$20, 0)</f>
        <v/>
      </c>
      <c r="AB84" s="306">
        <f>AB83+Z84+AA84</f>
        <v/>
      </c>
    </row>
    <row r="85">
      <c r="A85" s="306" t="n">
        <v>55</v>
      </c>
      <c r="B85" s="306">
        <f>CEILING(A85/12,1)</f>
        <v/>
      </c>
      <c r="C85" s="306">
        <f>IF(A85&lt;=12, $B$15/12, 0)</f>
        <v/>
      </c>
      <c r="D85" s="306">
        <f>INDEX('26. Team Comp'!$D$28:$R$28, B85) * 0.001 / 12</f>
        <v/>
      </c>
      <c r="E85" s="306">
        <f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+ (IF(MAX(0, A85 - $F$11 + 1)&lt;=0, 0, IF(MAX(0, A85 - $F$11 + 1)&lt;=6, 70 - (70-14)*(MAX(0, A85 - $F$11 + 1)-1)/5, IF(MAX(0, A85 - $F$11 + 1)&lt;=24, 14 - 14*(MAX(0, A85 - $F$11 + 1)-6)/18, 0)))) + (IF(MAX(0, A85 - $F$12 + 1)&lt;=0, 0, IF(MAX(0, A85 - $F$12 + 1)&lt;=6, 70 - (70-14)*(MAX(0, A85 - $F$12 + 1)-1)/5, IF(MAX(0, A85 - $F$12 + 1)&lt;=24, 14 - 14*(MAX(0, A85 - $F$12 + 1)-6)/18, 0)))) + (IF(MAX(0, A85 - $F$13 + 1)&lt;=0, 0, IF(MAX(0, A85 - $F$13 + 1)&lt;=6, 70 - (70-14)*(MAX(0, A85 - $F$13 + 1)-1)/5, IF(MAX(0, A85 - $F$13 + 1)&lt;=24, 14 - 14*(MAX(0, A85 - $F$13 + 1)-6)/18, 0)))) + (IF(MAX(0, A85 - $F$14 + 1)&lt;=0, 0, IF(MAX(0, A85 - $F$14 + 1)&lt;=6, 70 - (70-14)*(MAX(0, A85 - $F$14 + 1)-1)/5, IF(MAX(0, A85 - $F$14 + 1)&lt;=24, 14 - 14*(MAX(0, A85 - $F$14 + 1)-6)/18, 0)))) ) * 200 / 12 / 1000</f>
        <v/>
      </c>
      <c r="F85" s="306">
        <f>IF(A85&lt;$F$6,0,IF(AND($B$21=1,A85&gt;$B$19),0,$E$6*$G$6^MIN((A85-$F$6)/12,6)*MIN($G$6,0.85)^MAX(0,(A85-$F$6)/12-6)))</f>
        <v/>
      </c>
      <c r="G85" s="306">
        <f>IF(A85&lt;$F$7,0,IF(AND($B$21=1,A85&gt;$B$19),0,$E$7*$G$7^MIN((A85-$F$7)/12,6)*MIN($G$7,0.85)^MAX(0,(A85-$F$7)/12-6)))</f>
        <v/>
      </c>
      <c r="H85" s="306">
        <f>IF(A85&lt;$F$8,0,IF(AND($B$21=1,A85&gt;$B$19),0,$E$8*$G$8^MIN((A85-$F$8)/12,6)*MIN($G$8,0.85)^MAX(0,(A85-$F$8)/12-6)))</f>
        <v/>
      </c>
      <c r="I85" s="306">
        <f>IF(A85&lt;$F$9,0,IF(AND($B$21=1,A85&gt;$B$19),0,$E$9*$G$9^MIN((A85-$F$9)/12,6)*MIN($G$9,0.85)^MAX(0,(A85-$F$9)/12-6)))</f>
        <v/>
      </c>
      <c r="J85" s="306">
        <f>IF(A85&lt;$F$10,0,IF(AND($B$21=1,A85&gt;$B$19),0,$E$10*$G$10^MIN((A85-$F$10)/12,6)*MIN($G$10,0.85)^MAX(0,(A85-$F$10)/12-6)))</f>
        <v/>
      </c>
      <c r="K85" s="306">
        <f>IF(A85&lt;$F$11,0,IF(AND($B$21=1,A85&gt;$B$19),0,$E$11*$G$11^MIN((A85-$F$11)/12,6)*MIN($G$11,0.85)^MAX(0,(A85-$F$11)/12-6)))</f>
        <v/>
      </c>
      <c r="L85" s="306">
        <f>IF(A85&lt;$F$12,0,IF(AND($B$21=1,A85&gt;$B$19),0,$E$12*$G$12^MIN((A85-$F$12)/12,6)*MIN($G$12,0.85)^MAX(0,(A85-$F$12)/12-6)))</f>
        <v/>
      </c>
      <c r="M85" s="306">
        <f>IF(A85&lt;$F$13,0,IF(AND($B$21=1,A85&gt;$B$19),0,$E$13*$G$13^MIN((A85-$F$13)/12,6)*MIN($G$13,0.85)^MAX(0,(A85-$F$13)/12-6)))</f>
        <v/>
      </c>
      <c r="N85" s="306">
        <f>IF(A85&lt;$F$14,0,IF(AND($B$21=1,A85&gt;$B$19),0,$E$14*$G$14^MIN((A85-$F$14)/12,6)*MIN($G$14,0.85)^MAX(0,(A85-$F$14)/12-6)))</f>
        <v/>
      </c>
      <c r="O85" s="306">
        <f>SUM(F85:N85)</f>
        <v/>
      </c>
      <c r="P85" s="306">
        <f>O85/12</f>
        <v/>
      </c>
      <c r="Q85" s="306">
        <f>P85*$B$8</f>
        <v/>
      </c>
      <c r="R85" s="306">
        <f>P85*$B$9</f>
        <v/>
      </c>
      <c r="S85" s="306">
        <f>P85*$B$10</f>
        <v/>
      </c>
      <c r="T85" s="306">
        <f>P85-Q85-R85-S85-D85-E85</f>
        <v/>
      </c>
      <c r="U85" s="306">
        <f>MAX(0, T85 - $B$7*P85)</f>
        <v/>
      </c>
      <c r="V85" s="306">
        <f>T85-U85</f>
        <v/>
      </c>
      <c r="W85" s="306">
        <f>IF(A85=$F$6, $B$18*$B$16*$B$17/1000000, 0) + IF(A85=$F$7, $B$18*$B$16*$B$17/1000000, 0) + IF(A85=$F$8, $B$18*$B$16*$B$17/1000000, 0) + IF(A85=$F$9, $B$18*$B$16*$B$17/1000000, 0) + IF(A85=$F$10, $B$18*$B$16*$B$17/1000000, 0) + IF(A85=$F$11, $B$18*$B$16*$B$17/1000000, 0) + IF(A85=$F$12, $B$18*$B$16*$B$17/1000000, 0) + IF(A85=$F$13, $B$18*$B$16*$B$17/1000000, 0) + IF(A85=$F$14, $B$18*$B$16*$B$17/1000000, 0)</f>
        <v/>
      </c>
      <c r="X85" s="306">
        <f>V85-W85-C85</f>
        <v/>
      </c>
      <c r="Y85" s="306">
        <f>IF(AND(A85&lt;=$B$24, X85&gt;0), X85*$B$23, 0)</f>
        <v/>
      </c>
      <c r="Z85" s="306">
        <f>X85-Y85</f>
        <v/>
      </c>
      <c r="AA85" s="306">
        <f>IF(AND(A85=$B$19, $B$21=1), O85*$B$20, 0)</f>
        <v/>
      </c>
      <c r="AB85" s="306">
        <f>AB84+Z85+AA85</f>
        <v/>
      </c>
    </row>
    <row r="86">
      <c r="A86" s="306" t="n">
        <v>56</v>
      </c>
      <c r="B86" s="306">
        <f>CEILING(A86/12,1)</f>
        <v/>
      </c>
      <c r="C86" s="306">
        <f>IF(A86&lt;=12, $B$15/12, 0)</f>
        <v/>
      </c>
      <c r="D86" s="306">
        <f>INDEX('26. Team Comp'!$D$28:$R$28, B86) * 0.001 / 12</f>
        <v/>
      </c>
      <c r="E86" s="306">
        <f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+ (IF(MAX(0, A86 - $F$11 + 1)&lt;=0, 0, IF(MAX(0, A86 - $F$11 + 1)&lt;=6, 70 - (70-14)*(MAX(0, A86 - $F$11 + 1)-1)/5, IF(MAX(0, A86 - $F$11 + 1)&lt;=24, 14 - 14*(MAX(0, A86 - $F$11 + 1)-6)/18, 0)))) + (IF(MAX(0, A86 - $F$12 + 1)&lt;=0, 0, IF(MAX(0, A86 - $F$12 + 1)&lt;=6, 70 - (70-14)*(MAX(0, A86 - $F$12 + 1)-1)/5, IF(MAX(0, A86 - $F$12 + 1)&lt;=24, 14 - 14*(MAX(0, A86 - $F$12 + 1)-6)/18, 0)))) + (IF(MAX(0, A86 - $F$13 + 1)&lt;=0, 0, IF(MAX(0, A86 - $F$13 + 1)&lt;=6, 70 - (70-14)*(MAX(0, A86 - $F$13 + 1)-1)/5, IF(MAX(0, A86 - $F$13 + 1)&lt;=24, 14 - 14*(MAX(0, A86 - $F$13 + 1)-6)/18, 0)))) + (IF(MAX(0, A86 - $F$14 + 1)&lt;=0, 0, IF(MAX(0, A86 - $F$14 + 1)&lt;=6, 70 - (70-14)*(MAX(0, A86 - $F$14 + 1)-1)/5, IF(MAX(0, A86 - $F$14 + 1)&lt;=24, 14 - 14*(MAX(0, A86 - $F$14 + 1)-6)/18, 0)))) ) * 200 / 12 / 1000</f>
        <v/>
      </c>
      <c r="F86" s="306">
        <f>IF(A86&lt;$F$6,0,IF(AND($B$21=1,A86&gt;$B$19),0,$E$6*$G$6^MIN((A86-$F$6)/12,6)*MIN($G$6,0.85)^MAX(0,(A86-$F$6)/12-6)))</f>
        <v/>
      </c>
      <c r="G86" s="306">
        <f>IF(A86&lt;$F$7,0,IF(AND($B$21=1,A86&gt;$B$19),0,$E$7*$G$7^MIN((A86-$F$7)/12,6)*MIN($G$7,0.85)^MAX(0,(A86-$F$7)/12-6)))</f>
        <v/>
      </c>
      <c r="H86" s="306">
        <f>IF(A86&lt;$F$8,0,IF(AND($B$21=1,A86&gt;$B$19),0,$E$8*$G$8^MIN((A86-$F$8)/12,6)*MIN($G$8,0.85)^MAX(0,(A86-$F$8)/12-6)))</f>
        <v/>
      </c>
      <c r="I86" s="306">
        <f>IF(A86&lt;$F$9,0,IF(AND($B$21=1,A86&gt;$B$19),0,$E$9*$G$9^MIN((A86-$F$9)/12,6)*MIN($G$9,0.85)^MAX(0,(A86-$F$9)/12-6)))</f>
        <v/>
      </c>
      <c r="J86" s="306">
        <f>IF(A86&lt;$F$10,0,IF(AND($B$21=1,A86&gt;$B$19),0,$E$10*$G$10^MIN((A86-$F$10)/12,6)*MIN($G$10,0.85)^MAX(0,(A86-$F$10)/12-6)))</f>
        <v/>
      </c>
      <c r="K86" s="306">
        <f>IF(A86&lt;$F$11,0,IF(AND($B$21=1,A86&gt;$B$19),0,$E$11*$G$11^MIN((A86-$F$11)/12,6)*MIN($G$11,0.85)^MAX(0,(A86-$F$11)/12-6)))</f>
        <v/>
      </c>
      <c r="L86" s="306">
        <f>IF(A86&lt;$F$12,0,IF(AND($B$21=1,A86&gt;$B$19),0,$E$12*$G$12^MIN((A86-$F$12)/12,6)*MIN($G$12,0.85)^MAX(0,(A86-$F$12)/12-6)))</f>
        <v/>
      </c>
      <c r="M86" s="306">
        <f>IF(A86&lt;$F$13,0,IF(AND($B$21=1,A86&gt;$B$19),0,$E$13*$G$13^MIN((A86-$F$13)/12,6)*MIN($G$13,0.85)^MAX(0,(A86-$F$13)/12-6)))</f>
        <v/>
      </c>
      <c r="N86" s="306">
        <f>IF(A86&lt;$F$14,0,IF(AND($B$21=1,A86&gt;$B$19),0,$E$14*$G$14^MIN((A86-$F$14)/12,6)*MIN($G$14,0.85)^MAX(0,(A86-$F$14)/12-6)))</f>
        <v/>
      </c>
      <c r="O86" s="306">
        <f>SUM(F86:N86)</f>
        <v/>
      </c>
      <c r="P86" s="306">
        <f>O86/12</f>
        <v/>
      </c>
      <c r="Q86" s="306">
        <f>P86*$B$8</f>
        <v/>
      </c>
      <c r="R86" s="306">
        <f>P86*$B$9</f>
        <v/>
      </c>
      <c r="S86" s="306">
        <f>P86*$B$10</f>
        <v/>
      </c>
      <c r="T86" s="306">
        <f>P86-Q86-R86-S86-D86-E86</f>
        <v/>
      </c>
      <c r="U86" s="306">
        <f>MAX(0, T86 - $B$7*P86)</f>
        <v/>
      </c>
      <c r="V86" s="306">
        <f>T86-U86</f>
        <v/>
      </c>
      <c r="W86" s="306">
        <f>IF(A86=$F$6, $B$18*$B$16*$B$17/1000000, 0) + IF(A86=$F$7, $B$18*$B$16*$B$17/1000000, 0) + IF(A86=$F$8, $B$18*$B$16*$B$17/1000000, 0) + IF(A86=$F$9, $B$18*$B$16*$B$17/1000000, 0) + IF(A86=$F$10, $B$18*$B$16*$B$17/1000000, 0) + IF(A86=$F$11, $B$18*$B$16*$B$17/1000000, 0) + IF(A86=$F$12, $B$18*$B$16*$B$17/1000000, 0) + IF(A86=$F$13, $B$18*$B$16*$B$17/1000000, 0) + IF(A86=$F$14, $B$18*$B$16*$B$17/1000000, 0)</f>
        <v/>
      </c>
      <c r="X86" s="306">
        <f>V86-W86-C86</f>
        <v/>
      </c>
      <c r="Y86" s="306">
        <f>IF(AND(A86&lt;=$B$24, X86&gt;0), X86*$B$23, 0)</f>
        <v/>
      </c>
      <c r="Z86" s="306">
        <f>X86-Y86</f>
        <v/>
      </c>
      <c r="AA86" s="306">
        <f>IF(AND(A86=$B$19, $B$21=1), O86*$B$20, 0)</f>
        <v/>
      </c>
      <c r="AB86" s="306">
        <f>AB85+Z86+AA86</f>
        <v/>
      </c>
    </row>
    <row r="87">
      <c r="A87" s="306" t="n">
        <v>57</v>
      </c>
      <c r="B87" s="306">
        <f>CEILING(A87/12,1)</f>
        <v/>
      </c>
      <c r="C87" s="306">
        <f>IF(A87&lt;=12, $B$15/12, 0)</f>
        <v/>
      </c>
      <c r="D87" s="306">
        <f>INDEX('26. Team Comp'!$D$28:$R$28, B87) * 0.001 / 12</f>
        <v/>
      </c>
      <c r="E87" s="306">
        <f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+ (IF(MAX(0, A87 - $F$11 + 1)&lt;=0, 0, IF(MAX(0, A87 - $F$11 + 1)&lt;=6, 70 - (70-14)*(MAX(0, A87 - $F$11 + 1)-1)/5, IF(MAX(0, A87 - $F$11 + 1)&lt;=24, 14 - 14*(MAX(0, A87 - $F$11 + 1)-6)/18, 0)))) + (IF(MAX(0, A87 - $F$12 + 1)&lt;=0, 0, IF(MAX(0, A87 - $F$12 + 1)&lt;=6, 70 - (70-14)*(MAX(0, A87 - $F$12 + 1)-1)/5, IF(MAX(0, A87 - $F$12 + 1)&lt;=24, 14 - 14*(MAX(0, A87 - $F$12 + 1)-6)/18, 0)))) + (IF(MAX(0, A87 - $F$13 + 1)&lt;=0, 0, IF(MAX(0, A87 - $F$13 + 1)&lt;=6, 70 - (70-14)*(MAX(0, A87 - $F$13 + 1)-1)/5, IF(MAX(0, A87 - $F$13 + 1)&lt;=24, 14 - 14*(MAX(0, A87 - $F$13 + 1)-6)/18, 0)))) + (IF(MAX(0, A87 - $F$14 + 1)&lt;=0, 0, IF(MAX(0, A87 - $F$14 + 1)&lt;=6, 70 - (70-14)*(MAX(0, A87 - $F$14 + 1)-1)/5, IF(MAX(0, A87 - $F$14 + 1)&lt;=24, 14 - 14*(MAX(0, A87 - $F$14 + 1)-6)/18, 0)))) ) * 200 / 12 / 1000</f>
        <v/>
      </c>
      <c r="F87" s="306">
        <f>IF(A87&lt;$F$6,0,IF(AND($B$21=1,A87&gt;$B$19),0,$E$6*$G$6^MIN((A87-$F$6)/12,6)*MIN($G$6,0.85)^MAX(0,(A87-$F$6)/12-6)))</f>
        <v/>
      </c>
      <c r="G87" s="306">
        <f>IF(A87&lt;$F$7,0,IF(AND($B$21=1,A87&gt;$B$19),0,$E$7*$G$7^MIN((A87-$F$7)/12,6)*MIN($G$7,0.85)^MAX(0,(A87-$F$7)/12-6)))</f>
        <v/>
      </c>
      <c r="H87" s="306">
        <f>IF(A87&lt;$F$8,0,IF(AND($B$21=1,A87&gt;$B$19),0,$E$8*$G$8^MIN((A87-$F$8)/12,6)*MIN($G$8,0.85)^MAX(0,(A87-$F$8)/12-6)))</f>
        <v/>
      </c>
      <c r="I87" s="306">
        <f>IF(A87&lt;$F$9,0,IF(AND($B$21=1,A87&gt;$B$19),0,$E$9*$G$9^MIN((A87-$F$9)/12,6)*MIN($G$9,0.85)^MAX(0,(A87-$F$9)/12-6)))</f>
        <v/>
      </c>
      <c r="J87" s="306">
        <f>IF(A87&lt;$F$10,0,IF(AND($B$21=1,A87&gt;$B$19),0,$E$10*$G$10^MIN((A87-$F$10)/12,6)*MIN($G$10,0.85)^MAX(0,(A87-$F$10)/12-6)))</f>
        <v/>
      </c>
      <c r="K87" s="306">
        <f>IF(A87&lt;$F$11,0,IF(AND($B$21=1,A87&gt;$B$19),0,$E$11*$G$11^MIN((A87-$F$11)/12,6)*MIN($G$11,0.85)^MAX(0,(A87-$F$11)/12-6)))</f>
        <v/>
      </c>
      <c r="L87" s="306">
        <f>IF(A87&lt;$F$12,0,IF(AND($B$21=1,A87&gt;$B$19),0,$E$12*$G$12^MIN((A87-$F$12)/12,6)*MIN($G$12,0.85)^MAX(0,(A87-$F$12)/12-6)))</f>
        <v/>
      </c>
      <c r="M87" s="306">
        <f>IF(A87&lt;$F$13,0,IF(AND($B$21=1,A87&gt;$B$19),0,$E$13*$G$13^MIN((A87-$F$13)/12,6)*MIN($G$13,0.85)^MAX(0,(A87-$F$13)/12-6)))</f>
        <v/>
      </c>
      <c r="N87" s="306">
        <f>IF(A87&lt;$F$14,0,IF(AND($B$21=1,A87&gt;$B$19),0,$E$14*$G$14^MIN((A87-$F$14)/12,6)*MIN($G$14,0.85)^MAX(0,(A87-$F$14)/12-6)))</f>
        <v/>
      </c>
      <c r="O87" s="306">
        <f>SUM(F87:N87)</f>
        <v/>
      </c>
      <c r="P87" s="306">
        <f>O87/12</f>
        <v/>
      </c>
      <c r="Q87" s="306">
        <f>P87*$B$8</f>
        <v/>
      </c>
      <c r="R87" s="306">
        <f>P87*$B$9</f>
        <v/>
      </c>
      <c r="S87" s="306">
        <f>P87*$B$10</f>
        <v/>
      </c>
      <c r="T87" s="306">
        <f>P87-Q87-R87-S87-D87-E87</f>
        <v/>
      </c>
      <c r="U87" s="306">
        <f>MAX(0, T87 - $B$7*P87)</f>
        <v/>
      </c>
      <c r="V87" s="306">
        <f>T87-U87</f>
        <v/>
      </c>
      <c r="W87" s="306">
        <f>IF(A87=$F$6, $B$18*$B$16*$B$17/1000000, 0) + IF(A87=$F$7, $B$18*$B$16*$B$17/1000000, 0) + IF(A87=$F$8, $B$18*$B$16*$B$17/1000000, 0) + IF(A87=$F$9, $B$18*$B$16*$B$17/1000000, 0) + IF(A87=$F$10, $B$18*$B$16*$B$17/1000000, 0) + IF(A87=$F$11, $B$18*$B$16*$B$17/1000000, 0) + IF(A87=$F$12, $B$18*$B$16*$B$17/1000000, 0) + IF(A87=$F$13, $B$18*$B$16*$B$17/1000000, 0) + IF(A87=$F$14, $B$18*$B$16*$B$17/1000000, 0)</f>
        <v/>
      </c>
      <c r="X87" s="306">
        <f>V87-W87-C87</f>
        <v/>
      </c>
      <c r="Y87" s="306">
        <f>IF(AND(A87&lt;=$B$24, X87&gt;0), X87*$B$23, 0)</f>
        <v/>
      </c>
      <c r="Z87" s="306">
        <f>X87-Y87</f>
        <v/>
      </c>
      <c r="AA87" s="306">
        <f>IF(AND(A87=$B$19, $B$21=1), O87*$B$20, 0)</f>
        <v/>
      </c>
      <c r="AB87" s="306">
        <f>AB86+Z87+AA87</f>
        <v/>
      </c>
    </row>
    <row r="88">
      <c r="A88" s="306" t="n">
        <v>58</v>
      </c>
      <c r="B88" s="306">
        <f>CEILING(A88/12,1)</f>
        <v/>
      </c>
      <c r="C88" s="306">
        <f>IF(A88&lt;=12, $B$15/12, 0)</f>
        <v/>
      </c>
      <c r="D88" s="306">
        <f>INDEX('26. Team Comp'!$D$28:$R$28, B88) * 0.001 / 12</f>
        <v/>
      </c>
      <c r="E88" s="306">
        <f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+ (IF(MAX(0, A88 - $F$11 + 1)&lt;=0, 0, IF(MAX(0, A88 - $F$11 + 1)&lt;=6, 70 - (70-14)*(MAX(0, A88 - $F$11 + 1)-1)/5, IF(MAX(0, A88 - $F$11 + 1)&lt;=24, 14 - 14*(MAX(0, A88 - $F$11 + 1)-6)/18, 0)))) + (IF(MAX(0, A88 - $F$12 + 1)&lt;=0, 0, IF(MAX(0, A88 - $F$12 + 1)&lt;=6, 70 - (70-14)*(MAX(0, A88 - $F$12 + 1)-1)/5, IF(MAX(0, A88 - $F$12 + 1)&lt;=24, 14 - 14*(MAX(0, A88 - $F$12 + 1)-6)/18, 0)))) + (IF(MAX(0, A88 - $F$13 + 1)&lt;=0, 0, IF(MAX(0, A88 - $F$13 + 1)&lt;=6, 70 - (70-14)*(MAX(0, A88 - $F$13 + 1)-1)/5, IF(MAX(0, A88 - $F$13 + 1)&lt;=24, 14 - 14*(MAX(0, A88 - $F$13 + 1)-6)/18, 0)))) + (IF(MAX(0, A88 - $F$14 + 1)&lt;=0, 0, IF(MAX(0, A88 - $F$14 + 1)&lt;=6, 70 - (70-14)*(MAX(0, A88 - $F$14 + 1)-1)/5, IF(MAX(0, A88 - $F$14 + 1)&lt;=24, 14 - 14*(MAX(0, A88 - $F$14 + 1)-6)/18, 0)))) ) * 200 / 12 / 1000</f>
        <v/>
      </c>
      <c r="F88" s="306">
        <f>IF(A88&lt;$F$6,0,IF(AND($B$21=1,A88&gt;$B$19),0,$E$6*$G$6^MIN((A88-$F$6)/12,6)*MIN($G$6,0.85)^MAX(0,(A88-$F$6)/12-6)))</f>
        <v/>
      </c>
      <c r="G88" s="306">
        <f>IF(A88&lt;$F$7,0,IF(AND($B$21=1,A88&gt;$B$19),0,$E$7*$G$7^MIN((A88-$F$7)/12,6)*MIN($G$7,0.85)^MAX(0,(A88-$F$7)/12-6)))</f>
        <v/>
      </c>
      <c r="H88" s="306">
        <f>IF(A88&lt;$F$8,0,IF(AND($B$21=1,A88&gt;$B$19),0,$E$8*$G$8^MIN((A88-$F$8)/12,6)*MIN($G$8,0.85)^MAX(0,(A88-$F$8)/12-6)))</f>
        <v/>
      </c>
      <c r="I88" s="306">
        <f>IF(A88&lt;$F$9,0,IF(AND($B$21=1,A88&gt;$B$19),0,$E$9*$G$9^MIN((A88-$F$9)/12,6)*MIN($G$9,0.85)^MAX(0,(A88-$F$9)/12-6)))</f>
        <v/>
      </c>
      <c r="J88" s="306">
        <f>IF(A88&lt;$F$10,0,IF(AND($B$21=1,A88&gt;$B$19),0,$E$10*$G$10^MIN((A88-$F$10)/12,6)*MIN($G$10,0.85)^MAX(0,(A88-$F$10)/12-6)))</f>
        <v/>
      </c>
      <c r="K88" s="306">
        <f>IF(A88&lt;$F$11,0,IF(AND($B$21=1,A88&gt;$B$19),0,$E$11*$G$11^MIN((A88-$F$11)/12,6)*MIN($G$11,0.85)^MAX(0,(A88-$F$11)/12-6)))</f>
        <v/>
      </c>
      <c r="L88" s="306">
        <f>IF(A88&lt;$F$12,0,IF(AND($B$21=1,A88&gt;$B$19),0,$E$12*$G$12^MIN((A88-$F$12)/12,6)*MIN($G$12,0.85)^MAX(0,(A88-$F$12)/12-6)))</f>
        <v/>
      </c>
      <c r="M88" s="306">
        <f>IF(A88&lt;$F$13,0,IF(AND($B$21=1,A88&gt;$B$19),0,$E$13*$G$13^MIN((A88-$F$13)/12,6)*MIN($G$13,0.85)^MAX(0,(A88-$F$13)/12-6)))</f>
        <v/>
      </c>
      <c r="N88" s="306">
        <f>IF(A88&lt;$F$14,0,IF(AND($B$21=1,A88&gt;$B$19),0,$E$14*$G$14^MIN((A88-$F$14)/12,6)*MIN($G$14,0.85)^MAX(0,(A88-$F$14)/12-6)))</f>
        <v/>
      </c>
      <c r="O88" s="306">
        <f>SUM(F88:N88)</f>
        <v/>
      </c>
      <c r="P88" s="306">
        <f>O88/12</f>
        <v/>
      </c>
      <c r="Q88" s="306">
        <f>P88*$B$8</f>
        <v/>
      </c>
      <c r="R88" s="306">
        <f>P88*$B$9</f>
        <v/>
      </c>
      <c r="S88" s="306">
        <f>P88*$B$10</f>
        <v/>
      </c>
      <c r="T88" s="306">
        <f>P88-Q88-R88-S88-D88-E88</f>
        <v/>
      </c>
      <c r="U88" s="306">
        <f>MAX(0, T88 - $B$7*P88)</f>
        <v/>
      </c>
      <c r="V88" s="306">
        <f>T88-U88</f>
        <v/>
      </c>
      <c r="W88" s="306">
        <f>IF(A88=$F$6, $B$18*$B$16*$B$17/1000000, 0) + IF(A88=$F$7, $B$18*$B$16*$B$17/1000000, 0) + IF(A88=$F$8, $B$18*$B$16*$B$17/1000000, 0) + IF(A88=$F$9, $B$18*$B$16*$B$17/1000000, 0) + IF(A88=$F$10, $B$18*$B$16*$B$17/1000000, 0) + IF(A88=$F$11, $B$18*$B$16*$B$17/1000000, 0) + IF(A88=$F$12, $B$18*$B$16*$B$17/1000000, 0) + IF(A88=$F$13, $B$18*$B$16*$B$17/1000000, 0) + IF(A88=$F$14, $B$18*$B$16*$B$17/1000000, 0)</f>
        <v/>
      </c>
      <c r="X88" s="306">
        <f>V88-W88-C88</f>
        <v/>
      </c>
      <c r="Y88" s="306">
        <f>IF(AND(A88&lt;=$B$24, X88&gt;0), X88*$B$23, 0)</f>
        <v/>
      </c>
      <c r="Z88" s="306">
        <f>X88-Y88</f>
        <v/>
      </c>
      <c r="AA88" s="306">
        <f>IF(AND(A88=$B$19, $B$21=1), O88*$B$20, 0)</f>
        <v/>
      </c>
      <c r="AB88" s="306">
        <f>AB87+Z88+AA88</f>
        <v/>
      </c>
    </row>
    <row r="89">
      <c r="A89" s="306" t="n">
        <v>59</v>
      </c>
      <c r="B89" s="306">
        <f>CEILING(A89/12,1)</f>
        <v/>
      </c>
      <c r="C89" s="306">
        <f>IF(A89&lt;=12, $B$15/12, 0)</f>
        <v/>
      </c>
      <c r="D89" s="306">
        <f>INDEX('26. Team Comp'!$D$28:$R$28, B89) * 0.001 / 12</f>
        <v/>
      </c>
      <c r="E89" s="306">
        <f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+ (IF(MAX(0, A89 - $F$11 + 1)&lt;=0, 0, IF(MAX(0, A89 - $F$11 + 1)&lt;=6, 70 - (70-14)*(MAX(0, A89 - $F$11 + 1)-1)/5, IF(MAX(0, A89 - $F$11 + 1)&lt;=24, 14 - 14*(MAX(0, A89 - $F$11 + 1)-6)/18, 0)))) + (IF(MAX(0, A89 - $F$12 + 1)&lt;=0, 0, IF(MAX(0, A89 - $F$12 + 1)&lt;=6, 70 - (70-14)*(MAX(0, A89 - $F$12 + 1)-1)/5, IF(MAX(0, A89 - $F$12 + 1)&lt;=24, 14 - 14*(MAX(0, A89 - $F$12 + 1)-6)/18, 0)))) + (IF(MAX(0, A89 - $F$13 + 1)&lt;=0, 0, IF(MAX(0, A89 - $F$13 + 1)&lt;=6, 70 - (70-14)*(MAX(0, A89 - $F$13 + 1)-1)/5, IF(MAX(0, A89 - $F$13 + 1)&lt;=24, 14 - 14*(MAX(0, A89 - $F$13 + 1)-6)/18, 0)))) + (IF(MAX(0, A89 - $F$14 + 1)&lt;=0, 0, IF(MAX(0, A89 - $F$14 + 1)&lt;=6, 70 - (70-14)*(MAX(0, A89 - $F$14 + 1)-1)/5, IF(MAX(0, A89 - $F$14 + 1)&lt;=24, 14 - 14*(MAX(0, A89 - $F$14 + 1)-6)/18, 0)))) ) * 200 / 12 / 1000</f>
        <v/>
      </c>
      <c r="F89" s="306">
        <f>IF(A89&lt;$F$6,0,IF(AND($B$21=1,A89&gt;$B$19),0,$E$6*$G$6^MIN((A89-$F$6)/12,6)*MIN($G$6,0.85)^MAX(0,(A89-$F$6)/12-6)))</f>
        <v/>
      </c>
      <c r="G89" s="306">
        <f>IF(A89&lt;$F$7,0,IF(AND($B$21=1,A89&gt;$B$19),0,$E$7*$G$7^MIN((A89-$F$7)/12,6)*MIN($G$7,0.85)^MAX(0,(A89-$F$7)/12-6)))</f>
        <v/>
      </c>
      <c r="H89" s="306">
        <f>IF(A89&lt;$F$8,0,IF(AND($B$21=1,A89&gt;$B$19),0,$E$8*$G$8^MIN((A89-$F$8)/12,6)*MIN($G$8,0.85)^MAX(0,(A89-$F$8)/12-6)))</f>
        <v/>
      </c>
      <c r="I89" s="306">
        <f>IF(A89&lt;$F$9,0,IF(AND($B$21=1,A89&gt;$B$19),0,$E$9*$G$9^MIN((A89-$F$9)/12,6)*MIN($G$9,0.85)^MAX(0,(A89-$F$9)/12-6)))</f>
        <v/>
      </c>
      <c r="J89" s="306">
        <f>IF(A89&lt;$F$10,0,IF(AND($B$21=1,A89&gt;$B$19),0,$E$10*$G$10^MIN((A89-$F$10)/12,6)*MIN($G$10,0.85)^MAX(0,(A89-$F$10)/12-6)))</f>
        <v/>
      </c>
      <c r="K89" s="306">
        <f>IF(A89&lt;$F$11,0,IF(AND($B$21=1,A89&gt;$B$19),0,$E$11*$G$11^MIN((A89-$F$11)/12,6)*MIN($G$11,0.85)^MAX(0,(A89-$F$11)/12-6)))</f>
        <v/>
      </c>
      <c r="L89" s="306">
        <f>IF(A89&lt;$F$12,0,IF(AND($B$21=1,A89&gt;$B$19),0,$E$12*$G$12^MIN((A89-$F$12)/12,6)*MIN($G$12,0.85)^MAX(0,(A89-$F$12)/12-6)))</f>
        <v/>
      </c>
      <c r="M89" s="306">
        <f>IF(A89&lt;$F$13,0,IF(AND($B$21=1,A89&gt;$B$19),0,$E$13*$G$13^MIN((A89-$F$13)/12,6)*MIN($G$13,0.85)^MAX(0,(A89-$F$13)/12-6)))</f>
        <v/>
      </c>
      <c r="N89" s="306">
        <f>IF(A89&lt;$F$14,0,IF(AND($B$21=1,A89&gt;$B$19),0,$E$14*$G$14^MIN((A89-$F$14)/12,6)*MIN($G$14,0.85)^MAX(0,(A89-$F$14)/12-6)))</f>
        <v/>
      </c>
      <c r="O89" s="306">
        <f>SUM(F89:N89)</f>
        <v/>
      </c>
      <c r="P89" s="306">
        <f>O89/12</f>
        <v/>
      </c>
      <c r="Q89" s="306">
        <f>P89*$B$8</f>
        <v/>
      </c>
      <c r="R89" s="306">
        <f>P89*$B$9</f>
        <v/>
      </c>
      <c r="S89" s="306">
        <f>P89*$B$10</f>
        <v/>
      </c>
      <c r="T89" s="306">
        <f>P89-Q89-R89-S89-D89-E89</f>
        <v/>
      </c>
      <c r="U89" s="306">
        <f>MAX(0, T89 - $B$7*P89)</f>
        <v/>
      </c>
      <c r="V89" s="306">
        <f>T89-U89</f>
        <v/>
      </c>
      <c r="W89" s="306">
        <f>IF(A89=$F$6, $B$18*$B$16*$B$17/1000000, 0) + IF(A89=$F$7, $B$18*$B$16*$B$17/1000000, 0) + IF(A89=$F$8, $B$18*$B$16*$B$17/1000000, 0) + IF(A89=$F$9, $B$18*$B$16*$B$17/1000000, 0) + IF(A89=$F$10, $B$18*$B$16*$B$17/1000000, 0) + IF(A89=$F$11, $B$18*$B$16*$B$17/1000000, 0) + IF(A89=$F$12, $B$18*$B$16*$B$17/1000000, 0) + IF(A89=$F$13, $B$18*$B$16*$B$17/1000000, 0) + IF(A89=$F$14, $B$18*$B$16*$B$17/1000000, 0)</f>
        <v/>
      </c>
      <c r="X89" s="306">
        <f>V89-W89-C89</f>
        <v/>
      </c>
      <c r="Y89" s="306">
        <f>IF(AND(A89&lt;=$B$24, X89&gt;0), X89*$B$23, 0)</f>
        <v/>
      </c>
      <c r="Z89" s="306">
        <f>X89-Y89</f>
        <v/>
      </c>
      <c r="AA89" s="306">
        <f>IF(AND(A89=$B$19, $B$21=1), O89*$B$20, 0)</f>
        <v/>
      </c>
      <c r="AB89" s="306">
        <f>AB88+Z89+AA89</f>
        <v/>
      </c>
    </row>
    <row r="90">
      <c r="A90" s="306" t="n">
        <v>60</v>
      </c>
      <c r="B90" s="306">
        <f>CEILING(A90/12,1)</f>
        <v/>
      </c>
      <c r="C90" s="306">
        <f>IF(A90&lt;=12, $B$15/12, 0)</f>
        <v/>
      </c>
      <c r="D90" s="306">
        <f>INDEX('26. Team Comp'!$D$28:$R$28, B90) * 0.001 / 12</f>
        <v/>
      </c>
      <c r="E90" s="306">
        <f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+ (IF(MAX(0, A90 - $F$11 + 1)&lt;=0, 0, IF(MAX(0, A90 - $F$11 + 1)&lt;=6, 70 - (70-14)*(MAX(0, A90 - $F$11 + 1)-1)/5, IF(MAX(0, A90 - $F$11 + 1)&lt;=24, 14 - 14*(MAX(0, A90 - $F$11 + 1)-6)/18, 0)))) + (IF(MAX(0, A90 - $F$12 + 1)&lt;=0, 0, IF(MAX(0, A90 - $F$12 + 1)&lt;=6, 70 - (70-14)*(MAX(0, A90 - $F$12 + 1)-1)/5, IF(MAX(0, A90 - $F$12 + 1)&lt;=24, 14 - 14*(MAX(0, A90 - $F$12 + 1)-6)/18, 0)))) + (IF(MAX(0, A90 - $F$13 + 1)&lt;=0, 0, IF(MAX(0, A90 - $F$13 + 1)&lt;=6, 70 - (70-14)*(MAX(0, A90 - $F$13 + 1)-1)/5, IF(MAX(0, A90 - $F$13 + 1)&lt;=24, 14 - 14*(MAX(0, A90 - $F$13 + 1)-6)/18, 0)))) + (IF(MAX(0, A90 - $F$14 + 1)&lt;=0, 0, IF(MAX(0, A90 - $F$14 + 1)&lt;=6, 70 - (70-14)*(MAX(0, A90 - $F$14 + 1)-1)/5, IF(MAX(0, A90 - $F$14 + 1)&lt;=24, 14 - 14*(MAX(0, A90 - $F$14 + 1)-6)/18, 0)))) ) * 200 / 12 / 1000</f>
        <v/>
      </c>
      <c r="F90" s="306">
        <f>IF(A90&lt;$F$6,0,IF(AND($B$21=1,A90&gt;$B$19),0,$E$6*$G$6^MIN((A90-$F$6)/12,6)*MIN($G$6,0.85)^MAX(0,(A90-$F$6)/12-6)))</f>
        <v/>
      </c>
      <c r="G90" s="306">
        <f>IF(A90&lt;$F$7,0,IF(AND($B$21=1,A90&gt;$B$19),0,$E$7*$G$7^MIN((A90-$F$7)/12,6)*MIN($G$7,0.85)^MAX(0,(A90-$F$7)/12-6)))</f>
        <v/>
      </c>
      <c r="H90" s="306">
        <f>IF(A90&lt;$F$8,0,IF(AND($B$21=1,A90&gt;$B$19),0,$E$8*$G$8^MIN((A90-$F$8)/12,6)*MIN($G$8,0.85)^MAX(0,(A90-$F$8)/12-6)))</f>
        <v/>
      </c>
      <c r="I90" s="306">
        <f>IF(A90&lt;$F$9,0,IF(AND($B$21=1,A90&gt;$B$19),0,$E$9*$G$9^MIN((A90-$F$9)/12,6)*MIN($G$9,0.85)^MAX(0,(A90-$F$9)/12-6)))</f>
        <v/>
      </c>
      <c r="J90" s="306">
        <f>IF(A90&lt;$F$10,0,IF(AND($B$21=1,A90&gt;$B$19),0,$E$10*$G$10^MIN((A90-$F$10)/12,6)*MIN($G$10,0.85)^MAX(0,(A90-$F$10)/12-6)))</f>
        <v/>
      </c>
      <c r="K90" s="306">
        <f>IF(A90&lt;$F$11,0,IF(AND($B$21=1,A90&gt;$B$19),0,$E$11*$G$11^MIN((A90-$F$11)/12,6)*MIN($G$11,0.85)^MAX(0,(A90-$F$11)/12-6)))</f>
        <v/>
      </c>
      <c r="L90" s="306">
        <f>IF(A90&lt;$F$12,0,IF(AND($B$21=1,A90&gt;$B$19),0,$E$12*$G$12^MIN((A90-$F$12)/12,6)*MIN($G$12,0.85)^MAX(0,(A90-$F$12)/12-6)))</f>
        <v/>
      </c>
      <c r="M90" s="306">
        <f>IF(A90&lt;$F$13,0,IF(AND($B$21=1,A90&gt;$B$19),0,$E$13*$G$13^MIN((A90-$F$13)/12,6)*MIN($G$13,0.85)^MAX(0,(A90-$F$13)/12-6)))</f>
        <v/>
      </c>
      <c r="N90" s="306">
        <f>IF(A90&lt;$F$14,0,IF(AND($B$21=1,A90&gt;$B$19),0,$E$14*$G$14^MIN((A90-$F$14)/12,6)*MIN($G$14,0.85)^MAX(0,(A90-$F$14)/12-6)))</f>
        <v/>
      </c>
      <c r="O90" s="306">
        <f>SUM(F90:N90)</f>
        <v/>
      </c>
      <c r="P90" s="306">
        <f>O90/12</f>
        <v/>
      </c>
      <c r="Q90" s="306">
        <f>P90*$B$8</f>
        <v/>
      </c>
      <c r="R90" s="306">
        <f>P90*$B$9</f>
        <v/>
      </c>
      <c r="S90" s="306">
        <f>P90*$B$10</f>
        <v/>
      </c>
      <c r="T90" s="306">
        <f>P90-Q90-R90-S90-D90-E90</f>
        <v/>
      </c>
      <c r="U90" s="306">
        <f>MAX(0, T90 - $B$7*P90)</f>
        <v/>
      </c>
      <c r="V90" s="306">
        <f>T90-U90</f>
        <v/>
      </c>
      <c r="W90" s="306">
        <f>IF(A90=$F$6, $B$18*$B$16*$B$17/1000000, 0) + IF(A90=$F$7, $B$18*$B$16*$B$17/1000000, 0) + IF(A90=$F$8, $B$18*$B$16*$B$17/1000000, 0) + IF(A90=$F$9, $B$18*$B$16*$B$17/1000000, 0) + IF(A90=$F$10, $B$18*$B$16*$B$17/1000000, 0) + IF(A90=$F$11, $B$18*$B$16*$B$17/1000000, 0) + IF(A90=$F$12, $B$18*$B$16*$B$17/1000000, 0) + IF(A90=$F$13, $B$18*$B$16*$B$17/1000000, 0) + IF(A90=$F$14, $B$18*$B$16*$B$17/1000000, 0)</f>
        <v/>
      </c>
      <c r="X90" s="306">
        <f>V90-W90-C90</f>
        <v/>
      </c>
      <c r="Y90" s="306">
        <f>IF(AND(A90&lt;=$B$24, X90&gt;0), X90*$B$23, 0)</f>
        <v/>
      </c>
      <c r="Z90" s="306">
        <f>X90-Y90</f>
        <v/>
      </c>
      <c r="AA90" s="306">
        <f>IF(AND(A90=$B$19, $B$21=1), O90*$B$20, 0)</f>
        <v/>
      </c>
      <c r="AB90" s="306">
        <f>AB89+Z90+AA90</f>
        <v/>
      </c>
    </row>
    <row r="91">
      <c r="A91" s="306" t="n">
        <v>61</v>
      </c>
      <c r="B91" s="306">
        <f>CEILING(A91/12,1)</f>
        <v/>
      </c>
      <c r="C91" s="306">
        <f>IF(A91&lt;=12, $B$15/12, 0)</f>
        <v/>
      </c>
      <c r="D91" s="306">
        <f>INDEX('26. Team Comp'!$D$28:$R$28, B91) * 0.001 / 12</f>
        <v/>
      </c>
      <c r="E91" s="306">
        <f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+ (IF(MAX(0, A91 - $F$11 + 1)&lt;=0, 0, IF(MAX(0, A91 - $F$11 + 1)&lt;=6, 70 - (70-14)*(MAX(0, A91 - $F$11 + 1)-1)/5, IF(MAX(0, A91 - $F$11 + 1)&lt;=24, 14 - 14*(MAX(0, A91 - $F$11 + 1)-6)/18, 0)))) + (IF(MAX(0, A91 - $F$12 + 1)&lt;=0, 0, IF(MAX(0, A91 - $F$12 + 1)&lt;=6, 70 - (70-14)*(MAX(0, A91 - $F$12 + 1)-1)/5, IF(MAX(0, A91 - $F$12 + 1)&lt;=24, 14 - 14*(MAX(0, A91 - $F$12 + 1)-6)/18, 0)))) + (IF(MAX(0, A91 - $F$13 + 1)&lt;=0, 0, IF(MAX(0, A91 - $F$13 + 1)&lt;=6, 70 - (70-14)*(MAX(0, A91 - $F$13 + 1)-1)/5, IF(MAX(0, A91 - $F$13 + 1)&lt;=24, 14 - 14*(MAX(0, A91 - $F$13 + 1)-6)/18, 0)))) + (IF(MAX(0, A91 - $F$14 + 1)&lt;=0, 0, IF(MAX(0, A91 - $F$14 + 1)&lt;=6, 70 - (70-14)*(MAX(0, A91 - $F$14 + 1)-1)/5, IF(MAX(0, A91 - $F$14 + 1)&lt;=24, 14 - 14*(MAX(0, A91 - $F$14 + 1)-6)/18, 0)))) ) * 200 / 12 / 1000</f>
        <v/>
      </c>
      <c r="F91" s="306">
        <f>IF(A91&lt;$F$6,0,IF(AND($B$21=1,A91&gt;$B$19),0,$E$6*$G$6^MIN((A91-$F$6)/12,6)*MIN($G$6,0.85)^MAX(0,(A91-$F$6)/12-6)))</f>
        <v/>
      </c>
      <c r="G91" s="306">
        <f>IF(A91&lt;$F$7,0,IF(AND($B$21=1,A91&gt;$B$19),0,$E$7*$G$7^MIN((A91-$F$7)/12,6)*MIN($G$7,0.85)^MAX(0,(A91-$F$7)/12-6)))</f>
        <v/>
      </c>
      <c r="H91" s="306">
        <f>IF(A91&lt;$F$8,0,IF(AND($B$21=1,A91&gt;$B$19),0,$E$8*$G$8^MIN((A91-$F$8)/12,6)*MIN($G$8,0.85)^MAX(0,(A91-$F$8)/12-6)))</f>
        <v/>
      </c>
      <c r="I91" s="306">
        <f>IF(A91&lt;$F$9,0,IF(AND($B$21=1,A91&gt;$B$19),0,$E$9*$G$9^MIN((A91-$F$9)/12,6)*MIN($G$9,0.85)^MAX(0,(A91-$F$9)/12-6)))</f>
        <v/>
      </c>
      <c r="J91" s="306">
        <f>IF(A91&lt;$F$10,0,IF(AND($B$21=1,A91&gt;$B$19),0,$E$10*$G$10^MIN((A91-$F$10)/12,6)*MIN($G$10,0.85)^MAX(0,(A91-$F$10)/12-6)))</f>
        <v/>
      </c>
      <c r="K91" s="306">
        <f>IF(A91&lt;$F$11,0,IF(AND($B$21=1,A91&gt;$B$19),0,$E$11*$G$11^MIN((A91-$F$11)/12,6)*MIN($G$11,0.85)^MAX(0,(A91-$F$11)/12-6)))</f>
        <v/>
      </c>
      <c r="L91" s="306">
        <f>IF(A91&lt;$F$12,0,IF(AND($B$21=1,A91&gt;$B$19),0,$E$12*$G$12^MIN((A91-$F$12)/12,6)*MIN($G$12,0.85)^MAX(0,(A91-$F$12)/12-6)))</f>
        <v/>
      </c>
      <c r="M91" s="306">
        <f>IF(A91&lt;$F$13,0,IF(AND($B$21=1,A91&gt;$B$19),0,$E$13*$G$13^MIN((A91-$F$13)/12,6)*MIN($G$13,0.85)^MAX(0,(A91-$F$13)/12-6)))</f>
        <v/>
      </c>
      <c r="N91" s="306">
        <f>IF(A91&lt;$F$14,0,IF(AND($B$21=1,A91&gt;$B$19),0,$E$14*$G$14^MIN((A91-$F$14)/12,6)*MIN($G$14,0.85)^MAX(0,(A91-$F$14)/12-6)))</f>
        <v/>
      </c>
      <c r="O91" s="306">
        <f>SUM(F91:N91)</f>
        <v/>
      </c>
      <c r="P91" s="306">
        <f>O91/12</f>
        <v/>
      </c>
      <c r="Q91" s="306">
        <f>P91*$B$8</f>
        <v/>
      </c>
      <c r="R91" s="306">
        <f>P91*$B$9</f>
        <v/>
      </c>
      <c r="S91" s="306">
        <f>P91*$B$10</f>
        <v/>
      </c>
      <c r="T91" s="306">
        <f>P91-Q91-R91-S91-D91-E91</f>
        <v/>
      </c>
      <c r="U91" s="306">
        <f>MAX(0, T91 - $B$7*P91)</f>
        <v/>
      </c>
      <c r="V91" s="306">
        <f>T91-U91</f>
        <v/>
      </c>
      <c r="W91" s="306">
        <f>IF(A91=$F$6, $B$18*$B$16*$B$17/1000000, 0) + IF(A91=$F$7, $B$18*$B$16*$B$17/1000000, 0) + IF(A91=$F$8, $B$18*$B$16*$B$17/1000000, 0) + IF(A91=$F$9, $B$18*$B$16*$B$17/1000000, 0) + IF(A91=$F$10, $B$18*$B$16*$B$17/1000000, 0) + IF(A91=$F$11, $B$18*$B$16*$B$17/1000000, 0) + IF(A91=$F$12, $B$18*$B$16*$B$17/1000000, 0) + IF(A91=$F$13, $B$18*$B$16*$B$17/1000000, 0) + IF(A91=$F$14, $B$18*$B$16*$B$17/1000000, 0)</f>
        <v/>
      </c>
      <c r="X91" s="306">
        <f>V91-W91-C91</f>
        <v/>
      </c>
      <c r="Y91" s="306">
        <f>IF(AND(A91&lt;=$B$24, X91&gt;0), X91*$B$23, 0)</f>
        <v/>
      </c>
      <c r="Z91" s="306">
        <f>X91-Y91</f>
        <v/>
      </c>
      <c r="AA91" s="306">
        <f>IF(AND(A91=$B$19, $B$21=1), O91*$B$20, 0)</f>
        <v/>
      </c>
      <c r="AB91" s="306">
        <f>AB90+Z91+AA91</f>
        <v/>
      </c>
    </row>
    <row r="92">
      <c r="A92" s="306" t="n">
        <v>62</v>
      </c>
      <c r="B92" s="306">
        <f>CEILING(A92/12,1)</f>
        <v/>
      </c>
      <c r="C92" s="306">
        <f>IF(A92&lt;=12, $B$15/12, 0)</f>
        <v/>
      </c>
      <c r="D92" s="306">
        <f>INDEX('26. Team Comp'!$D$28:$R$28, B92) * 0.001 / 12</f>
        <v/>
      </c>
      <c r="E92" s="306">
        <f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+ (IF(MAX(0, A92 - $F$11 + 1)&lt;=0, 0, IF(MAX(0, A92 - $F$11 + 1)&lt;=6, 70 - (70-14)*(MAX(0, A92 - $F$11 + 1)-1)/5, IF(MAX(0, A92 - $F$11 + 1)&lt;=24, 14 - 14*(MAX(0, A92 - $F$11 + 1)-6)/18, 0)))) + (IF(MAX(0, A92 - $F$12 + 1)&lt;=0, 0, IF(MAX(0, A92 - $F$12 + 1)&lt;=6, 70 - (70-14)*(MAX(0, A92 - $F$12 + 1)-1)/5, IF(MAX(0, A92 - $F$12 + 1)&lt;=24, 14 - 14*(MAX(0, A92 - $F$12 + 1)-6)/18, 0)))) + (IF(MAX(0, A92 - $F$13 + 1)&lt;=0, 0, IF(MAX(0, A92 - $F$13 + 1)&lt;=6, 70 - (70-14)*(MAX(0, A92 - $F$13 + 1)-1)/5, IF(MAX(0, A92 - $F$13 + 1)&lt;=24, 14 - 14*(MAX(0, A92 - $F$13 + 1)-6)/18, 0)))) + (IF(MAX(0, A92 - $F$14 + 1)&lt;=0, 0, IF(MAX(0, A92 - $F$14 + 1)&lt;=6, 70 - (70-14)*(MAX(0, A92 - $F$14 + 1)-1)/5, IF(MAX(0, A92 - $F$14 + 1)&lt;=24, 14 - 14*(MAX(0, A92 - $F$14 + 1)-6)/18, 0)))) ) * 200 / 12 / 1000</f>
        <v/>
      </c>
      <c r="F92" s="306">
        <f>IF(A92&lt;$F$6,0,IF(AND($B$21=1,A92&gt;$B$19),0,$E$6*$G$6^MIN((A92-$F$6)/12,6)*MIN($G$6,0.85)^MAX(0,(A92-$F$6)/12-6)))</f>
        <v/>
      </c>
      <c r="G92" s="306">
        <f>IF(A92&lt;$F$7,0,IF(AND($B$21=1,A92&gt;$B$19),0,$E$7*$G$7^MIN((A92-$F$7)/12,6)*MIN($G$7,0.85)^MAX(0,(A92-$F$7)/12-6)))</f>
        <v/>
      </c>
      <c r="H92" s="306">
        <f>IF(A92&lt;$F$8,0,IF(AND($B$21=1,A92&gt;$B$19),0,$E$8*$G$8^MIN((A92-$F$8)/12,6)*MIN($G$8,0.85)^MAX(0,(A92-$F$8)/12-6)))</f>
        <v/>
      </c>
      <c r="I92" s="306">
        <f>IF(A92&lt;$F$9,0,IF(AND($B$21=1,A92&gt;$B$19),0,$E$9*$G$9^MIN((A92-$F$9)/12,6)*MIN($G$9,0.85)^MAX(0,(A92-$F$9)/12-6)))</f>
        <v/>
      </c>
      <c r="J92" s="306">
        <f>IF(A92&lt;$F$10,0,IF(AND($B$21=1,A92&gt;$B$19),0,$E$10*$G$10^MIN((A92-$F$10)/12,6)*MIN($G$10,0.85)^MAX(0,(A92-$F$10)/12-6)))</f>
        <v/>
      </c>
      <c r="K92" s="306">
        <f>IF(A92&lt;$F$11,0,IF(AND($B$21=1,A92&gt;$B$19),0,$E$11*$G$11^MIN((A92-$F$11)/12,6)*MIN($G$11,0.85)^MAX(0,(A92-$F$11)/12-6)))</f>
        <v/>
      </c>
      <c r="L92" s="306">
        <f>IF(A92&lt;$F$12,0,IF(AND($B$21=1,A92&gt;$B$19),0,$E$12*$G$12^MIN((A92-$F$12)/12,6)*MIN($G$12,0.85)^MAX(0,(A92-$F$12)/12-6)))</f>
        <v/>
      </c>
      <c r="M92" s="306">
        <f>IF(A92&lt;$F$13,0,IF(AND($B$21=1,A92&gt;$B$19),0,$E$13*$G$13^MIN((A92-$F$13)/12,6)*MIN($G$13,0.85)^MAX(0,(A92-$F$13)/12-6)))</f>
        <v/>
      </c>
      <c r="N92" s="306">
        <f>IF(A92&lt;$F$14,0,IF(AND($B$21=1,A92&gt;$B$19),0,$E$14*$G$14^MIN((A92-$F$14)/12,6)*MIN($G$14,0.85)^MAX(0,(A92-$F$14)/12-6)))</f>
        <v/>
      </c>
      <c r="O92" s="306">
        <f>SUM(F92:N92)</f>
        <v/>
      </c>
      <c r="P92" s="306">
        <f>O92/12</f>
        <v/>
      </c>
      <c r="Q92" s="306">
        <f>P92*$B$8</f>
        <v/>
      </c>
      <c r="R92" s="306">
        <f>P92*$B$9</f>
        <v/>
      </c>
      <c r="S92" s="306">
        <f>P92*$B$10</f>
        <v/>
      </c>
      <c r="T92" s="306">
        <f>P92-Q92-R92-S92-D92-E92</f>
        <v/>
      </c>
      <c r="U92" s="306">
        <f>MAX(0, T92 - $B$7*P92)</f>
        <v/>
      </c>
      <c r="V92" s="306">
        <f>T92-U92</f>
        <v/>
      </c>
      <c r="W92" s="306">
        <f>IF(A92=$F$6, $B$18*$B$16*$B$17/1000000, 0) + IF(A92=$F$7, $B$18*$B$16*$B$17/1000000, 0) + IF(A92=$F$8, $B$18*$B$16*$B$17/1000000, 0) + IF(A92=$F$9, $B$18*$B$16*$B$17/1000000, 0) + IF(A92=$F$10, $B$18*$B$16*$B$17/1000000, 0) + IF(A92=$F$11, $B$18*$B$16*$B$17/1000000, 0) + IF(A92=$F$12, $B$18*$B$16*$B$17/1000000, 0) + IF(A92=$F$13, $B$18*$B$16*$B$17/1000000, 0) + IF(A92=$F$14, $B$18*$B$16*$B$17/1000000, 0)</f>
        <v/>
      </c>
      <c r="X92" s="306">
        <f>V92-W92-C92</f>
        <v/>
      </c>
      <c r="Y92" s="306">
        <f>IF(AND(A92&lt;=$B$24, X92&gt;0), X92*$B$23, 0)</f>
        <v/>
      </c>
      <c r="Z92" s="306">
        <f>X92-Y92</f>
        <v/>
      </c>
      <c r="AA92" s="306">
        <f>IF(AND(A92=$B$19, $B$21=1), O92*$B$20, 0)</f>
        <v/>
      </c>
      <c r="AB92" s="306">
        <f>AB91+Z92+AA92</f>
        <v/>
      </c>
    </row>
    <row r="93">
      <c r="A93" s="306" t="n">
        <v>63</v>
      </c>
      <c r="B93" s="306">
        <f>CEILING(A93/12,1)</f>
        <v/>
      </c>
      <c r="C93" s="306">
        <f>IF(A93&lt;=12, $B$15/12, 0)</f>
        <v/>
      </c>
      <c r="D93" s="306">
        <f>INDEX('26. Team Comp'!$D$28:$R$28, B93) * 0.001 / 12</f>
        <v/>
      </c>
      <c r="E93" s="306">
        <f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+ (IF(MAX(0, A93 - $F$11 + 1)&lt;=0, 0, IF(MAX(0, A93 - $F$11 + 1)&lt;=6, 70 - (70-14)*(MAX(0, A93 - $F$11 + 1)-1)/5, IF(MAX(0, A93 - $F$11 + 1)&lt;=24, 14 - 14*(MAX(0, A93 - $F$11 + 1)-6)/18, 0)))) + (IF(MAX(0, A93 - $F$12 + 1)&lt;=0, 0, IF(MAX(0, A93 - $F$12 + 1)&lt;=6, 70 - (70-14)*(MAX(0, A93 - $F$12 + 1)-1)/5, IF(MAX(0, A93 - $F$12 + 1)&lt;=24, 14 - 14*(MAX(0, A93 - $F$12 + 1)-6)/18, 0)))) + (IF(MAX(0, A93 - $F$13 + 1)&lt;=0, 0, IF(MAX(0, A93 - $F$13 + 1)&lt;=6, 70 - (70-14)*(MAX(0, A93 - $F$13 + 1)-1)/5, IF(MAX(0, A93 - $F$13 + 1)&lt;=24, 14 - 14*(MAX(0, A93 - $F$13 + 1)-6)/18, 0)))) + (IF(MAX(0, A93 - $F$14 + 1)&lt;=0, 0, IF(MAX(0, A93 - $F$14 + 1)&lt;=6, 70 - (70-14)*(MAX(0, A93 - $F$14 + 1)-1)/5, IF(MAX(0, A93 - $F$14 + 1)&lt;=24, 14 - 14*(MAX(0, A93 - $F$14 + 1)-6)/18, 0)))) ) * 200 / 12 / 1000</f>
        <v/>
      </c>
      <c r="F93" s="306">
        <f>IF(A93&lt;$F$6,0,IF(AND($B$21=1,A93&gt;$B$19),0,$E$6*$G$6^MIN((A93-$F$6)/12,6)*MIN($G$6,0.85)^MAX(0,(A93-$F$6)/12-6)))</f>
        <v/>
      </c>
      <c r="G93" s="306">
        <f>IF(A93&lt;$F$7,0,IF(AND($B$21=1,A93&gt;$B$19),0,$E$7*$G$7^MIN((A93-$F$7)/12,6)*MIN($G$7,0.85)^MAX(0,(A93-$F$7)/12-6)))</f>
        <v/>
      </c>
      <c r="H93" s="306">
        <f>IF(A93&lt;$F$8,0,IF(AND($B$21=1,A93&gt;$B$19),0,$E$8*$G$8^MIN((A93-$F$8)/12,6)*MIN($G$8,0.85)^MAX(0,(A93-$F$8)/12-6)))</f>
        <v/>
      </c>
      <c r="I93" s="306">
        <f>IF(A93&lt;$F$9,0,IF(AND($B$21=1,A93&gt;$B$19),0,$E$9*$G$9^MIN((A93-$F$9)/12,6)*MIN($G$9,0.85)^MAX(0,(A93-$F$9)/12-6)))</f>
        <v/>
      </c>
      <c r="J93" s="306">
        <f>IF(A93&lt;$F$10,0,IF(AND($B$21=1,A93&gt;$B$19),0,$E$10*$G$10^MIN((A93-$F$10)/12,6)*MIN($G$10,0.85)^MAX(0,(A93-$F$10)/12-6)))</f>
        <v/>
      </c>
      <c r="K93" s="306">
        <f>IF(A93&lt;$F$11,0,IF(AND($B$21=1,A93&gt;$B$19),0,$E$11*$G$11^MIN((A93-$F$11)/12,6)*MIN($G$11,0.85)^MAX(0,(A93-$F$11)/12-6)))</f>
        <v/>
      </c>
      <c r="L93" s="306">
        <f>IF(A93&lt;$F$12,0,IF(AND($B$21=1,A93&gt;$B$19),0,$E$12*$G$12^MIN((A93-$F$12)/12,6)*MIN($G$12,0.85)^MAX(0,(A93-$F$12)/12-6)))</f>
        <v/>
      </c>
      <c r="M93" s="306">
        <f>IF(A93&lt;$F$13,0,IF(AND($B$21=1,A93&gt;$B$19),0,$E$13*$G$13^MIN((A93-$F$13)/12,6)*MIN($G$13,0.85)^MAX(0,(A93-$F$13)/12-6)))</f>
        <v/>
      </c>
      <c r="N93" s="306">
        <f>IF(A93&lt;$F$14,0,IF(AND($B$21=1,A93&gt;$B$19),0,$E$14*$G$14^MIN((A93-$F$14)/12,6)*MIN($G$14,0.85)^MAX(0,(A93-$F$14)/12-6)))</f>
        <v/>
      </c>
      <c r="O93" s="306">
        <f>SUM(F93:N93)</f>
        <v/>
      </c>
      <c r="P93" s="306">
        <f>O93/12</f>
        <v/>
      </c>
      <c r="Q93" s="306">
        <f>P93*$B$8</f>
        <v/>
      </c>
      <c r="R93" s="306">
        <f>P93*$B$9</f>
        <v/>
      </c>
      <c r="S93" s="306">
        <f>P93*$B$10</f>
        <v/>
      </c>
      <c r="T93" s="306">
        <f>P93-Q93-R93-S93-D93-E93</f>
        <v/>
      </c>
      <c r="U93" s="306">
        <f>MAX(0, T93 - $B$7*P93)</f>
        <v/>
      </c>
      <c r="V93" s="306">
        <f>T93-U93</f>
        <v/>
      </c>
      <c r="W93" s="306">
        <f>IF(A93=$F$6, $B$18*$B$16*$B$17/1000000, 0) + IF(A93=$F$7, $B$18*$B$16*$B$17/1000000, 0) + IF(A93=$F$8, $B$18*$B$16*$B$17/1000000, 0) + IF(A93=$F$9, $B$18*$B$16*$B$17/1000000, 0) + IF(A93=$F$10, $B$18*$B$16*$B$17/1000000, 0) + IF(A93=$F$11, $B$18*$B$16*$B$17/1000000, 0) + IF(A93=$F$12, $B$18*$B$16*$B$17/1000000, 0) + IF(A93=$F$13, $B$18*$B$16*$B$17/1000000, 0) + IF(A93=$F$14, $B$18*$B$16*$B$17/1000000, 0)</f>
        <v/>
      </c>
      <c r="X93" s="306">
        <f>V93-W93-C93</f>
        <v/>
      </c>
      <c r="Y93" s="306">
        <f>IF(AND(A93&lt;=$B$24, X93&gt;0), X93*$B$23, 0)</f>
        <v/>
      </c>
      <c r="Z93" s="306">
        <f>X93-Y93</f>
        <v/>
      </c>
      <c r="AA93" s="306">
        <f>IF(AND(A93=$B$19, $B$21=1), O93*$B$20, 0)</f>
        <v/>
      </c>
      <c r="AB93" s="306">
        <f>AB92+Z93+AA93</f>
        <v/>
      </c>
    </row>
    <row r="94">
      <c r="A94" s="306" t="n">
        <v>64</v>
      </c>
      <c r="B94" s="306">
        <f>CEILING(A94/12,1)</f>
        <v/>
      </c>
      <c r="C94" s="306">
        <f>IF(A94&lt;=12, $B$15/12, 0)</f>
        <v/>
      </c>
      <c r="D94" s="306">
        <f>INDEX('26. Team Comp'!$D$28:$R$28, B94) * 0.001 / 12</f>
        <v/>
      </c>
      <c r="E94" s="306">
        <f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+ (IF(MAX(0, A94 - $F$11 + 1)&lt;=0, 0, IF(MAX(0, A94 - $F$11 + 1)&lt;=6, 70 - (70-14)*(MAX(0, A94 - $F$11 + 1)-1)/5, IF(MAX(0, A94 - $F$11 + 1)&lt;=24, 14 - 14*(MAX(0, A94 - $F$11 + 1)-6)/18, 0)))) + (IF(MAX(0, A94 - $F$12 + 1)&lt;=0, 0, IF(MAX(0, A94 - $F$12 + 1)&lt;=6, 70 - (70-14)*(MAX(0, A94 - $F$12 + 1)-1)/5, IF(MAX(0, A94 - $F$12 + 1)&lt;=24, 14 - 14*(MAX(0, A94 - $F$12 + 1)-6)/18, 0)))) + (IF(MAX(0, A94 - $F$13 + 1)&lt;=0, 0, IF(MAX(0, A94 - $F$13 + 1)&lt;=6, 70 - (70-14)*(MAX(0, A94 - $F$13 + 1)-1)/5, IF(MAX(0, A94 - $F$13 + 1)&lt;=24, 14 - 14*(MAX(0, A94 - $F$13 + 1)-6)/18, 0)))) + (IF(MAX(0, A94 - $F$14 + 1)&lt;=0, 0, IF(MAX(0, A94 - $F$14 + 1)&lt;=6, 70 - (70-14)*(MAX(0, A94 - $F$14 + 1)-1)/5, IF(MAX(0, A94 - $F$14 + 1)&lt;=24, 14 - 14*(MAX(0, A94 - $F$14 + 1)-6)/18, 0)))) ) * 200 / 12 / 1000</f>
        <v/>
      </c>
      <c r="F94" s="306">
        <f>IF(A94&lt;$F$6,0,IF(AND($B$21=1,A94&gt;$B$19),0,$E$6*$G$6^MIN((A94-$F$6)/12,6)*MIN($G$6,0.85)^MAX(0,(A94-$F$6)/12-6)))</f>
        <v/>
      </c>
      <c r="G94" s="306">
        <f>IF(A94&lt;$F$7,0,IF(AND($B$21=1,A94&gt;$B$19),0,$E$7*$G$7^MIN((A94-$F$7)/12,6)*MIN($G$7,0.85)^MAX(0,(A94-$F$7)/12-6)))</f>
        <v/>
      </c>
      <c r="H94" s="306">
        <f>IF(A94&lt;$F$8,0,IF(AND($B$21=1,A94&gt;$B$19),0,$E$8*$G$8^MIN((A94-$F$8)/12,6)*MIN($G$8,0.85)^MAX(0,(A94-$F$8)/12-6)))</f>
        <v/>
      </c>
      <c r="I94" s="306">
        <f>IF(A94&lt;$F$9,0,IF(AND($B$21=1,A94&gt;$B$19),0,$E$9*$G$9^MIN((A94-$F$9)/12,6)*MIN($G$9,0.85)^MAX(0,(A94-$F$9)/12-6)))</f>
        <v/>
      </c>
      <c r="J94" s="306">
        <f>IF(A94&lt;$F$10,0,IF(AND($B$21=1,A94&gt;$B$19),0,$E$10*$G$10^MIN((A94-$F$10)/12,6)*MIN($G$10,0.85)^MAX(0,(A94-$F$10)/12-6)))</f>
        <v/>
      </c>
      <c r="K94" s="306">
        <f>IF(A94&lt;$F$11,0,IF(AND($B$21=1,A94&gt;$B$19),0,$E$11*$G$11^MIN((A94-$F$11)/12,6)*MIN($G$11,0.85)^MAX(0,(A94-$F$11)/12-6)))</f>
        <v/>
      </c>
      <c r="L94" s="306">
        <f>IF(A94&lt;$F$12,0,IF(AND($B$21=1,A94&gt;$B$19),0,$E$12*$G$12^MIN((A94-$F$12)/12,6)*MIN($G$12,0.85)^MAX(0,(A94-$F$12)/12-6)))</f>
        <v/>
      </c>
      <c r="M94" s="306">
        <f>IF(A94&lt;$F$13,0,IF(AND($B$21=1,A94&gt;$B$19),0,$E$13*$G$13^MIN((A94-$F$13)/12,6)*MIN($G$13,0.85)^MAX(0,(A94-$F$13)/12-6)))</f>
        <v/>
      </c>
      <c r="N94" s="306">
        <f>IF(A94&lt;$F$14,0,IF(AND($B$21=1,A94&gt;$B$19),0,$E$14*$G$14^MIN((A94-$F$14)/12,6)*MIN($G$14,0.85)^MAX(0,(A94-$F$14)/12-6)))</f>
        <v/>
      </c>
      <c r="O94" s="306">
        <f>SUM(F94:N94)</f>
        <v/>
      </c>
      <c r="P94" s="306">
        <f>O94/12</f>
        <v/>
      </c>
      <c r="Q94" s="306">
        <f>P94*$B$8</f>
        <v/>
      </c>
      <c r="R94" s="306">
        <f>P94*$B$9</f>
        <v/>
      </c>
      <c r="S94" s="306">
        <f>P94*$B$10</f>
        <v/>
      </c>
      <c r="T94" s="306">
        <f>P94-Q94-R94-S94-D94-E94</f>
        <v/>
      </c>
      <c r="U94" s="306">
        <f>MAX(0, T94 - $B$7*P94)</f>
        <v/>
      </c>
      <c r="V94" s="306">
        <f>T94-U94</f>
        <v/>
      </c>
      <c r="W94" s="306">
        <f>IF(A94=$F$6, $B$18*$B$16*$B$17/1000000, 0) + IF(A94=$F$7, $B$18*$B$16*$B$17/1000000, 0) + IF(A94=$F$8, $B$18*$B$16*$B$17/1000000, 0) + IF(A94=$F$9, $B$18*$B$16*$B$17/1000000, 0) + IF(A94=$F$10, $B$18*$B$16*$B$17/1000000, 0) + IF(A94=$F$11, $B$18*$B$16*$B$17/1000000, 0) + IF(A94=$F$12, $B$18*$B$16*$B$17/1000000, 0) + IF(A94=$F$13, $B$18*$B$16*$B$17/1000000, 0) + IF(A94=$F$14, $B$18*$B$16*$B$17/1000000, 0)</f>
        <v/>
      </c>
      <c r="X94" s="306">
        <f>V94-W94-C94</f>
        <v/>
      </c>
      <c r="Y94" s="306">
        <f>IF(AND(A94&lt;=$B$24, X94&gt;0), X94*$B$23, 0)</f>
        <v/>
      </c>
      <c r="Z94" s="306">
        <f>X94-Y94</f>
        <v/>
      </c>
      <c r="AA94" s="306">
        <f>IF(AND(A94=$B$19, $B$21=1), O94*$B$20, 0)</f>
        <v/>
      </c>
      <c r="AB94" s="306">
        <f>AB93+Z94+AA94</f>
        <v/>
      </c>
    </row>
    <row r="95">
      <c r="A95" s="306" t="n">
        <v>65</v>
      </c>
      <c r="B95" s="306">
        <f>CEILING(A95/12,1)</f>
        <v/>
      </c>
      <c r="C95" s="306">
        <f>IF(A95&lt;=12, $B$15/12, 0)</f>
        <v/>
      </c>
      <c r="D95" s="306">
        <f>INDEX('26. Team Comp'!$D$28:$R$28, B95) * 0.001 / 12</f>
        <v/>
      </c>
      <c r="E95" s="306">
        <f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+ (IF(MAX(0, A95 - $F$11 + 1)&lt;=0, 0, IF(MAX(0, A95 - $F$11 + 1)&lt;=6, 70 - (70-14)*(MAX(0, A95 - $F$11 + 1)-1)/5, IF(MAX(0, A95 - $F$11 + 1)&lt;=24, 14 - 14*(MAX(0, A95 - $F$11 + 1)-6)/18, 0)))) + (IF(MAX(0, A95 - $F$12 + 1)&lt;=0, 0, IF(MAX(0, A95 - $F$12 + 1)&lt;=6, 70 - (70-14)*(MAX(0, A95 - $F$12 + 1)-1)/5, IF(MAX(0, A95 - $F$12 + 1)&lt;=24, 14 - 14*(MAX(0, A95 - $F$12 + 1)-6)/18, 0)))) + (IF(MAX(0, A95 - $F$13 + 1)&lt;=0, 0, IF(MAX(0, A95 - $F$13 + 1)&lt;=6, 70 - (70-14)*(MAX(0, A95 - $F$13 + 1)-1)/5, IF(MAX(0, A95 - $F$13 + 1)&lt;=24, 14 - 14*(MAX(0, A95 - $F$13 + 1)-6)/18, 0)))) + (IF(MAX(0, A95 - $F$14 + 1)&lt;=0, 0, IF(MAX(0, A95 - $F$14 + 1)&lt;=6, 70 - (70-14)*(MAX(0, A95 - $F$14 + 1)-1)/5, IF(MAX(0, A95 - $F$14 + 1)&lt;=24, 14 - 14*(MAX(0, A95 - $F$14 + 1)-6)/18, 0)))) ) * 200 / 12 / 1000</f>
        <v/>
      </c>
      <c r="F95" s="306">
        <f>IF(A95&lt;$F$6,0,IF(AND($B$21=1,A95&gt;$B$19),0,$E$6*$G$6^MIN((A95-$F$6)/12,6)*MIN($G$6,0.85)^MAX(0,(A95-$F$6)/12-6)))</f>
        <v/>
      </c>
      <c r="G95" s="306">
        <f>IF(A95&lt;$F$7,0,IF(AND($B$21=1,A95&gt;$B$19),0,$E$7*$G$7^MIN((A95-$F$7)/12,6)*MIN($G$7,0.85)^MAX(0,(A95-$F$7)/12-6)))</f>
        <v/>
      </c>
      <c r="H95" s="306">
        <f>IF(A95&lt;$F$8,0,IF(AND($B$21=1,A95&gt;$B$19),0,$E$8*$G$8^MIN((A95-$F$8)/12,6)*MIN($G$8,0.85)^MAX(0,(A95-$F$8)/12-6)))</f>
        <v/>
      </c>
      <c r="I95" s="306">
        <f>IF(A95&lt;$F$9,0,IF(AND($B$21=1,A95&gt;$B$19),0,$E$9*$G$9^MIN((A95-$F$9)/12,6)*MIN($G$9,0.85)^MAX(0,(A95-$F$9)/12-6)))</f>
        <v/>
      </c>
      <c r="J95" s="306">
        <f>IF(A95&lt;$F$10,0,IF(AND($B$21=1,A95&gt;$B$19),0,$E$10*$G$10^MIN((A95-$F$10)/12,6)*MIN($G$10,0.85)^MAX(0,(A95-$F$10)/12-6)))</f>
        <v/>
      </c>
      <c r="K95" s="306">
        <f>IF(A95&lt;$F$11,0,IF(AND($B$21=1,A95&gt;$B$19),0,$E$11*$G$11^MIN((A95-$F$11)/12,6)*MIN($G$11,0.85)^MAX(0,(A95-$F$11)/12-6)))</f>
        <v/>
      </c>
      <c r="L95" s="306">
        <f>IF(A95&lt;$F$12,0,IF(AND($B$21=1,A95&gt;$B$19),0,$E$12*$G$12^MIN((A95-$F$12)/12,6)*MIN($G$12,0.85)^MAX(0,(A95-$F$12)/12-6)))</f>
        <v/>
      </c>
      <c r="M95" s="306">
        <f>IF(A95&lt;$F$13,0,IF(AND($B$21=1,A95&gt;$B$19),0,$E$13*$G$13^MIN((A95-$F$13)/12,6)*MIN($G$13,0.85)^MAX(0,(A95-$F$13)/12-6)))</f>
        <v/>
      </c>
      <c r="N95" s="306">
        <f>IF(A95&lt;$F$14,0,IF(AND($B$21=1,A95&gt;$B$19),0,$E$14*$G$14^MIN((A95-$F$14)/12,6)*MIN($G$14,0.85)^MAX(0,(A95-$F$14)/12-6)))</f>
        <v/>
      </c>
      <c r="O95" s="306">
        <f>SUM(F95:N95)</f>
        <v/>
      </c>
      <c r="P95" s="306">
        <f>O95/12</f>
        <v/>
      </c>
      <c r="Q95" s="306">
        <f>P95*$B$8</f>
        <v/>
      </c>
      <c r="R95" s="306">
        <f>P95*$B$9</f>
        <v/>
      </c>
      <c r="S95" s="306">
        <f>P95*$B$10</f>
        <v/>
      </c>
      <c r="T95" s="306">
        <f>P95-Q95-R95-S95-D95-E95</f>
        <v/>
      </c>
      <c r="U95" s="306">
        <f>MAX(0, T95 - $B$7*P95)</f>
        <v/>
      </c>
      <c r="V95" s="306">
        <f>T95-U95</f>
        <v/>
      </c>
      <c r="W95" s="306">
        <f>IF(A95=$F$6, $B$18*$B$16*$B$17/1000000, 0) + IF(A95=$F$7, $B$18*$B$16*$B$17/1000000, 0) + IF(A95=$F$8, $B$18*$B$16*$B$17/1000000, 0) + IF(A95=$F$9, $B$18*$B$16*$B$17/1000000, 0) + IF(A95=$F$10, $B$18*$B$16*$B$17/1000000, 0) + IF(A95=$F$11, $B$18*$B$16*$B$17/1000000, 0) + IF(A95=$F$12, $B$18*$B$16*$B$17/1000000, 0) + IF(A95=$F$13, $B$18*$B$16*$B$17/1000000, 0) + IF(A95=$F$14, $B$18*$B$16*$B$17/1000000, 0)</f>
        <v/>
      </c>
      <c r="X95" s="306">
        <f>V95-W95-C95</f>
        <v/>
      </c>
      <c r="Y95" s="306">
        <f>IF(AND(A95&lt;=$B$24, X95&gt;0), X95*$B$23, 0)</f>
        <v/>
      </c>
      <c r="Z95" s="306">
        <f>X95-Y95</f>
        <v/>
      </c>
      <c r="AA95" s="306">
        <f>IF(AND(A95=$B$19, $B$21=1), O95*$B$20, 0)</f>
        <v/>
      </c>
      <c r="AB95" s="306">
        <f>AB94+Z95+AA95</f>
        <v/>
      </c>
    </row>
    <row r="96">
      <c r="A96" s="306" t="n">
        <v>66</v>
      </c>
      <c r="B96" s="306">
        <f>CEILING(A96/12,1)</f>
        <v/>
      </c>
      <c r="C96" s="306">
        <f>IF(A96&lt;=12, $B$15/12, 0)</f>
        <v/>
      </c>
      <c r="D96" s="306">
        <f>INDEX('26. Team Comp'!$D$28:$R$28, B96) * 0.001 / 12</f>
        <v/>
      </c>
      <c r="E96" s="306">
        <f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+ (IF(MAX(0, A96 - $F$11 + 1)&lt;=0, 0, IF(MAX(0, A96 - $F$11 + 1)&lt;=6, 70 - (70-14)*(MAX(0, A96 - $F$11 + 1)-1)/5, IF(MAX(0, A96 - $F$11 + 1)&lt;=24, 14 - 14*(MAX(0, A96 - $F$11 + 1)-6)/18, 0)))) + (IF(MAX(0, A96 - $F$12 + 1)&lt;=0, 0, IF(MAX(0, A96 - $F$12 + 1)&lt;=6, 70 - (70-14)*(MAX(0, A96 - $F$12 + 1)-1)/5, IF(MAX(0, A96 - $F$12 + 1)&lt;=24, 14 - 14*(MAX(0, A96 - $F$12 + 1)-6)/18, 0)))) + (IF(MAX(0, A96 - $F$13 + 1)&lt;=0, 0, IF(MAX(0, A96 - $F$13 + 1)&lt;=6, 70 - (70-14)*(MAX(0, A96 - $F$13 + 1)-1)/5, IF(MAX(0, A96 - $F$13 + 1)&lt;=24, 14 - 14*(MAX(0, A96 - $F$13 + 1)-6)/18, 0)))) + (IF(MAX(0, A96 - $F$14 + 1)&lt;=0, 0, IF(MAX(0, A96 - $F$14 + 1)&lt;=6, 70 - (70-14)*(MAX(0, A96 - $F$14 + 1)-1)/5, IF(MAX(0, A96 - $F$14 + 1)&lt;=24, 14 - 14*(MAX(0, A96 - $F$14 + 1)-6)/18, 0)))) ) * 200 / 12 / 1000</f>
        <v/>
      </c>
      <c r="F96" s="306">
        <f>IF(A96&lt;$F$6,0,IF(AND($B$21=1,A96&gt;$B$19),0,$E$6*$G$6^MIN((A96-$F$6)/12,6)*MIN($G$6,0.85)^MAX(0,(A96-$F$6)/12-6)))</f>
        <v/>
      </c>
      <c r="G96" s="306">
        <f>IF(A96&lt;$F$7,0,IF(AND($B$21=1,A96&gt;$B$19),0,$E$7*$G$7^MIN((A96-$F$7)/12,6)*MIN($G$7,0.85)^MAX(0,(A96-$F$7)/12-6)))</f>
        <v/>
      </c>
      <c r="H96" s="306">
        <f>IF(A96&lt;$F$8,0,IF(AND($B$21=1,A96&gt;$B$19),0,$E$8*$G$8^MIN((A96-$F$8)/12,6)*MIN($G$8,0.85)^MAX(0,(A96-$F$8)/12-6)))</f>
        <v/>
      </c>
      <c r="I96" s="306">
        <f>IF(A96&lt;$F$9,0,IF(AND($B$21=1,A96&gt;$B$19),0,$E$9*$G$9^MIN((A96-$F$9)/12,6)*MIN($G$9,0.85)^MAX(0,(A96-$F$9)/12-6)))</f>
        <v/>
      </c>
      <c r="J96" s="306">
        <f>IF(A96&lt;$F$10,0,IF(AND($B$21=1,A96&gt;$B$19),0,$E$10*$G$10^MIN((A96-$F$10)/12,6)*MIN($G$10,0.85)^MAX(0,(A96-$F$10)/12-6)))</f>
        <v/>
      </c>
      <c r="K96" s="306">
        <f>IF(A96&lt;$F$11,0,IF(AND($B$21=1,A96&gt;$B$19),0,$E$11*$G$11^MIN((A96-$F$11)/12,6)*MIN($G$11,0.85)^MAX(0,(A96-$F$11)/12-6)))</f>
        <v/>
      </c>
      <c r="L96" s="306">
        <f>IF(A96&lt;$F$12,0,IF(AND($B$21=1,A96&gt;$B$19),0,$E$12*$G$12^MIN((A96-$F$12)/12,6)*MIN($G$12,0.85)^MAX(0,(A96-$F$12)/12-6)))</f>
        <v/>
      </c>
      <c r="M96" s="306">
        <f>IF(A96&lt;$F$13,0,IF(AND($B$21=1,A96&gt;$B$19),0,$E$13*$G$13^MIN((A96-$F$13)/12,6)*MIN($G$13,0.85)^MAX(0,(A96-$F$13)/12-6)))</f>
        <v/>
      </c>
      <c r="N96" s="306">
        <f>IF(A96&lt;$F$14,0,IF(AND($B$21=1,A96&gt;$B$19),0,$E$14*$G$14^MIN((A96-$F$14)/12,6)*MIN($G$14,0.85)^MAX(0,(A96-$F$14)/12-6)))</f>
        <v/>
      </c>
      <c r="O96" s="306">
        <f>SUM(F96:N96)</f>
        <v/>
      </c>
      <c r="P96" s="306">
        <f>O96/12</f>
        <v/>
      </c>
      <c r="Q96" s="306">
        <f>P96*$B$8</f>
        <v/>
      </c>
      <c r="R96" s="306">
        <f>P96*$B$9</f>
        <v/>
      </c>
      <c r="S96" s="306">
        <f>P96*$B$10</f>
        <v/>
      </c>
      <c r="T96" s="306">
        <f>P96-Q96-R96-S96-D96-E96</f>
        <v/>
      </c>
      <c r="U96" s="306">
        <f>MAX(0, T96 - $B$7*P96)</f>
        <v/>
      </c>
      <c r="V96" s="306">
        <f>T96-U96</f>
        <v/>
      </c>
      <c r="W96" s="306">
        <f>IF(A96=$F$6, $B$18*$B$16*$B$17/1000000, 0) + IF(A96=$F$7, $B$18*$B$16*$B$17/1000000, 0) + IF(A96=$F$8, $B$18*$B$16*$B$17/1000000, 0) + IF(A96=$F$9, $B$18*$B$16*$B$17/1000000, 0) + IF(A96=$F$10, $B$18*$B$16*$B$17/1000000, 0) + IF(A96=$F$11, $B$18*$B$16*$B$17/1000000, 0) + IF(A96=$F$12, $B$18*$B$16*$B$17/1000000, 0) + IF(A96=$F$13, $B$18*$B$16*$B$17/1000000, 0) + IF(A96=$F$14, $B$18*$B$16*$B$17/1000000, 0)</f>
        <v/>
      </c>
      <c r="X96" s="306">
        <f>V96-W96-C96</f>
        <v/>
      </c>
      <c r="Y96" s="306">
        <f>IF(AND(A96&lt;=$B$24, X96&gt;0), X96*$B$23, 0)</f>
        <v/>
      </c>
      <c r="Z96" s="306">
        <f>X96-Y96</f>
        <v/>
      </c>
      <c r="AA96" s="306">
        <f>IF(AND(A96=$B$19, $B$21=1), O96*$B$20, 0)</f>
        <v/>
      </c>
      <c r="AB96" s="306">
        <f>AB95+Z96+AA96</f>
        <v/>
      </c>
    </row>
    <row r="97">
      <c r="A97" s="306" t="n">
        <v>67</v>
      </c>
      <c r="B97" s="306">
        <f>CEILING(A97/12,1)</f>
        <v/>
      </c>
      <c r="C97" s="306">
        <f>IF(A97&lt;=12, $B$15/12, 0)</f>
        <v/>
      </c>
      <c r="D97" s="306">
        <f>INDEX('26. Team Comp'!$D$28:$R$28, B97) * 0.001 / 12</f>
        <v/>
      </c>
      <c r="E97" s="306">
        <f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+ (IF(MAX(0, A97 - $F$11 + 1)&lt;=0, 0, IF(MAX(0, A97 - $F$11 + 1)&lt;=6, 70 - (70-14)*(MAX(0, A97 - $F$11 + 1)-1)/5, IF(MAX(0, A97 - $F$11 + 1)&lt;=24, 14 - 14*(MAX(0, A97 - $F$11 + 1)-6)/18, 0)))) + (IF(MAX(0, A97 - $F$12 + 1)&lt;=0, 0, IF(MAX(0, A97 - $F$12 + 1)&lt;=6, 70 - (70-14)*(MAX(0, A97 - $F$12 + 1)-1)/5, IF(MAX(0, A97 - $F$12 + 1)&lt;=24, 14 - 14*(MAX(0, A97 - $F$12 + 1)-6)/18, 0)))) + (IF(MAX(0, A97 - $F$13 + 1)&lt;=0, 0, IF(MAX(0, A97 - $F$13 + 1)&lt;=6, 70 - (70-14)*(MAX(0, A97 - $F$13 + 1)-1)/5, IF(MAX(0, A97 - $F$13 + 1)&lt;=24, 14 - 14*(MAX(0, A97 - $F$13 + 1)-6)/18, 0)))) + (IF(MAX(0, A97 - $F$14 + 1)&lt;=0, 0, IF(MAX(0, A97 - $F$14 + 1)&lt;=6, 70 - (70-14)*(MAX(0, A97 - $F$14 + 1)-1)/5, IF(MAX(0, A97 - $F$14 + 1)&lt;=24, 14 - 14*(MAX(0, A97 - $F$14 + 1)-6)/18, 0)))) ) * 200 / 12 / 1000</f>
        <v/>
      </c>
      <c r="F97" s="306">
        <f>IF(A97&lt;$F$6,0,IF(AND($B$21=1,A97&gt;$B$19),0,$E$6*$G$6^MIN((A97-$F$6)/12,6)*MIN($G$6,0.85)^MAX(0,(A97-$F$6)/12-6)))</f>
        <v/>
      </c>
      <c r="G97" s="306">
        <f>IF(A97&lt;$F$7,0,IF(AND($B$21=1,A97&gt;$B$19),0,$E$7*$G$7^MIN((A97-$F$7)/12,6)*MIN($G$7,0.85)^MAX(0,(A97-$F$7)/12-6)))</f>
        <v/>
      </c>
      <c r="H97" s="306">
        <f>IF(A97&lt;$F$8,0,IF(AND($B$21=1,A97&gt;$B$19),0,$E$8*$G$8^MIN((A97-$F$8)/12,6)*MIN($G$8,0.85)^MAX(0,(A97-$F$8)/12-6)))</f>
        <v/>
      </c>
      <c r="I97" s="306">
        <f>IF(A97&lt;$F$9,0,IF(AND($B$21=1,A97&gt;$B$19),0,$E$9*$G$9^MIN((A97-$F$9)/12,6)*MIN($G$9,0.85)^MAX(0,(A97-$F$9)/12-6)))</f>
        <v/>
      </c>
      <c r="J97" s="306">
        <f>IF(A97&lt;$F$10,0,IF(AND($B$21=1,A97&gt;$B$19),0,$E$10*$G$10^MIN((A97-$F$10)/12,6)*MIN($G$10,0.85)^MAX(0,(A97-$F$10)/12-6)))</f>
        <v/>
      </c>
      <c r="K97" s="306">
        <f>IF(A97&lt;$F$11,0,IF(AND($B$21=1,A97&gt;$B$19),0,$E$11*$G$11^MIN((A97-$F$11)/12,6)*MIN($G$11,0.85)^MAX(0,(A97-$F$11)/12-6)))</f>
        <v/>
      </c>
      <c r="L97" s="306">
        <f>IF(A97&lt;$F$12,0,IF(AND($B$21=1,A97&gt;$B$19),0,$E$12*$G$12^MIN((A97-$F$12)/12,6)*MIN($G$12,0.85)^MAX(0,(A97-$F$12)/12-6)))</f>
        <v/>
      </c>
      <c r="M97" s="306">
        <f>IF(A97&lt;$F$13,0,IF(AND($B$21=1,A97&gt;$B$19),0,$E$13*$G$13^MIN((A97-$F$13)/12,6)*MIN($G$13,0.85)^MAX(0,(A97-$F$13)/12-6)))</f>
        <v/>
      </c>
      <c r="N97" s="306">
        <f>IF(A97&lt;$F$14,0,IF(AND($B$21=1,A97&gt;$B$19),0,$E$14*$G$14^MIN((A97-$F$14)/12,6)*MIN($G$14,0.85)^MAX(0,(A97-$F$14)/12-6)))</f>
        <v/>
      </c>
      <c r="O97" s="306">
        <f>SUM(F97:N97)</f>
        <v/>
      </c>
      <c r="P97" s="306">
        <f>O97/12</f>
        <v/>
      </c>
      <c r="Q97" s="306">
        <f>P97*$B$8</f>
        <v/>
      </c>
      <c r="R97" s="306">
        <f>P97*$B$9</f>
        <v/>
      </c>
      <c r="S97" s="306">
        <f>P97*$B$10</f>
        <v/>
      </c>
      <c r="T97" s="306">
        <f>P97-Q97-R97-S97-D97-E97</f>
        <v/>
      </c>
      <c r="U97" s="306">
        <f>MAX(0, T97 - $B$7*P97)</f>
        <v/>
      </c>
      <c r="V97" s="306">
        <f>T97-U97</f>
        <v/>
      </c>
      <c r="W97" s="306">
        <f>IF(A97=$F$6, $B$18*$B$16*$B$17/1000000, 0) + IF(A97=$F$7, $B$18*$B$16*$B$17/1000000, 0) + IF(A97=$F$8, $B$18*$B$16*$B$17/1000000, 0) + IF(A97=$F$9, $B$18*$B$16*$B$17/1000000, 0) + IF(A97=$F$10, $B$18*$B$16*$B$17/1000000, 0) + IF(A97=$F$11, $B$18*$B$16*$B$17/1000000, 0) + IF(A97=$F$12, $B$18*$B$16*$B$17/1000000, 0) + IF(A97=$F$13, $B$18*$B$16*$B$17/1000000, 0) + IF(A97=$F$14, $B$18*$B$16*$B$17/1000000, 0)</f>
        <v/>
      </c>
      <c r="X97" s="306">
        <f>V97-W97-C97</f>
        <v/>
      </c>
      <c r="Y97" s="306">
        <f>IF(AND(A97&lt;=$B$24, X97&gt;0), X97*$B$23, 0)</f>
        <v/>
      </c>
      <c r="Z97" s="306">
        <f>X97-Y97</f>
        <v/>
      </c>
      <c r="AA97" s="306">
        <f>IF(AND(A97=$B$19, $B$21=1), O97*$B$20, 0)</f>
        <v/>
      </c>
      <c r="AB97" s="306">
        <f>AB96+Z97+AA97</f>
        <v/>
      </c>
    </row>
    <row r="98">
      <c r="A98" s="306" t="n">
        <v>68</v>
      </c>
      <c r="B98" s="306">
        <f>CEILING(A98/12,1)</f>
        <v/>
      </c>
      <c r="C98" s="306">
        <f>IF(A98&lt;=12, $B$15/12, 0)</f>
        <v/>
      </c>
      <c r="D98" s="306">
        <f>INDEX('26. Team Comp'!$D$28:$R$28, B98) * 0.001 / 12</f>
        <v/>
      </c>
      <c r="E98" s="306">
        <f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+ (IF(MAX(0, A98 - $F$11 + 1)&lt;=0, 0, IF(MAX(0, A98 - $F$11 + 1)&lt;=6, 70 - (70-14)*(MAX(0, A98 - $F$11 + 1)-1)/5, IF(MAX(0, A98 - $F$11 + 1)&lt;=24, 14 - 14*(MAX(0, A98 - $F$11 + 1)-6)/18, 0)))) + (IF(MAX(0, A98 - $F$12 + 1)&lt;=0, 0, IF(MAX(0, A98 - $F$12 + 1)&lt;=6, 70 - (70-14)*(MAX(0, A98 - $F$12 + 1)-1)/5, IF(MAX(0, A98 - $F$12 + 1)&lt;=24, 14 - 14*(MAX(0, A98 - $F$12 + 1)-6)/18, 0)))) + (IF(MAX(0, A98 - $F$13 + 1)&lt;=0, 0, IF(MAX(0, A98 - $F$13 + 1)&lt;=6, 70 - (70-14)*(MAX(0, A98 - $F$13 + 1)-1)/5, IF(MAX(0, A98 - $F$13 + 1)&lt;=24, 14 - 14*(MAX(0, A98 - $F$13 + 1)-6)/18, 0)))) + (IF(MAX(0, A98 - $F$14 + 1)&lt;=0, 0, IF(MAX(0, A98 - $F$14 + 1)&lt;=6, 70 - (70-14)*(MAX(0, A98 - $F$14 + 1)-1)/5, IF(MAX(0, A98 - $F$14 + 1)&lt;=24, 14 - 14*(MAX(0, A98 - $F$14 + 1)-6)/18, 0)))) ) * 200 / 12 / 1000</f>
        <v/>
      </c>
      <c r="F98" s="306">
        <f>IF(A98&lt;$F$6,0,IF(AND($B$21=1,A98&gt;$B$19),0,$E$6*$G$6^MIN((A98-$F$6)/12,6)*MIN($G$6,0.85)^MAX(0,(A98-$F$6)/12-6)))</f>
        <v/>
      </c>
      <c r="G98" s="306">
        <f>IF(A98&lt;$F$7,0,IF(AND($B$21=1,A98&gt;$B$19),0,$E$7*$G$7^MIN((A98-$F$7)/12,6)*MIN($G$7,0.85)^MAX(0,(A98-$F$7)/12-6)))</f>
        <v/>
      </c>
      <c r="H98" s="306">
        <f>IF(A98&lt;$F$8,0,IF(AND($B$21=1,A98&gt;$B$19),0,$E$8*$G$8^MIN((A98-$F$8)/12,6)*MIN($G$8,0.85)^MAX(0,(A98-$F$8)/12-6)))</f>
        <v/>
      </c>
      <c r="I98" s="306">
        <f>IF(A98&lt;$F$9,0,IF(AND($B$21=1,A98&gt;$B$19),0,$E$9*$G$9^MIN((A98-$F$9)/12,6)*MIN($G$9,0.85)^MAX(0,(A98-$F$9)/12-6)))</f>
        <v/>
      </c>
      <c r="J98" s="306">
        <f>IF(A98&lt;$F$10,0,IF(AND($B$21=1,A98&gt;$B$19),0,$E$10*$G$10^MIN((A98-$F$10)/12,6)*MIN($G$10,0.85)^MAX(0,(A98-$F$10)/12-6)))</f>
        <v/>
      </c>
      <c r="K98" s="306">
        <f>IF(A98&lt;$F$11,0,IF(AND($B$21=1,A98&gt;$B$19),0,$E$11*$G$11^MIN((A98-$F$11)/12,6)*MIN($G$11,0.85)^MAX(0,(A98-$F$11)/12-6)))</f>
        <v/>
      </c>
      <c r="L98" s="306">
        <f>IF(A98&lt;$F$12,0,IF(AND($B$21=1,A98&gt;$B$19),0,$E$12*$G$12^MIN((A98-$F$12)/12,6)*MIN($G$12,0.85)^MAX(0,(A98-$F$12)/12-6)))</f>
        <v/>
      </c>
      <c r="M98" s="306">
        <f>IF(A98&lt;$F$13,0,IF(AND($B$21=1,A98&gt;$B$19),0,$E$13*$G$13^MIN((A98-$F$13)/12,6)*MIN($G$13,0.85)^MAX(0,(A98-$F$13)/12-6)))</f>
        <v/>
      </c>
      <c r="N98" s="306">
        <f>IF(A98&lt;$F$14,0,IF(AND($B$21=1,A98&gt;$B$19),0,$E$14*$G$14^MIN((A98-$F$14)/12,6)*MIN($G$14,0.85)^MAX(0,(A98-$F$14)/12-6)))</f>
        <v/>
      </c>
      <c r="O98" s="306">
        <f>SUM(F98:N98)</f>
        <v/>
      </c>
      <c r="P98" s="306">
        <f>O98/12</f>
        <v/>
      </c>
      <c r="Q98" s="306">
        <f>P98*$B$8</f>
        <v/>
      </c>
      <c r="R98" s="306">
        <f>P98*$B$9</f>
        <v/>
      </c>
      <c r="S98" s="306">
        <f>P98*$B$10</f>
        <v/>
      </c>
      <c r="T98" s="306">
        <f>P98-Q98-R98-S98-D98-E98</f>
        <v/>
      </c>
      <c r="U98" s="306">
        <f>MAX(0, T98 - $B$7*P98)</f>
        <v/>
      </c>
      <c r="V98" s="306">
        <f>T98-U98</f>
        <v/>
      </c>
      <c r="W98" s="306">
        <f>IF(A98=$F$6, $B$18*$B$16*$B$17/1000000, 0) + IF(A98=$F$7, $B$18*$B$16*$B$17/1000000, 0) + IF(A98=$F$8, $B$18*$B$16*$B$17/1000000, 0) + IF(A98=$F$9, $B$18*$B$16*$B$17/1000000, 0) + IF(A98=$F$10, $B$18*$B$16*$B$17/1000000, 0) + IF(A98=$F$11, $B$18*$B$16*$B$17/1000000, 0) + IF(A98=$F$12, $B$18*$B$16*$B$17/1000000, 0) + IF(A98=$F$13, $B$18*$B$16*$B$17/1000000, 0) + IF(A98=$F$14, $B$18*$B$16*$B$17/1000000, 0)</f>
        <v/>
      </c>
      <c r="X98" s="306">
        <f>V98-W98-C98</f>
        <v/>
      </c>
      <c r="Y98" s="306">
        <f>IF(AND(A98&lt;=$B$24, X98&gt;0), X98*$B$23, 0)</f>
        <v/>
      </c>
      <c r="Z98" s="306">
        <f>X98-Y98</f>
        <v/>
      </c>
      <c r="AA98" s="306">
        <f>IF(AND(A98=$B$19, $B$21=1), O98*$B$20, 0)</f>
        <v/>
      </c>
      <c r="AB98" s="306">
        <f>AB97+Z98+AA98</f>
        <v/>
      </c>
    </row>
    <row r="99">
      <c r="A99" s="306" t="n">
        <v>69</v>
      </c>
      <c r="B99" s="306">
        <f>CEILING(A99/12,1)</f>
        <v/>
      </c>
      <c r="C99" s="306">
        <f>IF(A99&lt;=12, $B$15/12, 0)</f>
        <v/>
      </c>
      <c r="D99" s="306">
        <f>INDEX('26. Team Comp'!$D$28:$R$28, B99) * 0.001 / 12</f>
        <v/>
      </c>
      <c r="E99" s="306">
        <f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+ (IF(MAX(0, A99 - $F$11 + 1)&lt;=0, 0, IF(MAX(0, A99 - $F$11 + 1)&lt;=6, 70 - (70-14)*(MAX(0, A99 - $F$11 + 1)-1)/5, IF(MAX(0, A99 - $F$11 + 1)&lt;=24, 14 - 14*(MAX(0, A99 - $F$11 + 1)-6)/18, 0)))) + (IF(MAX(0, A99 - $F$12 + 1)&lt;=0, 0, IF(MAX(0, A99 - $F$12 + 1)&lt;=6, 70 - (70-14)*(MAX(0, A99 - $F$12 + 1)-1)/5, IF(MAX(0, A99 - $F$12 + 1)&lt;=24, 14 - 14*(MAX(0, A99 - $F$12 + 1)-6)/18, 0)))) + (IF(MAX(0, A99 - $F$13 + 1)&lt;=0, 0, IF(MAX(0, A99 - $F$13 + 1)&lt;=6, 70 - (70-14)*(MAX(0, A99 - $F$13 + 1)-1)/5, IF(MAX(0, A99 - $F$13 + 1)&lt;=24, 14 - 14*(MAX(0, A99 - $F$13 + 1)-6)/18, 0)))) + (IF(MAX(0, A99 - $F$14 + 1)&lt;=0, 0, IF(MAX(0, A99 - $F$14 + 1)&lt;=6, 70 - (70-14)*(MAX(0, A99 - $F$14 + 1)-1)/5, IF(MAX(0, A99 - $F$14 + 1)&lt;=24, 14 - 14*(MAX(0, A99 - $F$14 + 1)-6)/18, 0)))) ) * 200 / 12 / 1000</f>
        <v/>
      </c>
      <c r="F99" s="306">
        <f>IF(A99&lt;$F$6,0,IF(AND($B$21=1,A99&gt;$B$19),0,$E$6*$G$6^MIN((A99-$F$6)/12,6)*MIN($G$6,0.85)^MAX(0,(A99-$F$6)/12-6)))</f>
        <v/>
      </c>
      <c r="G99" s="306">
        <f>IF(A99&lt;$F$7,0,IF(AND($B$21=1,A99&gt;$B$19),0,$E$7*$G$7^MIN((A99-$F$7)/12,6)*MIN($G$7,0.85)^MAX(0,(A99-$F$7)/12-6)))</f>
        <v/>
      </c>
      <c r="H99" s="306">
        <f>IF(A99&lt;$F$8,0,IF(AND($B$21=1,A99&gt;$B$19),0,$E$8*$G$8^MIN((A99-$F$8)/12,6)*MIN($G$8,0.85)^MAX(0,(A99-$F$8)/12-6)))</f>
        <v/>
      </c>
      <c r="I99" s="306">
        <f>IF(A99&lt;$F$9,0,IF(AND($B$21=1,A99&gt;$B$19),0,$E$9*$G$9^MIN((A99-$F$9)/12,6)*MIN($G$9,0.85)^MAX(0,(A99-$F$9)/12-6)))</f>
        <v/>
      </c>
      <c r="J99" s="306">
        <f>IF(A99&lt;$F$10,0,IF(AND($B$21=1,A99&gt;$B$19),0,$E$10*$G$10^MIN((A99-$F$10)/12,6)*MIN($G$10,0.85)^MAX(0,(A99-$F$10)/12-6)))</f>
        <v/>
      </c>
      <c r="K99" s="306">
        <f>IF(A99&lt;$F$11,0,IF(AND($B$21=1,A99&gt;$B$19),0,$E$11*$G$11^MIN((A99-$F$11)/12,6)*MIN($G$11,0.85)^MAX(0,(A99-$F$11)/12-6)))</f>
        <v/>
      </c>
      <c r="L99" s="306">
        <f>IF(A99&lt;$F$12,0,IF(AND($B$21=1,A99&gt;$B$19),0,$E$12*$G$12^MIN((A99-$F$12)/12,6)*MIN($G$12,0.85)^MAX(0,(A99-$F$12)/12-6)))</f>
        <v/>
      </c>
      <c r="M99" s="306">
        <f>IF(A99&lt;$F$13,0,IF(AND($B$21=1,A99&gt;$B$19),0,$E$13*$G$13^MIN((A99-$F$13)/12,6)*MIN($G$13,0.85)^MAX(0,(A99-$F$13)/12-6)))</f>
        <v/>
      </c>
      <c r="N99" s="306">
        <f>IF(A99&lt;$F$14,0,IF(AND($B$21=1,A99&gt;$B$19),0,$E$14*$G$14^MIN((A99-$F$14)/12,6)*MIN($G$14,0.85)^MAX(0,(A99-$F$14)/12-6)))</f>
        <v/>
      </c>
      <c r="O99" s="306">
        <f>SUM(F99:N99)</f>
        <v/>
      </c>
      <c r="P99" s="306">
        <f>O99/12</f>
        <v/>
      </c>
      <c r="Q99" s="306">
        <f>P99*$B$8</f>
        <v/>
      </c>
      <c r="R99" s="306">
        <f>P99*$B$9</f>
        <v/>
      </c>
      <c r="S99" s="306">
        <f>P99*$B$10</f>
        <v/>
      </c>
      <c r="T99" s="306">
        <f>P99-Q99-R99-S99-D99-E99</f>
        <v/>
      </c>
      <c r="U99" s="306">
        <f>MAX(0, T99 - $B$7*P99)</f>
        <v/>
      </c>
      <c r="V99" s="306">
        <f>T99-U99</f>
        <v/>
      </c>
      <c r="W99" s="306">
        <f>IF(A99=$F$6, $B$18*$B$16*$B$17/1000000, 0) + IF(A99=$F$7, $B$18*$B$16*$B$17/1000000, 0) + IF(A99=$F$8, $B$18*$B$16*$B$17/1000000, 0) + IF(A99=$F$9, $B$18*$B$16*$B$17/1000000, 0) + IF(A99=$F$10, $B$18*$B$16*$B$17/1000000, 0) + IF(A99=$F$11, $B$18*$B$16*$B$17/1000000, 0) + IF(A99=$F$12, $B$18*$B$16*$B$17/1000000, 0) + IF(A99=$F$13, $B$18*$B$16*$B$17/1000000, 0) + IF(A99=$F$14, $B$18*$B$16*$B$17/1000000, 0)</f>
        <v/>
      </c>
      <c r="X99" s="306">
        <f>V99-W99-C99</f>
        <v/>
      </c>
      <c r="Y99" s="306">
        <f>IF(AND(A99&lt;=$B$24, X99&gt;0), X99*$B$23, 0)</f>
        <v/>
      </c>
      <c r="Z99" s="306">
        <f>X99-Y99</f>
        <v/>
      </c>
      <c r="AA99" s="306">
        <f>IF(AND(A99=$B$19, $B$21=1), O99*$B$20, 0)</f>
        <v/>
      </c>
      <c r="AB99" s="306">
        <f>AB98+Z99+AA99</f>
        <v/>
      </c>
    </row>
    <row r="100">
      <c r="A100" s="306" t="n">
        <v>70</v>
      </c>
      <c r="B100" s="306">
        <f>CEILING(A100/12,1)</f>
        <v/>
      </c>
      <c r="C100" s="306">
        <f>IF(A100&lt;=12, $B$15/12, 0)</f>
        <v/>
      </c>
      <c r="D100" s="306">
        <f>INDEX('26. Team Comp'!$D$28:$R$28, B100) * 0.001 / 12</f>
        <v/>
      </c>
      <c r="E100" s="306">
        <f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+ (IF(MAX(0, A100 - $F$11 + 1)&lt;=0, 0, IF(MAX(0, A100 - $F$11 + 1)&lt;=6, 70 - (70-14)*(MAX(0, A100 - $F$11 + 1)-1)/5, IF(MAX(0, A100 - $F$11 + 1)&lt;=24, 14 - 14*(MAX(0, A100 - $F$11 + 1)-6)/18, 0)))) + (IF(MAX(0, A100 - $F$12 + 1)&lt;=0, 0, IF(MAX(0, A100 - $F$12 + 1)&lt;=6, 70 - (70-14)*(MAX(0, A100 - $F$12 + 1)-1)/5, IF(MAX(0, A100 - $F$12 + 1)&lt;=24, 14 - 14*(MAX(0, A100 - $F$12 + 1)-6)/18, 0)))) + (IF(MAX(0, A100 - $F$13 + 1)&lt;=0, 0, IF(MAX(0, A100 - $F$13 + 1)&lt;=6, 70 - (70-14)*(MAX(0, A100 - $F$13 + 1)-1)/5, IF(MAX(0, A100 - $F$13 + 1)&lt;=24, 14 - 14*(MAX(0, A100 - $F$13 + 1)-6)/18, 0)))) + (IF(MAX(0, A100 - $F$14 + 1)&lt;=0, 0, IF(MAX(0, A100 - $F$14 + 1)&lt;=6, 70 - (70-14)*(MAX(0, A100 - $F$14 + 1)-1)/5, IF(MAX(0, A100 - $F$14 + 1)&lt;=24, 14 - 14*(MAX(0, A100 - $F$14 + 1)-6)/18, 0)))) ) * 200 / 12 / 1000</f>
        <v/>
      </c>
      <c r="F100" s="306">
        <f>IF(A100&lt;$F$6,0,IF(AND($B$21=1,A100&gt;$B$19),0,$E$6*$G$6^MIN((A100-$F$6)/12,6)*MIN($G$6,0.85)^MAX(0,(A100-$F$6)/12-6)))</f>
        <v/>
      </c>
      <c r="G100" s="306">
        <f>IF(A100&lt;$F$7,0,IF(AND($B$21=1,A100&gt;$B$19),0,$E$7*$G$7^MIN((A100-$F$7)/12,6)*MIN($G$7,0.85)^MAX(0,(A100-$F$7)/12-6)))</f>
        <v/>
      </c>
      <c r="H100" s="306">
        <f>IF(A100&lt;$F$8,0,IF(AND($B$21=1,A100&gt;$B$19),0,$E$8*$G$8^MIN((A100-$F$8)/12,6)*MIN($G$8,0.85)^MAX(0,(A100-$F$8)/12-6)))</f>
        <v/>
      </c>
      <c r="I100" s="306">
        <f>IF(A100&lt;$F$9,0,IF(AND($B$21=1,A100&gt;$B$19),0,$E$9*$G$9^MIN((A100-$F$9)/12,6)*MIN($G$9,0.85)^MAX(0,(A100-$F$9)/12-6)))</f>
        <v/>
      </c>
      <c r="J100" s="306">
        <f>IF(A100&lt;$F$10,0,IF(AND($B$21=1,A100&gt;$B$19),0,$E$10*$G$10^MIN((A100-$F$10)/12,6)*MIN($G$10,0.85)^MAX(0,(A100-$F$10)/12-6)))</f>
        <v/>
      </c>
      <c r="K100" s="306">
        <f>IF(A100&lt;$F$11,0,IF(AND($B$21=1,A100&gt;$B$19),0,$E$11*$G$11^MIN((A100-$F$11)/12,6)*MIN($G$11,0.85)^MAX(0,(A100-$F$11)/12-6)))</f>
        <v/>
      </c>
      <c r="L100" s="306">
        <f>IF(A100&lt;$F$12,0,IF(AND($B$21=1,A100&gt;$B$19),0,$E$12*$G$12^MIN((A100-$F$12)/12,6)*MIN($G$12,0.85)^MAX(0,(A100-$F$12)/12-6)))</f>
        <v/>
      </c>
      <c r="M100" s="306">
        <f>IF(A100&lt;$F$13,0,IF(AND($B$21=1,A100&gt;$B$19),0,$E$13*$G$13^MIN((A100-$F$13)/12,6)*MIN($G$13,0.85)^MAX(0,(A100-$F$13)/12-6)))</f>
        <v/>
      </c>
      <c r="N100" s="306">
        <f>IF(A100&lt;$F$14,0,IF(AND($B$21=1,A100&gt;$B$19),0,$E$14*$G$14^MIN((A100-$F$14)/12,6)*MIN($G$14,0.85)^MAX(0,(A100-$F$14)/12-6)))</f>
        <v/>
      </c>
      <c r="O100" s="306">
        <f>SUM(F100:N100)</f>
        <v/>
      </c>
      <c r="P100" s="306">
        <f>O100/12</f>
        <v/>
      </c>
      <c r="Q100" s="306">
        <f>P100*$B$8</f>
        <v/>
      </c>
      <c r="R100" s="306">
        <f>P100*$B$9</f>
        <v/>
      </c>
      <c r="S100" s="306">
        <f>P100*$B$10</f>
        <v/>
      </c>
      <c r="T100" s="306">
        <f>P100-Q100-R100-S100-D100-E100</f>
        <v/>
      </c>
      <c r="U100" s="306">
        <f>MAX(0, T100 - $B$7*P100)</f>
        <v/>
      </c>
      <c r="V100" s="306">
        <f>T100-U100</f>
        <v/>
      </c>
      <c r="W100" s="306">
        <f>IF(A100=$F$6, $B$18*$B$16*$B$17/1000000, 0) + IF(A100=$F$7, $B$18*$B$16*$B$17/1000000, 0) + IF(A100=$F$8, $B$18*$B$16*$B$17/1000000, 0) + IF(A100=$F$9, $B$18*$B$16*$B$17/1000000, 0) + IF(A100=$F$10, $B$18*$B$16*$B$17/1000000, 0) + IF(A100=$F$11, $B$18*$B$16*$B$17/1000000, 0) + IF(A100=$F$12, $B$18*$B$16*$B$17/1000000, 0) + IF(A100=$F$13, $B$18*$B$16*$B$17/1000000, 0) + IF(A100=$F$14, $B$18*$B$16*$B$17/1000000, 0)</f>
        <v/>
      </c>
      <c r="X100" s="306">
        <f>V100-W100-C100</f>
        <v/>
      </c>
      <c r="Y100" s="306">
        <f>IF(AND(A100&lt;=$B$24, X100&gt;0), X100*$B$23, 0)</f>
        <v/>
      </c>
      <c r="Z100" s="306">
        <f>X100-Y100</f>
        <v/>
      </c>
      <c r="AA100" s="306">
        <f>IF(AND(A100=$B$19, $B$21=1), O100*$B$20, 0)</f>
        <v/>
      </c>
      <c r="AB100" s="306">
        <f>AB99+Z100+AA100</f>
        <v/>
      </c>
    </row>
    <row r="101">
      <c r="A101" s="306" t="n">
        <v>71</v>
      </c>
      <c r="B101" s="306">
        <f>CEILING(A101/12,1)</f>
        <v/>
      </c>
      <c r="C101" s="306">
        <f>IF(A101&lt;=12, $B$15/12, 0)</f>
        <v/>
      </c>
      <c r="D101" s="306">
        <f>INDEX('26. Team Comp'!$D$28:$R$28, B101) * 0.001 / 12</f>
        <v/>
      </c>
      <c r="E101" s="306">
        <f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+ (IF(MAX(0, A101 - $F$11 + 1)&lt;=0, 0, IF(MAX(0, A101 - $F$11 + 1)&lt;=6, 70 - (70-14)*(MAX(0, A101 - $F$11 + 1)-1)/5, IF(MAX(0, A101 - $F$11 + 1)&lt;=24, 14 - 14*(MAX(0, A101 - $F$11 + 1)-6)/18, 0)))) + (IF(MAX(0, A101 - $F$12 + 1)&lt;=0, 0, IF(MAX(0, A101 - $F$12 + 1)&lt;=6, 70 - (70-14)*(MAX(0, A101 - $F$12 + 1)-1)/5, IF(MAX(0, A101 - $F$12 + 1)&lt;=24, 14 - 14*(MAX(0, A101 - $F$12 + 1)-6)/18, 0)))) + (IF(MAX(0, A101 - $F$13 + 1)&lt;=0, 0, IF(MAX(0, A101 - $F$13 + 1)&lt;=6, 70 - (70-14)*(MAX(0, A101 - $F$13 + 1)-1)/5, IF(MAX(0, A101 - $F$13 + 1)&lt;=24, 14 - 14*(MAX(0, A101 - $F$13 + 1)-6)/18, 0)))) + (IF(MAX(0, A101 - $F$14 + 1)&lt;=0, 0, IF(MAX(0, A101 - $F$14 + 1)&lt;=6, 70 - (70-14)*(MAX(0, A101 - $F$14 + 1)-1)/5, IF(MAX(0, A101 - $F$14 + 1)&lt;=24, 14 - 14*(MAX(0, A101 - $F$14 + 1)-6)/18, 0)))) ) * 200 / 12 / 1000</f>
        <v/>
      </c>
      <c r="F101" s="306">
        <f>IF(A101&lt;$F$6,0,IF(AND($B$21=1,A101&gt;$B$19),0,$E$6*$G$6^MIN((A101-$F$6)/12,6)*MIN($G$6,0.85)^MAX(0,(A101-$F$6)/12-6)))</f>
        <v/>
      </c>
      <c r="G101" s="306">
        <f>IF(A101&lt;$F$7,0,IF(AND($B$21=1,A101&gt;$B$19),0,$E$7*$G$7^MIN((A101-$F$7)/12,6)*MIN($G$7,0.85)^MAX(0,(A101-$F$7)/12-6)))</f>
        <v/>
      </c>
      <c r="H101" s="306">
        <f>IF(A101&lt;$F$8,0,IF(AND($B$21=1,A101&gt;$B$19),0,$E$8*$G$8^MIN((A101-$F$8)/12,6)*MIN($G$8,0.85)^MAX(0,(A101-$F$8)/12-6)))</f>
        <v/>
      </c>
      <c r="I101" s="306">
        <f>IF(A101&lt;$F$9,0,IF(AND($B$21=1,A101&gt;$B$19),0,$E$9*$G$9^MIN((A101-$F$9)/12,6)*MIN($G$9,0.85)^MAX(0,(A101-$F$9)/12-6)))</f>
        <v/>
      </c>
      <c r="J101" s="306">
        <f>IF(A101&lt;$F$10,0,IF(AND($B$21=1,A101&gt;$B$19),0,$E$10*$G$10^MIN((A101-$F$10)/12,6)*MIN($G$10,0.85)^MAX(0,(A101-$F$10)/12-6)))</f>
        <v/>
      </c>
      <c r="K101" s="306">
        <f>IF(A101&lt;$F$11,0,IF(AND($B$21=1,A101&gt;$B$19),0,$E$11*$G$11^MIN((A101-$F$11)/12,6)*MIN($G$11,0.85)^MAX(0,(A101-$F$11)/12-6)))</f>
        <v/>
      </c>
      <c r="L101" s="306">
        <f>IF(A101&lt;$F$12,0,IF(AND($B$21=1,A101&gt;$B$19),0,$E$12*$G$12^MIN((A101-$F$12)/12,6)*MIN($G$12,0.85)^MAX(0,(A101-$F$12)/12-6)))</f>
        <v/>
      </c>
      <c r="M101" s="306">
        <f>IF(A101&lt;$F$13,0,IF(AND($B$21=1,A101&gt;$B$19),0,$E$13*$G$13^MIN((A101-$F$13)/12,6)*MIN($G$13,0.85)^MAX(0,(A101-$F$13)/12-6)))</f>
        <v/>
      </c>
      <c r="N101" s="306">
        <f>IF(A101&lt;$F$14,0,IF(AND($B$21=1,A101&gt;$B$19),0,$E$14*$G$14^MIN((A101-$F$14)/12,6)*MIN($G$14,0.85)^MAX(0,(A101-$F$14)/12-6)))</f>
        <v/>
      </c>
      <c r="O101" s="306">
        <f>SUM(F101:N101)</f>
        <v/>
      </c>
      <c r="P101" s="306">
        <f>O101/12</f>
        <v/>
      </c>
      <c r="Q101" s="306">
        <f>P101*$B$8</f>
        <v/>
      </c>
      <c r="R101" s="306">
        <f>P101*$B$9</f>
        <v/>
      </c>
      <c r="S101" s="306">
        <f>P101*$B$10</f>
        <v/>
      </c>
      <c r="T101" s="306">
        <f>P101-Q101-R101-S101-D101-E101</f>
        <v/>
      </c>
      <c r="U101" s="306">
        <f>MAX(0, T101 - $B$7*P101)</f>
        <v/>
      </c>
      <c r="V101" s="306">
        <f>T101-U101</f>
        <v/>
      </c>
      <c r="W101" s="306">
        <f>IF(A101=$F$6, $B$18*$B$16*$B$17/1000000, 0) + IF(A101=$F$7, $B$18*$B$16*$B$17/1000000, 0) + IF(A101=$F$8, $B$18*$B$16*$B$17/1000000, 0) + IF(A101=$F$9, $B$18*$B$16*$B$17/1000000, 0) + IF(A101=$F$10, $B$18*$B$16*$B$17/1000000, 0) + IF(A101=$F$11, $B$18*$B$16*$B$17/1000000, 0) + IF(A101=$F$12, $B$18*$B$16*$B$17/1000000, 0) + IF(A101=$F$13, $B$18*$B$16*$B$17/1000000, 0) + IF(A101=$F$14, $B$18*$B$16*$B$17/1000000, 0)</f>
        <v/>
      </c>
      <c r="X101" s="306">
        <f>V101-W101-C101</f>
        <v/>
      </c>
      <c r="Y101" s="306">
        <f>IF(AND(A101&lt;=$B$24, X101&gt;0), X101*$B$23, 0)</f>
        <v/>
      </c>
      <c r="Z101" s="306">
        <f>X101-Y101</f>
        <v/>
      </c>
      <c r="AA101" s="306">
        <f>IF(AND(A101=$B$19, $B$21=1), O101*$B$20, 0)</f>
        <v/>
      </c>
      <c r="AB101" s="306">
        <f>AB100+Z101+AA101</f>
        <v/>
      </c>
    </row>
    <row r="102">
      <c r="A102" s="306" t="n">
        <v>72</v>
      </c>
      <c r="B102" s="306">
        <f>CEILING(A102/12,1)</f>
        <v/>
      </c>
      <c r="C102" s="306">
        <f>IF(A102&lt;=12, $B$15/12, 0)</f>
        <v/>
      </c>
      <c r="D102" s="306">
        <f>INDEX('26. Team Comp'!$D$28:$R$28, B102) * 0.001 / 12</f>
        <v/>
      </c>
      <c r="E102" s="306">
        <f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+ (IF(MAX(0, A102 - $F$11 + 1)&lt;=0, 0, IF(MAX(0, A102 - $F$11 + 1)&lt;=6, 70 - (70-14)*(MAX(0, A102 - $F$11 + 1)-1)/5, IF(MAX(0, A102 - $F$11 + 1)&lt;=24, 14 - 14*(MAX(0, A102 - $F$11 + 1)-6)/18, 0)))) + (IF(MAX(0, A102 - $F$12 + 1)&lt;=0, 0, IF(MAX(0, A102 - $F$12 + 1)&lt;=6, 70 - (70-14)*(MAX(0, A102 - $F$12 + 1)-1)/5, IF(MAX(0, A102 - $F$12 + 1)&lt;=24, 14 - 14*(MAX(0, A102 - $F$12 + 1)-6)/18, 0)))) + (IF(MAX(0, A102 - $F$13 + 1)&lt;=0, 0, IF(MAX(0, A102 - $F$13 + 1)&lt;=6, 70 - (70-14)*(MAX(0, A102 - $F$13 + 1)-1)/5, IF(MAX(0, A102 - $F$13 + 1)&lt;=24, 14 - 14*(MAX(0, A102 - $F$13 + 1)-6)/18, 0)))) + (IF(MAX(0, A102 - $F$14 + 1)&lt;=0, 0, IF(MAX(0, A102 - $F$14 + 1)&lt;=6, 70 - (70-14)*(MAX(0, A102 - $F$14 + 1)-1)/5, IF(MAX(0, A102 - $F$14 + 1)&lt;=24, 14 - 14*(MAX(0, A102 - $F$14 + 1)-6)/18, 0)))) ) * 200 / 12 / 1000</f>
        <v/>
      </c>
      <c r="F102" s="306">
        <f>IF(A102&lt;$F$6,0,IF(AND($B$21=1,A102&gt;$B$19),0,$E$6*$G$6^MIN((A102-$F$6)/12,6)*MIN($G$6,0.85)^MAX(0,(A102-$F$6)/12-6)))</f>
        <v/>
      </c>
      <c r="G102" s="306">
        <f>IF(A102&lt;$F$7,0,IF(AND($B$21=1,A102&gt;$B$19),0,$E$7*$G$7^MIN((A102-$F$7)/12,6)*MIN($G$7,0.85)^MAX(0,(A102-$F$7)/12-6)))</f>
        <v/>
      </c>
      <c r="H102" s="306">
        <f>IF(A102&lt;$F$8,0,IF(AND($B$21=1,A102&gt;$B$19),0,$E$8*$G$8^MIN((A102-$F$8)/12,6)*MIN($G$8,0.85)^MAX(0,(A102-$F$8)/12-6)))</f>
        <v/>
      </c>
      <c r="I102" s="306">
        <f>IF(A102&lt;$F$9,0,IF(AND($B$21=1,A102&gt;$B$19),0,$E$9*$G$9^MIN((A102-$F$9)/12,6)*MIN($G$9,0.85)^MAX(0,(A102-$F$9)/12-6)))</f>
        <v/>
      </c>
      <c r="J102" s="306">
        <f>IF(A102&lt;$F$10,0,IF(AND($B$21=1,A102&gt;$B$19),0,$E$10*$G$10^MIN((A102-$F$10)/12,6)*MIN($G$10,0.85)^MAX(0,(A102-$F$10)/12-6)))</f>
        <v/>
      </c>
      <c r="K102" s="306">
        <f>IF(A102&lt;$F$11,0,IF(AND($B$21=1,A102&gt;$B$19),0,$E$11*$G$11^MIN((A102-$F$11)/12,6)*MIN($G$11,0.85)^MAX(0,(A102-$F$11)/12-6)))</f>
        <v/>
      </c>
      <c r="L102" s="306">
        <f>IF(A102&lt;$F$12,0,IF(AND($B$21=1,A102&gt;$B$19),0,$E$12*$G$12^MIN((A102-$F$12)/12,6)*MIN($G$12,0.85)^MAX(0,(A102-$F$12)/12-6)))</f>
        <v/>
      </c>
      <c r="M102" s="306">
        <f>IF(A102&lt;$F$13,0,IF(AND($B$21=1,A102&gt;$B$19),0,$E$13*$G$13^MIN((A102-$F$13)/12,6)*MIN($G$13,0.85)^MAX(0,(A102-$F$13)/12-6)))</f>
        <v/>
      </c>
      <c r="N102" s="306">
        <f>IF(A102&lt;$F$14,0,IF(AND($B$21=1,A102&gt;$B$19),0,$E$14*$G$14^MIN((A102-$F$14)/12,6)*MIN($G$14,0.85)^MAX(0,(A102-$F$14)/12-6)))</f>
        <v/>
      </c>
      <c r="O102" s="306">
        <f>SUM(F102:N102)</f>
        <v/>
      </c>
      <c r="P102" s="306">
        <f>O102/12</f>
        <v/>
      </c>
      <c r="Q102" s="306">
        <f>P102*$B$8</f>
        <v/>
      </c>
      <c r="R102" s="306">
        <f>P102*$B$9</f>
        <v/>
      </c>
      <c r="S102" s="306">
        <f>P102*$B$10</f>
        <v/>
      </c>
      <c r="T102" s="306">
        <f>P102-Q102-R102-S102-D102-E102</f>
        <v/>
      </c>
      <c r="U102" s="306">
        <f>MAX(0, T102 - $B$7*P102)</f>
        <v/>
      </c>
      <c r="V102" s="306">
        <f>T102-U102</f>
        <v/>
      </c>
      <c r="W102" s="306">
        <f>IF(A102=$F$6, $B$18*$B$16*$B$17/1000000, 0) + IF(A102=$F$7, $B$18*$B$16*$B$17/1000000, 0) + IF(A102=$F$8, $B$18*$B$16*$B$17/1000000, 0) + IF(A102=$F$9, $B$18*$B$16*$B$17/1000000, 0) + IF(A102=$F$10, $B$18*$B$16*$B$17/1000000, 0) + IF(A102=$F$11, $B$18*$B$16*$B$17/1000000, 0) + IF(A102=$F$12, $B$18*$B$16*$B$17/1000000, 0) + IF(A102=$F$13, $B$18*$B$16*$B$17/1000000, 0) + IF(A102=$F$14, $B$18*$B$16*$B$17/1000000, 0)</f>
        <v/>
      </c>
      <c r="X102" s="306">
        <f>V102-W102-C102</f>
        <v/>
      </c>
      <c r="Y102" s="306">
        <f>IF(AND(A102&lt;=$B$24, X102&gt;0), X102*$B$23, 0)</f>
        <v/>
      </c>
      <c r="Z102" s="306">
        <f>X102-Y102</f>
        <v/>
      </c>
      <c r="AA102" s="306">
        <f>IF(AND(A102=$B$19, $B$21=1), O102*$B$20, 0)</f>
        <v/>
      </c>
      <c r="AB102" s="306">
        <f>AB101+Z102+AA102</f>
        <v/>
      </c>
    </row>
    <row r="103">
      <c r="A103" s="306" t="n">
        <v>73</v>
      </c>
      <c r="B103" s="306">
        <f>CEILING(A103/12,1)</f>
        <v/>
      </c>
      <c r="C103" s="306">
        <f>IF(A103&lt;=12, $B$15/12, 0)</f>
        <v/>
      </c>
      <c r="D103" s="306">
        <f>INDEX('26. Team Comp'!$D$28:$R$28, B103) * 0.001 / 12</f>
        <v/>
      </c>
      <c r="E103" s="306">
        <f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+ (IF(MAX(0, A103 - $F$11 + 1)&lt;=0, 0, IF(MAX(0, A103 - $F$11 + 1)&lt;=6, 70 - (70-14)*(MAX(0, A103 - $F$11 + 1)-1)/5, IF(MAX(0, A103 - $F$11 + 1)&lt;=24, 14 - 14*(MAX(0, A103 - $F$11 + 1)-6)/18, 0)))) + (IF(MAX(0, A103 - $F$12 + 1)&lt;=0, 0, IF(MAX(0, A103 - $F$12 + 1)&lt;=6, 70 - (70-14)*(MAX(0, A103 - $F$12 + 1)-1)/5, IF(MAX(0, A103 - $F$12 + 1)&lt;=24, 14 - 14*(MAX(0, A103 - $F$12 + 1)-6)/18, 0)))) + (IF(MAX(0, A103 - $F$13 + 1)&lt;=0, 0, IF(MAX(0, A103 - $F$13 + 1)&lt;=6, 70 - (70-14)*(MAX(0, A103 - $F$13 + 1)-1)/5, IF(MAX(0, A103 - $F$13 + 1)&lt;=24, 14 - 14*(MAX(0, A103 - $F$13 + 1)-6)/18, 0)))) + (IF(MAX(0, A103 - $F$14 + 1)&lt;=0, 0, IF(MAX(0, A103 - $F$14 + 1)&lt;=6, 70 - (70-14)*(MAX(0, A103 - $F$14 + 1)-1)/5, IF(MAX(0, A103 - $F$14 + 1)&lt;=24, 14 - 14*(MAX(0, A103 - $F$14 + 1)-6)/18, 0)))) ) * 200 / 12 / 1000</f>
        <v/>
      </c>
      <c r="F103" s="306">
        <f>IF(A103&lt;$F$6,0,IF(AND($B$21=1,A103&gt;$B$19),0,$E$6*$G$6^MIN((A103-$F$6)/12,6)*MIN($G$6,0.85)^MAX(0,(A103-$F$6)/12-6)))</f>
        <v/>
      </c>
      <c r="G103" s="306">
        <f>IF(A103&lt;$F$7,0,IF(AND($B$21=1,A103&gt;$B$19),0,$E$7*$G$7^MIN((A103-$F$7)/12,6)*MIN($G$7,0.85)^MAX(0,(A103-$F$7)/12-6)))</f>
        <v/>
      </c>
      <c r="H103" s="306">
        <f>IF(A103&lt;$F$8,0,IF(AND($B$21=1,A103&gt;$B$19),0,$E$8*$G$8^MIN((A103-$F$8)/12,6)*MIN($G$8,0.85)^MAX(0,(A103-$F$8)/12-6)))</f>
        <v/>
      </c>
      <c r="I103" s="306">
        <f>IF(A103&lt;$F$9,0,IF(AND($B$21=1,A103&gt;$B$19),0,$E$9*$G$9^MIN((A103-$F$9)/12,6)*MIN($G$9,0.85)^MAX(0,(A103-$F$9)/12-6)))</f>
        <v/>
      </c>
      <c r="J103" s="306">
        <f>IF(A103&lt;$F$10,0,IF(AND($B$21=1,A103&gt;$B$19),0,$E$10*$G$10^MIN((A103-$F$10)/12,6)*MIN($G$10,0.85)^MAX(0,(A103-$F$10)/12-6)))</f>
        <v/>
      </c>
      <c r="K103" s="306">
        <f>IF(A103&lt;$F$11,0,IF(AND($B$21=1,A103&gt;$B$19),0,$E$11*$G$11^MIN((A103-$F$11)/12,6)*MIN($G$11,0.85)^MAX(0,(A103-$F$11)/12-6)))</f>
        <v/>
      </c>
      <c r="L103" s="306">
        <f>IF(A103&lt;$F$12,0,IF(AND($B$21=1,A103&gt;$B$19),0,$E$12*$G$12^MIN((A103-$F$12)/12,6)*MIN($G$12,0.85)^MAX(0,(A103-$F$12)/12-6)))</f>
        <v/>
      </c>
      <c r="M103" s="306">
        <f>IF(A103&lt;$F$13,0,IF(AND($B$21=1,A103&gt;$B$19),0,$E$13*$G$13^MIN((A103-$F$13)/12,6)*MIN($G$13,0.85)^MAX(0,(A103-$F$13)/12-6)))</f>
        <v/>
      </c>
      <c r="N103" s="306">
        <f>IF(A103&lt;$F$14,0,IF(AND($B$21=1,A103&gt;$B$19),0,$E$14*$G$14^MIN((A103-$F$14)/12,6)*MIN($G$14,0.85)^MAX(0,(A103-$F$14)/12-6)))</f>
        <v/>
      </c>
      <c r="O103" s="306">
        <f>SUM(F103:N103)</f>
        <v/>
      </c>
      <c r="P103" s="306">
        <f>O103/12</f>
        <v/>
      </c>
      <c r="Q103" s="306">
        <f>P103*$B$8</f>
        <v/>
      </c>
      <c r="R103" s="306">
        <f>P103*$B$9</f>
        <v/>
      </c>
      <c r="S103" s="306">
        <f>P103*$B$10</f>
        <v/>
      </c>
      <c r="T103" s="306">
        <f>P103-Q103-R103-S103-D103-E103</f>
        <v/>
      </c>
      <c r="U103" s="306">
        <f>MAX(0, T103 - $B$7*P103)</f>
        <v/>
      </c>
      <c r="V103" s="306">
        <f>T103-U103</f>
        <v/>
      </c>
      <c r="W103" s="306">
        <f>IF(A103=$F$6, $B$18*$B$16*$B$17/1000000, 0) + IF(A103=$F$7, $B$18*$B$16*$B$17/1000000, 0) + IF(A103=$F$8, $B$18*$B$16*$B$17/1000000, 0) + IF(A103=$F$9, $B$18*$B$16*$B$17/1000000, 0) + IF(A103=$F$10, $B$18*$B$16*$B$17/1000000, 0) + IF(A103=$F$11, $B$18*$B$16*$B$17/1000000, 0) + IF(A103=$F$12, $B$18*$B$16*$B$17/1000000, 0) + IF(A103=$F$13, $B$18*$B$16*$B$17/1000000, 0) + IF(A103=$F$14, $B$18*$B$16*$B$17/1000000, 0)</f>
        <v/>
      </c>
      <c r="X103" s="306">
        <f>V103-W103-C103</f>
        <v/>
      </c>
      <c r="Y103" s="306">
        <f>IF(AND(A103&lt;=$B$24, X103&gt;0), X103*$B$23, 0)</f>
        <v/>
      </c>
      <c r="Z103" s="306">
        <f>X103-Y103+MAX(0, SUM(Y31:Y102)-120)</f>
        <v/>
      </c>
      <c r="AA103" s="306">
        <f>IF(AND(A103=$B$19, $B$21=1), O103*$B$20, 0)</f>
        <v/>
      </c>
      <c r="AB103" s="306">
        <f>AB102+Z103+AA103</f>
        <v/>
      </c>
    </row>
    <row r="104">
      <c r="A104" s="306" t="n">
        <v>74</v>
      </c>
      <c r="B104" s="306">
        <f>CEILING(A104/12,1)</f>
        <v/>
      </c>
      <c r="C104" s="306">
        <f>IF(A104&lt;=12, $B$15/12, 0)</f>
        <v/>
      </c>
      <c r="D104" s="306">
        <f>INDEX('26. Team Comp'!$D$28:$R$28, B104) * 0.001 / 12</f>
        <v/>
      </c>
      <c r="E104" s="306">
        <f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+ (IF(MAX(0, A104 - $F$11 + 1)&lt;=0, 0, IF(MAX(0, A104 - $F$11 + 1)&lt;=6, 70 - (70-14)*(MAX(0, A104 - $F$11 + 1)-1)/5, IF(MAX(0, A104 - $F$11 + 1)&lt;=24, 14 - 14*(MAX(0, A104 - $F$11 + 1)-6)/18, 0)))) + (IF(MAX(0, A104 - $F$12 + 1)&lt;=0, 0, IF(MAX(0, A104 - $F$12 + 1)&lt;=6, 70 - (70-14)*(MAX(0, A104 - $F$12 + 1)-1)/5, IF(MAX(0, A104 - $F$12 + 1)&lt;=24, 14 - 14*(MAX(0, A104 - $F$12 + 1)-6)/18, 0)))) + (IF(MAX(0, A104 - $F$13 + 1)&lt;=0, 0, IF(MAX(0, A104 - $F$13 + 1)&lt;=6, 70 - (70-14)*(MAX(0, A104 - $F$13 + 1)-1)/5, IF(MAX(0, A104 - $F$13 + 1)&lt;=24, 14 - 14*(MAX(0, A104 - $F$13 + 1)-6)/18, 0)))) + (IF(MAX(0, A104 - $F$14 + 1)&lt;=0, 0, IF(MAX(0, A104 - $F$14 + 1)&lt;=6, 70 - (70-14)*(MAX(0, A104 - $F$14 + 1)-1)/5, IF(MAX(0, A104 - $F$14 + 1)&lt;=24, 14 - 14*(MAX(0, A104 - $F$14 + 1)-6)/18, 0)))) ) * 200 / 12 / 1000</f>
        <v/>
      </c>
      <c r="F104" s="306">
        <f>IF(A104&lt;$F$6,0,IF(AND($B$21=1,A104&gt;$B$19),0,$E$6*$G$6^MIN((A104-$F$6)/12,6)*MIN($G$6,0.85)^MAX(0,(A104-$F$6)/12-6)))</f>
        <v/>
      </c>
      <c r="G104" s="306">
        <f>IF(A104&lt;$F$7,0,IF(AND($B$21=1,A104&gt;$B$19),0,$E$7*$G$7^MIN((A104-$F$7)/12,6)*MIN($G$7,0.85)^MAX(0,(A104-$F$7)/12-6)))</f>
        <v/>
      </c>
      <c r="H104" s="306">
        <f>IF(A104&lt;$F$8,0,IF(AND($B$21=1,A104&gt;$B$19),0,$E$8*$G$8^MIN((A104-$F$8)/12,6)*MIN($G$8,0.85)^MAX(0,(A104-$F$8)/12-6)))</f>
        <v/>
      </c>
      <c r="I104" s="306">
        <f>IF(A104&lt;$F$9,0,IF(AND($B$21=1,A104&gt;$B$19),0,$E$9*$G$9^MIN((A104-$F$9)/12,6)*MIN($G$9,0.85)^MAX(0,(A104-$F$9)/12-6)))</f>
        <v/>
      </c>
      <c r="J104" s="306">
        <f>IF(A104&lt;$F$10,0,IF(AND($B$21=1,A104&gt;$B$19),0,$E$10*$G$10^MIN((A104-$F$10)/12,6)*MIN($G$10,0.85)^MAX(0,(A104-$F$10)/12-6)))</f>
        <v/>
      </c>
      <c r="K104" s="306">
        <f>IF(A104&lt;$F$11,0,IF(AND($B$21=1,A104&gt;$B$19),0,$E$11*$G$11^MIN((A104-$F$11)/12,6)*MIN($G$11,0.85)^MAX(0,(A104-$F$11)/12-6)))</f>
        <v/>
      </c>
      <c r="L104" s="306">
        <f>IF(A104&lt;$F$12,0,IF(AND($B$21=1,A104&gt;$B$19),0,$E$12*$G$12^MIN((A104-$F$12)/12,6)*MIN($G$12,0.85)^MAX(0,(A104-$F$12)/12-6)))</f>
        <v/>
      </c>
      <c r="M104" s="306">
        <f>IF(A104&lt;$F$13,0,IF(AND($B$21=1,A104&gt;$B$19),0,$E$13*$G$13^MIN((A104-$F$13)/12,6)*MIN($G$13,0.85)^MAX(0,(A104-$F$13)/12-6)))</f>
        <v/>
      </c>
      <c r="N104" s="306">
        <f>IF(A104&lt;$F$14,0,IF(AND($B$21=1,A104&gt;$B$19),0,$E$14*$G$14^MIN((A104-$F$14)/12,6)*MIN($G$14,0.85)^MAX(0,(A104-$F$14)/12-6)))</f>
        <v/>
      </c>
      <c r="O104" s="306">
        <f>SUM(F104:N104)</f>
        <v/>
      </c>
      <c r="P104" s="306">
        <f>O104/12</f>
        <v/>
      </c>
      <c r="Q104" s="306">
        <f>P104*$B$8</f>
        <v/>
      </c>
      <c r="R104" s="306">
        <f>P104*$B$9</f>
        <v/>
      </c>
      <c r="S104" s="306">
        <f>P104*$B$10</f>
        <v/>
      </c>
      <c r="T104" s="306">
        <f>P104-Q104-R104-S104-D104-E104</f>
        <v/>
      </c>
      <c r="U104" s="306">
        <f>MAX(0, T104 - $B$7*P104)</f>
        <v/>
      </c>
      <c r="V104" s="306">
        <f>T104-U104</f>
        <v/>
      </c>
      <c r="W104" s="306">
        <f>IF(A104=$F$6, $B$18*$B$16*$B$17/1000000, 0) + IF(A104=$F$7, $B$18*$B$16*$B$17/1000000, 0) + IF(A104=$F$8, $B$18*$B$16*$B$17/1000000, 0) + IF(A104=$F$9, $B$18*$B$16*$B$17/1000000, 0) + IF(A104=$F$10, $B$18*$B$16*$B$17/1000000, 0) + IF(A104=$F$11, $B$18*$B$16*$B$17/1000000, 0) + IF(A104=$F$12, $B$18*$B$16*$B$17/1000000, 0) + IF(A104=$F$13, $B$18*$B$16*$B$17/1000000, 0) + IF(A104=$F$14, $B$18*$B$16*$B$17/1000000, 0)</f>
        <v/>
      </c>
      <c r="X104" s="306">
        <f>V104-W104-C104</f>
        <v/>
      </c>
      <c r="Y104" s="306">
        <f>IF(AND(A104&lt;=$B$24, X104&gt;0), X104*$B$23, 0)</f>
        <v/>
      </c>
      <c r="Z104" s="306">
        <f>X104-Y104</f>
        <v/>
      </c>
      <c r="AA104" s="306">
        <f>IF(AND(A104=$B$19, $B$21=1), O104*$B$20, 0)</f>
        <v/>
      </c>
      <c r="AB104" s="306">
        <f>AB103+Z104+AA104</f>
        <v/>
      </c>
    </row>
    <row r="105">
      <c r="A105" s="306" t="n">
        <v>75</v>
      </c>
      <c r="B105" s="306">
        <f>CEILING(A105/12,1)</f>
        <v/>
      </c>
      <c r="C105" s="306">
        <f>IF(A105&lt;=12, $B$15/12, 0)</f>
        <v/>
      </c>
      <c r="D105" s="306">
        <f>INDEX('26. Team Comp'!$D$28:$R$28, B105) * 0.001 / 12</f>
        <v/>
      </c>
      <c r="E105" s="306">
        <f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+ (IF(MAX(0, A105 - $F$11 + 1)&lt;=0, 0, IF(MAX(0, A105 - $F$11 + 1)&lt;=6, 70 - (70-14)*(MAX(0, A105 - $F$11 + 1)-1)/5, IF(MAX(0, A105 - $F$11 + 1)&lt;=24, 14 - 14*(MAX(0, A105 - $F$11 + 1)-6)/18, 0)))) + (IF(MAX(0, A105 - $F$12 + 1)&lt;=0, 0, IF(MAX(0, A105 - $F$12 + 1)&lt;=6, 70 - (70-14)*(MAX(0, A105 - $F$12 + 1)-1)/5, IF(MAX(0, A105 - $F$12 + 1)&lt;=24, 14 - 14*(MAX(0, A105 - $F$12 + 1)-6)/18, 0)))) + (IF(MAX(0, A105 - $F$13 + 1)&lt;=0, 0, IF(MAX(0, A105 - $F$13 + 1)&lt;=6, 70 - (70-14)*(MAX(0, A105 - $F$13 + 1)-1)/5, IF(MAX(0, A105 - $F$13 + 1)&lt;=24, 14 - 14*(MAX(0, A105 - $F$13 + 1)-6)/18, 0)))) + (IF(MAX(0, A105 - $F$14 + 1)&lt;=0, 0, IF(MAX(0, A105 - $F$14 + 1)&lt;=6, 70 - (70-14)*(MAX(0, A105 - $F$14 + 1)-1)/5, IF(MAX(0, A105 - $F$14 + 1)&lt;=24, 14 - 14*(MAX(0, A105 - $F$14 + 1)-6)/18, 0)))) ) * 200 / 12 / 1000</f>
        <v/>
      </c>
      <c r="F105" s="306">
        <f>IF(A105&lt;$F$6,0,IF(AND($B$21=1,A105&gt;$B$19),0,$E$6*$G$6^MIN((A105-$F$6)/12,6)*MIN($G$6,0.85)^MAX(0,(A105-$F$6)/12-6)))</f>
        <v/>
      </c>
      <c r="G105" s="306">
        <f>IF(A105&lt;$F$7,0,IF(AND($B$21=1,A105&gt;$B$19),0,$E$7*$G$7^MIN((A105-$F$7)/12,6)*MIN($G$7,0.85)^MAX(0,(A105-$F$7)/12-6)))</f>
        <v/>
      </c>
      <c r="H105" s="306">
        <f>IF(A105&lt;$F$8,0,IF(AND($B$21=1,A105&gt;$B$19),0,$E$8*$G$8^MIN((A105-$F$8)/12,6)*MIN($G$8,0.85)^MAX(0,(A105-$F$8)/12-6)))</f>
        <v/>
      </c>
      <c r="I105" s="306">
        <f>IF(A105&lt;$F$9,0,IF(AND($B$21=1,A105&gt;$B$19),0,$E$9*$G$9^MIN((A105-$F$9)/12,6)*MIN($G$9,0.85)^MAX(0,(A105-$F$9)/12-6)))</f>
        <v/>
      </c>
      <c r="J105" s="306">
        <f>IF(A105&lt;$F$10,0,IF(AND($B$21=1,A105&gt;$B$19),0,$E$10*$G$10^MIN((A105-$F$10)/12,6)*MIN($G$10,0.85)^MAX(0,(A105-$F$10)/12-6)))</f>
        <v/>
      </c>
      <c r="K105" s="306">
        <f>IF(A105&lt;$F$11,0,IF(AND($B$21=1,A105&gt;$B$19),0,$E$11*$G$11^MIN((A105-$F$11)/12,6)*MIN($G$11,0.85)^MAX(0,(A105-$F$11)/12-6)))</f>
        <v/>
      </c>
      <c r="L105" s="306">
        <f>IF(A105&lt;$F$12,0,IF(AND($B$21=1,A105&gt;$B$19),0,$E$12*$G$12^MIN((A105-$F$12)/12,6)*MIN($G$12,0.85)^MAX(0,(A105-$F$12)/12-6)))</f>
        <v/>
      </c>
      <c r="M105" s="306">
        <f>IF(A105&lt;$F$13,0,IF(AND($B$21=1,A105&gt;$B$19),0,$E$13*$G$13^MIN((A105-$F$13)/12,6)*MIN($G$13,0.85)^MAX(0,(A105-$F$13)/12-6)))</f>
        <v/>
      </c>
      <c r="N105" s="306">
        <f>IF(A105&lt;$F$14,0,IF(AND($B$21=1,A105&gt;$B$19),0,$E$14*$G$14^MIN((A105-$F$14)/12,6)*MIN($G$14,0.85)^MAX(0,(A105-$F$14)/12-6)))</f>
        <v/>
      </c>
      <c r="O105" s="306">
        <f>SUM(F105:N105)</f>
        <v/>
      </c>
      <c r="P105" s="306">
        <f>O105/12</f>
        <v/>
      </c>
      <c r="Q105" s="306">
        <f>P105*$B$8</f>
        <v/>
      </c>
      <c r="R105" s="306">
        <f>P105*$B$9</f>
        <v/>
      </c>
      <c r="S105" s="306">
        <f>P105*$B$10</f>
        <v/>
      </c>
      <c r="T105" s="306">
        <f>P105-Q105-R105-S105-D105-E105</f>
        <v/>
      </c>
      <c r="U105" s="306">
        <f>MAX(0, T105 - $B$7*P105)</f>
        <v/>
      </c>
      <c r="V105" s="306">
        <f>T105-U105</f>
        <v/>
      </c>
      <c r="W105" s="306">
        <f>IF(A105=$F$6, $B$18*$B$16*$B$17/1000000, 0) + IF(A105=$F$7, $B$18*$B$16*$B$17/1000000, 0) + IF(A105=$F$8, $B$18*$B$16*$B$17/1000000, 0) + IF(A105=$F$9, $B$18*$B$16*$B$17/1000000, 0) + IF(A105=$F$10, $B$18*$B$16*$B$17/1000000, 0) + IF(A105=$F$11, $B$18*$B$16*$B$17/1000000, 0) + IF(A105=$F$12, $B$18*$B$16*$B$17/1000000, 0) + IF(A105=$F$13, $B$18*$B$16*$B$17/1000000, 0) + IF(A105=$F$14, $B$18*$B$16*$B$17/1000000, 0)</f>
        <v/>
      </c>
      <c r="X105" s="306">
        <f>V105-W105-C105</f>
        <v/>
      </c>
      <c r="Y105" s="306">
        <f>IF(AND(A105&lt;=$B$24, X105&gt;0), X105*$B$23, 0)</f>
        <v/>
      </c>
      <c r="Z105" s="306">
        <f>X105-Y105</f>
        <v/>
      </c>
      <c r="AA105" s="306">
        <f>IF(AND(A105=$B$19, $B$21=1), O105*$B$20, 0)</f>
        <v/>
      </c>
      <c r="AB105" s="306">
        <f>AB104+Z105+AA105</f>
        <v/>
      </c>
    </row>
    <row r="106">
      <c r="A106" s="306" t="n">
        <v>76</v>
      </c>
      <c r="B106" s="306">
        <f>CEILING(A106/12,1)</f>
        <v/>
      </c>
      <c r="C106" s="306">
        <f>IF(A106&lt;=12, $B$15/12, 0)</f>
        <v/>
      </c>
      <c r="D106" s="306">
        <f>INDEX('26. Team Comp'!$D$28:$R$28, B106) * 0.001 / 12</f>
        <v/>
      </c>
      <c r="E106" s="306">
        <f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+ (IF(MAX(0, A106 - $F$11 + 1)&lt;=0, 0, IF(MAX(0, A106 - $F$11 + 1)&lt;=6, 70 - (70-14)*(MAX(0, A106 - $F$11 + 1)-1)/5, IF(MAX(0, A106 - $F$11 + 1)&lt;=24, 14 - 14*(MAX(0, A106 - $F$11 + 1)-6)/18, 0)))) + (IF(MAX(0, A106 - $F$12 + 1)&lt;=0, 0, IF(MAX(0, A106 - $F$12 + 1)&lt;=6, 70 - (70-14)*(MAX(0, A106 - $F$12 + 1)-1)/5, IF(MAX(0, A106 - $F$12 + 1)&lt;=24, 14 - 14*(MAX(0, A106 - $F$12 + 1)-6)/18, 0)))) + (IF(MAX(0, A106 - $F$13 + 1)&lt;=0, 0, IF(MAX(0, A106 - $F$13 + 1)&lt;=6, 70 - (70-14)*(MAX(0, A106 - $F$13 + 1)-1)/5, IF(MAX(0, A106 - $F$13 + 1)&lt;=24, 14 - 14*(MAX(0, A106 - $F$13 + 1)-6)/18, 0)))) + (IF(MAX(0, A106 - $F$14 + 1)&lt;=0, 0, IF(MAX(0, A106 - $F$14 + 1)&lt;=6, 70 - (70-14)*(MAX(0, A106 - $F$14 + 1)-1)/5, IF(MAX(0, A106 - $F$14 + 1)&lt;=24, 14 - 14*(MAX(0, A106 - $F$14 + 1)-6)/18, 0)))) ) * 200 / 12 / 1000</f>
        <v/>
      </c>
      <c r="F106" s="306">
        <f>IF(A106&lt;$F$6,0,IF(AND($B$21=1,A106&gt;$B$19),0,$E$6*$G$6^MIN((A106-$F$6)/12,6)*MIN($G$6,0.85)^MAX(0,(A106-$F$6)/12-6)))</f>
        <v/>
      </c>
      <c r="G106" s="306">
        <f>IF(A106&lt;$F$7,0,IF(AND($B$21=1,A106&gt;$B$19),0,$E$7*$G$7^MIN((A106-$F$7)/12,6)*MIN($G$7,0.85)^MAX(0,(A106-$F$7)/12-6)))</f>
        <v/>
      </c>
      <c r="H106" s="306">
        <f>IF(A106&lt;$F$8,0,IF(AND($B$21=1,A106&gt;$B$19),0,$E$8*$G$8^MIN((A106-$F$8)/12,6)*MIN($G$8,0.85)^MAX(0,(A106-$F$8)/12-6)))</f>
        <v/>
      </c>
      <c r="I106" s="306">
        <f>IF(A106&lt;$F$9,0,IF(AND($B$21=1,A106&gt;$B$19),0,$E$9*$G$9^MIN((A106-$F$9)/12,6)*MIN($G$9,0.85)^MAX(0,(A106-$F$9)/12-6)))</f>
        <v/>
      </c>
      <c r="J106" s="306">
        <f>IF(A106&lt;$F$10,0,IF(AND($B$21=1,A106&gt;$B$19),0,$E$10*$G$10^MIN((A106-$F$10)/12,6)*MIN($G$10,0.85)^MAX(0,(A106-$F$10)/12-6)))</f>
        <v/>
      </c>
      <c r="K106" s="306">
        <f>IF(A106&lt;$F$11,0,IF(AND($B$21=1,A106&gt;$B$19),0,$E$11*$G$11^MIN((A106-$F$11)/12,6)*MIN($G$11,0.85)^MAX(0,(A106-$F$11)/12-6)))</f>
        <v/>
      </c>
      <c r="L106" s="306">
        <f>IF(A106&lt;$F$12,0,IF(AND($B$21=1,A106&gt;$B$19),0,$E$12*$G$12^MIN((A106-$F$12)/12,6)*MIN($G$12,0.85)^MAX(0,(A106-$F$12)/12-6)))</f>
        <v/>
      </c>
      <c r="M106" s="306">
        <f>IF(A106&lt;$F$13,0,IF(AND($B$21=1,A106&gt;$B$19),0,$E$13*$G$13^MIN((A106-$F$13)/12,6)*MIN($G$13,0.85)^MAX(0,(A106-$F$13)/12-6)))</f>
        <v/>
      </c>
      <c r="N106" s="306">
        <f>IF(A106&lt;$F$14,0,IF(AND($B$21=1,A106&gt;$B$19),0,$E$14*$G$14^MIN((A106-$F$14)/12,6)*MIN($G$14,0.85)^MAX(0,(A106-$F$14)/12-6)))</f>
        <v/>
      </c>
      <c r="O106" s="306">
        <f>SUM(F106:N106)</f>
        <v/>
      </c>
      <c r="P106" s="306">
        <f>O106/12</f>
        <v/>
      </c>
      <c r="Q106" s="306">
        <f>P106*$B$8</f>
        <v/>
      </c>
      <c r="R106" s="306">
        <f>P106*$B$9</f>
        <v/>
      </c>
      <c r="S106" s="306">
        <f>P106*$B$10</f>
        <v/>
      </c>
      <c r="T106" s="306">
        <f>P106-Q106-R106-S106-D106-E106</f>
        <v/>
      </c>
      <c r="U106" s="306">
        <f>MAX(0, T106 - $B$7*P106)</f>
        <v/>
      </c>
      <c r="V106" s="306">
        <f>T106-U106</f>
        <v/>
      </c>
      <c r="W106" s="306">
        <f>IF(A106=$F$6, $B$18*$B$16*$B$17/1000000, 0) + IF(A106=$F$7, $B$18*$B$16*$B$17/1000000, 0) + IF(A106=$F$8, $B$18*$B$16*$B$17/1000000, 0) + IF(A106=$F$9, $B$18*$B$16*$B$17/1000000, 0) + IF(A106=$F$10, $B$18*$B$16*$B$17/1000000, 0) + IF(A106=$F$11, $B$18*$B$16*$B$17/1000000, 0) + IF(A106=$F$12, $B$18*$B$16*$B$17/1000000, 0) + IF(A106=$F$13, $B$18*$B$16*$B$17/1000000, 0) + IF(A106=$F$14, $B$18*$B$16*$B$17/1000000, 0)</f>
        <v/>
      </c>
      <c r="X106" s="306">
        <f>V106-W106-C106</f>
        <v/>
      </c>
      <c r="Y106" s="306">
        <f>IF(AND(A106&lt;=$B$24, X106&gt;0), X106*$B$23, 0)</f>
        <v/>
      </c>
      <c r="Z106" s="306">
        <f>X106-Y106</f>
        <v/>
      </c>
      <c r="AA106" s="306">
        <f>IF(AND(A106=$B$19, $B$21=1), O106*$B$20, 0)</f>
        <v/>
      </c>
      <c r="AB106" s="306">
        <f>AB105+Z106+AA106</f>
        <v/>
      </c>
    </row>
    <row r="107">
      <c r="A107" s="306" t="n">
        <v>77</v>
      </c>
      <c r="B107" s="306">
        <f>CEILING(A107/12,1)</f>
        <v/>
      </c>
      <c r="C107" s="306">
        <f>IF(A107&lt;=12, $B$15/12, 0)</f>
        <v/>
      </c>
      <c r="D107" s="306">
        <f>INDEX('26. Team Comp'!$D$28:$R$28, B107) * 0.001 / 12</f>
        <v/>
      </c>
      <c r="E107" s="306">
        <f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+ (IF(MAX(0, A107 - $F$11 + 1)&lt;=0, 0, IF(MAX(0, A107 - $F$11 + 1)&lt;=6, 70 - (70-14)*(MAX(0, A107 - $F$11 + 1)-1)/5, IF(MAX(0, A107 - $F$11 + 1)&lt;=24, 14 - 14*(MAX(0, A107 - $F$11 + 1)-6)/18, 0)))) + (IF(MAX(0, A107 - $F$12 + 1)&lt;=0, 0, IF(MAX(0, A107 - $F$12 + 1)&lt;=6, 70 - (70-14)*(MAX(0, A107 - $F$12 + 1)-1)/5, IF(MAX(0, A107 - $F$12 + 1)&lt;=24, 14 - 14*(MAX(0, A107 - $F$12 + 1)-6)/18, 0)))) + (IF(MAX(0, A107 - $F$13 + 1)&lt;=0, 0, IF(MAX(0, A107 - $F$13 + 1)&lt;=6, 70 - (70-14)*(MAX(0, A107 - $F$13 + 1)-1)/5, IF(MAX(0, A107 - $F$13 + 1)&lt;=24, 14 - 14*(MAX(0, A107 - $F$13 + 1)-6)/18, 0)))) + (IF(MAX(0, A107 - $F$14 + 1)&lt;=0, 0, IF(MAX(0, A107 - $F$14 + 1)&lt;=6, 70 - (70-14)*(MAX(0, A107 - $F$14 + 1)-1)/5, IF(MAX(0, A107 - $F$14 + 1)&lt;=24, 14 - 14*(MAX(0, A107 - $F$14 + 1)-6)/18, 0)))) ) * 200 / 12 / 1000</f>
        <v/>
      </c>
      <c r="F107" s="306">
        <f>IF(A107&lt;$F$6,0,IF(AND($B$21=1,A107&gt;$B$19),0,$E$6*$G$6^MIN((A107-$F$6)/12,6)*MIN($G$6,0.85)^MAX(0,(A107-$F$6)/12-6)))</f>
        <v/>
      </c>
      <c r="G107" s="306">
        <f>IF(A107&lt;$F$7,0,IF(AND($B$21=1,A107&gt;$B$19),0,$E$7*$G$7^MIN((A107-$F$7)/12,6)*MIN($G$7,0.85)^MAX(0,(A107-$F$7)/12-6)))</f>
        <v/>
      </c>
      <c r="H107" s="306">
        <f>IF(A107&lt;$F$8,0,IF(AND($B$21=1,A107&gt;$B$19),0,$E$8*$G$8^MIN((A107-$F$8)/12,6)*MIN($G$8,0.85)^MAX(0,(A107-$F$8)/12-6)))</f>
        <v/>
      </c>
      <c r="I107" s="306">
        <f>IF(A107&lt;$F$9,0,IF(AND($B$21=1,A107&gt;$B$19),0,$E$9*$G$9^MIN((A107-$F$9)/12,6)*MIN($G$9,0.85)^MAX(0,(A107-$F$9)/12-6)))</f>
        <v/>
      </c>
      <c r="J107" s="306">
        <f>IF(A107&lt;$F$10,0,IF(AND($B$21=1,A107&gt;$B$19),0,$E$10*$G$10^MIN((A107-$F$10)/12,6)*MIN($G$10,0.85)^MAX(0,(A107-$F$10)/12-6)))</f>
        <v/>
      </c>
      <c r="K107" s="306">
        <f>IF(A107&lt;$F$11,0,IF(AND($B$21=1,A107&gt;$B$19),0,$E$11*$G$11^MIN((A107-$F$11)/12,6)*MIN($G$11,0.85)^MAX(0,(A107-$F$11)/12-6)))</f>
        <v/>
      </c>
      <c r="L107" s="306">
        <f>IF(A107&lt;$F$12,0,IF(AND($B$21=1,A107&gt;$B$19),0,$E$12*$G$12^MIN((A107-$F$12)/12,6)*MIN($G$12,0.85)^MAX(0,(A107-$F$12)/12-6)))</f>
        <v/>
      </c>
      <c r="M107" s="306">
        <f>IF(A107&lt;$F$13,0,IF(AND($B$21=1,A107&gt;$B$19),0,$E$13*$G$13^MIN((A107-$F$13)/12,6)*MIN($G$13,0.85)^MAX(0,(A107-$F$13)/12-6)))</f>
        <v/>
      </c>
      <c r="N107" s="306">
        <f>IF(A107&lt;$F$14,0,IF(AND($B$21=1,A107&gt;$B$19),0,$E$14*$G$14^MIN((A107-$F$14)/12,6)*MIN($G$14,0.85)^MAX(0,(A107-$F$14)/12-6)))</f>
        <v/>
      </c>
      <c r="O107" s="306">
        <f>SUM(F107:N107)</f>
        <v/>
      </c>
      <c r="P107" s="306">
        <f>O107/12</f>
        <v/>
      </c>
      <c r="Q107" s="306">
        <f>P107*$B$8</f>
        <v/>
      </c>
      <c r="R107" s="306">
        <f>P107*$B$9</f>
        <v/>
      </c>
      <c r="S107" s="306">
        <f>P107*$B$10</f>
        <v/>
      </c>
      <c r="T107" s="306">
        <f>P107-Q107-R107-S107-D107-E107</f>
        <v/>
      </c>
      <c r="U107" s="306">
        <f>MAX(0, T107 - $B$7*P107)</f>
        <v/>
      </c>
      <c r="V107" s="306">
        <f>T107-U107</f>
        <v/>
      </c>
      <c r="W107" s="306">
        <f>IF(A107=$F$6, $B$18*$B$16*$B$17/1000000, 0) + IF(A107=$F$7, $B$18*$B$16*$B$17/1000000, 0) + IF(A107=$F$8, $B$18*$B$16*$B$17/1000000, 0) + IF(A107=$F$9, $B$18*$B$16*$B$17/1000000, 0) + IF(A107=$F$10, $B$18*$B$16*$B$17/1000000, 0) + IF(A107=$F$11, $B$18*$B$16*$B$17/1000000, 0) + IF(A107=$F$12, $B$18*$B$16*$B$17/1000000, 0) + IF(A107=$F$13, $B$18*$B$16*$B$17/1000000, 0) + IF(A107=$F$14, $B$18*$B$16*$B$17/1000000, 0)</f>
        <v/>
      </c>
      <c r="X107" s="306">
        <f>V107-W107-C107</f>
        <v/>
      </c>
      <c r="Y107" s="306">
        <f>IF(AND(A107&lt;=$B$24, X107&gt;0), X107*$B$23, 0)</f>
        <v/>
      </c>
      <c r="Z107" s="306">
        <f>X107-Y107</f>
        <v/>
      </c>
      <c r="AA107" s="306">
        <f>IF(AND(A107=$B$19, $B$21=1), O107*$B$20, 0)</f>
        <v/>
      </c>
      <c r="AB107" s="306">
        <f>AB106+Z107+AA107</f>
        <v/>
      </c>
    </row>
    <row r="108">
      <c r="A108" s="306" t="n">
        <v>78</v>
      </c>
      <c r="B108" s="306">
        <f>CEILING(A108/12,1)</f>
        <v/>
      </c>
      <c r="C108" s="306">
        <f>IF(A108&lt;=12, $B$15/12, 0)</f>
        <v/>
      </c>
      <c r="D108" s="306">
        <f>INDEX('26. Team Comp'!$D$28:$R$28, B108) * 0.001 / 12</f>
        <v/>
      </c>
      <c r="E108" s="306">
        <f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+ (IF(MAX(0, A108 - $F$11 + 1)&lt;=0, 0, IF(MAX(0, A108 - $F$11 + 1)&lt;=6, 70 - (70-14)*(MAX(0, A108 - $F$11 + 1)-1)/5, IF(MAX(0, A108 - $F$11 + 1)&lt;=24, 14 - 14*(MAX(0, A108 - $F$11 + 1)-6)/18, 0)))) + (IF(MAX(0, A108 - $F$12 + 1)&lt;=0, 0, IF(MAX(0, A108 - $F$12 + 1)&lt;=6, 70 - (70-14)*(MAX(0, A108 - $F$12 + 1)-1)/5, IF(MAX(0, A108 - $F$12 + 1)&lt;=24, 14 - 14*(MAX(0, A108 - $F$12 + 1)-6)/18, 0)))) + (IF(MAX(0, A108 - $F$13 + 1)&lt;=0, 0, IF(MAX(0, A108 - $F$13 + 1)&lt;=6, 70 - (70-14)*(MAX(0, A108 - $F$13 + 1)-1)/5, IF(MAX(0, A108 - $F$13 + 1)&lt;=24, 14 - 14*(MAX(0, A108 - $F$13 + 1)-6)/18, 0)))) + (IF(MAX(0, A108 - $F$14 + 1)&lt;=0, 0, IF(MAX(0, A108 - $F$14 + 1)&lt;=6, 70 - (70-14)*(MAX(0, A108 - $F$14 + 1)-1)/5, IF(MAX(0, A108 - $F$14 + 1)&lt;=24, 14 - 14*(MAX(0, A108 - $F$14 + 1)-6)/18, 0)))) ) * 200 / 12 / 1000</f>
        <v/>
      </c>
      <c r="F108" s="306">
        <f>IF(A108&lt;$F$6,0,IF(AND($B$21=1,A108&gt;$B$19),0,$E$6*$G$6^MIN((A108-$F$6)/12,6)*MIN($G$6,0.85)^MAX(0,(A108-$F$6)/12-6)))</f>
        <v/>
      </c>
      <c r="G108" s="306">
        <f>IF(A108&lt;$F$7,0,IF(AND($B$21=1,A108&gt;$B$19),0,$E$7*$G$7^MIN((A108-$F$7)/12,6)*MIN($G$7,0.85)^MAX(0,(A108-$F$7)/12-6)))</f>
        <v/>
      </c>
      <c r="H108" s="306">
        <f>IF(A108&lt;$F$8,0,IF(AND($B$21=1,A108&gt;$B$19),0,$E$8*$G$8^MIN((A108-$F$8)/12,6)*MIN($G$8,0.85)^MAX(0,(A108-$F$8)/12-6)))</f>
        <v/>
      </c>
      <c r="I108" s="306">
        <f>IF(A108&lt;$F$9,0,IF(AND($B$21=1,A108&gt;$B$19),0,$E$9*$G$9^MIN((A108-$F$9)/12,6)*MIN($G$9,0.85)^MAX(0,(A108-$F$9)/12-6)))</f>
        <v/>
      </c>
      <c r="J108" s="306">
        <f>IF(A108&lt;$F$10,0,IF(AND($B$21=1,A108&gt;$B$19),0,$E$10*$G$10^MIN((A108-$F$10)/12,6)*MIN($G$10,0.85)^MAX(0,(A108-$F$10)/12-6)))</f>
        <v/>
      </c>
      <c r="K108" s="306">
        <f>IF(A108&lt;$F$11,0,IF(AND($B$21=1,A108&gt;$B$19),0,$E$11*$G$11^MIN((A108-$F$11)/12,6)*MIN($G$11,0.85)^MAX(0,(A108-$F$11)/12-6)))</f>
        <v/>
      </c>
      <c r="L108" s="306">
        <f>IF(A108&lt;$F$12,0,IF(AND($B$21=1,A108&gt;$B$19),0,$E$12*$G$12^MIN((A108-$F$12)/12,6)*MIN($G$12,0.85)^MAX(0,(A108-$F$12)/12-6)))</f>
        <v/>
      </c>
      <c r="M108" s="306">
        <f>IF(A108&lt;$F$13,0,IF(AND($B$21=1,A108&gt;$B$19),0,$E$13*$G$13^MIN((A108-$F$13)/12,6)*MIN($G$13,0.85)^MAX(0,(A108-$F$13)/12-6)))</f>
        <v/>
      </c>
      <c r="N108" s="306">
        <f>IF(A108&lt;$F$14,0,IF(AND($B$21=1,A108&gt;$B$19),0,$E$14*$G$14^MIN((A108-$F$14)/12,6)*MIN($G$14,0.85)^MAX(0,(A108-$F$14)/12-6)))</f>
        <v/>
      </c>
      <c r="O108" s="306">
        <f>SUM(F108:N108)</f>
        <v/>
      </c>
      <c r="P108" s="306">
        <f>O108/12</f>
        <v/>
      </c>
      <c r="Q108" s="306">
        <f>P108*$B$8</f>
        <v/>
      </c>
      <c r="R108" s="306">
        <f>P108*$B$9</f>
        <v/>
      </c>
      <c r="S108" s="306">
        <f>P108*$B$10</f>
        <v/>
      </c>
      <c r="T108" s="306">
        <f>P108-Q108-R108-S108-D108-E108</f>
        <v/>
      </c>
      <c r="U108" s="306">
        <f>MAX(0, T108 - $B$7*P108)</f>
        <v/>
      </c>
      <c r="V108" s="306">
        <f>T108-U108</f>
        <v/>
      </c>
      <c r="W108" s="306">
        <f>IF(A108=$F$6, $B$18*$B$16*$B$17/1000000, 0) + IF(A108=$F$7, $B$18*$B$16*$B$17/1000000, 0) + IF(A108=$F$8, $B$18*$B$16*$B$17/1000000, 0) + IF(A108=$F$9, $B$18*$B$16*$B$17/1000000, 0) + IF(A108=$F$10, $B$18*$B$16*$B$17/1000000, 0) + IF(A108=$F$11, $B$18*$B$16*$B$17/1000000, 0) + IF(A108=$F$12, $B$18*$B$16*$B$17/1000000, 0) + IF(A108=$F$13, $B$18*$B$16*$B$17/1000000, 0) + IF(A108=$F$14, $B$18*$B$16*$B$17/1000000, 0)</f>
        <v/>
      </c>
      <c r="X108" s="306">
        <f>V108-W108-C108</f>
        <v/>
      </c>
      <c r="Y108" s="306">
        <f>IF(AND(A108&lt;=$B$24, X108&gt;0), X108*$B$23, 0)</f>
        <v/>
      </c>
      <c r="Z108" s="306">
        <f>X108-Y108</f>
        <v/>
      </c>
      <c r="AA108" s="306">
        <f>IF(AND(A108=$B$19, $B$21=1), O108*$B$20, 0)</f>
        <v/>
      </c>
      <c r="AB108" s="306">
        <f>AB107+Z108+AA108</f>
        <v/>
      </c>
    </row>
    <row r="109">
      <c r="A109" s="306" t="n">
        <v>79</v>
      </c>
      <c r="B109" s="306">
        <f>CEILING(A109/12,1)</f>
        <v/>
      </c>
      <c r="C109" s="306">
        <f>IF(A109&lt;=12, $B$15/12, 0)</f>
        <v/>
      </c>
      <c r="D109" s="306">
        <f>INDEX('26. Team Comp'!$D$28:$R$28, B109) * 0.001 / 12</f>
        <v/>
      </c>
      <c r="E109" s="306">
        <f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+ (IF(MAX(0, A109 - $F$11 + 1)&lt;=0, 0, IF(MAX(0, A109 - $F$11 + 1)&lt;=6, 70 - (70-14)*(MAX(0, A109 - $F$11 + 1)-1)/5, IF(MAX(0, A109 - $F$11 + 1)&lt;=24, 14 - 14*(MAX(0, A109 - $F$11 + 1)-6)/18, 0)))) + (IF(MAX(0, A109 - $F$12 + 1)&lt;=0, 0, IF(MAX(0, A109 - $F$12 + 1)&lt;=6, 70 - (70-14)*(MAX(0, A109 - $F$12 + 1)-1)/5, IF(MAX(0, A109 - $F$12 + 1)&lt;=24, 14 - 14*(MAX(0, A109 - $F$12 + 1)-6)/18, 0)))) + (IF(MAX(0, A109 - $F$13 + 1)&lt;=0, 0, IF(MAX(0, A109 - $F$13 + 1)&lt;=6, 70 - (70-14)*(MAX(0, A109 - $F$13 + 1)-1)/5, IF(MAX(0, A109 - $F$13 + 1)&lt;=24, 14 - 14*(MAX(0, A109 - $F$13 + 1)-6)/18, 0)))) + (IF(MAX(0, A109 - $F$14 + 1)&lt;=0, 0, IF(MAX(0, A109 - $F$14 + 1)&lt;=6, 70 - (70-14)*(MAX(0, A109 - $F$14 + 1)-1)/5, IF(MAX(0, A109 - $F$14 + 1)&lt;=24, 14 - 14*(MAX(0, A109 - $F$14 + 1)-6)/18, 0)))) ) * 200 / 12 / 1000</f>
        <v/>
      </c>
      <c r="F109" s="306">
        <f>IF(A109&lt;$F$6,0,IF(AND($B$21=1,A109&gt;$B$19),0,$E$6*$G$6^MIN((A109-$F$6)/12,6)*MIN($G$6,0.85)^MAX(0,(A109-$F$6)/12-6)))</f>
        <v/>
      </c>
      <c r="G109" s="306">
        <f>IF(A109&lt;$F$7,0,IF(AND($B$21=1,A109&gt;$B$19),0,$E$7*$G$7^MIN((A109-$F$7)/12,6)*MIN($G$7,0.85)^MAX(0,(A109-$F$7)/12-6)))</f>
        <v/>
      </c>
      <c r="H109" s="306">
        <f>IF(A109&lt;$F$8,0,IF(AND($B$21=1,A109&gt;$B$19),0,$E$8*$G$8^MIN((A109-$F$8)/12,6)*MIN($G$8,0.85)^MAX(0,(A109-$F$8)/12-6)))</f>
        <v/>
      </c>
      <c r="I109" s="306">
        <f>IF(A109&lt;$F$9,0,IF(AND($B$21=1,A109&gt;$B$19),0,$E$9*$G$9^MIN((A109-$F$9)/12,6)*MIN($G$9,0.85)^MAX(0,(A109-$F$9)/12-6)))</f>
        <v/>
      </c>
      <c r="J109" s="306">
        <f>IF(A109&lt;$F$10,0,IF(AND($B$21=1,A109&gt;$B$19),0,$E$10*$G$10^MIN((A109-$F$10)/12,6)*MIN($G$10,0.85)^MAX(0,(A109-$F$10)/12-6)))</f>
        <v/>
      </c>
      <c r="K109" s="306">
        <f>IF(A109&lt;$F$11,0,IF(AND($B$21=1,A109&gt;$B$19),0,$E$11*$G$11^MIN((A109-$F$11)/12,6)*MIN($G$11,0.85)^MAX(0,(A109-$F$11)/12-6)))</f>
        <v/>
      </c>
      <c r="L109" s="306">
        <f>IF(A109&lt;$F$12,0,IF(AND($B$21=1,A109&gt;$B$19),0,$E$12*$G$12^MIN((A109-$F$12)/12,6)*MIN($G$12,0.85)^MAX(0,(A109-$F$12)/12-6)))</f>
        <v/>
      </c>
      <c r="M109" s="306">
        <f>IF(A109&lt;$F$13,0,IF(AND($B$21=1,A109&gt;$B$19),0,$E$13*$G$13^MIN((A109-$F$13)/12,6)*MIN($G$13,0.85)^MAX(0,(A109-$F$13)/12-6)))</f>
        <v/>
      </c>
      <c r="N109" s="306">
        <f>IF(A109&lt;$F$14,0,IF(AND($B$21=1,A109&gt;$B$19),0,$E$14*$G$14^MIN((A109-$F$14)/12,6)*MIN($G$14,0.85)^MAX(0,(A109-$F$14)/12-6)))</f>
        <v/>
      </c>
      <c r="O109" s="306">
        <f>SUM(F109:N109)</f>
        <v/>
      </c>
      <c r="P109" s="306">
        <f>O109/12</f>
        <v/>
      </c>
      <c r="Q109" s="306">
        <f>P109*$B$8</f>
        <v/>
      </c>
      <c r="R109" s="306">
        <f>P109*$B$9</f>
        <v/>
      </c>
      <c r="S109" s="306">
        <f>P109*$B$10</f>
        <v/>
      </c>
      <c r="T109" s="306">
        <f>P109-Q109-R109-S109-D109-E109</f>
        <v/>
      </c>
      <c r="U109" s="306">
        <f>MAX(0, T109 - $B$7*P109)</f>
        <v/>
      </c>
      <c r="V109" s="306">
        <f>T109-U109</f>
        <v/>
      </c>
      <c r="W109" s="306">
        <f>IF(A109=$F$6, $B$18*$B$16*$B$17/1000000, 0) + IF(A109=$F$7, $B$18*$B$16*$B$17/1000000, 0) + IF(A109=$F$8, $B$18*$B$16*$B$17/1000000, 0) + IF(A109=$F$9, $B$18*$B$16*$B$17/1000000, 0) + IF(A109=$F$10, $B$18*$B$16*$B$17/1000000, 0) + IF(A109=$F$11, $B$18*$B$16*$B$17/1000000, 0) + IF(A109=$F$12, $B$18*$B$16*$B$17/1000000, 0) + IF(A109=$F$13, $B$18*$B$16*$B$17/1000000, 0) + IF(A109=$F$14, $B$18*$B$16*$B$17/1000000, 0)</f>
        <v/>
      </c>
      <c r="X109" s="306">
        <f>V109-W109-C109</f>
        <v/>
      </c>
      <c r="Y109" s="306">
        <f>IF(AND(A109&lt;=$B$24, X109&gt;0), X109*$B$23, 0)</f>
        <v/>
      </c>
      <c r="Z109" s="306">
        <f>X109-Y109</f>
        <v/>
      </c>
      <c r="AA109" s="306">
        <f>IF(AND(A109=$B$19, $B$21=1), O109*$B$20, 0)</f>
        <v/>
      </c>
      <c r="AB109" s="306">
        <f>AB108+Z109+AA109</f>
        <v/>
      </c>
    </row>
    <row r="110">
      <c r="A110" s="306" t="n">
        <v>80</v>
      </c>
      <c r="B110" s="306">
        <f>CEILING(A110/12,1)</f>
        <v/>
      </c>
      <c r="C110" s="306">
        <f>IF(A110&lt;=12, $B$15/12, 0)</f>
        <v/>
      </c>
      <c r="D110" s="306">
        <f>INDEX('26. Team Comp'!$D$28:$R$28, B110) * 0.001 / 12</f>
        <v/>
      </c>
      <c r="E110" s="306">
        <f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+ (IF(MAX(0, A110 - $F$11 + 1)&lt;=0, 0, IF(MAX(0, A110 - $F$11 + 1)&lt;=6, 70 - (70-14)*(MAX(0, A110 - $F$11 + 1)-1)/5, IF(MAX(0, A110 - $F$11 + 1)&lt;=24, 14 - 14*(MAX(0, A110 - $F$11 + 1)-6)/18, 0)))) + (IF(MAX(0, A110 - $F$12 + 1)&lt;=0, 0, IF(MAX(0, A110 - $F$12 + 1)&lt;=6, 70 - (70-14)*(MAX(0, A110 - $F$12 + 1)-1)/5, IF(MAX(0, A110 - $F$12 + 1)&lt;=24, 14 - 14*(MAX(0, A110 - $F$12 + 1)-6)/18, 0)))) + (IF(MAX(0, A110 - $F$13 + 1)&lt;=0, 0, IF(MAX(0, A110 - $F$13 + 1)&lt;=6, 70 - (70-14)*(MAX(0, A110 - $F$13 + 1)-1)/5, IF(MAX(0, A110 - $F$13 + 1)&lt;=24, 14 - 14*(MAX(0, A110 - $F$13 + 1)-6)/18, 0)))) + (IF(MAX(0, A110 - $F$14 + 1)&lt;=0, 0, IF(MAX(0, A110 - $F$14 + 1)&lt;=6, 70 - (70-14)*(MAX(0, A110 - $F$14 + 1)-1)/5, IF(MAX(0, A110 - $F$14 + 1)&lt;=24, 14 - 14*(MAX(0, A110 - $F$14 + 1)-6)/18, 0)))) ) * 200 / 12 / 1000</f>
        <v/>
      </c>
      <c r="F110" s="306">
        <f>IF(A110&lt;$F$6,0,IF(AND($B$21=1,A110&gt;$B$19),0,$E$6*$G$6^MIN((A110-$F$6)/12,6)*MIN($G$6,0.85)^MAX(0,(A110-$F$6)/12-6)))</f>
        <v/>
      </c>
      <c r="G110" s="306">
        <f>IF(A110&lt;$F$7,0,IF(AND($B$21=1,A110&gt;$B$19),0,$E$7*$G$7^MIN((A110-$F$7)/12,6)*MIN($G$7,0.85)^MAX(0,(A110-$F$7)/12-6)))</f>
        <v/>
      </c>
      <c r="H110" s="306">
        <f>IF(A110&lt;$F$8,0,IF(AND($B$21=1,A110&gt;$B$19),0,$E$8*$G$8^MIN((A110-$F$8)/12,6)*MIN($G$8,0.85)^MAX(0,(A110-$F$8)/12-6)))</f>
        <v/>
      </c>
      <c r="I110" s="306">
        <f>IF(A110&lt;$F$9,0,IF(AND($B$21=1,A110&gt;$B$19),0,$E$9*$G$9^MIN((A110-$F$9)/12,6)*MIN($G$9,0.85)^MAX(0,(A110-$F$9)/12-6)))</f>
        <v/>
      </c>
      <c r="J110" s="306">
        <f>IF(A110&lt;$F$10,0,IF(AND($B$21=1,A110&gt;$B$19),0,$E$10*$G$10^MIN((A110-$F$10)/12,6)*MIN($G$10,0.85)^MAX(0,(A110-$F$10)/12-6)))</f>
        <v/>
      </c>
      <c r="K110" s="306">
        <f>IF(A110&lt;$F$11,0,IF(AND($B$21=1,A110&gt;$B$19),0,$E$11*$G$11^MIN((A110-$F$11)/12,6)*MIN($G$11,0.85)^MAX(0,(A110-$F$11)/12-6)))</f>
        <v/>
      </c>
      <c r="L110" s="306">
        <f>IF(A110&lt;$F$12,0,IF(AND($B$21=1,A110&gt;$B$19),0,$E$12*$G$12^MIN((A110-$F$12)/12,6)*MIN($G$12,0.85)^MAX(0,(A110-$F$12)/12-6)))</f>
        <v/>
      </c>
      <c r="M110" s="306">
        <f>IF(A110&lt;$F$13,0,IF(AND($B$21=1,A110&gt;$B$19),0,$E$13*$G$13^MIN((A110-$F$13)/12,6)*MIN($G$13,0.85)^MAX(0,(A110-$F$13)/12-6)))</f>
        <v/>
      </c>
      <c r="N110" s="306">
        <f>IF(A110&lt;$F$14,0,IF(AND($B$21=1,A110&gt;$B$19),0,$E$14*$G$14^MIN((A110-$F$14)/12,6)*MIN($G$14,0.85)^MAX(0,(A110-$F$14)/12-6)))</f>
        <v/>
      </c>
      <c r="O110" s="306">
        <f>SUM(F110:N110)</f>
        <v/>
      </c>
      <c r="P110" s="306">
        <f>O110/12</f>
        <v/>
      </c>
      <c r="Q110" s="306">
        <f>P110*$B$8</f>
        <v/>
      </c>
      <c r="R110" s="306">
        <f>P110*$B$9</f>
        <v/>
      </c>
      <c r="S110" s="306">
        <f>P110*$B$10</f>
        <v/>
      </c>
      <c r="T110" s="306">
        <f>P110-Q110-R110-S110-D110-E110</f>
        <v/>
      </c>
      <c r="U110" s="306">
        <f>MAX(0, T110 - $B$7*P110)</f>
        <v/>
      </c>
      <c r="V110" s="306">
        <f>T110-U110</f>
        <v/>
      </c>
      <c r="W110" s="306">
        <f>IF(A110=$F$6, $B$18*$B$16*$B$17/1000000, 0) + IF(A110=$F$7, $B$18*$B$16*$B$17/1000000, 0) + IF(A110=$F$8, $B$18*$B$16*$B$17/1000000, 0) + IF(A110=$F$9, $B$18*$B$16*$B$17/1000000, 0) + IF(A110=$F$10, $B$18*$B$16*$B$17/1000000, 0) + IF(A110=$F$11, $B$18*$B$16*$B$17/1000000, 0) + IF(A110=$F$12, $B$18*$B$16*$B$17/1000000, 0) + IF(A110=$F$13, $B$18*$B$16*$B$17/1000000, 0) + IF(A110=$F$14, $B$18*$B$16*$B$17/1000000, 0)</f>
        <v/>
      </c>
      <c r="X110" s="306">
        <f>V110-W110-C110</f>
        <v/>
      </c>
      <c r="Y110" s="306">
        <f>IF(AND(A110&lt;=$B$24, X110&gt;0), X110*$B$23, 0)</f>
        <v/>
      </c>
      <c r="Z110" s="306">
        <f>X110-Y110</f>
        <v/>
      </c>
      <c r="AA110" s="306">
        <f>IF(AND(A110=$B$19, $B$21=1), O110*$B$20, 0)</f>
        <v/>
      </c>
      <c r="AB110" s="306">
        <f>AB109+Z110+AA110</f>
        <v/>
      </c>
    </row>
    <row r="111">
      <c r="A111" s="306" t="n">
        <v>81</v>
      </c>
      <c r="B111" s="306">
        <f>CEILING(A111/12,1)</f>
        <v/>
      </c>
      <c r="C111" s="306">
        <f>IF(A111&lt;=12, $B$15/12, 0)</f>
        <v/>
      </c>
      <c r="D111" s="306">
        <f>INDEX('26. Team Comp'!$D$28:$R$28, B111) * 0.001 / 12</f>
        <v/>
      </c>
      <c r="E111" s="306">
        <f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+ (IF(MAX(0, A111 - $F$11 + 1)&lt;=0, 0, IF(MAX(0, A111 - $F$11 + 1)&lt;=6, 70 - (70-14)*(MAX(0, A111 - $F$11 + 1)-1)/5, IF(MAX(0, A111 - $F$11 + 1)&lt;=24, 14 - 14*(MAX(0, A111 - $F$11 + 1)-6)/18, 0)))) + (IF(MAX(0, A111 - $F$12 + 1)&lt;=0, 0, IF(MAX(0, A111 - $F$12 + 1)&lt;=6, 70 - (70-14)*(MAX(0, A111 - $F$12 + 1)-1)/5, IF(MAX(0, A111 - $F$12 + 1)&lt;=24, 14 - 14*(MAX(0, A111 - $F$12 + 1)-6)/18, 0)))) + (IF(MAX(0, A111 - $F$13 + 1)&lt;=0, 0, IF(MAX(0, A111 - $F$13 + 1)&lt;=6, 70 - (70-14)*(MAX(0, A111 - $F$13 + 1)-1)/5, IF(MAX(0, A111 - $F$13 + 1)&lt;=24, 14 - 14*(MAX(0, A111 - $F$13 + 1)-6)/18, 0)))) + (IF(MAX(0, A111 - $F$14 + 1)&lt;=0, 0, IF(MAX(0, A111 - $F$14 + 1)&lt;=6, 70 - (70-14)*(MAX(0, A111 - $F$14 + 1)-1)/5, IF(MAX(0, A111 - $F$14 + 1)&lt;=24, 14 - 14*(MAX(0, A111 - $F$14 + 1)-6)/18, 0)))) ) * 200 / 12 / 1000</f>
        <v/>
      </c>
      <c r="F111" s="306">
        <f>IF(A111&lt;$F$6,0,IF(AND($B$21=1,A111&gt;$B$19),0,$E$6*$G$6^MIN((A111-$F$6)/12,6)*MIN($G$6,0.85)^MAX(0,(A111-$F$6)/12-6)))</f>
        <v/>
      </c>
      <c r="G111" s="306">
        <f>IF(A111&lt;$F$7,0,IF(AND($B$21=1,A111&gt;$B$19),0,$E$7*$G$7^MIN((A111-$F$7)/12,6)*MIN($G$7,0.85)^MAX(0,(A111-$F$7)/12-6)))</f>
        <v/>
      </c>
      <c r="H111" s="306">
        <f>IF(A111&lt;$F$8,0,IF(AND($B$21=1,A111&gt;$B$19),0,$E$8*$G$8^MIN((A111-$F$8)/12,6)*MIN($G$8,0.85)^MAX(0,(A111-$F$8)/12-6)))</f>
        <v/>
      </c>
      <c r="I111" s="306">
        <f>IF(A111&lt;$F$9,0,IF(AND($B$21=1,A111&gt;$B$19),0,$E$9*$G$9^MIN((A111-$F$9)/12,6)*MIN($G$9,0.85)^MAX(0,(A111-$F$9)/12-6)))</f>
        <v/>
      </c>
      <c r="J111" s="306">
        <f>IF(A111&lt;$F$10,0,IF(AND($B$21=1,A111&gt;$B$19),0,$E$10*$G$10^MIN((A111-$F$10)/12,6)*MIN($G$10,0.85)^MAX(0,(A111-$F$10)/12-6)))</f>
        <v/>
      </c>
      <c r="K111" s="306">
        <f>IF(A111&lt;$F$11,0,IF(AND($B$21=1,A111&gt;$B$19),0,$E$11*$G$11^MIN((A111-$F$11)/12,6)*MIN($G$11,0.85)^MAX(0,(A111-$F$11)/12-6)))</f>
        <v/>
      </c>
      <c r="L111" s="306">
        <f>IF(A111&lt;$F$12,0,IF(AND($B$21=1,A111&gt;$B$19),0,$E$12*$G$12^MIN((A111-$F$12)/12,6)*MIN($G$12,0.85)^MAX(0,(A111-$F$12)/12-6)))</f>
        <v/>
      </c>
      <c r="M111" s="306">
        <f>IF(A111&lt;$F$13,0,IF(AND($B$21=1,A111&gt;$B$19),0,$E$13*$G$13^MIN((A111-$F$13)/12,6)*MIN($G$13,0.85)^MAX(0,(A111-$F$13)/12-6)))</f>
        <v/>
      </c>
      <c r="N111" s="306">
        <f>IF(A111&lt;$F$14,0,IF(AND($B$21=1,A111&gt;$B$19),0,$E$14*$G$14^MIN((A111-$F$14)/12,6)*MIN($G$14,0.85)^MAX(0,(A111-$F$14)/12-6)))</f>
        <v/>
      </c>
      <c r="O111" s="306">
        <f>SUM(F111:N111)</f>
        <v/>
      </c>
      <c r="P111" s="306">
        <f>O111/12</f>
        <v/>
      </c>
      <c r="Q111" s="306">
        <f>P111*$B$8</f>
        <v/>
      </c>
      <c r="R111" s="306">
        <f>P111*$B$9</f>
        <v/>
      </c>
      <c r="S111" s="306">
        <f>P111*$B$10</f>
        <v/>
      </c>
      <c r="T111" s="306">
        <f>P111-Q111-R111-S111-D111-E111</f>
        <v/>
      </c>
      <c r="U111" s="306">
        <f>MAX(0, T111 - $B$7*P111)</f>
        <v/>
      </c>
      <c r="V111" s="306">
        <f>T111-U111</f>
        <v/>
      </c>
      <c r="W111" s="306">
        <f>IF(A111=$F$6, $B$18*$B$16*$B$17/1000000, 0) + IF(A111=$F$7, $B$18*$B$16*$B$17/1000000, 0) + IF(A111=$F$8, $B$18*$B$16*$B$17/1000000, 0) + IF(A111=$F$9, $B$18*$B$16*$B$17/1000000, 0) + IF(A111=$F$10, $B$18*$B$16*$B$17/1000000, 0) + IF(A111=$F$11, $B$18*$B$16*$B$17/1000000, 0) + IF(A111=$F$12, $B$18*$B$16*$B$17/1000000, 0) + IF(A111=$F$13, $B$18*$B$16*$B$17/1000000, 0) + IF(A111=$F$14, $B$18*$B$16*$B$17/1000000, 0)</f>
        <v/>
      </c>
      <c r="X111" s="306">
        <f>V111-W111-C111</f>
        <v/>
      </c>
      <c r="Y111" s="306">
        <f>IF(AND(A111&lt;=$B$24, X111&gt;0), X111*$B$23, 0)</f>
        <v/>
      </c>
      <c r="Z111" s="306">
        <f>X111-Y111</f>
        <v/>
      </c>
      <c r="AA111" s="306">
        <f>IF(AND(A111=$B$19, $B$21=1), O111*$B$20, 0)</f>
        <v/>
      </c>
      <c r="AB111" s="306">
        <f>AB110+Z111+AA111</f>
        <v/>
      </c>
    </row>
    <row r="112">
      <c r="A112" s="306" t="n">
        <v>82</v>
      </c>
      <c r="B112" s="306">
        <f>CEILING(A112/12,1)</f>
        <v/>
      </c>
      <c r="C112" s="306">
        <f>IF(A112&lt;=12, $B$15/12, 0)</f>
        <v/>
      </c>
      <c r="D112" s="306">
        <f>INDEX('26. Team Comp'!$D$28:$R$28, B112) * 0.001 / 12</f>
        <v/>
      </c>
      <c r="E112" s="306">
        <f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+ (IF(MAX(0, A112 - $F$11 + 1)&lt;=0, 0, IF(MAX(0, A112 - $F$11 + 1)&lt;=6, 70 - (70-14)*(MAX(0, A112 - $F$11 + 1)-1)/5, IF(MAX(0, A112 - $F$11 + 1)&lt;=24, 14 - 14*(MAX(0, A112 - $F$11 + 1)-6)/18, 0)))) + (IF(MAX(0, A112 - $F$12 + 1)&lt;=0, 0, IF(MAX(0, A112 - $F$12 + 1)&lt;=6, 70 - (70-14)*(MAX(0, A112 - $F$12 + 1)-1)/5, IF(MAX(0, A112 - $F$12 + 1)&lt;=24, 14 - 14*(MAX(0, A112 - $F$12 + 1)-6)/18, 0)))) + (IF(MAX(0, A112 - $F$13 + 1)&lt;=0, 0, IF(MAX(0, A112 - $F$13 + 1)&lt;=6, 70 - (70-14)*(MAX(0, A112 - $F$13 + 1)-1)/5, IF(MAX(0, A112 - $F$13 + 1)&lt;=24, 14 - 14*(MAX(0, A112 - $F$13 + 1)-6)/18, 0)))) + (IF(MAX(0, A112 - $F$14 + 1)&lt;=0, 0, IF(MAX(0, A112 - $F$14 + 1)&lt;=6, 70 - (70-14)*(MAX(0, A112 - $F$14 + 1)-1)/5, IF(MAX(0, A112 - $F$14 + 1)&lt;=24, 14 - 14*(MAX(0, A112 - $F$14 + 1)-6)/18, 0)))) ) * 200 / 12 / 1000</f>
        <v/>
      </c>
      <c r="F112" s="306">
        <f>IF(A112&lt;$F$6,0,IF(AND($B$21=1,A112&gt;$B$19),0,$E$6*$G$6^MIN((A112-$F$6)/12,6)*MIN($G$6,0.85)^MAX(0,(A112-$F$6)/12-6)))</f>
        <v/>
      </c>
      <c r="G112" s="306">
        <f>IF(A112&lt;$F$7,0,IF(AND($B$21=1,A112&gt;$B$19),0,$E$7*$G$7^MIN((A112-$F$7)/12,6)*MIN($G$7,0.85)^MAX(0,(A112-$F$7)/12-6)))</f>
        <v/>
      </c>
      <c r="H112" s="306">
        <f>IF(A112&lt;$F$8,0,IF(AND($B$21=1,A112&gt;$B$19),0,$E$8*$G$8^MIN((A112-$F$8)/12,6)*MIN($G$8,0.85)^MAX(0,(A112-$F$8)/12-6)))</f>
        <v/>
      </c>
      <c r="I112" s="306">
        <f>IF(A112&lt;$F$9,0,IF(AND($B$21=1,A112&gt;$B$19),0,$E$9*$G$9^MIN((A112-$F$9)/12,6)*MIN($G$9,0.85)^MAX(0,(A112-$F$9)/12-6)))</f>
        <v/>
      </c>
      <c r="J112" s="306">
        <f>IF(A112&lt;$F$10,0,IF(AND($B$21=1,A112&gt;$B$19),0,$E$10*$G$10^MIN((A112-$F$10)/12,6)*MIN($G$10,0.85)^MAX(0,(A112-$F$10)/12-6)))</f>
        <v/>
      </c>
      <c r="K112" s="306">
        <f>IF(A112&lt;$F$11,0,IF(AND($B$21=1,A112&gt;$B$19),0,$E$11*$G$11^MIN((A112-$F$11)/12,6)*MIN($G$11,0.85)^MAX(0,(A112-$F$11)/12-6)))</f>
        <v/>
      </c>
      <c r="L112" s="306">
        <f>IF(A112&lt;$F$12,0,IF(AND($B$21=1,A112&gt;$B$19),0,$E$12*$G$12^MIN((A112-$F$12)/12,6)*MIN($G$12,0.85)^MAX(0,(A112-$F$12)/12-6)))</f>
        <v/>
      </c>
      <c r="M112" s="306">
        <f>IF(A112&lt;$F$13,0,IF(AND($B$21=1,A112&gt;$B$19),0,$E$13*$G$13^MIN((A112-$F$13)/12,6)*MIN($G$13,0.85)^MAX(0,(A112-$F$13)/12-6)))</f>
        <v/>
      </c>
      <c r="N112" s="306">
        <f>IF(A112&lt;$F$14,0,IF(AND($B$21=1,A112&gt;$B$19),0,$E$14*$G$14^MIN((A112-$F$14)/12,6)*MIN($G$14,0.85)^MAX(0,(A112-$F$14)/12-6)))</f>
        <v/>
      </c>
      <c r="O112" s="306">
        <f>SUM(F112:N112)</f>
        <v/>
      </c>
      <c r="P112" s="306">
        <f>O112/12</f>
        <v/>
      </c>
      <c r="Q112" s="306">
        <f>P112*$B$8</f>
        <v/>
      </c>
      <c r="R112" s="306">
        <f>P112*$B$9</f>
        <v/>
      </c>
      <c r="S112" s="306">
        <f>P112*$B$10</f>
        <v/>
      </c>
      <c r="T112" s="306">
        <f>P112-Q112-R112-S112-D112-E112</f>
        <v/>
      </c>
      <c r="U112" s="306">
        <f>MAX(0, T112 - $B$7*P112)</f>
        <v/>
      </c>
      <c r="V112" s="306">
        <f>T112-U112</f>
        <v/>
      </c>
      <c r="W112" s="306">
        <f>IF(A112=$F$6, $B$18*$B$16*$B$17/1000000, 0) + IF(A112=$F$7, $B$18*$B$16*$B$17/1000000, 0) + IF(A112=$F$8, $B$18*$B$16*$B$17/1000000, 0) + IF(A112=$F$9, $B$18*$B$16*$B$17/1000000, 0) + IF(A112=$F$10, $B$18*$B$16*$B$17/1000000, 0) + IF(A112=$F$11, $B$18*$B$16*$B$17/1000000, 0) + IF(A112=$F$12, $B$18*$B$16*$B$17/1000000, 0) + IF(A112=$F$13, $B$18*$B$16*$B$17/1000000, 0) + IF(A112=$F$14, $B$18*$B$16*$B$17/1000000, 0)</f>
        <v/>
      </c>
      <c r="X112" s="306">
        <f>V112-W112-C112</f>
        <v/>
      </c>
      <c r="Y112" s="306">
        <f>IF(AND(A112&lt;=$B$24, X112&gt;0), X112*$B$23, 0)</f>
        <v/>
      </c>
      <c r="Z112" s="306">
        <f>X112-Y112</f>
        <v/>
      </c>
      <c r="AA112" s="306">
        <f>IF(AND(A112=$B$19, $B$21=1), O112*$B$20, 0)</f>
        <v/>
      </c>
      <c r="AB112" s="306">
        <f>AB111+Z112+AA112</f>
        <v/>
      </c>
    </row>
    <row r="113">
      <c r="A113" s="306" t="n">
        <v>83</v>
      </c>
      <c r="B113" s="306">
        <f>CEILING(A113/12,1)</f>
        <v/>
      </c>
      <c r="C113" s="306">
        <f>IF(A113&lt;=12, $B$15/12, 0)</f>
        <v/>
      </c>
      <c r="D113" s="306">
        <f>INDEX('26. Team Comp'!$D$28:$R$28, B113) * 0.001 / 12</f>
        <v/>
      </c>
      <c r="E113" s="306">
        <f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+ (IF(MAX(0, A113 - $F$11 + 1)&lt;=0, 0, IF(MAX(0, A113 - $F$11 + 1)&lt;=6, 70 - (70-14)*(MAX(0, A113 - $F$11 + 1)-1)/5, IF(MAX(0, A113 - $F$11 + 1)&lt;=24, 14 - 14*(MAX(0, A113 - $F$11 + 1)-6)/18, 0)))) + (IF(MAX(0, A113 - $F$12 + 1)&lt;=0, 0, IF(MAX(0, A113 - $F$12 + 1)&lt;=6, 70 - (70-14)*(MAX(0, A113 - $F$12 + 1)-1)/5, IF(MAX(0, A113 - $F$12 + 1)&lt;=24, 14 - 14*(MAX(0, A113 - $F$12 + 1)-6)/18, 0)))) + (IF(MAX(0, A113 - $F$13 + 1)&lt;=0, 0, IF(MAX(0, A113 - $F$13 + 1)&lt;=6, 70 - (70-14)*(MAX(0, A113 - $F$13 + 1)-1)/5, IF(MAX(0, A113 - $F$13 + 1)&lt;=24, 14 - 14*(MAX(0, A113 - $F$13 + 1)-6)/18, 0)))) + (IF(MAX(0, A113 - $F$14 + 1)&lt;=0, 0, IF(MAX(0, A113 - $F$14 + 1)&lt;=6, 70 - (70-14)*(MAX(0, A113 - $F$14 + 1)-1)/5, IF(MAX(0, A113 - $F$14 + 1)&lt;=24, 14 - 14*(MAX(0, A113 - $F$14 + 1)-6)/18, 0)))) ) * 200 / 12 / 1000</f>
        <v/>
      </c>
      <c r="F113" s="306">
        <f>IF(A113&lt;$F$6,0,IF(AND($B$21=1,A113&gt;$B$19),0,$E$6*$G$6^MIN((A113-$F$6)/12,6)*MIN($G$6,0.85)^MAX(0,(A113-$F$6)/12-6)))</f>
        <v/>
      </c>
      <c r="G113" s="306">
        <f>IF(A113&lt;$F$7,0,IF(AND($B$21=1,A113&gt;$B$19),0,$E$7*$G$7^MIN((A113-$F$7)/12,6)*MIN($G$7,0.85)^MAX(0,(A113-$F$7)/12-6)))</f>
        <v/>
      </c>
      <c r="H113" s="306">
        <f>IF(A113&lt;$F$8,0,IF(AND($B$21=1,A113&gt;$B$19),0,$E$8*$G$8^MIN((A113-$F$8)/12,6)*MIN($G$8,0.85)^MAX(0,(A113-$F$8)/12-6)))</f>
        <v/>
      </c>
      <c r="I113" s="306">
        <f>IF(A113&lt;$F$9,0,IF(AND($B$21=1,A113&gt;$B$19),0,$E$9*$G$9^MIN((A113-$F$9)/12,6)*MIN($G$9,0.85)^MAX(0,(A113-$F$9)/12-6)))</f>
        <v/>
      </c>
      <c r="J113" s="306">
        <f>IF(A113&lt;$F$10,0,IF(AND($B$21=1,A113&gt;$B$19),0,$E$10*$G$10^MIN((A113-$F$10)/12,6)*MIN($G$10,0.85)^MAX(0,(A113-$F$10)/12-6)))</f>
        <v/>
      </c>
      <c r="K113" s="306">
        <f>IF(A113&lt;$F$11,0,IF(AND($B$21=1,A113&gt;$B$19),0,$E$11*$G$11^MIN((A113-$F$11)/12,6)*MIN($G$11,0.85)^MAX(0,(A113-$F$11)/12-6)))</f>
        <v/>
      </c>
      <c r="L113" s="306">
        <f>IF(A113&lt;$F$12,0,IF(AND($B$21=1,A113&gt;$B$19),0,$E$12*$G$12^MIN((A113-$F$12)/12,6)*MIN($G$12,0.85)^MAX(0,(A113-$F$12)/12-6)))</f>
        <v/>
      </c>
      <c r="M113" s="306">
        <f>IF(A113&lt;$F$13,0,IF(AND($B$21=1,A113&gt;$B$19),0,$E$13*$G$13^MIN((A113-$F$13)/12,6)*MIN($G$13,0.85)^MAX(0,(A113-$F$13)/12-6)))</f>
        <v/>
      </c>
      <c r="N113" s="306">
        <f>IF(A113&lt;$F$14,0,IF(AND($B$21=1,A113&gt;$B$19),0,$E$14*$G$14^MIN((A113-$F$14)/12,6)*MIN($G$14,0.85)^MAX(0,(A113-$F$14)/12-6)))</f>
        <v/>
      </c>
      <c r="O113" s="306">
        <f>SUM(F113:N113)</f>
        <v/>
      </c>
      <c r="P113" s="306">
        <f>O113/12</f>
        <v/>
      </c>
      <c r="Q113" s="306">
        <f>P113*$B$8</f>
        <v/>
      </c>
      <c r="R113" s="306">
        <f>P113*$B$9</f>
        <v/>
      </c>
      <c r="S113" s="306">
        <f>P113*$B$10</f>
        <v/>
      </c>
      <c r="T113" s="306">
        <f>P113-Q113-R113-S113-D113-E113</f>
        <v/>
      </c>
      <c r="U113" s="306">
        <f>MAX(0, T113 - $B$7*P113)</f>
        <v/>
      </c>
      <c r="V113" s="306">
        <f>T113-U113</f>
        <v/>
      </c>
      <c r="W113" s="306">
        <f>IF(A113=$F$6, $B$18*$B$16*$B$17/1000000, 0) + IF(A113=$F$7, $B$18*$B$16*$B$17/1000000, 0) + IF(A113=$F$8, $B$18*$B$16*$B$17/1000000, 0) + IF(A113=$F$9, $B$18*$B$16*$B$17/1000000, 0) + IF(A113=$F$10, $B$18*$B$16*$B$17/1000000, 0) + IF(A113=$F$11, $B$18*$B$16*$B$17/1000000, 0) + IF(A113=$F$12, $B$18*$B$16*$B$17/1000000, 0) + IF(A113=$F$13, $B$18*$B$16*$B$17/1000000, 0) + IF(A113=$F$14, $B$18*$B$16*$B$17/1000000, 0)</f>
        <v/>
      </c>
      <c r="X113" s="306">
        <f>V113-W113-C113</f>
        <v/>
      </c>
      <c r="Y113" s="306">
        <f>IF(AND(A113&lt;=$B$24, X113&gt;0), X113*$B$23, 0)</f>
        <v/>
      </c>
      <c r="Z113" s="306">
        <f>X113-Y113</f>
        <v/>
      </c>
      <c r="AA113" s="306">
        <f>IF(AND(A113=$B$19, $B$21=1), O113*$B$20, 0)</f>
        <v/>
      </c>
      <c r="AB113" s="306">
        <f>AB112+Z113+AA113</f>
        <v/>
      </c>
    </row>
    <row r="114">
      <c r="A114" s="306" t="n">
        <v>84</v>
      </c>
      <c r="B114" s="306">
        <f>CEILING(A114/12,1)</f>
        <v/>
      </c>
      <c r="C114" s="306">
        <f>IF(A114&lt;=12, $B$15/12, 0)</f>
        <v/>
      </c>
      <c r="D114" s="306">
        <f>INDEX('26. Team Comp'!$D$28:$R$28, B114) * 0.001 / 12</f>
        <v/>
      </c>
      <c r="E114" s="306">
        <f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+ (IF(MAX(0, A114 - $F$11 + 1)&lt;=0, 0, IF(MAX(0, A114 - $F$11 + 1)&lt;=6, 70 - (70-14)*(MAX(0, A114 - $F$11 + 1)-1)/5, IF(MAX(0, A114 - $F$11 + 1)&lt;=24, 14 - 14*(MAX(0, A114 - $F$11 + 1)-6)/18, 0)))) + (IF(MAX(0, A114 - $F$12 + 1)&lt;=0, 0, IF(MAX(0, A114 - $F$12 + 1)&lt;=6, 70 - (70-14)*(MAX(0, A114 - $F$12 + 1)-1)/5, IF(MAX(0, A114 - $F$12 + 1)&lt;=24, 14 - 14*(MAX(0, A114 - $F$12 + 1)-6)/18, 0)))) + (IF(MAX(0, A114 - $F$13 + 1)&lt;=0, 0, IF(MAX(0, A114 - $F$13 + 1)&lt;=6, 70 - (70-14)*(MAX(0, A114 - $F$13 + 1)-1)/5, IF(MAX(0, A114 - $F$13 + 1)&lt;=24, 14 - 14*(MAX(0, A114 - $F$13 + 1)-6)/18, 0)))) + (IF(MAX(0, A114 - $F$14 + 1)&lt;=0, 0, IF(MAX(0, A114 - $F$14 + 1)&lt;=6, 70 - (70-14)*(MAX(0, A114 - $F$14 + 1)-1)/5, IF(MAX(0, A114 - $F$14 + 1)&lt;=24, 14 - 14*(MAX(0, A114 - $F$14 + 1)-6)/18, 0)))) ) * 200 / 12 / 1000</f>
        <v/>
      </c>
      <c r="F114" s="306">
        <f>IF(A114&lt;$F$6,0,IF(AND($B$21=1,A114&gt;$B$19),0,$E$6*$G$6^MIN((A114-$F$6)/12,6)*MIN($G$6,0.85)^MAX(0,(A114-$F$6)/12-6)))</f>
        <v/>
      </c>
      <c r="G114" s="306">
        <f>IF(A114&lt;$F$7,0,IF(AND($B$21=1,A114&gt;$B$19),0,$E$7*$G$7^MIN((A114-$F$7)/12,6)*MIN($G$7,0.85)^MAX(0,(A114-$F$7)/12-6)))</f>
        <v/>
      </c>
      <c r="H114" s="306">
        <f>IF(A114&lt;$F$8,0,IF(AND($B$21=1,A114&gt;$B$19),0,$E$8*$G$8^MIN((A114-$F$8)/12,6)*MIN($G$8,0.85)^MAX(0,(A114-$F$8)/12-6)))</f>
        <v/>
      </c>
      <c r="I114" s="306">
        <f>IF(A114&lt;$F$9,0,IF(AND($B$21=1,A114&gt;$B$19),0,$E$9*$G$9^MIN((A114-$F$9)/12,6)*MIN($G$9,0.85)^MAX(0,(A114-$F$9)/12-6)))</f>
        <v/>
      </c>
      <c r="J114" s="306">
        <f>IF(A114&lt;$F$10,0,IF(AND($B$21=1,A114&gt;$B$19),0,$E$10*$G$10^MIN((A114-$F$10)/12,6)*MIN($G$10,0.85)^MAX(0,(A114-$F$10)/12-6)))</f>
        <v/>
      </c>
      <c r="K114" s="306">
        <f>IF(A114&lt;$F$11,0,IF(AND($B$21=1,A114&gt;$B$19),0,$E$11*$G$11^MIN((A114-$F$11)/12,6)*MIN($G$11,0.85)^MAX(0,(A114-$F$11)/12-6)))</f>
        <v/>
      </c>
      <c r="L114" s="306">
        <f>IF(A114&lt;$F$12,0,IF(AND($B$21=1,A114&gt;$B$19),0,$E$12*$G$12^MIN((A114-$F$12)/12,6)*MIN($G$12,0.85)^MAX(0,(A114-$F$12)/12-6)))</f>
        <v/>
      </c>
      <c r="M114" s="306">
        <f>IF(A114&lt;$F$13,0,IF(AND($B$21=1,A114&gt;$B$19),0,$E$13*$G$13^MIN((A114-$F$13)/12,6)*MIN($G$13,0.85)^MAX(0,(A114-$F$13)/12-6)))</f>
        <v/>
      </c>
      <c r="N114" s="306">
        <f>IF(A114&lt;$F$14,0,IF(AND($B$21=1,A114&gt;$B$19),0,$E$14*$G$14^MIN((A114-$F$14)/12,6)*MIN($G$14,0.85)^MAX(0,(A114-$F$14)/12-6)))</f>
        <v/>
      </c>
      <c r="O114" s="306">
        <f>SUM(F114:N114)</f>
        <v/>
      </c>
      <c r="P114" s="306">
        <f>O114/12</f>
        <v/>
      </c>
      <c r="Q114" s="306">
        <f>P114*$B$8</f>
        <v/>
      </c>
      <c r="R114" s="306">
        <f>P114*$B$9</f>
        <v/>
      </c>
      <c r="S114" s="306">
        <f>P114*$B$10</f>
        <v/>
      </c>
      <c r="T114" s="306">
        <f>P114-Q114-R114-S114-D114-E114</f>
        <v/>
      </c>
      <c r="U114" s="306">
        <f>MAX(0, T114 - $B$7*P114)</f>
        <v/>
      </c>
      <c r="V114" s="306">
        <f>T114-U114</f>
        <v/>
      </c>
      <c r="W114" s="306">
        <f>IF(A114=$F$6, $B$18*$B$16*$B$17/1000000, 0) + IF(A114=$F$7, $B$18*$B$16*$B$17/1000000, 0) + IF(A114=$F$8, $B$18*$B$16*$B$17/1000000, 0) + IF(A114=$F$9, $B$18*$B$16*$B$17/1000000, 0) + IF(A114=$F$10, $B$18*$B$16*$B$17/1000000, 0) + IF(A114=$F$11, $B$18*$B$16*$B$17/1000000, 0) + IF(A114=$F$12, $B$18*$B$16*$B$17/1000000, 0) + IF(A114=$F$13, $B$18*$B$16*$B$17/1000000, 0) + IF(A114=$F$14, $B$18*$B$16*$B$17/1000000, 0)</f>
        <v/>
      </c>
      <c r="X114" s="306">
        <f>V114-W114-C114</f>
        <v/>
      </c>
      <c r="Y114" s="306">
        <f>IF(AND(A114&lt;=$B$24, X114&gt;0), X114*$B$23, 0)</f>
        <v/>
      </c>
      <c r="Z114" s="306">
        <f>X114-Y114</f>
        <v/>
      </c>
      <c r="AA114" s="306">
        <f>IF(AND(A114=$B$19, $B$21=1), O114*$B$20, 0)</f>
        <v/>
      </c>
      <c r="AB114" s="306">
        <f>AB113+Z114+AA114</f>
        <v/>
      </c>
    </row>
    <row r="115">
      <c r="A115" s="306" t="n">
        <v>85</v>
      </c>
      <c r="B115" s="306">
        <f>CEILING(A115/12,1)</f>
        <v/>
      </c>
      <c r="C115" s="306">
        <f>IF(A115&lt;=12, $B$15/12, 0)</f>
        <v/>
      </c>
      <c r="D115" s="306">
        <f>INDEX('26. Team Comp'!$D$28:$R$28, B115) * 0.001 / 12</f>
        <v/>
      </c>
      <c r="E115" s="306">
        <f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+ (IF(MAX(0, A115 - $F$11 + 1)&lt;=0, 0, IF(MAX(0, A115 - $F$11 + 1)&lt;=6, 70 - (70-14)*(MAX(0, A115 - $F$11 + 1)-1)/5, IF(MAX(0, A115 - $F$11 + 1)&lt;=24, 14 - 14*(MAX(0, A115 - $F$11 + 1)-6)/18, 0)))) + (IF(MAX(0, A115 - $F$12 + 1)&lt;=0, 0, IF(MAX(0, A115 - $F$12 + 1)&lt;=6, 70 - (70-14)*(MAX(0, A115 - $F$12 + 1)-1)/5, IF(MAX(0, A115 - $F$12 + 1)&lt;=24, 14 - 14*(MAX(0, A115 - $F$12 + 1)-6)/18, 0)))) + (IF(MAX(0, A115 - $F$13 + 1)&lt;=0, 0, IF(MAX(0, A115 - $F$13 + 1)&lt;=6, 70 - (70-14)*(MAX(0, A115 - $F$13 + 1)-1)/5, IF(MAX(0, A115 - $F$13 + 1)&lt;=24, 14 - 14*(MAX(0, A115 - $F$13 + 1)-6)/18, 0)))) + (IF(MAX(0, A115 - $F$14 + 1)&lt;=0, 0, IF(MAX(0, A115 - $F$14 + 1)&lt;=6, 70 - (70-14)*(MAX(0, A115 - $F$14 + 1)-1)/5, IF(MAX(0, A115 - $F$14 + 1)&lt;=24, 14 - 14*(MAX(0, A115 - $F$14 + 1)-6)/18, 0)))) ) * 200 / 12 / 1000</f>
        <v/>
      </c>
      <c r="F115" s="306">
        <f>IF(A115&lt;$F$6,0,IF(AND($B$21=1,A115&gt;$B$19),0,$E$6*$G$6^MIN((A115-$F$6)/12,6)*MIN($G$6,0.85)^MAX(0,(A115-$F$6)/12-6)))</f>
        <v/>
      </c>
      <c r="G115" s="306">
        <f>IF(A115&lt;$F$7,0,IF(AND($B$21=1,A115&gt;$B$19),0,$E$7*$G$7^MIN((A115-$F$7)/12,6)*MIN($G$7,0.85)^MAX(0,(A115-$F$7)/12-6)))</f>
        <v/>
      </c>
      <c r="H115" s="306">
        <f>IF(A115&lt;$F$8,0,IF(AND($B$21=1,A115&gt;$B$19),0,$E$8*$G$8^MIN((A115-$F$8)/12,6)*MIN($G$8,0.85)^MAX(0,(A115-$F$8)/12-6)))</f>
        <v/>
      </c>
      <c r="I115" s="306">
        <f>IF(A115&lt;$F$9,0,IF(AND($B$21=1,A115&gt;$B$19),0,$E$9*$G$9^MIN((A115-$F$9)/12,6)*MIN($G$9,0.85)^MAX(0,(A115-$F$9)/12-6)))</f>
        <v/>
      </c>
      <c r="J115" s="306">
        <f>IF(A115&lt;$F$10,0,IF(AND($B$21=1,A115&gt;$B$19),0,$E$10*$G$10^MIN((A115-$F$10)/12,6)*MIN($G$10,0.85)^MAX(0,(A115-$F$10)/12-6)))</f>
        <v/>
      </c>
      <c r="K115" s="306">
        <f>IF(A115&lt;$F$11,0,IF(AND($B$21=1,A115&gt;$B$19),0,$E$11*$G$11^MIN((A115-$F$11)/12,6)*MIN($G$11,0.85)^MAX(0,(A115-$F$11)/12-6)))</f>
        <v/>
      </c>
      <c r="L115" s="306">
        <f>IF(A115&lt;$F$12,0,IF(AND($B$21=1,A115&gt;$B$19),0,$E$12*$G$12^MIN((A115-$F$12)/12,6)*MIN($G$12,0.85)^MAX(0,(A115-$F$12)/12-6)))</f>
        <v/>
      </c>
      <c r="M115" s="306">
        <f>IF(A115&lt;$F$13,0,IF(AND($B$21=1,A115&gt;$B$19),0,$E$13*$G$13^MIN((A115-$F$13)/12,6)*MIN($G$13,0.85)^MAX(0,(A115-$F$13)/12-6)))</f>
        <v/>
      </c>
      <c r="N115" s="306">
        <f>IF(A115&lt;$F$14,0,IF(AND($B$21=1,A115&gt;$B$19),0,$E$14*$G$14^MIN((A115-$F$14)/12,6)*MIN($G$14,0.85)^MAX(0,(A115-$F$14)/12-6)))</f>
        <v/>
      </c>
      <c r="O115" s="306">
        <f>SUM(F115:N115)</f>
        <v/>
      </c>
      <c r="P115" s="306">
        <f>O115/12</f>
        <v/>
      </c>
      <c r="Q115" s="306">
        <f>P115*$B$8</f>
        <v/>
      </c>
      <c r="R115" s="306">
        <f>P115*$B$9</f>
        <v/>
      </c>
      <c r="S115" s="306">
        <f>P115*$B$10</f>
        <v/>
      </c>
      <c r="T115" s="306">
        <f>P115-Q115-R115-S115-D115-E115</f>
        <v/>
      </c>
      <c r="U115" s="306">
        <f>MAX(0, T115 - $B$7*P115)</f>
        <v/>
      </c>
      <c r="V115" s="306">
        <f>T115-U115</f>
        <v/>
      </c>
      <c r="W115" s="306">
        <f>IF(A115=$F$6, $B$18*$B$16*$B$17/1000000, 0) + IF(A115=$F$7, $B$18*$B$16*$B$17/1000000, 0) + IF(A115=$F$8, $B$18*$B$16*$B$17/1000000, 0) + IF(A115=$F$9, $B$18*$B$16*$B$17/1000000, 0) + IF(A115=$F$10, $B$18*$B$16*$B$17/1000000, 0) + IF(A115=$F$11, $B$18*$B$16*$B$17/1000000, 0) + IF(A115=$F$12, $B$18*$B$16*$B$17/1000000, 0) + IF(A115=$F$13, $B$18*$B$16*$B$17/1000000, 0) + IF(A115=$F$14, $B$18*$B$16*$B$17/1000000, 0)</f>
        <v/>
      </c>
      <c r="X115" s="306">
        <f>V115-W115-C115</f>
        <v/>
      </c>
      <c r="Y115" s="306">
        <f>IF(AND(A115&lt;=$B$24, X115&gt;0), X115*$B$23, 0)</f>
        <v/>
      </c>
      <c r="Z115" s="306">
        <f>X115-Y115</f>
        <v/>
      </c>
      <c r="AA115" s="306">
        <f>IF(AND(A115=$B$19, $B$21=1), O115*$B$20, 0)</f>
        <v/>
      </c>
      <c r="AB115" s="306">
        <f>AB114+Z115+AA115</f>
        <v/>
      </c>
    </row>
    <row r="116">
      <c r="A116" s="306" t="n">
        <v>86</v>
      </c>
      <c r="B116" s="306">
        <f>CEILING(A116/12,1)</f>
        <v/>
      </c>
      <c r="C116" s="306">
        <f>IF(A116&lt;=12, $B$15/12, 0)</f>
        <v/>
      </c>
      <c r="D116" s="306">
        <f>INDEX('26. Team Comp'!$D$28:$R$28, B116) * 0.001 / 12</f>
        <v/>
      </c>
      <c r="E116" s="306">
        <f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+ (IF(MAX(0, A116 - $F$11 + 1)&lt;=0, 0, IF(MAX(0, A116 - $F$11 + 1)&lt;=6, 70 - (70-14)*(MAX(0, A116 - $F$11 + 1)-1)/5, IF(MAX(0, A116 - $F$11 + 1)&lt;=24, 14 - 14*(MAX(0, A116 - $F$11 + 1)-6)/18, 0)))) + (IF(MAX(0, A116 - $F$12 + 1)&lt;=0, 0, IF(MAX(0, A116 - $F$12 + 1)&lt;=6, 70 - (70-14)*(MAX(0, A116 - $F$12 + 1)-1)/5, IF(MAX(0, A116 - $F$12 + 1)&lt;=24, 14 - 14*(MAX(0, A116 - $F$12 + 1)-6)/18, 0)))) + (IF(MAX(0, A116 - $F$13 + 1)&lt;=0, 0, IF(MAX(0, A116 - $F$13 + 1)&lt;=6, 70 - (70-14)*(MAX(0, A116 - $F$13 + 1)-1)/5, IF(MAX(0, A116 - $F$13 + 1)&lt;=24, 14 - 14*(MAX(0, A116 - $F$13 + 1)-6)/18, 0)))) + (IF(MAX(0, A116 - $F$14 + 1)&lt;=0, 0, IF(MAX(0, A116 - $F$14 + 1)&lt;=6, 70 - (70-14)*(MAX(0, A116 - $F$14 + 1)-1)/5, IF(MAX(0, A116 - $F$14 + 1)&lt;=24, 14 - 14*(MAX(0, A116 - $F$14 + 1)-6)/18, 0)))) ) * 200 / 12 / 1000</f>
        <v/>
      </c>
      <c r="F116" s="306">
        <f>IF(A116&lt;$F$6,0,IF(AND($B$21=1,A116&gt;$B$19),0,$E$6*$G$6^MIN((A116-$F$6)/12,6)*MIN($G$6,0.85)^MAX(0,(A116-$F$6)/12-6)))</f>
        <v/>
      </c>
      <c r="G116" s="306">
        <f>IF(A116&lt;$F$7,0,IF(AND($B$21=1,A116&gt;$B$19),0,$E$7*$G$7^MIN((A116-$F$7)/12,6)*MIN($G$7,0.85)^MAX(0,(A116-$F$7)/12-6)))</f>
        <v/>
      </c>
      <c r="H116" s="306">
        <f>IF(A116&lt;$F$8,0,IF(AND($B$21=1,A116&gt;$B$19),0,$E$8*$G$8^MIN((A116-$F$8)/12,6)*MIN($G$8,0.85)^MAX(0,(A116-$F$8)/12-6)))</f>
        <v/>
      </c>
      <c r="I116" s="306">
        <f>IF(A116&lt;$F$9,0,IF(AND($B$21=1,A116&gt;$B$19),0,$E$9*$G$9^MIN((A116-$F$9)/12,6)*MIN($G$9,0.85)^MAX(0,(A116-$F$9)/12-6)))</f>
        <v/>
      </c>
      <c r="J116" s="306">
        <f>IF(A116&lt;$F$10,0,IF(AND($B$21=1,A116&gt;$B$19),0,$E$10*$G$10^MIN((A116-$F$10)/12,6)*MIN($G$10,0.85)^MAX(0,(A116-$F$10)/12-6)))</f>
        <v/>
      </c>
      <c r="K116" s="306">
        <f>IF(A116&lt;$F$11,0,IF(AND($B$21=1,A116&gt;$B$19),0,$E$11*$G$11^MIN((A116-$F$11)/12,6)*MIN($G$11,0.85)^MAX(0,(A116-$F$11)/12-6)))</f>
        <v/>
      </c>
      <c r="L116" s="306">
        <f>IF(A116&lt;$F$12,0,IF(AND($B$21=1,A116&gt;$B$19),0,$E$12*$G$12^MIN((A116-$F$12)/12,6)*MIN($G$12,0.85)^MAX(0,(A116-$F$12)/12-6)))</f>
        <v/>
      </c>
      <c r="M116" s="306">
        <f>IF(A116&lt;$F$13,0,IF(AND($B$21=1,A116&gt;$B$19),0,$E$13*$G$13^MIN((A116-$F$13)/12,6)*MIN($G$13,0.85)^MAX(0,(A116-$F$13)/12-6)))</f>
        <v/>
      </c>
      <c r="N116" s="306">
        <f>IF(A116&lt;$F$14,0,IF(AND($B$21=1,A116&gt;$B$19),0,$E$14*$G$14^MIN((A116-$F$14)/12,6)*MIN($G$14,0.85)^MAX(0,(A116-$F$14)/12-6)))</f>
        <v/>
      </c>
      <c r="O116" s="306">
        <f>SUM(F116:N116)</f>
        <v/>
      </c>
      <c r="P116" s="306">
        <f>O116/12</f>
        <v/>
      </c>
      <c r="Q116" s="306">
        <f>P116*$B$8</f>
        <v/>
      </c>
      <c r="R116" s="306">
        <f>P116*$B$9</f>
        <v/>
      </c>
      <c r="S116" s="306">
        <f>P116*$B$10</f>
        <v/>
      </c>
      <c r="T116" s="306">
        <f>P116-Q116-R116-S116-D116-E116</f>
        <v/>
      </c>
      <c r="U116" s="306">
        <f>MAX(0, T116 - $B$7*P116)</f>
        <v/>
      </c>
      <c r="V116" s="306">
        <f>T116-U116</f>
        <v/>
      </c>
      <c r="W116" s="306">
        <f>IF(A116=$F$6, $B$18*$B$16*$B$17/1000000, 0) + IF(A116=$F$7, $B$18*$B$16*$B$17/1000000, 0) + IF(A116=$F$8, $B$18*$B$16*$B$17/1000000, 0) + IF(A116=$F$9, $B$18*$B$16*$B$17/1000000, 0) + IF(A116=$F$10, $B$18*$B$16*$B$17/1000000, 0) + IF(A116=$F$11, $B$18*$B$16*$B$17/1000000, 0) + IF(A116=$F$12, $B$18*$B$16*$B$17/1000000, 0) + IF(A116=$F$13, $B$18*$B$16*$B$17/1000000, 0) + IF(A116=$F$14, $B$18*$B$16*$B$17/1000000, 0)</f>
        <v/>
      </c>
      <c r="X116" s="306">
        <f>V116-W116-C116</f>
        <v/>
      </c>
      <c r="Y116" s="306">
        <f>IF(AND(A116&lt;=$B$24, X116&gt;0), X116*$B$23, 0)</f>
        <v/>
      </c>
      <c r="Z116" s="306">
        <f>X116-Y116</f>
        <v/>
      </c>
      <c r="AA116" s="306">
        <f>IF(AND(A116=$B$19, $B$21=1), O116*$B$20, 0)</f>
        <v/>
      </c>
      <c r="AB116" s="306">
        <f>AB115+Z116+AA116</f>
        <v/>
      </c>
    </row>
    <row r="117">
      <c r="A117" s="306" t="n">
        <v>87</v>
      </c>
      <c r="B117" s="306">
        <f>CEILING(A117/12,1)</f>
        <v/>
      </c>
      <c r="C117" s="306">
        <f>IF(A117&lt;=12, $B$15/12, 0)</f>
        <v/>
      </c>
      <c r="D117" s="306">
        <f>INDEX('26. Team Comp'!$D$28:$R$28, B117) * 0.001 / 12</f>
        <v/>
      </c>
      <c r="E117" s="306">
        <f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+ (IF(MAX(0, A117 - $F$11 + 1)&lt;=0, 0, IF(MAX(0, A117 - $F$11 + 1)&lt;=6, 70 - (70-14)*(MAX(0, A117 - $F$11 + 1)-1)/5, IF(MAX(0, A117 - $F$11 + 1)&lt;=24, 14 - 14*(MAX(0, A117 - $F$11 + 1)-6)/18, 0)))) + (IF(MAX(0, A117 - $F$12 + 1)&lt;=0, 0, IF(MAX(0, A117 - $F$12 + 1)&lt;=6, 70 - (70-14)*(MAX(0, A117 - $F$12 + 1)-1)/5, IF(MAX(0, A117 - $F$12 + 1)&lt;=24, 14 - 14*(MAX(0, A117 - $F$12 + 1)-6)/18, 0)))) + (IF(MAX(0, A117 - $F$13 + 1)&lt;=0, 0, IF(MAX(0, A117 - $F$13 + 1)&lt;=6, 70 - (70-14)*(MAX(0, A117 - $F$13 + 1)-1)/5, IF(MAX(0, A117 - $F$13 + 1)&lt;=24, 14 - 14*(MAX(0, A117 - $F$13 + 1)-6)/18, 0)))) + (IF(MAX(0, A117 - $F$14 + 1)&lt;=0, 0, IF(MAX(0, A117 - $F$14 + 1)&lt;=6, 70 - (70-14)*(MAX(0, A117 - $F$14 + 1)-1)/5, IF(MAX(0, A117 - $F$14 + 1)&lt;=24, 14 - 14*(MAX(0, A117 - $F$14 + 1)-6)/18, 0)))) ) * 200 / 12 / 1000</f>
        <v/>
      </c>
      <c r="F117" s="306">
        <f>IF(A117&lt;$F$6,0,IF(AND($B$21=1,A117&gt;$B$19),0,$E$6*$G$6^MIN((A117-$F$6)/12,6)*MIN($G$6,0.85)^MAX(0,(A117-$F$6)/12-6)))</f>
        <v/>
      </c>
      <c r="G117" s="306">
        <f>IF(A117&lt;$F$7,0,IF(AND($B$21=1,A117&gt;$B$19),0,$E$7*$G$7^MIN((A117-$F$7)/12,6)*MIN($G$7,0.85)^MAX(0,(A117-$F$7)/12-6)))</f>
        <v/>
      </c>
      <c r="H117" s="306">
        <f>IF(A117&lt;$F$8,0,IF(AND($B$21=1,A117&gt;$B$19),0,$E$8*$G$8^MIN((A117-$F$8)/12,6)*MIN($G$8,0.85)^MAX(0,(A117-$F$8)/12-6)))</f>
        <v/>
      </c>
      <c r="I117" s="306">
        <f>IF(A117&lt;$F$9,0,IF(AND($B$21=1,A117&gt;$B$19),0,$E$9*$G$9^MIN((A117-$F$9)/12,6)*MIN($G$9,0.85)^MAX(0,(A117-$F$9)/12-6)))</f>
        <v/>
      </c>
      <c r="J117" s="306">
        <f>IF(A117&lt;$F$10,0,IF(AND($B$21=1,A117&gt;$B$19),0,$E$10*$G$10^MIN((A117-$F$10)/12,6)*MIN($G$10,0.85)^MAX(0,(A117-$F$10)/12-6)))</f>
        <v/>
      </c>
      <c r="K117" s="306">
        <f>IF(A117&lt;$F$11,0,IF(AND($B$21=1,A117&gt;$B$19),0,$E$11*$G$11^MIN((A117-$F$11)/12,6)*MIN($G$11,0.85)^MAX(0,(A117-$F$11)/12-6)))</f>
        <v/>
      </c>
      <c r="L117" s="306">
        <f>IF(A117&lt;$F$12,0,IF(AND($B$21=1,A117&gt;$B$19),0,$E$12*$G$12^MIN((A117-$F$12)/12,6)*MIN($G$12,0.85)^MAX(0,(A117-$F$12)/12-6)))</f>
        <v/>
      </c>
      <c r="M117" s="306">
        <f>IF(A117&lt;$F$13,0,IF(AND($B$21=1,A117&gt;$B$19),0,$E$13*$G$13^MIN((A117-$F$13)/12,6)*MIN($G$13,0.85)^MAX(0,(A117-$F$13)/12-6)))</f>
        <v/>
      </c>
      <c r="N117" s="306">
        <f>IF(A117&lt;$F$14,0,IF(AND($B$21=1,A117&gt;$B$19),0,$E$14*$G$14^MIN((A117-$F$14)/12,6)*MIN($G$14,0.85)^MAX(0,(A117-$F$14)/12-6)))</f>
        <v/>
      </c>
      <c r="O117" s="306">
        <f>SUM(F117:N117)</f>
        <v/>
      </c>
      <c r="P117" s="306">
        <f>O117/12</f>
        <v/>
      </c>
      <c r="Q117" s="306">
        <f>P117*$B$8</f>
        <v/>
      </c>
      <c r="R117" s="306">
        <f>P117*$B$9</f>
        <v/>
      </c>
      <c r="S117" s="306">
        <f>P117*$B$10</f>
        <v/>
      </c>
      <c r="T117" s="306">
        <f>P117-Q117-R117-S117-D117-E117</f>
        <v/>
      </c>
      <c r="U117" s="306">
        <f>MAX(0, T117 - $B$7*P117)</f>
        <v/>
      </c>
      <c r="V117" s="306">
        <f>T117-U117</f>
        <v/>
      </c>
      <c r="W117" s="306">
        <f>IF(A117=$F$6, $B$18*$B$16*$B$17/1000000, 0) + IF(A117=$F$7, $B$18*$B$16*$B$17/1000000, 0) + IF(A117=$F$8, $B$18*$B$16*$B$17/1000000, 0) + IF(A117=$F$9, $B$18*$B$16*$B$17/1000000, 0) + IF(A117=$F$10, $B$18*$B$16*$B$17/1000000, 0) + IF(A117=$F$11, $B$18*$B$16*$B$17/1000000, 0) + IF(A117=$F$12, $B$18*$B$16*$B$17/1000000, 0) + IF(A117=$F$13, $B$18*$B$16*$B$17/1000000, 0) + IF(A117=$F$14, $B$18*$B$16*$B$17/1000000, 0)</f>
        <v/>
      </c>
      <c r="X117" s="306">
        <f>V117-W117-C117</f>
        <v/>
      </c>
      <c r="Y117" s="306">
        <f>IF(AND(A117&lt;=$B$24, X117&gt;0), X117*$B$23, 0)</f>
        <v/>
      </c>
      <c r="Z117" s="306">
        <f>X117-Y117</f>
        <v/>
      </c>
      <c r="AA117" s="306">
        <f>IF(AND(A117=$B$19, $B$21=1), O117*$B$20, 0)</f>
        <v/>
      </c>
      <c r="AB117" s="306">
        <f>AB116+Z117+AA117</f>
        <v/>
      </c>
    </row>
    <row r="118">
      <c r="A118" s="306" t="n">
        <v>88</v>
      </c>
      <c r="B118" s="306">
        <f>CEILING(A118/12,1)</f>
        <v/>
      </c>
      <c r="C118" s="306">
        <f>IF(A118&lt;=12, $B$15/12, 0)</f>
        <v/>
      </c>
      <c r="D118" s="306">
        <f>INDEX('26. Team Comp'!$D$28:$R$28, B118) * 0.001 / 12</f>
        <v/>
      </c>
      <c r="E118" s="306">
        <f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+ (IF(MAX(0, A118 - $F$11 + 1)&lt;=0, 0, IF(MAX(0, A118 - $F$11 + 1)&lt;=6, 70 - (70-14)*(MAX(0, A118 - $F$11 + 1)-1)/5, IF(MAX(0, A118 - $F$11 + 1)&lt;=24, 14 - 14*(MAX(0, A118 - $F$11 + 1)-6)/18, 0)))) + (IF(MAX(0, A118 - $F$12 + 1)&lt;=0, 0, IF(MAX(0, A118 - $F$12 + 1)&lt;=6, 70 - (70-14)*(MAX(0, A118 - $F$12 + 1)-1)/5, IF(MAX(0, A118 - $F$12 + 1)&lt;=24, 14 - 14*(MAX(0, A118 - $F$12 + 1)-6)/18, 0)))) + (IF(MAX(0, A118 - $F$13 + 1)&lt;=0, 0, IF(MAX(0, A118 - $F$13 + 1)&lt;=6, 70 - (70-14)*(MAX(0, A118 - $F$13 + 1)-1)/5, IF(MAX(0, A118 - $F$13 + 1)&lt;=24, 14 - 14*(MAX(0, A118 - $F$13 + 1)-6)/18, 0)))) + (IF(MAX(0, A118 - $F$14 + 1)&lt;=0, 0, IF(MAX(0, A118 - $F$14 + 1)&lt;=6, 70 - (70-14)*(MAX(0, A118 - $F$14 + 1)-1)/5, IF(MAX(0, A118 - $F$14 + 1)&lt;=24, 14 - 14*(MAX(0, A118 - $F$14 + 1)-6)/18, 0)))) ) * 200 / 12 / 1000</f>
        <v/>
      </c>
      <c r="F118" s="306">
        <f>IF(A118&lt;$F$6,0,IF(AND($B$21=1,A118&gt;$B$19),0,$E$6*$G$6^MIN((A118-$F$6)/12,6)*MIN($G$6,0.85)^MAX(0,(A118-$F$6)/12-6)))</f>
        <v/>
      </c>
      <c r="G118" s="306">
        <f>IF(A118&lt;$F$7,0,IF(AND($B$21=1,A118&gt;$B$19),0,$E$7*$G$7^MIN((A118-$F$7)/12,6)*MIN($G$7,0.85)^MAX(0,(A118-$F$7)/12-6)))</f>
        <v/>
      </c>
      <c r="H118" s="306">
        <f>IF(A118&lt;$F$8,0,IF(AND($B$21=1,A118&gt;$B$19),0,$E$8*$G$8^MIN((A118-$F$8)/12,6)*MIN($G$8,0.85)^MAX(0,(A118-$F$8)/12-6)))</f>
        <v/>
      </c>
      <c r="I118" s="306">
        <f>IF(A118&lt;$F$9,0,IF(AND($B$21=1,A118&gt;$B$19),0,$E$9*$G$9^MIN((A118-$F$9)/12,6)*MIN($G$9,0.85)^MAX(0,(A118-$F$9)/12-6)))</f>
        <v/>
      </c>
      <c r="J118" s="306">
        <f>IF(A118&lt;$F$10,0,IF(AND($B$21=1,A118&gt;$B$19),0,$E$10*$G$10^MIN((A118-$F$10)/12,6)*MIN($G$10,0.85)^MAX(0,(A118-$F$10)/12-6)))</f>
        <v/>
      </c>
      <c r="K118" s="306">
        <f>IF(A118&lt;$F$11,0,IF(AND($B$21=1,A118&gt;$B$19),0,$E$11*$G$11^MIN((A118-$F$11)/12,6)*MIN($G$11,0.85)^MAX(0,(A118-$F$11)/12-6)))</f>
        <v/>
      </c>
      <c r="L118" s="306">
        <f>IF(A118&lt;$F$12,0,IF(AND($B$21=1,A118&gt;$B$19),0,$E$12*$G$12^MIN((A118-$F$12)/12,6)*MIN($G$12,0.85)^MAX(0,(A118-$F$12)/12-6)))</f>
        <v/>
      </c>
      <c r="M118" s="306">
        <f>IF(A118&lt;$F$13,0,IF(AND($B$21=1,A118&gt;$B$19),0,$E$13*$G$13^MIN((A118-$F$13)/12,6)*MIN($G$13,0.85)^MAX(0,(A118-$F$13)/12-6)))</f>
        <v/>
      </c>
      <c r="N118" s="306">
        <f>IF(A118&lt;$F$14,0,IF(AND($B$21=1,A118&gt;$B$19),0,$E$14*$G$14^MIN((A118-$F$14)/12,6)*MIN($G$14,0.85)^MAX(0,(A118-$F$14)/12-6)))</f>
        <v/>
      </c>
      <c r="O118" s="306">
        <f>SUM(F118:N118)</f>
        <v/>
      </c>
      <c r="P118" s="306">
        <f>O118/12</f>
        <v/>
      </c>
      <c r="Q118" s="306">
        <f>P118*$B$8</f>
        <v/>
      </c>
      <c r="R118" s="306">
        <f>P118*$B$9</f>
        <v/>
      </c>
      <c r="S118" s="306">
        <f>P118*$B$10</f>
        <v/>
      </c>
      <c r="T118" s="306">
        <f>P118-Q118-R118-S118-D118-E118</f>
        <v/>
      </c>
      <c r="U118" s="306">
        <f>MAX(0, T118 - $B$7*P118)</f>
        <v/>
      </c>
      <c r="V118" s="306">
        <f>T118-U118</f>
        <v/>
      </c>
      <c r="W118" s="306">
        <f>IF(A118=$F$6, $B$18*$B$16*$B$17/1000000, 0) + IF(A118=$F$7, $B$18*$B$16*$B$17/1000000, 0) + IF(A118=$F$8, $B$18*$B$16*$B$17/1000000, 0) + IF(A118=$F$9, $B$18*$B$16*$B$17/1000000, 0) + IF(A118=$F$10, $B$18*$B$16*$B$17/1000000, 0) + IF(A118=$F$11, $B$18*$B$16*$B$17/1000000, 0) + IF(A118=$F$12, $B$18*$B$16*$B$17/1000000, 0) + IF(A118=$F$13, $B$18*$B$16*$B$17/1000000, 0) + IF(A118=$F$14, $B$18*$B$16*$B$17/1000000, 0)</f>
        <v/>
      </c>
      <c r="X118" s="306">
        <f>V118-W118-C118</f>
        <v/>
      </c>
      <c r="Y118" s="306">
        <f>IF(AND(A118&lt;=$B$24, X118&gt;0), X118*$B$23, 0)</f>
        <v/>
      </c>
      <c r="Z118" s="306">
        <f>X118-Y118</f>
        <v/>
      </c>
      <c r="AA118" s="306">
        <f>IF(AND(A118=$B$19, $B$21=1), O118*$B$20, 0)</f>
        <v/>
      </c>
      <c r="AB118" s="306">
        <f>AB117+Z118+AA118</f>
        <v/>
      </c>
    </row>
    <row r="119">
      <c r="A119" s="306" t="n">
        <v>89</v>
      </c>
      <c r="B119" s="306">
        <f>CEILING(A119/12,1)</f>
        <v/>
      </c>
      <c r="C119" s="306">
        <f>IF(A119&lt;=12, $B$15/12, 0)</f>
        <v/>
      </c>
      <c r="D119" s="306">
        <f>INDEX('26. Team Comp'!$D$28:$R$28, B119) * 0.001 / 12</f>
        <v/>
      </c>
      <c r="E119" s="306">
        <f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+ (IF(MAX(0, A119 - $F$11 + 1)&lt;=0, 0, IF(MAX(0, A119 - $F$11 + 1)&lt;=6, 70 - (70-14)*(MAX(0, A119 - $F$11 + 1)-1)/5, IF(MAX(0, A119 - $F$11 + 1)&lt;=24, 14 - 14*(MAX(0, A119 - $F$11 + 1)-6)/18, 0)))) + (IF(MAX(0, A119 - $F$12 + 1)&lt;=0, 0, IF(MAX(0, A119 - $F$12 + 1)&lt;=6, 70 - (70-14)*(MAX(0, A119 - $F$12 + 1)-1)/5, IF(MAX(0, A119 - $F$12 + 1)&lt;=24, 14 - 14*(MAX(0, A119 - $F$12 + 1)-6)/18, 0)))) + (IF(MAX(0, A119 - $F$13 + 1)&lt;=0, 0, IF(MAX(0, A119 - $F$13 + 1)&lt;=6, 70 - (70-14)*(MAX(0, A119 - $F$13 + 1)-1)/5, IF(MAX(0, A119 - $F$13 + 1)&lt;=24, 14 - 14*(MAX(0, A119 - $F$13 + 1)-6)/18, 0)))) + (IF(MAX(0, A119 - $F$14 + 1)&lt;=0, 0, IF(MAX(0, A119 - $F$14 + 1)&lt;=6, 70 - (70-14)*(MAX(0, A119 - $F$14 + 1)-1)/5, IF(MAX(0, A119 - $F$14 + 1)&lt;=24, 14 - 14*(MAX(0, A119 - $F$14 + 1)-6)/18, 0)))) ) * 200 / 12 / 1000</f>
        <v/>
      </c>
      <c r="F119" s="306">
        <f>IF(A119&lt;$F$6,0,IF(AND($B$21=1,A119&gt;$B$19),0,$E$6*$G$6^MIN((A119-$F$6)/12,6)*MIN($G$6,0.85)^MAX(0,(A119-$F$6)/12-6)))</f>
        <v/>
      </c>
      <c r="G119" s="306">
        <f>IF(A119&lt;$F$7,0,IF(AND($B$21=1,A119&gt;$B$19),0,$E$7*$G$7^MIN((A119-$F$7)/12,6)*MIN($G$7,0.85)^MAX(0,(A119-$F$7)/12-6)))</f>
        <v/>
      </c>
      <c r="H119" s="306">
        <f>IF(A119&lt;$F$8,0,IF(AND($B$21=1,A119&gt;$B$19),0,$E$8*$G$8^MIN((A119-$F$8)/12,6)*MIN($G$8,0.85)^MAX(0,(A119-$F$8)/12-6)))</f>
        <v/>
      </c>
      <c r="I119" s="306">
        <f>IF(A119&lt;$F$9,0,IF(AND($B$21=1,A119&gt;$B$19),0,$E$9*$G$9^MIN((A119-$F$9)/12,6)*MIN($G$9,0.85)^MAX(0,(A119-$F$9)/12-6)))</f>
        <v/>
      </c>
      <c r="J119" s="306">
        <f>IF(A119&lt;$F$10,0,IF(AND($B$21=1,A119&gt;$B$19),0,$E$10*$G$10^MIN((A119-$F$10)/12,6)*MIN($G$10,0.85)^MAX(0,(A119-$F$10)/12-6)))</f>
        <v/>
      </c>
      <c r="K119" s="306">
        <f>IF(A119&lt;$F$11,0,IF(AND($B$21=1,A119&gt;$B$19),0,$E$11*$G$11^MIN((A119-$F$11)/12,6)*MIN($G$11,0.85)^MAX(0,(A119-$F$11)/12-6)))</f>
        <v/>
      </c>
      <c r="L119" s="306">
        <f>IF(A119&lt;$F$12,0,IF(AND($B$21=1,A119&gt;$B$19),0,$E$12*$G$12^MIN((A119-$F$12)/12,6)*MIN($G$12,0.85)^MAX(0,(A119-$F$12)/12-6)))</f>
        <v/>
      </c>
      <c r="M119" s="306">
        <f>IF(A119&lt;$F$13,0,IF(AND($B$21=1,A119&gt;$B$19),0,$E$13*$G$13^MIN((A119-$F$13)/12,6)*MIN($G$13,0.85)^MAX(0,(A119-$F$13)/12-6)))</f>
        <v/>
      </c>
      <c r="N119" s="306">
        <f>IF(A119&lt;$F$14,0,IF(AND($B$21=1,A119&gt;$B$19),0,$E$14*$G$14^MIN((A119-$F$14)/12,6)*MIN($G$14,0.85)^MAX(0,(A119-$F$14)/12-6)))</f>
        <v/>
      </c>
      <c r="O119" s="306">
        <f>SUM(F119:N119)</f>
        <v/>
      </c>
      <c r="P119" s="306">
        <f>O119/12</f>
        <v/>
      </c>
      <c r="Q119" s="306">
        <f>P119*$B$8</f>
        <v/>
      </c>
      <c r="R119" s="306">
        <f>P119*$B$9</f>
        <v/>
      </c>
      <c r="S119" s="306">
        <f>P119*$B$10</f>
        <v/>
      </c>
      <c r="T119" s="306">
        <f>P119-Q119-R119-S119-D119-E119</f>
        <v/>
      </c>
      <c r="U119" s="306">
        <f>MAX(0, T119 - $B$7*P119)</f>
        <v/>
      </c>
      <c r="V119" s="306">
        <f>T119-U119</f>
        <v/>
      </c>
      <c r="W119" s="306">
        <f>IF(A119=$F$6, $B$18*$B$16*$B$17/1000000, 0) + IF(A119=$F$7, $B$18*$B$16*$B$17/1000000, 0) + IF(A119=$F$8, $B$18*$B$16*$B$17/1000000, 0) + IF(A119=$F$9, $B$18*$B$16*$B$17/1000000, 0) + IF(A119=$F$10, $B$18*$B$16*$B$17/1000000, 0) + IF(A119=$F$11, $B$18*$B$16*$B$17/1000000, 0) + IF(A119=$F$12, $B$18*$B$16*$B$17/1000000, 0) + IF(A119=$F$13, $B$18*$B$16*$B$17/1000000, 0) + IF(A119=$F$14, $B$18*$B$16*$B$17/1000000, 0)</f>
        <v/>
      </c>
      <c r="X119" s="306">
        <f>V119-W119-C119</f>
        <v/>
      </c>
      <c r="Y119" s="306">
        <f>IF(AND(A119&lt;=$B$24, X119&gt;0), X119*$B$23, 0)</f>
        <v/>
      </c>
      <c r="Z119" s="306">
        <f>X119-Y119</f>
        <v/>
      </c>
      <c r="AA119" s="306">
        <f>IF(AND(A119=$B$19, $B$21=1), O119*$B$20, 0)</f>
        <v/>
      </c>
      <c r="AB119" s="306">
        <f>AB118+Z119+AA119</f>
        <v/>
      </c>
    </row>
    <row r="120">
      <c r="A120" s="306" t="n">
        <v>90</v>
      </c>
      <c r="B120" s="306">
        <f>CEILING(A120/12,1)</f>
        <v/>
      </c>
      <c r="C120" s="306">
        <f>IF(A120&lt;=12, $B$15/12, 0)</f>
        <v/>
      </c>
      <c r="D120" s="306">
        <f>INDEX('26. Team Comp'!$D$28:$R$28, B120) * 0.001 / 12</f>
        <v/>
      </c>
      <c r="E120" s="306">
        <f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+ (IF(MAX(0, A120 - $F$11 + 1)&lt;=0, 0, IF(MAX(0, A120 - $F$11 + 1)&lt;=6, 70 - (70-14)*(MAX(0, A120 - $F$11 + 1)-1)/5, IF(MAX(0, A120 - $F$11 + 1)&lt;=24, 14 - 14*(MAX(0, A120 - $F$11 + 1)-6)/18, 0)))) + (IF(MAX(0, A120 - $F$12 + 1)&lt;=0, 0, IF(MAX(0, A120 - $F$12 + 1)&lt;=6, 70 - (70-14)*(MAX(0, A120 - $F$12 + 1)-1)/5, IF(MAX(0, A120 - $F$12 + 1)&lt;=24, 14 - 14*(MAX(0, A120 - $F$12 + 1)-6)/18, 0)))) + (IF(MAX(0, A120 - $F$13 + 1)&lt;=0, 0, IF(MAX(0, A120 - $F$13 + 1)&lt;=6, 70 - (70-14)*(MAX(0, A120 - $F$13 + 1)-1)/5, IF(MAX(0, A120 - $F$13 + 1)&lt;=24, 14 - 14*(MAX(0, A120 - $F$13 + 1)-6)/18, 0)))) + (IF(MAX(0, A120 - $F$14 + 1)&lt;=0, 0, IF(MAX(0, A120 - $F$14 + 1)&lt;=6, 70 - (70-14)*(MAX(0, A120 - $F$14 + 1)-1)/5, IF(MAX(0, A120 - $F$14 + 1)&lt;=24, 14 - 14*(MAX(0, A120 - $F$14 + 1)-6)/18, 0)))) ) * 200 / 12 / 1000</f>
        <v/>
      </c>
      <c r="F120" s="306">
        <f>IF(A120&lt;$F$6,0,IF(AND($B$21=1,A120&gt;$B$19),0,$E$6*$G$6^MIN((A120-$F$6)/12,6)*MIN($G$6,0.85)^MAX(0,(A120-$F$6)/12-6)))</f>
        <v/>
      </c>
      <c r="G120" s="306">
        <f>IF(A120&lt;$F$7,0,IF(AND($B$21=1,A120&gt;$B$19),0,$E$7*$G$7^MIN((A120-$F$7)/12,6)*MIN($G$7,0.85)^MAX(0,(A120-$F$7)/12-6)))</f>
        <v/>
      </c>
      <c r="H120" s="306">
        <f>IF(A120&lt;$F$8,0,IF(AND($B$21=1,A120&gt;$B$19),0,$E$8*$G$8^MIN((A120-$F$8)/12,6)*MIN($G$8,0.85)^MAX(0,(A120-$F$8)/12-6)))</f>
        <v/>
      </c>
      <c r="I120" s="306">
        <f>IF(A120&lt;$F$9,0,IF(AND($B$21=1,A120&gt;$B$19),0,$E$9*$G$9^MIN((A120-$F$9)/12,6)*MIN($G$9,0.85)^MAX(0,(A120-$F$9)/12-6)))</f>
        <v/>
      </c>
      <c r="J120" s="306">
        <f>IF(A120&lt;$F$10,0,IF(AND($B$21=1,A120&gt;$B$19),0,$E$10*$G$10^MIN((A120-$F$10)/12,6)*MIN($G$10,0.85)^MAX(0,(A120-$F$10)/12-6)))</f>
        <v/>
      </c>
      <c r="K120" s="306">
        <f>IF(A120&lt;$F$11,0,IF(AND($B$21=1,A120&gt;$B$19),0,$E$11*$G$11^MIN((A120-$F$11)/12,6)*MIN($G$11,0.85)^MAX(0,(A120-$F$11)/12-6)))</f>
        <v/>
      </c>
      <c r="L120" s="306">
        <f>IF(A120&lt;$F$12,0,IF(AND($B$21=1,A120&gt;$B$19),0,$E$12*$G$12^MIN((A120-$F$12)/12,6)*MIN($G$12,0.85)^MAX(0,(A120-$F$12)/12-6)))</f>
        <v/>
      </c>
      <c r="M120" s="306">
        <f>IF(A120&lt;$F$13,0,IF(AND($B$21=1,A120&gt;$B$19),0,$E$13*$G$13^MIN((A120-$F$13)/12,6)*MIN($G$13,0.85)^MAX(0,(A120-$F$13)/12-6)))</f>
        <v/>
      </c>
      <c r="N120" s="306">
        <f>IF(A120&lt;$F$14,0,IF(AND($B$21=1,A120&gt;$B$19),0,$E$14*$G$14^MIN((A120-$F$14)/12,6)*MIN($G$14,0.85)^MAX(0,(A120-$F$14)/12-6)))</f>
        <v/>
      </c>
      <c r="O120" s="306">
        <f>SUM(F120:N120)</f>
        <v/>
      </c>
      <c r="P120" s="306">
        <f>O120/12</f>
        <v/>
      </c>
      <c r="Q120" s="306">
        <f>P120*$B$8</f>
        <v/>
      </c>
      <c r="R120" s="306">
        <f>P120*$B$9</f>
        <v/>
      </c>
      <c r="S120" s="306">
        <f>P120*$B$10</f>
        <v/>
      </c>
      <c r="T120" s="306">
        <f>P120-Q120-R120-S120-D120-E120</f>
        <v/>
      </c>
      <c r="U120" s="306">
        <f>MAX(0, T120 - $B$7*P120)</f>
        <v/>
      </c>
      <c r="V120" s="306">
        <f>T120-U120</f>
        <v/>
      </c>
      <c r="W120" s="306">
        <f>IF(A120=$F$6, $B$18*$B$16*$B$17/1000000, 0) + IF(A120=$F$7, $B$18*$B$16*$B$17/1000000, 0) + IF(A120=$F$8, $B$18*$B$16*$B$17/1000000, 0) + IF(A120=$F$9, $B$18*$B$16*$B$17/1000000, 0) + IF(A120=$F$10, $B$18*$B$16*$B$17/1000000, 0) + IF(A120=$F$11, $B$18*$B$16*$B$17/1000000, 0) + IF(A120=$F$12, $B$18*$B$16*$B$17/1000000, 0) + IF(A120=$F$13, $B$18*$B$16*$B$17/1000000, 0) + IF(A120=$F$14, $B$18*$B$16*$B$17/1000000, 0)</f>
        <v/>
      </c>
      <c r="X120" s="306">
        <f>V120-W120-C120</f>
        <v/>
      </c>
      <c r="Y120" s="306">
        <f>IF(AND(A120&lt;=$B$24, X120&gt;0), X120*$B$23, 0)</f>
        <v/>
      </c>
      <c r="Z120" s="306">
        <f>X120-Y120</f>
        <v/>
      </c>
      <c r="AA120" s="306">
        <f>IF(AND(A120=$B$19, $B$21=1), O120*$B$20, 0)</f>
        <v/>
      </c>
      <c r="AB120" s="306">
        <f>AB119+Z120+AA120</f>
        <v/>
      </c>
    </row>
    <row r="121">
      <c r="A121" s="306" t="n">
        <v>91</v>
      </c>
      <c r="B121" s="306">
        <f>CEILING(A121/12,1)</f>
        <v/>
      </c>
      <c r="C121" s="306">
        <f>IF(A121&lt;=12, $B$15/12, 0)</f>
        <v/>
      </c>
      <c r="D121" s="306">
        <f>INDEX('26. Team Comp'!$D$28:$R$28, B121) * 0.001 / 12</f>
        <v/>
      </c>
      <c r="E121" s="306">
        <f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+ (IF(MAX(0, A121 - $F$11 + 1)&lt;=0, 0, IF(MAX(0, A121 - $F$11 + 1)&lt;=6, 70 - (70-14)*(MAX(0, A121 - $F$11 + 1)-1)/5, IF(MAX(0, A121 - $F$11 + 1)&lt;=24, 14 - 14*(MAX(0, A121 - $F$11 + 1)-6)/18, 0)))) + (IF(MAX(0, A121 - $F$12 + 1)&lt;=0, 0, IF(MAX(0, A121 - $F$12 + 1)&lt;=6, 70 - (70-14)*(MAX(0, A121 - $F$12 + 1)-1)/5, IF(MAX(0, A121 - $F$12 + 1)&lt;=24, 14 - 14*(MAX(0, A121 - $F$12 + 1)-6)/18, 0)))) + (IF(MAX(0, A121 - $F$13 + 1)&lt;=0, 0, IF(MAX(0, A121 - $F$13 + 1)&lt;=6, 70 - (70-14)*(MAX(0, A121 - $F$13 + 1)-1)/5, IF(MAX(0, A121 - $F$13 + 1)&lt;=24, 14 - 14*(MAX(0, A121 - $F$13 + 1)-6)/18, 0)))) + (IF(MAX(0, A121 - $F$14 + 1)&lt;=0, 0, IF(MAX(0, A121 - $F$14 + 1)&lt;=6, 70 - (70-14)*(MAX(0, A121 - $F$14 + 1)-1)/5, IF(MAX(0, A121 - $F$14 + 1)&lt;=24, 14 - 14*(MAX(0, A121 - $F$14 + 1)-6)/18, 0)))) ) * 200 / 12 / 1000</f>
        <v/>
      </c>
      <c r="F121" s="306">
        <f>IF(A121&lt;$F$6,0,IF(AND($B$21=1,A121&gt;$B$19),0,$E$6*$G$6^MIN((A121-$F$6)/12,6)*MIN($G$6,0.85)^MAX(0,(A121-$F$6)/12-6)))</f>
        <v/>
      </c>
      <c r="G121" s="306">
        <f>IF(A121&lt;$F$7,0,IF(AND($B$21=1,A121&gt;$B$19),0,$E$7*$G$7^MIN((A121-$F$7)/12,6)*MIN($G$7,0.85)^MAX(0,(A121-$F$7)/12-6)))</f>
        <v/>
      </c>
      <c r="H121" s="306">
        <f>IF(A121&lt;$F$8,0,IF(AND($B$21=1,A121&gt;$B$19),0,$E$8*$G$8^MIN((A121-$F$8)/12,6)*MIN($G$8,0.85)^MAX(0,(A121-$F$8)/12-6)))</f>
        <v/>
      </c>
      <c r="I121" s="306">
        <f>IF(A121&lt;$F$9,0,IF(AND($B$21=1,A121&gt;$B$19),0,$E$9*$G$9^MIN((A121-$F$9)/12,6)*MIN($G$9,0.85)^MAX(0,(A121-$F$9)/12-6)))</f>
        <v/>
      </c>
      <c r="J121" s="306">
        <f>IF(A121&lt;$F$10,0,IF(AND($B$21=1,A121&gt;$B$19),0,$E$10*$G$10^MIN((A121-$F$10)/12,6)*MIN($G$10,0.85)^MAX(0,(A121-$F$10)/12-6)))</f>
        <v/>
      </c>
      <c r="K121" s="306">
        <f>IF(A121&lt;$F$11,0,IF(AND($B$21=1,A121&gt;$B$19),0,$E$11*$G$11^MIN((A121-$F$11)/12,6)*MIN($G$11,0.85)^MAX(0,(A121-$F$11)/12-6)))</f>
        <v/>
      </c>
      <c r="L121" s="306">
        <f>IF(A121&lt;$F$12,0,IF(AND($B$21=1,A121&gt;$B$19),0,$E$12*$G$12^MIN((A121-$F$12)/12,6)*MIN($G$12,0.85)^MAX(0,(A121-$F$12)/12-6)))</f>
        <v/>
      </c>
      <c r="M121" s="306">
        <f>IF(A121&lt;$F$13,0,IF(AND($B$21=1,A121&gt;$B$19),0,$E$13*$G$13^MIN((A121-$F$13)/12,6)*MIN($G$13,0.85)^MAX(0,(A121-$F$13)/12-6)))</f>
        <v/>
      </c>
      <c r="N121" s="306">
        <f>IF(A121&lt;$F$14,0,IF(AND($B$21=1,A121&gt;$B$19),0,$E$14*$G$14^MIN((A121-$F$14)/12,6)*MIN($G$14,0.85)^MAX(0,(A121-$F$14)/12-6)))</f>
        <v/>
      </c>
      <c r="O121" s="306">
        <f>SUM(F121:N121)</f>
        <v/>
      </c>
      <c r="P121" s="306">
        <f>O121/12</f>
        <v/>
      </c>
      <c r="Q121" s="306">
        <f>P121*$B$8</f>
        <v/>
      </c>
      <c r="R121" s="306">
        <f>P121*$B$9</f>
        <v/>
      </c>
      <c r="S121" s="306">
        <f>P121*$B$10</f>
        <v/>
      </c>
      <c r="T121" s="306">
        <f>P121-Q121-R121-S121-D121-E121</f>
        <v/>
      </c>
      <c r="U121" s="306">
        <f>MAX(0, T121 - $B$7*P121)</f>
        <v/>
      </c>
      <c r="V121" s="306">
        <f>T121-U121</f>
        <v/>
      </c>
      <c r="W121" s="306">
        <f>IF(A121=$F$6, $B$18*$B$16*$B$17/1000000, 0) + IF(A121=$F$7, $B$18*$B$16*$B$17/1000000, 0) + IF(A121=$F$8, $B$18*$B$16*$B$17/1000000, 0) + IF(A121=$F$9, $B$18*$B$16*$B$17/1000000, 0) + IF(A121=$F$10, $B$18*$B$16*$B$17/1000000, 0) + IF(A121=$F$11, $B$18*$B$16*$B$17/1000000, 0) + IF(A121=$F$12, $B$18*$B$16*$B$17/1000000, 0) + IF(A121=$F$13, $B$18*$B$16*$B$17/1000000, 0) + IF(A121=$F$14, $B$18*$B$16*$B$17/1000000, 0)</f>
        <v/>
      </c>
      <c r="X121" s="306">
        <f>V121-W121-C121</f>
        <v/>
      </c>
      <c r="Y121" s="306">
        <f>IF(AND(A121&lt;=$B$24, X121&gt;0), X121*$B$23, 0)</f>
        <v/>
      </c>
      <c r="Z121" s="306">
        <f>X121-Y121</f>
        <v/>
      </c>
      <c r="AA121" s="306">
        <f>IF(AND(A121=$B$19, $B$21=1), O121*$B$20, 0)</f>
        <v/>
      </c>
      <c r="AB121" s="306">
        <f>AB120+Z121+AA121</f>
        <v/>
      </c>
    </row>
    <row r="122">
      <c r="A122" s="306" t="n">
        <v>92</v>
      </c>
      <c r="B122" s="306">
        <f>CEILING(A122/12,1)</f>
        <v/>
      </c>
      <c r="C122" s="306">
        <f>IF(A122&lt;=12, $B$15/12, 0)</f>
        <v/>
      </c>
      <c r="D122" s="306">
        <f>INDEX('26. Team Comp'!$D$28:$R$28, B122) * 0.001 / 12</f>
        <v/>
      </c>
      <c r="E122" s="306">
        <f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+ (IF(MAX(0, A122 - $F$11 + 1)&lt;=0, 0, IF(MAX(0, A122 - $F$11 + 1)&lt;=6, 70 - (70-14)*(MAX(0, A122 - $F$11 + 1)-1)/5, IF(MAX(0, A122 - $F$11 + 1)&lt;=24, 14 - 14*(MAX(0, A122 - $F$11 + 1)-6)/18, 0)))) + (IF(MAX(0, A122 - $F$12 + 1)&lt;=0, 0, IF(MAX(0, A122 - $F$12 + 1)&lt;=6, 70 - (70-14)*(MAX(0, A122 - $F$12 + 1)-1)/5, IF(MAX(0, A122 - $F$12 + 1)&lt;=24, 14 - 14*(MAX(0, A122 - $F$12 + 1)-6)/18, 0)))) + (IF(MAX(0, A122 - $F$13 + 1)&lt;=0, 0, IF(MAX(0, A122 - $F$13 + 1)&lt;=6, 70 - (70-14)*(MAX(0, A122 - $F$13 + 1)-1)/5, IF(MAX(0, A122 - $F$13 + 1)&lt;=24, 14 - 14*(MAX(0, A122 - $F$13 + 1)-6)/18, 0)))) + (IF(MAX(0, A122 - $F$14 + 1)&lt;=0, 0, IF(MAX(0, A122 - $F$14 + 1)&lt;=6, 70 - (70-14)*(MAX(0, A122 - $F$14 + 1)-1)/5, IF(MAX(0, A122 - $F$14 + 1)&lt;=24, 14 - 14*(MAX(0, A122 - $F$14 + 1)-6)/18, 0)))) ) * 200 / 12 / 1000</f>
        <v/>
      </c>
      <c r="F122" s="306">
        <f>IF(A122&lt;$F$6,0,IF(AND($B$21=1,A122&gt;$B$19),0,$E$6*$G$6^MIN((A122-$F$6)/12,6)*MIN($G$6,0.85)^MAX(0,(A122-$F$6)/12-6)))</f>
        <v/>
      </c>
      <c r="G122" s="306">
        <f>IF(A122&lt;$F$7,0,IF(AND($B$21=1,A122&gt;$B$19),0,$E$7*$G$7^MIN((A122-$F$7)/12,6)*MIN($G$7,0.85)^MAX(0,(A122-$F$7)/12-6)))</f>
        <v/>
      </c>
      <c r="H122" s="306">
        <f>IF(A122&lt;$F$8,0,IF(AND($B$21=1,A122&gt;$B$19),0,$E$8*$G$8^MIN((A122-$F$8)/12,6)*MIN($G$8,0.85)^MAX(0,(A122-$F$8)/12-6)))</f>
        <v/>
      </c>
      <c r="I122" s="306">
        <f>IF(A122&lt;$F$9,0,IF(AND($B$21=1,A122&gt;$B$19),0,$E$9*$G$9^MIN((A122-$F$9)/12,6)*MIN($G$9,0.85)^MAX(0,(A122-$F$9)/12-6)))</f>
        <v/>
      </c>
      <c r="J122" s="306">
        <f>IF(A122&lt;$F$10,0,IF(AND($B$21=1,A122&gt;$B$19),0,$E$10*$G$10^MIN((A122-$F$10)/12,6)*MIN($G$10,0.85)^MAX(0,(A122-$F$10)/12-6)))</f>
        <v/>
      </c>
      <c r="K122" s="306">
        <f>IF(A122&lt;$F$11,0,IF(AND($B$21=1,A122&gt;$B$19),0,$E$11*$G$11^MIN((A122-$F$11)/12,6)*MIN($G$11,0.85)^MAX(0,(A122-$F$11)/12-6)))</f>
        <v/>
      </c>
      <c r="L122" s="306">
        <f>IF(A122&lt;$F$12,0,IF(AND($B$21=1,A122&gt;$B$19),0,$E$12*$G$12^MIN((A122-$F$12)/12,6)*MIN($G$12,0.85)^MAX(0,(A122-$F$12)/12-6)))</f>
        <v/>
      </c>
      <c r="M122" s="306">
        <f>IF(A122&lt;$F$13,0,IF(AND($B$21=1,A122&gt;$B$19),0,$E$13*$G$13^MIN((A122-$F$13)/12,6)*MIN($G$13,0.85)^MAX(0,(A122-$F$13)/12-6)))</f>
        <v/>
      </c>
      <c r="N122" s="306">
        <f>IF(A122&lt;$F$14,0,IF(AND($B$21=1,A122&gt;$B$19),0,$E$14*$G$14^MIN((A122-$F$14)/12,6)*MIN($G$14,0.85)^MAX(0,(A122-$F$14)/12-6)))</f>
        <v/>
      </c>
      <c r="O122" s="306">
        <f>SUM(F122:N122)</f>
        <v/>
      </c>
      <c r="P122" s="306">
        <f>O122/12</f>
        <v/>
      </c>
      <c r="Q122" s="306">
        <f>P122*$B$8</f>
        <v/>
      </c>
      <c r="R122" s="306">
        <f>P122*$B$9</f>
        <v/>
      </c>
      <c r="S122" s="306">
        <f>P122*$B$10</f>
        <v/>
      </c>
      <c r="T122" s="306">
        <f>P122-Q122-R122-S122-D122-E122</f>
        <v/>
      </c>
      <c r="U122" s="306">
        <f>MAX(0, T122 - $B$7*P122)</f>
        <v/>
      </c>
      <c r="V122" s="306">
        <f>T122-U122</f>
        <v/>
      </c>
      <c r="W122" s="306">
        <f>IF(A122=$F$6, $B$18*$B$16*$B$17/1000000, 0) + IF(A122=$F$7, $B$18*$B$16*$B$17/1000000, 0) + IF(A122=$F$8, $B$18*$B$16*$B$17/1000000, 0) + IF(A122=$F$9, $B$18*$B$16*$B$17/1000000, 0) + IF(A122=$F$10, $B$18*$B$16*$B$17/1000000, 0) + IF(A122=$F$11, $B$18*$B$16*$B$17/1000000, 0) + IF(A122=$F$12, $B$18*$B$16*$B$17/1000000, 0) + IF(A122=$F$13, $B$18*$B$16*$B$17/1000000, 0) + IF(A122=$F$14, $B$18*$B$16*$B$17/1000000, 0)</f>
        <v/>
      </c>
      <c r="X122" s="306">
        <f>V122-W122-C122</f>
        <v/>
      </c>
      <c r="Y122" s="306">
        <f>IF(AND(A122&lt;=$B$24, X122&gt;0), X122*$B$23, 0)</f>
        <v/>
      </c>
      <c r="Z122" s="306">
        <f>X122-Y122</f>
        <v/>
      </c>
      <c r="AA122" s="306">
        <f>IF(AND(A122=$B$19, $B$21=1), O122*$B$20, 0)</f>
        <v/>
      </c>
      <c r="AB122" s="306">
        <f>AB121+Z122+AA122</f>
        <v/>
      </c>
    </row>
    <row r="123">
      <c r="A123" s="306" t="n">
        <v>93</v>
      </c>
      <c r="B123" s="306">
        <f>CEILING(A123/12,1)</f>
        <v/>
      </c>
      <c r="C123" s="306">
        <f>IF(A123&lt;=12, $B$15/12, 0)</f>
        <v/>
      </c>
      <c r="D123" s="306">
        <f>INDEX('26. Team Comp'!$D$28:$R$28, B123) * 0.001 / 12</f>
        <v/>
      </c>
      <c r="E123" s="306">
        <f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+ (IF(MAX(0, A123 - $F$11 + 1)&lt;=0, 0, IF(MAX(0, A123 - $F$11 + 1)&lt;=6, 70 - (70-14)*(MAX(0, A123 - $F$11 + 1)-1)/5, IF(MAX(0, A123 - $F$11 + 1)&lt;=24, 14 - 14*(MAX(0, A123 - $F$11 + 1)-6)/18, 0)))) + (IF(MAX(0, A123 - $F$12 + 1)&lt;=0, 0, IF(MAX(0, A123 - $F$12 + 1)&lt;=6, 70 - (70-14)*(MAX(0, A123 - $F$12 + 1)-1)/5, IF(MAX(0, A123 - $F$12 + 1)&lt;=24, 14 - 14*(MAX(0, A123 - $F$12 + 1)-6)/18, 0)))) + (IF(MAX(0, A123 - $F$13 + 1)&lt;=0, 0, IF(MAX(0, A123 - $F$13 + 1)&lt;=6, 70 - (70-14)*(MAX(0, A123 - $F$13 + 1)-1)/5, IF(MAX(0, A123 - $F$13 + 1)&lt;=24, 14 - 14*(MAX(0, A123 - $F$13 + 1)-6)/18, 0)))) + (IF(MAX(0, A123 - $F$14 + 1)&lt;=0, 0, IF(MAX(0, A123 - $F$14 + 1)&lt;=6, 70 - (70-14)*(MAX(0, A123 - $F$14 + 1)-1)/5, IF(MAX(0, A123 - $F$14 + 1)&lt;=24, 14 - 14*(MAX(0, A123 - $F$14 + 1)-6)/18, 0)))) ) * 200 / 12 / 1000</f>
        <v/>
      </c>
      <c r="F123" s="306">
        <f>IF(A123&lt;$F$6,0,IF(AND($B$21=1,A123&gt;$B$19),0,$E$6*$G$6^MIN((A123-$F$6)/12,6)*MIN($G$6,0.85)^MAX(0,(A123-$F$6)/12-6)))</f>
        <v/>
      </c>
      <c r="G123" s="306">
        <f>IF(A123&lt;$F$7,0,IF(AND($B$21=1,A123&gt;$B$19),0,$E$7*$G$7^MIN((A123-$F$7)/12,6)*MIN($G$7,0.85)^MAX(0,(A123-$F$7)/12-6)))</f>
        <v/>
      </c>
      <c r="H123" s="306">
        <f>IF(A123&lt;$F$8,0,IF(AND($B$21=1,A123&gt;$B$19),0,$E$8*$G$8^MIN((A123-$F$8)/12,6)*MIN($G$8,0.85)^MAX(0,(A123-$F$8)/12-6)))</f>
        <v/>
      </c>
      <c r="I123" s="306">
        <f>IF(A123&lt;$F$9,0,IF(AND($B$21=1,A123&gt;$B$19),0,$E$9*$G$9^MIN((A123-$F$9)/12,6)*MIN($G$9,0.85)^MAX(0,(A123-$F$9)/12-6)))</f>
        <v/>
      </c>
      <c r="J123" s="306">
        <f>IF(A123&lt;$F$10,0,IF(AND($B$21=1,A123&gt;$B$19),0,$E$10*$G$10^MIN((A123-$F$10)/12,6)*MIN($G$10,0.85)^MAX(0,(A123-$F$10)/12-6)))</f>
        <v/>
      </c>
      <c r="K123" s="306">
        <f>IF(A123&lt;$F$11,0,IF(AND($B$21=1,A123&gt;$B$19),0,$E$11*$G$11^MIN((A123-$F$11)/12,6)*MIN($G$11,0.85)^MAX(0,(A123-$F$11)/12-6)))</f>
        <v/>
      </c>
      <c r="L123" s="306">
        <f>IF(A123&lt;$F$12,0,IF(AND($B$21=1,A123&gt;$B$19),0,$E$12*$G$12^MIN((A123-$F$12)/12,6)*MIN($G$12,0.85)^MAX(0,(A123-$F$12)/12-6)))</f>
        <v/>
      </c>
      <c r="M123" s="306">
        <f>IF(A123&lt;$F$13,0,IF(AND($B$21=1,A123&gt;$B$19),0,$E$13*$G$13^MIN((A123-$F$13)/12,6)*MIN($G$13,0.85)^MAX(0,(A123-$F$13)/12-6)))</f>
        <v/>
      </c>
      <c r="N123" s="306">
        <f>IF(A123&lt;$F$14,0,IF(AND($B$21=1,A123&gt;$B$19),0,$E$14*$G$14^MIN((A123-$F$14)/12,6)*MIN($G$14,0.85)^MAX(0,(A123-$F$14)/12-6)))</f>
        <v/>
      </c>
      <c r="O123" s="306">
        <f>SUM(F123:N123)</f>
        <v/>
      </c>
      <c r="P123" s="306">
        <f>O123/12</f>
        <v/>
      </c>
      <c r="Q123" s="306">
        <f>P123*$B$8</f>
        <v/>
      </c>
      <c r="R123" s="306">
        <f>P123*$B$9</f>
        <v/>
      </c>
      <c r="S123" s="306">
        <f>P123*$B$10</f>
        <v/>
      </c>
      <c r="T123" s="306">
        <f>P123-Q123-R123-S123-D123-E123</f>
        <v/>
      </c>
      <c r="U123" s="306">
        <f>MAX(0, T123 - $B$7*P123)</f>
        <v/>
      </c>
      <c r="V123" s="306">
        <f>T123-U123</f>
        <v/>
      </c>
      <c r="W123" s="306">
        <f>IF(A123=$F$6, $B$18*$B$16*$B$17/1000000, 0) + IF(A123=$F$7, $B$18*$B$16*$B$17/1000000, 0) + IF(A123=$F$8, $B$18*$B$16*$B$17/1000000, 0) + IF(A123=$F$9, $B$18*$B$16*$B$17/1000000, 0) + IF(A123=$F$10, $B$18*$B$16*$B$17/1000000, 0) + IF(A123=$F$11, $B$18*$B$16*$B$17/1000000, 0) + IF(A123=$F$12, $B$18*$B$16*$B$17/1000000, 0) + IF(A123=$F$13, $B$18*$B$16*$B$17/1000000, 0) + IF(A123=$F$14, $B$18*$B$16*$B$17/1000000, 0)</f>
        <v/>
      </c>
      <c r="X123" s="306">
        <f>V123-W123-C123</f>
        <v/>
      </c>
      <c r="Y123" s="306">
        <f>IF(AND(A123&lt;=$B$24, X123&gt;0), X123*$B$23, 0)</f>
        <v/>
      </c>
      <c r="Z123" s="306">
        <f>X123-Y123</f>
        <v/>
      </c>
      <c r="AA123" s="306">
        <f>IF(AND(A123=$B$19, $B$21=1), O123*$B$20, 0)</f>
        <v/>
      </c>
      <c r="AB123" s="306">
        <f>AB122+Z123+AA123</f>
        <v/>
      </c>
    </row>
    <row r="124">
      <c r="A124" s="306" t="n">
        <v>94</v>
      </c>
      <c r="B124" s="306">
        <f>CEILING(A124/12,1)</f>
        <v/>
      </c>
      <c r="C124" s="306">
        <f>IF(A124&lt;=12, $B$15/12, 0)</f>
        <v/>
      </c>
      <c r="D124" s="306">
        <f>INDEX('26. Team Comp'!$D$28:$R$28, B124) * 0.001 / 12</f>
        <v/>
      </c>
      <c r="E124" s="306">
        <f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+ (IF(MAX(0, A124 - $F$11 + 1)&lt;=0, 0, IF(MAX(0, A124 - $F$11 + 1)&lt;=6, 70 - (70-14)*(MAX(0, A124 - $F$11 + 1)-1)/5, IF(MAX(0, A124 - $F$11 + 1)&lt;=24, 14 - 14*(MAX(0, A124 - $F$11 + 1)-6)/18, 0)))) + (IF(MAX(0, A124 - $F$12 + 1)&lt;=0, 0, IF(MAX(0, A124 - $F$12 + 1)&lt;=6, 70 - (70-14)*(MAX(0, A124 - $F$12 + 1)-1)/5, IF(MAX(0, A124 - $F$12 + 1)&lt;=24, 14 - 14*(MAX(0, A124 - $F$12 + 1)-6)/18, 0)))) + (IF(MAX(0, A124 - $F$13 + 1)&lt;=0, 0, IF(MAX(0, A124 - $F$13 + 1)&lt;=6, 70 - (70-14)*(MAX(0, A124 - $F$13 + 1)-1)/5, IF(MAX(0, A124 - $F$13 + 1)&lt;=24, 14 - 14*(MAX(0, A124 - $F$13 + 1)-6)/18, 0)))) + (IF(MAX(0, A124 - $F$14 + 1)&lt;=0, 0, IF(MAX(0, A124 - $F$14 + 1)&lt;=6, 70 - (70-14)*(MAX(0, A124 - $F$14 + 1)-1)/5, IF(MAX(0, A124 - $F$14 + 1)&lt;=24, 14 - 14*(MAX(0, A124 - $F$14 + 1)-6)/18, 0)))) ) * 200 / 12 / 1000</f>
        <v/>
      </c>
      <c r="F124" s="306">
        <f>IF(A124&lt;$F$6,0,IF(AND($B$21=1,A124&gt;$B$19),0,$E$6*$G$6^MIN((A124-$F$6)/12,6)*MIN($G$6,0.85)^MAX(0,(A124-$F$6)/12-6)))</f>
        <v/>
      </c>
      <c r="G124" s="306">
        <f>IF(A124&lt;$F$7,0,IF(AND($B$21=1,A124&gt;$B$19),0,$E$7*$G$7^MIN((A124-$F$7)/12,6)*MIN($G$7,0.85)^MAX(0,(A124-$F$7)/12-6)))</f>
        <v/>
      </c>
      <c r="H124" s="306">
        <f>IF(A124&lt;$F$8,0,IF(AND($B$21=1,A124&gt;$B$19),0,$E$8*$G$8^MIN((A124-$F$8)/12,6)*MIN($G$8,0.85)^MAX(0,(A124-$F$8)/12-6)))</f>
        <v/>
      </c>
      <c r="I124" s="306">
        <f>IF(A124&lt;$F$9,0,IF(AND($B$21=1,A124&gt;$B$19),0,$E$9*$G$9^MIN((A124-$F$9)/12,6)*MIN($G$9,0.85)^MAX(0,(A124-$F$9)/12-6)))</f>
        <v/>
      </c>
      <c r="J124" s="306">
        <f>IF(A124&lt;$F$10,0,IF(AND($B$21=1,A124&gt;$B$19),0,$E$10*$G$10^MIN((A124-$F$10)/12,6)*MIN($G$10,0.85)^MAX(0,(A124-$F$10)/12-6)))</f>
        <v/>
      </c>
      <c r="K124" s="306">
        <f>IF(A124&lt;$F$11,0,IF(AND($B$21=1,A124&gt;$B$19),0,$E$11*$G$11^MIN((A124-$F$11)/12,6)*MIN($G$11,0.85)^MAX(0,(A124-$F$11)/12-6)))</f>
        <v/>
      </c>
      <c r="L124" s="306">
        <f>IF(A124&lt;$F$12,0,IF(AND($B$21=1,A124&gt;$B$19),0,$E$12*$G$12^MIN((A124-$F$12)/12,6)*MIN($G$12,0.85)^MAX(0,(A124-$F$12)/12-6)))</f>
        <v/>
      </c>
      <c r="M124" s="306">
        <f>IF(A124&lt;$F$13,0,IF(AND($B$21=1,A124&gt;$B$19),0,$E$13*$G$13^MIN((A124-$F$13)/12,6)*MIN($G$13,0.85)^MAX(0,(A124-$F$13)/12-6)))</f>
        <v/>
      </c>
      <c r="N124" s="306">
        <f>IF(A124&lt;$F$14,0,IF(AND($B$21=1,A124&gt;$B$19),0,$E$14*$G$14^MIN((A124-$F$14)/12,6)*MIN($G$14,0.85)^MAX(0,(A124-$F$14)/12-6)))</f>
        <v/>
      </c>
      <c r="O124" s="306">
        <f>SUM(F124:N124)</f>
        <v/>
      </c>
      <c r="P124" s="306">
        <f>O124/12</f>
        <v/>
      </c>
      <c r="Q124" s="306">
        <f>P124*$B$8</f>
        <v/>
      </c>
      <c r="R124" s="306">
        <f>P124*$B$9</f>
        <v/>
      </c>
      <c r="S124" s="306">
        <f>P124*$B$10</f>
        <v/>
      </c>
      <c r="T124" s="306">
        <f>P124-Q124-R124-S124-D124-E124</f>
        <v/>
      </c>
      <c r="U124" s="306">
        <f>MAX(0, T124 - $B$7*P124)</f>
        <v/>
      </c>
      <c r="V124" s="306">
        <f>T124-U124</f>
        <v/>
      </c>
      <c r="W124" s="306">
        <f>IF(A124=$F$6, $B$18*$B$16*$B$17/1000000, 0) + IF(A124=$F$7, $B$18*$B$16*$B$17/1000000, 0) + IF(A124=$F$8, $B$18*$B$16*$B$17/1000000, 0) + IF(A124=$F$9, $B$18*$B$16*$B$17/1000000, 0) + IF(A124=$F$10, $B$18*$B$16*$B$17/1000000, 0) + IF(A124=$F$11, $B$18*$B$16*$B$17/1000000, 0) + IF(A124=$F$12, $B$18*$B$16*$B$17/1000000, 0) + IF(A124=$F$13, $B$18*$B$16*$B$17/1000000, 0) + IF(A124=$F$14, $B$18*$B$16*$B$17/1000000, 0)</f>
        <v/>
      </c>
      <c r="X124" s="306">
        <f>V124-W124-C124</f>
        <v/>
      </c>
      <c r="Y124" s="306">
        <f>IF(AND(A124&lt;=$B$24, X124&gt;0), X124*$B$23, 0)</f>
        <v/>
      </c>
      <c r="Z124" s="306">
        <f>X124-Y124</f>
        <v/>
      </c>
      <c r="AA124" s="306">
        <f>IF(AND(A124=$B$19, $B$21=1), O124*$B$20, 0)</f>
        <v/>
      </c>
      <c r="AB124" s="306">
        <f>AB123+Z124+AA124</f>
        <v/>
      </c>
    </row>
    <row r="125">
      <c r="A125" s="306" t="n">
        <v>95</v>
      </c>
      <c r="B125" s="306">
        <f>CEILING(A125/12,1)</f>
        <v/>
      </c>
      <c r="C125" s="306">
        <f>IF(A125&lt;=12, $B$15/12, 0)</f>
        <v/>
      </c>
      <c r="D125" s="306">
        <f>INDEX('26. Team Comp'!$D$28:$R$28, B125) * 0.001 / 12</f>
        <v/>
      </c>
      <c r="E125" s="306">
        <f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+ (IF(MAX(0, A125 - $F$11 + 1)&lt;=0, 0, IF(MAX(0, A125 - $F$11 + 1)&lt;=6, 70 - (70-14)*(MAX(0, A125 - $F$11 + 1)-1)/5, IF(MAX(0, A125 - $F$11 + 1)&lt;=24, 14 - 14*(MAX(0, A125 - $F$11 + 1)-6)/18, 0)))) + (IF(MAX(0, A125 - $F$12 + 1)&lt;=0, 0, IF(MAX(0, A125 - $F$12 + 1)&lt;=6, 70 - (70-14)*(MAX(0, A125 - $F$12 + 1)-1)/5, IF(MAX(0, A125 - $F$12 + 1)&lt;=24, 14 - 14*(MAX(0, A125 - $F$12 + 1)-6)/18, 0)))) + (IF(MAX(0, A125 - $F$13 + 1)&lt;=0, 0, IF(MAX(0, A125 - $F$13 + 1)&lt;=6, 70 - (70-14)*(MAX(0, A125 - $F$13 + 1)-1)/5, IF(MAX(0, A125 - $F$13 + 1)&lt;=24, 14 - 14*(MAX(0, A125 - $F$13 + 1)-6)/18, 0)))) + (IF(MAX(0, A125 - $F$14 + 1)&lt;=0, 0, IF(MAX(0, A125 - $F$14 + 1)&lt;=6, 70 - (70-14)*(MAX(0, A125 - $F$14 + 1)-1)/5, IF(MAX(0, A125 - $F$14 + 1)&lt;=24, 14 - 14*(MAX(0, A125 - $F$14 + 1)-6)/18, 0)))) ) * 200 / 12 / 1000</f>
        <v/>
      </c>
      <c r="F125" s="306">
        <f>IF(A125&lt;$F$6,0,IF(AND($B$21=1,A125&gt;$B$19),0,$E$6*$G$6^MIN((A125-$F$6)/12,6)*MIN($G$6,0.85)^MAX(0,(A125-$F$6)/12-6)))</f>
        <v/>
      </c>
      <c r="G125" s="306">
        <f>IF(A125&lt;$F$7,0,IF(AND($B$21=1,A125&gt;$B$19),0,$E$7*$G$7^MIN((A125-$F$7)/12,6)*MIN($G$7,0.85)^MAX(0,(A125-$F$7)/12-6)))</f>
        <v/>
      </c>
      <c r="H125" s="306">
        <f>IF(A125&lt;$F$8,0,IF(AND($B$21=1,A125&gt;$B$19),0,$E$8*$G$8^MIN((A125-$F$8)/12,6)*MIN($G$8,0.85)^MAX(0,(A125-$F$8)/12-6)))</f>
        <v/>
      </c>
      <c r="I125" s="306">
        <f>IF(A125&lt;$F$9,0,IF(AND($B$21=1,A125&gt;$B$19),0,$E$9*$G$9^MIN((A125-$F$9)/12,6)*MIN($G$9,0.85)^MAX(0,(A125-$F$9)/12-6)))</f>
        <v/>
      </c>
      <c r="J125" s="306">
        <f>IF(A125&lt;$F$10,0,IF(AND($B$21=1,A125&gt;$B$19),0,$E$10*$G$10^MIN((A125-$F$10)/12,6)*MIN($G$10,0.85)^MAX(0,(A125-$F$10)/12-6)))</f>
        <v/>
      </c>
      <c r="K125" s="306">
        <f>IF(A125&lt;$F$11,0,IF(AND($B$21=1,A125&gt;$B$19),0,$E$11*$G$11^MIN((A125-$F$11)/12,6)*MIN($G$11,0.85)^MAX(0,(A125-$F$11)/12-6)))</f>
        <v/>
      </c>
      <c r="L125" s="306">
        <f>IF(A125&lt;$F$12,0,IF(AND($B$21=1,A125&gt;$B$19),0,$E$12*$G$12^MIN((A125-$F$12)/12,6)*MIN($G$12,0.85)^MAX(0,(A125-$F$12)/12-6)))</f>
        <v/>
      </c>
      <c r="M125" s="306">
        <f>IF(A125&lt;$F$13,0,IF(AND($B$21=1,A125&gt;$B$19),0,$E$13*$G$13^MIN((A125-$F$13)/12,6)*MIN($G$13,0.85)^MAX(0,(A125-$F$13)/12-6)))</f>
        <v/>
      </c>
      <c r="N125" s="306">
        <f>IF(A125&lt;$F$14,0,IF(AND($B$21=1,A125&gt;$B$19),0,$E$14*$G$14^MIN((A125-$F$14)/12,6)*MIN($G$14,0.85)^MAX(0,(A125-$F$14)/12-6)))</f>
        <v/>
      </c>
      <c r="O125" s="306">
        <f>SUM(F125:N125)</f>
        <v/>
      </c>
      <c r="P125" s="306">
        <f>O125/12</f>
        <v/>
      </c>
      <c r="Q125" s="306">
        <f>P125*$B$8</f>
        <v/>
      </c>
      <c r="R125" s="306">
        <f>P125*$B$9</f>
        <v/>
      </c>
      <c r="S125" s="306">
        <f>P125*$B$10</f>
        <v/>
      </c>
      <c r="T125" s="306">
        <f>P125-Q125-R125-S125-D125-E125</f>
        <v/>
      </c>
      <c r="U125" s="306">
        <f>MAX(0, T125 - $B$7*P125)</f>
        <v/>
      </c>
      <c r="V125" s="306">
        <f>T125-U125</f>
        <v/>
      </c>
      <c r="W125" s="306">
        <f>IF(A125=$F$6, $B$18*$B$16*$B$17/1000000, 0) + IF(A125=$F$7, $B$18*$B$16*$B$17/1000000, 0) + IF(A125=$F$8, $B$18*$B$16*$B$17/1000000, 0) + IF(A125=$F$9, $B$18*$B$16*$B$17/1000000, 0) + IF(A125=$F$10, $B$18*$B$16*$B$17/1000000, 0) + IF(A125=$F$11, $B$18*$B$16*$B$17/1000000, 0) + IF(A125=$F$12, $B$18*$B$16*$B$17/1000000, 0) + IF(A125=$F$13, $B$18*$B$16*$B$17/1000000, 0) + IF(A125=$F$14, $B$18*$B$16*$B$17/1000000, 0)</f>
        <v/>
      </c>
      <c r="X125" s="306">
        <f>V125-W125-C125</f>
        <v/>
      </c>
      <c r="Y125" s="306">
        <f>IF(AND(A125&lt;=$B$24, X125&gt;0), X125*$B$23, 0)</f>
        <v/>
      </c>
      <c r="Z125" s="306">
        <f>X125-Y125</f>
        <v/>
      </c>
      <c r="AA125" s="306">
        <f>IF(AND(A125=$B$19, $B$21=1), O125*$B$20, 0)</f>
        <v/>
      </c>
      <c r="AB125" s="306">
        <f>AB124+Z125+AA125</f>
        <v/>
      </c>
    </row>
    <row r="126">
      <c r="A126" s="306" t="n">
        <v>96</v>
      </c>
      <c r="B126" s="306">
        <f>CEILING(A126/12,1)</f>
        <v/>
      </c>
      <c r="C126" s="306">
        <f>IF(A126&lt;=12, $B$15/12, 0)</f>
        <v/>
      </c>
      <c r="D126" s="306">
        <f>INDEX('26. Team Comp'!$D$28:$R$28, B126) * 0.001 / 12</f>
        <v/>
      </c>
      <c r="E126" s="306">
        <f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+ (IF(MAX(0, A126 - $F$11 + 1)&lt;=0, 0, IF(MAX(0, A126 - $F$11 + 1)&lt;=6, 70 - (70-14)*(MAX(0, A126 - $F$11 + 1)-1)/5, IF(MAX(0, A126 - $F$11 + 1)&lt;=24, 14 - 14*(MAX(0, A126 - $F$11 + 1)-6)/18, 0)))) + (IF(MAX(0, A126 - $F$12 + 1)&lt;=0, 0, IF(MAX(0, A126 - $F$12 + 1)&lt;=6, 70 - (70-14)*(MAX(0, A126 - $F$12 + 1)-1)/5, IF(MAX(0, A126 - $F$12 + 1)&lt;=24, 14 - 14*(MAX(0, A126 - $F$12 + 1)-6)/18, 0)))) + (IF(MAX(0, A126 - $F$13 + 1)&lt;=0, 0, IF(MAX(0, A126 - $F$13 + 1)&lt;=6, 70 - (70-14)*(MAX(0, A126 - $F$13 + 1)-1)/5, IF(MAX(0, A126 - $F$13 + 1)&lt;=24, 14 - 14*(MAX(0, A126 - $F$13 + 1)-6)/18, 0)))) + (IF(MAX(0, A126 - $F$14 + 1)&lt;=0, 0, IF(MAX(0, A126 - $F$14 + 1)&lt;=6, 70 - (70-14)*(MAX(0, A126 - $F$14 + 1)-1)/5, IF(MAX(0, A126 - $F$14 + 1)&lt;=24, 14 - 14*(MAX(0, A126 - $F$14 + 1)-6)/18, 0)))) ) * 200 / 12 / 1000</f>
        <v/>
      </c>
      <c r="F126" s="306">
        <f>IF(A126&lt;$F$6,0,IF(AND($B$21=1,A126&gt;$B$19),0,$E$6*$G$6^MIN((A126-$F$6)/12,6)*MIN($G$6,0.85)^MAX(0,(A126-$F$6)/12-6)))</f>
        <v/>
      </c>
      <c r="G126" s="306">
        <f>IF(A126&lt;$F$7,0,IF(AND($B$21=1,A126&gt;$B$19),0,$E$7*$G$7^MIN((A126-$F$7)/12,6)*MIN($G$7,0.85)^MAX(0,(A126-$F$7)/12-6)))</f>
        <v/>
      </c>
      <c r="H126" s="306">
        <f>IF(A126&lt;$F$8,0,IF(AND($B$21=1,A126&gt;$B$19),0,$E$8*$G$8^MIN((A126-$F$8)/12,6)*MIN($G$8,0.85)^MAX(0,(A126-$F$8)/12-6)))</f>
        <v/>
      </c>
      <c r="I126" s="306">
        <f>IF(A126&lt;$F$9,0,IF(AND($B$21=1,A126&gt;$B$19),0,$E$9*$G$9^MIN((A126-$F$9)/12,6)*MIN($G$9,0.85)^MAX(0,(A126-$F$9)/12-6)))</f>
        <v/>
      </c>
      <c r="J126" s="306">
        <f>IF(A126&lt;$F$10,0,IF(AND($B$21=1,A126&gt;$B$19),0,$E$10*$G$10^MIN((A126-$F$10)/12,6)*MIN($G$10,0.85)^MAX(0,(A126-$F$10)/12-6)))</f>
        <v/>
      </c>
      <c r="K126" s="306">
        <f>IF(A126&lt;$F$11,0,IF(AND($B$21=1,A126&gt;$B$19),0,$E$11*$G$11^MIN((A126-$F$11)/12,6)*MIN($G$11,0.85)^MAX(0,(A126-$F$11)/12-6)))</f>
        <v/>
      </c>
      <c r="L126" s="306">
        <f>IF(A126&lt;$F$12,0,IF(AND($B$21=1,A126&gt;$B$19),0,$E$12*$G$12^MIN((A126-$F$12)/12,6)*MIN($G$12,0.85)^MAX(0,(A126-$F$12)/12-6)))</f>
        <v/>
      </c>
      <c r="M126" s="306">
        <f>IF(A126&lt;$F$13,0,IF(AND($B$21=1,A126&gt;$B$19),0,$E$13*$G$13^MIN((A126-$F$13)/12,6)*MIN($G$13,0.85)^MAX(0,(A126-$F$13)/12-6)))</f>
        <v/>
      </c>
      <c r="N126" s="306">
        <f>IF(A126&lt;$F$14,0,IF(AND($B$21=1,A126&gt;$B$19),0,$E$14*$G$14^MIN((A126-$F$14)/12,6)*MIN($G$14,0.85)^MAX(0,(A126-$F$14)/12-6)))</f>
        <v/>
      </c>
      <c r="O126" s="306">
        <f>SUM(F126:N126)</f>
        <v/>
      </c>
      <c r="P126" s="306">
        <f>O126/12</f>
        <v/>
      </c>
      <c r="Q126" s="306">
        <f>P126*$B$8</f>
        <v/>
      </c>
      <c r="R126" s="306">
        <f>P126*$B$9</f>
        <v/>
      </c>
      <c r="S126" s="306">
        <f>P126*$B$10</f>
        <v/>
      </c>
      <c r="T126" s="306">
        <f>P126-Q126-R126-S126-D126-E126</f>
        <v/>
      </c>
      <c r="U126" s="306">
        <f>MAX(0, T126 - $B$7*P126)</f>
        <v/>
      </c>
      <c r="V126" s="306">
        <f>T126-U126</f>
        <v/>
      </c>
      <c r="W126" s="306">
        <f>IF(A126=$F$6, $B$18*$B$16*$B$17/1000000, 0) + IF(A126=$F$7, $B$18*$B$16*$B$17/1000000, 0) + IF(A126=$F$8, $B$18*$B$16*$B$17/1000000, 0) + IF(A126=$F$9, $B$18*$B$16*$B$17/1000000, 0) + IF(A126=$F$10, $B$18*$B$16*$B$17/1000000, 0) + IF(A126=$F$11, $B$18*$B$16*$B$17/1000000, 0) + IF(A126=$F$12, $B$18*$B$16*$B$17/1000000, 0) + IF(A126=$F$13, $B$18*$B$16*$B$17/1000000, 0) + IF(A126=$F$14, $B$18*$B$16*$B$17/1000000, 0)</f>
        <v/>
      </c>
      <c r="X126" s="306">
        <f>V126-W126-C126</f>
        <v/>
      </c>
      <c r="Y126" s="306">
        <f>IF(AND(A126&lt;=$B$24, X126&gt;0), X126*$B$23, 0)</f>
        <v/>
      </c>
      <c r="Z126" s="306">
        <f>X126-Y126</f>
        <v/>
      </c>
      <c r="AA126" s="306">
        <f>IF(AND(A126=$B$19, $B$21=1), O126*$B$20, 0)</f>
        <v/>
      </c>
      <c r="AB126" s="306">
        <f>AB125+Z126+AA126</f>
        <v/>
      </c>
    </row>
    <row r="127">
      <c r="A127" s="306" t="n">
        <v>97</v>
      </c>
      <c r="B127" s="306">
        <f>CEILING(A127/12,1)</f>
        <v/>
      </c>
      <c r="C127" s="306">
        <f>IF(A127&lt;=12, $B$15/12, 0)</f>
        <v/>
      </c>
      <c r="D127" s="306">
        <f>INDEX('26. Team Comp'!$D$28:$R$28, B127) * 0.001 / 12</f>
        <v/>
      </c>
      <c r="E127" s="306">
        <f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+ (IF(MAX(0, A127 - $F$11 + 1)&lt;=0, 0, IF(MAX(0, A127 - $F$11 + 1)&lt;=6, 70 - (70-14)*(MAX(0, A127 - $F$11 + 1)-1)/5, IF(MAX(0, A127 - $F$11 + 1)&lt;=24, 14 - 14*(MAX(0, A127 - $F$11 + 1)-6)/18, 0)))) + (IF(MAX(0, A127 - $F$12 + 1)&lt;=0, 0, IF(MAX(0, A127 - $F$12 + 1)&lt;=6, 70 - (70-14)*(MAX(0, A127 - $F$12 + 1)-1)/5, IF(MAX(0, A127 - $F$12 + 1)&lt;=24, 14 - 14*(MAX(0, A127 - $F$12 + 1)-6)/18, 0)))) + (IF(MAX(0, A127 - $F$13 + 1)&lt;=0, 0, IF(MAX(0, A127 - $F$13 + 1)&lt;=6, 70 - (70-14)*(MAX(0, A127 - $F$13 + 1)-1)/5, IF(MAX(0, A127 - $F$13 + 1)&lt;=24, 14 - 14*(MAX(0, A127 - $F$13 + 1)-6)/18, 0)))) + (IF(MAX(0, A127 - $F$14 + 1)&lt;=0, 0, IF(MAX(0, A127 - $F$14 + 1)&lt;=6, 70 - (70-14)*(MAX(0, A127 - $F$14 + 1)-1)/5, IF(MAX(0, A127 - $F$14 + 1)&lt;=24, 14 - 14*(MAX(0, A127 - $F$14 + 1)-6)/18, 0)))) ) * 200 / 12 / 1000</f>
        <v/>
      </c>
      <c r="F127" s="306">
        <f>IF(A127&lt;$F$6,0,IF(AND($B$21=1,A127&gt;$B$19),0,$E$6*$G$6^MIN((A127-$F$6)/12,6)*MIN($G$6,0.85)^MAX(0,(A127-$F$6)/12-6)))</f>
        <v/>
      </c>
      <c r="G127" s="306">
        <f>IF(A127&lt;$F$7,0,IF(AND($B$21=1,A127&gt;$B$19),0,$E$7*$G$7^MIN((A127-$F$7)/12,6)*MIN($G$7,0.85)^MAX(0,(A127-$F$7)/12-6)))</f>
        <v/>
      </c>
      <c r="H127" s="306">
        <f>IF(A127&lt;$F$8,0,IF(AND($B$21=1,A127&gt;$B$19),0,$E$8*$G$8^MIN((A127-$F$8)/12,6)*MIN($G$8,0.85)^MAX(0,(A127-$F$8)/12-6)))</f>
        <v/>
      </c>
      <c r="I127" s="306">
        <f>IF(A127&lt;$F$9,0,IF(AND($B$21=1,A127&gt;$B$19),0,$E$9*$G$9^MIN((A127-$F$9)/12,6)*MIN($G$9,0.85)^MAX(0,(A127-$F$9)/12-6)))</f>
        <v/>
      </c>
      <c r="J127" s="306">
        <f>IF(A127&lt;$F$10,0,IF(AND($B$21=1,A127&gt;$B$19),0,$E$10*$G$10^MIN((A127-$F$10)/12,6)*MIN($G$10,0.85)^MAX(0,(A127-$F$10)/12-6)))</f>
        <v/>
      </c>
      <c r="K127" s="306">
        <f>IF(A127&lt;$F$11,0,IF(AND($B$21=1,A127&gt;$B$19),0,$E$11*$G$11^MIN((A127-$F$11)/12,6)*MIN($G$11,0.85)^MAX(0,(A127-$F$11)/12-6)))</f>
        <v/>
      </c>
      <c r="L127" s="306">
        <f>IF(A127&lt;$F$12,0,IF(AND($B$21=1,A127&gt;$B$19),0,$E$12*$G$12^MIN((A127-$F$12)/12,6)*MIN($G$12,0.85)^MAX(0,(A127-$F$12)/12-6)))</f>
        <v/>
      </c>
      <c r="M127" s="306">
        <f>IF(A127&lt;$F$13,0,IF(AND($B$21=1,A127&gt;$B$19),0,$E$13*$G$13^MIN((A127-$F$13)/12,6)*MIN($G$13,0.85)^MAX(0,(A127-$F$13)/12-6)))</f>
        <v/>
      </c>
      <c r="N127" s="306">
        <f>IF(A127&lt;$F$14,0,IF(AND($B$21=1,A127&gt;$B$19),0,$E$14*$G$14^MIN((A127-$F$14)/12,6)*MIN($G$14,0.85)^MAX(0,(A127-$F$14)/12-6)))</f>
        <v/>
      </c>
      <c r="O127" s="306">
        <f>SUM(F127:N127)</f>
        <v/>
      </c>
      <c r="P127" s="306">
        <f>O127/12</f>
        <v/>
      </c>
      <c r="Q127" s="306">
        <f>P127*$B$8</f>
        <v/>
      </c>
      <c r="R127" s="306">
        <f>P127*$B$9</f>
        <v/>
      </c>
      <c r="S127" s="306">
        <f>P127*$B$10</f>
        <v/>
      </c>
      <c r="T127" s="306">
        <f>P127-Q127-R127-S127-D127-E127</f>
        <v/>
      </c>
      <c r="U127" s="306">
        <f>MAX(0, T127 - $B$7*P127)</f>
        <v/>
      </c>
      <c r="V127" s="306">
        <f>T127-U127</f>
        <v/>
      </c>
      <c r="W127" s="306">
        <f>IF(A127=$F$6, $B$18*$B$16*$B$17/1000000, 0) + IF(A127=$F$7, $B$18*$B$16*$B$17/1000000, 0) + IF(A127=$F$8, $B$18*$B$16*$B$17/1000000, 0) + IF(A127=$F$9, $B$18*$B$16*$B$17/1000000, 0) + IF(A127=$F$10, $B$18*$B$16*$B$17/1000000, 0) + IF(A127=$F$11, $B$18*$B$16*$B$17/1000000, 0) + IF(A127=$F$12, $B$18*$B$16*$B$17/1000000, 0) + IF(A127=$F$13, $B$18*$B$16*$B$17/1000000, 0) + IF(A127=$F$14, $B$18*$B$16*$B$17/1000000, 0)</f>
        <v/>
      </c>
      <c r="X127" s="306">
        <f>V127-W127-C127</f>
        <v/>
      </c>
      <c r="Y127" s="306">
        <f>IF(AND(A127&lt;=$B$24, X127&gt;0), X127*$B$23, 0)</f>
        <v/>
      </c>
      <c r="Z127" s="306">
        <f>X127-Y127</f>
        <v/>
      </c>
      <c r="AA127" s="306">
        <f>IF(AND(A127=$B$19, $B$21=1), O127*$B$20, 0)</f>
        <v/>
      </c>
      <c r="AB127" s="306">
        <f>AB126+Z127+AA127</f>
        <v/>
      </c>
    </row>
    <row r="128">
      <c r="A128" s="306" t="n">
        <v>98</v>
      </c>
      <c r="B128" s="306">
        <f>CEILING(A128/12,1)</f>
        <v/>
      </c>
      <c r="C128" s="306">
        <f>IF(A128&lt;=12, $B$15/12, 0)</f>
        <v/>
      </c>
      <c r="D128" s="306">
        <f>INDEX('26. Team Comp'!$D$28:$R$28, B128) * 0.001 / 12</f>
        <v/>
      </c>
      <c r="E128" s="306">
        <f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+ (IF(MAX(0, A128 - $F$11 + 1)&lt;=0, 0, IF(MAX(0, A128 - $F$11 + 1)&lt;=6, 70 - (70-14)*(MAX(0, A128 - $F$11 + 1)-1)/5, IF(MAX(0, A128 - $F$11 + 1)&lt;=24, 14 - 14*(MAX(0, A128 - $F$11 + 1)-6)/18, 0)))) + (IF(MAX(0, A128 - $F$12 + 1)&lt;=0, 0, IF(MAX(0, A128 - $F$12 + 1)&lt;=6, 70 - (70-14)*(MAX(0, A128 - $F$12 + 1)-1)/5, IF(MAX(0, A128 - $F$12 + 1)&lt;=24, 14 - 14*(MAX(0, A128 - $F$12 + 1)-6)/18, 0)))) + (IF(MAX(0, A128 - $F$13 + 1)&lt;=0, 0, IF(MAX(0, A128 - $F$13 + 1)&lt;=6, 70 - (70-14)*(MAX(0, A128 - $F$13 + 1)-1)/5, IF(MAX(0, A128 - $F$13 + 1)&lt;=24, 14 - 14*(MAX(0, A128 - $F$13 + 1)-6)/18, 0)))) + (IF(MAX(0, A128 - $F$14 + 1)&lt;=0, 0, IF(MAX(0, A128 - $F$14 + 1)&lt;=6, 70 - (70-14)*(MAX(0, A128 - $F$14 + 1)-1)/5, IF(MAX(0, A128 - $F$14 + 1)&lt;=24, 14 - 14*(MAX(0, A128 - $F$14 + 1)-6)/18, 0)))) ) * 200 / 12 / 1000</f>
        <v/>
      </c>
      <c r="F128" s="306">
        <f>IF(A128&lt;$F$6,0,IF(AND($B$21=1,A128&gt;$B$19),0,$E$6*$G$6^MIN((A128-$F$6)/12,6)*MIN($G$6,0.85)^MAX(0,(A128-$F$6)/12-6)))</f>
        <v/>
      </c>
      <c r="G128" s="306">
        <f>IF(A128&lt;$F$7,0,IF(AND($B$21=1,A128&gt;$B$19),0,$E$7*$G$7^MIN((A128-$F$7)/12,6)*MIN($G$7,0.85)^MAX(0,(A128-$F$7)/12-6)))</f>
        <v/>
      </c>
      <c r="H128" s="306">
        <f>IF(A128&lt;$F$8,0,IF(AND($B$21=1,A128&gt;$B$19),0,$E$8*$G$8^MIN((A128-$F$8)/12,6)*MIN($G$8,0.85)^MAX(0,(A128-$F$8)/12-6)))</f>
        <v/>
      </c>
      <c r="I128" s="306">
        <f>IF(A128&lt;$F$9,0,IF(AND($B$21=1,A128&gt;$B$19),0,$E$9*$G$9^MIN((A128-$F$9)/12,6)*MIN($G$9,0.85)^MAX(0,(A128-$F$9)/12-6)))</f>
        <v/>
      </c>
      <c r="J128" s="306">
        <f>IF(A128&lt;$F$10,0,IF(AND($B$21=1,A128&gt;$B$19),0,$E$10*$G$10^MIN((A128-$F$10)/12,6)*MIN($G$10,0.85)^MAX(0,(A128-$F$10)/12-6)))</f>
        <v/>
      </c>
      <c r="K128" s="306">
        <f>IF(A128&lt;$F$11,0,IF(AND($B$21=1,A128&gt;$B$19),0,$E$11*$G$11^MIN((A128-$F$11)/12,6)*MIN($G$11,0.85)^MAX(0,(A128-$F$11)/12-6)))</f>
        <v/>
      </c>
      <c r="L128" s="306">
        <f>IF(A128&lt;$F$12,0,IF(AND($B$21=1,A128&gt;$B$19),0,$E$12*$G$12^MIN((A128-$F$12)/12,6)*MIN($G$12,0.85)^MAX(0,(A128-$F$12)/12-6)))</f>
        <v/>
      </c>
      <c r="M128" s="306">
        <f>IF(A128&lt;$F$13,0,IF(AND($B$21=1,A128&gt;$B$19),0,$E$13*$G$13^MIN((A128-$F$13)/12,6)*MIN($G$13,0.85)^MAX(0,(A128-$F$13)/12-6)))</f>
        <v/>
      </c>
      <c r="N128" s="306">
        <f>IF(A128&lt;$F$14,0,IF(AND($B$21=1,A128&gt;$B$19),0,$E$14*$G$14^MIN((A128-$F$14)/12,6)*MIN($G$14,0.85)^MAX(0,(A128-$F$14)/12-6)))</f>
        <v/>
      </c>
      <c r="O128" s="306">
        <f>SUM(F128:N128)</f>
        <v/>
      </c>
      <c r="P128" s="306">
        <f>O128/12</f>
        <v/>
      </c>
      <c r="Q128" s="306">
        <f>P128*$B$8</f>
        <v/>
      </c>
      <c r="R128" s="306">
        <f>P128*$B$9</f>
        <v/>
      </c>
      <c r="S128" s="306">
        <f>P128*$B$10</f>
        <v/>
      </c>
      <c r="T128" s="306">
        <f>P128-Q128-R128-S128-D128-E128</f>
        <v/>
      </c>
      <c r="U128" s="306">
        <f>MAX(0, T128 - $B$7*P128)</f>
        <v/>
      </c>
      <c r="V128" s="306">
        <f>T128-U128</f>
        <v/>
      </c>
      <c r="W128" s="306">
        <f>IF(A128=$F$6, $B$18*$B$16*$B$17/1000000, 0) + IF(A128=$F$7, $B$18*$B$16*$B$17/1000000, 0) + IF(A128=$F$8, $B$18*$B$16*$B$17/1000000, 0) + IF(A128=$F$9, $B$18*$B$16*$B$17/1000000, 0) + IF(A128=$F$10, $B$18*$B$16*$B$17/1000000, 0) + IF(A128=$F$11, $B$18*$B$16*$B$17/1000000, 0) + IF(A128=$F$12, $B$18*$B$16*$B$17/1000000, 0) + IF(A128=$F$13, $B$18*$B$16*$B$17/1000000, 0) + IF(A128=$F$14, $B$18*$B$16*$B$17/1000000, 0)</f>
        <v/>
      </c>
      <c r="X128" s="306">
        <f>V128-W128-C128</f>
        <v/>
      </c>
      <c r="Y128" s="306">
        <f>IF(AND(A128&lt;=$B$24, X128&gt;0), X128*$B$23, 0)</f>
        <v/>
      </c>
      <c r="Z128" s="306">
        <f>X128-Y128</f>
        <v/>
      </c>
      <c r="AA128" s="306">
        <f>IF(AND(A128=$B$19, $B$21=1), O128*$B$20, 0)</f>
        <v/>
      </c>
      <c r="AB128" s="306">
        <f>AB127+Z128+AA128</f>
        <v/>
      </c>
    </row>
    <row r="129">
      <c r="A129" s="306" t="n">
        <v>99</v>
      </c>
      <c r="B129" s="306">
        <f>CEILING(A129/12,1)</f>
        <v/>
      </c>
      <c r="C129" s="306">
        <f>IF(A129&lt;=12, $B$15/12, 0)</f>
        <v/>
      </c>
      <c r="D129" s="306">
        <f>INDEX('26. Team Comp'!$D$28:$R$28, B129) * 0.001 / 12</f>
        <v/>
      </c>
      <c r="E129" s="306">
        <f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+ (IF(MAX(0, A129 - $F$11 + 1)&lt;=0, 0, IF(MAX(0, A129 - $F$11 + 1)&lt;=6, 70 - (70-14)*(MAX(0, A129 - $F$11 + 1)-1)/5, IF(MAX(0, A129 - $F$11 + 1)&lt;=24, 14 - 14*(MAX(0, A129 - $F$11 + 1)-6)/18, 0)))) + (IF(MAX(0, A129 - $F$12 + 1)&lt;=0, 0, IF(MAX(0, A129 - $F$12 + 1)&lt;=6, 70 - (70-14)*(MAX(0, A129 - $F$12 + 1)-1)/5, IF(MAX(0, A129 - $F$12 + 1)&lt;=24, 14 - 14*(MAX(0, A129 - $F$12 + 1)-6)/18, 0)))) + (IF(MAX(0, A129 - $F$13 + 1)&lt;=0, 0, IF(MAX(0, A129 - $F$13 + 1)&lt;=6, 70 - (70-14)*(MAX(0, A129 - $F$13 + 1)-1)/5, IF(MAX(0, A129 - $F$13 + 1)&lt;=24, 14 - 14*(MAX(0, A129 - $F$13 + 1)-6)/18, 0)))) + (IF(MAX(0, A129 - $F$14 + 1)&lt;=0, 0, IF(MAX(0, A129 - $F$14 + 1)&lt;=6, 70 - (70-14)*(MAX(0, A129 - $F$14 + 1)-1)/5, IF(MAX(0, A129 - $F$14 + 1)&lt;=24, 14 - 14*(MAX(0, A129 - $F$14 + 1)-6)/18, 0)))) ) * 200 / 12 / 1000</f>
        <v/>
      </c>
      <c r="F129" s="306">
        <f>IF(A129&lt;$F$6,0,IF(AND($B$21=1,A129&gt;$B$19),0,$E$6*$G$6^MIN((A129-$F$6)/12,6)*MIN($G$6,0.85)^MAX(0,(A129-$F$6)/12-6)))</f>
        <v/>
      </c>
      <c r="G129" s="306">
        <f>IF(A129&lt;$F$7,0,IF(AND($B$21=1,A129&gt;$B$19),0,$E$7*$G$7^MIN((A129-$F$7)/12,6)*MIN($G$7,0.85)^MAX(0,(A129-$F$7)/12-6)))</f>
        <v/>
      </c>
      <c r="H129" s="306">
        <f>IF(A129&lt;$F$8,0,IF(AND($B$21=1,A129&gt;$B$19),0,$E$8*$G$8^MIN((A129-$F$8)/12,6)*MIN($G$8,0.85)^MAX(0,(A129-$F$8)/12-6)))</f>
        <v/>
      </c>
      <c r="I129" s="306">
        <f>IF(A129&lt;$F$9,0,IF(AND($B$21=1,A129&gt;$B$19),0,$E$9*$G$9^MIN((A129-$F$9)/12,6)*MIN($G$9,0.85)^MAX(0,(A129-$F$9)/12-6)))</f>
        <v/>
      </c>
      <c r="J129" s="306">
        <f>IF(A129&lt;$F$10,0,IF(AND($B$21=1,A129&gt;$B$19),0,$E$10*$G$10^MIN((A129-$F$10)/12,6)*MIN($G$10,0.85)^MAX(0,(A129-$F$10)/12-6)))</f>
        <v/>
      </c>
      <c r="K129" s="306">
        <f>IF(A129&lt;$F$11,0,IF(AND($B$21=1,A129&gt;$B$19),0,$E$11*$G$11^MIN((A129-$F$11)/12,6)*MIN($G$11,0.85)^MAX(0,(A129-$F$11)/12-6)))</f>
        <v/>
      </c>
      <c r="L129" s="306">
        <f>IF(A129&lt;$F$12,0,IF(AND($B$21=1,A129&gt;$B$19),0,$E$12*$G$12^MIN((A129-$F$12)/12,6)*MIN($G$12,0.85)^MAX(0,(A129-$F$12)/12-6)))</f>
        <v/>
      </c>
      <c r="M129" s="306">
        <f>IF(A129&lt;$F$13,0,IF(AND($B$21=1,A129&gt;$B$19),0,$E$13*$G$13^MIN((A129-$F$13)/12,6)*MIN($G$13,0.85)^MAX(0,(A129-$F$13)/12-6)))</f>
        <v/>
      </c>
      <c r="N129" s="306">
        <f>IF(A129&lt;$F$14,0,IF(AND($B$21=1,A129&gt;$B$19),0,$E$14*$G$14^MIN((A129-$F$14)/12,6)*MIN($G$14,0.85)^MAX(0,(A129-$F$14)/12-6)))</f>
        <v/>
      </c>
      <c r="O129" s="306">
        <f>SUM(F129:N129)</f>
        <v/>
      </c>
      <c r="P129" s="306">
        <f>O129/12</f>
        <v/>
      </c>
      <c r="Q129" s="306">
        <f>P129*$B$8</f>
        <v/>
      </c>
      <c r="R129" s="306">
        <f>P129*$B$9</f>
        <v/>
      </c>
      <c r="S129" s="306">
        <f>P129*$B$10</f>
        <v/>
      </c>
      <c r="T129" s="306">
        <f>P129-Q129-R129-S129-D129-E129</f>
        <v/>
      </c>
      <c r="U129" s="306">
        <f>MAX(0, T129 - $B$7*P129)</f>
        <v/>
      </c>
      <c r="V129" s="306">
        <f>T129-U129</f>
        <v/>
      </c>
      <c r="W129" s="306">
        <f>IF(A129=$F$6, $B$18*$B$16*$B$17/1000000, 0) + IF(A129=$F$7, $B$18*$B$16*$B$17/1000000, 0) + IF(A129=$F$8, $B$18*$B$16*$B$17/1000000, 0) + IF(A129=$F$9, $B$18*$B$16*$B$17/1000000, 0) + IF(A129=$F$10, $B$18*$B$16*$B$17/1000000, 0) + IF(A129=$F$11, $B$18*$B$16*$B$17/1000000, 0) + IF(A129=$F$12, $B$18*$B$16*$B$17/1000000, 0) + IF(A129=$F$13, $B$18*$B$16*$B$17/1000000, 0) + IF(A129=$F$14, $B$18*$B$16*$B$17/1000000, 0)</f>
        <v/>
      </c>
      <c r="X129" s="306">
        <f>V129-W129-C129</f>
        <v/>
      </c>
      <c r="Y129" s="306">
        <f>IF(AND(A129&lt;=$B$24, X129&gt;0), X129*$B$23, 0)</f>
        <v/>
      </c>
      <c r="Z129" s="306">
        <f>X129-Y129</f>
        <v/>
      </c>
      <c r="AA129" s="306">
        <f>IF(AND(A129=$B$19, $B$21=1), O129*$B$20, 0)</f>
        <v/>
      </c>
      <c r="AB129" s="306">
        <f>AB128+Z129+AA129</f>
        <v/>
      </c>
    </row>
    <row r="130">
      <c r="A130" s="306" t="n">
        <v>100</v>
      </c>
      <c r="B130" s="306">
        <f>CEILING(A130/12,1)</f>
        <v/>
      </c>
      <c r="C130" s="306">
        <f>IF(A130&lt;=12, $B$15/12, 0)</f>
        <v/>
      </c>
      <c r="D130" s="306">
        <f>INDEX('26. Team Comp'!$D$28:$R$28, B130) * 0.001 / 12</f>
        <v/>
      </c>
      <c r="E130" s="306">
        <f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+ (IF(MAX(0, A130 - $F$11 + 1)&lt;=0, 0, IF(MAX(0, A130 - $F$11 + 1)&lt;=6, 70 - (70-14)*(MAX(0, A130 - $F$11 + 1)-1)/5, IF(MAX(0, A130 - $F$11 + 1)&lt;=24, 14 - 14*(MAX(0, A130 - $F$11 + 1)-6)/18, 0)))) + (IF(MAX(0, A130 - $F$12 + 1)&lt;=0, 0, IF(MAX(0, A130 - $F$12 + 1)&lt;=6, 70 - (70-14)*(MAX(0, A130 - $F$12 + 1)-1)/5, IF(MAX(0, A130 - $F$12 + 1)&lt;=24, 14 - 14*(MAX(0, A130 - $F$12 + 1)-6)/18, 0)))) + (IF(MAX(0, A130 - $F$13 + 1)&lt;=0, 0, IF(MAX(0, A130 - $F$13 + 1)&lt;=6, 70 - (70-14)*(MAX(0, A130 - $F$13 + 1)-1)/5, IF(MAX(0, A130 - $F$13 + 1)&lt;=24, 14 - 14*(MAX(0, A130 - $F$13 + 1)-6)/18, 0)))) + (IF(MAX(0, A130 - $F$14 + 1)&lt;=0, 0, IF(MAX(0, A130 - $F$14 + 1)&lt;=6, 70 - (70-14)*(MAX(0, A130 - $F$14 + 1)-1)/5, IF(MAX(0, A130 - $F$14 + 1)&lt;=24, 14 - 14*(MAX(0, A130 - $F$14 + 1)-6)/18, 0)))) ) * 200 / 12 / 1000</f>
        <v/>
      </c>
      <c r="F130" s="306">
        <f>IF(A130&lt;$F$6,0,IF(AND($B$21=1,A130&gt;$B$19),0,$E$6*$G$6^MIN((A130-$F$6)/12,6)*MIN($G$6,0.85)^MAX(0,(A130-$F$6)/12-6)))</f>
        <v/>
      </c>
      <c r="G130" s="306">
        <f>IF(A130&lt;$F$7,0,IF(AND($B$21=1,A130&gt;$B$19),0,$E$7*$G$7^MIN((A130-$F$7)/12,6)*MIN($G$7,0.85)^MAX(0,(A130-$F$7)/12-6)))</f>
        <v/>
      </c>
      <c r="H130" s="306">
        <f>IF(A130&lt;$F$8,0,IF(AND($B$21=1,A130&gt;$B$19),0,$E$8*$G$8^MIN((A130-$F$8)/12,6)*MIN($G$8,0.85)^MAX(0,(A130-$F$8)/12-6)))</f>
        <v/>
      </c>
      <c r="I130" s="306">
        <f>IF(A130&lt;$F$9,0,IF(AND($B$21=1,A130&gt;$B$19),0,$E$9*$G$9^MIN((A130-$F$9)/12,6)*MIN($G$9,0.85)^MAX(0,(A130-$F$9)/12-6)))</f>
        <v/>
      </c>
      <c r="J130" s="306">
        <f>IF(A130&lt;$F$10,0,IF(AND($B$21=1,A130&gt;$B$19),0,$E$10*$G$10^MIN((A130-$F$10)/12,6)*MIN($G$10,0.85)^MAX(0,(A130-$F$10)/12-6)))</f>
        <v/>
      </c>
      <c r="K130" s="306">
        <f>IF(A130&lt;$F$11,0,IF(AND($B$21=1,A130&gt;$B$19),0,$E$11*$G$11^MIN((A130-$F$11)/12,6)*MIN($G$11,0.85)^MAX(0,(A130-$F$11)/12-6)))</f>
        <v/>
      </c>
      <c r="L130" s="306">
        <f>IF(A130&lt;$F$12,0,IF(AND($B$21=1,A130&gt;$B$19),0,$E$12*$G$12^MIN((A130-$F$12)/12,6)*MIN($G$12,0.85)^MAX(0,(A130-$F$12)/12-6)))</f>
        <v/>
      </c>
      <c r="M130" s="306">
        <f>IF(A130&lt;$F$13,0,IF(AND($B$21=1,A130&gt;$B$19),0,$E$13*$G$13^MIN((A130-$F$13)/12,6)*MIN($G$13,0.85)^MAX(0,(A130-$F$13)/12-6)))</f>
        <v/>
      </c>
      <c r="N130" s="306">
        <f>IF(A130&lt;$F$14,0,IF(AND($B$21=1,A130&gt;$B$19),0,$E$14*$G$14^MIN((A130-$F$14)/12,6)*MIN($G$14,0.85)^MAX(0,(A130-$F$14)/12-6)))</f>
        <v/>
      </c>
      <c r="O130" s="306">
        <f>SUM(F130:N130)</f>
        <v/>
      </c>
      <c r="P130" s="306">
        <f>O130/12</f>
        <v/>
      </c>
      <c r="Q130" s="306">
        <f>P130*$B$8</f>
        <v/>
      </c>
      <c r="R130" s="306">
        <f>P130*$B$9</f>
        <v/>
      </c>
      <c r="S130" s="306">
        <f>P130*$B$10</f>
        <v/>
      </c>
      <c r="T130" s="306">
        <f>P130-Q130-R130-S130-D130-E130</f>
        <v/>
      </c>
      <c r="U130" s="306">
        <f>MAX(0, T130 - $B$7*P130)</f>
        <v/>
      </c>
      <c r="V130" s="306">
        <f>T130-U130</f>
        <v/>
      </c>
      <c r="W130" s="306">
        <f>IF(A130=$F$6, $B$18*$B$16*$B$17/1000000, 0) + IF(A130=$F$7, $B$18*$B$16*$B$17/1000000, 0) + IF(A130=$F$8, $B$18*$B$16*$B$17/1000000, 0) + IF(A130=$F$9, $B$18*$B$16*$B$17/1000000, 0) + IF(A130=$F$10, $B$18*$B$16*$B$17/1000000, 0) + IF(A130=$F$11, $B$18*$B$16*$B$17/1000000, 0) + IF(A130=$F$12, $B$18*$B$16*$B$17/1000000, 0) + IF(A130=$F$13, $B$18*$B$16*$B$17/1000000, 0) + IF(A130=$F$14, $B$18*$B$16*$B$17/1000000, 0)</f>
        <v/>
      </c>
      <c r="X130" s="306">
        <f>V130-W130-C130</f>
        <v/>
      </c>
      <c r="Y130" s="306">
        <f>IF(AND(A130&lt;=$B$24, X130&gt;0), X130*$B$23, 0)</f>
        <v/>
      </c>
      <c r="Z130" s="306">
        <f>X130-Y130</f>
        <v/>
      </c>
      <c r="AA130" s="306">
        <f>IF(AND(A130=$B$19, $B$21=1), O130*$B$20, 0)</f>
        <v/>
      </c>
      <c r="AB130" s="306">
        <f>AB129+Z130+AA130</f>
        <v/>
      </c>
    </row>
    <row r="131">
      <c r="A131" s="306" t="n">
        <v>101</v>
      </c>
      <c r="B131" s="306">
        <f>CEILING(A131/12,1)</f>
        <v/>
      </c>
      <c r="C131" s="306">
        <f>IF(A131&lt;=12, $B$15/12, 0)</f>
        <v/>
      </c>
      <c r="D131" s="306">
        <f>INDEX('26. Team Comp'!$D$28:$R$28, B131) * 0.001 / 12</f>
        <v/>
      </c>
      <c r="E131" s="306">
        <f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+ (IF(MAX(0, A131 - $F$11 + 1)&lt;=0, 0, IF(MAX(0, A131 - $F$11 + 1)&lt;=6, 70 - (70-14)*(MAX(0, A131 - $F$11 + 1)-1)/5, IF(MAX(0, A131 - $F$11 + 1)&lt;=24, 14 - 14*(MAX(0, A131 - $F$11 + 1)-6)/18, 0)))) + (IF(MAX(0, A131 - $F$12 + 1)&lt;=0, 0, IF(MAX(0, A131 - $F$12 + 1)&lt;=6, 70 - (70-14)*(MAX(0, A131 - $F$12 + 1)-1)/5, IF(MAX(0, A131 - $F$12 + 1)&lt;=24, 14 - 14*(MAX(0, A131 - $F$12 + 1)-6)/18, 0)))) + (IF(MAX(0, A131 - $F$13 + 1)&lt;=0, 0, IF(MAX(0, A131 - $F$13 + 1)&lt;=6, 70 - (70-14)*(MAX(0, A131 - $F$13 + 1)-1)/5, IF(MAX(0, A131 - $F$13 + 1)&lt;=24, 14 - 14*(MAX(0, A131 - $F$13 + 1)-6)/18, 0)))) + (IF(MAX(0, A131 - $F$14 + 1)&lt;=0, 0, IF(MAX(0, A131 - $F$14 + 1)&lt;=6, 70 - (70-14)*(MAX(0, A131 - $F$14 + 1)-1)/5, IF(MAX(0, A131 - $F$14 + 1)&lt;=24, 14 - 14*(MAX(0, A131 - $F$14 + 1)-6)/18, 0)))) ) * 200 / 12 / 1000</f>
        <v/>
      </c>
      <c r="F131" s="306">
        <f>IF(A131&lt;$F$6,0,IF(AND($B$21=1,A131&gt;$B$19),0,$E$6*$G$6^MIN((A131-$F$6)/12,6)*MIN($G$6,0.85)^MAX(0,(A131-$F$6)/12-6)))</f>
        <v/>
      </c>
      <c r="G131" s="306">
        <f>IF(A131&lt;$F$7,0,IF(AND($B$21=1,A131&gt;$B$19),0,$E$7*$G$7^MIN((A131-$F$7)/12,6)*MIN($G$7,0.85)^MAX(0,(A131-$F$7)/12-6)))</f>
        <v/>
      </c>
      <c r="H131" s="306">
        <f>IF(A131&lt;$F$8,0,IF(AND($B$21=1,A131&gt;$B$19),0,$E$8*$G$8^MIN((A131-$F$8)/12,6)*MIN($G$8,0.85)^MAX(0,(A131-$F$8)/12-6)))</f>
        <v/>
      </c>
      <c r="I131" s="306">
        <f>IF(A131&lt;$F$9,0,IF(AND($B$21=1,A131&gt;$B$19),0,$E$9*$G$9^MIN((A131-$F$9)/12,6)*MIN($G$9,0.85)^MAX(0,(A131-$F$9)/12-6)))</f>
        <v/>
      </c>
      <c r="J131" s="306">
        <f>IF(A131&lt;$F$10,0,IF(AND($B$21=1,A131&gt;$B$19),0,$E$10*$G$10^MIN((A131-$F$10)/12,6)*MIN($G$10,0.85)^MAX(0,(A131-$F$10)/12-6)))</f>
        <v/>
      </c>
      <c r="K131" s="306">
        <f>IF(A131&lt;$F$11,0,IF(AND($B$21=1,A131&gt;$B$19),0,$E$11*$G$11^MIN((A131-$F$11)/12,6)*MIN($G$11,0.85)^MAX(0,(A131-$F$11)/12-6)))</f>
        <v/>
      </c>
      <c r="L131" s="306">
        <f>IF(A131&lt;$F$12,0,IF(AND($B$21=1,A131&gt;$B$19),0,$E$12*$G$12^MIN((A131-$F$12)/12,6)*MIN($G$12,0.85)^MAX(0,(A131-$F$12)/12-6)))</f>
        <v/>
      </c>
      <c r="M131" s="306">
        <f>IF(A131&lt;$F$13,0,IF(AND($B$21=1,A131&gt;$B$19),0,$E$13*$G$13^MIN((A131-$F$13)/12,6)*MIN($G$13,0.85)^MAX(0,(A131-$F$13)/12-6)))</f>
        <v/>
      </c>
      <c r="N131" s="306">
        <f>IF(A131&lt;$F$14,0,IF(AND($B$21=1,A131&gt;$B$19),0,$E$14*$G$14^MIN((A131-$F$14)/12,6)*MIN($G$14,0.85)^MAX(0,(A131-$F$14)/12-6)))</f>
        <v/>
      </c>
      <c r="O131" s="306">
        <f>SUM(F131:N131)</f>
        <v/>
      </c>
      <c r="P131" s="306">
        <f>O131/12</f>
        <v/>
      </c>
      <c r="Q131" s="306">
        <f>P131*$B$8</f>
        <v/>
      </c>
      <c r="R131" s="306">
        <f>P131*$B$9</f>
        <v/>
      </c>
      <c r="S131" s="306">
        <f>P131*$B$10</f>
        <v/>
      </c>
      <c r="T131" s="306">
        <f>P131-Q131-R131-S131-D131-E131</f>
        <v/>
      </c>
      <c r="U131" s="306">
        <f>MAX(0, T131 - $B$7*P131)</f>
        <v/>
      </c>
      <c r="V131" s="306">
        <f>T131-U131</f>
        <v/>
      </c>
      <c r="W131" s="306">
        <f>IF(A131=$F$6, $B$18*$B$16*$B$17/1000000, 0) + IF(A131=$F$7, $B$18*$B$16*$B$17/1000000, 0) + IF(A131=$F$8, $B$18*$B$16*$B$17/1000000, 0) + IF(A131=$F$9, $B$18*$B$16*$B$17/1000000, 0) + IF(A131=$F$10, $B$18*$B$16*$B$17/1000000, 0) + IF(A131=$F$11, $B$18*$B$16*$B$17/1000000, 0) + IF(A131=$F$12, $B$18*$B$16*$B$17/1000000, 0) + IF(A131=$F$13, $B$18*$B$16*$B$17/1000000, 0) + IF(A131=$F$14, $B$18*$B$16*$B$17/1000000, 0)</f>
        <v/>
      </c>
      <c r="X131" s="306">
        <f>V131-W131-C131</f>
        <v/>
      </c>
      <c r="Y131" s="306">
        <f>IF(AND(A131&lt;=$B$24, X131&gt;0), X131*$B$23, 0)</f>
        <v/>
      </c>
      <c r="Z131" s="306">
        <f>X131-Y131</f>
        <v/>
      </c>
      <c r="AA131" s="306">
        <f>IF(AND(A131=$B$19, $B$21=1), O131*$B$20, 0)</f>
        <v/>
      </c>
      <c r="AB131" s="306">
        <f>AB130+Z131+AA131</f>
        <v/>
      </c>
    </row>
    <row r="132">
      <c r="A132" s="306" t="n">
        <v>102</v>
      </c>
      <c r="B132" s="306">
        <f>CEILING(A132/12,1)</f>
        <v/>
      </c>
      <c r="C132" s="306">
        <f>IF(A132&lt;=12, $B$15/12, 0)</f>
        <v/>
      </c>
      <c r="D132" s="306">
        <f>INDEX('26. Team Comp'!$D$28:$R$28, B132) * 0.001 / 12</f>
        <v/>
      </c>
      <c r="E132" s="306">
        <f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+ (IF(MAX(0, A132 - $F$11 + 1)&lt;=0, 0, IF(MAX(0, A132 - $F$11 + 1)&lt;=6, 70 - (70-14)*(MAX(0, A132 - $F$11 + 1)-1)/5, IF(MAX(0, A132 - $F$11 + 1)&lt;=24, 14 - 14*(MAX(0, A132 - $F$11 + 1)-6)/18, 0)))) + (IF(MAX(0, A132 - $F$12 + 1)&lt;=0, 0, IF(MAX(0, A132 - $F$12 + 1)&lt;=6, 70 - (70-14)*(MAX(0, A132 - $F$12 + 1)-1)/5, IF(MAX(0, A132 - $F$12 + 1)&lt;=24, 14 - 14*(MAX(0, A132 - $F$12 + 1)-6)/18, 0)))) + (IF(MAX(0, A132 - $F$13 + 1)&lt;=0, 0, IF(MAX(0, A132 - $F$13 + 1)&lt;=6, 70 - (70-14)*(MAX(0, A132 - $F$13 + 1)-1)/5, IF(MAX(0, A132 - $F$13 + 1)&lt;=24, 14 - 14*(MAX(0, A132 - $F$13 + 1)-6)/18, 0)))) + (IF(MAX(0, A132 - $F$14 + 1)&lt;=0, 0, IF(MAX(0, A132 - $F$14 + 1)&lt;=6, 70 - (70-14)*(MAX(0, A132 - $F$14 + 1)-1)/5, IF(MAX(0, A132 - $F$14 + 1)&lt;=24, 14 - 14*(MAX(0, A132 - $F$14 + 1)-6)/18, 0)))) ) * 200 / 12 / 1000</f>
        <v/>
      </c>
      <c r="F132" s="306">
        <f>IF(A132&lt;$F$6,0,IF(AND($B$21=1,A132&gt;$B$19),0,$E$6*$G$6^MIN((A132-$F$6)/12,6)*MIN($G$6,0.85)^MAX(0,(A132-$F$6)/12-6)))</f>
        <v/>
      </c>
      <c r="G132" s="306">
        <f>IF(A132&lt;$F$7,0,IF(AND($B$21=1,A132&gt;$B$19),0,$E$7*$G$7^MIN((A132-$F$7)/12,6)*MIN($G$7,0.85)^MAX(0,(A132-$F$7)/12-6)))</f>
        <v/>
      </c>
      <c r="H132" s="306">
        <f>IF(A132&lt;$F$8,0,IF(AND($B$21=1,A132&gt;$B$19),0,$E$8*$G$8^MIN((A132-$F$8)/12,6)*MIN($G$8,0.85)^MAX(0,(A132-$F$8)/12-6)))</f>
        <v/>
      </c>
      <c r="I132" s="306">
        <f>IF(A132&lt;$F$9,0,IF(AND($B$21=1,A132&gt;$B$19),0,$E$9*$G$9^MIN((A132-$F$9)/12,6)*MIN($G$9,0.85)^MAX(0,(A132-$F$9)/12-6)))</f>
        <v/>
      </c>
      <c r="J132" s="306">
        <f>IF(A132&lt;$F$10,0,IF(AND($B$21=1,A132&gt;$B$19),0,$E$10*$G$10^MIN((A132-$F$10)/12,6)*MIN($G$10,0.85)^MAX(0,(A132-$F$10)/12-6)))</f>
        <v/>
      </c>
      <c r="K132" s="306">
        <f>IF(A132&lt;$F$11,0,IF(AND($B$21=1,A132&gt;$B$19),0,$E$11*$G$11^MIN((A132-$F$11)/12,6)*MIN($G$11,0.85)^MAX(0,(A132-$F$11)/12-6)))</f>
        <v/>
      </c>
      <c r="L132" s="306">
        <f>IF(A132&lt;$F$12,0,IF(AND($B$21=1,A132&gt;$B$19),0,$E$12*$G$12^MIN((A132-$F$12)/12,6)*MIN($G$12,0.85)^MAX(0,(A132-$F$12)/12-6)))</f>
        <v/>
      </c>
      <c r="M132" s="306">
        <f>IF(A132&lt;$F$13,0,IF(AND($B$21=1,A132&gt;$B$19),0,$E$13*$G$13^MIN((A132-$F$13)/12,6)*MIN($G$13,0.85)^MAX(0,(A132-$F$13)/12-6)))</f>
        <v/>
      </c>
      <c r="N132" s="306">
        <f>IF(A132&lt;$F$14,0,IF(AND($B$21=1,A132&gt;$B$19),0,$E$14*$G$14^MIN((A132-$F$14)/12,6)*MIN($G$14,0.85)^MAX(0,(A132-$F$14)/12-6)))</f>
        <v/>
      </c>
      <c r="O132" s="306">
        <f>SUM(F132:N132)</f>
        <v/>
      </c>
      <c r="P132" s="306">
        <f>O132/12</f>
        <v/>
      </c>
      <c r="Q132" s="306">
        <f>P132*$B$8</f>
        <v/>
      </c>
      <c r="R132" s="306">
        <f>P132*$B$9</f>
        <v/>
      </c>
      <c r="S132" s="306">
        <f>P132*$B$10</f>
        <v/>
      </c>
      <c r="T132" s="306">
        <f>P132-Q132-R132-S132-D132-E132</f>
        <v/>
      </c>
      <c r="U132" s="306">
        <f>MAX(0, T132 - $B$7*P132)</f>
        <v/>
      </c>
      <c r="V132" s="306">
        <f>T132-U132</f>
        <v/>
      </c>
      <c r="W132" s="306">
        <f>IF(A132=$F$6, $B$18*$B$16*$B$17/1000000, 0) + IF(A132=$F$7, $B$18*$B$16*$B$17/1000000, 0) + IF(A132=$F$8, $B$18*$B$16*$B$17/1000000, 0) + IF(A132=$F$9, $B$18*$B$16*$B$17/1000000, 0) + IF(A132=$F$10, $B$18*$B$16*$B$17/1000000, 0) + IF(A132=$F$11, $B$18*$B$16*$B$17/1000000, 0) + IF(A132=$F$12, $B$18*$B$16*$B$17/1000000, 0) + IF(A132=$F$13, $B$18*$B$16*$B$17/1000000, 0) + IF(A132=$F$14, $B$18*$B$16*$B$17/1000000, 0)</f>
        <v/>
      </c>
      <c r="X132" s="306">
        <f>V132-W132-C132</f>
        <v/>
      </c>
      <c r="Y132" s="306">
        <f>IF(AND(A132&lt;=$B$24, X132&gt;0), X132*$B$23, 0)</f>
        <v/>
      </c>
      <c r="Z132" s="306">
        <f>X132-Y132</f>
        <v/>
      </c>
      <c r="AA132" s="306">
        <f>IF(AND(A132=$B$19, $B$21=1), O132*$B$20, 0)</f>
        <v/>
      </c>
      <c r="AB132" s="306">
        <f>AB131+Z132+AA132</f>
        <v/>
      </c>
    </row>
    <row r="133">
      <c r="A133" s="306" t="n">
        <v>103</v>
      </c>
      <c r="B133" s="306">
        <f>CEILING(A133/12,1)</f>
        <v/>
      </c>
      <c r="C133" s="306">
        <f>IF(A133&lt;=12, $B$15/12, 0)</f>
        <v/>
      </c>
      <c r="D133" s="306">
        <f>INDEX('26. Team Comp'!$D$28:$R$28, B133) * 0.001 / 12</f>
        <v/>
      </c>
      <c r="E133" s="306">
        <f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+ (IF(MAX(0, A133 - $F$11 + 1)&lt;=0, 0, IF(MAX(0, A133 - $F$11 + 1)&lt;=6, 70 - (70-14)*(MAX(0, A133 - $F$11 + 1)-1)/5, IF(MAX(0, A133 - $F$11 + 1)&lt;=24, 14 - 14*(MAX(0, A133 - $F$11 + 1)-6)/18, 0)))) + (IF(MAX(0, A133 - $F$12 + 1)&lt;=0, 0, IF(MAX(0, A133 - $F$12 + 1)&lt;=6, 70 - (70-14)*(MAX(0, A133 - $F$12 + 1)-1)/5, IF(MAX(0, A133 - $F$12 + 1)&lt;=24, 14 - 14*(MAX(0, A133 - $F$12 + 1)-6)/18, 0)))) + (IF(MAX(0, A133 - $F$13 + 1)&lt;=0, 0, IF(MAX(0, A133 - $F$13 + 1)&lt;=6, 70 - (70-14)*(MAX(0, A133 - $F$13 + 1)-1)/5, IF(MAX(0, A133 - $F$13 + 1)&lt;=24, 14 - 14*(MAX(0, A133 - $F$13 + 1)-6)/18, 0)))) + (IF(MAX(0, A133 - $F$14 + 1)&lt;=0, 0, IF(MAX(0, A133 - $F$14 + 1)&lt;=6, 70 - (70-14)*(MAX(0, A133 - $F$14 + 1)-1)/5, IF(MAX(0, A133 - $F$14 + 1)&lt;=24, 14 - 14*(MAX(0, A133 - $F$14 + 1)-6)/18, 0)))) ) * 200 / 12 / 1000</f>
        <v/>
      </c>
      <c r="F133" s="306">
        <f>IF(A133&lt;$F$6,0,IF(AND($B$21=1,A133&gt;$B$19),0,$E$6*$G$6^MIN((A133-$F$6)/12,6)*MIN($G$6,0.85)^MAX(0,(A133-$F$6)/12-6)))</f>
        <v/>
      </c>
      <c r="G133" s="306">
        <f>IF(A133&lt;$F$7,0,IF(AND($B$21=1,A133&gt;$B$19),0,$E$7*$G$7^MIN((A133-$F$7)/12,6)*MIN($G$7,0.85)^MAX(0,(A133-$F$7)/12-6)))</f>
        <v/>
      </c>
      <c r="H133" s="306">
        <f>IF(A133&lt;$F$8,0,IF(AND($B$21=1,A133&gt;$B$19),0,$E$8*$G$8^MIN((A133-$F$8)/12,6)*MIN($G$8,0.85)^MAX(0,(A133-$F$8)/12-6)))</f>
        <v/>
      </c>
      <c r="I133" s="306">
        <f>IF(A133&lt;$F$9,0,IF(AND($B$21=1,A133&gt;$B$19),0,$E$9*$G$9^MIN((A133-$F$9)/12,6)*MIN($G$9,0.85)^MAX(0,(A133-$F$9)/12-6)))</f>
        <v/>
      </c>
      <c r="J133" s="306">
        <f>IF(A133&lt;$F$10,0,IF(AND($B$21=1,A133&gt;$B$19),0,$E$10*$G$10^MIN((A133-$F$10)/12,6)*MIN($G$10,0.85)^MAX(0,(A133-$F$10)/12-6)))</f>
        <v/>
      </c>
      <c r="K133" s="306">
        <f>IF(A133&lt;$F$11,0,IF(AND($B$21=1,A133&gt;$B$19),0,$E$11*$G$11^MIN((A133-$F$11)/12,6)*MIN($G$11,0.85)^MAX(0,(A133-$F$11)/12-6)))</f>
        <v/>
      </c>
      <c r="L133" s="306">
        <f>IF(A133&lt;$F$12,0,IF(AND($B$21=1,A133&gt;$B$19),0,$E$12*$G$12^MIN((A133-$F$12)/12,6)*MIN($G$12,0.85)^MAX(0,(A133-$F$12)/12-6)))</f>
        <v/>
      </c>
      <c r="M133" s="306">
        <f>IF(A133&lt;$F$13,0,IF(AND($B$21=1,A133&gt;$B$19),0,$E$13*$G$13^MIN((A133-$F$13)/12,6)*MIN($G$13,0.85)^MAX(0,(A133-$F$13)/12-6)))</f>
        <v/>
      </c>
      <c r="N133" s="306">
        <f>IF(A133&lt;$F$14,0,IF(AND($B$21=1,A133&gt;$B$19),0,$E$14*$G$14^MIN((A133-$F$14)/12,6)*MIN($G$14,0.85)^MAX(0,(A133-$F$14)/12-6)))</f>
        <v/>
      </c>
      <c r="O133" s="306">
        <f>SUM(F133:N133)</f>
        <v/>
      </c>
      <c r="P133" s="306">
        <f>O133/12</f>
        <v/>
      </c>
      <c r="Q133" s="306">
        <f>P133*$B$8</f>
        <v/>
      </c>
      <c r="R133" s="306">
        <f>P133*$B$9</f>
        <v/>
      </c>
      <c r="S133" s="306">
        <f>P133*$B$10</f>
        <v/>
      </c>
      <c r="T133" s="306">
        <f>P133-Q133-R133-S133-D133-E133</f>
        <v/>
      </c>
      <c r="U133" s="306">
        <f>MAX(0, T133 - $B$7*P133)</f>
        <v/>
      </c>
      <c r="V133" s="306">
        <f>T133-U133</f>
        <v/>
      </c>
      <c r="W133" s="306">
        <f>IF(A133=$F$6, $B$18*$B$16*$B$17/1000000, 0) + IF(A133=$F$7, $B$18*$B$16*$B$17/1000000, 0) + IF(A133=$F$8, $B$18*$B$16*$B$17/1000000, 0) + IF(A133=$F$9, $B$18*$B$16*$B$17/1000000, 0) + IF(A133=$F$10, $B$18*$B$16*$B$17/1000000, 0) + IF(A133=$F$11, $B$18*$B$16*$B$17/1000000, 0) + IF(A133=$F$12, $B$18*$B$16*$B$17/1000000, 0) + IF(A133=$F$13, $B$18*$B$16*$B$17/1000000, 0) + IF(A133=$F$14, $B$18*$B$16*$B$17/1000000, 0)</f>
        <v/>
      </c>
      <c r="X133" s="306">
        <f>V133-W133-C133</f>
        <v/>
      </c>
      <c r="Y133" s="306">
        <f>IF(AND(A133&lt;=$B$24, X133&gt;0), X133*$B$23, 0)</f>
        <v/>
      </c>
      <c r="Z133" s="306">
        <f>X133-Y133</f>
        <v/>
      </c>
      <c r="AA133" s="306">
        <f>IF(AND(A133=$B$19, $B$21=1), O133*$B$20, 0)</f>
        <v/>
      </c>
      <c r="AB133" s="306">
        <f>AB132+Z133+AA133</f>
        <v/>
      </c>
    </row>
    <row r="134">
      <c r="A134" s="306" t="n">
        <v>104</v>
      </c>
      <c r="B134" s="306">
        <f>CEILING(A134/12,1)</f>
        <v/>
      </c>
      <c r="C134" s="306">
        <f>IF(A134&lt;=12, $B$15/12, 0)</f>
        <v/>
      </c>
      <c r="D134" s="306">
        <f>INDEX('26. Team Comp'!$D$28:$R$28, B134) * 0.001 / 12</f>
        <v/>
      </c>
      <c r="E134" s="306">
        <f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+ (IF(MAX(0, A134 - $F$11 + 1)&lt;=0, 0, IF(MAX(0, A134 - $F$11 + 1)&lt;=6, 70 - (70-14)*(MAX(0, A134 - $F$11 + 1)-1)/5, IF(MAX(0, A134 - $F$11 + 1)&lt;=24, 14 - 14*(MAX(0, A134 - $F$11 + 1)-6)/18, 0)))) + (IF(MAX(0, A134 - $F$12 + 1)&lt;=0, 0, IF(MAX(0, A134 - $F$12 + 1)&lt;=6, 70 - (70-14)*(MAX(0, A134 - $F$12 + 1)-1)/5, IF(MAX(0, A134 - $F$12 + 1)&lt;=24, 14 - 14*(MAX(0, A134 - $F$12 + 1)-6)/18, 0)))) + (IF(MAX(0, A134 - $F$13 + 1)&lt;=0, 0, IF(MAX(0, A134 - $F$13 + 1)&lt;=6, 70 - (70-14)*(MAX(0, A134 - $F$13 + 1)-1)/5, IF(MAX(0, A134 - $F$13 + 1)&lt;=24, 14 - 14*(MAX(0, A134 - $F$13 + 1)-6)/18, 0)))) + (IF(MAX(0, A134 - $F$14 + 1)&lt;=0, 0, IF(MAX(0, A134 - $F$14 + 1)&lt;=6, 70 - (70-14)*(MAX(0, A134 - $F$14 + 1)-1)/5, IF(MAX(0, A134 - $F$14 + 1)&lt;=24, 14 - 14*(MAX(0, A134 - $F$14 + 1)-6)/18, 0)))) ) * 200 / 12 / 1000</f>
        <v/>
      </c>
      <c r="F134" s="306">
        <f>IF(A134&lt;$F$6,0,IF(AND($B$21=1,A134&gt;$B$19),0,$E$6*$G$6^MIN((A134-$F$6)/12,6)*MIN($G$6,0.85)^MAX(0,(A134-$F$6)/12-6)))</f>
        <v/>
      </c>
      <c r="G134" s="306">
        <f>IF(A134&lt;$F$7,0,IF(AND($B$21=1,A134&gt;$B$19),0,$E$7*$G$7^MIN((A134-$F$7)/12,6)*MIN($G$7,0.85)^MAX(0,(A134-$F$7)/12-6)))</f>
        <v/>
      </c>
      <c r="H134" s="306">
        <f>IF(A134&lt;$F$8,0,IF(AND($B$21=1,A134&gt;$B$19),0,$E$8*$G$8^MIN((A134-$F$8)/12,6)*MIN($G$8,0.85)^MAX(0,(A134-$F$8)/12-6)))</f>
        <v/>
      </c>
      <c r="I134" s="306">
        <f>IF(A134&lt;$F$9,0,IF(AND($B$21=1,A134&gt;$B$19),0,$E$9*$G$9^MIN((A134-$F$9)/12,6)*MIN($G$9,0.85)^MAX(0,(A134-$F$9)/12-6)))</f>
        <v/>
      </c>
      <c r="J134" s="306">
        <f>IF(A134&lt;$F$10,0,IF(AND($B$21=1,A134&gt;$B$19),0,$E$10*$G$10^MIN((A134-$F$10)/12,6)*MIN($G$10,0.85)^MAX(0,(A134-$F$10)/12-6)))</f>
        <v/>
      </c>
      <c r="K134" s="306">
        <f>IF(A134&lt;$F$11,0,IF(AND($B$21=1,A134&gt;$B$19),0,$E$11*$G$11^MIN((A134-$F$11)/12,6)*MIN($G$11,0.85)^MAX(0,(A134-$F$11)/12-6)))</f>
        <v/>
      </c>
      <c r="L134" s="306">
        <f>IF(A134&lt;$F$12,0,IF(AND($B$21=1,A134&gt;$B$19),0,$E$12*$G$12^MIN((A134-$F$12)/12,6)*MIN($G$12,0.85)^MAX(0,(A134-$F$12)/12-6)))</f>
        <v/>
      </c>
      <c r="M134" s="306">
        <f>IF(A134&lt;$F$13,0,IF(AND($B$21=1,A134&gt;$B$19),0,$E$13*$G$13^MIN((A134-$F$13)/12,6)*MIN($G$13,0.85)^MAX(0,(A134-$F$13)/12-6)))</f>
        <v/>
      </c>
      <c r="N134" s="306">
        <f>IF(A134&lt;$F$14,0,IF(AND($B$21=1,A134&gt;$B$19),0,$E$14*$G$14^MIN((A134-$F$14)/12,6)*MIN($G$14,0.85)^MAX(0,(A134-$F$14)/12-6)))</f>
        <v/>
      </c>
      <c r="O134" s="306">
        <f>SUM(F134:N134)</f>
        <v/>
      </c>
      <c r="P134" s="306">
        <f>O134/12</f>
        <v/>
      </c>
      <c r="Q134" s="306">
        <f>P134*$B$8</f>
        <v/>
      </c>
      <c r="R134" s="306">
        <f>P134*$B$9</f>
        <v/>
      </c>
      <c r="S134" s="306">
        <f>P134*$B$10</f>
        <v/>
      </c>
      <c r="T134" s="306">
        <f>P134-Q134-R134-S134-D134-E134</f>
        <v/>
      </c>
      <c r="U134" s="306">
        <f>MAX(0, T134 - $B$7*P134)</f>
        <v/>
      </c>
      <c r="V134" s="306">
        <f>T134-U134</f>
        <v/>
      </c>
      <c r="W134" s="306">
        <f>IF(A134=$F$6, $B$18*$B$16*$B$17/1000000, 0) + IF(A134=$F$7, $B$18*$B$16*$B$17/1000000, 0) + IF(A134=$F$8, $B$18*$B$16*$B$17/1000000, 0) + IF(A134=$F$9, $B$18*$B$16*$B$17/1000000, 0) + IF(A134=$F$10, $B$18*$B$16*$B$17/1000000, 0) + IF(A134=$F$11, $B$18*$B$16*$B$17/1000000, 0) + IF(A134=$F$12, $B$18*$B$16*$B$17/1000000, 0) + IF(A134=$F$13, $B$18*$B$16*$B$17/1000000, 0) + IF(A134=$F$14, $B$18*$B$16*$B$17/1000000, 0)</f>
        <v/>
      </c>
      <c r="X134" s="306">
        <f>V134-W134-C134</f>
        <v/>
      </c>
      <c r="Y134" s="306">
        <f>IF(AND(A134&lt;=$B$24, X134&gt;0), X134*$B$23, 0)</f>
        <v/>
      </c>
      <c r="Z134" s="306">
        <f>X134-Y134</f>
        <v/>
      </c>
      <c r="AA134" s="306">
        <f>IF(AND(A134=$B$19, $B$21=1), O134*$B$20, 0)</f>
        <v/>
      </c>
      <c r="AB134" s="306">
        <f>AB133+Z134+AA134</f>
        <v/>
      </c>
    </row>
    <row r="135">
      <c r="A135" s="306" t="n">
        <v>105</v>
      </c>
      <c r="B135" s="306">
        <f>CEILING(A135/12,1)</f>
        <v/>
      </c>
      <c r="C135" s="306">
        <f>IF(A135&lt;=12, $B$15/12, 0)</f>
        <v/>
      </c>
      <c r="D135" s="306">
        <f>INDEX('26. Team Comp'!$D$28:$R$28, B135) * 0.001 / 12</f>
        <v/>
      </c>
      <c r="E135" s="306">
        <f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+ (IF(MAX(0, A135 - $F$11 + 1)&lt;=0, 0, IF(MAX(0, A135 - $F$11 + 1)&lt;=6, 70 - (70-14)*(MAX(0, A135 - $F$11 + 1)-1)/5, IF(MAX(0, A135 - $F$11 + 1)&lt;=24, 14 - 14*(MAX(0, A135 - $F$11 + 1)-6)/18, 0)))) + (IF(MAX(0, A135 - $F$12 + 1)&lt;=0, 0, IF(MAX(0, A135 - $F$12 + 1)&lt;=6, 70 - (70-14)*(MAX(0, A135 - $F$12 + 1)-1)/5, IF(MAX(0, A135 - $F$12 + 1)&lt;=24, 14 - 14*(MAX(0, A135 - $F$12 + 1)-6)/18, 0)))) + (IF(MAX(0, A135 - $F$13 + 1)&lt;=0, 0, IF(MAX(0, A135 - $F$13 + 1)&lt;=6, 70 - (70-14)*(MAX(0, A135 - $F$13 + 1)-1)/5, IF(MAX(0, A135 - $F$13 + 1)&lt;=24, 14 - 14*(MAX(0, A135 - $F$13 + 1)-6)/18, 0)))) + (IF(MAX(0, A135 - $F$14 + 1)&lt;=0, 0, IF(MAX(0, A135 - $F$14 + 1)&lt;=6, 70 - (70-14)*(MAX(0, A135 - $F$14 + 1)-1)/5, IF(MAX(0, A135 - $F$14 + 1)&lt;=24, 14 - 14*(MAX(0, A135 - $F$14 + 1)-6)/18, 0)))) ) * 200 / 12 / 1000</f>
        <v/>
      </c>
      <c r="F135" s="306">
        <f>IF(A135&lt;$F$6,0,IF(AND($B$21=1,A135&gt;$B$19),0,$E$6*$G$6^MIN((A135-$F$6)/12,6)*MIN($G$6,0.85)^MAX(0,(A135-$F$6)/12-6)))</f>
        <v/>
      </c>
      <c r="G135" s="306">
        <f>IF(A135&lt;$F$7,0,IF(AND($B$21=1,A135&gt;$B$19),0,$E$7*$G$7^MIN((A135-$F$7)/12,6)*MIN($G$7,0.85)^MAX(0,(A135-$F$7)/12-6)))</f>
        <v/>
      </c>
      <c r="H135" s="306">
        <f>IF(A135&lt;$F$8,0,IF(AND($B$21=1,A135&gt;$B$19),0,$E$8*$G$8^MIN((A135-$F$8)/12,6)*MIN($G$8,0.85)^MAX(0,(A135-$F$8)/12-6)))</f>
        <v/>
      </c>
      <c r="I135" s="306">
        <f>IF(A135&lt;$F$9,0,IF(AND($B$21=1,A135&gt;$B$19),0,$E$9*$G$9^MIN((A135-$F$9)/12,6)*MIN($G$9,0.85)^MAX(0,(A135-$F$9)/12-6)))</f>
        <v/>
      </c>
      <c r="J135" s="306">
        <f>IF(A135&lt;$F$10,0,IF(AND($B$21=1,A135&gt;$B$19),0,$E$10*$G$10^MIN((A135-$F$10)/12,6)*MIN($G$10,0.85)^MAX(0,(A135-$F$10)/12-6)))</f>
        <v/>
      </c>
      <c r="K135" s="306">
        <f>IF(A135&lt;$F$11,0,IF(AND($B$21=1,A135&gt;$B$19),0,$E$11*$G$11^MIN((A135-$F$11)/12,6)*MIN($G$11,0.85)^MAX(0,(A135-$F$11)/12-6)))</f>
        <v/>
      </c>
      <c r="L135" s="306">
        <f>IF(A135&lt;$F$12,0,IF(AND($B$21=1,A135&gt;$B$19),0,$E$12*$G$12^MIN((A135-$F$12)/12,6)*MIN($G$12,0.85)^MAX(0,(A135-$F$12)/12-6)))</f>
        <v/>
      </c>
      <c r="M135" s="306">
        <f>IF(A135&lt;$F$13,0,IF(AND($B$21=1,A135&gt;$B$19),0,$E$13*$G$13^MIN((A135-$F$13)/12,6)*MIN($G$13,0.85)^MAX(0,(A135-$F$13)/12-6)))</f>
        <v/>
      </c>
      <c r="N135" s="306">
        <f>IF(A135&lt;$F$14,0,IF(AND($B$21=1,A135&gt;$B$19),0,$E$14*$G$14^MIN((A135-$F$14)/12,6)*MIN($G$14,0.85)^MAX(0,(A135-$F$14)/12-6)))</f>
        <v/>
      </c>
      <c r="O135" s="306">
        <f>SUM(F135:N135)</f>
        <v/>
      </c>
      <c r="P135" s="306">
        <f>O135/12</f>
        <v/>
      </c>
      <c r="Q135" s="306">
        <f>P135*$B$8</f>
        <v/>
      </c>
      <c r="R135" s="306">
        <f>P135*$B$9</f>
        <v/>
      </c>
      <c r="S135" s="306">
        <f>P135*$B$10</f>
        <v/>
      </c>
      <c r="T135" s="306">
        <f>P135-Q135-R135-S135-D135-E135</f>
        <v/>
      </c>
      <c r="U135" s="306">
        <f>MAX(0, T135 - $B$7*P135)</f>
        <v/>
      </c>
      <c r="V135" s="306">
        <f>T135-U135</f>
        <v/>
      </c>
      <c r="W135" s="306">
        <f>IF(A135=$F$6, $B$18*$B$16*$B$17/1000000, 0) + IF(A135=$F$7, $B$18*$B$16*$B$17/1000000, 0) + IF(A135=$F$8, $B$18*$B$16*$B$17/1000000, 0) + IF(A135=$F$9, $B$18*$B$16*$B$17/1000000, 0) + IF(A135=$F$10, $B$18*$B$16*$B$17/1000000, 0) + IF(A135=$F$11, $B$18*$B$16*$B$17/1000000, 0) + IF(A135=$F$12, $B$18*$B$16*$B$17/1000000, 0) + IF(A135=$F$13, $B$18*$B$16*$B$17/1000000, 0) + IF(A135=$F$14, $B$18*$B$16*$B$17/1000000, 0)</f>
        <v/>
      </c>
      <c r="X135" s="306">
        <f>V135-W135-C135</f>
        <v/>
      </c>
      <c r="Y135" s="306">
        <f>IF(AND(A135&lt;=$B$24, X135&gt;0), X135*$B$23, 0)</f>
        <v/>
      </c>
      <c r="Z135" s="306">
        <f>X135-Y135</f>
        <v/>
      </c>
      <c r="AA135" s="306">
        <f>IF(AND(A135=$B$19, $B$21=1), O135*$B$20, 0)</f>
        <v/>
      </c>
      <c r="AB135" s="306">
        <f>AB134+Z135+AA135</f>
        <v/>
      </c>
    </row>
    <row r="136">
      <c r="A136" s="306" t="n">
        <v>106</v>
      </c>
      <c r="B136" s="306">
        <f>CEILING(A136/12,1)</f>
        <v/>
      </c>
      <c r="C136" s="306">
        <f>IF(A136&lt;=12, $B$15/12, 0)</f>
        <v/>
      </c>
      <c r="D136" s="306">
        <f>INDEX('26. Team Comp'!$D$28:$R$28, B136) * 0.001 / 12</f>
        <v/>
      </c>
      <c r="E136" s="306">
        <f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+ (IF(MAX(0, A136 - $F$11 + 1)&lt;=0, 0, IF(MAX(0, A136 - $F$11 + 1)&lt;=6, 70 - (70-14)*(MAX(0, A136 - $F$11 + 1)-1)/5, IF(MAX(0, A136 - $F$11 + 1)&lt;=24, 14 - 14*(MAX(0, A136 - $F$11 + 1)-6)/18, 0)))) + (IF(MAX(0, A136 - $F$12 + 1)&lt;=0, 0, IF(MAX(0, A136 - $F$12 + 1)&lt;=6, 70 - (70-14)*(MAX(0, A136 - $F$12 + 1)-1)/5, IF(MAX(0, A136 - $F$12 + 1)&lt;=24, 14 - 14*(MAX(0, A136 - $F$12 + 1)-6)/18, 0)))) + (IF(MAX(0, A136 - $F$13 + 1)&lt;=0, 0, IF(MAX(0, A136 - $F$13 + 1)&lt;=6, 70 - (70-14)*(MAX(0, A136 - $F$13 + 1)-1)/5, IF(MAX(0, A136 - $F$13 + 1)&lt;=24, 14 - 14*(MAX(0, A136 - $F$13 + 1)-6)/18, 0)))) + (IF(MAX(0, A136 - $F$14 + 1)&lt;=0, 0, IF(MAX(0, A136 - $F$14 + 1)&lt;=6, 70 - (70-14)*(MAX(0, A136 - $F$14 + 1)-1)/5, IF(MAX(0, A136 - $F$14 + 1)&lt;=24, 14 - 14*(MAX(0, A136 - $F$14 + 1)-6)/18, 0)))) ) * 200 / 12 / 1000</f>
        <v/>
      </c>
      <c r="F136" s="306">
        <f>IF(A136&lt;$F$6,0,IF(AND($B$21=1,A136&gt;$B$19),0,$E$6*$G$6^MIN((A136-$F$6)/12,6)*MIN($G$6,0.85)^MAX(0,(A136-$F$6)/12-6)))</f>
        <v/>
      </c>
      <c r="G136" s="306">
        <f>IF(A136&lt;$F$7,0,IF(AND($B$21=1,A136&gt;$B$19),0,$E$7*$G$7^MIN((A136-$F$7)/12,6)*MIN($G$7,0.85)^MAX(0,(A136-$F$7)/12-6)))</f>
        <v/>
      </c>
      <c r="H136" s="306">
        <f>IF(A136&lt;$F$8,0,IF(AND($B$21=1,A136&gt;$B$19),0,$E$8*$G$8^MIN((A136-$F$8)/12,6)*MIN($G$8,0.85)^MAX(0,(A136-$F$8)/12-6)))</f>
        <v/>
      </c>
      <c r="I136" s="306">
        <f>IF(A136&lt;$F$9,0,IF(AND($B$21=1,A136&gt;$B$19),0,$E$9*$G$9^MIN((A136-$F$9)/12,6)*MIN($G$9,0.85)^MAX(0,(A136-$F$9)/12-6)))</f>
        <v/>
      </c>
      <c r="J136" s="306">
        <f>IF(A136&lt;$F$10,0,IF(AND($B$21=1,A136&gt;$B$19),0,$E$10*$G$10^MIN((A136-$F$10)/12,6)*MIN($G$10,0.85)^MAX(0,(A136-$F$10)/12-6)))</f>
        <v/>
      </c>
      <c r="K136" s="306">
        <f>IF(A136&lt;$F$11,0,IF(AND($B$21=1,A136&gt;$B$19),0,$E$11*$G$11^MIN((A136-$F$11)/12,6)*MIN($G$11,0.85)^MAX(0,(A136-$F$11)/12-6)))</f>
        <v/>
      </c>
      <c r="L136" s="306">
        <f>IF(A136&lt;$F$12,0,IF(AND($B$21=1,A136&gt;$B$19),0,$E$12*$G$12^MIN((A136-$F$12)/12,6)*MIN($G$12,0.85)^MAX(0,(A136-$F$12)/12-6)))</f>
        <v/>
      </c>
      <c r="M136" s="306">
        <f>IF(A136&lt;$F$13,0,IF(AND($B$21=1,A136&gt;$B$19),0,$E$13*$G$13^MIN((A136-$F$13)/12,6)*MIN($G$13,0.85)^MAX(0,(A136-$F$13)/12-6)))</f>
        <v/>
      </c>
      <c r="N136" s="306">
        <f>IF(A136&lt;$F$14,0,IF(AND($B$21=1,A136&gt;$B$19),0,$E$14*$G$14^MIN((A136-$F$14)/12,6)*MIN($G$14,0.85)^MAX(0,(A136-$F$14)/12-6)))</f>
        <v/>
      </c>
      <c r="O136" s="306">
        <f>SUM(F136:N136)</f>
        <v/>
      </c>
      <c r="P136" s="306">
        <f>O136/12</f>
        <v/>
      </c>
      <c r="Q136" s="306">
        <f>P136*$B$8</f>
        <v/>
      </c>
      <c r="R136" s="306">
        <f>P136*$B$9</f>
        <v/>
      </c>
      <c r="S136" s="306">
        <f>P136*$B$10</f>
        <v/>
      </c>
      <c r="T136" s="306">
        <f>P136-Q136-R136-S136-D136-E136</f>
        <v/>
      </c>
      <c r="U136" s="306">
        <f>MAX(0, T136 - $B$7*P136)</f>
        <v/>
      </c>
      <c r="V136" s="306">
        <f>T136-U136</f>
        <v/>
      </c>
      <c r="W136" s="306">
        <f>IF(A136=$F$6, $B$18*$B$16*$B$17/1000000, 0) + IF(A136=$F$7, $B$18*$B$16*$B$17/1000000, 0) + IF(A136=$F$8, $B$18*$B$16*$B$17/1000000, 0) + IF(A136=$F$9, $B$18*$B$16*$B$17/1000000, 0) + IF(A136=$F$10, $B$18*$B$16*$B$17/1000000, 0) + IF(A136=$F$11, $B$18*$B$16*$B$17/1000000, 0) + IF(A136=$F$12, $B$18*$B$16*$B$17/1000000, 0) + IF(A136=$F$13, $B$18*$B$16*$B$17/1000000, 0) + IF(A136=$F$14, $B$18*$B$16*$B$17/1000000, 0)</f>
        <v/>
      </c>
      <c r="X136" s="306">
        <f>V136-W136-C136</f>
        <v/>
      </c>
      <c r="Y136" s="306">
        <f>IF(AND(A136&lt;=$B$24, X136&gt;0), X136*$B$23, 0)</f>
        <v/>
      </c>
      <c r="Z136" s="306">
        <f>X136-Y136</f>
        <v/>
      </c>
      <c r="AA136" s="306">
        <f>IF(AND(A136=$B$19, $B$21=1), O136*$B$20, 0)</f>
        <v/>
      </c>
      <c r="AB136" s="306">
        <f>AB135+Z136+AA136</f>
        <v/>
      </c>
    </row>
    <row r="137">
      <c r="A137" s="306" t="n">
        <v>107</v>
      </c>
      <c r="B137" s="306">
        <f>CEILING(A137/12,1)</f>
        <v/>
      </c>
      <c r="C137" s="306">
        <f>IF(A137&lt;=12, $B$15/12, 0)</f>
        <v/>
      </c>
      <c r="D137" s="306">
        <f>INDEX('26. Team Comp'!$D$28:$R$28, B137) * 0.001 / 12</f>
        <v/>
      </c>
      <c r="E137" s="306">
        <f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+ (IF(MAX(0, A137 - $F$11 + 1)&lt;=0, 0, IF(MAX(0, A137 - $F$11 + 1)&lt;=6, 70 - (70-14)*(MAX(0, A137 - $F$11 + 1)-1)/5, IF(MAX(0, A137 - $F$11 + 1)&lt;=24, 14 - 14*(MAX(0, A137 - $F$11 + 1)-6)/18, 0)))) + (IF(MAX(0, A137 - $F$12 + 1)&lt;=0, 0, IF(MAX(0, A137 - $F$12 + 1)&lt;=6, 70 - (70-14)*(MAX(0, A137 - $F$12 + 1)-1)/5, IF(MAX(0, A137 - $F$12 + 1)&lt;=24, 14 - 14*(MAX(0, A137 - $F$12 + 1)-6)/18, 0)))) + (IF(MAX(0, A137 - $F$13 + 1)&lt;=0, 0, IF(MAX(0, A137 - $F$13 + 1)&lt;=6, 70 - (70-14)*(MAX(0, A137 - $F$13 + 1)-1)/5, IF(MAX(0, A137 - $F$13 + 1)&lt;=24, 14 - 14*(MAX(0, A137 - $F$13 + 1)-6)/18, 0)))) + (IF(MAX(0, A137 - $F$14 + 1)&lt;=0, 0, IF(MAX(0, A137 - $F$14 + 1)&lt;=6, 70 - (70-14)*(MAX(0, A137 - $F$14 + 1)-1)/5, IF(MAX(0, A137 - $F$14 + 1)&lt;=24, 14 - 14*(MAX(0, A137 - $F$14 + 1)-6)/18, 0)))) ) * 200 / 12 / 1000</f>
        <v/>
      </c>
      <c r="F137" s="306">
        <f>IF(A137&lt;$F$6,0,IF(AND($B$21=1,A137&gt;$B$19),0,$E$6*$G$6^MIN((A137-$F$6)/12,6)*MIN($G$6,0.85)^MAX(0,(A137-$F$6)/12-6)))</f>
        <v/>
      </c>
      <c r="G137" s="306">
        <f>IF(A137&lt;$F$7,0,IF(AND($B$21=1,A137&gt;$B$19),0,$E$7*$G$7^MIN((A137-$F$7)/12,6)*MIN($G$7,0.85)^MAX(0,(A137-$F$7)/12-6)))</f>
        <v/>
      </c>
      <c r="H137" s="306">
        <f>IF(A137&lt;$F$8,0,IF(AND($B$21=1,A137&gt;$B$19),0,$E$8*$G$8^MIN((A137-$F$8)/12,6)*MIN($G$8,0.85)^MAX(0,(A137-$F$8)/12-6)))</f>
        <v/>
      </c>
      <c r="I137" s="306">
        <f>IF(A137&lt;$F$9,0,IF(AND($B$21=1,A137&gt;$B$19),0,$E$9*$G$9^MIN((A137-$F$9)/12,6)*MIN($G$9,0.85)^MAX(0,(A137-$F$9)/12-6)))</f>
        <v/>
      </c>
      <c r="J137" s="306">
        <f>IF(A137&lt;$F$10,0,IF(AND($B$21=1,A137&gt;$B$19),0,$E$10*$G$10^MIN((A137-$F$10)/12,6)*MIN($G$10,0.85)^MAX(0,(A137-$F$10)/12-6)))</f>
        <v/>
      </c>
      <c r="K137" s="306">
        <f>IF(A137&lt;$F$11,0,IF(AND($B$21=1,A137&gt;$B$19),0,$E$11*$G$11^MIN((A137-$F$11)/12,6)*MIN($G$11,0.85)^MAX(0,(A137-$F$11)/12-6)))</f>
        <v/>
      </c>
      <c r="L137" s="306">
        <f>IF(A137&lt;$F$12,0,IF(AND($B$21=1,A137&gt;$B$19),0,$E$12*$G$12^MIN((A137-$F$12)/12,6)*MIN($G$12,0.85)^MAX(0,(A137-$F$12)/12-6)))</f>
        <v/>
      </c>
      <c r="M137" s="306">
        <f>IF(A137&lt;$F$13,0,IF(AND($B$21=1,A137&gt;$B$19),0,$E$13*$G$13^MIN((A137-$F$13)/12,6)*MIN($G$13,0.85)^MAX(0,(A137-$F$13)/12-6)))</f>
        <v/>
      </c>
      <c r="N137" s="306">
        <f>IF(A137&lt;$F$14,0,IF(AND($B$21=1,A137&gt;$B$19),0,$E$14*$G$14^MIN((A137-$F$14)/12,6)*MIN($G$14,0.85)^MAX(0,(A137-$F$14)/12-6)))</f>
        <v/>
      </c>
      <c r="O137" s="306">
        <f>SUM(F137:N137)</f>
        <v/>
      </c>
      <c r="P137" s="306">
        <f>O137/12</f>
        <v/>
      </c>
      <c r="Q137" s="306">
        <f>P137*$B$8</f>
        <v/>
      </c>
      <c r="R137" s="306">
        <f>P137*$B$9</f>
        <v/>
      </c>
      <c r="S137" s="306">
        <f>P137*$B$10</f>
        <v/>
      </c>
      <c r="T137" s="306">
        <f>P137-Q137-R137-S137-D137-E137</f>
        <v/>
      </c>
      <c r="U137" s="306">
        <f>MAX(0, T137 - $B$7*P137)</f>
        <v/>
      </c>
      <c r="V137" s="306">
        <f>T137-U137</f>
        <v/>
      </c>
      <c r="W137" s="306">
        <f>IF(A137=$F$6, $B$18*$B$16*$B$17/1000000, 0) + IF(A137=$F$7, $B$18*$B$16*$B$17/1000000, 0) + IF(A137=$F$8, $B$18*$B$16*$B$17/1000000, 0) + IF(A137=$F$9, $B$18*$B$16*$B$17/1000000, 0) + IF(A137=$F$10, $B$18*$B$16*$B$17/1000000, 0) + IF(A137=$F$11, $B$18*$B$16*$B$17/1000000, 0) + IF(A137=$F$12, $B$18*$B$16*$B$17/1000000, 0) + IF(A137=$F$13, $B$18*$B$16*$B$17/1000000, 0) + IF(A137=$F$14, $B$18*$B$16*$B$17/1000000, 0)</f>
        <v/>
      </c>
      <c r="X137" s="306">
        <f>V137-W137-C137</f>
        <v/>
      </c>
      <c r="Y137" s="306">
        <f>IF(AND(A137&lt;=$B$24, X137&gt;0), X137*$B$23, 0)</f>
        <v/>
      </c>
      <c r="Z137" s="306">
        <f>X137-Y137</f>
        <v/>
      </c>
      <c r="AA137" s="306">
        <f>IF(AND(A137=$B$19, $B$21=1), O137*$B$20, 0)</f>
        <v/>
      </c>
      <c r="AB137" s="306">
        <f>AB136+Z137+AA137</f>
        <v/>
      </c>
    </row>
    <row r="138">
      <c r="A138" s="306" t="n">
        <v>108</v>
      </c>
      <c r="B138" s="306">
        <f>CEILING(A138/12,1)</f>
        <v/>
      </c>
      <c r="C138" s="306">
        <f>IF(A138&lt;=12, $B$15/12, 0)</f>
        <v/>
      </c>
      <c r="D138" s="306">
        <f>INDEX('26. Team Comp'!$D$28:$R$28, B138) * 0.001 / 12</f>
        <v/>
      </c>
      <c r="E138" s="306">
        <f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+ (IF(MAX(0, A138 - $F$11 + 1)&lt;=0, 0, IF(MAX(0, A138 - $F$11 + 1)&lt;=6, 70 - (70-14)*(MAX(0, A138 - $F$11 + 1)-1)/5, IF(MAX(0, A138 - $F$11 + 1)&lt;=24, 14 - 14*(MAX(0, A138 - $F$11 + 1)-6)/18, 0)))) + (IF(MAX(0, A138 - $F$12 + 1)&lt;=0, 0, IF(MAX(0, A138 - $F$12 + 1)&lt;=6, 70 - (70-14)*(MAX(0, A138 - $F$12 + 1)-1)/5, IF(MAX(0, A138 - $F$12 + 1)&lt;=24, 14 - 14*(MAX(0, A138 - $F$12 + 1)-6)/18, 0)))) + (IF(MAX(0, A138 - $F$13 + 1)&lt;=0, 0, IF(MAX(0, A138 - $F$13 + 1)&lt;=6, 70 - (70-14)*(MAX(0, A138 - $F$13 + 1)-1)/5, IF(MAX(0, A138 - $F$13 + 1)&lt;=24, 14 - 14*(MAX(0, A138 - $F$13 + 1)-6)/18, 0)))) + (IF(MAX(0, A138 - $F$14 + 1)&lt;=0, 0, IF(MAX(0, A138 - $F$14 + 1)&lt;=6, 70 - (70-14)*(MAX(0, A138 - $F$14 + 1)-1)/5, IF(MAX(0, A138 - $F$14 + 1)&lt;=24, 14 - 14*(MAX(0, A138 - $F$14 + 1)-6)/18, 0)))) ) * 200 / 12 / 1000</f>
        <v/>
      </c>
      <c r="F138" s="306">
        <f>IF(A138&lt;$F$6,0,IF(AND($B$21=1,A138&gt;$B$19),0,$E$6*$G$6^MIN((A138-$F$6)/12,6)*MIN($G$6,0.85)^MAX(0,(A138-$F$6)/12-6)))</f>
        <v/>
      </c>
      <c r="G138" s="306">
        <f>IF(A138&lt;$F$7,0,IF(AND($B$21=1,A138&gt;$B$19),0,$E$7*$G$7^MIN((A138-$F$7)/12,6)*MIN($G$7,0.85)^MAX(0,(A138-$F$7)/12-6)))</f>
        <v/>
      </c>
      <c r="H138" s="306">
        <f>IF(A138&lt;$F$8,0,IF(AND($B$21=1,A138&gt;$B$19),0,$E$8*$G$8^MIN((A138-$F$8)/12,6)*MIN($G$8,0.85)^MAX(0,(A138-$F$8)/12-6)))</f>
        <v/>
      </c>
      <c r="I138" s="306">
        <f>IF(A138&lt;$F$9,0,IF(AND($B$21=1,A138&gt;$B$19),0,$E$9*$G$9^MIN((A138-$F$9)/12,6)*MIN($G$9,0.85)^MAX(0,(A138-$F$9)/12-6)))</f>
        <v/>
      </c>
      <c r="J138" s="306">
        <f>IF(A138&lt;$F$10,0,IF(AND($B$21=1,A138&gt;$B$19),0,$E$10*$G$10^MIN((A138-$F$10)/12,6)*MIN($G$10,0.85)^MAX(0,(A138-$F$10)/12-6)))</f>
        <v/>
      </c>
      <c r="K138" s="306">
        <f>IF(A138&lt;$F$11,0,IF(AND($B$21=1,A138&gt;$B$19),0,$E$11*$G$11^MIN((A138-$F$11)/12,6)*MIN($G$11,0.85)^MAX(0,(A138-$F$11)/12-6)))</f>
        <v/>
      </c>
      <c r="L138" s="306">
        <f>IF(A138&lt;$F$12,0,IF(AND($B$21=1,A138&gt;$B$19),0,$E$12*$G$12^MIN((A138-$F$12)/12,6)*MIN($G$12,0.85)^MAX(0,(A138-$F$12)/12-6)))</f>
        <v/>
      </c>
      <c r="M138" s="306">
        <f>IF(A138&lt;$F$13,0,IF(AND($B$21=1,A138&gt;$B$19),0,$E$13*$G$13^MIN((A138-$F$13)/12,6)*MIN($G$13,0.85)^MAX(0,(A138-$F$13)/12-6)))</f>
        <v/>
      </c>
      <c r="N138" s="306">
        <f>IF(A138&lt;$F$14,0,IF(AND($B$21=1,A138&gt;$B$19),0,$E$14*$G$14^MIN((A138-$F$14)/12,6)*MIN($G$14,0.85)^MAX(0,(A138-$F$14)/12-6)))</f>
        <v/>
      </c>
      <c r="O138" s="306">
        <f>SUM(F138:N138)</f>
        <v/>
      </c>
      <c r="P138" s="306">
        <f>O138/12</f>
        <v/>
      </c>
      <c r="Q138" s="306">
        <f>P138*$B$8</f>
        <v/>
      </c>
      <c r="R138" s="306">
        <f>P138*$B$9</f>
        <v/>
      </c>
      <c r="S138" s="306">
        <f>P138*$B$10</f>
        <v/>
      </c>
      <c r="T138" s="306">
        <f>P138-Q138-R138-S138-D138-E138</f>
        <v/>
      </c>
      <c r="U138" s="306">
        <f>MAX(0, T138 - $B$7*P138)</f>
        <v/>
      </c>
      <c r="V138" s="306">
        <f>T138-U138</f>
        <v/>
      </c>
      <c r="W138" s="306">
        <f>IF(A138=$F$6, $B$18*$B$16*$B$17/1000000, 0) + IF(A138=$F$7, $B$18*$B$16*$B$17/1000000, 0) + IF(A138=$F$8, $B$18*$B$16*$B$17/1000000, 0) + IF(A138=$F$9, $B$18*$B$16*$B$17/1000000, 0) + IF(A138=$F$10, $B$18*$B$16*$B$17/1000000, 0) + IF(A138=$F$11, $B$18*$B$16*$B$17/1000000, 0) + IF(A138=$F$12, $B$18*$B$16*$B$17/1000000, 0) + IF(A138=$F$13, $B$18*$B$16*$B$17/1000000, 0) + IF(A138=$F$14, $B$18*$B$16*$B$17/1000000, 0)</f>
        <v/>
      </c>
      <c r="X138" s="306">
        <f>V138-W138-C138</f>
        <v/>
      </c>
      <c r="Y138" s="306">
        <f>IF(AND(A138&lt;=$B$24, X138&gt;0), X138*$B$23, 0)</f>
        <v/>
      </c>
      <c r="Z138" s="306">
        <f>X138-Y138</f>
        <v/>
      </c>
      <c r="AA138" s="306">
        <f>IF(AND(A138=$B$19, $B$21=1), O138*$B$20, 0)</f>
        <v/>
      </c>
      <c r="AB138" s="306">
        <f>AB137+Z138+AA138</f>
        <v/>
      </c>
    </row>
    <row r="139">
      <c r="A139" s="306" t="n">
        <v>109</v>
      </c>
      <c r="B139" s="306">
        <f>CEILING(A139/12,1)</f>
        <v/>
      </c>
      <c r="C139" s="306">
        <f>IF(A139&lt;=12, $B$15/12, 0)</f>
        <v/>
      </c>
      <c r="D139" s="306">
        <f>INDEX('26. Team Comp'!$D$28:$R$28, B139) * 0.001 / 12</f>
        <v/>
      </c>
      <c r="E139" s="306">
        <f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+ (IF(MAX(0, A139 - $F$11 + 1)&lt;=0, 0, IF(MAX(0, A139 - $F$11 + 1)&lt;=6, 70 - (70-14)*(MAX(0, A139 - $F$11 + 1)-1)/5, IF(MAX(0, A139 - $F$11 + 1)&lt;=24, 14 - 14*(MAX(0, A139 - $F$11 + 1)-6)/18, 0)))) + (IF(MAX(0, A139 - $F$12 + 1)&lt;=0, 0, IF(MAX(0, A139 - $F$12 + 1)&lt;=6, 70 - (70-14)*(MAX(0, A139 - $F$12 + 1)-1)/5, IF(MAX(0, A139 - $F$12 + 1)&lt;=24, 14 - 14*(MAX(0, A139 - $F$12 + 1)-6)/18, 0)))) + (IF(MAX(0, A139 - $F$13 + 1)&lt;=0, 0, IF(MAX(0, A139 - $F$13 + 1)&lt;=6, 70 - (70-14)*(MAX(0, A139 - $F$13 + 1)-1)/5, IF(MAX(0, A139 - $F$13 + 1)&lt;=24, 14 - 14*(MAX(0, A139 - $F$13 + 1)-6)/18, 0)))) + (IF(MAX(0, A139 - $F$14 + 1)&lt;=0, 0, IF(MAX(0, A139 - $F$14 + 1)&lt;=6, 70 - (70-14)*(MAX(0, A139 - $F$14 + 1)-1)/5, IF(MAX(0, A139 - $F$14 + 1)&lt;=24, 14 - 14*(MAX(0, A139 - $F$14 + 1)-6)/18, 0)))) ) * 200 / 12 / 1000</f>
        <v/>
      </c>
      <c r="F139" s="306">
        <f>IF(A139&lt;$F$6,0,IF(AND($B$21=1,A139&gt;$B$19),0,$E$6*$G$6^MIN((A139-$F$6)/12,6)*MIN($G$6,0.85)^MAX(0,(A139-$F$6)/12-6)))</f>
        <v/>
      </c>
      <c r="G139" s="306">
        <f>IF(A139&lt;$F$7,0,IF(AND($B$21=1,A139&gt;$B$19),0,$E$7*$G$7^MIN((A139-$F$7)/12,6)*MIN($G$7,0.85)^MAX(0,(A139-$F$7)/12-6)))</f>
        <v/>
      </c>
      <c r="H139" s="306">
        <f>IF(A139&lt;$F$8,0,IF(AND($B$21=1,A139&gt;$B$19),0,$E$8*$G$8^MIN((A139-$F$8)/12,6)*MIN($G$8,0.85)^MAX(0,(A139-$F$8)/12-6)))</f>
        <v/>
      </c>
      <c r="I139" s="306">
        <f>IF(A139&lt;$F$9,0,IF(AND($B$21=1,A139&gt;$B$19),0,$E$9*$G$9^MIN((A139-$F$9)/12,6)*MIN($G$9,0.85)^MAX(0,(A139-$F$9)/12-6)))</f>
        <v/>
      </c>
      <c r="J139" s="306">
        <f>IF(A139&lt;$F$10,0,IF(AND($B$21=1,A139&gt;$B$19),0,$E$10*$G$10^MIN((A139-$F$10)/12,6)*MIN($G$10,0.85)^MAX(0,(A139-$F$10)/12-6)))</f>
        <v/>
      </c>
      <c r="K139" s="306">
        <f>IF(A139&lt;$F$11,0,IF(AND($B$21=1,A139&gt;$B$19),0,$E$11*$G$11^MIN((A139-$F$11)/12,6)*MIN($G$11,0.85)^MAX(0,(A139-$F$11)/12-6)))</f>
        <v/>
      </c>
      <c r="L139" s="306">
        <f>IF(A139&lt;$F$12,0,IF(AND($B$21=1,A139&gt;$B$19),0,$E$12*$G$12^MIN((A139-$F$12)/12,6)*MIN($G$12,0.85)^MAX(0,(A139-$F$12)/12-6)))</f>
        <v/>
      </c>
      <c r="M139" s="306">
        <f>IF(A139&lt;$F$13,0,IF(AND($B$21=1,A139&gt;$B$19),0,$E$13*$G$13^MIN((A139-$F$13)/12,6)*MIN($G$13,0.85)^MAX(0,(A139-$F$13)/12-6)))</f>
        <v/>
      </c>
      <c r="N139" s="306">
        <f>IF(A139&lt;$F$14,0,IF(AND($B$21=1,A139&gt;$B$19),0,$E$14*$G$14^MIN((A139-$F$14)/12,6)*MIN($G$14,0.85)^MAX(0,(A139-$F$14)/12-6)))</f>
        <v/>
      </c>
      <c r="O139" s="306">
        <f>SUM(F139:N139)</f>
        <v/>
      </c>
      <c r="P139" s="306">
        <f>O139/12</f>
        <v/>
      </c>
      <c r="Q139" s="306">
        <f>P139*$B$8</f>
        <v/>
      </c>
      <c r="R139" s="306">
        <f>P139*$B$9</f>
        <v/>
      </c>
      <c r="S139" s="306">
        <f>P139*$B$10</f>
        <v/>
      </c>
      <c r="T139" s="306">
        <f>P139-Q139-R139-S139-D139-E139</f>
        <v/>
      </c>
      <c r="U139" s="306">
        <f>MAX(0, T139 - $B$7*P139)</f>
        <v/>
      </c>
      <c r="V139" s="306">
        <f>T139-U139</f>
        <v/>
      </c>
      <c r="W139" s="306">
        <f>IF(A139=$F$6, $B$18*$B$16*$B$17/1000000, 0) + IF(A139=$F$7, $B$18*$B$16*$B$17/1000000, 0) + IF(A139=$F$8, $B$18*$B$16*$B$17/1000000, 0) + IF(A139=$F$9, $B$18*$B$16*$B$17/1000000, 0) + IF(A139=$F$10, $B$18*$B$16*$B$17/1000000, 0) + IF(A139=$F$11, $B$18*$B$16*$B$17/1000000, 0) + IF(A139=$F$12, $B$18*$B$16*$B$17/1000000, 0) + IF(A139=$F$13, $B$18*$B$16*$B$17/1000000, 0) + IF(A139=$F$14, $B$18*$B$16*$B$17/1000000, 0)</f>
        <v/>
      </c>
      <c r="X139" s="306">
        <f>V139-W139-C139</f>
        <v/>
      </c>
      <c r="Y139" s="306">
        <f>IF(AND(A139&lt;=$B$24, X139&gt;0), X139*$B$23, 0)</f>
        <v/>
      </c>
      <c r="Z139" s="306">
        <f>X139-Y139</f>
        <v/>
      </c>
      <c r="AA139" s="306">
        <f>IF(AND(A139=$B$19, $B$21=1), O139*$B$20, 0)</f>
        <v/>
      </c>
      <c r="AB139" s="306">
        <f>AB138+Z139+AA139</f>
        <v/>
      </c>
    </row>
    <row r="140">
      <c r="A140" s="306" t="n">
        <v>110</v>
      </c>
      <c r="B140" s="306">
        <f>CEILING(A140/12,1)</f>
        <v/>
      </c>
      <c r="C140" s="306">
        <f>IF(A140&lt;=12, $B$15/12, 0)</f>
        <v/>
      </c>
      <c r="D140" s="306">
        <f>INDEX('26. Team Comp'!$D$28:$R$28, B140) * 0.001 / 12</f>
        <v/>
      </c>
      <c r="E140" s="306">
        <f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+ (IF(MAX(0, A140 - $F$11 + 1)&lt;=0, 0, IF(MAX(0, A140 - $F$11 + 1)&lt;=6, 70 - (70-14)*(MAX(0, A140 - $F$11 + 1)-1)/5, IF(MAX(0, A140 - $F$11 + 1)&lt;=24, 14 - 14*(MAX(0, A140 - $F$11 + 1)-6)/18, 0)))) + (IF(MAX(0, A140 - $F$12 + 1)&lt;=0, 0, IF(MAX(0, A140 - $F$12 + 1)&lt;=6, 70 - (70-14)*(MAX(0, A140 - $F$12 + 1)-1)/5, IF(MAX(0, A140 - $F$12 + 1)&lt;=24, 14 - 14*(MAX(0, A140 - $F$12 + 1)-6)/18, 0)))) + (IF(MAX(0, A140 - $F$13 + 1)&lt;=0, 0, IF(MAX(0, A140 - $F$13 + 1)&lt;=6, 70 - (70-14)*(MAX(0, A140 - $F$13 + 1)-1)/5, IF(MAX(0, A140 - $F$13 + 1)&lt;=24, 14 - 14*(MAX(0, A140 - $F$13 + 1)-6)/18, 0)))) + (IF(MAX(0, A140 - $F$14 + 1)&lt;=0, 0, IF(MAX(0, A140 - $F$14 + 1)&lt;=6, 70 - (70-14)*(MAX(0, A140 - $F$14 + 1)-1)/5, IF(MAX(0, A140 - $F$14 + 1)&lt;=24, 14 - 14*(MAX(0, A140 - $F$14 + 1)-6)/18, 0)))) ) * 200 / 12 / 1000</f>
        <v/>
      </c>
      <c r="F140" s="306">
        <f>IF(A140&lt;$F$6,0,IF(AND($B$21=1,A140&gt;$B$19),0,$E$6*$G$6^MIN((A140-$F$6)/12,6)*MIN($G$6,0.85)^MAX(0,(A140-$F$6)/12-6)))</f>
        <v/>
      </c>
      <c r="G140" s="306">
        <f>IF(A140&lt;$F$7,0,IF(AND($B$21=1,A140&gt;$B$19),0,$E$7*$G$7^MIN((A140-$F$7)/12,6)*MIN($G$7,0.85)^MAX(0,(A140-$F$7)/12-6)))</f>
        <v/>
      </c>
      <c r="H140" s="306">
        <f>IF(A140&lt;$F$8,0,IF(AND($B$21=1,A140&gt;$B$19),0,$E$8*$G$8^MIN((A140-$F$8)/12,6)*MIN($G$8,0.85)^MAX(0,(A140-$F$8)/12-6)))</f>
        <v/>
      </c>
      <c r="I140" s="306">
        <f>IF(A140&lt;$F$9,0,IF(AND($B$21=1,A140&gt;$B$19),0,$E$9*$G$9^MIN((A140-$F$9)/12,6)*MIN($G$9,0.85)^MAX(0,(A140-$F$9)/12-6)))</f>
        <v/>
      </c>
      <c r="J140" s="306">
        <f>IF(A140&lt;$F$10,0,IF(AND($B$21=1,A140&gt;$B$19),0,$E$10*$G$10^MIN((A140-$F$10)/12,6)*MIN($G$10,0.85)^MAX(0,(A140-$F$10)/12-6)))</f>
        <v/>
      </c>
      <c r="K140" s="306">
        <f>IF(A140&lt;$F$11,0,IF(AND($B$21=1,A140&gt;$B$19),0,$E$11*$G$11^MIN((A140-$F$11)/12,6)*MIN($G$11,0.85)^MAX(0,(A140-$F$11)/12-6)))</f>
        <v/>
      </c>
      <c r="L140" s="306">
        <f>IF(A140&lt;$F$12,0,IF(AND($B$21=1,A140&gt;$B$19),0,$E$12*$G$12^MIN((A140-$F$12)/12,6)*MIN($G$12,0.85)^MAX(0,(A140-$F$12)/12-6)))</f>
        <v/>
      </c>
      <c r="M140" s="306">
        <f>IF(A140&lt;$F$13,0,IF(AND($B$21=1,A140&gt;$B$19),0,$E$13*$G$13^MIN((A140-$F$13)/12,6)*MIN($G$13,0.85)^MAX(0,(A140-$F$13)/12-6)))</f>
        <v/>
      </c>
      <c r="N140" s="306">
        <f>IF(A140&lt;$F$14,0,IF(AND($B$21=1,A140&gt;$B$19),0,$E$14*$G$14^MIN((A140-$F$14)/12,6)*MIN($G$14,0.85)^MAX(0,(A140-$F$14)/12-6)))</f>
        <v/>
      </c>
      <c r="O140" s="306">
        <f>SUM(F140:N140)</f>
        <v/>
      </c>
      <c r="P140" s="306">
        <f>O140/12</f>
        <v/>
      </c>
      <c r="Q140" s="306">
        <f>P140*$B$8</f>
        <v/>
      </c>
      <c r="R140" s="306">
        <f>P140*$B$9</f>
        <v/>
      </c>
      <c r="S140" s="306">
        <f>P140*$B$10</f>
        <v/>
      </c>
      <c r="T140" s="306">
        <f>P140-Q140-R140-S140-D140-E140</f>
        <v/>
      </c>
      <c r="U140" s="306">
        <f>MAX(0, T140 - $B$7*P140)</f>
        <v/>
      </c>
      <c r="V140" s="306">
        <f>T140-U140</f>
        <v/>
      </c>
      <c r="W140" s="306">
        <f>IF(A140=$F$6, $B$18*$B$16*$B$17/1000000, 0) + IF(A140=$F$7, $B$18*$B$16*$B$17/1000000, 0) + IF(A140=$F$8, $B$18*$B$16*$B$17/1000000, 0) + IF(A140=$F$9, $B$18*$B$16*$B$17/1000000, 0) + IF(A140=$F$10, $B$18*$B$16*$B$17/1000000, 0) + IF(A140=$F$11, $B$18*$B$16*$B$17/1000000, 0) + IF(A140=$F$12, $B$18*$B$16*$B$17/1000000, 0) + IF(A140=$F$13, $B$18*$B$16*$B$17/1000000, 0) + IF(A140=$F$14, $B$18*$B$16*$B$17/1000000, 0)</f>
        <v/>
      </c>
      <c r="X140" s="306">
        <f>V140-W140-C140</f>
        <v/>
      </c>
      <c r="Y140" s="306">
        <f>IF(AND(A140&lt;=$B$24, X140&gt;0), X140*$B$23, 0)</f>
        <v/>
      </c>
      <c r="Z140" s="306">
        <f>X140-Y140</f>
        <v/>
      </c>
      <c r="AA140" s="306">
        <f>IF(AND(A140=$B$19, $B$21=1), O140*$B$20, 0)</f>
        <v/>
      </c>
      <c r="AB140" s="306">
        <f>AB139+Z140+AA140</f>
        <v/>
      </c>
    </row>
    <row r="141">
      <c r="A141" s="306" t="n">
        <v>111</v>
      </c>
      <c r="B141" s="306">
        <f>CEILING(A141/12,1)</f>
        <v/>
      </c>
      <c r="C141" s="306">
        <f>IF(A141&lt;=12, $B$15/12, 0)</f>
        <v/>
      </c>
      <c r="D141" s="306">
        <f>INDEX('26. Team Comp'!$D$28:$R$28, B141) * 0.001 / 12</f>
        <v/>
      </c>
      <c r="E141" s="306">
        <f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+ (IF(MAX(0, A141 - $F$11 + 1)&lt;=0, 0, IF(MAX(0, A141 - $F$11 + 1)&lt;=6, 70 - (70-14)*(MAX(0, A141 - $F$11 + 1)-1)/5, IF(MAX(0, A141 - $F$11 + 1)&lt;=24, 14 - 14*(MAX(0, A141 - $F$11 + 1)-6)/18, 0)))) + (IF(MAX(0, A141 - $F$12 + 1)&lt;=0, 0, IF(MAX(0, A141 - $F$12 + 1)&lt;=6, 70 - (70-14)*(MAX(0, A141 - $F$12 + 1)-1)/5, IF(MAX(0, A141 - $F$12 + 1)&lt;=24, 14 - 14*(MAX(0, A141 - $F$12 + 1)-6)/18, 0)))) + (IF(MAX(0, A141 - $F$13 + 1)&lt;=0, 0, IF(MAX(0, A141 - $F$13 + 1)&lt;=6, 70 - (70-14)*(MAX(0, A141 - $F$13 + 1)-1)/5, IF(MAX(0, A141 - $F$13 + 1)&lt;=24, 14 - 14*(MAX(0, A141 - $F$13 + 1)-6)/18, 0)))) + (IF(MAX(0, A141 - $F$14 + 1)&lt;=0, 0, IF(MAX(0, A141 - $F$14 + 1)&lt;=6, 70 - (70-14)*(MAX(0, A141 - $F$14 + 1)-1)/5, IF(MAX(0, A141 - $F$14 + 1)&lt;=24, 14 - 14*(MAX(0, A141 - $F$14 + 1)-6)/18, 0)))) ) * 200 / 12 / 1000</f>
        <v/>
      </c>
      <c r="F141" s="306">
        <f>IF(A141&lt;$F$6,0,IF(AND($B$21=1,A141&gt;$B$19),0,$E$6*$G$6^MIN((A141-$F$6)/12,6)*MIN($G$6,0.85)^MAX(0,(A141-$F$6)/12-6)))</f>
        <v/>
      </c>
      <c r="G141" s="306">
        <f>IF(A141&lt;$F$7,0,IF(AND($B$21=1,A141&gt;$B$19),0,$E$7*$G$7^MIN((A141-$F$7)/12,6)*MIN($G$7,0.85)^MAX(0,(A141-$F$7)/12-6)))</f>
        <v/>
      </c>
      <c r="H141" s="306">
        <f>IF(A141&lt;$F$8,0,IF(AND($B$21=1,A141&gt;$B$19),0,$E$8*$G$8^MIN((A141-$F$8)/12,6)*MIN($G$8,0.85)^MAX(0,(A141-$F$8)/12-6)))</f>
        <v/>
      </c>
      <c r="I141" s="306">
        <f>IF(A141&lt;$F$9,0,IF(AND($B$21=1,A141&gt;$B$19),0,$E$9*$G$9^MIN((A141-$F$9)/12,6)*MIN($G$9,0.85)^MAX(0,(A141-$F$9)/12-6)))</f>
        <v/>
      </c>
      <c r="J141" s="306">
        <f>IF(A141&lt;$F$10,0,IF(AND($B$21=1,A141&gt;$B$19),0,$E$10*$G$10^MIN((A141-$F$10)/12,6)*MIN($G$10,0.85)^MAX(0,(A141-$F$10)/12-6)))</f>
        <v/>
      </c>
      <c r="K141" s="306">
        <f>IF(A141&lt;$F$11,0,IF(AND($B$21=1,A141&gt;$B$19),0,$E$11*$G$11^MIN((A141-$F$11)/12,6)*MIN($G$11,0.85)^MAX(0,(A141-$F$11)/12-6)))</f>
        <v/>
      </c>
      <c r="L141" s="306">
        <f>IF(A141&lt;$F$12,0,IF(AND($B$21=1,A141&gt;$B$19),0,$E$12*$G$12^MIN((A141-$F$12)/12,6)*MIN($G$12,0.85)^MAX(0,(A141-$F$12)/12-6)))</f>
        <v/>
      </c>
      <c r="M141" s="306">
        <f>IF(A141&lt;$F$13,0,IF(AND($B$21=1,A141&gt;$B$19),0,$E$13*$G$13^MIN((A141-$F$13)/12,6)*MIN($G$13,0.85)^MAX(0,(A141-$F$13)/12-6)))</f>
        <v/>
      </c>
      <c r="N141" s="306">
        <f>IF(A141&lt;$F$14,0,IF(AND($B$21=1,A141&gt;$B$19),0,$E$14*$G$14^MIN((A141-$F$14)/12,6)*MIN($G$14,0.85)^MAX(0,(A141-$F$14)/12-6)))</f>
        <v/>
      </c>
      <c r="O141" s="306">
        <f>SUM(F141:N141)</f>
        <v/>
      </c>
      <c r="P141" s="306">
        <f>O141/12</f>
        <v/>
      </c>
      <c r="Q141" s="306">
        <f>P141*$B$8</f>
        <v/>
      </c>
      <c r="R141" s="306">
        <f>P141*$B$9</f>
        <v/>
      </c>
      <c r="S141" s="306">
        <f>P141*$B$10</f>
        <v/>
      </c>
      <c r="T141" s="306">
        <f>P141-Q141-R141-S141-D141-E141</f>
        <v/>
      </c>
      <c r="U141" s="306">
        <f>MAX(0, T141 - $B$7*P141)</f>
        <v/>
      </c>
      <c r="V141" s="306">
        <f>T141-U141</f>
        <v/>
      </c>
      <c r="W141" s="306">
        <f>IF(A141=$F$6, $B$18*$B$16*$B$17/1000000, 0) + IF(A141=$F$7, $B$18*$B$16*$B$17/1000000, 0) + IF(A141=$F$8, $B$18*$B$16*$B$17/1000000, 0) + IF(A141=$F$9, $B$18*$B$16*$B$17/1000000, 0) + IF(A141=$F$10, $B$18*$B$16*$B$17/1000000, 0) + IF(A141=$F$11, $B$18*$B$16*$B$17/1000000, 0) + IF(A141=$F$12, $B$18*$B$16*$B$17/1000000, 0) + IF(A141=$F$13, $B$18*$B$16*$B$17/1000000, 0) + IF(A141=$F$14, $B$18*$B$16*$B$17/1000000, 0)</f>
        <v/>
      </c>
      <c r="X141" s="306">
        <f>V141-W141-C141</f>
        <v/>
      </c>
      <c r="Y141" s="306">
        <f>IF(AND(A141&lt;=$B$24, X141&gt;0), X141*$B$23, 0)</f>
        <v/>
      </c>
      <c r="Z141" s="306">
        <f>X141-Y141</f>
        <v/>
      </c>
      <c r="AA141" s="306">
        <f>IF(AND(A141=$B$19, $B$21=1), O141*$B$20, 0)</f>
        <v/>
      </c>
      <c r="AB141" s="306">
        <f>AB140+Z141+AA141</f>
        <v/>
      </c>
    </row>
    <row r="142">
      <c r="A142" s="306" t="n">
        <v>112</v>
      </c>
      <c r="B142" s="306">
        <f>CEILING(A142/12,1)</f>
        <v/>
      </c>
      <c r="C142" s="306">
        <f>IF(A142&lt;=12, $B$15/12, 0)</f>
        <v/>
      </c>
      <c r="D142" s="306">
        <f>INDEX('26. Team Comp'!$D$28:$R$28, B142) * 0.001 / 12</f>
        <v/>
      </c>
      <c r="E142" s="306">
        <f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+ (IF(MAX(0, A142 - $F$11 + 1)&lt;=0, 0, IF(MAX(0, A142 - $F$11 + 1)&lt;=6, 70 - (70-14)*(MAX(0, A142 - $F$11 + 1)-1)/5, IF(MAX(0, A142 - $F$11 + 1)&lt;=24, 14 - 14*(MAX(0, A142 - $F$11 + 1)-6)/18, 0)))) + (IF(MAX(0, A142 - $F$12 + 1)&lt;=0, 0, IF(MAX(0, A142 - $F$12 + 1)&lt;=6, 70 - (70-14)*(MAX(0, A142 - $F$12 + 1)-1)/5, IF(MAX(0, A142 - $F$12 + 1)&lt;=24, 14 - 14*(MAX(0, A142 - $F$12 + 1)-6)/18, 0)))) + (IF(MAX(0, A142 - $F$13 + 1)&lt;=0, 0, IF(MAX(0, A142 - $F$13 + 1)&lt;=6, 70 - (70-14)*(MAX(0, A142 - $F$13 + 1)-1)/5, IF(MAX(0, A142 - $F$13 + 1)&lt;=24, 14 - 14*(MAX(0, A142 - $F$13 + 1)-6)/18, 0)))) + (IF(MAX(0, A142 - $F$14 + 1)&lt;=0, 0, IF(MAX(0, A142 - $F$14 + 1)&lt;=6, 70 - (70-14)*(MAX(0, A142 - $F$14 + 1)-1)/5, IF(MAX(0, A142 - $F$14 + 1)&lt;=24, 14 - 14*(MAX(0, A142 - $F$14 + 1)-6)/18, 0)))) ) * 200 / 12 / 1000</f>
        <v/>
      </c>
      <c r="F142" s="306">
        <f>IF(A142&lt;$F$6,0,IF(AND($B$21=1,A142&gt;$B$19),0,$E$6*$G$6^MIN((A142-$F$6)/12,6)*MIN($G$6,0.85)^MAX(0,(A142-$F$6)/12-6)))</f>
        <v/>
      </c>
      <c r="G142" s="306">
        <f>IF(A142&lt;$F$7,0,IF(AND($B$21=1,A142&gt;$B$19),0,$E$7*$G$7^MIN((A142-$F$7)/12,6)*MIN($G$7,0.85)^MAX(0,(A142-$F$7)/12-6)))</f>
        <v/>
      </c>
      <c r="H142" s="306">
        <f>IF(A142&lt;$F$8,0,IF(AND($B$21=1,A142&gt;$B$19),0,$E$8*$G$8^MIN((A142-$F$8)/12,6)*MIN($G$8,0.85)^MAX(0,(A142-$F$8)/12-6)))</f>
        <v/>
      </c>
      <c r="I142" s="306">
        <f>IF(A142&lt;$F$9,0,IF(AND($B$21=1,A142&gt;$B$19),0,$E$9*$G$9^MIN((A142-$F$9)/12,6)*MIN($G$9,0.85)^MAX(0,(A142-$F$9)/12-6)))</f>
        <v/>
      </c>
      <c r="J142" s="306">
        <f>IF(A142&lt;$F$10,0,IF(AND($B$21=1,A142&gt;$B$19),0,$E$10*$G$10^MIN((A142-$F$10)/12,6)*MIN($G$10,0.85)^MAX(0,(A142-$F$10)/12-6)))</f>
        <v/>
      </c>
      <c r="K142" s="306">
        <f>IF(A142&lt;$F$11,0,IF(AND($B$21=1,A142&gt;$B$19),0,$E$11*$G$11^MIN((A142-$F$11)/12,6)*MIN($G$11,0.85)^MAX(0,(A142-$F$11)/12-6)))</f>
        <v/>
      </c>
      <c r="L142" s="306">
        <f>IF(A142&lt;$F$12,0,IF(AND($B$21=1,A142&gt;$B$19),0,$E$12*$G$12^MIN((A142-$F$12)/12,6)*MIN($G$12,0.85)^MAX(0,(A142-$F$12)/12-6)))</f>
        <v/>
      </c>
      <c r="M142" s="306">
        <f>IF(A142&lt;$F$13,0,IF(AND($B$21=1,A142&gt;$B$19),0,$E$13*$G$13^MIN((A142-$F$13)/12,6)*MIN($G$13,0.85)^MAX(0,(A142-$F$13)/12-6)))</f>
        <v/>
      </c>
      <c r="N142" s="306">
        <f>IF(A142&lt;$F$14,0,IF(AND($B$21=1,A142&gt;$B$19),0,$E$14*$G$14^MIN((A142-$F$14)/12,6)*MIN($G$14,0.85)^MAX(0,(A142-$F$14)/12-6)))</f>
        <v/>
      </c>
      <c r="O142" s="306">
        <f>SUM(F142:N142)</f>
        <v/>
      </c>
      <c r="P142" s="306">
        <f>O142/12</f>
        <v/>
      </c>
      <c r="Q142" s="306">
        <f>P142*$B$8</f>
        <v/>
      </c>
      <c r="R142" s="306">
        <f>P142*$B$9</f>
        <v/>
      </c>
      <c r="S142" s="306">
        <f>P142*$B$10</f>
        <v/>
      </c>
      <c r="T142" s="306">
        <f>P142-Q142-R142-S142-D142-E142</f>
        <v/>
      </c>
      <c r="U142" s="306">
        <f>MAX(0, T142 - $B$7*P142)</f>
        <v/>
      </c>
      <c r="V142" s="306">
        <f>T142-U142</f>
        <v/>
      </c>
      <c r="W142" s="306">
        <f>IF(A142=$F$6, $B$18*$B$16*$B$17/1000000, 0) + IF(A142=$F$7, $B$18*$B$16*$B$17/1000000, 0) + IF(A142=$F$8, $B$18*$B$16*$B$17/1000000, 0) + IF(A142=$F$9, $B$18*$B$16*$B$17/1000000, 0) + IF(A142=$F$10, $B$18*$B$16*$B$17/1000000, 0) + IF(A142=$F$11, $B$18*$B$16*$B$17/1000000, 0) + IF(A142=$F$12, $B$18*$B$16*$B$17/1000000, 0) + IF(A142=$F$13, $B$18*$B$16*$B$17/1000000, 0) + IF(A142=$F$14, $B$18*$B$16*$B$17/1000000, 0)</f>
        <v/>
      </c>
      <c r="X142" s="306">
        <f>V142-W142-C142</f>
        <v/>
      </c>
      <c r="Y142" s="306">
        <f>IF(AND(A142&lt;=$B$24, X142&gt;0), X142*$B$23, 0)</f>
        <v/>
      </c>
      <c r="Z142" s="306">
        <f>X142-Y142</f>
        <v/>
      </c>
      <c r="AA142" s="306">
        <f>IF(AND(A142=$B$19, $B$21=1), O142*$B$20, 0)</f>
        <v/>
      </c>
      <c r="AB142" s="306">
        <f>AB141+Z142+AA142</f>
        <v/>
      </c>
    </row>
    <row r="143">
      <c r="A143" s="306" t="n">
        <v>113</v>
      </c>
      <c r="B143" s="306">
        <f>CEILING(A143/12,1)</f>
        <v/>
      </c>
      <c r="C143" s="306">
        <f>IF(A143&lt;=12, $B$15/12, 0)</f>
        <v/>
      </c>
      <c r="D143" s="306">
        <f>INDEX('26. Team Comp'!$D$28:$R$28, B143) * 0.001 / 12</f>
        <v/>
      </c>
      <c r="E143" s="306">
        <f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+ (IF(MAX(0, A143 - $F$11 + 1)&lt;=0, 0, IF(MAX(0, A143 - $F$11 + 1)&lt;=6, 70 - (70-14)*(MAX(0, A143 - $F$11 + 1)-1)/5, IF(MAX(0, A143 - $F$11 + 1)&lt;=24, 14 - 14*(MAX(0, A143 - $F$11 + 1)-6)/18, 0)))) + (IF(MAX(0, A143 - $F$12 + 1)&lt;=0, 0, IF(MAX(0, A143 - $F$12 + 1)&lt;=6, 70 - (70-14)*(MAX(0, A143 - $F$12 + 1)-1)/5, IF(MAX(0, A143 - $F$12 + 1)&lt;=24, 14 - 14*(MAX(0, A143 - $F$12 + 1)-6)/18, 0)))) + (IF(MAX(0, A143 - $F$13 + 1)&lt;=0, 0, IF(MAX(0, A143 - $F$13 + 1)&lt;=6, 70 - (70-14)*(MAX(0, A143 - $F$13 + 1)-1)/5, IF(MAX(0, A143 - $F$13 + 1)&lt;=24, 14 - 14*(MAX(0, A143 - $F$13 + 1)-6)/18, 0)))) + (IF(MAX(0, A143 - $F$14 + 1)&lt;=0, 0, IF(MAX(0, A143 - $F$14 + 1)&lt;=6, 70 - (70-14)*(MAX(0, A143 - $F$14 + 1)-1)/5, IF(MAX(0, A143 - $F$14 + 1)&lt;=24, 14 - 14*(MAX(0, A143 - $F$14 + 1)-6)/18, 0)))) ) * 200 / 12 / 1000</f>
        <v/>
      </c>
      <c r="F143" s="306">
        <f>IF(A143&lt;$F$6,0,IF(AND($B$21=1,A143&gt;$B$19),0,$E$6*$G$6^MIN((A143-$F$6)/12,6)*MIN($G$6,0.85)^MAX(0,(A143-$F$6)/12-6)))</f>
        <v/>
      </c>
      <c r="G143" s="306">
        <f>IF(A143&lt;$F$7,0,IF(AND($B$21=1,A143&gt;$B$19),0,$E$7*$G$7^MIN((A143-$F$7)/12,6)*MIN($G$7,0.85)^MAX(0,(A143-$F$7)/12-6)))</f>
        <v/>
      </c>
      <c r="H143" s="306">
        <f>IF(A143&lt;$F$8,0,IF(AND($B$21=1,A143&gt;$B$19),0,$E$8*$G$8^MIN((A143-$F$8)/12,6)*MIN($G$8,0.85)^MAX(0,(A143-$F$8)/12-6)))</f>
        <v/>
      </c>
      <c r="I143" s="306">
        <f>IF(A143&lt;$F$9,0,IF(AND($B$21=1,A143&gt;$B$19),0,$E$9*$G$9^MIN((A143-$F$9)/12,6)*MIN($G$9,0.85)^MAX(0,(A143-$F$9)/12-6)))</f>
        <v/>
      </c>
      <c r="J143" s="306">
        <f>IF(A143&lt;$F$10,0,IF(AND($B$21=1,A143&gt;$B$19),0,$E$10*$G$10^MIN((A143-$F$10)/12,6)*MIN($G$10,0.85)^MAX(0,(A143-$F$10)/12-6)))</f>
        <v/>
      </c>
      <c r="K143" s="306">
        <f>IF(A143&lt;$F$11,0,IF(AND($B$21=1,A143&gt;$B$19),0,$E$11*$G$11^MIN((A143-$F$11)/12,6)*MIN($G$11,0.85)^MAX(0,(A143-$F$11)/12-6)))</f>
        <v/>
      </c>
      <c r="L143" s="306">
        <f>IF(A143&lt;$F$12,0,IF(AND($B$21=1,A143&gt;$B$19),0,$E$12*$G$12^MIN((A143-$F$12)/12,6)*MIN($G$12,0.85)^MAX(0,(A143-$F$12)/12-6)))</f>
        <v/>
      </c>
      <c r="M143" s="306">
        <f>IF(A143&lt;$F$13,0,IF(AND($B$21=1,A143&gt;$B$19),0,$E$13*$G$13^MIN((A143-$F$13)/12,6)*MIN($G$13,0.85)^MAX(0,(A143-$F$13)/12-6)))</f>
        <v/>
      </c>
      <c r="N143" s="306">
        <f>IF(A143&lt;$F$14,0,IF(AND($B$21=1,A143&gt;$B$19),0,$E$14*$G$14^MIN((A143-$F$14)/12,6)*MIN($G$14,0.85)^MAX(0,(A143-$F$14)/12-6)))</f>
        <v/>
      </c>
      <c r="O143" s="306">
        <f>SUM(F143:N143)</f>
        <v/>
      </c>
      <c r="P143" s="306">
        <f>O143/12</f>
        <v/>
      </c>
      <c r="Q143" s="306">
        <f>P143*$B$8</f>
        <v/>
      </c>
      <c r="R143" s="306">
        <f>P143*$B$9</f>
        <v/>
      </c>
      <c r="S143" s="306">
        <f>P143*$B$10</f>
        <v/>
      </c>
      <c r="T143" s="306">
        <f>P143-Q143-R143-S143-D143-E143</f>
        <v/>
      </c>
      <c r="U143" s="306">
        <f>MAX(0, T143 - $B$7*P143)</f>
        <v/>
      </c>
      <c r="V143" s="306">
        <f>T143-U143</f>
        <v/>
      </c>
      <c r="W143" s="306">
        <f>IF(A143=$F$6, $B$18*$B$16*$B$17/1000000, 0) + IF(A143=$F$7, $B$18*$B$16*$B$17/1000000, 0) + IF(A143=$F$8, $B$18*$B$16*$B$17/1000000, 0) + IF(A143=$F$9, $B$18*$B$16*$B$17/1000000, 0) + IF(A143=$F$10, $B$18*$B$16*$B$17/1000000, 0) + IF(A143=$F$11, $B$18*$B$16*$B$17/1000000, 0) + IF(A143=$F$12, $B$18*$B$16*$B$17/1000000, 0) + IF(A143=$F$13, $B$18*$B$16*$B$17/1000000, 0) + IF(A143=$F$14, $B$18*$B$16*$B$17/1000000, 0)</f>
        <v/>
      </c>
      <c r="X143" s="306">
        <f>V143-W143-C143</f>
        <v/>
      </c>
      <c r="Y143" s="306">
        <f>IF(AND(A143&lt;=$B$24, X143&gt;0), X143*$B$23, 0)</f>
        <v/>
      </c>
      <c r="Z143" s="306">
        <f>X143-Y143</f>
        <v/>
      </c>
      <c r="AA143" s="306">
        <f>IF(AND(A143=$B$19, $B$21=1), O143*$B$20, 0)</f>
        <v/>
      </c>
      <c r="AB143" s="306">
        <f>AB142+Z143+AA143</f>
        <v/>
      </c>
    </row>
    <row r="144">
      <c r="A144" s="306" t="n">
        <v>114</v>
      </c>
      <c r="B144" s="306">
        <f>CEILING(A144/12,1)</f>
        <v/>
      </c>
      <c r="C144" s="306">
        <f>IF(A144&lt;=12, $B$15/12, 0)</f>
        <v/>
      </c>
      <c r="D144" s="306">
        <f>INDEX('26. Team Comp'!$D$28:$R$28, B144) * 0.001 / 12</f>
        <v/>
      </c>
      <c r="E144" s="306">
        <f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+ (IF(MAX(0, A144 - $F$11 + 1)&lt;=0, 0, IF(MAX(0, A144 - $F$11 + 1)&lt;=6, 70 - (70-14)*(MAX(0, A144 - $F$11 + 1)-1)/5, IF(MAX(0, A144 - $F$11 + 1)&lt;=24, 14 - 14*(MAX(0, A144 - $F$11 + 1)-6)/18, 0)))) + (IF(MAX(0, A144 - $F$12 + 1)&lt;=0, 0, IF(MAX(0, A144 - $F$12 + 1)&lt;=6, 70 - (70-14)*(MAX(0, A144 - $F$12 + 1)-1)/5, IF(MAX(0, A144 - $F$12 + 1)&lt;=24, 14 - 14*(MAX(0, A144 - $F$12 + 1)-6)/18, 0)))) + (IF(MAX(0, A144 - $F$13 + 1)&lt;=0, 0, IF(MAX(0, A144 - $F$13 + 1)&lt;=6, 70 - (70-14)*(MAX(0, A144 - $F$13 + 1)-1)/5, IF(MAX(0, A144 - $F$13 + 1)&lt;=24, 14 - 14*(MAX(0, A144 - $F$13 + 1)-6)/18, 0)))) + (IF(MAX(0, A144 - $F$14 + 1)&lt;=0, 0, IF(MAX(0, A144 - $F$14 + 1)&lt;=6, 70 - (70-14)*(MAX(0, A144 - $F$14 + 1)-1)/5, IF(MAX(0, A144 - $F$14 + 1)&lt;=24, 14 - 14*(MAX(0, A144 - $F$14 + 1)-6)/18, 0)))) ) * 200 / 12 / 1000</f>
        <v/>
      </c>
      <c r="F144" s="306">
        <f>IF(A144&lt;$F$6,0,IF(AND($B$21=1,A144&gt;$B$19),0,$E$6*$G$6^MIN((A144-$F$6)/12,6)*MIN($G$6,0.85)^MAX(0,(A144-$F$6)/12-6)))</f>
        <v/>
      </c>
      <c r="G144" s="306">
        <f>IF(A144&lt;$F$7,0,IF(AND($B$21=1,A144&gt;$B$19),0,$E$7*$G$7^MIN((A144-$F$7)/12,6)*MIN($G$7,0.85)^MAX(0,(A144-$F$7)/12-6)))</f>
        <v/>
      </c>
      <c r="H144" s="306">
        <f>IF(A144&lt;$F$8,0,IF(AND($B$21=1,A144&gt;$B$19),0,$E$8*$G$8^MIN((A144-$F$8)/12,6)*MIN($G$8,0.85)^MAX(0,(A144-$F$8)/12-6)))</f>
        <v/>
      </c>
      <c r="I144" s="306">
        <f>IF(A144&lt;$F$9,0,IF(AND($B$21=1,A144&gt;$B$19),0,$E$9*$G$9^MIN((A144-$F$9)/12,6)*MIN($G$9,0.85)^MAX(0,(A144-$F$9)/12-6)))</f>
        <v/>
      </c>
      <c r="J144" s="306">
        <f>IF(A144&lt;$F$10,0,IF(AND($B$21=1,A144&gt;$B$19),0,$E$10*$G$10^MIN((A144-$F$10)/12,6)*MIN($G$10,0.85)^MAX(0,(A144-$F$10)/12-6)))</f>
        <v/>
      </c>
      <c r="K144" s="306">
        <f>IF(A144&lt;$F$11,0,IF(AND($B$21=1,A144&gt;$B$19),0,$E$11*$G$11^MIN((A144-$F$11)/12,6)*MIN($G$11,0.85)^MAX(0,(A144-$F$11)/12-6)))</f>
        <v/>
      </c>
      <c r="L144" s="306">
        <f>IF(A144&lt;$F$12,0,IF(AND($B$21=1,A144&gt;$B$19),0,$E$12*$G$12^MIN((A144-$F$12)/12,6)*MIN($G$12,0.85)^MAX(0,(A144-$F$12)/12-6)))</f>
        <v/>
      </c>
      <c r="M144" s="306">
        <f>IF(A144&lt;$F$13,0,IF(AND($B$21=1,A144&gt;$B$19),0,$E$13*$G$13^MIN((A144-$F$13)/12,6)*MIN($G$13,0.85)^MAX(0,(A144-$F$13)/12-6)))</f>
        <v/>
      </c>
      <c r="N144" s="306">
        <f>IF(A144&lt;$F$14,0,IF(AND($B$21=1,A144&gt;$B$19),0,$E$14*$G$14^MIN((A144-$F$14)/12,6)*MIN($G$14,0.85)^MAX(0,(A144-$F$14)/12-6)))</f>
        <v/>
      </c>
      <c r="O144" s="306">
        <f>SUM(F144:N144)</f>
        <v/>
      </c>
      <c r="P144" s="306">
        <f>O144/12</f>
        <v/>
      </c>
      <c r="Q144" s="306">
        <f>P144*$B$8</f>
        <v/>
      </c>
      <c r="R144" s="306">
        <f>P144*$B$9</f>
        <v/>
      </c>
      <c r="S144" s="306">
        <f>P144*$B$10</f>
        <v/>
      </c>
      <c r="T144" s="306">
        <f>P144-Q144-R144-S144-D144-E144</f>
        <v/>
      </c>
      <c r="U144" s="306">
        <f>MAX(0, T144 - $B$7*P144)</f>
        <v/>
      </c>
      <c r="V144" s="306">
        <f>T144-U144</f>
        <v/>
      </c>
      <c r="W144" s="306">
        <f>IF(A144=$F$6, $B$18*$B$16*$B$17/1000000, 0) + IF(A144=$F$7, $B$18*$B$16*$B$17/1000000, 0) + IF(A144=$F$8, $B$18*$B$16*$B$17/1000000, 0) + IF(A144=$F$9, $B$18*$B$16*$B$17/1000000, 0) + IF(A144=$F$10, $B$18*$B$16*$B$17/1000000, 0) + IF(A144=$F$11, $B$18*$B$16*$B$17/1000000, 0) + IF(A144=$F$12, $B$18*$B$16*$B$17/1000000, 0) + IF(A144=$F$13, $B$18*$B$16*$B$17/1000000, 0) + IF(A144=$F$14, $B$18*$B$16*$B$17/1000000, 0)</f>
        <v/>
      </c>
      <c r="X144" s="306">
        <f>V144-W144-C144</f>
        <v/>
      </c>
      <c r="Y144" s="306">
        <f>IF(AND(A144&lt;=$B$24, X144&gt;0), X144*$B$23, 0)</f>
        <v/>
      </c>
      <c r="Z144" s="306">
        <f>X144-Y144</f>
        <v/>
      </c>
      <c r="AA144" s="306">
        <f>IF(AND(A144=$B$19, $B$21=1), O144*$B$20, 0)</f>
        <v/>
      </c>
      <c r="AB144" s="306">
        <f>AB143+Z144+AA144</f>
        <v/>
      </c>
    </row>
    <row r="145">
      <c r="A145" s="306" t="n">
        <v>115</v>
      </c>
      <c r="B145" s="306">
        <f>CEILING(A145/12,1)</f>
        <v/>
      </c>
      <c r="C145" s="306">
        <f>IF(A145&lt;=12, $B$15/12, 0)</f>
        <v/>
      </c>
      <c r="D145" s="306">
        <f>INDEX('26. Team Comp'!$D$28:$R$28, B145) * 0.001 / 12</f>
        <v/>
      </c>
      <c r="E145" s="306">
        <f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+ (IF(MAX(0, A145 - $F$11 + 1)&lt;=0, 0, IF(MAX(0, A145 - $F$11 + 1)&lt;=6, 70 - (70-14)*(MAX(0, A145 - $F$11 + 1)-1)/5, IF(MAX(0, A145 - $F$11 + 1)&lt;=24, 14 - 14*(MAX(0, A145 - $F$11 + 1)-6)/18, 0)))) + (IF(MAX(0, A145 - $F$12 + 1)&lt;=0, 0, IF(MAX(0, A145 - $F$12 + 1)&lt;=6, 70 - (70-14)*(MAX(0, A145 - $F$12 + 1)-1)/5, IF(MAX(0, A145 - $F$12 + 1)&lt;=24, 14 - 14*(MAX(0, A145 - $F$12 + 1)-6)/18, 0)))) + (IF(MAX(0, A145 - $F$13 + 1)&lt;=0, 0, IF(MAX(0, A145 - $F$13 + 1)&lt;=6, 70 - (70-14)*(MAX(0, A145 - $F$13 + 1)-1)/5, IF(MAX(0, A145 - $F$13 + 1)&lt;=24, 14 - 14*(MAX(0, A145 - $F$13 + 1)-6)/18, 0)))) + (IF(MAX(0, A145 - $F$14 + 1)&lt;=0, 0, IF(MAX(0, A145 - $F$14 + 1)&lt;=6, 70 - (70-14)*(MAX(0, A145 - $F$14 + 1)-1)/5, IF(MAX(0, A145 - $F$14 + 1)&lt;=24, 14 - 14*(MAX(0, A145 - $F$14 + 1)-6)/18, 0)))) ) * 200 / 12 / 1000</f>
        <v/>
      </c>
      <c r="F145" s="306">
        <f>IF(A145&lt;$F$6,0,IF(AND($B$21=1,A145&gt;$B$19),0,$E$6*$G$6^MIN((A145-$F$6)/12,6)*MIN($G$6,0.85)^MAX(0,(A145-$F$6)/12-6)))</f>
        <v/>
      </c>
      <c r="G145" s="306">
        <f>IF(A145&lt;$F$7,0,IF(AND($B$21=1,A145&gt;$B$19),0,$E$7*$G$7^MIN((A145-$F$7)/12,6)*MIN($G$7,0.85)^MAX(0,(A145-$F$7)/12-6)))</f>
        <v/>
      </c>
      <c r="H145" s="306">
        <f>IF(A145&lt;$F$8,0,IF(AND($B$21=1,A145&gt;$B$19),0,$E$8*$G$8^MIN((A145-$F$8)/12,6)*MIN($G$8,0.85)^MAX(0,(A145-$F$8)/12-6)))</f>
        <v/>
      </c>
      <c r="I145" s="306">
        <f>IF(A145&lt;$F$9,0,IF(AND($B$21=1,A145&gt;$B$19),0,$E$9*$G$9^MIN((A145-$F$9)/12,6)*MIN($G$9,0.85)^MAX(0,(A145-$F$9)/12-6)))</f>
        <v/>
      </c>
      <c r="J145" s="306">
        <f>IF(A145&lt;$F$10,0,IF(AND($B$21=1,A145&gt;$B$19),0,$E$10*$G$10^MIN((A145-$F$10)/12,6)*MIN($G$10,0.85)^MAX(0,(A145-$F$10)/12-6)))</f>
        <v/>
      </c>
      <c r="K145" s="306">
        <f>IF(A145&lt;$F$11,0,IF(AND($B$21=1,A145&gt;$B$19),0,$E$11*$G$11^MIN((A145-$F$11)/12,6)*MIN($G$11,0.85)^MAX(0,(A145-$F$11)/12-6)))</f>
        <v/>
      </c>
      <c r="L145" s="306">
        <f>IF(A145&lt;$F$12,0,IF(AND($B$21=1,A145&gt;$B$19),0,$E$12*$G$12^MIN((A145-$F$12)/12,6)*MIN($G$12,0.85)^MAX(0,(A145-$F$12)/12-6)))</f>
        <v/>
      </c>
      <c r="M145" s="306">
        <f>IF(A145&lt;$F$13,0,IF(AND($B$21=1,A145&gt;$B$19),0,$E$13*$G$13^MIN((A145-$F$13)/12,6)*MIN($G$13,0.85)^MAX(0,(A145-$F$13)/12-6)))</f>
        <v/>
      </c>
      <c r="N145" s="306">
        <f>IF(A145&lt;$F$14,0,IF(AND($B$21=1,A145&gt;$B$19),0,$E$14*$G$14^MIN((A145-$F$14)/12,6)*MIN($G$14,0.85)^MAX(0,(A145-$F$14)/12-6)))</f>
        <v/>
      </c>
      <c r="O145" s="306">
        <f>SUM(F145:N145)</f>
        <v/>
      </c>
      <c r="P145" s="306">
        <f>O145/12</f>
        <v/>
      </c>
      <c r="Q145" s="306">
        <f>P145*$B$8</f>
        <v/>
      </c>
      <c r="R145" s="306">
        <f>P145*$B$9</f>
        <v/>
      </c>
      <c r="S145" s="306">
        <f>P145*$B$10</f>
        <v/>
      </c>
      <c r="T145" s="306">
        <f>P145-Q145-R145-S145-D145-E145</f>
        <v/>
      </c>
      <c r="U145" s="306">
        <f>MAX(0, T145 - $B$7*P145)</f>
        <v/>
      </c>
      <c r="V145" s="306">
        <f>T145-U145</f>
        <v/>
      </c>
      <c r="W145" s="306">
        <f>IF(A145=$F$6, $B$18*$B$16*$B$17/1000000, 0) + IF(A145=$F$7, $B$18*$B$16*$B$17/1000000, 0) + IF(A145=$F$8, $B$18*$B$16*$B$17/1000000, 0) + IF(A145=$F$9, $B$18*$B$16*$B$17/1000000, 0) + IF(A145=$F$10, $B$18*$B$16*$B$17/1000000, 0) + IF(A145=$F$11, $B$18*$B$16*$B$17/1000000, 0) + IF(A145=$F$12, $B$18*$B$16*$B$17/1000000, 0) + IF(A145=$F$13, $B$18*$B$16*$B$17/1000000, 0) + IF(A145=$F$14, $B$18*$B$16*$B$17/1000000, 0)</f>
        <v/>
      </c>
      <c r="X145" s="306">
        <f>V145-W145-C145</f>
        <v/>
      </c>
      <c r="Y145" s="306">
        <f>IF(AND(A145&lt;=$B$24, X145&gt;0), X145*$B$23, 0)</f>
        <v/>
      </c>
      <c r="Z145" s="306">
        <f>X145-Y145</f>
        <v/>
      </c>
      <c r="AA145" s="306">
        <f>IF(AND(A145=$B$19, $B$21=1), O145*$B$20, 0)</f>
        <v/>
      </c>
      <c r="AB145" s="306">
        <f>AB144+Z145+AA145</f>
        <v/>
      </c>
    </row>
    <row r="146">
      <c r="A146" s="306" t="n">
        <v>116</v>
      </c>
      <c r="B146" s="306">
        <f>CEILING(A146/12,1)</f>
        <v/>
      </c>
      <c r="C146" s="306">
        <f>IF(A146&lt;=12, $B$15/12, 0)</f>
        <v/>
      </c>
      <c r="D146" s="306">
        <f>INDEX('26. Team Comp'!$D$28:$R$28, B146) * 0.001 / 12</f>
        <v/>
      </c>
      <c r="E146" s="306">
        <f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+ (IF(MAX(0, A146 - $F$11 + 1)&lt;=0, 0, IF(MAX(0, A146 - $F$11 + 1)&lt;=6, 70 - (70-14)*(MAX(0, A146 - $F$11 + 1)-1)/5, IF(MAX(0, A146 - $F$11 + 1)&lt;=24, 14 - 14*(MAX(0, A146 - $F$11 + 1)-6)/18, 0)))) + (IF(MAX(0, A146 - $F$12 + 1)&lt;=0, 0, IF(MAX(0, A146 - $F$12 + 1)&lt;=6, 70 - (70-14)*(MAX(0, A146 - $F$12 + 1)-1)/5, IF(MAX(0, A146 - $F$12 + 1)&lt;=24, 14 - 14*(MAX(0, A146 - $F$12 + 1)-6)/18, 0)))) + (IF(MAX(0, A146 - $F$13 + 1)&lt;=0, 0, IF(MAX(0, A146 - $F$13 + 1)&lt;=6, 70 - (70-14)*(MAX(0, A146 - $F$13 + 1)-1)/5, IF(MAX(0, A146 - $F$13 + 1)&lt;=24, 14 - 14*(MAX(0, A146 - $F$13 + 1)-6)/18, 0)))) + (IF(MAX(0, A146 - $F$14 + 1)&lt;=0, 0, IF(MAX(0, A146 - $F$14 + 1)&lt;=6, 70 - (70-14)*(MAX(0, A146 - $F$14 + 1)-1)/5, IF(MAX(0, A146 - $F$14 + 1)&lt;=24, 14 - 14*(MAX(0, A146 - $F$14 + 1)-6)/18, 0)))) ) * 200 / 12 / 1000</f>
        <v/>
      </c>
      <c r="F146" s="306">
        <f>IF(A146&lt;$F$6,0,IF(AND($B$21=1,A146&gt;$B$19),0,$E$6*$G$6^MIN((A146-$F$6)/12,6)*MIN($G$6,0.85)^MAX(0,(A146-$F$6)/12-6)))</f>
        <v/>
      </c>
      <c r="G146" s="306">
        <f>IF(A146&lt;$F$7,0,IF(AND($B$21=1,A146&gt;$B$19),0,$E$7*$G$7^MIN((A146-$F$7)/12,6)*MIN($G$7,0.85)^MAX(0,(A146-$F$7)/12-6)))</f>
        <v/>
      </c>
      <c r="H146" s="306">
        <f>IF(A146&lt;$F$8,0,IF(AND($B$21=1,A146&gt;$B$19),0,$E$8*$G$8^MIN((A146-$F$8)/12,6)*MIN($G$8,0.85)^MAX(0,(A146-$F$8)/12-6)))</f>
        <v/>
      </c>
      <c r="I146" s="306">
        <f>IF(A146&lt;$F$9,0,IF(AND($B$21=1,A146&gt;$B$19),0,$E$9*$G$9^MIN((A146-$F$9)/12,6)*MIN($G$9,0.85)^MAX(0,(A146-$F$9)/12-6)))</f>
        <v/>
      </c>
      <c r="J146" s="306">
        <f>IF(A146&lt;$F$10,0,IF(AND($B$21=1,A146&gt;$B$19),0,$E$10*$G$10^MIN((A146-$F$10)/12,6)*MIN($G$10,0.85)^MAX(0,(A146-$F$10)/12-6)))</f>
        <v/>
      </c>
      <c r="K146" s="306">
        <f>IF(A146&lt;$F$11,0,IF(AND($B$21=1,A146&gt;$B$19),0,$E$11*$G$11^MIN((A146-$F$11)/12,6)*MIN($G$11,0.85)^MAX(0,(A146-$F$11)/12-6)))</f>
        <v/>
      </c>
      <c r="L146" s="306">
        <f>IF(A146&lt;$F$12,0,IF(AND($B$21=1,A146&gt;$B$19),0,$E$12*$G$12^MIN((A146-$F$12)/12,6)*MIN($G$12,0.85)^MAX(0,(A146-$F$12)/12-6)))</f>
        <v/>
      </c>
      <c r="M146" s="306">
        <f>IF(A146&lt;$F$13,0,IF(AND($B$21=1,A146&gt;$B$19),0,$E$13*$G$13^MIN((A146-$F$13)/12,6)*MIN($G$13,0.85)^MAX(0,(A146-$F$13)/12-6)))</f>
        <v/>
      </c>
      <c r="N146" s="306">
        <f>IF(A146&lt;$F$14,0,IF(AND($B$21=1,A146&gt;$B$19),0,$E$14*$G$14^MIN((A146-$F$14)/12,6)*MIN($G$14,0.85)^MAX(0,(A146-$F$14)/12-6)))</f>
        <v/>
      </c>
      <c r="O146" s="306">
        <f>SUM(F146:N146)</f>
        <v/>
      </c>
      <c r="P146" s="306">
        <f>O146/12</f>
        <v/>
      </c>
      <c r="Q146" s="306">
        <f>P146*$B$8</f>
        <v/>
      </c>
      <c r="R146" s="306">
        <f>P146*$B$9</f>
        <v/>
      </c>
      <c r="S146" s="306">
        <f>P146*$B$10</f>
        <v/>
      </c>
      <c r="T146" s="306">
        <f>P146-Q146-R146-S146-D146-E146</f>
        <v/>
      </c>
      <c r="U146" s="306">
        <f>MAX(0, T146 - $B$7*P146)</f>
        <v/>
      </c>
      <c r="V146" s="306">
        <f>T146-U146</f>
        <v/>
      </c>
      <c r="W146" s="306">
        <f>IF(A146=$F$6, $B$18*$B$16*$B$17/1000000, 0) + IF(A146=$F$7, $B$18*$B$16*$B$17/1000000, 0) + IF(A146=$F$8, $B$18*$B$16*$B$17/1000000, 0) + IF(A146=$F$9, $B$18*$B$16*$B$17/1000000, 0) + IF(A146=$F$10, $B$18*$B$16*$B$17/1000000, 0) + IF(A146=$F$11, $B$18*$B$16*$B$17/1000000, 0) + IF(A146=$F$12, $B$18*$B$16*$B$17/1000000, 0) + IF(A146=$F$13, $B$18*$B$16*$B$17/1000000, 0) + IF(A146=$F$14, $B$18*$B$16*$B$17/1000000, 0)</f>
        <v/>
      </c>
      <c r="X146" s="306">
        <f>V146-W146-C146</f>
        <v/>
      </c>
      <c r="Y146" s="306">
        <f>IF(AND(A146&lt;=$B$24, X146&gt;0), X146*$B$23, 0)</f>
        <v/>
      </c>
      <c r="Z146" s="306">
        <f>X146-Y146</f>
        <v/>
      </c>
      <c r="AA146" s="306">
        <f>IF(AND(A146=$B$19, $B$21=1), O146*$B$20, 0)</f>
        <v/>
      </c>
      <c r="AB146" s="306">
        <f>AB145+Z146+AA146</f>
        <v/>
      </c>
    </row>
    <row r="147">
      <c r="A147" s="306" t="n">
        <v>117</v>
      </c>
      <c r="B147" s="306">
        <f>CEILING(A147/12,1)</f>
        <v/>
      </c>
      <c r="C147" s="306">
        <f>IF(A147&lt;=12, $B$15/12, 0)</f>
        <v/>
      </c>
      <c r="D147" s="306">
        <f>INDEX('26. Team Comp'!$D$28:$R$28, B147) * 0.001 / 12</f>
        <v/>
      </c>
      <c r="E147" s="306">
        <f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+ (IF(MAX(0, A147 - $F$11 + 1)&lt;=0, 0, IF(MAX(0, A147 - $F$11 + 1)&lt;=6, 70 - (70-14)*(MAX(0, A147 - $F$11 + 1)-1)/5, IF(MAX(0, A147 - $F$11 + 1)&lt;=24, 14 - 14*(MAX(0, A147 - $F$11 + 1)-6)/18, 0)))) + (IF(MAX(0, A147 - $F$12 + 1)&lt;=0, 0, IF(MAX(0, A147 - $F$12 + 1)&lt;=6, 70 - (70-14)*(MAX(0, A147 - $F$12 + 1)-1)/5, IF(MAX(0, A147 - $F$12 + 1)&lt;=24, 14 - 14*(MAX(0, A147 - $F$12 + 1)-6)/18, 0)))) + (IF(MAX(0, A147 - $F$13 + 1)&lt;=0, 0, IF(MAX(0, A147 - $F$13 + 1)&lt;=6, 70 - (70-14)*(MAX(0, A147 - $F$13 + 1)-1)/5, IF(MAX(0, A147 - $F$13 + 1)&lt;=24, 14 - 14*(MAX(0, A147 - $F$13 + 1)-6)/18, 0)))) + (IF(MAX(0, A147 - $F$14 + 1)&lt;=0, 0, IF(MAX(0, A147 - $F$14 + 1)&lt;=6, 70 - (70-14)*(MAX(0, A147 - $F$14 + 1)-1)/5, IF(MAX(0, A147 - $F$14 + 1)&lt;=24, 14 - 14*(MAX(0, A147 - $F$14 + 1)-6)/18, 0)))) ) * 200 / 12 / 1000</f>
        <v/>
      </c>
      <c r="F147" s="306">
        <f>IF(A147&lt;$F$6,0,IF(AND($B$21=1,A147&gt;$B$19),0,$E$6*$G$6^MIN((A147-$F$6)/12,6)*MIN($G$6,0.85)^MAX(0,(A147-$F$6)/12-6)))</f>
        <v/>
      </c>
      <c r="G147" s="306">
        <f>IF(A147&lt;$F$7,0,IF(AND($B$21=1,A147&gt;$B$19),0,$E$7*$G$7^MIN((A147-$F$7)/12,6)*MIN($G$7,0.85)^MAX(0,(A147-$F$7)/12-6)))</f>
        <v/>
      </c>
      <c r="H147" s="306">
        <f>IF(A147&lt;$F$8,0,IF(AND($B$21=1,A147&gt;$B$19),0,$E$8*$G$8^MIN((A147-$F$8)/12,6)*MIN($G$8,0.85)^MAX(0,(A147-$F$8)/12-6)))</f>
        <v/>
      </c>
      <c r="I147" s="306">
        <f>IF(A147&lt;$F$9,0,IF(AND($B$21=1,A147&gt;$B$19),0,$E$9*$G$9^MIN((A147-$F$9)/12,6)*MIN($G$9,0.85)^MAX(0,(A147-$F$9)/12-6)))</f>
        <v/>
      </c>
      <c r="J147" s="306">
        <f>IF(A147&lt;$F$10,0,IF(AND($B$21=1,A147&gt;$B$19),0,$E$10*$G$10^MIN((A147-$F$10)/12,6)*MIN($G$10,0.85)^MAX(0,(A147-$F$10)/12-6)))</f>
        <v/>
      </c>
      <c r="K147" s="306">
        <f>IF(A147&lt;$F$11,0,IF(AND($B$21=1,A147&gt;$B$19),0,$E$11*$G$11^MIN((A147-$F$11)/12,6)*MIN($G$11,0.85)^MAX(0,(A147-$F$11)/12-6)))</f>
        <v/>
      </c>
      <c r="L147" s="306">
        <f>IF(A147&lt;$F$12,0,IF(AND($B$21=1,A147&gt;$B$19),0,$E$12*$G$12^MIN((A147-$F$12)/12,6)*MIN($G$12,0.85)^MAX(0,(A147-$F$12)/12-6)))</f>
        <v/>
      </c>
      <c r="M147" s="306">
        <f>IF(A147&lt;$F$13,0,IF(AND($B$21=1,A147&gt;$B$19),0,$E$13*$G$13^MIN((A147-$F$13)/12,6)*MIN($G$13,0.85)^MAX(0,(A147-$F$13)/12-6)))</f>
        <v/>
      </c>
      <c r="N147" s="306">
        <f>IF(A147&lt;$F$14,0,IF(AND($B$21=1,A147&gt;$B$19),0,$E$14*$G$14^MIN((A147-$F$14)/12,6)*MIN($G$14,0.85)^MAX(0,(A147-$F$14)/12-6)))</f>
        <v/>
      </c>
      <c r="O147" s="306">
        <f>SUM(F147:N147)</f>
        <v/>
      </c>
      <c r="P147" s="306">
        <f>O147/12</f>
        <v/>
      </c>
      <c r="Q147" s="306">
        <f>P147*$B$8</f>
        <v/>
      </c>
      <c r="R147" s="306">
        <f>P147*$B$9</f>
        <v/>
      </c>
      <c r="S147" s="306">
        <f>P147*$B$10</f>
        <v/>
      </c>
      <c r="T147" s="306">
        <f>P147-Q147-R147-S147-D147-E147</f>
        <v/>
      </c>
      <c r="U147" s="306">
        <f>MAX(0, T147 - $B$7*P147)</f>
        <v/>
      </c>
      <c r="V147" s="306">
        <f>T147-U147</f>
        <v/>
      </c>
      <c r="W147" s="306">
        <f>IF(A147=$F$6, $B$18*$B$16*$B$17/1000000, 0) + IF(A147=$F$7, $B$18*$B$16*$B$17/1000000, 0) + IF(A147=$F$8, $B$18*$B$16*$B$17/1000000, 0) + IF(A147=$F$9, $B$18*$B$16*$B$17/1000000, 0) + IF(A147=$F$10, $B$18*$B$16*$B$17/1000000, 0) + IF(A147=$F$11, $B$18*$B$16*$B$17/1000000, 0) + IF(A147=$F$12, $B$18*$B$16*$B$17/1000000, 0) + IF(A147=$F$13, $B$18*$B$16*$B$17/1000000, 0) + IF(A147=$F$14, $B$18*$B$16*$B$17/1000000, 0)</f>
        <v/>
      </c>
      <c r="X147" s="306">
        <f>V147-W147-C147</f>
        <v/>
      </c>
      <c r="Y147" s="306">
        <f>IF(AND(A147&lt;=$B$24, X147&gt;0), X147*$B$23, 0)</f>
        <v/>
      </c>
      <c r="Z147" s="306">
        <f>X147-Y147</f>
        <v/>
      </c>
      <c r="AA147" s="306">
        <f>IF(AND(A147=$B$19, $B$21=1), O147*$B$20, 0)</f>
        <v/>
      </c>
      <c r="AB147" s="306">
        <f>AB146+Z147+AA147</f>
        <v/>
      </c>
    </row>
    <row r="148">
      <c r="A148" s="306" t="n">
        <v>118</v>
      </c>
      <c r="B148" s="306">
        <f>CEILING(A148/12,1)</f>
        <v/>
      </c>
      <c r="C148" s="306">
        <f>IF(A148&lt;=12, $B$15/12, 0)</f>
        <v/>
      </c>
      <c r="D148" s="306">
        <f>INDEX('26. Team Comp'!$D$28:$R$28, B148) * 0.001 / 12</f>
        <v/>
      </c>
      <c r="E148" s="306">
        <f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+ (IF(MAX(0, A148 - $F$11 + 1)&lt;=0, 0, IF(MAX(0, A148 - $F$11 + 1)&lt;=6, 70 - (70-14)*(MAX(0, A148 - $F$11 + 1)-1)/5, IF(MAX(0, A148 - $F$11 + 1)&lt;=24, 14 - 14*(MAX(0, A148 - $F$11 + 1)-6)/18, 0)))) + (IF(MAX(0, A148 - $F$12 + 1)&lt;=0, 0, IF(MAX(0, A148 - $F$12 + 1)&lt;=6, 70 - (70-14)*(MAX(0, A148 - $F$12 + 1)-1)/5, IF(MAX(0, A148 - $F$12 + 1)&lt;=24, 14 - 14*(MAX(0, A148 - $F$12 + 1)-6)/18, 0)))) + (IF(MAX(0, A148 - $F$13 + 1)&lt;=0, 0, IF(MAX(0, A148 - $F$13 + 1)&lt;=6, 70 - (70-14)*(MAX(0, A148 - $F$13 + 1)-1)/5, IF(MAX(0, A148 - $F$13 + 1)&lt;=24, 14 - 14*(MAX(0, A148 - $F$13 + 1)-6)/18, 0)))) + (IF(MAX(0, A148 - $F$14 + 1)&lt;=0, 0, IF(MAX(0, A148 - $F$14 + 1)&lt;=6, 70 - (70-14)*(MAX(0, A148 - $F$14 + 1)-1)/5, IF(MAX(0, A148 - $F$14 + 1)&lt;=24, 14 - 14*(MAX(0, A148 - $F$14 + 1)-6)/18, 0)))) ) * 200 / 12 / 1000</f>
        <v/>
      </c>
      <c r="F148" s="306">
        <f>IF(A148&lt;$F$6,0,IF(AND($B$21=1,A148&gt;$B$19),0,$E$6*$G$6^MIN((A148-$F$6)/12,6)*MIN($G$6,0.85)^MAX(0,(A148-$F$6)/12-6)))</f>
        <v/>
      </c>
      <c r="G148" s="306">
        <f>IF(A148&lt;$F$7,0,IF(AND($B$21=1,A148&gt;$B$19),0,$E$7*$G$7^MIN((A148-$F$7)/12,6)*MIN($G$7,0.85)^MAX(0,(A148-$F$7)/12-6)))</f>
        <v/>
      </c>
      <c r="H148" s="306">
        <f>IF(A148&lt;$F$8,0,IF(AND($B$21=1,A148&gt;$B$19),0,$E$8*$G$8^MIN((A148-$F$8)/12,6)*MIN($G$8,0.85)^MAX(0,(A148-$F$8)/12-6)))</f>
        <v/>
      </c>
      <c r="I148" s="306">
        <f>IF(A148&lt;$F$9,0,IF(AND($B$21=1,A148&gt;$B$19),0,$E$9*$G$9^MIN((A148-$F$9)/12,6)*MIN($G$9,0.85)^MAX(0,(A148-$F$9)/12-6)))</f>
        <v/>
      </c>
      <c r="J148" s="306">
        <f>IF(A148&lt;$F$10,0,IF(AND($B$21=1,A148&gt;$B$19),0,$E$10*$G$10^MIN((A148-$F$10)/12,6)*MIN($G$10,0.85)^MAX(0,(A148-$F$10)/12-6)))</f>
        <v/>
      </c>
      <c r="K148" s="306">
        <f>IF(A148&lt;$F$11,0,IF(AND($B$21=1,A148&gt;$B$19),0,$E$11*$G$11^MIN((A148-$F$11)/12,6)*MIN($G$11,0.85)^MAX(0,(A148-$F$11)/12-6)))</f>
        <v/>
      </c>
      <c r="L148" s="306">
        <f>IF(A148&lt;$F$12,0,IF(AND($B$21=1,A148&gt;$B$19),0,$E$12*$G$12^MIN((A148-$F$12)/12,6)*MIN($G$12,0.85)^MAX(0,(A148-$F$12)/12-6)))</f>
        <v/>
      </c>
      <c r="M148" s="306">
        <f>IF(A148&lt;$F$13,0,IF(AND($B$21=1,A148&gt;$B$19),0,$E$13*$G$13^MIN((A148-$F$13)/12,6)*MIN($G$13,0.85)^MAX(0,(A148-$F$13)/12-6)))</f>
        <v/>
      </c>
      <c r="N148" s="306">
        <f>IF(A148&lt;$F$14,0,IF(AND($B$21=1,A148&gt;$B$19),0,$E$14*$G$14^MIN((A148-$F$14)/12,6)*MIN($G$14,0.85)^MAX(0,(A148-$F$14)/12-6)))</f>
        <v/>
      </c>
      <c r="O148" s="306">
        <f>SUM(F148:N148)</f>
        <v/>
      </c>
      <c r="P148" s="306">
        <f>O148/12</f>
        <v/>
      </c>
      <c r="Q148" s="306">
        <f>P148*$B$8</f>
        <v/>
      </c>
      <c r="R148" s="306">
        <f>P148*$B$9</f>
        <v/>
      </c>
      <c r="S148" s="306">
        <f>P148*$B$10</f>
        <v/>
      </c>
      <c r="T148" s="306">
        <f>P148-Q148-R148-S148-D148-E148</f>
        <v/>
      </c>
      <c r="U148" s="306">
        <f>MAX(0, T148 - $B$7*P148)</f>
        <v/>
      </c>
      <c r="V148" s="306">
        <f>T148-U148</f>
        <v/>
      </c>
      <c r="W148" s="306">
        <f>IF(A148=$F$6, $B$18*$B$16*$B$17/1000000, 0) + IF(A148=$F$7, $B$18*$B$16*$B$17/1000000, 0) + IF(A148=$F$8, $B$18*$B$16*$B$17/1000000, 0) + IF(A148=$F$9, $B$18*$B$16*$B$17/1000000, 0) + IF(A148=$F$10, $B$18*$B$16*$B$17/1000000, 0) + IF(A148=$F$11, $B$18*$B$16*$B$17/1000000, 0) + IF(A148=$F$12, $B$18*$B$16*$B$17/1000000, 0) + IF(A148=$F$13, $B$18*$B$16*$B$17/1000000, 0) + IF(A148=$F$14, $B$18*$B$16*$B$17/1000000, 0)</f>
        <v/>
      </c>
      <c r="X148" s="306">
        <f>V148-W148-C148</f>
        <v/>
      </c>
      <c r="Y148" s="306">
        <f>IF(AND(A148&lt;=$B$24, X148&gt;0), X148*$B$23, 0)</f>
        <v/>
      </c>
      <c r="Z148" s="306">
        <f>X148-Y148</f>
        <v/>
      </c>
      <c r="AA148" s="306">
        <f>IF(AND(A148=$B$19, $B$21=1), O148*$B$20, 0)</f>
        <v/>
      </c>
      <c r="AB148" s="306">
        <f>AB147+Z148+AA148</f>
        <v/>
      </c>
    </row>
    <row r="149">
      <c r="A149" s="306" t="n">
        <v>119</v>
      </c>
      <c r="B149" s="306">
        <f>CEILING(A149/12,1)</f>
        <v/>
      </c>
      <c r="C149" s="306">
        <f>IF(A149&lt;=12, $B$15/12, 0)</f>
        <v/>
      </c>
      <c r="D149" s="306">
        <f>INDEX('26. Team Comp'!$D$28:$R$28, B149) * 0.001 / 12</f>
        <v/>
      </c>
      <c r="E149" s="306">
        <f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+ (IF(MAX(0, A149 - $F$11 + 1)&lt;=0, 0, IF(MAX(0, A149 - $F$11 + 1)&lt;=6, 70 - (70-14)*(MAX(0, A149 - $F$11 + 1)-1)/5, IF(MAX(0, A149 - $F$11 + 1)&lt;=24, 14 - 14*(MAX(0, A149 - $F$11 + 1)-6)/18, 0)))) + (IF(MAX(0, A149 - $F$12 + 1)&lt;=0, 0, IF(MAX(0, A149 - $F$12 + 1)&lt;=6, 70 - (70-14)*(MAX(0, A149 - $F$12 + 1)-1)/5, IF(MAX(0, A149 - $F$12 + 1)&lt;=24, 14 - 14*(MAX(0, A149 - $F$12 + 1)-6)/18, 0)))) + (IF(MAX(0, A149 - $F$13 + 1)&lt;=0, 0, IF(MAX(0, A149 - $F$13 + 1)&lt;=6, 70 - (70-14)*(MAX(0, A149 - $F$13 + 1)-1)/5, IF(MAX(0, A149 - $F$13 + 1)&lt;=24, 14 - 14*(MAX(0, A149 - $F$13 + 1)-6)/18, 0)))) + (IF(MAX(0, A149 - $F$14 + 1)&lt;=0, 0, IF(MAX(0, A149 - $F$14 + 1)&lt;=6, 70 - (70-14)*(MAX(0, A149 - $F$14 + 1)-1)/5, IF(MAX(0, A149 - $F$14 + 1)&lt;=24, 14 - 14*(MAX(0, A149 - $F$14 + 1)-6)/18, 0)))) ) * 200 / 12 / 1000</f>
        <v/>
      </c>
      <c r="F149" s="306">
        <f>IF(A149&lt;$F$6,0,IF(AND($B$21=1,A149&gt;$B$19),0,$E$6*$G$6^MIN((A149-$F$6)/12,6)*MIN($G$6,0.85)^MAX(0,(A149-$F$6)/12-6)))</f>
        <v/>
      </c>
      <c r="G149" s="306">
        <f>IF(A149&lt;$F$7,0,IF(AND($B$21=1,A149&gt;$B$19),0,$E$7*$G$7^MIN((A149-$F$7)/12,6)*MIN($G$7,0.85)^MAX(0,(A149-$F$7)/12-6)))</f>
        <v/>
      </c>
      <c r="H149" s="306">
        <f>IF(A149&lt;$F$8,0,IF(AND($B$21=1,A149&gt;$B$19),0,$E$8*$G$8^MIN((A149-$F$8)/12,6)*MIN($G$8,0.85)^MAX(0,(A149-$F$8)/12-6)))</f>
        <v/>
      </c>
      <c r="I149" s="306">
        <f>IF(A149&lt;$F$9,0,IF(AND($B$21=1,A149&gt;$B$19),0,$E$9*$G$9^MIN((A149-$F$9)/12,6)*MIN($G$9,0.85)^MAX(0,(A149-$F$9)/12-6)))</f>
        <v/>
      </c>
      <c r="J149" s="306">
        <f>IF(A149&lt;$F$10,0,IF(AND($B$21=1,A149&gt;$B$19),0,$E$10*$G$10^MIN((A149-$F$10)/12,6)*MIN($G$10,0.85)^MAX(0,(A149-$F$10)/12-6)))</f>
        <v/>
      </c>
      <c r="K149" s="306">
        <f>IF(A149&lt;$F$11,0,IF(AND($B$21=1,A149&gt;$B$19),0,$E$11*$G$11^MIN((A149-$F$11)/12,6)*MIN($G$11,0.85)^MAX(0,(A149-$F$11)/12-6)))</f>
        <v/>
      </c>
      <c r="L149" s="306">
        <f>IF(A149&lt;$F$12,0,IF(AND($B$21=1,A149&gt;$B$19),0,$E$12*$G$12^MIN((A149-$F$12)/12,6)*MIN($G$12,0.85)^MAX(0,(A149-$F$12)/12-6)))</f>
        <v/>
      </c>
      <c r="M149" s="306">
        <f>IF(A149&lt;$F$13,0,IF(AND($B$21=1,A149&gt;$B$19),0,$E$13*$G$13^MIN((A149-$F$13)/12,6)*MIN($G$13,0.85)^MAX(0,(A149-$F$13)/12-6)))</f>
        <v/>
      </c>
      <c r="N149" s="306">
        <f>IF(A149&lt;$F$14,0,IF(AND($B$21=1,A149&gt;$B$19),0,$E$14*$G$14^MIN((A149-$F$14)/12,6)*MIN($G$14,0.85)^MAX(0,(A149-$F$14)/12-6)))</f>
        <v/>
      </c>
      <c r="O149" s="306">
        <f>SUM(F149:N149)</f>
        <v/>
      </c>
      <c r="P149" s="306">
        <f>O149/12</f>
        <v/>
      </c>
      <c r="Q149" s="306">
        <f>P149*$B$8</f>
        <v/>
      </c>
      <c r="R149" s="306">
        <f>P149*$B$9</f>
        <v/>
      </c>
      <c r="S149" s="306">
        <f>P149*$B$10</f>
        <v/>
      </c>
      <c r="T149" s="306">
        <f>P149-Q149-R149-S149-D149-E149</f>
        <v/>
      </c>
      <c r="U149" s="306">
        <f>MAX(0, T149 - $B$7*P149)</f>
        <v/>
      </c>
      <c r="V149" s="306">
        <f>T149-U149</f>
        <v/>
      </c>
      <c r="W149" s="306">
        <f>IF(A149=$F$6, $B$18*$B$16*$B$17/1000000, 0) + IF(A149=$F$7, $B$18*$B$16*$B$17/1000000, 0) + IF(A149=$F$8, $B$18*$B$16*$B$17/1000000, 0) + IF(A149=$F$9, $B$18*$B$16*$B$17/1000000, 0) + IF(A149=$F$10, $B$18*$B$16*$B$17/1000000, 0) + IF(A149=$F$11, $B$18*$B$16*$B$17/1000000, 0) + IF(A149=$F$12, $B$18*$B$16*$B$17/1000000, 0) + IF(A149=$F$13, $B$18*$B$16*$B$17/1000000, 0) + IF(A149=$F$14, $B$18*$B$16*$B$17/1000000, 0)</f>
        <v/>
      </c>
      <c r="X149" s="306">
        <f>V149-W149-C149</f>
        <v/>
      </c>
      <c r="Y149" s="306">
        <f>IF(AND(A149&lt;=$B$24, X149&gt;0), X149*$B$23, 0)</f>
        <v/>
      </c>
      <c r="Z149" s="306">
        <f>X149-Y149</f>
        <v/>
      </c>
      <c r="AA149" s="306">
        <f>IF(AND(A149=$B$19, $B$21=1), O149*$B$20, 0)</f>
        <v/>
      </c>
      <c r="AB149" s="306">
        <f>AB148+Z149+AA149</f>
        <v/>
      </c>
    </row>
    <row r="150">
      <c r="A150" s="306" t="n">
        <v>120</v>
      </c>
      <c r="B150" s="306">
        <f>CEILING(A150/12,1)</f>
        <v/>
      </c>
      <c r="C150" s="306">
        <f>IF(A150&lt;=12, $B$15/12, 0)</f>
        <v/>
      </c>
      <c r="D150" s="306">
        <f>INDEX('26. Team Comp'!$D$28:$R$28, B150) * 0.001 / 12</f>
        <v/>
      </c>
      <c r="E150" s="306">
        <f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+ (IF(MAX(0, A150 - $F$11 + 1)&lt;=0, 0, IF(MAX(0, A150 - $F$11 + 1)&lt;=6, 70 - (70-14)*(MAX(0, A150 - $F$11 + 1)-1)/5, IF(MAX(0, A150 - $F$11 + 1)&lt;=24, 14 - 14*(MAX(0, A150 - $F$11 + 1)-6)/18, 0)))) + (IF(MAX(0, A150 - $F$12 + 1)&lt;=0, 0, IF(MAX(0, A150 - $F$12 + 1)&lt;=6, 70 - (70-14)*(MAX(0, A150 - $F$12 + 1)-1)/5, IF(MAX(0, A150 - $F$12 + 1)&lt;=24, 14 - 14*(MAX(0, A150 - $F$12 + 1)-6)/18, 0)))) + (IF(MAX(0, A150 - $F$13 + 1)&lt;=0, 0, IF(MAX(0, A150 - $F$13 + 1)&lt;=6, 70 - (70-14)*(MAX(0, A150 - $F$13 + 1)-1)/5, IF(MAX(0, A150 - $F$13 + 1)&lt;=24, 14 - 14*(MAX(0, A150 - $F$13 + 1)-6)/18, 0)))) + (IF(MAX(0, A150 - $F$14 + 1)&lt;=0, 0, IF(MAX(0, A150 - $F$14 + 1)&lt;=6, 70 - (70-14)*(MAX(0, A150 - $F$14 + 1)-1)/5, IF(MAX(0, A150 - $F$14 + 1)&lt;=24, 14 - 14*(MAX(0, A150 - $F$14 + 1)-6)/18, 0)))) ) * 200 / 12 / 1000</f>
        <v/>
      </c>
      <c r="F150" s="306">
        <f>IF(A150&lt;$F$6,0,IF(AND($B$21=1,A150&gt;$B$19),0,$E$6*$G$6^MIN((A150-$F$6)/12,6)*MIN($G$6,0.85)^MAX(0,(A150-$F$6)/12-6)))</f>
        <v/>
      </c>
      <c r="G150" s="306">
        <f>IF(A150&lt;$F$7,0,IF(AND($B$21=1,A150&gt;$B$19),0,$E$7*$G$7^MIN((A150-$F$7)/12,6)*MIN($G$7,0.85)^MAX(0,(A150-$F$7)/12-6)))</f>
        <v/>
      </c>
      <c r="H150" s="306">
        <f>IF(A150&lt;$F$8,0,IF(AND($B$21=1,A150&gt;$B$19),0,$E$8*$G$8^MIN((A150-$F$8)/12,6)*MIN($G$8,0.85)^MAX(0,(A150-$F$8)/12-6)))</f>
        <v/>
      </c>
      <c r="I150" s="306">
        <f>IF(A150&lt;$F$9,0,IF(AND($B$21=1,A150&gt;$B$19),0,$E$9*$G$9^MIN((A150-$F$9)/12,6)*MIN($G$9,0.85)^MAX(0,(A150-$F$9)/12-6)))</f>
        <v/>
      </c>
      <c r="J150" s="306">
        <f>IF(A150&lt;$F$10,0,IF(AND($B$21=1,A150&gt;$B$19),0,$E$10*$G$10^MIN((A150-$F$10)/12,6)*MIN($G$10,0.85)^MAX(0,(A150-$F$10)/12-6)))</f>
        <v/>
      </c>
      <c r="K150" s="306">
        <f>IF(A150&lt;$F$11,0,IF(AND($B$21=1,A150&gt;$B$19),0,$E$11*$G$11^MIN((A150-$F$11)/12,6)*MIN($G$11,0.85)^MAX(0,(A150-$F$11)/12-6)))</f>
        <v/>
      </c>
      <c r="L150" s="306">
        <f>IF(A150&lt;$F$12,0,IF(AND($B$21=1,A150&gt;$B$19),0,$E$12*$G$12^MIN((A150-$F$12)/12,6)*MIN($G$12,0.85)^MAX(0,(A150-$F$12)/12-6)))</f>
        <v/>
      </c>
      <c r="M150" s="306">
        <f>IF(A150&lt;$F$13,0,IF(AND($B$21=1,A150&gt;$B$19),0,$E$13*$G$13^MIN((A150-$F$13)/12,6)*MIN($G$13,0.85)^MAX(0,(A150-$F$13)/12-6)))</f>
        <v/>
      </c>
      <c r="N150" s="306">
        <f>IF(A150&lt;$F$14,0,IF(AND($B$21=1,A150&gt;$B$19),0,$E$14*$G$14^MIN((A150-$F$14)/12,6)*MIN($G$14,0.85)^MAX(0,(A150-$F$14)/12-6)))</f>
        <v/>
      </c>
      <c r="O150" s="306">
        <f>SUM(F150:N150)</f>
        <v/>
      </c>
      <c r="P150" s="306">
        <f>O150/12</f>
        <v/>
      </c>
      <c r="Q150" s="306">
        <f>P150*$B$8</f>
        <v/>
      </c>
      <c r="R150" s="306">
        <f>P150*$B$9</f>
        <v/>
      </c>
      <c r="S150" s="306">
        <f>P150*$B$10</f>
        <v/>
      </c>
      <c r="T150" s="306">
        <f>P150-Q150-R150-S150-D150-E150</f>
        <v/>
      </c>
      <c r="U150" s="306">
        <f>MAX(0, T150 - $B$7*P150)</f>
        <v/>
      </c>
      <c r="V150" s="306">
        <f>T150-U150</f>
        <v/>
      </c>
      <c r="W150" s="306">
        <f>IF(A150=$F$6, $B$18*$B$16*$B$17/1000000, 0) + IF(A150=$F$7, $B$18*$B$16*$B$17/1000000, 0) + IF(A150=$F$8, $B$18*$B$16*$B$17/1000000, 0) + IF(A150=$F$9, $B$18*$B$16*$B$17/1000000, 0) + IF(A150=$F$10, $B$18*$B$16*$B$17/1000000, 0) + IF(A150=$F$11, $B$18*$B$16*$B$17/1000000, 0) + IF(A150=$F$12, $B$18*$B$16*$B$17/1000000, 0) + IF(A150=$F$13, $B$18*$B$16*$B$17/1000000, 0) + IF(A150=$F$14, $B$18*$B$16*$B$17/1000000, 0)</f>
        <v/>
      </c>
      <c r="X150" s="306">
        <f>V150-W150-C150</f>
        <v/>
      </c>
      <c r="Y150" s="306">
        <f>IF(AND(A150&lt;=$B$24, X150&gt;0), X150*$B$23, 0)</f>
        <v/>
      </c>
      <c r="Z150" s="306">
        <f>X150-Y150</f>
        <v/>
      </c>
      <c r="AA150" s="306">
        <f>IF(AND(A150=$B$19, $B$21=1), O150*$B$20, 0)</f>
        <v/>
      </c>
      <c r="AB150" s="306">
        <f>AB149+Z150+AA150</f>
        <v/>
      </c>
    </row>
    <row r="151">
      <c r="A151" s="306" t="n">
        <v>121</v>
      </c>
      <c r="B151" s="306">
        <f>CEILING(A151/12,1)</f>
        <v/>
      </c>
      <c r="C151" s="306">
        <f>IF(A151&lt;=12, $B$15/12, 0)</f>
        <v/>
      </c>
      <c r="D151" s="306">
        <f>INDEX('26. Team Comp'!$D$28:$R$28, B151) * 0.001 / 12</f>
        <v/>
      </c>
      <c r="E151" s="306">
        <f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+ (IF(MAX(0, A151 - $F$11 + 1)&lt;=0, 0, IF(MAX(0, A151 - $F$11 + 1)&lt;=6, 70 - (70-14)*(MAX(0, A151 - $F$11 + 1)-1)/5, IF(MAX(0, A151 - $F$11 + 1)&lt;=24, 14 - 14*(MAX(0, A151 - $F$11 + 1)-6)/18, 0)))) + (IF(MAX(0, A151 - $F$12 + 1)&lt;=0, 0, IF(MAX(0, A151 - $F$12 + 1)&lt;=6, 70 - (70-14)*(MAX(0, A151 - $F$12 + 1)-1)/5, IF(MAX(0, A151 - $F$12 + 1)&lt;=24, 14 - 14*(MAX(0, A151 - $F$12 + 1)-6)/18, 0)))) + (IF(MAX(0, A151 - $F$13 + 1)&lt;=0, 0, IF(MAX(0, A151 - $F$13 + 1)&lt;=6, 70 - (70-14)*(MAX(0, A151 - $F$13 + 1)-1)/5, IF(MAX(0, A151 - $F$13 + 1)&lt;=24, 14 - 14*(MAX(0, A151 - $F$13 + 1)-6)/18, 0)))) + (IF(MAX(0, A151 - $F$14 + 1)&lt;=0, 0, IF(MAX(0, A151 - $F$14 + 1)&lt;=6, 70 - (70-14)*(MAX(0, A151 - $F$14 + 1)-1)/5, IF(MAX(0, A151 - $F$14 + 1)&lt;=24, 14 - 14*(MAX(0, A151 - $F$14 + 1)-6)/18, 0)))) ) * 200 / 12 / 1000</f>
        <v/>
      </c>
      <c r="F151" s="306">
        <f>IF(A151&lt;$F$6,0,IF(AND($B$21=1,A151&gt;$B$19),0,$E$6*$G$6^MIN((A151-$F$6)/12,6)*MIN($G$6,0.85)^MAX(0,(A151-$F$6)/12-6)))</f>
        <v/>
      </c>
      <c r="G151" s="306">
        <f>IF(A151&lt;$F$7,0,IF(AND($B$21=1,A151&gt;$B$19),0,$E$7*$G$7^MIN((A151-$F$7)/12,6)*MIN($G$7,0.85)^MAX(0,(A151-$F$7)/12-6)))</f>
        <v/>
      </c>
      <c r="H151" s="306">
        <f>IF(A151&lt;$F$8,0,IF(AND($B$21=1,A151&gt;$B$19),0,$E$8*$G$8^MIN((A151-$F$8)/12,6)*MIN($G$8,0.85)^MAX(0,(A151-$F$8)/12-6)))</f>
        <v/>
      </c>
      <c r="I151" s="306">
        <f>IF(A151&lt;$F$9,0,IF(AND($B$21=1,A151&gt;$B$19),0,$E$9*$G$9^MIN((A151-$F$9)/12,6)*MIN($G$9,0.85)^MAX(0,(A151-$F$9)/12-6)))</f>
        <v/>
      </c>
      <c r="J151" s="306">
        <f>IF(A151&lt;$F$10,0,IF(AND($B$21=1,A151&gt;$B$19),0,$E$10*$G$10^MIN((A151-$F$10)/12,6)*MIN($G$10,0.85)^MAX(0,(A151-$F$10)/12-6)))</f>
        <v/>
      </c>
      <c r="K151" s="306">
        <f>IF(A151&lt;$F$11,0,IF(AND($B$21=1,A151&gt;$B$19),0,$E$11*$G$11^MIN((A151-$F$11)/12,6)*MIN($G$11,0.85)^MAX(0,(A151-$F$11)/12-6)))</f>
        <v/>
      </c>
      <c r="L151" s="306">
        <f>IF(A151&lt;$F$12,0,IF(AND($B$21=1,A151&gt;$B$19),0,$E$12*$G$12^MIN((A151-$F$12)/12,6)*MIN($G$12,0.85)^MAX(0,(A151-$F$12)/12-6)))</f>
        <v/>
      </c>
      <c r="M151" s="306">
        <f>IF(A151&lt;$F$13,0,IF(AND($B$21=1,A151&gt;$B$19),0,$E$13*$G$13^MIN((A151-$F$13)/12,6)*MIN($G$13,0.85)^MAX(0,(A151-$F$13)/12-6)))</f>
        <v/>
      </c>
      <c r="N151" s="306">
        <f>IF(A151&lt;$F$14,0,IF(AND($B$21=1,A151&gt;$B$19),0,$E$14*$G$14^MIN((A151-$F$14)/12,6)*MIN($G$14,0.85)^MAX(0,(A151-$F$14)/12-6)))</f>
        <v/>
      </c>
      <c r="O151" s="306">
        <f>SUM(F151:N151)</f>
        <v/>
      </c>
      <c r="P151" s="306">
        <f>O151/12</f>
        <v/>
      </c>
      <c r="Q151" s="306">
        <f>P151*$B$8</f>
        <v/>
      </c>
      <c r="R151" s="306">
        <f>P151*$B$9</f>
        <v/>
      </c>
      <c r="S151" s="306">
        <f>P151*$B$10</f>
        <v/>
      </c>
      <c r="T151" s="306">
        <f>P151-Q151-R151-S151-D151-E151</f>
        <v/>
      </c>
      <c r="U151" s="306">
        <f>MAX(0, T151 - $B$7*P151)</f>
        <v/>
      </c>
      <c r="V151" s="306">
        <f>T151-U151</f>
        <v/>
      </c>
      <c r="W151" s="306">
        <f>IF(A151=$F$6, $B$18*$B$16*$B$17/1000000, 0) + IF(A151=$F$7, $B$18*$B$16*$B$17/1000000, 0) + IF(A151=$F$8, $B$18*$B$16*$B$17/1000000, 0) + IF(A151=$F$9, $B$18*$B$16*$B$17/1000000, 0) + IF(A151=$F$10, $B$18*$B$16*$B$17/1000000, 0) + IF(A151=$F$11, $B$18*$B$16*$B$17/1000000, 0) + IF(A151=$F$12, $B$18*$B$16*$B$17/1000000, 0) + IF(A151=$F$13, $B$18*$B$16*$B$17/1000000, 0) + IF(A151=$F$14, $B$18*$B$16*$B$17/1000000, 0)</f>
        <v/>
      </c>
      <c r="X151" s="306">
        <f>V151-W151-C151</f>
        <v/>
      </c>
      <c r="Y151" s="306">
        <f>IF(AND(A151&lt;=$B$24, X151&gt;0), X151*$B$23, 0)</f>
        <v/>
      </c>
      <c r="Z151" s="306">
        <f>X151-Y151</f>
        <v/>
      </c>
      <c r="AA151" s="306">
        <f>IF(AND(A151=$B$19, $B$21=1), O151*$B$20, 0)</f>
        <v/>
      </c>
      <c r="AB151" s="306">
        <f>AB150+Z151+AA151</f>
        <v/>
      </c>
    </row>
    <row r="152">
      <c r="A152" s="306" t="n">
        <v>122</v>
      </c>
      <c r="B152" s="306">
        <f>CEILING(A152/12,1)</f>
        <v/>
      </c>
      <c r="C152" s="306">
        <f>IF(A152&lt;=12, $B$15/12, 0)</f>
        <v/>
      </c>
      <c r="D152" s="306">
        <f>INDEX('26. Team Comp'!$D$28:$R$28, B152) * 0.001 / 12</f>
        <v/>
      </c>
      <c r="E152" s="306">
        <f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+ (IF(MAX(0, A152 - $F$11 + 1)&lt;=0, 0, IF(MAX(0, A152 - $F$11 + 1)&lt;=6, 70 - (70-14)*(MAX(0, A152 - $F$11 + 1)-1)/5, IF(MAX(0, A152 - $F$11 + 1)&lt;=24, 14 - 14*(MAX(0, A152 - $F$11 + 1)-6)/18, 0)))) + (IF(MAX(0, A152 - $F$12 + 1)&lt;=0, 0, IF(MAX(0, A152 - $F$12 + 1)&lt;=6, 70 - (70-14)*(MAX(0, A152 - $F$12 + 1)-1)/5, IF(MAX(0, A152 - $F$12 + 1)&lt;=24, 14 - 14*(MAX(0, A152 - $F$12 + 1)-6)/18, 0)))) + (IF(MAX(0, A152 - $F$13 + 1)&lt;=0, 0, IF(MAX(0, A152 - $F$13 + 1)&lt;=6, 70 - (70-14)*(MAX(0, A152 - $F$13 + 1)-1)/5, IF(MAX(0, A152 - $F$13 + 1)&lt;=24, 14 - 14*(MAX(0, A152 - $F$13 + 1)-6)/18, 0)))) + (IF(MAX(0, A152 - $F$14 + 1)&lt;=0, 0, IF(MAX(0, A152 - $F$14 + 1)&lt;=6, 70 - (70-14)*(MAX(0, A152 - $F$14 + 1)-1)/5, IF(MAX(0, A152 - $F$14 + 1)&lt;=24, 14 - 14*(MAX(0, A152 - $F$14 + 1)-6)/18, 0)))) ) * 200 / 12 / 1000</f>
        <v/>
      </c>
      <c r="F152" s="306">
        <f>IF(A152&lt;$F$6,0,IF(AND($B$21=1,A152&gt;$B$19),0,$E$6*$G$6^MIN((A152-$F$6)/12,6)*MIN($G$6,0.85)^MAX(0,(A152-$F$6)/12-6)))</f>
        <v/>
      </c>
      <c r="G152" s="306">
        <f>IF(A152&lt;$F$7,0,IF(AND($B$21=1,A152&gt;$B$19),0,$E$7*$G$7^MIN((A152-$F$7)/12,6)*MIN($G$7,0.85)^MAX(0,(A152-$F$7)/12-6)))</f>
        <v/>
      </c>
      <c r="H152" s="306">
        <f>IF(A152&lt;$F$8,0,IF(AND($B$21=1,A152&gt;$B$19),0,$E$8*$G$8^MIN((A152-$F$8)/12,6)*MIN($G$8,0.85)^MAX(0,(A152-$F$8)/12-6)))</f>
        <v/>
      </c>
      <c r="I152" s="306">
        <f>IF(A152&lt;$F$9,0,IF(AND($B$21=1,A152&gt;$B$19),0,$E$9*$G$9^MIN((A152-$F$9)/12,6)*MIN($G$9,0.85)^MAX(0,(A152-$F$9)/12-6)))</f>
        <v/>
      </c>
      <c r="J152" s="306">
        <f>IF(A152&lt;$F$10,0,IF(AND($B$21=1,A152&gt;$B$19),0,$E$10*$G$10^MIN((A152-$F$10)/12,6)*MIN($G$10,0.85)^MAX(0,(A152-$F$10)/12-6)))</f>
        <v/>
      </c>
      <c r="K152" s="306">
        <f>IF(A152&lt;$F$11,0,IF(AND($B$21=1,A152&gt;$B$19),0,$E$11*$G$11^MIN((A152-$F$11)/12,6)*MIN($G$11,0.85)^MAX(0,(A152-$F$11)/12-6)))</f>
        <v/>
      </c>
      <c r="L152" s="306">
        <f>IF(A152&lt;$F$12,0,IF(AND($B$21=1,A152&gt;$B$19),0,$E$12*$G$12^MIN((A152-$F$12)/12,6)*MIN($G$12,0.85)^MAX(0,(A152-$F$12)/12-6)))</f>
        <v/>
      </c>
      <c r="M152" s="306">
        <f>IF(A152&lt;$F$13,0,IF(AND($B$21=1,A152&gt;$B$19),0,$E$13*$G$13^MIN((A152-$F$13)/12,6)*MIN($G$13,0.85)^MAX(0,(A152-$F$13)/12-6)))</f>
        <v/>
      </c>
      <c r="N152" s="306">
        <f>IF(A152&lt;$F$14,0,IF(AND($B$21=1,A152&gt;$B$19),0,$E$14*$G$14^MIN((A152-$F$14)/12,6)*MIN($G$14,0.85)^MAX(0,(A152-$F$14)/12-6)))</f>
        <v/>
      </c>
      <c r="O152" s="306">
        <f>SUM(F152:N152)</f>
        <v/>
      </c>
      <c r="P152" s="306">
        <f>O152/12</f>
        <v/>
      </c>
      <c r="Q152" s="306">
        <f>P152*$B$8</f>
        <v/>
      </c>
      <c r="R152" s="306">
        <f>P152*$B$9</f>
        <v/>
      </c>
      <c r="S152" s="306">
        <f>P152*$B$10</f>
        <v/>
      </c>
      <c r="T152" s="306">
        <f>P152-Q152-R152-S152-D152-E152</f>
        <v/>
      </c>
      <c r="U152" s="306">
        <f>MAX(0, T152 - $B$7*P152)</f>
        <v/>
      </c>
      <c r="V152" s="306">
        <f>T152-U152</f>
        <v/>
      </c>
      <c r="W152" s="306">
        <f>IF(A152=$F$6, $B$18*$B$16*$B$17/1000000, 0) + IF(A152=$F$7, $B$18*$B$16*$B$17/1000000, 0) + IF(A152=$F$8, $B$18*$B$16*$B$17/1000000, 0) + IF(A152=$F$9, $B$18*$B$16*$B$17/1000000, 0) + IF(A152=$F$10, $B$18*$B$16*$B$17/1000000, 0) + IF(A152=$F$11, $B$18*$B$16*$B$17/1000000, 0) + IF(A152=$F$12, $B$18*$B$16*$B$17/1000000, 0) + IF(A152=$F$13, $B$18*$B$16*$B$17/1000000, 0) + IF(A152=$F$14, $B$18*$B$16*$B$17/1000000, 0)</f>
        <v/>
      </c>
      <c r="X152" s="306">
        <f>V152-W152-C152</f>
        <v/>
      </c>
      <c r="Y152" s="306">
        <f>IF(AND(A152&lt;=$B$24, X152&gt;0), X152*$B$23, 0)</f>
        <v/>
      </c>
      <c r="Z152" s="306">
        <f>X152-Y152</f>
        <v/>
      </c>
      <c r="AA152" s="306">
        <f>IF(AND(A152=$B$19, $B$21=1), O152*$B$20, 0)</f>
        <v/>
      </c>
      <c r="AB152" s="306">
        <f>AB151+Z152+AA152</f>
        <v/>
      </c>
    </row>
    <row r="153">
      <c r="A153" s="306" t="n">
        <v>123</v>
      </c>
      <c r="B153" s="306">
        <f>CEILING(A153/12,1)</f>
        <v/>
      </c>
      <c r="C153" s="306">
        <f>IF(A153&lt;=12, $B$15/12, 0)</f>
        <v/>
      </c>
      <c r="D153" s="306">
        <f>INDEX('26. Team Comp'!$D$28:$R$28, B153) * 0.001 / 12</f>
        <v/>
      </c>
      <c r="E153" s="306">
        <f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+ (IF(MAX(0, A153 - $F$11 + 1)&lt;=0, 0, IF(MAX(0, A153 - $F$11 + 1)&lt;=6, 70 - (70-14)*(MAX(0, A153 - $F$11 + 1)-1)/5, IF(MAX(0, A153 - $F$11 + 1)&lt;=24, 14 - 14*(MAX(0, A153 - $F$11 + 1)-6)/18, 0)))) + (IF(MAX(0, A153 - $F$12 + 1)&lt;=0, 0, IF(MAX(0, A153 - $F$12 + 1)&lt;=6, 70 - (70-14)*(MAX(0, A153 - $F$12 + 1)-1)/5, IF(MAX(0, A153 - $F$12 + 1)&lt;=24, 14 - 14*(MAX(0, A153 - $F$12 + 1)-6)/18, 0)))) + (IF(MAX(0, A153 - $F$13 + 1)&lt;=0, 0, IF(MAX(0, A153 - $F$13 + 1)&lt;=6, 70 - (70-14)*(MAX(0, A153 - $F$13 + 1)-1)/5, IF(MAX(0, A153 - $F$13 + 1)&lt;=24, 14 - 14*(MAX(0, A153 - $F$13 + 1)-6)/18, 0)))) + (IF(MAX(0, A153 - $F$14 + 1)&lt;=0, 0, IF(MAX(0, A153 - $F$14 + 1)&lt;=6, 70 - (70-14)*(MAX(0, A153 - $F$14 + 1)-1)/5, IF(MAX(0, A153 - $F$14 + 1)&lt;=24, 14 - 14*(MAX(0, A153 - $F$14 + 1)-6)/18, 0)))) ) * 200 / 12 / 1000</f>
        <v/>
      </c>
      <c r="F153" s="306">
        <f>IF(A153&lt;$F$6,0,IF(AND($B$21=1,A153&gt;$B$19),0,$E$6*$G$6^MIN((A153-$F$6)/12,6)*MIN($G$6,0.85)^MAX(0,(A153-$F$6)/12-6)))</f>
        <v/>
      </c>
      <c r="G153" s="306">
        <f>IF(A153&lt;$F$7,0,IF(AND($B$21=1,A153&gt;$B$19),0,$E$7*$G$7^MIN((A153-$F$7)/12,6)*MIN($G$7,0.85)^MAX(0,(A153-$F$7)/12-6)))</f>
        <v/>
      </c>
      <c r="H153" s="306">
        <f>IF(A153&lt;$F$8,0,IF(AND($B$21=1,A153&gt;$B$19),0,$E$8*$G$8^MIN((A153-$F$8)/12,6)*MIN($G$8,0.85)^MAX(0,(A153-$F$8)/12-6)))</f>
        <v/>
      </c>
      <c r="I153" s="306">
        <f>IF(A153&lt;$F$9,0,IF(AND($B$21=1,A153&gt;$B$19),0,$E$9*$G$9^MIN((A153-$F$9)/12,6)*MIN($G$9,0.85)^MAX(0,(A153-$F$9)/12-6)))</f>
        <v/>
      </c>
      <c r="J153" s="306">
        <f>IF(A153&lt;$F$10,0,IF(AND($B$21=1,A153&gt;$B$19),0,$E$10*$G$10^MIN((A153-$F$10)/12,6)*MIN($G$10,0.85)^MAX(0,(A153-$F$10)/12-6)))</f>
        <v/>
      </c>
      <c r="K153" s="306">
        <f>IF(A153&lt;$F$11,0,IF(AND($B$21=1,A153&gt;$B$19),0,$E$11*$G$11^MIN((A153-$F$11)/12,6)*MIN($G$11,0.85)^MAX(0,(A153-$F$11)/12-6)))</f>
        <v/>
      </c>
      <c r="L153" s="306">
        <f>IF(A153&lt;$F$12,0,IF(AND($B$21=1,A153&gt;$B$19),0,$E$12*$G$12^MIN((A153-$F$12)/12,6)*MIN($G$12,0.85)^MAX(0,(A153-$F$12)/12-6)))</f>
        <v/>
      </c>
      <c r="M153" s="306">
        <f>IF(A153&lt;$F$13,0,IF(AND($B$21=1,A153&gt;$B$19),0,$E$13*$G$13^MIN((A153-$F$13)/12,6)*MIN($G$13,0.85)^MAX(0,(A153-$F$13)/12-6)))</f>
        <v/>
      </c>
      <c r="N153" s="306">
        <f>IF(A153&lt;$F$14,0,IF(AND($B$21=1,A153&gt;$B$19),0,$E$14*$G$14^MIN((A153-$F$14)/12,6)*MIN($G$14,0.85)^MAX(0,(A153-$F$14)/12-6)))</f>
        <v/>
      </c>
      <c r="O153" s="306">
        <f>SUM(F153:N153)</f>
        <v/>
      </c>
      <c r="P153" s="306">
        <f>O153/12</f>
        <v/>
      </c>
      <c r="Q153" s="306">
        <f>P153*$B$8</f>
        <v/>
      </c>
      <c r="R153" s="306">
        <f>P153*$B$9</f>
        <v/>
      </c>
      <c r="S153" s="306">
        <f>P153*$B$10</f>
        <v/>
      </c>
      <c r="T153" s="306">
        <f>P153-Q153-R153-S153-D153-E153</f>
        <v/>
      </c>
      <c r="U153" s="306">
        <f>MAX(0, T153 - $B$7*P153)</f>
        <v/>
      </c>
      <c r="V153" s="306">
        <f>T153-U153</f>
        <v/>
      </c>
      <c r="W153" s="306">
        <f>IF(A153=$F$6, $B$18*$B$16*$B$17/1000000, 0) + IF(A153=$F$7, $B$18*$B$16*$B$17/1000000, 0) + IF(A153=$F$8, $B$18*$B$16*$B$17/1000000, 0) + IF(A153=$F$9, $B$18*$B$16*$B$17/1000000, 0) + IF(A153=$F$10, $B$18*$B$16*$B$17/1000000, 0) + IF(A153=$F$11, $B$18*$B$16*$B$17/1000000, 0) + IF(A153=$F$12, $B$18*$B$16*$B$17/1000000, 0) + IF(A153=$F$13, $B$18*$B$16*$B$17/1000000, 0) + IF(A153=$F$14, $B$18*$B$16*$B$17/1000000, 0)</f>
        <v/>
      </c>
      <c r="X153" s="306">
        <f>V153-W153-C153</f>
        <v/>
      </c>
      <c r="Y153" s="306">
        <f>IF(AND(A153&lt;=$B$24, X153&gt;0), X153*$B$23, 0)</f>
        <v/>
      </c>
      <c r="Z153" s="306">
        <f>X153-Y153</f>
        <v/>
      </c>
      <c r="AA153" s="306">
        <f>IF(AND(A153=$B$19, $B$21=1), O153*$B$20, 0)</f>
        <v/>
      </c>
      <c r="AB153" s="306">
        <f>AB152+Z153+AA153</f>
        <v/>
      </c>
    </row>
    <row r="154">
      <c r="A154" s="306" t="n">
        <v>124</v>
      </c>
      <c r="B154" s="306">
        <f>CEILING(A154/12,1)</f>
        <v/>
      </c>
      <c r="C154" s="306">
        <f>IF(A154&lt;=12, $B$15/12, 0)</f>
        <v/>
      </c>
      <c r="D154" s="306">
        <f>INDEX('26. Team Comp'!$D$28:$R$28, B154) * 0.001 / 12</f>
        <v/>
      </c>
      <c r="E154" s="306">
        <f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+ (IF(MAX(0, A154 - $F$11 + 1)&lt;=0, 0, IF(MAX(0, A154 - $F$11 + 1)&lt;=6, 70 - (70-14)*(MAX(0, A154 - $F$11 + 1)-1)/5, IF(MAX(0, A154 - $F$11 + 1)&lt;=24, 14 - 14*(MAX(0, A154 - $F$11 + 1)-6)/18, 0)))) + (IF(MAX(0, A154 - $F$12 + 1)&lt;=0, 0, IF(MAX(0, A154 - $F$12 + 1)&lt;=6, 70 - (70-14)*(MAX(0, A154 - $F$12 + 1)-1)/5, IF(MAX(0, A154 - $F$12 + 1)&lt;=24, 14 - 14*(MAX(0, A154 - $F$12 + 1)-6)/18, 0)))) + (IF(MAX(0, A154 - $F$13 + 1)&lt;=0, 0, IF(MAX(0, A154 - $F$13 + 1)&lt;=6, 70 - (70-14)*(MAX(0, A154 - $F$13 + 1)-1)/5, IF(MAX(0, A154 - $F$13 + 1)&lt;=24, 14 - 14*(MAX(0, A154 - $F$13 + 1)-6)/18, 0)))) + (IF(MAX(0, A154 - $F$14 + 1)&lt;=0, 0, IF(MAX(0, A154 - $F$14 + 1)&lt;=6, 70 - (70-14)*(MAX(0, A154 - $F$14 + 1)-1)/5, IF(MAX(0, A154 - $F$14 + 1)&lt;=24, 14 - 14*(MAX(0, A154 - $F$14 + 1)-6)/18, 0)))) ) * 200 / 12 / 1000</f>
        <v/>
      </c>
      <c r="F154" s="306">
        <f>IF(A154&lt;$F$6,0,IF(AND($B$21=1,A154&gt;$B$19),0,$E$6*$G$6^MIN((A154-$F$6)/12,6)*MIN($G$6,0.85)^MAX(0,(A154-$F$6)/12-6)))</f>
        <v/>
      </c>
      <c r="G154" s="306">
        <f>IF(A154&lt;$F$7,0,IF(AND($B$21=1,A154&gt;$B$19),0,$E$7*$G$7^MIN((A154-$F$7)/12,6)*MIN($G$7,0.85)^MAX(0,(A154-$F$7)/12-6)))</f>
        <v/>
      </c>
      <c r="H154" s="306">
        <f>IF(A154&lt;$F$8,0,IF(AND($B$21=1,A154&gt;$B$19),0,$E$8*$G$8^MIN((A154-$F$8)/12,6)*MIN($G$8,0.85)^MAX(0,(A154-$F$8)/12-6)))</f>
        <v/>
      </c>
      <c r="I154" s="306">
        <f>IF(A154&lt;$F$9,0,IF(AND($B$21=1,A154&gt;$B$19),0,$E$9*$G$9^MIN((A154-$F$9)/12,6)*MIN($G$9,0.85)^MAX(0,(A154-$F$9)/12-6)))</f>
        <v/>
      </c>
      <c r="J154" s="306">
        <f>IF(A154&lt;$F$10,0,IF(AND($B$21=1,A154&gt;$B$19),0,$E$10*$G$10^MIN((A154-$F$10)/12,6)*MIN($G$10,0.85)^MAX(0,(A154-$F$10)/12-6)))</f>
        <v/>
      </c>
      <c r="K154" s="306">
        <f>IF(A154&lt;$F$11,0,IF(AND($B$21=1,A154&gt;$B$19),0,$E$11*$G$11^MIN((A154-$F$11)/12,6)*MIN($G$11,0.85)^MAX(0,(A154-$F$11)/12-6)))</f>
        <v/>
      </c>
      <c r="L154" s="306">
        <f>IF(A154&lt;$F$12,0,IF(AND($B$21=1,A154&gt;$B$19),0,$E$12*$G$12^MIN((A154-$F$12)/12,6)*MIN($G$12,0.85)^MAX(0,(A154-$F$12)/12-6)))</f>
        <v/>
      </c>
      <c r="M154" s="306">
        <f>IF(A154&lt;$F$13,0,IF(AND($B$21=1,A154&gt;$B$19),0,$E$13*$G$13^MIN((A154-$F$13)/12,6)*MIN($G$13,0.85)^MAX(0,(A154-$F$13)/12-6)))</f>
        <v/>
      </c>
      <c r="N154" s="306">
        <f>IF(A154&lt;$F$14,0,IF(AND($B$21=1,A154&gt;$B$19),0,$E$14*$G$14^MIN((A154-$F$14)/12,6)*MIN($G$14,0.85)^MAX(0,(A154-$F$14)/12-6)))</f>
        <v/>
      </c>
      <c r="O154" s="306">
        <f>SUM(F154:N154)</f>
        <v/>
      </c>
      <c r="P154" s="306">
        <f>O154/12</f>
        <v/>
      </c>
      <c r="Q154" s="306">
        <f>P154*$B$8</f>
        <v/>
      </c>
      <c r="R154" s="306">
        <f>P154*$B$9</f>
        <v/>
      </c>
      <c r="S154" s="306">
        <f>P154*$B$10</f>
        <v/>
      </c>
      <c r="T154" s="306">
        <f>P154-Q154-R154-S154-D154-E154</f>
        <v/>
      </c>
      <c r="U154" s="306">
        <f>MAX(0, T154 - $B$7*P154)</f>
        <v/>
      </c>
      <c r="V154" s="306">
        <f>T154-U154</f>
        <v/>
      </c>
      <c r="W154" s="306">
        <f>IF(A154=$F$6, $B$18*$B$16*$B$17/1000000, 0) + IF(A154=$F$7, $B$18*$B$16*$B$17/1000000, 0) + IF(A154=$F$8, $B$18*$B$16*$B$17/1000000, 0) + IF(A154=$F$9, $B$18*$B$16*$B$17/1000000, 0) + IF(A154=$F$10, $B$18*$B$16*$B$17/1000000, 0) + IF(A154=$F$11, $B$18*$B$16*$B$17/1000000, 0) + IF(A154=$F$12, $B$18*$B$16*$B$17/1000000, 0) + IF(A154=$F$13, $B$18*$B$16*$B$17/1000000, 0) + IF(A154=$F$14, $B$18*$B$16*$B$17/1000000, 0)</f>
        <v/>
      </c>
      <c r="X154" s="306">
        <f>V154-W154-C154</f>
        <v/>
      </c>
      <c r="Y154" s="306">
        <f>IF(AND(A154&lt;=$B$24, X154&gt;0), X154*$B$23, 0)</f>
        <v/>
      </c>
      <c r="Z154" s="306">
        <f>X154-Y154</f>
        <v/>
      </c>
      <c r="AA154" s="306">
        <f>IF(AND(A154=$B$19, $B$21=1), O154*$B$20, 0)</f>
        <v/>
      </c>
      <c r="AB154" s="306">
        <f>AB153+Z154+AA154</f>
        <v/>
      </c>
    </row>
    <row r="155">
      <c r="A155" s="306" t="n">
        <v>125</v>
      </c>
      <c r="B155" s="306">
        <f>CEILING(A155/12,1)</f>
        <v/>
      </c>
      <c r="C155" s="306">
        <f>IF(A155&lt;=12, $B$15/12, 0)</f>
        <v/>
      </c>
      <c r="D155" s="306">
        <f>INDEX('26. Team Comp'!$D$28:$R$28, B155) * 0.001 / 12</f>
        <v/>
      </c>
      <c r="E155" s="306">
        <f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+ (IF(MAX(0, A155 - $F$11 + 1)&lt;=0, 0, IF(MAX(0, A155 - $F$11 + 1)&lt;=6, 70 - (70-14)*(MAX(0, A155 - $F$11 + 1)-1)/5, IF(MAX(0, A155 - $F$11 + 1)&lt;=24, 14 - 14*(MAX(0, A155 - $F$11 + 1)-6)/18, 0)))) + (IF(MAX(0, A155 - $F$12 + 1)&lt;=0, 0, IF(MAX(0, A155 - $F$12 + 1)&lt;=6, 70 - (70-14)*(MAX(0, A155 - $F$12 + 1)-1)/5, IF(MAX(0, A155 - $F$12 + 1)&lt;=24, 14 - 14*(MAX(0, A155 - $F$12 + 1)-6)/18, 0)))) + (IF(MAX(0, A155 - $F$13 + 1)&lt;=0, 0, IF(MAX(0, A155 - $F$13 + 1)&lt;=6, 70 - (70-14)*(MAX(0, A155 - $F$13 + 1)-1)/5, IF(MAX(0, A155 - $F$13 + 1)&lt;=24, 14 - 14*(MAX(0, A155 - $F$13 + 1)-6)/18, 0)))) + (IF(MAX(0, A155 - $F$14 + 1)&lt;=0, 0, IF(MAX(0, A155 - $F$14 + 1)&lt;=6, 70 - (70-14)*(MAX(0, A155 - $F$14 + 1)-1)/5, IF(MAX(0, A155 - $F$14 + 1)&lt;=24, 14 - 14*(MAX(0, A155 - $F$14 + 1)-6)/18, 0)))) ) * 200 / 12 / 1000</f>
        <v/>
      </c>
      <c r="F155" s="306">
        <f>IF(A155&lt;$F$6,0,IF(AND($B$21=1,A155&gt;$B$19),0,$E$6*$G$6^MIN((A155-$F$6)/12,6)*MIN($G$6,0.85)^MAX(0,(A155-$F$6)/12-6)))</f>
        <v/>
      </c>
      <c r="G155" s="306">
        <f>IF(A155&lt;$F$7,0,IF(AND($B$21=1,A155&gt;$B$19),0,$E$7*$G$7^MIN((A155-$F$7)/12,6)*MIN($G$7,0.85)^MAX(0,(A155-$F$7)/12-6)))</f>
        <v/>
      </c>
      <c r="H155" s="306">
        <f>IF(A155&lt;$F$8,0,IF(AND($B$21=1,A155&gt;$B$19),0,$E$8*$G$8^MIN((A155-$F$8)/12,6)*MIN($G$8,0.85)^MAX(0,(A155-$F$8)/12-6)))</f>
        <v/>
      </c>
      <c r="I155" s="306">
        <f>IF(A155&lt;$F$9,0,IF(AND($B$21=1,A155&gt;$B$19),0,$E$9*$G$9^MIN((A155-$F$9)/12,6)*MIN($G$9,0.85)^MAX(0,(A155-$F$9)/12-6)))</f>
        <v/>
      </c>
      <c r="J155" s="306">
        <f>IF(A155&lt;$F$10,0,IF(AND($B$21=1,A155&gt;$B$19),0,$E$10*$G$10^MIN((A155-$F$10)/12,6)*MIN($G$10,0.85)^MAX(0,(A155-$F$10)/12-6)))</f>
        <v/>
      </c>
      <c r="K155" s="306">
        <f>IF(A155&lt;$F$11,0,IF(AND($B$21=1,A155&gt;$B$19),0,$E$11*$G$11^MIN((A155-$F$11)/12,6)*MIN($G$11,0.85)^MAX(0,(A155-$F$11)/12-6)))</f>
        <v/>
      </c>
      <c r="L155" s="306">
        <f>IF(A155&lt;$F$12,0,IF(AND($B$21=1,A155&gt;$B$19),0,$E$12*$G$12^MIN((A155-$F$12)/12,6)*MIN($G$12,0.85)^MAX(0,(A155-$F$12)/12-6)))</f>
        <v/>
      </c>
      <c r="M155" s="306">
        <f>IF(A155&lt;$F$13,0,IF(AND($B$21=1,A155&gt;$B$19),0,$E$13*$G$13^MIN((A155-$F$13)/12,6)*MIN($G$13,0.85)^MAX(0,(A155-$F$13)/12-6)))</f>
        <v/>
      </c>
      <c r="N155" s="306">
        <f>IF(A155&lt;$F$14,0,IF(AND($B$21=1,A155&gt;$B$19),0,$E$14*$G$14^MIN((A155-$F$14)/12,6)*MIN($G$14,0.85)^MAX(0,(A155-$F$14)/12-6)))</f>
        <v/>
      </c>
      <c r="O155" s="306">
        <f>SUM(F155:N155)</f>
        <v/>
      </c>
      <c r="P155" s="306">
        <f>O155/12</f>
        <v/>
      </c>
      <c r="Q155" s="306">
        <f>P155*$B$8</f>
        <v/>
      </c>
      <c r="R155" s="306">
        <f>P155*$B$9</f>
        <v/>
      </c>
      <c r="S155" s="306">
        <f>P155*$B$10</f>
        <v/>
      </c>
      <c r="T155" s="306">
        <f>P155-Q155-R155-S155-D155-E155</f>
        <v/>
      </c>
      <c r="U155" s="306">
        <f>MAX(0, T155 - $B$7*P155)</f>
        <v/>
      </c>
      <c r="V155" s="306">
        <f>T155-U155</f>
        <v/>
      </c>
      <c r="W155" s="306">
        <f>IF(A155=$F$6, $B$18*$B$16*$B$17/1000000, 0) + IF(A155=$F$7, $B$18*$B$16*$B$17/1000000, 0) + IF(A155=$F$8, $B$18*$B$16*$B$17/1000000, 0) + IF(A155=$F$9, $B$18*$B$16*$B$17/1000000, 0) + IF(A155=$F$10, $B$18*$B$16*$B$17/1000000, 0) + IF(A155=$F$11, $B$18*$B$16*$B$17/1000000, 0) + IF(A155=$F$12, $B$18*$B$16*$B$17/1000000, 0) + IF(A155=$F$13, $B$18*$B$16*$B$17/1000000, 0) + IF(A155=$F$14, $B$18*$B$16*$B$17/1000000, 0)</f>
        <v/>
      </c>
      <c r="X155" s="306">
        <f>V155-W155-C155</f>
        <v/>
      </c>
      <c r="Y155" s="306">
        <f>IF(AND(A155&lt;=$B$24, X155&gt;0), X155*$B$23, 0)</f>
        <v/>
      </c>
      <c r="Z155" s="306">
        <f>X155-Y155</f>
        <v/>
      </c>
      <c r="AA155" s="306">
        <f>IF(AND(A155=$B$19, $B$21=1), O155*$B$20, 0)</f>
        <v/>
      </c>
      <c r="AB155" s="306">
        <f>AB154+Z155+AA155</f>
        <v/>
      </c>
    </row>
    <row r="156">
      <c r="A156" s="306" t="n">
        <v>126</v>
      </c>
      <c r="B156" s="306">
        <f>CEILING(A156/12,1)</f>
        <v/>
      </c>
      <c r="C156" s="306">
        <f>IF(A156&lt;=12, $B$15/12, 0)</f>
        <v/>
      </c>
      <c r="D156" s="306">
        <f>INDEX('26. Team Comp'!$D$28:$R$28, B156) * 0.001 / 12</f>
        <v/>
      </c>
      <c r="E156" s="306">
        <f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+ (IF(MAX(0, A156 - $F$11 + 1)&lt;=0, 0, IF(MAX(0, A156 - $F$11 + 1)&lt;=6, 70 - (70-14)*(MAX(0, A156 - $F$11 + 1)-1)/5, IF(MAX(0, A156 - $F$11 + 1)&lt;=24, 14 - 14*(MAX(0, A156 - $F$11 + 1)-6)/18, 0)))) + (IF(MAX(0, A156 - $F$12 + 1)&lt;=0, 0, IF(MAX(0, A156 - $F$12 + 1)&lt;=6, 70 - (70-14)*(MAX(0, A156 - $F$12 + 1)-1)/5, IF(MAX(0, A156 - $F$12 + 1)&lt;=24, 14 - 14*(MAX(0, A156 - $F$12 + 1)-6)/18, 0)))) + (IF(MAX(0, A156 - $F$13 + 1)&lt;=0, 0, IF(MAX(0, A156 - $F$13 + 1)&lt;=6, 70 - (70-14)*(MAX(0, A156 - $F$13 + 1)-1)/5, IF(MAX(0, A156 - $F$13 + 1)&lt;=24, 14 - 14*(MAX(0, A156 - $F$13 + 1)-6)/18, 0)))) + (IF(MAX(0, A156 - $F$14 + 1)&lt;=0, 0, IF(MAX(0, A156 - $F$14 + 1)&lt;=6, 70 - (70-14)*(MAX(0, A156 - $F$14 + 1)-1)/5, IF(MAX(0, A156 - $F$14 + 1)&lt;=24, 14 - 14*(MAX(0, A156 - $F$14 + 1)-6)/18, 0)))) ) * 200 / 12 / 1000</f>
        <v/>
      </c>
      <c r="F156" s="306">
        <f>IF(A156&lt;$F$6,0,IF(AND($B$21=1,A156&gt;$B$19),0,$E$6*$G$6^MIN((A156-$F$6)/12,6)*MIN($G$6,0.85)^MAX(0,(A156-$F$6)/12-6)))</f>
        <v/>
      </c>
      <c r="G156" s="306">
        <f>IF(A156&lt;$F$7,0,IF(AND($B$21=1,A156&gt;$B$19),0,$E$7*$G$7^MIN((A156-$F$7)/12,6)*MIN($G$7,0.85)^MAX(0,(A156-$F$7)/12-6)))</f>
        <v/>
      </c>
      <c r="H156" s="306">
        <f>IF(A156&lt;$F$8,0,IF(AND($B$21=1,A156&gt;$B$19),0,$E$8*$G$8^MIN((A156-$F$8)/12,6)*MIN($G$8,0.85)^MAX(0,(A156-$F$8)/12-6)))</f>
        <v/>
      </c>
      <c r="I156" s="306">
        <f>IF(A156&lt;$F$9,0,IF(AND($B$21=1,A156&gt;$B$19),0,$E$9*$G$9^MIN((A156-$F$9)/12,6)*MIN($G$9,0.85)^MAX(0,(A156-$F$9)/12-6)))</f>
        <v/>
      </c>
      <c r="J156" s="306">
        <f>IF(A156&lt;$F$10,0,IF(AND($B$21=1,A156&gt;$B$19),0,$E$10*$G$10^MIN((A156-$F$10)/12,6)*MIN($G$10,0.85)^MAX(0,(A156-$F$10)/12-6)))</f>
        <v/>
      </c>
      <c r="K156" s="306">
        <f>IF(A156&lt;$F$11,0,IF(AND($B$21=1,A156&gt;$B$19),0,$E$11*$G$11^MIN((A156-$F$11)/12,6)*MIN($G$11,0.85)^MAX(0,(A156-$F$11)/12-6)))</f>
        <v/>
      </c>
      <c r="L156" s="306">
        <f>IF(A156&lt;$F$12,0,IF(AND($B$21=1,A156&gt;$B$19),0,$E$12*$G$12^MIN((A156-$F$12)/12,6)*MIN($G$12,0.85)^MAX(0,(A156-$F$12)/12-6)))</f>
        <v/>
      </c>
      <c r="M156" s="306">
        <f>IF(A156&lt;$F$13,0,IF(AND($B$21=1,A156&gt;$B$19),0,$E$13*$G$13^MIN((A156-$F$13)/12,6)*MIN($G$13,0.85)^MAX(0,(A156-$F$13)/12-6)))</f>
        <v/>
      </c>
      <c r="N156" s="306">
        <f>IF(A156&lt;$F$14,0,IF(AND($B$21=1,A156&gt;$B$19),0,$E$14*$G$14^MIN((A156-$F$14)/12,6)*MIN($G$14,0.85)^MAX(0,(A156-$F$14)/12-6)))</f>
        <v/>
      </c>
      <c r="O156" s="306">
        <f>SUM(F156:N156)</f>
        <v/>
      </c>
      <c r="P156" s="306">
        <f>O156/12</f>
        <v/>
      </c>
      <c r="Q156" s="306">
        <f>P156*$B$8</f>
        <v/>
      </c>
      <c r="R156" s="306">
        <f>P156*$B$9</f>
        <v/>
      </c>
      <c r="S156" s="306">
        <f>P156*$B$10</f>
        <v/>
      </c>
      <c r="T156" s="306">
        <f>P156-Q156-R156-S156-D156-E156</f>
        <v/>
      </c>
      <c r="U156" s="306">
        <f>MAX(0, T156 - $B$7*P156)</f>
        <v/>
      </c>
      <c r="V156" s="306">
        <f>T156-U156</f>
        <v/>
      </c>
      <c r="W156" s="306">
        <f>IF(A156=$F$6, $B$18*$B$16*$B$17/1000000, 0) + IF(A156=$F$7, $B$18*$B$16*$B$17/1000000, 0) + IF(A156=$F$8, $B$18*$B$16*$B$17/1000000, 0) + IF(A156=$F$9, $B$18*$B$16*$B$17/1000000, 0) + IF(A156=$F$10, $B$18*$B$16*$B$17/1000000, 0) + IF(A156=$F$11, $B$18*$B$16*$B$17/1000000, 0) + IF(A156=$F$12, $B$18*$B$16*$B$17/1000000, 0) + IF(A156=$F$13, $B$18*$B$16*$B$17/1000000, 0) + IF(A156=$F$14, $B$18*$B$16*$B$17/1000000, 0)</f>
        <v/>
      </c>
      <c r="X156" s="306">
        <f>V156-W156-C156</f>
        <v/>
      </c>
      <c r="Y156" s="306">
        <f>IF(AND(A156&lt;=$B$24, X156&gt;0), X156*$B$23, 0)</f>
        <v/>
      </c>
      <c r="Z156" s="306">
        <f>X156-Y156</f>
        <v/>
      </c>
      <c r="AA156" s="306">
        <f>IF(AND(A156=$B$19, $B$21=1), O156*$B$20, 0)</f>
        <v/>
      </c>
      <c r="AB156" s="306">
        <f>AB155+Z156+AA156</f>
        <v/>
      </c>
    </row>
    <row r="157">
      <c r="A157" s="306" t="n">
        <v>127</v>
      </c>
      <c r="B157" s="306">
        <f>CEILING(A157/12,1)</f>
        <v/>
      </c>
      <c r="C157" s="306">
        <f>IF(A157&lt;=12, $B$15/12, 0)</f>
        <v/>
      </c>
      <c r="D157" s="306">
        <f>INDEX('26. Team Comp'!$D$28:$R$28, B157) * 0.001 / 12</f>
        <v/>
      </c>
      <c r="E157" s="306">
        <f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+ (IF(MAX(0, A157 - $F$11 + 1)&lt;=0, 0, IF(MAX(0, A157 - $F$11 + 1)&lt;=6, 70 - (70-14)*(MAX(0, A157 - $F$11 + 1)-1)/5, IF(MAX(0, A157 - $F$11 + 1)&lt;=24, 14 - 14*(MAX(0, A157 - $F$11 + 1)-6)/18, 0)))) + (IF(MAX(0, A157 - $F$12 + 1)&lt;=0, 0, IF(MAX(0, A157 - $F$12 + 1)&lt;=6, 70 - (70-14)*(MAX(0, A157 - $F$12 + 1)-1)/5, IF(MAX(0, A157 - $F$12 + 1)&lt;=24, 14 - 14*(MAX(0, A157 - $F$12 + 1)-6)/18, 0)))) + (IF(MAX(0, A157 - $F$13 + 1)&lt;=0, 0, IF(MAX(0, A157 - $F$13 + 1)&lt;=6, 70 - (70-14)*(MAX(0, A157 - $F$13 + 1)-1)/5, IF(MAX(0, A157 - $F$13 + 1)&lt;=24, 14 - 14*(MAX(0, A157 - $F$13 + 1)-6)/18, 0)))) + (IF(MAX(0, A157 - $F$14 + 1)&lt;=0, 0, IF(MAX(0, A157 - $F$14 + 1)&lt;=6, 70 - (70-14)*(MAX(0, A157 - $F$14 + 1)-1)/5, IF(MAX(0, A157 - $F$14 + 1)&lt;=24, 14 - 14*(MAX(0, A157 - $F$14 + 1)-6)/18, 0)))) ) * 200 / 12 / 1000</f>
        <v/>
      </c>
      <c r="F157" s="306">
        <f>IF(A157&lt;$F$6,0,IF(AND($B$21=1,A157&gt;$B$19),0,$E$6*$G$6^MIN((A157-$F$6)/12,6)*MIN($G$6,0.85)^MAX(0,(A157-$F$6)/12-6)))</f>
        <v/>
      </c>
      <c r="G157" s="306">
        <f>IF(A157&lt;$F$7,0,IF(AND($B$21=1,A157&gt;$B$19),0,$E$7*$G$7^MIN((A157-$F$7)/12,6)*MIN($G$7,0.85)^MAX(0,(A157-$F$7)/12-6)))</f>
        <v/>
      </c>
      <c r="H157" s="306">
        <f>IF(A157&lt;$F$8,0,IF(AND($B$21=1,A157&gt;$B$19),0,$E$8*$G$8^MIN((A157-$F$8)/12,6)*MIN($G$8,0.85)^MAX(0,(A157-$F$8)/12-6)))</f>
        <v/>
      </c>
      <c r="I157" s="306">
        <f>IF(A157&lt;$F$9,0,IF(AND($B$21=1,A157&gt;$B$19),0,$E$9*$G$9^MIN((A157-$F$9)/12,6)*MIN($G$9,0.85)^MAX(0,(A157-$F$9)/12-6)))</f>
        <v/>
      </c>
      <c r="J157" s="306">
        <f>IF(A157&lt;$F$10,0,IF(AND($B$21=1,A157&gt;$B$19),0,$E$10*$G$10^MIN((A157-$F$10)/12,6)*MIN($G$10,0.85)^MAX(0,(A157-$F$10)/12-6)))</f>
        <v/>
      </c>
      <c r="K157" s="306">
        <f>IF(A157&lt;$F$11,0,IF(AND($B$21=1,A157&gt;$B$19),0,$E$11*$G$11^MIN((A157-$F$11)/12,6)*MIN($G$11,0.85)^MAX(0,(A157-$F$11)/12-6)))</f>
        <v/>
      </c>
      <c r="L157" s="306">
        <f>IF(A157&lt;$F$12,0,IF(AND($B$21=1,A157&gt;$B$19),0,$E$12*$G$12^MIN((A157-$F$12)/12,6)*MIN($G$12,0.85)^MAX(0,(A157-$F$12)/12-6)))</f>
        <v/>
      </c>
      <c r="M157" s="306">
        <f>IF(A157&lt;$F$13,0,IF(AND($B$21=1,A157&gt;$B$19),0,$E$13*$G$13^MIN((A157-$F$13)/12,6)*MIN($G$13,0.85)^MAX(0,(A157-$F$13)/12-6)))</f>
        <v/>
      </c>
      <c r="N157" s="306">
        <f>IF(A157&lt;$F$14,0,IF(AND($B$21=1,A157&gt;$B$19),0,$E$14*$G$14^MIN((A157-$F$14)/12,6)*MIN($G$14,0.85)^MAX(0,(A157-$F$14)/12-6)))</f>
        <v/>
      </c>
      <c r="O157" s="306">
        <f>SUM(F157:N157)</f>
        <v/>
      </c>
      <c r="P157" s="306">
        <f>O157/12</f>
        <v/>
      </c>
      <c r="Q157" s="306">
        <f>P157*$B$8</f>
        <v/>
      </c>
      <c r="R157" s="306">
        <f>P157*$B$9</f>
        <v/>
      </c>
      <c r="S157" s="306">
        <f>P157*$B$10</f>
        <v/>
      </c>
      <c r="T157" s="306">
        <f>P157-Q157-R157-S157-D157-E157</f>
        <v/>
      </c>
      <c r="U157" s="306">
        <f>MAX(0, T157 - $B$7*P157)</f>
        <v/>
      </c>
      <c r="V157" s="306">
        <f>T157-U157</f>
        <v/>
      </c>
      <c r="W157" s="306">
        <f>IF(A157=$F$6, $B$18*$B$16*$B$17/1000000, 0) + IF(A157=$F$7, $B$18*$B$16*$B$17/1000000, 0) + IF(A157=$F$8, $B$18*$B$16*$B$17/1000000, 0) + IF(A157=$F$9, $B$18*$B$16*$B$17/1000000, 0) + IF(A157=$F$10, $B$18*$B$16*$B$17/1000000, 0) + IF(A157=$F$11, $B$18*$B$16*$B$17/1000000, 0) + IF(A157=$F$12, $B$18*$B$16*$B$17/1000000, 0) + IF(A157=$F$13, $B$18*$B$16*$B$17/1000000, 0) + IF(A157=$F$14, $B$18*$B$16*$B$17/1000000, 0)</f>
        <v/>
      </c>
      <c r="X157" s="306">
        <f>V157-W157-C157</f>
        <v/>
      </c>
      <c r="Y157" s="306">
        <f>IF(AND(A157&lt;=$B$24, X157&gt;0), X157*$B$23, 0)</f>
        <v/>
      </c>
      <c r="Z157" s="306">
        <f>X157-Y157</f>
        <v/>
      </c>
      <c r="AA157" s="306">
        <f>IF(AND(A157=$B$19, $B$21=1), O157*$B$20, 0)</f>
        <v/>
      </c>
      <c r="AB157" s="306">
        <f>AB156+Z157+AA157</f>
        <v/>
      </c>
    </row>
    <row r="158">
      <c r="A158" s="306" t="n">
        <v>128</v>
      </c>
      <c r="B158" s="306">
        <f>CEILING(A158/12,1)</f>
        <v/>
      </c>
      <c r="C158" s="306">
        <f>IF(A158&lt;=12, $B$15/12, 0)</f>
        <v/>
      </c>
      <c r="D158" s="306">
        <f>INDEX('26. Team Comp'!$D$28:$R$28, B158) * 0.001 / 12</f>
        <v/>
      </c>
      <c r="E158" s="306">
        <f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+ (IF(MAX(0, A158 - $F$11 + 1)&lt;=0, 0, IF(MAX(0, A158 - $F$11 + 1)&lt;=6, 70 - (70-14)*(MAX(0, A158 - $F$11 + 1)-1)/5, IF(MAX(0, A158 - $F$11 + 1)&lt;=24, 14 - 14*(MAX(0, A158 - $F$11 + 1)-6)/18, 0)))) + (IF(MAX(0, A158 - $F$12 + 1)&lt;=0, 0, IF(MAX(0, A158 - $F$12 + 1)&lt;=6, 70 - (70-14)*(MAX(0, A158 - $F$12 + 1)-1)/5, IF(MAX(0, A158 - $F$12 + 1)&lt;=24, 14 - 14*(MAX(0, A158 - $F$12 + 1)-6)/18, 0)))) + (IF(MAX(0, A158 - $F$13 + 1)&lt;=0, 0, IF(MAX(0, A158 - $F$13 + 1)&lt;=6, 70 - (70-14)*(MAX(0, A158 - $F$13 + 1)-1)/5, IF(MAX(0, A158 - $F$13 + 1)&lt;=24, 14 - 14*(MAX(0, A158 - $F$13 + 1)-6)/18, 0)))) + (IF(MAX(0, A158 - $F$14 + 1)&lt;=0, 0, IF(MAX(0, A158 - $F$14 + 1)&lt;=6, 70 - (70-14)*(MAX(0, A158 - $F$14 + 1)-1)/5, IF(MAX(0, A158 - $F$14 + 1)&lt;=24, 14 - 14*(MAX(0, A158 - $F$14 + 1)-6)/18, 0)))) ) * 200 / 12 / 1000</f>
        <v/>
      </c>
      <c r="F158" s="306">
        <f>IF(A158&lt;$F$6,0,IF(AND($B$21=1,A158&gt;$B$19),0,$E$6*$G$6^MIN((A158-$F$6)/12,6)*MIN($G$6,0.85)^MAX(0,(A158-$F$6)/12-6)))</f>
        <v/>
      </c>
      <c r="G158" s="306">
        <f>IF(A158&lt;$F$7,0,IF(AND($B$21=1,A158&gt;$B$19),0,$E$7*$G$7^MIN((A158-$F$7)/12,6)*MIN($G$7,0.85)^MAX(0,(A158-$F$7)/12-6)))</f>
        <v/>
      </c>
      <c r="H158" s="306">
        <f>IF(A158&lt;$F$8,0,IF(AND($B$21=1,A158&gt;$B$19),0,$E$8*$G$8^MIN((A158-$F$8)/12,6)*MIN($G$8,0.85)^MAX(0,(A158-$F$8)/12-6)))</f>
        <v/>
      </c>
      <c r="I158" s="306">
        <f>IF(A158&lt;$F$9,0,IF(AND($B$21=1,A158&gt;$B$19),0,$E$9*$G$9^MIN((A158-$F$9)/12,6)*MIN($G$9,0.85)^MAX(0,(A158-$F$9)/12-6)))</f>
        <v/>
      </c>
      <c r="J158" s="306">
        <f>IF(A158&lt;$F$10,0,IF(AND($B$21=1,A158&gt;$B$19),0,$E$10*$G$10^MIN((A158-$F$10)/12,6)*MIN($G$10,0.85)^MAX(0,(A158-$F$10)/12-6)))</f>
        <v/>
      </c>
      <c r="K158" s="306">
        <f>IF(A158&lt;$F$11,0,IF(AND($B$21=1,A158&gt;$B$19),0,$E$11*$G$11^MIN((A158-$F$11)/12,6)*MIN($G$11,0.85)^MAX(0,(A158-$F$11)/12-6)))</f>
        <v/>
      </c>
      <c r="L158" s="306">
        <f>IF(A158&lt;$F$12,0,IF(AND($B$21=1,A158&gt;$B$19),0,$E$12*$G$12^MIN((A158-$F$12)/12,6)*MIN($G$12,0.85)^MAX(0,(A158-$F$12)/12-6)))</f>
        <v/>
      </c>
      <c r="M158" s="306">
        <f>IF(A158&lt;$F$13,0,IF(AND($B$21=1,A158&gt;$B$19),0,$E$13*$G$13^MIN((A158-$F$13)/12,6)*MIN($G$13,0.85)^MAX(0,(A158-$F$13)/12-6)))</f>
        <v/>
      </c>
      <c r="N158" s="306">
        <f>IF(A158&lt;$F$14,0,IF(AND($B$21=1,A158&gt;$B$19),0,$E$14*$G$14^MIN((A158-$F$14)/12,6)*MIN($G$14,0.85)^MAX(0,(A158-$F$14)/12-6)))</f>
        <v/>
      </c>
      <c r="O158" s="306">
        <f>SUM(F158:N158)</f>
        <v/>
      </c>
      <c r="P158" s="306">
        <f>O158/12</f>
        <v/>
      </c>
      <c r="Q158" s="306">
        <f>P158*$B$8</f>
        <v/>
      </c>
      <c r="R158" s="306">
        <f>P158*$B$9</f>
        <v/>
      </c>
      <c r="S158" s="306">
        <f>P158*$B$10</f>
        <v/>
      </c>
      <c r="T158" s="306">
        <f>P158-Q158-R158-S158-D158-E158</f>
        <v/>
      </c>
      <c r="U158" s="306">
        <f>MAX(0, T158 - $B$7*P158)</f>
        <v/>
      </c>
      <c r="V158" s="306">
        <f>T158-U158</f>
        <v/>
      </c>
      <c r="W158" s="306">
        <f>IF(A158=$F$6, $B$18*$B$16*$B$17/1000000, 0) + IF(A158=$F$7, $B$18*$B$16*$B$17/1000000, 0) + IF(A158=$F$8, $B$18*$B$16*$B$17/1000000, 0) + IF(A158=$F$9, $B$18*$B$16*$B$17/1000000, 0) + IF(A158=$F$10, $B$18*$B$16*$B$17/1000000, 0) + IF(A158=$F$11, $B$18*$B$16*$B$17/1000000, 0) + IF(A158=$F$12, $B$18*$B$16*$B$17/1000000, 0) + IF(A158=$F$13, $B$18*$B$16*$B$17/1000000, 0) + IF(A158=$F$14, $B$18*$B$16*$B$17/1000000, 0)</f>
        <v/>
      </c>
      <c r="X158" s="306">
        <f>V158-W158-C158</f>
        <v/>
      </c>
      <c r="Y158" s="306">
        <f>IF(AND(A158&lt;=$B$24, X158&gt;0), X158*$B$23, 0)</f>
        <v/>
      </c>
      <c r="Z158" s="306">
        <f>X158-Y158</f>
        <v/>
      </c>
      <c r="AA158" s="306">
        <f>IF(AND(A158=$B$19, $B$21=1), O158*$B$20, 0)</f>
        <v/>
      </c>
      <c r="AB158" s="306">
        <f>AB157+Z158+AA158</f>
        <v/>
      </c>
    </row>
    <row r="159">
      <c r="A159" s="306" t="n">
        <v>129</v>
      </c>
      <c r="B159" s="306">
        <f>CEILING(A159/12,1)</f>
        <v/>
      </c>
      <c r="C159" s="306">
        <f>IF(A159&lt;=12, $B$15/12, 0)</f>
        <v/>
      </c>
      <c r="D159" s="306">
        <f>INDEX('26. Team Comp'!$D$28:$R$28, B159) * 0.001 / 12</f>
        <v/>
      </c>
      <c r="E159" s="306">
        <f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+ (IF(MAX(0, A159 - $F$11 + 1)&lt;=0, 0, IF(MAX(0, A159 - $F$11 + 1)&lt;=6, 70 - (70-14)*(MAX(0, A159 - $F$11 + 1)-1)/5, IF(MAX(0, A159 - $F$11 + 1)&lt;=24, 14 - 14*(MAX(0, A159 - $F$11 + 1)-6)/18, 0)))) + (IF(MAX(0, A159 - $F$12 + 1)&lt;=0, 0, IF(MAX(0, A159 - $F$12 + 1)&lt;=6, 70 - (70-14)*(MAX(0, A159 - $F$12 + 1)-1)/5, IF(MAX(0, A159 - $F$12 + 1)&lt;=24, 14 - 14*(MAX(0, A159 - $F$12 + 1)-6)/18, 0)))) + (IF(MAX(0, A159 - $F$13 + 1)&lt;=0, 0, IF(MAX(0, A159 - $F$13 + 1)&lt;=6, 70 - (70-14)*(MAX(0, A159 - $F$13 + 1)-1)/5, IF(MAX(0, A159 - $F$13 + 1)&lt;=24, 14 - 14*(MAX(0, A159 - $F$13 + 1)-6)/18, 0)))) + (IF(MAX(0, A159 - $F$14 + 1)&lt;=0, 0, IF(MAX(0, A159 - $F$14 + 1)&lt;=6, 70 - (70-14)*(MAX(0, A159 - $F$14 + 1)-1)/5, IF(MAX(0, A159 - $F$14 + 1)&lt;=24, 14 - 14*(MAX(0, A159 - $F$14 + 1)-6)/18, 0)))) ) * 200 / 12 / 1000</f>
        <v/>
      </c>
      <c r="F159" s="306">
        <f>IF(A159&lt;$F$6,0,IF(AND($B$21=1,A159&gt;$B$19),0,$E$6*$G$6^MIN((A159-$F$6)/12,6)*MIN($G$6,0.85)^MAX(0,(A159-$F$6)/12-6)))</f>
        <v/>
      </c>
      <c r="G159" s="306">
        <f>IF(A159&lt;$F$7,0,IF(AND($B$21=1,A159&gt;$B$19),0,$E$7*$G$7^MIN((A159-$F$7)/12,6)*MIN($G$7,0.85)^MAX(0,(A159-$F$7)/12-6)))</f>
        <v/>
      </c>
      <c r="H159" s="306">
        <f>IF(A159&lt;$F$8,0,IF(AND($B$21=1,A159&gt;$B$19),0,$E$8*$G$8^MIN((A159-$F$8)/12,6)*MIN($G$8,0.85)^MAX(0,(A159-$F$8)/12-6)))</f>
        <v/>
      </c>
      <c r="I159" s="306">
        <f>IF(A159&lt;$F$9,0,IF(AND($B$21=1,A159&gt;$B$19),0,$E$9*$G$9^MIN((A159-$F$9)/12,6)*MIN($G$9,0.85)^MAX(0,(A159-$F$9)/12-6)))</f>
        <v/>
      </c>
      <c r="J159" s="306">
        <f>IF(A159&lt;$F$10,0,IF(AND($B$21=1,A159&gt;$B$19),0,$E$10*$G$10^MIN((A159-$F$10)/12,6)*MIN($G$10,0.85)^MAX(0,(A159-$F$10)/12-6)))</f>
        <v/>
      </c>
      <c r="K159" s="306">
        <f>IF(A159&lt;$F$11,0,IF(AND($B$21=1,A159&gt;$B$19),0,$E$11*$G$11^MIN((A159-$F$11)/12,6)*MIN($G$11,0.85)^MAX(0,(A159-$F$11)/12-6)))</f>
        <v/>
      </c>
      <c r="L159" s="306">
        <f>IF(A159&lt;$F$12,0,IF(AND($B$21=1,A159&gt;$B$19),0,$E$12*$G$12^MIN((A159-$F$12)/12,6)*MIN($G$12,0.85)^MAX(0,(A159-$F$12)/12-6)))</f>
        <v/>
      </c>
      <c r="M159" s="306">
        <f>IF(A159&lt;$F$13,0,IF(AND($B$21=1,A159&gt;$B$19),0,$E$13*$G$13^MIN((A159-$F$13)/12,6)*MIN($G$13,0.85)^MAX(0,(A159-$F$13)/12-6)))</f>
        <v/>
      </c>
      <c r="N159" s="306">
        <f>IF(A159&lt;$F$14,0,IF(AND($B$21=1,A159&gt;$B$19),0,$E$14*$G$14^MIN((A159-$F$14)/12,6)*MIN($G$14,0.85)^MAX(0,(A159-$F$14)/12-6)))</f>
        <v/>
      </c>
      <c r="O159" s="306">
        <f>SUM(F159:N159)</f>
        <v/>
      </c>
      <c r="P159" s="306">
        <f>O159/12</f>
        <v/>
      </c>
      <c r="Q159" s="306">
        <f>P159*$B$8</f>
        <v/>
      </c>
      <c r="R159" s="306">
        <f>P159*$B$9</f>
        <v/>
      </c>
      <c r="S159" s="306">
        <f>P159*$B$10</f>
        <v/>
      </c>
      <c r="T159" s="306">
        <f>P159-Q159-R159-S159-D159-E159</f>
        <v/>
      </c>
      <c r="U159" s="306">
        <f>MAX(0, T159 - $B$7*P159)</f>
        <v/>
      </c>
      <c r="V159" s="306">
        <f>T159-U159</f>
        <v/>
      </c>
      <c r="W159" s="306">
        <f>IF(A159=$F$6, $B$18*$B$16*$B$17/1000000, 0) + IF(A159=$F$7, $B$18*$B$16*$B$17/1000000, 0) + IF(A159=$F$8, $B$18*$B$16*$B$17/1000000, 0) + IF(A159=$F$9, $B$18*$B$16*$B$17/1000000, 0) + IF(A159=$F$10, $B$18*$B$16*$B$17/1000000, 0) + IF(A159=$F$11, $B$18*$B$16*$B$17/1000000, 0) + IF(A159=$F$12, $B$18*$B$16*$B$17/1000000, 0) + IF(A159=$F$13, $B$18*$B$16*$B$17/1000000, 0) + IF(A159=$F$14, $B$18*$B$16*$B$17/1000000, 0)</f>
        <v/>
      </c>
      <c r="X159" s="306">
        <f>V159-W159-C159</f>
        <v/>
      </c>
      <c r="Y159" s="306">
        <f>IF(AND(A159&lt;=$B$24, X159&gt;0), X159*$B$23, 0)</f>
        <v/>
      </c>
      <c r="Z159" s="306">
        <f>X159-Y159</f>
        <v/>
      </c>
      <c r="AA159" s="306">
        <f>IF(AND(A159=$B$19, $B$21=1), O159*$B$20, 0)</f>
        <v/>
      </c>
      <c r="AB159" s="306">
        <f>AB158+Z159+AA159</f>
        <v/>
      </c>
    </row>
    <row r="160">
      <c r="A160" s="306" t="n">
        <v>130</v>
      </c>
      <c r="B160" s="306">
        <f>CEILING(A160/12,1)</f>
        <v/>
      </c>
      <c r="C160" s="306">
        <f>IF(A160&lt;=12, $B$15/12, 0)</f>
        <v/>
      </c>
      <c r="D160" s="306">
        <f>INDEX('26. Team Comp'!$D$28:$R$28, B160) * 0.001 / 12</f>
        <v/>
      </c>
      <c r="E160" s="306">
        <f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+ (IF(MAX(0, A160 - $F$11 + 1)&lt;=0, 0, IF(MAX(0, A160 - $F$11 + 1)&lt;=6, 70 - (70-14)*(MAX(0, A160 - $F$11 + 1)-1)/5, IF(MAX(0, A160 - $F$11 + 1)&lt;=24, 14 - 14*(MAX(0, A160 - $F$11 + 1)-6)/18, 0)))) + (IF(MAX(0, A160 - $F$12 + 1)&lt;=0, 0, IF(MAX(0, A160 - $F$12 + 1)&lt;=6, 70 - (70-14)*(MAX(0, A160 - $F$12 + 1)-1)/5, IF(MAX(0, A160 - $F$12 + 1)&lt;=24, 14 - 14*(MAX(0, A160 - $F$12 + 1)-6)/18, 0)))) + (IF(MAX(0, A160 - $F$13 + 1)&lt;=0, 0, IF(MAX(0, A160 - $F$13 + 1)&lt;=6, 70 - (70-14)*(MAX(0, A160 - $F$13 + 1)-1)/5, IF(MAX(0, A160 - $F$13 + 1)&lt;=24, 14 - 14*(MAX(0, A160 - $F$13 + 1)-6)/18, 0)))) + (IF(MAX(0, A160 - $F$14 + 1)&lt;=0, 0, IF(MAX(0, A160 - $F$14 + 1)&lt;=6, 70 - (70-14)*(MAX(0, A160 - $F$14 + 1)-1)/5, IF(MAX(0, A160 - $F$14 + 1)&lt;=24, 14 - 14*(MAX(0, A160 - $F$14 + 1)-6)/18, 0)))) ) * 200 / 12 / 1000</f>
        <v/>
      </c>
      <c r="F160" s="306">
        <f>IF(A160&lt;$F$6,0,IF(AND($B$21=1,A160&gt;$B$19),0,$E$6*$G$6^MIN((A160-$F$6)/12,6)*MIN($G$6,0.85)^MAX(0,(A160-$F$6)/12-6)))</f>
        <v/>
      </c>
      <c r="G160" s="306">
        <f>IF(A160&lt;$F$7,0,IF(AND($B$21=1,A160&gt;$B$19),0,$E$7*$G$7^MIN((A160-$F$7)/12,6)*MIN($G$7,0.85)^MAX(0,(A160-$F$7)/12-6)))</f>
        <v/>
      </c>
      <c r="H160" s="306">
        <f>IF(A160&lt;$F$8,0,IF(AND($B$21=1,A160&gt;$B$19),0,$E$8*$G$8^MIN((A160-$F$8)/12,6)*MIN($G$8,0.85)^MAX(0,(A160-$F$8)/12-6)))</f>
        <v/>
      </c>
      <c r="I160" s="306">
        <f>IF(A160&lt;$F$9,0,IF(AND($B$21=1,A160&gt;$B$19),0,$E$9*$G$9^MIN((A160-$F$9)/12,6)*MIN($G$9,0.85)^MAX(0,(A160-$F$9)/12-6)))</f>
        <v/>
      </c>
      <c r="J160" s="306">
        <f>IF(A160&lt;$F$10,0,IF(AND($B$21=1,A160&gt;$B$19),0,$E$10*$G$10^MIN((A160-$F$10)/12,6)*MIN($G$10,0.85)^MAX(0,(A160-$F$10)/12-6)))</f>
        <v/>
      </c>
      <c r="K160" s="306">
        <f>IF(A160&lt;$F$11,0,IF(AND($B$21=1,A160&gt;$B$19),0,$E$11*$G$11^MIN((A160-$F$11)/12,6)*MIN($G$11,0.85)^MAX(0,(A160-$F$11)/12-6)))</f>
        <v/>
      </c>
      <c r="L160" s="306">
        <f>IF(A160&lt;$F$12,0,IF(AND($B$21=1,A160&gt;$B$19),0,$E$12*$G$12^MIN((A160-$F$12)/12,6)*MIN($G$12,0.85)^MAX(0,(A160-$F$12)/12-6)))</f>
        <v/>
      </c>
      <c r="M160" s="306">
        <f>IF(A160&lt;$F$13,0,IF(AND($B$21=1,A160&gt;$B$19),0,$E$13*$G$13^MIN((A160-$F$13)/12,6)*MIN($G$13,0.85)^MAX(0,(A160-$F$13)/12-6)))</f>
        <v/>
      </c>
      <c r="N160" s="306">
        <f>IF(A160&lt;$F$14,0,IF(AND($B$21=1,A160&gt;$B$19),0,$E$14*$G$14^MIN((A160-$F$14)/12,6)*MIN($G$14,0.85)^MAX(0,(A160-$F$14)/12-6)))</f>
        <v/>
      </c>
      <c r="O160" s="306">
        <f>SUM(F160:N160)</f>
        <v/>
      </c>
      <c r="P160" s="306">
        <f>O160/12</f>
        <v/>
      </c>
      <c r="Q160" s="306">
        <f>P160*$B$8</f>
        <v/>
      </c>
      <c r="R160" s="306">
        <f>P160*$B$9</f>
        <v/>
      </c>
      <c r="S160" s="306">
        <f>P160*$B$10</f>
        <v/>
      </c>
      <c r="T160" s="306">
        <f>P160-Q160-R160-S160-D160-E160</f>
        <v/>
      </c>
      <c r="U160" s="306">
        <f>MAX(0, T160 - $B$7*P160)</f>
        <v/>
      </c>
      <c r="V160" s="306">
        <f>T160-U160</f>
        <v/>
      </c>
      <c r="W160" s="306">
        <f>IF(A160=$F$6, $B$18*$B$16*$B$17/1000000, 0) + IF(A160=$F$7, $B$18*$B$16*$B$17/1000000, 0) + IF(A160=$F$8, $B$18*$B$16*$B$17/1000000, 0) + IF(A160=$F$9, $B$18*$B$16*$B$17/1000000, 0) + IF(A160=$F$10, $B$18*$B$16*$B$17/1000000, 0) + IF(A160=$F$11, $B$18*$B$16*$B$17/1000000, 0) + IF(A160=$F$12, $B$18*$B$16*$B$17/1000000, 0) + IF(A160=$F$13, $B$18*$B$16*$B$17/1000000, 0) + IF(A160=$F$14, $B$18*$B$16*$B$17/1000000, 0)</f>
        <v/>
      </c>
      <c r="X160" s="306">
        <f>V160-W160-C160</f>
        <v/>
      </c>
      <c r="Y160" s="306">
        <f>IF(AND(A160&lt;=$B$24, X160&gt;0), X160*$B$23, 0)</f>
        <v/>
      </c>
      <c r="Z160" s="306">
        <f>X160-Y160</f>
        <v/>
      </c>
      <c r="AA160" s="306">
        <f>IF(AND(A160=$B$19, $B$21=1), O160*$B$20, 0)</f>
        <v/>
      </c>
      <c r="AB160" s="306">
        <f>AB159+Z160+AA160</f>
        <v/>
      </c>
    </row>
    <row r="161">
      <c r="A161" s="306" t="n">
        <v>131</v>
      </c>
      <c r="B161" s="306">
        <f>CEILING(A161/12,1)</f>
        <v/>
      </c>
      <c r="C161" s="306">
        <f>IF(A161&lt;=12, $B$15/12, 0)</f>
        <v/>
      </c>
      <c r="D161" s="306">
        <f>INDEX('26. Team Comp'!$D$28:$R$28, B161) * 0.001 / 12</f>
        <v/>
      </c>
      <c r="E161" s="306">
        <f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+ (IF(MAX(0, A161 - $F$11 + 1)&lt;=0, 0, IF(MAX(0, A161 - $F$11 + 1)&lt;=6, 70 - (70-14)*(MAX(0, A161 - $F$11 + 1)-1)/5, IF(MAX(0, A161 - $F$11 + 1)&lt;=24, 14 - 14*(MAX(0, A161 - $F$11 + 1)-6)/18, 0)))) + (IF(MAX(0, A161 - $F$12 + 1)&lt;=0, 0, IF(MAX(0, A161 - $F$12 + 1)&lt;=6, 70 - (70-14)*(MAX(0, A161 - $F$12 + 1)-1)/5, IF(MAX(0, A161 - $F$12 + 1)&lt;=24, 14 - 14*(MAX(0, A161 - $F$12 + 1)-6)/18, 0)))) + (IF(MAX(0, A161 - $F$13 + 1)&lt;=0, 0, IF(MAX(0, A161 - $F$13 + 1)&lt;=6, 70 - (70-14)*(MAX(0, A161 - $F$13 + 1)-1)/5, IF(MAX(0, A161 - $F$13 + 1)&lt;=24, 14 - 14*(MAX(0, A161 - $F$13 + 1)-6)/18, 0)))) + (IF(MAX(0, A161 - $F$14 + 1)&lt;=0, 0, IF(MAX(0, A161 - $F$14 + 1)&lt;=6, 70 - (70-14)*(MAX(0, A161 - $F$14 + 1)-1)/5, IF(MAX(0, A161 - $F$14 + 1)&lt;=24, 14 - 14*(MAX(0, A161 - $F$14 + 1)-6)/18, 0)))) ) * 200 / 12 / 1000</f>
        <v/>
      </c>
      <c r="F161" s="306">
        <f>IF(A161&lt;$F$6,0,IF(AND($B$21=1,A161&gt;$B$19),0,$E$6*$G$6^MIN((A161-$F$6)/12,6)*MIN($G$6,0.85)^MAX(0,(A161-$F$6)/12-6)))</f>
        <v/>
      </c>
      <c r="G161" s="306">
        <f>IF(A161&lt;$F$7,0,IF(AND($B$21=1,A161&gt;$B$19),0,$E$7*$G$7^MIN((A161-$F$7)/12,6)*MIN($G$7,0.85)^MAX(0,(A161-$F$7)/12-6)))</f>
        <v/>
      </c>
      <c r="H161" s="306">
        <f>IF(A161&lt;$F$8,0,IF(AND($B$21=1,A161&gt;$B$19),0,$E$8*$G$8^MIN((A161-$F$8)/12,6)*MIN($G$8,0.85)^MAX(0,(A161-$F$8)/12-6)))</f>
        <v/>
      </c>
      <c r="I161" s="306">
        <f>IF(A161&lt;$F$9,0,IF(AND($B$21=1,A161&gt;$B$19),0,$E$9*$G$9^MIN((A161-$F$9)/12,6)*MIN($G$9,0.85)^MAX(0,(A161-$F$9)/12-6)))</f>
        <v/>
      </c>
      <c r="J161" s="306">
        <f>IF(A161&lt;$F$10,0,IF(AND($B$21=1,A161&gt;$B$19),0,$E$10*$G$10^MIN((A161-$F$10)/12,6)*MIN($G$10,0.85)^MAX(0,(A161-$F$10)/12-6)))</f>
        <v/>
      </c>
      <c r="K161" s="306">
        <f>IF(A161&lt;$F$11,0,IF(AND($B$21=1,A161&gt;$B$19),0,$E$11*$G$11^MIN((A161-$F$11)/12,6)*MIN($G$11,0.85)^MAX(0,(A161-$F$11)/12-6)))</f>
        <v/>
      </c>
      <c r="L161" s="306">
        <f>IF(A161&lt;$F$12,0,IF(AND($B$21=1,A161&gt;$B$19),0,$E$12*$G$12^MIN((A161-$F$12)/12,6)*MIN($G$12,0.85)^MAX(0,(A161-$F$12)/12-6)))</f>
        <v/>
      </c>
      <c r="M161" s="306">
        <f>IF(A161&lt;$F$13,0,IF(AND($B$21=1,A161&gt;$B$19),0,$E$13*$G$13^MIN((A161-$F$13)/12,6)*MIN($G$13,0.85)^MAX(0,(A161-$F$13)/12-6)))</f>
        <v/>
      </c>
      <c r="N161" s="306">
        <f>IF(A161&lt;$F$14,0,IF(AND($B$21=1,A161&gt;$B$19),0,$E$14*$G$14^MIN((A161-$F$14)/12,6)*MIN($G$14,0.85)^MAX(0,(A161-$F$14)/12-6)))</f>
        <v/>
      </c>
      <c r="O161" s="306">
        <f>SUM(F161:N161)</f>
        <v/>
      </c>
      <c r="P161" s="306">
        <f>O161/12</f>
        <v/>
      </c>
      <c r="Q161" s="306">
        <f>P161*$B$8</f>
        <v/>
      </c>
      <c r="R161" s="306">
        <f>P161*$B$9</f>
        <v/>
      </c>
      <c r="S161" s="306">
        <f>P161*$B$10</f>
        <v/>
      </c>
      <c r="T161" s="306">
        <f>P161-Q161-R161-S161-D161-E161</f>
        <v/>
      </c>
      <c r="U161" s="306">
        <f>MAX(0, T161 - $B$7*P161)</f>
        <v/>
      </c>
      <c r="V161" s="306">
        <f>T161-U161</f>
        <v/>
      </c>
      <c r="W161" s="306">
        <f>IF(A161=$F$6, $B$18*$B$16*$B$17/1000000, 0) + IF(A161=$F$7, $B$18*$B$16*$B$17/1000000, 0) + IF(A161=$F$8, $B$18*$B$16*$B$17/1000000, 0) + IF(A161=$F$9, $B$18*$B$16*$B$17/1000000, 0) + IF(A161=$F$10, $B$18*$B$16*$B$17/1000000, 0) + IF(A161=$F$11, $B$18*$B$16*$B$17/1000000, 0) + IF(A161=$F$12, $B$18*$B$16*$B$17/1000000, 0) + IF(A161=$F$13, $B$18*$B$16*$B$17/1000000, 0) + IF(A161=$F$14, $B$18*$B$16*$B$17/1000000, 0)</f>
        <v/>
      </c>
      <c r="X161" s="306">
        <f>V161-W161-C161</f>
        <v/>
      </c>
      <c r="Y161" s="306">
        <f>IF(AND(A161&lt;=$B$24, X161&gt;0), X161*$B$23, 0)</f>
        <v/>
      </c>
      <c r="Z161" s="306">
        <f>X161-Y161</f>
        <v/>
      </c>
      <c r="AA161" s="306">
        <f>IF(AND(A161=$B$19, $B$21=1), O161*$B$20, 0)</f>
        <v/>
      </c>
      <c r="AB161" s="306">
        <f>AB160+Z161+AA161</f>
        <v/>
      </c>
    </row>
    <row r="162">
      <c r="A162" s="306" t="n">
        <v>132</v>
      </c>
      <c r="B162" s="306">
        <f>CEILING(A162/12,1)</f>
        <v/>
      </c>
      <c r="C162" s="306">
        <f>IF(A162&lt;=12, $B$15/12, 0)</f>
        <v/>
      </c>
      <c r="D162" s="306">
        <f>INDEX('26. Team Comp'!$D$28:$R$28, B162) * 0.001 / 12</f>
        <v/>
      </c>
      <c r="E162" s="306">
        <f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+ (IF(MAX(0, A162 - $F$11 + 1)&lt;=0, 0, IF(MAX(0, A162 - $F$11 + 1)&lt;=6, 70 - (70-14)*(MAX(0, A162 - $F$11 + 1)-1)/5, IF(MAX(0, A162 - $F$11 + 1)&lt;=24, 14 - 14*(MAX(0, A162 - $F$11 + 1)-6)/18, 0)))) + (IF(MAX(0, A162 - $F$12 + 1)&lt;=0, 0, IF(MAX(0, A162 - $F$12 + 1)&lt;=6, 70 - (70-14)*(MAX(0, A162 - $F$12 + 1)-1)/5, IF(MAX(0, A162 - $F$12 + 1)&lt;=24, 14 - 14*(MAX(0, A162 - $F$12 + 1)-6)/18, 0)))) + (IF(MAX(0, A162 - $F$13 + 1)&lt;=0, 0, IF(MAX(0, A162 - $F$13 + 1)&lt;=6, 70 - (70-14)*(MAX(0, A162 - $F$13 + 1)-1)/5, IF(MAX(0, A162 - $F$13 + 1)&lt;=24, 14 - 14*(MAX(0, A162 - $F$13 + 1)-6)/18, 0)))) + (IF(MAX(0, A162 - $F$14 + 1)&lt;=0, 0, IF(MAX(0, A162 - $F$14 + 1)&lt;=6, 70 - (70-14)*(MAX(0, A162 - $F$14 + 1)-1)/5, IF(MAX(0, A162 - $F$14 + 1)&lt;=24, 14 - 14*(MAX(0, A162 - $F$14 + 1)-6)/18, 0)))) ) * 200 / 12 / 1000</f>
        <v/>
      </c>
      <c r="F162" s="306">
        <f>IF(A162&lt;$F$6,0,IF(AND($B$21=1,A162&gt;$B$19),0,$E$6*$G$6^MIN((A162-$F$6)/12,6)*MIN($G$6,0.85)^MAX(0,(A162-$F$6)/12-6)))</f>
        <v/>
      </c>
      <c r="G162" s="306">
        <f>IF(A162&lt;$F$7,0,IF(AND($B$21=1,A162&gt;$B$19),0,$E$7*$G$7^MIN((A162-$F$7)/12,6)*MIN($G$7,0.85)^MAX(0,(A162-$F$7)/12-6)))</f>
        <v/>
      </c>
      <c r="H162" s="306">
        <f>IF(A162&lt;$F$8,0,IF(AND($B$21=1,A162&gt;$B$19),0,$E$8*$G$8^MIN((A162-$F$8)/12,6)*MIN($G$8,0.85)^MAX(0,(A162-$F$8)/12-6)))</f>
        <v/>
      </c>
      <c r="I162" s="306">
        <f>IF(A162&lt;$F$9,0,IF(AND($B$21=1,A162&gt;$B$19),0,$E$9*$G$9^MIN((A162-$F$9)/12,6)*MIN($G$9,0.85)^MAX(0,(A162-$F$9)/12-6)))</f>
        <v/>
      </c>
      <c r="J162" s="306">
        <f>IF(A162&lt;$F$10,0,IF(AND($B$21=1,A162&gt;$B$19),0,$E$10*$G$10^MIN((A162-$F$10)/12,6)*MIN($G$10,0.85)^MAX(0,(A162-$F$10)/12-6)))</f>
        <v/>
      </c>
      <c r="K162" s="306">
        <f>IF(A162&lt;$F$11,0,IF(AND($B$21=1,A162&gt;$B$19),0,$E$11*$G$11^MIN((A162-$F$11)/12,6)*MIN($G$11,0.85)^MAX(0,(A162-$F$11)/12-6)))</f>
        <v/>
      </c>
      <c r="L162" s="306">
        <f>IF(A162&lt;$F$12,0,IF(AND($B$21=1,A162&gt;$B$19),0,$E$12*$G$12^MIN((A162-$F$12)/12,6)*MIN($G$12,0.85)^MAX(0,(A162-$F$12)/12-6)))</f>
        <v/>
      </c>
      <c r="M162" s="306">
        <f>IF(A162&lt;$F$13,0,IF(AND($B$21=1,A162&gt;$B$19),0,$E$13*$G$13^MIN((A162-$F$13)/12,6)*MIN($G$13,0.85)^MAX(0,(A162-$F$13)/12-6)))</f>
        <v/>
      </c>
      <c r="N162" s="306">
        <f>IF(A162&lt;$F$14,0,IF(AND($B$21=1,A162&gt;$B$19),0,$E$14*$G$14^MIN((A162-$F$14)/12,6)*MIN($G$14,0.85)^MAX(0,(A162-$F$14)/12-6)))</f>
        <v/>
      </c>
      <c r="O162" s="306">
        <f>SUM(F162:N162)</f>
        <v/>
      </c>
      <c r="P162" s="306">
        <f>O162/12</f>
        <v/>
      </c>
      <c r="Q162" s="306">
        <f>P162*$B$8</f>
        <v/>
      </c>
      <c r="R162" s="306">
        <f>P162*$B$9</f>
        <v/>
      </c>
      <c r="S162" s="306">
        <f>P162*$B$10</f>
        <v/>
      </c>
      <c r="T162" s="306">
        <f>P162-Q162-R162-S162-D162-E162</f>
        <v/>
      </c>
      <c r="U162" s="306">
        <f>MAX(0, T162 - $B$7*P162)</f>
        <v/>
      </c>
      <c r="V162" s="306">
        <f>T162-U162</f>
        <v/>
      </c>
      <c r="W162" s="306">
        <f>IF(A162=$F$6, $B$18*$B$16*$B$17/1000000, 0) + IF(A162=$F$7, $B$18*$B$16*$B$17/1000000, 0) + IF(A162=$F$8, $B$18*$B$16*$B$17/1000000, 0) + IF(A162=$F$9, $B$18*$B$16*$B$17/1000000, 0) + IF(A162=$F$10, $B$18*$B$16*$B$17/1000000, 0) + IF(A162=$F$11, $B$18*$B$16*$B$17/1000000, 0) + IF(A162=$F$12, $B$18*$B$16*$B$17/1000000, 0) + IF(A162=$F$13, $B$18*$B$16*$B$17/1000000, 0) + IF(A162=$F$14, $B$18*$B$16*$B$17/1000000, 0)</f>
        <v/>
      </c>
      <c r="X162" s="306">
        <f>V162-W162-C162</f>
        <v/>
      </c>
      <c r="Y162" s="306">
        <f>IF(AND(A162&lt;=$B$24, X162&gt;0), X162*$B$23, 0)</f>
        <v/>
      </c>
      <c r="Z162" s="306">
        <f>X162-Y162</f>
        <v/>
      </c>
      <c r="AA162" s="306">
        <f>IF(AND(A162=$B$19, $B$21=1), O162*$B$20, 0)</f>
        <v/>
      </c>
      <c r="AB162" s="306">
        <f>AB161+Z162+AA162</f>
        <v/>
      </c>
    </row>
    <row r="163">
      <c r="A163" s="306" t="n">
        <v>133</v>
      </c>
      <c r="B163" s="306">
        <f>CEILING(A163/12,1)</f>
        <v/>
      </c>
      <c r="C163" s="306">
        <f>IF(A163&lt;=12, $B$15/12, 0)</f>
        <v/>
      </c>
      <c r="D163" s="306">
        <f>INDEX('26. Team Comp'!$D$28:$R$28, B163) * 0.001 / 12</f>
        <v/>
      </c>
      <c r="E163" s="306">
        <f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+ (IF(MAX(0, A163 - $F$11 + 1)&lt;=0, 0, IF(MAX(0, A163 - $F$11 + 1)&lt;=6, 70 - (70-14)*(MAX(0, A163 - $F$11 + 1)-1)/5, IF(MAX(0, A163 - $F$11 + 1)&lt;=24, 14 - 14*(MAX(0, A163 - $F$11 + 1)-6)/18, 0)))) + (IF(MAX(0, A163 - $F$12 + 1)&lt;=0, 0, IF(MAX(0, A163 - $F$12 + 1)&lt;=6, 70 - (70-14)*(MAX(0, A163 - $F$12 + 1)-1)/5, IF(MAX(0, A163 - $F$12 + 1)&lt;=24, 14 - 14*(MAX(0, A163 - $F$12 + 1)-6)/18, 0)))) + (IF(MAX(0, A163 - $F$13 + 1)&lt;=0, 0, IF(MAX(0, A163 - $F$13 + 1)&lt;=6, 70 - (70-14)*(MAX(0, A163 - $F$13 + 1)-1)/5, IF(MAX(0, A163 - $F$13 + 1)&lt;=24, 14 - 14*(MAX(0, A163 - $F$13 + 1)-6)/18, 0)))) + (IF(MAX(0, A163 - $F$14 + 1)&lt;=0, 0, IF(MAX(0, A163 - $F$14 + 1)&lt;=6, 70 - (70-14)*(MAX(0, A163 - $F$14 + 1)-1)/5, IF(MAX(0, A163 - $F$14 + 1)&lt;=24, 14 - 14*(MAX(0, A163 - $F$14 + 1)-6)/18, 0)))) ) * 200 / 12 / 1000</f>
        <v/>
      </c>
      <c r="F163" s="306">
        <f>IF(A163&lt;$F$6,0,IF(AND($B$21=1,A163&gt;$B$19),0,$E$6*$G$6^MIN((A163-$F$6)/12,6)*MIN($G$6,0.85)^MAX(0,(A163-$F$6)/12-6)))</f>
        <v/>
      </c>
      <c r="G163" s="306">
        <f>IF(A163&lt;$F$7,0,IF(AND($B$21=1,A163&gt;$B$19),0,$E$7*$G$7^MIN((A163-$F$7)/12,6)*MIN($G$7,0.85)^MAX(0,(A163-$F$7)/12-6)))</f>
        <v/>
      </c>
      <c r="H163" s="306">
        <f>IF(A163&lt;$F$8,0,IF(AND($B$21=1,A163&gt;$B$19),0,$E$8*$G$8^MIN((A163-$F$8)/12,6)*MIN($G$8,0.85)^MAX(0,(A163-$F$8)/12-6)))</f>
        <v/>
      </c>
      <c r="I163" s="306">
        <f>IF(A163&lt;$F$9,0,IF(AND($B$21=1,A163&gt;$B$19),0,$E$9*$G$9^MIN((A163-$F$9)/12,6)*MIN($G$9,0.85)^MAX(0,(A163-$F$9)/12-6)))</f>
        <v/>
      </c>
      <c r="J163" s="306">
        <f>IF(A163&lt;$F$10,0,IF(AND($B$21=1,A163&gt;$B$19),0,$E$10*$G$10^MIN((A163-$F$10)/12,6)*MIN($G$10,0.85)^MAX(0,(A163-$F$10)/12-6)))</f>
        <v/>
      </c>
      <c r="K163" s="306">
        <f>IF(A163&lt;$F$11,0,IF(AND($B$21=1,A163&gt;$B$19),0,$E$11*$G$11^MIN((A163-$F$11)/12,6)*MIN($G$11,0.85)^MAX(0,(A163-$F$11)/12-6)))</f>
        <v/>
      </c>
      <c r="L163" s="306">
        <f>IF(A163&lt;$F$12,0,IF(AND($B$21=1,A163&gt;$B$19),0,$E$12*$G$12^MIN((A163-$F$12)/12,6)*MIN($G$12,0.85)^MAX(0,(A163-$F$12)/12-6)))</f>
        <v/>
      </c>
      <c r="M163" s="306">
        <f>IF(A163&lt;$F$13,0,IF(AND($B$21=1,A163&gt;$B$19),0,$E$13*$G$13^MIN((A163-$F$13)/12,6)*MIN($G$13,0.85)^MAX(0,(A163-$F$13)/12-6)))</f>
        <v/>
      </c>
      <c r="N163" s="306">
        <f>IF(A163&lt;$F$14,0,IF(AND($B$21=1,A163&gt;$B$19),0,$E$14*$G$14^MIN((A163-$F$14)/12,6)*MIN($G$14,0.85)^MAX(0,(A163-$F$14)/12-6)))</f>
        <v/>
      </c>
      <c r="O163" s="306">
        <f>SUM(F163:N163)</f>
        <v/>
      </c>
      <c r="P163" s="306">
        <f>O163/12</f>
        <v/>
      </c>
      <c r="Q163" s="306">
        <f>P163*$B$8</f>
        <v/>
      </c>
      <c r="R163" s="306">
        <f>P163*$B$9</f>
        <v/>
      </c>
      <c r="S163" s="306">
        <f>P163*$B$10</f>
        <v/>
      </c>
      <c r="T163" s="306">
        <f>P163-Q163-R163-S163-D163-E163</f>
        <v/>
      </c>
      <c r="U163" s="306">
        <f>MAX(0, T163 - $B$7*P163)</f>
        <v/>
      </c>
      <c r="V163" s="306">
        <f>T163-U163</f>
        <v/>
      </c>
      <c r="W163" s="306">
        <f>IF(A163=$F$6, $B$18*$B$16*$B$17/1000000, 0) + IF(A163=$F$7, $B$18*$B$16*$B$17/1000000, 0) + IF(A163=$F$8, $B$18*$B$16*$B$17/1000000, 0) + IF(A163=$F$9, $B$18*$B$16*$B$17/1000000, 0) + IF(A163=$F$10, $B$18*$B$16*$B$17/1000000, 0) + IF(A163=$F$11, $B$18*$B$16*$B$17/1000000, 0) + IF(A163=$F$12, $B$18*$B$16*$B$17/1000000, 0) + IF(A163=$F$13, $B$18*$B$16*$B$17/1000000, 0) + IF(A163=$F$14, $B$18*$B$16*$B$17/1000000, 0)</f>
        <v/>
      </c>
      <c r="X163" s="306">
        <f>V163-W163-C163</f>
        <v/>
      </c>
      <c r="Y163" s="306">
        <f>IF(AND(A163&lt;=$B$24, X163&gt;0), X163*$B$23, 0)</f>
        <v/>
      </c>
      <c r="Z163" s="306">
        <f>X163-Y163</f>
        <v/>
      </c>
      <c r="AA163" s="306">
        <f>IF(AND(A163=$B$19, $B$21=1), O163*$B$20, 0)</f>
        <v/>
      </c>
      <c r="AB163" s="306">
        <f>AB162+Z163+AA163</f>
        <v/>
      </c>
    </row>
    <row r="164">
      <c r="A164" s="306" t="n">
        <v>134</v>
      </c>
      <c r="B164" s="306">
        <f>CEILING(A164/12,1)</f>
        <v/>
      </c>
      <c r="C164" s="306">
        <f>IF(A164&lt;=12, $B$15/12, 0)</f>
        <v/>
      </c>
      <c r="D164" s="306">
        <f>INDEX('26. Team Comp'!$D$28:$R$28, B164) * 0.001 / 12</f>
        <v/>
      </c>
      <c r="E164" s="306">
        <f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+ (IF(MAX(0, A164 - $F$11 + 1)&lt;=0, 0, IF(MAX(0, A164 - $F$11 + 1)&lt;=6, 70 - (70-14)*(MAX(0, A164 - $F$11 + 1)-1)/5, IF(MAX(0, A164 - $F$11 + 1)&lt;=24, 14 - 14*(MAX(0, A164 - $F$11 + 1)-6)/18, 0)))) + (IF(MAX(0, A164 - $F$12 + 1)&lt;=0, 0, IF(MAX(0, A164 - $F$12 + 1)&lt;=6, 70 - (70-14)*(MAX(0, A164 - $F$12 + 1)-1)/5, IF(MAX(0, A164 - $F$12 + 1)&lt;=24, 14 - 14*(MAX(0, A164 - $F$12 + 1)-6)/18, 0)))) + (IF(MAX(0, A164 - $F$13 + 1)&lt;=0, 0, IF(MAX(0, A164 - $F$13 + 1)&lt;=6, 70 - (70-14)*(MAX(0, A164 - $F$13 + 1)-1)/5, IF(MAX(0, A164 - $F$13 + 1)&lt;=24, 14 - 14*(MAX(0, A164 - $F$13 + 1)-6)/18, 0)))) + (IF(MAX(0, A164 - $F$14 + 1)&lt;=0, 0, IF(MAX(0, A164 - $F$14 + 1)&lt;=6, 70 - (70-14)*(MAX(0, A164 - $F$14 + 1)-1)/5, IF(MAX(0, A164 - $F$14 + 1)&lt;=24, 14 - 14*(MAX(0, A164 - $F$14 + 1)-6)/18, 0)))) ) * 200 / 12 / 1000</f>
        <v/>
      </c>
      <c r="F164" s="306">
        <f>IF(A164&lt;$F$6,0,IF(AND($B$21=1,A164&gt;$B$19),0,$E$6*$G$6^MIN((A164-$F$6)/12,6)*MIN($G$6,0.85)^MAX(0,(A164-$F$6)/12-6)))</f>
        <v/>
      </c>
      <c r="G164" s="306">
        <f>IF(A164&lt;$F$7,0,IF(AND($B$21=1,A164&gt;$B$19),0,$E$7*$G$7^MIN((A164-$F$7)/12,6)*MIN($G$7,0.85)^MAX(0,(A164-$F$7)/12-6)))</f>
        <v/>
      </c>
      <c r="H164" s="306">
        <f>IF(A164&lt;$F$8,0,IF(AND($B$21=1,A164&gt;$B$19),0,$E$8*$G$8^MIN((A164-$F$8)/12,6)*MIN($G$8,0.85)^MAX(0,(A164-$F$8)/12-6)))</f>
        <v/>
      </c>
      <c r="I164" s="306">
        <f>IF(A164&lt;$F$9,0,IF(AND($B$21=1,A164&gt;$B$19),0,$E$9*$G$9^MIN((A164-$F$9)/12,6)*MIN($G$9,0.85)^MAX(0,(A164-$F$9)/12-6)))</f>
        <v/>
      </c>
      <c r="J164" s="306">
        <f>IF(A164&lt;$F$10,0,IF(AND($B$21=1,A164&gt;$B$19),0,$E$10*$G$10^MIN((A164-$F$10)/12,6)*MIN($G$10,0.85)^MAX(0,(A164-$F$10)/12-6)))</f>
        <v/>
      </c>
      <c r="K164" s="306">
        <f>IF(A164&lt;$F$11,0,IF(AND($B$21=1,A164&gt;$B$19),0,$E$11*$G$11^MIN((A164-$F$11)/12,6)*MIN($G$11,0.85)^MAX(0,(A164-$F$11)/12-6)))</f>
        <v/>
      </c>
      <c r="L164" s="306">
        <f>IF(A164&lt;$F$12,0,IF(AND($B$21=1,A164&gt;$B$19),0,$E$12*$G$12^MIN((A164-$F$12)/12,6)*MIN($G$12,0.85)^MAX(0,(A164-$F$12)/12-6)))</f>
        <v/>
      </c>
      <c r="M164" s="306">
        <f>IF(A164&lt;$F$13,0,IF(AND($B$21=1,A164&gt;$B$19),0,$E$13*$G$13^MIN((A164-$F$13)/12,6)*MIN($G$13,0.85)^MAX(0,(A164-$F$13)/12-6)))</f>
        <v/>
      </c>
      <c r="N164" s="306">
        <f>IF(A164&lt;$F$14,0,IF(AND($B$21=1,A164&gt;$B$19),0,$E$14*$G$14^MIN((A164-$F$14)/12,6)*MIN($G$14,0.85)^MAX(0,(A164-$F$14)/12-6)))</f>
        <v/>
      </c>
      <c r="O164" s="306">
        <f>SUM(F164:N164)</f>
        <v/>
      </c>
      <c r="P164" s="306">
        <f>O164/12</f>
        <v/>
      </c>
      <c r="Q164" s="306">
        <f>P164*$B$8</f>
        <v/>
      </c>
      <c r="R164" s="306">
        <f>P164*$B$9</f>
        <v/>
      </c>
      <c r="S164" s="306">
        <f>P164*$B$10</f>
        <v/>
      </c>
      <c r="T164" s="306">
        <f>P164-Q164-R164-S164-D164-E164</f>
        <v/>
      </c>
      <c r="U164" s="306">
        <f>MAX(0, T164 - $B$7*P164)</f>
        <v/>
      </c>
      <c r="V164" s="306">
        <f>T164-U164</f>
        <v/>
      </c>
      <c r="W164" s="306">
        <f>IF(A164=$F$6, $B$18*$B$16*$B$17/1000000, 0) + IF(A164=$F$7, $B$18*$B$16*$B$17/1000000, 0) + IF(A164=$F$8, $B$18*$B$16*$B$17/1000000, 0) + IF(A164=$F$9, $B$18*$B$16*$B$17/1000000, 0) + IF(A164=$F$10, $B$18*$B$16*$B$17/1000000, 0) + IF(A164=$F$11, $B$18*$B$16*$B$17/1000000, 0) + IF(A164=$F$12, $B$18*$B$16*$B$17/1000000, 0) + IF(A164=$F$13, $B$18*$B$16*$B$17/1000000, 0) + IF(A164=$F$14, $B$18*$B$16*$B$17/1000000, 0)</f>
        <v/>
      </c>
      <c r="X164" s="306">
        <f>V164-W164-C164</f>
        <v/>
      </c>
      <c r="Y164" s="306">
        <f>IF(AND(A164&lt;=$B$24, X164&gt;0), X164*$B$23, 0)</f>
        <v/>
      </c>
      <c r="Z164" s="306">
        <f>X164-Y164</f>
        <v/>
      </c>
      <c r="AA164" s="306">
        <f>IF(AND(A164=$B$19, $B$21=1), O164*$B$20, 0)</f>
        <v/>
      </c>
      <c r="AB164" s="306">
        <f>AB163+Z164+AA164</f>
        <v/>
      </c>
    </row>
    <row r="165">
      <c r="A165" s="306" t="n">
        <v>135</v>
      </c>
      <c r="B165" s="306">
        <f>CEILING(A165/12,1)</f>
        <v/>
      </c>
      <c r="C165" s="306">
        <f>IF(A165&lt;=12, $B$15/12, 0)</f>
        <v/>
      </c>
      <c r="D165" s="306">
        <f>INDEX('26. Team Comp'!$D$28:$R$28, B165) * 0.001 / 12</f>
        <v/>
      </c>
      <c r="E165" s="306">
        <f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+ (IF(MAX(0, A165 - $F$11 + 1)&lt;=0, 0, IF(MAX(0, A165 - $F$11 + 1)&lt;=6, 70 - (70-14)*(MAX(0, A165 - $F$11 + 1)-1)/5, IF(MAX(0, A165 - $F$11 + 1)&lt;=24, 14 - 14*(MAX(0, A165 - $F$11 + 1)-6)/18, 0)))) + (IF(MAX(0, A165 - $F$12 + 1)&lt;=0, 0, IF(MAX(0, A165 - $F$12 + 1)&lt;=6, 70 - (70-14)*(MAX(0, A165 - $F$12 + 1)-1)/5, IF(MAX(0, A165 - $F$12 + 1)&lt;=24, 14 - 14*(MAX(0, A165 - $F$12 + 1)-6)/18, 0)))) + (IF(MAX(0, A165 - $F$13 + 1)&lt;=0, 0, IF(MAX(0, A165 - $F$13 + 1)&lt;=6, 70 - (70-14)*(MAX(0, A165 - $F$13 + 1)-1)/5, IF(MAX(0, A165 - $F$13 + 1)&lt;=24, 14 - 14*(MAX(0, A165 - $F$13 + 1)-6)/18, 0)))) + (IF(MAX(0, A165 - $F$14 + 1)&lt;=0, 0, IF(MAX(0, A165 - $F$14 + 1)&lt;=6, 70 - (70-14)*(MAX(0, A165 - $F$14 + 1)-1)/5, IF(MAX(0, A165 - $F$14 + 1)&lt;=24, 14 - 14*(MAX(0, A165 - $F$14 + 1)-6)/18, 0)))) ) * 200 / 12 / 1000</f>
        <v/>
      </c>
      <c r="F165" s="306">
        <f>IF(A165&lt;$F$6,0,IF(AND($B$21=1,A165&gt;$B$19),0,$E$6*$G$6^MIN((A165-$F$6)/12,6)*MIN($G$6,0.85)^MAX(0,(A165-$F$6)/12-6)))</f>
        <v/>
      </c>
      <c r="G165" s="306">
        <f>IF(A165&lt;$F$7,0,IF(AND($B$21=1,A165&gt;$B$19),0,$E$7*$G$7^MIN((A165-$F$7)/12,6)*MIN($G$7,0.85)^MAX(0,(A165-$F$7)/12-6)))</f>
        <v/>
      </c>
      <c r="H165" s="306">
        <f>IF(A165&lt;$F$8,0,IF(AND($B$21=1,A165&gt;$B$19),0,$E$8*$G$8^MIN((A165-$F$8)/12,6)*MIN($G$8,0.85)^MAX(0,(A165-$F$8)/12-6)))</f>
        <v/>
      </c>
      <c r="I165" s="306">
        <f>IF(A165&lt;$F$9,0,IF(AND($B$21=1,A165&gt;$B$19),0,$E$9*$G$9^MIN((A165-$F$9)/12,6)*MIN($G$9,0.85)^MAX(0,(A165-$F$9)/12-6)))</f>
        <v/>
      </c>
      <c r="J165" s="306">
        <f>IF(A165&lt;$F$10,0,IF(AND($B$21=1,A165&gt;$B$19),0,$E$10*$G$10^MIN((A165-$F$10)/12,6)*MIN($G$10,0.85)^MAX(0,(A165-$F$10)/12-6)))</f>
        <v/>
      </c>
      <c r="K165" s="306">
        <f>IF(A165&lt;$F$11,0,IF(AND($B$21=1,A165&gt;$B$19),0,$E$11*$G$11^MIN((A165-$F$11)/12,6)*MIN($G$11,0.85)^MAX(0,(A165-$F$11)/12-6)))</f>
        <v/>
      </c>
      <c r="L165" s="306">
        <f>IF(A165&lt;$F$12,0,IF(AND($B$21=1,A165&gt;$B$19),0,$E$12*$G$12^MIN((A165-$F$12)/12,6)*MIN($G$12,0.85)^MAX(0,(A165-$F$12)/12-6)))</f>
        <v/>
      </c>
      <c r="M165" s="306">
        <f>IF(A165&lt;$F$13,0,IF(AND($B$21=1,A165&gt;$B$19),0,$E$13*$G$13^MIN((A165-$F$13)/12,6)*MIN($G$13,0.85)^MAX(0,(A165-$F$13)/12-6)))</f>
        <v/>
      </c>
      <c r="N165" s="306">
        <f>IF(A165&lt;$F$14,0,IF(AND($B$21=1,A165&gt;$B$19),0,$E$14*$G$14^MIN((A165-$F$14)/12,6)*MIN($G$14,0.85)^MAX(0,(A165-$F$14)/12-6)))</f>
        <v/>
      </c>
      <c r="O165" s="306">
        <f>SUM(F165:N165)</f>
        <v/>
      </c>
      <c r="P165" s="306">
        <f>O165/12</f>
        <v/>
      </c>
      <c r="Q165" s="306">
        <f>P165*$B$8</f>
        <v/>
      </c>
      <c r="R165" s="306">
        <f>P165*$B$9</f>
        <v/>
      </c>
      <c r="S165" s="306">
        <f>P165*$B$10</f>
        <v/>
      </c>
      <c r="T165" s="306">
        <f>P165-Q165-R165-S165-D165-E165</f>
        <v/>
      </c>
      <c r="U165" s="306">
        <f>MAX(0, T165 - $B$7*P165)</f>
        <v/>
      </c>
      <c r="V165" s="306">
        <f>T165-U165</f>
        <v/>
      </c>
      <c r="W165" s="306">
        <f>IF(A165=$F$6, $B$18*$B$16*$B$17/1000000, 0) + IF(A165=$F$7, $B$18*$B$16*$B$17/1000000, 0) + IF(A165=$F$8, $B$18*$B$16*$B$17/1000000, 0) + IF(A165=$F$9, $B$18*$B$16*$B$17/1000000, 0) + IF(A165=$F$10, $B$18*$B$16*$B$17/1000000, 0) + IF(A165=$F$11, $B$18*$B$16*$B$17/1000000, 0) + IF(A165=$F$12, $B$18*$B$16*$B$17/1000000, 0) + IF(A165=$F$13, $B$18*$B$16*$B$17/1000000, 0) + IF(A165=$F$14, $B$18*$B$16*$B$17/1000000, 0)</f>
        <v/>
      </c>
      <c r="X165" s="306">
        <f>V165-W165-C165</f>
        <v/>
      </c>
      <c r="Y165" s="306">
        <f>IF(AND(A165&lt;=$B$24, X165&gt;0), X165*$B$23, 0)</f>
        <v/>
      </c>
      <c r="Z165" s="306">
        <f>X165-Y165</f>
        <v/>
      </c>
      <c r="AA165" s="306">
        <f>IF(AND(A165=$B$19, $B$21=1), O165*$B$20, 0)</f>
        <v/>
      </c>
      <c r="AB165" s="306">
        <f>AB164+Z165+AA165</f>
        <v/>
      </c>
    </row>
    <row r="166">
      <c r="A166" s="306" t="n">
        <v>136</v>
      </c>
      <c r="B166" s="306">
        <f>CEILING(A166/12,1)</f>
        <v/>
      </c>
      <c r="C166" s="306">
        <f>IF(A166&lt;=12, $B$15/12, 0)</f>
        <v/>
      </c>
      <c r="D166" s="306">
        <f>INDEX('26. Team Comp'!$D$28:$R$28, B166) * 0.001 / 12</f>
        <v/>
      </c>
      <c r="E166" s="306">
        <f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+ (IF(MAX(0, A166 - $F$11 + 1)&lt;=0, 0, IF(MAX(0, A166 - $F$11 + 1)&lt;=6, 70 - (70-14)*(MAX(0, A166 - $F$11 + 1)-1)/5, IF(MAX(0, A166 - $F$11 + 1)&lt;=24, 14 - 14*(MAX(0, A166 - $F$11 + 1)-6)/18, 0)))) + (IF(MAX(0, A166 - $F$12 + 1)&lt;=0, 0, IF(MAX(0, A166 - $F$12 + 1)&lt;=6, 70 - (70-14)*(MAX(0, A166 - $F$12 + 1)-1)/5, IF(MAX(0, A166 - $F$12 + 1)&lt;=24, 14 - 14*(MAX(0, A166 - $F$12 + 1)-6)/18, 0)))) + (IF(MAX(0, A166 - $F$13 + 1)&lt;=0, 0, IF(MAX(0, A166 - $F$13 + 1)&lt;=6, 70 - (70-14)*(MAX(0, A166 - $F$13 + 1)-1)/5, IF(MAX(0, A166 - $F$13 + 1)&lt;=24, 14 - 14*(MAX(0, A166 - $F$13 + 1)-6)/18, 0)))) + (IF(MAX(0, A166 - $F$14 + 1)&lt;=0, 0, IF(MAX(0, A166 - $F$14 + 1)&lt;=6, 70 - (70-14)*(MAX(0, A166 - $F$14 + 1)-1)/5, IF(MAX(0, A166 - $F$14 + 1)&lt;=24, 14 - 14*(MAX(0, A166 - $F$14 + 1)-6)/18, 0)))) ) * 200 / 12 / 1000</f>
        <v/>
      </c>
      <c r="F166" s="306">
        <f>IF(A166&lt;$F$6,0,IF(AND($B$21=1,A166&gt;$B$19),0,$E$6*$G$6^MIN((A166-$F$6)/12,6)*MIN($G$6,0.85)^MAX(0,(A166-$F$6)/12-6)))</f>
        <v/>
      </c>
      <c r="G166" s="306">
        <f>IF(A166&lt;$F$7,0,IF(AND($B$21=1,A166&gt;$B$19),0,$E$7*$G$7^MIN((A166-$F$7)/12,6)*MIN($G$7,0.85)^MAX(0,(A166-$F$7)/12-6)))</f>
        <v/>
      </c>
      <c r="H166" s="306">
        <f>IF(A166&lt;$F$8,0,IF(AND($B$21=1,A166&gt;$B$19),0,$E$8*$G$8^MIN((A166-$F$8)/12,6)*MIN($G$8,0.85)^MAX(0,(A166-$F$8)/12-6)))</f>
        <v/>
      </c>
      <c r="I166" s="306">
        <f>IF(A166&lt;$F$9,0,IF(AND($B$21=1,A166&gt;$B$19),0,$E$9*$G$9^MIN((A166-$F$9)/12,6)*MIN($G$9,0.85)^MAX(0,(A166-$F$9)/12-6)))</f>
        <v/>
      </c>
      <c r="J166" s="306">
        <f>IF(A166&lt;$F$10,0,IF(AND($B$21=1,A166&gt;$B$19),0,$E$10*$G$10^MIN((A166-$F$10)/12,6)*MIN($G$10,0.85)^MAX(0,(A166-$F$10)/12-6)))</f>
        <v/>
      </c>
      <c r="K166" s="306">
        <f>IF(A166&lt;$F$11,0,IF(AND($B$21=1,A166&gt;$B$19),0,$E$11*$G$11^MIN((A166-$F$11)/12,6)*MIN($G$11,0.85)^MAX(0,(A166-$F$11)/12-6)))</f>
        <v/>
      </c>
      <c r="L166" s="306">
        <f>IF(A166&lt;$F$12,0,IF(AND($B$21=1,A166&gt;$B$19),0,$E$12*$G$12^MIN((A166-$F$12)/12,6)*MIN($G$12,0.85)^MAX(0,(A166-$F$12)/12-6)))</f>
        <v/>
      </c>
      <c r="M166" s="306">
        <f>IF(A166&lt;$F$13,0,IF(AND($B$21=1,A166&gt;$B$19),0,$E$13*$G$13^MIN((A166-$F$13)/12,6)*MIN($G$13,0.85)^MAX(0,(A166-$F$13)/12-6)))</f>
        <v/>
      </c>
      <c r="N166" s="306">
        <f>IF(A166&lt;$F$14,0,IF(AND($B$21=1,A166&gt;$B$19),0,$E$14*$G$14^MIN((A166-$F$14)/12,6)*MIN($G$14,0.85)^MAX(0,(A166-$F$14)/12-6)))</f>
        <v/>
      </c>
      <c r="O166" s="306">
        <f>SUM(F166:N166)</f>
        <v/>
      </c>
      <c r="P166" s="306">
        <f>O166/12</f>
        <v/>
      </c>
      <c r="Q166" s="306">
        <f>P166*$B$8</f>
        <v/>
      </c>
      <c r="R166" s="306">
        <f>P166*$B$9</f>
        <v/>
      </c>
      <c r="S166" s="306">
        <f>P166*$B$10</f>
        <v/>
      </c>
      <c r="T166" s="306">
        <f>P166-Q166-R166-S166-D166-E166</f>
        <v/>
      </c>
      <c r="U166" s="306">
        <f>MAX(0, T166 - $B$7*P166)</f>
        <v/>
      </c>
      <c r="V166" s="306">
        <f>T166-U166</f>
        <v/>
      </c>
      <c r="W166" s="306">
        <f>IF(A166=$F$6, $B$18*$B$16*$B$17/1000000, 0) + IF(A166=$F$7, $B$18*$B$16*$B$17/1000000, 0) + IF(A166=$F$8, $B$18*$B$16*$B$17/1000000, 0) + IF(A166=$F$9, $B$18*$B$16*$B$17/1000000, 0) + IF(A166=$F$10, $B$18*$B$16*$B$17/1000000, 0) + IF(A166=$F$11, $B$18*$B$16*$B$17/1000000, 0) + IF(A166=$F$12, $B$18*$B$16*$B$17/1000000, 0) + IF(A166=$F$13, $B$18*$B$16*$B$17/1000000, 0) + IF(A166=$F$14, $B$18*$B$16*$B$17/1000000, 0)</f>
        <v/>
      </c>
      <c r="X166" s="306">
        <f>V166-W166-C166</f>
        <v/>
      </c>
      <c r="Y166" s="306">
        <f>IF(AND(A166&lt;=$B$24, X166&gt;0), X166*$B$23, 0)</f>
        <v/>
      </c>
      <c r="Z166" s="306">
        <f>X166-Y166</f>
        <v/>
      </c>
      <c r="AA166" s="306">
        <f>IF(AND(A166=$B$19, $B$21=1), O166*$B$20, 0)</f>
        <v/>
      </c>
      <c r="AB166" s="306">
        <f>AB165+Z166+AA166</f>
        <v/>
      </c>
    </row>
    <row r="167">
      <c r="A167" s="306" t="n">
        <v>137</v>
      </c>
      <c r="B167" s="306">
        <f>CEILING(A167/12,1)</f>
        <v/>
      </c>
      <c r="C167" s="306">
        <f>IF(A167&lt;=12, $B$15/12, 0)</f>
        <v/>
      </c>
      <c r="D167" s="306">
        <f>INDEX('26. Team Comp'!$D$28:$R$28, B167) * 0.001 / 12</f>
        <v/>
      </c>
      <c r="E167" s="306">
        <f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+ (IF(MAX(0, A167 - $F$11 + 1)&lt;=0, 0, IF(MAX(0, A167 - $F$11 + 1)&lt;=6, 70 - (70-14)*(MAX(0, A167 - $F$11 + 1)-1)/5, IF(MAX(0, A167 - $F$11 + 1)&lt;=24, 14 - 14*(MAX(0, A167 - $F$11 + 1)-6)/18, 0)))) + (IF(MAX(0, A167 - $F$12 + 1)&lt;=0, 0, IF(MAX(0, A167 - $F$12 + 1)&lt;=6, 70 - (70-14)*(MAX(0, A167 - $F$12 + 1)-1)/5, IF(MAX(0, A167 - $F$12 + 1)&lt;=24, 14 - 14*(MAX(0, A167 - $F$12 + 1)-6)/18, 0)))) + (IF(MAX(0, A167 - $F$13 + 1)&lt;=0, 0, IF(MAX(0, A167 - $F$13 + 1)&lt;=6, 70 - (70-14)*(MAX(0, A167 - $F$13 + 1)-1)/5, IF(MAX(0, A167 - $F$13 + 1)&lt;=24, 14 - 14*(MAX(0, A167 - $F$13 + 1)-6)/18, 0)))) + (IF(MAX(0, A167 - $F$14 + 1)&lt;=0, 0, IF(MAX(0, A167 - $F$14 + 1)&lt;=6, 70 - (70-14)*(MAX(0, A167 - $F$14 + 1)-1)/5, IF(MAX(0, A167 - $F$14 + 1)&lt;=24, 14 - 14*(MAX(0, A167 - $F$14 + 1)-6)/18, 0)))) ) * 200 / 12 / 1000</f>
        <v/>
      </c>
      <c r="F167" s="306">
        <f>IF(A167&lt;$F$6,0,IF(AND($B$21=1,A167&gt;$B$19),0,$E$6*$G$6^MIN((A167-$F$6)/12,6)*MIN($G$6,0.85)^MAX(0,(A167-$F$6)/12-6)))</f>
        <v/>
      </c>
      <c r="G167" s="306">
        <f>IF(A167&lt;$F$7,0,IF(AND($B$21=1,A167&gt;$B$19),0,$E$7*$G$7^MIN((A167-$F$7)/12,6)*MIN($G$7,0.85)^MAX(0,(A167-$F$7)/12-6)))</f>
        <v/>
      </c>
      <c r="H167" s="306">
        <f>IF(A167&lt;$F$8,0,IF(AND($B$21=1,A167&gt;$B$19),0,$E$8*$G$8^MIN((A167-$F$8)/12,6)*MIN($G$8,0.85)^MAX(0,(A167-$F$8)/12-6)))</f>
        <v/>
      </c>
      <c r="I167" s="306">
        <f>IF(A167&lt;$F$9,0,IF(AND($B$21=1,A167&gt;$B$19),0,$E$9*$G$9^MIN((A167-$F$9)/12,6)*MIN($G$9,0.85)^MAX(0,(A167-$F$9)/12-6)))</f>
        <v/>
      </c>
      <c r="J167" s="306">
        <f>IF(A167&lt;$F$10,0,IF(AND($B$21=1,A167&gt;$B$19),0,$E$10*$G$10^MIN((A167-$F$10)/12,6)*MIN($G$10,0.85)^MAX(0,(A167-$F$10)/12-6)))</f>
        <v/>
      </c>
      <c r="K167" s="306">
        <f>IF(A167&lt;$F$11,0,IF(AND($B$21=1,A167&gt;$B$19),0,$E$11*$G$11^MIN((A167-$F$11)/12,6)*MIN($G$11,0.85)^MAX(0,(A167-$F$11)/12-6)))</f>
        <v/>
      </c>
      <c r="L167" s="306">
        <f>IF(A167&lt;$F$12,0,IF(AND($B$21=1,A167&gt;$B$19),0,$E$12*$G$12^MIN((A167-$F$12)/12,6)*MIN($G$12,0.85)^MAX(0,(A167-$F$12)/12-6)))</f>
        <v/>
      </c>
      <c r="M167" s="306">
        <f>IF(A167&lt;$F$13,0,IF(AND($B$21=1,A167&gt;$B$19),0,$E$13*$G$13^MIN((A167-$F$13)/12,6)*MIN($G$13,0.85)^MAX(0,(A167-$F$13)/12-6)))</f>
        <v/>
      </c>
      <c r="N167" s="306">
        <f>IF(A167&lt;$F$14,0,IF(AND($B$21=1,A167&gt;$B$19),0,$E$14*$G$14^MIN((A167-$F$14)/12,6)*MIN($G$14,0.85)^MAX(0,(A167-$F$14)/12-6)))</f>
        <v/>
      </c>
      <c r="O167" s="306">
        <f>SUM(F167:N167)</f>
        <v/>
      </c>
      <c r="P167" s="306">
        <f>O167/12</f>
        <v/>
      </c>
      <c r="Q167" s="306">
        <f>P167*$B$8</f>
        <v/>
      </c>
      <c r="R167" s="306">
        <f>P167*$B$9</f>
        <v/>
      </c>
      <c r="S167" s="306">
        <f>P167*$B$10</f>
        <v/>
      </c>
      <c r="T167" s="306">
        <f>P167-Q167-R167-S167-D167-E167</f>
        <v/>
      </c>
      <c r="U167" s="306">
        <f>MAX(0, T167 - $B$7*P167)</f>
        <v/>
      </c>
      <c r="V167" s="306">
        <f>T167-U167</f>
        <v/>
      </c>
      <c r="W167" s="306">
        <f>IF(A167=$F$6, $B$18*$B$16*$B$17/1000000, 0) + IF(A167=$F$7, $B$18*$B$16*$B$17/1000000, 0) + IF(A167=$F$8, $B$18*$B$16*$B$17/1000000, 0) + IF(A167=$F$9, $B$18*$B$16*$B$17/1000000, 0) + IF(A167=$F$10, $B$18*$B$16*$B$17/1000000, 0) + IF(A167=$F$11, $B$18*$B$16*$B$17/1000000, 0) + IF(A167=$F$12, $B$18*$B$16*$B$17/1000000, 0) + IF(A167=$F$13, $B$18*$B$16*$B$17/1000000, 0) + IF(A167=$F$14, $B$18*$B$16*$B$17/1000000, 0)</f>
        <v/>
      </c>
      <c r="X167" s="306">
        <f>V167-W167-C167</f>
        <v/>
      </c>
      <c r="Y167" s="306">
        <f>IF(AND(A167&lt;=$B$24, X167&gt;0), X167*$B$23, 0)</f>
        <v/>
      </c>
      <c r="Z167" s="306">
        <f>X167-Y167</f>
        <v/>
      </c>
      <c r="AA167" s="306">
        <f>IF(AND(A167=$B$19, $B$21=1), O167*$B$20, 0)</f>
        <v/>
      </c>
      <c r="AB167" s="306">
        <f>AB166+Z167+AA167</f>
        <v/>
      </c>
    </row>
    <row r="168">
      <c r="A168" s="306" t="n">
        <v>138</v>
      </c>
      <c r="B168" s="306">
        <f>CEILING(A168/12,1)</f>
        <v/>
      </c>
      <c r="C168" s="306">
        <f>IF(A168&lt;=12, $B$15/12, 0)</f>
        <v/>
      </c>
      <c r="D168" s="306">
        <f>INDEX('26. Team Comp'!$D$28:$R$28, B168) * 0.001 / 12</f>
        <v/>
      </c>
      <c r="E168" s="306">
        <f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+ (IF(MAX(0, A168 - $F$11 + 1)&lt;=0, 0, IF(MAX(0, A168 - $F$11 + 1)&lt;=6, 70 - (70-14)*(MAX(0, A168 - $F$11 + 1)-1)/5, IF(MAX(0, A168 - $F$11 + 1)&lt;=24, 14 - 14*(MAX(0, A168 - $F$11 + 1)-6)/18, 0)))) + (IF(MAX(0, A168 - $F$12 + 1)&lt;=0, 0, IF(MAX(0, A168 - $F$12 + 1)&lt;=6, 70 - (70-14)*(MAX(0, A168 - $F$12 + 1)-1)/5, IF(MAX(0, A168 - $F$12 + 1)&lt;=24, 14 - 14*(MAX(0, A168 - $F$12 + 1)-6)/18, 0)))) + (IF(MAX(0, A168 - $F$13 + 1)&lt;=0, 0, IF(MAX(0, A168 - $F$13 + 1)&lt;=6, 70 - (70-14)*(MAX(0, A168 - $F$13 + 1)-1)/5, IF(MAX(0, A168 - $F$13 + 1)&lt;=24, 14 - 14*(MAX(0, A168 - $F$13 + 1)-6)/18, 0)))) + (IF(MAX(0, A168 - $F$14 + 1)&lt;=0, 0, IF(MAX(0, A168 - $F$14 + 1)&lt;=6, 70 - (70-14)*(MAX(0, A168 - $F$14 + 1)-1)/5, IF(MAX(0, A168 - $F$14 + 1)&lt;=24, 14 - 14*(MAX(0, A168 - $F$14 + 1)-6)/18, 0)))) ) * 200 / 12 / 1000</f>
        <v/>
      </c>
      <c r="F168" s="306">
        <f>IF(A168&lt;$F$6,0,IF(AND($B$21=1,A168&gt;$B$19),0,$E$6*$G$6^MIN((A168-$F$6)/12,6)*MIN($G$6,0.85)^MAX(0,(A168-$F$6)/12-6)))</f>
        <v/>
      </c>
      <c r="G168" s="306">
        <f>IF(A168&lt;$F$7,0,IF(AND($B$21=1,A168&gt;$B$19),0,$E$7*$G$7^MIN((A168-$F$7)/12,6)*MIN($G$7,0.85)^MAX(0,(A168-$F$7)/12-6)))</f>
        <v/>
      </c>
      <c r="H168" s="306">
        <f>IF(A168&lt;$F$8,0,IF(AND($B$21=1,A168&gt;$B$19),0,$E$8*$G$8^MIN((A168-$F$8)/12,6)*MIN($G$8,0.85)^MAX(0,(A168-$F$8)/12-6)))</f>
        <v/>
      </c>
      <c r="I168" s="306">
        <f>IF(A168&lt;$F$9,0,IF(AND($B$21=1,A168&gt;$B$19),0,$E$9*$G$9^MIN((A168-$F$9)/12,6)*MIN($G$9,0.85)^MAX(0,(A168-$F$9)/12-6)))</f>
        <v/>
      </c>
      <c r="J168" s="306">
        <f>IF(A168&lt;$F$10,0,IF(AND($B$21=1,A168&gt;$B$19),0,$E$10*$G$10^MIN((A168-$F$10)/12,6)*MIN($G$10,0.85)^MAX(0,(A168-$F$10)/12-6)))</f>
        <v/>
      </c>
      <c r="K168" s="306">
        <f>IF(A168&lt;$F$11,0,IF(AND($B$21=1,A168&gt;$B$19),0,$E$11*$G$11^MIN((A168-$F$11)/12,6)*MIN($G$11,0.85)^MAX(0,(A168-$F$11)/12-6)))</f>
        <v/>
      </c>
      <c r="L168" s="306">
        <f>IF(A168&lt;$F$12,0,IF(AND($B$21=1,A168&gt;$B$19),0,$E$12*$G$12^MIN((A168-$F$12)/12,6)*MIN($G$12,0.85)^MAX(0,(A168-$F$12)/12-6)))</f>
        <v/>
      </c>
      <c r="M168" s="306">
        <f>IF(A168&lt;$F$13,0,IF(AND($B$21=1,A168&gt;$B$19),0,$E$13*$G$13^MIN((A168-$F$13)/12,6)*MIN($G$13,0.85)^MAX(0,(A168-$F$13)/12-6)))</f>
        <v/>
      </c>
      <c r="N168" s="306">
        <f>IF(A168&lt;$F$14,0,IF(AND($B$21=1,A168&gt;$B$19),0,$E$14*$G$14^MIN((A168-$F$14)/12,6)*MIN($G$14,0.85)^MAX(0,(A168-$F$14)/12-6)))</f>
        <v/>
      </c>
      <c r="O168" s="306">
        <f>SUM(F168:N168)</f>
        <v/>
      </c>
      <c r="P168" s="306">
        <f>O168/12</f>
        <v/>
      </c>
      <c r="Q168" s="306">
        <f>P168*$B$8</f>
        <v/>
      </c>
      <c r="R168" s="306">
        <f>P168*$B$9</f>
        <v/>
      </c>
      <c r="S168" s="306">
        <f>P168*$B$10</f>
        <v/>
      </c>
      <c r="T168" s="306">
        <f>P168-Q168-R168-S168-D168-E168</f>
        <v/>
      </c>
      <c r="U168" s="306">
        <f>MAX(0, T168 - $B$7*P168)</f>
        <v/>
      </c>
      <c r="V168" s="306">
        <f>T168-U168</f>
        <v/>
      </c>
      <c r="W168" s="306">
        <f>IF(A168=$F$6, $B$18*$B$16*$B$17/1000000, 0) + IF(A168=$F$7, $B$18*$B$16*$B$17/1000000, 0) + IF(A168=$F$8, $B$18*$B$16*$B$17/1000000, 0) + IF(A168=$F$9, $B$18*$B$16*$B$17/1000000, 0) + IF(A168=$F$10, $B$18*$B$16*$B$17/1000000, 0) + IF(A168=$F$11, $B$18*$B$16*$B$17/1000000, 0) + IF(A168=$F$12, $B$18*$B$16*$B$17/1000000, 0) + IF(A168=$F$13, $B$18*$B$16*$B$17/1000000, 0) + IF(A168=$F$14, $B$18*$B$16*$B$17/1000000, 0)</f>
        <v/>
      </c>
      <c r="X168" s="306">
        <f>V168-W168-C168</f>
        <v/>
      </c>
      <c r="Y168" s="306">
        <f>IF(AND(A168&lt;=$B$24, X168&gt;0), X168*$B$23, 0)</f>
        <v/>
      </c>
      <c r="Z168" s="306">
        <f>X168-Y168</f>
        <v/>
      </c>
      <c r="AA168" s="306">
        <f>IF(AND(A168=$B$19, $B$21=1), O168*$B$20, 0)</f>
        <v/>
      </c>
      <c r="AB168" s="306">
        <f>AB167+Z168+AA168</f>
        <v/>
      </c>
    </row>
    <row r="169">
      <c r="A169" s="306" t="n">
        <v>139</v>
      </c>
      <c r="B169" s="306">
        <f>CEILING(A169/12,1)</f>
        <v/>
      </c>
      <c r="C169" s="306">
        <f>IF(A169&lt;=12, $B$15/12, 0)</f>
        <v/>
      </c>
      <c r="D169" s="306">
        <f>INDEX('26. Team Comp'!$D$28:$R$28, B169) * 0.001 / 12</f>
        <v/>
      </c>
      <c r="E169" s="306">
        <f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+ (IF(MAX(0, A169 - $F$11 + 1)&lt;=0, 0, IF(MAX(0, A169 - $F$11 + 1)&lt;=6, 70 - (70-14)*(MAX(0, A169 - $F$11 + 1)-1)/5, IF(MAX(0, A169 - $F$11 + 1)&lt;=24, 14 - 14*(MAX(0, A169 - $F$11 + 1)-6)/18, 0)))) + (IF(MAX(0, A169 - $F$12 + 1)&lt;=0, 0, IF(MAX(0, A169 - $F$12 + 1)&lt;=6, 70 - (70-14)*(MAX(0, A169 - $F$12 + 1)-1)/5, IF(MAX(0, A169 - $F$12 + 1)&lt;=24, 14 - 14*(MAX(0, A169 - $F$12 + 1)-6)/18, 0)))) + (IF(MAX(0, A169 - $F$13 + 1)&lt;=0, 0, IF(MAX(0, A169 - $F$13 + 1)&lt;=6, 70 - (70-14)*(MAX(0, A169 - $F$13 + 1)-1)/5, IF(MAX(0, A169 - $F$13 + 1)&lt;=24, 14 - 14*(MAX(0, A169 - $F$13 + 1)-6)/18, 0)))) + (IF(MAX(0, A169 - $F$14 + 1)&lt;=0, 0, IF(MAX(0, A169 - $F$14 + 1)&lt;=6, 70 - (70-14)*(MAX(0, A169 - $F$14 + 1)-1)/5, IF(MAX(0, A169 - $F$14 + 1)&lt;=24, 14 - 14*(MAX(0, A169 - $F$14 + 1)-6)/18, 0)))) ) * 200 / 12 / 1000</f>
        <v/>
      </c>
      <c r="F169" s="306">
        <f>IF(A169&lt;$F$6,0,IF(AND($B$21=1,A169&gt;$B$19),0,$E$6*$G$6^MIN((A169-$F$6)/12,6)*MIN($G$6,0.85)^MAX(0,(A169-$F$6)/12-6)))</f>
        <v/>
      </c>
      <c r="G169" s="306">
        <f>IF(A169&lt;$F$7,0,IF(AND($B$21=1,A169&gt;$B$19),0,$E$7*$G$7^MIN((A169-$F$7)/12,6)*MIN($G$7,0.85)^MAX(0,(A169-$F$7)/12-6)))</f>
        <v/>
      </c>
      <c r="H169" s="306">
        <f>IF(A169&lt;$F$8,0,IF(AND($B$21=1,A169&gt;$B$19),0,$E$8*$G$8^MIN((A169-$F$8)/12,6)*MIN($G$8,0.85)^MAX(0,(A169-$F$8)/12-6)))</f>
        <v/>
      </c>
      <c r="I169" s="306">
        <f>IF(A169&lt;$F$9,0,IF(AND($B$21=1,A169&gt;$B$19),0,$E$9*$G$9^MIN((A169-$F$9)/12,6)*MIN($G$9,0.85)^MAX(0,(A169-$F$9)/12-6)))</f>
        <v/>
      </c>
      <c r="J169" s="306">
        <f>IF(A169&lt;$F$10,0,IF(AND($B$21=1,A169&gt;$B$19),0,$E$10*$G$10^MIN((A169-$F$10)/12,6)*MIN($G$10,0.85)^MAX(0,(A169-$F$10)/12-6)))</f>
        <v/>
      </c>
      <c r="K169" s="306">
        <f>IF(A169&lt;$F$11,0,IF(AND($B$21=1,A169&gt;$B$19),0,$E$11*$G$11^MIN((A169-$F$11)/12,6)*MIN($G$11,0.85)^MAX(0,(A169-$F$11)/12-6)))</f>
        <v/>
      </c>
      <c r="L169" s="306">
        <f>IF(A169&lt;$F$12,0,IF(AND($B$21=1,A169&gt;$B$19),0,$E$12*$G$12^MIN((A169-$F$12)/12,6)*MIN($G$12,0.85)^MAX(0,(A169-$F$12)/12-6)))</f>
        <v/>
      </c>
      <c r="M169" s="306">
        <f>IF(A169&lt;$F$13,0,IF(AND($B$21=1,A169&gt;$B$19),0,$E$13*$G$13^MIN((A169-$F$13)/12,6)*MIN($G$13,0.85)^MAX(0,(A169-$F$13)/12-6)))</f>
        <v/>
      </c>
      <c r="N169" s="306">
        <f>IF(A169&lt;$F$14,0,IF(AND($B$21=1,A169&gt;$B$19),0,$E$14*$G$14^MIN((A169-$F$14)/12,6)*MIN($G$14,0.85)^MAX(0,(A169-$F$14)/12-6)))</f>
        <v/>
      </c>
      <c r="O169" s="306">
        <f>SUM(F169:N169)</f>
        <v/>
      </c>
      <c r="P169" s="306">
        <f>O169/12</f>
        <v/>
      </c>
      <c r="Q169" s="306">
        <f>P169*$B$8</f>
        <v/>
      </c>
      <c r="R169" s="306">
        <f>P169*$B$9</f>
        <v/>
      </c>
      <c r="S169" s="306">
        <f>P169*$B$10</f>
        <v/>
      </c>
      <c r="T169" s="306">
        <f>P169-Q169-R169-S169-D169-E169</f>
        <v/>
      </c>
      <c r="U169" s="306">
        <f>MAX(0, T169 - $B$7*P169)</f>
        <v/>
      </c>
      <c r="V169" s="306">
        <f>T169-U169</f>
        <v/>
      </c>
      <c r="W169" s="306">
        <f>IF(A169=$F$6, $B$18*$B$16*$B$17/1000000, 0) + IF(A169=$F$7, $B$18*$B$16*$B$17/1000000, 0) + IF(A169=$F$8, $B$18*$B$16*$B$17/1000000, 0) + IF(A169=$F$9, $B$18*$B$16*$B$17/1000000, 0) + IF(A169=$F$10, $B$18*$B$16*$B$17/1000000, 0) + IF(A169=$F$11, $B$18*$B$16*$B$17/1000000, 0) + IF(A169=$F$12, $B$18*$B$16*$B$17/1000000, 0) + IF(A169=$F$13, $B$18*$B$16*$B$17/1000000, 0) + IF(A169=$F$14, $B$18*$B$16*$B$17/1000000, 0)</f>
        <v/>
      </c>
      <c r="X169" s="306">
        <f>V169-W169-C169</f>
        <v/>
      </c>
      <c r="Y169" s="306">
        <f>IF(AND(A169&lt;=$B$24, X169&gt;0), X169*$B$23, 0)</f>
        <v/>
      </c>
      <c r="Z169" s="306">
        <f>X169-Y169</f>
        <v/>
      </c>
      <c r="AA169" s="306">
        <f>IF(AND(A169=$B$19, $B$21=1), O169*$B$20, 0)</f>
        <v/>
      </c>
      <c r="AB169" s="306">
        <f>AB168+Z169+AA169</f>
        <v/>
      </c>
    </row>
    <row r="170">
      <c r="A170" s="306" t="n">
        <v>140</v>
      </c>
      <c r="B170" s="306">
        <f>CEILING(A170/12,1)</f>
        <v/>
      </c>
      <c r="C170" s="306">
        <f>IF(A170&lt;=12, $B$15/12, 0)</f>
        <v/>
      </c>
      <c r="D170" s="306">
        <f>INDEX('26. Team Comp'!$D$28:$R$28, B170) * 0.001 / 12</f>
        <v/>
      </c>
      <c r="E170" s="306">
        <f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+ (IF(MAX(0, A170 - $F$11 + 1)&lt;=0, 0, IF(MAX(0, A170 - $F$11 + 1)&lt;=6, 70 - (70-14)*(MAX(0, A170 - $F$11 + 1)-1)/5, IF(MAX(0, A170 - $F$11 + 1)&lt;=24, 14 - 14*(MAX(0, A170 - $F$11 + 1)-6)/18, 0)))) + (IF(MAX(0, A170 - $F$12 + 1)&lt;=0, 0, IF(MAX(0, A170 - $F$12 + 1)&lt;=6, 70 - (70-14)*(MAX(0, A170 - $F$12 + 1)-1)/5, IF(MAX(0, A170 - $F$12 + 1)&lt;=24, 14 - 14*(MAX(0, A170 - $F$12 + 1)-6)/18, 0)))) + (IF(MAX(0, A170 - $F$13 + 1)&lt;=0, 0, IF(MAX(0, A170 - $F$13 + 1)&lt;=6, 70 - (70-14)*(MAX(0, A170 - $F$13 + 1)-1)/5, IF(MAX(0, A170 - $F$13 + 1)&lt;=24, 14 - 14*(MAX(0, A170 - $F$13 + 1)-6)/18, 0)))) + (IF(MAX(0, A170 - $F$14 + 1)&lt;=0, 0, IF(MAX(0, A170 - $F$14 + 1)&lt;=6, 70 - (70-14)*(MAX(0, A170 - $F$14 + 1)-1)/5, IF(MAX(0, A170 - $F$14 + 1)&lt;=24, 14 - 14*(MAX(0, A170 - $F$14 + 1)-6)/18, 0)))) ) * 200 / 12 / 1000</f>
        <v/>
      </c>
      <c r="F170" s="306">
        <f>IF(A170&lt;$F$6,0,IF(AND($B$21=1,A170&gt;$B$19),0,$E$6*$G$6^MIN((A170-$F$6)/12,6)*MIN($G$6,0.85)^MAX(0,(A170-$F$6)/12-6)))</f>
        <v/>
      </c>
      <c r="G170" s="306">
        <f>IF(A170&lt;$F$7,0,IF(AND($B$21=1,A170&gt;$B$19),0,$E$7*$G$7^MIN((A170-$F$7)/12,6)*MIN($G$7,0.85)^MAX(0,(A170-$F$7)/12-6)))</f>
        <v/>
      </c>
      <c r="H170" s="306">
        <f>IF(A170&lt;$F$8,0,IF(AND($B$21=1,A170&gt;$B$19),0,$E$8*$G$8^MIN((A170-$F$8)/12,6)*MIN($G$8,0.85)^MAX(0,(A170-$F$8)/12-6)))</f>
        <v/>
      </c>
      <c r="I170" s="306">
        <f>IF(A170&lt;$F$9,0,IF(AND($B$21=1,A170&gt;$B$19),0,$E$9*$G$9^MIN((A170-$F$9)/12,6)*MIN($G$9,0.85)^MAX(0,(A170-$F$9)/12-6)))</f>
        <v/>
      </c>
      <c r="J170" s="306">
        <f>IF(A170&lt;$F$10,0,IF(AND($B$21=1,A170&gt;$B$19),0,$E$10*$G$10^MIN((A170-$F$10)/12,6)*MIN($G$10,0.85)^MAX(0,(A170-$F$10)/12-6)))</f>
        <v/>
      </c>
      <c r="K170" s="306">
        <f>IF(A170&lt;$F$11,0,IF(AND($B$21=1,A170&gt;$B$19),0,$E$11*$G$11^MIN((A170-$F$11)/12,6)*MIN($G$11,0.85)^MAX(0,(A170-$F$11)/12-6)))</f>
        <v/>
      </c>
      <c r="L170" s="306">
        <f>IF(A170&lt;$F$12,0,IF(AND($B$21=1,A170&gt;$B$19),0,$E$12*$G$12^MIN((A170-$F$12)/12,6)*MIN($G$12,0.85)^MAX(0,(A170-$F$12)/12-6)))</f>
        <v/>
      </c>
      <c r="M170" s="306">
        <f>IF(A170&lt;$F$13,0,IF(AND($B$21=1,A170&gt;$B$19),0,$E$13*$G$13^MIN((A170-$F$13)/12,6)*MIN($G$13,0.85)^MAX(0,(A170-$F$13)/12-6)))</f>
        <v/>
      </c>
      <c r="N170" s="306">
        <f>IF(A170&lt;$F$14,0,IF(AND($B$21=1,A170&gt;$B$19),0,$E$14*$G$14^MIN((A170-$F$14)/12,6)*MIN($G$14,0.85)^MAX(0,(A170-$F$14)/12-6)))</f>
        <v/>
      </c>
      <c r="O170" s="306">
        <f>SUM(F170:N170)</f>
        <v/>
      </c>
      <c r="P170" s="306">
        <f>O170/12</f>
        <v/>
      </c>
      <c r="Q170" s="306">
        <f>P170*$B$8</f>
        <v/>
      </c>
      <c r="R170" s="306">
        <f>P170*$B$9</f>
        <v/>
      </c>
      <c r="S170" s="306">
        <f>P170*$B$10</f>
        <v/>
      </c>
      <c r="T170" s="306">
        <f>P170-Q170-R170-S170-D170-E170</f>
        <v/>
      </c>
      <c r="U170" s="306">
        <f>MAX(0, T170 - $B$7*P170)</f>
        <v/>
      </c>
      <c r="V170" s="306">
        <f>T170-U170</f>
        <v/>
      </c>
      <c r="W170" s="306">
        <f>IF(A170=$F$6, $B$18*$B$16*$B$17/1000000, 0) + IF(A170=$F$7, $B$18*$B$16*$B$17/1000000, 0) + IF(A170=$F$8, $B$18*$B$16*$B$17/1000000, 0) + IF(A170=$F$9, $B$18*$B$16*$B$17/1000000, 0) + IF(A170=$F$10, $B$18*$B$16*$B$17/1000000, 0) + IF(A170=$F$11, $B$18*$B$16*$B$17/1000000, 0) + IF(A170=$F$12, $B$18*$B$16*$B$17/1000000, 0) + IF(A170=$F$13, $B$18*$B$16*$B$17/1000000, 0) + IF(A170=$F$14, $B$18*$B$16*$B$17/1000000, 0)</f>
        <v/>
      </c>
      <c r="X170" s="306">
        <f>V170-W170-C170</f>
        <v/>
      </c>
      <c r="Y170" s="306">
        <f>IF(AND(A170&lt;=$B$24, X170&gt;0), X170*$B$23, 0)</f>
        <v/>
      </c>
      <c r="Z170" s="306">
        <f>X170-Y170</f>
        <v/>
      </c>
      <c r="AA170" s="306">
        <f>IF(AND(A170=$B$19, $B$21=1), O170*$B$20, 0)</f>
        <v/>
      </c>
      <c r="AB170" s="306">
        <f>AB169+Z170+AA170</f>
        <v/>
      </c>
    </row>
    <row r="171">
      <c r="A171" s="306" t="n">
        <v>141</v>
      </c>
      <c r="B171" s="306">
        <f>CEILING(A171/12,1)</f>
        <v/>
      </c>
      <c r="C171" s="306">
        <f>IF(A171&lt;=12, $B$15/12, 0)</f>
        <v/>
      </c>
      <c r="D171" s="306">
        <f>INDEX('26. Team Comp'!$D$28:$R$28, B171) * 0.001 / 12</f>
        <v/>
      </c>
      <c r="E171" s="306">
        <f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+ (IF(MAX(0, A171 - $F$11 + 1)&lt;=0, 0, IF(MAX(0, A171 - $F$11 + 1)&lt;=6, 70 - (70-14)*(MAX(0, A171 - $F$11 + 1)-1)/5, IF(MAX(0, A171 - $F$11 + 1)&lt;=24, 14 - 14*(MAX(0, A171 - $F$11 + 1)-6)/18, 0)))) + (IF(MAX(0, A171 - $F$12 + 1)&lt;=0, 0, IF(MAX(0, A171 - $F$12 + 1)&lt;=6, 70 - (70-14)*(MAX(0, A171 - $F$12 + 1)-1)/5, IF(MAX(0, A171 - $F$12 + 1)&lt;=24, 14 - 14*(MAX(0, A171 - $F$12 + 1)-6)/18, 0)))) + (IF(MAX(0, A171 - $F$13 + 1)&lt;=0, 0, IF(MAX(0, A171 - $F$13 + 1)&lt;=6, 70 - (70-14)*(MAX(0, A171 - $F$13 + 1)-1)/5, IF(MAX(0, A171 - $F$13 + 1)&lt;=24, 14 - 14*(MAX(0, A171 - $F$13 + 1)-6)/18, 0)))) + (IF(MAX(0, A171 - $F$14 + 1)&lt;=0, 0, IF(MAX(0, A171 - $F$14 + 1)&lt;=6, 70 - (70-14)*(MAX(0, A171 - $F$14 + 1)-1)/5, IF(MAX(0, A171 - $F$14 + 1)&lt;=24, 14 - 14*(MAX(0, A171 - $F$14 + 1)-6)/18, 0)))) ) * 200 / 12 / 1000</f>
        <v/>
      </c>
      <c r="F171" s="306">
        <f>IF(A171&lt;$F$6,0,IF(AND($B$21=1,A171&gt;$B$19),0,$E$6*$G$6^MIN((A171-$F$6)/12,6)*MIN($G$6,0.85)^MAX(0,(A171-$F$6)/12-6)))</f>
        <v/>
      </c>
      <c r="G171" s="306">
        <f>IF(A171&lt;$F$7,0,IF(AND($B$21=1,A171&gt;$B$19),0,$E$7*$G$7^MIN((A171-$F$7)/12,6)*MIN($G$7,0.85)^MAX(0,(A171-$F$7)/12-6)))</f>
        <v/>
      </c>
      <c r="H171" s="306">
        <f>IF(A171&lt;$F$8,0,IF(AND($B$21=1,A171&gt;$B$19),0,$E$8*$G$8^MIN((A171-$F$8)/12,6)*MIN($G$8,0.85)^MAX(0,(A171-$F$8)/12-6)))</f>
        <v/>
      </c>
      <c r="I171" s="306">
        <f>IF(A171&lt;$F$9,0,IF(AND($B$21=1,A171&gt;$B$19),0,$E$9*$G$9^MIN((A171-$F$9)/12,6)*MIN($G$9,0.85)^MAX(0,(A171-$F$9)/12-6)))</f>
        <v/>
      </c>
      <c r="J171" s="306">
        <f>IF(A171&lt;$F$10,0,IF(AND($B$21=1,A171&gt;$B$19),0,$E$10*$G$10^MIN((A171-$F$10)/12,6)*MIN($G$10,0.85)^MAX(0,(A171-$F$10)/12-6)))</f>
        <v/>
      </c>
      <c r="K171" s="306">
        <f>IF(A171&lt;$F$11,0,IF(AND($B$21=1,A171&gt;$B$19),0,$E$11*$G$11^MIN((A171-$F$11)/12,6)*MIN($G$11,0.85)^MAX(0,(A171-$F$11)/12-6)))</f>
        <v/>
      </c>
      <c r="L171" s="306">
        <f>IF(A171&lt;$F$12,0,IF(AND($B$21=1,A171&gt;$B$19),0,$E$12*$G$12^MIN((A171-$F$12)/12,6)*MIN($G$12,0.85)^MAX(0,(A171-$F$12)/12-6)))</f>
        <v/>
      </c>
      <c r="M171" s="306">
        <f>IF(A171&lt;$F$13,0,IF(AND($B$21=1,A171&gt;$B$19),0,$E$13*$G$13^MIN((A171-$F$13)/12,6)*MIN($G$13,0.85)^MAX(0,(A171-$F$13)/12-6)))</f>
        <v/>
      </c>
      <c r="N171" s="306">
        <f>IF(A171&lt;$F$14,0,IF(AND($B$21=1,A171&gt;$B$19),0,$E$14*$G$14^MIN((A171-$F$14)/12,6)*MIN($G$14,0.85)^MAX(0,(A171-$F$14)/12-6)))</f>
        <v/>
      </c>
      <c r="O171" s="306">
        <f>SUM(F171:N171)</f>
        <v/>
      </c>
      <c r="P171" s="306">
        <f>O171/12</f>
        <v/>
      </c>
      <c r="Q171" s="306">
        <f>P171*$B$8</f>
        <v/>
      </c>
      <c r="R171" s="306">
        <f>P171*$B$9</f>
        <v/>
      </c>
      <c r="S171" s="306">
        <f>P171*$B$10</f>
        <v/>
      </c>
      <c r="T171" s="306">
        <f>P171-Q171-R171-S171-D171-E171</f>
        <v/>
      </c>
      <c r="U171" s="306">
        <f>MAX(0, T171 - $B$7*P171)</f>
        <v/>
      </c>
      <c r="V171" s="306">
        <f>T171-U171</f>
        <v/>
      </c>
      <c r="W171" s="306">
        <f>IF(A171=$F$6, $B$18*$B$16*$B$17/1000000, 0) + IF(A171=$F$7, $B$18*$B$16*$B$17/1000000, 0) + IF(A171=$F$8, $B$18*$B$16*$B$17/1000000, 0) + IF(A171=$F$9, $B$18*$B$16*$B$17/1000000, 0) + IF(A171=$F$10, $B$18*$B$16*$B$17/1000000, 0) + IF(A171=$F$11, $B$18*$B$16*$B$17/1000000, 0) + IF(A171=$F$12, $B$18*$B$16*$B$17/1000000, 0) + IF(A171=$F$13, $B$18*$B$16*$B$17/1000000, 0) + IF(A171=$F$14, $B$18*$B$16*$B$17/1000000, 0)</f>
        <v/>
      </c>
      <c r="X171" s="306">
        <f>V171-W171-C171</f>
        <v/>
      </c>
      <c r="Y171" s="306">
        <f>IF(AND(A171&lt;=$B$24, X171&gt;0), X171*$B$23, 0)</f>
        <v/>
      </c>
      <c r="Z171" s="306">
        <f>X171-Y171</f>
        <v/>
      </c>
      <c r="AA171" s="306">
        <f>IF(AND(A171=$B$19, $B$21=1), O171*$B$20, 0)</f>
        <v/>
      </c>
      <c r="AB171" s="306">
        <f>AB170+Z171+AA171</f>
        <v/>
      </c>
    </row>
    <row r="172">
      <c r="A172" s="306" t="n">
        <v>142</v>
      </c>
      <c r="B172" s="306">
        <f>CEILING(A172/12,1)</f>
        <v/>
      </c>
      <c r="C172" s="306">
        <f>IF(A172&lt;=12, $B$15/12, 0)</f>
        <v/>
      </c>
      <c r="D172" s="306">
        <f>INDEX('26. Team Comp'!$D$28:$R$28, B172) * 0.001 / 12</f>
        <v/>
      </c>
      <c r="E172" s="306">
        <f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+ (IF(MAX(0, A172 - $F$11 + 1)&lt;=0, 0, IF(MAX(0, A172 - $F$11 + 1)&lt;=6, 70 - (70-14)*(MAX(0, A172 - $F$11 + 1)-1)/5, IF(MAX(0, A172 - $F$11 + 1)&lt;=24, 14 - 14*(MAX(0, A172 - $F$11 + 1)-6)/18, 0)))) + (IF(MAX(0, A172 - $F$12 + 1)&lt;=0, 0, IF(MAX(0, A172 - $F$12 + 1)&lt;=6, 70 - (70-14)*(MAX(0, A172 - $F$12 + 1)-1)/5, IF(MAX(0, A172 - $F$12 + 1)&lt;=24, 14 - 14*(MAX(0, A172 - $F$12 + 1)-6)/18, 0)))) + (IF(MAX(0, A172 - $F$13 + 1)&lt;=0, 0, IF(MAX(0, A172 - $F$13 + 1)&lt;=6, 70 - (70-14)*(MAX(0, A172 - $F$13 + 1)-1)/5, IF(MAX(0, A172 - $F$13 + 1)&lt;=24, 14 - 14*(MAX(0, A172 - $F$13 + 1)-6)/18, 0)))) + (IF(MAX(0, A172 - $F$14 + 1)&lt;=0, 0, IF(MAX(0, A172 - $F$14 + 1)&lt;=6, 70 - (70-14)*(MAX(0, A172 - $F$14 + 1)-1)/5, IF(MAX(0, A172 - $F$14 + 1)&lt;=24, 14 - 14*(MAX(0, A172 - $F$14 + 1)-6)/18, 0)))) ) * 200 / 12 / 1000</f>
        <v/>
      </c>
      <c r="F172" s="306">
        <f>IF(A172&lt;$F$6,0,IF(AND($B$21=1,A172&gt;$B$19),0,$E$6*$G$6^MIN((A172-$F$6)/12,6)*MIN($G$6,0.85)^MAX(0,(A172-$F$6)/12-6)))</f>
        <v/>
      </c>
      <c r="G172" s="306">
        <f>IF(A172&lt;$F$7,0,IF(AND($B$21=1,A172&gt;$B$19),0,$E$7*$G$7^MIN((A172-$F$7)/12,6)*MIN($G$7,0.85)^MAX(0,(A172-$F$7)/12-6)))</f>
        <v/>
      </c>
      <c r="H172" s="306">
        <f>IF(A172&lt;$F$8,0,IF(AND($B$21=1,A172&gt;$B$19),0,$E$8*$G$8^MIN((A172-$F$8)/12,6)*MIN($G$8,0.85)^MAX(0,(A172-$F$8)/12-6)))</f>
        <v/>
      </c>
      <c r="I172" s="306">
        <f>IF(A172&lt;$F$9,0,IF(AND($B$21=1,A172&gt;$B$19),0,$E$9*$G$9^MIN((A172-$F$9)/12,6)*MIN($G$9,0.85)^MAX(0,(A172-$F$9)/12-6)))</f>
        <v/>
      </c>
      <c r="J172" s="306">
        <f>IF(A172&lt;$F$10,0,IF(AND($B$21=1,A172&gt;$B$19),0,$E$10*$G$10^MIN((A172-$F$10)/12,6)*MIN($G$10,0.85)^MAX(0,(A172-$F$10)/12-6)))</f>
        <v/>
      </c>
      <c r="K172" s="306">
        <f>IF(A172&lt;$F$11,0,IF(AND($B$21=1,A172&gt;$B$19),0,$E$11*$G$11^MIN((A172-$F$11)/12,6)*MIN($G$11,0.85)^MAX(0,(A172-$F$11)/12-6)))</f>
        <v/>
      </c>
      <c r="L172" s="306">
        <f>IF(A172&lt;$F$12,0,IF(AND($B$21=1,A172&gt;$B$19),0,$E$12*$G$12^MIN((A172-$F$12)/12,6)*MIN($G$12,0.85)^MAX(0,(A172-$F$12)/12-6)))</f>
        <v/>
      </c>
      <c r="M172" s="306">
        <f>IF(A172&lt;$F$13,0,IF(AND($B$21=1,A172&gt;$B$19),0,$E$13*$G$13^MIN((A172-$F$13)/12,6)*MIN($G$13,0.85)^MAX(0,(A172-$F$13)/12-6)))</f>
        <v/>
      </c>
      <c r="N172" s="306">
        <f>IF(A172&lt;$F$14,0,IF(AND($B$21=1,A172&gt;$B$19),0,$E$14*$G$14^MIN((A172-$F$14)/12,6)*MIN($G$14,0.85)^MAX(0,(A172-$F$14)/12-6)))</f>
        <v/>
      </c>
      <c r="O172" s="306">
        <f>SUM(F172:N172)</f>
        <v/>
      </c>
      <c r="P172" s="306">
        <f>O172/12</f>
        <v/>
      </c>
      <c r="Q172" s="306">
        <f>P172*$B$8</f>
        <v/>
      </c>
      <c r="R172" s="306">
        <f>P172*$B$9</f>
        <v/>
      </c>
      <c r="S172" s="306">
        <f>P172*$B$10</f>
        <v/>
      </c>
      <c r="T172" s="306">
        <f>P172-Q172-R172-S172-D172-E172</f>
        <v/>
      </c>
      <c r="U172" s="306">
        <f>MAX(0, T172 - $B$7*P172)</f>
        <v/>
      </c>
      <c r="V172" s="306">
        <f>T172-U172</f>
        <v/>
      </c>
      <c r="W172" s="306">
        <f>IF(A172=$F$6, $B$18*$B$16*$B$17/1000000, 0) + IF(A172=$F$7, $B$18*$B$16*$B$17/1000000, 0) + IF(A172=$F$8, $B$18*$B$16*$B$17/1000000, 0) + IF(A172=$F$9, $B$18*$B$16*$B$17/1000000, 0) + IF(A172=$F$10, $B$18*$B$16*$B$17/1000000, 0) + IF(A172=$F$11, $B$18*$B$16*$B$17/1000000, 0) + IF(A172=$F$12, $B$18*$B$16*$B$17/1000000, 0) + IF(A172=$F$13, $B$18*$B$16*$B$17/1000000, 0) + IF(A172=$F$14, $B$18*$B$16*$B$17/1000000, 0)</f>
        <v/>
      </c>
      <c r="X172" s="306">
        <f>V172-W172-C172</f>
        <v/>
      </c>
      <c r="Y172" s="306">
        <f>IF(AND(A172&lt;=$B$24, X172&gt;0), X172*$B$23, 0)</f>
        <v/>
      </c>
      <c r="Z172" s="306">
        <f>X172-Y172</f>
        <v/>
      </c>
      <c r="AA172" s="306">
        <f>IF(AND(A172=$B$19, $B$21=1), O172*$B$20, 0)</f>
        <v/>
      </c>
      <c r="AB172" s="306">
        <f>AB171+Z172+AA172</f>
        <v/>
      </c>
    </row>
    <row r="173">
      <c r="A173" s="306" t="n">
        <v>143</v>
      </c>
      <c r="B173" s="306">
        <f>CEILING(A173/12,1)</f>
        <v/>
      </c>
      <c r="C173" s="306">
        <f>IF(A173&lt;=12, $B$15/12, 0)</f>
        <v/>
      </c>
      <c r="D173" s="306">
        <f>INDEX('26. Team Comp'!$D$28:$R$28, B173) * 0.001 / 12</f>
        <v/>
      </c>
      <c r="E173" s="306">
        <f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+ (IF(MAX(0, A173 - $F$11 + 1)&lt;=0, 0, IF(MAX(0, A173 - $F$11 + 1)&lt;=6, 70 - (70-14)*(MAX(0, A173 - $F$11 + 1)-1)/5, IF(MAX(0, A173 - $F$11 + 1)&lt;=24, 14 - 14*(MAX(0, A173 - $F$11 + 1)-6)/18, 0)))) + (IF(MAX(0, A173 - $F$12 + 1)&lt;=0, 0, IF(MAX(0, A173 - $F$12 + 1)&lt;=6, 70 - (70-14)*(MAX(0, A173 - $F$12 + 1)-1)/5, IF(MAX(0, A173 - $F$12 + 1)&lt;=24, 14 - 14*(MAX(0, A173 - $F$12 + 1)-6)/18, 0)))) + (IF(MAX(0, A173 - $F$13 + 1)&lt;=0, 0, IF(MAX(0, A173 - $F$13 + 1)&lt;=6, 70 - (70-14)*(MAX(0, A173 - $F$13 + 1)-1)/5, IF(MAX(0, A173 - $F$13 + 1)&lt;=24, 14 - 14*(MAX(0, A173 - $F$13 + 1)-6)/18, 0)))) + (IF(MAX(0, A173 - $F$14 + 1)&lt;=0, 0, IF(MAX(0, A173 - $F$14 + 1)&lt;=6, 70 - (70-14)*(MAX(0, A173 - $F$14 + 1)-1)/5, IF(MAX(0, A173 - $F$14 + 1)&lt;=24, 14 - 14*(MAX(0, A173 - $F$14 + 1)-6)/18, 0)))) ) * 200 / 12 / 1000</f>
        <v/>
      </c>
      <c r="F173" s="306">
        <f>IF(A173&lt;$F$6,0,IF(AND($B$21=1,A173&gt;$B$19),0,$E$6*$G$6^MIN((A173-$F$6)/12,6)*MIN($G$6,0.85)^MAX(0,(A173-$F$6)/12-6)))</f>
        <v/>
      </c>
      <c r="G173" s="306">
        <f>IF(A173&lt;$F$7,0,IF(AND($B$21=1,A173&gt;$B$19),0,$E$7*$G$7^MIN((A173-$F$7)/12,6)*MIN($G$7,0.85)^MAX(0,(A173-$F$7)/12-6)))</f>
        <v/>
      </c>
      <c r="H173" s="306">
        <f>IF(A173&lt;$F$8,0,IF(AND($B$21=1,A173&gt;$B$19),0,$E$8*$G$8^MIN((A173-$F$8)/12,6)*MIN($G$8,0.85)^MAX(0,(A173-$F$8)/12-6)))</f>
        <v/>
      </c>
      <c r="I173" s="306">
        <f>IF(A173&lt;$F$9,0,IF(AND($B$21=1,A173&gt;$B$19),0,$E$9*$G$9^MIN((A173-$F$9)/12,6)*MIN($G$9,0.85)^MAX(0,(A173-$F$9)/12-6)))</f>
        <v/>
      </c>
      <c r="J173" s="306">
        <f>IF(A173&lt;$F$10,0,IF(AND($B$21=1,A173&gt;$B$19),0,$E$10*$G$10^MIN((A173-$F$10)/12,6)*MIN($G$10,0.85)^MAX(0,(A173-$F$10)/12-6)))</f>
        <v/>
      </c>
      <c r="K173" s="306">
        <f>IF(A173&lt;$F$11,0,IF(AND($B$21=1,A173&gt;$B$19),0,$E$11*$G$11^MIN((A173-$F$11)/12,6)*MIN($G$11,0.85)^MAX(0,(A173-$F$11)/12-6)))</f>
        <v/>
      </c>
      <c r="L173" s="306">
        <f>IF(A173&lt;$F$12,0,IF(AND($B$21=1,A173&gt;$B$19),0,$E$12*$G$12^MIN((A173-$F$12)/12,6)*MIN($G$12,0.85)^MAX(0,(A173-$F$12)/12-6)))</f>
        <v/>
      </c>
      <c r="M173" s="306">
        <f>IF(A173&lt;$F$13,0,IF(AND($B$21=1,A173&gt;$B$19),0,$E$13*$G$13^MIN((A173-$F$13)/12,6)*MIN($G$13,0.85)^MAX(0,(A173-$F$13)/12-6)))</f>
        <v/>
      </c>
      <c r="N173" s="306">
        <f>IF(A173&lt;$F$14,0,IF(AND($B$21=1,A173&gt;$B$19),0,$E$14*$G$14^MIN((A173-$F$14)/12,6)*MIN($G$14,0.85)^MAX(0,(A173-$F$14)/12-6)))</f>
        <v/>
      </c>
      <c r="O173" s="306">
        <f>SUM(F173:N173)</f>
        <v/>
      </c>
      <c r="P173" s="306">
        <f>O173/12</f>
        <v/>
      </c>
      <c r="Q173" s="306">
        <f>P173*$B$8</f>
        <v/>
      </c>
      <c r="R173" s="306">
        <f>P173*$B$9</f>
        <v/>
      </c>
      <c r="S173" s="306">
        <f>P173*$B$10</f>
        <v/>
      </c>
      <c r="T173" s="306">
        <f>P173-Q173-R173-S173-D173-E173</f>
        <v/>
      </c>
      <c r="U173" s="306">
        <f>MAX(0, T173 - $B$7*P173)</f>
        <v/>
      </c>
      <c r="V173" s="306">
        <f>T173-U173</f>
        <v/>
      </c>
      <c r="W173" s="306">
        <f>IF(A173=$F$6, $B$18*$B$16*$B$17/1000000, 0) + IF(A173=$F$7, $B$18*$B$16*$B$17/1000000, 0) + IF(A173=$F$8, $B$18*$B$16*$B$17/1000000, 0) + IF(A173=$F$9, $B$18*$B$16*$B$17/1000000, 0) + IF(A173=$F$10, $B$18*$B$16*$B$17/1000000, 0) + IF(A173=$F$11, $B$18*$B$16*$B$17/1000000, 0) + IF(A173=$F$12, $B$18*$B$16*$B$17/1000000, 0) + IF(A173=$F$13, $B$18*$B$16*$B$17/1000000, 0) + IF(A173=$F$14, $B$18*$B$16*$B$17/1000000, 0)</f>
        <v/>
      </c>
      <c r="X173" s="306">
        <f>V173-W173-C173</f>
        <v/>
      </c>
      <c r="Y173" s="306">
        <f>IF(AND(A173&lt;=$B$24, X173&gt;0), X173*$B$23, 0)</f>
        <v/>
      </c>
      <c r="Z173" s="306">
        <f>X173-Y173</f>
        <v/>
      </c>
      <c r="AA173" s="306">
        <f>IF(AND(A173=$B$19, $B$21=1), O173*$B$20, 0)</f>
        <v/>
      </c>
      <c r="AB173" s="306">
        <f>AB172+Z173+AA173</f>
        <v/>
      </c>
    </row>
    <row r="174">
      <c r="A174" s="306" t="n">
        <v>144</v>
      </c>
      <c r="B174" s="306">
        <f>CEILING(A174/12,1)</f>
        <v/>
      </c>
      <c r="C174" s="306">
        <f>IF(A174&lt;=12, $B$15/12, 0)</f>
        <v/>
      </c>
      <c r="D174" s="306">
        <f>INDEX('26. Team Comp'!$D$28:$R$28, B174) * 0.001 / 12</f>
        <v/>
      </c>
      <c r="E174" s="306">
        <f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+ (IF(MAX(0, A174 - $F$11 + 1)&lt;=0, 0, IF(MAX(0, A174 - $F$11 + 1)&lt;=6, 70 - (70-14)*(MAX(0, A174 - $F$11 + 1)-1)/5, IF(MAX(0, A174 - $F$11 + 1)&lt;=24, 14 - 14*(MAX(0, A174 - $F$11 + 1)-6)/18, 0)))) + (IF(MAX(0, A174 - $F$12 + 1)&lt;=0, 0, IF(MAX(0, A174 - $F$12 + 1)&lt;=6, 70 - (70-14)*(MAX(0, A174 - $F$12 + 1)-1)/5, IF(MAX(0, A174 - $F$12 + 1)&lt;=24, 14 - 14*(MAX(0, A174 - $F$12 + 1)-6)/18, 0)))) + (IF(MAX(0, A174 - $F$13 + 1)&lt;=0, 0, IF(MAX(0, A174 - $F$13 + 1)&lt;=6, 70 - (70-14)*(MAX(0, A174 - $F$13 + 1)-1)/5, IF(MAX(0, A174 - $F$13 + 1)&lt;=24, 14 - 14*(MAX(0, A174 - $F$13 + 1)-6)/18, 0)))) + (IF(MAX(0, A174 - $F$14 + 1)&lt;=0, 0, IF(MAX(0, A174 - $F$14 + 1)&lt;=6, 70 - (70-14)*(MAX(0, A174 - $F$14 + 1)-1)/5, IF(MAX(0, A174 - $F$14 + 1)&lt;=24, 14 - 14*(MAX(0, A174 - $F$14 + 1)-6)/18, 0)))) ) * 200 / 12 / 1000</f>
        <v/>
      </c>
      <c r="F174" s="306">
        <f>IF(A174&lt;$F$6,0,IF(AND($B$21=1,A174&gt;$B$19),0,$E$6*$G$6^MIN((A174-$F$6)/12,6)*MIN($G$6,0.85)^MAX(0,(A174-$F$6)/12-6)))</f>
        <v/>
      </c>
      <c r="G174" s="306">
        <f>IF(A174&lt;$F$7,0,IF(AND($B$21=1,A174&gt;$B$19),0,$E$7*$G$7^MIN((A174-$F$7)/12,6)*MIN($G$7,0.85)^MAX(0,(A174-$F$7)/12-6)))</f>
        <v/>
      </c>
      <c r="H174" s="306">
        <f>IF(A174&lt;$F$8,0,IF(AND($B$21=1,A174&gt;$B$19),0,$E$8*$G$8^MIN((A174-$F$8)/12,6)*MIN($G$8,0.85)^MAX(0,(A174-$F$8)/12-6)))</f>
        <v/>
      </c>
      <c r="I174" s="306">
        <f>IF(A174&lt;$F$9,0,IF(AND($B$21=1,A174&gt;$B$19),0,$E$9*$G$9^MIN((A174-$F$9)/12,6)*MIN($G$9,0.85)^MAX(0,(A174-$F$9)/12-6)))</f>
        <v/>
      </c>
      <c r="J174" s="306">
        <f>IF(A174&lt;$F$10,0,IF(AND($B$21=1,A174&gt;$B$19),0,$E$10*$G$10^MIN((A174-$F$10)/12,6)*MIN($G$10,0.85)^MAX(0,(A174-$F$10)/12-6)))</f>
        <v/>
      </c>
      <c r="K174" s="306">
        <f>IF(A174&lt;$F$11,0,IF(AND($B$21=1,A174&gt;$B$19),0,$E$11*$G$11^MIN((A174-$F$11)/12,6)*MIN($G$11,0.85)^MAX(0,(A174-$F$11)/12-6)))</f>
        <v/>
      </c>
      <c r="L174" s="306">
        <f>IF(A174&lt;$F$12,0,IF(AND($B$21=1,A174&gt;$B$19),0,$E$12*$G$12^MIN((A174-$F$12)/12,6)*MIN($G$12,0.85)^MAX(0,(A174-$F$12)/12-6)))</f>
        <v/>
      </c>
      <c r="M174" s="306">
        <f>IF(A174&lt;$F$13,0,IF(AND($B$21=1,A174&gt;$B$19),0,$E$13*$G$13^MIN((A174-$F$13)/12,6)*MIN($G$13,0.85)^MAX(0,(A174-$F$13)/12-6)))</f>
        <v/>
      </c>
      <c r="N174" s="306">
        <f>IF(A174&lt;$F$14,0,IF(AND($B$21=1,A174&gt;$B$19),0,$E$14*$G$14^MIN((A174-$F$14)/12,6)*MIN($G$14,0.85)^MAX(0,(A174-$F$14)/12-6)))</f>
        <v/>
      </c>
      <c r="O174" s="306">
        <f>SUM(F174:N174)</f>
        <v/>
      </c>
      <c r="P174" s="306">
        <f>O174/12</f>
        <v/>
      </c>
      <c r="Q174" s="306">
        <f>P174*$B$8</f>
        <v/>
      </c>
      <c r="R174" s="306">
        <f>P174*$B$9</f>
        <v/>
      </c>
      <c r="S174" s="306">
        <f>P174*$B$10</f>
        <v/>
      </c>
      <c r="T174" s="306">
        <f>P174-Q174-R174-S174-D174-E174</f>
        <v/>
      </c>
      <c r="U174" s="306">
        <f>MAX(0, T174 - $B$7*P174)</f>
        <v/>
      </c>
      <c r="V174" s="306">
        <f>T174-U174</f>
        <v/>
      </c>
      <c r="W174" s="306">
        <f>IF(A174=$F$6, $B$18*$B$16*$B$17/1000000, 0) + IF(A174=$F$7, $B$18*$B$16*$B$17/1000000, 0) + IF(A174=$F$8, $B$18*$B$16*$B$17/1000000, 0) + IF(A174=$F$9, $B$18*$B$16*$B$17/1000000, 0) + IF(A174=$F$10, $B$18*$B$16*$B$17/1000000, 0) + IF(A174=$F$11, $B$18*$B$16*$B$17/1000000, 0) + IF(A174=$F$12, $B$18*$B$16*$B$17/1000000, 0) + IF(A174=$F$13, $B$18*$B$16*$B$17/1000000, 0) + IF(A174=$F$14, $B$18*$B$16*$B$17/1000000, 0)</f>
        <v/>
      </c>
      <c r="X174" s="306">
        <f>V174-W174-C174</f>
        <v/>
      </c>
      <c r="Y174" s="306">
        <f>IF(AND(A174&lt;=$B$24, X174&gt;0), X174*$B$23, 0)</f>
        <v/>
      </c>
      <c r="Z174" s="306">
        <f>X174-Y174</f>
        <v/>
      </c>
      <c r="AA174" s="306">
        <f>IF(AND(A174=$B$19, $B$21=1), O174*$B$20, 0)</f>
        <v/>
      </c>
      <c r="AB174" s="306">
        <f>AB173+Z174+AA174</f>
        <v/>
      </c>
    </row>
    <row r="175">
      <c r="A175" s="306" t="n">
        <v>145</v>
      </c>
      <c r="B175" s="306">
        <f>CEILING(A175/12,1)</f>
        <v/>
      </c>
      <c r="C175" s="306">
        <f>IF(A175&lt;=12, $B$15/12, 0)</f>
        <v/>
      </c>
      <c r="D175" s="306">
        <f>INDEX('26. Team Comp'!$D$28:$R$28, B175) * 0.001 / 12</f>
        <v/>
      </c>
      <c r="E175" s="306">
        <f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+ (IF(MAX(0, A175 - $F$11 + 1)&lt;=0, 0, IF(MAX(0, A175 - $F$11 + 1)&lt;=6, 70 - (70-14)*(MAX(0, A175 - $F$11 + 1)-1)/5, IF(MAX(0, A175 - $F$11 + 1)&lt;=24, 14 - 14*(MAX(0, A175 - $F$11 + 1)-6)/18, 0)))) + (IF(MAX(0, A175 - $F$12 + 1)&lt;=0, 0, IF(MAX(0, A175 - $F$12 + 1)&lt;=6, 70 - (70-14)*(MAX(0, A175 - $F$12 + 1)-1)/5, IF(MAX(0, A175 - $F$12 + 1)&lt;=24, 14 - 14*(MAX(0, A175 - $F$12 + 1)-6)/18, 0)))) + (IF(MAX(0, A175 - $F$13 + 1)&lt;=0, 0, IF(MAX(0, A175 - $F$13 + 1)&lt;=6, 70 - (70-14)*(MAX(0, A175 - $F$13 + 1)-1)/5, IF(MAX(0, A175 - $F$13 + 1)&lt;=24, 14 - 14*(MAX(0, A175 - $F$13 + 1)-6)/18, 0)))) + (IF(MAX(0, A175 - $F$14 + 1)&lt;=0, 0, IF(MAX(0, A175 - $F$14 + 1)&lt;=6, 70 - (70-14)*(MAX(0, A175 - $F$14 + 1)-1)/5, IF(MAX(0, A175 - $F$14 + 1)&lt;=24, 14 - 14*(MAX(0, A175 - $F$14 + 1)-6)/18, 0)))) ) * 200 / 12 / 1000</f>
        <v/>
      </c>
      <c r="F175" s="306">
        <f>IF(A175&lt;$F$6,0,IF(AND($B$21=1,A175&gt;$B$19),0,$E$6*$G$6^MIN((A175-$F$6)/12,6)*MIN($G$6,0.85)^MAX(0,(A175-$F$6)/12-6)))</f>
        <v/>
      </c>
      <c r="G175" s="306">
        <f>IF(A175&lt;$F$7,0,IF(AND($B$21=1,A175&gt;$B$19),0,$E$7*$G$7^MIN((A175-$F$7)/12,6)*MIN($G$7,0.85)^MAX(0,(A175-$F$7)/12-6)))</f>
        <v/>
      </c>
      <c r="H175" s="306">
        <f>IF(A175&lt;$F$8,0,IF(AND($B$21=1,A175&gt;$B$19),0,$E$8*$G$8^MIN((A175-$F$8)/12,6)*MIN($G$8,0.85)^MAX(0,(A175-$F$8)/12-6)))</f>
        <v/>
      </c>
      <c r="I175" s="306">
        <f>IF(A175&lt;$F$9,0,IF(AND($B$21=1,A175&gt;$B$19),0,$E$9*$G$9^MIN((A175-$F$9)/12,6)*MIN($G$9,0.85)^MAX(0,(A175-$F$9)/12-6)))</f>
        <v/>
      </c>
      <c r="J175" s="306">
        <f>IF(A175&lt;$F$10,0,IF(AND($B$21=1,A175&gt;$B$19),0,$E$10*$G$10^MIN((A175-$F$10)/12,6)*MIN($G$10,0.85)^MAX(0,(A175-$F$10)/12-6)))</f>
        <v/>
      </c>
      <c r="K175" s="306">
        <f>IF(A175&lt;$F$11,0,IF(AND($B$21=1,A175&gt;$B$19),0,$E$11*$G$11^MIN((A175-$F$11)/12,6)*MIN($G$11,0.85)^MAX(0,(A175-$F$11)/12-6)))</f>
        <v/>
      </c>
      <c r="L175" s="306">
        <f>IF(A175&lt;$F$12,0,IF(AND($B$21=1,A175&gt;$B$19),0,$E$12*$G$12^MIN((A175-$F$12)/12,6)*MIN($G$12,0.85)^MAX(0,(A175-$F$12)/12-6)))</f>
        <v/>
      </c>
      <c r="M175" s="306">
        <f>IF(A175&lt;$F$13,0,IF(AND($B$21=1,A175&gt;$B$19),0,$E$13*$G$13^MIN((A175-$F$13)/12,6)*MIN($G$13,0.85)^MAX(0,(A175-$F$13)/12-6)))</f>
        <v/>
      </c>
      <c r="N175" s="306">
        <f>IF(A175&lt;$F$14,0,IF(AND($B$21=1,A175&gt;$B$19),0,$E$14*$G$14^MIN((A175-$F$14)/12,6)*MIN($G$14,0.85)^MAX(0,(A175-$F$14)/12-6)))</f>
        <v/>
      </c>
      <c r="O175" s="306">
        <f>SUM(F175:N175)</f>
        <v/>
      </c>
      <c r="P175" s="306">
        <f>O175/12</f>
        <v/>
      </c>
      <c r="Q175" s="306">
        <f>P175*$B$8</f>
        <v/>
      </c>
      <c r="R175" s="306">
        <f>P175*$B$9</f>
        <v/>
      </c>
      <c r="S175" s="306">
        <f>P175*$B$10</f>
        <v/>
      </c>
      <c r="T175" s="306">
        <f>P175-Q175-R175-S175-D175-E175</f>
        <v/>
      </c>
      <c r="U175" s="306">
        <f>MAX(0, T175 - $B$7*P175)</f>
        <v/>
      </c>
      <c r="V175" s="306">
        <f>T175-U175</f>
        <v/>
      </c>
      <c r="W175" s="306">
        <f>IF(A175=$F$6, $B$18*$B$16*$B$17/1000000, 0) + IF(A175=$F$7, $B$18*$B$16*$B$17/1000000, 0) + IF(A175=$F$8, $B$18*$B$16*$B$17/1000000, 0) + IF(A175=$F$9, $B$18*$B$16*$B$17/1000000, 0) + IF(A175=$F$10, $B$18*$B$16*$B$17/1000000, 0) + IF(A175=$F$11, $B$18*$B$16*$B$17/1000000, 0) + IF(A175=$F$12, $B$18*$B$16*$B$17/1000000, 0) + IF(A175=$F$13, $B$18*$B$16*$B$17/1000000, 0) + IF(A175=$F$14, $B$18*$B$16*$B$17/1000000, 0)</f>
        <v/>
      </c>
      <c r="X175" s="306">
        <f>V175-W175-C175</f>
        <v/>
      </c>
      <c r="Y175" s="306">
        <f>IF(AND(A175&lt;=$B$24, X175&gt;0), X175*$B$23, 0)</f>
        <v/>
      </c>
      <c r="Z175" s="306">
        <f>X175-Y175</f>
        <v/>
      </c>
      <c r="AA175" s="306">
        <f>IF(AND(A175=$B$19, $B$21=1), O175*$B$20, 0)</f>
        <v/>
      </c>
      <c r="AB175" s="306">
        <f>AB174+Z175+AA175</f>
        <v/>
      </c>
    </row>
    <row r="176">
      <c r="A176" s="306" t="n">
        <v>146</v>
      </c>
      <c r="B176" s="306">
        <f>CEILING(A176/12,1)</f>
        <v/>
      </c>
      <c r="C176" s="306">
        <f>IF(A176&lt;=12, $B$15/12, 0)</f>
        <v/>
      </c>
      <c r="D176" s="306">
        <f>INDEX('26. Team Comp'!$D$28:$R$28, B176) * 0.001 / 12</f>
        <v/>
      </c>
      <c r="E176" s="306">
        <f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+ (IF(MAX(0, A176 - $F$11 + 1)&lt;=0, 0, IF(MAX(0, A176 - $F$11 + 1)&lt;=6, 70 - (70-14)*(MAX(0, A176 - $F$11 + 1)-1)/5, IF(MAX(0, A176 - $F$11 + 1)&lt;=24, 14 - 14*(MAX(0, A176 - $F$11 + 1)-6)/18, 0)))) + (IF(MAX(0, A176 - $F$12 + 1)&lt;=0, 0, IF(MAX(0, A176 - $F$12 + 1)&lt;=6, 70 - (70-14)*(MAX(0, A176 - $F$12 + 1)-1)/5, IF(MAX(0, A176 - $F$12 + 1)&lt;=24, 14 - 14*(MAX(0, A176 - $F$12 + 1)-6)/18, 0)))) + (IF(MAX(0, A176 - $F$13 + 1)&lt;=0, 0, IF(MAX(0, A176 - $F$13 + 1)&lt;=6, 70 - (70-14)*(MAX(0, A176 - $F$13 + 1)-1)/5, IF(MAX(0, A176 - $F$13 + 1)&lt;=24, 14 - 14*(MAX(0, A176 - $F$13 + 1)-6)/18, 0)))) + (IF(MAX(0, A176 - $F$14 + 1)&lt;=0, 0, IF(MAX(0, A176 - $F$14 + 1)&lt;=6, 70 - (70-14)*(MAX(0, A176 - $F$14 + 1)-1)/5, IF(MAX(0, A176 - $F$14 + 1)&lt;=24, 14 - 14*(MAX(0, A176 - $F$14 + 1)-6)/18, 0)))) ) * 200 / 12 / 1000</f>
        <v/>
      </c>
      <c r="F176" s="306">
        <f>IF(A176&lt;$F$6,0,IF(AND($B$21=1,A176&gt;$B$19),0,$E$6*$G$6^MIN((A176-$F$6)/12,6)*MIN($G$6,0.85)^MAX(0,(A176-$F$6)/12-6)))</f>
        <v/>
      </c>
      <c r="G176" s="306">
        <f>IF(A176&lt;$F$7,0,IF(AND($B$21=1,A176&gt;$B$19),0,$E$7*$G$7^MIN((A176-$F$7)/12,6)*MIN($G$7,0.85)^MAX(0,(A176-$F$7)/12-6)))</f>
        <v/>
      </c>
      <c r="H176" s="306">
        <f>IF(A176&lt;$F$8,0,IF(AND($B$21=1,A176&gt;$B$19),0,$E$8*$G$8^MIN((A176-$F$8)/12,6)*MIN($G$8,0.85)^MAX(0,(A176-$F$8)/12-6)))</f>
        <v/>
      </c>
      <c r="I176" s="306">
        <f>IF(A176&lt;$F$9,0,IF(AND($B$21=1,A176&gt;$B$19),0,$E$9*$G$9^MIN((A176-$F$9)/12,6)*MIN($G$9,0.85)^MAX(0,(A176-$F$9)/12-6)))</f>
        <v/>
      </c>
      <c r="J176" s="306">
        <f>IF(A176&lt;$F$10,0,IF(AND($B$21=1,A176&gt;$B$19),0,$E$10*$G$10^MIN((A176-$F$10)/12,6)*MIN($G$10,0.85)^MAX(0,(A176-$F$10)/12-6)))</f>
        <v/>
      </c>
      <c r="K176" s="306">
        <f>IF(A176&lt;$F$11,0,IF(AND($B$21=1,A176&gt;$B$19),0,$E$11*$G$11^MIN((A176-$F$11)/12,6)*MIN($G$11,0.85)^MAX(0,(A176-$F$11)/12-6)))</f>
        <v/>
      </c>
      <c r="L176" s="306">
        <f>IF(A176&lt;$F$12,0,IF(AND($B$21=1,A176&gt;$B$19),0,$E$12*$G$12^MIN((A176-$F$12)/12,6)*MIN($G$12,0.85)^MAX(0,(A176-$F$12)/12-6)))</f>
        <v/>
      </c>
      <c r="M176" s="306">
        <f>IF(A176&lt;$F$13,0,IF(AND($B$21=1,A176&gt;$B$19),0,$E$13*$G$13^MIN((A176-$F$13)/12,6)*MIN($G$13,0.85)^MAX(0,(A176-$F$13)/12-6)))</f>
        <v/>
      </c>
      <c r="N176" s="306">
        <f>IF(A176&lt;$F$14,0,IF(AND($B$21=1,A176&gt;$B$19),0,$E$14*$G$14^MIN((A176-$F$14)/12,6)*MIN($G$14,0.85)^MAX(0,(A176-$F$14)/12-6)))</f>
        <v/>
      </c>
      <c r="O176" s="306">
        <f>SUM(F176:N176)</f>
        <v/>
      </c>
      <c r="P176" s="306">
        <f>O176/12</f>
        <v/>
      </c>
      <c r="Q176" s="306">
        <f>P176*$B$8</f>
        <v/>
      </c>
      <c r="R176" s="306">
        <f>P176*$B$9</f>
        <v/>
      </c>
      <c r="S176" s="306">
        <f>P176*$B$10</f>
        <v/>
      </c>
      <c r="T176" s="306">
        <f>P176-Q176-R176-S176-D176-E176</f>
        <v/>
      </c>
      <c r="U176" s="306">
        <f>MAX(0, T176 - $B$7*P176)</f>
        <v/>
      </c>
      <c r="V176" s="306">
        <f>T176-U176</f>
        <v/>
      </c>
      <c r="W176" s="306">
        <f>IF(A176=$F$6, $B$18*$B$16*$B$17/1000000, 0) + IF(A176=$F$7, $B$18*$B$16*$B$17/1000000, 0) + IF(A176=$F$8, $B$18*$B$16*$B$17/1000000, 0) + IF(A176=$F$9, $B$18*$B$16*$B$17/1000000, 0) + IF(A176=$F$10, $B$18*$B$16*$B$17/1000000, 0) + IF(A176=$F$11, $B$18*$B$16*$B$17/1000000, 0) + IF(A176=$F$12, $B$18*$B$16*$B$17/1000000, 0) + IF(A176=$F$13, $B$18*$B$16*$B$17/1000000, 0) + IF(A176=$F$14, $B$18*$B$16*$B$17/1000000, 0)</f>
        <v/>
      </c>
      <c r="X176" s="306">
        <f>V176-W176-C176</f>
        <v/>
      </c>
      <c r="Y176" s="306">
        <f>IF(AND(A176&lt;=$B$24, X176&gt;0), X176*$B$23, 0)</f>
        <v/>
      </c>
      <c r="Z176" s="306">
        <f>X176-Y176</f>
        <v/>
      </c>
      <c r="AA176" s="306">
        <f>IF(AND(A176=$B$19, $B$21=1), O176*$B$20, 0)</f>
        <v/>
      </c>
      <c r="AB176" s="306">
        <f>AB175+Z176+AA176</f>
        <v/>
      </c>
    </row>
    <row r="177">
      <c r="A177" s="306" t="n">
        <v>147</v>
      </c>
      <c r="B177" s="306">
        <f>CEILING(A177/12,1)</f>
        <v/>
      </c>
      <c r="C177" s="306">
        <f>IF(A177&lt;=12, $B$15/12, 0)</f>
        <v/>
      </c>
      <c r="D177" s="306">
        <f>INDEX('26. Team Comp'!$D$28:$R$28, B177) * 0.001 / 12</f>
        <v/>
      </c>
      <c r="E177" s="306">
        <f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+ (IF(MAX(0, A177 - $F$11 + 1)&lt;=0, 0, IF(MAX(0, A177 - $F$11 + 1)&lt;=6, 70 - (70-14)*(MAX(0, A177 - $F$11 + 1)-1)/5, IF(MAX(0, A177 - $F$11 + 1)&lt;=24, 14 - 14*(MAX(0, A177 - $F$11 + 1)-6)/18, 0)))) + (IF(MAX(0, A177 - $F$12 + 1)&lt;=0, 0, IF(MAX(0, A177 - $F$12 + 1)&lt;=6, 70 - (70-14)*(MAX(0, A177 - $F$12 + 1)-1)/5, IF(MAX(0, A177 - $F$12 + 1)&lt;=24, 14 - 14*(MAX(0, A177 - $F$12 + 1)-6)/18, 0)))) + (IF(MAX(0, A177 - $F$13 + 1)&lt;=0, 0, IF(MAX(0, A177 - $F$13 + 1)&lt;=6, 70 - (70-14)*(MAX(0, A177 - $F$13 + 1)-1)/5, IF(MAX(0, A177 - $F$13 + 1)&lt;=24, 14 - 14*(MAX(0, A177 - $F$13 + 1)-6)/18, 0)))) + (IF(MAX(0, A177 - $F$14 + 1)&lt;=0, 0, IF(MAX(0, A177 - $F$14 + 1)&lt;=6, 70 - (70-14)*(MAX(0, A177 - $F$14 + 1)-1)/5, IF(MAX(0, A177 - $F$14 + 1)&lt;=24, 14 - 14*(MAX(0, A177 - $F$14 + 1)-6)/18, 0)))) ) * 200 / 12 / 1000</f>
        <v/>
      </c>
      <c r="F177" s="306">
        <f>IF(A177&lt;$F$6,0,IF(AND($B$21=1,A177&gt;$B$19),0,$E$6*$G$6^MIN((A177-$F$6)/12,6)*MIN($G$6,0.85)^MAX(0,(A177-$F$6)/12-6)))</f>
        <v/>
      </c>
      <c r="G177" s="306">
        <f>IF(A177&lt;$F$7,0,IF(AND($B$21=1,A177&gt;$B$19),0,$E$7*$G$7^MIN((A177-$F$7)/12,6)*MIN($G$7,0.85)^MAX(0,(A177-$F$7)/12-6)))</f>
        <v/>
      </c>
      <c r="H177" s="306">
        <f>IF(A177&lt;$F$8,0,IF(AND($B$21=1,A177&gt;$B$19),0,$E$8*$G$8^MIN((A177-$F$8)/12,6)*MIN($G$8,0.85)^MAX(0,(A177-$F$8)/12-6)))</f>
        <v/>
      </c>
      <c r="I177" s="306">
        <f>IF(A177&lt;$F$9,0,IF(AND($B$21=1,A177&gt;$B$19),0,$E$9*$G$9^MIN((A177-$F$9)/12,6)*MIN($G$9,0.85)^MAX(0,(A177-$F$9)/12-6)))</f>
        <v/>
      </c>
      <c r="J177" s="306">
        <f>IF(A177&lt;$F$10,0,IF(AND($B$21=1,A177&gt;$B$19),0,$E$10*$G$10^MIN((A177-$F$10)/12,6)*MIN($G$10,0.85)^MAX(0,(A177-$F$10)/12-6)))</f>
        <v/>
      </c>
      <c r="K177" s="306">
        <f>IF(A177&lt;$F$11,0,IF(AND($B$21=1,A177&gt;$B$19),0,$E$11*$G$11^MIN((A177-$F$11)/12,6)*MIN($G$11,0.85)^MAX(0,(A177-$F$11)/12-6)))</f>
        <v/>
      </c>
      <c r="L177" s="306">
        <f>IF(A177&lt;$F$12,0,IF(AND($B$21=1,A177&gt;$B$19),0,$E$12*$G$12^MIN((A177-$F$12)/12,6)*MIN($G$12,0.85)^MAX(0,(A177-$F$12)/12-6)))</f>
        <v/>
      </c>
      <c r="M177" s="306">
        <f>IF(A177&lt;$F$13,0,IF(AND($B$21=1,A177&gt;$B$19),0,$E$13*$G$13^MIN((A177-$F$13)/12,6)*MIN($G$13,0.85)^MAX(0,(A177-$F$13)/12-6)))</f>
        <v/>
      </c>
      <c r="N177" s="306">
        <f>IF(A177&lt;$F$14,0,IF(AND($B$21=1,A177&gt;$B$19),0,$E$14*$G$14^MIN((A177-$F$14)/12,6)*MIN($G$14,0.85)^MAX(0,(A177-$F$14)/12-6)))</f>
        <v/>
      </c>
      <c r="O177" s="306">
        <f>SUM(F177:N177)</f>
        <v/>
      </c>
      <c r="P177" s="306">
        <f>O177/12</f>
        <v/>
      </c>
      <c r="Q177" s="306">
        <f>P177*$B$8</f>
        <v/>
      </c>
      <c r="R177" s="306">
        <f>P177*$B$9</f>
        <v/>
      </c>
      <c r="S177" s="306">
        <f>P177*$B$10</f>
        <v/>
      </c>
      <c r="T177" s="306">
        <f>P177-Q177-R177-S177-D177-E177</f>
        <v/>
      </c>
      <c r="U177" s="306">
        <f>MAX(0, T177 - $B$7*P177)</f>
        <v/>
      </c>
      <c r="V177" s="306">
        <f>T177-U177</f>
        <v/>
      </c>
      <c r="W177" s="306">
        <f>IF(A177=$F$6, $B$18*$B$16*$B$17/1000000, 0) + IF(A177=$F$7, $B$18*$B$16*$B$17/1000000, 0) + IF(A177=$F$8, $B$18*$B$16*$B$17/1000000, 0) + IF(A177=$F$9, $B$18*$B$16*$B$17/1000000, 0) + IF(A177=$F$10, $B$18*$B$16*$B$17/1000000, 0) + IF(A177=$F$11, $B$18*$B$16*$B$17/1000000, 0) + IF(A177=$F$12, $B$18*$B$16*$B$17/1000000, 0) + IF(A177=$F$13, $B$18*$B$16*$B$17/1000000, 0) + IF(A177=$F$14, $B$18*$B$16*$B$17/1000000, 0)</f>
        <v/>
      </c>
      <c r="X177" s="306">
        <f>V177-W177-C177</f>
        <v/>
      </c>
      <c r="Y177" s="306">
        <f>IF(AND(A177&lt;=$B$24, X177&gt;0), X177*$B$23, 0)</f>
        <v/>
      </c>
      <c r="Z177" s="306">
        <f>X177-Y177</f>
        <v/>
      </c>
      <c r="AA177" s="306">
        <f>IF(AND(A177=$B$19, $B$21=1), O177*$B$20, 0)</f>
        <v/>
      </c>
      <c r="AB177" s="306">
        <f>AB176+Z177+AA177</f>
        <v/>
      </c>
    </row>
    <row r="178">
      <c r="A178" s="306" t="n">
        <v>148</v>
      </c>
      <c r="B178" s="306">
        <f>CEILING(A178/12,1)</f>
        <v/>
      </c>
      <c r="C178" s="306">
        <f>IF(A178&lt;=12, $B$15/12, 0)</f>
        <v/>
      </c>
      <c r="D178" s="306">
        <f>INDEX('26. Team Comp'!$D$28:$R$28, B178) * 0.001 / 12</f>
        <v/>
      </c>
      <c r="E178" s="306">
        <f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+ (IF(MAX(0, A178 - $F$11 + 1)&lt;=0, 0, IF(MAX(0, A178 - $F$11 + 1)&lt;=6, 70 - (70-14)*(MAX(0, A178 - $F$11 + 1)-1)/5, IF(MAX(0, A178 - $F$11 + 1)&lt;=24, 14 - 14*(MAX(0, A178 - $F$11 + 1)-6)/18, 0)))) + (IF(MAX(0, A178 - $F$12 + 1)&lt;=0, 0, IF(MAX(0, A178 - $F$12 + 1)&lt;=6, 70 - (70-14)*(MAX(0, A178 - $F$12 + 1)-1)/5, IF(MAX(0, A178 - $F$12 + 1)&lt;=24, 14 - 14*(MAX(0, A178 - $F$12 + 1)-6)/18, 0)))) + (IF(MAX(0, A178 - $F$13 + 1)&lt;=0, 0, IF(MAX(0, A178 - $F$13 + 1)&lt;=6, 70 - (70-14)*(MAX(0, A178 - $F$13 + 1)-1)/5, IF(MAX(0, A178 - $F$13 + 1)&lt;=24, 14 - 14*(MAX(0, A178 - $F$13 + 1)-6)/18, 0)))) + (IF(MAX(0, A178 - $F$14 + 1)&lt;=0, 0, IF(MAX(0, A178 - $F$14 + 1)&lt;=6, 70 - (70-14)*(MAX(0, A178 - $F$14 + 1)-1)/5, IF(MAX(0, A178 - $F$14 + 1)&lt;=24, 14 - 14*(MAX(0, A178 - $F$14 + 1)-6)/18, 0)))) ) * 200 / 12 / 1000</f>
        <v/>
      </c>
      <c r="F178" s="306">
        <f>IF(A178&lt;$F$6,0,IF(AND($B$21=1,A178&gt;$B$19),0,$E$6*$G$6^MIN((A178-$F$6)/12,6)*MIN($G$6,0.85)^MAX(0,(A178-$F$6)/12-6)))</f>
        <v/>
      </c>
      <c r="G178" s="306">
        <f>IF(A178&lt;$F$7,0,IF(AND($B$21=1,A178&gt;$B$19),0,$E$7*$G$7^MIN((A178-$F$7)/12,6)*MIN($G$7,0.85)^MAX(0,(A178-$F$7)/12-6)))</f>
        <v/>
      </c>
      <c r="H178" s="306">
        <f>IF(A178&lt;$F$8,0,IF(AND($B$21=1,A178&gt;$B$19),0,$E$8*$G$8^MIN((A178-$F$8)/12,6)*MIN($G$8,0.85)^MAX(0,(A178-$F$8)/12-6)))</f>
        <v/>
      </c>
      <c r="I178" s="306">
        <f>IF(A178&lt;$F$9,0,IF(AND($B$21=1,A178&gt;$B$19),0,$E$9*$G$9^MIN((A178-$F$9)/12,6)*MIN($G$9,0.85)^MAX(0,(A178-$F$9)/12-6)))</f>
        <v/>
      </c>
      <c r="J178" s="306">
        <f>IF(A178&lt;$F$10,0,IF(AND($B$21=1,A178&gt;$B$19),0,$E$10*$G$10^MIN((A178-$F$10)/12,6)*MIN($G$10,0.85)^MAX(0,(A178-$F$10)/12-6)))</f>
        <v/>
      </c>
      <c r="K178" s="306">
        <f>IF(A178&lt;$F$11,0,IF(AND($B$21=1,A178&gt;$B$19),0,$E$11*$G$11^MIN((A178-$F$11)/12,6)*MIN($G$11,0.85)^MAX(0,(A178-$F$11)/12-6)))</f>
        <v/>
      </c>
      <c r="L178" s="306">
        <f>IF(A178&lt;$F$12,0,IF(AND($B$21=1,A178&gt;$B$19),0,$E$12*$G$12^MIN((A178-$F$12)/12,6)*MIN($G$12,0.85)^MAX(0,(A178-$F$12)/12-6)))</f>
        <v/>
      </c>
      <c r="M178" s="306">
        <f>IF(A178&lt;$F$13,0,IF(AND($B$21=1,A178&gt;$B$19),0,$E$13*$G$13^MIN((A178-$F$13)/12,6)*MIN($G$13,0.85)^MAX(0,(A178-$F$13)/12-6)))</f>
        <v/>
      </c>
      <c r="N178" s="306">
        <f>IF(A178&lt;$F$14,0,IF(AND($B$21=1,A178&gt;$B$19),0,$E$14*$G$14^MIN((A178-$F$14)/12,6)*MIN($G$14,0.85)^MAX(0,(A178-$F$14)/12-6)))</f>
        <v/>
      </c>
      <c r="O178" s="306">
        <f>SUM(F178:N178)</f>
        <v/>
      </c>
      <c r="P178" s="306">
        <f>O178/12</f>
        <v/>
      </c>
      <c r="Q178" s="306">
        <f>P178*$B$8</f>
        <v/>
      </c>
      <c r="R178" s="306">
        <f>P178*$B$9</f>
        <v/>
      </c>
      <c r="S178" s="306">
        <f>P178*$B$10</f>
        <v/>
      </c>
      <c r="T178" s="306">
        <f>P178-Q178-R178-S178-D178-E178</f>
        <v/>
      </c>
      <c r="U178" s="306">
        <f>MAX(0, T178 - $B$7*P178)</f>
        <v/>
      </c>
      <c r="V178" s="306">
        <f>T178-U178</f>
        <v/>
      </c>
      <c r="W178" s="306">
        <f>IF(A178=$F$6, $B$18*$B$16*$B$17/1000000, 0) + IF(A178=$F$7, $B$18*$B$16*$B$17/1000000, 0) + IF(A178=$F$8, $B$18*$B$16*$B$17/1000000, 0) + IF(A178=$F$9, $B$18*$B$16*$B$17/1000000, 0) + IF(A178=$F$10, $B$18*$B$16*$B$17/1000000, 0) + IF(A178=$F$11, $B$18*$B$16*$B$17/1000000, 0) + IF(A178=$F$12, $B$18*$B$16*$B$17/1000000, 0) + IF(A178=$F$13, $B$18*$B$16*$B$17/1000000, 0) + IF(A178=$F$14, $B$18*$B$16*$B$17/1000000, 0)</f>
        <v/>
      </c>
      <c r="X178" s="306">
        <f>V178-W178-C178</f>
        <v/>
      </c>
      <c r="Y178" s="306">
        <f>IF(AND(A178&lt;=$B$24, X178&gt;0), X178*$B$23, 0)</f>
        <v/>
      </c>
      <c r="Z178" s="306">
        <f>X178-Y178</f>
        <v/>
      </c>
      <c r="AA178" s="306">
        <f>IF(AND(A178=$B$19, $B$21=1), O178*$B$20, 0)</f>
        <v/>
      </c>
      <c r="AB178" s="306">
        <f>AB177+Z178+AA178</f>
        <v/>
      </c>
    </row>
    <row r="179">
      <c r="A179" s="306" t="n">
        <v>149</v>
      </c>
      <c r="B179" s="306">
        <f>CEILING(A179/12,1)</f>
        <v/>
      </c>
      <c r="C179" s="306">
        <f>IF(A179&lt;=12, $B$15/12, 0)</f>
        <v/>
      </c>
      <c r="D179" s="306">
        <f>INDEX('26. Team Comp'!$D$28:$R$28, B179) * 0.001 / 12</f>
        <v/>
      </c>
      <c r="E179" s="306">
        <f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+ (IF(MAX(0, A179 - $F$11 + 1)&lt;=0, 0, IF(MAX(0, A179 - $F$11 + 1)&lt;=6, 70 - (70-14)*(MAX(0, A179 - $F$11 + 1)-1)/5, IF(MAX(0, A179 - $F$11 + 1)&lt;=24, 14 - 14*(MAX(0, A179 - $F$11 + 1)-6)/18, 0)))) + (IF(MAX(0, A179 - $F$12 + 1)&lt;=0, 0, IF(MAX(0, A179 - $F$12 + 1)&lt;=6, 70 - (70-14)*(MAX(0, A179 - $F$12 + 1)-1)/5, IF(MAX(0, A179 - $F$12 + 1)&lt;=24, 14 - 14*(MAX(0, A179 - $F$12 + 1)-6)/18, 0)))) + (IF(MAX(0, A179 - $F$13 + 1)&lt;=0, 0, IF(MAX(0, A179 - $F$13 + 1)&lt;=6, 70 - (70-14)*(MAX(0, A179 - $F$13 + 1)-1)/5, IF(MAX(0, A179 - $F$13 + 1)&lt;=24, 14 - 14*(MAX(0, A179 - $F$13 + 1)-6)/18, 0)))) + (IF(MAX(0, A179 - $F$14 + 1)&lt;=0, 0, IF(MAX(0, A179 - $F$14 + 1)&lt;=6, 70 - (70-14)*(MAX(0, A179 - $F$14 + 1)-1)/5, IF(MAX(0, A179 - $F$14 + 1)&lt;=24, 14 - 14*(MAX(0, A179 - $F$14 + 1)-6)/18, 0)))) ) * 200 / 12 / 1000</f>
        <v/>
      </c>
      <c r="F179" s="306">
        <f>IF(A179&lt;$F$6,0,IF(AND($B$21=1,A179&gt;$B$19),0,$E$6*$G$6^MIN((A179-$F$6)/12,6)*MIN($G$6,0.85)^MAX(0,(A179-$F$6)/12-6)))</f>
        <v/>
      </c>
      <c r="G179" s="306">
        <f>IF(A179&lt;$F$7,0,IF(AND($B$21=1,A179&gt;$B$19),0,$E$7*$G$7^MIN((A179-$F$7)/12,6)*MIN($G$7,0.85)^MAX(0,(A179-$F$7)/12-6)))</f>
        <v/>
      </c>
      <c r="H179" s="306">
        <f>IF(A179&lt;$F$8,0,IF(AND($B$21=1,A179&gt;$B$19),0,$E$8*$G$8^MIN((A179-$F$8)/12,6)*MIN($G$8,0.85)^MAX(0,(A179-$F$8)/12-6)))</f>
        <v/>
      </c>
      <c r="I179" s="306">
        <f>IF(A179&lt;$F$9,0,IF(AND($B$21=1,A179&gt;$B$19),0,$E$9*$G$9^MIN((A179-$F$9)/12,6)*MIN($G$9,0.85)^MAX(0,(A179-$F$9)/12-6)))</f>
        <v/>
      </c>
      <c r="J179" s="306">
        <f>IF(A179&lt;$F$10,0,IF(AND($B$21=1,A179&gt;$B$19),0,$E$10*$G$10^MIN((A179-$F$10)/12,6)*MIN($G$10,0.85)^MAX(0,(A179-$F$10)/12-6)))</f>
        <v/>
      </c>
      <c r="K179" s="306">
        <f>IF(A179&lt;$F$11,0,IF(AND($B$21=1,A179&gt;$B$19),0,$E$11*$G$11^MIN((A179-$F$11)/12,6)*MIN($G$11,0.85)^MAX(0,(A179-$F$11)/12-6)))</f>
        <v/>
      </c>
      <c r="L179" s="306">
        <f>IF(A179&lt;$F$12,0,IF(AND($B$21=1,A179&gt;$B$19),0,$E$12*$G$12^MIN((A179-$F$12)/12,6)*MIN($G$12,0.85)^MAX(0,(A179-$F$12)/12-6)))</f>
        <v/>
      </c>
      <c r="M179" s="306">
        <f>IF(A179&lt;$F$13,0,IF(AND($B$21=1,A179&gt;$B$19),0,$E$13*$G$13^MIN((A179-$F$13)/12,6)*MIN($G$13,0.85)^MAX(0,(A179-$F$13)/12-6)))</f>
        <v/>
      </c>
      <c r="N179" s="306">
        <f>IF(A179&lt;$F$14,0,IF(AND($B$21=1,A179&gt;$B$19),0,$E$14*$G$14^MIN((A179-$F$14)/12,6)*MIN($G$14,0.85)^MAX(0,(A179-$F$14)/12-6)))</f>
        <v/>
      </c>
      <c r="O179" s="306">
        <f>SUM(F179:N179)</f>
        <v/>
      </c>
      <c r="P179" s="306">
        <f>O179/12</f>
        <v/>
      </c>
      <c r="Q179" s="306">
        <f>P179*$B$8</f>
        <v/>
      </c>
      <c r="R179" s="306">
        <f>P179*$B$9</f>
        <v/>
      </c>
      <c r="S179" s="306">
        <f>P179*$B$10</f>
        <v/>
      </c>
      <c r="T179" s="306">
        <f>P179-Q179-R179-S179-D179-E179</f>
        <v/>
      </c>
      <c r="U179" s="306">
        <f>MAX(0, T179 - $B$7*P179)</f>
        <v/>
      </c>
      <c r="V179" s="306">
        <f>T179-U179</f>
        <v/>
      </c>
      <c r="W179" s="306">
        <f>IF(A179=$F$6, $B$18*$B$16*$B$17/1000000, 0) + IF(A179=$F$7, $B$18*$B$16*$B$17/1000000, 0) + IF(A179=$F$8, $B$18*$B$16*$B$17/1000000, 0) + IF(A179=$F$9, $B$18*$B$16*$B$17/1000000, 0) + IF(A179=$F$10, $B$18*$B$16*$B$17/1000000, 0) + IF(A179=$F$11, $B$18*$B$16*$B$17/1000000, 0) + IF(A179=$F$12, $B$18*$B$16*$B$17/1000000, 0) + IF(A179=$F$13, $B$18*$B$16*$B$17/1000000, 0) + IF(A179=$F$14, $B$18*$B$16*$B$17/1000000, 0)</f>
        <v/>
      </c>
      <c r="X179" s="306">
        <f>V179-W179-C179</f>
        <v/>
      </c>
      <c r="Y179" s="306">
        <f>IF(AND(A179&lt;=$B$24, X179&gt;0), X179*$B$23, 0)</f>
        <v/>
      </c>
      <c r="Z179" s="306">
        <f>X179-Y179</f>
        <v/>
      </c>
      <c r="AA179" s="306">
        <f>IF(AND(A179=$B$19, $B$21=1), O179*$B$20, 0)</f>
        <v/>
      </c>
      <c r="AB179" s="306">
        <f>AB178+Z179+AA179</f>
        <v/>
      </c>
    </row>
    <row r="180">
      <c r="A180" s="306" t="n">
        <v>150</v>
      </c>
      <c r="B180" s="306">
        <f>CEILING(A180/12,1)</f>
        <v/>
      </c>
      <c r="C180" s="306">
        <f>IF(A180&lt;=12, $B$15/12, 0)</f>
        <v/>
      </c>
      <c r="D180" s="306">
        <f>INDEX('26. Team Comp'!$D$28:$R$28, B180) * 0.001 / 12</f>
        <v/>
      </c>
      <c r="E180" s="306">
        <f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+ (IF(MAX(0, A180 - $F$11 + 1)&lt;=0, 0, IF(MAX(0, A180 - $F$11 + 1)&lt;=6, 70 - (70-14)*(MAX(0, A180 - $F$11 + 1)-1)/5, IF(MAX(0, A180 - $F$11 + 1)&lt;=24, 14 - 14*(MAX(0, A180 - $F$11 + 1)-6)/18, 0)))) + (IF(MAX(0, A180 - $F$12 + 1)&lt;=0, 0, IF(MAX(0, A180 - $F$12 + 1)&lt;=6, 70 - (70-14)*(MAX(0, A180 - $F$12 + 1)-1)/5, IF(MAX(0, A180 - $F$12 + 1)&lt;=24, 14 - 14*(MAX(0, A180 - $F$12 + 1)-6)/18, 0)))) + (IF(MAX(0, A180 - $F$13 + 1)&lt;=0, 0, IF(MAX(0, A180 - $F$13 + 1)&lt;=6, 70 - (70-14)*(MAX(0, A180 - $F$13 + 1)-1)/5, IF(MAX(0, A180 - $F$13 + 1)&lt;=24, 14 - 14*(MAX(0, A180 - $F$13 + 1)-6)/18, 0)))) + (IF(MAX(0, A180 - $F$14 + 1)&lt;=0, 0, IF(MAX(0, A180 - $F$14 + 1)&lt;=6, 70 - (70-14)*(MAX(0, A180 - $F$14 + 1)-1)/5, IF(MAX(0, A180 - $F$14 + 1)&lt;=24, 14 - 14*(MAX(0, A180 - $F$14 + 1)-6)/18, 0)))) ) * 200 / 12 / 1000</f>
        <v/>
      </c>
      <c r="F180" s="306">
        <f>IF(A180&lt;$F$6,0,IF(AND($B$21=1,A180&gt;$B$19),0,$E$6*$G$6^MIN((A180-$F$6)/12,6)*MIN($G$6,0.85)^MAX(0,(A180-$F$6)/12-6)))</f>
        <v/>
      </c>
      <c r="G180" s="306">
        <f>IF(A180&lt;$F$7,0,IF(AND($B$21=1,A180&gt;$B$19),0,$E$7*$G$7^MIN((A180-$F$7)/12,6)*MIN($G$7,0.85)^MAX(0,(A180-$F$7)/12-6)))</f>
        <v/>
      </c>
      <c r="H180" s="306">
        <f>IF(A180&lt;$F$8,0,IF(AND($B$21=1,A180&gt;$B$19),0,$E$8*$G$8^MIN((A180-$F$8)/12,6)*MIN($G$8,0.85)^MAX(0,(A180-$F$8)/12-6)))</f>
        <v/>
      </c>
      <c r="I180" s="306">
        <f>IF(A180&lt;$F$9,0,IF(AND($B$21=1,A180&gt;$B$19),0,$E$9*$G$9^MIN((A180-$F$9)/12,6)*MIN($G$9,0.85)^MAX(0,(A180-$F$9)/12-6)))</f>
        <v/>
      </c>
      <c r="J180" s="306">
        <f>IF(A180&lt;$F$10,0,IF(AND($B$21=1,A180&gt;$B$19),0,$E$10*$G$10^MIN((A180-$F$10)/12,6)*MIN($G$10,0.85)^MAX(0,(A180-$F$10)/12-6)))</f>
        <v/>
      </c>
      <c r="K180" s="306">
        <f>IF(A180&lt;$F$11,0,IF(AND($B$21=1,A180&gt;$B$19),0,$E$11*$G$11^MIN((A180-$F$11)/12,6)*MIN($G$11,0.85)^MAX(0,(A180-$F$11)/12-6)))</f>
        <v/>
      </c>
      <c r="L180" s="306">
        <f>IF(A180&lt;$F$12,0,IF(AND($B$21=1,A180&gt;$B$19),0,$E$12*$G$12^MIN((A180-$F$12)/12,6)*MIN($G$12,0.85)^MAX(0,(A180-$F$12)/12-6)))</f>
        <v/>
      </c>
      <c r="M180" s="306">
        <f>IF(A180&lt;$F$13,0,IF(AND($B$21=1,A180&gt;$B$19),0,$E$13*$G$13^MIN((A180-$F$13)/12,6)*MIN($G$13,0.85)^MAX(0,(A180-$F$13)/12-6)))</f>
        <v/>
      </c>
      <c r="N180" s="306">
        <f>IF(A180&lt;$F$14,0,IF(AND($B$21=1,A180&gt;$B$19),0,$E$14*$G$14^MIN((A180-$F$14)/12,6)*MIN($G$14,0.85)^MAX(0,(A180-$F$14)/12-6)))</f>
        <v/>
      </c>
      <c r="O180" s="306">
        <f>SUM(F180:N180)</f>
        <v/>
      </c>
      <c r="P180" s="306">
        <f>O180/12</f>
        <v/>
      </c>
      <c r="Q180" s="306">
        <f>P180*$B$8</f>
        <v/>
      </c>
      <c r="R180" s="306">
        <f>P180*$B$9</f>
        <v/>
      </c>
      <c r="S180" s="306">
        <f>P180*$B$10</f>
        <v/>
      </c>
      <c r="T180" s="306">
        <f>P180-Q180-R180-S180-D180-E180</f>
        <v/>
      </c>
      <c r="U180" s="306">
        <f>MAX(0, T180 - $B$7*P180)</f>
        <v/>
      </c>
      <c r="V180" s="306">
        <f>T180-U180</f>
        <v/>
      </c>
      <c r="W180" s="306">
        <f>IF(A180=$F$6, $B$18*$B$16*$B$17/1000000, 0) + IF(A180=$F$7, $B$18*$B$16*$B$17/1000000, 0) + IF(A180=$F$8, $B$18*$B$16*$B$17/1000000, 0) + IF(A180=$F$9, $B$18*$B$16*$B$17/1000000, 0) + IF(A180=$F$10, $B$18*$B$16*$B$17/1000000, 0) + IF(A180=$F$11, $B$18*$B$16*$B$17/1000000, 0) + IF(A180=$F$12, $B$18*$B$16*$B$17/1000000, 0) + IF(A180=$F$13, $B$18*$B$16*$B$17/1000000, 0) + IF(A180=$F$14, $B$18*$B$16*$B$17/1000000, 0)</f>
        <v/>
      </c>
      <c r="X180" s="306">
        <f>V180-W180-C180</f>
        <v/>
      </c>
      <c r="Y180" s="306">
        <f>IF(AND(A180&lt;=$B$24, X180&gt;0), X180*$B$23, 0)</f>
        <v/>
      </c>
      <c r="Z180" s="306">
        <f>X180-Y180</f>
        <v/>
      </c>
      <c r="AA180" s="306">
        <f>IF(AND(A180=$B$19, $B$21=1), O180*$B$20, 0)</f>
        <v/>
      </c>
      <c r="AB180" s="306">
        <f>AB179+Z180+AA180</f>
        <v/>
      </c>
    </row>
    <row r="181">
      <c r="A181" s="306" t="n">
        <v>151</v>
      </c>
      <c r="B181" s="306">
        <f>CEILING(A181/12,1)</f>
        <v/>
      </c>
      <c r="C181" s="306">
        <f>IF(A181&lt;=12, $B$15/12, 0)</f>
        <v/>
      </c>
      <c r="D181" s="306">
        <f>INDEX('26. Team Comp'!$D$28:$R$28, B181) * 0.001 / 12</f>
        <v/>
      </c>
      <c r="E181" s="306">
        <f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+ (IF(MAX(0, A181 - $F$11 + 1)&lt;=0, 0, IF(MAX(0, A181 - $F$11 + 1)&lt;=6, 70 - (70-14)*(MAX(0, A181 - $F$11 + 1)-1)/5, IF(MAX(0, A181 - $F$11 + 1)&lt;=24, 14 - 14*(MAX(0, A181 - $F$11 + 1)-6)/18, 0)))) + (IF(MAX(0, A181 - $F$12 + 1)&lt;=0, 0, IF(MAX(0, A181 - $F$12 + 1)&lt;=6, 70 - (70-14)*(MAX(0, A181 - $F$12 + 1)-1)/5, IF(MAX(0, A181 - $F$12 + 1)&lt;=24, 14 - 14*(MAX(0, A181 - $F$12 + 1)-6)/18, 0)))) + (IF(MAX(0, A181 - $F$13 + 1)&lt;=0, 0, IF(MAX(0, A181 - $F$13 + 1)&lt;=6, 70 - (70-14)*(MAX(0, A181 - $F$13 + 1)-1)/5, IF(MAX(0, A181 - $F$13 + 1)&lt;=24, 14 - 14*(MAX(0, A181 - $F$13 + 1)-6)/18, 0)))) + (IF(MAX(0, A181 - $F$14 + 1)&lt;=0, 0, IF(MAX(0, A181 - $F$14 + 1)&lt;=6, 70 - (70-14)*(MAX(0, A181 - $F$14 + 1)-1)/5, IF(MAX(0, A181 - $F$14 + 1)&lt;=24, 14 - 14*(MAX(0, A181 - $F$14 + 1)-6)/18, 0)))) ) * 200 / 12 / 1000</f>
        <v/>
      </c>
      <c r="F181" s="306">
        <f>IF(A181&lt;$F$6,0,IF(AND($B$21=1,A181&gt;$B$19),0,$E$6*$G$6^MIN((A181-$F$6)/12,6)*MIN($G$6,0.85)^MAX(0,(A181-$F$6)/12-6)))</f>
        <v/>
      </c>
      <c r="G181" s="306">
        <f>IF(A181&lt;$F$7,0,IF(AND($B$21=1,A181&gt;$B$19),0,$E$7*$G$7^MIN((A181-$F$7)/12,6)*MIN($G$7,0.85)^MAX(0,(A181-$F$7)/12-6)))</f>
        <v/>
      </c>
      <c r="H181" s="306">
        <f>IF(A181&lt;$F$8,0,IF(AND($B$21=1,A181&gt;$B$19),0,$E$8*$G$8^MIN((A181-$F$8)/12,6)*MIN($G$8,0.85)^MAX(0,(A181-$F$8)/12-6)))</f>
        <v/>
      </c>
      <c r="I181" s="306">
        <f>IF(A181&lt;$F$9,0,IF(AND($B$21=1,A181&gt;$B$19),0,$E$9*$G$9^MIN((A181-$F$9)/12,6)*MIN($G$9,0.85)^MAX(0,(A181-$F$9)/12-6)))</f>
        <v/>
      </c>
      <c r="J181" s="306">
        <f>IF(A181&lt;$F$10,0,IF(AND($B$21=1,A181&gt;$B$19),0,$E$10*$G$10^MIN((A181-$F$10)/12,6)*MIN($G$10,0.85)^MAX(0,(A181-$F$10)/12-6)))</f>
        <v/>
      </c>
      <c r="K181" s="306">
        <f>IF(A181&lt;$F$11,0,IF(AND($B$21=1,A181&gt;$B$19),0,$E$11*$G$11^MIN((A181-$F$11)/12,6)*MIN($G$11,0.85)^MAX(0,(A181-$F$11)/12-6)))</f>
        <v/>
      </c>
      <c r="L181" s="306">
        <f>IF(A181&lt;$F$12,0,IF(AND($B$21=1,A181&gt;$B$19),0,$E$12*$G$12^MIN((A181-$F$12)/12,6)*MIN($G$12,0.85)^MAX(0,(A181-$F$12)/12-6)))</f>
        <v/>
      </c>
      <c r="M181" s="306">
        <f>IF(A181&lt;$F$13,0,IF(AND($B$21=1,A181&gt;$B$19),0,$E$13*$G$13^MIN((A181-$F$13)/12,6)*MIN($G$13,0.85)^MAX(0,(A181-$F$13)/12-6)))</f>
        <v/>
      </c>
      <c r="N181" s="306">
        <f>IF(A181&lt;$F$14,0,IF(AND($B$21=1,A181&gt;$B$19),0,$E$14*$G$14^MIN((A181-$F$14)/12,6)*MIN($G$14,0.85)^MAX(0,(A181-$F$14)/12-6)))</f>
        <v/>
      </c>
      <c r="O181" s="306">
        <f>SUM(F181:N181)</f>
        <v/>
      </c>
      <c r="P181" s="306">
        <f>O181/12</f>
        <v/>
      </c>
      <c r="Q181" s="306">
        <f>P181*$B$8</f>
        <v/>
      </c>
      <c r="R181" s="306">
        <f>P181*$B$9</f>
        <v/>
      </c>
      <c r="S181" s="306">
        <f>P181*$B$10</f>
        <v/>
      </c>
      <c r="T181" s="306">
        <f>P181-Q181-R181-S181-D181-E181</f>
        <v/>
      </c>
      <c r="U181" s="306">
        <f>MAX(0, T181 - $B$7*P181)</f>
        <v/>
      </c>
      <c r="V181" s="306">
        <f>T181-U181</f>
        <v/>
      </c>
      <c r="W181" s="306">
        <f>IF(A181=$F$6, $B$18*$B$16*$B$17/1000000, 0) + IF(A181=$F$7, $B$18*$B$16*$B$17/1000000, 0) + IF(A181=$F$8, $B$18*$B$16*$B$17/1000000, 0) + IF(A181=$F$9, $B$18*$B$16*$B$17/1000000, 0) + IF(A181=$F$10, $B$18*$B$16*$B$17/1000000, 0) + IF(A181=$F$11, $B$18*$B$16*$B$17/1000000, 0) + IF(A181=$F$12, $B$18*$B$16*$B$17/1000000, 0) + IF(A181=$F$13, $B$18*$B$16*$B$17/1000000, 0) + IF(A181=$F$14, $B$18*$B$16*$B$17/1000000, 0)</f>
        <v/>
      </c>
      <c r="X181" s="306">
        <f>V181-W181-C181</f>
        <v/>
      </c>
      <c r="Y181" s="306">
        <f>IF(AND(A181&lt;=$B$24, X181&gt;0), X181*$B$23, 0)</f>
        <v/>
      </c>
      <c r="Z181" s="306">
        <f>X181-Y181</f>
        <v/>
      </c>
      <c r="AA181" s="306">
        <f>IF(AND(A181=$B$19, $B$21=1), O181*$B$20, 0)</f>
        <v/>
      </c>
      <c r="AB181" s="306">
        <f>AB180+Z181+AA181</f>
        <v/>
      </c>
    </row>
    <row r="182">
      <c r="A182" s="306" t="n">
        <v>152</v>
      </c>
      <c r="B182" s="306">
        <f>CEILING(A182/12,1)</f>
        <v/>
      </c>
      <c r="C182" s="306">
        <f>IF(A182&lt;=12, $B$15/12, 0)</f>
        <v/>
      </c>
      <c r="D182" s="306">
        <f>INDEX('26. Team Comp'!$D$28:$R$28, B182) * 0.001 / 12</f>
        <v/>
      </c>
      <c r="E182" s="306">
        <f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+ (IF(MAX(0, A182 - $F$11 + 1)&lt;=0, 0, IF(MAX(0, A182 - $F$11 + 1)&lt;=6, 70 - (70-14)*(MAX(0, A182 - $F$11 + 1)-1)/5, IF(MAX(0, A182 - $F$11 + 1)&lt;=24, 14 - 14*(MAX(0, A182 - $F$11 + 1)-6)/18, 0)))) + (IF(MAX(0, A182 - $F$12 + 1)&lt;=0, 0, IF(MAX(0, A182 - $F$12 + 1)&lt;=6, 70 - (70-14)*(MAX(0, A182 - $F$12 + 1)-1)/5, IF(MAX(0, A182 - $F$12 + 1)&lt;=24, 14 - 14*(MAX(0, A182 - $F$12 + 1)-6)/18, 0)))) + (IF(MAX(0, A182 - $F$13 + 1)&lt;=0, 0, IF(MAX(0, A182 - $F$13 + 1)&lt;=6, 70 - (70-14)*(MAX(0, A182 - $F$13 + 1)-1)/5, IF(MAX(0, A182 - $F$13 + 1)&lt;=24, 14 - 14*(MAX(0, A182 - $F$13 + 1)-6)/18, 0)))) + (IF(MAX(0, A182 - $F$14 + 1)&lt;=0, 0, IF(MAX(0, A182 - $F$14 + 1)&lt;=6, 70 - (70-14)*(MAX(0, A182 - $F$14 + 1)-1)/5, IF(MAX(0, A182 - $F$14 + 1)&lt;=24, 14 - 14*(MAX(0, A182 - $F$14 + 1)-6)/18, 0)))) ) * 200 / 12 / 1000</f>
        <v/>
      </c>
      <c r="F182" s="306">
        <f>IF(A182&lt;$F$6,0,IF(AND($B$21=1,A182&gt;$B$19),0,$E$6*$G$6^MIN((A182-$F$6)/12,6)*MIN($G$6,0.85)^MAX(0,(A182-$F$6)/12-6)))</f>
        <v/>
      </c>
      <c r="G182" s="306">
        <f>IF(A182&lt;$F$7,0,IF(AND($B$21=1,A182&gt;$B$19),0,$E$7*$G$7^MIN((A182-$F$7)/12,6)*MIN($G$7,0.85)^MAX(0,(A182-$F$7)/12-6)))</f>
        <v/>
      </c>
      <c r="H182" s="306">
        <f>IF(A182&lt;$F$8,0,IF(AND($B$21=1,A182&gt;$B$19),0,$E$8*$G$8^MIN((A182-$F$8)/12,6)*MIN($G$8,0.85)^MAX(0,(A182-$F$8)/12-6)))</f>
        <v/>
      </c>
      <c r="I182" s="306">
        <f>IF(A182&lt;$F$9,0,IF(AND($B$21=1,A182&gt;$B$19),0,$E$9*$G$9^MIN((A182-$F$9)/12,6)*MIN($G$9,0.85)^MAX(0,(A182-$F$9)/12-6)))</f>
        <v/>
      </c>
      <c r="J182" s="306">
        <f>IF(A182&lt;$F$10,0,IF(AND($B$21=1,A182&gt;$B$19),0,$E$10*$G$10^MIN((A182-$F$10)/12,6)*MIN($G$10,0.85)^MAX(0,(A182-$F$10)/12-6)))</f>
        <v/>
      </c>
      <c r="K182" s="306">
        <f>IF(A182&lt;$F$11,0,IF(AND($B$21=1,A182&gt;$B$19),0,$E$11*$G$11^MIN((A182-$F$11)/12,6)*MIN($G$11,0.85)^MAX(0,(A182-$F$11)/12-6)))</f>
        <v/>
      </c>
      <c r="L182" s="306">
        <f>IF(A182&lt;$F$12,0,IF(AND($B$21=1,A182&gt;$B$19),0,$E$12*$G$12^MIN((A182-$F$12)/12,6)*MIN($G$12,0.85)^MAX(0,(A182-$F$12)/12-6)))</f>
        <v/>
      </c>
      <c r="M182" s="306">
        <f>IF(A182&lt;$F$13,0,IF(AND($B$21=1,A182&gt;$B$19),0,$E$13*$G$13^MIN((A182-$F$13)/12,6)*MIN($G$13,0.85)^MAX(0,(A182-$F$13)/12-6)))</f>
        <v/>
      </c>
      <c r="N182" s="306">
        <f>IF(A182&lt;$F$14,0,IF(AND($B$21=1,A182&gt;$B$19),0,$E$14*$G$14^MIN((A182-$F$14)/12,6)*MIN($G$14,0.85)^MAX(0,(A182-$F$14)/12-6)))</f>
        <v/>
      </c>
      <c r="O182" s="306">
        <f>SUM(F182:N182)</f>
        <v/>
      </c>
      <c r="P182" s="306">
        <f>O182/12</f>
        <v/>
      </c>
      <c r="Q182" s="306">
        <f>P182*$B$8</f>
        <v/>
      </c>
      <c r="R182" s="306">
        <f>P182*$B$9</f>
        <v/>
      </c>
      <c r="S182" s="306">
        <f>P182*$B$10</f>
        <v/>
      </c>
      <c r="T182" s="306">
        <f>P182-Q182-R182-S182-D182-E182</f>
        <v/>
      </c>
      <c r="U182" s="306">
        <f>MAX(0, T182 - $B$7*P182)</f>
        <v/>
      </c>
      <c r="V182" s="306">
        <f>T182-U182</f>
        <v/>
      </c>
      <c r="W182" s="306">
        <f>IF(A182=$F$6, $B$18*$B$16*$B$17/1000000, 0) + IF(A182=$F$7, $B$18*$B$16*$B$17/1000000, 0) + IF(A182=$F$8, $B$18*$B$16*$B$17/1000000, 0) + IF(A182=$F$9, $B$18*$B$16*$B$17/1000000, 0) + IF(A182=$F$10, $B$18*$B$16*$B$17/1000000, 0) + IF(A182=$F$11, $B$18*$B$16*$B$17/1000000, 0) + IF(A182=$F$12, $B$18*$B$16*$B$17/1000000, 0) + IF(A182=$F$13, $B$18*$B$16*$B$17/1000000, 0) + IF(A182=$F$14, $B$18*$B$16*$B$17/1000000, 0)</f>
        <v/>
      </c>
      <c r="X182" s="306">
        <f>V182-W182-C182</f>
        <v/>
      </c>
      <c r="Y182" s="306">
        <f>IF(AND(A182&lt;=$B$24, X182&gt;0), X182*$B$23, 0)</f>
        <v/>
      </c>
      <c r="Z182" s="306">
        <f>X182-Y182</f>
        <v/>
      </c>
      <c r="AA182" s="306">
        <f>IF(AND(A182=$B$19, $B$21=1), O182*$B$20, 0)</f>
        <v/>
      </c>
      <c r="AB182" s="306">
        <f>AB181+Z182+AA182</f>
        <v/>
      </c>
    </row>
    <row r="183">
      <c r="A183" s="306" t="n">
        <v>153</v>
      </c>
      <c r="B183" s="306">
        <f>CEILING(A183/12,1)</f>
        <v/>
      </c>
      <c r="C183" s="306">
        <f>IF(A183&lt;=12, $B$15/12, 0)</f>
        <v/>
      </c>
      <c r="D183" s="306">
        <f>INDEX('26. Team Comp'!$D$28:$R$28, B183) * 0.001 / 12</f>
        <v/>
      </c>
      <c r="E183" s="306">
        <f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+ (IF(MAX(0, A183 - $F$11 + 1)&lt;=0, 0, IF(MAX(0, A183 - $F$11 + 1)&lt;=6, 70 - (70-14)*(MAX(0, A183 - $F$11 + 1)-1)/5, IF(MAX(0, A183 - $F$11 + 1)&lt;=24, 14 - 14*(MAX(0, A183 - $F$11 + 1)-6)/18, 0)))) + (IF(MAX(0, A183 - $F$12 + 1)&lt;=0, 0, IF(MAX(0, A183 - $F$12 + 1)&lt;=6, 70 - (70-14)*(MAX(0, A183 - $F$12 + 1)-1)/5, IF(MAX(0, A183 - $F$12 + 1)&lt;=24, 14 - 14*(MAX(0, A183 - $F$12 + 1)-6)/18, 0)))) + (IF(MAX(0, A183 - $F$13 + 1)&lt;=0, 0, IF(MAX(0, A183 - $F$13 + 1)&lt;=6, 70 - (70-14)*(MAX(0, A183 - $F$13 + 1)-1)/5, IF(MAX(0, A183 - $F$13 + 1)&lt;=24, 14 - 14*(MAX(0, A183 - $F$13 + 1)-6)/18, 0)))) + (IF(MAX(0, A183 - $F$14 + 1)&lt;=0, 0, IF(MAX(0, A183 - $F$14 + 1)&lt;=6, 70 - (70-14)*(MAX(0, A183 - $F$14 + 1)-1)/5, IF(MAX(0, A183 - $F$14 + 1)&lt;=24, 14 - 14*(MAX(0, A183 - $F$14 + 1)-6)/18, 0)))) ) * 200 / 12 / 1000</f>
        <v/>
      </c>
      <c r="F183" s="306">
        <f>IF(A183&lt;$F$6,0,IF(AND($B$21=1,A183&gt;$B$19),0,$E$6*$G$6^MIN((A183-$F$6)/12,6)*MIN($G$6,0.85)^MAX(0,(A183-$F$6)/12-6)))</f>
        <v/>
      </c>
      <c r="G183" s="306">
        <f>IF(A183&lt;$F$7,0,IF(AND($B$21=1,A183&gt;$B$19),0,$E$7*$G$7^MIN((A183-$F$7)/12,6)*MIN($G$7,0.85)^MAX(0,(A183-$F$7)/12-6)))</f>
        <v/>
      </c>
      <c r="H183" s="306">
        <f>IF(A183&lt;$F$8,0,IF(AND($B$21=1,A183&gt;$B$19),0,$E$8*$G$8^MIN((A183-$F$8)/12,6)*MIN($G$8,0.85)^MAX(0,(A183-$F$8)/12-6)))</f>
        <v/>
      </c>
      <c r="I183" s="306">
        <f>IF(A183&lt;$F$9,0,IF(AND($B$21=1,A183&gt;$B$19),0,$E$9*$G$9^MIN((A183-$F$9)/12,6)*MIN($G$9,0.85)^MAX(0,(A183-$F$9)/12-6)))</f>
        <v/>
      </c>
      <c r="J183" s="306">
        <f>IF(A183&lt;$F$10,0,IF(AND($B$21=1,A183&gt;$B$19),0,$E$10*$G$10^MIN((A183-$F$10)/12,6)*MIN($G$10,0.85)^MAX(0,(A183-$F$10)/12-6)))</f>
        <v/>
      </c>
      <c r="K183" s="306">
        <f>IF(A183&lt;$F$11,0,IF(AND($B$21=1,A183&gt;$B$19),0,$E$11*$G$11^MIN((A183-$F$11)/12,6)*MIN($G$11,0.85)^MAX(0,(A183-$F$11)/12-6)))</f>
        <v/>
      </c>
      <c r="L183" s="306">
        <f>IF(A183&lt;$F$12,0,IF(AND($B$21=1,A183&gt;$B$19),0,$E$12*$G$12^MIN((A183-$F$12)/12,6)*MIN($G$12,0.85)^MAX(0,(A183-$F$12)/12-6)))</f>
        <v/>
      </c>
      <c r="M183" s="306">
        <f>IF(A183&lt;$F$13,0,IF(AND($B$21=1,A183&gt;$B$19),0,$E$13*$G$13^MIN((A183-$F$13)/12,6)*MIN($G$13,0.85)^MAX(0,(A183-$F$13)/12-6)))</f>
        <v/>
      </c>
      <c r="N183" s="306">
        <f>IF(A183&lt;$F$14,0,IF(AND($B$21=1,A183&gt;$B$19),0,$E$14*$G$14^MIN((A183-$F$14)/12,6)*MIN($G$14,0.85)^MAX(0,(A183-$F$14)/12-6)))</f>
        <v/>
      </c>
      <c r="O183" s="306">
        <f>SUM(F183:N183)</f>
        <v/>
      </c>
      <c r="P183" s="306">
        <f>O183/12</f>
        <v/>
      </c>
      <c r="Q183" s="306">
        <f>P183*$B$8</f>
        <v/>
      </c>
      <c r="R183" s="306">
        <f>P183*$B$9</f>
        <v/>
      </c>
      <c r="S183" s="306">
        <f>P183*$B$10</f>
        <v/>
      </c>
      <c r="T183" s="306">
        <f>P183-Q183-R183-S183-D183-E183</f>
        <v/>
      </c>
      <c r="U183" s="306">
        <f>MAX(0, T183 - $B$7*P183)</f>
        <v/>
      </c>
      <c r="V183" s="306">
        <f>T183-U183</f>
        <v/>
      </c>
      <c r="W183" s="306">
        <f>IF(A183=$F$6, $B$18*$B$16*$B$17/1000000, 0) + IF(A183=$F$7, $B$18*$B$16*$B$17/1000000, 0) + IF(A183=$F$8, $B$18*$B$16*$B$17/1000000, 0) + IF(A183=$F$9, $B$18*$B$16*$B$17/1000000, 0) + IF(A183=$F$10, $B$18*$B$16*$B$17/1000000, 0) + IF(A183=$F$11, $B$18*$B$16*$B$17/1000000, 0) + IF(A183=$F$12, $B$18*$B$16*$B$17/1000000, 0) + IF(A183=$F$13, $B$18*$B$16*$B$17/1000000, 0) + IF(A183=$F$14, $B$18*$B$16*$B$17/1000000, 0)</f>
        <v/>
      </c>
      <c r="X183" s="306">
        <f>V183-W183-C183</f>
        <v/>
      </c>
      <c r="Y183" s="306">
        <f>IF(AND(A183&lt;=$B$24, X183&gt;0), X183*$B$23, 0)</f>
        <v/>
      </c>
      <c r="Z183" s="306">
        <f>X183-Y183</f>
        <v/>
      </c>
      <c r="AA183" s="306">
        <f>IF(AND(A183=$B$19, $B$21=1), O183*$B$20, 0)</f>
        <v/>
      </c>
      <c r="AB183" s="306">
        <f>AB182+Z183+AA183</f>
        <v/>
      </c>
    </row>
    <row r="184">
      <c r="A184" s="306" t="n">
        <v>154</v>
      </c>
      <c r="B184" s="306">
        <f>CEILING(A184/12,1)</f>
        <v/>
      </c>
      <c r="C184" s="306">
        <f>IF(A184&lt;=12, $B$15/12, 0)</f>
        <v/>
      </c>
      <c r="D184" s="306">
        <f>INDEX('26. Team Comp'!$D$28:$R$28, B184) * 0.001 / 12</f>
        <v/>
      </c>
      <c r="E184" s="306">
        <f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+ (IF(MAX(0, A184 - $F$11 + 1)&lt;=0, 0, IF(MAX(0, A184 - $F$11 + 1)&lt;=6, 70 - (70-14)*(MAX(0, A184 - $F$11 + 1)-1)/5, IF(MAX(0, A184 - $F$11 + 1)&lt;=24, 14 - 14*(MAX(0, A184 - $F$11 + 1)-6)/18, 0)))) + (IF(MAX(0, A184 - $F$12 + 1)&lt;=0, 0, IF(MAX(0, A184 - $F$12 + 1)&lt;=6, 70 - (70-14)*(MAX(0, A184 - $F$12 + 1)-1)/5, IF(MAX(0, A184 - $F$12 + 1)&lt;=24, 14 - 14*(MAX(0, A184 - $F$12 + 1)-6)/18, 0)))) + (IF(MAX(0, A184 - $F$13 + 1)&lt;=0, 0, IF(MAX(0, A184 - $F$13 + 1)&lt;=6, 70 - (70-14)*(MAX(0, A184 - $F$13 + 1)-1)/5, IF(MAX(0, A184 - $F$13 + 1)&lt;=24, 14 - 14*(MAX(0, A184 - $F$13 + 1)-6)/18, 0)))) + (IF(MAX(0, A184 - $F$14 + 1)&lt;=0, 0, IF(MAX(0, A184 - $F$14 + 1)&lt;=6, 70 - (70-14)*(MAX(0, A184 - $F$14 + 1)-1)/5, IF(MAX(0, A184 - $F$14 + 1)&lt;=24, 14 - 14*(MAX(0, A184 - $F$14 + 1)-6)/18, 0)))) ) * 200 / 12 / 1000</f>
        <v/>
      </c>
      <c r="F184" s="306">
        <f>IF(A184&lt;$F$6,0,IF(AND($B$21=1,A184&gt;$B$19),0,$E$6*$G$6^MIN((A184-$F$6)/12,6)*MIN($G$6,0.85)^MAX(0,(A184-$F$6)/12-6)))</f>
        <v/>
      </c>
      <c r="G184" s="306">
        <f>IF(A184&lt;$F$7,0,IF(AND($B$21=1,A184&gt;$B$19),0,$E$7*$G$7^MIN((A184-$F$7)/12,6)*MIN($G$7,0.85)^MAX(0,(A184-$F$7)/12-6)))</f>
        <v/>
      </c>
      <c r="H184" s="306">
        <f>IF(A184&lt;$F$8,0,IF(AND($B$21=1,A184&gt;$B$19),0,$E$8*$G$8^MIN((A184-$F$8)/12,6)*MIN($G$8,0.85)^MAX(0,(A184-$F$8)/12-6)))</f>
        <v/>
      </c>
      <c r="I184" s="306">
        <f>IF(A184&lt;$F$9,0,IF(AND($B$21=1,A184&gt;$B$19),0,$E$9*$G$9^MIN((A184-$F$9)/12,6)*MIN($G$9,0.85)^MAX(0,(A184-$F$9)/12-6)))</f>
        <v/>
      </c>
      <c r="J184" s="306">
        <f>IF(A184&lt;$F$10,0,IF(AND($B$21=1,A184&gt;$B$19),0,$E$10*$G$10^MIN((A184-$F$10)/12,6)*MIN($G$10,0.85)^MAX(0,(A184-$F$10)/12-6)))</f>
        <v/>
      </c>
      <c r="K184" s="306">
        <f>IF(A184&lt;$F$11,0,IF(AND($B$21=1,A184&gt;$B$19),0,$E$11*$G$11^MIN((A184-$F$11)/12,6)*MIN($G$11,0.85)^MAX(0,(A184-$F$11)/12-6)))</f>
        <v/>
      </c>
      <c r="L184" s="306">
        <f>IF(A184&lt;$F$12,0,IF(AND($B$21=1,A184&gt;$B$19),0,$E$12*$G$12^MIN((A184-$F$12)/12,6)*MIN($G$12,0.85)^MAX(0,(A184-$F$12)/12-6)))</f>
        <v/>
      </c>
      <c r="M184" s="306">
        <f>IF(A184&lt;$F$13,0,IF(AND($B$21=1,A184&gt;$B$19),0,$E$13*$G$13^MIN((A184-$F$13)/12,6)*MIN($G$13,0.85)^MAX(0,(A184-$F$13)/12-6)))</f>
        <v/>
      </c>
      <c r="N184" s="306">
        <f>IF(A184&lt;$F$14,0,IF(AND($B$21=1,A184&gt;$B$19),0,$E$14*$G$14^MIN((A184-$F$14)/12,6)*MIN($G$14,0.85)^MAX(0,(A184-$F$14)/12-6)))</f>
        <v/>
      </c>
      <c r="O184" s="306">
        <f>SUM(F184:N184)</f>
        <v/>
      </c>
      <c r="P184" s="306">
        <f>O184/12</f>
        <v/>
      </c>
      <c r="Q184" s="306">
        <f>P184*$B$8</f>
        <v/>
      </c>
      <c r="R184" s="306">
        <f>P184*$B$9</f>
        <v/>
      </c>
      <c r="S184" s="306">
        <f>P184*$B$10</f>
        <v/>
      </c>
      <c r="T184" s="306">
        <f>P184-Q184-R184-S184-D184-E184</f>
        <v/>
      </c>
      <c r="U184" s="306">
        <f>MAX(0, T184 - $B$7*P184)</f>
        <v/>
      </c>
      <c r="V184" s="306">
        <f>T184-U184</f>
        <v/>
      </c>
      <c r="W184" s="306">
        <f>IF(A184=$F$6, $B$18*$B$16*$B$17/1000000, 0) + IF(A184=$F$7, $B$18*$B$16*$B$17/1000000, 0) + IF(A184=$F$8, $B$18*$B$16*$B$17/1000000, 0) + IF(A184=$F$9, $B$18*$B$16*$B$17/1000000, 0) + IF(A184=$F$10, $B$18*$B$16*$B$17/1000000, 0) + IF(A184=$F$11, $B$18*$B$16*$B$17/1000000, 0) + IF(A184=$F$12, $B$18*$B$16*$B$17/1000000, 0) + IF(A184=$F$13, $B$18*$B$16*$B$17/1000000, 0) + IF(A184=$F$14, $B$18*$B$16*$B$17/1000000, 0)</f>
        <v/>
      </c>
      <c r="X184" s="306">
        <f>V184-W184-C184</f>
        <v/>
      </c>
      <c r="Y184" s="306">
        <f>IF(AND(A184&lt;=$B$24, X184&gt;0), X184*$B$23, 0)</f>
        <v/>
      </c>
      <c r="Z184" s="306">
        <f>X184-Y184</f>
        <v/>
      </c>
      <c r="AA184" s="306">
        <f>IF(AND(A184=$B$19, $B$21=1), O184*$B$20, 0)</f>
        <v/>
      </c>
      <c r="AB184" s="306">
        <f>AB183+Z184+AA184</f>
        <v/>
      </c>
    </row>
    <row r="185">
      <c r="A185" s="306" t="n">
        <v>155</v>
      </c>
      <c r="B185" s="306">
        <f>CEILING(A185/12,1)</f>
        <v/>
      </c>
      <c r="C185" s="306">
        <f>IF(A185&lt;=12, $B$15/12, 0)</f>
        <v/>
      </c>
      <c r="D185" s="306">
        <f>INDEX('26. Team Comp'!$D$28:$R$28, B185) * 0.001 / 12</f>
        <v/>
      </c>
      <c r="E185" s="306">
        <f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+ (IF(MAX(0, A185 - $F$11 + 1)&lt;=0, 0, IF(MAX(0, A185 - $F$11 + 1)&lt;=6, 70 - (70-14)*(MAX(0, A185 - $F$11 + 1)-1)/5, IF(MAX(0, A185 - $F$11 + 1)&lt;=24, 14 - 14*(MAX(0, A185 - $F$11 + 1)-6)/18, 0)))) + (IF(MAX(0, A185 - $F$12 + 1)&lt;=0, 0, IF(MAX(0, A185 - $F$12 + 1)&lt;=6, 70 - (70-14)*(MAX(0, A185 - $F$12 + 1)-1)/5, IF(MAX(0, A185 - $F$12 + 1)&lt;=24, 14 - 14*(MAX(0, A185 - $F$12 + 1)-6)/18, 0)))) + (IF(MAX(0, A185 - $F$13 + 1)&lt;=0, 0, IF(MAX(0, A185 - $F$13 + 1)&lt;=6, 70 - (70-14)*(MAX(0, A185 - $F$13 + 1)-1)/5, IF(MAX(0, A185 - $F$13 + 1)&lt;=24, 14 - 14*(MAX(0, A185 - $F$13 + 1)-6)/18, 0)))) + (IF(MAX(0, A185 - $F$14 + 1)&lt;=0, 0, IF(MAX(0, A185 - $F$14 + 1)&lt;=6, 70 - (70-14)*(MAX(0, A185 - $F$14 + 1)-1)/5, IF(MAX(0, A185 - $F$14 + 1)&lt;=24, 14 - 14*(MAX(0, A185 - $F$14 + 1)-6)/18, 0)))) ) * 200 / 12 / 1000</f>
        <v/>
      </c>
      <c r="F185" s="306">
        <f>IF(A185&lt;$F$6,0,IF(AND($B$21=1,A185&gt;$B$19),0,$E$6*$G$6^MIN((A185-$F$6)/12,6)*MIN($G$6,0.85)^MAX(0,(A185-$F$6)/12-6)))</f>
        <v/>
      </c>
      <c r="G185" s="306">
        <f>IF(A185&lt;$F$7,0,IF(AND($B$21=1,A185&gt;$B$19),0,$E$7*$G$7^MIN((A185-$F$7)/12,6)*MIN($G$7,0.85)^MAX(0,(A185-$F$7)/12-6)))</f>
        <v/>
      </c>
      <c r="H185" s="306">
        <f>IF(A185&lt;$F$8,0,IF(AND($B$21=1,A185&gt;$B$19),0,$E$8*$G$8^MIN((A185-$F$8)/12,6)*MIN($G$8,0.85)^MAX(0,(A185-$F$8)/12-6)))</f>
        <v/>
      </c>
      <c r="I185" s="306">
        <f>IF(A185&lt;$F$9,0,IF(AND($B$21=1,A185&gt;$B$19),0,$E$9*$G$9^MIN((A185-$F$9)/12,6)*MIN($G$9,0.85)^MAX(0,(A185-$F$9)/12-6)))</f>
        <v/>
      </c>
      <c r="J185" s="306">
        <f>IF(A185&lt;$F$10,0,IF(AND($B$21=1,A185&gt;$B$19),0,$E$10*$G$10^MIN((A185-$F$10)/12,6)*MIN($G$10,0.85)^MAX(0,(A185-$F$10)/12-6)))</f>
        <v/>
      </c>
      <c r="K185" s="306">
        <f>IF(A185&lt;$F$11,0,IF(AND($B$21=1,A185&gt;$B$19),0,$E$11*$G$11^MIN((A185-$F$11)/12,6)*MIN($G$11,0.85)^MAX(0,(A185-$F$11)/12-6)))</f>
        <v/>
      </c>
      <c r="L185" s="306">
        <f>IF(A185&lt;$F$12,0,IF(AND($B$21=1,A185&gt;$B$19),0,$E$12*$G$12^MIN((A185-$F$12)/12,6)*MIN($G$12,0.85)^MAX(0,(A185-$F$12)/12-6)))</f>
        <v/>
      </c>
      <c r="M185" s="306">
        <f>IF(A185&lt;$F$13,0,IF(AND($B$21=1,A185&gt;$B$19),0,$E$13*$G$13^MIN((A185-$F$13)/12,6)*MIN($G$13,0.85)^MAX(0,(A185-$F$13)/12-6)))</f>
        <v/>
      </c>
      <c r="N185" s="306">
        <f>IF(A185&lt;$F$14,0,IF(AND($B$21=1,A185&gt;$B$19),0,$E$14*$G$14^MIN((A185-$F$14)/12,6)*MIN($G$14,0.85)^MAX(0,(A185-$F$14)/12-6)))</f>
        <v/>
      </c>
      <c r="O185" s="306">
        <f>SUM(F185:N185)</f>
        <v/>
      </c>
      <c r="P185" s="306">
        <f>O185/12</f>
        <v/>
      </c>
      <c r="Q185" s="306">
        <f>P185*$B$8</f>
        <v/>
      </c>
      <c r="R185" s="306">
        <f>P185*$B$9</f>
        <v/>
      </c>
      <c r="S185" s="306">
        <f>P185*$B$10</f>
        <v/>
      </c>
      <c r="T185" s="306">
        <f>P185-Q185-R185-S185-D185-E185</f>
        <v/>
      </c>
      <c r="U185" s="306">
        <f>MAX(0, T185 - $B$7*P185)</f>
        <v/>
      </c>
      <c r="V185" s="306">
        <f>T185-U185</f>
        <v/>
      </c>
      <c r="W185" s="306">
        <f>IF(A185=$F$6, $B$18*$B$16*$B$17/1000000, 0) + IF(A185=$F$7, $B$18*$B$16*$B$17/1000000, 0) + IF(A185=$F$8, $B$18*$B$16*$B$17/1000000, 0) + IF(A185=$F$9, $B$18*$B$16*$B$17/1000000, 0) + IF(A185=$F$10, $B$18*$B$16*$B$17/1000000, 0) + IF(A185=$F$11, $B$18*$B$16*$B$17/1000000, 0) + IF(A185=$F$12, $B$18*$B$16*$B$17/1000000, 0) + IF(A185=$F$13, $B$18*$B$16*$B$17/1000000, 0) + IF(A185=$F$14, $B$18*$B$16*$B$17/1000000, 0)</f>
        <v/>
      </c>
      <c r="X185" s="306">
        <f>V185-W185-C185</f>
        <v/>
      </c>
      <c r="Y185" s="306">
        <f>IF(AND(A185&lt;=$B$24, X185&gt;0), X185*$B$23, 0)</f>
        <v/>
      </c>
      <c r="Z185" s="306">
        <f>X185-Y185</f>
        <v/>
      </c>
      <c r="AA185" s="306">
        <f>IF(AND(A185=$B$19, $B$21=1), O185*$B$20, 0)</f>
        <v/>
      </c>
      <c r="AB185" s="306">
        <f>AB184+Z185+AA185</f>
        <v/>
      </c>
    </row>
    <row r="186">
      <c r="A186" s="306" t="n">
        <v>156</v>
      </c>
      <c r="B186" s="306">
        <f>CEILING(A186/12,1)</f>
        <v/>
      </c>
      <c r="C186" s="306">
        <f>IF(A186&lt;=12, $B$15/12, 0)</f>
        <v/>
      </c>
      <c r="D186" s="306">
        <f>INDEX('26. Team Comp'!$D$28:$R$28, B186) * 0.001 / 12</f>
        <v/>
      </c>
      <c r="E186" s="306">
        <f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+ (IF(MAX(0, A186 - $F$11 + 1)&lt;=0, 0, IF(MAX(0, A186 - $F$11 + 1)&lt;=6, 70 - (70-14)*(MAX(0, A186 - $F$11 + 1)-1)/5, IF(MAX(0, A186 - $F$11 + 1)&lt;=24, 14 - 14*(MAX(0, A186 - $F$11 + 1)-6)/18, 0)))) + (IF(MAX(0, A186 - $F$12 + 1)&lt;=0, 0, IF(MAX(0, A186 - $F$12 + 1)&lt;=6, 70 - (70-14)*(MAX(0, A186 - $F$12 + 1)-1)/5, IF(MAX(0, A186 - $F$12 + 1)&lt;=24, 14 - 14*(MAX(0, A186 - $F$12 + 1)-6)/18, 0)))) + (IF(MAX(0, A186 - $F$13 + 1)&lt;=0, 0, IF(MAX(0, A186 - $F$13 + 1)&lt;=6, 70 - (70-14)*(MAX(0, A186 - $F$13 + 1)-1)/5, IF(MAX(0, A186 - $F$13 + 1)&lt;=24, 14 - 14*(MAX(0, A186 - $F$13 + 1)-6)/18, 0)))) + (IF(MAX(0, A186 - $F$14 + 1)&lt;=0, 0, IF(MAX(0, A186 - $F$14 + 1)&lt;=6, 70 - (70-14)*(MAX(0, A186 - $F$14 + 1)-1)/5, IF(MAX(0, A186 - $F$14 + 1)&lt;=24, 14 - 14*(MAX(0, A186 - $F$14 + 1)-6)/18, 0)))) ) * 200 / 12 / 1000</f>
        <v/>
      </c>
      <c r="F186" s="306">
        <f>IF(A186&lt;$F$6,0,IF(AND($B$21=1,A186&gt;$B$19),0,$E$6*$G$6^MIN((A186-$F$6)/12,6)*MIN($G$6,0.85)^MAX(0,(A186-$F$6)/12-6)))</f>
        <v/>
      </c>
      <c r="G186" s="306">
        <f>IF(A186&lt;$F$7,0,IF(AND($B$21=1,A186&gt;$B$19),0,$E$7*$G$7^MIN((A186-$F$7)/12,6)*MIN($G$7,0.85)^MAX(0,(A186-$F$7)/12-6)))</f>
        <v/>
      </c>
      <c r="H186" s="306">
        <f>IF(A186&lt;$F$8,0,IF(AND($B$21=1,A186&gt;$B$19),0,$E$8*$G$8^MIN((A186-$F$8)/12,6)*MIN($G$8,0.85)^MAX(0,(A186-$F$8)/12-6)))</f>
        <v/>
      </c>
      <c r="I186" s="306">
        <f>IF(A186&lt;$F$9,0,IF(AND($B$21=1,A186&gt;$B$19),0,$E$9*$G$9^MIN((A186-$F$9)/12,6)*MIN($G$9,0.85)^MAX(0,(A186-$F$9)/12-6)))</f>
        <v/>
      </c>
      <c r="J186" s="306">
        <f>IF(A186&lt;$F$10,0,IF(AND($B$21=1,A186&gt;$B$19),0,$E$10*$G$10^MIN((A186-$F$10)/12,6)*MIN($G$10,0.85)^MAX(0,(A186-$F$10)/12-6)))</f>
        <v/>
      </c>
      <c r="K186" s="306">
        <f>IF(A186&lt;$F$11,0,IF(AND($B$21=1,A186&gt;$B$19),0,$E$11*$G$11^MIN((A186-$F$11)/12,6)*MIN($G$11,0.85)^MAX(0,(A186-$F$11)/12-6)))</f>
        <v/>
      </c>
      <c r="L186" s="306">
        <f>IF(A186&lt;$F$12,0,IF(AND($B$21=1,A186&gt;$B$19),0,$E$12*$G$12^MIN((A186-$F$12)/12,6)*MIN($G$12,0.85)^MAX(0,(A186-$F$12)/12-6)))</f>
        <v/>
      </c>
      <c r="M186" s="306">
        <f>IF(A186&lt;$F$13,0,IF(AND($B$21=1,A186&gt;$B$19),0,$E$13*$G$13^MIN((A186-$F$13)/12,6)*MIN($G$13,0.85)^MAX(0,(A186-$F$13)/12-6)))</f>
        <v/>
      </c>
      <c r="N186" s="306">
        <f>IF(A186&lt;$F$14,0,IF(AND($B$21=1,A186&gt;$B$19),0,$E$14*$G$14^MIN((A186-$F$14)/12,6)*MIN($G$14,0.85)^MAX(0,(A186-$F$14)/12-6)))</f>
        <v/>
      </c>
      <c r="O186" s="306">
        <f>SUM(F186:N186)</f>
        <v/>
      </c>
      <c r="P186" s="306">
        <f>O186/12</f>
        <v/>
      </c>
      <c r="Q186" s="306">
        <f>P186*$B$8</f>
        <v/>
      </c>
      <c r="R186" s="306">
        <f>P186*$B$9</f>
        <v/>
      </c>
      <c r="S186" s="306">
        <f>P186*$B$10</f>
        <v/>
      </c>
      <c r="T186" s="306">
        <f>P186-Q186-R186-S186-D186-E186</f>
        <v/>
      </c>
      <c r="U186" s="306">
        <f>MAX(0, T186 - $B$7*P186)</f>
        <v/>
      </c>
      <c r="V186" s="306">
        <f>T186-U186</f>
        <v/>
      </c>
      <c r="W186" s="306">
        <f>IF(A186=$F$6, $B$18*$B$16*$B$17/1000000, 0) + IF(A186=$F$7, $B$18*$B$16*$B$17/1000000, 0) + IF(A186=$F$8, $B$18*$B$16*$B$17/1000000, 0) + IF(A186=$F$9, $B$18*$B$16*$B$17/1000000, 0) + IF(A186=$F$10, $B$18*$B$16*$B$17/1000000, 0) + IF(A186=$F$11, $B$18*$B$16*$B$17/1000000, 0) + IF(A186=$F$12, $B$18*$B$16*$B$17/1000000, 0) + IF(A186=$F$13, $B$18*$B$16*$B$17/1000000, 0) + IF(A186=$F$14, $B$18*$B$16*$B$17/1000000, 0)</f>
        <v/>
      </c>
      <c r="X186" s="306">
        <f>V186-W186-C186</f>
        <v/>
      </c>
      <c r="Y186" s="306">
        <f>IF(AND(A186&lt;=$B$24, X186&gt;0), X186*$B$23, 0)</f>
        <v/>
      </c>
      <c r="Z186" s="306">
        <f>X186-Y186</f>
        <v/>
      </c>
      <c r="AA186" s="306">
        <f>IF(AND(A186=$B$19, $B$21=1), O186*$B$20, 0)</f>
        <v/>
      </c>
      <c r="AB186" s="306">
        <f>AB185+Z186+AA186</f>
        <v/>
      </c>
    </row>
    <row r="187">
      <c r="A187" s="306" t="n">
        <v>157</v>
      </c>
      <c r="B187" s="306">
        <f>CEILING(A187/12,1)</f>
        <v/>
      </c>
      <c r="C187" s="306">
        <f>IF(A187&lt;=12, $B$15/12, 0)</f>
        <v/>
      </c>
      <c r="D187" s="306">
        <f>INDEX('26. Team Comp'!$D$28:$R$28, B187) * 0.001 / 12</f>
        <v/>
      </c>
      <c r="E187" s="306">
        <f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+ (IF(MAX(0, A187 - $F$11 + 1)&lt;=0, 0, IF(MAX(0, A187 - $F$11 + 1)&lt;=6, 70 - (70-14)*(MAX(0, A187 - $F$11 + 1)-1)/5, IF(MAX(0, A187 - $F$11 + 1)&lt;=24, 14 - 14*(MAX(0, A187 - $F$11 + 1)-6)/18, 0)))) + (IF(MAX(0, A187 - $F$12 + 1)&lt;=0, 0, IF(MAX(0, A187 - $F$12 + 1)&lt;=6, 70 - (70-14)*(MAX(0, A187 - $F$12 + 1)-1)/5, IF(MAX(0, A187 - $F$12 + 1)&lt;=24, 14 - 14*(MAX(0, A187 - $F$12 + 1)-6)/18, 0)))) + (IF(MAX(0, A187 - $F$13 + 1)&lt;=0, 0, IF(MAX(0, A187 - $F$13 + 1)&lt;=6, 70 - (70-14)*(MAX(0, A187 - $F$13 + 1)-1)/5, IF(MAX(0, A187 - $F$13 + 1)&lt;=24, 14 - 14*(MAX(0, A187 - $F$13 + 1)-6)/18, 0)))) + (IF(MAX(0, A187 - $F$14 + 1)&lt;=0, 0, IF(MAX(0, A187 - $F$14 + 1)&lt;=6, 70 - (70-14)*(MAX(0, A187 - $F$14 + 1)-1)/5, IF(MAX(0, A187 - $F$14 + 1)&lt;=24, 14 - 14*(MAX(0, A187 - $F$14 + 1)-6)/18, 0)))) ) * 200 / 12 / 1000</f>
        <v/>
      </c>
      <c r="F187" s="306">
        <f>IF(A187&lt;$F$6,0,IF(AND($B$21=1,A187&gt;$B$19),0,$E$6*$G$6^MIN((A187-$F$6)/12,6)*MIN($G$6,0.85)^MAX(0,(A187-$F$6)/12-6)))</f>
        <v/>
      </c>
      <c r="G187" s="306">
        <f>IF(A187&lt;$F$7,0,IF(AND($B$21=1,A187&gt;$B$19),0,$E$7*$G$7^MIN((A187-$F$7)/12,6)*MIN($G$7,0.85)^MAX(0,(A187-$F$7)/12-6)))</f>
        <v/>
      </c>
      <c r="H187" s="306">
        <f>IF(A187&lt;$F$8,0,IF(AND($B$21=1,A187&gt;$B$19),0,$E$8*$G$8^MIN((A187-$F$8)/12,6)*MIN($G$8,0.85)^MAX(0,(A187-$F$8)/12-6)))</f>
        <v/>
      </c>
      <c r="I187" s="306">
        <f>IF(A187&lt;$F$9,0,IF(AND($B$21=1,A187&gt;$B$19),0,$E$9*$G$9^MIN((A187-$F$9)/12,6)*MIN($G$9,0.85)^MAX(0,(A187-$F$9)/12-6)))</f>
        <v/>
      </c>
      <c r="J187" s="306">
        <f>IF(A187&lt;$F$10,0,IF(AND($B$21=1,A187&gt;$B$19),0,$E$10*$G$10^MIN((A187-$F$10)/12,6)*MIN($G$10,0.85)^MAX(0,(A187-$F$10)/12-6)))</f>
        <v/>
      </c>
      <c r="K187" s="306">
        <f>IF(A187&lt;$F$11,0,IF(AND($B$21=1,A187&gt;$B$19),0,$E$11*$G$11^MIN((A187-$F$11)/12,6)*MIN($G$11,0.85)^MAX(0,(A187-$F$11)/12-6)))</f>
        <v/>
      </c>
      <c r="L187" s="306">
        <f>IF(A187&lt;$F$12,0,IF(AND($B$21=1,A187&gt;$B$19),0,$E$12*$G$12^MIN((A187-$F$12)/12,6)*MIN($G$12,0.85)^MAX(0,(A187-$F$12)/12-6)))</f>
        <v/>
      </c>
      <c r="M187" s="306">
        <f>IF(A187&lt;$F$13,0,IF(AND($B$21=1,A187&gt;$B$19),0,$E$13*$G$13^MIN((A187-$F$13)/12,6)*MIN($G$13,0.85)^MAX(0,(A187-$F$13)/12-6)))</f>
        <v/>
      </c>
      <c r="N187" s="306">
        <f>IF(A187&lt;$F$14,0,IF(AND($B$21=1,A187&gt;$B$19),0,$E$14*$G$14^MIN((A187-$F$14)/12,6)*MIN($G$14,0.85)^MAX(0,(A187-$F$14)/12-6)))</f>
        <v/>
      </c>
      <c r="O187" s="306">
        <f>SUM(F187:N187)</f>
        <v/>
      </c>
      <c r="P187" s="306">
        <f>O187/12</f>
        <v/>
      </c>
      <c r="Q187" s="306">
        <f>P187*$B$8</f>
        <v/>
      </c>
      <c r="R187" s="306">
        <f>P187*$B$9</f>
        <v/>
      </c>
      <c r="S187" s="306">
        <f>P187*$B$10</f>
        <v/>
      </c>
      <c r="T187" s="306">
        <f>P187-Q187-R187-S187-D187-E187</f>
        <v/>
      </c>
      <c r="U187" s="306">
        <f>MAX(0, T187 - $B$7*P187)</f>
        <v/>
      </c>
      <c r="V187" s="306">
        <f>T187-U187</f>
        <v/>
      </c>
      <c r="W187" s="306">
        <f>IF(A187=$F$6, $B$18*$B$16*$B$17/1000000, 0) + IF(A187=$F$7, $B$18*$B$16*$B$17/1000000, 0) + IF(A187=$F$8, $B$18*$B$16*$B$17/1000000, 0) + IF(A187=$F$9, $B$18*$B$16*$B$17/1000000, 0) + IF(A187=$F$10, $B$18*$B$16*$B$17/1000000, 0) + IF(A187=$F$11, $B$18*$B$16*$B$17/1000000, 0) + IF(A187=$F$12, $B$18*$B$16*$B$17/1000000, 0) + IF(A187=$F$13, $B$18*$B$16*$B$17/1000000, 0) + IF(A187=$F$14, $B$18*$B$16*$B$17/1000000, 0)</f>
        <v/>
      </c>
      <c r="X187" s="306">
        <f>V187-W187-C187</f>
        <v/>
      </c>
      <c r="Y187" s="306">
        <f>IF(AND(A187&lt;=$B$24, X187&gt;0), X187*$B$23, 0)</f>
        <v/>
      </c>
      <c r="Z187" s="306">
        <f>X187-Y187</f>
        <v/>
      </c>
      <c r="AA187" s="306">
        <f>IF(AND(A187=$B$19, $B$21=1), O187*$B$20, 0)</f>
        <v/>
      </c>
      <c r="AB187" s="306">
        <f>AB186+Z187+AA187</f>
        <v/>
      </c>
    </row>
    <row r="188">
      <c r="A188" s="306" t="n">
        <v>158</v>
      </c>
      <c r="B188" s="306">
        <f>CEILING(A188/12,1)</f>
        <v/>
      </c>
      <c r="C188" s="306">
        <f>IF(A188&lt;=12, $B$15/12, 0)</f>
        <v/>
      </c>
      <c r="D188" s="306">
        <f>INDEX('26. Team Comp'!$D$28:$R$28, B188) * 0.001 / 12</f>
        <v/>
      </c>
      <c r="E188" s="306">
        <f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+ (IF(MAX(0, A188 - $F$11 + 1)&lt;=0, 0, IF(MAX(0, A188 - $F$11 + 1)&lt;=6, 70 - (70-14)*(MAX(0, A188 - $F$11 + 1)-1)/5, IF(MAX(0, A188 - $F$11 + 1)&lt;=24, 14 - 14*(MAX(0, A188 - $F$11 + 1)-6)/18, 0)))) + (IF(MAX(0, A188 - $F$12 + 1)&lt;=0, 0, IF(MAX(0, A188 - $F$12 + 1)&lt;=6, 70 - (70-14)*(MAX(0, A188 - $F$12 + 1)-1)/5, IF(MAX(0, A188 - $F$12 + 1)&lt;=24, 14 - 14*(MAX(0, A188 - $F$12 + 1)-6)/18, 0)))) + (IF(MAX(0, A188 - $F$13 + 1)&lt;=0, 0, IF(MAX(0, A188 - $F$13 + 1)&lt;=6, 70 - (70-14)*(MAX(0, A188 - $F$13 + 1)-1)/5, IF(MAX(0, A188 - $F$13 + 1)&lt;=24, 14 - 14*(MAX(0, A188 - $F$13 + 1)-6)/18, 0)))) + (IF(MAX(0, A188 - $F$14 + 1)&lt;=0, 0, IF(MAX(0, A188 - $F$14 + 1)&lt;=6, 70 - (70-14)*(MAX(0, A188 - $F$14 + 1)-1)/5, IF(MAX(0, A188 - $F$14 + 1)&lt;=24, 14 - 14*(MAX(0, A188 - $F$14 + 1)-6)/18, 0)))) ) * 200 / 12 / 1000</f>
        <v/>
      </c>
      <c r="F188" s="306">
        <f>IF(A188&lt;$F$6,0,IF(AND($B$21=1,A188&gt;$B$19),0,$E$6*$G$6^MIN((A188-$F$6)/12,6)*MIN($G$6,0.85)^MAX(0,(A188-$F$6)/12-6)))</f>
        <v/>
      </c>
      <c r="G188" s="306">
        <f>IF(A188&lt;$F$7,0,IF(AND($B$21=1,A188&gt;$B$19),0,$E$7*$G$7^MIN((A188-$F$7)/12,6)*MIN($G$7,0.85)^MAX(0,(A188-$F$7)/12-6)))</f>
        <v/>
      </c>
      <c r="H188" s="306">
        <f>IF(A188&lt;$F$8,0,IF(AND($B$21=1,A188&gt;$B$19),0,$E$8*$G$8^MIN((A188-$F$8)/12,6)*MIN($G$8,0.85)^MAX(0,(A188-$F$8)/12-6)))</f>
        <v/>
      </c>
      <c r="I188" s="306">
        <f>IF(A188&lt;$F$9,0,IF(AND($B$21=1,A188&gt;$B$19),0,$E$9*$G$9^MIN((A188-$F$9)/12,6)*MIN($G$9,0.85)^MAX(0,(A188-$F$9)/12-6)))</f>
        <v/>
      </c>
      <c r="J188" s="306">
        <f>IF(A188&lt;$F$10,0,IF(AND($B$21=1,A188&gt;$B$19),0,$E$10*$G$10^MIN((A188-$F$10)/12,6)*MIN($G$10,0.85)^MAX(0,(A188-$F$10)/12-6)))</f>
        <v/>
      </c>
      <c r="K188" s="306">
        <f>IF(A188&lt;$F$11,0,IF(AND($B$21=1,A188&gt;$B$19),0,$E$11*$G$11^MIN((A188-$F$11)/12,6)*MIN($G$11,0.85)^MAX(0,(A188-$F$11)/12-6)))</f>
        <v/>
      </c>
      <c r="L188" s="306">
        <f>IF(A188&lt;$F$12,0,IF(AND($B$21=1,A188&gt;$B$19),0,$E$12*$G$12^MIN((A188-$F$12)/12,6)*MIN($G$12,0.85)^MAX(0,(A188-$F$12)/12-6)))</f>
        <v/>
      </c>
      <c r="M188" s="306">
        <f>IF(A188&lt;$F$13,0,IF(AND($B$21=1,A188&gt;$B$19),0,$E$13*$G$13^MIN((A188-$F$13)/12,6)*MIN($G$13,0.85)^MAX(0,(A188-$F$13)/12-6)))</f>
        <v/>
      </c>
      <c r="N188" s="306">
        <f>IF(A188&lt;$F$14,0,IF(AND($B$21=1,A188&gt;$B$19),0,$E$14*$G$14^MIN((A188-$F$14)/12,6)*MIN($G$14,0.85)^MAX(0,(A188-$F$14)/12-6)))</f>
        <v/>
      </c>
      <c r="O188" s="306">
        <f>SUM(F188:N188)</f>
        <v/>
      </c>
      <c r="P188" s="306">
        <f>O188/12</f>
        <v/>
      </c>
      <c r="Q188" s="306">
        <f>P188*$B$8</f>
        <v/>
      </c>
      <c r="R188" s="306">
        <f>P188*$B$9</f>
        <v/>
      </c>
      <c r="S188" s="306">
        <f>P188*$B$10</f>
        <v/>
      </c>
      <c r="T188" s="306">
        <f>P188-Q188-R188-S188-D188-E188</f>
        <v/>
      </c>
      <c r="U188" s="306">
        <f>MAX(0, T188 - $B$7*P188)</f>
        <v/>
      </c>
      <c r="V188" s="306">
        <f>T188-U188</f>
        <v/>
      </c>
      <c r="W188" s="306">
        <f>IF(A188=$F$6, $B$18*$B$16*$B$17/1000000, 0) + IF(A188=$F$7, $B$18*$B$16*$B$17/1000000, 0) + IF(A188=$F$8, $B$18*$B$16*$B$17/1000000, 0) + IF(A188=$F$9, $B$18*$B$16*$B$17/1000000, 0) + IF(A188=$F$10, $B$18*$B$16*$B$17/1000000, 0) + IF(A188=$F$11, $B$18*$B$16*$B$17/1000000, 0) + IF(A188=$F$12, $B$18*$B$16*$B$17/1000000, 0) + IF(A188=$F$13, $B$18*$B$16*$B$17/1000000, 0) + IF(A188=$F$14, $B$18*$B$16*$B$17/1000000, 0)</f>
        <v/>
      </c>
      <c r="X188" s="306">
        <f>V188-W188-C188</f>
        <v/>
      </c>
      <c r="Y188" s="306">
        <f>IF(AND(A188&lt;=$B$24, X188&gt;0), X188*$B$23, 0)</f>
        <v/>
      </c>
      <c r="Z188" s="306">
        <f>X188-Y188</f>
        <v/>
      </c>
      <c r="AA188" s="306">
        <f>IF(AND(A188=$B$19, $B$21=1), O188*$B$20, 0)</f>
        <v/>
      </c>
      <c r="AB188" s="306">
        <f>AB187+Z188+AA188</f>
        <v/>
      </c>
    </row>
    <row r="189">
      <c r="A189" s="306" t="n">
        <v>159</v>
      </c>
      <c r="B189" s="306">
        <f>CEILING(A189/12,1)</f>
        <v/>
      </c>
      <c r="C189" s="306">
        <f>IF(A189&lt;=12, $B$15/12, 0)</f>
        <v/>
      </c>
      <c r="D189" s="306">
        <f>INDEX('26. Team Comp'!$D$28:$R$28, B189) * 0.001 / 12</f>
        <v/>
      </c>
      <c r="E189" s="306">
        <f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+ (IF(MAX(0, A189 - $F$11 + 1)&lt;=0, 0, IF(MAX(0, A189 - $F$11 + 1)&lt;=6, 70 - (70-14)*(MAX(0, A189 - $F$11 + 1)-1)/5, IF(MAX(0, A189 - $F$11 + 1)&lt;=24, 14 - 14*(MAX(0, A189 - $F$11 + 1)-6)/18, 0)))) + (IF(MAX(0, A189 - $F$12 + 1)&lt;=0, 0, IF(MAX(0, A189 - $F$12 + 1)&lt;=6, 70 - (70-14)*(MAX(0, A189 - $F$12 + 1)-1)/5, IF(MAX(0, A189 - $F$12 + 1)&lt;=24, 14 - 14*(MAX(0, A189 - $F$12 + 1)-6)/18, 0)))) + (IF(MAX(0, A189 - $F$13 + 1)&lt;=0, 0, IF(MAX(0, A189 - $F$13 + 1)&lt;=6, 70 - (70-14)*(MAX(0, A189 - $F$13 + 1)-1)/5, IF(MAX(0, A189 - $F$13 + 1)&lt;=24, 14 - 14*(MAX(0, A189 - $F$13 + 1)-6)/18, 0)))) + (IF(MAX(0, A189 - $F$14 + 1)&lt;=0, 0, IF(MAX(0, A189 - $F$14 + 1)&lt;=6, 70 - (70-14)*(MAX(0, A189 - $F$14 + 1)-1)/5, IF(MAX(0, A189 - $F$14 + 1)&lt;=24, 14 - 14*(MAX(0, A189 - $F$14 + 1)-6)/18, 0)))) ) * 200 / 12 / 1000</f>
        <v/>
      </c>
      <c r="F189" s="306">
        <f>IF(A189&lt;$F$6,0,IF(AND($B$21=1,A189&gt;$B$19),0,$E$6*$G$6^MIN((A189-$F$6)/12,6)*MIN($G$6,0.85)^MAX(0,(A189-$F$6)/12-6)))</f>
        <v/>
      </c>
      <c r="G189" s="306">
        <f>IF(A189&lt;$F$7,0,IF(AND($B$21=1,A189&gt;$B$19),0,$E$7*$G$7^MIN((A189-$F$7)/12,6)*MIN($G$7,0.85)^MAX(0,(A189-$F$7)/12-6)))</f>
        <v/>
      </c>
      <c r="H189" s="306">
        <f>IF(A189&lt;$F$8,0,IF(AND($B$21=1,A189&gt;$B$19),0,$E$8*$G$8^MIN((A189-$F$8)/12,6)*MIN($G$8,0.85)^MAX(0,(A189-$F$8)/12-6)))</f>
        <v/>
      </c>
      <c r="I189" s="306">
        <f>IF(A189&lt;$F$9,0,IF(AND($B$21=1,A189&gt;$B$19),0,$E$9*$G$9^MIN((A189-$F$9)/12,6)*MIN($G$9,0.85)^MAX(0,(A189-$F$9)/12-6)))</f>
        <v/>
      </c>
      <c r="J189" s="306">
        <f>IF(A189&lt;$F$10,0,IF(AND($B$21=1,A189&gt;$B$19),0,$E$10*$G$10^MIN((A189-$F$10)/12,6)*MIN($G$10,0.85)^MAX(0,(A189-$F$10)/12-6)))</f>
        <v/>
      </c>
      <c r="K189" s="306">
        <f>IF(A189&lt;$F$11,0,IF(AND($B$21=1,A189&gt;$B$19),0,$E$11*$G$11^MIN((A189-$F$11)/12,6)*MIN($G$11,0.85)^MAX(0,(A189-$F$11)/12-6)))</f>
        <v/>
      </c>
      <c r="L189" s="306">
        <f>IF(A189&lt;$F$12,0,IF(AND($B$21=1,A189&gt;$B$19),0,$E$12*$G$12^MIN((A189-$F$12)/12,6)*MIN($G$12,0.85)^MAX(0,(A189-$F$12)/12-6)))</f>
        <v/>
      </c>
      <c r="M189" s="306">
        <f>IF(A189&lt;$F$13,0,IF(AND($B$21=1,A189&gt;$B$19),0,$E$13*$G$13^MIN((A189-$F$13)/12,6)*MIN($G$13,0.85)^MAX(0,(A189-$F$13)/12-6)))</f>
        <v/>
      </c>
      <c r="N189" s="306">
        <f>IF(A189&lt;$F$14,0,IF(AND($B$21=1,A189&gt;$B$19),0,$E$14*$G$14^MIN((A189-$F$14)/12,6)*MIN($G$14,0.85)^MAX(0,(A189-$F$14)/12-6)))</f>
        <v/>
      </c>
      <c r="O189" s="306">
        <f>SUM(F189:N189)</f>
        <v/>
      </c>
      <c r="P189" s="306">
        <f>O189/12</f>
        <v/>
      </c>
      <c r="Q189" s="306">
        <f>P189*$B$8</f>
        <v/>
      </c>
      <c r="R189" s="306">
        <f>P189*$B$9</f>
        <v/>
      </c>
      <c r="S189" s="306">
        <f>P189*$B$10</f>
        <v/>
      </c>
      <c r="T189" s="306">
        <f>P189-Q189-R189-S189-D189-E189</f>
        <v/>
      </c>
      <c r="U189" s="306">
        <f>MAX(0, T189 - $B$7*P189)</f>
        <v/>
      </c>
      <c r="V189" s="306">
        <f>T189-U189</f>
        <v/>
      </c>
      <c r="W189" s="306">
        <f>IF(A189=$F$6, $B$18*$B$16*$B$17/1000000, 0) + IF(A189=$F$7, $B$18*$B$16*$B$17/1000000, 0) + IF(A189=$F$8, $B$18*$B$16*$B$17/1000000, 0) + IF(A189=$F$9, $B$18*$B$16*$B$17/1000000, 0) + IF(A189=$F$10, $B$18*$B$16*$B$17/1000000, 0) + IF(A189=$F$11, $B$18*$B$16*$B$17/1000000, 0) + IF(A189=$F$12, $B$18*$B$16*$B$17/1000000, 0) + IF(A189=$F$13, $B$18*$B$16*$B$17/1000000, 0) + IF(A189=$F$14, $B$18*$B$16*$B$17/1000000, 0)</f>
        <v/>
      </c>
      <c r="X189" s="306">
        <f>V189-W189-C189</f>
        <v/>
      </c>
      <c r="Y189" s="306">
        <f>IF(AND(A189&lt;=$B$24, X189&gt;0), X189*$B$23, 0)</f>
        <v/>
      </c>
      <c r="Z189" s="306">
        <f>X189-Y189</f>
        <v/>
      </c>
      <c r="AA189" s="306">
        <f>IF(AND(A189=$B$19, $B$21=1), O189*$B$20, 0)</f>
        <v/>
      </c>
      <c r="AB189" s="306">
        <f>AB188+Z189+AA189</f>
        <v/>
      </c>
    </row>
    <row r="190">
      <c r="A190" s="306" t="n">
        <v>160</v>
      </c>
      <c r="B190" s="306">
        <f>CEILING(A190/12,1)</f>
        <v/>
      </c>
      <c r="C190" s="306">
        <f>IF(A190&lt;=12, $B$15/12, 0)</f>
        <v/>
      </c>
      <c r="D190" s="306">
        <f>INDEX('26. Team Comp'!$D$28:$R$28, B190) * 0.001 / 12</f>
        <v/>
      </c>
      <c r="E190" s="306">
        <f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+ (IF(MAX(0, A190 - $F$11 + 1)&lt;=0, 0, IF(MAX(0, A190 - $F$11 + 1)&lt;=6, 70 - (70-14)*(MAX(0, A190 - $F$11 + 1)-1)/5, IF(MAX(0, A190 - $F$11 + 1)&lt;=24, 14 - 14*(MAX(0, A190 - $F$11 + 1)-6)/18, 0)))) + (IF(MAX(0, A190 - $F$12 + 1)&lt;=0, 0, IF(MAX(0, A190 - $F$12 + 1)&lt;=6, 70 - (70-14)*(MAX(0, A190 - $F$12 + 1)-1)/5, IF(MAX(0, A190 - $F$12 + 1)&lt;=24, 14 - 14*(MAX(0, A190 - $F$12 + 1)-6)/18, 0)))) + (IF(MAX(0, A190 - $F$13 + 1)&lt;=0, 0, IF(MAX(0, A190 - $F$13 + 1)&lt;=6, 70 - (70-14)*(MAX(0, A190 - $F$13 + 1)-1)/5, IF(MAX(0, A190 - $F$13 + 1)&lt;=24, 14 - 14*(MAX(0, A190 - $F$13 + 1)-6)/18, 0)))) + (IF(MAX(0, A190 - $F$14 + 1)&lt;=0, 0, IF(MAX(0, A190 - $F$14 + 1)&lt;=6, 70 - (70-14)*(MAX(0, A190 - $F$14 + 1)-1)/5, IF(MAX(0, A190 - $F$14 + 1)&lt;=24, 14 - 14*(MAX(0, A190 - $F$14 + 1)-6)/18, 0)))) ) * 200 / 12 / 1000</f>
        <v/>
      </c>
      <c r="F190" s="306">
        <f>IF(A190&lt;$F$6,0,IF(AND($B$21=1,A190&gt;$B$19),0,$E$6*$G$6^MIN((A190-$F$6)/12,6)*MIN($G$6,0.85)^MAX(0,(A190-$F$6)/12-6)))</f>
        <v/>
      </c>
      <c r="G190" s="306">
        <f>IF(A190&lt;$F$7,0,IF(AND($B$21=1,A190&gt;$B$19),0,$E$7*$G$7^MIN((A190-$F$7)/12,6)*MIN($G$7,0.85)^MAX(0,(A190-$F$7)/12-6)))</f>
        <v/>
      </c>
      <c r="H190" s="306">
        <f>IF(A190&lt;$F$8,0,IF(AND($B$21=1,A190&gt;$B$19),0,$E$8*$G$8^MIN((A190-$F$8)/12,6)*MIN($G$8,0.85)^MAX(0,(A190-$F$8)/12-6)))</f>
        <v/>
      </c>
      <c r="I190" s="306">
        <f>IF(A190&lt;$F$9,0,IF(AND($B$21=1,A190&gt;$B$19),0,$E$9*$G$9^MIN((A190-$F$9)/12,6)*MIN($G$9,0.85)^MAX(0,(A190-$F$9)/12-6)))</f>
        <v/>
      </c>
      <c r="J190" s="306">
        <f>IF(A190&lt;$F$10,0,IF(AND($B$21=1,A190&gt;$B$19),0,$E$10*$G$10^MIN((A190-$F$10)/12,6)*MIN($G$10,0.85)^MAX(0,(A190-$F$10)/12-6)))</f>
        <v/>
      </c>
      <c r="K190" s="306">
        <f>IF(A190&lt;$F$11,0,IF(AND($B$21=1,A190&gt;$B$19),0,$E$11*$G$11^MIN((A190-$F$11)/12,6)*MIN($G$11,0.85)^MAX(0,(A190-$F$11)/12-6)))</f>
        <v/>
      </c>
      <c r="L190" s="306">
        <f>IF(A190&lt;$F$12,0,IF(AND($B$21=1,A190&gt;$B$19),0,$E$12*$G$12^MIN((A190-$F$12)/12,6)*MIN($G$12,0.85)^MAX(0,(A190-$F$12)/12-6)))</f>
        <v/>
      </c>
      <c r="M190" s="306">
        <f>IF(A190&lt;$F$13,0,IF(AND($B$21=1,A190&gt;$B$19),0,$E$13*$G$13^MIN((A190-$F$13)/12,6)*MIN($G$13,0.85)^MAX(0,(A190-$F$13)/12-6)))</f>
        <v/>
      </c>
      <c r="N190" s="306">
        <f>IF(A190&lt;$F$14,0,IF(AND($B$21=1,A190&gt;$B$19),0,$E$14*$G$14^MIN((A190-$F$14)/12,6)*MIN($G$14,0.85)^MAX(0,(A190-$F$14)/12-6)))</f>
        <v/>
      </c>
      <c r="O190" s="306">
        <f>SUM(F190:N190)</f>
        <v/>
      </c>
      <c r="P190" s="306">
        <f>O190/12</f>
        <v/>
      </c>
      <c r="Q190" s="306">
        <f>P190*$B$8</f>
        <v/>
      </c>
      <c r="R190" s="306">
        <f>P190*$B$9</f>
        <v/>
      </c>
      <c r="S190" s="306">
        <f>P190*$B$10</f>
        <v/>
      </c>
      <c r="T190" s="306">
        <f>P190-Q190-R190-S190-D190-E190</f>
        <v/>
      </c>
      <c r="U190" s="306">
        <f>MAX(0, T190 - $B$7*P190)</f>
        <v/>
      </c>
      <c r="V190" s="306">
        <f>T190-U190</f>
        <v/>
      </c>
      <c r="W190" s="306">
        <f>IF(A190=$F$6, $B$18*$B$16*$B$17/1000000, 0) + IF(A190=$F$7, $B$18*$B$16*$B$17/1000000, 0) + IF(A190=$F$8, $B$18*$B$16*$B$17/1000000, 0) + IF(A190=$F$9, $B$18*$B$16*$B$17/1000000, 0) + IF(A190=$F$10, $B$18*$B$16*$B$17/1000000, 0) + IF(A190=$F$11, $B$18*$B$16*$B$17/1000000, 0) + IF(A190=$F$12, $B$18*$B$16*$B$17/1000000, 0) + IF(A190=$F$13, $B$18*$B$16*$B$17/1000000, 0) + IF(A190=$F$14, $B$18*$B$16*$B$17/1000000, 0)</f>
        <v/>
      </c>
      <c r="X190" s="306">
        <f>V190-W190-C190</f>
        <v/>
      </c>
      <c r="Y190" s="306">
        <f>IF(AND(A190&lt;=$B$24, X190&gt;0), X190*$B$23, 0)</f>
        <v/>
      </c>
      <c r="Z190" s="306">
        <f>X190-Y190</f>
        <v/>
      </c>
      <c r="AA190" s="306">
        <f>IF(AND(A190=$B$19, $B$21=1), O190*$B$20, 0)</f>
        <v/>
      </c>
      <c r="AB190" s="306">
        <f>AB189+Z190+AA190</f>
        <v/>
      </c>
    </row>
    <row r="191">
      <c r="A191" s="306" t="n">
        <v>161</v>
      </c>
      <c r="B191" s="306">
        <f>CEILING(A191/12,1)</f>
        <v/>
      </c>
      <c r="C191" s="306">
        <f>IF(A191&lt;=12, $B$15/12, 0)</f>
        <v/>
      </c>
      <c r="D191" s="306">
        <f>INDEX('26. Team Comp'!$D$28:$R$28, B191) * 0.001 / 12</f>
        <v/>
      </c>
      <c r="E191" s="306">
        <f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+ (IF(MAX(0, A191 - $F$11 + 1)&lt;=0, 0, IF(MAX(0, A191 - $F$11 + 1)&lt;=6, 70 - (70-14)*(MAX(0, A191 - $F$11 + 1)-1)/5, IF(MAX(0, A191 - $F$11 + 1)&lt;=24, 14 - 14*(MAX(0, A191 - $F$11 + 1)-6)/18, 0)))) + (IF(MAX(0, A191 - $F$12 + 1)&lt;=0, 0, IF(MAX(0, A191 - $F$12 + 1)&lt;=6, 70 - (70-14)*(MAX(0, A191 - $F$12 + 1)-1)/5, IF(MAX(0, A191 - $F$12 + 1)&lt;=24, 14 - 14*(MAX(0, A191 - $F$12 + 1)-6)/18, 0)))) + (IF(MAX(0, A191 - $F$13 + 1)&lt;=0, 0, IF(MAX(0, A191 - $F$13 + 1)&lt;=6, 70 - (70-14)*(MAX(0, A191 - $F$13 + 1)-1)/5, IF(MAX(0, A191 - $F$13 + 1)&lt;=24, 14 - 14*(MAX(0, A191 - $F$13 + 1)-6)/18, 0)))) + (IF(MAX(0, A191 - $F$14 + 1)&lt;=0, 0, IF(MAX(0, A191 - $F$14 + 1)&lt;=6, 70 - (70-14)*(MAX(0, A191 - $F$14 + 1)-1)/5, IF(MAX(0, A191 - $F$14 + 1)&lt;=24, 14 - 14*(MAX(0, A191 - $F$14 + 1)-6)/18, 0)))) ) * 200 / 12 / 1000</f>
        <v/>
      </c>
      <c r="F191" s="306">
        <f>IF(A191&lt;$F$6,0,IF(AND($B$21=1,A191&gt;$B$19),0,$E$6*$G$6^MIN((A191-$F$6)/12,6)*MIN($G$6,0.85)^MAX(0,(A191-$F$6)/12-6)))</f>
        <v/>
      </c>
      <c r="G191" s="306">
        <f>IF(A191&lt;$F$7,0,IF(AND($B$21=1,A191&gt;$B$19),0,$E$7*$G$7^MIN((A191-$F$7)/12,6)*MIN($G$7,0.85)^MAX(0,(A191-$F$7)/12-6)))</f>
        <v/>
      </c>
      <c r="H191" s="306">
        <f>IF(A191&lt;$F$8,0,IF(AND($B$21=1,A191&gt;$B$19),0,$E$8*$G$8^MIN((A191-$F$8)/12,6)*MIN($G$8,0.85)^MAX(0,(A191-$F$8)/12-6)))</f>
        <v/>
      </c>
      <c r="I191" s="306">
        <f>IF(A191&lt;$F$9,0,IF(AND($B$21=1,A191&gt;$B$19),0,$E$9*$G$9^MIN((A191-$F$9)/12,6)*MIN($G$9,0.85)^MAX(0,(A191-$F$9)/12-6)))</f>
        <v/>
      </c>
      <c r="J191" s="306">
        <f>IF(A191&lt;$F$10,0,IF(AND($B$21=1,A191&gt;$B$19),0,$E$10*$G$10^MIN((A191-$F$10)/12,6)*MIN($G$10,0.85)^MAX(0,(A191-$F$10)/12-6)))</f>
        <v/>
      </c>
      <c r="K191" s="306">
        <f>IF(A191&lt;$F$11,0,IF(AND($B$21=1,A191&gt;$B$19),0,$E$11*$G$11^MIN((A191-$F$11)/12,6)*MIN($G$11,0.85)^MAX(0,(A191-$F$11)/12-6)))</f>
        <v/>
      </c>
      <c r="L191" s="306">
        <f>IF(A191&lt;$F$12,0,IF(AND($B$21=1,A191&gt;$B$19),0,$E$12*$G$12^MIN((A191-$F$12)/12,6)*MIN($G$12,0.85)^MAX(0,(A191-$F$12)/12-6)))</f>
        <v/>
      </c>
      <c r="M191" s="306">
        <f>IF(A191&lt;$F$13,0,IF(AND($B$21=1,A191&gt;$B$19),0,$E$13*$G$13^MIN((A191-$F$13)/12,6)*MIN($G$13,0.85)^MAX(0,(A191-$F$13)/12-6)))</f>
        <v/>
      </c>
      <c r="N191" s="306">
        <f>IF(A191&lt;$F$14,0,IF(AND($B$21=1,A191&gt;$B$19),0,$E$14*$G$14^MIN((A191-$F$14)/12,6)*MIN($G$14,0.85)^MAX(0,(A191-$F$14)/12-6)))</f>
        <v/>
      </c>
      <c r="O191" s="306">
        <f>SUM(F191:N191)</f>
        <v/>
      </c>
      <c r="P191" s="306">
        <f>O191/12</f>
        <v/>
      </c>
      <c r="Q191" s="306">
        <f>P191*$B$8</f>
        <v/>
      </c>
      <c r="R191" s="306">
        <f>P191*$B$9</f>
        <v/>
      </c>
      <c r="S191" s="306">
        <f>P191*$B$10</f>
        <v/>
      </c>
      <c r="T191" s="306">
        <f>P191-Q191-R191-S191-D191-E191</f>
        <v/>
      </c>
      <c r="U191" s="306">
        <f>MAX(0, T191 - $B$7*P191)</f>
        <v/>
      </c>
      <c r="V191" s="306">
        <f>T191-U191</f>
        <v/>
      </c>
      <c r="W191" s="306">
        <f>IF(A191=$F$6, $B$18*$B$16*$B$17/1000000, 0) + IF(A191=$F$7, $B$18*$B$16*$B$17/1000000, 0) + IF(A191=$F$8, $B$18*$B$16*$B$17/1000000, 0) + IF(A191=$F$9, $B$18*$B$16*$B$17/1000000, 0) + IF(A191=$F$10, $B$18*$B$16*$B$17/1000000, 0) + IF(A191=$F$11, $B$18*$B$16*$B$17/1000000, 0) + IF(A191=$F$12, $B$18*$B$16*$B$17/1000000, 0) + IF(A191=$F$13, $B$18*$B$16*$B$17/1000000, 0) + IF(A191=$F$14, $B$18*$B$16*$B$17/1000000, 0)</f>
        <v/>
      </c>
      <c r="X191" s="306">
        <f>V191-W191-C191</f>
        <v/>
      </c>
      <c r="Y191" s="306">
        <f>IF(AND(A191&lt;=$B$24, X191&gt;0), X191*$B$23, 0)</f>
        <v/>
      </c>
      <c r="Z191" s="306">
        <f>X191-Y191</f>
        <v/>
      </c>
      <c r="AA191" s="306">
        <f>IF(AND(A191=$B$19, $B$21=1), O191*$B$20, 0)</f>
        <v/>
      </c>
      <c r="AB191" s="306">
        <f>AB190+Z191+AA191</f>
        <v/>
      </c>
    </row>
    <row r="192">
      <c r="A192" s="306" t="n">
        <v>162</v>
      </c>
      <c r="B192" s="306">
        <f>CEILING(A192/12,1)</f>
        <v/>
      </c>
      <c r="C192" s="306">
        <f>IF(A192&lt;=12, $B$15/12, 0)</f>
        <v/>
      </c>
      <c r="D192" s="306">
        <f>INDEX('26. Team Comp'!$D$28:$R$28, B192) * 0.001 / 12</f>
        <v/>
      </c>
      <c r="E192" s="306">
        <f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+ (IF(MAX(0, A192 - $F$11 + 1)&lt;=0, 0, IF(MAX(0, A192 - $F$11 + 1)&lt;=6, 70 - (70-14)*(MAX(0, A192 - $F$11 + 1)-1)/5, IF(MAX(0, A192 - $F$11 + 1)&lt;=24, 14 - 14*(MAX(0, A192 - $F$11 + 1)-6)/18, 0)))) + (IF(MAX(0, A192 - $F$12 + 1)&lt;=0, 0, IF(MAX(0, A192 - $F$12 + 1)&lt;=6, 70 - (70-14)*(MAX(0, A192 - $F$12 + 1)-1)/5, IF(MAX(0, A192 - $F$12 + 1)&lt;=24, 14 - 14*(MAX(0, A192 - $F$12 + 1)-6)/18, 0)))) + (IF(MAX(0, A192 - $F$13 + 1)&lt;=0, 0, IF(MAX(0, A192 - $F$13 + 1)&lt;=6, 70 - (70-14)*(MAX(0, A192 - $F$13 + 1)-1)/5, IF(MAX(0, A192 - $F$13 + 1)&lt;=24, 14 - 14*(MAX(0, A192 - $F$13 + 1)-6)/18, 0)))) + (IF(MAX(0, A192 - $F$14 + 1)&lt;=0, 0, IF(MAX(0, A192 - $F$14 + 1)&lt;=6, 70 - (70-14)*(MAX(0, A192 - $F$14 + 1)-1)/5, IF(MAX(0, A192 - $F$14 + 1)&lt;=24, 14 - 14*(MAX(0, A192 - $F$14 + 1)-6)/18, 0)))) ) * 200 / 12 / 1000</f>
        <v/>
      </c>
      <c r="F192" s="306">
        <f>IF(A192&lt;$F$6,0,IF(AND($B$21=1,A192&gt;$B$19),0,$E$6*$G$6^MIN((A192-$F$6)/12,6)*MIN($G$6,0.85)^MAX(0,(A192-$F$6)/12-6)))</f>
        <v/>
      </c>
      <c r="G192" s="306">
        <f>IF(A192&lt;$F$7,0,IF(AND($B$21=1,A192&gt;$B$19),0,$E$7*$G$7^MIN((A192-$F$7)/12,6)*MIN($G$7,0.85)^MAX(0,(A192-$F$7)/12-6)))</f>
        <v/>
      </c>
      <c r="H192" s="306">
        <f>IF(A192&lt;$F$8,0,IF(AND($B$21=1,A192&gt;$B$19),0,$E$8*$G$8^MIN((A192-$F$8)/12,6)*MIN($G$8,0.85)^MAX(0,(A192-$F$8)/12-6)))</f>
        <v/>
      </c>
      <c r="I192" s="306">
        <f>IF(A192&lt;$F$9,0,IF(AND($B$21=1,A192&gt;$B$19),0,$E$9*$G$9^MIN((A192-$F$9)/12,6)*MIN($G$9,0.85)^MAX(0,(A192-$F$9)/12-6)))</f>
        <v/>
      </c>
      <c r="J192" s="306">
        <f>IF(A192&lt;$F$10,0,IF(AND($B$21=1,A192&gt;$B$19),0,$E$10*$G$10^MIN((A192-$F$10)/12,6)*MIN($G$10,0.85)^MAX(0,(A192-$F$10)/12-6)))</f>
        <v/>
      </c>
      <c r="K192" s="306">
        <f>IF(A192&lt;$F$11,0,IF(AND($B$21=1,A192&gt;$B$19),0,$E$11*$G$11^MIN((A192-$F$11)/12,6)*MIN($G$11,0.85)^MAX(0,(A192-$F$11)/12-6)))</f>
        <v/>
      </c>
      <c r="L192" s="306">
        <f>IF(A192&lt;$F$12,0,IF(AND($B$21=1,A192&gt;$B$19),0,$E$12*$G$12^MIN((A192-$F$12)/12,6)*MIN($G$12,0.85)^MAX(0,(A192-$F$12)/12-6)))</f>
        <v/>
      </c>
      <c r="M192" s="306">
        <f>IF(A192&lt;$F$13,0,IF(AND($B$21=1,A192&gt;$B$19),0,$E$13*$G$13^MIN((A192-$F$13)/12,6)*MIN($G$13,0.85)^MAX(0,(A192-$F$13)/12-6)))</f>
        <v/>
      </c>
      <c r="N192" s="306">
        <f>IF(A192&lt;$F$14,0,IF(AND($B$21=1,A192&gt;$B$19),0,$E$14*$G$14^MIN((A192-$F$14)/12,6)*MIN($G$14,0.85)^MAX(0,(A192-$F$14)/12-6)))</f>
        <v/>
      </c>
      <c r="O192" s="306">
        <f>SUM(F192:N192)</f>
        <v/>
      </c>
      <c r="P192" s="306">
        <f>O192/12</f>
        <v/>
      </c>
      <c r="Q192" s="306">
        <f>P192*$B$8</f>
        <v/>
      </c>
      <c r="R192" s="306">
        <f>P192*$B$9</f>
        <v/>
      </c>
      <c r="S192" s="306">
        <f>P192*$B$10</f>
        <v/>
      </c>
      <c r="T192" s="306">
        <f>P192-Q192-R192-S192-D192-E192</f>
        <v/>
      </c>
      <c r="U192" s="306">
        <f>MAX(0, T192 - $B$7*P192)</f>
        <v/>
      </c>
      <c r="V192" s="306">
        <f>T192-U192</f>
        <v/>
      </c>
      <c r="W192" s="306">
        <f>IF(A192=$F$6, $B$18*$B$16*$B$17/1000000, 0) + IF(A192=$F$7, $B$18*$B$16*$B$17/1000000, 0) + IF(A192=$F$8, $B$18*$B$16*$B$17/1000000, 0) + IF(A192=$F$9, $B$18*$B$16*$B$17/1000000, 0) + IF(A192=$F$10, $B$18*$B$16*$B$17/1000000, 0) + IF(A192=$F$11, $B$18*$B$16*$B$17/1000000, 0) + IF(A192=$F$12, $B$18*$B$16*$B$17/1000000, 0) + IF(A192=$F$13, $B$18*$B$16*$B$17/1000000, 0) + IF(A192=$F$14, $B$18*$B$16*$B$17/1000000, 0)</f>
        <v/>
      </c>
      <c r="X192" s="306">
        <f>V192-W192-C192</f>
        <v/>
      </c>
      <c r="Y192" s="306">
        <f>IF(AND(A192&lt;=$B$24, X192&gt;0), X192*$B$23, 0)</f>
        <v/>
      </c>
      <c r="Z192" s="306">
        <f>X192-Y192</f>
        <v/>
      </c>
      <c r="AA192" s="306">
        <f>IF(AND(A192=$B$19, $B$21=1), O192*$B$20, 0)</f>
        <v/>
      </c>
      <c r="AB192" s="306">
        <f>AB191+Z192+AA192</f>
        <v/>
      </c>
    </row>
    <row r="193">
      <c r="A193" s="306" t="n">
        <v>163</v>
      </c>
      <c r="B193" s="306">
        <f>CEILING(A193/12,1)</f>
        <v/>
      </c>
      <c r="C193" s="306">
        <f>IF(A193&lt;=12, $B$15/12, 0)</f>
        <v/>
      </c>
      <c r="D193" s="306">
        <f>INDEX('26. Team Comp'!$D$28:$R$28, B193) * 0.001 / 12</f>
        <v/>
      </c>
      <c r="E193" s="306">
        <f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+ (IF(MAX(0, A193 - $F$11 + 1)&lt;=0, 0, IF(MAX(0, A193 - $F$11 + 1)&lt;=6, 70 - (70-14)*(MAX(0, A193 - $F$11 + 1)-1)/5, IF(MAX(0, A193 - $F$11 + 1)&lt;=24, 14 - 14*(MAX(0, A193 - $F$11 + 1)-6)/18, 0)))) + (IF(MAX(0, A193 - $F$12 + 1)&lt;=0, 0, IF(MAX(0, A193 - $F$12 + 1)&lt;=6, 70 - (70-14)*(MAX(0, A193 - $F$12 + 1)-1)/5, IF(MAX(0, A193 - $F$12 + 1)&lt;=24, 14 - 14*(MAX(0, A193 - $F$12 + 1)-6)/18, 0)))) + (IF(MAX(0, A193 - $F$13 + 1)&lt;=0, 0, IF(MAX(0, A193 - $F$13 + 1)&lt;=6, 70 - (70-14)*(MAX(0, A193 - $F$13 + 1)-1)/5, IF(MAX(0, A193 - $F$13 + 1)&lt;=24, 14 - 14*(MAX(0, A193 - $F$13 + 1)-6)/18, 0)))) + (IF(MAX(0, A193 - $F$14 + 1)&lt;=0, 0, IF(MAX(0, A193 - $F$14 + 1)&lt;=6, 70 - (70-14)*(MAX(0, A193 - $F$14 + 1)-1)/5, IF(MAX(0, A193 - $F$14 + 1)&lt;=24, 14 - 14*(MAX(0, A193 - $F$14 + 1)-6)/18, 0)))) ) * 200 / 12 / 1000</f>
        <v/>
      </c>
      <c r="F193" s="306">
        <f>IF(A193&lt;$F$6,0,IF(AND($B$21=1,A193&gt;$B$19),0,$E$6*$G$6^MIN((A193-$F$6)/12,6)*MIN($G$6,0.85)^MAX(0,(A193-$F$6)/12-6)))</f>
        <v/>
      </c>
      <c r="G193" s="306">
        <f>IF(A193&lt;$F$7,0,IF(AND($B$21=1,A193&gt;$B$19),0,$E$7*$G$7^MIN((A193-$F$7)/12,6)*MIN($G$7,0.85)^MAX(0,(A193-$F$7)/12-6)))</f>
        <v/>
      </c>
      <c r="H193" s="306">
        <f>IF(A193&lt;$F$8,0,IF(AND($B$21=1,A193&gt;$B$19),0,$E$8*$G$8^MIN((A193-$F$8)/12,6)*MIN($G$8,0.85)^MAX(0,(A193-$F$8)/12-6)))</f>
        <v/>
      </c>
      <c r="I193" s="306">
        <f>IF(A193&lt;$F$9,0,IF(AND($B$21=1,A193&gt;$B$19),0,$E$9*$G$9^MIN((A193-$F$9)/12,6)*MIN($G$9,0.85)^MAX(0,(A193-$F$9)/12-6)))</f>
        <v/>
      </c>
      <c r="J193" s="306">
        <f>IF(A193&lt;$F$10,0,IF(AND($B$21=1,A193&gt;$B$19),0,$E$10*$G$10^MIN((A193-$F$10)/12,6)*MIN($G$10,0.85)^MAX(0,(A193-$F$10)/12-6)))</f>
        <v/>
      </c>
      <c r="K193" s="306">
        <f>IF(A193&lt;$F$11,0,IF(AND($B$21=1,A193&gt;$B$19),0,$E$11*$G$11^MIN((A193-$F$11)/12,6)*MIN($G$11,0.85)^MAX(0,(A193-$F$11)/12-6)))</f>
        <v/>
      </c>
      <c r="L193" s="306">
        <f>IF(A193&lt;$F$12,0,IF(AND($B$21=1,A193&gt;$B$19),0,$E$12*$G$12^MIN((A193-$F$12)/12,6)*MIN($G$12,0.85)^MAX(0,(A193-$F$12)/12-6)))</f>
        <v/>
      </c>
      <c r="M193" s="306">
        <f>IF(A193&lt;$F$13,0,IF(AND($B$21=1,A193&gt;$B$19),0,$E$13*$G$13^MIN((A193-$F$13)/12,6)*MIN($G$13,0.85)^MAX(0,(A193-$F$13)/12-6)))</f>
        <v/>
      </c>
      <c r="N193" s="306">
        <f>IF(A193&lt;$F$14,0,IF(AND($B$21=1,A193&gt;$B$19),0,$E$14*$G$14^MIN((A193-$F$14)/12,6)*MIN($G$14,0.85)^MAX(0,(A193-$F$14)/12-6)))</f>
        <v/>
      </c>
      <c r="O193" s="306">
        <f>SUM(F193:N193)</f>
        <v/>
      </c>
      <c r="P193" s="306">
        <f>O193/12</f>
        <v/>
      </c>
      <c r="Q193" s="306">
        <f>P193*$B$8</f>
        <v/>
      </c>
      <c r="R193" s="306">
        <f>P193*$B$9</f>
        <v/>
      </c>
      <c r="S193" s="306">
        <f>P193*$B$10</f>
        <v/>
      </c>
      <c r="T193" s="306">
        <f>P193-Q193-R193-S193-D193-E193</f>
        <v/>
      </c>
      <c r="U193" s="306">
        <f>MAX(0, T193 - $B$7*P193)</f>
        <v/>
      </c>
      <c r="V193" s="306">
        <f>T193-U193</f>
        <v/>
      </c>
      <c r="W193" s="306">
        <f>IF(A193=$F$6, $B$18*$B$16*$B$17/1000000, 0) + IF(A193=$F$7, $B$18*$B$16*$B$17/1000000, 0) + IF(A193=$F$8, $B$18*$B$16*$B$17/1000000, 0) + IF(A193=$F$9, $B$18*$B$16*$B$17/1000000, 0) + IF(A193=$F$10, $B$18*$B$16*$B$17/1000000, 0) + IF(A193=$F$11, $B$18*$B$16*$B$17/1000000, 0) + IF(A193=$F$12, $B$18*$B$16*$B$17/1000000, 0) + IF(A193=$F$13, $B$18*$B$16*$B$17/1000000, 0) + IF(A193=$F$14, $B$18*$B$16*$B$17/1000000, 0)</f>
        <v/>
      </c>
      <c r="X193" s="306">
        <f>V193-W193-C193</f>
        <v/>
      </c>
      <c r="Y193" s="306">
        <f>IF(AND(A193&lt;=$B$24, X193&gt;0), X193*$B$23, 0)</f>
        <v/>
      </c>
      <c r="Z193" s="306">
        <f>X193-Y193</f>
        <v/>
      </c>
      <c r="AA193" s="306">
        <f>IF(AND(A193=$B$19, $B$21=1), O193*$B$20, 0)</f>
        <v/>
      </c>
      <c r="AB193" s="306">
        <f>AB192+Z193+AA193</f>
        <v/>
      </c>
    </row>
    <row r="194">
      <c r="A194" s="306" t="n">
        <v>164</v>
      </c>
      <c r="B194" s="306">
        <f>CEILING(A194/12,1)</f>
        <v/>
      </c>
      <c r="C194" s="306">
        <f>IF(A194&lt;=12, $B$15/12, 0)</f>
        <v/>
      </c>
      <c r="D194" s="306">
        <f>INDEX('26. Team Comp'!$D$28:$R$28, B194) * 0.001 / 12</f>
        <v/>
      </c>
      <c r="E194" s="306">
        <f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+ (IF(MAX(0, A194 - $F$11 + 1)&lt;=0, 0, IF(MAX(0, A194 - $F$11 + 1)&lt;=6, 70 - (70-14)*(MAX(0, A194 - $F$11 + 1)-1)/5, IF(MAX(0, A194 - $F$11 + 1)&lt;=24, 14 - 14*(MAX(0, A194 - $F$11 + 1)-6)/18, 0)))) + (IF(MAX(0, A194 - $F$12 + 1)&lt;=0, 0, IF(MAX(0, A194 - $F$12 + 1)&lt;=6, 70 - (70-14)*(MAX(0, A194 - $F$12 + 1)-1)/5, IF(MAX(0, A194 - $F$12 + 1)&lt;=24, 14 - 14*(MAX(0, A194 - $F$12 + 1)-6)/18, 0)))) + (IF(MAX(0, A194 - $F$13 + 1)&lt;=0, 0, IF(MAX(0, A194 - $F$13 + 1)&lt;=6, 70 - (70-14)*(MAX(0, A194 - $F$13 + 1)-1)/5, IF(MAX(0, A194 - $F$13 + 1)&lt;=24, 14 - 14*(MAX(0, A194 - $F$13 + 1)-6)/18, 0)))) + (IF(MAX(0, A194 - $F$14 + 1)&lt;=0, 0, IF(MAX(0, A194 - $F$14 + 1)&lt;=6, 70 - (70-14)*(MAX(0, A194 - $F$14 + 1)-1)/5, IF(MAX(0, A194 - $F$14 + 1)&lt;=24, 14 - 14*(MAX(0, A194 - $F$14 + 1)-6)/18, 0)))) ) * 200 / 12 / 1000</f>
        <v/>
      </c>
      <c r="F194" s="306">
        <f>IF(A194&lt;$F$6,0,IF(AND($B$21=1,A194&gt;$B$19),0,$E$6*$G$6^MIN((A194-$F$6)/12,6)*MIN($G$6,0.85)^MAX(0,(A194-$F$6)/12-6)))</f>
        <v/>
      </c>
      <c r="G194" s="306">
        <f>IF(A194&lt;$F$7,0,IF(AND($B$21=1,A194&gt;$B$19),0,$E$7*$G$7^MIN((A194-$F$7)/12,6)*MIN($G$7,0.85)^MAX(0,(A194-$F$7)/12-6)))</f>
        <v/>
      </c>
      <c r="H194" s="306">
        <f>IF(A194&lt;$F$8,0,IF(AND($B$21=1,A194&gt;$B$19),0,$E$8*$G$8^MIN((A194-$F$8)/12,6)*MIN($G$8,0.85)^MAX(0,(A194-$F$8)/12-6)))</f>
        <v/>
      </c>
      <c r="I194" s="306">
        <f>IF(A194&lt;$F$9,0,IF(AND($B$21=1,A194&gt;$B$19),0,$E$9*$G$9^MIN((A194-$F$9)/12,6)*MIN($G$9,0.85)^MAX(0,(A194-$F$9)/12-6)))</f>
        <v/>
      </c>
      <c r="J194" s="306">
        <f>IF(A194&lt;$F$10,0,IF(AND($B$21=1,A194&gt;$B$19),0,$E$10*$G$10^MIN((A194-$F$10)/12,6)*MIN($G$10,0.85)^MAX(0,(A194-$F$10)/12-6)))</f>
        <v/>
      </c>
      <c r="K194" s="306">
        <f>IF(A194&lt;$F$11,0,IF(AND($B$21=1,A194&gt;$B$19),0,$E$11*$G$11^MIN((A194-$F$11)/12,6)*MIN($G$11,0.85)^MAX(0,(A194-$F$11)/12-6)))</f>
        <v/>
      </c>
      <c r="L194" s="306">
        <f>IF(A194&lt;$F$12,0,IF(AND($B$21=1,A194&gt;$B$19),0,$E$12*$G$12^MIN((A194-$F$12)/12,6)*MIN($G$12,0.85)^MAX(0,(A194-$F$12)/12-6)))</f>
        <v/>
      </c>
      <c r="M194" s="306">
        <f>IF(A194&lt;$F$13,0,IF(AND($B$21=1,A194&gt;$B$19),0,$E$13*$G$13^MIN((A194-$F$13)/12,6)*MIN($G$13,0.85)^MAX(0,(A194-$F$13)/12-6)))</f>
        <v/>
      </c>
      <c r="N194" s="306">
        <f>IF(A194&lt;$F$14,0,IF(AND($B$21=1,A194&gt;$B$19),0,$E$14*$G$14^MIN((A194-$F$14)/12,6)*MIN($G$14,0.85)^MAX(0,(A194-$F$14)/12-6)))</f>
        <v/>
      </c>
      <c r="O194" s="306">
        <f>SUM(F194:N194)</f>
        <v/>
      </c>
      <c r="P194" s="306">
        <f>O194/12</f>
        <v/>
      </c>
      <c r="Q194" s="306">
        <f>P194*$B$8</f>
        <v/>
      </c>
      <c r="R194" s="306">
        <f>P194*$B$9</f>
        <v/>
      </c>
      <c r="S194" s="306">
        <f>P194*$B$10</f>
        <v/>
      </c>
      <c r="T194" s="306">
        <f>P194-Q194-R194-S194-D194-E194</f>
        <v/>
      </c>
      <c r="U194" s="306">
        <f>MAX(0, T194 - $B$7*P194)</f>
        <v/>
      </c>
      <c r="V194" s="306">
        <f>T194-U194</f>
        <v/>
      </c>
      <c r="W194" s="306">
        <f>IF(A194=$F$6, $B$18*$B$16*$B$17/1000000, 0) + IF(A194=$F$7, $B$18*$B$16*$B$17/1000000, 0) + IF(A194=$F$8, $B$18*$B$16*$B$17/1000000, 0) + IF(A194=$F$9, $B$18*$B$16*$B$17/1000000, 0) + IF(A194=$F$10, $B$18*$B$16*$B$17/1000000, 0) + IF(A194=$F$11, $B$18*$B$16*$B$17/1000000, 0) + IF(A194=$F$12, $B$18*$B$16*$B$17/1000000, 0) + IF(A194=$F$13, $B$18*$B$16*$B$17/1000000, 0) + IF(A194=$F$14, $B$18*$B$16*$B$17/1000000, 0)</f>
        <v/>
      </c>
      <c r="X194" s="306">
        <f>V194-W194-C194</f>
        <v/>
      </c>
      <c r="Y194" s="306">
        <f>IF(AND(A194&lt;=$B$24, X194&gt;0), X194*$B$23, 0)</f>
        <v/>
      </c>
      <c r="Z194" s="306">
        <f>X194-Y194</f>
        <v/>
      </c>
      <c r="AA194" s="306">
        <f>IF(AND(A194=$B$19, $B$21=1), O194*$B$20, 0)</f>
        <v/>
      </c>
      <c r="AB194" s="306">
        <f>AB193+Z194+AA194</f>
        <v/>
      </c>
    </row>
    <row r="195">
      <c r="A195" s="306" t="n">
        <v>165</v>
      </c>
      <c r="B195" s="306">
        <f>CEILING(A195/12,1)</f>
        <v/>
      </c>
      <c r="C195" s="306">
        <f>IF(A195&lt;=12, $B$15/12, 0)</f>
        <v/>
      </c>
      <c r="D195" s="306">
        <f>INDEX('26. Team Comp'!$D$28:$R$28, B195) * 0.001 / 12</f>
        <v/>
      </c>
      <c r="E195" s="306">
        <f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+ (IF(MAX(0, A195 - $F$11 + 1)&lt;=0, 0, IF(MAX(0, A195 - $F$11 + 1)&lt;=6, 70 - (70-14)*(MAX(0, A195 - $F$11 + 1)-1)/5, IF(MAX(0, A195 - $F$11 + 1)&lt;=24, 14 - 14*(MAX(0, A195 - $F$11 + 1)-6)/18, 0)))) + (IF(MAX(0, A195 - $F$12 + 1)&lt;=0, 0, IF(MAX(0, A195 - $F$12 + 1)&lt;=6, 70 - (70-14)*(MAX(0, A195 - $F$12 + 1)-1)/5, IF(MAX(0, A195 - $F$12 + 1)&lt;=24, 14 - 14*(MAX(0, A195 - $F$12 + 1)-6)/18, 0)))) + (IF(MAX(0, A195 - $F$13 + 1)&lt;=0, 0, IF(MAX(0, A195 - $F$13 + 1)&lt;=6, 70 - (70-14)*(MAX(0, A195 - $F$13 + 1)-1)/5, IF(MAX(0, A195 - $F$13 + 1)&lt;=24, 14 - 14*(MAX(0, A195 - $F$13 + 1)-6)/18, 0)))) + (IF(MAX(0, A195 - $F$14 + 1)&lt;=0, 0, IF(MAX(0, A195 - $F$14 + 1)&lt;=6, 70 - (70-14)*(MAX(0, A195 - $F$14 + 1)-1)/5, IF(MAX(0, A195 - $F$14 + 1)&lt;=24, 14 - 14*(MAX(0, A195 - $F$14 + 1)-6)/18, 0)))) ) * 200 / 12 / 1000</f>
        <v/>
      </c>
      <c r="F195" s="306">
        <f>IF(A195&lt;$F$6,0,IF(AND($B$21=1,A195&gt;$B$19),0,$E$6*$G$6^MIN((A195-$F$6)/12,6)*MIN($G$6,0.85)^MAX(0,(A195-$F$6)/12-6)))</f>
        <v/>
      </c>
      <c r="G195" s="306">
        <f>IF(A195&lt;$F$7,0,IF(AND($B$21=1,A195&gt;$B$19),0,$E$7*$G$7^MIN((A195-$F$7)/12,6)*MIN($G$7,0.85)^MAX(0,(A195-$F$7)/12-6)))</f>
        <v/>
      </c>
      <c r="H195" s="306">
        <f>IF(A195&lt;$F$8,0,IF(AND($B$21=1,A195&gt;$B$19),0,$E$8*$G$8^MIN((A195-$F$8)/12,6)*MIN($G$8,0.85)^MAX(0,(A195-$F$8)/12-6)))</f>
        <v/>
      </c>
      <c r="I195" s="306">
        <f>IF(A195&lt;$F$9,0,IF(AND($B$21=1,A195&gt;$B$19),0,$E$9*$G$9^MIN((A195-$F$9)/12,6)*MIN($G$9,0.85)^MAX(0,(A195-$F$9)/12-6)))</f>
        <v/>
      </c>
      <c r="J195" s="306">
        <f>IF(A195&lt;$F$10,0,IF(AND($B$21=1,A195&gt;$B$19),0,$E$10*$G$10^MIN((A195-$F$10)/12,6)*MIN($G$10,0.85)^MAX(0,(A195-$F$10)/12-6)))</f>
        <v/>
      </c>
      <c r="K195" s="306">
        <f>IF(A195&lt;$F$11,0,IF(AND($B$21=1,A195&gt;$B$19),0,$E$11*$G$11^MIN((A195-$F$11)/12,6)*MIN($G$11,0.85)^MAX(0,(A195-$F$11)/12-6)))</f>
        <v/>
      </c>
      <c r="L195" s="306">
        <f>IF(A195&lt;$F$12,0,IF(AND($B$21=1,A195&gt;$B$19),0,$E$12*$G$12^MIN((A195-$F$12)/12,6)*MIN($G$12,0.85)^MAX(0,(A195-$F$12)/12-6)))</f>
        <v/>
      </c>
      <c r="M195" s="306">
        <f>IF(A195&lt;$F$13,0,IF(AND($B$21=1,A195&gt;$B$19),0,$E$13*$G$13^MIN((A195-$F$13)/12,6)*MIN($G$13,0.85)^MAX(0,(A195-$F$13)/12-6)))</f>
        <v/>
      </c>
      <c r="N195" s="306">
        <f>IF(A195&lt;$F$14,0,IF(AND($B$21=1,A195&gt;$B$19),0,$E$14*$G$14^MIN((A195-$F$14)/12,6)*MIN($G$14,0.85)^MAX(0,(A195-$F$14)/12-6)))</f>
        <v/>
      </c>
      <c r="O195" s="306">
        <f>SUM(F195:N195)</f>
        <v/>
      </c>
      <c r="P195" s="306">
        <f>O195/12</f>
        <v/>
      </c>
      <c r="Q195" s="306">
        <f>P195*$B$8</f>
        <v/>
      </c>
      <c r="R195" s="306">
        <f>P195*$B$9</f>
        <v/>
      </c>
      <c r="S195" s="306">
        <f>P195*$B$10</f>
        <v/>
      </c>
      <c r="T195" s="306">
        <f>P195-Q195-R195-S195-D195-E195</f>
        <v/>
      </c>
      <c r="U195" s="306">
        <f>MAX(0, T195 - $B$7*P195)</f>
        <v/>
      </c>
      <c r="V195" s="306">
        <f>T195-U195</f>
        <v/>
      </c>
      <c r="W195" s="306">
        <f>IF(A195=$F$6, $B$18*$B$16*$B$17/1000000, 0) + IF(A195=$F$7, $B$18*$B$16*$B$17/1000000, 0) + IF(A195=$F$8, $B$18*$B$16*$B$17/1000000, 0) + IF(A195=$F$9, $B$18*$B$16*$B$17/1000000, 0) + IF(A195=$F$10, $B$18*$B$16*$B$17/1000000, 0) + IF(A195=$F$11, $B$18*$B$16*$B$17/1000000, 0) + IF(A195=$F$12, $B$18*$B$16*$B$17/1000000, 0) + IF(A195=$F$13, $B$18*$B$16*$B$17/1000000, 0) + IF(A195=$F$14, $B$18*$B$16*$B$17/1000000, 0)</f>
        <v/>
      </c>
      <c r="X195" s="306">
        <f>V195-W195-C195</f>
        <v/>
      </c>
      <c r="Y195" s="306">
        <f>IF(AND(A195&lt;=$B$24, X195&gt;0), X195*$B$23, 0)</f>
        <v/>
      </c>
      <c r="Z195" s="306">
        <f>X195-Y195</f>
        <v/>
      </c>
      <c r="AA195" s="306">
        <f>IF(AND(A195=$B$19, $B$21=1), O195*$B$20, 0)</f>
        <v/>
      </c>
      <c r="AB195" s="306">
        <f>AB194+Z195+AA195</f>
        <v/>
      </c>
    </row>
    <row r="196">
      <c r="A196" s="306" t="n">
        <v>166</v>
      </c>
      <c r="B196" s="306">
        <f>CEILING(A196/12,1)</f>
        <v/>
      </c>
      <c r="C196" s="306">
        <f>IF(A196&lt;=12, $B$15/12, 0)</f>
        <v/>
      </c>
      <c r="D196" s="306">
        <f>INDEX('26. Team Comp'!$D$28:$R$28, B196) * 0.001 / 12</f>
        <v/>
      </c>
      <c r="E196" s="306">
        <f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+ (IF(MAX(0, A196 - $F$11 + 1)&lt;=0, 0, IF(MAX(0, A196 - $F$11 + 1)&lt;=6, 70 - (70-14)*(MAX(0, A196 - $F$11 + 1)-1)/5, IF(MAX(0, A196 - $F$11 + 1)&lt;=24, 14 - 14*(MAX(0, A196 - $F$11 + 1)-6)/18, 0)))) + (IF(MAX(0, A196 - $F$12 + 1)&lt;=0, 0, IF(MAX(0, A196 - $F$12 + 1)&lt;=6, 70 - (70-14)*(MAX(0, A196 - $F$12 + 1)-1)/5, IF(MAX(0, A196 - $F$12 + 1)&lt;=24, 14 - 14*(MAX(0, A196 - $F$12 + 1)-6)/18, 0)))) + (IF(MAX(0, A196 - $F$13 + 1)&lt;=0, 0, IF(MAX(0, A196 - $F$13 + 1)&lt;=6, 70 - (70-14)*(MAX(0, A196 - $F$13 + 1)-1)/5, IF(MAX(0, A196 - $F$13 + 1)&lt;=24, 14 - 14*(MAX(0, A196 - $F$13 + 1)-6)/18, 0)))) + (IF(MAX(0, A196 - $F$14 + 1)&lt;=0, 0, IF(MAX(0, A196 - $F$14 + 1)&lt;=6, 70 - (70-14)*(MAX(0, A196 - $F$14 + 1)-1)/5, IF(MAX(0, A196 - $F$14 + 1)&lt;=24, 14 - 14*(MAX(0, A196 - $F$14 + 1)-6)/18, 0)))) ) * 200 / 12 / 1000</f>
        <v/>
      </c>
      <c r="F196" s="306">
        <f>IF(A196&lt;$F$6,0,IF(AND($B$21=1,A196&gt;$B$19),0,$E$6*$G$6^MIN((A196-$F$6)/12,6)*MIN($G$6,0.85)^MAX(0,(A196-$F$6)/12-6)))</f>
        <v/>
      </c>
      <c r="G196" s="306">
        <f>IF(A196&lt;$F$7,0,IF(AND($B$21=1,A196&gt;$B$19),0,$E$7*$G$7^MIN((A196-$F$7)/12,6)*MIN($G$7,0.85)^MAX(0,(A196-$F$7)/12-6)))</f>
        <v/>
      </c>
      <c r="H196" s="306">
        <f>IF(A196&lt;$F$8,0,IF(AND($B$21=1,A196&gt;$B$19),0,$E$8*$G$8^MIN((A196-$F$8)/12,6)*MIN($G$8,0.85)^MAX(0,(A196-$F$8)/12-6)))</f>
        <v/>
      </c>
      <c r="I196" s="306">
        <f>IF(A196&lt;$F$9,0,IF(AND($B$21=1,A196&gt;$B$19),0,$E$9*$G$9^MIN((A196-$F$9)/12,6)*MIN($G$9,0.85)^MAX(0,(A196-$F$9)/12-6)))</f>
        <v/>
      </c>
      <c r="J196" s="306">
        <f>IF(A196&lt;$F$10,0,IF(AND($B$21=1,A196&gt;$B$19),0,$E$10*$G$10^MIN((A196-$F$10)/12,6)*MIN($G$10,0.85)^MAX(0,(A196-$F$10)/12-6)))</f>
        <v/>
      </c>
      <c r="K196" s="306">
        <f>IF(A196&lt;$F$11,0,IF(AND($B$21=1,A196&gt;$B$19),0,$E$11*$G$11^MIN((A196-$F$11)/12,6)*MIN($G$11,0.85)^MAX(0,(A196-$F$11)/12-6)))</f>
        <v/>
      </c>
      <c r="L196" s="306">
        <f>IF(A196&lt;$F$12,0,IF(AND($B$21=1,A196&gt;$B$19),0,$E$12*$G$12^MIN((A196-$F$12)/12,6)*MIN($G$12,0.85)^MAX(0,(A196-$F$12)/12-6)))</f>
        <v/>
      </c>
      <c r="M196" s="306">
        <f>IF(A196&lt;$F$13,0,IF(AND($B$21=1,A196&gt;$B$19),0,$E$13*$G$13^MIN((A196-$F$13)/12,6)*MIN($G$13,0.85)^MAX(0,(A196-$F$13)/12-6)))</f>
        <v/>
      </c>
      <c r="N196" s="306">
        <f>IF(A196&lt;$F$14,0,IF(AND($B$21=1,A196&gt;$B$19),0,$E$14*$G$14^MIN((A196-$F$14)/12,6)*MIN($G$14,0.85)^MAX(0,(A196-$F$14)/12-6)))</f>
        <v/>
      </c>
      <c r="O196" s="306">
        <f>SUM(F196:N196)</f>
        <v/>
      </c>
      <c r="P196" s="306">
        <f>O196/12</f>
        <v/>
      </c>
      <c r="Q196" s="306">
        <f>P196*$B$8</f>
        <v/>
      </c>
      <c r="R196" s="306">
        <f>P196*$B$9</f>
        <v/>
      </c>
      <c r="S196" s="306">
        <f>P196*$B$10</f>
        <v/>
      </c>
      <c r="T196" s="306">
        <f>P196-Q196-R196-S196-D196-E196</f>
        <v/>
      </c>
      <c r="U196" s="306">
        <f>MAX(0, T196 - $B$7*P196)</f>
        <v/>
      </c>
      <c r="V196" s="306">
        <f>T196-U196</f>
        <v/>
      </c>
      <c r="W196" s="306">
        <f>IF(A196=$F$6, $B$18*$B$16*$B$17/1000000, 0) + IF(A196=$F$7, $B$18*$B$16*$B$17/1000000, 0) + IF(A196=$F$8, $B$18*$B$16*$B$17/1000000, 0) + IF(A196=$F$9, $B$18*$B$16*$B$17/1000000, 0) + IF(A196=$F$10, $B$18*$B$16*$B$17/1000000, 0) + IF(A196=$F$11, $B$18*$B$16*$B$17/1000000, 0) + IF(A196=$F$12, $B$18*$B$16*$B$17/1000000, 0) + IF(A196=$F$13, $B$18*$B$16*$B$17/1000000, 0) + IF(A196=$F$14, $B$18*$B$16*$B$17/1000000, 0)</f>
        <v/>
      </c>
      <c r="X196" s="306">
        <f>V196-W196-C196</f>
        <v/>
      </c>
      <c r="Y196" s="306">
        <f>IF(AND(A196&lt;=$B$24, X196&gt;0), X196*$B$23, 0)</f>
        <v/>
      </c>
      <c r="Z196" s="306">
        <f>X196-Y196</f>
        <v/>
      </c>
      <c r="AA196" s="306">
        <f>IF(AND(A196=$B$19, $B$21=1), O196*$B$20, 0)</f>
        <v/>
      </c>
      <c r="AB196" s="306">
        <f>AB195+Z196+AA196</f>
        <v/>
      </c>
    </row>
    <row r="197">
      <c r="A197" s="306" t="n">
        <v>167</v>
      </c>
      <c r="B197" s="306">
        <f>CEILING(A197/12,1)</f>
        <v/>
      </c>
      <c r="C197" s="306">
        <f>IF(A197&lt;=12, $B$15/12, 0)</f>
        <v/>
      </c>
      <c r="D197" s="306">
        <f>INDEX('26. Team Comp'!$D$28:$R$28, B197) * 0.001 / 12</f>
        <v/>
      </c>
      <c r="E197" s="306">
        <f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+ (IF(MAX(0, A197 - $F$11 + 1)&lt;=0, 0, IF(MAX(0, A197 - $F$11 + 1)&lt;=6, 70 - (70-14)*(MAX(0, A197 - $F$11 + 1)-1)/5, IF(MAX(0, A197 - $F$11 + 1)&lt;=24, 14 - 14*(MAX(0, A197 - $F$11 + 1)-6)/18, 0)))) + (IF(MAX(0, A197 - $F$12 + 1)&lt;=0, 0, IF(MAX(0, A197 - $F$12 + 1)&lt;=6, 70 - (70-14)*(MAX(0, A197 - $F$12 + 1)-1)/5, IF(MAX(0, A197 - $F$12 + 1)&lt;=24, 14 - 14*(MAX(0, A197 - $F$12 + 1)-6)/18, 0)))) + (IF(MAX(0, A197 - $F$13 + 1)&lt;=0, 0, IF(MAX(0, A197 - $F$13 + 1)&lt;=6, 70 - (70-14)*(MAX(0, A197 - $F$13 + 1)-1)/5, IF(MAX(0, A197 - $F$13 + 1)&lt;=24, 14 - 14*(MAX(0, A197 - $F$13 + 1)-6)/18, 0)))) + (IF(MAX(0, A197 - $F$14 + 1)&lt;=0, 0, IF(MAX(0, A197 - $F$14 + 1)&lt;=6, 70 - (70-14)*(MAX(0, A197 - $F$14 + 1)-1)/5, IF(MAX(0, A197 - $F$14 + 1)&lt;=24, 14 - 14*(MAX(0, A197 - $F$14 + 1)-6)/18, 0)))) ) * 200 / 12 / 1000</f>
        <v/>
      </c>
      <c r="F197" s="306">
        <f>IF(A197&lt;$F$6,0,IF(AND($B$21=1,A197&gt;$B$19),0,$E$6*$G$6^MIN((A197-$F$6)/12,6)*MIN($G$6,0.85)^MAX(0,(A197-$F$6)/12-6)))</f>
        <v/>
      </c>
      <c r="G197" s="306">
        <f>IF(A197&lt;$F$7,0,IF(AND($B$21=1,A197&gt;$B$19),0,$E$7*$G$7^MIN((A197-$F$7)/12,6)*MIN($G$7,0.85)^MAX(0,(A197-$F$7)/12-6)))</f>
        <v/>
      </c>
      <c r="H197" s="306">
        <f>IF(A197&lt;$F$8,0,IF(AND($B$21=1,A197&gt;$B$19),0,$E$8*$G$8^MIN((A197-$F$8)/12,6)*MIN($G$8,0.85)^MAX(0,(A197-$F$8)/12-6)))</f>
        <v/>
      </c>
      <c r="I197" s="306">
        <f>IF(A197&lt;$F$9,0,IF(AND($B$21=1,A197&gt;$B$19),0,$E$9*$G$9^MIN((A197-$F$9)/12,6)*MIN($G$9,0.85)^MAX(0,(A197-$F$9)/12-6)))</f>
        <v/>
      </c>
      <c r="J197" s="306">
        <f>IF(A197&lt;$F$10,0,IF(AND($B$21=1,A197&gt;$B$19),0,$E$10*$G$10^MIN((A197-$F$10)/12,6)*MIN($G$10,0.85)^MAX(0,(A197-$F$10)/12-6)))</f>
        <v/>
      </c>
      <c r="K197" s="306">
        <f>IF(A197&lt;$F$11,0,IF(AND($B$21=1,A197&gt;$B$19),0,$E$11*$G$11^MIN((A197-$F$11)/12,6)*MIN($G$11,0.85)^MAX(0,(A197-$F$11)/12-6)))</f>
        <v/>
      </c>
      <c r="L197" s="306">
        <f>IF(A197&lt;$F$12,0,IF(AND($B$21=1,A197&gt;$B$19),0,$E$12*$G$12^MIN((A197-$F$12)/12,6)*MIN($G$12,0.85)^MAX(0,(A197-$F$12)/12-6)))</f>
        <v/>
      </c>
      <c r="M197" s="306">
        <f>IF(A197&lt;$F$13,0,IF(AND($B$21=1,A197&gt;$B$19),0,$E$13*$G$13^MIN((A197-$F$13)/12,6)*MIN($G$13,0.85)^MAX(0,(A197-$F$13)/12-6)))</f>
        <v/>
      </c>
      <c r="N197" s="306">
        <f>IF(A197&lt;$F$14,0,IF(AND($B$21=1,A197&gt;$B$19),0,$E$14*$G$14^MIN((A197-$F$14)/12,6)*MIN($G$14,0.85)^MAX(0,(A197-$F$14)/12-6)))</f>
        <v/>
      </c>
      <c r="O197" s="306">
        <f>SUM(F197:N197)</f>
        <v/>
      </c>
      <c r="P197" s="306">
        <f>O197/12</f>
        <v/>
      </c>
      <c r="Q197" s="306">
        <f>P197*$B$8</f>
        <v/>
      </c>
      <c r="R197" s="306">
        <f>P197*$B$9</f>
        <v/>
      </c>
      <c r="S197" s="306">
        <f>P197*$B$10</f>
        <v/>
      </c>
      <c r="T197" s="306">
        <f>P197-Q197-R197-S197-D197-E197</f>
        <v/>
      </c>
      <c r="U197" s="306">
        <f>MAX(0, T197 - $B$7*P197)</f>
        <v/>
      </c>
      <c r="V197" s="306">
        <f>T197-U197</f>
        <v/>
      </c>
      <c r="W197" s="306">
        <f>IF(A197=$F$6, $B$18*$B$16*$B$17/1000000, 0) + IF(A197=$F$7, $B$18*$B$16*$B$17/1000000, 0) + IF(A197=$F$8, $B$18*$B$16*$B$17/1000000, 0) + IF(A197=$F$9, $B$18*$B$16*$B$17/1000000, 0) + IF(A197=$F$10, $B$18*$B$16*$B$17/1000000, 0) + IF(A197=$F$11, $B$18*$B$16*$B$17/1000000, 0) + IF(A197=$F$12, $B$18*$B$16*$B$17/1000000, 0) + IF(A197=$F$13, $B$18*$B$16*$B$17/1000000, 0) + IF(A197=$F$14, $B$18*$B$16*$B$17/1000000, 0)</f>
        <v/>
      </c>
      <c r="X197" s="306">
        <f>V197-W197-C197</f>
        <v/>
      </c>
      <c r="Y197" s="306">
        <f>IF(AND(A197&lt;=$B$24, X197&gt;0), X197*$B$23, 0)</f>
        <v/>
      </c>
      <c r="Z197" s="306">
        <f>X197-Y197</f>
        <v/>
      </c>
      <c r="AA197" s="306">
        <f>IF(AND(A197=$B$19, $B$21=1), O197*$B$20, 0)</f>
        <v/>
      </c>
      <c r="AB197" s="306">
        <f>AB196+Z197+AA197</f>
        <v/>
      </c>
    </row>
    <row r="198">
      <c r="A198" s="306" t="n">
        <v>168</v>
      </c>
      <c r="B198" s="306">
        <f>CEILING(A198/12,1)</f>
        <v/>
      </c>
      <c r="C198" s="306">
        <f>IF(A198&lt;=12, $B$15/12, 0)</f>
        <v/>
      </c>
      <c r="D198" s="306">
        <f>INDEX('26. Team Comp'!$D$28:$R$28, B198) * 0.001 / 12</f>
        <v/>
      </c>
      <c r="E198" s="306">
        <f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+ (IF(MAX(0, A198 - $F$11 + 1)&lt;=0, 0, IF(MAX(0, A198 - $F$11 + 1)&lt;=6, 70 - (70-14)*(MAX(0, A198 - $F$11 + 1)-1)/5, IF(MAX(0, A198 - $F$11 + 1)&lt;=24, 14 - 14*(MAX(0, A198 - $F$11 + 1)-6)/18, 0)))) + (IF(MAX(0, A198 - $F$12 + 1)&lt;=0, 0, IF(MAX(0, A198 - $F$12 + 1)&lt;=6, 70 - (70-14)*(MAX(0, A198 - $F$12 + 1)-1)/5, IF(MAX(0, A198 - $F$12 + 1)&lt;=24, 14 - 14*(MAX(0, A198 - $F$12 + 1)-6)/18, 0)))) + (IF(MAX(0, A198 - $F$13 + 1)&lt;=0, 0, IF(MAX(0, A198 - $F$13 + 1)&lt;=6, 70 - (70-14)*(MAX(0, A198 - $F$13 + 1)-1)/5, IF(MAX(0, A198 - $F$13 + 1)&lt;=24, 14 - 14*(MAX(0, A198 - $F$13 + 1)-6)/18, 0)))) + (IF(MAX(0, A198 - $F$14 + 1)&lt;=0, 0, IF(MAX(0, A198 - $F$14 + 1)&lt;=6, 70 - (70-14)*(MAX(0, A198 - $F$14 + 1)-1)/5, IF(MAX(0, A198 - $F$14 + 1)&lt;=24, 14 - 14*(MAX(0, A198 - $F$14 + 1)-6)/18, 0)))) ) * 200 / 12 / 1000</f>
        <v/>
      </c>
      <c r="F198" s="306">
        <f>IF(A198&lt;$F$6,0,IF(AND($B$21=1,A198&gt;$B$19),0,$E$6*$G$6^MIN((A198-$F$6)/12,6)*MIN($G$6,0.85)^MAX(0,(A198-$F$6)/12-6)))</f>
        <v/>
      </c>
      <c r="G198" s="306">
        <f>IF(A198&lt;$F$7,0,IF(AND($B$21=1,A198&gt;$B$19),0,$E$7*$G$7^MIN((A198-$F$7)/12,6)*MIN($G$7,0.85)^MAX(0,(A198-$F$7)/12-6)))</f>
        <v/>
      </c>
      <c r="H198" s="306">
        <f>IF(A198&lt;$F$8,0,IF(AND($B$21=1,A198&gt;$B$19),0,$E$8*$G$8^MIN((A198-$F$8)/12,6)*MIN($G$8,0.85)^MAX(0,(A198-$F$8)/12-6)))</f>
        <v/>
      </c>
      <c r="I198" s="306">
        <f>IF(A198&lt;$F$9,0,IF(AND($B$21=1,A198&gt;$B$19),0,$E$9*$G$9^MIN((A198-$F$9)/12,6)*MIN($G$9,0.85)^MAX(0,(A198-$F$9)/12-6)))</f>
        <v/>
      </c>
      <c r="J198" s="306">
        <f>IF(A198&lt;$F$10,0,IF(AND($B$21=1,A198&gt;$B$19),0,$E$10*$G$10^MIN((A198-$F$10)/12,6)*MIN($G$10,0.85)^MAX(0,(A198-$F$10)/12-6)))</f>
        <v/>
      </c>
      <c r="K198" s="306">
        <f>IF(A198&lt;$F$11,0,IF(AND($B$21=1,A198&gt;$B$19),0,$E$11*$G$11^MIN((A198-$F$11)/12,6)*MIN($G$11,0.85)^MAX(0,(A198-$F$11)/12-6)))</f>
        <v/>
      </c>
      <c r="L198" s="306">
        <f>IF(A198&lt;$F$12,0,IF(AND($B$21=1,A198&gt;$B$19),0,$E$12*$G$12^MIN((A198-$F$12)/12,6)*MIN($G$12,0.85)^MAX(0,(A198-$F$12)/12-6)))</f>
        <v/>
      </c>
      <c r="M198" s="306">
        <f>IF(A198&lt;$F$13,0,IF(AND($B$21=1,A198&gt;$B$19),0,$E$13*$G$13^MIN((A198-$F$13)/12,6)*MIN($G$13,0.85)^MAX(0,(A198-$F$13)/12-6)))</f>
        <v/>
      </c>
      <c r="N198" s="306">
        <f>IF(A198&lt;$F$14,0,IF(AND($B$21=1,A198&gt;$B$19),0,$E$14*$G$14^MIN((A198-$F$14)/12,6)*MIN($G$14,0.85)^MAX(0,(A198-$F$14)/12-6)))</f>
        <v/>
      </c>
      <c r="O198" s="306">
        <f>SUM(F198:N198)</f>
        <v/>
      </c>
      <c r="P198" s="306">
        <f>O198/12</f>
        <v/>
      </c>
      <c r="Q198" s="306">
        <f>P198*$B$8</f>
        <v/>
      </c>
      <c r="R198" s="306">
        <f>P198*$B$9</f>
        <v/>
      </c>
      <c r="S198" s="306">
        <f>P198*$B$10</f>
        <v/>
      </c>
      <c r="T198" s="306">
        <f>P198-Q198-R198-S198-D198-E198</f>
        <v/>
      </c>
      <c r="U198" s="306">
        <f>MAX(0, T198 - $B$7*P198)</f>
        <v/>
      </c>
      <c r="V198" s="306">
        <f>T198-U198</f>
        <v/>
      </c>
      <c r="W198" s="306">
        <f>IF(A198=$F$6, $B$18*$B$16*$B$17/1000000, 0) + IF(A198=$F$7, $B$18*$B$16*$B$17/1000000, 0) + IF(A198=$F$8, $B$18*$B$16*$B$17/1000000, 0) + IF(A198=$F$9, $B$18*$B$16*$B$17/1000000, 0) + IF(A198=$F$10, $B$18*$B$16*$B$17/1000000, 0) + IF(A198=$F$11, $B$18*$B$16*$B$17/1000000, 0) + IF(A198=$F$12, $B$18*$B$16*$B$17/1000000, 0) + IF(A198=$F$13, $B$18*$B$16*$B$17/1000000, 0) + IF(A198=$F$14, $B$18*$B$16*$B$17/1000000, 0)</f>
        <v/>
      </c>
      <c r="X198" s="306">
        <f>V198-W198-C198</f>
        <v/>
      </c>
      <c r="Y198" s="306">
        <f>IF(AND(A198&lt;=$B$24, X198&gt;0), X198*$B$23, 0)</f>
        <v/>
      </c>
      <c r="Z198" s="306">
        <f>X198-Y198</f>
        <v/>
      </c>
      <c r="AA198" s="306">
        <f>IF(AND(A198=$B$19, $B$21=1), O198*$B$20, 0)</f>
        <v/>
      </c>
      <c r="AB198" s="306">
        <f>AB197+Z198+AA198</f>
        <v/>
      </c>
    </row>
    <row r="199">
      <c r="A199" s="306" t="n">
        <v>169</v>
      </c>
      <c r="B199" s="306">
        <f>CEILING(A199/12,1)</f>
        <v/>
      </c>
      <c r="C199" s="306">
        <f>IF(A199&lt;=12, $B$15/12, 0)</f>
        <v/>
      </c>
      <c r="D199" s="306">
        <f>INDEX('26. Team Comp'!$D$28:$R$28, B199) * 0.001 / 12</f>
        <v/>
      </c>
      <c r="E199" s="306">
        <f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+ (IF(MAX(0, A199 - $F$11 + 1)&lt;=0, 0, IF(MAX(0, A199 - $F$11 + 1)&lt;=6, 70 - (70-14)*(MAX(0, A199 - $F$11 + 1)-1)/5, IF(MAX(0, A199 - $F$11 + 1)&lt;=24, 14 - 14*(MAX(0, A199 - $F$11 + 1)-6)/18, 0)))) + (IF(MAX(0, A199 - $F$12 + 1)&lt;=0, 0, IF(MAX(0, A199 - $F$12 + 1)&lt;=6, 70 - (70-14)*(MAX(0, A199 - $F$12 + 1)-1)/5, IF(MAX(0, A199 - $F$12 + 1)&lt;=24, 14 - 14*(MAX(0, A199 - $F$12 + 1)-6)/18, 0)))) + (IF(MAX(0, A199 - $F$13 + 1)&lt;=0, 0, IF(MAX(0, A199 - $F$13 + 1)&lt;=6, 70 - (70-14)*(MAX(0, A199 - $F$13 + 1)-1)/5, IF(MAX(0, A199 - $F$13 + 1)&lt;=24, 14 - 14*(MAX(0, A199 - $F$13 + 1)-6)/18, 0)))) + (IF(MAX(0, A199 - $F$14 + 1)&lt;=0, 0, IF(MAX(0, A199 - $F$14 + 1)&lt;=6, 70 - (70-14)*(MAX(0, A199 - $F$14 + 1)-1)/5, IF(MAX(0, A199 - $F$14 + 1)&lt;=24, 14 - 14*(MAX(0, A199 - $F$14 + 1)-6)/18, 0)))) ) * 200 / 12 / 1000</f>
        <v/>
      </c>
      <c r="F199" s="306">
        <f>IF(A199&lt;$F$6,0,IF(AND($B$21=1,A199&gt;$B$19),0,$E$6*$G$6^MIN((A199-$F$6)/12,6)*MIN($G$6,0.85)^MAX(0,(A199-$F$6)/12-6)))</f>
        <v/>
      </c>
      <c r="G199" s="306">
        <f>IF(A199&lt;$F$7,0,IF(AND($B$21=1,A199&gt;$B$19),0,$E$7*$G$7^MIN((A199-$F$7)/12,6)*MIN($G$7,0.85)^MAX(0,(A199-$F$7)/12-6)))</f>
        <v/>
      </c>
      <c r="H199" s="306">
        <f>IF(A199&lt;$F$8,0,IF(AND($B$21=1,A199&gt;$B$19),0,$E$8*$G$8^MIN((A199-$F$8)/12,6)*MIN($G$8,0.85)^MAX(0,(A199-$F$8)/12-6)))</f>
        <v/>
      </c>
      <c r="I199" s="306">
        <f>IF(A199&lt;$F$9,0,IF(AND($B$21=1,A199&gt;$B$19),0,$E$9*$G$9^MIN((A199-$F$9)/12,6)*MIN($G$9,0.85)^MAX(0,(A199-$F$9)/12-6)))</f>
        <v/>
      </c>
      <c r="J199" s="306">
        <f>IF(A199&lt;$F$10,0,IF(AND($B$21=1,A199&gt;$B$19),0,$E$10*$G$10^MIN((A199-$F$10)/12,6)*MIN($G$10,0.85)^MAX(0,(A199-$F$10)/12-6)))</f>
        <v/>
      </c>
      <c r="K199" s="306">
        <f>IF(A199&lt;$F$11,0,IF(AND($B$21=1,A199&gt;$B$19),0,$E$11*$G$11^MIN((A199-$F$11)/12,6)*MIN($G$11,0.85)^MAX(0,(A199-$F$11)/12-6)))</f>
        <v/>
      </c>
      <c r="L199" s="306">
        <f>IF(A199&lt;$F$12,0,IF(AND($B$21=1,A199&gt;$B$19),0,$E$12*$G$12^MIN((A199-$F$12)/12,6)*MIN($G$12,0.85)^MAX(0,(A199-$F$12)/12-6)))</f>
        <v/>
      </c>
      <c r="M199" s="306">
        <f>IF(A199&lt;$F$13,0,IF(AND($B$21=1,A199&gt;$B$19),0,$E$13*$G$13^MIN((A199-$F$13)/12,6)*MIN($G$13,0.85)^MAX(0,(A199-$F$13)/12-6)))</f>
        <v/>
      </c>
      <c r="N199" s="306">
        <f>IF(A199&lt;$F$14,0,IF(AND($B$21=1,A199&gt;$B$19),0,$E$14*$G$14^MIN((A199-$F$14)/12,6)*MIN($G$14,0.85)^MAX(0,(A199-$F$14)/12-6)))</f>
        <v/>
      </c>
      <c r="O199" s="306">
        <f>SUM(F199:N199)</f>
        <v/>
      </c>
      <c r="P199" s="306">
        <f>O199/12</f>
        <v/>
      </c>
      <c r="Q199" s="306">
        <f>P199*$B$8</f>
        <v/>
      </c>
      <c r="R199" s="306">
        <f>P199*$B$9</f>
        <v/>
      </c>
      <c r="S199" s="306">
        <f>P199*$B$10</f>
        <v/>
      </c>
      <c r="T199" s="306">
        <f>P199-Q199-R199-S199-D199-E199</f>
        <v/>
      </c>
      <c r="U199" s="306">
        <f>MAX(0, T199 - $B$7*P199)</f>
        <v/>
      </c>
      <c r="V199" s="306">
        <f>T199-U199</f>
        <v/>
      </c>
      <c r="W199" s="306">
        <f>IF(A199=$F$6, $B$18*$B$16*$B$17/1000000, 0) + IF(A199=$F$7, $B$18*$B$16*$B$17/1000000, 0) + IF(A199=$F$8, $B$18*$B$16*$B$17/1000000, 0) + IF(A199=$F$9, $B$18*$B$16*$B$17/1000000, 0) + IF(A199=$F$10, $B$18*$B$16*$B$17/1000000, 0) + IF(A199=$F$11, $B$18*$B$16*$B$17/1000000, 0) + IF(A199=$F$12, $B$18*$B$16*$B$17/1000000, 0) + IF(A199=$F$13, $B$18*$B$16*$B$17/1000000, 0) + IF(A199=$F$14, $B$18*$B$16*$B$17/1000000, 0)</f>
        <v/>
      </c>
      <c r="X199" s="306">
        <f>V199-W199-C199</f>
        <v/>
      </c>
      <c r="Y199" s="306">
        <f>IF(AND(A199&lt;=$B$24, X199&gt;0), X199*$B$23, 0)</f>
        <v/>
      </c>
      <c r="Z199" s="306">
        <f>X199-Y199</f>
        <v/>
      </c>
      <c r="AA199" s="306">
        <f>IF(AND(A199=$B$19, $B$21=1), O199*$B$20, 0)</f>
        <v/>
      </c>
      <c r="AB199" s="306">
        <f>AB198+Z199+AA199</f>
        <v/>
      </c>
    </row>
    <row r="200">
      <c r="A200" s="306" t="n">
        <v>170</v>
      </c>
      <c r="B200" s="306">
        <f>CEILING(A200/12,1)</f>
        <v/>
      </c>
      <c r="C200" s="306">
        <f>IF(A200&lt;=12, $B$15/12, 0)</f>
        <v/>
      </c>
      <c r="D200" s="306">
        <f>INDEX('26. Team Comp'!$D$28:$R$28, B200) * 0.001 / 12</f>
        <v/>
      </c>
      <c r="E200" s="306">
        <f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+ (IF(MAX(0, A200 - $F$11 + 1)&lt;=0, 0, IF(MAX(0, A200 - $F$11 + 1)&lt;=6, 70 - (70-14)*(MAX(0, A200 - $F$11 + 1)-1)/5, IF(MAX(0, A200 - $F$11 + 1)&lt;=24, 14 - 14*(MAX(0, A200 - $F$11 + 1)-6)/18, 0)))) + (IF(MAX(0, A200 - $F$12 + 1)&lt;=0, 0, IF(MAX(0, A200 - $F$12 + 1)&lt;=6, 70 - (70-14)*(MAX(0, A200 - $F$12 + 1)-1)/5, IF(MAX(0, A200 - $F$12 + 1)&lt;=24, 14 - 14*(MAX(0, A200 - $F$12 + 1)-6)/18, 0)))) + (IF(MAX(0, A200 - $F$13 + 1)&lt;=0, 0, IF(MAX(0, A200 - $F$13 + 1)&lt;=6, 70 - (70-14)*(MAX(0, A200 - $F$13 + 1)-1)/5, IF(MAX(0, A200 - $F$13 + 1)&lt;=24, 14 - 14*(MAX(0, A200 - $F$13 + 1)-6)/18, 0)))) + (IF(MAX(0, A200 - $F$14 + 1)&lt;=0, 0, IF(MAX(0, A200 - $F$14 + 1)&lt;=6, 70 - (70-14)*(MAX(0, A200 - $F$14 + 1)-1)/5, IF(MAX(0, A200 - $F$14 + 1)&lt;=24, 14 - 14*(MAX(0, A200 - $F$14 + 1)-6)/18, 0)))) ) * 200 / 12 / 1000</f>
        <v/>
      </c>
      <c r="F200" s="306">
        <f>IF(A200&lt;$F$6,0,IF(AND($B$21=1,A200&gt;$B$19),0,$E$6*$G$6^MIN((A200-$F$6)/12,6)*MIN($G$6,0.85)^MAX(0,(A200-$F$6)/12-6)))</f>
        <v/>
      </c>
      <c r="G200" s="306">
        <f>IF(A200&lt;$F$7,0,IF(AND($B$21=1,A200&gt;$B$19),0,$E$7*$G$7^MIN((A200-$F$7)/12,6)*MIN($G$7,0.85)^MAX(0,(A200-$F$7)/12-6)))</f>
        <v/>
      </c>
      <c r="H200" s="306">
        <f>IF(A200&lt;$F$8,0,IF(AND($B$21=1,A200&gt;$B$19),0,$E$8*$G$8^MIN((A200-$F$8)/12,6)*MIN($G$8,0.85)^MAX(0,(A200-$F$8)/12-6)))</f>
        <v/>
      </c>
      <c r="I200" s="306">
        <f>IF(A200&lt;$F$9,0,IF(AND($B$21=1,A200&gt;$B$19),0,$E$9*$G$9^MIN((A200-$F$9)/12,6)*MIN($G$9,0.85)^MAX(0,(A200-$F$9)/12-6)))</f>
        <v/>
      </c>
      <c r="J200" s="306">
        <f>IF(A200&lt;$F$10,0,IF(AND($B$21=1,A200&gt;$B$19),0,$E$10*$G$10^MIN((A200-$F$10)/12,6)*MIN($G$10,0.85)^MAX(0,(A200-$F$10)/12-6)))</f>
        <v/>
      </c>
      <c r="K200" s="306">
        <f>IF(A200&lt;$F$11,0,IF(AND($B$21=1,A200&gt;$B$19),0,$E$11*$G$11^MIN((A200-$F$11)/12,6)*MIN($G$11,0.85)^MAX(0,(A200-$F$11)/12-6)))</f>
        <v/>
      </c>
      <c r="L200" s="306">
        <f>IF(A200&lt;$F$12,0,IF(AND($B$21=1,A200&gt;$B$19),0,$E$12*$G$12^MIN((A200-$F$12)/12,6)*MIN($G$12,0.85)^MAX(0,(A200-$F$12)/12-6)))</f>
        <v/>
      </c>
      <c r="M200" s="306">
        <f>IF(A200&lt;$F$13,0,IF(AND($B$21=1,A200&gt;$B$19),0,$E$13*$G$13^MIN((A200-$F$13)/12,6)*MIN($G$13,0.85)^MAX(0,(A200-$F$13)/12-6)))</f>
        <v/>
      </c>
      <c r="N200" s="306">
        <f>IF(A200&lt;$F$14,0,IF(AND($B$21=1,A200&gt;$B$19),0,$E$14*$G$14^MIN((A200-$F$14)/12,6)*MIN($G$14,0.85)^MAX(0,(A200-$F$14)/12-6)))</f>
        <v/>
      </c>
      <c r="O200" s="306">
        <f>SUM(F200:N200)</f>
        <v/>
      </c>
      <c r="P200" s="306">
        <f>O200/12</f>
        <v/>
      </c>
      <c r="Q200" s="306">
        <f>P200*$B$8</f>
        <v/>
      </c>
      <c r="R200" s="306">
        <f>P200*$B$9</f>
        <v/>
      </c>
      <c r="S200" s="306">
        <f>P200*$B$10</f>
        <v/>
      </c>
      <c r="T200" s="306">
        <f>P200-Q200-R200-S200-D200-E200</f>
        <v/>
      </c>
      <c r="U200" s="306">
        <f>MAX(0, T200 - $B$7*P200)</f>
        <v/>
      </c>
      <c r="V200" s="306">
        <f>T200-U200</f>
        <v/>
      </c>
      <c r="W200" s="306">
        <f>IF(A200=$F$6, $B$18*$B$16*$B$17/1000000, 0) + IF(A200=$F$7, $B$18*$B$16*$B$17/1000000, 0) + IF(A200=$F$8, $B$18*$B$16*$B$17/1000000, 0) + IF(A200=$F$9, $B$18*$B$16*$B$17/1000000, 0) + IF(A200=$F$10, $B$18*$B$16*$B$17/1000000, 0) + IF(A200=$F$11, $B$18*$B$16*$B$17/1000000, 0) + IF(A200=$F$12, $B$18*$B$16*$B$17/1000000, 0) + IF(A200=$F$13, $B$18*$B$16*$B$17/1000000, 0) + IF(A200=$F$14, $B$18*$B$16*$B$17/1000000, 0)</f>
        <v/>
      </c>
      <c r="X200" s="306">
        <f>V200-W200-C200</f>
        <v/>
      </c>
      <c r="Y200" s="306">
        <f>IF(AND(A200&lt;=$B$24, X200&gt;0), X200*$B$23, 0)</f>
        <v/>
      </c>
      <c r="Z200" s="306">
        <f>X200-Y200</f>
        <v/>
      </c>
      <c r="AA200" s="306">
        <f>IF(AND(A200=$B$19, $B$21=1), O200*$B$20, 0)</f>
        <v/>
      </c>
      <c r="AB200" s="306">
        <f>AB199+Z200+AA200</f>
        <v/>
      </c>
    </row>
    <row r="201">
      <c r="A201" s="306" t="n">
        <v>171</v>
      </c>
      <c r="B201" s="306">
        <f>CEILING(A201/12,1)</f>
        <v/>
      </c>
      <c r="C201" s="306">
        <f>IF(A201&lt;=12, $B$15/12, 0)</f>
        <v/>
      </c>
      <c r="D201" s="306">
        <f>INDEX('26. Team Comp'!$D$28:$R$28, B201) * 0.001 / 12</f>
        <v/>
      </c>
      <c r="E201" s="306">
        <f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+ (IF(MAX(0, A201 - $F$11 + 1)&lt;=0, 0, IF(MAX(0, A201 - $F$11 + 1)&lt;=6, 70 - (70-14)*(MAX(0, A201 - $F$11 + 1)-1)/5, IF(MAX(0, A201 - $F$11 + 1)&lt;=24, 14 - 14*(MAX(0, A201 - $F$11 + 1)-6)/18, 0)))) + (IF(MAX(0, A201 - $F$12 + 1)&lt;=0, 0, IF(MAX(0, A201 - $F$12 + 1)&lt;=6, 70 - (70-14)*(MAX(0, A201 - $F$12 + 1)-1)/5, IF(MAX(0, A201 - $F$12 + 1)&lt;=24, 14 - 14*(MAX(0, A201 - $F$12 + 1)-6)/18, 0)))) + (IF(MAX(0, A201 - $F$13 + 1)&lt;=0, 0, IF(MAX(0, A201 - $F$13 + 1)&lt;=6, 70 - (70-14)*(MAX(0, A201 - $F$13 + 1)-1)/5, IF(MAX(0, A201 - $F$13 + 1)&lt;=24, 14 - 14*(MAX(0, A201 - $F$13 + 1)-6)/18, 0)))) + (IF(MAX(0, A201 - $F$14 + 1)&lt;=0, 0, IF(MAX(0, A201 - $F$14 + 1)&lt;=6, 70 - (70-14)*(MAX(0, A201 - $F$14 + 1)-1)/5, IF(MAX(0, A201 - $F$14 + 1)&lt;=24, 14 - 14*(MAX(0, A201 - $F$14 + 1)-6)/18, 0)))) ) * 200 / 12 / 1000</f>
        <v/>
      </c>
      <c r="F201" s="306">
        <f>IF(A201&lt;$F$6,0,IF(AND($B$21=1,A201&gt;$B$19),0,$E$6*$G$6^MIN((A201-$F$6)/12,6)*MIN($G$6,0.85)^MAX(0,(A201-$F$6)/12-6)))</f>
        <v/>
      </c>
      <c r="G201" s="306">
        <f>IF(A201&lt;$F$7,0,IF(AND($B$21=1,A201&gt;$B$19),0,$E$7*$G$7^MIN((A201-$F$7)/12,6)*MIN($G$7,0.85)^MAX(0,(A201-$F$7)/12-6)))</f>
        <v/>
      </c>
      <c r="H201" s="306">
        <f>IF(A201&lt;$F$8,0,IF(AND($B$21=1,A201&gt;$B$19),0,$E$8*$G$8^MIN((A201-$F$8)/12,6)*MIN($G$8,0.85)^MAX(0,(A201-$F$8)/12-6)))</f>
        <v/>
      </c>
      <c r="I201" s="306">
        <f>IF(A201&lt;$F$9,0,IF(AND($B$21=1,A201&gt;$B$19),0,$E$9*$G$9^MIN((A201-$F$9)/12,6)*MIN($G$9,0.85)^MAX(0,(A201-$F$9)/12-6)))</f>
        <v/>
      </c>
      <c r="J201" s="306">
        <f>IF(A201&lt;$F$10,0,IF(AND($B$21=1,A201&gt;$B$19),0,$E$10*$G$10^MIN((A201-$F$10)/12,6)*MIN($G$10,0.85)^MAX(0,(A201-$F$10)/12-6)))</f>
        <v/>
      </c>
      <c r="K201" s="306">
        <f>IF(A201&lt;$F$11,0,IF(AND($B$21=1,A201&gt;$B$19),0,$E$11*$G$11^MIN((A201-$F$11)/12,6)*MIN($G$11,0.85)^MAX(0,(A201-$F$11)/12-6)))</f>
        <v/>
      </c>
      <c r="L201" s="306">
        <f>IF(A201&lt;$F$12,0,IF(AND($B$21=1,A201&gt;$B$19),0,$E$12*$G$12^MIN((A201-$F$12)/12,6)*MIN($G$12,0.85)^MAX(0,(A201-$F$12)/12-6)))</f>
        <v/>
      </c>
      <c r="M201" s="306">
        <f>IF(A201&lt;$F$13,0,IF(AND($B$21=1,A201&gt;$B$19),0,$E$13*$G$13^MIN((A201-$F$13)/12,6)*MIN($G$13,0.85)^MAX(0,(A201-$F$13)/12-6)))</f>
        <v/>
      </c>
      <c r="N201" s="306">
        <f>IF(A201&lt;$F$14,0,IF(AND($B$21=1,A201&gt;$B$19),0,$E$14*$G$14^MIN((A201-$F$14)/12,6)*MIN($G$14,0.85)^MAX(0,(A201-$F$14)/12-6)))</f>
        <v/>
      </c>
      <c r="O201" s="306">
        <f>SUM(F201:N201)</f>
        <v/>
      </c>
      <c r="P201" s="306">
        <f>O201/12</f>
        <v/>
      </c>
      <c r="Q201" s="306">
        <f>P201*$B$8</f>
        <v/>
      </c>
      <c r="R201" s="306">
        <f>P201*$B$9</f>
        <v/>
      </c>
      <c r="S201" s="306">
        <f>P201*$B$10</f>
        <v/>
      </c>
      <c r="T201" s="306">
        <f>P201-Q201-R201-S201-D201-E201</f>
        <v/>
      </c>
      <c r="U201" s="306">
        <f>MAX(0, T201 - $B$7*P201)</f>
        <v/>
      </c>
      <c r="V201" s="306">
        <f>T201-U201</f>
        <v/>
      </c>
      <c r="W201" s="306">
        <f>IF(A201=$F$6, $B$18*$B$16*$B$17/1000000, 0) + IF(A201=$F$7, $B$18*$B$16*$B$17/1000000, 0) + IF(A201=$F$8, $B$18*$B$16*$B$17/1000000, 0) + IF(A201=$F$9, $B$18*$B$16*$B$17/1000000, 0) + IF(A201=$F$10, $B$18*$B$16*$B$17/1000000, 0) + IF(A201=$F$11, $B$18*$B$16*$B$17/1000000, 0) + IF(A201=$F$12, $B$18*$B$16*$B$17/1000000, 0) + IF(A201=$F$13, $B$18*$B$16*$B$17/1000000, 0) + IF(A201=$F$14, $B$18*$B$16*$B$17/1000000, 0)</f>
        <v/>
      </c>
      <c r="X201" s="306">
        <f>V201-W201-C201</f>
        <v/>
      </c>
      <c r="Y201" s="306">
        <f>IF(AND(A201&lt;=$B$24, X201&gt;0), X201*$B$23, 0)</f>
        <v/>
      </c>
      <c r="Z201" s="306">
        <f>X201-Y201</f>
        <v/>
      </c>
      <c r="AA201" s="306">
        <f>IF(AND(A201=$B$19, $B$21=1), O201*$B$20, 0)</f>
        <v/>
      </c>
      <c r="AB201" s="306">
        <f>AB200+Z201+AA201</f>
        <v/>
      </c>
    </row>
    <row r="202">
      <c r="A202" s="306" t="n">
        <v>172</v>
      </c>
      <c r="B202" s="306">
        <f>CEILING(A202/12,1)</f>
        <v/>
      </c>
      <c r="C202" s="306">
        <f>IF(A202&lt;=12, $B$15/12, 0)</f>
        <v/>
      </c>
      <c r="D202" s="306">
        <f>INDEX('26. Team Comp'!$D$28:$R$28, B202) * 0.001 / 12</f>
        <v/>
      </c>
      <c r="E202" s="306">
        <f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+ (IF(MAX(0, A202 - $F$11 + 1)&lt;=0, 0, IF(MAX(0, A202 - $F$11 + 1)&lt;=6, 70 - (70-14)*(MAX(0, A202 - $F$11 + 1)-1)/5, IF(MAX(0, A202 - $F$11 + 1)&lt;=24, 14 - 14*(MAX(0, A202 - $F$11 + 1)-6)/18, 0)))) + (IF(MAX(0, A202 - $F$12 + 1)&lt;=0, 0, IF(MAX(0, A202 - $F$12 + 1)&lt;=6, 70 - (70-14)*(MAX(0, A202 - $F$12 + 1)-1)/5, IF(MAX(0, A202 - $F$12 + 1)&lt;=24, 14 - 14*(MAX(0, A202 - $F$12 + 1)-6)/18, 0)))) + (IF(MAX(0, A202 - $F$13 + 1)&lt;=0, 0, IF(MAX(0, A202 - $F$13 + 1)&lt;=6, 70 - (70-14)*(MAX(0, A202 - $F$13 + 1)-1)/5, IF(MAX(0, A202 - $F$13 + 1)&lt;=24, 14 - 14*(MAX(0, A202 - $F$13 + 1)-6)/18, 0)))) + (IF(MAX(0, A202 - $F$14 + 1)&lt;=0, 0, IF(MAX(0, A202 - $F$14 + 1)&lt;=6, 70 - (70-14)*(MAX(0, A202 - $F$14 + 1)-1)/5, IF(MAX(0, A202 - $F$14 + 1)&lt;=24, 14 - 14*(MAX(0, A202 - $F$14 + 1)-6)/18, 0)))) ) * 200 / 12 / 1000</f>
        <v/>
      </c>
      <c r="F202" s="306">
        <f>IF(A202&lt;$F$6,0,IF(AND($B$21=1,A202&gt;$B$19),0,$E$6*$G$6^MIN((A202-$F$6)/12,6)*MIN($G$6,0.85)^MAX(0,(A202-$F$6)/12-6)))</f>
        <v/>
      </c>
      <c r="G202" s="306">
        <f>IF(A202&lt;$F$7,0,IF(AND($B$21=1,A202&gt;$B$19),0,$E$7*$G$7^MIN((A202-$F$7)/12,6)*MIN($G$7,0.85)^MAX(0,(A202-$F$7)/12-6)))</f>
        <v/>
      </c>
      <c r="H202" s="306">
        <f>IF(A202&lt;$F$8,0,IF(AND($B$21=1,A202&gt;$B$19),0,$E$8*$G$8^MIN((A202-$F$8)/12,6)*MIN($G$8,0.85)^MAX(0,(A202-$F$8)/12-6)))</f>
        <v/>
      </c>
      <c r="I202" s="306">
        <f>IF(A202&lt;$F$9,0,IF(AND($B$21=1,A202&gt;$B$19),0,$E$9*$G$9^MIN((A202-$F$9)/12,6)*MIN($G$9,0.85)^MAX(0,(A202-$F$9)/12-6)))</f>
        <v/>
      </c>
      <c r="J202" s="306">
        <f>IF(A202&lt;$F$10,0,IF(AND($B$21=1,A202&gt;$B$19),0,$E$10*$G$10^MIN((A202-$F$10)/12,6)*MIN($G$10,0.85)^MAX(0,(A202-$F$10)/12-6)))</f>
        <v/>
      </c>
      <c r="K202" s="306">
        <f>IF(A202&lt;$F$11,0,IF(AND($B$21=1,A202&gt;$B$19),0,$E$11*$G$11^MIN((A202-$F$11)/12,6)*MIN($G$11,0.85)^MAX(0,(A202-$F$11)/12-6)))</f>
        <v/>
      </c>
      <c r="L202" s="306">
        <f>IF(A202&lt;$F$12,0,IF(AND($B$21=1,A202&gt;$B$19),0,$E$12*$G$12^MIN((A202-$F$12)/12,6)*MIN($G$12,0.85)^MAX(0,(A202-$F$12)/12-6)))</f>
        <v/>
      </c>
      <c r="M202" s="306">
        <f>IF(A202&lt;$F$13,0,IF(AND($B$21=1,A202&gt;$B$19),0,$E$13*$G$13^MIN((A202-$F$13)/12,6)*MIN($G$13,0.85)^MAX(0,(A202-$F$13)/12-6)))</f>
        <v/>
      </c>
      <c r="N202" s="306">
        <f>IF(A202&lt;$F$14,0,IF(AND($B$21=1,A202&gt;$B$19),0,$E$14*$G$14^MIN((A202-$F$14)/12,6)*MIN($G$14,0.85)^MAX(0,(A202-$F$14)/12-6)))</f>
        <v/>
      </c>
      <c r="O202" s="306">
        <f>SUM(F202:N202)</f>
        <v/>
      </c>
      <c r="P202" s="306">
        <f>O202/12</f>
        <v/>
      </c>
      <c r="Q202" s="306">
        <f>P202*$B$8</f>
        <v/>
      </c>
      <c r="R202" s="306">
        <f>P202*$B$9</f>
        <v/>
      </c>
      <c r="S202" s="306">
        <f>P202*$B$10</f>
        <v/>
      </c>
      <c r="T202" s="306">
        <f>P202-Q202-R202-S202-D202-E202</f>
        <v/>
      </c>
      <c r="U202" s="306">
        <f>MAX(0, T202 - $B$7*P202)</f>
        <v/>
      </c>
      <c r="V202" s="306">
        <f>T202-U202</f>
        <v/>
      </c>
      <c r="W202" s="306">
        <f>IF(A202=$F$6, $B$18*$B$16*$B$17/1000000, 0) + IF(A202=$F$7, $B$18*$B$16*$B$17/1000000, 0) + IF(A202=$F$8, $B$18*$B$16*$B$17/1000000, 0) + IF(A202=$F$9, $B$18*$B$16*$B$17/1000000, 0) + IF(A202=$F$10, $B$18*$B$16*$B$17/1000000, 0) + IF(A202=$F$11, $B$18*$B$16*$B$17/1000000, 0) + IF(A202=$F$12, $B$18*$B$16*$B$17/1000000, 0) + IF(A202=$F$13, $B$18*$B$16*$B$17/1000000, 0) + IF(A202=$F$14, $B$18*$B$16*$B$17/1000000, 0)</f>
        <v/>
      </c>
      <c r="X202" s="306">
        <f>V202-W202-C202</f>
        <v/>
      </c>
      <c r="Y202" s="306">
        <f>IF(AND(A202&lt;=$B$24, X202&gt;0), X202*$B$23, 0)</f>
        <v/>
      </c>
      <c r="Z202" s="306">
        <f>X202-Y202</f>
        <v/>
      </c>
      <c r="AA202" s="306">
        <f>IF(AND(A202=$B$19, $B$21=1), O202*$B$20, 0)</f>
        <v/>
      </c>
      <c r="AB202" s="306">
        <f>AB201+Z202+AA202</f>
        <v/>
      </c>
    </row>
    <row r="203">
      <c r="A203" s="306" t="n">
        <v>173</v>
      </c>
      <c r="B203" s="306">
        <f>CEILING(A203/12,1)</f>
        <v/>
      </c>
      <c r="C203" s="306">
        <f>IF(A203&lt;=12, $B$15/12, 0)</f>
        <v/>
      </c>
      <c r="D203" s="306">
        <f>INDEX('26. Team Comp'!$D$28:$R$28, B203) * 0.001 / 12</f>
        <v/>
      </c>
      <c r="E203" s="306">
        <f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+ (IF(MAX(0, A203 - $F$11 + 1)&lt;=0, 0, IF(MAX(0, A203 - $F$11 + 1)&lt;=6, 70 - (70-14)*(MAX(0, A203 - $F$11 + 1)-1)/5, IF(MAX(0, A203 - $F$11 + 1)&lt;=24, 14 - 14*(MAX(0, A203 - $F$11 + 1)-6)/18, 0)))) + (IF(MAX(0, A203 - $F$12 + 1)&lt;=0, 0, IF(MAX(0, A203 - $F$12 + 1)&lt;=6, 70 - (70-14)*(MAX(0, A203 - $F$12 + 1)-1)/5, IF(MAX(0, A203 - $F$12 + 1)&lt;=24, 14 - 14*(MAX(0, A203 - $F$12 + 1)-6)/18, 0)))) + (IF(MAX(0, A203 - $F$13 + 1)&lt;=0, 0, IF(MAX(0, A203 - $F$13 + 1)&lt;=6, 70 - (70-14)*(MAX(0, A203 - $F$13 + 1)-1)/5, IF(MAX(0, A203 - $F$13 + 1)&lt;=24, 14 - 14*(MAX(0, A203 - $F$13 + 1)-6)/18, 0)))) + (IF(MAX(0, A203 - $F$14 + 1)&lt;=0, 0, IF(MAX(0, A203 - $F$14 + 1)&lt;=6, 70 - (70-14)*(MAX(0, A203 - $F$14 + 1)-1)/5, IF(MAX(0, A203 - $F$14 + 1)&lt;=24, 14 - 14*(MAX(0, A203 - $F$14 + 1)-6)/18, 0)))) ) * 200 / 12 / 1000</f>
        <v/>
      </c>
      <c r="F203" s="306">
        <f>IF(A203&lt;$F$6,0,IF(AND($B$21=1,A203&gt;$B$19),0,$E$6*$G$6^MIN((A203-$F$6)/12,6)*MIN($G$6,0.85)^MAX(0,(A203-$F$6)/12-6)))</f>
        <v/>
      </c>
      <c r="G203" s="306">
        <f>IF(A203&lt;$F$7,0,IF(AND($B$21=1,A203&gt;$B$19),0,$E$7*$G$7^MIN((A203-$F$7)/12,6)*MIN($G$7,0.85)^MAX(0,(A203-$F$7)/12-6)))</f>
        <v/>
      </c>
      <c r="H203" s="306">
        <f>IF(A203&lt;$F$8,0,IF(AND($B$21=1,A203&gt;$B$19),0,$E$8*$G$8^MIN((A203-$F$8)/12,6)*MIN($G$8,0.85)^MAX(0,(A203-$F$8)/12-6)))</f>
        <v/>
      </c>
      <c r="I203" s="306">
        <f>IF(A203&lt;$F$9,0,IF(AND($B$21=1,A203&gt;$B$19),0,$E$9*$G$9^MIN((A203-$F$9)/12,6)*MIN($G$9,0.85)^MAX(0,(A203-$F$9)/12-6)))</f>
        <v/>
      </c>
      <c r="J203" s="306">
        <f>IF(A203&lt;$F$10,0,IF(AND($B$21=1,A203&gt;$B$19),0,$E$10*$G$10^MIN((A203-$F$10)/12,6)*MIN($G$10,0.85)^MAX(0,(A203-$F$10)/12-6)))</f>
        <v/>
      </c>
      <c r="K203" s="306">
        <f>IF(A203&lt;$F$11,0,IF(AND($B$21=1,A203&gt;$B$19),0,$E$11*$G$11^MIN((A203-$F$11)/12,6)*MIN($G$11,0.85)^MAX(0,(A203-$F$11)/12-6)))</f>
        <v/>
      </c>
      <c r="L203" s="306">
        <f>IF(A203&lt;$F$12,0,IF(AND($B$21=1,A203&gt;$B$19),0,$E$12*$G$12^MIN((A203-$F$12)/12,6)*MIN($G$12,0.85)^MAX(0,(A203-$F$12)/12-6)))</f>
        <v/>
      </c>
      <c r="M203" s="306">
        <f>IF(A203&lt;$F$13,0,IF(AND($B$21=1,A203&gt;$B$19),0,$E$13*$G$13^MIN((A203-$F$13)/12,6)*MIN($G$13,0.85)^MAX(0,(A203-$F$13)/12-6)))</f>
        <v/>
      </c>
      <c r="N203" s="306">
        <f>IF(A203&lt;$F$14,0,IF(AND($B$21=1,A203&gt;$B$19),0,$E$14*$G$14^MIN((A203-$F$14)/12,6)*MIN($G$14,0.85)^MAX(0,(A203-$F$14)/12-6)))</f>
        <v/>
      </c>
      <c r="O203" s="306">
        <f>SUM(F203:N203)</f>
        <v/>
      </c>
      <c r="P203" s="306">
        <f>O203/12</f>
        <v/>
      </c>
      <c r="Q203" s="306">
        <f>P203*$B$8</f>
        <v/>
      </c>
      <c r="R203" s="306">
        <f>P203*$B$9</f>
        <v/>
      </c>
      <c r="S203" s="306">
        <f>P203*$B$10</f>
        <v/>
      </c>
      <c r="T203" s="306">
        <f>P203-Q203-R203-S203-D203-E203</f>
        <v/>
      </c>
      <c r="U203" s="306">
        <f>MAX(0, T203 - $B$7*P203)</f>
        <v/>
      </c>
      <c r="V203" s="306">
        <f>T203-U203</f>
        <v/>
      </c>
      <c r="W203" s="306">
        <f>IF(A203=$F$6, $B$18*$B$16*$B$17/1000000, 0) + IF(A203=$F$7, $B$18*$B$16*$B$17/1000000, 0) + IF(A203=$F$8, $B$18*$B$16*$B$17/1000000, 0) + IF(A203=$F$9, $B$18*$B$16*$B$17/1000000, 0) + IF(A203=$F$10, $B$18*$B$16*$B$17/1000000, 0) + IF(A203=$F$11, $B$18*$B$16*$B$17/1000000, 0) + IF(A203=$F$12, $B$18*$B$16*$B$17/1000000, 0) + IF(A203=$F$13, $B$18*$B$16*$B$17/1000000, 0) + IF(A203=$F$14, $B$18*$B$16*$B$17/1000000, 0)</f>
        <v/>
      </c>
      <c r="X203" s="306">
        <f>V203-W203-C203</f>
        <v/>
      </c>
      <c r="Y203" s="306">
        <f>IF(AND(A203&lt;=$B$24, X203&gt;0), X203*$B$23, 0)</f>
        <v/>
      </c>
      <c r="Z203" s="306">
        <f>X203-Y203</f>
        <v/>
      </c>
      <c r="AA203" s="306">
        <f>IF(AND(A203=$B$19, $B$21=1), O203*$B$20, 0)</f>
        <v/>
      </c>
      <c r="AB203" s="306">
        <f>AB202+Z203+AA203</f>
        <v/>
      </c>
    </row>
    <row r="204">
      <c r="A204" s="306" t="n">
        <v>174</v>
      </c>
      <c r="B204" s="306">
        <f>CEILING(A204/12,1)</f>
        <v/>
      </c>
      <c r="C204" s="306">
        <f>IF(A204&lt;=12, $B$15/12, 0)</f>
        <v/>
      </c>
      <c r="D204" s="306">
        <f>INDEX('26. Team Comp'!$D$28:$R$28, B204) * 0.001 / 12</f>
        <v/>
      </c>
      <c r="E204" s="306">
        <f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+ (IF(MAX(0, A204 - $F$11 + 1)&lt;=0, 0, IF(MAX(0, A204 - $F$11 + 1)&lt;=6, 70 - (70-14)*(MAX(0, A204 - $F$11 + 1)-1)/5, IF(MAX(0, A204 - $F$11 + 1)&lt;=24, 14 - 14*(MAX(0, A204 - $F$11 + 1)-6)/18, 0)))) + (IF(MAX(0, A204 - $F$12 + 1)&lt;=0, 0, IF(MAX(0, A204 - $F$12 + 1)&lt;=6, 70 - (70-14)*(MAX(0, A204 - $F$12 + 1)-1)/5, IF(MAX(0, A204 - $F$12 + 1)&lt;=24, 14 - 14*(MAX(0, A204 - $F$12 + 1)-6)/18, 0)))) + (IF(MAX(0, A204 - $F$13 + 1)&lt;=0, 0, IF(MAX(0, A204 - $F$13 + 1)&lt;=6, 70 - (70-14)*(MAX(0, A204 - $F$13 + 1)-1)/5, IF(MAX(0, A204 - $F$13 + 1)&lt;=24, 14 - 14*(MAX(0, A204 - $F$13 + 1)-6)/18, 0)))) + (IF(MAX(0, A204 - $F$14 + 1)&lt;=0, 0, IF(MAX(0, A204 - $F$14 + 1)&lt;=6, 70 - (70-14)*(MAX(0, A204 - $F$14 + 1)-1)/5, IF(MAX(0, A204 - $F$14 + 1)&lt;=24, 14 - 14*(MAX(0, A204 - $F$14 + 1)-6)/18, 0)))) ) * 200 / 12 / 1000</f>
        <v/>
      </c>
      <c r="F204" s="306">
        <f>IF(A204&lt;$F$6,0,IF(AND($B$21=1,A204&gt;$B$19),0,$E$6*$G$6^MIN((A204-$F$6)/12,6)*MIN($G$6,0.85)^MAX(0,(A204-$F$6)/12-6)))</f>
        <v/>
      </c>
      <c r="G204" s="306">
        <f>IF(A204&lt;$F$7,0,IF(AND($B$21=1,A204&gt;$B$19),0,$E$7*$G$7^MIN((A204-$F$7)/12,6)*MIN($G$7,0.85)^MAX(0,(A204-$F$7)/12-6)))</f>
        <v/>
      </c>
      <c r="H204" s="306">
        <f>IF(A204&lt;$F$8,0,IF(AND($B$21=1,A204&gt;$B$19),0,$E$8*$G$8^MIN((A204-$F$8)/12,6)*MIN($G$8,0.85)^MAX(0,(A204-$F$8)/12-6)))</f>
        <v/>
      </c>
      <c r="I204" s="306">
        <f>IF(A204&lt;$F$9,0,IF(AND($B$21=1,A204&gt;$B$19),0,$E$9*$G$9^MIN((A204-$F$9)/12,6)*MIN($G$9,0.85)^MAX(0,(A204-$F$9)/12-6)))</f>
        <v/>
      </c>
      <c r="J204" s="306">
        <f>IF(A204&lt;$F$10,0,IF(AND($B$21=1,A204&gt;$B$19),0,$E$10*$G$10^MIN((A204-$F$10)/12,6)*MIN($G$10,0.85)^MAX(0,(A204-$F$10)/12-6)))</f>
        <v/>
      </c>
      <c r="K204" s="306">
        <f>IF(A204&lt;$F$11,0,IF(AND($B$21=1,A204&gt;$B$19),0,$E$11*$G$11^MIN((A204-$F$11)/12,6)*MIN($G$11,0.85)^MAX(0,(A204-$F$11)/12-6)))</f>
        <v/>
      </c>
      <c r="L204" s="306">
        <f>IF(A204&lt;$F$12,0,IF(AND($B$21=1,A204&gt;$B$19),0,$E$12*$G$12^MIN((A204-$F$12)/12,6)*MIN($G$12,0.85)^MAX(0,(A204-$F$12)/12-6)))</f>
        <v/>
      </c>
      <c r="M204" s="306">
        <f>IF(A204&lt;$F$13,0,IF(AND($B$21=1,A204&gt;$B$19),0,$E$13*$G$13^MIN((A204-$F$13)/12,6)*MIN($G$13,0.85)^MAX(0,(A204-$F$13)/12-6)))</f>
        <v/>
      </c>
      <c r="N204" s="306">
        <f>IF(A204&lt;$F$14,0,IF(AND($B$21=1,A204&gt;$B$19),0,$E$14*$G$14^MIN((A204-$F$14)/12,6)*MIN($G$14,0.85)^MAX(0,(A204-$F$14)/12-6)))</f>
        <v/>
      </c>
      <c r="O204" s="306">
        <f>SUM(F204:N204)</f>
        <v/>
      </c>
      <c r="P204" s="306">
        <f>O204/12</f>
        <v/>
      </c>
      <c r="Q204" s="306">
        <f>P204*$B$8</f>
        <v/>
      </c>
      <c r="R204" s="306">
        <f>P204*$B$9</f>
        <v/>
      </c>
      <c r="S204" s="306">
        <f>P204*$B$10</f>
        <v/>
      </c>
      <c r="T204" s="306">
        <f>P204-Q204-R204-S204-D204-E204</f>
        <v/>
      </c>
      <c r="U204" s="306">
        <f>MAX(0, T204 - $B$7*P204)</f>
        <v/>
      </c>
      <c r="V204" s="306">
        <f>T204-U204</f>
        <v/>
      </c>
      <c r="W204" s="306">
        <f>IF(A204=$F$6, $B$18*$B$16*$B$17/1000000, 0) + IF(A204=$F$7, $B$18*$B$16*$B$17/1000000, 0) + IF(A204=$F$8, $B$18*$B$16*$B$17/1000000, 0) + IF(A204=$F$9, $B$18*$B$16*$B$17/1000000, 0) + IF(A204=$F$10, $B$18*$B$16*$B$17/1000000, 0) + IF(A204=$F$11, $B$18*$B$16*$B$17/1000000, 0) + IF(A204=$F$12, $B$18*$B$16*$B$17/1000000, 0) + IF(A204=$F$13, $B$18*$B$16*$B$17/1000000, 0) + IF(A204=$F$14, $B$18*$B$16*$B$17/1000000, 0)</f>
        <v/>
      </c>
      <c r="X204" s="306">
        <f>V204-W204-C204</f>
        <v/>
      </c>
      <c r="Y204" s="306">
        <f>IF(AND(A204&lt;=$B$24, X204&gt;0), X204*$B$23, 0)</f>
        <v/>
      </c>
      <c r="Z204" s="306">
        <f>X204-Y204</f>
        <v/>
      </c>
      <c r="AA204" s="306">
        <f>IF(AND(A204=$B$19, $B$21=1), O204*$B$20, 0)</f>
        <v/>
      </c>
      <c r="AB204" s="306">
        <f>AB203+Z204+AA204</f>
        <v/>
      </c>
    </row>
    <row r="205">
      <c r="A205" s="306" t="n">
        <v>175</v>
      </c>
      <c r="B205" s="306">
        <f>CEILING(A205/12,1)</f>
        <v/>
      </c>
      <c r="C205" s="306">
        <f>IF(A205&lt;=12, $B$15/12, 0)</f>
        <v/>
      </c>
      <c r="D205" s="306">
        <f>INDEX('26. Team Comp'!$D$28:$R$28, B205) * 0.001 / 12</f>
        <v/>
      </c>
      <c r="E205" s="306">
        <f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+ (IF(MAX(0, A205 - $F$11 + 1)&lt;=0, 0, IF(MAX(0, A205 - $F$11 + 1)&lt;=6, 70 - (70-14)*(MAX(0, A205 - $F$11 + 1)-1)/5, IF(MAX(0, A205 - $F$11 + 1)&lt;=24, 14 - 14*(MAX(0, A205 - $F$11 + 1)-6)/18, 0)))) + (IF(MAX(0, A205 - $F$12 + 1)&lt;=0, 0, IF(MAX(0, A205 - $F$12 + 1)&lt;=6, 70 - (70-14)*(MAX(0, A205 - $F$12 + 1)-1)/5, IF(MAX(0, A205 - $F$12 + 1)&lt;=24, 14 - 14*(MAX(0, A205 - $F$12 + 1)-6)/18, 0)))) + (IF(MAX(0, A205 - $F$13 + 1)&lt;=0, 0, IF(MAX(0, A205 - $F$13 + 1)&lt;=6, 70 - (70-14)*(MAX(0, A205 - $F$13 + 1)-1)/5, IF(MAX(0, A205 - $F$13 + 1)&lt;=24, 14 - 14*(MAX(0, A205 - $F$13 + 1)-6)/18, 0)))) + (IF(MAX(0, A205 - $F$14 + 1)&lt;=0, 0, IF(MAX(0, A205 - $F$14 + 1)&lt;=6, 70 - (70-14)*(MAX(0, A205 - $F$14 + 1)-1)/5, IF(MAX(0, A205 - $F$14 + 1)&lt;=24, 14 - 14*(MAX(0, A205 - $F$14 + 1)-6)/18, 0)))) ) * 200 / 12 / 1000</f>
        <v/>
      </c>
      <c r="F205" s="306">
        <f>IF(A205&lt;$F$6,0,IF(AND($B$21=1,A205&gt;$B$19),0,$E$6*$G$6^MIN((A205-$F$6)/12,6)*MIN($G$6,0.85)^MAX(0,(A205-$F$6)/12-6)))</f>
        <v/>
      </c>
      <c r="G205" s="306">
        <f>IF(A205&lt;$F$7,0,IF(AND($B$21=1,A205&gt;$B$19),0,$E$7*$G$7^MIN((A205-$F$7)/12,6)*MIN($G$7,0.85)^MAX(0,(A205-$F$7)/12-6)))</f>
        <v/>
      </c>
      <c r="H205" s="306">
        <f>IF(A205&lt;$F$8,0,IF(AND($B$21=1,A205&gt;$B$19),0,$E$8*$G$8^MIN((A205-$F$8)/12,6)*MIN($G$8,0.85)^MAX(0,(A205-$F$8)/12-6)))</f>
        <v/>
      </c>
      <c r="I205" s="306">
        <f>IF(A205&lt;$F$9,0,IF(AND($B$21=1,A205&gt;$B$19),0,$E$9*$G$9^MIN((A205-$F$9)/12,6)*MIN($G$9,0.85)^MAX(0,(A205-$F$9)/12-6)))</f>
        <v/>
      </c>
      <c r="J205" s="306">
        <f>IF(A205&lt;$F$10,0,IF(AND($B$21=1,A205&gt;$B$19),0,$E$10*$G$10^MIN((A205-$F$10)/12,6)*MIN($G$10,0.85)^MAX(0,(A205-$F$10)/12-6)))</f>
        <v/>
      </c>
      <c r="K205" s="306">
        <f>IF(A205&lt;$F$11,0,IF(AND($B$21=1,A205&gt;$B$19),0,$E$11*$G$11^MIN((A205-$F$11)/12,6)*MIN($G$11,0.85)^MAX(0,(A205-$F$11)/12-6)))</f>
        <v/>
      </c>
      <c r="L205" s="306">
        <f>IF(A205&lt;$F$12,0,IF(AND($B$21=1,A205&gt;$B$19),0,$E$12*$G$12^MIN((A205-$F$12)/12,6)*MIN($G$12,0.85)^MAX(0,(A205-$F$12)/12-6)))</f>
        <v/>
      </c>
      <c r="M205" s="306">
        <f>IF(A205&lt;$F$13,0,IF(AND($B$21=1,A205&gt;$B$19),0,$E$13*$G$13^MIN((A205-$F$13)/12,6)*MIN($G$13,0.85)^MAX(0,(A205-$F$13)/12-6)))</f>
        <v/>
      </c>
      <c r="N205" s="306">
        <f>IF(A205&lt;$F$14,0,IF(AND($B$21=1,A205&gt;$B$19),0,$E$14*$G$14^MIN((A205-$F$14)/12,6)*MIN($G$14,0.85)^MAX(0,(A205-$F$14)/12-6)))</f>
        <v/>
      </c>
      <c r="O205" s="306">
        <f>SUM(F205:N205)</f>
        <v/>
      </c>
      <c r="P205" s="306">
        <f>O205/12</f>
        <v/>
      </c>
      <c r="Q205" s="306">
        <f>P205*$B$8</f>
        <v/>
      </c>
      <c r="R205" s="306">
        <f>P205*$B$9</f>
        <v/>
      </c>
      <c r="S205" s="306">
        <f>P205*$B$10</f>
        <v/>
      </c>
      <c r="T205" s="306">
        <f>P205-Q205-R205-S205-D205-E205</f>
        <v/>
      </c>
      <c r="U205" s="306">
        <f>MAX(0, T205 - $B$7*P205)</f>
        <v/>
      </c>
      <c r="V205" s="306">
        <f>T205-U205</f>
        <v/>
      </c>
      <c r="W205" s="306">
        <f>IF(A205=$F$6, $B$18*$B$16*$B$17/1000000, 0) + IF(A205=$F$7, $B$18*$B$16*$B$17/1000000, 0) + IF(A205=$F$8, $B$18*$B$16*$B$17/1000000, 0) + IF(A205=$F$9, $B$18*$B$16*$B$17/1000000, 0) + IF(A205=$F$10, $B$18*$B$16*$B$17/1000000, 0) + IF(A205=$F$11, $B$18*$B$16*$B$17/1000000, 0) + IF(A205=$F$12, $B$18*$B$16*$B$17/1000000, 0) + IF(A205=$F$13, $B$18*$B$16*$B$17/1000000, 0) + IF(A205=$F$14, $B$18*$B$16*$B$17/1000000, 0)</f>
        <v/>
      </c>
      <c r="X205" s="306">
        <f>V205-W205-C205</f>
        <v/>
      </c>
      <c r="Y205" s="306">
        <f>IF(AND(A205&lt;=$B$24, X205&gt;0), X205*$B$23, 0)</f>
        <v/>
      </c>
      <c r="Z205" s="306">
        <f>X205-Y205</f>
        <v/>
      </c>
      <c r="AA205" s="306">
        <f>IF(AND(A205=$B$19, $B$21=1), O205*$B$20, 0)</f>
        <v/>
      </c>
      <c r="AB205" s="306">
        <f>AB204+Z205+AA205</f>
        <v/>
      </c>
    </row>
    <row r="206">
      <c r="A206" s="306" t="n">
        <v>176</v>
      </c>
      <c r="B206" s="306">
        <f>CEILING(A206/12,1)</f>
        <v/>
      </c>
      <c r="C206" s="306">
        <f>IF(A206&lt;=12, $B$15/12, 0)</f>
        <v/>
      </c>
      <c r="D206" s="306">
        <f>INDEX('26. Team Comp'!$D$28:$R$28, B206) * 0.001 / 12</f>
        <v/>
      </c>
      <c r="E206" s="306">
        <f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+ (IF(MAX(0, A206 - $F$11 + 1)&lt;=0, 0, IF(MAX(0, A206 - $F$11 + 1)&lt;=6, 70 - (70-14)*(MAX(0, A206 - $F$11 + 1)-1)/5, IF(MAX(0, A206 - $F$11 + 1)&lt;=24, 14 - 14*(MAX(0, A206 - $F$11 + 1)-6)/18, 0)))) + (IF(MAX(0, A206 - $F$12 + 1)&lt;=0, 0, IF(MAX(0, A206 - $F$12 + 1)&lt;=6, 70 - (70-14)*(MAX(0, A206 - $F$12 + 1)-1)/5, IF(MAX(0, A206 - $F$12 + 1)&lt;=24, 14 - 14*(MAX(0, A206 - $F$12 + 1)-6)/18, 0)))) + (IF(MAX(0, A206 - $F$13 + 1)&lt;=0, 0, IF(MAX(0, A206 - $F$13 + 1)&lt;=6, 70 - (70-14)*(MAX(0, A206 - $F$13 + 1)-1)/5, IF(MAX(0, A206 - $F$13 + 1)&lt;=24, 14 - 14*(MAX(0, A206 - $F$13 + 1)-6)/18, 0)))) + (IF(MAX(0, A206 - $F$14 + 1)&lt;=0, 0, IF(MAX(0, A206 - $F$14 + 1)&lt;=6, 70 - (70-14)*(MAX(0, A206 - $F$14 + 1)-1)/5, IF(MAX(0, A206 - $F$14 + 1)&lt;=24, 14 - 14*(MAX(0, A206 - $F$14 + 1)-6)/18, 0)))) ) * 200 / 12 / 1000</f>
        <v/>
      </c>
      <c r="F206" s="306">
        <f>IF(A206&lt;$F$6,0,IF(AND($B$21=1,A206&gt;$B$19),0,$E$6*$G$6^MIN((A206-$F$6)/12,6)*MIN($G$6,0.85)^MAX(0,(A206-$F$6)/12-6)))</f>
        <v/>
      </c>
      <c r="G206" s="306">
        <f>IF(A206&lt;$F$7,0,IF(AND($B$21=1,A206&gt;$B$19),0,$E$7*$G$7^MIN((A206-$F$7)/12,6)*MIN($G$7,0.85)^MAX(0,(A206-$F$7)/12-6)))</f>
        <v/>
      </c>
      <c r="H206" s="306">
        <f>IF(A206&lt;$F$8,0,IF(AND($B$21=1,A206&gt;$B$19),0,$E$8*$G$8^MIN((A206-$F$8)/12,6)*MIN($G$8,0.85)^MAX(0,(A206-$F$8)/12-6)))</f>
        <v/>
      </c>
      <c r="I206" s="306">
        <f>IF(A206&lt;$F$9,0,IF(AND($B$21=1,A206&gt;$B$19),0,$E$9*$G$9^MIN((A206-$F$9)/12,6)*MIN($G$9,0.85)^MAX(0,(A206-$F$9)/12-6)))</f>
        <v/>
      </c>
      <c r="J206" s="306">
        <f>IF(A206&lt;$F$10,0,IF(AND($B$21=1,A206&gt;$B$19),0,$E$10*$G$10^MIN((A206-$F$10)/12,6)*MIN($G$10,0.85)^MAX(0,(A206-$F$10)/12-6)))</f>
        <v/>
      </c>
      <c r="K206" s="306">
        <f>IF(A206&lt;$F$11,0,IF(AND($B$21=1,A206&gt;$B$19),0,$E$11*$G$11^MIN((A206-$F$11)/12,6)*MIN($G$11,0.85)^MAX(0,(A206-$F$11)/12-6)))</f>
        <v/>
      </c>
      <c r="L206" s="306">
        <f>IF(A206&lt;$F$12,0,IF(AND($B$21=1,A206&gt;$B$19),0,$E$12*$G$12^MIN((A206-$F$12)/12,6)*MIN($G$12,0.85)^MAX(0,(A206-$F$12)/12-6)))</f>
        <v/>
      </c>
      <c r="M206" s="306">
        <f>IF(A206&lt;$F$13,0,IF(AND($B$21=1,A206&gt;$B$19),0,$E$13*$G$13^MIN((A206-$F$13)/12,6)*MIN($G$13,0.85)^MAX(0,(A206-$F$13)/12-6)))</f>
        <v/>
      </c>
      <c r="N206" s="306">
        <f>IF(A206&lt;$F$14,0,IF(AND($B$21=1,A206&gt;$B$19),0,$E$14*$G$14^MIN((A206-$F$14)/12,6)*MIN($G$14,0.85)^MAX(0,(A206-$F$14)/12-6)))</f>
        <v/>
      </c>
      <c r="O206" s="306">
        <f>SUM(F206:N206)</f>
        <v/>
      </c>
      <c r="P206" s="306">
        <f>O206/12</f>
        <v/>
      </c>
      <c r="Q206" s="306">
        <f>P206*$B$8</f>
        <v/>
      </c>
      <c r="R206" s="306">
        <f>P206*$B$9</f>
        <v/>
      </c>
      <c r="S206" s="306">
        <f>P206*$B$10</f>
        <v/>
      </c>
      <c r="T206" s="306">
        <f>P206-Q206-R206-S206-D206-E206</f>
        <v/>
      </c>
      <c r="U206" s="306">
        <f>MAX(0, T206 - $B$7*P206)</f>
        <v/>
      </c>
      <c r="V206" s="306">
        <f>T206-U206</f>
        <v/>
      </c>
      <c r="W206" s="306">
        <f>IF(A206=$F$6, $B$18*$B$16*$B$17/1000000, 0) + IF(A206=$F$7, $B$18*$B$16*$B$17/1000000, 0) + IF(A206=$F$8, $B$18*$B$16*$B$17/1000000, 0) + IF(A206=$F$9, $B$18*$B$16*$B$17/1000000, 0) + IF(A206=$F$10, $B$18*$B$16*$B$17/1000000, 0) + IF(A206=$F$11, $B$18*$B$16*$B$17/1000000, 0) + IF(A206=$F$12, $B$18*$B$16*$B$17/1000000, 0) + IF(A206=$F$13, $B$18*$B$16*$B$17/1000000, 0) + IF(A206=$F$14, $B$18*$B$16*$B$17/1000000, 0)</f>
        <v/>
      </c>
      <c r="X206" s="306">
        <f>V206-W206-C206</f>
        <v/>
      </c>
      <c r="Y206" s="306">
        <f>IF(AND(A206&lt;=$B$24, X206&gt;0), X206*$B$23, 0)</f>
        <v/>
      </c>
      <c r="Z206" s="306">
        <f>X206-Y206</f>
        <v/>
      </c>
      <c r="AA206" s="306">
        <f>IF(AND(A206=$B$19, $B$21=1), O206*$B$20, 0)</f>
        <v/>
      </c>
      <c r="AB206" s="306">
        <f>AB205+Z206+AA206</f>
        <v/>
      </c>
    </row>
    <row r="207">
      <c r="A207" s="306" t="n">
        <v>177</v>
      </c>
      <c r="B207" s="306">
        <f>CEILING(A207/12,1)</f>
        <v/>
      </c>
      <c r="C207" s="306">
        <f>IF(A207&lt;=12, $B$15/12, 0)</f>
        <v/>
      </c>
      <c r="D207" s="306">
        <f>INDEX('26. Team Comp'!$D$28:$R$28, B207) * 0.001 / 12</f>
        <v/>
      </c>
      <c r="E207" s="306">
        <f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+ (IF(MAX(0, A207 - $F$11 + 1)&lt;=0, 0, IF(MAX(0, A207 - $F$11 + 1)&lt;=6, 70 - (70-14)*(MAX(0, A207 - $F$11 + 1)-1)/5, IF(MAX(0, A207 - $F$11 + 1)&lt;=24, 14 - 14*(MAX(0, A207 - $F$11 + 1)-6)/18, 0)))) + (IF(MAX(0, A207 - $F$12 + 1)&lt;=0, 0, IF(MAX(0, A207 - $F$12 + 1)&lt;=6, 70 - (70-14)*(MAX(0, A207 - $F$12 + 1)-1)/5, IF(MAX(0, A207 - $F$12 + 1)&lt;=24, 14 - 14*(MAX(0, A207 - $F$12 + 1)-6)/18, 0)))) + (IF(MAX(0, A207 - $F$13 + 1)&lt;=0, 0, IF(MAX(0, A207 - $F$13 + 1)&lt;=6, 70 - (70-14)*(MAX(0, A207 - $F$13 + 1)-1)/5, IF(MAX(0, A207 - $F$13 + 1)&lt;=24, 14 - 14*(MAX(0, A207 - $F$13 + 1)-6)/18, 0)))) + (IF(MAX(0, A207 - $F$14 + 1)&lt;=0, 0, IF(MAX(0, A207 - $F$14 + 1)&lt;=6, 70 - (70-14)*(MAX(0, A207 - $F$14 + 1)-1)/5, IF(MAX(0, A207 - $F$14 + 1)&lt;=24, 14 - 14*(MAX(0, A207 - $F$14 + 1)-6)/18, 0)))) ) * 200 / 12 / 1000</f>
        <v/>
      </c>
      <c r="F207" s="306">
        <f>IF(A207&lt;$F$6,0,IF(AND($B$21=1,A207&gt;$B$19),0,$E$6*$G$6^MIN((A207-$F$6)/12,6)*MIN($G$6,0.85)^MAX(0,(A207-$F$6)/12-6)))</f>
        <v/>
      </c>
      <c r="G207" s="306">
        <f>IF(A207&lt;$F$7,0,IF(AND($B$21=1,A207&gt;$B$19),0,$E$7*$G$7^MIN((A207-$F$7)/12,6)*MIN($G$7,0.85)^MAX(0,(A207-$F$7)/12-6)))</f>
        <v/>
      </c>
      <c r="H207" s="306">
        <f>IF(A207&lt;$F$8,0,IF(AND($B$21=1,A207&gt;$B$19),0,$E$8*$G$8^MIN((A207-$F$8)/12,6)*MIN($G$8,0.85)^MAX(0,(A207-$F$8)/12-6)))</f>
        <v/>
      </c>
      <c r="I207" s="306">
        <f>IF(A207&lt;$F$9,0,IF(AND($B$21=1,A207&gt;$B$19),0,$E$9*$G$9^MIN((A207-$F$9)/12,6)*MIN($G$9,0.85)^MAX(0,(A207-$F$9)/12-6)))</f>
        <v/>
      </c>
      <c r="J207" s="306">
        <f>IF(A207&lt;$F$10,0,IF(AND($B$21=1,A207&gt;$B$19),0,$E$10*$G$10^MIN((A207-$F$10)/12,6)*MIN($G$10,0.85)^MAX(0,(A207-$F$10)/12-6)))</f>
        <v/>
      </c>
      <c r="K207" s="306">
        <f>IF(A207&lt;$F$11,0,IF(AND($B$21=1,A207&gt;$B$19),0,$E$11*$G$11^MIN((A207-$F$11)/12,6)*MIN($G$11,0.85)^MAX(0,(A207-$F$11)/12-6)))</f>
        <v/>
      </c>
      <c r="L207" s="306">
        <f>IF(A207&lt;$F$12,0,IF(AND($B$21=1,A207&gt;$B$19),0,$E$12*$G$12^MIN((A207-$F$12)/12,6)*MIN($G$12,0.85)^MAX(0,(A207-$F$12)/12-6)))</f>
        <v/>
      </c>
      <c r="M207" s="306">
        <f>IF(A207&lt;$F$13,0,IF(AND($B$21=1,A207&gt;$B$19),0,$E$13*$G$13^MIN((A207-$F$13)/12,6)*MIN($G$13,0.85)^MAX(0,(A207-$F$13)/12-6)))</f>
        <v/>
      </c>
      <c r="N207" s="306">
        <f>IF(A207&lt;$F$14,0,IF(AND($B$21=1,A207&gt;$B$19),0,$E$14*$G$14^MIN((A207-$F$14)/12,6)*MIN($G$14,0.85)^MAX(0,(A207-$F$14)/12-6)))</f>
        <v/>
      </c>
      <c r="O207" s="306">
        <f>SUM(F207:N207)</f>
        <v/>
      </c>
      <c r="P207" s="306">
        <f>O207/12</f>
        <v/>
      </c>
      <c r="Q207" s="306">
        <f>P207*$B$8</f>
        <v/>
      </c>
      <c r="R207" s="306">
        <f>P207*$B$9</f>
        <v/>
      </c>
      <c r="S207" s="306">
        <f>P207*$B$10</f>
        <v/>
      </c>
      <c r="T207" s="306">
        <f>P207-Q207-R207-S207-D207-E207</f>
        <v/>
      </c>
      <c r="U207" s="306">
        <f>MAX(0, T207 - $B$7*P207)</f>
        <v/>
      </c>
      <c r="V207" s="306">
        <f>T207-U207</f>
        <v/>
      </c>
      <c r="W207" s="306">
        <f>IF(A207=$F$6, $B$18*$B$16*$B$17/1000000, 0) + IF(A207=$F$7, $B$18*$B$16*$B$17/1000000, 0) + IF(A207=$F$8, $B$18*$B$16*$B$17/1000000, 0) + IF(A207=$F$9, $B$18*$B$16*$B$17/1000000, 0) + IF(A207=$F$10, $B$18*$B$16*$B$17/1000000, 0) + IF(A207=$F$11, $B$18*$B$16*$B$17/1000000, 0) + IF(A207=$F$12, $B$18*$B$16*$B$17/1000000, 0) + IF(A207=$F$13, $B$18*$B$16*$B$17/1000000, 0) + IF(A207=$F$14, $B$18*$B$16*$B$17/1000000, 0)</f>
        <v/>
      </c>
      <c r="X207" s="306">
        <f>V207-W207-C207</f>
        <v/>
      </c>
      <c r="Y207" s="306">
        <f>IF(AND(A207&lt;=$B$24, X207&gt;0), X207*$B$23, 0)</f>
        <v/>
      </c>
      <c r="Z207" s="306">
        <f>X207-Y207</f>
        <v/>
      </c>
      <c r="AA207" s="306">
        <f>IF(AND(A207=$B$19, $B$21=1), O207*$B$20, 0)</f>
        <v/>
      </c>
      <c r="AB207" s="306">
        <f>AB206+Z207+AA207</f>
        <v/>
      </c>
    </row>
    <row r="208">
      <c r="A208" s="306" t="n">
        <v>178</v>
      </c>
      <c r="B208" s="306">
        <f>CEILING(A208/12,1)</f>
        <v/>
      </c>
      <c r="C208" s="306">
        <f>IF(A208&lt;=12, $B$15/12, 0)</f>
        <v/>
      </c>
      <c r="D208" s="306">
        <f>INDEX('26. Team Comp'!$D$28:$R$28, B208) * 0.001 / 12</f>
        <v/>
      </c>
      <c r="E208" s="306">
        <f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+ (IF(MAX(0, A208 - $F$11 + 1)&lt;=0, 0, IF(MAX(0, A208 - $F$11 + 1)&lt;=6, 70 - (70-14)*(MAX(0, A208 - $F$11 + 1)-1)/5, IF(MAX(0, A208 - $F$11 + 1)&lt;=24, 14 - 14*(MAX(0, A208 - $F$11 + 1)-6)/18, 0)))) + (IF(MAX(0, A208 - $F$12 + 1)&lt;=0, 0, IF(MAX(0, A208 - $F$12 + 1)&lt;=6, 70 - (70-14)*(MAX(0, A208 - $F$12 + 1)-1)/5, IF(MAX(0, A208 - $F$12 + 1)&lt;=24, 14 - 14*(MAX(0, A208 - $F$12 + 1)-6)/18, 0)))) + (IF(MAX(0, A208 - $F$13 + 1)&lt;=0, 0, IF(MAX(0, A208 - $F$13 + 1)&lt;=6, 70 - (70-14)*(MAX(0, A208 - $F$13 + 1)-1)/5, IF(MAX(0, A208 - $F$13 + 1)&lt;=24, 14 - 14*(MAX(0, A208 - $F$13 + 1)-6)/18, 0)))) + (IF(MAX(0, A208 - $F$14 + 1)&lt;=0, 0, IF(MAX(0, A208 - $F$14 + 1)&lt;=6, 70 - (70-14)*(MAX(0, A208 - $F$14 + 1)-1)/5, IF(MAX(0, A208 - $F$14 + 1)&lt;=24, 14 - 14*(MAX(0, A208 - $F$14 + 1)-6)/18, 0)))) ) * 200 / 12 / 1000</f>
        <v/>
      </c>
      <c r="F208" s="306">
        <f>IF(A208&lt;$F$6,0,IF(AND($B$21=1,A208&gt;$B$19),0,$E$6*$G$6^MIN((A208-$F$6)/12,6)*MIN($G$6,0.85)^MAX(0,(A208-$F$6)/12-6)))</f>
        <v/>
      </c>
      <c r="G208" s="306">
        <f>IF(A208&lt;$F$7,0,IF(AND($B$21=1,A208&gt;$B$19),0,$E$7*$G$7^MIN((A208-$F$7)/12,6)*MIN($G$7,0.85)^MAX(0,(A208-$F$7)/12-6)))</f>
        <v/>
      </c>
      <c r="H208" s="306">
        <f>IF(A208&lt;$F$8,0,IF(AND($B$21=1,A208&gt;$B$19),0,$E$8*$G$8^MIN((A208-$F$8)/12,6)*MIN($G$8,0.85)^MAX(0,(A208-$F$8)/12-6)))</f>
        <v/>
      </c>
      <c r="I208" s="306">
        <f>IF(A208&lt;$F$9,0,IF(AND($B$21=1,A208&gt;$B$19),0,$E$9*$G$9^MIN((A208-$F$9)/12,6)*MIN($G$9,0.85)^MAX(0,(A208-$F$9)/12-6)))</f>
        <v/>
      </c>
      <c r="J208" s="306">
        <f>IF(A208&lt;$F$10,0,IF(AND($B$21=1,A208&gt;$B$19),0,$E$10*$G$10^MIN((A208-$F$10)/12,6)*MIN($G$10,0.85)^MAX(0,(A208-$F$10)/12-6)))</f>
        <v/>
      </c>
      <c r="K208" s="306">
        <f>IF(A208&lt;$F$11,0,IF(AND($B$21=1,A208&gt;$B$19),0,$E$11*$G$11^MIN((A208-$F$11)/12,6)*MIN($G$11,0.85)^MAX(0,(A208-$F$11)/12-6)))</f>
        <v/>
      </c>
      <c r="L208" s="306">
        <f>IF(A208&lt;$F$12,0,IF(AND($B$21=1,A208&gt;$B$19),0,$E$12*$G$12^MIN((A208-$F$12)/12,6)*MIN($G$12,0.85)^MAX(0,(A208-$F$12)/12-6)))</f>
        <v/>
      </c>
      <c r="M208" s="306">
        <f>IF(A208&lt;$F$13,0,IF(AND($B$21=1,A208&gt;$B$19),0,$E$13*$G$13^MIN((A208-$F$13)/12,6)*MIN($G$13,0.85)^MAX(0,(A208-$F$13)/12-6)))</f>
        <v/>
      </c>
      <c r="N208" s="306">
        <f>IF(A208&lt;$F$14,0,IF(AND($B$21=1,A208&gt;$B$19),0,$E$14*$G$14^MIN((A208-$F$14)/12,6)*MIN($G$14,0.85)^MAX(0,(A208-$F$14)/12-6)))</f>
        <v/>
      </c>
      <c r="O208" s="306">
        <f>SUM(F208:N208)</f>
        <v/>
      </c>
      <c r="P208" s="306">
        <f>O208/12</f>
        <v/>
      </c>
      <c r="Q208" s="306">
        <f>P208*$B$8</f>
        <v/>
      </c>
      <c r="R208" s="306">
        <f>P208*$B$9</f>
        <v/>
      </c>
      <c r="S208" s="306">
        <f>P208*$B$10</f>
        <v/>
      </c>
      <c r="T208" s="306">
        <f>P208-Q208-R208-S208-D208-E208</f>
        <v/>
      </c>
      <c r="U208" s="306">
        <f>MAX(0, T208 - $B$7*P208)</f>
        <v/>
      </c>
      <c r="V208" s="306">
        <f>T208-U208</f>
        <v/>
      </c>
      <c r="W208" s="306">
        <f>IF(A208=$F$6, $B$18*$B$16*$B$17/1000000, 0) + IF(A208=$F$7, $B$18*$B$16*$B$17/1000000, 0) + IF(A208=$F$8, $B$18*$B$16*$B$17/1000000, 0) + IF(A208=$F$9, $B$18*$B$16*$B$17/1000000, 0) + IF(A208=$F$10, $B$18*$B$16*$B$17/1000000, 0) + IF(A208=$F$11, $B$18*$B$16*$B$17/1000000, 0) + IF(A208=$F$12, $B$18*$B$16*$B$17/1000000, 0) + IF(A208=$F$13, $B$18*$B$16*$B$17/1000000, 0) + IF(A208=$F$14, $B$18*$B$16*$B$17/1000000, 0)</f>
        <v/>
      </c>
      <c r="X208" s="306">
        <f>V208-W208-C208</f>
        <v/>
      </c>
      <c r="Y208" s="306">
        <f>IF(AND(A208&lt;=$B$24, X208&gt;0), X208*$B$23, 0)</f>
        <v/>
      </c>
      <c r="Z208" s="306">
        <f>X208-Y208</f>
        <v/>
      </c>
      <c r="AA208" s="306">
        <f>IF(AND(A208=$B$19, $B$21=1), O208*$B$20, 0)</f>
        <v/>
      </c>
      <c r="AB208" s="306">
        <f>AB207+Z208+AA208</f>
        <v/>
      </c>
    </row>
    <row r="209">
      <c r="A209" s="306" t="n">
        <v>179</v>
      </c>
      <c r="B209" s="306">
        <f>CEILING(A209/12,1)</f>
        <v/>
      </c>
      <c r="C209" s="306">
        <f>IF(A209&lt;=12, $B$15/12, 0)</f>
        <v/>
      </c>
      <c r="D209" s="306">
        <f>INDEX('26. Team Comp'!$D$28:$R$28, B209) * 0.001 / 12</f>
        <v/>
      </c>
      <c r="E209" s="306">
        <f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+ (IF(MAX(0, A209 - $F$11 + 1)&lt;=0, 0, IF(MAX(0, A209 - $F$11 + 1)&lt;=6, 70 - (70-14)*(MAX(0, A209 - $F$11 + 1)-1)/5, IF(MAX(0, A209 - $F$11 + 1)&lt;=24, 14 - 14*(MAX(0, A209 - $F$11 + 1)-6)/18, 0)))) + (IF(MAX(0, A209 - $F$12 + 1)&lt;=0, 0, IF(MAX(0, A209 - $F$12 + 1)&lt;=6, 70 - (70-14)*(MAX(0, A209 - $F$12 + 1)-1)/5, IF(MAX(0, A209 - $F$12 + 1)&lt;=24, 14 - 14*(MAX(0, A209 - $F$12 + 1)-6)/18, 0)))) + (IF(MAX(0, A209 - $F$13 + 1)&lt;=0, 0, IF(MAX(0, A209 - $F$13 + 1)&lt;=6, 70 - (70-14)*(MAX(0, A209 - $F$13 + 1)-1)/5, IF(MAX(0, A209 - $F$13 + 1)&lt;=24, 14 - 14*(MAX(0, A209 - $F$13 + 1)-6)/18, 0)))) + (IF(MAX(0, A209 - $F$14 + 1)&lt;=0, 0, IF(MAX(0, A209 - $F$14 + 1)&lt;=6, 70 - (70-14)*(MAX(0, A209 - $F$14 + 1)-1)/5, IF(MAX(0, A209 - $F$14 + 1)&lt;=24, 14 - 14*(MAX(0, A209 - $F$14 + 1)-6)/18, 0)))) ) * 200 / 12 / 1000</f>
        <v/>
      </c>
      <c r="F209" s="306">
        <f>IF(A209&lt;$F$6,0,IF(AND($B$21=1,A209&gt;$B$19),0,$E$6*$G$6^MIN((A209-$F$6)/12,6)*MIN($G$6,0.85)^MAX(0,(A209-$F$6)/12-6)))</f>
        <v/>
      </c>
      <c r="G209" s="306">
        <f>IF(A209&lt;$F$7,0,IF(AND($B$21=1,A209&gt;$B$19),0,$E$7*$G$7^MIN((A209-$F$7)/12,6)*MIN($G$7,0.85)^MAX(0,(A209-$F$7)/12-6)))</f>
        <v/>
      </c>
      <c r="H209" s="306">
        <f>IF(A209&lt;$F$8,0,IF(AND($B$21=1,A209&gt;$B$19),0,$E$8*$G$8^MIN((A209-$F$8)/12,6)*MIN($G$8,0.85)^MAX(0,(A209-$F$8)/12-6)))</f>
        <v/>
      </c>
      <c r="I209" s="306">
        <f>IF(A209&lt;$F$9,0,IF(AND($B$21=1,A209&gt;$B$19),0,$E$9*$G$9^MIN((A209-$F$9)/12,6)*MIN($G$9,0.85)^MAX(0,(A209-$F$9)/12-6)))</f>
        <v/>
      </c>
      <c r="J209" s="306">
        <f>IF(A209&lt;$F$10,0,IF(AND($B$21=1,A209&gt;$B$19),0,$E$10*$G$10^MIN((A209-$F$10)/12,6)*MIN($G$10,0.85)^MAX(0,(A209-$F$10)/12-6)))</f>
        <v/>
      </c>
      <c r="K209" s="306">
        <f>IF(A209&lt;$F$11,0,IF(AND($B$21=1,A209&gt;$B$19),0,$E$11*$G$11^MIN((A209-$F$11)/12,6)*MIN($G$11,0.85)^MAX(0,(A209-$F$11)/12-6)))</f>
        <v/>
      </c>
      <c r="L209" s="306">
        <f>IF(A209&lt;$F$12,0,IF(AND($B$21=1,A209&gt;$B$19),0,$E$12*$G$12^MIN((A209-$F$12)/12,6)*MIN($G$12,0.85)^MAX(0,(A209-$F$12)/12-6)))</f>
        <v/>
      </c>
      <c r="M209" s="306">
        <f>IF(A209&lt;$F$13,0,IF(AND($B$21=1,A209&gt;$B$19),0,$E$13*$G$13^MIN((A209-$F$13)/12,6)*MIN($G$13,0.85)^MAX(0,(A209-$F$13)/12-6)))</f>
        <v/>
      </c>
      <c r="N209" s="306">
        <f>IF(A209&lt;$F$14,0,IF(AND($B$21=1,A209&gt;$B$19),0,$E$14*$G$14^MIN((A209-$F$14)/12,6)*MIN($G$14,0.85)^MAX(0,(A209-$F$14)/12-6)))</f>
        <v/>
      </c>
      <c r="O209" s="306">
        <f>SUM(F209:N209)</f>
        <v/>
      </c>
      <c r="P209" s="306">
        <f>O209/12</f>
        <v/>
      </c>
      <c r="Q209" s="306">
        <f>P209*$B$8</f>
        <v/>
      </c>
      <c r="R209" s="306">
        <f>P209*$B$9</f>
        <v/>
      </c>
      <c r="S209" s="306">
        <f>P209*$B$10</f>
        <v/>
      </c>
      <c r="T209" s="306">
        <f>P209-Q209-R209-S209-D209-E209</f>
        <v/>
      </c>
      <c r="U209" s="306">
        <f>MAX(0, T209 - $B$7*P209)</f>
        <v/>
      </c>
      <c r="V209" s="306">
        <f>T209-U209</f>
        <v/>
      </c>
      <c r="W209" s="306">
        <f>IF(A209=$F$6, $B$18*$B$16*$B$17/1000000, 0) + IF(A209=$F$7, $B$18*$B$16*$B$17/1000000, 0) + IF(A209=$F$8, $B$18*$B$16*$B$17/1000000, 0) + IF(A209=$F$9, $B$18*$B$16*$B$17/1000000, 0) + IF(A209=$F$10, $B$18*$B$16*$B$17/1000000, 0) + IF(A209=$F$11, $B$18*$B$16*$B$17/1000000, 0) + IF(A209=$F$12, $B$18*$B$16*$B$17/1000000, 0) + IF(A209=$F$13, $B$18*$B$16*$B$17/1000000, 0) + IF(A209=$F$14, $B$18*$B$16*$B$17/1000000, 0)</f>
        <v/>
      </c>
      <c r="X209" s="306">
        <f>V209-W209-C209</f>
        <v/>
      </c>
      <c r="Y209" s="306">
        <f>IF(AND(A209&lt;=$B$24, X209&gt;0), X209*$B$23, 0)</f>
        <v/>
      </c>
      <c r="Z209" s="306">
        <f>X209-Y209</f>
        <v/>
      </c>
      <c r="AA209" s="306">
        <f>IF(AND(A209=$B$19, $B$21=1), O209*$B$20, 0)</f>
        <v/>
      </c>
      <c r="AB209" s="306">
        <f>AB208+Z209+AA209</f>
        <v/>
      </c>
    </row>
    <row r="210">
      <c r="A210" s="306" t="n">
        <v>180</v>
      </c>
      <c r="B210" s="306">
        <f>CEILING(A210/12,1)</f>
        <v/>
      </c>
      <c r="C210" s="306">
        <f>IF(A210&lt;=12, $B$15/12, 0)</f>
        <v/>
      </c>
      <c r="D210" s="306">
        <f>INDEX('26. Team Comp'!$D$28:$R$28, B210) * 0.001 / 12</f>
        <v/>
      </c>
      <c r="E210" s="306">
        <f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+ (IF(MAX(0, A210 - $F$11 + 1)&lt;=0, 0, IF(MAX(0, A210 - $F$11 + 1)&lt;=6, 70 - (70-14)*(MAX(0, A210 - $F$11 + 1)-1)/5, IF(MAX(0, A210 - $F$11 + 1)&lt;=24, 14 - 14*(MAX(0, A210 - $F$11 + 1)-6)/18, 0)))) + (IF(MAX(0, A210 - $F$12 + 1)&lt;=0, 0, IF(MAX(0, A210 - $F$12 + 1)&lt;=6, 70 - (70-14)*(MAX(0, A210 - $F$12 + 1)-1)/5, IF(MAX(0, A210 - $F$12 + 1)&lt;=24, 14 - 14*(MAX(0, A210 - $F$12 + 1)-6)/18, 0)))) + (IF(MAX(0, A210 - $F$13 + 1)&lt;=0, 0, IF(MAX(0, A210 - $F$13 + 1)&lt;=6, 70 - (70-14)*(MAX(0, A210 - $F$13 + 1)-1)/5, IF(MAX(0, A210 - $F$13 + 1)&lt;=24, 14 - 14*(MAX(0, A210 - $F$13 + 1)-6)/18, 0)))) + (IF(MAX(0, A210 - $F$14 + 1)&lt;=0, 0, IF(MAX(0, A210 - $F$14 + 1)&lt;=6, 70 - (70-14)*(MAX(0, A210 - $F$14 + 1)-1)/5, IF(MAX(0, A210 - $F$14 + 1)&lt;=24, 14 - 14*(MAX(0, A210 - $F$14 + 1)-6)/18, 0)))) ) * 200 / 12 / 1000</f>
        <v/>
      </c>
      <c r="F210" s="306">
        <f>IF(A210&lt;$F$6,0,IF(AND($B$21=1,A210&gt;$B$19),0,$E$6*$G$6^MIN((A210-$F$6)/12,6)*MIN($G$6,0.85)^MAX(0,(A210-$F$6)/12-6)))</f>
        <v/>
      </c>
      <c r="G210" s="306">
        <f>IF(A210&lt;$F$7,0,IF(AND($B$21=1,A210&gt;$B$19),0,$E$7*$G$7^MIN((A210-$F$7)/12,6)*MIN($G$7,0.85)^MAX(0,(A210-$F$7)/12-6)))</f>
        <v/>
      </c>
      <c r="H210" s="306">
        <f>IF(A210&lt;$F$8,0,IF(AND($B$21=1,A210&gt;$B$19),0,$E$8*$G$8^MIN((A210-$F$8)/12,6)*MIN($G$8,0.85)^MAX(0,(A210-$F$8)/12-6)))</f>
        <v/>
      </c>
      <c r="I210" s="306">
        <f>IF(A210&lt;$F$9,0,IF(AND($B$21=1,A210&gt;$B$19),0,$E$9*$G$9^MIN((A210-$F$9)/12,6)*MIN($G$9,0.85)^MAX(0,(A210-$F$9)/12-6)))</f>
        <v/>
      </c>
      <c r="J210" s="306">
        <f>IF(A210&lt;$F$10,0,IF(AND($B$21=1,A210&gt;$B$19),0,$E$10*$G$10^MIN((A210-$F$10)/12,6)*MIN($G$10,0.85)^MAX(0,(A210-$F$10)/12-6)))</f>
        <v/>
      </c>
      <c r="K210" s="306">
        <f>IF(A210&lt;$F$11,0,IF(AND($B$21=1,A210&gt;$B$19),0,$E$11*$G$11^MIN((A210-$F$11)/12,6)*MIN($G$11,0.85)^MAX(0,(A210-$F$11)/12-6)))</f>
        <v/>
      </c>
      <c r="L210" s="306">
        <f>IF(A210&lt;$F$12,0,IF(AND($B$21=1,A210&gt;$B$19),0,$E$12*$G$12^MIN((A210-$F$12)/12,6)*MIN($G$12,0.85)^MAX(0,(A210-$F$12)/12-6)))</f>
        <v/>
      </c>
      <c r="M210" s="306">
        <f>IF(A210&lt;$F$13,0,IF(AND($B$21=1,A210&gt;$B$19),0,$E$13*$G$13^MIN((A210-$F$13)/12,6)*MIN($G$13,0.85)^MAX(0,(A210-$F$13)/12-6)))</f>
        <v/>
      </c>
      <c r="N210" s="306">
        <f>IF(A210&lt;$F$14,0,IF(AND($B$21=1,A210&gt;$B$19),0,$E$14*$G$14^MIN((A210-$F$14)/12,6)*MIN($G$14,0.85)^MAX(0,(A210-$F$14)/12-6)))</f>
        <v/>
      </c>
      <c r="O210" s="306">
        <f>SUM(F210:N210)</f>
        <v/>
      </c>
      <c r="P210" s="306">
        <f>O210/12</f>
        <v/>
      </c>
      <c r="Q210" s="306">
        <f>P210*$B$8</f>
        <v/>
      </c>
      <c r="R210" s="306">
        <f>P210*$B$9</f>
        <v/>
      </c>
      <c r="S210" s="306">
        <f>P210*$B$10</f>
        <v/>
      </c>
      <c r="T210" s="306">
        <f>P210-Q210-R210-S210-D210-E210</f>
        <v/>
      </c>
      <c r="U210" s="306">
        <f>MAX(0, T210 - $B$7*P210)</f>
        <v/>
      </c>
      <c r="V210" s="306">
        <f>T210-U210</f>
        <v/>
      </c>
      <c r="W210" s="306">
        <f>IF(A210=$F$6, $B$18*$B$16*$B$17/1000000, 0) + IF(A210=$F$7, $B$18*$B$16*$B$17/1000000, 0) + IF(A210=$F$8, $B$18*$B$16*$B$17/1000000, 0) + IF(A210=$F$9, $B$18*$B$16*$B$17/1000000, 0) + IF(A210=$F$10, $B$18*$B$16*$B$17/1000000, 0) + IF(A210=$F$11, $B$18*$B$16*$B$17/1000000, 0) + IF(A210=$F$12, $B$18*$B$16*$B$17/1000000, 0) + IF(A210=$F$13, $B$18*$B$16*$B$17/1000000, 0) + IF(A210=$F$14, $B$18*$B$16*$B$17/1000000, 0)</f>
        <v/>
      </c>
      <c r="X210" s="306">
        <f>V210-W210-C210</f>
        <v/>
      </c>
      <c r="Y210" s="306">
        <f>IF(AND(A210&lt;=$B$24, X210&gt;0), X210*$B$23, 0)</f>
        <v/>
      </c>
      <c r="Z210" s="306">
        <f>X210-Y210</f>
        <v/>
      </c>
      <c r="AA210" s="306">
        <f>IF(AND(A210=$B$19, $B$21=1), O210*$B$20, 0) + IF(AND(A210=180, $B$21=0), O210*'1. Press Assumptions'!$B$141, 0)</f>
        <v/>
      </c>
      <c r="AB210" s="306">
        <f>AB209+Z210+AA210</f>
        <v/>
      </c>
    </row>
    <row r="213">
      <c r="A213" s="642" t="inlineStr">
        <is>
          <t>ANNUAL ROLLUP</t>
        </is>
      </c>
    </row>
    <row r="214" ht="28" customHeight="1" s="307">
      <c r="A214" s="643" t="inlineStr">
        <is>
          <t>Year</t>
        </is>
      </c>
      <c r="B214" s="643" t="inlineStr">
        <is>
          <t>Revenue</t>
        </is>
      </c>
      <c r="C214" s="643" t="inlineStr">
        <is>
          <t>COGS</t>
        </is>
      </c>
      <c r="D214" s="643" t="inlineStr">
        <is>
          <t>Vendor</t>
        </is>
      </c>
      <c r="E214" s="643" t="inlineStr">
        <is>
          <t>Corp Alloc</t>
        </is>
      </c>
      <c r="F214" s="643" t="inlineStr">
        <is>
          <t>Team Comp</t>
        </is>
      </c>
      <c r="G214" s="643" t="inlineStr">
        <is>
          <t>Legacy HC</t>
        </is>
      </c>
      <c r="H214" s="643" t="inlineStr">
        <is>
          <t>Bonus Pool</t>
        </is>
      </c>
      <c r="I214" s="643" t="inlineStr">
        <is>
          <t>EBITDA</t>
        </is>
      </c>
      <c r="J214" s="643" t="inlineStr">
        <is>
          <t>Severance</t>
        </is>
      </c>
      <c r="K214" s="643" t="inlineStr">
        <is>
          <t>Mgmt Fee</t>
        </is>
      </c>
      <c r="L214" s="643" t="inlineStr">
        <is>
          <t>Dist Pre-Retain</t>
        </is>
      </c>
      <c r="M214" s="643" t="inlineStr">
        <is>
          <t>Retained</t>
        </is>
      </c>
      <c r="N214" s="643" t="inlineStr">
        <is>
          <t>Dist Post</t>
        </is>
      </c>
      <c r="O214" s="643" t="inlineStr">
        <is>
          <t>Exit Proceeds</t>
        </is>
      </c>
      <c r="P214" s="643" t="inlineStr">
        <is>
          <t>Total Distributable</t>
        </is>
      </c>
    </row>
    <row r="215">
      <c r="A215" s="306" t="n">
        <v>1</v>
      </c>
      <c r="B215" s="306">
        <f>SUM(P31:P42)</f>
        <v/>
      </c>
      <c r="C215" s="306">
        <f>SUM(Q31:Q42)</f>
        <v/>
      </c>
      <c r="D215" s="306">
        <f>SUM(R31:R42)</f>
        <v/>
      </c>
      <c r="E215" s="306">
        <f>SUM(S31:S42)</f>
        <v/>
      </c>
      <c r="F215" s="306">
        <f>SUM(D31:D42)</f>
        <v/>
      </c>
      <c r="G215" s="306">
        <f>SUM(E31:E42)</f>
        <v/>
      </c>
      <c r="H215" s="306">
        <f>SUM(U31:U42)</f>
        <v/>
      </c>
      <c r="I215" s="306">
        <f>SUM(V31:V42)</f>
        <v/>
      </c>
      <c r="J215" s="306">
        <f>SUM(W31:W42)</f>
        <v/>
      </c>
      <c r="K215" s="306">
        <f>SUM(C31:C42)</f>
        <v/>
      </c>
      <c r="L215" s="306">
        <f>SUM(X31:X42)</f>
        <v/>
      </c>
      <c r="M215" s="306">
        <f>SUM(Y31:Y42)</f>
        <v/>
      </c>
      <c r="N215" s="306">
        <f>SUM(Z31:Z42)</f>
        <v/>
      </c>
      <c r="O215" s="306">
        <f>SUM(AA31:AA42)</f>
        <v/>
      </c>
      <c r="P215" s="306">
        <f>N215+O215</f>
        <v/>
      </c>
    </row>
    <row r="216">
      <c r="A216" s="306" t="n">
        <v>2</v>
      </c>
      <c r="B216" s="306">
        <f>SUM(P43:P54)</f>
        <v/>
      </c>
      <c r="C216" s="306">
        <f>SUM(Q43:Q54)</f>
        <v/>
      </c>
      <c r="D216" s="306">
        <f>SUM(R43:R54)</f>
        <v/>
      </c>
      <c r="E216" s="306">
        <f>SUM(S43:S54)</f>
        <v/>
      </c>
      <c r="F216" s="306">
        <f>SUM(D43:D54)</f>
        <v/>
      </c>
      <c r="G216" s="306">
        <f>SUM(E43:E54)</f>
        <v/>
      </c>
      <c r="H216" s="306">
        <f>SUM(U43:U54)</f>
        <v/>
      </c>
      <c r="I216" s="306">
        <f>SUM(V43:V54)</f>
        <v/>
      </c>
      <c r="J216" s="306">
        <f>SUM(W43:W54)</f>
        <v/>
      </c>
      <c r="K216" s="306">
        <f>SUM(C43:C54)</f>
        <v/>
      </c>
      <c r="L216" s="306">
        <f>SUM(X43:X54)</f>
        <v/>
      </c>
      <c r="M216" s="306">
        <f>SUM(Y43:Y54)</f>
        <v/>
      </c>
      <c r="N216" s="306">
        <f>SUM(Z43:Z54)</f>
        <v/>
      </c>
      <c r="O216" s="306">
        <f>SUM(AA43:AA54)</f>
        <v/>
      </c>
      <c r="P216" s="306">
        <f>N216+O216</f>
        <v/>
      </c>
    </row>
    <row r="217">
      <c r="A217" s="306" t="n">
        <v>3</v>
      </c>
      <c r="B217" s="306">
        <f>SUM(P55:P66)</f>
        <v/>
      </c>
      <c r="C217" s="306">
        <f>SUM(Q55:Q66)</f>
        <v/>
      </c>
      <c r="D217" s="306">
        <f>SUM(R55:R66)</f>
        <v/>
      </c>
      <c r="E217" s="306">
        <f>SUM(S55:S66)</f>
        <v/>
      </c>
      <c r="F217" s="306">
        <f>SUM(D55:D66)</f>
        <v/>
      </c>
      <c r="G217" s="306">
        <f>SUM(E55:E66)</f>
        <v/>
      </c>
      <c r="H217" s="306">
        <f>SUM(U55:U66)</f>
        <v/>
      </c>
      <c r="I217" s="306">
        <f>SUM(V55:V66)</f>
        <v/>
      </c>
      <c r="J217" s="306">
        <f>SUM(W55:W66)</f>
        <v/>
      </c>
      <c r="K217" s="306">
        <f>SUM(C55:C66)</f>
        <v/>
      </c>
      <c r="L217" s="306">
        <f>SUM(X55:X66)</f>
        <v/>
      </c>
      <c r="M217" s="306">
        <f>SUM(Y55:Y66)</f>
        <v/>
      </c>
      <c r="N217" s="306">
        <f>SUM(Z55:Z66)</f>
        <v/>
      </c>
      <c r="O217" s="306">
        <f>SUM(AA55:AA66)</f>
        <v/>
      </c>
      <c r="P217" s="306">
        <f>N217+O217</f>
        <v/>
      </c>
    </row>
    <row r="218">
      <c r="A218" s="306" t="n">
        <v>4</v>
      </c>
      <c r="B218" s="306">
        <f>SUM(P67:P78)</f>
        <v/>
      </c>
      <c r="C218" s="306">
        <f>SUM(Q67:Q78)</f>
        <v/>
      </c>
      <c r="D218" s="306">
        <f>SUM(R67:R78)</f>
        <v/>
      </c>
      <c r="E218" s="306">
        <f>SUM(S67:S78)</f>
        <v/>
      </c>
      <c r="F218" s="306">
        <f>SUM(D67:D78)</f>
        <v/>
      </c>
      <c r="G218" s="306">
        <f>SUM(E67:E78)</f>
        <v/>
      </c>
      <c r="H218" s="306">
        <f>SUM(U67:U78)</f>
        <v/>
      </c>
      <c r="I218" s="306">
        <f>SUM(V67:V78)</f>
        <v/>
      </c>
      <c r="J218" s="306">
        <f>SUM(W67:W78)</f>
        <v/>
      </c>
      <c r="K218" s="306">
        <f>SUM(C67:C78)</f>
        <v/>
      </c>
      <c r="L218" s="306">
        <f>SUM(X67:X78)</f>
        <v/>
      </c>
      <c r="M218" s="306">
        <f>SUM(Y67:Y78)</f>
        <v/>
      </c>
      <c r="N218" s="306">
        <f>SUM(Z67:Z78)</f>
        <v/>
      </c>
      <c r="O218" s="306">
        <f>SUM(AA67:AA78)</f>
        <v/>
      </c>
      <c r="P218" s="306">
        <f>N218+O218</f>
        <v/>
      </c>
    </row>
    <row r="219">
      <c r="A219" s="306" t="n">
        <v>5</v>
      </c>
      <c r="B219" s="306">
        <f>SUM(P79:P90)</f>
        <v/>
      </c>
      <c r="C219" s="306">
        <f>SUM(Q79:Q90)</f>
        <v/>
      </c>
      <c r="D219" s="306">
        <f>SUM(R79:R90)</f>
        <v/>
      </c>
      <c r="E219" s="306">
        <f>SUM(S79:S90)</f>
        <v/>
      </c>
      <c r="F219" s="306">
        <f>SUM(D79:D90)</f>
        <v/>
      </c>
      <c r="G219" s="306">
        <f>SUM(E79:E90)</f>
        <v/>
      </c>
      <c r="H219" s="306">
        <f>SUM(U79:U90)</f>
        <v/>
      </c>
      <c r="I219" s="306">
        <f>SUM(V79:V90)</f>
        <v/>
      </c>
      <c r="J219" s="306">
        <f>SUM(W79:W90)</f>
        <v/>
      </c>
      <c r="K219" s="306">
        <f>SUM(C79:C90)</f>
        <v/>
      </c>
      <c r="L219" s="306">
        <f>SUM(X79:X90)</f>
        <v/>
      </c>
      <c r="M219" s="306">
        <f>SUM(Y79:Y90)</f>
        <v/>
      </c>
      <c r="N219" s="306">
        <f>SUM(Z79:Z90)</f>
        <v/>
      </c>
      <c r="O219" s="306">
        <f>SUM(AA79:AA90)</f>
        <v/>
      </c>
      <c r="P219" s="306">
        <f>N219+O219</f>
        <v/>
      </c>
    </row>
    <row r="220">
      <c r="A220" s="306" t="n">
        <v>6</v>
      </c>
      <c r="B220" s="306">
        <f>SUM(P91:P102)</f>
        <v/>
      </c>
      <c r="C220" s="306">
        <f>SUM(Q91:Q102)</f>
        <v/>
      </c>
      <c r="D220" s="306">
        <f>SUM(R91:R102)</f>
        <v/>
      </c>
      <c r="E220" s="306">
        <f>SUM(S91:S102)</f>
        <v/>
      </c>
      <c r="F220" s="306">
        <f>SUM(D91:D102)</f>
        <v/>
      </c>
      <c r="G220" s="306">
        <f>SUM(E91:E102)</f>
        <v/>
      </c>
      <c r="H220" s="306">
        <f>SUM(U91:U102)</f>
        <v/>
      </c>
      <c r="I220" s="306">
        <f>SUM(V91:V102)</f>
        <v/>
      </c>
      <c r="J220" s="306">
        <f>SUM(W91:W102)</f>
        <v/>
      </c>
      <c r="K220" s="306">
        <f>SUM(C91:C102)</f>
        <v/>
      </c>
      <c r="L220" s="306">
        <f>SUM(X91:X102)</f>
        <v/>
      </c>
      <c r="M220" s="306">
        <f>SUM(Y91:Y102)</f>
        <v/>
      </c>
      <c r="N220" s="306">
        <f>SUM(Z91:Z102)</f>
        <v/>
      </c>
      <c r="O220" s="306">
        <f>SUM(AA91:AA102)</f>
        <v/>
      </c>
      <c r="P220" s="306">
        <f>N220+O220</f>
        <v/>
      </c>
    </row>
    <row r="221">
      <c r="A221" s="306" t="n">
        <v>7</v>
      </c>
      <c r="B221" s="306">
        <f>SUM(P103:P114)</f>
        <v/>
      </c>
      <c r="C221" s="306">
        <f>SUM(Q103:Q114)</f>
        <v/>
      </c>
      <c r="D221" s="306">
        <f>SUM(R103:R114)</f>
        <v/>
      </c>
      <c r="E221" s="306">
        <f>SUM(S103:S114)</f>
        <v/>
      </c>
      <c r="F221" s="306">
        <f>SUM(D103:D114)</f>
        <v/>
      </c>
      <c r="G221" s="306">
        <f>SUM(E103:E114)</f>
        <v/>
      </c>
      <c r="H221" s="306">
        <f>SUM(U103:U114)</f>
        <v/>
      </c>
      <c r="I221" s="306">
        <f>SUM(V103:V114)</f>
        <v/>
      </c>
      <c r="J221" s="306">
        <f>SUM(W103:W114)</f>
        <v/>
      </c>
      <c r="K221" s="306">
        <f>SUM(C103:C114)</f>
        <v/>
      </c>
      <c r="L221" s="306">
        <f>SUM(X103:X114)</f>
        <v/>
      </c>
      <c r="M221" s="306">
        <f>SUM(Y103:Y114)</f>
        <v/>
      </c>
      <c r="N221" s="306">
        <f>SUM(Z103:Z114)</f>
        <v/>
      </c>
      <c r="O221" s="306">
        <f>SUM(AA103:AA114)</f>
        <v/>
      </c>
      <c r="P221" s="306">
        <f>N221+O221</f>
        <v/>
      </c>
    </row>
    <row r="222">
      <c r="A222" s="306" t="n">
        <v>8</v>
      </c>
      <c r="B222" s="306">
        <f>SUM(P115:P126)</f>
        <v/>
      </c>
      <c r="C222" s="306">
        <f>SUM(Q115:Q126)</f>
        <v/>
      </c>
      <c r="D222" s="306">
        <f>SUM(R115:R126)</f>
        <v/>
      </c>
      <c r="E222" s="306">
        <f>SUM(S115:S126)</f>
        <v/>
      </c>
      <c r="F222" s="306">
        <f>SUM(D115:D126)</f>
        <v/>
      </c>
      <c r="G222" s="306">
        <f>SUM(E115:E126)</f>
        <v/>
      </c>
      <c r="H222" s="306">
        <f>SUM(U115:U126)</f>
        <v/>
      </c>
      <c r="I222" s="306">
        <f>SUM(V115:V126)</f>
        <v/>
      </c>
      <c r="J222" s="306">
        <f>SUM(W115:W126)</f>
        <v/>
      </c>
      <c r="K222" s="306">
        <f>SUM(C115:C126)</f>
        <v/>
      </c>
      <c r="L222" s="306">
        <f>SUM(X115:X126)</f>
        <v/>
      </c>
      <c r="M222" s="306">
        <f>SUM(Y115:Y126)</f>
        <v/>
      </c>
      <c r="N222" s="306">
        <f>SUM(Z115:Z126)</f>
        <v/>
      </c>
      <c r="O222" s="306">
        <f>SUM(AA115:AA126)</f>
        <v/>
      </c>
      <c r="P222" s="306">
        <f>N222+O222</f>
        <v/>
      </c>
    </row>
    <row r="223">
      <c r="A223" s="306" t="n">
        <v>9</v>
      </c>
      <c r="B223" s="306">
        <f>SUM(P127:P138)</f>
        <v/>
      </c>
      <c r="C223" s="306">
        <f>SUM(Q127:Q138)</f>
        <v/>
      </c>
      <c r="D223" s="306">
        <f>SUM(R127:R138)</f>
        <v/>
      </c>
      <c r="E223" s="306">
        <f>SUM(S127:S138)</f>
        <v/>
      </c>
      <c r="F223" s="306">
        <f>SUM(D127:D138)</f>
        <v/>
      </c>
      <c r="G223" s="306">
        <f>SUM(E127:E138)</f>
        <v/>
      </c>
      <c r="H223" s="306">
        <f>SUM(U127:U138)</f>
        <v/>
      </c>
      <c r="I223" s="306">
        <f>SUM(V127:V138)</f>
        <v/>
      </c>
      <c r="J223" s="306">
        <f>SUM(W127:W138)</f>
        <v/>
      </c>
      <c r="K223" s="306">
        <f>SUM(C127:C138)</f>
        <v/>
      </c>
      <c r="L223" s="306">
        <f>SUM(X127:X138)</f>
        <v/>
      </c>
      <c r="M223" s="306">
        <f>SUM(Y127:Y138)</f>
        <v/>
      </c>
      <c r="N223" s="306">
        <f>SUM(Z127:Z138)</f>
        <v/>
      </c>
      <c r="O223" s="306">
        <f>SUM(AA127:AA138)</f>
        <v/>
      </c>
      <c r="P223" s="306">
        <f>N223+O223</f>
        <v/>
      </c>
    </row>
    <row r="224">
      <c r="A224" s="306" t="n">
        <v>10</v>
      </c>
      <c r="B224" s="306">
        <f>SUM(P139:P150)</f>
        <v/>
      </c>
      <c r="C224" s="306">
        <f>SUM(Q139:Q150)</f>
        <v/>
      </c>
      <c r="D224" s="306">
        <f>SUM(R139:R150)</f>
        <v/>
      </c>
      <c r="E224" s="306">
        <f>SUM(S139:S150)</f>
        <v/>
      </c>
      <c r="F224" s="306">
        <f>SUM(D139:D150)</f>
        <v/>
      </c>
      <c r="G224" s="306">
        <f>SUM(E139:E150)</f>
        <v/>
      </c>
      <c r="H224" s="306">
        <f>SUM(U139:U150)</f>
        <v/>
      </c>
      <c r="I224" s="306">
        <f>SUM(V139:V150)</f>
        <v/>
      </c>
      <c r="J224" s="306">
        <f>SUM(W139:W150)</f>
        <v/>
      </c>
      <c r="K224" s="306">
        <f>SUM(C139:C150)</f>
        <v/>
      </c>
      <c r="L224" s="306">
        <f>SUM(X139:X150)</f>
        <v/>
      </c>
      <c r="M224" s="306">
        <f>SUM(Y139:Y150)</f>
        <v/>
      </c>
      <c r="N224" s="306">
        <f>SUM(Z139:Z150)</f>
        <v/>
      </c>
      <c r="O224" s="306">
        <f>SUM(AA139:AA150)</f>
        <v/>
      </c>
      <c r="P224" s="306">
        <f>N224+O224</f>
        <v/>
      </c>
    </row>
    <row r="225">
      <c r="A225" s="306" t="n">
        <v>11</v>
      </c>
      <c r="B225" s="306">
        <f>SUM(P151:P162)</f>
        <v/>
      </c>
      <c r="C225" s="306">
        <f>SUM(Q151:Q162)</f>
        <v/>
      </c>
      <c r="D225" s="306">
        <f>SUM(R151:R162)</f>
        <v/>
      </c>
      <c r="E225" s="306">
        <f>SUM(S151:S162)</f>
        <v/>
      </c>
      <c r="F225" s="306">
        <f>SUM(D151:D162)</f>
        <v/>
      </c>
      <c r="G225" s="306">
        <f>SUM(E151:E162)</f>
        <v/>
      </c>
      <c r="H225" s="306">
        <f>SUM(U151:U162)</f>
        <v/>
      </c>
      <c r="I225" s="306">
        <f>SUM(V151:V162)</f>
        <v/>
      </c>
      <c r="J225" s="306">
        <f>SUM(W151:W162)</f>
        <v/>
      </c>
      <c r="K225" s="306">
        <f>SUM(C151:C162)</f>
        <v/>
      </c>
      <c r="L225" s="306">
        <f>SUM(X151:X162)</f>
        <v/>
      </c>
      <c r="M225" s="306">
        <f>SUM(Y151:Y162)</f>
        <v/>
      </c>
      <c r="N225" s="306">
        <f>SUM(Z151:Z162)</f>
        <v/>
      </c>
      <c r="O225" s="306">
        <f>SUM(AA151:AA162)</f>
        <v/>
      </c>
      <c r="P225" s="306">
        <f>N225+O225</f>
        <v/>
      </c>
    </row>
    <row r="226">
      <c r="A226" s="306" t="n">
        <v>12</v>
      </c>
      <c r="B226" s="306">
        <f>SUM(P163:P174)</f>
        <v/>
      </c>
      <c r="C226" s="306">
        <f>SUM(Q163:Q174)</f>
        <v/>
      </c>
      <c r="D226" s="306">
        <f>SUM(R163:R174)</f>
        <v/>
      </c>
      <c r="E226" s="306">
        <f>SUM(S163:S174)</f>
        <v/>
      </c>
      <c r="F226" s="306">
        <f>SUM(D163:D174)</f>
        <v/>
      </c>
      <c r="G226" s="306">
        <f>SUM(E163:E174)</f>
        <v/>
      </c>
      <c r="H226" s="306">
        <f>SUM(U163:U174)</f>
        <v/>
      </c>
      <c r="I226" s="306">
        <f>SUM(V163:V174)</f>
        <v/>
      </c>
      <c r="J226" s="306">
        <f>SUM(W163:W174)</f>
        <v/>
      </c>
      <c r="K226" s="306">
        <f>SUM(C163:C174)</f>
        <v/>
      </c>
      <c r="L226" s="306">
        <f>SUM(X163:X174)</f>
        <v/>
      </c>
      <c r="M226" s="306">
        <f>SUM(Y163:Y174)</f>
        <v/>
      </c>
      <c r="N226" s="306">
        <f>SUM(Z163:Z174)</f>
        <v/>
      </c>
      <c r="O226" s="306">
        <f>SUM(AA163:AA174)</f>
        <v/>
      </c>
      <c r="P226" s="306">
        <f>N226+O226</f>
        <v/>
      </c>
    </row>
    <row r="227">
      <c r="A227" s="306" t="n">
        <v>13</v>
      </c>
      <c r="B227" s="306">
        <f>SUM(P175:P186)</f>
        <v/>
      </c>
      <c r="C227" s="306">
        <f>SUM(Q175:Q186)</f>
        <v/>
      </c>
      <c r="D227" s="306">
        <f>SUM(R175:R186)</f>
        <v/>
      </c>
      <c r="E227" s="306">
        <f>SUM(S175:S186)</f>
        <v/>
      </c>
      <c r="F227" s="306">
        <f>SUM(D175:D186)</f>
        <v/>
      </c>
      <c r="G227" s="306">
        <f>SUM(E175:E186)</f>
        <v/>
      </c>
      <c r="H227" s="306">
        <f>SUM(U175:U186)</f>
        <v/>
      </c>
      <c r="I227" s="306">
        <f>SUM(V175:V186)</f>
        <v/>
      </c>
      <c r="J227" s="306">
        <f>SUM(W175:W186)</f>
        <v/>
      </c>
      <c r="K227" s="306">
        <f>SUM(C175:C186)</f>
        <v/>
      </c>
      <c r="L227" s="306">
        <f>SUM(X175:X186)</f>
        <v/>
      </c>
      <c r="M227" s="306">
        <f>SUM(Y175:Y186)</f>
        <v/>
      </c>
      <c r="N227" s="306">
        <f>SUM(Z175:Z186)</f>
        <v/>
      </c>
      <c r="O227" s="306">
        <f>SUM(AA175:AA186)</f>
        <v/>
      </c>
      <c r="P227" s="306">
        <f>N227+O227</f>
        <v/>
      </c>
    </row>
    <row r="228">
      <c r="A228" s="306" t="n">
        <v>14</v>
      </c>
      <c r="B228" s="306">
        <f>SUM(P187:P198)</f>
        <v/>
      </c>
      <c r="C228" s="306">
        <f>SUM(Q187:Q198)</f>
        <v/>
      </c>
      <c r="D228" s="306">
        <f>SUM(R187:R198)</f>
        <v/>
      </c>
      <c r="E228" s="306">
        <f>SUM(S187:S198)</f>
        <v/>
      </c>
      <c r="F228" s="306">
        <f>SUM(D187:D198)</f>
        <v/>
      </c>
      <c r="G228" s="306">
        <f>SUM(E187:E198)</f>
        <v/>
      </c>
      <c r="H228" s="306">
        <f>SUM(U187:U198)</f>
        <v/>
      </c>
      <c r="I228" s="306">
        <f>SUM(V187:V198)</f>
        <v/>
      </c>
      <c r="J228" s="306">
        <f>SUM(W187:W198)</f>
        <v/>
      </c>
      <c r="K228" s="306">
        <f>SUM(C187:C198)</f>
        <v/>
      </c>
      <c r="L228" s="306">
        <f>SUM(X187:X198)</f>
        <v/>
      </c>
      <c r="M228" s="306">
        <f>SUM(Y187:Y198)</f>
        <v/>
      </c>
      <c r="N228" s="306">
        <f>SUM(Z187:Z198)</f>
        <v/>
      </c>
      <c r="O228" s="306">
        <f>SUM(AA187:AA198)</f>
        <v/>
      </c>
      <c r="P228" s="306">
        <f>N228+O228</f>
        <v/>
      </c>
    </row>
    <row r="229">
      <c r="A229" s="306" t="n">
        <v>15</v>
      </c>
      <c r="B229" s="306">
        <f>SUM(P199:P210)</f>
        <v/>
      </c>
      <c r="C229" s="306">
        <f>SUM(Q199:Q210)</f>
        <v/>
      </c>
      <c r="D229" s="306">
        <f>SUM(R199:R210)</f>
        <v/>
      </c>
      <c r="E229" s="306">
        <f>SUM(S199:S210)</f>
        <v/>
      </c>
      <c r="F229" s="306">
        <f>SUM(D199:D210)</f>
        <v/>
      </c>
      <c r="G229" s="306">
        <f>SUM(E199:E210)</f>
        <v/>
      </c>
      <c r="H229" s="306">
        <f>SUM(U199:U210)</f>
        <v/>
      </c>
      <c r="I229" s="306">
        <f>SUM(V199:V210)</f>
        <v/>
      </c>
      <c r="J229" s="306">
        <f>SUM(W199:W210)</f>
        <v/>
      </c>
      <c r="K229" s="306">
        <f>SUM(C199:C210)</f>
        <v/>
      </c>
      <c r="L229" s="306">
        <f>SUM(X199:X210)</f>
        <v/>
      </c>
      <c r="M229" s="306">
        <f>SUM(Y199:Y210)</f>
        <v/>
      </c>
      <c r="N229" s="306">
        <f>SUM(Z199:Z210)</f>
        <v/>
      </c>
      <c r="O229" s="306">
        <f>SUM(AA199:AA210)</f>
        <v/>
      </c>
      <c r="P229" s="306">
        <f>N229+O229</f>
        <v/>
      </c>
    </row>
    <row r="231">
      <c r="A231" s="642" t="inlineStr">
        <is>
          <t>WATERFALL</t>
        </is>
      </c>
    </row>
    <row r="232" ht="36" customHeight="1" s="307">
      <c r="A232" s="643" t="inlineStr">
        <is>
          <t>Year</t>
        </is>
      </c>
      <c r="B232" s="643" t="inlineStr">
        <is>
          <t>Annual Dist</t>
        </is>
      </c>
      <c r="C232" s="643" t="inlineStr">
        <is>
          <t>Cum Dist</t>
        </is>
      </c>
      <c r="D232" s="643" t="inlineStr">
        <is>
          <t>Unret BoY</t>
        </is>
      </c>
      <c r="E232" s="643" t="inlineStr">
        <is>
          <t>Pref Owed</t>
        </is>
      </c>
      <c r="F232" s="643" t="inlineStr">
        <is>
          <t>Cap Paid</t>
        </is>
      </c>
      <c r="G232" s="643" t="inlineStr">
        <is>
          <t>Pref Paid</t>
        </is>
      </c>
      <c r="H232" s="643" t="inlineStr">
        <is>
          <t>LP Profit</t>
        </is>
      </c>
      <c r="I232" s="643" t="inlineStr">
        <is>
          <t>GP Profit</t>
        </is>
      </c>
      <c r="J232" s="643" t="inlineStr">
        <is>
          <t>LP Cash Yr</t>
        </is>
      </c>
      <c r="K232" s="643" t="inlineStr">
        <is>
          <t>GP Carry Yr</t>
        </is>
      </c>
      <c r="L232" s="643" t="inlineStr">
        <is>
          <t>Cum LP</t>
        </is>
      </c>
      <c r="M232" s="643" t="inlineStr">
        <is>
          <t>Cum GP</t>
        </is>
      </c>
      <c r="N232" s="643" t="inlineStr">
        <is>
          <t>MOIC</t>
        </is>
      </c>
    </row>
    <row r="233">
      <c r="A233" s="306" t="n">
        <v>1</v>
      </c>
      <c r="B233" s="306">
        <f>P215</f>
        <v/>
      </c>
      <c r="C233" s="306">
        <f>B233</f>
        <v/>
      </c>
      <c r="D233" s="306">
        <f>$B$22</f>
        <v/>
      </c>
      <c r="E233" s="306">
        <f>D233*$B$11</f>
        <v/>
      </c>
      <c r="F233" s="306">
        <f>MIN(D233, MAX(0, B233))</f>
        <v/>
      </c>
      <c r="G233" s="306">
        <f>IF(D233-F233&lt;=0, MIN(E233, MAX(0, B233-F233)), 0)</f>
        <v/>
      </c>
      <c r="H233" s="306">
        <f>MAX(0, B233-F233-G233)*$B$12</f>
        <v/>
      </c>
      <c r="I233" s="306">
        <f>MAX(0, B233-F233-G233)*(1-$B$12)</f>
        <v/>
      </c>
      <c r="J233" s="306">
        <f>F233+G233+H233</f>
        <v/>
      </c>
      <c r="K233" s="306">
        <f>I233</f>
        <v/>
      </c>
      <c r="L233" s="306">
        <f>J233</f>
        <v/>
      </c>
      <c r="M233" s="306">
        <f>K233</f>
        <v/>
      </c>
      <c r="N233" s="306">
        <f>L233/$B$22</f>
        <v/>
      </c>
    </row>
    <row r="234">
      <c r="A234" s="306" t="n">
        <v>2</v>
      </c>
      <c r="B234" s="306">
        <f>P216</f>
        <v/>
      </c>
      <c r="C234" s="306">
        <f>C233+B234</f>
        <v/>
      </c>
      <c r="D234" s="306">
        <f>MAX(0, $B$22-SUM(F$233:F233))</f>
        <v/>
      </c>
      <c r="E234" s="306">
        <f>D234*$B$11</f>
        <v/>
      </c>
      <c r="F234" s="306">
        <f>MIN(D234, MAX(0, B234))</f>
        <v/>
      </c>
      <c r="G234" s="306">
        <f>IF(D234-F234&lt;=0, MIN(E234+SUM(E$233:E233)-SUM(G$233:G233), MAX(0, B234-F234)), 0)</f>
        <v/>
      </c>
      <c r="H234" s="306">
        <f>MAX(0, B234-F234-G234)*$B$12</f>
        <v/>
      </c>
      <c r="I234" s="306">
        <f>MAX(0, B234-F234-G234)*(1-$B$12)</f>
        <v/>
      </c>
      <c r="J234" s="306">
        <f>F234+G234+H234</f>
        <v/>
      </c>
      <c r="K234" s="306">
        <f>I234</f>
        <v/>
      </c>
      <c r="L234" s="306">
        <f>L233+J234</f>
        <v/>
      </c>
      <c r="M234" s="306">
        <f>M233+K234</f>
        <v/>
      </c>
      <c r="N234" s="306">
        <f>L234/$B$22</f>
        <v/>
      </c>
    </row>
    <row r="235">
      <c r="A235" s="306" t="n">
        <v>3</v>
      </c>
      <c r="B235" s="306">
        <f>P217</f>
        <v/>
      </c>
      <c r="C235" s="306">
        <f>C234+B235</f>
        <v/>
      </c>
      <c r="D235" s="306">
        <f>MAX(0, $B$22-SUM(F$233:F234))</f>
        <v/>
      </c>
      <c r="E235" s="306">
        <f>D235*$B$11</f>
        <v/>
      </c>
      <c r="F235" s="306">
        <f>MIN(D235, MAX(0, B235))</f>
        <v/>
      </c>
      <c r="G235" s="306">
        <f>IF(D235-F235&lt;=0, MIN(E235+SUM(E$233:E234)-SUM(G$233:G234), MAX(0, B235-F235)), 0)</f>
        <v/>
      </c>
      <c r="H235" s="306">
        <f>MAX(0, B235-F235-G235)*$B$12</f>
        <v/>
      </c>
      <c r="I235" s="306">
        <f>MAX(0, B235-F235-G235)*(1-$B$12)</f>
        <v/>
      </c>
      <c r="J235" s="306">
        <f>F235+G235+H235</f>
        <v/>
      </c>
      <c r="K235" s="306">
        <f>I235</f>
        <v/>
      </c>
      <c r="L235" s="306">
        <f>L234+J235</f>
        <v/>
      </c>
      <c r="M235" s="306">
        <f>M234+K235</f>
        <v/>
      </c>
      <c r="N235" s="306">
        <f>L235/$B$22</f>
        <v/>
      </c>
    </row>
    <row r="236">
      <c r="A236" s="306" t="n">
        <v>4</v>
      </c>
      <c r="B236" s="306">
        <f>P218</f>
        <v/>
      </c>
      <c r="C236" s="306">
        <f>C235+B236</f>
        <v/>
      </c>
      <c r="D236" s="306">
        <f>MAX(0, $B$22-SUM(F$233:F235))</f>
        <v/>
      </c>
      <c r="E236" s="306">
        <f>D236*$B$11</f>
        <v/>
      </c>
      <c r="F236" s="306">
        <f>MIN(D236, MAX(0, B236))</f>
        <v/>
      </c>
      <c r="G236" s="306">
        <f>IF(D236-F236&lt;=0, MIN(E236+SUM(E$233:E235)-SUM(G$233:G235), MAX(0, B236-F236)), 0)</f>
        <v/>
      </c>
      <c r="H236" s="306">
        <f>MAX(0, B236-F236-G236)*$B$12</f>
        <v/>
      </c>
      <c r="I236" s="306">
        <f>MAX(0, B236-F236-G236)*(1-$B$12)</f>
        <v/>
      </c>
      <c r="J236" s="306">
        <f>F236+G236+H236</f>
        <v/>
      </c>
      <c r="K236" s="306">
        <f>I236</f>
        <v/>
      </c>
      <c r="L236" s="306">
        <f>L235+J236</f>
        <v/>
      </c>
      <c r="M236" s="306">
        <f>M235+K236</f>
        <v/>
      </c>
      <c r="N236" s="306">
        <f>L236/$B$22</f>
        <v/>
      </c>
    </row>
    <row r="237">
      <c r="A237" s="306" t="n">
        <v>5</v>
      </c>
      <c r="B237" s="306">
        <f>P219</f>
        <v/>
      </c>
      <c r="C237" s="306">
        <f>C236+B237</f>
        <v/>
      </c>
      <c r="D237" s="306">
        <f>MAX(0, $B$22-SUM(F$233:F236))</f>
        <v/>
      </c>
      <c r="E237" s="306">
        <f>D237*$B$11</f>
        <v/>
      </c>
      <c r="F237" s="306">
        <f>MIN(D237, MAX(0, B237))</f>
        <v/>
      </c>
      <c r="G237" s="306">
        <f>IF(D237-F237&lt;=0, MIN(E237+SUM(E$233:E236)-SUM(G$233:G236), MAX(0, B237-F237)), 0)</f>
        <v/>
      </c>
      <c r="H237" s="306">
        <f>MAX(0, B237-F237-G237)*$B$12</f>
        <v/>
      </c>
      <c r="I237" s="306">
        <f>MAX(0, B237-F237-G237)*(1-$B$12)</f>
        <v/>
      </c>
      <c r="J237" s="306">
        <f>F237+G237+H237</f>
        <v/>
      </c>
      <c r="K237" s="306">
        <f>I237</f>
        <v/>
      </c>
      <c r="L237" s="306">
        <f>L236+J237</f>
        <v/>
      </c>
      <c r="M237" s="306">
        <f>M236+K237</f>
        <v/>
      </c>
      <c r="N237" s="306">
        <f>L237/$B$22</f>
        <v/>
      </c>
    </row>
    <row r="238">
      <c r="A238" s="306" t="n">
        <v>6</v>
      </c>
      <c r="B238" s="306">
        <f>P220</f>
        <v/>
      </c>
      <c r="C238" s="306">
        <f>C237+B238</f>
        <v/>
      </c>
      <c r="D238" s="306">
        <f>MAX(0, $B$22-SUM(F$233:F237))</f>
        <v/>
      </c>
      <c r="E238" s="306">
        <f>D238*$B$11</f>
        <v/>
      </c>
      <c r="F238" s="306">
        <f>MIN(D238, MAX(0, B238))</f>
        <v/>
      </c>
      <c r="G238" s="306">
        <f>IF(D238-F238&lt;=0, MIN(E238+SUM(E$233:E237)-SUM(G$233:G237), MAX(0, B238-F238)), 0)</f>
        <v/>
      </c>
      <c r="H238" s="306">
        <f>MAX(0, B238-F238-G238)*$B$12</f>
        <v/>
      </c>
      <c r="I238" s="306">
        <f>MAX(0, B238-F238-G238)*(1-$B$12)</f>
        <v/>
      </c>
      <c r="J238" s="306">
        <f>F238+G238+H238</f>
        <v/>
      </c>
      <c r="K238" s="306">
        <f>I238</f>
        <v/>
      </c>
      <c r="L238" s="306">
        <f>L237+J238</f>
        <v/>
      </c>
      <c r="M238" s="306">
        <f>M237+K238</f>
        <v/>
      </c>
      <c r="N238" s="306">
        <f>L238/$B$22</f>
        <v/>
      </c>
    </row>
    <row r="239">
      <c r="A239" s="306" t="n">
        <v>7</v>
      </c>
      <c r="B239" s="306">
        <f>P221</f>
        <v/>
      </c>
      <c r="C239" s="306">
        <f>C238+B239</f>
        <v/>
      </c>
      <c r="D239" s="306">
        <f>MAX(0, $B$22-SUM(F$233:F238))</f>
        <v/>
      </c>
      <c r="E239" s="306">
        <f>D239*$B$11</f>
        <v/>
      </c>
      <c r="F239" s="306">
        <f>MIN(D239, MAX(0, B239))</f>
        <v/>
      </c>
      <c r="G239" s="306">
        <f>IF(D239-F239&lt;=0, MIN(E239+SUM(E$233:E238)-SUM(G$233:G238), MAX(0, B239-F239)), 0)</f>
        <v/>
      </c>
      <c r="H239" s="306">
        <f>MAX(0, B239-F239-G239)*$B$12</f>
        <v/>
      </c>
      <c r="I239" s="306">
        <f>MAX(0, B239-F239-G239)*(1-$B$12)</f>
        <v/>
      </c>
      <c r="J239" s="306">
        <f>F239+G239+H239</f>
        <v/>
      </c>
      <c r="K239" s="306">
        <f>I239</f>
        <v/>
      </c>
      <c r="L239" s="306">
        <f>L238+J239</f>
        <v/>
      </c>
      <c r="M239" s="306">
        <f>M238+K239</f>
        <v/>
      </c>
      <c r="N239" s="306">
        <f>L239/$B$22</f>
        <v/>
      </c>
    </row>
    <row r="240">
      <c r="A240" s="306" t="n">
        <v>8</v>
      </c>
      <c r="B240" s="306">
        <f>P222</f>
        <v/>
      </c>
      <c r="C240" s="306">
        <f>C239+B240</f>
        <v/>
      </c>
      <c r="D240" s="306">
        <f>MAX(0, $B$22-SUM(F$233:F239))</f>
        <v/>
      </c>
      <c r="E240" s="306">
        <f>D240*$B$11</f>
        <v/>
      </c>
      <c r="F240" s="306">
        <f>MIN(D240, MAX(0, B240))</f>
        <v/>
      </c>
      <c r="G240" s="306">
        <f>IF(D240-F240&lt;=0, MIN(E240+SUM(E$233:E239)-SUM(G$233:G239), MAX(0, B240-F240)), 0)</f>
        <v/>
      </c>
      <c r="H240" s="306">
        <f>MAX(0, B240-F240-G240)*$B$12</f>
        <v/>
      </c>
      <c r="I240" s="306">
        <f>MAX(0, B240-F240-G240)*(1-$B$12)</f>
        <v/>
      </c>
      <c r="J240" s="306">
        <f>F240+G240+H240</f>
        <v/>
      </c>
      <c r="K240" s="306">
        <f>I240</f>
        <v/>
      </c>
      <c r="L240" s="306">
        <f>L239+J240</f>
        <v/>
      </c>
      <c r="M240" s="306">
        <f>M239+K240</f>
        <v/>
      </c>
      <c r="N240" s="306">
        <f>L240/$B$22</f>
        <v/>
      </c>
    </row>
    <row r="241">
      <c r="A241" s="306" t="n">
        <v>9</v>
      </c>
      <c r="B241" s="306">
        <f>P223</f>
        <v/>
      </c>
      <c r="C241" s="306">
        <f>C240+B241</f>
        <v/>
      </c>
      <c r="D241" s="306">
        <f>MAX(0, $B$22-SUM(F$233:F240))</f>
        <v/>
      </c>
      <c r="E241" s="306">
        <f>D241*$B$11</f>
        <v/>
      </c>
      <c r="F241" s="306">
        <f>MIN(D241, MAX(0, B241))</f>
        <v/>
      </c>
      <c r="G241" s="306">
        <f>IF(D241-F241&lt;=0, MIN(E241+SUM(E$233:E240)-SUM(G$233:G240), MAX(0, B241-F241)), 0)</f>
        <v/>
      </c>
      <c r="H241" s="306">
        <f>MAX(0, B241-F241-G241)*$B$12</f>
        <v/>
      </c>
      <c r="I241" s="306">
        <f>MAX(0, B241-F241-G241)*(1-$B$12)</f>
        <v/>
      </c>
      <c r="J241" s="306">
        <f>F241+G241+H241</f>
        <v/>
      </c>
      <c r="K241" s="306">
        <f>I241</f>
        <v/>
      </c>
      <c r="L241" s="306">
        <f>L240+J241</f>
        <v/>
      </c>
      <c r="M241" s="306">
        <f>M240+K241</f>
        <v/>
      </c>
      <c r="N241" s="306">
        <f>L241/$B$22</f>
        <v/>
      </c>
    </row>
    <row r="242">
      <c r="A242" s="306" t="n">
        <v>10</v>
      </c>
      <c r="B242" s="306">
        <f>P224</f>
        <v/>
      </c>
      <c r="C242" s="306">
        <f>C241+B242</f>
        <v/>
      </c>
      <c r="D242" s="306">
        <f>MAX(0, $B$22-SUM(F$233:F241))</f>
        <v/>
      </c>
      <c r="E242" s="306">
        <f>D242*$B$11</f>
        <v/>
      </c>
      <c r="F242" s="306">
        <f>MIN(D242, MAX(0, B242))</f>
        <v/>
      </c>
      <c r="G242" s="306">
        <f>IF(D242-F242&lt;=0, MIN(E242+SUM(E$233:E241)-SUM(G$233:G241), MAX(0, B242-F242)), 0)</f>
        <v/>
      </c>
      <c r="H242" s="306">
        <f>MAX(0, B242-F242-G242)*$B$12</f>
        <v/>
      </c>
      <c r="I242" s="306">
        <f>MAX(0, B242-F242-G242)*(1-$B$12)</f>
        <v/>
      </c>
      <c r="J242" s="306">
        <f>F242+G242+H242</f>
        <v/>
      </c>
      <c r="K242" s="306">
        <f>I242</f>
        <v/>
      </c>
      <c r="L242" s="306">
        <f>L241+J242</f>
        <v/>
      </c>
      <c r="M242" s="306">
        <f>M241+K242</f>
        <v/>
      </c>
      <c r="N242" s="306">
        <f>L242/$B$22</f>
        <v/>
      </c>
    </row>
    <row r="243">
      <c r="A243" s="306" t="n">
        <v>11</v>
      </c>
      <c r="B243" s="306">
        <f>P225</f>
        <v/>
      </c>
      <c r="C243" s="306">
        <f>C242+B243</f>
        <v/>
      </c>
      <c r="D243" s="306">
        <f>MAX(0, $B$22-SUM(F$233:F242))</f>
        <v/>
      </c>
      <c r="E243" s="306">
        <f>D243*$B$11</f>
        <v/>
      </c>
      <c r="F243" s="306">
        <f>MIN(D243, MAX(0, B243))</f>
        <v/>
      </c>
      <c r="G243" s="306">
        <f>IF(D243-F243&lt;=0, MIN(E243+SUM(E$233:E242)-SUM(G$233:G242), MAX(0, B243-F243)), 0)</f>
        <v/>
      </c>
      <c r="H243" s="306">
        <f>MAX(0, B243-F243-G243)*$B$12</f>
        <v/>
      </c>
      <c r="I243" s="306">
        <f>MAX(0, B243-F243-G243)*(1-$B$12)</f>
        <v/>
      </c>
      <c r="J243" s="306">
        <f>F243+G243+H243</f>
        <v/>
      </c>
      <c r="K243" s="306">
        <f>I243</f>
        <v/>
      </c>
      <c r="L243" s="306">
        <f>L242+J243</f>
        <v/>
      </c>
      <c r="M243" s="306">
        <f>M242+K243</f>
        <v/>
      </c>
      <c r="N243" s="306">
        <f>L243/$B$22</f>
        <v/>
      </c>
    </row>
    <row r="244">
      <c r="A244" s="306" t="n">
        <v>12</v>
      </c>
      <c r="B244" s="306">
        <f>P226</f>
        <v/>
      </c>
      <c r="C244" s="306">
        <f>C243+B244</f>
        <v/>
      </c>
      <c r="D244" s="306">
        <f>MAX(0, $B$22-SUM(F$233:F243))</f>
        <v/>
      </c>
      <c r="E244" s="306">
        <f>D244*$B$11</f>
        <v/>
      </c>
      <c r="F244" s="306">
        <f>MIN(D244, MAX(0, B244))</f>
        <v/>
      </c>
      <c r="G244" s="306">
        <f>IF(D244-F244&lt;=0, MIN(E244+SUM(E$233:E243)-SUM(G$233:G243), MAX(0, B244-F244)), 0)</f>
        <v/>
      </c>
      <c r="H244" s="306">
        <f>MAX(0, B244-F244-G244)*$B$12</f>
        <v/>
      </c>
      <c r="I244" s="306">
        <f>MAX(0, B244-F244-G244)*(1-$B$12)</f>
        <v/>
      </c>
      <c r="J244" s="306">
        <f>F244+G244+H244</f>
        <v/>
      </c>
      <c r="K244" s="306">
        <f>I244</f>
        <v/>
      </c>
      <c r="L244" s="306">
        <f>L243+J244</f>
        <v/>
      </c>
      <c r="M244" s="306">
        <f>M243+K244</f>
        <v/>
      </c>
      <c r="N244" s="306">
        <f>L244/$B$22</f>
        <v/>
      </c>
    </row>
    <row r="245">
      <c r="A245" s="306" t="n">
        <v>13</v>
      </c>
      <c r="B245" s="306">
        <f>P227</f>
        <v/>
      </c>
      <c r="C245" s="306">
        <f>C244+B245</f>
        <v/>
      </c>
      <c r="D245" s="306">
        <f>MAX(0, $B$22-SUM(F$233:F244))</f>
        <v/>
      </c>
      <c r="E245" s="306">
        <f>D245*$B$11</f>
        <v/>
      </c>
      <c r="F245" s="306">
        <f>MIN(D245, MAX(0, B245))</f>
        <v/>
      </c>
      <c r="G245" s="306">
        <f>IF(D245-F245&lt;=0, MIN(E245+SUM(E$233:E244)-SUM(G$233:G244), MAX(0, B245-F245)), 0)</f>
        <v/>
      </c>
      <c r="H245" s="306">
        <f>MAX(0, B245-F245-G245)*$B$12</f>
        <v/>
      </c>
      <c r="I245" s="306">
        <f>MAX(0, B245-F245-G245)*(1-$B$12)</f>
        <v/>
      </c>
      <c r="J245" s="306">
        <f>F245+G245+H245</f>
        <v/>
      </c>
      <c r="K245" s="306">
        <f>I245</f>
        <v/>
      </c>
      <c r="L245" s="306">
        <f>L244+J245</f>
        <v/>
      </c>
      <c r="M245" s="306">
        <f>M244+K245</f>
        <v/>
      </c>
      <c r="N245" s="306">
        <f>L245/$B$22</f>
        <v/>
      </c>
    </row>
    <row r="246">
      <c r="A246" s="306" t="n">
        <v>14</v>
      </c>
      <c r="B246" s="306">
        <f>P228</f>
        <v/>
      </c>
      <c r="C246" s="306">
        <f>C245+B246</f>
        <v/>
      </c>
      <c r="D246" s="306">
        <f>MAX(0, $B$22-SUM(F$233:F245))</f>
        <v/>
      </c>
      <c r="E246" s="306">
        <f>D246*$B$11</f>
        <v/>
      </c>
      <c r="F246" s="306">
        <f>MIN(D246, MAX(0, B246))</f>
        <v/>
      </c>
      <c r="G246" s="306">
        <f>IF(D246-F246&lt;=0, MIN(E246+SUM(E$233:E245)-SUM(G$233:G245), MAX(0, B246-F246)), 0)</f>
        <v/>
      </c>
      <c r="H246" s="306">
        <f>MAX(0, B246-F246-G246)*$B$12</f>
        <v/>
      </c>
      <c r="I246" s="306">
        <f>MAX(0, B246-F246-G246)*(1-$B$12)</f>
        <v/>
      </c>
      <c r="J246" s="306">
        <f>F246+G246+H246</f>
        <v/>
      </c>
      <c r="K246" s="306">
        <f>I246</f>
        <v/>
      </c>
      <c r="L246" s="306">
        <f>L245+J246</f>
        <v/>
      </c>
      <c r="M246" s="306">
        <f>M245+K246</f>
        <v/>
      </c>
      <c r="N246" s="306">
        <f>L246/$B$22</f>
        <v/>
      </c>
    </row>
    <row r="247">
      <c r="A247" s="306" t="n">
        <v>15</v>
      </c>
      <c r="B247" s="306">
        <f>P229</f>
        <v/>
      </c>
      <c r="C247" s="306">
        <f>C246+B247</f>
        <v/>
      </c>
      <c r="D247" s="306">
        <f>MAX(0, $B$22-SUM(F$233:F246))</f>
        <v/>
      </c>
      <c r="E247" s="306">
        <f>D247*$B$11</f>
        <v/>
      </c>
      <c r="F247" s="306">
        <f>MIN(D247, MAX(0, B247))</f>
        <v/>
      </c>
      <c r="G247" s="306">
        <f>IF(D247-F247&lt;=0, MIN(E247+SUM(E$233:E246)-SUM(G$233:G246), MAX(0, B247-F247)), 0)</f>
        <v/>
      </c>
      <c r="H247" s="306">
        <f>MAX(0, B247-F247-G247)*$B$12</f>
        <v/>
      </c>
      <c r="I247" s="306">
        <f>MAX(0, B247-F247-G247)*(1-$B$12)</f>
        <v/>
      </c>
      <c r="J247" s="306">
        <f>F247+G247+H247</f>
        <v/>
      </c>
      <c r="K247" s="306">
        <f>I247</f>
        <v/>
      </c>
      <c r="L247" s="306">
        <f>L246+J247</f>
        <v/>
      </c>
      <c r="M247" s="306">
        <f>M246+K247</f>
        <v/>
      </c>
      <c r="N247" s="306">
        <f>L247/$B$22</f>
        <v/>
      </c>
    </row>
    <row r="249">
      <c r="A249" s="642" t="inlineStr">
        <is>
          <t>SUMMARY</t>
        </is>
      </c>
    </row>
    <row r="250">
      <c r="A250" s="306" t="inlineStr">
        <is>
          <t>15Y LP Cash ($mm)</t>
        </is>
      </c>
      <c r="B250" s="306">
        <f>L247</f>
        <v/>
      </c>
    </row>
    <row r="251">
      <c r="A251" s="306" t="inlineStr">
        <is>
          <t>15Y GP Carry ($mm)</t>
        </is>
      </c>
      <c r="B251" s="306">
        <f>M247</f>
        <v/>
      </c>
    </row>
    <row r="252">
      <c r="A252" s="306" t="inlineStr">
        <is>
          <t>15Y DPI / MOIC</t>
        </is>
      </c>
      <c r="B252" s="306">
        <f>L247/$B$22</f>
        <v/>
      </c>
    </row>
    <row r="253">
      <c r="A253" s="306" t="inlineStr">
        <is>
          <t>10Y LP Cash ($mm)</t>
        </is>
      </c>
      <c r="B253" s="306">
        <f>L242</f>
        <v/>
      </c>
    </row>
    <row r="254">
      <c r="A254" s="306" t="inlineStr">
        <is>
          <t>10Y DPI / MOIC</t>
        </is>
      </c>
      <c r="B254" s="306">
        <f>L242/$B$22</f>
        <v/>
      </c>
    </row>
    <row r="255">
      <c r="A255" s="306" t="inlineStr">
        <is>
          <t>15Y Bonus Pool Total</t>
        </is>
      </c>
      <c r="B255" s="306">
        <f>SUM(H215:H229)</f>
        <v/>
      </c>
    </row>
    <row r="256">
      <c r="A256" s="306" t="inlineStr">
        <is>
          <t>15Y Team Comp Total</t>
        </is>
      </c>
      <c r="B256" s="306">
        <f>SUM(F215:F229)</f>
        <v/>
      </c>
    </row>
    <row r="259">
      <c r="A259" s="306" t="inlineStr">
        <is>
          <t>Yr</t>
        </is>
      </c>
      <c r="B259" s="306" t="inlineStr">
        <is>
          <t>LP Net Cash</t>
        </is>
      </c>
    </row>
    <row r="260">
      <c r="A260" s="306" t="n">
        <v>0</v>
      </c>
      <c r="B260" s="306">
        <f>-$B$22</f>
        <v/>
      </c>
    </row>
    <row r="261">
      <c r="A261" s="306" t="n">
        <v>1</v>
      </c>
      <c r="B261" s="306">
        <f>J233</f>
        <v/>
      </c>
    </row>
    <row r="262">
      <c r="A262" s="306" t="n">
        <v>2</v>
      </c>
      <c r="B262" s="306">
        <f>J234</f>
        <v/>
      </c>
    </row>
    <row r="263">
      <c r="A263" s="306" t="n">
        <v>3</v>
      </c>
      <c r="B263" s="306">
        <f>J235</f>
        <v/>
      </c>
    </row>
    <row r="264">
      <c r="A264" s="306" t="n">
        <v>4</v>
      </c>
      <c r="B264" s="306">
        <f>J236</f>
        <v/>
      </c>
    </row>
    <row r="265">
      <c r="A265" s="306" t="n">
        <v>5</v>
      </c>
      <c r="B265" s="306">
        <f>J237</f>
        <v/>
      </c>
    </row>
    <row r="266">
      <c r="A266" s="306" t="n">
        <v>6</v>
      </c>
      <c r="B266" s="306">
        <f>J238</f>
        <v/>
      </c>
    </row>
    <row r="267">
      <c r="A267" s="306" t="n">
        <v>7</v>
      </c>
      <c r="B267" s="306">
        <f>J239</f>
        <v/>
      </c>
    </row>
    <row r="268">
      <c r="A268" s="306" t="n">
        <v>8</v>
      </c>
      <c r="B268" s="306">
        <f>J240</f>
        <v/>
      </c>
    </row>
    <row r="269">
      <c r="A269" s="306" t="n">
        <v>9</v>
      </c>
      <c r="B269" s="306">
        <f>J241</f>
        <v/>
      </c>
    </row>
    <row r="270">
      <c r="A270" s="306" t="n">
        <v>10</v>
      </c>
      <c r="B270" s="306">
        <f>J242</f>
        <v/>
      </c>
    </row>
    <row r="271">
      <c r="A271" s="306" t="n">
        <v>11</v>
      </c>
      <c r="B271" s="306">
        <f>J243</f>
        <v/>
      </c>
    </row>
    <row r="272">
      <c r="A272" s="306" t="n">
        <v>12</v>
      </c>
      <c r="B272" s="306">
        <f>J244</f>
        <v/>
      </c>
    </row>
    <row r="273">
      <c r="A273" s="306" t="n">
        <v>13</v>
      </c>
      <c r="B273" s="306">
        <f>J245</f>
        <v/>
      </c>
    </row>
    <row r="274">
      <c r="A274" s="306" t="n">
        <v>14</v>
      </c>
      <c r="B274" s="306">
        <f>J246</f>
        <v/>
      </c>
    </row>
    <row r="275">
      <c r="A275" s="306" t="n">
        <v>15</v>
      </c>
      <c r="B275" s="306">
        <f>J247</f>
        <v/>
      </c>
    </row>
    <row r="276">
      <c r="A276" s="306" t="inlineStr">
        <is>
          <t>15Y IRR</t>
        </is>
      </c>
      <c r="B276" s="306">
        <f>IRR(B260:B275)</f>
        <v/>
      </c>
    </row>
    <row r="277">
      <c r="A277" s="306" t="inlineStr">
        <is>
          <t>10Y IRR</t>
        </is>
      </c>
      <c r="B277" s="306">
        <f>IRR(B260:B270)</f>
        <v/>
      </c>
    </row>
    <row r="290">
      <c r="A290" s="642" t="inlineStr">
        <is>
          <t>ESCALATING WATERFALL  (Tier 2: 1-2x 80/20; Tier 3: 2-3x 75/25; Tier 4: &gt;3x 70/30)</t>
        </is>
      </c>
    </row>
    <row r="291" ht="36" customHeight="1" s="307">
      <c r="A291" s="643" t="inlineStr">
        <is>
          <t>Year</t>
        </is>
      </c>
      <c r="B291" s="643" t="inlineStr">
        <is>
          <t>Annual Dist</t>
        </is>
      </c>
      <c r="C291" s="643" t="inlineStr">
        <is>
          <t>Unret BoY</t>
        </is>
      </c>
      <c r="D291" s="643" t="inlineStr">
        <is>
          <t>Pref Owed</t>
        </is>
      </c>
      <c r="E291" s="643" t="inlineStr">
        <is>
          <t>Cap Paid</t>
        </is>
      </c>
      <c r="F291" s="643" t="inlineStr">
        <is>
          <t>Pref Paid</t>
        </is>
      </c>
      <c r="G291" s="643" t="inlineStr">
        <is>
          <t>Avail Profit</t>
        </is>
      </c>
      <c r="H291" s="643" t="inlineStr">
        <is>
          <t>Start Cum LP</t>
        </is>
      </c>
      <c r="I291" s="643" t="inlineStr">
        <is>
          <t>T2 Profit</t>
        </is>
      </c>
      <c r="J291" s="643" t="inlineStr">
        <is>
          <t>T3 Profit</t>
        </is>
      </c>
      <c r="K291" s="643" t="inlineStr">
        <is>
          <t>T4 Profit</t>
        </is>
      </c>
      <c r="L291" s="643" t="inlineStr">
        <is>
          <t>LP Profit</t>
        </is>
      </c>
      <c r="M291" s="643" t="inlineStr">
        <is>
          <t>GP Carry</t>
        </is>
      </c>
      <c r="N291" s="643" t="inlineStr">
        <is>
          <t>LP Cash Yr</t>
        </is>
      </c>
      <c r="O291" s="643" t="inlineStr">
        <is>
          <t>GP Carry Yr</t>
        </is>
      </c>
      <c r="P291" s="643" t="inlineStr">
        <is>
          <t>Cum LP</t>
        </is>
      </c>
      <c r="Q291" s="643" t="inlineStr">
        <is>
          <t>Cum GP</t>
        </is>
      </c>
      <c r="R291" s="643" t="inlineStr">
        <is>
          <t>MOIC</t>
        </is>
      </c>
    </row>
    <row r="292">
      <c r="A292" s="306" t="n">
        <v>1</v>
      </c>
      <c r="B292" s="306">
        <f>P215</f>
        <v/>
      </c>
      <c r="C292" s="306">
        <f>$B$22</f>
        <v/>
      </c>
      <c r="D292" s="306">
        <f>C292*$B$11</f>
        <v/>
      </c>
      <c r="E292" s="306">
        <f>MIN(C292, MAX(0, B292))</f>
        <v/>
      </c>
      <c r="F292" s="306">
        <f>IF(C292-E292&lt;=0, MIN(D292, MAX(0, B292-E292)), 0)</f>
        <v/>
      </c>
      <c r="G292" s="306">
        <f>MAX(0, B292-E292-F292)</f>
        <v/>
      </c>
      <c r="H292" s="306" t="n">
        <v>0</v>
      </c>
      <c r="I292" s="306">
        <f>IF(H292&lt;2*$B$22, MIN(G292, (2*$B$22-H292)/'1. Press Assumptions'!$B$40), 0)</f>
        <v/>
      </c>
      <c r="J292" s="306">
        <f>IF(H292+I292*'1. Press Assumptions'!$B$40&lt;3*$B$22, MIN(MAX(0, G292-I292), (3*$B$22-(H292+I292*'1. Press Assumptions'!$B$40))/'1. Press Assumptions'!$B$41), 0)</f>
        <v/>
      </c>
      <c r="K292" s="306">
        <f>MAX(0, G292-I292-J292)</f>
        <v/>
      </c>
      <c r="L292" s="306">
        <f>I292*'1. Press Assumptions'!$B$40+J292*'1. Press Assumptions'!$B$41+K292*'1. Press Assumptions'!$B$42</f>
        <v/>
      </c>
      <c r="M292" s="306">
        <f>I292*(1-'1. Press Assumptions'!$B$40)+J292*(1-'1. Press Assumptions'!$B$41)+K292*(1-'1. Press Assumptions'!$B$42)</f>
        <v/>
      </c>
      <c r="N292" s="306">
        <f>E292+F292+L292</f>
        <v/>
      </c>
      <c r="O292" s="306">
        <f>M292</f>
        <v/>
      </c>
      <c r="P292" s="306">
        <f>N292</f>
        <v/>
      </c>
      <c r="Q292" s="306">
        <f>O292</f>
        <v/>
      </c>
      <c r="R292" s="306">
        <f>P292/$B$22</f>
        <v/>
      </c>
    </row>
    <row r="293">
      <c r="A293" s="306" t="n">
        <v>2</v>
      </c>
      <c r="B293" s="306">
        <f>P216</f>
        <v/>
      </c>
      <c r="C293" s="306">
        <f>MAX(0, $B$22-SUM(E$292:E292))</f>
        <v/>
      </c>
      <c r="D293" s="306">
        <f>C293*$B$11</f>
        <v/>
      </c>
      <c r="E293" s="306">
        <f>MIN(C293, MAX(0, B293))</f>
        <v/>
      </c>
      <c r="F293" s="306">
        <f>IF(C293-E293&lt;=0, MIN(D293+SUM(D$292:D292)-SUM(F$292:F292), MAX(0, B293-E293)), 0)</f>
        <v/>
      </c>
      <c r="G293" s="306">
        <f>MAX(0, B293-E293-F293)</f>
        <v/>
      </c>
      <c r="H293" s="306">
        <f>P292</f>
        <v/>
      </c>
      <c r="I293" s="306">
        <f>IF(H293&lt;2*$B$22, MIN(G293, (2*$B$22-H293)/'1. Press Assumptions'!$B$40), 0)</f>
        <v/>
      </c>
      <c r="J293" s="306">
        <f>IF(H293+I293*'1. Press Assumptions'!$B$40&lt;3*$B$22, MIN(MAX(0, G293-I293), (3*$B$22-(H293+I293*'1. Press Assumptions'!$B$40))/'1. Press Assumptions'!$B$41), 0)</f>
        <v/>
      </c>
      <c r="K293" s="306">
        <f>MAX(0, G293-I293-J293)</f>
        <v/>
      </c>
      <c r="L293" s="306">
        <f>I293*'1. Press Assumptions'!$B$40+J293*'1. Press Assumptions'!$B$41+K293*'1. Press Assumptions'!$B$42</f>
        <v/>
      </c>
      <c r="M293" s="306">
        <f>I293*(1-'1. Press Assumptions'!$B$40)+J293*(1-'1. Press Assumptions'!$B$41)+K293*(1-'1. Press Assumptions'!$B$42)</f>
        <v/>
      </c>
      <c r="N293" s="306">
        <f>E293+F293+L293</f>
        <v/>
      </c>
      <c r="O293" s="306">
        <f>M293</f>
        <v/>
      </c>
      <c r="P293" s="306">
        <f>P292+N293</f>
        <v/>
      </c>
      <c r="Q293" s="306">
        <f>Q292+O293</f>
        <v/>
      </c>
      <c r="R293" s="306">
        <f>P293/$B$22</f>
        <v/>
      </c>
    </row>
    <row r="294">
      <c r="A294" s="306" t="n">
        <v>3</v>
      </c>
      <c r="B294" s="306">
        <f>P217</f>
        <v/>
      </c>
      <c r="C294" s="306">
        <f>MAX(0, $B$22-SUM(E$292:E293))</f>
        <v/>
      </c>
      <c r="D294" s="306">
        <f>C294*$B$11</f>
        <v/>
      </c>
      <c r="E294" s="306">
        <f>MIN(C294, MAX(0, B294))</f>
        <v/>
      </c>
      <c r="F294" s="306">
        <f>IF(C294-E294&lt;=0, MIN(D294+SUM(D$292:D293)-SUM(F$292:F293), MAX(0, B294-E294)), 0)</f>
        <v/>
      </c>
      <c r="G294" s="306">
        <f>MAX(0, B294-E294-F294)</f>
        <v/>
      </c>
      <c r="H294" s="306">
        <f>P293</f>
        <v/>
      </c>
      <c r="I294" s="306">
        <f>IF(H294&lt;2*$B$22, MIN(G294, (2*$B$22-H294)/'1. Press Assumptions'!$B$40), 0)</f>
        <v/>
      </c>
      <c r="J294" s="306">
        <f>IF(H294+I294*'1. Press Assumptions'!$B$40&lt;3*$B$22, MIN(MAX(0, G294-I294), (3*$B$22-(H294+I294*'1. Press Assumptions'!$B$40))/'1. Press Assumptions'!$B$41), 0)</f>
        <v/>
      </c>
      <c r="K294" s="306">
        <f>MAX(0, G294-I294-J294)</f>
        <v/>
      </c>
      <c r="L294" s="306">
        <f>I294*'1. Press Assumptions'!$B$40+J294*'1. Press Assumptions'!$B$41+K294*'1. Press Assumptions'!$B$42</f>
        <v/>
      </c>
      <c r="M294" s="306">
        <f>I294*(1-'1. Press Assumptions'!$B$40)+J294*(1-'1. Press Assumptions'!$B$41)+K294*(1-'1. Press Assumptions'!$B$42)</f>
        <v/>
      </c>
      <c r="N294" s="306">
        <f>E294+F294+L294</f>
        <v/>
      </c>
      <c r="O294" s="306">
        <f>M294</f>
        <v/>
      </c>
      <c r="P294" s="306">
        <f>P293+N294</f>
        <v/>
      </c>
      <c r="Q294" s="306">
        <f>Q293+O294</f>
        <v/>
      </c>
      <c r="R294" s="306">
        <f>P294/$B$22</f>
        <v/>
      </c>
    </row>
    <row r="295">
      <c r="A295" s="306" t="n">
        <v>4</v>
      </c>
      <c r="B295" s="306">
        <f>P218</f>
        <v/>
      </c>
      <c r="C295" s="306">
        <f>MAX(0, $B$22-SUM(E$292:E294))</f>
        <v/>
      </c>
      <c r="D295" s="306">
        <f>C295*$B$11</f>
        <v/>
      </c>
      <c r="E295" s="306">
        <f>MIN(C295, MAX(0, B295))</f>
        <v/>
      </c>
      <c r="F295" s="306">
        <f>IF(C295-E295&lt;=0, MIN(D295+SUM(D$292:D294)-SUM(F$292:F294), MAX(0, B295-E295)), 0)</f>
        <v/>
      </c>
      <c r="G295" s="306">
        <f>MAX(0, B295-E295-F295)</f>
        <v/>
      </c>
      <c r="H295" s="306">
        <f>P294</f>
        <v/>
      </c>
      <c r="I295" s="306">
        <f>IF(H295&lt;2*$B$22, MIN(G295, (2*$B$22-H295)/'1. Press Assumptions'!$B$40), 0)</f>
        <v/>
      </c>
      <c r="J295" s="306">
        <f>IF(H295+I295*'1. Press Assumptions'!$B$40&lt;3*$B$22, MIN(MAX(0, G295-I295), (3*$B$22-(H295+I295*'1. Press Assumptions'!$B$40))/'1. Press Assumptions'!$B$41), 0)</f>
        <v/>
      </c>
      <c r="K295" s="306">
        <f>MAX(0, G295-I295-J295)</f>
        <v/>
      </c>
      <c r="L295" s="306">
        <f>I295*'1. Press Assumptions'!$B$40+J295*'1. Press Assumptions'!$B$41+K295*'1. Press Assumptions'!$B$42</f>
        <v/>
      </c>
      <c r="M295" s="306">
        <f>I295*(1-'1. Press Assumptions'!$B$40)+J295*(1-'1. Press Assumptions'!$B$41)+K295*(1-'1. Press Assumptions'!$B$42)</f>
        <v/>
      </c>
      <c r="N295" s="306">
        <f>E295+F295+L295</f>
        <v/>
      </c>
      <c r="O295" s="306">
        <f>M295</f>
        <v/>
      </c>
      <c r="P295" s="306">
        <f>P294+N295</f>
        <v/>
      </c>
      <c r="Q295" s="306">
        <f>Q294+O295</f>
        <v/>
      </c>
      <c r="R295" s="306">
        <f>P295/$B$22</f>
        <v/>
      </c>
    </row>
    <row r="296">
      <c r="A296" s="306" t="n">
        <v>5</v>
      </c>
      <c r="B296" s="306">
        <f>P219</f>
        <v/>
      </c>
      <c r="C296" s="306">
        <f>MAX(0, $B$22-SUM(E$292:E295))</f>
        <v/>
      </c>
      <c r="D296" s="306">
        <f>C296*$B$11</f>
        <v/>
      </c>
      <c r="E296" s="306">
        <f>MIN(C296, MAX(0, B296))</f>
        <v/>
      </c>
      <c r="F296" s="306">
        <f>IF(C296-E296&lt;=0, MIN(D296+SUM(D$292:D295)-SUM(F$292:F295), MAX(0, B296-E296)), 0)</f>
        <v/>
      </c>
      <c r="G296" s="306">
        <f>MAX(0, B296-E296-F296)</f>
        <v/>
      </c>
      <c r="H296" s="306">
        <f>P295</f>
        <v/>
      </c>
      <c r="I296" s="306">
        <f>IF(H296&lt;2*$B$22, MIN(G296, (2*$B$22-H296)/'1. Press Assumptions'!$B$40), 0)</f>
        <v/>
      </c>
      <c r="J296" s="306">
        <f>IF(H296+I296*'1. Press Assumptions'!$B$40&lt;3*$B$22, MIN(MAX(0, G296-I296), (3*$B$22-(H296+I296*'1. Press Assumptions'!$B$40))/'1. Press Assumptions'!$B$41), 0)</f>
        <v/>
      </c>
      <c r="K296" s="306">
        <f>MAX(0, G296-I296-J296)</f>
        <v/>
      </c>
      <c r="L296" s="306">
        <f>I296*'1. Press Assumptions'!$B$40+J296*'1. Press Assumptions'!$B$41+K296*'1. Press Assumptions'!$B$42</f>
        <v/>
      </c>
      <c r="M296" s="306">
        <f>I296*(1-'1. Press Assumptions'!$B$40)+J296*(1-'1. Press Assumptions'!$B$41)+K296*(1-'1. Press Assumptions'!$B$42)</f>
        <v/>
      </c>
      <c r="N296" s="306">
        <f>E296+F296+L296</f>
        <v/>
      </c>
      <c r="O296" s="306">
        <f>M296</f>
        <v/>
      </c>
      <c r="P296" s="306">
        <f>P295+N296</f>
        <v/>
      </c>
      <c r="Q296" s="306">
        <f>Q295+O296</f>
        <v/>
      </c>
      <c r="R296" s="306">
        <f>P296/$B$22</f>
        <v/>
      </c>
    </row>
    <row r="297">
      <c r="A297" s="306" t="n">
        <v>6</v>
      </c>
      <c r="B297" s="306">
        <f>P220</f>
        <v/>
      </c>
      <c r="C297" s="306">
        <f>MAX(0, $B$22-SUM(E$292:E296))</f>
        <v/>
      </c>
      <c r="D297" s="306">
        <f>C297*$B$11</f>
        <v/>
      </c>
      <c r="E297" s="306">
        <f>MIN(C297, MAX(0, B297))</f>
        <v/>
      </c>
      <c r="F297" s="306">
        <f>IF(C297-E297&lt;=0, MIN(D297+SUM(D$292:D296)-SUM(F$292:F296), MAX(0, B297-E297)), 0)</f>
        <v/>
      </c>
      <c r="G297" s="306">
        <f>MAX(0, B297-E297-F297)</f>
        <v/>
      </c>
      <c r="H297" s="306">
        <f>P296</f>
        <v/>
      </c>
      <c r="I297" s="306">
        <f>IF(H297&lt;2*$B$22, MIN(G297, (2*$B$22-H297)/'1. Press Assumptions'!$B$40), 0)</f>
        <v/>
      </c>
      <c r="J297" s="306">
        <f>IF(H297+I297*'1. Press Assumptions'!$B$40&lt;3*$B$22, MIN(MAX(0, G297-I297), (3*$B$22-(H297+I297*'1. Press Assumptions'!$B$40))/'1. Press Assumptions'!$B$41), 0)</f>
        <v/>
      </c>
      <c r="K297" s="306">
        <f>MAX(0, G297-I297-J297)</f>
        <v/>
      </c>
      <c r="L297" s="306">
        <f>I297*'1. Press Assumptions'!$B$40+J297*'1. Press Assumptions'!$B$41+K297*'1. Press Assumptions'!$B$42</f>
        <v/>
      </c>
      <c r="M297" s="306">
        <f>I297*(1-'1. Press Assumptions'!$B$40)+J297*(1-'1. Press Assumptions'!$B$41)+K297*(1-'1. Press Assumptions'!$B$42)</f>
        <v/>
      </c>
      <c r="N297" s="306">
        <f>E297+F297+L297</f>
        <v/>
      </c>
      <c r="O297" s="306">
        <f>M297</f>
        <v/>
      </c>
      <c r="P297" s="306">
        <f>P296+N297</f>
        <v/>
      </c>
      <c r="Q297" s="306">
        <f>Q296+O297</f>
        <v/>
      </c>
      <c r="R297" s="306">
        <f>P297/$B$22</f>
        <v/>
      </c>
    </row>
    <row r="298">
      <c r="A298" s="306" t="n">
        <v>7</v>
      </c>
      <c r="B298" s="306">
        <f>P221</f>
        <v/>
      </c>
      <c r="C298" s="306">
        <f>MAX(0, $B$22-SUM(E$292:E297))</f>
        <v/>
      </c>
      <c r="D298" s="306">
        <f>C298*$B$11</f>
        <v/>
      </c>
      <c r="E298" s="306">
        <f>MIN(C298, MAX(0, B298))</f>
        <v/>
      </c>
      <c r="F298" s="306">
        <f>IF(C298-E298&lt;=0, MIN(D298+SUM(D$292:D297)-SUM(F$292:F297), MAX(0, B298-E298)), 0)</f>
        <v/>
      </c>
      <c r="G298" s="306">
        <f>MAX(0, B298-E298-F298)</f>
        <v/>
      </c>
      <c r="H298" s="306">
        <f>P297</f>
        <v/>
      </c>
      <c r="I298" s="306">
        <f>IF(H298&lt;2*$B$22, MIN(G298, (2*$B$22-H298)/'1. Press Assumptions'!$B$40), 0)</f>
        <v/>
      </c>
      <c r="J298" s="306">
        <f>IF(H298+I298*'1. Press Assumptions'!$B$40&lt;3*$B$22, MIN(MAX(0, G298-I298), (3*$B$22-(H298+I298*'1. Press Assumptions'!$B$40))/'1. Press Assumptions'!$B$41), 0)</f>
        <v/>
      </c>
      <c r="K298" s="306">
        <f>MAX(0, G298-I298-J298)</f>
        <v/>
      </c>
      <c r="L298" s="306">
        <f>I298*'1. Press Assumptions'!$B$40+J298*'1. Press Assumptions'!$B$41+K298*'1. Press Assumptions'!$B$42</f>
        <v/>
      </c>
      <c r="M298" s="306">
        <f>I298*(1-'1. Press Assumptions'!$B$40)+J298*(1-'1. Press Assumptions'!$B$41)+K298*(1-'1. Press Assumptions'!$B$42)</f>
        <v/>
      </c>
      <c r="N298" s="306">
        <f>E298+F298+L298</f>
        <v/>
      </c>
      <c r="O298" s="306">
        <f>M298</f>
        <v/>
      </c>
      <c r="P298" s="306">
        <f>P297+N298</f>
        <v/>
      </c>
      <c r="Q298" s="306">
        <f>Q297+O298</f>
        <v/>
      </c>
      <c r="R298" s="306">
        <f>P298/$B$22</f>
        <v/>
      </c>
    </row>
    <row r="299">
      <c r="A299" s="306" t="n">
        <v>8</v>
      </c>
      <c r="B299" s="306">
        <f>P222</f>
        <v/>
      </c>
      <c r="C299" s="306">
        <f>MAX(0, $B$22-SUM(E$292:E298))</f>
        <v/>
      </c>
      <c r="D299" s="306">
        <f>C299*$B$11</f>
        <v/>
      </c>
      <c r="E299" s="306">
        <f>MIN(C299, MAX(0, B299))</f>
        <v/>
      </c>
      <c r="F299" s="306">
        <f>IF(C299-E299&lt;=0, MIN(D299+SUM(D$292:D298)-SUM(F$292:F298), MAX(0, B299-E299)), 0)</f>
        <v/>
      </c>
      <c r="G299" s="306">
        <f>MAX(0, B299-E299-F299)</f>
        <v/>
      </c>
      <c r="H299" s="306">
        <f>P298</f>
        <v/>
      </c>
      <c r="I299" s="306">
        <f>IF(H299&lt;2*$B$22, MIN(G299, (2*$B$22-H299)/'1. Press Assumptions'!$B$40), 0)</f>
        <v/>
      </c>
      <c r="J299" s="306">
        <f>IF(H299+I299*'1. Press Assumptions'!$B$40&lt;3*$B$22, MIN(MAX(0, G299-I299), (3*$B$22-(H299+I299*'1. Press Assumptions'!$B$40))/'1. Press Assumptions'!$B$41), 0)</f>
        <v/>
      </c>
      <c r="K299" s="306">
        <f>MAX(0, G299-I299-J299)</f>
        <v/>
      </c>
      <c r="L299" s="306">
        <f>I299*'1. Press Assumptions'!$B$40+J299*'1. Press Assumptions'!$B$41+K299*'1. Press Assumptions'!$B$42</f>
        <v/>
      </c>
      <c r="M299" s="306">
        <f>I299*(1-'1. Press Assumptions'!$B$40)+J299*(1-'1. Press Assumptions'!$B$41)+K299*(1-'1. Press Assumptions'!$B$42)</f>
        <v/>
      </c>
      <c r="N299" s="306">
        <f>E299+F299+L299</f>
        <v/>
      </c>
      <c r="O299" s="306">
        <f>M299</f>
        <v/>
      </c>
      <c r="P299" s="306">
        <f>P298+N299</f>
        <v/>
      </c>
      <c r="Q299" s="306">
        <f>Q298+O299</f>
        <v/>
      </c>
      <c r="R299" s="306">
        <f>P299/$B$22</f>
        <v/>
      </c>
    </row>
    <row r="300">
      <c r="A300" s="306" t="n">
        <v>9</v>
      </c>
      <c r="B300" s="306">
        <f>P223</f>
        <v/>
      </c>
      <c r="C300" s="306">
        <f>MAX(0, $B$22-SUM(E$292:E299))</f>
        <v/>
      </c>
      <c r="D300" s="306">
        <f>C300*$B$11</f>
        <v/>
      </c>
      <c r="E300" s="306">
        <f>MIN(C300, MAX(0, B300))</f>
        <v/>
      </c>
      <c r="F300" s="306">
        <f>IF(C300-E300&lt;=0, MIN(D300+SUM(D$292:D299)-SUM(F$292:F299), MAX(0, B300-E300)), 0)</f>
        <v/>
      </c>
      <c r="G300" s="306">
        <f>MAX(0, B300-E300-F300)</f>
        <v/>
      </c>
      <c r="H300" s="306">
        <f>P299</f>
        <v/>
      </c>
      <c r="I300" s="306">
        <f>IF(H300&lt;2*$B$22, MIN(G300, (2*$B$22-H300)/'1. Press Assumptions'!$B$40), 0)</f>
        <v/>
      </c>
      <c r="J300" s="306">
        <f>IF(H300+I300*'1. Press Assumptions'!$B$40&lt;3*$B$22, MIN(MAX(0, G300-I300), (3*$B$22-(H300+I300*'1. Press Assumptions'!$B$40))/'1. Press Assumptions'!$B$41), 0)</f>
        <v/>
      </c>
      <c r="K300" s="306">
        <f>MAX(0, G300-I300-J300)</f>
        <v/>
      </c>
      <c r="L300" s="306">
        <f>I300*'1. Press Assumptions'!$B$40+J300*'1. Press Assumptions'!$B$41+K300*'1. Press Assumptions'!$B$42</f>
        <v/>
      </c>
      <c r="M300" s="306">
        <f>I300*(1-'1. Press Assumptions'!$B$40)+J300*(1-'1. Press Assumptions'!$B$41)+K300*(1-'1. Press Assumptions'!$B$42)</f>
        <v/>
      </c>
      <c r="N300" s="306">
        <f>E300+F300+L300</f>
        <v/>
      </c>
      <c r="O300" s="306">
        <f>M300</f>
        <v/>
      </c>
      <c r="P300" s="306">
        <f>P299+N300</f>
        <v/>
      </c>
      <c r="Q300" s="306">
        <f>Q299+O300</f>
        <v/>
      </c>
      <c r="R300" s="306">
        <f>P300/$B$22</f>
        <v/>
      </c>
    </row>
    <row r="301">
      <c r="A301" s="306" t="n">
        <v>10</v>
      </c>
      <c r="B301" s="306">
        <f>P224</f>
        <v/>
      </c>
      <c r="C301" s="306">
        <f>MAX(0, $B$22-SUM(E$292:E300))</f>
        <v/>
      </c>
      <c r="D301" s="306">
        <f>C301*$B$11</f>
        <v/>
      </c>
      <c r="E301" s="306">
        <f>MIN(C301, MAX(0, B301))</f>
        <v/>
      </c>
      <c r="F301" s="306">
        <f>IF(C301-E301&lt;=0, MIN(D301+SUM(D$292:D300)-SUM(F$292:F300), MAX(0, B301-E301)), 0)</f>
        <v/>
      </c>
      <c r="G301" s="306">
        <f>MAX(0, B301-E301-F301)</f>
        <v/>
      </c>
      <c r="H301" s="306">
        <f>P300</f>
        <v/>
      </c>
      <c r="I301" s="306">
        <f>IF(H301&lt;2*$B$22, MIN(G301, (2*$B$22-H301)/'1. Press Assumptions'!$B$40), 0)</f>
        <v/>
      </c>
      <c r="J301" s="306">
        <f>IF(H301+I301*'1. Press Assumptions'!$B$40&lt;3*$B$22, MIN(MAX(0, G301-I301), (3*$B$22-(H301+I301*'1. Press Assumptions'!$B$40))/'1. Press Assumptions'!$B$41), 0)</f>
        <v/>
      </c>
      <c r="K301" s="306">
        <f>MAX(0, G301-I301-J301)</f>
        <v/>
      </c>
      <c r="L301" s="306">
        <f>I301*'1. Press Assumptions'!$B$40+J301*'1. Press Assumptions'!$B$41+K301*'1. Press Assumptions'!$B$42</f>
        <v/>
      </c>
      <c r="M301" s="306">
        <f>I301*(1-'1. Press Assumptions'!$B$40)+J301*(1-'1. Press Assumptions'!$B$41)+K301*(1-'1. Press Assumptions'!$B$42)</f>
        <v/>
      </c>
      <c r="N301" s="306">
        <f>E301+F301+L301</f>
        <v/>
      </c>
      <c r="O301" s="306">
        <f>M301</f>
        <v/>
      </c>
      <c r="P301" s="306">
        <f>P300+N301</f>
        <v/>
      </c>
      <c r="Q301" s="306">
        <f>Q300+O301</f>
        <v/>
      </c>
      <c r="R301" s="306">
        <f>P301/$B$22</f>
        <v/>
      </c>
    </row>
    <row r="302">
      <c r="A302" s="306" t="n">
        <v>11</v>
      </c>
      <c r="B302" s="306">
        <f>P225</f>
        <v/>
      </c>
      <c r="C302" s="306">
        <f>MAX(0, $B$22-SUM(E$292:E301))</f>
        <v/>
      </c>
      <c r="D302" s="306">
        <f>C302*$B$11</f>
        <v/>
      </c>
      <c r="E302" s="306">
        <f>MIN(C302, MAX(0, B302))</f>
        <v/>
      </c>
      <c r="F302" s="306">
        <f>IF(C302-E302&lt;=0, MIN(D302+SUM(D$292:D301)-SUM(F$292:F301), MAX(0, B302-E302)), 0)</f>
        <v/>
      </c>
      <c r="G302" s="306">
        <f>MAX(0, B302-E302-F302)</f>
        <v/>
      </c>
      <c r="H302" s="306">
        <f>P301</f>
        <v/>
      </c>
      <c r="I302" s="306">
        <f>IF(H302&lt;2*$B$22, MIN(G302, (2*$B$22-H302)/'1. Press Assumptions'!$B$40), 0)</f>
        <v/>
      </c>
      <c r="J302" s="306">
        <f>IF(H302+I302*'1. Press Assumptions'!$B$40&lt;3*$B$22, MIN(MAX(0, G302-I302), (3*$B$22-(H302+I302*'1. Press Assumptions'!$B$40))/'1. Press Assumptions'!$B$41), 0)</f>
        <v/>
      </c>
      <c r="K302" s="306">
        <f>MAX(0, G302-I302-J302)</f>
        <v/>
      </c>
      <c r="L302" s="306">
        <f>I302*'1. Press Assumptions'!$B$40+J302*'1. Press Assumptions'!$B$41+K302*'1. Press Assumptions'!$B$42</f>
        <v/>
      </c>
      <c r="M302" s="306">
        <f>I302*(1-'1. Press Assumptions'!$B$40)+J302*(1-'1. Press Assumptions'!$B$41)+K302*(1-'1. Press Assumptions'!$B$42)</f>
        <v/>
      </c>
      <c r="N302" s="306">
        <f>E302+F302+L302</f>
        <v/>
      </c>
      <c r="O302" s="306">
        <f>M302</f>
        <v/>
      </c>
      <c r="P302" s="306">
        <f>P301+N302</f>
        <v/>
      </c>
      <c r="Q302" s="306">
        <f>Q301+O302</f>
        <v/>
      </c>
      <c r="R302" s="306">
        <f>P302/$B$22</f>
        <v/>
      </c>
    </row>
    <row r="303">
      <c r="A303" s="306" t="n">
        <v>12</v>
      </c>
      <c r="B303" s="306">
        <f>P226</f>
        <v/>
      </c>
      <c r="C303" s="306">
        <f>MAX(0, $B$22-SUM(E$292:E302))</f>
        <v/>
      </c>
      <c r="D303" s="306">
        <f>C303*$B$11</f>
        <v/>
      </c>
      <c r="E303" s="306">
        <f>MIN(C303, MAX(0, B303))</f>
        <v/>
      </c>
      <c r="F303" s="306">
        <f>IF(C303-E303&lt;=0, MIN(D303+SUM(D$292:D302)-SUM(F$292:F302), MAX(0, B303-E303)), 0)</f>
        <v/>
      </c>
      <c r="G303" s="306">
        <f>MAX(0, B303-E303-F303)</f>
        <v/>
      </c>
      <c r="H303" s="306">
        <f>P302</f>
        <v/>
      </c>
      <c r="I303" s="306">
        <f>IF(H303&lt;2*$B$22, MIN(G303, (2*$B$22-H303)/'1. Press Assumptions'!$B$40), 0)</f>
        <v/>
      </c>
      <c r="J303" s="306">
        <f>IF(H303+I303*'1. Press Assumptions'!$B$40&lt;3*$B$22, MIN(MAX(0, G303-I303), (3*$B$22-(H303+I303*'1. Press Assumptions'!$B$40))/'1. Press Assumptions'!$B$41), 0)</f>
        <v/>
      </c>
      <c r="K303" s="306">
        <f>MAX(0, G303-I303-J303)</f>
        <v/>
      </c>
      <c r="L303" s="306">
        <f>I303*'1. Press Assumptions'!$B$40+J303*'1. Press Assumptions'!$B$41+K303*'1. Press Assumptions'!$B$42</f>
        <v/>
      </c>
      <c r="M303" s="306">
        <f>I303*(1-'1. Press Assumptions'!$B$40)+J303*(1-'1. Press Assumptions'!$B$41)+K303*(1-'1. Press Assumptions'!$B$42)</f>
        <v/>
      </c>
      <c r="N303" s="306">
        <f>E303+F303+L303</f>
        <v/>
      </c>
      <c r="O303" s="306">
        <f>M303</f>
        <v/>
      </c>
      <c r="P303" s="306">
        <f>P302+N303</f>
        <v/>
      </c>
      <c r="Q303" s="306">
        <f>Q302+O303</f>
        <v/>
      </c>
      <c r="R303" s="306">
        <f>P303/$B$22</f>
        <v/>
      </c>
    </row>
    <row r="304">
      <c r="A304" s="306" t="n">
        <v>13</v>
      </c>
      <c r="B304" s="306">
        <f>P227</f>
        <v/>
      </c>
      <c r="C304" s="306">
        <f>MAX(0, $B$22-SUM(E$292:E303))</f>
        <v/>
      </c>
      <c r="D304" s="306">
        <f>C304*$B$11</f>
        <v/>
      </c>
      <c r="E304" s="306">
        <f>MIN(C304, MAX(0, B304))</f>
        <v/>
      </c>
      <c r="F304" s="306">
        <f>IF(C304-E304&lt;=0, MIN(D304+SUM(D$292:D303)-SUM(F$292:F303), MAX(0, B304-E304)), 0)</f>
        <v/>
      </c>
      <c r="G304" s="306">
        <f>MAX(0, B304-E304-F304)</f>
        <v/>
      </c>
      <c r="H304" s="306">
        <f>P303</f>
        <v/>
      </c>
      <c r="I304" s="306">
        <f>IF(H304&lt;2*$B$22, MIN(G304, (2*$B$22-H304)/'1. Press Assumptions'!$B$40), 0)</f>
        <v/>
      </c>
      <c r="J304" s="306">
        <f>IF(H304+I304*'1. Press Assumptions'!$B$40&lt;3*$B$22, MIN(MAX(0, G304-I304), (3*$B$22-(H304+I304*'1. Press Assumptions'!$B$40))/'1. Press Assumptions'!$B$41), 0)</f>
        <v/>
      </c>
      <c r="K304" s="306">
        <f>MAX(0, G304-I304-J304)</f>
        <v/>
      </c>
      <c r="L304" s="306">
        <f>I304*'1. Press Assumptions'!$B$40+J304*'1. Press Assumptions'!$B$41+K304*'1. Press Assumptions'!$B$42</f>
        <v/>
      </c>
      <c r="M304" s="306">
        <f>I304*(1-'1. Press Assumptions'!$B$40)+J304*(1-'1. Press Assumptions'!$B$41)+K304*(1-'1. Press Assumptions'!$B$42)</f>
        <v/>
      </c>
      <c r="N304" s="306">
        <f>E304+F304+L304</f>
        <v/>
      </c>
      <c r="O304" s="306">
        <f>M304</f>
        <v/>
      </c>
      <c r="P304" s="306">
        <f>P303+N304</f>
        <v/>
      </c>
      <c r="Q304" s="306">
        <f>Q303+O304</f>
        <v/>
      </c>
      <c r="R304" s="306">
        <f>P304/$B$22</f>
        <v/>
      </c>
    </row>
    <row r="305">
      <c r="A305" s="306" t="n">
        <v>14</v>
      </c>
      <c r="B305" s="306">
        <f>P228</f>
        <v/>
      </c>
      <c r="C305" s="306">
        <f>MAX(0, $B$22-SUM(E$292:E304))</f>
        <v/>
      </c>
      <c r="D305" s="306">
        <f>C305*$B$11</f>
        <v/>
      </c>
      <c r="E305" s="306">
        <f>MIN(C305, MAX(0, B305))</f>
        <v/>
      </c>
      <c r="F305" s="306">
        <f>IF(C305-E305&lt;=0, MIN(D305+SUM(D$292:D304)-SUM(F$292:F304), MAX(0, B305-E305)), 0)</f>
        <v/>
      </c>
      <c r="G305" s="306">
        <f>MAX(0, B305-E305-F305)</f>
        <v/>
      </c>
      <c r="H305" s="306">
        <f>P304</f>
        <v/>
      </c>
      <c r="I305" s="306">
        <f>IF(H305&lt;2*$B$22, MIN(G305, (2*$B$22-H305)/'1. Press Assumptions'!$B$40), 0)</f>
        <v/>
      </c>
      <c r="J305" s="306">
        <f>IF(H305+I305*'1. Press Assumptions'!$B$40&lt;3*$B$22, MIN(MAX(0, G305-I305), (3*$B$22-(H305+I305*'1. Press Assumptions'!$B$40))/'1. Press Assumptions'!$B$41), 0)</f>
        <v/>
      </c>
      <c r="K305" s="306">
        <f>MAX(0, G305-I305-J305)</f>
        <v/>
      </c>
      <c r="L305" s="306">
        <f>I305*'1. Press Assumptions'!$B$40+J305*'1. Press Assumptions'!$B$41+K305*'1. Press Assumptions'!$B$42</f>
        <v/>
      </c>
      <c r="M305" s="306">
        <f>I305*(1-'1. Press Assumptions'!$B$40)+J305*(1-'1. Press Assumptions'!$B$41)+K305*(1-'1. Press Assumptions'!$B$42)</f>
        <v/>
      </c>
      <c r="N305" s="306">
        <f>E305+F305+L305</f>
        <v/>
      </c>
      <c r="O305" s="306">
        <f>M305</f>
        <v/>
      </c>
      <c r="P305" s="306">
        <f>P304+N305</f>
        <v/>
      </c>
      <c r="Q305" s="306">
        <f>Q304+O305</f>
        <v/>
      </c>
      <c r="R305" s="306">
        <f>P305/$B$22</f>
        <v/>
      </c>
    </row>
    <row r="306">
      <c r="A306" s="306" t="n">
        <v>15</v>
      </c>
      <c r="B306" s="306">
        <f>P229</f>
        <v/>
      </c>
      <c r="C306" s="306">
        <f>MAX(0, $B$22-SUM(E$292:E305))</f>
        <v/>
      </c>
      <c r="D306" s="306">
        <f>C306*$B$11</f>
        <v/>
      </c>
      <c r="E306" s="306">
        <f>MIN(C306, MAX(0, B306))</f>
        <v/>
      </c>
      <c r="F306" s="306">
        <f>IF(C306-E306&lt;=0, MIN(D306+SUM(D$292:D305)-SUM(F$292:F305), MAX(0, B306-E306)), 0)</f>
        <v/>
      </c>
      <c r="G306" s="306">
        <f>MAX(0, B306-E306-F306)</f>
        <v/>
      </c>
      <c r="H306" s="306">
        <f>P305</f>
        <v/>
      </c>
      <c r="I306" s="306">
        <f>IF(H306&lt;2*$B$22, MIN(G306, (2*$B$22-H306)/'1. Press Assumptions'!$B$40), 0)</f>
        <v/>
      </c>
      <c r="J306" s="306">
        <f>IF(H306+I306*'1. Press Assumptions'!$B$40&lt;3*$B$22, MIN(MAX(0, G306-I306), (3*$B$22-(H306+I306*'1. Press Assumptions'!$B$40))/'1. Press Assumptions'!$B$41), 0)</f>
        <v/>
      </c>
      <c r="K306" s="306">
        <f>MAX(0, G306-I306-J306)</f>
        <v/>
      </c>
      <c r="L306" s="306">
        <f>I306*'1. Press Assumptions'!$B$40+J306*'1. Press Assumptions'!$B$41+K306*'1. Press Assumptions'!$B$42</f>
        <v/>
      </c>
      <c r="M306" s="306">
        <f>I306*(1-'1. Press Assumptions'!$B$40)+J306*(1-'1. Press Assumptions'!$B$41)+K306*(1-'1. Press Assumptions'!$B$42)</f>
        <v/>
      </c>
      <c r="N306" s="306">
        <f>E306+F306+L306</f>
        <v/>
      </c>
      <c r="O306" s="306">
        <f>M306</f>
        <v/>
      </c>
      <c r="P306" s="306">
        <f>P305+N306</f>
        <v/>
      </c>
      <c r="Q306" s="306">
        <f>Q305+O306</f>
        <v/>
      </c>
      <c r="R306" s="306">
        <f>P306/$B$22</f>
        <v/>
      </c>
    </row>
    <row r="308">
      <c r="A308" s="641" t="inlineStr">
        <is>
          <t>ESCALATING SUMMARY</t>
        </is>
      </c>
    </row>
    <row r="309">
      <c r="A309" s="306" t="inlineStr">
        <is>
          <t>15Y LP Cash (Esc)</t>
        </is>
      </c>
      <c r="B309" s="306">
        <f>P306</f>
        <v/>
      </c>
    </row>
    <row r="310">
      <c r="A310" s="306" t="inlineStr">
        <is>
          <t>15Y GP Carry (Esc)</t>
        </is>
      </c>
      <c r="B310" s="306">
        <f>Q306</f>
        <v/>
      </c>
    </row>
    <row r="311">
      <c r="A311" s="306" t="inlineStr">
        <is>
          <t>15Y DPI (Esc)</t>
        </is>
      </c>
      <c r="B311" s="306">
        <f>P306/$B$22</f>
        <v/>
      </c>
    </row>
    <row r="312">
      <c r="A312" s="306" t="inlineStr">
        <is>
          <t>Delta GP Carry (Esc - Std)</t>
        </is>
      </c>
      <c r="B312" s="306">
        <f>Q306-B251</f>
        <v/>
      </c>
    </row>
    <row r="315">
      <c r="A315" s="642" t="inlineStr">
        <is>
          <t>CLAWBACK CHECK  (whole-fund waterfall applied to 15Y total)</t>
        </is>
      </c>
    </row>
    <row r="316">
      <c r="A316" s="306" t="inlineStr">
        <is>
          <t>Total 15Y Distributable ($mm)</t>
        </is>
      </c>
      <c r="B316" s="306">
        <f>SUM(P215:P229)</f>
        <v/>
      </c>
    </row>
    <row r="317">
      <c r="A317" s="306" t="inlineStr">
        <is>
          <t>1x Return of Capital</t>
        </is>
      </c>
      <c r="B317" s="306">
        <f>MIN(B316, $B$22)</f>
        <v/>
      </c>
    </row>
    <row r="318">
      <c r="A318" s="306" t="inlineStr">
        <is>
          <t>10% pref (declining balance approx)</t>
        </is>
      </c>
      <c r="B318" s="306">
        <f>SUM(F292:F306)</f>
        <v/>
      </c>
    </row>
    <row r="319">
      <c r="A319" s="306" t="inlineStr">
        <is>
          <t>Available profit</t>
        </is>
      </c>
      <c r="B319" s="306">
        <f>MAX(0, B316 - B317 - B318)</f>
        <v/>
      </c>
    </row>
    <row r="320">
      <c r="A320" s="306" t="inlineStr">
        <is>
          <t>Cum LP pre-profit</t>
        </is>
      </c>
      <c r="B320" s="306">
        <f>B317+B318</f>
        <v/>
      </c>
    </row>
    <row r="321">
      <c r="A321" s="306" t="inlineStr">
        <is>
          <t>Tier 2 profit (cum LP 1x-2x)</t>
        </is>
      </c>
      <c r="B321" s="306">
        <f>IF(B320&lt;2*$B$22, MIN(B319, (2*$B$22-B320)/'1. Press Assumptions'!$B$40), 0)</f>
        <v/>
      </c>
    </row>
    <row r="322">
      <c r="A322" s="306" t="inlineStr">
        <is>
          <t>Tier 3 profit (cum LP 2x-3x)</t>
        </is>
      </c>
      <c r="B322" s="306">
        <f>IF(B320+B321*'1. Press Assumptions'!$B$40&lt;3*$B$22, MIN(MAX(0, B319-B321), (3*$B$22-(B320+B321*'1. Press Assumptions'!$B$40))/'1. Press Assumptions'!$B$41), 0)</f>
        <v/>
      </c>
    </row>
    <row r="323">
      <c r="A323" s="306" t="inlineStr">
        <is>
          <t>Tier 4 profit (cum LP &gt;3x)</t>
        </is>
      </c>
      <c r="B323" s="306">
        <f>MAX(0, B319-B321-B322)</f>
        <v/>
      </c>
    </row>
    <row r="324">
      <c r="A324" s="306" t="inlineStr">
        <is>
          <t>LP entitled (RoC + pref + tiered profit)</t>
        </is>
      </c>
      <c r="B324" s="306">
        <f>B317+B318+B321*'1. Press Assumptions'!$B$40+B322*'1. Press Assumptions'!$B$41+B323*'1. Press Assumptions'!$B$42</f>
        <v/>
      </c>
    </row>
    <row r="325">
      <c r="A325" s="306" t="inlineStr">
        <is>
          <t>GP entitled (tiered carry)</t>
        </is>
      </c>
      <c r="B325" s="306">
        <f>B321*(1-'1. Press Assumptions'!$B$40)+B322*(1-'1. Press Assumptions'!$B$41)+B323*(1-'1. Press Assumptions'!$B$42)</f>
        <v/>
      </c>
    </row>
    <row r="326">
      <c r="A326" s="306" t="inlineStr">
        <is>
          <t>GP actual carry paid (escalating)</t>
        </is>
      </c>
      <c r="B326" s="306">
        <f>Q306</f>
        <v/>
      </c>
    </row>
    <row r="327">
      <c r="A327" s="627" t="inlineStr">
        <is>
          <t>CLAWBACK (GP must return)</t>
        </is>
      </c>
      <c r="B327" s="627">
        <f>MAX(0, B326-B325)</f>
        <v/>
      </c>
    </row>
    <row r="328">
      <c r="A328" s="306" t="inlineStr">
        <is>
          <t>LP cash net of clawback ($mm)</t>
        </is>
      </c>
      <c r="B328" s="306">
        <f>P306+B327</f>
        <v/>
      </c>
    </row>
    <row r="329">
      <c r="A329" s="306" t="inlineStr">
        <is>
          <t>LP DPI net of clawback</t>
        </is>
      </c>
      <c r="B329" s="306">
        <f>B328/$B$22</f>
        <v/>
      </c>
    </row>
    <row r="332">
      <c r="A332" s="642" t="inlineStr">
        <is>
          <t>RECYCLING CASH SUFFICIENCY  (recycle % = 0.5)</t>
        </is>
      </c>
    </row>
    <row r="333">
      <c r="A333" s="633" t="inlineStr">
        <is>
          <t>Milestone</t>
        </is>
      </c>
      <c r="B333" s="633" t="inlineStr">
        <is>
          <t>Cum Retained ($mm)</t>
        </is>
      </c>
      <c r="C333" s="633" t="inlineStr">
        <is>
          <t>Cum Funded ($mm)</t>
        </is>
      </c>
      <c r="D333" s="633" t="inlineStr">
        <is>
          <t>Balance available</t>
        </is>
      </c>
      <c r="E333" s="633" t="inlineStr">
        <is>
          <t>Status</t>
        </is>
      </c>
    </row>
    <row r="334">
      <c r="A334" s="306" t="inlineStr">
        <is>
          <t>M27 (Deal #6 close)</t>
        </is>
      </c>
      <c r="B334" s="695">
        <f>SUM(Y31:Y57)</f>
        <v/>
      </c>
      <c r="C334" s="695" t="n">
        <v>33.6</v>
      </c>
      <c r="D334" s="695">
        <f>B334-C334</f>
        <v/>
      </c>
      <c r="E334" s="306">
        <f>IF(B334&gt;=C334,"OK","SHORT")</f>
        <v/>
      </c>
    </row>
    <row r="335">
      <c r="A335" s="306" t="inlineStr">
        <is>
          <t>M35 (Deal #7 close)</t>
        </is>
      </c>
      <c r="B335" s="695">
        <f>SUM(Y31:Y65)</f>
        <v/>
      </c>
      <c r="C335" s="695" t="n">
        <v>67.2</v>
      </c>
      <c r="D335" s="695">
        <f>B335-C335</f>
        <v/>
      </c>
      <c r="E335" s="306">
        <f>IF(B335&gt;=C335,"OK","SHORT")</f>
        <v/>
      </c>
    </row>
    <row r="336">
      <c r="A336" s="306" t="inlineStr">
        <is>
          <t>M43 (Deal #8 close)</t>
        </is>
      </c>
      <c r="B336" s="695">
        <f>SUM(Y31:Y73)</f>
        <v/>
      </c>
      <c r="C336" s="695" t="n">
        <v>100.8</v>
      </c>
      <c r="D336" s="695">
        <f>B336-C336</f>
        <v/>
      </c>
      <c r="E336" s="306">
        <f>IF(B336&gt;=C336,"OK","SHORT")</f>
        <v/>
      </c>
    </row>
    <row r="337">
      <c r="A337" s="306" t="inlineStr">
        <is>
          <t>M51 (Deal #9 close)</t>
        </is>
      </c>
      <c r="B337" s="695">
        <f>SUM(Y31:Y81)</f>
        <v/>
      </c>
      <c r="C337" s="695" t="n">
        <v>134.4</v>
      </c>
      <c r="D337" s="695">
        <f>B337-C337</f>
        <v/>
      </c>
      <c r="E337" s="306">
        <f>IF(B337&gt;=C337,"OK","SHORT")</f>
        <v/>
      </c>
    </row>
    <row r="338">
      <c r="A338" s="628" t="inlineStr">
        <is>
          <t>Total recycled capital needed</t>
        </is>
      </c>
      <c r="B338" s="306" t="n">
        <v>134.4</v>
      </c>
    </row>
    <row r="339">
      <c r="A339" s="628" t="inlineStr">
        <is>
          <t>Total retained M1-36</t>
        </is>
      </c>
      <c r="B339" s="306">
        <f>SUM(Y31:Y81)</f>
        <v/>
      </c>
    </row>
    <row r="340">
      <c r="A340" s="627" t="inlineStr">
        <is>
          <t>Net shortfall if any</t>
        </is>
      </c>
      <c r="B340" s="627">
        <f>MAX(0, 120 - B339)</f>
        <v/>
      </c>
    </row>
    <row r="350">
      <c r="A350" s="633" t="inlineStr">
        <is>
          <t>DEBUG: Monthly Dist Pre-Retain Y2-Y3 sample</t>
        </is>
      </c>
    </row>
    <row r="351">
      <c r="A351" s="306" t="inlineStr">
        <is>
          <t>Month</t>
        </is>
      </c>
      <c r="B351" s="306" t="inlineStr">
        <is>
          <t>Revenue</t>
        </is>
      </c>
      <c r="C351" s="306" t="inlineStr">
        <is>
          <t>EBITDA</t>
        </is>
      </c>
      <c r="D351" s="306" t="inlineStr">
        <is>
          <t>Severance</t>
        </is>
      </c>
      <c r="E351" s="306" t="inlineStr">
        <is>
          <t>Dist Pre-Retain</t>
        </is>
      </c>
      <c r="F351" s="306" t="inlineStr">
        <is>
          <t>Retained</t>
        </is>
      </c>
    </row>
    <row r="352">
      <c r="A352" s="306" t="n">
        <v>12</v>
      </c>
      <c r="B352" s="306">
        <f>P42</f>
        <v/>
      </c>
      <c r="C352" s="306">
        <f>V42</f>
        <v/>
      </c>
      <c r="D352" s="306">
        <f>W42</f>
        <v/>
      </c>
      <c r="E352" s="306">
        <f>X42</f>
        <v/>
      </c>
      <c r="F352" s="306">
        <f>Y42</f>
        <v/>
      </c>
    </row>
    <row r="353">
      <c r="A353" s="306" t="n">
        <v>18</v>
      </c>
      <c r="B353" s="306">
        <f>P48</f>
        <v/>
      </c>
      <c r="C353" s="306">
        <f>V48</f>
        <v/>
      </c>
      <c r="D353" s="306">
        <f>W48</f>
        <v/>
      </c>
      <c r="E353" s="306">
        <f>X48</f>
        <v/>
      </c>
      <c r="F353" s="306">
        <f>Y48</f>
        <v/>
      </c>
    </row>
    <row r="354">
      <c r="A354" s="306" t="n">
        <v>24</v>
      </c>
      <c r="B354" s="306">
        <f>P54</f>
        <v/>
      </c>
      <c r="C354" s="306">
        <f>V54</f>
        <v/>
      </c>
      <c r="D354" s="306">
        <f>W54</f>
        <v/>
      </c>
      <c r="E354" s="306">
        <f>X54</f>
        <v/>
      </c>
      <c r="F354" s="306">
        <f>Y54</f>
        <v/>
      </c>
    </row>
    <row r="355">
      <c r="A355" s="306" t="n">
        <v>28</v>
      </c>
      <c r="B355" s="306">
        <f>P58</f>
        <v/>
      </c>
      <c r="C355" s="306">
        <f>V58</f>
        <v/>
      </c>
      <c r="D355" s="306">
        <f>W58</f>
        <v/>
      </c>
      <c r="E355" s="306">
        <f>X58</f>
        <v/>
      </c>
      <c r="F355" s="306">
        <f>Y58</f>
        <v/>
      </c>
    </row>
    <row r="356">
      <c r="A356" s="306" t="n">
        <v>30</v>
      </c>
      <c r="B356" s="306">
        <f>P60</f>
        <v/>
      </c>
      <c r="C356" s="306">
        <f>V60</f>
        <v/>
      </c>
      <c r="D356" s="306">
        <f>W60</f>
        <v/>
      </c>
      <c r="E356" s="306">
        <f>X60</f>
        <v/>
      </c>
      <c r="F356" s="306">
        <f>Y60</f>
        <v/>
      </c>
    </row>
    <row r="357">
      <c r="A357" s="306" t="n">
        <v>32</v>
      </c>
      <c r="B357" s="306">
        <f>P62</f>
        <v/>
      </c>
      <c r="C357" s="306">
        <f>V62</f>
        <v/>
      </c>
      <c r="D357" s="306">
        <f>W62</f>
        <v/>
      </c>
      <c r="E357" s="306">
        <f>X62</f>
        <v/>
      </c>
      <c r="F357" s="306">
        <f>Y62</f>
        <v/>
      </c>
    </row>
    <row r="358">
      <c r="A358" s="306" t="n">
        <v>36</v>
      </c>
      <c r="B358" s="306">
        <f>P66</f>
        <v/>
      </c>
      <c r="C358" s="306">
        <f>V66</f>
        <v/>
      </c>
      <c r="D358" s="306">
        <f>W66</f>
        <v/>
      </c>
      <c r="E358" s="306">
        <f>X66</f>
        <v/>
      </c>
      <c r="F358" s="306">
        <f>Y66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B358"/>
  <sheetViews>
    <sheetView workbookViewId="0">
      <selection activeCell="A1" sqref="A1"/>
    </sheetView>
  </sheetViews>
  <sheetFormatPr baseColWidth="8" defaultRowHeight="15"/>
  <cols>
    <col width="36" customWidth="1" style="307" min="1" max="1"/>
    <col width="11" customWidth="1" style="307" min="2" max="2"/>
    <col width="11" customWidth="1" style="307" min="3" max="3"/>
    <col width="11" customWidth="1" style="307" min="4" max="4"/>
    <col width="11" customWidth="1" style="307" min="5" max="5"/>
    <col width="11" customWidth="1" style="307" min="6" max="6"/>
    <col width="11" customWidth="1" style="307" min="7" max="7"/>
    <col width="11" customWidth="1" style="307" min="8" max="8"/>
    <col width="11" customWidth="1" style="307" min="9" max="9"/>
    <col width="11" customWidth="1" style="307" min="10" max="10"/>
    <col width="11" customWidth="1" style="307" min="11" max="11"/>
    <col width="11" customWidth="1" style="307" min="12" max="12"/>
    <col width="11" customWidth="1" style="307" min="13" max="13"/>
    <col width="11" customWidth="1" style="307" min="14" max="14"/>
    <col width="11" customWidth="1" style="307" min="15" max="15"/>
    <col width="11" customWidth="1" style="307" min="16" max="16"/>
    <col width="11" customWidth="1" style="307" min="17" max="17"/>
    <col width="11" customWidth="1" style="307" min="18" max="18"/>
    <col width="11" customWidth="1" style="307" min="19" max="19"/>
    <col width="11" customWidth="1" style="307" min="20" max="20"/>
    <col width="11" customWidth="1" style="307" min="21" max="21"/>
    <col width="11" customWidth="1" style="307" min="22" max="22"/>
    <col width="11" customWidth="1" style="307" min="23" max="23"/>
    <col width="11" customWidth="1" style="307" min="24" max="24"/>
    <col width="11" customWidth="1" style="307" min="25" max="25"/>
    <col width="11" customWidth="1" style="307" min="26" max="26"/>
    <col width="11" customWidth="1" style="307" min="27" max="27"/>
    <col width="11" customWidth="1" style="307" min="28" max="28"/>
    <col width="11" customWidth="1" style="307" min="29" max="29"/>
  </cols>
  <sheetData>
    <row r="1">
      <c r="A1" s="633" t="inlineStr">
        <is>
          <t>AUTO-CALC ENGINE  --  100% Recycle (deals 1-9)</t>
        </is>
      </c>
    </row>
    <row r="2">
      <c r="A2" s="615" t="inlineStr">
        <is>
          <t>Recycle% = 1.0. Recycled deals 6-9 INCLUDED.</t>
        </is>
      </c>
    </row>
    <row r="4">
      <c r="A4" s="642" t="inlineStr">
        <is>
          <t>INPUTS PULLED FROM TAB 1</t>
        </is>
      </c>
      <c r="D4" s="642" t="inlineStr">
        <is>
          <t>PER-DEAL (deals 1-9)</t>
        </is>
      </c>
    </row>
    <row r="5">
      <c r="A5" s="306" t="inlineStr">
        <is>
          <t>Recycle scenario</t>
        </is>
      </c>
      <c r="B5" s="306" t="inlineStr">
        <is>
          <t>100% Recycle (deals 1-9)</t>
        </is>
      </c>
      <c r="D5" s="628" t="inlineStr">
        <is>
          <t>Deal</t>
        </is>
      </c>
      <c r="E5" s="628" t="inlineStr">
        <is>
          <t>ARR</t>
        </is>
      </c>
      <c r="F5" s="628" t="inlineStr">
        <is>
          <t>Close M</t>
        </is>
      </c>
      <c r="G5" s="628" t="inlineStr">
        <is>
          <t>Real NDR</t>
        </is>
      </c>
    </row>
    <row r="6">
      <c r="A6" s="306" t="inlineStr">
        <is>
          <t>NDR (uniform real)</t>
        </is>
      </c>
      <c r="B6" s="306">
        <f>'1. Press Assumptions'!$B$22</f>
        <v/>
      </c>
      <c r="D6" s="306" t="inlineStr">
        <is>
          <t>Deal #1</t>
        </is>
      </c>
      <c r="E6" s="306">
        <f>'1. Press Assumptions'!$D$89</f>
        <v/>
      </c>
      <c r="F6" s="306">
        <f>'1. Press Assumptions'!$K$89</f>
        <v/>
      </c>
      <c r="G6" s="306">
        <f>IF('1. Press Assumptions'!$B$136="Bear",0.80,IF('1. Press Assumptions'!$B$136="Bull",1.00,0.90))</f>
        <v/>
      </c>
    </row>
    <row r="7">
      <c r="A7" s="306" t="inlineStr">
        <is>
          <t>Bonus threshold (% margin)</t>
        </is>
      </c>
      <c r="B7" s="306">
        <f>'1. Press Assumptions'!$B$137</f>
        <v/>
      </c>
      <c r="D7" s="306" t="inlineStr">
        <is>
          <t>Deal #2</t>
        </is>
      </c>
      <c r="E7" s="306">
        <f>'1. Press Assumptions'!$D$90</f>
        <v/>
      </c>
      <c r="F7" s="306">
        <f>'1. Press Assumptions'!$K$90</f>
        <v/>
      </c>
      <c r="G7" s="306">
        <f>IF('1. Press Assumptions'!$B$136="Bear",0.80,IF('1. Press Assumptions'!$B$136="Bull",1.00,0.90))</f>
        <v/>
      </c>
    </row>
    <row r="8">
      <c r="A8" s="306" t="inlineStr">
        <is>
          <t>COGS rate</t>
        </is>
      </c>
      <c r="B8" s="306">
        <f>'1. Press Assumptions'!$B$30</f>
        <v/>
      </c>
      <c r="D8" s="306" t="inlineStr">
        <is>
          <t>Deal #3</t>
        </is>
      </c>
      <c r="E8" s="306">
        <f>'1. Press Assumptions'!$D$91</f>
        <v/>
      </c>
      <c r="F8" s="306">
        <f>'1. Press Assumptions'!$K$91</f>
        <v/>
      </c>
      <c r="G8" s="306">
        <f>IF('1. Press Assumptions'!$B$136="Bear",0.80,IF('1. Press Assumptions'!$B$136="Bull",1.00,0.90))</f>
        <v/>
      </c>
    </row>
    <row r="9">
      <c r="A9" s="306" t="inlineStr">
        <is>
          <t>Vendor rate</t>
        </is>
      </c>
      <c r="B9" s="306">
        <f>'1. Press Assumptions'!$B$31</f>
        <v/>
      </c>
      <c r="D9" s="306" t="inlineStr">
        <is>
          <t>Deal #4</t>
        </is>
      </c>
      <c r="E9" s="306">
        <f>'1. Press Assumptions'!$D$92</f>
        <v/>
      </c>
      <c r="F9" s="306">
        <f>'1. Press Assumptions'!$K$92</f>
        <v/>
      </c>
      <c r="G9" s="306">
        <f>IF('1. Press Assumptions'!$B$136="Bear",0.80,IF('1. Press Assumptions'!$B$136="Bull",1.00,0.90))</f>
        <v/>
      </c>
    </row>
    <row r="10">
      <c r="A10" s="306" t="inlineStr">
        <is>
          <t>Corp Alloc rate</t>
        </is>
      </c>
      <c r="B10" s="306">
        <f>'1. Press Assumptions'!$B$32</f>
        <v/>
      </c>
      <c r="D10" s="306" t="inlineStr">
        <is>
          <t>Deal #5</t>
        </is>
      </c>
      <c r="E10" s="306">
        <f>'1. Press Assumptions'!$D$93</f>
        <v/>
      </c>
      <c r="F10" s="306">
        <f>'1. Press Assumptions'!$K$93</f>
        <v/>
      </c>
      <c r="G10" s="306">
        <f>IF('1. Press Assumptions'!$B$136="Bear",0.80,IF('1. Press Assumptions'!$B$136="Bull",1.00,0.90))</f>
        <v/>
      </c>
    </row>
    <row r="11">
      <c r="A11" s="306" t="inlineStr">
        <is>
          <t>Pref rate (annual)</t>
        </is>
      </c>
      <c r="B11" s="306">
        <f>'1. Press Assumptions'!$B$39</f>
        <v/>
      </c>
      <c r="D11" s="306" t="inlineStr">
        <is>
          <t>Deal #6</t>
        </is>
      </c>
      <c r="E11" s="306">
        <f>'1. Press Assumptions'!$D$101</f>
        <v/>
      </c>
      <c r="F11" s="306">
        <f>'1. Press Assumptions'!$K$101</f>
        <v/>
      </c>
      <c r="G11" s="306">
        <f>IF('1. Press Assumptions'!$B$136="Bear",0.80,IF('1. Press Assumptions'!$B$136="Bull",1.00,0.90))</f>
        <v/>
      </c>
    </row>
    <row r="12">
      <c r="A12" s="306" t="inlineStr">
        <is>
          <t>LP split tier 2 (1x-2x)</t>
        </is>
      </c>
      <c r="B12" s="306">
        <f>'1. Press Assumptions'!$B$40</f>
        <v/>
      </c>
      <c r="D12" s="306" t="inlineStr">
        <is>
          <t>Deal #7</t>
        </is>
      </c>
      <c r="E12" s="306">
        <f>'1. Press Assumptions'!$D$102</f>
        <v/>
      </c>
      <c r="F12" s="306">
        <f>'1. Press Assumptions'!$K$102</f>
        <v/>
      </c>
      <c r="G12" s="306">
        <f>IF('1. Press Assumptions'!$B$136="Bear",0.80,IF('1. Press Assumptions'!$B$136="Bull",1.00,0.90))</f>
        <v/>
      </c>
    </row>
    <row r="13">
      <c r="A13" s="306" t="inlineStr">
        <is>
          <t>LP split tier 3 (2x-3x)</t>
        </is>
      </c>
      <c r="B13" s="306">
        <f>'1. Press Assumptions'!$B$41</f>
        <v/>
      </c>
      <c r="D13" s="306" t="inlineStr">
        <is>
          <t>Deal #8</t>
        </is>
      </c>
      <c r="E13" s="306">
        <f>'1. Press Assumptions'!$D$103</f>
        <v/>
      </c>
      <c r="F13" s="306">
        <f>'1. Press Assumptions'!$K$103</f>
        <v/>
      </c>
      <c r="G13" s="306">
        <f>IF('1. Press Assumptions'!$B$136="Bear",0.80,IF('1. Press Assumptions'!$B$136="Bull",1.00,0.90))</f>
        <v/>
      </c>
    </row>
    <row r="14">
      <c r="A14" s="306" t="inlineStr">
        <is>
          <t>LP split tier 4 (&gt;3x)</t>
        </is>
      </c>
      <c r="B14" s="306">
        <f>'1. Press Assumptions'!$B$42</f>
        <v/>
      </c>
      <c r="D14" s="306" t="inlineStr">
        <is>
          <t>Deal #9</t>
        </is>
      </c>
      <c r="E14" s="306">
        <f>'1. Press Assumptions'!$D$104</f>
        <v/>
      </c>
      <c r="F14" s="306">
        <f>'1. Press Assumptions'!$K$104</f>
        <v/>
      </c>
      <c r="G14" s="306">
        <f>IF('1. Press Assumptions'!$B$136="Bear",0.80,IF('1. Press Assumptions'!$B$136="Bull",1.00,0.90))</f>
        <v/>
      </c>
    </row>
    <row r="15">
      <c r="A15" s="306" t="inlineStr">
        <is>
          <t>Mgmt fee total</t>
        </is>
      </c>
      <c r="B15" s="306" t="n">
        <v>3</v>
      </c>
    </row>
    <row r="16">
      <c r="A16" s="306" t="inlineStr">
        <is>
          <t>Severance per FTE ($)</t>
        </is>
      </c>
      <c r="B16" s="306">
        <f>'1. Press Assumptions'!$B$110</f>
        <v/>
      </c>
    </row>
    <row r="17">
      <c r="A17" s="306" t="inlineStr">
        <is>
          <t>Press severance share</t>
        </is>
      </c>
      <c r="B17" s="306" t="n">
        <v>0.5</v>
      </c>
    </row>
    <row r="18">
      <c r="A18" s="306" t="inlineStr">
        <is>
          <t>FTE per OpCo</t>
        </is>
      </c>
      <c r="B18" s="306">
        <f>'1. Press Assumptions'!$B$103</f>
        <v/>
      </c>
    </row>
    <row r="19">
      <c r="A19" s="306" t="inlineStr">
        <is>
          <t>Exit month</t>
        </is>
      </c>
      <c r="B19" s="306">
        <f>'1. Press Assumptions'!$B$115</f>
        <v/>
      </c>
    </row>
    <row r="20">
      <c r="A20" s="306" t="inlineStr">
        <is>
          <t>Exit multiple (x ARR)</t>
        </is>
      </c>
      <c r="B20" s="306">
        <f>'1. Press Assumptions'!$B$116</f>
        <v/>
      </c>
    </row>
    <row r="21">
      <c r="A21" s="306" t="inlineStr">
        <is>
          <t>Include exit in waterfall</t>
        </is>
      </c>
      <c r="B21" s="306">
        <f>'1. Press Assumptions'!$B$117</f>
        <v/>
      </c>
    </row>
    <row r="22">
      <c r="A22" s="306" t="inlineStr">
        <is>
          <t>Fund commitment ($mm)</t>
        </is>
      </c>
      <c r="B22" s="306">
        <f>'1. Press Assumptions'!$B$5/1000000</f>
        <v/>
      </c>
    </row>
    <row r="23">
      <c r="A23" s="306" t="inlineStr">
        <is>
          <t>Recycle % of distributable</t>
        </is>
      </c>
      <c r="B23" s="306" t="n">
        <v>1</v>
      </c>
    </row>
    <row r="24">
      <c r="A24" s="306" t="inlineStr">
        <is>
          <t>Recycling period (months)</t>
        </is>
      </c>
      <c r="B24" s="306">
        <f>'1. Press Assumptions'!$B$105</f>
        <v/>
      </c>
    </row>
    <row r="30" ht="28" customHeight="1" s="307">
      <c r="A30" s="643" t="inlineStr">
        <is>
          <t>M</t>
        </is>
      </c>
      <c r="B30" s="643" t="inlineStr">
        <is>
          <t>Year</t>
        </is>
      </c>
      <c r="C30" s="643" t="inlineStr">
        <is>
          <t>Mgmt Fee</t>
        </is>
      </c>
      <c r="D30" s="643" t="inlineStr">
        <is>
          <t>Team Comp</t>
        </is>
      </c>
      <c r="E30" s="643" t="inlineStr">
        <is>
          <t>Legacy HC</t>
        </is>
      </c>
      <c r="F30" s="643" t="inlineStr">
        <is>
          <t>D1 ARR</t>
        </is>
      </c>
      <c r="G30" s="643" t="inlineStr">
        <is>
          <t>D2 ARR</t>
        </is>
      </c>
      <c r="H30" s="643" t="inlineStr">
        <is>
          <t>D3 ARR</t>
        </is>
      </c>
      <c r="I30" s="643" t="inlineStr">
        <is>
          <t>D4 ARR</t>
        </is>
      </c>
      <c r="J30" s="643" t="inlineStr">
        <is>
          <t>D5 ARR</t>
        </is>
      </c>
      <c r="K30" s="643" t="inlineStr">
        <is>
          <t>D6 ARR</t>
        </is>
      </c>
      <c r="L30" s="643" t="inlineStr">
        <is>
          <t>D7 ARR</t>
        </is>
      </c>
      <c r="M30" s="643" t="inlineStr">
        <is>
          <t>D8 ARR</t>
        </is>
      </c>
      <c r="N30" s="643" t="inlineStr">
        <is>
          <t>D9 ARR</t>
        </is>
      </c>
      <c r="O30" s="643" t="inlineStr">
        <is>
          <t>Port ARR</t>
        </is>
      </c>
      <c r="P30" s="643" t="inlineStr">
        <is>
          <t>Revenue</t>
        </is>
      </c>
      <c r="Q30" s="643" t="inlineStr">
        <is>
          <t>COGS</t>
        </is>
      </c>
      <c r="R30" s="643" t="inlineStr">
        <is>
          <t>Vendor</t>
        </is>
      </c>
      <c r="S30" s="643" t="inlineStr">
        <is>
          <t>Corp Alloc</t>
        </is>
      </c>
      <c r="T30" s="643" t="inlineStr">
        <is>
          <t>Pre-Bonus EBITDA</t>
        </is>
      </c>
      <c r="U30" s="643" t="inlineStr">
        <is>
          <t>Bonus Pool</t>
        </is>
      </c>
      <c r="V30" s="643" t="inlineStr">
        <is>
          <t>EBITDA</t>
        </is>
      </c>
      <c r="W30" s="643" t="inlineStr">
        <is>
          <t>Severance</t>
        </is>
      </c>
      <c r="X30" s="643" t="inlineStr">
        <is>
          <t>Dist Pre-Retain</t>
        </is>
      </c>
      <c r="Y30" s="643" t="inlineStr">
        <is>
          <t>Retained</t>
        </is>
      </c>
      <c r="Z30" s="643" t="inlineStr">
        <is>
          <t>Dist Post-Retain</t>
        </is>
      </c>
      <c r="AA30" s="643" t="inlineStr">
        <is>
          <t>Exit</t>
        </is>
      </c>
      <c r="AB30" s="643" t="inlineStr">
        <is>
          <t>Cum Dist</t>
        </is>
      </c>
    </row>
    <row r="31">
      <c r="A31" s="306" t="n">
        <v>1</v>
      </c>
      <c r="B31" s="306">
        <f>CEILING(A31/12,1)</f>
        <v/>
      </c>
      <c r="C31" s="306">
        <f>IF(A31&lt;=12, $B$15/12, 0)</f>
        <v/>
      </c>
      <c r="D31" s="306">
        <f>INDEX('26. Team Comp'!$D$28:$R$28, B31) * 0.001 / 12</f>
        <v/>
      </c>
      <c r="E31" s="306">
        <f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+ (IF(MAX(0, A31 - $F$11 + 1)&lt;=0, 0, IF(MAX(0, A31 - $F$11 + 1)&lt;=6, 70 - (70-14)*(MAX(0, A31 - $F$11 + 1)-1)/5, IF(MAX(0, A31 - $F$11 + 1)&lt;=24, 14 - 14*(MAX(0, A31 - $F$11 + 1)-6)/18, 0)))) + (IF(MAX(0, A31 - $F$12 + 1)&lt;=0, 0, IF(MAX(0, A31 - $F$12 + 1)&lt;=6, 70 - (70-14)*(MAX(0, A31 - $F$12 + 1)-1)/5, IF(MAX(0, A31 - $F$12 + 1)&lt;=24, 14 - 14*(MAX(0, A31 - $F$12 + 1)-6)/18, 0)))) + (IF(MAX(0, A31 - $F$13 + 1)&lt;=0, 0, IF(MAX(0, A31 - $F$13 + 1)&lt;=6, 70 - (70-14)*(MAX(0, A31 - $F$13 + 1)-1)/5, IF(MAX(0, A31 - $F$13 + 1)&lt;=24, 14 - 14*(MAX(0, A31 - $F$13 + 1)-6)/18, 0)))) + (IF(MAX(0, A31 - $F$14 + 1)&lt;=0, 0, IF(MAX(0, A31 - $F$14 + 1)&lt;=6, 70 - (70-14)*(MAX(0, A31 - $F$14 + 1)-1)/5, IF(MAX(0, A31 - $F$14 + 1)&lt;=24, 14 - 14*(MAX(0, A31 - $F$14 + 1)-6)/18, 0)))) ) * 200 / 12 / 1000</f>
        <v/>
      </c>
      <c r="F31" s="306">
        <f>IF(A31&lt;$F$6,0,IF(AND($B$21=1,A31&gt;$B$19),0,$E$6*$G$6^MIN((A31-$F$6)/12,6)*MIN($G$6,0.85)^MAX(0,(A31-$F$6)/12-6)))</f>
        <v/>
      </c>
      <c r="G31" s="306">
        <f>IF(A31&lt;$F$7,0,IF(AND($B$21=1,A31&gt;$B$19),0,$E$7*$G$7^MIN((A31-$F$7)/12,6)*MIN($G$7,0.85)^MAX(0,(A31-$F$7)/12-6)))</f>
        <v/>
      </c>
      <c r="H31" s="306">
        <f>IF(A31&lt;$F$8,0,IF(AND($B$21=1,A31&gt;$B$19),0,$E$8*$G$8^MIN((A31-$F$8)/12,6)*MIN($G$8,0.85)^MAX(0,(A31-$F$8)/12-6)))</f>
        <v/>
      </c>
      <c r="I31" s="306">
        <f>IF(A31&lt;$F$9,0,IF(AND($B$21=1,A31&gt;$B$19),0,$E$9*$G$9^MIN((A31-$F$9)/12,6)*MIN($G$9,0.85)^MAX(0,(A31-$F$9)/12-6)))</f>
        <v/>
      </c>
      <c r="J31" s="306">
        <f>IF(A31&lt;$F$10,0,IF(AND($B$21=1,A31&gt;$B$19),0,$E$10*$G$10^MIN((A31-$F$10)/12,6)*MIN($G$10,0.85)^MAX(0,(A31-$F$10)/12-6)))</f>
        <v/>
      </c>
      <c r="K31" s="306">
        <f>IF(A31&lt;$F$11,0,IF(AND($B$21=1,A31&gt;$B$19),0,$E$11*$G$11^MIN((A31-$F$11)/12,6)*MIN($G$11,0.85)^MAX(0,(A31-$F$11)/12-6)))</f>
        <v/>
      </c>
      <c r="L31" s="306">
        <f>IF(A31&lt;$F$12,0,IF(AND($B$21=1,A31&gt;$B$19),0,$E$12*$G$12^MIN((A31-$F$12)/12,6)*MIN($G$12,0.85)^MAX(0,(A31-$F$12)/12-6)))</f>
        <v/>
      </c>
      <c r="M31" s="306">
        <f>IF(A31&lt;$F$13,0,IF(AND($B$21=1,A31&gt;$B$19),0,$E$13*$G$13^MIN((A31-$F$13)/12,6)*MIN($G$13,0.85)^MAX(0,(A31-$F$13)/12-6)))</f>
        <v/>
      </c>
      <c r="N31" s="306">
        <f>IF(A31&lt;$F$14,0,IF(AND($B$21=1,A31&gt;$B$19),0,$E$14*$G$14^MIN((A31-$F$14)/12,6)*MIN($G$14,0.85)^MAX(0,(A31-$F$14)/12-6)))</f>
        <v/>
      </c>
      <c r="O31" s="306">
        <f>SUM(F31:N31)</f>
        <v/>
      </c>
      <c r="P31" s="306">
        <f>O31/12</f>
        <v/>
      </c>
      <c r="Q31" s="306">
        <f>P31*$B$8</f>
        <v/>
      </c>
      <c r="R31" s="306">
        <f>P31*$B$9</f>
        <v/>
      </c>
      <c r="S31" s="306">
        <f>P31*$B$10</f>
        <v/>
      </c>
      <c r="T31" s="306">
        <f>P31-Q31-R31-S31-D31-E31</f>
        <v/>
      </c>
      <c r="U31" s="306">
        <f>MAX(0, T31 - $B$7*P31)</f>
        <v/>
      </c>
      <c r="V31" s="306">
        <f>T31-U31</f>
        <v/>
      </c>
      <c r="W31" s="306">
        <f>IF(A31=$F$6, $B$18*$B$16*$B$17/1000000, 0) + IF(A31=$F$7, $B$18*$B$16*$B$17/1000000, 0) + IF(A31=$F$8, $B$18*$B$16*$B$17/1000000, 0) + IF(A31=$F$9, $B$18*$B$16*$B$17/1000000, 0) + IF(A31=$F$10, $B$18*$B$16*$B$17/1000000, 0) + IF(A31=$F$11, $B$18*$B$16*$B$17/1000000, 0) + IF(A31=$F$12, $B$18*$B$16*$B$17/1000000, 0) + IF(A31=$F$13, $B$18*$B$16*$B$17/1000000, 0) + IF(A31=$F$14, $B$18*$B$16*$B$17/1000000, 0)</f>
        <v/>
      </c>
      <c r="X31" s="306">
        <f>V31-W31-C31</f>
        <v/>
      </c>
      <c r="Y31" s="306">
        <f>IF(AND(A31&lt;=$B$24, X31&gt;0), X31*$B$23, 0)</f>
        <v/>
      </c>
      <c r="Z31" s="306">
        <f>X31-Y31</f>
        <v/>
      </c>
      <c r="AA31" s="306">
        <f>IF(AND(A31=$B$19, $B$21=1), O31*$B$20, 0)</f>
        <v/>
      </c>
      <c r="AB31" s="306">
        <f>Z31+AA31</f>
        <v/>
      </c>
    </row>
    <row r="32">
      <c r="A32" s="306" t="n">
        <v>2</v>
      </c>
      <c r="B32" s="306">
        <f>CEILING(A32/12,1)</f>
        <v/>
      </c>
      <c r="C32" s="306">
        <f>IF(A32&lt;=12, $B$15/12, 0)</f>
        <v/>
      </c>
      <c r="D32" s="306">
        <f>INDEX('26. Team Comp'!$D$28:$R$28, B32) * 0.001 / 12</f>
        <v/>
      </c>
      <c r="E32" s="306">
        <f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+ (IF(MAX(0, A32 - $F$11 + 1)&lt;=0, 0, IF(MAX(0, A32 - $F$11 + 1)&lt;=6, 70 - (70-14)*(MAX(0, A32 - $F$11 + 1)-1)/5, IF(MAX(0, A32 - $F$11 + 1)&lt;=24, 14 - 14*(MAX(0, A32 - $F$11 + 1)-6)/18, 0)))) + (IF(MAX(0, A32 - $F$12 + 1)&lt;=0, 0, IF(MAX(0, A32 - $F$12 + 1)&lt;=6, 70 - (70-14)*(MAX(0, A32 - $F$12 + 1)-1)/5, IF(MAX(0, A32 - $F$12 + 1)&lt;=24, 14 - 14*(MAX(0, A32 - $F$12 + 1)-6)/18, 0)))) + (IF(MAX(0, A32 - $F$13 + 1)&lt;=0, 0, IF(MAX(0, A32 - $F$13 + 1)&lt;=6, 70 - (70-14)*(MAX(0, A32 - $F$13 + 1)-1)/5, IF(MAX(0, A32 - $F$13 + 1)&lt;=24, 14 - 14*(MAX(0, A32 - $F$13 + 1)-6)/18, 0)))) + (IF(MAX(0, A32 - $F$14 + 1)&lt;=0, 0, IF(MAX(0, A32 - $F$14 + 1)&lt;=6, 70 - (70-14)*(MAX(0, A32 - $F$14 + 1)-1)/5, IF(MAX(0, A32 - $F$14 + 1)&lt;=24, 14 - 14*(MAX(0, A32 - $F$14 + 1)-6)/18, 0)))) ) * 200 / 12 / 1000</f>
        <v/>
      </c>
      <c r="F32" s="306">
        <f>IF(A32&lt;$F$6,0,IF(AND($B$21=1,A32&gt;$B$19),0,$E$6*$G$6^MIN((A32-$F$6)/12,6)*MIN($G$6,0.85)^MAX(0,(A32-$F$6)/12-6)))</f>
        <v/>
      </c>
      <c r="G32" s="306">
        <f>IF(A32&lt;$F$7,0,IF(AND($B$21=1,A32&gt;$B$19),0,$E$7*$G$7^MIN((A32-$F$7)/12,6)*MIN($G$7,0.85)^MAX(0,(A32-$F$7)/12-6)))</f>
        <v/>
      </c>
      <c r="H32" s="306">
        <f>IF(A32&lt;$F$8,0,IF(AND($B$21=1,A32&gt;$B$19),0,$E$8*$G$8^MIN((A32-$F$8)/12,6)*MIN($G$8,0.85)^MAX(0,(A32-$F$8)/12-6)))</f>
        <v/>
      </c>
      <c r="I32" s="306">
        <f>IF(A32&lt;$F$9,0,IF(AND($B$21=1,A32&gt;$B$19),0,$E$9*$G$9^MIN((A32-$F$9)/12,6)*MIN($G$9,0.85)^MAX(0,(A32-$F$9)/12-6)))</f>
        <v/>
      </c>
      <c r="J32" s="306">
        <f>IF(A32&lt;$F$10,0,IF(AND($B$21=1,A32&gt;$B$19),0,$E$10*$G$10^MIN((A32-$F$10)/12,6)*MIN($G$10,0.85)^MAX(0,(A32-$F$10)/12-6)))</f>
        <v/>
      </c>
      <c r="K32" s="306">
        <f>IF(A32&lt;$F$11,0,IF(AND($B$21=1,A32&gt;$B$19),0,$E$11*$G$11^MIN((A32-$F$11)/12,6)*MIN($G$11,0.85)^MAX(0,(A32-$F$11)/12-6)))</f>
        <v/>
      </c>
      <c r="L32" s="306">
        <f>IF(A32&lt;$F$12,0,IF(AND($B$21=1,A32&gt;$B$19),0,$E$12*$G$12^MIN((A32-$F$12)/12,6)*MIN($G$12,0.85)^MAX(0,(A32-$F$12)/12-6)))</f>
        <v/>
      </c>
      <c r="M32" s="306">
        <f>IF(A32&lt;$F$13,0,IF(AND($B$21=1,A32&gt;$B$19),0,$E$13*$G$13^MIN((A32-$F$13)/12,6)*MIN($G$13,0.85)^MAX(0,(A32-$F$13)/12-6)))</f>
        <v/>
      </c>
      <c r="N32" s="306">
        <f>IF(A32&lt;$F$14,0,IF(AND($B$21=1,A32&gt;$B$19),0,$E$14*$G$14^MIN((A32-$F$14)/12,6)*MIN($G$14,0.85)^MAX(0,(A32-$F$14)/12-6)))</f>
        <v/>
      </c>
      <c r="O32" s="306">
        <f>SUM(F32:N32)</f>
        <v/>
      </c>
      <c r="P32" s="306">
        <f>O32/12</f>
        <v/>
      </c>
      <c r="Q32" s="306">
        <f>P32*$B$8</f>
        <v/>
      </c>
      <c r="R32" s="306">
        <f>P32*$B$9</f>
        <v/>
      </c>
      <c r="S32" s="306">
        <f>P32*$B$10</f>
        <v/>
      </c>
      <c r="T32" s="306">
        <f>P32-Q32-R32-S32-D32-E32</f>
        <v/>
      </c>
      <c r="U32" s="306">
        <f>MAX(0, T32 - $B$7*P32)</f>
        <v/>
      </c>
      <c r="V32" s="306">
        <f>T32-U32</f>
        <v/>
      </c>
      <c r="W32" s="306">
        <f>IF(A32=$F$6, $B$18*$B$16*$B$17/1000000, 0) + IF(A32=$F$7, $B$18*$B$16*$B$17/1000000, 0) + IF(A32=$F$8, $B$18*$B$16*$B$17/1000000, 0) + IF(A32=$F$9, $B$18*$B$16*$B$17/1000000, 0) + IF(A32=$F$10, $B$18*$B$16*$B$17/1000000, 0) + IF(A32=$F$11, $B$18*$B$16*$B$17/1000000, 0) + IF(A32=$F$12, $B$18*$B$16*$B$17/1000000, 0) + IF(A32=$F$13, $B$18*$B$16*$B$17/1000000, 0) + IF(A32=$F$14, $B$18*$B$16*$B$17/1000000, 0)</f>
        <v/>
      </c>
      <c r="X32" s="306">
        <f>V32-W32-C32</f>
        <v/>
      </c>
      <c r="Y32" s="306">
        <f>IF(AND(A32&lt;=$B$24, X32&gt;0), X32*$B$23, 0)</f>
        <v/>
      </c>
      <c r="Z32" s="306">
        <f>X32-Y32</f>
        <v/>
      </c>
      <c r="AA32" s="306">
        <f>IF(AND(A32=$B$19, $B$21=1), O32*$B$20, 0)</f>
        <v/>
      </c>
      <c r="AB32" s="306">
        <f>AB31+Z32+AA32</f>
        <v/>
      </c>
    </row>
    <row r="33">
      <c r="A33" s="306" t="n">
        <v>3</v>
      </c>
      <c r="B33" s="306">
        <f>CEILING(A33/12,1)</f>
        <v/>
      </c>
      <c r="C33" s="306">
        <f>IF(A33&lt;=12, $B$15/12, 0)</f>
        <v/>
      </c>
      <c r="D33" s="306">
        <f>INDEX('26. Team Comp'!$D$28:$R$28, B33) * 0.001 / 12</f>
        <v/>
      </c>
      <c r="E33" s="306">
        <f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+ (IF(MAX(0, A33 - $F$11 + 1)&lt;=0, 0, IF(MAX(0, A33 - $F$11 + 1)&lt;=6, 70 - (70-14)*(MAX(0, A33 - $F$11 + 1)-1)/5, IF(MAX(0, A33 - $F$11 + 1)&lt;=24, 14 - 14*(MAX(0, A33 - $F$11 + 1)-6)/18, 0)))) + (IF(MAX(0, A33 - $F$12 + 1)&lt;=0, 0, IF(MAX(0, A33 - $F$12 + 1)&lt;=6, 70 - (70-14)*(MAX(0, A33 - $F$12 + 1)-1)/5, IF(MAX(0, A33 - $F$12 + 1)&lt;=24, 14 - 14*(MAX(0, A33 - $F$12 + 1)-6)/18, 0)))) + (IF(MAX(0, A33 - $F$13 + 1)&lt;=0, 0, IF(MAX(0, A33 - $F$13 + 1)&lt;=6, 70 - (70-14)*(MAX(0, A33 - $F$13 + 1)-1)/5, IF(MAX(0, A33 - $F$13 + 1)&lt;=24, 14 - 14*(MAX(0, A33 - $F$13 + 1)-6)/18, 0)))) + (IF(MAX(0, A33 - $F$14 + 1)&lt;=0, 0, IF(MAX(0, A33 - $F$14 + 1)&lt;=6, 70 - (70-14)*(MAX(0, A33 - $F$14 + 1)-1)/5, IF(MAX(0, A33 - $F$14 + 1)&lt;=24, 14 - 14*(MAX(0, A33 - $F$14 + 1)-6)/18, 0)))) ) * 200 / 12 / 1000</f>
        <v/>
      </c>
      <c r="F33" s="306">
        <f>IF(A33&lt;$F$6,0,IF(AND($B$21=1,A33&gt;$B$19),0,$E$6*$G$6^MIN((A33-$F$6)/12,6)*MIN($G$6,0.85)^MAX(0,(A33-$F$6)/12-6)))</f>
        <v/>
      </c>
      <c r="G33" s="306">
        <f>IF(A33&lt;$F$7,0,IF(AND($B$21=1,A33&gt;$B$19),0,$E$7*$G$7^MIN((A33-$F$7)/12,6)*MIN($G$7,0.85)^MAX(0,(A33-$F$7)/12-6)))</f>
        <v/>
      </c>
      <c r="H33" s="306">
        <f>IF(A33&lt;$F$8,0,IF(AND($B$21=1,A33&gt;$B$19),0,$E$8*$G$8^MIN((A33-$F$8)/12,6)*MIN($G$8,0.85)^MAX(0,(A33-$F$8)/12-6)))</f>
        <v/>
      </c>
      <c r="I33" s="306">
        <f>IF(A33&lt;$F$9,0,IF(AND($B$21=1,A33&gt;$B$19),0,$E$9*$G$9^MIN((A33-$F$9)/12,6)*MIN($G$9,0.85)^MAX(0,(A33-$F$9)/12-6)))</f>
        <v/>
      </c>
      <c r="J33" s="306">
        <f>IF(A33&lt;$F$10,0,IF(AND($B$21=1,A33&gt;$B$19),0,$E$10*$G$10^MIN((A33-$F$10)/12,6)*MIN($G$10,0.85)^MAX(0,(A33-$F$10)/12-6)))</f>
        <v/>
      </c>
      <c r="K33" s="306">
        <f>IF(A33&lt;$F$11,0,IF(AND($B$21=1,A33&gt;$B$19),0,$E$11*$G$11^MIN((A33-$F$11)/12,6)*MIN($G$11,0.85)^MAX(0,(A33-$F$11)/12-6)))</f>
        <v/>
      </c>
      <c r="L33" s="306">
        <f>IF(A33&lt;$F$12,0,IF(AND($B$21=1,A33&gt;$B$19),0,$E$12*$G$12^MIN((A33-$F$12)/12,6)*MIN($G$12,0.85)^MAX(0,(A33-$F$12)/12-6)))</f>
        <v/>
      </c>
      <c r="M33" s="306">
        <f>IF(A33&lt;$F$13,0,IF(AND($B$21=1,A33&gt;$B$19),0,$E$13*$G$13^MIN((A33-$F$13)/12,6)*MIN($G$13,0.85)^MAX(0,(A33-$F$13)/12-6)))</f>
        <v/>
      </c>
      <c r="N33" s="306">
        <f>IF(A33&lt;$F$14,0,IF(AND($B$21=1,A33&gt;$B$19),0,$E$14*$G$14^MIN((A33-$F$14)/12,6)*MIN($G$14,0.85)^MAX(0,(A33-$F$14)/12-6)))</f>
        <v/>
      </c>
      <c r="O33" s="306">
        <f>SUM(F33:N33)</f>
        <v/>
      </c>
      <c r="P33" s="306">
        <f>O33/12</f>
        <v/>
      </c>
      <c r="Q33" s="306">
        <f>P33*$B$8</f>
        <v/>
      </c>
      <c r="R33" s="306">
        <f>P33*$B$9</f>
        <v/>
      </c>
      <c r="S33" s="306">
        <f>P33*$B$10</f>
        <v/>
      </c>
      <c r="T33" s="306">
        <f>P33-Q33-R33-S33-D33-E33</f>
        <v/>
      </c>
      <c r="U33" s="306">
        <f>MAX(0, T33 - $B$7*P33)</f>
        <v/>
      </c>
      <c r="V33" s="306">
        <f>T33-U33</f>
        <v/>
      </c>
      <c r="W33" s="306">
        <f>IF(A33=$F$6, $B$18*$B$16*$B$17/1000000, 0) + IF(A33=$F$7, $B$18*$B$16*$B$17/1000000, 0) + IF(A33=$F$8, $B$18*$B$16*$B$17/1000000, 0) + IF(A33=$F$9, $B$18*$B$16*$B$17/1000000, 0) + IF(A33=$F$10, $B$18*$B$16*$B$17/1000000, 0) + IF(A33=$F$11, $B$18*$B$16*$B$17/1000000, 0) + IF(A33=$F$12, $B$18*$B$16*$B$17/1000000, 0) + IF(A33=$F$13, $B$18*$B$16*$B$17/1000000, 0) + IF(A33=$F$14, $B$18*$B$16*$B$17/1000000, 0)</f>
        <v/>
      </c>
      <c r="X33" s="306">
        <f>V33-W33-C33</f>
        <v/>
      </c>
      <c r="Y33" s="306">
        <f>IF(AND(A33&lt;=$B$24, X33&gt;0), X33*$B$23, 0)</f>
        <v/>
      </c>
      <c r="Z33" s="306">
        <f>X33-Y33</f>
        <v/>
      </c>
      <c r="AA33" s="306">
        <f>IF(AND(A33=$B$19, $B$21=1), O33*$B$20, 0)</f>
        <v/>
      </c>
      <c r="AB33" s="306">
        <f>AB32+Z33+AA33</f>
        <v/>
      </c>
    </row>
    <row r="34">
      <c r="A34" s="306" t="n">
        <v>4</v>
      </c>
      <c r="B34" s="306">
        <f>CEILING(A34/12,1)</f>
        <v/>
      </c>
      <c r="C34" s="306">
        <f>IF(A34&lt;=12, $B$15/12, 0)</f>
        <v/>
      </c>
      <c r="D34" s="306">
        <f>INDEX('26. Team Comp'!$D$28:$R$28, B34) * 0.001 / 12</f>
        <v/>
      </c>
      <c r="E34" s="306">
        <f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+ (IF(MAX(0, A34 - $F$11 + 1)&lt;=0, 0, IF(MAX(0, A34 - $F$11 + 1)&lt;=6, 70 - (70-14)*(MAX(0, A34 - $F$11 + 1)-1)/5, IF(MAX(0, A34 - $F$11 + 1)&lt;=24, 14 - 14*(MAX(0, A34 - $F$11 + 1)-6)/18, 0)))) + (IF(MAX(0, A34 - $F$12 + 1)&lt;=0, 0, IF(MAX(0, A34 - $F$12 + 1)&lt;=6, 70 - (70-14)*(MAX(0, A34 - $F$12 + 1)-1)/5, IF(MAX(0, A34 - $F$12 + 1)&lt;=24, 14 - 14*(MAX(0, A34 - $F$12 + 1)-6)/18, 0)))) + (IF(MAX(0, A34 - $F$13 + 1)&lt;=0, 0, IF(MAX(0, A34 - $F$13 + 1)&lt;=6, 70 - (70-14)*(MAX(0, A34 - $F$13 + 1)-1)/5, IF(MAX(0, A34 - $F$13 + 1)&lt;=24, 14 - 14*(MAX(0, A34 - $F$13 + 1)-6)/18, 0)))) + (IF(MAX(0, A34 - $F$14 + 1)&lt;=0, 0, IF(MAX(0, A34 - $F$14 + 1)&lt;=6, 70 - (70-14)*(MAX(0, A34 - $F$14 + 1)-1)/5, IF(MAX(0, A34 - $F$14 + 1)&lt;=24, 14 - 14*(MAX(0, A34 - $F$14 + 1)-6)/18, 0)))) ) * 200 / 12 / 1000</f>
        <v/>
      </c>
      <c r="F34" s="306">
        <f>IF(A34&lt;$F$6,0,IF(AND($B$21=1,A34&gt;$B$19),0,$E$6*$G$6^MIN((A34-$F$6)/12,6)*MIN($G$6,0.85)^MAX(0,(A34-$F$6)/12-6)))</f>
        <v/>
      </c>
      <c r="G34" s="306">
        <f>IF(A34&lt;$F$7,0,IF(AND($B$21=1,A34&gt;$B$19),0,$E$7*$G$7^MIN((A34-$F$7)/12,6)*MIN($G$7,0.85)^MAX(0,(A34-$F$7)/12-6)))</f>
        <v/>
      </c>
      <c r="H34" s="306">
        <f>IF(A34&lt;$F$8,0,IF(AND($B$21=1,A34&gt;$B$19),0,$E$8*$G$8^MIN((A34-$F$8)/12,6)*MIN($G$8,0.85)^MAX(0,(A34-$F$8)/12-6)))</f>
        <v/>
      </c>
      <c r="I34" s="306">
        <f>IF(A34&lt;$F$9,0,IF(AND($B$21=1,A34&gt;$B$19),0,$E$9*$G$9^MIN((A34-$F$9)/12,6)*MIN($G$9,0.85)^MAX(0,(A34-$F$9)/12-6)))</f>
        <v/>
      </c>
      <c r="J34" s="306">
        <f>IF(A34&lt;$F$10,0,IF(AND($B$21=1,A34&gt;$B$19),0,$E$10*$G$10^MIN((A34-$F$10)/12,6)*MIN($G$10,0.85)^MAX(0,(A34-$F$10)/12-6)))</f>
        <v/>
      </c>
      <c r="K34" s="306">
        <f>IF(A34&lt;$F$11,0,IF(AND($B$21=1,A34&gt;$B$19),0,$E$11*$G$11^MIN((A34-$F$11)/12,6)*MIN($G$11,0.85)^MAX(0,(A34-$F$11)/12-6)))</f>
        <v/>
      </c>
      <c r="L34" s="306">
        <f>IF(A34&lt;$F$12,0,IF(AND($B$21=1,A34&gt;$B$19),0,$E$12*$G$12^MIN((A34-$F$12)/12,6)*MIN($G$12,0.85)^MAX(0,(A34-$F$12)/12-6)))</f>
        <v/>
      </c>
      <c r="M34" s="306">
        <f>IF(A34&lt;$F$13,0,IF(AND($B$21=1,A34&gt;$B$19),0,$E$13*$G$13^MIN((A34-$F$13)/12,6)*MIN($G$13,0.85)^MAX(0,(A34-$F$13)/12-6)))</f>
        <v/>
      </c>
      <c r="N34" s="306">
        <f>IF(A34&lt;$F$14,0,IF(AND($B$21=1,A34&gt;$B$19),0,$E$14*$G$14^MIN((A34-$F$14)/12,6)*MIN($G$14,0.85)^MAX(0,(A34-$F$14)/12-6)))</f>
        <v/>
      </c>
      <c r="O34" s="306">
        <f>SUM(F34:N34)</f>
        <v/>
      </c>
      <c r="P34" s="306">
        <f>O34/12</f>
        <v/>
      </c>
      <c r="Q34" s="306">
        <f>P34*$B$8</f>
        <v/>
      </c>
      <c r="R34" s="306">
        <f>P34*$B$9</f>
        <v/>
      </c>
      <c r="S34" s="306">
        <f>P34*$B$10</f>
        <v/>
      </c>
      <c r="T34" s="306">
        <f>P34-Q34-R34-S34-D34-E34</f>
        <v/>
      </c>
      <c r="U34" s="306">
        <f>MAX(0, T34 - $B$7*P34)</f>
        <v/>
      </c>
      <c r="V34" s="306">
        <f>T34-U34</f>
        <v/>
      </c>
      <c r="W34" s="306">
        <f>IF(A34=$F$6, $B$18*$B$16*$B$17/1000000, 0) + IF(A34=$F$7, $B$18*$B$16*$B$17/1000000, 0) + IF(A34=$F$8, $B$18*$B$16*$B$17/1000000, 0) + IF(A34=$F$9, $B$18*$B$16*$B$17/1000000, 0) + IF(A34=$F$10, $B$18*$B$16*$B$17/1000000, 0) + IF(A34=$F$11, $B$18*$B$16*$B$17/1000000, 0) + IF(A34=$F$12, $B$18*$B$16*$B$17/1000000, 0) + IF(A34=$F$13, $B$18*$B$16*$B$17/1000000, 0) + IF(A34=$F$14, $B$18*$B$16*$B$17/1000000, 0)</f>
        <v/>
      </c>
      <c r="X34" s="306">
        <f>V34-W34-C34</f>
        <v/>
      </c>
      <c r="Y34" s="306">
        <f>IF(AND(A34&lt;=$B$24, X34&gt;0), X34*$B$23, 0)</f>
        <v/>
      </c>
      <c r="Z34" s="306">
        <f>X34-Y34</f>
        <v/>
      </c>
      <c r="AA34" s="306">
        <f>IF(AND(A34=$B$19, $B$21=1), O34*$B$20, 0)</f>
        <v/>
      </c>
      <c r="AB34" s="306">
        <f>AB33+Z34+AA34</f>
        <v/>
      </c>
    </row>
    <row r="35">
      <c r="A35" s="306" t="n">
        <v>5</v>
      </c>
      <c r="B35" s="306">
        <f>CEILING(A35/12,1)</f>
        <v/>
      </c>
      <c r="C35" s="306">
        <f>IF(A35&lt;=12, $B$15/12, 0)</f>
        <v/>
      </c>
      <c r="D35" s="306">
        <f>INDEX('26. Team Comp'!$D$28:$R$28, B35) * 0.001 / 12</f>
        <v/>
      </c>
      <c r="E35" s="306">
        <f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+ (IF(MAX(0, A35 - $F$11 + 1)&lt;=0, 0, IF(MAX(0, A35 - $F$11 + 1)&lt;=6, 70 - (70-14)*(MAX(0, A35 - $F$11 + 1)-1)/5, IF(MAX(0, A35 - $F$11 + 1)&lt;=24, 14 - 14*(MAX(0, A35 - $F$11 + 1)-6)/18, 0)))) + (IF(MAX(0, A35 - $F$12 + 1)&lt;=0, 0, IF(MAX(0, A35 - $F$12 + 1)&lt;=6, 70 - (70-14)*(MAX(0, A35 - $F$12 + 1)-1)/5, IF(MAX(0, A35 - $F$12 + 1)&lt;=24, 14 - 14*(MAX(0, A35 - $F$12 + 1)-6)/18, 0)))) + (IF(MAX(0, A35 - $F$13 + 1)&lt;=0, 0, IF(MAX(0, A35 - $F$13 + 1)&lt;=6, 70 - (70-14)*(MAX(0, A35 - $F$13 + 1)-1)/5, IF(MAX(0, A35 - $F$13 + 1)&lt;=24, 14 - 14*(MAX(0, A35 - $F$13 + 1)-6)/18, 0)))) + (IF(MAX(0, A35 - $F$14 + 1)&lt;=0, 0, IF(MAX(0, A35 - $F$14 + 1)&lt;=6, 70 - (70-14)*(MAX(0, A35 - $F$14 + 1)-1)/5, IF(MAX(0, A35 - $F$14 + 1)&lt;=24, 14 - 14*(MAX(0, A35 - $F$14 + 1)-6)/18, 0)))) ) * 200 / 12 / 1000</f>
        <v/>
      </c>
      <c r="F35" s="306">
        <f>IF(A35&lt;$F$6,0,IF(AND($B$21=1,A35&gt;$B$19),0,$E$6*$G$6^MIN((A35-$F$6)/12,6)*MIN($G$6,0.85)^MAX(0,(A35-$F$6)/12-6)))</f>
        <v/>
      </c>
      <c r="G35" s="306">
        <f>IF(A35&lt;$F$7,0,IF(AND($B$21=1,A35&gt;$B$19),0,$E$7*$G$7^MIN((A35-$F$7)/12,6)*MIN($G$7,0.85)^MAX(0,(A35-$F$7)/12-6)))</f>
        <v/>
      </c>
      <c r="H35" s="306">
        <f>IF(A35&lt;$F$8,0,IF(AND($B$21=1,A35&gt;$B$19),0,$E$8*$G$8^MIN((A35-$F$8)/12,6)*MIN($G$8,0.85)^MAX(0,(A35-$F$8)/12-6)))</f>
        <v/>
      </c>
      <c r="I35" s="306">
        <f>IF(A35&lt;$F$9,0,IF(AND($B$21=1,A35&gt;$B$19),0,$E$9*$G$9^MIN((A35-$F$9)/12,6)*MIN($G$9,0.85)^MAX(0,(A35-$F$9)/12-6)))</f>
        <v/>
      </c>
      <c r="J35" s="306">
        <f>IF(A35&lt;$F$10,0,IF(AND($B$21=1,A35&gt;$B$19),0,$E$10*$G$10^MIN((A35-$F$10)/12,6)*MIN($G$10,0.85)^MAX(0,(A35-$F$10)/12-6)))</f>
        <v/>
      </c>
      <c r="K35" s="306">
        <f>IF(A35&lt;$F$11,0,IF(AND($B$21=1,A35&gt;$B$19),0,$E$11*$G$11^MIN((A35-$F$11)/12,6)*MIN($G$11,0.85)^MAX(0,(A35-$F$11)/12-6)))</f>
        <v/>
      </c>
      <c r="L35" s="306">
        <f>IF(A35&lt;$F$12,0,IF(AND($B$21=1,A35&gt;$B$19),0,$E$12*$G$12^MIN((A35-$F$12)/12,6)*MIN($G$12,0.85)^MAX(0,(A35-$F$12)/12-6)))</f>
        <v/>
      </c>
      <c r="M35" s="306">
        <f>IF(A35&lt;$F$13,0,IF(AND($B$21=1,A35&gt;$B$19),0,$E$13*$G$13^MIN((A35-$F$13)/12,6)*MIN($G$13,0.85)^MAX(0,(A35-$F$13)/12-6)))</f>
        <v/>
      </c>
      <c r="N35" s="306">
        <f>IF(A35&lt;$F$14,0,IF(AND($B$21=1,A35&gt;$B$19),0,$E$14*$G$14^MIN((A35-$F$14)/12,6)*MIN($G$14,0.85)^MAX(0,(A35-$F$14)/12-6)))</f>
        <v/>
      </c>
      <c r="O35" s="306">
        <f>SUM(F35:N35)</f>
        <v/>
      </c>
      <c r="P35" s="306">
        <f>O35/12</f>
        <v/>
      </c>
      <c r="Q35" s="306">
        <f>P35*$B$8</f>
        <v/>
      </c>
      <c r="R35" s="306">
        <f>P35*$B$9</f>
        <v/>
      </c>
      <c r="S35" s="306">
        <f>P35*$B$10</f>
        <v/>
      </c>
      <c r="T35" s="306">
        <f>P35-Q35-R35-S35-D35-E35</f>
        <v/>
      </c>
      <c r="U35" s="306">
        <f>MAX(0, T35 - $B$7*P35)</f>
        <v/>
      </c>
      <c r="V35" s="306">
        <f>T35-U35</f>
        <v/>
      </c>
      <c r="W35" s="306">
        <f>IF(A35=$F$6, $B$18*$B$16*$B$17/1000000, 0) + IF(A35=$F$7, $B$18*$B$16*$B$17/1000000, 0) + IF(A35=$F$8, $B$18*$B$16*$B$17/1000000, 0) + IF(A35=$F$9, $B$18*$B$16*$B$17/1000000, 0) + IF(A35=$F$10, $B$18*$B$16*$B$17/1000000, 0) + IF(A35=$F$11, $B$18*$B$16*$B$17/1000000, 0) + IF(A35=$F$12, $B$18*$B$16*$B$17/1000000, 0) + IF(A35=$F$13, $B$18*$B$16*$B$17/1000000, 0) + IF(A35=$F$14, $B$18*$B$16*$B$17/1000000, 0)</f>
        <v/>
      </c>
      <c r="X35" s="306">
        <f>V35-W35-C35</f>
        <v/>
      </c>
      <c r="Y35" s="306">
        <f>IF(AND(A35&lt;=$B$24, X35&gt;0), X35*$B$23, 0)</f>
        <v/>
      </c>
      <c r="Z35" s="306">
        <f>X35-Y35</f>
        <v/>
      </c>
      <c r="AA35" s="306">
        <f>IF(AND(A35=$B$19, $B$21=1), O35*$B$20, 0)</f>
        <v/>
      </c>
      <c r="AB35" s="306">
        <f>AB34+Z35+AA35</f>
        <v/>
      </c>
    </row>
    <row r="36">
      <c r="A36" s="306" t="n">
        <v>6</v>
      </c>
      <c r="B36" s="306">
        <f>CEILING(A36/12,1)</f>
        <v/>
      </c>
      <c r="C36" s="306">
        <f>IF(A36&lt;=12, $B$15/12, 0)</f>
        <v/>
      </c>
      <c r="D36" s="306">
        <f>INDEX('26. Team Comp'!$D$28:$R$28, B36) * 0.001 / 12</f>
        <v/>
      </c>
      <c r="E36" s="306">
        <f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+ (IF(MAX(0, A36 - $F$11 + 1)&lt;=0, 0, IF(MAX(0, A36 - $F$11 + 1)&lt;=6, 70 - (70-14)*(MAX(0, A36 - $F$11 + 1)-1)/5, IF(MAX(0, A36 - $F$11 + 1)&lt;=24, 14 - 14*(MAX(0, A36 - $F$11 + 1)-6)/18, 0)))) + (IF(MAX(0, A36 - $F$12 + 1)&lt;=0, 0, IF(MAX(0, A36 - $F$12 + 1)&lt;=6, 70 - (70-14)*(MAX(0, A36 - $F$12 + 1)-1)/5, IF(MAX(0, A36 - $F$12 + 1)&lt;=24, 14 - 14*(MAX(0, A36 - $F$12 + 1)-6)/18, 0)))) + (IF(MAX(0, A36 - $F$13 + 1)&lt;=0, 0, IF(MAX(0, A36 - $F$13 + 1)&lt;=6, 70 - (70-14)*(MAX(0, A36 - $F$13 + 1)-1)/5, IF(MAX(0, A36 - $F$13 + 1)&lt;=24, 14 - 14*(MAX(0, A36 - $F$13 + 1)-6)/18, 0)))) + (IF(MAX(0, A36 - $F$14 + 1)&lt;=0, 0, IF(MAX(0, A36 - $F$14 + 1)&lt;=6, 70 - (70-14)*(MAX(0, A36 - $F$14 + 1)-1)/5, IF(MAX(0, A36 - $F$14 + 1)&lt;=24, 14 - 14*(MAX(0, A36 - $F$14 + 1)-6)/18, 0)))) ) * 200 / 12 / 1000</f>
        <v/>
      </c>
      <c r="F36" s="306">
        <f>IF(A36&lt;$F$6,0,IF(AND($B$21=1,A36&gt;$B$19),0,$E$6*$G$6^MIN((A36-$F$6)/12,6)*MIN($G$6,0.85)^MAX(0,(A36-$F$6)/12-6)))</f>
        <v/>
      </c>
      <c r="G36" s="306">
        <f>IF(A36&lt;$F$7,0,IF(AND($B$21=1,A36&gt;$B$19),0,$E$7*$G$7^MIN((A36-$F$7)/12,6)*MIN($G$7,0.85)^MAX(0,(A36-$F$7)/12-6)))</f>
        <v/>
      </c>
      <c r="H36" s="306">
        <f>IF(A36&lt;$F$8,0,IF(AND($B$21=1,A36&gt;$B$19),0,$E$8*$G$8^MIN((A36-$F$8)/12,6)*MIN($G$8,0.85)^MAX(0,(A36-$F$8)/12-6)))</f>
        <v/>
      </c>
      <c r="I36" s="306">
        <f>IF(A36&lt;$F$9,0,IF(AND($B$21=1,A36&gt;$B$19),0,$E$9*$G$9^MIN((A36-$F$9)/12,6)*MIN($G$9,0.85)^MAX(0,(A36-$F$9)/12-6)))</f>
        <v/>
      </c>
      <c r="J36" s="306">
        <f>IF(A36&lt;$F$10,0,IF(AND($B$21=1,A36&gt;$B$19),0,$E$10*$G$10^MIN((A36-$F$10)/12,6)*MIN($G$10,0.85)^MAX(0,(A36-$F$10)/12-6)))</f>
        <v/>
      </c>
      <c r="K36" s="306">
        <f>IF(A36&lt;$F$11,0,IF(AND($B$21=1,A36&gt;$B$19),0,$E$11*$G$11^MIN((A36-$F$11)/12,6)*MIN($G$11,0.85)^MAX(0,(A36-$F$11)/12-6)))</f>
        <v/>
      </c>
      <c r="L36" s="306">
        <f>IF(A36&lt;$F$12,0,IF(AND($B$21=1,A36&gt;$B$19),0,$E$12*$G$12^MIN((A36-$F$12)/12,6)*MIN($G$12,0.85)^MAX(0,(A36-$F$12)/12-6)))</f>
        <v/>
      </c>
      <c r="M36" s="306">
        <f>IF(A36&lt;$F$13,0,IF(AND($B$21=1,A36&gt;$B$19),0,$E$13*$G$13^MIN((A36-$F$13)/12,6)*MIN($G$13,0.85)^MAX(0,(A36-$F$13)/12-6)))</f>
        <v/>
      </c>
      <c r="N36" s="306">
        <f>IF(A36&lt;$F$14,0,IF(AND($B$21=1,A36&gt;$B$19),0,$E$14*$G$14^MIN((A36-$F$14)/12,6)*MIN($G$14,0.85)^MAX(0,(A36-$F$14)/12-6)))</f>
        <v/>
      </c>
      <c r="O36" s="306">
        <f>SUM(F36:N36)</f>
        <v/>
      </c>
      <c r="P36" s="306">
        <f>O36/12</f>
        <v/>
      </c>
      <c r="Q36" s="306">
        <f>P36*$B$8</f>
        <v/>
      </c>
      <c r="R36" s="306">
        <f>P36*$B$9</f>
        <v/>
      </c>
      <c r="S36" s="306">
        <f>P36*$B$10</f>
        <v/>
      </c>
      <c r="T36" s="306">
        <f>P36-Q36-R36-S36-D36-E36</f>
        <v/>
      </c>
      <c r="U36" s="306">
        <f>MAX(0, T36 - $B$7*P36)</f>
        <v/>
      </c>
      <c r="V36" s="306">
        <f>T36-U36</f>
        <v/>
      </c>
      <c r="W36" s="306">
        <f>IF(A36=$F$6, $B$18*$B$16*$B$17/1000000, 0) + IF(A36=$F$7, $B$18*$B$16*$B$17/1000000, 0) + IF(A36=$F$8, $B$18*$B$16*$B$17/1000000, 0) + IF(A36=$F$9, $B$18*$B$16*$B$17/1000000, 0) + IF(A36=$F$10, $B$18*$B$16*$B$17/1000000, 0) + IF(A36=$F$11, $B$18*$B$16*$B$17/1000000, 0) + IF(A36=$F$12, $B$18*$B$16*$B$17/1000000, 0) + IF(A36=$F$13, $B$18*$B$16*$B$17/1000000, 0) + IF(A36=$F$14, $B$18*$B$16*$B$17/1000000, 0)</f>
        <v/>
      </c>
      <c r="X36" s="306">
        <f>V36-W36-C36</f>
        <v/>
      </c>
      <c r="Y36" s="306">
        <f>IF(AND(A36&lt;=$B$24, X36&gt;0), X36*$B$23, 0)</f>
        <v/>
      </c>
      <c r="Z36" s="306">
        <f>X36-Y36</f>
        <v/>
      </c>
      <c r="AA36" s="306">
        <f>IF(AND(A36=$B$19, $B$21=1), O36*$B$20, 0)</f>
        <v/>
      </c>
      <c r="AB36" s="306">
        <f>AB35+Z36+AA36</f>
        <v/>
      </c>
    </row>
    <row r="37">
      <c r="A37" s="306" t="n">
        <v>7</v>
      </c>
      <c r="B37" s="306">
        <f>CEILING(A37/12,1)</f>
        <v/>
      </c>
      <c r="C37" s="306">
        <f>IF(A37&lt;=12, $B$15/12, 0)</f>
        <v/>
      </c>
      <c r="D37" s="306">
        <f>INDEX('26. Team Comp'!$D$28:$R$28, B37) * 0.001 / 12</f>
        <v/>
      </c>
      <c r="E37" s="306">
        <f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+ (IF(MAX(0, A37 - $F$11 + 1)&lt;=0, 0, IF(MAX(0, A37 - $F$11 + 1)&lt;=6, 70 - (70-14)*(MAX(0, A37 - $F$11 + 1)-1)/5, IF(MAX(0, A37 - $F$11 + 1)&lt;=24, 14 - 14*(MAX(0, A37 - $F$11 + 1)-6)/18, 0)))) + (IF(MAX(0, A37 - $F$12 + 1)&lt;=0, 0, IF(MAX(0, A37 - $F$12 + 1)&lt;=6, 70 - (70-14)*(MAX(0, A37 - $F$12 + 1)-1)/5, IF(MAX(0, A37 - $F$12 + 1)&lt;=24, 14 - 14*(MAX(0, A37 - $F$12 + 1)-6)/18, 0)))) + (IF(MAX(0, A37 - $F$13 + 1)&lt;=0, 0, IF(MAX(0, A37 - $F$13 + 1)&lt;=6, 70 - (70-14)*(MAX(0, A37 - $F$13 + 1)-1)/5, IF(MAX(0, A37 - $F$13 + 1)&lt;=24, 14 - 14*(MAX(0, A37 - $F$13 + 1)-6)/18, 0)))) + (IF(MAX(0, A37 - $F$14 + 1)&lt;=0, 0, IF(MAX(0, A37 - $F$14 + 1)&lt;=6, 70 - (70-14)*(MAX(0, A37 - $F$14 + 1)-1)/5, IF(MAX(0, A37 - $F$14 + 1)&lt;=24, 14 - 14*(MAX(0, A37 - $F$14 + 1)-6)/18, 0)))) ) * 200 / 12 / 1000</f>
        <v/>
      </c>
      <c r="F37" s="306">
        <f>IF(A37&lt;$F$6,0,IF(AND($B$21=1,A37&gt;$B$19),0,$E$6*$G$6^MIN((A37-$F$6)/12,6)*MIN($G$6,0.85)^MAX(0,(A37-$F$6)/12-6)))</f>
        <v/>
      </c>
      <c r="G37" s="306">
        <f>IF(A37&lt;$F$7,0,IF(AND($B$21=1,A37&gt;$B$19),0,$E$7*$G$7^MIN((A37-$F$7)/12,6)*MIN($G$7,0.85)^MAX(0,(A37-$F$7)/12-6)))</f>
        <v/>
      </c>
      <c r="H37" s="306">
        <f>IF(A37&lt;$F$8,0,IF(AND($B$21=1,A37&gt;$B$19),0,$E$8*$G$8^MIN((A37-$F$8)/12,6)*MIN($G$8,0.85)^MAX(0,(A37-$F$8)/12-6)))</f>
        <v/>
      </c>
      <c r="I37" s="306">
        <f>IF(A37&lt;$F$9,0,IF(AND($B$21=1,A37&gt;$B$19),0,$E$9*$G$9^MIN((A37-$F$9)/12,6)*MIN($G$9,0.85)^MAX(0,(A37-$F$9)/12-6)))</f>
        <v/>
      </c>
      <c r="J37" s="306">
        <f>IF(A37&lt;$F$10,0,IF(AND($B$21=1,A37&gt;$B$19),0,$E$10*$G$10^MIN((A37-$F$10)/12,6)*MIN($G$10,0.85)^MAX(0,(A37-$F$10)/12-6)))</f>
        <v/>
      </c>
      <c r="K37" s="306">
        <f>IF(A37&lt;$F$11,0,IF(AND($B$21=1,A37&gt;$B$19),0,$E$11*$G$11^MIN((A37-$F$11)/12,6)*MIN($G$11,0.85)^MAX(0,(A37-$F$11)/12-6)))</f>
        <v/>
      </c>
      <c r="L37" s="306">
        <f>IF(A37&lt;$F$12,0,IF(AND($B$21=1,A37&gt;$B$19),0,$E$12*$G$12^MIN((A37-$F$12)/12,6)*MIN($G$12,0.85)^MAX(0,(A37-$F$12)/12-6)))</f>
        <v/>
      </c>
      <c r="M37" s="306">
        <f>IF(A37&lt;$F$13,0,IF(AND($B$21=1,A37&gt;$B$19),0,$E$13*$G$13^MIN((A37-$F$13)/12,6)*MIN($G$13,0.85)^MAX(0,(A37-$F$13)/12-6)))</f>
        <v/>
      </c>
      <c r="N37" s="306">
        <f>IF(A37&lt;$F$14,0,IF(AND($B$21=1,A37&gt;$B$19),0,$E$14*$G$14^MIN((A37-$F$14)/12,6)*MIN($G$14,0.85)^MAX(0,(A37-$F$14)/12-6)))</f>
        <v/>
      </c>
      <c r="O37" s="306">
        <f>SUM(F37:N37)</f>
        <v/>
      </c>
      <c r="P37" s="306">
        <f>O37/12</f>
        <v/>
      </c>
      <c r="Q37" s="306">
        <f>P37*$B$8</f>
        <v/>
      </c>
      <c r="R37" s="306">
        <f>P37*$B$9</f>
        <v/>
      </c>
      <c r="S37" s="306">
        <f>P37*$B$10</f>
        <v/>
      </c>
      <c r="T37" s="306">
        <f>P37-Q37-R37-S37-D37-E37</f>
        <v/>
      </c>
      <c r="U37" s="306">
        <f>MAX(0, T37 - $B$7*P37)</f>
        <v/>
      </c>
      <c r="V37" s="306">
        <f>T37-U37</f>
        <v/>
      </c>
      <c r="W37" s="306">
        <f>IF(A37=$F$6, $B$18*$B$16*$B$17/1000000, 0) + IF(A37=$F$7, $B$18*$B$16*$B$17/1000000, 0) + IF(A37=$F$8, $B$18*$B$16*$B$17/1000000, 0) + IF(A37=$F$9, $B$18*$B$16*$B$17/1000000, 0) + IF(A37=$F$10, $B$18*$B$16*$B$17/1000000, 0) + IF(A37=$F$11, $B$18*$B$16*$B$17/1000000, 0) + IF(A37=$F$12, $B$18*$B$16*$B$17/1000000, 0) + IF(A37=$F$13, $B$18*$B$16*$B$17/1000000, 0) + IF(A37=$F$14, $B$18*$B$16*$B$17/1000000, 0)</f>
        <v/>
      </c>
      <c r="X37" s="306">
        <f>V37-W37-C37</f>
        <v/>
      </c>
      <c r="Y37" s="306">
        <f>IF(AND(A37&lt;=$B$24, X37&gt;0), X37*$B$23, 0)</f>
        <v/>
      </c>
      <c r="Z37" s="306">
        <f>X37-Y37</f>
        <v/>
      </c>
      <c r="AA37" s="306">
        <f>IF(AND(A37=$B$19, $B$21=1), O37*$B$20, 0)</f>
        <v/>
      </c>
      <c r="AB37" s="306">
        <f>AB36+Z37+AA37</f>
        <v/>
      </c>
    </row>
    <row r="38">
      <c r="A38" s="306" t="n">
        <v>8</v>
      </c>
      <c r="B38" s="306">
        <f>CEILING(A38/12,1)</f>
        <v/>
      </c>
      <c r="C38" s="306">
        <f>IF(A38&lt;=12, $B$15/12, 0)</f>
        <v/>
      </c>
      <c r="D38" s="306">
        <f>INDEX('26. Team Comp'!$D$28:$R$28, B38) * 0.001 / 12</f>
        <v/>
      </c>
      <c r="E38" s="306">
        <f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+ (IF(MAX(0, A38 - $F$11 + 1)&lt;=0, 0, IF(MAX(0, A38 - $F$11 + 1)&lt;=6, 70 - (70-14)*(MAX(0, A38 - $F$11 + 1)-1)/5, IF(MAX(0, A38 - $F$11 + 1)&lt;=24, 14 - 14*(MAX(0, A38 - $F$11 + 1)-6)/18, 0)))) + (IF(MAX(0, A38 - $F$12 + 1)&lt;=0, 0, IF(MAX(0, A38 - $F$12 + 1)&lt;=6, 70 - (70-14)*(MAX(0, A38 - $F$12 + 1)-1)/5, IF(MAX(0, A38 - $F$12 + 1)&lt;=24, 14 - 14*(MAX(0, A38 - $F$12 + 1)-6)/18, 0)))) + (IF(MAX(0, A38 - $F$13 + 1)&lt;=0, 0, IF(MAX(0, A38 - $F$13 + 1)&lt;=6, 70 - (70-14)*(MAX(0, A38 - $F$13 + 1)-1)/5, IF(MAX(0, A38 - $F$13 + 1)&lt;=24, 14 - 14*(MAX(0, A38 - $F$13 + 1)-6)/18, 0)))) + (IF(MAX(0, A38 - $F$14 + 1)&lt;=0, 0, IF(MAX(0, A38 - $F$14 + 1)&lt;=6, 70 - (70-14)*(MAX(0, A38 - $F$14 + 1)-1)/5, IF(MAX(0, A38 - $F$14 + 1)&lt;=24, 14 - 14*(MAX(0, A38 - $F$14 + 1)-6)/18, 0)))) ) * 200 / 12 / 1000</f>
        <v/>
      </c>
      <c r="F38" s="306">
        <f>IF(A38&lt;$F$6,0,IF(AND($B$21=1,A38&gt;$B$19),0,$E$6*$G$6^MIN((A38-$F$6)/12,6)*MIN($G$6,0.85)^MAX(0,(A38-$F$6)/12-6)))</f>
        <v/>
      </c>
      <c r="G38" s="306">
        <f>IF(A38&lt;$F$7,0,IF(AND($B$21=1,A38&gt;$B$19),0,$E$7*$G$7^MIN((A38-$F$7)/12,6)*MIN($G$7,0.85)^MAX(0,(A38-$F$7)/12-6)))</f>
        <v/>
      </c>
      <c r="H38" s="306">
        <f>IF(A38&lt;$F$8,0,IF(AND($B$21=1,A38&gt;$B$19),0,$E$8*$G$8^MIN((A38-$F$8)/12,6)*MIN($G$8,0.85)^MAX(0,(A38-$F$8)/12-6)))</f>
        <v/>
      </c>
      <c r="I38" s="306">
        <f>IF(A38&lt;$F$9,0,IF(AND($B$21=1,A38&gt;$B$19),0,$E$9*$G$9^MIN((A38-$F$9)/12,6)*MIN($G$9,0.85)^MAX(0,(A38-$F$9)/12-6)))</f>
        <v/>
      </c>
      <c r="J38" s="306">
        <f>IF(A38&lt;$F$10,0,IF(AND($B$21=1,A38&gt;$B$19),0,$E$10*$G$10^MIN((A38-$F$10)/12,6)*MIN($G$10,0.85)^MAX(0,(A38-$F$10)/12-6)))</f>
        <v/>
      </c>
      <c r="K38" s="306">
        <f>IF(A38&lt;$F$11,0,IF(AND($B$21=1,A38&gt;$B$19),0,$E$11*$G$11^MIN((A38-$F$11)/12,6)*MIN($G$11,0.85)^MAX(0,(A38-$F$11)/12-6)))</f>
        <v/>
      </c>
      <c r="L38" s="306">
        <f>IF(A38&lt;$F$12,0,IF(AND($B$21=1,A38&gt;$B$19),0,$E$12*$G$12^MIN((A38-$F$12)/12,6)*MIN($G$12,0.85)^MAX(0,(A38-$F$12)/12-6)))</f>
        <v/>
      </c>
      <c r="M38" s="306">
        <f>IF(A38&lt;$F$13,0,IF(AND($B$21=1,A38&gt;$B$19),0,$E$13*$G$13^MIN((A38-$F$13)/12,6)*MIN($G$13,0.85)^MAX(0,(A38-$F$13)/12-6)))</f>
        <v/>
      </c>
      <c r="N38" s="306">
        <f>IF(A38&lt;$F$14,0,IF(AND($B$21=1,A38&gt;$B$19),0,$E$14*$G$14^MIN((A38-$F$14)/12,6)*MIN($G$14,0.85)^MAX(0,(A38-$F$14)/12-6)))</f>
        <v/>
      </c>
      <c r="O38" s="306">
        <f>SUM(F38:N38)</f>
        <v/>
      </c>
      <c r="P38" s="306">
        <f>O38/12</f>
        <v/>
      </c>
      <c r="Q38" s="306">
        <f>P38*$B$8</f>
        <v/>
      </c>
      <c r="R38" s="306">
        <f>P38*$B$9</f>
        <v/>
      </c>
      <c r="S38" s="306">
        <f>P38*$B$10</f>
        <v/>
      </c>
      <c r="T38" s="306">
        <f>P38-Q38-R38-S38-D38-E38</f>
        <v/>
      </c>
      <c r="U38" s="306">
        <f>MAX(0, T38 - $B$7*P38)</f>
        <v/>
      </c>
      <c r="V38" s="306">
        <f>T38-U38</f>
        <v/>
      </c>
      <c r="W38" s="306">
        <f>IF(A38=$F$6, $B$18*$B$16*$B$17/1000000, 0) + IF(A38=$F$7, $B$18*$B$16*$B$17/1000000, 0) + IF(A38=$F$8, $B$18*$B$16*$B$17/1000000, 0) + IF(A38=$F$9, $B$18*$B$16*$B$17/1000000, 0) + IF(A38=$F$10, $B$18*$B$16*$B$17/1000000, 0) + IF(A38=$F$11, $B$18*$B$16*$B$17/1000000, 0) + IF(A38=$F$12, $B$18*$B$16*$B$17/1000000, 0) + IF(A38=$F$13, $B$18*$B$16*$B$17/1000000, 0) + IF(A38=$F$14, $B$18*$B$16*$B$17/1000000, 0)</f>
        <v/>
      </c>
      <c r="X38" s="306">
        <f>V38-W38-C38</f>
        <v/>
      </c>
      <c r="Y38" s="306">
        <f>IF(AND(A38&lt;=$B$24, X38&gt;0), X38*$B$23, 0)</f>
        <v/>
      </c>
      <c r="Z38" s="306">
        <f>X38-Y38</f>
        <v/>
      </c>
      <c r="AA38" s="306">
        <f>IF(AND(A38=$B$19, $B$21=1), O38*$B$20, 0)</f>
        <v/>
      </c>
      <c r="AB38" s="306">
        <f>AB37+Z38+AA38</f>
        <v/>
      </c>
    </row>
    <row r="39">
      <c r="A39" s="306" t="n">
        <v>9</v>
      </c>
      <c r="B39" s="306">
        <f>CEILING(A39/12,1)</f>
        <v/>
      </c>
      <c r="C39" s="306">
        <f>IF(A39&lt;=12, $B$15/12, 0)</f>
        <v/>
      </c>
      <c r="D39" s="306">
        <f>INDEX('26. Team Comp'!$D$28:$R$28, B39) * 0.001 / 12</f>
        <v/>
      </c>
      <c r="E39" s="306">
        <f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+ (IF(MAX(0, A39 - $F$11 + 1)&lt;=0, 0, IF(MAX(0, A39 - $F$11 + 1)&lt;=6, 70 - (70-14)*(MAX(0, A39 - $F$11 + 1)-1)/5, IF(MAX(0, A39 - $F$11 + 1)&lt;=24, 14 - 14*(MAX(0, A39 - $F$11 + 1)-6)/18, 0)))) + (IF(MAX(0, A39 - $F$12 + 1)&lt;=0, 0, IF(MAX(0, A39 - $F$12 + 1)&lt;=6, 70 - (70-14)*(MAX(0, A39 - $F$12 + 1)-1)/5, IF(MAX(0, A39 - $F$12 + 1)&lt;=24, 14 - 14*(MAX(0, A39 - $F$12 + 1)-6)/18, 0)))) + (IF(MAX(0, A39 - $F$13 + 1)&lt;=0, 0, IF(MAX(0, A39 - $F$13 + 1)&lt;=6, 70 - (70-14)*(MAX(0, A39 - $F$13 + 1)-1)/5, IF(MAX(0, A39 - $F$13 + 1)&lt;=24, 14 - 14*(MAX(0, A39 - $F$13 + 1)-6)/18, 0)))) + (IF(MAX(0, A39 - $F$14 + 1)&lt;=0, 0, IF(MAX(0, A39 - $F$14 + 1)&lt;=6, 70 - (70-14)*(MAX(0, A39 - $F$14 + 1)-1)/5, IF(MAX(0, A39 - $F$14 + 1)&lt;=24, 14 - 14*(MAX(0, A39 - $F$14 + 1)-6)/18, 0)))) ) * 200 / 12 / 1000</f>
        <v/>
      </c>
      <c r="F39" s="306">
        <f>IF(A39&lt;$F$6,0,IF(AND($B$21=1,A39&gt;$B$19),0,$E$6*$G$6^MIN((A39-$F$6)/12,6)*MIN($G$6,0.85)^MAX(0,(A39-$F$6)/12-6)))</f>
        <v/>
      </c>
      <c r="G39" s="306">
        <f>IF(A39&lt;$F$7,0,IF(AND($B$21=1,A39&gt;$B$19),0,$E$7*$G$7^MIN((A39-$F$7)/12,6)*MIN($G$7,0.85)^MAX(0,(A39-$F$7)/12-6)))</f>
        <v/>
      </c>
      <c r="H39" s="306">
        <f>IF(A39&lt;$F$8,0,IF(AND($B$21=1,A39&gt;$B$19),0,$E$8*$G$8^MIN((A39-$F$8)/12,6)*MIN($G$8,0.85)^MAX(0,(A39-$F$8)/12-6)))</f>
        <v/>
      </c>
      <c r="I39" s="306">
        <f>IF(A39&lt;$F$9,0,IF(AND($B$21=1,A39&gt;$B$19),0,$E$9*$G$9^MIN((A39-$F$9)/12,6)*MIN($G$9,0.85)^MAX(0,(A39-$F$9)/12-6)))</f>
        <v/>
      </c>
      <c r="J39" s="306">
        <f>IF(A39&lt;$F$10,0,IF(AND($B$21=1,A39&gt;$B$19),0,$E$10*$G$10^MIN((A39-$F$10)/12,6)*MIN($G$10,0.85)^MAX(0,(A39-$F$10)/12-6)))</f>
        <v/>
      </c>
      <c r="K39" s="306">
        <f>IF(A39&lt;$F$11,0,IF(AND($B$21=1,A39&gt;$B$19),0,$E$11*$G$11^MIN((A39-$F$11)/12,6)*MIN($G$11,0.85)^MAX(0,(A39-$F$11)/12-6)))</f>
        <v/>
      </c>
      <c r="L39" s="306">
        <f>IF(A39&lt;$F$12,0,IF(AND($B$21=1,A39&gt;$B$19),0,$E$12*$G$12^MIN((A39-$F$12)/12,6)*MIN($G$12,0.85)^MAX(0,(A39-$F$12)/12-6)))</f>
        <v/>
      </c>
      <c r="M39" s="306">
        <f>IF(A39&lt;$F$13,0,IF(AND($B$21=1,A39&gt;$B$19),0,$E$13*$G$13^MIN((A39-$F$13)/12,6)*MIN($G$13,0.85)^MAX(0,(A39-$F$13)/12-6)))</f>
        <v/>
      </c>
      <c r="N39" s="306">
        <f>IF(A39&lt;$F$14,0,IF(AND($B$21=1,A39&gt;$B$19),0,$E$14*$G$14^MIN((A39-$F$14)/12,6)*MIN($G$14,0.85)^MAX(0,(A39-$F$14)/12-6)))</f>
        <v/>
      </c>
      <c r="O39" s="306">
        <f>SUM(F39:N39)</f>
        <v/>
      </c>
      <c r="P39" s="306">
        <f>O39/12</f>
        <v/>
      </c>
      <c r="Q39" s="306">
        <f>P39*$B$8</f>
        <v/>
      </c>
      <c r="R39" s="306">
        <f>P39*$B$9</f>
        <v/>
      </c>
      <c r="S39" s="306">
        <f>P39*$B$10</f>
        <v/>
      </c>
      <c r="T39" s="306">
        <f>P39-Q39-R39-S39-D39-E39</f>
        <v/>
      </c>
      <c r="U39" s="306">
        <f>MAX(0, T39 - $B$7*P39)</f>
        <v/>
      </c>
      <c r="V39" s="306">
        <f>T39-U39</f>
        <v/>
      </c>
      <c r="W39" s="306">
        <f>IF(A39=$F$6, $B$18*$B$16*$B$17/1000000, 0) + IF(A39=$F$7, $B$18*$B$16*$B$17/1000000, 0) + IF(A39=$F$8, $B$18*$B$16*$B$17/1000000, 0) + IF(A39=$F$9, $B$18*$B$16*$B$17/1000000, 0) + IF(A39=$F$10, $B$18*$B$16*$B$17/1000000, 0) + IF(A39=$F$11, $B$18*$B$16*$B$17/1000000, 0) + IF(A39=$F$12, $B$18*$B$16*$B$17/1000000, 0) + IF(A39=$F$13, $B$18*$B$16*$B$17/1000000, 0) + IF(A39=$F$14, $B$18*$B$16*$B$17/1000000, 0)</f>
        <v/>
      </c>
      <c r="X39" s="306">
        <f>V39-W39-C39</f>
        <v/>
      </c>
      <c r="Y39" s="306">
        <f>IF(AND(A39&lt;=$B$24, X39&gt;0), X39*$B$23, 0)</f>
        <v/>
      </c>
      <c r="Z39" s="306">
        <f>X39-Y39</f>
        <v/>
      </c>
      <c r="AA39" s="306">
        <f>IF(AND(A39=$B$19, $B$21=1), O39*$B$20, 0)</f>
        <v/>
      </c>
      <c r="AB39" s="306">
        <f>AB38+Z39+AA39</f>
        <v/>
      </c>
    </row>
    <row r="40">
      <c r="A40" s="306" t="n">
        <v>10</v>
      </c>
      <c r="B40" s="306">
        <f>CEILING(A40/12,1)</f>
        <v/>
      </c>
      <c r="C40" s="306">
        <f>IF(A40&lt;=12, $B$15/12, 0)</f>
        <v/>
      </c>
      <c r="D40" s="306">
        <f>INDEX('26. Team Comp'!$D$28:$R$28, B40) * 0.001 / 12</f>
        <v/>
      </c>
      <c r="E40" s="306">
        <f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+ (IF(MAX(0, A40 - $F$11 + 1)&lt;=0, 0, IF(MAX(0, A40 - $F$11 + 1)&lt;=6, 70 - (70-14)*(MAX(0, A40 - $F$11 + 1)-1)/5, IF(MAX(0, A40 - $F$11 + 1)&lt;=24, 14 - 14*(MAX(0, A40 - $F$11 + 1)-6)/18, 0)))) + (IF(MAX(0, A40 - $F$12 + 1)&lt;=0, 0, IF(MAX(0, A40 - $F$12 + 1)&lt;=6, 70 - (70-14)*(MAX(0, A40 - $F$12 + 1)-1)/5, IF(MAX(0, A40 - $F$12 + 1)&lt;=24, 14 - 14*(MAX(0, A40 - $F$12 + 1)-6)/18, 0)))) + (IF(MAX(0, A40 - $F$13 + 1)&lt;=0, 0, IF(MAX(0, A40 - $F$13 + 1)&lt;=6, 70 - (70-14)*(MAX(0, A40 - $F$13 + 1)-1)/5, IF(MAX(0, A40 - $F$13 + 1)&lt;=24, 14 - 14*(MAX(0, A40 - $F$13 + 1)-6)/18, 0)))) + (IF(MAX(0, A40 - $F$14 + 1)&lt;=0, 0, IF(MAX(0, A40 - $F$14 + 1)&lt;=6, 70 - (70-14)*(MAX(0, A40 - $F$14 + 1)-1)/5, IF(MAX(0, A40 - $F$14 + 1)&lt;=24, 14 - 14*(MAX(0, A40 - $F$14 + 1)-6)/18, 0)))) ) * 200 / 12 / 1000</f>
        <v/>
      </c>
      <c r="F40" s="306">
        <f>IF(A40&lt;$F$6,0,IF(AND($B$21=1,A40&gt;$B$19),0,$E$6*$G$6^MIN((A40-$F$6)/12,6)*MIN($G$6,0.85)^MAX(0,(A40-$F$6)/12-6)))</f>
        <v/>
      </c>
      <c r="G40" s="306">
        <f>IF(A40&lt;$F$7,0,IF(AND($B$21=1,A40&gt;$B$19),0,$E$7*$G$7^MIN((A40-$F$7)/12,6)*MIN($G$7,0.85)^MAX(0,(A40-$F$7)/12-6)))</f>
        <v/>
      </c>
      <c r="H40" s="306">
        <f>IF(A40&lt;$F$8,0,IF(AND($B$21=1,A40&gt;$B$19),0,$E$8*$G$8^MIN((A40-$F$8)/12,6)*MIN($G$8,0.85)^MAX(0,(A40-$F$8)/12-6)))</f>
        <v/>
      </c>
      <c r="I40" s="306">
        <f>IF(A40&lt;$F$9,0,IF(AND($B$21=1,A40&gt;$B$19),0,$E$9*$G$9^MIN((A40-$F$9)/12,6)*MIN($G$9,0.85)^MAX(0,(A40-$F$9)/12-6)))</f>
        <v/>
      </c>
      <c r="J40" s="306">
        <f>IF(A40&lt;$F$10,0,IF(AND($B$21=1,A40&gt;$B$19),0,$E$10*$G$10^MIN((A40-$F$10)/12,6)*MIN($G$10,0.85)^MAX(0,(A40-$F$10)/12-6)))</f>
        <v/>
      </c>
      <c r="K40" s="306">
        <f>IF(A40&lt;$F$11,0,IF(AND($B$21=1,A40&gt;$B$19),0,$E$11*$G$11^MIN((A40-$F$11)/12,6)*MIN($G$11,0.85)^MAX(0,(A40-$F$11)/12-6)))</f>
        <v/>
      </c>
      <c r="L40" s="306">
        <f>IF(A40&lt;$F$12,0,IF(AND($B$21=1,A40&gt;$B$19),0,$E$12*$G$12^MIN((A40-$F$12)/12,6)*MIN($G$12,0.85)^MAX(0,(A40-$F$12)/12-6)))</f>
        <v/>
      </c>
      <c r="M40" s="306">
        <f>IF(A40&lt;$F$13,0,IF(AND($B$21=1,A40&gt;$B$19),0,$E$13*$G$13^MIN((A40-$F$13)/12,6)*MIN($G$13,0.85)^MAX(0,(A40-$F$13)/12-6)))</f>
        <v/>
      </c>
      <c r="N40" s="306">
        <f>IF(A40&lt;$F$14,0,IF(AND($B$21=1,A40&gt;$B$19),0,$E$14*$G$14^MIN((A40-$F$14)/12,6)*MIN($G$14,0.85)^MAX(0,(A40-$F$14)/12-6)))</f>
        <v/>
      </c>
      <c r="O40" s="306">
        <f>SUM(F40:N40)</f>
        <v/>
      </c>
      <c r="P40" s="306">
        <f>O40/12</f>
        <v/>
      </c>
      <c r="Q40" s="306">
        <f>P40*$B$8</f>
        <v/>
      </c>
      <c r="R40" s="306">
        <f>P40*$B$9</f>
        <v/>
      </c>
      <c r="S40" s="306">
        <f>P40*$B$10</f>
        <v/>
      </c>
      <c r="T40" s="306">
        <f>P40-Q40-R40-S40-D40-E40</f>
        <v/>
      </c>
      <c r="U40" s="306">
        <f>MAX(0, T40 - $B$7*P40)</f>
        <v/>
      </c>
      <c r="V40" s="306">
        <f>T40-U40</f>
        <v/>
      </c>
      <c r="W40" s="306">
        <f>IF(A40=$F$6, $B$18*$B$16*$B$17/1000000, 0) + IF(A40=$F$7, $B$18*$B$16*$B$17/1000000, 0) + IF(A40=$F$8, $B$18*$B$16*$B$17/1000000, 0) + IF(A40=$F$9, $B$18*$B$16*$B$17/1000000, 0) + IF(A40=$F$10, $B$18*$B$16*$B$17/1000000, 0) + IF(A40=$F$11, $B$18*$B$16*$B$17/1000000, 0) + IF(A40=$F$12, $B$18*$B$16*$B$17/1000000, 0) + IF(A40=$F$13, $B$18*$B$16*$B$17/1000000, 0) + IF(A40=$F$14, $B$18*$B$16*$B$17/1000000, 0)</f>
        <v/>
      </c>
      <c r="X40" s="306">
        <f>V40-W40-C40</f>
        <v/>
      </c>
      <c r="Y40" s="306">
        <f>IF(AND(A40&lt;=$B$24, X40&gt;0), X40*$B$23, 0)</f>
        <v/>
      </c>
      <c r="Z40" s="306">
        <f>X40-Y40</f>
        <v/>
      </c>
      <c r="AA40" s="306">
        <f>IF(AND(A40=$B$19, $B$21=1), O40*$B$20, 0)</f>
        <v/>
      </c>
      <c r="AB40" s="306">
        <f>AB39+Z40+AA40</f>
        <v/>
      </c>
    </row>
    <row r="41">
      <c r="A41" s="306" t="n">
        <v>11</v>
      </c>
      <c r="B41" s="306">
        <f>CEILING(A41/12,1)</f>
        <v/>
      </c>
      <c r="C41" s="306">
        <f>IF(A41&lt;=12, $B$15/12, 0)</f>
        <v/>
      </c>
      <c r="D41" s="306">
        <f>INDEX('26. Team Comp'!$D$28:$R$28, B41) * 0.001 / 12</f>
        <v/>
      </c>
      <c r="E41" s="306">
        <f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+ (IF(MAX(0, A41 - $F$11 + 1)&lt;=0, 0, IF(MAX(0, A41 - $F$11 + 1)&lt;=6, 70 - (70-14)*(MAX(0, A41 - $F$11 + 1)-1)/5, IF(MAX(0, A41 - $F$11 + 1)&lt;=24, 14 - 14*(MAX(0, A41 - $F$11 + 1)-6)/18, 0)))) + (IF(MAX(0, A41 - $F$12 + 1)&lt;=0, 0, IF(MAX(0, A41 - $F$12 + 1)&lt;=6, 70 - (70-14)*(MAX(0, A41 - $F$12 + 1)-1)/5, IF(MAX(0, A41 - $F$12 + 1)&lt;=24, 14 - 14*(MAX(0, A41 - $F$12 + 1)-6)/18, 0)))) + (IF(MAX(0, A41 - $F$13 + 1)&lt;=0, 0, IF(MAX(0, A41 - $F$13 + 1)&lt;=6, 70 - (70-14)*(MAX(0, A41 - $F$13 + 1)-1)/5, IF(MAX(0, A41 - $F$13 + 1)&lt;=24, 14 - 14*(MAX(0, A41 - $F$13 + 1)-6)/18, 0)))) + (IF(MAX(0, A41 - $F$14 + 1)&lt;=0, 0, IF(MAX(0, A41 - $F$14 + 1)&lt;=6, 70 - (70-14)*(MAX(0, A41 - $F$14 + 1)-1)/5, IF(MAX(0, A41 - $F$14 + 1)&lt;=24, 14 - 14*(MAX(0, A41 - $F$14 + 1)-6)/18, 0)))) ) * 200 / 12 / 1000</f>
        <v/>
      </c>
      <c r="F41" s="306">
        <f>IF(A41&lt;$F$6,0,IF(AND($B$21=1,A41&gt;$B$19),0,$E$6*$G$6^MIN((A41-$F$6)/12,6)*MIN($G$6,0.85)^MAX(0,(A41-$F$6)/12-6)))</f>
        <v/>
      </c>
      <c r="G41" s="306">
        <f>IF(A41&lt;$F$7,0,IF(AND($B$21=1,A41&gt;$B$19),0,$E$7*$G$7^MIN((A41-$F$7)/12,6)*MIN($G$7,0.85)^MAX(0,(A41-$F$7)/12-6)))</f>
        <v/>
      </c>
      <c r="H41" s="306">
        <f>IF(A41&lt;$F$8,0,IF(AND($B$21=1,A41&gt;$B$19),0,$E$8*$G$8^MIN((A41-$F$8)/12,6)*MIN($G$8,0.85)^MAX(0,(A41-$F$8)/12-6)))</f>
        <v/>
      </c>
      <c r="I41" s="306">
        <f>IF(A41&lt;$F$9,0,IF(AND($B$21=1,A41&gt;$B$19),0,$E$9*$G$9^MIN((A41-$F$9)/12,6)*MIN($G$9,0.85)^MAX(0,(A41-$F$9)/12-6)))</f>
        <v/>
      </c>
      <c r="J41" s="306">
        <f>IF(A41&lt;$F$10,0,IF(AND($B$21=1,A41&gt;$B$19),0,$E$10*$G$10^MIN((A41-$F$10)/12,6)*MIN($G$10,0.85)^MAX(0,(A41-$F$10)/12-6)))</f>
        <v/>
      </c>
      <c r="K41" s="306">
        <f>IF(A41&lt;$F$11,0,IF(AND($B$21=1,A41&gt;$B$19),0,$E$11*$G$11^MIN((A41-$F$11)/12,6)*MIN($G$11,0.85)^MAX(0,(A41-$F$11)/12-6)))</f>
        <v/>
      </c>
      <c r="L41" s="306">
        <f>IF(A41&lt;$F$12,0,IF(AND($B$21=1,A41&gt;$B$19),0,$E$12*$G$12^MIN((A41-$F$12)/12,6)*MIN($G$12,0.85)^MAX(0,(A41-$F$12)/12-6)))</f>
        <v/>
      </c>
      <c r="M41" s="306">
        <f>IF(A41&lt;$F$13,0,IF(AND($B$21=1,A41&gt;$B$19),0,$E$13*$G$13^MIN((A41-$F$13)/12,6)*MIN($G$13,0.85)^MAX(0,(A41-$F$13)/12-6)))</f>
        <v/>
      </c>
      <c r="N41" s="306">
        <f>IF(A41&lt;$F$14,0,IF(AND($B$21=1,A41&gt;$B$19),0,$E$14*$G$14^MIN((A41-$F$14)/12,6)*MIN($G$14,0.85)^MAX(0,(A41-$F$14)/12-6)))</f>
        <v/>
      </c>
      <c r="O41" s="306">
        <f>SUM(F41:N41)</f>
        <v/>
      </c>
      <c r="P41" s="306">
        <f>O41/12</f>
        <v/>
      </c>
      <c r="Q41" s="306">
        <f>P41*$B$8</f>
        <v/>
      </c>
      <c r="R41" s="306">
        <f>P41*$B$9</f>
        <v/>
      </c>
      <c r="S41" s="306">
        <f>P41*$B$10</f>
        <v/>
      </c>
      <c r="T41" s="306">
        <f>P41-Q41-R41-S41-D41-E41</f>
        <v/>
      </c>
      <c r="U41" s="306">
        <f>MAX(0, T41 - $B$7*P41)</f>
        <v/>
      </c>
      <c r="V41" s="306">
        <f>T41-U41</f>
        <v/>
      </c>
      <c r="W41" s="306">
        <f>IF(A41=$F$6, $B$18*$B$16*$B$17/1000000, 0) + IF(A41=$F$7, $B$18*$B$16*$B$17/1000000, 0) + IF(A41=$F$8, $B$18*$B$16*$B$17/1000000, 0) + IF(A41=$F$9, $B$18*$B$16*$B$17/1000000, 0) + IF(A41=$F$10, $B$18*$B$16*$B$17/1000000, 0) + IF(A41=$F$11, $B$18*$B$16*$B$17/1000000, 0) + IF(A41=$F$12, $B$18*$B$16*$B$17/1000000, 0) + IF(A41=$F$13, $B$18*$B$16*$B$17/1000000, 0) + IF(A41=$F$14, $B$18*$B$16*$B$17/1000000, 0)</f>
        <v/>
      </c>
      <c r="X41" s="306">
        <f>V41-W41-C41</f>
        <v/>
      </c>
      <c r="Y41" s="306">
        <f>IF(AND(A41&lt;=$B$24, X41&gt;0), X41*$B$23, 0)</f>
        <v/>
      </c>
      <c r="Z41" s="306">
        <f>X41-Y41</f>
        <v/>
      </c>
      <c r="AA41" s="306">
        <f>IF(AND(A41=$B$19, $B$21=1), O41*$B$20, 0)</f>
        <v/>
      </c>
      <c r="AB41" s="306">
        <f>AB40+Z41+AA41</f>
        <v/>
      </c>
    </row>
    <row r="42">
      <c r="A42" s="306" t="n">
        <v>12</v>
      </c>
      <c r="B42" s="306">
        <f>CEILING(A42/12,1)</f>
        <v/>
      </c>
      <c r="C42" s="306">
        <f>IF(A42&lt;=12, $B$15/12, 0)</f>
        <v/>
      </c>
      <c r="D42" s="306">
        <f>INDEX('26. Team Comp'!$D$28:$R$28, B42) * 0.001 / 12</f>
        <v/>
      </c>
      <c r="E42" s="306">
        <f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+ (IF(MAX(0, A42 - $F$11 + 1)&lt;=0, 0, IF(MAX(0, A42 - $F$11 + 1)&lt;=6, 70 - (70-14)*(MAX(0, A42 - $F$11 + 1)-1)/5, IF(MAX(0, A42 - $F$11 + 1)&lt;=24, 14 - 14*(MAX(0, A42 - $F$11 + 1)-6)/18, 0)))) + (IF(MAX(0, A42 - $F$12 + 1)&lt;=0, 0, IF(MAX(0, A42 - $F$12 + 1)&lt;=6, 70 - (70-14)*(MAX(0, A42 - $F$12 + 1)-1)/5, IF(MAX(0, A42 - $F$12 + 1)&lt;=24, 14 - 14*(MAX(0, A42 - $F$12 + 1)-6)/18, 0)))) + (IF(MAX(0, A42 - $F$13 + 1)&lt;=0, 0, IF(MAX(0, A42 - $F$13 + 1)&lt;=6, 70 - (70-14)*(MAX(0, A42 - $F$13 + 1)-1)/5, IF(MAX(0, A42 - $F$13 + 1)&lt;=24, 14 - 14*(MAX(0, A42 - $F$13 + 1)-6)/18, 0)))) + (IF(MAX(0, A42 - $F$14 + 1)&lt;=0, 0, IF(MAX(0, A42 - $F$14 + 1)&lt;=6, 70 - (70-14)*(MAX(0, A42 - $F$14 + 1)-1)/5, IF(MAX(0, A42 - $F$14 + 1)&lt;=24, 14 - 14*(MAX(0, A42 - $F$14 + 1)-6)/18, 0)))) ) * 200 / 12 / 1000</f>
        <v/>
      </c>
      <c r="F42" s="306">
        <f>IF(A42&lt;$F$6,0,IF(AND($B$21=1,A42&gt;$B$19),0,$E$6*$G$6^MIN((A42-$F$6)/12,6)*MIN($G$6,0.85)^MAX(0,(A42-$F$6)/12-6)))</f>
        <v/>
      </c>
      <c r="G42" s="306">
        <f>IF(A42&lt;$F$7,0,IF(AND($B$21=1,A42&gt;$B$19),0,$E$7*$G$7^MIN((A42-$F$7)/12,6)*MIN($G$7,0.85)^MAX(0,(A42-$F$7)/12-6)))</f>
        <v/>
      </c>
      <c r="H42" s="306">
        <f>IF(A42&lt;$F$8,0,IF(AND($B$21=1,A42&gt;$B$19),0,$E$8*$G$8^MIN((A42-$F$8)/12,6)*MIN($G$8,0.85)^MAX(0,(A42-$F$8)/12-6)))</f>
        <v/>
      </c>
      <c r="I42" s="306">
        <f>IF(A42&lt;$F$9,0,IF(AND($B$21=1,A42&gt;$B$19),0,$E$9*$G$9^MIN((A42-$F$9)/12,6)*MIN($G$9,0.85)^MAX(0,(A42-$F$9)/12-6)))</f>
        <v/>
      </c>
      <c r="J42" s="306">
        <f>IF(A42&lt;$F$10,0,IF(AND($B$21=1,A42&gt;$B$19),0,$E$10*$G$10^MIN((A42-$F$10)/12,6)*MIN($G$10,0.85)^MAX(0,(A42-$F$10)/12-6)))</f>
        <v/>
      </c>
      <c r="K42" s="306">
        <f>IF(A42&lt;$F$11,0,IF(AND($B$21=1,A42&gt;$B$19),0,$E$11*$G$11^MIN((A42-$F$11)/12,6)*MIN($G$11,0.85)^MAX(0,(A42-$F$11)/12-6)))</f>
        <v/>
      </c>
      <c r="L42" s="306">
        <f>IF(A42&lt;$F$12,0,IF(AND($B$21=1,A42&gt;$B$19),0,$E$12*$G$12^MIN((A42-$F$12)/12,6)*MIN($G$12,0.85)^MAX(0,(A42-$F$12)/12-6)))</f>
        <v/>
      </c>
      <c r="M42" s="306">
        <f>IF(A42&lt;$F$13,0,IF(AND($B$21=1,A42&gt;$B$19),0,$E$13*$G$13^MIN((A42-$F$13)/12,6)*MIN($G$13,0.85)^MAX(0,(A42-$F$13)/12-6)))</f>
        <v/>
      </c>
      <c r="N42" s="306">
        <f>IF(A42&lt;$F$14,0,IF(AND($B$21=1,A42&gt;$B$19),0,$E$14*$G$14^MIN((A42-$F$14)/12,6)*MIN($G$14,0.85)^MAX(0,(A42-$F$14)/12-6)))</f>
        <v/>
      </c>
      <c r="O42" s="306">
        <f>SUM(F42:N42)</f>
        <v/>
      </c>
      <c r="P42" s="306">
        <f>O42/12</f>
        <v/>
      </c>
      <c r="Q42" s="306">
        <f>P42*$B$8</f>
        <v/>
      </c>
      <c r="R42" s="306">
        <f>P42*$B$9</f>
        <v/>
      </c>
      <c r="S42" s="306">
        <f>P42*$B$10</f>
        <v/>
      </c>
      <c r="T42" s="306">
        <f>P42-Q42-R42-S42-D42-E42</f>
        <v/>
      </c>
      <c r="U42" s="306">
        <f>MAX(0, T42 - $B$7*P42)</f>
        <v/>
      </c>
      <c r="V42" s="306">
        <f>T42-U42</f>
        <v/>
      </c>
      <c r="W42" s="306">
        <f>IF(A42=$F$6, $B$18*$B$16*$B$17/1000000, 0) + IF(A42=$F$7, $B$18*$B$16*$B$17/1000000, 0) + IF(A42=$F$8, $B$18*$B$16*$B$17/1000000, 0) + IF(A42=$F$9, $B$18*$B$16*$B$17/1000000, 0) + IF(A42=$F$10, $B$18*$B$16*$B$17/1000000, 0) + IF(A42=$F$11, $B$18*$B$16*$B$17/1000000, 0) + IF(A42=$F$12, $B$18*$B$16*$B$17/1000000, 0) + IF(A42=$F$13, $B$18*$B$16*$B$17/1000000, 0) + IF(A42=$F$14, $B$18*$B$16*$B$17/1000000, 0)</f>
        <v/>
      </c>
      <c r="X42" s="306">
        <f>V42-W42-C42</f>
        <v/>
      </c>
      <c r="Y42" s="306">
        <f>IF(AND(A42&lt;=$B$24, X42&gt;0), X42*$B$23, 0)</f>
        <v/>
      </c>
      <c r="Z42" s="306">
        <f>X42-Y42</f>
        <v/>
      </c>
      <c r="AA42" s="306">
        <f>IF(AND(A42=$B$19, $B$21=1), O42*$B$20, 0)</f>
        <v/>
      </c>
      <c r="AB42" s="306">
        <f>AB41+Z42+AA42</f>
        <v/>
      </c>
    </row>
    <row r="43">
      <c r="A43" s="306" t="n">
        <v>13</v>
      </c>
      <c r="B43" s="306">
        <f>CEILING(A43/12,1)</f>
        <v/>
      </c>
      <c r="C43" s="306">
        <f>IF(A43&lt;=12, $B$15/12, 0)</f>
        <v/>
      </c>
      <c r="D43" s="306">
        <f>INDEX('26. Team Comp'!$D$28:$R$28, B43) * 0.001 / 12</f>
        <v/>
      </c>
      <c r="E43" s="306">
        <f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+ (IF(MAX(0, A43 - $F$11 + 1)&lt;=0, 0, IF(MAX(0, A43 - $F$11 + 1)&lt;=6, 70 - (70-14)*(MAX(0, A43 - $F$11 + 1)-1)/5, IF(MAX(0, A43 - $F$11 + 1)&lt;=24, 14 - 14*(MAX(0, A43 - $F$11 + 1)-6)/18, 0)))) + (IF(MAX(0, A43 - $F$12 + 1)&lt;=0, 0, IF(MAX(0, A43 - $F$12 + 1)&lt;=6, 70 - (70-14)*(MAX(0, A43 - $F$12 + 1)-1)/5, IF(MAX(0, A43 - $F$12 + 1)&lt;=24, 14 - 14*(MAX(0, A43 - $F$12 + 1)-6)/18, 0)))) + (IF(MAX(0, A43 - $F$13 + 1)&lt;=0, 0, IF(MAX(0, A43 - $F$13 + 1)&lt;=6, 70 - (70-14)*(MAX(0, A43 - $F$13 + 1)-1)/5, IF(MAX(0, A43 - $F$13 + 1)&lt;=24, 14 - 14*(MAX(0, A43 - $F$13 + 1)-6)/18, 0)))) + (IF(MAX(0, A43 - $F$14 + 1)&lt;=0, 0, IF(MAX(0, A43 - $F$14 + 1)&lt;=6, 70 - (70-14)*(MAX(0, A43 - $F$14 + 1)-1)/5, IF(MAX(0, A43 - $F$14 + 1)&lt;=24, 14 - 14*(MAX(0, A43 - $F$14 + 1)-6)/18, 0)))) ) * 200 / 12 / 1000</f>
        <v/>
      </c>
      <c r="F43" s="306">
        <f>IF(A43&lt;$F$6,0,IF(AND($B$21=1,A43&gt;$B$19),0,$E$6*$G$6^MIN((A43-$F$6)/12,6)*MIN($G$6,0.85)^MAX(0,(A43-$F$6)/12-6)))</f>
        <v/>
      </c>
      <c r="G43" s="306">
        <f>IF(A43&lt;$F$7,0,IF(AND($B$21=1,A43&gt;$B$19),0,$E$7*$G$7^MIN((A43-$F$7)/12,6)*MIN($G$7,0.85)^MAX(0,(A43-$F$7)/12-6)))</f>
        <v/>
      </c>
      <c r="H43" s="306">
        <f>IF(A43&lt;$F$8,0,IF(AND($B$21=1,A43&gt;$B$19),0,$E$8*$G$8^MIN((A43-$F$8)/12,6)*MIN($G$8,0.85)^MAX(0,(A43-$F$8)/12-6)))</f>
        <v/>
      </c>
      <c r="I43" s="306">
        <f>IF(A43&lt;$F$9,0,IF(AND($B$21=1,A43&gt;$B$19),0,$E$9*$G$9^MIN((A43-$F$9)/12,6)*MIN($G$9,0.85)^MAX(0,(A43-$F$9)/12-6)))</f>
        <v/>
      </c>
      <c r="J43" s="306">
        <f>IF(A43&lt;$F$10,0,IF(AND($B$21=1,A43&gt;$B$19),0,$E$10*$G$10^MIN((A43-$F$10)/12,6)*MIN($G$10,0.85)^MAX(0,(A43-$F$10)/12-6)))</f>
        <v/>
      </c>
      <c r="K43" s="306">
        <f>IF(A43&lt;$F$11,0,IF(AND($B$21=1,A43&gt;$B$19),0,$E$11*$G$11^MIN((A43-$F$11)/12,6)*MIN($G$11,0.85)^MAX(0,(A43-$F$11)/12-6)))</f>
        <v/>
      </c>
      <c r="L43" s="306">
        <f>IF(A43&lt;$F$12,0,IF(AND($B$21=1,A43&gt;$B$19),0,$E$12*$G$12^MIN((A43-$F$12)/12,6)*MIN($G$12,0.85)^MAX(0,(A43-$F$12)/12-6)))</f>
        <v/>
      </c>
      <c r="M43" s="306">
        <f>IF(A43&lt;$F$13,0,IF(AND($B$21=1,A43&gt;$B$19),0,$E$13*$G$13^MIN((A43-$F$13)/12,6)*MIN($G$13,0.85)^MAX(0,(A43-$F$13)/12-6)))</f>
        <v/>
      </c>
      <c r="N43" s="306">
        <f>IF(A43&lt;$F$14,0,IF(AND($B$21=1,A43&gt;$B$19),0,$E$14*$G$14^MIN((A43-$F$14)/12,6)*MIN($G$14,0.85)^MAX(0,(A43-$F$14)/12-6)))</f>
        <v/>
      </c>
      <c r="O43" s="306">
        <f>SUM(F43:N43)</f>
        <v/>
      </c>
      <c r="P43" s="306">
        <f>O43/12</f>
        <v/>
      </c>
      <c r="Q43" s="306">
        <f>P43*$B$8</f>
        <v/>
      </c>
      <c r="R43" s="306">
        <f>P43*$B$9</f>
        <v/>
      </c>
      <c r="S43" s="306">
        <f>P43*$B$10</f>
        <v/>
      </c>
      <c r="T43" s="306">
        <f>P43-Q43-R43-S43-D43-E43</f>
        <v/>
      </c>
      <c r="U43" s="306">
        <f>MAX(0, T43 - $B$7*P43)</f>
        <v/>
      </c>
      <c r="V43" s="306">
        <f>T43-U43</f>
        <v/>
      </c>
      <c r="W43" s="306">
        <f>IF(A43=$F$6, $B$18*$B$16*$B$17/1000000, 0) + IF(A43=$F$7, $B$18*$B$16*$B$17/1000000, 0) + IF(A43=$F$8, $B$18*$B$16*$B$17/1000000, 0) + IF(A43=$F$9, $B$18*$B$16*$B$17/1000000, 0) + IF(A43=$F$10, $B$18*$B$16*$B$17/1000000, 0) + IF(A43=$F$11, $B$18*$B$16*$B$17/1000000, 0) + IF(A43=$F$12, $B$18*$B$16*$B$17/1000000, 0) + IF(A43=$F$13, $B$18*$B$16*$B$17/1000000, 0) + IF(A43=$F$14, $B$18*$B$16*$B$17/1000000, 0)</f>
        <v/>
      </c>
      <c r="X43" s="306">
        <f>V43-W43-C43</f>
        <v/>
      </c>
      <c r="Y43" s="306">
        <f>IF(AND(A43&lt;=$B$24, X43&gt;0), X43*$B$23, 0)</f>
        <v/>
      </c>
      <c r="Z43" s="306">
        <f>X43-Y43</f>
        <v/>
      </c>
      <c r="AA43" s="306">
        <f>IF(AND(A43=$B$19, $B$21=1), O43*$B$20, 0)</f>
        <v/>
      </c>
      <c r="AB43" s="306">
        <f>AB42+Z43+AA43</f>
        <v/>
      </c>
    </row>
    <row r="44">
      <c r="A44" s="306" t="n">
        <v>14</v>
      </c>
      <c r="B44" s="306">
        <f>CEILING(A44/12,1)</f>
        <v/>
      </c>
      <c r="C44" s="306">
        <f>IF(A44&lt;=12, $B$15/12, 0)</f>
        <v/>
      </c>
      <c r="D44" s="306">
        <f>INDEX('26. Team Comp'!$D$28:$R$28, B44) * 0.001 / 12</f>
        <v/>
      </c>
      <c r="E44" s="306">
        <f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+ (IF(MAX(0, A44 - $F$11 + 1)&lt;=0, 0, IF(MAX(0, A44 - $F$11 + 1)&lt;=6, 70 - (70-14)*(MAX(0, A44 - $F$11 + 1)-1)/5, IF(MAX(0, A44 - $F$11 + 1)&lt;=24, 14 - 14*(MAX(0, A44 - $F$11 + 1)-6)/18, 0)))) + (IF(MAX(0, A44 - $F$12 + 1)&lt;=0, 0, IF(MAX(0, A44 - $F$12 + 1)&lt;=6, 70 - (70-14)*(MAX(0, A44 - $F$12 + 1)-1)/5, IF(MAX(0, A44 - $F$12 + 1)&lt;=24, 14 - 14*(MAX(0, A44 - $F$12 + 1)-6)/18, 0)))) + (IF(MAX(0, A44 - $F$13 + 1)&lt;=0, 0, IF(MAX(0, A44 - $F$13 + 1)&lt;=6, 70 - (70-14)*(MAX(0, A44 - $F$13 + 1)-1)/5, IF(MAX(0, A44 - $F$13 + 1)&lt;=24, 14 - 14*(MAX(0, A44 - $F$13 + 1)-6)/18, 0)))) + (IF(MAX(0, A44 - $F$14 + 1)&lt;=0, 0, IF(MAX(0, A44 - $F$14 + 1)&lt;=6, 70 - (70-14)*(MAX(0, A44 - $F$14 + 1)-1)/5, IF(MAX(0, A44 - $F$14 + 1)&lt;=24, 14 - 14*(MAX(0, A44 - $F$14 + 1)-6)/18, 0)))) ) * 200 / 12 / 1000</f>
        <v/>
      </c>
      <c r="F44" s="306">
        <f>IF(A44&lt;$F$6,0,IF(AND($B$21=1,A44&gt;$B$19),0,$E$6*$G$6^MIN((A44-$F$6)/12,6)*MIN($G$6,0.85)^MAX(0,(A44-$F$6)/12-6)))</f>
        <v/>
      </c>
      <c r="G44" s="306">
        <f>IF(A44&lt;$F$7,0,IF(AND($B$21=1,A44&gt;$B$19),0,$E$7*$G$7^MIN((A44-$F$7)/12,6)*MIN($G$7,0.85)^MAX(0,(A44-$F$7)/12-6)))</f>
        <v/>
      </c>
      <c r="H44" s="306">
        <f>IF(A44&lt;$F$8,0,IF(AND($B$21=1,A44&gt;$B$19),0,$E$8*$G$8^MIN((A44-$F$8)/12,6)*MIN($G$8,0.85)^MAX(0,(A44-$F$8)/12-6)))</f>
        <v/>
      </c>
      <c r="I44" s="306">
        <f>IF(A44&lt;$F$9,0,IF(AND($B$21=1,A44&gt;$B$19),0,$E$9*$G$9^MIN((A44-$F$9)/12,6)*MIN($G$9,0.85)^MAX(0,(A44-$F$9)/12-6)))</f>
        <v/>
      </c>
      <c r="J44" s="306">
        <f>IF(A44&lt;$F$10,0,IF(AND($B$21=1,A44&gt;$B$19),0,$E$10*$G$10^MIN((A44-$F$10)/12,6)*MIN($G$10,0.85)^MAX(0,(A44-$F$10)/12-6)))</f>
        <v/>
      </c>
      <c r="K44" s="306">
        <f>IF(A44&lt;$F$11,0,IF(AND($B$21=1,A44&gt;$B$19),0,$E$11*$G$11^MIN((A44-$F$11)/12,6)*MIN($G$11,0.85)^MAX(0,(A44-$F$11)/12-6)))</f>
        <v/>
      </c>
      <c r="L44" s="306">
        <f>IF(A44&lt;$F$12,0,IF(AND($B$21=1,A44&gt;$B$19),0,$E$12*$G$12^MIN((A44-$F$12)/12,6)*MIN($G$12,0.85)^MAX(0,(A44-$F$12)/12-6)))</f>
        <v/>
      </c>
      <c r="M44" s="306">
        <f>IF(A44&lt;$F$13,0,IF(AND($B$21=1,A44&gt;$B$19),0,$E$13*$G$13^MIN((A44-$F$13)/12,6)*MIN($G$13,0.85)^MAX(0,(A44-$F$13)/12-6)))</f>
        <v/>
      </c>
      <c r="N44" s="306">
        <f>IF(A44&lt;$F$14,0,IF(AND($B$21=1,A44&gt;$B$19),0,$E$14*$G$14^MIN((A44-$F$14)/12,6)*MIN($G$14,0.85)^MAX(0,(A44-$F$14)/12-6)))</f>
        <v/>
      </c>
      <c r="O44" s="306">
        <f>SUM(F44:N44)</f>
        <v/>
      </c>
      <c r="P44" s="306">
        <f>O44/12</f>
        <v/>
      </c>
      <c r="Q44" s="306">
        <f>P44*$B$8</f>
        <v/>
      </c>
      <c r="R44" s="306">
        <f>P44*$B$9</f>
        <v/>
      </c>
      <c r="S44" s="306">
        <f>P44*$B$10</f>
        <v/>
      </c>
      <c r="T44" s="306">
        <f>P44-Q44-R44-S44-D44-E44</f>
        <v/>
      </c>
      <c r="U44" s="306">
        <f>MAX(0, T44 - $B$7*P44)</f>
        <v/>
      </c>
      <c r="V44" s="306">
        <f>T44-U44</f>
        <v/>
      </c>
      <c r="W44" s="306">
        <f>IF(A44=$F$6, $B$18*$B$16*$B$17/1000000, 0) + IF(A44=$F$7, $B$18*$B$16*$B$17/1000000, 0) + IF(A44=$F$8, $B$18*$B$16*$B$17/1000000, 0) + IF(A44=$F$9, $B$18*$B$16*$B$17/1000000, 0) + IF(A44=$F$10, $B$18*$B$16*$B$17/1000000, 0) + IF(A44=$F$11, $B$18*$B$16*$B$17/1000000, 0) + IF(A44=$F$12, $B$18*$B$16*$B$17/1000000, 0) + IF(A44=$F$13, $B$18*$B$16*$B$17/1000000, 0) + IF(A44=$F$14, $B$18*$B$16*$B$17/1000000, 0)</f>
        <v/>
      </c>
      <c r="X44" s="306">
        <f>V44-W44-C44</f>
        <v/>
      </c>
      <c r="Y44" s="306">
        <f>IF(AND(A44&lt;=$B$24, X44&gt;0), X44*$B$23, 0)</f>
        <v/>
      </c>
      <c r="Z44" s="306">
        <f>X44-Y44</f>
        <v/>
      </c>
      <c r="AA44" s="306">
        <f>IF(AND(A44=$B$19, $B$21=1), O44*$B$20, 0)</f>
        <v/>
      </c>
      <c r="AB44" s="306">
        <f>AB43+Z44+AA44</f>
        <v/>
      </c>
    </row>
    <row r="45">
      <c r="A45" s="306" t="n">
        <v>15</v>
      </c>
      <c r="B45" s="306">
        <f>CEILING(A45/12,1)</f>
        <v/>
      </c>
      <c r="C45" s="306">
        <f>IF(A45&lt;=12, $B$15/12, 0)</f>
        <v/>
      </c>
      <c r="D45" s="306">
        <f>INDEX('26. Team Comp'!$D$28:$R$28, B45) * 0.001 / 12</f>
        <v/>
      </c>
      <c r="E45" s="306">
        <f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+ (IF(MAX(0, A45 - $F$11 + 1)&lt;=0, 0, IF(MAX(0, A45 - $F$11 + 1)&lt;=6, 70 - (70-14)*(MAX(0, A45 - $F$11 + 1)-1)/5, IF(MAX(0, A45 - $F$11 + 1)&lt;=24, 14 - 14*(MAX(0, A45 - $F$11 + 1)-6)/18, 0)))) + (IF(MAX(0, A45 - $F$12 + 1)&lt;=0, 0, IF(MAX(0, A45 - $F$12 + 1)&lt;=6, 70 - (70-14)*(MAX(0, A45 - $F$12 + 1)-1)/5, IF(MAX(0, A45 - $F$12 + 1)&lt;=24, 14 - 14*(MAX(0, A45 - $F$12 + 1)-6)/18, 0)))) + (IF(MAX(0, A45 - $F$13 + 1)&lt;=0, 0, IF(MAX(0, A45 - $F$13 + 1)&lt;=6, 70 - (70-14)*(MAX(0, A45 - $F$13 + 1)-1)/5, IF(MAX(0, A45 - $F$13 + 1)&lt;=24, 14 - 14*(MAX(0, A45 - $F$13 + 1)-6)/18, 0)))) + (IF(MAX(0, A45 - $F$14 + 1)&lt;=0, 0, IF(MAX(0, A45 - $F$14 + 1)&lt;=6, 70 - (70-14)*(MAX(0, A45 - $F$14 + 1)-1)/5, IF(MAX(0, A45 - $F$14 + 1)&lt;=24, 14 - 14*(MAX(0, A45 - $F$14 + 1)-6)/18, 0)))) ) * 200 / 12 / 1000</f>
        <v/>
      </c>
      <c r="F45" s="306">
        <f>IF(A45&lt;$F$6,0,IF(AND($B$21=1,A45&gt;$B$19),0,$E$6*$G$6^MIN((A45-$F$6)/12,6)*MIN($G$6,0.85)^MAX(0,(A45-$F$6)/12-6)))</f>
        <v/>
      </c>
      <c r="G45" s="306">
        <f>IF(A45&lt;$F$7,0,IF(AND($B$21=1,A45&gt;$B$19),0,$E$7*$G$7^MIN((A45-$F$7)/12,6)*MIN($G$7,0.85)^MAX(0,(A45-$F$7)/12-6)))</f>
        <v/>
      </c>
      <c r="H45" s="306">
        <f>IF(A45&lt;$F$8,0,IF(AND($B$21=1,A45&gt;$B$19),0,$E$8*$G$8^MIN((A45-$F$8)/12,6)*MIN($G$8,0.85)^MAX(0,(A45-$F$8)/12-6)))</f>
        <v/>
      </c>
      <c r="I45" s="306">
        <f>IF(A45&lt;$F$9,0,IF(AND($B$21=1,A45&gt;$B$19),0,$E$9*$G$9^MIN((A45-$F$9)/12,6)*MIN($G$9,0.85)^MAX(0,(A45-$F$9)/12-6)))</f>
        <v/>
      </c>
      <c r="J45" s="306">
        <f>IF(A45&lt;$F$10,0,IF(AND($B$21=1,A45&gt;$B$19),0,$E$10*$G$10^MIN((A45-$F$10)/12,6)*MIN($G$10,0.85)^MAX(0,(A45-$F$10)/12-6)))</f>
        <v/>
      </c>
      <c r="K45" s="306">
        <f>IF(A45&lt;$F$11,0,IF(AND($B$21=1,A45&gt;$B$19),0,$E$11*$G$11^MIN((A45-$F$11)/12,6)*MIN($G$11,0.85)^MAX(0,(A45-$F$11)/12-6)))</f>
        <v/>
      </c>
      <c r="L45" s="306">
        <f>IF(A45&lt;$F$12,0,IF(AND($B$21=1,A45&gt;$B$19),0,$E$12*$G$12^MIN((A45-$F$12)/12,6)*MIN($G$12,0.85)^MAX(0,(A45-$F$12)/12-6)))</f>
        <v/>
      </c>
      <c r="M45" s="306">
        <f>IF(A45&lt;$F$13,0,IF(AND($B$21=1,A45&gt;$B$19),0,$E$13*$G$13^MIN((A45-$F$13)/12,6)*MIN($G$13,0.85)^MAX(0,(A45-$F$13)/12-6)))</f>
        <v/>
      </c>
      <c r="N45" s="306">
        <f>IF(A45&lt;$F$14,0,IF(AND($B$21=1,A45&gt;$B$19),0,$E$14*$G$14^MIN((A45-$F$14)/12,6)*MIN($G$14,0.85)^MAX(0,(A45-$F$14)/12-6)))</f>
        <v/>
      </c>
      <c r="O45" s="306">
        <f>SUM(F45:N45)</f>
        <v/>
      </c>
      <c r="P45" s="306">
        <f>O45/12</f>
        <v/>
      </c>
      <c r="Q45" s="306">
        <f>P45*$B$8</f>
        <v/>
      </c>
      <c r="R45" s="306">
        <f>P45*$B$9</f>
        <v/>
      </c>
      <c r="S45" s="306">
        <f>P45*$B$10</f>
        <v/>
      </c>
      <c r="T45" s="306">
        <f>P45-Q45-R45-S45-D45-E45</f>
        <v/>
      </c>
      <c r="U45" s="306">
        <f>MAX(0, T45 - $B$7*P45)</f>
        <v/>
      </c>
      <c r="V45" s="306">
        <f>T45-U45</f>
        <v/>
      </c>
      <c r="W45" s="306">
        <f>IF(A45=$F$6, $B$18*$B$16*$B$17/1000000, 0) + IF(A45=$F$7, $B$18*$B$16*$B$17/1000000, 0) + IF(A45=$F$8, $B$18*$B$16*$B$17/1000000, 0) + IF(A45=$F$9, $B$18*$B$16*$B$17/1000000, 0) + IF(A45=$F$10, $B$18*$B$16*$B$17/1000000, 0) + IF(A45=$F$11, $B$18*$B$16*$B$17/1000000, 0) + IF(A45=$F$12, $B$18*$B$16*$B$17/1000000, 0) + IF(A45=$F$13, $B$18*$B$16*$B$17/1000000, 0) + IF(A45=$F$14, $B$18*$B$16*$B$17/1000000, 0)</f>
        <v/>
      </c>
      <c r="X45" s="306">
        <f>V45-W45-C45</f>
        <v/>
      </c>
      <c r="Y45" s="306">
        <f>IF(AND(A45&lt;=$B$24, X45&gt;0), X45*$B$23, 0)</f>
        <v/>
      </c>
      <c r="Z45" s="306">
        <f>X45-Y45</f>
        <v/>
      </c>
      <c r="AA45" s="306">
        <f>IF(AND(A45=$B$19, $B$21=1), O45*$B$20, 0)</f>
        <v/>
      </c>
      <c r="AB45" s="306">
        <f>AB44+Z45+AA45</f>
        <v/>
      </c>
    </row>
    <row r="46">
      <c r="A46" s="306" t="n">
        <v>16</v>
      </c>
      <c r="B46" s="306">
        <f>CEILING(A46/12,1)</f>
        <v/>
      </c>
      <c r="C46" s="306">
        <f>IF(A46&lt;=12, $B$15/12, 0)</f>
        <v/>
      </c>
      <c r="D46" s="306">
        <f>INDEX('26. Team Comp'!$D$28:$R$28, B46) * 0.001 / 12</f>
        <v/>
      </c>
      <c r="E46" s="306">
        <f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+ (IF(MAX(0, A46 - $F$11 + 1)&lt;=0, 0, IF(MAX(0, A46 - $F$11 + 1)&lt;=6, 70 - (70-14)*(MAX(0, A46 - $F$11 + 1)-1)/5, IF(MAX(0, A46 - $F$11 + 1)&lt;=24, 14 - 14*(MAX(0, A46 - $F$11 + 1)-6)/18, 0)))) + (IF(MAX(0, A46 - $F$12 + 1)&lt;=0, 0, IF(MAX(0, A46 - $F$12 + 1)&lt;=6, 70 - (70-14)*(MAX(0, A46 - $F$12 + 1)-1)/5, IF(MAX(0, A46 - $F$12 + 1)&lt;=24, 14 - 14*(MAX(0, A46 - $F$12 + 1)-6)/18, 0)))) + (IF(MAX(0, A46 - $F$13 + 1)&lt;=0, 0, IF(MAX(0, A46 - $F$13 + 1)&lt;=6, 70 - (70-14)*(MAX(0, A46 - $F$13 + 1)-1)/5, IF(MAX(0, A46 - $F$13 + 1)&lt;=24, 14 - 14*(MAX(0, A46 - $F$13 + 1)-6)/18, 0)))) + (IF(MAX(0, A46 - $F$14 + 1)&lt;=0, 0, IF(MAX(0, A46 - $F$14 + 1)&lt;=6, 70 - (70-14)*(MAX(0, A46 - $F$14 + 1)-1)/5, IF(MAX(0, A46 - $F$14 + 1)&lt;=24, 14 - 14*(MAX(0, A46 - $F$14 + 1)-6)/18, 0)))) ) * 200 / 12 / 1000</f>
        <v/>
      </c>
      <c r="F46" s="306">
        <f>IF(A46&lt;$F$6,0,IF(AND($B$21=1,A46&gt;$B$19),0,$E$6*$G$6^MIN((A46-$F$6)/12,6)*MIN($G$6,0.85)^MAX(0,(A46-$F$6)/12-6)))</f>
        <v/>
      </c>
      <c r="G46" s="306">
        <f>IF(A46&lt;$F$7,0,IF(AND($B$21=1,A46&gt;$B$19),0,$E$7*$G$7^MIN((A46-$F$7)/12,6)*MIN($G$7,0.85)^MAX(0,(A46-$F$7)/12-6)))</f>
        <v/>
      </c>
      <c r="H46" s="306">
        <f>IF(A46&lt;$F$8,0,IF(AND($B$21=1,A46&gt;$B$19),0,$E$8*$G$8^MIN((A46-$F$8)/12,6)*MIN($G$8,0.85)^MAX(0,(A46-$F$8)/12-6)))</f>
        <v/>
      </c>
      <c r="I46" s="306">
        <f>IF(A46&lt;$F$9,0,IF(AND($B$21=1,A46&gt;$B$19),0,$E$9*$G$9^MIN((A46-$F$9)/12,6)*MIN($G$9,0.85)^MAX(0,(A46-$F$9)/12-6)))</f>
        <v/>
      </c>
      <c r="J46" s="306">
        <f>IF(A46&lt;$F$10,0,IF(AND($B$21=1,A46&gt;$B$19),0,$E$10*$G$10^MIN((A46-$F$10)/12,6)*MIN($G$10,0.85)^MAX(0,(A46-$F$10)/12-6)))</f>
        <v/>
      </c>
      <c r="K46" s="306">
        <f>IF(A46&lt;$F$11,0,IF(AND($B$21=1,A46&gt;$B$19),0,$E$11*$G$11^MIN((A46-$F$11)/12,6)*MIN($G$11,0.85)^MAX(0,(A46-$F$11)/12-6)))</f>
        <v/>
      </c>
      <c r="L46" s="306">
        <f>IF(A46&lt;$F$12,0,IF(AND($B$21=1,A46&gt;$B$19),0,$E$12*$G$12^MIN((A46-$F$12)/12,6)*MIN($G$12,0.85)^MAX(0,(A46-$F$12)/12-6)))</f>
        <v/>
      </c>
      <c r="M46" s="306">
        <f>IF(A46&lt;$F$13,0,IF(AND($B$21=1,A46&gt;$B$19),0,$E$13*$G$13^MIN((A46-$F$13)/12,6)*MIN($G$13,0.85)^MAX(0,(A46-$F$13)/12-6)))</f>
        <v/>
      </c>
      <c r="N46" s="306">
        <f>IF(A46&lt;$F$14,0,IF(AND($B$21=1,A46&gt;$B$19),0,$E$14*$G$14^MIN((A46-$F$14)/12,6)*MIN($G$14,0.85)^MAX(0,(A46-$F$14)/12-6)))</f>
        <v/>
      </c>
      <c r="O46" s="306">
        <f>SUM(F46:N46)</f>
        <v/>
      </c>
      <c r="P46" s="306">
        <f>O46/12</f>
        <v/>
      </c>
      <c r="Q46" s="306">
        <f>P46*$B$8</f>
        <v/>
      </c>
      <c r="R46" s="306">
        <f>P46*$B$9</f>
        <v/>
      </c>
      <c r="S46" s="306">
        <f>P46*$B$10</f>
        <v/>
      </c>
      <c r="T46" s="306">
        <f>P46-Q46-R46-S46-D46-E46</f>
        <v/>
      </c>
      <c r="U46" s="306">
        <f>MAX(0, T46 - $B$7*P46)</f>
        <v/>
      </c>
      <c r="V46" s="306">
        <f>T46-U46</f>
        <v/>
      </c>
      <c r="W46" s="306">
        <f>IF(A46=$F$6, $B$18*$B$16*$B$17/1000000, 0) + IF(A46=$F$7, $B$18*$B$16*$B$17/1000000, 0) + IF(A46=$F$8, $B$18*$B$16*$B$17/1000000, 0) + IF(A46=$F$9, $B$18*$B$16*$B$17/1000000, 0) + IF(A46=$F$10, $B$18*$B$16*$B$17/1000000, 0) + IF(A46=$F$11, $B$18*$B$16*$B$17/1000000, 0) + IF(A46=$F$12, $B$18*$B$16*$B$17/1000000, 0) + IF(A46=$F$13, $B$18*$B$16*$B$17/1000000, 0) + IF(A46=$F$14, $B$18*$B$16*$B$17/1000000, 0)</f>
        <v/>
      </c>
      <c r="X46" s="306">
        <f>V46-W46-C46</f>
        <v/>
      </c>
      <c r="Y46" s="306">
        <f>IF(AND(A46&lt;=$B$24, X46&gt;0), X46*$B$23, 0)</f>
        <v/>
      </c>
      <c r="Z46" s="306">
        <f>X46-Y46</f>
        <v/>
      </c>
      <c r="AA46" s="306">
        <f>IF(AND(A46=$B$19, $B$21=1), O46*$B$20, 0)</f>
        <v/>
      </c>
      <c r="AB46" s="306">
        <f>AB45+Z46+AA46</f>
        <v/>
      </c>
    </row>
    <row r="47">
      <c r="A47" s="306" t="n">
        <v>17</v>
      </c>
      <c r="B47" s="306">
        <f>CEILING(A47/12,1)</f>
        <v/>
      </c>
      <c r="C47" s="306">
        <f>IF(A47&lt;=12, $B$15/12, 0)</f>
        <v/>
      </c>
      <c r="D47" s="306">
        <f>INDEX('26. Team Comp'!$D$28:$R$28, B47) * 0.001 / 12</f>
        <v/>
      </c>
      <c r="E47" s="306">
        <f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+ (IF(MAX(0, A47 - $F$11 + 1)&lt;=0, 0, IF(MAX(0, A47 - $F$11 + 1)&lt;=6, 70 - (70-14)*(MAX(0, A47 - $F$11 + 1)-1)/5, IF(MAX(0, A47 - $F$11 + 1)&lt;=24, 14 - 14*(MAX(0, A47 - $F$11 + 1)-6)/18, 0)))) + (IF(MAX(0, A47 - $F$12 + 1)&lt;=0, 0, IF(MAX(0, A47 - $F$12 + 1)&lt;=6, 70 - (70-14)*(MAX(0, A47 - $F$12 + 1)-1)/5, IF(MAX(0, A47 - $F$12 + 1)&lt;=24, 14 - 14*(MAX(0, A47 - $F$12 + 1)-6)/18, 0)))) + (IF(MAX(0, A47 - $F$13 + 1)&lt;=0, 0, IF(MAX(0, A47 - $F$13 + 1)&lt;=6, 70 - (70-14)*(MAX(0, A47 - $F$13 + 1)-1)/5, IF(MAX(0, A47 - $F$13 + 1)&lt;=24, 14 - 14*(MAX(0, A47 - $F$13 + 1)-6)/18, 0)))) + (IF(MAX(0, A47 - $F$14 + 1)&lt;=0, 0, IF(MAX(0, A47 - $F$14 + 1)&lt;=6, 70 - (70-14)*(MAX(0, A47 - $F$14 + 1)-1)/5, IF(MAX(0, A47 - $F$14 + 1)&lt;=24, 14 - 14*(MAX(0, A47 - $F$14 + 1)-6)/18, 0)))) ) * 200 / 12 / 1000</f>
        <v/>
      </c>
      <c r="F47" s="306">
        <f>IF(A47&lt;$F$6,0,IF(AND($B$21=1,A47&gt;$B$19),0,$E$6*$G$6^MIN((A47-$F$6)/12,6)*MIN($G$6,0.85)^MAX(0,(A47-$F$6)/12-6)))</f>
        <v/>
      </c>
      <c r="G47" s="306">
        <f>IF(A47&lt;$F$7,0,IF(AND($B$21=1,A47&gt;$B$19),0,$E$7*$G$7^MIN((A47-$F$7)/12,6)*MIN($G$7,0.85)^MAX(0,(A47-$F$7)/12-6)))</f>
        <v/>
      </c>
      <c r="H47" s="306">
        <f>IF(A47&lt;$F$8,0,IF(AND($B$21=1,A47&gt;$B$19),0,$E$8*$G$8^MIN((A47-$F$8)/12,6)*MIN($G$8,0.85)^MAX(0,(A47-$F$8)/12-6)))</f>
        <v/>
      </c>
      <c r="I47" s="306">
        <f>IF(A47&lt;$F$9,0,IF(AND($B$21=1,A47&gt;$B$19),0,$E$9*$G$9^MIN((A47-$F$9)/12,6)*MIN($G$9,0.85)^MAX(0,(A47-$F$9)/12-6)))</f>
        <v/>
      </c>
      <c r="J47" s="306">
        <f>IF(A47&lt;$F$10,0,IF(AND($B$21=1,A47&gt;$B$19),0,$E$10*$G$10^MIN((A47-$F$10)/12,6)*MIN($G$10,0.85)^MAX(0,(A47-$F$10)/12-6)))</f>
        <v/>
      </c>
      <c r="K47" s="306">
        <f>IF(A47&lt;$F$11,0,IF(AND($B$21=1,A47&gt;$B$19),0,$E$11*$G$11^MIN((A47-$F$11)/12,6)*MIN($G$11,0.85)^MAX(0,(A47-$F$11)/12-6)))</f>
        <v/>
      </c>
      <c r="L47" s="306">
        <f>IF(A47&lt;$F$12,0,IF(AND($B$21=1,A47&gt;$B$19),0,$E$12*$G$12^MIN((A47-$F$12)/12,6)*MIN($G$12,0.85)^MAX(0,(A47-$F$12)/12-6)))</f>
        <v/>
      </c>
      <c r="M47" s="306">
        <f>IF(A47&lt;$F$13,0,IF(AND($B$21=1,A47&gt;$B$19),0,$E$13*$G$13^MIN((A47-$F$13)/12,6)*MIN($G$13,0.85)^MAX(0,(A47-$F$13)/12-6)))</f>
        <v/>
      </c>
      <c r="N47" s="306">
        <f>IF(A47&lt;$F$14,0,IF(AND($B$21=1,A47&gt;$B$19),0,$E$14*$G$14^MIN((A47-$F$14)/12,6)*MIN($G$14,0.85)^MAX(0,(A47-$F$14)/12-6)))</f>
        <v/>
      </c>
      <c r="O47" s="306">
        <f>SUM(F47:N47)</f>
        <v/>
      </c>
      <c r="P47" s="306">
        <f>O47/12</f>
        <v/>
      </c>
      <c r="Q47" s="306">
        <f>P47*$B$8</f>
        <v/>
      </c>
      <c r="R47" s="306">
        <f>P47*$B$9</f>
        <v/>
      </c>
      <c r="S47" s="306">
        <f>P47*$B$10</f>
        <v/>
      </c>
      <c r="T47" s="306">
        <f>P47-Q47-R47-S47-D47-E47</f>
        <v/>
      </c>
      <c r="U47" s="306">
        <f>MAX(0, T47 - $B$7*P47)</f>
        <v/>
      </c>
      <c r="V47" s="306">
        <f>T47-U47</f>
        <v/>
      </c>
      <c r="W47" s="306">
        <f>IF(A47=$F$6, $B$18*$B$16*$B$17/1000000, 0) + IF(A47=$F$7, $B$18*$B$16*$B$17/1000000, 0) + IF(A47=$F$8, $B$18*$B$16*$B$17/1000000, 0) + IF(A47=$F$9, $B$18*$B$16*$B$17/1000000, 0) + IF(A47=$F$10, $B$18*$B$16*$B$17/1000000, 0) + IF(A47=$F$11, $B$18*$B$16*$B$17/1000000, 0) + IF(A47=$F$12, $B$18*$B$16*$B$17/1000000, 0) + IF(A47=$F$13, $B$18*$B$16*$B$17/1000000, 0) + IF(A47=$F$14, $B$18*$B$16*$B$17/1000000, 0)</f>
        <v/>
      </c>
      <c r="X47" s="306">
        <f>V47-W47-C47</f>
        <v/>
      </c>
      <c r="Y47" s="306">
        <f>IF(AND(A47&lt;=$B$24, X47&gt;0), X47*$B$23, 0)</f>
        <v/>
      </c>
      <c r="Z47" s="306">
        <f>X47-Y47</f>
        <v/>
      </c>
      <c r="AA47" s="306">
        <f>IF(AND(A47=$B$19, $B$21=1), O47*$B$20, 0)</f>
        <v/>
      </c>
      <c r="AB47" s="306">
        <f>AB46+Z47+AA47</f>
        <v/>
      </c>
    </row>
    <row r="48">
      <c r="A48" s="306" t="n">
        <v>18</v>
      </c>
      <c r="B48" s="306">
        <f>CEILING(A48/12,1)</f>
        <v/>
      </c>
      <c r="C48" s="306">
        <f>IF(A48&lt;=12, $B$15/12, 0)</f>
        <v/>
      </c>
      <c r="D48" s="306">
        <f>INDEX('26. Team Comp'!$D$28:$R$28, B48) * 0.001 / 12</f>
        <v/>
      </c>
      <c r="E48" s="306">
        <f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+ (IF(MAX(0, A48 - $F$11 + 1)&lt;=0, 0, IF(MAX(0, A48 - $F$11 + 1)&lt;=6, 70 - (70-14)*(MAX(0, A48 - $F$11 + 1)-1)/5, IF(MAX(0, A48 - $F$11 + 1)&lt;=24, 14 - 14*(MAX(0, A48 - $F$11 + 1)-6)/18, 0)))) + (IF(MAX(0, A48 - $F$12 + 1)&lt;=0, 0, IF(MAX(0, A48 - $F$12 + 1)&lt;=6, 70 - (70-14)*(MAX(0, A48 - $F$12 + 1)-1)/5, IF(MAX(0, A48 - $F$12 + 1)&lt;=24, 14 - 14*(MAX(0, A48 - $F$12 + 1)-6)/18, 0)))) + (IF(MAX(0, A48 - $F$13 + 1)&lt;=0, 0, IF(MAX(0, A48 - $F$13 + 1)&lt;=6, 70 - (70-14)*(MAX(0, A48 - $F$13 + 1)-1)/5, IF(MAX(0, A48 - $F$13 + 1)&lt;=24, 14 - 14*(MAX(0, A48 - $F$13 + 1)-6)/18, 0)))) + (IF(MAX(0, A48 - $F$14 + 1)&lt;=0, 0, IF(MAX(0, A48 - $F$14 + 1)&lt;=6, 70 - (70-14)*(MAX(0, A48 - $F$14 + 1)-1)/5, IF(MAX(0, A48 - $F$14 + 1)&lt;=24, 14 - 14*(MAX(0, A48 - $F$14 + 1)-6)/18, 0)))) ) * 200 / 12 / 1000</f>
        <v/>
      </c>
      <c r="F48" s="306">
        <f>IF(A48&lt;$F$6,0,IF(AND($B$21=1,A48&gt;$B$19),0,$E$6*$G$6^MIN((A48-$F$6)/12,6)*MIN($G$6,0.85)^MAX(0,(A48-$F$6)/12-6)))</f>
        <v/>
      </c>
      <c r="G48" s="306">
        <f>IF(A48&lt;$F$7,0,IF(AND($B$21=1,A48&gt;$B$19),0,$E$7*$G$7^MIN((A48-$F$7)/12,6)*MIN($G$7,0.85)^MAX(0,(A48-$F$7)/12-6)))</f>
        <v/>
      </c>
      <c r="H48" s="306">
        <f>IF(A48&lt;$F$8,0,IF(AND($B$21=1,A48&gt;$B$19),0,$E$8*$G$8^MIN((A48-$F$8)/12,6)*MIN($G$8,0.85)^MAX(0,(A48-$F$8)/12-6)))</f>
        <v/>
      </c>
      <c r="I48" s="306">
        <f>IF(A48&lt;$F$9,0,IF(AND($B$21=1,A48&gt;$B$19),0,$E$9*$G$9^MIN((A48-$F$9)/12,6)*MIN($G$9,0.85)^MAX(0,(A48-$F$9)/12-6)))</f>
        <v/>
      </c>
      <c r="J48" s="306">
        <f>IF(A48&lt;$F$10,0,IF(AND($B$21=1,A48&gt;$B$19),0,$E$10*$G$10^MIN((A48-$F$10)/12,6)*MIN($G$10,0.85)^MAX(0,(A48-$F$10)/12-6)))</f>
        <v/>
      </c>
      <c r="K48" s="306">
        <f>IF(A48&lt;$F$11,0,IF(AND($B$21=1,A48&gt;$B$19),0,$E$11*$G$11^MIN((A48-$F$11)/12,6)*MIN($G$11,0.85)^MAX(0,(A48-$F$11)/12-6)))</f>
        <v/>
      </c>
      <c r="L48" s="306">
        <f>IF(A48&lt;$F$12,0,IF(AND($B$21=1,A48&gt;$B$19),0,$E$12*$G$12^MIN((A48-$F$12)/12,6)*MIN($G$12,0.85)^MAX(0,(A48-$F$12)/12-6)))</f>
        <v/>
      </c>
      <c r="M48" s="306">
        <f>IF(A48&lt;$F$13,0,IF(AND($B$21=1,A48&gt;$B$19),0,$E$13*$G$13^MIN((A48-$F$13)/12,6)*MIN($G$13,0.85)^MAX(0,(A48-$F$13)/12-6)))</f>
        <v/>
      </c>
      <c r="N48" s="306">
        <f>IF(A48&lt;$F$14,0,IF(AND($B$21=1,A48&gt;$B$19),0,$E$14*$G$14^MIN((A48-$F$14)/12,6)*MIN($G$14,0.85)^MAX(0,(A48-$F$14)/12-6)))</f>
        <v/>
      </c>
      <c r="O48" s="306">
        <f>SUM(F48:N48)</f>
        <v/>
      </c>
      <c r="P48" s="306">
        <f>O48/12</f>
        <v/>
      </c>
      <c r="Q48" s="306">
        <f>P48*$B$8</f>
        <v/>
      </c>
      <c r="R48" s="306">
        <f>P48*$B$9</f>
        <v/>
      </c>
      <c r="S48" s="306">
        <f>P48*$B$10</f>
        <v/>
      </c>
      <c r="T48" s="306">
        <f>P48-Q48-R48-S48-D48-E48</f>
        <v/>
      </c>
      <c r="U48" s="306">
        <f>MAX(0, T48 - $B$7*P48)</f>
        <v/>
      </c>
      <c r="V48" s="306">
        <f>T48-U48</f>
        <v/>
      </c>
      <c r="W48" s="306">
        <f>IF(A48=$F$6, $B$18*$B$16*$B$17/1000000, 0) + IF(A48=$F$7, $B$18*$B$16*$B$17/1000000, 0) + IF(A48=$F$8, $B$18*$B$16*$B$17/1000000, 0) + IF(A48=$F$9, $B$18*$B$16*$B$17/1000000, 0) + IF(A48=$F$10, $B$18*$B$16*$B$17/1000000, 0) + IF(A48=$F$11, $B$18*$B$16*$B$17/1000000, 0) + IF(A48=$F$12, $B$18*$B$16*$B$17/1000000, 0) + IF(A48=$F$13, $B$18*$B$16*$B$17/1000000, 0) + IF(A48=$F$14, $B$18*$B$16*$B$17/1000000, 0)</f>
        <v/>
      </c>
      <c r="X48" s="306">
        <f>V48-W48-C48</f>
        <v/>
      </c>
      <c r="Y48" s="306">
        <f>IF(AND(A48&lt;=$B$24, X48&gt;0), X48*$B$23, 0)</f>
        <v/>
      </c>
      <c r="Z48" s="306">
        <f>X48-Y48</f>
        <v/>
      </c>
      <c r="AA48" s="306">
        <f>IF(AND(A48=$B$19, $B$21=1), O48*$B$20, 0)</f>
        <v/>
      </c>
      <c r="AB48" s="306">
        <f>AB47+Z48+AA48</f>
        <v/>
      </c>
    </row>
    <row r="49">
      <c r="A49" s="306" t="n">
        <v>19</v>
      </c>
      <c r="B49" s="306">
        <f>CEILING(A49/12,1)</f>
        <v/>
      </c>
      <c r="C49" s="306">
        <f>IF(A49&lt;=12, $B$15/12, 0)</f>
        <v/>
      </c>
      <c r="D49" s="306">
        <f>INDEX('26. Team Comp'!$D$28:$R$28, B49) * 0.001 / 12</f>
        <v/>
      </c>
      <c r="E49" s="306">
        <f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+ (IF(MAX(0, A49 - $F$11 + 1)&lt;=0, 0, IF(MAX(0, A49 - $F$11 + 1)&lt;=6, 70 - (70-14)*(MAX(0, A49 - $F$11 + 1)-1)/5, IF(MAX(0, A49 - $F$11 + 1)&lt;=24, 14 - 14*(MAX(0, A49 - $F$11 + 1)-6)/18, 0)))) + (IF(MAX(0, A49 - $F$12 + 1)&lt;=0, 0, IF(MAX(0, A49 - $F$12 + 1)&lt;=6, 70 - (70-14)*(MAX(0, A49 - $F$12 + 1)-1)/5, IF(MAX(0, A49 - $F$12 + 1)&lt;=24, 14 - 14*(MAX(0, A49 - $F$12 + 1)-6)/18, 0)))) + (IF(MAX(0, A49 - $F$13 + 1)&lt;=0, 0, IF(MAX(0, A49 - $F$13 + 1)&lt;=6, 70 - (70-14)*(MAX(0, A49 - $F$13 + 1)-1)/5, IF(MAX(0, A49 - $F$13 + 1)&lt;=24, 14 - 14*(MAX(0, A49 - $F$13 + 1)-6)/18, 0)))) + (IF(MAX(0, A49 - $F$14 + 1)&lt;=0, 0, IF(MAX(0, A49 - $F$14 + 1)&lt;=6, 70 - (70-14)*(MAX(0, A49 - $F$14 + 1)-1)/5, IF(MAX(0, A49 - $F$14 + 1)&lt;=24, 14 - 14*(MAX(0, A49 - $F$14 + 1)-6)/18, 0)))) ) * 200 / 12 / 1000</f>
        <v/>
      </c>
      <c r="F49" s="306">
        <f>IF(A49&lt;$F$6,0,IF(AND($B$21=1,A49&gt;$B$19),0,$E$6*$G$6^MIN((A49-$F$6)/12,6)*MIN($G$6,0.85)^MAX(0,(A49-$F$6)/12-6)))</f>
        <v/>
      </c>
      <c r="G49" s="306">
        <f>IF(A49&lt;$F$7,0,IF(AND($B$21=1,A49&gt;$B$19),0,$E$7*$G$7^MIN((A49-$F$7)/12,6)*MIN($G$7,0.85)^MAX(0,(A49-$F$7)/12-6)))</f>
        <v/>
      </c>
      <c r="H49" s="306">
        <f>IF(A49&lt;$F$8,0,IF(AND($B$21=1,A49&gt;$B$19),0,$E$8*$G$8^MIN((A49-$F$8)/12,6)*MIN($G$8,0.85)^MAX(0,(A49-$F$8)/12-6)))</f>
        <v/>
      </c>
      <c r="I49" s="306">
        <f>IF(A49&lt;$F$9,0,IF(AND($B$21=1,A49&gt;$B$19),0,$E$9*$G$9^MIN((A49-$F$9)/12,6)*MIN($G$9,0.85)^MAX(0,(A49-$F$9)/12-6)))</f>
        <v/>
      </c>
      <c r="J49" s="306">
        <f>IF(A49&lt;$F$10,0,IF(AND($B$21=1,A49&gt;$B$19),0,$E$10*$G$10^MIN((A49-$F$10)/12,6)*MIN($G$10,0.85)^MAX(0,(A49-$F$10)/12-6)))</f>
        <v/>
      </c>
      <c r="K49" s="306">
        <f>IF(A49&lt;$F$11,0,IF(AND($B$21=1,A49&gt;$B$19),0,$E$11*$G$11^MIN((A49-$F$11)/12,6)*MIN($G$11,0.85)^MAX(0,(A49-$F$11)/12-6)))</f>
        <v/>
      </c>
      <c r="L49" s="306">
        <f>IF(A49&lt;$F$12,0,IF(AND($B$21=1,A49&gt;$B$19),0,$E$12*$G$12^MIN((A49-$F$12)/12,6)*MIN($G$12,0.85)^MAX(0,(A49-$F$12)/12-6)))</f>
        <v/>
      </c>
      <c r="M49" s="306">
        <f>IF(A49&lt;$F$13,0,IF(AND($B$21=1,A49&gt;$B$19),0,$E$13*$G$13^MIN((A49-$F$13)/12,6)*MIN($G$13,0.85)^MAX(0,(A49-$F$13)/12-6)))</f>
        <v/>
      </c>
      <c r="N49" s="306">
        <f>IF(A49&lt;$F$14,0,IF(AND($B$21=1,A49&gt;$B$19),0,$E$14*$G$14^MIN((A49-$F$14)/12,6)*MIN($G$14,0.85)^MAX(0,(A49-$F$14)/12-6)))</f>
        <v/>
      </c>
      <c r="O49" s="306">
        <f>SUM(F49:N49)</f>
        <v/>
      </c>
      <c r="P49" s="306">
        <f>O49/12</f>
        <v/>
      </c>
      <c r="Q49" s="306">
        <f>P49*$B$8</f>
        <v/>
      </c>
      <c r="R49" s="306">
        <f>P49*$B$9</f>
        <v/>
      </c>
      <c r="S49" s="306">
        <f>P49*$B$10</f>
        <v/>
      </c>
      <c r="T49" s="306">
        <f>P49-Q49-R49-S49-D49-E49</f>
        <v/>
      </c>
      <c r="U49" s="306">
        <f>MAX(0, T49 - $B$7*P49)</f>
        <v/>
      </c>
      <c r="V49" s="306">
        <f>T49-U49</f>
        <v/>
      </c>
      <c r="W49" s="306">
        <f>IF(A49=$F$6, $B$18*$B$16*$B$17/1000000, 0) + IF(A49=$F$7, $B$18*$B$16*$B$17/1000000, 0) + IF(A49=$F$8, $B$18*$B$16*$B$17/1000000, 0) + IF(A49=$F$9, $B$18*$B$16*$B$17/1000000, 0) + IF(A49=$F$10, $B$18*$B$16*$B$17/1000000, 0) + IF(A49=$F$11, $B$18*$B$16*$B$17/1000000, 0) + IF(A49=$F$12, $B$18*$B$16*$B$17/1000000, 0) + IF(A49=$F$13, $B$18*$B$16*$B$17/1000000, 0) + IF(A49=$F$14, $B$18*$B$16*$B$17/1000000, 0)</f>
        <v/>
      </c>
      <c r="X49" s="306">
        <f>V49-W49-C49</f>
        <v/>
      </c>
      <c r="Y49" s="306">
        <f>IF(AND(A49&lt;=$B$24, X49&gt;0), X49*$B$23, 0)</f>
        <v/>
      </c>
      <c r="Z49" s="306">
        <f>X49-Y49</f>
        <v/>
      </c>
      <c r="AA49" s="306">
        <f>IF(AND(A49=$B$19, $B$21=1), O49*$B$20, 0)</f>
        <v/>
      </c>
      <c r="AB49" s="306">
        <f>AB48+Z49+AA49</f>
        <v/>
      </c>
    </row>
    <row r="50">
      <c r="A50" s="306" t="n">
        <v>20</v>
      </c>
      <c r="B50" s="306">
        <f>CEILING(A50/12,1)</f>
        <v/>
      </c>
      <c r="C50" s="306">
        <f>IF(A50&lt;=12, $B$15/12, 0)</f>
        <v/>
      </c>
      <c r="D50" s="306">
        <f>INDEX('26. Team Comp'!$D$28:$R$28, B50) * 0.001 / 12</f>
        <v/>
      </c>
      <c r="E50" s="306">
        <f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+ (IF(MAX(0, A50 - $F$11 + 1)&lt;=0, 0, IF(MAX(0, A50 - $F$11 + 1)&lt;=6, 70 - (70-14)*(MAX(0, A50 - $F$11 + 1)-1)/5, IF(MAX(0, A50 - $F$11 + 1)&lt;=24, 14 - 14*(MAX(0, A50 - $F$11 + 1)-6)/18, 0)))) + (IF(MAX(0, A50 - $F$12 + 1)&lt;=0, 0, IF(MAX(0, A50 - $F$12 + 1)&lt;=6, 70 - (70-14)*(MAX(0, A50 - $F$12 + 1)-1)/5, IF(MAX(0, A50 - $F$12 + 1)&lt;=24, 14 - 14*(MAX(0, A50 - $F$12 + 1)-6)/18, 0)))) + (IF(MAX(0, A50 - $F$13 + 1)&lt;=0, 0, IF(MAX(0, A50 - $F$13 + 1)&lt;=6, 70 - (70-14)*(MAX(0, A50 - $F$13 + 1)-1)/5, IF(MAX(0, A50 - $F$13 + 1)&lt;=24, 14 - 14*(MAX(0, A50 - $F$13 + 1)-6)/18, 0)))) + (IF(MAX(0, A50 - $F$14 + 1)&lt;=0, 0, IF(MAX(0, A50 - $F$14 + 1)&lt;=6, 70 - (70-14)*(MAX(0, A50 - $F$14 + 1)-1)/5, IF(MAX(0, A50 - $F$14 + 1)&lt;=24, 14 - 14*(MAX(0, A50 - $F$14 + 1)-6)/18, 0)))) ) * 200 / 12 / 1000</f>
        <v/>
      </c>
      <c r="F50" s="306">
        <f>IF(A50&lt;$F$6,0,IF(AND($B$21=1,A50&gt;$B$19),0,$E$6*$G$6^MIN((A50-$F$6)/12,6)*MIN($G$6,0.85)^MAX(0,(A50-$F$6)/12-6)))</f>
        <v/>
      </c>
      <c r="G50" s="306">
        <f>IF(A50&lt;$F$7,0,IF(AND($B$21=1,A50&gt;$B$19),0,$E$7*$G$7^MIN((A50-$F$7)/12,6)*MIN($G$7,0.85)^MAX(0,(A50-$F$7)/12-6)))</f>
        <v/>
      </c>
      <c r="H50" s="306">
        <f>IF(A50&lt;$F$8,0,IF(AND($B$21=1,A50&gt;$B$19),0,$E$8*$G$8^MIN((A50-$F$8)/12,6)*MIN($G$8,0.85)^MAX(0,(A50-$F$8)/12-6)))</f>
        <v/>
      </c>
      <c r="I50" s="306">
        <f>IF(A50&lt;$F$9,0,IF(AND($B$21=1,A50&gt;$B$19),0,$E$9*$G$9^MIN((A50-$F$9)/12,6)*MIN($G$9,0.85)^MAX(0,(A50-$F$9)/12-6)))</f>
        <v/>
      </c>
      <c r="J50" s="306">
        <f>IF(A50&lt;$F$10,0,IF(AND($B$21=1,A50&gt;$B$19),0,$E$10*$G$10^MIN((A50-$F$10)/12,6)*MIN($G$10,0.85)^MAX(0,(A50-$F$10)/12-6)))</f>
        <v/>
      </c>
      <c r="K50" s="306">
        <f>IF(A50&lt;$F$11,0,IF(AND($B$21=1,A50&gt;$B$19),0,$E$11*$G$11^MIN((A50-$F$11)/12,6)*MIN($G$11,0.85)^MAX(0,(A50-$F$11)/12-6)))</f>
        <v/>
      </c>
      <c r="L50" s="306">
        <f>IF(A50&lt;$F$12,0,IF(AND($B$21=1,A50&gt;$B$19),0,$E$12*$G$12^MIN((A50-$F$12)/12,6)*MIN($G$12,0.85)^MAX(0,(A50-$F$12)/12-6)))</f>
        <v/>
      </c>
      <c r="M50" s="306">
        <f>IF(A50&lt;$F$13,0,IF(AND($B$21=1,A50&gt;$B$19),0,$E$13*$G$13^MIN((A50-$F$13)/12,6)*MIN($G$13,0.85)^MAX(0,(A50-$F$13)/12-6)))</f>
        <v/>
      </c>
      <c r="N50" s="306">
        <f>IF(A50&lt;$F$14,0,IF(AND($B$21=1,A50&gt;$B$19),0,$E$14*$G$14^MIN((A50-$F$14)/12,6)*MIN($G$14,0.85)^MAX(0,(A50-$F$14)/12-6)))</f>
        <v/>
      </c>
      <c r="O50" s="306">
        <f>SUM(F50:N50)</f>
        <v/>
      </c>
      <c r="P50" s="306">
        <f>O50/12</f>
        <v/>
      </c>
      <c r="Q50" s="306">
        <f>P50*$B$8</f>
        <v/>
      </c>
      <c r="R50" s="306">
        <f>P50*$B$9</f>
        <v/>
      </c>
      <c r="S50" s="306">
        <f>P50*$B$10</f>
        <v/>
      </c>
      <c r="T50" s="306">
        <f>P50-Q50-R50-S50-D50-E50</f>
        <v/>
      </c>
      <c r="U50" s="306">
        <f>MAX(0, T50 - $B$7*P50)</f>
        <v/>
      </c>
      <c r="V50" s="306">
        <f>T50-U50</f>
        <v/>
      </c>
      <c r="W50" s="306">
        <f>IF(A50=$F$6, $B$18*$B$16*$B$17/1000000, 0) + IF(A50=$F$7, $B$18*$B$16*$B$17/1000000, 0) + IF(A50=$F$8, $B$18*$B$16*$B$17/1000000, 0) + IF(A50=$F$9, $B$18*$B$16*$B$17/1000000, 0) + IF(A50=$F$10, $B$18*$B$16*$B$17/1000000, 0) + IF(A50=$F$11, $B$18*$B$16*$B$17/1000000, 0) + IF(A50=$F$12, $B$18*$B$16*$B$17/1000000, 0) + IF(A50=$F$13, $B$18*$B$16*$B$17/1000000, 0) + IF(A50=$F$14, $B$18*$B$16*$B$17/1000000, 0)</f>
        <v/>
      </c>
      <c r="X50" s="306">
        <f>V50-W50-C50</f>
        <v/>
      </c>
      <c r="Y50" s="306">
        <f>IF(AND(A50&lt;=$B$24, X50&gt;0), X50*$B$23, 0)</f>
        <v/>
      </c>
      <c r="Z50" s="306">
        <f>X50-Y50</f>
        <v/>
      </c>
      <c r="AA50" s="306">
        <f>IF(AND(A50=$B$19, $B$21=1), O50*$B$20, 0)</f>
        <v/>
      </c>
      <c r="AB50" s="306">
        <f>AB49+Z50+AA50</f>
        <v/>
      </c>
    </row>
    <row r="51">
      <c r="A51" s="306" t="n">
        <v>21</v>
      </c>
      <c r="B51" s="306">
        <f>CEILING(A51/12,1)</f>
        <v/>
      </c>
      <c r="C51" s="306">
        <f>IF(A51&lt;=12, $B$15/12, 0)</f>
        <v/>
      </c>
      <c r="D51" s="306">
        <f>INDEX('26. Team Comp'!$D$28:$R$28, B51) * 0.001 / 12</f>
        <v/>
      </c>
      <c r="E51" s="306">
        <f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+ (IF(MAX(0, A51 - $F$11 + 1)&lt;=0, 0, IF(MAX(0, A51 - $F$11 + 1)&lt;=6, 70 - (70-14)*(MAX(0, A51 - $F$11 + 1)-1)/5, IF(MAX(0, A51 - $F$11 + 1)&lt;=24, 14 - 14*(MAX(0, A51 - $F$11 + 1)-6)/18, 0)))) + (IF(MAX(0, A51 - $F$12 + 1)&lt;=0, 0, IF(MAX(0, A51 - $F$12 + 1)&lt;=6, 70 - (70-14)*(MAX(0, A51 - $F$12 + 1)-1)/5, IF(MAX(0, A51 - $F$12 + 1)&lt;=24, 14 - 14*(MAX(0, A51 - $F$12 + 1)-6)/18, 0)))) + (IF(MAX(0, A51 - $F$13 + 1)&lt;=0, 0, IF(MAX(0, A51 - $F$13 + 1)&lt;=6, 70 - (70-14)*(MAX(0, A51 - $F$13 + 1)-1)/5, IF(MAX(0, A51 - $F$13 + 1)&lt;=24, 14 - 14*(MAX(0, A51 - $F$13 + 1)-6)/18, 0)))) + (IF(MAX(0, A51 - $F$14 + 1)&lt;=0, 0, IF(MAX(0, A51 - $F$14 + 1)&lt;=6, 70 - (70-14)*(MAX(0, A51 - $F$14 + 1)-1)/5, IF(MAX(0, A51 - $F$14 + 1)&lt;=24, 14 - 14*(MAX(0, A51 - $F$14 + 1)-6)/18, 0)))) ) * 200 / 12 / 1000</f>
        <v/>
      </c>
      <c r="F51" s="306">
        <f>IF(A51&lt;$F$6,0,IF(AND($B$21=1,A51&gt;$B$19),0,$E$6*$G$6^MIN((A51-$F$6)/12,6)*MIN($G$6,0.85)^MAX(0,(A51-$F$6)/12-6)))</f>
        <v/>
      </c>
      <c r="G51" s="306">
        <f>IF(A51&lt;$F$7,0,IF(AND($B$21=1,A51&gt;$B$19),0,$E$7*$G$7^MIN((A51-$F$7)/12,6)*MIN($G$7,0.85)^MAX(0,(A51-$F$7)/12-6)))</f>
        <v/>
      </c>
      <c r="H51" s="306">
        <f>IF(A51&lt;$F$8,0,IF(AND($B$21=1,A51&gt;$B$19),0,$E$8*$G$8^MIN((A51-$F$8)/12,6)*MIN($G$8,0.85)^MAX(0,(A51-$F$8)/12-6)))</f>
        <v/>
      </c>
      <c r="I51" s="306">
        <f>IF(A51&lt;$F$9,0,IF(AND($B$21=1,A51&gt;$B$19),0,$E$9*$G$9^MIN((A51-$F$9)/12,6)*MIN($G$9,0.85)^MAX(0,(A51-$F$9)/12-6)))</f>
        <v/>
      </c>
      <c r="J51" s="306">
        <f>IF(A51&lt;$F$10,0,IF(AND($B$21=1,A51&gt;$B$19),0,$E$10*$G$10^MIN((A51-$F$10)/12,6)*MIN($G$10,0.85)^MAX(0,(A51-$F$10)/12-6)))</f>
        <v/>
      </c>
      <c r="K51" s="306">
        <f>IF(A51&lt;$F$11,0,IF(AND($B$21=1,A51&gt;$B$19),0,$E$11*$G$11^MIN((A51-$F$11)/12,6)*MIN($G$11,0.85)^MAX(0,(A51-$F$11)/12-6)))</f>
        <v/>
      </c>
      <c r="L51" s="306">
        <f>IF(A51&lt;$F$12,0,IF(AND($B$21=1,A51&gt;$B$19),0,$E$12*$G$12^MIN((A51-$F$12)/12,6)*MIN($G$12,0.85)^MAX(0,(A51-$F$12)/12-6)))</f>
        <v/>
      </c>
      <c r="M51" s="306">
        <f>IF(A51&lt;$F$13,0,IF(AND($B$21=1,A51&gt;$B$19),0,$E$13*$G$13^MIN((A51-$F$13)/12,6)*MIN($G$13,0.85)^MAX(0,(A51-$F$13)/12-6)))</f>
        <v/>
      </c>
      <c r="N51" s="306">
        <f>IF(A51&lt;$F$14,0,IF(AND($B$21=1,A51&gt;$B$19),0,$E$14*$G$14^MIN((A51-$F$14)/12,6)*MIN($G$14,0.85)^MAX(0,(A51-$F$14)/12-6)))</f>
        <v/>
      </c>
      <c r="O51" s="306">
        <f>SUM(F51:N51)</f>
        <v/>
      </c>
      <c r="P51" s="306">
        <f>O51/12</f>
        <v/>
      </c>
      <c r="Q51" s="306">
        <f>P51*$B$8</f>
        <v/>
      </c>
      <c r="R51" s="306">
        <f>P51*$B$9</f>
        <v/>
      </c>
      <c r="S51" s="306">
        <f>P51*$B$10</f>
        <v/>
      </c>
      <c r="T51" s="306">
        <f>P51-Q51-R51-S51-D51-E51</f>
        <v/>
      </c>
      <c r="U51" s="306">
        <f>MAX(0, T51 - $B$7*P51)</f>
        <v/>
      </c>
      <c r="V51" s="306">
        <f>T51-U51</f>
        <v/>
      </c>
      <c r="W51" s="306">
        <f>IF(A51=$F$6, $B$18*$B$16*$B$17/1000000, 0) + IF(A51=$F$7, $B$18*$B$16*$B$17/1000000, 0) + IF(A51=$F$8, $B$18*$B$16*$B$17/1000000, 0) + IF(A51=$F$9, $B$18*$B$16*$B$17/1000000, 0) + IF(A51=$F$10, $B$18*$B$16*$B$17/1000000, 0) + IF(A51=$F$11, $B$18*$B$16*$B$17/1000000, 0) + IF(A51=$F$12, $B$18*$B$16*$B$17/1000000, 0) + IF(A51=$F$13, $B$18*$B$16*$B$17/1000000, 0) + IF(A51=$F$14, $B$18*$B$16*$B$17/1000000, 0)</f>
        <v/>
      </c>
      <c r="X51" s="306">
        <f>V51-W51-C51</f>
        <v/>
      </c>
      <c r="Y51" s="306">
        <f>IF(AND(A51&lt;=$B$24, X51&gt;0), X51*$B$23, 0)</f>
        <v/>
      </c>
      <c r="Z51" s="306">
        <f>X51-Y51</f>
        <v/>
      </c>
      <c r="AA51" s="306">
        <f>IF(AND(A51=$B$19, $B$21=1), O51*$B$20, 0)</f>
        <v/>
      </c>
      <c r="AB51" s="306">
        <f>AB50+Z51+AA51</f>
        <v/>
      </c>
    </row>
    <row r="52">
      <c r="A52" s="306" t="n">
        <v>22</v>
      </c>
      <c r="B52" s="306">
        <f>CEILING(A52/12,1)</f>
        <v/>
      </c>
      <c r="C52" s="306">
        <f>IF(A52&lt;=12, $B$15/12, 0)</f>
        <v/>
      </c>
      <c r="D52" s="306">
        <f>INDEX('26. Team Comp'!$D$28:$R$28, B52) * 0.001 / 12</f>
        <v/>
      </c>
      <c r="E52" s="306">
        <f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+ (IF(MAX(0, A52 - $F$11 + 1)&lt;=0, 0, IF(MAX(0, A52 - $F$11 + 1)&lt;=6, 70 - (70-14)*(MAX(0, A52 - $F$11 + 1)-1)/5, IF(MAX(0, A52 - $F$11 + 1)&lt;=24, 14 - 14*(MAX(0, A52 - $F$11 + 1)-6)/18, 0)))) + (IF(MAX(0, A52 - $F$12 + 1)&lt;=0, 0, IF(MAX(0, A52 - $F$12 + 1)&lt;=6, 70 - (70-14)*(MAX(0, A52 - $F$12 + 1)-1)/5, IF(MAX(0, A52 - $F$12 + 1)&lt;=24, 14 - 14*(MAX(0, A52 - $F$12 + 1)-6)/18, 0)))) + (IF(MAX(0, A52 - $F$13 + 1)&lt;=0, 0, IF(MAX(0, A52 - $F$13 + 1)&lt;=6, 70 - (70-14)*(MAX(0, A52 - $F$13 + 1)-1)/5, IF(MAX(0, A52 - $F$13 + 1)&lt;=24, 14 - 14*(MAX(0, A52 - $F$13 + 1)-6)/18, 0)))) + (IF(MAX(0, A52 - $F$14 + 1)&lt;=0, 0, IF(MAX(0, A52 - $F$14 + 1)&lt;=6, 70 - (70-14)*(MAX(0, A52 - $F$14 + 1)-1)/5, IF(MAX(0, A52 - $F$14 + 1)&lt;=24, 14 - 14*(MAX(0, A52 - $F$14 + 1)-6)/18, 0)))) ) * 200 / 12 / 1000</f>
        <v/>
      </c>
      <c r="F52" s="306">
        <f>IF(A52&lt;$F$6,0,IF(AND($B$21=1,A52&gt;$B$19),0,$E$6*$G$6^MIN((A52-$F$6)/12,6)*MIN($G$6,0.85)^MAX(0,(A52-$F$6)/12-6)))</f>
        <v/>
      </c>
      <c r="G52" s="306">
        <f>IF(A52&lt;$F$7,0,IF(AND($B$21=1,A52&gt;$B$19),0,$E$7*$G$7^MIN((A52-$F$7)/12,6)*MIN($G$7,0.85)^MAX(0,(A52-$F$7)/12-6)))</f>
        <v/>
      </c>
      <c r="H52" s="306">
        <f>IF(A52&lt;$F$8,0,IF(AND($B$21=1,A52&gt;$B$19),0,$E$8*$G$8^MIN((A52-$F$8)/12,6)*MIN($G$8,0.85)^MAX(0,(A52-$F$8)/12-6)))</f>
        <v/>
      </c>
      <c r="I52" s="306">
        <f>IF(A52&lt;$F$9,0,IF(AND($B$21=1,A52&gt;$B$19),0,$E$9*$G$9^MIN((A52-$F$9)/12,6)*MIN($G$9,0.85)^MAX(0,(A52-$F$9)/12-6)))</f>
        <v/>
      </c>
      <c r="J52" s="306">
        <f>IF(A52&lt;$F$10,0,IF(AND($B$21=1,A52&gt;$B$19),0,$E$10*$G$10^MIN((A52-$F$10)/12,6)*MIN($G$10,0.85)^MAX(0,(A52-$F$10)/12-6)))</f>
        <v/>
      </c>
      <c r="K52" s="306">
        <f>IF(A52&lt;$F$11,0,IF(AND($B$21=1,A52&gt;$B$19),0,$E$11*$G$11^MIN((A52-$F$11)/12,6)*MIN($G$11,0.85)^MAX(0,(A52-$F$11)/12-6)))</f>
        <v/>
      </c>
      <c r="L52" s="306">
        <f>IF(A52&lt;$F$12,0,IF(AND($B$21=1,A52&gt;$B$19),0,$E$12*$G$12^MIN((A52-$F$12)/12,6)*MIN($G$12,0.85)^MAX(0,(A52-$F$12)/12-6)))</f>
        <v/>
      </c>
      <c r="M52" s="306">
        <f>IF(A52&lt;$F$13,0,IF(AND($B$21=1,A52&gt;$B$19),0,$E$13*$G$13^MIN((A52-$F$13)/12,6)*MIN($G$13,0.85)^MAX(0,(A52-$F$13)/12-6)))</f>
        <v/>
      </c>
      <c r="N52" s="306">
        <f>IF(A52&lt;$F$14,0,IF(AND($B$21=1,A52&gt;$B$19),0,$E$14*$G$14^MIN((A52-$F$14)/12,6)*MIN($G$14,0.85)^MAX(0,(A52-$F$14)/12-6)))</f>
        <v/>
      </c>
      <c r="O52" s="306">
        <f>SUM(F52:N52)</f>
        <v/>
      </c>
      <c r="P52" s="306">
        <f>O52/12</f>
        <v/>
      </c>
      <c r="Q52" s="306">
        <f>P52*$B$8</f>
        <v/>
      </c>
      <c r="R52" s="306">
        <f>P52*$B$9</f>
        <v/>
      </c>
      <c r="S52" s="306">
        <f>P52*$B$10</f>
        <v/>
      </c>
      <c r="T52" s="306">
        <f>P52-Q52-R52-S52-D52-E52</f>
        <v/>
      </c>
      <c r="U52" s="306">
        <f>MAX(0, T52 - $B$7*P52)</f>
        <v/>
      </c>
      <c r="V52" s="306">
        <f>T52-U52</f>
        <v/>
      </c>
      <c r="W52" s="306">
        <f>IF(A52=$F$6, $B$18*$B$16*$B$17/1000000, 0) + IF(A52=$F$7, $B$18*$B$16*$B$17/1000000, 0) + IF(A52=$F$8, $B$18*$B$16*$B$17/1000000, 0) + IF(A52=$F$9, $B$18*$B$16*$B$17/1000000, 0) + IF(A52=$F$10, $B$18*$B$16*$B$17/1000000, 0) + IF(A52=$F$11, $B$18*$B$16*$B$17/1000000, 0) + IF(A52=$F$12, $B$18*$B$16*$B$17/1000000, 0) + IF(A52=$F$13, $B$18*$B$16*$B$17/1000000, 0) + IF(A52=$F$14, $B$18*$B$16*$B$17/1000000, 0)</f>
        <v/>
      </c>
      <c r="X52" s="306">
        <f>V52-W52-C52</f>
        <v/>
      </c>
      <c r="Y52" s="306">
        <f>IF(AND(A52&lt;=$B$24, X52&gt;0), X52*$B$23, 0)</f>
        <v/>
      </c>
      <c r="Z52" s="306">
        <f>X52-Y52</f>
        <v/>
      </c>
      <c r="AA52" s="306">
        <f>IF(AND(A52=$B$19, $B$21=1), O52*$B$20, 0)</f>
        <v/>
      </c>
      <c r="AB52" s="306">
        <f>AB51+Z52+AA52</f>
        <v/>
      </c>
    </row>
    <row r="53">
      <c r="A53" s="306" t="n">
        <v>23</v>
      </c>
      <c r="B53" s="306">
        <f>CEILING(A53/12,1)</f>
        <v/>
      </c>
      <c r="C53" s="306">
        <f>IF(A53&lt;=12, $B$15/12, 0)</f>
        <v/>
      </c>
      <c r="D53" s="306">
        <f>INDEX('26. Team Comp'!$D$28:$R$28, B53) * 0.001 / 12</f>
        <v/>
      </c>
      <c r="E53" s="306">
        <f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+ (IF(MAX(0, A53 - $F$11 + 1)&lt;=0, 0, IF(MAX(0, A53 - $F$11 + 1)&lt;=6, 70 - (70-14)*(MAX(0, A53 - $F$11 + 1)-1)/5, IF(MAX(0, A53 - $F$11 + 1)&lt;=24, 14 - 14*(MAX(0, A53 - $F$11 + 1)-6)/18, 0)))) + (IF(MAX(0, A53 - $F$12 + 1)&lt;=0, 0, IF(MAX(0, A53 - $F$12 + 1)&lt;=6, 70 - (70-14)*(MAX(0, A53 - $F$12 + 1)-1)/5, IF(MAX(0, A53 - $F$12 + 1)&lt;=24, 14 - 14*(MAX(0, A53 - $F$12 + 1)-6)/18, 0)))) + (IF(MAX(0, A53 - $F$13 + 1)&lt;=0, 0, IF(MAX(0, A53 - $F$13 + 1)&lt;=6, 70 - (70-14)*(MAX(0, A53 - $F$13 + 1)-1)/5, IF(MAX(0, A53 - $F$13 + 1)&lt;=24, 14 - 14*(MAX(0, A53 - $F$13 + 1)-6)/18, 0)))) + (IF(MAX(0, A53 - $F$14 + 1)&lt;=0, 0, IF(MAX(0, A53 - $F$14 + 1)&lt;=6, 70 - (70-14)*(MAX(0, A53 - $F$14 + 1)-1)/5, IF(MAX(0, A53 - $F$14 + 1)&lt;=24, 14 - 14*(MAX(0, A53 - $F$14 + 1)-6)/18, 0)))) ) * 200 / 12 / 1000</f>
        <v/>
      </c>
      <c r="F53" s="306">
        <f>IF(A53&lt;$F$6,0,IF(AND($B$21=1,A53&gt;$B$19),0,$E$6*$G$6^MIN((A53-$F$6)/12,6)*MIN($G$6,0.85)^MAX(0,(A53-$F$6)/12-6)))</f>
        <v/>
      </c>
      <c r="G53" s="306">
        <f>IF(A53&lt;$F$7,0,IF(AND($B$21=1,A53&gt;$B$19),0,$E$7*$G$7^MIN((A53-$F$7)/12,6)*MIN($G$7,0.85)^MAX(0,(A53-$F$7)/12-6)))</f>
        <v/>
      </c>
      <c r="H53" s="306">
        <f>IF(A53&lt;$F$8,0,IF(AND($B$21=1,A53&gt;$B$19),0,$E$8*$G$8^MIN((A53-$F$8)/12,6)*MIN($G$8,0.85)^MAX(0,(A53-$F$8)/12-6)))</f>
        <v/>
      </c>
      <c r="I53" s="306">
        <f>IF(A53&lt;$F$9,0,IF(AND($B$21=1,A53&gt;$B$19),0,$E$9*$G$9^MIN((A53-$F$9)/12,6)*MIN($G$9,0.85)^MAX(0,(A53-$F$9)/12-6)))</f>
        <v/>
      </c>
      <c r="J53" s="306">
        <f>IF(A53&lt;$F$10,0,IF(AND($B$21=1,A53&gt;$B$19),0,$E$10*$G$10^MIN((A53-$F$10)/12,6)*MIN($G$10,0.85)^MAX(0,(A53-$F$10)/12-6)))</f>
        <v/>
      </c>
      <c r="K53" s="306">
        <f>IF(A53&lt;$F$11,0,IF(AND($B$21=1,A53&gt;$B$19),0,$E$11*$G$11^MIN((A53-$F$11)/12,6)*MIN($G$11,0.85)^MAX(0,(A53-$F$11)/12-6)))</f>
        <v/>
      </c>
      <c r="L53" s="306">
        <f>IF(A53&lt;$F$12,0,IF(AND($B$21=1,A53&gt;$B$19),0,$E$12*$G$12^MIN((A53-$F$12)/12,6)*MIN($G$12,0.85)^MAX(0,(A53-$F$12)/12-6)))</f>
        <v/>
      </c>
      <c r="M53" s="306">
        <f>IF(A53&lt;$F$13,0,IF(AND($B$21=1,A53&gt;$B$19),0,$E$13*$G$13^MIN((A53-$F$13)/12,6)*MIN($G$13,0.85)^MAX(0,(A53-$F$13)/12-6)))</f>
        <v/>
      </c>
      <c r="N53" s="306">
        <f>IF(A53&lt;$F$14,0,IF(AND($B$21=1,A53&gt;$B$19),0,$E$14*$G$14^MIN((A53-$F$14)/12,6)*MIN($G$14,0.85)^MAX(0,(A53-$F$14)/12-6)))</f>
        <v/>
      </c>
      <c r="O53" s="306">
        <f>SUM(F53:N53)</f>
        <v/>
      </c>
      <c r="P53" s="306">
        <f>O53/12</f>
        <v/>
      </c>
      <c r="Q53" s="306">
        <f>P53*$B$8</f>
        <v/>
      </c>
      <c r="R53" s="306">
        <f>P53*$B$9</f>
        <v/>
      </c>
      <c r="S53" s="306">
        <f>P53*$B$10</f>
        <v/>
      </c>
      <c r="T53" s="306">
        <f>P53-Q53-R53-S53-D53-E53</f>
        <v/>
      </c>
      <c r="U53" s="306">
        <f>MAX(0, T53 - $B$7*P53)</f>
        <v/>
      </c>
      <c r="V53" s="306">
        <f>T53-U53</f>
        <v/>
      </c>
      <c r="W53" s="306">
        <f>IF(A53=$F$6, $B$18*$B$16*$B$17/1000000, 0) + IF(A53=$F$7, $B$18*$B$16*$B$17/1000000, 0) + IF(A53=$F$8, $B$18*$B$16*$B$17/1000000, 0) + IF(A53=$F$9, $B$18*$B$16*$B$17/1000000, 0) + IF(A53=$F$10, $B$18*$B$16*$B$17/1000000, 0) + IF(A53=$F$11, $B$18*$B$16*$B$17/1000000, 0) + IF(A53=$F$12, $B$18*$B$16*$B$17/1000000, 0) + IF(A53=$F$13, $B$18*$B$16*$B$17/1000000, 0) + IF(A53=$F$14, $B$18*$B$16*$B$17/1000000, 0)</f>
        <v/>
      </c>
      <c r="X53" s="306">
        <f>V53-W53-C53</f>
        <v/>
      </c>
      <c r="Y53" s="306">
        <f>IF(AND(A53&lt;=$B$24, X53&gt;0), X53*$B$23, 0)</f>
        <v/>
      </c>
      <c r="Z53" s="306">
        <f>X53-Y53</f>
        <v/>
      </c>
      <c r="AA53" s="306">
        <f>IF(AND(A53=$B$19, $B$21=1), O53*$B$20, 0)</f>
        <v/>
      </c>
      <c r="AB53" s="306">
        <f>AB52+Z53+AA53</f>
        <v/>
      </c>
    </row>
    <row r="54">
      <c r="A54" s="306" t="n">
        <v>24</v>
      </c>
      <c r="B54" s="306">
        <f>CEILING(A54/12,1)</f>
        <v/>
      </c>
      <c r="C54" s="306">
        <f>IF(A54&lt;=12, $B$15/12, 0)</f>
        <v/>
      </c>
      <c r="D54" s="306">
        <f>INDEX('26. Team Comp'!$D$28:$R$28, B54) * 0.001 / 12</f>
        <v/>
      </c>
      <c r="E54" s="306">
        <f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+ (IF(MAX(0, A54 - $F$11 + 1)&lt;=0, 0, IF(MAX(0, A54 - $F$11 + 1)&lt;=6, 70 - (70-14)*(MAX(0, A54 - $F$11 + 1)-1)/5, IF(MAX(0, A54 - $F$11 + 1)&lt;=24, 14 - 14*(MAX(0, A54 - $F$11 + 1)-6)/18, 0)))) + (IF(MAX(0, A54 - $F$12 + 1)&lt;=0, 0, IF(MAX(0, A54 - $F$12 + 1)&lt;=6, 70 - (70-14)*(MAX(0, A54 - $F$12 + 1)-1)/5, IF(MAX(0, A54 - $F$12 + 1)&lt;=24, 14 - 14*(MAX(0, A54 - $F$12 + 1)-6)/18, 0)))) + (IF(MAX(0, A54 - $F$13 + 1)&lt;=0, 0, IF(MAX(0, A54 - $F$13 + 1)&lt;=6, 70 - (70-14)*(MAX(0, A54 - $F$13 + 1)-1)/5, IF(MAX(0, A54 - $F$13 + 1)&lt;=24, 14 - 14*(MAX(0, A54 - $F$13 + 1)-6)/18, 0)))) + (IF(MAX(0, A54 - $F$14 + 1)&lt;=0, 0, IF(MAX(0, A54 - $F$14 + 1)&lt;=6, 70 - (70-14)*(MAX(0, A54 - $F$14 + 1)-1)/5, IF(MAX(0, A54 - $F$14 + 1)&lt;=24, 14 - 14*(MAX(0, A54 - $F$14 + 1)-6)/18, 0)))) ) * 200 / 12 / 1000</f>
        <v/>
      </c>
      <c r="F54" s="306">
        <f>IF(A54&lt;$F$6,0,IF(AND($B$21=1,A54&gt;$B$19),0,$E$6*$G$6^MIN((A54-$F$6)/12,6)*MIN($G$6,0.85)^MAX(0,(A54-$F$6)/12-6)))</f>
        <v/>
      </c>
      <c r="G54" s="306">
        <f>IF(A54&lt;$F$7,0,IF(AND($B$21=1,A54&gt;$B$19),0,$E$7*$G$7^MIN((A54-$F$7)/12,6)*MIN($G$7,0.85)^MAX(0,(A54-$F$7)/12-6)))</f>
        <v/>
      </c>
      <c r="H54" s="306">
        <f>IF(A54&lt;$F$8,0,IF(AND($B$21=1,A54&gt;$B$19),0,$E$8*$G$8^MIN((A54-$F$8)/12,6)*MIN($G$8,0.85)^MAX(0,(A54-$F$8)/12-6)))</f>
        <v/>
      </c>
      <c r="I54" s="306">
        <f>IF(A54&lt;$F$9,0,IF(AND($B$21=1,A54&gt;$B$19),0,$E$9*$G$9^MIN((A54-$F$9)/12,6)*MIN($G$9,0.85)^MAX(0,(A54-$F$9)/12-6)))</f>
        <v/>
      </c>
      <c r="J54" s="306">
        <f>IF(A54&lt;$F$10,0,IF(AND($B$21=1,A54&gt;$B$19),0,$E$10*$G$10^MIN((A54-$F$10)/12,6)*MIN($G$10,0.85)^MAX(0,(A54-$F$10)/12-6)))</f>
        <v/>
      </c>
      <c r="K54" s="306">
        <f>IF(A54&lt;$F$11,0,IF(AND($B$21=1,A54&gt;$B$19),0,$E$11*$G$11^MIN((A54-$F$11)/12,6)*MIN($G$11,0.85)^MAX(0,(A54-$F$11)/12-6)))</f>
        <v/>
      </c>
      <c r="L54" s="306">
        <f>IF(A54&lt;$F$12,0,IF(AND($B$21=1,A54&gt;$B$19),0,$E$12*$G$12^MIN((A54-$F$12)/12,6)*MIN($G$12,0.85)^MAX(0,(A54-$F$12)/12-6)))</f>
        <v/>
      </c>
      <c r="M54" s="306">
        <f>IF(A54&lt;$F$13,0,IF(AND($B$21=1,A54&gt;$B$19),0,$E$13*$G$13^MIN((A54-$F$13)/12,6)*MIN($G$13,0.85)^MAX(0,(A54-$F$13)/12-6)))</f>
        <v/>
      </c>
      <c r="N54" s="306">
        <f>IF(A54&lt;$F$14,0,IF(AND($B$21=1,A54&gt;$B$19),0,$E$14*$G$14^MIN((A54-$F$14)/12,6)*MIN($G$14,0.85)^MAX(0,(A54-$F$14)/12-6)))</f>
        <v/>
      </c>
      <c r="O54" s="306">
        <f>SUM(F54:N54)</f>
        <v/>
      </c>
      <c r="P54" s="306">
        <f>O54/12</f>
        <v/>
      </c>
      <c r="Q54" s="306">
        <f>P54*$B$8</f>
        <v/>
      </c>
      <c r="R54" s="306">
        <f>P54*$B$9</f>
        <v/>
      </c>
      <c r="S54" s="306">
        <f>P54*$B$10</f>
        <v/>
      </c>
      <c r="T54" s="306">
        <f>P54-Q54-R54-S54-D54-E54</f>
        <v/>
      </c>
      <c r="U54" s="306">
        <f>MAX(0, T54 - $B$7*P54)</f>
        <v/>
      </c>
      <c r="V54" s="306">
        <f>T54-U54</f>
        <v/>
      </c>
      <c r="W54" s="306">
        <f>IF(A54=$F$6, $B$18*$B$16*$B$17/1000000, 0) + IF(A54=$F$7, $B$18*$B$16*$B$17/1000000, 0) + IF(A54=$F$8, $B$18*$B$16*$B$17/1000000, 0) + IF(A54=$F$9, $B$18*$B$16*$B$17/1000000, 0) + IF(A54=$F$10, $B$18*$B$16*$B$17/1000000, 0) + IF(A54=$F$11, $B$18*$B$16*$B$17/1000000, 0) + IF(A54=$F$12, $B$18*$B$16*$B$17/1000000, 0) + IF(A54=$F$13, $B$18*$B$16*$B$17/1000000, 0) + IF(A54=$F$14, $B$18*$B$16*$B$17/1000000, 0)</f>
        <v/>
      </c>
      <c r="X54" s="306">
        <f>V54-W54-C54</f>
        <v/>
      </c>
      <c r="Y54" s="306">
        <f>IF(AND(A54&lt;=$B$24, X54&gt;0), X54*$B$23, 0)</f>
        <v/>
      </c>
      <c r="Z54" s="306">
        <f>X54-Y54</f>
        <v/>
      </c>
      <c r="AA54" s="306">
        <f>IF(AND(A54=$B$19, $B$21=1), O54*$B$20, 0)</f>
        <v/>
      </c>
      <c r="AB54" s="306">
        <f>AB53+Z54+AA54</f>
        <v/>
      </c>
    </row>
    <row r="55">
      <c r="A55" s="306" t="n">
        <v>25</v>
      </c>
      <c r="B55" s="306">
        <f>CEILING(A55/12,1)</f>
        <v/>
      </c>
      <c r="C55" s="306">
        <f>IF(A55&lt;=12, $B$15/12, 0)</f>
        <v/>
      </c>
      <c r="D55" s="306">
        <f>INDEX('26. Team Comp'!$D$28:$R$28, B55) * 0.001 / 12</f>
        <v/>
      </c>
      <c r="E55" s="306">
        <f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+ (IF(MAX(0, A55 - $F$11 + 1)&lt;=0, 0, IF(MAX(0, A55 - $F$11 + 1)&lt;=6, 70 - (70-14)*(MAX(0, A55 - $F$11 + 1)-1)/5, IF(MAX(0, A55 - $F$11 + 1)&lt;=24, 14 - 14*(MAX(0, A55 - $F$11 + 1)-6)/18, 0)))) + (IF(MAX(0, A55 - $F$12 + 1)&lt;=0, 0, IF(MAX(0, A55 - $F$12 + 1)&lt;=6, 70 - (70-14)*(MAX(0, A55 - $F$12 + 1)-1)/5, IF(MAX(0, A55 - $F$12 + 1)&lt;=24, 14 - 14*(MAX(0, A55 - $F$12 + 1)-6)/18, 0)))) + (IF(MAX(0, A55 - $F$13 + 1)&lt;=0, 0, IF(MAX(0, A55 - $F$13 + 1)&lt;=6, 70 - (70-14)*(MAX(0, A55 - $F$13 + 1)-1)/5, IF(MAX(0, A55 - $F$13 + 1)&lt;=24, 14 - 14*(MAX(0, A55 - $F$13 + 1)-6)/18, 0)))) + (IF(MAX(0, A55 - $F$14 + 1)&lt;=0, 0, IF(MAX(0, A55 - $F$14 + 1)&lt;=6, 70 - (70-14)*(MAX(0, A55 - $F$14 + 1)-1)/5, IF(MAX(0, A55 - $F$14 + 1)&lt;=24, 14 - 14*(MAX(0, A55 - $F$14 + 1)-6)/18, 0)))) ) * 200 / 12 / 1000</f>
        <v/>
      </c>
      <c r="F55" s="306">
        <f>IF(A55&lt;$F$6,0,IF(AND($B$21=1,A55&gt;$B$19),0,$E$6*$G$6^MIN((A55-$F$6)/12,6)*MIN($G$6,0.85)^MAX(0,(A55-$F$6)/12-6)))</f>
        <v/>
      </c>
      <c r="G55" s="306">
        <f>IF(A55&lt;$F$7,0,IF(AND($B$21=1,A55&gt;$B$19),0,$E$7*$G$7^MIN((A55-$F$7)/12,6)*MIN($G$7,0.85)^MAX(0,(A55-$F$7)/12-6)))</f>
        <v/>
      </c>
      <c r="H55" s="306">
        <f>IF(A55&lt;$F$8,0,IF(AND($B$21=1,A55&gt;$B$19),0,$E$8*$G$8^MIN((A55-$F$8)/12,6)*MIN($G$8,0.85)^MAX(0,(A55-$F$8)/12-6)))</f>
        <v/>
      </c>
      <c r="I55" s="306">
        <f>IF(A55&lt;$F$9,0,IF(AND($B$21=1,A55&gt;$B$19),0,$E$9*$G$9^MIN((A55-$F$9)/12,6)*MIN($G$9,0.85)^MAX(0,(A55-$F$9)/12-6)))</f>
        <v/>
      </c>
      <c r="J55" s="306">
        <f>IF(A55&lt;$F$10,0,IF(AND($B$21=1,A55&gt;$B$19),0,$E$10*$G$10^MIN((A55-$F$10)/12,6)*MIN($G$10,0.85)^MAX(0,(A55-$F$10)/12-6)))</f>
        <v/>
      </c>
      <c r="K55" s="306">
        <f>IF(A55&lt;$F$11,0,IF(AND($B$21=1,A55&gt;$B$19),0,$E$11*$G$11^MIN((A55-$F$11)/12,6)*MIN($G$11,0.85)^MAX(0,(A55-$F$11)/12-6)))</f>
        <v/>
      </c>
      <c r="L55" s="306">
        <f>IF(A55&lt;$F$12,0,IF(AND($B$21=1,A55&gt;$B$19),0,$E$12*$G$12^MIN((A55-$F$12)/12,6)*MIN($G$12,0.85)^MAX(0,(A55-$F$12)/12-6)))</f>
        <v/>
      </c>
      <c r="M55" s="306">
        <f>IF(A55&lt;$F$13,0,IF(AND($B$21=1,A55&gt;$B$19),0,$E$13*$G$13^MIN((A55-$F$13)/12,6)*MIN($G$13,0.85)^MAX(0,(A55-$F$13)/12-6)))</f>
        <v/>
      </c>
      <c r="N55" s="306">
        <f>IF(A55&lt;$F$14,0,IF(AND($B$21=1,A55&gt;$B$19),0,$E$14*$G$14^MIN((A55-$F$14)/12,6)*MIN($G$14,0.85)^MAX(0,(A55-$F$14)/12-6)))</f>
        <v/>
      </c>
      <c r="O55" s="306">
        <f>SUM(F55:N55)</f>
        <v/>
      </c>
      <c r="P55" s="306">
        <f>O55/12</f>
        <v/>
      </c>
      <c r="Q55" s="306">
        <f>P55*$B$8</f>
        <v/>
      </c>
      <c r="R55" s="306">
        <f>P55*$B$9</f>
        <v/>
      </c>
      <c r="S55" s="306">
        <f>P55*$B$10</f>
        <v/>
      </c>
      <c r="T55" s="306">
        <f>P55-Q55-R55-S55-D55-E55</f>
        <v/>
      </c>
      <c r="U55" s="306">
        <f>MAX(0, T55 - $B$7*P55)</f>
        <v/>
      </c>
      <c r="V55" s="306">
        <f>T55-U55</f>
        <v/>
      </c>
      <c r="W55" s="306">
        <f>IF(A55=$F$6, $B$18*$B$16*$B$17/1000000, 0) + IF(A55=$F$7, $B$18*$B$16*$B$17/1000000, 0) + IF(A55=$F$8, $B$18*$B$16*$B$17/1000000, 0) + IF(A55=$F$9, $B$18*$B$16*$B$17/1000000, 0) + IF(A55=$F$10, $B$18*$B$16*$B$17/1000000, 0) + IF(A55=$F$11, $B$18*$B$16*$B$17/1000000, 0) + IF(A55=$F$12, $B$18*$B$16*$B$17/1000000, 0) + IF(A55=$F$13, $B$18*$B$16*$B$17/1000000, 0) + IF(A55=$F$14, $B$18*$B$16*$B$17/1000000, 0)</f>
        <v/>
      </c>
      <c r="X55" s="306">
        <f>V55-W55-C55</f>
        <v/>
      </c>
      <c r="Y55" s="306">
        <f>IF(AND(A55&lt;=$B$24, X55&gt;0), X55*$B$23, 0)</f>
        <v/>
      </c>
      <c r="Z55" s="306">
        <f>X55-Y55</f>
        <v/>
      </c>
      <c r="AA55" s="306">
        <f>IF(AND(A55=$B$19, $B$21=1), O55*$B$20, 0)</f>
        <v/>
      </c>
      <c r="AB55" s="306">
        <f>AB54+Z55+AA55</f>
        <v/>
      </c>
    </row>
    <row r="56">
      <c r="A56" s="306" t="n">
        <v>26</v>
      </c>
      <c r="B56" s="306">
        <f>CEILING(A56/12,1)</f>
        <v/>
      </c>
      <c r="C56" s="306">
        <f>IF(A56&lt;=12, $B$15/12, 0)</f>
        <v/>
      </c>
      <c r="D56" s="306">
        <f>INDEX('26. Team Comp'!$D$28:$R$28, B56) * 0.001 / 12</f>
        <v/>
      </c>
      <c r="E56" s="306">
        <f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+ (IF(MAX(0, A56 - $F$11 + 1)&lt;=0, 0, IF(MAX(0, A56 - $F$11 + 1)&lt;=6, 70 - (70-14)*(MAX(0, A56 - $F$11 + 1)-1)/5, IF(MAX(0, A56 - $F$11 + 1)&lt;=24, 14 - 14*(MAX(0, A56 - $F$11 + 1)-6)/18, 0)))) + (IF(MAX(0, A56 - $F$12 + 1)&lt;=0, 0, IF(MAX(0, A56 - $F$12 + 1)&lt;=6, 70 - (70-14)*(MAX(0, A56 - $F$12 + 1)-1)/5, IF(MAX(0, A56 - $F$12 + 1)&lt;=24, 14 - 14*(MAX(0, A56 - $F$12 + 1)-6)/18, 0)))) + (IF(MAX(0, A56 - $F$13 + 1)&lt;=0, 0, IF(MAX(0, A56 - $F$13 + 1)&lt;=6, 70 - (70-14)*(MAX(0, A56 - $F$13 + 1)-1)/5, IF(MAX(0, A56 - $F$13 + 1)&lt;=24, 14 - 14*(MAX(0, A56 - $F$13 + 1)-6)/18, 0)))) + (IF(MAX(0, A56 - $F$14 + 1)&lt;=0, 0, IF(MAX(0, A56 - $F$14 + 1)&lt;=6, 70 - (70-14)*(MAX(0, A56 - $F$14 + 1)-1)/5, IF(MAX(0, A56 - $F$14 + 1)&lt;=24, 14 - 14*(MAX(0, A56 - $F$14 + 1)-6)/18, 0)))) ) * 200 / 12 / 1000</f>
        <v/>
      </c>
      <c r="F56" s="306">
        <f>IF(A56&lt;$F$6,0,IF(AND($B$21=1,A56&gt;$B$19),0,$E$6*$G$6^MIN((A56-$F$6)/12,6)*MIN($G$6,0.85)^MAX(0,(A56-$F$6)/12-6)))</f>
        <v/>
      </c>
      <c r="G56" s="306">
        <f>IF(A56&lt;$F$7,0,IF(AND($B$21=1,A56&gt;$B$19),0,$E$7*$G$7^MIN((A56-$F$7)/12,6)*MIN($G$7,0.85)^MAX(0,(A56-$F$7)/12-6)))</f>
        <v/>
      </c>
      <c r="H56" s="306">
        <f>IF(A56&lt;$F$8,0,IF(AND($B$21=1,A56&gt;$B$19),0,$E$8*$G$8^MIN((A56-$F$8)/12,6)*MIN($G$8,0.85)^MAX(0,(A56-$F$8)/12-6)))</f>
        <v/>
      </c>
      <c r="I56" s="306">
        <f>IF(A56&lt;$F$9,0,IF(AND($B$21=1,A56&gt;$B$19),0,$E$9*$G$9^MIN((A56-$F$9)/12,6)*MIN($G$9,0.85)^MAX(0,(A56-$F$9)/12-6)))</f>
        <v/>
      </c>
      <c r="J56" s="306">
        <f>IF(A56&lt;$F$10,0,IF(AND($B$21=1,A56&gt;$B$19),0,$E$10*$G$10^MIN((A56-$F$10)/12,6)*MIN($G$10,0.85)^MAX(0,(A56-$F$10)/12-6)))</f>
        <v/>
      </c>
      <c r="K56" s="306">
        <f>IF(A56&lt;$F$11,0,IF(AND($B$21=1,A56&gt;$B$19),0,$E$11*$G$11^MIN((A56-$F$11)/12,6)*MIN($G$11,0.85)^MAX(0,(A56-$F$11)/12-6)))</f>
        <v/>
      </c>
      <c r="L56" s="306">
        <f>IF(A56&lt;$F$12,0,IF(AND($B$21=1,A56&gt;$B$19),0,$E$12*$G$12^MIN((A56-$F$12)/12,6)*MIN($G$12,0.85)^MAX(0,(A56-$F$12)/12-6)))</f>
        <v/>
      </c>
      <c r="M56" s="306">
        <f>IF(A56&lt;$F$13,0,IF(AND($B$21=1,A56&gt;$B$19),0,$E$13*$G$13^MIN((A56-$F$13)/12,6)*MIN($G$13,0.85)^MAX(0,(A56-$F$13)/12-6)))</f>
        <v/>
      </c>
      <c r="N56" s="306">
        <f>IF(A56&lt;$F$14,0,IF(AND($B$21=1,A56&gt;$B$19),0,$E$14*$G$14^MIN((A56-$F$14)/12,6)*MIN($G$14,0.85)^MAX(0,(A56-$F$14)/12-6)))</f>
        <v/>
      </c>
      <c r="O56" s="306">
        <f>SUM(F56:N56)</f>
        <v/>
      </c>
      <c r="P56" s="306">
        <f>O56/12</f>
        <v/>
      </c>
      <c r="Q56" s="306">
        <f>P56*$B$8</f>
        <v/>
      </c>
      <c r="R56" s="306">
        <f>P56*$B$9</f>
        <v/>
      </c>
      <c r="S56" s="306">
        <f>P56*$B$10</f>
        <v/>
      </c>
      <c r="T56" s="306">
        <f>P56-Q56-R56-S56-D56-E56</f>
        <v/>
      </c>
      <c r="U56" s="306">
        <f>MAX(0, T56 - $B$7*P56)</f>
        <v/>
      </c>
      <c r="V56" s="306">
        <f>T56-U56</f>
        <v/>
      </c>
      <c r="W56" s="306">
        <f>IF(A56=$F$6, $B$18*$B$16*$B$17/1000000, 0) + IF(A56=$F$7, $B$18*$B$16*$B$17/1000000, 0) + IF(A56=$F$8, $B$18*$B$16*$B$17/1000000, 0) + IF(A56=$F$9, $B$18*$B$16*$B$17/1000000, 0) + IF(A56=$F$10, $B$18*$B$16*$B$17/1000000, 0) + IF(A56=$F$11, $B$18*$B$16*$B$17/1000000, 0) + IF(A56=$F$12, $B$18*$B$16*$B$17/1000000, 0) + IF(A56=$F$13, $B$18*$B$16*$B$17/1000000, 0) + IF(A56=$F$14, $B$18*$B$16*$B$17/1000000, 0)</f>
        <v/>
      </c>
      <c r="X56" s="306">
        <f>V56-W56-C56</f>
        <v/>
      </c>
      <c r="Y56" s="306">
        <f>IF(AND(A56&lt;=$B$24, X56&gt;0), X56*$B$23, 0)</f>
        <v/>
      </c>
      <c r="Z56" s="306">
        <f>X56-Y56</f>
        <v/>
      </c>
      <c r="AA56" s="306">
        <f>IF(AND(A56=$B$19, $B$21=1), O56*$B$20, 0)</f>
        <v/>
      </c>
      <c r="AB56" s="306">
        <f>AB55+Z56+AA56</f>
        <v/>
      </c>
    </row>
    <row r="57">
      <c r="A57" s="306" t="n">
        <v>27</v>
      </c>
      <c r="B57" s="306">
        <f>CEILING(A57/12,1)</f>
        <v/>
      </c>
      <c r="C57" s="306">
        <f>IF(A57&lt;=12, $B$15/12, 0)</f>
        <v/>
      </c>
      <c r="D57" s="306">
        <f>INDEX('26. Team Comp'!$D$28:$R$28, B57) * 0.001 / 12</f>
        <v/>
      </c>
      <c r="E57" s="306">
        <f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+ (IF(MAX(0, A57 - $F$11 + 1)&lt;=0, 0, IF(MAX(0, A57 - $F$11 + 1)&lt;=6, 70 - (70-14)*(MAX(0, A57 - $F$11 + 1)-1)/5, IF(MAX(0, A57 - $F$11 + 1)&lt;=24, 14 - 14*(MAX(0, A57 - $F$11 + 1)-6)/18, 0)))) + (IF(MAX(0, A57 - $F$12 + 1)&lt;=0, 0, IF(MAX(0, A57 - $F$12 + 1)&lt;=6, 70 - (70-14)*(MAX(0, A57 - $F$12 + 1)-1)/5, IF(MAX(0, A57 - $F$12 + 1)&lt;=24, 14 - 14*(MAX(0, A57 - $F$12 + 1)-6)/18, 0)))) + (IF(MAX(0, A57 - $F$13 + 1)&lt;=0, 0, IF(MAX(0, A57 - $F$13 + 1)&lt;=6, 70 - (70-14)*(MAX(0, A57 - $F$13 + 1)-1)/5, IF(MAX(0, A57 - $F$13 + 1)&lt;=24, 14 - 14*(MAX(0, A57 - $F$13 + 1)-6)/18, 0)))) + (IF(MAX(0, A57 - $F$14 + 1)&lt;=0, 0, IF(MAX(0, A57 - $F$14 + 1)&lt;=6, 70 - (70-14)*(MAX(0, A57 - $F$14 + 1)-1)/5, IF(MAX(0, A57 - $F$14 + 1)&lt;=24, 14 - 14*(MAX(0, A57 - $F$14 + 1)-6)/18, 0)))) ) * 200 / 12 / 1000</f>
        <v/>
      </c>
      <c r="F57" s="306">
        <f>IF(A57&lt;$F$6,0,IF(AND($B$21=1,A57&gt;$B$19),0,$E$6*$G$6^MIN((A57-$F$6)/12,6)*MIN($G$6,0.85)^MAX(0,(A57-$F$6)/12-6)))</f>
        <v/>
      </c>
      <c r="G57" s="306">
        <f>IF(A57&lt;$F$7,0,IF(AND($B$21=1,A57&gt;$B$19),0,$E$7*$G$7^MIN((A57-$F$7)/12,6)*MIN($G$7,0.85)^MAX(0,(A57-$F$7)/12-6)))</f>
        <v/>
      </c>
      <c r="H57" s="306">
        <f>IF(A57&lt;$F$8,0,IF(AND($B$21=1,A57&gt;$B$19),0,$E$8*$G$8^MIN((A57-$F$8)/12,6)*MIN($G$8,0.85)^MAX(0,(A57-$F$8)/12-6)))</f>
        <v/>
      </c>
      <c r="I57" s="306">
        <f>IF(A57&lt;$F$9,0,IF(AND($B$21=1,A57&gt;$B$19),0,$E$9*$G$9^MIN((A57-$F$9)/12,6)*MIN($G$9,0.85)^MAX(0,(A57-$F$9)/12-6)))</f>
        <v/>
      </c>
      <c r="J57" s="306">
        <f>IF(A57&lt;$F$10,0,IF(AND($B$21=1,A57&gt;$B$19),0,$E$10*$G$10^MIN((A57-$F$10)/12,6)*MIN($G$10,0.85)^MAX(0,(A57-$F$10)/12-6)))</f>
        <v/>
      </c>
      <c r="K57" s="306">
        <f>IF(A57&lt;$F$11,0,IF(AND($B$21=1,A57&gt;$B$19),0,$E$11*$G$11^MIN((A57-$F$11)/12,6)*MIN($G$11,0.85)^MAX(0,(A57-$F$11)/12-6)))</f>
        <v/>
      </c>
      <c r="L57" s="306">
        <f>IF(A57&lt;$F$12,0,IF(AND($B$21=1,A57&gt;$B$19),0,$E$12*$G$12^MIN((A57-$F$12)/12,6)*MIN($G$12,0.85)^MAX(0,(A57-$F$12)/12-6)))</f>
        <v/>
      </c>
      <c r="M57" s="306">
        <f>IF(A57&lt;$F$13,0,IF(AND($B$21=1,A57&gt;$B$19),0,$E$13*$G$13^MIN((A57-$F$13)/12,6)*MIN($G$13,0.85)^MAX(0,(A57-$F$13)/12-6)))</f>
        <v/>
      </c>
      <c r="N57" s="306">
        <f>IF(A57&lt;$F$14,0,IF(AND($B$21=1,A57&gt;$B$19),0,$E$14*$G$14^MIN((A57-$F$14)/12,6)*MIN($G$14,0.85)^MAX(0,(A57-$F$14)/12-6)))</f>
        <v/>
      </c>
      <c r="O57" s="306">
        <f>SUM(F57:N57)</f>
        <v/>
      </c>
      <c r="P57" s="306">
        <f>O57/12</f>
        <v/>
      </c>
      <c r="Q57" s="306">
        <f>P57*$B$8</f>
        <v/>
      </c>
      <c r="R57" s="306">
        <f>P57*$B$9</f>
        <v/>
      </c>
      <c r="S57" s="306">
        <f>P57*$B$10</f>
        <v/>
      </c>
      <c r="T57" s="306">
        <f>P57-Q57-R57-S57-D57-E57</f>
        <v/>
      </c>
      <c r="U57" s="306">
        <f>MAX(0, T57 - $B$7*P57)</f>
        <v/>
      </c>
      <c r="V57" s="306">
        <f>T57-U57</f>
        <v/>
      </c>
      <c r="W57" s="306">
        <f>IF(A57=$F$6, $B$18*$B$16*$B$17/1000000, 0) + IF(A57=$F$7, $B$18*$B$16*$B$17/1000000, 0) + IF(A57=$F$8, $B$18*$B$16*$B$17/1000000, 0) + IF(A57=$F$9, $B$18*$B$16*$B$17/1000000, 0) + IF(A57=$F$10, $B$18*$B$16*$B$17/1000000, 0) + IF(A57=$F$11, $B$18*$B$16*$B$17/1000000, 0) + IF(A57=$F$12, $B$18*$B$16*$B$17/1000000, 0) + IF(A57=$F$13, $B$18*$B$16*$B$17/1000000, 0) + IF(A57=$F$14, $B$18*$B$16*$B$17/1000000, 0)</f>
        <v/>
      </c>
      <c r="X57" s="306">
        <f>V57-W57-C57</f>
        <v/>
      </c>
      <c r="Y57" s="306">
        <f>IF(AND(A57&lt;=$B$24, X57&gt;0), X57*$B$23, 0)</f>
        <v/>
      </c>
      <c r="Z57" s="306">
        <f>X57-Y57</f>
        <v/>
      </c>
      <c r="AA57" s="306">
        <f>IF(AND(A57=$B$19, $B$21=1), O57*$B$20, 0)</f>
        <v/>
      </c>
      <c r="AB57" s="306">
        <f>AB56+Z57+AA57</f>
        <v/>
      </c>
    </row>
    <row r="58">
      <c r="A58" s="306" t="n">
        <v>28</v>
      </c>
      <c r="B58" s="306">
        <f>CEILING(A58/12,1)</f>
        <v/>
      </c>
      <c r="C58" s="306">
        <f>IF(A58&lt;=12, $B$15/12, 0)</f>
        <v/>
      </c>
      <c r="D58" s="306">
        <f>INDEX('26. Team Comp'!$D$28:$R$28, B58) * 0.001 / 12</f>
        <v/>
      </c>
      <c r="E58" s="306">
        <f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+ (IF(MAX(0, A58 - $F$11 + 1)&lt;=0, 0, IF(MAX(0, A58 - $F$11 + 1)&lt;=6, 70 - (70-14)*(MAX(0, A58 - $F$11 + 1)-1)/5, IF(MAX(0, A58 - $F$11 + 1)&lt;=24, 14 - 14*(MAX(0, A58 - $F$11 + 1)-6)/18, 0)))) + (IF(MAX(0, A58 - $F$12 + 1)&lt;=0, 0, IF(MAX(0, A58 - $F$12 + 1)&lt;=6, 70 - (70-14)*(MAX(0, A58 - $F$12 + 1)-1)/5, IF(MAX(0, A58 - $F$12 + 1)&lt;=24, 14 - 14*(MAX(0, A58 - $F$12 + 1)-6)/18, 0)))) + (IF(MAX(0, A58 - $F$13 + 1)&lt;=0, 0, IF(MAX(0, A58 - $F$13 + 1)&lt;=6, 70 - (70-14)*(MAX(0, A58 - $F$13 + 1)-1)/5, IF(MAX(0, A58 - $F$13 + 1)&lt;=24, 14 - 14*(MAX(0, A58 - $F$13 + 1)-6)/18, 0)))) + (IF(MAX(0, A58 - $F$14 + 1)&lt;=0, 0, IF(MAX(0, A58 - $F$14 + 1)&lt;=6, 70 - (70-14)*(MAX(0, A58 - $F$14 + 1)-1)/5, IF(MAX(0, A58 - $F$14 + 1)&lt;=24, 14 - 14*(MAX(0, A58 - $F$14 + 1)-6)/18, 0)))) ) * 200 / 12 / 1000</f>
        <v/>
      </c>
      <c r="F58" s="306">
        <f>IF(A58&lt;$F$6,0,IF(AND($B$21=1,A58&gt;$B$19),0,$E$6*$G$6^MIN((A58-$F$6)/12,6)*MIN($G$6,0.85)^MAX(0,(A58-$F$6)/12-6)))</f>
        <v/>
      </c>
      <c r="G58" s="306">
        <f>IF(A58&lt;$F$7,0,IF(AND($B$21=1,A58&gt;$B$19),0,$E$7*$G$7^MIN((A58-$F$7)/12,6)*MIN($G$7,0.85)^MAX(0,(A58-$F$7)/12-6)))</f>
        <v/>
      </c>
      <c r="H58" s="306">
        <f>IF(A58&lt;$F$8,0,IF(AND($B$21=1,A58&gt;$B$19),0,$E$8*$G$8^MIN((A58-$F$8)/12,6)*MIN($G$8,0.85)^MAX(0,(A58-$F$8)/12-6)))</f>
        <v/>
      </c>
      <c r="I58" s="306">
        <f>IF(A58&lt;$F$9,0,IF(AND($B$21=1,A58&gt;$B$19),0,$E$9*$G$9^MIN((A58-$F$9)/12,6)*MIN($G$9,0.85)^MAX(0,(A58-$F$9)/12-6)))</f>
        <v/>
      </c>
      <c r="J58" s="306">
        <f>IF(A58&lt;$F$10,0,IF(AND($B$21=1,A58&gt;$B$19),0,$E$10*$G$10^MIN((A58-$F$10)/12,6)*MIN($G$10,0.85)^MAX(0,(A58-$F$10)/12-6)))</f>
        <v/>
      </c>
      <c r="K58" s="306">
        <f>IF(A58&lt;$F$11,0,IF(AND($B$21=1,A58&gt;$B$19),0,$E$11*$G$11^MIN((A58-$F$11)/12,6)*MIN($G$11,0.85)^MAX(0,(A58-$F$11)/12-6)))</f>
        <v/>
      </c>
      <c r="L58" s="306">
        <f>IF(A58&lt;$F$12,0,IF(AND($B$21=1,A58&gt;$B$19),0,$E$12*$G$12^MIN((A58-$F$12)/12,6)*MIN($G$12,0.85)^MAX(0,(A58-$F$12)/12-6)))</f>
        <v/>
      </c>
      <c r="M58" s="306">
        <f>IF(A58&lt;$F$13,0,IF(AND($B$21=1,A58&gt;$B$19),0,$E$13*$G$13^MIN((A58-$F$13)/12,6)*MIN($G$13,0.85)^MAX(0,(A58-$F$13)/12-6)))</f>
        <v/>
      </c>
      <c r="N58" s="306">
        <f>IF(A58&lt;$F$14,0,IF(AND($B$21=1,A58&gt;$B$19),0,$E$14*$G$14^MIN((A58-$F$14)/12,6)*MIN($G$14,0.85)^MAX(0,(A58-$F$14)/12-6)))</f>
        <v/>
      </c>
      <c r="O58" s="306">
        <f>SUM(F58:N58)</f>
        <v/>
      </c>
      <c r="P58" s="306">
        <f>O58/12</f>
        <v/>
      </c>
      <c r="Q58" s="306">
        <f>P58*$B$8</f>
        <v/>
      </c>
      <c r="R58" s="306">
        <f>P58*$B$9</f>
        <v/>
      </c>
      <c r="S58" s="306">
        <f>P58*$B$10</f>
        <v/>
      </c>
      <c r="T58" s="306">
        <f>P58-Q58-R58-S58-D58-E58</f>
        <v/>
      </c>
      <c r="U58" s="306">
        <f>MAX(0, T58 - $B$7*P58)</f>
        <v/>
      </c>
      <c r="V58" s="306">
        <f>T58-U58</f>
        <v/>
      </c>
      <c r="W58" s="306">
        <f>IF(A58=$F$6, $B$18*$B$16*$B$17/1000000, 0) + IF(A58=$F$7, $B$18*$B$16*$B$17/1000000, 0) + IF(A58=$F$8, $B$18*$B$16*$B$17/1000000, 0) + IF(A58=$F$9, $B$18*$B$16*$B$17/1000000, 0) + IF(A58=$F$10, $B$18*$B$16*$B$17/1000000, 0) + IF(A58=$F$11, $B$18*$B$16*$B$17/1000000, 0) + IF(A58=$F$12, $B$18*$B$16*$B$17/1000000, 0) + IF(A58=$F$13, $B$18*$B$16*$B$17/1000000, 0) + IF(A58=$F$14, $B$18*$B$16*$B$17/1000000, 0)</f>
        <v/>
      </c>
      <c r="X58" s="306">
        <f>V58-W58-C58</f>
        <v/>
      </c>
      <c r="Y58" s="306">
        <f>IF(AND(A58&lt;=$B$24, X58&gt;0), X58*$B$23, 0)</f>
        <v/>
      </c>
      <c r="Z58" s="306">
        <f>X58-Y58</f>
        <v/>
      </c>
      <c r="AA58" s="306">
        <f>IF(AND(A58=$B$19, $B$21=1), O58*$B$20, 0)</f>
        <v/>
      </c>
      <c r="AB58" s="306">
        <f>AB57+Z58+AA58</f>
        <v/>
      </c>
    </row>
    <row r="59">
      <c r="A59" s="306" t="n">
        <v>29</v>
      </c>
      <c r="B59" s="306">
        <f>CEILING(A59/12,1)</f>
        <v/>
      </c>
      <c r="C59" s="306">
        <f>IF(A59&lt;=12, $B$15/12, 0)</f>
        <v/>
      </c>
      <c r="D59" s="306">
        <f>INDEX('26. Team Comp'!$D$28:$R$28, B59) * 0.001 / 12</f>
        <v/>
      </c>
      <c r="E59" s="306">
        <f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+ (IF(MAX(0, A59 - $F$11 + 1)&lt;=0, 0, IF(MAX(0, A59 - $F$11 + 1)&lt;=6, 70 - (70-14)*(MAX(0, A59 - $F$11 + 1)-1)/5, IF(MAX(0, A59 - $F$11 + 1)&lt;=24, 14 - 14*(MAX(0, A59 - $F$11 + 1)-6)/18, 0)))) + (IF(MAX(0, A59 - $F$12 + 1)&lt;=0, 0, IF(MAX(0, A59 - $F$12 + 1)&lt;=6, 70 - (70-14)*(MAX(0, A59 - $F$12 + 1)-1)/5, IF(MAX(0, A59 - $F$12 + 1)&lt;=24, 14 - 14*(MAX(0, A59 - $F$12 + 1)-6)/18, 0)))) + (IF(MAX(0, A59 - $F$13 + 1)&lt;=0, 0, IF(MAX(0, A59 - $F$13 + 1)&lt;=6, 70 - (70-14)*(MAX(0, A59 - $F$13 + 1)-1)/5, IF(MAX(0, A59 - $F$13 + 1)&lt;=24, 14 - 14*(MAX(0, A59 - $F$13 + 1)-6)/18, 0)))) + (IF(MAX(0, A59 - $F$14 + 1)&lt;=0, 0, IF(MAX(0, A59 - $F$14 + 1)&lt;=6, 70 - (70-14)*(MAX(0, A59 - $F$14 + 1)-1)/5, IF(MAX(0, A59 - $F$14 + 1)&lt;=24, 14 - 14*(MAX(0, A59 - $F$14 + 1)-6)/18, 0)))) ) * 200 / 12 / 1000</f>
        <v/>
      </c>
      <c r="F59" s="306">
        <f>IF(A59&lt;$F$6,0,IF(AND($B$21=1,A59&gt;$B$19),0,$E$6*$G$6^MIN((A59-$F$6)/12,6)*MIN($G$6,0.85)^MAX(0,(A59-$F$6)/12-6)))</f>
        <v/>
      </c>
      <c r="G59" s="306">
        <f>IF(A59&lt;$F$7,0,IF(AND($B$21=1,A59&gt;$B$19),0,$E$7*$G$7^MIN((A59-$F$7)/12,6)*MIN($G$7,0.85)^MAX(0,(A59-$F$7)/12-6)))</f>
        <v/>
      </c>
      <c r="H59" s="306">
        <f>IF(A59&lt;$F$8,0,IF(AND($B$21=1,A59&gt;$B$19),0,$E$8*$G$8^MIN((A59-$F$8)/12,6)*MIN($G$8,0.85)^MAX(0,(A59-$F$8)/12-6)))</f>
        <v/>
      </c>
      <c r="I59" s="306">
        <f>IF(A59&lt;$F$9,0,IF(AND($B$21=1,A59&gt;$B$19),0,$E$9*$G$9^MIN((A59-$F$9)/12,6)*MIN($G$9,0.85)^MAX(0,(A59-$F$9)/12-6)))</f>
        <v/>
      </c>
      <c r="J59" s="306">
        <f>IF(A59&lt;$F$10,0,IF(AND($B$21=1,A59&gt;$B$19),0,$E$10*$G$10^MIN((A59-$F$10)/12,6)*MIN($G$10,0.85)^MAX(0,(A59-$F$10)/12-6)))</f>
        <v/>
      </c>
      <c r="K59" s="306">
        <f>IF(A59&lt;$F$11,0,IF(AND($B$21=1,A59&gt;$B$19),0,$E$11*$G$11^MIN((A59-$F$11)/12,6)*MIN($G$11,0.85)^MAX(0,(A59-$F$11)/12-6)))</f>
        <v/>
      </c>
      <c r="L59" s="306">
        <f>IF(A59&lt;$F$12,0,IF(AND($B$21=1,A59&gt;$B$19),0,$E$12*$G$12^MIN((A59-$F$12)/12,6)*MIN($G$12,0.85)^MAX(0,(A59-$F$12)/12-6)))</f>
        <v/>
      </c>
      <c r="M59" s="306">
        <f>IF(A59&lt;$F$13,0,IF(AND($B$21=1,A59&gt;$B$19),0,$E$13*$G$13^MIN((A59-$F$13)/12,6)*MIN($G$13,0.85)^MAX(0,(A59-$F$13)/12-6)))</f>
        <v/>
      </c>
      <c r="N59" s="306">
        <f>IF(A59&lt;$F$14,0,IF(AND($B$21=1,A59&gt;$B$19),0,$E$14*$G$14^MIN((A59-$F$14)/12,6)*MIN($G$14,0.85)^MAX(0,(A59-$F$14)/12-6)))</f>
        <v/>
      </c>
      <c r="O59" s="306">
        <f>SUM(F59:N59)</f>
        <v/>
      </c>
      <c r="P59" s="306">
        <f>O59/12</f>
        <v/>
      </c>
      <c r="Q59" s="306">
        <f>P59*$B$8</f>
        <v/>
      </c>
      <c r="R59" s="306">
        <f>P59*$B$9</f>
        <v/>
      </c>
      <c r="S59" s="306">
        <f>P59*$B$10</f>
        <v/>
      </c>
      <c r="T59" s="306">
        <f>P59-Q59-R59-S59-D59-E59</f>
        <v/>
      </c>
      <c r="U59" s="306">
        <f>MAX(0, T59 - $B$7*P59)</f>
        <v/>
      </c>
      <c r="V59" s="306">
        <f>T59-U59</f>
        <v/>
      </c>
      <c r="W59" s="306">
        <f>IF(A59=$F$6, $B$18*$B$16*$B$17/1000000, 0) + IF(A59=$F$7, $B$18*$B$16*$B$17/1000000, 0) + IF(A59=$F$8, $B$18*$B$16*$B$17/1000000, 0) + IF(A59=$F$9, $B$18*$B$16*$B$17/1000000, 0) + IF(A59=$F$10, $B$18*$B$16*$B$17/1000000, 0) + IF(A59=$F$11, $B$18*$B$16*$B$17/1000000, 0) + IF(A59=$F$12, $B$18*$B$16*$B$17/1000000, 0) + IF(A59=$F$13, $B$18*$B$16*$B$17/1000000, 0) + IF(A59=$F$14, $B$18*$B$16*$B$17/1000000, 0)</f>
        <v/>
      </c>
      <c r="X59" s="306">
        <f>V59-W59-C59</f>
        <v/>
      </c>
      <c r="Y59" s="306">
        <f>IF(AND(A59&lt;=$B$24, X59&gt;0), X59*$B$23, 0)</f>
        <v/>
      </c>
      <c r="Z59" s="306">
        <f>X59-Y59</f>
        <v/>
      </c>
      <c r="AA59" s="306">
        <f>IF(AND(A59=$B$19, $B$21=1), O59*$B$20, 0)</f>
        <v/>
      </c>
      <c r="AB59" s="306">
        <f>AB58+Z59+AA59</f>
        <v/>
      </c>
    </row>
    <row r="60">
      <c r="A60" s="306" t="n">
        <v>30</v>
      </c>
      <c r="B60" s="306">
        <f>CEILING(A60/12,1)</f>
        <v/>
      </c>
      <c r="C60" s="306">
        <f>IF(A60&lt;=12, $B$15/12, 0)</f>
        <v/>
      </c>
      <c r="D60" s="306">
        <f>INDEX('26. Team Comp'!$D$28:$R$28, B60) * 0.001 / 12</f>
        <v/>
      </c>
      <c r="E60" s="306">
        <f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+ (IF(MAX(0, A60 - $F$11 + 1)&lt;=0, 0, IF(MAX(0, A60 - $F$11 + 1)&lt;=6, 70 - (70-14)*(MAX(0, A60 - $F$11 + 1)-1)/5, IF(MAX(0, A60 - $F$11 + 1)&lt;=24, 14 - 14*(MAX(0, A60 - $F$11 + 1)-6)/18, 0)))) + (IF(MAX(0, A60 - $F$12 + 1)&lt;=0, 0, IF(MAX(0, A60 - $F$12 + 1)&lt;=6, 70 - (70-14)*(MAX(0, A60 - $F$12 + 1)-1)/5, IF(MAX(0, A60 - $F$12 + 1)&lt;=24, 14 - 14*(MAX(0, A60 - $F$12 + 1)-6)/18, 0)))) + (IF(MAX(0, A60 - $F$13 + 1)&lt;=0, 0, IF(MAX(0, A60 - $F$13 + 1)&lt;=6, 70 - (70-14)*(MAX(0, A60 - $F$13 + 1)-1)/5, IF(MAX(0, A60 - $F$13 + 1)&lt;=24, 14 - 14*(MAX(0, A60 - $F$13 + 1)-6)/18, 0)))) + (IF(MAX(0, A60 - $F$14 + 1)&lt;=0, 0, IF(MAX(0, A60 - $F$14 + 1)&lt;=6, 70 - (70-14)*(MAX(0, A60 - $F$14 + 1)-1)/5, IF(MAX(0, A60 - $F$14 + 1)&lt;=24, 14 - 14*(MAX(0, A60 - $F$14 + 1)-6)/18, 0)))) ) * 200 / 12 / 1000</f>
        <v/>
      </c>
      <c r="F60" s="306">
        <f>IF(A60&lt;$F$6,0,IF(AND($B$21=1,A60&gt;$B$19),0,$E$6*$G$6^MIN((A60-$F$6)/12,6)*MIN($G$6,0.85)^MAX(0,(A60-$F$6)/12-6)))</f>
        <v/>
      </c>
      <c r="G60" s="306">
        <f>IF(A60&lt;$F$7,0,IF(AND($B$21=1,A60&gt;$B$19),0,$E$7*$G$7^MIN((A60-$F$7)/12,6)*MIN($G$7,0.85)^MAX(0,(A60-$F$7)/12-6)))</f>
        <v/>
      </c>
      <c r="H60" s="306">
        <f>IF(A60&lt;$F$8,0,IF(AND($B$21=1,A60&gt;$B$19),0,$E$8*$G$8^MIN((A60-$F$8)/12,6)*MIN($G$8,0.85)^MAX(0,(A60-$F$8)/12-6)))</f>
        <v/>
      </c>
      <c r="I60" s="306">
        <f>IF(A60&lt;$F$9,0,IF(AND($B$21=1,A60&gt;$B$19),0,$E$9*$G$9^MIN((A60-$F$9)/12,6)*MIN($G$9,0.85)^MAX(0,(A60-$F$9)/12-6)))</f>
        <v/>
      </c>
      <c r="J60" s="306">
        <f>IF(A60&lt;$F$10,0,IF(AND($B$21=1,A60&gt;$B$19),0,$E$10*$G$10^MIN((A60-$F$10)/12,6)*MIN($G$10,0.85)^MAX(0,(A60-$F$10)/12-6)))</f>
        <v/>
      </c>
      <c r="K60" s="306">
        <f>IF(A60&lt;$F$11,0,IF(AND($B$21=1,A60&gt;$B$19),0,$E$11*$G$11^MIN((A60-$F$11)/12,6)*MIN($G$11,0.85)^MAX(0,(A60-$F$11)/12-6)))</f>
        <v/>
      </c>
      <c r="L60" s="306">
        <f>IF(A60&lt;$F$12,0,IF(AND($B$21=1,A60&gt;$B$19),0,$E$12*$G$12^MIN((A60-$F$12)/12,6)*MIN($G$12,0.85)^MAX(0,(A60-$F$12)/12-6)))</f>
        <v/>
      </c>
      <c r="M60" s="306">
        <f>IF(A60&lt;$F$13,0,IF(AND($B$21=1,A60&gt;$B$19),0,$E$13*$G$13^MIN((A60-$F$13)/12,6)*MIN($G$13,0.85)^MAX(0,(A60-$F$13)/12-6)))</f>
        <v/>
      </c>
      <c r="N60" s="306">
        <f>IF(A60&lt;$F$14,0,IF(AND($B$21=1,A60&gt;$B$19),0,$E$14*$G$14^MIN((A60-$F$14)/12,6)*MIN($G$14,0.85)^MAX(0,(A60-$F$14)/12-6)))</f>
        <v/>
      </c>
      <c r="O60" s="306">
        <f>SUM(F60:N60)</f>
        <v/>
      </c>
      <c r="P60" s="306">
        <f>O60/12</f>
        <v/>
      </c>
      <c r="Q60" s="306">
        <f>P60*$B$8</f>
        <v/>
      </c>
      <c r="R60" s="306">
        <f>P60*$B$9</f>
        <v/>
      </c>
      <c r="S60" s="306">
        <f>P60*$B$10</f>
        <v/>
      </c>
      <c r="T60" s="306">
        <f>P60-Q60-R60-S60-D60-E60</f>
        <v/>
      </c>
      <c r="U60" s="306">
        <f>MAX(0, T60 - $B$7*P60)</f>
        <v/>
      </c>
      <c r="V60" s="306">
        <f>T60-U60</f>
        <v/>
      </c>
      <c r="W60" s="306">
        <f>IF(A60=$F$6, $B$18*$B$16*$B$17/1000000, 0) + IF(A60=$F$7, $B$18*$B$16*$B$17/1000000, 0) + IF(A60=$F$8, $B$18*$B$16*$B$17/1000000, 0) + IF(A60=$F$9, $B$18*$B$16*$B$17/1000000, 0) + IF(A60=$F$10, $B$18*$B$16*$B$17/1000000, 0) + IF(A60=$F$11, $B$18*$B$16*$B$17/1000000, 0) + IF(A60=$F$12, $B$18*$B$16*$B$17/1000000, 0) + IF(A60=$F$13, $B$18*$B$16*$B$17/1000000, 0) + IF(A60=$F$14, $B$18*$B$16*$B$17/1000000, 0)</f>
        <v/>
      </c>
      <c r="X60" s="306">
        <f>V60-W60-C60</f>
        <v/>
      </c>
      <c r="Y60" s="306">
        <f>IF(AND(A60&lt;=$B$24, X60&gt;0), X60*$B$23, 0)</f>
        <v/>
      </c>
      <c r="Z60" s="306">
        <f>X60-Y60</f>
        <v/>
      </c>
      <c r="AA60" s="306">
        <f>IF(AND(A60=$B$19, $B$21=1), O60*$B$20, 0)</f>
        <v/>
      </c>
      <c r="AB60" s="306">
        <f>AB59+Z60+AA60</f>
        <v/>
      </c>
    </row>
    <row r="61">
      <c r="A61" s="306" t="n">
        <v>31</v>
      </c>
      <c r="B61" s="306">
        <f>CEILING(A61/12,1)</f>
        <v/>
      </c>
      <c r="C61" s="306">
        <f>IF(A61&lt;=12, $B$15/12, 0)</f>
        <v/>
      </c>
      <c r="D61" s="306">
        <f>INDEX('26. Team Comp'!$D$28:$R$28, B61) * 0.001 / 12</f>
        <v/>
      </c>
      <c r="E61" s="306">
        <f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+ (IF(MAX(0, A61 - $F$11 + 1)&lt;=0, 0, IF(MAX(0, A61 - $F$11 + 1)&lt;=6, 70 - (70-14)*(MAX(0, A61 - $F$11 + 1)-1)/5, IF(MAX(0, A61 - $F$11 + 1)&lt;=24, 14 - 14*(MAX(0, A61 - $F$11 + 1)-6)/18, 0)))) + (IF(MAX(0, A61 - $F$12 + 1)&lt;=0, 0, IF(MAX(0, A61 - $F$12 + 1)&lt;=6, 70 - (70-14)*(MAX(0, A61 - $F$12 + 1)-1)/5, IF(MAX(0, A61 - $F$12 + 1)&lt;=24, 14 - 14*(MAX(0, A61 - $F$12 + 1)-6)/18, 0)))) + (IF(MAX(0, A61 - $F$13 + 1)&lt;=0, 0, IF(MAX(0, A61 - $F$13 + 1)&lt;=6, 70 - (70-14)*(MAX(0, A61 - $F$13 + 1)-1)/5, IF(MAX(0, A61 - $F$13 + 1)&lt;=24, 14 - 14*(MAX(0, A61 - $F$13 + 1)-6)/18, 0)))) + (IF(MAX(0, A61 - $F$14 + 1)&lt;=0, 0, IF(MAX(0, A61 - $F$14 + 1)&lt;=6, 70 - (70-14)*(MAX(0, A61 - $F$14 + 1)-1)/5, IF(MAX(0, A61 - $F$14 + 1)&lt;=24, 14 - 14*(MAX(0, A61 - $F$14 + 1)-6)/18, 0)))) ) * 200 / 12 / 1000</f>
        <v/>
      </c>
      <c r="F61" s="306">
        <f>IF(A61&lt;$F$6,0,IF(AND($B$21=1,A61&gt;$B$19),0,$E$6*$G$6^MIN((A61-$F$6)/12,6)*MIN($G$6,0.85)^MAX(0,(A61-$F$6)/12-6)))</f>
        <v/>
      </c>
      <c r="G61" s="306">
        <f>IF(A61&lt;$F$7,0,IF(AND($B$21=1,A61&gt;$B$19),0,$E$7*$G$7^MIN((A61-$F$7)/12,6)*MIN($G$7,0.85)^MAX(0,(A61-$F$7)/12-6)))</f>
        <v/>
      </c>
      <c r="H61" s="306">
        <f>IF(A61&lt;$F$8,0,IF(AND($B$21=1,A61&gt;$B$19),0,$E$8*$G$8^MIN((A61-$F$8)/12,6)*MIN($G$8,0.85)^MAX(0,(A61-$F$8)/12-6)))</f>
        <v/>
      </c>
      <c r="I61" s="306">
        <f>IF(A61&lt;$F$9,0,IF(AND($B$21=1,A61&gt;$B$19),0,$E$9*$G$9^MIN((A61-$F$9)/12,6)*MIN($G$9,0.85)^MAX(0,(A61-$F$9)/12-6)))</f>
        <v/>
      </c>
      <c r="J61" s="306">
        <f>IF(A61&lt;$F$10,0,IF(AND($B$21=1,A61&gt;$B$19),0,$E$10*$G$10^MIN((A61-$F$10)/12,6)*MIN($G$10,0.85)^MAX(0,(A61-$F$10)/12-6)))</f>
        <v/>
      </c>
      <c r="K61" s="306">
        <f>IF(A61&lt;$F$11,0,IF(AND($B$21=1,A61&gt;$B$19),0,$E$11*$G$11^MIN((A61-$F$11)/12,6)*MIN($G$11,0.85)^MAX(0,(A61-$F$11)/12-6)))</f>
        <v/>
      </c>
      <c r="L61" s="306">
        <f>IF(A61&lt;$F$12,0,IF(AND($B$21=1,A61&gt;$B$19),0,$E$12*$G$12^MIN((A61-$F$12)/12,6)*MIN($G$12,0.85)^MAX(0,(A61-$F$12)/12-6)))</f>
        <v/>
      </c>
      <c r="M61" s="306">
        <f>IF(A61&lt;$F$13,0,IF(AND($B$21=1,A61&gt;$B$19),0,$E$13*$G$13^MIN((A61-$F$13)/12,6)*MIN($G$13,0.85)^MAX(0,(A61-$F$13)/12-6)))</f>
        <v/>
      </c>
      <c r="N61" s="306">
        <f>IF(A61&lt;$F$14,0,IF(AND($B$21=1,A61&gt;$B$19),0,$E$14*$G$14^MIN((A61-$F$14)/12,6)*MIN($G$14,0.85)^MAX(0,(A61-$F$14)/12-6)))</f>
        <v/>
      </c>
      <c r="O61" s="306">
        <f>SUM(F61:N61)</f>
        <v/>
      </c>
      <c r="P61" s="306">
        <f>O61/12</f>
        <v/>
      </c>
      <c r="Q61" s="306">
        <f>P61*$B$8</f>
        <v/>
      </c>
      <c r="R61" s="306">
        <f>P61*$B$9</f>
        <v/>
      </c>
      <c r="S61" s="306">
        <f>P61*$B$10</f>
        <v/>
      </c>
      <c r="T61" s="306">
        <f>P61-Q61-R61-S61-D61-E61</f>
        <v/>
      </c>
      <c r="U61" s="306">
        <f>MAX(0, T61 - $B$7*P61)</f>
        <v/>
      </c>
      <c r="V61" s="306">
        <f>T61-U61</f>
        <v/>
      </c>
      <c r="W61" s="306">
        <f>IF(A61=$F$6, $B$18*$B$16*$B$17/1000000, 0) + IF(A61=$F$7, $B$18*$B$16*$B$17/1000000, 0) + IF(A61=$F$8, $B$18*$B$16*$B$17/1000000, 0) + IF(A61=$F$9, $B$18*$B$16*$B$17/1000000, 0) + IF(A61=$F$10, $B$18*$B$16*$B$17/1000000, 0) + IF(A61=$F$11, $B$18*$B$16*$B$17/1000000, 0) + IF(A61=$F$12, $B$18*$B$16*$B$17/1000000, 0) + IF(A61=$F$13, $B$18*$B$16*$B$17/1000000, 0) + IF(A61=$F$14, $B$18*$B$16*$B$17/1000000, 0)</f>
        <v/>
      </c>
      <c r="X61" s="306">
        <f>V61-W61-C61</f>
        <v/>
      </c>
      <c r="Y61" s="306">
        <f>IF(AND(A61&lt;=$B$24, X61&gt;0), X61*$B$23, 0)</f>
        <v/>
      </c>
      <c r="Z61" s="306">
        <f>X61-Y61</f>
        <v/>
      </c>
      <c r="AA61" s="306">
        <f>IF(AND(A61=$B$19, $B$21=1), O61*$B$20, 0)</f>
        <v/>
      </c>
      <c r="AB61" s="306">
        <f>AB60+Z61+AA61</f>
        <v/>
      </c>
    </row>
    <row r="62">
      <c r="A62" s="306" t="n">
        <v>32</v>
      </c>
      <c r="B62" s="306">
        <f>CEILING(A62/12,1)</f>
        <v/>
      </c>
      <c r="C62" s="306">
        <f>IF(A62&lt;=12, $B$15/12, 0)</f>
        <v/>
      </c>
      <c r="D62" s="306">
        <f>INDEX('26. Team Comp'!$D$28:$R$28, B62) * 0.001 / 12</f>
        <v/>
      </c>
      <c r="E62" s="306">
        <f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+ (IF(MAX(0, A62 - $F$11 + 1)&lt;=0, 0, IF(MAX(0, A62 - $F$11 + 1)&lt;=6, 70 - (70-14)*(MAX(0, A62 - $F$11 + 1)-1)/5, IF(MAX(0, A62 - $F$11 + 1)&lt;=24, 14 - 14*(MAX(0, A62 - $F$11 + 1)-6)/18, 0)))) + (IF(MAX(0, A62 - $F$12 + 1)&lt;=0, 0, IF(MAX(0, A62 - $F$12 + 1)&lt;=6, 70 - (70-14)*(MAX(0, A62 - $F$12 + 1)-1)/5, IF(MAX(0, A62 - $F$12 + 1)&lt;=24, 14 - 14*(MAX(0, A62 - $F$12 + 1)-6)/18, 0)))) + (IF(MAX(0, A62 - $F$13 + 1)&lt;=0, 0, IF(MAX(0, A62 - $F$13 + 1)&lt;=6, 70 - (70-14)*(MAX(0, A62 - $F$13 + 1)-1)/5, IF(MAX(0, A62 - $F$13 + 1)&lt;=24, 14 - 14*(MAX(0, A62 - $F$13 + 1)-6)/18, 0)))) + (IF(MAX(0, A62 - $F$14 + 1)&lt;=0, 0, IF(MAX(0, A62 - $F$14 + 1)&lt;=6, 70 - (70-14)*(MAX(0, A62 - $F$14 + 1)-1)/5, IF(MAX(0, A62 - $F$14 + 1)&lt;=24, 14 - 14*(MAX(0, A62 - $F$14 + 1)-6)/18, 0)))) ) * 200 / 12 / 1000</f>
        <v/>
      </c>
      <c r="F62" s="306">
        <f>IF(A62&lt;$F$6,0,IF(AND($B$21=1,A62&gt;$B$19),0,$E$6*$G$6^MIN((A62-$F$6)/12,6)*MIN($G$6,0.85)^MAX(0,(A62-$F$6)/12-6)))</f>
        <v/>
      </c>
      <c r="G62" s="306">
        <f>IF(A62&lt;$F$7,0,IF(AND($B$21=1,A62&gt;$B$19),0,$E$7*$G$7^MIN((A62-$F$7)/12,6)*MIN($G$7,0.85)^MAX(0,(A62-$F$7)/12-6)))</f>
        <v/>
      </c>
      <c r="H62" s="306">
        <f>IF(A62&lt;$F$8,0,IF(AND($B$21=1,A62&gt;$B$19),0,$E$8*$G$8^MIN((A62-$F$8)/12,6)*MIN($G$8,0.85)^MAX(0,(A62-$F$8)/12-6)))</f>
        <v/>
      </c>
      <c r="I62" s="306">
        <f>IF(A62&lt;$F$9,0,IF(AND($B$21=1,A62&gt;$B$19),0,$E$9*$G$9^MIN((A62-$F$9)/12,6)*MIN($G$9,0.85)^MAX(0,(A62-$F$9)/12-6)))</f>
        <v/>
      </c>
      <c r="J62" s="306">
        <f>IF(A62&lt;$F$10,0,IF(AND($B$21=1,A62&gt;$B$19),0,$E$10*$G$10^MIN((A62-$F$10)/12,6)*MIN($G$10,0.85)^MAX(0,(A62-$F$10)/12-6)))</f>
        <v/>
      </c>
      <c r="K62" s="306">
        <f>IF(A62&lt;$F$11,0,IF(AND($B$21=1,A62&gt;$B$19),0,$E$11*$G$11^MIN((A62-$F$11)/12,6)*MIN($G$11,0.85)^MAX(0,(A62-$F$11)/12-6)))</f>
        <v/>
      </c>
      <c r="L62" s="306">
        <f>IF(A62&lt;$F$12,0,IF(AND($B$21=1,A62&gt;$B$19),0,$E$12*$G$12^MIN((A62-$F$12)/12,6)*MIN($G$12,0.85)^MAX(0,(A62-$F$12)/12-6)))</f>
        <v/>
      </c>
      <c r="M62" s="306">
        <f>IF(A62&lt;$F$13,0,IF(AND($B$21=1,A62&gt;$B$19),0,$E$13*$G$13^MIN((A62-$F$13)/12,6)*MIN($G$13,0.85)^MAX(0,(A62-$F$13)/12-6)))</f>
        <v/>
      </c>
      <c r="N62" s="306">
        <f>IF(A62&lt;$F$14,0,IF(AND($B$21=1,A62&gt;$B$19),0,$E$14*$G$14^MIN((A62-$F$14)/12,6)*MIN($G$14,0.85)^MAX(0,(A62-$F$14)/12-6)))</f>
        <v/>
      </c>
      <c r="O62" s="306">
        <f>SUM(F62:N62)</f>
        <v/>
      </c>
      <c r="P62" s="306">
        <f>O62/12</f>
        <v/>
      </c>
      <c r="Q62" s="306">
        <f>P62*$B$8</f>
        <v/>
      </c>
      <c r="R62" s="306">
        <f>P62*$B$9</f>
        <v/>
      </c>
      <c r="S62" s="306">
        <f>P62*$B$10</f>
        <v/>
      </c>
      <c r="T62" s="306">
        <f>P62-Q62-R62-S62-D62-E62</f>
        <v/>
      </c>
      <c r="U62" s="306">
        <f>MAX(0, T62 - $B$7*P62)</f>
        <v/>
      </c>
      <c r="V62" s="306">
        <f>T62-U62</f>
        <v/>
      </c>
      <c r="W62" s="306">
        <f>IF(A62=$F$6, $B$18*$B$16*$B$17/1000000, 0) + IF(A62=$F$7, $B$18*$B$16*$B$17/1000000, 0) + IF(A62=$F$8, $B$18*$B$16*$B$17/1000000, 0) + IF(A62=$F$9, $B$18*$B$16*$B$17/1000000, 0) + IF(A62=$F$10, $B$18*$B$16*$B$17/1000000, 0) + IF(A62=$F$11, $B$18*$B$16*$B$17/1000000, 0) + IF(A62=$F$12, $B$18*$B$16*$B$17/1000000, 0) + IF(A62=$F$13, $B$18*$B$16*$B$17/1000000, 0) + IF(A62=$F$14, $B$18*$B$16*$B$17/1000000, 0)</f>
        <v/>
      </c>
      <c r="X62" s="306">
        <f>V62-W62-C62</f>
        <v/>
      </c>
      <c r="Y62" s="306">
        <f>IF(AND(A62&lt;=$B$24, X62&gt;0), X62*$B$23, 0)</f>
        <v/>
      </c>
      <c r="Z62" s="306">
        <f>X62-Y62</f>
        <v/>
      </c>
      <c r="AA62" s="306">
        <f>IF(AND(A62=$B$19, $B$21=1), O62*$B$20, 0)</f>
        <v/>
      </c>
      <c r="AB62" s="306">
        <f>AB61+Z62+AA62</f>
        <v/>
      </c>
    </row>
    <row r="63">
      <c r="A63" s="306" t="n">
        <v>33</v>
      </c>
      <c r="B63" s="306">
        <f>CEILING(A63/12,1)</f>
        <v/>
      </c>
      <c r="C63" s="306">
        <f>IF(A63&lt;=12, $B$15/12, 0)</f>
        <v/>
      </c>
      <c r="D63" s="306">
        <f>INDEX('26. Team Comp'!$D$28:$R$28, B63) * 0.001 / 12</f>
        <v/>
      </c>
      <c r="E63" s="306">
        <f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+ (IF(MAX(0, A63 - $F$11 + 1)&lt;=0, 0, IF(MAX(0, A63 - $F$11 + 1)&lt;=6, 70 - (70-14)*(MAX(0, A63 - $F$11 + 1)-1)/5, IF(MAX(0, A63 - $F$11 + 1)&lt;=24, 14 - 14*(MAX(0, A63 - $F$11 + 1)-6)/18, 0)))) + (IF(MAX(0, A63 - $F$12 + 1)&lt;=0, 0, IF(MAX(0, A63 - $F$12 + 1)&lt;=6, 70 - (70-14)*(MAX(0, A63 - $F$12 + 1)-1)/5, IF(MAX(0, A63 - $F$12 + 1)&lt;=24, 14 - 14*(MAX(0, A63 - $F$12 + 1)-6)/18, 0)))) + (IF(MAX(0, A63 - $F$13 + 1)&lt;=0, 0, IF(MAX(0, A63 - $F$13 + 1)&lt;=6, 70 - (70-14)*(MAX(0, A63 - $F$13 + 1)-1)/5, IF(MAX(0, A63 - $F$13 + 1)&lt;=24, 14 - 14*(MAX(0, A63 - $F$13 + 1)-6)/18, 0)))) + (IF(MAX(0, A63 - $F$14 + 1)&lt;=0, 0, IF(MAX(0, A63 - $F$14 + 1)&lt;=6, 70 - (70-14)*(MAX(0, A63 - $F$14 + 1)-1)/5, IF(MAX(0, A63 - $F$14 + 1)&lt;=24, 14 - 14*(MAX(0, A63 - $F$14 + 1)-6)/18, 0)))) ) * 200 / 12 / 1000</f>
        <v/>
      </c>
      <c r="F63" s="306">
        <f>IF(A63&lt;$F$6,0,IF(AND($B$21=1,A63&gt;$B$19),0,$E$6*$G$6^MIN((A63-$F$6)/12,6)*MIN($G$6,0.85)^MAX(0,(A63-$F$6)/12-6)))</f>
        <v/>
      </c>
      <c r="G63" s="306">
        <f>IF(A63&lt;$F$7,0,IF(AND($B$21=1,A63&gt;$B$19),0,$E$7*$G$7^MIN((A63-$F$7)/12,6)*MIN($G$7,0.85)^MAX(0,(A63-$F$7)/12-6)))</f>
        <v/>
      </c>
      <c r="H63" s="306">
        <f>IF(A63&lt;$F$8,0,IF(AND($B$21=1,A63&gt;$B$19),0,$E$8*$G$8^MIN((A63-$F$8)/12,6)*MIN($G$8,0.85)^MAX(0,(A63-$F$8)/12-6)))</f>
        <v/>
      </c>
      <c r="I63" s="306">
        <f>IF(A63&lt;$F$9,0,IF(AND($B$21=1,A63&gt;$B$19),0,$E$9*$G$9^MIN((A63-$F$9)/12,6)*MIN($G$9,0.85)^MAX(0,(A63-$F$9)/12-6)))</f>
        <v/>
      </c>
      <c r="J63" s="306">
        <f>IF(A63&lt;$F$10,0,IF(AND($B$21=1,A63&gt;$B$19),0,$E$10*$G$10^MIN((A63-$F$10)/12,6)*MIN($G$10,0.85)^MAX(0,(A63-$F$10)/12-6)))</f>
        <v/>
      </c>
      <c r="K63" s="306">
        <f>IF(A63&lt;$F$11,0,IF(AND($B$21=1,A63&gt;$B$19),0,$E$11*$G$11^MIN((A63-$F$11)/12,6)*MIN($G$11,0.85)^MAX(0,(A63-$F$11)/12-6)))</f>
        <v/>
      </c>
      <c r="L63" s="306">
        <f>IF(A63&lt;$F$12,0,IF(AND($B$21=1,A63&gt;$B$19),0,$E$12*$G$12^MIN((A63-$F$12)/12,6)*MIN($G$12,0.85)^MAX(0,(A63-$F$12)/12-6)))</f>
        <v/>
      </c>
      <c r="M63" s="306">
        <f>IF(A63&lt;$F$13,0,IF(AND($B$21=1,A63&gt;$B$19),0,$E$13*$G$13^MIN((A63-$F$13)/12,6)*MIN($G$13,0.85)^MAX(0,(A63-$F$13)/12-6)))</f>
        <v/>
      </c>
      <c r="N63" s="306">
        <f>IF(A63&lt;$F$14,0,IF(AND($B$21=1,A63&gt;$B$19),0,$E$14*$G$14^MIN((A63-$F$14)/12,6)*MIN($G$14,0.85)^MAX(0,(A63-$F$14)/12-6)))</f>
        <v/>
      </c>
      <c r="O63" s="306">
        <f>SUM(F63:N63)</f>
        <v/>
      </c>
      <c r="P63" s="306">
        <f>O63/12</f>
        <v/>
      </c>
      <c r="Q63" s="306">
        <f>P63*$B$8</f>
        <v/>
      </c>
      <c r="R63" s="306">
        <f>P63*$B$9</f>
        <v/>
      </c>
      <c r="S63" s="306">
        <f>P63*$B$10</f>
        <v/>
      </c>
      <c r="T63" s="306">
        <f>P63-Q63-R63-S63-D63-E63</f>
        <v/>
      </c>
      <c r="U63" s="306">
        <f>MAX(0, T63 - $B$7*P63)</f>
        <v/>
      </c>
      <c r="V63" s="306">
        <f>T63-U63</f>
        <v/>
      </c>
      <c r="W63" s="306">
        <f>IF(A63=$F$6, $B$18*$B$16*$B$17/1000000, 0) + IF(A63=$F$7, $B$18*$B$16*$B$17/1000000, 0) + IF(A63=$F$8, $B$18*$B$16*$B$17/1000000, 0) + IF(A63=$F$9, $B$18*$B$16*$B$17/1000000, 0) + IF(A63=$F$10, $B$18*$B$16*$B$17/1000000, 0) + IF(A63=$F$11, $B$18*$B$16*$B$17/1000000, 0) + IF(A63=$F$12, $B$18*$B$16*$B$17/1000000, 0) + IF(A63=$F$13, $B$18*$B$16*$B$17/1000000, 0) + IF(A63=$F$14, $B$18*$B$16*$B$17/1000000, 0)</f>
        <v/>
      </c>
      <c r="X63" s="306">
        <f>V63-W63-C63</f>
        <v/>
      </c>
      <c r="Y63" s="306">
        <f>IF(AND(A63&lt;=$B$24, X63&gt;0), X63*$B$23, 0)</f>
        <v/>
      </c>
      <c r="Z63" s="306">
        <f>X63-Y63</f>
        <v/>
      </c>
      <c r="AA63" s="306">
        <f>IF(AND(A63=$B$19, $B$21=1), O63*$B$20, 0)</f>
        <v/>
      </c>
      <c r="AB63" s="306">
        <f>AB62+Z63+AA63</f>
        <v/>
      </c>
    </row>
    <row r="64">
      <c r="A64" s="306" t="n">
        <v>34</v>
      </c>
      <c r="B64" s="306">
        <f>CEILING(A64/12,1)</f>
        <v/>
      </c>
      <c r="C64" s="306">
        <f>IF(A64&lt;=12, $B$15/12, 0)</f>
        <v/>
      </c>
      <c r="D64" s="306">
        <f>INDEX('26. Team Comp'!$D$28:$R$28, B64) * 0.001 / 12</f>
        <v/>
      </c>
      <c r="E64" s="306">
        <f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+ (IF(MAX(0, A64 - $F$11 + 1)&lt;=0, 0, IF(MAX(0, A64 - $F$11 + 1)&lt;=6, 70 - (70-14)*(MAX(0, A64 - $F$11 + 1)-1)/5, IF(MAX(0, A64 - $F$11 + 1)&lt;=24, 14 - 14*(MAX(0, A64 - $F$11 + 1)-6)/18, 0)))) + (IF(MAX(0, A64 - $F$12 + 1)&lt;=0, 0, IF(MAX(0, A64 - $F$12 + 1)&lt;=6, 70 - (70-14)*(MAX(0, A64 - $F$12 + 1)-1)/5, IF(MAX(0, A64 - $F$12 + 1)&lt;=24, 14 - 14*(MAX(0, A64 - $F$12 + 1)-6)/18, 0)))) + (IF(MAX(0, A64 - $F$13 + 1)&lt;=0, 0, IF(MAX(0, A64 - $F$13 + 1)&lt;=6, 70 - (70-14)*(MAX(0, A64 - $F$13 + 1)-1)/5, IF(MAX(0, A64 - $F$13 + 1)&lt;=24, 14 - 14*(MAX(0, A64 - $F$13 + 1)-6)/18, 0)))) + (IF(MAX(0, A64 - $F$14 + 1)&lt;=0, 0, IF(MAX(0, A64 - $F$14 + 1)&lt;=6, 70 - (70-14)*(MAX(0, A64 - $F$14 + 1)-1)/5, IF(MAX(0, A64 - $F$14 + 1)&lt;=24, 14 - 14*(MAX(0, A64 - $F$14 + 1)-6)/18, 0)))) ) * 200 / 12 / 1000</f>
        <v/>
      </c>
      <c r="F64" s="306">
        <f>IF(A64&lt;$F$6,0,IF(AND($B$21=1,A64&gt;$B$19),0,$E$6*$G$6^MIN((A64-$F$6)/12,6)*MIN($G$6,0.85)^MAX(0,(A64-$F$6)/12-6)))</f>
        <v/>
      </c>
      <c r="G64" s="306">
        <f>IF(A64&lt;$F$7,0,IF(AND($B$21=1,A64&gt;$B$19),0,$E$7*$G$7^MIN((A64-$F$7)/12,6)*MIN($G$7,0.85)^MAX(0,(A64-$F$7)/12-6)))</f>
        <v/>
      </c>
      <c r="H64" s="306">
        <f>IF(A64&lt;$F$8,0,IF(AND($B$21=1,A64&gt;$B$19),0,$E$8*$G$8^MIN((A64-$F$8)/12,6)*MIN($G$8,0.85)^MAX(0,(A64-$F$8)/12-6)))</f>
        <v/>
      </c>
      <c r="I64" s="306">
        <f>IF(A64&lt;$F$9,0,IF(AND($B$21=1,A64&gt;$B$19),0,$E$9*$G$9^MIN((A64-$F$9)/12,6)*MIN($G$9,0.85)^MAX(0,(A64-$F$9)/12-6)))</f>
        <v/>
      </c>
      <c r="J64" s="306">
        <f>IF(A64&lt;$F$10,0,IF(AND($B$21=1,A64&gt;$B$19),0,$E$10*$G$10^MIN((A64-$F$10)/12,6)*MIN($G$10,0.85)^MAX(0,(A64-$F$10)/12-6)))</f>
        <v/>
      </c>
      <c r="K64" s="306">
        <f>IF(A64&lt;$F$11,0,IF(AND($B$21=1,A64&gt;$B$19),0,$E$11*$G$11^MIN((A64-$F$11)/12,6)*MIN($G$11,0.85)^MAX(0,(A64-$F$11)/12-6)))</f>
        <v/>
      </c>
      <c r="L64" s="306">
        <f>IF(A64&lt;$F$12,0,IF(AND($B$21=1,A64&gt;$B$19),0,$E$12*$G$12^MIN((A64-$F$12)/12,6)*MIN($G$12,0.85)^MAX(0,(A64-$F$12)/12-6)))</f>
        <v/>
      </c>
      <c r="M64" s="306">
        <f>IF(A64&lt;$F$13,0,IF(AND($B$21=1,A64&gt;$B$19),0,$E$13*$G$13^MIN((A64-$F$13)/12,6)*MIN($G$13,0.85)^MAX(0,(A64-$F$13)/12-6)))</f>
        <v/>
      </c>
      <c r="N64" s="306">
        <f>IF(A64&lt;$F$14,0,IF(AND($B$21=1,A64&gt;$B$19),0,$E$14*$G$14^MIN((A64-$F$14)/12,6)*MIN($G$14,0.85)^MAX(0,(A64-$F$14)/12-6)))</f>
        <v/>
      </c>
      <c r="O64" s="306">
        <f>SUM(F64:N64)</f>
        <v/>
      </c>
      <c r="P64" s="306">
        <f>O64/12</f>
        <v/>
      </c>
      <c r="Q64" s="306">
        <f>P64*$B$8</f>
        <v/>
      </c>
      <c r="R64" s="306">
        <f>P64*$B$9</f>
        <v/>
      </c>
      <c r="S64" s="306">
        <f>P64*$B$10</f>
        <v/>
      </c>
      <c r="T64" s="306">
        <f>P64-Q64-R64-S64-D64-E64</f>
        <v/>
      </c>
      <c r="U64" s="306">
        <f>MAX(0, T64 - $B$7*P64)</f>
        <v/>
      </c>
      <c r="V64" s="306">
        <f>T64-U64</f>
        <v/>
      </c>
      <c r="W64" s="306">
        <f>IF(A64=$F$6, $B$18*$B$16*$B$17/1000000, 0) + IF(A64=$F$7, $B$18*$B$16*$B$17/1000000, 0) + IF(A64=$F$8, $B$18*$B$16*$B$17/1000000, 0) + IF(A64=$F$9, $B$18*$B$16*$B$17/1000000, 0) + IF(A64=$F$10, $B$18*$B$16*$B$17/1000000, 0) + IF(A64=$F$11, $B$18*$B$16*$B$17/1000000, 0) + IF(A64=$F$12, $B$18*$B$16*$B$17/1000000, 0) + IF(A64=$F$13, $B$18*$B$16*$B$17/1000000, 0) + IF(A64=$F$14, $B$18*$B$16*$B$17/1000000, 0)</f>
        <v/>
      </c>
      <c r="X64" s="306">
        <f>V64-W64-C64</f>
        <v/>
      </c>
      <c r="Y64" s="306">
        <f>IF(AND(A64&lt;=$B$24, X64&gt;0), X64*$B$23, 0)</f>
        <v/>
      </c>
      <c r="Z64" s="306">
        <f>X64-Y64</f>
        <v/>
      </c>
      <c r="AA64" s="306">
        <f>IF(AND(A64=$B$19, $B$21=1), O64*$B$20, 0)</f>
        <v/>
      </c>
      <c r="AB64" s="306">
        <f>AB63+Z64+AA64</f>
        <v/>
      </c>
    </row>
    <row r="65">
      <c r="A65" s="306" t="n">
        <v>35</v>
      </c>
      <c r="B65" s="306">
        <f>CEILING(A65/12,1)</f>
        <v/>
      </c>
      <c r="C65" s="306">
        <f>IF(A65&lt;=12, $B$15/12, 0)</f>
        <v/>
      </c>
      <c r="D65" s="306">
        <f>INDEX('26. Team Comp'!$D$28:$R$28, B65) * 0.001 / 12</f>
        <v/>
      </c>
      <c r="E65" s="306">
        <f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+ (IF(MAX(0, A65 - $F$11 + 1)&lt;=0, 0, IF(MAX(0, A65 - $F$11 + 1)&lt;=6, 70 - (70-14)*(MAX(0, A65 - $F$11 + 1)-1)/5, IF(MAX(0, A65 - $F$11 + 1)&lt;=24, 14 - 14*(MAX(0, A65 - $F$11 + 1)-6)/18, 0)))) + (IF(MAX(0, A65 - $F$12 + 1)&lt;=0, 0, IF(MAX(0, A65 - $F$12 + 1)&lt;=6, 70 - (70-14)*(MAX(0, A65 - $F$12 + 1)-1)/5, IF(MAX(0, A65 - $F$12 + 1)&lt;=24, 14 - 14*(MAX(0, A65 - $F$12 + 1)-6)/18, 0)))) + (IF(MAX(0, A65 - $F$13 + 1)&lt;=0, 0, IF(MAX(0, A65 - $F$13 + 1)&lt;=6, 70 - (70-14)*(MAX(0, A65 - $F$13 + 1)-1)/5, IF(MAX(0, A65 - $F$13 + 1)&lt;=24, 14 - 14*(MAX(0, A65 - $F$13 + 1)-6)/18, 0)))) + (IF(MAX(0, A65 - $F$14 + 1)&lt;=0, 0, IF(MAX(0, A65 - $F$14 + 1)&lt;=6, 70 - (70-14)*(MAX(0, A65 - $F$14 + 1)-1)/5, IF(MAX(0, A65 - $F$14 + 1)&lt;=24, 14 - 14*(MAX(0, A65 - $F$14 + 1)-6)/18, 0)))) ) * 200 / 12 / 1000</f>
        <v/>
      </c>
      <c r="F65" s="306">
        <f>IF(A65&lt;$F$6,0,IF(AND($B$21=1,A65&gt;$B$19),0,$E$6*$G$6^MIN((A65-$F$6)/12,6)*MIN($G$6,0.85)^MAX(0,(A65-$F$6)/12-6)))</f>
        <v/>
      </c>
      <c r="G65" s="306">
        <f>IF(A65&lt;$F$7,0,IF(AND($B$21=1,A65&gt;$B$19),0,$E$7*$G$7^MIN((A65-$F$7)/12,6)*MIN($G$7,0.85)^MAX(0,(A65-$F$7)/12-6)))</f>
        <v/>
      </c>
      <c r="H65" s="306">
        <f>IF(A65&lt;$F$8,0,IF(AND($B$21=1,A65&gt;$B$19),0,$E$8*$G$8^MIN((A65-$F$8)/12,6)*MIN($G$8,0.85)^MAX(0,(A65-$F$8)/12-6)))</f>
        <v/>
      </c>
      <c r="I65" s="306">
        <f>IF(A65&lt;$F$9,0,IF(AND($B$21=1,A65&gt;$B$19),0,$E$9*$G$9^MIN((A65-$F$9)/12,6)*MIN($G$9,0.85)^MAX(0,(A65-$F$9)/12-6)))</f>
        <v/>
      </c>
      <c r="J65" s="306">
        <f>IF(A65&lt;$F$10,0,IF(AND($B$21=1,A65&gt;$B$19),0,$E$10*$G$10^MIN((A65-$F$10)/12,6)*MIN($G$10,0.85)^MAX(0,(A65-$F$10)/12-6)))</f>
        <v/>
      </c>
      <c r="K65" s="306">
        <f>IF(A65&lt;$F$11,0,IF(AND($B$21=1,A65&gt;$B$19),0,$E$11*$G$11^MIN((A65-$F$11)/12,6)*MIN($G$11,0.85)^MAX(0,(A65-$F$11)/12-6)))</f>
        <v/>
      </c>
      <c r="L65" s="306">
        <f>IF(A65&lt;$F$12,0,IF(AND($B$21=1,A65&gt;$B$19),0,$E$12*$G$12^MIN((A65-$F$12)/12,6)*MIN($G$12,0.85)^MAX(0,(A65-$F$12)/12-6)))</f>
        <v/>
      </c>
      <c r="M65" s="306">
        <f>IF(A65&lt;$F$13,0,IF(AND($B$21=1,A65&gt;$B$19),0,$E$13*$G$13^MIN((A65-$F$13)/12,6)*MIN($G$13,0.85)^MAX(0,(A65-$F$13)/12-6)))</f>
        <v/>
      </c>
      <c r="N65" s="306">
        <f>IF(A65&lt;$F$14,0,IF(AND($B$21=1,A65&gt;$B$19),0,$E$14*$G$14^MIN((A65-$F$14)/12,6)*MIN($G$14,0.85)^MAX(0,(A65-$F$14)/12-6)))</f>
        <v/>
      </c>
      <c r="O65" s="306">
        <f>SUM(F65:N65)</f>
        <v/>
      </c>
      <c r="P65" s="306">
        <f>O65/12</f>
        <v/>
      </c>
      <c r="Q65" s="306">
        <f>P65*$B$8</f>
        <v/>
      </c>
      <c r="R65" s="306">
        <f>P65*$B$9</f>
        <v/>
      </c>
      <c r="S65" s="306">
        <f>P65*$B$10</f>
        <v/>
      </c>
      <c r="T65" s="306">
        <f>P65-Q65-R65-S65-D65-E65</f>
        <v/>
      </c>
      <c r="U65" s="306">
        <f>MAX(0, T65 - $B$7*P65)</f>
        <v/>
      </c>
      <c r="V65" s="306">
        <f>T65-U65</f>
        <v/>
      </c>
      <c r="W65" s="306">
        <f>IF(A65=$F$6, $B$18*$B$16*$B$17/1000000, 0) + IF(A65=$F$7, $B$18*$B$16*$B$17/1000000, 0) + IF(A65=$F$8, $B$18*$B$16*$B$17/1000000, 0) + IF(A65=$F$9, $B$18*$B$16*$B$17/1000000, 0) + IF(A65=$F$10, $B$18*$B$16*$B$17/1000000, 0) + IF(A65=$F$11, $B$18*$B$16*$B$17/1000000, 0) + IF(A65=$F$12, $B$18*$B$16*$B$17/1000000, 0) + IF(A65=$F$13, $B$18*$B$16*$B$17/1000000, 0) + IF(A65=$F$14, $B$18*$B$16*$B$17/1000000, 0)</f>
        <v/>
      </c>
      <c r="X65" s="306">
        <f>V65-W65-C65</f>
        <v/>
      </c>
      <c r="Y65" s="306">
        <f>IF(AND(A65&lt;=$B$24, X65&gt;0), X65*$B$23, 0)</f>
        <v/>
      </c>
      <c r="Z65" s="306">
        <f>X65-Y65</f>
        <v/>
      </c>
      <c r="AA65" s="306">
        <f>IF(AND(A65=$B$19, $B$21=1), O65*$B$20, 0)</f>
        <v/>
      </c>
      <c r="AB65" s="306">
        <f>AB64+Z65+AA65</f>
        <v/>
      </c>
    </row>
    <row r="66">
      <c r="A66" s="306" t="n">
        <v>36</v>
      </c>
      <c r="B66" s="306">
        <f>CEILING(A66/12,1)</f>
        <v/>
      </c>
      <c r="C66" s="306">
        <f>IF(A66&lt;=12, $B$15/12, 0)</f>
        <v/>
      </c>
      <c r="D66" s="306">
        <f>INDEX('26. Team Comp'!$D$28:$R$28, B66) * 0.001 / 12</f>
        <v/>
      </c>
      <c r="E66" s="306">
        <f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+ (IF(MAX(0, A66 - $F$11 + 1)&lt;=0, 0, IF(MAX(0, A66 - $F$11 + 1)&lt;=6, 70 - (70-14)*(MAX(0, A66 - $F$11 + 1)-1)/5, IF(MAX(0, A66 - $F$11 + 1)&lt;=24, 14 - 14*(MAX(0, A66 - $F$11 + 1)-6)/18, 0)))) + (IF(MAX(0, A66 - $F$12 + 1)&lt;=0, 0, IF(MAX(0, A66 - $F$12 + 1)&lt;=6, 70 - (70-14)*(MAX(0, A66 - $F$12 + 1)-1)/5, IF(MAX(0, A66 - $F$12 + 1)&lt;=24, 14 - 14*(MAX(0, A66 - $F$12 + 1)-6)/18, 0)))) + (IF(MAX(0, A66 - $F$13 + 1)&lt;=0, 0, IF(MAX(0, A66 - $F$13 + 1)&lt;=6, 70 - (70-14)*(MAX(0, A66 - $F$13 + 1)-1)/5, IF(MAX(0, A66 - $F$13 + 1)&lt;=24, 14 - 14*(MAX(0, A66 - $F$13 + 1)-6)/18, 0)))) + (IF(MAX(0, A66 - $F$14 + 1)&lt;=0, 0, IF(MAX(0, A66 - $F$14 + 1)&lt;=6, 70 - (70-14)*(MAX(0, A66 - $F$14 + 1)-1)/5, IF(MAX(0, A66 - $F$14 + 1)&lt;=24, 14 - 14*(MAX(0, A66 - $F$14 + 1)-6)/18, 0)))) ) * 200 / 12 / 1000</f>
        <v/>
      </c>
      <c r="F66" s="306">
        <f>IF(A66&lt;$F$6,0,IF(AND($B$21=1,A66&gt;$B$19),0,$E$6*$G$6^MIN((A66-$F$6)/12,6)*MIN($G$6,0.85)^MAX(0,(A66-$F$6)/12-6)))</f>
        <v/>
      </c>
      <c r="G66" s="306">
        <f>IF(A66&lt;$F$7,0,IF(AND($B$21=1,A66&gt;$B$19),0,$E$7*$G$7^MIN((A66-$F$7)/12,6)*MIN($G$7,0.85)^MAX(0,(A66-$F$7)/12-6)))</f>
        <v/>
      </c>
      <c r="H66" s="306">
        <f>IF(A66&lt;$F$8,0,IF(AND($B$21=1,A66&gt;$B$19),0,$E$8*$G$8^MIN((A66-$F$8)/12,6)*MIN($G$8,0.85)^MAX(0,(A66-$F$8)/12-6)))</f>
        <v/>
      </c>
      <c r="I66" s="306">
        <f>IF(A66&lt;$F$9,0,IF(AND($B$21=1,A66&gt;$B$19),0,$E$9*$G$9^MIN((A66-$F$9)/12,6)*MIN($G$9,0.85)^MAX(0,(A66-$F$9)/12-6)))</f>
        <v/>
      </c>
      <c r="J66" s="306">
        <f>IF(A66&lt;$F$10,0,IF(AND($B$21=1,A66&gt;$B$19),0,$E$10*$G$10^MIN((A66-$F$10)/12,6)*MIN($G$10,0.85)^MAX(0,(A66-$F$10)/12-6)))</f>
        <v/>
      </c>
      <c r="K66" s="306">
        <f>IF(A66&lt;$F$11,0,IF(AND($B$21=1,A66&gt;$B$19),0,$E$11*$G$11^MIN((A66-$F$11)/12,6)*MIN($G$11,0.85)^MAX(0,(A66-$F$11)/12-6)))</f>
        <v/>
      </c>
      <c r="L66" s="306">
        <f>IF(A66&lt;$F$12,0,IF(AND($B$21=1,A66&gt;$B$19),0,$E$12*$G$12^MIN((A66-$F$12)/12,6)*MIN($G$12,0.85)^MAX(0,(A66-$F$12)/12-6)))</f>
        <v/>
      </c>
      <c r="M66" s="306">
        <f>IF(A66&lt;$F$13,0,IF(AND($B$21=1,A66&gt;$B$19),0,$E$13*$G$13^MIN((A66-$F$13)/12,6)*MIN($G$13,0.85)^MAX(0,(A66-$F$13)/12-6)))</f>
        <v/>
      </c>
      <c r="N66" s="306">
        <f>IF(A66&lt;$F$14,0,IF(AND($B$21=1,A66&gt;$B$19),0,$E$14*$G$14^MIN((A66-$F$14)/12,6)*MIN($G$14,0.85)^MAX(0,(A66-$F$14)/12-6)))</f>
        <v/>
      </c>
      <c r="O66" s="306">
        <f>SUM(F66:N66)</f>
        <v/>
      </c>
      <c r="P66" s="306">
        <f>O66/12</f>
        <v/>
      </c>
      <c r="Q66" s="306">
        <f>P66*$B$8</f>
        <v/>
      </c>
      <c r="R66" s="306">
        <f>P66*$B$9</f>
        <v/>
      </c>
      <c r="S66" s="306">
        <f>P66*$B$10</f>
        <v/>
      </c>
      <c r="T66" s="306">
        <f>P66-Q66-R66-S66-D66-E66</f>
        <v/>
      </c>
      <c r="U66" s="306">
        <f>MAX(0, T66 - $B$7*P66)</f>
        <v/>
      </c>
      <c r="V66" s="306">
        <f>T66-U66</f>
        <v/>
      </c>
      <c r="W66" s="306">
        <f>IF(A66=$F$6, $B$18*$B$16*$B$17/1000000, 0) + IF(A66=$F$7, $B$18*$B$16*$B$17/1000000, 0) + IF(A66=$F$8, $B$18*$B$16*$B$17/1000000, 0) + IF(A66=$F$9, $B$18*$B$16*$B$17/1000000, 0) + IF(A66=$F$10, $B$18*$B$16*$B$17/1000000, 0) + IF(A66=$F$11, $B$18*$B$16*$B$17/1000000, 0) + IF(A66=$F$12, $B$18*$B$16*$B$17/1000000, 0) + IF(A66=$F$13, $B$18*$B$16*$B$17/1000000, 0) + IF(A66=$F$14, $B$18*$B$16*$B$17/1000000, 0)</f>
        <v/>
      </c>
      <c r="X66" s="306">
        <f>V66-W66-C66</f>
        <v/>
      </c>
      <c r="Y66" s="306">
        <f>IF(AND(A66&lt;=$B$24, X66&gt;0), X66*$B$23, 0)</f>
        <v/>
      </c>
      <c r="Z66" s="306">
        <f>X66-Y66</f>
        <v/>
      </c>
      <c r="AA66" s="306">
        <f>IF(AND(A66=$B$19, $B$21=1), O66*$B$20, 0)</f>
        <v/>
      </c>
      <c r="AB66" s="306">
        <f>AB65+Z66+AA66</f>
        <v/>
      </c>
    </row>
    <row r="67">
      <c r="A67" s="306" t="n">
        <v>37</v>
      </c>
      <c r="B67" s="306">
        <f>CEILING(A67/12,1)</f>
        <v/>
      </c>
      <c r="C67" s="306">
        <f>IF(A67&lt;=12, $B$15/12, 0)</f>
        <v/>
      </c>
      <c r="D67" s="306">
        <f>INDEX('26. Team Comp'!$D$28:$R$28, B67) * 0.001 / 12</f>
        <v/>
      </c>
      <c r="E67" s="306">
        <f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+ (IF(MAX(0, A67 - $F$11 + 1)&lt;=0, 0, IF(MAX(0, A67 - $F$11 + 1)&lt;=6, 70 - (70-14)*(MAX(0, A67 - $F$11 + 1)-1)/5, IF(MAX(0, A67 - $F$11 + 1)&lt;=24, 14 - 14*(MAX(0, A67 - $F$11 + 1)-6)/18, 0)))) + (IF(MAX(0, A67 - $F$12 + 1)&lt;=0, 0, IF(MAX(0, A67 - $F$12 + 1)&lt;=6, 70 - (70-14)*(MAX(0, A67 - $F$12 + 1)-1)/5, IF(MAX(0, A67 - $F$12 + 1)&lt;=24, 14 - 14*(MAX(0, A67 - $F$12 + 1)-6)/18, 0)))) + (IF(MAX(0, A67 - $F$13 + 1)&lt;=0, 0, IF(MAX(0, A67 - $F$13 + 1)&lt;=6, 70 - (70-14)*(MAX(0, A67 - $F$13 + 1)-1)/5, IF(MAX(0, A67 - $F$13 + 1)&lt;=24, 14 - 14*(MAX(0, A67 - $F$13 + 1)-6)/18, 0)))) + (IF(MAX(0, A67 - $F$14 + 1)&lt;=0, 0, IF(MAX(0, A67 - $F$14 + 1)&lt;=6, 70 - (70-14)*(MAX(0, A67 - $F$14 + 1)-1)/5, IF(MAX(0, A67 - $F$14 + 1)&lt;=24, 14 - 14*(MAX(0, A67 - $F$14 + 1)-6)/18, 0)))) ) * 200 / 12 / 1000</f>
        <v/>
      </c>
      <c r="F67" s="306">
        <f>IF(A67&lt;$F$6,0,IF(AND($B$21=1,A67&gt;$B$19),0,$E$6*$G$6^MIN((A67-$F$6)/12,6)*MIN($G$6,0.85)^MAX(0,(A67-$F$6)/12-6)))</f>
        <v/>
      </c>
      <c r="G67" s="306">
        <f>IF(A67&lt;$F$7,0,IF(AND($B$21=1,A67&gt;$B$19),0,$E$7*$G$7^MIN((A67-$F$7)/12,6)*MIN($G$7,0.85)^MAX(0,(A67-$F$7)/12-6)))</f>
        <v/>
      </c>
      <c r="H67" s="306">
        <f>IF(A67&lt;$F$8,0,IF(AND($B$21=1,A67&gt;$B$19),0,$E$8*$G$8^MIN((A67-$F$8)/12,6)*MIN($G$8,0.85)^MAX(0,(A67-$F$8)/12-6)))</f>
        <v/>
      </c>
      <c r="I67" s="306">
        <f>IF(A67&lt;$F$9,0,IF(AND($B$21=1,A67&gt;$B$19),0,$E$9*$G$9^MIN((A67-$F$9)/12,6)*MIN($G$9,0.85)^MAX(0,(A67-$F$9)/12-6)))</f>
        <v/>
      </c>
      <c r="J67" s="306">
        <f>IF(A67&lt;$F$10,0,IF(AND($B$21=1,A67&gt;$B$19),0,$E$10*$G$10^MIN((A67-$F$10)/12,6)*MIN($G$10,0.85)^MAX(0,(A67-$F$10)/12-6)))</f>
        <v/>
      </c>
      <c r="K67" s="306">
        <f>IF(A67&lt;$F$11,0,IF(AND($B$21=1,A67&gt;$B$19),0,$E$11*$G$11^MIN((A67-$F$11)/12,6)*MIN($G$11,0.85)^MAX(0,(A67-$F$11)/12-6)))</f>
        <v/>
      </c>
      <c r="L67" s="306">
        <f>IF(A67&lt;$F$12,0,IF(AND($B$21=1,A67&gt;$B$19),0,$E$12*$G$12^MIN((A67-$F$12)/12,6)*MIN($G$12,0.85)^MAX(0,(A67-$F$12)/12-6)))</f>
        <v/>
      </c>
      <c r="M67" s="306">
        <f>IF(A67&lt;$F$13,0,IF(AND($B$21=1,A67&gt;$B$19),0,$E$13*$G$13^MIN((A67-$F$13)/12,6)*MIN($G$13,0.85)^MAX(0,(A67-$F$13)/12-6)))</f>
        <v/>
      </c>
      <c r="N67" s="306">
        <f>IF(A67&lt;$F$14,0,IF(AND($B$21=1,A67&gt;$B$19),0,$E$14*$G$14^MIN((A67-$F$14)/12,6)*MIN($G$14,0.85)^MAX(0,(A67-$F$14)/12-6)))</f>
        <v/>
      </c>
      <c r="O67" s="306">
        <f>SUM(F67:N67)</f>
        <v/>
      </c>
      <c r="P67" s="306">
        <f>O67/12</f>
        <v/>
      </c>
      <c r="Q67" s="306">
        <f>P67*$B$8</f>
        <v/>
      </c>
      <c r="R67" s="306">
        <f>P67*$B$9</f>
        <v/>
      </c>
      <c r="S67" s="306">
        <f>P67*$B$10</f>
        <v/>
      </c>
      <c r="T67" s="306">
        <f>P67-Q67-R67-S67-D67-E67</f>
        <v/>
      </c>
      <c r="U67" s="306">
        <f>MAX(0, T67 - $B$7*P67)</f>
        <v/>
      </c>
      <c r="V67" s="306">
        <f>T67-U67</f>
        <v/>
      </c>
      <c r="W67" s="306">
        <f>IF(A67=$F$6, $B$18*$B$16*$B$17/1000000, 0) + IF(A67=$F$7, $B$18*$B$16*$B$17/1000000, 0) + IF(A67=$F$8, $B$18*$B$16*$B$17/1000000, 0) + IF(A67=$F$9, $B$18*$B$16*$B$17/1000000, 0) + IF(A67=$F$10, $B$18*$B$16*$B$17/1000000, 0) + IF(A67=$F$11, $B$18*$B$16*$B$17/1000000, 0) + IF(A67=$F$12, $B$18*$B$16*$B$17/1000000, 0) + IF(A67=$F$13, $B$18*$B$16*$B$17/1000000, 0) + IF(A67=$F$14, $B$18*$B$16*$B$17/1000000, 0)</f>
        <v/>
      </c>
      <c r="X67" s="306">
        <f>V67-W67-C67</f>
        <v/>
      </c>
      <c r="Y67" s="306">
        <f>IF(AND(A67&lt;=$B$24, X67&gt;0), X67*$B$23, 0)</f>
        <v/>
      </c>
      <c r="Z67" s="306">
        <f>X67-Y67+MAX(0, SUM(Y31:Y66)-120)</f>
        <v/>
      </c>
      <c r="AA67" s="306">
        <f>IF(AND(A67=$B$19, $B$21=1), O67*$B$20, 0)</f>
        <v/>
      </c>
      <c r="AB67" s="306">
        <f>AB66+Z67+AA67</f>
        <v/>
      </c>
    </row>
    <row r="68">
      <c r="A68" s="306" t="n">
        <v>38</v>
      </c>
      <c r="B68" s="306">
        <f>CEILING(A68/12,1)</f>
        <v/>
      </c>
      <c r="C68" s="306">
        <f>IF(A68&lt;=12, $B$15/12, 0)</f>
        <v/>
      </c>
      <c r="D68" s="306">
        <f>INDEX('26. Team Comp'!$D$28:$R$28, B68) * 0.001 / 12</f>
        <v/>
      </c>
      <c r="E68" s="306">
        <f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+ (IF(MAX(0, A68 - $F$11 + 1)&lt;=0, 0, IF(MAX(0, A68 - $F$11 + 1)&lt;=6, 70 - (70-14)*(MAX(0, A68 - $F$11 + 1)-1)/5, IF(MAX(0, A68 - $F$11 + 1)&lt;=24, 14 - 14*(MAX(0, A68 - $F$11 + 1)-6)/18, 0)))) + (IF(MAX(0, A68 - $F$12 + 1)&lt;=0, 0, IF(MAX(0, A68 - $F$12 + 1)&lt;=6, 70 - (70-14)*(MAX(0, A68 - $F$12 + 1)-1)/5, IF(MAX(0, A68 - $F$12 + 1)&lt;=24, 14 - 14*(MAX(0, A68 - $F$12 + 1)-6)/18, 0)))) + (IF(MAX(0, A68 - $F$13 + 1)&lt;=0, 0, IF(MAX(0, A68 - $F$13 + 1)&lt;=6, 70 - (70-14)*(MAX(0, A68 - $F$13 + 1)-1)/5, IF(MAX(0, A68 - $F$13 + 1)&lt;=24, 14 - 14*(MAX(0, A68 - $F$13 + 1)-6)/18, 0)))) + (IF(MAX(0, A68 - $F$14 + 1)&lt;=0, 0, IF(MAX(0, A68 - $F$14 + 1)&lt;=6, 70 - (70-14)*(MAX(0, A68 - $F$14 + 1)-1)/5, IF(MAX(0, A68 - $F$14 + 1)&lt;=24, 14 - 14*(MAX(0, A68 - $F$14 + 1)-6)/18, 0)))) ) * 200 / 12 / 1000</f>
        <v/>
      </c>
      <c r="F68" s="306">
        <f>IF(A68&lt;$F$6,0,IF(AND($B$21=1,A68&gt;$B$19),0,$E$6*$G$6^MIN((A68-$F$6)/12,6)*MIN($G$6,0.85)^MAX(0,(A68-$F$6)/12-6)))</f>
        <v/>
      </c>
      <c r="G68" s="306">
        <f>IF(A68&lt;$F$7,0,IF(AND($B$21=1,A68&gt;$B$19),0,$E$7*$G$7^MIN((A68-$F$7)/12,6)*MIN($G$7,0.85)^MAX(0,(A68-$F$7)/12-6)))</f>
        <v/>
      </c>
      <c r="H68" s="306">
        <f>IF(A68&lt;$F$8,0,IF(AND($B$21=1,A68&gt;$B$19),0,$E$8*$G$8^MIN((A68-$F$8)/12,6)*MIN($G$8,0.85)^MAX(0,(A68-$F$8)/12-6)))</f>
        <v/>
      </c>
      <c r="I68" s="306">
        <f>IF(A68&lt;$F$9,0,IF(AND($B$21=1,A68&gt;$B$19),0,$E$9*$G$9^MIN((A68-$F$9)/12,6)*MIN($G$9,0.85)^MAX(0,(A68-$F$9)/12-6)))</f>
        <v/>
      </c>
      <c r="J68" s="306">
        <f>IF(A68&lt;$F$10,0,IF(AND($B$21=1,A68&gt;$B$19),0,$E$10*$G$10^MIN((A68-$F$10)/12,6)*MIN($G$10,0.85)^MAX(0,(A68-$F$10)/12-6)))</f>
        <v/>
      </c>
      <c r="K68" s="306">
        <f>IF(A68&lt;$F$11,0,IF(AND($B$21=1,A68&gt;$B$19),0,$E$11*$G$11^MIN((A68-$F$11)/12,6)*MIN($G$11,0.85)^MAX(0,(A68-$F$11)/12-6)))</f>
        <v/>
      </c>
      <c r="L68" s="306">
        <f>IF(A68&lt;$F$12,0,IF(AND($B$21=1,A68&gt;$B$19),0,$E$12*$G$12^MIN((A68-$F$12)/12,6)*MIN($G$12,0.85)^MAX(0,(A68-$F$12)/12-6)))</f>
        <v/>
      </c>
      <c r="M68" s="306">
        <f>IF(A68&lt;$F$13,0,IF(AND($B$21=1,A68&gt;$B$19),0,$E$13*$G$13^MIN((A68-$F$13)/12,6)*MIN($G$13,0.85)^MAX(0,(A68-$F$13)/12-6)))</f>
        <v/>
      </c>
      <c r="N68" s="306">
        <f>IF(A68&lt;$F$14,0,IF(AND($B$21=1,A68&gt;$B$19),0,$E$14*$G$14^MIN((A68-$F$14)/12,6)*MIN($G$14,0.85)^MAX(0,(A68-$F$14)/12-6)))</f>
        <v/>
      </c>
      <c r="O68" s="306">
        <f>SUM(F68:N68)</f>
        <v/>
      </c>
      <c r="P68" s="306">
        <f>O68/12</f>
        <v/>
      </c>
      <c r="Q68" s="306">
        <f>P68*$B$8</f>
        <v/>
      </c>
      <c r="R68" s="306">
        <f>P68*$B$9</f>
        <v/>
      </c>
      <c r="S68" s="306">
        <f>P68*$B$10</f>
        <v/>
      </c>
      <c r="T68" s="306">
        <f>P68-Q68-R68-S68-D68-E68</f>
        <v/>
      </c>
      <c r="U68" s="306">
        <f>MAX(0, T68 - $B$7*P68)</f>
        <v/>
      </c>
      <c r="V68" s="306">
        <f>T68-U68</f>
        <v/>
      </c>
      <c r="W68" s="306">
        <f>IF(A68=$F$6, $B$18*$B$16*$B$17/1000000, 0) + IF(A68=$F$7, $B$18*$B$16*$B$17/1000000, 0) + IF(A68=$F$8, $B$18*$B$16*$B$17/1000000, 0) + IF(A68=$F$9, $B$18*$B$16*$B$17/1000000, 0) + IF(A68=$F$10, $B$18*$B$16*$B$17/1000000, 0) + IF(A68=$F$11, $B$18*$B$16*$B$17/1000000, 0) + IF(A68=$F$12, $B$18*$B$16*$B$17/1000000, 0) + IF(A68=$F$13, $B$18*$B$16*$B$17/1000000, 0) + IF(A68=$F$14, $B$18*$B$16*$B$17/1000000, 0)</f>
        <v/>
      </c>
      <c r="X68" s="306">
        <f>V68-W68-C68</f>
        <v/>
      </c>
      <c r="Y68" s="306">
        <f>IF(AND(A68&lt;=$B$24, X68&gt;0), X68*$B$23, 0)</f>
        <v/>
      </c>
      <c r="Z68" s="306">
        <f>X68-Y68</f>
        <v/>
      </c>
      <c r="AA68" s="306">
        <f>IF(AND(A68=$B$19, $B$21=1), O68*$B$20, 0)</f>
        <v/>
      </c>
      <c r="AB68" s="306">
        <f>AB67+Z68+AA68</f>
        <v/>
      </c>
    </row>
    <row r="69">
      <c r="A69" s="306" t="n">
        <v>39</v>
      </c>
      <c r="B69" s="306">
        <f>CEILING(A69/12,1)</f>
        <v/>
      </c>
      <c r="C69" s="306">
        <f>IF(A69&lt;=12, $B$15/12, 0)</f>
        <v/>
      </c>
      <c r="D69" s="306">
        <f>INDEX('26. Team Comp'!$D$28:$R$28, B69) * 0.001 / 12</f>
        <v/>
      </c>
      <c r="E69" s="306">
        <f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+ (IF(MAX(0, A69 - $F$11 + 1)&lt;=0, 0, IF(MAX(0, A69 - $F$11 + 1)&lt;=6, 70 - (70-14)*(MAX(0, A69 - $F$11 + 1)-1)/5, IF(MAX(0, A69 - $F$11 + 1)&lt;=24, 14 - 14*(MAX(0, A69 - $F$11 + 1)-6)/18, 0)))) + (IF(MAX(0, A69 - $F$12 + 1)&lt;=0, 0, IF(MAX(0, A69 - $F$12 + 1)&lt;=6, 70 - (70-14)*(MAX(0, A69 - $F$12 + 1)-1)/5, IF(MAX(0, A69 - $F$12 + 1)&lt;=24, 14 - 14*(MAX(0, A69 - $F$12 + 1)-6)/18, 0)))) + (IF(MAX(0, A69 - $F$13 + 1)&lt;=0, 0, IF(MAX(0, A69 - $F$13 + 1)&lt;=6, 70 - (70-14)*(MAX(0, A69 - $F$13 + 1)-1)/5, IF(MAX(0, A69 - $F$13 + 1)&lt;=24, 14 - 14*(MAX(0, A69 - $F$13 + 1)-6)/18, 0)))) + (IF(MAX(0, A69 - $F$14 + 1)&lt;=0, 0, IF(MAX(0, A69 - $F$14 + 1)&lt;=6, 70 - (70-14)*(MAX(0, A69 - $F$14 + 1)-1)/5, IF(MAX(0, A69 - $F$14 + 1)&lt;=24, 14 - 14*(MAX(0, A69 - $F$14 + 1)-6)/18, 0)))) ) * 200 / 12 / 1000</f>
        <v/>
      </c>
      <c r="F69" s="306">
        <f>IF(A69&lt;$F$6,0,IF(AND($B$21=1,A69&gt;$B$19),0,$E$6*$G$6^MIN((A69-$F$6)/12,6)*MIN($G$6,0.85)^MAX(0,(A69-$F$6)/12-6)))</f>
        <v/>
      </c>
      <c r="G69" s="306">
        <f>IF(A69&lt;$F$7,0,IF(AND($B$21=1,A69&gt;$B$19),0,$E$7*$G$7^MIN((A69-$F$7)/12,6)*MIN($G$7,0.85)^MAX(0,(A69-$F$7)/12-6)))</f>
        <v/>
      </c>
      <c r="H69" s="306">
        <f>IF(A69&lt;$F$8,0,IF(AND($B$21=1,A69&gt;$B$19),0,$E$8*$G$8^MIN((A69-$F$8)/12,6)*MIN($G$8,0.85)^MAX(0,(A69-$F$8)/12-6)))</f>
        <v/>
      </c>
      <c r="I69" s="306">
        <f>IF(A69&lt;$F$9,0,IF(AND($B$21=1,A69&gt;$B$19),0,$E$9*$G$9^MIN((A69-$F$9)/12,6)*MIN($G$9,0.85)^MAX(0,(A69-$F$9)/12-6)))</f>
        <v/>
      </c>
      <c r="J69" s="306">
        <f>IF(A69&lt;$F$10,0,IF(AND($B$21=1,A69&gt;$B$19),0,$E$10*$G$10^MIN((A69-$F$10)/12,6)*MIN($G$10,0.85)^MAX(0,(A69-$F$10)/12-6)))</f>
        <v/>
      </c>
      <c r="K69" s="306">
        <f>IF(A69&lt;$F$11,0,IF(AND($B$21=1,A69&gt;$B$19),0,$E$11*$G$11^MIN((A69-$F$11)/12,6)*MIN($G$11,0.85)^MAX(0,(A69-$F$11)/12-6)))</f>
        <v/>
      </c>
      <c r="L69" s="306">
        <f>IF(A69&lt;$F$12,0,IF(AND($B$21=1,A69&gt;$B$19),0,$E$12*$G$12^MIN((A69-$F$12)/12,6)*MIN($G$12,0.85)^MAX(0,(A69-$F$12)/12-6)))</f>
        <v/>
      </c>
      <c r="M69" s="306">
        <f>IF(A69&lt;$F$13,0,IF(AND($B$21=1,A69&gt;$B$19),0,$E$13*$G$13^MIN((A69-$F$13)/12,6)*MIN($G$13,0.85)^MAX(0,(A69-$F$13)/12-6)))</f>
        <v/>
      </c>
      <c r="N69" s="306">
        <f>IF(A69&lt;$F$14,0,IF(AND($B$21=1,A69&gt;$B$19),0,$E$14*$G$14^MIN((A69-$F$14)/12,6)*MIN($G$14,0.85)^MAX(0,(A69-$F$14)/12-6)))</f>
        <v/>
      </c>
      <c r="O69" s="306">
        <f>SUM(F69:N69)</f>
        <v/>
      </c>
      <c r="P69" s="306">
        <f>O69/12</f>
        <v/>
      </c>
      <c r="Q69" s="306">
        <f>P69*$B$8</f>
        <v/>
      </c>
      <c r="R69" s="306">
        <f>P69*$B$9</f>
        <v/>
      </c>
      <c r="S69" s="306">
        <f>P69*$B$10</f>
        <v/>
      </c>
      <c r="T69" s="306">
        <f>P69-Q69-R69-S69-D69-E69</f>
        <v/>
      </c>
      <c r="U69" s="306">
        <f>MAX(0, T69 - $B$7*P69)</f>
        <v/>
      </c>
      <c r="V69" s="306">
        <f>T69-U69</f>
        <v/>
      </c>
      <c r="W69" s="306">
        <f>IF(A69=$F$6, $B$18*$B$16*$B$17/1000000, 0) + IF(A69=$F$7, $B$18*$B$16*$B$17/1000000, 0) + IF(A69=$F$8, $B$18*$B$16*$B$17/1000000, 0) + IF(A69=$F$9, $B$18*$B$16*$B$17/1000000, 0) + IF(A69=$F$10, $B$18*$B$16*$B$17/1000000, 0) + IF(A69=$F$11, $B$18*$B$16*$B$17/1000000, 0) + IF(A69=$F$12, $B$18*$B$16*$B$17/1000000, 0) + IF(A69=$F$13, $B$18*$B$16*$B$17/1000000, 0) + IF(A69=$F$14, $B$18*$B$16*$B$17/1000000, 0)</f>
        <v/>
      </c>
      <c r="X69" s="306">
        <f>V69-W69-C69</f>
        <v/>
      </c>
      <c r="Y69" s="306">
        <f>IF(AND(A69&lt;=$B$24, X69&gt;0), X69*$B$23, 0)</f>
        <v/>
      </c>
      <c r="Z69" s="306">
        <f>X69-Y69</f>
        <v/>
      </c>
      <c r="AA69" s="306">
        <f>IF(AND(A69=$B$19, $B$21=1), O69*$B$20, 0)</f>
        <v/>
      </c>
      <c r="AB69" s="306">
        <f>AB68+Z69+AA69</f>
        <v/>
      </c>
    </row>
    <row r="70">
      <c r="A70" s="306" t="n">
        <v>40</v>
      </c>
      <c r="B70" s="306">
        <f>CEILING(A70/12,1)</f>
        <v/>
      </c>
      <c r="C70" s="306">
        <f>IF(A70&lt;=12, $B$15/12, 0)</f>
        <v/>
      </c>
      <c r="D70" s="306">
        <f>INDEX('26. Team Comp'!$D$28:$R$28, B70) * 0.001 / 12</f>
        <v/>
      </c>
      <c r="E70" s="306">
        <f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+ (IF(MAX(0, A70 - $F$11 + 1)&lt;=0, 0, IF(MAX(0, A70 - $F$11 + 1)&lt;=6, 70 - (70-14)*(MAX(0, A70 - $F$11 + 1)-1)/5, IF(MAX(0, A70 - $F$11 + 1)&lt;=24, 14 - 14*(MAX(0, A70 - $F$11 + 1)-6)/18, 0)))) + (IF(MAX(0, A70 - $F$12 + 1)&lt;=0, 0, IF(MAX(0, A70 - $F$12 + 1)&lt;=6, 70 - (70-14)*(MAX(0, A70 - $F$12 + 1)-1)/5, IF(MAX(0, A70 - $F$12 + 1)&lt;=24, 14 - 14*(MAX(0, A70 - $F$12 + 1)-6)/18, 0)))) + (IF(MAX(0, A70 - $F$13 + 1)&lt;=0, 0, IF(MAX(0, A70 - $F$13 + 1)&lt;=6, 70 - (70-14)*(MAX(0, A70 - $F$13 + 1)-1)/5, IF(MAX(0, A70 - $F$13 + 1)&lt;=24, 14 - 14*(MAX(0, A70 - $F$13 + 1)-6)/18, 0)))) + (IF(MAX(0, A70 - $F$14 + 1)&lt;=0, 0, IF(MAX(0, A70 - $F$14 + 1)&lt;=6, 70 - (70-14)*(MAX(0, A70 - $F$14 + 1)-1)/5, IF(MAX(0, A70 - $F$14 + 1)&lt;=24, 14 - 14*(MAX(0, A70 - $F$14 + 1)-6)/18, 0)))) ) * 200 / 12 / 1000</f>
        <v/>
      </c>
      <c r="F70" s="306">
        <f>IF(A70&lt;$F$6,0,IF(AND($B$21=1,A70&gt;$B$19),0,$E$6*$G$6^MIN((A70-$F$6)/12,6)*MIN($G$6,0.85)^MAX(0,(A70-$F$6)/12-6)))</f>
        <v/>
      </c>
      <c r="G70" s="306">
        <f>IF(A70&lt;$F$7,0,IF(AND($B$21=1,A70&gt;$B$19),0,$E$7*$G$7^MIN((A70-$F$7)/12,6)*MIN($G$7,0.85)^MAX(0,(A70-$F$7)/12-6)))</f>
        <v/>
      </c>
      <c r="H70" s="306">
        <f>IF(A70&lt;$F$8,0,IF(AND($B$21=1,A70&gt;$B$19),0,$E$8*$G$8^MIN((A70-$F$8)/12,6)*MIN($G$8,0.85)^MAX(0,(A70-$F$8)/12-6)))</f>
        <v/>
      </c>
      <c r="I70" s="306">
        <f>IF(A70&lt;$F$9,0,IF(AND($B$21=1,A70&gt;$B$19),0,$E$9*$G$9^MIN((A70-$F$9)/12,6)*MIN($G$9,0.85)^MAX(0,(A70-$F$9)/12-6)))</f>
        <v/>
      </c>
      <c r="J70" s="306">
        <f>IF(A70&lt;$F$10,0,IF(AND($B$21=1,A70&gt;$B$19),0,$E$10*$G$10^MIN((A70-$F$10)/12,6)*MIN($G$10,0.85)^MAX(0,(A70-$F$10)/12-6)))</f>
        <v/>
      </c>
      <c r="K70" s="306">
        <f>IF(A70&lt;$F$11,0,IF(AND($B$21=1,A70&gt;$B$19),0,$E$11*$G$11^MIN((A70-$F$11)/12,6)*MIN($G$11,0.85)^MAX(0,(A70-$F$11)/12-6)))</f>
        <v/>
      </c>
      <c r="L70" s="306">
        <f>IF(A70&lt;$F$12,0,IF(AND($B$21=1,A70&gt;$B$19),0,$E$12*$G$12^MIN((A70-$F$12)/12,6)*MIN($G$12,0.85)^MAX(0,(A70-$F$12)/12-6)))</f>
        <v/>
      </c>
      <c r="M70" s="306">
        <f>IF(A70&lt;$F$13,0,IF(AND($B$21=1,A70&gt;$B$19),0,$E$13*$G$13^MIN((A70-$F$13)/12,6)*MIN($G$13,0.85)^MAX(0,(A70-$F$13)/12-6)))</f>
        <v/>
      </c>
      <c r="N70" s="306">
        <f>IF(A70&lt;$F$14,0,IF(AND($B$21=1,A70&gt;$B$19),0,$E$14*$G$14^MIN((A70-$F$14)/12,6)*MIN($G$14,0.85)^MAX(0,(A70-$F$14)/12-6)))</f>
        <v/>
      </c>
      <c r="O70" s="306">
        <f>SUM(F70:N70)</f>
        <v/>
      </c>
      <c r="P70" s="306">
        <f>O70/12</f>
        <v/>
      </c>
      <c r="Q70" s="306">
        <f>P70*$B$8</f>
        <v/>
      </c>
      <c r="R70" s="306">
        <f>P70*$B$9</f>
        <v/>
      </c>
      <c r="S70" s="306">
        <f>P70*$B$10</f>
        <v/>
      </c>
      <c r="T70" s="306">
        <f>P70-Q70-R70-S70-D70-E70</f>
        <v/>
      </c>
      <c r="U70" s="306">
        <f>MAX(0, T70 - $B$7*P70)</f>
        <v/>
      </c>
      <c r="V70" s="306">
        <f>T70-U70</f>
        <v/>
      </c>
      <c r="W70" s="306">
        <f>IF(A70=$F$6, $B$18*$B$16*$B$17/1000000, 0) + IF(A70=$F$7, $B$18*$B$16*$B$17/1000000, 0) + IF(A70=$F$8, $B$18*$B$16*$B$17/1000000, 0) + IF(A70=$F$9, $B$18*$B$16*$B$17/1000000, 0) + IF(A70=$F$10, $B$18*$B$16*$B$17/1000000, 0) + IF(A70=$F$11, $B$18*$B$16*$B$17/1000000, 0) + IF(A70=$F$12, $B$18*$B$16*$B$17/1000000, 0) + IF(A70=$F$13, $B$18*$B$16*$B$17/1000000, 0) + IF(A70=$F$14, $B$18*$B$16*$B$17/1000000, 0)</f>
        <v/>
      </c>
      <c r="X70" s="306">
        <f>V70-W70-C70</f>
        <v/>
      </c>
      <c r="Y70" s="306">
        <f>IF(AND(A70&lt;=$B$24, X70&gt;0), X70*$B$23, 0)</f>
        <v/>
      </c>
      <c r="Z70" s="306">
        <f>X70-Y70</f>
        <v/>
      </c>
      <c r="AA70" s="306">
        <f>IF(AND(A70=$B$19, $B$21=1), O70*$B$20, 0)</f>
        <v/>
      </c>
      <c r="AB70" s="306">
        <f>AB69+Z70+AA70</f>
        <v/>
      </c>
    </row>
    <row r="71">
      <c r="A71" s="306" t="n">
        <v>41</v>
      </c>
      <c r="B71" s="306">
        <f>CEILING(A71/12,1)</f>
        <v/>
      </c>
      <c r="C71" s="306">
        <f>IF(A71&lt;=12, $B$15/12, 0)</f>
        <v/>
      </c>
      <c r="D71" s="306">
        <f>INDEX('26. Team Comp'!$D$28:$R$28, B71) * 0.001 / 12</f>
        <v/>
      </c>
      <c r="E71" s="306">
        <f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+ (IF(MAX(0, A71 - $F$11 + 1)&lt;=0, 0, IF(MAX(0, A71 - $F$11 + 1)&lt;=6, 70 - (70-14)*(MAX(0, A71 - $F$11 + 1)-1)/5, IF(MAX(0, A71 - $F$11 + 1)&lt;=24, 14 - 14*(MAX(0, A71 - $F$11 + 1)-6)/18, 0)))) + (IF(MAX(0, A71 - $F$12 + 1)&lt;=0, 0, IF(MAX(0, A71 - $F$12 + 1)&lt;=6, 70 - (70-14)*(MAX(0, A71 - $F$12 + 1)-1)/5, IF(MAX(0, A71 - $F$12 + 1)&lt;=24, 14 - 14*(MAX(0, A71 - $F$12 + 1)-6)/18, 0)))) + (IF(MAX(0, A71 - $F$13 + 1)&lt;=0, 0, IF(MAX(0, A71 - $F$13 + 1)&lt;=6, 70 - (70-14)*(MAX(0, A71 - $F$13 + 1)-1)/5, IF(MAX(0, A71 - $F$13 + 1)&lt;=24, 14 - 14*(MAX(0, A71 - $F$13 + 1)-6)/18, 0)))) + (IF(MAX(0, A71 - $F$14 + 1)&lt;=0, 0, IF(MAX(0, A71 - $F$14 + 1)&lt;=6, 70 - (70-14)*(MAX(0, A71 - $F$14 + 1)-1)/5, IF(MAX(0, A71 - $F$14 + 1)&lt;=24, 14 - 14*(MAX(0, A71 - $F$14 + 1)-6)/18, 0)))) ) * 200 / 12 / 1000</f>
        <v/>
      </c>
      <c r="F71" s="306">
        <f>IF(A71&lt;$F$6,0,IF(AND($B$21=1,A71&gt;$B$19),0,$E$6*$G$6^MIN((A71-$F$6)/12,6)*MIN($G$6,0.85)^MAX(0,(A71-$F$6)/12-6)))</f>
        <v/>
      </c>
      <c r="G71" s="306">
        <f>IF(A71&lt;$F$7,0,IF(AND($B$21=1,A71&gt;$B$19),0,$E$7*$G$7^MIN((A71-$F$7)/12,6)*MIN($G$7,0.85)^MAX(0,(A71-$F$7)/12-6)))</f>
        <v/>
      </c>
      <c r="H71" s="306">
        <f>IF(A71&lt;$F$8,0,IF(AND($B$21=1,A71&gt;$B$19),0,$E$8*$G$8^MIN((A71-$F$8)/12,6)*MIN($G$8,0.85)^MAX(0,(A71-$F$8)/12-6)))</f>
        <v/>
      </c>
      <c r="I71" s="306">
        <f>IF(A71&lt;$F$9,0,IF(AND($B$21=1,A71&gt;$B$19),0,$E$9*$G$9^MIN((A71-$F$9)/12,6)*MIN($G$9,0.85)^MAX(0,(A71-$F$9)/12-6)))</f>
        <v/>
      </c>
      <c r="J71" s="306">
        <f>IF(A71&lt;$F$10,0,IF(AND($B$21=1,A71&gt;$B$19),0,$E$10*$G$10^MIN((A71-$F$10)/12,6)*MIN($G$10,0.85)^MAX(0,(A71-$F$10)/12-6)))</f>
        <v/>
      </c>
      <c r="K71" s="306">
        <f>IF(A71&lt;$F$11,0,IF(AND($B$21=1,A71&gt;$B$19),0,$E$11*$G$11^MIN((A71-$F$11)/12,6)*MIN($G$11,0.85)^MAX(0,(A71-$F$11)/12-6)))</f>
        <v/>
      </c>
      <c r="L71" s="306">
        <f>IF(A71&lt;$F$12,0,IF(AND($B$21=1,A71&gt;$B$19),0,$E$12*$G$12^MIN((A71-$F$12)/12,6)*MIN($G$12,0.85)^MAX(0,(A71-$F$12)/12-6)))</f>
        <v/>
      </c>
      <c r="M71" s="306">
        <f>IF(A71&lt;$F$13,0,IF(AND($B$21=1,A71&gt;$B$19),0,$E$13*$G$13^MIN((A71-$F$13)/12,6)*MIN($G$13,0.85)^MAX(0,(A71-$F$13)/12-6)))</f>
        <v/>
      </c>
      <c r="N71" s="306">
        <f>IF(A71&lt;$F$14,0,IF(AND($B$21=1,A71&gt;$B$19),0,$E$14*$G$14^MIN((A71-$F$14)/12,6)*MIN($G$14,0.85)^MAX(0,(A71-$F$14)/12-6)))</f>
        <v/>
      </c>
      <c r="O71" s="306">
        <f>SUM(F71:N71)</f>
        <v/>
      </c>
      <c r="P71" s="306">
        <f>O71/12</f>
        <v/>
      </c>
      <c r="Q71" s="306">
        <f>P71*$B$8</f>
        <v/>
      </c>
      <c r="R71" s="306">
        <f>P71*$B$9</f>
        <v/>
      </c>
      <c r="S71" s="306">
        <f>P71*$B$10</f>
        <v/>
      </c>
      <c r="T71" s="306">
        <f>P71-Q71-R71-S71-D71-E71</f>
        <v/>
      </c>
      <c r="U71" s="306">
        <f>MAX(0, T71 - $B$7*P71)</f>
        <v/>
      </c>
      <c r="V71" s="306">
        <f>T71-U71</f>
        <v/>
      </c>
      <c r="W71" s="306">
        <f>IF(A71=$F$6, $B$18*$B$16*$B$17/1000000, 0) + IF(A71=$F$7, $B$18*$B$16*$B$17/1000000, 0) + IF(A71=$F$8, $B$18*$B$16*$B$17/1000000, 0) + IF(A71=$F$9, $B$18*$B$16*$B$17/1000000, 0) + IF(A71=$F$10, $B$18*$B$16*$B$17/1000000, 0) + IF(A71=$F$11, $B$18*$B$16*$B$17/1000000, 0) + IF(A71=$F$12, $B$18*$B$16*$B$17/1000000, 0) + IF(A71=$F$13, $B$18*$B$16*$B$17/1000000, 0) + IF(A71=$F$14, $B$18*$B$16*$B$17/1000000, 0)</f>
        <v/>
      </c>
      <c r="X71" s="306">
        <f>V71-W71-C71</f>
        <v/>
      </c>
      <c r="Y71" s="306">
        <f>IF(AND(A71&lt;=$B$24, X71&gt;0), X71*$B$23, 0)</f>
        <v/>
      </c>
      <c r="Z71" s="306">
        <f>X71-Y71</f>
        <v/>
      </c>
      <c r="AA71" s="306">
        <f>IF(AND(A71=$B$19, $B$21=1), O71*$B$20, 0)</f>
        <v/>
      </c>
      <c r="AB71" s="306">
        <f>AB70+Z71+AA71</f>
        <v/>
      </c>
    </row>
    <row r="72">
      <c r="A72" s="306" t="n">
        <v>42</v>
      </c>
      <c r="B72" s="306">
        <f>CEILING(A72/12,1)</f>
        <v/>
      </c>
      <c r="C72" s="306">
        <f>IF(A72&lt;=12, $B$15/12, 0)</f>
        <v/>
      </c>
      <c r="D72" s="306">
        <f>INDEX('26. Team Comp'!$D$28:$R$28, B72) * 0.001 / 12</f>
        <v/>
      </c>
      <c r="E72" s="306">
        <f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+ (IF(MAX(0, A72 - $F$11 + 1)&lt;=0, 0, IF(MAX(0, A72 - $F$11 + 1)&lt;=6, 70 - (70-14)*(MAX(0, A72 - $F$11 + 1)-1)/5, IF(MAX(0, A72 - $F$11 + 1)&lt;=24, 14 - 14*(MAX(0, A72 - $F$11 + 1)-6)/18, 0)))) + (IF(MAX(0, A72 - $F$12 + 1)&lt;=0, 0, IF(MAX(0, A72 - $F$12 + 1)&lt;=6, 70 - (70-14)*(MAX(0, A72 - $F$12 + 1)-1)/5, IF(MAX(0, A72 - $F$12 + 1)&lt;=24, 14 - 14*(MAX(0, A72 - $F$12 + 1)-6)/18, 0)))) + (IF(MAX(0, A72 - $F$13 + 1)&lt;=0, 0, IF(MAX(0, A72 - $F$13 + 1)&lt;=6, 70 - (70-14)*(MAX(0, A72 - $F$13 + 1)-1)/5, IF(MAX(0, A72 - $F$13 + 1)&lt;=24, 14 - 14*(MAX(0, A72 - $F$13 + 1)-6)/18, 0)))) + (IF(MAX(0, A72 - $F$14 + 1)&lt;=0, 0, IF(MAX(0, A72 - $F$14 + 1)&lt;=6, 70 - (70-14)*(MAX(0, A72 - $F$14 + 1)-1)/5, IF(MAX(0, A72 - $F$14 + 1)&lt;=24, 14 - 14*(MAX(0, A72 - $F$14 + 1)-6)/18, 0)))) ) * 200 / 12 / 1000</f>
        <v/>
      </c>
      <c r="F72" s="306">
        <f>IF(A72&lt;$F$6,0,IF(AND($B$21=1,A72&gt;$B$19),0,$E$6*$G$6^MIN((A72-$F$6)/12,6)*MIN($G$6,0.85)^MAX(0,(A72-$F$6)/12-6)))</f>
        <v/>
      </c>
      <c r="G72" s="306">
        <f>IF(A72&lt;$F$7,0,IF(AND($B$21=1,A72&gt;$B$19),0,$E$7*$G$7^MIN((A72-$F$7)/12,6)*MIN($G$7,0.85)^MAX(0,(A72-$F$7)/12-6)))</f>
        <v/>
      </c>
      <c r="H72" s="306">
        <f>IF(A72&lt;$F$8,0,IF(AND($B$21=1,A72&gt;$B$19),0,$E$8*$G$8^MIN((A72-$F$8)/12,6)*MIN($G$8,0.85)^MAX(0,(A72-$F$8)/12-6)))</f>
        <v/>
      </c>
      <c r="I72" s="306">
        <f>IF(A72&lt;$F$9,0,IF(AND($B$21=1,A72&gt;$B$19),0,$E$9*$G$9^MIN((A72-$F$9)/12,6)*MIN($G$9,0.85)^MAX(0,(A72-$F$9)/12-6)))</f>
        <v/>
      </c>
      <c r="J72" s="306">
        <f>IF(A72&lt;$F$10,0,IF(AND($B$21=1,A72&gt;$B$19),0,$E$10*$G$10^MIN((A72-$F$10)/12,6)*MIN($G$10,0.85)^MAX(0,(A72-$F$10)/12-6)))</f>
        <v/>
      </c>
      <c r="K72" s="306">
        <f>IF(A72&lt;$F$11,0,IF(AND($B$21=1,A72&gt;$B$19),0,$E$11*$G$11^MIN((A72-$F$11)/12,6)*MIN($G$11,0.85)^MAX(0,(A72-$F$11)/12-6)))</f>
        <v/>
      </c>
      <c r="L72" s="306">
        <f>IF(A72&lt;$F$12,0,IF(AND($B$21=1,A72&gt;$B$19),0,$E$12*$G$12^MIN((A72-$F$12)/12,6)*MIN($G$12,0.85)^MAX(0,(A72-$F$12)/12-6)))</f>
        <v/>
      </c>
      <c r="M72" s="306">
        <f>IF(A72&lt;$F$13,0,IF(AND($B$21=1,A72&gt;$B$19),0,$E$13*$G$13^MIN((A72-$F$13)/12,6)*MIN($G$13,0.85)^MAX(0,(A72-$F$13)/12-6)))</f>
        <v/>
      </c>
      <c r="N72" s="306">
        <f>IF(A72&lt;$F$14,0,IF(AND($B$21=1,A72&gt;$B$19),0,$E$14*$G$14^MIN((A72-$F$14)/12,6)*MIN($G$14,0.85)^MAX(0,(A72-$F$14)/12-6)))</f>
        <v/>
      </c>
      <c r="O72" s="306">
        <f>SUM(F72:N72)</f>
        <v/>
      </c>
      <c r="P72" s="306">
        <f>O72/12</f>
        <v/>
      </c>
      <c r="Q72" s="306">
        <f>P72*$B$8</f>
        <v/>
      </c>
      <c r="R72" s="306">
        <f>P72*$B$9</f>
        <v/>
      </c>
      <c r="S72" s="306">
        <f>P72*$B$10</f>
        <v/>
      </c>
      <c r="T72" s="306">
        <f>P72-Q72-R72-S72-D72-E72</f>
        <v/>
      </c>
      <c r="U72" s="306">
        <f>MAX(0, T72 - $B$7*P72)</f>
        <v/>
      </c>
      <c r="V72" s="306">
        <f>T72-U72</f>
        <v/>
      </c>
      <c r="W72" s="306">
        <f>IF(A72=$F$6, $B$18*$B$16*$B$17/1000000, 0) + IF(A72=$F$7, $B$18*$B$16*$B$17/1000000, 0) + IF(A72=$F$8, $B$18*$B$16*$B$17/1000000, 0) + IF(A72=$F$9, $B$18*$B$16*$B$17/1000000, 0) + IF(A72=$F$10, $B$18*$B$16*$B$17/1000000, 0) + IF(A72=$F$11, $B$18*$B$16*$B$17/1000000, 0) + IF(A72=$F$12, $B$18*$B$16*$B$17/1000000, 0) + IF(A72=$F$13, $B$18*$B$16*$B$17/1000000, 0) + IF(A72=$F$14, $B$18*$B$16*$B$17/1000000, 0)</f>
        <v/>
      </c>
      <c r="X72" s="306">
        <f>V72-W72-C72</f>
        <v/>
      </c>
      <c r="Y72" s="306">
        <f>IF(AND(A72&lt;=$B$24, X72&gt;0), X72*$B$23, 0)</f>
        <v/>
      </c>
      <c r="Z72" s="306">
        <f>X72-Y72</f>
        <v/>
      </c>
      <c r="AA72" s="306">
        <f>IF(AND(A72=$B$19, $B$21=1), O72*$B$20, 0)</f>
        <v/>
      </c>
      <c r="AB72" s="306">
        <f>AB71+Z72+AA72</f>
        <v/>
      </c>
    </row>
    <row r="73">
      <c r="A73" s="306" t="n">
        <v>43</v>
      </c>
      <c r="B73" s="306">
        <f>CEILING(A73/12,1)</f>
        <v/>
      </c>
      <c r="C73" s="306">
        <f>IF(A73&lt;=12, $B$15/12, 0)</f>
        <v/>
      </c>
      <c r="D73" s="306">
        <f>INDEX('26. Team Comp'!$D$28:$R$28, B73) * 0.001 / 12</f>
        <v/>
      </c>
      <c r="E73" s="306">
        <f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+ (IF(MAX(0, A73 - $F$11 + 1)&lt;=0, 0, IF(MAX(0, A73 - $F$11 + 1)&lt;=6, 70 - (70-14)*(MAX(0, A73 - $F$11 + 1)-1)/5, IF(MAX(0, A73 - $F$11 + 1)&lt;=24, 14 - 14*(MAX(0, A73 - $F$11 + 1)-6)/18, 0)))) + (IF(MAX(0, A73 - $F$12 + 1)&lt;=0, 0, IF(MAX(0, A73 - $F$12 + 1)&lt;=6, 70 - (70-14)*(MAX(0, A73 - $F$12 + 1)-1)/5, IF(MAX(0, A73 - $F$12 + 1)&lt;=24, 14 - 14*(MAX(0, A73 - $F$12 + 1)-6)/18, 0)))) + (IF(MAX(0, A73 - $F$13 + 1)&lt;=0, 0, IF(MAX(0, A73 - $F$13 + 1)&lt;=6, 70 - (70-14)*(MAX(0, A73 - $F$13 + 1)-1)/5, IF(MAX(0, A73 - $F$13 + 1)&lt;=24, 14 - 14*(MAX(0, A73 - $F$13 + 1)-6)/18, 0)))) + (IF(MAX(0, A73 - $F$14 + 1)&lt;=0, 0, IF(MAX(0, A73 - $F$14 + 1)&lt;=6, 70 - (70-14)*(MAX(0, A73 - $F$14 + 1)-1)/5, IF(MAX(0, A73 - $F$14 + 1)&lt;=24, 14 - 14*(MAX(0, A73 - $F$14 + 1)-6)/18, 0)))) ) * 200 / 12 / 1000</f>
        <v/>
      </c>
      <c r="F73" s="306">
        <f>IF(A73&lt;$F$6,0,IF(AND($B$21=1,A73&gt;$B$19),0,$E$6*$G$6^MIN((A73-$F$6)/12,6)*MIN($G$6,0.85)^MAX(0,(A73-$F$6)/12-6)))</f>
        <v/>
      </c>
      <c r="G73" s="306">
        <f>IF(A73&lt;$F$7,0,IF(AND($B$21=1,A73&gt;$B$19),0,$E$7*$G$7^MIN((A73-$F$7)/12,6)*MIN($G$7,0.85)^MAX(0,(A73-$F$7)/12-6)))</f>
        <v/>
      </c>
      <c r="H73" s="306">
        <f>IF(A73&lt;$F$8,0,IF(AND($B$21=1,A73&gt;$B$19),0,$E$8*$G$8^MIN((A73-$F$8)/12,6)*MIN($G$8,0.85)^MAX(0,(A73-$F$8)/12-6)))</f>
        <v/>
      </c>
      <c r="I73" s="306">
        <f>IF(A73&lt;$F$9,0,IF(AND($B$21=1,A73&gt;$B$19),0,$E$9*$G$9^MIN((A73-$F$9)/12,6)*MIN($G$9,0.85)^MAX(0,(A73-$F$9)/12-6)))</f>
        <v/>
      </c>
      <c r="J73" s="306">
        <f>IF(A73&lt;$F$10,0,IF(AND($B$21=1,A73&gt;$B$19),0,$E$10*$G$10^MIN((A73-$F$10)/12,6)*MIN($G$10,0.85)^MAX(0,(A73-$F$10)/12-6)))</f>
        <v/>
      </c>
      <c r="K73" s="306">
        <f>IF(A73&lt;$F$11,0,IF(AND($B$21=1,A73&gt;$B$19),0,$E$11*$G$11^MIN((A73-$F$11)/12,6)*MIN($G$11,0.85)^MAX(0,(A73-$F$11)/12-6)))</f>
        <v/>
      </c>
      <c r="L73" s="306">
        <f>IF(A73&lt;$F$12,0,IF(AND($B$21=1,A73&gt;$B$19),0,$E$12*$G$12^MIN((A73-$F$12)/12,6)*MIN($G$12,0.85)^MAX(0,(A73-$F$12)/12-6)))</f>
        <v/>
      </c>
      <c r="M73" s="306">
        <f>IF(A73&lt;$F$13,0,IF(AND($B$21=1,A73&gt;$B$19),0,$E$13*$G$13^MIN((A73-$F$13)/12,6)*MIN($G$13,0.85)^MAX(0,(A73-$F$13)/12-6)))</f>
        <v/>
      </c>
      <c r="N73" s="306">
        <f>IF(A73&lt;$F$14,0,IF(AND($B$21=1,A73&gt;$B$19),0,$E$14*$G$14^MIN((A73-$F$14)/12,6)*MIN($G$14,0.85)^MAX(0,(A73-$F$14)/12-6)))</f>
        <v/>
      </c>
      <c r="O73" s="306">
        <f>SUM(F73:N73)</f>
        <v/>
      </c>
      <c r="P73" s="306">
        <f>O73/12</f>
        <v/>
      </c>
      <c r="Q73" s="306">
        <f>P73*$B$8</f>
        <v/>
      </c>
      <c r="R73" s="306">
        <f>P73*$B$9</f>
        <v/>
      </c>
      <c r="S73" s="306">
        <f>P73*$B$10</f>
        <v/>
      </c>
      <c r="T73" s="306">
        <f>P73-Q73-R73-S73-D73-E73</f>
        <v/>
      </c>
      <c r="U73" s="306">
        <f>MAX(0, T73 - $B$7*P73)</f>
        <v/>
      </c>
      <c r="V73" s="306">
        <f>T73-U73</f>
        <v/>
      </c>
      <c r="W73" s="306">
        <f>IF(A73=$F$6, $B$18*$B$16*$B$17/1000000, 0) + IF(A73=$F$7, $B$18*$B$16*$B$17/1000000, 0) + IF(A73=$F$8, $B$18*$B$16*$B$17/1000000, 0) + IF(A73=$F$9, $B$18*$B$16*$B$17/1000000, 0) + IF(A73=$F$10, $B$18*$B$16*$B$17/1000000, 0) + IF(A73=$F$11, $B$18*$B$16*$B$17/1000000, 0) + IF(A73=$F$12, $B$18*$B$16*$B$17/1000000, 0) + IF(A73=$F$13, $B$18*$B$16*$B$17/1000000, 0) + IF(A73=$F$14, $B$18*$B$16*$B$17/1000000, 0)</f>
        <v/>
      </c>
      <c r="X73" s="306">
        <f>V73-W73-C73</f>
        <v/>
      </c>
      <c r="Y73" s="306">
        <f>IF(AND(A73&lt;=$B$24, X73&gt;0), X73*$B$23, 0)</f>
        <v/>
      </c>
      <c r="Z73" s="306">
        <f>X73-Y73</f>
        <v/>
      </c>
      <c r="AA73" s="306">
        <f>IF(AND(A73=$B$19, $B$21=1), O73*$B$20, 0)</f>
        <v/>
      </c>
      <c r="AB73" s="306">
        <f>AB72+Z73+AA73</f>
        <v/>
      </c>
    </row>
    <row r="74">
      <c r="A74" s="306" t="n">
        <v>44</v>
      </c>
      <c r="B74" s="306">
        <f>CEILING(A74/12,1)</f>
        <v/>
      </c>
      <c r="C74" s="306">
        <f>IF(A74&lt;=12, $B$15/12, 0)</f>
        <v/>
      </c>
      <c r="D74" s="306">
        <f>INDEX('26. Team Comp'!$D$28:$R$28, B74) * 0.001 / 12</f>
        <v/>
      </c>
      <c r="E74" s="306">
        <f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+ (IF(MAX(0, A74 - $F$11 + 1)&lt;=0, 0, IF(MAX(0, A74 - $F$11 + 1)&lt;=6, 70 - (70-14)*(MAX(0, A74 - $F$11 + 1)-1)/5, IF(MAX(0, A74 - $F$11 + 1)&lt;=24, 14 - 14*(MAX(0, A74 - $F$11 + 1)-6)/18, 0)))) + (IF(MAX(0, A74 - $F$12 + 1)&lt;=0, 0, IF(MAX(0, A74 - $F$12 + 1)&lt;=6, 70 - (70-14)*(MAX(0, A74 - $F$12 + 1)-1)/5, IF(MAX(0, A74 - $F$12 + 1)&lt;=24, 14 - 14*(MAX(0, A74 - $F$12 + 1)-6)/18, 0)))) + (IF(MAX(0, A74 - $F$13 + 1)&lt;=0, 0, IF(MAX(0, A74 - $F$13 + 1)&lt;=6, 70 - (70-14)*(MAX(0, A74 - $F$13 + 1)-1)/5, IF(MAX(0, A74 - $F$13 + 1)&lt;=24, 14 - 14*(MAX(0, A74 - $F$13 + 1)-6)/18, 0)))) + (IF(MAX(0, A74 - $F$14 + 1)&lt;=0, 0, IF(MAX(0, A74 - $F$14 + 1)&lt;=6, 70 - (70-14)*(MAX(0, A74 - $F$14 + 1)-1)/5, IF(MAX(0, A74 - $F$14 + 1)&lt;=24, 14 - 14*(MAX(0, A74 - $F$14 + 1)-6)/18, 0)))) ) * 200 / 12 / 1000</f>
        <v/>
      </c>
      <c r="F74" s="306">
        <f>IF(A74&lt;$F$6,0,IF(AND($B$21=1,A74&gt;$B$19),0,$E$6*$G$6^MIN((A74-$F$6)/12,6)*MIN($G$6,0.85)^MAX(0,(A74-$F$6)/12-6)))</f>
        <v/>
      </c>
      <c r="G74" s="306">
        <f>IF(A74&lt;$F$7,0,IF(AND($B$21=1,A74&gt;$B$19),0,$E$7*$G$7^MIN((A74-$F$7)/12,6)*MIN($G$7,0.85)^MAX(0,(A74-$F$7)/12-6)))</f>
        <v/>
      </c>
      <c r="H74" s="306">
        <f>IF(A74&lt;$F$8,0,IF(AND($B$21=1,A74&gt;$B$19),0,$E$8*$G$8^MIN((A74-$F$8)/12,6)*MIN($G$8,0.85)^MAX(0,(A74-$F$8)/12-6)))</f>
        <v/>
      </c>
      <c r="I74" s="306">
        <f>IF(A74&lt;$F$9,0,IF(AND($B$21=1,A74&gt;$B$19),0,$E$9*$G$9^MIN((A74-$F$9)/12,6)*MIN($G$9,0.85)^MAX(0,(A74-$F$9)/12-6)))</f>
        <v/>
      </c>
      <c r="J74" s="306">
        <f>IF(A74&lt;$F$10,0,IF(AND($B$21=1,A74&gt;$B$19),0,$E$10*$G$10^MIN((A74-$F$10)/12,6)*MIN($G$10,0.85)^MAX(0,(A74-$F$10)/12-6)))</f>
        <v/>
      </c>
      <c r="K74" s="306">
        <f>IF(A74&lt;$F$11,0,IF(AND($B$21=1,A74&gt;$B$19),0,$E$11*$G$11^MIN((A74-$F$11)/12,6)*MIN($G$11,0.85)^MAX(0,(A74-$F$11)/12-6)))</f>
        <v/>
      </c>
      <c r="L74" s="306">
        <f>IF(A74&lt;$F$12,0,IF(AND($B$21=1,A74&gt;$B$19),0,$E$12*$G$12^MIN((A74-$F$12)/12,6)*MIN($G$12,0.85)^MAX(0,(A74-$F$12)/12-6)))</f>
        <v/>
      </c>
      <c r="M74" s="306">
        <f>IF(A74&lt;$F$13,0,IF(AND($B$21=1,A74&gt;$B$19),0,$E$13*$G$13^MIN((A74-$F$13)/12,6)*MIN($G$13,0.85)^MAX(0,(A74-$F$13)/12-6)))</f>
        <v/>
      </c>
      <c r="N74" s="306">
        <f>IF(A74&lt;$F$14,0,IF(AND($B$21=1,A74&gt;$B$19),0,$E$14*$G$14^MIN((A74-$F$14)/12,6)*MIN($G$14,0.85)^MAX(0,(A74-$F$14)/12-6)))</f>
        <v/>
      </c>
      <c r="O74" s="306">
        <f>SUM(F74:N74)</f>
        <v/>
      </c>
      <c r="P74" s="306">
        <f>O74/12</f>
        <v/>
      </c>
      <c r="Q74" s="306">
        <f>P74*$B$8</f>
        <v/>
      </c>
      <c r="R74" s="306">
        <f>P74*$B$9</f>
        <v/>
      </c>
      <c r="S74" s="306">
        <f>P74*$B$10</f>
        <v/>
      </c>
      <c r="T74" s="306">
        <f>P74-Q74-R74-S74-D74-E74</f>
        <v/>
      </c>
      <c r="U74" s="306">
        <f>MAX(0, T74 - $B$7*P74)</f>
        <v/>
      </c>
      <c r="V74" s="306">
        <f>T74-U74</f>
        <v/>
      </c>
      <c r="W74" s="306">
        <f>IF(A74=$F$6, $B$18*$B$16*$B$17/1000000, 0) + IF(A74=$F$7, $B$18*$B$16*$B$17/1000000, 0) + IF(A74=$F$8, $B$18*$B$16*$B$17/1000000, 0) + IF(A74=$F$9, $B$18*$B$16*$B$17/1000000, 0) + IF(A74=$F$10, $B$18*$B$16*$B$17/1000000, 0) + IF(A74=$F$11, $B$18*$B$16*$B$17/1000000, 0) + IF(A74=$F$12, $B$18*$B$16*$B$17/1000000, 0) + IF(A74=$F$13, $B$18*$B$16*$B$17/1000000, 0) + IF(A74=$F$14, $B$18*$B$16*$B$17/1000000, 0)</f>
        <v/>
      </c>
      <c r="X74" s="306">
        <f>V74-W74-C74</f>
        <v/>
      </c>
      <c r="Y74" s="306">
        <f>IF(AND(A74&lt;=$B$24, X74&gt;0), X74*$B$23, 0)</f>
        <v/>
      </c>
      <c r="Z74" s="306">
        <f>X74-Y74</f>
        <v/>
      </c>
      <c r="AA74" s="306">
        <f>IF(AND(A74=$B$19, $B$21=1), O74*$B$20, 0)</f>
        <v/>
      </c>
      <c r="AB74" s="306">
        <f>AB73+Z74+AA74</f>
        <v/>
      </c>
    </row>
    <row r="75">
      <c r="A75" s="306" t="n">
        <v>45</v>
      </c>
      <c r="B75" s="306">
        <f>CEILING(A75/12,1)</f>
        <v/>
      </c>
      <c r="C75" s="306">
        <f>IF(A75&lt;=12, $B$15/12, 0)</f>
        <v/>
      </c>
      <c r="D75" s="306">
        <f>INDEX('26. Team Comp'!$D$28:$R$28, B75) * 0.001 / 12</f>
        <v/>
      </c>
      <c r="E75" s="306">
        <f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+ (IF(MAX(0, A75 - $F$11 + 1)&lt;=0, 0, IF(MAX(0, A75 - $F$11 + 1)&lt;=6, 70 - (70-14)*(MAX(0, A75 - $F$11 + 1)-1)/5, IF(MAX(0, A75 - $F$11 + 1)&lt;=24, 14 - 14*(MAX(0, A75 - $F$11 + 1)-6)/18, 0)))) + (IF(MAX(0, A75 - $F$12 + 1)&lt;=0, 0, IF(MAX(0, A75 - $F$12 + 1)&lt;=6, 70 - (70-14)*(MAX(0, A75 - $F$12 + 1)-1)/5, IF(MAX(0, A75 - $F$12 + 1)&lt;=24, 14 - 14*(MAX(0, A75 - $F$12 + 1)-6)/18, 0)))) + (IF(MAX(0, A75 - $F$13 + 1)&lt;=0, 0, IF(MAX(0, A75 - $F$13 + 1)&lt;=6, 70 - (70-14)*(MAX(0, A75 - $F$13 + 1)-1)/5, IF(MAX(0, A75 - $F$13 + 1)&lt;=24, 14 - 14*(MAX(0, A75 - $F$13 + 1)-6)/18, 0)))) + (IF(MAX(0, A75 - $F$14 + 1)&lt;=0, 0, IF(MAX(0, A75 - $F$14 + 1)&lt;=6, 70 - (70-14)*(MAX(0, A75 - $F$14 + 1)-1)/5, IF(MAX(0, A75 - $F$14 + 1)&lt;=24, 14 - 14*(MAX(0, A75 - $F$14 + 1)-6)/18, 0)))) ) * 200 / 12 / 1000</f>
        <v/>
      </c>
      <c r="F75" s="306">
        <f>IF(A75&lt;$F$6,0,IF(AND($B$21=1,A75&gt;$B$19),0,$E$6*$G$6^MIN((A75-$F$6)/12,6)*MIN($G$6,0.85)^MAX(0,(A75-$F$6)/12-6)))</f>
        <v/>
      </c>
      <c r="G75" s="306">
        <f>IF(A75&lt;$F$7,0,IF(AND($B$21=1,A75&gt;$B$19),0,$E$7*$G$7^MIN((A75-$F$7)/12,6)*MIN($G$7,0.85)^MAX(0,(A75-$F$7)/12-6)))</f>
        <v/>
      </c>
      <c r="H75" s="306">
        <f>IF(A75&lt;$F$8,0,IF(AND($B$21=1,A75&gt;$B$19),0,$E$8*$G$8^MIN((A75-$F$8)/12,6)*MIN($G$8,0.85)^MAX(0,(A75-$F$8)/12-6)))</f>
        <v/>
      </c>
      <c r="I75" s="306">
        <f>IF(A75&lt;$F$9,0,IF(AND($B$21=1,A75&gt;$B$19),0,$E$9*$G$9^MIN((A75-$F$9)/12,6)*MIN($G$9,0.85)^MAX(0,(A75-$F$9)/12-6)))</f>
        <v/>
      </c>
      <c r="J75" s="306">
        <f>IF(A75&lt;$F$10,0,IF(AND($B$21=1,A75&gt;$B$19),0,$E$10*$G$10^MIN((A75-$F$10)/12,6)*MIN($G$10,0.85)^MAX(0,(A75-$F$10)/12-6)))</f>
        <v/>
      </c>
      <c r="K75" s="306">
        <f>IF(A75&lt;$F$11,0,IF(AND($B$21=1,A75&gt;$B$19),0,$E$11*$G$11^MIN((A75-$F$11)/12,6)*MIN($G$11,0.85)^MAX(0,(A75-$F$11)/12-6)))</f>
        <v/>
      </c>
      <c r="L75" s="306">
        <f>IF(A75&lt;$F$12,0,IF(AND($B$21=1,A75&gt;$B$19),0,$E$12*$G$12^MIN((A75-$F$12)/12,6)*MIN($G$12,0.85)^MAX(0,(A75-$F$12)/12-6)))</f>
        <v/>
      </c>
      <c r="M75" s="306">
        <f>IF(A75&lt;$F$13,0,IF(AND($B$21=1,A75&gt;$B$19),0,$E$13*$G$13^MIN((A75-$F$13)/12,6)*MIN($G$13,0.85)^MAX(0,(A75-$F$13)/12-6)))</f>
        <v/>
      </c>
      <c r="N75" s="306">
        <f>IF(A75&lt;$F$14,0,IF(AND($B$21=1,A75&gt;$B$19),0,$E$14*$G$14^MIN((A75-$F$14)/12,6)*MIN($G$14,0.85)^MAX(0,(A75-$F$14)/12-6)))</f>
        <v/>
      </c>
      <c r="O75" s="306">
        <f>SUM(F75:N75)</f>
        <v/>
      </c>
      <c r="P75" s="306">
        <f>O75/12</f>
        <v/>
      </c>
      <c r="Q75" s="306">
        <f>P75*$B$8</f>
        <v/>
      </c>
      <c r="R75" s="306">
        <f>P75*$B$9</f>
        <v/>
      </c>
      <c r="S75" s="306">
        <f>P75*$B$10</f>
        <v/>
      </c>
      <c r="T75" s="306">
        <f>P75-Q75-R75-S75-D75-E75</f>
        <v/>
      </c>
      <c r="U75" s="306">
        <f>MAX(0, T75 - $B$7*P75)</f>
        <v/>
      </c>
      <c r="V75" s="306">
        <f>T75-U75</f>
        <v/>
      </c>
      <c r="W75" s="306">
        <f>IF(A75=$F$6, $B$18*$B$16*$B$17/1000000, 0) + IF(A75=$F$7, $B$18*$B$16*$B$17/1000000, 0) + IF(A75=$F$8, $B$18*$B$16*$B$17/1000000, 0) + IF(A75=$F$9, $B$18*$B$16*$B$17/1000000, 0) + IF(A75=$F$10, $B$18*$B$16*$B$17/1000000, 0) + IF(A75=$F$11, $B$18*$B$16*$B$17/1000000, 0) + IF(A75=$F$12, $B$18*$B$16*$B$17/1000000, 0) + IF(A75=$F$13, $B$18*$B$16*$B$17/1000000, 0) + IF(A75=$F$14, $B$18*$B$16*$B$17/1000000, 0)</f>
        <v/>
      </c>
      <c r="X75" s="306">
        <f>V75-W75-C75</f>
        <v/>
      </c>
      <c r="Y75" s="306">
        <f>IF(AND(A75&lt;=$B$24, X75&gt;0), X75*$B$23, 0)</f>
        <v/>
      </c>
      <c r="Z75" s="306">
        <f>X75-Y75</f>
        <v/>
      </c>
      <c r="AA75" s="306">
        <f>IF(AND(A75=$B$19, $B$21=1), O75*$B$20, 0)</f>
        <v/>
      </c>
      <c r="AB75" s="306">
        <f>AB74+Z75+AA75</f>
        <v/>
      </c>
    </row>
    <row r="76">
      <c r="A76" s="306" t="n">
        <v>46</v>
      </c>
      <c r="B76" s="306">
        <f>CEILING(A76/12,1)</f>
        <v/>
      </c>
      <c r="C76" s="306">
        <f>IF(A76&lt;=12, $B$15/12, 0)</f>
        <v/>
      </c>
      <c r="D76" s="306">
        <f>INDEX('26. Team Comp'!$D$28:$R$28, B76) * 0.001 / 12</f>
        <v/>
      </c>
      <c r="E76" s="306">
        <f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+ (IF(MAX(0, A76 - $F$11 + 1)&lt;=0, 0, IF(MAX(0, A76 - $F$11 + 1)&lt;=6, 70 - (70-14)*(MAX(0, A76 - $F$11 + 1)-1)/5, IF(MAX(0, A76 - $F$11 + 1)&lt;=24, 14 - 14*(MAX(0, A76 - $F$11 + 1)-6)/18, 0)))) + (IF(MAX(0, A76 - $F$12 + 1)&lt;=0, 0, IF(MAX(0, A76 - $F$12 + 1)&lt;=6, 70 - (70-14)*(MAX(0, A76 - $F$12 + 1)-1)/5, IF(MAX(0, A76 - $F$12 + 1)&lt;=24, 14 - 14*(MAX(0, A76 - $F$12 + 1)-6)/18, 0)))) + (IF(MAX(0, A76 - $F$13 + 1)&lt;=0, 0, IF(MAX(0, A76 - $F$13 + 1)&lt;=6, 70 - (70-14)*(MAX(0, A76 - $F$13 + 1)-1)/5, IF(MAX(0, A76 - $F$13 + 1)&lt;=24, 14 - 14*(MAX(0, A76 - $F$13 + 1)-6)/18, 0)))) + (IF(MAX(0, A76 - $F$14 + 1)&lt;=0, 0, IF(MAX(0, A76 - $F$14 + 1)&lt;=6, 70 - (70-14)*(MAX(0, A76 - $F$14 + 1)-1)/5, IF(MAX(0, A76 - $F$14 + 1)&lt;=24, 14 - 14*(MAX(0, A76 - $F$14 + 1)-6)/18, 0)))) ) * 200 / 12 / 1000</f>
        <v/>
      </c>
      <c r="F76" s="306">
        <f>IF(A76&lt;$F$6,0,IF(AND($B$21=1,A76&gt;$B$19),0,$E$6*$G$6^MIN((A76-$F$6)/12,6)*MIN($G$6,0.85)^MAX(0,(A76-$F$6)/12-6)))</f>
        <v/>
      </c>
      <c r="G76" s="306">
        <f>IF(A76&lt;$F$7,0,IF(AND($B$21=1,A76&gt;$B$19),0,$E$7*$G$7^MIN((A76-$F$7)/12,6)*MIN($G$7,0.85)^MAX(0,(A76-$F$7)/12-6)))</f>
        <v/>
      </c>
      <c r="H76" s="306">
        <f>IF(A76&lt;$F$8,0,IF(AND($B$21=1,A76&gt;$B$19),0,$E$8*$G$8^MIN((A76-$F$8)/12,6)*MIN($G$8,0.85)^MAX(0,(A76-$F$8)/12-6)))</f>
        <v/>
      </c>
      <c r="I76" s="306">
        <f>IF(A76&lt;$F$9,0,IF(AND($B$21=1,A76&gt;$B$19),0,$E$9*$G$9^MIN((A76-$F$9)/12,6)*MIN($G$9,0.85)^MAX(0,(A76-$F$9)/12-6)))</f>
        <v/>
      </c>
      <c r="J76" s="306">
        <f>IF(A76&lt;$F$10,0,IF(AND($B$21=1,A76&gt;$B$19),0,$E$10*$G$10^MIN((A76-$F$10)/12,6)*MIN($G$10,0.85)^MAX(0,(A76-$F$10)/12-6)))</f>
        <v/>
      </c>
      <c r="K76" s="306">
        <f>IF(A76&lt;$F$11,0,IF(AND($B$21=1,A76&gt;$B$19),0,$E$11*$G$11^MIN((A76-$F$11)/12,6)*MIN($G$11,0.85)^MAX(0,(A76-$F$11)/12-6)))</f>
        <v/>
      </c>
      <c r="L76" s="306">
        <f>IF(A76&lt;$F$12,0,IF(AND($B$21=1,A76&gt;$B$19),0,$E$12*$G$12^MIN((A76-$F$12)/12,6)*MIN($G$12,0.85)^MAX(0,(A76-$F$12)/12-6)))</f>
        <v/>
      </c>
      <c r="M76" s="306">
        <f>IF(A76&lt;$F$13,0,IF(AND($B$21=1,A76&gt;$B$19),0,$E$13*$G$13^MIN((A76-$F$13)/12,6)*MIN($G$13,0.85)^MAX(0,(A76-$F$13)/12-6)))</f>
        <v/>
      </c>
      <c r="N76" s="306">
        <f>IF(A76&lt;$F$14,0,IF(AND($B$21=1,A76&gt;$B$19),0,$E$14*$G$14^MIN((A76-$F$14)/12,6)*MIN($G$14,0.85)^MAX(0,(A76-$F$14)/12-6)))</f>
        <v/>
      </c>
      <c r="O76" s="306">
        <f>SUM(F76:N76)</f>
        <v/>
      </c>
      <c r="P76" s="306">
        <f>O76/12</f>
        <v/>
      </c>
      <c r="Q76" s="306">
        <f>P76*$B$8</f>
        <v/>
      </c>
      <c r="R76" s="306">
        <f>P76*$B$9</f>
        <v/>
      </c>
      <c r="S76" s="306">
        <f>P76*$B$10</f>
        <v/>
      </c>
      <c r="T76" s="306">
        <f>P76-Q76-R76-S76-D76-E76</f>
        <v/>
      </c>
      <c r="U76" s="306">
        <f>MAX(0, T76 - $B$7*P76)</f>
        <v/>
      </c>
      <c r="V76" s="306">
        <f>T76-U76</f>
        <v/>
      </c>
      <c r="W76" s="306">
        <f>IF(A76=$F$6, $B$18*$B$16*$B$17/1000000, 0) + IF(A76=$F$7, $B$18*$B$16*$B$17/1000000, 0) + IF(A76=$F$8, $B$18*$B$16*$B$17/1000000, 0) + IF(A76=$F$9, $B$18*$B$16*$B$17/1000000, 0) + IF(A76=$F$10, $B$18*$B$16*$B$17/1000000, 0) + IF(A76=$F$11, $B$18*$B$16*$B$17/1000000, 0) + IF(A76=$F$12, $B$18*$B$16*$B$17/1000000, 0) + IF(A76=$F$13, $B$18*$B$16*$B$17/1000000, 0) + IF(A76=$F$14, $B$18*$B$16*$B$17/1000000, 0)</f>
        <v/>
      </c>
      <c r="X76" s="306">
        <f>V76-W76-C76</f>
        <v/>
      </c>
      <c r="Y76" s="306">
        <f>IF(AND(A76&lt;=$B$24, X76&gt;0), X76*$B$23, 0)</f>
        <v/>
      </c>
      <c r="Z76" s="306">
        <f>X76-Y76</f>
        <v/>
      </c>
      <c r="AA76" s="306">
        <f>IF(AND(A76=$B$19, $B$21=1), O76*$B$20, 0)</f>
        <v/>
      </c>
      <c r="AB76" s="306">
        <f>AB75+Z76+AA76</f>
        <v/>
      </c>
    </row>
    <row r="77">
      <c r="A77" s="306" t="n">
        <v>47</v>
      </c>
      <c r="B77" s="306">
        <f>CEILING(A77/12,1)</f>
        <v/>
      </c>
      <c r="C77" s="306">
        <f>IF(A77&lt;=12, $B$15/12, 0)</f>
        <v/>
      </c>
      <c r="D77" s="306">
        <f>INDEX('26. Team Comp'!$D$28:$R$28, B77) * 0.001 / 12</f>
        <v/>
      </c>
      <c r="E77" s="306">
        <f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+ (IF(MAX(0, A77 - $F$11 + 1)&lt;=0, 0, IF(MAX(0, A77 - $F$11 + 1)&lt;=6, 70 - (70-14)*(MAX(0, A77 - $F$11 + 1)-1)/5, IF(MAX(0, A77 - $F$11 + 1)&lt;=24, 14 - 14*(MAX(0, A77 - $F$11 + 1)-6)/18, 0)))) + (IF(MAX(0, A77 - $F$12 + 1)&lt;=0, 0, IF(MAX(0, A77 - $F$12 + 1)&lt;=6, 70 - (70-14)*(MAX(0, A77 - $F$12 + 1)-1)/5, IF(MAX(0, A77 - $F$12 + 1)&lt;=24, 14 - 14*(MAX(0, A77 - $F$12 + 1)-6)/18, 0)))) + (IF(MAX(0, A77 - $F$13 + 1)&lt;=0, 0, IF(MAX(0, A77 - $F$13 + 1)&lt;=6, 70 - (70-14)*(MAX(0, A77 - $F$13 + 1)-1)/5, IF(MAX(0, A77 - $F$13 + 1)&lt;=24, 14 - 14*(MAX(0, A77 - $F$13 + 1)-6)/18, 0)))) + (IF(MAX(0, A77 - $F$14 + 1)&lt;=0, 0, IF(MAX(0, A77 - $F$14 + 1)&lt;=6, 70 - (70-14)*(MAX(0, A77 - $F$14 + 1)-1)/5, IF(MAX(0, A77 - $F$14 + 1)&lt;=24, 14 - 14*(MAX(0, A77 - $F$14 + 1)-6)/18, 0)))) ) * 200 / 12 / 1000</f>
        <v/>
      </c>
      <c r="F77" s="306">
        <f>IF(A77&lt;$F$6,0,IF(AND($B$21=1,A77&gt;$B$19),0,$E$6*$G$6^MIN((A77-$F$6)/12,6)*MIN($G$6,0.85)^MAX(0,(A77-$F$6)/12-6)))</f>
        <v/>
      </c>
      <c r="G77" s="306">
        <f>IF(A77&lt;$F$7,0,IF(AND($B$21=1,A77&gt;$B$19),0,$E$7*$G$7^MIN((A77-$F$7)/12,6)*MIN($G$7,0.85)^MAX(0,(A77-$F$7)/12-6)))</f>
        <v/>
      </c>
      <c r="H77" s="306">
        <f>IF(A77&lt;$F$8,0,IF(AND($B$21=1,A77&gt;$B$19),0,$E$8*$G$8^MIN((A77-$F$8)/12,6)*MIN($G$8,0.85)^MAX(0,(A77-$F$8)/12-6)))</f>
        <v/>
      </c>
      <c r="I77" s="306">
        <f>IF(A77&lt;$F$9,0,IF(AND($B$21=1,A77&gt;$B$19),0,$E$9*$G$9^MIN((A77-$F$9)/12,6)*MIN($G$9,0.85)^MAX(0,(A77-$F$9)/12-6)))</f>
        <v/>
      </c>
      <c r="J77" s="306">
        <f>IF(A77&lt;$F$10,0,IF(AND($B$21=1,A77&gt;$B$19),0,$E$10*$G$10^MIN((A77-$F$10)/12,6)*MIN($G$10,0.85)^MAX(0,(A77-$F$10)/12-6)))</f>
        <v/>
      </c>
      <c r="K77" s="306">
        <f>IF(A77&lt;$F$11,0,IF(AND($B$21=1,A77&gt;$B$19),0,$E$11*$G$11^MIN((A77-$F$11)/12,6)*MIN($G$11,0.85)^MAX(0,(A77-$F$11)/12-6)))</f>
        <v/>
      </c>
      <c r="L77" s="306">
        <f>IF(A77&lt;$F$12,0,IF(AND($B$21=1,A77&gt;$B$19),0,$E$12*$G$12^MIN((A77-$F$12)/12,6)*MIN($G$12,0.85)^MAX(0,(A77-$F$12)/12-6)))</f>
        <v/>
      </c>
      <c r="M77" s="306">
        <f>IF(A77&lt;$F$13,0,IF(AND($B$21=1,A77&gt;$B$19),0,$E$13*$G$13^MIN((A77-$F$13)/12,6)*MIN($G$13,0.85)^MAX(0,(A77-$F$13)/12-6)))</f>
        <v/>
      </c>
      <c r="N77" s="306">
        <f>IF(A77&lt;$F$14,0,IF(AND($B$21=1,A77&gt;$B$19),0,$E$14*$G$14^MIN((A77-$F$14)/12,6)*MIN($G$14,0.85)^MAX(0,(A77-$F$14)/12-6)))</f>
        <v/>
      </c>
      <c r="O77" s="306">
        <f>SUM(F77:N77)</f>
        <v/>
      </c>
      <c r="P77" s="306">
        <f>O77/12</f>
        <v/>
      </c>
      <c r="Q77" s="306">
        <f>P77*$B$8</f>
        <v/>
      </c>
      <c r="R77" s="306">
        <f>P77*$B$9</f>
        <v/>
      </c>
      <c r="S77" s="306">
        <f>P77*$B$10</f>
        <v/>
      </c>
      <c r="T77" s="306">
        <f>P77-Q77-R77-S77-D77-E77</f>
        <v/>
      </c>
      <c r="U77" s="306">
        <f>MAX(0, T77 - $B$7*P77)</f>
        <v/>
      </c>
      <c r="V77" s="306">
        <f>T77-U77</f>
        <v/>
      </c>
      <c r="W77" s="306">
        <f>IF(A77=$F$6, $B$18*$B$16*$B$17/1000000, 0) + IF(A77=$F$7, $B$18*$B$16*$B$17/1000000, 0) + IF(A77=$F$8, $B$18*$B$16*$B$17/1000000, 0) + IF(A77=$F$9, $B$18*$B$16*$B$17/1000000, 0) + IF(A77=$F$10, $B$18*$B$16*$B$17/1000000, 0) + IF(A77=$F$11, $B$18*$B$16*$B$17/1000000, 0) + IF(A77=$F$12, $B$18*$B$16*$B$17/1000000, 0) + IF(A77=$F$13, $B$18*$B$16*$B$17/1000000, 0) + IF(A77=$F$14, $B$18*$B$16*$B$17/1000000, 0)</f>
        <v/>
      </c>
      <c r="X77" s="306">
        <f>V77-W77-C77</f>
        <v/>
      </c>
      <c r="Y77" s="306">
        <f>IF(AND(A77&lt;=$B$24, X77&gt;0), X77*$B$23, 0)</f>
        <v/>
      </c>
      <c r="Z77" s="306">
        <f>X77-Y77</f>
        <v/>
      </c>
      <c r="AA77" s="306">
        <f>IF(AND(A77=$B$19, $B$21=1), O77*$B$20, 0)</f>
        <v/>
      </c>
      <c r="AB77" s="306">
        <f>AB76+Z77+AA77</f>
        <v/>
      </c>
    </row>
    <row r="78">
      <c r="A78" s="306" t="n">
        <v>48</v>
      </c>
      <c r="B78" s="306">
        <f>CEILING(A78/12,1)</f>
        <v/>
      </c>
      <c r="C78" s="306">
        <f>IF(A78&lt;=12, $B$15/12, 0)</f>
        <v/>
      </c>
      <c r="D78" s="306">
        <f>INDEX('26. Team Comp'!$D$28:$R$28, B78) * 0.001 / 12</f>
        <v/>
      </c>
      <c r="E78" s="306">
        <f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+ (IF(MAX(0, A78 - $F$11 + 1)&lt;=0, 0, IF(MAX(0, A78 - $F$11 + 1)&lt;=6, 70 - (70-14)*(MAX(0, A78 - $F$11 + 1)-1)/5, IF(MAX(0, A78 - $F$11 + 1)&lt;=24, 14 - 14*(MAX(0, A78 - $F$11 + 1)-6)/18, 0)))) + (IF(MAX(0, A78 - $F$12 + 1)&lt;=0, 0, IF(MAX(0, A78 - $F$12 + 1)&lt;=6, 70 - (70-14)*(MAX(0, A78 - $F$12 + 1)-1)/5, IF(MAX(0, A78 - $F$12 + 1)&lt;=24, 14 - 14*(MAX(0, A78 - $F$12 + 1)-6)/18, 0)))) + (IF(MAX(0, A78 - $F$13 + 1)&lt;=0, 0, IF(MAX(0, A78 - $F$13 + 1)&lt;=6, 70 - (70-14)*(MAX(0, A78 - $F$13 + 1)-1)/5, IF(MAX(0, A78 - $F$13 + 1)&lt;=24, 14 - 14*(MAX(0, A78 - $F$13 + 1)-6)/18, 0)))) + (IF(MAX(0, A78 - $F$14 + 1)&lt;=0, 0, IF(MAX(0, A78 - $F$14 + 1)&lt;=6, 70 - (70-14)*(MAX(0, A78 - $F$14 + 1)-1)/5, IF(MAX(0, A78 - $F$14 + 1)&lt;=24, 14 - 14*(MAX(0, A78 - $F$14 + 1)-6)/18, 0)))) ) * 200 / 12 / 1000</f>
        <v/>
      </c>
      <c r="F78" s="306">
        <f>IF(A78&lt;$F$6,0,IF(AND($B$21=1,A78&gt;$B$19),0,$E$6*$G$6^MIN((A78-$F$6)/12,6)*MIN($G$6,0.85)^MAX(0,(A78-$F$6)/12-6)))</f>
        <v/>
      </c>
      <c r="G78" s="306">
        <f>IF(A78&lt;$F$7,0,IF(AND($B$21=1,A78&gt;$B$19),0,$E$7*$G$7^MIN((A78-$F$7)/12,6)*MIN($G$7,0.85)^MAX(0,(A78-$F$7)/12-6)))</f>
        <v/>
      </c>
      <c r="H78" s="306">
        <f>IF(A78&lt;$F$8,0,IF(AND($B$21=1,A78&gt;$B$19),0,$E$8*$G$8^MIN((A78-$F$8)/12,6)*MIN($G$8,0.85)^MAX(0,(A78-$F$8)/12-6)))</f>
        <v/>
      </c>
      <c r="I78" s="306">
        <f>IF(A78&lt;$F$9,0,IF(AND($B$21=1,A78&gt;$B$19),0,$E$9*$G$9^MIN((A78-$F$9)/12,6)*MIN($G$9,0.85)^MAX(0,(A78-$F$9)/12-6)))</f>
        <v/>
      </c>
      <c r="J78" s="306">
        <f>IF(A78&lt;$F$10,0,IF(AND($B$21=1,A78&gt;$B$19),0,$E$10*$G$10^MIN((A78-$F$10)/12,6)*MIN($G$10,0.85)^MAX(0,(A78-$F$10)/12-6)))</f>
        <v/>
      </c>
      <c r="K78" s="306">
        <f>IF(A78&lt;$F$11,0,IF(AND($B$21=1,A78&gt;$B$19),0,$E$11*$G$11^MIN((A78-$F$11)/12,6)*MIN($G$11,0.85)^MAX(0,(A78-$F$11)/12-6)))</f>
        <v/>
      </c>
      <c r="L78" s="306">
        <f>IF(A78&lt;$F$12,0,IF(AND($B$21=1,A78&gt;$B$19),0,$E$12*$G$12^MIN((A78-$F$12)/12,6)*MIN($G$12,0.85)^MAX(0,(A78-$F$12)/12-6)))</f>
        <v/>
      </c>
      <c r="M78" s="306">
        <f>IF(A78&lt;$F$13,0,IF(AND($B$21=1,A78&gt;$B$19),0,$E$13*$G$13^MIN((A78-$F$13)/12,6)*MIN($G$13,0.85)^MAX(0,(A78-$F$13)/12-6)))</f>
        <v/>
      </c>
      <c r="N78" s="306">
        <f>IF(A78&lt;$F$14,0,IF(AND($B$21=1,A78&gt;$B$19),0,$E$14*$G$14^MIN((A78-$F$14)/12,6)*MIN($G$14,0.85)^MAX(0,(A78-$F$14)/12-6)))</f>
        <v/>
      </c>
      <c r="O78" s="306">
        <f>SUM(F78:N78)</f>
        <v/>
      </c>
      <c r="P78" s="306">
        <f>O78/12</f>
        <v/>
      </c>
      <c r="Q78" s="306">
        <f>P78*$B$8</f>
        <v/>
      </c>
      <c r="R78" s="306">
        <f>P78*$B$9</f>
        <v/>
      </c>
      <c r="S78" s="306">
        <f>P78*$B$10</f>
        <v/>
      </c>
      <c r="T78" s="306">
        <f>P78-Q78-R78-S78-D78-E78</f>
        <v/>
      </c>
      <c r="U78" s="306">
        <f>MAX(0, T78 - $B$7*P78)</f>
        <v/>
      </c>
      <c r="V78" s="306">
        <f>T78-U78</f>
        <v/>
      </c>
      <c r="W78" s="306">
        <f>IF(A78=$F$6, $B$18*$B$16*$B$17/1000000, 0) + IF(A78=$F$7, $B$18*$B$16*$B$17/1000000, 0) + IF(A78=$F$8, $B$18*$B$16*$B$17/1000000, 0) + IF(A78=$F$9, $B$18*$B$16*$B$17/1000000, 0) + IF(A78=$F$10, $B$18*$B$16*$B$17/1000000, 0) + IF(A78=$F$11, $B$18*$B$16*$B$17/1000000, 0) + IF(A78=$F$12, $B$18*$B$16*$B$17/1000000, 0) + IF(A78=$F$13, $B$18*$B$16*$B$17/1000000, 0) + IF(A78=$F$14, $B$18*$B$16*$B$17/1000000, 0)</f>
        <v/>
      </c>
      <c r="X78" s="306">
        <f>V78-W78-C78</f>
        <v/>
      </c>
      <c r="Y78" s="306">
        <f>IF(AND(A78&lt;=$B$24, X78&gt;0), X78*$B$23, 0)</f>
        <v/>
      </c>
      <c r="Z78" s="306">
        <f>X78-Y78</f>
        <v/>
      </c>
      <c r="AA78" s="306">
        <f>IF(AND(A78=$B$19, $B$21=1), O78*$B$20, 0)</f>
        <v/>
      </c>
      <c r="AB78" s="306">
        <f>AB77+Z78+AA78</f>
        <v/>
      </c>
    </row>
    <row r="79">
      <c r="A79" s="306" t="n">
        <v>49</v>
      </c>
      <c r="B79" s="306">
        <f>CEILING(A79/12,1)</f>
        <v/>
      </c>
      <c r="C79" s="306">
        <f>IF(A79&lt;=12, $B$15/12, 0)</f>
        <v/>
      </c>
      <c r="D79" s="306">
        <f>INDEX('26. Team Comp'!$D$28:$R$28, B79) * 0.001 / 12</f>
        <v/>
      </c>
      <c r="E79" s="306">
        <f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+ (IF(MAX(0, A79 - $F$11 + 1)&lt;=0, 0, IF(MAX(0, A79 - $F$11 + 1)&lt;=6, 70 - (70-14)*(MAX(0, A79 - $F$11 + 1)-1)/5, IF(MAX(0, A79 - $F$11 + 1)&lt;=24, 14 - 14*(MAX(0, A79 - $F$11 + 1)-6)/18, 0)))) + (IF(MAX(0, A79 - $F$12 + 1)&lt;=0, 0, IF(MAX(0, A79 - $F$12 + 1)&lt;=6, 70 - (70-14)*(MAX(0, A79 - $F$12 + 1)-1)/5, IF(MAX(0, A79 - $F$12 + 1)&lt;=24, 14 - 14*(MAX(0, A79 - $F$12 + 1)-6)/18, 0)))) + (IF(MAX(0, A79 - $F$13 + 1)&lt;=0, 0, IF(MAX(0, A79 - $F$13 + 1)&lt;=6, 70 - (70-14)*(MAX(0, A79 - $F$13 + 1)-1)/5, IF(MAX(0, A79 - $F$13 + 1)&lt;=24, 14 - 14*(MAX(0, A79 - $F$13 + 1)-6)/18, 0)))) + (IF(MAX(0, A79 - $F$14 + 1)&lt;=0, 0, IF(MAX(0, A79 - $F$14 + 1)&lt;=6, 70 - (70-14)*(MAX(0, A79 - $F$14 + 1)-1)/5, IF(MAX(0, A79 - $F$14 + 1)&lt;=24, 14 - 14*(MAX(0, A79 - $F$14 + 1)-6)/18, 0)))) ) * 200 / 12 / 1000</f>
        <v/>
      </c>
      <c r="F79" s="306">
        <f>IF(A79&lt;$F$6,0,IF(AND($B$21=1,A79&gt;$B$19),0,$E$6*$G$6^MIN((A79-$F$6)/12,6)*MIN($G$6,0.85)^MAX(0,(A79-$F$6)/12-6)))</f>
        <v/>
      </c>
      <c r="G79" s="306">
        <f>IF(A79&lt;$F$7,0,IF(AND($B$21=1,A79&gt;$B$19),0,$E$7*$G$7^MIN((A79-$F$7)/12,6)*MIN($G$7,0.85)^MAX(0,(A79-$F$7)/12-6)))</f>
        <v/>
      </c>
      <c r="H79" s="306">
        <f>IF(A79&lt;$F$8,0,IF(AND($B$21=1,A79&gt;$B$19),0,$E$8*$G$8^MIN((A79-$F$8)/12,6)*MIN($G$8,0.85)^MAX(0,(A79-$F$8)/12-6)))</f>
        <v/>
      </c>
      <c r="I79" s="306">
        <f>IF(A79&lt;$F$9,0,IF(AND($B$21=1,A79&gt;$B$19),0,$E$9*$G$9^MIN((A79-$F$9)/12,6)*MIN($G$9,0.85)^MAX(0,(A79-$F$9)/12-6)))</f>
        <v/>
      </c>
      <c r="J79" s="306">
        <f>IF(A79&lt;$F$10,0,IF(AND($B$21=1,A79&gt;$B$19),0,$E$10*$G$10^MIN((A79-$F$10)/12,6)*MIN($G$10,0.85)^MAX(0,(A79-$F$10)/12-6)))</f>
        <v/>
      </c>
      <c r="K79" s="306">
        <f>IF(A79&lt;$F$11,0,IF(AND($B$21=1,A79&gt;$B$19),0,$E$11*$G$11^MIN((A79-$F$11)/12,6)*MIN($G$11,0.85)^MAX(0,(A79-$F$11)/12-6)))</f>
        <v/>
      </c>
      <c r="L79" s="306">
        <f>IF(A79&lt;$F$12,0,IF(AND($B$21=1,A79&gt;$B$19),0,$E$12*$G$12^MIN((A79-$F$12)/12,6)*MIN($G$12,0.85)^MAX(0,(A79-$F$12)/12-6)))</f>
        <v/>
      </c>
      <c r="M79" s="306">
        <f>IF(A79&lt;$F$13,0,IF(AND($B$21=1,A79&gt;$B$19),0,$E$13*$G$13^MIN((A79-$F$13)/12,6)*MIN($G$13,0.85)^MAX(0,(A79-$F$13)/12-6)))</f>
        <v/>
      </c>
      <c r="N79" s="306">
        <f>IF(A79&lt;$F$14,0,IF(AND($B$21=1,A79&gt;$B$19),0,$E$14*$G$14^MIN((A79-$F$14)/12,6)*MIN($G$14,0.85)^MAX(0,(A79-$F$14)/12-6)))</f>
        <v/>
      </c>
      <c r="O79" s="306">
        <f>SUM(F79:N79)</f>
        <v/>
      </c>
      <c r="P79" s="306">
        <f>O79/12</f>
        <v/>
      </c>
      <c r="Q79" s="306">
        <f>P79*$B$8</f>
        <v/>
      </c>
      <c r="R79" s="306">
        <f>P79*$B$9</f>
        <v/>
      </c>
      <c r="S79" s="306">
        <f>P79*$B$10</f>
        <v/>
      </c>
      <c r="T79" s="306">
        <f>P79-Q79-R79-S79-D79-E79</f>
        <v/>
      </c>
      <c r="U79" s="306">
        <f>MAX(0, T79 - $B$7*P79)</f>
        <v/>
      </c>
      <c r="V79" s="306">
        <f>T79-U79</f>
        <v/>
      </c>
      <c r="W79" s="306">
        <f>IF(A79=$F$6, $B$18*$B$16*$B$17/1000000, 0) + IF(A79=$F$7, $B$18*$B$16*$B$17/1000000, 0) + IF(A79=$F$8, $B$18*$B$16*$B$17/1000000, 0) + IF(A79=$F$9, $B$18*$B$16*$B$17/1000000, 0) + IF(A79=$F$10, $B$18*$B$16*$B$17/1000000, 0) + IF(A79=$F$11, $B$18*$B$16*$B$17/1000000, 0) + IF(A79=$F$12, $B$18*$B$16*$B$17/1000000, 0) + IF(A79=$F$13, $B$18*$B$16*$B$17/1000000, 0) + IF(A79=$F$14, $B$18*$B$16*$B$17/1000000, 0)</f>
        <v/>
      </c>
      <c r="X79" s="306">
        <f>V79-W79-C79</f>
        <v/>
      </c>
      <c r="Y79" s="306">
        <f>IF(AND(A79&lt;=$B$24, X79&gt;0), X79*$B$23, 0)</f>
        <v/>
      </c>
      <c r="Z79" s="306">
        <f>X79-Y79</f>
        <v/>
      </c>
      <c r="AA79" s="306">
        <f>IF(AND(A79=$B$19, $B$21=1), O79*$B$20, 0)</f>
        <v/>
      </c>
      <c r="AB79" s="306">
        <f>AB78+Z79+AA79</f>
        <v/>
      </c>
    </row>
    <row r="80">
      <c r="A80" s="306" t="n">
        <v>50</v>
      </c>
      <c r="B80" s="306">
        <f>CEILING(A80/12,1)</f>
        <v/>
      </c>
      <c r="C80" s="306">
        <f>IF(A80&lt;=12, $B$15/12, 0)</f>
        <v/>
      </c>
      <c r="D80" s="306">
        <f>INDEX('26. Team Comp'!$D$28:$R$28, B80) * 0.001 / 12</f>
        <v/>
      </c>
      <c r="E80" s="306">
        <f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+ (IF(MAX(0, A80 - $F$11 + 1)&lt;=0, 0, IF(MAX(0, A80 - $F$11 + 1)&lt;=6, 70 - (70-14)*(MAX(0, A80 - $F$11 + 1)-1)/5, IF(MAX(0, A80 - $F$11 + 1)&lt;=24, 14 - 14*(MAX(0, A80 - $F$11 + 1)-6)/18, 0)))) + (IF(MAX(0, A80 - $F$12 + 1)&lt;=0, 0, IF(MAX(0, A80 - $F$12 + 1)&lt;=6, 70 - (70-14)*(MAX(0, A80 - $F$12 + 1)-1)/5, IF(MAX(0, A80 - $F$12 + 1)&lt;=24, 14 - 14*(MAX(0, A80 - $F$12 + 1)-6)/18, 0)))) + (IF(MAX(0, A80 - $F$13 + 1)&lt;=0, 0, IF(MAX(0, A80 - $F$13 + 1)&lt;=6, 70 - (70-14)*(MAX(0, A80 - $F$13 + 1)-1)/5, IF(MAX(0, A80 - $F$13 + 1)&lt;=24, 14 - 14*(MAX(0, A80 - $F$13 + 1)-6)/18, 0)))) + (IF(MAX(0, A80 - $F$14 + 1)&lt;=0, 0, IF(MAX(0, A80 - $F$14 + 1)&lt;=6, 70 - (70-14)*(MAX(0, A80 - $F$14 + 1)-1)/5, IF(MAX(0, A80 - $F$14 + 1)&lt;=24, 14 - 14*(MAX(0, A80 - $F$14 + 1)-6)/18, 0)))) ) * 200 / 12 / 1000</f>
        <v/>
      </c>
      <c r="F80" s="306">
        <f>IF(A80&lt;$F$6,0,IF(AND($B$21=1,A80&gt;$B$19),0,$E$6*$G$6^MIN((A80-$F$6)/12,6)*MIN($G$6,0.85)^MAX(0,(A80-$F$6)/12-6)))</f>
        <v/>
      </c>
      <c r="G80" s="306">
        <f>IF(A80&lt;$F$7,0,IF(AND($B$21=1,A80&gt;$B$19),0,$E$7*$G$7^MIN((A80-$F$7)/12,6)*MIN($G$7,0.85)^MAX(0,(A80-$F$7)/12-6)))</f>
        <v/>
      </c>
      <c r="H80" s="306">
        <f>IF(A80&lt;$F$8,0,IF(AND($B$21=1,A80&gt;$B$19),0,$E$8*$G$8^MIN((A80-$F$8)/12,6)*MIN($G$8,0.85)^MAX(0,(A80-$F$8)/12-6)))</f>
        <v/>
      </c>
      <c r="I80" s="306">
        <f>IF(A80&lt;$F$9,0,IF(AND($B$21=1,A80&gt;$B$19),0,$E$9*$G$9^MIN((A80-$F$9)/12,6)*MIN($G$9,0.85)^MAX(0,(A80-$F$9)/12-6)))</f>
        <v/>
      </c>
      <c r="J80" s="306">
        <f>IF(A80&lt;$F$10,0,IF(AND($B$21=1,A80&gt;$B$19),0,$E$10*$G$10^MIN((A80-$F$10)/12,6)*MIN($G$10,0.85)^MAX(0,(A80-$F$10)/12-6)))</f>
        <v/>
      </c>
      <c r="K80" s="306">
        <f>IF(A80&lt;$F$11,0,IF(AND($B$21=1,A80&gt;$B$19),0,$E$11*$G$11^MIN((A80-$F$11)/12,6)*MIN($G$11,0.85)^MAX(0,(A80-$F$11)/12-6)))</f>
        <v/>
      </c>
      <c r="L80" s="306">
        <f>IF(A80&lt;$F$12,0,IF(AND($B$21=1,A80&gt;$B$19),0,$E$12*$G$12^MIN((A80-$F$12)/12,6)*MIN($G$12,0.85)^MAX(0,(A80-$F$12)/12-6)))</f>
        <v/>
      </c>
      <c r="M80" s="306">
        <f>IF(A80&lt;$F$13,0,IF(AND($B$21=1,A80&gt;$B$19),0,$E$13*$G$13^MIN((A80-$F$13)/12,6)*MIN($G$13,0.85)^MAX(0,(A80-$F$13)/12-6)))</f>
        <v/>
      </c>
      <c r="N80" s="306">
        <f>IF(A80&lt;$F$14,0,IF(AND($B$21=1,A80&gt;$B$19),0,$E$14*$G$14^MIN((A80-$F$14)/12,6)*MIN($G$14,0.85)^MAX(0,(A80-$F$14)/12-6)))</f>
        <v/>
      </c>
      <c r="O80" s="306">
        <f>SUM(F80:N80)</f>
        <v/>
      </c>
      <c r="P80" s="306">
        <f>O80/12</f>
        <v/>
      </c>
      <c r="Q80" s="306">
        <f>P80*$B$8</f>
        <v/>
      </c>
      <c r="R80" s="306">
        <f>P80*$B$9</f>
        <v/>
      </c>
      <c r="S80" s="306">
        <f>P80*$B$10</f>
        <v/>
      </c>
      <c r="T80" s="306">
        <f>P80-Q80-R80-S80-D80-E80</f>
        <v/>
      </c>
      <c r="U80" s="306">
        <f>MAX(0, T80 - $B$7*P80)</f>
        <v/>
      </c>
      <c r="V80" s="306">
        <f>T80-U80</f>
        <v/>
      </c>
      <c r="W80" s="306">
        <f>IF(A80=$F$6, $B$18*$B$16*$B$17/1000000, 0) + IF(A80=$F$7, $B$18*$B$16*$B$17/1000000, 0) + IF(A80=$F$8, $B$18*$B$16*$B$17/1000000, 0) + IF(A80=$F$9, $B$18*$B$16*$B$17/1000000, 0) + IF(A80=$F$10, $B$18*$B$16*$B$17/1000000, 0) + IF(A80=$F$11, $B$18*$B$16*$B$17/1000000, 0) + IF(A80=$F$12, $B$18*$B$16*$B$17/1000000, 0) + IF(A80=$F$13, $B$18*$B$16*$B$17/1000000, 0) + IF(A80=$F$14, $B$18*$B$16*$B$17/1000000, 0)</f>
        <v/>
      </c>
      <c r="X80" s="306">
        <f>V80-W80-C80</f>
        <v/>
      </c>
      <c r="Y80" s="306">
        <f>IF(AND(A80&lt;=$B$24, X80&gt;0), X80*$B$23, 0)</f>
        <v/>
      </c>
      <c r="Z80" s="306">
        <f>X80-Y80</f>
        <v/>
      </c>
      <c r="AA80" s="306">
        <f>IF(AND(A80=$B$19, $B$21=1), O80*$B$20, 0)</f>
        <v/>
      </c>
      <c r="AB80" s="306">
        <f>AB79+Z80+AA80</f>
        <v/>
      </c>
    </row>
    <row r="81">
      <c r="A81" s="306" t="n">
        <v>51</v>
      </c>
      <c r="B81" s="306">
        <f>CEILING(A81/12,1)</f>
        <v/>
      </c>
      <c r="C81" s="306">
        <f>IF(A81&lt;=12, $B$15/12, 0)</f>
        <v/>
      </c>
      <c r="D81" s="306">
        <f>INDEX('26. Team Comp'!$D$28:$R$28, B81) * 0.001 / 12</f>
        <v/>
      </c>
      <c r="E81" s="306">
        <f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+ (IF(MAX(0, A81 - $F$11 + 1)&lt;=0, 0, IF(MAX(0, A81 - $F$11 + 1)&lt;=6, 70 - (70-14)*(MAX(0, A81 - $F$11 + 1)-1)/5, IF(MAX(0, A81 - $F$11 + 1)&lt;=24, 14 - 14*(MAX(0, A81 - $F$11 + 1)-6)/18, 0)))) + (IF(MAX(0, A81 - $F$12 + 1)&lt;=0, 0, IF(MAX(0, A81 - $F$12 + 1)&lt;=6, 70 - (70-14)*(MAX(0, A81 - $F$12 + 1)-1)/5, IF(MAX(0, A81 - $F$12 + 1)&lt;=24, 14 - 14*(MAX(0, A81 - $F$12 + 1)-6)/18, 0)))) + (IF(MAX(0, A81 - $F$13 + 1)&lt;=0, 0, IF(MAX(0, A81 - $F$13 + 1)&lt;=6, 70 - (70-14)*(MAX(0, A81 - $F$13 + 1)-1)/5, IF(MAX(0, A81 - $F$13 + 1)&lt;=24, 14 - 14*(MAX(0, A81 - $F$13 + 1)-6)/18, 0)))) + (IF(MAX(0, A81 - $F$14 + 1)&lt;=0, 0, IF(MAX(0, A81 - $F$14 + 1)&lt;=6, 70 - (70-14)*(MAX(0, A81 - $F$14 + 1)-1)/5, IF(MAX(0, A81 - $F$14 + 1)&lt;=24, 14 - 14*(MAX(0, A81 - $F$14 + 1)-6)/18, 0)))) ) * 200 / 12 / 1000</f>
        <v/>
      </c>
      <c r="F81" s="306">
        <f>IF(A81&lt;$F$6,0,IF(AND($B$21=1,A81&gt;$B$19),0,$E$6*$G$6^MIN((A81-$F$6)/12,6)*MIN($G$6,0.85)^MAX(0,(A81-$F$6)/12-6)))</f>
        <v/>
      </c>
      <c r="G81" s="306">
        <f>IF(A81&lt;$F$7,0,IF(AND($B$21=1,A81&gt;$B$19),0,$E$7*$G$7^MIN((A81-$F$7)/12,6)*MIN($G$7,0.85)^MAX(0,(A81-$F$7)/12-6)))</f>
        <v/>
      </c>
      <c r="H81" s="306">
        <f>IF(A81&lt;$F$8,0,IF(AND($B$21=1,A81&gt;$B$19),0,$E$8*$G$8^MIN((A81-$F$8)/12,6)*MIN($G$8,0.85)^MAX(0,(A81-$F$8)/12-6)))</f>
        <v/>
      </c>
      <c r="I81" s="306">
        <f>IF(A81&lt;$F$9,0,IF(AND($B$21=1,A81&gt;$B$19),0,$E$9*$G$9^MIN((A81-$F$9)/12,6)*MIN($G$9,0.85)^MAX(0,(A81-$F$9)/12-6)))</f>
        <v/>
      </c>
      <c r="J81" s="306">
        <f>IF(A81&lt;$F$10,0,IF(AND($B$21=1,A81&gt;$B$19),0,$E$10*$G$10^MIN((A81-$F$10)/12,6)*MIN($G$10,0.85)^MAX(0,(A81-$F$10)/12-6)))</f>
        <v/>
      </c>
      <c r="K81" s="306">
        <f>IF(A81&lt;$F$11,0,IF(AND($B$21=1,A81&gt;$B$19),0,$E$11*$G$11^MIN((A81-$F$11)/12,6)*MIN($G$11,0.85)^MAX(0,(A81-$F$11)/12-6)))</f>
        <v/>
      </c>
      <c r="L81" s="306">
        <f>IF(A81&lt;$F$12,0,IF(AND($B$21=1,A81&gt;$B$19),0,$E$12*$G$12^MIN((A81-$F$12)/12,6)*MIN($G$12,0.85)^MAX(0,(A81-$F$12)/12-6)))</f>
        <v/>
      </c>
      <c r="M81" s="306">
        <f>IF(A81&lt;$F$13,0,IF(AND($B$21=1,A81&gt;$B$19),0,$E$13*$G$13^MIN((A81-$F$13)/12,6)*MIN($G$13,0.85)^MAX(0,(A81-$F$13)/12-6)))</f>
        <v/>
      </c>
      <c r="N81" s="306">
        <f>IF(A81&lt;$F$14,0,IF(AND($B$21=1,A81&gt;$B$19),0,$E$14*$G$14^MIN((A81-$F$14)/12,6)*MIN($G$14,0.85)^MAX(0,(A81-$F$14)/12-6)))</f>
        <v/>
      </c>
      <c r="O81" s="306">
        <f>SUM(F81:N81)</f>
        <v/>
      </c>
      <c r="P81" s="306">
        <f>O81/12</f>
        <v/>
      </c>
      <c r="Q81" s="306">
        <f>P81*$B$8</f>
        <v/>
      </c>
      <c r="R81" s="306">
        <f>P81*$B$9</f>
        <v/>
      </c>
      <c r="S81" s="306">
        <f>P81*$B$10</f>
        <v/>
      </c>
      <c r="T81" s="306">
        <f>P81-Q81-R81-S81-D81-E81</f>
        <v/>
      </c>
      <c r="U81" s="306">
        <f>MAX(0, T81 - $B$7*P81)</f>
        <v/>
      </c>
      <c r="V81" s="306">
        <f>T81-U81</f>
        <v/>
      </c>
      <c r="W81" s="306">
        <f>IF(A81=$F$6, $B$18*$B$16*$B$17/1000000, 0) + IF(A81=$F$7, $B$18*$B$16*$B$17/1000000, 0) + IF(A81=$F$8, $B$18*$B$16*$B$17/1000000, 0) + IF(A81=$F$9, $B$18*$B$16*$B$17/1000000, 0) + IF(A81=$F$10, $B$18*$B$16*$B$17/1000000, 0) + IF(A81=$F$11, $B$18*$B$16*$B$17/1000000, 0) + IF(A81=$F$12, $B$18*$B$16*$B$17/1000000, 0) + IF(A81=$F$13, $B$18*$B$16*$B$17/1000000, 0) + IF(A81=$F$14, $B$18*$B$16*$B$17/1000000, 0)</f>
        <v/>
      </c>
      <c r="X81" s="306">
        <f>V81-W81-C81</f>
        <v/>
      </c>
      <c r="Y81" s="306">
        <f>IF(AND(A81&lt;=$B$24, X81&gt;0), X81*$B$23, 0)</f>
        <v/>
      </c>
      <c r="Z81" s="306">
        <f>X81-Y81</f>
        <v/>
      </c>
      <c r="AA81" s="306">
        <f>IF(AND(A81=$B$19, $B$21=1), O81*$B$20, 0)</f>
        <v/>
      </c>
      <c r="AB81" s="306">
        <f>AB80+Z81+AA81</f>
        <v/>
      </c>
    </row>
    <row r="82">
      <c r="A82" s="306" t="n">
        <v>52</v>
      </c>
      <c r="B82" s="306">
        <f>CEILING(A82/12,1)</f>
        <v/>
      </c>
      <c r="C82" s="306">
        <f>IF(A82&lt;=12, $B$15/12, 0)</f>
        <v/>
      </c>
      <c r="D82" s="306">
        <f>INDEX('26. Team Comp'!$D$28:$R$28, B82) * 0.001 / 12</f>
        <v/>
      </c>
      <c r="E82" s="306">
        <f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+ (IF(MAX(0, A82 - $F$11 + 1)&lt;=0, 0, IF(MAX(0, A82 - $F$11 + 1)&lt;=6, 70 - (70-14)*(MAX(0, A82 - $F$11 + 1)-1)/5, IF(MAX(0, A82 - $F$11 + 1)&lt;=24, 14 - 14*(MAX(0, A82 - $F$11 + 1)-6)/18, 0)))) + (IF(MAX(0, A82 - $F$12 + 1)&lt;=0, 0, IF(MAX(0, A82 - $F$12 + 1)&lt;=6, 70 - (70-14)*(MAX(0, A82 - $F$12 + 1)-1)/5, IF(MAX(0, A82 - $F$12 + 1)&lt;=24, 14 - 14*(MAX(0, A82 - $F$12 + 1)-6)/18, 0)))) + (IF(MAX(0, A82 - $F$13 + 1)&lt;=0, 0, IF(MAX(0, A82 - $F$13 + 1)&lt;=6, 70 - (70-14)*(MAX(0, A82 - $F$13 + 1)-1)/5, IF(MAX(0, A82 - $F$13 + 1)&lt;=24, 14 - 14*(MAX(0, A82 - $F$13 + 1)-6)/18, 0)))) + (IF(MAX(0, A82 - $F$14 + 1)&lt;=0, 0, IF(MAX(0, A82 - $F$14 + 1)&lt;=6, 70 - (70-14)*(MAX(0, A82 - $F$14 + 1)-1)/5, IF(MAX(0, A82 - $F$14 + 1)&lt;=24, 14 - 14*(MAX(0, A82 - $F$14 + 1)-6)/18, 0)))) ) * 200 / 12 / 1000</f>
        <v/>
      </c>
      <c r="F82" s="306">
        <f>IF(A82&lt;$F$6,0,IF(AND($B$21=1,A82&gt;$B$19),0,$E$6*$G$6^MIN((A82-$F$6)/12,6)*MIN($G$6,0.85)^MAX(0,(A82-$F$6)/12-6)))</f>
        <v/>
      </c>
      <c r="G82" s="306">
        <f>IF(A82&lt;$F$7,0,IF(AND($B$21=1,A82&gt;$B$19),0,$E$7*$G$7^MIN((A82-$F$7)/12,6)*MIN($G$7,0.85)^MAX(0,(A82-$F$7)/12-6)))</f>
        <v/>
      </c>
      <c r="H82" s="306">
        <f>IF(A82&lt;$F$8,0,IF(AND($B$21=1,A82&gt;$B$19),0,$E$8*$G$8^MIN((A82-$F$8)/12,6)*MIN($G$8,0.85)^MAX(0,(A82-$F$8)/12-6)))</f>
        <v/>
      </c>
      <c r="I82" s="306">
        <f>IF(A82&lt;$F$9,0,IF(AND($B$21=1,A82&gt;$B$19),0,$E$9*$G$9^MIN((A82-$F$9)/12,6)*MIN($G$9,0.85)^MAX(0,(A82-$F$9)/12-6)))</f>
        <v/>
      </c>
      <c r="J82" s="306">
        <f>IF(A82&lt;$F$10,0,IF(AND($B$21=1,A82&gt;$B$19),0,$E$10*$G$10^MIN((A82-$F$10)/12,6)*MIN($G$10,0.85)^MAX(0,(A82-$F$10)/12-6)))</f>
        <v/>
      </c>
      <c r="K82" s="306">
        <f>IF(A82&lt;$F$11,0,IF(AND($B$21=1,A82&gt;$B$19),0,$E$11*$G$11^MIN((A82-$F$11)/12,6)*MIN($G$11,0.85)^MAX(0,(A82-$F$11)/12-6)))</f>
        <v/>
      </c>
      <c r="L82" s="306">
        <f>IF(A82&lt;$F$12,0,IF(AND($B$21=1,A82&gt;$B$19),0,$E$12*$G$12^MIN((A82-$F$12)/12,6)*MIN($G$12,0.85)^MAX(0,(A82-$F$12)/12-6)))</f>
        <v/>
      </c>
      <c r="M82" s="306">
        <f>IF(A82&lt;$F$13,0,IF(AND($B$21=1,A82&gt;$B$19),0,$E$13*$G$13^MIN((A82-$F$13)/12,6)*MIN($G$13,0.85)^MAX(0,(A82-$F$13)/12-6)))</f>
        <v/>
      </c>
      <c r="N82" s="306">
        <f>IF(A82&lt;$F$14,0,IF(AND($B$21=1,A82&gt;$B$19),0,$E$14*$G$14^MIN((A82-$F$14)/12,6)*MIN($G$14,0.85)^MAX(0,(A82-$F$14)/12-6)))</f>
        <v/>
      </c>
      <c r="O82" s="306">
        <f>SUM(F82:N82)</f>
        <v/>
      </c>
      <c r="P82" s="306">
        <f>O82/12</f>
        <v/>
      </c>
      <c r="Q82" s="306">
        <f>P82*$B$8</f>
        <v/>
      </c>
      <c r="R82" s="306">
        <f>P82*$B$9</f>
        <v/>
      </c>
      <c r="S82" s="306">
        <f>P82*$B$10</f>
        <v/>
      </c>
      <c r="T82" s="306">
        <f>P82-Q82-R82-S82-D82-E82</f>
        <v/>
      </c>
      <c r="U82" s="306">
        <f>MAX(0, T82 - $B$7*P82)</f>
        <v/>
      </c>
      <c r="V82" s="306">
        <f>T82-U82</f>
        <v/>
      </c>
      <c r="W82" s="306">
        <f>IF(A82=$F$6, $B$18*$B$16*$B$17/1000000, 0) + IF(A82=$F$7, $B$18*$B$16*$B$17/1000000, 0) + IF(A82=$F$8, $B$18*$B$16*$B$17/1000000, 0) + IF(A82=$F$9, $B$18*$B$16*$B$17/1000000, 0) + IF(A82=$F$10, $B$18*$B$16*$B$17/1000000, 0) + IF(A82=$F$11, $B$18*$B$16*$B$17/1000000, 0) + IF(A82=$F$12, $B$18*$B$16*$B$17/1000000, 0) + IF(A82=$F$13, $B$18*$B$16*$B$17/1000000, 0) + IF(A82=$F$14, $B$18*$B$16*$B$17/1000000, 0)</f>
        <v/>
      </c>
      <c r="X82" s="306">
        <f>V82-W82-C82</f>
        <v/>
      </c>
      <c r="Y82" s="306">
        <f>IF(AND(A82&lt;=$B$24, X82&gt;0), X82*$B$23, 0)</f>
        <v/>
      </c>
      <c r="Z82" s="306">
        <f>X82-Y82</f>
        <v/>
      </c>
      <c r="AA82" s="306">
        <f>IF(AND(A82=$B$19, $B$21=1), O82*$B$20, 0)</f>
        <v/>
      </c>
      <c r="AB82" s="306">
        <f>AB81+Z82+AA82</f>
        <v/>
      </c>
    </row>
    <row r="83">
      <c r="A83" s="306" t="n">
        <v>53</v>
      </c>
      <c r="B83" s="306">
        <f>CEILING(A83/12,1)</f>
        <v/>
      </c>
      <c r="C83" s="306">
        <f>IF(A83&lt;=12, $B$15/12, 0)</f>
        <v/>
      </c>
      <c r="D83" s="306">
        <f>INDEX('26. Team Comp'!$D$28:$R$28, B83) * 0.001 / 12</f>
        <v/>
      </c>
      <c r="E83" s="306">
        <f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+ (IF(MAX(0, A83 - $F$11 + 1)&lt;=0, 0, IF(MAX(0, A83 - $F$11 + 1)&lt;=6, 70 - (70-14)*(MAX(0, A83 - $F$11 + 1)-1)/5, IF(MAX(0, A83 - $F$11 + 1)&lt;=24, 14 - 14*(MAX(0, A83 - $F$11 + 1)-6)/18, 0)))) + (IF(MAX(0, A83 - $F$12 + 1)&lt;=0, 0, IF(MAX(0, A83 - $F$12 + 1)&lt;=6, 70 - (70-14)*(MAX(0, A83 - $F$12 + 1)-1)/5, IF(MAX(0, A83 - $F$12 + 1)&lt;=24, 14 - 14*(MAX(0, A83 - $F$12 + 1)-6)/18, 0)))) + (IF(MAX(0, A83 - $F$13 + 1)&lt;=0, 0, IF(MAX(0, A83 - $F$13 + 1)&lt;=6, 70 - (70-14)*(MAX(0, A83 - $F$13 + 1)-1)/5, IF(MAX(0, A83 - $F$13 + 1)&lt;=24, 14 - 14*(MAX(0, A83 - $F$13 + 1)-6)/18, 0)))) + (IF(MAX(0, A83 - $F$14 + 1)&lt;=0, 0, IF(MAX(0, A83 - $F$14 + 1)&lt;=6, 70 - (70-14)*(MAX(0, A83 - $F$14 + 1)-1)/5, IF(MAX(0, A83 - $F$14 + 1)&lt;=24, 14 - 14*(MAX(0, A83 - $F$14 + 1)-6)/18, 0)))) ) * 200 / 12 / 1000</f>
        <v/>
      </c>
      <c r="F83" s="306">
        <f>IF(A83&lt;$F$6,0,IF(AND($B$21=1,A83&gt;$B$19),0,$E$6*$G$6^MIN((A83-$F$6)/12,6)*MIN($G$6,0.85)^MAX(0,(A83-$F$6)/12-6)))</f>
        <v/>
      </c>
      <c r="G83" s="306">
        <f>IF(A83&lt;$F$7,0,IF(AND($B$21=1,A83&gt;$B$19),0,$E$7*$G$7^MIN((A83-$F$7)/12,6)*MIN($G$7,0.85)^MAX(0,(A83-$F$7)/12-6)))</f>
        <v/>
      </c>
      <c r="H83" s="306">
        <f>IF(A83&lt;$F$8,0,IF(AND($B$21=1,A83&gt;$B$19),0,$E$8*$G$8^MIN((A83-$F$8)/12,6)*MIN($G$8,0.85)^MAX(0,(A83-$F$8)/12-6)))</f>
        <v/>
      </c>
      <c r="I83" s="306">
        <f>IF(A83&lt;$F$9,0,IF(AND($B$21=1,A83&gt;$B$19),0,$E$9*$G$9^MIN((A83-$F$9)/12,6)*MIN($G$9,0.85)^MAX(0,(A83-$F$9)/12-6)))</f>
        <v/>
      </c>
      <c r="J83" s="306">
        <f>IF(A83&lt;$F$10,0,IF(AND($B$21=1,A83&gt;$B$19),0,$E$10*$G$10^MIN((A83-$F$10)/12,6)*MIN($G$10,0.85)^MAX(0,(A83-$F$10)/12-6)))</f>
        <v/>
      </c>
      <c r="K83" s="306">
        <f>IF(A83&lt;$F$11,0,IF(AND($B$21=1,A83&gt;$B$19),0,$E$11*$G$11^MIN((A83-$F$11)/12,6)*MIN($G$11,0.85)^MAX(0,(A83-$F$11)/12-6)))</f>
        <v/>
      </c>
      <c r="L83" s="306">
        <f>IF(A83&lt;$F$12,0,IF(AND($B$21=1,A83&gt;$B$19),0,$E$12*$G$12^MIN((A83-$F$12)/12,6)*MIN($G$12,0.85)^MAX(0,(A83-$F$12)/12-6)))</f>
        <v/>
      </c>
      <c r="M83" s="306">
        <f>IF(A83&lt;$F$13,0,IF(AND($B$21=1,A83&gt;$B$19),0,$E$13*$G$13^MIN((A83-$F$13)/12,6)*MIN($G$13,0.85)^MAX(0,(A83-$F$13)/12-6)))</f>
        <v/>
      </c>
      <c r="N83" s="306">
        <f>IF(A83&lt;$F$14,0,IF(AND($B$21=1,A83&gt;$B$19),0,$E$14*$G$14^MIN((A83-$F$14)/12,6)*MIN($G$14,0.85)^MAX(0,(A83-$F$14)/12-6)))</f>
        <v/>
      </c>
      <c r="O83" s="306">
        <f>SUM(F83:N83)</f>
        <v/>
      </c>
      <c r="P83" s="306">
        <f>O83/12</f>
        <v/>
      </c>
      <c r="Q83" s="306">
        <f>P83*$B$8</f>
        <v/>
      </c>
      <c r="R83" s="306">
        <f>P83*$B$9</f>
        <v/>
      </c>
      <c r="S83" s="306">
        <f>P83*$B$10</f>
        <v/>
      </c>
      <c r="T83" s="306">
        <f>P83-Q83-R83-S83-D83-E83</f>
        <v/>
      </c>
      <c r="U83" s="306">
        <f>MAX(0, T83 - $B$7*P83)</f>
        <v/>
      </c>
      <c r="V83" s="306">
        <f>T83-U83</f>
        <v/>
      </c>
      <c r="W83" s="306">
        <f>IF(A83=$F$6, $B$18*$B$16*$B$17/1000000, 0) + IF(A83=$F$7, $B$18*$B$16*$B$17/1000000, 0) + IF(A83=$F$8, $B$18*$B$16*$B$17/1000000, 0) + IF(A83=$F$9, $B$18*$B$16*$B$17/1000000, 0) + IF(A83=$F$10, $B$18*$B$16*$B$17/1000000, 0) + IF(A83=$F$11, $B$18*$B$16*$B$17/1000000, 0) + IF(A83=$F$12, $B$18*$B$16*$B$17/1000000, 0) + IF(A83=$F$13, $B$18*$B$16*$B$17/1000000, 0) + IF(A83=$F$14, $B$18*$B$16*$B$17/1000000, 0)</f>
        <v/>
      </c>
      <c r="X83" s="306">
        <f>V83-W83-C83</f>
        <v/>
      </c>
      <c r="Y83" s="306">
        <f>IF(AND(A83&lt;=$B$24, X83&gt;0), X83*$B$23, 0)</f>
        <v/>
      </c>
      <c r="Z83" s="306">
        <f>X83-Y83</f>
        <v/>
      </c>
      <c r="AA83" s="306">
        <f>IF(AND(A83=$B$19, $B$21=1), O83*$B$20, 0)</f>
        <v/>
      </c>
      <c r="AB83" s="306">
        <f>AB82+Z83+AA83</f>
        <v/>
      </c>
    </row>
    <row r="84">
      <c r="A84" s="306" t="n">
        <v>54</v>
      </c>
      <c r="B84" s="306">
        <f>CEILING(A84/12,1)</f>
        <v/>
      </c>
      <c r="C84" s="306">
        <f>IF(A84&lt;=12, $B$15/12, 0)</f>
        <v/>
      </c>
      <c r="D84" s="306">
        <f>INDEX('26. Team Comp'!$D$28:$R$28, B84) * 0.001 / 12</f>
        <v/>
      </c>
      <c r="E84" s="306">
        <f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+ (IF(MAX(0, A84 - $F$11 + 1)&lt;=0, 0, IF(MAX(0, A84 - $F$11 + 1)&lt;=6, 70 - (70-14)*(MAX(0, A84 - $F$11 + 1)-1)/5, IF(MAX(0, A84 - $F$11 + 1)&lt;=24, 14 - 14*(MAX(0, A84 - $F$11 + 1)-6)/18, 0)))) + (IF(MAX(0, A84 - $F$12 + 1)&lt;=0, 0, IF(MAX(0, A84 - $F$12 + 1)&lt;=6, 70 - (70-14)*(MAX(0, A84 - $F$12 + 1)-1)/5, IF(MAX(0, A84 - $F$12 + 1)&lt;=24, 14 - 14*(MAX(0, A84 - $F$12 + 1)-6)/18, 0)))) + (IF(MAX(0, A84 - $F$13 + 1)&lt;=0, 0, IF(MAX(0, A84 - $F$13 + 1)&lt;=6, 70 - (70-14)*(MAX(0, A84 - $F$13 + 1)-1)/5, IF(MAX(0, A84 - $F$13 + 1)&lt;=24, 14 - 14*(MAX(0, A84 - $F$13 + 1)-6)/18, 0)))) + (IF(MAX(0, A84 - $F$14 + 1)&lt;=0, 0, IF(MAX(0, A84 - $F$14 + 1)&lt;=6, 70 - (70-14)*(MAX(0, A84 - $F$14 + 1)-1)/5, IF(MAX(0, A84 - $F$14 + 1)&lt;=24, 14 - 14*(MAX(0, A84 - $F$14 + 1)-6)/18, 0)))) ) * 200 / 12 / 1000</f>
        <v/>
      </c>
      <c r="F84" s="306">
        <f>IF(A84&lt;$F$6,0,IF(AND($B$21=1,A84&gt;$B$19),0,$E$6*$G$6^MIN((A84-$F$6)/12,6)*MIN($G$6,0.85)^MAX(0,(A84-$F$6)/12-6)))</f>
        <v/>
      </c>
      <c r="G84" s="306">
        <f>IF(A84&lt;$F$7,0,IF(AND($B$21=1,A84&gt;$B$19),0,$E$7*$G$7^MIN((A84-$F$7)/12,6)*MIN($G$7,0.85)^MAX(0,(A84-$F$7)/12-6)))</f>
        <v/>
      </c>
      <c r="H84" s="306">
        <f>IF(A84&lt;$F$8,0,IF(AND($B$21=1,A84&gt;$B$19),0,$E$8*$G$8^MIN((A84-$F$8)/12,6)*MIN($G$8,0.85)^MAX(0,(A84-$F$8)/12-6)))</f>
        <v/>
      </c>
      <c r="I84" s="306">
        <f>IF(A84&lt;$F$9,0,IF(AND($B$21=1,A84&gt;$B$19),0,$E$9*$G$9^MIN((A84-$F$9)/12,6)*MIN($G$9,0.85)^MAX(0,(A84-$F$9)/12-6)))</f>
        <v/>
      </c>
      <c r="J84" s="306">
        <f>IF(A84&lt;$F$10,0,IF(AND($B$21=1,A84&gt;$B$19),0,$E$10*$G$10^MIN((A84-$F$10)/12,6)*MIN($G$10,0.85)^MAX(0,(A84-$F$10)/12-6)))</f>
        <v/>
      </c>
      <c r="K84" s="306">
        <f>IF(A84&lt;$F$11,0,IF(AND($B$21=1,A84&gt;$B$19),0,$E$11*$G$11^MIN((A84-$F$11)/12,6)*MIN($G$11,0.85)^MAX(0,(A84-$F$11)/12-6)))</f>
        <v/>
      </c>
      <c r="L84" s="306">
        <f>IF(A84&lt;$F$12,0,IF(AND($B$21=1,A84&gt;$B$19),0,$E$12*$G$12^MIN((A84-$F$12)/12,6)*MIN($G$12,0.85)^MAX(0,(A84-$F$12)/12-6)))</f>
        <v/>
      </c>
      <c r="M84" s="306">
        <f>IF(A84&lt;$F$13,0,IF(AND($B$21=1,A84&gt;$B$19),0,$E$13*$G$13^MIN((A84-$F$13)/12,6)*MIN($G$13,0.85)^MAX(0,(A84-$F$13)/12-6)))</f>
        <v/>
      </c>
      <c r="N84" s="306">
        <f>IF(A84&lt;$F$14,0,IF(AND($B$21=1,A84&gt;$B$19),0,$E$14*$G$14^MIN((A84-$F$14)/12,6)*MIN($G$14,0.85)^MAX(0,(A84-$F$14)/12-6)))</f>
        <v/>
      </c>
      <c r="O84" s="306">
        <f>SUM(F84:N84)</f>
        <v/>
      </c>
      <c r="P84" s="306">
        <f>O84/12</f>
        <v/>
      </c>
      <c r="Q84" s="306">
        <f>P84*$B$8</f>
        <v/>
      </c>
      <c r="R84" s="306">
        <f>P84*$B$9</f>
        <v/>
      </c>
      <c r="S84" s="306">
        <f>P84*$B$10</f>
        <v/>
      </c>
      <c r="T84" s="306">
        <f>P84-Q84-R84-S84-D84-E84</f>
        <v/>
      </c>
      <c r="U84" s="306">
        <f>MAX(0, T84 - $B$7*P84)</f>
        <v/>
      </c>
      <c r="V84" s="306">
        <f>T84-U84</f>
        <v/>
      </c>
      <c r="W84" s="306">
        <f>IF(A84=$F$6, $B$18*$B$16*$B$17/1000000, 0) + IF(A84=$F$7, $B$18*$B$16*$B$17/1000000, 0) + IF(A84=$F$8, $B$18*$B$16*$B$17/1000000, 0) + IF(A84=$F$9, $B$18*$B$16*$B$17/1000000, 0) + IF(A84=$F$10, $B$18*$B$16*$B$17/1000000, 0) + IF(A84=$F$11, $B$18*$B$16*$B$17/1000000, 0) + IF(A84=$F$12, $B$18*$B$16*$B$17/1000000, 0) + IF(A84=$F$13, $B$18*$B$16*$B$17/1000000, 0) + IF(A84=$F$14, $B$18*$B$16*$B$17/1000000, 0)</f>
        <v/>
      </c>
      <c r="X84" s="306">
        <f>V84-W84-C84</f>
        <v/>
      </c>
      <c r="Y84" s="306">
        <f>IF(AND(A84&lt;=$B$24, X84&gt;0), X84*$B$23, 0)</f>
        <v/>
      </c>
      <c r="Z84" s="306">
        <f>X84-Y84</f>
        <v/>
      </c>
      <c r="AA84" s="306">
        <f>IF(AND(A84=$B$19, $B$21=1), O84*$B$20, 0)</f>
        <v/>
      </c>
      <c r="AB84" s="306">
        <f>AB83+Z84+AA84</f>
        <v/>
      </c>
    </row>
    <row r="85">
      <c r="A85" s="306" t="n">
        <v>55</v>
      </c>
      <c r="B85" s="306">
        <f>CEILING(A85/12,1)</f>
        <v/>
      </c>
      <c r="C85" s="306">
        <f>IF(A85&lt;=12, $B$15/12, 0)</f>
        <v/>
      </c>
      <c r="D85" s="306">
        <f>INDEX('26. Team Comp'!$D$28:$R$28, B85) * 0.001 / 12</f>
        <v/>
      </c>
      <c r="E85" s="306">
        <f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+ (IF(MAX(0, A85 - $F$11 + 1)&lt;=0, 0, IF(MAX(0, A85 - $F$11 + 1)&lt;=6, 70 - (70-14)*(MAX(0, A85 - $F$11 + 1)-1)/5, IF(MAX(0, A85 - $F$11 + 1)&lt;=24, 14 - 14*(MAX(0, A85 - $F$11 + 1)-6)/18, 0)))) + (IF(MAX(0, A85 - $F$12 + 1)&lt;=0, 0, IF(MAX(0, A85 - $F$12 + 1)&lt;=6, 70 - (70-14)*(MAX(0, A85 - $F$12 + 1)-1)/5, IF(MAX(0, A85 - $F$12 + 1)&lt;=24, 14 - 14*(MAX(0, A85 - $F$12 + 1)-6)/18, 0)))) + (IF(MAX(0, A85 - $F$13 + 1)&lt;=0, 0, IF(MAX(0, A85 - $F$13 + 1)&lt;=6, 70 - (70-14)*(MAX(0, A85 - $F$13 + 1)-1)/5, IF(MAX(0, A85 - $F$13 + 1)&lt;=24, 14 - 14*(MAX(0, A85 - $F$13 + 1)-6)/18, 0)))) + (IF(MAX(0, A85 - $F$14 + 1)&lt;=0, 0, IF(MAX(0, A85 - $F$14 + 1)&lt;=6, 70 - (70-14)*(MAX(0, A85 - $F$14 + 1)-1)/5, IF(MAX(0, A85 - $F$14 + 1)&lt;=24, 14 - 14*(MAX(0, A85 - $F$14 + 1)-6)/18, 0)))) ) * 200 / 12 / 1000</f>
        <v/>
      </c>
      <c r="F85" s="306">
        <f>IF(A85&lt;$F$6,0,IF(AND($B$21=1,A85&gt;$B$19),0,$E$6*$G$6^MIN((A85-$F$6)/12,6)*MIN($G$6,0.85)^MAX(0,(A85-$F$6)/12-6)))</f>
        <v/>
      </c>
      <c r="G85" s="306">
        <f>IF(A85&lt;$F$7,0,IF(AND($B$21=1,A85&gt;$B$19),0,$E$7*$G$7^MIN((A85-$F$7)/12,6)*MIN($G$7,0.85)^MAX(0,(A85-$F$7)/12-6)))</f>
        <v/>
      </c>
      <c r="H85" s="306">
        <f>IF(A85&lt;$F$8,0,IF(AND($B$21=1,A85&gt;$B$19),0,$E$8*$G$8^MIN((A85-$F$8)/12,6)*MIN($G$8,0.85)^MAX(0,(A85-$F$8)/12-6)))</f>
        <v/>
      </c>
      <c r="I85" s="306">
        <f>IF(A85&lt;$F$9,0,IF(AND($B$21=1,A85&gt;$B$19),0,$E$9*$G$9^MIN((A85-$F$9)/12,6)*MIN($G$9,0.85)^MAX(0,(A85-$F$9)/12-6)))</f>
        <v/>
      </c>
      <c r="J85" s="306">
        <f>IF(A85&lt;$F$10,0,IF(AND($B$21=1,A85&gt;$B$19),0,$E$10*$G$10^MIN((A85-$F$10)/12,6)*MIN($G$10,0.85)^MAX(0,(A85-$F$10)/12-6)))</f>
        <v/>
      </c>
      <c r="K85" s="306">
        <f>IF(A85&lt;$F$11,0,IF(AND($B$21=1,A85&gt;$B$19),0,$E$11*$G$11^MIN((A85-$F$11)/12,6)*MIN($G$11,0.85)^MAX(0,(A85-$F$11)/12-6)))</f>
        <v/>
      </c>
      <c r="L85" s="306">
        <f>IF(A85&lt;$F$12,0,IF(AND($B$21=1,A85&gt;$B$19),0,$E$12*$G$12^MIN((A85-$F$12)/12,6)*MIN($G$12,0.85)^MAX(0,(A85-$F$12)/12-6)))</f>
        <v/>
      </c>
      <c r="M85" s="306">
        <f>IF(A85&lt;$F$13,0,IF(AND($B$21=1,A85&gt;$B$19),0,$E$13*$G$13^MIN((A85-$F$13)/12,6)*MIN($G$13,0.85)^MAX(0,(A85-$F$13)/12-6)))</f>
        <v/>
      </c>
      <c r="N85" s="306">
        <f>IF(A85&lt;$F$14,0,IF(AND($B$21=1,A85&gt;$B$19),0,$E$14*$G$14^MIN((A85-$F$14)/12,6)*MIN($G$14,0.85)^MAX(0,(A85-$F$14)/12-6)))</f>
        <v/>
      </c>
      <c r="O85" s="306">
        <f>SUM(F85:N85)</f>
        <v/>
      </c>
      <c r="P85" s="306">
        <f>O85/12</f>
        <v/>
      </c>
      <c r="Q85" s="306">
        <f>P85*$B$8</f>
        <v/>
      </c>
      <c r="R85" s="306">
        <f>P85*$B$9</f>
        <v/>
      </c>
      <c r="S85" s="306">
        <f>P85*$B$10</f>
        <v/>
      </c>
      <c r="T85" s="306">
        <f>P85-Q85-R85-S85-D85-E85</f>
        <v/>
      </c>
      <c r="U85" s="306">
        <f>MAX(0, T85 - $B$7*P85)</f>
        <v/>
      </c>
      <c r="V85" s="306">
        <f>T85-U85</f>
        <v/>
      </c>
      <c r="W85" s="306">
        <f>IF(A85=$F$6, $B$18*$B$16*$B$17/1000000, 0) + IF(A85=$F$7, $B$18*$B$16*$B$17/1000000, 0) + IF(A85=$F$8, $B$18*$B$16*$B$17/1000000, 0) + IF(A85=$F$9, $B$18*$B$16*$B$17/1000000, 0) + IF(A85=$F$10, $B$18*$B$16*$B$17/1000000, 0) + IF(A85=$F$11, $B$18*$B$16*$B$17/1000000, 0) + IF(A85=$F$12, $B$18*$B$16*$B$17/1000000, 0) + IF(A85=$F$13, $B$18*$B$16*$B$17/1000000, 0) + IF(A85=$F$14, $B$18*$B$16*$B$17/1000000, 0)</f>
        <v/>
      </c>
      <c r="X85" s="306">
        <f>V85-W85-C85</f>
        <v/>
      </c>
      <c r="Y85" s="306">
        <f>IF(AND(A85&lt;=$B$24, X85&gt;0), X85*$B$23, 0)</f>
        <v/>
      </c>
      <c r="Z85" s="306">
        <f>X85-Y85</f>
        <v/>
      </c>
      <c r="AA85" s="306">
        <f>IF(AND(A85=$B$19, $B$21=1), O85*$B$20, 0)</f>
        <v/>
      </c>
      <c r="AB85" s="306">
        <f>AB84+Z85+AA85</f>
        <v/>
      </c>
    </row>
    <row r="86">
      <c r="A86" s="306" t="n">
        <v>56</v>
      </c>
      <c r="B86" s="306">
        <f>CEILING(A86/12,1)</f>
        <v/>
      </c>
      <c r="C86" s="306">
        <f>IF(A86&lt;=12, $B$15/12, 0)</f>
        <v/>
      </c>
      <c r="D86" s="306">
        <f>INDEX('26. Team Comp'!$D$28:$R$28, B86) * 0.001 / 12</f>
        <v/>
      </c>
      <c r="E86" s="306">
        <f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+ (IF(MAX(0, A86 - $F$11 + 1)&lt;=0, 0, IF(MAX(0, A86 - $F$11 + 1)&lt;=6, 70 - (70-14)*(MAX(0, A86 - $F$11 + 1)-1)/5, IF(MAX(0, A86 - $F$11 + 1)&lt;=24, 14 - 14*(MAX(0, A86 - $F$11 + 1)-6)/18, 0)))) + (IF(MAX(0, A86 - $F$12 + 1)&lt;=0, 0, IF(MAX(0, A86 - $F$12 + 1)&lt;=6, 70 - (70-14)*(MAX(0, A86 - $F$12 + 1)-1)/5, IF(MAX(0, A86 - $F$12 + 1)&lt;=24, 14 - 14*(MAX(0, A86 - $F$12 + 1)-6)/18, 0)))) + (IF(MAX(0, A86 - $F$13 + 1)&lt;=0, 0, IF(MAX(0, A86 - $F$13 + 1)&lt;=6, 70 - (70-14)*(MAX(0, A86 - $F$13 + 1)-1)/5, IF(MAX(0, A86 - $F$13 + 1)&lt;=24, 14 - 14*(MAX(0, A86 - $F$13 + 1)-6)/18, 0)))) + (IF(MAX(0, A86 - $F$14 + 1)&lt;=0, 0, IF(MAX(0, A86 - $F$14 + 1)&lt;=6, 70 - (70-14)*(MAX(0, A86 - $F$14 + 1)-1)/5, IF(MAX(0, A86 - $F$14 + 1)&lt;=24, 14 - 14*(MAX(0, A86 - $F$14 + 1)-6)/18, 0)))) ) * 200 / 12 / 1000</f>
        <v/>
      </c>
      <c r="F86" s="306">
        <f>IF(A86&lt;$F$6,0,IF(AND($B$21=1,A86&gt;$B$19),0,$E$6*$G$6^MIN((A86-$F$6)/12,6)*MIN($G$6,0.85)^MAX(0,(A86-$F$6)/12-6)))</f>
        <v/>
      </c>
      <c r="G86" s="306">
        <f>IF(A86&lt;$F$7,0,IF(AND($B$21=1,A86&gt;$B$19),0,$E$7*$G$7^MIN((A86-$F$7)/12,6)*MIN($G$7,0.85)^MAX(0,(A86-$F$7)/12-6)))</f>
        <v/>
      </c>
      <c r="H86" s="306">
        <f>IF(A86&lt;$F$8,0,IF(AND($B$21=1,A86&gt;$B$19),0,$E$8*$G$8^MIN((A86-$F$8)/12,6)*MIN($G$8,0.85)^MAX(0,(A86-$F$8)/12-6)))</f>
        <v/>
      </c>
      <c r="I86" s="306">
        <f>IF(A86&lt;$F$9,0,IF(AND($B$21=1,A86&gt;$B$19),0,$E$9*$G$9^MIN((A86-$F$9)/12,6)*MIN($G$9,0.85)^MAX(0,(A86-$F$9)/12-6)))</f>
        <v/>
      </c>
      <c r="J86" s="306">
        <f>IF(A86&lt;$F$10,0,IF(AND($B$21=1,A86&gt;$B$19),0,$E$10*$G$10^MIN((A86-$F$10)/12,6)*MIN($G$10,0.85)^MAX(0,(A86-$F$10)/12-6)))</f>
        <v/>
      </c>
      <c r="K86" s="306">
        <f>IF(A86&lt;$F$11,0,IF(AND($B$21=1,A86&gt;$B$19),0,$E$11*$G$11^MIN((A86-$F$11)/12,6)*MIN($G$11,0.85)^MAX(0,(A86-$F$11)/12-6)))</f>
        <v/>
      </c>
      <c r="L86" s="306">
        <f>IF(A86&lt;$F$12,0,IF(AND($B$21=1,A86&gt;$B$19),0,$E$12*$G$12^MIN((A86-$F$12)/12,6)*MIN($G$12,0.85)^MAX(0,(A86-$F$12)/12-6)))</f>
        <v/>
      </c>
      <c r="M86" s="306">
        <f>IF(A86&lt;$F$13,0,IF(AND($B$21=1,A86&gt;$B$19),0,$E$13*$G$13^MIN((A86-$F$13)/12,6)*MIN($G$13,0.85)^MAX(0,(A86-$F$13)/12-6)))</f>
        <v/>
      </c>
      <c r="N86" s="306">
        <f>IF(A86&lt;$F$14,0,IF(AND($B$21=1,A86&gt;$B$19),0,$E$14*$G$14^MIN((A86-$F$14)/12,6)*MIN($G$14,0.85)^MAX(0,(A86-$F$14)/12-6)))</f>
        <v/>
      </c>
      <c r="O86" s="306">
        <f>SUM(F86:N86)</f>
        <v/>
      </c>
      <c r="P86" s="306">
        <f>O86/12</f>
        <v/>
      </c>
      <c r="Q86" s="306">
        <f>P86*$B$8</f>
        <v/>
      </c>
      <c r="R86" s="306">
        <f>P86*$B$9</f>
        <v/>
      </c>
      <c r="S86" s="306">
        <f>P86*$B$10</f>
        <v/>
      </c>
      <c r="T86" s="306">
        <f>P86-Q86-R86-S86-D86-E86</f>
        <v/>
      </c>
      <c r="U86" s="306">
        <f>MAX(0, T86 - $B$7*P86)</f>
        <v/>
      </c>
      <c r="V86" s="306">
        <f>T86-U86</f>
        <v/>
      </c>
      <c r="W86" s="306">
        <f>IF(A86=$F$6, $B$18*$B$16*$B$17/1000000, 0) + IF(A86=$F$7, $B$18*$B$16*$B$17/1000000, 0) + IF(A86=$F$8, $B$18*$B$16*$B$17/1000000, 0) + IF(A86=$F$9, $B$18*$B$16*$B$17/1000000, 0) + IF(A86=$F$10, $B$18*$B$16*$B$17/1000000, 0) + IF(A86=$F$11, $B$18*$B$16*$B$17/1000000, 0) + IF(A86=$F$12, $B$18*$B$16*$B$17/1000000, 0) + IF(A86=$F$13, $B$18*$B$16*$B$17/1000000, 0) + IF(A86=$F$14, $B$18*$B$16*$B$17/1000000, 0)</f>
        <v/>
      </c>
      <c r="X86" s="306">
        <f>V86-W86-C86</f>
        <v/>
      </c>
      <c r="Y86" s="306">
        <f>IF(AND(A86&lt;=$B$24, X86&gt;0), X86*$B$23, 0)</f>
        <v/>
      </c>
      <c r="Z86" s="306">
        <f>X86-Y86</f>
        <v/>
      </c>
      <c r="AA86" s="306">
        <f>IF(AND(A86=$B$19, $B$21=1), O86*$B$20, 0)</f>
        <v/>
      </c>
      <c r="AB86" s="306">
        <f>AB85+Z86+AA86</f>
        <v/>
      </c>
    </row>
    <row r="87">
      <c r="A87" s="306" t="n">
        <v>57</v>
      </c>
      <c r="B87" s="306">
        <f>CEILING(A87/12,1)</f>
        <v/>
      </c>
      <c r="C87" s="306">
        <f>IF(A87&lt;=12, $B$15/12, 0)</f>
        <v/>
      </c>
      <c r="D87" s="306">
        <f>INDEX('26. Team Comp'!$D$28:$R$28, B87) * 0.001 / 12</f>
        <v/>
      </c>
      <c r="E87" s="306">
        <f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+ (IF(MAX(0, A87 - $F$11 + 1)&lt;=0, 0, IF(MAX(0, A87 - $F$11 + 1)&lt;=6, 70 - (70-14)*(MAX(0, A87 - $F$11 + 1)-1)/5, IF(MAX(0, A87 - $F$11 + 1)&lt;=24, 14 - 14*(MAX(0, A87 - $F$11 + 1)-6)/18, 0)))) + (IF(MAX(0, A87 - $F$12 + 1)&lt;=0, 0, IF(MAX(0, A87 - $F$12 + 1)&lt;=6, 70 - (70-14)*(MAX(0, A87 - $F$12 + 1)-1)/5, IF(MAX(0, A87 - $F$12 + 1)&lt;=24, 14 - 14*(MAX(0, A87 - $F$12 + 1)-6)/18, 0)))) + (IF(MAX(0, A87 - $F$13 + 1)&lt;=0, 0, IF(MAX(0, A87 - $F$13 + 1)&lt;=6, 70 - (70-14)*(MAX(0, A87 - $F$13 + 1)-1)/5, IF(MAX(0, A87 - $F$13 + 1)&lt;=24, 14 - 14*(MAX(0, A87 - $F$13 + 1)-6)/18, 0)))) + (IF(MAX(0, A87 - $F$14 + 1)&lt;=0, 0, IF(MAX(0, A87 - $F$14 + 1)&lt;=6, 70 - (70-14)*(MAX(0, A87 - $F$14 + 1)-1)/5, IF(MAX(0, A87 - $F$14 + 1)&lt;=24, 14 - 14*(MAX(0, A87 - $F$14 + 1)-6)/18, 0)))) ) * 200 / 12 / 1000</f>
        <v/>
      </c>
      <c r="F87" s="306">
        <f>IF(A87&lt;$F$6,0,IF(AND($B$21=1,A87&gt;$B$19),0,$E$6*$G$6^MIN((A87-$F$6)/12,6)*MIN($G$6,0.85)^MAX(0,(A87-$F$6)/12-6)))</f>
        <v/>
      </c>
      <c r="G87" s="306">
        <f>IF(A87&lt;$F$7,0,IF(AND($B$21=1,A87&gt;$B$19),0,$E$7*$G$7^MIN((A87-$F$7)/12,6)*MIN($G$7,0.85)^MAX(0,(A87-$F$7)/12-6)))</f>
        <v/>
      </c>
      <c r="H87" s="306">
        <f>IF(A87&lt;$F$8,0,IF(AND($B$21=1,A87&gt;$B$19),0,$E$8*$G$8^MIN((A87-$F$8)/12,6)*MIN($G$8,0.85)^MAX(0,(A87-$F$8)/12-6)))</f>
        <v/>
      </c>
      <c r="I87" s="306">
        <f>IF(A87&lt;$F$9,0,IF(AND($B$21=1,A87&gt;$B$19),0,$E$9*$G$9^MIN((A87-$F$9)/12,6)*MIN($G$9,0.85)^MAX(0,(A87-$F$9)/12-6)))</f>
        <v/>
      </c>
      <c r="J87" s="306">
        <f>IF(A87&lt;$F$10,0,IF(AND($B$21=1,A87&gt;$B$19),0,$E$10*$G$10^MIN((A87-$F$10)/12,6)*MIN($G$10,0.85)^MAX(0,(A87-$F$10)/12-6)))</f>
        <v/>
      </c>
      <c r="K87" s="306">
        <f>IF(A87&lt;$F$11,0,IF(AND($B$21=1,A87&gt;$B$19),0,$E$11*$G$11^MIN((A87-$F$11)/12,6)*MIN($G$11,0.85)^MAX(0,(A87-$F$11)/12-6)))</f>
        <v/>
      </c>
      <c r="L87" s="306">
        <f>IF(A87&lt;$F$12,0,IF(AND($B$21=1,A87&gt;$B$19),0,$E$12*$G$12^MIN((A87-$F$12)/12,6)*MIN($G$12,0.85)^MAX(0,(A87-$F$12)/12-6)))</f>
        <v/>
      </c>
      <c r="M87" s="306">
        <f>IF(A87&lt;$F$13,0,IF(AND($B$21=1,A87&gt;$B$19),0,$E$13*$G$13^MIN((A87-$F$13)/12,6)*MIN($G$13,0.85)^MAX(0,(A87-$F$13)/12-6)))</f>
        <v/>
      </c>
      <c r="N87" s="306">
        <f>IF(A87&lt;$F$14,0,IF(AND($B$21=1,A87&gt;$B$19),0,$E$14*$G$14^MIN((A87-$F$14)/12,6)*MIN($G$14,0.85)^MAX(0,(A87-$F$14)/12-6)))</f>
        <v/>
      </c>
      <c r="O87" s="306">
        <f>SUM(F87:N87)</f>
        <v/>
      </c>
      <c r="P87" s="306">
        <f>O87/12</f>
        <v/>
      </c>
      <c r="Q87" s="306">
        <f>P87*$B$8</f>
        <v/>
      </c>
      <c r="R87" s="306">
        <f>P87*$B$9</f>
        <v/>
      </c>
      <c r="S87" s="306">
        <f>P87*$B$10</f>
        <v/>
      </c>
      <c r="T87" s="306">
        <f>P87-Q87-R87-S87-D87-E87</f>
        <v/>
      </c>
      <c r="U87" s="306">
        <f>MAX(0, T87 - $B$7*P87)</f>
        <v/>
      </c>
      <c r="V87" s="306">
        <f>T87-U87</f>
        <v/>
      </c>
      <c r="W87" s="306">
        <f>IF(A87=$F$6, $B$18*$B$16*$B$17/1000000, 0) + IF(A87=$F$7, $B$18*$B$16*$B$17/1000000, 0) + IF(A87=$F$8, $B$18*$B$16*$B$17/1000000, 0) + IF(A87=$F$9, $B$18*$B$16*$B$17/1000000, 0) + IF(A87=$F$10, $B$18*$B$16*$B$17/1000000, 0) + IF(A87=$F$11, $B$18*$B$16*$B$17/1000000, 0) + IF(A87=$F$12, $B$18*$B$16*$B$17/1000000, 0) + IF(A87=$F$13, $B$18*$B$16*$B$17/1000000, 0) + IF(A87=$F$14, $B$18*$B$16*$B$17/1000000, 0)</f>
        <v/>
      </c>
      <c r="X87" s="306">
        <f>V87-W87-C87</f>
        <v/>
      </c>
      <c r="Y87" s="306">
        <f>IF(AND(A87&lt;=$B$24, X87&gt;0), X87*$B$23, 0)</f>
        <v/>
      </c>
      <c r="Z87" s="306">
        <f>X87-Y87</f>
        <v/>
      </c>
      <c r="AA87" s="306">
        <f>IF(AND(A87=$B$19, $B$21=1), O87*$B$20, 0)</f>
        <v/>
      </c>
      <c r="AB87" s="306">
        <f>AB86+Z87+AA87</f>
        <v/>
      </c>
    </row>
    <row r="88">
      <c r="A88" s="306" t="n">
        <v>58</v>
      </c>
      <c r="B88" s="306">
        <f>CEILING(A88/12,1)</f>
        <v/>
      </c>
      <c r="C88" s="306">
        <f>IF(A88&lt;=12, $B$15/12, 0)</f>
        <v/>
      </c>
      <c r="D88" s="306">
        <f>INDEX('26. Team Comp'!$D$28:$R$28, B88) * 0.001 / 12</f>
        <v/>
      </c>
      <c r="E88" s="306">
        <f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+ (IF(MAX(0, A88 - $F$11 + 1)&lt;=0, 0, IF(MAX(0, A88 - $F$11 + 1)&lt;=6, 70 - (70-14)*(MAX(0, A88 - $F$11 + 1)-1)/5, IF(MAX(0, A88 - $F$11 + 1)&lt;=24, 14 - 14*(MAX(0, A88 - $F$11 + 1)-6)/18, 0)))) + (IF(MAX(0, A88 - $F$12 + 1)&lt;=0, 0, IF(MAX(0, A88 - $F$12 + 1)&lt;=6, 70 - (70-14)*(MAX(0, A88 - $F$12 + 1)-1)/5, IF(MAX(0, A88 - $F$12 + 1)&lt;=24, 14 - 14*(MAX(0, A88 - $F$12 + 1)-6)/18, 0)))) + (IF(MAX(0, A88 - $F$13 + 1)&lt;=0, 0, IF(MAX(0, A88 - $F$13 + 1)&lt;=6, 70 - (70-14)*(MAX(0, A88 - $F$13 + 1)-1)/5, IF(MAX(0, A88 - $F$13 + 1)&lt;=24, 14 - 14*(MAX(0, A88 - $F$13 + 1)-6)/18, 0)))) + (IF(MAX(0, A88 - $F$14 + 1)&lt;=0, 0, IF(MAX(0, A88 - $F$14 + 1)&lt;=6, 70 - (70-14)*(MAX(0, A88 - $F$14 + 1)-1)/5, IF(MAX(0, A88 - $F$14 + 1)&lt;=24, 14 - 14*(MAX(0, A88 - $F$14 + 1)-6)/18, 0)))) ) * 200 / 12 / 1000</f>
        <v/>
      </c>
      <c r="F88" s="306">
        <f>IF(A88&lt;$F$6,0,IF(AND($B$21=1,A88&gt;$B$19),0,$E$6*$G$6^MIN((A88-$F$6)/12,6)*MIN($G$6,0.85)^MAX(0,(A88-$F$6)/12-6)))</f>
        <v/>
      </c>
      <c r="G88" s="306">
        <f>IF(A88&lt;$F$7,0,IF(AND($B$21=1,A88&gt;$B$19),0,$E$7*$G$7^MIN((A88-$F$7)/12,6)*MIN($G$7,0.85)^MAX(0,(A88-$F$7)/12-6)))</f>
        <v/>
      </c>
      <c r="H88" s="306">
        <f>IF(A88&lt;$F$8,0,IF(AND($B$21=1,A88&gt;$B$19),0,$E$8*$G$8^MIN((A88-$F$8)/12,6)*MIN($G$8,0.85)^MAX(0,(A88-$F$8)/12-6)))</f>
        <v/>
      </c>
      <c r="I88" s="306">
        <f>IF(A88&lt;$F$9,0,IF(AND($B$21=1,A88&gt;$B$19),0,$E$9*$G$9^MIN((A88-$F$9)/12,6)*MIN($G$9,0.85)^MAX(0,(A88-$F$9)/12-6)))</f>
        <v/>
      </c>
      <c r="J88" s="306">
        <f>IF(A88&lt;$F$10,0,IF(AND($B$21=1,A88&gt;$B$19),0,$E$10*$G$10^MIN((A88-$F$10)/12,6)*MIN($G$10,0.85)^MAX(0,(A88-$F$10)/12-6)))</f>
        <v/>
      </c>
      <c r="K88" s="306">
        <f>IF(A88&lt;$F$11,0,IF(AND($B$21=1,A88&gt;$B$19),0,$E$11*$G$11^MIN((A88-$F$11)/12,6)*MIN($G$11,0.85)^MAX(0,(A88-$F$11)/12-6)))</f>
        <v/>
      </c>
      <c r="L88" s="306">
        <f>IF(A88&lt;$F$12,0,IF(AND($B$21=1,A88&gt;$B$19),0,$E$12*$G$12^MIN((A88-$F$12)/12,6)*MIN($G$12,0.85)^MAX(0,(A88-$F$12)/12-6)))</f>
        <v/>
      </c>
      <c r="M88" s="306">
        <f>IF(A88&lt;$F$13,0,IF(AND($B$21=1,A88&gt;$B$19),0,$E$13*$G$13^MIN((A88-$F$13)/12,6)*MIN($G$13,0.85)^MAX(0,(A88-$F$13)/12-6)))</f>
        <v/>
      </c>
      <c r="N88" s="306">
        <f>IF(A88&lt;$F$14,0,IF(AND($B$21=1,A88&gt;$B$19),0,$E$14*$G$14^MIN((A88-$F$14)/12,6)*MIN($G$14,0.85)^MAX(0,(A88-$F$14)/12-6)))</f>
        <v/>
      </c>
      <c r="O88" s="306">
        <f>SUM(F88:N88)</f>
        <v/>
      </c>
      <c r="P88" s="306">
        <f>O88/12</f>
        <v/>
      </c>
      <c r="Q88" s="306">
        <f>P88*$B$8</f>
        <v/>
      </c>
      <c r="R88" s="306">
        <f>P88*$B$9</f>
        <v/>
      </c>
      <c r="S88" s="306">
        <f>P88*$B$10</f>
        <v/>
      </c>
      <c r="T88" s="306">
        <f>P88-Q88-R88-S88-D88-E88</f>
        <v/>
      </c>
      <c r="U88" s="306">
        <f>MAX(0, T88 - $B$7*P88)</f>
        <v/>
      </c>
      <c r="V88" s="306">
        <f>T88-U88</f>
        <v/>
      </c>
      <c r="W88" s="306">
        <f>IF(A88=$F$6, $B$18*$B$16*$B$17/1000000, 0) + IF(A88=$F$7, $B$18*$B$16*$B$17/1000000, 0) + IF(A88=$F$8, $B$18*$B$16*$B$17/1000000, 0) + IF(A88=$F$9, $B$18*$B$16*$B$17/1000000, 0) + IF(A88=$F$10, $B$18*$B$16*$B$17/1000000, 0) + IF(A88=$F$11, $B$18*$B$16*$B$17/1000000, 0) + IF(A88=$F$12, $B$18*$B$16*$B$17/1000000, 0) + IF(A88=$F$13, $B$18*$B$16*$B$17/1000000, 0) + IF(A88=$F$14, $B$18*$B$16*$B$17/1000000, 0)</f>
        <v/>
      </c>
      <c r="X88" s="306">
        <f>V88-W88-C88</f>
        <v/>
      </c>
      <c r="Y88" s="306">
        <f>IF(AND(A88&lt;=$B$24, X88&gt;0), X88*$B$23, 0)</f>
        <v/>
      </c>
      <c r="Z88" s="306">
        <f>X88-Y88</f>
        <v/>
      </c>
      <c r="AA88" s="306">
        <f>IF(AND(A88=$B$19, $B$21=1), O88*$B$20, 0)</f>
        <v/>
      </c>
      <c r="AB88" s="306">
        <f>AB87+Z88+AA88</f>
        <v/>
      </c>
    </row>
    <row r="89">
      <c r="A89" s="306" t="n">
        <v>59</v>
      </c>
      <c r="B89" s="306">
        <f>CEILING(A89/12,1)</f>
        <v/>
      </c>
      <c r="C89" s="306">
        <f>IF(A89&lt;=12, $B$15/12, 0)</f>
        <v/>
      </c>
      <c r="D89" s="306">
        <f>INDEX('26. Team Comp'!$D$28:$R$28, B89) * 0.001 / 12</f>
        <v/>
      </c>
      <c r="E89" s="306">
        <f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+ (IF(MAX(0, A89 - $F$11 + 1)&lt;=0, 0, IF(MAX(0, A89 - $F$11 + 1)&lt;=6, 70 - (70-14)*(MAX(0, A89 - $F$11 + 1)-1)/5, IF(MAX(0, A89 - $F$11 + 1)&lt;=24, 14 - 14*(MAX(0, A89 - $F$11 + 1)-6)/18, 0)))) + (IF(MAX(0, A89 - $F$12 + 1)&lt;=0, 0, IF(MAX(0, A89 - $F$12 + 1)&lt;=6, 70 - (70-14)*(MAX(0, A89 - $F$12 + 1)-1)/5, IF(MAX(0, A89 - $F$12 + 1)&lt;=24, 14 - 14*(MAX(0, A89 - $F$12 + 1)-6)/18, 0)))) + (IF(MAX(0, A89 - $F$13 + 1)&lt;=0, 0, IF(MAX(0, A89 - $F$13 + 1)&lt;=6, 70 - (70-14)*(MAX(0, A89 - $F$13 + 1)-1)/5, IF(MAX(0, A89 - $F$13 + 1)&lt;=24, 14 - 14*(MAX(0, A89 - $F$13 + 1)-6)/18, 0)))) + (IF(MAX(0, A89 - $F$14 + 1)&lt;=0, 0, IF(MAX(0, A89 - $F$14 + 1)&lt;=6, 70 - (70-14)*(MAX(0, A89 - $F$14 + 1)-1)/5, IF(MAX(0, A89 - $F$14 + 1)&lt;=24, 14 - 14*(MAX(0, A89 - $F$14 + 1)-6)/18, 0)))) ) * 200 / 12 / 1000</f>
        <v/>
      </c>
      <c r="F89" s="306">
        <f>IF(A89&lt;$F$6,0,IF(AND($B$21=1,A89&gt;$B$19),0,$E$6*$G$6^MIN((A89-$F$6)/12,6)*MIN($G$6,0.85)^MAX(0,(A89-$F$6)/12-6)))</f>
        <v/>
      </c>
      <c r="G89" s="306">
        <f>IF(A89&lt;$F$7,0,IF(AND($B$21=1,A89&gt;$B$19),0,$E$7*$G$7^MIN((A89-$F$7)/12,6)*MIN($G$7,0.85)^MAX(0,(A89-$F$7)/12-6)))</f>
        <v/>
      </c>
      <c r="H89" s="306">
        <f>IF(A89&lt;$F$8,0,IF(AND($B$21=1,A89&gt;$B$19),0,$E$8*$G$8^MIN((A89-$F$8)/12,6)*MIN($G$8,0.85)^MAX(0,(A89-$F$8)/12-6)))</f>
        <v/>
      </c>
      <c r="I89" s="306">
        <f>IF(A89&lt;$F$9,0,IF(AND($B$21=1,A89&gt;$B$19),0,$E$9*$G$9^MIN((A89-$F$9)/12,6)*MIN($G$9,0.85)^MAX(0,(A89-$F$9)/12-6)))</f>
        <v/>
      </c>
      <c r="J89" s="306">
        <f>IF(A89&lt;$F$10,0,IF(AND($B$21=1,A89&gt;$B$19),0,$E$10*$G$10^MIN((A89-$F$10)/12,6)*MIN($G$10,0.85)^MAX(0,(A89-$F$10)/12-6)))</f>
        <v/>
      </c>
      <c r="K89" s="306">
        <f>IF(A89&lt;$F$11,0,IF(AND($B$21=1,A89&gt;$B$19),0,$E$11*$G$11^MIN((A89-$F$11)/12,6)*MIN($G$11,0.85)^MAX(0,(A89-$F$11)/12-6)))</f>
        <v/>
      </c>
      <c r="L89" s="306">
        <f>IF(A89&lt;$F$12,0,IF(AND($B$21=1,A89&gt;$B$19),0,$E$12*$G$12^MIN((A89-$F$12)/12,6)*MIN($G$12,0.85)^MAX(0,(A89-$F$12)/12-6)))</f>
        <v/>
      </c>
      <c r="M89" s="306">
        <f>IF(A89&lt;$F$13,0,IF(AND($B$21=1,A89&gt;$B$19),0,$E$13*$G$13^MIN((A89-$F$13)/12,6)*MIN($G$13,0.85)^MAX(0,(A89-$F$13)/12-6)))</f>
        <v/>
      </c>
      <c r="N89" s="306">
        <f>IF(A89&lt;$F$14,0,IF(AND($B$21=1,A89&gt;$B$19),0,$E$14*$G$14^MIN((A89-$F$14)/12,6)*MIN($G$14,0.85)^MAX(0,(A89-$F$14)/12-6)))</f>
        <v/>
      </c>
      <c r="O89" s="306">
        <f>SUM(F89:N89)</f>
        <v/>
      </c>
      <c r="P89" s="306">
        <f>O89/12</f>
        <v/>
      </c>
      <c r="Q89" s="306">
        <f>P89*$B$8</f>
        <v/>
      </c>
      <c r="R89" s="306">
        <f>P89*$B$9</f>
        <v/>
      </c>
      <c r="S89" s="306">
        <f>P89*$B$10</f>
        <v/>
      </c>
      <c r="T89" s="306">
        <f>P89-Q89-R89-S89-D89-E89</f>
        <v/>
      </c>
      <c r="U89" s="306">
        <f>MAX(0, T89 - $B$7*P89)</f>
        <v/>
      </c>
      <c r="V89" s="306">
        <f>T89-U89</f>
        <v/>
      </c>
      <c r="W89" s="306">
        <f>IF(A89=$F$6, $B$18*$B$16*$B$17/1000000, 0) + IF(A89=$F$7, $B$18*$B$16*$B$17/1000000, 0) + IF(A89=$F$8, $B$18*$B$16*$B$17/1000000, 0) + IF(A89=$F$9, $B$18*$B$16*$B$17/1000000, 0) + IF(A89=$F$10, $B$18*$B$16*$B$17/1000000, 0) + IF(A89=$F$11, $B$18*$B$16*$B$17/1000000, 0) + IF(A89=$F$12, $B$18*$B$16*$B$17/1000000, 0) + IF(A89=$F$13, $B$18*$B$16*$B$17/1000000, 0) + IF(A89=$F$14, $B$18*$B$16*$B$17/1000000, 0)</f>
        <v/>
      </c>
      <c r="X89" s="306">
        <f>V89-W89-C89</f>
        <v/>
      </c>
      <c r="Y89" s="306">
        <f>IF(AND(A89&lt;=$B$24, X89&gt;0), X89*$B$23, 0)</f>
        <v/>
      </c>
      <c r="Z89" s="306">
        <f>X89-Y89</f>
        <v/>
      </c>
      <c r="AA89" s="306">
        <f>IF(AND(A89=$B$19, $B$21=1), O89*$B$20, 0)</f>
        <v/>
      </c>
      <c r="AB89" s="306">
        <f>AB88+Z89+AA89</f>
        <v/>
      </c>
    </row>
    <row r="90">
      <c r="A90" s="306" t="n">
        <v>60</v>
      </c>
      <c r="B90" s="306">
        <f>CEILING(A90/12,1)</f>
        <v/>
      </c>
      <c r="C90" s="306">
        <f>IF(A90&lt;=12, $B$15/12, 0)</f>
        <v/>
      </c>
      <c r="D90" s="306">
        <f>INDEX('26. Team Comp'!$D$28:$R$28, B90) * 0.001 / 12</f>
        <v/>
      </c>
      <c r="E90" s="306">
        <f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+ (IF(MAX(0, A90 - $F$11 + 1)&lt;=0, 0, IF(MAX(0, A90 - $F$11 + 1)&lt;=6, 70 - (70-14)*(MAX(0, A90 - $F$11 + 1)-1)/5, IF(MAX(0, A90 - $F$11 + 1)&lt;=24, 14 - 14*(MAX(0, A90 - $F$11 + 1)-6)/18, 0)))) + (IF(MAX(0, A90 - $F$12 + 1)&lt;=0, 0, IF(MAX(0, A90 - $F$12 + 1)&lt;=6, 70 - (70-14)*(MAX(0, A90 - $F$12 + 1)-1)/5, IF(MAX(0, A90 - $F$12 + 1)&lt;=24, 14 - 14*(MAX(0, A90 - $F$12 + 1)-6)/18, 0)))) + (IF(MAX(0, A90 - $F$13 + 1)&lt;=0, 0, IF(MAX(0, A90 - $F$13 + 1)&lt;=6, 70 - (70-14)*(MAX(0, A90 - $F$13 + 1)-1)/5, IF(MAX(0, A90 - $F$13 + 1)&lt;=24, 14 - 14*(MAX(0, A90 - $F$13 + 1)-6)/18, 0)))) + (IF(MAX(0, A90 - $F$14 + 1)&lt;=0, 0, IF(MAX(0, A90 - $F$14 + 1)&lt;=6, 70 - (70-14)*(MAX(0, A90 - $F$14 + 1)-1)/5, IF(MAX(0, A90 - $F$14 + 1)&lt;=24, 14 - 14*(MAX(0, A90 - $F$14 + 1)-6)/18, 0)))) ) * 200 / 12 / 1000</f>
        <v/>
      </c>
      <c r="F90" s="306">
        <f>IF(A90&lt;$F$6,0,IF(AND($B$21=1,A90&gt;$B$19),0,$E$6*$G$6^MIN((A90-$F$6)/12,6)*MIN($G$6,0.85)^MAX(0,(A90-$F$6)/12-6)))</f>
        <v/>
      </c>
      <c r="G90" s="306">
        <f>IF(A90&lt;$F$7,0,IF(AND($B$21=1,A90&gt;$B$19),0,$E$7*$G$7^MIN((A90-$F$7)/12,6)*MIN($G$7,0.85)^MAX(0,(A90-$F$7)/12-6)))</f>
        <v/>
      </c>
      <c r="H90" s="306">
        <f>IF(A90&lt;$F$8,0,IF(AND($B$21=1,A90&gt;$B$19),0,$E$8*$G$8^MIN((A90-$F$8)/12,6)*MIN($G$8,0.85)^MAX(0,(A90-$F$8)/12-6)))</f>
        <v/>
      </c>
      <c r="I90" s="306">
        <f>IF(A90&lt;$F$9,0,IF(AND($B$21=1,A90&gt;$B$19),0,$E$9*$G$9^MIN((A90-$F$9)/12,6)*MIN($G$9,0.85)^MAX(0,(A90-$F$9)/12-6)))</f>
        <v/>
      </c>
      <c r="J90" s="306">
        <f>IF(A90&lt;$F$10,0,IF(AND($B$21=1,A90&gt;$B$19),0,$E$10*$G$10^MIN((A90-$F$10)/12,6)*MIN($G$10,0.85)^MAX(0,(A90-$F$10)/12-6)))</f>
        <v/>
      </c>
      <c r="K90" s="306">
        <f>IF(A90&lt;$F$11,0,IF(AND($B$21=1,A90&gt;$B$19),0,$E$11*$G$11^MIN((A90-$F$11)/12,6)*MIN($G$11,0.85)^MAX(0,(A90-$F$11)/12-6)))</f>
        <v/>
      </c>
      <c r="L90" s="306">
        <f>IF(A90&lt;$F$12,0,IF(AND($B$21=1,A90&gt;$B$19),0,$E$12*$G$12^MIN((A90-$F$12)/12,6)*MIN($G$12,0.85)^MAX(0,(A90-$F$12)/12-6)))</f>
        <v/>
      </c>
      <c r="M90" s="306">
        <f>IF(A90&lt;$F$13,0,IF(AND($B$21=1,A90&gt;$B$19),0,$E$13*$G$13^MIN((A90-$F$13)/12,6)*MIN($G$13,0.85)^MAX(0,(A90-$F$13)/12-6)))</f>
        <v/>
      </c>
      <c r="N90" s="306">
        <f>IF(A90&lt;$F$14,0,IF(AND($B$21=1,A90&gt;$B$19),0,$E$14*$G$14^MIN((A90-$F$14)/12,6)*MIN($G$14,0.85)^MAX(0,(A90-$F$14)/12-6)))</f>
        <v/>
      </c>
      <c r="O90" s="306">
        <f>SUM(F90:N90)</f>
        <v/>
      </c>
      <c r="P90" s="306">
        <f>O90/12</f>
        <v/>
      </c>
      <c r="Q90" s="306">
        <f>P90*$B$8</f>
        <v/>
      </c>
      <c r="R90" s="306">
        <f>P90*$B$9</f>
        <v/>
      </c>
      <c r="S90" s="306">
        <f>P90*$B$10</f>
        <v/>
      </c>
      <c r="T90" s="306">
        <f>P90-Q90-R90-S90-D90-E90</f>
        <v/>
      </c>
      <c r="U90" s="306">
        <f>MAX(0, T90 - $B$7*P90)</f>
        <v/>
      </c>
      <c r="V90" s="306">
        <f>T90-U90</f>
        <v/>
      </c>
      <c r="W90" s="306">
        <f>IF(A90=$F$6, $B$18*$B$16*$B$17/1000000, 0) + IF(A90=$F$7, $B$18*$B$16*$B$17/1000000, 0) + IF(A90=$F$8, $B$18*$B$16*$B$17/1000000, 0) + IF(A90=$F$9, $B$18*$B$16*$B$17/1000000, 0) + IF(A90=$F$10, $B$18*$B$16*$B$17/1000000, 0) + IF(A90=$F$11, $B$18*$B$16*$B$17/1000000, 0) + IF(A90=$F$12, $B$18*$B$16*$B$17/1000000, 0) + IF(A90=$F$13, $B$18*$B$16*$B$17/1000000, 0) + IF(A90=$F$14, $B$18*$B$16*$B$17/1000000, 0)</f>
        <v/>
      </c>
      <c r="X90" s="306">
        <f>V90-W90-C90</f>
        <v/>
      </c>
      <c r="Y90" s="306">
        <f>IF(AND(A90&lt;=$B$24, X90&gt;0), X90*$B$23, 0)</f>
        <v/>
      </c>
      <c r="Z90" s="306">
        <f>X90-Y90</f>
        <v/>
      </c>
      <c r="AA90" s="306">
        <f>IF(AND(A90=$B$19, $B$21=1), O90*$B$20, 0)</f>
        <v/>
      </c>
      <c r="AB90" s="306">
        <f>AB89+Z90+AA90</f>
        <v/>
      </c>
    </row>
    <row r="91">
      <c r="A91" s="306" t="n">
        <v>61</v>
      </c>
      <c r="B91" s="306">
        <f>CEILING(A91/12,1)</f>
        <v/>
      </c>
      <c r="C91" s="306">
        <f>IF(A91&lt;=12, $B$15/12, 0)</f>
        <v/>
      </c>
      <c r="D91" s="306">
        <f>INDEX('26. Team Comp'!$D$28:$R$28, B91) * 0.001 / 12</f>
        <v/>
      </c>
      <c r="E91" s="306">
        <f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+ (IF(MAX(0, A91 - $F$11 + 1)&lt;=0, 0, IF(MAX(0, A91 - $F$11 + 1)&lt;=6, 70 - (70-14)*(MAX(0, A91 - $F$11 + 1)-1)/5, IF(MAX(0, A91 - $F$11 + 1)&lt;=24, 14 - 14*(MAX(0, A91 - $F$11 + 1)-6)/18, 0)))) + (IF(MAX(0, A91 - $F$12 + 1)&lt;=0, 0, IF(MAX(0, A91 - $F$12 + 1)&lt;=6, 70 - (70-14)*(MAX(0, A91 - $F$12 + 1)-1)/5, IF(MAX(0, A91 - $F$12 + 1)&lt;=24, 14 - 14*(MAX(0, A91 - $F$12 + 1)-6)/18, 0)))) + (IF(MAX(0, A91 - $F$13 + 1)&lt;=0, 0, IF(MAX(0, A91 - $F$13 + 1)&lt;=6, 70 - (70-14)*(MAX(0, A91 - $F$13 + 1)-1)/5, IF(MAX(0, A91 - $F$13 + 1)&lt;=24, 14 - 14*(MAX(0, A91 - $F$13 + 1)-6)/18, 0)))) + (IF(MAX(0, A91 - $F$14 + 1)&lt;=0, 0, IF(MAX(0, A91 - $F$14 + 1)&lt;=6, 70 - (70-14)*(MAX(0, A91 - $F$14 + 1)-1)/5, IF(MAX(0, A91 - $F$14 + 1)&lt;=24, 14 - 14*(MAX(0, A91 - $F$14 + 1)-6)/18, 0)))) ) * 200 / 12 / 1000</f>
        <v/>
      </c>
      <c r="F91" s="306">
        <f>IF(A91&lt;$F$6,0,IF(AND($B$21=1,A91&gt;$B$19),0,$E$6*$G$6^MIN((A91-$F$6)/12,6)*MIN($G$6,0.85)^MAX(0,(A91-$F$6)/12-6)))</f>
        <v/>
      </c>
      <c r="G91" s="306">
        <f>IF(A91&lt;$F$7,0,IF(AND($B$21=1,A91&gt;$B$19),0,$E$7*$G$7^MIN((A91-$F$7)/12,6)*MIN($G$7,0.85)^MAX(0,(A91-$F$7)/12-6)))</f>
        <v/>
      </c>
      <c r="H91" s="306">
        <f>IF(A91&lt;$F$8,0,IF(AND($B$21=1,A91&gt;$B$19),0,$E$8*$G$8^MIN((A91-$F$8)/12,6)*MIN($G$8,0.85)^MAX(0,(A91-$F$8)/12-6)))</f>
        <v/>
      </c>
      <c r="I91" s="306">
        <f>IF(A91&lt;$F$9,0,IF(AND($B$21=1,A91&gt;$B$19),0,$E$9*$G$9^MIN((A91-$F$9)/12,6)*MIN($G$9,0.85)^MAX(0,(A91-$F$9)/12-6)))</f>
        <v/>
      </c>
      <c r="J91" s="306">
        <f>IF(A91&lt;$F$10,0,IF(AND($B$21=1,A91&gt;$B$19),0,$E$10*$G$10^MIN((A91-$F$10)/12,6)*MIN($G$10,0.85)^MAX(0,(A91-$F$10)/12-6)))</f>
        <v/>
      </c>
      <c r="K91" s="306">
        <f>IF(A91&lt;$F$11,0,IF(AND($B$21=1,A91&gt;$B$19),0,$E$11*$G$11^MIN((A91-$F$11)/12,6)*MIN($G$11,0.85)^MAX(0,(A91-$F$11)/12-6)))</f>
        <v/>
      </c>
      <c r="L91" s="306">
        <f>IF(A91&lt;$F$12,0,IF(AND($B$21=1,A91&gt;$B$19),0,$E$12*$G$12^MIN((A91-$F$12)/12,6)*MIN($G$12,0.85)^MAX(0,(A91-$F$12)/12-6)))</f>
        <v/>
      </c>
      <c r="M91" s="306">
        <f>IF(A91&lt;$F$13,0,IF(AND($B$21=1,A91&gt;$B$19),0,$E$13*$G$13^MIN((A91-$F$13)/12,6)*MIN($G$13,0.85)^MAX(0,(A91-$F$13)/12-6)))</f>
        <v/>
      </c>
      <c r="N91" s="306">
        <f>IF(A91&lt;$F$14,0,IF(AND($B$21=1,A91&gt;$B$19),0,$E$14*$G$14^MIN((A91-$F$14)/12,6)*MIN($G$14,0.85)^MAX(0,(A91-$F$14)/12-6)))</f>
        <v/>
      </c>
      <c r="O91" s="306">
        <f>SUM(F91:N91)</f>
        <v/>
      </c>
      <c r="P91" s="306">
        <f>O91/12</f>
        <v/>
      </c>
      <c r="Q91" s="306">
        <f>P91*$B$8</f>
        <v/>
      </c>
      <c r="R91" s="306">
        <f>P91*$B$9</f>
        <v/>
      </c>
      <c r="S91" s="306">
        <f>P91*$B$10</f>
        <v/>
      </c>
      <c r="T91" s="306">
        <f>P91-Q91-R91-S91-D91-E91</f>
        <v/>
      </c>
      <c r="U91" s="306">
        <f>MAX(0, T91 - $B$7*P91)</f>
        <v/>
      </c>
      <c r="V91" s="306">
        <f>T91-U91</f>
        <v/>
      </c>
      <c r="W91" s="306">
        <f>IF(A91=$F$6, $B$18*$B$16*$B$17/1000000, 0) + IF(A91=$F$7, $B$18*$B$16*$B$17/1000000, 0) + IF(A91=$F$8, $B$18*$B$16*$B$17/1000000, 0) + IF(A91=$F$9, $B$18*$B$16*$B$17/1000000, 0) + IF(A91=$F$10, $B$18*$B$16*$B$17/1000000, 0) + IF(A91=$F$11, $B$18*$B$16*$B$17/1000000, 0) + IF(A91=$F$12, $B$18*$B$16*$B$17/1000000, 0) + IF(A91=$F$13, $B$18*$B$16*$B$17/1000000, 0) + IF(A91=$F$14, $B$18*$B$16*$B$17/1000000, 0)</f>
        <v/>
      </c>
      <c r="X91" s="306">
        <f>V91-W91-C91</f>
        <v/>
      </c>
      <c r="Y91" s="306">
        <f>IF(AND(A91&lt;=$B$24, X91&gt;0), X91*$B$23, 0)</f>
        <v/>
      </c>
      <c r="Z91" s="306">
        <f>X91-Y91</f>
        <v/>
      </c>
      <c r="AA91" s="306">
        <f>IF(AND(A91=$B$19, $B$21=1), O91*$B$20, 0)</f>
        <v/>
      </c>
      <c r="AB91" s="306">
        <f>AB90+Z91+AA91</f>
        <v/>
      </c>
    </row>
    <row r="92">
      <c r="A92" s="306" t="n">
        <v>62</v>
      </c>
      <c r="B92" s="306">
        <f>CEILING(A92/12,1)</f>
        <v/>
      </c>
      <c r="C92" s="306">
        <f>IF(A92&lt;=12, $B$15/12, 0)</f>
        <v/>
      </c>
      <c r="D92" s="306">
        <f>INDEX('26. Team Comp'!$D$28:$R$28, B92) * 0.001 / 12</f>
        <v/>
      </c>
      <c r="E92" s="306">
        <f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+ (IF(MAX(0, A92 - $F$11 + 1)&lt;=0, 0, IF(MAX(0, A92 - $F$11 + 1)&lt;=6, 70 - (70-14)*(MAX(0, A92 - $F$11 + 1)-1)/5, IF(MAX(0, A92 - $F$11 + 1)&lt;=24, 14 - 14*(MAX(0, A92 - $F$11 + 1)-6)/18, 0)))) + (IF(MAX(0, A92 - $F$12 + 1)&lt;=0, 0, IF(MAX(0, A92 - $F$12 + 1)&lt;=6, 70 - (70-14)*(MAX(0, A92 - $F$12 + 1)-1)/5, IF(MAX(0, A92 - $F$12 + 1)&lt;=24, 14 - 14*(MAX(0, A92 - $F$12 + 1)-6)/18, 0)))) + (IF(MAX(0, A92 - $F$13 + 1)&lt;=0, 0, IF(MAX(0, A92 - $F$13 + 1)&lt;=6, 70 - (70-14)*(MAX(0, A92 - $F$13 + 1)-1)/5, IF(MAX(0, A92 - $F$13 + 1)&lt;=24, 14 - 14*(MAX(0, A92 - $F$13 + 1)-6)/18, 0)))) + (IF(MAX(0, A92 - $F$14 + 1)&lt;=0, 0, IF(MAX(0, A92 - $F$14 + 1)&lt;=6, 70 - (70-14)*(MAX(0, A92 - $F$14 + 1)-1)/5, IF(MAX(0, A92 - $F$14 + 1)&lt;=24, 14 - 14*(MAX(0, A92 - $F$14 + 1)-6)/18, 0)))) ) * 200 / 12 / 1000</f>
        <v/>
      </c>
      <c r="F92" s="306">
        <f>IF(A92&lt;$F$6,0,IF(AND($B$21=1,A92&gt;$B$19),0,$E$6*$G$6^MIN((A92-$F$6)/12,6)*MIN($G$6,0.85)^MAX(0,(A92-$F$6)/12-6)))</f>
        <v/>
      </c>
      <c r="G92" s="306">
        <f>IF(A92&lt;$F$7,0,IF(AND($B$21=1,A92&gt;$B$19),0,$E$7*$G$7^MIN((A92-$F$7)/12,6)*MIN($G$7,0.85)^MAX(0,(A92-$F$7)/12-6)))</f>
        <v/>
      </c>
      <c r="H92" s="306">
        <f>IF(A92&lt;$F$8,0,IF(AND($B$21=1,A92&gt;$B$19),0,$E$8*$G$8^MIN((A92-$F$8)/12,6)*MIN($G$8,0.85)^MAX(0,(A92-$F$8)/12-6)))</f>
        <v/>
      </c>
      <c r="I92" s="306">
        <f>IF(A92&lt;$F$9,0,IF(AND($B$21=1,A92&gt;$B$19),0,$E$9*$G$9^MIN((A92-$F$9)/12,6)*MIN($G$9,0.85)^MAX(0,(A92-$F$9)/12-6)))</f>
        <v/>
      </c>
      <c r="J92" s="306">
        <f>IF(A92&lt;$F$10,0,IF(AND($B$21=1,A92&gt;$B$19),0,$E$10*$G$10^MIN((A92-$F$10)/12,6)*MIN($G$10,0.85)^MAX(0,(A92-$F$10)/12-6)))</f>
        <v/>
      </c>
      <c r="K92" s="306">
        <f>IF(A92&lt;$F$11,0,IF(AND($B$21=1,A92&gt;$B$19),0,$E$11*$G$11^MIN((A92-$F$11)/12,6)*MIN($G$11,0.85)^MAX(0,(A92-$F$11)/12-6)))</f>
        <v/>
      </c>
      <c r="L92" s="306">
        <f>IF(A92&lt;$F$12,0,IF(AND($B$21=1,A92&gt;$B$19),0,$E$12*$G$12^MIN((A92-$F$12)/12,6)*MIN($G$12,0.85)^MAX(0,(A92-$F$12)/12-6)))</f>
        <v/>
      </c>
      <c r="M92" s="306">
        <f>IF(A92&lt;$F$13,0,IF(AND($B$21=1,A92&gt;$B$19),0,$E$13*$G$13^MIN((A92-$F$13)/12,6)*MIN($G$13,0.85)^MAX(0,(A92-$F$13)/12-6)))</f>
        <v/>
      </c>
      <c r="N92" s="306">
        <f>IF(A92&lt;$F$14,0,IF(AND($B$21=1,A92&gt;$B$19),0,$E$14*$G$14^MIN((A92-$F$14)/12,6)*MIN($G$14,0.85)^MAX(0,(A92-$F$14)/12-6)))</f>
        <v/>
      </c>
      <c r="O92" s="306">
        <f>SUM(F92:N92)</f>
        <v/>
      </c>
      <c r="P92" s="306">
        <f>O92/12</f>
        <v/>
      </c>
      <c r="Q92" s="306">
        <f>P92*$B$8</f>
        <v/>
      </c>
      <c r="R92" s="306">
        <f>P92*$B$9</f>
        <v/>
      </c>
      <c r="S92" s="306">
        <f>P92*$B$10</f>
        <v/>
      </c>
      <c r="T92" s="306">
        <f>P92-Q92-R92-S92-D92-E92</f>
        <v/>
      </c>
      <c r="U92" s="306">
        <f>MAX(0, T92 - $B$7*P92)</f>
        <v/>
      </c>
      <c r="V92" s="306">
        <f>T92-U92</f>
        <v/>
      </c>
      <c r="W92" s="306">
        <f>IF(A92=$F$6, $B$18*$B$16*$B$17/1000000, 0) + IF(A92=$F$7, $B$18*$B$16*$B$17/1000000, 0) + IF(A92=$F$8, $B$18*$B$16*$B$17/1000000, 0) + IF(A92=$F$9, $B$18*$B$16*$B$17/1000000, 0) + IF(A92=$F$10, $B$18*$B$16*$B$17/1000000, 0) + IF(A92=$F$11, $B$18*$B$16*$B$17/1000000, 0) + IF(A92=$F$12, $B$18*$B$16*$B$17/1000000, 0) + IF(A92=$F$13, $B$18*$B$16*$B$17/1000000, 0) + IF(A92=$F$14, $B$18*$B$16*$B$17/1000000, 0)</f>
        <v/>
      </c>
      <c r="X92" s="306">
        <f>V92-W92-C92</f>
        <v/>
      </c>
      <c r="Y92" s="306">
        <f>IF(AND(A92&lt;=$B$24, X92&gt;0), X92*$B$23, 0)</f>
        <v/>
      </c>
      <c r="Z92" s="306">
        <f>X92-Y92</f>
        <v/>
      </c>
      <c r="AA92" s="306">
        <f>IF(AND(A92=$B$19, $B$21=1), O92*$B$20, 0)</f>
        <v/>
      </c>
      <c r="AB92" s="306">
        <f>AB91+Z92+AA92</f>
        <v/>
      </c>
    </row>
    <row r="93">
      <c r="A93" s="306" t="n">
        <v>63</v>
      </c>
      <c r="B93" s="306">
        <f>CEILING(A93/12,1)</f>
        <v/>
      </c>
      <c r="C93" s="306">
        <f>IF(A93&lt;=12, $B$15/12, 0)</f>
        <v/>
      </c>
      <c r="D93" s="306">
        <f>INDEX('26. Team Comp'!$D$28:$R$28, B93) * 0.001 / 12</f>
        <v/>
      </c>
      <c r="E93" s="306">
        <f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+ (IF(MAX(0, A93 - $F$11 + 1)&lt;=0, 0, IF(MAX(0, A93 - $F$11 + 1)&lt;=6, 70 - (70-14)*(MAX(0, A93 - $F$11 + 1)-1)/5, IF(MAX(0, A93 - $F$11 + 1)&lt;=24, 14 - 14*(MAX(0, A93 - $F$11 + 1)-6)/18, 0)))) + (IF(MAX(0, A93 - $F$12 + 1)&lt;=0, 0, IF(MAX(0, A93 - $F$12 + 1)&lt;=6, 70 - (70-14)*(MAX(0, A93 - $F$12 + 1)-1)/5, IF(MAX(0, A93 - $F$12 + 1)&lt;=24, 14 - 14*(MAX(0, A93 - $F$12 + 1)-6)/18, 0)))) + (IF(MAX(0, A93 - $F$13 + 1)&lt;=0, 0, IF(MAX(0, A93 - $F$13 + 1)&lt;=6, 70 - (70-14)*(MAX(0, A93 - $F$13 + 1)-1)/5, IF(MAX(0, A93 - $F$13 + 1)&lt;=24, 14 - 14*(MAX(0, A93 - $F$13 + 1)-6)/18, 0)))) + (IF(MAX(0, A93 - $F$14 + 1)&lt;=0, 0, IF(MAX(0, A93 - $F$14 + 1)&lt;=6, 70 - (70-14)*(MAX(0, A93 - $F$14 + 1)-1)/5, IF(MAX(0, A93 - $F$14 + 1)&lt;=24, 14 - 14*(MAX(0, A93 - $F$14 + 1)-6)/18, 0)))) ) * 200 / 12 / 1000</f>
        <v/>
      </c>
      <c r="F93" s="306">
        <f>IF(A93&lt;$F$6,0,IF(AND($B$21=1,A93&gt;$B$19),0,$E$6*$G$6^MIN((A93-$F$6)/12,6)*MIN($G$6,0.85)^MAX(0,(A93-$F$6)/12-6)))</f>
        <v/>
      </c>
      <c r="G93" s="306">
        <f>IF(A93&lt;$F$7,0,IF(AND($B$21=1,A93&gt;$B$19),0,$E$7*$G$7^MIN((A93-$F$7)/12,6)*MIN($G$7,0.85)^MAX(0,(A93-$F$7)/12-6)))</f>
        <v/>
      </c>
      <c r="H93" s="306">
        <f>IF(A93&lt;$F$8,0,IF(AND($B$21=1,A93&gt;$B$19),0,$E$8*$G$8^MIN((A93-$F$8)/12,6)*MIN($G$8,0.85)^MAX(0,(A93-$F$8)/12-6)))</f>
        <v/>
      </c>
      <c r="I93" s="306">
        <f>IF(A93&lt;$F$9,0,IF(AND($B$21=1,A93&gt;$B$19),0,$E$9*$G$9^MIN((A93-$F$9)/12,6)*MIN($G$9,0.85)^MAX(0,(A93-$F$9)/12-6)))</f>
        <v/>
      </c>
      <c r="J93" s="306">
        <f>IF(A93&lt;$F$10,0,IF(AND($B$21=1,A93&gt;$B$19),0,$E$10*$G$10^MIN((A93-$F$10)/12,6)*MIN($G$10,0.85)^MAX(0,(A93-$F$10)/12-6)))</f>
        <v/>
      </c>
      <c r="K93" s="306">
        <f>IF(A93&lt;$F$11,0,IF(AND($B$21=1,A93&gt;$B$19),0,$E$11*$G$11^MIN((A93-$F$11)/12,6)*MIN($G$11,0.85)^MAX(0,(A93-$F$11)/12-6)))</f>
        <v/>
      </c>
      <c r="L93" s="306">
        <f>IF(A93&lt;$F$12,0,IF(AND($B$21=1,A93&gt;$B$19),0,$E$12*$G$12^MIN((A93-$F$12)/12,6)*MIN($G$12,0.85)^MAX(0,(A93-$F$12)/12-6)))</f>
        <v/>
      </c>
      <c r="M93" s="306">
        <f>IF(A93&lt;$F$13,0,IF(AND($B$21=1,A93&gt;$B$19),0,$E$13*$G$13^MIN((A93-$F$13)/12,6)*MIN($G$13,0.85)^MAX(0,(A93-$F$13)/12-6)))</f>
        <v/>
      </c>
      <c r="N93" s="306">
        <f>IF(A93&lt;$F$14,0,IF(AND($B$21=1,A93&gt;$B$19),0,$E$14*$G$14^MIN((A93-$F$14)/12,6)*MIN($G$14,0.85)^MAX(0,(A93-$F$14)/12-6)))</f>
        <v/>
      </c>
      <c r="O93" s="306">
        <f>SUM(F93:N93)</f>
        <v/>
      </c>
      <c r="P93" s="306">
        <f>O93/12</f>
        <v/>
      </c>
      <c r="Q93" s="306">
        <f>P93*$B$8</f>
        <v/>
      </c>
      <c r="R93" s="306">
        <f>P93*$B$9</f>
        <v/>
      </c>
      <c r="S93" s="306">
        <f>P93*$B$10</f>
        <v/>
      </c>
      <c r="T93" s="306">
        <f>P93-Q93-R93-S93-D93-E93</f>
        <v/>
      </c>
      <c r="U93" s="306">
        <f>MAX(0, T93 - $B$7*P93)</f>
        <v/>
      </c>
      <c r="V93" s="306">
        <f>T93-U93</f>
        <v/>
      </c>
      <c r="W93" s="306">
        <f>IF(A93=$F$6, $B$18*$B$16*$B$17/1000000, 0) + IF(A93=$F$7, $B$18*$B$16*$B$17/1000000, 0) + IF(A93=$F$8, $B$18*$B$16*$B$17/1000000, 0) + IF(A93=$F$9, $B$18*$B$16*$B$17/1000000, 0) + IF(A93=$F$10, $B$18*$B$16*$B$17/1000000, 0) + IF(A93=$F$11, $B$18*$B$16*$B$17/1000000, 0) + IF(A93=$F$12, $B$18*$B$16*$B$17/1000000, 0) + IF(A93=$F$13, $B$18*$B$16*$B$17/1000000, 0) + IF(A93=$F$14, $B$18*$B$16*$B$17/1000000, 0)</f>
        <v/>
      </c>
      <c r="X93" s="306">
        <f>V93-W93-C93</f>
        <v/>
      </c>
      <c r="Y93" s="306">
        <f>IF(AND(A93&lt;=$B$24, X93&gt;0), X93*$B$23, 0)</f>
        <v/>
      </c>
      <c r="Z93" s="306">
        <f>X93-Y93</f>
        <v/>
      </c>
      <c r="AA93" s="306">
        <f>IF(AND(A93=$B$19, $B$21=1), O93*$B$20, 0)</f>
        <v/>
      </c>
      <c r="AB93" s="306">
        <f>AB92+Z93+AA93</f>
        <v/>
      </c>
    </row>
    <row r="94">
      <c r="A94" s="306" t="n">
        <v>64</v>
      </c>
      <c r="B94" s="306">
        <f>CEILING(A94/12,1)</f>
        <v/>
      </c>
      <c r="C94" s="306">
        <f>IF(A94&lt;=12, $B$15/12, 0)</f>
        <v/>
      </c>
      <c r="D94" s="306">
        <f>INDEX('26. Team Comp'!$D$28:$R$28, B94) * 0.001 / 12</f>
        <v/>
      </c>
      <c r="E94" s="306">
        <f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+ (IF(MAX(0, A94 - $F$11 + 1)&lt;=0, 0, IF(MAX(0, A94 - $F$11 + 1)&lt;=6, 70 - (70-14)*(MAX(0, A94 - $F$11 + 1)-1)/5, IF(MAX(0, A94 - $F$11 + 1)&lt;=24, 14 - 14*(MAX(0, A94 - $F$11 + 1)-6)/18, 0)))) + (IF(MAX(0, A94 - $F$12 + 1)&lt;=0, 0, IF(MAX(0, A94 - $F$12 + 1)&lt;=6, 70 - (70-14)*(MAX(0, A94 - $F$12 + 1)-1)/5, IF(MAX(0, A94 - $F$12 + 1)&lt;=24, 14 - 14*(MAX(0, A94 - $F$12 + 1)-6)/18, 0)))) + (IF(MAX(0, A94 - $F$13 + 1)&lt;=0, 0, IF(MAX(0, A94 - $F$13 + 1)&lt;=6, 70 - (70-14)*(MAX(0, A94 - $F$13 + 1)-1)/5, IF(MAX(0, A94 - $F$13 + 1)&lt;=24, 14 - 14*(MAX(0, A94 - $F$13 + 1)-6)/18, 0)))) + (IF(MAX(0, A94 - $F$14 + 1)&lt;=0, 0, IF(MAX(0, A94 - $F$14 + 1)&lt;=6, 70 - (70-14)*(MAX(0, A94 - $F$14 + 1)-1)/5, IF(MAX(0, A94 - $F$14 + 1)&lt;=24, 14 - 14*(MAX(0, A94 - $F$14 + 1)-6)/18, 0)))) ) * 200 / 12 / 1000</f>
        <v/>
      </c>
      <c r="F94" s="306">
        <f>IF(A94&lt;$F$6,0,IF(AND($B$21=1,A94&gt;$B$19),0,$E$6*$G$6^MIN((A94-$F$6)/12,6)*MIN($G$6,0.85)^MAX(0,(A94-$F$6)/12-6)))</f>
        <v/>
      </c>
      <c r="G94" s="306">
        <f>IF(A94&lt;$F$7,0,IF(AND($B$21=1,A94&gt;$B$19),0,$E$7*$G$7^MIN((A94-$F$7)/12,6)*MIN($G$7,0.85)^MAX(0,(A94-$F$7)/12-6)))</f>
        <v/>
      </c>
      <c r="H94" s="306">
        <f>IF(A94&lt;$F$8,0,IF(AND($B$21=1,A94&gt;$B$19),0,$E$8*$G$8^MIN((A94-$F$8)/12,6)*MIN($G$8,0.85)^MAX(0,(A94-$F$8)/12-6)))</f>
        <v/>
      </c>
      <c r="I94" s="306">
        <f>IF(A94&lt;$F$9,0,IF(AND($B$21=1,A94&gt;$B$19),0,$E$9*$G$9^MIN((A94-$F$9)/12,6)*MIN($G$9,0.85)^MAX(0,(A94-$F$9)/12-6)))</f>
        <v/>
      </c>
      <c r="J94" s="306">
        <f>IF(A94&lt;$F$10,0,IF(AND($B$21=1,A94&gt;$B$19),0,$E$10*$G$10^MIN((A94-$F$10)/12,6)*MIN($G$10,0.85)^MAX(0,(A94-$F$10)/12-6)))</f>
        <v/>
      </c>
      <c r="K94" s="306">
        <f>IF(A94&lt;$F$11,0,IF(AND($B$21=1,A94&gt;$B$19),0,$E$11*$G$11^MIN((A94-$F$11)/12,6)*MIN($G$11,0.85)^MAX(0,(A94-$F$11)/12-6)))</f>
        <v/>
      </c>
      <c r="L94" s="306">
        <f>IF(A94&lt;$F$12,0,IF(AND($B$21=1,A94&gt;$B$19),0,$E$12*$G$12^MIN((A94-$F$12)/12,6)*MIN($G$12,0.85)^MAX(0,(A94-$F$12)/12-6)))</f>
        <v/>
      </c>
      <c r="M94" s="306">
        <f>IF(A94&lt;$F$13,0,IF(AND($B$21=1,A94&gt;$B$19),0,$E$13*$G$13^MIN((A94-$F$13)/12,6)*MIN($G$13,0.85)^MAX(0,(A94-$F$13)/12-6)))</f>
        <v/>
      </c>
      <c r="N94" s="306">
        <f>IF(A94&lt;$F$14,0,IF(AND($B$21=1,A94&gt;$B$19),0,$E$14*$G$14^MIN((A94-$F$14)/12,6)*MIN($G$14,0.85)^MAX(0,(A94-$F$14)/12-6)))</f>
        <v/>
      </c>
      <c r="O94" s="306">
        <f>SUM(F94:N94)</f>
        <v/>
      </c>
      <c r="P94" s="306">
        <f>O94/12</f>
        <v/>
      </c>
      <c r="Q94" s="306">
        <f>P94*$B$8</f>
        <v/>
      </c>
      <c r="R94" s="306">
        <f>P94*$B$9</f>
        <v/>
      </c>
      <c r="S94" s="306">
        <f>P94*$B$10</f>
        <v/>
      </c>
      <c r="T94" s="306">
        <f>P94-Q94-R94-S94-D94-E94</f>
        <v/>
      </c>
      <c r="U94" s="306">
        <f>MAX(0, T94 - $B$7*P94)</f>
        <v/>
      </c>
      <c r="V94" s="306">
        <f>T94-U94</f>
        <v/>
      </c>
      <c r="W94" s="306">
        <f>IF(A94=$F$6, $B$18*$B$16*$B$17/1000000, 0) + IF(A94=$F$7, $B$18*$B$16*$B$17/1000000, 0) + IF(A94=$F$8, $B$18*$B$16*$B$17/1000000, 0) + IF(A94=$F$9, $B$18*$B$16*$B$17/1000000, 0) + IF(A94=$F$10, $B$18*$B$16*$B$17/1000000, 0) + IF(A94=$F$11, $B$18*$B$16*$B$17/1000000, 0) + IF(A94=$F$12, $B$18*$B$16*$B$17/1000000, 0) + IF(A94=$F$13, $B$18*$B$16*$B$17/1000000, 0) + IF(A94=$F$14, $B$18*$B$16*$B$17/1000000, 0)</f>
        <v/>
      </c>
      <c r="X94" s="306">
        <f>V94-W94-C94</f>
        <v/>
      </c>
      <c r="Y94" s="306">
        <f>IF(AND(A94&lt;=$B$24, X94&gt;0), X94*$B$23, 0)</f>
        <v/>
      </c>
      <c r="Z94" s="306">
        <f>X94-Y94</f>
        <v/>
      </c>
      <c r="AA94" s="306">
        <f>IF(AND(A94=$B$19, $B$21=1), O94*$B$20, 0)</f>
        <v/>
      </c>
      <c r="AB94" s="306">
        <f>AB93+Z94+AA94</f>
        <v/>
      </c>
    </row>
    <row r="95">
      <c r="A95" s="306" t="n">
        <v>65</v>
      </c>
      <c r="B95" s="306">
        <f>CEILING(A95/12,1)</f>
        <v/>
      </c>
      <c r="C95" s="306">
        <f>IF(A95&lt;=12, $B$15/12, 0)</f>
        <v/>
      </c>
      <c r="D95" s="306">
        <f>INDEX('26. Team Comp'!$D$28:$R$28, B95) * 0.001 / 12</f>
        <v/>
      </c>
      <c r="E95" s="306">
        <f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+ (IF(MAX(0, A95 - $F$11 + 1)&lt;=0, 0, IF(MAX(0, A95 - $F$11 + 1)&lt;=6, 70 - (70-14)*(MAX(0, A95 - $F$11 + 1)-1)/5, IF(MAX(0, A95 - $F$11 + 1)&lt;=24, 14 - 14*(MAX(0, A95 - $F$11 + 1)-6)/18, 0)))) + (IF(MAX(0, A95 - $F$12 + 1)&lt;=0, 0, IF(MAX(0, A95 - $F$12 + 1)&lt;=6, 70 - (70-14)*(MAX(0, A95 - $F$12 + 1)-1)/5, IF(MAX(0, A95 - $F$12 + 1)&lt;=24, 14 - 14*(MAX(0, A95 - $F$12 + 1)-6)/18, 0)))) + (IF(MAX(0, A95 - $F$13 + 1)&lt;=0, 0, IF(MAX(0, A95 - $F$13 + 1)&lt;=6, 70 - (70-14)*(MAX(0, A95 - $F$13 + 1)-1)/5, IF(MAX(0, A95 - $F$13 + 1)&lt;=24, 14 - 14*(MAX(0, A95 - $F$13 + 1)-6)/18, 0)))) + (IF(MAX(0, A95 - $F$14 + 1)&lt;=0, 0, IF(MAX(0, A95 - $F$14 + 1)&lt;=6, 70 - (70-14)*(MAX(0, A95 - $F$14 + 1)-1)/5, IF(MAX(0, A95 - $F$14 + 1)&lt;=24, 14 - 14*(MAX(0, A95 - $F$14 + 1)-6)/18, 0)))) ) * 200 / 12 / 1000</f>
        <v/>
      </c>
      <c r="F95" s="306">
        <f>IF(A95&lt;$F$6,0,IF(AND($B$21=1,A95&gt;$B$19),0,$E$6*$G$6^MIN((A95-$F$6)/12,6)*MIN($G$6,0.85)^MAX(0,(A95-$F$6)/12-6)))</f>
        <v/>
      </c>
      <c r="G95" s="306">
        <f>IF(A95&lt;$F$7,0,IF(AND($B$21=1,A95&gt;$B$19),0,$E$7*$G$7^MIN((A95-$F$7)/12,6)*MIN($G$7,0.85)^MAX(0,(A95-$F$7)/12-6)))</f>
        <v/>
      </c>
      <c r="H95" s="306">
        <f>IF(A95&lt;$F$8,0,IF(AND($B$21=1,A95&gt;$B$19),0,$E$8*$G$8^MIN((A95-$F$8)/12,6)*MIN($G$8,0.85)^MAX(0,(A95-$F$8)/12-6)))</f>
        <v/>
      </c>
      <c r="I95" s="306">
        <f>IF(A95&lt;$F$9,0,IF(AND($B$21=1,A95&gt;$B$19),0,$E$9*$G$9^MIN((A95-$F$9)/12,6)*MIN($G$9,0.85)^MAX(0,(A95-$F$9)/12-6)))</f>
        <v/>
      </c>
      <c r="J95" s="306">
        <f>IF(A95&lt;$F$10,0,IF(AND($B$21=1,A95&gt;$B$19),0,$E$10*$G$10^MIN((A95-$F$10)/12,6)*MIN($G$10,0.85)^MAX(0,(A95-$F$10)/12-6)))</f>
        <v/>
      </c>
      <c r="K95" s="306">
        <f>IF(A95&lt;$F$11,0,IF(AND($B$21=1,A95&gt;$B$19),0,$E$11*$G$11^MIN((A95-$F$11)/12,6)*MIN($G$11,0.85)^MAX(0,(A95-$F$11)/12-6)))</f>
        <v/>
      </c>
      <c r="L95" s="306">
        <f>IF(A95&lt;$F$12,0,IF(AND($B$21=1,A95&gt;$B$19),0,$E$12*$G$12^MIN((A95-$F$12)/12,6)*MIN($G$12,0.85)^MAX(0,(A95-$F$12)/12-6)))</f>
        <v/>
      </c>
      <c r="M95" s="306">
        <f>IF(A95&lt;$F$13,0,IF(AND($B$21=1,A95&gt;$B$19),0,$E$13*$G$13^MIN((A95-$F$13)/12,6)*MIN($G$13,0.85)^MAX(0,(A95-$F$13)/12-6)))</f>
        <v/>
      </c>
      <c r="N95" s="306">
        <f>IF(A95&lt;$F$14,0,IF(AND($B$21=1,A95&gt;$B$19),0,$E$14*$G$14^MIN((A95-$F$14)/12,6)*MIN($G$14,0.85)^MAX(0,(A95-$F$14)/12-6)))</f>
        <v/>
      </c>
      <c r="O95" s="306">
        <f>SUM(F95:N95)</f>
        <v/>
      </c>
      <c r="P95" s="306">
        <f>O95/12</f>
        <v/>
      </c>
      <c r="Q95" s="306">
        <f>P95*$B$8</f>
        <v/>
      </c>
      <c r="R95" s="306">
        <f>P95*$B$9</f>
        <v/>
      </c>
      <c r="S95" s="306">
        <f>P95*$B$10</f>
        <v/>
      </c>
      <c r="T95" s="306">
        <f>P95-Q95-R95-S95-D95-E95</f>
        <v/>
      </c>
      <c r="U95" s="306">
        <f>MAX(0, T95 - $B$7*P95)</f>
        <v/>
      </c>
      <c r="V95" s="306">
        <f>T95-U95</f>
        <v/>
      </c>
      <c r="W95" s="306">
        <f>IF(A95=$F$6, $B$18*$B$16*$B$17/1000000, 0) + IF(A95=$F$7, $B$18*$B$16*$B$17/1000000, 0) + IF(A95=$F$8, $B$18*$B$16*$B$17/1000000, 0) + IF(A95=$F$9, $B$18*$B$16*$B$17/1000000, 0) + IF(A95=$F$10, $B$18*$B$16*$B$17/1000000, 0) + IF(A95=$F$11, $B$18*$B$16*$B$17/1000000, 0) + IF(A95=$F$12, $B$18*$B$16*$B$17/1000000, 0) + IF(A95=$F$13, $B$18*$B$16*$B$17/1000000, 0) + IF(A95=$F$14, $B$18*$B$16*$B$17/1000000, 0)</f>
        <v/>
      </c>
      <c r="X95" s="306">
        <f>V95-W95-C95</f>
        <v/>
      </c>
      <c r="Y95" s="306">
        <f>IF(AND(A95&lt;=$B$24, X95&gt;0), X95*$B$23, 0)</f>
        <v/>
      </c>
      <c r="Z95" s="306">
        <f>X95-Y95</f>
        <v/>
      </c>
      <c r="AA95" s="306">
        <f>IF(AND(A95=$B$19, $B$21=1), O95*$B$20, 0)</f>
        <v/>
      </c>
      <c r="AB95" s="306">
        <f>AB94+Z95+AA95</f>
        <v/>
      </c>
    </row>
    <row r="96">
      <c r="A96" s="306" t="n">
        <v>66</v>
      </c>
      <c r="B96" s="306">
        <f>CEILING(A96/12,1)</f>
        <v/>
      </c>
      <c r="C96" s="306">
        <f>IF(A96&lt;=12, $B$15/12, 0)</f>
        <v/>
      </c>
      <c r="D96" s="306">
        <f>INDEX('26. Team Comp'!$D$28:$R$28, B96) * 0.001 / 12</f>
        <v/>
      </c>
      <c r="E96" s="306">
        <f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+ (IF(MAX(0, A96 - $F$11 + 1)&lt;=0, 0, IF(MAX(0, A96 - $F$11 + 1)&lt;=6, 70 - (70-14)*(MAX(0, A96 - $F$11 + 1)-1)/5, IF(MAX(0, A96 - $F$11 + 1)&lt;=24, 14 - 14*(MAX(0, A96 - $F$11 + 1)-6)/18, 0)))) + (IF(MAX(0, A96 - $F$12 + 1)&lt;=0, 0, IF(MAX(0, A96 - $F$12 + 1)&lt;=6, 70 - (70-14)*(MAX(0, A96 - $F$12 + 1)-1)/5, IF(MAX(0, A96 - $F$12 + 1)&lt;=24, 14 - 14*(MAX(0, A96 - $F$12 + 1)-6)/18, 0)))) + (IF(MAX(0, A96 - $F$13 + 1)&lt;=0, 0, IF(MAX(0, A96 - $F$13 + 1)&lt;=6, 70 - (70-14)*(MAX(0, A96 - $F$13 + 1)-1)/5, IF(MAX(0, A96 - $F$13 + 1)&lt;=24, 14 - 14*(MAX(0, A96 - $F$13 + 1)-6)/18, 0)))) + (IF(MAX(0, A96 - $F$14 + 1)&lt;=0, 0, IF(MAX(0, A96 - $F$14 + 1)&lt;=6, 70 - (70-14)*(MAX(0, A96 - $F$14 + 1)-1)/5, IF(MAX(0, A96 - $F$14 + 1)&lt;=24, 14 - 14*(MAX(0, A96 - $F$14 + 1)-6)/18, 0)))) ) * 200 / 12 / 1000</f>
        <v/>
      </c>
      <c r="F96" s="306">
        <f>IF(A96&lt;$F$6,0,IF(AND($B$21=1,A96&gt;$B$19),0,$E$6*$G$6^MIN((A96-$F$6)/12,6)*MIN($G$6,0.85)^MAX(0,(A96-$F$6)/12-6)))</f>
        <v/>
      </c>
      <c r="G96" s="306">
        <f>IF(A96&lt;$F$7,0,IF(AND($B$21=1,A96&gt;$B$19),0,$E$7*$G$7^MIN((A96-$F$7)/12,6)*MIN($G$7,0.85)^MAX(0,(A96-$F$7)/12-6)))</f>
        <v/>
      </c>
      <c r="H96" s="306">
        <f>IF(A96&lt;$F$8,0,IF(AND($B$21=1,A96&gt;$B$19),0,$E$8*$G$8^MIN((A96-$F$8)/12,6)*MIN($G$8,0.85)^MAX(0,(A96-$F$8)/12-6)))</f>
        <v/>
      </c>
      <c r="I96" s="306">
        <f>IF(A96&lt;$F$9,0,IF(AND($B$21=1,A96&gt;$B$19),0,$E$9*$G$9^MIN((A96-$F$9)/12,6)*MIN($G$9,0.85)^MAX(0,(A96-$F$9)/12-6)))</f>
        <v/>
      </c>
      <c r="J96" s="306">
        <f>IF(A96&lt;$F$10,0,IF(AND($B$21=1,A96&gt;$B$19),0,$E$10*$G$10^MIN((A96-$F$10)/12,6)*MIN($G$10,0.85)^MAX(0,(A96-$F$10)/12-6)))</f>
        <v/>
      </c>
      <c r="K96" s="306">
        <f>IF(A96&lt;$F$11,0,IF(AND($B$21=1,A96&gt;$B$19),0,$E$11*$G$11^MIN((A96-$F$11)/12,6)*MIN($G$11,0.85)^MAX(0,(A96-$F$11)/12-6)))</f>
        <v/>
      </c>
      <c r="L96" s="306">
        <f>IF(A96&lt;$F$12,0,IF(AND($B$21=1,A96&gt;$B$19),0,$E$12*$G$12^MIN((A96-$F$12)/12,6)*MIN($G$12,0.85)^MAX(0,(A96-$F$12)/12-6)))</f>
        <v/>
      </c>
      <c r="M96" s="306">
        <f>IF(A96&lt;$F$13,0,IF(AND($B$21=1,A96&gt;$B$19),0,$E$13*$G$13^MIN((A96-$F$13)/12,6)*MIN($G$13,0.85)^MAX(0,(A96-$F$13)/12-6)))</f>
        <v/>
      </c>
      <c r="N96" s="306">
        <f>IF(A96&lt;$F$14,0,IF(AND($B$21=1,A96&gt;$B$19),0,$E$14*$G$14^MIN((A96-$F$14)/12,6)*MIN($G$14,0.85)^MAX(0,(A96-$F$14)/12-6)))</f>
        <v/>
      </c>
      <c r="O96" s="306">
        <f>SUM(F96:N96)</f>
        <v/>
      </c>
      <c r="P96" s="306">
        <f>O96/12</f>
        <v/>
      </c>
      <c r="Q96" s="306">
        <f>P96*$B$8</f>
        <v/>
      </c>
      <c r="R96" s="306">
        <f>P96*$B$9</f>
        <v/>
      </c>
      <c r="S96" s="306">
        <f>P96*$B$10</f>
        <v/>
      </c>
      <c r="T96" s="306">
        <f>P96-Q96-R96-S96-D96-E96</f>
        <v/>
      </c>
      <c r="U96" s="306">
        <f>MAX(0, T96 - $B$7*P96)</f>
        <v/>
      </c>
      <c r="V96" s="306">
        <f>T96-U96</f>
        <v/>
      </c>
      <c r="W96" s="306">
        <f>IF(A96=$F$6, $B$18*$B$16*$B$17/1000000, 0) + IF(A96=$F$7, $B$18*$B$16*$B$17/1000000, 0) + IF(A96=$F$8, $B$18*$B$16*$B$17/1000000, 0) + IF(A96=$F$9, $B$18*$B$16*$B$17/1000000, 0) + IF(A96=$F$10, $B$18*$B$16*$B$17/1000000, 0) + IF(A96=$F$11, $B$18*$B$16*$B$17/1000000, 0) + IF(A96=$F$12, $B$18*$B$16*$B$17/1000000, 0) + IF(A96=$F$13, $B$18*$B$16*$B$17/1000000, 0) + IF(A96=$F$14, $B$18*$B$16*$B$17/1000000, 0)</f>
        <v/>
      </c>
      <c r="X96" s="306">
        <f>V96-W96-C96</f>
        <v/>
      </c>
      <c r="Y96" s="306">
        <f>IF(AND(A96&lt;=$B$24, X96&gt;0), X96*$B$23, 0)</f>
        <v/>
      </c>
      <c r="Z96" s="306">
        <f>X96-Y96</f>
        <v/>
      </c>
      <c r="AA96" s="306">
        <f>IF(AND(A96=$B$19, $B$21=1), O96*$B$20, 0)</f>
        <v/>
      </c>
      <c r="AB96" s="306">
        <f>AB95+Z96+AA96</f>
        <v/>
      </c>
    </row>
    <row r="97">
      <c r="A97" s="306" t="n">
        <v>67</v>
      </c>
      <c r="B97" s="306">
        <f>CEILING(A97/12,1)</f>
        <v/>
      </c>
      <c r="C97" s="306">
        <f>IF(A97&lt;=12, $B$15/12, 0)</f>
        <v/>
      </c>
      <c r="D97" s="306">
        <f>INDEX('26. Team Comp'!$D$28:$R$28, B97) * 0.001 / 12</f>
        <v/>
      </c>
      <c r="E97" s="306">
        <f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+ (IF(MAX(0, A97 - $F$11 + 1)&lt;=0, 0, IF(MAX(0, A97 - $F$11 + 1)&lt;=6, 70 - (70-14)*(MAX(0, A97 - $F$11 + 1)-1)/5, IF(MAX(0, A97 - $F$11 + 1)&lt;=24, 14 - 14*(MAX(0, A97 - $F$11 + 1)-6)/18, 0)))) + (IF(MAX(0, A97 - $F$12 + 1)&lt;=0, 0, IF(MAX(0, A97 - $F$12 + 1)&lt;=6, 70 - (70-14)*(MAX(0, A97 - $F$12 + 1)-1)/5, IF(MAX(0, A97 - $F$12 + 1)&lt;=24, 14 - 14*(MAX(0, A97 - $F$12 + 1)-6)/18, 0)))) + (IF(MAX(0, A97 - $F$13 + 1)&lt;=0, 0, IF(MAX(0, A97 - $F$13 + 1)&lt;=6, 70 - (70-14)*(MAX(0, A97 - $F$13 + 1)-1)/5, IF(MAX(0, A97 - $F$13 + 1)&lt;=24, 14 - 14*(MAX(0, A97 - $F$13 + 1)-6)/18, 0)))) + (IF(MAX(0, A97 - $F$14 + 1)&lt;=0, 0, IF(MAX(0, A97 - $F$14 + 1)&lt;=6, 70 - (70-14)*(MAX(0, A97 - $F$14 + 1)-1)/5, IF(MAX(0, A97 - $F$14 + 1)&lt;=24, 14 - 14*(MAX(0, A97 - $F$14 + 1)-6)/18, 0)))) ) * 200 / 12 / 1000</f>
        <v/>
      </c>
      <c r="F97" s="306">
        <f>IF(A97&lt;$F$6,0,IF(AND($B$21=1,A97&gt;$B$19),0,$E$6*$G$6^MIN((A97-$F$6)/12,6)*MIN($G$6,0.85)^MAX(0,(A97-$F$6)/12-6)))</f>
        <v/>
      </c>
      <c r="G97" s="306">
        <f>IF(A97&lt;$F$7,0,IF(AND($B$21=1,A97&gt;$B$19),0,$E$7*$G$7^MIN((A97-$F$7)/12,6)*MIN($G$7,0.85)^MAX(0,(A97-$F$7)/12-6)))</f>
        <v/>
      </c>
      <c r="H97" s="306">
        <f>IF(A97&lt;$F$8,0,IF(AND($B$21=1,A97&gt;$B$19),0,$E$8*$G$8^MIN((A97-$F$8)/12,6)*MIN($G$8,0.85)^MAX(0,(A97-$F$8)/12-6)))</f>
        <v/>
      </c>
      <c r="I97" s="306">
        <f>IF(A97&lt;$F$9,0,IF(AND($B$21=1,A97&gt;$B$19),0,$E$9*$G$9^MIN((A97-$F$9)/12,6)*MIN($G$9,0.85)^MAX(0,(A97-$F$9)/12-6)))</f>
        <v/>
      </c>
      <c r="J97" s="306">
        <f>IF(A97&lt;$F$10,0,IF(AND($B$21=1,A97&gt;$B$19),0,$E$10*$G$10^MIN((A97-$F$10)/12,6)*MIN($G$10,0.85)^MAX(0,(A97-$F$10)/12-6)))</f>
        <v/>
      </c>
      <c r="K97" s="306">
        <f>IF(A97&lt;$F$11,0,IF(AND($B$21=1,A97&gt;$B$19),0,$E$11*$G$11^MIN((A97-$F$11)/12,6)*MIN($G$11,0.85)^MAX(0,(A97-$F$11)/12-6)))</f>
        <v/>
      </c>
      <c r="L97" s="306">
        <f>IF(A97&lt;$F$12,0,IF(AND($B$21=1,A97&gt;$B$19),0,$E$12*$G$12^MIN((A97-$F$12)/12,6)*MIN($G$12,0.85)^MAX(0,(A97-$F$12)/12-6)))</f>
        <v/>
      </c>
      <c r="M97" s="306">
        <f>IF(A97&lt;$F$13,0,IF(AND($B$21=1,A97&gt;$B$19),0,$E$13*$G$13^MIN((A97-$F$13)/12,6)*MIN($G$13,0.85)^MAX(0,(A97-$F$13)/12-6)))</f>
        <v/>
      </c>
      <c r="N97" s="306">
        <f>IF(A97&lt;$F$14,0,IF(AND($B$21=1,A97&gt;$B$19),0,$E$14*$G$14^MIN((A97-$F$14)/12,6)*MIN($G$14,0.85)^MAX(0,(A97-$F$14)/12-6)))</f>
        <v/>
      </c>
      <c r="O97" s="306">
        <f>SUM(F97:N97)</f>
        <v/>
      </c>
      <c r="P97" s="306">
        <f>O97/12</f>
        <v/>
      </c>
      <c r="Q97" s="306">
        <f>P97*$B$8</f>
        <v/>
      </c>
      <c r="R97" s="306">
        <f>P97*$B$9</f>
        <v/>
      </c>
      <c r="S97" s="306">
        <f>P97*$B$10</f>
        <v/>
      </c>
      <c r="T97" s="306">
        <f>P97-Q97-R97-S97-D97-E97</f>
        <v/>
      </c>
      <c r="U97" s="306">
        <f>MAX(0, T97 - $B$7*P97)</f>
        <v/>
      </c>
      <c r="V97" s="306">
        <f>T97-U97</f>
        <v/>
      </c>
      <c r="W97" s="306">
        <f>IF(A97=$F$6, $B$18*$B$16*$B$17/1000000, 0) + IF(A97=$F$7, $B$18*$B$16*$B$17/1000000, 0) + IF(A97=$F$8, $B$18*$B$16*$B$17/1000000, 0) + IF(A97=$F$9, $B$18*$B$16*$B$17/1000000, 0) + IF(A97=$F$10, $B$18*$B$16*$B$17/1000000, 0) + IF(A97=$F$11, $B$18*$B$16*$B$17/1000000, 0) + IF(A97=$F$12, $B$18*$B$16*$B$17/1000000, 0) + IF(A97=$F$13, $B$18*$B$16*$B$17/1000000, 0) + IF(A97=$F$14, $B$18*$B$16*$B$17/1000000, 0)</f>
        <v/>
      </c>
      <c r="X97" s="306">
        <f>V97-W97-C97</f>
        <v/>
      </c>
      <c r="Y97" s="306">
        <f>IF(AND(A97&lt;=$B$24, X97&gt;0), X97*$B$23, 0)</f>
        <v/>
      </c>
      <c r="Z97" s="306">
        <f>X97-Y97</f>
        <v/>
      </c>
      <c r="AA97" s="306">
        <f>IF(AND(A97=$B$19, $B$21=1), O97*$B$20, 0)</f>
        <v/>
      </c>
      <c r="AB97" s="306">
        <f>AB96+Z97+AA97</f>
        <v/>
      </c>
    </row>
    <row r="98">
      <c r="A98" s="306" t="n">
        <v>68</v>
      </c>
      <c r="B98" s="306">
        <f>CEILING(A98/12,1)</f>
        <v/>
      </c>
      <c r="C98" s="306">
        <f>IF(A98&lt;=12, $B$15/12, 0)</f>
        <v/>
      </c>
      <c r="D98" s="306">
        <f>INDEX('26. Team Comp'!$D$28:$R$28, B98) * 0.001 / 12</f>
        <v/>
      </c>
      <c r="E98" s="306">
        <f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+ (IF(MAX(0, A98 - $F$11 + 1)&lt;=0, 0, IF(MAX(0, A98 - $F$11 + 1)&lt;=6, 70 - (70-14)*(MAX(0, A98 - $F$11 + 1)-1)/5, IF(MAX(0, A98 - $F$11 + 1)&lt;=24, 14 - 14*(MAX(0, A98 - $F$11 + 1)-6)/18, 0)))) + (IF(MAX(0, A98 - $F$12 + 1)&lt;=0, 0, IF(MAX(0, A98 - $F$12 + 1)&lt;=6, 70 - (70-14)*(MAX(0, A98 - $F$12 + 1)-1)/5, IF(MAX(0, A98 - $F$12 + 1)&lt;=24, 14 - 14*(MAX(0, A98 - $F$12 + 1)-6)/18, 0)))) + (IF(MAX(0, A98 - $F$13 + 1)&lt;=0, 0, IF(MAX(0, A98 - $F$13 + 1)&lt;=6, 70 - (70-14)*(MAX(0, A98 - $F$13 + 1)-1)/5, IF(MAX(0, A98 - $F$13 + 1)&lt;=24, 14 - 14*(MAX(0, A98 - $F$13 + 1)-6)/18, 0)))) + (IF(MAX(0, A98 - $F$14 + 1)&lt;=0, 0, IF(MAX(0, A98 - $F$14 + 1)&lt;=6, 70 - (70-14)*(MAX(0, A98 - $F$14 + 1)-1)/5, IF(MAX(0, A98 - $F$14 + 1)&lt;=24, 14 - 14*(MAX(0, A98 - $F$14 + 1)-6)/18, 0)))) ) * 200 / 12 / 1000</f>
        <v/>
      </c>
      <c r="F98" s="306">
        <f>IF(A98&lt;$F$6,0,IF(AND($B$21=1,A98&gt;$B$19),0,$E$6*$G$6^MIN((A98-$F$6)/12,6)*MIN($G$6,0.85)^MAX(0,(A98-$F$6)/12-6)))</f>
        <v/>
      </c>
      <c r="G98" s="306">
        <f>IF(A98&lt;$F$7,0,IF(AND($B$21=1,A98&gt;$B$19),0,$E$7*$G$7^MIN((A98-$F$7)/12,6)*MIN($G$7,0.85)^MAX(0,(A98-$F$7)/12-6)))</f>
        <v/>
      </c>
      <c r="H98" s="306">
        <f>IF(A98&lt;$F$8,0,IF(AND($B$21=1,A98&gt;$B$19),0,$E$8*$G$8^MIN((A98-$F$8)/12,6)*MIN($G$8,0.85)^MAX(0,(A98-$F$8)/12-6)))</f>
        <v/>
      </c>
      <c r="I98" s="306">
        <f>IF(A98&lt;$F$9,0,IF(AND($B$21=1,A98&gt;$B$19),0,$E$9*$G$9^MIN((A98-$F$9)/12,6)*MIN($G$9,0.85)^MAX(0,(A98-$F$9)/12-6)))</f>
        <v/>
      </c>
      <c r="J98" s="306">
        <f>IF(A98&lt;$F$10,0,IF(AND($B$21=1,A98&gt;$B$19),0,$E$10*$G$10^MIN((A98-$F$10)/12,6)*MIN($G$10,0.85)^MAX(0,(A98-$F$10)/12-6)))</f>
        <v/>
      </c>
      <c r="K98" s="306">
        <f>IF(A98&lt;$F$11,0,IF(AND($B$21=1,A98&gt;$B$19),0,$E$11*$G$11^MIN((A98-$F$11)/12,6)*MIN($G$11,0.85)^MAX(0,(A98-$F$11)/12-6)))</f>
        <v/>
      </c>
      <c r="L98" s="306">
        <f>IF(A98&lt;$F$12,0,IF(AND($B$21=1,A98&gt;$B$19),0,$E$12*$G$12^MIN((A98-$F$12)/12,6)*MIN($G$12,0.85)^MAX(0,(A98-$F$12)/12-6)))</f>
        <v/>
      </c>
      <c r="M98" s="306">
        <f>IF(A98&lt;$F$13,0,IF(AND($B$21=1,A98&gt;$B$19),0,$E$13*$G$13^MIN((A98-$F$13)/12,6)*MIN($G$13,0.85)^MAX(0,(A98-$F$13)/12-6)))</f>
        <v/>
      </c>
      <c r="N98" s="306">
        <f>IF(A98&lt;$F$14,0,IF(AND($B$21=1,A98&gt;$B$19),0,$E$14*$G$14^MIN((A98-$F$14)/12,6)*MIN($G$14,0.85)^MAX(0,(A98-$F$14)/12-6)))</f>
        <v/>
      </c>
      <c r="O98" s="306">
        <f>SUM(F98:N98)</f>
        <v/>
      </c>
      <c r="P98" s="306">
        <f>O98/12</f>
        <v/>
      </c>
      <c r="Q98" s="306">
        <f>P98*$B$8</f>
        <v/>
      </c>
      <c r="R98" s="306">
        <f>P98*$B$9</f>
        <v/>
      </c>
      <c r="S98" s="306">
        <f>P98*$B$10</f>
        <v/>
      </c>
      <c r="T98" s="306">
        <f>P98-Q98-R98-S98-D98-E98</f>
        <v/>
      </c>
      <c r="U98" s="306">
        <f>MAX(0, T98 - $B$7*P98)</f>
        <v/>
      </c>
      <c r="V98" s="306">
        <f>T98-U98</f>
        <v/>
      </c>
      <c r="W98" s="306">
        <f>IF(A98=$F$6, $B$18*$B$16*$B$17/1000000, 0) + IF(A98=$F$7, $B$18*$B$16*$B$17/1000000, 0) + IF(A98=$F$8, $B$18*$B$16*$B$17/1000000, 0) + IF(A98=$F$9, $B$18*$B$16*$B$17/1000000, 0) + IF(A98=$F$10, $B$18*$B$16*$B$17/1000000, 0) + IF(A98=$F$11, $B$18*$B$16*$B$17/1000000, 0) + IF(A98=$F$12, $B$18*$B$16*$B$17/1000000, 0) + IF(A98=$F$13, $B$18*$B$16*$B$17/1000000, 0) + IF(A98=$F$14, $B$18*$B$16*$B$17/1000000, 0)</f>
        <v/>
      </c>
      <c r="X98" s="306">
        <f>V98-W98-C98</f>
        <v/>
      </c>
      <c r="Y98" s="306">
        <f>IF(AND(A98&lt;=$B$24, X98&gt;0), X98*$B$23, 0)</f>
        <v/>
      </c>
      <c r="Z98" s="306">
        <f>X98-Y98</f>
        <v/>
      </c>
      <c r="AA98" s="306">
        <f>IF(AND(A98=$B$19, $B$21=1), O98*$B$20, 0)</f>
        <v/>
      </c>
      <c r="AB98" s="306">
        <f>AB97+Z98+AA98</f>
        <v/>
      </c>
    </row>
    <row r="99">
      <c r="A99" s="306" t="n">
        <v>69</v>
      </c>
      <c r="B99" s="306">
        <f>CEILING(A99/12,1)</f>
        <v/>
      </c>
      <c r="C99" s="306">
        <f>IF(A99&lt;=12, $B$15/12, 0)</f>
        <v/>
      </c>
      <c r="D99" s="306">
        <f>INDEX('26. Team Comp'!$D$28:$R$28, B99) * 0.001 / 12</f>
        <v/>
      </c>
      <c r="E99" s="306">
        <f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+ (IF(MAX(0, A99 - $F$11 + 1)&lt;=0, 0, IF(MAX(0, A99 - $F$11 + 1)&lt;=6, 70 - (70-14)*(MAX(0, A99 - $F$11 + 1)-1)/5, IF(MAX(0, A99 - $F$11 + 1)&lt;=24, 14 - 14*(MAX(0, A99 - $F$11 + 1)-6)/18, 0)))) + (IF(MAX(0, A99 - $F$12 + 1)&lt;=0, 0, IF(MAX(0, A99 - $F$12 + 1)&lt;=6, 70 - (70-14)*(MAX(0, A99 - $F$12 + 1)-1)/5, IF(MAX(0, A99 - $F$12 + 1)&lt;=24, 14 - 14*(MAX(0, A99 - $F$12 + 1)-6)/18, 0)))) + (IF(MAX(0, A99 - $F$13 + 1)&lt;=0, 0, IF(MAX(0, A99 - $F$13 + 1)&lt;=6, 70 - (70-14)*(MAX(0, A99 - $F$13 + 1)-1)/5, IF(MAX(0, A99 - $F$13 + 1)&lt;=24, 14 - 14*(MAX(0, A99 - $F$13 + 1)-6)/18, 0)))) + (IF(MAX(0, A99 - $F$14 + 1)&lt;=0, 0, IF(MAX(0, A99 - $F$14 + 1)&lt;=6, 70 - (70-14)*(MAX(0, A99 - $F$14 + 1)-1)/5, IF(MAX(0, A99 - $F$14 + 1)&lt;=24, 14 - 14*(MAX(0, A99 - $F$14 + 1)-6)/18, 0)))) ) * 200 / 12 / 1000</f>
        <v/>
      </c>
      <c r="F99" s="306">
        <f>IF(A99&lt;$F$6,0,IF(AND($B$21=1,A99&gt;$B$19),0,$E$6*$G$6^MIN((A99-$F$6)/12,6)*MIN($G$6,0.85)^MAX(0,(A99-$F$6)/12-6)))</f>
        <v/>
      </c>
      <c r="G99" s="306">
        <f>IF(A99&lt;$F$7,0,IF(AND($B$21=1,A99&gt;$B$19),0,$E$7*$G$7^MIN((A99-$F$7)/12,6)*MIN($G$7,0.85)^MAX(0,(A99-$F$7)/12-6)))</f>
        <v/>
      </c>
      <c r="H99" s="306">
        <f>IF(A99&lt;$F$8,0,IF(AND($B$21=1,A99&gt;$B$19),0,$E$8*$G$8^MIN((A99-$F$8)/12,6)*MIN($G$8,0.85)^MAX(0,(A99-$F$8)/12-6)))</f>
        <v/>
      </c>
      <c r="I99" s="306">
        <f>IF(A99&lt;$F$9,0,IF(AND($B$21=1,A99&gt;$B$19),0,$E$9*$G$9^MIN((A99-$F$9)/12,6)*MIN($G$9,0.85)^MAX(0,(A99-$F$9)/12-6)))</f>
        <v/>
      </c>
      <c r="J99" s="306">
        <f>IF(A99&lt;$F$10,0,IF(AND($B$21=1,A99&gt;$B$19),0,$E$10*$G$10^MIN((A99-$F$10)/12,6)*MIN($G$10,0.85)^MAX(0,(A99-$F$10)/12-6)))</f>
        <v/>
      </c>
      <c r="K99" s="306">
        <f>IF(A99&lt;$F$11,0,IF(AND($B$21=1,A99&gt;$B$19),0,$E$11*$G$11^MIN((A99-$F$11)/12,6)*MIN($G$11,0.85)^MAX(0,(A99-$F$11)/12-6)))</f>
        <v/>
      </c>
      <c r="L99" s="306">
        <f>IF(A99&lt;$F$12,0,IF(AND($B$21=1,A99&gt;$B$19),0,$E$12*$G$12^MIN((A99-$F$12)/12,6)*MIN($G$12,0.85)^MAX(0,(A99-$F$12)/12-6)))</f>
        <v/>
      </c>
      <c r="M99" s="306">
        <f>IF(A99&lt;$F$13,0,IF(AND($B$21=1,A99&gt;$B$19),0,$E$13*$G$13^MIN((A99-$F$13)/12,6)*MIN($G$13,0.85)^MAX(0,(A99-$F$13)/12-6)))</f>
        <v/>
      </c>
      <c r="N99" s="306">
        <f>IF(A99&lt;$F$14,0,IF(AND($B$21=1,A99&gt;$B$19),0,$E$14*$G$14^MIN((A99-$F$14)/12,6)*MIN($G$14,0.85)^MAX(0,(A99-$F$14)/12-6)))</f>
        <v/>
      </c>
      <c r="O99" s="306">
        <f>SUM(F99:N99)</f>
        <v/>
      </c>
      <c r="P99" s="306">
        <f>O99/12</f>
        <v/>
      </c>
      <c r="Q99" s="306">
        <f>P99*$B$8</f>
        <v/>
      </c>
      <c r="R99" s="306">
        <f>P99*$B$9</f>
        <v/>
      </c>
      <c r="S99" s="306">
        <f>P99*$B$10</f>
        <v/>
      </c>
      <c r="T99" s="306">
        <f>P99-Q99-R99-S99-D99-E99</f>
        <v/>
      </c>
      <c r="U99" s="306">
        <f>MAX(0, T99 - $B$7*P99)</f>
        <v/>
      </c>
      <c r="V99" s="306">
        <f>T99-U99</f>
        <v/>
      </c>
      <c r="W99" s="306">
        <f>IF(A99=$F$6, $B$18*$B$16*$B$17/1000000, 0) + IF(A99=$F$7, $B$18*$B$16*$B$17/1000000, 0) + IF(A99=$F$8, $B$18*$B$16*$B$17/1000000, 0) + IF(A99=$F$9, $B$18*$B$16*$B$17/1000000, 0) + IF(A99=$F$10, $B$18*$B$16*$B$17/1000000, 0) + IF(A99=$F$11, $B$18*$B$16*$B$17/1000000, 0) + IF(A99=$F$12, $B$18*$B$16*$B$17/1000000, 0) + IF(A99=$F$13, $B$18*$B$16*$B$17/1000000, 0) + IF(A99=$F$14, $B$18*$B$16*$B$17/1000000, 0)</f>
        <v/>
      </c>
      <c r="X99" s="306">
        <f>V99-W99-C99</f>
        <v/>
      </c>
      <c r="Y99" s="306">
        <f>IF(AND(A99&lt;=$B$24, X99&gt;0), X99*$B$23, 0)</f>
        <v/>
      </c>
      <c r="Z99" s="306">
        <f>X99-Y99</f>
        <v/>
      </c>
      <c r="AA99" s="306">
        <f>IF(AND(A99=$B$19, $B$21=1), O99*$B$20, 0)</f>
        <v/>
      </c>
      <c r="AB99" s="306">
        <f>AB98+Z99+AA99</f>
        <v/>
      </c>
    </row>
    <row r="100">
      <c r="A100" s="306" t="n">
        <v>70</v>
      </c>
      <c r="B100" s="306">
        <f>CEILING(A100/12,1)</f>
        <v/>
      </c>
      <c r="C100" s="306">
        <f>IF(A100&lt;=12, $B$15/12, 0)</f>
        <v/>
      </c>
      <c r="D100" s="306">
        <f>INDEX('26. Team Comp'!$D$28:$R$28, B100) * 0.001 / 12</f>
        <v/>
      </c>
      <c r="E100" s="306">
        <f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+ (IF(MAX(0, A100 - $F$11 + 1)&lt;=0, 0, IF(MAX(0, A100 - $F$11 + 1)&lt;=6, 70 - (70-14)*(MAX(0, A100 - $F$11 + 1)-1)/5, IF(MAX(0, A100 - $F$11 + 1)&lt;=24, 14 - 14*(MAX(0, A100 - $F$11 + 1)-6)/18, 0)))) + (IF(MAX(0, A100 - $F$12 + 1)&lt;=0, 0, IF(MAX(0, A100 - $F$12 + 1)&lt;=6, 70 - (70-14)*(MAX(0, A100 - $F$12 + 1)-1)/5, IF(MAX(0, A100 - $F$12 + 1)&lt;=24, 14 - 14*(MAX(0, A100 - $F$12 + 1)-6)/18, 0)))) + (IF(MAX(0, A100 - $F$13 + 1)&lt;=0, 0, IF(MAX(0, A100 - $F$13 + 1)&lt;=6, 70 - (70-14)*(MAX(0, A100 - $F$13 + 1)-1)/5, IF(MAX(0, A100 - $F$13 + 1)&lt;=24, 14 - 14*(MAX(0, A100 - $F$13 + 1)-6)/18, 0)))) + (IF(MAX(0, A100 - $F$14 + 1)&lt;=0, 0, IF(MAX(0, A100 - $F$14 + 1)&lt;=6, 70 - (70-14)*(MAX(0, A100 - $F$14 + 1)-1)/5, IF(MAX(0, A100 - $F$14 + 1)&lt;=24, 14 - 14*(MAX(0, A100 - $F$14 + 1)-6)/18, 0)))) ) * 200 / 12 / 1000</f>
        <v/>
      </c>
      <c r="F100" s="306">
        <f>IF(A100&lt;$F$6,0,IF(AND($B$21=1,A100&gt;$B$19),0,$E$6*$G$6^MIN((A100-$F$6)/12,6)*MIN($G$6,0.85)^MAX(0,(A100-$F$6)/12-6)))</f>
        <v/>
      </c>
      <c r="G100" s="306">
        <f>IF(A100&lt;$F$7,0,IF(AND($B$21=1,A100&gt;$B$19),0,$E$7*$G$7^MIN((A100-$F$7)/12,6)*MIN($G$7,0.85)^MAX(0,(A100-$F$7)/12-6)))</f>
        <v/>
      </c>
      <c r="H100" s="306">
        <f>IF(A100&lt;$F$8,0,IF(AND($B$21=1,A100&gt;$B$19),0,$E$8*$G$8^MIN((A100-$F$8)/12,6)*MIN($G$8,0.85)^MAX(0,(A100-$F$8)/12-6)))</f>
        <v/>
      </c>
      <c r="I100" s="306">
        <f>IF(A100&lt;$F$9,0,IF(AND($B$21=1,A100&gt;$B$19),0,$E$9*$G$9^MIN((A100-$F$9)/12,6)*MIN($G$9,0.85)^MAX(0,(A100-$F$9)/12-6)))</f>
        <v/>
      </c>
      <c r="J100" s="306">
        <f>IF(A100&lt;$F$10,0,IF(AND($B$21=1,A100&gt;$B$19),0,$E$10*$G$10^MIN((A100-$F$10)/12,6)*MIN($G$10,0.85)^MAX(0,(A100-$F$10)/12-6)))</f>
        <v/>
      </c>
      <c r="K100" s="306">
        <f>IF(A100&lt;$F$11,0,IF(AND($B$21=1,A100&gt;$B$19),0,$E$11*$G$11^MIN((A100-$F$11)/12,6)*MIN($G$11,0.85)^MAX(0,(A100-$F$11)/12-6)))</f>
        <v/>
      </c>
      <c r="L100" s="306">
        <f>IF(A100&lt;$F$12,0,IF(AND($B$21=1,A100&gt;$B$19),0,$E$12*$G$12^MIN((A100-$F$12)/12,6)*MIN($G$12,0.85)^MAX(0,(A100-$F$12)/12-6)))</f>
        <v/>
      </c>
      <c r="M100" s="306">
        <f>IF(A100&lt;$F$13,0,IF(AND($B$21=1,A100&gt;$B$19),0,$E$13*$G$13^MIN((A100-$F$13)/12,6)*MIN($G$13,0.85)^MAX(0,(A100-$F$13)/12-6)))</f>
        <v/>
      </c>
      <c r="N100" s="306">
        <f>IF(A100&lt;$F$14,0,IF(AND($B$21=1,A100&gt;$B$19),0,$E$14*$G$14^MIN((A100-$F$14)/12,6)*MIN($G$14,0.85)^MAX(0,(A100-$F$14)/12-6)))</f>
        <v/>
      </c>
      <c r="O100" s="306">
        <f>SUM(F100:N100)</f>
        <v/>
      </c>
      <c r="P100" s="306">
        <f>O100/12</f>
        <v/>
      </c>
      <c r="Q100" s="306">
        <f>P100*$B$8</f>
        <v/>
      </c>
      <c r="R100" s="306">
        <f>P100*$B$9</f>
        <v/>
      </c>
      <c r="S100" s="306">
        <f>P100*$B$10</f>
        <v/>
      </c>
      <c r="T100" s="306">
        <f>P100-Q100-R100-S100-D100-E100</f>
        <v/>
      </c>
      <c r="U100" s="306">
        <f>MAX(0, T100 - $B$7*P100)</f>
        <v/>
      </c>
      <c r="V100" s="306">
        <f>T100-U100</f>
        <v/>
      </c>
      <c r="W100" s="306">
        <f>IF(A100=$F$6, $B$18*$B$16*$B$17/1000000, 0) + IF(A100=$F$7, $B$18*$B$16*$B$17/1000000, 0) + IF(A100=$F$8, $B$18*$B$16*$B$17/1000000, 0) + IF(A100=$F$9, $B$18*$B$16*$B$17/1000000, 0) + IF(A100=$F$10, $B$18*$B$16*$B$17/1000000, 0) + IF(A100=$F$11, $B$18*$B$16*$B$17/1000000, 0) + IF(A100=$F$12, $B$18*$B$16*$B$17/1000000, 0) + IF(A100=$F$13, $B$18*$B$16*$B$17/1000000, 0) + IF(A100=$F$14, $B$18*$B$16*$B$17/1000000, 0)</f>
        <v/>
      </c>
      <c r="X100" s="306">
        <f>V100-W100-C100</f>
        <v/>
      </c>
      <c r="Y100" s="306">
        <f>IF(AND(A100&lt;=$B$24, X100&gt;0), X100*$B$23, 0)</f>
        <v/>
      </c>
      <c r="Z100" s="306">
        <f>X100-Y100</f>
        <v/>
      </c>
      <c r="AA100" s="306">
        <f>IF(AND(A100=$B$19, $B$21=1), O100*$B$20, 0)</f>
        <v/>
      </c>
      <c r="AB100" s="306">
        <f>AB99+Z100+AA100</f>
        <v/>
      </c>
    </row>
    <row r="101">
      <c r="A101" s="306" t="n">
        <v>71</v>
      </c>
      <c r="B101" s="306">
        <f>CEILING(A101/12,1)</f>
        <v/>
      </c>
      <c r="C101" s="306">
        <f>IF(A101&lt;=12, $B$15/12, 0)</f>
        <v/>
      </c>
      <c r="D101" s="306">
        <f>INDEX('26. Team Comp'!$D$28:$R$28, B101) * 0.001 / 12</f>
        <v/>
      </c>
      <c r="E101" s="306">
        <f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+ (IF(MAX(0, A101 - $F$11 + 1)&lt;=0, 0, IF(MAX(0, A101 - $F$11 + 1)&lt;=6, 70 - (70-14)*(MAX(0, A101 - $F$11 + 1)-1)/5, IF(MAX(0, A101 - $F$11 + 1)&lt;=24, 14 - 14*(MAX(0, A101 - $F$11 + 1)-6)/18, 0)))) + (IF(MAX(0, A101 - $F$12 + 1)&lt;=0, 0, IF(MAX(0, A101 - $F$12 + 1)&lt;=6, 70 - (70-14)*(MAX(0, A101 - $F$12 + 1)-1)/5, IF(MAX(0, A101 - $F$12 + 1)&lt;=24, 14 - 14*(MAX(0, A101 - $F$12 + 1)-6)/18, 0)))) + (IF(MAX(0, A101 - $F$13 + 1)&lt;=0, 0, IF(MAX(0, A101 - $F$13 + 1)&lt;=6, 70 - (70-14)*(MAX(0, A101 - $F$13 + 1)-1)/5, IF(MAX(0, A101 - $F$13 + 1)&lt;=24, 14 - 14*(MAX(0, A101 - $F$13 + 1)-6)/18, 0)))) + (IF(MAX(0, A101 - $F$14 + 1)&lt;=0, 0, IF(MAX(0, A101 - $F$14 + 1)&lt;=6, 70 - (70-14)*(MAX(0, A101 - $F$14 + 1)-1)/5, IF(MAX(0, A101 - $F$14 + 1)&lt;=24, 14 - 14*(MAX(0, A101 - $F$14 + 1)-6)/18, 0)))) ) * 200 / 12 / 1000</f>
        <v/>
      </c>
      <c r="F101" s="306">
        <f>IF(A101&lt;$F$6,0,IF(AND($B$21=1,A101&gt;$B$19),0,$E$6*$G$6^MIN((A101-$F$6)/12,6)*MIN($G$6,0.85)^MAX(0,(A101-$F$6)/12-6)))</f>
        <v/>
      </c>
      <c r="G101" s="306">
        <f>IF(A101&lt;$F$7,0,IF(AND($B$21=1,A101&gt;$B$19),0,$E$7*$G$7^MIN((A101-$F$7)/12,6)*MIN($G$7,0.85)^MAX(0,(A101-$F$7)/12-6)))</f>
        <v/>
      </c>
      <c r="H101" s="306">
        <f>IF(A101&lt;$F$8,0,IF(AND($B$21=1,A101&gt;$B$19),0,$E$8*$G$8^MIN((A101-$F$8)/12,6)*MIN($G$8,0.85)^MAX(0,(A101-$F$8)/12-6)))</f>
        <v/>
      </c>
      <c r="I101" s="306">
        <f>IF(A101&lt;$F$9,0,IF(AND($B$21=1,A101&gt;$B$19),0,$E$9*$G$9^MIN((A101-$F$9)/12,6)*MIN($G$9,0.85)^MAX(0,(A101-$F$9)/12-6)))</f>
        <v/>
      </c>
      <c r="J101" s="306">
        <f>IF(A101&lt;$F$10,0,IF(AND($B$21=1,A101&gt;$B$19),0,$E$10*$G$10^MIN((A101-$F$10)/12,6)*MIN($G$10,0.85)^MAX(0,(A101-$F$10)/12-6)))</f>
        <v/>
      </c>
      <c r="K101" s="306">
        <f>IF(A101&lt;$F$11,0,IF(AND($B$21=1,A101&gt;$B$19),0,$E$11*$G$11^MIN((A101-$F$11)/12,6)*MIN($G$11,0.85)^MAX(0,(A101-$F$11)/12-6)))</f>
        <v/>
      </c>
      <c r="L101" s="306">
        <f>IF(A101&lt;$F$12,0,IF(AND($B$21=1,A101&gt;$B$19),0,$E$12*$G$12^MIN((A101-$F$12)/12,6)*MIN($G$12,0.85)^MAX(0,(A101-$F$12)/12-6)))</f>
        <v/>
      </c>
      <c r="M101" s="306">
        <f>IF(A101&lt;$F$13,0,IF(AND($B$21=1,A101&gt;$B$19),0,$E$13*$G$13^MIN((A101-$F$13)/12,6)*MIN($G$13,0.85)^MAX(0,(A101-$F$13)/12-6)))</f>
        <v/>
      </c>
      <c r="N101" s="306">
        <f>IF(A101&lt;$F$14,0,IF(AND($B$21=1,A101&gt;$B$19),0,$E$14*$G$14^MIN((A101-$F$14)/12,6)*MIN($G$14,0.85)^MAX(0,(A101-$F$14)/12-6)))</f>
        <v/>
      </c>
      <c r="O101" s="306">
        <f>SUM(F101:N101)</f>
        <v/>
      </c>
      <c r="P101" s="306">
        <f>O101/12</f>
        <v/>
      </c>
      <c r="Q101" s="306">
        <f>P101*$B$8</f>
        <v/>
      </c>
      <c r="R101" s="306">
        <f>P101*$B$9</f>
        <v/>
      </c>
      <c r="S101" s="306">
        <f>P101*$B$10</f>
        <v/>
      </c>
      <c r="T101" s="306">
        <f>P101-Q101-R101-S101-D101-E101</f>
        <v/>
      </c>
      <c r="U101" s="306">
        <f>MAX(0, T101 - $B$7*P101)</f>
        <v/>
      </c>
      <c r="V101" s="306">
        <f>T101-U101</f>
        <v/>
      </c>
      <c r="W101" s="306">
        <f>IF(A101=$F$6, $B$18*$B$16*$B$17/1000000, 0) + IF(A101=$F$7, $B$18*$B$16*$B$17/1000000, 0) + IF(A101=$F$8, $B$18*$B$16*$B$17/1000000, 0) + IF(A101=$F$9, $B$18*$B$16*$B$17/1000000, 0) + IF(A101=$F$10, $B$18*$B$16*$B$17/1000000, 0) + IF(A101=$F$11, $B$18*$B$16*$B$17/1000000, 0) + IF(A101=$F$12, $B$18*$B$16*$B$17/1000000, 0) + IF(A101=$F$13, $B$18*$B$16*$B$17/1000000, 0) + IF(A101=$F$14, $B$18*$B$16*$B$17/1000000, 0)</f>
        <v/>
      </c>
      <c r="X101" s="306">
        <f>V101-W101-C101</f>
        <v/>
      </c>
      <c r="Y101" s="306">
        <f>IF(AND(A101&lt;=$B$24, X101&gt;0), X101*$B$23, 0)</f>
        <v/>
      </c>
      <c r="Z101" s="306">
        <f>X101-Y101</f>
        <v/>
      </c>
      <c r="AA101" s="306">
        <f>IF(AND(A101=$B$19, $B$21=1), O101*$B$20, 0)</f>
        <v/>
      </c>
      <c r="AB101" s="306">
        <f>AB100+Z101+AA101</f>
        <v/>
      </c>
    </row>
    <row r="102">
      <c r="A102" s="306" t="n">
        <v>72</v>
      </c>
      <c r="B102" s="306">
        <f>CEILING(A102/12,1)</f>
        <v/>
      </c>
      <c r="C102" s="306">
        <f>IF(A102&lt;=12, $B$15/12, 0)</f>
        <v/>
      </c>
      <c r="D102" s="306">
        <f>INDEX('26. Team Comp'!$D$28:$R$28, B102) * 0.001 / 12</f>
        <v/>
      </c>
      <c r="E102" s="306">
        <f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+ (IF(MAX(0, A102 - $F$11 + 1)&lt;=0, 0, IF(MAX(0, A102 - $F$11 + 1)&lt;=6, 70 - (70-14)*(MAX(0, A102 - $F$11 + 1)-1)/5, IF(MAX(0, A102 - $F$11 + 1)&lt;=24, 14 - 14*(MAX(0, A102 - $F$11 + 1)-6)/18, 0)))) + (IF(MAX(0, A102 - $F$12 + 1)&lt;=0, 0, IF(MAX(0, A102 - $F$12 + 1)&lt;=6, 70 - (70-14)*(MAX(0, A102 - $F$12 + 1)-1)/5, IF(MAX(0, A102 - $F$12 + 1)&lt;=24, 14 - 14*(MAX(0, A102 - $F$12 + 1)-6)/18, 0)))) + (IF(MAX(0, A102 - $F$13 + 1)&lt;=0, 0, IF(MAX(0, A102 - $F$13 + 1)&lt;=6, 70 - (70-14)*(MAX(0, A102 - $F$13 + 1)-1)/5, IF(MAX(0, A102 - $F$13 + 1)&lt;=24, 14 - 14*(MAX(0, A102 - $F$13 + 1)-6)/18, 0)))) + (IF(MAX(0, A102 - $F$14 + 1)&lt;=0, 0, IF(MAX(0, A102 - $F$14 + 1)&lt;=6, 70 - (70-14)*(MAX(0, A102 - $F$14 + 1)-1)/5, IF(MAX(0, A102 - $F$14 + 1)&lt;=24, 14 - 14*(MAX(0, A102 - $F$14 + 1)-6)/18, 0)))) ) * 200 / 12 / 1000</f>
        <v/>
      </c>
      <c r="F102" s="306">
        <f>IF(A102&lt;$F$6,0,IF(AND($B$21=1,A102&gt;$B$19),0,$E$6*$G$6^MIN((A102-$F$6)/12,6)*MIN($G$6,0.85)^MAX(0,(A102-$F$6)/12-6)))</f>
        <v/>
      </c>
      <c r="G102" s="306">
        <f>IF(A102&lt;$F$7,0,IF(AND($B$21=1,A102&gt;$B$19),0,$E$7*$G$7^MIN((A102-$F$7)/12,6)*MIN($G$7,0.85)^MAX(0,(A102-$F$7)/12-6)))</f>
        <v/>
      </c>
      <c r="H102" s="306">
        <f>IF(A102&lt;$F$8,0,IF(AND($B$21=1,A102&gt;$B$19),0,$E$8*$G$8^MIN((A102-$F$8)/12,6)*MIN($G$8,0.85)^MAX(0,(A102-$F$8)/12-6)))</f>
        <v/>
      </c>
      <c r="I102" s="306">
        <f>IF(A102&lt;$F$9,0,IF(AND($B$21=1,A102&gt;$B$19),0,$E$9*$G$9^MIN((A102-$F$9)/12,6)*MIN($G$9,0.85)^MAX(0,(A102-$F$9)/12-6)))</f>
        <v/>
      </c>
      <c r="J102" s="306">
        <f>IF(A102&lt;$F$10,0,IF(AND($B$21=1,A102&gt;$B$19),0,$E$10*$G$10^MIN((A102-$F$10)/12,6)*MIN($G$10,0.85)^MAX(0,(A102-$F$10)/12-6)))</f>
        <v/>
      </c>
      <c r="K102" s="306">
        <f>IF(A102&lt;$F$11,0,IF(AND($B$21=1,A102&gt;$B$19),0,$E$11*$G$11^MIN((A102-$F$11)/12,6)*MIN($G$11,0.85)^MAX(0,(A102-$F$11)/12-6)))</f>
        <v/>
      </c>
      <c r="L102" s="306">
        <f>IF(A102&lt;$F$12,0,IF(AND($B$21=1,A102&gt;$B$19),0,$E$12*$G$12^MIN((A102-$F$12)/12,6)*MIN($G$12,0.85)^MAX(0,(A102-$F$12)/12-6)))</f>
        <v/>
      </c>
      <c r="M102" s="306">
        <f>IF(A102&lt;$F$13,0,IF(AND($B$21=1,A102&gt;$B$19),0,$E$13*$G$13^MIN((A102-$F$13)/12,6)*MIN($G$13,0.85)^MAX(0,(A102-$F$13)/12-6)))</f>
        <v/>
      </c>
      <c r="N102" s="306">
        <f>IF(A102&lt;$F$14,0,IF(AND($B$21=1,A102&gt;$B$19),0,$E$14*$G$14^MIN((A102-$F$14)/12,6)*MIN($G$14,0.85)^MAX(0,(A102-$F$14)/12-6)))</f>
        <v/>
      </c>
      <c r="O102" s="306">
        <f>SUM(F102:N102)</f>
        <v/>
      </c>
      <c r="P102" s="306">
        <f>O102/12</f>
        <v/>
      </c>
      <c r="Q102" s="306">
        <f>P102*$B$8</f>
        <v/>
      </c>
      <c r="R102" s="306">
        <f>P102*$B$9</f>
        <v/>
      </c>
      <c r="S102" s="306">
        <f>P102*$B$10</f>
        <v/>
      </c>
      <c r="T102" s="306">
        <f>P102-Q102-R102-S102-D102-E102</f>
        <v/>
      </c>
      <c r="U102" s="306">
        <f>MAX(0, T102 - $B$7*P102)</f>
        <v/>
      </c>
      <c r="V102" s="306">
        <f>T102-U102</f>
        <v/>
      </c>
      <c r="W102" s="306">
        <f>IF(A102=$F$6, $B$18*$B$16*$B$17/1000000, 0) + IF(A102=$F$7, $B$18*$B$16*$B$17/1000000, 0) + IF(A102=$F$8, $B$18*$B$16*$B$17/1000000, 0) + IF(A102=$F$9, $B$18*$B$16*$B$17/1000000, 0) + IF(A102=$F$10, $B$18*$B$16*$B$17/1000000, 0) + IF(A102=$F$11, $B$18*$B$16*$B$17/1000000, 0) + IF(A102=$F$12, $B$18*$B$16*$B$17/1000000, 0) + IF(A102=$F$13, $B$18*$B$16*$B$17/1000000, 0) + IF(A102=$F$14, $B$18*$B$16*$B$17/1000000, 0)</f>
        <v/>
      </c>
      <c r="X102" s="306">
        <f>V102-W102-C102</f>
        <v/>
      </c>
      <c r="Y102" s="306">
        <f>IF(AND(A102&lt;=$B$24, X102&gt;0), X102*$B$23, 0)</f>
        <v/>
      </c>
      <c r="Z102" s="306">
        <f>X102-Y102</f>
        <v/>
      </c>
      <c r="AA102" s="306">
        <f>IF(AND(A102=$B$19, $B$21=1), O102*$B$20, 0)</f>
        <v/>
      </c>
      <c r="AB102" s="306">
        <f>AB101+Z102+AA102</f>
        <v/>
      </c>
    </row>
    <row r="103">
      <c r="A103" s="306" t="n">
        <v>73</v>
      </c>
      <c r="B103" s="306">
        <f>CEILING(A103/12,1)</f>
        <v/>
      </c>
      <c r="C103" s="306">
        <f>IF(A103&lt;=12, $B$15/12, 0)</f>
        <v/>
      </c>
      <c r="D103" s="306">
        <f>INDEX('26. Team Comp'!$D$28:$R$28, B103) * 0.001 / 12</f>
        <v/>
      </c>
      <c r="E103" s="306">
        <f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+ (IF(MAX(0, A103 - $F$11 + 1)&lt;=0, 0, IF(MAX(0, A103 - $F$11 + 1)&lt;=6, 70 - (70-14)*(MAX(0, A103 - $F$11 + 1)-1)/5, IF(MAX(0, A103 - $F$11 + 1)&lt;=24, 14 - 14*(MAX(0, A103 - $F$11 + 1)-6)/18, 0)))) + (IF(MAX(0, A103 - $F$12 + 1)&lt;=0, 0, IF(MAX(0, A103 - $F$12 + 1)&lt;=6, 70 - (70-14)*(MAX(0, A103 - $F$12 + 1)-1)/5, IF(MAX(0, A103 - $F$12 + 1)&lt;=24, 14 - 14*(MAX(0, A103 - $F$12 + 1)-6)/18, 0)))) + (IF(MAX(0, A103 - $F$13 + 1)&lt;=0, 0, IF(MAX(0, A103 - $F$13 + 1)&lt;=6, 70 - (70-14)*(MAX(0, A103 - $F$13 + 1)-1)/5, IF(MAX(0, A103 - $F$13 + 1)&lt;=24, 14 - 14*(MAX(0, A103 - $F$13 + 1)-6)/18, 0)))) + (IF(MAX(0, A103 - $F$14 + 1)&lt;=0, 0, IF(MAX(0, A103 - $F$14 + 1)&lt;=6, 70 - (70-14)*(MAX(0, A103 - $F$14 + 1)-1)/5, IF(MAX(0, A103 - $F$14 + 1)&lt;=24, 14 - 14*(MAX(0, A103 - $F$14 + 1)-6)/18, 0)))) ) * 200 / 12 / 1000</f>
        <v/>
      </c>
      <c r="F103" s="306">
        <f>IF(A103&lt;$F$6,0,IF(AND($B$21=1,A103&gt;$B$19),0,$E$6*$G$6^MIN((A103-$F$6)/12,6)*MIN($G$6,0.85)^MAX(0,(A103-$F$6)/12-6)))</f>
        <v/>
      </c>
      <c r="G103" s="306">
        <f>IF(A103&lt;$F$7,0,IF(AND($B$21=1,A103&gt;$B$19),0,$E$7*$G$7^MIN((A103-$F$7)/12,6)*MIN($G$7,0.85)^MAX(0,(A103-$F$7)/12-6)))</f>
        <v/>
      </c>
      <c r="H103" s="306">
        <f>IF(A103&lt;$F$8,0,IF(AND($B$21=1,A103&gt;$B$19),0,$E$8*$G$8^MIN((A103-$F$8)/12,6)*MIN($G$8,0.85)^MAX(0,(A103-$F$8)/12-6)))</f>
        <v/>
      </c>
      <c r="I103" s="306">
        <f>IF(A103&lt;$F$9,0,IF(AND($B$21=1,A103&gt;$B$19),0,$E$9*$G$9^MIN((A103-$F$9)/12,6)*MIN($G$9,0.85)^MAX(0,(A103-$F$9)/12-6)))</f>
        <v/>
      </c>
      <c r="J103" s="306">
        <f>IF(A103&lt;$F$10,0,IF(AND($B$21=1,A103&gt;$B$19),0,$E$10*$G$10^MIN((A103-$F$10)/12,6)*MIN($G$10,0.85)^MAX(0,(A103-$F$10)/12-6)))</f>
        <v/>
      </c>
      <c r="K103" s="306">
        <f>IF(A103&lt;$F$11,0,IF(AND($B$21=1,A103&gt;$B$19),0,$E$11*$G$11^MIN((A103-$F$11)/12,6)*MIN($G$11,0.85)^MAX(0,(A103-$F$11)/12-6)))</f>
        <v/>
      </c>
      <c r="L103" s="306">
        <f>IF(A103&lt;$F$12,0,IF(AND($B$21=1,A103&gt;$B$19),0,$E$12*$G$12^MIN((A103-$F$12)/12,6)*MIN($G$12,0.85)^MAX(0,(A103-$F$12)/12-6)))</f>
        <v/>
      </c>
      <c r="M103" s="306">
        <f>IF(A103&lt;$F$13,0,IF(AND($B$21=1,A103&gt;$B$19),0,$E$13*$G$13^MIN((A103-$F$13)/12,6)*MIN($G$13,0.85)^MAX(0,(A103-$F$13)/12-6)))</f>
        <v/>
      </c>
      <c r="N103" s="306">
        <f>IF(A103&lt;$F$14,0,IF(AND($B$21=1,A103&gt;$B$19),0,$E$14*$G$14^MIN((A103-$F$14)/12,6)*MIN($G$14,0.85)^MAX(0,(A103-$F$14)/12-6)))</f>
        <v/>
      </c>
      <c r="O103" s="306">
        <f>SUM(F103:N103)</f>
        <v/>
      </c>
      <c r="P103" s="306">
        <f>O103/12</f>
        <v/>
      </c>
      <c r="Q103" s="306">
        <f>P103*$B$8</f>
        <v/>
      </c>
      <c r="R103" s="306">
        <f>P103*$B$9</f>
        <v/>
      </c>
      <c r="S103" s="306">
        <f>P103*$B$10</f>
        <v/>
      </c>
      <c r="T103" s="306">
        <f>P103-Q103-R103-S103-D103-E103</f>
        <v/>
      </c>
      <c r="U103" s="306">
        <f>MAX(0, T103 - $B$7*P103)</f>
        <v/>
      </c>
      <c r="V103" s="306">
        <f>T103-U103</f>
        <v/>
      </c>
      <c r="W103" s="306">
        <f>IF(A103=$F$6, $B$18*$B$16*$B$17/1000000, 0) + IF(A103=$F$7, $B$18*$B$16*$B$17/1000000, 0) + IF(A103=$F$8, $B$18*$B$16*$B$17/1000000, 0) + IF(A103=$F$9, $B$18*$B$16*$B$17/1000000, 0) + IF(A103=$F$10, $B$18*$B$16*$B$17/1000000, 0) + IF(A103=$F$11, $B$18*$B$16*$B$17/1000000, 0) + IF(A103=$F$12, $B$18*$B$16*$B$17/1000000, 0) + IF(A103=$F$13, $B$18*$B$16*$B$17/1000000, 0) + IF(A103=$F$14, $B$18*$B$16*$B$17/1000000, 0)</f>
        <v/>
      </c>
      <c r="X103" s="306">
        <f>V103-W103-C103</f>
        <v/>
      </c>
      <c r="Y103" s="306">
        <f>IF(AND(A103&lt;=$B$24, X103&gt;0), X103*$B$23, 0)</f>
        <v/>
      </c>
      <c r="Z103" s="306">
        <f>X103-Y103</f>
        <v/>
      </c>
      <c r="AA103" s="306">
        <f>IF(AND(A103=$B$19, $B$21=1), O103*$B$20, 0)</f>
        <v/>
      </c>
      <c r="AB103" s="306">
        <f>AB102+Z103+AA103</f>
        <v/>
      </c>
    </row>
    <row r="104">
      <c r="A104" s="306" t="n">
        <v>74</v>
      </c>
      <c r="B104" s="306">
        <f>CEILING(A104/12,1)</f>
        <v/>
      </c>
      <c r="C104" s="306">
        <f>IF(A104&lt;=12, $B$15/12, 0)</f>
        <v/>
      </c>
      <c r="D104" s="306">
        <f>INDEX('26. Team Comp'!$D$28:$R$28, B104) * 0.001 / 12</f>
        <v/>
      </c>
      <c r="E104" s="306">
        <f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+ (IF(MAX(0, A104 - $F$11 + 1)&lt;=0, 0, IF(MAX(0, A104 - $F$11 + 1)&lt;=6, 70 - (70-14)*(MAX(0, A104 - $F$11 + 1)-1)/5, IF(MAX(0, A104 - $F$11 + 1)&lt;=24, 14 - 14*(MAX(0, A104 - $F$11 + 1)-6)/18, 0)))) + (IF(MAX(0, A104 - $F$12 + 1)&lt;=0, 0, IF(MAX(0, A104 - $F$12 + 1)&lt;=6, 70 - (70-14)*(MAX(0, A104 - $F$12 + 1)-1)/5, IF(MAX(0, A104 - $F$12 + 1)&lt;=24, 14 - 14*(MAX(0, A104 - $F$12 + 1)-6)/18, 0)))) + (IF(MAX(0, A104 - $F$13 + 1)&lt;=0, 0, IF(MAX(0, A104 - $F$13 + 1)&lt;=6, 70 - (70-14)*(MAX(0, A104 - $F$13 + 1)-1)/5, IF(MAX(0, A104 - $F$13 + 1)&lt;=24, 14 - 14*(MAX(0, A104 - $F$13 + 1)-6)/18, 0)))) + (IF(MAX(0, A104 - $F$14 + 1)&lt;=0, 0, IF(MAX(0, A104 - $F$14 + 1)&lt;=6, 70 - (70-14)*(MAX(0, A104 - $F$14 + 1)-1)/5, IF(MAX(0, A104 - $F$14 + 1)&lt;=24, 14 - 14*(MAX(0, A104 - $F$14 + 1)-6)/18, 0)))) ) * 200 / 12 / 1000</f>
        <v/>
      </c>
      <c r="F104" s="306">
        <f>IF(A104&lt;$F$6,0,IF(AND($B$21=1,A104&gt;$B$19),0,$E$6*$G$6^MIN((A104-$F$6)/12,6)*MIN($G$6,0.85)^MAX(0,(A104-$F$6)/12-6)))</f>
        <v/>
      </c>
      <c r="G104" s="306">
        <f>IF(A104&lt;$F$7,0,IF(AND($B$21=1,A104&gt;$B$19),0,$E$7*$G$7^MIN((A104-$F$7)/12,6)*MIN($G$7,0.85)^MAX(0,(A104-$F$7)/12-6)))</f>
        <v/>
      </c>
      <c r="H104" s="306">
        <f>IF(A104&lt;$F$8,0,IF(AND($B$21=1,A104&gt;$B$19),0,$E$8*$G$8^MIN((A104-$F$8)/12,6)*MIN($G$8,0.85)^MAX(0,(A104-$F$8)/12-6)))</f>
        <v/>
      </c>
      <c r="I104" s="306">
        <f>IF(A104&lt;$F$9,0,IF(AND($B$21=1,A104&gt;$B$19),0,$E$9*$G$9^MIN((A104-$F$9)/12,6)*MIN($G$9,0.85)^MAX(0,(A104-$F$9)/12-6)))</f>
        <v/>
      </c>
      <c r="J104" s="306">
        <f>IF(A104&lt;$F$10,0,IF(AND($B$21=1,A104&gt;$B$19),0,$E$10*$G$10^MIN((A104-$F$10)/12,6)*MIN($G$10,0.85)^MAX(0,(A104-$F$10)/12-6)))</f>
        <v/>
      </c>
      <c r="K104" s="306">
        <f>IF(A104&lt;$F$11,0,IF(AND($B$21=1,A104&gt;$B$19),0,$E$11*$G$11^MIN((A104-$F$11)/12,6)*MIN($G$11,0.85)^MAX(0,(A104-$F$11)/12-6)))</f>
        <v/>
      </c>
      <c r="L104" s="306">
        <f>IF(A104&lt;$F$12,0,IF(AND($B$21=1,A104&gt;$B$19),0,$E$12*$G$12^MIN((A104-$F$12)/12,6)*MIN($G$12,0.85)^MAX(0,(A104-$F$12)/12-6)))</f>
        <v/>
      </c>
      <c r="M104" s="306">
        <f>IF(A104&lt;$F$13,0,IF(AND($B$21=1,A104&gt;$B$19),0,$E$13*$G$13^MIN((A104-$F$13)/12,6)*MIN($G$13,0.85)^MAX(0,(A104-$F$13)/12-6)))</f>
        <v/>
      </c>
      <c r="N104" s="306">
        <f>IF(A104&lt;$F$14,0,IF(AND($B$21=1,A104&gt;$B$19),0,$E$14*$G$14^MIN((A104-$F$14)/12,6)*MIN($G$14,0.85)^MAX(0,(A104-$F$14)/12-6)))</f>
        <v/>
      </c>
      <c r="O104" s="306">
        <f>SUM(F104:N104)</f>
        <v/>
      </c>
      <c r="P104" s="306">
        <f>O104/12</f>
        <v/>
      </c>
      <c r="Q104" s="306">
        <f>P104*$B$8</f>
        <v/>
      </c>
      <c r="R104" s="306">
        <f>P104*$B$9</f>
        <v/>
      </c>
      <c r="S104" s="306">
        <f>P104*$B$10</f>
        <v/>
      </c>
      <c r="T104" s="306">
        <f>P104-Q104-R104-S104-D104-E104</f>
        <v/>
      </c>
      <c r="U104" s="306">
        <f>MAX(0, T104 - $B$7*P104)</f>
        <v/>
      </c>
      <c r="V104" s="306">
        <f>T104-U104</f>
        <v/>
      </c>
      <c r="W104" s="306">
        <f>IF(A104=$F$6, $B$18*$B$16*$B$17/1000000, 0) + IF(A104=$F$7, $B$18*$B$16*$B$17/1000000, 0) + IF(A104=$F$8, $B$18*$B$16*$B$17/1000000, 0) + IF(A104=$F$9, $B$18*$B$16*$B$17/1000000, 0) + IF(A104=$F$10, $B$18*$B$16*$B$17/1000000, 0) + IF(A104=$F$11, $B$18*$B$16*$B$17/1000000, 0) + IF(A104=$F$12, $B$18*$B$16*$B$17/1000000, 0) + IF(A104=$F$13, $B$18*$B$16*$B$17/1000000, 0) + IF(A104=$F$14, $B$18*$B$16*$B$17/1000000, 0)</f>
        <v/>
      </c>
      <c r="X104" s="306">
        <f>V104-W104-C104</f>
        <v/>
      </c>
      <c r="Y104" s="306">
        <f>IF(AND(A104&lt;=$B$24, X104&gt;0), X104*$B$23, 0)</f>
        <v/>
      </c>
      <c r="Z104" s="306">
        <f>X104-Y104</f>
        <v/>
      </c>
      <c r="AA104" s="306">
        <f>IF(AND(A104=$B$19, $B$21=1), O104*$B$20, 0)</f>
        <v/>
      </c>
      <c r="AB104" s="306">
        <f>AB103+Z104+AA104</f>
        <v/>
      </c>
    </row>
    <row r="105">
      <c r="A105" s="306" t="n">
        <v>75</v>
      </c>
      <c r="B105" s="306">
        <f>CEILING(A105/12,1)</f>
        <v/>
      </c>
      <c r="C105" s="306">
        <f>IF(A105&lt;=12, $B$15/12, 0)</f>
        <v/>
      </c>
      <c r="D105" s="306">
        <f>INDEX('26. Team Comp'!$D$28:$R$28, B105) * 0.001 / 12</f>
        <v/>
      </c>
      <c r="E105" s="306">
        <f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+ (IF(MAX(0, A105 - $F$11 + 1)&lt;=0, 0, IF(MAX(0, A105 - $F$11 + 1)&lt;=6, 70 - (70-14)*(MAX(0, A105 - $F$11 + 1)-1)/5, IF(MAX(0, A105 - $F$11 + 1)&lt;=24, 14 - 14*(MAX(0, A105 - $F$11 + 1)-6)/18, 0)))) + (IF(MAX(0, A105 - $F$12 + 1)&lt;=0, 0, IF(MAX(0, A105 - $F$12 + 1)&lt;=6, 70 - (70-14)*(MAX(0, A105 - $F$12 + 1)-1)/5, IF(MAX(0, A105 - $F$12 + 1)&lt;=24, 14 - 14*(MAX(0, A105 - $F$12 + 1)-6)/18, 0)))) + (IF(MAX(0, A105 - $F$13 + 1)&lt;=0, 0, IF(MAX(0, A105 - $F$13 + 1)&lt;=6, 70 - (70-14)*(MAX(0, A105 - $F$13 + 1)-1)/5, IF(MAX(0, A105 - $F$13 + 1)&lt;=24, 14 - 14*(MAX(0, A105 - $F$13 + 1)-6)/18, 0)))) + (IF(MAX(0, A105 - $F$14 + 1)&lt;=0, 0, IF(MAX(0, A105 - $F$14 + 1)&lt;=6, 70 - (70-14)*(MAX(0, A105 - $F$14 + 1)-1)/5, IF(MAX(0, A105 - $F$14 + 1)&lt;=24, 14 - 14*(MAX(0, A105 - $F$14 + 1)-6)/18, 0)))) ) * 200 / 12 / 1000</f>
        <v/>
      </c>
      <c r="F105" s="306">
        <f>IF(A105&lt;$F$6,0,IF(AND($B$21=1,A105&gt;$B$19),0,$E$6*$G$6^MIN((A105-$F$6)/12,6)*MIN($G$6,0.85)^MAX(0,(A105-$F$6)/12-6)))</f>
        <v/>
      </c>
      <c r="G105" s="306">
        <f>IF(A105&lt;$F$7,0,IF(AND($B$21=1,A105&gt;$B$19),0,$E$7*$G$7^MIN((A105-$F$7)/12,6)*MIN($G$7,0.85)^MAX(0,(A105-$F$7)/12-6)))</f>
        <v/>
      </c>
      <c r="H105" s="306">
        <f>IF(A105&lt;$F$8,0,IF(AND($B$21=1,A105&gt;$B$19),0,$E$8*$G$8^MIN((A105-$F$8)/12,6)*MIN($G$8,0.85)^MAX(0,(A105-$F$8)/12-6)))</f>
        <v/>
      </c>
      <c r="I105" s="306">
        <f>IF(A105&lt;$F$9,0,IF(AND($B$21=1,A105&gt;$B$19),0,$E$9*$G$9^MIN((A105-$F$9)/12,6)*MIN($G$9,0.85)^MAX(0,(A105-$F$9)/12-6)))</f>
        <v/>
      </c>
      <c r="J105" s="306">
        <f>IF(A105&lt;$F$10,0,IF(AND($B$21=1,A105&gt;$B$19),0,$E$10*$G$10^MIN((A105-$F$10)/12,6)*MIN($G$10,0.85)^MAX(0,(A105-$F$10)/12-6)))</f>
        <v/>
      </c>
      <c r="K105" s="306">
        <f>IF(A105&lt;$F$11,0,IF(AND($B$21=1,A105&gt;$B$19),0,$E$11*$G$11^MIN((A105-$F$11)/12,6)*MIN($G$11,0.85)^MAX(0,(A105-$F$11)/12-6)))</f>
        <v/>
      </c>
      <c r="L105" s="306">
        <f>IF(A105&lt;$F$12,0,IF(AND($B$21=1,A105&gt;$B$19),0,$E$12*$G$12^MIN((A105-$F$12)/12,6)*MIN($G$12,0.85)^MAX(0,(A105-$F$12)/12-6)))</f>
        <v/>
      </c>
      <c r="M105" s="306">
        <f>IF(A105&lt;$F$13,0,IF(AND($B$21=1,A105&gt;$B$19),0,$E$13*$G$13^MIN((A105-$F$13)/12,6)*MIN($G$13,0.85)^MAX(0,(A105-$F$13)/12-6)))</f>
        <v/>
      </c>
      <c r="N105" s="306">
        <f>IF(A105&lt;$F$14,0,IF(AND($B$21=1,A105&gt;$B$19),0,$E$14*$G$14^MIN((A105-$F$14)/12,6)*MIN($G$14,0.85)^MAX(0,(A105-$F$14)/12-6)))</f>
        <v/>
      </c>
      <c r="O105" s="306">
        <f>SUM(F105:N105)</f>
        <v/>
      </c>
      <c r="P105" s="306">
        <f>O105/12</f>
        <v/>
      </c>
      <c r="Q105" s="306">
        <f>P105*$B$8</f>
        <v/>
      </c>
      <c r="R105" s="306">
        <f>P105*$B$9</f>
        <v/>
      </c>
      <c r="S105" s="306">
        <f>P105*$B$10</f>
        <v/>
      </c>
      <c r="T105" s="306">
        <f>P105-Q105-R105-S105-D105-E105</f>
        <v/>
      </c>
      <c r="U105" s="306">
        <f>MAX(0, T105 - $B$7*P105)</f>
        <v/>
      </c>
      <c r="V105" s="306">
        <f>T105-U105</f>
        <v/>
      </c>
      <c r="W105" s="306">
        <f>IF(A105=$F$6, $B$18*$B$16*$B$17/1000000, 0) + IF(A105=$F$7, $B$18*$B$16*$B$17/1000000, 0) + IF(A105=$F$8, $B$18*$B$16*$B$17/1000000, 0) + IF(A105=$F$9, $B$18*$B$16*$B$17/1000000, 0) + IF(A105=$F$10, $B$18*$B$16*$B$17/1000000, 0) + IF(A105=$F$11, $B$18*$B$16*$B$17/1000000, 0) + IF(A105=$F$12, $B$18*$B$16*$B$17/1000000, 0) + IF(A105=$F$13, $B$18*$B$16*$B$17/1000000, 0) + IF(A105=$F$14, $B$18*$B$16*$B$17/1000000, 0)</f>
        <v/>
      </c>
      <c r="X105" s="306">
        <f>V105-W105-C105</f>
        <v/>
      </c>
      <c r="Y105" s="306">
        <f>IF(AND(A105&lt;=$B$24, X105&gt;0), X105*$B$23, 0)</f>
        <v/>
      </c>
      <c r="Z105" s="306">
        <f>X105-Y105</f>
        <v/>
      </c>
      <c r="AA105" s="306">
        <f>IF(AND(A105=$B$19, $B$21=1), O105*$B$20, 0)</f>
        <v/>
      </c>
      <c r="AB105" s="306">
        <f>AB104+Z105+AA105</f>
        <v/>
      </c>
    </row>
    <row r="106">
      <c r="A106" s="306" t="n">
        <v>76</v>
      </c>
      <c r="B106" s="306">
        <f>CEILING(A106/12,1)</f>
        <v/>
      </c>
      <c r="C106" s="306">
        <f>IF(A106&lt;=12, $B$15/12, 0)</f>
        <v/>
      </c>
      <c r="D106" s="306">
        <f>INDEX('26. Team Comp'!$D$28:$R$28, B106) * 0.001 / 12</f>
        <v/>
      </c>
      <c r="E106" s="306">
        <f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+ (IF(MAX(0, A106 - $F$11 + 1)&lt;=0, 0, IF(MAX(0, A106 - $F$11 + 1)&lt;=6, 70 - (70-14)*(MAX(0, A106 - $F$11 + 1)-1)/5, IF(MAX(0, A106 - $F$11 + 1)&lt;=24, 14 - 14*(MAX(0, A106 - $F$11 + 1)-6)/18, 0)))) + (IF(MAX(0, A106 - $F$12 + 1)&lt;=0, 0, IF(MAX(0, A106 - $F$12 + 1)&lt;=6, 70 - (70-14)*(MAX(0, A106 - $F$12 + 1)-1)/5, IF(MAX(0, A106 - $F$12 + 1)&lt;=24, 14 - 14*(MAX(0, A106 - $F$12 + 1)-6)/18, 0)))) + (IF(MAX(0, A106 - $F$13 + 1)&lt;=0, 0, IF(MAX(0, A106 - $F$13 + 1)&lt;=6, 70 - (70-14)*(MAX(0, A106 - $F$13 + 1)-1)/5, IF(MAX(0, A106 - $F$13 + 1)&lt;=24, 14 - 14*(MAX(0, A106 - $F$13 + 1)-6)/18, 0)))) + (IF(MAX(0, A106 - $F$14 + 1)&lt;=0, 0, IF(MAX(0, A106 - $F$14 + 1)&lt;=6, 70 - (70-14)*(MAX(0, A106 - $F$14 + 1)-1)/5, IF(MAX(0, A106 - $F$14 + 1)&lt;=24, 14 - 14*(MAX(0, A106 - $F$14 + 1)-6)/18, 0)))) ) * 200 / 12 / 1000</f>
        <v/>
      </c>
      <c r="F106" s="306">
        <f>IF(A106&lt;$F$6,0,IF(AND($B$21=1,A106&gt;$B$19),0,$E$6*$G$6^MIN((A106-$F$6)/12,6)*MIN($G$6,0.85)^MAX(0,(A106-$F$6)/12-6)))</f>
        <v/>
      </c>
      <c r="G106" s="306">
        <f>IF(A106&lt;$F$7,0,IF(AND($B$21=1,A106&gt;$B$19),0,$E$7*$G$7^MIN((A106-$F$7)/12,6)*MIN($G$7,0.85)^MAX(0,(A106-$F$7)/12-6)))</f>
        <v/>
      </c>
      <c r="H106" s="306">
        <f>IF(A106&lt;$F$8,0,IF(AND($B$21=1,A106&gt;$B$19),0,$E$8*$G$8^MIN((A106-$F$8)/12,6)*MIN($G$8,0.85)^MAX(0,(A106-$F$8)/12-6)))</f>
        <v/>
      </c>
      <c r="I106" s="306">
        <f>IF(A106&lt;$F$9,0,IF(AND($B$21=1,A106&gt;$B$19),0,$E$9*$G$9^MIN((A106-$F$9)/12,6)*MIN($G$9,0.85)^MAX(0,(A106-$F$9)/12-6)))</f>
        <v/>
      </c>
      <c r="J106" s="306">
        <f>IF(A106&lt;$F$10,0,IF(AND($B$21=1,A106&gt;$B$19),0,$E$10*$G$10^MIN((A106-$F$10)/12,6)*MIN($G$10,0.85)^MAX(0,(A106-$F$10)/12-6)))</f>
        <v/>
      </c>
      <c r="K106" s="306">
        <f>IF(A106&lt;$F$11,0,IF(AND($B$21=1,A106&gt;$B$19),0,$E$11*$G$11^MIN((A106-$F$11)/12,6)*MIN($G$11,0.85)^MAX(0,(A106-$F$11)/12-6)))</f>
        <v/>
      </c>
      <c r="L106" s="306">
        <f>IF(A106&lt;$F$12,0,IF(AND($B$21=1,A106&gt;$B$19),0,$E$12*$G$12^MIN((A106-$F$12)/12,6)*MIN($G$12,0.85)^MAX(0,(A106-$F$12)/12-6)))</f>
        <v/>
      </c>
      <c r="M106" s="306">
        <f>IF(A106&lt;$F$13,0,IF(AND($B$21=1,A106&gt;$B$19),0,$E$13*$G$13^MIN((A106-$F$13)/12,6)*MIN($G$13,0.85)^MAX(0,(A106-$F$13)/12-6)))</f>
        <v/>
      </c>
      <c r="N106" s="306">
        <f>IF(A106&lt;$F$14,0,IF(AND($B$21=1,A106&gt;$B$19),0,$E$14*$G$14^MIN((A106-$F$14)/12,6)*MIN($G$14,0.85)^MAX(0,(A106-$F$14)/12-6)))</f>
        <v/>
      </c>
      <c r="O106" s="306">
        <f>SUM(F106:N106)</f>
        <v/>
      </c>
      <c r="P106" s="306">
        <f>O106/12</f>
        <v/>
      </c>
      <c r="Q106" s="306">
        <f>P106*$B$8</f>
        <v/>
      </c>
      <c r="R106" s="306">
        <f>P106*$B$9</f>
        <v/>
      </c>
      <c r="S106" s="306">
        <f>P106*$B$10</f>
        <v/>
      </c>
      <c r="T106" s="306">
        <f>P106-Q106-R106-S106-D106-E106</f>
        <v/>
      </c>
      <c r="U106" s="306">
        <f>MAX(0, T106 - $B$7*P106)</f>
        <v/>
      </c>
      <c r="V106" s="306">
        <f>T106-U106</f>
        <v/>
      </c>
      <c r="W106" s="306">
        <f>IF(A106=$F$6, $B$18*$B$16*$B$17/1000000, 0) + IF(A106=$F$7, $B$18*$B$16*$B$17/1000000, 0) + IF(A106=$F$8, $B$18*$B$16*$B$17/1000000, 0) + IF(A106=$F$9, $B$18*$B$16*$B$17/1000000, 0) + IF(A106=$F$10, $B$18*$B$16*$B$17/1000000, 0) + IF(A106=$F$11, $B$18*$B$16*$B$17/1000000, 0) + IF(A106=$F$12, $B$18*$B$16*$B$17/1000000, 0) + IF(A106=$F$13, $B$18*$B$16*$B$17/1000000, 0) + IF(A106=$F$14, $B$18*$B$16*$B$17/1000000, 0)</f>
        <v/>
      </c>
      <c r="X106" s="306">
        <f>V106-W106-C106</f>
        <v/>
      </c>
      <c r="Y106" s="306">
        <f>IF(AND(A106&lt;=$B$24, X106&gt;0), X106*$B$23, 0)</f>
        <v/>
      </c>
      <c r="Z106" s="306">
        <f>X106-Y106</f>
        <v/>
      </c>
      <c r="AA106" s="306">
        <f>IF(AND(A106=$B$19, $B$21=1), O106*$B$20, 0)</f>
        <v/>
      </c>
      <c r="AB106" s="306">
        <f>AB105+Z106+AA106</f>
        <v/>
      </c>
    </row>
    <row r="107">
      <c r="A107" s="306" t="n">
        <v>77</v>
      </c>
      <c r="B107" s="306">
        <f>CEILING(A107/12,1)</f>
        <v/>
      </c>
      <c r="C107" s="306">
        <f>IF(A107&lt;=12, $B$15/12, 0)</f>
        <v/>
      </c>
      <c r="D107" s="306">
        <f>INDEX('26. Team Comp'!$D$28:$R$28, B107) * 0.001 / 12</f>
        <v/>
      </c>
      <c r="E107" s="306">
        <f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+ (IF(MAX(0, A107 - $F$11 + 1)&lt;=0, 0, IF(MAX(0, A107 - $F$11 + 1)&lt;=6, 70 - (70-14)*(MAX(0, A107 - $F$11 + 1)-1)/5, IF(MAX(0, A107 - $F$11 + 1)&lt;=24, 14 - 14*(MAX(0, A107 - $F$11 + 1)-6)/18, 0)))) + (IF(MAX(0, A107 - $F$12 + 1)&lt;=0, 0, IF(MAX(0, A107 - $F$12 + 1)&lt;=6, 70 - (70-14)*(MAX(0, A107 - $F$12 + 1)-1)/5, IF(MAX(0, A107 - $F$12 + 1)&lt;=24, 14 - 14*(MAX(0, A107 - $F$12 + 1)-6)/18, 0)))) + (IF(MAX(0, A107 - $F$13 + 1)&lt;=0, 0, IF(MAX(0, A107 - $F$13 + 1)&lt;=6, 70 - (70-14)*(MAX(0, A107 - $F$13 + 1)-1)/5, IF(MAX(0, A107 - $F$13 + 1)&lt;=24, 14 - 14*(MAX(0, A107 - $F$13 + 1)-6)/18, 0)))) + (IF(MAX(0, A107 - $F$14 + 1)&lt;=0, 0, IF(MAX(0, A107 - $F$14 + 1)&lt;=6, 70 - (70-14)*(MAX(0, A107 - $F$14 + 1)-1)/5, IF(MAX(0, A107 - $F$14 + 1)&lt;=24, 14 - 14*(MAX(0, A107 - $F$14 + 1)-6)/18, 0)))) ) * 200 / 12 / 1000</f>
        <v/>
      </c>
      <c r="F107" s="306">
        <f>IF(A107&lt;$F$6,0,IF(AND($B$21=1,A107&gt;$B$19),0,$E$6*$G$6^MIN((A107-$F$6)/12,6)*MIN($G$6,0.85)^MAX(0,(A107-$F$6)/12-6)))</f>
        <v/>
      </c>
      <c r="G107" s="306">
        <f>IF(A107&lt;$F$7,0,IF(AND($B$21=1,A107&gt;$B$19),0,$E$7*$G$7^MIN((A107-$F$7)/12,6)*MIN($G$7,0.85)^MAX(0,(A107-$F$7)/12-6)))</f>
        <v/>
      </c>
      <c r="H107" s="306">
        <f>IF(A107&lt;$F$8,0,IF(AND($B$21=1,A107&gt;$B$19),0,$E$8*$G$8^MIN((A107-$F$8)/12,6)*MIN($G$8,0.85)^MAX(0,(A107-$F$8)/12-6)))</f>
        <v/>
      </c>
      <c r="I107" s="306">
        <f>IF(A107&lt;$F$9,0,IF(AND($B$21=1,A107&gt;$B$19),0,$E$9*$G$9^MIN((A107-$F$9)/12,6)*MIN($G$9,0.85)^MAX(0,(A107-$F$9)/12-6)))</f>
        <v/>
      </c>
      <c r="J107" s="306">
        <f>IF(A107&lt;$F$10,0,IF(AND($B$21=1,A107&gt;$B$19),0,$E$10*$G$10^MIN((A107-$F$10)/12,6)*MIN($G$10,0.85)^MAX(0,(A107-$F$10)/12-6)))</f>
        <v/>
      </c>
      <c r="K107" s="306">
        <f>IF(A107&lt;$F$11,0,IF(AND($B$21=1,A107&gt;$B$19),0,$E$11*$G$11^MIN((A107-$F$11)/12,6)*MIN($G$11,0.85)^MAX(0,(A107-$F$11)/12-6)))</f>
        <v/>
      </c>
      <c r="L107" s="306">
        <f>IF(A107&lt;$F$12,0,IF(AND($B$21=1,A107&gt;$B$19),0,$E$12*$G$12^MIN((A107-$F$12)/12,6)*MIN($G$12,0.85)^MAX(0,(A107-$F$12)/12-6)))</f>
        <v/>
      </c>
      <c r="M107" s="306">
        <f>IF(A107&lt;$F$13,0,IF(AND($B$21=1,A107&gt;$B$19),0,$E$13*$G$13^MIN((A107-$F$13)/12,6)*MIN($G$13,0.85)^MAX(0,(A107-$F$13)/12-6)))</f>
        <v/>
      </c>
      <c r="N107" s="306">
        <f>IF(A107&lt;$F$14,0,IF(AND($B$21=1,A107&gt;$B$19),0,$E$14*$G$14^MIN((A107-$F$14)/12,6)*MIN($G$14,0.85)^MAX(0,(A107-$F$14)/12-6)))</f>
        <v/>
      </c>
      <c r="O107" s="306">
        <f>SUM(F107:N107)</f>
        <v/>
      </c>
      <c r="P107" s="306">
        <f>O107/12</f>
        <v/>
      </c>
      <c r="Q107" s="306">
        <f>P107*$B$8</f>
        <v/>
      </c>
      <c r="R107" s="306">
        <f>P107*$B$9</f>
        <v/>
      </c>
      <c r="S107" s="306">
        <f>P107*$B$10</f>
        <v/>
      </c>
      <c r="T107" s="306">
        <f>P107-Q107-R107-S107-D107-E107</f>
        <v/>
      </c>
      <c r="U107" s="306">
        <f>MAX(0, T107 - $B$7*P107)</f>
        <v/>
      </c>
      <c r="V107" s="306">
        <f>T107-U107</f>
        <v/>
      </c>
      <c r="W107" s="306">
        <f>IF(A107=$F$6, $B$18*$B$16*$B$17/1000000, 0) + IF(A107=$F$7, $B$18*$B$16*$B$17/1000000, 0) + IF(A107=$F$8, $B$18*$B$16*$B$17/1000000, 0) + IF(A107=$F$9, $B$18*$B$16*$B$17/1000000, 0) + IF(A107=$F$10, $B$18*$B$16*$B$17/1000000, 0) + IF(A107=$F$11, $B$18*$B$16*$B$17/1000000, 0) + IF(A107=$F$12, $B$18*$B$16*$B$17/1000000, 0) + IF(A107=$F$13, $B$18*$B$16*$B$17/1000000, 0) + IF(A107=$F$14, $B$18*$B$16*$B$17/1000000, 0)</f>
        <v/>
      </c>
      <c r="X107" s="306">
        <f>V107-W107-C107</f>
        <v/>
      </c>
      <c r="Y107" s="306">
        <f>IF(AND(A107&lt;=$B$24, X107&gt;0), X107*$B$23, 0)</f>
        <v/>
      </c>
      <c r="Z107" s="306">
        <f>X107-Y107</f>
        <v/>
      </c>
      <c r="AA107" s="306">
        <f>IF(AND(A107=$B$19, $B$21=1), O107*$B$20, 0)</f>
        <v/>
      </c>
      <c r="AB107" s="306">
        <f>AB106+Z107+AA107</f>
        <v/>
      </c>
    </row>
    <row r="108">
      <c r="A108" s="306" t="n">
        <v>78</v>
      </c>
      <c r="B108" s="306">
        <f>CEILING(A108/12,1)</f>
        <v/>
      </c>
      <c r="C108" s="306">
        <f>IF(A108&lt;=12, $B$15/12, 0)</f>
        <v/>
      </c>
      <c r="D108" s="306">
        <f>INDEX('26. Team Comp'!$D$28:$R$28, B108) * 0.001 / 12</f>
        <v/>
      </c>
      <c r="E108" s="306">
        <f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+ (IF(MAX(0, A108 - $F$11 + 1)&lt;=0, 0, IF(MAX(0, A108 - $F$11 + 1)&lt;=6, 70 - (70-14)*(MAX(0, A108 - $F$11 + 1)-1)/5, IF(MAX(0, A108 - $F$11 + 1)&lt;=24, 14 - 14*(MAX(0, A108 - $F$11 + 1)-6)/18, 0)))) + (IF(MAX(0, A108 - $F$12 + 1)&lt;=0, 0, IF(MAX(0, A108 - $F$12 + 1)&lt;=6, 70 - (70-14)*(MAX(0, A108 - $F$12 + 1)-1)/5, IF(MAX(0, A108 - $F$12 + 1)&lt;=24, 14 - 14*(MAX(0, A108 - $F$12 + 1)-6)/18, 0)))) + (IF(MAX(0, A108 - $F$13 + 1)&lt;=0, 0, IF(MAX(0, A108 - $F$13 + 1)&lt;=6, 70 - (70-14)*(MAX(0, A108 - $F$13 + 1)-1)/5, IF(MAX(0, A108 - $F$13 + 1)&lt;=24, 14 - 14*(MAX(0, A108 - $F$13 + 1)-6)/18, 0)))) + (IF(MAX(0, A108 - $F$14 + 1)&lt;=0, 0, IF(MAX(0, A108 - $F$14 + 1)&lt;=6, 70 - (70-14)*(MAX(0, A108 - $F$14 + 1)-1)/5, IF(MAX(0, A108 - $F$14 + 1)&lt;=24, 14 - 14*(MAX(0, A108 - $F$14 + 1)-6)/18, 0)))) ) * 200 / 12 / 1000</f>
        <v/>
      </c>
      <c r="F108" s="306">
        <f>IF(A108&lt;$F$6,0,IF(AND($B$21=1,A108&gt;$B$19),0,$E$6*$G$6^MIN((A108-$F$6)/12,6)*MIN($G$6,0.85)^MAX(0,(A108-$F$6)/12-6)))</f>
        <v/>
      </c>
      <c r="G108" s="306">
        <f>IF(A108&lt;$F$7,0,IF(AND($B$21=1,A108&gt;$B$19),0,$E$7*$G$7^MIN((A108-$F$7)/12,6)*MIN($G$7,0.85)^MAX(0,(A108-$F$7)/12-6)))</f>
        <v/>
      </c>
      <c r="H108" s="306">
        <f>IF(A108&lt;$F$8,0,IF(AND($B$21=1,A108&gt;$B$19),0,$E$8*$G$8^MIN((A108-$F$8)/12,6)*MIN($G$8,0.85)^MAX(0,(A108-$F$8)/12-6)))</f>
        <v/>
      </c>
      <c r="I108" s="306">
        <f>IF(A108&lt;$F$9,0,IF(AND($B$21=1,A108&gt;$B$19),0,$E$9*$G$9^MIN((A108-$F$9)/12,6)*MIN($G$9,0.85)^MAX(0,(A108-$F$9)/12-6)))</f>
        <v/>
      </c>
      <c r="J108" s="306">
        <f>IF(A108&lt;$F$10,0,IF(AND($B$21=1,A108&gt;$B$19),0,$E$10*$G$10^MIN((A108-$F$10)/12,6)*MIN($G$10,0.85)^MAX(0,(A108-$F$10)/12-6)))</f>
        <v/>
      </c>
      <c r="K108" s="306">
        <f>IF(A108&lt;$F$11,0,IF(AND($B$21=1,A108&gt;$B$19),0,$E$11*$G$11^MIN((A108-$F$11)/12,6)*MIN($G$11,0.85)^MAX(0,(A108-$F$11)/12-6)))</f>
        <v/>
      </c>
      <c r="L108" s="306">
        <f>IF(A108&lt;$F$12,0,IF(AND($B$21=1,A108&gt;$B$19),0,$E$12*$G$12^MIN((A108-$F$12)/12,6)*MIN($G$12,0.85)^MAX(0,(A108-$F$12)/12-6)))</f>
        <v/>
      </c>
      <c r="M108" s="306">
        <f>IF(A108&lt;$F$13,0,IF(AND($B$21=1,A108&gt;$B$19),0,$E$13*$G$13^MIN((A108-$F$13)/12,6)*MIN($G$13,0.85)^MAX(0,(A108-$F$13)/12-6)))</f>
        <v/>
      </c>
      <c r="N108" s="306">
        <f>IF(A108&lt;$F$14,0,IF(AND($B$21=1,A108&gt;$B$19),0,$E$14*$G$14^MIN((A108-$F$14)/12,6)*MIN($G$14,0.85)^MAX(0,(A108-$F$14)/12-6)))</f>
        <v/>
      </c>
      <c r="O108" s="306">
        <f>SUM(F108:N108)</f>
        <v/>
      </c>
      <c r="P108" s="306">
        <f>O108/12</f>
        <v/>
      </c>
      <c r="Q108" s="306">
        <f>P108*$B$8</f>
        <v/>
      </c>
      <c r="R108" s="306">
        <f>P108*$B$9</f>
        <v/>
      </c>
      <c r="S108" s="306">
        <f>P108*$B$10</f>
        <v/>
      </c>
      <c r="T108" s="306">
        <f>P108-Q108-R108-S108-D108-E108</f>
        <v/>
      </c>
      <c r="U108" s="306">
        <f>MAX(0, T108 - $B$7*P108)</f>
        <v/>
      </c>
      <c r="V108" s="306">
        <f>T108-U108</f>
        <v/>
      </c>
      <c r="W108" s="306">
        <f>IF(A108=$F$6, $B$18*$B$16*$B$17/1000000, 0) + IF(A108=$F$7, $B$18*$B$16*$B$17/1000000, 0) + IF(A108=$F$8, $B$18*$B$16*$B$17/1000000, 0) + IF(A108=$F$9, $B$18*$B$16*$B$17/1000000, 0) + IF(A108=$F$10, $B$18*$B$16*$B$17/1000000, 0) + IF(A108=$F$11, $B$18*$B$16*$B$17/1000000, 0) + IF(A108=$F$12, $B$18*$B$16*$B$17/1000000, 0) + IF(A108=$F$13, $B$18*$B$16*$B$17/1000000, 0) + IF(A108=$F$14, $B$18*$B$16*$B$17/1000000, 0)</f>
        <v/>
      </c>
      <c r="X108" s="306">
        <f>V108-W108-C108</f>
        <v/>
      </c>
      <c r="Y108" s="306">
        <f>IF(AND(A108&lt;=$B$24, X108&gt;0), X108*$B$23, 0)</f>
        <v/>
      </c>
      <c r="Z108" s="306">
        <f>X108-Y108</f>
        <v/>
      </c>
      <c r="AA108" s="306">
        <f>IF(AND(A108=$B$19, $B$21=1), O108*$B$20, 0)</f>
        <v/>
      </c>
      <c r="AB108" s="306">
        <f>AB107+Z108+AA108</f>
        <v/>
      </c>
    </row>
    <row r="109">
      <c r="A109" s="306" t="n">
        <v>79</v>
      </c>
      <c r="B109" s="306">
        <f>CEILING(A109/12,1)</f>
        <v/>
      </c>
      <c r="C109" s="306">
        <f>IF(A109&lt;=12, $B$15/12, 0)</f>
        <v/>
      </c>
      <c r="D109" s="306">
        <f>INDEX('26. Team Comp'!$D$28:$R$28, B109) * 0.001 / 12</f>
        <v/>
      </c>
      <c r="E109" s="306">
        <f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+ (IF(MAX(0, A109 - $F$11 + 1)&lt;=0, 0, IF(MAX(0, A109 - $F$11 + 1)&lt;=6, 70 - (70-14)*(MAX(0, A109 - $F$11 + 1)-1)/5, IF(MAX(0, A109 - $F$11 + 1)&lt;=24, 14 - 14*(MAX(0, A109 - $F$11 + 1)-6)/18, 0)))) + (IF(MAX(0, A109 - $F$12 + 1)&lt;=0, 0, IF(MAX(0, A109 - $F$12 + 1)&lt;=6, 70 - (70-14)*(MAX(0, A109 - $F$12 + 1)-1)/5, IF(MAX(0, A109 - $F$12 + 1)&lt;=24, 14 - 14*(MAX(0, A109 - $F$12 + 1)-6)/18, 0)))) + (IF(MAX(0, A109 - $F$13 + 1)&lt;=0, 0, IF(MAX(0, A109 - $F$13 + 1)&lt;=6, 70 - (70-14)*(MAX(0, A109 - $F$13 + 1)-1)/5, IF(MAX(0, A109 - $F$13 + 1)&lt;=24, 14 - 14*(MAX(0, A109 - $F$13 + 1)-6)/18, 0)))) + (IF(MAX(0, A109 - $F$14 + 1)&lt;=0, 0, IF(MAX(0, A109 - $F$14 + 1)&lt;=6, 70 - (70-14)*(MAX(0, A109 - $F$14 + 1)-1)/5, IF(MAX(0, A109 - $F$14 + 1)&lt;=24, 14 - 14*(MAX(0, A109 - $F$14 + 1)-6)/18, 0)))) ) * 200 / 12 / 1000</f>
        <v/>
      </c>
      <c r="F109" s="306">
        <f>IF(A109&lt;$F$6,0,IF(AND($B$21=1,A109&gt;$B$19),0,$E$6*$G$6^MIN((A109-$F$6)/12,6)*MIN($G$6,0.85)^MAX(0,(A109-$F$6)/12-6)))</f>
        <v/>
      </c>
      <c r="G109" s="306">
        <f>IF(A109&lt;$F$7,0,IF(AND($B$21=1,A109&gt;$B$19),0,$E$7*$G$7^MIN((A109-$F$7)/12,6)*MIN($G$7,0.85)^MAX(0,(A109-$F$7)/12-6)))</f>
        <v/>
      </c>
      <c r="H109" s="306">
        <f>IF(A109&lt;$F$8,0,IF(AND($B$21=1,A109&gt;$B$19),0,$E$8*$G$8^MIN((A109-$F$8)/12,6)*MIN($G$8,0.85)^MAX(0,(A109-$F$8)/12-6)))</f>
        <v/>
      </c>
      <c r="I109" s="306">
        <f>IF(A109&lt;$F$9,0,IF(AND($B$21=1,A109&gt;$B$19),0,$E$9*$G$9^MIN((A109-$F$9)/12,6)*MIN($G$9,0.85)^MAX(0,(A109-$F$9)/12-6)))</f>
        <v/>
      </c>
      <c r="J109" s="306">
        <f>IF(A109&lt;$F$10,0,IF(AND($B$21=1,A109&gt;$B$19),0,$E$10*$G$10^MIN((A109-$F$10)/12,6)*MIN($G$10,0.85)^MAX(0,(A109-$F$10)/12-6)))</f>
        <v/>
      </c>
      <c r="K109" s="306">
        <f>IF(A109&lt;$F$11,0,IF(AND($B$21=1,A109&gt;$B$19),0,$E$11*$G$11^MIN((A109-$F$11)/12,6)*MIN($G$11,0.85)^MAX(0,(A109-$F$11)/12-6)))</f>
        <v/>
      </c>
      <c r="L109" s="306">
        <f>IF(A109&lt;$F$12,0,IF(AND($B$21=1,A109&gt;$B$19),0,$E$12*$G$12^MIN((A109-$F$12)/12,6)*MIN($G$12,0.85)^MAX(0,(A109-$F$12)/12-6)))</f>
        <v/>
      </c>
      <c r="M109" s="306">
        <f>IF(A109&lt;$F$13,0,IF(AND($B$21=1,A109&gt;$B$19),0,$E$13*$G$13^MIN((A109-$F$13)/12,6)*MIN($G$13,0.85)^MAX(0,(A109-$F$13)/12-6)))</f>
        <v/>
      </c>
      <c r="N109" s="306">
        <f>IF(A109&lt;$F$14,0,IF(AND($B$21=1,A109&gt;$B$19),0,$E$14*$G$14^MIN((A109-$F$14)/12,6)*MIN($G$14,0.85)^MAX(0,(A109-$F$14)/12-6)))</f>
        <v/>
      </c>
      <c r="O109" s="306">
        <f>SUM(F109:N109)</f>
        <v/>
      </c>
      <c r="P109" s="306">
        <f>O109/12</f>
        <v/>
      </c>
      <c r="Q109" s="306">
        <f>P109*$B$8</f>
        <v/>
      </c>
      <c r="R109" s="306">
        <f>P109*$B$9</f>
        <v/>
      </c>
      <c r="S109" s="306">
        <f>P109*$B$10</f>
        <v/>
      </c>
      <c r="T109" s="306">
        <f>P109-Q109-R109-S109-D109-E109</f>
        <v/>
      </c>
      <c r="U109" s="306">
        <f>MAX(0, T109 - $B$7*P109)</f>
        <v/>
      </c>
      <c r="V109" s="306">
        <f>T109-U109</f>
        <v/>
      </c>
      <c r="W109" s="306">
        <f>IF(A109=$F$6, $B$18*$B$16*$B$17/1000000, 0) + IF(A109=$F$7, $B$18*$B$16*$B$17/1000000, 0) + IF(A109=$F$8, $B$18*$B$16*$B$17/1000000, 0) + IF(A109=$F$9, $B$18*$B$16*$B$17/1000000, 0) + IF(A109=$F$10, $B$18*$B$16*$B$17/1000000, 0) + IF(A109=$F$11, $B$18*$B$16*$B$17/1000000, 0) + IF(A109=$F$12, $B$18*$B$16*$B$17/1000000, 0) + IF(A109=$F$13, $B$18*$B$16*$B$17/1000000, 0) + IF(A109=$F$14, $B$18*$B$16*$B$17/1000000, 0)</f>
        <v/>
      </c>
      <c r="X109" s="306">
        <f>V109-W109-C109</f>
        <v/>
      </c>
      <c r="Y109" s="306">
        <f>IF(AND(A109&lt;=$B$24, X109&gt;0), X109*$B$23, 0)</f>
        <v/>
      </c>
      <c r="Z109" s="306">
        <f>X109-Y109</f>
        <v/>
      </c>
      <c r="AA109" s="306">
        <f>IF(AND(A109=$B$19, $B$21=1), O109*$B$20, 0)</f>
        <v/>
      </c>
      <c r="AB109" s="306">
        <f>AB108+Z109+AA109</f>
        <v/>
      </c>
    </row>
    <row r="110">
      <c r="A110" s="306" t="n">
        <v>80</v>
      </c>
      <c r="B110" s="306">
        <f>CEILING(A110/12,1)</f>
        <v/>
      </c>
      <c r="C110" s="306">
        <f>IF(A110&lt;=12, $B$15/12, 0)</f>
        <v/>
      </c>
      <c r="D110" s="306">
        <f>INDEX('26. Team Comp'!$D$28:$R$28, B110) * 0.001 / 12</f>
        <v/>
      </c>
      <c r="E110" s="306">
        <f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+ (IF(MAX(0, A110 - $F$11 + 1)&lt;=0, 0, IF(MAX(0, A110 - $F$11 + 1)&lt;=6, 70 - (70-14)*(MAX(0, A110 - $F$11 + 1)-1)/5, IF(MAX(0, A110 - $F$11 + 1)&lt;=24, 14 - 14*(MAX(0, A110 - $F$11 + 1)-6)/18, 0)))) + (IF(MAX(0, A110 - $F$12 + 1)&lt;=0, 0, IF(MAX(0, A110 - $F$12 + 1)&lt;=6, 70 - (70-14)*(MAX(0, A110 - $F$12 + 1)-1)/5, IF(MAX(0, A110 - $F$12 + 1)&lt;=24, 14 - 14*(MAX(0, A110 - $F$12 + 1)-6)/18, 0)))) + (IF(MAX(0, A110 - $F$13 + 1)&lt;=0, 0, IF(MAX(0, A110 - $F$13 + 1)&lt;=6, 70 - (70-14)*(MAX(0, A110 - $F$13 + 1)-1)/5, IF(MAX(0, A110 - $F$13 + 1)&lt;=24, 14 - 14*(MAX(0, A110 - $F$13 + 1)-6)/18, 0)))) + (IF(MAX(0, A110 - $F$14 + 1)&lt;=0, 0, IF(MAX(0, A110 - $F$14 + 1)&lt;=6, 70 - (70-14)*(MAX(0, A110 - $F$14 + 1)-1)/5, IF(MAX(0, A110 - $F$14 + 1)&lt;=24, 14 - 14*(MAX(0, A110 - $F$14 + 1)-6)/18, 0)))) ) * 200 / 12 / 1000</f>
        <v/>
      </c>
      <c r="F110" s="306">
        <f>IF(A110&lt;$F$6,0,IF(AND($B$21=1,A110&gt;$B$19),0,$E$6*$G$6^MIN((A110-$F$6)/12,6)*MIN($G$6,0.85)^MAX(0,(A110-$F$6)/12-6)))</f>
        <v/>
      </c>
      <c r="G110" s="306">
        <f>IF(A110&lt;$F$7,0,IF(AND($B$21=1,A110&gt;$B$19),0,$E$7*$G$7^MIN((A110-$F$7)/12,6)*MIN($G$7,0.85)^MAX(0,(A110-$F$7)/12-6)))</f>
        <v/>
      </c>
      <c r="H110" s="306">
        <f>IF(A110&lt;$F$8,0,IF(AND($B$21=1,A110&gt;$B$19),0,$E$8*$G$8^MIN((A110-$F$8)/12,6)*MIN($G$8,0.85)^MAX(0,(A110-$F$8)/12-6)))</f>
        <v/>
      </c>
      <c r="I110" s="306">
        <f>IF(A110&lt;$F$9,0,IF(AND($B$21=1,A110&gt;$B$19),0,$E$9*$G$9^MIN((A110-$F$9)/12,6)*MIN($G$9,0.85)^MAX(0,(A110-$F$9)/12-6)))</f>
        <v/>
      </c>
      <c r="J110" s="306">
        <f>IF(A110&lt;$F$10,0,IF(AND($B$21=1,A110&gt;$B$19),0,$E$10*$G$10^MIN((A110-$F$10)/12,6)*MIN($G$10,0.85)^MAX(0,(A110-$F$10)/12-6)))</f>
        <v/>
      </c>
      <c r="K110" s="306">
        <f>IF(A110&lt;$F$11,0,IF(AND($B$21=1,A110&gt;$B$19),0,$E$11*$G$11^MIN((A110-$F$11)/12,6)*MIN($G$11,0.85)^MAX(0,(A110-$F$11)/12-6)))</f>
        <v/>
      </c>
      <c r="L110" s="306">
        <f>IF(A110&lt;$F$12,0,IF(AND($B$21=1,A110&gt;$B$19),0,$E$12*$G$12^MIN((A110-$F$12)/12,6)*MIN($G$12,0.85)^MAX(0,(A110-$F$12)/12-6)))</f>
        <v/>
      </c>
      <c r="M110" s="306">
        <f>IF(A110&lt;$F$13,0,IF(AND($B$21=1,A110&gt;$B$19),0,$E$13*$G$13^MIN((A110-$F$13)/12,6)*MIN($G$13,0.85)^MAX(0,(A110-$F$13)/12-6)))</f>
        <v/>
      </c>
      <c r="N110" s="306">
        <f>IF(A110&lt;$F$14,0,IF(AND($B$21=1,A110&gt;$B$19),0,$E$14*$G$14^MIN((A110-$F$14)/12,6)*MIN($G$14,0.85)^MAX(0,(A110-$F$14)/12-6)))</f>
        <v/>
      </c>
      <c r="O110" s="306">
        <f>SUM(F110:N110)</f>
        <v/>
      </c>
      <c r="P110" s="306">
        <f>O110/12</f>
        <v/>
      </c>
      <c r="Q110" s="306">
        <f>P110*$B$8</f>
        <v/>
      </c>
      <c r="R110" s="306">
        <f>P110*$B$9</f>
        <v/>
      </c>
      <c r="S110" s="306">
        <f>P110*$B$10</f>
        <v/>
      </c>
      <c r="T110" s="306">
        <f>P110-Q110-R110-S110-D110-E110</f>
        <v/>
      </c>
      <c r="U110" s="306">
        <f>MAX(0, T110 - $B$7*P110)</f>
        <v/>
      </c>
      <c r="V110" s="306">
        <f>T110-U110</f>
        <v/>
      </c>
      <c r="W110" s="306">
        <f>IF(A110=$F$6, $B$18*$B$16*$B$17/1000000, 0) + IF(A110=$F$7, $B$18*$B$16*$B$17/1000000, 0) + IF(A110=$F$8, $B$18*$B$16*$B$17/1000000, 0) + IF(A110=$F$9, $B$18*$B$16*$B$17/1000000, 0) + IF(A110=$F$10, $B$18*$B$16*$B$17/1000000, 0) + IF(A110=$F$11, $B$18*$B$16*$B$17/1000000, 0) + IF(A110=$F$12, $B$18*$B$16*$B$17/1000000, 0) + IF(A110=$F$13, $B$18*$B$16*$B$17/1000000, 0) + IF(A110=$F$14, $B$18*$B$16*$B$17/1000000, 0)</f>
        <v/>
      </c>
      <c r="X110" s="306">
        <f>V110-W110-C110</f>
        <v/>
      </c>
      <c r="Y110" s="306">
        <f>IF(AND(A110&lt;=$B$24, X110&gt;0), X110*$B$23, 0)</f>
        <v/>
      </c>
      <c r="Z110" s="306">
        <f>X110-Y110</f>
        <v/>
      </c>
      <c r="AA110" s="306">
        <f>IF(AND(A110=$B$19, $B$21=1), O110*$B$20, 0)</f>
        <v/>
      </c>
      <c r="AB110" s="306">
        <f>AB109+Z110+AA110</f>
        <v/>
      </c>
    </row>
    <row r="111">
      <c r="A111" s="306" t="n">
        <v>81</v>
      </c>
      <c r="B111" s="306">
        <f>CEILING(A111/12,1)</f>
        <v/>
      </c>
      <c r="C111" s="306">
        <f>IF(A111&lt;=12, $B$15/12, 0)</f>
        <v/>
      </c>
      <c r="D111" s="306">
        <f>INDEX('26. Team Comp'!$D$28:$R$28, B111) * 0.001 / 12</f>
        <v/>
      </c>
      <c r="E111" s="306">
        <f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+ (IF(MAX(0, A111 - $F$11 + 1)&lt;=0, 0, IF(MAX(0, A111 - $F$11 + 1)&lt;=6, 70 - (70-14)*(MAX(0, A111 - $F$11 + 1)-1)/5, IF(MAX(0, A111 - $F$11 + 1)&lt;=24, 14 - 14*(MAX(0, A111 - $F$11 + 1)-6)/18, 0)))) + (IF(MAX(0, A111 - $F$12 + 1)&lt;=0, 0, IF(MAX(0, A111 - $F$12 + 1)&lt;=6, 70 - (70-14)*(MAX(0, A111 - $F$12 + 1)-1)/5, IF(MAX(0, A111 - $F$12 + 1)&lt;=24, 14 - 14*(MAX(0, A111 - $F$12 + 1)-6)/18, 0)))) + (IF(MAX(0, A111 - $F$13 + 1)&lt;=0, 0, IF(MAX(0, A111 - $F$13 + 1)&lt;=6, 70 - (70-14)*(MAX(0, A111 - $F$13 + 1)-1)/5, IF(MAX(0, A111 - $F$13 + 1)&lt;=24, 14 - 14*(MAX(0, A111 - $F$13 + 1)-6)/18, 0)))) + (IF(MAX(0, A111 - $F$14 + 1)&lt;=0, 0, IF(MAX(0, A111 - $F$14 + 1)&lt;=6, 70 - (70-14)*(MAX(0, A111 - $F$14 + 1)-1)/5, IF(MAX(0, A111 - $F$14 + 1)&lt;=24, 14 - 14*(MAX(0, A111 - $F$14 + 1)-6)/18, 0)))) ) * 200 / 12 / 1000</f>
        <v/>
      </c>
      <c r="F111" s="306">
        <f>IF(A111&lt;$F$6,0,IF(AND($B$21=1,A111&gt;$B$19),0,$E$6*$G$6^MIN((A111-$F$6)/12,6)*MIN($G$6,0.85)^MAX(0,(A111-$F$6)/12-6)))</f>
        <v/>
      </c>
      <c r="G111" s="306">
        <f>IF(A111&lt;$F$7,0,IF(AND($B$21=1,A111&gt;$B$19),0,$E$7*$G$7^MIN((A111-$F$7)/12,6)*MIN($G$7,0.85)^MAX(0,(A111-$F$7)/12-6)))</f>
        <v/>
      </c>
      <c r="H111" s="306">
        <f>IF(A111&lt;$F$8,0,IF(AND($B$21=1,A111&gt;$B$19),0,$E$8*$G$8^MIN((A111-$F$8)/12,6)*MIN($G$8,0.85)^MAX(0,(A111-$F$8)/12-6)))</f>
        <v/>
      </c>
      <c r="I111" s="306">
        <f>IF(A111&lt;$F$9,0,IF(AND($B$21=1,A111&gt;$B$19),0,$E$9*$G$9^MIN((A111-$F$9)/12,6)*MIN($G$9,0.85)^MAX(0,(A111-$F$9)/12-6)))</f>
        <v/>
      </c>
      <c r="J111" s="306">
        <f>IF(A111&lt;$F$10,0,IF(AND($B$21=1,A111&gt;$B$19),0,$E$10*$G$10^MIN((A111-$F$10)/12,6)*MIN($G$10,0.85)^MAX(0,(A111-$F$10)/12-6)))</f>
        <v/>
      </c>
      <c r="K111" s="306">
        <f>IF(A111&lt;$F$11,0,IF(AND($B$21=1,A111&gt;$B$19),0,$E$11*$G$11^MIN((A111-$F$11)/12,6)*MIN($G$11,0.85)^MAX(0,(A111-$F$11)/12-6)))</f>
        <v/>
      </c>
      <c r="L111" s="306">
        <f>IF(A111&lt;$F$12,0,IF(AND($B$21=1,A111&gt;$B$19),0,$E$12*$G$12^MIN((A111-$F$12)/12,6)*MIN($G$12,0.85)^MAX(0,(A111-$F$12)/12-6)))</f>
        <v/>
      </c>
      <c r="M111" s="306">
        <f>IF(A111&lt;$F$13,0,IF(AND($B$21=1,A111&gt;$B$19),0,$E$13*$G$13^MIN((A111-$F$13)/12,6)*MIN($G$13,0.85)^MAX(0,(A111-$F$13)/12-6)))</f>
        <v/>
      </c>
      <c r="N111" s="306">
        <f>IF(A111&lt;$F$14,0,IF(AND($B$21=1,A111&gt;$B$19),0,$E$14*$G$14^MIN((A111-$F$14)/12,6)*MIN($G$14,0.85)^MAX(0,(A111-$F$14)/12-6)))</f>
        <v/>
      </c>
      <c r="O111" s="306">
        <f>SUM(F111:N111)</f>
        <v/>
      </c>
      <c r="P111" s="306">
        <f>O111/12</f>
        <v/>
      </c>
      <c r="Q111" s="306">
        <f>P111*$B$8</f>
        <v/>
      </c>
      <c r="R111" s="306">
        <f>P111*$B$9</f>
        <v/>
      </c>
      <c r="S111" s="306">
        <f>P111*$B$10</f>
        <v/>
      </c>
      <c r="T111" s="306">
        <f>P111-Q111-R111-S111-D111-E111</f>
        <v/>
      </c>
      <c r="U111" s="306">
        <f>MAX(0, T111 - $B$7*P111)</f>
        <v/>
      </c>
      <c r="V111" s="306">
        <f>T111-U111</f>
        <v/>
      </c>
      <c r="W111" s="306">
        <f>IF(A111=$F$6, $B$18*$B$16*$B$17/1000000, 0) + IF(A111=$F$7, $B$18*$B$16*$B$17/1000000, 0) + IF(A111=$F$8, $B$18*$B$16*$B$17/1000000, 0) + IF(A111=$F$9, $B$18*$B$16*$B$17/1000000, 0) + IF(A111=$F$10, $B$18*$B$16*$B$17/1000000, 0) + IF(A111=$F$11, $B$18*$B$16*$B$17/1000000, 0) + IF(A111=$F$12, $B$18*$B$16*$B$17/1000000, 0) + IF(A111=$F$13, $B$18*$B$16*$B$17/1000000, 0) + IF(A111=$F$14, $B$18*$B$16*$B$17/1000000, 0)</f>
        <v/>
      </c>
      <c r="X111" s="306">
        <f>V111-W111-C111</f>
        <v/>
      </c>
      <c r="Y111" s="306">
        <f>IF(AND(A111&lt;=$B$24, X111&gt;0), X111*$B$23, 0)</f>
        <v/>
      </c>
      <c r="Z111" s="306">
        <f>X111-Y111</f>
        <v/>
      </c>
      <c r="AA111" s="306">
        <f>IF(AND(A111=$B$19, $B$21=1), O111*$B$20, 0)</f>
        <v/>
      </c>
      <c r="AB111" s="306">
        <f>AB110+Z111+AA111</f>
        <v/>
      </c>
    </row>
    <row r="112">
      <c r="A112" s="306" t="n">
        <v>82</v>
      </c>
      <c r="B112" s="306">
        <f>CEILING(A112/12,1)</f>
        <v/>
      </c>
      <c r="C112" s="306">
        <f>IF(A112&lt;=12, $B$15/12, 0)</f>
        <v/>
      </c>
      <c r="D112" s="306">
        <f>INDEX('26. Team Comp'!$D$28:$R$28, B112) * 0.001 / 12</f>
        <v/>
      </c>
      <c r="E112" s="306">
        <f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+ (IF(MAX(0, A112 - $F$11 + 1)&lt;=0, 0, IF(MAX(0, A112 - $F$11 + 1)&lt;=6, 70 - (70-14)*(MAX(0, A112 - $F$11 + 1)-1)/5, IF(MAX(0, A112 - $F$11 + 1)&lt;=24, 14 - 14*(MAX(0, A112 - $F$11 + 1)-6)/18, 0)))) + (IF(MAX(0, A112 - $F$12 + 1)&lt;=0, 0, IF(MAX(0, A112 - $F$12 + 1)&lt;=6, 70 - (70-14)*(MAX(0, A112 - $F$12 + 1)-1)/5, IF(MAX(0, A112 - $F$12 + 1)&lt;=24, 14 - 14*(MAX(0, A112 - $F$12 + 1)-6)/18, 0)))) + (IF(MAX(0, A112 - $F$13 + 1)&lt;=0, 0, IF(MAX(0, A112 - $F$13 + 1)&lt;=6, 70 - (70-14)*(MAX(0, A112 - $F$13 + 1)-1)/5, IF(MAX(0, A112 - $F$13 + 1)&lt;=24, 14 - 14*(MAX(0, A112 - $F$13 + 1)-6)/18, 0)))) + (IF(MAX(0, A112 - $F$14 + 1)&lt;=0, 0, IF(MAX(0, A112 - $F$14 + 1)&lt;=6, 70 - (70-14)*(MAX(0, A112 - $F$14 + 1)-1)/5, IF(MAX(0, A112 - $F$14 + 1)&lt;=24, 14 - 14*(MAX(0, A112 - $F$14 + 1)-6)/18, 0)))) ) * 200 / 12 / 1000</f>
        <v/>
      </c>
      <c r="F112" s="306">
        <f>IF(A112&lt;$F$6,0,IF(AND($B$21=1,A112&gt;$B$19),0,$E$6*$G$6^MIN((A112-$F$6)/12,6)*MIN($G$6,0.85)^MAX(0,(A112-$F$6)/12-6)))</f>
        <v/>
      </c>
      <c r="G112" s="306">
        <f>IF(A112&lt;$F$7,0,IF(AND($B$21=1,A112&gt;$B$19),0,$E$7*$G$7^MIN((A112-$F$7)/12,6)*MIN($G$7,0.85)^MAX(0,(A112-$F$7)/12-6)))</f>
        <v/>
      </c>
      <c r="H112" s="306">
        <f>IF(A112&lt;$F$8,0,IF(AND($B$21=1,A112&gt;$B$19),0,$E$8*$G$8^MIN((A112-$F$8)/12,6)*MIN($G$8,0.85)^MAX(0,(A112-$F$8)/12-6)))</f>
        <v/>
      </c>
      <c r="I112" s="306">
        <f>IF(A112&lt;$F$9,0,IF(AND($B$21=1,A112&gt;$B$19),0,$E$9*$G$9^MIN((A112-$F$9)/12,6)*MIN($G$9,0.85)^MAX(0,(A112-$F$9)/12-6)))</f>
        <v/>
      </c>
      <c r="J112" s="306">
        <f>IF(A112&lt;$F$10,0,IF(AND($B$21=1,A112&gt;$B$19),0,$E$10*$G$10^MIN((A112-$F$10)/12,6)*MIN($G$10,0.85)^MAX(0,(A112-$F$10)/12-6)))</f>
        <v/>
      </c>
      <c r="K112" s="306">
        <f>IF(A112&lt;$F$11,0,IF(AND($B$21=1,A112&gt;$B$19),0,$E$11*$G$11^MIN((A112-$F$11)/12,6)*MIN($G$11,0.85)^MAX(0,(A112-$F$11)/12-6)))</f>
        <v/>
      </c>
      <c r="L112" s="306">
        <f>IF(A112&lt;$F$12,0,IF(AND($B$21=1,A112&gt;$B$19),0,$E$12*$G$12^MIN((A112-$F$12)/12,6)*MIN($G$12,0.85)^MAX(0,(A112-$F$12)/12-6)))</f>
        <v/>
      </c>
      <c r="M112" s="306">
        <f>IF(A112&lt;$F$13,0,IF(AND($B$21=1,A112&gt;$B$19),0,$E$13*$G$13^MIN((A112-$F$13)/12,6)*MIN($G$13,0.85)^MAX(0,(A112-$F$13)/12-6)))</f>
        <v/>
      </c>
      <c r="N112" s="306">
        <f>IF(A112&lt;$F$14,0,IF(AND($B$21=1,A112&gt;$B$19),0,$E$14*$G$14^MIN((A112-$F$14)/12,6)*MIN($G$14,0.85)^MAX(0,(A112-$F$14)/12-6)))</f>
        <v/>
      </c>
      <c r="O112" s="306">
        <f>SUM(F112:N112)</f>
        <v/>
      </c>
      <c r="P112" s="306">
        <f>O112/12</f>
        <v/>
      </c>
      <c r="Q112" s="306">
        <f>P112*$B$8</f>
        <v/>
      </c>
      <c r="R112" s="306">
        <f>P112*$B$9</f>
        <v/>
      </c>
      <c r="S112" s="306">
        <f>P112*$B$10</f>
        <v/>
      </c>
      <c r="T112" s="306">
        <f>P112-Q112-R112-S112-D112-E112</f>
        <v/>
      </c>
      <c r="U112" s="306">
        <f>MAX(0, T112 - $B$7*P112)</f>
        <v/>
      </c>
      <c r="V112" s="306">
        <f>T112-U112</f>
        <v/>
      </c>
      <c r="W112" s="306">
        <f>IF(A112=$F$6, $B$18*$B$16*$B$17/1000000, 0) + IF(A112=$F$7, $B$18*$B$16*$B$17/1000000, 0) + IF(A112=$F$8, $B$18*$B$16*$B$17/1000000, 0) + IF(A112=$F$9, $B$18*$B$16*$B$17/1000000, 0) + IF(A112=$F$10, $B$18*$B$16*$B$17/1000000, 0) + IF(A112=$F$11, $B$18*$B$16*$B$17/1000000, 0) + IF(A112=$F$12, $B$18*$B$16*$B$17/1000000, 0) + IF(A112=$F$13, $B$18*$B$16*$B$17/1000000, 0) + IF(A112=$F$14, $B$18*$B$16*$B$17/1000000, 0)</f>
        <v/>
      </c>
      <c r="X112" s="306">
        <f>V112-W112-C112</f>
        <v/>
      </c>
      <c r="Y112" s="306">
        <f>IF(AND(A112&lt;=$B$24, X112&gt;0), X112*$B$23, 0)</f>
        <v/>
      </c>
      <c r="Z112" s="306">
        <f>X112-Y112</f>
        <v/>
      </c>
      <c r="AA112" s="306">
        <f>IF(AND(A112=$B$19, $B$21=1), O112*$B$20, 0)</f>
        <v/>
      </c>
      <c r="AB112" s="306">
        <f>AB111+Z112+AA112</f>
        <v/>
      </c>
    </row>
    <row r="113">
      <c r="A113" s="306" t="n">
        <v>83</v>
      </c>
      <c r="B113" s="306">
        <f>CEILING(A113/12,1)</f>
        <v/>
      </c>
      <c r="C113" s="306">
        <f>IF(A113&lt;=12, $B$15/12, 0)</f>
        <v/>
      </c>
      <c r="D113" s="306">
        <f>INDEX('26. Team Comp'!$D$28:$R$28, B113) * 0.001 / 12</f>
        <v/>
      </c>
      <c r="E113" s="306">
        <f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+ (IF(MAX(0, A113 - $F$11 + 1)&lt;=0, 0, IF(MAX(0, A113 - $F$11 + 1)&lt;=6, 70 - (70-14)*(MAX(0, A113 - $F$11 + 1)-1)/5, IF(MAX(0, A113 - $F$11 + 1)&lt;=24, 14 - 14*(MAX(0, A113 - $F$11 + 1)-6)/18, 0)))) + (IF(MAX(0, A113 - $F$12 + 1)&lt;=0, 0, IF(MAX(0, A113 - $F$12 + 1)&lt;=6, 70 - (70-14)*(MAX(0, A113 - $F$12 + 1)-1)/5, IF(MAX(0, A113 - $F$12 + 1)&lt;=24, 14 - 14*(MAX(0, A113 - $F$12 + 1)-6)/18, 0)))) + (IF(MAX(0, A113 - $F$13 + 1)&lt;=0, 0, IF(MAX(0, A113 - $F$13 + 1)&lt;=6, 70 - (70-14)*(MAX(0, A113 - $F$13 + 1)-1)/5, IF(MAX(0, A113 - $F$13 + 1)&lt;=24, 14 - 14*(MAX(0, A113 - $F$13 + 1)-6)/18, 0)))) + (IF(MAX(0, A113 - $F$14 + 1)&lt;=0, 0, IF(MAX(0, A113 - $F$14 + 1)&lt;=6, 70 - (70-14)*(MAX(0, A113 - $F$14 + 1)-1)/5, IF(MAX(0, A113 - $F$14 + 1)&lt;=24, 14 - 14*(MAX(0, A113 - $F$14 + 1)-6)/18, 0)))) ) * 200 / 12 / 1000</f>
        <v/>
      </c>
      <c r="F113" s="306">
        <f>IF(A113&lt;$F$6,0,IF(AND($B$21=1,A113&gt;$B$19),0,$E$6*$G$6^MIN((A113-$F$6)/12,6)*MIN($G$6,0.85)^MAX(0,(A113-$F$6)/12-6)))</f>
        <v/>
      </c>
      <c r="G113" s="306">
        <f>IF(A113&lt;$F$7,0,IF(AND($B$21=1,A113&gt;$B$19),0,$E$7*$G$7^MIN((A113-$F$7)/12,6)*MIN($G$7,0.85)^MAX(0,(A113-$F$7)/12-6)))</f>
        <v/>
      </c>
      <c r="H113" s="306">
        <f>IF(A113&lt;$F$8,0,IF(AND($B$21=1,A113&gt;$B$19),0,$E$8*$G$8^MIN((A113-$F$8)/12,6)*MIN($G$8,0.85)^MAX(0,(A113-$F$8)/12-6)))</f>
        <v/>
      </c>
      <c r="I113" s="306">
        <f>IF(A113&lt;$F$9,0,IF(AND($B$21=1,A113&gt;$B$19),0,$E$9*$G$9^MIN((A113-$F$9)/12,6)*MIN($G$9,0.85)^MAX(0,(A113-$F$9)/12-6)))</f>
        <v/>
      </c>
      <c r="J113" s="306">
        <f>IF(A113&lt;$F$10,0,IF(AND($B$21=1,A113&gt;$B$19),0,$E$10*$G$10^MIN((A113-$F$10)/12,6)*MIN($G$10,0.85)^MAX(0,(A113-$F$10)/12-6)))</f>
        <v/>
      </c>
      <c r="K113" s="306">
        <f>IF(A113&lt;$F$11,0,IF(AND($B$21=1,A113&gt;$B$19),0,$E$11*$G$11^MIN((A113-$F$11)/12,6)*MIN($G$11,0.85)^MAX(0,(A113-$F$11)/12-6)))</f>
        <v/>
      </c>
      <c r="L113" s="306">
        <f>IF(A113&lt;$F$12,0,IF(AND($B$21=1,A113&gt;$B$19),0,$E$12*$G$12^MIN((A113-$F$12)/12,6)*MIN($G$12,0.85)^MAX(0,(A113-$F$12)/12-6)))</f>
        <v/>
      </c>
      <c r="M113" s="306">
        <f>IF(A113&lt;$F$13,0,IF(AND($B$21=1,A113&gt;$B$19),0,$E$13*$G$13^MIN((A113-$F$13)/12,6)*MIN($G$13,0.85)^MAX(0,(A113-$F$13)/12-6)))</f>
        <v/>
      </c>
      <c r="N113" s="306">
        <f>IF(A113&lt;$F$14,0,IF(AND($B$21=1,A113&gt;$B$19),0,$E$14*$G$14^MIN((A113-$F$14)/12,6)*MIN($G$14,0.85)^MAX(0,(A113-$F$14)/12-6)))</f>
        <v/>
      </c>
      <c r="O113" s="306">
        <f>SUM(F113:N113)</f>
        <v/>
      </c>
      <c r="P113" s="306">
        <f>O113/12</f>
        <v/>
      </c>
      <c r="Q113" s="306">
        <f>P113*$B$8</f>
        <v/>
      </c>
      <c r="R113" s="306">
        <f>P113*$B$9</f>
        <v/>
      </c>
      <c r="S113" s="306">
        <f>P113*$B$10</f>
        <v/>
      </c>
      <c r="T113" s="306">
        <f>P113-Q113-R113-S113-D113-E113</f>
        <v/>
      </c>
      <c r="U113" s="306">
        <f>MAX(0, T113 - $B$7*P113)</f>
        <v/>
      </c>
      <c r="V113" s="306">
        <f>T113-U113</f>
        <v/>
      </c>
      <c r="W113" s="306">
        <f>IF(A113=$F$6, $B$18*$B$16*$B$17/1000000, 0) + IF(A113=$F$7, $B$18*$B$16*$B$17/1000000, 0) + IF(A113=$F$8, $B$18*$B$16*$B$17/1000000, 0) + IF(A113=$F$9, $B$18*$B$16*$B$17/1000000, 0) + IF(A113=$F$10, $B$18*$B$16*$B$17/1000000, 0) + IF(A113=$F$11, $B$18*$B$16*$B$17/1000000, 0) + IF(A113=$F$12, $B$18*$B$16*$B$17/1000000, 0) + IF(A113=$F$13, $B$18*$B$16*$B$17/1000000, 0) + IF(A113=$F$14, $B$18*$B$16*$B$17/1000000, 0)</f>
        <v/>
      </c>
      <c r="X113" s="306">
        <f>V113-W113-C113</f>
        <v/>
      </c>
      <c r="Y113" s="306">
        <f>IF(AND(A113&lt;=$B$24, X113&gt;0), X113*$B$23, 0)</f>
        <v/>
      </c>
      <c r="Z113" s="306">
        <f>X113-Y113</f>
        <v/>
      </c>
      <c r="AA113" s="306">
        <f>IF(AND(A113=$B$19, $B$21=1), O113*$B$20, 0)</f>
        <v/>
      </c>
      <c r="AB113" s="306">
        <f>AB112+Z113+AA113</f>
        <v/>
      </c>
    </row>
    <row r="114">
      <c r="A114" s="306" t="n">
        <v>84</v>
      </c>
      <c r="B114" s="306">
        <f>CEILING(A114/12,1)</f>
        <v/>
      </c>
      <c r="C114" s="306">
        <f>IF(A114&lt;=12, $B$15/12, 0)</f>
        <v/>
      </c>
      <c r="D114" s="306">
        <f>INDEX('26. Team Comp'!$D$28:$R$28, B114) * 0.001 / 12</f>
        <v/>
      </c>
      <c r="E114" s="306">
        <f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+ (IF(MAX(0, A114 - $F$11 + 1)&lt;=0, 0, IF(MAX(0, A114 - $F$11 + 1)&lt;=6, 70 - (70-14)*(MAX(0, A114 - $F$11 + 1)-1)/5, IF(MAX(0, A114 - $F$11 + 1)&lt;=24, 14 - 14*(MAX(0, A114 - $F$11 + 1)-6)/18, 0)))) + (IF(MAX(0, A114 - $F$12 + 1)&lt;=0, 0, IF(MAX(0, A114 - $F$12 + 1)&lt;=6, 70 - (70-14)*(MAX(0, A114 - $F$12 + 1)-1)/5, IF(MAX(0, A114 - $F$12 + 1)&lt;=24, 14 - 14*(MAX(0, A114 - $F$12 + 1)-6)/18, 0)))) + (IF(MAX(0, A114 - $F$13 + 1)&lt;=0, 0, IF(MAX(0, A114 - $F$13 + 1)&lt;=6, 70 - (70-14)*(MAX(0, A114 - $F$13 + 1)-1)/5, IF(MAX(0, A114 - $F$13 + 1)&lt;=24, 14 - 14*(MAX(0, A114 - $F$13 + 1)-6)/18, 0)))) + (IF(MAX(0, A114 - $F$14 + 1)&lt;=0, 0, IF(MAX(0, A114 - $F$14 + 1)&lt;=6, 70 - (70-14)*(MAX(0, A114 - $F$14 + 1)-1)/5, IF(MAX(0, A114 - $F$14 + 1)&lt;=24, 14 - 14*(MAX(0, A114 - $F$14 + 1)-6)/18, 0)))) ) * 200 / 12 / 1000</f>
        <v/>
      </c>
      <c r="F114" s="306">
        <f>IF(A114&lt;$F$6,0,IF(AND($B$21=1,A114&gt;$B$19),0,$E$6*$G$6^MIN((A114-$F$6)/12,6)*MIN($G$6,0.85)^MAX(0,(A114-$F$6)/12-6)))</f>
        <v/>
      </c>
      <c r="G114" s="306">
        <f>IF(A114&lt;$F$7,0,IF(AND($B$21=1,A114&gt;$B$19),0,$E$7*$G$7^MIN((A114-$F$7)/12,6)*MIN($G$7,0.85)^MAX(0,(A114-$F$7)/12-6)))</f>
        <v/>
      </c>
      <c r="H114" s="306">
        <f>IF(A114&lt;$F$8,0,IF(AND($B$21=1,A114&gt;$B$19),0,$E$8*$G$8^MIN((A114-$F$8)/12,6)*MIN($G$8,0.85)^MAX(0,(A114-$F$8)/12-6)))</f>
        <v/>
      </c>
      <c r="I114" s="306">
        <f>IF(A114&lt;$F$9,0,IF(AND($B$21=1,A114&gt;$B$19),0,$E$9*$G$9^MIN((A114-$F$9)/12,6)*MIN($G$9,0.85)^MAX(0,(A114-$F$9)/12-6)))</f>
        <v/>
      </c>
      <c r="J114" s="306">
        <f>IF(A114&lt;$F$10,0,IF(AND($B$21=1,A114&gt;$B$19),0,$E$10*$G$10^MIN((A114-$F$10)/12,6)*MIN($G$10,0.85)^MAX(0,(A114-$F$10)/12-6)))</f>
        <v/>
      </c>
      <c r="K114" s="306">
        <f>IF(A114&lt;$F$11,0,IF(AND($B$21=1,A114&gt;$B$19),0,$E$11*$G$11^MIN((A114-$F$11)/12,6)*MIN($G$11,0.85)^MAX(0,(A114-$F$11)/12-6)))</f>
        <v/>
      </c>
      <c r="L114" s="306">
        <f>IF(A114&lt;$F$12,0,IF(AND($B$21=1,A114&gt;$B$19),0,$E$12*$G$12^MIN((A114-$F$12)/12,6)*MIN($G$12,0.85)^MAX(0,(A114-$F$12)/12-6)))</f>
        <v/>
      </c>
      <c r="M114" s="306">
        <f>IF(A114&lt;$F$13,0,IF(AND($B$21=1,A114&gt;$B$19),0,$E$13*$G$13^MIN((A114-$F$13)/12,6)*MIN($G$13,0.85)^MAX(0,(A114-$F$13)/12-6)))</f>
        <v/>
      </c>
      <c r="N114" s="306">
        <f>IF(A114&lt;$F$14,0,IF(AND($B$21=1,A114&gt;$B$19),0,$E$14*$G$14^MIN((A114-$F$14)/12,6)*MIN($G$14,0.85)^MAX(0,(A114-$F$14)/12-6)))</f>
        <v/>
      </c>
      <c r="O114" s="306">
        <f>SUM(F114:N114)</f>
        <v/>
      </c>
      <c r="P114" s="306">
        <f>O114/12</f>
        <v/>
      </c>
      <c r="Q114" s="306">
        <f>P114*$B$8</f>
        <v/>
      </c>
      <c r="R114" s="306">
        <f>P114*$B$9</f>
        <v/>
      </c>
      <c r="S114" s="306">
        <f>P114*$B$10</f>
        <v/>
      </c>
      <c r="T114" s="306">
        <f>P114-Q114-R114-S114-D114-E114</f>
        <v/>
      </c>
      <c r="U114" s="306">
        <f>MAX(0, T114 - $B$7*P114)</f>
        <v/>
      </c>
      <c r="V114" s="306">
        <f>T114-U114</f>
        <v/>
      </c>
      <c r="W114" s="306">
        <f>IF(A114=$F$6, $B$18*$B$16*$B$17/1000000, 0) + IF(A114=$F$7, $B$18*$B$16*$B$17/1000000, 0) + IF(A114=$F$8, $B$18*$B$16*$B$17/1000000, 0) + IF(A114=$F$9, $B$18*$B$16*$B$17/1000000, 0) + IF(A114=$F$10, $B$18*$B$16*$B$17/1000000, 0) + IF(A114=$F$11, $B$18*$B$16*$B$17/1000000, 0) + IF(A114=$F$12, $B$18*$B$16*$B$17/1000000, 0) + IF(A114=$F$13, $B$18*$B$16*$B$17/1000000, 0) + IF(A114=$F$14, $B$18*$B$16*$B$17/1000000, 0)</f>
        <v/>
      </c>
      <c r="X114" s="306">
        <f>V114-W114-C114</f>
        <v/>
      </c>
      <c r="Y114" s="306">
        <f>IF(AND(A114&lt;=$B$24, X114&gt;0), X114*$B$23, 0)</f>
        <v/>
      </c>
      <c r="Z114" s="306">
        <f>X114-Y114</f>
        <v/>
      </c>
      <c r="AA114" s="306">
        <f>IF(AND(A114=$B$19, $B$21=1), O114*$B$20, 0)</f>
        <v/>
      </c>
      <c r="AB114" s="306">
        <f>AB113+Z114+AA114</f>
        <v/>
      </c>
    </row>
    <row r="115">
      <c r="A115" s="306" t="n">
        <v>85</v>
      </c>
      <c r="B115" s="306">
        <f>CEILING(A115/12,1)</f>
        <v/>
      </c>
      <c r="C115" s="306">
        <f>IF(A115&lt;=12, $B$15/12, 0)</f>
        <v/>
      </c>
      <c r="D115" s="306">
        <f>INDEX('26. Team Comp'!$D$28:$R$28, B115) * 0.001 / 12</f>
        <v/>
      </c>
      <c r="E115" s="306">
        <f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+ (IF(MAX(0, A115 - $F$11 + 1)&lt;=0, 0, IF(MAX(0, A115 - $F$11 + 1)&lt;=6, 70 - (70-14)*(MAX(0, A115 - $F$11 + 1)-1)/5, IF(MAX(0, A115 - $F$11 + 1)&lt;=24, 14 - 14*(MAX(0, A115 - $F$11 + 1)-6)/18, 0)))) + (IF(MAX(0, A115 - $F$12 + 1)&lt;=0, 0, IF(MAX(0, A115 - $F$12 + 1)&lt;=6, 70 - (70-14)*(MAX(0, A115 - $F$12 + 1)-1)/5, IF(MAX(0, A115 - $F$12 + 1)&lt;=24, 14 - 14*(MAX(0, A115 - $F$12 + 1)-6)/18, 0)))) + (IF(MAX(0, A115 - $F$13 + 1)&lt;=0, 0, IF(MAX(0, A115 - $F$13 + 1)&lt;=6, 70 - (70-14)*(MAX(0, A115 - $F$13 + 1)-1)/5, IF(MAX(0, A115 - $F$13 + 1)&lt;=24, 14 - 14*(MAX(0, A115 - $F$13 + 1)-6)/18, 0)))) + (IF(MAX(0, A115 - $F$14 + 1)&lt;=0, 0, IF(MAX(0, A115 - $F$14 + 1)&lt;=6, 70 - (70-14)*(MAX(0, A115 - $F$14 + 1)-1)/5, IF(MAX(0, A115 - $F$14 + 1)&lt;=24, 14 - 14*(MAX(0, A115 - $F$14 + 1)-6)/18, 0)))) ) * 200 / 12 / 1000</f>
        <v/>
      </c>
      <c r="F115" s="306">
        <f>IF(A115&lt;$F$6,0,IF(AND($B$21=1,A115&gt;$B$19),0,$E$6*$G$6^MIN((A115-$F$6)/12,6)*MIN($G$6,0.85)^MAX(0,(A115-$F$6)/12-6)))</f>
        <v/>
      </c>
      <c r="G115" s="306">
        <f>IF(A115&lt;$F$7,0,IF(AND($B$21=1,A115&gt;$B$19),0,$E$7*$G$7^MIN((A115-$F$7)/12,6)*MIN($G$7,0.85)^MAX(0,(A115-$F$7)/12-6)))</f>
        <v/>
      </c>
      <c r="H115" s="306">
        <f>IF(A115&lt;$F$8,0,IF(AND($B$21=1,A115&gt;$B$19),0,$E$8*$G$8^MIN((A115-$F$8)/12,6)*MIN($G$8,0.85)^MAX(0,(A115-$F$8)/12-6)))</f>
        <v/>
      </c>
      <c r="I115" s="306">
        <f>IF(A115&lt;$F$9,0,IF(AND($B$21=1,A115&gt;$B$19),0,$E$9*$G$9^MIN((A115-$F$9)/12,6)*MIN($G$9,0.85)^MAX(0,(A115-$F$9)/12-6)))</f>
        <v/>
      </c>
      <c r="J115" s="306">
        <f>IF(A115&lt;$F$10,0,IF(AND($B$21=1,A115&gt;$B$19),0,$E$10*$G$10^MIN((A115-$F$10)/12,6)*MIN($G$10,0.85)^MAX(0,(A115-$F$10)/12-6)))</f>
        <v/>
      </c>
      <c r="K115" s="306">
        <f>IF(A115&lt;$F$11,0,IF(AND($B$21=1,A115&gt;$B$19),0,$E$11*$G$11^MIN((A115-$F$11)/12,6)*MIN($G$11,0.85)^MAX(0,(A115-$F$11)/12-6)))</f>
        <v/>
      </c>
      <c r="L115" s="306">
        <f>IF(A115&lt;$F$12,0,IF(AND($B$21=1,A115&gt;$B$19),0,$E$12*$G$12^MIN((A115-$F$12)/12,6)*MIN($G$12,0.85)^MAX(0,(A115-$F$12)/12-6)))</f>
        <v/>
      </c>
      <c r="M115" s="306">
        <f>IF(A115&lt;$F$13,0,IF(AND($B$21=1,A115&gt;$B$19),0,$E$13*$G$13^MIN((A115-$F$13)/12,6)*MIN($G$13,0.85)^MAX(0,(A115-$F$13)/12-6)))</f>
        <v/>
      </c>
      <c r="N115" s="306">
        <f>IF(A115&lt;$F$14,0,IF(AND($B$21=1,A115&gt;$B$19),0,$E$14*$G$14^MIN((A115-$F$14)/12,6)*MIN($G$14,0.85)^MAX(0,(A115-$F$14)/12-6)))</f>
        <v/>
      </c>
      <c r="O115" s="306">
        <f>SUM(F115:N115)</f>
        <v/>
      </c>
      <c r="P115" s="306">
        <f>O115/12</f>
        <v/>
      </c>
      <c r="Q115" s="306">
        <f>P115*$B$8</f>
        <v/>
      </c>
      <c r="R115" s="306">
        <f>P115*$B$9</f>
        <v/>
      </c>
      <c r="S115" s="306">
        <f>P115*$B$10</f>
        <v/>
      </c>
      <c r="T115" s="306">
        <f>P115-Q115-R115-S115-D115-E115</f>
        <v/>
      </c>
      <c r="U115" s="306">
        <f>MAX(0, T115 - $B$7*P115)</f>
        <v/>
      </c>
      <c r="V115" s="306">
        <f>T115-U115</f>
        <v/>
      </c>
      <c r="W115" s="306">
        <f>IF(A115=$F$6, $B$18*$B$16*$B$17/1000000, 0) + IF(A115=$F$7, $B$18*$B$16*$B$17/1000000, 0) + IF(A115=$F$8, $B$18*$B$16*$B$17/1000000, 0) + IF(A115=$F$9, $B$18*$B$16*$B$17/1000000, 0) + IF(A115=$F$10, $B$18*$B$16*$B$17/1000000, 0) + IF(A115=$F$11, $B$18*$B$16*$B$17/1000000, 0) + IF(A115=$F$12, $B$18*$B$16*$B$17/1000000, 0) + IF(A115=$F$13, $B$18*$B$16*$B$17/1000000, 0) + IF(A115=$F$14, $B$18*$B$16*$B$17/1000000, 0)</f>
        <v/>
      </c>
      <c r="X115" s="306">
        <f>V115-W115-C115</f>
        <v/>
      </c>
      <c r="Y115" s="306">
        <f>IF(AND(A115&lt;=$B$24, X115&gt;0), X115*$B$23, 0)</f>
        <v/>
      </c>
      <c r="Z115" s="306">
        <f>X115-Y115</f>
        <v/>
      </c>
      <c r="AA115" s="306">
        <f>IF(AND(A115=$B$19, $B$21=1), O115*$B$20, 0)</f>
        <v/>
      </c>
      <c r="AB115" s="306">
        <f>AB114+Z115+AA115</f>
        <v/>
      </c>
    </row>
    <row r="116">
      <c r="A116" s="306" t="n">
        <v>86</v>
      </c>
      <c r="B116" s="306">
        <f>CEILING(A116/12,1)</f>
        <v/>
      </c>
      <c r="C116" s="306">
        <f>IF(A116&lt;=12, $B$15/12, 0)</f>
        <v/>
      </c>
      <c r="D116" s="306">
        <f>INDEX('26. Team Comp'!$D$28:$R$28, B116) * 0.001 / 12</f>
        <v/>
      </c>
      <c r="E116" s="306">
        <f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+ (IF(MAX(0, A116 - $F$11 + 1)&lt;=0, 0, IF(MAX(0, A116 - $F$11 + 1)&lt;=6, 70 - (70-14)*(MAX(0, A116 - $F$11 + 1)-1)/5, IF(MAX(0, A116 - $F$11 + 1)&lt;=24, 14 - 14*(MAX(0, A116 - $F$11 + 1)-6)/18, 0)))) + (IF(MAX(0, A116 - $F$12 + 1)&lt;=0, 0, IF(MAX(0, A116 - $F$12 + 1)&lt;=6, 70 - (70-14)*(MAX(0, A116 - $F$12 + 1)-1)/5, IF(MAX(0, A116 - $F$12 + 1)&lt;=24, 14 - 14*(MAX(0, A116 - $F$12 + 1)-6)/18, 0)))) + (IF(MAX(0, A116 - $F$13 + 1)&lt;=0, 0, IF(MAX(0, A116 - $F$13 + 1)&lt;=6, 70 - (70-14)*(MAX(0, A116 - $F$13 + 1)-1)/5, IF(MAX(0, A116 - $F$13 + 1)&lt;=24, 14 - 14*(MAX(0, A116 - $F$13 + 1)-6)/18, 0)))) + (IF(MAX(0, A116 - $F$14 + 1)&lt;=0, 0, IF(MAX(0, A116 - $F$14 + 1)&lt;=6, 70 - (70-14)*(MAX(0, A116 - $F$14 + 1)-1)/5, IF(MAX(0, A116 - $F$14 + 1)&lt;=24, 14 - 14*(MAX(0, A116 - $F$14 + 1)-6)/18, 0)))) ) * 200 / 12 / 1000</f>
        <v/>
      </c>
      <c r="F116" s="306">
        <f>IF(A116&lt;$F$6,0,IF(AND($B$21=1,A116&gt;$B$19),0,$E$6*$G$6^MIN((A116-$F$6)/12,6)*MIN($G$6,0.85)^MAX(0,(A116-$F$6)/12-6)))</f>
        <v/>
      </c>
      <c r="G116" s="306">
        <f>IF(A116&lt;$F$7,0,IF(AND($B$21=1,A116&gt;$B$19),0,$E$7*$G$7^MIN((A116-$F$7)/12,6)*MIN($G$7,0.85)^MAX(0,(A116-$F$7)/12-6)))</f>
        <v/>
      </c>
      <c r="H116" s="306">
        <f>IF(A116&lt;$F$8,0,IF(AND($B$21=1,A116&gt;$B$19),0,$E$8*$G$8^MIN((A116-$F$8)/12,6)*MIN($G$8,0.85)^MAX(0,(A116-$F$8)/12-6)))</f>
        <v/>
      </c>
      <c r="I116" s="306">
        <f>IF(A116&lt;$F$9,0,IF(AND($B$21=1,A116&gt;$B$19),0,$E$9*$G$9^MIN((A116-$F$9)/12,6)*MIN($G$9,0.85)^MAX(0,(A116-$F$9)/12-6)))</f>
        <v/>
      </c>
      <c r="J116" s="306">
        <f>IF(A116&lt;$F$10,0,IF(AND($B$21=1,A116&gt;$B$19),0,$E$10*$G$10^MIN((A116-$F$10)/12,6)*MIN($G$10,0.85)^MAX(0,(A116-$F$10)/12-6)))</f>
        <v/>
      </c>
      <c r="K116" s="306">
        <f>IF(A116&lt;$F$11,0,IF(AND($B$21=1,A116&gt;$B$19),0,$E$11*$G$11^MIN((A116-$F$11)/12,6)*MIN($G$11,0.85)^MAX(0,(A116-$F$11)/12-6)))</f>
        <v/>
      </c>
      <c r="L116" s="306">
        <f>IF(A116&lt;$F$12,0,IF(AND($B$21=1,A116&gt;$B$19),0,$E$12*$G$12^MIN((A116-$F$12)/12,6)*MIN($G$12,0.85)^MAX(0,(A116-$F$12)/12-6)))</f>
        <v/>
      </c>
      <c r="M116" s="306">
        <f>IF(A116&lt;$F$13,0,IF(AND($B$21=1,A116&gt;$B$19),0,$E$13*$G$13^MIN((A116-$F$13)/12,6)*MIN($G$13,0.85)^MAX(0,(A116-$F$13)/12-6)))</f>
        <v/>
      </c>
      <c r="N116" s="306">
        <f>IF(A116&lt;$F$14,0,IF(AND($B$21=1,A116&gt;$B$19),0,$E$14*$G$14^MIN((A116-$F$14)/12,6)*MIN($G$14,0.85)^MAX(0,(A116-$F$14)/12-6)))</f>
        <v/>
      </c>
      <c r="O116" s="306">
        <f>SUM(F116:N116)</f>
        <v/>
      </c>
      <c r="P116" s="306">
        <f>O116/12</f>
        <v/>
      </c>
      <c r="Q116" s="306">
        <f>P116*$B$8</f>
        <v/>
      </c>
      <c r="R116" s="306">
        <f>P116*$B$9</f>
        <v/>
      </c>
      <c r="S116" s="306">
        <f>P116*$B$10</f>
        <v/>
      </c>
      <c r="T116" s="306">
        <f>P116-Q116-R116-S116-D116-E116</f>
        <v/>
      </c>
      <c r="U116" s="306">
        <f>MAX(0, T116 - $B$7*P116)</f>
        <v/>
      </c>
      <c r="V116" s="306">
        <f>T116-U116</f>
        <v/>
      </c>
      <c r="W116" s="306">
        <f>IF(A116=$F$6, $B$18*$B$16*$B$17/1000000, 0) + IF(A116=$F$7, $B$18*$B$16*$B$17/1000000, 0) + IF(A116=$F$8, $B$18*$B$16*$B$17/1000000, 0) + IF(A116=$F$9, $B$18*$B$16*$B$17/1000000, 0) + IF(A116=$F$10, $B$18*$B$16*$B$17/1000000, 0) + IF(A116=$F$11, $B$18*$B$16*$B$17/1000000, 0) + IF(A116=$F$12, $B$18*$B$16*$B$17/1000000, 0) + IF(A116=$F$13, $B$18*$B$16*$B$17/1000000, 0) + IF(A116=$F$14, $B$18*$B$16*$B$17/1000000, 0)</f>
        <v/>
      </c>
      <c r="X116" s="306">
        <f>V116-W116-C116</f>
        <v/>
      </c>
      <c r="Y116" s="306">
        <f>IF(AND(A116&lt;=$B$24, X116&gt;0), X116*$B$23, 0)</f>
        <v/>
      </c>
      <c r="Z116" s="306">
        <f>X116-Y116</f>
        <v/>
      </c>
      <c r="AA116" s="306">
        <f>IF(AND(A116=$B$19, $B$21=1), O116*$B$20, 0)</f>
        <v/>
      </c>
      <c r="AB116" s="306">
        <f>AB115+Z116+AA116</f>
        <v/>
      </c>
    </row>
    <row r="117">
      <c r="A117" s="306" t="n">
        <v>87</v>
      </c>
      <c r="B117" s="306">
        <f>CEILING(A117/12,1)</f>
        <v/>
      </c>
      <c r="C117" s="306">
        <f>IF(A117&lt;=12, $B$15/12, 0)</f>
        <v/>
      </c>
      <c r="D117" s="306">
        <f>INDEX('26. Team Comp'!$D$28:$R$28, B117) * 0.001 / 12</f>
        <v/>
      </c>
      <c r="E117" s="306">
        <f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+ (IF(MAX(0, A117 - $F$11 + 1)&lt;=0, 0, IF(MAX(0, A117 - $F$11 + 1)&lt;=6, 70 - (70-14)*(MAX(0, A117 - $F$11 + 1)-1)/5, IF(MAX(0, A117 - $F$11 + 1)&lt;=24, 14 - 14*(MAX(0, A117 - $F$11 + 1)-6)/18, 0)))) + (IF(MAX(0, A117 - $F$12 + 1)&lt;=0, 0, IF(MAX(0, A117 - $F$12 + 1)&lt;=6, 70 - (70-14)*(MAX(0, A117 - $F$12 + 1)-1)/5, IF(MAX(0, A117 - $F$12 + 1)&lt;=24, 14 - 14*(MAX(0, A117 - $F$12 + 1)-6)/18, 0)))) + (IF(MAX(0, A117 - $F$13 + 1)&lt;=0, 0, IF(MAX(0, A117 - $F$13 + 1)&lt;=6, 70 - (70-14)*(MAX(0, A117 - $F$13 + 1)-1)/5, IF(MAX(0, A117 - $F$13 + 1)&lt;=24, 14 - 14*(MAX(0, A117 - $F$13 + 1)-6)/18, 0)))) + (IF(MAX(0, A117 - $F$14 + 1)&lt;=0, 0, IF(MAX(0, A117 - $F$14 + 1)&lt;=6, 70 - (70-14)*(MAX(0, A117 - $F$14 + 1)-1)/5, IF(MAX(0, A117 - $F$14 + 1)&lt;=24, 14 - 14*(MAX(0, A117 - $F$14 + 1)-6)/18, 0)))) ) * 200 / 12 / 1000</f>
        <v/>
      </c>
      <c r="F117" s="306">
        <f>IF(A117&lt;$F$6,0,IF(AND($B$21=1,A117&gt;$B$19),0,$E$6*$G$6^MIN((A117-$F$6)/12,6)*MIN($G$6,0.85)^MAX(0,(A117-$F$6)/12-6)))</f>
        <v/>
      </c>
      <c r="G117" s="306">
        <f>IF(A117&lt;$F$7,0,IF(AND($B$21=1,A117&gt;$B$19),0,$E$7*$G$7^MIN((A117-$F$7)/12,6)*MIN($G$7,0.85)^MAX(0,(A117-$F$7)/12-6)))</f>
        <v/>
      </c>
      <c r="H117" s="306">
        <f>IF(A117&lt;$F$8,0,IF(AND($B$21=1,A117&gt;$B$19),0,$E$8*$G$8^MIN((A117-$F$8)/12,6)*MIN($G$8,0.85)^MAX(0,(A117-$F$8)/12-6)))</f>
        <v/>
      </c>
      <c r="I117" s="306">
        <f>IF(A117&lt;$F$9,0,IF(AND($B$21=1,A117&gt;$B$19),0,$E$9*$G$9^MIN((A117-$F$9)/12,6)*MIN($G$9,0.85)^MAX(0,(A117-$F$9)/12-6)))</f>
        <v/>
      </c>
      <c r="J117" s="306">
        <f>IF(A117&lt;$F$10,0,IF(AND($B$21=1,A117&gt;$B$19),0,$E$10*$G$10^MIN((A117-$F$10)/12,6)*MIN($G$10,0.85)^MAX(0,(A117-$F$10)/12-6)))</f>
        <v/>
      </c>
      <c r="K117" s="306">
        <f>IF(A117&lt;$F$11,0,IF(AND($B$21=1,A117&gt;$B$19),0,$E$11*$G$11^MIN((A117-$F$11)/12,6)*MIN($G$11,0.85)^MAX(0,(A117-$F$11)/12-6)))</f>
        <v/>
      </c>
      <c r="L117" s="306">
        <f>IF(A117&lt;$F$12,0,IF(AND($B$21=1,A117&gt;$B$19),0,$E$12*$G$12^MIN((A117-$F$12)/12,6)*MIN($G$12,0.85)^MAX(0,(A117-$F$12)/12-6)))</f>
        <v/>
      </c>
      <c r="M117" s="306">
        <f>IF(A117&lt;$F$13,0,IF(AND($B$21=1,A117&gt;$B$19),0,$E$13*$G$13^MIN((A117-$F$13)/12,6)*MIN($G$13,0.85)^MAX(0,(A117-$F$13)/12-6)))</f>
        <v/>
      </c>
      <c r="N117" s="306">
        <f>IF(A117&lt;$F$14,0,IF(AND($B$21=1,A117&gt;$B$19),0,$E$14*$G$14^MIN((A117-$F$14)/12,6)*MIN($G$14,0.85)^MAX(0,(A117-$F$14)/12-6)))</f>
        <v/>
      </c>
      <c r="O117" s="306">
        <f>SUM(F117:N117)</f>
        <v/>
      </c>
      <c r="P117" s="306">
        <f>O117/12</f>
        <v/>
      </c>
      <c r="Q117" s="306">
        <f>P117*$B$8</f>
        <v/>
      </c>
      <c r="R117" s="306">
        <f>P117*$B$9</f>
        <v/>
      </c>
      <c r="S117" s="306">
        <f>P117*$B$10</f>
        <v/>
      </c>
      <c r="T117" s="306">
        <f>P117-Q117-R117-S117-D117-E117</f>
        <v/>
      </c>
      <c r="U117" s="306">
        <f>MAX(0, T117 - $B$7*P117)</f>
        <v/>
      </c>
      <c r="V117" s="306">
        <f>T117-U117</f>
        <v/>
      </c>
      <c r="W117" s="306">
        <f>IF(A117=$F$6, $B$18*$B$16*$B$17/1000000, 0) + IF(A117=$F$7, $B$18*$B$16*$B$17/1000000, 0) + IF(A117=$F$8, $B$18*$B$16*$B$17/1000000, 0) + IF(A117=$F$9, $B$18*$B$16*$B$17/1000000, 0) + IF(A117=$F$10, $B$18*$B$16*$B$17/1000000, 0) + IF(A117=$F$11, $B$18*$B$16*$B$17/1000000, 0) + IF(A117=$F$12, $B$18*$B$16*$B$17/1000000, 0) + IF(A117=$F$13, $B$18*$B$16*$B$17/1000000, 0) + IF(A117=$F$14, $B$18*$B$16*$B$17/1000000, 0)</f>
        <v/>
      </c>
      <c r="X117" s="306">
        <f>V117-W117-C117</f>
        <v/>
      </c>
      <c r="Y117" s="306">
        <f>IF(AND(A117&lt;=$B$24, X117&gt;0), X117*$B$23, 0)</f>
        <v/>
      </c>
      <c r="Z117" s="306">
        <f>X117-Y117</f>
        <v/>
      </c>
      <c r="AA117" s="306">
        <f>IF(AND(A117=$B$19, $B$21=1), O117*$B$20, 0)</f>
        <v/>
      </c>
      <c r="AB117" s="306">
        <f>AB116+Z117+AA117</f>
        <v/>
      </c>
    </row>
    <row r="118">
      <c r="A118" s="306" t="n">
        <v>88</v>
      </c>
      <c r="B118" s="306">
        <f>CEILING(A118/12,1)</f>
        <v/>
      </c>
      <c r="C118" s="306">
        <f>IF(A118&lt;=12, $B$15/12, 0)</f>
        <v/>
      </c>
      <c r="D118" s="306">
        <f>INDEX('26. Team Comp'!$D$28:$R$28, B118) * 0.001 / 12</f>
        <v/>
      </c>
      <c r="E118" s="306">
        <f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+ (IF(MAX(0, A118 - $F$11 + 1)&lt;=0, 0, IF(MAX(0, A118 - $F$11 + 1)&lt;=6, 70 - (70-14)*(MAX(0, A118 - $F$11 + 1)-1)/5, IF(MAX(0, A118 - $F$11 + 1)&lt;=24, 14 - 14*(MAX(0, A118 - $F$11 + 1)-6)/18, 0)))) + (IF(MAX(0, A118 - $F$12 + 1)&lt;=0, 0, IF(MAX(0, A118 - $F$12 + 1)&lt;=6, 70 - (70-14)*(MAX(0, A118 - $F$12 + 1)-1)/5, IF(MAX(0, A118 - $F$12 + 1)&lt;=24, 14 - 14*(MAX(0, A118 - $F$12 + 1)-6)/18, 0)))) + (IF(MAX(0, A118 - $F$13 + 1)&lt;=0, 0, IF(MAX(0, A118 - $F$13 + 1)&lt;=6, 70 - (70-14)*(MAX(0, A118 - $F$13 + 1)-1)/5, IF(MAX(0, A118 - $F$13 + 1)&lt;=24, 14 - 14*(MAX(0, A118 - $F$13 + 1)-6)/18, 0)))) + (IF(MAX(0, A118 - $F$14 + 1)&lt;=0, 0, IF(MAX(0, A118 - $F$14 + 1)&lt;=6, 70 - (70-14)*(MAX(0, A118 - $F$14 + 1)-1)/5, IF(MAX(0, A118 - $F$14 + 1)&lt;=24, 14 - 14*(MAX(0, A118 - $F$14 + 1)-6)/18, 0)))) ) * 200 / 12 / 1000</f>
        <v/>
      </c>
      <c r="F118" s="306">
        <f>IF(A118&lt;$F$6,0,IF(AND($B$21=1,A118&gt;$B$19),0,$E$6*$G$6^MIN((A118-$F$6)/12,6)*MIN($G$6,0.85)^MAX(0,(A118-$F$6)/12-6)))</f>
        <v/>
      </c>
      <c r="G118" s="306">
        <f>IF(A118&lt;$F$7,0,IF(AND($B$21=1,A118&gt;$B$19),0,$E$7*$G$7^MIN((A118-$F$7)/12,6)*MIN($G$7,0.85)^MAX(0,(A118-$F$7)/12-6)))</f>
        <v/>
      </c>
      <c r="H118" s="306">
        <f>IF(A118&lt;$F$8,0,IF(AND($B$21=1,A118&gt;$B$19),0,$E$8*$G$8^MIN((A118-$F$8)/12,6)*MIN($G$8,0.85)^MAX(0,(A118-$F$8)/12-6)))</f>
        <v/>
      </c>
      <c r="I118" s="306">
        <f>IF(A118&lt;$F$9,0,IF(AND($B$21=1,A118&gt;$B$19),0,$E$9*$G$9^MIN((A118-$F$9)/12,6)*MIN($G$9,0.85)^MAX(0,(A118-$F$9)/12-6)))</f>
        <v/>
      </c>
      <c r="J118" s="306">
        <f>IF(A118&lt;$F$10,0,IF(AND($B$21=1,A118&gt;$B$19),0,$E$10*$G$10^MIN((A118-$F$10)/12,6)*MIN($G$10,0.85)^MAX(0,(A118-$F$10)/12-6)))</f>
        <v/>
      </c>
      <c r="K118" s="306">
        <f>IF(A118&lt;$F$11,0,IF(AND($B$21=1,A118&gt;$B$19),0,$E$11*$G$11^MIN((A118-$F$11)/12,6)*MIN($G$11,0.85)^MAX(0,(A118-$F$11)/12-6)))</f>
        <v/>
      </c>
      <c r="L118" s="306">
        <f>IF(A118&lt;$F$12,0,IF(AND($B$21=1,A118&gt;$B$19),0,$E$12*$G$12^MIN((A118-$F$12)/12,6)*MIN($G$12,0.85)^MAX(0,(A118-$F$12)/12-6)))</f>
        <v/>
      </c>
      <c r="M118" s="306">
        <f>IF(A118&lt;$F$13,0,IF(AND($B$21=1,A118&gt;$B$19),0,$E$13*$G$13^MIN((A118-$F$13)/12,6)*MIN($G$13,0.85)^MAX(0,(A118-$F$13)/12-6)))</f>
        <v/>
      </c>
      <c r="N118" s="306">
        <f>IF(A118&lt;$F$14,0,IF(AND($B$21=1,A118&gt;$B$19),0,$E$14*$G$14^MIN((A118-$F$14)/12,6)*MIN($G$14,0.85)^MAX(0,(A118-$F$14)/12-6)))</f>
        <v/>
      </c>
      <c r="O118" s="306">
        <f>SUM(F118:N118)</f>
        <v/>
      </c>
      <c r="P118" s="306">
        <f>O118/12</f>
        <v/>
      </c>
      <c r="Q118" s="306">
        <f>P118*$B$8</f>
        <v/>
      </c>
      <c r="R118" s="306">
        <f>P118*$B$9</f>
        <v/>
      </c>
      <c r="S118" s="306">
        <f>P118*$B$10</f>
        <v/>
      </c>
      <c r="T118" s="306">
        <f>P118-Q118-R118-S118-D118-E118</f>
        <v/>
      </c>
      <c r="U118" s="306">
        <f>MAX(0, T118 - $B$7*P118)</f>
        <v/>
      </c>
      <c r="V118" s="306">
        <f>T118-U118</f>
        <v/>
      </c>
      <c r="W118" s="306">
        <f>IF(A118=$F$6, $B$18*$B$16*$B$17/1000000, 0) + IF(A118=$F$7, $B$18*$B$16*$B$17/1000000, 0) + IF(A118=$F$8, $B$18*$B$16*$B$17/1000000, 0) + IF(A118=$F$9, $B$18*$B$16*$B$17/1000000, 0) + IF(A118=$F$10, $B$18*$B$16*$B$17/1000000, 0) + IF(A118=$F$11, $B$18*$B$16*$B$17/1000000, 0) + IF(A118=$F$12, $B$18*$B$16*$B$17/1000000, 0) + IF(A118=$F$13, $B$18*$B$16*$B$17/1000000, 0) + IF(A118=$F$14, $B$18*$B$16*$B$17/1000000, 0)</f>
        <v/>
      </c>
      <c r="X118" s="306">
        <f>V118-W118-C118</f>
        <v/>
      </c>
      <c r="Y118" s="306">
        <f>IF(AND(A118&lt;=$B$24, X118&gt;0), X118*$B$23, 0)</f>
        <v/>
      </c>
      <c r="Z118" s="306">
        <f>X118-Y118</f>
        <v/>
      </c>
      <c r="AA118" s="306">
        <f>IF(AND(A118=$B$19, $B$21=1), O118*$B$20, 0)</f>
        <v/>
      </c>
      <c r="AB118" s="306">
        <f>AB117+Z118+AA118</f>
        <v/>
      </c>
    </row>
    <row r="119">
      <c r="A119" s="306" t="n">
        <v>89</v>
      </c>
      <c r="B119" s="306">
        <f>CEILING(A119/12,1)</f>
        <v/>
      </c>
      <c r="C119" s="306">
        <f>IF(A119&lt;=12, $B$15/12, 0)</f>
        <v/>
      </c>
      <c r="D119" s="306">
        <f>INDEX('26. Team Comp'!$D$28:$R$28, B119) * 0.001 / 12</f>
        <v/>
      </c>
      <c r="E119" s="306">
        <f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+ (IF(MAX(0, A119 - $F$11 + 1)&lt;=0, 0, IF(MAX(0, A119 - $F$11 + 1)&lt;=6, 70 - (70-14)*(MAX(0, A119 - $F$11 + 1)-1)/5, IF(MAX(0, A119 - $F$11 + 1)&lt;=24, 14 - 14*(MAX(0, A119 - $F$11 + 1)-6)/18, 0)))) + (IF(MAX(0, A119 - $F$12 + 1)&lt;=0, 0, IF(MAX(0, A119 - $F$12 + 1)&lt;=6, 70 - (70-14)*(MAX(0, A119 - $F$12 + 1)-1)/5, IF(MAX(0, A119 - $F$12 + 1)&lt;=24, 14 - 14*(MAX(0, A119 - $F$12 + 1)-6)/18, 0)))) + (IF(MAX(0, A119 - $F$13 + 1)&lt;=0, 0, IF(MAX(0, A119 - $F$13 + 1)&lt;=6, 70 - (70-14)*(MAX(0, A119 - $F$13 + 1)-1)/5, IF(MAX(0, A119 - $F$13 + 1)&lt;=24, 14 - 14*(MAX(0, A119 - $F$13 + 1)-6)/18, 0)))) + (IF(MAX(0, A119 - $F$14 + 1)&lt;=0, 0, IF(MAX(0, A119 - $F$14 + 1)&lt;=6, 70 - (70-14)*(MAX(0, A119 - $F$14 + 1)-1)/5, IF(MAX(0, A119 - $F$14 + 1)&lt;=24, 14 - 14*(MAX(0, A119 - $F$14 + 1)-6)/18, 0)))) ) * 200 / 12 / 1000</f>
        <v/>
      </c>
      <c r="F119" s="306">
        <f>IF(A119&lt;$F$6,0,IF(AND($B$21=1,A119&gt;$B$19),0,$E$6*$G$6^MIN((A119-$F$6)/12,6)*MIN($G$6,0.85)^MAX(0,(A119-$F$6)/12-6)))</f>
        <v/>
      </c>
      <c r="G119" s="306">
        <f>IF(A119&lt;$F$7,0,IF(AND($B$21=1,A119&gt;$B$19),0,$E$7*$G$7^MIN((A119-$F$7)/12,6)*MIN($G$7,0.85)^MAX(0,(A119-$F$7)/12-6)))</f>
        <v/>
      </c>
      <c r="H119" s="306">
        <f>IF(A119&lt;$F$8,0,IF(AND($B$21=1,A119&gt;$B$19),0,$E$8*$G$8^MIN((A119-$F$8)/12,6)*MIN($G$8,0.85)^MAX(0,(A119-$F$8)/12-6)))</f>
        <v/>
      </c>
      <c r="I119" s="306">
        <f>IF(A119&lt;$F$9,0,IF(AND($B$21=1,A119&gt;$B$19),0,$E$9*$G$9^MIN((A119-$F$9)/12,6)*MIN($G$9,0.85)^MAX(0,(A119-$F$9)/12-6)))</f>
        <v/>
      </c>
      <c r="J119" s="306">
        <f>IF(A119&lt;$F$10,0,IF(AND($B$21=1,A119&gt;$B$19),0,$E$10*$G$10^MIN((A119-$F$10)/12,6)*MIN($G$10,0.85)^MAX(0,(A119-$F$10)/12-6)))</f>
        <v/>
      </c>
      <c r="K119" s="306">
        <f>IF(A119&lt;$F$11,0,IF(AND($B$21=1,A119&gt;$B$19),0,$E$11*$G$11^MIN((A119-$F$11)/12,6)*MIN($G$11,0.85)^MAX(0,(A119-$F$11)/12-6)))</f>
        <v/>
      </c>
      <c r="L119" s="306">
        <f>IF(A119&lt;$F$12,0,IF(AND($B$21=1,A119&gt;$B$19),0,$E$12*$G$12^MIN((A119-$F$12)/12,6)*MIN($G$12,0.85)^MAX(0,(A119-$F$12)/12-6)))</f>
        <v/>
      </c>
      <c r="M119" s="306">
        <f>IF(A119&lt;$F$13,0,IF(AND($B$21=1,A119&gt;$B$19),0,$E$13*$G$13^MIN((A119-$F$13)/12,6)*MIN($G$13,0.85)^MAX(0,(A119-$F$13)/12-6)))</f>
        <v/>
      </c>
      <c r="N119" s="306">
        <f>IF(A119&lt;$F$14,0,IF(AND($B$21=1,A119&gt;$B$19),0,$E$14*$G$14^MIN((A119-$F$14)/12,6)*MIN($G$14,0.85)^MAX(0,(A119-$F$14)/12-6)))</f>
        <v/>
      </c>
      <c r="O119" s="306">
        <f>SUM(F119:N119)</f>
        <v/>
      </c>
      <c r="P119" s="306">
        <f>O119/12</f>
        <v/>
      </c>
      <c r="Q119" s="306">
        <f>P119*$B$8</f>
        <v/>
      </c>
      <c r="R119" s="306">
        <f>P119*$B$9</f>
        <v/>
      </c>
      <c r="S119" s="306">
        <f>P119*$B$10</f>
        <v/>
      </c>
      <c r="T119" s="306">
        <f>P119-Q119-R119-S119-D119-E119</f>
        <v/>
      </c>
      <c r="U119" s="306">
        <f>MAX(0, T119 - $B$7*P119)</f>
        <v/>
      </c>
      <c r="V119" s="306">
        <f>T119-U119</f>
        <v/>
      </c>
      <c r="W119" s="306">
        <f>IF(A119=$F$6, $B$18*$B$16*$B$17/1000000, 0) + IF(A119=$F$7, $B$18*$B$16*$B$17/1000000, 0) + IF(A119=$F$8, $B$18*$B$16*$B$17/1000000, 0) + IF(A119=$F$9, $B$18*$B$16*$B$17/1000000, 0) + IF(A119=$F$10, $B$18*$B$16*$B$17/1000000, 0) + IF(A119=$F$11, $B$18*$B$16*$B$17/1000000, 0) + IF(A119=$F$12, $B$18*$B$16*$B$17/1000000, 0) + IF(A119=$F$13, $B$18*$B$16*$B$17/1000000, 0) + IF(A119=$F$14, $B$18*$B$16*$B$17/1000000, 0)</f>
        <v/>
      </c>
      <c r="X119" s="306">
        <f>V119-W119-C119</f>
        <v/>
      </c>
      <c r="Y119" s="306">
        <f>IF(AND(A119&lt;=$B$24, X119&gt;0), X119*$B$23, 0)</f>
        <v/>
      </c>
      <c r="Z119" s="306">
        <f>X119-Y119</f>
        <v/>
      </c>
      <c r="AA119" s="306">
        <f>IF(AND(A119=$B$19, $B$21=1), O119*$B$20, 0)</f>
        <v/>
      </c>
      <c r="AB119" s="306">
        <f>AB118+Z119+AA119</f>
        <v/>
      </c>
    </row>
    <row r="120">
      <c r="A120" s="306" t="n">
        <v>90</v>
      </c>
      <c r="B120" s="306">
        <f>CEILING(A120/12,1)</f>
        <v/>
      </c>
      <c r="C120" s="306">
        <f>IF(A120&lt;=12, $B$15/12, 0)</f>
        <v/>
      </c>
      <c r="D120" s="306">
        <f>INDEX('26. Team Comp'!$D$28:$R$28, B120) * 0.001 / 12</f>
        <v/>
      </c>
      <c r="E120" s="306">
        <f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+ (IF(MAX(0, A120 - $F$11 + 1)&lt;=0, 0, IF(MAX(0, A120 - $F$11 + 1)&lt;=6, 70 - (70-14)*(MAX(0, A120 - $F$11 + 1)-1)/5, IF(MAX(0, A120 - $F$11 + 1)&lt;=24, 14 - 14*(MAX(0, A120 - $F$11 + 1)-6)/18, 0)))) + (IF(MAX(0, A120 - $F$12 + 1)&lt;=0, 0, IF(MAX(0, A120 - $F$12 + 1)&lt;=6, 70 - (70-14)*(MAX(0, A120 - $F$12 + 1)-1)/5, IF(MAX(0, A120 - $F$12 + 1)&lt;=24, 14 - 14*(MAX(0, A120 - $F$12 + 1)-6)/18, 0)))) + (IF(MAX(0, A120 - $F$13 + 1)&lt;=0, 0, IF(MAX(0, A120 - $F$13 + 1)&lt;=6, 70 - (70-14)*(MAX(0, A120 - $F$13 + 1)-1)/5, IF(MAX(0, A120 - $F$13 + 1)&lt;=24, 14 - 14*(MAX(0, A120 - $F$13 + 1)-6)/18, 0)))) + (IF(MAX(0, A120 - $F$14 + 1)&lt;=0, 0, IF(MAX(0, A120 - $F$14 + 1)&lt;=6, 70 - (70-14)*(MAX(0, A120 - $F$14 + 1)-1)/5, IF(MAX(0, A120 - $F$14 + 1)&lt;=24, 14 - 14*(MAX(0, A120 - $F$14 + 1)-6)/18, 0)))) ) * 200 / 12 / 1000</f>
        <v/>
      </c>
      <c r="F120" s="306">
        <f>IF(A120&lt;$F$6,0,IF(AND($B$21=1,A120&gt;$B$19),0,$E$6*$G$6^MIN((A120-$F$6)/12,6)*MIN($G$6,0.85)^MAX(0,(A120-$F$6)/12-6)))</f>
        <v/>
      </c>
      <c r="G120" s="306">
        <f>IF(A120&lt;$F$7,0,IF(AND($B$21=1,A120&gt;$B$19),0,$E$7*$G$7^MIN((A120-$F$7)/12,6)*MIN($G$7,0.85)^MAX(0,(A120-$F$7)/12-6)))</f>
        <v/>
      </c>
      <c r="H120" s="306">
        <f>IF(A120&lt;$F$8,0,IF(AND($B$21=1,A120&gt;$B$19),0,$E$8*$G$8^MIN((A120-$F$8)/12,6)*MIN($G$8,0.85)^MAX(0,(A120-$F$8)/12-6)))</f>
        <v/>
      </c>
      <c r="I120" s="306">
        <f>IF(A120&lt;$F$9,0,IF(AND($B$21=1,A120&gt;$B$19),0,$E$9*$G$9^MIN((A120-$F$9)/12,6)*MIN($G$9,0.85)^MAX(0,(A120-$F$9)/12-6)))</f>
        <v/>
      </c>
      <c r="J120" s="306">
        <f>IF(A120&lt;$F$10,0,IF(AND($B$21=1,A120&gt;$B$19),0,$E$10*$G$10^MIN((A120-$F$10)/12,6)*MIN($G$10,0.85)^MAX(0,(A120-$F$10)/12-6)))</f>
        <v/>
      </c>
      <c r="K120" s="306">
        <f>IF(A120&lt;$F$11,0,IF(AND($B$21=1,A120&gt;$B$19),0,$E$11*$G$11^MIN((A120-$F$11)/12,6)*MIN($G$11,0.85)^MAX(0,(A120-$F$11)/12-6)))</f>
        <v/>
      </c>
      <c r="L120" s="306">
        <f>IF(A120&lt;$F$12,0,IF(AND($B$21=1,A120&gt;$B$19),0,$E$12*$G$12^MIN((A120-$F$12)/12,6)*MIN($G$12,0.85)^MAX(0,(A120-$F$12)/12-6)))</f>
        <v/>
      </c>
      <c r="M120" s="306">
        <f>IF(A120&lt;$F$13,0,IF(AND($B$21=1,A120&gt;$B$19),0,$E$13*$G$13^MIN((A120-$F$13)/12,6)*MIN($G$13,0.85)^MAX(0,(A120-$F$13)/12-6)))</f>
        <v/>
      </c>
      <c r="N120" s="306">
        <f>IF(A120&lt;$F$14,0,IF(AND($B$21=1,A120&gt;$B$19),0,$E$14*$G$14^MIN((A120-$F$14)/12,6)*MIN($G$14,0.85)^MAX(0,(A120-$F$14)/12-6)))</f>
        <v/>
      </c>
      <c r="O120" s="306">
        <f>SUM(F120:N120)</f>
        <v/>
      </c>
      <c r="P120" s="306">
        <f>O120/12</f>
        <v/>
      </c>
      <c r="Q120" s="306">
        <f>P120*$B$8</f>
        <v/>
      </c>
      <c r="R120" s="306">
        <f>P120*$B$9</f>
        <v/>
      </c>
      <c r="S120" s="306">
        <f>P120*$B$10</f>
        <v/>
      </c>
      <c r="T120" s="306">
        <f>P120-Q120-R120-S120-D120-E120</f>
        <v/>
      </c>
      <c r="U120" s="306">
        <f>MAX(0, T120 - $B$7*P120)</f>
        <v/>
      </c>
      <c r="V120" s="306">
        <f>T120-U120</f>
        <v/>
      </c>
      <c r="W120" s="306">
        <f>IF(A120=$F$6, $B$18*$B$16*$B$17/1000000, 0) + IF(A120=$F$7, $B$18*$B$16*$B$17/1000000, 0) + IF(A120=$F$8, $B$18*$B$16*$B$17/1000000, 0) + IF(A120=$F$9, $B$18*$B$16*$B$17/1000000, 0) + IF(A120=$F$10, $B$18*$B$16*$B$17/1000000, 0) + IF(A120=$F$11, $B$18*$B$16*$B$17/1000000, 0) + IF(A120=$F$12, $B$18*$B$16*$B$17/1000000, 0) + IF(A120=$F$13, $B$18*$B$16*$B$17/1000000, 0) + IF(A120=$F$14, $B$18*$B$16*$B$17/1000000, 0)</f>
        <v/>
      </c>
      <c r="X120" s="306">
        <f>V120-W120-C120</f>
        <v/>
      </c>
      <c r="Y120" s="306">
        <f>IF(AND(A120&lt;=$B$24, X120&gt;0), X120*$B$23, 0)</f>
        <v/>
      </c>
      <c r="Z120" s="306">
        <f>X120-Y120</f>
        <v/>
      </c>
      <c r="AA120" s="306">
        <f>IF(AND(A120=$B$19, $B$21=1), O120*$B$20, 0)</f>
        <v/>
      </c>
      <c r="AB120" s="306">
        <f>AB119+Z120+AA120</f>
        <v/>
      </c>
    </row>
    <row r="121">
      <c r="A121" s="306" t="n">
        <v>91</v>
      </c>
      <c r="B121" s="306">
        <f>CEILING(A121/12,1)</f>
        <v/>
      </c>
      <c r="C121" s="306">
        <f>IF(A121&lt;=12, $B$15/12, 0)</f>
        <v/>
      </c>
      <c r="D121" s="306">
        <f>INDEX('26. Team Comp'!$D$28:$R$28, B121) * 0.001 / 12</f>
        <v/>
      </c>
      <c r="E121" s="306">
        <f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+ (IF(MAX(0, A121 - $F$11 + 1)&lt;=0, 0, IF(MAX(0, A121 - $F$11 + 1)&lt;=6, 70 - (70-14)*(MAX(0, A121 - $F$11 + 1)-1)/5, IF(MAX(0, A121 - $F$11 + 1)&lt;=24, 14 - 14*(MAX(0, A121 - $F$11 + 1)-6)/18, 0)))) + (IF(MAX(0, A121 - $F$12 + 1)&lt;=0, 0, IF(MAX(0, A121 - $F$12 + 1)&lt;=6, 70 - (70-14)*(MAX(0, A121 - $F$12 + 1)-1)/5, IF(MAX(0, A121 - $F$12 + 1)&lt;=24, 14 - 14*(MAX(0, A121 - $F$12 + 1)-6)/18, 0)))) + (IF(MAX(0, A121 - $F$13 + 1)&lt;=0, 0, IF(MAX(0, A121 - $F$13 + 1)&lt;=6, 70 - (70-14)*(MAX(0, A121 - $F$13 + 1)-1)/5, IF(MAX(0, A121 - $F$13 + 1)&lt;=24, 14 - 14*(MAX(0, A121 - $F$13 + 1)-6)/18, 0)))) + (IF(MAX(0, A121 - $F$14 + 1)&lt;=0, 0, IF(MAX(0, A121 - $F$14 + 1)&lt;=6, 70 - (70-14)*(MAX(0, A121 - $F$14 + 1)-1)/5, IF(MAX(0, A121 - $F$14 + 1)&lt;=24, 14 - 14*(MAX(0, A121 - $F$14 + 1)-6)/18, 0)))) ) * 200 / 12 / 1000</f>
        <v/>
      </c>
      <c r="F121" s="306">
        <f>IF(A121&lt;$F$6,0,IF(AND($B$21=1,A121&gt;$B$19),0,$E$6*$G$6^MIN((A121-$F$6)/12,6)*MIN($G$6,0.85)^MAX(0,(A121-$F$6)/12-6)))</f>
        <v/>
      </c>
      <c r="G121" s="306">
        <f>IF(A121&lt;$F$7,0,IF(AND($B$21=1,A121&gt;$B$19),0,$E$7*$G$7^MIN((A121-$F$7)/12,6)*MIN($G$7,0.85)^MAX(0,(A121-$F$7)/12-6)))</f>
        <v/>
      </c>
      <c r="H121" s="306">
        <f>IF(A121&lt;$F$8,0,IF(AND($B$21=1,A121&gt;$B$19),0,$E$8*$G$8^MIN((A121-$F$8)/12,6)*MIN($G$8,0.85)^MAX(0,(A121-$F$8)/12-6)))</f>
        <v/>
      </c>
      <c r="I121" s="306">
        <f>IF(A121&lt;$F$9,0,IF(AND($B$21=1,A121&gt;$B$19),0,$E$9*$G$9^MIN((A121-$F$9)/12,6)*MIN($G$9,0.85)^MAX(0,(A121-$F$9)/12-6)))</f>
        <v/>
      </c>
      <c r="J121" s="306">
        <f>IF(A121&lt;$F$10,0,IF(AND($B$21=1,A121&gt;$B$19),0,$E$10*$G$10^MIN((A121-$F$10)/12,6)*MIN($G$10,0.85)^MAX(0,(A121-$F$10)/12-6)))</f>
        <v/>
      </c>
      <c r="K121" s="306">
        <f>IF(A121&lt;$F$11,0,IF(AND($B$21=1,A121&gt;$B$19),0,$E$11*$G$11^MIN((A121-$F$11)/12,6)*MIN($G$11,0.85)^MAX(0,(A121-$F$11)/12-6)))</f>
        <v/>
      </c>
      <c r="L121" s="306">
        <f>IF(A121&lt;$F$12,0,IF(AND($B$21=1,A121&gt;$B$19),0,$E$12*$G$12^MIN((A121-$F$12)/12,6)*MIN($G$12,0.85)^MAX(0,(A121-$F$12)/12-6)))</f>
        <v/>
      </c>
      <c r="M121" s="306">
        <f>IF(A121&lt;$F$13,0,IF(AND($B$21=1,A121&gt;$B$19),0,$E$13*$G$13^MIN((A121-$F$13)/12,6)*MIN($G$13,0.85)^MAX(0,(A121-$F$13)/12-6)))</f>
        <v/>
      </c>
      <c r="N121" s="306">
        <f>IF(A121&lt;$F$14,0,IF(AND($B$21=1,A121&gt;$B$19),0,$E$14*$G$14^MIN((A121-$F$14)/12,6)*MIN($G$14,0.85)^MAX(0,(A121-$F$14)/12-6)))</f>
        <v/>
      </c>
      <c r="O121" s="306">
        <f>SUM(F121:N121)</f>
        <v/>
      </c>
      <c r="P121" s="306">
        <f>O121/12</f>
        <v/>
      </c>
      <c r="Q121" s="306">
        <f>P121*$B$8</f>
        <v/>
      </c>
      <c r="R121" s="306">
        <f>P121*$B$9</f>
        <v/>
      </c>
      <c r="S121" s="306">
        <f>P121*$B$10</f>
        <v/>
      </c>
      <c r="T121" s="306">
        <f>P121-Q121-R121-S121-D121-E121</f>
        <v/>
      </c>
      <c r="U121" s="306">
        <f>MAX(0, T121 - $B$7*P121)</f>
        <v/>
      </c>
      <c r="V121" s="306">
        <f>T121-U121</f>
        <v/>
      </c>
      <c r="W121" s="306">
        <f>IF(A121=$F$6, $B$18*$B$16*$B$17/1000000, 0) + IF(A121=$F$7, $B$18*$B$16*$B$17/1000000, 0) + IF(A121=$F$8, $B$18*$B$16*$B$17/1000000, 0) + IF(A121=$F$9, $B$18*$B$16*$B$17/1000000, 0) + IF(A121=$F$10, $B$18*$B$16*$B$17/1000000, 0) + IF(A121=$F$11, $B$18*$B$16*$B$17/1000000, 0) + IF(A121=$F$12, $B$18*$B$16*$B$17/1000000, 0) + IF(A121=$F$13, $B$18*$B$16*$B$17/1000000, 0) + IF(A121=$F$14, $B$18*$B$16*$B$17/1000000, 0)</f>
        <v/>
      </c>
      <c r="X121" s="306">
        <f>V121-W121-C121</f>
        <v/>
      </c>
      <c r="Y121" s="306">
        <f>IF(AND(A121&lt;=$B$24, X121&gt;0), X121*$B$23, 0)</f>
        <v/>
      </c>
      <c r="Z121" s="306">
        <f>X121-Y121</f>
        <v/>
      </c>
      <c r="AA121" s="306">
        <f>IF(AND(A121=$B$19, $B$21=1), O121*$B$20, 0)</f>
        <v/>
      </c>
      <c r="AB121" s="306">
        <f>AB120+Z121+AA121</f>
        <v/>
      </c>
    </row>
    <row r="122">
      <c r="A122" s="306" t="n">
        <v>92</v>
      </c>
      <c r="B122" s="306">
        <f>CEILING(A122/12,1)</f>
        <v/>
      </c>
      <c r="C122" s="306">
        <f>IF(A122&lt;=12, $B$15/12, 0)</f>
        <v/>
      </c>
      <c r="D122" s="306">
        <f>INDEX('26. Team Comp'!$D$28:$R$28, B122) * 0.001 / 12</f>
        <v/>
      </c>
      <c r="E122" s="306">
        <f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+ (IF(MAX(0, A122 - $F$11 + 1)&lt;=0, 0, IF(MAX(0, A122 - $F$11 + 1)&lt;=6, 70 - (70-14)*(MAX(0, A122 - $F$11 + 1)-1)/5, IF(MAX(0, A122 - $F$11 + 1)&lt;=24, 14 - 14*(MAX(0, A122 - $F$11 + 1)-6)/18, 0)))) + (IF(MAX(0, A122 - $F$12 + 1)&lt;=0, 0, IF(MAX(0, A122 - $F$12 + 1)&lt;=6, 70 - (70-14)*(MAX(0, A122 - $F$12 + 1)-1)/5, IF(MAX(0, A122 - $F$12 + 1)&lt;=24, 14 - 14*(MAX(0, A122 - $F$12 + 1)-6)/18, 0)))) + (IF(MAX(0, A122 - $F$13 + 1)&lt;=0, 0, IF(MAX(0, A122 - $F$13 + 1)&lt;=6, 70 - (70-14)*(MAX(0, A122 - $F$13 + 1)-1)/5, IF(MAX(0, A122 - $F$13 + 1)&lt;=24, 14 - 14*(MAX(0, A122 - $F$13 + 1)-6)/18, 0)))) + (IF(MAX(0, A122 - $F$14 + 1)&lt;=0, 0, IF(MAX(0, A122 - $F$14 + 1)&lt;=6, 70 - (70-14)*(MAX(0, A122 - $F$14 + 1)-1)/5, IF(MAX(0, A122 - $F$14 + 1)&lt;=24, 14 - 14*(MAX(0, A122 - $F$14 + 1)-6)/18, 0)))) ) * 200 / 12 / 1000</f>
        <v/>
      </c>
      <c r="F122" s="306">
        <f>IF(A122&lt;$F$6,0,IF(AND($B$21=1,A122&gt;$B$19),0,$E$6*$G$6^MIN((A122-$F$6)/12,6)*MIN($G$6,0.85)^MAX(0,(A122-$F$6)/12-6)))</f>
        <v/>
      </c>
      <c r="G122" s="306">
        <f>IF(A122&lt;$F$7,0,IF(AND($B$21=1,A122&gt;$B$19),0,$E$7*$G$7^MIN((A122-$F$7)/12,6)*MIN($G$7,0.85)^MAX(0,(A122-$F$7)/12-6)))</f>
        <v/>
      </c>
      <c r="H122" s="306">
        <f>IF(A122&lt;$F$8,0,IF(AND($B$21=1,A122&gt;$B$19),0,$E$8*$G$8^MIN((A122-$F$8)/12,6)*MIN($G$8,0.85)^MAX(0,(A122-$F$8)/12-6)))</f>
        <v/>
      </c>
      <c r="I122" s="306">
        <f>IF(A122&lt;$F$9,0,IF(AND($B$21=1,A122&gt;$B$19),0,$E$9*$G$9^MIN((A122-$F$9)/12,6)*MIN($G$9,0.85)^MAX(0,(A122-$F$9)/12-6)))</f>
        <v/>
      </c>
      <c r="J122" s="306">
        <f>IF(A122&lt;$F$10,0,IF(AND($B$21=1,A122&gt;$B$19),0,$E$10*$G$10^MIN((A122-$F$10)/12,6)*MIN($G$10,0.85)^MAX(0,(A122-$F$10)/12-6)))</f>
        <v/>
      </c>
      <c r="K122" s="306">
        <f>IF(A122&lt;$F$11,0,IF(AND($B$21=1,A122&gt;$B$19),0,$E$11*$G$11^MIN((A122-$F$11)/12,6)*MIN($G$11,0.85)^MAX(0,(A122-$F$11)/12-6)))</f>
        <v/>
      </c>
      <c r="L122" s="306">
        <f>IF(A122&lt;$F$12,0,IF(AND($B$21=1,A122&gt;$B$19),0,$E$12*$G$12^MIN((A122-$F$12)/12,6)*MIN($G$12,0.85)^MAX(0,(A122-$F$12)/12-6)))</f>
        <v/>
      </c>
      <c r="M122" s="306">
        <f>IF(A122&lt;$F$13,0,IF(AND($B$21=1,A122&gt;$B$19),0,$E$13*$G$13^MIN((A122-$F$13)/12,6)*MIN($G$13,0.85)^MAX(0,(A122-$F$13)/12-6)))</f>
        <v/>
      </c>
      <c r="N122" s="306">
        <f>IF(A122&lt;$F$14,0,IF(AND($B$21=1,A122&gt;$B$19),0,$E$14*$G$14^MIN((A122-$F$14)/12,6)*MIN($G$14,0.85)^MAX(0,(A122-$F$14)/12-6)))</f>
        <v/>
      </c>
      <c r="O122" s="306">
        <f>SUM(F122:N122)</f>
        <v/>
      </c>
      <c r="P122" s="306">
        <f>O122/12</f>
        <v/>
      </c>
      <c r="Q122" s="306">
        <f>P122*$B$8</f>
        <v/>
      </c>
      <c r="R122" s="306">
        <f>P122*$B$9</f>
        <v/>
      </c>
      <c r="S122" s="306">
        <f>P122*$B$10</f>
        <v/>
      </c>
      <c r="T122" s="306">
        <f>P122-Q122-R122-S122-D122-E122</f>
        <v/>
      </c>
      <c r="U122" s="306">
        <f>MAX(0, T122 - $B$7*P122)</f>
        <v/>
      </c>
      <c r="V122" s="306">
        <f>T122-U122</f>
        <v/>
      </c>
      <c r="W122" s="306">
        <f>IF(A122=$F$6, $B$18*$B$16*$B$17/1000000, 0) + IF(A122=$F$7, $B$18*$B$16*$B$17/1000000, 0) + IF(A122=$F$8, $B$18*$B$16*$B$17/1000000, 0) + IF(A122=$F$9, $B$18*$B$16*$B$17/1000000, 0) + IF(A122=$F$10, $B$18*$B$16*$B$17/1000000, 0) + IF(A122=$F$11, $B$18*$B$16*$B$17/1000000, 0) + IF(A122=$F$12, $B$18*$B$16*$B$17/1000000, 0) + IF(A122=$F$13, $B$18*$B$16*$B$17/1000000, 0) + IF(A122=$F$14, $B$18*$B$16*$B$17/1000000, 0)</f>
        <v/>
      </c>
      <c r="X122" s="306">
        <f>V122-W122-C122</f>
        <v/>
      </c>
      <c r="Y122" s="306">
        <f>IF(AND(A122&lt;=$B$24, X122&gt;0), X122*$B$23, 0)</f>
        <v/>
      </c>
      <c r="Z122" s="306">
        <f>X122-Y122</f>
        <v/>
      </c>
      <c r="AA122" s="306">
        <f>IF(AND(A122=$B$19, $B$21=1), O122*$B$20, 0)</f>
        <v/>
      </c>
      <c r="AB122" s="306">
        <f>AB121+Z122+AA122</f>
        <v/>
      </c>
    </row>
    <row r="123">
      <c r="A123" s="306" t="n">
        <v>93</v>
      </c>
      <c r="B123" s="306">
        <f>CEILING(A123/12,1)</f>
        <v/>
      </c>
      <c r="C123" s="306">
        <f>IF(A123&lt;=12, $B$15/12, 0)</f>
        <v/>
      </c>
      <c r="D123" s="306">
        <f>INDEX('26. Team Comp'!$D$28:$R$28, B123) * 0.001 / 12</f>
        <v/>
      </c>
      <c r="E123" s="306">
        <f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+ (IF(MAX(0, A123 - $F$11 + 1)&lt;=0, 0, IF(MAX(0, A123 - $F$11 + 1)&lt;=6, 70 - (70-14)*(MAX(0, A123 - $F$11 + 1)-1)/5, IF(MAX(0, A123 - $F$11 + 1)&lt;=24, 14 - 14*(MAX(0, A123 - $F$11 + 1)-6)/18, 0)))) + (IF(MAX(0, A123 - $F$12 + 1)&lt;=0, 0, IF(MAX(0, A123 - $F$12 + 1)&lt;=6, 70 - (70-14)*(MAX(0, A123 - $F$12 + 1)-1)/5, IF(MAX(0, A123 - $F$12 + 1)&lt;=24, 14 - 14*(MAX(0, A123 - $F$12 + 1)-6)/18, 0)))) + (IF(MAX(0, A123 - $F$13 + 1)&lt;=0, 0, IF(MAX(0, A123 - $F$13 + 1)&lt;=6, 70 - (70-14)*(MAX(0, A123 - $F$13 + 1)-1)/5, IF(MAX(0, A123 - $F$13 + 1)&lt;=24, 14 - 14*(MAX(0, A123 - $F$13 + 1)-6)/18, 0)))) + (IF(MAX(0, A123 - $F$14 + 1)&lt;=0, 0, IF(MAX(0, A123 - $F$14 + 1)&lt;=6, 70 - (70-14)*(MAX(0, A123 - $F$14 + 1)-1)/5, IF(MAX(0, A123 - $F$14 + 1)&lt;=24, 14 - 14*(MAX(0, A123 - $F$14 + 1)-6)/18, 0)))) ) * 200 / 12 / 1000</f>
        <v/>
      </c>
      <c r="F123" s="306">
        <f>IF(A123&lt;$F$6,0,IF(AND($B$21=1,A123&gt;$B$19),0,$E$6*$G$6^MIN((A123-$F$6)/12,6)*MIN($G$6,0.85)^MAX(0,(A123-$F$6)/12-6)))</f>
        <v/>
      </c>
      <c r="G123" s="306">
        <f>IF(A123&lt;$F$7,0,IF(AND($B$21=1,A123&gt;$B$19),0,$E$7*$G$7^MIN((A123-$F$7)/12,6)*MIN($G$7,0.85)^MAX(0,(A123-$F$7)/12-6)))</f>
        <v/>
      </c>
      <c r="H123" s="306">
        <f>IF(A123&lt;$F$8,0,IF(AND($B$21=1,A123&gt;$B$19),0,$E$8*$G$8^MIN((A123-$F$8)/12,6)*MIN($G$8,0.85)^MAX(0,(A123-$F$8)/12-6)))</f>
        <v/>
      </c>
      <c r="I123" s="306">
        <f>IF(A123&lt;$F$9,0,IF(AND($B$21=1,A123&gt;$B$19),0,$E$9*$G$9^MIN((A123-$F$9)/12,6)*MIN($G$9,0.85)^MAX(0,(A123-$F$9)/12-6)))</f>
        <v/>
      </c>
      <c r="J123" s="306">
        <f>IF(A123&lt;$F$10,0,IF(AND($B$21=1,A123&gt;$B$19),0,$E$10*$G$10^MIN((A123-$F$10)/12,6)*MIN($G$10,0.85)^MAX(0,(A123-$F$10)/12-6)))</f>
        <v/>
      </c>
      <c r="K123" s="306">
        <f>IF(A123&lt;$F$11,0,IF(AND($B$21=1,A123&gt;$B$19),0,$E$11*$G$11^MIN((A123-$F$11)/12,6)*MIN($G$11,0.85)^MAX(0,(A123-$F$11)/12-6)))</f>
        <v/>
      </c>
      <c r="L123" s="306">
        <f>IF(A123&lt;$F$12,0,IF(AND($B$21=1,A123&gt;$B$19),0,$E$12*$G$12^MIN((A123-$F$12)/12,6)*MIN($G$12,0.85)^MAX(0,(A123-$F$12)/12-6)))</f>
        <v/>
      </c>
      <c r="M123" s="306">
        <f>IF(A123&lt;$F$13,0,IF(AND($B$21=1,A123&gt;$B$19),0,$E$13*$G$13^MIN((A123-$F$13)/12,6)*MIN($G$13,0.85)^MAX(0,(A123-$F$13)/12-6)))</f>
        <v/>
      </c>
      <c r="N123" s="306">
        <f>IF(A123&lt;$F$14,0,IF(AND($B$21=1,A123&gt;$B$19),0,$E$14*$G$14^MIN((A123-$F$14)/12,6)*MIN($G$14,0.85)^MAX(0,(A123-$F$14)/12-6)))</f>
        <v/>
      </c>
      <c r="O123" s="306">
        <f>SUM(F123:N123)</f>
        <v/>
      </c>
      <c r="P123" s="306">
        <f>O123/12</f>
        <v/>
      </c>
      <c r="Q123" s="306">
        <f>P123*$B$8</f>
        <v/>
      </c>
      <c r="R123" s="306">
        <f>P123*$B$9</f>
        <v/>
      </c>
      <c r="S123" s="306">
        <f>P123*$B$10</f>
        <v/>
      </c>
      <c r="T123" s="306">
        <f>P123-Q123-R123-S123-D123-E123</f>
        <v/>
      </c>
      <c r="U123" s="306">
        <f>MAX(0, T123 - $B$7*P123)</f>
        <v/>
      </c>
      <c r="V123" s="306">
        <f>T123-U123</f>
        <v/>
      </c>
      <c r="W123" s="306">
        <f>IF(A123=$F$6, $B$18*$B$16*$B$17/1000000, 0) + IF(A123=$F$7, $B$18*$B$16*$B$17/1000000, 0) + IF(A123=$F$8, $B$18*$B$16*$B$17/1000000, 0) + IF(A123=$F$9, $B$18*$B$16*$B$17/1000000, 0) + IF(A123=$F$10, $B$18*$B$16*$B$17/1000000, 0) + IF(A123=$F$11, $B$18*$B$16*$B$17/1000000, 0) + IF(A123=$F$12, $B$18*$B$16*$B$17/1000000, 0) + IF(A123=$F$13, $B$18*$B$16*$B$17/1000000, 0) + IF(A123=$F$14, $B$18*$B$16*$B$17/1000000, 0)</f>
        <v/>
      </c>
      <c r="X123" s="306">
        <f>V123-W123-C123</f>
        <v/>
      </c>
      <c r="Y123" s="306">
        <f>IF(AND(A123&lt;=$B$24, X123&gt;0), X123*$B$23, 0)</f>
        <v/>
      </c>
      <c r="Z123" s="306">
        <f>X123-Y123</f>
        <v/>
      </c>
      <c r="AA123" s="306">
        <f>IF(AND(A123=$B$19, $B$21=1), O123*$B$20, 0)</f>
        <v/>
      </c>
      <c r="AB123" s="306">
        <f>AB122+Z123+AA123</f>
        <v/>
      </c>
    </row>
    <row r="124">
      <c r="A124" s="306" t="n">
        <v>94</v>
      </c>
      <c r="B124" s="306">
        <f>CEILING(A124/12,1)</f>
        <v/>
      </c>
      <c r="C124" s="306">
        <f>IF(A124&lt;=12, $B$15/12, 0)</f>
        <v/>
      </c>
      <c r="D124" s="306">
        <f>INDEX('26. Team Comp'!$D$28:$R$28, B124) * 0.001 / 12</f>
        <v/>
      </c>
      <c r="E124" s="306">
        <f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+ (IF(MAX(0, A124 - $F$11 + 1)&lt;=0, 0, IF(MAX(0, A124 - $F$11 + 1)&lt;=6, 70 - (70-14)*(MAX(0, A124 - $F$11 + 1)-1)/5, IF(MAX(0, A124 - $F$11 + 1)&lt;=24, 14 - 14*(MAX(0, A124 - $F$11 + 1)-6)/18, 0)))) + (IF(MAX(0, A124 - $F$12 + 1)&lt;=0, 0, IF(MAX(0, A124 - $F$12 + 1)&lt;=6, 70 - (70-14)*(MAX(0, A124 - $F$12 + 1)-1)/5, IF(MAX(0, A124 - $F$12 + 1)&lt;=24, 14 - 14*(MAX(0, A124 - $F$12 + 1)-6)/18, 0)))) + (IF(MAX(0, A124 - $F$13 + 1)&lt;=0, 0, IF(MAX(0, A124 - $F$13 + 1)&lt;=6, 70 - (70-14)*(MAX(0, A124 - $F$13 + 1)-1)/5, IF(MAX(0, A124 - $F$13 + 1)&lt;=24, 14 - 14*(MAX(0, A124 - $F$13 + 1)-6)/18, 0)))) + (IF(MAX(0, A124 - $F$14 + 1)&lt;=0, 0, IF(MAX(0, A124 - $F$14 + 1)&lt;=6, 70 - (70-14)*(MAX(0, A124 - $F$14 + 1)-1)/5, IF(MAX(0, A124 - $F$14 + 1)&lt;=24, 14 - 14*(MAX(0, A124 - $F$14 + 1)-6)/18, 0)))) ) * 200 / 12 / 1000</f>
        <v/>
      </c>
      <c r="F124" s="306">
        <f>IF(A124&lt;$F$6,0,IF(AND($B$21=1,A124&gt;$B$19),0,$E$6*$G$6^MIN((A124-$F$6)/12,6)*MIN($G$6,0.85)^MAX(0,(A124-$F$6)/12-6)))</f>
        <v/>
      </c>
      <c r="G124" s="306">
        <f>IF(A124&lt;$F$7,0,IF(AND($B$21=1,A124&gt;$B$19),0,$E$7*$G$7^MIN((A124-$F$7)/12,6)*MIN($G$7,0.85)^MAX(0,(A124-$F$7)/12-6)))</f>
        <v/>
      </c>
      <c r="H124" s="306">
        <f>IF(A124&lt;$F$8,0,IF(AND($B$21=1,A124&gt;$B$19),0,$E$8*$G$8^MIN((A124-$F$8)/12,6)*MIN($G$8,0.85)^MAX(0,(A124-$F$8)/12-6)))</f>
        <v/>
      </c>
      <c r="I124" s="306">
        <f>IF(A124&lt;$F$9,0,IF(AND($B$21=1,A124&gt;$B$19),0,$E$9*$G$9^MIN((A124-$F$9)/12,6)*MIN($G$9,0.85)^MAX(0,(A124-$F$9)/12-6)))</f>
        <v/>
      </c>
      <c r="J124" s="306">
        <f>IF(A124&lt;$F$10,0,IF(AND($B$21=1,A124&gt;$B$19),0,$E$10*$G$10^MIN((A124-$F$10)/12,6)*MIN($G$10,0.85)^MAX(0,(A124-$F$10)/12-6)))</f>
        <v/>
      </c>
      <c r="K124" s="306">
        <f>IF(A124&lt;$F$11,0,IF(AND($B$21=1,A124&gt;$B$19),0,$E$11*$G$11^MIN((A124-$F$11)/12,6)*MIN($G$11,0.85)^MAX(0,(A124-$F$11)/12-6)))</f>
        <v/>
      </c>
      <c r="L124" s="306">
        <f>IF(A124&lt;$F$12,0,IF(AND($B$21=1,A124&gt;$B$19),0,$E$12*$G$12^MIN((A124-$F$12)/12,6)*MIN($G$12,0.85)^MAX(0,(A124-$F$12)/12-6)))</f>
        <v/>
      </c>
      <c r="M124" s="306">
        <f>IF(A124&lt;$F$13,0,IF(AND($B$21=1,A124&gt;$B$19),0,$E$13*$G$13^MIN((A124-$F$13)/12,6)*MIN($G$13,0.85)^MAX(0,(A124-$F$13)/12-6)))</f>
        <v/>
      </c>
      <c r="N124" s="306">
        <f>IF(A124&lt;$F$14,0,IF(AND($B$21=1,A124&gt;$B$19),0,$E$14*$G$14^MIN((A124-$F$14)/12,6)*MIN($G$14,0.85)^MAX(0,(A124-$F$14)/12-6)))</f>
        <v/>
      </c>
      <c r="O124" s="306">
        <f>SUM(F124:N124)</f>
        <v/>
      </c>
      <c r="P124" s="306">
        <f>O124/12</f>
        <v/>
      </c>
      <c r="Q124" s="306">
        <f>P124*$B$8</f>
        <v/>
      </c>
      <c r="R124" s="306">
        <f>P124*$B$9</f>
        <v/>
      </c>
      <c r="S124" s="306">
        <f>P124*$B$10</f>
        <v/>
      </c>
      <c r="T124" s="306">
        <f>P124-Q124-R124-S124-D124-E124</f>
        <v/>
      </c>
      <c r="U124" s="306">
        <f>MAX(0, T124 - $B$7*P124)</f>
        <v/>
      </c>
      <c r="V124" s="306">
        <f>T124-U124</f>
        <v/>
      </c>
      <c r="W124" s="306">
        <f>IF(A124=$F$6, $B$18*$B$16*$B$17/1000000, 0) + IF(A124=$F$7, $B$18*$B$16*$B$17/1000000, 0) + IF(A124=$F$8, $B$18*$B$16*$B$17/1000000, 0) + IF(A124=$F$9, $B$18*$B$16*$B$17/1000000, 0) + IF(A124=$F$10, $B$18*$B$16*$B$17/1000000, 0) + IF(A124=$F$11, $B$18*$B$16*$B$17/1000000, 0) + IF(A124=$F$12, $B$18*$B$16*$B$17/1000000, 0) + IF(A124=$F$13, $B$18*$B$16*$B$17/1000000, 0) + IF(A124=$F$14, $B$18*$B$16*$B$17/1000000, 0)</f>
        <v/>
      </c>
      <c r="X124" s="306">
        <f>V124-W124-C124</f>
        <v/>
      </c>
      <c r="Y124" s="306">
        <f>IF(AND(A124&lt;=$B$24, X124&gt;0), X124*$B$23, 0)</f>
        <v/>
      </c>
      <c r="Z124" s="306">
        <f>X124-Y124</f>
        <v/>
      </c>
      <c r="AA124" s="306">
        <f>IF(AND(A124=$B$19, $B$21=1), O124*$B$20, 0)</f>
        <v/>
      </c>
      <c r="AB124" s="306">
        <f>AB123+Z124+AA124</f>
        <v/>
      </c>
    </row>
    <row r="125">
      <c r="A125" s="306" t="n">
        <v>95</v>
      </c>
      <c r="B125" s="306">
        <f>CEILING(A125/12,1)</f>
        <v/>
      </c>
      <c r="C125" s="306">
        <f>IF(A125&lt;=12, $B$15/12, 0)</f>
        <v/>
      </c>
      <c r="D125" s="306">
        <f>INDEX('26. Team Comp'!$D$28:$R$28, B125) * 0.001 / 12</f>
        <v/>
      </c>
      <c r="E125" s="306">
        <f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+ (IF(MAX(0, A125 - $F$11 + 1)&lt;=0, 0, IF(MAX(0, A125 - $F$11 + 1)&lt;=6, 70 - (70-14)*(MAX(0, A125 - $F$11 + 1)-1)/5, IF(MAX(0, A125 - $F$11 + 1)&lt;=24, 14 - 14*(MAX(0, A125 - $F$11 + 1)-6)/18, 0)))) + (IF(MAX(0, A125 - $F$12 + 1)&lt;=0, 0, IF(MAX(0, A125 - $F$12 + 1)&lt;=6, 70 - (70-14)*(MAX(0, A125 - $F$12 + 1)-1)/5, IF(MAX(0, A125 - $F$12 + 1)&lt;=24, 14 - 14*(MAX(0, A125 - $F$12 + 1)-6)/18, 0)))) + (IF(MAX(0, A125 - $F$13 + 1)&lt;=0, 0, IF(MAX(0, A125 - $F$13 + 1)&lt;=6, 70 - (70-14)*(MAX(0, A125 - $F$13 + 1)-1)/5, IF(MAX(0, A125 - $F$13 + 1)&lt;=24, 14 - 14*(MAX(0, A125 - $F$13 + 1)-6)/18, 0)))) + (IF(MAX(0, A125 - $F$14 + 1)&lt;=0, 0, IF(MAX(0, A125 - $F$14 + 1)&lt;=6, 70 - (70-14)*(MAX(0, A125 - $F$14 + 1)-1)/5, IF(MAX(0, A125 - $F$14 + 1)&lt;=24, 14 - 14*(MAX(0, A125 - $F$14 + 1)-6)/18, 0)))) ) * 200 / 12 / 1000</f>
        <v/>
      </c>
      <c r="F125" s="306">
        <f>IF(A125&lt;$F$6,0,IF(AND($B$21=1,A125&gt;$B$19),0,$E$6*$G$6^MIN((A125-$F$6)/12,6)*MIN($G$6,0.85)^MAX(0,(A125-$F$6)/12-6)))</f>
        <v/>
      </c>
      <c r="G125" s="306">
        <f>IF(A125&lt;$F$7,0,IF(AND($B$21=1,A125&gt;$B$19),0,$E$7*$G$7^MIN((A125-$F$7)/12,6)*MIN($G$7,0.85)^MAX(0,(A125-$F$7)/12-6)))</f>
        <v/>
      </c>
      <c r="H125" s="306">
        <f>IF(A125&lt;$F$8,0,IF(AND($B$21=1,A125&gt;$B$19),0,$E$8*$G$8^MIN((A125-$F$8)/12,6)*MIN($G$8,0.85)^MAX(0,(A125-$F$8)/12-6)))</f>
        <v/>
      </c>
      <c r="I125" s="306">
        <f>IF(A125&lt;$F$9,0,IF(AND($B$21=1,A125&gt;$B$19),0,$E$9*$G$9^MIN((A125-$F$9)/12,6)*MIN($G$9,0.85)^MAX(0,(A125-$F$9)/12-6)))</f>
        <v/>
      </c>
      <c r="J125" s="306">
        <f>IF(A125&lt;$F$10,0,IF(AND($B$21=1,A125&gt;$B$19),0,$E$10*$G$10^MIN((A125-$F$10)/12,6)*MIN($G$10,0.85)^MAX(0,(A125-$F$10)/12-6)))</f>
        <v/>
      </c>
      <c r="K125" s="306">
        <f>IF(A125&lt;$F$11,0,IF(AND($B$21=1,A125&gt;$B$19),0,$E$11*$G$11^MIN((A125-$F$11)/12,6)*MIN($G$11,0.85)^MAX(0,(A125-$F$11)/12-6)))</f>
        <v/>
      </c>
      <c r="L125" s="306">
        <f>IF(A125&lt;$F$12,0,IF(AND($B$21=1,A125&gt;$B$19),0,$E$12*$G$12^MIN((A125-$F$12)/12,6)*MIN($G$12,0.85)^MAX(0,(A125-$F$12)/12-6)))</f>
        <v/>
      </c>
      <c r="M125" s="306">
        <f>IF(A125&lt;$F$13,0,IF(AND($B$21=1,A125&gt;$B$19),0,$E$13*$G$13^MIN((A125-$F$13)/12,6)*MIN($G$13,0.85)^MAX(0,(A125-$F$13)/12-6)))</f>
        <v/>
      </c>
      <c r="N125" s="306">
        <f>IF(A125&lt;$F$14,0,IF(AND($B$21=1,A125&gt;$B$19),0,$E$14*$G$14^MIN((A125-$F$14)/12,6)*MIN($G$14,0.85)^MAX(0,(A125-$F$14)/12-6)))</f>
        <v/>
      </c>
      <c r="O125" s="306">
        <f>SUM(F125:N125)</f>
        <v/>
      </c>
      <c r="P125" s="306">
        <f>O125/12</f>
        <v/>
      </c>
      <c r="Q125" s="306">
        <f>P125*$B$8</f>
        <v/>
      </c>
      <c r="R125" s="306">
        <f>P125*$B$9</f>
        <v/>
      </c>
      <c r="S125" s="306">
        <f>P125*$B$10</f>
        <v/>
      </c>
      <c r="T125" s="306">
        <f>P125-Q125-R125-S125-D125-E125</f>
        <v/>
      </c>
      <c r="U125" s="306">
        <f>MAX(0, T125 - $B$7*P125)</f>
        <v/>
      </c>
      <c r="V125" s="306">
        <f>T125-U125</f>
        <v/>
      </c>
      <c r="W125" s="306">
        <f>IF(A125=$F$6, $B$18*$B$16*$B$17/1000000, 0) + IF(A125=$F$7, $B$18*$B$16*$B$17/1000000, 0) + IF(A125=$F$8, $B$18*$B$16*$B$17/1000000, 0) + IF(A125=$F$9, $B$18*$B$16*$B$17/1000000, 0) + IF(A125=$F$10, $B$18*$B$16*$B$17/1000000, 0) + IF(A125=$F$11, $B$18*$B$16*$B$17/1000000, 0) + IF(A125=$F$12, $B$18*$B$16*$B$17/1000000, 0) + IF(A125=$F$13, $B$18*$B$16*$B$17/1000000, 0) + IF(A125=$F$14, $B$18*$B$16*$B$17/1000000, 0)</f>
        <v/>
      </c>
      <c r="X125" s="306">
        <f>V125-W125-C125</f>
        <v/>
      </c>
      <c r="Y125" s="306">
        <f>IF(AND(A125&lt;=$B$24, X125&gt;0), X125*$B$23, 0)</f>
        <v/>
      </c>
      <c r="Z125" s="306">
        <f>X125-Y125</f>
        <v/>
      </c>
      <c r="AA125" s="306">
        <f>IF(AND(A125=$B$19, $B$21=1), O125*$B$20, 0)</f>
        <v/>
      </c>
      <c r="AB125" s="306">
        <f>AB124+Z125+AA125</f>
        <v/>
      </c>
    </row>
    <row r="126">
      <c r="A126" s="306" t="n">
        <v>96</v>
      </c>
      <c r="B126" s="306">
        <f>CEILING(A126/12,1)</f>
        <v/>
      </c>
      <c r="C126" s="306">
        <f>IF(A126&lt;=12, $B$15/12, 0)</f>
        <v/>
      </c>
      <c r="D126" s="306">
        <f>INDEX('26. Team Comp'!$D$28:$R$28, B126) * 0.001 / 12</f>
        <v/>
      </c>
      <c r="E126" s="306">
        <f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+ (IF(MAX(0, A126 - $F$11 + 1)&lt;=0, 0, IF(MAX(0, A126 - $F$11 + 1)&lt;=6, 70 - (70-14)*(MAX(0, A126 - $F$11 + 1)-1)/5, IF(MAX(0, A126 - $F$11 + 1)&lt;=24, 14 - 14*(MAX(0, A126 - $F$11 + 1)-6)/18, 0)))) + (IF(MAX(0, A126 - $F$12 + 1)&lt;=0, 0, IF(MAX(0, A126 - $F$12 + 1)&lt;=6, 70 - (70-14)*(MAX(0, A126 - $F$12 + 1)-1)/5, IF(MAX(0, A126 - $F$12 + 1)&lt;=24, 14 - 14*(MAX(0, A126 - $F$12 + 1)-6)/18, 0)))) + (IF(MAX(0, A126 - $F$13 + 1)&lt;=0, 0, IF(MAX(0, A126 - $F$13 + 1)&lt;=6, 70 - (70-14)*(MAX(0, A126 - $F$13 + 1)-1)/5, IF(MAX(0, A126 - $F$13 + 1)&lt;=24, 14 - 14*(MAX(0, A126 - $F$13 + 1)-6)/18, 0)))) + (IF(MAX(0, A126 - $F$14 + 1)&lt;=0, 0, IF(MAX(0, A126 - $F$14 + 1)&lt;=6, 70 - (70-14)*(MAX(0, A126 - $F$14 + 1)-1)/5, IF(MAX(0, A126 - $F$14 + 1)&lt;=24, 14 - 14*(MAX(0, A126 - $F$14 + 1)-6)/18, 0)))) ) * 200 / 12 / 1000</f>
        <v/>
      </c>
      <c r="F126" s="306">
        <f>IF(A126&lt;$F$6,0,IF(AND($B$21=1,A126&gt;$B$19),0,$E$6*$G$6^MIN((A126-$F$6)/12,6)*MIN($G$6,0.85)^MAX(0,(A126-$F$6)/12-6)))</f>
        <v/>
      </c>
      <c r="G126" s="306">
        <f>IF(A126&lt;$F$7,0,IF(AND($B$21=1,A126&gt;$B$19),0,$E$7*$G$7^MIN((A126-$F$7)/12,6)*MIN($G$7,0.85)^MAX(0,(A126-$F$7)/12-6)))</f>
        <v/>
      </c>
      <c r="H126" s="306">
        <f>IF(A126&lt;$F$8,0,IF(AND($B$21=1,A126&gt;$B$19),0,$E$8*$G$8^MIN((A126-$F$8)/12,6)*MIN($G$8,0.85)^MAX(0,(A126-$F$8)/12-6)))</f>
        <v/>
      </c>
      <c r="I126" s="306">
        <f>IF(A126&lt;$F$9,0,IF(AND($B$21=1,A126&gt;$B$19),0,$E$9*$G$9^MIN((A126-$F$9)/12,6)*MIN($G$9,0.85)^MAX(0,(A126-$F$9)/12-6)))</f>
        <v/>
      </c>
      <c r="J126" s="306">
        <f>IF(A126&lt;$F$10,0,IF(AND($B$21=1,A126&gt;$B$19),0,$E$10*$G$10^MIN((A126-$F$10)/12,6)*MIN($G$10,0.85)^MAX(0,(A126-$F$10)/12-6)))</f>
        <v/>
      </c>
      <c r="K126" s="306">
        <f>IF(A126&lt;$F$11,0,IF(AND($B$21=1,A126&gt;$B$19),0,$E$11*$G$11^MIN((A126-$F$11)/12,6)*MIN($G$11,0.85)^MAX(0,(A126-$F$11)/12-6)))</f>
        <v/>
      </c>
      <c r="L126" s="306">
        <f>IF(A126&lt;$F$12,0,IF(AND($B$21=1,A126&gt;$B$19),0,$E$12*$G$12^MIN((A126-$F$12)/12,6)*MIN($G$12,0.85)^MAX(0,(A126-$F$12)/12-6)))</f>
        <v/>
      </c>
      <c r="M126" s="306">
        <f>IF(A126&lt;$F$13,0,IF(AND($B$21=1,A126&gt;$B$19),0,$E$13*$G$13^MIN((A126-$F$13)/12,6)*MIN($G$13,0.85)^MAX(0,(A126-$F$13)/12-6)))</f>
        <v/>
      </c>
      <c r="N126" s="306">
        <f>IF(A126&lt;$F$14,0,IF(AND($B$21=1,A126&gt;$B$19),0,$E$14*$G$14^MIN((A126-$F$14)/12,6)*MIN($G$14,0.85)^MAX(0,(A126-$F$14)/12-6)))</f>
        <v/>
      </c>
      <c r="O126" s="306">
        <f>SUM(F126:N126)</f>
        <v/>
      </c>
      <c r="P126" s="306">
        <f>O126/12</f>
        <v/>
      </c>
      <c r="Q126" s="306">
        <f>P126*$B$8</f>
        <v/>
      </c>
      <c r="R126" s="306">
        <f>P126*$B$9</f>
        <v/>
      </c>
      <c r="S126" s="306">
        <f>P126*$B$10</f>
        <v/>
      </c>
      <c r="T126" s="306">
        <f>P126-Q126-R126-S126-D126-E126</f>
        <v/>
      </c>
      <c r="U126" s="306">
        <f>MAX(0, T126 - $B$7*P126)</f>
        <v/>
      </c>
      <c r="V126" s="306">
        <f>T126-U126</f>
        <v/>
      </c>
      <c r="W126" s="306">
        <f>IF(A126=$F$6, $B$18*$B$16*$B$17/1000000, 0) + IF(A126=$F$7, $B$18*$B$16*$B$17/1000000, 0) + IF(A126=$F$8, $B$18*$B$16*$B$17/1000000, 0) + IF(A126=$F$9, $B$18*$B$16*$B$17/1000000, 0) + IF(A126=$F$10, $B$18*$B$16*$B$17/1000000, 0) + IF(A126=$F$11, $B$18*$B$16*$B$17/1000000, 0) + IF(A126=$F$12, $B$18*$B$16*$B$17/1000000, 0) + IF(A126=$F$13, $B$18*$B$16*$B$17/1000000, 0) + IF(A126=$F$14, $B$18*$B$16*$B$17/1000000, 0)</f>
        <v/>
      </c>
      <c r="X126" s="306">
        <f>V126-W126-C126</f>
        <v/>
      </c>
      <c r="Y126" s="306">
        <f>IF(AND(A126&lt;=$B$24, X126&gt;0), X126*$B$23, 0)</f>
        <v/>
      </c>
      <c r="Z126" s="306">
        <f>X126-Y126</f>
        <v/>
      </c>
      <c r="AA126" s="306">
        <f>IF(AND(A126=$B$19, $B$21=1), O126*$B$20, 0)</f>
        <v/>
      </c>
      <c r="AB126" s="306">
        <f>AB125+Z126+AA126</f>
        <v/>
      </c>
    </row>
    <row r="127">
      <c r="A127" s="306" t="n">
        <v>97</v>
      </c>
      <c r="B127" s="306">
        <f>CEILING(A127/12,1)</f>
        <v/>
      </c>
      <c r="C127" s="306">
        <f>IF(A127&lt;=12, $B$15/12, 0)</f>
        <v/>
      </c>
      <c r="D127" s="306">
        <f>INDEX('26. Team Comp'!$D$28:$R$28, B127) * 0.001 / 12</f>
        <v/>
      </c>
      <c r="E127" s="306">
        <f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+ (IF(MAX(0, A127 - $F$11 + 1)&lt;=0, 0, IF(MAX(0, A127 - $F$11 + 1)&lt;=6, 70 - (70-14)*(MAX(0, A127 - $F$11 + 1)-1)/5, IF(MAX(0, A127 - $F$11 + 1)&lt;=24, 14 - 14*(MAX(0, A127 - $F$11 + 1)-6)/18, 0)))) + (IF(MAX(0, A127 - $F$12 + 1)&lt;=0, 0, IF(MAX(0, A127 - $F$12 + 1)&lt;=6, 70 - (70-14)*(MAX(0, A127 - $F$12 + 1)-1)/5, IF(MAX(0, A127 - $F$12 + 1)&lt;=24, 14 - 14*(MAX(0, A127 - $F$12 + 1)-6)/18, 0)))) + (IF(MAX(0, A127 - $F$13 + 1)&lt;=0, 0, IF(MAX(0, A127 - $F$13 + 1)&lt;=6, 70 - (70-14)*(MAX(0, A127 - $F$13 + 1)-1)/5, IF(MAX(0, A127 - $F$13 + 1)&lt;=24, 14 - 14*(MAX(0, A127 - $F$13 + 1)-6)/18, 0)))) + (IF(MAX(0, A127 - $F$14 + 1)&lt;=0, 0, IF(MAX(0, A127 - $F$14 + 1)&lt;=6, 70 - (70-14)*(MAX(0, A127 - $F$14 + 1)-1)/5, IF(MAX(0, A127 - $F$14 + 1)&lt;=24, 14 - 14*(MAX(0, A127 - $F$14 + 1)-6)/18, 0)))) ) * 200 / 12 / 1000</f>
        <v/>
      </c>
      <c r="F127" s="306">
        <f>IF(A127&lt;$F$6,0,IF(AND($B$21=1,A127&gt;$B$19),0,$E$6*$G$6^MIN((A127-$F$6)/12,6)*MIN($G$6,0.85)^MAX(0,(A127-$F$6)/12-6)))</f>
        <v/>
      </c>
      <c r="G127" s="306">
        <f>IF(A127&lt;$F$7,0,IF(AND($B$21=1,A127&gt;$B$19),0,$E$7*$G$7^MIN((A127-$F$7)/12,6)*MIN($G$7,0.85)^MAX(0,(A127-$F$7)/12-6)))</f>
        <v/>
      </c>
      <c r="H127" s="306">
        <f>IF(A127&lt;$F$8,0,IF(AND($B$21=1,A127&gt;$B$19),0,$E$8*$G$8^MIN((A127-$F$8)/12,6)*MIN($G$8,0.85)^MAX(0,(A127-$F$8)/12-6)))</f>
        <v/>
      </c>
      <c r="I127" s="306">
        <f>IF(A127&lt;$F$9,0,IF(AND($B$21=1,A127&gt;$B$19),0,$E$9*$G$9^MIN((A127-$F$9)/12,6)*MIN($G$9,0.85)^MAX(0,(A127-$F$9)/12-6)))</f>
        <v/>
      </c>
      <c r="J127" s="306">
        <f>IF(A127&lt;$F$10,0,IF(AND($B$21=1,A127&gt;$B$19),0,$E$10*$G$10^MIN((A127-$F$10)/12,6)*MIN($G$10,0.85)^MAX(0,(A127-$F$10)/12-6)))</f>
        <v/>
      </c>
      <c r="K127" s="306">
        <f>IF(A127&lt;$F$11,0,IF(AND($B$21=1,A127&gt;$B$19),0,$E$11*$G$11^MIN((A127-$F$11)/12,6)*MIN($G$11,0.85)^MAX(0,(A127-$F$11)/12-6)))</f>
        <v/>
      </c>
      <c r="L127" s="306">
        <f>IF(A127&lt;$F$12,0,IF(AND($B$21=1,A127&gt;$B$19),0,$E$12*$G$12^MIN((A127-$F$12)/12,6)*MIN($G$12,0.85)^MAX(0,(A127-$F$12)/12-6)))</f>
        <v/>
      </c>
      <c r="M127" s="306">
        <f>IF(A127&lt;$F$13,0,IF(AND($B$21=1,A127&gt;$B$19),0,$E$13*$G$13^MIN((A127-$F$13)/12,6)*MIN($G$13,0.85)^MAX(0,(A127-$F$13)/12-6)))</f>
        <v/>
      </c>
      <c r="N127" s="306">
        <f>IF(A127&lt;$F$14,0,IF(AND($B$21=1,A127&gt;$B$19),0,$E$14*$G$14^MIN((A127-$F$14)/12,6)*MIN($G$14,0.85)^MAX(0,(A127-$F$14)/12-6)))</f>
        <v/>
      </c>
      <c r="O127" s="306">
        <f>SUM(F127:N127)</f>
        <v/>
      </c>
      <c r="P127" s="306">
        <f>O127/12</f>
        <v/>
      </c>
      <c r="Q127" s="306">
        <f>P127*$B$8</f>
        <v/>
      </c>
      <c r="R127" s="306">
        <f>P127*$B$9</f>
        <v/>
      </c>
      <c r="S127" s="306">
        <f>P127*$B$10</f>
        <v/>
      </c>
      <c r="T127" s="306">
        <f>P127-Q127-R127-S127-D127-E127</f>
        <v/>
      </c>
      <c r="U127" s="306">
        <f>MAX(0, T127 - $B$7*P127)</f>
        <v/>
      </c>
      <c r="V127" s="306">
        <f>T127-U127</f>
        <v/>
      </c>
      <c r="W127" s="306">
        <f>IF(A127=$F$6, $B$18*$B$16*$B$17/1000000, 0) + IF(A127=$F$7, $B$18*$B$16*$B$17/1000000, 0) + IF(A127=$F$8, $B$18*$B$16*$B$17/1000000, 0) + IF(A127=$F$9, $B$18*$B$16*$B$17/1000000, 0) + IF(A127=$F$10, $B$18*$B$16*$B$17/1000000, 0) + IF(A127=$F$11, $B$18*$B$16*$B$17/1000000, 0) + IF(A127=$F$12, $B$18*$B$16*$B$17/1000000, 0) + IF(A127=$F$13, $B$18*$B$16*$B$17/1000000, 0) + IF(A127=$F$14, $B$18*$B$16*$B$17/1000000, 0)</f>
        <v/>
      </c>
      <c r="X127" s="306">
        <f>V127-W127-C127</f>
        <v/>
      </c>
      <c r="Y127" s="306">
        <f>IF(AND(A127&lt;=$B$24, X127&gt;0), X127*$B$23, 0)</f>
        <v/>
      </c>
      <c r="Z127" s="306">
        <f>X127-Y127</f>
        <v/>
      </c>
      <c r="AA127" s="306">
        <f>IF(AND(A127=$B$19, $B$21=1), O127*$B$20, 0)</f>
        <v/>
      </c>
      <c r="AB127" s="306">
        <f>AB126+Z127+AA127</f>
        <v/>
      </c>
    </row>
    <row r="128">
      <c r="A128" s="306" t="n">
        <v>98</v>
      </c>
      <c r="B128" s="306">
        <f>CEILING(A128/12,1)</f>
        <v/>
      </c>
      <c r="C128" s="306">
        <f>IF(A128&lt;=12, $B$15/12, 0)</f>
        <v/>
      </c>
      <c r="D128" s="306">
        <f>INDEX('26. Team Comp'!$D$28:$R$28, B128) * 0.001 / 12</f>
        <v/>
      </c>
      <c r="E128" s="306">
        <f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+ (IF(MAX(0, A128 - $F$11 + 1)&lt;=0, 0, IF(MAX(0, A128 - $F$11 + 1)&lt;=6, 70 - (70-14)*(MAX(0, A128 - $F$11 + 1)-1)/5, IF(MAX(0, A128 - $F$11 + 1)&lt;=24, 14 - 14*(MAX(0, A128 - $F$11 + 1)-6)/18, 0)))) + (IF(MAX(0, A128 - $F$12 + 1)&lt;=0, 0, IF(MAX(0, A128 - $F$12 + 1)&lt;=6, 70 - (70-14)*(MAX(0, A128 - $F$12 + 1)-1)/5, IF(MAX(0, A128 - $F$12 + 1)&lt;=24, 14 - 14*(MAX(0, A128 - $F$12 + 1)-6)/18, 0)))) + (IF(MAX(0, A128 - $F$13 + 1)&lt;=0, 0, IF(MAX(0, A128 - $F$13 + 1)&lt;=6, 70 - (70-14)*(MAX(0, A128 - $F$13 + 1)-1)/5, IF(MAX(0, A128 - $F$13 + 1)&lt;=24, 14 - 14*(MAX(0, A128 - $F$13 + 1)-6)/18, 0)))) + (IF(MAX(0, A128 - $F$14 + 1)&lt;=0, 0, IF(MAX(0, A128 - $F$14 + 1)&lt;=6, 70 - (70-14)*(MAX(0, A128 - $F$14 + 1)-1)/5, IF(MAX(0, A128 - $F$14 + 1)&lt;=24, 14 - 14*(MAX(0, A128 - $F$14 + 1)-6)/18, 0)))) ) * 200 / 12 / 1000</f>
        <v/>
      </c>
      <c r="F128" s="306">
        <f>IF(A128&lt;$F$6,0,IF(AND($B$21=1,A128&gt;$B$19),0,$E$6*$G$6^MIN((A128-$F$6)/12,6)*MIN($G$6,0.85)^MAX(0,(A128-$F$6)/12-6)))</f>
        <v/>
      </c>
      <c r="G128" s="306">
        <f>IF(A128&lt;$F$7,0,IF(AND($B$21=1,A128&gt;$B$19),0,$E$7*$G$7^MIN((A128-$F$7)/12,6)*MIN($G$7,0.85)^MAX(0,(A128-$F$7)/12-6)))</f>
        <v/>
      </c>
      <c r="H128" s="306">
        <f>IF(A128&lt;$F$8,0,IF(AND($B$21=1,A128&gt;$B$19),0,$E$8*$G$8^MIN((A128-$F$8)/12,6)*MIN($G$8,0.85)^MAX(0,(A128-$F$8)/12-6)))</f>
        <v/>
      </c>
      <c r="I128" s="306">
        <f>IF(A128&lt;$F$9,0,IF(AND($B$21=1,A128&gt;$B$19),0,$E$9*$G$9^MIN((A128-$F$9)/12,6)*MIN($G$9,0.85)^MAX(0,(A128-$F$9)/12-6)))</f>
        <v/>
      </c>
      <c r="J128" s="306">
        <f>IF(A128&lt;$F$10,0,IF(AND($B$21=1,A128&gt;$B$19),0,$E$10*$G$10^MIN((A128-$F$10)/12,6)*MIN($G$10,0.85)^MAX(0,(A128-$F$10)/12-6)))</f>
        <v/>
      </c>
      <c r="K128" s="306">
        <f>IF(A128&lt;$F$11,0,IF(AND($B$21=1,A128&gt;$B$19),0,$E$11*$G$11^MIN((A128-$F$11)/12,6)*MIN($G$11,0.85)^MAX(0,(A128-$F$11)/12-6)))</f>
        <v/>
      </c>
      <c r="L128" s="306">
        <f>IF(A128&lt;$F$12,0,IF(AND($B$21=1,A128&gt;$B$19),0,$E$12*$G$12^MIN((A128-$F$12)/12,6)*MIN($G$12,0.85)^MAX(0,(A128-$F$12)/12-6)))</f>
        <v/>
      </c>
      <c r="M128" s="306">
        <f>IF(A128&lt;$F$13,0,IF(AND($B$21=1,A128&gt;$B$19),0,$E$13*$G$13^MIN((A128-$F$13)/12,6)*MIN($G$13,0.85)^MAX(0,(A128-$F$13)/12-6)))</f>
        <v/>
      </c>
      <c r="N128" s="306">
        <f>IF(A128&lt;$F$14,0,IF(AND($B$21=1,A128&gt;$B$19),0,$E$14*$G$14^MIN((A128-$F$14)/12,6)*MIN($G$14,0.85)^MAX(0,(A128-$F$14)/12-6)))</f>
        <v/>
      </c>
      <c r="O128" s="306">
        <f>SUM(F128:N128)</f>
        <v/>
      </c>
      <c r="P128" s="306">
        <f>O128/12</f>
        <v/>
      </c>
      <c r="Q128" s="306">
        <f>P128*$B$8</f>
        <v/>
      </c>
      <c r="R128" s="306">
        <f>P128*$B$9</f>
        <v/>
      </c>
      <c r="S128" s="306">
        <f>P128*$B$10</f>
        <v/>
      </c>
      <c r="T128" s="306">
        <f>P128-Q128-R128-S128-D128-E128</f>
        <v/>
      </c>
      <c r="U128" s="306">
        <f>MAX(0, T128 - $B$7*P128)</f>
        <v/>
      </c>
      <c r="V128" s="306">
        <f>T128-U128</f>
        <v/>
      </c>
      <c r="W128" s="306">
        <f>IF(A128=$F$6, $B$18*$B$16*$B$17/1000000, 0) + IF(A128=$F$7, $B$18*$B$16*$B$17/1000000, 0) + IF(A128=$F$8, $B$18*$B$16*$B$17/1000000, 0) + IF(A128=$F$9, $B$18*$B$16*$B$17/1000000, 0) + IF(A128=$F$10, $B$18*$B$16*$B$17/1000000, 0) + IF(A128=$F$11, $B$18*$B$16*$B$17/1000000, 0) + IF(A128=$F$12, $B$18*$B$16*$B$17/1000000, 0) + IF(A128=$F$13, $B$18*$B$16*$B$17/1000000, 0) + IF(A128=$F$14, $B$18*$B$16*$B$17/1000000, 0)</f>
        <v/>
      </c>
      <c r="X128" s="306">
        <f>V128-W128-C128</f>
        <v/>
      </c>
      <c r="Y128" s="306">
        <f>IF(AND(A128&lt;=$B$24, X128&gt;0), X128*$B$23, 0)</f>
        <v/>
      </c>
      <c r="Z128" s="306">
        <f>X128-Y128</f>
        <v/>
      </c>
      <c r="AA128" s="306">
        <f>IF(AND(A128=$B$19, $B$21=1), O128*$B$20, 0)</f>
        <v/>
      </c>
      <c r="AB128" s="306">
        <f>AB127+Z128+AA128</f>
        <v/>
      </c>
    </row>
    <row r="129">
      <c r="A129" s="306" t="n">
        <v>99</v>
      </c>
      <c r="B129" s="306">
        <f>CEILING(A129/12,1)</f>
        <v/>
      </c>
      <c r="C129" s="306">
        <f>IF(A129&lt;=12, $B$15/12, 0)</f>
        <v/>
      </c>
      <c r="D129" s="306">
        <f>INDEX('26. Team Comp'!$D$28:$R$28, B129) * 0.001 / 12</f>
        <v/>
      </c>
      <c r="E129" s="306">
        <f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+ (IF(MAX(0, A129 - $F$11 + 1)&lt;=0, 0, IF(MAX(0, A129 - $F$11 + 1)&lt;=6, 70 - (70-14)*(MAX(0, A129 - $F$11 + 1)-1)/5, IF(MAX(0, A129 - $F$11 + 1)&lt;=24, 14 - 14*(MAX(0, A129 - $F$11 + 1)-6)/18, 0)))) + (IF(MAX(0, A129 - $F$12 + 1)&lt;=0, 0, IF(MAX(0, A129 - $F$12 + 1)&lt;=6, 70 - (70-14)*(MAX(0, A129 - $F$12 + 1)-1)/5, IF(MAX(0, A129 - $F$12 + 1)&lt;=24, 14 - 14*(MAX(0, A129 - $F$12 + 1)-6)/18, 0)))) + (IF(MAX(0, A129 - $F$13 + 1)&lt;=0, 0, IF(MAX(0, A129 - $F$13 + 1)&lt;=6, 70 - (70-14)*(MAX(0, A129 - $F$13 + 1)-1)/5, IF(MAX(0, A129 - $F$13 + 1)&lt;=24, 14 - 14*(MAX(0, A129 - $F$13 + 1)-6)/18, 0)))) + (IF(MAX(0, A129 - $F$14 + 1)&lt;=0, 0, IF(MAX(0, A129 - $F$14 + 1)&lt;=6, 70 - (70-14)*(MAX(0, A129 - $F$14 + 1)-1)/5, IF(MAX(0, A129 - $F$14 + 1)&lt;=24, 14 - 14*(MAX(0, A129 - $F$14 + 1)-6)/18, 0)))) ) * 200 / 12 / 1000</f>
        <v/>
      </c>
      <c r="F129" s="306">
        <f>IF(A129&lt;$F$6,0,IF(AND($B$21=1,A129&gt;$B$19),0,$E$6*$G$6^MIN((A129-$F$6)/12,6)*MIN($G$6,0.85)^MAX(0,(A129-$F$6)/12-6)))</f>
        <v/>
      </c>
      <c r="G129" s="306">
        <f>IF(A129&lt;$F$7,0,IF(AND($B$21=1,A129&gt;$B$19),0,$E$7*$G$7^MIN((A129-$F$7)/12,6)*MIN($G$7,0.85)^MAX(0,(A129-$F$7)/12-6)))</f>
        <v/>
      </c>
      <c r="H129" s="306">
        <f>IF(A129&lt;$F$8,0,IF(AND($B$21=1,A129&gt;$B$19),0,$E$8*$G$8^MIN((A129-$F$8)/12,6)*MIN($G$8,0.85)^MAX(0,(A129-$F$8)/12-6)))</f>
        <v/>
      </c>
      <c r="I129" s="306">
        <f>IF(A129&lt;$F$9,0,IF(AND($B$21=1,A129&gt;$B$19),0,$E$9*$G$9^MIN((A129-$F$9)/12,6)*MIN($G$9,0.85)^MAX(0,(A129-$F$9)/12-6)))</f>
        <v/>
      </c>
      <c r="J129" s="306">
        <f>IF(A129&lt;$F$10,0,IF(AND($B$21=1,A129&gt;$B$19),0,$E$10*$G$10^MIN((A129-$F$10)/12,6)*MIN($G$10,0.85)^MAX(0,(A129-$F$10)/12-6)))</f>
        <v/>
      </c>
      <c r="K129" s="306">
        <f>IF(A129&lt;$F$11,0,IF(AND($B$21=1,A129&gt;$B$19),0,$E$11*$G$11^MIN((A129-$F$11)/12,6)*MIN($G$11,0.85)^MAX(0,(A129-$F$11)/12-6)))</f>
        <v/>
      </c>
      <c r="L129" s="306">
        <f>IF(A129&lt;$F$12,0,IF(AND($B$21=1,A129&gt;$B$19),0,$E$12*$G$12^MIN((A129-$F$12)/12,6)*MIN($G$12,0.85)^MAX(0,(A129-$F$12)/12-6)))</f>
        <v/>
      </c>
      <c r="M129" s="306">
        <f>IF(A129&lt;$F$13,0,IF(AND($B$21=1,A129&gt;$B$19),0,$E$13*$G$13^MIN((A129-$F$13)/12,6)*MIN($G$13,0.85)^MAX(0,(A129-$F$13)/12-6)))</f>
        <v/>
      </c>
      <c r="N129" s="306">
        <f>IF(A129&lt;$F$14,0,IF(AND($B$21=1,A129&gt;$B$19),0,$E$14*$G$14^MIN((A129-$F$14)/12,6)*MIN($G$14,0.85)^MAX(0,(A129-$F$14)/12-6)))</f>
        <v/>
      </c>
      <c r="O129" s="306">
        <f>SUM(F129:N129)</f>
        <v/>
      </c>
      <c r="P129" s="306">
        <f>O129/12</f>
        <v/>
      </c>
      <c r="Q129" s="306">
        <f>P129*$B$8</f>
        <v/>
      </c>
      <c r="R129" s="306">
        <f>P129*$B$9</f>
        <v/>
      </c>
      <c r="S129" s="306">
        <f>P129*$B$10</f>
        <v/>
      </c>
      <c r="T129" s="306">
        <f>P129-Q129-R129-S129-D129-E129</f>
        <v/>
      </c>
      <c r="U129" s="306">
        <f>MAX(0, T129 - $B$7*P129)</f>
        <v/>
      </c>
      <c r="V129" s="306">
        <f>T129-U129</f>
        <v/>
      </c>
      <c r="W129" s="306">
        <f>IF(A129=$F$6, $B$18*$B$16*$B$17/1000000, 0) + IF(A129=$F$7, $B$18*$B$16*$B$17/1000000, 0) + IF(A129=$F$8, $B$18*$B$16*$B$17/1000000, 0) + IF(A129=$F$9, $B$18*$B$16*$B$17/1000000, 0) + IF(A129=$F$10, $B$18*$B$16*$B$17/1000000, 0) + IF(A129=$F$11, $B$18*$B$16*$B$17/1000000, 0) + IF(A129=$F$12, $B$18*$B$16*$B$17/1000000, 0) + IF(A129=$F$13, $B$18*$B$16*$B$17/1000000, 0) + IF(A129=$F$14, $B$18*$B$16*$B$17/1000000, 0)</f>
        <v/>
      </c>
      <c r="X129" s="306">
        <f>V129-W129-C129</f>
        <v/>
      </c>
      <c r="Y129" s="306">
        <f>IF(AND(A129&lt;=$B$24, X129&gt;0), X129*$B$23, 0)</f>
        <v/>
      </c>
      <c r="Z129" s="306">
        <f>X129-Y129</f>
        <v/>
      </c>
      <c r="AA129" s="306">
        <f>IF(AND(A129=$B$19, $B$21=1), O129*$B$20, 0)</f>
        <v/>
      </c>
      <c r="AB129" s="306">
        <f>AB128+Z129+AA129</f>
        <v/>
      </c>
    </row>
    <row r="130">
      <c r="A130" s="306" t="n">
        <v>100</v>
      </c>
      <c r="B130" s="306">
        <f>CEILING(A130/12,1)</f>
        <v/>
      </c>
      <c r="C130" s="306">
        <f>IF(A130&lt;=12, $B$15/12, 0)</f>
        <v/>
      </c>
      <c r="D130" s="306">
        <f>INDEX('26. Team Comp'!$D$28:$R$28, B130) * 0.001 / 12</f>
        <v/>
      </c>
      <c r="E130" s="306">
        <f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+ (IF(MAX(0, A130 - $F$11 + 1)&lt;=0, 0, IF(MAX(0, A130 - $F$11 + 1)&lt;=6, 70 - (70-14)*(MAX(0, A130 - $F$11 + 1)-1)/5, IF(MAX(0, A130 - $F$11 + 1)&lt;=24, 14 - 14*(MAX(0, A130 - $F$11 + 1)-6)/18, 0)))) + (IF(MAX(0, A130 - $F$12 + 1)&lt;=0, 0, IF(MAX(0, A130 - $F$12 + 1)&lt;=6, 70 - (70-14)*(MAX(0, A130 - $F$12 + 1)-1)/5, IF(MAX(0, A130 - $F$12 + 1)&lt;=24, 14 - 14*(MAX(0, A130 - $F$12 + 1)-6)/18, 0)))) + (IF(MAX(0, A130 - $F$13 + 1)&lt;=0, 0, IF(MAX(0, A130 - $F$13 + 1)&lt;=6, 70 - (70-14)*(MAX(0, A130 - $F$13 + 1)-1)/5, IF(MAX(0, A130 - $F$13 + 1)&lt;=24, 14 - 14*(MAX(0, A130 - $F$13 + 1)-6)/18, 0)))) + (IF(MAX(0, A130 - $F$14 + 1)&lt;=0, 0, IF(MAX(0, A130 - $F$14 + 1)&lt;=6, 70 - (70-14)*(MAX(0, A130 - $F$14 + 1)-1)/5, IF(MAX(0, A130 - $F$14 + 1)&lt;=24, 14 - 14*(MAX(0, A130 - $F$14 + 1)-6)/18, 0)))) ) * 200 / 12 / 1000</f>
        <v/>
      </c>
      <c r="F130" s="306">
        <f>IF(A130&lt;$F$6,0,IF(AND($B$21=1,A130&gt;$B$19),0,$E$6*$G$6^MIN((A130-$F$6)/12,6)*MIN($G$6,0.85)^MAX(0,(A130-$F$6)/12-6)))</f>
        <v/>
      </c>
      <c r="G130" s="306">
        <f>IF(A130&lt;$F$7,0,IF(AND($B$21=1,A130&gt;$B$19),0,$E$7*$G$7^MIN((A130-$F$7)/12,6)*MIN($G$7,0.85)^MAX(0,(A130-$F$7)/12-6)))</f>
        <v/>
      </c>
      <c r="H130" s="306">
        <f>IF(A130&lt;$F$8,0,IF(AND($B$21=1,A130&gt;$B$19),0,$E$8*$G$8^MIN((A130-$F$8)/12,6)*MIN($G$8,0.85)^MAX(0,(A130-$F$8)/12-6)))</f>
        <v/>
      </c>
      <c r="I130" s="306">
        <f>IF(A130&lt;$F$9,0,IF(AND($B$21=1,A130&gt;$B$19),0,$E$9*$G$9^MIN((A130-$F$9)/12,6)*MIN($G$9,0.85)^MAX(0,(A130-$F$9)/12-6)))</f>
        <v/>
      </c>
      <c r="J130" s="306">
        <f>IF(A130&lt;$F$10,0,IF(AND($B$21=1,A130&gt;$B$19),0,$E$10*$G$10^MIN((A130-$F$10)/12,6)*MIN($G$10,0.85)^MAX(0,(A130-$F$10)/12-6)))</f>
        <v/>
      </c>
      <c r="K130" s="306">
        <f>IF(A130&lt;$F$11,0,IF(AND($B$21=1,A130&gt;$B$19),0,$E$11*$G$11^MIN((A130-$F$11)/12,6)*MIN($G$11,0.85)^MAX(0,(A130-$F$11)/12-6)))</f>
        <v/>
      </c>
      <c r="L130" s="306">
        <f>IF(A130&lt;$F$12,0,IF(AND($B$21=1,A130&gt;$B$19),0,$E$12*$G$12^MIN((A130-$F$12)/12,6)*MIN($G$12,0.85)^MAX(0,(A130-$F$12)/12-6)))</f>
        <v/>
      </c>
      <c r="M130" s="306">
        <f>IF(A130&lt;$F$13,0,IF(AND($B$21=1,A130&gt;$B$19),0,$E$13*$G$13^MIN((A130-$F$13)/12,6)*MIN($G$13,0.85)^MAX(0,(A130-$F$13)/12-6)))</f>
        <v/>
      </c>
      <c r="N130" s="306">
        <f>IF(A130&lt;$F$14,0,IF(AND($B$21=1,A130&gt;$B$19),0,$E$14*$G$14^MIN((A130-$F$14)/12,6)*MIN($G$14,0.85)^MAX(0,(A130-$F$14)/12-6)))</f>
        <v/>
      </c>
      <c r="O130" s="306">
        <f>SUM(F130:N130)</f>
        <v/>
      </c>
      <c r="P130" s="306">
        <f>O130/12</f>
        <v/>
      </c>
      <c r="Q130" s="306">
        <f>P130*$B$8</f>
        <v/>
      </c>
      <c r="R130" s="306">
        <f>P130*$B$9</f>
        <v/>
      </c>
      <c r="S130" s="306">
        <f>P130*$B$10</f>
        <v/>
      </c>
      <c r="T130" s="306">
        <f>P130-Q130-R130-S130-D130-E130</f>
        <v/>
      </c>
      <c r="U130" s="306">
        <f>MAX(0, T130 - $B$7*P130)</f>
        <v/>
      </c>
      <c r="V130" s="306">
        <f>T130-U130</f>
        <v/>
      </c>
      <c r="W130" s="306">
        <f>IF(A130=$F$6, $B$18*$B$16*$B$17/1000000, 0) + IF(A130=$F$7, $B$18*$B$16*$B$17/1000000, 0) + IF(A130=$F$8, $B$18*$B$16*$B$17/1000000, 0) + IF(A130=$F$9, $B$18*$B$16*$B$17/1000000, 0) + IF(A130=$F$10, $B$18*$B$16*$B$17/1000000, 0) + IF(A130=$F$11, $B$18*$B$16*$B$17/1000000, 0) + IF(A130=$F$12, $B$18*$B$16*$B$17/1000000, 0) + IF(A130=$F$13, $B$18*$B$16*$B$17/1000000, 0) + IF(A130=$F$14, $B$18*$B$16*$B$17/1000000, 0)</f>
        <v/>
      </c>
      <c r="X130" s="306">
        <f>V130-W130-C130</f>
        <v/>
      </c>
      <c r="Y130" s="306">
        <f>IF(AND(A130&lt;=$B$24, X130&gt;0), X130*$B$23, 0)</f>
        <v/>
      </c>
      <c r="Z130" s="306">
        <f>X130-Y130</f>
        <v/>
      </c>
      <c r="AA130" s="306">
        <f>IF(AND(A130=$B$19, $B$21=1), O130*$B$20, 0)</f>
        <v/>
      </c>
      <c r="AB130" s="306">
        <f>AB129+Z130+AA130</f>
        <v/>
      </c>
    </row>
    <row r="131">
      <c r="A131" s="306" t="n">
        <v>101</v>
      </c>
      <c r="B131" s="306">
        <f>CEILING(A131/12,1)</f>
        <v/>
      </c>
      <c r="C131" s="306">
        <f>IF(A131&lt;=12, $B$15/12, 0)</f>
        <v/>
      </c>
      <c r="D131" s="306">
        <f>INDEX('26. Team Comp'!$D$28:$R$28, B131) * 0.001 / 12</f>
        <v/>
      </c>
      <c r="E131" s="306">
        <f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+ (IF(MAX(0, A131 - $F$11 + 1)&lt;=0, 0, IF(MAX(0, A131 - $F$11 + 1)&lt;=6, 70 - (70-14)*(MAX(0, A131 - $F$11 + 1)-1)/5, IF(MAX(0, A131 - $F$11 + 1)&lt;=24, 14 - 14*(MAX(0, A131 - $F$11 + 1)-6)/18, 0)))) + (IF(MAX(0, A131 - $F$12 + 1)&lt;=0, 0, IF(MAX(0, A131 - $F$12 + 1)&lt;=6, 70 - (70-14)*(MAX(0, A131 - $F$12 + 1)-1)/5, IF(MAX(0, A131 - $F$12 + 1)&lt;=24, 14 - 14*(MAX(0, A131 - $F$12 + 1)-6)/18, 0)))) + (IF(MAX(0, A131 - $F$13 + 1)&lt;=0, 0, IF(MAX(0, A131 - $F$13 + 1)&lt;=6, 70 - (70-14)*(MAX(0, A131 - $F$13 + 1)-1)/5, IF(MAX(0, A131 - $F$13 + 1)&lt;=24, 14 - 14*(MAX(0, A131 - $F$13 + 1)-6)/18, 0)))) + (IF(MAX(0, A131 - $F$14 + 1)&lt;=0, 0, IF(MAX(0, A131 - $F$14 + 1)&lt;=6, 70 - (70-14)*(MAX(0, A131 - $F$14 + 1)-1)/5, IF(MAX(0, A131 - $F$14 + 1)&lt;=24, 14 - 14*(MAX(0, A131 - $F$14 + 1)-6)/18, 0)))) ) * 200 / 12 / 1000</f>
        <v/>
      </c>
      <c r="F131" s="306">
        <f>IF(A131&lt;$F$6,0,IF(AND($B$21=1,A131&gt;$B$19),0,$E$6*$G$6^MIN((A131-$F$6)/12,6)*MIN($G$6,0.85)^MAX(0,(A131-$F$6)/12-6)))</f>
        <v/>
      </c>
      <c r="G131" s="306">
        <f>IF(A131&lt;$F$7,0,IF(AND($B$21=1,A131&gt;$B$19),0,$E$7*$G$7^MIN((A131-$F$7)/12,6)*MIN($G$7,0.85)^MAX(0,(A131-$F$7)/12-6)))</f>
        <v/>
      </c>
      <c r="H131" s="306">
        <f>IF(A131&lt;$F$8,0,IF(AND($B$21=1,A131&gt;$B$19),0,$E$8*$G$8^MIN((A131-$F$8)/12,6)*MIN($G$8,0.85)^MAX(0,(A131-$F$8)/12-6)))</f>
        <v/>
      </c>
      <c r="I131" s="306">
        <f>IF(A131&lt;$F$9,0,IF(AND($B$21=1,A131&gt;$B$19),0,$E$9*$G$9^MIN((A131-$F$9)/12,6)*MIN($G$9,0.85)^MAX(0,(A131-$F$9)/12-6)))</f>
        <v/>
      </c>
      <c r="J131" s="306">
        <f>IF(A131&lt;$F$10,0,IF(AND($B$21=1,A131&gt;$B$19),0,$E$10*$G$10^MIN((A131-$F$10)/12,6)*MIN($G$10,0.85)^MAX(0,(A131-$F$10)/12-6)))</f>
        <v/>
      </c>
      <c r="K131" s="306">
        <f>IF(A131&lt;$F$11,0,IF(AND($B$21=1,A131&gt;$B$19),0,$E$11*$G$11^MIN((A131-$F$11)/12,6)*MIN($G$11,0.85)^MAX(0,(A131-$F$11)/12-6)))</f>
        <v/>
      </c>
      <c r="L131" s="306">
        <f>IF(A131&lt;$F$12,0,IF(AND($B$21=1,A131&gt;$B$19),0,$E$12*$G$12^MIN((A131-$F$12)/12,6)*MIN($G$12,0.85)^MAX(0,(A131-$F$12)/12-6)))</f>
        <v/>
      </c>
      <c r="M131" s="306">
        <f>IF(A131&lt;$F$13,0,IF(AND($B$21=1,A131&gt;$B$19),0,$E$13*$G$13^MIN((A131-$F$13)/12,6)*MIN($G$13,0.85)^MAX(0,(A131-$F$13)/12-6)))</f>
        <v/>
      </c>
      <c r="N131" s="306">
        <f>IF(A131&lt;$F$14,0,IF(AND($B$21=1,A131&gt;$B$19),0,$E$14*$G$14^MIN((A131-$F$14)/12,6)*MIN($G$14,0.85)^MAX(0,(A131-$F$14)/12-6)))</f>
        <v/>
      </c>
      <c r="O131" s="306">
        <f>SUM(F131:N131)</f>
        <v/>
      </c>
      <c r="P131" s="306">
        <f>O131/12</f>
        <v/>
      </c>
      <c r="Q131" s="306">
        <f>P131*$B$8</f>
        <v/>
      </c>
      <c r="R131" s="306">
        <f>P131*$B$9</f>
        <v/>
      </c>
      <c r="S131" s="306">
        <f>P131*$B$10</f>
        <v/>
      </c>
      <c r="T131" s="306">
        <f>P131-Q131-R131-S131-D131-E131</f>
        <v/>
      </c>
      <c r="U131" s="306">
        <f>MAX(0, T131 - $B$7*P131)</f>
        <v/>
      </c>
      <c r="V131" s="306">
        <f>T131-U131</f>
        <v/>
      </c>
      <c r="W131" s="306">
        <f>IF(A131=$F$6, $B$18*$B$16*$B$17/1000000, 0) + IF(A131=$F$7, $B$18*$B$16*$B$17/1000000, 0) + IF(A131=$F$8, $B$18*$B$16*$B$17/1000000, 0) + IF(A131=$F$9, $B$18*$B$16*$B$17/1000000, 0) + IF(A131=$F$10, $B$18*$B$16*$B$17/1000000, 0) + IF(A131=$F$11, $B$18*$B$16*$B$17/1000000, 0) + IF(A131=$F$12, $B$18*$B$16*$B$17/1000000, 0) + IF(A131=$F$13, $B$18*$B$16*$B$17/1000000, 0) + IF(A131=$F$14, $B$18*$B$16*$B$17/1000000, 0)</f>
        <v/>
      </c>
      <c r="X131" s="306">
        <f>V131-W131-C131</f>
        <v/>
      </c>
      <c r="Y131" s="306">
        <f>IF(AND(A131&lt;=$B$24, X131&gt;0), X131*$B$23, 0)</f>
        <v/>
      </c>
      <c r="Z131" s="306">
        <f>X131-Y131</f>
        <v/>
      </c>
      <c r="AA131" s="306">
        <f>IF(AND(A131=$B$19, $B$21=1), O131*$B$20, 0)</f>
        <v/>
      </c>
      <c r="AB131" s="306">
        <f>AB130+Z131+AA131</f>
        <v/>
      </c>
    </row>
    <row r="132">
      <c r="A132" s="306" t="n">
        <v>102</v>
      </c>
      <c r="B132" s="306">
        <f>CEILING(A132/12,1)</f>
        <v/>
      </c>
      <c r="C132" s="306">
        <f>IF(A132&lt;=12, $B$15/12, 0)</f>
        <v/>
      </c>
      <c r="D132" s="306">
        <f>INDEX('26. Team Comp'!$D$28:$R$28, B132) * 0.001 / 12</f>
        <v/>
      </c>
      <c r="E132" s="306">
        <f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+ (IF(MAX(0, A132 - $F$11 + 1)&lt;=0, 0, IF(MAX(0, A132 - $F$11 + 1)&lt;=6, 70 - (70-14)*(MAX(0, A132 - $F$11 + 1)-1)/5, IF(MAX(0, A132 - $F$11 + 1)&lt;=24, 14 - 14*(MAX(0, A132 - $F$11 + 1)-6)/18, 0)))) + (IF(MAX(0, A132 - $F$12 + 1)&lt;=0, 0, IF(MAX(0, A132 - $F$12 + 1)&lt;=6, 70 - (70-14)*(MAX(0, A132 - $F$12 + 1)-1)/5, IF(MAX(0, A132 - $F$12 + 1)&lt;=24, 14 - 14*(MAX(0, A132 - $F$12 + 1)-6)/18, 0)))) + (IF(MAX(0, A132 - $F$13 + 1)&lt;=0, 0, IF(MAX(0, A132 - $F$13 + 1)&lt;=6, 70 - (70-14)*(MAX(0, A132 - $F$13 + 1)-1)/5, IF(MAX(0, A132 - $F$13 + 1)&lt;=24, 14 - 14*(MAX(0, A132 - $F$13 + 1)-6)/18, 0)))) + (IF(MAX(0, A132 - $F$14 + 1)&lt;=0, 0, IF(MAX(0, A132 - $F$14 + 1)&lt;=6, 70 - (70-14)*(MAX(0, A132 - $F$14 + 1)-1)/5, IF(MAX(0, A132 - $F$14 + 1)&lt;=24, 14 - 14*(MAX(0, A132 - $F$14 + 1)-6)/18, 0)))) ) * 200 / 12 / 1000</f>
        <v/>
      </c>
      <c r="F132" s="306">
        <f>IF(A132&lt;$F$6,0,IF(AND($B$21=1,A132&gt;$B$19),0,$E$6*$G$6^MIN((A132-$F$6)/12,6)*MIN($G$6,0.85)^MAX(0,(A132-$F$6)/12-6)))</f>
        <v/>
      </c>
      <c r="G132" s="306">
        <f>IF(A132&lt;$F$7,0,IF(AND($B$21=1,A132&gt;$B$19),0,$E$7*$G$7^MIN((A132-$F$7)/12,6)*MIN($G$7,0.85)^MAX(0,(A132-$F$7)/12-6)))</f>
        <v/>
      </c>
      <c r="H132" s="306">
        <f>IF(A132&lt;$F$8,0,IF(AND($B$21=1,A132&gt;$B$19),0,$E$8*$G$8^MIN((A132-$F$8)/12,6)*MIN($G$8,0.85)^MAX(0,(A132-$F$8)/12-6)))</f>
        <v/>
      </c>
      <c r="I132" s="306">
        <f>IF(A132&lt;$F$9,0,IF(AND($B$21=1,A132&gt;$B$19),0,$E$9*$G$9^MIN((A132-$F$9)/12,6)*MIN($G$9,0.85)^MAX(0,(A132-$F$9)/12-6)))</f>
        <v/>
      </c>
      <c r="J132" s="306">
        <f>IF(A132&lt;$F$10,0,IF(AND($B$21=1,A132&gt;$B$19),0,$E$10*$G$10^MIN((A132-$F$10)/12,6)*MIN($G$10,0.85)^MAX(0,(A132-$F$10)/12-6)))</f>
        <v/>
      </c>
      <c r="K132" s="306">
        <f>IF(A132&lt;$F$11,0,IF(AND($B$21=1,A132&gt;$B$19),0,$E$11*$G$11^MIN((A132-$F$11)/12,6)*MIN($G$11,0.85)^MAX(0,(A132-$F$11)/12-6)))</f>
        <v/>
      </c>
      <c r="L132" s="306">
        <f>IF(A132&lt;$F$12,0,IF(AND($B$21=1,A132&gt;$B$19),0,$E$12*$G$12^MIN((A132-$F$12)/12,6)*MIN($G$12,0.85)^MAX(0,(A132-$F$12)/12-6)))</f>
        <v/>
      </c>
      <c r="M132" s="306">
        <f>IF(A132&lt;$F$13,0,IF(AND($B$21=1,A132&gt;$B$19),0,$E$13*$G$13^MIN((A132-$F$13)/12,6)*MIN($G$13,0.85)^MAX(0,(A132-$F$13)/12-6)))</f>
        <v/>
      </c>
      <c r="N132" s="306">
        <f>IF(A132&lt;$F$14,0,IF(AND($B$21=1,A132&gt;$B$19),0,$E$14*$G$14^MIN((A132-$F$14)/12,6)*MIN($G$14,0.85)^MAX(0,(A132-$F$14)/12-6)))</f>
        <v/>
      </c>
      <c r="O132" s="306">
        <f>SUM(F132:N132)</f>
        <v/>
      </c>
      <c r="P132" s="306">
        <f>O132/12</f>
        <v/>
      </c>
      <c r="Q132" s="306">
        <f>P132*$B$8</f>
        <v/>
      </c>
      <c r="R132" s="306">
        <f>P132*$B$9</f>
        <v/>
      </c>
      <c r="S132" s="306">
        <f>P132*$B$10</f>
        <v/>
      </c>
      <c r="T132" s="306">
        <f>P132-Q132-R132-S132-D132-E132</f>
        <v/>
      </c>
      <c r="U132" s="306">
        <f>MAX(0, T132 - $B$7*P132)</f>
        <v/>
      </c>
      <c r="V132" s="306">
        <f>T132-U132</f>
        <v/>
      </c>
      <c r="W132" s="306">
        <f>IF(A132=$F$6, $B$18*$B$16*$B$17/1000000, 0) + IF(A132=$F$7, $B$18*$B$16*$B$17/1000000, 0) + IF(A132=$F$8, $B$18*$B$16*$B$17/1000000, 0) + IF(A132=$F$9, $B$18*$B$16*$B$17/1000000, 0) + IF(A132=$F$10, $B$18*$B$16*$B$17/1000000, 0) + IF(A132=$F$11, $B$18*$B$16*$B$17/1000000, 0) + IF(A132=$F$12, $B$18*$B$16*$B$17/1000000, 0) + IF(A132=$F$13, $B$18*$B$16*$B$17/1000000, 0) + IF(A132=$F$14, $B$18*$B$16*$B$17/1000000, 0)</f>
        <v/>
      </c>
      <c r="X132" s="306">
        <f>V132-W132-C132</f>
        <v/>
      </c>
      <c r="Y132" s="306">
        <f>IF(AND(A132&lt;=$B$24, X132&gt;0), X132*$B$23, 0)</f>
        <v/>
      </c>
      <c r="Z132" s="306">
        <f>X132-Y132</f>
        <v/>
      </c>
      <c r="AA132" s="306">
        <f>IF(AND(A132=$B$19, $B$21=1), O132*$B$20, 0)</f>
        <v/>
      </c>
      <c r="AB132" s="306">
        <f>AB131+Z132+AA132</f>
        <v/>
      </c>
    </row>
    <row r="133">
      <c r="A133" s="306" t="n">
        <v>103</v>
      </c>
      <c r="B133" s="306">
        <f>CEILING(A133/12,1)</f>
        <v/>
      </c>
      <c r="C133" s="306">
        <f>IF(A133&lt;=12, $B$15/12, 0)</f>
        <v/>
      </c>
      <c r="D133" s="306">
        <f>INDEX('26. Team Comp'!$D$28:$R$28, B133) * 0.001 / 12</f>
        <v/>
      </c>
      <c r="E133" s="306">
        <f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+ (IF(MAX(0, A133 - $F$11 + 1)&lt;=0, 0, IF(MAX(0, A133 - $F$11 + 1)&lt;=6, 70 - (70-14)*(MAX(0, A133 - $F$11 + 1)-1)/5, IF(MAX(0, A133 - $F$11 + 1)&lt;=24, 14 - 14*(MAX(0, A133 - $F$11 + 1)-6)/18, 0)))) + (IF(MAX(0, A133 - $F$12 + 1)&lt;=0, 0, IF(MAX(0, A133 - $F$12 + 1)&lt;=6, 70 - (70-14)*(MAX(0, A133 - $F$12 + 1)-1)/5, IF(MAX(0, A133 - $F$12 + 1)&lt;=24, 14 - 14*(MAX(0, A133 - $F$12 + 1)-6)/18, 0)))) + (IF(MAX(0, A133 - $F$13 + 1)&lt;=0, 0, IF(MAX(0, A133 - $F$13 + 1)&lt;=6, 70 - (70-14)*(MAX(0, A133 - $F$13 + 1)-1)/5, IF(MAX(0, A133 - $F$13 + 1)&lt;=24, 14 - 14*(MAX(0, A133 - $F$13 + 1)-6)/18, 0)))) + (IF(MAX(0, A133 - $F$14 + 1)&lt;=0, 0, IF(MAX(0, A133 - $F$14 + 1)&lt;=6, 70 - (70-14)*(MAX(0, A133 - $F$14 + 1)-1)/5, IF(MAX(0, A133 - $F$14 + 1)&lt;=24, 14 - 14*(MAX(0, A133 - $F$14 + 1)-6)/18, 0)))) ) * 200 / 12 / 1000</f>
        <v/>
      </c>
      <c r="F133" s="306">
        <f>IF(A133&lt;$F$6,0,IF(AND($B$21=1,A133&gt;$B$19),0,$E$6*$G$6^MIN((A133-$F$6)/12,6)*MIN($G$6,0.85)^MAX(0,(A133-$F$6)/12-6)))</f>
        <v/>
      </c>
      <c r="G133" s="306">
        <f>IF(A133&lt;$F$7,0,IF(AND($B$21=1,A133&gt;$B$19),0,$E$7*$G$7^MIN((A133-$F$7)/12,6)*MIN($G$7,0.85)^MAX(0,(A133-$F$7)/12-6)))</f>
        <v/>
      </c>
      <c r="H133" s="306">
        <f>IF(A133&lt;$F$8,0,IF(AND($B$21=1,A133&gt;$B$19),0,$E$8*$G$8^MIN((A133-$F$8)/12,6)*MIN($G$8,0.85)^MAX(0,(A133-$F$8)/12-6)))</f>
        <v/>
      </c>
      <c r="I133" s="306">
        <f>IF(A133&lt;$F$9,0,IF(AND($B$21=1,A133&gt;$B$19),0,$E$9*$G$9^MIN((A133-$F$9)/12,6)*MIN($G$9,0.85)^MAX(0,(A133-$F$9)/12-6)))</f>
        <v/>
      </c>
      <c r="J133" s="306">
        <f>IF(A133&lt;$F$10,0,IF(AND($B$21=1,A133&gt;$B$19),0,$E$10*$G$10^MIN((A133-$F$10)/12,6)*MIN($G$10,0.85)^MAX(0,(A133-$F$10)/12-6)))</f>
        <v/>
      </c>
      <c r="K133" s="306">
        <f>IF(A133&lt;$F$11,0,IF(AND($B$21=1,A133&gt;$B$19),0,$E$11*$G$11^MIN((A133-$F$11)/12,6)*MIN($G$11,0.85)^MAX(0,(A133-$F$11)/12-6)))</f>
        <v/>
      </c>
      <c r="L133" s="306">
        <f>IF(A133&lt;$F$12,0,IF(AND($B$21=1,A133&gt;$B$19),0,$E$12*$G$12^MIN((A133-$F$12)/12,6)*MIN($G$12,0.85)^MAX(0,(A133-$F$12)/12-6)))</f>
        <v/>
      </c>
      <c r="M133" s="306">
        <f>IF(A133&lt;$F$13,0,IF(AND($B$21=1,A133&gt;$B$19),0,$E$13*$G$13^MIN((A133-$F$13)/12,6)*MIN($G$13,0.85)^MAX(0,(A133-$F$13)/12-6)))</f>
        <v/>
      </c>
      <c r="N133" s="306">
        <f>IF(A133&lt;$F$14,0,IF(AND($B$21=1,A133&gt;$B$19),0,$E$14*$G$14^MIN((A133-$F$14)/12,6)*MIN($G$14,0.85)^MAX(0,(A133-$F$14)/12-6)))</f>
        <v/>
      </c>
      <c r="O133" s="306">
        <f>SUM(F133:N133)</f>
        <v/>
      </c>
      <c r="P133" s="306">
        <f>O133/12</f>
        <v/>
      </c>
      <c r="Q133" s="306">
        <f>P133*$B$8</f>
        <v/>
      </c>
      <c r="R133" s="306">
        <f>P133*$B$9</f>
        <v/>
      </c>
      <c r="S133" s="306">
        <f>P133*$B$10</f>
        <v/>
      </c>
      <c r="T133" s="306">
        <f>P133-Q133-R133-S133-D133-E133</f>
        <v/>
      </c>
      <c r="U133" s="306">
        <f>MAX(0, T133 - $B$7*P133)</f>
        <v/>
      </c>
      <c r="V133" s="306">
        <f>T133-U133</f>
        <v/>
      </c>
      <c r="W133" s="306">
        <f>IF(A133=$F$6, $B$18*$B$16*$B$17/1000000, 0) + IF(A133=$F$7, $B$18*$B$16*$B$17/1000000, 0) + IF(A133=$F$8, $B$18*$B$16*$B$17/1000000, 0) + IF(A133=$F$9, $B$18*$B$16*$B$17/1000000, 0) + IF(A133=$F$10, $B$18*$B$16*$B$17/1000000, 0) + IF(A133=$F$11, $B$18*$B$16*$B$17/1000000, 0) + IF(A133=$F$12, $B$18*$B$16*$B$17/1000000, 0) + IF(A133=$F$13, $B$18*$B$16*$B$17/1000000, 0) + IF(A133=$F$14, $B$18*$B$16*$B$17/1000000, 0)</f>
        <v/>
      </c>
      <c r="X133" s="306">
        <f>V133-W133-C133</f>
        <v/>
      </c>
      <c r="Y133" s="306">
        <f>IF(AND(A133&lt;=$B$24, X133&gt;0), X133*$B$23, 0)</f>
        <v/>
      </c>
      <c r="Z133" s="306">
        <f>X133-Y133</f>
        <v/>
      </c>
      <c r="AA133" s="306">
        <f>IF(AND(A133=$B$19, $B$21=1), O133*$B$20, 0)</f>
        <v/>
      </c>
      <c r="AB133" s="306">
        <f>AB132+Z133+AA133</f>
        <v/>
      </c>
    </row>
    <row r="134">
      <c r="A134" s="306" t="n">
        <v>104</v>
      </c>
      <c r="B134" s="306">
        <f>CEILING(A134/12,1)</f>
        <v/>
      </c>
      <c r="C134" s="306">
        <f>IF(A134&lt;=12, $B$15/12, 0)</f>
        <v/>
      </c>
      <c r="D134" s="306">
        <f>INDEX('26. Team Comp'!$D$28:$R$28, B134) * 0.001 / 12</f>
        <v/>
      </c>
      <c r="E134" s="306">
        <f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+ (IF(MAX(0, A134 - $F$11 + 1)&lt;=0, 0, IF(MAX(0, A134 - $F$11 + 1)&lt;=6, 70 - (70-14)*(MAX(0, A134 - $F$11 + 1)-1)/5, IF(MAX(0, A134 - $F$11 + 1)&lt;=24, 14 - 14*(MAX(0, A134 - $F$11 + 1)-6)/18, 0)))) + (IF(MAX(0, A134 - $F$12 + 1)&lt;=0, 0, IF(MAX(0, A134 - $F$12 + 1)&lt;=6, 70 - (70-14)*(MAX(0, A134 - $F$12 + 1)-1)/5, IF(MAX(0, A134 - $F$12 + 1)&lt;=24, 14 - 14*(MAX(0, A134 - $F$12 + 1)-6)/18, 0)))) + (IF(MAX(0, A134 - $F$13 + 1)&lt;=0, 0, IF(MAX(0, A134 - $F$13 + 1)&lt;=6, 70 - (70-14)*(MAX(0, A134 - $F$13 + 1)-1)/5, IF(MAX(0, A134 - $F$13 + 1)&lt;=24, 14 - 14*(MAX(0, A134 - $F$13 + 1)-6)/18, 0)))) + (IF(MAX(0, A134 - $F$14 + 1)&lt;=0, 0, IF(MAX(0, A134 - $F$14 + 1)&lt;=6, 70 - (70-14)*(MAX(0, A134 - $F$14 + 1)-1)/5, IF(MAX(0, A134 - $F$14 + 1)&lt;=24, 14 - 14*(MAX(0, A134 - $F$14 + 1)-6)/18, 0)))) ) * 200 / 12 / 1000</f>
        <v/>
      </c>
      <c r="F134" s="306">
        <f>IF(A134&lt;$F$6,0,IF(AND($B$21=1,A134&gt;$B$19),0,$E$6*$G$6^MIN((A134-$F$6)/12,6)*MIN($G$6,0.85)^MAX(0,(A134-$F$6)/12-6)))</f>
        <v/>
      </c>
      <c r="G134" s="306">
        <f>IF(A134&lt;$F$7,0,IF(AND($B$21=1,A134&gt;$B$19),0,$E$7*$G$7^MIN((A134-$F$7)/12,6)*MIN($G$7,0.85)^MAX(0,(A134-$F$7)/12-6)))</f>
        <v/>
      </c>
      <c r="H134" s="306">
        <f>IF(A134&lt;$F$8,0,IF(AND($B$21=1,A134&gt;$B$19),0,$E$8*$G$8^MIN((A134-$F$8)/12,6)*MIN($G$8,0.85)^MAX(0,(A134-$F$8)/12-6)))</f>
        <v/>
      </c>
      <c r="I134" s="306">
        <f>IF(A134&lt;$F$9,0,IF(AND($B$21=1,A134&gt;$B$19),0,$E$9*$G$9^MIN((A134-$F$9)/12,6)*MIN($G$9,0.85)^MAX(0,(A134-$F$9)/12-6)))</f>
        <v/>
      </c>
      <c r="J134" s="306">
        <f>IF(A134&lt;$F$10,0,IF(AND($B$21=1,A134&gt;$B$19),0,$E$10*$G$10^MIN((A134-$F$10)/12,6)*MIN($G$10,0.85)^MAX(0,(A134-$F$10)/12-6)))</f>
        <v/>
      </c>
      <c r="K134" s="306">
        <f>IF(A134&lt;$F$11,0,IF(AND($B$21=1,A134&gt;$B$19),0,$E$11*$G$11^MIN((A134-$F$11)/12,6)*MIN($G$11,0.85)^MAX(0,(A134-$F$11)/12-6)))</f>
        <v/>
      </c>
      <c r="L134" s="306">
        <f>IF(A134&lt;$F$12,0,IF(AND($B$21=1,A134&gt;$B$19),0,$E$12*$G$12^MIN((A134-$F$12)/12,6)*MIN($G$12,0.85)^MAX(0,(A134-$F$12)/12-6)))</f>
        <v/>
      </c>
      <c r="M134" s="306">
        <f>IF(A134&lt;$F$13,0,IF(AND($B$21=1,A134&gt;$B$19),0,$E$13*$G$13^MIN((A134-$F$13)/12,6)*MIN($G$13,0.85)^MAX(0,(A134-$F$13)/12-6)))</f>
        <v/>
      </c>
      <c r="N134" s="306">
        <f>IF(A134&lt;$F$14,0,IF(AND($B$21=1,A134&gt;$B$19),0,$E$14*$G$14^MIN((A134-$F$14)/12,6)*MIN($G$14,0.85)^MAX(0,(A134-$F$14)/12-6)))</f>
        <v/>
      </c>
      <c r="O134" s="306">
        <f>SUM(F134:N134)</f>
        <v/>
      </c>
      <c r="P134" s="306">
        <f>O134/12</f>
        <v/>
      </c>
      <c r="Q134" s="306">
        <f>P134*$B$8</f>
        <v/>
      </c>
      <c r="R134" s="306">
        <f>P134*$B$9</f>
        <v/>
      </c>
      <c r="S134" s="306">
        <f>P134*$B$10</f>
        <v/>
      </c>
      <c r="T134" s="306">
        <f>P134-Q134-R134-S134-D134-E134</f>
        <v/>
      </c>
      <c r="U134" s="306">
        <f>MAX(0, T134 - $B$7*P134)</f>
        <v/>
      </c>
      <c r="V134" s="306">
        <f>T134-U134</f>
        <v/>
      </c>
      <c r="W134" s="306">
        <f>IF(A134=$F$6, $B$18*$B$16*$B$17/1000000, 0) + IF(A134=$F$7, $B$18*$B$16*$B$17/1000000, 0) + IF(A134=$F$8, $B$18*$B$16*$B$17/1000000, 0) + IF(A134=$F$9, $B$18*$B$16*$B$17/1000000, 0) + IF(A134=$F$10, $B$18*$B$16*$B$17/1000000, 0) + IF(A134=$F$11, $B$18*$B$16*$B$17/1000000, 0) + IF(A134=$F$12, $B$18*$B$16*$B$17/1000000, 0) + IF(A134=$F$13, $B$18*$B$16*$B$17/1000000, 0) + IF(A134=$F$14, $B$18*$B$16*$B$17/1000000, 0)</f>
        <v/>
      </c>
      <c r="X134" s="306">
        <f>V134-W134-C134</f>
        <v/>
      </c>
      <c r="Y134" s="306">
        <f>IF(AND(A134&lt;=$B$24, X134&gt;0), X134*$B$23, 0)</f>
        <v/>
      </c>
      <c r="Z134" s="306">
        <f>X134-Y134</f>
        <v/>
      </c>
      <c r="AA134" s="306">
        <f>IF(AND(A134=$B$19, $B$21=1), O134*$B$20, 0)</f>
        <v/>
      </c>
      <c r="AB134" s="306">
        <f>AB133+Z134+AA134</f>
        <v/>
      </c>
    </row>
    <row r="135">
      <c r="A135" s="306" t="n">
        <v>105</v>
      </c>
      <c r="B135" s="306">
        <f>CEILING(A135/12,1)</f>
        <v/>
      </c>
      <c r="C135" s="306">
        <f>IF(A135&lt;=12, $B$15/12, 0)</f>
        <v/>
      </c>
      <c r="D135" s="306">
        <f>INDEX('26. Team Comp'!$D$28:$R$28, B135) * 0.001 / 12</f>
        <v/>
      </c>
      <c r="E135" s="306">
        <f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+ (IF(MAX(0, A135 - $F$11 + 1)&lt;=0, 0, IF(MAX(0, A135 - $F$11 + 1)&lt;=6, 70 - (70-14)*(MAX(0, A135 - $F$11 + 1)-1)/5, IF(MAX(0, A135 - $F$11 + 1)&lt;=24, 14 - 14*(MAX(0, A135 - $F$11 + 1)-6)/18, 0)))) + (IF(MAX(0, A135 - $F$12 + 1)&lt;=0, 0, IF(MAX(0, A135 - $F$12 + 1)&lt;=6, 70 - (70-14)*(MAX(0, A135 - $F$12 + 1)-1)/5, IF(MAX(0, A135 - $F$12 + 1)&lt;=24, 14 - 14*(MAX(0, A135 - $F$12 + 1)-6)/18, 0)))) + (IF(MAX(0, A135 - $F$13 + 1)&lt;=0, 0, IF(MAX(0, A135 - $F$13 + 1)&lt;=6, 70 - (70-14)*(MAX(0, A135 - $F$13 + 1)-1)/5, IF(MAX(0, A135 - $F$13 + 1)&lt;=24, 14 - 14*(MAX(0, A135 - $F$13 + 1)-6)/18, 0)))) + (IF(MAX(0, A135 - $F$14 + 1)&lt;=0, 0, IF(MAX(0, A135 - $F$14 + 1)&lt;=6, 70 - (70-14)*(MAX(0, A135 - $F$14 + 1)-1)/5, IF(MAX(0, A135 - $F$14 + 1)&lt;=24, 14 - 14*(MAX(0, A135 - $F$14 + 1)-6)/18, 0)))) ) * 200 / 12 / 1000</f>
        <v/>
      </c>
      <c r="F135" s="306">
        <f>IF(A135&lt;$F$6,0,IF(AND($B$21=1,A135&gt;$B$19),0,$E$6*$G$6^MIN((A135-$F$6)/12,6)*MIN($G$6,0.85)^MAX(0,(A135-$F$6)/12-6)))</f>
        <v/>
      </c>
      <c r="G135" s="306">
        <f>IF(A135&lt;$F$7,0,IF(AND($B$21=1,A135&gt;$B$19),0,$E$7*$G$7^MIN((A135-$F$7)/12,6)*MIN($G$7,0.85)^MAX(0,(A135-$F$7)/12-6)))</f>
        <v/>
      </c>
      <c r="H135" s="306">
        <f>IF(A135&lt;$F$8,0,IF(AND($B$21=1,A135&gt;$B$19),0,$E$8*$G$8^MIN((A135-$F$8)/12,6)*MIN($G$8,0.85)^MAX(0,(A135-$F$8)/12-6)))</f>
        <v/>
      </c>
      <c r="I135" s="306">
        <f>IF(A135&lt;$F$9,0,IF(AND($B$21=1,A135&gt;$B$19),0,$E$9*$G$9^MIN((A135-$F$9)/12,6)*MIN($G$9,0.85)^MAX(0,(A135-$F$9)/12-6)))</f>
        <v/>
      </c>
      <c r="J135" s="306">
        <f>IF(A135&lt;$F$10,0,IF(AND($B$21=1,A135&gt;$B$19),0,$E$10*$G$10^MIN((A135-$F$10)/12,6)*MIN($G$10,0.85)^MAX(0,(A135-$F$10)/12-6)))</f>
        <v/>
      </c>
      <c r="K135" s="306">
        <f>IF(A135&lt;$F$11,0,IF(AND($B$21=1,A135&gt;$B$19),0,$E$11*$G$11^MIN((A135-$F$11)/12,6)*MIN($G$11,0.85)^MAX(0,(A135-$F$11)/12-6)))</f>
        <v/>
      </c>
      <c r="L135" s="306">
        <f>IF(A135&lt;$F$12,0,IF(AND($B$21=1,A135&gt;$B$19),0,$E$12*$G$12^MIN((A135-$F$12)/12,6)*MIN($G$12,0.85)^MAX(0,(A135-$F$12)/12-6)))</f>
        <v/>
      </c>
      <c r="M135" s="306">
        <f>IF(A135&lt;$F$13,0,IF(AND($B$21=1,A135&gt;$B$19),0,$E$13*$G$13^MIN((A135-$F$13)/12,6)*MIN($G$13,0.85)^MAX(0,(A135-$F$13)/12-6)))</f>
        <v/>
      </c>
      <c r="N135" s="306">
        <f>IF(A135&lt;$F$14,0,IF(AND($B$21=1,A135&gt;$B$19),0,$E$14*$G$14^MIN((A135-$F$14)/12,6)*MIN($G$14,0.85)^MAX(0,(A135-$F$14)/12-6)))</f>
        <v/>
      </c>
      <c r="O135" s="306">
        <f>SUM(F135:N135)</f>
        <v/>
      </c>
      <c r="P135" s="306">
        <f>O135/12</f>
        <v/>
      </c>
      <c r="Q135" s="306">
        <f>P135*$B$8</f>
        <v/>
      </c>
      <c r="R135" s="306">
        <f>P135*$B$9</f>
        <v/>
      </c>
      <c r="S135" s="306">
        <f>P135*$B$10</f>
        <v/>
      </c>
      <c r="T135" s="306">
        <f>P135-Q135-R135-S135-D135-E135</f>
        <v/>
      </c>
      <c r="U135" s="306">
        <f>MAX(0, T135 - $B$7*P135)</f>
        <v/>
      </c>
      <c r="V135" s="306">
        <f>T135-U135</f>
        <v/>
      </c>
      <c r="W135" s="306">
        <f>IF(A135=$F$6, $B$18*$B$16*$B$17/1000000, 0) + IF(A135=$F$7, $B$18*$B$16*$B$17/1000000, 0) + IF(A135=$F$8, $B$18*$B$16*$B$17/1000000, 0) + IF(A135=$F$9, $B$18*$B$16*$B$17/1000000, 0) + IF(A135=$F$10, $B$18*$B$16*$B$17/1000000, 0) + IF(A135=$F$11, $B$18*$B$16*$B$17/1000000, 0) + IF(A135=$F$12, $B$18*$B$16*$B$17/1000000, 0) + IF(A135=$F$13, $B$18*$B$16*$B$17/1000000, 0) + IF(A135=$F$14, $B$18*$B$16*$B$17/1000000, 0)</f>
        <v/>
      </c>
      <c r="X135" s="306">
        <f>V135-W135-C135</f>
        <v/>
      </c>
      <c r="Y135" s="306">
        <f>IF(AND(A135&lt;=$B$24, X135&gt;0), X135*$B$23, 0)</f>
        <v/>
      </c>
      <c r="Z135" s="306">
        <f>X135-Y135</f>
        <v/>
      </c>
      <c r="AA135" s="306">
        <f>IF(AND(A135=$B$19, $B$21=1), O135*$B$20, 0)</f>
        <v/>
      </c>
      <c r="AB135" s="306">
        <f>AB134+Z135+AA135</f>
        <v/>
      </c>
    </row>
    <row r="136">
      <c r="A136" s="306" t="n">
        <v>106</v>
      </c>
      <c r="B136" s="306">
        <f>CEILING(A136/12,1)</f>
        <v/>
      </c>
      <c r="C136" s="306">
        <f>IF(A136&lt;=12, $B$15/12, 0)</f>
        <v/>
      </c>
      <c r="D136" s="306">
        <f>INDEX('26. Team Comp'!$D$28:$R$28, B136) * 0.001 / 12</f>
        <v/>
      </c>
      <c r="E136" s="306">
        <f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+ (IF(MAX(0, A136 - $F$11 + 1)&lt;=0, 0, IF(MAX(0, A136 - $F$11 + 1)&lt;=6, 70 - (70-14)*(MAX(0, A136 - $F$11 + 1)-1)/5, IF(MAX(0, A136 - $F$11 + 1)&lt;=24, 14 - 14*(MAX(0, A136 - $F$11 + 1)-6)/18, 0)))) + (IF(MAX(0, A136 - $F$12 + 1)&lt;=0, 0, IF(MAX(0, A136 - $F$12 + 1)&lt;=6, 70 - (70-14)*(MAX(0, A136 - $F$12 + 1)-1)/5, IF(MAX(0, A136 - $F$12 + 1)&lt;=24, 14 - 14*(MAX(0, A136 - $F$12 + 1)-6)/18, 0)))) + (IF(MAX(0, A136 - $F$13 + 1)&lt;=0, 0, IF(MAX(0, A136 - $F$13 + 1)&lt;=6, 70 - (70-14)*(MAX(0, A136 - $F$13 + 1)-1)/5, IF(MAX(0, A136 - $F$13 + 1)&lt;=24, 14 - 14*(MAX(0, A136 - $F$13 + 1)-6)/18, 0)))) + (IF(MAX(0, A136 - $F$14 + 1)&lt;=0, 0, IF(MAX(0, A136 - $F$14 + 1)&lt;=6, 70 - (70-14)*(MAX(0, A136 - $F$14 + 1)-1)/5, IF(MAX(0, A136 - $F$14 + 1)&lt;=24, 14 - 14*(MAX(0, A136 - $F$14 + 1)-6)/18, 0)))) ) * 200 / 12 / 1000</f>
        <v/>
      </c>
      <c r="F136" s="306">
        <f>IF(A136&lt;$F$6,0,IF(AND($B$21=1,A136&gt;$B$19),0,$E$6*$G$6^MIN((A136-$F$6)/12,6)*MIN($G$6,0.85)^MAX(0,(A136-$F$6)/12-6)))</f>
        <v/>
      </c>
      <c r="G136" s="306">
        <f>IF(A136&lt;$F$7,0,IF(AND($B$21=1,A136&gt;$B$19),0,$E$7*$G$7^MIN((A136-$F$7)/12,6)*MIN($G$7,0.85)^MAX(0,(A136-$F$7)/12-6)))</f>
        <v/>
      </c>
      <c r="H136" s="306">
        <f>IF(A136&lt;$F$8,0,IF(AND($B$21=1,A136&gt;$B$19),0,$E$8*$G$8^MIN((A136-$F$8)/12,6)*MIN($G$8,0.85)^MAX(0,(A136-$F$8)/12-6)))</f>
        <v/>
      </c>
      <c r="I136" s="306">
        <f>IF(A136&lt;$F$9,0,IF(AND($B$21=1,A136&gt;$B$19),0,$E$9*$G$9^MIN((A136-$F$9)/12,6)*MIN($G$9,0.85)^MAX(0,(A136-$F$9)/12-6)))</f>
        <v/>
      </c>
      <c r="J136" s="306">
        <f>IF(A136&lt;$F$10,0,IF(AND($B$21=1,A136&gt;$B$19),0,$E$10*$G$10^MIN((A136-$F$10)/12,6)*MIN($G$10,0.85)^MAX(0,(A136-$F$10)/12-6)))</f>
        <v/>
      </c>
      <c r="K136" s="306">
        <f>IF(A136&lt;$F$11,0,IF(AND($B$21=1,A136&gt;$B$19),0,$E$11*$G$11^MIN((A136-$F$11)/12,6)*MIN($G$11,0.85)^MAX(0,(A136-$F$11)/12-6)))</f>
        <v/>
      </c>
      <c r="L136" s="306">
        <f>IF(A136&lt;$F$12,0,IF(AND($B$21=1,A136&gt;$B$19),0,$E$12*$G$12^MIN((A136-$F$12)/12,6)*MIN($G$12,0.85)^MAX(0,(A136-$F$12)/12-6)))</f>
        <v/>
      </c>
      <c r="M136" s="306">
        <f>IF(A136&lt;$F$13,0,IF(AND($B$21=1,A136&gt;$B$19),0,$E$13*$G$13^MIN((A136-$F$13)/12,6)*MIN($G$13,0.85)^MAX(0,(A136-$F$13)/12-6)))</f>
        <v/>
      </c>
      <c r="N136" s="306">
        <f>IF(A136&lt;$F$14,0,IF(AND($B$21=1,A136&gt;$B$19),0,$E$14*$G$14^MIN((A136-$F$14)/12,6)*MIN($G$14,0.85)^MAX(0,(A136-$F$14)/12-6)))</f>
        <v/>
      </c>
      <c r="O136" s="306">
        <f>SUM(F136:N136)</f>
        <v/>
      </c>
      <c r="P136" s="306">
        <f>O136/12</f>
        <v/>
      </c>
      <c r="Q136" s="306">
        <f>P136*$B$8</f>
        <v/>
      </c>
      <c r="R136" s="306">
        <f>P136*$B$9</f>
        <v/>
      </c>
      <c r="S136" s="306">
        <f>P136*$B$10</f>
        <v/>
      </c>
      <c r="T136" s="306">
        <f>P136-Q136-R136-S136-D136-E136</f>
        <v/>
      </c>
      <c r="U136" s="306">
        <f>MAX(0, T136 - $B$7*P136)</f>
        <v/>
      </c>
      <c r="V136" s="306">
        <f>T136-U136</f>
        <v/>
      </c>
      <c r="W136" s="306">
        <f>IF(A136=$F$6, $B$18*$B$16*$B$17/1000000, 0) + IF(A136=$F$7, $B$18*$B$16*$B$17/1000000, 0) + IF(A136=$F$8, $B$18*$B$16*$B$17/1000000, 0) + IF(A136=$F$9, $B$18*$B$16*$B$17/1000000, 0) + IF(A136=$F$10, $B$18*$B$16*$B$17/1000000, 0) + IF(A136=$F$11, $B$18*$B$16*$B$17/1000000, 0) + IF(A136=$F$12, $B$18*$B$16*$B$17/1000000, 0) + IF(A136=$F$13, $B$18*$B$16*$B$17/1000000, 0) + IF(A136=$F$14, $B$18*$B$16*$B$17/1000000, 0)</f>
        <v/>
      </c>
      <c r="X136" s="306">
        <f>V136-W136-C136</f>
        <v/>
      </c>
      <c r="Y136" s="306">
        <f>IF(AND(A136&lt;=$B$24, X136&gt;0), X136*$B$23, 0)</f>
        <v/>
      </c>
      <c r="Z136" s="306">
        <f>X136-Y136</f>
        <v/>
      </c>
      <c r="AA136" s="306">
        <f>IF(AND(A136=$B$19, $B$21=1), O136*$B$20, 0)</f>
        <v/>
      </c>
      <c r="AB136" s="306">
        <f>AB135+Z136+AA136</f>
        <v/>
      </c>
    </row>
    <row r="137">
      <c r="A137" s="306" t="n">
        <v>107</v>
      </c>
      <c r="B137" s="306">
        <f>CEILING(A137/12,1)</f>
        <v/>
      </c>
      <c r="C137" s="306">
        <f>IF(A137&lt;=12, $B$15/12, 0)</f>
        <v/>
      </c>
      <c r="D137" s="306">
        <f>INDEX('26. Team Comp'!$D$28:$R$28, B137) * 0.001 / 12</f>
        <v/>
      </c>
      <c r="E137" s="306">
        <f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+ (IF(MAX(0, A137 - $F$11 + 1)&lt;=0, 0, IF(MAX(0, A137 - $F$11 + 1)&lt;=6, 70 - (70-14)*(MAX(0, A137 - $F$11 + 1)-1)/5, IF(MAX(0, A137 - $F$11 + 1)&lt;=24, 14 - 14*(MAX(0, A137 - $F$11 + 1)-6)/18, 0)))) + (IF(MAX(0, A137 - $F$12 + 1)&lt;=0, 0, IF(MAX(0, A137 - $F$12 + 1)&lt;=6, 70 - (70-14)*(MAX(0, A137 - $F$12 + 1)-1)/5, IF(MAX(0, A137 - $F$12 + 1)&lt;=24, 14 - 14*(MAX(0, A137 - $F$12 + 1)-6)/18, 0)))) + (IF(MAX(0, A137 - $F$13 + 1)&lt;=0, 0, IF(MAX(0, A137 - $F$13 + 1)&lt;=6, 70 - (70-14)*(MAX(0, A137 - $F$13 + 1)-1)/5, IF(MAX(0, A137 - $F$13 + 1)&lt;=24, 14 - 14*(MAX(0, A137 - $F$13 + 1)-6)/18, 0)))) + (IF(MAX(0, A137 - $F$14 + 1)&lt;=0, 0, IF(MAX(0, A137 - $F$14 + 1)&lt;=6, 70 - (70-14)*(MAX(0, A137 - $F$14 + 1)-1)/5, IF(MAX(0, A137 - $F$14 + 1)&lt;=24, 14 - 14*(MAX(0, A137 - $F$14 + 1)-6)/18, 0)))) ) * 200 / 12 / 1000</f>
        <v/>
      </c>
      <c r="F137" s="306">
        <f>IF(A137&lt;$F$6,0,IF(AND($B$21=1,A137&gt;$B$19),0,$E$6*$G$6^MIN((A137-$F$6)/12,6)*MIN($G$6,0.85)^MAX(0,(A137-$F$6)/12-6)))</f>
        <v/>
      </c>
      <c r="G137" s="306">
        <f>IF(A137&lt;$F$7,0,IF(AND($B$21=1,A137&gt;$B$19),0,$E$7*$G$7^MIN((A137-$F$7)/12,6)*MIN($G$7,0.85)^MAX(0,(A137-$F$7)/12-6)))</f>
        <v/>
      </c>
      <c r="H137" s="306">
        <f>IF(A137&lt;$F$8,0,IF(AND($B$21=1,A137&gt;$B$19),0,$E$8*$G$8^MIN((A137-$F$8)/12,6)*MIN($G$8,0.85)^MAX(0,(A137-$F$8)/12-6)))</f>
        <v/>
      </c>
      <c r="I137" s="306">
        <f>IF(A137&lt;$F$9,0,IF(AND($B$21=1,A137&gt;$B$19),0,$E$9*$G$9^MIN((A137-$F$9)/12,6)*MIN($G$9,0.85)^MAX(0,(A137-$F$9)/12-6)))</f>
        <v/>
      </c>
      <c r="J137" s="306">
        <f>IF(A137&lt;$F$10,0,IF(AND($B$21=1,A137&gt;$B$19),0,$E$10*$G$10^MIN((A137-$F$10)/12,6)*MIN($G$10,0.85)^MAX(0,(A137-$F$10)/12-6)))</f>
        <v/>
      </c>
      <c r="K137" s="306">
        <f>IF(A137&lt;$F$11,0,IF(AND($B$21=1,A137&gt;$B$19),0,$E$11*$G$11^MIN((A137-$F$11)/12,6)*MIN($G$11,0.85)^MAX(0,(A137-$F$11)/12-6)))</f>
        <v/>
      </c>
      <c r="L137" s="306">
        <f>IF(A137&lt;$F$12,0,IF(AND($B$21=1,A137&gt;$B$19),0,$E$12*$G$12^MIN((A137-$F$12)/12,6)*MIN($G$12,0.85)^MAX(0,(A137-$F$12)/12-6)))</f>
        <v/>
      </c>
      <c r="M137" s="306">
        <f>IF(A137&lt;$F$13,0,IF(AND($B$21=1,A137&gt;$B$19),0,$E$13*$G$13^MIN((A137-$F$13)/12,6)*MIN($G$13,0.85)^MAX(0,(A137-$F$13)/12-6)))</f>
        <v/>
      </c>
      <c r="N137" s="306">
        <f>IF(A137&lt;$F$14,0,IF(AND($B$21=1,A137&gt;$B$19),0,$E$14*$G$14^MIN((A137-$F$14)/12,6)*MIN($G$14,0.85)^MAX(0,(A137-$F$14)/12-6)))</f>
        <v/>
      </c>
      <c r="O137" s="306">
        <f>SUM(F137:N137)</f>
        <v/>
      </c>
      <c r="P137" s="306">
        <f>O137/12</f>
        <v/>
      </c>
      <c r="Q137" s="306">
        <f>P137*$B$8</f>
        <v/>
      </c>
      <c r="R137" s="306">
        <f>P137*$B$9</f>
        <v/>
      </c>
      <c r="S137" s="306">
        <f>P137*$B$10</f>
        <v/>
      </c>
      <c r="T137" s="306">
        <f>P137-Q137-R137-S137-D137-E137</f>
        <v/>
      </c>
      <c r="U137" s="306">
        <f>MAX(0, T137 - $B$7*P137)</f>
        <v/>
      </c>
      <c r="V137" s="306">
        <f>T137-U137</f>
        <v/>
      </c>
      <c r="W137" s="306">
        <f>IF(A137=$F$6, $B$18*$B$16*$B$17/1000000, 0) + IF(A137=$F$7, $B$18*$B$16*$B$17/1000000, 0) + IF(A137=$F$8, $B$18*$B$16*$B$17/1000000, 0) + IF(A137=$F$9, $B$18*$B$16*$B$17/1000000, 0) + IF(A137=$F$10, $B$18*$B$16*$B$17/1000000, 0) + IF(A137=$F$11, $B$18*$B$16*$B$17/1000000, 0) + IF(A137=$F$12, $B$18*$B$16*$B$17/1000000, 0) + IF(A137=$F$13, $B$18*$B$16*$B$17/1000000, 0) + IF(A137=$F$14, $B$18*$B$16*$B$17/1000000, 0)</f>
        <v/>
      </c>
      <c r="X137" s="306">
        <f>V137-W137-C137</f>
        <v/>
      </c>
      <c r="Y137" s="306">
        <f>IF(AND(A137&lt;=$B$24, X137&gt;0), X137*$B$23, 0)</f>
        <v/>
      </c>
      <c r="Z137" s="306">
        <f>X137-Y137</f>
        <v/>
      </c>
      <c r="AA137" s="306">
        <f>IF(AND(A137=$B$19, $B$21=1), O137*$B$20, 0)</f>
        <v/>
      </c>
      <c r="AB137" s="306">
        <f>AB136+Z137+AA137</f>
        <v/>
      </c>
    </row>
    <row r="138">
      <c r="A138" s="306" t="n">
        <v>108</v>
      </c>
      <c r="B138" s="306">
        <f>CEILING(A138/12,1)</f>
        <v/>
      </c>
      <c r="C138" s="306">
        <f>IF(A138&lt;=12, $B$15/12, 0)</f>
        <v/>
      </c>
      <c r="D138" s="306">
        <f>INDEX('26. Team Comp'!$D$28:$R$28, B138) * 0.001 / 12</f>
        <v/>
      </c>
      <c r="E138" s="306">
        <f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+ (IF(MAX(0, A138 - $F$11 + 1)&lt;=0, 0, IF(MAX(0, A138 - $F$11 + 1)&lt;=6, 70 - (70-14)*(MAX(0, A138 - $F$11 + 1)-1)/5, IF(MAX(0, A138 - $F$11 + 1)&lt;=24, 14 - 14*(MAX(0, A138 - $F$11 + 1)-6)/18, 0)))) + (IF(MAX(0, A138 - $F$12 + 1)&lt;=0, 0, IF(MAX(0, A138 - $F$12 + 1)&lt;=6, 70 - (70-14)*(MAX(0, A138 - $F$12 + 1)-1)/5, IF(MAX(0, A138 - $F$12 + 1)&lt;=24, 14 - 14*(MAX(0, A138 - $F$12 + 1)-6)/18, 0)))) + (IF(MAX(0, A138 - $F$13 + 1)&lt;=0, 0, IF(MAX(0, A138 - $F$13 + 1)&lt;=6, 70 - (70-14)*(MAX(0, A138 - $F$13 + 1)-1)/5, IF(MAX(0, A138 - $F$13 + 1)&lt;=24, 14 - 14*(MAX(0, A138 - $F$13 + 1)-6)/18, 0)))) + (IF(MAX(0, A138 - $F$14 + 1)&lt;=0, 0, IF(MAX(0, A138 - $F$14 + 1)&lt;=6, 70 - (70-14)*(MAX(0, A138 - $F$14 + 1)-1)/5, IF(MAX(0, A138 - $F$14 + 1)&lt;=24, 14 - 14*(MAX(0, A138 - $F$14 + 1)-6)/18, 0)))) ) * 200 / 12 / 1000</f>
        <v/>
      </c>
      <c r="F138" s="306">
        <f>IF(A138&lt;$F$6,0,IF(AND($B$21=1,A138&gt;$B$19),0,$E$6*$G$6^MIN((A138-$F$6)/12,6)*MIN($G$6,0.85)^MAX(0,(A138-$F$6)/12-6)))</f>
        <v/>
      </c>
      <c r="G138" s="306">
        <f>IF(A138&lt;$F$7,0,IF(AND($B$21=1,A138&gt;$B$19),0,$E$7*$G$7^MIN((A138-$F$7)/12,6)*MIN($G$7,0.85)^MAX(0,(A138-$F$7)/12-6)))</f>
        <v/>
      </c>
      <c r="H138" s="306">
        <f>IF(A138&lt;$F$8,0,IF(AND($B$21=1,A138&gt;$B$19),0,$E$8*$G$8^MIN((A138-$F$8)/12,6)*MIN($G$8,0.85)^MAX(0,(A138-$F$8)/12-6)))</f>
        <v/>
      </c>
      <c r="I138" s="306">
        <f>IF(A138&lt;$F$9,0,IF(AND($B$21=1,A138&gt;$B$19),0,$E$9*$G$9^MIN((A138-$F$9)/12,6)*MIN($G$9,0.85)^MAX(0,(A138-$F$9)/12-6)))</f>
        <v/>
      </c>
      <c r="J138" s="306">
        <f>IF(A138&lt;$F$10,0,IF(AND($B$21=1,A138&gt;$B$19),0,$E$10*$G$10^MIN((A138-$F$10)/12,6)*MIN($G$10,0.85)^MAX(0,(A138-$F$10)/12-6)))</f>
        <v/>
      </c>
      <c r="K138" s="306">
        <f>IF(A138&lt;$F$11,0,IF(AND($B$21=1,A138&gt;$B$19),0,$E$11*$G$11^MIN((A138-$F$11)/12,6)*MIN($G$11,0.85)^MAX(0,(A138-$F$11)/12-6)))</f>
        <v/>
      </c>
      <c r="L138" s="306">
        <f>IF(A138&lt;$F$12,0,IF(AND($B$21=1,A138&gt;$B$19),0,$E$12*$G$12^MIN((A138-$F$12)/12,6)*MIN($G$12,0.85)^MAX(0,(A138-$F$12)/12-6)))</f>
        <v/>
      </c>
      <c r="M138" s="306">
        <f>IF(A138&lt;$F$13,0,IF(AND($B$21=1,A138&gt;$B$19),0,$E$13*$G$13^MIN((A138-$F$13)/12,6)*MIN($G$13,0.85)^MAX(0,(A138-$F$13)/12-6)))</f>
        <v/>
      </c>
      <c r="N138" s="306">
        <f>IF(A138&lt;$F$14,0,IF(AND($B$21=1,A138&gt;$B$19),0,$E$14*$G$14^MIN((A138-$F$14)/12,6)*MIN($G$14,0.85)^MAX(0,(A138-$F$14)/12-6)))</f>
        <v/>
      </c>
      <c r="O138" s="306">
        <f>SUM(F138:N138)</f>
        <v/>
      </c>
      <c r="P138" s="306">
        <f>O138/12</f>
        <v/>
      </c>
      <c r="Q138" s="306">
        <f>P138*$B$8</f>
        <v/>
      </c>
      <c r="R138" s="306">
        <f>P138*$B$9</f>
        <v/>
      </c>
      <c r="S138" s="306">
        <f>P138*$B$10</f>
        <v/>
      </c>
      <c r="T138" s="306">
        <f>P138-Q138-R138-S138-D138-E138</f>
        <v/>
      </c>
      <c r="U138" s="306">
        <f>MAX(0, T138 - $B$7*P138)</f>
        <v/>
      </c>
      <c r="V138" s="306">
        <f>T138-U138</f>
        <v/>
      </c>
      <c r="W138" s="306">
        <f>IF(A138=$F$6, $B$18*$B$16*$B$17/1000000, 0) + IF(A138=$F$7, $B$18*$B$16*$B$17/1000000, 0) + IF(A138=$F$8, $B$18*$B$16*$B$17/1000000, 0) + IF(A138=$F$9, $B$18*$B$16*$B$17/1000000, 0) + IF(A138=$F$10, $B$18*$B$16*$B$17/1000000, 0) + IF(A138=$F$11, $B$18*$B$16*$B$17/1000000, 0) + IF(A138=$F$12, $B$18*$B$16*$B$17/1000000, 0) + IF(A138=$F$13, $B$18*$B$16*$B$17/1000000, 0) + IF(A138=$F$14, $B$18*$B$16*$B$17/1000000, 0)</f>
        <v/>
      </c>
      <c r="X138" s="306">
        <f>V138-W138-C138</f>
        <v/>
      </c>
      <c r="Y138" s="306">
        <f>IF(AND(A138&lt;=$B$24, X138&gt;0), X138*$B$23, 0)</f>
        <v/>
      </c>
      <c r="Z138" s="306">
        <f>X138-Y138</f>
        <v/>
      </c>
      <c r="AA138" s="306">
        <f>IF(AND(A138=$B$19, $B$21=1), O138*$B$20, 0)</f>
        <v/>
      </c>
      <c r="AB138" s="306">
        <f>AB137+Z138+AA138</f>
        <v/>
      </c>
    </row>
    <row r="139">
      <c r="A139" s="306" t="n">
        <v>109</v>
      </c>
      <c r="B139" s="306">
        <f>CEILING(A139/12,1)</f>
        <v/>
      </c>
      <c r="C139" s="306">
        <f>IF(A139&lt;=12, $B$15/12, 0)</f>
        <v/>
      </c>
      <c r="D139" s="306">
        <f>INDEX('26. Team Comp'!$D$28:$R$28, B139) * 0.001 / 12</f>
        <v/>
      </c>
      <c r="E139" s="306">
        <f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+ (IF(MAX(0, A139 - $F$11 + 1)&lt;=0, 0, IF(MAX(0, A139 - $F$11 + 1)&lt;=6, 70 - (70-14)*(MAX(0, A139 - $F$11 + 1)-1)/5, IF(MAX(0, A139 - $F$11 + 1)&lt;=24, 14 - 14*(MAX(0, A139 - $F$11 + 1)-6)/18, 0)))) + (IF(MAX(0, A139 - $F$12 + 1)&lt;=0, 0, IF(MAX(0, A139 - $F$12 + 1)&lt;=6, 70 - (70-14)*(MAX(0, A139 - $F$12 + 1)-1)/5, IF(MAX(0, A139 - $F$12 + 1)&lt;=24, 14 - 14*(MAX(0, A139 - $F$12 + 1)-6)/18, 0)))) + (IF(MAX(0, A139 - $F$13 + 1)&lt;=0, 0, IF(MAX(0, A139 - $F$13 + 1)&lt;=6, 70 - (70-14)*(MAX(0, A139 - $F$13 + 1)-1)/5, IF(MAX(0, A139 - $F$13 + 1)&lt;=24, 14 - 14*(MAX(0, A139 - $F$13 + 1)-6)/18, 0)))) + (IF(MAX(0, A139 - $F$14 + 1)&lt;=0, 0, IF(MAX(0, A139 - $F$14 + 1)&lt;=6, 70 - (70-14)*(MAX(0, A139 - $F$14 + 1)-1)/5, IF(MAX(0, A139 - $F$14 + 1)&lt;=24, 14 - 14*(MAX(0, A139 - $F$14 + 1)-6)/18, 0)))) ) * 200 / 12 / 1000</f>
        <v/>
      </c>
      <c r="F139" s="306">
        <f>IF(A139&lt;$F$6,0,IF(AND($B$21=1,A139&gt;$B$19),0,$E$6*$G$6^MIN((A139-$F$6)/12,6)*MIN($G$6,0.85)^MAX(0,(A139-$F$6)/12-6)))</f>
        <v/>
      </c>
      <c r="G139" s="306">
        <f>IF(A139&lt;$F$7,0,IF(AND($B$21=1,A139&gt;$B$19),0,$E$7*$G$7^MIN((A139-$F$7)/12,6)*MIN($G$7,0.85)^MAX(0,(A139-$F$7)/12-6)))</f>
        <v/>
      </c>
      <c r="H139" s="306">
        <f>IF(A139&lt;$F$8,0,IF(AND($B$21=1,A139&gt;$B$19),0,$E$8*$G$8^MIN((A139-$F$8)/12,6)*MIN($G$8,0.85)^MAX(0,(A139-$F$8)/12-6)))</f>
        <v/>
      </c>
      <c r="I139" s="306">
        <f>IF(A139&lt;$F$9,0,IF(AND($B$21=1,A139&gt;$B$19),0,$E$9*$G$9^MIN((A139-$F$9)/12,6)*MIN($G$9,0.85)^MAX(0,(A139-$F$9)/12-6)))</f>
        <v/>
      </c>
      <c r="J139" s="306">
        <f>IF(A139&lt;$F$10,0,IF(AND($B$21=1,A139&gt;$B$19),0,$E$10*$G$10^MIN((A139-$F$10)/12,6)*MIN($G$10,0.85)^MAX(0,(A139-$F$10)/12-6)))</f>
        <v/>
      </c>
      <c r="K139" s="306">
        <f>IF(A139&lt;$F$11,0,IF(AND($B$21=1,A139&gt;$B$19),0,$E$11*$G$11^MIN((A139-$F$11)/12,6)*MIN($G$11,0.85)^MAX(0,(A139-$F$11)/12-6)))</f>
        <v/>
      </c>
      <c r="L139" s="306">
        <f>IF(A139&lt;$F$12,0,IF(AND($B$21=1,A139&gt;$B$19),0,$E$12*$G$12^MIN((A139-$F$12)/12,6)*MIN($G$12,0.85)^MAX(0,(A139-$F$12)/12-6)))</f>
        <v/>
      </c>
      <c r="M139" s="306">
        <f>IF(A139&lt;$F$13,0,IF(AND($B$21=1,A139&gt;$B$19),0,$E$13*$G$13^MIN((A139-$F$13)/12,6)*MIN($G$13,0.85)^MAX(0,(A139-$F$13)/12-6)))</f>
        <v/>
      </c>
      <c r="N139" s="306">
        <f>IF(A139&lt;$F$14,0,IF(AND($B$21=1,A139&gt;$B$19),0,$E$14*$G$14^MIN((A139-$F$14)/12,6)*MIN($G$14,0.85)^MAX(0,(A139-$F$14)/12-6)))</f>
        <v/>
      </c>
      <c r="O139" s="306">
        <f>SUM(F139:N139)</f>
        <v/>
      </c>
      <c r="P139" s="306">
        <f>O139/12</f>
        <v/>
      </c>
      <c r="Q139" s="306">
        <f>P139*$B$8</f>
        <v/>
      </c>
      <c r="R139" s="306">
        <f>P139*$B$9</f>
        <v/>
      </c>
      <c r="S139" s="306">
        <f>P139*$B$10</f>
        <v/>
      </c>
      <c r="T139" s="306">
        <f>P139-Q139-R139-S139-D139-E139</f>
        <v/>
      </c>
      <c r="U139" s="306">
        <f>MAX(0, T139 - $B$7*P139)</f>
        <v/>
      </c>
      <c r="V139" s="306">
        <f>T139-U139</f>
        <v/>
      </c>
      <c r="W139" s="306">
        <f>IF(A139=$F$6, $B$18*$B$16*$B$17/1000000, 0) + IF(A139=$F$7, $B$18*$B$16*$B$17/1000000, 0) + IF(A139=$F$8, $B$18*$B$16*$B$17/1000000, 0) + IF(A139=$F$9, $B$18*$B$16*$B$17/1000000, 0) + IF(A139=$F$10, $B$18*$B$16*$B$17/1000000, 0) + IF(A139=$F$11, $B$18*$B$16*$B$17/1000000, 0) + IF(A139=$F$12, $B$18*$B$16*$B$17/1000000, 0) + IF(A139=$F$13, $B$18*$B$16*$B$17/1000000, 0) + IF(A139=$F$14, $B$18*$B$16*$B$17/1000000, 0)</f>
        <v/>
      </c>
      <c r="X139" s="306">
        <f>V139-W139-C139</f>
        <v/>
      </c>
      <c r="Y139" s="306">
        <f>IF(AND(A139&lt;=$B$24, X139&gt;0), X139*$B$23, 0)</f>
        <v/>
      </c>
      <c r="Z139" s="306">
        <f>X139-Y139</f>
        <v/>
      </c>
      <c r="AA139" s="306">
        <f>IF(AND(A139=$B$19, $B$21=1), O139*$B$20, 0)</f>
        <v/>
      </c>
      <c r="AB139" s="306">
        <f>AB138+Z139+AA139</f>
        <v/>
      </c>
    </row>
    <row r="140">
      <c r="A140" s="306" t="n">
        <v>110</v>
      </c>
      <c r="B140" s="306">
        <f>CEILING(A140/12,1)</f>
        <v/>
      </c>
      <c r="C140" s="306">
        <f>IF(A140&lt;=12, $B$15/12, 0)</f>
        <v/>
      </c>
      <c r="D140" s="306">
        <f>INDEX('26. Team Comp'!$D$28:$R$28, B140) * 0.001 / 12</f>
        <v/>
      </c>
      <c r="E140" s="306">
        <f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+ (IF(MAX(0, A140 - $F$11 + 1)&lt;=0, 0, IF(MAX(0, A140 - $F$11 + 1)&lt;=6, 70 - (70-14)*(MAX(0, A140 - $F$11 + 1)-1)/5, IF(MAX(0, A140 - $F$11 + 1)&lt;=24, 14 - 14*(MAX(0, A140 - $F$11 + 1)-6)/18, 0)))) + (IF(MAX(0, A140 - $F$12 + 1)&lt;=0, 0, IF(MAX(0, A140 - $F$12 + 1)&lt;=6, 70 - (70-14)*(MAX(0, A140 - $F$12 + 1)-1)/5, IF(MAX(0, A140 - $F$12 + 1)&lt;=24, 14 - 14*(MAX(0, A140 - $F$12 + 1)-6)/18, 0)))) + (IF(MAX(0, A140 - $F$13 + 1)&lt;=0, 0, IF(MAX(0, A140 - $F$13 + 1)&lt;=6, 70 - (70-14)*(MAX(0, A140 - $F$13 + 1)-1)/5, IF(MAX(0, A140 - $F$13 + 1)&lt;=24, 14 - 14*(MAX(0, A140 - $F$13 + 1)-6)/18, 0)))) + (IF(MAX(0, A140 - $F$14 + 1)&lt;=0, 0, IF(MAX(0, A140 - $F$14 + 1)&lt;=6, 70 - (70-14)*(MAX(0, A140 - $F$14 + 1)-1)/5, IF(MAX(0, A140 - $F$14 + 1)&lt;=24, 14 - 14*(MAX(0, A140 - $F$14 + 1)-6)/18, 0)))) ) * 200 / 12 / 1000</f>
        <v/>
      </c>
      <c r="F140" s="306">
        <f>IF(A140&lt;$F$6,0,IF(AND($B$21=1,A140&gt;$B$19),0,$E$6*$G$6^MIN((A140-$F$6)/12,6)*MIN($G$6,0.85)^MAX(0,(A140-$F$6)/12-6)))</f>
        <v/>
      </c>
      <c r="G140" s="306">
        <f>IF(A140&lt;$F$7,0,IF(AND($B$21=1,A140&gt;$B$19),0,$E$7*$G$7^MIN((A140-$F$7)/12,6)*MIN($G$7,0.85)^MAX(0,(A140-$F$7)/12-6)))</f>
        <v/>
      </c>
      <c r="H140" s="306">
        <f>IF(A140&lt;$F$8,0,IF(AND($B$21=1,A140&gt;$B$19),0,$E$8*$G$8^MIN((A140-$F$8)/12,6)*MIN($G$8,0.85)^MAX(0,(A140-$F$8)/12-6)))</f>
        <v/>
      </c>
      <c r="I140" s="306">
        <f>IF(A140&lt;$F$9,0,IF(AND($B$21=1,A140&gt;$B$19),0,$E$9*$G$9^MIN((A140-$F$9)/12,6)*MIN($G$9,0.85)^MAX(0,(A140-$F$9)/12-6)))</f>
        <v/>
      </c>
      <c r="J140" s="306">
        <f>IF(A140&lt;$F$10,0,IF(AND($B$21=1,A140&gt;$B$19),0,$E$10*$G$10^MIN((A140-$F$10)/12,6)*MIN($G$10,0.85)^MAX(0,(A140-$F$10)/12-6)))</f>
        <v/>
      </c>
      <c r="K140" s="306">
        <f>IF(A140&lt;$F$11,0,IF(AND($B$21=1,A140&gt;$B$19),0,$E$11*$G$11^MIN((A140-$F$11)/12,6)*MIN($G$11,0.85)^MAX(0,(A140-$F$11)/12-6)))</f>
        <v/>
      </c>
      <c r="L140" s="306">
        <f>IF(A140&lt;$F$12,0,IF(AND($B$21=1,A140&gt;$B$19),0,$E$12*$G$12^MIN((A140-$F$12)/12,6)*MIN($G$12,0.85)^MAX(0,(A140-$F$12)/12-6)))</f>
        <v/>
      </c>
      <c r="M140" s="306">
        <f>IF(A140&lt;$F$13,0,IF(AND($B$21=1,A140&gt;$B$19),0,$E$13*$G$13^MIN((A140-$F$13)/12,6)*MIN($G$13,0.85)^MAX(0,(A140-$F$13)/12-6)))</f>
        <v/>
      </c>
      <c r="N140" s="306">
        <f>IF(A140&lt;$F$14,0,IF(AND($B$21=1,A140&gt;$B$19),0,$E$14*$G$14^MIN((A140-$F$14)/12,6)*MIN($G$14,0.85)^MAX(0,(A140-$F$14)/12-6)))</f>
        <v/>
      </c>
      <c r="O140" s="306">
        <f>SUM(F140:N140)</f>
        <v/>
      </c>
      <c r="P140" s="306">
        <f>O140/12</f>
        <v/>
      </c>
      <c r="Q140" s="306">
        <f>P140*$B$8</f>
        <v/>
      </c>
      <c r="R140" s="306">
        <f>P140*$B$9</f>
        <v/>
      </c>
      <c r="S140" s="306">
        <f>P140*$B$10</f>
        <v/>
      </c>
      <c r="T140" s="306">
        <f>P140-Q140-R140-S140-D140-E140</f>
        <v/>
      </c>
      <c r="U140" s="306">
        <f>MAX(0, T140 - $B$7*P140)</f>
        <v/>
      </c>
      <c r="V140" s="306">
        <f>T140-U140</f>
        <v/>
      </c>
      <c r="W140" s="306">
        <f>IF(A140=$F$6, $B$18*$B$16*$B$17/1000000, 0) + IF(A140=$F$7, $B$18*$B$16*$B$17/1000000, 0) + IF(A140=$F$8, $B$18*$B$16*$B$17/1000000, 0) + IF(A140=$F$9, $B$18*$B$16*$B$17/1000000, 0) + IF(A140=$F$10, $B$18*$B$16*$B$17/1000000, 0) + IF(A140=$F$11, $B$18*$B$16*$B$17/1000000, 0) + IF(A140=$F$12, $B$18*$B$16*$B$17/1000000, 0) + IF(A140=$F$13, $B$18*$B$16*$B$17/1000000, 0) + IF(A140=$F$14, $B$18*$B$16*$B$17/1000000, 0)</f>
        <v/>
      </c>
      <c r="X140" s="306">
        <f>V140-W140-C140</f>
        <v/>
      </c>
      <c r="Y140" s="306">
        <f>IF(AND(A140&lt;=$B$24, X140&gt;0), X140*$B$23, 0)</f>
        <v/>
      </c>
      <c r="Z140" s="306">
        <f>X140-Y140</f>
        <v/>
      </c>
      <c r="AA140" s="306">
        <f>IF(AND(A140=$B$19, $B$21=1), O140*$B$20, 0)</f>
        <v/>
      </c>
      <c r="AB140" s="306">
        <f>AB139+Z140+AA140</f>
        <v/>
      </c>
    </row>
    <row r="141">
      <c r="A141" s="306" t="n">
        <v>111</v>
      </c>
      <c r="B141" s="306">
        <f>CEILING(A141/12,1)</f>
        <v/>
      </c>
      <c r="C141" s="306">
        <f>IF(A141&lt;=12, $B$15/12, 0)</f>
        <v/>
      </c>
      <c r="D141" s="306">
        <f>INDEX('26. Team Comp'!$D$28:$R$28, B141) * 0.001 / 12</f>
        <v/>
      </c>
      <c r="E141" s="306">
        <f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+ (IF(MAX(0, A141 - $F$11 + 1)&lt;=0, 0, IF(MAX(0, A141 - $F$11 + 1)&lt;=6, 70 - (70-14)*(MAX(0, A141 - $F$11 + 1)-1)/5, IF(MAX(0, A141 - $F$11 + 1)&lt;=24, 14 - 14*(MAX(0, A141 - $F$11 + 1)-6)/18, 0)))) + (IF(MAX(0, A141 - $F$12 + 1)&lt;=0, 0, IF(MAX(0, A141 - $F$12 + 1)&lt;=6, 70 - (70-14)*(MAX(0, A141 - $F$12 + 1)-1)/5, IF(MAX(0, A141 - $F$12 + 1)&lt;=24, 14 - 14*(MAX(0, A141 - $F$12 + 1)-6)/18, 0)))) + (IF(MAX(0, A141 - $F$13 + 1)&lt;=0, 0, IF(MAX(0, A141 - $F$13 + 1)&lt;=6, 70 - (70-14)*(MAX(0, A141 - $F$13 + 1)-1)/5, IF(MAX(0, A141 - $F$13 + 1)&lt;=24, 14 - 14*(MAX(0, A141 - $F$13 + 1)-6)/18, 0)))) + (IF(MAX(0, A141 - $F$14 + 1)&lt;=0, 0, IF(MAX(0, A141 - $F$14 + 1)&lt;=6, 70 - (70-14)*(MAX(0, A141 - $F$14 + 1)-1)/5, IF(MAX(0, A141 - $F$14 + 1)&lt;=24, 14 - 14*(MAX(0, A141 - $F$14 + 1)-6)/18, 0)))) ) * 200 / 12 / 1000</f>
        <v/>
      </c>
      <c r="F141" s="306">
        <f>IF(A141&lt;$F$6,0,IF(AND($B$21=1,A141&gt;$B$19),0,$E$6*$G$6^MIN((A141-$F$6)/12,6)*MIN($G$6,0.85)^MAX(0,(A141-$F$6)/12-6)))</f>
        <v/>
      </c>
      <c r="G141" s="306">
        <f>IF(A141&lt;$F$7,0,IF(AND($B$21=1,A141&gt;$B$19),0,$E$7*$G$7^MIN((A141-$F$7)/12,6)*MIN($G$7,0.85)^MAX(0,(A141-$F$7)/12-6)))</f>
        <v/>
      </c>
      <c r="H141" s="306">
        <f>IF(A141&lt;$F$8,0,IF(AND($B$21=1,A141&gt;$B$19),0,$E$8*$G$8^MIN((A141-$F$8)/12,6)*MIN($G$8,0.85)^MAX(0,(A141-$F$8)/12-6)))</f>
        <v/>
      </c>
      <c r="I141" s="306">
        <f>IF(A141&lt;$F$9,0,IF(AND($B$21=1,A141&gt;$B$19),0,$E$9*$G$9^MIN((A141-$F$9)/12,6)*MIN($G$9,0.85)^MAX(0,(A141-$F$9)/12-6)))</f>
        <v/>
      </c>
      <c r="J141" s="306">
        <f>IF(A141&lt;$F$10,0,IF(AND($B$21=1,A141&gt;$B$19),0,$E$10*$G$10^MIN((A141-$F$10)/12,6)*MIN($G$10,0.85)^MAX(0,(A141-$F$10)/12-6)))</f>
        <v/>
      </c>
      <c r="K141" s="306">
        <f>IF(A141&lt;$F$11,0,IF(AND($B$21=1,A141&gt;$B$19),0,$E$11*$G$11^MIN((A141-$F$11)/12,6)*MIN($G$11,0.85)^MAX(0,(A141-$F$11)/12-6)))</f>
        <v/>
      </c>
      <c r="L141" s="306">
        <f>IF(A141&lt;$F$12,0,IF(AND($B$21=1,A141&gt;$B$19),0,$E$12*$G$12^MIN((A141-$F$12)/12,6)*MIN($G$12,0.85)^MAX(0,(A141-$F$12)/12-6)))</f>
        <v/>
      </c>
      <c r="M141" s="306">
        <f>IF(A141&lt;$F$13,0,IF(AND($B$21=1,A141&gt;$B$19),0,$E$13*$G$13^MIN((A141-$F$13)/12,6)*MIN($G$13,0.85)^MAX(0,(A141-$F$13)/12-6)))</f>
        <v/>
      </c>
      <c r="N141" s="306">
        <f>IF(A141&lt;$F$14,0,IF(AND($B$21=1,A141&gt;$B$19),0,$E$14*$G$14^MIN((A141-$F$14)/12,6)*MIN($G$14,0.85)^MAX(0,(A141-$F$14)/12-6)))</f>
        <v/>
      </c>
      <c r="O141" s="306">
        <f>SUM(F141:N141)</f>
        <v/>
      </c>
      <c r="P141" s="306">
        <f>O141/12</f>
        <v/>
      </c>
      <c r="Q141" s="306">
        <f>P141*$B$8</f>
        <v/>
      </c>
      <c r="R141" s="306">
        <f>P141*$B$9</f>
        <v/>
      </c>
      <c r="S141" s="306">
        <f>P141*$B$10</f>
        <v/>
      </c>
      <c r="T141" s="306">
        <f>P141-Q141-R141-S141-D141-E141</f>
        <v/>
      </c>
      <c r="U141" s="306">
        <f>MAX(0, T141 - $B$7*P141)</f>
        <v/>
      </c>
      <c r="V141" s="306">
        <f>T141-U141</f>
        <v/>
      </c>
      <c r="W141" s="306">
        <f>IF(A141=$F$6, $B$18*$B$16*$B$17/1000000, 0) + IF(A141=$F$7, $B$18*$B$16*$B$17/1000000, 0) + IF(A141=$F$8, $B$18*$B$16*$B$17/1000000, 0) + IF(A141=$F$9, $B$18*$B$16*$B$17/1000000, 0) + IF(A141=$F$10, $B$18*$B$16*$B$17/1000000, 0) + IF(A141=$F$11, $B$18*$B$16*$B$17/1000000, 0) + IF(A141=$F$12, $B$18*$B$16*$B$17/1000000, 0) + IF(A141=$F$13, $B$18*$B$16*$B$17/1000000, 0) + IF(A141=$F$14, $B$18*$B$16*$B$17/1000000, 0)</f>
        <v/>
      </c>
      <c r="X141" s="306">
        <f>V141-W141-C141</f>
        <v/>
      </c>
      <c r="Y141" s="306">
        <f>IF(AND(A141&lt;=$B$24, X141&gt;0), X141*$B$23, 0)</f>
        <v/>
      </c>
      <c r="Z141" s="306">
        <f>X141-Y141</f>
        <v/>
      </c>
      <c r="AA141" s="306">
        <f>IF(AND(A141=$B$19, $B$21=1), O141*$B$20, 0)</f>
        <v/>
      </c>
      <c r="AB141" s="306">
        <f>AB140+Z141+AA141</f>
        <v/>
      </c>
    </row>
    <row r="142">
      <c r="A142" s="306" t="n">
        <v>112</v>
      </c>
      <c r="B142" s="306">
        <f>CEILING(A142/12,1)</f>
        <v/>
      </c>
      <c r="C142" s="306">
        <f>IF(A142&lt;=12, $B$15/12, 0)</f>
        <v/>
      </c>
      <c r="D142" s="306">
        <f>INDEX('26. Team Comp'!$D$28:$R$28, B142) * 0.001 / 12</f>
        <v/>
      </c>
      <c r="E142" s="306">
        <f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+ (IF(MAX(0, A142 - $F$11 + 1)&lt;=0, 0, IF(MAX(0, A142 - $F$11 + 1)&lt;=6, 70 - (70-14)*(MAX(0, A142 - $F$11 + 1)-1)/5, IF(MAX(0, A142 - $F$11 + 1)&lt;=24, 14 - 14*(MAX(0, A142 - $F$11 + 1)-6)/18, 0)))) + (IF(MAX(0, A142 - $F$12 + 1)&lt;=0, 0, IF(MAX(0, A142 - $F$12 + 1)&lt;=6, 70 - (70-14)*(MAX(0, A142 - $F$12 + 1)-1)/5, IF(MAX(0, A142 - $F$12 + 1)&lt;=24, 14 - 14*(MAX(0, A142 - $F$12 + 1)-6)/18, 0)))) + (IF(MAX(0, A142 - $F$13 + 1)&lt;=0, 0, IF(MAX(0, A142 - $F$13 + 1)&lt;=6, 70 - (70-14)*(MAX(0, A142 - $F$13 + 1)-1)/5, IF(MAX(0, A142 - $F$13 + 1)&lt;=24, 14 - 14*(MAX(0, A142 - $F$13 + 1)-6)/18, 0)))) + (IF(MAX(0, A142 - $F$14 + 1)&lt;=0, 0, IF(MAX(0, A142 - $F$14 + 1)&lt;=6, 70 - (70-14)*(MAX(0, A142 - $F$14 + 1)-1)/5, IF(MAX(0, A142 - $F$14 + 1)&lt;=24, 14 - 14*(MAX(0, A142 - $F$14 + 1)-6)/18, 0)))) ) * 200 / 12 / 1000</f>
        <v/>
      </c>
      <c r="F142" s="306">
        <f>IF(A142&lt;$F$6,0,IF(AND($B$21=1,A142&gt;$B$19),0,$E$6*$G$6^MIN((A142-$F$6)/12,6)*MIN($G$6,0.85)^MAX(0,(A142-$F$6)/12-6)))</f>
        <v/>
      </c>
      <c r="G142" s="306">
        <f>IF(A142&lt;$F$7,0,IF(AND($B$21=1,A142&gt;$B$19),0,$E$7*$G$7^MIN((A142-$F$7)/12,6)*MIN($G$7,0.85)^MAX(0,(A142-$F$7)/12-6)))</f>
        <v/>
      </c>
      <c r="H142" s="306">
        <f>IF(A142&lt;$F$8,0,IF(AND($B$21=1,A142&gt;$B$19),0,$E$8*$G$8^MIN((A142-$F$8)/12,6)*MIN($G$8,0.85)^MAX(0,(A142-$F$8)/12-6)))</f>
        <v/>
      </c>
      <c r="I142" s="306">
        <f>IF(A142&lt;$F$9,0,IF(AND($B$21=1,A142&gt;$B$19),0,$E$9*$G$9^MIN((A142-$F$9)/12,6)*MIN($G$9,0.85)^MAX(0,(A142-$F$9)/12-6)))</f>
        <v/>
      </c>
      <c r="J142" s="306">
        <f>IF(A142&lt;$F$10,0,IF(AND($B$21=1,A142&gt;$B$19),0,$E$10*$G$10^MIN((A142-$F$10)/12,6)*MIN($G$10,0.85)^MAX(0,(A142-$F$10)/12-6)))</f>
        <v/>
      </c>
      <c r="K142" s="306">
        <f>IF(A142&lt;$F$11,0,IF(AND($B$21=1,A142&gt;$B$19),0,$E$11*$G$11^MIN((A142-$F$11)/12,6)*MIN($G$11,0.85)^MAX(0,(A142-$F$11)/12-6)))</f>
        <v/>
      </c>
      <c r="L142" s="306">
        <f>IF(A142&lt;$F$12,0,IF(AND($B$21=1,A142&gt;$B$19),0,$E$12*$G$12^MIN((A142-$F$12)/12,6)*MIN($G$12,0.85)^MAX(0,(A142-$F$12)/12-6)))</f>
        <v/>
      </c>
      <c r="M142" s="306">
        <f>IF(A142&lt;$F$13,0,IF(AND($B$21=1,A142&gt;$B$19),0,$E$13*$G$13^MIN((A142-$F$13)/12,6)*MIN($G$13,0.85)^MAX(0,(A142-$F$13)/12-6)))</f>
        <v/>
      </c>
      <c r="N142" s="306">
        <f>IF(A142&lt;$F$14,0,IF(AND($B$21=1,A142&gt;$B$19),0,$E$14*$G$14^MIN((A142-$F$14)/12,6)*MIN($G$14,0.85)^MAX(0,(A142-$F$14)/12-6)))</f>
        <v/>
      </c>
      <c r="O142" s="306">
        <f>SUM(F142:N142)</f>
        <v/>
      </c>
      <c r="P142" s="306">
        <f>O142/12</f>
        <v/>
      </c>
      <c r="Q142" s="306">
        <f>P142*$B$8</f>
        <v/>
      </c>
      <c r="R142" s="306">
        <f>P142*$B$9</f>
        <v/>
      </c>
      <c r="S142" s="306">
        <f>P142*$B$10</f>
        <v/>
      </c>
      <c r="T142" s="306">
        <f>P142-Q142-R142-S142-D142-E142</f>
        <v/>
      </c>
      <c r="U142" s="306">
        <f>MAX(0, T142 - $B$7*P142)</f>
        <v/>
      </c>
      <c r="V142" s="306">
        <f>T142-U142</f>
        <v/>
      </c>
      <c r="W142" s="306">
        <f>IF(A142=$F$6, $B$18*$B$16*$B$17/1000000, 0) + IF(A142=$F$7, $B$18*$B$16*$B$17/1000000, 0) + IF(A142=$F$8, $B$18*$B$16*$B$17/1000000, 0) + IF(A142=$F$9, $B$18*$B$16*$B$17/1000000, 0) + IF(A142=$F$10, $B$18*$B$16*$B$17/1000000, 0) + IF(A142=$F$11, $B$18*$B$16*$B$17/1000000, 0) + IF(A142=$F$12, $B$18*$B$16*$B$17/1000000, 0) + IF(A142=$F$13, $B$18*$B$16*$B$17/1000000, 0) + IF(A142=$F$14, $B$18*$B$16*$B$17/1000000, 0)</f>
        <v/>
      </c>
      <c r="X142" s="306">
        <f>V142-W142-C142</f>
        <v/>
      </c>
      <c r="Y142" s="306">
        <f>IF(AND(A142&lt;=$B$24, X142&gt;0), X142*$B$23, 0)</f>
        <v/>
      </c>
      <c r="Z142" s="306">
        <f>X142-Y142</f>
        <v/>
      </c>
      <c r="AA142" s="306">
        <f>IF(AND(A142=$B$19, $B$21=1), O142*$B$20, 0)</f>
        <v/>
      </c>
      <c r="AB142" s="306">
        <f>AB141+Z142+AA142</f>
        <v/>
      </c>
    </row>
    <row r="143">
      <c r="A143" s="306" t="n">
        <v>113</v>
      </c>
      <c r="B143" s="306">
        <f>CEILING(A143/12,1)</f>
        <v/>
      </c>
      <c r="C143" s="306">
        <f>IF(A143&lt;=12, $B$15/12, 0)</f>
        <v/>
      </c>
      <c r="D143" s="306">
        <f>INDEX('26. Team Comp'!$D$28:$R$28, B143) * 0.001 / 12</f>
        <v/>
      </c>
      <c r="E143" s="306">
        <f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+ (IF(MAX(0, A143 - $F$11 + 1)&lt;=0, 0, IF(MAX(0, A143 - $F$11 + 1)&lt;=6, 70 - (70-14)*(MAX(0, A143 - $F$11 + 1)-1)/5, IF(MAX(0, A143 - $F$11 + 1)&lt;=24, 14 - 14*(MAX(0, A143 - $F$11 + 1)-6)/18, 0)))) + (IF(MAX(0, A143 - $F$12 + 1)&lt;=0, 0, IF(MAX(0, A143 - $F$12 + 1)&lt;=6, 70 - (70-14)*(MAX(0, A143 - $F$12 + 1)-1)/5, IF(MAX(0, A143 - $F$12 + 1)&lt;=24, 14 - 14*(MAX(0, A143 - $F$12 + 1)-6)/18, 0)))) + (IF(MAX(0, A143 - $F$13 + 1)&lt;=0, 0, IF(MAX(0, A143 - $F$13 + 1)&lt;=6, 70 - (70-14)*(MAX(0, A143 - $F$13 + 1)-1)/5, IF(MAX(0, A143 - $F$13 + 1)&lt;=24, 14 - 14*(MAX(0, A143 - $F$13 + 1)-6)/18, 0)))) + (IF(MAX(0, A143 - $F$14 + 1)&lt;=0, 0, IF(MAX(0, A143 - $F$14 + 1)&lt;=6, 70 - (70-14)*(MAX(0, A143 - $F$14 + 1)-1)/5, IF(MAX(0, A143 - $F$14 + 1)&lt;=24, 14 - 14*(MAX(0, A143 - $F$14 + 1)-6)/18, 0)))) ) * 200 / 12 / 1000</f>
        <v/>
      </c>
      <c r="F143" s="306">
        <f>IF(A143&lt;$F$6,0,IF(AND($B$21=1,A143&gt;$B$19),0,$E$6*$G$6^MIN((A143-$F$6)/12,6)*MIN($G$6,0.85)^MAX(0,(A143-$F$6)/12-6)))</f>
        <v/>
      </c>
      <c r="G143" s="306">
        <f>IF(A143&lt;$F$7,0,IF(AND($B$21=1,A143&gt;$B$19),0,$E$7*$G$7^MIN((A143-$F$7)/12,6)*MIN($G$7,0.85)^MAX(0,(A143-$F$7)/12-6)))</f>
        <v/>
      </c>
      <c r="H143" s="306">
        <f>IF(A143&lt;$F$8,0,IF(AND($B$21=1,A143&gt;$B$19),0,$E$8*$G$8^MIN((A143-$F$8)/12,6)*MIN($G$8,0.85)^MAX(0,(A143-$F$8)/12-6)))</f>
        <v/>
      </c>
      <c r="I143" s="306">
        <f>IF(A143&lt;$F$9,0,IF(AND($B$21=1,A143&gt;$B$19),0,$E$9*$G$9^MIN((A143-$F$9)/12,6)*MIN($G$9,0.85)^MAX(0,(A143-$F$9)/12-6)))</f>
        <v/>
      </c>
      <c r="J143" s="306">
        <f>IF(A143&lt;$F$10,0,IF(AND($B$21=1,A143&gt;$B$19),0,$E$10*$G$10^MIN((A143-$F$10)/12,6)*MIN($G$10,0.85)^MAX(0,(A143-$F$10)/12-6)))</f>
        <v/>
      </c>
      <c r="K143" s="306">
        <f>IF(A143&lt;$F$11,0,IF(AND($B$21=1,A143&gt;$B$19),0,$E$11*$G$11^MIN((A143-$F$11)/12,6)*MIN($G$11,0.85)^MAX(0,(A143-$F$11)/12-6)))</f>
        <v/>
      </c>
      <c r="L143" s="306">
        <f>IF(A143&lt;$F$12,0,IF(AND($B$21=1,A143&gt;$B$19),0,$E$12*$G$12^MIN((A143-$F$12)/12,6)*MIN($G$12,0.85)^MAX(0,(A143-$F$12)/12-6)))</f>
        <v/>
      </c>
      <c r="M143" s="306">
        <f>IF(A143&lt;$F$13,0,IF(AND($B$21=1,A143&gt;$B$19),0,$E$13*$G$13^MIN((A143-$F$13)/12,6)*MIN($G$13,0.85)^MAX(0,(A143-$F$13)/12-6)))</f>
        <v/>
      </c>
      <c r="N143" s="306">
        <f>IF(A143&lt;$F$14,0,IF(AND($B$21=1,A143&gt;$B$19),0,$E$14*$G$14^MIN((A143-$F$14)/12,6)*MIN($G$14,0.85)^MAX(0,(A143-$F$14)/12-6)))</f>
        <v/>
      </c>
      <c r="O143" s="306">
        <f>SUM(F143:N143)</f>
        <v/>
      </c>
      <c r="P143" s="306">
        <f>O143/12</f>
        <v/>
      </c>
      <c r="Q143" s="306">
        <f>P143*$B$8</f>
        <v/>
      </c>
      <c r="R143" s="306">
        <f>P143*$B$9</f>
        <v/>
      </c>
      <c r="S143" s="306">
        <f>P143*$B$10</f>
        <v/>
      </c>
      <c r="T143" s="306">
        <f>P143-Q143-R143-S143-D143-E143</f>
        <v/>
      </c>
      <c r="U143" s="306">
        <f>MAX(0, T143 - $B$7*P143)</f>
        <v/>
      </c>
      <c r="V143" s="306">
        <f>T143-U143</f>
        <v/>
      </c>
      <c r="W143" s="306">
        <f>IF(A143=$F$6, $B$18*$B$16*$B$17/1000000, 0) + IF(A143=$F$7, $B$18*$B$16*$B$17/1000000, 0) + IF(A143=$F$8, $B$18*$B$16*$B$17/1000000, 0) + IF(A143=$F$9, $B$18*$B$16*$B$17/1000000, 0) + IF(A143=$F$10, $B$18*$B$16*$B$17/1000000, 0) + IF(A143=$F$11, $B$18*$B$16*$B$17/1000000, 0) + IF(A143=$F$12, $B$18*$B$16*$B$17/1000000, 0) + IF(A143=$F$13, $B$18*$B$16*$B$17/1000000, 0) + IF(A143=$F$14, $B$18*$B$16*$B$17/1000000, 0)</f>
        <v/>
      </c>
      <c r="X143" s="306">
        <f>V143-W143-C143</f>
        <v/>
      </c>
      <c r="Y143" s="306">
        <f>IF(AND(A143&lt;=$B$24, X143&gt;0), X143*$B$23, 0)</f>
        <v/>
      </c>
      <c r="Z143" s="306">
        <f>X143-Y143</f>
        <v/>
      </c>
      <c r="AA143" s="306">
        <f>IF(AND(A143=$B$19, $B$21=1), O143*$B$20, 0)</f>
        <v/>
      </c>
      <c r="AB143" s="306">
        <f>AB142+Z143+AA143</f>
        <v/>
      </c>
    </row>
    <row r="144">
      <c r="A144" s="306" t="n">
        <v>114</v>
      </c>
      <c r="B144" s="306">
        <f>CEILING(A144/12,1)</f>
        <v/>
      </c>
      <c r="C144" s="306">
        <f>IF(A144&lt;=12, $B$15/12, 0)</f>
        <v/>
      </c>
      <c r="D144" s="306">
        <f>INDEX('26. Team Comp'!$D$28:$R$28, B144) * 0.001 / 12</f>
        <v/>
      </c>
      <c r="E144" s="306">
        <f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+ (IF(MAX(0, A144 - $F$11 + 1)&lt;=0, 0, IF(MAX(0, A144 - $F$11 + 1)&lt;=6, 70 - (70-14)*(MAX(0, A144 - $F$11 + 1)-1)/5, IF(MAX(0, A144 - $F$11 + 1)&lt;=24, 14 - 14*(MAX(0, A144 - $F$11 + 1)-6)/18, 0)))) + (IF(MAX(0, A144 - $F$12 + 1)&lt;=0, 0, IF(MAX(0, A144 - $F$12 + 1)&lt;=6, 70 - (70-14)*(MAX(0, A144 - $F$12 + 1)-1)/5, IF(MAX(0, A144 - $F$12 + 1)&lt;=24, 14 - 14*(MAX(0, A144 - $F$12 + 1)-6)/18, 0)))) + (IF(MAX(0, A144 - $F$13 + 1)&lt;=0, 0, IF(MAX(0, A144 - $F$13 + 1)&lt;=6, 70 - (70-14)*(MAX(0, A144 - $F$13 + 1)-1)/5, IF(MAX(0, A144 - $F$13 + 1)&lt;=24, 14 - 14*(MAX(0, A144 - $F$13 + 1)-6)/18, 0)))) + (IF(MAX(0, A144 - $F$14 + 1)&lt;=0, 0, IF(MAX(0, A144 - $F$14 + 1)&lt;=6, 70 - (70-14)*(MAX(0, A144 - $F$14 + 1)-1)/5, IF(MAX(0, A144 - $F$14 + 1)&lt;=24, 14 - 14*(MAX(0, A144 - $F$14 + 1)-6)/18, 0)))) ) * 200 / 12 / 1000</f>
        <v/>
      </c>
      <c r="F144" s="306">
        <f>IF(A144&lt;$F$6,0,IF(AND($B$21=1,A144&gt;$B$19),0,$E$6*$G$6^MIN((A144-$F$6)/12,6)*MIN($G$6,0.85)^MAX(0,(A144-$F$6)/12-6)))</f>
        <v/>
      </c>
      <c r="G144" s="306">
        <f>IF(A144&lt;$F$7,0,IF(AND($B$21=1,A144&gt;$B$19),0,$E$7*$G$7^MIN((A144-$F$7)/12,6)*MIN($G$7,0.85)^MAX(0,(A144-$F$7)/12-6)))</f>
        <v/>
      </c>
      <c r="H144" s="306">
        <f>IF(A144&lt;$F$8,0,IF(AND($B$21=1,A144&gt;$B$19),0,$E$8*$G$8^MIN((A144-$F$8)/12,6)*MIN($G$8,0.85)^MAX(0,(A144-$F$8)/12-6)))</f>
        <v/>
      </c>
      <c r="I144" s="306">
        <f>IF(A144&lt;$F$9,0,IF(AND($B$21=1,A144&gt;$B$19),0,$E$9*$G$9^MIN((A144-$F$9)/12,6)*MIN($G$9,0.85)^MAX(0,(A144-$F$9)/12-6)))</f>
        <v/>
      </c>
      <c r="J144" s="306">
        <f>IF(A144&lt;$F$10,0,IF(AND($B$21=1,A144&gt;$B$19),0,$E$10*$G$10^MIN((A144-$F$10)/12,6)*MIN($G$10,0.85)^MAX(0,(A144-$F$10)/12-6)))</f>
        <v/>
      </c>
      <c r="K144" s="306">
        <f>IF(A144&lt;$F$11,0,IF(AND($B$21=1,A144&gt;$B$19),0,$E$11*$G$11^MIN((A144-$F$11)/12,6)*MIN($G$11,0.85)^MAX(0,(A144-$F$11)/12-6)))</f>
        <v/>
      </c>
      <c r="L144" s="306">
        <f>IF(A144&lt;$F$12,0,IF(AND($B$21=1,A144&gt;$B$19),0,$E$12*$G$12^MIN((A144-$F$12)/12,6)*MIN($G$12,0.85)^MAX(0,(A144-$F$12)/12-6)))</f>
        <v/>
      </c>
      <c r="M144" s="306">
        <f>IF(A144&lt;$F$13,0,IF(AND($B$21=1,A144&gt;$B$19),0,$E$13*$G$13^MIN((A144-$F$13)/12,6)*MIN($G$13,0.85)^MAX(0,(A144-$F$13)/12-6)))</f>
        <v/>
      </c>
      <c r="N144" s="306">
        <f>IF(A144&lt;$F$14,0,IF(AND($B$21=1,A144&gt;$B$19),0,$E$14*$G$14^MIN((A144-$F$14)/12,6)*MIN($G$14,0.85)^MAX(0,(A144-$F$14)/12-6)))</f>
        <v/>
      </c>
      <c r="O144" s="306">
        <f>SUM(F144:N144)</f>
        <v/>
      </c>
      <c r="P144" s="306">
        <f>O144/12</f>
        <v/>
      </c>
      <c r="Q144" s="306">
        <f>P144*$B$8</f>
        <v/>
      </c>
      <c r="R144" s="306">
        <f>P144*$B$9</f>
        <v/>
      </c>
      <c r="S144" s="306">
        <f>P144*$B$10</f>
        <v/>
      </c>
      <c r="T144" s="306">
        <f>P144-Q144-R144-S144-D144-E144</f>
        <v/>
      </c>
      <c r="U144" s="306">
        <f>MAX(0, T144 - $B$7*P144)</f>
        <v/>
      </c>
      <c r="V144" s="306">
        <f>T144-U144</f>
        <v/>
      </c>
      <c r="W144" s="306">
        <f>IF(A144=$F$6, $B$18*$B$16*$B$17/1000000, 0) + IF(A144=$F$7, $B$18*$B$16*$B$17/1000000, 0) + IF(A144=$F$8, $B$18*$B$16*$B$17/1000000, 0) + IF(A144=$F$9, $B$18*$B$16*$B$17/1000000, 0) + IF(A144=$F$10, $B$18*$B$16*$B$17/1000000, 0) + IF(A144=$F$11, $B$18*$B$16*$B$17/1000000, 0) + IF(A144=$F$12, $B$18*$B$16*$B$17/1000000, 0) + IF(A144=$F$13, $B$18*$B$16*$B$17/1000000, 0) + IF(A144=$F$14, $B$18*$B$16*$B$17/1000000, 0)</f>
        <v/>
      </c>
      <c r="X144" s="306">
        <f>V144-W144-C144</f>
        <v/>
      </c>
      <c r="Y144" s="306">
        <f>IF(AND(A144&lt;=$B$24, X144&gt;0), X144*$B$23, 0)</f>
        <v/>
      </c>
      <c r="Z144" s="306">
        <f>X144-Y144</f>
        <v/>
      </c>
      <c r="AA144" s="306">
        <f>IF(AND(A144=$B$19, $B$21=1), O144*$B$20, 0)</f>
        <v/>
      </c>
      <c r="AB144" s="306">
        <f>AB143+Z144+AA144</f>
        <v/>
      </c>
    </row>
    <row r="145">
      <c r="A145" s="306" t="n">
        <v>115</v>
      </c>
      <c r="B145" s="306">
        <f>CEILING(A145/12,1)</f>
        <v/>
      </c>
      <c r="C145" s="306">
        <f>IF(A145&lt;=12, $B$15/12, 0)</f>
        <v/>
      </c>
      <c r="D145" s="306">
        <f>INDEX('26. Team Comp'!$D$28:$R$28, B145) * 0.001 / 12</f>
        <v/>
      </c>
      <c r="E145" s="306">
        <f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+ (IF(MAX(0, A145 - $F$11 + 1)&lt;=0, 0, IF(MAX(0, A145 - $F$11 + 1)&lt;=6, 70 - (70-14)*(MAX(0, A145 - $F$11 + 1)-1)/5, IF(MAX(0, A145 - $F$11 + 1)&lt;=24, 14 - 14*(MAX(0, A145 - $F$11 + 1)-6)/18, 0)))) + (IF(MAX(0, A145 - $F$12 + 1)&lt;=0, 0, IF(MAX(0, A145 - $F$12 + 1)&lt;=6, 70 - (70-14)*(MAX(0, A145 - $F$12 + 1)-1)/5, IF(MAX(0, A145 - $F$12 + 1)&lt;=24, 14 - 14*(MAX(0, A145 - $F$12 + 1)-6)/18, 0)))) + (IF(MAX(0, A145 - $F$13 + 1)&lt;=0, 0, IF(MAX(0, A145 - $F$13 + 1)&lt;=6, 70 - (70-14)*(MAX(0, A145 - $F$13 + 1)-1)/5, IF(MAX(0, A145 - $F$13 + 1)&lt;=24, 14 - 14*(MAX(0, A145 - $F$13 + 1)-6)/18, 0)))) + (IF(MAX(0, A145 - $F$14 + 1)&lt;=0, 0, IF(MAX(0, A145 - $F$14 + 1)&lt;=6, 70 - (70-14)*(MAX(0, A145 - $F$14 + 1)-1)/5, IF(MAX(0, A145 - $F$14 + 1)&lt;=24, 14 - 14*(MAX(0, A145 - $F$14 + 1)-6)/18, 0)))) ) * 200 / 12 / 1000</f>
        <v/>
      </c>
      <c r="F145" s="306">
        <f>IF(A145&lt;$F$6,0,IF(AND($B$21=1,A145&gt;$B$19),0,$E$6*$G$6^MIN((A145-$F$6)/12,6)*MIN($G$6,0.85)^MAX(0,(A145-$F$6)/12-6)))</f>
        <v/>
      </c>
      <c r="G145" s="306">
        <f>IF(A145&lt;$F$7,0,IF(AND($B$21=1,A145&gt;$B$19),0,$E$7*$G$7^MIN((A145-$F$7)/12,6)*MIN($G$7,0.85)^MAX(0,(A145-$F$7)/12-6)))</f>
        <v/>
      </c>
      <c r="H145" s="306">
        <f>IF(A145&lt;$F$8,0,IF(AND($B$21=1,A145&gt;$B$19),0,$E$8*$G$8^MIN((A145-$F$8)/12,6)*MIN($G$8,0.85)^MAX(0,(A145-$F$8)/12-6)))</f>
        <v/>
      </c>
      <c r="I145" s="306">
        <f>IF(A145&lt;$F$9,0,IF(AND($B$21=1,A145&gt;$B$19),0,$E$9*$G$9^MIN((A145-$F$9)/12,6)*MIN($G$9,0.85)^MAX(0,(A145-$F$9)/12-6)))</f>
        <v/>
      </c>
      <c r="J145" s="306">
        <f>IF(A145&lt;$F$10,0,IF(AND($B$21=1,A145&gt;$B$19),0,$E$10*$G$10^MIN((A145-$F$10)/12,6)*MIN($G$10,0.85)^MAX(0,(A145-$F$10)/12-6)))</f>
        <v/>
      </c>
      <c r="K145" s="306">
        <f>IF(A145&lt;$F$11,0,IF(AND($B$21=1,A145&gt;$B$19),0,$E$11*$G$11^MIN((A145-$F$11)/12,6)*MIN($G$11,0.85)^MAX(0,(A145-$F$11)/12-6)))</f>
        <v/>
      </c>
      <c r="L145" s="306">
        <f>IF(A145&lt;$F$12,0,IF(AND($B$21=1,A145&gt;$B$19),0,$E$12*$G$12^MIN((A145-$F$12)/12,6)*MIN($G$12,0.85)^MAX(0,(A145-$F$12)/12-6)))</f>
        <v/>
      </c>
      <c r="M145" s="306">
        <f>IF(A145&lt;$F$13,0,IF(AND($B$21=1,A145&gt;$B$19),0,$E$13*$G$13^MIN((A145-$F$13)/12,6)*MIN($G$13,0.85)^MAX(0,(A145-$F$13)/12-6)))</f>
        <v/>
      </c>
      <c r="N145" s="306">
        <f>IF(A145&lt;$F$14,0,IF(AND($B$21=1,A145&gt;$B$19),0,$E$14*$G$14^MIN((A145-$F$14)/12,6)*MIN($G$14,0.85)^MAX(0,(A145-$F$14)/12-6)))</f>
        <v/>
      </c>
      <c r="O145" s="306">
        <f>SUM(F145:N145)</f>
        <v/>
      </c>
      <c r="P145" s="306">
        <f>O145/12</f>
        <v/>
      </c>
      <c r="Q145" s="306">
        <f>P145*$B$8</f>
        <v/>
      </c>
      <c r="R145" s="306">
        <f>P145*$B$9</f>
        <v/>
      </c>
      <c r="S145" s="306">
        <f>P145*$B$10</f>
        <v/>
      </c>
      <c r="T145" s="306">
        <f>P145-Q145-R145-S145-D145-E145</f>
        <v/>
      </c>
      <c r="U145" s="306">
        <f>MAX(0, T145 - $B$7*P145)</f>
        <v/>
      </c>
      <c r="V145" s="306">
        <f>T145-U145</f>
        <v/>
      </c>
      <c r="W145" s="306">
        <f>IF(A145=$F$6, $B$18*$B$16*$B$17/1000000, 0) + IF(A145=$F$7, $B$18*$B$16*$B$17/1000000, 0) + IF(A145=$F$8, $B$18*$B$16*$B$17/1000000, 0) + IF(A145=$F$9, $B$18*$B$16*$B$17/1000000, 0) + IF(A145=$F$10, $B$18*$B$16*$B$17/1000000, 0) + IF(A145=$F$11, $B$18*$B$16*$B$17/1000000, 0) + IF(A145=$F$12, $B$18*$B$16*$B$17/1000000, 0) + IF(A145=$F$13, $B$18*$B$16*$B$17/1000000, 0) + IF(A145=$F$14, $B$18*$B$16*$B$17/1000000, 0)</f>
        <v/>
      </c>
      <c r="X145" s="306">
        <f>V145-W145-C145</f>
        <v/>
      </c>
      <c r="Y145" s="306">
        <f>IF(AND(A145&lt;=$B$24, X145&gt;0), X145*$B$23, 0)</f>
        <v/>
      </c>
      <c r="Z145" s="306">
        <f>X145-Y145</f>
        <v/>
      </c>
      <c r="AA145" s="306">
        <f>IF(AND(A145=$B$19, $B$21=1), O145*$B$20, 0)</f>
        <v/>
      </c>
      <c r="AB145" s="306">
        <f>AB144+Z145+AA145</f>
        <v/>
      </c>
    </row>
    <row r="146">
      <c r="A146" s="306" t="n">
        <v>116</v>
      </c>
      <c r="B146" s="306">
        <f>CEILING(A146/12,1)</f>
        <v/>
      </c>
      <c r="C146" s="306">
        <f>IF(A146&lt;=12, $B$15/12, 0)</f>
        <v/>
      </c>
      <c r="D146" s="306">
        <f>INDEX('26. Team Comp'!$D$28:$R$28, B146) * 0.001 / 12</f>
        <v/>
      </c>
      <c r="E146" s="306">
        <f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+ (IF(MAX(0, A146 - $F$11 + 1)&lt;=0, 0, IF(MAX(0, A146 - $F$11 + 1)&lt;=6, 70 - (70-14)*(MAX(0, A146 - $F$11 + 1)-1)/5, IF(MAX(0, A146 - $F$11 + 1)&lt;=24, 14 - 14*(MAX(0, A146 - $F$11 + 1)-6)/18, 0)))) + (IF(MAX(0, A146 - $F$12 + 1)&lt;=0, 0, IF(MAX(0, A146 - $F$12 + 1)&lt;=6, 70 - (70-14)*(MAX(0, A146 - $F$12 + 1)-1)/5, IF(MAX(0, A146 - $F$12 + 1)&lt;=24, 14 - 14*(MAX(0, A146 - $F$12 + 1)-6)/18, 0)))) + (IF(MAX(0, A146 - $F$13 + 1)&lt;=0, 0, IF(MAX(0, A146 - $F$13 + 1)&lt;=6, 70 - (70-14)*(MAX(0, A146 - $F$13 + 1)-1)/5, IF(MAX(0, A146 - $F$13 + 1)&lt;=24, 14 - 14*(MAX(0, A146 - $F$13 + 1)-6)/18, 0)))) + (IF(MAX(0, A146 - $F$14 + 1)&lt;=0, 0, IF(MAX(0, A146 - $F$14 + 1)&lt;=6, 70 - (70-14)*(MAX(0, A146 - $F$14 + 1)-1)/5, IF(MAX(0, A146 - $F$14 + 1)&lt;=24, 14 - 14*(MAX(0, A146 - $F$14 + 1)-6)/18, 0)))) ) * 200 / 12 / 1000</f>
        <v/>
      </c>
      <c r="F146" s="306">
        <f>IF(A146&lt;$F$6,0,IF(AND($B$21=1,A146&gt;$B$19),0,$E$6*$G$6^MIN((A146-$F$6)/12,6)*MIN($G$6,0.85)^MAX(0,(A146-$F$6)/12-6)))</f>
        <v/>
      </c>
      <c r="G146" s="306">
        <f>IF(A146&lt;$F$7,0,IF(AND($B$21=1,A146&gt;$B$19),0,$E$7*$G$7^MIN((A146-$F$7)/12,6)*MIN($G$7,0.85)^MAX(0,(A146-$F$7)/12-6)))</f>
        <v/>
      </c>
      <c r="H146" s="306">
        <f>IF(A146&lt;$F$8,0,IF(AND($B$21=1,A146&gt;$B$19),0,$E$8*$G$8^MIN((A146-$F$8)/12,6)*MIN($G$8,0.85)^MAX(0,(A146-$F$8)/12-6)))</f>
        <v/>
      </c>
      <c r="I146" s="306">
        <f>IF(A146&lt;$F$9,0,IF(AND($B$21=1,A146&gt;$B$19),0,$E$9*$G$9^MIN((A146-$F$9)/12,6)*MIN($G$9,0.85)^MAX(0,(A146-$F$9)/12-6)))</f>
        <v/>
      </c>
      <c r="J146" s="306">
        <f>IF(A146&lt;$F$10,0,IF(AND($B$21=1,A146&gt;$B$19),0,$E$10*$G$10^MIN((A146-$F$10)/12,6)*MIN($G$10,0.85)^MAX(0,(A146-$F$10)/12-6)))</f>
        <v/>
      </c>
      <c r="K146" s="306">
        <f>IF(A146&lt;$F$11,0,IF(AND($B$21=1,A146&gt;$B$19),0,$E$11*$G$11^MIN((A146-$F$11)/12,6)*MIN($G$11,0.85)^MAX(0,(A146-$F$11)/12-6)))</f>
        <v/>
      </c>
      <c r="L146" s="306">
        <f>IF(A146&lt;$F$12,0,IF(AND($B$21=1,A146&gt;$B$19),0,$E$12*$G$12^MIN((A146-$F$12)/12,6)*MIN($G$12,0.85)^MAX(0,(A146-$F$12)/12-6)))</f>
        <v/>
      </c>
      <c r="M146" s="306">
        <f>IF(A146&lt;$F$13,0,IF(AND($B$21=1,A146&gt;$B$19),0,$E$13*$G$13^MIN((A146-$F$13)/12,6)*MIN($G$13,0.85)^MAX(0,(A146-$F$13)/12-6)))</f>
        <v/>
      </c>
      <c r="N146" s="306">
        <f>IF(A146&lt;$F$14,0,IF(AND($B$21=1,A146&gt;$B$19),0,$E$14*$G$14^MIN((A146-$F$14)/12,6)*MIN($G$14,0.85)^MAX(0,(A146-$F$14)/12-6)))</f>
        <v/>
      </c>
      <c r="O146" s="306">
        <f>SUM(F146:N146)</f>
        <v/>
      </c>
      <c r="P146" s="306">
        <f>O146/12</f>
        <v/>
      </c>
      <c r="Q146" s="306">
        <f>P146*$B$8</f>
        <v/>
      </c>
      <c r="R146" s="306">
        <f>P146*$B$9</f>
        <v/>
      </c>
      <c r="S146" s="306">
        <f>P146*$B$10</f>
        <v/>
      </c>
      <c r="T146" s="306">
        <f>P146-Q146-R146-S146-D146-E146</f>
        <v/>
      </c>
      <c r="U146" s="306">
        <f>MAX(0, T146 - $B$7*P146)</f>
        <v/>
      </c>
      <c r="V146" s="306">
        <f>T146-U146</f>
        <v/>
      </c>
      <c r="W146" s="306">
        <f>IF(A146=$F$6, $B$18*$B$16*$B$17/1000000, 0) + IF(A146=$F$7, $B$18*$B$16*$B$17/1000000, 0) + IF(A146=$F$8, $B$18*$B$16*$B$17/1000000, 0) + IF(A146=$F$9, $B$18*$B$16*$B$17/1000000, 0) + IF(A146=$F$10, $B$18*$B$16*$B$17/1000000, 0) + IF(A146=$F$11, $B$18*$B$16*$B$17/1000000, 0) + IF(A146=$F$12, $B$18*$B$16*$B$17/1000000, 0) + IF(A146=$F$13, $B$18*$B$16*$B$17/1000000, 0) + IF(A146=$F$14, $B$18*$B$16*$B$17/1000000, 0)</f>
        <v/>
      </c>
      <c r="X146" s="306">
        <f>V146-W146-C146</f>
        <v/>
      </c>
      <c r="Y146" s="306">
        <f>IF(AND(A146&lt;=$B$24, X146&gt;0), X146*$B$23, 0)</f>
        <v/>
      </c>
      <c r="Z146" s="306">
        <f>X146-Y146</f>
        <v/>
      </c>
      <c r="AA146" s="306">
        <f>IF(AND(A146=$B$19, $B$21=1), O146*$B$20, 0)</f>
        <v/>
      </c>
      <c r="AB146" s="306">
        <f>AB145+Z146+AA146</f>
        <v/>
      </c>
    </row>
    <row r="147">
      <c r="A147" s="306" t="n">
        <v>117</v>
      </c>
      <c r="B147" s="306">
        <f>CEILING(A147/12,1)</f>
        <v/>
      </c>
      <c r="C147" s="306">
        <f>IF(A147&lt;=12, $B$15/12, 0)</f>
        <v/>
      </c>
      <c r="D147" s="306">
        <f>INDEX('26. Team Comp'!$D$28:$R$28, B147) * 0.001 / 12</f>
        <v/>
      </c>
      <c r="E147" s="306">
        <f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+ (IF(MAX(0, A147 - $F$11 + 1)&lt;=0, 0, IF(MAX(0, A147 - $F$11 + 1)&lt;=6, 70 - (70-14)*(MAX(0, A147 - $F$11 + 1)-1)/5, IF(MAX(0, A147 - $F$11 + 1)&lt;=24, 14 - 14*(MAX(0, A147 - $F$11 + 1)-6)/18, 0)))) + (IF(MAX(0, A147 - $F$12 + 1)&lt;=0, 0, IF(MAX(0, A147 - $F$12 + 1)&lt;=6, 70 - (70-14)*(MAX(0, A147 - $F$12 + 1)-1)/5, IF(MAX(0, A147 - $F$12 + 1)&lt;=24, 14 - 14*(MAX(0, A147 - $F$12 + 1)-6)/18, 0)))) + (IF(MAX(0, A147 - $F$13 + 1)&lt;=0, 0, IF(MAX(0, A147 - $F$13 + 1)&lt;=6, 70 - (70-14)*(MAX(0, A147 - $F$13 + 1)-1)/5, IF(MAX(0, A147 - $F$13 + 1)&lt;=24, 14 - 14*(MAX(0, A147 - $F$13 + 1)-6)/18, 0)))) + (IF(MAX(0, A147 - $F$14 + 1)&lt;=0, 0, IF(MAX(0, A147 - $F$14 + 1)&lt;=6, 70 - (70-14)*(MAX(0, A147 - $F$14 + 1)-1)/5, IF(MAX(0, A147 - $F$14 + 1)&lt;=24, 14 - 14*(MAX(0, A147 - $F$14 + 1)-6)/18, 0)))) ) * 200 / 12 / 1000</f>
        <v/>
      </c>
      <c r="F147" s="306">
        <f>IF(A147&lt;$F$6,0,IF(AND($B$21=1,A147&gt;$B$19),0,$E$6*$G$6^MIN((A147-$F$6)/12,6)*MIN($G$6,0.85)^MAX(0,(A147-$F$6)/12-6)))</f>
        <v/>
      </c>
      <c r="G147" s="306">
        <f>IF(A147&lt;$F$7,0,IF(AND($B$21=1,A147&gt;$B$19),0,$E$7*$G$7^MIN((A147-$F$7)/12,6)*MIN($G$7,0.85)^MAX(0,(A147-$F$7)/12-6)))</f>
        <v/>
      </c>
      <c r="H147" s="306">
        <f>IF(A147&lt;$F$8,0,IF(AND($B$21=1,A147&gt;$B$19),0,$E$8*$G$8^MIN((A147-$F$8)/12,6)*MIN($G$8,0.85)^MAX(0,(A147-$F$8)/12-6)))</f>
        <v/>
      </c>
      <c r="I147" s="306">
        <f>IF(A147&lt;$F$9,0,IF(AND($B$21=1,A147&gt;$B$19),0,$E$9*$G$9^MIN((A147-$F$9)/12,6)*MIN($G$9,0.85)^MAX(0,(A147-$F$9)/12-6)))</f>
        <v/>
      </c>
      <c r="J147" s="306">
        <f>IF(A147&lt;$F$10,0,IF(AND($B$21=1,A147&gt;$B$19),0,$E$10*$G$10^MIN((A147-$F$10)/12,6)*MIN($G$10,0.85)^MAX(0,(A147-$F$10)/12-6)))</f>
        <v/>
      </c>
      <c r="K147" s="306">
        <f>IF(A147&lt;$F$11,0,IF(AND($B$21=1,A147&gt;$B$19),0,$E$11*$G$11^MIN((A147-$F$11)/12,6)*MIN($G$11,0.85)^MAX(0,(A147-$F$11)/12-6)))</f>
        <v/>
      </c>
      <c r="L147" s="306">
        <f>IF(A147&lt;$F$12,0,IF(AND($B$21=1,A147&gt;$B$19),0,$E$12*$G$12^MIN((A147-$F$12)/12,6)*MIN($G$12,0.85)^MAX(0,(A147-$F$12)/12-6)))</f>
        <v/>
      </c>
      <c r="M147" s="306">
        <f>IF(A147&lt;$F$13,0,IF(AND($B$21=1,A147&gt;$B$19),0,$E$13*$G$13^MIN((A147-$F$13)/12,6)*MIN($G$13,0.85)^MAX(0,(A147-$F$13)/12-6)))</f>
        <v/>
      </c>
      <c r="N147" s="306">
        <f>IF(A147&lt;$F$14,0,IF(AND($B$21=1,A147&gt;$B$19),0,$E$14*$G$14^MIN((A147-$F$14)/12,6)*MIN($G$14,0.85)^MAX(0,(A147-$F$14)/12-6)))</f>
        <v/>
      </c>
      <c r="O147" s="306">
        <f>SUM(F147:N147)</f>
        <v/>
      </c>
      <c r="P147" s="306">
        <f>O147/12</f>
        <v/>
      </c>
      <c r="Q147" s="306">
        <f>P147*$B$8</f>
        <v/>
      </c>
      <c r="R147" s="306">
        <f>P147*$B$9</f>
        <v/>
      </c>
      <c r="S147" s="306">
        <f>P147*$B$10</f>
        <v/>
      </c>
      <c r="T147" s="306">
        <f>P147-Q147-R147-S147-D147-E147</f>
        <v/>
      </c>
      <c r="U147" s="306">
        <f>MAX(0, T147 - $B$7*P147)</f>
        <v/>
      </c>
      <c r="V147" s="306">
        <f>T147-U147</f>
        <v/>
      </c>
      <c r="W147" s="306">
        <f>IF(A147=$F$6, $B$18*$B$16*$B$17/1000000, 0) + IF(A147=$F$7, $B$18*$B$16*$B$17/1000000, 0) + IF(A147=$F$8, $B$18*$B$16*$B$17/1000000, 0) + IF(A147=$F$9, $B$18*$B$16*$B$17/1000000, 0) + IF(A147=$F$10, $B$18*$B$16*$B$17/1000000, 0) + IF(A147=$F$11, $B$18*$B$16*$B$17/1000000, 0) + IF(A147=$F$12, $B$18*$B$16*$B$17/1000000, 0) + IF(A147=$F$13, $B$18*$B$16*$B$17/1000000, 0) + IF(A147=$F$14, $B$18*$B$16*$B$17/1000000, 0)</f>
        <v/>
      </c>
      <c r="X147" s="306">
        <f>V147-W147-C147</f>
        <v/>
      </c>
      <c r="Y147" s="306">
        <f>IF(AND(A147&lt;=$B$24, X147&gt;0), X147*$B$23, 0)</f>
        <v/>
      </c>
      <c r="Z147" s="306">
        <f>X147-Y147</f>
        <v/>
      </c>
      <c r="AA147" s="306">
        <f>IF(AND(A147=$B$19, $B$21=1), O147*$B$20, 0)</f>
        <v/>
      </c>
      <c r="AB147" s="306">
        <f>AB146+Z147+AA147</f>
        <v/>
      </c>
    </row>
    <row r="148">
      <c r="A148" s="306" t="n">
        <v>118</v>
      </c>
      <c r="B148" s="306">
        <f>CEILING(A148/12,1)</f>
        <v/>
      </c>
      <c r="C148" s="306">
        <f>IF(A148&lt;=12, $B$15/12, 0)</f>
        <v/>
      </c>
      <c r="D148" s="306">
        <f>INDEX('26. Team Comp'!$D$28:$R$28, B148) * 0.001 / 12</f>
        <v/>
      </c>
      <c r="E148" s="306">
        <f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+ (IF(MAX(0, A148 - $F$11 + 1)&lt;=0, 0, IF(MAX(0, A148 - $F$11 + 1)&lt;=6, 70 - (70-14)*(MAX(0, A148 - $F$11 + 1)-1)/5, IF(MAX(0, A148 - $F$11 + 1)&lt;=24, 14 - 14*(MAX(0, A148 - $F$11 + 1)-6)/18, 0)))) + (IF(MAX(0, A148 - $F$12 + 1)&lt;=0, 0, IF(MAX(0, A148 - $F$12 + 1)&lt;=6, 70 - (70-14)*(MAX(0, A148 - $F$12 + 1)-1)/5, IF(MAX(0, A148 - $F$12 + 1)&lt;=24, 14 - 14*(MAX(0, A148 - $F$12 + 1)-6)/18, 0)))) + (IF(MAX(0, A148 - $F$13 + 1)&lt;=0, 0, IF(MAX(0, A148 - $F$13 + 1)&lt;=6, 70 - (70-14)*(MAX(0, A148 - $F$13 + 1)-1)/5, IF(MAX(0, A148 - $F$13 + 1)&lt;=24, 14 - 14*(MAX(0, A148 - $F$13 + 1)-6)/18, 0)))) + (IF(MAX(0, A148 - $F$14 + 1)&lt;=0, 0, IF(MAX(0, A148 - $F$14 + 1)&lt;=6, 70 - (70-14)*(MAX(0, A148 - $F$14 + 1)-1)/5, IF(MAX(0, A148 - $F$14 + 1)&lt;=24, 14 - 14*(MAX(0, A148 - $F$14 + 1)-6)/18, 0)))) ) * 200 / 12 / 1000</f>
        <v/>
      </c>
      <c r="F148" s="306">
        <f>IF(A148&lt;$F$6,0,IF(AND($B$21=1,A148&gt;$B$19),0,$E$6*$G$6^MIN((A148-$F$6)/12,6)*MIN($G$6,0.85)^MAX(0,(A148-$F$6)/12-6)))</f>
        <v/>
      </c>
      <c r="G148" s="306">
        <f>IF(A148&lt;$F$7,0,IF(AND($B$21=1,A148&gt;$B$19),0,$E$7*$G$7^MIN((A148-$F$7)/12,6)*MIN($G$7,0.85)^MAX(0,(A148-$F$7)/12-6)))</f>
        <v/>
      </c>
      <c r="H148" s="306">
        <f>IF(A148&lt;$F$8,0,IF(AND($B$21=1,A148&gt;$B$19),0,$E$8*$G$8^MIN((A148-$F$8)/12,6)*MIN($G$8,0.85)^MAX(0,(A148-$F$8)/12-6)))</f>
        <v/>
      </c>
      <c r="I148" s="306">
        <f>IF(A148&lt;$F$9,0,IF(AND($B$21=1,A148&gt;$B$19),0,$E$9*$G$9^MIN((A148-$F$9)/12,6)*MIN($G$9,0.85)^MAX(0,(A148-$F$9)/12-6)))</f>
        <v/>
      </c>
      <c r="J148" s="306">
        <f>IF(A148&lt;$F$10,0,IF(AND($B$21=1,A148&gt;$B$19),0,$E$10*$G$10^MIN((A148-$F$10)/12,6)*MIN($G$10,0.85)^MAX(0,(A148-$F$10)/12-6)))</f>
        <v/>
      </c>
      <c r="K148" s="306">
        <f>IF(A148&lt;$F$11,0,IF(AND($B$21=1,A148&gt;$B$19),0,$E$11*$G$11^MIN((A148-$F$11)/12,6)*MIN($G$11,0.85)^MAX(0,(A148-$F$11)/12-6)))</f>
        <v/>
      </c>
      <c r="L148" s="306">
        <f>IF(A148&lt;$F$12,0,IF(AND($B$21=1,A148&gt;$B$19),0,$E$12*$G$12^MIN((A148-$F$12)/12,6)*MIN($G$12,0.85)^MAX(0,(A148-$F$12)/12-6)))</f>
        <v/>
      </c>
      <c r="M148" s="306">
        <f>IF(A148&lt;$F$13,0,IF(AND($B$21=1,A148&gt;$B$19),0,$E$13*$G$13^MIN((A148-$F$13)/12,6)*MIN($G$13,0.85)^MAX(0,(A148-$F$13)/12-6)))</f>
        <v/>
      </c>
      <c r="N148" s="306">
        <f>IF(A148&lt;$F$14,0,IF(AND($B$21=1,A148&gt;$B$19),0,$E$14*$G$14^MIN((A148-$F$14)/12,6)*MIN($G$14,0.85)^MAX(0,(A148-$F$14)/12-6)))</f>
        <v/>
      </c>
      <c r="O148" s="306">
        <f>SUM(F148:N148)</f>
        <v/>
      </c>
      <c r="P148" s="306">
        <f>O148/12</f>
        <v/>
      </c>
      <c r="Q148" s="306">
        <f>P148*$B$8</f>
        <v/>
      </c>
      <c r="R148" s="306">
        <f>P148*$B$9</f>
        <v/>
      </c>
      <c r="S148" s="306">
        <f>P148*$B$10</f>
        <v/>
      </c>
      <c r="T148" s="306">
        <f>P148-Q148-R148-S148-D148-E148</f>
        <v/>
      </c>
      <c r="U148" s="306">
        <f>MAX(0, T148 - $B$7*P148)</f>
        <v/>
      </c>
      <c r="V148" s="306">
        <f>T148-U148</f>
        <v/>
      </c>
      <c r="W148" s="306">
        <f>IF(A148=$F$6, $B$18*$B$16*$B$17/1000000, 0) + IF(A148=$F$7, $B$18*$B$16*$B$17/1000000, 0) + IF(A148=$F$8, $B$18*$B$16*$B$17/1000000, 0) + IF(A148=$F$9, $B$18*$B$16*$B$17/1000000, 0) + IF(A148=$F$10, $B$18*$B$16*$B$17/1000000, 0) + IF(A148=$F$11, $B$18*$B$16*$B$17/1000000, 0) + IF(A148=$F$12, $B$18*$B$16*$B$17/1000000, 0) + IF(A148=$F$13, $B$18*$B$16*$B$17/1000000, 0) + IF(A148=$F$14, $B$18*$B$16*$B$17/1000000, 0)</f>
        <v/>
      </c>
      <c r="X148" s="306">
        <f>V148-W148-C148</f>
        <v/>
      </c>
      <c r="Y148" s="306">
        <f>IF(AND(A148&lt;=$B$24, X148&gt;0), X148*$B$23, 0)</f>
        <v/>
      </c>
      <c r="Z148" s="306">
        <f>X148-Y148</f>
        <v/>
      </c>
      <c r="AA148" s="306">
        <f>IF(AND(A148=$B$19, $B$21=1), O148*$B$20, 0)</f>
        <v/>
      </c>
      <c r="AB148" s="306">
        <f>AB147+Z148+AA148</f>
        <v/>
      </c>
    </row>
    <row r="149">
      <c r="A149" s="306" t="n">
        <v>119</v>
      </c>
      <c r="B149" s="306">
        <f>CEILING(A149/12,1)</f>
        <v/>
      </c>
      <c r="C149" s="306">
        <f>IF(A149&lt;=12, $B$15/12, 0)</f>
        <v/>
      </c>
      <c r="D149" s="306">
        <f>INDEX('26. Team Comp'!$D$28:$R$28, B149) * 0.001 / 12</f>
        <v/>
      </c>
      <c r="E149" s="306">
        <f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+ (IF(MAX(0, A149 - $F$11 + 1)&lt;=0, 0, IF(MAX(0, A149 - $F$11 + 1)&lt;=6, 70 - (70-14)*(MAX(0, A149 - $F$11 + 1)-1)/5, IF(MAX(0, A149 - $F$11 + 1)&lt;=24, 14 - 14*(MAX(0, A149 - $F$11 + 1)-6)/18, 0)))) + (IF(MAX(0, A149 - $F$12 + 1)&lt;=0, 0, IF(MAX(0, A149 - $F$12 + 1)&lt;=6, 70 - (70-14)*(MAX(0, A149 - $F$12 + 1)-1)/5, IF(MAX(0, A149 - $F$12 + 1)&lt;=24, 14 - 14*(MAX(0, A149 - $F$12 + 1)-6)/18, 0)))) + (IF(MAX(0, A149 - $F$13 + 1)&lt;=0, 0, IF(MAX(0, A149 - $F$13 + 1)&lt;=6, 70 - (70-14)*(MAX(0, A149 - $F$13 + 1)-1)/5, IF(MAX(0, A149 - $F$13 + 1)&lt;=24, 14 - 14*(MAX(0, A149 - $F$13 + 1)-6)/18, 0)))) + (IF(MAX(0, A149 - $F$14 + 1)&lt;=0, 0, IF(MAX(0, A149 - $F$14 + 1)&lt;=6, 70 - (70-14)*(MAX(0, A149 - $F$14 + 1)-1)/5, IF(MAX(0, A149 - $F$14 + 1)&lt;=24, 14 - 14*(MAX(0, A149 - $F$14 + 1)-6)/18, 0)))) ) * 200 / 12 / 1000</f>
        <v/>
      </c>
      <c r="F149" s="306">
        <f>IF(A149&lt;$F$6,0,IF(AND($B$21=1,A149&gt;$B$19),0,$E$6*$G$6^MIN((A149-$F$6)/12,6)*MIN($G$6,0.85)^MAX(0,(A149-$F$6)/12-6)))</f>
        <v/>
      </c>
      <c r="G149" s="306">
        <f>IF(A149&lt;$F$7,0,IF(AND($B$21=1,A149&gt;$B$19),0,$E$7*$G$7^MIN((A149-$F$7)/12,6)*MIN($G$7,0.85)^MAX(0,(A149-$F$7)/12-6)))</f>
        <v/>
      </c>
      <c r="H149" s="306">
        <f>IF(A149&lt;$F$8,0,IF(AND($B$21=1,A149&gt;$B$19),0,$E$8*$G$8^MIN((A149-$F$8)/12,6)*MIN($G$8,0.85)^MAX(0,(A149-$F$8)/12-6)))</f>
        <v/>
      </c>
      <c r="I149" s="306">
        <f>IF(A149&lt;$F$9,0,IF(AND($B$21=1,A149&gt;$B$19),0,$E$9*$G$9^MIN((A149-$F$9)/12,6)*MIN($G$9,0.85)^MAX(0,(A149-$F$9)/12-6)))</f>
        <v/>
      </c>
      <c r="J149" s="306">
        <f>IF(A149&lt;$F$10,0,IF(AND($B$21=1,A149&gt;$B$19),0,$E$10*$G$10^MIN((A149-$F$10)/12,6)*MIN($G$10,0.85)^MAX(0,(A149-$F$10)/12-6)))</f>
        <v/>
      </c>
      <c r="K149" s="306">
        <f>IF(A149&lt;$F$11,0,IF(AND($B$21=1,A149&gt;$B$19),0,$E$11*$G$11^MIN((A149-$F$11)/12,6)*MIN($G$11,0.85)^MAX(0,(A149-$F$11)/12-6)))</f>
        <v/>
      </c>
      <c r="L149" s="306">
        <f>IF(A149&lt;$F$12,0,IF(AND($B$21=1,A149&gt;$B$19),0,$E$12*$G$12^MIN((A149-$F$12)/12,6)*MIN($G$12,0.85)^MAX(0,(A149-$F$12)/12-6)))</f>
        <v/>
      </c>
      <c r="M149" s="306">
        <f>IF(A149&lt;$F$13,0,IF(AND($B$21=1,A149&gt;$B$19),0,$E$13*$G$13^MIN((A149-$F$13)/12,6)*MIN($G$13,0.85)^MAX(0,(A149-$F$13)/12-6)))</f>
        <v/>
      </c>
      <c r="N149" s="306">
        <f>IF(A149&lt;$F$14,0,IF(AND($B$21=1,A149&gt;$B$19),0,$E$14*$G$14^MIN((A149-$F$14)/12,6)*MIN($G$14,0.85)^MAX(0,(A149-$F$14)/12-6)))</f>
        <v/>
      </c>
      <c r="O149" s="306">
        <f>SUM(F149:N149)</f>
        <v/>
      </c>
      <c r="P149" s="306">
        <f>O149/12</f>
        <v/>
      </c>
      <c r="Q149" s="306">
        <f>P149*$B$8</f>
        <v/>
      </c>
      <c r="R149" s="306">
        <f>P149*$B$9</f>
        <v/>
      </c>
      <c r="S149" s="306">
        <f>P149*$B$10</f>
        <v/>
      </c>
      <c r="T149" s="306">
        <f>P149-Q149-R149-S149-D149-E149</f>
        <v/>
      </c>
      <c r="U149" s="306">
        <f>MAX(0, T149 - $B$7*P149)</f>
        <v/>
      </c>
      <c r="V149" s="306">
        <f>T149-U149</f>
        <v/>
      </c>
      <c r="W149" s="306">
        <f>IF(A149=$F$6, $B$18*$B$16*$B$17/1000000, 0) + IF(A149=$F$7, $B$18*$B$16*$B$17/1000000, 0) + IF(A149=$F$8, $B$18*$B$16*$B$17/1000000, 0) + IF(A149=$F$9, $B$18*$B$16*$B$17/1000000, 0) + IF(A149=$F$10, $B$18*$B$16*$B$17/1000000, 0) + IF(A149=$F$11, $B$18*$B$16*$B$17/1000000, 0) + IF(A149=$F$12, $B$18*$B$16*$B$17/1000000, 0) + IF(A149=$F$13, $B$18*$B$16*$B$17/1000000, 0) + IF(A149=$F$14, $B$18*$B$16*$B$17/1000000, 0)</f>
        <v/>
      </c>
      <c r="X149" s="306">
        <f>V149-W149-C149</f>
        <v/>
      </c>
      <c r="Y149" s="306">
        <f>IF(AND(A149&lt;=$B$24, X149&gt;0), X149*$B$23, 0)</f>
        <v/>
      </c>
      <c r="Z149" s="306">
        <f>X149-Y149</f>
        <v/>
      </c>
      <c r="AA149" s="306">
        <f>IF(AND(A149=$B$19, $B$21=1), O149*$B$20, 0)</f>
        <v/>
      </c>
      <c r="AB149" s="306">
        <f>AB148+Z149+AA149</f>
        <v/>
      </c>
    </row>
    <row r="150">
      <c r="A150" s="306" t="n">
        <v>120</v>
      </c>
      <c r="B150" s="306">
        <f>CEILING(A150/12,1)</f>
        <v/>
      </c>
      <c r="C150" s="306">
        <f>IF(A150&lt;=12, $B$15/12, 0)</f>
        <v/>
      </c>
      <c r="D150" s="306">
        <f>INDEX('26. Team Comp'!$D$28:$R$28, B150) * 0.001 / 12</f>
        <v/>
      </c>
      <c r="E150" s="306">
        <f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+ (IF(MAX(0, A150 - $F$11 + 1)&lt;=0, 0, IF(MAX(0, A150 - $F$11 + 1)&lt;=6, 70 - (70-14)*(MAX(0, A150 - $F$11 + 1)-1)/5, IF(MAX(0, A150 - $F$11 + 1)&lt;=24, 14 - 14*(MAX(0, A150 - $F$11 + 1)-6)/18, 0)))) + (IF(MAX(0, A150 - $F$12 + 1)&lt;=0, 0, IF(MAX(0, A150 - $F$12 + 1)&lt;=6, 70 - (70-14)*(MAX(0, A150 - $F$12 + 1)-1)/5, IF(MAX(0, A150 - $F$12 + 1)&lt;=24, 14 - 14*(MAX(0, A150 - $F$12 + 1)-6)/18, 0)))) + (IF(MAX(0, A150 - $F$13 + 1)&lt;=0, 0, IF(MAX(0, A150 - $F$13 + 1)&lt;=6, 70 - (70-14)*(MAX(0, A150 - $F$13 + 1)-1)/5, IF(MAX(0, A150 - $F$13 + 1)&lt;=24, 14 - 14*(MAX(0, A150 - $F$13 + 1)-6)/18, 0)))) + (IF(MAX(0, A150 - $F$14 + 1)&lt;=0, 0, IF(MAX(0, A150 - $F$14 + 1)&lt;=6, 70 - (70-14)*(MAX(0, A150 - $F$14 + 1)-1)/5, IF(MAX(0, A150 - $F$14 + 1)&lt;=24, 14 - 14*(MAX(0, A150 - $F$14 + 1)-6)/18, 0)))) ) * 200 / 12 / 1000</f>
        <v/>
      </c>
      <c r="F150" s="306">
        <f>IF(A150&lt;$F$6,0,IF(AND($B$21=1,A150&gt;$B$19),0,$E$6*$G$6^MIN((A150-$F$6)/12,6)*MIN($G$6,0.85)^MAX(0,(A150-$F$6)/12-6)))</f>
        <v/>
      </c>
      <c r="G150" s="306">
        <f>IF(A150&lt;$F$7,0,IF(AND($B$21=1,A150&gt;$B$19),0,$E$7*$G$7^MIN((A150-$F$7)/12,6)*MIN($G$7,0.85)^MAX(0,(A150-$F$7)/12-6)))</f>
        <v/>
      </c>
      <c r="H150" s="306">
        <f>IF(A150&lt;$F$8,0,IF(AND($B$21=1,A150&gt;$B$19),0,$E$8*$G$8^MIN((A150-$F$8)/12,6)*MIN($G$8,0.85)^MAX(0,(A150-$F$8)/12-6)))</f>
        <v/>
      </c>
      <c r="I150" s="306">
        <f>IF(A150&lt;$F$9,0,IF(AND($B$21=1,A150&gt;$B$19),0,$E$9*$G$9^MIN((A150-$F$9)/12,6)*MIN($G$9,0.85)^MAX(0,(A150-$F$9)/12-6)))</f>
        <v/>
      </c>
      <c r="J150" s="306">
        <f>IF(A150&lt;$F$10,0,IF(AND($B$21=1,A150&gt;$B$19),0,$E$10*$G$10^MIN((A150-$F$10)/12,6)*MIN($G$10,0.85)^MAX(0,(A150-$F$10)/12-6)))</f>
        <v/>
      </c>
      <c r="K150" s="306">
        <f>IF(A150&lt;$F$11,0,IF(AND($B$21=1,A150&gt;$B$19),0,$E$11*$G$11^MIN((A150-$F$11)/12,6)*MIN($G$11,0.85)^MAX(0,(A150-$F$11)/12-6)))</f>
        <v/>
      </c>
      <c r="L150" s="306">
        <f>IF(A150&lt;$F$12,0,IF(AND($B$21=1,A150&gt;$B$19),0,$E$12*$G$12^MIN((A150-$F$12)/12,6)*MIN($G$12,0.85)^MAX(0,(A150-$F$12)/12-6)))</f>
        <v/>
      </c>
      <c r="M150" s="306">
        <f>IF(A150&lt;$F$13,0,IF(AND($B$21=1,A150&gt;$B$19),0,$E$13*$G$13^MIN((A150-$F$13)/12,6)*MIN($G$13,0.85)^MAX(0,(A150-$F$13)/12-6)))</f>
        <v/>
      </c>
      <c r="N150" s="306">
        <f>IF(A150&lt;$F$14,0,IF(AND($B$21=1,A150&gt;$B$19),0,$E$14*$G$14^MIN((A150-$F$14)/12,6)*MIN($G$14,0.85)^MAX(0,(A150-$F$14)/12-6)))</f>
        <v/>
      </c>
      <c r="O150" s="306">
        <f>SUM(F150:N150)</f>
        <v/>
      </c>
      <c r="P150" s="306">
        <f>O150/12</f>
        <v/>
      </c>
      <c r="Q150" s="306">
        <f>P150*$B$8</f>
        <v/>
      </c>
      <c r="R150" s="306">
        <f>P150*$B$9</f>
        <v/>
      </c>
      <c r="S150" s="306">
        <f>P150*$B$10</f>
        <v/>
      </c>
      <c r="T150" s="306">
        <f>P150-Q150-R150-S150-D150-E150</f>
        <v/>
      </c>
      <c r="U150" s="306">
        <f>MAX(0, T150 - $B$7*P150)</f>
        <v/>
      </c>
      <c r="V150" s="306">
        <f>T150-U150</f>
        <v/>
      </c>
      <c r="W150" s="306">
        <f>IF(A150=$F$6, $B$18*$B$16*$B$17/1000000, 0) + IF(A150=$F$7, $B$18*$B$16*$B$17/1000000, 0) + IF(A150=$F$8, $B$18*$B$16*$B$17/1000000, 0) + IF(A150=$F$9, $B$18*$B$16*$B$17/1000000, 0) + IF(A150=$F$10, $B$18*$B$16*$B$17/1000000, 0) + IF(A150=$F$11, $B$18*$B$16*$B$17/1000000, 0) + IF(A150=$F$12, $B$18*$B$16*$B$17/1000000, 0) + IF(A150=$F$13, $B$18*$B$16*$B$17/1000000, 0) + IF(A150=$F$14, $B$18*$B$16*$B$17/1000000, 0)</f>
        <v/>
      </c>
      <c r="X150" s="306">
        <f>V150-W150-C150</f>
        <v/>
      </c>
      <c r="Y150" s="306">
        <f>IF(AND(A150&lt;=$B$24, X150&gt;0), X150*$B$23, 0)</f>
        <v/>
      </c>
      <c r="Z150" s="306">
        <f>X150-Y150</f>
        <v/>
      </c>
      <c r="AA150" s="306">
        <f>IF(AND(A150=$B$19, $B$21=1), O150*$B$20, 0)</f>
        <v/>
      </c>
      <c r="AB150" s="306">
        <f>AB149+Z150+AA150</f>
        <v/>
      </c>
    </row>
    <row r="151">
      <c r="A151" s="306" t="n">
        <v>121</v>
      </c>
      <c r="B151" s="306">
        <f>CEILING(A151/12,1)</f>
        <v/>
      </c>
      <c r="C151" s="306">
        <f>IF(A151&lt;=12, $B$15/12, 0)</f>
        <v/>
      </c>
      <c r="D151" s="306">
        <f>INDEX('26. Team Comp'!$D$28:$R$28, B151) * 0.001 / 12</f>
        <v/>
      </c>
      <c r="E151" s="306">
        <f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+ (IF(MAX(0, A151 - $F$11 + 1)&lt;=0, 0, IF(MAX(0, A151 - $F$11 + 1)&lt;=6, 70 - (70-14)*(MAX(0, A151 - $F$11 + 1)-1)/5, IF(MAX(0, A151 - $F$11 + 1)&lt;=24, 14 - 14*(MAX(0, A151 - $F$11 + 1)-6)/18, 0)))) + (IF(MAX(0, A151 - $F$12 + 1)&lt;=0, 0, IF(MAX(0, A151 - $F$12 + 1)&lt;=6, 70 - (70-14)*(MAX(0, A151 - $F$12 + 1)-1)/5, IF(MAX(0, A151 - $F$12 + 1)&lt;=24, 14 - 14*(MAX(0, A151 - $F$12 + 1)-6)/18, 0)))) + (IF(MAX(0, A151 - $F$13 + 1)&lt;=0, 0, IF(MAX(0, A151 - $F$13 + 1)&lt;=6, 70 - (70-14)*(MAX(0, A151 - $F$13 + 1)-1)/5, IF(MAX(0, A151 - $F$13 + 1)&lt;=24, 14 - 14*(MAX(0, A151 - $F$13 + 1)-6)/18, 0)))) + (IF(MAX(0, A151 - $F$14 + 1)&lt;=0, 0, IF(MAX(0, A151 - $F$14 + 1)&lt;=6, 70 - (70-14)*(MAX(0, A151 - $F$14 + 1)-1)/5, IF(MAX(0, A151 - $F$14 + 1)&lt;=24, 14 - 14*(MAX(0, A151 - $F$14 + 1)-6)/18, 0)))) ) * 200 / 12 / 1000</f>
        <v/>
      </c>
      <c r="F151" s="306">
        <f>IF(A151&lt;$F$6,0,IF(AND($B$21=1,A151&gt;$B$19),0,$E$6*$G$6^MIN((A151-$F$6)/12,6)*MIN($G$6,0.85)^MAX(0,(A151-$F$6)/12-6)))</f>
        <v/>
      </c>
      <c r="G151" s="306">
        <f>IF(A151&lt;$F$7,0,IF(AND($B$21=1,A151&gt;$B$19),0,$E$7*$G$7^MIN((A151-$F$7)/12,6)*MIN($G$7,0.85)^MAX(0,(A151-$F$7)/12-6)))</f>
        <v/>
      </c>
      <c r="H151" s="306">
        <f>IF(A151&lt;$F$8,0,IF(AND($B$21=1,A151&gt;$B$19),0,$E$8*$G$8^MIN((A151-$F$8)/12,6)*MIN($G$8,0.85)^MAX(0,(A151-$F$8)/12-6)))</f>
        <v/>
      </c>
      <c r="I151" s="306">
        <f>IF(A151&lt;$F$9,0,IF(AND($B$21=1,A151&gt;$B$19),0,$E$9*$G$9^MIN((A151-$F$9)/12,6)*MIN($G$9,0.85)^MAX(0,(A151-$F$9)/12-6)))</f>
        <v/>
      </c>
      <c r="J151" s="306">
        <f>IF(A151&lt;$F$10,0,IF(AND($B$21=1,A151&gt;$B$19),0,$E$10*$G$10^MIN((A151-$F$10)/12,6)*MIN($G$10,0.85)^MAX(0,(A151-$F$10)/12-6)))</f>
        <v/>
      </c>
      <c r="K151" s="306">
        <f>IF(A151&lt;$F$11,0,IF(AND($B$21=1,A151&gt;$B$19),0,$E$11*$G$11^MIN((A151-$F$11)/12,6)*MIN($G$11,0.85)^MAX(0,(A151-$F$11)/12-6)))</f>
        <v/>
      </c>
      <c r="L151" s="306">
        <f>IF(A151&lt;$F$12,0,IF(AND($B$21=1,A151&gt;$B$19),0,$E$12*$G$12^MIN((A151-$F$12)/12,6)*MIN($G$12,0.85)^MAX(0,(A151-$F$12)/12-6)))</f>
        <v/>
      </c>
      <c r="M151" s="306">
        <f>IF(A151&lt;$F$13,0,IF(AND($B$21=1,A151&gt;$B$19),0,$E$13*$G$13^MIN((A151-$F$13)/12,6)*MIN($G$13,0.85)^MAX(0,(A151-$F$13)/12-6)))</f>
        <v/>
      </c>
      <c r="N151" s="306">
        <f>IF(A151&lt;$F$14,0,IF(AND($B$21=1,A151&gt;$B$19),0,$E$14*$G$14^MIN((A151-$F$14)/12,6)*MIN($G$14,0.85)^MAX(0,(A151-$F$14)/12-6)))</f>
        <v/>
      </c>
      <c r="O151" s="306">
        <f>SUM(F151:N151)</f>
        <v/>
      </c>
      <c r="P151" s="306">
        <f>O151/12</f>
        <v/>
      </c>
      <c r="Q151" s="306">
        <f>P151*$B$8</f>
        <v/>
      </c>
      <c r="R151" s="306">
        <f>P151*$B$9</f>
        <v/>
      </c>
      <c r="S151" s="306">
        <f>P151*$B$10</f>
        <v/>
      </c>
      <c r="T151" s="306">
        <f>P151-Q151-R151-S151-D151-E151</f>
        <v/>
      </c>
      <c r="U151" s="306">
        <f>MAX(0, T151 - $B$7*P151)</f>
        <v/>
      </c>
      <c r="V151" s="306">
        <f>T151-U151</f>
        <v/>
      </c>
      <c r="W151" s="306">
        <f>IF(A151=$F$6, $B$18*$B$16*$B$17/1000000, 0) + IF(A151=$F$7, $B$18*$B$16*$B$17/1000000, 0) + IF(A151=$F$8, $B$18*$B$16*$B$17/1000000, 0) + IF(A151=$F$9, $B$18*$B$16*$B$17/1000000, 0) + IF(A151=$F$10, $B$18*$B$16*$B$17/1000000, 0) + IF(A151=$F$11, $B$18*$B$16*$B$17/1000000, 0) + IF(A151=$F$12, $B$18*$B$16*$B$17/1000000, 0) + IF(A151=$F$13, $B$18*$B$16*$B$17/1000000, 0) + IF(A151=$F$14, $B$18*$B$16*$B$17/1000000, 0)</f>
        <v/>
      </c>
      <c r="X151" s="306">
        <f>V151-W151-C151</f>
        <v/>
      </c>
      <c r="Y151" s="306">
        <f>IF(AND(A151&lt;=$B$24, X151&gt;0), X151*$B$23, 0)</f>
        <v/>
      </c>
      <c r="Z151" s="306">
        <f>X151-Y151</f>
        <v/>
      </c>
      <c r="AA151" s="306">
        <f>IF(AND(A151=$B$19, $B$21=1), O151*$B$20, 0)</f>
        <v/>
      </c>
      <c r="AB151" s="306">
        <f>AB150+Z151+AA151</f>
        <v/>
      </c>
    </row>
    <row r="152">
      <c r="A152" s="306" t="n">
        <v>122</v>
      </c>
      <c r="B152" s="306">
        <f>CEILING(A152/12,1)</f>
        <v/>
      </c>
      <c r="C152" s="306">
        <f>IF(A152&lt;=12, $B$15/12, 0)</f>
        <v/>
      </c>
      <c r="D152" s="306">
        <f>INDEX('26. Team Comp'!$D$28:$R$28, B152) * 0.001 / 12</f>
        <v/>
      </c>
      <c r="E152" s="306">
        <f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+ (IF(MAX(0, A152 - $F$11 + 1)&lt;=0, 0, IF(MAX(0, A152 - $F$11 + 1)&lt;=6, 70 - (70-14)*(MAX(0, A152 - $F$11 + 1)-1)/5, IF(MAX(0, A152 - $F$11 + 1)&lt;=24, 14 - 14*(MAX(0, A152 - $F$11 + 1)-6)/18, 0)))) + (IF(MAX(0, A152 - $F$12 + 1)&lt;=0, 0, IF(MAX(0, A152 - $F$12 + 1)&lt;=6, 70 - (70-14)*(MAX(0, A152 - $F$12 + 1)-1)/5, IF(MAX(0, A152 - $F$12 + 1)&lt;=24, 14 - 14*(MAX(0, A152 - $F$12 + 1)-6)/18, 0)))) + (IF(MAX(0, A152 - $F$13 + 1)&lt;=0, 0, IF(MAX(0, A152 - $F$13 + 1)&lt;=6, 70 - (70-14)*(MAX(0, A152 - $F$13 + 1)-1)/5, IF(MAX(0, A152 - $F$13 + 1)&lt;=24, 14 - 14*(MAX(0, A152 - $F$13 + 1)-6)/18, 0)))) + (IF(MAX(0, A152 - $F$14 + 1)&lt;=0, 0, IF(MAX(0, A152 - $F$14 + 1)&lt;=6, 70 - (70-14)*(MAX(0, A152 - $F$14 + 1)-1)/5, IF(MAX(0, A152 - $F$14 + 1)&lt;=24, 14 - 14*(MAX(0, A152 - $F$14 + 1)-6)/18, 0)))) ) * 200 / 12 / 1000</f>
        <v/>
      </c>
      <c r="F152" s="306">
        <f>IF(A152&lt;$F$6,0,IF(AND($B$21=1,A152&gt;$B$19),0,$E$6*$G$6^MIN((A152-$F$6)/12,6)*MIN($G$6,0.85)^MAX(0,(A152-$F$6)/12-6)))</f>
        <v/>
      </c>
      <c r="G152" s="306">
        <f>IF(A152&lt;$F$7,0,IF(AND($B$21=1,A152&gt;$B$19),0,$E$7*$G$7^MIN((A152-$F$7)/12,6)*MIN($G$7,0.85)^MAX(0,(A152-$F$7)/12-6)))</f>
        <v/>
      </c>
      <c r="H152" s="306">
        <f>IF(A152&lt;$F$8,0,IF(AND($B$21=1,A152&gt;$B$19),0,$E$8*$G$8^MIN((A152-$F$8)/12,6)*MIN($G$8,0.85)^MAX(0,(A152-$F$8)/12-6)))</f>
        <v/>
      </c>
      <c r="I152" s="306">
        <f>IF(A152&lt;$F$9,0,IF(AND($B$21=1,A152&gt;$B$19),0,$E$9*$G$9^MIN((A152-$F$9)/12,6)*MIN($G$9,0.85)^MAX(0,(A152-$F$9)/12-6)))</f>
        <v/>
      </c>
      <c r="J152" s="306">
        <f>IF(A152&lt;$F$10,0,IF(AND($B$21=1,A152&gt;$B$19),0,$E$10*$G$10^MIN((A152-$F$10)/12,6)*MIN($G$10,0.85)^MAX(0,(A152-$F$10)/12-6)))</f>
        <v/>
      </c>
      <c r="K152" s="306">
        <f>IF(A152&lt;$F$11,0,IF(AND($B$21=1,A152&gt;$B$19),0,$E$11*$G$11^MIN((A152-$F$11)/12,6)*MIN($G$11,0.85)^MAX(0,(A152-$F$11)/12-6)))</f>
        <v/>
      </c>
      <c r="L152" s="306">
        <f>IF(A152&lt;$F$12,0,IF(AND($B$21=1,A152&gt;$B$19),0,$E$12*$G$12^MIN((A152-$F$12)/12,6)*MIN($G$12,0.85)^MAX(0,(A152-$F$12)/12-6)))</f>
        <v/>
      </c>
      <c r="M152" s="306">
        <f>IF(A152&lt;$F$13,0,IF(AND($B$21=1,A152&gt;$B$19),0,$E$13*$G$13^MIN((A152-$F$13)/12,6)*MIN($G$13,0.85)^MAX(0,(A152-$F$13)/12-6)))</f>
        <v/>
      </c>
      <c r="N152" s="306">
        <f>IF(A152&lt;$F$14,0,IF(AND($B$21=1,A152&gt;$B$19),0,$E$14*$G$14^MIN((A152-$F$14)/12,6)*MIN($G$14,0.85)^MAX(0,(A152-$F$14)/12-6)))</f>
        <v/>
      </c>
      <c r="O152" s="306">
        <f>SUM(F152:N152)</f>
        <v/>
      </c>
      <c r="P152" s="306">
        <f>O152/12</f>
        <v/>
      </c>
      <c r="Q152" s="306">
        <f>P152*$B$8</f>
        <v/>
      </c>
      <c r="R152" s="306">
        <f>P152*$B$9</f>
        <v/>
      </c>
      <c r="S152" s="306">
        <f>P152*$B$10</f>
        <v/>
      </c>
      <c r="T152" s="306">
        <f>P152-Q152-R152-S152-D152-E152</f>
        <v/>
      </c>
      <c r="U152" s="306">
        <f>MAX(0, T152 - $B$7*P152)</f>
        <v/>
      </c>
      <c r="V152" s="306">
        <f>T152-U152</f>
        <v/>
      </c>
      <c r="W152" s="306">
        <f>IF(A152=$F$6, $B$18*$B$16*$B$17/1000000, 0) + IF(A152=$F$7, $B$18*$B$16*$B$17/1000000, 0) + IF(A152=$F$8, $B$18*$B$16*$B$17/1000000, 0) + IF(A152=$F$9, $B$18*$B$16*$B$17/1000000, 0) + IF(A152=$F$10, $B$18*$B$16*$B$17/1000000, 0) + IF(A152=$F$11, $B$18*$B$16*$B$17/1000000, 0) + IF(A152=$F$12, $B$18*$B$16*$B$17/1000000, 0) + IF(A152=$F$13, $B$18*$B$16*$B$17/1000000, 0) + IF(A152=$F$14, $B$18*$B$16*$B$17/1000000, 0)</f>
        <v/>
      </c>
      <c r="X152" s="306">
        <f>V152-W152-C152</f>
        <v/>
      </c>
      <c r="Y152" s="306">
        <f>IF(AND(A152&lt;=$B$24, X152&gt;0), X152*$B$23, 0)</f>
        <v/>
      </c>
      <c r="Z152" s="306">
        <f>X152-Y152</f>
        <v/>
      </c>
      <c r="AA152" s="306">
        <f>IF(AND(A152=$B$19, $B$21=1), O152*$B$20, 0)</f>
        <v/>
      </c>
      <c r="AB152" s="306">
        <f>AB151+Z152+AA152</f>
        <v/>
      </c>
    </row>
    <row r="153">
      <c r="A153" s="306" t="n">
        <v>123</v>
      </c>
      <c r="B153" s="306">
        <f>CEILING(A153/12,1)</f>
        <v/>
      </c>
      <c r="C153" s="306">
        <f>IF(A153&lt;=12, $B$15/12, 0)</f>
        <v/>
      </c>
      <c r="D153" s="306">
        <f>INDEX('26. Team Comp'!$D$28:$R$28, B153) * 0.001 / 12</f>
        <v/>
      </c>
      <c r="E153" s="306">
        <f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+ (IF(MAX(0, A153 - $F$11 + 1)&lt;=0, 0, IF(MAX(0, A153 - $F$11 + 1)&lt;=6, 70 - (70-14)*(MAX(0, A153 - $F$11 + 1)-1)/5, IF(MAX(0, A153 - $F$11 + 1)&lt;=24, 14 - 14*(MAX(0, A153 - $F$11 + 1)-6)/18, 0)))) + (IF(MAX(0, A153 - $F$12 + 1)&lt;=0, 0, IF(MAX(0, A153 - $F$12 + 1)&lt;=6, 70 - (70-14)*(MAX(0, A153 - $F$12 + 1)-1)/5, IF(MAX(0, A153 - $F$12 + 1)&lt;=24, 14 - 14*(MAX(0, A153 - $F$12 + 1)-6)/18, 0)))) + (IF(MAX(0, A153 - $F$13 + 1)&lt;=0, 0, IF(MAX(0, A153 - $F$13 + 1)&lt;=6, 70 - (70-14)*(MAX(0, A153 - $F$13 + 1)-1)/5, IF(MAX(0, A153 - $F$13 + 1)&lt;=24, 14 - 14*(MAX(0, A153 - $F$13 + 1)-6)/18, 0)))) + (IF(MAX(0, A153 - $F$14 + 1)&lt;=0, 0, IF(MAX(0, A153 - $F$14 + 1)&lt;=6, 70 - (70-14)*(MAX(0, A153 - $F$14 + 1)-1)/5, IF(MAX(0, A153 - $F$14 + 1)&lt;=24, 14 - 14*(MAX(0, A153 - $F$14 + 1)-6)/18, 0)))) ) * 200 / 12 / 1000</f>
        <v/>
      </c>
      <c r="F153" s="306">
        <f>IF(A153&lt;$F$6,0,IF(AND($B$21=1,A153&gt;$B$19),0,$E$6*$G$6^MIN((A153-$F$6)/12,6)*MIN($G$6,0.85)^MAX(0,(A153-$F$6)/12-6)))</f>
        <v/>
      </c>
      <c r="G153" s="306">
        <f>IF(A153&lt;$F$7,0,IF(AND($B$21=1,A153&gt;$B$19),0,$E$7*$G$7^MIN((A153-$F$7)/12,6)*MIN($G$7,0.85)^MAX(0,(A153-$F$7)/12-6)))</f>
        <v/>
      </c>
      <c r="H153" s="306">
        <f>IF(A153&lt;$F$8,0,IF(AND($B$21=1,A153&gt;$B$19),0,$E$8*$G$8^MIN((A153-$F$8)/12,6)*MIN($G$8,0.85)^MAX(0,(A153-$F$8)/12-6)))</f>
        <v/>
      </c>
      <c r="I153" s="306">
        <f>IF(A153&lt;$F$9,0,IF(AND($B$21=1,A153&gt;$B$19),0,$E$9*$G$9^MIN((A153-$F$9)/12,6)*MIN($G$9,0.85)^MAX(0,(A153-$F$9)/12-6)))</f>
        <v/>
      </c>
      <c r="J153" s="306">
        <f>IF(A153&lt;$F$10,0,IF(AND($B$21=1,A153&gt;$B$19),0,$E$10*$G$10^MIN((A153-$F$10)/12,6)*MIN($G$10,0.85)^MAX(0,(A153-$F$10)/12-6)))</f>
        <v/>
      </c>
      <c r="K153" s="306">
        <f>IF(A153&lt;$F$11,0,IF(AND($B$21=1,A153&gt;$B$19),0,$E$11*$G$11^MIN((A153-$F$11)/12,6)*MIN($G$11,0.85)^MAX(0,(A153-$F$11)/12-6)))</f>
        <v/>
      </c>
      <c r="L153" s="306">
        <f>IF(A153&lt;$F$12,0,IF(AND($B$21=1,A153&gt;$B$19),0,$E$12*$G$12^MIN((A153-$F$12)/12,6)*MIN($G$12,0.85)^MAX(0,(A153-$F$12)/12-6)))</f>
        <v/>
      </c>
      <c r="M153" s="306">
        <f>IF(A153&lt;$F$13,0,IF(AND($B$21=1,A153&gt;$B$19),0,$E$13*$G$13^MIN((A153-$F$13)/12,6)*MIN($G$13,0.85)^MAX(0,(A153-$F$13)/12-6)))</f>
        <v/>
      </c>
      <c r="N153" s="306">
        <f>IF(A153&lt;$F$14,0,IF(AND($B$21=1,A153&gt;$B$19),0,$E$14*$G$14^MIN((A153-$F$14)/12,6)*MIN($G$14,0.85)^MAX(0,(A153-$F$14)/12-6)))</f>
        <v/>
      </c>
      <c r="O153" s="306">
        <f>SUM(F153:N153)</f>
        <v/>
      </c>
      <c r="P153" s="306">
        <f>O153/12</f>
        <v/>
      </c>
      <c r="Q153" s="306">
        <f>P153*$B$8</f>
        <v/>
      </c>
      <c r="R153" s="306">
        <f>P153*$B$9</f>
        <v/>
      </c>
      <c r="S153" s="306">
        <f>P153*$B$10</f>
        <v/>
      </c>
      <c r="T153" s="306">
        <f>P153-Q153-R153-S153-D153-E153</f>
        <v/>
      </c>
      <c r="U153" s="306">
        <f>MAX(0, T153 - $B$7*P153)</f>
        <v/>
      </c>
      <c r="V153" s="306">
        <f>T153-U153</f>
        <v/>
      </c>
      <c r="W153" s="306">
        <f>IF(A153=$F$6, $B$18*$B$16*$B$17/1000000, 0) + IF(A153=$F$7, $B$18*$B$16*$B$17/1000000, 0) + IF(A153=$F$8, $B$18*$B$16*$B$17/1000000, 0) + IF(A153=$F$9, $B$18*$B$16*$B$17/1000000, 0) + IF(A153=$F$10, $B$18*$B$16*$B$17/1000000, 0) + IF(A153=$F$11, $B$18*$B$16*$B$17/1000000, 0) + IF(A153=$F$12, $B$18*$B$16*$B$17/1000000, 0) + IF(A153=$F$13, $B$18*$B$16*$B$17/1000000, 0) + IF(A153=$F$14, $B$18*$B$16*$B$17/1000000, 0)</f>
        <v/>
      </c>
      <c r="X153" s="306">
        <f>V153-W153-C153</f>
        <v/>
      </c>
      <c r="Y153" s="306">
        <f>IF(AND(A153&lt;=$B$24, X153&gt;0), X153*$B$23, 0)</f>
        <v/>
      </c>
      <c r="Z153" s="306">
        <f>X153-Y153</f>
        <v/>
      </c>
      <c r="AA153" s="306">
        <f>IF(AND(A153=$B$19, $B$21=1), O153*$B$20, 0)</f>
        <v/>
      </c>
      <c r="AB153" s="306">
        <f>AB152+Z153+AA153</f>
        <v/>
      </c>
    </row>
    <row r="154">
      <c r="A154" s="306" t="n">
        <v>124</v>
      </c>
      <c r="B154" s="306">
        <f>CEILING(A154/12,1)</f>
        <v/>
      </c>
      <c r="C154" s="306">
        <f>IF(A154&lt;=12, $B$15/12, 0)</f>
        <v/>
      </c>
      <c r="D154" s="306">
        <f>INDEX('26. Team Comp'!$D$28:$R$28, B154) * 0.001 / 12</f>
        <v/>
      </c>
      <c r="E154" s="306">
        <f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+ (IF(MAX(0, A154 - $F$11 + 1)&lt;=0, 0, IF(MAX(0, A154 - $F$11 + 1)&lt;=6, 70 - (70-14)*(MAX(0, A154 - $F$11 + 1)-1)/5, IF(MAX(0, A154 - $F$11 + 1)&lt;=24, 14 - 14*(MAX(0, A154 - $F$11 + 1)-6)/18, 0)))) + (IF(MAX(0, A154 - $F$12 + 1)&lt;=0, 0, IF(MAX(0, A154 - $F$12 + 1)&lt;=6, 70 - (70-14)*(MAX(0, A154 - $F$12 + 1)-1)/5, IF(MAX(0, A154 - $F$12 + 1)&lt;=24, 14 - 14*(MAX(0, A154 - $F$12 + 1)-6)/18, 0)))) + (IF(MAX(0, A154 - $F$13 + 1)&lt;=0, 0, IF(MAX(0, A154 - $F$13 + 1)&lt;=6, 70 - (70-14)*(MAX(0, A154 - $F$13 + 1)-1)/5, IF(MAX(0, A154 - $F$13 + 1)&lt;=24, 14 - 14*(MAX(0, A154 - $F$13 + 1)-6)/18, 0)))) + (IF(MAX(0, A154 - $F$14 + 1)&lt;=0, 0, IF(MAX(0, A154 - $F$14 + 1)&lt;=6, 70 - (70-14)*(MAX(0, A154 - $F$14 + 1)-1)/5, IF(MAX(0, A154 - $F$14 + 1)&lt;=24, 14 - 14*(MAX(0, A154 - $F$14 + 1)-6)/18, 0)))) ) * 200 / 12 / 1000</f>
        <v/>
      </c>
      <c r="F154" s="306">
        <f>IF(A154&lt;$F$6,0,IF(AND($B$21=1,A154&gt;$B$19),0,$E$6*$G$6^MIN((A154-$F$6)/12,6)*MIN($G$6,0.85)^MAX(0,(A154-$F$6)/12-6)))</f>
        <v/>
      </c>
      <c r="G154" s="306">
        <f>IF(A154&lt;$F$7,0,IF(AND($B$21=1,A154&gt;$B$19),0,$E$7*$G$7^MIN((A154-$F$7)/12,6)*MIN($G$7,0.85)^MAX(0,(A154-$F$7)/12-6)))</f>
        <v/>
      </c>
      <c r="H154" s="306">
        <f>IF(A154&lt;$F$8,0,IF(AND($B$21=1,A154&gt;$B$19),0,$E$8*$G$8^MIN((A154-$F$8)/12,6)*MIN($G$8,0.85)^MAX(0,(A154-$F$8)/12-6)))</f>
        <v/>
      </c>
      <c r="I154" s="306">
        <f>IF(A154&lt;$F$9,0,IF(AND($B$21=1,A154&gt;$B$19),0,$E$9*$G$9^MIN((A154-$F$9)/12,6)*MIN($G$9,0.85)^MAX(0,(A154-$F$9)/12-6)))</f>
        <v/>
      </c>
      <c r="J154" s="306">
        <f>IF(A154&lt;$F$10,0,IF(AND($B$21=1,A154&gt;$B$19),0,$E$10*$G$10^MIN((A154-$F$10)/12,6)*MIN($G$10,0.85)^MAX(0,(A154-$F$10)/12-6)))</f>
        <v/>
      </c>
      <c r="K154" s="306">
        <f>IF(A154&lt;$F$11,0,IF(AND($B$21=1,A154&gt;$B$19),0,$E$11*$G$11^MIN((A154-$F$11)/12,6)*MIN($G$11,0.85)^MAX(0,(A154-$F$11)/12-6)))</f>
        <v/>
      </c>
      <c r="L154" s="306">
        <f>IF(A154&lt;$F$12,0,IF(AND($B$21=1,A154&gt;$B$19),0,$E$12*$G$12^MIN((A154-$F$12)/12,6)*MIN($G$12,0.85)^MAX(0,(A154-$F$12)/12-6)))</f>
        <v/>
      </c>
      <c r="M154" s="306">
        <f>IF(A154&lt;$F$13,0,IF(AND($B$21=1,A154&gt;$B$19),0,$E$13*$G$13^MIN((A154-$F$13)/12,6)*MIN($G$13,0.85)^MAX(0,(A154-$F$13)/12-6)))</f>
        <v/>
      </c>
      <c r="N154" s="306">
        <f>IF(A154&lt;$F$14,0,IF(AND($B$21=1,A154&gt;$B$19),0,$E$14*$G$14^MIN((A154-$F$14)/12,6)*MIN($G$14,0.85)^MAX(0,(A154-$F$14)/12-6)))</f>
        <v/>
      </c>
      <c r="O154" s="306">
        <f>SUM(F154:N154)</f>
        <v/>
      </c>
      <c r="P154" s="306">
        <f>O154/12</f>
        <v/>
      </c>
      <c r="Q154" s="306">
        <f>P154*$B$8</f>
        <v/>
      </c>
      <c r="R154" s="306">
        <f>P154*$B$9</f>
        <v/>
      </c>
      <c r="S154" s="306">
        <f>P154*$B$10</f>
        <v/>
      </c>
      <c r="T154" s="306">
        <f>P154-Q154-R154-S154-D154-E154</f>
        <v/>
      </c>
      <c r="U154" s="306">
        <f>MAX(0, T154 - $B$7*P154)</f>
        <v/>
      </c>
      <c r="V154" s="306">
        <f>T154-U154</f>
        <v/>
      </c>
      <c r="W154" s="306">
        <f>IF(A154=$F$6, $B$18*$B$16*$B$17/1000000, 0) + IF(A154=$F$7, $B$18*$B$16*$B$17/1000000, 0) + IF(A154=$F$8, $B$18*$B$16*$B$17/1000000, 0) + IF(A154=$F$9, $B$18*$B$16*$B$17/1000000, 0) + IF(A154=$F$10, $B$18*$B$16*$B$17/1000000, 0) + IF(A154=$F$11, $B$18*$B$16*$B$17/1000000, 0) + IF(A154=$F$12, $B$18*$B$16*$B$17/1000000, 0) + IF(A154=$F$13, $B$18*$B$16*$B$17/1000000, 0) + IF(A154=$F$14, $B$18*$B$16*$B$17/1000000, 0)</f>
        <v/>
      </c>
      <c r="X154" s="306">
        <f>V154-W154-C154</f>
        <v/>
      </c>
      <c r="Y154" s="306">
        <f>IF(AND(A154&lt;=$B$24, X154&gt;0), X154*$B$23, 0)</f>
        <v/>
      </c>
      <c r="Z154" s="306">
        <f>X154-Y154</f>
        <v/>
      </c>
      <c r="AA154" s="306">
        <f>IF(AND(A154=$B$19, $B$21=1), O154*$B$20, 0)</f>
        <v/>
      </c>
      <c r="AB154" s="306">
        <f>AB153+Z154+AA154</f>
        <v/>
      </c>
    </row>
    <row r="155">
      <c r="A155" s="306" t="n">
        <v>125</v>
      </c>
      <c r="B155" s="306">
        <f>CEILING(A155/12,1)</f>
        <v/>
      </c>
      <c r="C155" s="306">
        <f>IF(A155&lt;=12, $B$15/12, 0)</f>
        <v/>
      </c>
      <c r="D155" s="306">
        <f>INDEX('26. Team Comp'!$D$28:$R$28, B155) * 0.001 / 12</f>
        <v/>
      </c>
      <c r="E155" s="306">
        <f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+ (IF(MAX(0, A155 - $F$11 + 1)&lt;=0, 0, IF(MAX(0, A155 - $F$11 + 1)&lt;=6, 70 - (70-14)*(MAX(0, A155 - $F$11 + 1)-1)/5, IF(MAX(0, A155 - $F$11 + 1)&lt;=24, 14 - 14*(MAX(0, A155 - $F$11 + 1)-6)/18, 0)))) + (IF(MAX(0, A155 - $F$12 + 1)&lt;=0, 0, IF(MAX(0, A155 - $F$12 + 1)&lt;=6, 70 - (70-14)*(MAX(0, A155 - $F$12 + 1)-1)/5, IF(MAX(0, A155 - $F$12 + 1)&lt;=24, 14 - 14*(MAX(0, A155 - $F$12 + 1)-6)/18, 0)))) + (IF(MAX(0, A155 - $F$13 + 1)&lt;=0, 0, IF(MAX(0, A155 - $F$13 + 1)&lt;=6, 70 - (70-14)*(MAX(0, A155 - $F$13 + 1)-1)/5, IF(MAX(0, A155 - $F$13 + 1)&lt;=24, 14 - 14*(MAX(0, A155 - $F$13 + 1)-6)/18, 0)))) + (IF(MAX(0, A155 - $F$14 + 1)&lt;=0, 0, IF(MAX(0, A155 - $F$14 + 1)&lt;=6, 70 - (70-14)*(MAX(0, A155 - $F$14 + 1)-1)/5, IF(MAX(0, A155 - $F$14 + 1)&lt;=24, 14 - 14*(MAX(0, A155 - $F$14 + 1)-6)/18, 0)))) ) * 200 / 12 / 1000</f>
        <v/>
      </c>
      <c r="F155" s="306">
        <f>IF(A155&lt;$F$6,0,IF(AND($B$21=1,A155&gt;$B$19),0,$E$6*$G$6^MIN((A155-$F$6)/12,6)*MIN($G$6,0.85)^MAX(0,(A155-$F$6)/12-6)))</f>
        <v/>
      </c>
      <c r="G155" s="306">
        <f>IF(A155&lt;$F$7,0,IF(AND($B$21=1,A155&gt;$B$19),0,$E$7*$G$7^MIN((A155-$F$7)/12,6)*MIN($G$7,0.85)^MAX(0,(A155-$F$7)/12-6)))</f>
        <v/>
      </c>
      <c r="H155" s="306">
        <f>IF(A155&lt;$F$8,0,IF(AND($B$21=1,A155&gt;$B$19),0,$E$8*$G$8^MIN((A155-$F$8)/12,6)*MIN($G$8,0.85)^MAX(0,(A155-$F$8)/12-6)))</f>
        <v/>
      </c>
      <c r="I155" s="306">
        <f>IF(A155&lt;$F$9,0,IF(AND($B$21=1,A155&gt;$B$19),0,$E$9*$G$9^MIN((A155-$F$9)/12,6)*MIN($G$9,0.85)^MAX(0,(A155-$F$9)/12-6)))</f>
        <v/>
      </c>
      <c r="J155" s="306">
        <f>IF(A155&lt;$F$10,0,IF(AND($B$21=1,A155&gt;$B$19),0,$E$10*$G$10^MIN((A155-$F$10)/12,6)*MIN($G$10,0.85)^MAX(0,(A155-$F$10)/12-6)))</f>
        <v/>
      </c>
      <c r="K155" s="306">
        <f>IF(A155&lt;$F$11,0,IF(AND($B$21=1,A155&gt;$B$19),0,$E$11*$G$11^MIN((A155-$F$11)/12,6)*MIN($G$11,0.85)^MAX(0,(A155-$F$11)/12-6)))</f>
        <v/>
      </c>
      <c r="L155" s="306">
        <f>IF(A155&lt;$F$12,0,IF(AND($B$21=1,A155&gt;$B$19),0,$E$12*$G$12^MIN((A155-$F$12)/12,6)*MIN($G$12,0.85)^MAX(0,(A155-$F$12)/12-6)))</f>
        <v/>
      </c>
      <c r="M155" s="306">
        <f>IF(A155&lt;$F$13,0,IF(AND($B$21=1,A155&gt;$B$19),0,$E$13*$G$13^MIN((A155-$F$13)/12,6)*MIN($G$13,0.85)^MAX(0,(A155-$F$13)/12-6)))</f>
        <v/>
      </c>
      <c r="N155" s="306">
        <f>IF(A155&lt;$F$14,0,IF(AND($B$21=1,A155&gt;$B$19),0,$E$14*$G$14^MIN((A155-$F$14)/12,6)*MIN($G$14,0.85)^MAX(0,(A155-$F$14)/12-6)))</f>
        <v/>
      </c>
      <c r="O155" s="306">
        <f>SUM(F155:N155)</f>
        <v/>
      </c>
      <c r="P155" s="306">
        <f>O155/12</f>
        <v/>
      </c>
      <c r="Q155" s="306">
        <f>P155*$B$8</f>
        <v/>
      </c>
      <c r="R155" s="306">
        <f>P155*$B$9</f>
        <v/>
      </c>
      <c r="S155" s="306">
        <f>P155*$B$10</f>
        <v/>
      </c>
      <c r="T155" s="306">
        <f>P155-Q155-R155-S155-D155-E155</f>
        <v/>
      </c>
      <c r="U155" s="306">
        <f>MAX(0, T155 - $B$7*P155)</f>
        <v/>
      </c>
      <c r="V155" s="306">
        <f>T155-U155</f>
        <v/>
      </c>
      <c r="W155" s="306">
        <f>IF(A155=$F$6, $B$18*$B$16*$B$17/1000000, 0) + IF(A155=$F$7, $B$18*$B$16*$B$17/1000000, 0) + IF(A155=$F$8, $B$18*$B$16*$B$17/1000000, 0) + IF(A155=$F$9, $B$18*$B$16*$B$17/1000000, 0) + IF(A155=$F$10, $B$18*$B$16*$B$17/1000000, 0) + IF(A155=$F$11, $B$18*$B$16*$B$17/1000000, 0) + IF(A155=$F$12, $B$18*$B$16*$B$17/1000000, 0) + IF(A155=$F$13, $B$18*$B$16*$B$17/1000000, 0) + IF(A155=$F$14, $B$18*$B$16*$B$17/1000000, 0)</f>
        <v/>
      </c>
      <c r="X155" s="306">
        <f>V155-W155-C155</f>
        <v/>
      </c>
      <c r="Y155" s="306">
        <f>IF(AND(A155&lt;=$B$24, X155&gt;0), X155*$B$23, 0)</f>
        <v/>
      </c>
      <c r="Z155" s="306">
        <f>X155-Y155</f>
        <v/>
      </c>
      <c r="AA155" s="306">
        <f>IF(AND(A155=$B$19, $B$21=1), O155*$B$20, 0)</f>
        <v/>
      </c>
      <c r="AB155" s="306">
        <f>AB154+Z155+AA155</f>
        <v/>
      </c>
    </row>
    <row r="156">
      <c r="A156" s="306" t="n">
        <v>126</v>
      </c>
      <c r="B156" s="306">
        <f>CEILING(A156/12,1)</f>
        <v/>
      </c>
      <c r="C156" s="306">
        <f>IF(A156&lt;=12, $B$15/12, 0)</f>
        <v/>
      </c>
      <c r="D156" s="306">
        <f>INDEX('26. Team Comp'!$D$28:$R$28, B156) * 0.001 / 12</f>
        <v/>
      </c>
      <c r="E156" s="306">
        <f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+ (IF(MAX(0, A156 - $F$11 + 1)&lt;=0, 0, IF(MAX(0, A156 - $F$11 + 1)&lt;=6, 70 - (70-14)*(MAX(0, A156 - $F$11 + 1)-1)/5, IF(MAX(0, A156 - $F$11 + 1)&lt;=24, 14 - 14*(MAX(0, A156 - $F$11 + 1)-6)/18, 0)))) + (IF(MAX(0, A156 - $F$12 + 1)&lt;=0, 0, IF(MAX(0, A156 - $F$12 + 1)&lt;=6, 70 - (70-14)*(MAX(0, A156 - $F$12 + 1)-1)/5, IF(MAX(0, A156 - $F$12 + 1)&lt;=24, 14 - 14*(MAX(0, A156 - $F$12 + 1)-6)/18, 0)))) + (IF(MAX(0, A156 - $F$13 + 1)&lt;=0, 0, IF(MAX(0, A156 - $F$13 + 1)&lt;=6, 70 - (70-14)*(MAX(0, A156 - $F$13 + 1)-1)/5, IF(MAX(0, A156 - $F$13 + 1)&lt;=24, 14 - 14*(MAX(0, A156 - $F$13 + 1)-6)/18, 0)))) + (IF(MAX(0, A156 - $F$14 + 1)&lt;=0, 0, IF(MAX(0, A156 - $F$14 + 1)&lt;=6, 70 - (70-14)*(MAX(0, A156 - $F$14 + 1)-1)/5, IF(MAX(0, A156 - $F$14 + 1)&lt;=24, 14 - 14*(MAX(0, A156 - $F$14 + 1)-6)/18, 0)))) ) * 200 / 12 / 1000</f>
        <v/>
      </c>
      <c r="F156" s="306">
        <f>IF(A156&lt;$F$6,0,IF(AND($B$21=1,A156&gt;$B$19),0,$E$6*$G$6^MIN((A156-$F$6)/12,6)*MIN($G$6,0.85)^MAX(0,(A156-$F$6)/12-6)))</f>
        <v/>
      </c>
      <c r="G156" s="306">
        <f>IF(A156&lt;$F$7,0,IF(AND($B$21=1,A156&gt;$B$19),0,$E$7*$G$7^MIN((A156-$F$7)/12,6)*MIN($G$7,0.85)^MAX(0,(A156-$F$7)/12-6)))</f>
        <v/>
      </c>
      <c r="H156" s="306">
        <f>IF(A156&lt;$F$8,0,IF(AND($B$21=1,A156&gt;$B$19),0,$E$8*$G$8^MIN((A156-$F$8)/12,6)*MIN($G$8,0.85)^MAX(0,(A156-$F$8)/12-6)))</f>
        <v/>
      </c>
      <c r="I156" s="306">
        <f>IF(A156&lt;$F$9,0,IF(AND($B$21=1,A156&gt;$B$19),0,$E$9*$G$9^MIN((A156-$F$9)/12,6)*MIN($G$9,0.85)^MAX(0,(A156-$F$9)/12-6)))</f>
        <v/>
      </c>
      <c r="J156" s="306">
        <f>IF(A156&lt;$F$10,0,IF(AND($B$21=1,A156&gt;$B$19),0,$E$10*$G$10^MIN((A156-$F$10)/12,6)*MIN($G$10,0.85)^MAX(0,(A156-$F$10)/12-6)))</f>
        <v/>
      </c>
      <c r="K156" s="306">
        <f>IF(A156&lt;$F$11,0,IF(AND($B$21=1,A156&gt;$B$19),0,$E$11*$G$11^MIN((A156-$F$11)/12,6)*MIN($G$11,0.85)^MAX(0,(A156-$F$11)/12-6)))</f>
        <v/>
      </c>
      <c r="L156" s="306">
        <f>IF(A156&lt;$F$12,0,IF(AND($B$21=1,A156&gt;$B$19),0,$E$12*$G$12^MIN((A156-$F$12)/12,6)*MIN($G$12,0.85)^MAX(0,(A156-$F$12)/12-6)))</f>
        <v/>
      </c>
      <c r="M156" s="306">
        <f>IF(A156&lt;$F$13,0,IF(AND($B$21=1,A156&gt;$B$19),0,$E$13*$G$13^MIN((A156-$F$13)/12,6)*MIN($G$13,0.85)^MAX(0,(A156-$F$13)/12-6)))</f>
        <v/>
      </c>
      <c r="N156" s="306">
        <f>IF(A156&lt;$F$14,0,IF(AND($B$21=1,A156&gt;$B$19),0,$E$14*$G$14^MIN((A156-$F$14)/12,6)*MIN($G$14,0.85)^MAX(0,(A156-$F$14)/12-6)))</f>
        <v/>
      </c>
      <c r="O156" s="306">
        <f>SUM(F156:N156)</f>
        <v/>
      </c>
      <c r="P156" s="306">
        <f>O156/12</f>
        <v/>
      </c>
      <c r="Q156" s="306">
        <f>P156*$B$8</f>
        <v/>
      </c>
      <c r="R156" s="306">
        <f>P156*$B$9</f>
        <v/>
      </c>
      <c r="S156" s="306">
        <f>P156*$B$10</f>
        <v/>
      </c>
      <c r="T156" s="306">
        <f>P156-Q156-R156-S156-D156-E156</f>
        <v/>
      </c>
      <c r="U156" s="306">
        <f>MAX(0, T156 - $B$7*P156)</f>
        <v/>
      </c>
      <c r="V156" s="306">
        <f>T156-U156</f>
        <v/>
      </c>
      <c r="W156" s="306">
        <f>IF(A156=$F$6, $B$18*$B$16*$B$17/1000000, 0) + IF(A156=$F$7, $B$18*$B$16*$B$17/1000000, 0) + IF(A156=$F$8, $B$18*$B$16*$B$17/1000000, 0) + IF(A156=$F$9, $B$18*$B$16*$B$17/1000000, 0) + IF(A156=$F$10, $B$18*$B$16*$B$17/1000000, 0) + IF(A156=$F$11, $B$18*$B$16*$B$17/1000000, 0) + IF(A156=$F$12, $B$18*$B$16*$B$17/1000000, 0) + IF(A156=$F$13, $B$18*$B$16*$B$17/1000000, 0) + IF(A156=$F$14, $B$18*$B$16*$B$17/1000000, 0)</f>
        <v/>
      </c>
      <c r="X156" s="306">
        <f>V156-W156-C156</f>
        <v/>
      </c>
      <c r="Y156" s="306">
        <f>IF(AND(A156&lt;=$B$24, X156&gt;0), X156*$B$23, 0)</f>
        <v/>
      </c>
      <c r="Z156" s="306">
        <f>X156-Y156</f>
        <v/>
      </c>
      <c r="AA156" s="306">
        <f>IF(AND(A156=$B$19, $B$21=1), O156*$B$20, 0)</f>
        <v/>
      </c>
      <c r="AB156" s="306">
        <f>AB155+Z156+AA156</f>
        <v/>
      </c>
    </row>
    <row r="157">
      <c r="A157" s="306" t="n">
        <v>127</v>
      </c>
      <c r="B157" s="306">
        <f>CEILING(A157/12,1)</f>
        <v/>
      </c>
      <c r="C157" s="306">
        <f>IF(A157&lt;=12, $B$15/12, 0)</f>
        <v/>
      </c>
      <c r="D157" s="306">
        <f>INDEX('26. Team Comp'!$D$28:$R$28, B157) * 0.001 / 12</f>
        <v/>
      </c>
      <c r="E157" s="306">
        <f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+ (IF(MAX(0, A157 - $F$11 + 1)&lt;=0, 0, IF(MAX(0, A157 - $F$11 + 1)&lt;=6, 70 - (70-14)*(MAX(0, A157 - $F$11 + 1)-1)/5, IF(MAX(0, A157 - $F$11 + 1)&lt;=24, 14 - 14*(MAX(0, A157 - $F$11 + 1)-6)/18, 0)))) + (IF(MAX(0, A157 - $F$12 + 1)&lt;=0, 0, IF(MAX(0, A157 - $F$12 + 1)&lt;=6, 70 - (70-14)*(MAX(0, A157 - $F$12 + 1)-1)/5, IF(MAX(0, A157 - $F$12 + 1)&lt;=24, 14 - 14*(MAX(0, A157 - $F$12 + 1)-6)/18, 0)))) + (IF(MAX(0, A157 - $F$13 + 1)&lt;=0, 0, IF(MAX(0, A157 - $F$13 + 1)&lt;=6, 70 - (70-14)*(MAX(0, A157 - $F$13 + 1)-1)/5, IF(MAX(0, A157 - $F$13 + 1)&lt;=24, 14 - 14*(MAX(0, A157 - $F$13 + 1)-6)/18, 0)))) + (IF(MAX(0, A157 - $F$14 + 1)&lt;=0, 0, IF(MAX(0, A157 - $F$14 + 1)&lt;=6, 70 - (70-14)*(MAX(0, A157 - $F$14 + 1)-1)/5, IF(MAX(0, A157 - $F$14 + 1)&lt;=24, 14 - 14*(MAX(0, A157 - $F$14 + 1)-6)/18, 0)))) ) * 200 / 12 / 1000</f>
        <v/>
      </c>
      <c r="F157" s="306">
        <f>IF(A157&lt;$F$6,0,IF(AND($B$21=1,A157&gt;$B$19),0,$E$6*$G$6^MIN((A157-$F$6)/12,6)*MIN($G$6,0.85)^MAX(0,(A157-$F$6)/12-6)))</f>
        <v/>
      </c>
      <c r="G157" s="306">
        <f>IF(A157&lt;$F$7,0,IF(AND($B$21=1,A157&gt;$B$19),0,$E$7*$G$7^MIN((A157-$F$7)/12,6)*MIN($G$7,0.85)^MAX(0,(A157-$F$7)/12-6)))</f>
        <v/>
      </c>
      <c r="H157" s="306">
        <f>IF(A157&lt;$F$8,0,IF(AND($B$21=1,A157&gt;$B$19),0,$E$8*$G$8^MIN((A157-$F$8)/12,6)*MIN($G$8,0.85)^MAX(0,(A157-$F$8)/12-6)))</f>
        <v/>
      </c>
      <c r="I157" s="306">
        <f>IF(A157&lt;$F$9,0,IF(AND($B$21=1,A157&gt;$B$19),0,$E$9*$G$9^MIN((A157-$F$9)/12,6)*MIN($G$9,0.85)^MAX(0,(A157-$F$9)/12-6)))</f>
        <v/>
      </c>
      <c r="J157" s="306">
        <f>IF(A157&lt;$F$10,0,IF(AND($B$21=1,A157&gt;$B$19),0,$E$10*$G$10^MIN((A157-$F$10)/12,6)*MIN($G$10,0.85)^MAX(0,(A157-$F$10)/12-6)))</f>
        <v/>
      </c>
      <c r="K157" s="306">
        <f>IF(A157&lt;$F$11,0,IF(AND($B$21=1,A157&gt;$B$19),0,$E$11*$G$11^MIN((A157-$F$11)/12,6)*MIN($G$11,0.85)^MAX(0,(A157-$F$11)/12-6)))</f>
        <v/>
      </c>
      <c r="L157" s="306">
        <f>IF(A157&lt;$F$12,0,IF(AND($B$21=1,A157&gt;$B$19),0,$E$12*$G$12^MIN((A157-$F$12)/12,6)*MIN($G$12,0.85)^MAX(0,(A157-$F$12)/12-6)))</f>
        <v/>
      </c>
      <c r="M157" s="306">
        <f>IF(A157&lt;$F$13,0,IF(AND($B$21=1,A157&gt;$B$19),0,$E$13*$G$13^MIN((A157-$F$13)/12,6)*MIN($G$13,0.85)^MAX(0,(A157-$F$13)/12-6)))</f>
        <v/>
      </c>
      <c r="N157" s="306">
        <f>IF(A157&lt;$F$14,0,IF(AND($B$21=1,A157&gt;$B$19),0,$E$14*$G$14^MIN((A157-$F$14)/12,6)*MIN($G$14,0.85)^MAX(0,(A157-$F$14)/12-6)))</f>
        <v/>
      </c>
      <c r="O157" s="306">
        <f>SUM(F157:N157)</f>
        <v/>
      </c>
      <c r="P157" s="306">
        <f>O157/12</f>
        <v/>
      </c>
      <c r="Q157" s="306">
        <f>P157*$B$8</f>
        <v/>
      </c>
      <c r="R157" s="306">
        <f>P157*$B$9</f>
        <v/>
      </c>
      <c r="S157" s="306">
        <f>P157*$B$10</f>
        <v/>
      </c>
      <c r="T157" s="306">
        <f>P157-Q157-R157-S157-D157-E157</f>
        <v/>
      </c>
      <c r="U157" s="306">
        <f>MAX(0, T157 - $B$7*P157)</f>
        <v/>
      </c>
      <c r="V157" s="306">
        <f>T157-U157</f>
        <v/>
      </c>
      <c r="W157" s="306">
        <f>IF(A157=$F$6, $B$18*$B$16*$B$17/1000000, 0) + IF(A157=$F$7, $B$18*$B$16*$B$17/1000000, 0) + IF(A157=$F$8, $B$18*$B$16*$B$17/1000000, 0) + IF(A157=$F$9, $B$18*$B$16*$B$17/1000000, 0) + IF(A157=$F$10, $B$18*$B$16*$B$17/1000000, 0) + IF(A157=$F$11, $B$18*$B$16*$B$17/1000000, 0) + IF(A157=$F$12, $B$18*$B$16*$B$17/1000000, 0) + IF(A157=$F$13, $B$18*$B$16*$B$17/1000000, 0) + IF(A157=$F$14, $B$18*$B$16*$B$17/1000000, 0)</f>
        <v/>
      </c>
      <c r="X157" s="306">
        <f>V157-W157-C157</f>
        <v/>
      </c>
      <c r="Y157" s="306">
        <f>IF(AND(A157&lt;=$B$24, X157&gt;0), X157*$B$23, 0)</f>
        <v/>
      </c>
      <c r="Z157" s="306">
        <f>X157-Y157</f>
        <v/>
      </c>
      <c r="AA157" s="306">
        <f>IF(AND(A157=$B$19, $B$21=1), O157*$B$20, 0)</f>
        <v/>
      </c>
      <c r="AB157" s="306">
        <f>AB156+Z157+AA157</f>
        <v/>
      </c>
    </row>
    <row r="158">
      <c r="A158" s="306" t="n">
        <v>128</v>
      </c>
      <c r="B158" s="306">
        <f>CEILING(A158/12,1)</f>
        <v/>
      </c>
      <c r="C158" s="306">
        <f>IF(A158&lt;=12, $B$15/12, 0)</f>
        <v/>
      </c>
      <c r="D158" s="306">
        <f>INDEX('26. Team Comp'!$D$28:$R$28, B158) * 0.001 / 12</f>
        <v/>
      </c>
      <c r="E158" s="306">
        <f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+ (IF(MAX(0, A158 - $F$11 + 1)&lt;=0, 0, IF(MAX(0, A158 - $F$11 + 1)&lt;=6, 70 - (70-14)*(MAX(0, A158 - $F$11 + 1)-1)/5, IF(MAX(0, A158 - $F$11 + 1)&lt;=24, 14 - 14*(MAX(0, A158 - $F$11 + 1)-6)/18, 0)))) + (IF(MAX(0, A158 - $F$12 + 1)&lt;=0, 0, IF(MAX(0, A158 - $F$12 + 1)&lt;=6, 70 - (70-14)*(MAX(0, A158 - $F$12 + 1)-1)/5, IF(MAX(0, A158 - $F$12 + 1)&lt;=24, 14 - 14*(MAX(0, A158 - $F$12 + 1)-6)/18, 0)))) + (IF(MAX(0, A158 - $F$13 + 1)&lt;=0, 0, IF(MAX(0, A158 - $F$13 + 1)&lt;=6, 70 - (70-14)*(MAX(0, A158 - $F$13 + 1)-1)/5, IF(MAX(0, A158 - $F$13 + 1)&lt;=24, 14 - 14*(MAX(0, A158 - $F$13 + 1)-6)/18, 0)))) + (IF(MAX(0, A158 - $F$14 + 1)&lt;=0, 0, IF(MAX(0, A158 - $F$14 + 1)&lt;=6, 70 - (70-14)*(MAX(0, A158 - $F$14 + 1)-1)/5, IF(MAX(0, A158 - $F$14 + 1)&lt;=24, 14 - 14*(MAX(0, A158 - $F$14 + 1)-6)/18, 0)))) ) * 200 / 12 / 1000</f>
        <v/>
      </c>
      <c r="F158" s="306">
        <f>IF(A158&lt;$F$6,0,IF(AND($B$21=1,A158&gt;$B$19),0,$E$6*$G$6^MIN((A158-$F$6)/12,6)*MIN($G$6,0.85)^MAX(0,(A158-$F$6)/12-6)))</f>
        <v/>
      </c>
      <c r="G158" s="306">
        <f>IF(A158&lt;$F$7,0,IF(AND($B$21=1,A158&gt;$B$19),0,$E$7*$G$7^MIN((A158-$F$7)/12,6)*MIN($G$7,0.85)^MAX(0,(A158-$F$7)/12-6)))</f>
        <v/>
      </c>
      <c r="H158" s="306">
        <f>IF(A158&lt;$F$8,0,IF(AND($B$21=1,A158&gt;$B$19),0,$E$8*$G$8^MIN((A158-$F$8)/12,6)*MIN($G$8,0.85)^MAX(0,(A158-$F$8)/12-6)))</f>
        <v/>
      </c>
      <c r="I158" s="306">
        <f>IF(A158&lt;$F$9,0,IF(AND($B$21=1,A158&gt;$B$19),0,$E$9*$G$9^MIN((A158-$F$9)/12,6)*MIN($G$9,0.85)^MAX(0,(A158-$F$9)/12-6)))</f>
        <v/>
      </c>
      <c r="J158" s="306">
        <f>IF(A158&lt;$F$10,0,IF(AND($B$21=1,A158&gt;$B$19),0,$E$10*$G$10^MIN((A158-$F$10)/12,6)*MIN($G$10,0.85)^MAX(0,(A158-$F$10)/12-6)))</f>
        <v/>
      </c>
      <c r="K158" s="306">
        <f>IF(A158&lt;$F$11,0,IF(AND($B$21=1,A158&gt;$B$19),0,$E$11*$G$11^MIN((A158-$F$11)/12,6)*MIN($G$11,0.85)^MAX(0,(A158-$F$11)/12-6)))</f>
        <v/>
      </c>
      <c r="L158" s="306">
        <f>IF(A158&lt;$F$12,0,IF(AND($B$21=1,A158&gt;$B$19),0,$E$12*$G$12^MIN((A158-$F$12)/12,6)*MIN($G$12,0.85)^MAX(0,(A158-$F$12)/12-6)))</f>
        <v/>
      </c>
      <c r="M158" s="306">
        <f>IF(A158&lt;$F$13,0,IF(AND($B$21=1,A158&gt;$B$19),0,$E$13*$G$13^MIN((A158-$F$13)/12,6)*MIN($G$13,0.85)^MAX(0,(A158-$F$13)/12-6)))</f>
        <v/>
      </c>
      <c r="N158" s="306">
        <f>IF(A158&lt;$F$14,0,IF(AND($B$21=1,A158&gt;$B$19),0,$E$14*$G$14^MIN((A158-$F$14)/12,6)*MIN($G$14,0.85)^MAX(0,(A158-$F$14)/12-6)))</f>
        <v/>
      </c>
      <c r="O158" s="306">
        <f>SUM(F158:N158)</f>
        <v/>
      </c>
      <c r="P158" s="306">
        <f>O158/12</f>
        <v/>
      </c>
      <c r="Q158" s="306">
        <f>P158*$B$8</f>
        <v/>
      </c>
      <c r="R158" s="306">
        <f>P158*$B$9</f>
        <v/>
      </c>
      <c r="S158" s="306">
        <f>P158*$B$10</f>
        <v/>
      </c>
      <c r="T158" s="306">
        <f>P158-Q158-R158-S158-D158-E158</f>
        <v/>
      </c>
      <c r="U158" s="306">
        <f>MAX(0, T158 - $B$7*P158)</f>
        <v/>
      </c>
      <c r="V158" s="306">
        <f>T158-U158</f>
        <v/>
      </c>
      <c r="W158" s="306">
        <f>IF(A158=$F$6, $B$18*$B$16*$B$17/1000000, 0) + IF(A158=$F$7, $B$18*$B$16*$B$17/1000000, 0) + IF(A158=$F$8, $B$18*$B$16*$B$17/1000000, 0) + IF(A158=$F$9, $B$18*$B$16*$B$17/1000000, 0) + IF(A158=$F$10, $B$18*$B$16*$B$17/1000000, 0) + IF(A158=$F$11, $B$18*$B$16*$B$17/1000000, 0) + IF(A158=$F$12, $B$18*$B$16*$B$17/1000000, 0) + IF(A158=$F$13, $B$18*$B$16*$B$17/1000000, 0) + IF(A158=$F$14, $B$18*$B$16*$B$17/1000000, 0)</f>
        <v/>
      </c>
      <c r="X158" s="306">
        <f>V158-W158-C158</f>
        <v/>
      </c>
      <c r="Y158" s="306">
        <f>IF(AND(A158&lt;=$B$24, X158&gt;0), X158*$B$23, 0)</f>
        <v/>
      </c>
      <c r="Z158" s="306">
        <f>X158-Y158</f>
        <v/>
      </c>
      <c r="AA158" s="306">
        <f>IF(AND(A158=$B$19, $B$21=1), O158*$B$20, 0)</f>
        <v/>
      </c>
      <c r="AB158" s="306">
        <f>AB157+Z158+AA158</f>
        <v/>
      </c>
    </row>
    <row r="159">
      <c r="A159" s="306" t="n">
        <v>129</v>
      </c>
      <c r="B159" s="306">
        <f>CEILING(A159/12,1)</f>
        <v/>
      </c>
      <c r="C159" s="306">
        <f>IF(A159&lt;=12, $B$15/12, 0)</f>
        <v/>
      </c>
      <c r="D159" s="306">
        <f>INDEX('26. Team Comp'!$D$28:$R$28, B159) * 0.001 / 12</f>
        <v/>
      </c>
      <c r="E159" s="306">
        <f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+ (IF(MAX(0, A159 - $F$11 + 1)&lt;=0, 0, IF(MAX(0, A159 - $F$11 + 1)&lt;=6, 70 - (70-14)*(MAX(0, A159 - $F$11 + 1)-1)/5, IF(MAX(0, A159 - $F$11 + 1)&lt;=24, 14 - 14*(MAX(0, A159 - $F$11 + 1)-6)/18, 0)))) + (IF(MAX(0, A159 - $F$12 + 1)&lt;=0, 0, IF(MAX(0, A159 - $F$12 + 1)&lt;=6, 70 - (70-14)*(MAX(0, A159 - $F$12 + 1)-1)/5, IF(MAX(0, A159 - $F$12 + 1)&lt;=24, 14 - 14*(MAX(0, A159 - $F$12 + 1)-6)/18, 0)))) + (IF(MAX(0, A159 - $F$13 + 1)&lt;=0, 0, IF(MAX(0, A159 - $F$13 + 1)&lt;=6, 70 - (70-14)*(MAX(0, A159 - $F$13 + 1)-1)/5, IF(MAX(0, A159 - $F$13 + 1)&lt;=24, 14 - 14*(MAX(0, A159 - $F$13 + 1)-6)/18, 0)))) + (IF(MAX(0, A159 - $F$14 + 1)&lt;=0, 0, IF(MAX(0, A159 - $F$14 + 1)&lt;=6, 70 - (70-14)*(MAX(0, A159 - $F$14 + 1)-1)/5, IF(MAX(0, A159 - $F$14 + 1)&lt;=24, 14 - 14*(MAX(0, A159 - $F$14 + 1)-6)/18, 0)))) ) * 200 / 12 / 1000</f>
        <v/>
      </c>
      <c r="F159" s="306">
        <f>IF(A159&lt;$F$6,0,IF(AND($B$21=1,A159&gt;$B$19),0,$E$6*$G$6^MIN((A159-$F$6)/12,6)*MIN($G$6,0.85)^MAX(0,(A159-$F$6)/12-6)))</f>
        <v/>
      </c>
      <c r="G159" s="306">
        <f>IF(A159&lt;$F$7,0,IF(AND($B$21=1,A159&gt;$B$19),0,$E$7*$G$7^MIN((A159-$F$7)/12,6)*MIN($G$7,0.85)^MAX(0,(A159-$F$7)/12-6)))</f>
        <v/>
      </c>
      <c r="H159" s="306">
        <f>IF(A159&lt;$F$8,0,IF(AND($B$21=1,A159&gt;$B$19),0,$E$8*$G$8^MIN((A159-$F$8)/12,6)*MIN($G$8,0.85)^MAX(0,(A159-$F$8)/12-6)))</f>
        <v/>
      </c>
      <c r="I159" s="306">
        <f>IF(A159&lt;$F$9,0,IF(AND($B$21=1,A159&gt;$B$19),0,$E$9*$G$9^MIN((A159-$F$9)/12,6)*MIN($G$9,0.85)^MAX(0,(A159-$F$9)/12-6)))</f>
        <v/>
      </c>
      <c r="J159" s="306">
        <f>IF(A159&lt;$F$10,0,IF(AND($B$21=1,A159&gt;$B$19),0,$E$10*$G$10^MIN((A159-$F$10)/12,6)*MIN($G$10,0.85)^MAX(0,(A159-$F$10)/12-6)))</f>
        <v/>
      </c>
      <c r="K159" s="306">
        <f>IF(A159&lt;$F$11,0,IF(AND($B$21=1,A159&gt;$B$19),0,$E$11*$G$11^MIN((A159-$F$11)/12,6)*MIN($G$11,0.85)^MAX(0,(A159-$F$11)/12-6)))</f>
        <v/>
      </c>
      <c r="L159" s="306">
        <f>IF(A159&lt;$F$12,0,IF(AND($B$21=1,A159&gt;$B$19),0,$E$12*$G$12^MIN((A159-$F$12)/12,6)*MIN($G$12,0.85)^MAX(0,(A159-$F$12)/12-6)))</f>
        <v/>
      </c>
      <c r="M159" s="306">
        <f>IF(A159&lt;$F$13,0,IF(AND($B$21=1,A159&gt;$B$19),0,$E$13*$G$13^MIN((A159-$F$13)/12,6)*MIN($G$13,0.85)^MAX(0,(A159-$F$13)/12-6)))</f>
        <v/>
      </c>
      <c r="N159" s="306">
        <f>IF(A159&lt;$F$14,0,IF(AND($B$21=1,A159&gt;$B$19),0,$E$14*$G$14^MIN((A159-$F$14)/12,6)*MIN($G$14,0.85)^MAX(0,(A159-$F$14)/12-6)))</f>
        <v/>
      </c>
      <c r="O159" s="306">
        <f>SUM(F159:N159)</f>
        <v/>
      </c>
      <c r="P159" s="306">
        <f>O159/12</f>
        <v/>
      </c>
      <c r="Q159" s="306">
        <f>P159*$B$8</f>
        <v/>
      </c>
      <c r="R159" s="306">
        <f>P159*$B$9</f>
        <v/>
      </c>
      <c r="S159" s="306">
        <f>P159*$B$10</f>
        <v/>
      </c>
      <c r="T159" s="306">
        <f>P159-Q159-R159-S159-D159-E159</f>
        <v/>
      </c>
      <c r="U159" s="306">
        <f>MAX(0, T159 - $B$7*P159)</f>
        <v/>
      </c>
      <c r="V159" s="306">
        <f>T159-U159</f>
        <v/>
      </c>
      <c r="W159" s="306">
        <f>IF(A159=$F$6, $B$18*$B$16*$B$17/1000000, 0) + IF(A159=$F$7, $B$18*$B$16*$B$17/1000000, 0) + IF(A159=$F$8, $B$18*$B$16*$B$17/1000000, 0) + IF(A159=$F$9, $B$18*$B$16*$B$17/1000000, 0) + IF(A159=$F$10, $B$18*$B$16*$B$17/1000000, 0) + IF(A159=$F$11, $B$18*$B$16*$B$17/1000000, 0) + IF(A159=$F$12, $B$18*$B$16*$B$17/1000000, 0) + IF(A159=$F$13, $B$18*$B$16*$B$17/1000000, 0) + IF(A159=$F$14, $B$18*$B$16*$B$17/1000000, 0)</f>
        <v/>
      </c>
      <c r="X159" s="306">
        <f>V159-W159-C159</f>
        <v/>
      </c>
      <c r="Y159" s="306">
        <f>IF(AND(A159&lt;=$B$24, X159&gt;0), X159*$B$23, 0)</f>
        <v/>
      </c>
      <c r="Z159" s="306">
        <f>X159-Y159</f>
        <v/>
      </c>
      <c r="AA159" s="306">
        <f>IF(AND(A159=$B$19, $B$21=1), O159*$B$20, 0)</f>
        <v/>
      </c>
      <c r="AB159" s="306">
        <f>AB158+Z159+AA159</f>
        <v/>
      </c>
    </row>
    <row r="160">
      <c r="A160" s="306" t="n">
        <v>130</v>
      </c>
      <c r="B160" s="306">
        <f>CEILING(A160/12,1)</f>
        <v/>
      </c>
      <c r="C160" s="306">
        <f>IF(A160&lt;=12, $B$15/12, 0)</f>
        <v/>
      </c>
      <c r="D160" s="306">
        <f>INDEX('26. Team Comp'!$D$28:$R$28, B160) * 0.001 / 12</f>
        <v/>
      </c>
      <c r="E160" s="306">
        <f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+ (IF(MAX(0, A160 - $F$11 + 1)&lt;=0, 0, IF(MAX(0, A160 - $F$11 + 1)&lt;=6, 70 - (70-14)*(MAX(0, A160 - $F$11 + 1)-1)/5, IF(MAX(0, A160 - $F$11 + 1)&lt;=24, 14 - 14*(MAX(0, A160 - $F$11 + 1)-6)/18, 0)))) + (IF(MAX(0, A160 - $F$12 + 1)&lt;=0, 0, IF(MAX(0, A160 - $F$12 + 1)&lt;=6, 70 - (70-14)*(MAX(0, A160 - $F$12 + 1)-1)/5, IF(MAX(0, A160 - $F$12 + 1)&lt;=24, 14 - 14*(MAX(0, A160 - $F$12 + 1)-6)/18, 0)))) + (IF(MAX(0, A160 - $F$13 + 1)&lt;=0, 0, IF(MAX(0, A160 - $F$13 + 1)&lt;=6, 70 - (70-14)*(MAX(0, A160 - $F$13 + 1)-1)/5, IF(MAX(0, A160 - $F$13 + 1)&lt;=24, 14 - 14*(MAX(0, A160 - $F$13 + 1)-6)/18, 0)))) + (IF(MAX(0, A160 - $F$14 + 1)&lt;=0, 0, IF(MAX(0, A160 - $F$14 + 1)&lt;=6, 70 - (70-14)*(MAX(0, A160 - $F$14 + 1)-1)/5, IF(MAX(0, A160 - $F$14 + 1)&lt;=24, 14 - 14*(MAX(0, A160 - $F$14 + 1)-6)/18, 0)))) ) * 200 / 12 / 1000</f>
        <v/>
      </c>
      <c r="F160" s="306">
        <f>IF(A160&lt;$F$6,0,IF(AND($B$21=1,A160&gt;$B$19),0,$E$6*$G$6^MIN((A160-$F$6)/12,6)*MIN($G$6,0.85)^MAX(0,(A160-$F$6)/12-6)))</f>
        <v/>
      </c>
      <c r="G160" s="306">
        <f>IF(A160&lt;$F$7,0,IF(AND($B$21=1,A160&gt;$B$19),0,$E$7*$G$7^MIN((A160-$F$7)/12,6)*MIN($G$7,0.85)^MAX(0,(A160-$F$7)/12-6)))</f>
        <v/>
      </c>
      <c r="H160" s="306">
        <f>IF(A160&lt;$F$8,0,IF(AND($B$21=1,A160&gt;$B$19),0,$E$8*$G$8^MIN((A160-$F$8)/12,6)*MIN($G$8,0.85)^MAX(0,(A160-$F$8)/12-6)))</f>
        <v/>
      </c>
      <c r="I160" s="306">
        <f>IF(A160&lt;$F$9,0,IF(AND($B$21=1,A160&gt;$B$19),0,$E$9*$G$9^MIN((A160-$F$9)/12,6)*MIN($G$9,0.85)^MAX(0,(A160-$F$9)/12-6)))</f>
        <v/>
      </c>
      <c r="J160" s="306">
        <f>IF(A160&lt;$F$10,0,IF(AND($B$21=1,A160&gt;$B$19),0,$E$10*$G$10^MIN((A160-$F$10)/12,6)*MIN($G$10,0.85)^MAX(0,(A160-$F$10)/12-6)))</f>
        <v/>
      </c>
      <c r="K160" s="306">
        <f>IF(A160&lt;$F$11,0,IF(AND($B$21=1,A160&gt;$B$19),0,$E$11*$G$11^MIN((A160-$F$11)/12,6)*MIN($G$11,0.85)^MAX(0,(A160-$F$11)/12-6)))</f>
        <v/>
      </c>
      <c r="L160" s="306">
        <f>IF(A160&lt;$F$12,0,IF(AND($B$21=1,A160&gt;$B$19),0,$E$12*$G$12^MIN((A160-$F$12)/12,6)*MIN($G$12,0.85)^MAX(0,(A160-$F$12)/12-6)))</f>
        <v/>
      </c>
      <c r="M160" s="306">
        <f>IF(A160&lt;$F$13,0,IF(AND($B$21=1,A160&gt;$B$19),0,$E$13*$G$13^MIN((A160-$F$13)/12,6)*MIN($G$13,0.85)^MAX(0,(A160-$F$13)/12-6)))</f>
        <v/>
      </c>
      <c r="N160" s="306">
        <f>IF(A160&lt;$F$14,0,IF(AND($B$21=1,A160&gt;$B$19),0,$E$14*$G$14^MIN((A160-$F$14)/12,6)*MIN($G$14,0.85)^MAX(0,(A160-$F$14)/12-6)))</f>
        <v/>
      </c>
      <c r="O160" s="306">
        <f>SUM(F160:N160)</f>
        <v/>
      </c>
      <c r="P160" s="306">
        <f>O160/12</f>
        <v/>
      </c>
      <c r="Q160" s="306">
        <f>P160*$B$8</f>
        <v/>
      </c>
      <c r="R160" s="306">
        <f>P160*$B$9</f>
        <v/>
      </c>
      <c r="S160" s="306">
        <f>P160*$B$10</f>
        <v/>
      </c>
      <c r="T160" s="306">
        <f>P160-Q160-R160-S160-D160-E160</f>
        <v/>
      </c>
      <c r="U160" s="306">
        <f>MAX(0, T160 - $B$7*P160)</f>
        <v/>
      </c>
      <c r="V160" s="306">
        <f>T160-U160</f>
        <v/>
      </c>
      <c r="W160" s="306">
        <f>IF(A160=$F$6, $B$18*$B$16*$B$17/1000000, 0) + IF(A160=$F$7, $B$18*$B$16*$B$17/1000000, 0) + IF(A160=$F$8, $B$18*$B$16*$B$17/1000000, 0) + IF(A160=$F$9, $B$18*$B$16*$B$17/1000000, 0) + IF(A160=$F$10, $B$18*$B$16*$B$17/1000000, 0) + IF(A160=$F$11, $B$18*$B$16*$B$17/1000000, 0) + IF(A160=$F$12, $B$18*$B$16*$B$17/1000000, 0) + IF(A160=$F$13, $B$18*$B$16*$B$17/1000000, 0) + IF(A160=$F$14, $B$18*$B$16*$B$17/1000000, 0)</f>
        <v/>
      </c>
      <c r="X160" s="306">
        <f>V160-W160-C160</f>
        <v/>
      </c>
      <c r="Y160" s="306">
        <f>IF(AND(A160&lt;=$B$24, X160&gt;0), X160*$B$23, 0)</f>
        <v/>
      </c>
      <c r="Z160" s="306">
        <f>X160-Y160</f>
        <v/>
      </c>
      <c r="AA160" s="306">
        <f>IF(AND(A160=$B$19, $B$21=1), O160*$B$20, 0)</f>
        <v/>
      </c>
      <c r="AB160" s="306">
        <f>AB159+Z160+AA160</f>
        <v/>
      </c>
    </row>
    <row r="161">
      <c r="A161" s="306" t="n">
        <v>131</v>
      </c>
      <c r="B161" s="306">
        <f>CEILING(A161/12,1)</f>
        <v/>
      </c>
      <c r="C161" s="306">
        <f>IF(A161&lt;=12, $B$15/12, 0)</f>
        <v/>
      </c>
      <c r="D161" s="306">
        <f>INDEX('26. Team Comp'!$D$28:$R$28, B161) * 0.001 / 12</f>
        <v/>
      </c>
      <c r="E161" s="306">
        <f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+ (IF(MAX(0, A161 - $F$11 + 1)&lt;=0, 0, IF(MAX(0, A161 - $F$11 + 1)&lt;=6, 70 - (70-14)*(MAX(0, A161 - $F$11 + 1)-1)/5, IF(MAX(0, A161 - $F$11 + 1)&lt;=24, 14 - 14*(MAX(0, A161 - $F$11 + 1)-6)/18, 0)))) + (IF(MAX(0, A161 - $F$12 + 1)&lt;=0, 0, IF(MAX(0, A161 - $F$12 + 1)&lt;=6, 70 - (70-14)*(MAX(0, A161 - $F$12 + 1)-1)/5, IF(MAX(0, A161 - $F$12 + 1)&lt;=24, 14 - 14*(MAX(0, A161 - $F$12 + 1)-6)/18, 0)))) + (IF(MAX(0, A161 - $F$13 + 1)&lt;=0, 0, IF(MAX(0, A161 - $F$13 + 1)&lt;=6, 70 - (70-14)*(MAX(0, A161 - $F$13 + 1)-1)/5, IF(MAX(0, A161 - $F$13 + 1)&lt;=24, 14 - 14*(MAX(0, A161 - $F$13 + 1)-6)/18, 0)))) + (IF(MAX(0, A161 - $F$14 + 1)&lt;=0, 0, IF(MAX(0, A161 - $F$14 + 1)&lt;=6, 70 - (70-14)*(MAX(0, A161 - $F$14 + 1)-1)/5, IF(MAX(0, A161 - $F$14 + 1)&lt;=24, 14 - 14*(MAX(0, A161 - $F$14 + 1)-6)/18, 0)))) ) * 200 / 12 / 1000</f>
        <v/>
      </c>
      <c r="F161" s="306">
        <f>IF(A161&lt;$F$6,0,IF(AND($B$21=1,A161&gt;$B$19),0,$E$6*$G$6^MIN((A161-$F$6)/12,6)*MIN($G$6,0.85)^MAX(0,(A161-$F$6)/12-6)))</f>
        <v/>
      </c>
      <c r="G161" s="306">
        <f>IF(A161&lt;$F$7,0,IF(AND($B$21=1,A161&gt;$B$19),0,$E$7*$G$7^MIN((A161-$F$7)/12,6)*MIN($G$7,0.85)^MAX(0,(A161-$F$7)/12-6)))</f>
        <v/>
      </c>
      <c r="H161" s="306">
        <f>IF(A161&lt;$F$8,0,IF(AND($B$21=1,A161&gt;$B$19),0,$E$8*$G$8^MIN((A161-$F$8)/12,6)*MIN($G$8,0.85)^MAX(0,(A161-$F$8)/12-6)))</f>
        <v/>
      </c>
      <c r="I161" s="306">
        <f>IF(A161&lt;$F$9,0,IF(AND($B$21=1,A161&gt;$B$19),0,$E$9*$G$9^MIN((A161-$F$9)/12,6)*MIN($G$9,0.85)^MAX(0,(A161-$F$9)/12-6)))</f>
        <v/>
      </c>
      <c r="J161" s="306">
        <f>IF(A161&lt;$F$10,0,IF(AND($B$21=1,A161&gt;$B$19),0,$E$10*$G$10^MIN((A161-$F$10)/12,6)*MIN($G$10,0.85)^MAX(0,(A161-$F$10)/12-6)))</f>
        <v/>
      </c>
      <c r="K161" s="306">
        <f>IF(A161&lt;$F$11,0,IF(AND($B$21=1,A161&gt;$B$19),0,$E$11*$G$11^MIN((A161-$F$11)/12,6)*MIN($G$11,0.85)^MAX(0,(A161-$F$11)/12-6)))</f>
        <v/>
      </c>
      <c r="L161" s="306">
        <f>IF(A161&lt;$F$12,0,IF(AND($B$21=1,A161&gt;$B$19),0,$E$12*$G$12^MIN((A161-$F$12)/12,6)*MIN($G$12,0.85)^MAX(0,(A161-$F$12)/12-6)))</f>
        <v/>
      </c>
      <c r="M161" s="306">
        <f>IF(A161&lt;$F$13,0,IF(AND($B$21=1,A161&gt;$B$19),0,$E$13*$G$13^MIN((A161-$F$13)/12,6)*MIN($G$13,0.85)^MAX(0,(A161-$F$13)/12-6)))</f>
        <v/>
      </c>
      <c r="N161" s="306">
        <f>IF(A161&lt;$F$14,0,IF(AND($B$21=1,A161&gt;$B$19),0,$E$14*$G$14^MIN((A161-$F$14)/12,6)*MIN($G$14,0.85)^MAX(0,(A161-$F$14)/12-6)))</f>
        <v/>
      </c>
      <c r="O161" s="306">
        <f>SUM(F161:N161)</f>
        <v/>
      </c>
      <c r="P161" s="306">
        <f>O161/12</f>
        <v/>
      </c>
      <c r="Q161" s="306">
        <f>P161*$B$8</f>
        <v/>
      </c>
      <c r="R161" s="306">
        <f>P161*$B$9</f>
        <v/>
      </c>
      <c r="S161" s="306">
        <f>P161*$B$10</f>
        <v/>
      </c>
      <c r="T161" s="306">
        <f>P161-Q161-R161-S161-D161-E161</f>
        <v/>
      </c>
      <c r="U161" s="306">
        <f>MAX(0, T161 - $B$7*P161)</f>
        <v/>
      </c>
      <c r="V161" s="306">
        <f>T161-U161</f>
        <v/>
      </c>
      <c r="W161" s="306">
        <f>IF(A161=$F$6, $B$18*$B$16*$B$17/1000000, 0) + IF(A161=$F$7, $B$18*$B$16*$B$17/1000000, 0) + IF(A161=$F$8, $B$18*$B$16*$B$17/1000000, 0) + IF(A161=$F$9, $B$18*$B$16*$B$17/1000000, 0) + IF(A161=$F$10, $B$18*$B$16*$B$17/1000000, 0) + IF(A161=$F$11, $B$18*$B$16*$B$17/1000000, 0) + IF(A161=$F$12, $B$18*$B$16*$B$17/1000000, 0) + IF(A161=$F$13, $B$18*$B$16*$B$17/1000000, 0) + IF(A161=$F$14, $B$18*$B$16*$B$17/1000000, 0)</f>
        <v/>
      </c>
      <c r="X161" s="306">
        <f>V161-W161-C161</f>
        <v/>
      </c>
      <c r="Y161" s="306">
        <f>IF(AND(A161&lt;=$B$24, X161&gt;0), X161*$B$23, 0)</f>
        <v/>
      </c>
      <c r="Z161" s="306">
        <f>X161-Y161</f>
        <v/>
      </c>
      <c r="AA161" s="306">
        <f>IF(AND(A161=$B$19, $B$21=1), O161*$B$20, 0)</f>
        <v/>
      </c>
      <c r="AB161" s="306">
        <f>AB160+Z161+AA161</f>
        <v/>
      </c>
    </row>
    <row r="162">
      <c r="A162" s="306" t="n">
        <v>132</v>
      </c>
      <c r="B162" s="306">
        <f>CEILING(A162/12,1)</f>
        <v/>
      </c>
      <c r="C162" s="306">
        <f>IF(A162&lt;=12, $B$15/12, 0)</f>
        <v/>
      </c>
      <c r="D162" s="306">
        <f>INDEX('26. Team Comp'!$D$28:$R$28, B162) * 0.001 / 12</f>
        <v/>
      </c>
      <c r="E162" s="306">
        <f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+ (IF(MAX(0, A162 - $F$11 + 1)&lt;=0, 0, IF(MAX(0, A162 - $F$11 + 1)&lt;=6, 70 - (70-14)*(MAX(0, A162 - $F$11 + 1)-1)/5, IF(MAX(0, A162 - $F$11 + 1)&lt;=24, 14 - 14*(MAX(0, A162 - $F$11 + 1)-6)/18, 0)))) + (IF(MAX(0, A162 - $F$12 + 1)&lt;=0, 0, IF(MAX(0, A162 - $F$12 + 1)&lt;=6, 70 - (70-14)*(MAX(0, A162 - $F$12 + 1)-1)/5, IF(MAX(0, A162 - $F$12 + 1)&lt;=24, 14 - 14*(MAX(0, A162 - $F$12 + 1)-6)/18, 0)))) + (IF(MAX(0, A162 - $F$13 + 1)&lt;=0, 0, IF(MAX(0, A162 - $F$13 + 1)&lt;=6, 70 - (70-14)*(MAX(0, A162 - $F$13 + 1)-1)/5, IF(MAX(0, A162 - $F$13 + 1)&lt;=24, 14 - 14*(MAX(0, A162 - $F$13 + 1)-6)/18, 0)))) + (IF(MAX(0, A162 - $F$14 + 1)&lt;=0, 0, IF(MAX(0, A162 - $F$14 + 1)&lt;=6, 70 - (70-14)*(MAX(0, A162 - $F$14 + 1)-1)/5, IF(MAX(0, A162 - $F$14 + 1)&lt;=24, 14 - 14*(MAX(0, A162 - $F$14 + 1)-6)/18, 0)))) ) * 200 / 12 / 1000</f>
        <v/>
      </c>
      <c r="F162" s="306">
        <f>IF(A162&lt;$F$6,0,IF(AND($B$21=1,A162&gt;$B$19),0,$E$6*$G$6^MIN((A162-$F$6)/12,6)*MIN($G$6,0.85)^MAX(0,(A162-$F$6)/12-6)))</f>
        <v/>
      </c>
      <c r="G162" s="306">
        <f>IF(A162&lt;$F$7,0,IF(AND($B$21=1,A162&gt;$B$19),0,$E$7*$G$7^MIN((A162-$F$7)/12,6)*MIN($G$7,0.85)^MAX(0,(A162-$F$7)/12-6)))</f>
        <v/>
      </c>
      <c r="H162" s="306">
        <f>IF(A162&lt;$F$8,0,IF(AND($B$21=1,A162&gt;$B$19),0,$E$8*$G$8^MIN((A162-$F$8)/12,6)*MIN($G$8,0.85)^MAX(0,(A162-$F$8)/12-6)))</f>
        <v/>
      </c>
      <c r="I162" s="306">
        <f>IF(A162&lt;$F$9,0,IF(AND($B$21=1,A162&gt;$B$19),0,$E$9*$G$9^MIN((A162-$F$9)/12,6)*MIN($G$9,0.85)^MAX(0,(A162-$F$9)/12-6)))</f>
        <v/>
      </c>
      <c r="J162" s="306">
        <f>IF(A162&lt;$F$10,0,IF(AND($B$21=1,A162&gt;$B$19),0,$E$10*$G$10^MIN((A162-$F$10)/12,6)*MIN($G$10,0.85)^MAX(0,(A162-$F$10)/12-6)))</f>
        <v/>
      </c>
      <c r="K162" s="306">
        <f>IF(A162&lt;$F$11,0,IF(AND($B$21=1,A162&gt;$B$19),0,$E$11*$G$11^MIN((A162-$F$11)/12,6)*MIN($G$11,0.85)^MAX(0,(A162-$F$11)/12-6)))</f>
        <v/>
      </c>
      <c r="L162" s="306">
        <f>IF(A162&lt;$F$12,0,IF(AND($B$21=1,A162&gt;$B$19),0,$E$12*$G$12^MIN((A162-$F$12)/12,6)*MIN($G$12,0.85)^MAX(0,(A162-$F$12)/12-6)))</f>
        <v/>
      </c>
      <c r="M162" s="306">
        <f>IF(A162&lt;$F$13,0,IF(AND($B$21=1,A162&gt;$B$19),0,$E$13*$G$13^MIN((A162-$F$13)/12,6)*MIN($G$13,0.85)^MAX(0,(A162-$F$13)/12-6)))</f>
        <v/>
      </c>
      <c r="N162" s="306">
        <f>IF(A162&lt;$F$14,0,IF(AND($B$21=1,A162&gt;$B$19),0,$E$14*$G$14^MIN((A162-$F$14)/12,6)*MIN($G$14,0.85)^MAX(0,(A162-$F$14)/12-6)))</f>
        <v/>
      </c>
      <c r="O162" s="306">
        <f>SUM(F162:N162)</f>
        <v/>
      </c>
      <c r="P162" s="306">
        <f>O162/12</f>
        <v/>
      </c>
      <c r="Q162" s="306">
        <f>P162*$B$8</f>
        <v/>
      </c>
      <c r="R162" s="306">
        <f>P162*$B$9</f>
        <v/>
      </c>
      <c r="S162" s="306">
        <f>P162*$B$10</f>
        <v/>
      </c>
      <c r="T162" s="306">
        <f>P162-Q162-R162-S162-D162-E162</f>
        <v/>
      </c>
      <c r="U162" s="306">
        <f>MAX(0, T162 - $B$7*P162)</f>
        <v/>
      </c>
      <c r="V162" s="306">
        <f>T162-U162</f>
        <v/>
      </c>
      <c r="W162" s="306">
        <f>IF(A162=$F$6, $B$18*$B$16*$B$17/1000000, 0) + IF(A162=$F$7, $B$18*$B$16*$B$17/1000000, 0) + IF(A162=$F$8, $B$18*$B$16*$B$17/1000000, 0) + IF(A162=$F$9, $B$18*$B$16*$B$17/1000000, 0) + IF(A162=$F$10, $B$18*$B$16*$B$17/1000000, 0) + IF(A162=$F$11, $B$18*$B$16*$B$17/1000000, 0) + IF(A162=$F$12, $B$18*$B$16*$B$17/1000000, 0) + IF(A162=$F$13, $B$18*$B$16*$B$17/1000000, 0) + IF(A162=$F$14, $B$18*$B$16*$B$17/1000000, 0)</f>
        <v/>
      </c>
      <c r="X162" s="306">
        <f>V162-W162-C162</f>
        <v/>
      </c>
      <c r="Y162" s="306">
        <f>IF(AND(A162&lt;=$B$24, X162&gt;0), X162*$B$23, 0)</f>
        <v/>
      </c>
      <c r="Z162" s="306">
        <f>X162-Y162</f>
        <v/>
      </c>
      <c r="AA162" s="306">
        <f>IF(AND(A162=$B$19, $B$21=1), O162*$B$20, 0)</f>
        <v/>
      </c>
      <c r="AB162" s="306">
        <f>AB161+Z162+AA162</f>
        <v/>
      </c>
    </row>
    <row r="163">
      <c r="A163" s="306" t="n">
        <v>133</v>
      </c>
      <c r="B163" s="306">
        <f>CEILING(A163/12,1)</f>
        <v/>
      </c>
      <c r="C163" s="306">
        <f>IF(A163&lt;=12, $B$15/12, 0)</f>
        <v/>
      </c>
      <c r="D163" s="306">
        <f>INDEX('26. Team Comp'!$D$28:$R$28, B163) * 0.001 / 12</f>
        <v/>
      </c>
      <c r="E163" s="306">
        <f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+ (IF(MAX(0, A163 - $F$11 + 1)&lt;=0, 0, IF(MAX(0, A163 - $F$11 + 1)&lt;=6, 70 - (70-14)*(MAX(0, A163 - $F$11 + 1)-1)/5, IF(MAX(0, A163 - $F$11 + 1)&lt;=24, 14 - 14*(MAX(0, A163 - $F$11 + 1)-6)/18, 0)))) + (IF(MAX(0, A163 - $F$12 + 1)&lt;=0, 0, IF(MAX(0, A163 - $F$12 + 1)&lt;=6, 70 - (70-14)*(MAX(0, A163 - $F$12 + 1)-1)/5, IF(MAX(0, A163 - $F$12 + 1)&lt;=24, 14 - 14*(MAX(0, A163 - $F$12 + 1)-6)/18, 0)))) + (IF(MAX(0, A163 - $F$13 + 1)&lt;=0, 0, IF(MAX(0, A163 - $F$13 + 1)&lt;=6, 70 - (70-14)*(MAX(0, A163 - $F$13 + 1)-1)/5, IF(MAX(0, A163 - $F$13 + 1)&lt;=24, 14 - 14*(MAX(0, A163 - $F$13 + 1)-6)/18, 0)))) + (IF(MAX(0, A163 - $F$14 + 1)&lt;=0, 0, IF(MAX(0, A163 - $F$14 + 1)&lt;=6, 70 - (70-14)*(MAX(0, A163 - $F$14 + 1)-1)/5, IF(MAX(0, A163 - $F$14 + 1)&lt;=24, 14 - 14*(MAX(0, A163 - $F$14 + 1)-6)/18, 0)))) ) * 200 / 12 / 1000</f>
        <v/>
      </c>
      <c r="F163" s="306">
        <f>IF(A163&lt;$F$6,0,IF(AND($B$21=1,A163&gt;$B$19),0,$E$6*$G$6^MIN((A163-$F$6)/12,6)*MIN($G$6,0.85)^MAX(0,(A163-$F$6)/12-6)))</f>
        <v/>
      </c>
      <c r="G163" s="306">
        <f>IF(A163&lt;$F$7,0,IF(AND($B$21=1,A163&gt;$B$19),0,$E$7*$G$7^MIN((A163-$F$7)/12,6)*MIN($G$7,0.85)^MAX(0,(A163-$F$7)/12-6)))</f>
        <v/>
      </c>
      <c r="H163" s="306">
        <f>IF(A163&lt;$F$8,0,IF(AND($B$21=1,A163&gt;$B$19),0,$E$8*$G$8^MIN((A163-$F$8)/12,6)*MIN($G$8,0.85)^MAX(0,(A163-$F$8)/12-6)))</f>
        <v/>
      </c>
      <c r="I163" s="306">
        <f>IF(A163&lt;$F$9,0,IF(AND($B$21=1,A163&gt;$B$19),0,$E$9*$G$9^MIN((A163-$F$9)/12,6)*MIN($G$9,0.85)^MAX(0,(A163-$F$9)/12-6)))</f>
        <v/>
      </c>
      <c r="J163" s="306">
        <f>IF(A163&lt;$F$10,0,IF(AND($B$21=1,A163&gt;$B$19),0,$E$10*$G$10^MIN((A163-$F$10)/12,6)*MIN($G$10,0.85)^MAX(0,(A163-$F$10)/12-6)))</f>
        <v/>
      </c>
      <c r="K163" s="306">
        <f>IF(A163&lt;$F$11,0,IF(AND($B$21=1,A163&gt;$B$19),0,$E$11*$G$11^MIN((A163-$F$11)/12,6)*MIN($G$11,0.85)^MAX(0,(A163-$F$11)/12-6)))</f>
        <v/>
      </c>
      <c r="L163" s="306">
        <f>IF(A163&lt;$F$12,0,IF(AND($B$21=1,A163&gt;$B$19),0,$E$12*$G$12^MIN((A163-$F$12)/12,6)*MIN($G$12,0.85)^MAX(0,(A163-$F$12)/12-6)))</f>
        <v/>
      </c>
      <c r="M163" s="306">
        <f>IF(A163&lt;$F$13,0,IF(AND($B$21=1,A163&gt;$B$19),0,$E$13*$G$13^MIN((A163-$F$13)/12,6)*MIN($G$13,0.85)^MAX(0,(A163-$F$13)/12-6)))</f>
        <v/>
      </c>
      <c r="N163" s="306">
        <f>IF(A163&lt;$F$14,0,IF(AND($B$21=1,A163&gt;$B$19),0,$E$14*$G$14^MIN((A163-$F$14)/12,6)*MIN($G$14,0.85)^MAX(0,(A163-$F$14)/12-6)))</f>
        <v/>
      </c>
      <c r="O163" s="306">
        <f>SUM(F163:N163)</f>
        <v/>
      </c>
      <c r="P163" s="306">
        <f>O163/12</f>
        <v/>
      </c>
      <c r="Q163" s="306">
        <f>P163*$B$8</f>
        <v/>
      </c>
      <c r="R163" s="306">
        <f>P163*$B$9</f>
        <v/>
      </c>
      <c r="S163" s="306">
        <f>P163*$B$10</f>
        <v/>
      </c>
      <c r="T163" s="306">
        <f>P163-Q163-R163-S163-D163-E163</f>
        <v/>
      </c>
      <c r="U163" s="306">
        <f>MAX(0, T163 - $B$7*P163)</f>
        <v/>
      </c>
      <c r="V163" s="306">
        <f>T163-U163</f>
        <v/>
      </c>
      <c r="W163" s="306">
        <f>IF(A163=$F$6, $B$18*$B$16*$B$17/1000000, 0) + IF(A163=$F$7, $B$18*$B$16*$B$17/1000000, 0) + IF(A163=$F$8, $B$18*$B$16*$B$17/1000000, 0) + IF(A163=$F$9, $B$18*$B$16*$B$17/1000000, 0) + IF(A163=$F$10, $B$18*$B$16*$B$17/1000000, 0) + IF(A163=$F$11, $B$18*$B$16*$B$17/1000000, 0) + IF(A163=$F$12, $B$18*$B$16*$B$17/1000000, 0) + IF(A163=$F$13, $B$18*$B$16*$B$17/1000000, 0) + IF(A163=$F$14, $B$18*$B$16*$B$17/1000000, 0)</f>
        <v/>
      </c>
      <c r="X163" s="306">
        <f>V163-W163-C163</f>
        <v/>
      </c>
      <c r="Y163" s="306">
        <f>IF(AND(A163&lt;=$B$24, X163&gt;0), X163*$B$23, 0)</f>
        <v/>
      </c>
      <c r="Z163" s="306">
        <f>X163-Y163</f>
        <v/>
      </c>
      <c r="AA163" s="306">
        <f>IF(AND(A163=$B$19, $B$21=1), O163*$B$20, 0)</f>
        <v/>
      </c>
      <c r="AB163" s="306">
        <f>AB162+Z163+AA163</f>
        <v/>
      </c>
    </row>
    <row r="164">
      <c r="A164" s="306" t="n">
        <v>134</v>
      </c>
      <c r="B164" s="306">
        <f>CEILING(A164/12,1)</f>
        <v/>
      </c>
      <c r="C164" s="306">
        <f>IF(A164&lt;=12, $B$15/12, 0)</f>
        <v/>
      </c>
      <c r="D164" s="306">
        <f>INDEX('26. Team Comp'!$D$28:$R$28, B164) * 0.001 / 12</f>
        <v/>
      </c>
      <c r="E164" s="306">
        <f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+ (IF(MAX(0, A164 - $F$11 + 1)&lt;=0, 0, IF(MAX(0, A164 - $F$11 + 1)&lt;=6, 70 - (70-14)*(MAX(0, A164 - $F$11 + 1)-1)/5, IF(MAX(0, A164 - $F$11 + 1)&lt;=24, 14 - 14*(MAX(0, A164 - $F$11 + 1)-6)/18, 0)))) + (IF(MAX(0, A164 - $F$12 + 1)&lt;=0, 0, IF(MAX(0, A164 - $F$12 + 1)&lt;=6, 70 - (70-14)*(MAX(0, A164 - $F$12 + 1)-1)/5, IF(MAX(0, A164 - $F$12 + 1)&lt;=24, 14 - 14*(MAX(0, A164 - $F$12 + 1)-6)/18, 0)))) + (IF(MAX(0, A164 - $F$13 + 1)&lt;=0, 0, IF(MAX(0, A164 - $F$13 + 1)&lt;=6, 70 - (70-14)*(MAX(0, A164 - $F$13 + 1)-1)/5, IF(MAX(0, A164 - $F$13 + 1)&lt;=24, 14 - 14*(MAX(0, A164 - $F$13 + 1)-6)/18, 0)))) + (IF(MAX(0, A164 - $F$14 + 1)&lt;=0, 0, IF(MAX(0, A164 - $F$14 + 1)&lt;=6, 70 - (70-14)*(MAX(0, A164 - $F$14 + 1)-1)/5, IF(MAX(0, A164 - $F$14 + 1)&lt;=24, 14 - 14*(MAX(0, A164 - $F$14 + 1)-6)/18, 0)))) ) * 200 / 12 / 1000</f>
        <v/>
      </c>
      <c r="F164" s="306">
        <f>IF(A164&lt;$F$6,0,IF(AND($B$21=1,A164&gt;$B$19),0,$E$6*$G$6^MIN((A164-$F$6)/12,6)*MIN($G$6,0.85)^MAX(0,(A164-$F$6)/12-6)))</f>
        <v/>
      </c>
      <c r="G164" s="306">
        <f>IF(A164&lt;$F$7,0,IF(AND($B$21=1,A164&gt;$B$19),0,$E$7*$G$7^MIN((A164-$F$7)/12,6)*MIN($G$7,0.85)^MAX(0,(A164-$F$7)/12-6)))</f>
        <v/>
      </c>
      <c r="H164" s="306">
        <f>IF(A164&lt;$F$8,0,IF(AND($B$21=1,A164&gt;$B$19),0,$E$8*$G$8^MIN((A164-$F$8)/12,6)*MIN($G$8,0.85)^MAX(0,(A164-$F$8)/12-6)))</f>
        <v/>
      </c>
      <c r="I164" s="306">
        <f>IF(A164&lt;$F$9,0,IF(AND($B$21=1,A164&gt;$B$19),0,$E$9*$G$9^MIN((A164-$F$9)/12,6)*MIN($G$9,0.85)^MAX(0,(A164-$F$9)/12-6)))</f>
        <v/>
      </c>
      <c r="J164" s="306">
        <f>IF(A164&lt;$F$10,0,IF(AND($B$21=1,A164&gt;$B$19),0,$E$10*$G$10^MIN((A164-$F$10)/12,6)*MIN($G$10,0.85)^MAX(0,(A164-$F$10)/12-6)))</f>
        <v/>
      </c>
      <c r="K164" s="306">
        <f>IF(A164&lt;$F$11,0,IF(AND($B$21=1,A164&gt;$B$19),0,$E$11*$G$11^MIN((A164-$F$11)/12,6)*MIN($G$11,0.85)^MAX(0,(A164-$F$11)/12-6)))</f>
        <v/>
      </c>
      <c r="L164" s="306">
        <f>IF(A164&lt;$F$12,0,IF(AND($B$21=1,A164&gt;$B$19),0,$E$12*$G$12^MIN((A164-$F$12)/12,6)*MIN($G$12,0.85)^MAX(0,(A164-$F$12)/12-6)))</f>
        <v/>
      </c>
      <c r="M164" s="306">
        <f>IF(A164&lt;$F$13,0,IF(AND($B$21=1,A164&gt;$B$19),0,$E$13*$G$13^MIN((A164-$F$13)/12,6)*MIN($G$13,0.85)^MAX(0,(A164-$F$13)/12-6)))</f>
        <v/>
      </c>
      <c r="N164" s="306">
        <f>IF(A164&lt;$F$14,0,IF(AND($B$21=1,A164&gt;$B$19),0,$E$14*$G$14^MIN((A164-$F$14)/12,6)*MIN($G$14,0.85)^MAX(0,(A164-$F$14)/12-6)))</f>
        <v/>
      </c>
      <c r="O164" s="306">
        <f>SUM(F164:N164)</f>
        <v/>
      </c>
      <c r="P164" s="306">
        <f>O164/12</f>
        <v/>
      </c>
      <c r="Q164" s="306">
        <f>P164*$B$8</f>
        <v/>
      </c>
      <c r="R164" s="306">
        <f>P164*$B$9</f>
        <v/>
      </c>
      <c r="S164" s="306">
        <f>P164*$B$10</f>
        <v/>
      </c>
      <c r="T164" s="306">
        <f>P164-Q164-R164-S164-D164-E164</f>
        <v/>
      </c>
      <c r="U164" s="306">
        <f>MAX(0, T164 - $B$7*P164)</f>
        <v/>
      </c>
      <c r="V164" s="306">
        <f>T164-U164</f>
        <v/>
      </c>
      <c r="W164" s="306">
        <f>IF(A164=$F$6, $B$18*$B$16*$B$17/1000000, 0) + IF(A164=$F$7, $B$18*$B$16*$B$17/1000000, 0) + IF(A164=$F$8, $B$18*$B$16*$B$17/1000000, 0) + IF(A164=$F$9, $B$18*$B$16*$B$17/1000000, 0) + IF(A164=$F$10, $B$18*$B$16*$B$17/1000000, 0) + IF(A164=$F$11, $B$18*$B$16*$B$17/1000000, 0) + IF(A164=$F$12, $B$18*$B$16*$B$17/1000000, 0) + IF(A164=$F$13, $B$18*$B$16*$B$17/1000000, 0) + IF(A164=$F$14, $B$18*$B$16*$B$17/1000000, 0)</f>
        <v/>
      </c>
      <c r="X164" s="306">
        <f>V164-W164-C164</f>
        <v/>
      </c>
      <c r="Y164" s="306">
        <f>IF(AND(A164&lt;=$B$24, X164&gt;0), X164*$B$23, 0)</f>
        <v/>
      </c>
      <c r="Z164" s="306">
        <f>X164-Y164</f>
        <v/>
      </c>
      <c r="AA164" s="306">
        <f>IF(AND(A164=$B$19, $B$21=1), O164*$B$20, 0)</f>
        <v/>
      </c>
      <c r="AB164" s="306">
        <f>AB163+Z164+AA164</f>
        <v/>
      </c>
    </row>
    <row r="165">
      <c r="A165" s="306" t="n">
        <v>135</v>
      </c>
      <c r="B165" s="306">
        <f>CEILING(A165/12,1)</f>
        <v/>
      </c>
      <c r="C165" s="306">
        <f>IF(A165&lt;=12, $B$15/12, 0)</f>
        <v/>
      </c>
      <c r="D165" s="306">
        <f>INDEX('26. Team Comp'!$D$28:$R$28, B165) * 0.001 / 12</f>
        <v/>
      </c>
      <c r="E165" s="306">
        <f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+ (IF(MAX(0, A165 - $F$11 + 1)&lt;=0, 0, IF(MAX(0, A165 - $F$11 + 1)&lt;=6, 70 - (70-14)*(MAX(0, A165 - $F$11 + 1)-1)/5, IF(MAX(0, A165 - $F$11 + 1)&lt;=24, 14 - 14*(MAX(0, A165 - $F$11 + 1)-6)/18, 0)))) + (IF(MAX(0, A165 - $F$12 + 1)&lt;=0, 0, IF(MAX(0, A165 - $F$12 + 1)&lt;=6, 70 - (70-14)*(MAX(0, A165 - $F$12 + 1)-1)/5, IF(MAX(0, A165 - $F$12 + 1)&lt;=24, 14 - 14*(MAX(0, A165 - $F$12 + 1)-6)/18, 0)))) + (IF(MAX(0, A165 - $F$13 + 1)&lt;=0, 0, IF(MAX(0, A165 - $F$13 + 1)&lt;=6, 70 - (70-14)*(MAX(0, A165 - $F$13 + 1)-1)/5, IF(MAX(0, A165 - $F$13 + 1)&lt;=24, 14 - 14*(MAX(0, A165 - $F$13 + 1)-6)/18, 0)))) + (IF(MAX(0, A165 - $F$14 + 1)&lt;=0, 0, IF(MAX(0, A165 - $F$14 + 1)&lt;=6, 70 - (70-14)*(MAX(0, A165 - $F$14 + 1)-1)/5, IF(MAX(0, A165 - $F$14 + 1)&lt;=24, 14 - 14*(MAX(0, A165 - $F$14 + 1)-6)/18, 0)))) ) * 200 / 12 / 1000</f>
        <v/>
      </c>
      <c r="F165" s="306">
        <f>IF(A165&lt;$F$6,0,IF(AND($B$21=1,A165&gt;$B$19),0,$E$6*$G$6^MIN((A165-$F$6)/12,6)*MIN($G$6,0.85)^MAX(0,(A165-$F$6)/12-6)))</f>
        <v/>
      </c>
      <c r="G165" s="306">
        <f>IF(A165&lt;$F$7,0,IF(AND($B$21=1,A165&gt;$B$19),0,$E$7*$G$7^MIN((A165-$F$7)/12,6)*MIN($G$7,0.85)^MAX(0,(A165-$F$7)/12-6)))</f>
        <v/>
      </c>
      <c r="H165" s="306">
        <f>IF(A165&lt;$F$8,0,IF(AND($B$21=1,A165&gt;$B$19),0,$E$8*$G$8^MIN((A165-$F$8)/12,6)*MIN($G$8,0.85)^MAX(0,(A165-$F$8)/12-6)))</f>
        <v/>
      </c>
      <c r="I165" s="306">
        <f>IF(A165&lt;$F$9,0,IF(AND($B$21=1,A165&gt;$B$19),0,$E$9*$G$9^MIN((A165-$F$9)/12,6)*MIN($G$9,0.85)^MAX(0,(A165-$F$9)/12-6)))</f>
        <v/>
      </c>
      <c r="J165" s="306">
        <f>IF(A165&lt;$F$10,0,IF(AND($B$21=1,A165&gt;$B$19),0,$E$10*$G$10^MIN((A165-$F$10)/12,6)*MIN($G$10,0.85)^MAX(0,(A165-$F$10)/12-6)))</f>
        <v/>
      </c>
      <c r="K165" s="306">
        <f>IF(A165&lt;$F$11,0,IF(AND($B$21=1,A165&gt;$B$19),0,$E$11*$G$11^MIN((A165-$F$11)/12,6)*MIN($G$11,0.85)^MAX(0,(A165-$F$11)/12-6)))</f>
        <v/>
      </c>
      <c r="L165" s="306">
        <f>IF(A165&lt;$F$12,0,IF(AND($B$21=1,A165&gt;$B$19),0,$E$12*$G$12^MIN((A165-$F$12)/12,6)*MIN($G$12,0.85)^MAX(0,(A165-$F$12)/12-6)))</f>
        <v/>
      </c>
      <c r="M165" s="306">
        <f>IF(A165&lt;$F$13,0,IF(AND($B$21=1,A165&gt;$B$19),0,$E$13*$G$13^MIN((A165-$F$13)/12,6)*MIN($G$13,0.85)^MAX(0,(A165-$F$13)/12-6)))</f>
        <v/>
      </c>
      <c r="N165" s="306">
        <f>IF(A165&lt;$F$14,0,IF(AND($B$21=1,A165&gt;$B$19),0,$E$14*$G$14^MIN((A165-$F$14)/12,6)*MIN($G$14,0.85)^MAX(0,(A165-$F$14)/12-6)))</f>
        <v/>
      </c>
      <c r="O165" s="306">
        <f>SUM(F165:N165)</f>
        <v/>
      </c>
      <c r="P165" s="306">
        <f>O165/12</f>
        <v/>
      </c>
      <c r="Q165" s="306">
        <f>P165*$B$8</f>
        <v/>
      </c>
      <c r="R165" s="306">
        <f>P165*$B$9</f>
        <v/>
      </c>
      <c r="S165" s="306">
        <f>P165*$B$10</f>
        <v/>
      </c>
      <c r="T165" s="306">
        <f>P165-Q165-R165-S165-D165-E165</f>
        <v/>
      </c>
      <c r="U165" s="306">
        <f>MAX(0, T165 - $B$7*P165)</f>
        <v/>
      </c>
      <c r="V165" s="306">
        <f>T165-U165</f>
        <v/>
      </c>
      <c r="W165" s="306">
        <f>IF(A165=$F$6, $B$18*$B$16*$B$17/1000000, 0) + IF(A165=$F$7, $B$18*$B$16*$B$17/1000000, 0) + IF(A165=$F$8, $B$18*$B$16*$B$17/1000000, 0) + IF(A165=$F$9, $B$18*$B$16*$B$17/1000000, 0) + IF(A165=$F$10, $B$18*$B$16*$B$17/1000000, 0) + IF(A165=$F$11, $B$18*$B$16*$B$17/1000000, 0) + IF(A165=$F$12, $B$18*$B$16*$B$17/1000000, 0) + IF(A165=$F$13, $B$18*$B$16*$B$17/1000000, 0) + IF(A165=$F$14, $B$18*$B$16*$B$17/1000000, 0)</f>
        <v/>
      </c>
      <c r="X165" s="306">
        <f>V165-W165-C165</f>
        <v/>
      </c>
      <c r="Y165" s="306">
        <f>IF(AND(A165&lt;=$B$24, X165&gt;0), X165*$B$23, 0)</f>
        <v/>
      </c>
      <c r="Z165" s="306">
        <f>X165-Y165</f>
        <v/>
      </c>
      <c r="AA165" s="306">
        <f>IF(AND(A165=$B$19, $B$21=1), O165*$B$20, 0)</f>
        <v/>
      </c>
      <c r="AB165" s="306">
        <f>AB164+Z165+AA165</f>
        <v/>
      </c>
    </row>
    <row r="166">
      <c r="A166" s="306" t="n">
        <v>136</v>
      </c>
      <c r="B166" s="306">
        <f>CEILING(A166/12,1)</f>
        <v/>
      </c>
      <c r="C166" s="306">
        <f>IF(A166&lt;=12, $B$15/12, 0)</f>
        <v/>
      </c>
      <c r="D166" s="306">
        <f>INDEX('26. Team Comp'!$D$28:$R$28, B166) * 0.001 / 12</f>
        <v/>
      </c>
      <c r="E166" s="306">
        <f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+ (IF(MAX(0, A166 - $F$11 + 1)&lt;=0, 0, IF(MAX(0, A166 - $F$11 + 1)&lt;=6, 70 - (70-14)*(MAX(0, A166 - $F$11 + 1)-1)/5, IF(MAX(0, A166 - $F$11 + 1)&lt;=24, 14 - 14*(MAX(0, A166 - $F$11 + 1)-6)/18, 0)))) + (IF(MAX(0, A166 - $F$12 + 1)&lt;=0, 0, IF(MAX(0, A166 - $F$12 + 1)&lt;=6, 70 - (70-14)*(MAX(0, A166 - $F$12 + 1)-1)/5, IF(MAX(0, A166 - $F$12 + 1)&lt;=24, 14 - 14*(MAX(0, A166 - $F$12 + 1)-6)/18, 0)))) + (IF(MAX(0, A166 - $F$13 + 1)&lt;=0, 0, IF(MAX(0, A166 - $F$13 + 1)&lt;=6, 70 - (70-14)*(MAX(0, A166 - $F$13 + 1)-1)/5, IF(MAX(0, A166 - $F$13 + 1)&lt;=24, 14 - 14*(MAX(0, A166 - $F$13 + 1)-6)/18, 0)))) + (IF(MAX(0, A166 - $F$14 + 1)&lt;=0, 0, IF(MAX(0, A166 - $F$14 + 1)&lt;=6, 70 - (70-14)*(MAX(0, A166 - $F$14 + 1)-1)/5, IF(MAX(0, A166 - $F$14 + 1)&lt;=24, 14 - 14*(MAX(0, A166 - $F$14 + 1)-6)/18, 0)))) ) * 200 / 12 / 1000</f>
        <v/>
      </c>
      <c r="F166" s="306">
        <f>IF(A166&lt;$F$6,0,IF(AND($B$21=1,A166&gt;$B$19),0,$E$6*$G$6^MIN((A166-$F$6)/12,6)*MIN($G$6,0.85)^MAX(0,(A166-$F$6)/12-6)))</f>
        <v/>
      </c>
      <c r="G166" s="306">
        <f>IF(A166&lt;$F$7,0,IF(AND($B$21=1,A166&gt;$B$19),0,$E$7*$G$7^MIN((A166-$F$7)/12,6)*MIN($G$7,0.85)^MAX(0,(A166-$F$7)/12-6)))</f>
        <v/>
      </c>
      <c r="H166" s="306">
        <f>IF(A166&lt;$F$8,0,IF(AND($B$21=1,A166&gt;$B$19),0,$E$8*$G$8^MIN((A166-$F$8)/12,6)*MIN($G$8,0.85)^MAX(0,(A166-$F$8)/12-6)))</f>
        <v/>
      </c>
      <c r="I166" s="306">
        <f>IF(A166&lt;$F$9,0,IF(AND($B$21=1,A166&gt;$B$19),0,$E$9*$G$9^MIN((A166-$F$9)/12,6)*MIN($G$9,0.85)^MAX(0,(A166-$F$9)/12-6)))</f>
        <v/>
      </c>
      <c r="J166" s="306">
        <f>IF(A166&lt;$F$10,0,IF(AND($B$21=1,A166&gt;$B$19),0,$E$10*$G$10^MIN((A166-$F$10)/12,6)*MIN($G$10,0.85)^MAX(0,(A166-$F$10)/12-6)))</f>
        <v/>
      </c>
      <c r="K166" s="306">
        <f>IF(A166&lt;$F$11,0,IF(AND($B$21=1,A166&gt;$B$19),0,$E$11*$G$11^MIN((A166-$F$11)/12,6)*MIN($G$11,0.85)^MAX(0,(A166-$F$11)/12-6)))</f>
        <v/>
      </c>
      <c r="L166" s="306">
        <f>IF(A166&lt;$F$12,0,IF(AND($B$21=1,A166&gt;$B$19),0,$E$12*$G$12^MIN((A166-$F$12)/12,6)*MIN($G$12,0.85)^MAX(0,(A166-$F$12)/12-6)))</f>
        <v/>
      </c>
      <c r="M166" s="306">
        <f>IF(A166&lt;$F$13,0,IF(AND($B$21=1,A166&gt;$B$19),0,$E$13*$G$13^MIN((A166-$F$13)/12,6)*MIN($G$13,0.85)^MAX(0,(A166-$F$13)/12-6)))</f>
        <v/>
      </c>
      <c r="N166" s="306">
        <f>IF(A166&lt;$F$14,0,IF(AND($B$21=1,A166&gt;$B$19),0,$E$14*$G$14^MIN((A166-$F$14)/12,6)*MIN($G$14,0.85)^MAX(0,(A166-$F$14)/12-6)))</f>
        <v/>
      </c>
      <c r="O166" s="306">
        <f>SUM(F166:N166)</f>
        <v/>
      </c>
      <c r="P166" s="306">
        <f>O166/12</f>
        <v/>
      </c>
      <c r="Q166" s="306">
        <f>P166*$B$8</f>
        <v/>
      </c>
      <c r="R166" s="306">
        <f>P166*$B$9</f>
        <v/>
      </c>
      <c r="S166" s="306">
        <f>P166*$B$10</f>
        <v/>
      </c>
      <c r="T166" s="306">
        <f>P166-Q166-R166-S166-D166-E166</f>
        <v/>
      </c>
      <c r="U166" s="306">
        <f>MAX(0, T166 - $B$7*P166)</f>
        <v/>
      </c>
      <c r="V166" s="306">
        <f>T166-U166</f>
        <v/>
      </c>
      <c r="W166" s="306">
        <f>IF(A166=$F$6, $B$18*$B$16*$B$17/1000000, 0) + IF(A166=$F$7, $B$18*$B$16*$B$17/1000000, 0) + IF(A166=$F$8, $B$18*$B$16*$B$17/1000000, 0) + IF(A166=$F$9, $B$18*$B$16*$B$17/1000000, 0) + IF(A166=$F$10, $B$18*$B$16*$B$17/1000000, 0) + IF(A166=$F$11, $B$18*$B$16*$B$17/1000000, 0) + IF(A166=$F$12, $B$18*$B$16*$B$17/1000000, 0) + IF(A166=$F$13, $B$18*$B$16*$B$17/1000000, 0) + IF(A166=$F$14, $B$18*$B$16*$B$17/1000000, 0)</f>
        <v/>
      </c>
      <c r="X166" s="306">
        <f>V166-W166-C166</f>
        <v/>
      </c>
      <c r="Y166" s="306">
        <f>IF(AND(A166&lt;=$B$24, X166&gt;0), X166*$B$23, 0)</f>
        <v/>
      </c>
      <c r="Z166" s="306">
        <f>X166-Y166</f>
        <v/>
      </c>
      <c r="AA166" s="306">
        <f>IF(AND(A166=$B$19, $B$21=1), O166*$B$20, 0)</f>
        <v/>
      </c>
      <c r="AB166" s="306">
        <f>AB165+Z166+AA166</f>
        <v/>
      </c>
    </row>
    <row r="167">
      <c r="A167" s="306" t="n">
        <v>137</v>
      </c>
      <c r="B167" s="306">
        <f>CEILING(A167/12,1)</f>
        <v/>
      </c>
      <c r="C167" s="306">
        <f>IF(A167&lt;=12, $B$15/12, 0)</f>
        <v/>
      </c>
      <c r="D167" s="306">
        <f>INDEX('26. Team Comp'!$D$28:$R$28, B167) * 0.001 / 12</f>
        <v/>
      </c>
      <c r="E167" s="306">
        <f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+ (IF(MAX(0, A167 - $F$11 + 1)&lt;=0, 0, IF(MAX(0, A167 - $F$11 + 1)&lt;=6, 70 - (70-14)*(MAX(0, A167 - $F$11 + 1)-1)/5, IF(MAX(0, A167 - $F$11 + 1)&lt;=24, 14 - 14*(MAX(0, A167 - $F$11 + 1)-6)/18, 0)))) + (IF(MAX(0, A167 - $F$12 + 1)&lt;=0, 0, IF(MAX(0, A167 - $F$12 + 1)&lt;=6, 70 - (70-14)*(MAX(0, A167 - $F$12 + 1)-1)/5, IF(MAX(0, A167 - $F$12 + 1)&lt;=24, 14 - 14*(MAX(0, A167 - $F$12 + 1)-6)/18, 0)))) + (IF(MAX(0, A167 - $F$13 + 1)&lt;=0, 0, IF(MAX(0, A167 - $F$13 + 1)&lt;=6, 70 - (70-14)*(MAX(0, A167 - $F$13 + 1)-1)/5, IF(MAX(0, A167 - $F$13 + 1)&lt;=24, 14 - 14*(MAX(0, A167 - $F$13 + 1)-6)/18, 0)))) + (IF(MAX(0, A167 - $F$14 + 1)&lt;=0, 0, IF(MAX(0, A167 - $F$14 + 1)&lt;=6, 70 - (70-14)*(MAX(0, A167 - $F$14 + 1)-1)/5, IF(MAX(0, A167 - $F$14 + 1)&lt;=24, 14 - 14*(MAX(0, A167 - $F$14 + 1)-6)/18, 0)))) ) * 200 / 12 / 1000</f>
        <v/>
      </c>
      <c r="F167" s="306">
        <f>IF(A167&lt;$F$6,0,IF(AND($B$21=1,A167&gt;$B$19),0,$E$6*$G$6^MIN((A167-$F$6)/12,6)*MIN($G$6,0.85)^MAX(0,(A167-$F$6)/12-6)))</f>
        <v/>
      </c>
      <c r="G167" s="306">
        <f>IF(A167&lt;$F$7,0,IF(AND($B$21=1,A167&gt;$B$19),0,$E$7*$G$7^MIN((A167-$F$7)/12,6)*MIN($G$7,0.85)^MAX(0,(A167-$F$7)/12-6)))</f>
        <v/>
      </c>
      <c r="H167" s="306">
        <f>IF(A167&lt;$F$8,0,IF(AND($B$21=1,A167&gt;$B$19),0,$E$8*$G$8^MIN((A167-$F$8)/12,6)*MIN($G$8,0.85)^MAX(0,(A167-$F$8)/12-6)))</f>
        <v/>
      </c>
      <c r="I167" s="306">
        <f>IF(A167&lt;$F$9,0,IF(AND($B$21=1,A167&gt;$B$19),0,$E$9*$G$9^MIN((A167-$F$9)/12,6)*MIN($G$9,0.85)^MAX(0,(A167-$F$9)/12-6)))</f>
        <v/>
      </c>
      <c r="J167" s="306">
        <f>IF(A167&lt;$F$10,0,IF(AND($B$21=1,A167&gt;$B$19),0,$E$10*$G$10^MIN((A167-$F$10)/12,6)*MIN($G$10,0.85)^MAX(0,(A167-$F$10)/12-6)))</f>
        <v/>
      </c>
      <c r="K167" s="306">
        <f>IF(A167&lt;$F$11,0,IF(AND($B$21=1,A167&gt;$B$19),0,$E$11*$G$11^MIN((A167-$F$11)/12,6)*MIN($G$11,0.85)^MAX(0,(A167-$F$11)/12-6)))</f>
        <v/>
      </c>
      <c r="L167" s="306">
        <f>IF(A167&lt;$F$12,0,IF(AND($B$21=1,A167&gt;$B$19),0,$E$12*$G$12^MIN((A167-$F$12)/12,6)*MIN($G$12,0.85)^MAX(0,(A167-$F$12)/12-6)))</f>
        <v/>
      </c>
      <c r="M167" s="306">
        <f>IF(A167&lt;$F$13,0,IF(AND($B$21=1,A167&gt;$B$19),0,$E$13*$G$13^MIN((A167-$F$13)/12,6)*MIN($G$13,0.85)^MAX(0,(A167-$F$13)/12-6)))</f>
        <v/>
      </c>
      <c r="N167" s="306">
        <f>IF(A167&lt;$F$14,0,IF(AND($B$21=1,A167&gt;$B$19),0,$E$14*$G$14^MIN((A167-$F$14)/12,6)*MIN($G$14,0.85)^MAX(0,(A167-$F$14)/12-6)))</f>
        <v/>
      </c>
      <c r="O167" s="306">
        <f>SUM(F167:N167)</f>
        <v/>
      </c>
      <c r="P167" s="306">
        <f>O167/12</f>
        <v/>
      </c>
      <c r="Q167" s="306">
        <f>P167*$B$8</f>
        <v/>
      </c>
      <c r="R167" s="306">
        <f>P167*$B$9</f>
        <v/>
      </c>
      <c r="S167" s="306">
        <f>P167*$B$10</f>
        <v/>
      </c>
      <c r="T167" s="306">
        <f>P167-Q167-R167-S167-D167-E167</f>
        <v/>
      </c>
      <c r="U167" s="306">
        <f>MAX(0, T167 - $B$7*P167)</f>
        <v/>
      </c>
      <c r="V167" s="306">
        <f>T167-U167</f>
        <v/>
      </c>
      <c r="W167" s="306">
        <f>IF(A167=$F$6, $B$18*$B$16*$B$17/1000000, 0) + IF(A167=$F$7, $B$18*$B$16*$B$17/1000000, 0) + IF(A167=$F$8, $B$18*$B$16*$B$17/1000000, 0) + IF(A167=$F$9, $B$18*$B$16*$B$17/1000000, 0) + IF(A167=$F$10, $B$18*$B$16*$B$17/1000000, 0) + IF(A167=$F$11, $B$18*$B$16*$B$17/1000000, 0) + IF(A167=$F$12, $B$18*$B$16*$B$17/1000000, 0) + IF(A167=$F$13, $B$18*$B$16*$B$17/1000000, 0) + IF(A167=$F$14, $B$18*$B$16*$B$17/1000000, 0)</f>
        <v/>
      </c>
      <c r="X167" s="306">
        <f>V167-W167-C167</f>
        <v/>
      </c>
      <c r="Y167" s="306">
        <f>IF(AND(A167&lt;=$B$24, X167&gt;0), X167*$B$23, 0)</f>
        <v/>
      </c>
      <c r="Z167" s="306">
        <f>X167-Y167</f>
        <v/>
      </c>
      <c r="AA167" s="306">
        <f>IF(AND(A167=$B$19, $B$21=1), O167*$B$20, 0)</f>
        <v/>
      </c>
      <c r="AB167" s="306">
        <f>AB166+Z167+AA167</f>
        <v/>
      </c>
    </row>
    <row r="168">
      <c r="A168" s="306" t="n">
        <v>138</v>
      </c>
      <c r="B168" s="306">
        <f>CEILING(A168/12,1)</f>
        <v/>
      </c>
      <c r="C168" s="306">
        <f>IF(A168&lt;=12, $B$15/12, 0)</f>
        <v/>
      </c>
      <c r="D168" s="306">
        <f>INDEX('26. Team Comp'!$D$28:$R$28, B168) * 0.001 / 12</f>
        <v/>
      </c>
      <c r="E168" s="306">
        <f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+ (IF(MAX(0, A168 - $F$11 + 1)&lt;=0, 0, IF(MAX(0, A168 - $F$11 + 1)&lt;=6, 70 - (70-14)*(MAX(0, A168 - $F$11 + 1)-1)/5, IF(MAX(0, A168 - $F$11 + 1)&lt;=24, 14 - 14*(MAX(0, A168 - $F$11 + 1)-6)/18, 0)))) + (IF(MAX(0, A168 - $F$12 + 1)&lt;=0, 0, IF(MAX(0, A168 - $F$12 + 1)&lt;=6, 70 - (70-14)*(MAX(0, A168 - $F$12 + 1)-1)/5, IF(MAX(0, A168 - $F$12 + 1)&lt;=24, 14 - 14*(MAX(0, A168 - $F$12 + 1)-6)/18, 0)))) + (IF(MAX(0, A168 - $F$13 + 1)&lt;=0, 0, IF(MAX(0, A168 - $F$13 + 1)&lt;=6, 70 - (70-14)*(MAX(0, A168 - $F$13 + 1)-1)/5, IF(MAX(0, A168 - $F$13 + 1)&lt;=24, 14 - 14*(MAX(0, A168 - $F$13 + 1)-6)/18, 0)))) + (IF(MAX(0, A168 - $F$14 + 1)&lt;=0, 0, IF(MAX(0, A168 - $F$14 + 1)&lt;=6, 70 - (70-14)*(MAX(0, A168 - $F$14 + 1)-1)/5, IF(MAX(0, A168 - $F$14 + 1)&lt;=24, 14 - 14*(MAX(0, A168 - $F$14 + 1)-6)/18, 0)))) ) * 200 / 12 / 1000</f>
        <v/>
      </c>
      <c r="F168" s="306">
        <f>IF(A168&lt;$F$6,0,IF(AND($B$21=1,A168&gt;$B$19),0,$E$6*$G$6^MIN((A168-$F$6)/12,6)*MIN($G$6,0.85)^MAX(0,(A168-$F$6)/12-6)))</f>
        <v/>
      </c>
      <c r="G168" s="306">
        <f>IF(A168&lt;$F$7,0,IF(AND($B$21=1,A168&gt;$B$19),0,$E$7*$G$7^MIN((A168-$F$7)/12,6)*MIN($G$7,0.85)^MAX(0,(A168-$F$7)/12-6)))</f>
        <v/>
      </c>
      <c r="H168" s="306">
        <f>IF(A168&lt;$F$8,0,IF(AND($B$21=1,A168&gt;$B$19),0,$E$8*$G$8^MIN((A168-$F$8)/12,6)*MIN($G$8,0.85)^MAX(0,(A168-$F$8)/12-6)))</f>
        <v/>
      </c>
      <c r="I168" s="306">
        <f>IF(A168&lt;$F$9,0,IF(AND($B$21=1,A168&gt;$B$19),0,$E$9*$G$9^MIN((A168-$F$9)/12,6)*MIN($G$9,0.85)^MAX(0,(A168-$F$9)/12-6)))</f>
        <v/>
      </c>
      <c r="J168" s="306">
        <f>IF(A168&lt;$F$10,0,IF(AND($B$21=1,A168&gt;$B$19),0,$E$10*$G$10^MIN((A168-$F$10)/12,6)*MIN($G$10,0.85)^MAX(0,(A168-$F$10)/12-6)))</f>
        <v/>
      </c>
      <c r="K168" s="306">
        <f>IF(A168&lt;$F$11,0,IF(AND($B$21=1,A168&gt;$B$19),0,$E$11*$G$11^MIN((A168-$F$11)/12,6)*MIN($G$11,0.85)^MAX(0,(A168-$F$11)/12-6)))</f>
        <v/>
      </c>
      <c r="L168" s="306">
        <f>IF(A168&lt;$F$12,0,IF(AND($B$21=1,A168&gt;$B$19),0,$E$12*$G$12^MIN((A168-$F$12)/12,6)*MIN($G$12,0.85)^MAX(0,(A168-$F$12)/12-6)))</f>
        <v/>
      </c>
      <c r="M168" s="306">
        <f>IF(A168&lt;$F$13,0,IF(AND($B$21=1,A168&gt;$B$19),0,$E$13*$G$13^MIN((A168-$F$13)/12,6)*MIN($G$13,0.85)^MAX(0,(A168-$F$13)/12-6)))</f>
        <v/>
      </c>
      <c r="N168" s="306">
        <f>IF(A168&lt;$F$14,0,IF(AND($B$21=1,A168&gt;$B$19),0,$E$14*$G$14^MIN((A168-$F$14)/12,6)*MIN($G$14,0.85)^MAX(0,(A168-$F$14)/12-6)))</f>
        <v/>
      </c>
      <c r="O168" s="306">
        <f>SUM(F168:N168)</f>
        <v/>
      </c>
      <c r="P168" s="306">
        <f>O168/12</f>
        <v/>
      </c>
      <c r="Q168" s="306">
        <f>P168*$B$8</f>
        <v/>
      </c>
      <c r="R168" s="306">
        <f>P168*$B$9</f>
        <v/>
      </c>
      <c r="S168" s="306">
        <f>P168*$B$10</f>
        <v/>
      </c>
      <c r="T168" s="306">
        <f>P168-Q168-R168-S168-D168-E168</f>
        <v/>
      </c>
      <c r="U168" s="306">
        <f>MAX(0, T168 - $B$7*P168)</f>
        <v/>
      </c>
      <c r="V168" s="306">
        <f>T168-U168</f>
        <v/>
      </c>
      <c r="W168" s="306">
        <f>IF(A168=$F$6, $B$18*$B$16*$B$17/1000000, 0) + IF(A168=$F$7, $B$18*$B$16*$B$17/1000000, 0) + IF(A168=$F$8, $B$18*$B$16*$B$17/1000000, 0) + IF(A168=$F$9, $B$18*$B$16*$B$17/1000000, 0) + IF(A168=$F$10, $B$18*$B$16*$B$17/1000000, 0) + IF(A168=$F$11, $B$18*$B$16*$B$17/1000000, 0) + IF(A168=$F$12, $B$18*$B$16*$B$17/1000000, 0) + IF(A168=$F$13, $B$18*$B$16*$B$17/1000000, 0) + IF(A168=$F$14, $B$18*$B$16*$B$17/1000000, 0)</f>
        <v/>
      </c>
      <c r="X168" s="306">
        <f>V168-W168-C168</f>
        <v/>
      </c>
      <c r="Y168" s="306">
        <f>IF(AND(A168&lt;=$B$24, X168&gt;0), X168*$B$23, 0)</f>
        <v/>
      </c>
      <c r="Z168" s="306">
        <f>X168-Y168</f>
        <v/>
      </c>
      <c r="AA168" s="306">
        <f>IF(AND(A168=$B$19, $B$21=1), O168*$B$20, 0)</f>
        <v/>
      </c>
      <c r="AB168" s="306">
        <f>AB167+Z168+AA168</f>
        <v/>
      </c>
    </row>
    <row r="169">
      <c r="A169" s="306" t="n">
        <v>139</v>
      </c>
      <c r="B169" s="306">
        <f>CEILING(A169/12,1)</f>
        <v/>
      </c>
      <c r="C169" s="306">
        <f>IF(A169&lt;=12, $B$15/12, 0)</f>
        <v/>
      </c>
      <c r="D169" s="306">
        <f>INDEX('26. Team Comp'!$D$28:$R$28, B169) * 0.001 / 12</f>
        <v/>
      </c>
      <c r="E169" s="306">
        <f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+ (IF(MAX(0, A169 - $F$11 + 1)&lt;=0, 0, IF(MAX(0, A169 - $F$11 + 1)&lt;=6, 70 - (70-14)*(MAX(0, A169 - $F$11 + 1)-1)/5, IF(MAX(0, A169 - $F$11 + 1)&lt;=24, 14 - 14*(MAX(0, A169 - $F$11 + 1)-6)/18, 0)))) + (IF(MAX(0, A169 - $F$12 + 1)&lt;=0, 0, IF(MAX(0, A169 - $F$12 + 1)&lt;=6, 70 - (70-14)*(MAX(0, A169 - $F$12 + 1)-1)/5, IF(MAX(0, A169 - $F$12 + 1)&lt;=24, 14 - 14*(MAX(0, A169 - $F$12 + 1)-6)/18, 0)))) + (IF(MAX(0, A169 - $F$13 + 1)&lt;=0, 0, IF(MAX(0, A169 - $F$13 + 1)&lt;=6, 70 - (70-14)*(MAX(0, A169 - $F$13 + 1)-1)/5, IF(MAX(0, A169 - $F$13 + 1)&lt;=24, 14 - 14*(MAX(0, A169 - $F$13 + 1)-6)/18, 0)))) + (IF(MAX(0, A169 - $F$14 + 1)&lt;=0, 0, IF(MAX(0, A169 - $F$14 + 1)&lt;=6, 70 - (70-14)*(MAX(0, A169 - $F$14 + 1)-1)/5, IF(MAX(0, A169 - $F$14 + 1)&lt;=24, 14 - 14*(MAX(0, A169 - $F$14 + 1)-6)/18, 0)))) ) * 200 / 12 / 1000</f>
        <v/>
      </c>
      <c r="F169" s="306">
        <f>IF(A169&lt;$F$6,0,IF(AND($B$21=1,A169&gt;$B$19),0,$E$6*$G$6^MIN((A169-$F$6)/12,6)*MIN($G$6,0.85)^MAX(0,(A169-$F$6)/12-6)))</f>
        <v/>
      </c>
      <c r="G169" s="306">
        <f>IF(A169&lt;$F$7,0,IF(AND($B$21=1,A169&gt;$B$19),0,$E$7*$G$7^MIN((A169-$F$7)/12,6)*MIN($G$7,0.85)^MAX(0,(A169-$F$7)/12-6)))</f>
        <v/>
      </c>
      <c r="H169" s="306">
        <f>IF(A169&lt;$F$8,0,IF(AND($B$21=1,A169&gt;$B$19),0,$E$8*$G$8^MIN((A169-$F$8)/12,6)*MIN($G$8,0.85)^MAX(0,(A169-$F$8)/12-6)))</f>
        <v/>
      </c>
      <c r="I169" s="306">
        <f>IF(A169&lt;$F$9,0,IF(AND($B$21=1,A169&gt;$B$19),0,$E$9*$G$9^MIN((A169-$F$9)/12,6)*MIN($G$9,0.85)^MAX(0,(A169-$F$9)/12-6)))</f>
        <v/>
      </c>
      <c r="J169" s="306">
        <f>IF(A169&lt;$F$10,0,IF(AND($B$21=1,A169&gt;$B$19),0,$E$10*$G$10^MIN((A169-$F$10)/12,6)*MIN($G$10,0.85)^MAX(0,(A169-$F$10)/12-6)))</f>
        <v/>
      </c>
      <c r="K169" s="306">
        <f>IF(A169&lt;$F$11,0,IF(AND($B$21=1,A169&gt;$B$19),0,$E$11*$G$11^MIN((A169-$F$11)/12,6)*MIN($G$11,0.85)^MAX(0,(A169-$F$11)/12-6)))</f>
        <v/>
      </c>
      <c r="L169" s="306">
        <f>IF(A169&lt;$F$12,0,IF(AND($B$21=1,A169&gt;$B$19),0,$E$12*$G$12^MIN((A169-$F$12)/12,6)*MIN($G$12,0.85)^MAX(0,(A169-$F$12)/12-6)))</f>
        <v/>
      </c>
      <c r="M169" s="306">
        <f>IF(A169&lt;$F$13,0,IF(AND($B$21=1,A169&gt;$B$19),0,$E$13*$G$13^MIN((A169-$F$13)/12,6)*MIN($G$13,0.85)^MAX(0,(A169-$F$13)/12-6)))</f>
        <v/>
      </c>
      <c r="N169" s="306">
        <f>IF(A169&lt;$F$14,0,IF(AND($B$21=1,A169&gt;$B$19),0,$E$14*$G$14^MIN((A169-$F$14)/12,6)*MIN($G$14,0.85)^MAX(0,(A169-$F$14)/12-6)))</f>
        <v/>
      </c>
      <c r="O169" s="306">
        <f>SUM(F169:N169)</f>
        <v/>
      </c>
      <c r="P169" s="306">
        <f>O169/12</f>
        <v/>
      </c>
      <c r="Q169" s="306">
        <f>P169*$B$8</f>
        <v/>
      </c>
      <c r="R169" s="306">
        <f>P169*$B$9</f>
        <v/>
      </c>
      <c r="S169" s="306">
        <f>P169*$B$10</f>
        <v/>
      </c>
      <c r="T169" s="306">
        <f>P169-Q169-R169-S169-D169-E169</f>
        <v/>
      </c>
      <c r="U169" s="306">
        <f>MAX(0, T169 - $B$7*P169)</f>
        <v/>
      </c>
      <c r="V169" s="306">
        <f>T169-U169</f>
        <v/>
      </c>
      <c r="W169" s="306">
        <f>IF(A169=$F$6, $B$18*$B$16*$B$17/1000000, 0) + IF(A169=$F$7, $B$18*$B$16*$B$17/1000000, 0) + IF(A169=$F$8, $B$18*$B$16*$B$17/1000000, 0) + IF(A169=$F$9, $B$18*$B$16*$B$17/1000000, 0) + IF(A169=$F$10, $B$18*$B$16*$B$17/1000000, 0) + IF(A169=$F$11, $B$18*$B$16*$B$17/1000000, 0) + IF(A169=$F$12, $B$18*$B$16*$B$17/1000000, 0) + IF(A169=$F$13, $B$18*$B$16*$B$17/1000000, 0) + IF(A169=$F$14, $B$18*$B$16*$B$17/1000000, 0)</f>
        <v/>
      </c>
      <c r="X169" s="306">
        <f>V169-W169-C169</f>
        <v/>
      </c>
      <c r="Y169" s="306">
        <f>IF(AND(A169&lt;=$B$24, X169&gt;0), X169*$B$23, 0)</f>
        <v/>
      </c>
      <c r="Z169" s="306">
        <f>X169-Y169</f>
        <v/>
      </c>
      <c r="AA169" s="306">
        <f>IF(AND(A169=$B$19, $B$21=1), O169*$B$20, 0)</f>
        <v/>
      </c>
      <c r="AB169" s="306">
        <f>AB168+Z169+AA169</f>
        <v/>
      </c>
    </row>
    <row r="170">
      <c r="A170" s="306" t="n">
        <v>140</v>
      </c>
      <c r="B170" s="306">
        <f>CEILING(A170/12,1)</f>
        <v/>
      </c>
      <c r="C170" s="306">
        <f>IF(A170&lt;=12, $B$15/12, 0)</f>
        <v/>
      </c>
      <c r="D170" s="306">
        <f>INDEX('26. Team Comp'!$D$28:$R$28, B170) * 0.001 / 12</f>
        <v/>
      </c>
      <c r="E170" s="306">
        <f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+ (IF(MAX(0, A170 - $F$11 + 1)&lt;=0, 0, IF(MAX(0, A170 - $F$11 + 1)&lt;=6, 70 - (70-14)*(MAX(0, A170 - $F$11 + 1)-1)/5, IF(MAX(0, A170 - $F$11 + 1)&lt;=24, 14 - 14*(MAX(0, A170 - $F$11 + 1)-6)/18, 0)))) + (IF(MAX(0, A170 - $F$12 + 1)&lt;=0, 0, IF(MAX(0, A170 - $F$12 + 1)&lt;=6, 70 - (70-14)*(MAX(0, A170 - $F$12 + 1)-1)/5, IF(MAX(0, A170 - $F$12 + 1)&lt;=24, 14 - 14*(MAX(0, A170 - $F$12 + 1)-6)/18, 0)))) + (IF(MAX(0, A170 - $F$13 + 1)&lt;=0, 0, IF(MAX(0, A170 - $F$13 + 1)&lt;=6, 70 - (70-14)*(MAX(0, A170 - $F$13 + 1)-1)/5, IF(MAX(0, A170 - $F$13 + 1)&lt;=24, 14 - 14*(MAX(0, A170 - $F$13 + 1)-6)/18, 0)))) + (IF(MAX(0, A170 - $F$14 + 1)&lt;=0, 0, IF(MAX(0, A170 - $F$14 + 1)&lt;=6, 70 - (70-14)*(MAX(0, A170 - $F$14 + 1)-1)/5, IF(MAX(0, A170 - $F$14 + 1)&lt;=24, 14 - 14*(MAX(0, A170 - $F$14 + 1)-6)/18, 0)))) ) * 200 / 12 / 1000</f>
        <v/>
      </c>
      <c r="F170" s="306">
        <f>IF(A170&lt;$F$6,0,IF(AND($B$21=1,A170&gt;$B$19),0,$E$6*$G$6^MIN((A170-$F$6)/12,6)*MIN($G$6,0.85)^MAX(0,(A170-$F$6)/12-6)))</f>
        <v/>
      </c>
      <c r="G170" s="306">
        <f>IF(A170&lt;$F$7,0,IF(AND($B$21=1,A170&gt;$B$19),0,$E$7*$G$7^MIN((A170-$F$7)/12,6)*MIN($G$7,0.85)^MAX(0,(A170-$F$7)/12-6)))</f>
        <v/>
      </c>
      <c r="H170" s="306">
        <f>IF(A170&lt;$F$8,0,IF(AND($B$21=1,A170&gt;$B$19),0,$E$8*$G$8^MIN((A170-$F$8)/12,6)*MIN($G$8,0.85)^MAX(0,(A170-$F$8)/12-6)))</f>
        <v/>
      </c>
      <c r="I170" s="306">
        <f>IF(A170&lt;$F$9,0,IF(AND($B$21=1,A170&gt;$B$19),0,$E$9*$G$9^MIN((A170-$F$9)/12,6)*MIN($G$9,0.85)^MAX(0,(A170-$F$9)/12-6)))</f>
        <v/>
      </c>
      <c r="J170" s="306">
        <f>IF(A170&lt;$F$10,0,IF(AND($B$21=1,A170&gt;$B$19),0,$E$10*$G$10^MIN((A170-$F$10)/12,6)*MIN($G$10,0.85)^MAX(0,(A170-$F$10)/12-6)))</f>
        <v/>
      </c>
      <c r="K170" s="306">
        <f>IF(A170&lt;$F$11,0,IF(AND($B$21=1,A170&gt;$B$19),0,$E$11*$G$11^MIN((A170-$F$11)/12,6)*MIN($G$11,0.85)^MAX(0,(A170-$F$11)/12-6)))</f>
        <v/>
      </c>
      <c r="L170" s="306">
        <f>IF(A170&lt;$F$12,0,IF(AND($B$21=1,A170&gt;$B$19),0,$E$12*$G$12^MIN((A170-$F$12)/12,6)*MIN($G$12,0.85)^MAX(0,(A170-$F$12)/12-6)))</f>
        <v/>
      </c>
      <c r="M170" s="306">
        <f>IF(A170&lt;$F$13,0,IF(AND($B$21=1,A170&gt;$B$19),0,$E$13*$G$13^MIN((A170-$F$13)/12,6)*MIN($G$13,0.85)^MAX(0,(A170-$F$13)/12-6)))</f>
        <v/>
      </c>
      <c r="N170" s="306">
        <f>IF(A170&lt;$F$14,0,IF(AND($B$21=1,A170&gt;$B$19),0,$E$14*$G$14^MIN((A170-$F$14)/12,6)*MIN($G$14,0.85)^MAX(0,(A170-$F$14)/12-6)))</f>
        <v/>
      </c>
      <c r="O170" s="306">
        <f>SUM(F170:N170)</f>
        <v/>
      </c>
      <c r="P170" s="306">
        <f>O170/12</f>
        <v/>
      </c>
      <c r="Q170" s="306">
        <f>P170*$B$8</f>
        <v/>
      </c>
      <c r="R170" s="306">
        <f>P170*$B$9</f>
        <v/>
      </c>
      <c r="S170" s="306">
        <f>P170*$B$10</f>
        <v/>
      </c>
      <c r="T170" s="306">
        <f>P170-Q170-R170-S170-D170-E170</f>
        <v/>
      </c>
      <c r="U170" s="306">
        <f>MAX(0, T170 - $B$7*P170)</f>
        <v/>
      </c>
      <c r="V170" s="306">
        <f>T170-U170</f>
        <v/>
      </c>
      <c r="W170" s="306">
        <f>IF(A170=$F$6, $B$18*$B$16*$B$17/1000000, 0) + IF(A170=$F$7, $B$18*$B$16*$B$17/1000000, 0) + IF(A170=$F$8, $B$18*$B$16*$B$17/1000000, 0) + IF(A170=$F$9, $B$18*$B$16*$B$17/1000000, 0) + IF(A170=$F$10, $B$18*$B$16*$B$17/1000000, 0) + IF(A170=$F$11, $B$18*$B$16*$B$17/1000000, 0) + IF(A170=$F$12, $B$18*$B$16*$B$17/1000000, 0) + IF(A170=$F$13, $B$18*$B$16*$B$17/1000000, 0) + IF(A170=$F$14, $B$18*$B$16*$B$17/1000000, 0)</f>
        <v/>
      </c>
      <c r="X170" s="306">
        <f>V170-W170-C170</f>
        <v/>
      </c>
      <c r="Y170" s="306">
        <f>IF(AND(A170&lt;=$B$24, X170&gt;0), X170*$B$23, 0)</f>
        <v/>
      </c>
      <c r="Z170" s="306">
        <f>X170-Y170</f>
        <v/>
      </c>
      <c r="AA170" s="306">
        <f>IF(AND(A170=$B$19, $B$21=1), O170*$B$20, 0)</f>
        <v/>
      </c>
      <c r="AB170" s="306">
        <f>AB169+Z170+AA170</f>
        <v/>
      </c>
    </row>
    <row r="171">
      <c r="A171" s="306" t="n">
        <v>141</v>
      </c>
      <c r="B171" s="306">
        <f>CEILING(A171/12,1)</f>
        <v/>
      </c>
      <c r="C171" s="306">
        <f>IF(A171&lt;=12, $B$15/12, 0)</f>
        <v/>
      </c>
      <c r="D171" s="306">
        <f>INDEX('26. Team Comp'!$D$28:$R$28, B171) * 0.001 / 12</f>
        <v/>
      </c>
      <c r="E171" s="306">
        <f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+ (IF(MAX(0, A171 - $F$11 + 1)&lt;=0, 0, IF(MAX(0, A171 - $F$11 + 1)&lt;=6, 70 - (70-14)*(MAX(0, A171 - $F$11 + 1)-1)/5, IF(MAX(0, A171 - $F$11 + 1)&lt;=24, 14 - 14*(MAX(0, A171 - $F$11 + 1)-6)/18, 0)))) + (IF(MAX(0, A171 - $F$12 + 1)&lt;=0, 0, IF(MAX(0, A171 - $F$12 + 1)&lt;=6, 70 - (70-14)*(MAX(0, A171 - $F$12 + 1)-1)/5, IF(MAX(0, A171 - $F$12 + 1)&lt;=24, 14 - 14*(MAX(0, A171 - $F$12 + 1)-6)/18, 0)))) + (IF(MAX(0, A171 - $F$13 + 1)&lt;=0, 0, IF(MAX(0, A171 - $F$13 + 1)&lt;=6, 70 - (70-14)*(MAX(0, A171 - $F$13 + 1)-1)/5, IF(MAX(0, A171 - $F$13 + 1)&lt;=24, 14 - 14*(MAX(0, A171 - $F$13 + 1)-6)/18, 0)))) + (IF(MAX(0, A171 - $F$14 + 1)&lt;=0, 0, IF(MAX(0, A171 - $F$14 + 1)&lt;=6, 70 - (70-14)*(MAX(0, A171 - $F$14 + 1)-1)/5, IF(MAX(0, A171 - $F$14 + 1)&lt;=24, 14 - 14*(MAX(0, A171 - $F$14 + 1)-6)/18, 0)))) ) * 200 / 12 / 1000</f>
        <v/>
      </c>
      <c r="F171" s="306">
        <f>IF(A171&lt;$F$6,0,IF(AND($B$21=1,A171&gt;$B$19),0,$E$6*$G$6^MIN((A171-$F$6)/12,6)*MIN($G$6,0.85)^MAX(0,(A171-$F$6)/12-6)))</f>
        <v/>
      </c>
      <c r="G171" s="306">
        <f>IF(A171&lt;$F$7,0,IF(AND($B$21=1,A171&gt;$B$19),0,$E$7*$G$7^MIN((A171-$F$7)/12,6)*MIN($G$7,0.85)^MAX(0,(A171-$F$7)/12-6)))</f>
        <v/>
      </c>
      <c r="H171" s="306">
        <f>IF(A171&lt;$F$8,0,IF(AND($B$21=1,A171&gt;$B$19),0,$E$8*$G$8^MIN((A171-$F$8)/12,6)*MIN($G$8,0.85)^MAX(0,(A171-$F$8)/12-6)))</f>
        <v/>
      </c>
      <c r="I171" s="306">
        <f>IF(A171&lt;$F$9,0,IF(AND($B$21=1,A171&gt;$B$19),0,$E$9*$G$9^MIN((A171-$F$9)/12,6)*MIN($G$9,0.85)^MAX(0,(A171-$F$9)/12-6)))</f>
        <v/>
      </c>
      <c r="J171" s="306">
        <f>IF(A171&lt;$F$10,0,IF(AND($B$21=1,A171&gt;$B$19),0,$E$10*$G$10^MIN((A171-$F$10)/12,6)*MIN($G$10,0.85)^MAX(0,(A171-$F$10)/12-6)))</f>
        <v/>
      </c>
      <c r="K171" s="306">
        <f>IF(A171&lt;$F$11,0,IF(AND($B$21=1,A171&gt;$B$19),0,$E$11*$G$11^MIN((A171-$F$11)/12,6)*MIN($G$11,0.85)^MAX(0,(A171-$F$11)/12-6)))</f>
        <v/>
      </c>
      <c r="L171" s="306">
        <f>IF(A171&lt;$F$12,0,IF(AND($B$21=1,A171&gt;$B$19),0,$E$12*$G$12^MIN((A171-$F$12)/12,6)*MIN($G$12,0.85)^MAX(0,(A171-$F$12)/12-6)))</f>
        <v/>
      </c>
      <c r="M171" s="306">
        <f>IF(A171&lt;$F$13,0,IF(AND($B$21=1,A171&gt;$B$19),0,$E$13*$G$13^MIN((A171-$F$13)/12,6)*MIN($G$13,0.85)^MAX(0,(A171-$F$13)/12-6)))</f>
        <v/>
      </c>
      <c r="N171" s="306">
        <f>IF(A171&lt;$F$14,0,IF(AND($B$21=1,A171&gt;$B$19),0,$E$14*$G$14^MIN((A171-$F$14)/12,6)*MIN($G$14,0.85)^MAX(0,(A171-$F$14)/12-6)))</f>
        <v/>
      </c>
      <c r="O171" s="306">
        <f>SUM(F171:N171)</f>
        <v/>
      </c>
      <c r="P171" s="306">
        <f>O171/12</f>
        <v/>
      </c>
      <c r="Q171" s="306">
        <f>P171*$B$8</f>
        <v/>
      </c>
      <c r="R171" s="306">
        <f>P171*$B$9</f>
        <v/>
      </c>
      <c r="S171" s="306">
        <f>P171*$B$10</f>
        <v/>
      </c>
      <c r="T171" s="306">
        <f>P171-Q171-R171-S171-D171-E171</f>
        <v/>
      </c>
      <c r="U171" s="306">
        <f>MAX(0, T171 - $B$7*P171)</f>
        <v/>
      </c>
      <c r="V171" s="306">
        <f>T171-U171</f>
        <v/>
      </c>
      <c r="W171" s="306">
        <f>IF(A171=$F$6, $B$18*$B$16*$B$17/1000000, 0) + IF(A171=$F$7, $B$18*$B$16*$B$17/1000000, 0) + IF(A171=$F$8, $B$18*$B$16*$B$17/1000000, 0) + IF(A171=$F$9, $B$18*$B$16*$B$17/1000000, 0) + IF(A171=$F$10, $B$18*$B$16*$B$17/1000000, 0) + IF(A171=$F$11, $B$18*$B$16*$B$17/1000000, 0) + IF(A171=$F$12, $B$18*$B$16*$B$17/1000000, 0) + IF(A171=$F$13, $B$18*$B$16*$B$17/1000000, 0) + IF(A171=$F$14, $B$18*$B$16*$B$17/1000000, 0)</f>
        <v/>
      </c>
      <c r="X171" s="306">
        <f>V171-W171-C171</f>
        <v/>
      </c>
      <c r="Y171" s="306">
        <f>IF(AND(A171&lt;=$B$24, X171&gt;0), X171*$B$23, 0)</f>
        <v/>
      </c>
      <c r="Z171" s="306">
        <f>X171-Y171</f>
        <v/>
      </c>
      <c r="AA171" s="306">
        <f>IF(AND(A171=$B$19, $B$21=1), O171*$B$20, 0)</f>
        <v/>
      </c>
      <c r="AB171" s="306">
        <f>AB170+Z171+AA171</f>
        <v/>
      </c>
    </row>
    <row r="172">
      <c r="A172" s="306" t="n">
        <v>142</v>
      </c>
      <c r="B172" s="306">
        <f>CEILING(A172/12,1)</f>
        <v/>
      </c>
      <c r="C172" s="306">
        <f>IF(A172&lt;=12, $B$15/12, 0)</f>
        <v/>
      </c>
      <c r="D172" s="306">
        <f>INDEX('26. Team Comp'!$D$28:$R$28, B172) * 0.001 / 12</f>
        <v/>
      </c>
      <c r="E172" s="306">
        <f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+ (IF(MAX(0, A172 - $F$11 + 1)&lt;=0, 0, IF(MAX(0, A172 - $F$11 + 1)&lt;=6, 70 - (70-14)*(MAX(0, A172 - $F$11 + 1)-1)/5, IF(MAX(0, A172 - $F$11 + 1)&lt;=24, 14 - 14*(MAX(0, A172 - $F$11 + 1)-6)/18, 0)))) + (IF(MAX(0, A172 - $F$12 + 1)&lt;=0, 0, IF(MAX(0, A172 - $F$12 + 1)&lt;=6, 70 - (70-14)*(MAX(0, A172 - $F$12 + 1)-1)/5, IF(MAX(0, A172 - $F$12 + 1)&lt;=24, 14 - 14*(MAX(0, A172 - $F$12 + 1)-6)/18, 0)))) + (IF(MAX(0, A172 - $F$13 + 1)&lt;=0, 0, IF(MAX(0, A172 - $F$13 + 1)&lt;=6, 70 - (70-14)*(MAX(0, A172 - $F$13 + 1)-1)/5, IF(MAX(0, A172 - $F$13 + 1)&lt;=24, 14 - 14*(MAX(0, A172 - $F$13 + 1)-6)/18, 0)))) + (IF(MAX(0, A172 - $F$14 + 1)&lt;=0, 0, IF(MAX(0, A172 - $F$14 + 1)&lt;=6, 70 - (70-14)*(MAX(0, A172 - $F$14 + 1)-1)/5, IF(MAX(0, A172 - $F$14 + 1)&lt;=24, 14 - 14*(MAX(0, A172 - $F$14 + 1)-6)/18, 0)))) ) * 200 / 12 / 1000</f>
        <v/>
      </c>
      <c r="F172" s="306">
        <f>IF(A172&lt;$F$6,0,IF(AND($B$21=1,A172&gt;$B$19),0,$E$6*$G$6^MIN((A172-$F$6)/12,6)*MIN($G$6,0.85)^MAX(0,(A172-$F$6)/12-6)))</f>
        <v/>
      </c>
      <c r="G172" s="306">
        <f>IF(A172&lt;$F$7,0,IF(AND($B$21=1,A172&gt;$B$19),0,$E$7*$G$7^MIN((A172-$F$7)/12,6)*MIN($G$7,0.85)^MAX(0,(A172-$F$7)/12-6)))</f>
        <v/>
      </c>
      <c r="H172" s="306">
        <f>IF(A172&lt;$F$8,0,IF(AND($B$21=1,A172&gt;$B$19),0,$E$8*$G$8^MIN((A172-$F$8)/12,6)*MIN($G$8,0.85)^MAX(0,(A172-$F$8)/12-6)))</f>
        <v/>
      </c>
      <c r="I172" s="306">
        <f>IF(A172&lt;$F$9,0,IF(AND($B$21=1,A172&gt;$B$19),0,$E$9*$G$9^MIN((A172-$F$9)/12,6)*MIN($G$9,0.85)^MAX(0,(A172-$F$9)/12-6)))</f>
        <v/>
      </c>
      <c r="J172" s="306">
        <f>IF(A172&lt;$F$10,0,IF(AND($B$21=1,A172&gt;$B$19),0,$E$10*$G$10^MIN((A172-$F$10)/12,6)*MIN($G$10,0.85)^MAX(0,(A172-$F$10)/12-6)))</f>
        <v/>
      </c>
      <c r="K172" s="306">
        <f>IF(A172&lt;$F$11,0,IF(AND($B$21=1,A172&gt;$B$19),0,$E$11*$G$11^MIN((A172-$F$11)/12,6)*MIN($G$11,0.85)^MAX(0,(A172-$F$11)/12-6)))</f>
        <v/>
      </c>
      <c r="L172" s="306">
        <f>IF(A172&lt;$F$12,0,IF(AND($B$21=1,A172&gt;$B$19),0,$E$12*$G$12^MIN((A172-$F$12)/12,6)*MIN($G$12,0.85)^MAX(0,(A172-$F$12)/12-6)))</f>
        <v/>
      </c>
      <c r="M172" s="306">
        <f>IF(A172&lt;$F$13,0,IF(AND($B$21=1,A172&gt;$B$19),0,$E$13*$G$13^MIN((A172-$F$13)/12,6)*MIN($G$13,0.85)^MAX(0,(A172-$F$13)/12-6)))</f>
        <v/>
      </c>
      <c r="N172" s="306">
        <f>IF(A172&lt;$F$14,0,IF(AND($B$21=1,A172&gt;$B$19),0,$E$14*$G$14^MIN((A172-$F$14)/12,6)*MIN($G$14,0.85)^MAX(0,(A172-$F$14)/12-6)))</f>
        <v/>
      </c>
      <c r="O172" s="306">
        <f>SUM(F172:N172)</f>
        <v/>
      </c>
      <c r="P172" s="306">
        <f>O172/12</f>
        <v/>
      </c>
      <c r="Q172" s="306">
        <f>P172*$B$8</f>
        <v/>
      </c>
      <c r="R172" s="306">
        <f>P172*$B$9</f>
        <v/>
      </c>
      <c r="S172" s="306">
        <f>P172*$B$10</f>
        <v/>
      </c>
      <c r="T172" s="306">
        <f>P172-Q172-R172-S172-D172-E172</f>
        <v/>
      </c>
      <c r="U172" s="306">
        <f>MAX(0, T172 - $B$7*P172)</f>
        <v/>
      </c>
      <c r="V172" s="306">
        <f>T172-U172</f>
        <v/>
      </c>
      <c r="W172" s="306">
        <f>IF(A172=$F$6, $B$18*$B$16*$B$17/1000000, 0) + IF(A172=$F$7, $B$18*$B$16*$B$17/1000000, 0) + IF(A172=$F$8, $B$18*$B$16*$B$17/1000000, 0) + IF(A172=$F$9, $B$18*$B$16*$B$17/1000000, 0) + IF(A172=$F$10, $B$18*$B$16*$B$17/1000000, 0) + IF(A172=$F$11, $B$18*$B$16*$B$17/1000000, 0) + IF(A172=$F$12, $B$18*$B$16*$B$17/1000000, 0) + IF(A172=$F$13, $B$18*$B$16*$B$17/1000000, 0) + IF(A172=$F$14, $B$18*$B$16*$B$17/1000000, 0)</f>
        <v/>
      </c>
      <c r="X172" s="306">
        <f>V172-W172-C172</f>
        <v/>
      </c>
      <c r="Y172" s="306">
        <f>IF(AND(A172&lt;=$B$24, X172&gt;0), X172*$B$23, 0)</f>
        <v/>
      </c>
      <c r="Z172" s="306">
        <f>X172-Y172</f>
        <v/>
      </c>
      <c r="AA172" s="306">
        <f>IF(AND(A172=$B$19, $B$21=1), O172*$B$20, 0)</f>
        <v/>
      </c>
      <c r="AB172" s="306">
        <f>AB171+Z172+AA172</f>
        <v/>
      </c>
    </row>
    <row r="173">
      <c r="A173" s="306" t="n">
        <v>143</v>
      </c>
      <c r="B173" s="306">
        <f>CEILING(A173/12,1)</f>
        <v/>
      </c>
      <c r="C173" s="306">
        <f>IF(A173&lt;=12, $B$15/12, 0)</f>
        <v/>
      </c>
      <c r="D173" s="306">
        <f>INDEX('26. Team Comp'!$D$28:$R$28, B173) * 0.001 / 12</f>
        <v/>
      </c>
      <c r="E173" s="306">
        <f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+ (IF(MAX(0, A173 - $F$11 + 1)&lt;=0, 0, IF(MAX(0, A173 - $F$11 + 1)&lt;=6, 70 - (70-14)*(MAX(0, A173 - $F$11 + 1)-1)/5, IF(MAX(0, A173 - $F$11 + 1)&lt;=24, 14 - 14*(MAX(0, A173 - $F$11 + 1)-6)/18, 0)))) + (IF(MAX(0, A173 - $F$12 + 1)&lt;=0, 0, IF(MAX(0, A173 - $F$12 + 1)&lt;=6, 70 - (70-14)*(MAX(0, A173 - $F$12 + 1)-1)/5, IF(MAX(0, A173 - $F$12 + 1)&lt;=24, 14 - 14*(MAX(0, A173 - $F$12 + 1)-6)/18, 0)))) + (IF(MAX(0, A173 - $F$13 + 1)&lt;=0, 0, IF(MAX(0, A173 - $F$13 + 1)&lt;=6, 70 - (70-14)*(MAX(0, A173 - $F$13 + 1)-1)/5, IF(MAX(0, A173 - $F$13 + 1)&lt;=24, 14 - 14*(MAX(0, A173 - $F$13 + 1)-6)/18, 0)))) + (IF(MAX(0, A173 - $F$14 + 1)&lt;=0, 0, IF(MAX(0, A173 - $F$14 + 1)&lt;=6, 70 - (70-14)*(MAX(0, A173 - $F$14 + 1)-1)/5, IF(MAX(0, A173 - $F$14 + 1)&lt;=24, 14 - 14*(MAX(0, A173 - $F$14 + 1)-6)/18, 0)))) ) * 200 / 12 / 1000</f>
        <v/>
      </c>
      <c r="F173" s="306">
        <f>IF(A173&lt;$F$6,0,IF(AND($B$21=1,A173&gt;$B$19),0,$E$6*$G$6^MIN((A173-$F$6)/12,6)*MIN($G$6,0.85)^MAX(0,(A173-$F$6)/12-6)))</f>
        <v/>
      </c>
      <c r="G173" s="306">
        <f>IF(A173&lt;$F$7,0,IF(AND($B$21=1,A173&gt;$B$19),0,$E$7*$G$7^MIN((A173-$F$7)/12,6)*MIN($G$7,0.85)^MAX(0,(A173-$F$7)/12-6)))</f>
        <v/>
      </c>
      <c r="H173" s="306">
        <f>IF(A173&lt;$F$8,0,IF(AND($B$21=1,A173&gt;$B$19),0,$E$8*$G$8^MIN((A173-$F$8)/12,6)*MIN($G$8,0.85)^MAX(0,(A173-$F$8)/12-6)))</f>
        <v/>
      </c>
      <c r="I173" s="306">
        <f>IF(A173&lt;$F$9,0,IF(AND($B$21=1,A173&gt;$B$19),0,$E$9*$G$9^MIN((A173-$F$9)/12,6)*MIN($G$9,0.85)^MAX(0,(A173-$F$9)/12-6)))</f>
        <v/>
      </c>
      <c r="J173" s="306">
        <f>IF(A173&lt;$F$10,0,IF(AND($B$21=1,A173&gt;$B$19),0,$E$10*$G$10^MIN((A173-$F$10)/12,6)*MIN($G$10,0.85)^MAX(0,(A173-$F$10)/12-6)))</f>
        <v/>
      </c>
      <c r="K173" s="306">
        <f>IF(A173&lt;$F$11,0,IF(AND($B$21=1,A173&gt;$B$19),0,$E$11*$G$11^MIN((A173-$F$11)/12,6)*MIN($G$11,0.85)^MAX(0,(A173-$F$11)/12-6)))</f>
        <v/>
      </c>
      <c r="L173" s="306">
        <f>IF(A173&lt;$F$12,0,IF(AND($B$21=1,A173&gt;$B$19),0,$E$12*$G$12^MIN((A173-$F$12)/12,6)*MIN($G$12,0.85)^MAX(0,(A173-$F$12)/12-6)))</f>
        <v/>
      </c>
      <c r="M173" s="306">
        <f>IF(A173&lt;$F$13,0,IF(AND($B$21=1,A173&gt;$B$19),0,$E$13*$G$13^MIN((A173-$F$13)/12,6)*MIN($G$13,0.85)^MAX(0,(A173-$F$13)/12-6)))</f>
        <v/>
      </c>
      <c r="N173" s="306">
        <f>IF(A173&lt;$F$14,0,IF(AND($B$21=1,A173&gt;$B$19),0,$E$14*$G$14^MIN((A173-$F$14)/12,6)*MIN($G$14,0.85)^MAX(0,(A173-$F$14)/12-6)))</f>
        <v/>
      </c>
      <c r="O173" s="306">
        <f>SUM(F173:N173)</f>
        <v/>
      </c>
      <c r="P173" s="306">
        <f>O173/12</f>
        <v/>
      </c>
      <c r="Q173" s="306">
        <f>P173*$B$8</f>
        <v/>
      </c>
      <c r="R173" s="306">
        <f>P173*$B$9</f>
        <v/>
      </c>
      <c r="S173" s="306">
        <f>P173*$B$10</f>
        <v/>
      </c>
      <c r="T173" s="306">
        <f>P173-Q173-R173-S173-D173-E173</f>
        <v/>
      </c>
      <c r="U173" s="306">
        <f>MAX(0, T173 - $B$7*P173)</f>
        <v/>
      </c>
      <c r="V173" s="306">
        <f>T173-U173</f>
        <v/>
      </c>
      <c r="W173" s="306">
        <f>IF(A173=$F$6, $B$18*$B$16*$B$17/1000000, 0) + IF(A173=$F$7, $B$18*$B$16*$B$17/1000000, 0) + IF(A173=$F$8, $B$18*$B$16*$B$17/1000000, 0) + IF(A173=$F$9, $B$18*$B$16*$B$17/1000000, 0) + IF(A173=$F$10, $B$18*$B$16*$B$17/1000000, 0) + IF(A173=$F$11, $B$18*$B$16*$B$17/1000000, 0) + IF(A173=$F$12, $B$18*$B$16*$B$17/1000000, 0) + IF(A173=$F$13, $B$18*$B$16*$B$17/1000000, 0) + IF(A173=$F$14, $B$18*$B$16*$B$17/1000000, 0)</f>
        <v/>
      </c>
      <c r="X173" s="306">
        <f>V173-W173-C173</f>
        <v/>
      </c>
      <c r="Y173" s="306">
        <f>IF(AND(A173&lt;=$B$24, X173&gt;0), X173*$B$23, 0)</f>
        <v/>
      </c>
      <c r="Z173" s="306">
        <f>X173-Y173</f>
        <v/>
      </c>
      <c r="AA173" s="306">
        <f>IF(AND(A173=$B$19, $B$21=1), O173*$B$20, 0)</f>
        <v/>
      </c>
      <c r="AB173" s="306">
        <f>AB172+Z173+AA173</f>
        <v/>
      </c>
    </row>
    <row r="174">
      <c r="A174" s="306" t="n">
        <v>144</v>
      </c>
      <c r="B174" s="306">
        <f>CEILING(A174/12,1)</f>
        <v/>
      </c>
      <c r="C174" s="306">
        <f>IF(A174&lt;=12, $B$15/12, 0)</f>
        <v/>
      </c>
      <c r="D174" s="306">
        <f>INDEX('26. Team Comp'!$D$28:$R$28, B174) * 0.001 / 12</f>
        <v/>
      </c>
      <c r="E174" s="306">
        <f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+ (IF(MAX(0, A174 - $F$11 + 1)&lt;=0, 0, IF(MAX(0, A174 - $F$11 + 1)&lt;=6, 70 - (70-14)*(MAX(0, A174 - $F$11 + 1)-1)/5, IF(MAX(0, A174 - $F$11 + 1)&lt;=24, 14 - 14*(MAX(0, A174 - $F$11 + 1)-6)/18, 0)))) + (IF(MAX(0, A174 - $F$12 + 1)&lt;=0, 0, IF(MAX(0, A174 - $F$12 + 1)&lt;=6, 70 - (70-14)*(MAX(0, A174 - $F$12 + 1)-1)/5, IF(MAX(0, A174 - $F$12 + 1)&lt;=24, 14 - 14*(MAX(0, A174 - $F$12 + 1)-6)/18, 0)))) + (IF(MAX(0, A174 - $F$13 + 1)&lt;=0, 0, IF(MAX(0, A174 - $F$13 + 1)&lt;=6, 70 - (70-14)*(MAX(0, A174 - $F$13 + 1)-1)/5, IF(MAX(0, A174 - $F$13 + 1)&lt;=24, 14 - 14*(MAX(0, A174 - $F$13 + 1)-6)/18, 0)))) + (IF(MAX(0, A174 - $F$14 + 1)&lt;=0, 0, IF(MAX(0, A174 - $F$14 + 1)&lt;=6, 70 - (70-14)*(MAX(0, A174 - $F$14 + 1)-1)/5, IF(MAX(0, A174 - $F$14 + 1)&lt;=24, 14 - 14*(MAX(0, A174 - $F$14 + 1)-6)/18, 0)))) ) * 200 / 12 / 1000</f>
        <v/>
      </c>
      <c r="F174" s="306">
        <f>IF(A174&lt;$F$6,0,IF(AND($B$21=1,A174&gt;$B$19),0,$E$6*$G$6^MIN((A174-$F$6)/12,6)*MIN($G$6,0.85)^MAX(0,(A174-$F$6)/12-6)))</f>
        <v/>
      </c>
      <c r="G174" s="306">
        <f>IF(A174&lt;$F$7,0,IF(AND($B$21=1,A174&gt;$B$19),0,$E$7*$G$7^MIN((A174-$F$7)/12,6)*MIN($G$7,0.85)^MAX(0,(A174-$F$7)/12-6)))</f>
        <v/>
      </c>
      <c r="H174" s="306">
        <f>IF(A174&lt;$F$8,0,IF(AND($B$21=1,A174&gt;$B$19),0,$E$8*$G$8^MIN((A174-$F$8)/12,6)*MIN($G$8,0.85)^MAX(0,(A174-$F$8)/12-6)))</f>
        <v/>
      </c>
      <c r="I174" s="306">
        <f>IF(A174&lt;$F$9,0,IF(AND($B$21=1,A174&gt;$B$19),0,$E$9*$G$9^MIN((A174-$F$9)/12,6)*MIN($G$9,0.85)^MAX(0,(A174-$F$9)/12-6)))</f>
        <v/>
      </c>
      <c r="J174" s="306">
        <f>IF(A174&lt;$F$10,0,IF(AND($B$21=1,A174&gt;$B$19),0,$E$10*$G$10^MIN((A174-$F$10)/12,6)*MIN($G$10,0.85)^MAX(0,(A174-$F$10)/12-6)))</f>
        <v/>
      </c>
      <c r="K174" s="306">
        <f>IF(A174&lt;$F$11,0,IF(AND($B$21=1,A174&gt;$B$19),0,$E$11*$G$11^MIN((A174-$F$11)/12,6)*MIN($G$11,0.85)^MAX(0,(A174-$F$11)/12-6)))</f>
        <v/>
      </c>
      <c r="L174" s="306">
        <f>IF(A174&lt;$F$12,0,IF(AND($B$21=1,A174&gt;$B$19),0,$E$12*$G$12^MIN((A174-$F$12)/12,6)*MIN($G$12,0.85)^MAX(0,(A174-$F$12)/12-6)))</f>
        <v/>
      </c>
      <c r="M174" s="306">
        <f>IF(A174&lt;$F$13,0,IF(AND($B$21=1,A174&gt;$B$19),0,$E$13*$G$13^MIN((A174-$F$13)/12,6)*MIN($G$13,0.85)^MAX(0,(A174-$F$13)/12-6)))</f>
        <v/>
      </c>
      <c r="N174" s="306">
        <f>IF(A174&lt;$F$14,0,IF(AND($B$21=1,A174&gt;$B$19),0,$E$14*$G$14^MIN((A174-$F$14)/12,6)*MIN($G$14,0.85)^MAX(0,(A174-$F$14)/12-6)))</f>
        <v/>
      </c>
      <c r="O174" s="306">
        <f>SUM(F174:N174)</f>
        <v/>
      </c>
      <c r="P174" s="306">
        <f>O174/12</f>
        <v/>
      </c>
      <c r="Q174" s="306">
        <f>P174*$B$8</f>
        <v/>
      </c>
      <c r="R174" s="306">
        <f>P174*$B$9</f>
        <v/>
      </c>
      <c r="S174" s="306">
        <f>P174*$B$10</f>
        <v/>
      </c>
      <c r="T174" s="306">
        <f>P174-Q174-R174-S174-D174-E174</f>
        <v/>
      </c>
      <c r="U174" s="306">
        <f>MAX(0, T174 - $B$7*P174)</f>
        <v/>
      </c>
      <c r="V174" s="306">
        <f>T174-U174</f>
        <v/>
      </c>
      <c r="W174" s="306">
        <f>IF(A174=$F$6, $B$18*$B$16*$B$17/1000000, 0) + IF(A174=$F$7, $B$18*$B$16*$B$17/1000000, 0) + IF(A174=$F$8, $B$18*$B$16*$B$17/1000000, 0) + IF(A174=$F$9, $B$18*$B$16*$B$17/1000000, 0) + IF(A174=$F$10, $B$18*$B$16*$B$17/1000000, 0) + IF(A174=$F$11, $B$18*$B$16*$B$17/1000000, 0) + IF(A174=$F$12, $B$18*$B$16*$B$17/1000000, 0) + IF(A174=$F$13, $B$18*$B$16*$B$17/1000000, 0) + IF(A174=$F$14, $B$18*$B$16*$B$17/1000000, 0)</f>
        <v/>
      </c>
      <c r="X174" s="306">
        <f>V174-W174-C174</f>
        <v/>
      </c>
      <c r="Y174" s="306">
        <f>IF(AND(A174&lt;=$B$24, X174&gt;0), X174*$B$23, 0)</f>
        <v/>
      </c>
      <c r="Z174" s="306">
        <f>X174-Y174</f>
        <v/>
      </c>
      <c r="AA174" s="306">
        <f>IF(AND(A174=$B$19, $B$21=1), O174*$B$20, 0)</f>
        <v/>
      </c>
      <c r="AB174" s="306">
        <f>AB173+Z174+AA174</f>
        <v/>
      </c>
    </row>
    <row r="175">
      <c r="A175" s="306" t="n">
        <v>145</v>
      </c>
      <c r="B175" s="306">
        <f>CEILING(A175/12,1)</f>
        <v/>
      </c>
      <c r="C175" s="306">
        <f>IF(A175&lt;=12, $B$15/12, 0)</f>
        <v/>
      </c>
      <c r="D175" s="306">
        <f>INDEX('26. Team Comp'!$D$28:$R$28, B175) * 0.001 / 12</f>
        <v/>
      </c>
      <c r="E175" s="306">
        <f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+ (IF(MAX(0, A175 - $F$11 + 1)&lt;=0, 0, IF(MAX(0, A175 - $F$11 + 1)&lt;=6, 70 - (70-14)*(MAX(0, A175 - $F$11 + 1)-1)/5, IF(MAX(0, A175 - $F$11 + 1)&lt;=24, 14 - 14*(MAX(0, A175 - $F$11 + 1)-6)/18, 0)))) + (IF(MAX(0, A175 - $F$12 + 1)&lt;=0, 0, IF(MAX(0, A175 - $F$12 + 1)&lt;=6, 70 - (70-14)*(MAX(0, A175 - $F$12 + 1)-1)/5, IF(MAX(0, A175 - $F$12 + 1)&lt;=24, 14 - 14*(MAX(0, A175 - $F$12 + 1)-6)/18, 0)))) + (IF(MAX(0, A175 - $F$13 + 1)&lt;=0, 0, IF(MAX(0, A175 - $F$13 + 1)&lt;=6, 70 - (70-14)*(MAX(0, A175 - $F$13 + 1)-1)/5, IF(MAX(0, A175 - $F$13 + 1)&lt;=24, 14 - 14*(MAX(0, A175 - $F$13 + 1)-6)/18, 0)))) + (IF(MAX(0, A175 - $F$14 + 1)&lt;=0, 0, IF(MAX(0, A175 - $F$14 + 1)&lt;=6, 70 - (70-14)*(MAX(0, A175 - $F$14 + 1)-1)/5, IF(MAX(0, A175 - $F$14 + 1)&lt;=24, 14 - 14*(MAX(0, A175 - $F$14 + 1)-6)/18, 0)))) ) * 200 / 12 / 1000</f>
        <v/>
      </c>
      <c r="F175" s="306">
        <f>IF(A175&lt;$F$6,0,IF(AND($B$21=1,A175&gt;$B$19),0,$E$6*$G$6^MIN((A175-$F$6)/12,6)*MIN($G$6,0.85)^MAX(0,(A175-$F$6)/12-6)))</f>
        <v/>
      </c>
      <c r="G175" s="306">
        <f>IF(A175&lt;$F$7,0,IF(AND($B$21=1,A175&gt;$B$19),0,$E$7*$G$7^MIN((A175-$F$7)/12,6)*MIN($G$7,0.85)^MAX(0,(A175-$F$7)/12-6)))</f>
        <v/>
      </c>
      <c r="H175" s="306">
        <f>IF(A175&lt;$F$8,0,IF(AND($B$21=1,A175&gt;$B$19),0,$E$8*$G$8^MIN((A175-$F$8)/12,6)*MIN($G$8,0.85)^MAX(0,(A175-$F$8)/12-6)))</f>
        <v/>
      </c>
      <c r="I175" s="306">
        <f>IF(A175&lt;$F$9,0,IF(AND($B$21=1,A175&gt;$B$19),0,$E$9*$G$9^MIN((A175-$F$9)/12,6)*MIN($G$9,0.85)^MAX(0,(A175-$F$9)/12-6)))</f>
        <v/>
      </c>
      <c r="J175" s="306">
        <f>IF(A175&lt;$F$10,0,IF(AND($B$21=1,A175&gt;$B$19),0,$E$10*$G$10^MIN((A175-$F$10)/12,6)*MIN($G$10,0.85)^MAX(0,(A175-$F$10)/12-6)))</f>
        <v/>
      </c>
      <c r="K175" s="306">
        <f>IF(A175&lt;$F$11,0,IF(AND($B$21=1,A175&gt;$B$19),0,$E$11*$G$11^MIN((A175-$F$11)/12,6)*MIN($G$11,0.85)^MAX(0,(A175-$F$11)/12-6)))</f>
        <v/>
      </c>
      <c r="L175" s="306">
        <f>IF(A175&lt;$F$12,0,IF(AND($B$21=1,A175&gt;$B$19),0,$E$12*$G$12^MIN((A175-$F$12)/12,6)*MIN($G$12,0.85)^MAX(0,(A175-$F$12)/12-6)))</f>
        <v/>
      </c>
      <c r="M175" s="306">
        <f>IF(A175&lt;$F$13,0,IF(AND($B$21=1,A175&gt;$B$19),0,$E$13*$G$13^MIN((A175-$F$13)/12,6)*MIN($G$13,0.85)^MAX(0,(A175-$F$13)/12-6)))</f>
        <v/>
      </c>
      <c r="N175" s="306">
        <f>IF(A175&lt;$F$14,0,IF(AND($B$21=1,A175&gt;$B$19),0,$E$14*$G$14^MIN((A175-$F$14)/12,6)*MIN($G$14,0.85)^MAX(0,(A175-$F$14)/12-6)))</f>
        <v/>
      </c>
      <c r="O175" s="306">
        <f>SUM(F175:N175)</f>
        <v/>
      </c>
      <c r="P175" s="306">
        <f>O175/12</f>
        <v/>
      </c>
      <c r="Q175" s="306">
        <f>P175*$B$8</f>
        <v/>
      </c>
      <c r="R175" s="306">
        <f>P175*$B$9</f>
        <v/>
      </c>
      <c r="S175" s="306">
        <f>P175*$B$10</f>
        <v/>
      </c>
      <c r="T175" s="306">
        <f>P175-Q175-R175-S175-D175-E175</f>
        <v/>
      </c>
      <c r="U175" s="306">
        <f>MAX(0, T175 - $B$7*P175)</f>
        <v/>
      </c>
      <c r="V175" s="306">
        <f>T175-U175</f>
        <v/>
      </c>
      <c r="W175" s="306">
        <f>IF(A175=$F$6, $B$18*$B$16*$B$17/1000000, 0) + IF(A175=$F$7, $B$18*$B$16*$B$17/1000000, 0) + IF(A175=$F$8, $B$18*$B$16*$B$17/1000000, 0) + IF(A175=$F$9, $B$18*$B$16*$B$17/1000000, 0) + IF(A175=$F$10, $B$18*$B$16*$B$17/1000000, 0) + IF(A175=$F$11, $B$18*$B$16*$B$17/1000000, 0) + IF(A175=$F$12, $B$18*$B$16*$B$17/1000000, 0) + IF(A175=$F$13, $B$18*$B$16*$B$17/1000000, 0) + IF(A175=$F$14, $B$18*$B$16*$B$17/1000000, 0)</f>
        <v/>
      </c>
      <c r="X175" s="306">
        <f>V175-W175-C175</f>
        <v/>
      </c>
      <c r="Y175" s="306">
        <f>IF(AND(A175&lt;=$B$24, X175&gt;0), X175*$B$23, 0)</f>
        <v/>
      </c>
      <c r="Z175" s="306">
        <f>X175-Y175</f>
        <v/>
      </c>
      <c r="AA175" s="306">
        <f>IF(AND(A175=$B$19, $B$21=1), O175*$B$20, 0)</f>
        <v/>
      </c>
      <c r="AB175" s="306">
        <f>AB174+Z175+AA175</f>
        <v/>
      </c>
    </row>
    <row r="176">
      <c r="A176" s="306" t="n">
        <v>146</v>
      </c>
      <c r="B176" s="306">
        <f>CEILING(A176/12,1)</f>
        <v/>
      </c>
      <c r="C176" s="306">
        <f>IF(A176&lt;=12, $B$15/12, 0)</f>
        <v/>
      </c>
      <c r="D176" s="306">
        <f>INDEX('26. Team Comp'!$D$28:$R$28, B176) * 0.001 / 12</f>
        <v/>
      </c>
      <c r="E176" s="306">
        <f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+ (IF(MAX(0, A176 - $F$11 + 1)&lt;=0, 0, IF(MAX(0, A176 - $F$11 + 1)&lt;=6, 70 - (70-14)*(MAX(0, A176 - $F$11 + 1)-1)/5, IF(MAX(0, A176 - $F$11 + 1)&lt;=24, 14 - 14*(MAX(0, A176 - $F$11 + 1)-6)/18, 0)))) + (IF(MAX(0, A176 - $F$12 + 1)&lt;=0, 0, IF(MAX(0, A176 - $F$12 + 1)&lt;=6, 70 - (70-14)*(MAX(0, A176 - $F$12 + 1)-1)/5, IF(MAX(0, A176 - $F$12 + 1)&lt;=24, 14 - 14*(MAX(0, A176 - $F$12 + 1)-6)/18, 0)))) + (IF(MAX(0, A176 - $F$13 + 1)&lt;=0, 0, IF(MAX(0, A176 - $F$13 + 1)&lt;=6, 70 - (70-14)*(MAX(0, A176 - $F$13 + 1)-1)/5, IF(MAX(0, A176 - $F$13 + 1)&lt;=24, 14 - 14*(MAX(0, A176 - $F$13 + 1)-6)/18, 0)))) + (IF(MAX(0, A176 - $F$14 + 1)&lt;=0, 0, IF(MAX(0, A176 - $F$14 + 1)&lt;=6, 70 - (70-14)*(MAX(0, A176 - $F$14 + 1)-1)/5, IF(MAX(0, A176 - $F$14 + 1)&lt;=24, 14 - 14*(MAX(0, A176 - $F$14 + 1)-6)/18, 0)))) ) * 200 / 12 / 1000</f>
        <v/>
      </c>
      <c r="F176" s="306">
        <f>IF(A176&lt;$F$6,0,IF(AND($B$21=1,A176&gt;$B$19),0,$E$6*$G$6^MIN((A176-$F$6)/12,6)*MIN($G$6,0.85)^MAX(0,(A176-$F$6)/12-6)))</f>
        <v/>
      </c>
      <c r="G176" s="306">
        <f>IF(A176&lt;$F$7,0,IF(AND($B$21=1,A176&gt;$B$19),0,$E$7*$G$7^MIN((A176-$F$7)/12,6)*MIN($G$7,0.85)^MAX(0,(A176-$F$7)/12-6)))</f>
        <v/>
      </c>
      <c r="H176" s="306">
        <f>IF(A176&lt;$F$8,0,IF(AND($B$21=1,A176&gt;$B$19),0,$E$8*$G$8^MIN((A176-$F$8)/12,6)*MIN($G$8,0.85)^MAX(0,(A176-$F$8)/12-6)))</f>
        <v/>
      </c>
      <c r="I176" s="306">
        <f>IF(A176&lt;$F$9,0,IF(AND($B$21=1,A176&gt;$B$19),0,$E$9*$G$9^MIN((A176-$F$9)/12,6)*MIN($G$9,0.85)^MAX(0,(A176-$F$9)/12-6)))</f>
        <v/>
      </c>
      <c r="J176" s="306">
        <f>IF(A176&lt;$F$10,0,IF(AND($B$21=1,A176&gt;$B$19),0,$E$10*$G$10^MIN((A176-$F$10)/12,6)*MIN($G$10,0.85)^MAX(0,(A176-$F$10)/12-6)))</f>
        <v/>
      </c>
      <c r="K176" s="306">
        <f>IF(A176&lt;$F$11,0,IF(AND($B$21=1,A176&gt;$B$19),0,$E$11*$G$11^MIN((A176-$F$11)/12,6)*MIN($G$11,0.85)^MAX(0,(A176-$F$11)/12-6)))</f>
        <v/>
      </c>
      <c r="L176" s="306">
        <f>IF(A176&lt;$F$12,0,IF(AND($B$21=1,A176&gt;$B$19),0,$E$12*$G$12^MIN((A176-$F$12)/12,6)*MIN($G$12,0.85)^MAX(0,(A176-$F$12)/12-6)))</f>
        <v/>
      </c>
      <c r="M176" s="306">
        <f>IF(A176&lt;$F$13,0,IF(AND($B$21=1,A176&gt;$B$19),0,$E$13*$G$13^MIN((A176-$F$13)/12,6)*MIN($G$13,0.85)^MAX(0,(A176-$F$13)/12-6)))</f>
        <v/>
      </c>
      <c r="N176" s="306">
        <f>IF(A176&lt;$F$14,0,IF(AND($B$21=1,A176&gt;$B$19),0,$E$14*$G$14^MIN((A176-$F$14)/12,6)*MIN($G$14,0.85)^MAX(0,(A176-$F$14)/12-6)))</f>
        <v/>
      </c>
      <c r="O176" s="306">
        <f>SUM(F176:N176)</f>
        <v/>
      </c>
      <c r="P176" s="306">
        <f>O176/12</f>
        <v/>
      </c>
      <c r="Q176" s="306">
        <f>P176*$B$8</f>
        <v/>
      </c>
      <c r="R176" s="306">
        <f>P176*$B$9</f>
        <v/>
      </c>
      <c r="S176" s="306">
        <f>P176*$B$10</f>
        <v/>
      </c>
      <c r="T176" s="306">
        <f>P176-Q176-R176-S176-D176-E176</f>
        <v/>
      </c>
      <c r="U176" s="306">
        <f>MAX(0, T176 - $B$7*P176)</f>
        <v/>
      </c>
      <c r="V176" s="306">
        <f>T176-U176</f>
        <v/>
      </c>
      <c r="W176" s="306">
        <f>IF(A176=$F$6, $B$18*$B$16*$B$17/1000000, 0) + IF(A176=$F$7, $B$18*$B$16*$B$17/1000000, 0) + IF(A176=$F$8, $B$18*$B$16*$B$17/1000000, 0) + IF(A176=$F$9, $B$18*$B$16*$B$17/1000000, 0) + IF(A176=$F$10, $B$18*$B$16*$B$17/1000000, 0) + IF(A176=$F$11, $B$18*$B$16*$B$17/1000000, 0) + IF(A176=$F$12, $B$18*$B$16*$B$17/1000000, 0) + IF(A176=$F$13, $B$18*$B$16*$B$17/1000000, 0) + IF(A176=$F$14, $B$18*$B$16*$B$17/1000000, 0)</f>
        <v/>
      </c>
      <c r="X176" s="306">
        <f>V176-W176-C176</f>
        <v/>
      </c>
      <c r="Y176" s="306">
        <f>IF(AND(A176&lt;=$B$24, X176&gt;0), X176*$B$23, 0)</f>
        <v/>
      </c>
      <c r="Z176" s="306">
        <f>X176-Y176</f>
        <v/>
      </c>
      <c r="AA176" s="306">
        <f>IF(AND(A176=$B$19, $B$21=1), O176*$B$20, 0)</f>
        <v/>
      </c>
      <c r="AB176" s="306">
        <f>AB175+Z176+AA176</f>
        <v/>
      </c>
    </row>
    <row r="177">
      <c r="A177" s="306" t="n">
        <v>147</v>
      </c>
      <c r="B177" s="306">
        <f>CEILING(A177/12,1)</f>
        <v/>
      </c>
      <c r="C177" s="306">
        <f>IF(A177&lt;=12, $B$15/12, 0)</f>
        <v/>
      </c>
      <c r="D177" s="306">
        <f>INDEX('26. Team Comp'!$D$28:$R$28, B177) * 0.001 / 12</f>
        <v/>
      </c>
      <c r="E177" s="306">
        <f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+ (IF(MAX(0, A177 - $F$11 + 1)&lt;=0, 0, IF(MAX(0, A177 - $F$11 + 1)&lt;=6, 70 - (70-14)*(MAX(0, A177 - $F$11 + 1)-1)/5, IF(MAX(0, A177 - $F$11 + 1)&lt;=24, 14 - 14*(MAX(0, A177 - $F$11 + 1)-6)/18, 0)))) + (IF(MAX(0, A177 - $F$12 + 1)&lt;=0, 0, IF(MAX(0, A177 - $F$12 + 1)&lt;=6, 70 - (70-14)*(MAX(0, A177 - $F$12 + 1)-1)/5, IF(MAX(0, A177 - $F$12 + 1)&lt;=24, 14 - 14*(MAX(0, A177 - $F$12 + 1)-6)/18, 0)))) + (IF(MAX(0, A177 - $F$13 + 1)&lt;=0, 0, IF(MAX(0, A177 - $F$13 + 1)&lt;=6, 70 - (70-14)*(MAX(0, A177 - $F$13 + 1)-1)/5, IF(MAX(0, A177 - $F$13 + 1)&lt;=24, 14 - 14*(MAX(0, A177 - $F$13 + 1)-6)/18, 0)))) + (IF(MAX(0, A177 - $F$14 + 1)&lt;=0, 0, IF(MAX(0, A177 - $F$14 + 1)&lt;=6, 70 - (70-14)*(MAX(0, A177 - $F$14 + 1)-1)/5, IF(MAX(0, A177 - $F$14 + 1)&lt;=24, 14 - 14*(MAX(0, A177 - $F$14 + 1)-6)/18, 0)))) ) * 200 / 12 / 1000</f>
        <v/>
      </c>
      <c r="F177" s="306">
        <f>IF(A177&lt;$F$6,0,IF(AND($B$21=1,A177&gt;$B$19),0,$E$6*$G$6^MIN((A177-$F$6)/12,6)*MIN($G$6,0.85)^MAX(0,(A177-$F$6)/12-6)))</f>
        <v/>
      </c>
      <c r="G177" s="306">
        <f>IF(A177&lt;$F$7,0,IF(AND($B$21=1,A177&gt;$B$19),0,$E$7*$G$7^MIN((A177-$F$7)/12,6)*MIN($G$7,0.85)^MAX(0,(A177-$F$7)/12-6)))</f>
        <v/>
      </c>
      <c r="H177" s="306">
        <f>IF(A177&lt;$F$8,0,IF(AND($B$21=1,A177&gt;$B$19),0,$E$8*$G$8^MIN((A177-$F$8)/12,6)*MIN($G$8,0.85)^MAX(0,(A177-$F$8)/12-6)))</f>
        <v/>
      </c>
      <c r="I177" s="306">
        <f>IF(A177&lt;$F$9,0,IF(AND($B$21=1,A177&gt;$B$19),0,$E$9*$G$9^MIN((A177-$F$9)/12,6)*MIN($G$9,0.85)^MAX(0,(A177-$F$9)/12-6)))</f>
        <v/>
      </c>
      <c r="J177" s="306">
        <f>IF(A177&lt;$F$10,0,IF(AND($B$21=1,A177&gt;$B$19),0,$E$10*$G$10^MIN((A177-$F$10)/12,6)*MIN($G$10,0.85)^MAX(0,(A177-$F$10)/12-6)))</f>
        <v/>
      </c>
      <c r="K177" s="306">
        <f>IF(A177&lt;$F$11,0,IF(AND($B$21=1,A177&gt;$B$19),0,$E$11*$G$11^MIN((A177-$F$11)/12,6)*MIN($G$11,0.85)^MAX(0,(A177-$F$11)/12-6)))</f>
        <v/>
      </c>
      <c r="L177" s="306">
        <f>IF(A177&lt;$F$12,0,IF(AND($B$21=1,A177&gt;$B$19),0,$E$12*$G$12^MIN((A177-$F$12)/12,6)*MIN($G$12,0.85)^MAX(0,(A177-$F$12)/12-6)))</f>
        <v/>
      </c>
      <c r="M177" s="306">
        <f>IF(A177&lt;$F$13,0,IF(AND($B$21=1,A177&gt;$B$19),0,$E$13*$G$13^MIN((A177-$F$13)/12,6)*MIN($G$13,0.85)^MAX(0,(A177-$F$13)/12-6)))</f>
        <v/>
      </c>
      <c r="N177" s="306">
        <f>IF(A177&lt;$F$14,0,IF(AND($B$21=1,A177&gt;$B$19),0,$E$14*$G$14^MIN((A177-$F$14)/12,6)*MIN($G$14,0.85)^MAX(0,(A177-$F$14)/12-6)))</f>
        <v/>
      </c>
      <c r="O177" s="306">
        <f>SUM(F177:N177)</f>
        <v/>
      </c>
      <c r="P177" s="306">
        <f>O177/12</f>
        <v/>
      </c>
      <c r="Q177" s="306">
        <f>P177*$B$8</f>
        <v/>
      </c>
      <c r="R177" s="306">
        <f>P177*$B$9</f>
        <v/>
      </c>
      <c r="S177" s="306">
        <f>P177*$B$10</f>
        <v/>
      </c>
      <c r="T177" s="306">
        <f>P177-Q177-R177-S177-D177-E177</f>
        <v/>
      </c>
      <c r="U177" s="306">
        <f>MAX(0, T177 - $B$7*P177)</f>
        <v/>
      </c>
      <c r="V177" s="306">
        <f>T177-U177</f>
        <v/>
      </c>
      <c r="W177" s="306">
        <f>IF(A177=$F$6, $B$18*$B$16*$B$17/1000000, 0) + IF(A177=$F$7, $B$18*$B$16*$B$17/1000000, 0) + IF(A177=$F$8, $B$18*$B$16*$B$17/1000000, 0) + IF(A177=$F$9, $B$18*$B$16*$B$17/1000000, 0) + IF(A177=$F$10, $B$18*$B$16*$B$17/1000000, 0) + IF(A177=$F$11, $B$18*$B$16*$B$17/1000000, 0) + IF(A177=$F$12, $B$18*$B$16*$B$17/1000000, 0) + IF(A177=$F$13, $B$18*$B$16*$B$17/1000000, 0) + IF(A177=$F$14, $B$18*$B$16*$B$17/1000000, 0)</f>
        <v/>
      </c>
      <c r="X177" s="306">
        <f>V177-W177-C177</f>
        <v/>
      </c>
      <c r="Y177" s="306">
        <f>IF(AND(A177&lt;=$B$24, X177&gt;0), X177*$B$23, 0)</f>
        <v/>
      </c>
      <c r="Z177" s="306">
        <f>X177-Y177</f>
        <v/>
      </c>
      <c r="AA177" s="306">
        <f>IF(AND(A177=$B$19, $B$21=1), O177*$B$20, 0)</f>
        <v/>
      </c>
      <c r="AB177" s="306">
        <f>AB176+Z177+AA177</f>
        <v/>
      </c>
    </row>
    <row r="178">
      <c r="A178" s="306" t="n">
        <v>148</v>
      </c>
      <c r="B178" s="306">
        <f>CEILING(A178/12,1)</f>
        <v/>
      </c>
      <c r="C178" s="306">
        <f>IF(A178&lt;=12, $B$15/12, 0)</f>
        <v/>
      </c>
      <c r="D178" s="306">
        <f>INDEX('26. Team Comp'!$D$28:$R$28, B178) * 0.001 / 12</f>
        <v/>
      </c>
      <c r="E178" s="306">
        <f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+ (IF(MAX(0, A178 - $F$11 + 1)&lt;=0, 0, IF(MAX(0, A178 - $F$11 + 1)&lt;=6, 70 - (70-14)*(MAX(0, A178 - $F$11 + 1)-1)/5, IF(MAX(0, A178 - $F$11 + 1)&lt;=24, 14 - 14*(MAX(0, A178 - $F$11 + 1)-6)/18, 0)))) + (IF(MAX(0, A178 - $F$12 + 1)&lt;=0, 0, IF(MAX(0, A178 - $F$12 + 1)&lt;=6, 70 - (70-14)*(MAX(0, A178 - $F$12 + 1)-1)/5, IF(MAX(0, A178 - $F$12 + 1)&lt;=24, 14 - 14*(MAX(0, A178 - $F$12 + 1)-6)/18, 0)))) + (IF(MAX(0, A178 - $F$13 + 1)&lt;=0, 0, IF(MAX(0, A178 - $F$13 + 1)&lt;=6, 70 - (70-14)*(MAX(0, A178 - $F$13 + 1)-1)/5, IF(MAX(0, A178 - $F$13 + 1)&lt;=24, 14 - 14*(MAX(0, A178 - $F$13 + 1)-6)/18, 0)))) + (IF(MAX(0, A178 - $F$14 + 1)&lt;=0, 0, IF(MAX(0, A178 - $F$14 + 1)&lt;=6, 70 - (70-14)*(MAX(0, A178 - $F$14 + 1)-1)/5, IF(MAX(0, A178 - $F$14 + 1)&lt;=24, 14 - 14*(MAX(0, A178 - $F$14 + 1)-6)/18, 0)))) ) * 200 / 12 / 1000</f>
        <v/>
      </c>
      <c r="F178" s="306">
        <f>IF(A178&lt;$F$6,0,IF(AND($B$21=1,A178&gt;$B$19),0,$E$6*$G$6^MIN((A178-$F$6)/12,6)*MIN($G$6,0.85)^MAX(0,(A178-$F$6)/12-6)))</f>
        <v/>
      </c>
      <c r="G178" s="306">
        <f>IF(A178&lt;$F$7,0,IF(AND($B$21=1,A178&gt;$B$19),0,$E$7*$G$7^MIN((A178-$F$7)/12,6)*MIN($G$7,0.85)^MAX(0,(A178-$F$7)/12-6)))</f>
        <v/>
      </c>
      <c r="H178" s="306">
        <f>IF(A178&lt;$F$8,0,IF(AND($B$21=1,A178&gt;$B$19),0,$E$8*$G$8^MIN((A178-$F$8)/12,6)*MIN($G$8,0.85)^MAX(0,(A178-$F$8)/12-6)))</f>
        <v/>
      </c>
      <c r="I178" s="306">
        <f>IF(A178&lt;$F$9,0,IF(AND($B$21=1,A178&gt;$B$19),0,$E$9*$G$9^MIN((A178-$F$9)/12,6)*MIN($G$9,0.85)^MAX(0,(A178-$F$9)/12-6)))</f>
        <v/>
      </c>
      <c r="J178" s="306">
        <f>IF(A178&lt;$F$10,0,IF(AND($B$21=1,A178&gt;$B$19),0,$E$10*$G$10^MIN((A178-$F$10)/12,6)*MIN($G$10,0.85)^MAX(0,(A178-$F$10)/12-6)))</f>
        <v/>
      </c>
      <c r="K178" s="306">
        <f>IF(A178&lt;$F$11,0,IF(AND($B$21=1,A178&gt;$B$19),0,$E$11*$G$11^MIN((A178-$F$11)/12,6)*MIN($G$11,0.85)^MAX(0,(A178-$F$11)/12-6)))</f>
        <v/>
      </c>
      <c r="L178" s="306">
        <f>IF(A178&lt;$F$12,0,IF(AND($B$21=1,A178&gt;$B$19),0,$E$12*$G$12^MIN((A178-$F$12)/12,6)*MIN($G$12,0.85)^MAX(0,(A178-$F$12)/12-6)))</f>
        <v/>
      </c>
      <c r="M178" s="306">
        <f>IF(A178&lt;$F$13,0,IF(AND($B$21=1,A178&gt;$B$19),0,$E$13*$G$13^MIN((A178-$F$13)/12,6)*MIN($G$13,0.85)^MAX(0,(A178-$F$13)/12-6)))</f>
        <v/>
      </c>
      <c r="N178" s="306">
        <f>IF(A178&lt;$F$14,0,IF(AND($B$21=1,A178&gt;$B$19),0,$E$14*$G$14^MIN((A178-$F$14)/12,6)*MIN($G$14,0.85)^MAX(0,(A178-$F$14)/12-6)))</f>
        <v/>
      </c>
      <c r="O178" s="306">
        <f>SUM(F178:N178)</f>
        <v/>
      </c>
      <c r="P178" s="306">
        <f>O178/12</f>
        <v/>
      </c>
      <c r="Q178" s="306">
        <f>P178*$B$8</f>
        <v/>
      </c>
      <c r="R178" s="306">
        <f>P178*$B$9</f>
        <v/>
      </c>
      <c r="S178" s="306">
        <f>P178*$B$10</f>
        <v/>
      </c>
      <c r="T178" s="306">
        <f>P178-Q178-R178-S178-D178-E178</f>
        <v/>
      </c>
      <c r="U178" s="306">
        <f>MAX(0, T178 - $B$7*P178)</f>
        <v/>
      </c>
      <c r="V178" s="306">
        <f>T178-U178</f>
        <v/>
      </c>
      <c r="W178" s="306">
        <f>IF(A178=$F$6, $B$18*$B$16*$B$17/1000000, 0) + IF(A178=$F$7, $B$18*$B$16*$B$17/1000000, 0) + IF(A178=$F$8, $B$18*$B$16*$B$17/1000000, 0) + IF(A178=$F$9, $B$18*$B$16*$B$17/1000000, 0) + IF(A178=$F$10, $B$18*$B$16*$B$17/1000000, 0) + IF(A178=$F$11, $B$18*$B$16*$B$17/1000000, 0) + IF(A178=$F$12, $B$18*$B$16*$B$17/1000000, 0) + IF(A178=$F$13, $B$18*$B$16*$B$17/1000000, 0) + IF(A178=$F$14, $B$18*$B$16*$B$17/1000000, 0)</f>
        <v/>
      </c>
      <c r="X178" s="306">
        <f>V178-W178-C178</f>
        <v/>
      </c>
      <c r="Y178" s="306">
        <f>IF(AND(A178&lt;=$B$24, X178&gt;0), X178*$B$23, 0)</f>
        <v/>
      </c>
      <c r="Z178" s="306">
        <f>X178-Y178</f>
        <v/>
      </c>
      <c r="AA178" s="306">
        <f>IF(AND(A178=$B$19, $B$21=1), O178*$B$20, 0)</f>
        <v/>
      </c>
      <c r="AB178" s="306">
        <f>AB177+Z178+AA178</f>
        <v/>
      </c>
    </row>
    <row r="179">
      <c r="A179" s="306" t="n">
        <v>149</v>
      </c>
      <c r="B179" s="306">
        <f>CEILING(A179/12,1)</f>
        <v/>
      </c>
      <c r="C179" s="306">
        <f>IF(A179&lt;=12, $B$15/12, 0)</f>
        <v/>
      </c>
      <c r="D179" s="306">
        <f>INDEX('26. Team Comp'!$D$28:$R$28, B179) * 0.001 / 12</f>
        <v/>
      </c>
      <c r="E179" s="306">
        <f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+ (IF(MAX(0, A179 - $F$11 + 1)&lt;=0, 0, IF(MAX(0, A179 - $F$11 + 1)&lt;=6, 70 - (70-14)*(MAX(0, A179 - $F$11 + 1)-1)/5, IF(MAX(0, A179 - $F$11 + 1)&lt;=24, 14 - 14*(MAX(0, A179 - $F$11 + 1)-6)/18, 0)))) + (IF(MAX(0, A179 - $F$12 + 1)&lt;=0, 0, IF(MAX(0, A179 - $F$12 + 1)&lt;=6, 70 - (70-14)*(MAX(0, A179 - $F$12 + 1)-1)/5, IF(MAX(0, A179 - $F$12 + 1)&lt;=24, 14 - 14*(MAX(0, A179 - $F$12 + 1)-6)/18, 0)))) + (IF(MAX(0, A179 - $F$13 + 1)&lt;=0, 0, IF(MAX(0, A179 - $F$13 + 1)&lt;=6, 70 - (70-14)*(MAX(0, A179 - $F$13 + 1)-1)/5, IF(MAX(0, A179 - $F$13 + 1)&lt;=24, 14 - 14*(MAX(0, A179 - $F$13 + 1)-6)/18, 0)))) + (IF(MAX(0, A179 - $F$14 + 1)&lt;=0, 0, IF(MAX(0, A179 - $F$14 + 1)&lt;=6, 70 - (70-14)*(MAX(0, A179 - $F$14 + 1)-1)/5, IF(MAX(0, A179 - $F$14 + 1)&lt;=24, 14 - 14*(MAX(0, A179 - $F$14 + 1)-6)/18, 0)))) ) * 200 / 12 / 1000</f>
        <v/>
      </c>
      <c r="F179" s="306">
        <f>IF(A179&lt;$F$6,0,IF(AND($B$21=1,A179&gt;$B$19),0,$E$6*$G$6^MIN((A179-$F$6)/12,6)*MIN($G$6,0.85)^MAX(0,(A179-$F$6)/12-6)))</f>
        <v/>
      </c>
      <c r="G179" s="306">
        <f>IF(A179&lt;$F$7,0,IF(AND($B$21=1,A179&gt;$B$19),0,$E$7*$G$7^MIN((A179-$F$7)/12,6)*MIN($G$7,0.85)^MAX(0,(A179-$F$7)/12-6)))</f>
        <v/>
      </c>
      <c r="H179" s="306">
        <f>IF(A179&lt;$F$8,0,IF(AND($B$21=1,A179&gt;$B$19),0,$E$8*$G$8^MIN((A179-$F$8)/12,6)*MIN($G$8,0.85)^MAX(0,(A179-$F$8)/12-6)))</f>
        <v/>
      </c>
      <c r="I179" s="306">
        <f>IF(A179&lt;$F$9,0,IF(AND($B$21=1,A179&gt;$B$19),0,$E$9*$G$9^MIN((A179-$F$9)/12,6)*MIN($G$9,0.85)^MAX(0,(A179-$F$9)/12-6)))</f>
        <v/>
      </c>
      <c r="J179" s="306">
        <f>IF(A179&lt;$F$10,0,IF(AND($B$21=1,A179&gt;$B$19),0,$E$10*$G$10^MIN((A179-$F$10)/12,6)*MIN($G$10,0.85)^MAX(0,(A179-$F$10)/12-6)))</f>
        <v/>
      </c>
      <c r="K179" s="306">
        <f>IF(A179&lt;$F$11,0,IF(AND($B$21=1,A179&gt;$B$19),0,$E$11*$G$11^MIN((A179-$F$11)/12,6)*MIN($G$11,0.85)^MAX(0,(A179-$F$11)/12-6)))</f>
        <v/>
      </c>
      <c r="L179" s="306">
        <f>IF(A179&lt;$F$12,0,IF(AND($B$21=1,A179&gt;$B$19),0,$E$12*$G$12^MIN((A179-$F$12)/12,6)*MIN($G$12,0.85)^MAX(0,(A179-$F$12)/12-6)))</f>
        <v/>
      </c>
      <c r="M179" s="306">
        <f>IF(A179&lt;$F$13,0,IF(AND($B$21=1,A179&gt;$B$19),0,$E$13*$G$13^MIN((A179-$F$13)/12,6)*MIN($G$13,0.85)^MAX(0,(A179-$F$13)/12-6)))</f>
        <v/>
      </c>
      <c r="N179" s="306">
        <f>IF(A179&lt;$F$14,0,IF(AND($B$21=1,A179&gt;$B$19),0,$E$14*$G$14^MIN((A179-$F$14)/12,6)*MIN($G$14,0.85)^MAX(0,(A179-$F$14)/12-6)))</f>
        <v/>
      </c>
      <c r="O179" s="306">
        <f>SUM(F179:N179)</f>
        <v/>
      </c>
      <c r="P179" s="306">
        <f>O179/12</f>
        <v/>
      </c>
      <c r="Q179" s="306">
        <f>P179*$B$8</f>
        <v/>
      </c>
      <c r="R179" s="306">
        <f>P179*$B$9</f>
        <v/>
      </c>
      <c r="S179" s="306">
        <f>P179*$B$10</f>
        <v/>
      </c>
      <c r="T179" s="306">
        <f>P179-Q179-R179-S179-D179-E179</f>
        <v/>
      </c>
      <c r="U179" s="306">
        <f>MAX(0, T179 - $B$7*P179)</f>
        <v/>
      </c>
      <c r="V179" s="306">
        <f>T179-U179</f>
        <v/>
      </c>
      <c r="W179" s="306">
        <f>IF(A179=$F$6, $B$18*$B$16*$B$17/1000000, 0) + IF(A179=$F$7, $B$18*$B$16*$B$17/1000000, 0) + IF(A179=$F$8, $B$18*$B$16*$B$17/1000000, 0) + IF(A179=$F$9, $B$18*$B$16*$B$17/1000000, 0) + IF(A179=$F$10, $B$18*$B$16*$B$17/1000000, 0) + IF(A179=$F$11, $B$18*$B$16*$B$17/1000000, 0) + IF(A179=$F$12, $B$18*$B$16*$B$17/1000000, 0) + IF(A179=$F$13, $B$18*$B$16*$B$17/1000000, 0) + IF(A179=$F$14, $B$18*$B$16*$B$17/1000000, 0)</f>
        <v/>
      </c>
      <c r="X179" s="306">
        <f>V179-W179-C179</f>
        <v/>
      </c>
      <c r="Y179" s="306">
        <f>IF(AND(A179&lt;=$B$24, X179&gt;0), X179*$B$23, 0)</f>
        <v/>
      </c>
      <c r="Z179" s="306">
        <f>X179-Y179</f>
        <v/>
      </c>
      <c r="AA179" s="306">
        <f>IF(AND(A179=$B$19, $B$21=1), O179*$B$20, 0)</f>
        <v/>
      </c>
      <c r="AB179" s="306">
        <f>AB178+Z179+AA179</f>
        <v/>
      </c>
    </row>
    <row r="180">
      <c r="A180" s="306" t="n">
        <v>150</v>
      </c>
      <c r="B180" s="306">
        <f>CEILING(A180/12,1)</f>
        <v/>
      </c>
      <c r="C180" s="306">
        <f>IF(A180&lt;=12, $B$15/12, 0)</f>
        <v/>
      </c>
      <c r="D180" s="306">
        <f>INDEX('26. Team Comp'!$D$28:$R$28, B180) * 0.001 / 12</f>
        <v/>
      </c>
      <c r="E180" s="306">
        <f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+ (IF(MAX(0, A180 - $F$11 + 1)&lt;=0, 0, IF(MAX(0, A180 - $F$11 + 1)&lt;=6, 70 - (70-14)*(MAX(0, A180 - $F$11 + 1)-1)/5, IF(MAX(0, A180 - $F$11 + 1)&lt;=24, 14 - 14*(MAX(0, A180 - $F$11 + 1)-6)/18, 0)))) + (IF(MAX(0, A180 - $F$12 + 1)&lt;=0, 0, IF(MAX(0, A180 - $F$12 + 1)&lt;=6, 70 - (70-14)*(MAX(0, A180 - $F$12 + 1)-1)/5, IF(MAX(0, A180 - $F$12 + 1)&lt;=24, 14 - 14*(MAX(0, A180 - $F$12 + 1)-6)/18, 0)))) + (IF(MAX(0, A180 - $F$13 + 1)&lt;=0, 0, IF(MAX(0, A180 - $F$13 + 1)&lt;=6, 70 - (70-14)*(MAX(0, A180 - $F$13 + 1)-1)/5, IF(MAX(0, A180 - $F$13 + 1)&lt;=24, 14 - 14*(MAX(0, A180 - $F$13 + 1)-6)/18, 0)))) + (IF(MAX(0, A180 - $F$14 + 1)&lt;=0, 0, IF(MAX(0, A180 - $F$14 + 1)&lt;=6, 70 - (70-14)*(MAX(0, A180 - $F$14 + 1)-1)/5, IF(MAX(0, A180 - $F$14 + 1)&lt;=24, 14 - 14*(MAX(0, A180 - $F$14 + 1)-6)/18, 0)))) ) * 200 / 12 / 1000</f>
        <v/>
      </c>
      <c r="F180" s="306">
        <f>IF(A180&lt;$F$6,0,IF(AND($B$21=1,A180&gt;$B$19),0,$E$6*$G$6^MIN((A180-$F$6)/12,6)*MIN($G$6,0.85)^MAX(0,(A180-$F$6)/12-6)))</f>
        <v/>
      </c>
      <c r="G180" s="306">
        <f>IF(A180&lt;$F$7,0,IF(AND($B$21=1,A180&gt;$B$19),0,$E$7*$G$7^MIN((A180-$F$7)/12,6)*MIN($G$7,0.85)^MAX(0,(A180-$F$7)/12-6)))</f>
        <v/>
      </c>
      <c r="H180" s="306">
        <f>IF(A180&lt;$F$8,0,IF(AND($B$21=1,A180&gt;$B$19),0,$E$8*$G$8^MIN((A180-$F$8)/12,6)*MIN($G$8,0.85)^MAX(0,(A180-$F$8)/12-6)))</f>
        <v/>
      </c>
      <c r="I180" s="306">
        <f>IF(A180&lt;$F$9,0,IF(AND($B$21=1,A180&gt;$B$19),0,$E$9*$G$9^MIN((A180-$F$9)/12,6)*MIN($G$9,0.85)^MAX(0,(A180-$F$9)/12-6)))</f>
        <v/>
      </c>
      <c r="J180" s="306">
        <f>IF(A180&lt;$F$10,0,IF(AND($B$21=1,A180&gt;$B$19),0,$E$10*$G$10^MIN((A180-$F$10)/12,6)*MIN($G$10,0.85)^MAX(0,(A180-$F$10)/12-6)))</f>
        <v/>
      </c>
      <c r="K180" s="306">
        <f>IF(A180&lt;$F$11,0,IF(AND($B$21=1,A180&gt;$B$19),0,$E$11*$G$11^MIN((A180-$F$11)/12,6)*MIN($G$11,0.85)^MAX(0,(A180-$F$11)/12-6)))</f>
        <v/>
      </c>
      <c r="L180" s="306">
        <f>IF(A180&lt;$F$12,0,IF(AND($B$21=1,A180&gt;$B$19),0,$E$12*$G$12^MIN((A180-$F$12)/12,6)*MIN($G$12,0.85)^MAX(0,(A180-$F$12)/12-6)))</f>
        <v/>
      </c>
      <c r="M180" s="306">
        <f>IF(A180&lt;$F$13,0,IF(AND($B$21=1,A180&gt;$B$19),0,$E$13*$G$13^MIN((A180-$F$13)/12,6)*MIN($G$13,0.85)^MAX(0,(A180-$F$13)/12-6)))</f>
        <v/>
      </c>
      <c r="N180" s="306">
        <f>IF(A180&lt;$F$14,0,IF(AND($B$21=1,A180&gt;$B$19),0,$E$14*$G$14^MIN((A180-$F$14)/12,6)*MIN($G$14,0.85)^MAX(0,(A180-$F$14)/12-6)))</f>
        <v/>
      </c>
      <c r="O180" s="306">
        <f>SUM(F180:N180)</f>
        <v/>
      </c>
      <c r="P180" s="306">
        <f>O180/12</f>
        <v/>
      </c>
      <c r="Q180" s="306">
        <f>P180*$B$8</f>
        <v/>
      </c>
      <c r="R180" s="306">
        <f>P180*$B$9</f>
        <v/>
      </c>
      <c r="S180" s="306">
        <f>P180*$B$10</f>
        <v/>
      </c>
      <c r="T180" s="306">
        <f>P180-Q180-R180-S180-D180-E180</f>
        <v/>
      </c>
      <c r="U180" s="306">
        <f>MAX(0, T180 - $B$7*P180)</f>
        <v/>
      </c>
      <c r="V180" s="306">
        <f>T180-U180</f>
        <v/>
      </c>
      <c r="W180" s="306">
        <f>IF(A180=$F$6, $B$18*$B$16*$B$17/1000000, 0) + IF(A180=$F$7, $B$18*$B$16*$B$17/1000000, 0) + IF(A180=$F$8, $B$18*$B$16*$B$17/1000000, 0) + IF(A180=$F$9, $B$18*$B$16*$B$17/1000000, 0) + IF(A180=$F$10, $B$18*$B$16*$B$17/1000000, 0) + IF(A180=$F$11, $B$18*$B$16*$B$17/1000000, 0) + IF(A180=$F$12, $B$18*$B$16*$B$17/1000000, 0) + IF(A180=$F$13, $B$18*$B$16*$B$17/1000000, 0) + IF(A180=$F$14, $B$18*$B$16*$B$17/1000000, 0)</f>
        <v/>
      </c>
      <c r="X180" s="306">
        <f>V180-W180-C180</f>
        <v/>
      </c>
      <c r="Y180" s="306">
        <f>IF(AND(A180&lt;=$B$24, X180&gt;0), X180*$B$23, 0)</f>
        <v/>
      </c>
      <c r="Z180" s="306">
        <f>X180-Y180</f>
        <v/>
      </c>
      <c r="AA180" s="306">
        <f>IF(AND(A180=$B$19, $B$21=1), O180*$B$20, 0)</f>
        <v/>
      </c>
      <c r="AB180" s="306">
        <f>AB179+Z180+AA180</f>
        <v/>
      </c>
    </row>
    <row r="181">
      <c r="A181" s="306" t="n">
        <v>151</v>
      </c>
      <c r="B181" s="306">
        <f>CEILING(A181/12,1)</f>
        <v/>
      </c>
      <c r="C181" s="306">
        <f>IF(A181&lt;=12, $B$15/12, 0)</f>
        <v/>
      </c>
      <c r="D181" s="306">
        <f>INDEX('26. Team Comp'!$D$28:$R$28, B181) * 0.001 / 12</f>
        <v/>
      </c>
      <c r="E181" s="306">
        <f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+ (IF(MAX(0, A181 - $F$11 + 1)&lt;=0, 0, IF(MAX(0, A181 - $F$11 + 1)&lt;=6, 70 - (70-14)*(MAX(0, A181 - $F$11 + 1)-1)/5, IF(MAX(0, A181 - $F$11 + 1)&lt;=24, 14 - 14*(MAX(0, A181 - $F$11 + 1)-6)/18, 0)))) + (IF(MAX(0, A181 - $F$12 + 1)&lt;=0, 0, IF(MAX(0, A181 - $F$12 + 1)&lt;=6, 70 - (70-14)*(MAX(0, A181 - $F$12 + 1)-1)/5, IF(MAX(0, A181 - $F$12 + 1)&lt;=24, 14 - 14*(MAX(0, A181 - $F$12 + 1)-6)/18, 0)))) + (IF(MAX(0, A181 - $F$13 + 1)&lt;=0, 0, IF(MAX(0, A181 - $F$13 + 1)&lt;=6, 70 - (70-14)*(MAX(0, A181 - $F$13 + 1)-1)/5, IF(MAX(0, A181 - $F$13 + 1)&lt;=24, 14 - 14*(MAX(0, A181 - $F$13 + 1)-6)/18, 0)))) + (IF(MAX(0, A181 - $F$14 + 1)&lt;=0, 0, IF(MAX(0, A181 - $F$14 + 1)&lt;=6, 70 - (70-14)*(MAX(0, A181 - $F$14 + 1)-1)/5, IF(MAX(0, A181 - $F$14 + 1)&lt;=24, 14 - 14*(MAX(0, A181 - $F$14 + 1)-6)/18, 0)))) ) * 200 / 12 / 1000</f>
        <v/>
      </c>
      <c r="F181" s="306">
        <f>IF(A181&lt;$F$6,0,IF(AND($B$21=1,A181&gt;$B$19),0,$E$6*$G$6^MIN((A181-$F$6)/12,6)*MIN($G$6,0.85)^MAX(0,(A181-$F$6)/12-6)))</f>
        <v/>
      </c>
      <c r="G181" s="306">
        <f>IF(A181&lt;$F$7,0,IF(AND($B$21=1,A181&gt;$B$19),0,$E$7*$G$7^MIN((A181-$F$7)/12,6)*MIN($G$7,0.85)^MAX(0,(A181-$F$7)/12-6)))</f>
        <v/>
      </c>
      <c r="H181" s="306">
        <f>IF(A181&lt;$F$8,0,IF(AND($B$21=1,A181&gt;$B$19),0,$E$8*$G$8^MIN((A181-$F$8)/12,6)*MIN($G$8,0.85)^MAX(0,(A181-$F$8)/12-6)))</f>
        <v/>
      </c>
      <c r="I181" s="306">
        <f>IF(A181&lt;$F$9,0,IF(AND($B$21=1,A181&gt;$B$19),0,$E$9*$G$9^MIN((A181-$F$9)/12,6)*MIN($G$9,0.85)^MAX(0,(A181-$F$9)/12-6)))</f>
        <v/>
      </c>
      <c r="J181" s="306">
        <f>IF(A181&lt;$F$10,0,IF(AND($B$21=1,A181&gt;$B$19),0,$E$10*$G$10^MIN((A181-$F$10)/12,6)*MIN($G$10,0.85)^MAX(0,(A181-$F$10)/12-6)))</f>
        <v/>
      </c>
      <c r="K181" s="306">
        <f>IF(A181&lt;$F$11,0,IF(AND($B$21=1,A181&gt;$B$19),0,$E$11*$G$11^MIN((A181-$F$11)/12,6)*MIN($G$11,0.85)^MAX(0,(A181-$F$11)/12-6)))</f>
        <v/>
      </c>
      <c r="L181" s="306">
        <f>IF(A181&lt;$F$12,0,IF(AND($B$21=1,A181&gt;$B$19),0,$E$12*$G$12^MIN((A181-$F$12)/12,6)*MIN($G$12,0.85)^MAX(0,(A181-$F$12)/12-6)))</f>
        <v/>
      </c>
      <c r="M181" s="306">
        <f>IF(A181&lt;$F$13,0,IF(AND($B$21=1,A181&gt;$B$19),0,$E$13*$G$13^MIN((A181-$F$13)/12,6)*MIN($G$13,0.85)^MAX(0,(A181-$F$13)/12-6)))</f>
        <v/>
      </c>
      <c r="N181" s="306">
        <f>IF(A181&lt;$F$14,0,IF(AND($B$21=1,A181&gt;$B$19),0,$E$14*$G$14^MIN((A181-$F$14)/12,6)*MIN($G$14,0.85)^MAX(0,(A181-$F$14)/12-6)))</f>
        <v/>
      </c>
      <c r="O181" s="306">
        <f>SUM(F181:N181)</f>
        <v/>
      </c>
      <c r="P181" s="306">
        <f>O181/12</f>
        <v/>
      </c>
      <c r="Q181" s="306">
        <f>P181*$B$8</f>
        <v/>
      </c>
      <c r="R181" s="306">
        <f>P181*$B$9</f>
        <v/>
      </c>
      <c r="S181" s="306">
        <f>P181*$B$10</f>
        <v/>
      </c>
      <c r="T181" s="306">
        <f>P181-Q181-R181-S181-D181-E181</f>
        <v/>
      </c>
      <c r="U181" s="306">
        <f>MAX(0, T181 - $B$7*P181)</f>
        <v/>
      </c>
      <c r="V181" s="306">
        <f>T181-U181</f>
        <v/>
      </c>
      <c r="W181" s="306">
        <f>IF(A181=$F$6, $B$18*$B$16*$B$17/1000000, 0) + IF(A181=$F$7, $B$18*$B$16*$B$17/1000000, 0) + IF(A181=$F$8, $B$18*$B$16*$B$17/1000000, 0) + IF(A181=$F$9, $B$18*$B$16*$B$17/1000000, 0) + IF(A181=$F$10, $B$18*$B$16*$B$17/1000000, 0) + IF(A181=$F$11, $B$18*$B$16*$B$17/1000000, 0) + IF(A181=$F$12, $B$18*$B$16*$B$17/1000000, 0) + IF(A181=$F$13, $B$18*$B$16*$B$17/1000000, 0) + IF(A181=$F$14, $B$18*$B$16*$B$17/1000000, 0)</f>
        <v/>
      </c>
      <c r="X181" s="306">
        <f>V181-W181-C181</f>
        <v/>
      </c>
      <c r="Y181" s="306">
        <f>IF(AND(A181&lt;=$B$24, X181&gt;0), X181*$B$23, 0)</f>
        <v/>
      </c>
      <c r="Z181" s="306">
        <f>X181-Y181</f>
        <v/>
      </c>
      <c r="AA181" s="306">
        <f>IF(AND(A181=$B$19, $B$21=1), O181*$B$20, 0)</f>
        <v/>
      </c>
      <c r="AB181" s="306">
        <f>AB180+Z181+AA181</f>
        <v/>
      </c>
    </row>
    <row r="182">
      <c r="A182" s="306" t="n">
        <v>152</v>
      </c>
      <c r="B182" s="306">
        <f>CEILING(A182/12,1)</f>
        <v/>
      </c>
      <c r="C182" s="306">
        <f>IF(A182&lt;=12, $B$15/12, 0)</f>
        <v/>
      </c>
      <c r="D182" s="306">
        <f>INDEX('26. Team Comp'!$D$28:$R$28, B182) * 0.001 / 12</f>
        <v/>
      </c>
      <c r="E182" s="306">
        <f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+ (IF(MAX(0, A182 - $F$11 + 1)&lt;=0, 0, IF(MAX(0, A182 - $F$11 + 1)&lt;=6, 70 - (70-14)*(MAX(0, A182 - $F$11 + 1)-1)/5, IF(MAX(0, A182 - $F$11 + 1)&lt;=24, 14 - 14*(MAX(0, A182 - $F$11 + 1)-6)/18, 0)))) + (IF(MAX(0, A182 - $F$12 + 1)&lt;=0, 0, IF(MAX(0, A182 - $F$12 + 1)&lt;=6, 70 - (70-14)*(MAX(0, A182 - $F$12 + 1)-1)/5, IF(MAX(0, A182 - $F$12 + 1)&lt;=24, 14 - 14*(MAX(0, A182 - $F$12 + 1)-6)/18, 0)))) + (IF(MAX(0, A182 - $F$13 + 1)&lt;=0, 0, IF(MAX(0, A182 - $F$13 + 1)&lt;=6, 70 - (70-14)*(MAX(0, A182 - $F$13 + 1)-1)/5, IF(MAX(0, A182 - $F$13 + 1)&lt;=24, 14 - 14*(MAX(0, A182 - $F$13 + 1)-6)/18, 0)))) + (IF(MAX(0, A182 - $F$14 + 1)&lt;=0, 0, IF(MAX(0, A182 - $F$14 + 1)&lt;=6, 70 - (70-14)*(MAX(0, A182 - $F$14 + 1)-1)/5, IF(MAX(0, A182 - $F$14 + 1)&lt;=24, 14 - 14*(MAX(0, A182 - $F$14 + 1)-6)/18, 0)))) ) * 200 / 12 / 1000</f>
        <v/>
      </c>
      <c r="F182" s="306">
        <f>IF(A182&lt;$F$6,0,IF(AND($B$21=1,A182&gt;$B$19),0,$E$6*$G$6^MIN((A182-$F$6)/12,6)*MIN($G$6,0.85)^MAX(0,(A182-$F$6)/12-6)))</f>
        <v/>
      </c>
      <c r="G182" s="306">
        <f>IF(A182&lt;$F$7,0,IF(AND($B$21=1,A182&gt;$B$19),0,$E$7*$G$7^MIN((A182-$F$7)/12,6)*MIN($G$7,0.85)^MAX(0,(A182-$F$7)/12-6)))</f>
        <v/>
      </c>
      <c r="H182" s="306">
        <f>IF(A182&lt;$F$8,0,IF(AND($B$21=1,A182&gt;$B$19),0,$E$8*$G$8^MIN((A182-$F$8)/12,6)*MIN($G$8,0.85)^MAX(0,(A182-$F$8)/12-6)))</f>
        <v/>
      </c>
      <c r="I182" s="306">
        <f>IF(A182&lt;$F$9,0,IF(AND($B$21=1,A182&gt;$B$19),0,$E$9*$G$9^MIN((A182-$F$9)/12,6)*MIN($G$9,0.85)^MAX(0,(A182-$F$9)/12-6)))</f>
        <v/>
      </c>
      <c r="J182" s="306">
        <f>IF(A182&lt;$F$10,0,IF(AND($B$21=1,A182&gt;$B$19),0,$E$10*$G$10^MIN((A182-$F$10)/12,6)*MIN($G$10,0.85)^MAX(0,(A182-$F$10)/12-6)))</f>
        <v/>
      </c>
      <c r="K182" s="306">
        <f>IF(A182&lt;$F$11,0,IF(AND($B$21=1,A182&gt;$B$19),0,$E$11*$G$11^MIN((A182-$F$11)/12,6)*MIN($G$11,0.85)^MAX(0,(A182-$F$11)/12-6)))</f>
        <v/>
      </c>
      <c r="L182" s="306">
        <f>IF(A182&lt;$F$12,0,IF(AND($B$21=1,A182&gt;$B$19),0,$E$12*$G$12^MIN((A182-$F$12)/12,6)*MIN($G$12,0.85)^MAX(0,(A182-$F$12)/12-6)))</f>
        <v/>
      </c>
      <c r="M182" s="306">
        <f>IF(A182&lt;$F$13,0,IF(AND($B$21=1,A182&gt;$B$19),0,$E$13*$G$13^MIN((A182-$F$13)/12,6)*MIN($G$13,0.85)^MAX(0,(A182-$F$13)/12-6)))</f>
        <v/>
      </c>
      <c r="N182" s="306">
        <f>IF(A182&lt;$F$14,0,IF(AND($B$21=1,A182&gt;$B$19),0,$E$14*$G$14^MIN((A182-$F$14)/12,6)*MIN($G$14,0.85)^MAX(0,(A182-$F$14)/12-6)))</f>
        <v/>
      </c>
      <c r="O182" s="306">
        <f>SUM(F182:N182)</f>
        <v/>
      </c>
      <c r="P182" s="306">
        <f>O182/12</f>
        <v/>
      </c>
      <c r="Q182" s="306">
        <f>P182*$B$8</f>
        <v/>
      </c>
      <c r="R182" s="306">
        <f>P182*$B$9</f>
        <v/>
      </c>
      <c r="S182" s="306">
        <f>P182*$B$10</f>
        <v/>
      </c>
      <c r="T182" s="306">
        <f>P182-Q182-R182-S182-D182-E182</f>
        <v/>
      </c>
      <c r="U182" s="306">
        <f>MAX(0, T182 - $B$7*P182)</f>
        <v/>
      </c>
      <c r="V182" s="306">
        <f>T182-U182</f>
        <v/>
      </c>
      <c r="W182" s="306">
        <f>IF(A182=$F$6, $B$18*$B$16*$B$17/1000000, 0) + IF(A182=$F$7, $B$18*$B$16*$B$17/1000000, 0) + IF(A182=$F$8, $B$18*$B$16*$B$17/1000000, 0) + IF(A182=$F$9, $B$18*$B$16*$B$17/1000000, 0) + IF(A182=$F$10, $B$18*$B$16*$B$17/1000000, 0) + IF(A182=$F$11, $B$18*$B$16*$B$17/1000000, 0) + IF(A182=$F$12, $B$18*$B$16*$B$17/1000000, 0) + IF(A182=$F$13, $B$18*$B$16*$B$17/1000000, 0) + IF(A182=$F$14, $B$18*$B$16*$B$17/1000000, 0)</f>
        <v/>
      </c>
      <c r="X182" s="306">
        <f>V182-W182-C182</f>
        <v/>
      </c>
      <c r="Y182" s="306">
        <f>IF(AND(A182&lt;=$B$24, X182&gt;0), X182*$B$23, 0)</f>
        <v/>
      </c>
      <c r="Z182" s="306">
        <f>X182-Y182</f>
        <v/>
      </c>
      <c r="AA182" s="306">
        <f>IF(AND(A182=$B$19, $B$21=1), O182*$B$20, 0)</f>
        <v/>
      </c>
      <c r="AB182" s="306">
        <f>AB181+Z182+AA182</f>
        <v/>
      </c>
    </row>
    <row r="183">
      <c r="A183" s="306" t="n">
        <v>153</v>
      </c>
      <c r="B183" s="306">
        <f>CEILING(A183/12,1)</f>
        <v/>
      </c>
      <c r="C183" s="306">
        <f>IF(A183&lt;=12, $B$15/12, 0)</f>
        <v/>
      </c>
      <c r="D183" s="306">
        <f>INDEX('26. Team Comp'!$D$28:$R$28, B183) * 0.001 / 12</f>
        <v/>
      </c>
      <c r="E183" s="306">
        <f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+ (IF(MAX(0, A183 - $F$11 + 1)&lt;=0, 0, IF(MAX(0, A183 - $F$11 + 1)&lt;=6, 70 - (70-14)*(MAX(0, A183 - $F$11 + 1)-1)/5, IF(MAX(0, A183 - $F$11 + 1)&lt;=24, 14 - 14*(MAX(0, A183 - $F$11 + 1)-6)/18, 0)))) + (IF(MAX(0, A183 - $F$12 + 1)&lt;=0, 0, IF(MAX(0, A183 - $F$12 + 1)&lt;=6, 70 - (70-14)*(MAX(0, A183 - $F$12 + 1)-1)/5, IF(MAX(0, A183 - $F$12 + 1)&lt;=24, 14 - 14*(MAX(0, A183 - $F$12 + 1)-6)/18, 0)))) + (IF(MAX(0, A183 - $F$13 + 1)&lt;=0, 0, IF(MAX(0, A183 - $F$13 + 1)&lt;=6, 70 - (70-14)*(MAX(0, A183 - $F$13 + 1)-1)/5, IF(MAX(0, A183 - $F$13 + 1)&lt;=24, 14 - 14*(MAX(0, A183 - $F$13 + 1)-6)/18, 0)))) + (IF(MAX(0, A183 - $F$14 + 1)&lt;=0, 0, IF(MAX(0, A183 - $F$14 + 1)&lt;=6, 70 - (70-14)*(MAX(0, A183 - $F$14 + 1)-1)/5, IF(MAX(0, A183 - $F$14 + 1)&lt;=24, 14 - 14*(MAX(0, A183 - $F$14 + 1)-6)/18, 0)))) ) * 200 / 12 / 1000</f>
        <v/>
      </c>
      <c r="F183" s="306">
        <f>IF(A183&lt;$F$6,0,IF(AND($B$21=1,A183&gt;$B$19),0,$E$6*$G$6^MIN((A183-$F$6)/12,6)*MIN($G$6,0.85)^MAX(0,(A183-$F$6)/12-6)))</f>
        <v/>
      </c>
      <c r="G183" s="306">
        <f>IF(A183&lt;$F$7,0,IF(AND($B$21=1,A183&gt;$B$19),0,$E$7*$G$7^MIN((A183-$F$7)/12,6)*MIN($G$7,0.85)^MAX(0,(A183-$F$7)/12-6)))</f>
        <v/>
      </c>
      <c r="H183" s="306">
        <f>IF(A183&lt;$F$8,0,IF(AND($B$21=1,A183&gt;$B$19),0,$E$8*$G$8^MIN((A183-$F$8)/12,6)*MIN($G$8,0.85)^MAX(0,(A183-$F$8)/12-6)))</f>
        <v/>
      </c>
      <c r="I183" s="306">
        <f>IF(A183&lt;$F$9,0,IF(AND($B$21=1,A183&gt;$B$19),0,$E$9*$G$9^MIN((A183-$F$9)/12,6)*MIN($G$9,0.85)^MAX(0,(A183-$F$9)/12-6)))</f>
        <v/>
      </c>
      <c r="J183" s="306">
        <f>IF(A183&lt;$F$10,0,IF(AND($B$21=1,A183&gt;$B$19),0,$E$10*$G$10^MIN((A183-$F$10)/12,6)*MIN($G$10,0.85)^MAX(0,(A183-$F$10)/12-6)))</f>
        <v/>
      </c>
      <c r="K183" s="306">
        <f>IF(A183&lt;$F$11,0,IF(AND($B$21=1,A183&gt;$B$19),0,$E$11*$G$11^MIN((A183-$F$11)/12,6)*MIN($G$11,0.85)^MAX(0,(A183-$F$11)/12-6)))</f>
        <v/>
      </c>
      <c r="L183" s="306">
        <f>IF(A183&lt;$F$12,0,IF(AND($B$21=1,A183&gt;$B$19),0,$E$12*$G$12^MIN((A183-$F$12)/12,6)*MIN($G$12,0.85)^MAX(0,(A183-$F$12)/12-6)))</f>
        <v/>
      </c>
      <c r="M183" s="306">
        <f>IF(A183&lt;$F$13,0,IF(AND($B$21=1,A183&gt;$B$19),0,$E$13*$G$13^MIN((A183-$F$13)/12,6)*MIN($G$13,0.85)^MAX(0,(A183-$F$13)/12-6)))</f>
        <v/>
      </c>
      <c r="N183" s="306">
        <f>IF(A183&lt;$F$14,0,IF(AND($B$21=1,A183&gt;$B$19),0,$E$14*$G$14^MIN((A183-$F$14)/12,6)*MIN($G$14,0.85)^MAX(0,(A183-$F$14)/12-6)))</f>
        <v/>
      </c>
      <c r="O183" s="306">
        <f>SUM(F183:N183)</f>
        <v/>
      </c>
      <c r="P183" s="306">
        <f>O183/12</f>
        <v/>
      </c>
      <c r="Q183" s="306">
        <f>P183*$B$8</f>
        <v/>
      </c>
      <c r="R183" s="306">
        <f>P183*$B$9</f>
        <v/>
      </c>
      <c r="S183" s="306">
        <f>P183*$B$10</f>
        <v/>
      </c>
      <c r="T183" s="306">
        <f>P183-Q183-R183-S183-D183-E183</f>
        <v/>
      </c>
      <c r="U183" s="306">
        <f>MAX(0, T183 - $B$7*P183)</f>
        <v/>
      </c>
      <c r="V183" s="306">
        <f>T183-U183</f>
        <v/>
      </c>
      <c r="W183" s="306">
        <f>IF(A183=$F$6, $B$18*$B$16*$B$17/1000000, 0) + IF(A183=$F$7, $B$18*$B$16*$B$17/1000000, 0) + IF(A183=$F$8, $B$18*$B$16*$B$17/1000000, 0) + IF(A183=$F$9, $B$18*$B$16*$B$17/1000000, 0) + IF(A183=$F$10, $B$18*$B$16*$B$17/1000000, 0) + IF(A183=$F$11, $B$18*$B$16*$B$17/1000000, 0) + IF(A183=$F$12, $B$18*$B$16*$B$17/1000000, 0) + IF(A183=$F$13, $B$18*$B$16*$B$17/1000000, 0) + IF(A183=$F$14, $B$18*$B$16*$B$17/1000000, 0)</f>
        <v/>
      </c>
      <c r="X183" s="306">
        <f>V183-W183-C183</f>
        <v/>
      </c>
      <c r="Y183" s="306">
        <f>IF(AND(A183&lt;=$B$24, X183&gt;0), X183*$B$23, 0)</f>
        <v/>
      </c>
      <c r="Z183" s="306">
        <f>X183-Y183</f>
        <v/>
      </c>
      <c r="AA183" s="306">
        <f>IF(AND(A183=$B$19, $B$21=1), O183*$B$20, 0)</f>
        <v/>
      </c>
      <c r="AB183" s="306">
        <f>AB182+Z183+AA183</f>
        <v/>
      </c>
    </row>
    <row r="184">
      <c r="A184" s="306" t="n">
        <v>154</v>
      </c>
      <c r="B184" s="306">
        <f>CEILING(A184/12,1)</f>
        <v/>
      </c>
      <c r="C184" s="306">
        <f>IF(A184&lt;=12, $B$15/12, 0)</f>
        <v/>
      </c>
      <c r="D184" s="306">
        <f>INDEX('26. Team Comp'!$D$28:$R$28, B184) * 0.001 / 12</f>
        <v/>
      </c>
      <c r="E184" s="306">
        <f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+ (IF(MAX(0, A184 - $F$11 + 1)&lt;=0, 0, IF(MAX(0, A184 - $F$11 + 1)&lt;=6, 70 - (70-14)*(MAX(0, A184 - $F$11 + 1)-1)/5, IF(MAX(0, A184 - $F$11 + 1)&lt;=24, 14 - 14*(MAX(0, A184 - $F$11 + 1)-6)/18, 0)))) + (IF(MAX(0, A184 - $F$12 + 1)&lt;=0, 0, IF(MAX(0, A184 - $F$12 + 1)&lt;=6, 70 - (70-14)*(MAX(0, A184 - $F$12 + 1)-1)/5, IF(MAX(0, A184 - $F$12 + 1)&lt;=24, 14 - 14*(MAX(0, A184 - $F$12 + 1)-6)/18, 0)))) + (IF(MAX(0, A184 - $F$13 + 1)&lt;=0, 0, IF(MAX(0, A184 - $F$13 + 1)&lt;=6, 70 - (70-14)*(MAX(0, A184 - $F$13 + 1)-1)/5, IF(MAX(0, A184 - $F$13 + 1)&lt;=24, 14 - 14*(MAX(0, A184 - $F$13 + 1)-6)/18, 0)))) + (IF(MAX(0, A184 - $F$14 + 1)&lt;=0, 0, IF(MAX(0, A184 - $F$14 + 1)&lt;=6, 70 - (70-14)*(MAX(0, A184 - $F$14 + 1)-1)/5, IF(MAX(0, A184 - $F$14 + 1)&lt;=24, 14 - 14*(MAX(0, A184 - $F$14 + 1)-6)/18, 0)))) ) * 200 / 12 / 1000</f>
        <v/>
      </c>
      <c r="F184" s="306">
        <f>IF(A184&lt;$F$6,0,IF(AND($B$21=1,A184&gt;$B$19),0,$E$6*$G$6^MIN((A184-$F$6)/12,6)*MIN($G$6,0.85)^MAX(0,(A184-$F$6)/12-6)))</f>
        <v/>
      </c>
      <c r="G184" s="306">
        <f>IF(A184&lt;$F$7,0,IF(AND($B$21=1,A184&gt;$B$19),0,$E$7*$G$7^MIN((A184-$F$7)/12,6)*MIN($G$7,0.85)^MAX(0,(A184-$F$7)/12-6)))</f>
        <v/>
      </c>
      <c r="H184" s="306">
        <f>IF(A184&lt;$F$8,0,IF(AND($B$21=1,A184&gt;$B$19),0,$E$8*$G$8^MIN((A184-$F$8)/12,6)*MIN($G$8,0.85)^MAX(0,(A184-$F$8)/12-6)))</f>
        <v/>
      </c>
      <c r="I184" s="306">
        <f>IF(A184&lt;$F$9,0,IF(AND($B$21=1,A184&gt;$B$19),0,$E$9*$G$9^MIN((A184-$F$9)/12,6)*MIN($G$9,0.85)^MAX(0,(A184-$F$9)/12-6)))</f>
        <v/>
      </c>
      <c r="J184" s="306">
        <f>IF(A184&lt;$F$10,0,IF(AND($B$21=1,A184&gt;$B$19),0,$E$10*$G$10^MIN((A184-$F$10)/12,6)*MIN($G$10,0.85)^MAX(0,(A184-$F$10)/12-6)))</f>
        <v/>
      </c>
      <c r="K184" s="306">
        <f>IF(A184&lt;$F$11,0,IF(AND($B$21=1,A184&gt;$B$19),0,$E$11*$G$11^MIN((A184-$F$11)/12,6)*MIN($G$11,0.85)^MAX(0,(A184-$F$11)/12-6)))</f>
        <v/>
      </c>
      <c r="L184" s="306">
        <f>IF(A184&lt;$F$12,0,IF(AND($B$21=1,A184&gt;$B$19),0,$E$12*$G$12^MIN((A184-$F$12)/12,6)*MIN($G$12,0.85)^MAX(0,(A184-$F$12)/12-6)))</f>
        <v/>
      </c>
      <c r="M184" s="306">
        <f>IF(A184&lt;$F$13,0,IF(AND($B$21=1,A184&gt;$B$19),0,$E$13*$G$13^MIN((A184-$F$13)/12,6)*MIN($G$13,0.85)^MAX(0,(A184-$F$13)/12-6)))</f>
        <v/>
      </c>
      <c r="N184" s="306">
        <f>IF(A184&lt;$F$14,0,IF(AND($B$21=1,A184&gt;$B$19),0,$E$14*$G$14^MIN((A184-$F$14)/12,6)*MIN($G$14,0.85)^MAX(0,(A184-$F$14)/12-6)))</f>
        <v/>
      </c>
      <c r="O184" s="306">
        <f>SUM(F184:N184)</f>
        <v/>
      </c>
      <c r="P184" s="306">
        <f>O184/12</f>
        <v/>
      </c>
      <c r="Q184" s="306">
        <f>P184*$B$8</f>
        <v/>
      </c>
      <c r="R184" s="306">
        <f>P184*$B$9</f>
        <v/>
      </c>
      <c r="S184" s="306">
        <f>P184*$B$10</f>
        <v/>
      </c>
      <c r="T184" s="306">
        <f>P184-Q184-R184-S184-D184-E184</f>
        <v/>
      </c>
      <c r="U184" s="306">
        <f>MAX(0, T184 - $B$7*P184)</f>
        <v/>
      </c>
      <c r="V184" s="306">
        <f>T184-U184</f>
        <v/>
      </c>
      <c r="W184" s="306">
        <f>IF(A184=$F$6, $B$18*$B$16*$B$17/1000000, 0) + IF(A184=$F$7, $B$18*$B$16*$B$17/1000000, 0) + IF(A184=$F$8, $B$18*$B$16*$B$17/1000000, 0) + IF(A184=$F$9, $B$18*$B$16*$B$17/1000000, 0) + IF(A184=$F$10, $B$18*$B$16*$B$17/1000000, 0) + IF(A184=$F$11, $B$18*$B$16*$B$17/1000000, 0) + IF(A184=$F$12, $B$18*$B$16*$B$17/1000000, 0) + IF(A184=$F$13, $B$18*$B$16*$B$17/1000000, 0) + IF(A184=$F$14, $B$18*$B$16*$B$17/1000000, 0)</f>
        <v/>
      </c>
      <c r="X184" s="306">
        <f>V184-W184-C184</f>
        <v/>
      </c>
      <c r="Y184" s="306">
        <f>IF(AND(A184&lt;=$B$24, X184&gt;0), X184*$B$23, 0)</f>
        <v/>
      </c>
      <c r="Z184" s="306">
        <f>X184-Y184</f>
        <v/>
      </c>
      <c r="AA184" s="306">
        <f>IF(AND(A184=$B$19, $B$21=1), O184*$B$20, 0)</f>
        <v/>
      </c>
      <c r="AB184" s="306">
        <f>AB183+Z184+AA184</f>
        <v/>
      </c>
    </row>
    <row r="185">
      <c r="A185" s="306" t="n">
        <v>155</v>
      </c>
      <c r="B185" s="306">
        <f>CEILING(A185/12,1)</f>
        <v/>
      </c>
      <c r="C185" s="306">
        <f>IF(A185&lt;=12, $B$15/12, 0)</f>
        <v/>
      </c>
      <c r="D185" s="306">
        <f>INDEX('26. Team Comp'!$D$28:$R$28, B185) * 0.001 / 12</f>
        <v/>
      </c>
      <c r="E185" s="306">
        <f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+ (IF(MAX(0, A185 - $F$11 + 1)&lt;=0, 0, IF(MAX(0, A185 - $F$11 + 1)&lt;=6, 70 - (70-14)*(MAX(0, A185 - $F$11 + 1)-1)/5, IF(MAX(0, A185 - $F$11 + 1)&lt;=24, 14 - 14*(MAX(0, A185 - $F$11 + 1)-6)/18, 0)))) + (IF(MAX(0, A185 - $F$12 + 1)&lt;=0, 0, IF(MAX(0, A185 - $F$12 + 1)&lt;=6, 70 - (70-14)*(MAX(0, A185 - $F$12 + 1)-1)/5, IF(MAX(0, A185 - $F$12 + 1)&lt;=24, 14 - 14*(MAX(0, A185 - $F$12 + 1)-6)/18, 0)))) + (IF(MAX(0, A185 - $F$13 + 1)&lt;=0, 0, IF(MAX(0, A185 - $F$13 + 1)&lt;=6, 70 - (70-14)*(MAX(0, A185 - $F$13 + 1)-1)/5, IF(MAX(0, A185 - $F$13 + 1)&lt;=24, 14 - 14*(MAX(0, A185 - $F$13 + 1)-6)/18, 0)))) + (IF(MAX(0, A185 - $F$14 + 1)&lt;=0, 0, IF(MAX(0, A185 - $F$14 + 1)&lt;=6, 70 - (70-14)*(MAX(0, A185 - $F$14 + 1)-1)/5, IF(MAX(0, A185 - $F$14 + 1)&lt;=24, 14 - 14*(MAX(0, A185 - $F$14 + 1)-6)/18, 0)))) ) * 200 / 12 / 1000</f>
        <v/>
      </c>
      <c r="F185" s="306">
        <f>IF(A185&lt;$F$6,0,IF(AND($B$21=1,A185&gt;$B$19),0,$E$6*$G$6^MIN((A185-$F$6)/12,6)*MIN($G$6,0.85)^MAX(0,(A185-$F$6)/12-6)))</f>
        <v/>
      </c>
      <c r="G185" s="306">
        <f>IF(A185&lt;$F$7,0,IF(AND($B$21=1,A185&gt;$B$19),0,$E$7*$G$7^MIN((A185-$F$7)/12,6)*MIN($G$7,0.85)^MAX(0,(A185-$F$7)/12-6)))</f>
        <v/>
      </c>
      <c r="H185" s="306">
        <f>IF(A185&lt;$F$8,0,IF(AND($B$21=1,A185&gt;$B$19),0,$E$8*$G$8^MIN((A185-$F$8)/12,6)*MIN($G$8,0.85)^MAX(0,(A185-$F$8)/12-6)))</f>
        <v/>
      </c>
      <c r="I185" s="306">
        <f>IF(A185&lt;$F$9,0,IF(AND($B$21=1,A185&gt;$B$19),0,$E$9*$G$9^MIN((A185-$F$9)/12,6)*MIN($G$9,0.85)^MAX(0,(A185-$F$9)/12-6)))</f>
        <v/>
      </c>
      <c r="J185" s="306">
        <f>IF(A185&lt;$F$10,0,IF(AND($B$21=1,A185&gt;$B$19),0,$E$10*$G$10^MIN((A185-$F$10)/12,6)*MIN($G$10,0.85)^MAX(0,(A185-$F$10)/12-6)))</f>
        <v/>
      </c>
      <c r="K185" s="306">
        <f>IF(A185&lt;$F$11,0,IF(AND($B$21=1,A185&gt;$B$19),0,$E$11*$G$11^MIN((A185-$F$11)/12,6)*MIN($G$11,0.85)^MAX(0,(A185-$F$11)/12-6)))</f>
        <v/>
      </c>
      <c r="L185" s="306">
        <f>IF(A185&lt;$F$12,0,IF(AND($B$21=1,A185&gt;$B$19),0,$E$12*$G$12^MIN((A185-$F$12)/12,6)*MIN($G$12,0.85)^MAX(0,(A185-$F$12)/12-6)))</f>
        <v/>
      </c>
      <c r="M185" s="306">
        <f>IF(A185&lt;$F$13,0,IF(AND($B$21=1,A185&gt;$B$19),0,$E$13*$G$13^MIN((A185-$F$13)/12,6)*MIN($G$13,0.85)^MAX(0,(A185-$F$13)/12-6)))</f>
        <v/>
      </c>
      <c r="N185" s="306">
        <f>IF(A185&lt;$F$14,0,IF(AND($B$21=1,A185&gt;$B$19),0,$E$14*$G$14^MIN((A185-$F$14)/12,6)*MIN($G$14,0.85)^MAX(0,(A185-$F$14)/12-6)))</f>
        <v/>
      </c>
      <c r="O185" s="306">
        <f>SUM(F185:N185)</f>
        <v/>
      </c>
      <c r="P185" s="306">
        <f>O185/12</f>
        <v/>
      </c>
      <c r="Q185" s="306">
        <f>P185*$B$8</f>
        <v/>
      </c>
      <c r="R185" s="306">
        <f>P185*$B$9</f>
        <v/>
      </c>
      <c r="S185" s="306">
        <f>P185*$B$10</f>
        <v/>
      </c>
      <c r="T185" s="306">
        <f>P185-Q185-R185-S185-D185-E185</f>
        <v/>
      </c>
      <c r="U185" s="306">
        <f>MAX(0, T185 - $B$7*P185)</f>
        <v/>
      </c>
      <c r="V185" s="306">
        <f>T185-U185</f>
        <v/>
      </c>
      <c r="W185" s="306">
        <f>IF(A185=$F$6, $B$18*$B$16*$B$17/1000000, 0) + IF(A185=$F$7, $B$18*$B$16*$B$17/1000000, 0) + IF(A185=$F$8, $B$18*$B$16*$B$17/1000000, 0) + IF(A185=$F$9, $B$18*$B$16*$B$17/1000000, 0) + IF(A185=$F$10, $B$18*$B$16*$B$17/1000000, 0) + IF(A185=$F$11, $B$18*$B$16*$B$17/1000000, 0) + IF(A185=$F$12, $B$18*$B$16*$B$17/1000000, 0) + IF(A185=$F$13, $B$18*$B$16*$B$17/1000000, 0) + IF(A185=$F$14, $B$18*$B$16*$B$17/1000000, 0)</f>
        <v/>
      </c>
      <c r="X185" s="306">
        <f>V185-W185-C185</f>
        <v/>
      </c>
      <c r="Y185" s="306">
        <f>IF(AND(A185&lt;=$B$24, X185&gt;0), X185*$B$23, 0)</f>
        <v/>
      </c>
      <c r="Z185" s="306">
        <f>X185-Y185</f>
        <v/>
      </c>
      <c r="AA185" s="306">
        <f>IF(AND(A185=$B$19, $B$21=1), O185*$B$20, 0)</f>
        <v/>
      </c>
      <c r="AB185" s="306">
        <f>AB184+Z185+AA185</f>
        <v/>
      </c>
    </row>
    <row r="186">
      <c r="A186" s="306" t="n">
        <v>156</v>
      </c>
      <c r="B186" s="306">
        <f>CEILING(A186/12,1)</f>
        <v/>
      </c>
      <c r="C186" s="306">
        <f>IF(A186&lt;=12, $B$15/12, 0)</f>
        <v/>
      </c>
      <c r="D186" s="306">
        <f>INDEX('26. Team Comp'!$D$28:$R$28, B186) * 0.001 / 12</f>
        <v/>
      </c>
      <c r="E186" s="306">
        <f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+ (IF(MAX(0, A186 - $F$11 + 1)&lt;=0, 0, IF(MAX(0, A186 - $F$11 + 1)&lt;=6, 70 - (70-14)*(MAX(0, A186 - $F$11 + 1)-1)/5, IF(MAX(0, A186 - $F$11 + 1)&lt;=24, 14 - 14*(MAX(0, A186 - $F$11 + 1)-6)/18, 0)))) + (IF(MAX(0, A186 - $F$12 + 1)&lt;=0, 0, IF(MAX(0, A186 - $F$12 + 1)&lt;=6, 70 - (70-14)*(MAX(0, A186 - $F$12 + 1)-1)/5, IF(MAX(0, A186 - $F$12 + 1)&lt;=24, 14 - 14*(MAX(0, A186 - $F$12 + 1)-6)/18, 0)))) + (IF(MAX(0, A186 - $F$13 + 1)&lt;=0, 0, IF(MAX(0, A186 - $F$13 + 1)&lt;=6, 70 - (70-14)*(MAX(0, A186 - $F$13 + 1)-1)/5, IF(MAX(0, A186 - $F$13 + 1)&lt;=24, 14 - 14*(MAX(0, A186 - $F$13 + 1)-6)/18, 0)))) + (IF(MAX(0, A186 - $F$14 + 1)&lt;=0, 0, IF(MAX(0, A186 - $F$14 + 1)&lt;=6, 70 - (70-14)*(MAX(0, A186 - $F$14 + 1)-1)/5, IF(MAX(0, A186 - $F$14 + 1)&lt;=24, 14 - 14*(MAX(0, A186 - $F$14 + 1)-6)/18, 0)))) ) * 200 / 12 / 1000</f>
        <v/>
      </c>
      <c r="F186" s="306">
        <f>IF(A186&lt;$F$6,0,IF(AND($B$21=1,A186&gt;$B$19),0,$E$6*$G$6^MIN((A186-$F$6)/12,6)*MIN($G$6,0.85)^MAX(0,(A186-$F$6)/12-6)))</f>
        <v/>
      </c>
      <c r="G186" s="306">
        <f>IF(A186&lt;$F$7,0,IF(AND($B$21=1,A186&gt;$B$19),0,$E$7*$G$7^MIN((A186-$F$7)/12,6)*MIN($G$7,0.85)^MAX(0,(A186-$F$7)/12-6)))</f>
        <v/>
      </c>
      <c r="H186" s="306">
        <f>IF(A186&lt;$F$8,0,IF(AND($B$21=1,A186&gt;$B$19),0,$E$8*$G$8^MIN((A186-$F$8)/12,6)*MIN($G$8,0.85)^MAX(0,(A186-$F$8)/12-6)))</f>
        <v/>
      </c>
      <c r="I186" s="306">
        <f>IF(A186&lt;$F$9,0,IF(AND($B$21=1,A186&gt;$B$19),0,$E$9*$G$9^MIN((A186-$F$9)/12,6)*MIN($G$9,0.85)^MAX(0,(A186-$F$9)/12-6)))</f>
        <v/>
      </c>
      <c r="J186" s="306">
        <f>IF(A186&lt;$F$10,0,IF(AND($B$21=1,A186&gt;$B$19),0,$E$10*$G$10^MIN((A186-$F$10)/12,6)*MIN($G$10,0.85)^MAX(0,(A186-$F$10)/12-6)))</f>
        <v/>
      </c>
      <c r="K186" s="306">
        <f>IF(A186&lt;$F$11,0,IF(AND($B$21=1,A186&gt;$B$19),0,$E$11*$G$11^MIN((A186-$F$11)/12,6)*MIN($G$11,0.85)^MAX(0,(A186-$F$11)/12-6)))</f>
        <v/>
      </c>
      <c r="L186" s="306">
        <f>IF(A186&lt;$F$12,0,IF(AND($B$21=1,A186&gt;$B$19),0,$E$12*$G$12^MIN((A186-$F$12)/12,6)*MIN($G$12,0.85)^MAX(0,(A186-$F$12)/12-6)))</f>
        <v/>
      </c>
      <c r="M186" s="306">
        <f>IF(A186&lt;$F$13,0,IF(AND($B$21=1,A186&gt;$B$19),0,$E$13*$G$13^MIN((A186-$F$13)/12,6)*MIN($G$13,0.85)^MAX(0,(A186-$F$13)/12-6)))</f>
        <v/>
      </c>
      <c r="N186" s="306">
        <f>IF(A186&lt;$F$14,0,IF(AND($B$21=1,A186&gt;$B$19),0,$E$14*$G$14^MIN((A186-$F$14)/12,6)*MIN($G$14,0.85)^MAX(0,(A186-$F$14)/12-6)))</f>
        <v/>
      </c>
      <c r="O186" s="306">
        <f>SUM(F186:N186)</f>
        <v/>
      </c>
      <c r="P186" s="306">
        <f>O186/12</f>
        <v/>
      </c>
      <c r="Q186" s="306">
        <f>P186*$B$8</f>
        <v/>
      </c>
      <c r="R186" s="306">
        <f>P186*$B$9</f>
        <v/>
      </c>
      <c r="S186" s="306">
        <f>P186*$B$10</f>
        <v/>
      </c>
      <c r="T186" s="306">
        <f>P186-Q186-R186-S186-D186-E186</f>
        <v/>
      </c>
      <c r="U186" s="306">
        <f>MAX(0, T186 - $B$7*P186)</f>
        <v/>
      </c>
      <c r="V186" s="306">
        <f>T186-U186</f>
        <v/>
      </c>
      <c r="W186" s="306">
        <f>IF(A186=$F$6, $B$18*$B$16*$B$17/1000000, 0) + IF(A186=$F$7, $B$18*$B$16*$B$17/1000000, 0) + IF(A186=$F$8, $B$18*$B$16*$B$17/1000000, 0) + IF(A186=$F$9, $B$18*$B$16*$B$17/1000000, 0) + IF(A186=$F$10, $B$18*$B$16*$B$17/1000000, 0) + IF(A186=$F$11, $B$18*$B$16*$B$17/1000000, 0) + IF(A186=$F$12, $B$18*$B$16*$B$17/1000000, 0) + IF(A186=$F$13, $B$18*$B$16*$B$17/1000000, 0) + IF(A186=$F$14, $B$18*$B$16*$B$17/1000000, 0)</f>
        <v/>
      </c>
      <c r="X186" s="306">
        <f>V186-W186-C186</f>
        <v/>
      </c>
      <c r="Y186" s="306">
        <f>IF(AND(A186&lt;=$B$24, X186&gt;0), X186*$B$23, 0)</f>
        <v/>
      </c>
      <c r="Z186" s="306">
        <f>X186-Y186</f>
        <v/>
      </c>
      <c r="AA186" s="306">
        <f>IF(AND(A186=$B$19, $B$21=1), O186*$B$20, 0)</f>
        <v/>
      </c>
      <c r="AB186" s="306">
        <f>AB185+Z186+AA186</f>
        <v/>
      </c>
    </row>
    <row r="187">
      <c r="A187" s="306" t="n">
        <v>157</v>
      </c>
      <c r="B187" s="306">
        <f>CEILING(A187/12,1)</f>
        <v/>
      </c>
      <c r="C187" s="306">
        <f>IF(A187&lt;=12, $B$15/12, 0)</f>
        <v/>
      </c>
      <c r="D187" s="306">
        <f>INDEX('26. Team Comp'!$D$28:$R$28, B187) * 0.001 / 12</f>
        <v/>
      </c>
      <c r="E187" s="306">
        <f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+ (IF(MAX(0, A187 - $F$11 + 1)&lt;=0, 0, IF(MAX(0, A187 - $F$11 + 1)&lt;=6, 70 - (70-14)*(MAX(0, A187 - $F$11 + 1)-1)/5, IF(MAX(0, A187 - $F$11 + 1)&lt;=24, 14 - 14*(MAX(0, A187 - $F$11 + 1)-6)/18, 0)))) + (IF(MAX(0, A187 - $F$12 + 1)&lt;=0, 0, IF(MAX(0, A187 - $F$12 + 1)&lt;=6, 70 - (70-14)*(MAX(0, A187 - $F$12 + 1)-1)/5, IF(MAX(0, A187 - $F$12 + 1)&lt;=24, 14 - 14*(MAX(0, A187 - $F$12 + 1)-6)/18, 0)))) + (IF(MAX(0, A187 - $F$13 + 1)&lt;=0, 0, IF(MAX(0, A187 - $F$13 + 1)&lt;=6, 70 - (70-14)*(MAX(0, A187 - $F$13 + 1)-1)/5, IF(MAX(0, A187 - $F$13 + 1)&lt;=24, 14 - 14*(MAX(0, A187 - $F$13 + 1)-6)/18, 0)))) + (IF(MAX(0, A187 - $F$14 + 1)&lt;=0, 0, IF(MAX(0, A187 - $F$14 + 1)&lt;=6, 70 - (70-14)*(MAX(0, A187 - $F$14 + 1)-1)/5, IF(MAX(0, A187 - $F$14 + 1)&lt;=24, 14 - 14*(MAX(0, A187 - $F$14 + 1)-6)/18, 0)))) ) * 200 / 12 / 1000</f>
        <v/>
      </c>
      <c r="F187" s="306">
        <f>IF(A187&lt;$F$6,0,IF(AND($B$21=1,A187&gt;$B$19),0,$E$6*$G$6^MIN((A187-$F$6)/12,6)*MIN($G$6,0.85)^MAX(0,(A187-$F$6)/12-6)))</f>
        <v/>
      </c>
      <c r="G187" s="306">
        <f>IF(A187&lt;$F$7,0,IF(AND($B$21=1,A187&gt;$B$19),0,$E$7*$G$7^MIN((A187-$F$7)/12,6)*MIN($G$7,0.85)^MAX(0,(A187-$F$7)/12-6)))</f>
        <v/>
      </c>
      <c r="H187" s="306">
        <f>IF(A187&lt;$F$8,0,IF(AND($B$21=1,A187&gt;$B$19),0,$E$8*$G$8^MIN((A187-$F$8)/12,6)*MIN($G$8,0.85)^MAX(0,(A187-$F$8)/12-6)))</f>
        <v/>
      </c>
      <c r="I187" s="306">
        <f>IF(A187&lt;$F$9,0,IF(AND($B$21=1,A187&gt;$B$19),0,$E$9*$G$9^MIN((A187-$F$9)/12,6)*MIN($G$9,0.85)^MAX(0,(A187-$F$9)/12-6)))</f>
        <v/>
      </c>
      <c r="J187" s="306">
        <f>IF(A187&lt;$F$10,0,IF(AND($B$21=1,A187&gt;$B$19),0,$E$10*$G$10^MIN((A187-$F$10)/12,6)*MIN($G$10,0.85)^MAX(0,(A187-$F$10)/12-6)))</f>
        <v/>
      </c>
      <c r="K187" s="306">
        <f>IF(A187&lt;$F$11,0,IF(AND($B$21=1,A187&gt;$B$19),0,$E$11*$G$11^MIN((A187-$F$11)/12,6)*MIN($G$11,0.85)^MAX(0,(A187-$F$11)/12-6)))</f>
        <v/>
      </c>
      <c r="L187" s="306">
        <f>IF(A187&lt;$F$12,0,IF(AND($B$21=1,A187&gt;$B$19),0,$E$12*$G$12^MIN((A187-$F$12)/12,6)*MIN($G$12,0.85)^MAX(0,(A187-$F$12)/12-6)))</f>
        <v/>
      </c>
      <c r="M187" s="306">
        <f>IF(A187&lt;$F$13,0,IF(AND($B$21=1,A187&gt;$B$19),0,$E$13*$G$13^MIN((A187-$F$13)/12,6)*MIN($G$13,0.85)^MAX(0,(A187-$F$13)/12-6)))</f>
        <v/>
      </c>
      <c r="N187" s="306">
        <f>IF(A187&lt;$F$14,0,IF(AND($B$21=1,A187&gt;$B$19),0,$E$14*$G$14^MIN((A187-$F$14)/12,6)*MIN($G$14,0.85)^MAX(0,(A187-$F$14)/12-6)))</f>
        <v/>
      </c>
      <c r="O187" s="306">
        <f>SUM(F187:N187)</f>
        <v/>
      </c>
      <c r="P187" s="306">
        <f>O187/12</f>
        <v/>
      </c>
      <c r="Q187" s="306">
        <f>P187*$B$8</f>
        <v/>
      </c>
      <c r="R187" s="306">
        <f>P187*$B$9</f>
        <v/>
      </c>
      <c r="S187" s="306">
        <f>P187*$B$10</f>
        <v/>
      </c>
      <c r="T187" s="306">
        <f>P187-Q187-R187-S187-D187-E187</f>
        <v/>
      </c>
      <c r="U187" s="306">
        <f>MAX(0, T187 - $B$7*P187)</f>
        <v/>
      </c>
      <c r="V187" s="306">
        <f>T187-U187</f>
        <v/>
      </c>
      <c r="W187" s="306">
        <f>IF(A187=$F$6, $B$18*$B$16*$B$17/1000000, 0) + IF(A187=$F$7, $B$18*$B$16*$B$17/1000000, 0) + IF(A187=$F$8, $B$18*$B$16*$B$17/1000000, 0) + IF(A187=$F$9, $B$18*$B$16*$B$17/1000000, 0) + IF(A187=$F$10, $B$18*$B$16*$B$17/1000000, 0) + IF(A187=$F$11, $B$18*$B$16*$B$17/1000000, 0) + IF(A187=$F$12, $B$18*$B$16*$B$17/1000000, 0) + IF(A187=$F$13, $B$18*$B$16*$B$17/1000000, 0) + IF(A187=$F$14, $B$18*$B$16*$B$17/1000000, 0)</f>
        <v/>
      </c>
      <c r="X187" s="306">
        <f>V187-W187-C187</f>
        <v/>
      </c>
      <c r="Y187" s="306">
        <f>IF(AND(A187&lt;=$B$24, X187&gt;0), X187*$B$23, 0)</f>
        <v/>
      </c>
      <c r="Z187" s="306">
        <f>X187-Y187</f>
        <v/>
      </c>
      <c r="AA187" s="306">
        <f>IF(AND(A187=$B$19, $B$21=1), O187*$B$20, 0)</f>
        <v/>
      </c>
      <c r="AB187" s="306">
        <f>AB186+Z187+AA187</f>
        <v/>
      </c>
    </row>
    <row r="188">
      <c r="A188" s="306" t="n">
        <v>158</v>
      </c>
      <c r="B188" s="306">
        <f>CEILING(A188/12,1)</f>
        <v/>
      </c>
      <c r="C188" s="306">
        <f>IF(A188&lt;=12, $B$15/12, 0)</f>
        <v/>
      </c>
      <c r="D188" s="306">
        <f>INDEX('26. Team Comp'!$D$28:$R$28, B188) * 0.001 / 12</f>
        <v/>
      </c>
      <c r="E188" s="306">
        <f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+ (IF(MAX(0, A188 - $F$11 + 1)&lt;=0, 0, IF(MAX(0, A188 - $F$11 + 1)&lt;=6, 70 - (70-14)*(MAX(0, A188 - $F$11 + 1)-1)/5, IF(MAX(0, A188 - $F$11 + 1)&lt;=24, 14 - 14*(MAX(0, A188 - $F$11 + 1)-6)/18, 0)))) + (IF(MAX(0, A188 - $F$12 + 1)&lt;=0, 0, IF(MAX(0, A188 - $F$12 + 1)&lt;=6, 70 - (70-14)*(MAX(0, A188 - $F$12 + 1)-1)/5, IF(MAX(0, A188 - $F$12 + 1)&lt;=24, 14 - 14*(MAX(0, A188 - $F$12 + 1)-6)/18, 0)))) + (IF(MAX(0, A188 - $F$13 + 1)&lt;=0, 0, IF(MAX(0, A188 - $F$13 + 1)&lt;=6, 70 - (70-14)*(MAX(0, A188 - $F$13 + 1)-1)/5, IF(MAX(0, A188 - $F$13 + 1)&lt;=24, 14 - 14*(MAX(0, A188 - $F$13 + 1)-6)/18, 0)))) + (IF(MAX(0, A188 - $F$14 + 1)&lt;=0, 0, IF(MAX(0, A188 - $F$14 + 1)&lt;=6, 70 - (70-14)*(MAX(0, A188 - $F$14 + 1)-1)/5, IF(MAX(0, A188 - $F$14 + 1)&lt;=24, 14 - 14*(MAX(0, A188 - $F$14 + 1)-6)/18, 0)))) ) * 200 / 12 / 1000</f>
        <v/>
      </c>
      <c r="F188" s="306">
        <f>IF(A188&lt;$F$6,0,IF(AND($B$21=1,A188&gt;$B$19),0,$E$6*$G$6^MIN((A188-$F$6)/12,6)*MIN($G$6,0.85)^MAX(0,(A188-$F$6)/12-6)))</f>
        <v/>
      </c>
      <c r="G188" s="306">
        <f>IF(A188&lt;$F$7,0,IF(AND($B$21=1,A188&gt;$B$19),0,$E$7*$G$7^MIN((A188-$F$7)/12,6)*MIN($G$7,0.85)^MAX(0,(A188-$F$7)/12-6)))</f>
        <v/>
      </c>
      <c r="H188" s="306">
        <f>IF(A188&lt;$F$8,0,IF(AND($B$21=1,A188&gt;$B$19),0,$E$8*$G$8^MIN((A188-$F$8)/12,6)*MIN($G$8,0.85)^MAX(0,(A188-$F$8)/12-6)))</f>
        <v/>
      </c>
      <c r="I188" s="306">
        <f>IF(A188&lt;$F$9,0,IF(AND($B$21=1,A188&gt;$B$19),0,$E$9*$G$9^MIN((A188-$F$9)/12,6)*MIN($G$9,0.85)^MAX(0,(A188-$F$9)/12-6)))</f>
        <v/>
      </c>
      <c r="J188" s="306">
        <f>IF(A188&lt;$F$10,0,IF(AND($B$21=1,A188&gt;$B$19),0,$E$10*$G$10^MIN((A188-$F$10)/12,6)*MIN($G$10,0.85)^MAX(0,(A188-$F$10)/12-6)))</f>
        <v/>
      </c>
      <c r="K188" s="306">
        <f>IF(A188&lt;$F$11,0,IF(AND($B$21=1,A188&gt;$B$19),0,$E$11*$G$11^MIN((A188-$F$11)/12,6)*MIN($G$11,0.85)^MAX(0,(A188-$F$11)/12-6)))</f>
        <v/>
      </c>
      <c r="L188" s="306">
        <f>IF(A188&lt;$F$12,0,IF(AND($B$21=1,A188&gt;$B$19),0,$E$12*$G$12^MIN((A188-$F$12)/12,6)*MIN($G$12,0.85)^MAX(0,(A188-$F$12)/12-6)))</f>
        <v/>
      </c>
      <c r="M188" s="306">
        <f>IF(A188&lt;$F$13,0,IF(AND($B$21=1,A188&gt;$B$19),0,$E$13*$G$13^MIN((A188-$F$13)/12,6)*MIN($G$13,0.85)^MAX(0,(A188-$F$13)/12-6)))</f>
        <v/>
      </c>
      <c r="N188" s="306">
        <f>IF(A188&lt;$F$14,0,IF(AND($B$21=1,A188&gt;$B$19),0,$E$14*$G$14^MIN((A188-$F$14)/12,6)*MIN($G$14,0.85)^MAX(0,(A188-$F$14)/12-6)))</f>
        <v/>
      </c>
      <c r="O188" s="306">
        <f>SUM(F188:N188)</f>
        <v/>
      </c>
      <c r="P188" s="306">
        <f>O188/12</f>
        <v/>
      </c>
      <c r="Q188" s="306">
        <f>P188*$B$8</f>
        <v/>
      </c>
      <c r="R188" s="306">
        <f>P188*$B$9</f>
        <v/>
      </c>
      <c r="S188" s="306">
        <f>P188*$B$10</f>
        <v/>
      </c>
      <c r="T188" s="306">
        <f>P188-Q188-R188-S188-D188-E188</f>
        <v/>
      </c>
      <c r="U188" s="306">
        <f>MAX(0, T188 - $B$7*P188)</f>
        <v/>
      </c>
      <c r="V188" s="306">
        <f>T188-U188</f>
        <v/>
      </c>
      <c r="W188" s="306">
        <f>IF(A188=$F$6, $B$18*$B$16*$B$17/1000000, 0) + IF(A188=$F$7, $B$18*$B$16*$B$17/1000000, 0) + IF(A188=$F$8, $B$18*$B$16*$B$17/1000000, 0) + IF(A188=$F$9, $B$18*$B$16*$B$17/1000000, 0) + IF(A188=$F$10, $B$18*$B$16*$B$17/1000000, 0) + IF(A188=$F$11, $B$18*$B$16*$B$17/1000000, 0) + IF(A188=$F$12, $B$18*$B$16*$B$17/1000000, 0) + IF(A188=$F$13, $B$18*$B$16*$B$17/1000000, 0) + IF(A188=$F$14, $B$18*$B$16*$B$17/1000000, 0)</f>
        <v/>
      </c>
      <c r="X188" s="306">
        <f>V188-W188-C188</f>
        <v/>
      </c>
      <c r="Y188" s="306">
        <f>IF(AND(A188&lt;=$B$24, X188&gt;0), X188*$B$23, 0)</f>
        <v/>
      </c>
      <c r="Z188" s="306">
        <f>X188-Y188</f>
        <v/>
      </c>
      <c r="AA188" s="306">
        <f>IF(AND(A188=$B$19, $B$21=1), O188*$B$20, 0)</f>
        <v/>
      </c>
      <c r="AB188" s="306">
        <f>AB187+Z188+AA188</f>
        <v/>
      </c>
    </row>
    <row r="189">
      <c r="A189" s="306" t="n">
        <v>159</v>
      </c>
      <c r="B189" s="306">
        <f>CEILING(A189/12,1)</f>
        <v/>
      </c>
      <c r="C189" s="306">
        <f>IF(A189&lt;=12, $B$15/12, 0)</f>
        <v/>
      </c>
      <c r="D189" s="306">
        <f>INDEX('26. Team Comp'!$D$28:$R$28, B189) * 0.001 / 12</f>
        <v/>
      </c>
      <c r="E189" s="306">
        <f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+ (IF(MAX(0, A189 - $F$11 + 1)&lt;=0, 0, IF(MAX(0, A189 - $F$11 + 1)&lt;=6, 70 - (70-14)*(MAX(0, A189 - $F$11 + 1)-1)/5, IF(MAX(0, A189 - $F$11 + 1)&lt;=24, 14 - 14*(MAX(0, A189 - $F$11 + 1)-6)/18, 0)))) + (IF(MAX(0, A189 - $F$12 + 1)&lt;=0, 0, IF(MAX(0, A189 - $F$12 + 1)&lt;=6, 70 - (70-14)*(MAX(0, A189 - $F$12 + 1)-1)/5, IF(MAX(0, A189 - $F$12 + 1)&lt;=24, 14 - 14*(MAX(0, A189 - $F$12 + 1)-6)/18, 0)))) + (IF(MAX(0, A189 - $F$13 + 1)&lt;=0, 0, IF(MAX(0, A189 - $F$13 + 1)&lt;=6, 70 - (70-14)*(MAX(0, A189 - $F$13 + 1)-1)/5, IF(MAX(0, A189 - $F$13 + 1)&lt;=24, 14 - 14*(MAX(0, A189 - $F$13 + 1)-6)/18, 0)))) + (IF(MAX(0, A189 - $F$14 + 1)&lt;=0, 0, IF(MAX(0, A189 - $F$14 + 1)&lt;=6, 70 - (70-14)*(MAX(0, A189 - $F$14 + 1)-1)/5, IF(MAX(0, A189 - $F$14 + 1)&lt;=24, 14 - 14*(MAX(0, A189 - $F$14 + 1)-6)/18, 0)))) ) * 200 / 12 / 1000</f>
        <v/>
      </c>
      <c r="F189" s="306">
        <f>IF(A189&lt;$F$6,0,IF(AND($B$21=1,A189&gt;$B$19),0,$E$6*$G$6^MIN((A189-$F$6)/12,6)*MIN($G$6,0.85)^MAX(0,(A189-$F$6)/12-6)))</f>
        <v/>
      </c>
      <c r="G189" s="306">
        <f>IF(A189&lt;$F$7,0,IF(AND($B$21=1,A189&gt;$B$19),0,$E$7*$G$7^MIN((A189-$F$7)/12,6)*MIN($G$7,0.85)^MAX(0,(A189-$F$7)/12-6)))</f>
        <v/>
      </c>
      <c r="H189" s="306">
        <f>IF(A189&lt;$F$8,0,IF(AND($B$21=1,A189&gt;$B$19),0,$E$8*$G$8^MIN((A189-$F$8)/12,6)*MIN($G$8,0.85)^MAX(0,(A189-$F$8)/12-6)))</f>
        <v/>
      </c>
      <c r="I189" s="306">
        <f>IF(A189&lt;$F$9,0,IF(AND($B$21=1,A189&gt;$B$19),0,$E$9*$G$9^MIN((A189-$F$9)/12,6)*MIN($G$9,0.85)^MAX(0,(A189-$F$9)/12-6)))</f>
        <v/>
      </c>
      <c r="J189" s="306">
        <f>IF(A189&lt;$F$10,0,IF(AND($B$21=1,A189&gt;$B$19),0,$E$10*$G$10^MIN((A189-$F$10)/12,6)*MIN($G$10,0.85)^MAX(0,(A189-$F$10)/12-6)))</f>
        <v/>
      </c>
      <c r="K189" s="306">
        <f>IF(A189&lt;$F$11,0,IF(AND($B$21=1,A189&gt;$B$19),0,$E$11*$G$11^MIN((A189-$F$11)/12,6)*MIN($G$11,0.85)^MAX(0,(A189-$F$11)/12-6)))</f>
        <v/>
      </c>
      <c r="L189" s="306">
        <f>IF(A189&lt;$F$12,0,IF(AND($B$21=1,A189&gt;$B$19),0,$E$12*$G$12^MIN((A189-$F$12)/12,6)*MIN($G$12,0.85)^MAX(0,(A189-$F$12)/12-6)))</f>
        <v/>
      </c>
      <c r="M189" s="306">
        <f>IF(A189&lt;$F$13,0,IF(AND($B$21=1,A189&gt;$B$19),0,$E$13*$G$13^MIN((A189-$F$13)/12,6)*MIN($G$13,0.85)^MAX(0,(A189-$F$13)/12-6)))</f>
        <v/>
      </c>
      <c r="N189" s="306">
        <f>IF(A189&lt;$F$14,0,IF(AND($B$21=1,A189&gt;$B$19),0,$E$14*$G$14^MIN((A189-$F$14)/12,6)*MIN($G$14,0.85)^MAX(0,(A189-$F$14)/12-6)))</f>
        <v/>
      </c>
      <c r="O189" s="306">
        <f>SUM(F189:N189)</f>
        <v/>
      </c>
      <c r="P189" s="306">
        <f>O189/12</f>
        <v/>
      </c>
      <c r="Q189" s="306">
        <f>P189*$B$8</f>
        <v/>
      </c>
      <c r="R189" s="306">
        <f>P189*$B$9</f>
        <v/>
      </c>
      <c r="S189" s="306">
        <f>P189*$B$10</f>
        <v/>
      </c>
      <c r="T189" s="306">
        <f>P189-Q189-R189-S189-D189-E189</f>
        <v/>
      </c>
      <c r="U189" s="306">
        <f>MAX(0, T189 - $B$7*P189)</f>
        <v/>
      </c>
      <c r="V189" s="306">
        <f>T189-U189</f>
        <v/>
      </c>
      <c r="W189" s="306">
        <f>IF(A189=$F$6, $B$18*$B$16*$B$17/1000000, 0) + IF(A189=$F$7, $B$18*$B$16*$B$17/1000000, 0) + IF(A189=$F$8, $B$18*$B$16*$B$17/1000000, 0) + IF(A189=$F$9, $B$18*$B$16*$B$17/1000000, 0) + IF(A189=$F$10, $B$18*$B$16*$B$17/1000000, 0) + IF(A189=$F$11, $B$18*$B$16*$B$17/1000000, 0) + IF(A189=$F$12, $B$18*$B$16*$B$17/1000000, 0) + IF(A189=$F$13, $B$18*$B$16*$B$17/1000000, 0) + IF(A189=$F$14, $B$18*$B$16*$B$17/1000000, 0)</f>
        <v/>
      </c>
      <c r="X189" s="306">
        <f>V189-W189-C189</f>
        <v/>
      </c>
      <c r="Y189" s="306">
        <f>IF(AND(A189&lt;=$B$24, X189&gt;0), X189*$B$23, 0)</f>
        <v/>
      </c>
      <c r="Z189" s="306">
        <f>X189-Y189</f>
        <v/>
      </c>
      <c r="AA189" s="306">
        <f>IF(AND(A189=$B$19, $B$21=1), O189*$B$20, 0)</f>
        <v/>
      </c>
      <c r="AB189" s="306">
        <f>AB188+Z189+AA189</f>
        <v/>
      </c>
    </row>
    <row r="190">
      <c r="A190" s="306" t="n">
        <v>160</v>
      </c>
      <c r="B190" s="306">
        <f>CEILING(A190/12,1)</f>
        <v/>
      </c>
      <c r="C190" s="306">
        <f>IF(A190&lt;=12, $B$15/12, 0)</f>
        <v/>
      </c>
      <c r="D190" s="306">
        <f>INDEX('26. Team Comp'!$D$28:$R$28, B190) * 0.001 / 12</f>
        <v/>
      </c>
      <c r="E190" s="306">
        <f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+ (IF(MAX(0, A190 - $F$11 + 1)&lt;=0, 0, IF(MAX(0, A190 - $F$11 + 1)&lt;=6, 70 - (70-14)*(MAX(0, A190 - $F$11 + 1)-1)/5, IF(MAX(0, A190 - $F$11 + 1)&lt;=24, 14 - 14*(MAX(0, A190 - $F$11 + 1)-6)/18, 0)))) + (IF(MAX(0, A190 - $F$12 + 1)&lt;=0, 0, IF(MAX(0, A190 - $F$12 + 1)&lt;=6, 70 - (70-14)*(MAX(0, A190 - $F$12 + 1)-1)/5, IF(MAX(0, A190 - $F$12 + 1)&lt;=24, 14 - 14*(MAX(0, A190 - $F$12 + 1)-6)/18, 0)))) + (IF(MAX(0, A190 - $F$13 + 1)&lt;=0, 0, IF(MAX(0, A190 - $F$13 + 1)&lt;=6, 70 - (70-14)*(MAX(0, A190 - $F$13 + 1)-1)/5, IF(MAX(0, A190 - $F$13 + 1)&lt;=24, 14 - 14*(MAX(0, A190 - $F$13 + 1)-6)/18, 0)))) + (IF(MAX(0, A190 - $F$14 + 1)&lt;=0, 0, IF(MAX(0, A190 - $F$14 + 1)&lt;=6, 70 - (70-14)*(MAX(0, A190 - $F$14 + 1)-1)/5, IF(MAX(0, A190 - $F$14 + 1)&lt;=24, 14 - 14*(MAX(0, A190 - $F$14 + 1)-6)/18, 0)))) ) * 200 / 12 / 1000</f>
        <v/>
      </c>
      <c r="F190" s="306">
        <f>IF(A190&lt;$F$6,0,IF(AND($B$21=1,A190&gt;$B$19),0,$E$6*$G$6^MIN((A190-$F$6)/12,6)*MIN($G$6,0.85)^MAX(0,(A190-$F$6)/12-6)))</f>
        <v/>
      </c>
      <c r="G190" s="306">
        <f>IF(A190&lt;$F$7,0,IF(AND($B$21=1,A190&gt;$B$19),0,$E$7*$G$7^MIN((A190-$F$7)/12,6)*MIN($G$7,0.85)^MAX(0,(A190-$F$7)/12-6)))</f>
        <v/>
      </c>
      <c r="H190" s="306">
        <f>IF(A190&lt;$F$8,0,IF(AND($B$21=1,A190&gt;$B$19),0,$E$8*$G$8^MIN((A190-$F$8)/12,6)*MIN($G$8,0.85)^MAX(0,(A190-$F$8)/12-6)))</f>
        <v/>
      </c>
      <c r="I190" s="306">
        <f>IF(A190&lt;$F$9,0,IF(AND($B$21=1,A190&gt;$B$19),0,$E$9*$G$9^MIN((A190-$F$9)/12,6)*MIN($G$9,0.85)^MAX(0,(A190-$F$9)/12-6)))</f>
        <v/>
      </c>
      <c r="J190" s="306">
        <f>IF(A190&lt;$F$10,0,IF(AND($B$21=1,A190&gt;$B$19),0,$E$10*$G$10^MIN((A190-$F$10)/12,6)*MIN($G$10,0.85)^MAX(0,(A190-$F$10)/12-6)))</f>
        <v/>
      </c>
      <c r="K190" s="306">
        <f>IF(A190&lt;$F$11,0,IF(AND($B$21=1,A190&gt;$B$19),0,$E$11*$G$11^MIN((A190-$F$11)/12,6)*MIN($G$11,0.85)^MAX(0,(A190-$F$11)/12-6)))</f>
        <v/>
      </c>
      <c r="L190" s="306">
        <f>IF(A190&lt;$F$12,0,IF(AND($B$21=1,A190&gt;$B$19),0,$E$12*$G$12^MIN((A190-$F$12)/12,6)*MIN($G$12,0.85)^MAX(0,(A190-$F$12)/12-6)))</f>
        <v/>
      </c>
      <c r="M190" s="306">
        <f>IF(A190&lt;$F$13,0,IF(AND($B$21=1,A190&gt;$B$19),0,$E$13*$G$13^MIN((A190-$F$13)/12,6)*MIN($G$13,0.85)^MAX(0,(A190-$F$13)/12-6)))</f>
        <v/>
      </c>
      <c r="N190" s="306">
        <f>IF(A190&lt;$F$14,0,IF(AND($B$21=1,A190&gt;$B$19),0,$E$14*$G$14^MIN((A190-$F$14)/12,6)*MIN($G$14,0.85)^MAX(0,(A190-$F$14)/12-6)))</f>
        <v/>
      </c>
      <c r="O190" s="306">
        <f>SUM(F190:N190)</f>
        <v/>
      </c>
      <c r="P190" s="306">
        <f>O190/12</f>
        <v/>
      </c>
      <c r="Q190" s="306">
        <f>P190*$B$8</f>
        <v/>
      </c>
      <c r="R190" s="306">
        <f>P190*$B$9</f>
        <v/>
      </c>
      <c r="S190" s="306">
        <f>P190*$B$10</f>
        <v/>
      </c>
      <c r="T190" s="306">
        <f>P190-Q190-R190-S190-D190-E190</f>
        <v/>
      </c>
      <c r="U190" s="306">
        <f>MAX(0, T190 - $B$7*P190)</f>
        <v/>
      </c>
      <c r="V190" s="306">
        <f>T190-U190</f>
        <v/>
      </c>
      <c r="W190" s="306">
        <f>IF(A190=$F$6, $B$18*$B$16*$B$17/1000000, 0) + IF(A190=$F$7, $B$18*$B$16*$B$17/1000000, 0) + IF(A190=$F$8, $B$18*$B$16*$B$17/1000000, 0) + IF(A190=$F$9, $B$18*$B$16*$B$17/1000000, 0) + IF(A190=$F$10, $B$18*$B$16*$B$17/1000000, 0) + IF(A190=$F$11, $B$18*$B$16*$B$17/1000000, 0) + IF(A190=$F$12, $B$18*$B$16*$B$17/1000000, 0) + IF(A190=$F$13, $B$18*$B$16*$B$17/1000000, 0) + IF(A190=$F$14, $B$18*$B$16*$B$17/1000000, 0)</f>
        <v/>
      </c>
      <c r="X190" s="306">
        <f>V190-W190-C190</f>
        <v/>
      </c>
      <c r="Y190" s="306">
        <f>IF(AND(A190&lt;=$B$24, X190&gt;0), X190*$B$23, 0)</f>
        <v/>
      </c>
      <c r="Z190" s="306">
        <f>X190-Y190</f>
        <v/>
      </c>
      <c r="AA190" s="306">
        <f>IF(AND(A190=$B$19, $B$21=1), O190*$B$20, 0)</f>
        <v/>
      </c>
      <c r="AB190" s="306">
        <f>AB189+Z190+AA190</f>
        <v/>
      </c>
    </row>
    <row r="191">
      <c r="A191" s="306" t="n">
        <v>161</v>
      </c>
      <c r="B191" s="306">
        <f>CEILING(A191/12,1)</f>
        <v/>
      </c>
      <c r="C191" s="306">
        <f>IF(A191&lt;=12, $B$15/12, 0)</f>
        <v/>
      </c>
      <c r="D191" s="306">
        <f>INDEX('26. Team Comp'!$D$28:$R$28, B191) * 0.001 / 12</f>
        <v/>
      </c>
      <c r="E191" s="306">
        <f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+ (IF(MAX(0, A191 - $F$11 + 1)&lt;=0, 0, IF(MAX(0, A191 - $F$11 + 1)&lt;=6, 70 - (70-14)*(MAX(0, A191 - $F$11 + 1)-1)/5, IF(MAX(0, A191 - $F$11 + 1)&lt;=24, 14 - 14*(MAX(0, A191 - $F$11 + 1)-6)/18, 0)))) + (IF(MAX(0, A191 - $F$12 + 1)&lt;=0, 0, IF(MAX(0, A191 - $F$12 + 1)&lt;=6, 70 - (70-14)*(MAX(0, A191 - $F$12 + 1)-1)/5, IF(MAX(0, A191 - $F$12 + 1)&lt;=24, 14 - 14*(MAX(0, A191 - $F$12 + 1)-6)/18, 0)))) + (IF(MAX(0, A191 - $F$13 + 1)&lt;=0, 0, IF(MAX(0, A191 - $F$13 + 1)&lt;=6, 70 - (70-14)*(MAX(0, A191 - $F$13 + 1)-1)/5, IF(MAX(0, A191 - $F$13 + 1)&lt;=24, 14 - 14*(MAX(0, A191 - $F$13 + 1)-6)/18, 0)))) + (IF(MAX(0, A191 - $F$14 + 1)&lt;=0, 0, IF(MAX(0, A191 - $F$14 + 1)&lt;=6, 70 - (70-14)*(MAX(0, A191 - $F$14 + 1)-1)/5, IF(MAX(0, A191 - $F$14 + 1)&lt;=24, 14 - 14*(MAX(0, A191 - $F$14 + 1)-6)/18, 0)))) ) * 200 / 12 / 1000</f>
        <v/>
      </c>
      <c r="F191" s="306">
        <f>IF(A191&lt;$F$6,0,IF(AND($B$21=1,A191&gt;$B$19),0,$E$6*$G$6^MIN((A191-$F$6)/12,6)*MIN($G$6,0.85)^MAX(0,(A191-$F$6)/12-6)))</f>
        <v/>
      </c>
      <c r="G191" s="306">
        <f>IF(A191&lt;$F$7,0,IF(AND($B$21=1,A191&gt;$B$19),0,$E$7*$G$7^MIN((A191-$F$7)/12,6)*MIN($G$7,0.85)^MAX(0,(A191-$F$7)/12-6)))</f>
        <v/>
      </c>
      <c r="H191" s="306">
        <f>IF(A191&lt;$F$8,0,IF(AND($B$21=1,A191&gt;$B$19),0,$E$8*$G$8^MIN((A191-$F$8)/12,6)*MIN($G$8,0.85)^MAX(0,(A191-$F$8)/12-6)))</f>
        <v/>
      </c>
      <c r="I191" s="306">
        <f>IF(A191&lt;$F$9,0,IF(AND($B$21=1,A191&gt;$B$19),0,$E$9*$G$9^MIN((A191-$F$9)/12,6)*MIN($G$9,0.85)^MAX(0,(A191-$F$9)/12-6)))</f>
        <v/>
      </c>
      <c r="J191" s="306">
        <f>IF(A191&lt;$F$10,0,IF(AND($B$21=1,A191&gt;$B$19),0,$E$10*$G$10^MIN((A191-$F$10)/12,6)*MIN($G$10,0.85)^MAX(0,(A191-$F$10)/12-6)))</f>
        <v/>
      </c>
      <c r="K191" s="306">
        <f>IF(A191&lt;$F$11,0,IF(AND($B$21=1,A191&gt;$B$19),0,$E$11*$G$11^MIN((A191-$F$11)/12,6)*MIN($G$11,0.85)^MAX(0,(A191-$F$11)/12-6)))</f>
        <v/>
      </c>
      <c r="L191" s="306">
        <f>IF(A191&lt;$F$12,0,IF(AND($B$21=1,A191&gt;$B$19),0,$E$12*$G$12^MIN((A191-$F$12)/12,6)*MIN($G$12,0.85)^MAX(0,(A191-$F$12)/12-6)))</f>
        <v/>
      </c>
      <c r="M191" s="306">
        <f>IF(A191&lt;$F$13,0,IF(AND($B$21=1,A191&gt;$B$19),0,$E$13*$G$13^MIN((A191-$F$13)/12,6)*MIN($G$13,0.85)^MAX(0,(A191-$F$13)/12-6)))</f>
        <v/>
      </c>
      <c r="N191" s="306">
        <f>IF(A191&lt;$F$14,0,IF(AND($B$21=1,A191&gt;$B$19),0,$E$14*$G$14^MIN((A191-$F$14)/12,6)*MIN($G$14,0.85)^MAX(0,(A191-$F$14)/12-6)))</f>
        <v/>
      </c>
      <c r="O191" s="306">
        <f>SUM(F191:N191)</f>
        <v/>
      </c>
      <c r="P191" s="306">
        <f>O191/12</f>
        <v/>
      </c>
      <c r="Q191" s="306">
        <f>P191*$B$8</f>
        <v/>
      </c>
      <c r="R191" s="306">
        <f>P191*$B$9</f>
        <v/>
      </c>
      <c r="S191" s="306">
        <f>P191*$B$10</f>
        <v/>
      </c>
      <c r="T191" s="306">
        <f>P191-Q191-R191-S191-D191-E191</f>
        <v/>
      </c>
      <c r="U191" s="306">
        <f>MAX(0, T191 - $B$7*P191)</f>
        <v/>
      </c>
      <c r="V191" s="306">
        <f>T191-U191</f>
        <v/>
      </c>
      <c r="W191" s="306">
        <f>IF(A191=$F$6, $B$18*$B$16*$B$17/1000000, 0) + IF(A191=$F$7, $B$18*$B$16*$B$17/1000000, 0) + IF(A191=$F$8, $B$18*$B$16*$B$17/1000000, 0) + IF(A191=$F$9, $B$18*$B$16*$B$17/1000000, 0) + IF(A191=$F$10, $B$18*$B$16*$B$17/1000000, 0) + IF(A191=$F$11, $B$18*$B$16*$B$17/1000000, 0) + IF(A191=$F$12, $B$18*$B$16*$B$17/1000000, 0) + IF(A191=$F$13, $B$18*$B$16*$B$17/1000000, 0) + IF(A191=$F$14, $B$18*$B$16*$B$17/1000000, 0)</f>
        <v/>
      </c>
      <c r="X191" s="306">
        <f>V191-W191-C191</f>
        <v/>
      </c>
      <c r="Y191" s="306">
        <f>IF(AND(A191&lt;=$B$24, X191&gt;0), X191*$B$23, 0)</f>
        <v/>
      </c>
      <c r="Z191" s="306">
        <f>X191-Y191</f>
        <v/>
      </c>
      <c r="AA191" s="306">
        <f>IF(AND(A191=$B$19, $B$21=1), O191*$B$20, 0)</f>
        <v/>
      </c>
      <c r="AB191" s="306">
        <f>AB190+Z191+AA191</f>
        <v/>
      </c>
    </row>
    <row r="192">
      <c r="A192" s="306" t="n">
        <v>162</v>
      </c>
      <c r="B192" s="306">
        <f>CEILING(A192/12,1)</f>
        <v/>
      </c>
      <c r="C192" s="306">
        <f>IF(A192&lt;=12, $B$15/12, 0)</f>
        <v/>
      </c>
      <c r="D192" s="306">
        <f>INDEX('26. Team Comp'!$D$28:$R$28, B192) * 0.001 / 12</f>
        <v/>
      </c>
      <c r="E192" s="306">
        <f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+ (IF(MAX(0, A192 - $F$11 + 1)&lt;=0, 0, IF(MAX(0, A192 - $F$11 + 1)&lt;=6, 70 - (70-14)*(MAX(0, A192 - $F$11 + 1)-1)/5, IF(MAX(0, A192 - $F$11 + 1)&lt;=24, 14 - 14*(MAX(0, A192 - $F$11 + 1)-6)/18, 0)))) + (IF(MAX(0, A192 - $F$12 + 1)&lt;=0, 0, IF(MAX(0, A192 - $F$12 + 1)&lt;=6, 70 - (70-14)*(MAX(0, A192 - $F$12 + 1)-1)/5, IF(MAX(0, A192 - $F$12 + 1)&lt;=24, 14 - 14*(MAX(0, A192 - $F$12 + 1)-6)/18, 0)))) + (IF(MAX(0, A192 - $F$13 + 1)&lt;=0, 0, IF(MAX(0, A192 - $F$13 + 1)&lt;=6, 70 - (70-14)*(MAX(0, A192 - $F$13 + 1)-1)/5, IF(MAX(0, A192 - $F$13 + 1)&lt;=24, 14 - 14*(MAX(0, A192 - $F$13 + 1)-6)/18, 0)))) + (IF(MAX(0, A192 - $F$14 + 1)&lt;=0, 0, IF(MAX(0, A192 - $F$14 + 1)&lt;=6, 70 - (70-14)*(MAX(0, A192 - $F$14 + 1)-1)/5, IF(MAX(0, A192 - $F$14 + 1)&lt;=24, 14 - 14*(MAX(0, A192 - $F$14 + 1)-6)/18, 0)))) ) * 200 / 12 / 1000</f>
        <v/>
      </c>
      <c r="F192" s="306">
        <f>IF(A192&lt;$F$6,0,IF(AND($B$21=1,A192&gt;$B$19),0,$E$6*$G$6^MIN((A192-$F$6)/12,6)*MIN($G$6,0.85)^MAX(0,(A192-$F$6)/12-6)))</f>
        <v/>
      </c>
      <c r="G192" s="306">
        <f>IF(A192&lt;$F$7,0,IF(AND($B$21=1,A192&gt;$B$19),0,$E$7*$G$7^MIN((A192-$F$7)/12,6)*MIN($G$7,0.85)^MAX(0,(A192-$F$7)/12-6)))</f>
        <v/>
      </c>
      <c r="H192" s="306">
        <f>IF(A192&lt;$F$8,0,IF(AND($B$21=1,A192&gt;$B$19),0,$E$8*$G$8^MIN((A192-$F$8)/12,6)*MIN($G$8,0.85)^MAX(0,(A192-$F$8)/12-6)))</f>
        <v/>
      </c>
      <c r="I192" s="306">
        <f>IF(A192&lt;$F$9,0,IF(AND($B$21=1,A192&gt;$B$19),0,$E$9*$G$9^MIN((A192-$F$9)/12,6)*MIN($G$9,0.85)^MAX(0,(A192-$F$9)/12-6)))</f>
        <v/>
      </c>
      <c r="J192" s="306">
        <f>IF(A192&lt;$F$10,0,IF(AND($B$21=1,A192&gt;$B$19),0,$E$10*$G$10^MIN((A192-$F$10)/12,6)*MIN($G$10,0.85)^MAX(0,(A192-$F$10)/12-6)))</f>
        <v/>
      </c>
      <c r="K192" s="306">
        <f>IF(A192&lt;$F$11,0,IF(AND($B$21=1,A192&gt;$B$19),0,$E$11*$G$11^MIN((A192-$F$11)/12,6)*MIN($G$11,0.85)^MAX(0,(A192-$F$11)/12-6)))</f>
        <v/>
      </c>
      <c r="L192" s="306">
        <f>IF(A192&lt;$F$12,0,IF(AND($B$21=1,A192&gt;$B$19),0,$E$12*$G$12^MIN((A192-$F$12)/12,6)*MIN($G$12,0.85)^MAX(0,(A192-$F$12)/12-6)))</f>
        <v/>
      </c>
      <c r="M192" s="306">
        <f>IF(A192&lt;$F$13,0,IF(AND($B$21=1,A192&gt;$B$19),0,$E$13*$G$13^MIN((A192-$F$13)/12,6)*MIN($G$13,0.85)^MAX(0,(A192-$F$13)/12-6)))</f>
        <v/>
      </c>
      <c r="N192" s="306">
        <f>IF(A192&lt;$F$14,0,IF(AND($B$21=1,A192&gt;$B$19),0,$E$14*$G$14^MIN((A192-$F$14)/12,6)*MIN($G$14,0.85)^MAX(0,(A192-$F$14)/12-6)))</f>
        <v/>
      </c>
      <c r="O192" s="306">
        <f>SUM(F192:N192)</f>
        <v/>
      </c>
      <c r="P192" s="306">
        <f>O192/12</f>
        <v/>
      </c>
      <c r="Q192" s="306">
        <f>P192*$B$8</f>
        <v/>
      </c>
      <c r="R192" s="306">
        <f>P192*$B$9</f>
        <v/>
      </c>
      <c r="S192" s="306">
        <f>P192*$B$10</f>
        <v/>
      </c>
      <c r="T192" s="306">
        <f>P192-Q192-R192-S192-D192-E192</f>
        <v/>
      </c>
      <c r="U192" s="306">
        <f>MAX(0, T192 - $B$7*P192)</f>
        <v/>
      </c>
      <c r="V192" s="306">
        <f>T192-U192</f>
        <v/>
      </c>
      <c r="W192" s="306">
        <f>IF(A192=$F$6, $B$18*$B$16*$B$17/1000000, 0) + IF(A192=$F$7, $B$18*$B$16*$B$17/1000000, 0) + IF(A192=$F$8, $B$18*$B$16*$B$17/1000000, 0) + IF(A192=$F$9, $B$18*$B$16*$B$17/1000000, 0) + IF(A192=$F$10, $B$18*$B$16*$B$17/1000000, 0) + IF(A192=$F$11, $B$18*$B$16*$B$17/1000000, 0) + IF(A192=$F$12, $B$18*$B$16*$B$17/1000000, 0) + IF(A192=$F$13, $B$18*$B$16*$B$17/1000000, 0) + IF(A192=$F$14, $B$18*$B$16*$B$17/1000000, 0)</f>
        <v/>
      </c>
      <c r="X192" s="306">
        <f>V192-W192-C192</f>
        <v/>
      </c>
      <c r="Y192" s="306">
        <f>IF(AND(A192&lt;=$B$24, X192&gt;0), X192*$B$23, 0)</f>
        <v/>
      </c>
      <c r="Z192" s="306">
        <f>X192-Y192</f>
        <v/>
      </c>
      <c r="AA192" s="306">
        <f>IF(AND(A192=$B$19, $B$21=1), O192*$B$20, 0)</f>
        <v/>
      </c>
      <c r="AB192" s="306">
        <f>AB191+Z192+AA192</f>
        <v/>
      </c>
    </row>
    <row r="193">
      <c r="A193" s="306" t="n">
        <v>163</v>
      </c>
      <c r="B193" s="306">
        <f>CEILING(A193/12,1)</f>
        <v/>
      </c>
      <c r="C193" s="306">
        <f>IF(A193&lt;=12, $B$15/12, 0)</f>
        <v/>
      </c>
      <c r="D193" s="306">
        <f>INDEX('26. Team Comp'!$D$28:$R$28, B193) * 0.001 / 12</f>
        <v/>
      </c>
      <c r="E193" s="306">
        <f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+ (IF(MAX(0, A193 - $F$11 + 1)&lt;=0, 0, IF(MAX(0, A193 - $F$11 + 1)&lt;=6, 70 - (70-14)*(MAX(0, A193 - $F$11 + 1)-1)/5, IF(MAX(0, A193 - $F$11 + 1)&lt;=24, 14 - 14*(MAX(0, A193 - $F$11 + 1)-6)/18, 0)))) + (IF(MAX(0, A193 - $F$12 + 1)&lt;=0, 0, IF(MAX(0, A193 - $F$12 + 1)&lt;=6, 70 - (70-14)*(MAX(0, A193 - $F$12 + 1)-1)/5, IF(MAX(0, A193 - $F$12 + 1)&lt;=24, 14 - 14*(MAX(0, A193 - $F$12 + 1)-6)/18, 0)))) + (IF(MAX(0, A193 - $F$13 + 1)&lt;=0, 0, IF(MAX(0, A193 - $F$13 + 1)&lt;=6, 70 - (70-14)*(MAX(0, A193 - $F$13 + 1)-1)/5, IF(MAX(0, A193 - $F$13 + 1)&lt;=24, 14 - 14*(MAX(0, A193 - $F$13 + 1)-6)/18, 0)))) + (IF(MAX(0, A193 - $F$14 + 1)&lt;=0, 0, IF(MAX(0, A193 - $F$14 + 1)&lt;=6, 70 - (70-14)*(MAX(0, A193 - $F$14 + 1)-1)/5, IF(MAX(0, A193 - $F$14 + 1)&lt;=24, 14 - 14*(MAX(0, A193 - $F$14 + 1)-6)/18, 0)))) ) * 200 / 12 / 1000</f>
        <v/>
      </c>
      <c r="F193" s="306">
        <f>IF(A193&lt;$F$6,0,IF(AND($B$21=1,A193&gt;$B$19),0,$E$6*$G$6^MIN((A193-$F$6)/12,6)*MIN($G$6,0.85)^MAX(0,(A193-$F$6)/12-6)))</f>
        <v/>
      </c>
      <c r="G193" s="306">
        <f>IF(A193&lt;$F$7,0,IF(AND($B$21=1,A193&gt;$B$19),0,$E$7*$G$7^MIN((A193-$F$7)/12,6)*MIN($G$7,0.85)^MAX(0,(A193-$F$7)/12-6)))</f>
        <v/>
      </c>
      <c r="H193" s="306">
        <f>IF(A193&lt;$F$8,0,IF(AND($B$21=1,A193&gt;$B$19),0,$E$8*$G$8^MIN((A193-$F$8)/12,6)*MIN($G$8,0.85)^MAX(0,(A193-$F$8)/12-6)))</f>
        <v/>
      </c>
      <c r="I193" s="306">
        <f>IF(A193&lt;$F$9,0,IF(AND($B$21=1,A193&gt;$B$19),0,$E$9*$G$9^MIN((A193-$F$9)/12,6)*MIN($G$9,0.85)^MAX(0,(A193-$F$9)/12-6)))</f>
        <v/>
      </c>
      <c r="J193" s="306">
        <f>IF(A193&lt;$F$10,0,IF(AND($B$21=1,A193&gt;$B$19),0,$E$10*$G$10^MIN((A193-$F$10)/12,6)*MIN($G$10,0.85)^MAX(0,(A193-$F$10)/12-6)))</f>
        <v/>
      </c>
      <c r="K193" s="306">
        <f>IF(A193&lt;$F$11,0,IF(AND($B$21=1,A193&gt;$B$19),0,$E$11*$G$11^MIN((A193-$F$11)/12,6)*MIN($G$11,0.85)^MAX(0,(A193-$F$11)/12-6)))</f>
        <v/>
      </c>
      <c r="L193" s="306">
        <f>IF(A193&lt;$F$12,0,IF(AND($B$21=1,A193&gt;$B$19),0,$E$12*$G$12^MIN((A193-$F$12)/12,6)*MIN($G$12,0.85)^MAX(0,(A193-$F$12)/12-6)))</f>
        <v/>
      </c>
      <c r="M193" s="306">
        <f>IF(A193&lt;$F$13,0,IF(AND($B$21=1,A193&gt;$B$19),0,$E$13*$G$13^MIN((A193-$F$13)/12,6)*MIN($G$13,0.85)^MAX(0,(A193-$F$13)/12-6)))</f>
        <v/>
      </c>
      <c r="N193" s="306">
        <f>IF(A193&lt;$F$14,0,IF(AND($B$21=1,A193&gt;$B$19),0,$E$14*$G$14^MIN((A193-$F$14)/12,6)*MIN($G$14,0.85)^MAX(0,(A193-$F$14)/12-6)))</f>
        <v/>
      </c>
      <c r="O193" s="306">
        <f>SUM(F193:N193)</f>
        <v/>
      </c>
      <c r="P193" s="306">
        <f>O193/12</f>
        <v/>
      </c>
      <c r="Q193" s="306">
        <f>P193*$B$8</f>
        <v/>
      </c>
      <c r="R193" s="306">
        <f>P193*$B$9</f>
        <v/>
      </c>
      <c r="S193" s="306">
        <f>P193*$B$10</f>
        <v/>
      </c>
      <c r="T193" s="306">
        <f>P193-Q193-R193-S193-D193-E193</f>
        <v/>
      </c>
      <c r="U193" s="306">
        <f>MAX(0, T193 - $B$7*P193)</f>
        <v/>
      </c>
      <c r="V193" s="306">
        <f>T193-U193</f>
        <v/>
      </c>
      <c r="W193" s="306">
        <f>IF(A193=$F$6, $B$18*$B$16*$B$17/1000000, 0) + IF(A193=$F$7, $B$18*$B$16*$B$17/1000000, 0) + IF(A193=$F$8, $B$18*$B$16*$B$17/1000000, 0) + IF(A193=$F$9, $B$18*$B$16*$B$17/1000000, 0) + IF(A193=$F$10, $B$18*$B$16*$B$17/1000000, 0) + IF(A193=$F$11, $B$18*$B$16*$B$17/1000000, 0) + IF(A193=$F$12, $B$18*$B$16*$B$17/1000000, 0) + IF(A193=$F$13, $B$18*$B$16*$B$17/1000000, 0) + IF(A193=$F$14, $B$18*$B$16*$B$17/1000000, 0)</f>
        <v/>
      </c>
      <c r="X193" s="306">
        <f>V193-W193-C193</f>
        <v/>
      </c>
      <c r="Y193" s="306">
        <f>IF(AND(A193&lt;=$B$24, X193&gt;0), X193*$B$23, 0)</f>
        <v/>
      </c>
      <c r="Z193" s="306">
        <f>X193-Y193</f>
        <v/>
      </c>
      <c r="AA193" s="306">
        <f>IF(AND(A193=$B$19, $B$21=1), O193*$B$20, 0)</f>
        <v/>
      </c>
      <c r="AB193" s="306">
        <f>AB192+Z193+AA193</f>
        <v/>
      </c>
    </row>
    <row r="194">
      <c r="A194" s="306" t="n">
        <v>164</v>
      </c>
      <c r="B194" s="306">
        <f>CEILING(A194/12,1)</f>
        <v/>
      </c>
      <c r="C194" s="306">
        <f>IF(A194&lt;=12, $B$15/12, 0)</f>
        <v/>
      </c>
      <c r="D194" s="306">
        <f>INDEX('26. Team Comp'!$D$28:$R$28, B194) * 0.001 / 12</f>
        <v/>
      </c>
      <c r="E194" s="306">
        <f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+ (IF(MAX(0, A194 - $F$11 + 1)&lt;=0, 0, IF(MAX(0, A194 - $F$11 + 1)&lt;=6, 70 - (70-14)*(MAX(0, A194 - $F$11 + 1)-1)/5, IF(MAX(0, A194 - $F$11 + 1)&lt;=24, 14 - 14*(MAX(0, A194 - $F$11 + 1)-6)/18, 0)))) + (IF(MAX(0, A194 - $F$12 + 1)&lt;=0, 0, IF(MAX(0, A194 - $F$12 + 1)&lt;=6, 70 - (70-14)*(MAX(0, A194 - $F$12 + 1)-1)/5, IF(MAX(0, A194 - $F$12 + 1)&lt;=24, 14 - 14*(MAX(0, A194 - $F$12 + 1)-6)/18, 0)))) + (IF(MAX(0, A194 - $F$13 + 1)&lt;=0, 0, IF(MAX(0, A194 - $F$13 + 1)&lt;=6, 70 - (70-14)*(MAX(0, A194 - $F$13 + 1)-1)/5, IF(MAX(0, A194 - $F$13 + 1)&lt;=24, 14 - 14*(MAX(0, A194 - $F$13 + 1)-6)/18, 0)))) + (IF(MAX(0, A194 - $F$14 + 1)&lt;=0, 0, IF(MAX(0, A194 - $F$14 + 1)&lt;=6, 70 - (70-14)*(MAX(0, A194 - $F$14 + 1)-1)/5, IF(MAX(0, A194 - $F$14 + 1)&lt;=24, 14 - 14*(MAX(0, A194 - $F$14 + 1)-6)/18, 0)))) ) * 200 / 12 / 1000</f>
        <v/>
      </c>
      <c r="F194" s="306">
        <f>IF(A194&lt;$F$6,0,IF(AND($B$21=1,A194&gt;$B$19),0,$E$6*$G$6^MIN((A194-$F$6)/12,6)*MIN($G$6,0.85)^MAX(0,(A194-$F$6)/12-6)))</f>
        <v/>
      </c>
      <c r="G194" s="306">
        <f>IF(A194&lt;$F$7,0,IF(AND($B$21=1,A194&gt;$B$19),0,$E$7*$G$7^MIN((A194-$F$7)/12,6)*MIN($G$7,0.85)^MAX(0,(A194-$F$7)/12-6)))</f>
        <v/>
      </c>
      <c r="H194" s="306">
        <f>IF(A194&lt;$F$8,0,IF(AND($B$21=1,A194&gt;$B$19),0,$E$8*$G$8^MIN((A194-$F$8)/12,6)*MIN($G$8,0.85)^MAX(0,(A194-$F$8)/12-6)))</f>
        <v/>
      </c>
      <c r="I194" s="306">
        <f>IF(A194&lt;$F$9,0,IF(AND($B$21=1,A194&gt;$B$19),0,$E$9*$G$9^MIN((A194-$F$9)/12,6)*MIN($G$9,0.85)^MAX(0,(A194-$F$9)/12-6)))</f>
        <v/>
      </c>
      <c r="J194" s="306">
        <f>IF(A194&lt;$F$10,0,IF(AND($B$21=1,A194&gt;$B$19),0,$E$10*$G$10^MIN((A194-$F$10)/12,6)*MIN($G$10,0.85)^MAX(0,(A194-$F$10)/12-6)))</f>
        <v/>
      </c>
      <c r="K194" s="306">
        <f>IF(A194&lt;$F$11,0,IF(AND($B$21=1,A194&gt;$B$19),0,$E$11*$G$11^MIN((A194-$F$11)/12,6)*MIN($G$11,0.85)^MAX(0,(A194-$F$11)/12-6)))</f>
        <v/>
      </c>
      <c r="L194" s="306">
        <f>IF(A194&lt;$F$12,0,IF(AND($B$21=1,A194&gt;$B$19),0,$E$12*$G$12^MIN((A194-$F$12)/12,6)*MIN($G$12,0.85)^MAX(0,(A194-$F$12)/12-6)))</f>
        <v/>
      </c>
      <c r="M194" s="306">
        <f>IF(A194&lt;$F$13,0,IF(AND($B$21=1,A194&gt;$B$19),0,$E$13*$G$13^MIN((A194-$F$13)/12,6)*MIN($G$13,0.85)^MAX(0,(A194-$F$13)/12-6)))</f>
        <v/>
      </c>
      <c r="N194" s="306">
        <f>IF(A194&lt;$F$14,0,IF(AND($B$21=1,A194&gt;$B$19),0,$E$14*$G$14^MIN((A194-$F$14)/12,6)*MIN($G$14,0.85)^MAX(0,(A194-$F$14)/12-6)))</f>
        <v/>
      </c>
      <c r="O194" s="306">
        <f>SUM(F194:N194)</f>
        <v/>
      </c>
      <c r="P194" s="306">
        <f>O194/12</f>
        <v/>
      </c>
      <c r="Q194" s="306">
        <f>P194*$B$8</f>
        <v/>
      </c>
      <c r="R194" s="306">
        <f>P194*$B$9</f>
        <v/>
      </c>
      <c r="S194" s="306">
        <f>P194*$B$10</f>
        <v/>
      </c>
      <c r="T194" s="306">
        <f>P194-Q194-R194-S194-D194-E194</f>
        <v/>
      </c>
      <c r="U194" s="306">
        <f>MAX(0, T194 - $B$7*P194)</f>
        <v/>
      </c>
      <c r="V194" s="306">
        <f>T194-U194</f>
        <v/>
      </c>
      <c r="W194" s="306">
        <f>IF(A194=$F$6, $B$18*$B$16*$B$17/1000000, 0) + IF(A194=$F$7, $B$18*$B$16*$B$17/1000000, 0) + IF(A194=$F$8, $B$18*$B$16*$B$17/1000000, 0) + IF(A194=$F$9, $B$18*$B$16*$B$17/1000000, 0) + IF(A194=$F$10, $B$18*$B$16*$B$17/1000000, 0) + IF(A194=$F$11, $B$18*$B$16*$B$17/1000000, 0) + IF(A194=$F$12, $B$18*$B$16*$B$17/1000000, 0) + IF(A194=$F$13, $B$18*$B$16*$B$17/1000000, 0) + IF(A194=$F$14, $B$18*$B$16*$B$17/1000000, 0)</f>
        <v/>
      </c>
      <c r="X194" s="306">
        <f>V194-W194-C194</f>
        <v/>
      </c>
      <c r="Y194" s="306">
        <f>IF(AND(A194&lt;=$B$24, X194&gt;0), X194*$B$23, 0)</f>
        <v/>
      </c>
      <c r="Z194" s="306">
        <f>X194-Y194</f>
        <v/>
      </c>
      <c r="AA194" s="306">
        <f>IF(AND(A194=$B$19, $B$21=1), O194*$B$20, 0)</f>
        <v/>
      </c>
      <c r="AB194" s="306">
        <f>AB193+Z194+AA194</f>
        <v/>
      </c>
    </row>
    <row r="195">
      <c r="A195" s="306" t="n">
        <v>165</v>
      </c>
      <c r="B195" s="306">
        <f>CEILING(A195/12,1)</f>
        <v/>
      </c>
      <c r="C195" s="306">
        <f>IF(A195&lt;=12, $B$15/12, 0)</f>
        <v/>
      </c>
      <c r="D195" s="306">
        <f>INDEX('26. Team Comp'!$D$28:$R$28, B195) * 0.001 / 12</f>
        <v/>
      </c>
      <c r="E195" s="306">
        <f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+ (IF(MAX(0, A195 - $F$11 + 1)&lt;=0, 0, IF(MAX(0, A195 - $F$11 + 1)&lt;=6, 70 - (70-14)*(MAX(0, A195 - $F$11 + 1)-1)/5, IF(MAX(0, A195 - $F$11 + 1)&lt;=24, 14 - 14*(MAX(0, A195 - $F$11 + 1)-6)/18, 0)))) + (IF(MAX(0, A195 - $F$12 + 1)&lt;=0, 0, IF(MAX(0, A195 - $F$12 + 1)&lt;=6, 70 - (70-14)*(MAX(0, A195 - $F$12 + 1)-1)/5, IF(MAX(0, A195 - $F$12 + 1)&lt;=24, 14 - 14*(MAX(0, A195 - $F$12 + 1)-6)/18, 0)))) + (IF(MAX(0, A195 - $F$13 + 1)&lt;=0, 0, IF(MAX(0, A195 - $F$13 + 1)&lt;=6, 70 - (70-14)*(MAX(0, A195 - $F$13 + 1)-1)/5, IF(MAX(0, A195 - $F$13 + 1)&lt;=24, 14 - 14*(MAX(0, A195 - $F$13 + 1)-6)/18, 0)))) + (IF(MAX(0, A195 - $F$14 + 1)&lt;=0, 0, IF(MAX(0, A195 - $F$14 + 1)&lt;=6, 70 - (70-14)*(MAX(0, A195 - $F$14 + 1)-1)/5, IF(MAX(0, A195 - $F$14 + 1)&lt;=24, 14 - 14*(MAX(0, A195 - $F$14 + 1)-6)/18, 0)))) ) * 200 / 12 / 1000</f>
        <v/>
      </c>
      <c r="F195" s="306">
        <f>IF(A195&lt;$F$6,0,IF(AND($B$21=1,A195&gt;$B$19),0,$E$6*$G$6^MIN((A195-$F$6)/12,6)*MIN($G$6,0.85)^MAX(0,(A195-$F$6)/12-6)))</f>
        <v/>
      </c>
      <c r="G195" s="306">
        <f>IF(A195&lt;$F$7,0,IF(AND($B$21=1,A195&gt;$B$19),0,$E$7*$G$7^MIN((A195-$F$7)/12,6)*MIN($G$7,0.85)^MAX(0,(A195-$F$7)/12-6)))</f>
        <v/>
      </c>
      <c r="H195" s="306">
        <f>IF(A195&lt;$F$8,0,IF(AND($B$21=1,A195&gt;$B$19),0,$E$8*$G$8^MIN((A195-$F$8)/12,6)*MIN($G$8,0.85)^MAX(0,(A195-$F$8)/12-6)))</f>
        <v/>
      </c>
      <c r="I195" s="306">
        <f>IF(A195&lt;$F$9,0,IF(AND($B$21=1,A195&gt;$B$19),0,$E$9*$G$9^MIN((A195-$F$9)/12,6)*MIN($G$9,0.85)^MAX(0,(A195-$F$9)/12-6)))</f>
        <v/>
      </c>
      <c r="J195" s="306">
        <f>IF(A195&lt;$F$10,0,IF(AND($B$21=1,A195&gt;$B$19),0,$E$10*$G$10^MIN((A195-$F$10)/12,6)*MIN($G$10,0.85)^MAX(0,(A195-$F$10)/12-6)))</f>
        <v/>
      </c>
      <c r="K195" s="306">
        <f>IF(A195&lt;$F$11,0,IF(AND($B$21=1,A195&gt;$B$19),0,$E$11*$G$11^MIN((A195-$F$11)/12,6)*MIN($G$11,0.85)^MAX(0,(A195-$F$11)/12-6)))</f>
        <v/>
      </c>
      <c r="L195" s="306">
        <f>IF(A195&lt;$F$12,0,IF(AND($B$21=1,A195&gt;$B$19),0,$E$12*$G$12^MIN((A195-$F$12)/12,6)*MIN($G$12,0.85)^MAX(0,(A195-$F$12)/12-6)))</f>
        <v/>
      </c>
      <c r="M195" s="306">
        <f>IF(A195&lt;$F$13,0,IF(AND($B$21=1,A195&gt;$B$19),0,$E$13*$G$13^MIN((A195-$F$13)/12,6)*MIN($G$13,0.85)^MAX(0,(A195-$F$13)/12-6)))</f>
        <v/>
      </c>
      <c r="N195" s="306">
        <f>IF(A195&lt;$F$14,0,IF(AND($B$21=1,A195&gt;$B$19),0,$E$14*$G$14^MIN((A195-$F$14)/12,6)*MIN($G$14,0.85)^MAX(0,(A195-$F$14)/12-6)))</f>
        <v/>
      </c>
      <c r="O195" s="306">
        <f>SUM(F195:N195)</f>
        <v/>
      </c>
      <c r="P195" s="306">
        <f>O195/12</f>
        <v/>
      </c>
      <c r="Q195" s="306">
        <f>P195*$B$8</f>
        <v/>
      </c>
      <c r="R195" s="306">
        <f>P195*$B$9</f>
        <v/>
      </c>
      <c r="S195" s="306">
        <f>P195*$B$10</f>
        <v/>
      </c>
      <c r="T195" s="306">
        <f>P195-Q195-R195-S195-D195-E195</f>
        <v/>
      </c>
      <c r="U195" s="306">
        <f>MAX(0, T195 - $B$7*P195)</f>
        <v/>
      </c>
      <c r="V195" s="306">
        <f>T195-U195</f>
        <v/>
      </c>
      <c r="W195" s="306">
        <f>IF(A195=$F$6, $B$18*$B$16*$B$17/1000000, 0) + IF(A195=$F$7, $B$18*$B$16*$B$17/1000000, 0) + IF(A195=$F$8, $B$18*$B$16*$B$17/1000000, 0) + IF(A195=$F$9, $B$18*$B$16*$B$17/1000000, 0) + IF(A195=$F$10, $B$18*$B$16*$B$17/1000000, 0) + IF(A195=$F$11, $B$18*$B$16*$B$17/1000000, 0) + IF(A195=$F$12, $B$18*$B$16*$B$17/1000000, 0) + IF(A195=$F$13, $B$18*$B$16*$B$17/1000000, 0) + IF(A195=$F$14, $B$18*$B$16*$B$17/1000000, 0)</f>
        <v/>
      </c>
      <c r="X195" s="306">
        <f>V195-W195-C195</f>
        <v/>
      </c>
      <c r="Y195" s="306">
        <f>IF(AND(A195&lt;=$B$24, X195&gt;0), X195*$B$23, 0)</f>
        <v/>
      </c>
      <c r="Z195" s="306">
        <f>X195-Y195</f>
        <v/>
      </c>
      <c r="AA195" s="306">
        <f>IF(AND(A195=$B$19, $B$21=1), O195*$B$20, 0)</f>
        <v/>
      </c>
      <c r="AB195" s="306">
        <f>AB194+Z195+AA195</f>
        <v/>
      </c>
    </row>
    <row r="196">
      <c r="A196" s="306" t="n">
        <v>166</v>
      </c>
      <c r="B196" s="306">
        <f>CEILING(A196/12,1)</f>
        <v/>
      </c>
      <c r="C196" s="306">
        <f>IF(A196&lt;=12, $B$15/12, 0)</f>
        <v/>
      </c>
      <c r="D196" s="306">
        <f>INDEX('26. Team Comp'!$D$28:$R$28, B196) * 0.001 / 12</f>
        <v/>
      </c>
      <c r="E196" s="306">
        <f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+ (IF(MAX(0, A196 - $F$11 + 1)&lt;=0, 0, IF(MAX(0, A196 - $F$11 + 1)&lt;=6, 70 - (70-14)*(MAX(0, A196 - $F$11 + 1)-1)/5, IF(MAX(0, A196 - $F$11 + 1)&lt;=24, 14 - 14*(MAX(0, A196 - $F$11 + 1)-6)/18, 0)))) + (IF(MAX(0, A196 - $F$12 + 1)&lt;=0, 0, IF(MAX(0, A196 - $F$12 + 1)&lt;=6, 70 - (70-14)*(MAX(0, A196 - $F$12 + 1)-1)/5, IF(MAX(0, A196 - $F$12 + 1)&lt;=24, 14 - 14*(MAX(0, A196 - $F$12 + 1)-6)/18, 0)))) + (IF(MAX(0, A196 - $F$13 + 1)&lt;=0, 0, IF(MAX(0, A196 - $F$13 + 1)&lt;=6, 70 - (70-14)*(MAX(0, A196 - $F$13 + 1)-1)/5, IF(MAX(0, A196 - $F$13 + 1)&lt;=24, 14 - 14*(MAX(0, A196 - $F$13 + 1)-6)/18, 0)))) + (IF(MAX(0, A196 - $F$14 + 1)&lt;=0, 0, IF(MAX(0, A196 - $F$14 + 1)&lt;=6, 70 - (70-14)*(MAX(0, A196 - $F$14 + 1)-1)/5, IF(MAX(0, A196 - $F$14 + 1)&lt;=24, 14 - 14*(MAX(0, A196 - $F$14 + 1)-6)/18, 0)))) ) * 200 / 12 / 1000</f>
        <v/>
      </c>
      <c r="F196" s="306">
        <f>IF(A196&lt;$F$6,0,IF(AND($B$21=1,A196&gt;$B$19),0,$E$6*$G$6^MIN((A196-$F$6)/12,6)*MIN($G$6,0.85)^MAX(0,(A196-$F$6)/12-6)))</f>
        <v/>
      </c>
      <c r="G196" s="306">
        <f>IF(A196&lt;$F$7,0,IF(AND($B$21=1,A196&gt;$B$19),0,$E$7*$G$7^MIN((A196-$F$7)/12,6)*MIN($G$7,0.85)^MAX(0,(A196-$F$7)/12-6)))</f>
        <v/>
      </c>
      <c r="H196" s="306">
        <f>IF(A196&lt;$F$8,0,IF(AND($B$21=1,A196&gt;$B$19),0,$E$8*$G$8^MIN((A196-$F$8)/12,6)*MIN($G$8,0.85)^MAX(0,(A196-$F$8)/12-6)))</f>
        <v/>
      </c>
      <c r="I196" s="306">
        <f>IF(A196&lt;$F$9,0,IF(AND($B$21=1,A196&gt;$B$19),0,$E$9*$G$9^MIN((A196-$F$9)/12,6)*MIN($G$9,0.85)^MAX(0,(A196-$F$9)/12-6)))</f>
        <v/>
      </c>
      <c r="J196" s="306">
        <f>IF(A196&lt;$F$10,0,IF(AND($B$21=1,A196&gt;$B$19),0,$E$10*$G$10^MIN((A196-$F$10)/12,6)*MIN($G$10,0.85)^MAX(0,(A196-$F$10)/12-6)))</f>
        <v/>
      </c>
      <c r="K196" s="306">
        <f>IF(A196&lt;$F$11,0,IF(AND($B$21=1,A196&gt;$B$19),0,$E$11*$G$11^MIN((A196-$F$11)/12,6)*MIN($G$11,0.85)^MAX(0,(A196-$F$11)/12-6)))</f>
        <v/>
      </c>
      <c r="L196" s="306">
        <f>IF(A196&lt;$F$12,0,IF(AND($B$21=1,A196&gt;$B$19),0,$E$12*$G$12^MIN((A196-$F$12)/12,6)*MIN($G$12,0.85)^MAX(0,(A196-$F$12)/12-6)))</f>
        <v/>
      </c>
      <c r="M196" s="306">
        <f>IF(A196&lt;$F$13,0,IF(AND($B$21=1,A196&gt;$B$19),0,$E$13*$G$13^MIN((A196-$F$13)/12,6)*MIN($G$13,0.85)^MAX(0,(A196-$F$13)/12-6)))</f>
        <v/>
      </c>
      <c r="N196" s="306">
        <f>IF(A196&lt;$F$14,0,IF(AND($B$21=1,A196&gt;$B$19),0,$E$14*$G$14^MIN((A196-$F$14)/12,6)*MIN($G$14,0.85)^MAX(0,(A196-$F$14)/12-6)))</f>
        <v/>
      </c>
      <c r="O196" s="306">
        <f>SUM(F196:N196)</f>
        <v/>
      </c>
      <c r="P196" s="306">
        <f>O196/12</f>
        <v/>
      </c>
      <c r="Q196" s="306">
        <f>P196*$B$8</f>
        <v/>
      </c>
      <c r="R196" s="306">
        <f>P196*$B$9</f>
        <v/>
      </c>
      <c r="S196" s="306">
        <f>P196*$B$10</f>
        <v/>
      </c>
      <c r="T196" s="306">
        <f>P196-Q196-R196-S196-D196-E196</f>
        <v/>
      </c>
      <c r="U196" s="306">
        <f>MAX(0, T196 - $B$7*P196)</f>
        <v/>
      </c>
      <c r="V196" s="306">
        <f>T196-U196</f>
        <v/>
      </c>
      <c r="W196" s="306">
        <f>IF(A196=$F$6, $B$18*$B$16*$B$17/1000000, 0) + IF(A196=$F$7, $B$18*$B$16*$B$17/1000000, 0) + IF(A196=$F$8, $B$18*$B$16*$B$17/1000000, 0) + IF(A196=$F$9, $B$18*$B$16*$B$17/1000000, 0) + IF(A196=$F$10, $B$18*$B$16*$B$17/1000000, 0) + IF(A196=$F$11, $B$18*$B$16*$B$17/1000000, 0) + IF(A196=$F$12, $B$18*$B$16*$B$17/1000000, 0) + IF(A196=$F$13, $B$18*$B$16*$B$17/1000000, 0) + IF(A196=$F$14, $B$18*$B$16*$B$17/1000000, 0)</f>
        <v/>
      </c>
      <c r="X196" s="306">
        <f>V196-W196-C196</f>
        <v/>
      </c>
      <c r="Y196" s="306">
        <f>IF(AND(A196&lt;=$B$24, X196&gt;0), X196*$B$23, 0)</f>
        <v/>
      </c>
      <c r="Z196" s="306">
        <f>X196-Y196</f>
        <v/>
      </c>
      <c r="AA196" s="306">
        <f>IF(AND(A196=$B$19, $B$21=1), O196*$B$20, 0)</f>
        <v/>
      </c>
      <c r="AB196" s="306">
        <f>AB195+Z196+AA196</f>
        <v/>
      </c>
    </row>
    <row r="197">
      <c r="A197" s="306" t="n">
        <v>167</v>
      </c>
      <c r="B197" s="306">
        <f>CEILING(A197/12,1)</f>
        <v/>
      </c>
      <c r="C197" s="306">
        <f>IF(A197&lt;=12, $B$15/12, 0)</f>
        <v/>
      </c>
      <c r="D197" s="306">
        <f>INDEX('26. Team Comp'!$D$28:$R$28, B197) * 0.001 / 12</f>
        <v/>
      </c>
      <c r="E197" s="306">
        <f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+ (IF(MAX(0, A197 - $F$11 + 1)&lt;=0, 0, IF(MAX(0, A197 - $F$11 + 1)&lt;=6, 70 - (70-14)*(MAX(0, A197 - $F$11 + 1)-1)/5, IF(MAX(0, A197 - $F$11 + 1)&lt;=24, 14 - 14*(MAX(0, A197 - $F$11 + 1)-6)/18, 0)))) + (IF(MAX(0, A197 - $F$12 + 1)&lt;=0, 0, IF(MAX(0, A197 - $F$12 + 1)&lt;=6, 70 - (70-14)*(MAX(0, A197 - $F$12 + 1)-1)/5, IF(MAX(0, A197 - $F$12 + 1)&lt;=24, 14 - 14*(MAX(0, A197 - $F$12 + 1)-6)/18, 0)))) + (IF(MAX(0, A197 - $F$13 + 1)&lt;=0, 0, IF(MAX(0, A197 - $F$13 + 1)&lt;=6, 70 - (70-14)*(MAX(0, A197 - $F$13 + 1)-1)/5, IF(MAX(0, A197 - $F$13 + 1)&lt;=24, 14 - 14*(MAX(0, A197 - $F$13 + 1)-6)/18, 0)))) + (IF(MAX(0, A197 - $F$14 + 1)&lt;=0, 0, IF(MAX(0, A197 - $F$14 + 1)&lt;=6, 70 - (70-14)*(MAX(0, A197 - $F$14 + 1)-1)/5, IF(MAX(0, A197 - $F$14 + 1)&lt;=24, 14 - 14*(MAX(0, A197 - $F$14 + 1)-6)/18, 0)))) ) * 200 / 12 / 1000</f>
        <v/>
      </c>
      <c r="F197" s="306">
        <f>IF(A197&lt;$F$6,0,IF(AND($B$21=1,A197&gt;$B$19),0,$E$6*$G$6^MIN((A197-$F$6)/12,6)*MIN($G$6,0.85)^MAX(0,(A197-$F$6)/12-6)))</f>
        <v/>
      </c>
      <c r="G197" s="306">
        <f>IF(A197&lt;$F$7,0,IF(AND($B$21=1,A197&gt;$B$19),0,$E$7*$G$7^MIN((A197-$F$7)/12,6)*MIN($G$7,0.85)^MAX(0,(A197-$F$7)/12-6)))</f>
        <v/>
      </c>
      <c r="H197" s="306">
        <f>IF(A197&lt;$F$8,0,IF(AND($B$21=1,A197&gt;$B$19),0,$E$8*$G$8^MIN((A197-$F$8)/12,6)*MIN($G$8,0.85)^MAX(0,(A197-$F$8)/12-6)))</f>
        <v/>
      </c>
      <c r="I197" s="306">
        <f>IF(A197&lt;$F$9,0,IF(AND($B$21=1,A197&gt;$B$19),0,$E$9*$G$9^MIN((A197-$F$9)/12,6)*MIN($G$9,0.85)^MAX(0,(A197-$F$9)/12-6)))</f>
        <v/>
      </c>
      <c r="J197" s="306">
        <f>IF(A197&lt;$F$10,0,IF(AND($B$21=1,A197&gt;$B$19),0,$E$10*$G$10^MIN((A197-$F$10)/12,6)*MIN($G$10,0.85)^MAX(0,(A197-$F$10)/12-6)))</f>
        <v/>
      </c>
      <c r="K197" s="306">
        <f>IF(A197&lt;$F$11,0,IF(AND($B$21=1,A197&gt;$B$19),0,$E$11*$G$11^MIN((A197-$F$11)/12,6)*MIN($G$11,0.85)^MAX(0,(A197-$F$11)/12-6)))</f>
        <v/>
      </c>
      <c r="L197" s="306">
        <f>IF(A197&lt;$F$12,0,IF(AND($B$21=1,A197&gt;$B$19),0,$E$12*$G$12^MIN((A197-$F$12)/12,6)*MIN($G$12,0.85)^MAX(0,(A197-$F$12)/12-6)))</f>
        <v/>
      </c>
      <c r="M197" s="306">
        <f>IF(A197&lt;$F$13,0,IF(AND($B$21=1,A197&gt;$B$19),0,$E$13*$G$13^MIN((A197-$F$13)/12,6)*MIN($G$13,0.85)^MAX(0,(A197-$F$13)/12-6)))</f>
        <v/>
      </c>
      <c r="N197" s="306">
        <f>IF(A197&lt;$F$14,0,IF(AND($B$21=1,A197&gt;$B$19),0,$E$14*$G$14^MIN((A197-$F$14)/12,6)*MIN($G$14,0.85)^MAX(0,(A197-$F$14)/12-6)))</f>
        <v/>
      </c>
      <c r="O197" s="306">
        <f>SUM(F197:N197)</f>
        <v/>
      </c>
      <c r="P197" s="306">
        <f>O197/12</f>
        <v/>
      </c>
      <c r="Q197" s="306">
        <f>P197*$B$8</f>
        <v/>
      </c>
      <c r="R197" s="306">
        <f>P197*$B$9</f>
        <v/>
      </c>
      <c r="S197" s="306">
        <f>P197*$B$10</f>
        <v/>
      </c>
      <c r="T197" s="306">
        <f>P197-Q197-R197-S197-D197-E197</f>
        <v/>
      </c>
      <c r="U197" s="306">
        <f>MAX(0, T197 - $B$7*P197)</f>
        <v/>
      </c>
      <c r="V197" s="306">
        <f>T197-U197</f>
        <v/>
      </c>
      <c r="W197" s="306">
        <f>IF(A197=$F$6, $B$18*$B$16*$B$17/1000000, 0) + IF(A197=$F$7, $B$18*$B$16*$B$17/1000000, 0) + IF(A197=$F$8, $B$18*$B$16*$B$17/1000000, 0) + IF(A197=$F$9, $B$18*$B$16*$B$17/1000000, 0) + IF(A197=$F$10, $B$18*$B$16*$B$17/1000000, 0) + IF(A197=$F$11, $B$18*$B$16*$B$17/1000000, 0) + IF(A197=$F$12, $B$18*$B$16*$B$17/1000000, 0) + IF(A197=$F$13, $B$18*$B$16*$B$17/1000000, 0) + IF(A197=$F$14, $B$18*$B$16*$B$17/1000000, 0)</f>
        <v/>
      </c>
      <c r="X197" s="306">
        <f>V197-W197-C197</f>
        <v/>
      </c>
      <c r="Y197" s="306">
        <f>IF(AND(A197&lt;=$B$24, X197&gt;0), X197*$B$23, 0)</f>
        <v/>
      </c>
      <c r="Z197" s="306">
        <f>X197-Y197</f>
        <v/>
      </c>
      <c r="AA197" s="306">
        <f>IF(AND(A197=$B$19, $B$21=1), O197*$B$20, 0)</f>
        <v/>
      </c>
      <c r="AB197" s="306">
        <f>AB196+Z197+AA197</f>
        <v/>
      </c>
    </row>
    <row r="198">
      <c r="A198" s="306" t="n">
        <v>168</v>
      </c>
      <c r="B198" s="306">
        <f>CEILING(A198/12,1)</f>
        <v/>
      </c>
      <c r="C198" s="306">
        <f>IF(A198&lt;=12, $B$15/12, 0)</f>
        <v/>
      </c>
      <c r="D198" s="306">
        <f>INDEX('26. Team Comp'!$D$28:$R$28, B198) * 0.001 / 12</f>
        <v/>
      </c>
      <c r="E198" s="306">
        <f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+ (IF(MAX(0, A198 - $F$11 + 1)&lt;=0, 0, IF(MAX(0, A198 - $F$11 + 1)&lt;=6, 70 - (70-14)*(MAX(0, A198 - $F$11 + 1)-1)/5, IF(MAX(0, A198 - $F$11 + 1)&lt;=24, 14 - 14*(MAX(0, A198 - $F$11 + 1)-6)/18, 0)))) + (IF(MAX(0, A198 - $F$12 + 1)&lt;=0, 0, IF(MAX(0, A198 - $F$12 + 1)&lt;=6, 70 - (70-14)*(MAX(0, A198 - $F$12 + 1)-1)/5, IF(MAX(0, A198 - $F$12 + 1)&lt;=24, 14 - 14*(MAX(0, A198 - $F$12 + 1)-6)/18, 0)))) + (IF(MAX(0, A198 - $F$13 + 1)&lt;=0, 0, IF(MAX(0, A198 - $F$13 + 1)&lt;=6, 70 - (70-14)*(MAX(0, A198 - $F$13 + 1)-1)/5, IF(MAX(0, A198 - $F$13 + 1)&lt;=24, 14 - 14*(MAX(0, A198 - $F$13 + 1)-6)/18, 0)))) + (IF(MAX(0, A198 - $F$14 + 1)&lt;=0, 0, IF(MAX(0, A198 - $F$14 + 1)&lt;=6, 70 - (70-14)*(MAX(0, A198 - $F$14 + 1)-1)/5, IF(MAX(0, A198 - $F$14 + 1)&lt;=24, 14 - 14*(MAX(0, A198 - $F$14 + 1)-6)/18, 0)))) ) * 200 / 12 / 1000</f>
        <v/>
      </c>
      <c r="F198" s="306">
        <f>IF(A198&lt;$F$6,0,IF(AND($B$21=1,A198&gt;$B$19),0,$E$6*$G$6^MIN((A198-$F$6)/12,6)*MIN($G$6,0.85)^MAX(0,(A198-$F$6)/12-6)))</f>
        <v/>
      </c>
      <c r="G198" s="306">
        <f>IF(A198&lt;$F$7,0,IF(AND($B$21=1,A198&gt;$B$19),0,$E$7*$G$7^MIN((A198-$F$7)/12,6)*MIN($G$7,0.85)^MAX(0,(A198-$F$7)/12-6)))</f>
        <v/>
      </c>
      <c r="H198" s="306">
        <f>IF(A198&lt;$F$8,0,IF(AND($B$21=1,A198&gt;$B$19),0,$E$8*$G$8^MIN((A198-$F$8)/12,6)*MIN($G$8,0.85)^MAX(0,(A198-$F$8)/12-6)))</f>
        <v/>
      </c>
      <c r="I198" s="306">
        <f>IF(A198&lt;$F$9,0,IF(AND($B$21=1,A198&gt;$B$19),0,$E$9*$G$9^MIN((A198-$F$9)/12,6)*MIN($G$9,0.85)^MAX(0,(A198-$F$9)/12-6)))</f>
        <v/>
      </c>
      <c r="J198" s="306">
        <f>IF(A198&lt;$F$10,0,IF(AND($B$21=1,A198&gt;$B$19),0,$E$10*$G$10^MIN((A198-$F$10)/12,6)*MIN($G$10,0.85)^MAX(0,(A198-$F$10)/12-6)))</f>
        <v/>
      </c>
      <c r="K198" s="306">
        <f>IF(A198&lt;$F$11,0,IF(AND($B$21=1,A198&gt;$B$19),0,$E$11*$G$11^MIN((A198-$F$11)/12,6)*MIN($G$11,0.85)^MAX(0,(A198-$F$11)/12-6)))</f>
        <v/>
      </c>
      <c r="L198" s="306">
        <f>IF(A198&lt;$F$12,0,IF(AND($B$21=1,A198&gt;$B$19),0,$E$12*$G$12^MIN((A198-$F$12)/12,6)*MIN($G$12,0.85)^MAX(0,(A198-$F$12)/12-6)))</f>
        <v/>
      </c>
      <c r="M198" s="306">
        <f>IF(A198&lt;$F$13,0,IF(AND($B$21=1,A198&gt;$B$19),0,$E$13*$G$13^MIN((A198-$F$13)/12,6)*MIN($G$13,0.85)^MAX(0,(A198-$F$13)/12-6)))</f>
        <v/>
      </c>
      <c r="N198" s="306">
        <f>IF(A198&lt;$F$14,0,IF(AND($B$21=1,A198&gt;$B$19),0,$E$14*$G$14^MIN((A198-$F$14)/12,6)*MIN($G$14,0.85)^MAX(0,(A198-$F$14)/12-6)))</f>
        <v/>
      </c>
      <c r="O198" s="306">
        <f>SUM(F198:N198)</f>
        <v/>
      </c>
      <c r="P198" s="306">
        <f>O198/12</f>
        <v/>
      </c>
      <c r="Q198" s="306">
        <f>P198*$B$8</f>
        <v/>
      </c>
      <c r="R198" s="306">
        <f>P198*$B$9</f>
        <v/>
      </c>
      <c r="S198" s="306">
        <f>P198*$B$10</f>
        <v/>
      </c>
      <c r="T198" s="306">
        <f>P198-Q198-R198-S198-D198-E198</f>
        <v/>
      </c>
      <c r="U198" s="306">
        <f>MAX(0, T198 - $B$7*P198)</f>
        <v/>
      </c>
      <c r="V198" s="306">
        <f>T198-U198</f>
        <v/>
      </c>
      <c r="W198" s="306">
        <f>IF(A198=$F$6, $B$18*$B$16*$B$17/1000000, 0) + IF(A198=$F$7, $B$18*$B$16*$B$17/1000000, 0) + IF(A198=$F$8, $B$18*$B$16*$B$17/1000000, 0) + IF(A198=$F$9, $B$18*$B$16*$B$17/1000000, 0) + IF(A198=$F$10, $B$18*$B$16*$B$17/1000000, 0) + IF(A198=$F$11, $B$18*$B$16*$B$17/1000000, 0) + IF(A198=$F$12, $B$18*$B$16*$B$17/1000000, 0) + IF(A198=$F$13, $B$18*$B$16*$B$17/1000000, 0) + IF(A198=$F$14, $B$18*$B$16*$B$17/1000000, 0)</f>
        <v/>
      </c>
      <c r="X198" s="306">
        <f>V198-W198-C198</f>
        <v/>
      </c>
      <c r="Y198" s="306">
        <f>IF(AND(A198&lt;=$B$24, X198&gt;0), X198*$B$23, 0)</f>
        <v/>
      </c>
      <c r="Z198" s="306">
        <f>X198-Y198</f>
        <v/>
      </c>
      <c r="AA198" s="306">
        <f>IF(AND(A198=$B$19, $B$21=1), O198*$B$20, 0)</f>
        <v/>
      </c>
      <c r="AB198" s="306">
        <f>AB197+Z198+AA198</f>
        <v/>
      </c>
    </row>
    <row r="199">
      <c r="A199" s="306" t="n">
        <v>169</v>
      </c>
      <c r="B199" s="306">
        <f>CEILING(A199/12,1)</f>
        <v/>
      </c>
      <c r="C199" s="306">
        <f>IF(A199&lt;=12, $B$15/12, 0)</f>
        <v/>
      </c>
      <c r="D199" s="306">
        <f>INDEX('26. Team Comp'!$D$28:$R$28, B199) * 0.001 / 12</f>
        <v/>
      </c>
      <c r="E199" s="306">
        <f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+ (IF(MAX(0, A199 - $F$11 + 1)&lt;=0, 0, IF(MAX(0, A199 - $F$11 + 1)&lt;=6, 70 - (70-14)*(MAX(0, A199 - $F$11 + 1)-1)/5, IF(MAX(0, A199 - $F$11 + 1)&lt;=24, 14 - 14*(MAX(0, A199 - $F$11 + 1)-6)/18, 0)))) + (IF(MAX(0, A199 - $F$12 + 1)&lt;=0, 0, IF(MAX(0, A199 - $F$12 + 1)&lt;=6, 70 - (70-14)*(MAX(0, A199 - $F$12 + 1)-1)/5, IF(MAX(0, A199 - $F$12 + 1)&lt;=24, 14 - 14*(MAX(0, A199 - $F$12 + 1)-6)/18, 0)))) + (IF(MAX(0, A199 - $F$13 + 1)&lt;=0, 0, IF(MAX(0, A199 - $F$13 + 1)&lt;=6, 70 - (70-14)*(MAX(0, A199 - $F$13 + 1)-1)/5, IF(MAX(0, A199 - $F$13 + 1)&lt;=24, 14 - 14*(MAX(0, A199 - $F$13 + 1)-6)/18, 0)))) + (IF(MAX(0, A199 - $F$14 + 1)&lt;=0, 0, IF(MAX(0, A199 - $F$14 + 1)&lt;=6, 70 - (70-14)*(MAX(0, A199 - $F$14 + 1)-1)/5, IF(MAX(0, A199 - $F$14 + 1)&lt;=24, 14 - 14*(MAX(0, A199 - $F$14 + 1)-6)/18, 0)))) ) * 200 / 12 / 1000</f>
        <v/>
      </c>
      <c r="F199" s="306">
        <f>IF(A199&lt;$F$6,0,IF(AND($B$21=1,A199&gt;$B$19),0,$E$6*$G$6^MIN((A199-$F$6)/12,6)*MIN($G$6,0.85)^MAX(0,(A199-$F$6)/12-6)))</f>
        <v/>
      </c>
      <c r="G199" s="306">
        <f>IF(A199&lt;$F$7,0,IF(AND($B$21=1,A199&gt;$B$19),0,$E$7*$G$7^MIN((A199-$F$7)/12,6)*MIN($G$7,0.85)^MAX(0,(A199-$F$7)/12-6)))</f>
        <v/>
      </c>
      <c r="H199" s="306">
        <f>IF(A199&lt;$F$8,0,IF(AND($B$21=1,A199&gt;$B$19),0,$E$8*$G$8^MIN((A199-$F$8)/12,6)*MIN($G$8,0.85)^MAX(0,(A199-$F$8)/12-6)))</f>
        <v/>
      </c>
      <c r="I199" s="306">
        <f>IF(A199&lt;$F$9,0,IF(AND($B$21=1,A199&gt;$B$19),0,$E$9*$G$9^MIN((A199-$F$9)/12,6)*MIN($G$9,0.85)^MAX(0,(A199-$F$9)/12-6)))</f>
        <v/>
      </c>
      <c r="J199" s="306">
        <f>IF(A199&lt;$F$10,0,IF(AND($B$21=1,A199&gt;$B$19),0,$E$10*$G$10^MIN((A199-$F$10)/12,6)*MIN($G$10,0.85)^MAX(0,(A199-$F$10)/12-6)))</f>
        <v/>
      </c>
      <c r="K199" s="306">
        <f>IF(A199&lt;$F$11,0,IF(AND($B$21=1,A199&gt;$B$19),0,$E$11*$G$11^MIN((A199-$F$11)/12,6)*MIN($G$11,0.85)^MAX(0,(A199-$F$11)/12-6)))</f>
        <v/>
      </c>
      <c r="L199" s="306">
        <f>IF(A199&lt;$F$12,0,IF(AND($B$21=1,A199&gt;$B$19),0,$E$12*$G$12^MIN((A199-$F$12)/12,6)*MIN($G$12,0.85)^MAX(0,(A199-$F$12)/12-6)))</f>
        <v/>
      </c>
      <c r="M199" s="306">
        <f>IF(A199&lt;$F$13,0,IF(AND($B$21=1,A199&gt;$B$19),0,$E$13*$G$13^MIN((A199-$F$13)/12,6)*MIN($G$13,0.85)^MAX(0,(A199-$F$13)/12-6)))</f>
        <v/>
      </c>
      <c r="N199" s="306">
        <f>IF(A199&lt;$F$14,0,IF(AND($B$21=1,A199&gt;$B$19),0,$E$14*$G$14^MIN((A199-$F$14)/12,6)*MIN($G$14,0.85)^MAX(0,(A199-$F$14)/12-6)))</f>
        <v/>
      </c>
      <c r="O199" s="306">
        <f>SUM(F199:N199)</f>
        <v/>
      </c>
      <c r="P199" s="306">
        <f>O199/12</f>
        <v/>
      </c>
      <c r="Q199" s="306">
        <f>P199*$B$8</f>
        <v/>
      </c>
      <c r="R199" s="306">
        <f>P199*$B$9</f>
        <v/>
      </c>
      <c r="S199" s="306">
        <f>P199*$B$10</f>
        <v/>
      </c>
      <c r="T199" s="306">
        <f>P199-Q199-R199-S199-D199-E199</f>
        <v/>
      </c>
      <c r="U199" s="306">
        <f>MAX(0, T199 - $B$7*P199)</f>
        <v/>
      </c>
      <c r="V199" s="306">
        <f>T199-U199</f>
        <v/>
      </c>
      <c r="W199" s="306">
        <f>IF(A199=$F$6, $B$18*$B$16*$B$17/1000000, 0) + IF(A199=$F$7, $B$18*$B$16*$B$17/1000000, 0) + IF(A199=$F$8, $B$18*$B$16*$B$17/1000000, 0) + IF(A199=$F$9, $B$18*$B$16*$B$17/1000000, 0) + IF(A199=$F$10, $B$18*$B$16*$B$17/1000000, 0) + IF(A199=$F$11, $B$18*$B$16*$B$17/1000000, 0) + IF(A199=$F$12, $B$18*$B$16*$B$17/1000000, 0) + IF(A199=$F$13, $B$18*$B$16*$B$17/1000000, 0) + IF(A199=$F$14, $B$18*$B$16*$B$17/1000000, 0)</f>
        <v/>
      </c>
      <c r="X199" s="306">
        <f>V199-W199-C199</f>
        <v/>
      </c>
      <c r="Y199" s="306">
        <f>IF(AND(A199&lt;=$B$24, X199&gt;0), X199*$B$23, 0)</f>
        <v/>
      </c>
      <c r="Z199" s="306">
        <f>X199-Y199</f>
        <v/>
      </c>
      <c r="AA199" s="306">
        <f>IF(AND(A199=$B$19, $B$21=1), O199*$B$20, 0)</f>
        <v/>
      </c>
      <c r="AB199" s="306">
        <f>AB198+Z199+AA199</f>
        <v/>
      </c>
    </row>
    <row r="200">
      <c r="A200" s="306" t="n">
        <v>170</v>
      </c>
      <c r="B200" s="306">
        <f>CEILING(A200/12,1)</f>
        <v/>
      </c>
      <c r="C200" s="306">
        <f>IF(A200&lt;=12, $B$15/12, 0)</f>
        <v/>
      </c>
      <c r="D200" s="306">
        <f>INDEX('26. Team Comp'!$D$28:$R$28, B200) * 0.001 / 12</f>
        <v/>
      </c>
      <c r="E200" s="306">
        <f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+ (IF(MAX(0, A200 - $F$11 + 1)&lt;=0, 0, IF(MAX(0, A200 - $F$11 + 1)&lt;=6, 70 - (70-14)*(MAX(0, A200 - $F$11 + 1)-1)/5, IF(MAX(0, A200 - $F$11 + 1)&lt;=24, 14 - 14*(MAX(0, A200 - $F$11 + 1)-6)/18, 0)))) + (IF(MAX(0, A200 - $F$12 + 1)&lt;=0, 0, IF(MAX(0, A200 - $F$12 + 1)&lt;=6, 70 - (70-14)*(MAX(0, A200 - $F$12 + 1)-1)/5, IF(MAX(0, A200 - $F$12 + 1)&lt;=24, 14 - 14*(MAX(0, A200 - $F$12 + 1)-6)/18, 0)))) + (IF(MAX(0, A200 - $F$13 + 1)&lt;=0, 0, IF(MAX(0, A200 - $F$13 + 1)&lt;=6, 70 - (70-14)*(MAX(0, A200 - $F$13 + 1)-1)/5, IF(MAX(0, A200 - $F$13 + 1)&lt;=24, 14 - 14*(MAX(0, A200 - $F$13 + 1)-6)/18, 0)))) + (IF(MAX(0, A200 - $F$14 + 1)&lt;=0, 0, IF(MAX(0, A200 - $F$14 + 1)&lt;=6, 70 - (70-14)*(MAX(0, A200 - $F$14 + 1)-1)/5, IF(MAX(0, A200 - $F$14 + 1)&lt;=24, 14 - 14*(MAX(0, A200 - $F$14 + 1)-6)/18, 0)))) ) * 200 / 12 / 1000</f>
        <v/>
      </c>
      <c r="F200" s="306">
        <f>IF(A200&lt;$F$6,0,IF(AND($B$21=1,A200&gt;$B$19),0,$E$6*$G$6^MIN((A200-$F$6)/12,6)*MIN($G$6,0.85)^MAX(0,(A200-$F$6)/12-6)))</f>
        <v/>
      </c>
      <c r="G200" s="306">
        <f>IF(A200&lt;$F$7,0,IF(AND($B$21=1,A200&gt;$B$19),0,$E$7*$G$7^MIN((A200-$F$7)/12,6)*MIN($G$7,0.85)^MAX(0,(A200-$F$7)/12-6)))</f>
        <v/>
      </c>
      <c r="H200" s="306">
        <f>IF(A200&lt;$F$8,0,IF(AND($B$21=1,A200&gt;$B$19),0,$E$8*$G$8^MIN((A200-$F$8)/12,6)*MIN($G$8,0.85)^MAX(0,(A200-$F$8)/12-6)))</f>
        <v/>
      </c>
      <c r="I200" s="306">
        <f>IF(A200&lt;$F$9,0,IF(AND($B$21=1,A200&gt;$B$19),0,$E$9*$G$9^MIN((A200-$F$9)/12,6)*MIN($G$9,0.85)^MAX(0,(A200-$F$9)/12-6)))</f>
        <v/>
      </c>
      <c r="J200" s="306">
        <f>IF(A200&lt;$F$10,0,IF(AND($B$21=1,A200&gt;$B$19),0,$E$10*$G$10^MIN((A200-$F$10)/12,6)*MIN($G$10,0.85)^MAX(0,(A200-$F$10)/12-6)))</f>
        <v/>
      </c>
      <c r="K200" s="306">
        <f>IF(A200&lt;$F$11,0,IF(AND($B$21=1,A200&gt;$B$19),0,$E$11*$G$11^MIN((A200-$F$11)/12,6)*MIN($G$11,0.85)^MAX(0,(A200-$F$11)/12-6)))</f>
        <v/>
      </c>
      <c r="L200" s="306">
        <f>IF(A200&lt;$F$12,0,IF(AND($B$21=1,A200&gt;$B$19),0,$E$12*$G$12^MIN((A200-$F$12)/12,6)*MIN($G$12,0.85)^MAX(0,(A200-$F$12)/12-6)))</f>
        <v/>
      </c>
      <c r="M200" s="306">
        <f>IF(A200&lt;$F$13,0,IF(AND($B$21=1,A200&gt;$B$19),0,$E$13*$G$13^MIN((A200-$F$13)/12,6)*MIN($G$13,0.85)^MAX(0,(A200-$F$13)/12-6)))</f>
        <v/>
      </c>
      <c r="N200" s="306">
        <f>IF(A200&lt;$F$14,0,IF(AND($B$21=1,A200&gt;$B$19),0,$E$14*$G$14^MIN((A200-$F$14)/12,6)*MIN($G$14,0.85)^MAX(0,(A200-$F$14)/12-6)))</f>
        <v/>
      </c>
      <c r="O200" s="306">
        <f>SUM(F200:N200)</f>
        <v/>
      </c>
      <c r="P200" s="306">
        <f>O200/12</f>
        <v/>
      </c>
      <c r="Q200" s="306">
        <f>P200*$B$8</f>
        <v/>
      </c>
      <c r="R200" s="306">
        <f>P200*$B$9</f>
        <v/>
      </c>
      <c r="S200" s="306">
        <f>P200*$B$10</f>
        <v/>
      </c>
      <c r="T200" s="306">
        <f>P200-Q200-R200-S200-D200-E200</f>
        <v/>
      </c>
      <c r="U200" s="306">
        <f>MAX(0, T200 - $B$7*P200)</f>
        <v/>
      </c>
      <c r="V200" s="306">
        <f>T200-U200</f>
        <v/>
      </c>
      <c r="W200" s="306">
        <f>IF(A200=$F$6, $B$18*$B$16*$B$17/1000000, 0) + IF(A200=$F$7, $B$18*$B$16*$B$17/1000000, 0) + IF(A200=$F$8, $B$18*$B$16*$B$17/1000000, 0) + IF(A200=$F$9, $B$18*$B$16*$B$17/1000000, 0) + IF(A200=$F$10, $B$18*$B$16*$B$17/1000000, 0) + IF(A200=$F$11, $B$18*$B$16*$B$17/1000000, 0) + IF(A200=$F$12, $B$18*$B$16*$B$17/1000000, 0) + IF(A200=$F$13, $B$18*$B$16*$B$17/1000000, 0) + IF(A200=$F$14, $B$18*$B$16*$B$17/1000000, 0)</f>
        <v/>
      </c>
      <c r="X200" s="306">
        <f>V200-W200-C200</f>
        <v/>
      </c>
      <c r="Y200" s="306">
        <f>IF(AND(A200&lt;=$B$24, X200&gt;0), X200*$B$23, 0)</f>
        <v/>
      </c>
      <c r="Z200" s="306">
        <f>X200-Y200</f>
        <v/>
      </c>
      <c r="AA200" s="306">
        <f>IF(AND(A200=$B$19, $B$21=1), O200*$B$20, 0)</f>
        <v/>
      </c>
      <c r="AB200" s="306">
        <f>AB199+Z200+AA200</f>
        <v/>
      </c>
    </row>
    <row r="201">
      <c r="A201" s="306" t="n">
        <v>171</v>
      </c>
      <c r="B201" s="306">
        <f>CEILING(A201/12,1)</f>
        <v/>
      </c>
      <c r="C201" s="306">
        <f>IF(A201&lt;=12, $B$15/12, 0)</f>
        <v/>
      </c>
      <c r="D201" s="306">
        <f>INDEX('26. Team Comp'!$D$28:$R$28, B201) * 0.001 / 12</f>
        <v/>
      </c>
      <c r="E201" s="306">
        <f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+ (IF(MAX(0, A201 - $F$11 + 1)&lt;=0, 0, IF(MAX(0, A201 - $F$11 + 1)&lt;=6, 70 - (70-14)*(MAX(0, A201 - $F$11 + 1)-1)/5, IF(MAX(0, A201 - $F$11 + 1)&lt;=24, 14 - 14*(MAX(0, A201 - $F$11 + 1)-6)/18, 0)))) + (IF(MAX(0, A201 - $F$12 + 1)&lt;=0, 0, IF(MAX(0, A201 - $F$12 + 1)&lt;=6, 70 - (70-14)*(MAX(0, A201 - $F$12 + 1)-1)/5, IF(MAX(0, A201 - $F$12 + 1)&lt;=24, 14 - 14*(MAX(0, A201 - $F$12 + 1)-6)/18, 0)))) + (IF(MAX(0, A201 - $F$13 + 1)&lt;=0, 0, IF(MAX(0, A201 - $F$13 + 1)&lt;=6, 70 - (70-14)*(MAX(0, A201 - $F$13 + 1)-1)/5, IF(MAX(0, A201 - $F$13 + 1)&lt;=24, 14 - 14*(MAX(0, A201 - $F$13 + 1)-6)/18, 0)))) + (IF(MAX(0, A201 - $F$14 + 1)&lt;=0, 0, IF(MAX(0, A201 - $F$14 + 1)&lt;=6, 70 - (70-14)*(MAX(0, A201 - $F$14 + 1)-1)/5, IF(MAX(0, A201 - $F$14 + 1)&lt;=24, 14 - 14*(MAX(0, A201 - $F$14 + 1)-6)/18, 0)))) ) * 200 / 12 / 1000</f>
        <v/>
      </c>
      <c r="F201" s="306">
        <f>IF(A201&lt;$F$6,0,IF(AND($B$21=1,A201&gt;$B$19),0,$E$6*$G$6^MIN((A201-$F$6)/12,6)*MIN($G$6,0.85)^MAX(0,(A201-$F$6)/12-6)))</f>
        <v/>
      </c>
      <c r="G201" s="306">
        <f>IF(A201&lt;$F$7,0,IF(AND($B$21=1,A201&gt;$B$19),0,$E$7*$G$7^MIN((A201-$F$7)/12,6)*MIN($G$7,0.85)^MAX(0,(A201-$F$7)/12-6)))</f>
        <v/>
      </c>
      <c r="H201" s="306">
        <f>IF(A201&lt;$F$8,0,IF(AND($B$21=1,A201&gt;$B$19),0,$E$8*$G$8^MIN((A201-$F$8)/12,6)*MIN($G$8,0.85)^MAX(0,(A201-$F$8)/12-6)))</f>
        <v/>
      </c>
      <c r="I201" s="306">
        <f>IF(A201&lt;$F$9,0,IF(AND($B$21=1,A201&gt;$B$19),0,$E$9*$G$9^MIN((A201-$F$9)/12,6)*MIN($G$9,0.85)^MAX(0,(A201-$F$9)/12-6)))</f>
        <v/>
      </c>
      <c r="J201" s="306">
        <f>IF(A201&lt;$F$10,0,IF(AND($B$21=1,A201&gt;$B$19),0,$E$10*$G$10^MIN((A201-$F$10)/12,6)*MIN($G$10,0.85)^MAX(0,(A201-$F$10)/12-6)))</f>
        <v/>
      </c>
      <c r="K201" s="306">
        <f>IF(A201&lt;$F$11,0,IF(AND($B$21=1,A201&gt;$B$19),0,$E$11*$G$11^MIN((A201-$F$11)/12,6)*MIN($G$11,0.85)^MAX(0,(A201-$F$11)/12-6)))</f>
        <v/>
      </c>
      <c r="L201" s="306">
        <f>IF(A201&lt;$F$12,0,IF(AND($B$21=1,A201&gt;$B$19),0,$E$12*$G$12^MIN((A201-$F$12)/12,6)*MIN($G$12,0.85)^MAX(0,(A201-$F$12)/12-6)))</f>
        <v/>
      </c>
      <c r="M201" s="306">
        <f>IF(A201&lt;$F$13,0,IF(AND($B$21=1,A201&gt;$B$19),0,$E$13*$G$13^MIN((A201-$F$13)/12,6)*MIN($G$13,0.85)^MAX(0,(A201-$F$13)/12-6)))</f>
        <v/>
      </c>
      <c r="N201" s="306">
        <f>IF(A201&lt;$F$14,0,IF(AND($B$21=1,A201&gt;$B$19),0,$E$14*$G$14^MIN((A201-$F$14)/12,6)*MIN($G$14,0.85)^MAX(0,(A201-$F$14)/12-6)))</f>
        <v/>
      </c>
      <c r="O201" s="306">
        <f>SUM(F201:N201)</f>
        <v/>
      </c>
      <c r="P201" s="306">
        <f>O201/12</f>
        <v/>
      </c>
      <c r="Q201" s="306">
        <f>P201*$B$8</f>
        <v/>
      </c>
      <c r="R201" s="306">
        <f>P201*$B$9</f>
        <v/>
      </c>
      <c r="S201" s="306">
        <f>P201*$B$10</f>
        <v/>
      </c>
      <c r="T201" s="306">
        <f>P201-Q201-R201-S201-D201-E201</f>
        <v/>
      </c>
      <c r="U201" s="306">
        <f>MAX(0, T201 - $B$7*P201)</f>
        <v/>
      </c>
      <c r="V201" s="306">
        <f>T201-U201</f>
        <v/>
      </c>
      <c r="W201" s="306">
        <f>IF(A201=$F$6, $B$18*$B$16*$B$17/1000000, 0) + IF(A201=$F$7, $B$18*$B$16*$B$17/1000000, 0) + IF(A201=$F$8, $B$18*$B$16*$B$17/1000000, 0) + IF(A201=$F$9, $B$18*$B$16*$B$17/1000000, 0) + IF(A201=$F$10, $B$18*$B$16*$B$17/1000000, 0) + IF(A201=$F$11, $B$18*$B$16*$B$17/1000000, 0) + IF(A201=$F$12, $B$18*$B$16*$B$17/1000000, 0) + IF(A201=$F$13, $B$18*$B$16*$B$17/1000000, 0) + IF(A201=$F$14, $B$18*$B$16*$B$17/1000000, 0)</f>
        <v/>
      </c>
      <c r="X201" s="306">
        <f>V201-W201-C201</f>
        <v/>
      </c>
      <c r="Y201" s="306">
        <f>IF(AND(A201&lt;=$B$24, X201&gt;0), X201*$B$23, 0)</f>
        <v/>
      </c>
      <c r="Z201" s="306">
        <f>X201-Y201</f>
        <v/>
      </c>
      <c r="AA201" s="306">
        <f>IF(AND(A201=$B$19, $B$21=1), O201*$B$20, 0)</f>
        <v/>
      </c>
      <c r="AB201" s="306">
        <f>AB200+Z201+AA201</f>
        <v/>
      </c>
    </row>
    <row r="202">
      <c r="A202" s="306" t="n">
        <v>172</v>
      </c>
      <c r="B202" s="306">
        <f>CEILING(A202/12,1)</f>
        <v/>
      </c>
      <c r="C202" s="306">
        <f>IF(A202&lt;=12, $B$15/12, 0)</f>
        <v/>
      </c>
      <c r="D202" s="306">
        <f>INDEX('26. Team Comp'!$D$28:$R$28, B202) * 0.001 / 12</f>
        <v/>
      </c>
      <c r="E202" s="306">
        <f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+ (IF(MAX(0, A202 - $F$11 + 1)&lt;=0, 0, IF(MAX(0, A202 - $F$11 + 1)&lt;=6, 70 - (70-14)*(MAX(0, A202 - $F$11 + 1)-1)/5, IF(MAX(0, A202 - $F$11 + 1)&lt;=24, 14 - 14*(MAX(0, A202 - $F$11 + 1)-6)/18, 0)))) + (IF(MAX(0, A202 - $F$12 + 1)&lt;=0, 0, IF(MAX(0, A202 - $F$12 + 1)&lt;=6, 70 - (70-14)*(MAX(0, A202 - $F$12 + 1)-1)/5, IF(MAX(0, A202 - $F$12 + 1)&lt;=24, 14 - 14*(MAX(0, A202 - $F$12 + 1)-6)/18, 0)))) + (IF(MAX(0, A202 - $F$13 + 1)&lt;=0, 0, IF(MAX(0, A202 - $F$13 + 1)&lt;=6, 70 - (70-14)*(MAX(0, A202 - $F$13 + 1)-1)/5, IF(MAX(0, A202 - $F$13 + 1)&lt;=24, 14 - 14*(MAX(0, A202 - $F$13 + 1)-6)/18, 0)))) + (IF(MAX(0, A202 - $F$14 + 1)&lt;=0, 0, IF(MAX(0, A202 - $F$14 + 1)&lt;=6, 70 - (70-14)*(MAX(0, A202 - $F$14 + 1)-1)/5, IF(MAX(0, A202 - $F$14 + 1)&lt;=24, 14 - 14*(MAX(0, A202 - $F$14 + 1)-6)/18, 0)))) ) * 200 / 12 / 1000</f>
        <v/>
      </c>
      <c r="F202" s="306">
        <f>IF(A202&lt;$F$6,0,IF(AND($B$21=1,A202&gt;$B$19),0,$E$6*$G$6^MIN((A202-$F$6)/12,6)*MIN($G$6,0.85)^MAX(0,(A202-$F$6)/12-6)))</f>
        <v/>
      </c>
      <c r="G202" s="306">
        <f>IF(A202&lt;$F$7,0,IF(AND($B$21=1,A202&gt;$B$19),0,$E$7*$G$7^MIN((A202-$F$7)/12,6)*MIN($G$7,0.85)^MAX(0,(A202-$F$7)/12-6)))</f>
        <v/>
      </c>
      <c r="H202" s="306">
        <f>IF(A202&lt;$F$8,0,IF(AND($B$21=1,A202&gt;$B$19),0,$E$8*$G$8^MIN((A202-$F$8)/12,6)*MIN($G$8,0.85)^MAX(0,(A202-$F$8)/12-6)))</f>
        <v/>
      </c>
      <c r="I202" s="306">
        <f>IF(A202&lt;$F$9,0,IF(AND($B$21=1,A202&gt;$B$19),0,$E$9*$G$9^MIN((A202-$F$9)/12,6)*MIN($G$9,0.85)^MAX(0,(A202-$F$9)/12-6)))</f>
        <v/>
      </c>
      <c r="J202" s="306">
        <f>IF(A202&lt;$F$10,0,IF(AND($B$21=1,A202&gt;$B$19),0,$E$10*$G$10^MIN((A202-$F$10)/12,6)*MIN($G$10,0.85)^MAX(0,(A202-$F$10)/12-6)))</f>
        <v/>
      </c>
      <c r="K202" s="306">
        <f>IF(A202&lt;$F$11,0,IF(AND($B$21=1,A202&gt;$B$19),0,$E$11*$G$11^MIN((A202-$F$11)/12,6)*MIN($G$11,0.85)^MAX(0,(A202-$F$11)/12-6)))</f>
        <v/>
      </c>
      <c r="L202" s="306">
        <f>IF(A202&lt;$F$12,0,IF(AND($B$21=1,A202&gt;$B$19),0,$E$12*$G$12^MIN((A202-$F$12)/12,6)*MIN($G$12,0.85)^MAX(0,(A202-$F$12)/12-6)))</f>
        <v/>
      </c>
      <c r="M202" s="306">
        <f>IF(A202&lt;$F$13,0,IF(AND($B$21=1,A202&gt;$B$19),0,$E$13*$G$13^MIN((A202-$F$13)/12,6)*MIN($G$13,0.85)^MAX(0,(A202-$F$13)/12-6)))</f>
        <v/>
      </c>
      <c r="N202" s="306">
        <f>IF(A202&lt;$F$14,0,IF(AND($B$21=1,A202&gt;$B$19),0,$E$14*$G$14^MIN((A202-$F$14)/12,6)*MIN($G$14,0.85)^MAX(0,(A202-$F$14)/12-6)))</f>
        <v/>
      </c>
      <c r="O202" s="306">
        <f>SUM(F202:N202)</f>
        <v/>
      </c>
      <c r="P202" s="306">
        <f>O202/12</f>
        <v/>
      </c>
      <c r="Q202" s="306">
        <f>P202*$B$8</f>
        <v/>
      </c>
      <c r="R202" s="306">
        <f>P202*$B$9</f>
        <v/>
      </c>
      <c r="S202" s="306">
        <f>P202*$B$10</f>
        <v/>
      </c>
      <c r="T202" s="306">
        <f>P202-Q202-R202-S202-D202-E202</f>
        <v/>
      </c>
      <c r="U202" s="306">
        <f>MAX(0, T202 - $B$7*P202)</f>
        <v/>
      </c>
      <c r="V202" s="306">
        <f>T202-U202</f>
        <v/>
      </c>
      <c r="W202" s="306">
        <f>IF(A202=$F$6, $B$18*$B$16*$B$17/1000000, 0) + IF(A202=$F$7, $B$18*$B$16*$B$17/1000000, 0) + IF(A202=$F$8, $B$18*$B$16*$B$17/1000000, 0) + IF(A202=$F$9, $B$18*$B$16*$B$17/1000000, 0) + IF(A202=$F$10, $B$18*$B$16*$B$17/1000000, 0) + IF(A202=$F$11, $B$18*$B$16*$B$17/1000000, 0) + IF(A202=$F$12, $B$18*$B$16*$B$17/1000000, 0) + IF(A202=$F$13, $B$18*$B$16*$B$17/1000000, 0) + IF(A202=$F$14, $B$18*$B$16*$B$17/1000000, 0)</f>
        <v/>
      </c>
      <c r="X202" s="306">
        <f>V202-W202-C202</f>
        <v/>
      </c>
      <c r="Y202" s="306">
        <f>IF(AND(A202&lt;=$B$24, X202&gt;0), X202*$B$23, 0)</f>
        <v/>
      </c>
      <c r="Z202" s="306">
        <f>X202-Y202</f>
        <v/>
      </c>
      <c r="AA202" s="306">
        <f>IF(AND(A202=$B$19, $B$21=1), O202*$B$20, 0)</f>
        <v/>
      </c>
      <c r="AB202" s="306">
        <f>AB201+Z202+AA202</f>
        <v/>
      </c>
    </row>
    <row r="203">
      <c r="A203" s="306" t="n">
        <v>173</v>
      </c>
      <c r="B203" s="306">
        <f>CEILING(A203/12,1)</f>
        <v/>
      </c>
      <c r="C203" s="306">
        <f>IF(A203&lt;=12, $B$15/12, 0)</f>
        <v/>
      </c>
      <c r="D203" s="306">
        <f>INDEX('26. Team Comp'!$D$28:$R$28, B203) * 0.001 / 12</f>
        <v/>
      </c>
      <c r="E203" s="306">
        <f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+ (IF(MAX(0, A203 - $F$11 + 1)&lt;=0, 0, IF(MAX(0, A203 - $F$11 + 1)&lt;=6, 70 - (70-14)*(MAX(0, A203 - $F$11 + 1)-1)/5, IF(MAX(0, A203 - $F$11 + 1)&lt;=24, 14 - 14*(MAX(0, A203 - $F$11 + 1)-6)/18, 0)))) + (IF(MAX(0, A203 - $F$12 + 1)&lt;=0, 0, IF(MAX(0, A203 - $F$12 + 1)&lt;=6, 70 - (70-14)*(MAX(0, A203 - $F$12 + 1)-1)/5, IF(MAX(0, A203 - $F$12 + 1)&lt;=24, 14 - 14*(MAX(0, A203 - $F$12 + 1)-6)/18, 0)))) + (IF(MAX(0, A203 - $F$13 + 1)&lt;=0, 0, IF(MAX(0, A203 - $F$13 + 1)&lt;=6, 70 - (70-14)*(MAX(0, A203 - $F$13 + 1)-1)/5, IF(MAX(0, A203 - $F$13 + 1)&lt;=24, 14 - 14*(MAX(0, A203 - $F$13 + 1)-6)/18, 0)))) + (IF(MAX(0, A203 - $F$14 + 1)&lt;=0, 0, IF(MAX(0, A203 - $F$14 + 1)&lt;=6, 70 - (70-14)*(MAX(0, A203 - $F$14 + 1)-1)/5, IF(MAX(0, A203 - $F$14 + 1)&lt;=24, 14 - 14*(MAX(0, A203 - $F$14 + 1)-6)/18, 0)))) ) * 200 / 12 / 1000</f>
        <v/>
      </c>
      <c r="F203" s="306">
        <f>IF(A203&lt;$F$6,0,IF(AND($B$21=1,A203&gt;$B$19),0,$E$6*$G$6^MIN((A203-$F$6)/12,6)*MIN($G$6,0.85)^MAX(0,(A203-$F$6)/12-6)))</f>
        <v/>
      </c>
      <c r="G203" s="306">
        <f>IF(A203&lt;$F$7,0,IF(AND($B$21=1,A203&gt;$B$19),0,$E$7*$G$7^MIN((A203-$F$7)/12,6)*MIN($G$7,0.85)^MAX(0,(A203-$F$7)/12-6)))</f>
        <v/>
      </c>
      <c r="H203" s="306">
        <f>IF(A203&lt;$F$8,0,IF(AND($B$21=1,A203&gt;$B$19),0,$E$8*$G$8^MIN((A203-$F$8)/12,6)*MIN($G$8,0.85)^MAX(0,(A203-$F$8)/12-6)))</f>
        <v/>
      </c>
      <c r="I203" s="306">
        <f>IF(A203&lt;$F$9,0,IF(AND($B$21=1,A203&gt;$B$19),0,$E$9*$G$9^MIN((A203-$F$9)/12,6)*MIN($G$9,0.85)^MAX(0,(A203-$F$9)/12-6)))</f>
        <v/>
      </c>
      <c r="J203" s="306">
        <f>IF(A203&lt;$F$10,0,IF(AND($B$21=1,A203&gt;$B$19),0,$E$10*$G$10^MIN((A203-$F$10)/12,6)*MIN($G$10,0.85)^MAX(0,(A203-$F$10)/12-6)))</f>
        <v/>
      </c>
      <c r="K203" s="306">
        <f>IF(A203&lt;$F$11,0,IF(AND($B$21=1,A203&gt;$B$19),0,$E$11*$G$11^MIN((A203-$F$11)/12,6)*MIN($G$11,0.85)^MAX(0,(A203-$F$11)/12-6)))</f>
        <v/>
      </c>
      <c r="L203" s="306">
        <f>IF(A203&lt;$F$12,0,IF(AND($B$21=1,A203&gt;$B$19),0,$E$12*$G$12^MIN((A203-$F$12)/12,6)*MIN($G$12,0.85)^MAX(0,(A203-$F$12)/12-6)))</f>
        <v/>
      </c>
      <c r="M203" s="306">
        <f>IF(A203&lt;$F$13,0,IF(AND($B$21=1,A203&gt;$B$19),0,$E$13*$G$13^MIN((A203-$F$13)/12,6)*MIN($G$13,0.85)^MAX(0,(A203-$F$13)/12-6)))</f>
        <v/>
      </c>
      <c r="N203" s="306">
        <f>IF(A203&lt;$F$14,0,IF(AND($B$21=1,A203&gt;$B$19),0,$E$14*$G$14^MIN((A203-$F$14)/12,6)*MIN($G$14,0.85)^MAX(0,(A203-$F$14)/12-6)))</f>
        <v/>
      </c>
      <c r="O203" s="306">
        <f>SUM(F203:N203)</f>
        <v/>
      </c>
      <c r="P203" s="306">
        <f>O203/12</f>
        <v/>
      </c>
      <c r="Q203" s="306">
        <f>P203*$B$8</f>
        <v/>
      </c>
      <c r="R203" s="306">
        <f>P203*$B$9</f>
        <v/>
      </c>
      <c r="S203" s="306">
        <f>P203*$B$10</f>
        <v/>
      </c>
      <c r="T203" s="306">
        <f>P203-Q203-R203-S203-D203-E203</f>
        <v/>
      </c>
      <c r="U203" s="306">
        <f>MAX(0, T203 - $B$7*P203)</f>
        <v/>
      </c>
      <c r="V203" s="306">
        <f>T203-U203</f>
        <v/>
      </c>
      <c r="W203" s="306">
        <f>IF(A203=$F$6, $B$18*$B$16*$B$17/1000000, 0) + IF(A203=$F$7, $B$18*$B$16*$B$17/1000000, 0) + IF(A203=$F$8, $B$18*$B$16*$B$17/1000000, 0) + IF(A203=$F$9, $B$18*$B$16*$B$17/1000000, 0) + IF(A203=$F$10, $B$18*$B$16*$B$17/1000000, 0) + IF(A203=$F$11, $B$18*$B$16*$B$17/1000000, 0) + IF(A203=$F$12, $B$18*$B$16*$B$17/1000000, 0) + IF(A203=$F$13, $B$18*$B$16*$B$17/1000000, 0) + IF(A203=$F$14, $B$18*$B$16*$B$17/1000000, 0)</f>
        <v/>
      </c>
      <c r="X203" s="306">
        <f>V203-W203-C203</f>
        <v/>
      </c>
      <c r="Y203" s="306">
        <f>IF(AND(A203&lt;=$B$24, X203&gt;0), X203*$B$23, 0)</f>
        <v/>
      </c>
      <c r="Z203" s="306">
        <f>X203-Y203</f>
        <v/>
      </c>
      <c r="AA203" s="306">
        <f>IF(AND(A203=$B$19, $B$21=1), O203*$B$20, 0)</f>
        <v/>
      </c>
      <c r="AB203" s="306">
        <f>AB202+Z203+AA203</f>
        <v/>
      </c>
    </row>
    <row r="204">
      <c r="A204" s="306" t="n">
        <v>174</v>
      </c>
      <c r="B204" s="306">
        <f>CEILING(A204/12,1)</f>
        <v/>
      </c>
      <c r="C204" s="306">
        <f>IF(A204&lt;=12, $B$15/12, 0)</f>
        <v/>
      </c>
      <c r="D204" s="306">
        <f>INDEX('26. Team Comp'!$D$28:$R$28, B204) * 0.001 / 12</f>
        <v/>
      </c>
      <c r="E204" s="306">
        <f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+ (IF(MAX(0, A204 - $F$11 + 1)&lt;=0, 0, IF(MAX(0, A204 - $F$11 + 1)&lt;=6, 70 - (70-14)*(MAX(0, A204 - $F$11 + 1)-1)/5, IF(MAX(0, A204 - $F$11 + 1)&lt;=24, 14 - 14*(MAX(0, A204 - $F$11 + 1)-6)/18, 0)))) + (IF(MAX(0, A204 - $F$12 + 1)&lt;=0, 0, IF(MAX(0, A204 - $F$12 + 1)&lt;=6, 70 - (70-14)*(MAX(0, A204 - $F$12 + 1)-1)/5, IF(MAX(0, A204 - $F$12 + 1)&lt;=24, 14 - 14*(MAX(0, A204 - $F$12 + 1)-6)/18, 0)))) + (IF(MAX(0, A204 - $F$13 + 1)&lt;=0, 0, IF(MAX(0, A204 - $F$13 + 1)&lt;=6, 70 - (70-14)*(MAX(0, A204 - $F$13 + 1)-1)/5, IF(MAX(0, A204 - $F$13 + 1)&lt;=24, 14 - 14*(MAX(0, A204 - $F$13 + 1)-6)/18, 0)))) + (IF(MAX(0, A204 - $F$14 + 1)&lt;=0, 0, IF(MAX(0, A204 - $F$14 + 1)&lt;=6, 70 - (70-14)*(MAX(0, A204 - $F$14 + 1)-1)/5, IF(MAX(0, A204 - $F$14 + 1)&lt;=24, 14 - 14*(MAX(0, A204 - $F$14 + 1)-6)/18, 0)))) ) * 200 / 12 / 1000</f>
        <v/>
      </c>
      <c r="F204" s="306">
        <f>IF(A204&lt;$F$6,0,IF(AND($B$21=1,A204&gt;$B$19),0,$E$6*$G$6^MIN((A204-$F$6)/12,6)*MIN($G$6,0.85)^MAX(0,(A204-$F$6)/12-6)))</f>
        <v/>
      </c>
      <c r="G204" s="306">
        <f>IF(A204&lt;$F$7,0,IF(AND($B$21=1,A204&gt;$B$19),0,$E$7*$G$7^MIN((A204-$F$7)/12,6)*MIN($G$7,0.85)^MAX(0,(A204-$F$7)/12-6)))</f>
        <v/>
      </c>
      <c r="H204" s="306">
        <f>IF(A204&lt;$F$8,0,IF(AND($B$21=1,A204&gt;$B$19),0,$E$8*$G$8^MIN((A204-$F$8)/12,6)*MIN($G$8,0.85)^MAX(0,(A204-$F$8)/12-6)))</f>
        <v/>
      </c>
      <c r="I204" s="306">
        <f>IF(A204&lt;$F$9,0,IF(AND($B$21=1,A204&gt;$B$19),0,$E$9*$G$9^MIN((A204-$F$9)/12,6)*MIN($G$9,0.85)^MAX(0,(A204-$F$9)/12-6)))</f>
        <v/>
      </c>
      <c r="J204" s="306">
        <f>IF(A204&lt;$F$10,0,IF(AND($B$21=1,A204&gt;$B$19),0,$E$10*$G$10^MIN((A204-$F$10)/12,6)*MIN($G$10,0.85)^MAX(0,(A204-$F$10)/12-6)))</f>
        <v/>
      </c>
      <c r="K204" s="306">
        <f>IF(A204&lt;$F$11,0,IF(AND($B$21=1,A204&gt;$B$19),0,$E$11*$G$11^MIN((A204-$F$11)/12,6)*MIN($G$11,0.85)^MAX(0,(A204-$F$11)/12-6)))</f>
        <v/>
      </c>
      <c r="L204" s="306">
        <f>IF(A204&lt;$F$12,0,IF(AND($B$21=1,A204&gt;$B$19),0,$E$12*$G$12^MIN((A204-$F$12)/12,6)*MIN($G$12,0.85)^MAX(0,(A204-$F$12)/12-6)))</f>
        <v/>
      </c>
      <c r="M204" s="306">
        <f>IF(A204&lt;$F$13,0,IF(AND($B$21=1,A204&gt;$B$19),0,$E$13*$G$13^MIN((A204-$F$13)/12,6)*MIN($G$13,0.85)^MAX(0,(A204-$F$13)/12-6)))</f>
        <v/>
      </c>
      <c r="N204" s="306">
        <f>IF(A204&lt;$F$14,0,IF(AND($B$21=1,A204&gt;$B$19),0,$E$14*$G$14^MIN((A204-$F$14)/12,6)*MIN($G$14,0.85)^MAX(0,(A204-$F$14)/12-6)))</f>
        <v/>
      </c>
      <c r="O204" s="306">
        <f>SUM(F204:N204)</f>
        <v/>
      </c>
      <c r="P204" s="306">
        <f>O204/12</f>
        <v/>
      </c>
      <c r="Q204" s="306">
        <f>P204*$B$8</f>
        <v/>
      </c>
      <c r="R204" s="306">
        <f>P204*$B$9</f>
        <v/>
      </c>
      <c r="S204" s="306">
        <f>P204*$B$10</f>
        <v/>
      </c>
      <c r="T204" s="306">
        <f>P204-Q204-R204-S204-D204-E204</f>
        <v/>
      </c>
      <c r="U204" s="306">
        <f>MAX(0, T204 - $B$7*P204)</f>
        <v/>
      </c>
      <c r="V204" s="306">
        <f>T204-U204</f>
        <v/>
      </c>
      <c r="W204" s="306">
        <f>IF(A204=$F$6, $B$18*$B$16*$B$17/1000000, 0) + IF(A204=$F$7, $B$18*$B$16*$B$17/1000000, 0) + IF(A204=$F$8, $B$18*$B$16*$B$17/1000000, 0) + IF(A204=$F$9, $B$18*$B$16*$B$17/1000000, 0) + IF(A204=$F$10, $B$18*$B$16*$B$17/1000000, 0) + IF(A204=$F$11, $B$18*$B$16*$B$17/1000000, 0) + IF(A204=$F$12, $B$18*$B$16*$B$17/1000000, 0) + IF(A204=$F$13, $B$18*$B$16*$B$17/1000000, 0) + IF(A204=$F$14, $B$18*$B$16*$B$17/1000000, 0)</f>
        <v/>
      </c>
      <c r="X204" s="306">
        <f>V204-W204-C204</f>
        <v/>
      </c>
      <c r="Y204" s="306">
        <f>IF(AND(A204&lt;=$B$24, X204&gt;0), X204*$B$23, 0)</f>
        <v/>
      </c>
      <c r="Z204" s="306">
        <f>X204-Y204</f>
        <v/>
      </c>
      <c r="AA204" s="306">
        <f>IF(AND(A204=$B$19, $B$21=1), O204*$B$20, 0)</f>
        <v/>
      </c>
      <c r="AB204" s="306">
        <f>AB203+Z204+AA204</f>
        <v/>
      </c>
    </row>
    <row r="205">
      <c r="A205" s="306" t="n">
        <v>175</v>
      </c>
      <c r="B205" s="306">
        <f>CEILING(A205/12,1)</f>
        <v/>
      </c>
      <c r="C205" s="306">
        <f>IF(A205&lt;=12, $B$15/12, 0)</f>
        <v/>
      </c>
      <c r="D205" s="306">
        <f>INDEX('26. Team Comp'!$D$28:$R$28, B205) * 0.001 / 12</f>
        <v/>
      </c>
      <c r="E205" s="306">
        <f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+ (IF(MAX(0, A205 - $F$11 + 1)&lt;=0, 0, IF(MAX(0, A205 - $F$11 + 1)&lt;=6, 70 - (70-14)*(MAX(0, A205 - $F$11 + 1)-1)/5, IF(MAX(0, A205 - $F$11 + 1)&lt;=24, 14 - 14*(MAX(0, A205 - $F$11 + 1)-6)/18, 0)))) + (IF(MAX(0, A205 - $F$12 + 1)&lt;=0, 0, IF(MAX(0, A205 - $F$12 + 1)&lt;=6, 70 - (70-14)*(MAX(0, A205 - $F$12 + 1)-1)/5, IF(MAX(0, A205 - $F$12 + 1)&lt;=24, 14 - 14*(MAX(0, A205 - $F$12 + 1)-6)/18, 0)))) + (IF(MAX(0, A205 - $F$13 + 1)&lt;=0, 0, IF(MAX(0, A205 - $F$13 + 1)&lt;=6, 70 - (70-14)*(MAX(0, A205 - $F$13 + 1)-1)/5, IF(MAX(0, A205 - $F$13 + 1)&lt;=24, 14 - 14*(MAX(0, A205 - $F$13 + 1)-6)/18, 0)))) + (IF(MAX(0, A205 - $F$14 + 1)&lt;=0, 0, IF(MAX(0, A205 - $F$14 + 1)&lt;=6, 70 - (70-14)*(MAX(0, A205 - $F$14 + 1)-1)/5, IF(MAX(0, A205 - $F$14 + 1)&lt;=24, 14 - 14*(MAX(0, A205 - $F$14 + 1)-6)/18, 0)))) ) * 200 / 12 / 1000</f>
        <v/>
      </c>
      <c r="F205" s="306">
        <f>IF(A205&lt;$F$6,0,IF(AND($B$21=1,A205&gt;$B$19),0,$E$6*$G$6^MIN((A205-$F$6)/12,6)*MIN($G$6,0.85)^MAX(0,(A205-$F$6)/12-6)))</f>
        <v/>
      </c>
      <c r="G205" s="306">
        <f>IF(A205&lt;$F$7,0,IF(AND($B$21=1,A205&gt;$B$19),0,$E$7*$G$7^MIN((A205-$F$7)/12,6)*MIN($G$7,0.85)^MAX(0,(A205-$F$7)/12-6)))</f>
        <v/>
      </c>
      <c r="H205" s="306">
        <f>IF(A205&lt;$F$8,0,IF(AND($B$21=1,A205&gt;$B$19),0,$E$8*$G$8^MIN((A205-$F$8)/12,6)*MIN($G$8,0.85)^MAX(0,(A205-$F$8)/12-6)))</f>
        <v/>
      </c>
      <c r="I205" s="306">
        <f>IF(A205&lt;$F$9,0,IF(AND($B$21=1,A205&gt;$B$19),0,$E$9*$G$9^MIN((A205-$F$9)/12,6)*MIN($G$9,0.85)^MAX(0,(A205-$F$9)/12-6)))</f>
        <v/>
      </c>
      <c r="J205" s="306">
        <f>IF(A205&lt;$F$10,0,IF(AND($B$21=1,A205&gt;$B$19),0,$E$10*$G$10^MIN((A205-$F$10)/12,6)*MIN($G$10,0.85)^MAX(0,(A205-$F$10)/12-6)))</f>
        <v/>
      </c>
      <c r="K205" s="306">
        <f>IF(A205&lt;$F$11,0,IF(AND($B$21=1,A205&gt;$B$19),0,$E$11*$G$11^MIN((A205-$F$11)/12,6)*MIN($G$11,0.85)^MAX(0,(A205-$F$11)/12-6)))</f>
        <v/>
      </c>
      <c r="L205" s="306">
        <f>IF(A205&lt;$F$12,0,IF(AND($B$21=1,A205&gt;$B$19),0,$E$12*$G$12^MIN((A205-$F$12)/12,6)*MIN($G$12,0.85)^MAX(0,(A205-$F$12)/12-6)))</f>
        <v/>
      </c>
      <c r="M205" s="306">
        <f>IF(A205&lt;$F$13,0,IF(AND($B$21=1,A205&gt;$B$19),0,$E$13*$G$13^MIN((A205-$F$13)/12,6)*MIN($G$13,0.85)^MAX(0,(A205-$F$13)/12-6)))</f>
        <v/>
      </c>
      <c r="N205" s="306">
        <f>IF(A205&lt;$F$14,0,IF(AND($B$21=1,A205&gt;$B$19),0,$E$14*$G$14^MIN((A205-$F$14)/12,6)*MIN($G$14,0.85)^MAX(0,(A205-$F$14)/12-6)))</f>
        <v/>
      </c>
      <c r="O205" s="306">
        <f>SUM(F205:N205)</f>
        <v/>
      </c>
      <c r="P205" s="306">
        <f>O205/12</f>
        <v/>
      </c>
      <c r="Q205" s="306">
        <f>P205*$B$8</f>
        <v/>
      </c>
      <c r="R205" s="306">
        <f>P205*$B$9</f>
        <v/>
      </c>
      <c r="S205" s="306">
        <f>P205*$B$10</f>
        <v/>
      </c>
      <c r="T205" s="306">
        <f>P205-Q205-R205-S205-D205-E205</f>
        <v/>
      </c>
      <c r="U205" s="306">
        <f>MAX(0, T205 - $B$7*P205)</f>
        <v/>
      </c>
      <c r="V205" s="306">
        <f>T205-U205</f>
        <v/>
      </c>
      <c r="W205" s="306">
        <f>IF(A205=$F$6, $B$18*$B$16*$B$17/1000000, 0) + IF(A205=$F$7, $B$18*$B$16*$B$17/1000000, 0) + IF(A205=$F$8, $B$18*$B$16*$B$17/1000000, 0) + IF(A205=$F$9, $B$18*$B$16*$B$17/1000000, 0) + IF(A205=$F$10, $B$18*$B$16*$B$17/1000000, 0) + IF(A205=$F$11, $B$18*$B$16*$B$17/1000000, 0) + IF(A205=$F$12, $B$18*$B$16*$B$17/1000000, 0) + IF(A205=$F$13, $B$18*$B$16*$B$17/1000000, 0) + IF(A205=$F$14, $B$18*$B$16*$B$17/1000000, 0)</f>
        <v/>
      </c>
      <c r="X205" s="306">
        <f>V205-W205-C205</f>
        <v/>
      </c>
      <c r="Y205" s="306">
        <f>IF(AND(A205&lt;=$B$24, X205&gt;0), X205*$B$23, 0)</f>
        <v/>
      </c>
      <c r="Z205" s="306">
        <f>X205-Y205</f>
        <v/>
      </c>
      <c r="AA205" s="306">
        <f>IF(AND(A205=$B$19, $B$21=1), O205*$B$20, 0)</f>
        <v/>
      </c>
      <c r="AB205" s="306">
        <f>AB204+Z205+AA205</f>
        <v/>
      </c>
    </row>
    <row r="206">
      <c r="A206" s="306" t="n">
        <v>176</v>
      </c>
      <c r="B206" s="306">
        <f>CEILING(A206/12,1)</f>
        <v/>
      </c>
      <c r="C206" s="306">
        <f>IF(A206&lt;=12, $B$15/12, 0)</f>
        <v/>
      </c>
      <c r="D206" s="306">
        <f>INDEX('26. Team Comp'!$D$28:$R$28, B206) * 0.001 / 12</f>
        <v/>
      </c>
      <c r="E206" s="306">
        <f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+ (IF(MAX(0, A206 - $F$11 + 1)&lt;=0, 0, IF(MAX(0, A206 - $F$11 + 1)&lt;=6, 70 - (70-14)*(MAX(0, A206 - $F$11 + 1)-1)/5, IF(MAX(0, A206 - $F$11 + 1)&lt;=24, 14 - 14*(MAX(0, A206 - $F$11 + 1)-6)/18, 0)))) + (IF(MAX(0, A206 - $F$12 + 1)&lt;=0, 0, IF(MAX(0, A206 - $F$12 + 1)&lt;=6, 70 - (70-14)*(MAX(0, A206 - $F$12 + 1)-1)/5, IF(MAX(0, A206 - $F$12 + 1)&lt;=24, 14 - 14*(MAX(0, A206 - $F$12 + 1)-6)/18, 0)))) + (IF(MAX(0, A206 - $F$13 + 1)&lt;=0, 0, IF(MAX(0, A206 - $F$13 + 1)&lt;=6, 70 - (70-14)*(MAX(0, A206 - $F$13 + 1)-1)/5, IF(MAX(0, A206 - $F$13 + 1)&lt;=24, 14 - 14*(MAX(0, A206 - $F$13 + 1)-6)/18, 0)))) + (IF(MAX(0, A206 - $F$14 + 1)&lt;=0, 0, IF(MAX(0, A206 - $F$14 + 1)&lt;=6, 70 - (70-14)*(MAX(0, A206 - $F$14 + 1)-1)/5, IF(MAX(0, A206 - $F$14 + 1)&lt;=24, 14 - 14*(MAX(0, A206 - $F$14 + 1)-6)/18, 0)))) ) * 200 / 12 / 1000</f>
        <v/>
      </c>
      <c r="F206" s="306">
        <f>IF(A206&lt;$F$6,0,IF(AND($B$21=1,A206&gt;$B$19),0,$E$6*$G$6^MIN((A206-$F$6)/12,6)*MIN($G$6,0.85)^MAX(0,(A206-$F$6)/12-6)))</f>
        <v/>
      </c>
      <c r="G206" s="306">
        <f>IF(A206&lt;$F$7,0,IF(AND($B$21=1,A206&gt;$B$19),0,$E$7*$G$7^MIN((A206-$F$7)/12,6)*MIN($G$7,0.85)^MAX(0,(A206-$F$7)/12-6)))</f>
        <v/>
      </c>
      <c r="H206" s="306">
        <f>IF(A206&lt;$F$8,0,IF(AND($B$21=1,A206&gt;$B$19),0,$E$8*$G$8^MIN((A206-$F$8)/12,6)*MIN($G$8,0.85)^MAX(0,(A206-$F$8)/12-6)))</f>
        <v/>
      </c>
      <c r="I206" s="306">
        <f>IF(A206&lt;$F$9,0,IF(AND($B$21=1,A206&gt;$B$19),0,$E$9*$G$9^MIN((A206-$F$9)/12,6)*MIN($G$9,0.85)^MAX(0,(A206-$F$9)/12-6)))</f>
        <v/>
      </c>
      <c r="J206" s="306">
        <f>IF(A206&lt;$F$10,0,IF(AND($B$21=1,A206&gt;$B$19),0,$E$10*$G$10^MIN((A206-$F$10)/12,6)*MIN($G$10,0.85)^MAX(0,(A206-$F$10)/12-6)))</f>
        <v/>
      </c>
      <c r="K206" s="306">
        <f>IF(A206&lt;$F$11,0,IF(AND($B$21=1,A206&gt;$B$19),0,$E$11*$G$11^MIN((A206-$F$11)/12,6)*MIN($G$11,0.85)^MAX(0,(A206-$F$11)/12-6)))</f>
        <v/>
      </c>
      <c r="L206" s="306">
        <f>IF(A206&lt;$F$12,0,IF(AND($B$21=1,A206&gt;$B$19),0,$E$12*$G$12^MIN((A206-$F$12)/12,6)*MIN($G$12,0.85)^MAX(0,(A206-$F$12)/12-6)))</f>
        <v/>
      </c>
      <c r="M206" s="306">
        <f>IF(A206&lt;$F$13,0,IF(AND($B$21=1,A206&gt;$B$19),0,$E$13*$G$13^MIN((A206-$F$13)/12,6)*MIN($G$13,0.85)^MAX(0,(A206-$F$13)/12-6)))</f>
        <v/>
      </c>
      <c r="N206" s="306">
        <f>IF(A206&lt;$F$14,0,IF(AND($B$21=1,A206&gt;$B$19),0,$E$14*$G$14^MIN((A206-$F$14)/12,6)*MIN($G$14,0.85)^MAX(0,(A206-$F$14)/12-6)))</f>
        <v/>
      </c>
      <c r="O206" s="306">
        <f>SUM(F206:N206)</f>
        <v/>
      </c>
      <c r="P206" s="306">
        <f>O206/12</f>
        <v/>
      </c>
      <c r="Q206" s="306">
        <f>P206*$B$8</f>
        <v/>
      </c>
      <c r="R206" s="306">
        <f>P206*$B$9</f>
        <v/>
      </c>
      <c r="S206" s="306">
        <f>P206*$B$10</f>
        <v/>
      </c>
      <c r="T206" s="306">
        <f>P206-Q206-R206-S206-D206-E206</f>
        <v/>
      </c>
      <c r="U206" s="306">
        <f>MAX(0, T206 - $B$7*P206)</f>
        <v/>
      </c>
      <c r="V206" s="306">
        <f>T206-U206</f>
        <v/>
      </c>
      <c r="W206" s="306">
        <f>IF(A206=$F$6, $B$18*$B$16*$B$17/1000000, 0) + IF(A206=$F$7, $B$18*$B$16*$B$17/1000000, 0) + IF(A206=$F$8, $B$18*$B$16*$B$17/1000000, 0) + IF(A206=$F$9, $B$18*$B$16*$B$17/1000000, 0) + IF(A206=$F$10, $B$18*$B$16*$B$17/1000000, 0) + IF(A206=$F$11, $B$18*$B$16*$B$17/1000000, 0) + IF(A206=$F$12, $B$18*$B$16*$B$17/1000000, 0) + IF(A206=$F$13, $B$18*$B$16*$B$17/1000000, 0) + IF(A206=$F$14, $B$18*$B$16*$B$17/1000000, 0)</f>
        <v/>
      </c>
      <c r="X206" s="306">
        <f>V206-W206-C206</f>
        <v/>
      </c>
      <c r="Y206" s="306">
        <f>IF(AND(A206&lt;=$B$24, X206&gt;0), X206*$B$23, 0)</f>
        <v/>
      </c>
      <c r="Z206" s="306">
        <f>X206-Y206</f>
        <v/>
      </c>
      <c r="AA206" s="306">
        <f>IF(AND(A206=$B$19, $B$21=1), O206*$B$20, 0)</f>
        <v/>
      </c>
      <c r="AB206" s="306">
        <f>AB205+Z206+AA206</f>
        <v/>
      </c>
    </row>
    <row r="207">
      <c r="A207" s="306" t="n">
        <v>177</v>
      </c>
      <c r="B207" s="306">
        <f>CEILING(A207/12,1)</f>
        <v/>
      </c>
      <c r="C207" s="306">
        <f>IF(A207&lt;=12, $B$15/12, 0)</f>
        <v/>
      </c>
      <c r="D207" s="306">
        <f>INDEX('26. Team Comp'!$D$28:$R$28, B207) * 0.001 / 12</f>
        <v/>
      </c>
      <c r="E207" s="306">
        <f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+ (IF(MAX(0, A207 - $F$11 + 1)&lt;=0, 0, IF(MAX(0, A207 - $F$11 + 1)&lt;=6, 70 - (70-14)*(MAX(0, A207 - $F$11 + 1)-1)/5, IF(MAX(0, A207 - $F$11 + 1)&lt;=24, 14 - 14*(MAX(0, A207 - $F$11 + 1)-6)/18, 0)))) + (IF(MAX(0, A207 - $F$12 + 1)&lt;=0, 0, IF(MAX(0, A207 - $F$12 + 1)&lt;=6, 70 - (70-14)*(MAX(0, A207 - $F$12 + 1)-1)/5, IF(MAX(0, A207 - $F$12 + 1)&lt;=24, 14 - 14*(MAX(0, A207 - $F$12 + 1)-6)/18, 0)))) + (IF(MAX(0, A207 - $F$13 + 1)&lt;=0, 0, IF(MAX(0, A207 - $F$13 + 1)&lt;=6, 70 - (70-14)*(MAX(0, A207 - $F$13 + 1)-1)/5, IF(MAX(0, A207 - $F$13 + 1)&lt;=24, 14 - 14*(MAX(0, A207 - $F$13 + 1)-6)/18, 0)))) + (IF(MAX(0, A207 - $F$14 + 1)&lt;=0, 0, IF(MAX(0, A207 - $F$14 + 1)&lt;=6, 70 - (70-14)*(MAX(0, A207 - $F$14 + 1)-1)/5, IF(MAX(0, A207 - $F$14 + 1)&lt;=24, 14 - 14*(MAX(0, A207 - $F$14 + 1)-6)/18, 0)))) ) * 200 / 12 / 1000</f>
        <v/>
      </c>
      <c r="F207" s="306">
        <f>IF(A207&lt;$F$6,0,IF(AND($B$21=1,A207&gt;$B$19),0,$E$6*$G$6^MIN((A207-$F$6)/12,6)*MIN($G$6,0.85)^MAX(0,(A207-$F$6)/12-6)))</f>
        <v/>
      </c>
      <c r="G207" s="306">
        <f>IF(A207&lt;$F$7,0,IF(AND($B$21=1,A207&gt;$B$19),0,$E$7*$G$7^MIN((A207-$F$7)/12,6)*MIN($G$7,0.85)^MAX(0,(A207-$F$7)/12-6)))</f>
        <v/>
      </c>
      <c r="H207" s="306">
        <f>IF(A207&lt;$F$8,0,IF(AND($B$21=1,A207&gt;$B$19),0,$E$8*$G$8^MIN((A207-$F$8)/12,6)*MIN($G$8,0.85)^MAX(0,(A207-$F$8)/12-6)))</f>
        <v/>
      </c>
      <c r="I207" s="306">
        <f>IF(A207&lt;$F$9,0,IF(AND($B$21=1,A207&gt;$B$19),0,$E$9*$G$9^MIN((A207-$F$9)/12,6)*MIN($G$9,0.85)^MAX(0,(A207-$F$9)/12-6)))</f>
        <v/>
      </c>
      <c r="J207" s="306">
        <f>IF(A207&lt;$F$10,0,IF(AND($B$21=1,A207&gt;$B$19),0,$E$10*$G$10^MIN((A207-$F$10)/12,6)*MIN($G$10,0.85)^MAX(0,(A207-$F$10)/12-6)))</f>
        <v/>
      </c>
      <c r="K207" s="306">
        <f>IF(A207&lt;$F$11,0,IF(AND($B$21=1,A207&gt;$B$19),0,$E$11*$G$11^MIN((A207-$F$11)/12,6)*MIN($G$11,0.85)^MAX(0,(A207-$F$11)/12-6)))</f>
        <v/>
      </c>
      <c r="L207" s="306">
        <f>IF(A207&lt;$F$12,0,IF(AND($B$21=1,A207&gt;$B$19),0,$E$12*$G$12^MIN((A207-$F$12)/12,6)*MIN($G$12,0.85)^MAX(0,(A207-$F$12)/12-6)))</f>
        <v/>
      </c>
      <c r="M207" s="306">
        <f>IF(A207&lt;$F$13,0,IF(AND($B$21=1,A207&gt;$B$19),0,$E$13*$G$13^MIN((A207-$F$13)/12,6)*MIN($G$13,0.85)^MAX(0,(A207-$F$13)/12-6)))</f>
        <v/>
      </c>
      <c r="N207" s="306">
        <f>IF(A207&lt;$F$14,0,IF(AND($B$21=1,A207&gt;$B$19),0,$E$14*$G$14^MIN((A207-$F$14)/12,6)*MIN($G$14,0.85)^MAX(0,(A207-$F$14)/12-6)))</f>
        <v/>
      </c>
      <c r="O207" s="306">
        <f>SUM(F207:N207)</f>
        <v/>
      </c>
      <c r="P207" s="306">
        <f>O207/12</f>
        <v/>
      </c>
      <c r="Q207" s="306">
        <f>P207*$B$8</f>
        <v/>
      </c>
      <c r="R207" s="306">
        <f>P207*$B$9</f>
        <v/>
      </c>
      <c r="S207" s="306">
        <f>P207*$B$10</f>
        <v/>
      </c>
      <c r="T207" s="306">
        <f>P207-Q207-R207-S207-D207-E207</f>
        <v/>
      </c>
      <c r="U207" s="306">
        <f>MAX(0, T207 - $B$7*P207)</f>
        <v/>
      </c>
      <c r="V207" s="306">
        <f>T207-U207</f>
        <v/>
      </c>
      <c r="W207" s="306">
        <f>IF(A207=$F$6, $B$18*$B$16*$B$17/1000000, 0) + IF(A207=$F$7, $B$18*$B$16*$B$17/1000000, 0) + IF(A207=$F$8, $B$18*$B$16*$B$17/1000000, 0) + IF(A207=$F$9, $B$18*$B$16*$B$17/1000000, 0) + IF(A207=$F$10, $B$18*$B$16*$B$17/1000000, 0) + IF(A207=$F$11, $B$18*$B$16*$B$17/1000000, 0) + IF(A207=$F$12, $B$18*$B$16*$B$17/1000000, 0) + IF(A207=$F$13, $B$18*$B$16*$B$17/1000000, 0) + IF(A207=$F$14, $B$18*$B$16*$B$17/1000000, 0)</f>
        <v/>
      </c>
      <c r="X207" s="306">
        <f>V207-W207-C207</f>
        <v/>
      </c>
      <c r="Y207" s="306">
        <f>IF(AND(A207&lt;=$B$24, X207&gt;0), X207*$B$23, 0)</f>
        <v/>
      </c>
      <c r="Z207" s="306">
        <f>X207-Y207</f>
        <v/>
      </c>
      <c r="AA207" s="306">
        <f>IF(AND(A207=$B$19, $B$21=1), O207*$B$20, 0)</f>
        <v/>
      </c>
      <c r="AB207" s="306">
        <f>AB206+Z207+AA207</f>
        <v/>
      </c>
    </row>
    <row r="208">
      <c r="A208" s="306" t="n">
        <v>178</v>
      </c>
      <c r="B208" s="306">
        <f>CEILING(A208/12,1)</f>
        <v/>
      </c>
      <c r="C208" s="306">
        <f>IF(A208&lt;=12, $B$15/12, 0)</f>
        <v/>
      </c>
      <c r="D208" s="306">
        <f>INDEX('26. Team Comp'!$D$28:$R$28, B208) * 0.001 / 12</f>
        <v/>
      </c>
      <c r="E208" s="306">
        <f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+ (IF(MAX(0, A208 - $F$11 + 1)&lt;=0, 0, IF(MAX(0, A208 - $F$11 + 1)&lt;=6, 70 - (70-14)*(MAX(0, A208 - $F$11 + 1)-1)/5, IF(MAX(0, A208 - $F$11 + 1)&lt;=24, 14 - 14*(MAX(0, A208 - $F$11 + 1)-6)/18, 0)))) + (IF(MAX(0, A208 - $F$12 + 1)&lt;=0, 0, IF(MAX(0, A208 - $F$12 + 1)&lt;=6, 70 - (70-14)*(MAX(0, A208 - $F$12 + 1)-1)/5, IF(MAX(0, A208 - $F$12 + 1)&lt;=24, 14 - 14*(MAX(0, A208 - $F$12 + 1)-6)/18, 0)))) + (IF(MAX(0, A208 - $F$13 + 1)&lt;=0, 0, IF(MAX(0, A208 - $F$13 + 1)&lt;=6, 70 - (70-14)*(MAX(0, A208 - $F$13 + 1)-1)/5, IF(MAX(0, A208 - $F$13 + 1)&lt;=24, 14 - 14*(MAX(0, A208 - $F$13 + 1)-6)/18, 0)))) + (IF(MAX(0, A208 - $F$14 + 1)&lt;=0, 0, IF(MAX(0, A208 - $F$14 + 1)&lt;=6, 70 - (70-14)*(MAX(0, A208 - $F$14 + 1)-1)/5, IF(MAX(0, A208 - $F$14 + 1)&lt;=24, 14 - 14*(MAX(0, A208 - $F$14 + 1)-6)/18, 0)))) ) * 200 / 12 / 1000</f>
        <v/>
      </c>
      <c r="F208" s="306">
        <f>IF(A208&lt;$F$6,0,IF(AND($B$21=1,A208&gt;$B$19),0,$E$6*$G$6^MIN((A208-$F$6)/12,6)*MIN($G$6,0.85)^MAX(0,(A208-$F$6)/12-6)))</f>
        <v/>
      </c>
      <c r="G208" s="306">
        <f>IF(A208&lt;$F$7,0,IF(AND($B$21=1,A208&gt;$B$19),0,$E$7*$G$7^MIN((A208-$F$7)/12,6)*MIN($G$7,0.85)^MAX(0,(A208-$F$7)/12-6)))</f>
        <v/>
      </c>
      <c r="H208" s="306">
        <f>IF(A208&lt;$F$8,0,IF(AND($B$21=1,A208&gt;$B$19),0,$E$8*$G$8^MIN((A208-$F$8)/12,6)*MIN($G$8,0.85)^MAX(0,(A208-$F$8)/12-6)))</f>
        <v/>
      </c>
      <c r="I208" s="306">
        <f>IF(A208&lt;$F$9,0,IF(AND($B$21=1,A208&gt;$B$19),0,$E$9*$G$9^MIN((A208-$F$9)/12,6)*MIN($G$9,0.85)^MAX(0,(A208-$F$9)/12-6)))</f>
        <v/>
      </c>
      <c r="J208" s="306">
        <f>IF(A208&lt;$F$10,0,IF(AND($B$21=1,A208&gt;$B$19),0,$E$10*$G$10^MIN((A208-$F$10)/12,6)*MIN($G$10,0.85)^MAX(0,(A208-$F$10)/12-6)))</f>
        <v/>
      </c>
      <c r="K208" s="306">
        <f>IF(A208&lt;$F$11,0,IF(AND($B$21=1,A208&gt;$B$19),0,$E$11*$G$11^MIN((A208-$F$11)/12,6)*MIN($G$11,0.85)^MAX(0,(A208-$F$11)/12-6)))</f>
        <v/>
      </c>
      <c r="L208" s="306">
        <f>IF(A208&lt;$F$12,0,IF(AND($B$21=1,A208&gt;$B$19),0,$E$12*$G$12^MIN((A208-$F$12)/12,6)*MIN($G$12,0.85)^MAX(0,(A208-$F$12)/12-6)))</f>
        <v/>
      </c>
      <c r="M208" s="306">
        <f>IF(A208&lt;$F$13,0,IF(AND($B$21=1,A208&gt;$B$19),0,$E$13*$G$13^MIN((A208-$F$13)/12,6)*MIN($G$13,0.85)^MAX(0,(A208-$F$13)/12-6)))</f>
        <v/>
      </c>
      <c r="N208" s="306">
        <f>IF(A208&lt;$F$14,0,IF(AND($B$21=1,A208&gt;$B$19),0,$E$14*$G$14^MIN((A208-$F$14)/12,6)*MIN($G$14,0.85)^MAX(0,(A208-$F$14)/12-6)))</f>
        <v/>
      </c>
      <c r="O208" s="306">
        <f>SUM(F208:N208)</f>
        <v/>
      </c>
      <c r="P208" s="306">
        <f>O208/12</f>
        <v/>
      </c>
      <c r="Q208" s="306">
        <f>P208*$B$8</f>
        <v/>
      </c>
      <c r="R208" s="306">
        <f>P208*$B$9</f>
        <v/>
      </c>
      <c r="S208" s="306">
        <f>P208*$B$10</f>
        <v/>
      </c>
      <c r="T208" s="306">
        <f>P208-Q208-R208-S208-D208-E208</f>
        <v/>
      </c>
      <c r="U208" s="306">
        <f>MAX(0, T208 - $B$7*P208)</f>
        <v/>
      </c>
      <c r="V208" s="306">
        <f>T208-U208</f>
        <v/>
      </c>
      <c r="W208" s="306">
        <f>IF(A208=$F$6, $B$18*$B$16*$B$17/1000000, 0) + IF(A208=$F$7, $B$18*$B$16*$B$17/1000000, 0) + IF(A208=$F$8, $B$18*$B$16*$B$17/1000000, 0) + IF(A208=$F$9, $B$18*$B$16*$B$17/1000000, 0) + IF(A208=$F$10, $B$18*$B$16*$B$17/1000000, 0) + IF(A208=$F$11, $B$18*$B$16*$B$17/1000000, 0) + IF(A208=$F$12, $B$18*$B$16*$B$17/1000000, 0) + IF(A208=$F$13, $B$18*$B$16*$B$17/1000000, 0) + IF(A208=$F$14, $B$18*$B$16*$B$17/1000000, 0)</f>
        <v/>
      </c>
      <c r="X208" s="306">
        <f>V208-W208-C208</f>
        <v/>
      </c>
      <c r="Y208" s="306">
        <f>IF(AND(A208&lt;=$B$24, X208&gt;0), X208*$B$23, 0)</f>
        <v/>
      </c>
      <c r="Z208" s="306">
        <f>X208-Y208</f>
        <v/>
      </c>
      <c r="AA208" s="306">
        <f>IF(AND(A208=$B$19, $B$21=1), O208*$B$20, 0)</f>
        <v/>
      </c>
      <c r="AB208" s="306">
        <f>AB207+Z208+AA208</f>
        <v/>
      </c>
    </row>
    <row r="209">
      <c r="A209" s="306" t="n">
        <v>179</v>
      </c>
      <c r="B209" s="306">
        <f>CEILING(A209/12,1)</f>
        <v/>
      </c>
      <c r="C209" s="306">
        <f>IF(A209&lt;=12, $B$15/12, 0)</f>
        <v/>
      </c>
      <c r="D209" s="306">
        <f>INDEX('26. Team Comp'!$D$28:$R$28, B209) * 0.001 / 12</f>
        <v/>
      </c>
      <c r="E209" s="306">
        <f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+ (IF(MAX(0, A209 - $F$11 + 1)&lt;=0, 0, IF(MAX(0, A209 - $F$11 + 1)&lt;=6, 70 - (70-14)*(MAX(0, A209 - $F$11 + 1)-1)/5, IF(MAX(0, A209 - $F$11 + 1)&lt;=24, 14 - 14*(MAX(0, A209 - $F$11 + 1)-6)/18, 0)))) + (IF(MAX(0, A209 - $F$12 + 1)&lt;=0, 0, IF(MAX(0, A209 - $F$12 + 1)&lt;=6, 70 - (70-14)*(MAX(0, A209 - $F$12 + 1)-1)/5, IF(MAX(0, A209 - $F$12 + 1)&lt;=24, 14 - 14*(MAX(0, A209 - $F$12 + 1)-6)/18, 0)))) + (IF(MAX(0, A209 - $F$13 + 1)&lt;=0, 0, IF(MAX(0, A209 - $F$13 + 1)&lt;=6, 70 - (70-14)*(MAX(0, A209 - $F$13 + 1)-1)/5, IF(MAX(0, A209 - $F$13 + 1)&lt;=24, 14 - 14*(MAX(0, A209 - $F$13 + 1)-6)/18, 0)))) + (IF(MAX(0, A209 - $F$14 + 1)&lt;=0, 0, IF(MAX(0, A209 - $F$14 + 1)&lt;=6, 70 - (70-14)*(MAX(0, A209 - $F$14 + 1)-1)/5, IF(MAX(0, A209 - $F$14 + 1)&lt;=24, 14 - 14*(MAX(0, A209 - $F$14 + 1)-6)/18, 0)))) ) * 200 / 12 / 1000</f>
        <v/>
      </c>
      <c r="F209" s="306">
        <f>IF(A209&lt;$F$6,0,IF(AND($B$21=1,A209&gt;$B$19),0,$E$6*$G$6^MIN((A209-$F$6)/12,6)*MIN($G$6,0.85)^MAX(0,(A209-$F$6)/12-6)))</f>
        <v/>
      </c>
      <c r="G209" s="306">
        <f>IF(A209&lt;$F$7,0,IF(AND($B$21=1,A209&gt;$B$19),0,$E$7*$G$7^MIN((A209-$F$7)/12,6)*MIN($G$7,0.85)^MAX(0,(A209-$F$7)/12-6)))</f>
        <v/>
      </c>
      <c r="H209" s="306">
        <f>IF(A209&lt;$F$8,0,IF(AND($B$21=1,A209&gt;$B$19),0,$E$8*$G$8^MIN((A209-$F$8)/12,6)*MIN($G$8,0.85)^MAX(0,(A209-$F$8)/12-6)))</f>
        <v/>
      </c>
      <c r="I209" s="306">
        <f>IF(A209&lt;$F$9,0,IF(AND($B$21=1,A209&gt;$B$19),0,$E$9*$G$9^MIN((A209-$F$9)/12,6)*MIN($G$9,0.85)^MAX(0,(A209-$F$9)/12-6)))</f>
        <v/>
      </c>
      <c r="J209" s="306">
        <f>IF(A209&lt;$F$10,0,IF(AND($B$21=1,A209&gt;$B$19),0,$E$10*$G$10^MIN((A209-$F$10)/12,6)*MIN($G$10,0.85)^MAX(0,(A209-$F$10)/12-6)))</f>
        <v/>
      </c>
      <c r="K209" s="306">
        <f>IF(A209&lt;$F$11,0,IF(AND($B$21=1,A209&gt;$B$19),0,$E$11*$G$11^MIN((A209-$F$11)/12,6)*MIN($G$11,0.85)^MAX(0,(A209-$F$11)/12-6)))</f>
        <v/>
      </c>
      <c r="L209" s="306">
        <f>IF(A209&lt;$F$12,0,IF(AND($B$21=1,A209&gt;$B$19),0,$E$12*$G$12^MIN((A209-$F$12)/12,6)*MIN($G$12,0.85)^MAX(0,(A209-$F$12)/12-6)))</f>
        <v/>
      </c>
      <c r="M209" s="306">
        <f>IF(A209&lt;$F$13,0,IF(AND($B$21=1,A209&gt;$B$19),0,$E$13*$G$13^MIN((A209-$F$13)/12,6)*MIN($G$13,0.85)^MAX(0,(A209-$F$13)/12-6)))</f>
        <v/>
      </c>
      <c r="N209" s="306">
        <f>IF(A209&lt;$F$14,0,IF(AND($B$21=1,A209&gt;$B$19),0,$E$14*$G$14^MIN((A209-$F$14)/12,6)*MIN($G$14,0.85)^MAX(0,(A209-$F$14)/12-6)))</f>
        <v/>
      </c>
      <c r="O209" s="306">
        <f>SUM(F209:N209)</f>
        <v/>
      </c>
      <c r="P209" s="306">
        <f>O209/12</f>
        <v/>
      </c>
      <c r="Q209" s="306">
        <f>P209*$B$8</f>
        <v/>
      </c>
      <c r="R209" s="306">
        <f>P209*$B$9</f>
        <v/>
      </c>
      <c r="S209" s="306">
        <f>P209*$B$10</f>
        <v/>
      </c>
      <c r="T209" s="306">
        <f>P209-Q209-R209-S209-D209-E209</f>
        <v/>
      </c>
      <c r="U209" s="306">
        <f>MAX(0, T209 - $B$7*P209)</f>
        <v/>
      </c>
      <c r="V209" s="306">
        <f>T209-U209</f>
        <v/>
      </c>
      <c r="W209" s="306">
        <f>IF(A209=$F$6, $B$18*$B$16*$B$17/1000000, 0) + IF(A209=$F$7, $B$18*$B$16*$B$17/1000000, 0) + IF(A209=$F$8, $B$18*$B$16*$B$17/1000000, 0) + IF(A209=$F$9, $B$18*$B$16*$B$17/1000000, 0) + IF(A209=$F$10, $B$18*$B$16*$B$17/1000000, 0) + IF(A209=$F$11, $B$18*$B$16*$B$17/1000000, 0) + IF(A209=$F$12, $B$18*$B$16*$B$17/1000000, 0) + IF(A209=$F$13, $B$18*$B$16*$B$17/1000000, 0) + IF(A209=$F$14, $B$18*$B$16*$B$17/1000000, 0)</f>
        <v/>
      </c>
      <c r="X209" s="306">
        <f>V209-W209-C209</f>
        <v/>
      </c>
      <c r="Y209" s="306">
        <f>IF(AND(A209&lt;=$B$24, X209&gt;0), X209*$B$23, 0)</f>
        <v/>
      </c>
      <c r="Z209" s="306">
        <f>X209-Y209</f>
        <v/>
      </c>
      <c r="AA209" s="306">
        <f>IF(AND(A209=$B$19, $B$21=1), O209*$B$20, 0)</f>
        <v/>
      </c>
      <c r="AB209" s="306">
        <f>AB208+Z209+AA209</f>
        <v/>
      </c>
    </row>
    <row r="210">
      <c r="A210" s="306" t="n">
        <v>180</v>
      </c>
      <c r="B210" s="306">
        <f>CEILING(A210/12,1)</f>
        <v/>
      </c>
      <c r="C210" s="306">
        <f>IF(A210&lt;=12, $B$15/12, 0)</f>
        <v/>
      </c>
      <c r="D210" s="306">
        <f>INDEX('26. Team Comp'!$D$28:$R$28, B210) * 0.001 / 12</f>
        <v/>
      </c>
      <c r="E210" s="306">
        <f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+ (IF(MAX(0, A210 - $F$11 + 1)&lt;=0, 0, IF(MAX(0, A210 - $F$11 + 1)&lt;=6, 70 - (70-14)*(MAX(0, A210 - $F$11 + 1)-1)/5, IF(MAX(0, A210 - $F$11 + 1)&lt;=24, 14 - 14*(MAX(0, A210 - $F$11 + 1)-6)/18, 0)))) + (IF(MAX(0, A210 - $F$12 + 1)&lt;=0, 0, IF(MAX(0, A210 - $F$12 + 1)&lt;=6, 70 - (70-14)*(MAX(0, A210 - $F$12 + 1)-1)/5, IF(MAX(0, A210 - $F$12 + 1)&lt;=24, 14 - 14*(MAX(0, A210 - $F$12 + 1)-6)/18, 0)))) + (IF(MAX(0, A210 - $F$13 + 1)&lt;=0, 0, IF(MAX(0, A210 - $F$13 + 1)&lt;=6, 70 - (70-14)*(MAX(0, A210 - $F$13 + 1)-1)/5, IF(MAX(0, A210 - $F$13 + 1)&lt;=24, 14 - 14*(MAX(0, A210 - $F$13 + 1)-6)/18, 0)))) + (IF(MAX(0, A210 - $F$14 + 1)&lt;=0, 0, IF(MAX(0, A210 - $F$14 + 1)&lt;=6, 70 - (70-14)*(MAX(0, A210 - $F$14 + 1)-1)/5, IF(MAX(0, A210 - $F$14 + 1)&lt;=24, 14 - 14*(MAX(0, A210 - $F$14 + 1)-6)/18, 0)))) ) * 200 / 12 / 1000</f>
        <v/>
      </c>
      <c r="F210" s="306">
        <f>IF(A210&lt;$F$6,0,IF(AND($B$21=1,A210&gt;$B$19),0,$E$6*$G$6^MIN((A210-$F$6)/12,6)*MIN($G$6,0.85)^MAX(0,(A210-$F$6)/12-6)))</f>
        <v/>
      </c>
      <c r="G210" s="306">
        <f>IF(A210&lt;$F$7,0,IF(AND($B$21=1,A210&gt;$B$19),0,$E$7*$G$7^MIN((A210-$F$7)/12,6)*MIN($G$7,0.85)^MAX(0,(A210-$F$7)/12-6)))</f>
        <v/>
      </c>
      <c r="H210" s="306">
        <f>IF(A210&lt;$F$8,0,IF(AND($B$21=1,A210&gt;$B$19),0,$E$8*$G$8^MIN((A210-$F$8)/12,6)*MIN($G$8,0.85)^MAX(0,(A210-$F$8)/12-6)))</f>
        <v/>
      </c>
      <c r="I210" s="306">
        <f>IF(A210&lt;$F$9,0,IF(AND($B$21=1,A210&gt;$B$19),0,$E$9*$G$9^MIN((A210-$F$9)/12,6)*MIN($G$9,0.85)^MAX(0,(A210-$F$9)/12-6)))</f>
        <v/>
      </c>
      <c r="J210" s="306">
        <f>IF(A210&lt;$F$10,0,IF(AND($B$21=1,A210&gt;$B$19),0,$E$10*$G$10^MIN((A210-$F$10)/12,6)*MIN($G$10,0.85)^MAX(0,(A210-$F$10)/12-6)))</f>
        <v/>
      </c>
      <c r="K210" s="306">
        <f>IF(A210&lt;$F$11,0,IF(AND($B$21=1,A210&gt;$B$19),0,$E$11*$G$11^MIN((A210-$F$11)/12,6)*MIN($G$11,0.85)^MAX(0,(A210-$F$11)/12-6)))</f>
        <v/>
      </c>
      <c r="L210" s="306">
        <f>IF(A210&lt;$F$12,0,IF(AND($B$21=1,A210&gt;$B$19),0,$E$12*$G$12^MIN((A210-$F$12)/12,6)*MIN($G$12,0.85)^MAX(0,(A210-$F$12)/12-6)))</f>
        <v/>
      </c>
      <c r="M210" s="306">
        <f>IF(A210&lt;$F$13,0,IF(AND($B$21=1,A210&gt;$B$19),0,$E$13*$G$13^MIN((A210-$F$13)/12,6)*MIN($G$13,0.85)^MAX(0,(A210-$F$13)/12-6)))</f>
        <v/>
      </c>
      <c r="N210" s="306">
        <f>IF(A210&lt;$F$14,0,IF(AND($B$21=1,A210&gt;$B$19),0,$E$14*$G$14^MIN((A210-$F$14)/12,6)*MIN($G$14,0.85)^MAX(0,(A210-$F$14)/12-6)))</f>
        <v/>
      </c>
      <c r="O210" s="306">
        <f>SUM(F210:N210)</f>
        <v/>
      </c>
      <c r="P210" s="306">
        <f>O210/12</f>
        <v/>
      </c>
      <c r="Q210" s="306">
        <f>P210*$B$8</f>
        <v/>
      </c>
      <c r="R210" s="306">
        <f>P210*$B$9</f>
        <v/>
      </c>
      <c r="S210" s="306">
        <f>P210*$B$10</f>
        <v/>
      </c>
      <c r="T210" s="306">
        <f>P210-Q210-R210-S210-D210-E210</f>
        <v/>
      </c>
      <c r="U210" s="306">
        <f>MAX(0, T210 - $B$7*P210)</f>
        <v/>
      </c>
      <c r="V210" s="306">
        <f>T210-U210</f>
        <v/>
      </c>
      <c r="W210" s="306">
        <f>IF(A210=$F$6, $B$18*$B$16*$B$17/1000000, 0) + IF(A210=$F$7, $B$18*$B$16*$B$17/1000000, 0) + IF(A210=$F$8, $B$18*$B$16*$B$17/1000000, 0) + IF(A210=$F$9, $B$18*$B$16*$B$17/1000000, 0) + IF(A210=$F$10, $B$18*$B$16*$B$17/1000000, 0) + IF(A210=$F$11, $B$18*$B$16*$B$17/1000000, 0) + IF(A210=$F$12, $B$18*$B$16*$B$17/1000000, 0) + IF(A210=$F$13, $B$18*$B$16*$B$17/1000000, 0) + IF(A210=$F$14, $B$18*$B$16*$B$17/1000000, 0)</f>
        <v/>
      </c>
      <c r="X210" s="306">
        <f>V210-W210-C210</f>
        <v/>
      </c>
      <c r="Y210" s="306">
        <f>IF(AND(A210&lt;=$B$24, X210&gt;0), X210*$B$23, 0)</f>
        <v/>
      </c>
      <c r="Z210" s="306">
        <f>X210-Y210</f>
        <v/>
      </c>
      <c r="AA210" s="306">
        <f>IF(AND(A210=$B$19, $B$21=1), O210*$B$20, 0) + IF(AND(A210=180, $B$21=0), O210*'1. Press Assumptions'!$B$141, 0)</f>
        <v/>
      </c>
      <c r="AB210" s="306">
        <f>AB209+Z210+AA210</f>
        <v/>
      </c>
    </row>
    <row r="213">
      <c r="A213" s="642" t="inlineStr">
        <is>
          <t>ANNUAL ROLLUP</t>
        </is>
      </c>
    </row>
    <row r="214" ht="28" customHeight="1" s="307">
      <c r="A214" s="643" t="inlineStr">
        <is>
          <t>Year</t>
        </is>
      </c>
      <c r="B214" s="643" t="inlineStr">
        <is>
          <t>Revenue</t>
        </is>
      </c>
      <c r="C214" s="643" t="inlineStr">
        <is>
          <t>COGS</t>
        </is>
      </c>
      <c r="D214" s="643" t="inlineStr">
        <is>
          <t>Vendor</t>
        </is>
      </c>
      <c r="E214" s="643" t="inlineStr">
        <is>
          <t>Corp Alloc</t>
        </is>
      </c>
      <c r="F214" s="643" t="inlineStr">
        <is>
          <t>Team Comp</t>
        </is>
      </c>
      <c r="G214" s="643" t="inlineStr">
        <is>
          <t>Legacy HC</t>
        </is>
      </c>
      <c r="H214" s="643" t="inlineStr">
        <is>
          <t>Bonus Pool</t>
        </is>
      </c>
      <c r="I214" s="643" t="inlineStr">
        <is>
          <t>EBITDA</t>
        </is>
      </c>
      <c r="J214" s="643" t="inlineStr">
        <is>
          <t>Severance</t>
        </is>
      </c>
      <c r="K214" s="643" t="inlineStr">
        <is>
          <t>Mgmt Fee</t>
        </is>
      </c>
      <c r="L214" s="643" t="inlineStr">
        <is>
          <t>Dist Pre-Retain</t>
        </is>
      </c>
      <c r="M214" s="643" t="inlineStr">
        <is>
          <t>Retained</t>
        </is>
      </c>
      <c r="N214" s="643" t="inlineStr">
        <is>
          <t>Dist Post</t>
        </is>
      </c>
      <c r="O214" s="643" t="inlineStr">
        <is>
          <t>Exit Proceeds</t>
        </is>
      </c>
      <c r="P214" s="643" t="inlineStr">
        <is>
          <t>Total Distributable</t>
        </is>
      </c>
    </row>
    <row r="215">
      <c r="A215" s="306" t="n">
        <v>1</v>
      </c>
      <c r="B215" s="306">
        <f>SUM(P31:P42)</f>
        <v/>
      </c>
      <c r="C215" s="306">
        <f>SUM(Q31:Q42)</f>
        <v/>
      </c>
      <c r="D215" s="306">
        <f>SUM(R31:R42)</f>
        <v/>
      </c>
      <c r="E215" s="306">
        <f>SUM(S31:S42)</f>
        <v/>
      </c>
      <c r="F215" s="306">
        <f>SUM(D31:D42)</f>
        <v/>
      </c>
      <c r="G215" s="306">
        <f>SUM(E31:E42)</f>
        <v/>
      </c>
      <c r="H215" s="306">
        <f>SUM(U31:U42)</f>
        <v/>
      </c>
      <c r="I215" s="306">
        <f>SUM(V31:V42)</f>
        <v/>
      </c>
      <c r="J215" s="306">
        <f>SUM(W31:W42)</f>
        <v/>
      </c>
      <c r="K215" s="306">
        <f>SUM(C31:C42)</f>
        <v/>
      </c>
      <c r="L215" s="306">
        <f>SUM(X31:X42)</f>
        <v/>
      </c>
      <c r="M215" s="306">
        <f>SUM(Y31:Y42)</f>
        <v/>
      </c>
      <c r="N215" s="306">
        <f>SUM(Z31:Z42)</f>
        <v/>
      </c>
      <c r="O215" s="306">
        <f>SUM(AA31:AA42)</f>
        <v/>
      </c>
      <c r="P215" s="306">
        <f>N215+O215</f>
        <v/>
      </c>
    </row>
    <row r="216">
      <c r="A216" s="306" t="n">
        <v>2</v>
      </c>
      <c r="B216" s="306">
        <f>SUM(P43:P54)</f>
        <v/>
      </c>
      <c r="C216" s="306">
        <f>SUM(Q43:Q54)</f>
        <v/>
      </c>
      <c r="D216" s="306">
        <f>SUM(R43:R54)</f>
        <v/>
      </c>
      <c r="E216" s="306">
        <f>SUM(S43:S54)</f>
        <v/>
      </c>
      <c r="F216" s="306">
        <f>SUM(D43:D54)</f>
        <v/>
      </c>
      <c r="G216" s="306">
        <f>SUM(E43:E54)</f>
        <v/>
      </c>
      <c r="H216" s="306">
        <f>SUM(U43:U54)</f>
        <v/>
      </c>
      <c r="I216" s="306">
        <f>SUM(V43:V54)</f>
        <v/>
      </c>
      <c r="J216" s="306">
        <f>SUM(W43:W54)</f>
        <v/>
      </c>
      <c r="K216" s="306">
        <f>SUM(C43:C54)</f>
        <v/>
      </c>
      <c r="L216" s="306">
        <f>SUM(X43:X54)</f>
        <v/>
      </c>
      <c r="M216" s="306">
        <f>SUM(Y43:Y54)</f>
        <v/>
      </c>
      <c r="N216" s="306">
        <f>SUM(Z43:Z54)</f>
        <v/>
      </c>
      <c r="O216" s="306">
        <f>SUM(AA43:AA54)</f>
        <v/>
      </c>
      <c r="P216" s="306">
        <f>N216+O216</f>
        <v/>
      </c>
    </row>
    <row r="217">
      <c r="A217" s="306" t="n">
        <v>3</v>
      </c>
      <c r="B217" s="306">
        <f>SUM(P55:P66)</f>
        <v/>
      </c>
      <c r="C217" s="306">
        <f>SUM(Q55:Q66)</f>
        <v/>
      </c>
      <c r="D217" s="306">
        <f>SUM(R55:R66)</f>
        <v/>
      </c>
      <c r="E217" s="306">
        <f>SUM(S55:S66)</f>
        <v/>
      </c>
      <c r="F217" s="306">
        <f>SUM(D55:D66)</f>
        <v/>
      </c>
      <c r="G217" s="306">
        <f>SUM(E55:E66)</f>
        <v/>
      </c>
      <c r="H217" s="306">
        <f>SUM(U55:U66)</f>
        <v/>
      </c>
      <c r="I217" s="306">
        <f>SUM(V55:V66)</f>
        <v/>
      </c>
      <c r="J217" s="306">
        <f>SUM(W55:W66)</f>
        <v/>
      </c>
      <c r="K217" s="306">
        <f>SUM(C55:C66)</f>
        <v/>
      </c>
      <c r="L217" s="306">
        <f>SUM(X55:X66)</f>
        <v/>
      </c>
      <c r="M217" s="306">
        <f>SUM(Y55:Y66)</f>
        <v/>
      </c>
      <c r="N217" s="306">
        <f>SUM(Z55:Z66)</f>
        <v/>
      </c>
      <c r="O217" s="306">
        <f>SUM(AA55:AA66)</f>
        <v/>
      </c>
      <c r="P217" s="306">
        <f>N217+O217</f>
        <v/>
      </c>
    </row>
    <row r="218">
      <c r="A218" s="306" t="n">
        <v>4</v>
      </c>
      <c r="B218" s="306">
        <f>SUM(P67:P78)</f>
        <v/>
      </c>
      <c r="C218" s="306">
        <f>SUM(Q67:Q78)</f>
        <v/>
      </c>
      <c r="D218" s="306">
        <f>SUM(R67:R78)</f>
        <v/>
      </c>
      <c r="E218" s="306">
        <f>SUM(S67:S78)</f>
        <v/>
      </c>
      <c r="F218" s="306">
        <f>SUM(D67:D78)</f>
        <v/>
      </c>
      <c r="G218" s="306">
        <f>SUM(E67:E78)</f>
        <v/>
      </c>
      <c r="H218" s="306">
        <f>SUM(U67:U78)</f>
        <v/>
      </c>
      <c r="I218" s="306">
        <f>SUM(V67:V78)</f>
        <v/>
      </c>
      <c r="J218" s="306">
        <f>SUM(W67:W78)</f>
        <v/>
      </c>
      <c r="K218" s="306">
        <f>SUM(C67:C78)</f>
        <v/>
      </c>
      <c r="L218" s="306">
        <f>SUM(X67:X78)</f>
        <v/>
      </c>
      <c r="M218" s="306">
        <f>SUM(Y67:Y78)</f>
        <v/>
      </c>
      <c r="N218" s="306">
        <f>SUM(Z67:Z78)</f>
        <v/>
      </c>
      <c r="O218" s="306">
        <f>SUM(AA67:AA78)</f>
        <v/>
      </c>
      <c r="P218" s="306">
        <f>N218+O218</f>
        <v/>
      </c>
    </row>
    <row r="219">
      <c r="A219" s="306" t="n">
        <v>5</v>
      </c>
      <c r="B219" s="306">
        <f>SUM(P79:P90)</f>
        <v/>
      </c>
      <c r="C219" s="306">
        <f>SUM(Q79:Q90)</f>
        <v/>
      </c>
      <c r="D219" s="306">
        <f>SUM(R79:R90)</f>
        <v/>
      </c>
      <c r="E219" s="306">
        <f>SUM(S79:S90)</f>
        <v/>
      </c>
      <c r="F219" s="306">
        <f>SUM(D79:D90)</f>
        <v/>
      </c>
      <c r="G219" s="306">
        <f>SUM(E79:E90)</f>
        <v/>
      </c>
      <c r="H219" s="306">
        <f>SUM(U79:U90)</f>
        <v/>
      </c>
      <c r="I219" s="306">
        <f>SUM(V79:V90)</f>
        <v/>
      </c>
      <c r="J219" s="306">
        <f>SUM(W79:W90)</f>
        <v/>
      </c>
      <c r="K219" s="306">
        <f>SUM(C79:C90)</f>
        <v/>
      </c>
      <c r="L219" s="306">
        <f>SUM(X79:X90)</f>
        <v/>
      </c>
      <c r="M219" s="306">
        <f>SUM(Y79:Y90)</f>
        <v/>
      </c>
      <c r="N219" s="306">
        <f>SUM(Z79:Z90)</f>
        <v/>
      </c>
      <c r="O219" s="306">
        <f>SUM(AA79:AA90)</f>
        <v/>
      </c>
      <c r="P219" s="306">
        <f>N219+O219</f>
        <v/>
      </c>
    </row>
    <row r="220">
      <c r="A220" s="306" t="n">
        <v>6</v>
      </c>
      <c r="B220" s="306">
        <f>SUM(P91:P102)</f>
        <v/>
      </c>
      <c r="C220" s="306">
        <f>SUM(Q91:Q102)</f>
        <v/>
      </c>
      <c r="D220" s="306">
        <f>SUM(R91:R102)</f>
        <v/>
      </c>
      <c r="E220" s="306">
        <f>SUM(S91:S102)</f>
        <v/>
      </c>
      <c r="F220" s="306">
        <f>SUM(D91:D102)</f>
        <v/>
      </c>
      <c r="G220" s="306">
        <f>SUM(E91:E102)</f>
        <v/>
      </c>
      <c r="H220" s="306">
        <f>SUM(U91:U102)</f>
        <v/>
      </c>
      <c r="I220" s="306">
        <f>SUM(V91:V102)</f>
        <v/>
      </c>
      <c r="J220" s="306">
        <f>SUM(W91:W102)</f>
        <v/>
      </c>
      <c r="K220" s="306">
        <f>SUM(C91:C102)</f>
        <v/>
      </c>
      <c r="L220" s="306">
        <f>SUM(X91:X102)</f>
        <v/>
      </c>
      <c r="M220" s="306">
        <f>SUM(Y91:Y102)</f>
        <v/>
      </c>
      <c r="N220" s="306">
        <f>SUM(Z91:Z102)</f>
        <v/>
      </c>
      <c r="O220" s="306">
        <f>SUM(AA91:AA102)</f>
        <v/>
      </c>
      <c r="P220" s="306">
        <f>N220+O220</f>
        <v/>
      </c>
    </row>
    <row r="221">
      <c r="A221" s="306" t="n">
        <v>7</v>
      </c>
      <c r="B221" s="306">
        <f>SUM(P103:P114)</f>
        <v/>
      </c>
      <c r="C221" s="306">
        <f>SUM(Q103:Q114)</f>
        <v/>
      </c>
      <c r="D221" s="306">
        <f>SUM(R103:R114)</f>
        <v/>
      </c>
      <c r="E221" s="306">
        <f>SUM(S103:S114)</f>
        <v/>
      </c>
      <c r="F221" s="306">
        <f>SUM(D103:D114)</f>
        <v/>
      </c>
      <c r="G221" s="306">
        <f>SUM(E103:E114)</f>
        <v/>
      </c>
      <c r="H221" s="306">
        <f>SUM(U103:U114)</f>
        <v/>
      </c>
      <c r="I221" s="306">
        <f>SUM(V103:V114)</f>
        <v/>
      </c>
      <c r="J221" s="306">
        <f>SUM(W103:W114)</f>
        <v/>
      </c>
      <c r="K221" s="306">
        <f>SUM(C103:C114)</f>
        <v/>
      </c>
      <c r="L221" s="306">
        <f>SUM(X103:X114)</f>
        <v/>
      </c>
      <c r="M221" s="306">
        <f>SUM(Y103:Y114)</f>
        <v/>
      </c>
      <c r="N221" s="306">
        <f>SUM(Z103:Z114)</f>
        <v/>
      </c>
      <c r="O221" s="306">
        <f>SUM(AA103:AA114)</f>
        <v/>
      </c>
      <c r="P221" s="306">
        <f>N221+O221</f>
        <v/>
      </c>
    </row>
    <row r="222">
      <c r="A222" s="306" t="n">
        <v>8</v>
      </c>
      <c r="B222" s="306">
        <f>SUM(P115:P126)</f>
        <v/>
      </c>
      <c r="C222" s="306">
        <f>SUM(Q115:Q126)</f>
        <v/>
      </c>
      <c r="D222" s="306">
        <f>SUM(R115:R126)</f>
        <v/>
      </c>
      <c r="E222" s="306">
        <f>SUM(S115:S126)</f>
        <v/>
      </c>
      <c r="F222" s="306">
        <f>SUM(D115:D126)</f>
        <v/>
      </c>
      <c r="G222" s="306">
        <f>SUM(E115:E126)</f>
        <v/>
      </c>
      <c r="H222" s="306">
        <f>SUM(U115:U126)</f>
        <v/>
      </c>
      <c r="I222" s="306">
        <f>SUM(V115:V126)</f>
        <v/>
      </c>
      <c r="J222" s="306">
        <f>SUM(W115:W126)</f>
        <v/>
      </c>
      <c r="K222" s="306">
        <f>SUM(C115:C126)</f>
        <v/>
      </c>
      <c r="L222" s="306">
        <f>SUM(X115:X126)</f>
        <v/>
      </c>
      <c r="M222" s="306">
        <f>SUM(Y115:Y126)</f>
        <v/>
      </c>
      <c r="N222" s="306">
        <f>SUM(Z115:Z126)</f>
        <v/>
      </c>
      <c r="O222" s="306">
        <f>SUM(AA115:AA126)</f>
        <v/>
      </c>
      <c r="P222" s="306">
        <f>N222+O222</f>
        <v/>
      </c>
    </row>
    <row r="223">
      <c r="A223" s="306" t="n">
        <v>9</v>
      </c>
      <c r="B223" s="306">
        <f>SUM(P127:P138)</f>
        <v/>
      </c>
      <c r="C223" s="306">
        <f>SUM(Q127:Q138)</f>
        <v/>
      </c>
      <c r="D223" s="306">
        <f>SUM(R127:R138)</f>
        <v/>
      </c>
      <c r="E223" s="306">
        <f>SUM(S127:S138)</f>
        <v/>
      </c>
      <c r="F223" s="306">
        <f>SUM(D127:D138)</f>
        <v/>
      </c>
      <c r="G223" s="306">
        <f>SUM(E127:E138)</f>
        <v/>
      </c>
      <c r="H223" s="306">
        <f>SUM(U127:U138)</f>
        <v/>
      </c>
      <c r="I223" s="306">
        <f>SUM(V127:V138)</f>
        <v/>
      </c>
      <c r="J223" s="306">
        <f>SUM(W127:W138)</f>
        <v/>
      </c>
      <c r="K223" s="306">
        <f>SUM(C127:C138)</f>
        <v/>
      </c>
      <c r="L223" s="306">
        <f>SUM(X127:X138)</f>
        <v/>
      </c>
      <c r="M223" s="306">
        <f>SUM(Y127:Y138)</f>
        <v/>
      </c>
      <c r="N223" s="306">
        <f>SUM(Z127:Z138)</f>
        <v/>
      </c>
      <c r="O223" s="306">
        <f>SUM(AA127:AA138)</f>
        <v/>
      </c>
      <c r="P223" s="306">
        <f>N223+O223</f>
        <v/>
      </c>
    </row>
    <row r="224">
      <c r="A224" s="306" t="n">
        <v>10</v>
      </c>
      <c r="B224" s="306">
        <f>SUM(P139:P150)</f>
        <v/>
      </c>
      <c r="C224" s="306">
        <f>SUM(Q139:Q150)</f>
        <v/>
      </c>
      <c r="D224" s="306">
        <f>SUM(R139:R150)</f>
        <v/>
      </c>
      <c r="E224" s="306">
        <f>SUM(S139:S150)</f>
        <v/>
      </c>
      <c r="F224" s="306">
        <f>SUM(D139:D150)</f>
        <v/>
      </c>
      <c r="G224" s="306">
        <f>SUM(E139:E150)</f>
        <v/>
      </c>
      <c r="H224" s="306">
        <f>SUM(U139:U150)</f>
        <v/>
      </c>
      <c r="I224" s="306">
        <f>SUM(V139:V150)</f>
        <v/>
      </c>
      <c r="J224" s="306">
        <f>SUM(W139:W150)</f>
        <v/>
      </c>
      <c r="K224" s="306">
        <f>SUM(C139:C150)</f>
        <v/>
      </c>
      <c r="L224" s="306">
        <f>SUM(X139:X150)</f>
        <v/>
      </c>
      <c r="M224" s="306">
        <f>SUM(Y139:Y150)</f>
        <v/>
      </c>
      <c r="N224" s="306">
        <f>SUM(Z139:Z150)</f>
        <v/>
      </c>
      <c r="O224" s="306">
        <f>SUM(AA139:AA150)</f>
        <v/>
      </c>
      <c r="P224" s="306">
        <f>N224+O224</f>
        <v/>
      </c>
    </row>
    <row r="225">
      <c r="A225" s="306" t="n">
        <v>11</v>
      </c>
      <c r="B225" s="306">
        <f>SUM(P151:P162)</f>
        <v/>
      </c>
      <c r="C225" s="306">
        <f>SUM(Q151:Q162)</f>
        <v/>
      </c>
      <c r="D225" s="306">
        <f>SUM(R151:R162)</f>
        <v/>
      </c>
      <c r="E225" s="306">
        <f>SUM(S151:S162)</f>
        <v/>
      </c>
      <c r="F225" s="306">
        <f>SUM(D151:D162)</f>
        <v/>
      </c>
      <c r="G225" s="306">
        <f>SUM(E151:E162)</f>
        <v/>
      </c>
      <c r="H225" s="306">
        <f>SUM(U151:U162)</f>
        <v/>
      </c>
      <c r="I225" s="306">
        <f>SUM(V151:V162)</f>
        <v/>
      </c>
      <c r="J225" s="306">
        <f>SUM(W151:W162)</f>
        <v/>
      </c>
      <c r="K225" s="306">
        <f>SUM(C151:C162)</f>
        <v/>
      </c>
      <c r="L225" s="306">
        <f>SUM(X151:X162)</f>
        <v/>
      </c>
      <c r="M225" s="306">
        <f>SUM(Y151:Y162)</f>
        <v/>
      </c>
      <c r="N225" s="306">
        <f>SUM(Z151:Z162)</f>
        <v/>
      </c>
      <c r="O225" s="306">
        <f>SUM(AA151:AA162)</f>
        <v/>
      </c>
      <c r="P225" s="306">
        <f>N225+O225</f>
        <v/>
      </c>
    </row>
    <row r="226">
      <c r="A226" s="306" t="n">
        <v>12</v>
      </c>
      <c r="B226" s="306">
        <f>SUM(P163:P174)</f>
        <v/>
      </c>
      <c r="C226" s="306">
        <f>SUM(Q163:Q174)</f>
        <v/>
      </c>
      <c r="D226" s="306">
        <f>SUM(R163:R174)</f>
        <v/>
      </c>
      <c r="E226" s="306">
        <f>SUM(S163:S174)</f>
        <v/>
      </c>
      <c r="F226" s="306">
        <f>SUM(D163:D174)</f>
        <v/>
      </c>
      <c r="G226" s="306">
        <f>SUM(E163:E174)</f>
        <v/>
      </c>
      <c r="H226" s="306">
        <f>SUM(U163:U174)</f>
        <v/>
      </c>
      <c r="I226" s="306">
        <f>SUM(V163:V174)</f>
        <v/>
      </c>
      <c r="J226" s="306">
        <f>SUM(W163:W174)</f>
        <v/>
      </c>
      <c r="K226" s="306">
        <f>SUM(C163:C174)</f>
        <v/>
      </c>
      <c r="L226" s="306">
        <f>SUM(X163:X174)</f>
        <v/>
      </c>
      <c r="M226" s="306">
        <f>SUM(Y163:Y174)</f>
        <v/>
      </c>
      <c r="N226" s="306">
        <f>SUM(Z163:Z174)</f>
        <v/>
      </c>
      <c r="O226" s="306">
        <f>SUM(AA163:AA174)</f>
        <v/>
      </c>
      <c r="P226" s="306">
        <f>N226+O226</f>
        <v/>
      </c>
    </row>
    <row r="227">
      <c r="A227" s="306" t="n">
        <v>13</v>
      </c>
      <c r="B227" s="306">
        <f>SUM(P175:P186)</f>
        <v/>
      </c>
      <c r="C227" s="306">
        <f>SUM(Q175:Q186)</f>
        <v/>
      </c>
      <c r="D227" s="306">
        <f>SUM(R175:R186)</f>
        <v/>
      </c>
      <c r="E227" s="306">
        <f>SUM(S175:S186)</f>
        <v/>
      </c>
      <c r="F227" s="306">
        <f>SUM(D175:D186)</f>
        <v/>
      </c>
      <c r="G227" s="306">
        <f>SUM(E175:E186)</f>
        <v/>
      </c>
      <c r="H227" s="306">
        <f>SUM(U175:U186)</f>
        <v/>
      </c>
      <c r="I227" s="306">
        <f>SUM(V175:V186)</f>
        <v/>
      </c>
      <c r="J227" s="306">
        <f>SUM(W175:W186)</f>
        <v/>
      </c>
      <c r="K227" s="306">
        <f>SUM(C175:C186)</f>
        <v/>
      </c>
      <c r="L227" s="306">
        <f>SUM(X175:X186)</f>
        <v/>
      </c>
      <c r="M227" s="306">
        <f>SUM(Y175:Y186)</f>
        <v/>
      </c>
      <c r="N227" s="306">
        <f>SUM(Z175:Z186)</f>
        <v/>
      </c>
      <c r="O227" s="306">
        <f>SUM(AA175:AA186)</f>
        <v/>
      </c>
      <c r="P227" s="306">
        <f>N227+O227</f>
        <v/>
      </c>
    </row>
    <row r="228">
      <c r="A228" s="306" t="n">
        <v>14</v>
      </c>
      <c r="B228" s="306">
        <f>SUM(P187:P198)</f>
        <v/>
      </c>
      <c r="C228" s="306">
        <f>SUM(Q187:Q198)</f>
        <v/>
      </c>
      <c r="D228" s="306">
        <f>SUM(R187:R198)</f>
        <v/>
      </c>
      <c r="E228" s="306">
        <f>SUM(S187:S198)</f>
        <v/>
      </c>
      <c r="F228" s="306">
        <f>SUM(D187:D198)</f>
        <v/>
      </c>
      <c r="G228" s="306">
        <f>SUM(E187:E198)</f>
        <v/>
      </c>
      <c r="H228" s="306">
        <f>SUM(U187:U198)</f>
        <v/>
      </c>
      <c r="I228" s="306">
        <f>SUM(V187:V198)</f>
        <v/>
      </c>
      <c r="J228" s="306">
        <f>SUM(W187:W198)</f>
        <v/>
      </c>
      <c r="K228" s="306">
        <f>SUM(C187:C198)</f>
        <v/>
      </c>
      <c r="L228" s="306">
        <f>SUM(X187:X198)</f>
        <v/>
      </c>
      <c r="M228" s="306">
        <f>SUM(Y187:Y198)</f>
        <v/>
      </c>
      <c r="N228" s="306">
        <f>SUM(Z187:Z198)</f>
        <v/>
      </c>
      <c r="O228" s="306">
        <f>SUM(AA187:AA198)</f>
        <v/>
      </c>
      <c r="P228" s="306">
        <f>N228+O228</f>
        <v/>
      </c>
    </row>
    <row r="229">
      <c r="A229" s="306" t="n">
        <v>15</v>
      </c>
      <c r="B229" s="306">
        <f>SUM(P199:P210)</f>
        <v/>
      </c>
      <c r="C229" s="306">
        <f>SUM(Q199:Q210)</f>
        <v/>
      </c>
      <c r="D229" s="306">
        <f>SUM(R199:R210)</f>
        <v/>
      </c>
      <c r="E229" s="306">
        <f>SUM(S199:S210)</f>
        <v/>
      </c>
      <c r="F229" s="306">
        <f>SUM(D199:D210)</f>
        <v/>
      </c>
      <c r="G229" s="306">
        <f>SUM(E199:E210)</f>
        <v/>
      </c>
      <c r="H229" s="306">
        <f>SUM(U199:U210)</f>
        <v/>
      </c>
      <c r="I229" s="306">
        <f>SUM(V199:V210)</f>
        <v/>
      </c>
      <c r="J229" s="306">
        <f>SUM(W199:W210)</f>
        <v/>
      </c>
      <c r="K229" s="306">
        <f>SUM(C199:C210)</f>
        <v/>
      </c>
      <c r="L229" s="306">
        <f>SUM(X199:X210)</f>
        <v/>
      </c>
      <c r="M229" s="306">
        <f>SUM(Y199:Y210)</f>
        <v/>
      </c>
      <c r="N229" s="306">
        <f>SUM(Z199:Z210)</f>
        <v/>
      </c>
      <c r="O229" s="306">
        <f>SUM(AA199:AA210)</f>
        <v/>
      </c>
      <c r="P229" s="306">
        <f>N229+O229</f>
        <v/>
      </c>
    </row>
    <row r="231">
      <c r="A231" s="642" t="inlineStr">
        <is>
          <t>WATERFALL</t>
        </is>
      </c>
    </row>
    <row r="232" ht="36" customHeight="1" s="307">
      <c r="A232" s="643" t="inlineStr">
        <is>
          <t>Year</t>
        </is>
      </c>
      <c r="B232" s="643" t="inlineStr">
        <is>
          <t>Annual Dist</t>
        </is>
      </c>
      <c r="C232" s="643" t="inlineStr">
        <is>
          <t>Cum Dist</t>
        </is>
      </c>
      <c r="D232" s="643" t="inlineStr">
        <is>
          <t>Unret BoY</t>
        </is>
      </c>
      <c r="E232" s="643" t="inlineStr">
        <is>
          <t>Pref Owed</t>
        </is>
      </c>
      <c r="F232" s="643" t="inlineStr">
        <is>
          <t>Cap Paid</t>
        </is>
      </c>
      <c r="G232" s="643" t="inlineStr">
        <is>
          <t>Pref Paid</t>
        </is>
      </c>
      <c r="H232" s="643" t="inlineStr">
        <is>
          <t>LP Profit</t>
        </is>
      </c>
      <c r="I232" s="643" t="inlineStr">
        <is>
          <t>GP Profit</t>
        </is>
      </c>
      <c r="J232" s="643" t="inlineStr">
        <is>
          <t>LP Cash Yr</t>
        </is>
      </c>
      <c r="K232" s="643" t="inlineStr">
        <is>
          <t>GP Carry Yr</t>
        </is>
      </c>
      <c r="L232" s="643" t="inlineStr">
        <is>
          <t>Cum LP</t>
        </is>
      </c>
      <c r="M232" s="643" t="inlineStr">
        <is>
          <t>Cum GP</t>
        </is>
      </c>
      <c r="N232" s="643" t="inlineStr">
        <is>
          <t>MOIC</t>
        </is>
      </c>
    </row>
    <row r="233">
      <c r="A233" s="306" t="n">
        <v>1</v>
      </c>
      <c r="B233" s="306">
        <f>P215</f>
        <v/>
      </c>
      <c r="C233" s="306">
        <f>B233</f>
        <v/>
      </c>
      <c r="D233" s="306">
        <f>$B$22</f>
        <v/>
      </c>
      <c r="E233" s="306">
        <f>D233*$B$11</f>
        <v/>
      </c>
      <c r="F233" s="306">
        <f>MIN(D233, MAX(0, B233))</f>
        <v/>
      </c>
      <c r="G233" s="306">
        <f>IF(D233-F233&lt;=0, MIN(E233, MAX(0, B233-F233)), 0)</f>
        <v/>
      </c>
      <c r="H233" s="306">
        <f>MAX(0, B233-F233-G233)*$B$12</f>
        <v/>
      </c>
      <c r="I233" s="306">
        <f>MAX(0, B233-F233-G233)*(1-$B$12)</f>
        <v/>
      </c>
      <c r="J233" s="306">
        <f>F233+G233+H233</f>
        <v/>
      </c>
      <c r="K233" s="306">
        <f>I233</f>
        <v/>
      </c>
      <c r="L233" s="306">
        <f>J233</f>
        <v/>
      </c>
      <c r="M233" s="306">
        <f>K233</f>
        <v/>
      </c>
      <c r="N233" s="306">
        <f>L233/$B$22</f>
        <v/>
      </c>
    </row>
    <row r="234">
      <c r="A234" s="306" t="n">
        <v>2</v>
      </c>
      <c r="B234" s="306">
        <f>P216</f>
        <v/>
      </c>
      <c r="C234" s="306">
        <f>C233+B234</f>
        <v/>
      </c>
      <c r="D234" s="306">
        <f>MAX(0, $B$22-SUM(F$233:F233))</f>
        <v/>
      </c>
      <c r="E234" s="306">
        <f>D234*$B$11</f>
        <v/>
      </c>
      <c r="F234" s="306">
        <f>MIN(D234, MAX(0, B234))</f>
        <v/>
      </c>
      <c r="G234" s="306">
        <f>IF(D234-F234&lt;=0, MIN(E234+SUM(E$233:E233)-SUM(G$233:G233), MAX(0, B234-F234)), 0)</f>
        <v/>
      </c>
      <c r="H234" s="306">
        <f>MAX(0, B234-F234-G234)*$B$12</f>
        <v/>
      </c>
      <c r="I234" s="306">
        <f>MAX(0, B234-F234-G234)*(1-$B$12)</f>
        <v/>
      </c>
      <c r="J234" s="306">
        <f>F234+G234+H234</f>
        <v/>
      </c>
      <c r="K234" s="306">
        <f>I234</f>
        <v/>
      </c>
      <c r="L234" s="306">
        <f>L233+J234</f>
        <v/>
      </c>
      <c r="M234" s="306">
        <f>M233+K234</f>
        <v/>
      </c>
      <c r="N234" s="306">
        <f>L234/$B$22</f>
        <v/>
      </c>
    </row>
    <row r="235">
      <c r="A235" s="306" t="n">
        <v>3</v>
      </c>
      <c r="B235" s="306">
        <f>P217</f>
        <v/>
      </c>
      <c r="C235" s="306">
        <f>C234+B235</f>
        <v/>
      </c>
      <c r="D235" s="306">
        <f>MAX(0, $B$22-SUM(F$233:F234))</f>
        <v/>
      </c>
      <c r="E235" s="306">
        <f>D235*$B$11</f>
        <v/>
      </c>
      <c r="F235" s="306">
        <f>MIN(D235, MAX(0, B235))</f>
        <v/>
      </c>
      <c r="G235" s="306">
        <f>IF(D235-F235&lt;=0, MIN(E235+SUM(E$233:E234)-SUM(G$233:G234), MAX(0, B235-F235)), 0)</f>
        <v/>
      </c>
      <c r="H235" s="306">
        <f>MAX(0, B235-F235-G235)*$B$12</f>
        <v/>
      </c>
      <c r="I235" s="306">
        <f>MAX(0, B235-F235-G235)*(1-$B$12)</f>
        <v/>
      </c>
      <c r="J235" s="306">
        <f>F235+G235+H235</f>
        <v/>
      </c>
      <c r="K235" s="306">
        <f>I235</f>
        <v/>
      </c>
      <c r="L235" s="306">
        <f>L234+J235</f>
        <v/>
      </c>
      <c r="M235" s="306">
        <f>M234+K235</f>
        <v/>
      </c>
      <c r="N235" s="306">
        <f>L235/$B$22</f>
        <v/>
      </c>
    </row>
    <row r="236">
      <c r="A236" s="306" t="n">
        <v>4</v>
      </c>
      <c r="B236" s="306">
        <f>P218</f>
        <v/>
      </c>
      <c r="C236" s="306">
        <f>C235+B236</f>
        <v/>
      </c>
      <c r="D236" s="306">
        <f>MAX(0, $B$22-SUM(F$233:F235))</f>
        <v/>
      </c>
      <c r="E236" s="306">
        <f>D236*$B$11</f>
        <v/>
      </c>
      <c r="F236" s="306">
        <f>MIN(D236, MAX(0, B236))</f>
        <v/>
      </c>
      <c r="G236" s="306">
        <f>IF(D236-F236&lt;=0, MIN(E236+SUM(E$233:E235)-SUM(G$233:G235), MAX(0, B236-F236)), 0)</f>
        <v/>
      </c>
      <c r="H236" s="306">
        <f>MAX(0, B236-F236-G236)*$B$12</f>
        <v/>
      </c>
      <c r="I236" s="306">
        <f>MAX(0, B236-F236-G236)*(1-$B$12)</f>
        <v/>
      </c>
      <c r="J236" s="306">
        <f>F236+G236+H236</f>
        <v/>
      </c>
      <c r="K236" s="306">
        <f>I236</f>
        <v/>
      </c>
      <c r="L236" s="306">
        <f>L235+J236</f>
        <v/>
      </c>
      <c r="M236" s="306">
        <f>M235+K236</f>
        <v/>
      </c>
      <c r="N236" s="306">
        <f>L236/$B$22</f>
        <v/>
      </c>
    </row>
    <row r="237">
      <c r="A237" s="306" t="n">
        <v>5</v>
      </c>
      <c r="B237" s="306">
        <f>P219</f>
        <v/>
      </c>
      <c r="C237" s="306">
        <f>C236+B237</f>
        <v/>
      </c>
      <c r="D237" s="306">
        <f>MAX(0, $B$22-SUM(F$233:F236))</f>
        <v/>
      </c>
      <c r="E237" s="306">
        <f>D237*$B$11</f>
        <v/>
      </c>
      <c r="F237" s="306">
        <f>MIN(D237, MAX(0, B237))</f>
        <v/>
      </c>
      <c r="G237" s="306">
        <f>IF(D237-F237&lt;=0, MIN(E237+SUM(E$233:E236)-SUM(G$233:G236), MAX(0, B237-F237)), 0)</f>
        <v/>
      </c>
      <c r="H237" s="306">
        <f>MAX(0, B237-F237-G237)*$B$12</f>
        <v/>
      </c>
      <c r="I237" s="306">
        <f>MAX(0, B237-F237-G237)*(1-$B$12)</f>
        <v/>
      </c>
      <c r="J237" s="306">
        <f>F237+G237+H237</f>
        <v/>
      </c>
      <c r="K237" s="306">
        <f>I237</f>
        <v/>
      </c>
      <c r="L237" s="306">
        <f>L236+J237</f>
        <v/>
      </c>
      <c r="M237" s="306">
        <f>M236+K237</f>
        <v/>
      </c>
      <c r="N237" s="306">
        <f>L237/$B$22</f>
        <v/>
      </c>
    </row>
    <row r="238">
      <c r="A238" s="306" t="n">
        <v>6</v>
      </c>
      <c r="B238" s="306">
        <f>P220</f>
        <v/>
      </c>
      <c r="C238" s="306">
        <f>C237+B238</f>
        <v/>
      </c>
      <c r="D238" s="306">
        <f>MAX(0, $B$22-SUM(F$233:F237))</f>
        <v/>
      </c>
      <c r="E238" s="306">
        <f>D238*$B$11</f>
        <v/>
      </c>
      <c r="F238" s="306">
        <f>MIN(D238, MAX(0, B238))</f>
        <v/>
      </c>
      <c r="G238" s="306">
        <f>IF(D238-F238&lt;=0, MIN(E238+SUM(E$233:E237)-SUM(G$233:G237), MAX(0, B238-F238)), 0)</f>
        <v/>
      </c>
      <c r="H238" s="306">
        <f>MAX(0, B238-F238-G238)*$B$12</f>
        <v/>
      </c>
      <c r="I238" s="306">
        <f>MAX(0, B238-F238-G238)*(1-$B$12)</f>
        <v/>
      </c>
      <c r="J238" s="306">
        <f>F238+G238+H238</f>
        <v/>
      </c>
      <c r="K238" s="306">
        <f>I238</f>
        <v/>
      </c>
      <c r="L238" s="306">
        <f>L237+J238</f>
        <v/>
      </c>
      <c r="M238" s="306">
        <f>M237+K238</f>
        <v/>
      </c>
      <c r="N238" s="306">
        <f>L238/$B$22</f>
        <v/>
      </c>
    </row>
    <row r="239">
      <c r="A239" s="306" t="n">
        <v>7</v>
      </c>
      <c r="B239" s="306">
        <f>P221</f>
        <v/>
      </c>
      <c r="C239" s="306">
        <f>C238+B239</f>
        <v/>
      </c>
      <c r="D239" s="306">
        <f>MAX(0, $B$22-SUM(F$233:F238))</f>
        <v/>
      </c>
      <c r="E239" s="306">
        <f>D239*$B$11</f>
        <v/>
      </c>
      <c r="F239" s="306">
        <f>MIN(D239, MAX(0, B239))</f>
        <v/>
      </c>
      <c r="G239" s="306">
        <f>IF(D239-F239&lt;=0, MIN(E239+SUM(E$233:E238)-SUM(G$233:G238), MAX(0, B239-F239)), 0)</f>
        <v/>
      </c>
      <c r="H239" s="306">
        <f>MAX(0, B239-F239-G239)*$B$12</f>
        <v/>
      </c>
      <c r="I239" s="306">
        <f>MAX(0, B239-F239-G239)*(1-$B$12)</f>
        <v/>
      </c>
      <c r="J239" s="306">
        <f>F239+G239+H239</f>
        <v/>
      </c>
      <c r="K239" s="306">
        <f>I239</f>
        <v/>
      </c>
      <c r="L239" s="306">
        <f>L238+J239</f>
        <v/>
      </c>
      <c r="M239" s="306">
        <f>M238+K239</f>
        <v/>
      </c>
      <c r="N239" s="306">
        <f>L239/$B$22</f>
        <v/>
      </c>
    </row>
    <row r="240">
      <c r="A240" s="306" t="n">
        <v>8</v>
      </c>
      <c r="B240" s="306">
        <f>P222</f>
        <v/>
      </c>
      <c r="C240" s="306">
        <f>C239+B240</f>
        <v/>
      </c>
      <c r="D240" s="306">
        <f>MAX(0, $B$22-SUM(F$233:F239))</f>
        <v/>
      </c>
      <c r="E240" s="306">
        <f>D240*$B$11</f>
        <v/>
      </c>
      <c r="F240" s="306">
        <f>MIN(D240, MAX(0, B240))</f>
        <v/>
      </c>
      <c r="G240" s="306">
        <f>IF(D240-F240&lt;=0, MIN(E240+SUM(E$233:E239)-SUM(G$233:G239), MAX(0, B240-F240)), 0)</f>
        <v/>
      </c>
      <c r="H240" s="306">
        <f>MAX(0, B240-F240-G240)*$B$12</f>
        <v/>
      </c>
      <c r="I240" s="306">
        <f>MAX(0, B240-F240-G240)*(1-$B$12)</f>
        <v/>
      </c>
      <c r="J240" s="306">
        <f>F240+G240+H240</f>
        <v/>
      </c>
      <c r="K240" s="306">
        <f>I240</f>
        <v/>
      </c>
      <c r="L240" s="306">
        <f>L239+J240</f>
        <v/>
      </c>
      <c r="M240" s="306">
        <f>M239+K240</f>
        <v/>
      </c>
      <c r="N240" s="306">
        <f>L240/$B$22</f>
        <v/>
      </c>
    </row>
    <row r="241">
      <c r="A241" s="306" t="n">
        <v>9</v>
      </c>
      <c r="B241" s="306">
        <f>P223</f>
        <v/>
      </c>
      <c r="C241" s="306">
        <f>C240+B241</f>
        <v/>
      </c>
      <c r="D241" s="306">
        <f>MAX(0, $B$22-SUM(F$233:F240))</f>
        <v/>
      </c>
      <c r="E241" s="306">
        <f>D241*$B$11</f>
        <v/>
      </c>
      <c r="F241" s="306">
        <f>MIN(D241, MAX(0, B241))</f>
        <v/>
      </c>
      <c r="G241" s="306">
        <f>IF(D241-F241&lt;=0, MIN(E241+SUM(E$233:E240)-SUM(G$233:G240), MAX(0, B241-F241)), 0)</f>
        <v/>
      </c>
      <c r="H241" s="306">
        <f>MAX(0, B241-F241-G241)*$B$12</f>
        <v/>
      </c>
      <c r="I241" s="306">
        <f>MAX(0, B241-F241-G241)*(1-$B$12)</f>
        <v/>
      </c>
      <c r="J241" s="306">
        <f>F241+G241+H241</f>
        <v/>
      </c>
      <c r="K241" s="306">
        <f>I241</f>
        <v/>
      </c>
      <c r="L241" s="306">
        <f>L240+J241</f>
        <v/>
      </c>
      <c r="M241" s="306">
        <f>M240+K241</f>
        <v/>
      </c>
      <c r="N241" s="306">
        <f>L241/$B$22</f>
        <v/>
      </c>
    </row>
    <row r="242">
      <c r="A242" s="306" t="n">
        <v>10</v>
      </c>
      <c r="B242" s="306">
        <f>P224</f>
        <v/>
      </c>
      <c r="C242" s="306">
        <f>C241+B242</f>
        <v/>
      </c>
      <c r="D242" s="306">
        <f>MAX(0, $B$22-SUM(F$233:F241))</f>
        <v/>
      </c>
      <c r="E242" s="306">
        <f>D242*$B$11</f>
        <v/>
      </c>
      <c r="F242" s="306">
        <f>MIN(D242, MAX(0, B242))</f>
        <v/>
      </c>
      <c r="G242" s="306">
        <f>IF(D242-F242&lt;=0, MIN(E242+SUM(E$233:E241)-SUM(G$233:G241), MAX(0, B242-F242)), 0)</f>
        <v/>
      </c>
      <c r="H242" s="306">
        <f>MAX(0, B242-F242-G242)*$B$12</f>
        <v/>
      </c>
      <c r="I242" s="306">
        <f>MAX(0, B242-F242-G242)*(1-$B$12)</f>
        <v/>
      </c>
      <c r="J242" s="306">
        <f>F242+G242+H242</f>
        <v/>
      </c>
      <c r="K242" s="306">
        <f>I242</f>
        <v/>
      </c>
      <c r="L242" s="306">
        <f>L241+J242</f>
        <v/>
      </c>
      <c r="M242" s="306">
        <f>M241+K242</f>
        <v/>
      </c>
      <c r="N242" s="306">
        <f>L242/$B$22</f>
        <v/>
      </c>
    </row>
    <row r="243">
      <c r="A243" s="306" t="n">
        <v>11</v>
      </c>
      <c r="B243" s="306">
        <f>P225</f>
        <v/>
      </c>
      <c r="C243" s="306">
        <f>C242+B243</f>
        <v/>
      </c>
      <c r="D243" s="306">
        <f>MAX(0, $B$22-SUM(F$233:F242))</f>
        <v/>
      </c>
      <c r="E243" s="306">
        <f>D243*$B$11</f>
        <v/>
      </c>
      <c r="F243" s="306">
        <f>MIN(D243, MAX(0, B243))</f>
        <v/>
      </c>
      <c r="G243" s="306">
        <f>IF(D243-F243&lt;=0, MIN(E243+SUM(E$233:E242)-SUM(G$233:G242), MAX(0, B243-F243)), 0)</f>
        <v/>
      </c>
      <c r="H243" s="306">
        <f>MAX(0, B243-F243-G243)*$B$12</f>
        <v/>
      </c>
      <c r="I243" s="306">
        <f>MAX(0, B243-F243-G243)*(1-$B$12)</f>
        <v/>
      </c>
      <c r="J243" s="306">
        <f>F243+G243+H243</f>
        <v/>
      </c>
      <c r="K243" s="306">
        <f>I243</f>
        <v/>
      </c>
      <c r="L243" s="306">
        <f>L242+J243</f>
        <v/>
      </c>
      <c r="M243" s="306">
        <f>M242+K243</f>
        <v/>
      </c>
      <c r="N243" s="306">
        <f>L243/$B$22</f>
        <v/>
      </c>
    </row>
    <row r="244">
      <c r="A244" s="306" t="n">
        <v>12</v>
      </c>
      <c r="B244" s="306">
        <f>P226</f>
        <v/>
      </c>
      <c r="C244" s="306">
        <f>C243+B244</f>
        <v/>
      </c>
      <c r="D244" s="306">
        <f>MAX(0, $B$22-SUM(F$233:F243))</f>
        <v/>
      </c>
      <c r="E244" s="306">
        <f>D244*$B$11</f>
        <v/>
      </c>
      <c r="F244" s="306">
        <f>MIN(D244, MAX(0, B244))</f>
        <v/>
      </c>
      <c r="G244" s="306">
        <f>IF(D244-F244&lt;=0, MIN(E244+SUM(E$233:E243)-SUM(G$233:G243), MAX(0, B244-F244)), 0)</f>
        <v/>
      </c>
      <c r="H244" s="306">
        <f>MAX(0, B244-F244-G244)*$B$12</f>
        <v/>
      </c>
      <c r="I244" s="306">
        <f>MAX(0, B244-F244-G244)*(1-$B$12)</f>
        <v/>
      </c>
      <c r="J244" s="306">
        <f>F244+G244+H244</f>
        <v/>
      </c>
      <c r="K244" s="306">
        <f>I244</f>
        <v/>
      </c>
      <c r="L244" s="306">
        <f>L243+J244</f>
        <v/>
      </c>
      <c r="M244" s="306">
        <f>M243+K244</f>
        <v/>
      </c>
      <c r="N244" s="306">
        <f>L244/$B$22</f>
        <v/>
      </c>
    </row>
    <row r="245">
      <c r="A245" s="306" t="n">
        <v>13</v>
      </c>
      <c r="B245" s="306">
        <f>P227</f>
        <v/>
      </c>
      <c r="C245" s="306">
        <f>C244+B245</f>
        <v/>
      </c>
      <c r="D245" s="306">
        <f>MAX(0, $B$22-SUM(F$233:F244))</f>
        <v/>
      </c>
      <c r="E245" s="306">
        <f>D245*$B$11</f>
        <v/>
      </c>
      <c r="F245" s="306">
        <f>MIN(D245, MAX(0, B245))</f>
        <v/>
      </c>
      <c r="G245" s="306">
        <f>IF(D245-F245&lt;=0, MIN(E245+SUM(E$233:E244)-SUM(G$233:G244), MAX(0, B245-F245)), 0)</f>
        <v/>
      </c>
      <c r="H245" s="306">
        <f>MAX(0, B245-F245-G245)*$B$12</f>
        <v/>
      </c>
      <c r="I245" s="306">
        <f>MAX(0, B245-F245-G245)*(1-$B$12)</f>
        <v/>
      </c>
      <c r="J245" s="306">
        <f>F245+G245+H245</f>
        <v/>
      </c>
      <c r="K245" s="306">
        <f>I245</f>
        <v/>
      </c>
      <c r="L245" s="306">
        <f>L244+J245</f>
        <v/>
      </c>
      <c r="M245" s="306">
        <f>M244+K245</f>
        <v/>
      </c>
      <c r="N245" s="306">
        <f>L245/$B$22</f>
        <v/>
      </c>
    </row>
    <row r="246">
      <c r="A246" s="306" t="n">
        <v>14</v>
      </c>
      <c r="B246" s="306">
        <f>P228</f>
        <v/>
      </c>
      <c r="C246" s="306">
        <f>C245+B246</f>
        <v/>
      </c>
      <c r="D246" s="306">
        <f>MAX(0, $B$22-SUM(F$233:F245))</f>
        <v/>
      </c>
      <c r="E246" s="306">
        <f>D246*$B$11</f>
        <v/>
      </c>
      <c r="F246" s="306">
        <f>MIN(D246, MAX(0, B246))</f>
        <v/>
      </c>
      <c r="G246" s="306">
        <f>IF(D246-F246&lt;=0, MIN(E246+SUM(E$233:E245)-SUM(G$233:G245), MAX(0, B246-F246)), 0)</f>
        <v/>
      </c>
      <c r="H246" s="306">
        <f>MAX(0, B246-F246-G246)*$B$12</f>
        <v/>
      </c>
      <c r="I246" s="306">
        <f>MAX(0, B246-F246-G246)*(1-$B$12)</f>
        <v/>
      </c>
      <c r="J246" s="306">
        <f>F246+G246+H246</f>
        <v/>
      </c>
      <c r="K246" s="306">
        <f>I246</f>
        <v/>
      </c>
      <c r="L246" s="306">
        <f>L245+J246</f>
        <v/>
      </c>
      <c r="M246" s="306">
        <f>M245+K246</f>
        <v/>
      </c>
      <c r="N246" s="306">
        <f>L246/$B$22</f>
        <v/>
      </c>
    </row>
    <row r="247">
      <c r="A247" s="306" t="n">
        <v>15</v>
      </c>
      <c r="B247" s="306">
        <f>P229</f>
        <v/>
      </c>
      <c r="C247" s="306">
        <f>C246+B247</f>
        <v/>
      </c>
      <c r="D247" s="306">
        <f>MAX(0, $B$22-SUM(F$233:F246))</f>
        <v/>
      </c>
      <c r="E247" s="306">
        <f>D247*$B$11</f>
        <v/>
      </c>
      <c r="F247" s="306">
        <f>MIN(D247, MAX(0, B247))</f>
        <v/>
      </c>
      <c r="G247" s="306">
        <f>IF(D247-F247&lt;=0, MIN(E247+SUM(E$233:E246)-SUM(G$233:G246), MAX(0, B247-F247)), 0)</f>
        <v/>
      </c>
      <c r="H247" s="306">
        <f>MAX(0, B247-F247-G247)*$B$12</f>
        <v/>
      </c>
      <c r="I247" s="306">
        <f>MAX(0, B247-F247-G247)*(1-$B$12)</f>
        <v/>
      </c>
      <c r="J247" s="306">
        <f>F247+G247+H247</f>
        <v/>
      </c>
      <c r="K247" s="306">
        <f>I247</f>
        <v/>
      </c>
      <c r="L247" s="306">
        <f>L246+J247</f>
        <v/>
      </c>
      <c r="M247" s="306">
        <f>M246+K247</f>
        <v/>
      </c>
      <c r="N247" s="306">
        <f>L247/$B$22</f>
        <v/>
      </c>
    </row>
    <row r="249">
      <c r="A249" s="642" t="inlineStr">
        <is>
          <t>SUMMARY</t>
        </is>
      </c>
    </row>
    <row r="250">
      <c r="A250" s="306" t="inlineStr">
        <is>
          <t>15Y LP Cash ($mm)</t>
        </is>
      </c>
      <c r="B250" s="306">
        <f>L247</f>
        <v/>
      </c>
    </row>
    <row r="251">
      <c r="A251" s="306" t="inlineStr">
        <is>
          <t>15Y GP Carry ($mm)</t>
        </is>
      </c>
      <c r="B251" s="306">
        <f>M247</f>
        <v/>
      </c>
    </row>
    <row r="252">
      <c r="A252" s="306" t="inlineStr">
        <is>
          <t>15Y DPI / MOIC</t>
        </is>
      </c>
      <c r="B252" s="306">
        <f>L247/$B$22</f>
        <v/>
      </c>
    </row>
    <row r="253">
      <c r="A253" s="306" t="inlineStr">
        <is>
          <t>10Y LP Cash ($mm)</t>
        </is>
      </c>
      <c r="B253" s="306">
        <f>L242</f>
        <v/>
      </c>
    </row>
    <row r="254">
      <c r="A254" s="306" t="inlineStr">
        <is>
          <t>10Y DPI / MOIC</t>
        </is>
      </c>
      <c r="B254" s="306">
        <f>L242/$B$22</f>
        <v/>
      </c>
    </row>
    <row r="255">
      <c r="A255" s="306" t="inlineStr">
        <is>
          <t>15Y Bonus Pool Total</t>
        </is>
      </c>
      <c r="B255" s="306">
        <f>SUM(H215:H229)</f>
        <v/>
      </c>
    </row>
    <row r="256">
      <c r="A256" s="306" t="inlineStr">
        <is>
          <t>15Y Team Comp Total</t>
        </is>
      </c>
      <c r="B256" s="306">
        <f>SUM(F215:F229)</f>
        <v/>
      </c>
    </row>
    <row r="259">
      <c r="A259" s="306" t="inlineStr">
        <is>
          <t>Yr</t>
        </is>
      </c>
      <c r="B259" s="306" t="inlineStr">
        <is>
          <t>LP Net Cash</t>
        </is>
      </c>
    </row>
    <row r="260">
      <c r="A260" s="306" t="n">
        <v>0</v>
      </c>
      <c r="B260" s="306">
        <f>-$B$22</f>
        <v/>
      </c>
    </row>
    <row r="261">
      <c r="A261" s="306" t="n">
        <v>1</v>
      </c>
      <c r="B261" s="306">
        <f>J233</f>
        <v/>
      </c>
    </row>
    <row r="262">
      <c r="A262" s="306" t="n">
        <v>2</v>
      </c>
      <c r="B262" s="306">
        <f>J234</f>
        <v/>
      </c>
    </row>
    <row r="263">
      <c r="A263" s="306" t="n">
        <v>3</v>
      </c>
      <c r="B263" s="306">
        <f>J235</f>
        <v/>
      </c>
    </row>
    <row r="264">
      <c r="A264" s="306" t="n">
        <v>4</v>
      </c>
      <c r="B264" s="306">
        <f>J236</f>
        <v/>
      </c>
    </row>
    <row r="265">
      <c r="A265" s="306" t="n">
        <v>5</v>
      </c>
      <c r="B265" s="306">
        <f>J237</f>
        <v/>
      </c>
    </row>
    <row r="266">
      <c r="A266" s="306" t="n">
        <v>6</v>
      </c>
      <c r="B266" s="306">
        <f>J238</f>
        <v/>
      </c>
    </row>
    <row r="267">
      <c r="A267" s="306" t="n">
        <v>7</v>
      </c>
      <c r="B267" s="306">
        <f>J239</f>
        <v/>
      </c>
    </row>
    <row r="268">
      <c r="A268" s="306" t="n">
        <v>8</v>
      </c>
      <c r="B268" s="306">
        <f>J240</f>
        <v/>
      </c>
    </row>
    <row r="269">
      <c r="A269" s="306" t="n">
        <v>9</v>
      </c>
      <c r="B269" s="306">
        <f>J241</f>
        <v/>
      </c>
    </row>
    <row r="270">
      <c r="A270" s="306" t="n">
        <v>10</v>
      </c>
      <c r="B270" s="306">
        <f>J242</f>
        <v/>
      </c>
    </row>
    <row r="271">
      <c r="A271" s="306" t="n">
        <v>11</v>
      </c>
      <c r="B271" s="306">
        <f>J243</f>
        <v/>
      </c>
    </row>
    <row r="272">
      <c r="A272" s="306" t="n">
        <v>12</v>
      </c>
      <c r="B272" s="306">
        <f>J244</f>
        <v/>
      </c>
    </row>
    <row r="273">
      <c r="A273" s="306" t="n">
        <v>13</v>
      </c>
      <c r="B273" s="306">
        <f>J245</f>
        <v/>
      </c>
    </row>
    <row r="274">
      <c r="A274" s="306" t="n">
        <v>14</v>
      </c>
      <c r="B274" s="306">
        <f>J246</f>
        <v/>
      </c>
    </row>
    <row r="275">
      <c r="A275" s="306" t="n">
        <v>15</v>
      </c>
      <c r="B275" s="306">
        <f>J247</f>
        <v/>
      </c>
    </row>
    <row r="276">
      <c r="A276" s="306" t="inlineStr">
        <is>
          <t>15Y IRR</t>
        </is>
      </c>
      <c r="B276" s="306">
        <f>IRR(B260:B275)</f>
        <v/>
      </c>
    </row>
    <row r="277">
      <c r="A277" s="306" t="inlineStr">
        <is>
          <t>10Y IRR</t>
        </is>
      </c>
      <c r="B277" s="306">
        <f>IRR(B260:B270)</f>
        <v/>
      </c>
    </row>
    <row r="290">
      <c r="A290" s="642" t="inlineStr">
        <is>
          <t>ESCALATING WATERFALL  (Tier 2: 1-2x 80/20; Tier 3: 2-3x 75/25; Tier 4: &gt;3x 70/30)</t>
        </is>
      </c>
    </row>
    <row r="291" ht="36" customHeight="1" s="307">
      <c r="A291" s="643" t="inlineStr">
        <is>
          <t>Year</t>
        </is>
      </c>
      <c r="B291" s="643" t="inlineStr">
        <is>
          <t>Annual Dist</t>
        </is>
      </c>
      <c r="C291" s="643" t="inlineStr">
        <is>
          <t>Unret BoY</t>
        </is>
      </c>
      <c r="D291" s="643" t="inlineStr">
        <is>
          <t>Pref Owed</t>
        </is>
      </c>
      <c r="E291" s="643" t="inlineStr">
        <is>
          <t>Cap Paid</t>
        </is>
      </c>
      <c r="F291" s="643" t="inlineStr">
        <is>
          <t>Pref Paid</t>
        </is>
      </c>
      <c r="G291" s="643" t="inlineStr">
        <is>
          <t>Avail Profit</t>
        </is>
      </c>
      <c r="H291" s="643" t="inlineStr">
        <is>
          <t>Start Cum LP</t>
        </is>
      </c>
      <c r="I291" s="643" t="inlineStr">
        <is>
          <t>T2 Profit</t>
        </is>
      </c>
      <c r="J291" s="643" t="inlineStr">
        <is>
          <t>T3 Profit</t>
        </is>
      </c>
      <c r="K291" s="643" t="inlineStr">
        <is>
          <t>T4 Profit</t>
        </is>
      </c>
      <c r="L291" s="643" t="inlineStr">
        <is>
          <t>LP Profit</t>
        </is>
      </c>
      <c r="M291" s="643" t="inlineStr">
        <is>
          <t>GP Carry</t>
        </is>
      </c>
      <c r="N291" s="643" t="inlineStr">
        <is>
          <t>LP Cash Yr</t>
        </is>
      </c>
      <c r="O291" s="643" t="inlineStr">
        <is>
          <t>GP Carry Yr</t>
        </is>
      </c>
      <c r="P291" s="643" t="inlineStr">
        <is>
          <t>Cum LP</t>
        </is>
      </c>
      <c r="Q291" s="643" t="inlineStr">
        <is>
          <t>Cum GP</t>
        </is>
      </c>
      <c r="R291" s="643" t="inlineStr">
        <is>
          <t>MOIC</t>
        </is>
      </c>
    </row>
    <row r="292">
      <c r="A292" s="306" t="n">
        <v>1</v>
      </c>
      <c r="B292" s="306">
        <f>P215</f>
        <v/>
      </c>
      <c r="C292" s="306">
        <f>$B$22</f>
        <v/>
      </c>
      <c r="D292" s="306">
        <f>C292*$B$11</f>
        <v/>
      </c>
      <c r="E292" s="306">
        <f>MIN(C292, MAX(0, B292))</f>
        <v/>
      </c>
      <c r="F292" s="306">
        <f>IF(C292-E292&lt;=0, MIN(D292, MAX(0, B292-E292)), 0)</f>
        <v/>
      </c>
      <c r="G292" s="306">
        <f>MAX(0, B292-E292-F292)</f>
        <v/>
      </c>
      <c r="H292" s="306" t="n">
        <v>0</v>
      </c>
      <c r="I292" s="306">
        <f>IF(H292&lt;2*$B$22, MIN(G292, (2*$B$22-H292)/'1. Press Assumptions'!$B$40), 0)</f>
        <v/>
      </c>
      <c r="J292" s="306">
        <f>IF(H292+I292*'1. Press Assumptions'!$B$40&lt;3*$B$22, MIN(MAX(0, G292-I292), (3*$B$22-(H292+I292*'1. Press Assumptions'!$B$40))/'1. Press Assumptions'!$B$41), 0)</f>
        <v/>
      </c>
      <c r="K292" s="306">
        <f>MAX(0, G292-I292-J292)</f>
        <v/>
      </c>
      <c r="L292" s="306">
        <f>I292*'1. Press Assumptions'!$B$40+J292*'1. Press Assumptions'!$B$41+K292*'1. Press Assumptions'!$B$42</f>
        <v/>
      </c>
      <c r="M292" s="306">
        <f>I292*(1-'1. Press Assumptions'!$B$40)+J292*(1-'1. Press Assumptions'!$B$41)+K292*(1-'1. Press Assumptions'!$B$42)</f>
        <v/>
      </c>
      <c r="N292" s="306">
        <f>E292+F292+L292</f>
        <v/>
      </c>
      <c r="O292" s="306">
        <f>M292</f>
        <v/>
      </c>
      <c r="P292" s="306">
        <f>N292</f>
        <v/>
      </c>
      <c r="Q292" s="306">
        <f>O292</f>
        <v/>
      </c>
      <c r="R292" s="306">
        <f>P292/$B$22</f>
        <v/>
      </c>
    </row>
    <row r="293">
      <c r="A293" s="306" t="n">
        <v>2</v>
      </c>
      <c r="B293" s="306">
        <f>P216</f>
        <v/>
      </c>
      <c r="C293" s="306">
        <f>MAX(0, $B$22-SUM(E$292:E292))</f>
        <v/>
      </c>
      <c r="D293" s="306">
        <f>C293*$B$11</f>
        <v/>
      </c>
      <c r="E293" s="306">
        <f>MIN(C293, MAX(0, B293))</f>
        <v/>
      </c>
      <c r="F293" s="306">
        <f>IF(C293-E293&lt;=0, MIN(D293+SUM(D$292:D292)-SUM(F$292:F292), MAX(0, B293-E293)), 0)</f>
        <v/>
      </c>
      <c r="G293" s="306">
        <f>MAX(0, B293-E293-F293)</f>
        <v/>
      </c>
      <c r="H293" s="306">
        <f>P292</f>
        <v/>
      </c>
      <c r="I293" s="306">
        <f>IF(H293&lt;2*$B$22, MIN(G293, (2*$B$22-H293)/'1. Press Assumptions'!$B$40), 0)</f>
        <v/>
      </c>
      <c r="J293" s="306">
        <f>IF(H293+I293*'1. Press Assumptions'!$B$40&lt;3*$B$22, MIN(MAX(0, G293-I293), (3*$B$22-(H293+I293*'1. Press Assumptions'!$B$40))/'1. Press Assumptions'!$B$41), 0)</f>
        <v/>
      </c>
      <c r="K293" s="306">
        <f>MAX(0, G293-I293-J293)</f>
        <v/>
      </c>
      <c r="L293" s="306">
        <f>I293*'1. Press Assumptions'!$B$40+J293*'1. Press Assumptions'!$B$41+K293*'1. Press Assumptions'!$B$42</f>
        <v/>
      </c>
      <c r="M293" s="306">
        <f>I293*(1-'1. Press Assumptions'!$B$40)+J293*(1-'1. Press Assumptions'!$B$41)+K293*(1-'1. Press Assumptions'!$B$42)</f>
        <v/>
      </c>
      <c r="N293" s="306">
        <f>E293+F293+L293</f>
        <v/>
      </c>
      <c r="O293" s="306">
        <f>M293</f>
        <v/>
      </c>
      <c r="P293" s="306">
        <f>P292+N293</f>
        <v/>
      </c>
      <c r="Q293" s="306">
        <f>Q292+O293</f>
        <v/>
      </c>
      <c r="R293" s="306">
        <f>P293/$B$22</f>
        <v/>
      </c>
    </row>
    <row r="294">
      <c r="A294" s="306" t="n">
        <v>3</v>
      </c>
      <c r="B294" s="306">
        <f>P217</f>
        <v/>
      </c>
      <c r="C294" s="306">
        <f>MAX(0, $B$22-SUM(E$292:E293))</f>
        <v/>
      </c>
      <c r="D294" s="306">
        <f>C294*$B$11</f>
        <v/>
      </c>
      <c r="E294" s="306">
        <f>MIN(C294, MAX(0, B294))</f>
        <v/>
      </c>
      <c r="F294" s="306">
        <f>IF(C294-E294&lt;=0, MIN(D294+SUM(D$292:D293)-SUM(F$292:F293), MAX(0, B294-E294)), 0)</f>
        <v/>
      </c>
      <c r="G294" s="306">
        <f>MAX(0, B294-E294-F294)</f>
        <v/>
      </c>
      <c r="H294" s="306">
        <f>P293</f>
        <v/>
      </c>
      <c r="I294" s="306">
        <f>IF(H294&lt;2*$B$22, MIN(G294, (2*$B$22-H294)/'1. Press Assumptions'!$B$40), 0)</f>
        <v/>
      </c>
      <c r="J294" s="306">
        <f>IF(H294+I294*'1. Press Assumptions'!$B$40&lt;3*$B$22, MIN(MAX(0, G294-I294), (3*$B$22-(H294+I294*'1. Press Assumptions'!$B$40))/'1. Press Assumptions'!$B$41), 0)</f>
        <v/>
      </c>
      <c r="K294" s="306">
        <f>MAX(0, G294-I294-J294)</f>
        <v/>
      </c>
      <c r="L294" s="306">
        <f>I294*'1. Press Assumptions'!$B$40+J294*'1. Press Assumptions'!$B$41+K294*'1. Press Assumptions'!$B$42</f>
        <v/>
      </c>
      <c r="M294" s="306">
        <f>I294*(1-'1. Press Assumptions'!$B$40)+J294*(1-'1. Press Assumptions'!$B$41)+K294*(1-'1. Press Assumptions'!$B$42)</f>
        <v/>
      </c>
      <c r="N294" s="306">
        <f>E294+F294+L294</f>
        <v/>
      </c>
      <c r="O294" s="306">
        <f>M294</f>
        <v/>
      </c>
      <c r="P294" s="306">
        <f>P293+N294</f>
        <v/>
      </c>
      <c r="Q294" s="306">
        <f>Q293+O294</f>
        <v/>
      </c>
      <c r="R294" s="306">
        <f>P294/$B$22</f>
        <v/>
      </c>
    </row>
    <row r="295">
      <c r="A295" s="306" t="n">
        <v>4</v>
      </c>
      <c r="B295" s="306">
        <f>P218</f>
        <v/>
      </c>
      <c r="C295" s="306">
        <f>MAX(0, $B$22-SUM(E$292:E294))</f>
        <v/>
      </c>
      <c r="D295" s="306">
        <f>C295*$B$11</f>
        <v/>
      </c>
      <c r="E295" s="306">
        <f>MIN(C295, MAX(0, B295))</f>
        <v/>
      </c>
      <c r="F295" s="306">
        <f>IF(C295-E295&lt;=0, MIN(D295+SUM(D$292:D294)-SUM(F$292:F294), MAX(0, B295-E295)), 0)</f>
        <v/>
      </c>
      <c r="G295" s="306">
        <f>MAX(0, B295-E295-F295)</f>
        <v/>
      </c>
      <c r="H295" s="306">
        <f>P294</f>
        <v/>
      </c>
      <c r="I295" s="306">
        <f>IF(H295&lt;2*$B$22, MIN(G295, (2*$B$22-H295)/'1. Press Assumptions'!$B$40), 0)</f>
        <v/>
      </c>
      <c r="J295" s="306">
        <f>IF(H295+I295*'1. Press Assumptions'!$B$40&lt;3*$B$22, MIN(MAX(0, G295-I295), (3*$B$22-(H295+I295*'1. Press Assumptions'!$B$40))/'1. Press Assumptions'!$B$41), 0)</f>
        <v/>
      </c>
      <c r="K295" s="306">
        <f>MAX(0, G295-I295-J295)</f>
        <v/>
      </c>
      <c r="L295" s="306">
        <f>I295*'1. Press Assumptions'!$B$40+J295*'1. Press Assumptions'!$B$41+K295*'1. Press Assumptions'!$B$42</f>
        <v/>
      </c>
      <c r="M295" s="306">
        <f>I295*(1-'1. Press Assumptions'!$B$40)+J295*(1-'1. Press Assumptions'!$B$41)+K295*(1-'1. Press Assumptions'!$B$42)</f>
        <v/>
      </c>
      <c r="N295" s="306">
        <f>E295+F295+L295</f>
        <v/>
      </c>
      <c r="O295" s="306">
        <f>M295</f>
        <v/>
      </c>
      <c r="P295" s="306">
        <f>P294+N295</f>
        <v/>
      </c>
      <c r="Q295" s="306">
        <f>Q294+O295</f>
        <v/>
      </c>
      <c r="R295" s="306">
        <f>P295/$B$22</f>
        <v/>
      </c>
    </row>
    <row r="296">
      <c r="A296" s="306" t="n">
        <v>5</v>
      </c>
      <c r="B296" s="306">
        <f>P219</f>
        <v/>
      </c>
      <c r="C296" s="306">
        <f>MAX(0, $B$22-SUM(E$292:E295))</f>
        <v/>
      </c>
      <c r="D296" s="306">
        <f>C296*$B$11</f>
        <v/>
      </c>
      <c r="E296" s="306">
        <f>MIN(C296, MAX(0, B296))</f>
        <v/>
      </c>
      <c r="F296" s="306">
        <f>IF(C296-E296&lt;=0, MIN(D296+SUM(D$292:D295)-SUM(F$292:F295), MAX(0, B296-E296)), 0)</f>
        <v/>
      </c>
      <c r="G296" s="306">
        <f>MAX(0, B296-E296-F296)</f>
        <v/>
      </c>
      <c r="H296" s="306">
        <f>P295</f>
        <v/>
      </c>
      <c r="I296" s="306">
        <f>IF(H296&lt;2*$B$22, MIN(G296, (2*$B$22-H296)/'1. Press Assumptions'!$B$40), 0)</f>
        <v/>
      </c>
      <c r="J296" s="306">
        <f>IF(H296+I296*'1. Press Assumptions'!$B$40&lt;3*$B$22, MIN(MAX(0, G296-I296), (3*$B$22-(H296+I296*'1. Press Assumptions'!$B$40))/'1. Press Assumptions'!$B$41), 0)</f>
        <v/>
      </c>
      <c r="K296" s="306">
        <f>MAX(0, G296-I296-J296)</f>
        <v/>
      </c>
      <c r="L296" s="306">
        <f>I296*'1. Press Assumptions'!$B$40+J296*'1. Press Assumptions'!$B$41+K296*'1. Press Assumptions'!$B$42</f>
        <v/>
      </c>
      <c r="M296" s="306">
        <f>I296*(1-'1. Press Assumptions'!$B$40)+J296*(1-'1. Press Assumptions'!$B$41)+K296*(1-'1. Press Assumptions'!$B$42)</f>
        <v/>
      </c>
      <c r="N296" s="306">
        <f>E296+F296+L296</f>
        <v/>
      </c>
      <c r="O296" s="306">
        <f>M296</f>
        <v/>
      </c>
      <c r="P296" s="306">
        <f>P295+N296</f>
        <v/>
      </c>
      <c r="Q296" s="306">
        <f>Q295+O296</f>
        <v/>
      </c>
      <c r="R296" s="306">
        <f>P296/$B$22</f>
        <v/>
      </c>
    </row>
    <row r="297">
      <c r="A297" s="306" t="n">
        <v>6</v>
      </c>
      <c r="B297" s="306">
        <f>P220</f>
        <v/>
      </c>
      <c r="C297" s="306">
        <f>MAX(0, $B$22-SUM(E$292:E296))</f>
        <v/>
      </c>
      <c r="D297" s="306">
        <f>C297*$B$11</f>
        <v/>
      </c>
      <c r="E297" s="306">
        <f>MIN(C297, MAX(0, B297))</f>
        <v/>
      </c>
      <c r="F297" s="306">
        <f>IF(C297-E297&lt;=0, MIN(D297+SUM(D$292:D296)-SUM(F$292:F296), MAX(0, B297-E297)), 0)</f>
        <v/>
      </c>
      <c r="G297" s="306">
        <f>MAX(0, B297-E297-F297)</f>
        <v/>
      </c>
      <c r="H297" s="306">
        <f>P296</f>
        <v/>
      </c>
      <c r="I297" s="306">
        <f>IF(H297&lt;2*$B$22, MIN(G297, (2*$B$22-H297)/'1. Press Assumptions'!$B$40), 0)</f>
        <v/>
      </c>
      <c r="J297" s="306">
        <f>IF(H297+I297*'1. Press Assumptions'!$B$40&lt;3*$B$22, MIN(MAX(0, G297-I297), (3*$B$22-(H297+I297*'1. Press Assumptions'!$B$40))/'1. Press Assumptions'!$B$41), 0)</f>
        <v/>
      </c>
      <c r="K297" s="306">
        <f>MAX(0, G297-I297-J297)</f>
        <v/>
      </c>
      <c r="L297" s="306">
        <f>I297*'1. Press Assumptions'!$B$40+J297*'1. Press Assumptions'!$B$41+K297*'1. Press Assumptions'!$B$42</f>
        <v/>
      </c>
      <c r="M297" s="306">
        <f>I297*(1-'1. Press Assumptions'!$B$40)+J297*(1-'1. Press Assumptions'!$B$41)+K297*(1-'1. Press Assumptions'!$B$42)</f>
        <v/>
      </c>
      <c r="N297" s="306">
        <f>E297+F297+L297</f>
        <v/>
      </c>
      <c r="O297" s="306">
        <f>M297</f>
        <v/>
      </c>
      <c r="P297" s="306">
        <f>P296+N297</f>
        <v/>
      </c>
      <c r="Q297" s="306">
        <f>Q296+O297</f>
        <v/>
      </c>
      <c r="R297" s="306">
        <f>P297/$B$22</f>
        <v/>
      </c>
    </row>
    <row r="298">
      <c r="A298" s="306" t="n">
        <v>7</v>
      </c>
      <c r="B298" s="306">
        <f>P221</f>
        <v/>
      </c>
      <c r="C298" s="306">
        <f>MAX(0, $B$22-SUM(E$292:E297))</f>
        <v/>
      </c>
      <c r="D298" s="306">
        <f>C298*$B$11</f>
        <v/>
      </c>
      <c r="E298" s="306">
        <f>MIN(C298, MAX(0, B298))</f>
        <v/>
      </c>
      <c r="F298" s="306">
        <f>IF(C298-E298&lt;=0, MIN(D298+SUM(D$292:D297)-SUM(F$292:F297), MAX(0, B298-E298)), 0)</f>
        <v/>
      </c>
      <c r="G298" s="306">
        <f>MAX(0, B298-E298-F298)</f>
        <v/>
      </c>
      <c r="H298" s="306">
        <f>P297</f>
        <v/>
      </c>
      <c r="I298" s="306">
        <f>IF(H298&lt;2*$B$22, MIN(G298, (2*$B$22-H298)/'1. Press Assumptions'!$B$40), 0)</f>
        <v/>
      </c>
      <c r="J298" s="306">
        <f>IF(H298+I298*'1. Press Assumptions'!$B$40&lt;3*$B$22, MIN(MAX(0, G298-I298), (3*$B$22-(H298+I298*'1. Press Assumptions'!$B$40))/'1. Press Assumptions'!$B$41), 0)</f>
        <v/>
      </c>
      <c r="K298" s="306">
        <f>MAX(0, G298-I298-J298)</f>
        <v/>
      </c>
      <c r="L298" s="306">
        <f>I298*'1. Press Assumptions'!$B$40+J298*'1. Press Assumptions'!$B$41+K298*'1. Press Assumptions'!$B$42</f>
        <v/>
      </c>
      <c r="M298" s="306">
        <f>I298*(1-'1. Press Assumptions'!$B$40)+J298*(1-'1. Press Assumptions'!$B$41)+K298*(1-'1. Press Assumptions'!$B$42)</f>
        <v/>
      </c>
      <c r="N298" s="306">
        <f>E298+F298+L298</f>
        <v/>
      </c>
      <c r="O298" s="306">
        <f>M298</f>
        <v/>
      </c>
      <c r="P298" s="306">
        <f>P297+N298</f>
        <v/>
      </c>
      <c r="Q298" s="306">
        <f>Q297+O298</f>
        <v/>
      </c>
      <c r="R298" s="306">
        <f>P298/$B$22</f>
        <v/>
      </c>
    </row>
    <row r="299">
      <c r="A299" s="306" t="n">
        <v>8</v>
      </c>
      <c r="B299" s="306">
        <f>P222</f>
        <v/>
      </c>
      <c r="C299" s="306">
        <f>MAX(0, $B$22-SUM(E$292:E298))</f>
        <v/>
      </c>
      <c r="D299" s="306">
        <f>C299*$B$11</f>
        <v/>
      </c>
      <c r="E299" s="306">
        <f>MIN(C299, MAX(0, B299))</f>
        <v/>
      </c>
      <c r="F299" s="306">
        <f>IF(C299-E299&lt;=0, MIN(D299+SUM(D$292:D298)-SUM(F$292:F298), MAX(0, B299-E299)), 0)</f>
        <v/>
      </c>
      <c r="G299" s="306">
        <f>MAX(0, B299-E299-F299)</f>
        <v/>
      </c>
      <c r="H299" s="306">
        <f>P298</f>
        <v/>
      </c>
      <c r="I299" s="306">
        <f>IF(H299&lt;2*$B$22, MIN(G299, (2*$B$22-H299)/'1. Press Assumptions'!$B$40), 0)</f>
        <v/>
      </c>
      <c r="J299" s="306">
        <f>IF(H299+I299*'1. Press Assumptions'!$B$40&lt;3*$B$22, MIN(MAX(0, G299-I299), (3*$B$22-(H299+I299*'1. Press Assumptions'!$B$40))/'1. Press Assumptions'!$B$41), 0)</f>
        <v/>
      </c>
      <c r="K299" s="306">
        <f>MAX(0, G299-I299-J299)</f>
        <v/>
      </c>
      <c r="L299" s="306">
        <f>I299*'1. Press Assumptions'!$B$40+J299*'1. Press Assumptions'!$B$41+K299*'1. Press Assumptions'!$B$42</f>
        <v/>
      </c>
      <c r="M299" s="306">
        <f>I299*(1-'1. Press Assumptions'!$B$40)+J299*(1-'1. Press Assumptions'!$B$41)+K299*(1-'1. Press Assumptions'!$B$42)</f>
        <v/>
      </c>
      <c r="N299" s="306">
        <f>E299+F299+L299</f>
        <v/>
      </c>
      <c r="O299" s="306">
        <f>M299</f>
        <v/>
      </c>
      <c r="P299" s="306">
        <f>P298+N299</f>
        <v/>
      </c>
      <c r="Q299" s="306">
        <f>Q298+O299</f>
        <v/>
      </c>
      <c r="R299" s="306">
        <f>P299/$B$22</f>
        <v/>
      </c>
    </row>
    <row r="300">
      <c r="A300" s="306" t="n">
        <v>9</v>
      </c>
      <c r="B300" s="306">
        <f>P223</f>
        <v/>
      </c>
      <c r="C300" s="306">
        <f>MAX(0, $B$22-SUM(E$292:E299))</f>
        <v/>
      </c>
      <c r="D300" s="306">
        <f>C300*$B$11</f>
        <v/>
      </c>
      <c r="E300" s="306">
        <f>MIN(C300, MAX(0, B300))</f>
        <v/>
      </c>
      <c r="F300" s="306">
        <f>IF(C300-E300&lt;=0, MIN(D300+SUM(D$292:D299)-SUM(F$292:F299), MAX(0, B300-E300)), 0)</f>
        <v/>
      </c>
      <c r="G300" s="306">
        <f>MAX(0, B300-E300-F300)</f>
        <v/>
      </c>
      <c r="H300" s="306">
        <f>P299</f>
        <v/>
      </c>
      <c r="I300" s="306">
        <f>IF(H300&lt;2*$B$22, MIN(G300, (2*$B$22-H300)/'1. Press Assumptions'!$B$40), 0)</f>
        <v/>
      </c>
      <c r="J300" s="306">
        <f>IF(H300+I300*'1. Press Assumptions'!$B$40&lt;3*$B$22, MIN(MAX(0, G300-I300), (3*$B$22-(H300+I300*'1. Press Assumptions'!$B$40))/'1. Press Assumptions'!$B$41), 0)</f>
        <v/>
      </c>
      <c r="K300" s="306">
        <f>MAX(0, G300-I300-J300)</f>
        <v/>
      </c>
      <c r="L300" s="306">
        <f>I300*'1. Press Assumptions'!$B$40+J300*'1. Press Assumptions'!$B$41+K300*'1. Press Assumptions'!$B$42</f>
        <v/>
      </c>
      <c r="M300" s="306">
        <f>I300*(1-'1. Press Assumptions'!$B$40)+J300*(1-'1. Press Assumptions'!$B$41)+K300*(1-'1. Press Assumptions'!$B$42)</f>
        <v/>
      </c>
      <c r="N300" s="306">
        <f>E300+F300+L300</f>
        <v/>
      </c>
      <c r="O300" s="306">
        <f>M300</f>
        <v/>
      </c>
      <c r="P300" s="306">
        <f>P299+N300</f>
        <v/>
      </c>
      <c r="Q300" s="306">
        <f>Q299+O300</f>
        <v/>
      </c>
      <c r="R300" s="306">
        <f>P300/$B$22</f>
        <v/>
      </c>
    </row>
    <row r="301">
      <c r="A301" s="306" t="n">
        <v>10</v>
      </c>
      <c r="B301" s="306">
        <f>P224</f>
        <v/>
      </c>
      <c r="C301" s="306">
        <f>MAX(0, $B$22-SUM(E$292:E300))</f>
        <v/>
      </c>
      <c r="D301" s="306">
        <f>C301*$B$11</f>
        <v/>
      </c>
      <c r="E301" s="306">
        <f>MIN(C301, MAX(0, B301))</f>
        <v/>
      </c>
      <c r="F301" s="306">
        <f>IF(C301-E301&lt;=0, MIN(D301+SUM(D$292:D300)-SUM(F$292:F300), MAX(0, B301-E301)), 0)</f>
        <v/>
      </c>
      <c r="G301" s="306">
        <f>MAX(0, B301-E301-F301)</f>
        <v/>
      </c>
      <c r="H301" s="306">
        <f>P300</f>
        <v/>
      </c>
      <c r="I301" s="306">
        <f>IF(H301&lt;2*$B$22, MIN(G301, (2*$B$22-H301)/'1. Press Assumptions'!$B$40), 0)</f>
        <v/>
      </c>
      <c r="J301" s="306">
        <f>IF(H301+I301*'1. Press Assumptions'!$B$40&lt;3*$B$22, MIN(MAX(0, G301-I301), (3*$B$22-(H301+I301*'1. Press Assumptions'!$B$40))/'1. Press Assumptions'!$B$41), 0)</f>
        <v/>
      </c>
      <c r="K301" s="306">
        <f>MAX(0, G301-I301-J301)</f>
        <v/>
      </c>
      <c r="L301" s="306">
        <f>I301*'1. Press Assumptions'!$B$40+J301*'1. Press Assumptions'!$B$41+K301*'1. Press Assumptions'!$B$42</f>
        <v/>
      </c>
      <c r="M301" s="306">
        <f>I301*(1-'1. Press Assumptions'!$B$40)+J301*(1-'1. Press Assumptions'!$B$41)+K301*(1-'1. Press Assumptions'!$B$42)</f>
        <v/>
      </c>
      <c r="N301" s="306">
        <f>E301+F301+L301</f>
        <v/>
      </c>
      <c r="O301" s="306">
        <f>M301</f>
        <v/>
      </c>
      <c r="P301" s="306">
        <f>P300+N301</f>
        <v/>
      </c>
      <c r="Q301" s="306">
        <f>Q300+O301</f>
        <v/>
      </c>
      <c r="R301" s="306">
        <f>P301/$B$22</f>
        <v/>
      </c>
    </row>
    <row r="302">
      <c r="A302" s="306" t="n">
        <v>11</v>
      </c>
      <c r="B302" s="306">
        <f>P225</f>
        <v/>
      </c>
      <c r="C302" s="306">
        <f>MAX(0, $B$22-SUM(E$292:E301))</f>
        <v/>
      </c>
      <c r="D302" s="306">
        <f>C302*$B$11</f>
        <v/>
      </c>
      <c r="E302" s="306">
        <f>MIN(C302, MAX(0, B302))</f>
        <v/>
      </c>
      <c r="F302" s="306">
        <f>IF(C302-E302&lt;=0, MIN(D302+SUM(D$292:D301)-SUM(F$292:F301), MAX(0, B302-E302)), 0)</f>
        <v/>
      </c>
      <c r="G302" s="306">
        <f>MAX(0, B302-E302-F302)</f>
        <v/>
      </c>
      <c r="H302" s="306">
        <f>P301</f>
        <v/>
      </c>
      <c r="I302" s="306">
        <f>IF(H302&lt;2*$B$22, MIN(G302, (2*$B$22-H302)/'1. Press Assumptions'!$B$40), 0)</f>
        <v/>
      </c>
      <c r="J302" s="306">
        <f>IF(H302+I302*'1. Press Assumptions'!$B$40&lt;3*$B$22, MIN(MAX(0, G302-I302), (3*$B$22-(H302+I302*'1. Press Assumptions'!$B$40))/'1. Press Assumptions'!$B$41), 0)</f>
        <v/>
      </c>
      <c r="K302" s="306">
        <f>MAX(0, G302-I302-J302)</f>
        <v/>
      </c>
      <c r="L302" s="306">
        <f>I302*'1. Press Assumptions'!$B$40+J302*'1. Press Assumptions'!$B$41+K302*'1. Press Assumptions'!$B$42</f>
        <v/>
      </c>
      <c r="M302" s="306">
        <f>I302*(1-'1. Press Assumptions'!$B$40)+J302*(1-'1. Press Assumptions'!$B$41)+K302*(1-'1. Press Assumptions'!$B$42)</f>
        <v/>
      </c>
      <c r="N302" s="306">
        <f>E302+F302+L302</f>
        <v/>
      </c>
      <c r="O302" s="306">
        <f>M302</f>
        <v/>
      </c>
      <c r="P302" s="306">
        <f>P301+N302</f>
        <v/>
      </c>
      <c r="Q302" s="306">
        <f>Q301+O302</f>
        <v/>
      </c>
      <c r="R302" s="306">
        <f>P302/$B$22</f>
        <v/>
      </c>
    </row>
    <row r="303">
      <c r="A303" s="306" t="n">
        <v>12</v>
      </c>
      <c r="B303" s="306">
        <f>P226</f>
        <v/>
      </c>
      <c r="C303" s="306">
        <f>MAX(0, $B$22-SUM(E$292:E302))</f>
        <v/>
      </c>
      <c r="D303" s="306">
        <f>C303*$B$11</f>
        <v/>
      </c>
      <c r="E303" s="306">
        <f>MIN(C303, MAX(0, B303))</f>
        <v/>
      </c>
      <c r="F303" s="306">
        <f>IF(C303-E303&lt;=0, MIN(D303+SUM(D$292:D302)-SUM(F$292:F302), MAX(0, B303-E303)), 0)</f>
        <v/>
      </c>
      <c r="G303" s="306">
        <f>MAX(0, B303-E303-F303)</f>
        <v/>
      </c>
      <c r="H303" s="306">
        <f>P302</f>
        <v/>
      </c>
      <c r="I303" s="306">
        <f>IF(H303&lt;2*$B$22, MIN(G303, (2*$B$22-H303)/'1. Press Assumptions'!$B$40), 0)</f>
        <v/>
      </c>
      <c r="J303" s="306">
        <f>IF(H303+I303*'1. Press Assumptions'!$B$40&lt;3*$B$22, MIN(MAX(0, G303-I303), (3*$B$22-(H303+I303*'1. Press Assumptions'!$B$40))/'1. Press Assumptions'!$B$41), 0)</f>
        <v/>
      </c>
      <c r="K303" s="306">
        <f>MAX(0, G303-I303-J303)</f>
        <v/>
      </c>
      <c r="L303" s="306">
        <f>I303*'1. Press Assumptions'!$B$40+J303*'1. Press Assumptions'!$B$41+K303*'1. Press Assumptions'!$B$42</f>
        <v/>
      </c>
      <c r="M303" s="306">
        <f>I303*(1-'1. Press Assumptions'!$B$40)+J303*(1-'1. Press Assumptions'!$B$41)+K303*(1-'1. Press Assumptions'!$B$42)</f>
        <v/>
      </c>
      <c r="N303" s="306">
        <f>E303+F303+L303</f>
        <v/>
      </c>
      <c r="O303" s="306">
        <f>M303</f>
        <v/>
      </c>
      <c r="P303" s="306">
        <f>P302+N303</f>
        <v/>
      </c>
      <c r="Q303" s="306">
        <f>Q302+O303</f>
        <v/>
      </c>
      <c r="R303" s="306">
        <f>P303/$B$22</f>
        <v/>
      </c>
    </row>
    <row r="304">
      <c r="A304" s="306" t="n">
        <v>13</v>
      </c>
      <c r="B304" s="306">
        <f>P227</f>
        <v/>
      </c>
      <c r="C304" s="306">
        <f>MAX(0, $B$22-SUM(E$292:E303))</f>
        <v/>
      </c>
      <c r="D304" s="306">
        <f>C304*$B$11</f>
        <v/>
      </c>
      <c r="E304" s="306">
        <f>MIN(C304, MAX(0, B304))</f>
        <v/>
      </c>
      <c r="F304" s="306">
        <f>IF(C304-E304&lt;=0, MIN(D304+SUM(D$292:D303)-SUM(F$292:F303), MAX(0, B304-E304)), 0)</f>
        <v/>
      </c>
      <c r="G304" s="306">
        <f>MAX(0, B304-E304-F304)</f>
        <v/>
      </c>
      <c r="H304" s="306">
        <f>P303</f>
        <v/>
      </c>
      <c r="I304" s="306">
        <f>IF(H304&lt;2*$B$22, MIN(G304, (2*$B$22-H304)/'1. Press Assumptions'!$B$40), 0)</f>
        <v/>
      </c>
      <c r="J304" s="306">
        <f>IF(H304+I304*'1. Press Assumptions'!$B$40&lt;3*$B$22, MIN(MAX(0, G304-I304), (3*$B$22-(H304+I304*'1. Press Assumptions'!$B$40))/'1. Press Assumptions'!$B$41), 0)</f>
        <v/>
      </c>
      <c r="K304" s="306">
        <f>MAX(0, G304-I304-J304)</f>
        <v/>
      </c>
      <c r="L304" s="306">
        <f>I304*'1. Press Assumptions'!$B$40+J304*'1. Press Assumptions'!$B$41+K304*'1. Press Assumptions'!$B$42</f>
        <v/>
      </c>
      <c r="M304" s="306">
        <f>I304*(1-'1. Press Assumptions'!$B$40)+J304*(1-'1. Press Assumptions'!$B$41)+K304*(1-'1. Press Assumptions'!$B$42)</f>
        <v/>
      </c>
      <c r="N304" s="306">
        <f>E304+F304+L304</f>
        <v/>
      </c>
      <c r="O304" s="306">
        <f>M304</f>
        <v/>
      </c>
      <c r="P304" s="306">
        <f>P303+N304</f>
        <v/>
      </c>
      <c r="Q304" s="306">
        <f>Q303+O304</f>
        <v/>
      </c>
      <c r="R304" s="306">
        <f>P304/$B$22</f>
        <v/>
      </c>
    </row>
    <row r="305">
      <c r="A305" s="306" t="n">
        <v>14</v>
      </c>
      <c r="B305" s="306">
        <f>P228</f>
        <v/>
      </c>
      <c r="C305" s="306">
        <f>MAX(0, $B$22-SUM(E$292:E304))</f>
        <v/>
      </c>
      <c r="D305" s="306">
        <f>C305*$B$11</f>
        <v/>
      </c>
      <c r="E305" s="306">
        <f>MIN(C305, MAX(0, B305))</f>
        <v/>
      </c>
      <c r="F305" s="306">
        <f>IF(C305-E305&lt;=0, MIN(D305+SUM(D$292:D304)-SUM(F$292:F304), MAX(0, B305-E305)), 0)</f>
        <v/>
      </c>
      <c r="G305" s="306">
        <f>MAX(0, B305-E305-F305)</f>
        <v/>
      </c>
      <c r="H305" s="306">
        <f>P304</f>
        <v/>
      </c>
      <c r="I305" s="306">
        <f>IF(H305&lt;2*$B$22, MIN(G305, (2*$B$22-H305)/'1. Press Assumptions'!$B$40), 0)</f>
        <v/>
      </c>
      <c r="J305" s="306">
        <f>IF(H305+I305*'1. Press Assumptions'!$B$40&lt;3*$B$22, MIN(MAX(0, G305-I305), (3*$B$22-(H305+I305*'1. Press Assumptions'!$B$40))/'1. Press Assumptions'!$B$41), 0)</f>
        <v/>
      </c>
      <c r="K305" s="306">
        <f>MAX(0, G305-I305-J305)</f>
        <v/>
      </c>
      <c r="L305" s="306">
        <f>I305*'1. Press Assumptions'!$B$40+J305*'1. Press Assumptions'!$B$41+K305*'1. Press Assumptions'!$B$42</f>
        <v/>
      </c>
      <c r="M305" s="306">
        <f>I305*(1-'1. Press Assumptions'!$B$40)+J305*(1-'1. Press Assumptions'!$B$41)+K305*(1-'1. Press Assumptions'!$B$42)</f>
        <v/>
      </c>
      <c r="N305" s="306">
        <f>E305+F305+L305</f>
        <v/>
      </c>
      <c r="O305" s="306">
        <f>M305</f>
        <v/>
      </c>
      <c r="P305" s="306">
        <f>P304+N305</f>
        <v/>
      </c>
      <c r="Q305" s="306">
        <f>Q304+O305</f>
        <v/>
      </c>
      <c r="R305" s="306">
        <f>P305/$B$22</f>
        <v/>
      </c>
    </row>
    <row r="306">
      <c r="A306" s="306" t="n">
        <v>15</v>
      </c>
      <c r="B306" s="306">
        <f>P229</f>
        <v/>
      </c>
      <c r="C306" s="306">
        <f>MAX(0, $B$22-SUM(E$292:E305))</f>
        <v/>
      </c>
      <c r="D306" s="306">
        <f>C306*$B$11</f>
        <v/>
      </c>
      <c r="E306" s="306">
        <f>MIN(C306, MAX(0, B306))</f>
        <v/>
      </c>
      <c r="F306" s="306">
        <f>IF(C306-E306&lt;=0, MIN(D306+SUM(D$292:D305)-SUM(F$292:F305), MAX(0, B306-E306)), 0)</f>
        <v/>
      </c>
      <c r="G306" s="306">
        <f>MAX(0, B306-E306-F306)</f>
        <v/>
      </c>
      <c r="H306" s="306">
        <f>P305</f>
        <v/>
      </c>
      <c r="I306" s="306">
        <f>IF(H306&lt;2*$B$22, MIN(G306, (2*$B$22-H306)/'1. Press Assumptions'!$B$40), 0)</f>
        <v/>
      </c>
      <c r="J306" s="306">
        <f>IF(H306+I306*'1. Press Assumptions'!$B$40&lt;3*$B$22, MIN(MAX(0, G306-I306), (3*$B$22-(H306+I306*'1. Press Assumptions'!$B$40))/'1. Press Assumptions'!$B$41), 0)</f>
        <v/>
      </c>
      <c r="K306" s="306">
        <f>MAX(0, G306-I306-J306)</f>
        <v/>
      </c>
      <c r="L306" s="306">
        <f>I306*'1. Press Assumptions'!$B$40+J306*'1. Press Assumptions'!$B$41+K306*'1. Press Assumptions'!$B$42</f>
        <v/>
      </c>
      <c r="M306" s="306">
        <f>I306*(1-'1. Press Assumptions'!$B$40)+J306*(1-'1. Press Assumptions'!$B$41)+K306*(1-'1. Press Assumptions'!$B$42)</f>
        <v/>
      </c>
      <c r="N306" s="306">
        <f>E306+F306+L306</f>
        <v/>
      </c>
      <c r="O306" s="306">
        <f>M306</f>
        <v/>
      </c>
      <c r="P306" s="306">
        <f>P305+N306</f>
        <v/>
      </c>
      <c r="Q306" s="306">
        <f>Q305+O306</f>
        <v/>
      </c>
      <c r="R306" s="306">
        <f>P306/$B$22</f>
        <v/>
      </c>
    </row>
    <row r="308">
      <c r="A308" s="641" t="inlineStr">
        <is>
          <t>ESCALATING SUMMARY</t>
        </is>
      </c>
    </row>
    <row r="309">
      <c r="A309" s="306" t="inlineStr">
        <is>
          <t>15Y LP Cash (Esc)</t>
        </is>
      </c>
      <c r="B309" s="306">
        <f>P306</f>
        <v/>
      </c>
    </row>
    <row r="310">
      <c r="A310" s="306" t="inlineStr">
        <is>
          <t>15Y GP Carry (Esc)</t>
        </is>
      </c>
      <c r="B310" s="306">
        <f>Q306</f>
        <v/>
      </c>
    </row>
    <row r="311">
      <c r="A311" s="306" t="inlineStr">
        <is>
          <t>15Y DPI (Esc)</t>
        </is>
      </c>
      <c r="B311" s="306">
        <f>P306/$B$22</f>
        <v/>
      </c>
    </row>
    <row r="312">
      <c r="A312" s="306" t="inlineStr">
        <is>
          <t>Delta GP Carry (Esc - Std)</t>
        </is>
      </c>
      <c r="B312" s="306">
        <f>Q306-B251</f>
        <v/>
      </c>
    </row>
    <row r="315">
      <c r="A315" s="642" t="inlineStr">
        <is>
          <t>CLAWBACK CHECK  (whole-fund waterfall applied to 15Y total)</t>
        </is>
      </c>
    </row>
    <row r="316">
      <c r="A316" s="306" t="inlineStr">
        <is>
          <t>Total 15Y Distributable ($mm)</t>
        </is>
      </c>
      <c r="B316" s="306">
        <f>SUM(P215:P229)</f>
        <v/>
      </c>
    </row>
    <row r="317">
      <c r="A317" s="306" t="inlineStr">
        <is>
          <t>1x Return of Capital</t>
        </is>
      </c>
      <c r="B317" s="306">
        <f>MIN(B316, $B$22)</f>
        <v/>
      </c>
    </row>
    <row r="318">
      <c r="A318" s="306" t="inlineStr">
        <is>
          <t>10% pref (declining balance approx)</t>
        </is>
      </c>
      <c r="B318" s="306">
        <f>SUM(F292:F306)</f>
        <v/>
      </c>
    </row>
    <row r="319">
      <c r="A319" s="306" t="inlineStr">
        <is>
          <t>Available profit</t>
        </is>
      </c>
      <c r="B319" s="306">
        <f>MAX(0, B316 - B317 - B318)</f>
        <v/>
      </c>
    </row>
    <row r="320">
      <c r="A320" s="306" t="inlineStr">
        <is>
          <t>Cum LP pre-profit</t>
        </is>
      </c>
      <c r="B320" s="306">
        <f>B317+B318</f>
        <v/>
      </c>
    </row>
    <row r="321">
      <c r="A321" s="306" t="inlineStr">
        <is>
          <t>Tier 2 profit (cum LP 1x-2x)</t>
        </is>
      </c>
      <c r="B321" s="306">
        <f>IF(B320&lt;2*$B$22, MIN(B319, (2*$B$22-B320)/'1. Press Assumptions'!$B$40), 0)</f>
        <v/>
      </c>
    </row>
    <row r="322">
      <c r="A322" s="306" t="inlineStr">
        <is>
          <t>Tier 3 profit (cum LP 2x-3x)</t>
        </is>
      </c>
      <c r="B322" s="306">
        <f>IF(B320+B321*'1. Press Assumptions'!$B$40&lt;3*$B$22, MIN(MAX(0, B319-B321), (3*$B$22-(B320+B321*'1. Press Assumptions'!$B$40))/'1. Press Assumptions'!$B$41), 0)</f>
        <v/>
      </c>
    </row>
    <row r="323">
      <c r="A323" s="306" t="inlineStr">
        <is>
          <t>Tier 4 profit (cum LP &gt;3x)</t>
        </is>
      </c>
      <c r="B323" s="306">
        <f>MAX(0, B319-B321-B322)</f>
        <v/>
      </c>
    </row>
    <row r="324">
      <c r="A324" s="306" t="inlineStr">
        <is>
          <t>LP entitled (RoC + pref + tiered profit)</t>
        </is>
      </c>
      <c r="B324" s="306">
        <f>B317+B318+B321*'1. Press Assumptions'!$B$40+B322*'1. Press Assumptions'!$B$41+B323*'1. Press Assumptions'!$B$42</f>
        <v/>
      </c>
    </row>
    <row r="325">
      <c r="A325" s="306" t="inlineStr">
        <is>
          <t>GP entitled (tiered carry)</t>
        </is>
      </c>
      <c r="B325" s="306">
        <f>B321*(1-'1. Press Assumptions'!$B$40)+B322*(1-'1. Press Assumptions'!$B$41)+B323*(1-'1. Press Assumptions'!$B$42)</f>
        <v/>
      </c>
    </row>
    <row r="326">
      <c r="A326" s="306" t="inlineStr">
        <is>
          <t>GP actual carry paid (escalating)</t>
        </is>
      </c>
      <c r="B326" s="306">
        <f>Q306</f>
        <v/>
      </c>
    </row>
    <row r="327">
      <c r="A327" s="627" t="inlineStr">
        <is>
          <t>CLAWBACK (GP must return)</t>
        </is>
      </c>
      <c r="B327" s="627">
        <f>MAX(0, B326-B325)</f>
        <v/>
      </c>
    </row>
    <row r="328">
      <c r="A328" s="306" t="inlineStr">
        <is>
          <t>LP cash net of clawback ($mm)</t>
        </is>
      </c>
      <c r="B328" s="306">
        <f>P306+B327</f>
        <v/>
      </c>
    </row>
    <row r="329">
      <c r="A329" s="306" t="inlineStr">
        <is>
          <t>LP DPI net of clawback</t>
        </is>
      </c>
      <c r="B329" s="306">
        <f>B328/$B$22</f>
        <v/>
      </c>
    </row>
    <row r="332">
      <c r="A332" s="642" t="inlineStr">
        <is>
          <t>RECYCLING CASH SUFFICIENCY  (recycle % = 1.0)</t>
        </is>
      </c>
    </row>
    <row r="333">
      <c r="A333" s="633" t="inlineStr">
        <is>
          <t>Milestone</t>
        </is>
      </c>
      <c r="B333" s="633" t="inlineStr">
        <is>
          <t>Cum Retained ($mm)</t>
        </is>
      </c>
      <c r="C333" s="633" t="inlineStr">
        <is>
          <t>Cum Funded ($mm)</t>
        </is>
      </c>
      <c r="D333" s="633" t="inlineStr">
        <is>
          <t>Balance available</t>
        </is>
      </c>
      <c r="E333" s="633" t="inlineStr">
        <is>
          <t>Status</t>
        </is>
      </c>
    </row>
    <row r="334">
      <c r="A334" s="306" t="inlineStr">
        <is>
          <t>M24 (Deal #6 close)</t>
        </is>
      </c>
      <c r="B334" s="695">
        <f>SUM(Y31:Y54)</f>
        <v/>
      </c>
      <c r="C334" s="695" t="n">
        <v>30</v>
      </c>
      <c r="D334" s="695">
        <f>B334-C334</f>
        <v/>
      </c>
      <c r="E334" s="306">
        <f>IF(B334&gt;=C334, "OK", "SHORTFALL: $"&amp;TEXT(C334-B334,"0.0")&amp;"M")</f>
        <v/>
      </c>
    </row>
    <row r="335">
      <c r="A335" s="306" t="inlineStr">
        <is>
          <t>M28 (Deal #7 close)</t>
        </is>
      </c>
      <c r="B335" s="695">
        <f>SUM(Y31:Y58)</f>
        <v/>
      </c>
      <c r="C335" s="695" t="n">
        <v>60</v>
      </c>
      <c r="D335" s="695">
        <f>B335-C335</f>
        <v/>
      </c>
      <c r="E335" s="306">
        <f>IF(B335&gt;=C335, "OK", "SHORTFALL: $"&amp;TEXT(C335-B335,"0.0")&amp;"M")</f>
        <v/>
      </c>
    </row>
    <row r="336">
      <c r="A336" s="306" t="inlineStr">
        <is>
          <t>M32 (Deal #8 close)</t>
        </is>
      </c>
      <c r="B336" s="695">
        <f>SUM(Y31:Y62)</f>
        <v/>
      </c>
      <c r="C336" s="695" t="n">
        <v>90</v>
      </c>
      <c r="D336" s="695">
        <f>B336-C336</f>
        <v/>
      </c>
      <c r="E336" s="306">
        <f>IF(B336&gt;=C336, "OK", "SHORTFALL: $"&amp;TEXT(C336-B336,"0.0")&amp;"M")</f>
        <v/>
      </c>
    </row>
    <row r="337">
      <c r="A337" s="306" t="inlineStr">
        <is>
          <t>M36 (Deal #9 close)</t>
        </is>
      </c>
      <c r="B337" s="695">
        <f>SUM(Y31:Y66)</f>
        <v/>
      </c>
      <c r="C337" s="695" t="n">
        <v>120</v>
      </c>
      <c r="D337" s="695">
        <f>B337-C337</f>
        <v/>
      </c>
      <c r="E337" s="306">
        <f>IF(B337&gt;=C337, "OK", "SHORTFALL: $"&amp;TEXT(C337-B337,"0.0")&amp;"M")</f>
        <v/>
      </c>
    </row>
    <row r="338">
      <c r="A338" s="628" t="inlineStr">
        <is>
          <t>Total recycled capital needed</t>
        </is>
      </c>
      <c r="B338" s="306" t="n">
        <v>120</v>
      </c>
    </row>
    <row r="339">
      <c r="A339" s="628" t="inlineStr">
        <is>
          <t>Total retained M1-36</t>
        </is>
      </c>
      <c r="B339" s="306">
        <f>SUM(Y31:Y66)</f>
        <v/>
      </c>
    </row>
    <row r="340">
      <c r="A340" s="627" t="inlineStr">
        <is>
          <t>Net shortfall if any</t>
        </is>
      </c>
      <c r="B340" s="627">
        <f>MAX(0, 120 - B339)</f>
        <v/>
      </c>
    </row>
    <row r="350">
      <c r="A350" s="633" t="inlineStr">
        <is>
          <t>DEBUG: Monthly Dist Pre-Retain Y2-Y3 sample</t>
        </is>
      </c>
    </row>
    <row r="351">
      <c r="A351" s="306" t="inlineStr">
        <is>
          <t>Month</t>
        </is>
      </c>
      <c r="B351" s="306" t="inlineStr">
        <is>
          <t>Revenue</t>
        </is>
      </c>
      <c r="C351" s="306" t="inlineStr">
        <is>
          <t>EBITDA</t>
        </is>
      </c>
      <c r="D351" s="306" t="inlineStr">
        <is>
          <t>Severance</t>
        </is>
      </c>
      <c r="E351" s="306" t="inlineStr">
        <is>
          <t>Dist Pre-Retain</t>
        </is>
      </c>
      <c r="F351" s="306" t="inlineStr">
        <is>
          <t>Retained</t>
        </is>
      </c>
    </row>
    <row r="352">
      <c r="A352" s="306" t="n">
        <v>12</v>
      </c>
      <c r="B352" s="306">
        <f>P42</f>
        <v/>
      </c>
      <c r="C352" s="306">
        <f>V42</f>
        <v/>
      </c>
      <c r="D352" s="306">
        <f>W42</f>
        <v/>
      </c>
      <c r="E352" s="306">
        <f>X42</f>
        <v/>
      </c>
      <c r="F352" s="306">
        <f>Y42</f>
        <v/>
      </c>
    </row>
    <row r="353">
      <c r="A353" s="306" t="n">
        <v>18</v>
      </c>
      <c r="B353" s="306">
        <f>P48</f>
        <v/>
      </c>
      <c r="C353" s="306">
        <f>V48</f>
        <v/>
      </c>
      <c r="D353" s="306">
        <f>W48</f>
        <v/>
      </c>
      <c r="E353" s="306">
        <f>X48</f>
        <v/>
      </c>
      <c r="F353" s="306">
        <f>Y48</f>
        <v/>
      </c>
    </row>
    <row r="354">
      <c r="A354" s="306" t="n">
        <v>24</v>
      </c>
      <c r="B354" s="306">
        <f>P54</f>
        <v/>
      </c>
      <c r="C354" s="306">
        <f>V54</f>
        <v/>
      </c>
      <c r="D354" s="306">
        <f>W54</f>
        <v/>
      </c>
      <c r="E354" s="306">
        <f>X54</f>
        <v/>
      </c>
      <c r="F354" s="306">
        <f>Y54</f>
        <v/>
      </c>
    </row>
    <row r="355">
      <c r="A355" s="306" t="n">
        <v>28</v>
      </c>
      <c r="B355" s="306">
        <f>P58</f>
        <v/>
      </c>
      <c r="C355" s="306">
        <f>V58</f>
        <v/>
      </c>
      <c r="D355" s="306">
        <f>W58</f>
        <v/>
      </c>
      <c r="E355" s="306">
        <f>X58</f>
        <v/>
      </c>
      <c r="F355" s="306">
        <f>Y58</f>
        <v/>
      </c>
    </row>
    <row r="356">
      <c r="A356" s="306" t="n">
        <v>30</v>
      </c>
      <c r="B356" s="306">
        <f>P60</f>
        <v/>
      </c>
      <c r="C356" s="306">
        <f>V60</f>
        <v/>
      </c>
      <c r="D356" s="306">
        <f>W60</f>
        <v/>
      </c>
      <c r="E356" s="306">
        <f>X60</f>
        <v/>
      </c>
      <c r="F356" s="306">
        <f>Y60</f>
        <v/>
      </c>
    </row>
    <row r="357">
      <c r="A357" s="306" t="n">
        <v>32</v>
      </c>
      <c r="B357" s="306">
        <f>P62</f>
        <v/>
      </c>
      <c r="C357" s="306">
        <f>V62</f>
        <v/>
      </c>
      <c r="D357" s="306">
        <f>W62</f>
        <v/>
      </c>
      <c r="E357" s="306">
        <f>X62</f>
        <v/>
      </c>
      <c r="F357" s="306">
        <f>Y62</f>
        <v/>
      </c>
    </row>
    <row r="358">
      <c r="A358" s="306" t="n">
        <v>36</v>
      </c>
      <c r="B358" s="306">
        <f>P66</f>
        <v/>
      </c>
      <c r="C358" s="306">
        <f>V66</f>
        <v/>
      </c>
      <c r="D358" s="306">
        <f>W66</f>
        <v/>
      </c>
      <c r="E358" s="306">
        <f>X66</f>
        <v/>
      </c>
      <c r="F358" s="306">
        <f>Y66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" customWidth="1" style="307" min="1" max="1"/>
    <col width="50" customWidth="1" style="307" min="2" max="2"/>
    <col width="55" customWidth="1" style="307" min="3" max="3"/>
    <col width="11" customWidth="1" style="307" min="4" max="4"/>
    <col width="65" customWidth="1" style="307" min="5" max="5"/>
  </cols>
  <sheetData>
    <row r="1">
      <c r="A1" s="633" t="inlineStr">
        <is>
          <t>PRESS MODEL  --  CHANGE LOG (v4 final)</t>
        </is>
      </c>
    </row>
    <row r="2">
      <c r="A2" s="615" t="inlineStr">
        <is>
          <t>LP-lens QA fixes complete. Engines: _Engine_NR / _Engine_R50 / _Engine_R100 (auto-update from Tab 1).</t>
        </is>
      </c>
    </row>
    <row r="3">
      <c r="A3" s="628" t="inlineStr">
        <is>
          <t>Status: 21 DONE  /  3 PARTIAL  /  0 TODO  (of 24 total)</t>
        </is>
      </c>
    </row>
    <row r="4" ht="22" customHeight="1" s="307">
      <c r="A4" s="643" t="inlineStr">
        <is>
          <t>#</t>
        </is>
      </c>
      <c r="B4" s="643" t="inlineStr">
        <is>
          <t>Issue</t>
        </is>
      </c>
      <c r="C4" s="643" t="inlineStr">
        <is>
          <t>Fix</t>
        </is>
      </c>
      <c r="D4" s="643" t="inlineStr">
        <is>
          <t>Status</t>
        </is>
      </c>
      <c r="E4" s="643" t="inlineStr">
        <is>
          <t>Notes / LP Insight</t>
        </is>
      </c>
    </row>
    <row r="5" ht="65" customHeight="1" s="307">
      <c r="A5" s="635" t="inlineStr">
        <is>
          <t>1</t>
        </is>
      </c>
      <c r="B5" s="636" t="inlineStr">
        <is>
          <t>Hidden GP economics in Tab 15.</t>
        </is>
      </c>
      <c r="C5" s="636" t="inlineStr">
        <is>
          <t>Restated. $200-422M total GP take vs $21M presented.</t>
        </is>
      </c>
      <c r="D5" s="637" t="inlineStr">
        <is>
          <t>DONE</t>
        </is>
      </c>
      <c r="E5" s="638" t="inlineStr">
        <is>
          <t>GP take = 25-28% of total fund cash.</t>
        </is>
      </c>
    </row>
    <row r="6" ht="65" customHeight="1" s="307">
      <c r="A6" s="635" t="inlineStr">
        <is>
          <t>2</t>
        </is>
      </c>
      <c r="B6" s="636" t="inlineStr">
        <is>
          <t>Capital shortfall.</t>
        </is>
      </c>
      <c r="C6" s="636" t="inlineStr">
        <is>
          <t>ARR cap at $24M -&gt; $141.88M deployed.</t>
        </is>
      </c>
      <c r="D6" s="637" t="inlineStr">
        <is>
          <t>DONE</t>
        </is>
      </c>
      <c r="E6" s="638" t="inlineStr"/>
    </row>
    <row r="7" ht="65" customHeight="1" s="307">
      <c r="A7" s="635" t="inlineStr">
        <is>
          <t>3</t>
        </is>
      </c>
      <c r="B7" s="636" t="inlineStr">
        <is>
          <t>Model not auto-update.</t>
        </is>
      </c>
      <c r="C7" s="636" t="inlineStr">
        <is>
          <t>3 live engines wired to 4a-4g, 5a-5e, 6, 8, 11, 13, 14, 15, 17, 22.</t>
        </is>
      </c>
      <c r="D7" s="637" t="inlineStr">
        <is>
          <t>DONE</t>
        </is>
      </c>
      <c r="E7" s="638" t="inlineStr">
        <is>
          <t>Change any blue cell on Tab 1 -&gt; all recalc.</t>
        </is>
      </c>
    </row>
    <row r="8" ht="65" customHeight="1" s="307">
      <c r="A8" s="635" t="inlineStr">
        <is>
          <t>4</t>
        </is>
      </c>
      <c r="B8" s="636" t="inlineStr">
        <is>
          <t>62.5% margin x 85% NDR inconsistency.</t>
        </is>
      </c>
      <c r="C8" s="636" t="inlineStr">
        <is>
          <t>2-D joint sensitivity on Tab 11.</t>
        </is>
      </c>
      <c r="D8" s="637" t="inlineStr">
        <is>
          <t>DONE</t>
        </is>
      </c>
      <c r="E8" s="638" t="inlineStr">
        <is>
          <t>NDR=70% gives &lt;1x DPI even with margin removed. Downside breakpoint is NDR not margin.</t>
        </is>
      </c>
    </row>
    <row r="9" ht="65" customHeight="1" s="307">
      <c r="A9" s="635" t="inlineStr">
        <is>
          <t>5</t>
        </is>
      </c>
      <c r="B9" s="636" t="inlineStr">
        <is>
          <t>Recycling impact on LP IRR.</t>
        </is>
      </c>
      <c r="C9" s="636" t="inlineStr">
        <is>
          <t>Tab 6 live with Standard + Escalating.</t>
        </is>
      </c>
      <c r="D9" s="637" t="inlineStr">
        <is>
          <t>DONE</t>
        </is>
      </c>
      <c r="E9" s="638" t="inlineStr">
        <is>
          <t>With per-deal NDR mix, recycling IMPROVES IRR (26% -&gt; 33%). Conviction-dependent.</t>
        </is>
      </c>
    </row>
    <row r="10" ht="65" customHeight="1" s="307">
      <c r="A10" s="635" t="inlineStr">
        <is>
          <t>6</t>
        </is>
      </c>
      <c r="B10" s="636" t="inlineStr">
        <is>
          <t>Placeholder Escalating Waterfall (5c/5d).</t>
        </is>
      </c>
      <c r="C10" s="636" t="inlineStr">
        <is>
          <t>Built tiered waterfall in engines (80/20 -&gt; 75/25 -&gt; 70/30).</t>
        </is>
      </c>
      <c r="D10" s="637" t="inlineStr">
        <is>
          <t>DONE</t>
        </is>
      </c>
      <c r="E10" s="638" t="inlineStr">
        <is>
          <t>GP captures $30-88M more under Escalating vs Standard.</t>
        </is>
      </c>
    </row>
    <row r="11" ht="65" customHeight="1" s="307">
      <c r="A11" s="635" t="inlineStr">
        <is>
          <t>7</t>
        </is>
      </c>
      <c r="B11" s="636" t="inlineStr">
        <is>
          <t>No clawback logic.</t>
        </is>
      </c>
      <c r="C11" s="636" t="inlineStr">
        <is>
          <t>Added Final Clawback Check to each engine (whole-fund waterfall vs sum of year-by-year carry).</t>
        </is>
      </c>
      <c r="D11" s="637" t="inlineStr">
        <is>
          <t>DONE</t>
        </is>
      </c>
      <c r="E11" s="638" t="inlineStr">
        <is>
          <t>Base case clawback ~$0-$1M (escalating annual ~= whole-fund). Under stress, would activate.</t>
        </is>
      </c>
    </row>
    <row r="12" ht="65" customHeight="1" s="307">
      <c r="A12" s="635" t="inlineStr">
        <is>
          <t>8</t>
        </is>
      </c>
      <c r="B12" s="636" t="inlineStr">
        <is>
          <t>Tab 1 B112 severance auto cell.</t>
        </is>
      </c>
      <c r="C12" s="636" t="inlineStr">
        <is>
          <t>Engine computes correctly; legacy display cell stale.</t>
        </is>
      </c>
      <c r="D12" s="639" t="inlineStr">
        <is>
          <t>PARTIAL</t>
        </is>
      </c>
      <c r="E12" s="638" t="inlineStr"/>
    </row>
    <row r="13" ht="65" customHeight="1" s="307">
      <c r="A13" s="635" t="inlineStr">
        <is>
          <t>9</t>
        </is>
      </c>
      <c r="B13" s="636" t="inlineStr">
        <is>
          <t>Margin disagrees (Tab 7 = 60%, Tab 1 = 62.5%).</t>
        </is>
      </c>
      <c r="C13" s="636" t="inlineStr">
        <is>
          <t>Tab 7 header now formula-references Tab 1 B26. Per-deal cells live-wired.</t>
        </is>
      </c>
      <c r="D13" s="637" t="inlineStr">
        <is>
          <t>DONE</t>
        </is>
      </c>
      <c r="E13" s="638" t="inlineStr"/>
    </row>
    <row r="14" ht="65" customHeight="1" s="307">
      <c r="A14" s="635" t="inlineStr">
        <is>
          <t>10</t>
        </is>
      </c>
      <c r="B14" s="636" t="inlineStr">
        <is>
          <t>Tier 4 threshold blank.</t>
        </is>
      </c>
      <c r="C14" s="636" t="inlineStr">
        <is>
          <t>Engines hard-code MOIC=3x threshold; use Tab 1 B42 split.</t>
        </is>
      </c>
      <c r="D14" s="637" t="inlineStr">
        <is>
          <t>DONE</t>
        </is>
      </c>
      <c r="E14" s="638" t="inlineStr"/>
    </row>
    <row r="15" ht="65" customHeight="1" s="307">
      <c r="A15" s="635" t="inlineStr">
        <is>
          <t>11</t>
        </is>
      </c>
      <c r="B15" s="636" t="inlineStr">
        <is>
          <t>Totals column on P&amp;L wrong.</t>
        </is>
      </c>
      <c r="C15" s="636" t="inlineStr">
        <is>
          <t>Fixed via SUM in engine wiring.</t>
        </is>
      </c>
      <c r="D15" s="637" t="inlineStr">
        <is>
          <t>DONE</t>
        </is>
      </c>
      <c r="E15" s="638" t="inlineStr"/>
    </row>
    <row r="16" ht="65" customHeight="1" s="307">
      <c r="A16" s="635" t="inlineStr">
        <is>
          <t>12</t>
        </is>
      </c>
      <c r="B16" s="636" t="inlineStr">
        <is>
          <t>Tab 14 J-Curve hard-coded.</t>
        </is>
      </c>
      <c r="C16" s="636" t="inlineStr">
        <is>
          <t>Live from _Engine_NR. M7 trough, M11 positive.</t>
        </is>
      </c>
      <c r="D16" s="637" t="inlineStr">
        <is>
          <t>DONE</t>
        </is>
      </c>
      <c r="E16" s="638" t="inlineStr"/>
    </row>
    <row r="17" ht="65" customHeight="1" s="307">
      <c r="A17" s="635" t="inlineStr">
        <is>
          <t>13</t>
        </is>
      </c>
      <c r="B17" s="636" t="inlineStr">
        <is>
          <t>Bonus pool inconsistent.</t>
        </is>
      </c>
      <c r="C17" s="636" t="inlineStr">
        <is>
          <t>Engines use one rule.</t>
        </is>
      </c>
      <c r="D17" s="637" t="inlineStr">
        <is>
          <t>DONE</t>
        </is>
      </c>
      <c r="E17" s="638" t="inlineStr"/>
    </row>
    <row r="18" ht="65" customHeight="1" s="307">
      <c r="A18" s="635" t="inlineStr">
        <is>
          <t>14</t>
        </is>
      </c>
      <c r="B18" s="636" t="inlineStr">
        <is>
          <t>Tab 2 returns identical across LP sizes.</t>
        </is>
      </c>
      <c r="C18" s="636" t="inlineStr">
        <is>
          <t>Added banner flagging size-invariance; added placeholder LP class structure section.</t>
        </is>
      </c>
      <c r="D18" s="637" t="inlineStr">
        <is>
          <t>DONE</t>
        </is>
      </c>
      <c r="E18" s="638" t="inlineStr">
        <is>
          <t>Current deck has no real differentiation. LP should ask about anchor / co-invest / LPAC terms.</t>
        </is>
      </c>
    </row>
    <row r="19" ht="65" customHeight="1" s="307">
      <c r="A19" s="635" t="inlineStr">
        <is>
          <t>15</t>
        </is>
      </c>
      <c r="B19" s="636" t="inlineStr">
        <is>
          <t>Tab 17 Tax conflated LP ordinary with GP LTCG.</t>
        </is>
      </c>
      <c r="C19" s="636" t="inlineStr">
        <is>
          <t>Rebuilt: LP 40.8% ordinary, 23.8% exit LTCG; ~37.4% blended.</t>
        </is>
      </c>
      <c r="D19" s="637" t="inlineStr">
        <is>
          <t>DONE</t>
        </is>
      </c>
      <c r="E19" s="638" t="inlineStr">
        <is>
          <t>Post-tax DPI: 2.95x (NR), 4.90x (R50), 4.67x (R100).</t>
        </is>
      </c>
    </row>
    <row r="20" ht="65" customHeight="1" s="307">
      <c r="A20" s="635" t="inlineStr">
        <is>
          <t>16</t>
        </is>
      </c>
      <c r="B20" s="636" t="inlineStr">
        <is>
          <t>Tab 13 Stress only varied NDR.</t>
        </is>
      </c>
      <c r="C20" s="636" t="inlineStr">
        <is>
          <t>Rebuilt with 8 realistic scenarios.</t>
        </is>
      </c>
      <c r="D20" s="637" t="inlineStr">
        <is>
          <t>DONE</t>
        </is>
      </c>
      <c r="E20" s="638" t="inlineStr">
        <is>
          <t>Combined severe = LP loses 113% of capital.</t>
        </is>
      </c>
    </row>
    <row r="21" ht="65" customHeight="1" s="307">
      <c r="A21" s="635" t="inlineStr">
        <is>
          <t>17</t>
        </is>
      </c>
      <c r="B21" s="636" t="inlineStr">
        <is>
          <t>No governance disclosure.</t>
        </is>
      </c>
      <c r="C21" s="636" t="inlineStr">
        <is>
          <t>Tab 27 placeholder with 15-item LP DD checklist.</t>
        </is>
      </c>
      <c r="D21" s="637" t="inlineStr">
        <is>
          <t>DONE</t>
        </is>
      </c>
      <c r="E21" s="638" t="inlineStr">
        <is>
          <t>All items currently NOT DISCLOSED in deck.</t>
        </is>
      </c>
    </row>
    <row r="22" ht="65" customHeight="1" s="307">
      <c r="A22" s="635" t="inlineStr">
        <is>
          <t>18</t>
        </is>
      </c>
      <c r="B22" s="636" t="inlineStr">
        <is>
          <t>No partnership / broken deal / D&amp;O reserves.</t>
        </is>
      </c>
      <c r="C22" s="636" t="inlineStr">
        <is>
          <t>Flagged unfunded in S&amp;U notes.</t>
        </is>
      </c>
      <c r="D22" s="639" t="inlineStr">
        <is>
          <t>PARTIAL</t>
        </is>
      </c>
      <c r="E22" s="638" t="inlineStr"/>
    </row>
    <row r="23" ht="65" customHeight="1" s="307">
      <c r="A23" s="635" t="inlineStr">
        <is>
          <t>19</t>
        </is>
      </c>
      <c r="B23" s="636" t="inlineStr">
        <is>
          <t>Tab 24 Benchmarks misleading.</t>
        </is>
      </c>
      <c r="C23" s="636" t="inlineStr">
        <is>
          <t>Rebuilt with apples-to-apples flags and proper sources.</t>
        </is>
      </c>
      <c r="D23" s="637" t="inlineStr">
        <is>
          <t>DONE</t>
        </is>
      </c>
      <c r="E23" s="638" t="inlineStr">
        <is>
          <t>Original compared Press 10Y projected DPI to PE 10Y realized (which is pre-exit). Corrected.</t>
        </is>
      </c>
    </row>
    <row r="24" ht="65" customHeight="1" s="307">
      <c r="A24" s="635" t="inlineStr">
        <is>
          <t>20</t>
        </is>
      </c>
      <c r="B24" s="636" t="inlineStr">
        <is>
          <t>Tab 9 Deal Detail placeholder.</t>
        </is>
      </c>
      <c r="C24" s="636" t="inlineStr">
        <is>
          <t>Live per-deal P&amp;L; pick OpCo in B4.</t>
        </is>
      </c>
      <c r="D24" s="637" t="inlineStr">
        <is>
          <t>DONE</t>
        </is>
      </c>
      <c r="E24" s="638" t="inlineStr"/>
    </row>
    <row r="25" ht="65" customHeight="1" s="307">
      <c r="A25" s="635" t="inlineStr">
        <is>
          <t>21</t>
        </is>
      </c>
      <c r="B25" s="636" t="inlineStr">
        <is>
          <t>Tab 22 duplicates Tab 6.</t>
        </is>
      </c>
      <c r="C25" s="636" t="inlineStr">
        <is>
          <t>Rebuilt as Standard + Escalating delta + Clawback check.</t>
        </is>
      </c>
      <c r="D25" s="637" t="inlineStr">
        <is>
          <t>DONE</t>
        </is>
      </c>
      <c r="E25" s="638" t="inlineStr">
        <is>
          <t>Adds value vs Tab 6 by showing escalating delta and clawback math clearly.</t>
        </is>
      </c>
    </row>
    <row r="26" ht="65" customHeight="1" s="307">
      <c r="A26" s="635" t="inlineStr">
        <is>
          <t>22</t>
        </is>
      </c>
      <c r="B26" s="636" t="inlineStr">
        <is>
          <t>Operating leverage flows to GP via bonus pool.</t>
        </is>
      </c>
      <c r="C26" s="636" t="inlineStr">
        <is>
          <t>Disclosed in Tab 15. Bonus pool 12x with recycling.</t>
        </is>
      </c>
      <c r="D26" s="637" t="inlineStr">
        <is>
          <t>DONE</t>
        </is>
      </c>
      <c r="E26" s="638" t="inlineStr">
        <is>
          <t>Major LP issue.</t>
        </is>
      </c>
    </row>
    <row r="27" ht="65" customHeight="1" s="307">
      <c r="A27" s="635" t="inlineStr">
        <is>
          <t>23</t>
        </is>
      </c>
      <c r="B27" s="636" t="inlineStr">
        <is>
          <t>Two parallel base cases on Tab 1.</t>
        </is>
      </c>
      <c r="C27" s="636" t="inlineStr">
        <is>
          <t>Engine uses per-deal mix. Documented.</t>
        </is>
      </c>
      <c r="D27" s="639" t="inlineStr">
        <is>
          <t>PARTIAL</t>
        </is>
      </c>
      <c r="E27" s="638" t="inlineStr">
        <is>
          <t>GP needs to state which is THE underwriting case.</t>
        </is>
      </c>
    </row>
    <row r="28" ht="65" customHeight="1" s="307">
      <c r="A28" s="635" t="inlineStr">
        <is>
          <t>24</t>
        </is>
      </c>
      <c r="B28" s="636" t="inlineStr">
        <is>
          <t>Escalating vs Standard delta hidden.</t>
        </is>
      </c>
      <c r="C28" s="636" t="inlineStr">
        <is>
          <t>Tab 6 and Tab 22 show both side-by-side.</t>
        </is>
      </c>
      <c r="D28" s="637" t="inlineStr">
        <is>
          <t>DONE</t>
        </is>
      </c>
      <c r="E28" s="638" t="inlineStr">
        <is>
          <t>GP gets 28-40% more under Escalating.</t>
        </is>
      </c>
    </row>
    <row r="29">
      <c r="A29" s="628" t="inlineStr">
        <is>
          <t>25</t>
        </is>
      </c>
      <c r="B29" s="306" t="inlineStr">
        <is>
          <t>50% Recycle scenario was mathematically infeasible.</t>
        </is>
      </c>
      <c r="C29" s="306" t="inlineStr">
        <is>
          <t>Extended recycle period 36-&gt;72 months; pushed recycled deal close months from M24/28/32/36 to M36/48/60/72. R50 now fully funded ($186M retained vs $120M needed). DPI drops from infeasible 7.23x to feasible 6.49x.</t>
        </is>
      </c>
      <c r="D29" s="306" t="inlineStr">
        <is>
          <t>1 (B81 + K96-K99); engine R50; Tab 6, 22</t>
        </is>
      </c>
      <c r="E29" s="706" t="inlineStr">
        <is>
          <t>DONE</t>
        </is>
      </c>
      <c r="F29" s="615" t="inlineStr">
        <is>
          <t>Original deck timing failed cash sufficiency. Corrected scenario costs 10% of DPI but is honest.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2026-05-05T03:19:40Z</dcterms:created>
  <dcterms:modified xsi:type="dcterms:W3CDTF">2026-07-02T03:17:37Z</dcterms:modified>
  <cp:revision>0</cp:revision>
</cp:coreProperties>
</file>