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. Press Assumptions" sheetId="1" state="visible" r:id="rId1"/>
    <sheet xmlns:r="http://schemas.openxmlformats.org/officeDocument/2006/relationships" name="2. LP Economics" sheetId="2" state="visible" r:id="rId2"/>
    <sheet xmlns:r="http://schemas.openxmlformats.org/officeDocument/2006/relationships" name="3. Deal Allocation" sheetId="3" state="visible" r:id="rId3"/>
    <sheet xmlns:r="http://schemas.openxmlformats.org/officeDocument/2006/relationships" name="4a. Annual P&amp;L (No Recycle)" sheetId="4" state="visible" r:id="rId4"/>
    <sheet xmlns:r="http://schemas.openxmlformats.org/officeDocument/2006/relationships" name="4b. Annual P&amp;L (Recycle)" sheetId="5" state="visible" r:id="rId5"/>
    <sheet xmlns:r="http://schemas.openxmlformats.org/officeDocument/2006/relationships" name="4g. Annual P&amp;L (100% Recycle)" sheetId="6" state="visible" r:id="rId6"/>
    <sheet xmlns:r="http://schemas.openxmlformats.org/officeDocument/2006/relationships" name="4c. Monthly P&amp;L (No Recycle)" sheetId="7" state="visible" r:id="rId7"/>
    <sheet xmlns:r="http://schemas.openxmlformats.org/officeDocument/2006/relationships" name="4d. Monthly P&amp;L (Recycle)" sheetId="8" state="visible" r:id="rId8"/>
    <sheet xmlns:r="http://schemas.openxmlformats.org/officeDocument/2006/relationships" name="4e. Quarterly P&amp;L (No Recycle)" sheetId="9" state="visible" r:id="rId9"/>
    <sheet xmlns:r="http://schemas.openxmlformats.org/officeDocument/2006/relationships" name="4f. Quarterly P&amp;L (Recycle)" sheetId="10" state="visible" r:id="rId10"/>
    <sheet xmlns:r="http://schemas.openxmlformats.org/officeDocument/2006/relationships" name="5a. WF Standard (No Recycle)" sheetId="11" state="visible" r:id="rId11"/>
    <sheet xmlns:r="http://schemas.openxmlformats.org/officeDocument/2006/relationships" name="5b. WF Standard (Recycle)" sheetId="12" state="visible" r:id="rId12"/>
    <sheet xmlns:r="http://schemas.openxmlformats.org/officeDocument/2006/relationships" name="5e. WF Standard (100% Recycle)" sheetId="13" state="visible" r:id="rId13"/>
    <sheet xmlns:r="http://schemas.openxmlformats.org/officeDocument/2006/relationships" name="5c. WF Escalating (No Recycle)" sheetId="14" state="visible" r:id="rId14"/>
    <sheet xmlns:r="http://schemas.openxmlformats.org/officeDocument/2006/relationships" name="5d. WF Escalating (Recycle)" sheetId="15" state="visible" r:id="rId15"/>
    <sheet xmlns:r="http://schemas.openxmlformats.org/officeDocument/2006/relationships" name="6. LP Returns Comparison" sheetId="16" state="visible" r:id="rId16"/>
    <sheet xmlns:r="http://schemas.openxmlformats.org/officeDocument/2006/relationships" name="7. Per-Deal Returns" sheetId="17" state="visible" r:id="rId17"/>
    <sheet xmlns:r="http://schemas.openxmlformats.org/officeDocument/2006/relationships" name="8. Investor Metrics" sheetId="18" state="visible" r:id="rId18"/>
    <sheet xmlns:r="http://schemas.openxmlformats.org/officeDocument/2006/relationships" name="9. Deal Detail" sheetId="19" state="visible" r:id="rId19"/>
    <sheet xmlns:r="http://schemas.openxmlformats.org/officeDocument/2006/relationships" name="10. Bid Sensitivity" sheetId="20" state="visible" r:id="rId20"/>
    <sheet xmlns:r="http://schemas.openxmlformats.org/officeDocument/2006/relationships" name="11. NDR Sensitivity" sheetId="21" state="visible" r:id="rId21"/>
    <sheet xmlns:r="http://schemas.openxmlformats.org/officeDocument/2006/relationships" name="12. Terminal Value" sheetId="22" state="visible" r:id="rId22"/>
    <sheet xmlns:r="http://schemas.openxmlformats.org/officeDocument/2006/relationships" name="13. Stress Test" sheetId="23" state="visible" r:id="rId23"/>
    <sheet xmlns:r="http://schemas.openxmlformats.org/officeDocument/2006/relationships" name="14. J-Curve" sheetId="24" state="visible" r:id="rId24"/>
    <sheet xmlns:r="http://schemas.openxmlformats.org/officeDocument/2006/relationships" name="15. Fee Drag" sheetId="25" state="visible" r:id="rId25"/>
    <sheet xmlns:r="http://schemas.openxmlformats.org/officeDocument/2006/relationships" name="16. Deal Pipeline" sheetId="26" state="visible" r:id="rId26"/>
    <sheet xmlns:r="http://schemas.openxmlformats.org/officeDocument/2006/relationships" name="17. Tax Efficiency" sheetId="27" state="visible" r:id="rId27"/>
    <sheet xmlns:r="http://schemas.openxmlformats.org/officeDocument/2006/relationships" name="18. Cap Table" sheetId="28" state="visible" r:id="rId28"/>
    <sheet xmlns:r="http://schemas.openxmlformats.org/officeDocument/2006/relationships" name="19. Sources &amp; Uses" sheetId="29" state="visible" r:id="rId29"/>
    <sheet xmlns:r="http://schemas.openxmlformats.org/officeDocument/2006/relationships" name="20. Quarterly Distributions" sheetId="30" state="visible" r:id="rId30"/>
    <sheet xmlns:r="http://schemas.openxmlformats.org/officeDocument/2006/relationships" name="21. Portfolio Dashboard" sheetId="31" state="visible" r:id="rId31"/>
    <sheet xmlns:r="http://schemas.openxmlformats.org/officeDocument/2006/relationships" name="22. Scenario Summary" sheetId="32" state="visible" r:id="rId32"/>
    <sheet xmlns:r="http://schemas.openxmlformats.org/officeDocument/2006/relationships" name="23. Fund OpBudget" sheetId="33" state="visible" r:id="rId33"/>
    <sheet xmlns:r="http://schemas.openxmlformats.org/officeDocument/2006/relationships" name="24. Benchmarks" sheetId="34" state="visible" r:id="rId34"/>
    <sheet xmlns:r="http://schemas.openxmlformats.org/officeDocument/2006/relationships" name="25. Recycling Waterfall" sheetId="35" state="visible" r:id="rId35"/>
    <sheet xmlns:r="http://schemas.openxmlformats.org/officeDocument/2006/relationships" name="26. Team Comp" sheetId="36" state="visible" r:id="rId36"/>
    <sheet xmlns:r="http://schemas.openxmlformats.org/officeDocument/2006/relationships" name="27. Governance" sheetId="37" state="visible" r:id="rId37"/>
    <sheet xmlns:r="http://schemas.openxmlformats.org/officeDocument/2006/relationships" name="28. GP Term Sheet Asks" sheetId="38" state="visible" r:id="rId38"/>
    <sheet xmlns:r="http://schemas.openxmlformats.org/officeDocument/2006/relationships" name="_Engine_NR" sheetId="39" state="visible" r:id="rId39"/>
    <sheet xmlns:r="http://schemas.openxmlformats.org/officeDocument/2006/relationships" name="_Engine_R50" sheetId="40" state="visible" r:id="rId40"/>
    <sheet xmlns:r="http://schemas.openxmlformats.org/officeDocument/2006/relationships" name="_Engine_R100" sheetId="41" state="visible" r:id="rId41"/>
    <sheet xmlns:r="http://schemas.openxmlformats.org/officeDocument/2006/relationships"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7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  <numFmt numFmtId="180" formatCode="&quot;$&quot;#,##0.0&quot;M&quot;"/>
  </numFmts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  <font>
      <b val="1"/>
      <i val="1"/>
      <color rgb="FF1F3864"/>
    </font>
    <font>
      <b val="1"/>
      <i val="1"/>
      <color rgb="FF888888"/>
    </font>
  </fonts>
  <fills count="22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  <xf numFmtId="180" fontId="37" fillId="0" borderId="0" applyAlignment="1" pivotButton="0" quotePrefix="0" xfId="0">
      <alignment horizontal="center" vertical="bottom"/>
    </xf>
    <xf numFmtId="180" fontId="37" fillId="0" borderId="0" pivotButton="0" quotePrefix="0" xfId="0"/>
    <xf numFmtId="180" fontId="38" fillId="0" borderId="0" applyAlignment="1" pivotButton="0" quotePrefix="0" xfId="0">
      <alignment horizontal="center" vertical="bottom"/>
    </xf>
    <xf numFmtId="180" fontId="38" fillId="0" borderId="0" pivotButton="0" quotePrefix="0" xfId="0"/>
    <xf numFmtId="0" fontId="47" fillId="12" borderId="0" applyAlignment="1" pivotButton="0" quotePrefix="0" xfId="0">
      <alignment horizontal="general" vertical="bottom"/>
    </xf>
    <xf numFmtId="0" fontId="41" fillId="12" borderId="0" applyAlignment="1" pivotButton="0" quotePrefix="0" xfId="0">
      <alignment horizontal="center" vertical="bottom"/>
    </xf>
    <xf numFmtId="169" fontId="40" fillId="12" borderId="0" applyAlignment="1" pivotButton="0" quotePrefix="0" xfId="0">
      <alignment horizontal="center" vertical="bottom"/>
    </xf>
    <xf numFmtId="0" fontId="40" fillId="12" borderId="0" pivotButton="0" quotePrefix="0" xfId="0"/>
    <xf numFmtId="166" fontId="40" fillId="13" borderId="0" applyAlignment="1" pivotButton="0" quotePrefix="0" xfId="0">
      <alignment horizontal="center" vertical="bottom"/>
    </xf>
    <xf numFmtId="175" fontId="40" fillId="13" borderId="0" applyAlignment="1" pivotButton="0" quotePrefix="0" xfId="0">
      <alignment horizontal="center" vertical="bottom"/>
    </xf>
    <xf numFmtId="175" fontId="40" fillId="13" borderId="0" pivotButton="0" quotePrefix="0" xfId="0"/>
    <xf numFmtId="3" fontId="40" fillId="13" borderId="0" applyAlignment="1" pivotButton="0" quotePrefix="0" xfId="0">
      <alignment horizontal="center" vertical="bottom"/>
    </xf>
    <xf numFmtId="166" fontId="40" fillId="14" borderId="0" applyAlignment="1" pivotButton="0" quotePrefix="0" xfId="0">
      <alignment horizontal="center" vertical="bottom"/>
    </xf>
    <xf numFmtId="175" fontId="40" fillId="14" borderId="0" applyAlignment="1" pivotButton="0" quotePrefix="0" xfId="0">
      <alignment horizontal="center" vertical="bottom"/>
    </xf>
    <xf numFmtId="175" fontId="40" fillId="14" borderId="0" pivotButton="0" quotePrefix="0" xfId="0"/>
    <xf numFmtId="3" fontId="40" fillId="14" borderId="0" applyAlignment="1" pivotButton="0" quotePrefix="0" xfId="0">
      <alignment horizontal="center" vertical="bottom"/>
    </xf>
    <xf numFmtId="0" fontId="40" fillId="12" borderId="0" applyAlignment="1" pivotButton="0" quotePrefix="0" xfId="0">
      <alignment horizontal="general" vertical="bottom"/>
    </xf>
    <xf numFmtId="169" fontId="40" fillId="0" borderId="0" pivotButton="0" quotePrefix="0" xfId="0"/>
    <xf numFmtId="0" fontId="53" fillId="21" borderId="0" applyAlignment="1" pivotButton="0" quotePrefix="0" xfId="0">
      <alignment horizontal="right"/>
    </xf>
    <xf numFmtId="0" fontId="41" fillId="2" borderId="0" applyAlignment="1" pivotButton="0" quotePrefix="0" xfId="0">
      <alignment horizontal="center" vertical="bottom"/>
    </xf>
    <xf numFmtId="0" fontId="54" fillId="0" borderId="0" applyAlignment="1" pivotButton="0" quotePrefix="0" xfId="0">
      <alignment horizontal="general" vertical="bottom"/>
    </xf>
    <xf numFmtId="166" fontId="40" fillId="15" borderId="0" applyAlignment="1" pivotButton="0" quotePrefix="0" xfId="0">
      <alignment horizontal="center" vertical="bottom"/>
    </xf>
    <xf numFmtId="9" fontId="40" fillId="17" borderId="0" applyAlignment="1" pivotButton="0" quotePrefix="0" xfId="0">
      <alignment horizontal="center" vertical="bottom"/>
    </xf>
    <xf numFmtId="175" fontId="40" fillId="17" borderId="0" applyAlignment="1" pivotButton="0" quotePrefix="0" xfId="0">
      <alignment horizontal="center"/>
    </xf>
    <xf numFmtId="9" fontId="44" fillId="21" borderId="0" applyAlignment="1" pivotButton="0" quotePrefix="0" xfId="0">
      <alignment horizontal="center" vertical="bottom"/>
    </xf>
    <xf numFmtId="175" fontId="44" fillId="21" borderId="0" applyAlignment="1" pivotButton="0" quotePrefix="0" xfId="0">
      <alignment horizontal="center"/>
    </xf>
    <xf numFmtId="9" fontId="41" fillId="0" borderId="0" applyAlignment="1" pivotButton="0" quotePrefix="0" xfId="0">
      <alignment horizontal="center" vertical="bottom"/>
    </xf>
    <xf numFmtId="175" fontId="41" fillId="0" borderId="0" applyAlignment="1" pivotButton="0" quotePrefix="0" xfId="0">
      <alignment horizontal="center"/>
    </xf>
    <xf numFmtId="0" fontId="40" fillId="15" borderId="0" applyAlignment="1" pivotButton="0" quotePrefix="0" xfId="0">
      <alignment horizontal="general" vertical="bottom"/>
    </xf>
    <xf numFmtId="166" fontId="40" fillId="17" borderId="0" applyAlignment="1" pivotButton="0" quotePrefix="0" xfId="0">
      <alignment horizontal="center"/>
    </xf>
    <xf numFmtId="166" fontId="44" fillId="21" borderId="0" applyAlignment="1" pivotButton="0" quotePrefix="0" xfId="0">
      <alignment horizontal="center"/>
    </xf>
    <xf numFmtId="166" fontId="41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 wrapText="1"/>
    </xf>
    <xf numFmtId="2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5" fontId="43" fillId="16" borderId="0" applyAlignment="1" pivotButton="0" quotePrefix="0" xfId="0">
      <alignment horizontal="center" vertical="bottom"/>
    </xf>
    <xf numFmtId="9" fontId="40" fillId="0" borderId="0" applyAlignment="1" pivotButton="0" quotePrefix="0" xfId="0">
      <alignment horizontal="general" vertical="bottom"/>
    </xf>
    <xf numFmtId="9" fontId="44" fillId="21" borderId="0" applyAlignment="1" pivotButton="0" quotePrefix="0" xfId="0">
      <alignment horizontal="general" vertical="bottom"/>
    </xf>
    <xf numFmtId="175" fontId="40" fillId="21" borderId="0" applyAlignment="1" pivotButton="0" quotePrefix="0" xfId="0">
      <alignment horizontal="center" vertical="bottom"/>
    </xf>
    <xf numFmtId="166" fontId="40" fillId="21" borderId="0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178" fontId="40" fillId="0" borderId="0" applyAlignment="1" pivotButton="0" quotePrefix="0" xfId="0">
      <alignment horizontal="center" vertical="bottom"/>
    </xf>
    <xf numFmtId="168" fontId="40" fillId="0" borderId="0" applyAlignment="1" pivotButton="0" quotePrefix="0" xfId="0">
      <alignment horizontal="center" vertical="bottom"/>
    </xf>
    <xf numFmtId="0" fontId="52" fillId="0" borderId="0" applyAlignment="1" pivotButton="0" quotePrefix="0" xfId="0">
      <alignment horizontal="general" vertical="bottom"/>
    </xf>
    <xf numFmtId="0" fontId="53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  <c r="D2" s="627" t="inlineStr">
        <is>
          <t>UNDERWRITING SCENARIO set in B136 below (Bear 80% / Base 85% / Bull 90%).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1</v>
      </c>
      <c r="C35" s="754" t="inlineStr">
        <is>
          <t>Set to 100% per GP -- no bonus pool. All margin upside flows to investors.</t>
        </is>
      </c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72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730" t="inlineStr">
        <is>
          <t>PER-DEAL MIX (reference only -- engine uses uniform NDR via scenario picker B136)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36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48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60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72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Base</t>
        </is>
      </c>
      <c r="C136" s="615" t="inlineStr">
        <is>
          <t>Bear = 0.80 NDR (downside).  Base = 0.85 NDR (LP underwriting -- default).  Bull = 0.90 NDR (upside).  Per-deal mix in rows 89-93 kept as reference only.</t>
        </is>
      </c>
    </row>
    <row r="137">
      <c r="A137" s="306" t="inlineStr">
        <is>
          <t>Bonus margin threshold override</t>
        </is>
      </c>
      <c r="B137" s="694" t="n">
        <v>1</v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0.01</v>
      </c>
      <c r="C138" s="755" t="inlineStr">
        <is>
          <t>GP commits 1% of fund ($1.5M).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612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593" t="inlineStr">
        <is>
          <t>Live from engines.  Returns are SIZE-INVARIANT (DPI/IRR same across commit sizes).  Cash scales linearly.</t>
        </is>
      </c>
      <c r="K2" s="306" t="n"/>
      <c r="L2" s="306" t="n"/>
    </row>
    <row r="3" ht="15" customHeight="1" s="307">
      <c r="A3" s="641">
        <f>" Active scenario (Tab 1 B136): " &amp; '1. Press Assumptions'!$B$136 &amp; "    |   Toggle Bull / Base / Bear on Tab 1 to recalc this tab."</f>
        <v/>
      </c>
      <c r="K3" s="306" t="n"/>
      <c r="L3" s="306" t="n"/>
    </row>
    <row r="4" ht="15" customHeight="1" s="307">
      <c r="A4" s="322" t="n"/>
      <c r="B4" s="339" t="inlineStr">
        <is>
          <t>$5M</t>
        </is>
      </c>
      <c r="E4" s="339" t="inlineStr">
        <is>
          <t>$10M</t>
        </is>
      </c>
      <c r="H4" s="339" t="inlineStr">
        <is>
          <t>$25M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inlineStr">
        <is>
          <t>TBD</t>
        </is>
      </c>
      <c r="C9" s="347" t="inlineStr">
        <is>
          <t>TBD</t>
        </is>
      </c>
      <c r="D9" s="348" t="inlineStr">
        <is>
          <t>TBD</t>
        </is>
      </c>
      <c r="E9" s="347" t="inlineStr">
        <is>
          <t>TBD</t>
        </is>
      </c>
      <c r="F9" s="347" t="inlineStr">
        <is>
          <t>TBD</t>
        </is>
      </c>
      <c r="G9" s="348" t="inlineStr">
        <is>
          <t>TBD</t>
        </is>
      </c>
      <c r="H9" s="347" t="inlineStr">
        <is>
          <t>TBD</t>
        </is>
      </c>
      <c r="I9" s="347" t="inlineStr">
        <is>
          <t>TBD</t>
        </is>
      </c>
      <c r="J9" s="348" t="inlineStr">
        <is>
          <t>TBD</t>
        </is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>
        <f>'_Engine_NR'!$B$277</f>
        <v/>
      </c>
      <c r="C12" s="350">
        <f>'_Engine_R50'!$B$277</f>
        <v/>
      </c>
      <c r="D12" s="351">
        <f>'_Engine_R100'!$B$277</f>
        <v/>
      </c>
      <c r="E12" s="350">
        <f>'_Engine_NR'!$B$277</f>
        <v/>
      </c>
      <c r="F12" s="350">
        <f>'_Engine_R50'!$B$277</f>
        <v/>
      </c>
      <c r="G12" s="351">
        <f>'_Engine_R100'!$B$277</f>
        <v/>
      </c>
      <c r="H12" s="350">
        <f>'_Engine_NR'!$B$277</f>
        <v/>
      </c>
      <c r="I12" s="350">
        <f>'_Engine_R50'!$B$277</f>
        <v/>
      </c>
      <c r="J12" s="351">
        <f>'_Engine_R100'!$B$277</f>
        <v/>
      </c>
      <c r="K12" s="306" t="n"/>
      <c r="L12" s="306" t="n"/>
    </row>
    <row r="13" ht="15" customHeight="1" s="307">
      <c r="A13" s="346" t="inlineStr">
        <is>
          <t>LP MOIC / DPI</t>
        </is>
      </c>
      <c r="B13" s="352">
        <f>'_Engine_NR'!$B$254</f>
        <v/>
      </c>
      <c r="C13" s="352">
        <f>'_Engine_R50'!$B$254</f>
        <v/>
      </c>
      <c r="D13" s="353">
        <f>'_Engine_R100'!$B$254</f>
        <v/>
      </c>
      <c r="E13" s="352">
        <f>'_Engine_NR'!$B$254</f>
        <v/>
      </c>
      <c r="F13" s="352">
        <f>'_Engine_R50'!$B$254</f>
        <v/>
      </c>
      <c r="G13" s="353">
        <f>'_Engine_R100'!$B$254</f>
        <v/>
      </c>
      <c r="H13" s="352">
        <f>'_Engine_NR'!$B$254</f>
        <v/>
      </c>
      <c r="I13" s="352">
        <f>'_Engine_R50'!$B$254</f>
        <v/>
      </c>
      <c r="J13" s="353">
        <f>'_Engine_R100'!$B$254</f>
        <v/>
      </c>
      <c r="K13" s="306" t="n"/>
      <c r="L13" s="306" t="n"/>
    </row>
    <row r="14" ht="15" customHeight="1" s="307">
      <c r="A14" s="343" t="inlineStr">
        <is>
          <t>Cash Distributed</t>
        </is>
      </c>
      <c r="B14" s="710">
        <f>B13*B8</f>
        <v/>
      </c>
      <c r="C14" s="710">
        <f>C13*C8</f>
        <v/>
      </c>
      <c r="D14" s="711">
        <f>D13*D8</f>
        <v/>
      </c>
      <c r="E14" s="710">
        <f>E13*E8</f>
        <v/>
      </c>
      <c r="F14" s="710">
        <f>F13*F8</f>
        <v/>
      </c>
      <c r="G14" s="711">
        <f>G13*G8</f>
        <v/>
      </c>
      <c r="H14" s="710">
        <f>H13*H8</f>
        <v/>
      </c>
      <c r="I14" s="710">
        <f>I13*I8</f>
        <v/>
      </c>
      <c r="J14" s="711">
        <f>J13*J8</f>
        <v/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>
        <f>'_Engine_NR'!$B$276</f>
        <v/>
      </c>
      <c r="C17" s="350">
        <f>'_Engine_R50'!$B$276</f>
        <v/>
      </c>
      <c r="D17" s="351">
        <f>'_Engine_R100'!$B$276</f>
        <v/>
      </c>
      <c r="E17" s="350">
        <f>'_Engine_NR'!$B$276</f>
        <v/>
      </c>
      <c r="F17" s="350">
        <f>'_Engine_R50'!$B$276</f>
        <v/>
      </c>
      <c r="G17" s="351">
        <f>'_Engine_R100'!$B$276</f>
        <v/>
      </c>
      <c r="H17" s="350">
        <f>'_Engine_NR'!$B$276</f>
        <v/>
      </c>
      <c r="I17" s="350">
        <f>'_Engine_R50'!$B$276</f>
        <v/>
      </c>
      <c r="J17" s="351">
        <f>'_Engine_R100'!$B$276</f>
        <v/>
      </c>
      <c r="K17" s="306" t="n"/>
      <c r="L17" s="306" t="n"/>
    </row>
    <row r="18" ht="15" customHeight="1" s="307">
      <c r="A18" s="346" t="inlineStr">
        <is>
          <t>LP MOIC / DPI</t>
        </is>
      </c>
      <c r="B18" s="352">
        <f>'_Engine_NR'!$B$252</f>
        <v/>
      </c>
      <c r="C18" s="352">
        <f>'_Engine_R50'!$B$252</f>
        <v/>
      </c>
      <c r="D18" s="353">
        <f>'_Engine_R100'!$B$252</f>
        <v/>
      </c>
      <c r="E18" s="352">
        <f>'_Engine_NR'!$B$252</f>
        <v/>
      </c>
      <c r="F18" s="352">
        <f>'_Engine_R50'!$B$252</f>
        <v/>
      </c>
      <c r="G18" s="353">
        <f>'_Engine_R100'!$B$252</f>
        <v/>
      </c>
      <c r="H18" s="352">
        <f>'_Engine_NR'!$B$252</f>
        <v/>
      </c>
      <c r="I18" s="352">
        <f>'_Engine_R50'!$B$252</f>
        <v/>
      </c>
      <c r="J18" s="353">
        <f>'_Engine_R100'!$B$252</f>
        <v/>
      </c>
      <c r="K18" s="306" t="n"/>
      <c r="L18" s="306" t="n"/>
    </row>
    <row r="19" ht="15" customHeight="1" s="307">
      <c r="A19" s="346" t="inlineStr">
        <is>
          <t>Total Cash</t>
        </is>
      </c>
      <c r="B19" s="712">
        <f>B18*B8</f>
        <v/>
      </c>
      <c r="C19" s="712">
        <f>C18*C8</f>
        <v/>
      </c>
      <c r="D19" s="713">
        <f>D18*D8</f>
        <v/>
      </c>
      <c r="E19" s="712">
        <f>E18*E8</f>
        <v/>
      </c>
      <c r="F19" s="712">
        <f>F18*F8</f>
        <v/>
      </c>
      <c r="G19" s="713">
        <f>G18*G8</f>
        <v/>
      </c>
      <c r="H19" s="712">
        <f>H18*H8</f>
        <v/>
      </c>
      <c r="I19" s="712">
        <f>I18*I8</f>
        <v/>
      </c>
      <c r="J19" s="713">
        <f>J18*J8</f>
        <v/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714" t="inlineStr">
        <is>
          <t>NOTE: returns above are identical across commitment sizes (the model has no LP class differentiation).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715" t="inlineStr">
        <is>
          <t>See Tab 11 for NDR x Margin joint sensitivity.  See Tab 20 for quarterly cash schedule.</t>
        </is>
      </c>
      <c r="B22" s="716" t="n"/>
      <c r="C22" s="716" t="n"/>
      <c r="D22" s="717" t="n"/>
      <c r="E22" s="716" t="n"/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684" t="n"/>
      <c r="B23" s="684" t="n"/>
      <c r="C23" s="687" t="n"/>
      <c r="D23" s="690" t="n"/>
      <c r="E23" s="689" t="n"/>
      <c r="F23" s="368" t="n"/>
      <c r="K23" s="306" t="n"/>
      <c r="L23" s="306" t="n"/>
    </row>
    <row r="24" ht="15" customHeight="1" s="307">
      <c r="A24" s="718" t="n"/>
      <c r="B24" s="718" t="n"/>
      <c r="C24" s="719" t="n"/>
      <c r="D24" s="720" t="n"/>
      <c r="E24" s="721" t="n"/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684" t="n"/>
      <c r="B25" s="684" t="n"/>
      <c r="C25" s="687" t="n"/>
      <c r="D25" s="690" t="n"/>
      <c r="E25" s="689" t="n"/>
      <c r="F25" s="368" t="n"/>
      <c r="H25" s="354" t="n"/>
      <c r="I25" s="354" t="n"/>
      <c r="K25" s="306" t="n"/>
      <c r="L25" s="306" t="n"/>
    </row>
    <row r="26" ht="15" customHeight="1" s="307">
      <c r="A26" s="684" t="n"/>
      <c r="B26" s="684" t="n"/>
      <c r="C26" s="687" t="n"/>
      <c r="D26" s="690" t="n"/>
      <c r="E26" s="689" t="n"/>
      <c r="F26" s="368" t="n"/>
      <c r="H26" s="354" t="n"/>
      <c r="I26" s="354" t="n"/>
      <c r="K26" s="306" t="n"/>
      <c r="L26" s="306" t="n"/>
    </row>
    <row r="27" ht="15" customHeight="1" s="307">
      <c r="A27" s="722" t="n"/>
      <c r="B27" s="722" t="n"/>
      <c r="C27" s="723" t="n"/>
      <c r="D27" s="724" t="n"/>
      <c r="E27" s="725" t="n"/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722" t="n"/>
      <c r="B28" s="722" t="n"/>
      <c r="C28" s="723" t="n"/>
      <c r="D28" s="724" t="n"/>
      <c r="E28" s="725" t="n"/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726" t="n"/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613" t="n"/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613" t="n"/>
      <c r="B32" s="619" t="n"/>
      <c r="C32" s="619" t="n"/>
      <c r="D32" s="345" t="n">
        <v>0</v>
      </c>
      <c r="E32" s="619" t="n"/>
      <c r="F32" s="619" t="n"/>
      <c r="G32" s="345" t="n">
        <v>0</v>
      </c>
      <c r="H32" s="619" t="n"/>
      <c r="I32" s="619" t="n"/>
      <c r="J32" s="345" t="n">
        <v>0</v>
      </c>
      <c r="K32" s="306" t="n"/>
      <c r="L32" s="306" t="n"/>
    </row>
    <row r="33" ht="15" customHeight="1" s="307">
      <c r="A33" s="613" t="n"/>
      <c r="B33" s="619" t="n"/>
      <c r="C33" s="619" t="n"/>
      <c r="D33" s="345" t="n">
        <v>0</v>
      </c>
      <c r="E33" s="619" t="n"/>
      <c r="F33" s="619" t="n"/>
      <c r="G33" s="345" t="n">
        <v>0</v>
      </c>
      <c r="H33" s="619" t="n"/>
      <c r="I33" s="619" t="n"/>
      <c r="J33" s="345" t="n">
        <v>0</v>
      </c>
      <c r="K33" s="306" t="n"/>
      <c r="L33" s="306" t="n"/>
    </row>
    <row r="34" ht="15" customHeight="1" s="307">
      <c r="A34" s="613" t="n"/>
      <c r="B34" s="619" t="n"/>
      <c r="C34" s="619" t="n"/>
      <c r="D34" s="727" t="n"/>
      <c r="E34" s="619" t="n"/>
      <c r="F34" s="619" t="n"/>
      <c r="G34" s="727" t="n"/>
      <c r="H34" s="619" t="n"/>
      <c r="I34" s="619" t="n"/>
      <c r="J34" s="727" t="n"/>
      <c r="K34" s="306" t="n"/>
      <c r="L34" s="306" t="n"/>
    </row>
    <row r="35" ht="15" customHeight="1" s="307">
      <c r="A35" s="613" t="n"/>
      <c r="B35" s="619" t="n"/>
      <c r="C35" s="619" t="n"/>
      <c r="D35" s="727" t="n"/>
      <c r="E35" s="619" t="n"/>
      <c r="F35" s="619" t="n"/>
      <c r="G35" s="727" t="n"/>
      <c r="H35" s="619" t="n"/>
      <c r="I35" s="619" t="n"/>
      <c r="J35" s="727" t="n"/>
      <c r="K35" s="306" t="n"/>
      <c r="L35" s="306" t="n"/>
    </row>
    <row r="36" ht="15" customHeight="1" s="307">
      <c r="A36" s="613" t="n"/>
      <c r="B36" s="619" t="n"/>
      <c r="C36" s="619" t="n"/>
      <c r="D36" s="727" t="n"/>
      <c r="E36" s="619" t="n"/>
      <c r="F36" s="619" t="n"/>
      <c r="G36" s="727" t="n"/>
      <c r="H36" s="619" t="n"/>
      <c r="I36" s="619" t="n"/>
      <c r="J36" s="727" t="n"/>
      <c r="K36" s="306" t="n"/>
      <c r="L36" s="306" t="n"/>
    </row>
    <row r="37" ht="15" customHeight="1" s="307">
      <c r="A37" s="613" t="n"/>
      <c r="B37" s="619" t="n"/>
      <c r="C37" s="619" t="n"/>
      <c r="D37" s="727" t="n"/>
      <c r="E37" s="619" t="n"/>
      <c r="F37" s="619" t="n"/>
      <c r="G37" s="727" t="n"/>
      <c r="H37" s="619" t="n"/>
      <c r="I37" s="619" t="n"/>
      <c r="J37" s="727" t="n"/>
      <c r="K37" s="306" t="n"/>
      <c r="L37" s="306" t="n"/>
    </row>
    <row r="38" ht="15" customHeight="1" s="307">
      <c r="A38" s="613" t="n"/>
      <c r="B38" s="619" t="n"/>
      <c r="C38" s="619" t="n"/>
      <c r="D38" s="727" t="n"/>
      <c r="E38" s="619" t="n"/>
      <c r="F38" s="619" t="n"/>
      <c r="G38" s="727" t="n"/>
      <c r="H38" s="619" t="n"/>
      <c r="I38" s="619" t="n"/>
      <c r="J38" s="727" t="n"/>
      <c r="K38" s="306" t="n"/>
      <c r="L38" s="306" t="n"/>
    </row>
    <row r="39" ht="15" customHeight="1" s="307">
      <c r="A39" s="613" t="n"/>
      <c r="B39" s="619" t="n"/>
      <c r="C39" s="619" t="n"/>
      <c r="D39" s="727" t="n"/>
      <c r="E39" s="619" t="n"/>
      <c r="F39" s="619" t="n"/>
      <c r="G39" s="727" t="n"/>
      <c r="H39" s="619" t="n"/>
      <c r="I39" s="619" t="n"/>
      <c r="J39" s="727" t="n"/>
      <c r="K39" s="306" t="n"/>
      <c r="L39" s="306" t="n"/>
    </row>
    <row r="40" ht="15" customHeight="1" s="307">
      <c r="A40" s="613" t="n"/>
      <c r="B40" s="619" t="n"/>
      <c r="C40" s="619" t="n"/>
      <c r="D40" s="727" t="n"/>
      <c r="E40" s="619" t="n"/>
      <c r="F40" s="619" t="n"/>
      <c r="G40" s="727" t="n"/>
      <c r="H40" s="619" t="n"/>
      <c r="I40" s="619" t="n"/>
      <c r="J40" s="727" t="n"/>
      <c r="K40" s="306" t="n"/>
      <c r="L40" s="306" t="n"/>
    </row>
    <row r="41" ht="15" customHeight="1" s="307">
      <c r="A41" s="613" t="n"/>
      <c r="B41" s="619" t="n"/>
      <c r="C41" s="619" t="n"/>
      <c r="D41" s="727" t="n"/>
      <c r="E41" s="619" t="n"/>
      <c r="F41" s="619" t="n"/>
      <c r="G41" s="727" t="n"/>
      <c r="H41" s="619" t="n"/>
      <c r="I41" s="619" t="n"/>
      <c r="J41" s="727" t="n"/>
      <c r="K41" s="306" t="n"/>
      <c r="L41" s="306" t="n"/>
    </row>
    <row r="42" ht="15" customHeight="1" s="307">
      <c r="A42" s="613" t="n"/>
      <c r="B42" s="619" t="n"/>
      <c r="C42" s="619" t="n"/>
      <c r="D42" s="727" t="n"/>
      <c r="E42" s="619" t="n"/>
      <c r="F42" s="619" t="n"/>
      <c r="G42" s="727" t="n"/>
      <c r="H42" s="619" t="n"/>
      <c r="I42" s="619" t="n"/>
      <c r="J42" s="727" t="n"/>
      <c r="K42" s="306" t="n"/>
      <c r="L42" s="306" t="n"/>
    </row>
    <row r="43" ht="15" customHeight="1" s="307">
      <c r="A43" s="613" t="n"/>
      <c r="B43" s="619" t="n"/>
      <c r="C43" s="619" t="n"/>
      <c r="D43" s="727" t="n"/>
      <c r="E43" s="619" t="n"/>
      <c r="F43" s="619" t="n"/>
      <c r="G43" s="727" t="n"/>
      <c r="H43" s="619" t="n"/>
      <c r="I43" s="619" t="n"/>
      <c r="J43" s="727" t="n"/>
      <c r="K43" s="306" t="n"/>
      <c r="L43" s="306" t="n"/>
    </row>
    <row r="44" ht="15" customHeight="1" s="307">
      <c r="A44" s="613" t="n"/>
      <c r="B44" s="619" t="n"/>
      <c r="C44" s="619" t="n"/>
      <c r="D44" s="727" t="n"/>
      <c r="E44" s="619" t="n"/>
      <c r="F44" s="619" t="n"/>
      <c r="G44" s="727" t="n"/>
      <c r="H44" s="619" t="n"/>
      <c r="I44" s="619" t="n"/>
      <c r="J44" s="727" t="n"/>
      <c r="K44" s="306" t="n"/>
      <c r="L44" s="306" t="n"/>
    </row>
    <row r="45" ht="15" customHeight="1" s="307">
      <c r="A45" s="613" t="n"/>
      <c r="B45" s="344" t="n">
        <v>0</v>
      </c>
      <c r="C45" s="619" t="n"/>
      <c r="D45" s="727" t="n"/>
      <c r="E45" s="344" t="n">
        <v>0</v>
      </c>
      <c r="F45" s="619" t="n"/>
      <c r="G45" s="727" t="n"/>
      <c r="H45" s="344" t="n">
        <v>0</v>
      </c>
      <c r="I45" s="619" t="n"/>
      <c r="J45" s="727" t="n"/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613" t="n"/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 (placeholder)</t>
        </is>
      </c>
      <c r="E53" s="679" t="inlineStr">
        <is>
          <t>No</t>
        </is>
      </c>
      <c r="F53" s="680" t="inlineStr">
        <is>
          <t>Not actually offered.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 (placeholder)</t>
        </is>
      </c>
      <c r="E54" s="679" t="inlineStr">
        <is>
          <t>Yes (placeholder)</t>
        </is>
      </c>
      <c r="F54" s="680" t="inlineStr">
        <is>
          <t>Standard market term.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 (placeholder)</t>
        </is>
      </c>
      <c r="D55" s="636" t="inlineStr">
        <is>
          <t>Yes (placeholder)</t>
        </is>
      </c>
      <c r="E55" s="679" t="inlineStr">
        <is>
          <t>Yes (placeholder)</t>
        </is>
      </c>
      <c r="F55" s="680" t="inlineStr">
        <is>
          <t>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>
        <f>" Scenario-driven. NDR = "&amp;TEXT(IF('1. Press Assumptions'!$B$136="Bear",0.8,IF('1. Press Assumptions'!$B$136="Bull",0.9,0.85)),"0%")&amp;" (Tab 1 B136). 1.24x entry. 50/50 sev split."</f>
        <v/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>
        <f>'1. Press Assumptions'!$D$89</f>
        <v/>
      </c>
      <c r="C5" s="396">
        <f>'1. Press Assumptions'!$E$89</f>
        <v/>
      </c>
      <c r="D5" s="397">
        <f>B5*C5</f>
        <v/>
      </c>
      <c r="E5" s="398">
        <f>B5*0.1154*0.5</f>
        <v/>
      </c>
      <c r="F5" s="399">
        <f>D5-E5</f>
        <v/>
      </c>
      <c r="G5" s="400">
        <f>IF('1. Press Assumptions'!$B$136="Bear",0.8,IF('1. Press Assumptions'!$B$136="Bull",0.9,0.85))</f>
        <v/>
      </c>
      <c r="H5" s="401" t="n">
        <v>0</v>
      </c>
      <c r="I5" s="400">
        <f>"M"&amp;'1. Press Assumptions'!$K$89</f>
        <v/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>
        <f>'1. Press Assumptions'!$D$90</f>
        <v/>
      </c>
      <c r="C6" s="396">
        <f>'1. Press Assumptions'!$E$90</f>
        <v/>
      </c>
      <c r="D6" s="397">
        <f>B6*C6</f>
        <v/>
      </c>
      <c r="E6" s="398">
        <f>B6*0.1154*0.5</f>
        <v/>
      </c>
      <c r="F6" s="399">
        <f>D6-E6</f>
        <v/>
      </c>
      <c r="G6" s="400">
        <f>IF('1. Press Assumptions'!$B$136="Bear",0.8,IF('1. Press Assumptions'!$B$136="Bull",0.9,0.85))</f>
        <v/>
      </c>
      <c r="H6" s="401" t="n">
        <v>0</v>
      </c>
      <c r="I6" s="400">
        <f>"M"&amp;'1. Press Assumptions'!$K$90</f>
        <v/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>
        <f>'1. Press Assumptions'!$D$91</f>
        <v/>
      </c>
      <c r="C7" s="396">
        <f>'1. Press Assumptions'!$E$91</f>
        <v/>
      </c>
      <c r="D7" s="397">
        <f>B7*C7</f>
        <v/>
      </c>
      <c r="E7" s="398">
        <f>B7*0.1154*0.5</f>
        <v/>
      </c>
      <c r="F7" s="399">
        <f>D7-E7</f>
        <v/>
      </c>
      <c r="G7" s="400">
        <f>IF('1. Press Assumptions'!$B$136="Bear",0.8,IF('1. Press Assumptions'!$B$136="Bull",0.9,0.85))</f>
        <v/>
      </c>
      <c r="H7" s="401" t="n">
        <v>0</v>
      </c>
      <c r="I7" s="400">
        <f>"M"&amp;'1. Press Assumptions'!$K$91</f>
        <v/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>
        <f>'1. Press Assumptions'!$D$92</f>
        <v/>
      </c>
      <c r="C8" s="396">
        <f>'1. Press Assumptions'!$E$92</f>
        <v/>
      </c>
      <c r="D8" s="397">
        <f>B8*C8</f>
        <v/>
      </c>
      <c r="E8" s="398">
        <f>B8*0.1154*0.5</f>
        <v/>
      </c>
      <c r="F8" s="399">
        <f>D8-E8</f>
        <v/>
      </c>
      <c r="G8" s="400">
        <f>IF('1. Press Assumptions'!$B$136="Bear",0.8,IF('1. Press Assumptions'!$B$136="Bull",0.9,0.85))</f>
        <v/>
      </c>
      <c r="H8" s="401" t="n">
        <v>0</v>
      </c>
      <c r="I8" s="400">
        <f>"M"&amp;'1. Press Assumptions'!$K$92</f>
        <v/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>
        <f>'1. Press Assumptions'!$D$93</f>
        <v/>
      </c>
      <c r="C9" s="396">
        <f>'1. Press Assumptions'!$E$93</f>
        <v/>
      </c>
      <c r="D9" s="397">
        <f>B9*C9</f>
        <v/>
      </c>
      <c r="E9" s="398">
        <f>B9*0.1154*0.5</f>
        <v/>
      </c>
      <c r="F9" s="399">
        <f>D9-E9</f>
        <v/>
      </c>
      <c r="G9" s="400">
        <f>IF('1. Press Assumptions'!$B$136="Bear",0.8,IF('1. Press Assumptions'!$B$136="Bull",0.9,0.85))</f>
        <v/>
      </c>
      <c r="H9" s="401" t="n">
        <v>0</v>
      </c>
      <c r="I9" s="400">
        <f>"M"&amp;'1. Press Assumptions'!$K$93</f>
        <v/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>
        <f>'1. Press Assumptions'!$D$96</f>
        <v/>
      </c>
      <c r="C15" s="396">
        <f>'1. Press Assumptions'!$E$96</f>
        <v/>
      </c>
      <c r="D15" s="433">
        <f>B15*C15</f>
        <v/>
      </c>
      <c r="E15" s="398">
        <f>B15*0.1154*0.5</f>
        <v/>
      </c>
      <c r="F15" s="434">
        <f>D15-E15</f>
        <v/>
      </c>
      <c r="G15" s="400">
        <f>IF('1. Press Assumptions'!$B$136="Bear",0.8,IF('1. Press Assumptions'!$B$136="Bull",0.9,0.85))</f>
        <v/>
      </c>
      <c r="H15" s="401" t="n">
        <v>0</v>
      </c>
      <c r="I15" s="400">
        <f>"M"&amp;'1. Press Assumptions'!$K$96</f>
        <v/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>
        <f>'1. Press Assumptions'!$D$97</f>
        <v/>
      </c>
      <c r="C16" s="396">
        <f>'1. Press Assumptions'!$E$97</f>
        <v/>
      </c>
      <c r="D16" s="433">
        <f>B16*C16</f>
        <v/>
      </c>
      <c r="E16" s="398">
        <f>B16*0.1154*0.5</f>
        <v/>
      </c>
      <c r="F16" s="434">
        <f>D16-E16</f>
        <v/>
      </c>
      <c r="G16" s="400">
        <f>IF('1. Press Assumptions'!$B$136="Bear",0.8,IF('1. Press Assumptions'!$B$136="Bull",0.9,0.85))</f>
        <v/>
      </c>
      <c r="H16" s="401" t="n">
        <v>0</v>
      </c>
      <c r="I16" s="400">
        <f>"M"&amp;'1. Press Assumptions'!$K$97</f>
        <v/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>
        <f>'1. Press Assumptions'!$D$98</f>
        <v/>
      </c>
      <c r="C17" s="396">
        <f>'1. Press Assumptions'!$E$98</f>
        <v/>
      </c>
      <c r="D17" s="433">
        <f>B17*C17</f>
        <v/>
      </c>
      <c r="E17" s="398">
        <f>B17*0.1154*0.5</f>
        <v/>
      </c>
      <c r="F17" s="434">
        <f>D17-E17</f>
        <v/>
      </c>
      <c r="G17" s="400">
        <f>IF('1. Press Assumptions'!$B$136="Bear",0.8,IF('1. Press Assumptions'!$B$136="Bull",0.9,0.85))</f>
        <v/>
      </c>
      <c r="H17" s="401" t="n">
        <v>0</v>
      </c>
      <c r="I17" s="400">
        <f>"M"&amp;'1. Press Assumptions'!$K$98</f>
        <v/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>
        <f>'1. Press Assumptions'!$D$99</f>
        <v/>
      </c>
      <c r="C18" s="396">
        <f>'1. Press Assumptions'!$E$99</f>
        <v/>
      </c>
      <c r="D18" s="433">
        <f>B18*C18</f>
        <v/>
      </c>
      <c r="E18" s="398">
        <f>B18*0.1154*0.5</f>
        <v/>
      </c>
      <c r="F18" s="434">
        <f>D18-E18</f>
        <v/>
      </c>
      <c r="G18" s="400">
        <f>IF('1. Press Assumptions'!$B$136="Bear",0.8,IF('1. Press Assumptions'!$B$136="Bull",0.9,0.85))</f>
        <v/>
      </c>
      <c r="H18" s="401" t="n">
        <v>0</v>
      </c>
      <c r="I18" s="400">
        <f>"M"&amp;'1. Press Assumptions'!$K$99</f>
        <v/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/>
      <c r="B40" s="443" t="n"/>
      <c r="C40" s="444" t="n"/>
      <c r="D40" s="444" t="n"/>
      <c r="E40" s="444" t="n"/>
      <c r="F40" s="444" t="n"/>
      <c r="G40" s="444" t="n"/>
      <c r="H40" s="444" t="n"/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ARR/close month from Tab 1; NDR from active scenario (uniform).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 (scenario, Tab 1 B136)</t>
        </is>
      </c>
      <c r="B7" s="306">
        <f>IF('1. Press Assumptions'!$B$136="Bear",0.8,IF('1. Press Assumptions'!$B$136="Bull",0.9,0.85))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Q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1" customWidth="1" style="306" min="2" max="19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</cols>
  <sheetData>
    <row r="1" ht="17.25" customHeight="1" s="307">
      <c r="A1" s="612" t="inlineStr">
        <is>
          <t>BID MODEL SENSITIVITY  --  DEAL-LEVEL (single OpCo, gross)</t>
        </is>
      </c>
      <c r="B1" s="614" t="n"/>
      <c r="C1" s="614" t="n"/>
      <c r="D1" s="614" t="n"/>
      <c r="E1" s="614" t="n"/>
      <c r="F1" s="614" t="n"/>
      <c r="G1" s="614" t="n"/>
      <c r="H1" s="614" t="n"/>
    </row>
    <row r="2" ht="15" customHeight="1" s="307">
      <c r="A2" s="593">
        <f>" GROSS deal economics: single OpCo, "&amp;TEXT('1. Press Assumptions'!$B$35,"0.0%")&amp;" net margin, 15Y hold, no exit, NO fund costs/carry. NOT comparable to fund-level LP DPI (Tabs 2/6/11)."</f>
        <v/>
      </c>
      <c r="B2" s="614" t="n"/>
      <c r="C2" s="614" t="n"/>
      <c r="D2" s="614" t="n"/>
      <c r="E2" s="614" t="n"/>
      <c r="F2" s="614" t="n"/>
      <c r="G2" s="614" t="n"/>
      <c r="H2" s="614" t="n"/>
    </row>
    <row r="3">
      <c r="A3" s="614" t="n"/>
      <c r="B3" s="614" t="n"/>
      <c r="C3" s="614" t="n"/>
      <c r="D3" s="614" t="n"/>
      <c r="E3" s="614" t="n"/>
      <c r="F3" s="614" t="n"/>
      <c r="G3" s="614" t="n"/>
      <c r="H3" s="614" t="n"/>
    </row>
    <row r="4" ht="15" customHeight="1" s="307">
      <c r="A4" s="616" t="inlineStr">
        <is>
          <t>DEAL-LEVEL 15Y MOIC (gross)</t>
        </is>
      </c>
      <c r="B4" s="738" t="n"/>
      <c r="C4" s="738" t="n"/>
      <c r="D4" s="738" t="n"/>
      <c r="E4" s="738" t="n"/>
      <c r="F4" s="738" t="n"/>
      <c r="G4" s="738" t="n"/>
      <c r="H4" s="738" t="n"/>
    </row>
    <row r="5" ht="15" customHeight="1" s="307">
      <c r="A5" s="612" t="inlineStr">
        <is>
          <t>NDR \ Entry Mult</t>
        </is>
      </c>
      <c r="B5" s="746" t="n">
        <v>0.75</v>
      </c>
      <c r="C5" s="746" t="n">
        <v>1</v>
      </c>
      <c r="D5" s="746" t="n">
        <v>1.1</v>
      </c>
      <c r="E5" s="746" t="n">
        <v>1.25</v>
      </c>
      <c r="F5" s="746" t="n">
        <v>1.5</v>
      </c>
      <c r="G5" s="746" t="n">
        <v>1.75</v>
      </c>
      <c r="H5" s="746" t="n">
        <v>2</v>
      </c>
    </row>
    <row r="6" ht="15" customHeight="1" s="307">
      <c r="A6" s="747" t="n">
        <v>0.7</v>
      </c>
      <c r="B6" s="687">
        <f>('1. Press Assumptions'!$B$35*'1. Press Assumptions'!$D$89*(IF($A6=1,15,(1-$A6^15)/(1-$A6))))/('1. Press Assumptions'!$D$89*B$5)</f>
        <v/>
      </c>
      <c r="C6" s="687">
        <f>('1. Press Assumptions'!$B$35*'1. Press Assumptions'!$D$89*(IF($A6=1,15,(1-$A6^15)/(1-$A6))))/('1. Press Assumptions'!$D$89*C$5)</f>
        <v/>
      </c>
      <c r="D6" s="687">
        <f>('1. Press Assumptions'!$B$35*'1. Press Assumptions'!$D$89*(IF($A6=1,15,(1-$A6^15)/(1-$A6))))/('1. Press Assumptions'!$D$89*D$5)</f>
        <v/>
      </c>
      <c r="E6" s="687">
        <f>('1. Press Assumptions'!$B$35*'1. Press Assumptions'!$D$89*(IF($A6=1,15,(1-$A6^15)/(1-$A6))))/('1. Press Assumptions'!$D$89*E$5)</f>
        <v/>
      </c>
      <c r="F6" s="687">
        <f>('1. Press Assumptions'!$B$35*'1. Press Assumptions'!$D$89*(IF($A6=1,15,(1-$A6^15)/(1-$A6))))/('1. Press Assumptions'!$D$89*F$5)</f>
        <v/>
      </c>
      <c r="G6" s="687">
        <f>('1. Press Assumptions'!$B$35*'1. Press Assumptions'!$D$89*(IF($A6=1,15,(1-$A6^15)/(1-$A6))))/('1. Press Assumptions'!$D$89*G$5)</f>
        <v/>
      </c>
      <c r="H6" s="687">
        <f>('1. Press Assumptions'!$B$35*'1. Press Assumptions'!$D$89*(IF($A6=1,15,(1-$A6^15)/(1-$A6))))/('1. Press Assumptions'!$D$89*H$5)</f>
        <v/>
      </c>
    </row>
    <row r="7" ht="15" customHeight="1" s="307">
      <c r="A7" s="747" t="n">
        <v>0.75</v>
      </c>
      <c r="B7" s="687">
        <f>('1. Press Assumptions'!$B$35*'1. Press Assumptions'!$D$89*(IF($A7=1,15,(1-$A7^15)/(1-$A7))))/('1. Press Assumptions'!$D$89*B$5)</f>
        <v/>
      </c>
      <c r="C7" s="687">
        <f>('1. Press Assumptions'!$B$35*'1. Press Assumptions'!$D$89*(IF($A7=1,15,(1-$A7^15)/(1-$A7))))/('1. Press Assumptions'!$D$89*C$5)</f>
        <v/>
      </c>
      <c r="D7" s="687">
        <f>('1. Press Assumptions'!$B$35*'1. Press Assumptions'!$D$89*(IF($A7=1,15,(1-$A7^15)/(1-$A7))))/('1. Press Assumptions'!$D$89*D$5)</f>
        <v/>
      </c>
      <c r="E7" s="687">
        <f>('1. Press Assumptions'!$B$35*'1. Press Assumptions'!$D$89*(IF($A7=1,15,(1-$A7^15)/(1-$A7))))/('1. Press Assumptions'!$D$89*E$5)</f>
        <v/>
      </c>
      <c r="F7" s="687">
        <f>('1. Press Assumptions'!$B$35*'1. Press Assumptions'!$D$89*(IF($A7=1,15,(1-$A7^15)/(1-$A7))))/('1. Press Assumptions'!$D$89*F$5)</f>
        <v/>
      </c>
      <c r="G7" s="687">
        <f>('1. Press Assumptions'!$B$35*'1. Press Assumptions'!$D$89*(IF($A7=1,15,(1-$A7^15)/(1-$A7))))/('1. Press Assumptions'!$D$89*G$5)</f>
        <v/>
      </c>
      <c r="H7" s="687">
        <f>('1. Press Assumptions'!$B$35*'1. Press Assumptions'!$D$89*(IF($A7=1,15,(1-$A7^15)/(1-$A7))))/('1. Press Assumptions'!$D$89*H$5)</f>
        <v/>
      </c>
    </row>
    <row r="8" ht="15" customHeight="1" s="307">
      <c r="A8" s="747" t="n">
        <v>0.8</v>
      </c>
      <c r="B8" s="687">
        <f>('1. Press Assumptions'!$B$35*'1. Press Assumptions'!$D$89*(IF($A8=1,15,(1-$A8^15)/(1-$A8))))/('1. Press Assumptions'!$D$89*B$5)</f>
        <v/>
      </c>
      <c r="C8" s="687">
        <f>('1. Press Assumptions'!$B$35*'1. Press Assumptions'!$D$89*(IF($A8=1,15,(1-$A8^15)/(1-$A8))))/('1. Press Assumptions'!$D$89*C$5)</f>
        <v/>
      </c>
      <c r="D8" s="687">
        <f>('1. Press Assumptions'!$B$35*'1. Press Assumptions'!$D$89*(IF($A8=1,15,(1-$A8^15)/(1-$A8))))/('1. Press Assumptions'!$D$89*D$5)</f>
        <v/>
      </c>
      <c r="E8" s="687">
        <f>('1. Press Assumptions'!$B$35*'1. Press Assumptions'!$D$89*(IF($A8=1,15,(1-$A8^15)/(1-$A8))))/('1. Press Assumptions'!$D$89*E$5)</f>
        <v/>
      </c>
      <c r="F8" s="687">
        <f>('1. Press Assumptions'!$B$35*'1. Press Assumptions'!$D$89*(IF($A8=1,15,(1-$A8^15)/(1-$A8))))/('1. Press Assumptions'!$D$89*F$5)</f>
        <v/>
      </c>
      <c r="G8" s="687">
        <f>('1. Press Assumptions'!$B$35*'1. Press Assumptions'!$D$89*(IF($A8=1,15,(1-$A8^15)/(1-$A8))))/('1. Press Assumptions'!$D$89*G$5)</f>
        <v/>
      </c>
      <c r="H8" s="687">
        <f>('1. Press Assumptions'!$B$35*'1. Press Assumptions'!$D$89*(IF($A8=1,15,(1-$A8^15)/(1-$A8))))/('1. Press Assumptions'!$D$89*H$5)</f>
        <v/>
      </c>
    </row>
    <row r="9" ht="15" customHeight="1" s="307">
      <c r="A9" s="748" t="n">
        <v>0.85</v>
      </c>
      <c r="B9" s="749">
        <f>('1. Press Assumptions'!$B$35*'1. Press Assumptions'!$D$89*(IF($A9=1,15,(1-$A9^15)/(1-$A9))))/('1. Press Assumptions'!$D$89*B$5)</f>
        <v/>
      </c>
      <c r="C9" s="749">
        <f>('1. Press Assumptions'!$B$35*'1. Press Assumptions'!$D$89*(IF($A9=1,15,(1-$A9^15)/(1-$A9))))/('1. Press Assumptions'!$D$89*C$5)</f>
        <v/>
      </c>
      <c r="D9" s="749">
        <f>('1. Press Assumptions'!$B$35*'1. Press Assumptions'!$D$89*(IF($A9=1,15,(1-$A9^15)/(1-$A9))))/('1. Press Assumptions'!$D$89*D$5)</f>
        <v/>
      </c>
      <c r="E9" s="749">
        <f>('1. Press Assumptions'!$B$35*'1. Press Assumptions'!$D$89*(IF($A9=1,15,(1-$A9^15)/(1-$A9))))/('1. Press Assumptions'!$D$89*E$5)</f>
        <v/>
      </c>
      <c r="F9" s="749">
        <f>('1. Press Assumptions'!$B$35*'1. Press Assumptions'!$D$89*(IF($A9=1,15,(1-$A9^15)/(1-$A9))))/('1. Press Assumptions'!$D$89*F$5)</f>
        <v/>
      </c>
      <c r="G9" s="749">
        <f>('1. Press Assumptions'!$B$35*'1. Press Assumptions'!$D$89*(IF($A9=1,15,(1-$A9^15)/(1-$A9))))/('1. Press Assumptions'!$D$89*G$5)</f>
        <v/>
      </c>
      <c r="H9" s="749">
        <f>('1. Press Assumptions'!$B$35*'1. Press Assumptions'!$D$89*(IF($A9=1,15,(1-$A9^15)/(1-$A9))))/('1. Press Assumptions'!$D$89*H$5)</f>
        <v/>
      </c>
    </row>
    <row r="10" ht="15" customHeight="1" s="307">
      <c r="A10" s="747" t="n">
        <v>0.9</v>
      </c>
      <c r="B10" s="687">
        <f>('1. Press Assumptions'!$B$35*'1. Press Assumptions'!$D$89*(IF($A10=1,15,(1-$A10^15)/(1-$A10))))/('1. Press Assumptions'!$D$89*B$5)</f>
        <v/>
      </c>
      <c r="C10" s="687">
        <f>('1. Press Assumptions'!$B$35*'1. Press Assumptions'!$D$89*(IF($A10=1,15,(1-$A10^15)/(1-$A10))))/('1. Press Assumptions'!$D$89*C$5)</f>
        <v/>
      </c>
      <c r="D10" s="687">
        <f>('1. Press Assumptions'!$B$35*'1. Press Assumptions'!$D$89*(IF($A10=1,15,(1-$A10^15)/(1-$A10))))/('1. Press Assumptions'!$D$89*D$5)</f>
        <v/>
      </c>
      <c r="E10" s="687">
        <f>('1. Press Assumptions'!$B$35*'1. Press Assumptions'!$D$89*(IF($A10=1,15,(1-$A10^15)/(1-$A10))))/('1. Press Assumptions'!$D$89*E$5)</f>
        <v/>
      </c>
      <c r="F10" s="687">
        <f>('1. Press Assumptions'!$B$35*'1. Press Assumptions'!$D$89*(IF($A10=1,15,(1-$A10^15)/(1-$A10))))/('1. Press Assumptions'!$D$89*F$5)</f>
        <v/>
      </c>
      <c r="G10" s="687">
        <f>('1. Press Assumptions'!$B$35*'1. Press Assumptions'!$D$89*(IF($A10=1,15,(1-$A10^15)/(1-$A10))))/('1. Press Assumptions'!$D$89*G$5)</f>
        <v/>
      </c>
      <c r="H10" s="687">
        <f>('1. Press Assumptions'!$B$35*'1. Press Assumptions'!$D$89*(IF($A10=1,15,(1-$A10^15)/(1-$A10))))/('1. Press Assumptions'!$D$89*H$5)</f>
        <v/>
      </c>
    </row>
    <row r="11" ht="15" customHeight="1" s="307">
      <c r="A11" s="747" t="n">
        <v>0.95</v>
      </c>
      <c r="B11" s="687">
        <f>('1. Press Assumptions'!$B$35*'1. Press Assumptions'!$D$89*(IF($A11=1,15,(1-$A11^15)/(1-$A11))))/('1. Press Assumptions'!$D$89*B$5)</f>
        <v/>
      </c>
      <c r="C11" s="687">
        <f>('1. Press Assumptions'!$B$35*'1. Press Assumptions'!$D$89*(IF($A11=1,15,(1-$A11^15)/(1-$A11))))/('1. Press Assumptions'!$D$89*C$5)</f>
        <v/>
      </c>
      <c r="D11" s="687">
        <f>('1. Press Assumptions'!$B$35*'1. Press Assumptions'!$D$89*(IF($A11=1,15,(1-$A11^15)/(1-$A11))))/('1. Press Assumptions'!$D$89*D$5)</f>
        <v/>
      </c>
      <c r="E11" s="687">
        <f>('1. Press Assumptions'!$B$35*'1. Press Assumptions'!$D$89*(IF($A11=1,15,(1-$A11^15)/(1-$A11))))/('1. Press Assumptions'!$D$89*E$5)</f>
        <v/>
      </c>
      <c r="F11" s="687">
        <f>('1. Press Assumptions'!$B$35*'1. Press Assumptions'!$D$89*(IF($A11=1,15,(1-$A11^15)/(1-$A11))))/('1. Press Assumptions'!$D$89*F$5)</f>
        <v/>
      </c>
      <c r="G11" s="687">
        <f>('1. Press Assumptions'!$B$35*'1. Press Assumptions'!$D$89*(IF($A11=1,15,(1-$A11^15)/(1-$A11))))/('1. Press Assumptions'!$D$89*G$5)</f>
        <v/>
      </c>
      <c r="H11" s="687">
        <f>('1. Press Assumptions'!$B$35*'1. Press Assumptions'!$D$89*(IF($A11=1,15,(1-$A11^15)/(1-$A11))))/('1. Press Assumptions'!$D$89*H$5)</f>
        <v/>
      </c>
    </row>
    <row r="12" ht="15" customHeight="1" s="307">
      <c r="A12" s="747" t="n">
        <v>1</v>
      </c>
      <c r="B12" s="687">
        <f>('1. Press Assumptions'!$B$35*'1. Press Assumptions'!$D$89*(IF($A12=1,15,(1-$A12^15)/(1-$A12))))/('1. Press Assumptions'!$D$89*B$5)</f>
        <v/>
      </c>
      <c r="C12" s="687">
        <f>('1. Press Assumptions'!$B$35*'1. Press Assumptions'!$D$89*(IF($A12=1,15,(1-$A12^15)/(1-$A12))))/('1. Press Assumptions'!$D$89*C$5)</f>
        <v/>
      </c>
      <c r="D12" s="687">
        <f>('1. Press Assumptions'!$B$35*'1. Press Assumptions'!$D$89*(IF($A12=1,15,(1-$A12^15)/(1-$A12))))/('1. Press Assumptions'!$D$89*D$5)</f>
        <v/>
      </c>
      <c r="E12" s="687">
        <f>('1. Press Assumptions'!$B$35*'1. Press Assumptions'!$D$89*(IF($A12=1,15,(1-$A12^15)/(1-$A12))))/('1. Press Assumptions'!$D$89*E$5)</f>
        <v/>
      </c>
      <c r="F12" s="687">
        <f>('1. Press Assumptions'!$B$35*'1. Press Assumptions'!$D$89*(IF($A12=1,15,(1-$A12^15)/(1-$A12))))/('1. Press Assumptions'!$D$89*F$5)</f>
        <v/>
      </c>
      <c r="G12" s="687">
        <f>('1. Press Assumptions'!$B$35*'1. Press Assumptions'!$D$89*(IF($A12=1,15,(1-$A12^15)/(1-$A12))))/('1. Press Assumptions'!$D$89*G$5)</f>
        <v/>
      </c>
      <c r="H12" s="687">
        <f>('1. Press Assumptions'!$B$35*'1. Press Assumptions'!$D$89*(IF($A12=1,15,(1-$A12^15)/(1-$A12))))/('1. Press Assumptions'!$D$89*H$5)</f>
        <v/>
      </c>
    </row>
    <row r="13">
      <c r="A13" s="614" t="n"/>
      <c r="B13" s="614" t="n"/>
      <c r="C13" s="614" t="n"/>
      <c r="D13" s="614" t="n"/>
      <c r="E13" s="614" t="n"/>
      <c r="F13" s="614" t="n"/>
      <c r="G13" s="614" t="n"/>
      <c r="H13" s="614" t="n"/>
    </row>
    <row r="14">
      <c r="A14" s="614" t="n"/>
      <c r="B14" s="614" t="n"/>
      <c r="C14" s="614" t="n"/>
      <c r="D14" s="614" t="n"/>
      <c r="E14" s="614" t="n"/>
      <c r="F14" s="614" t="n"/>
      <c r="G14" s="614" t="n"/>
      <c r="H14" s="614" t="n"/>
    </row>
    <row r="15" ht="15" customHeight="1" s="307">
      <c r="A15" s="616" t="inlineStr">
        <is>
          <t>DEAL-LEVEL 15Y IRR (gross)</t>
        </is>
      </c>
      <c r="B15" s="738" t="n"/>
      <c r="C15" s="738" t="n"/>
      <c r="D15" s="738" t="n"/>
      <c r="E15" s="738" t="n"/>
      <c r="F15" s="738" t="n"/>
      <c r="G15" s="738" t="n"/>
      <c r="H15" s="738" t="n"/>
    </row>
    <row r="16" ht="15" customHeight="1" s="307">
      <c r="A16" s="612" t="inlineStr">
        <is>
          <t>NDR \ Entry Mult</t>
        </is>
      </c>
      <c r="B16" s="746" t="n">
        <v>0.75</v>
      </c>
      <c r="C16" s="746" t="n">
        <v>1</v>
      </c>
      <c r="D16" s="746" t="n">
        <v>1.1</v>
      </c>
      <c r="E16" s="746" t="n">
        <v>1.25</v>
      </c>
      <c r="F16" s="746" t="n">
        <v>1.5</v>
      </c>
      <c r="G16" s="746" t="n">
        <v>1.75</v>
      </c>
      <c r="H16" s="746" t="n">
        <v>2</v>
      </c>
    </row>
    <row r="17" ht="15" customHeight="1" s="307">
      <c r="A17" s="747" t="n">
        <v>0.7</v>
      </c>
      <c r="B17" s="684">
        <f>IRR(B45:Q45)</f>
        <v/>
      </c>
      <c r="C17" s="684">
        <f>IRR(B46:Q46)</f>
        <v/>
      </c>
      <c r="D17" s="684">
        <f>IRR(B47:Q47)</f>
        <v/>
      </c>
      <c r="E17" s="684">
        <f>IRR(B48:Q48)</f>
        <v/>
      </c>
      <c r="F17" s="684">
        <f>IRR(B49:Q49)</f>
        <v/>
      </c>
      <c r="G17" s="684">
        <f>IRR(B50:Q50)</f>
        <v/>
      </c>
      <c r="H17" s="684">
        <f>IRR(B51:Q51)</f>
        <v/>
      </c>
    </row>
    <row r="18" ht="15" customHeight="1" s="307">
      <c r="A18" s="747" t="n">
        <v>0.75</v>
      </c>
      <c r="B18" s="684">
        <f>IRR(B52:Q52)</f>
        <v/>
      </c>
      <c r="C18" s="684">
        <f>IRR(B53:Q53)</f>
        <v/>
      </c>
      <c r="D18" s="684">
        <f>IRR(B54:Q54)</f>
        <v/>
      </c>
      <c r="E18" s="684">
        <f>IRR(B55:Q55)</f>
        <v/>
      </c>
      <c r="F18" s="684">
        <f>IRR(B56:Q56)</f>
        <v/>
      </c>
      <c r="G18" s="684">
        <f>IRR(B57:Q57)</f>
        <v/>
      </c>
      <c r="H18" s="684">
        <f>IRR(B58:Q58)</f>
        <v/>
      </c>
    </row>
    <row r="19" ht="15" customHeight="1" s="307">
      <c r="A19" s="747" t="n">
        <v>0.8</v>
      </c>
      <c r="B19" s="684">
        <f>IRR(B59:Q59)</f>
        <v/>
      </c>
      <c r="C19" s="684">
        <f>IRR(B60:Q60)</f>
        <v/>
      </c>
      <c r="D19" s="684">
        <f>IRR(B61:Q61)</f>
        <v/>
      </c>
      <c r="E19" s="684">
        <f>IRR(B62:Q62)</f>
        <v/>
      </c>
      <c r="F19" s="684">
        <f>IRR(B63:Q63)</f>
        <v/>
      </c>
      <c r="G19" s="684">
        <f>IRR(B64:Q64)</f>
        <v/>
      </c>
      <c r="H19" s="684">
        <f>IRR(B65:Q65)</f>
        <v/>
      </c>
    </row>
    <row r="20" ht="15" customHeight="1" s="307">
      <c r="A20" s="748" t="n">
        <v>0.85</v>
      </c>
      <c r="B20" s="750">
        <f>IRR(B66:Q66)</f>
        <v/>
      </c>
      <c r="C20" s="750">
        <f>IRR(B67:Q67)</f>
        <v/>
      </c>
      <c r="D20" s="750">
        <f>IRR(B68:Q68)</f>
        <v/>
      </c>
      <c r="E20" s="750">
        <f>IRR(B69:Q69)</f>
        <v/>
      </c>
      <c r="F20" s="750">
        <f>IRR(B70:Q70)</f>
        <v/>
      </c>
      <c r="G20" s="750">
        <f>IRR(B71:Q71)</f>
        <v/>
      </c>
      <c r="H20" s="750">
        <f>IRR(B72:Q72)</f>
        <v/>
      </c>
    </row>
    <row r="21" ht="15" customHeight="1" s="307">
      <c r="A21" s="747" t="n">
        <v>0.9</v>
      </c>
      <c r="B21" s="684">
        <f>IRR(B73:Q73)</f>
        <v/>
      </c>
      <c r="C21" s="684">
        <f>IRR(B74:Q74)</f>
        <v/>
      </c>
      <c r="D21" s="684">
        <f>IRR(B75:Q75)</f>
        <v/>
      </c>
      <c r="E21" s="684">
        <f>IRR(B76:Q76)</f>
        <v/>
      </c>
      <c r="F21" s="684">
        <f>IRR(B77:Q77)</f>
        <v/>
      </c>
      <c r="G21" s="684">
        <f>IRR(B78:Q78)</f>
        <v/>
      </c>
      <c r="H21" s="684">
        <f>IRR(B79:Q79)</f>
        <v/>
      </c>
    </row>
    <row r="22" ht="15" customHeight="1" s="307">
      <c r="A22" s="747" t="n">
        <v>0.95</v>
      </c>
      <c r="B22" s="684">
        <f>IRR(B80:Q80)</f>
        <v/>
      </c>
      <c r="C22" s="684">
        <f>IRR(B81:Q81)</f>
        <v/>
      </c>
      <c r="D22" s="684">
        <f>IRR(B82:Q82)</f>
        <v/>
      </c>
      <c r="E22" s="684">
        <f>IRR(B83:Q83)</f>
        <v/>
      </c>
      <c r="F22" s="684">
        <f>IRR(B84:Q84)</f>
        <v/>
      </c>
      <c r="G22" s="684">
        <f>IRR(B85:Q85)</f>
        <v/>
      </c>
      <c r="H22" s="684">
        <f>IRR(B86:Q86)</f>
        <v/>
      </c>
    </row>
    <row r="23" ht="15" customHeight="1" s="307">
      <c r="A23" s="747" t="n">
        <v>1</v>
      </c>
      <c r="B23" s="684">
        <f>IRR(B87:Q87)</f>
        <v/>
      </c>
      <c r="C23" s="684">
        <f>IRR(B88:Q88)</f>
        <v/>
      </c>
      <c r="D23" s="684">
        <f>IRR(B89:Q89)</f>
        <v/>
      </c>
      <c r="E23" s="684">
        <f>IRR(B90:Q90)</f>
        <v/>
      </c>
      <c r="F23" s="684">
        <f>IRR(B91:Q91)</f>
        <v/>
      </c>
      <c r="G23" s="684">
        <f>IRR(B92:Q92)</f>
        <v/>
      </c>
      <c r="H23" s="684">
        <f>IRR(B93:Q93)</f>
        <v/>
      </c>
    </row>
    <row r="24">
      <c r="A24" s="614" t="n"/>
      <c r="B24" s="614" t="n"/>
      <c r="C24" s="614" t="n"/>
      <c r="D24" s="614" t="n"/>
      <c r="E24" s="614" t="n"/>
      <c r="F24" s="614" t="n"/>
      <c r="G24" s="614" t="n"/>
      <c r="H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  <c r="H25" s="614" t="n"/>
    </row>
    <row r="26" ht="15" customHeight="1" s="307">
      <c r="A26" s="751" t="inlineStr">
        <is>
          <t>PURCHASE PRICE ($mm)</t>
        </is>
      </c>
      <c r="B26" s="613" t="n"/>
      <c r="C26" s="613" t="n"/>
      <c r="D26" s="613" t="n"/>
      <c r="E26" s="613" t="n"/>
      <c r="F26" s="613" t="n"/>
      <c r="G26" s="613" t="n"/>
      <c r="H26" s="613" t="n"/>
    </row>
    <row r="27" ht="15" customHeight="1" s="307">
      <c r="A27" s="613" t="inlineStr">
        <is>
          <t>Entry Multiple</t>
        </is>
      </c>
      <c r="B27" s="687" t="n">
        <v>0.75</v>
      </c>
      <c r="C27" s="687" t="n">
        <v>1</v>
      </c>
      <c r="D27" s="687" t="n">
        <v>1.1</v>
      </c>
      <c r="E27" s="687" t="n">
        <v>1.25</v>
      </c>
      <c r="F27" s="687" t="n">
        <v>1.5</v>
      </c>
      <c r="G27" s="687" t="n">
        <v>1.75</v>
      </c>
      <c r="H27" s="687" t="n">
        <v>2</v>
      </c>
    </row>
    <row r="28" ht="15" customHeight="1" s="307">
      <c r="A28" s="613">
        <f>" $"&amp;TEXT('1. Press Assumptions'!$D$89,"0")&amp;"M ARR"</f>
        <v/>
      </c>
      <c r="B28" s="752">
        <f>'1. Press Assumptions'!$D$89*B$27</f>
        <v/>
      </c>
      <c r="C28" s="752">
        <f>'1. Press Assumptions'!$D$89*C$27</f>
        <v/>
      </c>
      <c r="D28" s="752">
        <f>'1. Press Assumptions'!$D$89*D$27</f>
        <v/>
      </c>
      <c r="E28" s="752">
        <f>'1. Press Assumptions'!$D$89*E$27</f>
        <v/>
      </c>
      <c r="F28" s="752">
        <f>'1. Press Assumptions'!$D$89*F$27</f>
        <v/>
      </c>
      <c r="G28" s="752">
        <f>'1. Press Assumptions'!$D$89*G$27</f>
        <v/>
      </c>
      <c r="H28" s="752">
        <f>'1. Press Assumptions'!$D$89*H$27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 ht="15" customHeight="1" s="307">
      <c r="A30" s="613" t="n"/>
      <c r="B30" s="613" t="n"/>
      <c r="C30" s="613" t="n"/>
      <c r="D30" s="613" t="n"/>
      <c r="E30" s="613" t="n"/>
      <c r="F30" s="613" t="n"/>
      <c r="G30" s="613" t="n"/>
      <c r="H30" s="613" t="n"/>
    </row>
    <row r="31" ht="15" customHeight="1" s="307">
      <c r="A31" s="613" t="n"/>
      <c r="B31" s="684" t="n"/>
      <c r="C31" s="684" t="n"/>
      <c r="D31" s="684" t="n"/>
      <c r="E31" s="684" t="n"/>
      <c r="F31" s="684" t="n"/>
      <c r="G31" s="684" t="n"/>
      <c r="H31" s="684" t="n"/>
    </row>
    <row r="32" ht="15" customHeight="1" s="307">
      <c r="A32" s="613" t="n"/>
      <c r="B32" s="753" t="n"/>
      <c r="C32" s="753" t="n"/>
      <c r="D32" s="753" t="n"/>
      <c r="E32" s="753" t="n"/>
      <c r="F32" s="753" t="n"/>
      <c r="G32" s="753" t="n"/>
      <c r="H32" s="753" t="n"/>
    </row>
    <row r="33" ht="15" customHeight="1" s="307">
      <c r="A33" s="613" t="n"/>
      <c r="B33" s="753" t="n"/>
      <c r="C33" s="753" t="n"/>
      <c r="D33" s="753" t="n"/>
      <c r="E33" s="753" t="n"/>
      <c r="F33" s="753" t="n"/>
      <c r="G33" s="753" t="n"/>
      <c r="H33" s="753" t="n"/>
    </row>
    <row r="34" ht="15" customHeight="1" s="307">
      <c r="A34" s="613" t="n"/>
      <c r="B34" s="753" t="n"/>
      <c r="C34" s="753" t="n"/>
      <c r="D34" s="753" t="n"/>
      <c r="E34" s="753" t="n"/>
      <c r="F34" s="753" t="n"/>
      <c r="G34" s="753" t="n"/>
      <c r="H34" s="753" t="n"/>
    </row>
    <row r="35" ht="15" customHeight="1" s="307">
      <c r="A35" s="613" t="n"/>
      <c r="B35" s="686" t="n"/>
      <c r="C35" s="686" t="n"/>
      <c r="D35" s="686" t="n"/>
      <c r="E35" s="686" t="n"/>
      <c r="F35" s="686" t="n"/>
      <c r="G35" s="686" t="n"/>
      <c r="H35" s="686" t="n"/>
    </row>
    <row r="36" ht="15" customHeight="1" s="307">
      <c r="A36" s="613" t="n"/>
      <c r="B36" s="684" t="n"/>
      <c r="C36" s="684" t="n"/>
      <c r="D36" s="684" t="n"/>
      <c r="E36" s="684" t="n"/>
      <c r="F36" s="684" t="n"/>
      <c r="G36" s="684" t="n"/>
      <c r="H36" s="68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</row>
    <row r="39" ht="15" customHeight="1" s="307">
      <c r="A39" s="613" t="n"/>
      <c r="B39" s="614" t="n"/>
      <c r="C39" s="614" t="n"/>
      <c r="D39" s="614" t="n"/>
      <c r="E39" s="614" t="n"/>
      <c r="F39" s="614" t="n"/>
      <c r="G39" s="614" t="n"/>
      <c r="H39" s="614" t="n"/>
    </row>
    <row r="40" ht="15" customHeight="1" s="307">
      <c r="A40" s="593" t="inlineStr">
        <is>
          <t>Base = 85% NDR, 1.24x entry (highlighted). Deal-level gross; see Tabs 2/6/11 for fund-level LP returns.</t>
        </is>
      </c>
      <c r="B40" s="614" t="n"/>
      <c r="C40" s="614" t="n"/>
      <c r="D40" s="614" t="n"/>
      <c r="E40" s="614" t="n"/>
      <c r="F40" s="614" t="n"/>
      <c r="G40" s="614" t="n"/>
      <c r="H40" s="614" t="n"/>
    </row>
    <row r="44">
      <c r="A44" s="615" t="inlineStr">
        <is>
          <t>IRR helper cashflows (yr0..15) -- do not edit</t>
        </is>
      </c>
    </row>
    <row r="45">
      <c r="B45" s="306">
        <f>-'1. Press Assumptions'!$D$89*B$5</f>
        <v/>
      </c>
      <c r="C45" s="306">
        <f>'1. Press Assumptions'!$B$35*'1. Press Assumptions'!$D$89*$A6^0</f>
        <v/>
      </c>
      <c r="D45" s="306">
        <f>'1. Press Assumptions'!$B$35*'1. Press Assumptions'!$D$89*$A6^1</f>
        <v/>
      </c>
      <c r="E45" s="306">
        <f>'1. Press Assumptions'!$B$35*'1. Press Assumptions'!$D$89*$A6^2</f>
        <v/>
      </c>
      <c r="F45" s="306">
        <f>'1. Press Assumptions'!$B$35*'1. Press Assumptions'!$D$89*$A6^3</f>
        <v/>
      </c>
      <c r="G45" s="306">
        <f>'1. Press Assumptions'!$B$35*'1. Press Assumptions'!$D$89*$A6^4</f>
        <v/>
      </c>
      <c r="H45" s="306">
        <f>'1. Press Assumptions'!$B$35*'1. Press Assumptions'!$D$89*$A6^5</f>
        <v/>
      </c>
      <c r="I45" s="306">
        <f>'1. Press Assumptions'!$B$35*'1. Press Assumptions'!$D$89*$A6^6</f>
        <v/>
      </c>
      <c r="J45" s="306">
        <f>'1. Press Assumptions'!$B$35*'1. Press Assumptions'!$D$89*$A6^7</f>
        <v/>
      </c>
      <c r="K45" s="306">
        <f>'1. Press Assumptions'!$B$35*'1. Press Assumptions'!$D$89*$A6^8</f>
        <v/>
      </c>
      <c r="L45" s="306">
        <f>'1. Press Assumptions'!$B$35*'1. Press Assumptions'!$D$89*$A6^9</f>
        <v/>
      </c>
      <c r="M45" s="306">
        <f>'1. Press Assumptions'!$B$35*'1. Press Assumptions'!$D$89*$A6^10</f>
        <v/>
      </c>
      <c r="N45" s="306">
        <f>'1. Press Assumptions'!$B$35*'1. Press Assumptions'!$D$89*$A6^11</f>
        <v/>
      </c>
      <c r="O45" s="306">
        <f>'1. Press Assumptions'!$B$35*'1. Press Assumptions'!$D$89*$A6^12</f>
        <v/>
      </c>
      <c r="P45" s="306">
        <f>'1. Press Assumptions'!$B$35*'1. Press Assumptions'!$D$89*$A6^13</f>
        <v/>
      </c>
      <c r="Q45" s="306">
        <f>'1. Press Assumptions'!$B$35*'1. Press Assumptions'!$D$89*$A6^14</f>
        <v/>
      </c>
    </row>
    <row r="46">
      <c r="B46" s="306">
        <f>-'1. Press Assumptions'!$D$89*C$5</f>
        <v/>
      </c>
      <c r="C46" s="306">
        <f>'1. Press Assumptions'!$B$35*'1. Press Assumptions'!$D$89*$A6^0</f>
        <v/>
      </c>
      <c r="D46" s="306">
        <f>'1. Press Assumptions'!$B$35*'1. Press Assumptions'!$D$89*$A6^1</f>
        <v/>
      </c>
      <c r="E46" s="306">
        <f>'1. Press Assumptions'!$B$35*'1. Press Assumptions'!$D$89*$A6^2</f>
        <v/>
      </c>
      <c r="F46" s="306">
        <f>'1. Press Assumptions'!$B$35*'1. Press Assumptions'!$D$89*$A6^3</f>
        <v/>
      </c>
      <c r="G46" s="306">
        <f>'1. Press Assumptions'!$B$35*'1. Press Assumptions'!$D$89*$A6^4</f>
        <v/>
      </c>
      <c r="H46" s="306">
        <f>'1. Press Assumptions'!$B$35*'1. Press Assumptions'!$D$89*$A6^5</f>
        <v/>
      </c>
      <c r="I46" s="306">
        <f>'1. Press Assumptions'!$B$35*'1. Press Assumptions'!$D$89*$A6^6</f>
        <v/>
      </c>
      <c r="J46" s="306">
        <f>'1. Press Assumptions'!$B$35*'1. Press Assumptions'!$D$89*$A6^7</f>
        <v/>
      </c>
      <c r="K46" s="306">
        <f>'1. Press Assumptions'!$B$35*'1. Press Assumptions'!$D$89*$A6^8</f>
        <v/>
      </c>
      <c r="L46" s="306">
        <f>'1. Press Assumptions'!$B$35*'1. Press Assumptions'!$D$89*$A6^9</f>
        <v/>
      </c>
      <c r="M46" s="306">
        <f>'1. Press Assumptions'!$B$35*'1. Press Assumptions'!$D$89*$A6^10</f>
        <v/>
      </c>
      <c r="N46" s="306">
        <f>'1. Press Assumptions'!$B$35*'1. Press Assumptions'!$D$89*$A6^11</f>
        <v/>
      </c>
      <c r="O46" s="306">
        <f>'1. Press Assumptions'!$B$35*'1. Press Assumptions'!$D$89*$A6^12</f>
        <v/>
      </c>
      <c r="P46" s="306">
        <f>'1. Press Assumptions'!$B$35*'1. Press Assumptions'!$D$89*$A6^13</f>
        <v/>
      </c>
      <c r="Q46" s="306">
        <f>'1. Press Assumptions'!$B$35*'1. Press Assumptions'!$D$89*$A6^14</f>
        <v/>
      </c>
    </row>
    <row r="47">
      <c r="B47" s="306">
        <f>-'1. Press Assumptions'!$D$89*D$5</f>
        <v/>
      </c>
      <c r="C47" s="306">
        <f>'1. Press Assumptions'!$B$35*'1. Press Assumptions'!$D$89*$A6^0</f>
        <v/>
      </c>
      <c r="D47" s="306">
        <f>'1. Press Assumptions'!$B$35*'1. Press Assumptions'!$D$89*$A6^1</f>
        <v/>
      </c>
      <c r="E47" s="306">
        <f>'1. Press Assumptions'!$B$35*'1. Press Assumptions'!$D$89*$A6^2</f>
        <v/>
      </c>
      <c r="F47" s="306">
        <f>'1. Press Assumptions'!$B$35*'1. Press Assumptions'!$D$89*$A6^3</f>
        <v/>
      </c>
      <c r="G47" s="306">
        <f>'1. Press Assumptions'!$B$35*'1. Press Assumptions'!$D$89*$A6^4</f>
        <v/>
      </c>
      <c r="H47" s="306">
        <f>'1. Press Assumptions'!$B$35*'1. Press Assumptions'!$D$89*$A6^5</f>
        <v/>
      </c>
      <c r="I47" s="306">
        <f>'1. Press Assumptions'!$B$35*'1. Press Assumptions'!$D$89*$A6^6</f>
        <v/>
      </c>
      <c r="J47" s="306">
        <f>'1. Press Assumptions'!$B$35*'1. Press Assumptions'!$D$89*$A6^7</f>
        <v/>
      </c>
      <c r="K47" s="306">
        <f>'1. Press Assumptions'!$B$35*'1. Press Assumptions'!$D$89*$A6^8</f>
        <v/>
      </c>
      <c r="L47" s="306">
        <f>'1. Press Assumptions'!$B$35*'1. Press Assumptions'!$D$89*$A6^9</f>
        <v/>
      </c>
      <c r="M47" s="306">
        <f>'1. Press Assumptions'!$B$35*'1. Press Assumptions'!$D$89*$A6^10</f>
        <v/>
      </c>
      <c r="N47" s="306">
        <f>'1. Press Assumptions'!$B$35*'1. Press Assumptions'!$D$89*$A6^11</f>
        <v/>
      </c>
      <c r="O47" s="306">
        <f>'1. Press Assumptions'!$B$35*'1. Press Assumptions'!$D$89*$A6^12</f>
        <v/>
      </c>
      <c r="P47" s="306">
        <f>'1. Press Assumptions'!$B$35*'1. Press Assumptions'!$D$89*$A6^13</f>
        <v/>
      </c>
      <c r="Q47" s="306">
        <f>'1. Press Assumptions'!$B$35*'1. Press Assumptions'!$D$89*$A6^14</f>
        <v/>
      </c>
    </row>
    <row r="48">
      <c r="B48" s="306">
        <f>-'1. Press Assumptions'!$D$89*E$5</f>
        <v/>
      </c>
      <c r="C48" s="306">
        <f>'1. Press Assumptions'!$B$35*'1. Press Assumptions'!$D$89*$A6^0</f>
        <v/>
      </c>
      <c r="D48" s="306">
        <f>'1. Press Assumptions'!$B$35*'1. Press Assumptions'!$D$89*$A6^1</f>
        <v/>
      </c>
      <c r="E48" s="306">
        <f>'1. Press Assumptions'!$B$35*'1. Press Assumptions'!$D$89*$A6^2</f>
        <v/>
      </c>
      <c r="F48" s="306">
        <f>'1. Press Assumptions'!$B$35*'1. Press Assumptions'!$D$89*$A6^3</f>
        <v/>
      </c>
      <c r="G48" s="306">
        <f>'1. Press Assumptions'!$B$35*'1. Press Assumptions'!$D$89*$A6^4</f>
        <v/>
      </c>
      <c r="H48" s="306">
        <f>'1. Press Assumptions'!$B$35*'1. Press Assumptions'!$D$89*$A6^5</f>
        <v/>
      </c>
      <c r="I48" s="306">
        <f>'1. Press Assumptions'!$B$35*'1. Press Assumptions'!$D$89*$A6^6</f>
        <v/>
      </c>
      <c r="J48" s="306">
        <f>'1. Press Assumptions'!$B$35*'1. Press Assumptions'!$D$89*$A6^7</f>
        <v/>
      </c>
      <c r="K48" s="306">
        <f>'1. Press Assumptions'!$B$35*'1. Press Assumptions'!$D$89*$A6^8</f>
        <v/>
      </c>
      <c r="L48" s="306">
        <f>'1. Press Assumptions'!$B$35*'1. Press Assumptions'!$D$89*$A6^9</f>
        <v/>
      </c>
      <c r="M48" s="306">
        <f>'1. Press Assumptions'!$B$35*'1. Press Assumptions'!$D$89*$A6^10</f>
        <v/>
      </c>
      <c r="N48" s="306">
        <f>'1. Press Assumptions'!$B$35*'1. Press Assumptions'!$D$89*$A6^11</f>
        <v/>
      </c>
      <c r="O48" s="306">
        <f>'1. Press Assumptions'!$B$35*'1. Press Assumptions'!$D$89*$A6^12</f>
        <v/>
      </c>
      <c r="P48" s="306">
        <f>'1. Press Assumptions'!$B$35*'1. Press Assumptions'!$D$89*$A6^13</f>
        <v/>
      </c>
      <c r="Q48" s="306">
        <f>'1. Press Assumptions'!$B$35*'1. Press Assumptions'!$D$89*$A6^14</f>
        <v/>
      </c>
    </row>
    <row r="49">
      <c r="B49" s="306">
        <f>-'1. Press Assumptions'!$D$89*F$5</f>
        <v/>
      </c>
      <c r="C49" s="306">
        <f>'1. Press Assumptions'!$B$35*'1. Press Assumptions'!$D$89*$A6^0</f>
        <v/>
      </c>
      <c r="D49" s="306">
        <f>'1. Press Assumptions'!$B$35*'1. Press Assumptions'!$D$89*$A6^1</f>
        <v/>
      </c>
      <c r="E49" s="306">
        <f>'1. Press Assumptions'!$B$35*'1. Press Assumptions'!$D$89*$A6^2</f>
        <v/>
      </c>
      <c r="F49" s="306">
        <f>'1. Press Assumptions'!$B$35*'1. Press Assumptions'!$D$89*$A6^3</f>
        <v/>
      </c>
      <c r="G49" s="306">
        <f>'1. Press Assumptions'!$B$35*'1. Press Assumptions'!$D$89*$A6^4</f>
        <v/>
      </c>
      <c r="H49" s="306">
        <f>'1. Press Assumptions'!$B$35*'1. Press Assumptions'!$D$89*$A6^5</f>
        <v/>
      </c>
      <c r="I49" s="306">
        <f>'1. Press Assumptions'!$B$35*'1. Press Assumptions'!$D$89*$A6^6</f>
        <v/>
      </c>
      <c r="J49" s="306">
        <f>'1. Press Assumptions'!$B$35*'1. Press Assumptions'!$D$89*$A6^7</f>
        <v/>
      </c>
      <c r="K49" s="306">
        <f>'1. Press Assumptions'!$B$35*'1. Press Assumptions'!$D$89*$A6^8</f>
        <v/>
      </c>
      <c r="L49" s="306">
        <f>'1. Press Assumptions'!$B$35*'1. Press Assumptions'!$D$89*$A6^9</f>
        <v/>
      </c>
      <c r="M49" s="306">
        <f>'1. Press Assumptions'!$B$35*'1. Press Assumptions'!$D$89*$A6^10</f>
        <v/>
      </c>
      <c r="N49" s="306">
        <f>'1. Press Assumptions'!$B$35*'1. Press Assumptions'!$D$89*$A6^11</f>
        <v/>
      </c>
      <c r="O49" s="306">
        <f>'1. Press Assumptions'!$B$35*'1. Press Assumptions'!$D$89*$A6^12</f>
        <v/>
      </c>
      <c r="P49" s="306">
        <f>'1. Press Assumptions'!$B$35*'1. Press Assumptions'!$D$89*$A6^13</f>
        <v/>
      </c>
      <c r="Q49" s="306">
        <f>'1. Press Assumptions'!$B$35*'1. Press Assumptions'!$D$89*$A6^14</f>
        <v/>
      </c>
    </row>
    <row r="50">
      <c r="B50" s="306">
        <f>-'1. Press Assumptions'!$D$89*G$5</f>
        <v/>
      </c>
      <c r="C50" s="306">
        <f>'1. Press Assumptions'!$B$35*'1. Press Assumptions'!$D$89*$A6^0</f>
        <v/>
      </c>
      <c r="D50" s="306">
        <f>'1. Press Assumptions'!$B$35*'1. Press Assumptions'!$D$89*$A6^1</f>
        <v/>
      </c>
      <c r="E50" s="306">
        <f>'1. Press Assumptions'!$B$35*'1. Press Assumptions'!$D$89*$A6^2</f>
        <v/>
      </c>
      <c r="F50" s="306">
        <f>'1. Press Assumptions'!$B$35*'1. Press Assumptions'!$D$89*$A6^3</f>
        <v/>
      </c>
      <c r="G50" s="306">
        <f>'1. Press Assumptions'!$B$35*'1. Press Assumptions'!$D$89*$A6^4</f>
        <v/>
      </c>
      <c r="H50" s="306">
        <f>'1. Press Assumptions'!$B$35*'1. Press Assumptions'!$D$89*$A6^5</f>
        <v/>
      </c>
      <c r="I50" s="306">
        <f>'1. Press Assumptions'!$B$35*'1. Press Assumptions'!$D$89*$A6^6</f>
        <v/>
      </c>
      <c r="J50" s="306">
        <f>'1. Press Assumptions'!$B$35*'1. Press Assumptions'!$D$89*$A6^7</f>
        <v/>
      </c>
      <c r="K50" s="306">
        <f>'1. Press Assumptions'!$B$35*'1. Press Assumptions'!$D$89*$A6^8</f>
        <v/>
      </c>
      <c r="L50" s="306">
        <f>'1. Press Assumptions'!$B$35*'1. Press Assumptions'!$D$89*$A6^9</f>
        <v/>
      </c>
      <c r="M50" s="306">
        <f>'1. Press Assumptions'!$B$35*'1. Press Assumptions'!$D$89*$A6^10</f>
        <v/>
      </c>
      <c r="N50" s="306">
        <f>'1. Press Assumptions'!$B$35*'1. Press Assumptions'!$D$89*$A6^11</f>
        <v/>
      </c>
      <c r="O50" s="306">
        <f>'1. Press Assumptions'!$B$35*'1. Press Assumptions'!$D$89*$A6^12</f>
        <v/>
      </c>
      <c r="P50" s="306">
        <f>'1. Press Assumptions'!$B$35*'1. Press Assumptions'!$D$89*$A6^13</f>
        <v/>
      </c>
      <c r="Q50" s="306">
        <f>'1. Press Assumptions'!$B$35*'1. Press Assumptions'!$D$89*$A6^14</f>
        <v/>
      </c>
    </row>
    <row r="51">
      <c r="B51" s="306">
        <f>-'1. Press Assumptions'!$D$89*H$5</f>
        <v/>
      </c>
      <c r="C51" s="306">
        <f>'1. Press Assumptions'!$B$35*'1. Press Assumptions'!$D$89*$A6^0</f>
        <v/>
      </c>
      <c r="D51" s="306">
        <f>'1. Press Assumptions'!$B$35*'1. Press Assumptions'!$D$89*$A6^1</f>
        <v/>
      </c>
      <c r="E51" s="306">
        <f>'1. Press Assumptions'!$B$35*'1. Press Assumptions'!$D$89*$A6^2</f>
        <v/>
      </c>
      <c r="F51" s="306">
        <f>'1. Press Assumptions'!$B$35*'1. Press Assumptions'!$D$89*$A6^3</f>
        <v/>
      </c>
      <c r="G51" s="306">
        <f>'1. Press Assumptions'!$B$35*'1. Press Assumptions'!$D$89*$A6^4</f>
        <v/>
      </c>
      <c r="H51" s="306">
        <f>'1. Press Assumptions'!$B$35*'1. Press Assumptions'!$D$89*$A6^5</f>
        <v/>
      </c>
      <c r="I51" s="306">
        <f>'1. Press Assumptions'!$B$35*'1. Press Assumptions'!$D$89*$A6^6</f>
        <v/>
      </c>
      <c r="J51" s="306">
        <f>'1. Press Assumptions'!$B$35*'1. Press Assumptions'!$D$89*$A6^7</f>
        <v/>
      </c>
      <c r="K51" s="306">
        <f>'1. Press Assumptions'!$B$35*'1. Press Assumptions'!$D$89*$A6^8</f>
        <v/>
      </c>
      <c r="L51" s="306">
        <f>'1. Press Assumptions'!$B$35*'1. Press Assumptions'!$D$89*$A6^9</f>
        <v/>
      </c>
      <c r="M51" s="306">
        <f>'1. Press Assumptions'!$B$35*'1. Press Assumptions'!$D$89*$A6^10</f>
        <v/>
      </c>
      <c r="N51" s="306">
        <f>'1. Press Assumptions'!$B$35*'1. Press Assumptions'!$D$89*$A6^11</f>
        <v/>
      </c>
      <c r="O51" s="306">
        <f>'1. Press Assumptions'!$B$35*'1. Press Assumptions'!$D$89*$A6^12</f>
        <v/>
      </c>
      <c r="P51" s="306">
        <f>'1. Press Assumptions'!$B$35*'1. Press Assumptions'!$D$89*$A6^13</f>
        <v/>
      </c>
      <c r="Q51" s="306">
        <f>'1. Press Assumptions'!$B$35*'1. Press Assumptions'!$D$89*$A6^14</f>
        <v/>
      </c>
    </row>
    <row r="52">
      <c r="B52" s="306">
        <f>-'1. Press Assumptions'!$D$89*B$5</f>
        <v/>
      </c>
      <c r="C52" s="306">
        <f>'1. Press Assumptions'!$B$35*'1. Press Assumptions'!$D$89*$A7^0</f>
        <v/>
      </c>
      <c r="D52" s="306">
        <f>'1. Press Assumptions'!$B$35*'1. Press Assumptions'!$D$89*$A7^1</f>
        <v/>
      </c>
      <c r="E52" s="306">
        <f>'1. Press Assumptions'!$B$35*'1. Press Assumptions'!$D$89*$A7^2</f>
        <v/>
      </c>
      <c r="F52" s="306">
        <f>'1. Press Assumptions'!$B$35*'1. Press Assumptions'!$D$89*$A7^3</f>
        <v/>
      </c>
      <c r="G52" s="306">
        <f>'1. Press Assumptions'!$B$35*'1. Press Assumptions'!$D$89*$A7^4</f>
        <v/>
      </c>
      <c r="H52" s="306">
        <f>'1. Press Assumptions'!$B$35*'1. Press Assumptions'!$D$89*$A7^5</f>
        <v/>
      </c>
      <c r="I52" s="306">
        <f>'1. Press Assumptions'!$B$35*'1. Press Assumptions'!$D$89*$A7^6</f>
        <v/>
      </c>
      <c r="J52" s="306">
        <f>'1. Press Assumptions'!$B$35*'1. Press Assumptions'!$D$89*$A7^7</f>
        <v/>
      </c>
      <c r="K52" s="306">
        <f>'1. Press Assumptions'!$B$35*'1. Press Assumptions'!$D$89*$A7^8</f>
        <v/>
      </c>
      <c r="L52" s="306">
        <f>'1. Press Assumptions'!$B$35*'1. Press Assumptions'!$D$89*$A7^9</f>
        <v/>
      </c>
      <c r="M52" s="306">
        <f>'1. Press Assumptions'!$B$35*'1. Press Assumptions'!$D$89*$A7^10</f>
        <v/>
      </c>
      <c r="N52" s="306">
        <f>'1. Press Assumptions'!$B$35*'1. Press Assumptions'!$D$89*$A7^11</f>
        <v/>
      </c>
      <c r="O52" s="306">
        <f>'1. Press Assumptions'!$B$35*'1. Press Assumptions'!$D$89*$A7^12</f>
        <v/>
      </c>
      <c r="P52" s="306">
        <f>'1. Press Assumptions'!$B$35*'1. Press Assumptions'!$D$89*$A7^13</f>
        <v/>
      </c>
      <c r="Q52" s="306">
        <f>'1. Press Assumptions'!$B$35*'1. Press Assumptions'!$D$89*$A7^14</f>
        <v/>
      </c>
    </row>
    <row r="53">
      <c r="B53" s="306">
        <f>-'1. Press Assumptions'!$D$89*C$5</f>
        <v/>
      </c>
      <c r="C53" s="306">
        <f>'1. Press Assumptions'!$B$35*'1. Press Assumptions'!$D$89*$A7^0</f>
        <v/>
      </c>
      <c r="D53" s="306">
        <f>'1. Press Assumptions'!$B$35*'1. Press Assumptions'!$D$89*$A7^1</f>
        <v/>
      </c>
      <c r="E53" s="306">
        <f>'1. Press Assumptions'!$B$35*'1. Press Assumptions'!$D$89*$A7^2</f>
        <v/>
      </c>
      <c r="F53" s="306">
        <f>'1. Press Assumptions'!$B$35*'1. Press Assumptions'!$D$89*$A7^3</f>
        <v/>
      </c>
      <c r="G53" s="306">
        <f>'1. Press Assumptions'!$B$35*'1. Press Assumptions'!$D$89*$A7^4</f>
        <v/>
      </c>
      <c r="H53" s="306">
        <f>'1. Press Assumptions'!$B$35*'1. Press Assumptions'!$D$89*$A7^5</f>
        <v/>
      </c>
      <c r="I53" s="306">
        <f>'1. Press Assumptions'!$B$35*'1. Press Assumptions'!$D$89*$A7^6</f>
        <v/>
      </c>
      <c r="J53" s="306">
        <f>'1. Press Assumptions'!$B$35*'1. Press Assumptions'!$D$89*$A7^7</f>
        <v/>
      </c>
      <c r="K53" s="306">
        <f>'1. Press Assumptions'!$B$35*'1. Press Assumptions'!$D$89*$A7^8</f>
        <v/>
      </c>
      <c r="L53" s="306">
        <f>'1. Press Assumptions'!$B$35*'1. Press Assumptions'!$D$89*$A7^9</f>
        <v/>
      </c>
      <c r="M53" s="306">
        <f>'1. Press Assumptions'!$B$35*'1. Press Assumptions'!$D$89*$A7^10</f>
        <v/>
      </c>
      <c r="N53" s="306">
        <f>'1. Press Assumptions'!$B$35*'1. Press Assumptions'!$D$89*$A7^11</f>
        <v/>
      </c>
      <c r="O53" s="306">
        <f>'1. Press Assumptions'!$B$35*'1. Press Assumptions'!$D$89*$A7^12</f>
        <v/>
      </c>
      <c r="P53" s="306">
        <f>'1. Press Assumptions'!$B$35*'1. Press Assumptions'!$D$89*$A7^13</f>
        <v/>
      </c>
      <c r="Q53" s="306">
        <f>'1. Press Assumptions'!$B$35*'1. Press Assumptions'!$D$89*$A7^14</f>
        <v/>
      </c>
    </row>
    <row r="54">
      <c r="B54" s="306">
        <f>-'1. Press Assumptions'!$D$89*D$5</f>
        <v/>
      </c>
      <c r="C54" s="306">
        <f>'1. Press Assumptions'!$B$35*'1. Press Assumptions'!$D$89*$A7^0</f>
        <v/>
      </c>
      <c r="D54" s="306">
        <f>'1. Press Assumptions'!$B$35*'1. Press Assumptions'!$D$89*$A7^1</f>
        <v/>
      </c>
      <c r="E54" s="306">
        <f>'1. Press Assumptions'!$B$35*'1. Press Assumptions'!$D$89*$A7^2</f>
        <v/>
      </c>
      <c r="F54" s="306">
        <f>'1. Press Assumptions'!$B$35*'1. Press Assumptions'!$D$89*$A7^3</f>
        <v/>
      </c>
      <c r="G54" s="306">
        <f>'1. Press Assumptions'!$B$35*'1. Press Assumptions'!$D$89*$A7^4</f>
        <v/>
      </c>
      <c r="H54" s="306">
        <f>'1. Press Assumptions'!$B$35*'1. Press Assumptions'!$D$89*$A7^5</f>
        <v/>
      </c>
      <c r="I54" s="306">
        <f>'1. Press Assumptions'!$B$35*'1. Press Assumptions'!$D$89*$A7^6</f>
        <v/>
      </c>
      <c r="J54" s="306">
        <f>'1. Press Assumptions'!$B$35*'1. Press Assumptions'!$D$89*$A7^7</f>
        <v/>
      </c>
      <c r="K54" s="306">
        <f>'1. Press Assumptions'!$B$35*'1. Press Assumptions'!$D$89*$A7^8</f>
        <v/>
      </c>
      <c r="L54" s="306">
        <f>'1. Press Assumptions'!$B$35*'1. Press Assumptions'!$D$89*$A7^9</f>
        <v/>
      </c>
      <c r="M54" s="306">
        <f>'1. Press Assumptions'!$B$35*'1. Press Assumptions'!$D$89*$A7^10</f>
        <v/>
      </c>
      <c r="N54" s="306">
        <f>'1. Press Assumptions'!$B$35*'1. Press Assumptions'!$D$89*$A7^11</f>
        <v/>
      </c>
      <c r="O54" s="306">
        <f>'1. Press Assumptions'!$B$35*'1. Press Assumptions'!$D$89*$A7^12</f>
        <v/>
      </c>
      <c r="P54" s="306">
        <f>'1. Press Assumptions'!$B$35*'1. Press Assumptions'!$D$89*$A7^13</f>
        <v/>
      </c>
      <c r="Q54" s="306">
        <f>'1. Press Assumptions'!$B$35*'1. Press Assumptions'!$D$89*$A7^14</f>
        <v/>
      </c>
    </row>
    <row r="55">
      <c r="B55" s="306">
        <f>-'1. Press Assumptions'!$D$89*E$5</f>
        <v/>
      </c>
      <c r="C55" s="306">
        <f>'1. Press Assumptions'!$B$35*'1. Press Assumptions'!$D$89*$A7^0</f>
        <v/>
      </c>
      <c r="D55" s="306">
        <f>'1. Press Assumptions'!$B$35*'1. Press Assumptions'!$D$89*$A7^1</f>
        <v/>
      </c>
      <c r="E55" s="306">
        <f>'1. Press Assumptions'!$B$35*'1. Press Assumptions'!$D$89*$A7^2</f>
        <v/>
      </c>
      <c r="F55" s="306">
        <f>'1. Press Assumptions'!$B$35*'1. Press Assumptions'!$D$89*$A7^3</f>
        <v/>
      </c>
      <c r="G55" s="306">
        <f>'1. Press Assumptions'!$B$35*'1. Press Assumptions'!$D$89*$A7^4</f>
        <v/>
      </c>
      <c r="H55" s="306">
        <f>'1. Press Assumptions'!$B$35*'1. Press Assumptions'!$D$89*$A7^5</f>
        <v/>
      </c>
      <c r="I55" s="306">
        <f>'1. Press Assumptions'!$B$35*'1. Press Assumptions'!$D$89*$A7^6</f>
        <v/>
      </c>
      <c r="J55" s="306">
        <f>'1. Press Assumptions'!$B$35*'1. Press Assumptions'!$D$89*$A7^7</f>
        <v/>
      </c>
      <c r="K55" s="306">
        <f>'1. Press Assumptions'!$B$35*'1. Press Assumptions'!$D$89*$A7^8</f>
        <v/>
      </c>
      <c r="L55" s="306">
        <f>'1. Press Assumptions'!$B$35*'1. Press Assumptions'!$D$89*$A7^9</f>
        <v/>
      </c>
      <c r="M55" s="306">
        <f>'1. Press Assumptions'!$B$35*'1. Press Assumptions'!$D$89*$A7^10</f>
        <v/>
      </c>
      <c r="N55" s="306">
        <f>'1. Press Assumptions'!$B$35*'1. Press Assumptions'!$D$89*$A7^11</f>
        <v/>
      </c>
      <c r="O55" s="306">
        <f>'1. Press Assumptions'!$B$35*'1. Press Assumptions'!$D$89*$A7^12</f>
        <v/>
      </c>
      <c r="P55" s="306">
        <f>'1. Press Assumptions'!$B$35*'1. Press Assumptions'!$D$89*$A7^13</f>
        <v/>
      </c>
      <c r="Q55" s="306">
        <f>'1. Press Assumptions'!$B$35*'1. Press Assumptions'!$D$89*$A7^14</f>
        <v/>
      </c>
    </row>
    <row r="56">
      <c r="B56" s="306">
        <f>-'1. Press Assumptions'!$D$89*F$5</f>
        <v/>
      </c>
      <c r="C56" s="306">
        <f>'1. Press Assumptions'!$B$35*'1. Press Assumptions'!$D$89*$A7^0</f>
        <v/>
      </c>
      <c r="D56" s="306">
        <f>'1. Press Assumptions'!$B$35*'1. Press Assumptions'!$D$89*$A7^1</f>
        <v/>
      </c>
      <c r="E56" s="306">
        <f>'1. Press Assumptions'!$B$35*'1. Press Assumptions'!$D$89*$A7^2</f>
        <v/>
      </c>
      <c r="F56" s="306">
        <f>'1. Press Assumptions'!$B$35*'1. Press Assumptions'!$D$89*$A7^3</f>
        <v/>
      </c>
      <c r="G56" s="306">
        <f>'1. Press Assumptions'!$B$35*'1. Press Assumptions'!$D$89*$A7^4</f>
        <v/>
      </c>
      <c r="H56" s="306">
        <f>'1. Press Assumptions'!$B$35*'1. Press Assumptions'!$D$89*$A7^5</f>
        <v/>
      </c>
      <c r="I56" s="306">
        <f>'1. Press Assumptions'!$B$35*'1. Press Assumptions'!$D$89*$A7^6</f>
        <v/>
      </c>
      <c r="J56" s="306">
        <f>'1. Press Assumptions'!$B$35*'1. Press Assumptions'!$D$89*$A7^7</f>
        <v/>
      </c>
      <c r="K56" s="306">
        <f>'1. Press Assumptions'!$B$35*'1. Press Assumptions'!$D$89*$A7^8</f>
        <v/>
      </c>
      <c r="L56" s="306">
        <f>'1. Press Assumptions'!$B$35*'1. Press Assumptions'!$D$89*$A7^9</f>
        <v/>
      </c>
      <c r="M56" s="306">
        <f>'1. Press Assumptions'!$B$35*'1. Press Assumptions'!$D$89*$A7^10</f>
        <v/>
      </c>
      <c r="N56" s="306">
        <f>'1. Press Assumptions'!$B$35*'1. Press Assumptions'!$D$89*$A7^11</f>
        <v/>
      </c>
      <c r="O56" s="306">
        <f>'1. Press Assumptions'!$B$35*'1. Press Assumptions'!$D$89*$A7^12</f>
        <v/>
      </c>
      <c r="P56" s="306">
        <f>'1. Press Assumptions'!$B$35*'1. Press Assumptions'!$D$89*$A7^13</f>
        <v/>
      </c>
      <c r="Q56" s="306">
        <f>'1. Press Assumptions'!$B$35*'1. Press Assumptions'!$D$89*$A7^14</f>
        <v/>
      </c>
    </row>
    <row r="57">
      <c r="B57" s="306">
        <f>-'1. Press Assumptions'!$D$89*G$5</f>
        <v/>
      </c>
      <c r="C57" s="306">
        <f>'1. Press Assumptions'!$B$35*'1. Press Assumptions'!$D$89*$A7^0</f>
        <v/>
      </c>
      <c r="D57" s="306">
        <f>'1. Press Assumptions'!$B$35*'1. Press Assumptions'!$D$89*$A7^1</f>
        <v/>
      </c>
      <c r="E57" s="306">
        <f>'1. Press Assumptions'!$B$35*'1. Press Assumptions'!$D$89*$A7^2</f>
        <v/>
      </c>
      <c r="F57" s="306">
        <f>'1. Press Assumptions'!$B$35*'1. Press Assumptions'!$D$89*$A7^3</f>
        <v/>
      </c>
      <c r="G57" s="306">
        <f>'1. Press Assumptions'!$B$35*'1. Press Assumptions'!$D$89*$A7^4</f>
        <v/>
      </c>
      <c r="H57" s="306">
        <f>'1. Press Assumptions'!$B$35*'1. Press Assumptions'!$D$89*$A7^5</f>
        <v/>
      </c>
      <c r="I57" s="306">
        <f>'1. Press Assumptions'!$B$35*'1. Press Assumptions'!$D$89*$A7^6</f>
        <v/>
      </c>
      <c r="J57" s="306">
        <f>'1. Press Assumptions'!$B$35*'1. Press Assumptions'!$D$89*$A7^7</f>
        <v/>
      </c>
      <c r="K57" s="306">
        <f>'1. Press Assumptions'!$B$35*'1. Press Assumptions'!$D$89*$A7^8</f>
        <v/>
      </c>
      <c r="L57" s="306">
        <f>'1. Press Assumptions'!$B$35*'1. Press Assumptions'!$D$89*$A7^9</f>
        <v/>
      </c>
      <c r="M57" s="306">
        <f>'1. Press Assumptions'!$B$35*'1. Press Assumptions'!$D$89*$A7^10</f>
        <v/>
      </c>
      <c r="N57" s="306">
        <f>'1. Press Assumptions'!$B$35*'1. Press Assumptions'!$D$89*$A7^11</f>
        <v/>
      </c>
      <c r="O57" s="306">
        <f>'1. Press Assumptions'!$B$35*'1. Press Assumptions'!$D$89*$A7^12</f>
        <v/>
      </c>
      <c r="P57" s="306">
        <f>'1. Press Assumptions'!$B$35*'1. Press Assumptions'!$D$89*$A7^13</f>
        <v/>
      </c>
      <c r="Q57" s="306">
        <f>'1. Press Assumptions'!$B$35*'1. Press Assumptions'!$D$89*$A7^14</f>
        <v/>
      </c>
    </row>
    <row r="58">
      <c r="B58" s="306">
        <f>-'1. Press Assumptions'!$D$89*H$5</f>
        <v/>
      </c>
      <c r="C58" s="306">
        <f>'1. Press Assumptions'!$B$35*'1. Press Assumptions'!$D$89*$A7^0</f>
        <v/>
      </c>
      <c r="D58" s="306">
        <f>'1. Press Assumptions'!$B$35*'1. Press Assumptions'!$D$89*$A7^1</f>
        <v/>
      </c>
      <c r="E58" s="306">
        <f>'1. Press Assumptions'!$B$35*'1. Press Assumptions'!$D$89*$A7^2</f>
        <v/>
      </c>
      <c r="F58" s="306">
        <f>'1. Press Assumptions'!$B$35*'1. Press Assumptions'!$D$89*$A7^3</f>
        <v/>
      </c>
      <c r="G58" s="306">
        <f>'1. Press Assumptions'!$B$35*'1. Press Assumptions'!$D$89*$A7^4</f>
        <v/>
      </c>
      <c r="H58" s="306">
        <f>'1. Press Assumptions'!$B$35*'1. Press Assumptions'!$D$89*$A7^5</f>
        <v/>
      </c>
      <c r="I58" s="306">
        <f>'1. Press Assumptions'!$B$35*'1. Press Assumptions'!$D$89*$A7^6</f>
        <v/>
      </c>
      <c r="J58" s="306">
        <f>'1. Press Assumptions'!$B$35*'1. Press Assumptions'!$D$89*$A7^7</f>
        <v/>
      </c>
      <c r="K58" s="306">
        <f>'1. Press Assumptions'!$B$35*'1. Press Assumptions'!$D$89*$A7^8</f>
        <v/>
      </c>
      <c r="L58" s="306">
        <f>'1. Press Assumptions'!$B$35*'1. Press Assumptions'!$D$89*$A7^9</f>
        <v/>
      </c>
      <c r="M58" s="306">
        <f>'1. Press Assumptions'!$B$35*'1. Press Assumptions'!$D$89*$A7^10</f>
        <v/>
      </c>
      <c r="N58" s="306">
        <f>'1. Press Assumptions'!$B$35*'1. Press Assumptions'!$D$89*$A7^11</f>
        <v/>
      </c>
      <c r="O58" s="306">
        <f>'1. Press Assumptions'!$B$35*'1. Press Assumptions'!$D$89*$A7^12</f>
        <v/>
      </c>
      <c r="P58" s="306">
        <f>'1. Press Assumptions'!$B$35*'1. Press Assumptions'!$D$89*$A7^13</f>
        <v/>
      </c>
      <c r="Q58" s="306">
        <f>'1. Press Assumptions'!$B$35*'1. Press Assumptions'!$D$89*$A7^14</f>
        <v/>
      </c>
    </row>
    <row r="59">
      <c r="B59" s="306">
        <f>-'1. Press Assumptions'!$D$89*B$5</f>
        <v/>
      </c>
      <c r="C59" s="306">
        <f>'1. Press Assumptions'!$B$35*'1. Press Assumptions'!$D$89*$A8^0</f>
        <v/>
      </c>
      <c r="D59" s="306">
        <f>'1. Press Assumptions'!$B$35*'1. Press Assumptions'!$D$89*$A8^1</f>
        <v/>
      </c>
      <c r="E59" s="306">
        <f>'1. Press Assumptions'!$B$35*'1. Press Assumptions'!$D$89*$A8^2</f>
        <v/>
      </c>
      <c r="F59" s="306">
        <f>'1. Press Assumptions'!$B$35*'1. Press Assumptions'!$D$89*$A8^3</f>
        <v/>
      </c>
      <c r="G59" s="306">
        <f>'1. Press Assumptions'!$B$35*'1. Press Assumptions'!$D$89*$A8^4</f>
        <v/>
      </c>
      <c r="H59" s="306">
        <f>'1. Press Assumptions'!$B$35*'1. Press Assumptions'!$D$89*$A8^5</f>
        <v/>
      </c>
      <c r="I59" s="306">
        <f>'1. Press Assumptions'!$B$35*'1. Press Assumptions'!$D$89*$A8^6</f>
        <v/>
      </c>
      <c r="J59" s="306">
        <f>'1. Press Assumptions'!$B$35*'1. Press Assumptions'!$D$89*$A8^7</f>
        <v/>
      </c>
      <c r="K59" s="306">
        <f>'1. Press Assumptions'!$B$35*'1. Press Assumptions'!$D$89*$A8^8</f>
        <v/>
      </c>
      <c r="L59" s="306">
        <f>'1. Press Assumptions'!$B$35*'1. Press Assumptions'!$D$89*$A8^9</f>
        <v/>
      </c>
      <c r="M59" s="306">
        <f>'1. Press Assumptions'!$B$35*'1. Press Assumptions'!$D$89*$A8^10</f>
        <v/>
      </c>
      <c r="N59" s="306">
        <f>'1. Press Assumptions'!$B$35*'1. Press Assumptions'!$D$89*$A8^11</f>
        <v/>
      </c>
      <c r="O59" s="306">
        <f>'1. Press Assumptions'!$B$35*'1. Press Assumptions'!$D$89*$A8^12</f>
        <v/>
      </c>
      <c r="P59" s="306">
        <f>'1. Press Assumptions'!$B$35*'1. Press Assumptions'!$D$89*$A8^13</f>
        <v/>
      </c>
      <c r="Q59" s="306">
        <f>'1. Press Assumptions'!$B$35*'1. Press Assumptions'!$D$89*$A8^14</f>
        <v/>
      </c>
    </row>
    <row r="60">
      <c r="B60" s="306">
        <f>-'1. Press Assumptions'!$D$89*C$5</f>
        <v/>
      </c>
      <c r="C60" s="306">
        <f>'1. Press Assumptions'!$B$35*'1. Press Assumptions'!$D$89*$A8^0</f>
        <v/>
      </c>
      <c r="D60" s="306">
        <f>'1. Press Assumptions'!$B$35*'1. Press Assumptions'!$D$89*$A8^1</f>
        <v/>
      </c>
      <c r="E60" s="306">
        <f>'1. Press Assumptions'!$B$35*'1. Press Assumptions'!$D$89*$A8^2</f>
        <v/>
      </c>
      <c r="F60" s="306">
        <f>'1. Press Assumptions'!$B$35*'1. Press Assumptions'!$D$89*$A8^3</f>
        <v/>
      </c>
      <c r="G60" s="306">
        <f>'1. Press Assumptions'!$B$35*'1. Press Assumptions'!$D$89*$A8^4</f>
        <v/>
      </c>
      <c r="H60" s="306">
        <f>'1. Press Assumptions'!$B$35*'1. Press Assumptions'!$D$89*$A8^5</f>
        <v/>
      </c>
      <c r="I60" s="306">
        <f>'1. Press Assumptions'!$B$35*'1. Press Assumptions'!$D$89*$A8^6</f>
        <v/>
      </c>
      <c r="J60" s="306">
        <f>'1. Press Assumptions'!$B$35*'1. Press Assumptions'!$D$89*$A8^7</f>
        <v/>
      </c>
      <c r="K60" s="306">
        <f>'1. Press Assumptions'!$B$35*'1. Press Assumptions'!$D$89*$A8^8</f>
        <v/>
      </c>
      <c r="L60" s="306">
        <f>'1. Press Assumptions'!$B$35*'1. Press Assumptions'!$D$89*$A8^9</f>
        <v/>
      </c>
      <c r="M60" s="306">
        <f>'1. Press Assumptions'!$B$35*'1. Press Assumptions'!$D$89*$A8^10</f>
        <v/>
      </c>
      <c r="N60" s="306">
        <f>'1. Press Assumptions'!$B$35*'1. Press Assumptions'!$D$89*$A8^11</f>
        <v/>
      </c>
      <c r="O60" s="306">
        <f>'1. Press Assumptions'!$B$35*'1. Press Assumptions'!$D$89*$A8^12</f>
        <v/>
      </c>
      <c r="P60" s="306">
        <f>'1. Press Assumptions'!$B$35*'1. Press Assumptions'!$D$89*$A8^13</f>
        <v/>
      </c>
      <c r="Q60" s="306">
        <f>'1. Press Assumptions'!$B$35*'1. Press Assumptions'!$D$89*$A8^14</f>
        <v/>
      </c>
    </row>
    <row r="61">
      <c r="B61" s="306">
        <f>-'1. Press Assumptions'!$D$89*D$5</f>
        <v/>
      </c>
      <c r="C61" s="306">
        <f>'1. Press Assumptions'!$B$35*'1. Press Assumptions'!$D$89*$A8^0</f>
        <v/>
      </c>
      <c r="D61" s="306">
        <f>'1. Press Assumptions'!$B$35*'1. Press Assumptions'!$D$89*$A8^1</f>
        <v/>
      </c>
      <c r="E61" s="306">
        <f>'1. Press Assumptions'!$B$35*'1. Press Assumptions'!$D$89*$A8^2</f>
        <v/>
      </c>
      <c r="F61" s="306">
        <f>'1. Press Assumptions'!$B$35*'1. Press Assumptions'!$D$89*$A8^3</f>
        <v/>
      </c>
      <c r="G61" s="306">
        <f>'1. Press Assumptions'!$B$35*'1. Press Assumptions'!$D$89*$A8^4</f>
        <v/>
      </c>
      <c r="H61" s="306">
        <f>'1. Press Assumptions'!$B$35*'1. Press Assumptions'!$D$89*$A8^5</f>
        <v/>
      </c>
      <c r="I61" s="306">
        <f>'1. Press Assumptions'!$B$35*'1. Press Assumptions'!$D$89*$A8^6</f>
        <v/>
      </c>
      <c r="J61" s="306">
        <f>'1. Press Assumptions'!$B$35*'1. Press Assumptions'!$D$89*$A8^7</f>
        <v/>
      </c>
      <c r="K61" s="306">
        <f>'1. Press Assumptions'!$B$35*'1. Press Assumptions'!$D$89*$A8^8</f>
        <v/>
      </c>
      <c r="L61" s="306">
        <f>'1. Press Assumptions'!$B$35*'1. Press Assumptions'!$D$89*$A8^9</f>
        <v/>
      </c>
      <c r="M61" s="306">
        <f>'1. Press Assumptions'!$B$35*'1. Press Assumptions'!$D$89*$A8^10</f>
        <v/>
      </c>
      <c r="N61" s="306">
        <f>'1. Press Assumptions'!$B$35*'1. Press Assumptions'!$D$89*$A8^11</f>
        <v/>
      </c>
      <c r="O61" s="306">
        <f>'1. Press Assumptions'!$B$35*'1. Press Assumptions'!$D$89*$A8^12</f>
        <v/>
      </c>
      <c r="P61" s="306">
        <f>'1. Press Assumptions'!$B$35*'1. Press Assumptions'!$D$89*$A8^13</f>
        <v/>
      </c>
      <c r="Q61" s="306">
        <f>'1. Press Assumptions'!$B$35*'1. Press Assumptions'!$D$89*$A8^14</f>
        <v/>
      </c>
    </row>
    <row r="62">
      <c r="B62" s="306">
        <f>-'1. Press Assumptions'!$D$89*E$5</f>
        <v/>
      </c>
      <c r="C62" s="306">
        <f>'1. Press Assumptions'!$B$35*'1. Press Assumptions'!$D$89*$A8^0</f>
        <v/>
      </c>
      <c r="D62" s="306">
        <f>'1. Press Assumptions'!$B$35*'1. Press Assumptions'!$D$89*$A8^1</f>
        <v/>
      </c>
      <c r="E62" s="306">
        <f>'1. Press Assumptions'!$B$35*'1. Press Assumptions'!$D$89*$A8^2</f>
        <v/>
      </c>
      <c r="F62" s="306">
        <f>'1. Press Assumptions'!$B$35*'1. Press Assumptions'!$D$89*$A8^3</f>
        <v/>
      </c>
      <c r="G62" s="306">
        <f>'1. Press Assumptions'!$B$35*'1. Press Assumptions'!$D$89*$A8^4</f>
        <v/>
      </c>
      <c r="H62" s="306">
        <f>'1. Press Assumptions'!$B$35*'1. Press Assumptions'!$D$89*$A8^5</f>
        <v/>
      </c>
      <c r="I62" s="306">
        <f>'1. Press Assumptions'!$B$35*'1. Press Assumptions'!$D$89*$A8^6</f>
        <v/>
      </c>
      <c r="J62" s="306">
        <f>'1. Press Assumptions'!$B$35*'1. Press Assumptions'!$D$89*$A8^7</f>
        <v/>
      </c>
      <c r="K62" s="306">
        <f>'1. Press Assumptions'!$B$35*'1. Press Assumptions'!$D$89*$A8^8</f>
        <v/>
      </c>
      <c r="L62" s="306">
        <f>'1. Press Assumptions'!$B$35*'1. Press Assumptions'!$D$89*$A8^9</f>
        <v/>
      </c>
      <c r="M62" s="306">
        <f>'1. Press Assumptions'!$B$35*'1. Press Assumptions'!$D$89*$A8^10</f>
        <v/>
      </c>
      <c r="N62" s="306">
        <f>'1. Press Assumptions'!$B$35*'1. Press Assumptions'!$D$89*$A8^11</f>
        <v/>
      </c>
      <c r="O62" s="306">
        <f>'1. Press Assumptions'!$B$35*'1. Press Assumptions'!$D$89*$A8^12</f>
        <v/>
      </c>
      <c r="P62" s="306">
        <f>'1. Press Assumptions'!$B$35*'1. Press Assumptions'!$D$89*$A8^13</f>
        <v/>
      </c>
      <c r="Q62" s="306">
        <f>'1. Press Assumptions'!$B$35*'1. Press Assumptions'!$D$89*$A8^14</f>
        <v/>
      </c>
    </row>
    <row r="63">
      <c r="B63" s="306">
        <f>-'1. Press Assumptions'!$D$89*F$5</f>
        <v/>
      </c>
      <c r="C63" s="306">
        <f>'1. Press Assumptions'!$B$35*'1. Press Assumptions'!$D$89*$A8^0</f>
        <v/>
      </c>
      <c r="D63" s="306">
        <f>'1. Press Assumptions'!$B$35*'1. Press Assumptions'!$D$89*$A8^1</f>
        <v/>
      </c>
      <c r="E63" s="306">
        <f>'1. Press Assumptions'!$B$35*'1. Press Assumptions'!$D$89*$A8^2</f>
        <v/>
      </c>
      <c r="F63" s="306">
        <f>'1. Press Assumptions'!$B$35*'1. Press Assumptions'!$D$89*$A8^3</f>
        <v/>
      </c>
      <c r="G63" s="306">
        <f>'1. Press Assumptions'!$B$35*'1. Press Assumptions'!$D$89*$A8^4</f>
        <v/>
      </c>
      <c r="H63" s="306">
        <f>'1. Press Assumptions'!$B$35*'1. Press Assumptions'!$D$89*$A8^5</f>
        <v/>
      </c>
      <c r="I63" s="306">
        <f>'1. Press Assumptions'!$B$35*'1. Press Assumptions'!$D$89*$A8^6</f>
        <v/>
      </c>
      <c r="J63" s="306">
        <f>'1. Press Assumptions'!$B$35*'1. Press Assumptions'!$D$89*$A8^7</f>
        <v/>
      </c>
      <c r="K63" s="306">
        <f>'1. Press Assumptions'!$B$35*'1. Press Assumptions'!$D$89*$A8^8</f>
        <v/>
      </c>
      <c r="L63" s="306">
        <f>'1. Press Assumptions'!$B$35*'1. Press Assumptions'!$D$89*$A8^9</f>
        <v/>
      </c>
      <c r="M63" s="306">
        <f>'1. Press Assumptions'!$B$35*'1. Press Assumptions'!$D$89*$A8^10</f>
        <v/>
      </c>
      <c r="N63" s="306">
        <f>'1. Press Assumptions'!$B$35*'1. Press Assumptions'!$D$89*$A8^11</f>
        <v/>
      </c>
      <c r="O63" s="306">
        <f>'1. Press Assumptions'!$B$35*'1. Press Assumptions'!$D$89*$A8^12</f>
        <v/>
      </c>
      <c r="P63" s="306">
        <f>'1. Press Assumptions'!$B$35*'1. Press Assumptions'!$D$89*$A8^13</f>
        <v/>
      </c>
      <c r="Q63" s="306">
        <f>'1. Press Assumptions'!$B$35*'1. Press Assumptions'!$D$89*$A8^14</f>
        <v/>
      </c>
    </row>
    <row r="64">
      <c r="B64" s="306">
        <f>-'1. Press Assumptions'!$D$89*G$5</f>
        <v/>
      </c>
      <c r="C64" s="306">
        <f>'1. Press Assumptions'!$B$35*'1. Press Assumptions'!$D$89*$A8^0</f>
        <v/>
      </c>
      <c r="D64" s="306">
        <f>'1. Press Assumptions'!$B$35*'1. Press Assumptions'!$D$89*$A8^1</f>
        <v/>
      </c>
      <c r="E64" s="306">
        <f>'1. Press Assumptions'!$B$35*'1. Press Assumptions'!$D$89*$A8^2</f>
        <v/>
      </c>
      <c r="F64" s="306">
        <f>'1. Press Assumptions'!$B$35*'1. Press Assumptions'!$D$89*$A8^3</f>
        <v/>
      </c>
      <c r="G64" s="306">
        <f>'1. Press Assumptions'!$B$35*'1. Press Assumptions'!$D$89*$A8^4</f>
        <v/>
      </c>
      <c r="H64" s="306">
        <f>'1. Press Assumptions'!$B$35*'1. Press Assumptions'!$D$89*$A8^5</f>
        <v/>
      </c>
      <c r="I64" s="306">
        <f>'1. Press Assumptions'!$B$35*'1. Press Assumptions'!$D$89*$A8^6</f>
        <v/>
      </c>
      <c r="J64" s="306">
        <f>'1. Press Assumptions'!$B$35*'1. Press Assumptions'!$D$89*$A8^7</f>
        <v/>
      </c>
      <c r="K64" s="306">
        <f>'1. Press Assumptions'!$B$35*'1. Press Assumptions'!$D$89*$A8^8</f>
        <v/>
      </c>
      <c r="L64" s="306">
        <f>'1. Press Assumptions'!$B$35*'1. Press Assumptions'!$D$89*$A8^9</f>
        <v/>
      </c>
      <c r="M64" s="306">
        <f>'1. Press Assumptions'!$B$35*'1. Press Assumptions'!$D$89*$A8^10</f>
        <v/>
      </c>
      <c r="N64" s="306">
        <f>'1. Press Assumptions'!$B$35*'1. Press Assumptions'!$D$89*$A8^11</f>
        <v/>
      </c>
      <c r="O64" s="306">
        <f>'1. Press Assumptions'!$B$35*'1. Press Assumptions'!$D$89*$A8^12</f>
        <v/>
      </c>
      <c r="P64" s="306">
        <f>'1. Press Assumptions'!$B$35*'1. Press Assumptions'!$D$89*$A8^13</f>
        <v/>
      </c>
      <c r="Q64" s="306">
        <f>'1. Press Assumptions'!$B$35*'1. Press Assumptions'!$D$89*$A8^14</f>
        <v/>
      </c>
    </row>
    <row r="65">
      <c r="B65" s="306">
        <f>-'1. Press Assumptions'!$D$89*H$5</f>
        <v/>
      </c>
      <c r="C65" s="306">
        <f>'1. Press Assumptions'!$B$35*'1. Press Assumptions'!$D$89*$A8^0</f>
        <v/>
      </c>
      <c r="D65" s="306">
        <f>'1. Press Assumptions'!$B$35*'1. Press Assumptions'!$D$89*$A8^1</f>
        <v/>
      </c>
      <c r="E65" s="306">
        <f>'1. Press Assumptions'!$B$35*'1. Press Assumptions'!$D$89*$A8^2</f>
        <v/>
      </c>
      <c r="F65" s="306">
        <f>'1. Press Assumptions'!$B$35*'1. Press Assumptions'!$D$89*$A8^3</f>
        <v/>
      </c>
      <c r="G65" s="306">
        <f>'1. Press Assumptions'!$B$35*'1. Press Assumptions'!$D$89*$A8^4</f>
        <v/>
      </c>
      <c r="H65" s="306">
        <f>'1. Press Assumptions'!$B$35*'1. Press Assumptions'!$D$89*$A8^5</f>
        <v/>
      </c>
      <c r="I65" s="306">
        <f>'1. Press Assumptions'!$B$35*'1. Press Assumptions'!$D$89*$A8^6</f>
        <v/>
      </c>
      <c r="J65" s="306">
        <f>'1. Press Assumptions'!$B$35*'1. Press Assumptions'!$D$89*$A8^7</f>
        <v/>
      </c>
      <c r="K65" s="306">
        <f>'1. Press Assumptions'!$B$35*'1. Press Assumptions'!$D$89*$A8^8</f>
        <v/>
      </c>
      <c r="L65" s="306">
        <f>'1. Press Assumptions'!$B$35*'1. Press Assumptions'!$D$89*$A8^9</f>
        <v/>
      </c>
      <c r="M65" s="306">
        <f>'1. Press Assumptions'!$B$35*'1. Press Assumptions'!$D$89*$A8^10</f>
        <v/>
      </c>
      <c r="N65" s="306">
        <f>'1. Press Assumptions'!$B$35*'1. Press Assumptions'!$D$89*$A8^11</f>
        <v/>
      </c>
      <c r="O65" s="306">
        <f>'1. Press Assumptions'!$B$35*'1. Press Assumptions'!$D$89*$A8^12</f>
        <v/>
      </c>
      <c r="P65" s="306">
        <f>'1. Press Assumptions'!$B$35*'1. Press Assumptions'!$D$89*$A8^13</f>
        <v/>
      </c>
      <c r="Q65" s="306">
        <f>'1. Press Assumptions'!$B$35*'1. Press Assumptions'!$D$89*$A8^14</f>
        <v/>
      </c>
    </row>
    <row r="66">
      <c r="B66" s="306">
        <f>-'1. Press Assumptions'!$D$89*B$5</f>
        <v/>
      </c>
      <c r="C66" s="306">
        <f>'1. Press Assumptions'!$B$35*'1. Press Assumptions'!$D$89*$A9^0</f>
        <v/>
      </c>
      <c r="D66" s="306">
        <f>'1. Press Assumptions'!$B$35*'1. Press Assumptions'!$D$89*$A9^1</f>
        <v/>
      </c>
      <c r="E66" s="306">
        <f>'1. Press Assumptions'!$B$35*'1. Press Assumptions'!$D$89*$A9^2</f>
        <v/>
      </c>
      <c r="F66" s="306">
        <f>'1. Press Assumptions'!$B$35*'1. Press Assumptions'!$D$89*$A9^3</f>
        <v/>
      </c>
      <c r="G66" s="306">
        <f>'1. Press Assumptions'!$B$35*'1. Press Assumptions'!$D$89*$A9^4</f>
        <v/>
      </c>
      <c r="H66" s="306">
        <f>'1. Press Assumptions'!$B$35*'1. Press Assumptions'!$D$89*$A9^5</f>
        <v/>
      </c>
      <c r="I66" s="306">
        <f>'1. Press Assumptions'!$B$35*'1. Press Assumptions'!$D$89*$A9^6</f>
        <v/>
      </c>
      <c r="J66" s="306">
        <f>'1. Press Assumptions'!$B$35*'1. Press Assumptions'!$D$89*$A9^7</f>
        <v/>
      </c>
      <c r="K66" s="306">
        <f>'1. Press Assumptions'!$B$35*'1. Press Assumptions'!$D$89*$A9^8</f>
        <v/>
      </c>
      <c r="L66" s="306">
        <f>'1. Press Assumptions'!$B$35*'1. Press Assumptions'!$D$89*$A9^9</f>
        <v/>
      </c>
      <c r="M66" s="306">
        <f>'1. Press Assumptions'!$B$35*'1. Press Assumptions'!$D$89*$A9^10</f>
        <v/>
      </c>
      <c r="N66" s="306">
        <f>'1. Press Assumptions'!$B$35*'1. Press Assumptions'!$D$89*$A9^11</f>
        <v/>
      </c>
      <c r="O66" s="306">
        <f>'1. Press Assumptions'!$B$35*'1. Press Assumptions'!$D$89*$A9^12</f>
        <v/>
      </c>
      <c r="P66" s="306">
        <f>'1. Press Assumptions'!$B$35*'1. Press Assumptions'!$D$89*$A9^13</f>
        <v/>
      </c>
      <c r="Q66" s="306">
        <f>'1. Press Assumptions'!$B$35*'1. Press Assumptions'!$D$89*$A9^14</f>
        <v/>
      </c>
    </row>
    <row r="67">
      <c r="B67" s="306">
        <f>-'1. Press Assumptions'!$D$89*C$5</f>
        <v/>
      </c>
      <c r="C67" s="306">
        <f>'1. Press Assumptions'!$B$35*'1. Press Assumptions'!$D$89*$A9^0</f>
        <v/>
      </c>
      <c r="D67" s="306">
        <f>'1. Press Assumptions'!$B$35*'1. Press Assumptions'!$D$89*$A9^1</f>
        <v/>
      </c>
      <c r="E67" s="306">
        <f>'1. Press Assumptions'!$B$35*'1. Press Assumptions'!$D$89*$A9^2</f>
        <v/>
      </c>
      <c r="F67" s="306">
        <f>'1. Press Assumptions'!$B$35*'1. Press Assumptions'!$D$89*$A9^3</f>
        <v/>
      </c>
      <c r="G67" s="306">
        <f>'1. Press Assumptions'!$B$35*'1. Press Assumptions'!$D$89*$A9^4</f>
        <v/>
      </c>
      <c r="H67" s="306">
        <f>'1. Press Assumptions'!$B$35*'1. Press Assumptions'!$D$89*$A9^5</f>
        <v/>
      </c>
      <c r="I67" s="306">
        <f>'1. Press Assumptions'!$B$35*'1. Press Assumptions'!$D$89*$A9^6</f>
        <v/>
      </c>
      <c r="J67" s="306">
        <f>'1. Press Assumptions'!$B$35*'1. Press Assumptions'!$D$89*$A9^7</f>
        <v/>
      </c>
      <c r="K67" s="306">
        <f>'1. Press Assumptions'!$B$35*'1. Press Assumptions'!$D$89*$A9^8</f>
        <v/>
      </c>
      <c r="L67" s="306">
        <f>'1. Press Assumptions'!$B$35*'1. Press Assumptions'!$D$89*$A9^9</f>
        <v/>
      </c>
      <c r="M67" s="306">
        <f>'1. Press Assumptions'!$B$35*'1. Press Assumptions'!$D$89*$A9^10</f>
        <v/>
      </c>
      <c r="N67" s="306">
        <f>'1. Press Assumptions'!$B$35*'1. Press Assumptions'!$D$89*$A9^11</f>
        <v/>
      </c>
      <c r="O67" s="306">
        <f>'1. Press Assumptions'!$B$35*'1. Press Assumptions'!$D$89*$A9^12</f>
        <v/>
      </c>
      <c r="P67" s="306">
        <f>'1. Press Assumptions'!$B$35*'1. Press Assumptions'!$D$89*$A9^13</f>
        <v/>
      </c>
      <c r="Q67" s="306">
        <f>'1. Press Assumptions'!$B$35*'1. Press Assumptions'!$D$89*$A9^14</f>
        <v/>
      </c>
    </row>
    <row r="68">
      <c r="B68" s="306">
        <f>-'1. Press Assumptions'!$D$89*D$5</f>
        <v/>
      </c>
      <c r="C68" s="306">
        <f>'1. Press Assumptions'!$B$35*'1. Press Assumptions'!$D$89*$A9^0</f>
        <v/>
      </c>
      <c r="D68" s="306">
        <f>'1. Press Assumptions'!$B$35*'1. Press Assumptions'!$D$89*$A9^1</f>
        <v/>
      </c>
      <c r="E68" s="306">
        <f>'1. Press Assumptions'!$B$35*'1. Press Assumptions'!$D$89*$A9^2</f>
        <v/>
      </c>
      <c r="F68" s="306">
        <f>'1. Press Assumptions'!$B$35*'1. Press Assumptions'!$D$89*$A9^3</f>
        <v/>
      </c>
      <c r="G68" s="306">
        <f>'1. Press Assumptions'!$B$35*'1. Press Assumptions'!$D$89*$A9^4</f>
        <v/>
      </c>
      <c r="H68" s="306">
        <f>'1. Press Assumptions'!$B$35*'1. Press Assumptions'!$D$89*$A9^5</f>
        <v/>
      </c>
      <c r="I68" s="306">
        <f>'1. Press Assumptions'!$B$35*'1. Press Assumptions'!$D$89*$A9^6</f>
        <v/>
      </c>
      <c r="J68" s="306">
        <f>'1. Press Assumptions'!$B$35*'1. Press Assumptions'!$D$89*$A9^7</f>
        <v/>
      </c>
      <c r="K68" s="306">
        <f>'1. Press Assumptions'!$B$35*'1. Press Assumptions'!$D$89*$A9^8</f>
        <v/>
      </c>
      <c r="L68" s="306">
        <f>'1. Press Assumptions'!$B$35*'1. Press Assumptions'!$D$89*$A9^9</f>
        <v/>
      </c>
      <c r="M68" s="306">
        <f>'1. Press Assumptions'!$B$35*'1. Press Assumptions'!$D$89*$A9^10</f>
        <v/>
      </c>
      <c r="N68" s="306">
        <f>'1. Press Assumptions'!$B$35*'1. Press Assumptions'!$D$89*$A9^11</f>
        <v/>
      </c>
      <c r="O68" s="306">
        <f>'1. Press Assumptions'!$B$35*'1. Press Assumptions'!$D$89*$A9^12</f>
        <v/>
      </c>
      <c r="P68" s="306">
        <f>'1. Press Assumptions'!$B$35*'1. Press Assumptions'!$D$89*$A9^13</f>
        <v/>
      </c>
      <c r="Q68" s="306">
        <f>'1. Press Assumptions'!$B$35*'1. Press Assumptions'!$D$89*$A9^14</f>
        <v/>
      </c>
    </row>
    <row r="69">
      <c r="B69" s="306">
        <f>-'1. Press Assumptions'!$D$89*E$5</f>
        <v/>
      </c>
      <c r="C69" s="306">
        <f>'1. Press Assumptions'!$B$35*'1. Press Assumptions'!$D$89*$A9^0</f>
        <v/>
      </c>
      <c r="D69" s="306">
        <f>'1. Press Assumptions'!$B$35*'1. Press Assumptions'!$D$89*$A9^1</f>
        <v/>
      </c>
      <c r="E69" s="306">
        <f>'1. Press Assumptions'!$B$35*'1. Press Assumptions'!$D$89*$A9^2</f>
        <v/>
      </c>
      <c r="F69" s="306">
        <f>'1. Press Assumptions'!$B$35*'1. Press Assumptions'!$D$89*$A9^3</f>
        <v/>
      </c>
      <c r="G69" s="306">
        <f>'1. Press Assumptions'!$B$35*'1. Press Assumptions'!$D$89*$A9^4</f>
        <v/>
      </c>
      <c r="H69" s="306">
        <f>'1. Press Assumptions'!$B$35*'1. Press Assumptions'!$D$89*$A9^5</f>
        <v/>
      </c>
      <c r="I69" s="306">
        <f>'1. Press Assumptions'!$B$35*'1. Press Assumptions'!$D$89*$A9^6</f>
        <v/>
      </c>
      <c r="J69" s="306">
        <f>'1. Press Assumptions'!$B$35*'1. Press Assumptions'!$D$89*$A9^7</f>
        <v/>
      </c>
      <c r="K69" s="306">
        <f>'1. Press Assumptions'!$B$35*'1. Press Assumptions'!$D$89*$A9^8</f>
        <v/>
      </c>
      <c r="L69" s="306">
        <f>'1. Press Assumptions'!$B$35*'1. Press Assumptions'!$D$89*$A9^9</f>
        <v/>
      </c>
      <c r="M69" s="306">
        <f>'1. Press Assumptions'!$B$35*'1. Press Assumptions'!$D$89*$A9^10</f>
        <v/>
      </c>
      <c r="N69" s="306">
        <f>'1. Press Assumptions'!$B$35*'1. Press Assumptions'!$D$89*$A9^11</f>
        <v/>
      </c>
      <c r="O69" s="306">
        <f>'1. Press Assumptions'!$B$35*'1. Press Assumptions'!$D$89*$A9^12</f>
        <v/>
      </c>
      <c r="P69" s="306">
        <f>'1. Press Assumptions'!$B$35*'1. Press Assumptions'!$D$89*$A9^13</f>
        <v/>
      </c>
      <c r="Q69" s="306">
        <f>'1. Press Assumptions'!$B$35*'1. Press Assumptions'!$D$89*$A9^14</f>
        <v/>
      </c>
    </row>
    <row r="70">
      <c r="B70" s="306">
        <f>-'1. Press Assumptions'!$D$89*F$5</f>
        <v/>
      </c>
      <c r="C70" s="306">
        <f>'1. Press Assumptions'!$B$35*'1. Press Assumptions'!$D$89*$A9^0</f>
        <v/>
      </c>
      <c r="D70" s="306">
        <f>'1. Press Assumptions'!$B$35*'1. Press Assumptions'!$D$89*$A9^1</f>
        <v/>
      </c>
      <c r="E70" s="306">
        <f>'1. Press Assumptions'!$B$35*'1. Press Assumptions'!$D$89*$A9^2</f>
        <v/>
      </c>
      <c r="F70" s="306">
        <f>'1. Press Assumptions'!$B$35*'1. Press Assumptions'!$D$89*$A9^3</f>
        <v/>
      </c>
      <c r="G70" s="306">
        <f>'1. Press Assumptions'!$B$35*'1. Press Assumptions'!$D$89*$A9^4</f>
        <v/>
      </c>
      <c r="H70" s="306">
        <f>'1. Press Assumptions'!$B$35*'1. Press Assumptions'!$D$89*$A9^5</f>
        <v/>
      </c>
      <c r="I70" s="306">
        <f>'1. Press Assumptions'!$B$35*'1. Press Assumptions'!$D$89*$A9^6</f>
        <v/>
      </c>
      <c r="J70" s="306">
        <f>'1. Press Assumptions'!$B$35*'1. Press Assumptions'!$D$89*$A9^7</f>
        <v/>
      </c>
      <c r="K70" s="306">
        <f>'1. Press Assumptions'!$B$35*'1. Press Assumptions'!$D$89*$A9^8</f>
        <v/>
      </c>
      <c r="L70" s="306">
        <f>'1. Press Assumptions'!$B$35*'1. Press Assumptions'!$D$89*$A9^9</f>
        <v/>
      </c>
      <c r="M70" s="306">
        <f>'1. Press Assumptions'!$B$35*'1. Press Assumptions'!$D$89*$A9^10</f>
        <v/>
      </c>
      <c r="N70" s="306">
        <f>'1. Press Assumptions'!$B$35*'1. Press Assumptions'!$D$89*$A9^11</f>
        <v/>
      </c>
      <c r="O70" s="306">
        <f>'1. Press Assumptions'!$B$35*'1. Press Assumptions'!$D$89*$A9^12</f>
        <v/>
      </c>
      <c r="P70" s="306">
        <f>'1. Press Assumptions'!$B$35*'1. Press Assumptions'!$D$89*$A9^13</f>
        <v/>
      </c>
      <c r="Q70" s="306">
        <f>'1. Press Assumptions'!$B$35*'1. Press Assumptions'!$D$89*$A9^14</f>
        <v/>
      </c>
    </row>
    <row r="71">
      <c r="B71" s="306">
        <f>-'1. Press Assumptions'!$D$89*G$5</f>
        <v/>
      </c>
      <c r="C71" s="306">
        <f>'1. Press Assumptions'!$B$35*'1. Press Assumptions'!$D$89*$A9^0</f>
        <v/>
      </c>
      <c r="D71" s="306">
        <f>'1. Press Assumptions'!$B$35*'1. Press Assumptions'!$D$89*$A9^1</f>
        <v/>
      </c>
      <c r="E71" s="306">
        <f>'1. Press Assumptions'!$B$35*'1. Press Assumptions'!$D$89*$A9^2</f>
        <v/>
      </c>
      <c r="F71" s="306">
        <f>'1. Press Assumptions'!$B$35*'1. Press Assumptions'!$D$89*$A9^3</f>
        <v/>
      </c>
      <c r="G71" s="306">
        <f>'1. Press Assumptions'!$B$35*'1. Press Assumptions'!$D$89*$A9^4</f>
        <v/>
      </c>
      <c r="H71" s="306">
        <f>'1. Press Assumptions'!$B$35*'1. Press Assumptions'!$D$89*$A9^5</f>
        <v/>
      </c>
      <c r="I71" s="306">
        <f>'1. Press Assumptions'!$B$35*'1. Press Assumptions'!$D$89*$A9^6</f>
        <v/>
      </c>
      <c r="J71" s="306">
        <f>'1. Press Assumptions'!$B$35*'1. Press Assumptions'!$D$89*$A9^7</f>
        <v/>
      </c>
      <c r="K71" s="306">
        <f>'1. Press Assumptions'!$B$35*'1. Press Assumptions'!$D$89*$A9^8</f>
        <v/>
      </c>
      <c r="L71" s="306">
        <f>'1. Press Assumptions'!$B$35*'1. Press Assumptions'!$D$89*$A9^9</f>
        <v/>
      </c>
      <c r="M71" s="306">
        <f>'1. Press Assumptions'!$B$35*'1. Press Assumptions'!$D$89*$A9^10</f>
        <v/>
      </c>
      <c r="N71" s="306">
        <f>'1. Press Assumptions'!$B$35*'1. Press Assumptions'!$D$89*$A9^11</f>
        <v/>
      </c>
      <c r="O71" s="306">
        <f>'1. Press Assumptions'!$B$35*'1. Press Assumptions'!$D$89*$A9^12</f>
        <v/>
      </c>
      <c r="P71" s="306">
        <f>'1. Press Assumptions'!$B$35*'1. Press Assumptions'!$D$89*$A9^13</f>
        <v/>
      </c>
      <c r="Q71" s="306">
        <f>'1. Press Assumptions'!$B$35*'1. Press Assumptions'!$D$89*$A9^14</f>
        <v/>
      </c>
    </row>
    <row r="72">
      <c r="B72" s="306">
        <f>-'1. Press Assumptions'!$D$89*H$5</f>
        <v/>
      </c>
      <c r="C72" s="306">
        <f>'1. Press Assumptions'!$B$35*'1. Press Assumptions'!$D$89*$A9^0</f>
        <v/>
      </c>
      <c r="D72" s="306">
        <f>'1. Press Assumptions'!$B$35*'1. Press Assumptions'!$D$89*$A9^1</f>
        <v/>
      </c>
      <c r="E72" s="306">
        <f>'1. Press Assumptions'!$B$35*'1. Press Assumptions'!$D$89*$A9^2</f>
        <v/>
      </c>
      <c r="F72" s="306">
        <f>'1. Press Assumptions'!$B$35*'1. Press Assumptions'!$D$89*$A9^3</f>
        <v/>
      </c>
      <c r="G72" s="306">
        <f>'1. Press Assumptions'!$B$35*'1. Press Assumptions'!$D$89*$A9^4</f>
        <v/>
      </c>
      <c r="H72" s="306">
        <f>'1. Press Assumptions'!$B$35*'1. Press Assumptions'!$D$89*$A9^5</f>
        <v/>
      </c>
      <c r="I72" s="306">
        <f>'1. Press Assumptions'!$B$35*'1. Press Assumptions'!$D$89*$A9^6</f>
        <v/>
      </c>
      <c r="J72" s="306">
        <f>'1. Press Assumptions'!$B$35*'1. Press Assumptions'!$D$89*$A9^7</f>
        <v/>
      </c>
      <c r="K72" s="306">
        <f>'1. Press Assumptions'!$B$35*'1. Press Assumptions'!$D$89*$A9^8</f>
        <v/>
      </c>
      <c r="L72" s="306">
        <f>'1. Press Assumptions'!$B$35*'1. Press Assumptions'!$D$89*$A9^9</f>
        <v/>
      </c>
      <c r="M72" s="306">
        <f>'1. Press Assumptions'!$B$35*'1. Press Assumptions'!$D$89*$A9^10</f>
        <v/>
      </c>
      <c r="N72" s="306">
        <f>'1. Press Assumptions'!$B$35*'1. Press Assumptions'!$D$89*$A9^11</f>
        <v/>
      </c>
      <c r="O72" s="306">
        <f>'1. Press Assumptions'!$B$35*'1. Press Assumptions'!$D$89*$A9^12</f>
        <v/>
      </c>
      <c r="P72" s="306">
        <f>'1. Press Assumptions'!$B$35*'1. Press Assumptions'!$D$89*$A9^13</f>
        <v/>
      </c>
      <c r="Q72" s="306">
        <f>'1. Press Assumptions'!$B$35*'1. Press Assumptions'!$D$89*$A9^14</f>
        <v/>
      </c>
    </row>
    <row r="73">
      <c r="B73" s="306">
        <f>-'1. Press Assumptions'!$D$89*B$5</f>
        <v/>
      </c>
      <c r="C73" s="306">
        <f>'1. Press Assumptions'!$B$35*'1. Press Assumptions'!$D$89*$A10^0</f>
        <v/>
      </c>
      <c r="D73" s="306">
        <f>'1. Press Assumptions'!$B$35*'1. Press Assumptions'!$D$89*$A10^1</f>
        <v/>
      </c>
      <c r="E73" s="306">
        <f>'1. Press Assumptions'!$B$35*'1. Press Assumptions'!$D$89*$A10^2</f>
        <v/>
      </c>
      <c r="F73" s="306">
        <f>'1. Press Assumptions'!$B$35*'1. Press Assumptions'!$D$89*$A10^3</f>
        <v/>
      </c>
      <c r="G73" s="306">
        <f>'1. Press Assumptions'!$B$35*'1. Press Assumptions'!$D$89*$A10^4</f>
        <v/>
      </c>
      <c r="H73" s="306">
        <f>'1. Press Assumptions'!$B$35*'1. Press Assumptions'!$D$89*$A10^5</f>
        <v/>
      </c>
      <c r="I73" s="306">
        <f>'1. Press Assumptions'!$B$35*'1. Press Assumptions'!$D$89*$A10^6</f>
        <v/>
      </c>
      <c r="J73" s="306">
        <f>'1. Press Assumptions'!$B$35*'1. Press Assumptions'!$D$89*$A10^7</f>
        <v/>
      </c>
      <c r="K73" s="306">
        <f>'1. Press Assumptions'!$B$35*'1. Press Assumptions'!$D$89*$A10^8</f>
        <v/>
      </c>
      <c r="L73" s="306">
        <f>'1. Press Assumptions'!$B$35*'1. Press Assumptions'!$D$89*$A10^9</f>
        <v/>
      </c>
      <c r="M73" s="306">
        <f>'1. Press Assumptions'!$B$35*'1. Press Assumptions'!$D$89*$A10^10</f>
        <v/>
      </c>
      <c r="N73" s="306">
        <f>'1. Press Assumptions'!$B$35*'1. Press Assumptions'!$D$89*$A10^11</f>
        <v/>
      </c>
      <c r="O73" s="306">
        <f>'1. Press Assumptions'!$B$35*'1. Press Assumptions'!$D$89*$A10^12</f>
        <v/>
      </c>
      <c r="P73" s="306">
        <f>'1. Press Assumptions'!$B$35*'1. Press Assumptions'!$D$89*$A10^13</f>
        <v/>
      </c>
      <c r="Q73" s="306">
        <f>'1. Press Assumptions'!$B$35*'1. Press Assumptions'!$D$89*$A10^14</f>
        <v/>
      </c>
    </row>
    <row r="74">
      <c r="B74" s="306">
        <f>-'1. Press Assumptions'!$D$89*C$5</f>
        <v/>
      </c>
      <c r="C74" s="306">
        <f>'1. Press Assumptions'!$B$35*'1. Press Assumptions'!$D$89*$A10^0</f>
        <v/>
      </c>
      <c r="D74" s="306">
        <f>'1. Press Assumptions'!$B$35*'1. Press Assumptions'!$D$89*$A10^1</f>
        <v/>
      </c>
      <c r="E74" s="306">
        <f>'1. Press Assumptions'!$B$35*'1. Press Assumptions'!$D$89*$A10^2</f>
        <v/>
      </c>
      <c r="F74" s="306">
        <f>'1. Press Assumptions'!$B$35*'1. Press Assumptions'!$D$89*$A10^3</f>
        <v/>
      </c>
      <c r="G74" s="306">
        <f>'1. Press Assumptions'!$B$35*'1. Press Assumptions'!$D$89*$A10^4</f>
        <v/>
      </c>
      <c r="H74" s="306">
        <f>'1. Press Assumptions'!$B$35*'1. Press Assumptions'!$D$89*$A10^5</f>
        <v/>
      </c>
      <c r="I74" s="306">
        <f>'1. Press Assumptions'!$B$35*'1. Press Assumptions'!$D$89*$A10^6</f>
        <v/>
      </c>
      <c r="J74" s="306">
        <f>'1. Press Assumptions'!$B$35*'1. Press Assumptions'!$D$89*$A10^7</f>
        <v/>
      </c>
      <c r="K74" s="306">
        <f>'1. Press Assumptions'!$B$35*'1. Press Assumptions'!$D$89*$A10^8</f>
        <v/>
      </c>
      <c r="L74" s="306">
        <f>'1. Press Assumptions'!$B$35*'1. Press Assumptions'!$D$89*$A10^9</f>
        <v/>
      </c>
      <c r="M74" s="306">
        <f>'1. Press Assumptions'!$B$35*'1. Press Assumptions'!$D$89*$A10^10</f>
        <v/>
      </c>
      <c r="N74" s="306">
        <f>'1. Press Assumptions'!$B$35*'1. Press Assumptions'!$D$89*$A10^11</f>
        <v/>
      </c>
      <c r="O74" s="306">
        <f>'1. Press Assumptions'!$B$35*'1. Press Assumptions'!$D$89*$A10^12</f>
        <v/>
      </c>
      <c r="P74" s="306">
        <f>'1. Press Assumptions'!$B$35*'1. Press Assumptions'!$D$89*$A10^13</f>
        <v/>
      </c>
      <c r="Q74" s="306">
        <f>'1. Press Assumptions'!$B$35*'1. Press Assumptions'!$D$89*$A10^14</f>
        <v/>
      </c>
    </row>
    <row r="75">
      <c r="B75" s="306">
        <f>-'1. Press Assumptions'!$D$89*D$5</f>
        <v/>
      </c>
      <c r="C75" s="306">
        <f>'1. Press Assumptions'!$B$35*'1. Press Assumptions'!$D$89*$A10^0</f>
        <v/>
      </c>
      <c r="D75" s="306">
        <f>'1. Press Assumptions'!$B$35*'1. Press Assumptions'!$D$89*$A10^1</f>
        <v/>
      </c>
      <c r="E75" s="306">
        <f>'1. Press Assumptions'!$B$35*'1. Press Assumptions'!$D$89*$A10^2</f>
        <v/>
      </c>
      <c r="F75" s="306">
        <f>'1. Press Assumptions'!$B$35*'1. Press Assumptions'!$D$89*$A10^3</f>
        <v/>
      </c>
      <c r="G75" s="306">
        <f>'1. Press Assumptions'!$B$35*'1. Press Assumptions'!$D$89*$A10^4</f>
        <v/>
      </c>
      <c r="H75" s="306">
        <f>'1. Press Assumptions'!$B$35*'1. Press Assumptions'!$D$89*$A10^5</f>
        <v/>
      </c>
      <c r="I75" s="306">
        <f>'1. Press Assumptions'!$B$35*'1. Press Assumptions'!$D$89*$A10^6</f>
        <v/>
      </c>
      <c r="J75" s="306">
        <f>'1. Press Assumptions'!$B$35*'1. Press Assumptions'!$D$89*$A10^7</f>
        <v/>
      </c>
      <c r="K75" s="306">
        <f>'1. Press Assumptions'!$B$35*'1. Press Assumptions'!$D$89*$A10^8</f>
        <v/>
      </c>
      <c r="L75" s="306">
        <f>'1. Press Assumptions'!$B$35*'1. Press Assumptions'!$D$89*$A10^9</f>
        <v/>
      </c>
      <c r="M75" s="306">
        <f>'1. Press Assumptions'!$B$35*'1. Press Assumptions'!$D$89*$A10^10</f>
        <v/>
      </c>
      <c r="N75" s="306">
        <f>'1. Press Assumptions'!$B$35*'1. Press Assumptions'!$D$89*$A10^11</f>
        <v/>
      </c>
      <c r="O75" s="306">
        <f>'1. Press Assumptions'!$B$35*'1. Press Assumptions'!$D$89*$A10^12</f>
        <v/>
      </c>
      <c r="P75" s="306">
        <f>'1. Press Assumptions'!$B$35*'1. Press Assumptions'!$D$89*$A10^13</f>
        <v/>
      </c>
      <c r="Q75" s="306">
        <f>'1. Press Assumptions'!$B$35*'1. Press Assumptions'!$D$89*$A10^14</f>
        <v/>
      </c>
    </row>
    <row r="76">
      <c r="B76" s="306">
        <f>-'1. Press Assumptions'!$D$89*E$5</f>
        <v/>
      </c>
      <c r="C76" s="306">
        <f>'1. Press Assumptions'!$B$35*'1. Press Assumptions'!$D$89*$A10^0</f>
        <v/>
      </c>
      <c r="D76" s="306">
        <f>'1. Press Assumptions'!$B$35*'1. Press Assumptions'!$D$89*$A10^1</f>
        <v/>
      </c>
      <c r="E76" s="306">
        <f>'1. Press Assumptions'!$B$35*'1. Press Assumptions'!$D$89*$A10^2</f>
        <v/>
      </c>
      <c r="F76" s="306">
        <f>'1. Press Assumptions'!$B$35*'1. Press Assumptions'!$D$89*$A10^3</f>
        <v/>
      </c>
      <c r="G76" s="306">
        <f>'1. Press Assumptions'!$B$35*'1. Press Assumptions'!$D$89*$A10^4</f>
        <v/>
      </c>
      <c r="H76" s="306">
        <f>'1. Press Assumptions'!$B$35*'1. Press Assumptions'!$D$89*$A10^5</f>
        <v/>
      </c>
      <c r="I76" s="306">
        <f>'1. Press Assumptions'!$B$35*'1. Press Assumptions'!$D$89*$A10^6</f>
        <v/>
      </c>
      <c r="J76" s="306">
        <f>'1. Press Assumptions'!$B$35*'1. Press Assumptions'!$D$89*$A10^7</f>
        <v/>
      </c>
      <c r="K76" s="306">
        <f>'1. Press Assumptions'!$B$35*'1. Press Assumptions'!$D$89*$A10^8</f>
        <v/>
      </c>
      <c r="L76" s="306">
        <f>'1. Press Assumptions'!$B$35*'1. Press Assumptions'!$D$89*$A10^9</f>
        <v/>
      </c>
      <c r="M76" s="306">
        <f>'1. Press Assumptions'!$B$35*'1. Press Assumptions'!$D$89*$A10^10</f>
        <v/>
      </c>
      <c r="N76" s="306">
        <f>'1. Press Assumptions'!$B$35*'1. Press Assumptions'!$D$89*$A10^11</f>
        <v/>
      </c>
      <c r="O76" s="306">
        <f>'1. Press Assumptions'!$B$35*'1. Press Assumptions'!$D$89*$A10^12</f>
        <v/>
      </c>
      <c r="P76" s="306">
        <f>'1. Press Assumptions'!$B$35*'1. Press Assumptions'!$D$89*$A10^13</f>
        <v/>
      </c>
      <c r="Q76" s="306">
        <f>'1. Press Assumptions'!$B$35*'1. Press Assumptions'!$D$89*$A10^14</f>
        <v/>
      </c>
    </row>
    <row r="77">
      <c r="B77" s="306">
        <f>-'1. Press Assumptions'!$D$89*F$5</f>
        <v/>
      </c>
      <c r="C77" s="306">
        <f>'1. Press Assumptions'!$B$35*'1. Press Assumptions'!$D$89*$A10^0</f>
        <v/>
      </c>
      <c r="D77" s="306">
        <f>'1. Press Assumptions'!$B$35*'1. Press Assumptions'!$D$89*$A10^1</f>
        <v/>
      </c>
      <c r="E77" s="306">
        <f>'1. Press Assumptions'!$B$35*'1. Press Assumptions'!$D$89*$A10^2</f>
        <v/>
      </c>
      <c r="F77" s="306">
        <f>'1. Press Assumptions'!$B$35*'1. Press Assumptions'!$D$89*$A10^3</f>
        <v/>
      </c>
      <c r="G77" s="306">
        <f>'1. Press Assumptions'!$B$35*'1. Press Assumptions'!$D$89*$A10^4</f>
        <v/>
      </c>
      <c r="H77" s="306">
        <f>'1. Press Assumptions'!$B$35*'1. Press Assumptions'!$D$89*$A10^5</f>
        <v/>
      </c>
      <c r="I77" s="306">
        <f>'1. Press Assumptions'!$B$35*'1. Press Assumptions'!$D$89*$A10^6</f>
        <v/>
      </c>
      <c r="J77" s="306">
        <f>'1. Press Assumptions'!$B$35*'1. Press Assumptions'!$D$89*$A10^7</f>
        <v/>
      </c>
      <c r="K77" s="306">
        <f>'1. Press Assumptions'!$B$35*'1. Press Assumptions'!$D$89*$A10^8</f>
        <v/>
      </c>
      <c r="L77" s="306">
        <f>'1. Press Assumptions'!$B$35*'1. Press Assumptions'!$D$89*$A10^9</f>
        <v/>
      </c>
      <c r="M77" s="306">
        <f>'1. Press Assumptions'!$B$35*'1. Press Assumptions'!$D$89*$A10^10</f>
        <v/>
      </c>
      <c r="N77" s="306">
        <f>'1. Press Assumptions'!$B$35*'1. Press Assumptions'!$D$89*$A10^11</f>
        <v/>
      </c>
      <c r="O77" s="306">
        <f>'1. Press Assumptions'!$B$35*'1. Press Assumptions'!$D$89*$A10^12</f>
        <v/>
      </c>
      <c r="P77" s="306">
        <f>'1. Press Assumptions'!$B$35*'1. Press Assumptions'!$D$89*$A10^13</f>
        <v/>
      </c>
      <c r="Q77" s="306">
        <f>'1. Press Assumptions'!$B$35*'1. Press Assumptions'!$D$89*$A10^14</f>
        <v/>
      </c>
    </row>
    <row r="78">
      <c r="B78" s="306">
        <f>-'1. Press Assumptions'!$D$89*G$5</f>
        <v/>
      </c>
      <c r="C78" s="306">
        <f>'1. Press Assumptions'!$B$35*'1. Press Assumptions'!$D$89*$A10^0</f>
        <v/>
      </c>
      <c r="D78" s="306">
        <f>'1. Press Assumptions'!$B$35*'1. Press Assumptions'!$D$89*$A10^1</f>
        <v/>
      </c>
      <c r="E78" s="306">
        <f>'1. Press Assumptions'!$B$35*'1. Press Assumptions'!$D$89*$A10^2</f>
        <v/>
      </c>
      <c r="F78" s="306">
        <f>'1. Press Assumptions'!$B$35*'1. Press Assumptions'!$D$89*$A10^3</f>
        <v/>
      </c>
      <c r="G78" s="306">
        <f>'1. Press Assumptions'!$B$35*'1. Press Assumptions'!$D$89*$A10^4</f>
        <v/>
      </c>
      <c r="H78" s="306">
        <f>'1. Press Assumptions'!$B$35*'1. Press Assumptions'!$D$89*$A10^5</f>
        <v/>
      </c>
      <c r="I78" s="306">
        <f>'1. Press Assumptions'!$B$35*'1. Press Assumptions'!$D$89*$A10^6</f>
        <v/>
      </c>
      <c r="J78" s="306">
        <f>'1. Press Assumptions'!$B$35*'1. Press Assumptions'!$D$89*$A10^7</f>
        <v/>
      </c>
      <c r="K78" s="306">
        <f>'1. Press Assumptions'!$B$35*'1. Press Assumptions'!$D$89*$A10^8</f>
        <v/>
      </c>
      <c r="L78" s="306">
        <f>'1. Press Assumptions'!$B$35*'1. Press Assumptions'!$D$89*$A10^9</f>
        <v/>
      </c>
      <c r="M78" s="306">
        <f>'1. Press Assumptions'!$B$35*'1. Press Assumptions'!$D$89*$A10^10</f>
        <v/>
      </c>
      <c r="N78" s="306">
        <f>'1. Press Assumptions'!$B$35*'1. Press Assumptions'!$D$89*$A10^11</f>
        <v/>
      </c>
      <c r="O78" s="306">
        <f>'1. Press Assumptions'!$B$35*'1. Press Assumptions'!$D$89*$A10^12</f>
        <v/>
      </c>
      <c r="P78" s="306">
        <f>'1. Press Assumptions'!$B$35*'1. Press Assumptions'!$D$89*$A10^13</f>
        <v/>
      </c>
      <c r="Q78" s="306">
        <f>'1. Press Assumptions'!$B$35*'1. Press Assumptions'!$D$89*$A10^14</f>
        <v/>
      </c>
    </row>
    <row r="79">
      <c r="B79" s="306">
        <f>-'1. Press Assumptions'!$D$89*H$5</f>
        <v/>
      </c>
      <c r="C79" s="306">
        <f>'1. Press Assumptions'!$B$35*'1. Press Assumptions'!$D$89*$A10^0</f>
        <v/>
      </c>
      <c r="D79" s="306">
        <f>'1. Press Assumptions'!$B$35*'1. Press Assumptions'!$D$89*$A10^1</f>
        <v/>
      </c>
      <c r="E79" s="306">
        <f>'1. Press Assumptions'!$B$35*'1. Press Assumptions'!$D$89*$A10^2</f>
        <v/>
      </c>
      <c r="F79" s="306">
        <f>'1. Press Assumptions'!$B$35*'1. Press Assumptions'!$D$89*$A10^3</f>
        <v/>
      </c>
      <c r="G79" s="306">
        <f>'1. Press Assumptions'!$B$35*'1. Press Assumptions'!$D$89*$A10^4</f>
        <v/>
      </c>
      <c r="H79" s="306">
        <f>'1. Press Assumptions'!$B$35*'1. Press Assumptions'!$D$89*$A10^5</f>
        <v/>
      </c>
      <c r="I79" s="306">
        <f>'1. Press Assumptions'!$B$35*'1. Press Assumptions'!$D$89*$A10^6</f>
        <v/>
      </c>
      <c r="J79" s="306">
        <f>'1. Press Assumptions'!$B$35*'1. Press Assumptions'!$D$89*$A10^7</f>
        <v/>
      </c>
      <c r="K79" s="306">
        <f>'1. Press Assumptions'!$B$35*'1. Press Assumptions'!$D$89*$A10^8</f>
        <v/>
      </c>
      <c r="L79" s="306">
        <f>'1. Press Assumptions'!$B$35*'1. Press Assumptions'!$D$89*$A10^9</f>
        <v/>
      </c>
      <c r="M79" s="306">
        <f>'1. Press Assumptions'!$B$35*'1. Press Assumptions'!$D$89*$A10^10</f>
        <v/>
      </c>
      <c r="N79" s="306">
        <f>'1. Press Assumptions'!$B$35*'1. Press Assumptions'!$D$89*$A10^11</f>
        <v/>
      </c>
      <c r="O79" s="306">
        <f>'1. Press Assumptions'!$B$35*'1. Press Assumptions'!$D$89*$A10^12</f>
        <v/>
      </c>
      <c r="P79" s="306">
        <f>'1. Press Assumptions'!$B$35*'1. Press Assumptions'!$D$89*$A10^13</f>
        <v/>
      </c>
      <c r="Q79" s="306">
        <f>'1. Press Assumptions'!$B$35*'1. Press Assumptions'!$D$89*$A10^14</f>
        <v/>
      </c>
    </row>
    <row r="80">
      <c r="B80" s="306">
        <f>-'1. Press Assumptions'!$D$89*B$5</f>
        <v/>
      </c>
      <c r="C80" s="306">
        <f>'1. Press Assumptions'!$B$35*'1. Press Assumptions'!$D$89*$A11^0</f>
        <v/>
      </c>
      <c r="D80" s="306">
        <f>'1. Press Assumptions'!$B$35*'1. Press Assumptions'!$D$89*$A11^1</f>
        <v/>
      </c>
      <c r="E80" s="306">
        <f>'1. Press Assumptions'!$B$35*'1. Press Assumptions'!$D$89*$A11^2</f>
        <v/>
      </c>
      <c r="F80" s="306">
        <f>'1. Press Assumptions'!$B$35*'1. Press Assumptions'!$D$89*$A11^3</f>
        <v/>
      </c>
      <c r="G80" s="306">
        <f>'1. Press Assumptions'!$B$35*'1. Press Assumptions'!$D$89*$A11^4</f>
        <v/>
      </c>
      <c r="H80" s="306">
        <f>'1. Press Assumptions'!$B$35*'1. Press Assumptions'!$D$89*$A11^5</f>
        <v/>
      </c>
      <c r="I80" s="306">
        <f>'1. Press Assumptions'!$B$35*'1. Press Assumptions'!$D$89*$A11^6</f>
        <v/>
      </c>
      <c r="J80" s="306">
        <f>'1. Press Assumptions'!$B$35*'1. Press Assumptions'!$D$89*$A11^7</f>
        <v/>
      </c>
      <c r="K80" s="306">
        <f>'1. Press Assumptions'!$B$35*'1. Press Assumptions'!$D$89*$A11^8</f>
        <v/>
      </c>
      <c r="L80" s="306">
        <f>'1. Press Assumptions'!$B$35*'1. Press Assumptions'!$D$89*$A11^9</f>
        <v/>
      </c>
      <c r="M80" s="306">
        <f>'1. Press Assumptions'!$B$35*'1. Press Assumptions'!$D$89*$A11^10</f>
        <v/>
      </c>
      <c r="N80" s="306">
        <f>'1. Press Assumptions'!$B$35*'1. Press Assumptions'!$D$89*$A11^11</f>
        <v/>
      </c>
      <c r="O80" s="306">
        <f>'1. Press Assumptions'!$B$35*'1. Press Assumptions'!$D$89*$A11^12</f>
        <v/>
      </c>
      <c r="P80" s="306">
        <f>'1. Press Assumptions'!$B$35*'1. Press Assumptions'!$D$89*$A11^13</f>
        <v/>
      </c>
      <c r="Q80" s="306">
        <f>'1. Press Assumptions'!$B$35*'1. Press Assumptions'!$D$89*$A11^14</f>
        <v/>
      </c>
    </row>
    <row r="81">
      <c r="B81" s="306">
        <f>-'1. Press Assumptions'!$D$89*C$5</f>
        <v/>
      </c>
      <c r="C81" s="306">
        <f>'1. Press Assumptions'!$B$35*'1. Press Assumptions'!$D$89*$A11^0</f>
        <v/>
      </c>
      <c r="D81" s="306">
        <f>'1. Press Assumptions'!$B$35*'1. Press Assumptions'!$D$89*$A11^1</f>
        <v/>
      </c>
      <c r="E81" s="306">
        <f>'1. Press Assumptions'!$B$35*'1. Press Assumptions'!$D$89*$A11^2</f>
        <v/>
      </c>
      <c r="F81" s="306">
        <f>'1. Press Assumptions'!$B$35*'1. Press Assumptions'!$D$89*$A11^3</f>
        <v/>
      </c>
      <c r="G81" s="306">
        <f>'1. Press Assumptions'!$B$35*'1. Press Assumptions'!$D$89*$A11^4</f>
        <v/>
      </c>
      <c r="H81" s="306">
        <f>'1. Press Assumptions'!$B$35*'1. Press Assumptions'!$D$89*$A11^5</f>
        <v/>
      </c>
      <c r="I81" s="306">
        <f>'1. Press Assumptions'!$B$35*'1. Press Assumptions'!$D$89*$A11^6</f>
        <v/>
      </c>
      <c r="J81" s="306">
        <f>'1. Press Assumptions'!$B$35*'1. Press Assumptions'!$D$89*$A11^7</f>
        <v/>
      </c>
      <c r="K81" s="306">
        <f>'1. Press Assumptions'!$B$35*'1. Press Assumptions'!$D$89*$A11^8</f>
        <v/>
      </c>
      <c r="L81" s="306">
        <f>'1. Press Assumptions'!$B$35*'1. Press Assumptions'!$D$89*$A11^9</f>
        <v/>
      </c>
      <c r="M81" s="306">
        <f>'1. Press Assumptions'!$B$35*'1. Press Assumptions'!$D$89*$A11^10</f>
        <v/>
      </c>
      <c r="N81" s="306">
        <f>'1. Press Assumptions'!$B$35*'1. Press Assumptions'!$D$89*$A11^11</f>
        <v/>
      </c>
      <c r="O81" s="306">
        <f>'1. Press Assumptions'!$B$35*'1. Press Assumptions'!$D$89*$A11^12</f>
        <v/>
      </c>
      <c r="P81" s="306">
        <f>'1. Press Assumptions'!$B$35*'1. Press Assumptions'!$D$89*$A11^13</f>
        <v/>
      </c>
      <c r="Q81" s="306">
        <f>'1. Press Assumptions'!$B$35*'1. Press Assumptions'!$D$89*$A11^14</f>
        <v/>
      </c>
    </row>
    <row r="82">
      <c r="B82" s="306">
        <f>-'1. Press Assumptions'!$D$89*D$5</f>
        <v/>
      </c>
      <c r="C82" s="306">
        <f>'1. Press Assumptions'!$B$35*'1. Press Assumptions'!$D$89*$A11^0</f>
        <v/>
      </c>
      <c r="D82" s="306">
        <f>'1. Press Assumptions'!$B$35*'1. Press Assumptions'!$D$89*$A11^1</f>
        <v/>
      </c>
      <c r="E82" s="306">
        <f>'1. Press Assumptions'!$B$35*'1. Press Assumptions'!$D$89*$A11^2</f>
        <v/>
      </c>
      <c r="F82" s="306">
        <f>'1. Press Assumptions'!$B$35*'1. Press Assumptions'!$D$89*$A11^3</f>
        <v/>
      </c>
      <c r="G82" s="306">
        <f>'1. Press Assumptions'!$B$35*'1. Press Assumptions'!$D$89*$A11^4</f>
        <v/>
      </c>
      <c r="H82" s="306">
        <f>'1. Press Assumptions'!$B$35*'1. Press Assumptions'!$D$89*$A11^5</f>
        <v/>
      </c>
      <c r="I82" s="306">
        <f>'1. Press Assumptions'!$B$35*'1. Press Assumptions'!$D$89*$A11^6</f>
        <v/>
      </c>
      <c r="J82" s="306">
        <f>'1. Press Assumptions'!$B$35*'1. Press Assumptions'!$D$89*$A11^7</f>
        <v/>
      </c>
      <c r="K82" s="306">
        <f>'1. Press Assumptions'!$B$35*'1. Press Assumptions'!$D$89*$A11^8</f>
        <v/>
      </c>
      <c r="L82" s="306">
        <f>'1. Press Assumptions'!$B$35*'1. Press Assumptions'!$D$89*$A11^9</f>
        <v/>
      </c>
      <c r="M82" s="306">
        <f>'1. Press Assumptions'!$B$35*'1. Press Assumptions'!$D$89*$A11^10</f>
        <v/>
      </c>
      <c r="N82" s="306">
        <f>'1. Press Assumptions'!$B$35*'1. Press Assumptions'!$D$89*$A11^11</f>
        <v/>
      </c>
      <c r="O82" s="306">
        <f>'1. Press Assumptions'!$B$35*'1. Press Assumptions'!$D$89*$A11^12</f>
        <v/>
      </c>
      <c r="P82" s="306">
        <f>'1. Press Assumptions'!$B$35*'1. Press Assumptions'!$D$89*$A11^13</f>
        <v/>
      </c>
      <c r="Q82" s="306">
        <f>'1. Press Assumptions'!$B$35*'1. Press Assumptions'!$D$89*$A11^14</f>
        <v/>
      </c>
    </row>
    <row r="83">
      <c r="B83" s="306">
        <f>-'1. Press Assumptions'!$D$89*E$5</f>
        <v/>
      </c>
      <c r="C83" s="306">
        <f>'1. Press Assumptions'!$B$35*'1. Press Assumptions'!$D$89*$A11^0</f>
        <v/>
      </c>
      <c r="D83" s="306">
        <f>'1. Press Assumptions'!$B$35*'1. Press Assumptions'!$D$89*$A11^1</f>
        <v/>
      </c>
      <c r="E83" s="306">
        <f>'1. Press Assumptions'!$B$35*'1. Press Assumptions'!$D$89*$A11^2</f>
        <v/>
      </c>
      <c r="F83" s="306">
        <f>'1. Press Assumptions'!$B$35*'1. Press Assumptions'!$D$89*$A11^3</f>
        <v/>
      </c>
      <c r="G83" s="306">
        <f>'1. Press Assumptions'!$B$35*'1. Press Assumptions'!$D$89*$A11^4</f>
        <v/>
      </c>
      <c r="H83" s="306">
        <f>'1. Press Assumptions'!$B$35*'1. Press Assumptions'!$D$89*$A11^5</f>
        <v/>
      </c>
      <c r="I83" s="306">
        <f>'1. Press Assumptions'!$B$35*'1. Press Assumptions'!$D$89*$A11^6</f>
        <v/>
      </c>
      <c r="J83" s="306">
        <f>'1. Press Assumptions'!$B$35*'1. Press Assumptions'!$D$89*$A11^7</f>
        <v/>
      </c>
      <c r="K83" s="306">
        <f>'1. Press Assumptions'!$B$35*'1. Press Assumptions'!$D$89*$A11^8</f>
        <v/>
      </c>
      <c r="L83" s="306">
        <f>'1. Press Assumptions'!$B$35*'1. Press Assumptions'!$D$89*$A11^9</f>
        <v/>
      </c>
      <c r="M83" s="306">
        <f>'1. Press Assumptions'!$B$35*'1. Press Assumptions'!$D$89*$A11^10</f>
        <v/>
      </c>
      <c r="N83" s="306">
        <f>'1. Press Assumptions'!$B$35*'1. Press Assumptions'!$D$89*$A11^11</f>
        <v/>
      </c>
      <c r="O83" s="306">
        <f>'1. Press Assumptions'!$B$35*'1. Press Assumptions'!$D$89*$A11^12</f>
        <v/>
      </c>
      <c r="P83" s="306">
        <f>'1. Press Assumptions'!$B$35*'1. Press Assumptions'!$D$89*$A11^13</f>
        <v/>
      </c>
      <c r="Q83" s="306">
        <f>'1. Press Assumptions'!$B$35*'1. Press Assumptions'!$D$89*$A11^14</f>
        <v/>
      </c>
    </row>
    <row r="84">
      <c r="B84" s="306">
        <f>-'1. Press Assumptions'!$D$89*F$5</f>
        <v/>
      </c>
      <c r="C84" s="306">
        <f>'1. Press Assumptions'!$B$35*'1. Press Assumptions'!$D$89*$A11^0</f>
        <v/>
      </c>
      <c r="D84" s="306">
        <f>'1. Press Assumptions'!$B$35*'1. Press Assumptions'!$D$89*$A11^1</f>
        <v/>
      </c>
      <c r="E84" s="306">
        <f>'1. Press Assumptions'!$B$35*'1. Press Assumptions'!$D$89*$A11^2</f>
        <v/>
      </c>
      <c r="F84" s="306">
        <f>'1. Press Assumptions'!$B$35*'1. Press Assumptions'!$D$89*$A11^3</f>
        <v/>
      </c>
      <c r="G84" s="306">
        <f>'1. Press Assumptions'!$B$35*'1. Press Assumptions'!$D$89*$A11^4</f>
        <v/>
      </c>
      <c r="H84" s="306">
        <f>'1. Press Assumptions'!$B$35*'1. Press Assumptions'!$D$89*$A11^5</f>
        <v/>
      </c>
      <c r="I84" s="306">
        <f>'1. Press Assumptions'!$B$35*'1. Press Assumptions'!$D$89*$A11^6</f>
        <v/>
      </c>
      <c r="J84" s="306">
        <f>'1. Press Assumptions'!$B$35*'1. Press Assumptions'!$D$89*$A11^7</f>
        <v/>
      </c>
      <c r="K84" s="306">
        <f>'1. Press Assumptions'!$B$35*'1. Press Assumptions'!$D$89*$A11^8</f>
        <v/>
      </c>
      <c r="L84" s="306">
        <f>'1. Press Assumptions'!$B$35*'1. Press Assumptions'!$D$89*$A11^9</f>
        <v/>
      </c>
      <c r="M84" s="306">
        <f>'1. Press Assumptions'!$B$35*'1. Press Assumptions'!$D$89*$A11^10</f>
        <v/>
      </c>
      <c r="N84" s="306">
        <f>'1. Press Assumptions'!$B$35*'1. Press Assumptions'!$D$89*$A11^11</f>
        <v/>
      </c>
      <c r="O84" s="306">
        <f>'1. Press Assumptions'!$B$35*'1. Press Assumptions'!$D$89*$A11^12</f>
        <v/>
      </c>
      <c r="P84" s="306">
        <f>'1. Press Assumptions'!$B$35*'1. Press Assumptions'!$D$89*$A11^13</f>
        <v/>
      </c>
      <c r="Q84" s="306">
        <f>'1. Press Assumptions'!$B$35*'1. Press Assumptions'!$D$89*$A11^14</f>
        <v/>
      </c>
    </row>
    <row r="85">
      <c r="B85" s="306">
        <f>-'1. Press Assumptions'!$D$89*G$5</f>
        <v/>
      </c>
      <c r="C85" s="306">
        <f>'1. Press Assumptions'!$B$35*'1. Press Assumptions'!$D$89*$A11^0</f>
        <v/>
      </c>
      <c r="D85" s="306">
        <f>'1. Press Assumptions'!$B$35*'1. Press Assumptions'!$D$89*$A11^1</f>
        <v/>
      </c>
      <c r="E85" s="306">
        <f>'1. Press Assumptions'!$B$35*'1. Press Assumptions'!$D$89*$A11^2</f>
        <v/>
      </c>
      <c r="F85" s="306">
        <f>'1. Press Assumptions'!$B$35*'1. Press Assumptions'!$D$89*$A11^3</f>
        <v/>
      </c>
      <c r="G85" s="306">
        <f>'1. Press Assumptions'!$B$35*'1. Press Assumptions'!$D$89*$A11^4</f>
        <v/>
      </c>
      <c r="H85" s="306">
        <f>'1. Press Assumptions'!$B$35*'1. Press Assumptions'!$D$89*$A11^5</f>
        <v/>
      </c>
      <c r="I85" s="306">
        <f>'1. Press Assumptions'!$B$35*'1. Press Assumptions'!$D$89*$A11^6</f>
        <v/>
      </c>
      <c r="J85" s="306">
        <f>'1. Press Assumptions'!$B$35*'1. Press Assumptions'!$D$89*$A11^7</f>
        <v/>
      </c>
      <c r="K85" s="306">
        <f>'1. Press Assumptions'!$B$35*'1. Press Assumptions'!$D$89*$A11^8</f>
        <v/>
      </c>
      <c r="L85" s="306">
        <f>'1. Press Assumptions'!$B$35*'1. Press Assumptions'!$D$89*$A11^9</f>
        <v/>
      </c>
      <c r="M85" s="306">
        <f>'1. Press Assumptions'!$B$35*'1. Press Assumptions'!$D$89*$A11^10</f>
        <v/>
      </c>
      <c r="N85" s="306">
        <f>'1. Press Assumptions'!$B$35*'1. Press Assumptions'!$D$89*$A11^11</f>
        <v/>
      </c>
      <c r="O85" s="306">
        <f>'1. Press Assumptions'!$B$35*'1. Press Assumptions'!$D$89*$A11^12</f>
        <v/>
      </c>
      <c r="P85" s="306">
        <f>'1. Press Assumptions'!$B$35*'1. Press Assumptions'!$D$89*$A11^13</f>
        <v/>
      </c>
      <c r="Q85" s="306">
        <f>'1. Press Assumptions'!$B$35*'1. Press Assumptions'!$D$89*$A11^14</f>
        <v/>
      </c>
    </row>
    <row r="86">
      <c r="B86" s="306">
        <f>-'1. Press Assumptions'!$D$89*H$5</f>
        <v/>
      </c>
      <c r="C86" s="306">
        <f>'1. Press Assumptions'!$B$35*'1. Press Assumptions'!$D$89*$A11^0</f>
        <v/>
      </c>
      <c r="D86" s="306">
        <f>'1. Press Assumptions'!$B$35*'1. Press Assumptions'!$D$89*$A11^1</f>
        <v/>
      </c>
      <c r="E86" s="306">
        <f>'1. Press Assumptions'!$B$35*'1. Press Assumptions'!$D$89*$A11^2</f>
        <v/>
      </c>
      <c r="F86" s="306">
        <f>'1. Press Assumptions'!$B$35*'1. Press Assumptions'!$D$89*$A11^3</f>
        <v/>
      </c>
      <c r="G86" s="306">
        <f>'1. Press Assumptions'!$B$35*'1. Press Assumptions'!$D$89*$A11^4</f>
        <v/>
      </c>
      <c r="H86" s="306">
        <f>'1. Press Assumptions'!$B$35*'1. Press Assumptions'!$D$89*$A11^5</f>
        <v/>
      </c>
      <c r="I86" s="306">
        <f>'1. Press Assumptions'!$B$35*'1. Press Assumptions'!$D$89*$A11^6</f>
        <v/>
      </c>
      <c r="J86" s="306">
        <f>'1. Press Assumptions'!$B$35*'1. Press Assumptions'!$D$89*$A11^7</f>
        <v/>
      </c>
      <c r="K86" s="306">
        <f>'1. Press Assumptions'!$B$35*'1. Press Assumptions'!$D$89*$A11^8</f>
        <v/>
      </c>
      <c r="L86" s="306">
        <f>'1. Press Assumptions'!$B$35*'1. Press Assumptions'!$D$89*$A11^9</f>
        <v/>
      </c>
      <c r="M86" s="306">
        <f>'1. Press Assumptions'!$B$35*'1. Press Assumptions'!$D$89*$A11^10</f>
        <v/>
      </c>
      <c r="N86" s="306">
        <f>'1. Press Assumptions'!$B$35*'1. Press Assumptions'!$D$89*$A11^11</f>
        <v/>
      </c>
      <c r="O86" s="306">
        <f>'1. Press Assumptions'!$B$35*'1. Press Assumptions'!$D$89*$A11^12</f>
        <v/>
      </c>
      <c r="P86" s="306">
        <f>'1. Press Assumptions'!$B$35*'1. Press Assumptions'!$D$89*$A11^13</f>
        <v/>
      </c>
      <c r="Q86" s="306">
        <f>'1. Press Assumptions'!$B$35*'1. Press Assumptions'!$D$89*$A11^14</f>
        <v/>
      </c>
    </row>
    <row r="87">
      <c r="B87" s="306">
        <f>-'1. Press Assumptions'!$D$89*B$5</f>
        <v/>
      </c>
      <c r="C87" s="306">
        <f>'1. Press Assumptions'!$B$35*'1. Press Assumptions'!$D$89*$A12^0</f>
        <v/>
      </c>
      <c r="D87" s="306">
        <f>'1. Press Assumptions'!$B$35*'1. Press Assumptions'!$D$89*$A12^1</f>
        <v/>
      </c>
      <c r="E87" s="306">
        <f>'1. Press Assumptions'!$B$35*'1. Press Assumptions'!$D$89*$A12^2</f>
        <v/>
      </c>
      <c r="F87" s="306">
        <f>'1. Press Assumptions'!$B$35*'1. Press Assumptions'!$D$89*$A12^3</f>
        <v/>
      </c>
      <c r="G87" s="306">
        <f>'1. Press Assumptions'!$B$35*'1. Press Assumptions'!$D$89*$A12^4</f>
        <v/>
      </c>
      <c r="H87" s="306">
        <f>'1. Press Assumptions'!$B$35*'1. Press Assumptions'!$D$89*$A12^5</f>
        <v/>
      </c>
      <c r="I87" s="306">
        <f>'1. Press Assumptions'!$B$35*'1. Press Assumptions'!$D$89*$A12^6</f>
        <v/>
      </c>
      <c r="J87" s="306">
        <f>'1. Press Assumptions'!$B$35*'1. Press Assumptions'!$D$89*$A12^7</f>
        <v/>
      </c>
      <c r="K87" s="306">
        <f>'1. Press Assumptions'!$B$35*'1. Press Assumptions'!$D$89*$A12^8</f>
        <v/>
      </c>
      <c r="L87" s="306">
        <f>'1. Press Assumptions'!$B$35*'1. Press Assumptions'!$D$89*$A12^9</f>
        <v/>
      </c>
      <c r="M87" s="306">
        <f>'1. Press Assumptions'!$B$35*'1. Press Assumptions'!$D$89*$A12^10</f>
        <v/>
      </c>
      <c r="N87" s="306">
        <f>'1. Press Assumptions'!$B$35*'1. Press Assumptions'!$D$89*$A12^11</f>
        <v/>
      </c>
      <c r="O87" s="306">
        <f>'1. Press Assumptions'!$B$35*'1. Press Assumptions'!$D$89*$A12^12</f>
        <v/>
      </c>
      <c r="P87" s="306">
        <f>'1. Press Assumptions'!$B$35*'1. Press Assumptions'!$D$89*$A12^13</f>
        <v/>
      </c>
      <c r="Q87" s="306">
        <f>'1. Press Assumptions'!$B$35*'1. Press Assumptions'!$D$89*$A12^14</f>
        <v/>
      </c>
    </row>
    <row r="88">
      <c r="B88" s="306">
        <f>-'1. Press Assumptions'!$D$89*C$5</f>
        <v/>
      </c>
      <c r="C88" s="306">
        <f>'1. Press Assumptions'!$B$35*'1. Press Assumptions'!$D$89*$A12^0</f>
        <v/>
      </c>
      <c r="D88" s="306">
        <f>'1. Press Assumptions'!$B$35*'1. Press Assumptions'!$D$89*$A12^1</f>
        <v/>
      </c>
      <c r="E88" s="306">
        <f>'1. Press Assumptions'!$B$35*'1. Press Assumptions'!$D$89*$A12^2</f>
        <v/>
      </c>
      <c r="F88" s="306">
        <f>'1. Press Assumptions'!$B$35*'1. Press Assumptions'!$D$89*$A12^3</f>
        <v/>
      </c>
      <c r="G88" s="306">
        <f>'1. Press Assumptions'!$B$35*'1. Press Assumptions'!$D$89*$A12^4</f>
        <v/>
      </c>
      <c r="H88" s="306">
        <f>'1. Press Assumptions'!$B$35*'1. Press Assumptions'!$D$89*$A12^5</f>
        <v/>
      </c>
      <c r="I88" s="306">
        <f>'1. Press Assumptions'!$B$35*'1. Press Assumptions'!$D$89*$A12^6</f>
        <v/>
      </c>
      <c r="J88" s="306">
        <f>'1. Press Assumptions'!$B$35*'1. Press Assumptions'!$D$89*$A12^7</f>
        <v/>
      </c>
      <c r="K88" s="306">
        <f>'1. Press Assumptions'!$B$35*'1. Press Assumptions'!$D$89*$A12^8</f>
        <v/>
      </c>
      <c r="L88" s="306">
        <f>'1. Press Assumptions'!$B$35*'1. Press Assumptions'!$D$89*$A12^9</f>
        <v/>
      </c>
      <c r="M88" s="306">
        <f>'1. Press Assumptions'!$B$35*'1. Press Assumptions'!$D$89*$A12^10</f>
        <v/>
      </c>
      <c r="N88" s="306">
        <f>'1. Press Assumptions'!$B$35*'1. Press Assumptions'!$D$89*$A12^11</f>
        <v/>
      </c>
      <c r="O88" s="306">
        <f>'1. Press Assumptions'!$B$35*'1. Press Assumptions'!$D$89*$A12^12</f>
        <v/>
      </c>
      <c r="P88" s="306">
        <f>'1. Press Assumptions'!$B$35*'1. Press Assumptions'!$D$89*$A12^13</f>
        <v/>
      </c>
      <c r="Q88" s="306">
        <f>'1. Press Assumptions'!$B$35*'1. Press Assumptions'!$D$89*$A12^14</f>
        <v/>
      </c>
    </row>
    <row r="89">
      <c r="B89" s="306">
        <f>-'1. Press Assumptions'!$D$89*D$5</f>
        <v/>
      </c>
      <c r="C89" s="306">
        <f>'1. Press Assumptions'!$B$35*'1. Press Assumptions'!$D$89*$A12^0</f>
        <v/>
      </c>
      <c r="D89" s="306">
        <f>'1. Press Assumptions'!$B$35*'1. Press Assumptions'!$D$89*$A12^1</f>
        <v/>
      </c>
      <c r="E89" s="306">
        <f>'1. Press Assumptions'!$B$35*'1. Press Assumptions'!$D$89*$A12^2</f>
        <v/>
      </c>
      <c r="F89" s="306">
        <f>'1. Press Assumptions'!$B$35*'1. Press Assumptions'!$D$89*$A12^3</f>
        <v/>
      </c>
      <c r="G89" s="306">
        <f>'1. Press Assumptions'!$B$35*'1. Press Assumptions'!$D$89*$A12^4</f>
        <v/>
      </c>
      <c r="H89" s="306">
        <f>'1. Press Assumptions'!$B$35*'1. Press Assumptions'!$D$89*$A12^5</f>
        <v/>
      </c>
      <c r="I89" s="306">
        <f>'1. Press Assumptions'!$B$35*'1. Press Assumptions'!$D$89*$A12^6</f>
        <v/>
      </c>
      <c r="J89" s="306">
        <f>'1. Press Assumptions'!$B$35*'1. Press Assumptions'!$D$89*$A12^7</f>
        <v/>
      </c>
      <c r="K89" s="306">
        <f>'1. Press Assumptions'!$B$35*'1. Press Assumptions'!$D$89*$A12^8</f>
        <v/>
      </c>
      <c r="L89" s="306">
        <f>'1. Press Assumptions'!$B$35*'1. Press Assumptions'!$D$89*$A12^9</f>
        <v/>
      </c>
      <c r="M89" s="306">
        <f>'1. Press Assumptions'!$B$35*'1. Press Assumptions'!$D$89*$A12^10</f>
        <v/>
      </c>
      <c r="N89" s="306">
        <f>'1. Press Assumptions'!$B$35*'1. Press Assumptions'!$D$89*$A12^11</f>
        <v/>
      </c>
      <c r="O89" s="306">
        <f>'1. Press Assumptions'!$B$35*'1. Press Assumptions'!$D$89*$A12^12</f>
        <v/>
      </c>
      <c r="P89" s="306">
        <f>'1. Press Assumptions'!$B$35*'1. Press Assumptions'!$D$89*$A12^13</f>
        <v/>
      </c>
      <c r="Q89" s="306">
        <f>'1. Press Assumptions'!$B$35*'1. Press Assumptions'!$D$89*$A12^14</f>
        <v/>
      </c>
    </row>
    <row r="90">
      <c r="B90" s="306">
        <f>-'1. Press Assumptions'!$D$89*E$5</f>
        <v/>
      </c>
      <c r="C90" s="306">
        <f>'1. Press Assumptions'!$B$35*'1. Press Assumptions'!$D$89*$A12^0</f>
        <v/>
      </c>
      <c r="D90" s="306">
        <f>'1. Press Assumptions'!$B$35*'1. Press Assumptions'!$D$89*$A12^1</f>
        <v/>
      </c>
      <c r="E90" s="306">
        <f>'1. Press Assumptions'!$B$35*'1. Press Assumptions'!$D$89*$A12^2</f>
        <v/>
      </c>
      <c r="F90" s="306">
        <f>'1. Press Assumptions'!$B$35*'1. Press Assumptions'!$D$89*$A12^3</f>
        <v/>
      </c>
      <c r="G90" s="306">
        <f>'1. Press Assumptions'!$B$35*'1. Press Assumptions'!$D$89*$A12^4</f>
        <v/>
      </c>
      <c r="H90" s="306">
        <f>'1. Press Assumptions'!$B$35*'1. Press Assumptions'!$D$89*$A12^5</f>
        <v/>
      </c>
      <c r="I90" s="306">
        <f>'1. Press Assumptions'!$B$35*'1. Press Assumptions'!$D$89*$A12^6</f>
        <v/>
      </c>
      <c r="J90" s="306">
        <f>'1. Press Assumptions'!$B$35*'1. Press Assumptions'!$D$89*$A12^7</f>
        <v/>
      </c>
      <c r="K90" s="306">
        <f>'1. Press Assumptions'!$B$35*'1. Press Assumptions'!$D$89*$A12^8</f>
        <v/>
      </c>
      <c r="L90" s="306">
        <f>'1. Press Assumptions'!$B$35*'1. Press Assumptions'!$D$89*$A12^9</f>
        <v/>
      </c>
      <c r="M90" s="306">
        <f>'1. Press Assumptions'!$B$35*'1. Press Assumptions'!$D$89*$A12^10</f>
        <v/>
      </c>
      <c r="N90" s="306">
        <f>'1. Press Assumptions'!$B$35*'1. Press Assumptions'!$D$89*$A12^11</f>
        <v/>
      </c>
      <c r="O90" s="306">
        <f>'1. Press Assumptions'!$B$35*'1. Press Assumptions'!$D$89*$A12^12</f>
        <v/>
      </c>
      <c r="P90" s="306">
        <f>'1. Press Assumptions'!$B$35*'1. Press Assumptions'!$D$89*$A12^13</f>
        <v/>
      </c>
      <c r="Q90" s="306">
        <f>'1. Press Assumptions'!$B$35*'1. Press Assumptions'!$D$89*$A12^14</f>
        <v/>
      </c>
    </row>
    <row r="91">
      <c r="B91" s="306">
        <f>-'1. Press Assumptions'!$D$89*F$5</f>
        <v/>
      </c>
      <c r="C91" s="306">
        <f>'1. Press Assumptions'!$B$35*'1. Press Assumptions'!$D$89*$A12^0</f>
        <v/>
      </c>
      <c r="D91" s="306">
        <f>'1. Press Assumptions'!$B$35*'1. Press Assumptions'!$D$89*$A12^1</f>
        <v/>
      </c>
      <c r="E91" s="306">
        <f>'1. Press Assumptions'!$B$35*'1. Press Assumptions'!$D$89*$A12^2</f>
        <v/>
      </c>
      <c r="F91" s="306">
        <f>'1. Press Assumptions'!$B$35*'1. Press Assumptions'!$D$89*$A12^3</f>
        <v/>
      </c>
      <c r="G91" s="306">
        <f>'1. Press Assumptions'!$B$35*'1. Press Assumptions'!$D$89*$A12^4</f>
        <v/>
      </c>
      <c r="H91" s="306">
        <f>'1. Press Assumptions'!$B$35*'1. Press Assumptions'!$D$89*$A12^5</f>
        <v/>
      </c>
      <c r="I91" s="306">
        <f>'1. Press Assumptions'!$B$35*'1. Press Assumptions'!$D$89*$A12^6</f>
        <v/>
      </c>
      <c r="J91" s="306">
        <f>'1. Press Assumptions'!$B$35*'1. Press Assumptions'!$D$89*$A12^7</f>
        <v/>
      </c>
      <c r="K91" s="306">
        <f>'1. Press Assumptions'!$B$35*'1. Press Assumptions'!$D$89*$A12^8</f>
        <v/>
      </c>
      <c r="L91" s="306">
        <f>'1. Press Assumptions'!$B$35*'1. Press Assumptions'!$D$89*$A12^9</f>
        <v/>
      </c>
      <c r="M91" s="306">
        <f>'1. Press Assumptions'!$B$35*'1. Press Assumptions'!$D$89*$A12^10</f>
        <v/>
      </c>
      <c r="N91" s="306">
        <f>'1. Press Assumptions'!$B$35*'1. Press Assumptions'!$D$89*$A12^11</f>
        <v/>
      </c>
      <c r="O91" s="306">
        <f>'1. Press Assumptions'!$B$35*'1. Press Assumptions'!$D$89*$A12^12</f>
        <v/>
      </c>
      <c r="P91" s="306">
        <f>'1. Press Assumptions'!$B$35*'1. Press Assumptions'!$D$89*$A12^13</f>
        <v/>
      </c>
      <c r="Q91" s="306">
        <f>'1. Press Assumptions'!$B$35*'1. Press Assumptions'!$D$89*$A12^14</f>
        <v/>
      </c>
    </row>
    <row r="92">
      <c r="B92" s="306">
        <f>-'1. Press Assumptions'!$D$89*G$5</f>
        <v/>
      </c>
      <c r="C92" s="306">
        <f>'1. Press Assumptions'!$B$35*'1. Press Assumptions'!$D$89*$A12^0</f>
        <v/>
      </c>
      <c r="D92" s="306">
        <f>'1. Press Assumptions'!$B$35*'1. Press Assumptions'!$D$89*$A12^1</f>
        <v/>
      </c>
      <c r="E92" s="306">
        <f>'1. Press Assumptions'!$B$35*'1. Press Assumptions'!$D$89*$A12^2</f>
        <v/>
      </c>
      <c r="F92" s="306">
        <f>'1. Press Assumptions'!$B$35*'1. Press Assumptions'!$D$89*$A12^3</f>
        <v/>
      </c>
      <c r="G92" s="306">
        <f>'1. Press Assumptions'!$B$35*'1. Press Assumptions'!$D$89*$A12^4</f>
        <v/>
      </c>
      <c r="H92" s="306">
        <f>'1. Press Assumptions'!$B$35*'1. Press Assumptions'!$D$89*$A12^5</f>
        <v/>
      </c>
      <c r="I92" s="306">
        <f>'1. Press Assumptions'!$B$35*'1. Press Assumptions'!$D$89*$A12^6</f>
        <v/>
      </c>
      <c r="J92" s="306">
        <f>'1. Press Assumptions'!$B$35*'1. Press Assumptions'!$D$89*$A12^7</f>
        <v/>
      </c>
      <c r="K92" s="306">
        <f>'1. Press Assumptions'!$B$35*'1. Press Assumptions'!$D$89*$A12^8</f>
        <v/>
      </c>
      <c r="L92" s="306">
        <f>'1. Press Assumptions'!$B$35*'1. Press Assumptions'!$D$89*$A12^9</f>
        <v/>
      </c>
      <c r="M92" s="306">
        <f>'1. Press Assumptions'!$B$35*'1. Press Assumptions'!$D$89*$A12^10</f>
        <v/>
      </c>
      <c r="N92" s="306">
        <f>'1. Press Assumptions'!$B$35*'1. Press Assumptions'!$D$89*$A12^11</f>
        <v/>
      </c>
      <c r="O92" s="306">
        <f>'1. Press Assumptions'!$B$35*'1. Press Assumptions'!$D$89*$A12^12</f>
        <v/>
      </c>
      <c r="P92" s="306">
        <f>'1. Press Assumptions'!$B$35*'1. Press Assumptions'!$D$89*$A12^13</f>
        <v/>
      </c>
      <c r="Q92" s="306">
        <f>'1. Press Assumptions'!$B$35*'1. Press Assumptions'!$D$89*$A12^14</f>
        <v/>
      </c>
    </row>
    <row r="93">
      <c r="B93" s="306">
        <f>-'1. Press Assumptions'!$D$89*H$5</f>
        <v/>
      </c>
      <c r="C93" s="306">
        <f>'1. Press Assumptions'!$B$35*'1. Press Assumptions'!$D$89*$A12^0</f>
        <v/>
      </c>
      <c r="D93" s="306">
        <f>'1. Press Assumptions'!$B$35*'1. Press Assumptions'!$D$89*$A12^1</f>
        <v/>
      </c>
      <c r="E93" s="306">
        <f>'1. Press Assumptions'!$B$35*'1. Press Assumptions'!$D$89*$A12^2</f>
        <v/>
      </c>
      <c r="F93" s="306">
        <f>'1. Press Assumptions'!$B$35*'1. Press Assumptions'!$D$89*$A12^3</f>
        <v/>
      </c>
      <c r="G93" s="306">
        <f>'1. Press Assumptions'!$B$35*'1. Press Assumptions'!$D$89*$A12^4</f>
        <v/>
      </c>
      <c r="H93" s="306">
        <f>'1. Press Assumptions'!$B$35*'1. Press Assumptions'!$D$89*$A12^5</f>
        <v/>
      </c>
      <c r="I93" s="306">
        <f>'1. Press Assumptions'!$B$35*'1. Press Assumptions'!$D$89*$A12^6</f>
        <v/>
      </c>
      <c r="J93" s="306">
        <f>'1. Press Assumptions'!$B$35*'1. Press Assumptions'!$D$89*$A12^7</f>
        <v/>
      </c>
      <c r="K93" s="306">
        <f>'1. Press Assumptions'!$B$35*'1. Press Assumptions'!$D$89*$A12^8</f>
        <v/>
      </c>
      <c r="L93" s="306">
        <f>'1. Press Assumptions'!$B$35*'1. Press Assumptions'!$D$89*$A12^9</f>
        <v/>
      </c>
      <c r="M93" s="306">
        <f>'1. Press Assumptions'!$B$35*'1. Press Assumptions'!$D$89*$A12^10</f>
        <v/>
      </c>
      <c r="N93" s="306">
        <f>'1. Press Assumptions'!$B$35*'1. Press Assumptions'!$D$89*$A12^11</f>
        <v/>
      </c>
      <c r="O93" s="306">
        <f>'1. Press Assumptions'!$B$35*'1. Press Assumptions'!$D$89*$A12^12</f>
        <v/>
      </c>
      <c r="P93" s="306">
        <f>'1. Press Assumptions'!$B$35*'1. Press Assumptions'!$D$89*$A12^13</f>
        <v/>
      </c>
      <c r="Q93" s="306">
        <f>'1. Press Assumptions'!$B$35*'1. Press Assumptions'!$D$89*$A12^14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6" customWidth="1" style="306" min="2" max="13"/>
    <col width="16" customWidth="1" style="307" min="3" max="3"/>
    <col width="16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612" t="inlineStr">
        <is>
          <t>FUND I  --  NDR SENSITIVITY (single source = engine sweep)</t>
        </is>
      </c>
      <c r="B1" s="613" t="n"/>
      <c r="C1" s="613" t="n"/>
      <c r="D1" s="613" t="n"/>
      <c r="E1" s="613" t="n"/>
      <c r="F1" s="613" t="n"/>
      <c r="G1" s="613" t="n"/>
      <c r="H1" s="613" t="n"/>
      <c r="I1" s="613" t="n"/>
      <c r="J1" s="613" t="n"/>
      <c r="K1" s="613" t="n"/>
      <c r="L1" s="613" t="n"/>
      <c r="M1" s="613" t="n"/>
      <c r="N1" s="613" t="n"/>
      <c r="O1" s="613" t="n"/>
      <c r="P1" s="613" t="n"/>
      <c r="Q1" s="613" t="n"/>
      <c r="R1" s="613" t="n"/>
      <c r="S1" s="613" t="n"/>
    </row>
    <row r="2" ht="15" customHeight="1" s="307">
      <c r="A2" s="593" t="inlineStr">
        <is>
          <t>Generated 2026-06-09 via sweep_sensitivity.py from the 3 engines. Scenario-independent (full NDR curve). 80/85/90 = primary band; 95/100 = extended reference.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  <c r="J2" s="614" t="n"/>
      <c r="K2" s="614" t="n"/>
      <c r="L2" s="614" t="n"/>
      <c r="M2" s="614" t="n"/>
      <c r="N2" s="613" t="n"/>
      <c r="O2" s="613" t="n"/>
      <c r="P2" s="613" t="n"/>
      <c r="Q2" s="613" t="n"/>
      <c r="R2" s="613" t="n"/>
      <c r="S2" s="613" t="n"/>
    </row>
    <row r="3" ht="15" customHeight="1" s="307">
      <c r="A3" s="614" t="n"/>
      <c r="B3" s="614" t="n"/>
      <c r="C3" s="614" t="n"/>
      <c r="D3" s="614" t="n"/>
      <c r="E3" s="614" t="n"/>
      <c r="F3" s="614" t="n"/>
      <c r="G3" s="614" t="n"/>
      <c r="H3" s="614" t="n"/>
      <c r="I3" s="614" t="n"/>
      <c r="J3" s="614" t="n"/>
      <c r="K3" s="614" t="n"/>
      <c r="L3" s="614" t="n"/>
      <c r="M3" s="614" t="n"/>
      <c r="N3" s="613" t="n"/>
      <c r="O3" s="613" t="n"/>
      <c r="P3" s="613" t="n"/>
      <c r="Q3" s="613" t="n"/>
      <c r="R3" s="613" t="n"/>
      <c r="S3" s="613" t="n"/>
    </row>
    <row r="4" ht="15" customHeight="1" s="307">
      <c r="A4" s="616" t="inlineStr">
        <is>
          <t>10Y DPI (LP MOIC)</t>
        </is>
      </c>
      <c r="B4" s="731" t="n"/>
      <c r="C4" s="731" t="n"/>
      <c r="D4" s="731" t="n"/>
      <c r="E4" s="684" t="n"/>
      <c r="F4" s="684" t="n"/>
      <c r="G4" s="684" t="n"/>
      <c r="H4" s="613" t="n"/>
      <c r="I4" s="613" t="n"/>
      <c r="J4" s="613" t="n"/>
      <c r="K4" s="613" t="n"/>
      <c r="L4" s="613" t="n"/>
      <c r="M4" s="613" t="n"/>
      <c r="N4" s="613" t="n"/>
      <c r="O4" s="613" t="n"/>
      <c r="P4" s="613" t="n"/>
      <c r="Q4" s="613" t="n"/>
      <c r="R4" s="613" t="n"/>
      <c r="S4" s="613" t="n"/>
    </row>
    <row r="5" ht="15" customHeight="1" s="307">
      <c r="A5" s="612" t="inlineStr">
        <is>
          <t>NDR</t>
        </is>
      </c>
      <c r="B5" s="654" t="inlineStr">
        <is>
          <t>No Recycle</t>
        </is>
      </c>
      <c r="C5" s="654" t="inlineStr">
        <is>
          <t>50% Recycle</t>
        </is>
      </c>
      <c r="D5" s="654" t="inlineStr">
        <is>
          <t>100% Recycle</t>
        </is>
      </c>
      <c r="E5" s="684" t="n"/>
      <c r="F5" s="684" t="n"/>
      <c r="G5" s="684" t="n"/>
      <c r="H5" s="614" t="n"/>
      <c r="I5" s="614" t="n"/>
      <c r="J5" s="614" t="n"/>
      <c r="K5" s="614" t="n"/>
      <c r="L5" s="614" t="n"/>
      <c r="M5" s="614" t="n"/>
      <c r="N5" s="613" t="n"/>
      <c r="O5" s="613" t="n"/>
      <c r="P5" s="613" t="n"/>
      <c r="Q5" s="613" t="n"/>
      <c r="R5" s="613" t="n"/>
      <c r="S5" s="613" t="n"/>
    </row>
    <row r="6" ht="15" customHeight="1" s="307">
      <c r="A6" s="732" t="n">
        <v>0.8</v>
      </c>
      <c r="B6" s="733" t="n">
        <v>1.82143648452638</v>
      </c>
      <c r="C6" s="733" t="n">
        <v>2.64771732459576</v>
      </c>
      <c r="D6" s="733" t="n">
        <v>2.75409813540585</v>
      </c>
      <c r="E6" s="686" t="n"/>
      <c r="F6" s="686" t="n"/>
      <c r="G6" s="686" t="n"/>
      <c r="H6" s="614" t="n"/>
      <c r="I6" s="614" t="n"/>
      <c r="J6" s="614" t="n"/>
      <c r="K6" s="614" t="n"/>
      <c r="L6" s="614" t="n"/>
      <c r="M6" s="614" t="n"/>
      <c r="N6" s="613" t="n"/>
      <c r="O6" s="613" t="n"/>
      <c r="P6" s="613" t="n"/>
      <c r="Q6" s="613" t="n"/>
      <c r="R6" s="613" t="n"/>
      <c r="S6" s="613" t="n"/>
    </row>
    <row r="7" ht="15" customHeight="1" s="307">
      <c r="A7" s="734" t="n">
        <v>0.85</v>
      </c>
      <c r="B7" s="735" t="n">
        <v>2.38172745544052</v>
      </c>
      <c r="C7" s="735" t="n">
        <v>3.51154210744298</v>
      </c>
      <c r="D7" s="735" t="n">
        <v>3.70568342574847</v>
      </c>
      <c r="E7" s="619" t="n"/>
      <c r="F7" s="619" t="n"/>
      <c r="G7" s="619" t="n"/>
      <c r="H7" s="614" t="n"/>
      <c r="I7" s="614" t="n"/>
      <c r="J7" s="614" t="n"/>
      <c r="K7" s="614" t="n"/>
      <c r="L7" s="614" t="n"/>
      <c r="M7" s="614" t="n"/>
      <c r="N7" s="613" t="n"/>
      <c r="O7" s="613" t="n"/>
      <c r="P7" s="613" t="n"/>
      <c r="Q7" s="613" t="n"/>
      <c r="R7" s="613" t="n"/>
      <c r="S7" s="613" t="n"/>
    </row>
    <row r="8" ht="15" customHeight="1" s="307">
      <c r="A8" s="732" t="n">
        <v>0.9</v>
      </c>
      <c r="B8" s="733" t="n">
        <v>3.14490886711751</v>
      </c>
      <c r="C8" s="733" t="n">
        <v>4.64582604218384</v>
      </c>
      <c r="D8" s="733" t="n">
        <v>4.97718868616666</v>
      </c>
      <c r="E8" s="689" t="n"/>
      <c r="F8" s="689" t="n"/>
      <c r="G8" s="689" t="n"/>
      <c r="H8" s="614" t="n"/>
      <c r="I8" s="614" t="n"/>
      <c r="J8" s="614" t="n"/>
      <c r="K8" s="614" t="n"/>
      <c r="L8" s="614" t="n"/>
      <c r="M8" s="614" t="n"/>
      <c r="N8" s="613" t="n"/>
      <c r="O8" s="613" t="n"/>
      <c r="P8" s="613" t="n"/>
      <c r="Q8" s="613" t="n"/>
      <c r="R8" s="613" t="n"/>
      <c r="S8" s="613" t="n"/>
    </row>
    <row r="9" ht="15" customHeight="1" s="307">
      <c r="A9" s="736" t="n">
        <v>0.95</v>
      </c>
      <c r="B9" s="737" t="n">
        <v>4.1883456078702</v>
      </c>
      <c r="C9" s="737" t="n">
        <v>6.14233317587602</v>
      </c>
      <c r="D9" s="737" t="n">
        <v>6.68008979012062</v>
      </c>
      <c r="E9" s="619" t="n"/>
      <c r="F9" s="619" t="n"/>
      <c r="G9" s="619" t="n"/>
      <c r="H9" s="614" t="n"/>
      <c r="I9" s="614" t="n"/>
      <c r="J9" s="614" t="n"/>
      <c r="K9" s="614" t="n"/>
      <c r="L9" s="614" t="n"/>
      <c r="M9" s="614" t="n"/>
      <c r="N9" s="613" t="n"/>
      <c r="O9" s="613" t="n"/>
      <c r="P9" s="613" t="n"/>
      <c r="Q9" s="613" t="n"/>
      <c r="R9" s="613" t="n"/>
      <c r="S9" s="613" t="n"/>
    </row>
    <row r="10" ht="15" customHeight="1" s="307">
      <c r="A10" s="736" t="n">
        <v>1</v>
      </c>
      <c r="B10" s="737" t="n">
        <v>5.61690937482864</v>
      </c>
      <c r="C10" s="737" t="n">
        <v>8.120083764428641</v>
      </c>
      <c r="D10" s="737" t="n">
        <v>8.958453158533329</v>
      </c>
      <c r="E10" s="619" t="n"/>
      <c r="F10" s="619" t="n"/>
      <c r="G10" s="619" t="n"/>
      <c r="H10" s="614" t="n"/>
      <c r="I10" s="614" t="n"/>
      <c r="J10" s="614" t="n"/>
      <c r="K10" s="614" t="n"/>
      <c r="L10" s="614" t="n"/>
      <c r="M10" s="614" t="n"/>
      <c r="N10" s="613" t="n"/>
      <c r="O10" s="613" t="n"/>
      <c r="P10" s="613" t="n"/>
      <c r="Q10" s="613" t="n"/>
      <c r="R10" s="613" t="n"/>
      <c r="S10" s="613" t="n"/>
    </row>
    <row r="11" ht="15" customHeight="1" s="307">
      <c r="A11" s="684" t="n"/>
      <c r="B11" s="686" t="n"/>
      <c r="C11" s="686" t="n"/>
      <c r="D11" s="686" t="n"/>
      <c r="E11" s="619" t="n"/>
      <c r="F11" s="619" t="n"/>
      <c r="G11" s="619" t="n"/>
      <c r="H11" s="614" t="n"/>
      <c r="I11" s="614" t="n"/>
      <c r="J11" s="614" t="n"/>
      <c r="K11" s="614" t="n"/>
      <c r="L11" s="614" t="n"/>
      <c r="M11" s="614" t="n"/>
      <c r="N11" s="613" t="n"/>
      <c r="O11" s="613" t="n"/>
      <c r="P11" s="613" t="n"/>
      <c r="Q11" s="613" t="n"/>
      <c r="R11" s="613" t="n"/>
      <c r="S11" s="613" t="n"/>
    </row>
    <row r="12" ht="15" customHeight="1" s="307">
      <c r="A12" s="613" t="n"/>
      <c r="B12" s="619" t="n"/>
      <c r="C12" s="619" t="n"/>
      <c r="D12" s="619" t="n"/>
      <c r="E12" s="619" t="n"/>
      <c r="F12" s="619" t="n"/>
      <c r="G12" s="619" t="n"/>
      <c r="H12" s="614" t="n"/>
      <c r="I12" s="614" t="n"/>
      <c r="J12" s="614" t="n"/>
      <c r="K12" s="614" t="n"/>
      <c r="L12" s="614" t="n"/>
      <c r="M12" s="614" t="n"/>
      <c r="N12" s="613" t="n"/>
      <c r="O12" s="613" t="n"/>
      <c r="P12" s="613" t="n"/>
      <c r="Q12" s="613" t="n"/>
      <c r="R12" s="613" t="n"/>
      <c r="S12" s="613" t="n"/>
    </row>
    <row r="13" ht="15" customHeight="1" s="307">
      <c r="A13" s="616" t="inlineStr">
        <is>
          <t>15Y DPI (LP MOIC)</t>
        </is>
      </c>
      <c r="B13" s="731" t="n"/>
      <c r="C13" s="731" t="n"/>
      <c r="D13" s="731" t="n"/>
      <c r="E13" s="684" t="n"/>
      <c r="F13" s="684" t="n"/>
      <c r="G13" s="684" t="n"/>
      <c r="H13" s="613" t="n"/>
      <c r="I13" s="613" t="n"/>
      <c r="J13" s="613" t="n"/>
      <c r="K13" s="613" t="n"/>
      <c r="L13" s="613" t="n"/>
      <c r="M13" s="613" t="n"/>
      <c r="N13" s="613" t="n"/>
      <c r="O13" s="613" t="n"/>
      <c r="P13" s="613" t="n"/>
      <c r="Q13" s="613" t="n"/>
      <c r="R13" s="613" t="n"/>
      <c r="S13" s="613" t="n"/>
    </row>
    <row r="14" ht="15" customHeight="1" s="307">
      <c r="A14" s="612" t="inlineStr">
        <is>
          <t>NDR</t>
        </is>
      </c>
      <c r="B14" s="697" t="inlineStr">
        <is>
          <t>No Recycle</t>
        </is>
      </c>
      <c r="C14" s="697" t="inlineStr">
        <is>
          <t>50% Recycle</t>
        </is>
      </c>
      <c r="D14" s="697" t="inlineStr">
        <is>
          <t>100% Recycle</t>
        </is>
      </c>
      <c r="E14" s="614" t="n"/>
      <c r="F14" s="614" t="n"/>
      <c r="G14" s="614" t="n"/>
      <c r="H14" s="614" t="n"/>
      <c r="I14" s="614" t="n"/>
      <c r="J14" s="614" t="n"/>
      <c r="K14" s="614" t="n"/>
      <c r="L14" s="614" t="n"/>
      <c r="M14" s="614" t="n"/>
      <c r="N14" s="613" t="n"/>
      <c r="O14" s="613" t="n"/>
      <c r="P14" s="613" t="n"/>
      <c r="Q14" s="613" t="n"/>
      <c r="R14" s="613" t="n"/>
      <c r="S14" s="613" t="n"/>
    </row>
    <row r="15" ht="15" customHeight="1" s="307">
      <c r="A15" s="732" t="n">
        <v>0.8</v>
      </c>
      <c r="B15" s="733" t="n">
        <v>1.84439903153624</v>
      </c>
      <c r="C15" s="733" t="n">
        <v>3.00405450717354</v>
      </c>
      <c r="D15" s="733" t="n">
        <v>2.97272063955613</v>
      </c>
      <c r="E15" s="614" t="n"/>
      <c r="F15" s="614" t="n"/>
      <c r="G15" s="614" t="n"/>
      <c r="H15" s="614" t="n"/>
      <c r="I15" s="614" t="n"/>
      <c r="J15" s="614" t="n"/>
      <c r="K15" s="614" t="n"/>
      <c r="L15" s="614" t="n"/>
      <c r="M15" s="614" t="n"/>
      <c r="N15" s="613" t="n"/>
      <c r="O15" s="613" t="n"/>
      <c r="P15" s="613" t="n"/>
      <c r="Q15" s="613" t="n"/>
      <c r="R15" s="613" t="n"/>
      <c r="S15" s="613" t="n"/>
    </row>
    <row r="16" ht="15" customHeight="1" s="307">
      <c r="A16" s="734" t="n">
        <v>0.85</v>
      </c>
      <c r="B16" s="735" t="n">
        <v>2.56512739619546</v>
      </c>
      <c r="C16" s="735" t="n">
        <v>4.26681622354046</v>
      </c>
      <c r="D16" s="735" t="n">
        <v>4.29626858796335</v>
      </c>
      <c r="E16" s="614" t="n"/>
      <c r="F16" s="614" t="n"/>
      <c r="G16" s="614" t="n"/>
      <c r="H16" s="614" t="n"/>
      <c r="I16" s="614" t="n"/>
      <c r="J16" s="614" t="n"/>
      <c r="K16" s="614" t="n"/>
      <c r="L16" s="614" t="n"/>
      <c r="M16" s="614" t="n"/>
      <c r="N16" s="613" t="n"/>
      <c r="O16" s="613" t="n"/>
      <c r="P16" s="613" t="n"/>
      <c r="Q16" s="613" t="n"/>
      <c r="R16" s="613" t="n"/>
      <c r="S16" s="613" t="n"/>
    </row>
    <row r="17" ht="15" customHeight="1" s="307">
      <c r="A17" s="732" t="n">
        <v>0.9</v>
      </c>
      <c r="B17" s="733" t="n">
        <v>3.68523958710982</v>
      </c>
      <c r="C17" s="733" t="n">
        <v>6.06906982312524</v>
      </c>
      <c r="D17" s="733" t="n">
        <v>6.22828971133813</v>
      </c>
      <c r="E17" s="614" t="n"/>
      <c r="F17" s="614" t="n"/>
      <c r="G17" s="614" t="n"/>
      <c r="H17" s="614" t="n"/>
      <c r="I17" s="614" t="n"/>
      <c r="J17" s="614" t="n"/>
      <c r="K17" s="614" t="n"/>
      <c r="L17" s="614" t="n"/>
      <c r="M17" s="614" t="n"/>
      <c r="N17" s="613" t="n"/>
      <c r="O17" s="613" t="n"/>
      <c r="P17" s="613" t="n"/>
      <c r="Q17" s="613" t="n"/>
      <c r="R17" s="613" t="n"/>
      <c r="S17" s="613" t="n"/>
    </row>
    <row r="18" ht="15" customHeight="1" s="307">
      <c r="A18" s="736" t="n">
        <v>0.95</v>
      </c>
      <c r="B18" s="737" t="n">
        <v>5.37414226728609</v>
      </c>
      <c r="C18" s="737" t="n">
        <v>8.67284669581362</v>
      </c>
      <c r="D18" s="737" t="n">
        <v>9.077721554781609</v>
      </c>
      <c r="E18" s="614" t="n"/>
      <c r="F18" s="614" t="n"/>
      <c r="G18" s="614" t="n"/>
      <c r="H18" s="614" t="n"/>
      <c r="I18" s="614" t="n"/>
      <c r="J18" s="614" t="n"/>
      <c r="K18" s="614" t="n"/>
      <c r="L18" s="614" t="n"/>
      <c r="M18" s="614" t="n"/>
      <c r="N18" s="613" t="n"/>
      <c r="O18" s="613" t="n"/>
      <c r="P18" s="613" t="n"/>
      <c r="Q18" s="613" t="n"/>
      <c r="R18" s="613" t="n"/>
      <c r="S18" s="613" t="n"/>
    </row>
    <row r="19" ht="15" customHeight="1" s="307">
      <c r="A19" s="736" t="n">
        <v>1</v>
      </c>
      <c r="B19" s="737" t="n">
        <v>7.94125604149531</v>
      </c>
      <c r="C19" s="737" t="n">
        <v>12.4668304310953</v>
      </c>
      <c r="D19" s="737" t="n">
        <v>13.3051998252</v>
      </c>
      <c r="E19" s="614" t="n"/>
      <c r="F19" s="614" t="n"/>
      <c r="G19" s="614" t="n"/>
      <c r="H19" s="614" t="n"/>
      <c r="I19" s="614" t="n"/>
      <c r="J19" s="614" t="n"/>
      <c r="K19" s="614" t="n"/>
      <c r="L19" s="614" t="n"/>
      <c r="M19" s="614" t="n"/>
      <c r="N19" s="613" t="n"/>
      <c r="O19" s="613" t="n"/>
      <c r="P19" s="613" t="n"/>
      <c r="Q19" s="613" t="n"/>
      <c r="R19" s="613" t="n"/>
      <c r="S19" s="613" t="n"/>
    </row>
    <row r="20" ht="15" customHeight="1" s="307">
      <c r="A20" s="684" t="n"/>
      <c r="B20" s="684" t="n"/>
      <c r="C20" s="684" t="n"/>
      <c r="D20" s="684" t="n"/>
      <c r="E20" s="614" t="n"/>
      <c r="F20" s="614" t="n"/>
      <c r="G20" s="614" t="n"/>
      <c r="H20" s="614" t="n"/>
      <c r="I20" s="614" t="n"/>
      <c r="J20" s="614" t="n"/>
      <c r="K20" s="614" t="n"/>
      <c r="L20" s="614" t="n"/>
      <c r="M20" s="614" t="n"/>
      <c r="N20" s="613" t="n"/>
      <c r="O20" s="613" t="n"/>
      <c r="P20" s="613" t="n"/>
      <c r="Q20" s="613" t="n"/>
      <c r="R20" s="613" t="n"/>
      <c r="S20" s="613" t="n"/>
    </row>
    <row r="21" ht="15" customHeight="1" s="307">
      <c r="A21" s="614" t="n"/>
      <c r="B21" s="614" t="n"/>
      <c r="C21" s="614" t="n"/>
      <c r="D21" s="614" t="n"/>
      <c r="E21" s="614" t="n"/>
      <c r="F21" s="614" t="n"/>
      <c r="G21" s="614" t="n"/>
      <c r="H21" s="614" t="n"/>
      <c r="I21" s="614" t="n"/>
      <c r="J21" s="614" t="n"/>
      <c r="K21" s="614" t="n"/>
      <c r="L21" s="614" t="n"/>
      <c r="M21" s="614" t="n"/>
      <c r="N21" s="613" t="n"/>
      <c r="O21" s="613" t="n"/>
      <c r="P21" s="613" t="n"/>
      <c r="Q21" s="613" t="n"/>
      <c r="R21" s="613" t="n"/>
      <c r="S21" s="613" t="n"/>
    </row>
    <row r="22" ht="15" customHeight="1" s="307">
      <c r="A22" s="616" t="inlineStr">
        <is>
          <t>10Y STAGED IRR</t>
        </is>
      </c>
      <c r="B22" s="738" t="n"/>
      <c r="C22" s="738" t="n"/>
      <c r="D22" s="738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3" t="n"/>
      <c r="R22" s="613" t="n"/>
      <c r="S22" s="613" t="n"/>
    </row>
    <row r="23" ht="15" customHeight="1" s="307">
      <c r="A23" s="612" t="inlineStr">
        <is>
          <t>NDR</t>
        </is>
      </c>
      <c r="B23" s="697" t="inlineStr">
        <is>
          <t>No Recycle</t>
        </is>
      </c>
      <c r="C23" s="697" t="inlineStr">
        <is>
          <t>50% Recycle</t>
        </is>
      </c>
      <c r="D23" s="697" t="inlineStr">
        <is>
          <t>100% Recycle</t>
        </is>
      </c>
      <c r="E23" s="614" t="n"/>
      <c r="F23" s="614" t="n"/>
      <c r="G23" s="614" t="n"/>
      <c r="H23" s="614" t="n"/>
      <c r="I23" s="614" t="n"/>
      <c r="J23" s="614" t="n"/>
      <c r="K23" s="614" t="n"/>
      <c r="L23" s="614" t="n"/>
      <c r="M23" s="614" t="n"/>
      <c r="N23" s="613" t="n"/>
      <c r="O23" s="613" t="n"/>
      <c r="P23" s="613" t="n"/>
      <c r="Q23" s="613" t="n"/>
      <c r="R23" s="613" t="n"/>
      <c r="S23" s="613" t="n"/>
    </row>
    <row r="24" ht="15" customHeight="1" s="307">
      <c r="A24" s="732" t="n">
        <v>0.8</v>
      </c>
      <c r="B24" s="739" t="n">
        <v>0.147814340491002</v>
      </c>
      <c r="C24" s="739" t="n">
        <v>0.162729157283246</v>
      </c>
      <c r="D24" s="739" t="n">
        <v>0.184127421003504</v>
      </c>
      <c r="E24" s="614" t="n"/>
      <c r="F24" s="614" t="n"/>
      <c r="G24" s="614" t="n"/>
      <c r="H24" s="614" t="n"/>
      <c r="I24" s="614" t="n"/>
      <c r="J24" s="614" t="n"/>
      <c r="K24" s="614" t="n"/>
      <c r="L24" s="614" t="n"/>
      <c r="M24" s="614" t="n"/>
      <c r="N24" s="613" t="n"/>
      <c r="O24" s="613" t="n"/>
      <c r="P24" s="613" t="n"/>
      <c r="Q24" s="613" t="n"/>
      <c r="R24" s="613" t="n"/>
      <c r="S24" s="613" t="n"/>
    </row>
    <row r="25" ht="15" customHeight="1" s="307">
      <c r="A25" s="734" t="n">
        <v>0.85</v>
      </c>
      <c r="B25" s="740" t="n">
        <v>0.204309379135128</v>
      </c>
      <c r="C25" s="740" t="n">
        <v>0.209388395720853</v>
      </c>
      <c r="D25" s="740" t="n">
        <v>0.236547324387169</v>
      </c>
      <c r="E25" s="614" t="n"/>
      <c r="F25" s="614" t="n"/>
      <c r="G25" s="614" t="n"/>
      <c r="H25" s="614" t="n"/>
      <c r="I25" s="614" t="n"/>
      <c r="J25" s="614" t="n"/>
      <c r="K25" s="614" t="n"/>
      <c r="L25" s="614" t="n"/>
      <c r="M25" s="614" t="n"/>
      <c r="N25" s="613" t="n"/>
      <c r="O25" s="613" t="n"/>
      <c r="P25" s="613" t="n"/>
      <c r="Q25" s="613" t="n"/>
      <c r="R25" s="613" t="n"/>
      <c r="S25" s="613" t="n"/>
    </row>
    <row r="26" ht="15" customHeight="1" s="307">
      <c r="A26" s="732" t="n">
        <v>0.9</v>
      </c>
      <c r="B26" s="739" t="n">
        <v>0.259008828154332</v>
      </c>
      <c r="C26" s="739" t="n">
        <v>0.255425055645407</v>
      </c>
      <c r="D26" s="739" t="n">
        <v>0.287415271914202</v>
      </c>
      <c r="E26" s="614" t="n"/>
      <c r="F26" s="614" t="n"/>
      <c r="G26" s="614" t="n"/>
      <c r="H26" s="614" t="n"/>
      <c r="I26" s="614" t="n"/>
      <c r="J26" s="614" t="n"/>
      <c r="K26" s="614" t="n"/>
      <c r="L26" s="614" t="n"/>
      <c r="M26" s="614" t="n"/>
      <c r="N26" s="613" t="n"/>
      <c r="O26" s="613" t="n"/>
      <c r="P26" s="613" t="n"/>
      <c r="Q26" s="613" t="n"/>
      <c r="R26" s="613" t="n"/>
      <c r="S26" s="613" t="n"/>
    </row>
    <row r="27" ht="15" customHeight="1" s="307">
      <c r="A27" s="736" t="n">
        <v>0.95</v>
      </c>
      <c r="B27" s="741" t="n">
        <v>0.312113475053899</v>
      </c>
      <c r="C27" s="741" t="n">
        <v>0.300911070730104</v>
      </c>
      <c r="D27" s="741" t="n">
        <v>0.337457679570635</v>
      </c>
      <c r="E27" s="614" t="n"/>
      <c r="F27" s="614" t="n"/>
      <c r="G27" s="614" t="n"/>
      <c r="H27" s="614" t="n"/>
      <c r="I27" s="614" t="n"/>
      <c r="J27" s="614" t="n"/>
      <c r="K27" s="614" t="n"/>
      <c r="L27" s="614" t="n"/>
      <c r="M27" s="614" t="n"/>
      <c r="N27" s="613" t="n"/>
      <c r="O27" s="613" t="n"/>
      <c r="P27" s="613" t="n"/>
      <c r="Q27" s="613" t="n"/>
      <c r="R27" s="613" t="n"/>
      <c r="S27" s="613" t="n"/>
    </row>
    <row r="28" ht="15" customHeight="1" s="307">
      <c r="A28" s="736" t="n">
        <v>1</v>
      </c>
      <c r="B28" s="741" t="n">
        <v>0.364534354021257</v>
      </c>
      <c r="C28" s="741" t="n">
        <v>0.346047336946638</v>
      </c>
      <c r="D28" s="741" t="n">
        <v>0.386583757411526</v>
      </c>
      <c r="E28" s="614" t="n"/>
      <c r="F28" s="614" t="n"/>
      <c r="G28" s="614" t="n"/>
      <c r="H28" s="614" t="n"/>
      <c r="I28" s="614" t="n"/>
      <c r="J28" s="614" t="n"/>
      <c r="K28" s="614" t="n"/>
      <c r="L28" s="614" t="n"/>
      <c r="M28" s="614" t="n"/>
      <c r="N28" s="613" t="n"/>
      <c r="O28" s="613" t="n"/>
      <c r="P28" s="613" t="n"/>
      <c r="Q28" s="613" t="n"/>
      <c r="R28" s="613" t="n"/>
      <c r="S28" s="613" t="n"/>
    </row>
    <row r="29" ht="15" customHeight="1" s="307">
      <c r="A29" s="684" t="n"/>
      <c r="B29" s="686" t="n"/>
      <c r="C29" s="686" t="n"/>
      <c r="D29" s="686" t="n"/>
      <c r="E29" s="614" t="n"/>
      <c r="F29" s="614" t="n"/>
      <c r="G29" s="614" t="n"/>
      <c r="H29" s="614" t="n"/>
      <c r="I29" s="614" t="n"/>
      <c r="J29" s="614" t="n"/>
      <c r="K29" s="614" t="n"/>
      <c r="L29" s="614" t="n"/>
      <c r="M29" s="614" t="n"/>
      <c r="N29" s="613" t="n"/>
      <c r="O29" s="613" t="n"/>
      <c r="P29" s="613" t="n"/>
      <c r="Q29" s="613" t="n"/>
      <c r="R29" s="613" t="n"/>
      <c r="S29" s="613" t="n"/>
    </row>
    <row r="30" ht="15" customHeight="1" s="307">
      <c r="A30" s="614" t="n"/>
      <c r="B30" s="614" t="n"/>
      <c r="C30" s="614" t="n"/>
      <c r="D30" s="614" t="n"/>
      <c r="E30" s="614" t="n"/>
      <c r="F30" s="614" t="n"/>
      <c r="G30" s="614" t="n"/>
      <c r="H30" s="614" t="n"/>
      <c r="I30" s="614" t="n"/>
      <c r="J30" s="614" t="n"/>
      <c r="K30" s="614" t="n"/>
      <c r="L30" s="614" t="n"/>
      <c r="M30" s="614" t="n"/>
      <c r="N30" s="613" t="n"/>
      <c r="O30" s="613" t="n"/>
      <c r="P30" s="613" t="n"/>
      <c r="Q30" s="613" t="n"/>
      <c r="R30" s="613" t="n"/>
      <c r="S30" s="613" t="n"/>
    </row>
    <row r="31" ht="15" customHeight="1" s="307">
      <c r="A31" s="616" t="inlineStr">
        <is>
          <t>15Y STAGED IRR</t>
        </is>
      </c>
      <c r="B31" s="738" t="n"/>
      <c r="C31" s="738" t="n"/>
      <c r="D31" s="738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</row>
    <row r="32" ht="15" customHeight="1" s="307">
      <c r="A32" s="612" t="inlineStr">
        <is>
          <t>NDR</t>
        </is>
      </c>
      <c r="B32" s="697" t="inlineStr">
        <is>
          <t>No Recycle</t>
        </is>
      </c>
      <c r="C32" s="697" t="inlineStr">
        <is>
          <t>50% Recycle</t>
        </is>
      </c>
      <c r="D32" s="697" t="inlineStr">
        <is>
          <t>100% Recycle</t>
        </is>
      </c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3" t="n"/>
      <c r="O32" s="613" t="n"/>
      <c r="P32" s="613" t="n"/>
      <c r="Q32" s="613" t="n"/>
      <c r="R32" s="613" t="n"/>
      <c r="S32" s="613" t="n"/>
    </row>
    <row r="33" ht="15" customHeight="1" s="307">
      <c r="A33" s="732" t="n">
        <v>0.8</v>
      </c>
      <c r="B33" s="739" t="n">
        <v>0.149208172069006</v>
      </c>
      <c r="C33" s="739" t="n">
        <v>0.173057045447682</v>
      </c>
      <c r="D33" s="739" t="n">
        <v>0.189874480805429</v>
      </c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3" t="n"/>
      <c r="O33" s="613" t="n"/>
      <c r="P33" s="613" t="n"/>
      <c r="Q33" s="613" t="n"/>
      <c r="R33" s="613" t="n"/>
      <c r="S33" s="613" t="n"/>
    </row>
    <row r="34" ht="15" customHeight="1" s="307">
      <c r="A34" s="734" t="n">
        <v>0.85</v>
      </c>
      <c r="B34" s="740" t="n">
        <v>0.209693065646472</v>
      </c>
      <c r="C34" s="740" t="n">
        <v>0.22261665475328</v>
      </c>
      <c r="D34" s="740" t="n">
        <v>0.245254115611299</v>
      </c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3" t="n"/>
      <c r="O34" s="613" t="n"/>
      <c r="P34" s="613" t="n"/>
      <c r="Q34" s="613" t="n"/>
      <c r="R34" s="613" t="n"/>
      <c r="S34" s="613" t="n"/>
    </row>
    <row r="35" ht="15" customHeight="1" s="307">
      <c r="A35" s="732" t="n">
        <v>0.9</v>
      </c>
      <c r="B35" s="739" t="n">
        <v>0.267573699666949</v>
      </c>
      <c r="C35" s="739" t="n">
        <v>0.270993023891387</v>
      </c>
      <c r="D35" s="739" t="n">
        <v>0.298408318984466</v>
      </c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3" t="n"/>
      <c r="O35" s="613" t="n"/>
      <c r="P35" s="613" t="n"/>
      <c r="Q35" s="613" t="n"/>
      <c r="R35" s="613" t="n"/>
      <c r="S35" s="613" t="n"/>
    </row>
    <row r="36" ht="15" customHeight="1" s="307">
      <c r="A36" s="736" t="n">
        <v>0.95</v>
      </c>
      <c r="B36" s="741" t="n">
        <v>0.323017482909038</v>
      </c>
      <c r="C36" s="741" t="n">
        <v>0.318575434428268</v>
      </c>
      <c r="D36" s="741" t="n">
        <v>0.350422548972648</v>
      </c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3" t="n"/>
      <c r="O36" s="613" t="n"/>
      <c r="P36" s="613" t="n"/>
      <c r="Q36" s="613" t="n"/>
      <c r="R36" s="613" t="n"/>
      <c r="S36" s="613" t="n"/>
    </row>
    <row r="37" ht="15" customHeight="1" s="307">
      <c r="A37" s="736" t="n">
        <v>1</v>
      </c>
      <c r="B37" s="741" t="n">
        <v>0.377379714552015</v>
      </c>
      <c r="C37" s="741" t="n">
        <v>0.365721237673809</v>
      </c>
      <c r="D37" s="741" t="n">
        <v>0.401399604085912</v>
      </c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3" t="n"/>
      <c r="O37" s="613" t="n"/>
      <c r="P37" s="613" t="n"/>
      <c r="Q37" s="613" t="n"/>
      <c r="R37" s="613" t="n"/>
      <c r="S37" s="613" t="n"/>
    </row>
    <row r="38" ht="15" customHeight="1" s="307">
      <c r="A38" s="684" t="n"/>
      <c r="B38" s="689" t="n"/>
      <c r="C38" s="689" t="n"/>
      <c r="D38" s="689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3" t="n"/>
      <c r="O38" s="613" t="n"/>
      <c r="P38" s="613" t="n"/>
      <c r="Q38" s="613" t="n"/>
      <c r="R38" s="613" t="n"/>
      <c r="S38" s="613" t="n"/>
    </row>
    <row r="39" ht="15" customHeight="1" s="307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3" t="n"/>
      <c r="O39" s="613" t="n"/>
      <c r="P39" s="613" t="n"/>
      <c r="Q39" s="613" t="n"/>
      <c r="R39" s="613" t="n"/>
      <c r="S39" s="613" t="n"/>
    </row>
    <row r="40" ht="15" customHeight="1" s="307">
      <c r="A40" s="613" t="n"/>
      <c r="B40" s="613" t="n"/>
      <c r="C40" s="613" t="n"/>
      <c r="D40" s="613" t="n"/>
      <c r="E40" s="613" t="n"/>
      <c r="F40" s="613" t="n"/>
      <c r="G40" s="613" t="n"/>
      <c r="H40" s="613" t="n"/>
      <c r="I40" s="613" t="n"/>
      <c r="J40" s="613" t="n"/>
      <c r="K40" s="613" t="n"/>
      <c r="L40" s="613" t="n"/>
      <c r="M40" s="613" t="n"/>
      <c r="N40" s="613" t="n"/>
      <c r="O40" s="613" t="n"/>
      <c r="P40" s="613" t="n"/>
      <c r="Q40" s="613" t="n"/>
      <c r="R40" s="613" t="n"/>
      <c r="S40" s="613" t="n"/>
    </row>
    <row r="41" ht="15" customHeight="1" s="307">
      <c r="A41" s="593" t="inlineStr">
        <is>
          <t>Base case = 85% NDR (highlighted). This is the curve; Tab 1 B136 selects which point the headline tabs feature.</t>
        </is>
      </c>
      <c r="B41" s="708" t="n"/>
      <c r="C41" s="708" t="n"/>
      <c r="D41" s="708" t="n"/>
      <c r="E41" s="614" t="n"/>
      <c r="F41" s="614" t="n"/>
      <c r="G41" s="614" t="n"/>
      <c r="H41" s="614" t="n"/>
      <c r="I41" s="614" t="n"/>
      <c r="J41" s="614" t="n"/>
      <c r="K41" s="614" t="n"/>
      <c r="L41" s="614" t="n"/>
      <c r="M41" s="614" t="n"/>
      <c r="N41" s="613" t="n"/>
      <c r="O41" s="613" t="n"/>
      <c r="P41" s="613" t="n"/>
      <c r="Q41" s="613" t="n"/>
      <c r="R41" s="613" t="n"/>
      <c r="S41" s="613" t="n"/>
    </row>
    <row r="42" ht="15" customHeight="1" s="307">
      <c r="A42" s="651" t="inlineStr">
        <is>
          <t>Verification: 80% row == engine at Bear, 85% == Base, 90% == Bull (see verifier).</t>
        </is>
      </c>
      <c r="B42" s="619" t="n"/>
      <c r="C42" s="619" t="n"/>
      <c r="D42" s="619" t="n"/>
      <c r="E42" s="614" t="n"/>
      <c r="F42" s="614" t="n"/>
      <c r="G42" s="614" t="n"/>
      <c r="H42" s="614" t="n"/>
      <c r="I42" s="614" t="n"/>
      <c r="J42" s="614" t="n"/>
      <c r="K42" s="614" t="n"/>
      <c r="L42" s="614" t="n"/>
      <c r="M42" s="614" t="n"/>
      <c r="N42" s="613" t="n"/>
      <c r="O42" s="613" t="n"/>
      <c r="P42" s="613" t="n"/>
      <c r="Q42" s="613" t="n"/>
      <c r="R42" s="613" t="n"/>
      <c r="S42" s="613" t="n"/>
    </row>
    <row r="43" ht="15" customHeight="1" s="307">
      <c r="A43" s="684" t="n"/>
      <c r="B43" s="619" t="n"/>
      <c r="C43" s="619" t="n"/>
      <c r="D43" s="619" t="n"/>
      <c r="E43" s="614" t="n"/>
      <c r="F43" s="614" t="n"/>
      <c r="G43" s="614" t="n"/>
      <c r="H43" s="614" t="n"/>
      <c r="I43" s="614" t="n"/>
      <c r="J43" s="614" t="n"/>
      <c r="K43" s="614" t="n"/>
      <c r="L43" s="614" t="n"/>
      <c r="M43" s="614" t="n"/>
      <c r="N43" s="613" t="n"/>
      <c r="O43" s="613" t="n"/>
      <c r="P43" s="613" t="n"/>
      <c r="Q43" s="613" t="n"/>
      <c r="R43" s="613" t="n"/>
      <c r="S43" s="613" t="n"/>
    </row>
    <row r="44" ht="15" customHeight="1" s="307">
      <c r="A44" s="684" t="n"/>
      <c r="B44" s="619" t="n"/>
      <c r="C44" s="619" t="n"/>
      <c r="D44" s="619" t="n"/>
      <c r="E44" s="614" t="n"/>
      <c r="F44" s="614" t="n"/>
      <c r="G44" s="614" t="n"/>
      <c r="H44" s="614" t="n"/>
      <c r="I44" s="614" t="n"/>
      <c r="J44" s="614" t="n"/>
      <c r="K44" s="614" t="n"/>
      <c r="L44" s="614" t="n"/>
      <c r="M44" s="614" t="n"/>
      <c r="N44" s="613" t="n"/>
      <c r="O44" s="613" t="n"/>
      <c r="P44" s="613" t="n"/>
      <c r="Q44" s="613" t="n"/>
      <c r="R44" s="613" t="n"/>
      <c r="S44" s="613" t="n"/>
    </row>
    <row r="45" ht="15" customHeight="1" s="307">
      <c r="A45" s="742" t="n"/>
      <c r="B45" s="743" t="n"/>
      <c r="C45" s="743" t="n"/>
      <c r="D45" s="743" t="n"/>
      <c r="E45" s="743" t="n"/>
      <c r="F45" s="743" t="n"/>
      <c r="G45" s="743" t="n"/>
      <c r="H45" s="614" t="n"/>
      <c r="I45" s="614" t="n"/>
      <c r="J45" s="614" t="n"/>
      <c r="K45" s="614" t="n"/>
      <c r="L45" s="614" t="n"/>
      <c r="M45" s="614" t="n"/>
      <c r="N45" s="613" t="n"/>
      <c r="O45" s="613" t="n"/>
      <c r="P45" s="613" t="n"/>
      <c r="Q45" s="613" t="n"/>
      <c r="R45" s="613" t="n"/>
      <c r="S45" s="613" t="n"/>
    </row>
    <row r="46" ht="15" customHeight="1" s="307">
      <c r="A46" s="744" t="n"/>
      <c r="B46" s="745" t="n"/>
      <c r="C46" s="745" t="n"/>
      <c r="D46" s="745" t="n"/>
      <c r="E46" s="745" t="n"/>
      <c r="F46" s="745" t="n"/>
      <c r="G46" s="745" t="n"/>
      <c r="H46" s="614" t="n"/>
      <c r="I46" s="614" t="n"/>
      <c r="J46" s="614" t="n"/>
      <c r="K46" s="614" t="n"/>
      <c r="L46" s="614" t="n"/>
      <c r="M46" s="614" t="n"/>
      <c r="N46" s="613" t="n"/>
      <c r="O46" s="613" t="n"/>
      <c r="P46" s="613" t="n"/>
      <c r="Q46" s="613" t="n"/>
      <c r="R46" s="613" t="n"/>
      <c r="S46" s="613" t="n"/>
    </row>
    <row r="47" ht="15" customHeight="1" s="307">
      <c r="A47" s="744" t="n"/>
      <c r="B47" s="745" t="n"/>
      <c r="C47" s="745" t="n"/>
      <c r="D47" s="745" t="n"/>
      <c r="E47" s="745" t="n"/>
      <c r="F47" s="745" t="n"/>
      <c r="G47" s="745" t="n"/>
      <c r="H47" s="614" t="n"/>
      <c r="I47" s="614" t="n"/>
      <c r="J47" s="614" t="n"/>
      <c r="K47" s="614" t="n"/>
      <c r="L47" s="614" t="n"/>
      <c r="M47" s="614" t="n"/>
      <c r="N47" s="613" t="n"/>
      <c r="O47" s="613" t="n"/>
      <c r="P47" s="613" t="n"/>
      <c r="Q47" s="613" t="n"/>
      <c r="R47" s="613" t="n"/>
      <c r="S47" s="613" t="n"/>
    </row>
    <row r="48" ht="15" customHeight="1" s="307">
      <c r="A48" s="744" t="n"/>
      <c r="B48" s="745" t="n"/>
      <c r="C48" s="745" t="n"/>
      <c r="D48" s="745" t="n"/>
      <c r="E48" s="745" t="n"/>
      <c r="F48" s="745" t="n"/>
      <c r="G48" s="745" t="n"/>
      <c r="H48" s="614" t="n"/>
      <c r="I48" s="614" t="n"/>
      <c r="J48" s="614" t="n"/>
      <c r="K48" s="614" t="n"/>
      <c r="L48" s="614" t="n"/>
      <c r="M48" s="614" t="n"/>
      <c r="N48" s="613" t="n"/>
      <c r="O48" s="613" t="n"/>
      <c r="P48" s="613" t="n"/>
      <c r="Q48" s="613" t="n"/>
      <c r="R48" s="613" t="n"/>
      <c r="S48" s="613" t="n"/>
    </row>
    <row r="49" ht="15" customHeight="1" s="307">
      <c r="A49" s="744" t="n"/>
      <c r="B49" s="745" t="n"/>
      <c r="C49" s="745" t="n"/>
      <c r="D49" s="745" t="n"/>
      <c r="E49" s="745" t="n"/>
      <c r="F49" s="745" t="n"/>
      <c r="G49" s="745" t="n"/>
      <c r="H49" s="614" t="n"/>
      <c r="I49" s="614" t="n"/>
      <c r="J49" s="614" t="n"/>
      <c r="K49" s="614" t="n"/>
      <c r="L49" s="614" t="n"/>
      <c r="M49" s="614" t="n"/>
      <c r="N49" s="613" t="n"/>
      <c r="O49" s="613" t="n"/>
      <c r="P49" s="613" t="n"/>
      <c r="Q49" s="613" t="n"/>
      <c r="R49" s="613" t="n"/>
      <c r="S49" s="613" t="n"/>
    </row>
    <row r="50" ht="15" customHeight="1" s="307">
      <c r="A50" s="744" t="n"/>
      <c r="B50" s="745" t="n"/>
      <c r="C50" s="745" t="n"/>
      <c r="D50" s="745" t="n"/>
      <c r="E50" s="745" t="n"/>
      <c r="F50" s="745" t="n"/>
      <c r="G50" s="745" t="n"/>
      <c r="H50" s="614" t="n"/>
      <c r="I50" s="614" t="n"/>
      <c r="J50" s="614" t="n"/>
      <c r="K50" s="614" t="n"/>
      <c r="L50" s="614" t="n"/>
      <c r="M50" s="614" t="n"/>
      <c r="N50" s="614" t="n"/>
      <c r="O50" s="614" t="n"/>
      <c r="P50" s="614" t="n"/>
      <c r="Q50" s="614" t="n"/>
      <c r="R50" s="614" t="n"/>
      <c r="S50" s="614" t="n"/>
    </row>
    <row r="51" ht="15" customHeight="1" s="307">
      <c r="A51" s="744" t="n"/>
      <c r="B51" s="745" t="n"/>
      <c r="C51" s="745" t="n"/>
      <c r="D51" s="745" t="n"/>
      <c r="E51" s="745" t="n"/>
      <c r="F51" s="745" t="n"/>
      <c r="G51" s="745" t="n"/>
      <c r="H51" s="614" t="n"/>
      <c r="I51" s="614" t="n"/>
      <c r="J51" s="614" t="n"/>
      <c r="K51" s="614" t="n"/>
      <c r="L51" s="614" t="n"/>
      <c r="M51" s="614" t="n"/>
      <c r="N51" s="614" t="n"/>
      <c r="O51" s="614" t="n"/>
      <c r="P51" s="614" t="n"/>
      <c r="Q51" s="614" t="n"/>
      <c r="R51" s="614" t="n"/>
      <c r="S51" s="614" t="n"/>
    </row>
    <row r="52">
      <c r="A52" s="614" t="n"/>
      <c r="B52" s="614" t="n"/>
      <c r="C52" s="614" t="n"/>
      <c r="D52" s="614" t="n"/>
      <c r="E52" s="614" t="n"/>
      <c r="F52" s="614" t="n"/>
      <c r="G52" s="614" t="n"/>
      <c r="H52" s="614" t="n"/>
      <c r="I52" s="614" t="n"/>
      <c r="J52" s="614" t="n"/>
      <c r="K52" s="614" t="n"/>
      <c r="L52" s="614" t="n"/>
      <c r="M52" s="614" t="n"/>
      <c r="N52" s="614" t="n"/>
      <c r="O52" s="614" t="n"/>
      <c r="P52" s="614" t="n"/>
      <c r="Q52" s="614" t="n"/>
      <c r="R52" s="614" t="n"/>
      <c r="S52" s="614" t="n"/>
    </row>
    <row r="53">
      <c r="A53" s="614" t="n"/>
      <c r="B53" s="614" t="n"/>
      <c r="C53" s="614" t="n"/>
      <c r="D53" s="614" t="n"/>
      <c r="E53" s="614" t="n"/>
      <c r="F53" s="614" t="n"/>
      <c r="G53" s="614" t="n"/>
      <c r="H53" s="614" t="n"/>
      <c r="I53" s="614" t="n"/>
      <c r="J53" s="614" t="n"/>
      <c r="K53" s="614" t="n"/>
      <c r="L53" s="614" t="n"/>
      <c r="M53" s="614" t="n"/>
      <c r="N53" s="614" t="n"/>
      <c r="O53" s="614" t="n"/>
      <c r="P53" s="614" t="n"/>
      <c r="Q53" s="614" t="n"/>
      <c r="R53" s="614" t="n"/>
      <c r="S53" s="614" t="n"/>
    </row>
    <row r="54" ht="15" customHeight="1" s="307">
      <c r="A54" s="613" t="n"/>
      <c r="B54" s="613" t="n"/>
      <c r="C54" s="613" t="n"/>
      <c r="D54" s="613" t="n"/>
      <c r="E54" s="613" t="n"/>
      <c r="F54" s="613" t="n"/>
      <c r="G54" s="613" t="n"/>
      <c r="H54" s="614" t="n"/>
      <c r="I54" s="614" t="n"/>
      <c r="J54" s="614" t="n"/>
      <c r="K54" s="614" t="n"/>
      <c r="L54" s="614" t="n"/>
      <c r="M54" s="614" t="n"/>
      <c r="N54" s="614" t="n"/>
      <c r="O54" s="614" t="n"/>
      <c r="P54" s="614" t="n"/>
      <c r="Q54" s="614" t="n"/>
      <c r="R54" s="614" t="n"/>
      <c r="S54" s="614" t="n"/>
    </row>
    <row r="55" ht="15" customHeight="1" s="307">
      <c r="A55" s="613" t="n"/>
      <c r="B55" s="614" t="n"/>
      <c r="C55" s="614" t="n"/>
      <c r="D55" s="614" t="n"/>
      <c r="E55" s="614" t="n"/>
      <c r="F55" s="614" t="n"/>
      <c r="G55" s="614" t="n"/>
      <c r="H55" s="614" t="n"/>
      <c r="I55" s="614" t="n"/>
      <c r="J55" s="614" t="n"/>
      <c r="K55" s="614" t="n"/>
      <c r="L55" s="614" t="n"/>
      <c r="M55" s="614" t="n"/>
      <c r="N55" s="614" t="n"/>
      <c r="O55" s="614" t="n"/>
      <c r="P55" s="614" t="n"/>
      <c r="Q55" s="614" t="n"/>
      <c r="R55" s="614" t="n"/>
      <c r="S55" s="614" t="n"/>
    </row>
    <row r="56" ht="15" customHeight="1" s="307">
      <c r="A56" s="613" t="n"/>
      <c r="B56" s="708" t="n"/>
      <c r="C56" s="708" t="n"/>
      <c r="D56" s="708" t="n"/>
      <c r="E56" s="708" t="n"/>
      <c r="F56" s="614" t="n"/>
      <c r="G56" s="614" t="n"/>
      <c r="H56" s="614" t="n"/>
      <c r="I56" s="614" t="n"/>
      <c r="J56" s="614" t="n"/>
      <c r="K56" s="614" t="n"/>
      <c r="L56" s="614" t="n"/>
      <c r="M56" s="614" t="n"/>
      <c r="N56" s="614" t="n"/>
      <c r="O56" s="614" t="n"/>
      <c r="P56" s="614" t="n"/>
      <c r="Q56" s="614" t="n"/>
      <c r="R56" s="614" t="n"/>
      <c r="S56" s="614" t="n"/>
    </row>
    <row r="57" ht="15" customHeight="1" s="307">
      <c r="A57" s="684" t="n"/>
      <c r="B57" s="708" t="n"/>
      <c r="C57" s="708" t="n"/>
      <c r="D57" s="708" t="n"/>
      <c r="E57" s="708" t="n"/>
      <c r="F57" s="614" t="n"/>
      <c r="G57" s="614" t="n"/>
      <c r="H57" s="614" t="n"/>
      <c r="I57" s="614" t="n"/>
      <c r="J57" s="614" t="n"/>
      <c r="K57" s="614" t="n"/>
      <c r="L57" s="614" t="n"/>
      <c r="M57" s="614" t="n"/>
      <c r="N57" s="614" t="n"/>
      <c r="O57" s="614" t="n"/>
      <c r="P57" s="614" t="n"/>
      <c r="Q57" s="614" t="n"/>
      <c r="R57" s="614" t="n"/>
      <c r="S57" s="614" t="n"/>
    </row>
    <row r="58" ht="15" customHeight="1" s="307">
      <c r="A58" s="684" t="n"/>
      <c r="B58" s="708" t="n"/>
      <c r="C58" s="708" t="n"/>
      <c r="D58" s="708" t="n"/>
      <c r="E58" s="708" t="n"/>
      <c r="F58" s="614" t="n"/>
      <c r="G58" s="614" t="n"/>
      <c r="H58" s="614" t="n"/>
      <c r="I58" s="614" t="n"/>
      <c r="J58" s="614" t="n"/>
      <c r="K58" s="614" t="n"/>
      <c r="L58" s="614" t="n"/>
      <c r="M58" s="614" t="n"/>
      <c r="N58" s="614" t="n"/>
      <c r="O58" s="614" t="n"/>
      <c r="P58" s="614" t="n"/>
      <c r="Q58" s="614" t="n"/>
      <c r="R58" s="614" t="n"/>
      <c r="S58" s="614" t="n"/>
    </row>
    <row r="59" ht="15" customHeight="1" s="307">
      <c r="A59" s="684" t="n"/>
      <c r="B59" s="708" t="n"/>
      <c r="C59" s="708" t="n"/>
      <c r="D59" s="708" t="n"/>
      <c r="E59" s="708" t="n"/>
      <c r="F59" s="614" t="n"/>
      <c r="G59" s="614" t="n"/>
      <c r="H59" s="614" t="n"/>
      <c r="I59" s="614" t="n"/>
      <c r="J59" s="614" t="n"/>
      <c r="K59" s="614" t="n"/>
      <c r="L59" s="614" t="n"/>
      <c r="M59" s="614" t="n"/>
      <c r="N59" s="614" t="n"/>
      <c r="O59" s="614" t="n"/>
      <c r="P59" s="614" t="n"/>
      <c r="Q59" s="614" t="n"/>
      <c r="R59" s="614" t="n"/>
      <c r="S59" s="614" t="n"/>
    </row>
    <row r="60" ht="15" customHeight="1" s="307">
      <c r="A60" s="684" t="n"/>
      <c r="B60" s="708" t="n"/>
      <c r="C60" s="708" t="n"/>
      <c r="D60" s="708" t="n"/>
      <c r="E60" s="708" t="n"/>
      <c r="F60" s="614" t="n"/>
      <c r="G60" s="614" t="n"/>
      <c r="H60" s="614" t="n"/>
      <c r="I60" s="614" t="n"/>
      <c r="J60" s="614" t="n"/>
      <c r="K60" s="614" t="n"/>
      <c r="L60" s="614" t="n"/>
      <c r="M60" s="614" t="n"/>
      <c r="N60" s="614" t="n"/>
      <c r="O60" s="614" t="n"/>
      <c r="P60" s="614" t="n"/>
      <c r="Q60" s="614" t="n"/>
      <c r="R60" s="614" t="n"/>
      <c r="S60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Year-10 exit sensitivity. Year-10 ARR and 10Y cash are live from _Engine_NR (active scenario).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>
        <f>'_Engine_NR'!$K$150</f>
        <v/>
      </c>
      <c r="C5" s="354">
        <f>'_Engine_NR'!$K$150</f>
        <v/>
      </c>
      <c r="D5" s="354">
        <f>'_Engine_NR'!$K$150</f>
        <v/>
      </c>
      <c r="E5" s="354">
        <f>'_Engine_NR'!$K$150</f>
        <v/>
      </c>
      <c r="F5" s="354">
        <f>'_Engine_NR'!$K$150</f>
        <v/>
      </c>
    </row>
    <row r="6" ht="15" customHeight="1" s="307">
      <c r="A6" s="322" t="inlineStr">
        <is>
          <t>Exit Proceeds ($mm)</t>
        </is>
      </c>
      <c r="B6" s="570">
        <f>B5*B4</f>
        <v/>
      </c>
      <c r="C6" s="570">
        <f>C5*C4</f>
        <v/>
      </c>
      <c r="D6" s="570">
        <f>D5*D4</f>
        <v/>
      </c>
      <c r="E6" s="570">
        <f>E5*E4</f>
        <v/>
      </c>
      <c r="F6" s="570">
        <f>F5*F4</f>
        <v/>
      </c>
    </row>
    <row r="7" ht="15" customHeight="1" s="307">
      <c r="A7" s="321" t="inlineStr">
        <is>
          <t>10Y Cash Distributions ($mm)</t>
        </is>
      </c>
      <c r="B7" s="354">
        <f>'_Engine_NR'!$B$253</f>
        <v/>
      </c>
      <c r="C7" s="354">
        <f>'_Engine_NR'!$B$253</f>
        <v/>
      </c>
      <c r="D7" s="354">
        <f>'_Engine_NR'!$B$253</f>
        <v/>
      </c>
      <c r="E7" s="354">
        <f>'_Engine_NR'!$B$253</f>
        <v/>
      </c>
      <c r="F7" s="354">
        <f>'_Engine_NR'!$B$253</f>
        <v/>
      </c>
    </row>
    <row r="8" ht="15" customHeight="1" s="307">
      <c r="A8" s="322" t="inlineStr">
        <is>
          <t>Total LP Value ($mm)</t>
        </is>
      </c>
      <c r="B8" s="570">
        <f>B6+B7</f>
        <v/>
      </c>
      <c r="C8" s="570">
        <f>C6+C7</f>
        <v/>
      </c>
      <c r="D8" s="570">
        <f>D6+D7</f>
        <v/>
      </c>
      <c r="E8" s="570">
        <f>E6+E7</f>
        <v/>
      </c>
      <c r="F8" s="570">
        <f>F6+F7</f>
        <v/>
      </c>
    </row>
    <row r="9" ht="15" customHeight="1" s="307">
      <c r="A9" s="322" t="inlineStr">
        <is>
          <t>Total LP MOIC (vs fund size)</t>
        </is>
      </c>
      <c r="B9" s="503">
        <f>B8/('1. Press Assumptions'!$B$5/1000000)</f>
        <v/>
      </c>
      <c r="C9" s="503">
        <f>C8/('1. Press Assumptions'!$B$5/1000000)</f>
        <v/>
      </c>
      <c r="D9" s="503">
        <f>D8/('1. Press Assumptions'!$B$5/1000000)</f>
        <v/>
      </c>
      <c r="E9" s="503">
        <f>E8/('1. Press Assumptions'!$B$5/1000000)</f>
        <v/>
      </c>
      <c r="F9" s="503">
        <f>F8/('1. Press Assumptions'!$B$5/1000000)</f>
        <v/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 (anchored to engine base)</t>
        </is>
      </c>
      <c r="B1" s="309" t="n"/>
      <c r="C1" s="309" t="n"/>
      <c r="D1" s="309" t="n"/>
      <c r="E1" s="309" t="n"/>
      <c r="F1" s="306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Base case ties exactly to _Engine_NR 15Y DPI. Downside scenarios are closed-form haircuts scaled to that base.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729" t="inlineStr">
        <is>
          <t>Base row is engine-exact; downside rows are engine-anchored closed-form haircuts (illustrative).</t>
        </is>
      </c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  <c r="J5" s="615" t="inlineStr">
        <is>
          <t>anchor scaler</t>
        </is>
      </c>
      <c r="K5" s="615" t="inlineStr">
        <is>
          <t>raw closed-form (helper)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K6*$J$6</f>
        <v/>
      </c>
      <c r="G6" s="662">
        <f>F6*('1. Press Assumptions'!$B$5/1000000)</f>
        <v/>
      </c>
      <c r="H6" s="638" t="inlineStr">
        <is>
          <t>NDR + margin from Tab 1; no zero deals; 2x exit.</t>
        </is>
      </c>
      <c r="J6" s="306">
        <f>'_Engine_NR'!$B$252/K6</f>
        <v/>
      </c>
      <c r="K6" s="306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K7*$J$6</f>
        <v/>
      </c>
      <c r="G7" s="662">
        <f>F7*('1. Press Assumptions'!$B$5/1000000)</f>
        <v/>
      </c>
      <c r="H7" s="638" t="inlineStr">
        <is>
          <t>NDR drops to 80%; everything else unchanged.</t>
        </is>
      </c>
      <c r="K7" s="306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K8*$J$6</f>
        <v/>
      </c>
      <c r="G8" s="662">
        <f>F8*('1. Press Assumptions'!$B$5/1000000)</f>
        <v/>
      </c>
      <c r="H8" s="638" t="inlineStr">
        <is>
          <t>NDR drops to 75%.</t>
        </is>
      </c>
      <c r="K8" s="306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K9*$J$6</f>
        <v/>
      </c>
      <c r="G9" s="662">
        <f>F9*('1. Press Assumptions'!$B$5/1000000)</f>
        <v/>
      </c>
      <c r="H9" s="638" t="inlineStr">
        <is>
          <t>Margin cap drops to 55% (deals leak vs underwriting).</t>
        </is>
      </c>
      <c r="K9" s="306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K10*$J$6</f>
        <v/>
      </c>
      <c r="G10" s="662">
        <f>F10*('1. Press Assumptions'!$B$5/1000000)</f>
        <v/>
      </c>
      <c r="H10" s="638" t="inlineStr">
        <is>
          <t>One deal returns nothing; portfolio = 4 deals at $24M ARR.</t>
        </is>
      </c>
      <c r="K10" s="306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</row>
    <row r="11" ht="15" customHeight="1" s="307">
      <c r="A11" s="321" t="inlineStr">
        <is>
          <t>Exit multiple compression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K11*$J$6</f>
        <v/>
      </c>
      <c r="G11" s="662">
        <f>F11*('1. Press Assumptions'!$B$5/1000000)</f>
        <v/>
      </c>
      <c r="H11" s="638" t="inlineStr">
        <is>
          <t>Exit at 1.0x ARR instead of 2.0x.</t>
        </is>
      </c>
      <c r="K11" s="306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K12*$J$6</f>
        <v/>
      </c>
      <c r="G12" s="662">
        <f>F12*('1. Press Assumptions'!$B$5/1000000)</f>
        <v/>
      </c>
      <c r="H12" s="638" t="inlineStr">
        <is>
          <t>NDR 80% + margin 55% + 1 write-off + 1.5x exit.</t>
        </is>
      </c>
      <c r="K12" s="306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K13*$J$6</f>
        <v/>
      </c>
      <c r="G13" s="662">
        <f>F13*('1. Press Assumptions'!$B$5/1000000)</f>
        <v/>
      </c>
      <c r="H13" s="638" t="inlineStr">
        <is>
          <t>NDR 70% + margin 45% + 2 write-offs + 1x exit.</t>
        </is>
      </c>
      <c r="K13" s="306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(mgmt fee + carry only -- excludes team comp &amp; bonus pool)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>
        <f>'_Engine_NR'!$B$251</f>
        <v/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751" t="inlineStr">
        <is>
          <t>INPUT / reference — funnel &amp; timeline assumptions. Not an engine output.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 (live; No Recycle, active scenario)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>
        <f>'_Engine_NR'!$B$254*5</f>
        <v/>
      </c>
      <c r="C11" s="354">
        <f>'_Engine_NR'!$B$252*5</f>
        <v/>
      </c>
      <c r="D11" s="441">
        <f>'_Engine_NR'!$B$252</f>
        <v/>
      </c>
    </row>
    <row r="12" ht="15" customHeight="1" s="307">
      <c r="A12" s="394" t="inlineStr">
        <is>
          <t>$10mm</t>
        </is>
      </c>
      <c r="B12" s="354">
        <f>'_Engine_NR'!$B$254*10</f>
        <v/>
      </c>
      <c r="C12" s="354">
        <f>'_Engine_NR'!$B$252*10</f>
        <v/>
      </c>
      <c r="D12" s="441">
        <f>'_Engine_NR'!$B$252</f>
        <v/>
      </c>
    </row>
    <row r="13" ht="15" customHeight="1" s="307">
      <c r="A13" s="394" t="inlineStr">
        <is>
          <t>$15mm</t>
        </is>
      </c>
      <c r="B13" s="354">
        <f>'_Engine_NR'!$B$254*15</f>
        <v/>
      </c>
      <c r="C13" s="354">
        <f>'_Engine_NR'!$B$252*15</f>
        <v/>
      </c>
      <c r="D13" s="441">
        <f>'_Engine_NR'!$B$252</f>
        <v/>
      </c>
    </row>
    <row r="14" ht="15" customHeight="1" s="307">
      <c r="A14" s="394" t="inlineStr">
        <is>
          <t>$20mm</t>
        </is>
      </c>
      <c r="B14" s="354">
        <f>'_Engine_NR'!$B$254*20</f>
        <v/>
      </c>
      <c r="C14" s="354">
        <f>'_Engine_NR'!$B$252*20</f>
        <v/>
      </c>
      <c r="D14" s="441">
        <f>'_Engine_NR'!$B$252</f>
        <v/>
      </c>
    </row>
    <row r="15" ht="15" customHeight="1" s="307">
      <c r="A15" s="394" t="inlineStr">
        <is>
          <t>$25mm</t>
        </is>
      </c>
      <c r="B15" s="354">
        <f>'_Engine_NR'!$B$254*25</f>
        <v/>
      </c>
      <c r="C15" s="354">
        <f>'_Engine_NR'!$B$252*25</f>
        <v/>
      </c>
      <c r="D15" s="441">
        <f>'_Engine_NR'!$B$252</f>
        <v/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>
        <f>"PORTFOLIO DASHBOARD  --  LP IC HEADLINE  (Scenario: " &amp; '1. Press Assumptions'!$B$136 &amp; ")"</f>
        <v/>
      </c>
      <c r="B1" s="707" t="n"/>
      <c r="C1" s="707" t="n"/>
      <c r="D1" s="707" t="n"/>
      <c r="E1" s="707" t="n"/>
      <c r="F1" s="707" t="n"/>
      <c r="G1" s="707" t="n"/>
      <c r="H1" s="614" t="n"/>
      <c r="I1" s="728">
        <f>"Active scenario: " &amp; '1. Press Assumptions'!$B$136 &amp; "   (toggle on Tab 1 B136)"</f>
        <v/>
      </c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>
        <f>"LP IC BASE CASE  -- Currently showing: " &amp; '1. Press Assumptions'!$B$136 &amp; " scenario"</f>
        <v/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"(at " &amp; '1. Press Assumptions'!$B$136 &amp; ")"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EXPECTED RESULTS BY SCENARIO (current displays the active Tab 1 B136 setting):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Bear (uniform 0.80 NDR -- downside):     NR=1.63x  R50=2.71x  R100=2.62x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(uniform 0.85 NDR -- LP base case): NR=2.27x  R50=3.89x  R100=3.84x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Bull (uniform 0.90 NDR -- upside):       NR=3.35x  R50=5.51x  R100=5.59x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  (independent of current Tab 1 B136 setting)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LP IC underwrites at Base (0.85 NDR), No Recycle  =  expected ~2.27x DPI / ~18%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Reasoning: removes 2-zero-decay-winner risk, avoids 72mo LPA dispute, and avoids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delivers.  LP still clears 2x in Bear case.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  <c r="I1" s="728">
        <f>"Active scenario: " &amp; '1. Press Assumptions'!$B$136 &amp; "   (toggle on Tab 1 B136)"</f>
        <v/>
      </c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751" t="inlineStr">
        <is>
          <t>INPUT — role salary schedule. This loaded total ($7,637K/yr) DRIVES engine team comp (via Tab 26 row 28).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  <row r="29">
      <c r="A29" s="615" t="inlineStr">
        <is>
          <t>Total loaded = base x 1.30 (30% fully-weighted overhead).</t>
        </is>
      </c>
    </row>
    <row r="30">
      <c r="A30" s="615" t="inlineStr">
        <is>
          <t>Engine team comp = this total, ramped (Y1 45%, Y2 99%, Y3+ 100%). See Tab 26 row 28.</t>
        </is>
      </c>
    </row>
    <row r="31">
      <c r="A31" s="61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>
        <f>"NR " &amp; TEXT('_Engine_NR'!$B$276,"0%") &amp; " / R50 " &amp; TEXT('_Engine_R50'!$B$276,"0%") &amp; " / R100 " &amp; TEXT('_Engine_R100'!$B$276,"0%") &amp; "  (" &amp; '1. Press Assumptions'!$B$136 &amp; " case)"</f>
        <v/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>
        <f>"NR " &amp; TEXT('_Engine_NR'!$B$252,"0.00") &amp; "x / R50 " &amp; TEXT('_Engine_R50'!$B$252,"0.00") &amp; "x / R100 " &amp; TEXT('_Engine_R100'!$B$252,"0.00") &amp; "x  (" &amp; '1. Press Assumptions'!$B$136 &amp; " case)"</f>
        <v/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>
        <f>"NR " &amp; TEXT('_Engine_NR'!$B$254,"0.00") &amp; "x / R50 " &amp; TEXT('_Engine_R50'!$B$254,"0.00") &amp; "x / R100 " &amp; TEXT('_Engine_R100'!$B$254,"0.00") &amp; "x  (" &amp; '1. Press Assumptions'!$B$136 &amp; " case)"</f>
        <v/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  (LIVE from _Engine_R100)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Retained cash and recycled deployment are live. Recycled deals close M24/28/32/36.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>
        <f>SUM('_Engine_R100'!Y31:Y33)</f>
        <v/>
      </c>
      <c r="C5" s="354">
        <f>SUM('_Engine_R100'!Y34:Y36)</f>
        <v/>
      </c>
      <c r="D5" s="354">
        <f>SUM('_Engine_R100'!Y37:Y39)</f>
        <v/>
      </c>
      <c r="E5" s="354">
        <f>SUM('_Engine_R100'!Y40:Y42)</f>
        <v/>
      </c>
      <c r="F5" s="354">
        <f>SUM('_Engine_R100'!Y43:Y45)</f>
        <v/>
      </c>
      <c r="G5" s="354">
        <f>SUM('_Engine_R100'!Y46:Y48)</f>
        <v/>
      </c>
      <c r="H5" s="354">
        <f>SUM('_Engine_R100'!Y49:Y51)</f>
        <v/>
      </c>
      <c r="I5" s="354">
        <f>SUM('_Engine_R100'!Y52:Y54)</f>
        <v/>
      </c>
      <c r="J5" s="354">
        <f>SUM('_Engine_R100'!Y55:Y57)</f>
        <v/>
      </c>
      <c r="K5" s="354">
        <f>SUM('_Engine_R100'!Y58:Y60)</f>
        <v/>
      </c>
      <c r="L5" s="354">
        <f>SUM('_Engine_R100'!Y61:Y63)</f>
        <v/>
      </c>
      <c r="M5" s="354">
        <f>SUM('_Engine_R100'!Y64:Y66)</f>
        <v/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>
        <f>SUMPRODUCT(('1. Press Assumptions'!$K$101:$K$104&gt;=1)*('1. Press Assumptions'!$K$101:$K$104&lt;=3)*('1. Press Assumptions'!$D$101:$D$104*'1. Press Assumptions'!$E$101:$E$104))</f>
        <v/>
      </c>
      <c r="C6" s="354">
        <f>SUMPRODUCT(('1. Press Assumptions'!$K$101:$K$104&gt;=4)*('1. Press Assumptions'!$K$101:$K$104&lt;=6)*('1. Press Assumptions'!$D$101:$D$104*'1. Press Assumptions'!$E$101:$E$104))</f>
        <v/>
      </c>
      <c r="D6" s="354">
        <f>SUMPRODUCT(('1. Press Assumptions'!$K$101:$K$104&gt;=7)*('1. Press Assumptions'!$K$101:$K$104&lt;=9)*('1. Press Assumptions'!$D$101:$D$104*'1. Press Assumptions'!$E$101:$E$104))</f>
        <v/>
      </c>
      <c r="E6" s="354">
        <f>SUMPRODUCT(('1. Press Assumptions'!$K$101:$K$104&gt;=10)*('1. Press Assumptions'!$K$101:$K$104&lt;=12)*('1. Press Assumptions'!$D$101:$D$104*'1. Press Assumptions'!$E$101:$E$104))</f>
        <v/>
      </c>
      <c r="F6" s="354">
        <f>SUMPRODUCT(('1. Press Assumptions'!$K$101:$K$104&gt;=13)*('1. Press Assumptions'!$K$101:$K$104&lt;=15)*('1. Press Assumptions'!$D$101:$D$104*'1. Press Assumptions'!$E$101:$E$104))</f>
        <v/>
      </c>
      <c r="G6" s="354">
        <f>SUMPRODUCT(('1. Press Assumptions'!$K$101:$K$104&gt;=16)*('1. Press Assumptions'!$K$101:$K$104&lt;=18)*('1. Press Assumptions'!$D$101:$D$104*'1. Press Assumptions'!$E$101:$E$104))</f>
        <v/>
      </c>
      <c r="H6" s="354">
        <f>SUMPRODUCT(('1. Press Assumptions'!$K$101:$K$104&gt;=19)*('1. Press Assumptions'!$K$101:$K$104&lt;=21)*('1. Press Assumptions'!$D$101:$D$104*'1. Press Assumptions'!$E$101:$E$104))</f>
        <v/>
      </c>
      <c r="I6" s="354">
        <f>SUMPRODUCT(('1. Press Assumptions'!$K$101:$K$104&gt;=22)*('1. Press Assumptions'!$K$101:$K$104&lt;=24)*('1. Press Assumptions'!$D$101:$D$104*'1. Press Assumptions'!$E$101:$E$104))</f>
        <v/>
      </c>
      <c r="J6" s="354">
        <f>SUMPRODUCT(('1. Press Assumptions'!$K$101:$K$104&gt;=25)*('1. Press Assumptions'!$K$101:$K$104&lt;=27)*('1. Press Assumptions'!$D$101:$D$104*'1. Press Assumptions'!$E$101:$E$104))</f>
        <v/>
      </c>
      <c r="K6" s="354">
        <f>SUMPRODUCT(('1. Press Assumptions'!$K$101:$K$104&gt;=28)*('1. Press Assumptions'!$K$101:$K$104&lt;=30)*('1. Press Assumptions'!$D$101:$D$104*'1. Press Assumptions'!$E$101:$E$104))</f>
        <v/>
      </c>
      <c r="L6" s="354">
        <f>SUMPRODUCT(('1. Press Assumptions'!$K$101:$K$104&gt;=31)*('1. Press Assumptions'!$K$101:$K$104&lt;=33)*('1. Press Assumptions'!$D$101:$D$104*'1. Press Assumptions'!$E$101:$E$104))</f>
        <v/>
      </c>
      <c r="M6" s="354">
        <f>SUMPRODUCT(('1. Press Assumptions'!$K$101:$K$104&gt;=34)*('1. Press Assumptions'!$K$101:$K$104&lt;=36)*('1. Press Assumptions'!$D$101:$D$104*'1. Press Assumptions'!$E$101:$E$104))</f>
        <v/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>
        <f>B5-B6</f>
        <v/>
      </c>
      <c r="C7" s="588">
        <f>B7+C5-C6</f>
        <v/>
      </c>
      <c r="D7" s="588">
        <f>C7+D5-D6</f>
        <v/>
      </c>
      <c r="E7" s="588">
        <f>D7+E5-E6</f>
        <v/>
      </c>
      <c r="F7" s="571">
        <f>E7+F5-F6</f>
        <v/>
      </c>
      <c r="G7" s="571">
        <f>F7+G5-G6</f>
        <v/>
      </c>
      <c r="H7" s="571">
        <f>G7+H5-H6</f>
        <v/>
      </c>
      <c r="I7" s="571">
        <f>H7+I5-I6</f>
        <v/>
      </c>
      <c r="J7" s="571">
        <f>I7+J5-J6</f>
        <v/>
      </c>
      <c r="K7" s="571">
        <f>J7+K5-K6</f>
        <v/>
      </c>
      <c r="L7" s="571">
        <f>K7+L5-L6</f>
        <v/>
      </c>
      <c r="M7" s="571">
        <f>L7+M5-M6</f>
        <v/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3">
      <c r="A3" s="641" t="inlineStr">
        <is>
          <t>INPUT — row 28 "Total Loaded" feeds the engines (D28:R28). Now DERIVED from Tab 23 role schedule (loaded) with hiring ramp.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>
        <f>D28/1.3</f>
        <v/>
      </c>
      <c r="E27" s="590">
        <f>E28/1.3</f>
        <v/>
      </c>
      <c r="F27" s="590">
        <f>F28/1.3</f>
        <v/>
      </c>
      <c r="G27" s="590">
        <f>G28/1.3</f>
        <v/>
      </c>
      <c r="H27" s="590">
        <f>H28/1.3</f>
        <v/>
      </c>
      <c r="I27" s="590">
        <f>I28/1.3</f>
        <v/>
      </c>
      <c r="J27" s="590">
        <f>J28/1.3</f>
        <v/>
      </c>
      <c r="K27" s="590">
        <f>K28/1.3</f>
        <v/>
      </c>
      <c r="L27" s="590">
        <f>L28/1.3</f>
        <v/>
      </c>
      <c r="M27" s="590">
        <f>M28/1.3</f>
        <v/>
      </c>
      <c r="N27" s="590">
        <f>N28/1.3</f>
        <v/>
      </c>
      <c r="O27" s="590">
        <f>O28/1.3</f>
        <v/>
      </c>
      <c r="P27" s="590">
        <f>P28/1.3</f>
        <v/>
      </c>
      <c r="Q27" s="590">
        <f>Q28/1.3</f>
        <v/>
      </c>
      <c r="R27" s="590">
        <f>R28/1.3</f>
        <v/>
      </c>
    </row>
    <row r="28" ht="15" customHeight="1" s="307">
      <c r="A28" s="321" t="inlineStr">
        <is>
          <t>Total Loaded (+ 30%)</t>
        </is>
      </c>
      <c r="D28" s="590">
        <f>0.4527*'23. Fund OpBudget'!$C$27</f>
        <v/>
      </c>
      <c r="E28" s="590">
        <f>0.9947*'23. Fund OpBudget'!$C$27</f>
        <v/>
      </c>
      <c r="F28" s="590">
        <f>'23. Fund OpBudget'!$C$27</f>
        <v/>
      </c>
      <c r="G28" s="590">
        <f>'23. Fund OpBudget'!$C$27</f>
        <v/>
      </c>
      <c r="H28" s="590">
        <f>'23. Fund OpBudget'!$C$27</f>
        <v/>
      </c>
      <c r="I28" s="590">
        <f>'23. Fund OpBudget'!$C$27</f>
        <v/>
      </c>
      <c r="J28" s="590">
        <f>'23. Fund OpBudget'!$C$27</f>
        <v/>
      </c>
      <c r="K28" s="590">
        <f>'23. Fund OpBudget'!$C$27</f>
        <v/>
      </c>
      <c r="L28" s="590">
        <f>'23. Fund OpBudget'!$C$27</f>
        <v/>
      </c>
      <c r="M28" s="590">
        <f>'23. Fund OpBudget'!$C$27</f>
        <v/>
      </c>
      <c r="N28" s="590">
        <f>'23. Fund OpBudget'!$C$27</f>
        <v/>
      </c>
      <c r="O28" s="590">
        <f>'23. Fund OpBudget'!$C$27</f>
        <v/>
      </c>
      <c r="P28" s="590">
        <f>'23. Fund OpBudget'!$C$27</f>
        <v/>
      </c>
      <c r="Q28" s="590">
        <f>'23. Fund OpBudget'!$C$27</f>
        <v/>
      </c>
      <c r="R28" s="590">
        <f>'23. Fund OpBudget'!$C$27</f>
        <v/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1">
      <c r="A31" s="706" t="inlineStr">
        <is>
          <t>RECONCILED: steady-state = Tab 23 loaded total ($7,637K/yr). Y1=45%, Y2=99% ramp (CEO/CFO pre-deal, full team by M16).</t>
        </is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TRACK RECORD + COMMIT (PARTIAL)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  <row r="25">
      <c r="A25" s="642" t="inlineStr">
        <is>
          <t>TRACK RECORD (GP-DISCLOSED)</t>
        </is>
      </c>
    </row>
    <row r="26">
      <c r="A26" s="628" t="inlineStr">
        <is>
          <t>Prior deals</t>
        </is>
      </c>
      <c r="B26" s="706" t="inlineStr">
        <is>
          <t>3 deals completed</t>
        </is>
      </c>
      <c r="C26" s="615" t="inlineStr">
        <is>
          <t>Need: outcome detail per deal, hold period, exit type</t>
        </is>
      </c>
    </row>
    <row r="27">
      <c r="A27" s="628" t="inlineStr">
        <is>
          <t>Most recent IRR</t>
        </is>
      </c>
      <c r="B27" s="706" t="inlineStr">
        <is>
          <t>36% (GP-stated)</t>
        </is>
      </c>
      <c r="C27" s="615" t="inlineStr">
        <is>
          <t>Need: realized vs projected, gross vs net, cash flow detail</t>
        </is>
      </c>
    </row>
    <row r="28">
      <c r="A28" s="628" t="inlineStr">
        <is>
          <t>Operating track record</t>
        </is>
      </c>
      <c r="B28" s="706" t="inlineStr">
        <is>
          <t>3 years at 75% net margin</t>
        </is>
      </c>
      <c r="C28" s="615" t="inlineStr">
        <is>
          <t>Need: which company, scale, audited financials</t>
        </is>
      </c>
    </row>
    <row r="29">
      <c r="A29" s="628" t="inlineStr">
        <is>
          <t>GP commit</t>
        </is>
      </c>
      <c r="B29" s="706" t="inlineStr">
        <is>
          <t>1% of fund = $1.5M</t>
        </is>
      </c>
      <c r="C29" s="615" t="inlineStr">
        <is>
          <t>Below market norm 2-5%; carry/commit ratio = 32x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2026-05-05T03:19:40Z</dcterms:created>
  <dcterms:modified xmlns:dcterms="http://purl.org/dc/terms/" xmlns:xsi="http://www.w3.org/2001/XMLSchema-instance" xsi:type="dcterms:W3CDTF">2026-06-09T04:40:42Z</dcterms:modified>
  <cp:revision>0</cp:revision>
</cp:coreProperties>
</file>