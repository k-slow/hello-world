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28. GP Term Sheet Asks" sheetId="38" state="visible" r:id="rId38"/>
    <sheet name="_Engine_NR" sheetId="39" state="visible" r:id="rId39"/>
    <sheet name="_Engine_R50" sheetId="40" state="visible" r:id="rId40"/>
    <sheet name="_Engine_R100" sheetId="41" state="visible" r:id="rId41"/>
    <sheet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7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  <numFmt numFmtId="180" formatCode="&quot;$&quot;#,##0.0&quot;M&quot;"/>
  </numFmts>
  <fonts count="5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  <font>
      <b val="1"/>
      <i val="1"/>
      <color rgb="FF1F3864"/>
    </font>
    <font>
      <b val="1"/>
      <i val="1"/>
      <color rgb="FF888888"/>
    </font>
  </fonts>
  <fills count="22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  <xf numFmtId="0" fontId="40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vertical="bottom"/>
    </xf>
    <xf numFmtId="180" fontId="37" fillId="0" borderId="0" applyAlignment="1" pivotButton="0" quotePrefix="0" xfId="0">
      <alignment horizontal="center" vertical="bottom"/>
    </xf>
    <xf numFmtId="180" fontId="37" fillId="0" borderId="0" pivotButton="0" quotePrefix="0" xfId="0"/>
    <xf numFmtId="180" fontId="38" fillId="0" borderId="0" applyAlignment="1" pivotButton="0" quotePrefix="0" xfId="0">
      <alignment horizontal="center" vertical="bottom"/>
    </xf>
    <xf numFmtId="180" fontId="38" fillId="0" borderId="0" pivotButton="0" quotePrefix="0" xfId="0"/>
    <xf numFmtId="0" fontId="47" fillId="12" borderId="0" applyAlignment="1" pivotButton="0" quotePrefix="0" xfId="0">
      <alignment horizontal="general" vertical="bottom"/>
    </xf>
    <xf numFmtId="0" fontId="41" fillId="12" borderId="0" applyAlignment="1" pivotButton="0" quotePrefix="0" xfId="0">
      <alignment horizontal="center" vertical="bottom"/>
    </xf>
    <xf numFmtId="169" fontId="40" fillId="12" borderId="0" applyAlignment="1" pivotButton="0" quotePrefix="0" xfId="0">
      <alignment horizontal="center" vertical="bottom"/>
    </xf>
    <xf numFmtId="0" fontId="40" fillId="12" borderId="0" pivotButton="0" quotePrefix="0" xfId="0"/>
    <xf numFmtId="166" fontId="40" fillId="13" borderId="0" applyAlignment="1" pivotButton="0" quotePrefix="0" xfId="0">
      <alignment horizontal="center" vertical="bottom"/>
    </xf>
    <xf numFmtId="175" fontId="40" fillId="13" borderId="0" applyAlignment="1" pivotButton="0" quotePrefix="0" xfId="0">
      <alignment horizontal="center" vertical="bottom"/>
    </xf>
    <xf numFmtId="175" fontId="40" fillId="13" borderId="0" pivotButton="0" quotePrefix="0" xfId="0"/>
    <xf numFmtId="3" fontId="40" fillId="13" borderId="0" applyAlignment="1" pivotButton="0" quotePrefix="0" xfId="0">
      <alignment horizontal="center" vertical="bottom"/>
    </xf>
    <xf numFmtId="166" fontId="40" fillId="14" borderId="0" applyAlignment="1" pivotButton="0" quotePrefix="0" xfId="0">
      <alignment horizontal="center" vertical="bottom"/>
    </xf>
    <xf numFmtId="175" fontId="40" fillId="14" borderId="0" applyAlignment="1" pivotButton="0" quotePrefix="0" xfId="0">
      <alignment horizontal="center" vertical="bottom"/>
    </xf>
    <xf numFmtId="175" fontId="40" fillId="14" borderId="0" pivotButton="0" quotePrefix="0" xfId="0"/>
    <xf numFmtId="3" fontId="40" fillId="14" borderId="0" applyAlignment="1" pivotButton="0" quotePrefix="0" xfId="0">
      <alignment horizontal="center" vertical="bottom"/>
    </xf>
    <xf numFmtId="0" fontId="40" fillId="12" borderId="0" applyAlignment="1" pivotButton="0" quotePrefix="0" xfId="0">
      <alignment horizontal="general" vertical="bottom"/>
    </xf>
    <xf numFmtId="169" fontId="40" fillId="0" borderId="0" pivotButton="0" quotePrefix="0" xfId="0"/>
    <xf numFmtId="0" fontId="53" fillId="21" borderId="0" applyAlignment="1" pivotButton="0" quotePrefix="0" xfId="0">
      <alignment horizontal="right"/>
    </xf>
    <xf numFmtId="0" fontId="41" fillId="2" borderId="0" applyAlignment="1" pivotButton="0" quotePrefix="0" xfId="0">
      <alignment horizontal="center" vertical="bottom"/>
    </xf>
    <xf numFmtId="0" fontId="54" fillId="0" borderId="0" applyAlignment="1" pivotButton="0" quotePrefix="0" xfId="0">
      <alignment horizontal="general" vertical="bottom"/>
    </xf>
    <xf numFmtId="166" fontId="40" fillId="15" borderId="0" applyAlignment="1" pivotButton="0" quotePrefix="0" xfId="0">
      <alignment horizontal="center" vertical="bottom"/>
    </xf>
    <xf numFmtId="9" fontId="40" fillId="17" borderId="0" applyAlignment="1" pivotButton="0" quotePrefix="0" xfId="0">
      <alignment horizontal="center" vertical="bottom"/>
    </xf>
    <xf numFmtId="175" fontId="40" fillId="17" borderId="0" applyAlignment="1" pivotButton="0" quotePrefix="0" xfId="0">
      <alignment horizontal="center"/>
    </xf>
    <xf numFmtId="9" fontId="44" fillId="21" borderId="0" applyAlignment="1" pivotButton="0" quotePrefix="0" xfId="0">
      <alignment horizontal="center" vertical="bottom"/>
    </xf>
    <xf numFmtId="175" fontId="44" fillId="21" borderId="0" applyAlignment="1" pivotButton="0" quotePrefix="0" xfId="0">
      <alignment horizontal="center"/>
    </xf>
    <xf numFmtId="9" fontId="41" fillId="0" borderId="0" applyAlignment="1" pivotButton="0" quotePrefix="0" xfId="0">
      <alignment horizontal="center" vertical="bottom"/>
    </xf>
    <xf numFmtId="175" fontId="41" fillId="0" borderId="0" applyAlignment="1" pivotButton="0" quotePrefix="0" xfId="0">
      <alignment horizontal="center"/>
    </xf>
    <xf numFmtId="0" fontId="40" fillId="15" borderId="0" applyAlignment="1" pivotButton="0" quotePrefix="0" xfId="0">
      <alignment horizontal="general" vertical="bottom"/>
    </xf>
    <xf numFmtId="166" fontId="40" fillId="17" borderId="0" applyAlignment="1" pivotButton="0" quotePrefix="0" xfId="0">
      <alignment horizontal="center"/>
    </xf>
    <xf numFmtId="166" fontId="44" fillId="21" borderId="0" applyAlignment="1" pivotButton="0" quotePrefix="0" xfId="0">
      <alignment horizontal="center"/>
    </xf>
    <xf numFmtId="166" fontId="41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 wrapText="1"/>
    </xf>
    <xf numFmtId="2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5" fontId="43" fillId="16" borderId="0" applyAlignment="1" pivotButton="0" quotePrefix="0" xfId="0">
      <alignment horizontal="center" vertical="bottom"/>
    </xf>
    <xf numFmtId="9" fontId="40" fillId="0" borderId="0" applyAlignment="1" pivotButton="0" quotePrefix="0" xfId="0">
      <alignment horizontal="general" vertical="bottom"/>
    </xf>
    <xf numFmtId="9" fontId="44" fillId="21" borderId="0" applyAlignment="1" pivotButton="0" quotePrefix="0" xfId="0">
      <alignment horizontal="general" vertical="bottom"/>
    </xf>
    <xf numFmtId="175" fontId="40" fillId="21" borderId="0" applyAlignment="1" pivotButton="0" quotePrefix="0" xfId="0">
      <alignment horizontal="center" vertical="bottom"/>
    </xf>
    <xf numFmtId="166" fontId="40" fillId="21" borderId="0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178" fontId="40" fillId="0" borderId="0" applyAlignment="1" pivotButton="0" quotePrefix="0" xfId="0">
      <alignment horizontal="center" vertical="bottom"/>
    </xf>
    <xf numFmtId="168" fontId="40" fillId="0" borderId="0" applyAlignment="1" pivotButton="0" quotePrefix="0" xfId="0">
      <alignment horizontal="center" vertical="bottom"/>
    </xf>
    <xf numFmtId="0" fontId="52" fillId="0" borderId="0" applyAlignment="1" pivotButton="0" quotePrefix="0" xfId="0">
      <alignment horizontal="general" vertical="bottom"/>
    </xf>
    <xf numFmtId="0" fontId="53" fillId="0" borderId="0" pivotButton="0" quotePrefix="0" xfId="0"/>
    <xf numFmtId="0" fontId="0" fillId="20" borderId="0" pivotButton="0" quotePrefix="0" xfId="0"/>
    <xf numFmtId="0" fontId="43" fillId="16" borderId="0" applyAlignment="1" pivotButton="0" quotePrefix="0" xfId="0">
      <alignment horizontal="left" wrapText="1"/>
    </xf>
    <xf numFmtId="0" fontId="41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  <c r="D2" s="627" t="inlineStr">
        <is>
          <t>UNDERWRITING SCENARIO set in B136 below (Bear 80% / Base 85% / Bull 90%).</t>
        </is>
      </c>
    </row>
    <row r="3">
      <c r="D3" s="706" t="inlineStr">
        <is>
          <t>ACTIVE: $250M, 50% RECYCLE. 5 base @ $37M/1.30x + 4 recycled @ $28M/1.20x (M30/40/50/60, ~5yr deploy, conservative). No Y10 exit.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250000000</v>
      </c>
      <c r="C5" s="615" t="inlineStr">
        <is>
          <t>Raised from $150M to fix -$0.4M cushion (LPs slightly increased).</t>
        </is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1</v>
      </c>
      <c r="C35" s="754" t="inlineStr">
        <is>
          <t>Set to 100% per GP -- no bonus pool. All margin upside flows to investors.</t>
        </is>
      </c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72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730" t="inlineStr">
        <is>
          <t>PER-DEAL MIX (reference only -- engine uses uniform NDR via scenario picker B136)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37</v>
      </c>
      <c r="E89" s="317" t="n">
        <v>1.3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37</v>
      </c>
      <c r="E90" s="317" t="n">
        <v>1.3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8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37</v>
      </c>
      <c r="E91" s="317" t="n">
        <v>1.3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12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37</v>
      </c>
      <c r="E92" s="317" t="n">
        <v>1.3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16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37</v>
      </c>
      <c r="E93" s="317" t="n">
        <v>1.3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20</v>
      </c>
    </row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28</v>
      </c>
      <c r="E96" s="317" t="n">
        <v>1.2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30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28</v>
      </c>
      <c r="E97" s="317" t="n">
        <v>1.2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40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28</v>
      </c>
      <c r="E98" s="317" t="n">
        <v>1.2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50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28</v>
      </c>
      <c r="E99" s="317" t="n">
        <v>1.2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60</v>
      </c>
    </row>
    <row r="100">
      <c r="A100" s="641" t="inlineStr">
        <is>
          <t>R100-SPECIFIC recycled close months (faster -- only feasible at 100% retention)</t>
        </is>
      </c>
    </row>
    <row r="101">
      <c r="A101" s="306" t="inlineStr">
        <is>
          <t>OpCo #6 (R100 close)</t>
        </is>
      </c>
      <c r="D101" s="306" t="n">
        <v>24</v>
      </c>
      <c r="E101" s="306" t="n">
        <v>1.25</v>
      </c>
      <c r="H101" s="306" t="n">
        <v>1</v>
      </c>
      <c r="K101" s="306" t="n">
        <v>24</v>
      </c>
    </row>
    <row r="102" ht="15" customHeight="1" s="307">
      <c r="A102" s="311" t="inlineStr">
        <is>
          <t>OpCo #7 (R100 close)</t>
        </is>
      </c>
      <c r="B102" s="309" t="n"/>
      <c r="C102" s="309" t="n"/>
      <c r="D102" s="309" t="n">
        <v>24</v>
      </c>
      <c r="E102" s="309" t="n">
        <v>1.25</v>
      </c>
      <c r="H102" s="306" t="n">
        <v>1</v>
      </c>
      <c r="K102" s="306" t="n">
        <v>28</v>
      </c>
    </row>
    <row r="103" ht="15" customHeight="1" s="307">
      <c r="A103" s="314" t="inlineStr">
        <is>
          <t>OpCo #8 (R100 close)</t>
        </is>
      </c>
      <c r="B103" s="315" t="n">
        <v>140</v>
      </c>
      <c r="D103" s="306" t="n">
        <v>24</v>
      </c>
      <c r="E103" s="310" t="n">
        <v>1.25</v>
      </c>
      <c r="H103" s="306" t="n">
        <v>0.85</v>
      </c>
      <c r="K103" s="306" t="n">
        <v>32</v>
      </c>
    </row>
    <row r="104" ht="15" customHeight="1" s="307">
      <c r="A104" s="314" t="inlineStr">
        <is>
          <t>OpCo #9 (R100 close)</t>
        </is>
      </c>
      <c r="B104" s="316" t="n">
        <v>200000</v>
      </c>
      <c r="D104" s="306" t="n">
        <v>24</v>
      </c>
      <c r="E104" s="310" t="n">
        <v>1.25</v>
      </c>
      <c r="H104" s="306" t="n">
        <v>0.8</v>
      </c>
      <c r="K104" s="306" t="n">
        <v>36</v>
      </c>
    </row>
    <row r="105" ht="15" customHeight="1" s="307">
      <c r="A105" s="314" t="inlineStr">
        <is>
          <t>R100 recycle period (months)</t>
        </is>
      </c>
      <c r="B105" s="319" t="n">
        <v>36</v>
      </c>
      <c r="C105" s="615" t="inlineStr">
        <is>
          <t>R100 keeps original 36mo period (only feasible at 100% retention).</t>
        </is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35000</v>
      </c>
      <c r="C110" s="615" t="inlineStr">
        <is>
          <t>Raised from $17.3K to $35K/FTE (16 weeks vs 8 weeks). Matches US senior tech norms.</t>
        </is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0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Base</t>
        </is>
      </c>
      <c r="C136" s="615" t="inlineStr">
        <is>
          <t>Bear = 0.80 NDR (downside).  Base = 0.85 NDR (LP underwriting -- default).  Bull = 0.90 NDR (upside).  Per-deal mix in rows 89-93 kept as reference only.</t>
        </is>
      </c>
    </row>
    <row r="137">
      <c r="A137" s="306" t="inlineStr">
        <is>
          <t>Bonus margin threshold override</t>
        </is>
      </c>
      <c r="B137" s="694" t="n">
        <v>1</v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0.02</v>
      </c>
      <c r="C138" s="755" t="inlineStr">
        <is>
          <t>Raised to 2% per IB underwriting recommendation. GP commit = $3.02M. Carry/commit ratio drops to ~16x.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  <row r="141">
      <c r="A141" s="306" t="inlineStr">
        <is>
          <t>Y15 wind-down multiplier (on remaining ARR)</t>
        </is>
      </c>
      <c r="B141" s="756" t="n">
        <v>1.5</v>
      </c>
      <c r="C141" s="615" t="inlineStr">
        <is>
          <t>Conservative 1.5x ARR liquidation value on Y15 remaining portfolio. Captures terminal value.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612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593" t="inlineStr">
        <is>
          <t>Live from engines.  Returns are SIZE-INVARIANT (DPI/IRR same across commit sizes).  Cash scales linearly.</t>
        </is>
      </c>
      <c r="K2" s="306" t="n"/>
      <c r="L2" s="306" t="n"/>
    </row>
    <row r="3" ht="15" customHeight="1" s="307">
      <c r="A3" s="641">
        <f>" Active scenario (Tab 1 B136): " &amp; '1. Press Assumptions'!$B$136 &amp; "    |   Toggle Bull / Base / Bear on Tab 1 to recalc this tab."</f>
        <v/>
      </c>
      <c r="K3" s="306" t="n"/>
      <c r="L3" s="306" t="n"/>
    </row>
    <row r="4" ht="15" customHeight="1" s="307">
      <c r="A4" s="322" t="n"/>
      <c r="B4" s="339" t="inlineStr">
        <is>
          <t>$5M</t>
        </is>
      </c>
      <c r="E4" s="339" t="inlineStr">
        <is>
          <t>$10M</t>
        </is>
      </c>
      <c r="H4" s="339" t="inlineStr">
        <is>
          <t>$25M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inlineStr">
        <is>
          <t>TBD</t>
        </is>
      </c>
      <c r="C9" s="347" t="inlineStr">
        <is>
          <t>TBD</t>
        </is>
      </c>
      <c r="D9" s="348" t="inlineStr">
        <is>
          <t>TBD</t>
        </is>
      </c>
      <c r="E9" s="347" t="inlineStr">
        <is>
          <t>TBD</t>
        </is>
      </c>
      <c r="F9" s="347" t="inlineStr">
        <is>
          <t>TBD</t>
        </is>
      </c>
      <c r="G9" s="348" t="inlineStr">
        <is>
          <t>TBD</t>
        </is>
      </c>
      <c r="H9" s="347" t="inlineStr">
        <is>
          <t>TBD</t>
        </is>
      </c>
      <c r="I9" s="347" t="inlineStr">
        <is>
          <t>TBD</t>
        </is>
      </c>
      <c r="J9" s="348" t="inlineStr">
        <is>
          <t>TBD</t>
        </is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>
        <f>'_Engine_NR'!$B$277</f>
        <v/>
      </c>
      <c r="C12" s="350">
        <f>'_Engine_R50'!$B$277</f>
        <v/>
      </c>
      <c r="D12" s="351">
        <f>'_Engine_R100'!$B$277</f>
        <v/>
      </c>
      <c r="E12" s="350">
        <f>'_Engine_NR'!$B$277</f>
        <v/>
      </c>
      <c r="F12" s="350">
        <f>'_Engine_R50'!$B$277</f>
        <v/>
      </c>
      <c r="G12" s="351">
        <f>'_Engine_R100'!$B$277</f>
        <v/>
      </c>
      <c r="H12" s="350">
        <f>'_Engine_NR'!$B$277</f>
        <v/>
      </c>
      <c r="I12" s="350">
        <f>'_Engine_R50'!$B$277</f>
        <v/>
      </c>
      <c r="J12" s="351">
        <f>'_Engine_R100'!$B$277</f>
        <v/>
      </c>
      <c r="K12" s="306" t="n"/>
      <c r="L12" s="306" t="n"/>
    </row>
    <row r="13" ht="15" customHeight="1" s="307">
      <c r="A13" s="346" t="inlineStr">
        <is>
          <t>LP MOIC / DPI</t>
        </is>
      </c>
      <c r="B13" s="352">
        <f>'_Engine_NR'!$B$254</f>
        <v/>
      </c>
      <c r="C13" s="352">
        <f>'_Engine_R50'!$B$254</f>
        <v/>
      </c>
      <c r="D13" s="353">
        <f>'_Engine_R100'!$B$254</f>
        <v/>
      </c>
      <c r="E13" s="352">
        <f>'_Engine_NR'!$B$254</f>
        <v/>
      </c>
      <c r="F13" s="352">
        <f>'_Engine_R50'!$B$254</f>
        <v/>
      </c>
      <c r="G13" s="353">
        <f>'_Engine_R100'!$B$254</f>
        <v/>
      </c>
      <c r="H13" s="352">
        <f>'_Engine_NR'!$B$254</f>
        <v/>
      </c>
      <c r="I13" s="352">
        <f>'_Engine_R50'!$B$254</f>
        <v/>
      </c>
      <c r="J13" s="353">
        <f>'_Engine_R100'!$B$254</f>
        <v/>
      </c>
      <c r="K13" s="306" t="n"/>
      <c r="L13" s="306" t="n"/>
    </row>
    <row r="14" ht="15" customHeight="1" s="307">
      <c r="A14" s="343" t="inlineStr">
        <is>
          <t>Cash Distributed</t>
        </is>
      </c>
      <c r="B14" s="710">
        <f>B13*B8</f>
        <v/>
      </c>
      <c r="C14" s="710">
        <f>C13*C8</f>
        <v/>
      </c>
      <c r="D14" s="711">
        <f>D13*D8</f>
        <v/>
      </c>
      <c r="E14" s="710">
        <f>E13*E8</f>
        <v/>
      </c>
      <c r="F14" s="710">
        <f>F13*F8</f>
        <v/>
      </c>
      <c r="G14" s="711">
        <f>G13*G8</f>
        <v/>
      </c>
      <c r="H14" s="710">
        <f>H13*H8</f>
        <v/>
      </c>
      <c r="I14" s="710">
        <f>I13*I8</f>
        <v/>
      </c>
      <c r="J14" s="711">
        <f>J13*J8</f>
        <v/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>
        <f>'_Engine_NR'!$B$276</f>
        <v/>
      </c>
      <c r="C17" s="350">
        <f>'_Engine_R50'!$B$276</f>
        <v/>
      </c>
      <c r="D17" s="351">
        <f>'_Engine_R100'!$B$276</f>
        <v/>
      </c>
      <c r="E17" s="350">
        <f>'_Engine_NR'!$B$276</f>
        <v/>
      </c>
      <c r="F17" s="350">
        <f>'_Engine_R50'!$B$276</f>
        <v/>
      </c>
      <c r="G17" s="351">
        <f>'_Engine_R100'!$B$276</f>
        <v/>
      </c>
      <c r="H17" s="350">
        <f>'_Engine_NR'!$B$276</f>
        <v/>
      </c>
      <c r="I17" s="350">
        <f>'_Engine_R50'!$B$276</f>
        <v/>
      </c>
      <c r="J17" s="351">
        <f>'_Engine_R100'!$B$276</f>
        <v/>
      </c>
      <c r="K17" s="306" t="n"/>
      <c r="L17" s="306" t="n"/>
    </row>
    <row r="18" ht="15" customHeight="1" s="307">
      <c r="A18" s="346" t="inlineStr">
        <is>
          <t>LP MOIC / DPI</t>
        </is>
      </c>
      <c r="B18" s="352">
        <f>'_Engine_NR'!$B$252</f>
        <v/>
      </c>
      <c r="C18" s="352">
        <f>'_Engine_R50'!$B$252</f>
        <v/>
      </c>
      <c r="D18" s="353">
        <f>'_Engine_R100'!$B$252</f>
        <v/>
      </c>
      <c r="E18" s="352">
        <f>'_Engine_NR'!$B$252</f>
        <v/>
      </c>
      <c r="F18" s="352">
        <f>'_Engine_R50'!$B$252</f>
        <v/>
      </c>
      <c r="G18" s="353">
        <f>'_Engine_R100'!$B$252</f>
        <v/>
      </c>
      <c r="H18" s="352">
        <f>'_Engine_NR'!$B$252</f>
        <v/>
      </c>
      <c r="I18" s="352">
        <f>'_Engine_R50'!$B$252</f>
        <v/>
      </c>
      <c r="J18" s="353">
        <f>'_Engine_R100'!$B$252</f>
        <v/>
      </c>
      <c r="K18" s="306" t="n"/>
      <c r="L18" s="306" t="n"/>
    </row>
    <row r="19" ht="15" customHeight="1" s="307">
      <c r="A19" s="346" t="inlineStr">
        <is>
          <t>Total Cash</t>
        </is>
      </c>
      <c r="B19" s="712">
        <f>B18*B8</f>
        <v/>
      </c>
      <c r="C19" s="712">
        <f>C18*C8</f>
        <v/>
      </c>
      <c r="D19" s="713">
        <f>D18*D8</f>
        <v/>
      </c>
      <c r="E19" s="712">
        <f>E18*E8</f>
        <v/>
      </c>
      <c r="F19" s="712">
        <f>F18*F8</f>
        <v/>
      </c>
      <c r="G19" s="713">
        <f>G18*G8</f>
        <v/>
      </c>
      <c r="H19" s="712">
        <f>H18*H8</f>
        <v/>
      </c>
      <c r="I19" s="712">
        <f>I18*I8</f>
        <v/>
      </c>
      <c r="J19" s="713">
        <f>J18*J8</f>
        <v/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714" t="inlineStr">
        <is>
          <t>NOTE: returns above are identical across commitment sizes (the model has no LP class differentiation).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715" t="inlineStr">
        <is>
          <t>See Tab 11 for NDR x Margin joint sensitivity.  See Tab 20 for quarterly cash schedule.</t>
        </is>
      </c>
      <c r="B22" s="716" t="n"/>
      <c r="C22" s="716" t="n"/>
      <c r="D22" s="717" t="n"/>
      <c r="E22" s="716" t="n"/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684" t="n"/>
      <c r="B23" s="684" t="n"/>
      <c r="C23" s="687" t="n"/>
      <c r="D23" s="690" t="n"/>
      <c r="E23" s="689" t="n"/>
      <c r="F23" s="368" t="n"/>
      <c r="K23" s="306" t="n"/>
      <c r="L23" s="306" t="n"/>
    </row>
    <row r="24" ht="15" customHeight="1" s="307">
      <c r="A24" s="718" t="n"/>
      <c r="B24" s="718" t="n"/>
      <c r="C24" s="719" t="n"/>
      <c r="D24" s="720" t="n"/>
      <c r="E24" s="721" t="n"/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684" t="n"/>
      <c r="B25" s="684" t="n"/>
      <c r="C25" s="687" t="n"/>
      <c r="D25" s="690" t="n"/>
      <c r="E25" s="689" t="n"/>
      <c r="F25" s="368" t="n"/>
      <c r="H25" s="354" t="n"/>
      <c r="I25" s="354" t="n"/>
      <c r="K25" s="306" t="n"/>
      <c r="L25" s="306" t="n"/>
    </row>
    <row r="26" ht="15" customHeight="1" s="307">
      <c r="A26" s="684" t="n"/>
      <c r="B26" s="684" t="n"/>
      <c r="C26" s="687" t="n"/>
      <c r="D26" s="690" t="n"/>
      <c r="E26" s="689" t="n"/>
      <c r="F26" s="368" t="n"/>
      <c r="H26" s="354" t="n"/>
      <c r="I26" s="354" t="n"/>
      <c r="K26" s="306" t="n"/>
      <c r="L26" s="306" t="n"/>
    </row>
    <row r="27" ht="15" customHeight="1" s="307">
      <c r="A27" s="722" t="n"/>
      <c r="B27" s="722" t="n"/>
      <c r="C27" s="723" t="n"/>
      <c r="D27" s="724" t="n"/>
      <c r="E27" s="725" t="n"/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722" t="n"/>
      <c r="B28" s="722" t="n"/>
      <c r="C28" s="723" t="n"/>
      <c r="D28" s="724" t="n"/>
      <c r="E28" s="725" t="n"/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726" t="n"/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613" t="n"/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613" t="n"/>
      <c r="B32" s="619" t="n"/>
      <c r="C32" s="619" t="n"/>
      <c r="D32" s="345" t="n">
        <v>0</v>
      </c>
      <c r="E32" s="619" t="n"/>
      <c r="F32" s="619" t="n"/>
      <c r="G32" s="345" t="n">
        <v>0</v>
      </c>
      <c r="H32" s="619" t="n"/>
      <c r="I32" s="619" t="n"/>
      <c r="J32" s="345" t="n">
        <v>0</v>
      </c>
      <c r="K32" s="306" t="n"/>
      <c r="L32" s="306" t="n"/>
    </row>
    <row r="33" ht="15" customHeight="1" s="307">
      <c r="A33" s="613" t="n"/>
      <c r="B33" s="619" t="n"/>
      <c r="C33" s="619" t="n"/>
      <c r="D33" s="345" t="n">
        <v>0</v>
      </c>
      <c r="E33" s="619" t="n"/>
      <c r="F33" s="619" t="n"/>
      <c r="G33" s="345" t="n">
        <v>0</v>
      </c>
      <c r="H33" s="619" t="n"/>
      <c r="I33" s="619" t="n"/>
      <c r="J33" s="345" t="n">
        <v>0</v>
      </c>
      <c r="K33" s="306" t="n"/>
      <c r="L33" s="306" t="n"/>
    </row>
    <row r="34" ht="15" customHeight="1" s="307">
      <c r="A34" s="613" t="n"/>
      <c r="B34" s="619" t="n"/>
      <c r="C34" s="619" t="n"/>
      <c r="D34" s="727" t="n"/>
      <c r="E34" s="619" t="n"/>
      <c r="F34" s="619" t="n"/>
      <c r="G34" s="727" t="n"/>
      <c r="H34" s="619" t="n"/>
      <c r="I34" s="619" t="n"/>
      <c r="J34" s="727" t="n"/>
      <c r="K34" s="306" t="n"/>
      <c r="L34" s="306" t="n"/>
    </row>
    <row r="35" ht="15" customHeight="1" s="307">
      <c r="A35" s="613" t="n"/>
      <c r="B35" s="619" t="n"/>
      <c r="C35" s="619" t="n"/>
      <c r="D35" s="727" t="n"/>
      <c r="E35" s="619" t="n"/>
      <c r="F35" s="619" t="n"/>
      <c r="G35" s="727" t="n"/>
      <c r="H35" s="619" t="n"/>
      <c r="I35" s="619" t="n"/>
      <c r="J35" s="727" t="n"/>
      <c r="K35" s="306" t="n"/>
      <c r="L35" s="306" t="n"/>
    </row>
    <row r="36" ht="15" customHeight="1" s="307">
      <c r="A36" s="613" t="n"/>
      <c r="B36" s="619" t="n"/>
      <c r="C36" s="619" t="n"/>
      <c r="D36" s="727" t="n"/>
      <c r="E36" s="619" t="n"/>
      <c r="F36" s="619" t="n"/>
      <c r="G36" s="727" t="n"/>
      <c r="H36" s="619" t="n"/>
      <c r="I36" s="619" t="n"/>
      <c r="J36" s="727" t="n"/>
      <c r="K36" s="306" t="n"/>
      <c r="L36" s="306" t="n"/>
    </row>
    <row r="37" ht="15" customHeight="1" s="307">
      <c r="A37" s="613" t="n"/>
      <c r="B37" s="619" t="n"/>
      <c r="C37" s="619" t="n"/>
      <c r="D37" s="727" t="n"/>
      <c r="E37" s="619" t="n"/>
      <c r="F37" s="619" t="n"/>
      <c r="G37" s="727" t="n"/>
      <c r="H37" s="619" t="n"/>
      <c r="I37" s="619" t="n"/>
      <c r="J37" s="727" t="n"/>
      <c r="K37" s="306" t="n"/>
      <c r="L37" s="306" t="n"/>
    </row>
    <row r="38" ht="15" customHeight="1" s="307">
      <c r="A38" s="613" t="n"/>
      <c r="B38" s="619" t="n"/>
      <c r="C38" s="619" t="n"/>
      <c r="D38" s="727" t="n"/>
      <c r="E38" s="619" t="n"/>
      <c r="F38" s="619" t="n"/>
      <c r="G38" s="727" t="n"/>
      <c r="H38" s="619" t="n"/>
      <c r="I38" s="619" t="n"/>
      <c r="J38" s="727" t="n"/>
      <c r="K38" s="306" t="n"/>
      <c r="L38" s="306" t="n"/>
    </row>
    <row r="39" ht="15" customHeight="1" s="307">
      <c r="A39" s="613" t="n"/>
      <c r="B39" s="619" t="n"/>
      <c r="C39" s="619" t="n"/>
      <c r="D39" s="727" t="n"/>
      <c r="E39" s="619" t="n"/>
      <c r="F39" s="619" t="n"/>
      <c r="G39" s="727" t="n"/>
      <c r="H39" s="619" t="n"/>
      <c r="I39" s="619" t="n"/>
      <c r="J39" s="727" t="n"/>
      <c r="K39" s="306" t="n"/>
      <c r="L39" s="306" t="n"/>
    </row>
    <row r="40" ht="15" customHeight="1" s="307">
      <c r="A40" s="613" t="n"/>
      <c r="B40" s="619" t="n"/>
      <c r="C40" s="619" t="n"/>
      <c r="D40" s="727" t="n"/>
      <c r="E40" s="619" t="n"/>
      <c r="F40" s="619" t="n"/>
      <c r="G40" s="727" t="n"/>
      <c r="H40" s="619" t="n"/>
      <c r="I40" s="619" t="n"/>
      <c r="J40" s="727" t="n"/>
      <c r="K40" s="306" t="n"/>
      <c r="L40" s="306" t="n"/>
    </row>
    <row r="41" ht="15" customHeight="1" s="307">
      <c r="A41" s="613" t="n"/>
      <c r="B41" s="619" t="n"/>
      <c r="C41" s="619" t="n"/>
      <c r="D41" s="727" t="n"/>
      <c r="E41" s="619" t="n"/>
      <c r="F41" s="619" t="n"/>
      <c r="G41" s="727" t="n"/>
      <c r="H41" s="619" t="n"/>
      <c r="I41" s="619" t="n"/>
      <c r="J41" s="727" t="n"/>
      <c r="K41" s="306" t="n"/>
      <c r="L41" s="306" t="n"/>
    </row>
    <row r="42" ht="15" customHeight="1" s="307">
      <c r="A42" s="613" t="n"/>
      <c r="B42" s="619" t="n"/>
      <c r="C42" s="619" t="n"/>
      <c r="D42" s="727" t="n"/>
      <c r="E42" s="619" t="n"/>
      <c r="F42" s="619" t="n"/>
      <c r="G42" s="727" t="n"/>
      <c r="H42" s="619" t="n"/>
      <c r="I42" s="619" t="n"/>
      <c r="J42" s="727" t="n"/>
      <c r="K42" s="306" t="n"/>
      <c r="L42" s="306" t="n"/>
    </row>
    <row r="43" ht="15" customHeight="1" s="307">
      <c r="A43" s="613" t="n"/>
      <c r="B43" s="619" t="n"/>
      <c r="C43" s="619" t="n"/>
      <c r="D43" s="727" t="n"/>
      <c r="E43" s="619" t="n"/>
      <c r="F43" s="619" t="n"/>
      <c r="G43" s="727" t="n"/>
      <c r="H43" s="619" t="n"/>
      <c r="I43" s="619" t="n"/>
      <c r="J43" s="727" t="n"/>
      <c r="K43" s="306" t="n"/>
      <c r="L43" s="306" t="n"/>
    </row>
    <row r="44" ht="15" customHeight="1" s="307">
      <c r="A44" s="613" t="n"/>
      <c r="B44" s="619" t="n"/>
      <c r="C44" s="619" t="n"/>
      <c r="D44" s="727" t="n"/>
      <c r="E44" s="619" t="n"/>
      <c r="F44" s="619" t="n"/>
      <c r="G44" s="727" t="n"/>
      <c r="H44" s="619" t="n"/>
      <c r="I44" s="619" t="n"/>
      <c r="J44" s="727" t="n"/>
      <c r="K44" s="306" t="n"/>
      <c r="L44" s="306" t="n"/>
    </row>
    <row r="45" ht="15" customHeight="1" s="307">
      <c r="A45" s="613" t="n"/>
      <c r="B45" s="344" t="n">
        <v>0</v>
      </c>
      <c r="C45" s="619" t="n"/>
      <c r="D45" s="727" t="n"/>
      <c r="E45" s="344" t="n">
        <v>0</v>
      </c>
      <c r="F45" s="619" t="n"/>
      <c r="G45" s="727" t="n"/>
      <c r="H45" s="344" t="n">
        <v>0</v>
      </c>
      <c r="I45" s="619" t="n"/>
      <c r="J45" s="727" t="n"/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613" t="n"/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 (placeholder)</t>
        </is>
      </c>
      <c r="E53" s="679" t="inlineStr">
        <is>
          <t>No</t>
        </is>
      </c>
      <c r="F53" s="680" t="inlineStr">
        <is>
          <t>Not actually offered.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 (placeholder)</t>
        </is>
      </c>
      <c r="E54" s="679" t="inlineStr">
        <is>
          <t>Yes (placeholder)</t>
        </is>
      </c>
      <c r="F54" s="680" t="inlineStr">
        <is>
          <t>Standard market term.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 (placeholder)</t>
        </is>
      </c>
      <c r="D55" s="636" t="inlineStr">
        <is>
          <t>Yes (placeholder)</t>
        </is>
      </c>
      <c r="E55" s="679" t="inlineStr">
        <is>
          <t>Yes (placeholder)</t>
        </is>
      </c>
      <c r="F55" s="680" t="inlineStr">
        <is>
          <t>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>
        <f>" Scenario-driven. NDR = "&amp;TEXT(IF('1. Press Assumptions'!$B$136="Bear",0.8,IF('1. Press Assumptions'!$B$136="Bull",0.9,0.85)),"0%")&amp;" (Tab 1 B136). 1.24x entry. 50/50 sev split."</f>
        <v/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>
        <f>'1. Press Assumptions'!$D$89</f>
        <v/>
      </c>
      <c r="C5" s="396">
        <f>'1. Press Assumptions'!$E$89</f>
        <v/>
      </c>
      <c r="D5" s="397">
        <f>B5*C5</f>
        <v/>
      </c>
      <c r="E5" s="398">
        <f>B5*0.1154*0.5</f>
        <v/>
      </c>
      <c r="F5" s="399">
        <f>D5-E5</f>
        <v/>
      </c>
      <c r="G5" s="400">
        <f>IF('1. Press Assumptions'!$B$136="Bear",0.8,IF('1. Press Assumptions'!$B$136="Bull",0.9,0.85))</f>
        <v/>
      </c>
      <c r="H5" s="401" t="n">
        <v>0</v>
      </c>
      <c r="I5" s="400">
        <f>"M"&amp;'1. Press Assumptions'!$K$89</f>
        <v/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>
        <f>'1. Press Assumptions'!$D$90</f>
        <v/>
      </c>
      <c r="C6" s="396">
        <f>'1. Press Assumptions'!$E$90</f>
        <v/>
      </c>
      <c r="D6" s="397">
        <f>B6*C6</f>
        <v/>
      </c>
      <c r="E6" s="398">
        <f>B6*0.1154*0.5</f>
        <v/>
      </c>
      <c r="F6" s="399">
        <f>D6-E6</f>
        <v/>
      </c>
      <c r="G6" s="400">
        <f>IF('1. Press Assumptions'!$B$136="Bear",0.8,IF('1. Press Assumptions'!$B$136="Bull",0.9,0.85))</f>
        <v/>
      </c>
      <c r="H6" s="401" t="n">
        <v>0</v>
      </c>
      <c r="I6" s="400">
        <f>"M"&amp;'1. Press Assumptions'!$K$90</f>
        <v/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>
        <f>'1. Press Assumptions'!$D$91</f>
        <v/>
      </c>
      <c r="C7" s="396">
        <f>'1. Press Assumptions'!$E$91</f>
        <v/>
      </c>
      <c r="D7" s="397">
        <f>B7*C7</f>
        <v/>
      </c>
      <c r="E7" s="398">
        <f>B7*0.1154*0.5</f>
        <v/>
      </c>
      <c r="F7" s="399">
        <f>D7-E7</f>
        <v/>
      </c>
      <c r="G7" s="400">
        <f>IF('1. Press Assumptions'!$B$136="Bear",0.8,IF('1. Press Assumptions'!$B$136="Bull",0.9,0.85))</f>
        <v/>
      </c>
      <c r="H7" s="401" t="n">
        <v>0</v>
      </c>
      <c r="I7" s="400">
        <f>"M"&amp;'1. Press Assumptions'!$K$91</f>
        <v/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>
        <f>'1. Press Assumptions'!$D$92</f>
        <v/>
      </c>
      <c r="C8" s="396">
        <f>'1. Press Assumptions'!$E$92</f>
        <v/>
      </c>
      <c r="D8" s="397">
        <f>B8*C8</f>
        <v/>
      </c>
      <c r="E8" s="398">
        <f>B8*0.1154*0.5</f>
        <v/>
      </c>
      <c r="F8" s="399">
        <f>D8-E8</f>
        <v/>
      </c>
      <c r="G8" s="400">
        <f>IF('1. Press Assumptions'!$B$136="Bear",0.8,IF('1. Press Assumptions'!$B$136="Bull",0.9,0.85))</f>
        <v/>
      </c>
      <c r="H8" s="401" t="n">
        <v>0</v>
      </c>
      <c r="I8" s="400">
        <f>"M"&amp;'1. Press Assumptions'!$K$92</f>
        <v/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>
        <f>'1. Press Assumptions'!$D$93</f>
        <v/>
      </c>
      <c r="C9" s="396">
        <f>'1. Press Assumptions'!$E$93</f>
        <v/>
      </c>
      <c r="D9" s="397">
        <f>B9*C9</f>
        <v/>
      </c>
      <c r="E9" s="398">
        <f>B9*0.1154*0.5</f>
        <v/>
      </c>
      <c r="F9" s="399">
        <f>D9-E9</f>
        <v/>
      </c>
      <c r="G9" s="400">
        <f>IF('1. Press Assumptions'!$B$136="Bear",0.8,IF('1. Press Assumptions'!$B$136="Bull",0.9,0.85))</f>
        <v/>
      </c>
      <c r="H9" s="401" t="n">
        <v>0</v>
      </c>
      <c r="I9" s="400">
        <f>"M"&amp;'1. Press Assumptions'!$K$93</f>
        <v/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>
        <f>'1. Press Assumptions'!$D$96</f>
        <v/>
      </c>
      <c r="C15" s="396">
        <f>'1. Press Assumptions'!$E$96</f>
        <v/>
      </c>
      <c r="D15" s="433">
        <f>B15*C15</f>
        <v/>
      </c>
      <c r="E15" s="398">
        <f>B15*0.1154*0.5</f>
        <v/>
      </c>
      <c r="F15" s="434">
        <f>D15-E15</f>
        <v/>
      </c>
      <c r="G15" s="400">
        <f>IF('1. Press Assumptions'!$B$136="Bear",0.8,IF('1. Press Assumptions'!$B$136="Bull",0.9,0.85))</f>
        <v/>
      </c>
      <c r="H15" s="401" t="n">
        <v>0</v>
      </c>
      <c r="I15" s="400">
        <f>"M"&amp;'1. Press Assumptions'!$K$96</f>
        <v/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>
        <f>'1. Press Assumptions'!$D$97</f>
        <v/>
      </c>
      <c r="C16" s="396">
        <f>'1. Press Assumptions'!$E$97</f>
        <v/>
      </c>
      <c r="D16" s="433">
        <f>B16*C16</f>
        <v/>
      </c>
      <c r="E16" s="398">
        <f>B16*0.1154*0.5</f>
        <v/>
      </c>
      <c r="F16" s="434">
        <f>D16-E16</f>
        <v/>
      </c>
      <c r="G16" s="400">
        <f>IF('1. Press Assumptions'!$B$136="Bear",0.8,IF('1. Press Assumptions'!$B$136="Bull",0.9,0.85))</f>
        <v/>
      </c>
      <c r="H16" s="401" t="n">
        <v>0</v>
      </c>
      <c r="I16" s="400">
        <f>"M"&amp;'1. Press Assumptions'!$K$97</f>
        <v/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>
        <f>'1. Press Assumptions'!$D$98</f>
        <v/>
      </c>
      <c r="C17" s="396">
        <f>'1. Press Assumptions'!$E$98</f>
        <v/>
      </c>
      <c r="D17" s="433">
        <f>B17*C17</f>
        <v/>
      </c>
      <c r="E17" s="398">
        <f>B17*0.1154*0.5</f>
        <v/>
      </c>
      <c r="F17" s="434">
        <f>D17-E17</f>
        <v/>
      </c>
      <c r="G17" s="400">
        <f>IF('1. Press Assumptions'!$B$136="Bear",0.8,IF('1. Press Assumptions'!$B$136="Bull",0.9,0.85))</f>
        <v/>
      </c>
      <c r="H17" s="401" t="n">
        <v>0</v>
      </c>
      <c r="I17" s="400">
        <f>"M"&amp;'1. Press Assumptions'!$K$98</f>
        <v/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>
        <f>'1. Press Assumptions'!$D$99</f>
        <v/>
      </c>
      <c r="C18" s="396">
        <f>'1. Press Assumptions'!$E$99</f>
        <v/>
      </c>
      <c r="D18" s="433">
        <f>B18*C18</f>
        <v/>
      </c>
      <c r="E18" s="398">
        <f>B18*0.1154*0.5</f>
        <v/>
      </c>
      <c r="F18" s="434">
        <f>D18-E18</f>
        <v/>
      </c>
      <c r="G18" s="400">
        <f>IF('1. Press Assumptions'!$B$136="Bear",0.8,IF('1. Press Assumptions'!$B$136="Bull",0.9,0.85))</f>
        <v/>
      </c>
      <c r="H18" s="401" t="n">
        <v>0</v>
      </c>
      <c r="I18" s="400">
        <f>"M"&amp;'1. Press Assumptions'!$K$99</f>
        <v/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/>
      <c r="B40" s="443" t="n"/>
      <c r="C40" s="444" t="n"/>
      <c r="D40" s="444" t="n"/>
      <c r="E40" s="444" t="n"/>
      <c r="F40" s="444" t="n"/>
      <c r="G40" s="444" t="n"/>
      <c r="H40" s="444" t="n"/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(M36/48/60/72, period 72)</t>
        </is>
      </c>
      <c r="D3" s="502" t="inlineStr">
        <is>
          <t>100% Recycle
(M24/28/32/36, period 36)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  <row r="33">
      <c r="A33" s="642" t="inlineStr">
        <is>
          <t>CONCENTRATION  --  50% RECYCLE (9 deals)</t>
        </is>
      </c>
      <c r="B33" s="618" t="n"/>
      <c r="C33" s="618" t="n"/>
      <c r="D33" s="618" t="n"/>
      <c r="E33" s="618" t="n"/>
      <c r="F33" s="618" t="n"/>
      <c r="G33" s="618" t="n"/>
      <c r="H33" s="618" t="n"/>
    </row>
    <row r="34">
      <c r="A34" s="643" t="inlineStr">
        <is>
          <t>Deal</t>
        </is>
      </c>
      <c r="B34" s="643" t="inlineStr">
        <is>
          <t>ARR</t>
        </is>
      </c>
      <c r="C34" s="643" t="inlineStr">
        <is>
          <t>NDR</t>
        </is>
      </c>
      <c r="D34" s="643" t="inlineStr">
        <is>
          <t>15Y Revenue</t>
        </is>
      </c>
      <c r="E34" s="643" t="inlineStr">
        <is>
          <t>% of Rev</t>
        </is>
      </c>
      <c r="F34" s="643" t="inlineStr">
        <is>
          <t>Exit</t>
        </is>
      </c>
      <c r="G34" s="643" t="inlineStr">
        <is>
          <t>LP cash $</t>
        </is>
      </c>
      <c r="H34" s="643" t="inlineStr">
        <is>
          <t>% of LP cash</t>
        </is>
      </c>
    </row>
    <row r="35">
      <c r="A35" s="628" t="inlineStr">
        <is>
          <t>#1</t>
        </is>
      </c>
      <c r="B35" s="614">
        <f>'_Engine_R50'!$E$6</f>
        <v/>
      </c>
      <c r="C35" s="614">
        <f>'_Engine_R50'!$G$6</f>
        <v/>
      </c>
      <c r="D35" s="614">
        <f>SUM('_Engine_R50'!F31:F210)/12</f>
        <v/>
      </c>
      <c r="E35" s="703">
        <f>D35/SUM(D$35:D$43)</f>
        <v/>
      </c>
      <c r="F35" s="614">
        <f>'_Engine_R50'!F150*'1. Press Assumptions'!$B$116*'1. Press Assumptions'!$B$117</f>
        <v/>
      </c>
      <c r="G35" s="614">
        <f>(D35+F35)/(SUM(D$35:D$43)+SUM(F$35:F$43)) * '_Engine_R50'!$B$250</f>
        <v/>
      </c>
      <c r="H35" s="703">
        <f>G35/SUM(G$35:G$43)</f>
        <v/>
      </c>
    </row>
    <row r="36">
      <c r="A36" s="628" t="inlineStr">
        <is>
          <t>#2</t>
        </is>
      </c>
      <c r="B36" s="614">
        <f>'_Engine_R50'!$E$7</f>
        <v/>
      </c>
      <c r="C36" s="614">
        <f>'_Engine_R50'!$G$7</f>
        <v/>
      </c>
      <c r="D36" s="614">
        <f>SUM('_Engine_R50'!G31:G210)/12</f>
        <v/>
      </c>
      <c r="E36" s="703">
        <f>D36/SUM(D$35:D$43)</f>
        <v/>
      </c>
      <c r="F36" s="614">
        <f>'_Engine_R50'!G150*'1. Press Assumptions'!$B$116*'1. Press Assumptions'!$B$117</f>
        <v/>
      </c>
      <c r="G36" s="614">
        <f>(D36+F36)/(SUM(D$35:D$43)+SUM(F$35:F$43)) * '_Engine_R50'!$B$250</f>
        <v/>
      </c>
      <c r="H36" s="703">
        <f>G36/SUM(G$35:G$43)</f>
        <v/>
      </c>
    </row>
    <row r="37">
      <c r="A37" s="628" t="inlineStr">
        <is>
          <t>#3</t>
        </is>
      </c>
      <c r="B37" s="614">
        <f>'_Engine_R50'!$E$8</f>
        <v/>
      </c>
      <c r="C37" s="614">
        <f>'_Engine_R50'!$G$8</f>
        <v/>
      </c>
      <c r="D37" s="614">
        <f>SUM('_Engine_R50'!H31:H210)/12</f>
        <v/>
      </c>
      <c r="E37" s="703">
        <f>D37/SUM(D$35:D$43)</f>
        <v/>
      </c>
      <c r="F37" s="614">
        <f>'_Engine_R50'!H150*'1. Press Assumptions'!$B$116*'1. Press Assumptions'!$B$117</f>
        <v/>
      </c>
      <c r="G37" s="614">
        <f>(D37+F37)/(SUM(D$35:D$43)+SUM(F$35:F$43)) * '_Engine_R50'!$B$250</f>
        <v/>
      </c>
      <c r="H37" s="703">
        <f>G37/SUM(G$35:G$43)</f>
        <v/>
      </c>
    </row>
    <row r="38">
      <c r="A38" s="628" t="inlineStr">
        <is>
          <t>#4</t>
        </is>
      </c>
      <c r="B38" s="614">
        <f>'_Engine_R50'!$E$9</f>
        <v/>
      </c>
      <c r="C38" s="614">
        <f>'_Engine_R50'!$G$9</f>
        <v/>
      </c>
      <c r="D38" s="614">
        <f>SUM('_Engine_R50'!I31:I210)/12</f>
        <v/>
      </c>
      <c r="E38" s="703">
        <f>D38/SUM(D$35:D$43)</f>
        <v/>
      </c>
      <c r="F38" s="614">
        <f>'_Engine_R50'!I150*'1. Press Assumptions'!$B$116*'1. Press Assumptions'!$B$117</f>
        <v/>
      </c>
      <c r="G38" s="614">
        <f>(D38+F38)/(SUM(D$35:D$43)+SUM(F$35:F$43)) * '_Engine_R50'!$B$250</f>
        <v/>
      </c>
      <c r="H38" s="703">
        <f>G38/SUM(G$35:G$43)</f>
        <v/>
      </c>
    </row>
    <row r="39">
      <c r="A39" s="628" t="inlineStr">
        <is>
          <t>#5</t>
        </is>
      </c>
      <c r="B39" s="614">
        <f>'_Engine_R50'!$E$10</f>
        <v/>
      </c>
      <c r="C39" s="614">
        <f>'_Engine_R50'!$G$10</f>
        <v/>
      </c>
      <c r="D39" s="614">
        <f>SUM('_Engine_R50'!J31:J210)/12</f>
        <v/>
      </c>
      <c r="E39" s="703">
        <f>D39/SUM(D$35:D$43)</f>
        <v/>
      </c>
      <c r="F39" s="614">
        <f>'_Engine_R50'!J150*'1. Press Assumptions'!$B$116*'1. Press Assumptions'!$B$117</f>
        <v/>
      </c>
      <c r="G39" s="614">
        <f>(D39+F39)/(SUM(D$35:D$43)+SUM(F$35:F$43)) * '_Engine_R50'!$B$250</f>
        <v/>
      </c>
      <c r="H39" s="703">
        <f>G39/SUM(G$35:G$43)</f>
        <v/>
      </c>
    </row>
    <row r="40">
      <c r="A40" s="628" t="inlineStr">
        <is>
          <t>#6</t>
        </is>
      </c>
      <c r="B40" s="614">
        <f>'_Engine_R50'!$E$11</f>
        <v/>
      </c>
      <c r="C40" s="614">
        <f>'_Engine_R50'!$G$11</f>
        <v/>
      </c>
      <c r="D40" s="614">
        <f>SUM('_Engine_R50'!K31:K210)/12</f>
        <v/>
      </c>
      <c r="E40" s="703">
        <f>D40/SUM(D$35:D$43)</f>
        <v/>
      </c>
      <c r="F40" s="614">
        <f>'_Engine_R50'!K150*'1. Press Assumptions'!$B$116*'1. Press Assumptions'!$B$117</f>
        <v/>
      </c>
      <c r="G40" s="614">
        <f>(D40+F40)/(SUM(D$35:D$43)+SUM(F$35:F$43)) * '_Engine_R50'!$B$250</f>
        <v/>
      </c>
      <c r="H40" s="703">
        <f>G40/SUM(G$35:G$43)</f>
        <v/>
      </c>
    </row>
    <row r="41">
      <c r="A41" s="628" t="inlineStr">
        <is>
          <t>#7</t>
        </is>
      </c>
      <c r="B41" s="614">
        <f>'_Engine_R50'!$E$12</f>
        <v/>
      </c>
      <c r="C41" s="614">
        <f>'_Engine_R50'!$G$12</f>
        <v/>
      </c>
      <c r="D41" s="614">
        <f>SUM('_Engine_R50'!L31:L210)/12</f>
        <v/>
      </c>
      <c r="E41" s="703">
        <f>D41/SUM(D$35:D$43)</f>
        <v/>
      </c>
      <c r="F41" s="614">
        <f>'_Engine_R50'!L150*'1. Press Assumptions'!$B$116*'1. Press Assumptions'!$B$117</f>
        <v/>
      </c>
      <c r="G41" s="614">
        <f>(D41+F41)/(SUM(D$35:D$43)+SUM(F$35:F$43)) * '_Engine_R50'!$B$250</f>
        <v/>
      </c>
      <c r="H41" s="703">
        <f>G41/SUM(G$35:G$43)</f>
        <v/>
      </c>
    </row>
    <row r="42">
      <c r="A42" s="628" t="inlineStr">
        <is>
          <t>#8</t>
        </is>
      </c>
      <c r="B42" s="614">
        <f>'_Engine_R50'!$E$13</f>
        <v/>
      </c>
      <c r="C42" s="614">
        <f>'_Engine_R50'!$G$13</f>
        <v/>
      </c>
      <c r="D42" s="614">
        <f>SUM('_Engine_R50'!M31:M210)/12</f>
        <v/>
      </c>
      <c r="E42" s="703">
        <f>D42/SUM(D$35:D$43)</f>
        <v/>
      </c>
      <c r="F42" s="614">
        <f>'_Engine_R50'!M150*'1. Press Assumptions'!$B$116*'1. Press Assumptions'!$B$117</f>
        <v/>
      </c>
      <c r="G42" s="614">
        <f>(D42+F42)/(SUM(D$35:D$43)+SUM(F$35:F$43)) * '_Engine_R50'!$B$250</f>
        <v/>
      </c>
      <c r="H42" s="703">
        <f>G42/SUM(G$35:G$43)</f>
        <v/>
      </c>
    </row>
    <row r="43">
      <c r="A43" s="628" t="inlineStr">
        <is>
          <t>#9</t>
        </is>
      </c>
      <c r="B43" s="614">
        <f>'_Engine_R50'!$E$14</f>
        <v/>
      </c>
      <c r="C43" s="614">
        <f>'_Engine_R50'!$G$14</f>
        <v/>
      </c>
      <c r="D43" s="614">
        <f>SUM('_Engine_R50'!N31:N210)/12</f>
        <v/>
      </c>
      <c r="E43" s="703">
        <f>D43/SUM(D$35:D$43)</f>
        <v/>
      </c>
      <c r="F43" s="614">
        <f>'_Engine_R50'!N150*'1. Press Assumptions'!$B$116*'1. Press Assumptions'!$B$117</f>
        <v/>
      </c>
      <c r="G43" s="614">
        <f>(D43+F43)/(SUM(D$35:D$43)+SUM(F$35:F$43)) * '_Engine_R50'!$B$250</f>
        <v/>
      </c>
      <c r="H43" s="703">
        <f>G43/SUM(G$35:G$43)</f>
        <v/>
      </c>
    </row>
    <row r="44">
      <c r="A44" s="628" t="inlineStr">
        <is>
          <t>TOTAL</t>
        </is>
      </c>
      <c r="B44" s="614" t="n"/>
      <c r="C44" s="614" t="n"/>
      <c r="D44" s="614">
        <f>SUM(D35:D43)</f>
        <v/>
      </c>
      <c r="E44" s="703">
        <f>SUM(E35:E43)</f>
        <v/>
      </c>
      <c r="F44" s="614">
        <f>SUM(F35:F43)</f>
        <v/>
      </c>
      <c r="G44" s="614">
        <f>SUM(G35:G43)</f>
        <v/>
      </c>
      <c r="H44" s="703">
        <f>SUM(H35:H43)</f>
        <v/>
      </c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</row>
    <row r="46">
      <c r="A46" s="627" t="inlineStr">
        <is>
          <t>Top 2 deals % of LP cash</t>
        </is>
      </c>
      <c r="B46" s="704">
        <f>(LARGE(G35:G43,1)+LARGE(G35:G43,2))/SUM(G35:G43)</f>
        <v/>
      </c>
      <c r="C46" s="614" t="n"/>
      <c r="D46" s="614" t="n"/>
      <c r="E46" s="614" t="n"/>
      <c r="F46" s="614" t="n"/>
      <c r="G46" s="614" t="n"/>
      <c r="H46" s="614" t="n"/>
    </row>
    <row r="47">
      <c r="A47" s="614" t="inlineStr">
        <is>
          <t>Top 4 deals % of LP cash</t>
        </is>
      </c>
      <c r="B47" s="703">
        <f>SUM(LARGE(G35:G43,{1,2,3,4}))/SUM(G35:G43)</f>
        <v/>
      </c>
      <c r="C47" s="614" t="n"/>
      <c r="D47" s="614" t="n"/>
      <c r="E47" s="614" t="n"/>
      <c r="F47" s="614" t="n"/>
      <c r="G47" s="614" t="n"/>
      <c r="H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</row>
    <row r="49">
      <c r="A49" s="642" t="inlineStr">
        <is>
          <t>CONCENTRATION  --  100% RECYCLE (9 deals)</t>
        </is>
      </c>
      <c r="B49" s="618" t="n"/>
      <c r="C49" s="618" t="n"/>
      <c r="D49" s="618" t="n"/>
      <c r="E49" s="618" t="n"/>
      <c r="F49" s="618" t="n"/>
      <c r="G49" s="618" t="n"/>
      <c r="H49" s="618" t="n"/>
    </row>
    <row r="50">
      <c r="A50" s="643" t="inlineStr">
        <is>
          <t>Deal</t>
        </is>
      </c>
      <c r="B50" s="643" t="inlineStr">
        <is>
          <t>ARR</t>
        </is>
      </c>
      <c r="C50" s="643" t="inlineStr">
        <is>
          <t>NDR</t>
        </is>
      </c>
      <c r="D50" s="643" t="inlineStr">
        <is>
          <t>15Y Revenue</t>
        </is>
      </c>
      <c r="E50" s="643" t="inlineStr">
        <is>
          <t>% of Rev</t>
        </is>
      </c>
      <c r="F50" s="643" t="inlineStr">
        <is>
          <t>Exit</t>
        </is>
      </c>
      <c r="G50" s="643" t="inlineStr">
        <is>
          <t>LP cash $</t>
        </is>
      </c>
      <c r="H50" s="643" t="inlineStr">
        <is>
          <t>% of LP cash</t>
        </is>
      </c>
    </row>
    <row r="51">
      <c r="A51" s="628" t="inlineStr">
        <is>
          <t>#1</t>
        </is>
      </c>
      <c r="B51" s="614">
        <f>'_Engine_R100'!$E$6</f>
        <v/>
      </c>
      <c r="C51" s="614">
        <f>'_Engine_R100'!$G$6</f>
        <v/>
      </c>
      <c r="D51" s="614">
        <f>SUM('_Engine_R100'!F31:F210)/12</f>
        <v/>
      </c>
      <c r="E51" s="703">
        <f>D51/SUM(D$51:D$59)</f>
        <v/>
      </c>
      <c r="F51" s="614">
        <f>'_Engine_R100'!F150*'1. Press Assumptions'!$B$116*'1. Press Assumptions'!$B$117</f>
        <v/>
      </c>
      <c r="G51" s="614">
        <f>(D51+F51)/(SUM(D$51:D$59)+SUM(F$51:F$59)) * '_Engine_R100'!$B$250</f>
        <v/>
      </c>
      <c r="H51" s="703">
        <f>G51/SUM(G$51:G$59)</f>
        <v/>
      </c>
    </row>
    <row r="52">
      <c r="A52" s="628" t="inlineStr">
        <is>
          <t>#2</t>
        </is>
      </c>
      <c r="B52" s="614">
        <f>'_Engine_R100'!$E$7</f>
        <v/>
      </c>
      <c r="C52" s="614">
        <f>'_Engine_R100'!$G$7</f>
        <v/>
      </c>
      <c r="D52" s="614">
        <f>SUM('_Engine_R100'!G31:G210)/12</f>
        <v/>
      </c>
      <c r="E52" s="703">
        <f>D52/SUM(D$51:D$59)</f>
        <v/>
      </c>
      <c r="F52" s="614">
        <f>'_Engine_R100'!G150*'1. Press Assumptions'!$B$116*'1. Press Assumptions'!$B$117</f>
        <v/>
      </c>
      <c r="G52" s="614">
        <f>(D52+F52)/(SUM(D$51:D$59)+SUM(F$51:F$59)) * '_Engine_R100'!$B$250</f>
        <v/>
      </c>
      <c r="H52" s="703">
        <f>G52/SUM(G$51:G$59)</f>
        <v/>
      </c>
    </row>
    <row r="53">
      <c r="A53" s="628" t="inlineStr">
        <is>
          <t>#3</t>
        </is>
      </c>
      <c r="B53" s="614">
        <f>'_Engine_R100'!$E$8</f>
        <v/>
      </c>
      <c r="C53" s="614">
        <f>'_Engine_R100'!$G$8</f>
        <v/>
      </c>
      <c r="D53" s="614">
        <f>SUM('_Engine_R100'!H31:H210)/12</f>
        <v/>
      </c>
      <c r="E53" s="703">
        <f>D53/SUM(D$51:D$59)</f>
        <v/>
      </c>
      <c r="F53" s="614">
        <f>'_Engine_R100'!H150*'1. Press Assumptions'!$B$116*'1. Press Assumptions'!$B$117</f>
        <v/>
      </c>
      <c r="G53" s="614">
        <f>(D53+F53)/(SUM(D$51:D$59)+SUM(F$51:F$59)) * '_Engine_R100'!$B$250</f>
        <v/>
      </c>
      <c r="H53" s="703">
        <f>G53/SUM(G$51:G$59)</f>
        <v/>
      </c>
    </row>
    <row r="54">
      <c r="A54" s="628" t="inlineStr">
        <is>
          <t>#4</t>
        </is>
      </c>
      <c r="B54" s="614">
        <f>'_Engine_R100'!$E$9</f>
        <v/>
      </c>
      <c r="C54" s="614">
        <f>'_Engine_R100'!$G$9</f>
        <v/>
      </c>
      <c r="D54" s="614">
        <f>SUM('_Engine_R100'!I31:I210)/12</f>
        <v/>
      </c>
      <c r="E54" s="703">
        <f>D54/SUM(D$51:D$59)</f>
        <v/>
      </c>
      <c r="F54" s="614">
        <f>'_Engine_R100'!I150*'1. Press Assumptions'!$B$116*'1. Press Assumptions'!$B$117</f>
        <v/>
      </c>
      <c r="G54" s="614">
        <f>(D54+F54)/(SUM(D$51:D$59)+SUM(F$51:F$59)) * '_Engine_R100'!$B$250</f>
        <v/>
      </c>
      <c r="H54" s="703">
        <f>G54/SUM(G$51:G$59)</f>
        <v/>
      </c>
    </row>
    <row r="55">
      <c r="A55" s="628" t="inlineStr">
        <is>
          <t>#5</t>
        </is>
      </c>
      <c r="B55" s="614">
        <f>'_Engine_R100'!$E$10</f>
        <v/>
      </c>
      <c r="C55" s="614">
        <f>'_Engine_R100'!$G$10</f>
        <v/>
      </c>
      <c r="D55" s="614">
        <f>SUM('_Engine_R100'!J31:J210)/12</f>
        <v/>
      </c>
      <c r="E55" s="703">
        <f>D55/SUM(D$51:D$59)</f>
        <v/>
      </c>
      <c r="F55" s="614">
        <f>'_Engine_R100'!J150*'1. Press Assumptions'!$B$116*'1. Press Assumptions'!$B$117</f>
        <v/>
      </c>
      <c r="G55" s="614">
        <f>(D55+F55)/(SUM(D$51:D$59)+SUM(F$51:F$59)) * '_Engine_R100'!$B$250</f>
        <v/>
      </c>
      <c r="H55" s="703">
        <f>G55/SUM(G$51:G$59)</f>
        <v/>
      </c>
    </row>
    <row r="56">
      <c r="A56" s="628" t="inlineStr">
        <is>
          <t>#6</t>
        </is>
      </c>
      <c r="B56" s="614">
        <f>'_Engine_R100'!$E$11</f>
        <v/>
      </c>
      <c r="C56" s="614">
        <f>'_Engine_R100'!$G$11</f>
        <v/>
      </c>
      <c r="D56" s="614">
        <f>SUM('_Engine_R100'!K31:K210)/12</f>
        <v/>
      </c>
      <c r="E56" s="703">
        <f>D56/SUM(D$51:D$59)</f>
        <v/>
      </c>
      <c r="F56" s="614">
        <f>'_Engine_R100'!K150*'1. Press Assumptions'!$B$116*'1. Press Assumptions'!$B$117</f>
        <v/>
      </c>
      <c r="G56" s="614">
        <f>(D56+F56)/(SUM(D$51:D$59)+SUM(F$51:F$59)) * '_Engine_R100'!$B$250</f>
        <v/>
      </c>
      <c r="H56" s="703">
        <f>G56/SUM(G$51:G$59)</f>
        <v/>
      </c>
    </row>
    <row r="57">
      <c r="A57" s="628" t="inlineStr">
        <is>
          <t>#7</t>
        </is>
      </c>
      <c r="B57" s="614">
        <f>'_Engine_R100'!$E$12</f>
        <v/>
      </c>
      <c r="C57" s="614">
        <f>'_Engine_R100'!$G$12</f>
        <v/>
      </c>
      <c r="D57" s="614">
        <f>SUM('_Engine_R100'!L31:L210)/12</f>
        <v/>
      </c>
      <c r="E57" s="703">
        <f>D57/SUM(D$51:D$59)</f>
        <v/>
      </c>
      <c r="F57" s="614">
        <f>'_Engine_R100'!L150*'1. Press Assumptions'!$B$116*'1. Press Assumptions'!$B$117</f>
        <v/>
      </c>
      <c r="G57" s="614">
        <f>(D57+F57)/(SUM(D$51:D$59)+SUM(F$51:F$59)) * '_Engine_R100'!$B$250</f>
        <v/>
      </c>
      <c r="H57" s="703">
        <f>G57/SUM(G$51:G$59)</f>
        <v/>
      </c>
    </row>
    <row r="58">
      <c r="A58" s="628" t="inlineStr">
        <is>
          <t>#8</t>
        </is>
      </c>
      <c r="B58" s="614">
        <f>'_Engine_R100'!$E$13</f>
        <v/>
      </c>
      <c r="C58" s="614">
        <f>'_Engine_R100'!$G$13</f>
        <v/>
      </c>
      <c r="D58" s="614">
        <f>SUM('_Engine_R100'!M31:M210)/12</f>
        <v/>
      </c>
      <c r="E58" s="703">
        <f>D58/SUM(D$51:D$59)</f>
        <v/>
      </c>
      <c r="F58" s="614">
        <f>'_Engine_R100'!M150*'1. Press Assumptions'!$B$116*'1. Press Assumptions'!$B$117</f>
        <v/>
      </c>
      <c r="G58" s="614">
        <f>(D58+F58)/(SUM(D$51:D$59)+SUM(F$51:F$59)) * '_Engine_R100'!$B$250</f>
        <v/>
      </c>
      <c r="H58" s="703">
        <f>G58/SUM(G$51:G$59)</f>
        <v/>
      </c>
    </row>
    <row r="59">
      <c r="A59" s="628" t="inlineStr">
        <is>
          <t>#9</t>
        </is>
      </c>
      <c r="B59" s="614">
        <f>'_Engine_R100'!$E$14</f>
        <v/>
      </c>
      <c r="C59" s="614">
        <f>'_Engine_R100'!$G$14</f>
        <v/>
      </c>
      <c r="D59" s="614">
        <f>SUM('_Engine_R100'!N31:N210)/12</f>
        <v/>
      </c>
      <c r="E59" s="703">
        <f>D59/SUM(D$51:D$59)</f>
        <v/>
      </c>
      <c r="F59" s="614">
        <f>'_Engine_R100'!N150*'1. Press Assumptions'!$B$116*'1. Press Assumptions'!$B$117</f>
        <v/>
      </c>
      <c r="G59" s="614">
        <f>(D59+F59)/(SUM(D$51:D$59)+SUM(F$51:F$59)) * '_Engine_R100'!$B$250</f>
        <v/>
      </c>
      <c r="H59" s="703">
        <f>G59/SUM(G$51:G$59)</f>
        <v/>
      </c>
    </row>
    <row r="60">
      <c r="A60" s="628" t="inlineStr">
        <is>
          <t>TOTAL</t>
        </is>
      </c>
      <c r="B60" s="614" t="n"/>
      <c r="C60" s="614" t="n"/>
      <c r="D60" s="614">
        <f>SUM(D51:D59)</f>
        <v/>
      </c>
      <c r="E60" s="703">
        <f>SUM(E51:E59)</f>
        <v/>
      </c>
      <c r="F60" s="614">
        <f>SUM(F51:F59)</f>
        <v/>
      </c>
      <c r="G60" s="614">
        <f>SUM(G51:G59)</f>
        <v/>
      </c>
      <c r="H60" s="703">
        <f>SUM(H51:H59)</f>
        <v/>
      </c>
    </row>
    <row r="61">
      <c r="A61" s="614" t="n"/>
      <c r="B61" s="614" t="n"/>
      <c r="C61" s="614" t="n"/>
      <c r="D61" s="614" t="n"/>
      <c r="E61" s="614" t="n"/>
      <c r="F61" s="614" t="n"/>
      <c r="G61" s="614" t="n"/>
      <c r="H61" s="614" t="n"/>
    </row>
    <row r="62">
      <c r="A62" s="627" t="inlineStr">
        <is>
          <t>Top 2 deals % of LP cash</t>
        </is>
      </c>
      <c r="B62" s="704">
        <f>(LARGE(G51:G59,1)+LARGE(G51:G59,2))/SUM(G51:G59)</f>
        <v/>
      </c>
      <c r="C62" s="614" t="n"/>
      <c r="D62" s="614" t="n"/>
      <c r="E62" s="614" t="n"/>
      <c r="F62" s="614" t="n"/>
      <c r="G62" s="614" t="n"/>
      <c r="H62" s="614" t="n"/>
    </row>
    <row r="63">
      <c r="A63" s="614" t="inlineStr">
        <is>
          <t>Top 4 deals % of LP cash</t>
        </is>
      </c>
      <c r="B63" s="703">
        <f>SUM(LARGE(G51:G59,{1,2,3,4}))/SUM(G51:G59)</f>
        <v/>
      </c>
      <c r="C63" s="614" t="n"/>
      <c r="D63" s="614" t="n"/>
      <c r="E63" s="614" t="n"/>
      <c r="F63" s="614" t="n"/>
      <c r="G63" s="614" t="n"/>
      <c r="H63" s="614" t="n"/>
    </row>
    <row r="64">
      <c r="A64" s="614" t="n"/>
      <c r="B64" s="614" t="n"/>
      <c r="C64" s="614" t="n"/>
      <c r="D64" s="614" t="n"/>
      <c r="E64" s="614" t="n"/>
      <c r="F64" s="614" t="n"/>
      <c r="G64" s="614" t="n"/>
      <c r="H64" s="614" t="n"/>
    </row>
    <row r="65">
      <c r="A65" s="614" t="n"/>
      <c r="B65" s="614" t="n"/>
      <c r="C65" s="614" t="n"/>
      <c r="D65" s="614" t="n"/>
      <c r="E65" s="614" t="n"/>
      <c r="F65" s="614" t="n"/>
      <c r="G65" s="614" t="n"/>
      <c r="H65" s="614" t="n"/>
    </row>
    <row r="66">
      <c r="A66" s="614" t="n"/>
      <c r="B66" s="614" t="n"/>
      <c r="C66" s="614" t="n"/>
      <c r="D66" s="614" t="n"/>
      <c r="E66" s="614" t="n"/>
      <c r="F66" s="614" t="n"/>
      <c r="G66" s="614" t="n"/>
      <c r="H66" s="614" t="n"/>
    </row>
    <row r="67">
      <c r="A67" s="614" t="n"/>
      <c r="B67" s="614" t="n"/>
      <c r="C67" s="614" t="n"/>
      <c r="D67" s="614" t="n"/>
      <c r="E67" s="614" t="n"/>
      <c r="F67" s="614" t="n"/>
      <c r="G67" s="614" t="n"/>
      <c r="H67" s="614" t="n"/>
    </row>
    <row r="68">
      <c r="A68" s="614" t="n"/>
      <c r="B68" s="614" t="n"/>
      <c r="C68" s="614" t="n"/>
      <c r="D68" s="614" t="n"/>
      <c r="E68" s="614" t="n"/>
      <c r="F68" s="614" t="n"/>
      <c r="G68" s="614" t="n"/>
      <c r="H68" s="614" t="n"/>
    </row>
    <row r="69">
      <c r="A69" s="614" t="n"/>
      <c r="B69" s="614" t="n"/>
      <c r="C69" s="614" t="n"/>
      <c r="D69" s="614" t="n"/>
      <c r="E69" s="614" t="n"/>
      <c r="F69" s="614" t="n"/>
      <c r="G69" s="614" t="n"/>
      <c r="H6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ARR/close month from Tab 1; NDR from active scenario (uniform).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 (scenario, Tab 1 B136)</t>
        </is>
      </c>
      <c r="B7" s="306">
        <f>IF('1. Press Assumptions'!$B$136="Bear",0.8,IF('1. Press Assumptions'!$B$136="Bull",0.9,0.85))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Q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1" customWidth="1" style="306" min="2" max="19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</cols>
  <sheetData>
    <row r="1" ht="17.25" customHeight="1" s="307">
      <c r="A1" s="612" t="inlineStr">
        <is>
          <t>BID MODEL SENSITIVITY  --  DEAL-LEVEL (single OpCo, gross)</t>
        </is>
      </c>
      <c r="B1" s="614" t="n"/>
      <c r="C1" s="614" t="n"/>
      <c r="D1" s="614" t="n"/>
      <c r="E1" s="614" t="n"/>
      <c r="F1" s="614" t="n"/>
      <c r="G1" s="614" t="n"/>
      <c r="H1" s="614" t="n"/>
    </row>
    <row r="2" ht="15" customHeight="1" s="307">
      <c r="A2" s="593">
        <f>" GROSS deal economics: single OpCo, "&amp;TEXT('1. Press Assumptions'!$B$35,"0.0%")&amp;" net margin, 15Y hold, no exit, NO fund costs/carry. NOT comparable to fund-level LP DPI (Tabs 2/6/11)."</f>
        <v/>
      </c>
      <c r="B2" s="614" t="n"/>
      <c r="C2" s="614" t="n"/>
      <c r="D2" s="614" t="n"/>
      <c r="E2" s="614" t="n"/>
      <c r="F2" s="614" t="n"/>
      <c r="G2" s="614" t="n"/>
      <c r="H2" s="614" t="n"/>
    </row>
    <row r="3">
      <c r="A3" s="614" t="n"/>
      <c r="B3" s="614" t="n"/>
      <c r="C3" s="614" t="n"/>
      <c r="D3" s="614" t="n"/>
      <c r="E3" s="614" t="n"/>
      <c r="F3" s="614" t="n"/>
      <c r="G3" s="614" t="n"/>
      <c r="H3" s="614" t="n"/>
    </row>
    <row r="4" ht="15" customHeight="1" s="307">
      <c r="A4" s="616" t="inlineStr">
        <is>
          <t>DEAL-LEVEL 15Y MOIC (gross)</t>
        </is>
      </c>
      <c r="B4" s="738" t="n"/>
      <c r="C4" s="738" t="n"/>
      <c r="D4" s="738" t="n"/>
      <c r="E4" s="738" t="n"/>
      <c r="F4" s="738" t="n"/>
      <c r="G4" s="738" t="n"/>
      <c r="H4" s="738" t="n"/>
    </row>
    <row r="5" ht="15" customHeight="1" s="307">
      <c r="A5" s="612" t="inlineStr">
        <is>
          <t>NDR \ Entry Mult</t>
        </is>
      </c>
      <c r="B5" s="746" t="n">
        <v>0.75</v>
      </c>
      <c r="C5" s="746" t="n">
        <v>1</v>
      </c>
      <c r="D5" s="746" t="n">
        <v>1.1</v>
      </c>
      <c r="E5" s="746" t="n">
        <v>1.25</v>
      </c>
      <c r="F5" s="746" t="n">
        <v>1.5</v>
      </c>
      <c r="G5" s="746" t="n">
        <v>1.75</v>
      </c>
      <c r="H5" s="746" t="n">
        <v>2</v>
      </c>
    </row>
    <row r="6" ht="15" customHeight="1" s="307">
      <c r="A6" s="747" t="n">
        <v>0.7</v>
      </c>
      <c r="B6" s="687">
        <f>('1. Press Assumptions'!$B$35*'1. Press Assumptions'!$D$89*(IF($A6=1,15,(1-$A6^15)/(1-$A6))))/('1. Press Assumptions'!$D$89*B$5)</f>
        <v/>
      </c>
      <c r="C6" s="687">
        <f>('1. Press Assumptions'!$B$35*'1. Press Assumptions'!$D$89*(IF($A6=1,15,(1-$A6^15)/(1-$A6))))/('1. Press Assumptions'!$D$89*C$5)</f>
        <v/>
      </c>
      <c r="D6" s="687">
        <f>('1. Press Assumptions'!$B$35*'1. Press Assumptions'!$D$89*(IF($A6=1,15,(1-$A6^15)/(1-$A6))))/('1. Press Assumptions'!$D$89*D$5)</f>
        <v/>
      </c>
      <c r="E6" s="687">
        <f>('1. Press Assumptions'!$B$35*'1. Press Assumptions'!$D$89*(IF($A6=1,15,(1-$A6^15)/(1-$A6))))/('1. Press Assumptions'!$D$89*E$5)</f>
        <v/>
      </c>
      <c r="F6" s="687">
        <f>('1. Press Assumptions'!$B$35*'1. Press Assumptions'!$D$89*(IF($A6=1,15,(1-$A6^15)/(1-$A6))))/('1. Press Assumptions'!$D$89*F$5)</f>
        <v/>
      </c>
      <c r="G6" s="687">
        <f>('1. Press Assumptions'!$B$35*'1. Press Assumptions'!$D$89*(IF($A6=1,15,(1-$A6^15)/(1-$A6))))/('1. Press Assumptions'!$D$89*G$5)</f>
        <v/>
      </c>
      <c r="H6" s="687">
        <f>('1. Press Assumptions'!$B$35*'1. Press Assumptions'!$D$89*(IF($A6=1,15,(1-$A6^15)/(1-$A6))))/('1. Press Assumptions'!$D$89*H$5)</f>
        <v/>
      </c>
    </row>
    <row r="7" ht="15" customHeight="1" s="307">
      <c r="A7" s="747" t="n">
        <v>0.75</v>
      </c>
      <c r="B7" s="687">
        <f>('1. Press Assumptions'!$B$35*'1. Press Assumptions'!$D$89*(IF($A7=1,15,(1-$A7^15)/(1-$A7))))/('1. Press Assumptions'!$D$89*B$5)</f>
        <v/>
      </c>
      <c r="C7" s="687">
        <f>('1. Press Assumptions'!$B$35*'1. Press Assumptions'!$D$89*(IF($A7=1,15,(1-$A7^15)/(1-$A7))))/('1. Press Assumptions'!$D$89*C$5)</f>
        <v/>
      </c>
      <c r="D7" s="687">
        <f>('1. Press Assumptions'!$B$35*'1. Press Assumptions'!$D$89*(IF($A7=1,15,(1-$A7^15)/(1-$A7))))/('1. Press Assumptions'!$D$89*D$5)</f>
        <v/>
      </c>
      <c r="E7" s="687">
        <f>('1. Press Assumptions'!$B$35*'1. Press Assumptions'!$D$89*(IF($A7=1,15,(1-$A7^15)/(1-$A7))))/('1. Press Assumptions'!$D$89*E$5)</f>
        <v/>
      </c>
      <c r="F7" s="687">
        <f>('1. Press Assumptions'!$B$35*'1. Press Assumptions'!$D$89*(IF($A7=1,15,(1-$A7^15)/(1-$A7))))/('1. Press Assumptions'!$D$89*F$5)</f>
        <v/>
      </c>
      <c r="G7" s="687">
        <f>('1. Press Assumptions'!$B$35*'1. Press Assumptions'!$D$89*(IF($A7=1,15,(1-$A7^15)/(1-$A7))))/('1. Press Assumptions'!$D$89*G$5)</f>
        <v/>
      </c>
      <c r="H7" s="687">
        <f>('1. Press Assumptions'!$B$35*'1. Press Assumptions'!$D$89*(IF($A7=1,15,(1-$A7^15)/(1-$A7))))/('1. Press Assumptions'!$D$89*H$5)</f>
        <v/>
      </c>
    </row>
    <row r="8" ht="15" customHeight="1" s="307">
      <c r="A8" s="747" t="n">
        <v>0.8</v>
      </c>
      <c r="B8" s="687">
        <f>('1. Press Assumptions'!$B$35*'1. Press Assumptions'!$D$89*(IF($A8=1,15,(1-$A8^15)/(1-$A8))))/('1. Press Assumptions'!$D$89*B$5)</f>
        <v/>
      </c>
      <c r="C8" s="687">
        <f>('1. Press Assumptions'!$B$35*'1. Press Assumptions'!$D$89*(IF($A8=1,15,(1-$A8^15)/(1-$A8))))/('1. Press Assumptions'!$D$89*C$5)</f>
        <v/>
      </c>
      <c r="D8" s="687">
        <f>('1. Press Assumptions'!$B$35*'1. Press Assumptions'!$D$89*(IF($A8=1,15,(1-$A8^15)/(1-$A8))))/('1. Press Assumptions'!$D$89*D$5)</f>
        <v/>
      </c>
      <c r="E8" s="687">
        <f>('1. Press Assumptions'!$B$35*'1. Press Assumptions'!$D$89*(IF($A8=1,15,(1-$A8^15)/(1-$A8))))/('1. Press Assumptions'!$D$89*E$5)</f>
        <v/>
      </c>
      <c r="F8" s="687">
        <f>('1. Press Assumptions'!$B$35*'1. Press Assumptions'!$D$89*(IF($A8=1,15,(1-$A8^15)/(1-$A8))))/('1. Press Assumptions'!$D$89*F$5)</f>
        <v/>
      </c>
      <c r="G8" s="687">
        <f>('1. Press Assumptions'!$B$35*'1. Press Assumptions'!$D$89*(IF($A8=1,15,(1-$A8^15)/(1-$A8))))/('1. Press Assumptions'!$D$89*G$5)</f>
        <v/>
      </c>
      <c r="H8" s="687">
        <f>('1. Press Assumptions'!$B$35*'1. Press Assumptions'!$D$89*(IF($A8=1,15,(1-$A8^15)/(1-$A8))))/('1. Press Assumptions'!$D$89*H$5)</f>
        <v/>
      </c>
    </row>
    <row r="9" ht="15" customHeight="1" s="307">
      <c r="A9" s="748" t="n">
        <v>0.85</v>
      </c>
      <c r="B9" s="749">
        <f>('1. Press Assumptions'!$B$35*'1. Press Assumptions'!$D$89*(IF($A9=1,15,(1-$A9^15)/(1-$A9))))/('1. Press Assumptions'!$D$89*B$5)</f>
        <v/>
      </c>
      <c r="C9" s="749">
        <f>('1. Press Assumptions'!$B$35*'1. Press Assumptions'!$D$89*(IF($A9=1,15,(1-$A9^15)/(1-$A9))))/('1. Press Assumptions'!$D$89*C$5)</f>
        <v/>
      </c>
      <c r="D9" s="749">
        <f>('1. Press Assumptions'!$B$35*'1. Press Assumptions'!$D$89*(IF($A9=1,15,(1-$A9^15)/(1-$A9))))/('1. Press Assumptions'!$D$89*D$5)</f>
        <v/>
      </c>
      <c r="E9" s="749">
        <f>('1. Press Assumptions'!$B$35*'1. Press Assumptions'!$D$89*(IF($A9=1,15,(1-$A9^15)/(1-$A9))))/('1. Press Assumptions'!$D$89*E$5)</f>
        <v/>
      </c>
      <c r="F9" s="749">
        <f>('1. Press Assumptions'!$B$35*'1. Press Assumptions'!$D$89*(IF($A9=1,15,(1-$A9^15)/(1-$A9))))/('1. Press Assumptions'!$D$89*F$5)</f>
        <v/>
      </c>
      <c r="G9" s="749">
        <f>('1. Press Assumptions'!$B$35*'1. Press Assumptions'!$D$89*(IF($A9=1,15,(1-$A9^15)/(1-$A9))))/('1. Press Assumptions'!$D$89*G$5)</f>
        <v/>
      </c>
      <c r="H9" s="749">
        <f>('1. Press Assumptions'!$B$35*'1. Press Assumptions'!$D$89*(IF($A9=1,15,(1-$A9^15)/(1-$A9))))/('1. Press Assumptions'!$D$89*H$5)</f>
        <v/>
      </c>
    </row>
    <row r="10" ht="15" customHeight="1" s="307">
      <c r="A10" s="747" t="n">
        <v>0.9</v>
      </c>
      <c r="B10" s="687">
        <f>('1. Press Assumptions'!$B$35*'1. Press Assumptions'!$D$89*(IF($A10=1,15,(1-$A10^15)/(1-$A10))))/('1. Press Assumptions'!$D$89*B$5)</f>
        <v/>
      </c>
      <c r="C10" s="687">
        <f>('1. Press Assumptions'!$B$35*'1. Press Assumptions'!$D$89*(IF($A10=1,15,(1-$A10^15)/(1-$A10))))/('1. Press Assumptions'!$D$89*C$5)</f>
        <v/>
      </c>
      <c r="D10" s="687">
        <f>('1. Press Assumptions'!$B$35*'1. Press Assumptions'!$D$89*(IF($A10=1,15,(1-$A10^15)/(1-$A10))))/('1. Press Assumptions'!$D$89*D$5)</f>
        <v/>
      </c>
      <c r="E10" s="687">
        <f>('1. Press Assumptions'!$B$35*'1. Press Assumptions'!$D$89*(IF($A10=1,15,(1-$A10^15)/(1-$A10))))/('1. Press Assumptions'!$D$89*E$5)</f>
        <v/>
      </c>
      <c r="F10" s="687">
        <f>('1. Press Assumptions'!$B$35*'1. Press Assumptions'!$D$89*(IF($A10=1,15,(1-$A10^15)/(1-$A10))))/('1. Press Assumptions'!$D$89*F$5)</f>
        <v/>
      </c>
      <c r="G10" s="687">
        <f>('1. Press Assumptions'!$B$35*'1. Press Assumptions'!$D$89*(IF($A10=1,15,(1-$A10^15)/(1-$A10))))/('1. Press Assumptions'!$D$89*G$5)</f>
        <v/>
      </c>
      <c r="H10" s="687">
        <f>('1. Press Assumptions'!$B$35*'1. Press Assumptions'!$D$89*(IF($A10=1,15,(1-$A10^15)/(1-$A10))))/('1. Press Assumptions'!$D$89*H$5)</f>
        <v/>
      </c>
    </row>
    <row r="11" ht="15" customHeight="1" s="307">
      <c r="A11" s="747" t="n">
        <v>0.95</v>
      </c>
      <c r="B11" s="687">
        <f>('1. Press Assumptions'!$B$35*'1. Press Assumptions'!$D$89*(IF($A11=1,15,(1-$A11^15)/(1-$A11))))/('1. Press Assumptions'!$D$89*B$5)</f>
        <v/>
      </c>
      <c r="C11" s="687">
        <f>('1. Press Assumptions'!$B$35*'1. Press Assumptions'!$D$89*(IF($A11=1,15,(1-$A11^15)/(1-$A11))))/('1. Press Assumptions'!$D$89*C$5)</f>
        <v/>
      </c>
      <c r="D11" s="687">
        <f>('1. Press Assumptions'!$B$35*'1. Press Assumptions'!$D$89*(IF($A11=1,15,(1-$A11^15)/(1-$A11))))/('1. Press Assumptions'!$D$89*D$5)</f>
        <v/>
      </c>
      <c r="E11" s="687">
        <f>('1. Press Assumptions'!$B$35*'1. Press Assumptions'!$D$89*(IF($A11=1,15,(1-$A11^15)/(1-$A11))))/('1. Press Assumptions'!$D$89*E$5)</f>
        <v/>
      </c>
      <c r="F11" s="687">
        <f>('1. Press Assumptions'!$B$35*'1. Press Assumptions'!$D$89*(IF($A11=1,15,(1-$A11^15)/(1-$A11))))/('1. Press Assumptions'!$D$89*F$5)</f>
        <v/>
      </c>
      <c r="G11" s="687">
        <f>('1. Press Assumptions'!$B$35*'1. Press Assumptions'!$D$89*(IF($A11=1,15,(1-$A11^15)/(1-$A11))))/('1. Press Assumptions'!$D$89*G$5)</f>
        <v/>
      </c>
      <c r="H11" s="687">
        <f>('1. Press Assumptions'!$B$35*'1. Press Assumptions'!$D$89*(IF($A11=1,15,(1-$A11^15)/(1-$A11))))/('1. Press Assumptions'!$D$89*H$5)</f>
        <v/>
      </c>
    </row>
    <row r="12" ht="15" customHeight="1" s="307">
      <c r="A12" s="747" t="n">
        <v>1</v>
      </c>
      <c r="B12" s="687">
        <f>('1. Press Assumptions'!$B$35*'1. Press Assumptions'!$D$89*(IF($A12=1,15,(1-$A12^15)/(1-$A12))))/('1. Press Assumptions'!$D$89*B$5)</f>
        <v/>
      </c>
      <c r="C12" s="687">
        <f>('1. Press Assumptions'!$B$35*'1. Press Assumptions'!$D$89*(IF($A12=1,15,(1-$A12^15)/(1-$A12))))/('1. Press Assumptions'!$D$89*C$5)</f>
        <v/>
      </c>
      <c r="D12" s="687">
        <f>('1. Press Assumptions'!$B$35*'1. Press Assumptions'!$D$89*(IF($A12=1,15,(1-$A12^15)/(1-$A12))))/('1. Press Assumptions'!$D$89*D$5)</f>
        <v/>
      </c>
      <c r="E12" s="687">
        <f>('1. Press Assumptions'!$B$35*'1. Press Assumptions'!$D$89*(IF($A12=1,15,(1-$A12^15)/(1-$A12))))/('1. Press Assumptions'!$D$89*E$5)</f>
        <v/>
      </c>
      <c r="F12" s="687">
        <f>('1. Press Assumptions'!$B$35*'1. Press Assumptions'!$D$89*(IF($A12=1,15,(1-$A12^15)/(1-$A12))))/('1. Press Assumptions'!$D$89*F$5)</f>
        <v/>
      </c>
      <c r="G12" s="687">
        <f>('1. Press Assumptions'!$B$35*'1. Press Assumptions'!$D$89*(IF($A12=1,15,(1-$A12^15)/(1-$A12))))/('1. Press Assumptions'!$D$89*G$5)</f>
        <v/>
      </c>
      <c r="H12" s="687">
        <f>('1. Press Assumptions'!$B$35*'1. Press Assumptions'!$D$89*(IF($A12=1,15,(1-$A12^15)/(1-$A12))))/('1. Press Assumptions'!$D$89*H$5)</f>
        <v/>
      </c>
    </row>
    <row r="13">
      <c r="A13" s="614" t="n"/>
      <c r="B13" s="614" t="n"/>
      <c r="C13" s="614" t="n"/>
      <c r="D13" s="614" t="n"/>
      <c r="E13" s="614" t="n"/>
      <c r="F13" s="614" t="n"/>
      <c r="G13" s="614" t="n"/>
      <c r="H13" s="614" t="n"/>
    </row>
    <row r="14">
      <c r="A14" s="614" t="n"/>
      <c r="B14" s="614" t="n"/>
      <c r="C14" s="614" t="n"/>
      <c r="D14" s="614" t="n"/>
      <c r="E14" s="614" t="n"/>
      <c r="F14" s="614" t="n"/>
      <c r="G14" s="614" t="n"/>
      <c r="H14" s="614" t="n"/>
    </row>
    <row r="15" ht="15" customHeight="1" s="307">
      <c r="A15" s="616" t="inlineStr">
        <is>
          <t>DEAL-LEVEL 15Y IRR (gross)</t>
        </is>
      </c>
      <c r="B15" s="738" t="n"/>
      <c r="C15" s="738" t="n"/>
      <c r="D15" s="738" t="n"/>
      <c r="E15" s="738" t="n"/>
      <c r="F15" s="738" t="n"/>
      <c r="G15" s="738" t="n"/>
      <c r="H15" s="738" t="n"/>
    </row>
    <row r="16" ht="15" customHeight="1" s="307">
      <c r="A16" s="612" t="inlineStr">
        <is>
          <t>NDR \ Entry Mult</t>
        </is>
      </c>
      <c r="B16" s="746" t="n">
        <v>0.75</v>
      </c>
      <c r="C16" s="746" t="n">
        <v>1</v>
      </c>
      <c r="D16" s="746" t="n">
        <v>1.1</v>
      </c>
      <c r="E16" s="746" t="n">
        <v>1.25</v>
      </c>
      <c r="F16" s="746" t="n">
        <v>1.5</v>
      </c>
      <c r="G16" s="746" t="n">
        <v>1.75</v>
      </c>
      <c r="H16" s="746" t="n">
        <v>2</v>
      </c>
    </row>
    <row r="17" ht="15" customHeight="1" s="307">
      <c r="A17" s="747" t="n">
        <v>0.7</v>
      </c>
      <c r="B17" s="684">
        <f>IRR(B45:Q45)</f>
        <v/>
      </c>
      <c r="C17" s="684">
        <f>IRR(B46:Q46)</f>
        <v/>
      </c>
      <c r="D17" s="684">
        <f>IRR(B47:Q47)</f>
        <v/>
      </c>
      <c r="E17" s="684">
        <f>IRR(B48:Q48)</f>
        <v/>
      </c>
      <c r="F17" s="684">
        <f>IRR(B49:Q49)</f>
        <v/>
      </c>
      <c r="G17" s="684">
        <f>IRR(B50:Q50)</f>
        <v/>
      </c>
      <c r="H17" s="684">
        <f>IRR(B51:Q51)</f>
        <v/>
      </c>
    </row>
    <row r="18" ht="15" customHeight="1" s="307">
      <c r="A18" s="747" t="n">
        <v>0.75</v>
      </c>
      <c r="B18" s="684">
        <f>IRR(B52:Q52)</f>
        <v/>
      </c>
      <c r="C18" s="684">
        <f>IRR(B53:Q53)</f>
        <v/>
      </c>
      <c r="D18" s="684">
        <f>IRR(B54:Q54)</f>
        <v/>
      </c>
      <c r="E18" s="684">
        <f>IRR(B55:Q55)</f>
        <v/>
      </c>
      <c r="F18" s="684">
        <f>IRR(B56:Q56)</f>
        <v/>
      </c>
      <c r="G18" s="684">
        <f>IRR(B57:Q57)</f>
        <v/>
      </c>
      <c r="H18" s="684">
        <f>IRR(B58:Q58)</f>
        <v/>
      </c>
    </row>
    <row r="19" ht="15" customHeight="1" s="307">
      <c r="A19" s="747" t="n">
        <v>0.8</v>
      </c>
      <c r="B19" s="684">
        <f>IRR(B59:Q59)</f>
        <v/>
      </c>
      <c r="C19" s="684">
        <f>IRR(B60:Q60)</f>
        <v/>
      </c>
      <c r="D19" s="684">
        <f>IRR(B61:Q61)</f>
        <v/>
      </c>
      <c r="E19" s="684">
        <f>IRR(B62:Q62)</f>
        <v/>
      </c>
      <c r="F19" s="684">
        <f>IRR(B63:Q63)</f>
        <v/>
      </c>
      <c r="G19" s="684">
        <f>IRR(B64:Q64)</f>
        <v/>
      </c>
      <c r="H19" s="684">
        <f>IRR(B65:Q65)</f>
        <v/>
      </c>
    </row>
    <row r="20" ht="15" customHeight="1" s="307">
      <c r="A20" s="748" t="n">
        <v>0.85</v>
      </c>
      <c r="B20" s="750">
        <f>IRR(B66:Q66)</f>
        <v/>
      </c>
      <c r="C20" s="750">
        <f>IRR(B67:Q67)</f>
        <v/>
      </c>
      <c r="D20" s="750">
        <f>IRR(B68:Q68)</f>
        <v/>
      </c>
      <c r="E20" s="750">
        <f>IRR(B69:Q69)</f>
        <v/>
      </c>
      <c r="F20" s="750">
        <f>IRR(B70:Q70)</f>
        <v/>
      </c>
      <c r="G20" s="750">
        <f>IRR(B71:Q71)</f>
        <v/>
      </c>
      <c r="H20" s="750">
        <f>IRR(B72:Q72)</f>
        <v/>
      </c>
    </row>
    <row r="21" ht="15" customHeight="1" s="307">
      <c r="A21" s="747" t="n">
        <v>0.9</v>
      </c>
      <c r="B21" s="684">
        <f>IRR(B73:Q73)</f>
        <v/>
      </c>
      <c r="C21" s="684">
        <f>IRR(B74:Q74)</f>
        <v/>
      </c>
      <c r="D21" s="684">
        <f>IRR(B75:Q75)</f>
        <v/>
      </c>
      <c r="E21" s="684">
        <f>IRR(B76:Q76)</f>
        <v/>
      </c>
      <c r="F21" s="684">
        <f>IRR(B77:Q77)</f>
        <v/>
      </c>
      <c r="G21" s="684">
        <f>IRR(B78:Q78)</f>
        <v/>
      </c>
      <c r="H21" s="684">
        <f>IRR(B79:Q79)</f>
        <v/>
      </c>
    </row>
    <row r="22" ht="15" customHeight="1" s="307">
      <c r="A22" s="747" t="n">
        <v>0.95</v>
      </c>
      <c r="B22" s="684">
        <f>IRR(B80:Q80)</f>
        <v/>
      </c>
      <c r="C22" s="684">
        <f>IRR(B81:Q81)</f>
        <v/>
      </c>
      <c r="D22" s="684">
        <f>IRR(B82:Q82)</f>
        <v/>
      </c>
      <c r="E22" s="684">
        <f>IRR(B83:Q83)</f>
        <v/>
      </c>
      <c r="F22" s="684">
        <f>IRR(B84:Q84)</f>
        <v/>
      </c>
      <c r="G22" s="684">
        <f>IRR(B85:Q85)</f>
        <v/>
      </c>
      <c r="H22" s="684">
        <f>IRR(B86:Q86)</f>
        <v/>
      </c>
    </row>
    <row r="23" ht="15" customHeight="1" s="307">
      <c r="A23" s="747" t="n">
        <v>1</v>
      </c>
      <c r="B23" s="684">
        <f>IRR(B87:Q87)</f>
        <v/>
      </c>
      <c r="C23" s="684">
        <f>IRR(B88:Q88)</f>
        <v/>
      </c>
      <c r="D23" s="684">
        <f>IRR(B89:Q89)</f>
        <v/>
      </c>
      <c r="E23" s="684">
        <f>IRR(B90:Q90)</f>
        <v/>
      </c>
      <c r="F23" s="684">
        <f>IRR(B91:Q91)</f>
        <v/>
      </c>
      <c r="G23" s="684">
        <f>IRR(B92:Q92)</f>
        <v/>
      </c>
      <c r="H23" s="684">
        <f>IRR(B93:Q93)</f>
        <v/>
      </c>
    </row>
    <row r="24">
      <c r="A24" s="614" t="n"/>
      <c r="B24" s="614" t="n"/>
      <c r="C24" s="614" t="n"/>
      <c r="D24" s="614" t="n"/>
      <c r="E24" s="614" t="n"/>
      <c r="F24" s="614" t="n"/>
      <c r="G24" s="614" t="n"/>
      <c r="H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  <c r="H25" s="614" t="n"/>
    </row>
    <row r="26" ht="15" customHeight="1" s="307">
      <c r="A26" s="751" t="inlineStr">
        <is>
          <t>PURCHASE PRICE ($mm)</t>
        </is>
      </c>
      <c r="B26" s="613" t="n"/>
      <c r="C26" s="613" t="n"/>
      <c r="D26" s="613" t="n"/>
      <c r="E26" s="613" t="n"/>
      <c r="F26" s="613" t="n"/>
      <c r="G26" s="613" t="n"/>
      <c r="H26" s="613" t="n"/>
    </row>
    <row r="27" ht="15" customHeight="1" s="307">
      <c r="A27" s="613" t="inlineStr">
        <is>
          <t>Entry Multiple</t>
        </is>
      </c>
      <c r="B27" s="687" t="n">
        <v>0.75</v>
      </c>
      <c r="C27" s="687" t="n">
        <v>1</v>
      </c>
      <c r="D27" s="687" t="n">
        <v>1.1</v>
      </c>
      <c r="E27" s="687" t="n">
        <v>1.25</v>
      </c>
      <c r="F27" s="687" t="n">
        <v>1.5</v>
      </c>
      <c r="G27" s="687" t="n">
        <v>1.75</v>
      </c>
      <c r="H27" s="687" t="n">
        <v>2</v>
      </c>
    </row>
    <row r="28" ht="15" customHeight="1" s="307">
      <c r="A28" s="613">
        <f>" $"&amp;TEXT('1. Press Assumptions'!$D$89,"0")&amp;"M ARR"</f>
        <v/>
      </c>
      <c r="B28" s="752">
        <f>'1. Press Assumptions'!$D$89*B$27</f>
        <v/>
      </c>
      <c r="C28" s="752">
        <f>'1. Press Assumptions'!$D$89*C$27</f>
        <v/>
      </c>
      <c r="D28" s="752">
        <f>'1. Press Assumptions'!$D$89*D$27</f>
        <v/>
      </c>
      <c r="E28" s="752">
        <f>'1. Press Assumptions'!$D$89*E$27</f>
        <v/>
      </c>
      <c r="F28" s="752">
        <f>'1. Press Assumptions'!$D$89*F$27</f>
        <v/>
      </c>
      <c r="G28" s="752">
        <f>'1. Press Assumptions'!$D$89*G$27</f>
        <v/>
      </c>
      <c r="H28" s="752">
        <f>'1. Press Assumptions'!$D$89*H$27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 ht="15" customHeight="1" s="307">
      <c r="A30" s="613" t="n"/>
      <c r="B30" s="613" t="n"/>
      <c r="C30" s="613" t="n"/>
      <c r="D30" s="613" t="n"/>
      <c r="E30" s="613" t="n"/>
      <c r="F30" s="613" t="n"/>
      <c r="G30" s="613" t="n"/>
      <c r="H30" s="613" t="n"/>
    </row>
    <row r="31" ht="15" customHeight="1" s="307">
      <c r="A31" s="613" t="n"/>
      <c r="B31" s="684" t="n"/>
      <c r="C31" s="684" t="n"/>
      <c r="D31" s="684" t="n"/>
      <c r="E31" s="684" t="n"/>
      <c r="F31" s="684" t="n"/>
      <c r="G31" s="684" t="n"/>
      <c r="H31" s="684" t="n"/>
    </row>
    <row r="32" ht="15" customHeight="1" s="307">
      <c r="A32" s="613" t="n"/>
      <c r="B32" s="753" t="n"/>
      <c r="C32" s="753" t="n"/>
      <c r="D32" s="753" t="n"/>
      <c r="E32" s="753" t="n"/>
      <c r="F32" s="753" t="n"/>
      <c r="G32" s="753" t="n"/>
      <c r="H32" s="753" t="n"/>
    </row>
    <row r="33" ht="15" customHeight="1" s="307">
      <c r="A33" s="613" t="n"/>
      <c r="B33" s="753" t="n"/>
      <c r="C33" s="753" t="n"/>
      <c r="D33" s="753" t="n"/>
      <c r="E33" s="753" t="n"/>
      <c r="F33" s="753" t="n"/>
      <c r="G33" s="753" t="n"/>
      <c r="H33" s="753" t="n"/>
    </row>
    <row r="34" ht="15" customHeight="1" s="307">
      <c r="A34" s="613" t="n"/>
      <c r="B34" s="753" t="n"/>
      <c r="C34" s="753" t="n"/>
      <c r="D34" s="753" t="n"/>
      <c r="E34" s="753" t="n"/>
      <c r="F34" s="753" t="n"/>
      <c r="G34" s="753" t="n"/>
      <c r="H34" s="753" t="n"/>
    </row>
    <row r="35" ht="15" customHeight="1" s="307">
      <c r="A35" s="613" t="n"/>
      <c r="B35" s="686" t="n"/>
      <c r="C35" s="686" t="n"/>
      <c r="D35" s="686" t="n"/>
      <c r="E35" s="686" t="n"/>
      <c r="F35" s="686" t="n"/>
      <c r="G35" s="686" t="n"/>
      <c r="H35" s="686" t="n"/>
    </row>
    <row r="36" ht="15" customHeight="1" s="307">
      <c r="A36" s="613" t="n"/>
      <c r="B36" s="684" t="n"/>
      <c r="C36" s="684" t="n"/>
      <c r="D36" s="684" t="n"/>
      <c r="E36" s="684" t="n"/>
      <c r="F36" s="684" t="n"/>
      <c r="G36" s="684" t="n"/>
      <c r="H36" s="68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</row>
    <row r="39" ht="15" customHeight="1" s="307">
      <c r="A39" s="613" t="n"/>
      <c r="B39" s="614" t="n"/>
      <c r="C39" s="614" t="n"/>
      <c r="D39" s="614" t="n"/>
      <c r="E39" s="614" t="n"/>
      <c r="F39" s="614" t="n"/>
      <c r="G39" s="614" t="n"/>
      <c r="H39" s="614" t="n"/>
    </row>
    <row r="40" ht="15" customHeight="1" s="307">
      <c r="A40" s="593" t="inlineStr">
        <is>
          <t>Base = 85% NDR, 1.24x entry (highlighted). Deal-level gross; see Tabs 2/6/11 for fund-level LP returns.</t>
        </is>
      </c>
      <c r="B40" s="614" t="n"/>
      <c r="C40" s="614" t="n"/>
      <c r="D40" s="614" t="n"/>
      <c r="E40" s="614" t="n"/>
      <c r="F40" s="614" t="n"/>
      <c r="G40" s="614" t="n"/>
      <c r="H40" s="614" t="n"/>
    </row>
    <row r="44">
      <c r="A44" s="615" t="inlineStr">
        <is>
          <t>IRR helper cashflows (yr0..15) -- do not edit</t>
        </is>
      </c>
    </row>
    <row r="45">
      <c r="B45" s="306">
        <f>-'1. Press Assumptions'!$D$89*B$5</f>
        <v/>
      </c>
      <c r="C45" s="306">
        <f>'1. Press Assumptions'!$B$35*'1. Press Assumptions'!$D$89*$A6^0</f>
        <v/>
      </c>
      <c r="D45" s="306">
        <f>'1. Press Assumptions'!$B$35*'1. Press Assumptions'!$D$89*$A6^1</f>
        <v/>
      </c>
      <c r="E45" s="306">
        <f>'1. Press Assumptions'!$B$35*'1. Press Assumptions'!$D$89*$A6^2</f>
        <v/>
      </c>
      <c r="F45" s="306">
        <f>'1. Press Assumptions'!$B$35*'1. Press Assumptions'!$D$89*$A6^3</f>
        <v/>
      </c>
      <c r="G45" s="306">
        <f>'1. Press Assumptions'!$B$35*'1. Press Assumptions'!$D$89*$A6^4</f>
        <v/>
      </c>
      <c r="H45" s="306">
        <f>'1. Press Assumptions'!$B$35*'1. Press Assumptions'!$D$89*$A6^5</f>
        <v/>
      </c>
      <c r="I45" s="306">
        <f>'1. Press Assumptions'!$B$35*'1. Press Assumptions'!$D$89*$A6^6</f>
        <v/>
      </c>
      <c r="J45" s="306">
        <f>'1. Press Assumptions'!$B$35*'1. Press Assumptions'!$D$89*$A6^7</f>
        <v/>
      </c>
      <c r="K45" s="306">
        <f>'1. Press Assumptions'!$B$35*'1. Press Assumptions'!$D$89*$A6^8</f>
        <v/>
      </c>
      <c r="L45" s="306">
        <f>'1. Press Assumptions'!$B$35*'1. Press Assumptions'!$D$89*$A6^9</f>
        <v/>
      </c>
      <c r="M45" s="306">
        <f>'1. Press Assumptions'!$B$35*'1. Press Assumptions'!$D$89*$A6^10</f>
        <v/>
      </c>
      <c r="N45" s="306">
        <f>'1. Press Assumptions'!$B$35*'1. Press Assumptions'!$D$89*$A6^11</f>
        <v/>
      </c>
      <c r="O45" s="306">
        <f>'1. Press Assumptions'!$B$35*'1. Press Assumptions'!$D$89*$A6^12</f>
        <v/>
      </c>
      <c r="P45" s="306">
        <f>'1. Press Assumptions'!$B$35*'1. Press Assumptions'!$D$89*$A6^13</f>
        <v/>
      </c>
      <c r="Q45" s="306">
        <f>'1. Press Assumptions'!$B$35*'1. Press Assumptions'!$D$89*$A6^14</f>
        <v/>
      </c>
    </row>
    <row r="46">
      <c r="B46" s="306">
        <f>-'1. Press Assumptions'!$D$89*C$5</f>
        <v/>
      </c>
      <c r="C46" s="306">
        <f>'1. Press Assumptions'!$B$35*'1. Press Assumptions'!$D$89*$A6^0</f>
        <v/>
      </c>
      <c r="D46" s="306">
        <f>'1. Press Assumptions'!$B$35*'1. Press Assumptions'!$D$89*$A6^1</f>
        <v/>
      </c>
      <c r="E46" s="306">
        <f>'1. Press Assumptions'!$B$35*'1. Press Assumptions'!$D$89*$A6^2</f>
        <v/>
      </c>
      <c r="F46" s="306">
        <f>'1. Press Assumptions'!$B$35*'1. Press Assumptions'!$D$89*$A6^3</f>
        <v/>
      </c>
      <c r="G46" s="306">
        <f>'1. Press Assumptions'!$B$35*'1. Press Assumptions'!$D$89*$A6^4</f>
        <v/>
      </c>
      <c r="H46" s="306">
        <f>'1. Press Assumptions'!$B$35*'1. Press Assumptions'!$D$89*$A6^5</f>
        <v/>
      </c>
      <c r="I46" s="306">
        <f>'1. Press Assumptions'!$B$35*'1. Press Assumptions'!$D$89*$A6^6</f>
        <v/>
      </c>
      <c r="J46" s="306">
        <f>'1. Press Assumptions'!$B$35*'1. Press Assumptions'!$D$89*$A6^7</f>
        <v/>
      </c>
      <c r="K46" s="306">
        <f>'1. Press Assumptions'!$B$35*'1. Press Assumptions'!$D$89*$A6^8</f>
        <v/>
      </c>
      <c r="L46" s="306">
        <f>'1. Press Assumptions'!$B$35*'1. Press Assumptions'!$D$89*$A6^9</f>
        <v/>
      </c>
      <c r="M46" s="306">
        <f>'1. Press Assumptions'!$B$35*'1. Press Assumptions'!$D$89*$A6^10</f>
        <v/>
      </c>
      <c r="N46" s="306">
        <f>'1. Press Assumptions'!$B$35*'1. Press Assumptions'!$D$89*$A6^11</f>
        <v/>
      </c>
      <c r="O46" s="306">
        <f>'1. Press Assumptions'!$B$35*'1. Press Assumptions'!$D$89*$A6^12</f>
        <v/>
      </c>
      <c r="P46" s="306">
        <f>'1. Press Assumptions'!$B$35*'1. Press Assumptions'!$D$89*$A6^13</f>
        <v/>
      </c>
      <c r="Q46" s="306">
        <f>'1. Press Assumptions'!$B$35*'1. Press Assumptions'!$D$89*$A6^14</f>
        <v/>
      </c>
    </row>
    <row r="47">
      <c r="B47" s="306">
        <f>-'1. Press Assumptions'!$D$89*D$5</f>
        <v/>
      </c>
      <c r="C47" s="306">
        <f>'1. Press Assumptions'!$B$35*'1. Press Assumptions'!$D$89*$A6^0</f>
        <v/>
      </c>
      <c r="D47" s="306">
        <f>'1. Press Assumptions'!$B$35*'1. Press Assumptions'!$D$89*$A6^1</f>
        <v/>
      </c>
      <c r="E47" s="306">
        <f>'1. Press Assumptions'!$B$35*'1. Press Assumptions'!$D$89*$A6^2</f>
        <v/>
      </c>
      <c r="F47" s="306">
        <f>'1. Press Assumptions'!$B$35*'1. Press Assumptions'!$D$89*$A6^3</f>
        <v/>
      </c>
      <c r="G47" s="306">
        <f>'1. Press Assumptions'!$B$35*'1. Press Assumptions'!$D$89*$A6^4</f>
        <v/>
      </c>
      <c r="H47" s="306">
        <f>'1. Press Assumptions'!$B$35*'1. Press Assumptions'!$D$89*$A6^5</f>
        <v/>
      </c>
      <c r="I47" s="306">
        <f>'1. Press Assumptions'!$B$35*'1. Press Assumptions'!$D$89*$A6^6</f>
        <v/>
      </c>
      <c r="J47" s="306">
        <f>'1. Press Assumptions'!$B$35*'1. Press Assumptions'!$D$89*$A6^7</f>
        <v/>
      </c>
      <c r="K47" s="306">
        <f>'1. Press Assumptions'!$B$35*'1. Press Assumptions'!$D$89*$A6^8</f>
        <v/>
      </c>
      <c r="L47" s="306">
        <f>'1. Press Assumptions'!$B$35*'1. Press Assumptions'!$D$89*$A6^9</f>
        <v/>
      </c>
      <c r="M47" s="306">
        <f>'1. Press Assumptions'!$B$35*'1. Press Assumptions'!$D$89*$A6^10</f>
        <v/>
      </c>
      <c r="N47" s="306">
        <f>'1. Press Assumptions'!$B$35*'1. Press Assumptions'!$D$89*$A6^11</f>
        <v/>
      </c>
      <c r="O47" s="306">
        <f>'1. Press Assumptions'!$B$35*'1. Press Assumptions'!$D$89*$A6^12</f>
        <v/>
      </c>
      <c r="P47" s="306">
        <f>'1. Press Assumptions'!$B$35*'1. Press Assumptions'!$D$89*$A6^13</f>
        <v/>
      </c>
      <c r="Q47" s="306">
        <f>'1. Press Assumptions'!$B$35*'1. Press Assumptions'!$D$89*$A6^14</f>
        <v/>
      </c>
    </row>
    <row r="48">
      <c r="B48" s="306">
        <f>-'1. Press Assumptions'!$D$89*E$5</f>
        <v/>
      </c>
      <c r="C48" s="306">
        <f>'1. Press Assumptions'!$B$35*'1. Press Assumptions'!$D$89*$A6^0</f>
        <v/>
      </c>
      <c r="D48" s="306">
        <f>'1. Press Assumptions'!$B$35*'1. Press Assumptions'!$D$89*$A6^1</f>
        <v/>
      </c>
      <c r="E48" s="306">
        <f>'1. Press Assumptions'!$B$35*'1. Press Assumptions'!$D$89*$A6^2</f>
        <v/>
      </c>
      <c r="F48" s="306">
        <f>'1. Press Assumptions'!$B$35*'1. Press Assumptions'!$D$89*$A6^3</f>
        <v/>
      </c>
      <c r="G48" s="306">
        <f>'1. Press Assumptions'!$B$35*'1. Press Assumptions'!$D$89*$A6^4</f>
        <v/>
      </c>
      <c r="H48" s="306">
        <f>'1. Press Assumptions'!$B$35*'1. Press Assumptions'!$D$89*$A6^5</f>
        <v/>
      </c>
      <c r="I48" s="306">
        <f>'1. Press Assumptions'!$B$35*'1. Press Assumptions'!$D$89*$A6^6</f>
        <v/>
      </c>
      <c r="J48" s="306">
        <f>'1. Press Assumptions'!$B$35*'1. Press Assumptions'!$D$89*$A6^7</f>
        <v/>
      </c>
      <c r="K48" s="306">
        <f>'1. Press Assumptions'!$B$35*'1. Press Assumptions'!$D$89*$A6^8</f>
        <v/>
      </c>
      <c r="L48" s="306">
        <f>'1. Press Assumptions'!$B$35*'1. Press Assumptions'!$D$89*$A6^9</f>
        <v/>
      </c>
      <c r="M48" s="306">
        <f>'1. Press Assumptions'!$B$35*'1. Press Assumptions'!$D$89*$A6^10</f>
        <v/>
      </c>
      <c r="N48" s="306">
        <f>'1. Press Assumptions'!$B$35*'1. Press Assumptions'!$D$89*$A6^11</f>
        <v/>
      </c>
      <c r="O48" s="306">
        <f>'1. Press Assumptions'!$B$35*'1. Press Assumptions'!$D$89*$A6^12</f>
        <v/>
      </c>
      <c r="P48" s="306">
        <f>'1. Press Assumptions'!$B$35*'1. Press Assumptions'!$D$89*$A6^13</f>
        <v/>
      </c>
      <c r="Q48" s="306">
        <f>'1. Press Assumptions'!$B$35*'1. Press Assumptions'!$D$89*$A6^14</f>
        <v/>
      </c>
    </row>
    <row r="49">
      <c r="B49" s="306">
        <f>-'1. Press Assumptions'!$D$89*F$5</f>
        <v/>
      </c>
      <c r="C49" s="306">
        <f>'1. Press Assumptions'!$B$35*'1. Press Assumptions'!$D$89*$A6^0</f>
        <v/>
      </c>
      <c r="D49" s="306">
        <f>'1. Press Assumptions'!$B$35*'1. Press Assumptions'!$D$89*$A6^1</f>
        <v/>
      </c>
      <c r="E49" s="306">
        <f>'1. Press Assumptions'!$B$35*'1. Press Assumptions'!$D$89*$A6^2</f>
        <v/>
      </c>
      <c r="F49" s="306">
        <f>'1. Press Assumptions'!$B$35*'1. Press Assumptions'!$D$89*$A6^3</f>
        <v/>
      </c>
      <c r="G49" s="306">
        <f>'1. Press Assumptions'!$B$35*'1. Press Assumptions'!$D$89*$A6^4</f>
        <v/>
      </c>
      <c r="H49" s="306">
        <f>'1. Press Assumptions'!$B$35*'1. Press Assumptions'!$D$89*$A6^5</f>
        <v/>
      </c>
      <c r="I49" s="306">
        <f>'1. Press Assumptions'!$B$35*'1. Press Assumptions'!$D$89*$A6^6</f>
        <v/>
      </c>
      <c r="J49" s="306">
        <f>'1. Press Assumptions'!$B$35*'1. Press Assumptions'!$D$89*$A6^7</f>
        <v/>
      </c>
      <c r="K49" s="306">
        <f>'1. Press Assumptions'!$B$35*'1. Press Assumptions'!$D$89*$A6^8</f>
        <v/>
      </c>
      <c r="L49" s="306">
        <f>'1. Press Assumptions'!$B$35*'1. Press Assumptions'!$D$89*$A6^9</f>
        <v/>
      </c>
      <c r="M49" s="306">
        <f>'1. Press Assumptions'!$B$35*'1. Press Assumptions'!$D$89*$A6^10</f>
        <v/>
      </c>
      <c r="N49" s="306">
        <f>'1. Press Assumptions'!$B$35*'1. Press Assumptions'!$D$89*$A6^11</f>
        <v/>
      </c>
      <c r="O49" s="306">
        <f>'1. Press Assumptions'!$B$35*'1. Press Assumptions'!$D$89*$A6^12</f>
        <v/>
      </c>
      <c r="P49" s="306">
        <f>'1. Press Assumptions'!$B$35*'1. Press Assumptions'!$D$89*$A6^13</f>
        <v/>
      </c>
      <c r="Q49" s="306">
        <f>'1. Press Assumptions'!$B$35*'1. Press Assumptions'!$D$89*$A6^14</f>
        <v/>
      </c>
    </row>
    <row r="50">
      <c r="B50" s="306">
        <f>-'1. Press Assumptions'!$D$89*G$5</f>
        <v/>
      </c>
      <c r="C50" s="306">
        <f>'1. Press Assumptions'!$B$35*'1. Press Assumptions'!$D$89*$A6^0</f>
        <v/>
      </c>
      <c r="D50" s="306">
        <f>'1. Press Assumptions'!$B$35*'1. Press Assumptions'!$D$89*$A6^1</f>
        <v/>
      </c>
      <c r="E50" s="306">
        <f>'1. Press Assumptions'!$B$35*'1. Press Assumptions'!$D$89*$A6^2</f>
        <v/>
      </c>
      <c r="F50" s="306">
        <f>'1. Press Assumptions'!$B$35*'1. Press Assumptions'!$D$89*$A6^3</f>
        <v/>
      </c>
      <c r="G50" s="306">
        <f>'1. Press Assumptions'!$B$35*'1. Press Assumptions'!$D$89*$A6^4</f>
        <v/>
      </c>
      <c r="H50" s="306">
        <f>'1. Press Assumptions'!$B$35*'1. Press Assumptions'!$D$89*$A6^5</f>
        <v/>
      </c>
      <c r="I50" s="306">
        <f>'1. Press Assumptions'!$B$35*'1. Press Assumptions'!$D$89*$A6^6</f>
        <v/>
      </c>
      <c r="J50" s="306">
        <f>'1. Press Assumptions'!$B$35*'1. Press Assumptions'!$D$89*$A6^7</f>
        <v/>
      </c>
      <c r="K50" s="306">
        <f>'1. Press Assumptions'!$B$35*'1. Press Assumptions'!$D$89*$A6^8</f>
        <v/>
      </c>
      <c r="L50" s="306">
        <f>'1. Press Assumptions'!$B$35*'1. Press Assumptions'!$D$89*$A6^9</f>
        <v/>
      </c>
      <c r="M50" s="306">
        <f>'1. Press Assumptions'!$B$35*'1. Press Assumptions'!$D$89*$A6^10</f>
        <v/>
      </c>
      <c r="N50" s="306">
        <f>'1. Press Assumptions'!$B$35*'1. Press Assumptions'!$D$89*$A6^11</f>
        <v/>
      </c>
      <c r="O50" s="306">
        <f>'1. Press Assumptions'!$B$35*'1. Press Assumptions'!$D$89*$A6^12</f>
        <v/>
      </c>
      <c r="P50" s="306">
        <f>'1. Press Assumptions'!$B$35*'1. Press Assumptions'!$D$89*$A6^13</f>
        <v/>
      </c>
      <c r="Q50" s="306">
        <f>'1. Press Assumptions'!$B$35*'1. Press Assumptions'!$D$89*$A6^14</f>
        <v/>
      </c>
    </row>
    <row r="51">
      <c r="B51" s="306">
        <f>-'1. Press Assumptions'!$D$89*H$5</f>
        <v/>
      </c>
      <c r="C51" s="306">
        <f>'1. Press Assumptions'!$B$35*'1. Press Assumptions'!$D$89*$A6^0</f>
        <v/>
      </c>
      <c r="D51" s="306">
        <f>'1. Press Assumptions'!$B$35*'1. Press Assumptions'!$D$89*$A6^1</f>
        <v/>
      </c>
      <c r="E51" s="306">
        <f>'1. Press Assumptions'!$B$35*'1. Press Assumptions'!$D$89*$A6^2</f>
        <v/>
      </c>
      <c r="F51" s="306">
        <f>'1. Press Assumptions'!$B$35*'1. Press Assumptions'!$D$89*$A6^3</f>
        <v/>
      </c>
      <c r="G51" s="306">
        <f>'1. Press Assumptions'!$B$35*'1. Press Assumptions'!$D$89*$A6^4</f>
        <v/>
      </c>
      <c r="H51" s="306">
        <f>'1. Press Assumptions'!$B$35*'1. Press Assumptions'!$D$89*$A6^5</f>
        <v/>
      </c>
      <c r="I51" s="306">
        <f>'1. Press Assumptions'!$B$35*'1. Press Assumptions'!$D$89*$A6^6</f>
        <v/>
      </c>
      <c r="J51" s="306">
        <f>'1. Press Assumptions'!$B$35*'1. Press Assumptions'!$D$89*$A6^7</f>
        <v/>
      </c>
      <c r="K51" s="306">
        <f>'1. Press Assumptions'!$B$35*'1. Press Assumptions'!$D$89*$A6^8</f>
        <v/>
      </c>
      <c r="L51" s="306">
        <f>'1. Press Assumptions'!$B$35*'1. Press Assumptions'!$D$89*$A6^9</f>
        <v/>
      </c>
      <c r="M51" s="306">
        <f>'1. Press Assumptions'!$B$35*'1. Press Assumptions'!$D$89*$A6^10</f>
        <v/>
      </c>
      <c r="N51" s="306">
        <f>'1. Press Assumptions'!$B$35*'1. Press Assumptions'!$D$89*$A6^11</f>
        <v/>
      </c>
      <c r="O51" s="306">
        <f>'1. Press Assumptions'!$B$35*'1. Press Assumptions'!$D$89*$A6^12</f>
        <v/>
      </c>
      <c r="P51" s="306">
        <f>'1. Press Assumptions'!$B$35*'1. Press Assumptions'!$D$89*$A6^13</f>
        <v/>
      </c>
      <c r="Q51" s="306">
        <f>'1. Press Assumptions'!$B$35*'1. Press Assumptions'!$D$89*$A6^14</f>
        <v/>
      </c>
    </row>
    <row r="52">
      <c r="B52" s="306">
        <f>-'1. Press Assumptions'!$D$89*B$5</f>
        <v/>
      </c>
      <c r="C52" s="306">
        <f>'1. Press Assumptions'!$B$35*'1. Press Assumptions'!$D$89*$A7^0</f>
        <v/>
      </c>
      <c r="D52" s="306">
        <f>'1. Press Assumptions'!$B$35*'1. Press Assumptions'!$D$89*$A7^1</f>
        <v/>
      </c>
      <c r="E52" s="306">
        <f>'1. Press Assumptions'!$B$35*'1. Press Assumptions'!$D$89*$A7^2</f>
        <v/>
      </c>
      <c r="F52" s="306">
        <f>'1. Press Assumptions'!$B$35*'1. Press Assumptions'!$D$89*$A7^3</f>
        <v/>
      </c>
      <c r="G52" s="306">
        <f>'1. Press Assumptions'!$B$35*'1. Press Assumptions'!$D$89*$A7^4</f>
        <v/>
      </c>
      <c r="H52" s="306">
        <f>'1. Press Assumptions'!$B$35*'1. Press Assumptions'!$D$89*$A7^5</f>
        <v/>
      </c>
      <c r="I52" s="306">
        <f>'1. Press Assumptions'!$B$35*'1. Press Assumptions'!$D$89*$A7^6</f>
        <v/>
      </c>
      <c r="J52" s="306">
        <f>'1. Press Assumptions'!$B$35*'1. Press Assumptions'!$D$89*$A7^7</f>
        <v/>
      </c>
      <c r="K52" s="306">
        <f>'1. Press Assumptions'!$B$35*'1. Press Assumptions'!$D$89*$A7^8</f>
        <v/>
      </c>
      <c r="L52" s="306">
        <f>'1. Press Assumptions'!$B$35*'1. Press Assumptions'!$D$89*$A7^9</f>
        <v/>
      </c>
      <c r="M52" s="306">
        <f>'1. Press Assumptions'!$B$35*'1. Press Assumptions'!$D$89*$A7^10</f>
        <v/>
      </c>
      <c r="N52" s="306">
        <f>'1. Press Assumptions'!$B$35*'1. Press Assumptions'!$D$89*$A7^11</f>
        <v/>
      </c>
      <c r="O52" s="306">
        <f>'1. Press Assumptions'!$B$35*'1. Press Assumptions'!$D$89*$A7^12</f>
        <v/>
      </c>
      <c r="P52" s="306">
        <f>'1. Press Assumptions'!$B$35*'1. Press Assumptions'!$D$89*$A7^13</f>
        <v/>
      </c>
      <c r="Q52" s="306">
        <f>'1. Press Assumptions'!$B$35*'1. Press Assumptions'!$D$89*$A7^14</f>
        <v/>
      </c>
    </row>
    <row r="53">
      <c r="B53" s="306">
        <f>-'1. Press Assumptions'!$D$89*C$5</f>
        <v/>
      </c>
      <c r="C53" s="306">
        <f>'1. Press Assumptions'!$B$35*'1. Press Assumptions'!$D$89*$A7^0</f>
        <v/>
      </c>
      <c r="D53" s="306">
        <f>'1. Press Assumptions'!$B$35*'1. Press Assumptions'!$D$89*$A7^1</f>
        <v/>
      </c>
      <c r="E53" s="306">
        <f>'1. Press Assumptions'!$B$35*'1. Press Assumptions'!$D$89*$A7^2</f>
        <v/>
      </c>
      <c r="F53" s="306">
        <f>'1. Press Assumptions'!$B$35*'1. Press Assumptions'!$D$89*$A7^3</f>
        <v/>
      </c>
      <c r="G53" s="306">
        <f>'1. Press Assumptions'!$B$35*'1. Press Assumptions'!$D$89*$A7^4</f>
        <v/>
      </c>
      <c r="H53" s="306">
        <f>'1. Press Assumptions'!$B$35*'1. Press Assumptions'!$D$89*$A7^5</f>
        <v/>
      </c>
      <c r="I53" s="306">
        <f>'1. Press Assumptions'!$B$35*'1. Press Assumptions'!$D$89*$A7^6</f>
        <v/>
      </c>
      <c r="J53" s="306">
        <f>'1. Press Assumptions'!$B$35*'1. Press Assumptions'!$D$89*$A7^7</f>
        <v/>
      </c>
      <c r="K53" s="306">
        <f>'1. Press Assumptions'!$B$35*'1. Press Assumptions'!$D$89*$A7^8</f>
        <v/>
      </c>
      <c r="L53" s="306">
        <f>'1. Press Assumptions'!$B$35*'1. Press Assumptions'!$D$89*$A7^9</f>
        <v/>
      </c>
      <c r="M53" s="306">
        <f>'1. Press Assumptions'!$B$35*'1. Press Assumptions'!$D$89*$A7^10</f>
        <v/>
      </c>
      <c r="N53" s="306">
        <f>'1. Press Assumptions'!$B$35*'1. Press Assumptions'!$D$89*$A7^11</f>
        <v/>
      </c>
      <c r="O53" s="306">
        <f>'1. Press Assumptions'!$B$35*'1. Press Assumptions'!$D$89*$A7^12</f>
        <v/>
      </c>
      <c r="P53" s="306">
        <f>'1. Press Assumptions'!$B$35*'1. Press Assumptions'!$D$89*$A7^13</f>
        <v/>
      </c>
      <c r="Q53" s="306">
        <f>'1. Press Assumptions'!$B$35*'1. Press Assumptions'!$D$89*$A7^14</f>
        <v/>
      </c>
    </row>
    <row r="54">
      <c r="B54" s="306">
        <f>-'1. Press Assumptions'!$D$89*D$5</f>
        <v/>
      </c>
      <c r="C54" s="306">
        <f>'1. Press Assumptions'!$B$35*'1. Press Assumptions'!$D$89*$A7^0</f>
        <v/>
      </c>
      <c r="D54" s="306">
        <f>'1. Press Assumptions'!$B$35*'1. Press Assumptions'!$D$89*$A7^1</f>
        <v/>
      </c>
      <c r="E54" s="306">
        <f>'1. Press Assumptions'!$B$35*'1. Press Assumptions'!$D$89*$A7^2</f>
        <v/>
      </c>
      <c r="F54" s="306">
        <f>'1. Press Assumptions'!$B$35*'1. Press Assumptions'!$D$89*$A7^3</f>
        <v/>
      </c>
      <c r="G54" s="306">
        <f>'1. Press Assumptions'!$B$35*'1. Press Assumptions'!$D$89*$A7^4</f>
        <v/>
      </c>
      <c r="H54" s="306">
        <f>'1. Press Assumptions'!$B$35*'1. Press Assumptions'!$D$89*$A7^5</f>
        <v/>
      </c>
      <c r="I54" s="306">
        <f>'1. Press Assumptions'!$B$35*'1. Press Assumptions'!$D$89*$A7^6</f>
        <v/>
      </c>
      <c r="J54" s="306">
        <f>'1. Press Assumptions'!$B$35*'1. Press Assumptions'!$D$89*$A7^7</f>
        <v/>
      </c>
      <c r="K54" s="306">
        <f>'1. Press Assumptions'!$B$35*'1. Press Assumptions'!$D$89*$A7^8</f>
        <v/>
      </c>
      <c r="L54" s="306">
        <f>'1. Press Assumptions'!$B$35*'1. Press Assumptions'!$D$89*$A7^9</f>
        <v/>
      </c>
      <c r="M54" s="306">
        <f>'1. Press Assumptions'!$B$35*'1. Press Assumptions'!$D$89*$A7^10</f>
        <v/>
      </c>
      <c r="N54" s="306">
        <f>'1. Press Assumptions'!$B$35*'1. Press Assumptions'!$D$89*$A7^11</f>
        <v/>
      </c>
      <c r="O54" s="306">
        <f>'1. Press Assumptions'!$B$35*'1. Press Assumptions'!$D$89*$A7^12</f>
        <v/>
      </c>
      <c r="P54" s="306">
        <f>'1. Press Assumptions'!$B$35*'1. Press Assumptions'!$D$89*$A7^13</f>
        <v/>
      </c>
      <c r="Q54" s="306">
        <f>'1. Press Assumptions'!$B$35*'1. Press Assumptions'!$D$89*$A7^14</f>
        <v/>
      </c>
    </row>
    <row r="55">
      <c r="B55" s="306">
        <f>-'1. Press Assumptions'!$D$89*E$5</f>
        <v/>
      </c>
      <c r="C55" s="306">
        <f>'1. Press Assumptions'!$B$35*'1. Press Assumptions'!$D$89*$A7^0</f>
        <v/>
      </c>
      <c r="D55" s="306">
        <f>'1. Press Assumptions'!$B$35*'1. Press Assumptions'!$D$89*$A7^1</f>
        <v/>
      </c>
      <c r="E55" s="306">
        <f>'1. Press Assumptions'!$B$35*'1. Press Assumptions'!$D$89*$A7^2</f>
        <v/>
      </c>
      <c r="F55" s="306">
        <f>'1. Press Assumptions'!$B$35*'1. Press Assumptions'!$D$89*$A7^3</f>
        <v/>
      </c>
      <c r="G55" s="306">
        <f>'1. Press Assumptions'!$B$35*'1. Press Assumptions'!$D$89*$A7^4</f>
        <v/>
      </c>
      <c r="H55" s="306">
        <f>'1. Press Assumptions'!$B$35*'1. Press Assumptions'!$D$89*$A7^5</f>
        <v/>
      </c>
      <c r="I55" s="306">
        <f>'1. Press Assumptions'!$B$35*'1. Press Assumptions'!$D$89*$A7^6</f>
        <v/>
      </c>
      <c r="J55" s="306">
        <f>'1. Press Assumptions'!$B$35*'1. Press Assumptions'!$D$89*$A7^7</f>
        <v/>
      </c>
      <c r="K55" s="306">
        <f>'1. Press Assumptions'!$B$35*'1. Press Assumptions'!$D$89*$A7^8</f>
        <v/>
      </c>
      <c r="L55" s="306">
        <f>'1. Press Assumptions'!$B$35*'1. Press Assumptions'!$D$89*$A7^9</f>
        <v/>
      </c>
      <c r="M55" s="306">
        <f>'1. Press Assumptions'!$B$35*'1. Press Assumptions'!$D$89*$A7^10</f>
        <v/>
      </c>
      <c r="N55" s="306">
        <f>'1. Press Assumptions'!$B$35*'1. Press Assumptions'!$D$89*$A7^11</f>
        <v/>
      </c>
      <c r="O55" s="306">
        <f>'1. Press Assumptions'!$B$35*'1. Press Assumptions'!$D$89*$A7^12</f>
        <v/>
      </c>
      <c r="P55" s="306">
        <f>'1. Press Assumptions'!$B$35*'1. Press Assumptions'!$D$89*$A7^13</f>
        <v/>
      </c>
      <c r="Q55" s="306">
        <f>'1. Press Assumptions'!$B$35*'1. Press Assumptions'!$D$89*$A7^14</f>
        <v/>
      </c>
    </row>
    <row r="56">
      <c r="B56" s="306">
        <f>-'1. Press Assumptions'!$D$89*F$5</f>
        <v/>
      </c>
      <c r="C56" s="306">
        <f>'1. Press Assumptions'!$B$35*'1. Press Assumptions'!$D$89*$A7^0</f>
        <v/>
      </c>
      <c r="D56" s="306">
        <f>'1. Press Assumptions'!$B$35*'1. Press Assumptions'!$D$89*$A7^1</f>
        <v/>
      </c>
      <c r="E56" s="306">
        <f>'1. Press Assumptions'!$B$35*'1. Press Assumptions'!$D$89*$A7^2</f>
        <v/>
      </c>
      <c r="F56" s="306">
        <f>'1. Press Assumptions'!$B$35*'1. Press Assumptions'!$D$89*$A7^3</f>
        <v/>
      </c>
      <c r="G56" s="306">
        <f>'1. Press Assumptions'!$B$35*'1. Press Assumptions'!$D$89*$A7^4</f>
        <v/>
      </c>
      <c r="H56" s="306">
        <f>'1. Press Assumptions'!$B$35*'1. Press Assumptions'!$D$89*$A7^5</f>
        <v/>
      </c>
      <c r="I56" s="306">
        <f>'1. Press Assumptions'!$B$35*'1. Press Assumptions'!$D$89*$A7^6</f>
        <v/>
      </c>
      <c r="J56" s="306">
        <f>'1. Press Assumptions'!$B$35*'1. Press Assumptions'!$D$89*$A7^7</f>
        <v/>
      </c>
      <c r="K56" s="306">
        <f>'1. Press Assumptions'!$B$35*'1. Press Assumptions'!$D$89*$A7^8</f>
        <v/>
      </c>
      <c r="L56" s="306">
        <f>'1. Press Assumptions'!$B$35*'1. Press Assumptions'!$D$89*$A7^9</f>
        <v/>
      </c>
      <c r="M56" s="306">
        <f>'1. Press Assumptions'!$B$35*'1. Press Assumptions'!$D$89*$A7^10</f>
        <v/>
      </c>
      <c r="N56" s="306">
        <f>'1. Press Assumptions'!$B$35*'1. Press Assumptions'!$D$89*$A7^11</f>
        <v/>
      </c>
      <c r="O56" s="306">
        <f>'1. Press Assumptions'!$B$35*'1. Press Assumptions'!$D$89*$A7^12</f>
        <v/>
      </c>
      <c r="P56" s="306">
        <f>'1. Press Assumptions'!$B$35*'1. Press Assumptions'!$D$89*$A7^13</f>
        <v/>
      </c>
      <c r="Q56" s="306">
        <f>'1. Press Assumptions'!$B$35*'1. Press Assumptions'!$D$89*$A7^14</f>
        <v/>
      </c>
    </row>
    <row r="57">
      <c r="B57" s="306">
        <f>-'1. Press Assumptions'!$D$89*G$5</f>
        <v/>
      </c>
      <c r="C57" s="306">
        <f>'1. Press Assumptions'!$B$35*'1. Press Assumptions'!$D$89*$A7^0</f>
        <v/>
      </c>
      <c r="D57" s="306">
        <f>'1. Press Assumptions'!$B$35*'1. Press Assumptions'!$D$89*$A7^1</f>
        <v/>
      </c>
      <c r="E57" s="306">
        <f>'1. Press Assumptions'!$B$35*'1. Press Assumptions'!$D$89*$A7^2</f>
        <v/>
      </c>
      <c r="F57" s="306">
        <f>'1. Press Assumptions'!$B$35*'1. Press Assumptions'!$D$89*$A7^3</f>
        <v/>
      </c>
      <c r="G57" s="306">
        <f>'1. Press Assumptions'!$B$35*'1. Press Assumptions'!$D$89*$A7^4</f>
        <v/>
      </c>
      <c r="H57" s="306">
        <f>'1. Press Assumptions'!$B$35*'1. Press Assumptions'!$D$89*$A7^5</f>
        <v/>
      </c>
      <c r="I57" s="306">
        <f>'1. Press Assumptions'!$B$35*'1. Press Assumptions'!$D$89*$A7^6</f>
        <v/>
      </c>
      <c r="J57" s="306">
        <f>'1. Press Assumptions'!$B$35*'1. Press Assumptions'!$D$89*$A7^7</f>
        <v/>
      </c>
      <c r="K57" s="306">
        <f>'1. Press Assumptions'!$B$35*'1. Press Assumptions'!$D$89*$A7^8</f>
        <v/>
      </c>
      <c r="L57" s="306">
        <f>'1. Press Assumptions'!$B$35*'1. Press Assumptions'!$D$89*$A7^9</f>
        <v/>
      </c>
      <c r="M57" s="306">
        <f>'1. Press Assumptions'!$B$35*'1. Press Assumptions'!$D$89*$A7^10</f>
        <v/>
      </c>
      <c r="N57" s="306">
        <f>'1. Press Assumptions'!$B$35*'1. Press Assumptions'!$D$89*$A7^11</f>
        <v/>
      </c>
      <c r="O57" s="306">
        <f>'1. Press Assumptions'!$B$35*'1. Press Assumptions'!$D$89*$A7^12</f>
        <v/>
      </c>
      <c r="P57" s="306">
        <f>'1. Press Assumptions'!$B$35*'1. Press Assumptions'!$D$89*$A7^13</f>
        <v/>
      </c>
      <c r="Q57" s="306">
        <f>'1. Press Assumptions'!$B$35*'1. Press Assumptions'!$D$89*$A7^14</f>
        <v/>
      </c>
    </row>
    <row r="58">
      <c r="B58" s="306">
        <f>-'1. Press Assumptions'!$D$89*H$5</f>
        <v/>
      </c>
      <c r="C58" s="306">
        <f>'1. Press Assumptions'!$B$35*'1. Press Assumptions'!$D$89*$A7^0</f>
        <v/>
      </c>
      <c r="D58" s="306">
        <f>'1. Press Assumptions'!$B$35*'1. Press Assumptions'!$D$89*$A7^1</f>
        <v/>
      </c>
      <c r="E58" s="306">
        <f>'1. Press Assumptions'!$B$35*'1. Press Assumptions'!$D$89*$A7^2</f>
        <v/>
      </c>
      <c r="F58" s="306">
        <f>'1. Press Assumptions'!$B$35*'1. Press Assumptions'!$D$89*$A7^3</f>
        <v/>
      </c>
      <c r="G58" s="306">
        <f>'1. Press Assumptions'!$B$35*'1. Press Assumptions'!$D$89*$A7^4</f>
        <v/>
      </c>
      <c r="H58" s="306">
        <f>'1. Press Assumptions'!$B$35*'1. Press Assumptions'!$D$89*$A7^5</f>
        <v/>
      </c>
      <c r="I58" s="306">
        <f>'1. Press Assumptions'!$B$35*'1. Press Assumptions'!$D$89*$A7^6</f>
        <v/>
      </c>
      <c r="J58" s="306">
        <f>'1. Press Assumptions'!$B$35*'1. Press Assumptions'!$D$89*$A7^7</f>
        <v/>
      </c>
      <c r="K58" s="306">
        <f>'1. Press Assumptions'!$B$35*'1. Press Assumptions'!$D$89*$A7^8</f>
        <v/>
      </c>
      <c r="L58" s="306">
        <f>'1. Press Assumptions'!$B$35*'1. Press Assumptions'!$D$89*$A7^9</f>
        <v/>
      </c>
      <c r="M58" s="306">
        <f>'1. Press Assumptions'!$B$35*'1. Press Assumptions'!$D$89*$A7^10</f>
        <v/>
      </c>
      <c r="N58" s="306">
        <f>'1. Press Assumptions'!$B$35*'1. Press Assumptions'!$D$89*$A7^11</f>
        <v/>
      </c>
      <c r="O58" s="306">
        <f>'1. Press Assumptions'!$B$35*'1. Press Assumptions'!$D$89*$A7^12</f>
        <v/>
      </c>
      <c r="P58" s="306">
        <f>'1. Press Assumptions'!$B$35*'1. Press Assumptions'!$D$89*$A7^13</f>
        <v/>
      </c>
      <c r="Q58" s="306">
        <f>'1. Press Assumptions'!$B$35*'1. Press Assumptions'!$D$89*$A7^14</f>
        <v/>
      </c>
    </row>
    <row r="59">
      <c r="B59" s="306">
        <f>-'1. Press Assumptions'!$D$89*B$5</f>
        <v/>
      </c>
      <c r="C59" s="306">
        <f>'1. Press Assumptions'!$B$35*'1. Press Assumptions'!$D$89*$A8^0</f>
        <v/>
      </c>
      <c r="D59" s="306">
        <f>'1. Press Assumptions'!$B$35*'1. Press Assumptions'!$D$89*$A8^1</f>
        <v/>
      </c>
      <c r="E59" s="306">
        <f>'1. Press Assumptions'!$B$35*'1. Press Assumptions'!$D$89*$A8^2</f>
        <v/>
      </c>
      <c r="F59" s="306">
        <f>'1. Press Assumptions'!$B$35*'1. Press Assumptions'!$D$89*$A8^3</f>
        <v/>
      </c>
      <c r="G59" s="306">
        <f>'1. Press Assumptions'!$B$35*'1. Press Assumptions'!$D$89*$A8^4</f>
        <v/>
      </c>
      <c r="H59" s="306">
        <f>'1. Press Assumptions'!$B$35*'1. Press Assumptions'!$D$89*$A8^5</f>
        <v/>
      </c>
      <c r="I59" s="306">
        <f>'1. Press Assumptions'!$B$35*'1. Press Assumptions'!$D$89*$A8^6</f>
        <v/>
      </c>
      <c r="J59" s="306">
        <f>'1. Press Assumptions'!$B$35*'1. Press Assumptions'!$D$89*$A8^7</f>
        <v/>
      </c>
      <c r="K59" s="306">
        <f>'1. Press Assumptions'!$B$35*'1. Press Assumptions'!$D$89*$A8^8</f>
        <v/>
      </c>
      <c r="L59" s="306">
        <f>'1. Press Assumptions'!$B$35*'1. Press Assumptions'!$D$89*$A8^9</f>
        <v/>
      </c>
      <c r="M59" s="306">
        <f>'1. Press Assumptions'!$B$35*'1. Press Assumptions'!$D$89*$A8^10</f>
        <v/>
      </c>
      <c r="N59" s="306">
        <f>'1. Press Assumptions'!$B$35*'1. Press Assumptions'!$D$89*$A8^11</f>
        <v/>
      </c>
      <c r="O59" s="306">
        <f>'1. Press Assumptions'!$B$35*'1. Press Assumptions'!$D$89*$A8^12</f>
        <v/>
      </c>
      <c r="P59" s="306">
        <f>'1. Press Assumptions'!$B$35*'1. Press Assumptions'!$D$89*$A8^13</f>
        <v/>
      </c>
      <c r="Q59" s="306">
        <f>'1. Press Assumptions'!$B$35*'1. Press Assumptions'!$D$89*$A8^14</f>
        <v/>
      </c>
    </row>
    <row r="60">
      <c r="B60" s="306">
        <f>-'1. Press Assumptions'!$D$89*C$5</f>
        <v/>
      </c>
      <c r="C60" s="306">
        <f>'1. Press Assumptions'!$B$35*'1. Press Assumptions'!$D$89*$A8^0</f>
        <v/>
      </c>
      <c r="D60" s="306">
        <f>'1. Press Assumptions'!$B$35*'1. Press Assumptions'!$D$89*$A8^1</f>
        <v/>
      </c>
      <c r="E60" s="306">
        <f>'1. Press Assumptions'!$B$35*'1. Press Assumptions'!$D$89*$A8^2</f>
        <v/>
      </c>
      <c r="F60" s="306">
        <f>'1. Press Assumptions'!$B$35*'1. Press Assumptions'!$D$89*$A8^3</f>
        <v/>
      </c>
      <c r="G60" s="306">
        <f>'1. Press Assumptions'!$B$35*'1. Press Assumptions'!$D$89*$A8^4</f>
        <v/>
      </c>
      <c r="H60" s="306">
        <f>'1. Press Assumptions'!$B$35*'1. Press Assumptions'!$D$89*$A8^5</f>
        <v/>
      </c>
      <c r="I60" s="306">
        <f>'1. Press Assumptions'!$B$35*'1. Press Assumptions'!$D$89*$A8^6</f>
        <v/>
      </c>
      <c r="J60" s="306">
        <f>'1. Press Assumptions'!$B$35*'1. Press Assumptions'!$D$89*$A8^7</f>
        <v/>
      </c>
      <c r="K60" s="306">
        <f>'1. Press Assumptions'!$B$35*'1. Press Assumptions'!$D$89*$A8^8</f>
        <v/>
      </c>
      <c r="L60" s="306">
        <f>'1. Press Assumptions'!$B$35*'1. Press Assumptions'!$D$89*$A8^9</f>
        <v/>
      </c>
      <c r="M60" s="306">
        <f>'1. Press Assumptions'!$B$35*'1. Press Assumptions'!$D$89*$A8^10</f>
        <v/>
      </c>
      <c r="N60" s="306">
        <f>'1. Press Assumptions'!$B$35*'1. Press Assumptions'!$D$89*$A8^11</f>
        <v/>
      </c>
      <c r="O60" s="306">
        <f>'1. Press Assumptions'!$B$35*'1. Press Assumptions'!$D$89*$A8^12</f>
        <v/>
      </c>
      <c r="P60" s="306">
        <f>'1. Press Assumptions'!$B$35*'1. Press Assumptions'!$D$89*$A8^13</f>
        <v/>
      </c>
      <c r="Q60" s="306">
        <f>'1. Press Assumptions'!$B$35*'1. Press Assumptions'!$D$89*$A8^14</f>
        <v/>
      </c>
    </row>
    <row r="61">
      <c r="B61" s="306">
        <f>-'1. Press Assumptions'!$D$89*D$5</f>
        <v/>
      </c>
      <c r="C61" s="306">
        <f>'1. Press Assumptions'!$B$35*'1. Press Assumptions'!$D$89*$A8^0</f>
        <v/>
      </c>
      <c r="D61" s="306">
        <f>'1. Press Assumptions'!$B$35*'1. Press Assumptions'!$D$89*$A8^1</f>
        <v/>
      </c>
      <c r="E61" s="306">
        <f>'1. Press Assumptions'!$B$35*'1. Press Assumptions'!$D$89*$A8^2</f>
        <v/>
      </c>
      <c r="F61" s="306">
        <f>'1. Press Assumptions'!$B$35*'1. Press Assumptions'!$D$89*$A8^3</f>
        <v/>
      </c>
      <c r="G61" s="306">
        <f>'1. Press Assumptions'!$B$35*'1. Press Assumptions'!$D$89*$A8^4</f>
        <v/>
      </c>
      <c r="H61" s="306">
        <f>'1. Press Assumptions'!$B$35*'1. Press Assumptions'!$D$89*$A8^5</f>
        <v/>
      </c>
      <c r="I61" s="306">
        <f>'1. Press Assumptions'!$B$35*'1. Press Assumptions'!$D$89*$A8^6</f>
        <v/>
      </c>
      <c r="J61" s="306">
        <f>'1. Press Assumptions'!$B$35*'1. Press Assumptions'!$D$89*$A8^7</f>
        <v/>
      </c>
      <c r="K61" s="306">
        <f>'1. Press Assumptions'!$B$35*'1. Press Assumptions'!$D$89*$A8^8</f>
        <v/>
      </c>
      <c r="L61" s="306">
        <f>'1. Press Assumptions'!$B$35*'1. Press Assumptions'!$D$89*$A8^9</f>
        <v/>
      </c>
      <c r="M61" s="306">
        <f>'1. Press Assumptions'!$B$35*'1. Press Assumptions'!$D$89*$A8^10</f>
        <v/>
      </c>
      <c r="N61" s="306">
        <f>'1. Press Assumptions'!$B$35*'1. Press Assumptions'!$D$89*$A8^11</f>
        <v/>
      </c>
      <c r="O61" s="306">
        <f>'1. Press Assumptions'!$B$35*'1. Press Assumptions'!$D$89*$A8^12</f>
        <v/>
      </c>
      <c r="P61" s="306">
        <f>'1. Press Assumptions'!$B$35*'1. Press Assumptions'!$D$89*$A8^13</f>
        <v/>
      </c>
      <c r="Q61" s="306">
        <f>'1. Press Assumptions'!$B$35*'1. Press Assumptions'!$D$89*$A8^14</f>
        <v/>
      </c>
    </row>
    <row r="62">
      <c r="B62" s="306">
        <f>-'1. Press Assumptions'!$D$89*E$5</f>
        <v/>
      </c>
      <c r="C62" s="306">
        <f>'1. Press Assumptions'!$B$35*'1. Press Assumptions'!$D$89*$A8^0</f>
        <v/>
      </c>
      <c r="D62" s="306">
        <f>'1. Press Assumptions'!$B$35*'1. Press Assumptions'!$D$89*$A8^1</f>
        <v/>
      </c>
      <c r="E62" s="306">
        <f>'1. Press Assumptions'!$B$35*'1. Press Assumptions'!$D$89*$A8^2</f>
        <v/>
      </c>
      <c r="F62" s="306">
        <f>'1. Press Assumptions'!$B$35*'1. Press Assumptions'!$D$89*$A8^3</f>
        <v/>
      </c>
      <c r="G62" s="306">
        <f>'1. Press Assumptions'!$B$35*'1. Press Assumptions'!$D$89*$A8^4</f>
        <v/>
      </c>
      <c r="H62" s="306">
        <f>'1. Press Assumptions'!$B$35*'1. Press Assumptions'!$D$89*$A8^5</f>
        <v/>
      </c>
      <c r="I62" s="306">
        <f>'1. Press Assumptions'!$B$35*'1. Press Assumptions'!$D$89*$A8^6</f>
        <v/>
      </c>
      <c r="J62" s="306">
        <f>'1. Press Assumptions'!$B$35*'1. Press Assumptions'!$D$89*$A8^7</f>
        <v/>
      </c>
      <c r="K62" s="306">
        <f>'1. Press Assumptions'!$B$35*'1. Press Assumptions'!$D$89*$A8^8</f>
        <v/>
      </c>
      <c r="L62" s="306">
        <f>'1. Press Assumptions'!$B$35*'1. Press Assumptions'!$D$89*$A8^9</f>
        <v/>
      </c>
      <c r="M62" s="306">
        <f>'1. Press Assumptions'!$B$35*'1. Press Assumptions'!$D$89*$A8^10</f>
        <v/>
      </c>
      <c r="N62" s="306">
        <f>'1. Press Assumptions'!$B$35*'1. Press Assumptions'!$D$89*$A8^11</f>
        <v/>
      </c>
      <c r="O62" s="306">
        <f>'1. Press Assumptions'!$B$35*'1. Press Assumptions'!$D$89*$A8^12</f>
        <v/>
      </c>
      <c r="P62" s="306">
        <f>'1. Press Assumptions'!$B$35*'1. Press Assumptions'!$D$89*$A8^13</f>
        <v/>
      </c>
      <c r="Q62" s="306">
        <f>'1. Press Assumptions'!$B$35*'1. Press Assumptions'!$D$89*$A8^14</f>
        <v/>
      </c>
    </row>
    <row r="63">
      <c r="B63" s="306">
        <f>-'1. Press Assumptions'!$D$89*F$5</f>
        <v/>
      </c>
      <c r="C63" s="306">
        <f>'1. Press Assumptions'!$B$35*'1. Press Assumptions'!$D$89*$A8^0</f>
        <v/>
      </c>
      <c r="D63" s="306">
        <f>'1. Press Assumptions'!$B$35*'1. Press Assumptions'!$D$89*$A8^1</f>
        <v/>
      </c>
      <c r="E63" s="306">
        <f>'1. Press Assumptions'!$B$35*'1. Press Assumptions'!$D$89*$A8^2</f>
        <v/>
      </c>
      <c r="F63" s="306">
        <f>'1. Press Assumptions'!$B$35*'1. Press Assumptions'!$D$89*$A8^3</f>
        <v/>
      </c>
      <c r="G63" s="306">
        <f>'1. Press Assumptions'!$B$35*'1. Press Assumptions'!$D$89*$A8^4</f>
        <v/>
      </c>
      <c r="H63" s="306">
        <f>'1. Press Assumptions'!$B$35*'1. Press Assumptions'!$D$89*$A8^5</f>
        <v/>
      </c>
      <c r="I63" s="306">
        <f>'1. Press Assumptions'!$B$35*'1. Press Assumptions'!$D$89*$A8^6</f>
        <v/>
      </c>
      <c r="J63" s="306">
        <f>'1. Press Assumptions'!$B$35*'1. Press Assumptions'!$D$89*$A8^7</f>
        <v/>
      </c>
      <c r="K63" s="306">
        <f>'1. Press Assumptions'!$B$35*'1. Press Assumptions'!$D$89*$A8^8</f>
        <v/>
      </c>
      <c r="L63" s="306">
        <f>'1. Press Assumptions'!$B$35*'1. Press Assumptions'!$D$89*$A8^9</f>
        <v/>
      </c>
      <c r="M63" s="306">
        <f>'1. Press Assumptions'!$B$35*'1. Press Assumptions'!$D$89*$A8^10</f>
        <v/>
      </c>
      <c r="N63" s="306">
        <f>'1. Press Assumptions'!$B$35*'1. Press Assumptions'!$D$89*$A8^11</f>
        <v/>
      </c>
      <c r="O63" s="306">
        <f>'1. Press Assumptions'!$B$35*'1. Press Assumptions'!$D$89*$A8^12</f>
        <v/>
      </c>
      <c r="P63" s="306">
        <f>'1. Press Assumptions'!$B$35*'1. Press Assumptions'!$D$89*$A8^13</f>
        <v/>
      </c>
      <c r="Q63" s="306">
        <f>'1. Press Assumptions'!$B$35*'1. Press Assumptions'!$D$89*$A8^14</f>
        <v/>
      </c>
    </row>
    <row r="64">
      <c r="B64" s="306">
        <f>-'1. Press Assumptions'!$D$89*G$5</f>
        <v/>
      </c>
      <c r="C64" s="306">
        <f>'1. Press Assumptions'!$B$35*'1. Press Assumptions'!$D$89*$A8^0</f>
        <v/>
      </c>
      <c r="D64" s="306">
        <f>'1. Press Assumptions'!$B$35*'1. Press Assumptions'!$D$89*$A8^1</f>
        <v/>
      </c>
      <c r="E64" s="306">
        <f>'1. Press Assumptions'!$B$35*'1. Press Assumptions'!$D$89*$A8^2</f>
        <v/>
      </c>
      <c r="F64" s="306">
        <f>'1. Press Assumptions'!$B$35*'1. Press Assumptions'!$D$89*$A8^3</f>
        <v/>
      </c>
      <c r="G64" s="306">
        <f>'1. Press Assumptions'!$B$35*'1. Press Assumptions'!$D$89*$A8^4</f>
        <v/>
      </c>
      <c r="H64" s="306">
        <f>'1. Press Assumptions'!$B$35*'1. Press Assumptions'!$D$89*$A8^5</f>
        <v/>
      </c>
      <c r="I64" s="306">
        <f>'1. Press Assumptions'!$B$35*'1. Press Assumptions'!$D$89*$A8^6</f>
        <v/>
      </c>
      <c r="J64" s="306">
        <f>'1. Press Assumptions'!$B$35*'1. Press Assumptions'!$D$89*$A8^7</f>
        <v/>
      </c>
      <c r="K64" s="306">
        <f>'1. Press Assumptions'!$B$35*'1. Press Assumptions'!$D$89*$A8^8</f>
        <v/>
      </c>
      <c r="L64" s="306">
        <f>'1. Press Assumptions'!$B$35*'1. Press Assumptions'!$D$89*$A8^9</f>
        <v/>
      </c>
      <c r="M64" s="306">
        <f>'1. Press Assumptions'!$B$35*'1. Press Assumptions'!$D$89*$A8^10</f>
        <v/>
      </c>
      <c r="N64" s="306">
        <f>'1. Press Assumptions'!$B$35*'1. Press Assumptions'!$D$89*$A8^11</f>
        <v/>
      </c>
      <c r="O64" s="306">
        <f>'1. Press Assumptions'!$B$35*'1. Press Assumptions'!$D$89*$A8^12</f>
        <v/>
      </c>
      <c r="P64" s="306">
        <f>'1. Press Assumptions'!$B$35*'1. Press Assumptions'!$D$89*$A8^13</f>
        <v/>
      </c>
      <c r="Q64" s="306">
        <f>'1. Press Assumptions'!$B$35*'1. Press Assumptions'!$D$89*$A8^14</f>
        <v/>
      </c>
    </row>
    <row r="65">
      <c r="B65" s="306">
        <f>-'1. Press Assumptions'!$D$89*H$5</f>
        <v/>
      </c>
      <c r="C65" s="306">
        <f>'1. Press Assumptions'!$B$35*'1. Press Assumptions'!$D$89*$A8^0</f>
        <v/>
      </c>
      <c r="D65" s="306">
        <f>'1. Press Assumptions'!$B$35*'1. Press Assumptions'!$D$89*$A8^1</f>
        <v/>
      </c>
      <c r="E65" s="306">
        <f>'1. Press Assumptions'!$B$35*'1. Press Assumptions'!$D$89*$A8^2</f>
        <v/>
      </c>
      <c r="F65" s="306">
        <f>'1. Press Assumptions'!$B$35*'1. Press Assumptions'!$D$89*$A8^3</f>
        <v/>
      </c>
      <c r="G65" s="306">
        <f>'1. Press Assumptions'!$B$35*'1. Press Assumptions'!$D$89*$A8^4</f>
        <v/>
      </c>
      <c r="H65" s="306">
        <f>'1. Press Assumptions'!$B$35*'1. Press Assumptions'!$D$89*$A8^5</f>
        <v/>
      </c>
      <c r="I65" s="306">
        <f>'1. Press Assumptions'!$B$35*'1. Press Assumptions'!$D$89*$A8^6</f>
        <v/>
      </c>
      <c r="J65" s="306">
        <f>'1. Press Assumptions'!$B$35*'1. Press Assumptions'!$D$89*$A8^7</f>
        <v/>
      </c>
      <c r="K65" s="306">
        <f>'1. Press Assumptions'!$B$35*'1. Press Assumptions'!$D$89*$A8^8</f>
        <v/>
      </c>
      <c r="L65" s="306">
        <f>'1. Press Assumptions'!$B$35*'1. Press Assumptions'!$D$89*$A8^9</f>
        <v/>
      </c>
      <c r="M65" s="306">
        <f>'1. Press Assumptions'!$B$35*'1. Press Assumptions'!$D$89*$A8^10</f>
        <v/>
      </c>
      <c r="N65" s="306">
        <f>'1. Press Assumptions'!$B$35*'1. Press Assumptions'!$D$89*$A8^11</f>
        <v/>
      </c>
      <c r="O65" s="306">
        <f>'1. Press Assumptions'!$B$35*'1. Press Assumptions'!$D$89*$A8^12</f>
        <v/>
      </c>
      <c r="P65" s="306">
        <f>'1. Press Assumptions'!$B$35*'1. Press Assumptions'!$D$89*$A8^13</f>
        <v/>
      </c>
      <c r="Q65" s="306">
        <f>'1. Press Assumptions'!$B$35*'1. Press Assumptions'!$D$89*$A8^14</f>
        <v/>
      </c>
    </row>
    <row r="66">
      <c r="B66" s="306">
        <f>-'1. Press Assumptions'!$D$89*B$5</f>
        <v/>
      </c>
      <c r="C66" s="306">
        <f>'1. Press Assumptions'!$B$35*'1. Press Assumptions'!$D$89*$A9^0</f>
        <v/>
      </c>
      <c r="D66" s="306">
        <f>'1. Press Assumptions'!$B$35*'1. Press Assumptions'!$D$89*$A9^1</f>
        <v/>
      </c>
      <c r="E66" s="306">
        <f>'1. Press Assumptions'!$B$35*'1. Press Assumptions'!$D$89*$A9^2</f>
        <v/>
      </c>
      <c r="F66" s="306">
        <f>'1. Press Assumptions'!$B$35*'1. Press Assumptions'!$D$89*$A9^3</f>
        <v/>
      </c>
      <c r="G66" s="306">
        <f>'1. Press Assumptions'!$B$35*'1. Press Assumptions'!$D$89*$A9^4</f>
        <v/>
      </c>
      <c r="H66" s="306">
        <f>'1. Press Assumptions'!$B$35*'1. Press Assumptions'!$D$89*$A9^5</f>
        <v/>
      </c>
      <c r="I66" s="306">
        <f>'1. Press Assumptions'!$B$35*'1. Press Assumptions'!$D$89*$A9^6</f>
        <v/>
      </c>
      <c r="J66" s="306">
        <f>'1. Press Assumptions'!$B$35*'1. Press Assumptions'!$D$89*$A9^7</f>
        <v/>
      </c>
      <c r="K66" s="306">
        <f>'1. Press Assumptions'!$B$35*'1. Press Assumptions'!$D$89*$A9^8</f>
        <v/>
      </c>
      <c r="L66" s="306">
        <f>'1. Press Assumptions'!$B$35*'1. Press Assumptions'!$D$89*$A9^9</f>
        <v/>
      </c>
      <c r="M66" s="306">
        <f>'1. Press Assumptions'!$B$35*'1. Press Assumptions'!$D$89*$A9^10</f>
        <v/>
      </c>
      <c r="N66" s="306">
        <f>'1. Press Assumptions'!$B$35*'1. Press Assumptions'!$D$89*$A9^11</f>
        <v/>
      </c>
      <c r="O66" s="306">
        <f>'1. Press Assumptions'!$B$35*'1. Press Assumptions'!$D$89*$A9^12</f>
        <v/>
      </c>
      <c r="P66" s="306">
        <f>'1. Press Assumptions'!$B$35*'1. Press Assumptions'!$D$89*$A9^13</f>
        <v/>
      </c>
      <c r="Q66" s="306">
        <f>'1. Press Assumptions'!$B$35*'1. Press Assumptions'!$D$89*$A9^14</f>
        <v/>
      </c>
    </row>
    <row r="67">
      <c r="B67" s="306">
        <f>-'1. Press Assumptions'!$D$89*C$5</f>
        <v/>
      </c>
      <c r="C67" s="306">
        <f>'1. Press Assumptions'!$B$35*'1. Press Assumptions'!$D$89*$A9^0</f>
        <v/>
      </c>
      <c r="D67" s="306">
        <f>'1. Press Assumptions'!$B$35*'1. Press Assumptions'!$D$89*$A9^1</f>
        <v/>
      </c>
      <c r="E67" s="306">
        <f>'1. Press Assumptions'!$B$35*'1. Press Assumptions'!$D$89*$A9^2</f>
        <v/>
      </c>
      <c r="F67" s="306">
        <f>'1. Press Assumptions'!$B$35*'1. Press Assumptions'!$D$89*$A9^3</f>
        <v/>
      </c>
      <c r="G67" s="306">
        <f>'1. Press Assumptions'!$B$35*'1. Press Assumptions'!$D$89*$A9^4</f>
        <v/>
      </c>
      <c r="H67" s="306">
        <f>'1. Press Assumptions'!$B$35*'1. Press Assumptions'!$D$89*$A9^5</f>
        <v/>
      </c>
      <c r="I67" s="306">
        <f>'1. Press Assumptions'!$B$35*'1. Press Assumptions'!$D$89*$A9^6</f>
        <v/>
      </c>
      <c r="J67" s="306">
        <f>'1. Press Assumptions'!$B$35*'1. Press Assumptions'!$D$89*$A9^7</f>
        <v/>
      </c>
      <c r="K67" s="306">
        <f>'1. Press Assumptions'!$B$35*'1. Press Assumptions'!$D$89*$A9^8</f>
        <v/>
      </c>
      <c r="L67" s="306">
        <f>'1. Press Assumptions'!$B$35*'1. Press Assumptions'!$D$89*$A9^9</f>
        <v/>
      </c>
      <c r="M67" s="306">
        <f>'1. Press Assumptions'!$B$35*'1. Press Assumptions'!$D$89*$A9^10</f>
        <v/>
      </c>
      <c r="N67" s="306">
        <f>'1. Press Assumptions'!$B$35*'1. Press Assumptions'!$D$89*$A9^11</f>
        <v/>
      </c>
      <c r="O67" s="306">
        <f>'1. Press Assumptions'!$B$35*'1. Press Assumptions'!$D$89*$A9^12</f>
        <v/>
      </c>
      <c r="P67" s="306">
        <f>'1. Press Assumptions'!$B$35*'1. Press Assumptions'!$D$89*$A9^13</f>
        <v/>
      </c>
      <c r="Q67" s="306">
        <f>'1. Press Assumptions'!$B$35*'1. Press Assumptions'!$D$89*$A9^14</f>
        <v/>
      </c>
    </row>
    <row r="68">
      <c r="B68" s="306">
        <f>-'1. Press Assumptions'!$D$89*D$5</f>
        <v/>
      </c>
      <c r="C68" s="306">
        <f>'1. Press Assumptions'!$B$35*'1. Press Assumptions'!$D$89*$A9^0</f>
        <v/>
      </c>
      <c r="D68" s="306">
        <f>'1. Press Assumptions'!$B$35*'1. Press Assumptions'!$D$89*$A9^1</f>
        <v/>
      </c>
      <c r="E68" s="306">
        <f>'1. Press Assumptions'!$B$35*'1. Press Assumptions'!$D$89*$A9^2</f>
        <v/>
      </c>
      <c r="F68" s="306">
        <f>'1. Press Assumptions'!$B$35*'1. Press Assumptions'!$D$89*$A9^3</f>
        <v/>
      </c>
      <c r="G68" s="306">
        <f>'1. Press Assumptions'!$B$35*'1. Press Assumptions'!$D$89*$A9^4</f>
        <v/>
      </c>
      <c r="H68" s="306">
        <f>'1. Press Assumptions'!$B$35*'1. Press Assumptions'!$D$89*$A9^5</f>
        <v/>
      </c>
      <c r="I68" s="306">
        <f>'1. Press Assumptions'!$B$35*'1. Press Assumptions'!$D$89*$A9^6</f>
        <v/>
      </c>
      <c r="J68" s="306">
        <f>'1. Press Assumptions'!$B$35*'1. Press Assumptions'!$D$89*$A9^7</f>
        <v/>
      </c>
      <c r="K68" s="306">
        <f>'1. Press Assumptions'!$B$35*'1. Press Assumptions'!$D$89*$A9^8</f>
        <v/>
      </c>
      <c r="L68" s="306">
        <f>'1. Press Assumptions'!$B$35*'1. Press Assumptions'!$D$89*$A9^9</f>
        <v/>
      </c>
      <c r="M68" s="306">
        <f>'1. Press Assumptions'!$B$35*'1. Press Assumptions'!$D$89*$A9^10</f>
        <v/>
      </c>
      <c r="N68" s="306">
        <f>'1. Press Assumptions'!$B$35*'1. Press Assumptions'!$D$89*$A9^11</f>
        <v/>
      </c>
      <c r="O68" s="306">
        <f>'1. Press Assumptions'!$B$35*'1. Press Assumptions'!$D$89*$A9^12</f>
        <v/>
      </c>
      <c r="P68" s="306">
        <f>'1. Press Assumptions'!$B$35*'1. Press Assumptions'!$D$89*$A9^13</f>
        <v/>
      </c>
      <c r="Q68" s="306">
        <f>'1. Press Assumptions'!$B$35*'1. Press Assumptions'!$D$89*$A9^14</f>
        <v/>
      </c>
    </row>
    <row r="69">
      <c r="B69" s="306">
        <f>-'1. Press Assumptions'!$D$89*E$5</f>
        <v/>
      </c>
      <c r="C69" s="306">
        <f>'1. Press Assumptions'!$B$35*'1. Press Assumptions'!$D$89*$A9^0</f>
        <v/>
      </c>
      <c r="D69" s="306">
        <f>'1. Press Assumptions'!$B$35*'1. Press Assumptions'!$D$89*$A9^1</f>
        <v/>
      </c>
      <c r="E69" s="306">
        <f>'1. Press Assumptions'!$B$35*'1. Press Assumptions'!$D$89*$A9^2</f>
        <v/>
      </c>
      <c r="F69" s="306">
        <f>'1. Press Assumptions'!$B$35*'1. Press Assumptions'!$D$89*$A9^3</f>
        <v/>
      </c>
      <c r="G69" s="306">
        <f>'1. Press Assumptions'!$B$35*'1. Press Assumptions'!$D$89*$A9^4</f>
        <v/>
      </c>
      <c r="H69" s="306">
        <f>'1. Press Assumptions'!$B$35*'1. Press Assumptions'!$D$89*$A9^5</f>
        <v/>
      </c>
      <c r="I69" s="306">
        <f>'1. Press Assumptions'!$B$35*'1. Press Assumptions'!$D$89*$A9^6</f>
        <v/>
      </c>
      <c r="J69" s="306">
        <f>'1. Press Assumptions'!$B$35*'1. Press Assumptions'!$D$89*$A9^7</f>
        <v/>
      </c>
      <c r="K69" s="306">
        <f>'1. Press Assumptions'!$B$35*'1. Press Assumptions'!$D$89*$A9^8</f>
        <v/>
      </c>
      <c r="L69" s="306">
        <f>'1. Press Assumptions'!$B$35*'1. Press Assumptions'!$D$89*$A9^9</f>
        <v/>
      </c>
      <c r="M69" s="306">
        <f>'1. Press Assumptions'!$B$35*'1. Press Assumptions'!$D$89*$A9^10</f>
        <v/>
      </c>
      <c r="N69" s="306">
        <f>'1. Press Assumptions'!$B$35*'1. Press Assumptions'!$D$89*$A9^11</f>
        <v/>
      </c>
      <c r="O69" s="306">
        <f>'1. Press Assumptions'!$B$35*'1. Press Assumptions'!$D$89*$A9^12</f>
        <v/>
      </c>
      <c r="P69" s="306">
        <f>'1. Press Assumptions'!$B$35*'1. Press Assumptions'!$D$89*$A9^13</f>
        <v/>
      </c>
      <c r="Q69" s="306">
        <f>'1. Press Assumptions'!$B$35*'1. Press Assumptions'!$D$89*$A9^14</f>
        <v/>
      </c>
    </row>
    <row r="70">
      <c r="B70" s="306">
        <f>-'1. Press Assumptions'!$D$89*F$5</f>
        <v/>
      </c>
      <c r="C70" s="306">
        <f>'1. Press Assumptions'!$B$35*'1. Press Assumptions'!$D$89*$A9^0</f>
        <v/>
      </c>
      <c r="D70" s="306">
        <f>'1. Press Assumptions'!$B$35*'1. Press Assumptions'!$D$89*$A9^1</f>
        <v/>
      </c>
      <c r="E70" s="306">
        <f>'1. Press Assumptions'!$B$35*'1. Press Assumptions'!$D$89*$A9^2</f>
        <v/>
      </c>
      <c r="F70" s="306">
        <f>'1. Press Assumptions'!$B$35*'1. Press Assumptions'!$D$89*$A9^3</f>
        <v/>
      </c>
      <c r="G70" s="306">
        <f>'1. Press Assumptions'!$B$35*'1. Press Assumptions'!$D$89*$A9^4</f>
        <v/>
      </c>
      <c r="H70" s="306">
        <f>'1. Press Assumptions'!$B$35*'1. Press Assumptions'!$D$89*$A9^5</f>
        <v/>
      </c>
      <c r="I70" s="306">
        <f>'1. Press Assumptions'!$B$35*'1. Press Assumptions'!$D$89*$A9^6</f>
        <v/>
      </c>
      <c r="J70" s="306">
        <f>'1. Press Assumptions'!$B$35*'1. Press Assumptions'!$D$89*$A9^7</f>
        <v/>
      </c>
      <c r="K70" s="306">
        <f>'1. Press Assumptions'!$B$35*'1. Press Assumptions'!$D$89*$A9^8</f>
        <v/>
      </c>
      <c r="L70" s="306">
        <f>'1. Press Assumptions'!$B$35*'1. Press Assumptions'!$D$89*$A9^9</f>
        <v/>
      </c>
      <c r="M70" s="306">
        <f>'1. Press Assumptions'!$B$35*'1. Press Assumptions'!$D$89*$A9^10</f>
        <v/>
      </c>
      <c r="N70" s="306">
        <f>'1. Press Assumptions'!$B$35*'1. Press Assumptions'!$D$89*$A9^11</f>
        <v/>
      </c>
      <c r="O70" s="306">
        <f>'1. Press Assumptions'!$B$35*'1. Press Assumptions'!$D$89*$A9^12</f>
        <v/>
      </c>
      <c r="P70" s="306">
        <f>'1. Press Assumptions'!$B$35*'1. Press Assumptions'!$D$89*$A9^13</f>
        <v/>
      </c>
      <c r="Q70" s="306">
        <f>'1. Press Assumptions'!$B$35*'1. Press Assumptions'!$D$89*$A9^14</f>
        <v/>
      </c>
    </row>
    <row r="71">
      <c r="B71" s="306">
        <f>-'1. Press Assumptions'!$D$89*G$5</f>
        <v/>
      </c>
      <c r="C71" s="306">
        <f>'1. Press Assumptions'!$B$35*'1. Press Assumptions'!$D$89*$A9^0</f>
        <v/>
      </c>
      <c r="D71" s="306">
        <f>'1. Press Assumptions'!$B$35*'1. Press Assumptions'!$D$89*$A9^1</f>
        <v/>
      </c>
      <c r="E71" s="306">
        <f>'1. Press Assumptions'!$B$35*'1. Press Assumptions'!$D$89*$A9^2</f>
        <v/>
      </c>
      <c r="F71" s="306">
        <f>'1. Press Assumptions'!$B$35*'1. Press Assumptions'!$D$89*$A9^3</f>
        <v/>
      </c>
      <c r="G71" s="306">
        <f>'1. Press Assumptions'!$B$35*'1. Press Assumptions'!$D$89*$A9^4</f>
        <v/>
      </c>
      <c r="H71" s="306">
        <f>'1. Press Assumptions'!$B$35*'1. Press Assumptions'!$D$89*$A9^5</f>
        <v/>
      </c>
      <c r="I71" s="306">
        <f>'1. Press Assumptions'!$B$35*'1. Press Assumptions'!$D$89*$A9^6</f>
        <v/>
      </c>
      <c r="J71" s="306">
        <f>'1. Press Assumptions'!$B$35*'1. Press Assumptions'!$D$89*$A9^7</f>
        <v/>
      </c>
      <c r="K71" s="306">
        <f>'1. Press Assumptions'!$B$35*'1. Press Assumptions'!$D$89*$A9^8</f>
        <v/>
      </c>
      <c r="L71" s="306">
        <f>'1. Press Assumptions'!$B$35*'1. Press Assumptions'!$D$89*$A9^9</f>
        <v/>
      </c>
      <c r="M71" s="306">
        <f>'1. Press Assumptions'!$B$35*'1. Press Assumptions'!$D$89*$A9^10</f>
        <v/>
      </c>
      <c r="N71" s="306">
        <f>'1. Press Assumptions'!$B$35*'1. Press Assumptions'!$D$89*$A9^11</f>
        <v/>
      </c>
      <c r="O71" s="306">
        <f>'1. Press Assumptions'!$B$35*'1. Press Assumptions'!$D$89*$A9^12</f>
        <v/>
      </c>
      <c r="P71" s="306">
        <f>'1. Press Assumptions'!$B$35*'1. Press Assumptions'!$D$89*$A9^13</f>
        <v/>
      </c>
      <c r="Q71" s="306">
        <f>'1. Press Assumptions'!$B$35*'1. Press Assumptions'!$D$89*$A9^14</f>
        <v/>
      </c>
    </row>
    <row r="72">
      <c r="B72" s="306">
        <f>-'1. Press Assumptions'!$D$89*H$5</f>
        <v/>
      </c>
      <c r="C72" s="306">
        <f>'1. Press Assumptions'!$B$35*'1. Press Assumptions'!$D$89*$A9^0</f>
        <v/>
      </c>
      <c r="D72" s="306">
        <f>'1. Press Assumptions'!$B$35*'1. Press Assumptions'!$D$89*$A9^1</f>
        <v/>
      </c>
      <c r="E72" s="306">
        <f>'1. Press Assumptions'!$B$35*'1. Press Assumptions'!$D$89*$A9^2</f>
        <v/>
      </c>
      <c r="F72" s="306">
        <f>'1. Press Assumptions'!$B$35*'1. Press Assumptions'!$D$89*$A9^3</f>
        <v/>
      </c>
      <c r="G72" s="306">
        <f>'1. Press Assumptions'!$B$35*'1. Press Assumptions'!$D$89*$A9^4</f>
        <v/>
      </c>
      <c r="H72" s="306">
        <f>'1. Press Assumptions'!$B$35*'1. Press Assumptions'!$D$89*$A9^5</f>
        <v/>
      </c>
      <c r="I72" s="306">
        <f>'1. Press Assumptions'!$B$35*'1. Press Assumptions'!$D$89*$A9^6</f>
        <v/>
      </c>
      <c r="J72" s="306">
        <f>'1. Press Assumptions'!$B$35*'1. Press Assumptions'!$D$89*$A9^7</f>
        <v/>
      </c>
      <c r="K72" s="306">
        <f>'1. Press Assumptions'!$B$35*'1. Press Assumptions'!$D$89*$A9^8</f>
        <v/>
      </c>
      <c r="L72" s="306">
        <f>'1. Press Assumptions'!$B$35*'1. Press Assumptions'!$D$89*$A9^9</f>
        <v/>
      </c>
      <c r="M72" s="306">
        <f>'1. Press Assumptions'!$B$35*'1. Press Assumptions'!$D$89*$A9^10</f>
        <v/>
      </c>
      <c r="N72" s="306">
        <f>'1. Press Assumptions'!$B$35*'1. Press Assumptions'!$D$89*$A9^11</f>
        <v/>
      </c>
      <c r="O72" s="306">
        <f>'1. Press Assumptions'!$B$35*'1. Press Assumptions'!$D$89*$A9^12</f>
        <v/>
      </c>
      <c r="P72" s="306">
        <f>'1. Press Assumptions'!$B$35*'1. Press Assumptions'!$D$89*$A9^13</f>
        <v/>
      </c>
      <c r="Q72" s="306">
        <f>'1. Press Assumptions'!$B$35*'1. Press Assumptions'!$D$89*$A9^14</f>
        <v/>
      </c>
    </row>
    <row r="73">
      <c r="B73" s="306">
        <f>-'1. Press Assumptions'!$D$89*B$5</f>
        <v/>
      </c>
      <c r="C73" s="306">
        <f>'1. Press Assumptions'!$B$35*'1. Press Assumptions'!$D$89*$A10^0</f>
        <v/>
      </c>
      <c r="D73" s="306">
        <f>'1. Press Assumptions'!$B$35*'1. Press Assumptions'!$D$89*$A10^1</f>
        <v/>
      </c>
      <c r="E73" s="306">
        <f>'1. Press Assumptions'!$B$35*'1. Press Assumptions'!$D$89*$A10^2</f>
        <v/>
      </c>
      <c r="F73" s="306">
        <f>'1. Press Assumptions'!$B$35*'1. Press Assumptions'!$D$89*$A10^3</f>
        <v/>
      </c>
      <c r="G73" s="306">
        <f>'1. Press Assumptions'!$B$35*'1. Press Assumptions'!$D$89*$A10^4</f>
        <v/>
      </c>
      <c r="H73" s="306">
        <f>'1. Press Assumptions'!$B$35*'1. Press Assumptions'!$D$89*$A10^5</f>
        <v/>
      </c>
      <c r="I73" s="306">
        <f>'1. Press Assumptions'!$B$35*'1. Press Assumptions'!$D$89*$A10^6</f>
        <v/>
      </c>
      <c r="J73" s="306">
        <f>'1. Press Assumptions'!$B$35*'1. Press Assumptions'!$D$89*$A10^7</f>
        <v/>
      </c>
      <c r="K73" s="306">
        <f>'1. Press Assumptions'!$B$35*'1. Press Assumptions'!$D$89*$A10^8</f>
        <v/>
      </c>
      <c r="L73" s="306">
        <f>'1. Press Assumptions'!$B$35*'1. Press Assumptions'!$D$89*$A10^9</f>
        <v/>
      </c>
      <c r="M73" s="306">
        <f>'1. Press Assumptions'!$B$35*'1. Press Assumptions'!$D$89*$A10^10</f>
        <v/>
      </c>
      <c r="N73" s="306">
        <f>'1. Press Assumptions'!$B$35*'1. Press Assumptions'!$D$89*$A10^11</f>
        <v/>
      </c>
      <c r="O73" s="306">
        <f>'1. Press Assumptions'!$B$35*'1. Press Assumptions'!$D$89*$A10^12</f>
        <v/>
      </c>
      <c r="P73" s="306">
        <f>'1. Press Assumptions'!$B$35*'1. Press Assumptions'!$D$89*$A10^13</f>
        <v/>
      </c>
      <c r="Q73" s="306">
        <f>'1. Press Assumptions'!$B$35*'1. Press Assumptions'!$D$89*$A10^14</f>
        <v/>
      </c>
    </row>
    <row r="74">
      <c r="B74" s="306">
        <f>-'1. Press Assumptions'!$D$89*C$5</f>
        <v/>
      </c>
      <c r="C74" s="306">
        <f>'1. Press Assumptions'!$B$35*'1. Press Assumptions'!$D$89*$A10^0</f>
        <v/>
      </c>
      <c r="D74" s="306">
        <f>'1. Press Assumptions'!$B$35*'1. Press Assumptions'!$D$89*$A10^1</f>
        <v/>
      </c>
      <c r="E74" s="306">
        <f>'1. Press Assumptions'!$B$35*'1. Press Assumptions'!$D$89*$A10^2</f>
        <v/>
      </c>
      <c r="F74" s="306">
        <f>'1. Press Assumptions'!$B$35*'1. Press Assumptions'!$D$89*$A10^3</f>
        <v/>
      </c>
      <c r="G74" s="306">
        <f>'1. Press Assumptions'!$B$35*'1. Press Assumptions'!$D$89*$A10^4</f>
        <v/>
      </c>
      <c r="H74" s="306">
        <f>'1. Press Assumptions'!$B$35*'1. Press Assumptions'!$D$89*$A10^5</f>
        <v/>
      </c>
      <c r="I74" s="306">
        <f>'1. Press Assumptions'!$B$35*'1. Press Assumptions'!$D$89*$A10^6</f>
        <v/>
      </c>
      <c r="J74" s="306">
        <f>'1. Press Assumptions'!$B$35*'1. Press Assumptions'!$D$89*$A10^7</f>
        <v/>
      </c>
      <c r="K74" s="306">
        <f>'1. Press Assumptions'!$B$35*'1. Press Assumptions'!$D$89*$A10^8</f>
        <v/>
      </c>
      <c r="L74" s="306">
        <f>'1. Press Assumptions'!$B$35*'1. Press Assumptions'!$D$89*$A10^9</f>
        <v/>
      </c>
      <c r="M74" s="306">
        <f>'1. Press Assumptions'!$B$35*'1. Press Assumptions'!$D$89*$A10^10</f>
        <v/>
      </c>
      <c r="N74" s="306">
        <f>'1. Press Assumptions'!$B$35*'1. Press Assumptions'!$D$89*$A10^11</f>
        <v/>
      </c>
      <c r="O74" s="306">
        <f>'1. Press Assumptions'!$B$35*'1. Press Assumptions'!$D$89*$A10^12</f>
        <v/>
      </c>
      <c r="P74" s="306">
        <f>'1. Press Assumptions'!$B$35*'1. Press Assumptions'!$D$89*$A10^13</f>
        <v/>
      </c>
      <c r="Q74" s="306">
        <f>'1. Press Assumptions'!$B$35*'1. Press Assumptions'!$D$89*$A10^14</f>
        <v/>
      </c>
    </row>
    <row r="75">
      <c r="B75" s="306">
        <f>-'1. Press Assumptions'!$D$89*D$5</f>
        <v/>
      </c>
      <c r="C75" s="306">
        <f>'1. Press Assumptions'!$B$35*'1. Press Assumptions'!$D$89*$A10^0</f>
        <v/>
      </c>
      <c r="D75" s="306">
        <f>'1. Press Assumptions'!$B$35*'1. Press Assumptions'!$D$89*$A10^1</f>
        <v/>
      </c>
      <c r="E75" s="306">
        <f>'1. Press Assumptions'!$B$35*'1. Press Assumptions'!$D$89*$A10^2</f>
        <v/>
      </c>
      <c r="F75" s="306">
        <f>'1. Press Assumptions'!$B$35*'1. Press Assumptions'!$D$89*$A10^3</f>
        <v/>
      </c>
      <c r="G75" s="306">
        <f>'1. Press Assumptions'!$B$35*'1. Press Assumptions'!$D$89*$A10^4</f>
        <v/>
      </c>
      <c r="H75" s="306">
        <f>'1. Press Assumptions'!$B$35*'1. Press Assumptions'!$D$89*$A10^5</f>
        <v/>
      </c>
      <c r="I75" s="306">
        <f>'1. Press Assumptions'!$B$35*'1. Press Assumptions'!$D$89*$A10^6</f>
        <v/>
      </c>
      <c r="J75" s="306">
        <f>'1. Press Assumptions'!$B$35*'1. Press Assumptions'!$D$89*$A10^7</f>
        <v/>
      </c>
      <c r="K75" s="306">
        <f>'1. Press Assumptions'!$B$35*'1. Press Assumptions'!$D$89*$A10^8</f>
        <v/>
      </c>
      <c r="L75" s="306">
        <f>'1. Press Assumptions'!$B$35*'1. Press Assumptions'!$D$89*$A10^9</f>
        <v/>
      </c>
      <c r="M75" s="306">
        <f>'1. Press Assumptions'!$B$35*'1. Press Assumptions'!$D$89*$A10^10</f>
        <v/>
      </c>
      <c r="N75" s="306">
        <f>'1. Press Assumptions'!$B$35*'1. Press Assumptions'!$D$89*$A10^11</f>
        <v/>
      </c>
      <c r="O75" s="306">
        <f>'1. Press Assumptions'!$B$35*'1. Press Assumptions'!$D$89*$A10^12</f>
        <v/>
      </c>
      <c r="P75" s="306">
        <f>'1. Press Assumptions'!$B$35*'1. Press Assumptions'!$D$89*$A10^13</f>
        <v/>
      </c>
      <c r="Q75" s="306">
        <f>'1. Press Assumptions'!$B$35*'1. Press Assumptions'!$D$89*$A10^14</f>
        <v/>
      </c>
    </row>
    <row r="76">
      <c r="B76" s="306">
        <f>-'1. Press Assumptions'!$D$89*E$5</f>
        <v/>
      </c>
      <c r="C76" s="306">
        <f>'1. Press Assumptions'!$B$35*'1. Press Assumptions'!$D$89*$A10^0</f>
        <v/>
      </c>
      <c r="D76" s="306">
        <f>'1. Press Assumptions'!$B$35*'1. Press Assumptions'!$D$89*$A10^1</f>
        <v/>
      </c>
      <c r="E76" s="306">
        <f>'1. Press Assumptions'!$B$35*'1. Press Assumptions'!$D$89*$A10^2</f>
        <v/>
      </c>
      <c r="F76" s="306">
        <f>'1. Press Assumptions'!$B$35*'1. Press Assumptions'!$D$89*$A10^3</f>
        <v/>
      </c>
      <c r="G76" s="306">
        <f>'1. Press Assumptions'!$B$35*'1. Press Assumptions'!$D$89*$A10^4</f>
        <v/>
      </c>
      <c r="H76" s="306">
        <f>'1. Press Assumptions'!$B$35*'1. Press Assumptions'!$D$89*$A10^5</f>
        <v/>
      </c>
      <c r="I76" s="306">
        <f>'1. Press Assumptions'!$B$35*'1. Press Assumptions'!$D$89*$A10^6</f>
        <v/>
      </c>
      <c r="J76" s="306">
        <f>'1. Press Assumptions'!$B$35*'1. Press Assumptions'!$D$89*$A10^7</f>
        <v/>
      </c>
      <c r="K76" s="306">
        <f>'1. Press Assumptions'!$B$35*'1. Press Assumptions'!$D$89*$A10^8</f>
        <v/>
      </c>
      <c r="L76" s="306">
        <f>'1. Press Assumptions'!$B$35*'1. Press Assumptions'!$D$89*$A10^9</f>
        <v/>
      </c>
      <c r="M76" s="306">
        <f>'1. Press Assumptions'!$B$35*'1. Press Assumptions'!$D$89*$A10^10</f>
        <v/>
      </c>
      <c r="N76" s="306">
        <f>'1. Press Assumptions'!$B$35*'1. Press Assumptions'!$D$89*$A10^11</f>
        <v/>
      </c>
      <c r="O76" s="306">
        <f>'1. Press Assumptions'!$B$35*'1. Press Assumptions'!$D$89*$A10^12</f>
        <v/>
      </c>
      <c r="P76" s="306">
        <f>'1. Press Assumptions'!$B$35*'1. Press Assumptions'!$D$89*$A10^13</f>
        <v/>
      </c>
      <c r="Q76" s="306">
        <f>'1. Press Assumptions'!$B$35*'1. Press Assumptions'!$D$89*$A10^14</f>
        <v/>
      </c>
    </row>
    <row r="77">
      <c r="B77" s="306">
        <f>-'1. Press Assumptions'!$D$89*F$5</f>
        <v/>
      </c>
      <c r="C77" s="306">
        <f>'1. Press Assumptions'!$B$35*'1. Press Assumptions'!$D$89*$A10^0</f>
        <v/>
      </c>
      <c r="D77" s="306">
        <f>'1. Press Assumptions'!$B$35*'1. Press Assumptions'!$D$89*$A10^1</f>
        <v/>
      </c>
      <c r="E77" s="306">
        <f>'1. Press Assumptions'!$B$35*'1. Press Assumptions'!$D$89*$A10^2</f>
        <v/>
      </c>
      <c r="F77" s="306">
        <f>'1. Press Assumptions'!$B$35*'1. Press Assumptions'!$D$89*$A10^3</f>
        <v/>
      </c>
      <c r="G77" s="306">
        <f>'1. Press Assumptions'!$B$35*'1. Press Assumptions'!$D$89*$A10^4</f>
        <v/>
      </c>
      <c r="H77" s="306">
        <f>'1. Press Assumptions'!$B$35*'1. Press Assumptions'!$D$89*$A10^5</f>
        <v/>
      </c>
      <c r="I77" s="306">
        <f>'1. Press Assumptions'!$B$35*'1. Press Assumptions'!$D$89*$A10^6</f>
        <v/>
      </c>
      <c r="J77" s="306">
        <f>'1. Press Assumptions'!$B$35*'1. Press Assumptions'!$D$89*$A10^7</f>
        <v/>
      </c>
      <c r="K77" s="306">
        <f>'1. Press Assumptions'!$B$35*'1. Press Assumptions'!$D$89*$A10^8</f>
        <v/>
      </c>
      <c r="L77" s="306">
        <f>'1. Press Assumptions'!$B$35*'1. Press Assumptions'!$D$89*$A10^9</f>
        <v/>
      </c>
      <c r="M77" s="306">
        <f>'1. Press Assumptions'!$B$35*'1. Press Assumptions'!$D$89*$A10^10</f>
        <v/>
      </c>
      <c r="N77" s="306">
        <f>'1. Press Assumptions'!$B$35*'1. Press Assumptions'!$D$89*$A10^11</f>
        <v/>
      </c>
      <c r="O77" s="306">
        <f>'1. Press Assumptions'!$B$35*'1. Press Assumptions'!$D$89*$A10^12</f>
        <v/>
      </c>
      <c r="P77" s="306">
        <f>'1. Press Assumptions'!$B$35*'1. Press Assumptions'!$D$89*$A10^13</f>
        <v/>
      </c>
      <c r="Q77" s="306">
        <f>'1. Press Assumptions'!$B$35*'1. Press Assumptions'!$D$89*$A10^14</f>
        <v/>
      </c>
    </row>
    <row r="78">
      <c r="B78" s="306">
        <f>-'1. Press Assumptions'!$D$89*G$5</f>
        <v/>
      </c>
      <c r="C78" s="306">
        <f>'1. Press Assumptions'!$B$35*'1. Press Assumptions'!$D$89*$A10^0</f>
        <v/>
      </c>
      <c r="D78" s="306">
        <f>'1. Press Assumptions'!$B$35*'1. Press Assumptions'!$D$89*$A10^1</f>
        <v/>
      </c>
      <c r="E78" s="306">
        <f>'1. Press Assumptions'!$B$35*'1. Press Assumptions'!$D$89*$A10^2</f>
        <v/>
      </c>
      <c r="F78" s="306">
        <f>'1. Press Assumptions'!$B$35*'1. Press Assumptions'!$D$89*$A10^3</f>
        <v/>
      </c>
      <c r="G78" s="306">
        <f>'1. Press Assumptions'!$B$35*'1. Press Assumptions'!$D$89*$A10^4</f>
        <v/>
      </c>
      <c r="H78" s="306">
        <f>'1. Press Assumptions'!$B$35*'1. Press Assumptions'!$D$89*$A10^5</f>
        <v/>
      </c>
      <c r="I78" s="306">
        <f>'1. Press Assumptions'!$B$35*'1. Press Assumptions'!$D$89*$A10^6</f>
        <v/>
      </c>
      <c r="J78" s="306">
        <f>'1. Press Assumptions'!$B$35*'1. Press Assumptions'!$D$89*$A10^7</f>
        <v/>
      </c>
      <c r="K78" s="306">
        <f>'1. Press Assumptions'!$B$35*'1. Press Assumptions'!$D$89*$A10^8</f>
        <v/>
      </c>
      <c r="L78" s="306">
        <f>'1. Press Assumptions'!$B$35*'1. Press Assumptions'!$D$89*$A10^9</f>
        <v/>
      </c>
      <c r="M78" s="306">
        <f>'1. Press Assumptions'!$B$35*'1. Press Assumptions'!$D$89*$A10^10</f>
        <v/>
      </c>
      <c r="N78" s="306">
        <f>'1. Press Assumptions'!$B$35*'1. Press Assumptions'!$D$89*$A10^11</f>
        <v/>
      </c>
      <c r="O78" s="306">
        <f>'1. Press Assumptions'!$B$35*'1. Press Assumptions'!$D$89*$A10^12</f>
        <v/>
      </c>
      <c r="P78" s="306">
        <f>'1. Press Assumptions'!$B$35*'1. Press Assumptions'!$D$89*$A10^13</f>
        <v/>
      </c>
      <c r="Q78" s="306">
        <f>'1. Press Assumptions'!$B$35*'1. Press Assumptions'!$D$89*$A10^14</f>
        <v/>
      </c>
    </row>
    <row r="79">
      <c r="B79" s="306">
        <f>-'1. Press Assumptions'!$D$89*H$5</f>
        <v/>
      </c>
      <c r="C79" s="306">
        <f>'1. Press Assumptions'!$B$35*'1. Press Assumptions'!$D$89*$A10^0</f>
        <v/>
      </c>
      <c r="D79" s="306">
        <f>'1. Press Assumptions'!$B$35*'1. Press Assumptions'!$D$89*$A10^1</f>
        <v/>
      </c>
      <c r="E79" s="306">
        <f>'1. Press Assumptions'!$B$35*'1. Press Assumptions'!$D$89*$A10^2</f>
        <v/>
      </c>
      <c r="F79" s="306">
        <f>'1. Press Assumptions'!$B$35*'1. Press Assumptions'!$D$89*$A10^3</f>
        <v/>
      </c>
      <c r="G79" s="306">
        <f>'1. Press Assumptions'!$B$35*'1. Press Assumptions'!$D$89*$A10^4</f>
        <v/>
      </c>
      <c r="H79" s="306">
        <f>'1. Press Assumptions'!$B$35*'1. Press Assumptions'!$D$89*$A10^5</f>
        <v/>
      </c>
      <c r="I79" s="306">
        <f>'1. Press Assumptions'!$B$35*'1. Press Assumptions'!$D$89*$A10^6</f>
        <v/>
      </c>
      <c r="J79" s="306">
        <f>'1. Press Assumptions'!$B$35*'1. Press Assumptions'!$D$89*$A10^7</f>
        <v/>
      </c>
      <c r="K79" s="306">
        <f>'1. Press Assumptions'!$B$35*'1. Press Assumptions'!$D$89*$A10^8</f>
        <v/>
      </c>
      <c r="L79" s="306">
        <f>'1. Press Assumptions'!$B$35*'1. Press Assumptions'!$D$89*$A10^9</f>
        <v/>
      </c>
      <c r="M79" s="306">
        <f>'1. Press Assumptions'!$B$35*'1. Press Assumptions'!$D$89*$A10^10</f>
        <v/>
      </c>
      <c r="N79" s="306">
        <f>'1. Press Assumptions'!$B$35*'1. Press Assumptions'!$D$89*$A10^11</f>
        <v/>
      </c>
      <c r="O79" s="306">
        <f>'1. Press Assumptions'!$B$35*'1. Press Assumptions'!$D$89*$A10^12</f>
        <v/>
      </c>
      <c r="P79" s="306">
        <f>'1. Press Assumptions'!$B$35*'1. Press Assumptions'!$D$89*$A10^13</f>
        <v/>
      </c>
      <c r="Q79" s="306">
        <f>'1. Press Assumptions'!$B$35*'1. Press Assumptions'!$D$89*$A10^14</f>
        <v/>
      </c>
    </row>
    <row r="80">
      <c r="B80" s="306">
        <f>-'1. Press Assumptions'!$D$89*B$5</f>
        <v/>
      </c>
      <c r="C80" s="306">
        <f>'1. Press Assumptions'!$B$35*'1. Press Assumptions'!$D$89*$A11^0</f>
        <v/>
      </c>
      <c r="D80" s="306">
        <f>'1. Press Assumptions'!$B$35*'1. Press Assumptions'!$D$89*$A11^1</f>
        <v/>
      </c>
      <c r="E80" s="306">
        <f>'1. Press Assumptions'!$B$35*'1. Press Assumptions'!$D$89*$A11^2</f>
        <v/>
      </c>
      <c r="F80" s="306">
        <f>'1. Press Assumptions'!$B$35*'1. Press Assumptions'!$D$89*$A11^3</f>
        <v/>
      </c>
      <c r="G80" s="306">
        <f>'1. Press Assumptions'!$B$35*'1. Press Assumptions'!$D$89*$A11^4</f>
        <v/>
      </c>
      <c r="H80" s="306">
        <f>'1. Press Assumptions'!$B$35*'1. Press Assumptions'!$D$89*$A11^5</f>
        <v/>
      </c>
      <c r="I80" s="306">
        <f>'1. Press Assumptions'!$B$35*'1. Press Assumptions'!$D$89*$A11^6</f>
        <v/>
      </c>
      <c r="J80" s="306">
        <f>'1. Press Assumptions'!$B$35*'1. Press Assumptions'!$D$89*$A11^7</f>
        <v/>
      </c>
      <c r="K80" s="306">
        <f>'1. Press Assumptions'!$B$35*'1. Press Assumptions'!$D$89*$A11^8</f>
        <v/>
      </c>
      <c r="L80" s="306">
        <f>'1. Press Assumptions'!$B$35*'1. Press Assumptions'!$D$89*$A11^9</f>
        <v/>
      </c>
      <c r="M80" s="306">
        <f>'1. Press Assumptions'!$B$35*'1. Press Assumptions'!$D$89*$A11^10</f>
        <v/>
      </c>
      <c r="N80" s="306">
        <f>'1. Press Assumptions'!$B$35*'1. Press Assumptions'!$D$89*$A11^11</f>
        <v/>
      </c>
      <c r="O80" s="306">
        <f>'1. Press Assumptions'!$B$35*'1. Press Assumptions'!$D$89*$A11^12</f>
        <v/>
      </c>
      <c r="P80" s="306">
        <f>'1. Press Assumptions'!$B$35*'1. Press Assumptions'!$D$89*$A11^13</f>
        <v/>
      </c>
      <c r="Q80" s="306">
        <f>'1. Press Assumptions'!$B$35*'1. Press Assumptions'!$D$89*$A11^14</f>
        <v/>
      </c>
    </row>
    <row r="81">
      <c r="B81" s="306">
        <f>-'1. Press Assumptions'!$D$89*C$5</f>
        <v/>
      </c>
      <c r="C81" s="306">
        <f>'1. Press Assumptions'!$B$35*'1. Press Assumptions'!$D$89*$A11^0</f>
        <v/>
      </c>
      <c r="D81" s="306">
        <f>'1. Press Assumptions'!$B$35*'1. Press Assumptions'!$D$89*$A11^1</f>
        <v/>
      </c>
      <c r="E81" s="306">
        <f>'1. Press Assumptions'!$B$35*'1. Press Assumptions'!$D$89*$A11^2</f>
        <v/>
      </c>
      <c r="F81" s="306">
        <f>'1. Press Assumptions'!$B$35*'1. Press Assumptions'!$D$89*$A11^3</f>
        <v/>
      </c>
      <c r="G81" s="306">
        <f>'1. Press Assumptions'!$B$35*'1. Press Assumptions'!$D$89*$A11^4</f>
        <v/>
      </c>
      <c r="H81" s="306">
        <f>'1. Press Assumptions'!$B$35*'1. Press Assumptions'!$D$89*$A11^5</f>
        <v/>
      </c>
      <c r="I81" s="306">
        <f>'1. Press Assumptions'!$B$35*'1. Press Assumptions'!$D$89*$A11^6</f>
        <v/>
      </c>
      <c r="J81" s="306">
        <f>'1. Press Assumptions'!$B$35*'1. Press Assumptions'!$D$89*$A11^7</f>
        <v/>
      </c>
      <c r="K81" s="306">
        <f>'1. Press Assumptions'!$B$35*'1. Press Assumptions'!$D$89*$A11^8</f>
        <v/>
      </c>
      <c r="L81" s="306">
        <f>'1. Press Assumptions'!$B$35*'1. Press Assumptions'!$D$89*$A11^9</f>
        <v/>
      </c>
      <c r="M81" s="306">
        <f>'1. Press Assumptions'!$B$35*'1. Press Assumptions'!$D$89*$A11^10</f>
        <v/>
      </c>
      <c r="N81" s="306">
        <f>'1. Press Assumptions'!$B$35*'1. Press Assumptions'!$D$89*$A11^11</f>
        <v/>
      </c>
      <c r="O81" s="306">
        <f>'1. Press Assumptions'!$B$35*'1. Press Assumptions'!$D$89*$A11^12</f>
        <v/>
      </c>
      <c r="P81" s="306">
        <f>'1. Press Assumptions'!$B$35*'1. Press Assumptions'!$D$89*$A11^13</f>
        <v/>
      </c>
      <c r="Q81" s="306">
        <f>'1. Press Assumptions'!$B$35*'1. Press Assumptions'!$D$89*$A11^14</f>
        <v/>
      </c>
    </row>
    <row r="82">
      <c r="B82" s="306">
        <f>-'1. Press Assumptions'!$D$89*D$5</f>
        <v/>
      </c>
      <c r="C82" s="306">
        <f>'1. Press Assumptions'!$B$35*'1. Press Assumptions'!$D$89*$A11^0</f>
        <v/>
      </c>
      <c r="D82" s="306">
        <f>'1. Press Assumptions'!$B$35*'1. Press Assumptions'!$D$89*$A11^1</f>
        <v/>
      </c>
      <c r="E82" s="306">
        <f>'1. Press Assumptions'!$B$35*'1. Press Assumptions'!$D$89*$A11^2</f>
        <v/>
      </c>
      <c r="F82" s="306">
        <f>'1. Press Assumptions'!$B$35*'1. Press Assumptions'!$D$89*$A11^3</f>
        <v/>
      </c>
      <c r="G82" s="306">
        <f>'1. Press Assumptions'!$B$35*'1. Press Assumptions'!$D$89*$A11^4</f>
        <v/>
      </c>
      <c r="H82" s="306">
        <f>'1. Press Assumptions'!$B$35*'1. Press Assumptions'!$D$89*$A11^5</f>
        <v/>
      </c>
      <c r="I82" s="306">
        <f>'1. Press Assumptions'!$B$35*'1. Press Assumptions'!$D$89*$A11^6</f>
        <v/>
      </c>
      <c r="J82" s="306">
        <f>'1. Press Assumptions'!$B$35*'1. Press Assumptions'!$D$89*$A11^7</f>
        <v/>
      </c>
      <c r="K82" s="306">
        <f>'1. Press Assumptions'!$B$35*'1. Press Assumptions'!$D$89*$A11^8</f>
        <v/>
      </c>
      <c r="L82" s="306">
        <f>'1. Press Assumptions'!$B$35*'1. Press Assumptions'!$D$89*$A11^9</f>
        <v/>
      </c>
      <c r="M82" s="306">
        <f>'1. Press Assumptions'!$B$35*'1. Press Assumptions'!$D$89*$A11^10</f>
        <v/>
      </c>
      <c r="N82" s="306">
        <f>'1. Press Assumptions'!$B$35*'1. Press Assumptions'!$D$89*$A11^11</f>
        <v/>
      </c>
      <c r="O82" s="306">
        <f>'1. Press Assumptions'!$B$35*'1. Press Assumptions'!$D$89*$A11^12</f>
        <v/>
      </c>
      <c r="P82" s="306">
        <f>'1. Press Assumptions'!$B$35*'1. Press Assumptions'!$D$89*$A11^13</f>
        <v/>
      </c>
      <c r="Q82" s="306">
        <f>'1. Press Assumptions'!$B$35*'1. Press Assumptions'!$D$89*$A11^14</f>
        <v/>
      </c>
    </row>
    <row r="83">
      <c r="B83" s="306">
        <f>-'1. Press Assumptions'!$D$89*E$5</f>
        <v/>
      </c>
      <c r="C83" s="306">
        <f>'1. Press Assumptions'!$B$35*'1. Press Assumptions'!$D$89*$A11^0</f>
        <v/>
      </c>
      <c r="D83" s="306">
        <f>'1. Press Assumptions'!$B$35*'1. Press Assumptions'!$D$89*$A11^1</f>
        <v/>
      </c>
      <c r="E83" s="306">
        <f>'1. Press Assumptions'!$B$35*'1. Press Assumptions'!$D$89*$A11^2</f>
        <v/>
      </c>
      <c r="F83" s="306">
        <f>'1. Press Assumptions'!$B$35*'1. Press Assumptions'!$D$89*$A11^3</f>
        <v/>
      </c>
      <c r="G83" s="306">
        <f>'1. Press Assumptions'!$B$35*'1. Press Assumptions'!$D$89*$A11^4</f>
        <v/>
      </c>
      <c r="H83" s="306">
        <f>'1. Press Assumptions'!$B$35*'1. Press Assumptions'!$D$89*$A11^5</f>
        <v/>
      </c>
      <c r="I83" s="306">
        <f>'1. Press Assumptions'!$B$35*'1. Press Assumptions'!$D$89*$A11^6</f>
        <v/>
      </c>
      <c r="J83" s="306">
        <f>'1. Press Assumptions'!$B$35*'1. Press Assumptions'!$D$89*$A11^7</f>
        <v/>
      </c>
      <c r="K83" s="306">
        <f>'1. Press Assumptions'!$B$35*'1. Press Assumptions'!$D$89*$A11^8</f>
        <v/>
      </c>
      <c r="L83" s="306">
        <f>'1. Press Assumptions'!$B$35*'1. Press Assumptions'!$D$89*$A11^9</f>
        <v/>
      </c>
      <c r="M83" s="306">
        <f>'1. Press Assumptions'!$B$35*'1. Press Assumptions'!$D$89*$A11^10</f>
        <v/>
      </c>
      <c r="N83" s="306">
        <f>'1. Press Assumptions'!$B$35*'1. Press Assumptions'!$D$89*$A11^11</f>
        <v/>
      </c>
      <c r="O83" s="306">
        <f>'1. Press Assumptions'!$B$35*'1. Press Assumptions'!$D$89*$A11^12</f>
        <v/>
      </c>
      <c r="P83" s="306">
        <f>'1. Press Assumptions'!$B$35*'1. Press Assumptions'!$D$89*$A11^13</f>
        <v/>
      </c>
      <c r="Q83" s="306">
        <f>'1. Press Assumptions'!$B$35*'1. Press Assumptions'!$D$89*$A11^14</f>
        <v/>
      </c>
    </row>
    <row r="84">
      <c r="B84" s="306">
        <f>-'1. Press Assumptions'!$D$89*F$5</f>
        <v/>
      </c>
      <c r="C84" s="306">
        <f>'1. Press Assumptions'!$B$35*'1. Press Assumptions'!$D$89*$A11^0</f>
        <v/>
      </c>
      <c r="D84" s="306">
        <f>'1. Press Assumptions'!$B$35*'1. Press Assumptions'!$D$89*$A11^1</f>
        <v/>
      </c>
      <c r="E84" s="306">
        <f>'1. Press Assumptions'!$B$35*'1. Press Assumptions'!$D$89*$A11^2</f>
        <v/>
      </c>
      <c r="F84" s="306">
        <f>'1. Press Assumptions'!$B$35*'1. Press Assumptions'!$D$89*$A11^3</f>
        <v/>
      </c>
      <c r="G84" s="306">
        <f>'1. Press Assumptions'!$B$35*'1. Press Assumptions'!$D$89*$A11^4</f>
        <v/>
      </c>
      <c r="H84" s="306">
        <f>'1. Press Assumptions'!$B$35*'1. Press Assumptions'!$D$89*$A11^5</f>
        <v/>
      </c>
      <c r="I84" s="306">
        <f>'1. Press Assumptions'!$B$35*'1. Press Assumptions'!$D$89*$A11^6</f>
        <v/>
      </c>
      <c r="J84" s="306">
        <f>'1. Press Assumptions'!$B$35*'1. Press Assumptions'!$D$89*$A11^7</f>
        <v/>
      </c>
      <c r="K84" s="306">
        <f>'1. Press Assumptions'!$B$35*'1. Press Assumptions'!$D$89*$A11^8</f>
        <v/>
      </c>
      <c r="L84" s="306">
        <f>'1. Press Assumptions'!$B$35*'1. Press Assumptions'!$D$89*$A11^9</f>
        <v/>
      </c>
      <c r="M84" s="306">
        <f>'1. Press Assumptions'!$B$35*'1. Press Assumptions'!$D$89*$A11^10</f>
        <v/>
      </c>
      <c r="N84" s="306">
        <f>'1. Press Assumptions'!$B$35*'1. Press Assumptions'!$D$89*$A11^11</f>
        <v/>
      </c>
      <c r="O84" s="306">
        <f>'1. Press Assumptions'!$B$35*'1. Press Assumptions'!$D$89*$A11^12</f>
        <v/>
      </c>
      <c r="P84" s="306">
        <f>'1. Press Assumptions'!$B$35*'1. Press Assumptions'!$D$89*$A11^13</f>
        <v/>
      </c>
      <c r="Q84" s="306">
        <f>'1. Press Assumptions'!$B$35*'1. Press Assumptions'!$D$89*$A11^14</f>
        <v/>
      </c>
    </row>
    <row r="85">
      <c r="B85" s="306">
        <f>-'1. Press Assumptions'!$D$89*G$5</f>
        <v/>
      </c>
      <c r="C85" s="306">
        <f>'1. Press Assumptions'!$B$35*'1. Press Assumptions'!$D$89*$A11^0</f>
        <v/>
      </c>
      <c r="D85" s="306">
        <f>'1. Press Assumptions'!$B$35*'1. Press Assumptions'!$D$89*$A11^1</f>
        <v/>
      </c>
      <c r="E85" s="306">
        <f>'1. Press Assumptions'!$B$35*'1. Press Assumptions'!$D$89*$A11^2</f>
        <v/>
      </c>
      <c r="F85" s="306">
        <f>'1. Press Assumptions'!$B$35*'1. Press Assumptions'!$D$89*$A11^3</f>
        <v/>
      </c>
      <c r="G85" s="306">
        <f>'1. Press Assumptions'!$B$35*'1. Press Assumptions'!$D$89*$A11^4</f>
        <v/>
      </c>
      <c r="H85" s="306">
        <f>'1. Press Assumptions'!$B$35*'1. Press Assumptions'!$D$89*$A11^5</f>
        <v/>
      </c>
      <c r="I85" s="306">
        <f>'1. Press Assumptions'!$B$35*'1. Press Assumptions'!$D$89*$A11^6</f>
        <v/>
      </c>
      <c r="J85" s="306">
        <f>'1. Press Assumptions'!$B$35*'1. Press Assumptions'!$D$89*$A11^7</f>
        <v/>
      </c>
      <c r="K85" s="306">
        <f>'1. Press Assumptions'!$B$35*'1. Press Assumptions'!$D$89*$A11^8</f>
        <v/>
      </c>
      <c r="L85" s="306">
        <f>'1. Press Assumptions'!$B$35*'1. Press Assumptions'!$D$89*$A11^9</f>
        <v/>
      </c>
      <c r="M85" s="306">
        <f>'1. Press Assumptions'!$B$35*'1. Press Assumptions'!$D$89*$A11^10</f>
        <v/>
      </c>
      <c r="N85" s="306">
        <f>'1. Press Assumptions'!$B$35*'1. Press Assumptions'!$D$89*$A11^11</f>
        <v/>
      </c>
      <c r="O85" s="306">
        <f>'1. Press Assumptions'!$B$35*'1. Press Assumptions'!$D$89*$A11^12</f>
        <v/>
      </c>
      <c r="P85" s="306">
        <f>'1. Press Assumptions'!$B$35*'1. Press Assumptions'!$D$89*$A11^13</f>
        <v/>
      </c>
      <c r="Q85" s="306">
        <f>'1. Press Assumptions'!$B$35*'1. Press Assumptions'!$D$89*$A11^14</f>
        <v/>
      </c>
    </row>
    <row r="86">
      <c r="B86" s="306">
        <f>-'1. Press Assumptions'!$D$89*H$5</f>
        <v/>
      </c>
      <c r="C86" s="306">
        <f>'1. Press Assumptions'!$B$35*'1. Press Assumptions'!$D$89*$A11^0</f>
        <v/>
      </c>
      <c r="D86" s="306">
        <f>'1. Press Assumptions'!$B$35*'1. Press Assumptions'!$D$89*$A11^1</f>
        <v/>
      </c>
      <c r="E86" s="306">
        <f>'1. Press Assumptions'!$B$35*'1. Press Assumptions'!$D$89*$A11^2</f>
        <v/>
      </c>
      <c r="F86" s="306">
        <f>'1. Press Assumptions'!$B$35*'1. Press Assumptions'!$D$89*$A11^3</f>
        <v/>
      </c>
      <c r="G86" s="306">
        <f>'1. Press Assumptions'!$B$35*'1. Press Assumptions'!$D$89*$A11^4</f>
        <v/>
      </c>
      <c r="H86" s="306">
        <f>'1. Press Assumptions'!$B$35*'1. Press Assumptions'!$D$89*$A11^5</f>
        <v/>
      </c>
      <c r="I86" s="306">
        <f>'1. Press Assumptions'!$B$35*'1. Press Assumptions'!$D$89*$A11^6</f>
        <v/>
      </c>
      <c r="J86" s="306">
        <f>'1. Press Assumptions'!$B$35*'1. Press Assumptions'!$D$89*$A11^7</f>
        <v/>
      </c>
      <c r="K86" s="306">
        <f>'1. Press Assumptions'!$B$35*'1. Press Assumptions'!$D$89*$A11^8</f>
        <v/>
      </c>
      <c r="L86" s="306">
        <f>'1. Press Assumptions'!$B$35*'1. Press Assumptions'!$D$89*$A11^9</f>
        <v/>
      </c>
      <c r="M86" s="306">
        <f>'1. Press Assumptions'!$B$35*'1. Press Assumptions'!$D$89*$A11^10</f>
        <v/>
      </c>
      <c r="N86" s="306">
        <f>'1. Press Assumptions'!$B$35*'1. Press Assumptions'!$D$89*$A11^11</f>
        <v/>
      </c>
      <c r="O86" s="306">
        <f>'1. Press Assumptions'!$B$35*'1. Press Assumptions'!$D$89*$A11^12</f>
        <v/>
      </c>
      <c r="P86" s="306">
        <f>'1. Press Assumptions'!$B$35*'1. Press Assumptions'!$D$89*$A11^13</f>
        <v/>
      </c>
      <c r="Q86" s="306">
        <f>'1. Press Assumptions'!$B$35*'1. Press Assumptions'!$D$89*$A11^14</f>
        <v/>
      </c>
    </row>
    <row r="87">
      <c r="B87" s="306">
        <f>-'1. Press Assumptions'!$D$89*B$5</f>
        <v/>
      </c>
      <c r="C87" s="306">
        <f>'1. Press Assumptions'!$B$35*'1. Press Assumptions'!$D$89*$A12^0</f>
        <v/>
      </c>
      <c r="D87" s="306">
        <f>'1. Press Assumptions'!$B$35*'1. Press Assumptions'!$D$89*$A12^1</f>
        <v/>
      </c>
      <c r="E87" s="306">
        <f>'1. Press Assumptions'!$B$35*'1. Press Assumptions'!$D$89*$A12^2</f>
        <v/>
      </c>
      <c r="F87" s="306">
        <f>'1. Press Assumptions'!$B$35*'1. Press Assumptions'!$D$89*$A12^3</f>
        <v/>
      </c>
      <c r="G87" s="306">
        <f>'1. Press Assumptions'!$B$35*'1. Press Assumptions'!$D$89*$A12^4</f>
        <v/>
      </c>
      <c r="H87" s="306">
        <f>'1. Press Assumptions'!$B$35*'1. Press Assumptions'!$D$89*$A12^5</f>
        <v/>
      </c>
      <c r="I87" s="306">
        <f>'1. Press Assumptions'!$B$35*'1. Press Assumptions'!$D$89*$A12^6</f>
        <v/>
      </c>
      <c r="J87" s="306">
        <f>'1. Press Assumptions'!$B$35*'1. Press Assumptions'!$D$89*$A12^7</f>
        <v/>
      </c>
      <c r="K87" s="306">
        <f>'1. Press Assumptions'!$B$35*'1. Press Assumptions'!$D$89*$A12^8</f>
        <v/>
      </c>
      <c r="L87" s="306">
        <f>'1. Press Assumptions'!$B$35*'1. Press Assumptions'!$D$89*$A12^9</f>
        <v/>
      </c>
      <c r="M87" s="306">
        <f>'1. Press Assumptions'!$B$35*'1. Press Assumptions'!$D$89*$A12^10</f>
        <v/>
      </c>
      <c r="N87" s="306">
        <f>'1. Press Assumptions'!$B$35*'1. Press Assumptions'!$D$89*$A12^11</f>
        <v/>
      </c>
      <c r="O87" s="306">
        <f>'1. Press Assumptions'!$B$35*'1. Press Assumptions'!$D$89*$A12^12</f>
        <v/>
      </c>
      <c r="P87" s="306">
        <f>'1. Press Assumptions'!$B$35*'1. Press Assumptions'!$D$89*$A12^13</f>
        <v/>
      </c>
      <c r="Q87" s="306">
        <f>'1. Press Assumptions'!$B$35*'1. Press Assumptions'!$D$89*$A12^14</f>
        <v/>
      </c>
    </row>
    <row r="88">
      <c r="B88" s="306">
        <f>-'1. Press Assumptions'!$D$89*C$5</f>
        <v/>
      </c>
      <c r="C88" s="306">
        <f>'1. Press Assumptions'!$B$35*'1. Press Assumptions'!$D$89*$A12^0</f>
        <v/>
      </c>
      <c r="D88" s="306">
        <f>'1. Press Assumptions'!$B$35*'1. Press Assumptions'!$D$89*$A12^1</f>
        <v/>
      </c>
      <c r="E88" s="306">
        <f>'1. Press Assumptions'!$B$35*'1. Press Assumptions'!$D$89*$A12^2</f>
        <v/>
      </c>
      <c r="F88" s="306">
        <f>'1. Press Assumptions'!$B$35*'1. Press Assumptions'!$D$89*$A12^3</f>
        <v/>
      </c>
      <c r="G88" s="306">
        <f>'1. Press Assumptions'!$B$35*'1. Press Assumptions'!$D$89*$A12^4</f>
        <v/>
      </c>
      <c r="H88" s="306">
        <f>'1. Press Assumptions'!$B$35*'1. Press Assumptions'!$D$89*$A12^5</f>
        <v/>
      </c>
      <c r="I88" s="306">
        <f>'1. Press Assumptions'!$B$35*'1. Press Assumptions'!$D$89*$A12^6</f>
        <v/>
      </c>
      <c r="J88" s="306">
        <f>'1. Press Assumptions'!$B$35*'1. Press Assumptions'!$D$89*$A12^7</f>
        <v/>
      </c>
      <c r="K88" s="306">
        <f>'1. Press Assumptions'!$B$35*'1. Press Assumptions'!$D$89*$A12^8</f>
        <v/>
      </c>
      <c r="L88" s="306">
        <f>'1. Press Assumptions'!$B$35*'1. Press Assumptions'!$D$89*$A12^9</f>
        <v/>
      </c>
      <c r="M88" s="306">
        <f>'1. Press Assumptions'!$B$35*'1. Press Assumptions'!$D$89*$A12^10</f>
        <v/>
      </c>
      <c r="N88" s="306">
        <f>'1. Press Assumptions'!$B$35*'1. Press Assumptions'!$D$89*$A12^11</f>
        <v/>
      </c>
      <c r="O88" s="306">
        <f>'1. Press Assumptions'!$B$35*'1. Press Assumptions'!$D$89*$A12^12</f>
        <v/>
      </c>
      <c r="P88" s="306">
        <f>'1. Press Assumptions'!$B$35*'1. Press Assumptions'!$D$89*$A12^13</f>
        <v/>
      </c>
      <c r="Q88" s="306">
        <f>'1. Press Assumptions'!$B$35*'1. Press Assumptions'!$D$89*$A12^14</f>
        <v/>
      </c>
    </row>
    <row r="89">
      <c r="B89" s="306">
        <f>-'1. Press Assumptions'!$D$89*D$5</f>
        <v/>
      </c>
      <c r="C89" s="306">
        <f>'1. Press Assumptions'!$B$35*'1. Press Assumptions'!$D$89*$A12^0</f>
        <v/>
      </c>
      <c r="D89" s="306">
        <f>'1. Press Assumptions'!$B$35*'1. Press Assumptions'!$D$89*$A12^1</f>
        <v/>
      </c>
      <c r="E89" s="306">
        <f>'1. Press Assumptions'!$B$35*'1. Press Assumptions'!$D$89*$A12^2</f>
        <v/>
      </c>
      <c r="F89" s="306">
        <f>'1. Press Assumptions'!$B$35*'1. Press Assumptions'!$D$89*$A12^3</f>
        <v/>
      </c>
      <c r="G89" s="306">
        <f>'1. Press Assumptions'!$B$35*'1. Press Assumptions'!$D$89*$A12^4</f>
        <v/>
      </c>
      <c r="H89" s="306">
        <f>'1. Press Assumptions'!$B$35*'1. Press Assumptions'!$D$89*$A12^5</f>
        <v/>
      </c>
      <c r="I89" s="306">
        <f>'1. Press Assumptions'!$B$35*'1. Press Assumptions'!$D$89*$A12^6</f>
        <v/>
      </c>
      <c r="J89" s="306">
        <f>'1. Press Assumptions'!$B$35*'1. Press Assumptions'!$D$89*$A12^7</f>
        <v/>
      </c>
      <c r="K89" s="306">
        <f>'1. Press Assumptions'!$B$35*'1. Press Assumptions'!$D$89*$A12^8</f>
        <v/>
      </c>
      <c r="L89" s="306">
        <f>'1. Press Assumptions'!$B$35*'1. Press Assumptions'!$D$89*$A12^9</f>
        <v/>
      </c>
      <c r="M89" s="306">
        <f>'1. Press Assumptions'!$B$35*'1. Press Assumptions'!$D$89*$A12^10</f>
        <v/>
      </c>
      <c r="N89" s="306">
        <f>'1. Press Assumptions'!$B$35*'1. Press Assumptions'!$D$89*$A12^11</f>
        <v/>
      </c>
      <c r="O89" s="306">
        <f>'1. Press Assumptions'!$B$35*'1. Press Assumptions'!$D$89*$A12^12</f>
        <v/>
      </c>
      <c r="P89" s="306">
        <f>'1. Press Assumptions'!$B$35*'1. Press Assumptions'!$D$89*$A12^13</f>
        <v/>
      </c>
      <c r="Q89" s="306">
        <f>'1. Press Assumptions'!$B$35*'1. Press Assumptions'!$D$89*$A12^14</f>
        <v/>
      </c>
    </row>
    <row r="90">
      <c r="B90" s="306">
        <f>-'1. Press Assumptions'!$D$89*E$5</f>
        <v/>
      </c>
      <c r="C90" s="306">
        <f>'1. Press Assumptions'!$B$35*'1. Press Assumptions'!$D$89*$A12^0</f>
        <v/>
      </c>
      <c r="D90" s="306">
        <f>'1. Press Assumptions'!$B$35*'1. Press Assumptions'!$D$89*$A12^1</f>
        <v/>
      </c>
      <c r="E90" s="306">
        <f>'1. Press Assumptions'!$B$35*'1. Press Assumptions'!$D$89*$A12^2</f>
        <v/>
      </c>
      <c r="F90" s="306">
        <f>'1. Press Assumptions'!$B$35*'1. Press Assumptions'!$D$89*$A12^3</f>
        <v/>
      </c>
      <c r="G90" s="306">
        <f>'1. Press Assumptions'!$B$35*'1. Press Assumptions'!$D$89*$A12^4</f>
        <v/>
      </c>
      <c r="H90" s="306">
        <f>'1. Press Assumptions'!$B$35*'1. Press Assumptions'!$D$89*$A12^5</f>
        <v/>
      </c>
      <c r="I90" s="306">
        <f>'1. Press Assumptions'!$B$35*'1. Press Assumptions'!$D$89*$A12^6</f>
        <v/>
      </c>
      <c r="J90" s="306">
        <f>'1. Press Assumptions'!$B$35*'1. Press Assumptions'!$D$89*$A12^7</f>
        <v/>
      </c>
      <c r="K90" s="306">
        <f>'1. Press Assumptions'!$B$35*'1. Press Assumptions'!$D$89*$A12^8</f>
        <v/>
      </c>
      <c r="L90" s="306">
        <f>'1. Press Assumptions'!$B$35*'1. Press Assumptions'!$D$89*$A12^9</f>
        <v/>
      </c>
      <c r="M90" s="306">
        <f>'1. Press Assumptions'!$B$35*'1. Press Assumptions'!$D$89*$A12^10</f>
        <v/>
      </c>
      <c r="N90" s="306">
        <f>'1. Press Assumptions'!$B$35*'1. Press Assumptions'!$D$89*$A12^11</f>
        <v/>
      </c>
      <c r="O90" s="306">
        <f>'1. Press Assumptions'!$B$35*'1. Press Assumptions'!$D$89*$A12^12</f>
        <v/>
      </c>
      <c r="P90" s="306">
        <f>'1. Press Assumptions'!$B$35*'1. Press Assumptions'!$D$89*$A12^13</f>
        <v/>
      </c>
      <c r="Q90" s="306">
        <f>'1. Press Assumptions'!$B$35*'1. Press Assumptions'!$D$89*$A12^14</f>
        <v/>
      </c>
    </row>
    <row r="91">
      <c r="B91" s="306">
        <f>-'1. Press Assumptions'!$D$89*F$5</f>
        <v/>
      </c>
      <c r="C91" s="306">
        <f>'1. Press Assumptions'!$B$35*'1. Press Assumptions'!$D$89*$A12^0</f>
        <v/>
      </c>
      <c r="D91" s="306">
        <f>'1. Press Assumptions'!$B$35*'1. Press Assumptions'!$D$89*$A12^1</f>
        <v/>
      </c>
      <c r="E91" s="306">
        <f>'1. Press Assumptions'!$B$35*'1. Press Assumptions'!$D$89*$A12^2</f>
        <v/>
      </c>
      <c r="F91" s="306">
        <f>'1. Press Assumptions'!$B$35*'1. Press Assumptions'!$D$89*$A12^3</f>
        <v/>
      </c>
      <c r="G91" s="306">
        <f>'1. Press Assumptions'!$B$35*'1. Press Assumptions'!$D$89*$A12^4</f>
        <v/>
      </c>
      <c r="H91" s="306">
        <f>'1. Press Assumptions'!$B$35*'1. Press Assumptions'!$D$89*$A12^5</f>
        <v/>
      </c>
      <c r="I91" s="306">
        <f>'1. Press Assumptions'!$B$35*'1. Press Assumptions'!$D$89*$A12^6</f>
        <v/>
      </c>
      <c r="J91" s="306">
        <f>'1. Press Assumptions'!$B$35*'1. Press Assumptions'!$D$89*$A12^7</f>
        <v/>
      </c>
      <c r="K91" s="306">
        <f>'1. Press Assumptions'!$B$35*'1. Press Assumptions'!$D$89*$A12^8</f>
        <v/>
      </c>
      <c r="L91" s="306">
        <f>'1. Press Assumptions'!$B$35*'1. Press Assumptions'!$D$89*$A12^9</f>
        <v/>
      </c>
      <c r="M91" s="306">
        <f>'1. Press Assumptions'!$B$35*'1. Press Assumptions'!$D$89*$A12^10</f>
        <v/>
      </c>
      <c r="N91" s="306">
        <f>'1. Press Assumptions'!$B$35*'1. Press Assumptions'!$D$89*$A12^11</f>
        <v/>
      </c>
      <c r="O91" s="306">
        <f>'1. Press Assumptions'!$B$35*'1. Press Assumptions'!$D$89*$A12^12</f>
        <v/>
      </c>
      <c r="P91" s="306">
        <f>'1. Press Assumptions'!$B$35*'1. Press Assumptions'!$D$89*$A12^13</f>
        <v/>
      </c>
      <c r="Q91" s="306">
        <f>'1. Press Assumptions'!$B$35*'1. Press Assumptions'!$D$89*$A12^14</f>
        <v/>
      </c>
    </row>
    <row r="92">
      <c r="B92" s="306">
        <f>-'1. Press Assumptions'!$D$89*G$5</f>
        <v/>
      </c>
      <c r="C92" s="306">
        <f>'1. Press Assumptions'!$B$35*'1. Press Assumptions'!$D$89*$A12^0</f>
        <v/>
      </c>
      <c r="D92" s="306">
        <f>'1. Press Assumptions'!$B$35*'1. Press Assumptions'!$D$89*$A12^1</f>
        <v/>
      </c>
      <c r="E92" s="306">
        <f>'1. Press Assumptions'!$B$35*'1. Press Assumptions'!$D$89*$A12^2</f>
        <v/>
      </c>
      <c r="F92" s="306">
        <f>'1. Press Assumptions'!$B$35*'1. Press Assumptions'!$D$89*$A12^3</f>
        <v/>
      </c>
      <c r="G92" s="306">
        <f>'1. Press Assumptions'!$B$35*'1. Press Assumptions'!$D$89*$A12^4</f>
        <v/>
      </c>
      <c r="H92" s="306">
        <f>'1. Press Assumptions'!$B$35*'1. Press Assumptions'!$D$89*$A12^5</f>
        <v/>
      </c>
      <c r="I92" s="306">
        <f>'1. Press Assumptions'!$B$35*'1. Press Assumptions'!$D$89*$A12^6</f>
        <v/>
      </c>
      <c r="J92" s="306">
        <f>'1. Press Assumptions'!$B$35*'1. Press Assumptions'!$D$89*$A12^7</f>
        <v/>
      </c>
      <c r="K92" s="306">
        <f>'1. Press Assumptions'!$B$35*'1. Press Assumptions'!$D$89*$A12^8</f>
        <v/>
      </c>
      <c r="L92" s="306">
        <f>'1. Press Assumptions'!$B$35*'1. Press Assumptions'!$D$89*$A12^9</f>
        <v/>
      </c>
      <c r="M92" s="306">
        <f>'1. Press Assumptions'!$B$35*'1. Press Assumptions'!$D$89*$A12^10</f>
        <v/>
      </c>
      <c r="N92" s="306">
        <f>'1. Press Assumptions'!$B$35*'1. Press Assumptions'!$D$89*$A12^11</f>
        <v/>
      </c>
      <c r="O92" s="306">
        <f>'1. Press Assumptions'!$B$35*'1. Press Assumptions'!$D$89*$A12^12</f>
        <v/>
      </c>
      <c r="P92" s="306">
        <f>'1. Press Assumptions'!$B$35*'1. Press Assumptions'!$D$89*$A12^13</f>
        <v/>
      </c>
      <c r="Q92" s="306">
        <f>'1. Press Assumptions'!$B$35*'1. Press Assumptions'!$D$89*$A12^14</f>
        <v/>
      </c>
    </row>
    <row r="93">
      <c r="B93" s="306">
        <f>-'1. Press Assumptions'!$D$89*H$5</f>
        <v/>
      </c>
      <c r="C93" s="306">
        <f>'1. Press Assumptions'!$B$35*'1. Press Assumptions'!$D$89*$A12^0</f>
        <v/>
      </c>
      <c r="D93" s="306">
        <f>'1. Press Assumptions'!$B$35*'1. Press Assumptions'!$D$89*$A12^1</f>
        <v/>
      </c>
      <c r="E93" s="306">
        <f>'1. Press Assumptions'!$B$35*'1. Press Assumptions'!$D$89*$A12^2</f>
        <v/>
      </c>
      <c r="F93" s="306">
        <f>'1. Press Assumptions'!$B$35*'1. Press Assumptions'!$D$89*$A12^3</f>
        <v/>
      </c>
      <c r="G93" s="306">
        <f>'1. Press Assumptions'!$B$35*'1. Press Assumptions'!$D$89*$A12^4</f>
        <v/>
      </c>
      <c r="H93" s="306">
        <f>'1. Press Assumptions'!$B$35*'1. Press Assumptions'!$D$89*$A12^5</f>
        <v/>
      </c>
      <c r="I93" s="306">
        <f>'1. Press Assumptions'!$B$35*'1. Press Assumptions'!$D$89*$A12^6</f>
        <v/>
      </c>
      <c r="J93" s="306">
        <f>'1. Press Assumptions'!$B$35*'1. Press Assumptions'!$D$89*$A12^7</f>
        <v/>
      </c>
      <c r="K93" s="306">
        <f>'1. Press Assumptions'!$B$35*'1. Press Assumptions'!$D$89*$A12^8</f>
        <v/>
      </c>
      <c r="L93" s="306">
        <f>'1. Press Assumptions'!$B$35*'1. Press Assumptions'!$D$89*$A12^9</f>
        <v/>
      </c>
      <c r="M93" s="306">
        <f>'1. Press Assumptions'!$B$35*'1. Press Assumptions'!$D$89*$A12^10</f>
        <v/>
      </c>
      <c r="N93" s="306">
        <f>'1. Press Assumptions'!$B$35*'1. Press Assumptions'!$D$89*$A12^11</f>
        <v/>
      </c>
      <c r="O93" s="306">
        <f>'1. Press Assumptions'!$B$35*'1. Press Assumptions'!$D$89*$A12^12</f>
        <v/>
      </c>
      <c r="P93" s="306">
        <f>'1. Press Assumptions'!$B$35*'1. Press Assumptions'!$D$89*$A12^13</f>
        <v/>
      </c>
      <c r="Q93" s="306">
        <f>'1. Press Assumptions'!$B$35*'1. Press Assumptions'!$D$89*$A12^14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6" customWidth="1" style="306" min="2" max="13"/>
    <col width="16" customWidth="1" style="307" min="3" max="3"/>
    <col width="16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612" t="inlineStr">
        <is>
          <t>FUND I  --  NDR SENSITIVITY (single source = engine sweep)</t>
        </is>
      </c>
      <c r="B1" s="613" t="n"/>
      <c r="C1" s="613" t="n"/>
      <c r="D1" s="613" t="n"/>
      <c r="E1" s="613" t="n"/>
      <c r="F1" s="613" t="n"/>
      <c r="G1" s="613" t="n"/>
      <c r="H1" s="613" t="n"/>
      <c r="I1" s="613" t="n"/>
      <c r="J1" s="613" t="n"/>
      <c r="K1" s="613" t="n"/>
      <c r="L1" s="613" t="n"/>
      <c r="M1" s="613" t="n"/>
      <c r="N1" s="613" t="n"/>
      <c r="O1" s="613" t="n"/>
      <c r="P1" s="613" t="n"/>
      <c r="Q1" s="613" t="n"/>
      <c r="R1" s="613" t="n"/>
      <c r="S1" s="613" t="n"/>
    </row>
    <row r="2" ht="15" customHeight="1" s="307">
      <c r="A2" s="593" t="inlineStr">
        <is>
          <t>Generated 2026-06-28 via sweep_sensitivity.py from the 3 engines. Scenario-independent (full NDR curve). 80/85/90 = primary band; 95/100 = extended reference.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  <c r="J2" s="614" t="n"/>
      <c r="K2" s="614" t="n"/>
      <c r="L2" s="614" t="n"/>
      <c r="M2" s="614" t="n"/>
      <c r="N2" s="613" t="n"/>
      <c r="O2" s="613" t="n"/>
      <c r="P2" s="613" t="n"/>
      <c r="Q2" s="613" t="n"/>
      <c r="R2" s="613" t="n"/>
      <c r="S2" s="613" t="n"/>
    </row>
    <row r="3" ht="15" customHeight="1" s="307">
      <c r="A3" s="614" t="n"/>
      <c r="B3" s="614" t="n"/>
      <c r="C3" s="614" t="n"/>
      <c r="D3" s="614" t="n"/>
      <c r="E3" s="614" t="n"/>
      <c r="F3" s="614" t="n"/>
      <c r="G3" s="614" t="n"/>
      <c r="H3" s="614" t="n"/>
      <c r="I3" s="614" t="n"/>
      <c r="J3" s="614" t="n"/>
      <c r="K3" s="614" t="n"/>
      <c r="L3" s="614" t="n"/>
      <c r="M3" s="614" t="n"/>
      <c r="N3" s="613" t="n"/>
      <c r="O3" s="613" t="n"/>
      <c r="P3" s="613" t="n"/>
      <c r="Q3" s="613" t="n"/>
      <c r="R3" s="613" t="n"/>
      <c r="S3" s="613" t="n"/>
    </row>
    <row r="4" ht="15" customHeight="1" s="307">
      <c r="A4" s="616" t="inlineStr">
        <is>
          <t>10Y DPI (LP MOIC)</t>
        </is>
      </c>
      <c r="B4" s="731" t="n"/>
      <c r="C4" s="731" t="n"/>
      <c r="D4" s="731" t="n"/>
      <c r="E4" s="684" t="n"/>
      <c r="F4" s="684" t="n"/>
      <c r="G4" s="684" t="n"/>
      <c r="H4" s="613" t="n"/>
      <c r="I4" s="613" t="n"/>
      <c r="J4" s="613" t="n"/>
      <c r="K4" s="613" t="n"/>
      <c r="L4" s="613" t="n"/>
      <c r="M4" s="613" t="n"/>
      <c r="N4" s="613" t="n"/>
      <c r="O4" s="613" t="n"/>
      <c r="P4" s="613" t="n"/>
      <c r="Q4" s="613" t="n"/>
      <c r="R4" s="613" t="n"/>
      <c r="S4" s="613" t="n"/>
    </row>
    <row r="5" ht="15" customHeight="1" s="307">
      <c r="A5" s="612" t="inlineStr">
        <is>
          <t>NDR</t>
        </is>
      </c>
      <c r="B5" s="654" t="inlineStr">
        <is>
          <t>No Recycle</t>
        </is>
      </c>
      <c r="C5" s="654" t="inlineStr">
        <is>
          <t>50% Recycle</t>
        </is>
      </c>
      <c r="D5" s="654" t="inlineStr">
        <is>
          <t>100% Recycle</t>
        </is>
      </c>
      <c r="E5" s="684" t="n"/>
      <c r="F5" s="684" t="n"/>
      <c r="G5" s="684" t="n"/>
      <c r="H5" s="614" t="n"/>
      <c r="I5" s="614" t="n"/>
      <c r="J5" s="614" t="n"/>
      <c r="K5" s="614" t="n"/>
      <c r="L5" s="614" t="n"/>
      <c r="M5" s="614" t="n"/>
      <c r="N5" s="613" t="n"/>
      <c r="O5" s="613" t="n"/>
      <c r="P5" s="613" t="n"/>
      <c r="Q5" s="613" t="n"/>
      <c r="R5" s="613" t="n"/>
      <c r="S5" s="613" t="n"/>
    </row>
    <row r="6" ht="15" customHeight="1" s="307">
      <c r="A6" s="732" t="n">
        <v>0.8</v>
      </c>
      <c r="B6" s="733" t="n">
        <v>1.58974618131608</v>
      </c>
      <c r="C6" s="733" t="n">
        <v>2.07279730612754</v>
      </c>
      <c r="D6" s="733" t="n">
        <v>2.15119466476817</v>
      </c>
      <c r="E6" s="686" t="n"/>
      <c r="F6" s="686" t="n"/>
      <c r="G6" s="686" t="n"/>
      <c r="H6" s="614" t="n"/>
      <c r="I6" s="614" t="n"/>
      <c r="J6" s="614" t="n"/>
      <c r="K6" s="614" t="n"/>
      <c r="L6" s="614" t="n"/>
      <c r="M6" s="614" t="n"/>
      <c r="N6" s="613" t="n"/>
      <c r="O6" s="613" t="n"/>
      <c r="P6" s="613" t="n"/>
      <c r="Q6" s="613" t="n"/>
      <c r="R6" s="613" t="n"/>
      <c r="S6" s="613" t="n"/>
    </row>
    <row r="7" ht="15" customHeight="1" s="307">
      <c r="A7" s="734" t="n">
        <v>0.85</v>
      </c>
      <c r="B7" s="735" t="n">
        <v>1.98542885787231</v>
      </c>
      <c r="C7" s="735" t="n">
        <v>2.62296352352672</v>
      </c>
      <c r="D7" s="735" t="n">
        <v>2.71597963669944</v>
      </c>
      <c r="E7" s="619" t="n"/>
      <c r="F7" s="619" t="n"/>
      <c r="G7" s="619" t="n"/>
      <c r="H7" s="614" t="n"/>
      <c r="I7" s="614" t="n"/>
      <c r="J7" s="614" t="n"/>
      <c r="K7" s="614" t="n"/>
      <c r="L7" s="614" t="n"/>
      <c r="M7" s="614" t="n"/>
      <c r="N7" s="613" t="n"/>
      <c r="O7" s="613" t="n"/>
      <c r="P7" s="613" t="n"/>
      <c r="Q7" s="613" t="n"/>
      <c r="R7" s="613" t="n"/>
      <c r="S7" s="613" t="n"/>
    </row>
    <row r="8" ht="15" customHeight="1" s="307">
      <c r="A8" s="732" t="n">
        <v>0.9</v>
      </c>
      <c r="B8" s="733" t="n">
        <v>2.49462901687355</v>
      </c>
      <c r="C8" s="733" t="n">
        <v>3.31693020919081</v>
      </c>
      <c r="D8" s="733" t="n">
        <v>3.43377562554781</v>
      </c>
      <c r="E8" s="689" t="n"/>
      <c r="F8" s="689" t="n"/>
      <c r="G8" s="689" t="n"/>
      <c r="H8" s="614" t="n"/>
      <c r="I8" s="614" t="n"/>
      <c r="J8" s="614" t="n"/>
      <c r="K8" s="614" t="n"/>
      <c r="L8" s="614" t="n"/>
      <c r="M8" s="614" t="n"/>
      <c r="N8" s="613" t="n"/>
      <c r="O8" s="613" t="n"/>
      <c r="P8" s="613" t="n"/>
      <c r="Q8" s="613" t="n"/>
      <c r="R8" s="613" t="n"/>
      <c r="S8" s="613" t="n"/>
    </row>
    <row r="9" ht="15" customHeight="1" s="307">
      <c r="A9" s="736" t="n">
        <v>0.95</v>
      </c>
      <c r="B9" s="737" t="n">
        <v>3.15027262358027</v>
      </c>
      <c r="C9" s="737" t="n">
        <v>4.19271593577548</v>
      </c>
      <c r="D9" s="737" t="n">
        <v>4.34629345763026</v>
      </c>
      <c r="E9" s="619" t="n"/>
      <c r="F9" s="619" t="n"/>
      <c r="G9" s="619" t="n"/>
      <c r="H9" s="614" t="n"/>
      <c r="I9" s="614" t="n"/>
      <c r="J9" s="614" t="n"/>
      <c r="K9" s="614" t="n"/>
      <c r="L9" s="614" t="n"/>
      <c r="M9" s="614" t="n"/>
      <c r="N9" s="613" t="n"/>
      <c r="O9" s="613" t="n"/>
      <c r="P9" s="613" t="n"/>
      <c r="Q9" s="613" t="n"/>
      <c r="R9" s="613" t="n"/>
      <c r="S9" s="613" t="n"/>
    </row>
    <row r="10" ht="15" customHeight="1" s="307">
      <c r="A10" s="736" t="n">
        <v>1</v>
      </c>
      <c r="B10" s="737" t="n">
        <v>3.99528446048941</v>
      </c>
      <c r="C10" s="737" t="n">
        <v>5.30057679601422</v>
      </c>
      <c r="D10" s="737" t="n">
        <v>5.5060244144</v>
      </c>
      <c r="E10" s="619" t="n"/>
      <c r="F10" s="619" t="n"/>
      <c r="G10" s="619" t="n"/>
      <c r="H10" s="614" t="n"/>
      <c r="I10" s="614" t="n"/>
      <c r="J10" s="614" t="n"/>
      <c r="K10" s="614" t="n"/>
      <c r="L10" s="614" t="n"/>
      <c r="M10" s="614" t="n"/>
      <c r="N10" s="613" t="n"/>
      <c r="O10" s="613" t="n"/>
      <c r="P10" s="613" t="n"/>
      <c r="Q10" s="613" t="n"/>
      <c r="R10" s="613" t="n"/>
      <c r="S10" s="613" t="n"/>
    </row>
    <row r="11" ht="15" customHeight="1" s="307">
      <c r="A11" s="684" t="n"/>
      <c r="B11" s="686" t="n"/>
      <c r="C11" s="686" t="n"/>
      <c r="D11" s="686" t="n"/>
      <c r="E11" s="619" t="n"/>
      <c r="F11" s="619" t="n"/>
      <c r="G11" s="619" t="n"/>
      <c r="H11" s="614" t="n"/>
      <c r="I11" s="614" t="n"/>
      <c r="J11" s="614" t="n"/>
      <c r="K11" s="614" t="n"/>
      <c r="L11" s="614" t="n"/>
      <c r="M11" s="614" t="n"/>
      <c r="N11" s="613" t="n"/>
      <c r="O11" s="613" t="n"/>
      <c r="P11" s="613" t="n"/>
      <c r="Q11" s="613" t="n"/>
      <c r="R11" s="613" t="n"/>
      <c r="S11" s="613" t="n"/>
    </row>
    <row r="12" ht="15" customHeight="1" s="307">
      <c r="A12" s="613" t="n"/>
      <c r="B12" s="619" t="n"/>
      <c r="C12" s="619" t="n"/>
      <c r="D12" s="619" t="n"/>
      <c r="E12" s="619" t="n"/>
      <c r="F12" s="619" t="n"/>
      <c r="G12" s="619" t="n"/>
      <c r="H12" s="614" t="n"/>
      <c r="I12" s="614" t="n"/>
      <c r="J12" s="614" t="n"/>
      <c r="K12" s="614" t="n"/>
      <c r="L12" s="614" t="n"/>
      <c r="M12" s="614" t="n"/>
      <c r="N12" s="613" t="n"/>
      <c r="O12" s="613" t="n"/>
      <c r="P12" s="613" t="n"/>
      <c r="Q12" s="613" t="n"/>
      <c r="R12" s="613" t="n"/>
      <c r="S12" s="613" t="n"/>
    </row>
    <row r="13" ht="15" customHeight="1" s="307">
      <c r="A13" s="616" t="inlineStr">
        <is>
          <t>15Y DPI (LP MOIC)</t>
        </is>
      </c>
      <c r="B13" s="731" t="n"/>
      <c r="C13" s="731" t="n"/>
      <c r="D13" s="731" t="n"/>
      <c r="E13" s="684" t="n"/>
      <c r="F13" s="684" t="n"/>
      <c r="G13" s="684" t="n"/>
      <c r="H13" s="613" t="n"/>
      <c r="I13" s="613" t="n"/>
      <c r="J13" s="613" t="n"/>
      <c r="K13" s="613" t="n"/>
      <c r="L13" s="613" t="n"/>
      <c r="M13" s="613" t="n"/>
      <c r="N13" s="613" t="n"/>
      <c r="O13" s="613" t="n"/>
      <c r="P13" s="613" t="n"/>
      <c r="Q13" s="613" t="n"/>
      <c r="R13" s="613" t="n"/>
      <c r="S13" s="613" t="n"/>
    </row>
    <row r="14" ht="15" customHeight="1" s="307">
      <c r="A14" s="612" t="inlineStr">
        <is>
          <t>NDR</t>
        </is>
      </c>
      <c r="B14" s="697" t="inlineStr">
        <is>
          <t>No Recycle</t>
        </is>
      </c>
      <c r="C14" s="697" t="inlineStr">
        <is>
          <t>50% Recycle</t>
        </is>
      </c>
      <c r="D14" s="697" t="inlineStr">
        <is>
          <t>100% Recycle</t>
        </is>
      </c>
      <c r="E14" s="614" t="n"/>
      <c r="F14" s="614" t="n"/>
      <c r="G14" s="614" t="n"/>
      <c r="H14" s="614" t="n"/>
      <c r="I14" s="614" t="n"/>
      <c r="J14" s="614" t="n"/>
      <c r="K14" s="614" t="n"/>
      <c r="L14" s="614" t="n"/>
      <c r="M14" s="614" t="n"/>
      <c r="N14" s="613" t="n"/>
      <c r="O14" s="613" t="n"/>
      <c r="P14" s="613" t="n"/>
      <c r="Q14" s="613" t="n"/>
      <c r="R14" s="613" t="n"/>
      <c r="S14" s="613" t="n"/>
    </row>
    <row r="15" ht="15" customHeight="1" s="307">
      <c r="A15" s="732" t="n">
        <v>0.8</v>
      </c>
      <c r="B15" s="733" t="n">
        <v>1.63922232585255</v>
      </c>
      <c r="C15" s="733" t="n">
        <v>2.36368484383135</v>
      </c>
      <c r="D15" s="733" t="n">
        <v>2.42146062045142</v>
      </c>
      <c r="E15" s="614" t="n"/>
      <c r="F15" s="614" t="n"/>
      <c r="G15" s="614" t="n"/>
      <c r="H15" s="614" t="n"/>
      <c r="I15" s="614" t="n"/>
      <c r="J15" s="614" t="n"/>
      <c r="K15" s="614" t="n"/>
      <c r="L15" s="614" t="n"/>
      <c r="M15" s="614" t="n"/>
      <c r="N15" s="613" t="n"/>
      <c r="O15" s="613" t="n"/>
      <c r="P15" s="613" t="n"/>
      <c r="Q15" s="613" t="n"/>
      <c r="R15" s="613" t="n"/>
      <c r="S15" s="613" t="n"/>
    </row>
    <row r="16" ht="15" customHeight="1" s="307">
      <c r="A16" s="734" t="n">
        <v>0.85</v>
      </c>
      <c r="B16" s="735" t="n">
        <v>2.25691855455967</v>
      </c>
      <c r="C16" s="735" t="n">
        <v>3.32832167898689</v>
      </c>
      <c r="D16" s="735" t="n">
        <v>3.35952646701966</v>
      </c>
      <c r="E16" s="614" t="n"/>
      <c r="F16" s="614" t="n"/>
      <c r="G16" s="614" t="n"/>
      <c r="H16" s="614" t="n"/>
      <c r="I16" s="614" t="n"/>
      <c r="J16" s="614" t="n"/>
      <c r="K16" s="614" t="n"/>
      <c r="L16" s="614" t="n"/>
      <c r="M16" s="614" t="n"/>
      <c r="N16" s="613" t="n"/>
      <c r="O16" s="613" t="n"/>
      <c r="P16" s="613" t="n"/>
      <c r="Q16" s="613" t="n"/>
      <c r="R16" s="613" t="n"/>
      <c r="S16" s="613" t="n"/>
    </row>
    <row r="17" ht="15" customHeight="1" s="307">
      <c r="A17" s="732" t="n">
        <v>0.9</v>
      </c>
      <c r="B17" s="733" t="n">
        <v>3.2106416699924</v>
      </c>
      <c r="C17" s="733" t="n">
        <v>4.76181992076626</v>
      </c>
      <c r="D17" s="733" t="n">
        <v>4.76701625360053</v>
      </c>
      <c r="E17" s="614" t="n"/>
      <c r="F17" s="614" t="n"/>
      <c r="G17" s="614" t="n"/>
      <c r="H17" s="614" t="n"/>
      <c r="I17" s="614" t="n"/>
      <c r="J17" s="614" t="n"/>
      <c r="K17" s="614" t="n"/>
      <c r="L17" s="614" t="n"/>
      <c r="M17" s="614" t="n"/>
      <c r="N17" s="613" t="n"/>
      <c r="O17" s="613" t="n"/>
      <c r="P17" s="613" t="n"/>
      <c r="Q17" s="613" t="n"/>
      <c r="R17" s="613" t="n"/>
      <c r="S17" s="613" t="n"/>
    </row>
    <row r="18" ht="15" customHeight="1" s="307">
      <c r="A18" s="736" t="n">
        <v>0.95</v>
      </c>
      <c r="B18" s="737" t="n">
        <v>4.69161951805881</v>
      </c>
      <c r="C18" s="737" t="n">
        <v>6.93551176679975</v>
      </c>
      <c r="D18" s="737" t="n">
        <v>6.92468451960258</v>
      </c>
      <c r="E18" s="614" t="n"/>
      <c r="F18" s="614" t="n"/>
      <c r="G18" s="614" t="n"/>
      <c r="H18" s="614" t="n"/>
      <c r="I18" s="614" t="n"/>
      <c r="J18" s="614" t="n"/>
      <c r="K18" s="614" t="n"/>
      <c r="L18" s="614" t="n"/>
      <c r="M18" s="614" t="n"/>
      <c r="N18" s="613" t="n"/>
      <c r="O18" s="613" t="n"/>
      <c r="P18" s="613" t="n"/>
      <c r="Q18" s="613" t="n"/>
      <c r="R18" s="613" t="n"/>
      <c r="S18" s="613" t="n"/>
    </row>
    <row r="19" ht="15" customHeight="1" s="307">
      <c r="A19" s="736" t="n">
        <v>1</v>
      </c>
      <c r="B19" s="737" t="n">
        <v>7.03228686048941</v>
      </c>
      <c r="C19" s="737" t="n">
        <v>10.2847495960142</v>
      </c>
      <c r="D19" s="737" t="n">
        <v>10.2844724144</v>
      </c>
      <c r="E19" s="614" t="n"/>
      <c r="F19" s="614" t="n"/>
      <c r="G19" s="614" t="n"/>
      <c r="H19" s="614" t="n"/>
      <c r="I19" s="614" t="n"/>
      <c r="J19" s="614" t="n"/>
      <c r="K19" s="614" t="n"/>
      <c r="L19" s="614" t="n"/>
      <c r="M19" s="614" t="n"/>
      <c r="N19" s="613" t="n"/>
      <c r="O19" s="613" t="n"/>
      <c r="P19" s="613" t="n"/>
      <c r="Q19" s="613" t="n"/>
      <c r="R19" s="613" t="n"/>
      <c r="S19" s="613" t="n"/>
    </row>
    <row r="20" ht="15" customHeight="1" s="307">
      <c r="A20" s="684" t="n"/>
      <c r="B20" s="684" t="n"/>
      <c r="C20" s="684" t="n"/>
      <c r="D20" s="684" t="n"/>
      <c r="E20" s="614" t="n"/>
      <c r="F20" s="614" t="n"/>
      <c r="G20" s="614" t="n"/>
      <c r="H20" s="614" t="n"/>
      <c r="I20" s="614" t="n"/>
      <c r="J20" s="614" t="n"/>
      <c r="K20" s="614" t="n"/>
      <c r="L20" s="614" t="n"/>
      <c r="M20" s="614" t="n"/>
      <c r="N20" s="613" t="n"/>
      <c r="O20" s="613" t="n"/>
      <c r="P20" s="613" t="n"/>
      <c r="Q20" s="613" t="n"/>
      <c r="R20" s="613" t="n"/>
      <c r="S20" s="613" t="n"/>
    </row>
    <row r="21" ht="15" customHeight="1" s="307">
      <c r="A21" s="614" t="n"/>
      <c r="B21" s="614" t="n"/>
      <c r="C21" s="614" t="n"/>
      <c r="D21" s="614" t="n"/>
      <c r="E21" s="614" t="n"/>
      <c r="F21" s="614" t="n"/>
      <c r="G21" s="614" t="n"/>
      <c r="H21" s="614" t="n"/>
      <c r="I21" s="614" t="n"/>
      <c r="J21" s="614" t="n"/>
      <c r="K21" s="614" t="n"/>
      <c r="L21" s="614" t="n"/>
      <c r="M21" s="614" t="n"/>
      <c r="N21" s="613" t="n"/>
      <c r="O21" s="613" t="n"/>
      <c r="P21" s="613" t="n"/>
      <c r="Q21" s="613" t="n"/>
      <c r="R21" s="613" t="n"/>
      <c r="S21" s="613" t="n"/>
    </row>
    <row r="22" ht="15" customHeight="1" s="307">
      <c r="A22" s="616" t="inlineStr">
        <is>
          <t>10Y STAGED IRR</t>
        </is>
      </c>
      <c r="B22" s="738" t="n"/>
      <c r="C22" s="738" t="n"/>
      <c r="D22" s="738" t="n"/>
      <c r="E22" s="613" t="n"/>
      <c r="F22" s="613" t="n"/>
      <c r="G22" s="613" t="n"/>
      <c r="H22" s="613" t="n"/>
      <c r="I22" s="613" t="n"/>
      <c r="J22" s="613" t="n"/>
      <c r="K22" s="613" t="n"/>
      <c r="L22" s="613" t="n"/>
      <c r="M22" s="613" t="n"/>
      <c r="N22" s="613" t="n"/>
      <c r="O22" s="613" t="n"/>
      <c r="P22" s="613" t="n"/>
      <c r="Q22" s="613" t="n"/>
      <c r="R22" s="613" t="n"/>
      <c r="S22" s="613" t="n"/>
    </row>
    <row r="23" ht="15" customHeight="1" s="307">
      <c r="A23" s="612" t="inlineStr">
        <is>
          <t>NDR</t>
        </is>
      </c>
      <c r="B23" s="697" t="inlineStr">
        <is>
          <t>No Recycle</t>
        </is>
      </c>
      <c r="C23" s="697" t="inlineStr">
        <is>
          <t>50% Recycle</t>
        </is>
      </c>
      <c r="D23" s="697" t="inlineStr">
        <is>
          <t>100% Recycle</t>
        </is>
      </c>
      <c r="E23" s="614" t="n"/>
      <c r="F23" s="614" t="n"/>
      <c r="G23" s="614" t="n"/>
      <c r="H23" s="614" t="n"/>
      <c r="I23" s="614" t="n"/>
      <c r="J23" s="614" t="n"/>
      <c r="K23" s="614" t="n"/>
      <c r="L23" s="614" t="n"/>
      <c r="M23" s="614" t="n"/>
      <c r="N23" s="613" t="n"/>
      <c r="O23" s="613" t="n"/>
      <c r="P23" s="613" t="n"/>
      <c r="Q23" s="613" t="n"/>
      <c r="R23" s="613" t="n"/>
      <c r="S23" s="613" t="n"/>
    </row>
    <row r="24" ht="15" customHeight="1" s="307">
      <c r="A24" s="732" t="n">
        <v>0.8</v>
      </c>
      <c r="B24" s="739" t="n">
        <v>0.119685620358886</v>
      </c>
      <c r="C24" s="739" t="n">
        <v>0.133469100093329</v>
      </c>
      <c r="D24" s="739" t="n">
        <v>0.15142326450545</v>
      </c>
      <c r="E24" s="614" t="n"/>
      <c r="F24" s="614" t="n"/>
      <c r="G24" s="614" t="n"/>
      <c r="H24" s="614" t="n"/>
      <c r="I24" s="614" t="n"/>
      <c r="J24" s="614" t="n"/>
      <c r="K24" s="614" t="n"/>
      <c r="L24" s="614" t="n"/>
      <c r="M24" s="614" t="n"/>
      <c r="N24" s="613" t="n"/>
      <c r="O24" s="613" t="n"/>
      <c r="P24" s="613" t="n"/>
      <c r="Q24" s="613" t="n"/>
      <c r="R24" s="613" t="n"/>
      <c r="S24" s="613" t="n"/>
    </row>
    <row r="25" ht="15" customHeight="1" s="307">
      <c r="A25" s="734" t="n">
        <v>0.85</v>
      </c>
      <c r="B25" s="740" t="n">
        <v>0.170810589293701</v>
      </c>
      <c r="C25" s="740" t="n">
        <v>0.175589840298848</v>
      </c>
      <c r="D25" s="740" t="n">
        <v>0.196334794811012</v>
      </c>
      <c r="E25" s="614" t="n"/>
      <c r="F25" s="614" t="n"/>
      <c r="G25" s="614" t="n"/>
      <c r="H25" s="614" t="n"/>
      <c r="I25" s="614" t="n"/>
      <c r="J25" s="614" t="n"/>
      <c r="K25" s="614" t="n"/>
      <c r="L25" s="614" t="n"/>
      <c r="M25" s="614" t="n"/>
      <c r="N25" s="613" t="n"/>
      <c r="O25" s="613" t="n"/>
      <c r="P25" s="613" t="n"/>
      <c r="Q25" s="613" t="n"/>
      <c r="R25" s="613" t="n"/>
      <c r="S25" s="613" t="n"/>
    </row>
    <row r="26" ht="15" customHeight="1" s="307">
      <c r="A26" s="732" t="n">
        <v>0.9</v>
      </c>
      <c r="B26" s="739" t="n">
        <v>0.22024281531696</v>
      </c>
      <c r="C26" s="739" t="n">
        <v>0.217286866391425</v>
      </c>
      <c r="D26" s="739" t="n">
        <v>0.240354046984388</v>
      </c>
      <c r="E26" s="614" t="n"/>
      <c r="F26" s="614" t="n"/>
      <c r="G26" s="614" t="n"/>
      <c r="H26" s="614" t="n"/>
      <c r="I26" s="614" t="n"/>
      <c r="J26" s="614" t="n"/>
      <c r="K26" s="614" t="n"/>
      <c r="L26" s="614" t="n"/>
      <c r="M26" s="614" t="n"/>
      <c r="N26" s="613" t="n"/>
      <c r="O26" s="613" t="n"/>
      <c r="P26" s="613" t="n"/>
      <c r="Q26" s="613" t="n"/>
      <c r="R26" s="613" t="n"/>
      <c r="S26" s="613" t="n"/>
    </row>
    <row r="27" ht="15" customHeight="1" s="307">
      <c r="A27" s="736" t="n">
        <v>0.95</v>
      </c>
      <c r="B27" s="741" t="n">
        <v>0.268470693020173</v>
      </c>
      <c r="C27" s="741" t="n">
        <v>0.258606727800447</v>
      </c>
      <c r="D27" s="741" t="n">
        <v>0.283992057804027</v>
      </c>
      <c r="E27" s="614" t="n"/>
      <c r="F27" s="614" t="n"/>
      <c r="G27" s="614" t="n"/>
      <c r="H27" s="614" t="n"/>
      <c r="I27" s="614" t="n"/>
      <c r="J27" s="614" t="n"/>
      <c r="K27" s="614" t="n"/>
      <c r="L27" s="614" t="n"/>
      <c r="M27" s="614" t="n"/>
      <c r="N27" s="613" t="n"/>
      <c r="O27" s="613" t="n"/>
      <c r="P27" s="613" t="n"/>
      <c r="Q27" s="613" t="n"/>
      <c r="R27" s="613" t="n"/>
      <c r="S27" s="613" t="n"/>
    </row>
    <row r="28" ht="15" customHeight="1" s="307">
      <c r="A28" s="736" t="n">
        <v>1</v>
      </c>
      <c r="B28" s="741" t="n">
        <v>0.315511189413438</v>
      </c>
      <c r="C28" s="741" t="n">
        <v>0.29938487706324</v>
      </c>
      <c r="D28" s="741" t="n">
        <v>0.327271277356969</v>
      </c>
      <c r="E28" s="614" t="n"/>
      <c r="F28" s="614" t="n"/>
      <c r="G28" s="614" t="n"/>
      <c r="H28" s="614" t="n"/>
      <c r="I28" s="614" t="n"/>
      <c r="J28" s="614" t="n"/>
      <c r="K28" s="614" t="n"/>
      <c r="L28" s="614" t="n"/>
      <c r="M28" s="614" t="n"/>
      <c r="N28" s="613" t="n"/>
      <c r="O28" s="613" t="n"/>
      <c r="P28" s="613" t="n"/>
      <c r="Q28" s="613" t="n"/>
      <c r="R28" s="613" t="n"/>
      <c r="S28" s="613" t="n"/>
    </row>
    <row r="29" ht="15" customHeight="1" s="307">
      <c r="A29" s="684" t="n"/>
      <c r="B29" s="686" t="n"/>
      <c r="C29" s="686" t="n"/>
      <c r="D29" s="686" t="n"/>
      <c r="E29" s="614" t="n"/>
      <c r="F29" s="614" t="n"/>
      <c r="G29" s="614" t="n"/>
      <c r="H29" s="614" t="n"/>
      <c r="I29" s="614" t="n"/>
      <c r="J29" s="614" t="n"/>
      <c r="K29" s="614" t="n"/>
      <c r="L29" s="614" t="n"/>
      <c r="M29" s="614" t="n"/>
      <c r="N29" s="613" t="n"/>
      <c r="O29" s="613" t="n"/>
      <c r="P29" s="613" t="n"/>
      <c r="Q29" s="613" t="n"/>
      <c r="R29" s="613" t="n"/>
      <c r="S29" s="613" t="n"/>
    </row>
    <row r="30" ht="15" customHeight="1" s="307">
      <c r="A30" s="614" t="n"/>
      <c r="B30" s="614" t="n"/>
      <c r="C30" s="614" t="n"/>
      <c r="D30" s="614" t="n"/>
      <c r="E30" s="614" t="n"/>
      <c r="F30" s="614" t="n"/>
      <c r="G30" s="614" t="n"/>
      <c r="H30" s="614" t="n"/>
      <c r="I30" s="614" t="n"/>
      <c r="J30" s="614" t="n"/>
      <c r="K30" s="614" t="n"/>
      <c r="L30" s="614" t="n"/>
      <c r="M30" s="614" t="n"/>
      <c r="N30" s="613" t="n"/>
      <c r="O30" s="613" t="n"/>
      <c r="P30" s="613" t="n"/>
      <c r="Q30" s="613" t="n"/>
      <c r="R30" s="613" t="n"/>
      <c r="S30" s="613" t="n"/>
    </row>
    <row r="31" ht="15" customHeight="1" s="307">
      <c r="A31" s="616" t="inlineStr">
        <is>
          <t>15Y STAGED IRR</t>
        </is>
      </c>
      <c r="B31" s="738" t="n"/>
      <c r="C31" s="738" t="n"/>
      <c r="D31" s="738" t="n"/>
      <c r="E31" s="613" t="n"/>
      <c r="F31" s="613" t="n"/>
      <c r="G31" s="613" t="n"/>
      <c r="H31" s="613" t="n"/>
      <c r="I31" s="613" t="n"/>
      <c r="J31" s="613" t="n"/>
      <c r="K31" s="613" t="n"/>
      <c r="L31" s="613" t="n"/>
      <c r="M31" s="613" t="n"/>
      <c r="N31" s="613" t="n"/>
      <c r="O31" s="613" t="n"/>
      <c r="P31" s="613" t="n"/>
      <c r="Q31" s="613" t="n"/>
      <c r="R31" s="613" t="n"/>
      <c r="S31" s="613" t="n"/>
    </row>
    <row r="32" ht="15" customHeight="1" s="307">
      <c r="A32" s="612" t="inlineStr">
        <is>
          <t>NDR</t>
        </is>
      </c>
      <c r="B32" s="697" t="inlineStr">
        <is>
          <t>No Recycle</t>
        </is>
      </c>
      <c r="C32" s="697" t="inlineStr">
        <is>
          <t>50% Recycle</t>
        </is>
      </c>
      <c r="D32" s="697" t="inlineStr">
        <is>
          <t>100% Recycle</t>
        </is>
      </c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3" t="n"/>
      <c r="O32" s="613" t="n"/>
      <c r="P32" s="613" t="n"/>
      <c r="Q32" s="613" t="n"/>
      <c r="R32" s="613" t="n"/>
      <c r="S32" s="613" t="n"/>
    </row>
    <row r="33" ht="15" customHeight="1" s="307">
      <c r="A33" s="732" t="n">
        <v>0.8</v>
      </c>
      <c r="B33" s="739" t="n">
        <v>0.122908062947104</v>
      </c>
      <c r="C33" s="739" t="n">
        <v>0.14449536618545</v>
      </c>
      <c r="D33" s="739" t="n">
        <v>0.160511759793101</v>
      </c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3" t="n"/>
      <c r="O33" s="613" t="n"/>
      <c r="P33" s="613" t="n"/>
      <c r="Q33" s="613" t="n"/>
      <c r="R33" s="613" t="n"/>
      <c r="S33" s="613" t="n"/>
    </row>
    <row r="34" ht="15" customHeight="1" s="307">
      <c r="A34" s="734" t="n">
        <v>0.85</v>
      </c>
      <c r="B34" s="740" t="n">
        <v>0.18023696094279</v>
      </c>
      <c r="C34" s="740" t="n">
        <v>0.191767030647769</v>
      </c>
      <c r="D34" s="740" t="n">
        <v>0.209245672780707</v>
      </c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3" t="n"/>
      <c r="O34" s="613" t="n"/>
      <c r="P34" s="613" t="n"/>
      <c r="Q34" s="613" t="n"/>
      <c r="R34" s="613" t="n"/>
      <c r="S34" s="613" t="n"/>
    </row>
    <row r="35" ht="15" customHeight="1" s="307">
      <c r="A35" s="732" t="n">
        <v>0.9</v>
      </c>
      <c r="B35" s="739" t="n">
        <v>0.234267371819506</v>
      </c>
      <c r="C35" s="739" t="n">
        <v>0.237899892048735</v>
      </c>
      <c r="D35" s="739" t="n">
        <v>0.256739442633043</v>
      </c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3" t="n"/>
      <c r="O35" s="613" t="n"/>
      <c r="P35" s="613" t="n"/>
      <c r="Q35" s="613" t="n"/>
      <c r="R35" s="613" t="n"/>
      <c r="S35" s="613" t="n"/>
    </row>
    <row r="36" ht="15" customHeight="1" s="307">
      <c r="A36" s="736" t="n">
        <v>0.95</v>
      </c>
      <c r="B36" s="741" t="n">
        <v>0.286205909811351</v>
      </c>
      <c r="C36" s="741" t="n">
        <v>0.283389155901125</v>
      </c>
      <c r="D36" s="741" t="n">
        <v>0.303752367075508</v>
      </c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3" t="n"/>
      <c r="O36" s="613" t="n"/>
      <c r="P36" s="613" t="n"/>
      <c r="Q36" s="613" t="n"/>
      <c r="R36" s="613" t="n"/>
      <c r="S36" s="613" t="n"/>
    </row>
    <row r="37" ht="15" customHeight="1" s="307">
      <c r="A37" s="736" t="n">
        <v>1</v>
      </c>
      <c r="B37" s="741" t="n">
        <v>0.336640016606107</v>
      </c>
      <c r="C37" s="741" t="n">
        <v>0.328326277145257</v>
      </c>
      <c r="D37" s="741" t="n">
        <v>0.350443377634184</v>
      </c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3" t="n"/>
      <c r="O37" s="613" t="n"/>
      <c r="P37" s="613" t="n"/>
      <c r="Q37" s="613" t="n"/>
      <c r="R37" s="613" t="n"/>
      <c r="S37" s="613" t="n"/>
    </row>
    <row r="38" ht="15" customHeight="1" s="307">
      <c r="A38" s="684" t="n"/>
      <c r="B38" s="689" t="n"/>
      <c r="C38" s="689" t="n"/>
      <c r="D38" s="689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3" t="n"/>
      <c r="O38" s="613" t="n"/>
      <c r="P38" s="613" t="n"/>
      <c r="Q38" s="613" t="n"/>
      <c r="R38" s="613" t="n"/>
      <c r="S38" s="613" t="n"/>
    </row>
    <row r="39" ht="15" customHeight="1" s="307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3" t="n"/>
      <c r="O39" s="613" t="n"/>
      <c r="P39" s="613" t="n"/>
      <c r="Q39" s="613" t="n"/>
      <c r="R39" s="613" t="n"/>
      <c r="S39" s="613" t="n"/>
    </row>
    <row r="40" ht="15" customHeight="1" s="307">
      <c r="A40" s="613" t="n"/>
      <c r="B40" s="613" t="n"/>
      <c r="C40" s="613" t="n"/>
      <c r="D40" s="613" t="n"/>
      <c r="E40" s="613" t="n"/>
      <c r="F40" s="613" t="n"/>
      <c r="G40" s="613" t="n"/>
      <c r="H40" s="613" t="n"/>
      <c r="I40" s="613" t="n"/>
      <c r="J40" s="613" t="n"/>
      <c r="K40" s="613" t="n"/>
      <c r="L40" s="613" t="n"/>
      <c r="M40" s="613" t="n"/>
      <c r="N40" s="613" t="n"/>
      <c r="O40" s="613" t="n"/>
      <c r="P40" s="613" t="n"/>
      <c r="Q40" s="613" t="n"/>
      <c r="R40" s="613" t="n"/>
      <c r="S40" s="613" t="n"/>
    </row>
    <row r="41" ht="15" customHeight="1" s="307">
      <c r="A41" s="593" t="inlineStr">
        <is>
          <t>Base case = 85% NDR (highlighted). This is the curve; Tab 1 B136 selects which point the headline tabs feature.</t>
        </is>
      </c>
      <c r="B41" s="708" t="n"/>
      <c r="C41" s="708" t="n"/>
      <c r="D41" s="708" t="n"/>
      <c r="E41" s="614" t="n"/>
      <c r="F41" s="614" t="n"/>
      <c r="G41" s="614" t="n"/>
      <c r="H41" s="614" t="n"/>
      <c r="I41" s="614" t="n"/>
      <c r="J41" s="614" t="n"/>
      <c r="K41" s="614" t="n"/>
      <c r="L41" s="614" t="n"/>
      <c r="M41" s="614" t="n"/>
      <c r="N41" s="613" t="n"/>
      <c r="O41" s="613" t="n"/>
      <c r="P41" s="613" t="n"/>
      <c r="Q41" s="613" t="n"/>
      <c r="R41" s="613" t="n"/>
      <c r="S41" s="613" t="n"/>
    </row>
    <row r="42" ht="15" customHeight="1" s="307">
      <c r="A42" s="651" t="inlineStr">
        <is>
          <t>Verification: 80% row == engine at Bear, 85% == Base, 90% == Bull (see verifier).</t>
        </is>
      </c>
      <c r="B42" s="619" t="n"/>
      <c r="C42" s="619" t="n"/>
      <c r="D42" s="619" t="n"/>
      <c r="E42" s="614" t="n"/>
      <c r="F42" s="614" t="n"/>
      <c r="G42" s="614" t="n"/>
      <c r="H42" s="614" t="n"/>
      <c r="I42" s="614" t="n"/>
      <c r="J42" s="614" t="n"/>
      <c r="K42" s="614" t="n"/>
      <c r="L42" s="614" t="n"/>
      <c r="M42" s="614" t="n"/>
      <c r="N42" s="613" t="n"/>
      <c r="O42" s="613" t="n"/>
      <c r="P42" s="613" t="n"/>
      <c r="Q42" s="613" t="n"/>
      <c r="R42" s="613" t="n"/>
      <c r="S42" s="613" t="n"/>
    </row>
    <row r="43" ht="15" customHeight="1" s="307">
      <c r="A43" s="684" t="n"/>
      <c r="B43" s="619" t="n"/>
      <c r="C43" s="619" t="n"/>
      <c r="D43" s="619" t="n"/>
      <c r="E43" s="614" t="n"/>
      <c r="F43" s="614" t="n"/>
      <c r="G43" s="614" t="n"/>
      <c r="H43" s="614" t="n"/>
      <c r="I43" s="614" t="n"/>
      <c r="J43" s="614" t="n"/>
      <c r="K43" s="614" t="n"/>
      <c r="L43" s="614" t="n"/>
      <c r="M43" s="614" t="n"/>
      <c r="N43" s="613" t="n"/>
      <c r="O43" s="613" t="n"/>
      <c r="P43" s="613" t="n"/>
      <c r="Q43" s="613" t="n"/>
      <c r="R43" s="613" t="n"/>
      <c r="S43" s="613" t="n"/>
    </row>
    <row r="44" ht="15" customHeight="1" s="307">
      <c r="A44" s="684" t="n"/>
      <c r="B44" s="619" t="n"/>
      <c r="C44" s="619" t="n"/>
      <c r="D44" s="619" t="n"/>
      <c r="E44" s="614" t="n"/>
      <c r="F44" s="614" t="n"/>
      <c r="G44" s="614" t="n"/>
      <c r="H44" s="614" t="n"/>
      <c r="I44" s="614" t="n"/>
      <c r="J44" s="614" t="n"/>
      <c r="K44" s="614" t="n"/>
      <c r="L44" s="614" t="n"/>
      <c r="M44" s="614" t="n"/>
      <c r="N44" s="613" t="n"/>
      <c r="O44" s="613" t="n"/>
      <c r="P44" s="613" t="n"/>
      <c r="Q44" s="613" t="n"/>
      <c r="R44" s="613" t="n"/>
      <c r="S44" s="613" t="n"/>
    </row>
    <row r="45" ht="15" customHeight="1" s="307">
      <c r="A45" s="742" t="n"/>
      <c r="B45" s="743" t="n"/>
      <c r="C45" s="743" t="n"/>
      <c r="D45" s="743" t="n"/>
      <c r="E45" s="743" t="n"/>
      <c r="F45" s="743" t="n"/>
      <c r="G45" s="743" t="n"/>
      <c r="H45" s="614" t="n"/>
      <c r="I45" s="614" t="n"/>
      <c r="J45" s="614" t="n"/>
      <c r="K45" s="614" t="n"/>
      <c r="L45" s="614" t="n"/>
      <c r="M45" s="614" t="n"/>
      <c r="N45" s="613" t="n"/>
      <c r="O45" s="613" t="n"/>
      <c r="P45" s="613" t="n"/>
      <c r="Q45" s="613" t="n"/>
      <c r="R45" s="613" t="n"/>
      <c r="S45" s="613" t="n"/>
    </row>
    <row r="46" ht="15" customHeight="1" s="307">
      <c r="A46" s="744" t="n"/>
      <c r="B46" s="745" t="n"/>
      <c r="C46" s="745" t="n"/>
      <c r="D46" s="745" t="n"/>
      <c r="E46" s="745" t="n"/>
      <c r="F46" s="745" t="n"/>
      <c r="G46" s="745" t="n"/>
      <c r="H46" s="614" t="n"/>
      <c r="I46" s="614" t="n"/>
      <c r="J46" s="614" t="n"/>
      <c r="K46" s="614" t="n"/>
      <c r="L46" s="614" t="n"/>
      <c r="M46" s="614" t="n"/>
      <c r="N46" s="613" t="n"/>
      <c r="O46" s="613" t="n"/>
      <c r="P46" s="613" t="n"/>
      <c r="Q46" s="613" t="n"/>
      <c r="R46" s="613" t="n"/>
      <c r="S46" s="613" t="n"/>
    </row>
    <row r="47" ht="15" customHeight="1" s="307">
      <c r="A47" s="744" t="n"/>
      <c r="B47" s="745" t="n"/>
      <c r="C47" s="745" t="n"/>
      <c r="D47" s="745" t="n"/>
      <c r="E47" s="745" t="n"/>
      <c r="F47" s="745" t="n"/>
      <c r="G47" s="745" t="n"/>
      <c r="H47" s="614" t="n"/>
      <c r="I47" s="614" t="n"/>
      <c r="J47" s="614" t="n"/>
      <c r="K47" s="614" t="n"/>
      <c r="L47" s="614" t="n"/>
      <c r="M47" s="614" t="n"/>
      <c r="N47" s="613" t="n"/>
      <c r="O47" s="613" t="n"/>
      <c r="P47" s="613" t="n"/>
      <c r="Q47" s="613" t="n"/>
      <c r="R47" s="613" t="n"/>
      <c r="S47" s="613" t="n"/>
    </row>
    <row r="48" ht="15" customHeight="1" s="307">
      <c r="A48" s="744" t="n"/>
      <c r="B48" s="745" t="n"/>
      <c r="C48" s="745" t="n"/>
      <c r="D48" s="745" t="n"/>
      <c r="E48" s="745" t="n"/>
      <c r="F48" s="745" t="n"/>
      <c r="G48" s="745" t="n"/>
      <c r="H48" s="614" t="n"/>
      <c r="I48" s="614" t="n"/>
      <c r="J48" s="614" t="n"/>
      <c r="K48" s="614" t="n"/>
      <c r="L48" s="614" t="n"/>
      <c r="M48" s="614" t="n"/>
      <c r="N48" s="613" t="n"/>
      <c r="O48" s="613" t="n"/>
      <c r="P48" s="613" t="n"/>
      <c r="Q48" s="613" t="n"/>
      <c r="R48" s="613" t="n"/>
      <c r="S48" s="613" t="n"/>
    </row>
    <row r="49" ht="15" customHeight="1" s="307">
      <c r="A49" s="744" t="n"/>
      <c r="B49" s="745" t="n"/>
      <c r="C49" s="745" t="n"/>
      <c r="D49" s="745" t="n"/>
      <c r="E49" s="745" t="n"/>
      <c r="F49" s="745" t="n"/>
      <c r="G49" s="745" t="n"/>
      <c r="H49" s="614" t="n"/>
      <c r="I49" s="614" t="n"/>
      <c r="J49" s="614" t="n"/>
      <c r="K49" s="614" t="n"/>
      <c r="L49" s="614" t="n"/>
      <c r="M49" s="614" t="n"/>
      <c r="N49" s="613" t="n"/>
      <c r="O49" s="613" t="n"/>
      <c r="P49" s="613" t="n"/>
      <c r="Q49" s="613" t="n"/>
      <c r="R49" s="613" t="n"/>
      <c r="S49" s="613" t="n"/>
    </row>
    <row r="50" ht="15" customHeight="1" s="307">
      <c r="A50" s="744" t="n"/>
      <c r="B50" s="745" t="n"/>
      <c r="C50" s="745" t="n"/>
      <c r="D50" s="745" t="n"/>
      <c r="E50" s="745" t="n"/>
      <c r="F50" s="745" t="n"/>
      <c r="G50" s="745" t="n"/>
      <c r="H50" s="614" t="n"/>
      <c r="I50" s="614" t="n"/>
      <c r="J50" s="614" t="n"/>
      <c r="K50" s="614" t="n"/>
      <c r="L50" s="614" t="n"/>
      <c r="M50" s="614" t="n"/>
      <c r="N50" s="614" t="n"/>
      <c r="O50" s="614" t="n"/>
      <c r="P50" s="614" t="n"/>
      <c r="Q50" s="614" t="n"/>
      <c r="R50" s="614" t="n"/>
      <c r="S50" s="614" t="n"/>
    </row>
    <row r="51" ht="15" customHeight="1" s="307">
      <c r="A51" s="744" t="n"/>
      <c r="B51" s="745" t="n"/>
      <c r="C51" s="745" t="n"/>
      <c r="D51" s="745" t="n"/>
      <c r="E51" s="745" t="n"/>
      <c r="F51" s="745" t="n"/>
      <c r="G51" s="745" t="n"/>
      <c r="H51" s="614" t="n"/>
      <c r="I51" s="614" t="n"/>
      <c r="J51" s="614" t="n"/>
      <c r="K51" s="614" t="n"/>
      <c r="L51" s="614" t="n"/>
      <c r="M51" s="614" t="n"/>
      <c r="N51" s="614" t="n"/>
      <c r="O51" s="614" t="n"/>
      <c r="P51" s="614" t="n"/>
      <c r="Q51" s="614" t="n"/>
      <c r="R51" s="614" t="n"/>
      <c r="S51" s="614" t="n"/>
    </row>
    <row r="52">
      <c r="A52" s="614" t="n"/>
      <c r="B52" s="614" t="n"/>
      <c r="C52" s="614" t="n"/>
      <c r="D52" s="614" t="n"/>
      <c r="E52" s="614" t="n"/>
      <c r="F52" s="614" t="n"/>
      <c r="G52" s="614" t="n"/>
      <c r="H52" s="614" t="n"/>
      <c r="I52" s="614" t="n"/>
      <c r="J52" s="614" t="n"/>
      <c r="K52" s="614" t="n"/>
      <c r="L52" s="614" t="n"/>
      <c r="M52" s="614" t="n"/>
      <c r="N52" s="614" t="n"/>
      <c r="O52" s="614" t="n"/>
      <c r="P52" s="614" t="n"/>
      <c r="Q52" s="614" t="n"/>
      <c r="R52" s="614" t="n"/>
      <c r="S52" s="614" t="n"/>
    </row>
    <row r="53">
      <c r="A53" s="614" t="n"/>
      <c r="B53" s="614" t="n"/>
      <c r="C53" s="614" t="n"/>
      <c r="D53" s="614" t="n"/>
      <c r="E53" s="614" t="n"/>
      <c r="F53" s="614" t="n"/>
      <c r="G53" s="614" t="n"/>
      <c r="H53" s="614" t="n"/>
      <c r="I53" s="614" t="n"/>
      <c r="J53" s="614" t="n"/>
      <c r="K53" s="614" t="n"/>
      <c r="L53" s="614" t="n"/>
      <c r="M53" s="614" t="n"/>
      <c r="N53" s="614" t="n"/>
      <c r="O53" s="614" t="n"/>
      <c r="P53" s="614" t="n"/>
      <c r="Q53" s="614" t="n"/>
      <c r="R53" s="614" t="n"/>
      <c r="S53" s="614" t="n"/>
    </row>
    <row r="54" ht="15" customHeight="1" s="307">
      <c r="A54" s="613" t="n"/>
      <c r="B54" s="613" t="n"/>
      <c r="C54" s="613" t="n"/>
      <c r="D54" s="613" t="n"/>
      <c r="E54" s="613" t="n"/>
      <c r="F54" s="613" t="n"/>
      <c r="G54" s="613" t="n"/>
      <c r="H54" s="614" t="n"/>
      <c r="I54" s="614" t="n"/>
      <c r="J54" s="614" t="n"/>
      <c r="K54" s="614" t="n"/>
      <c r="L54" s="614" t="n"/>
      <c r="M54" s="614" t="n"/>
      <c r="N54" s="614" t="n"/>
      <c r="O54" s="614" t="n"/>
      <c r="P54" s="614" t="n"/>
      <c r="Q54" s="614" t="n"/>
      <c r="R54" s="614" t="n"/>
      <c r="S54" s="614" t="n"/>
    </row>
    <row r="55" ht="15" customHeight="1" s="307">
      <c r="A55" s="613" t="n"/>
      <c r="B55" s="614" t="n"/>
      <c r="C55" s="614" t="n"/>
      <c r="D55" s="614" t="n"/>
      <c r="E55" s="614" t="n"/>
      <c r="F55" s="614" t="n"/>
      <c r="G55" s="614" t="n"/>
      <c r="H55" s="614" t="n"/>
      <c r="I55" s="614" t="n"/>
      <c r="J55" s="614" t="n"/>
      <c r="K55" s="614" t="n"/>
      <c r="L55" s="614" t="n"/>
      <c r="M55" s="614" t="n"/>
      <c r="N55" s="614" t="n"/>
      <c r="O55" s="614" t="n"/>
      <c r="P55" s="614" t="n"/>
      <c r="Q55" s="614" t="n"/>
      <c r="R55" s="614" t="n"/>
      <c r="S55" s="614" t="n"/>
    </row>
    <row r="56" ht="15" customHeight="1" s="307">
      <c r="A56" s="613" t="n"/>
      <c r="B56" s="708" t="n"/>
      <c r="C56" s="708" t="n"/>
      <c r="D56" s="708" t="n"/>
      <c r="E56" s="708" t="n"/>
      <c r="F56" s="614" t="n"/>
      <c r="G56" s="614" t="n"/>
      <c r="H56" s="614" t="n"/>
      <c r="I56" s="614" t="n"/>
      <c r="J56" s="614" t="n"/>
      <c r="K56" s="614" t="n"/>
      <c r="L56" s="614" t="n"/>
      <c r="M56" s="614" t="n"/>
      <c r="N56" s="614" t="n"/>
      <c r="O56" s="614" t="n"/>
      <c r="P56" s="614" t="n"/>
      <c r="Q56" s="614" t="n"/>
      <c r="R56" s="614" t="n"/>
      <c r="S56" s="614" t="n"/>
    </row>
    <row r="57" ht="15" customHeight="1" s="307">
      <c r="A57" s="684" t="n"/>
      <c r="B57" s="708" t="n"/>
      <c r="C57" s="708" t="n"/>
      <c r="D57" s="708" t="n"/>
      <c r="E57" s="708" t="n"/>
      <c r="F57" s="614" t="n"/>
      <c r="G57" s="614" t="n"/>
      <c r="H57" s="614" t="n"/>
      <c r="I57" s="614" t="n"/>
      <c r="J57" s="614" t="n"/>
      <c r="K57" s="614" t="n"/>
      <c r="L57" s="614" t="n"/>
      <c r="M57" s="614" t="n"/>
      <c r="N57" s="614" t="n"/>
      <c r="O57" s="614" t="n"/>
      <c r="P57" s="614" t="n"/>
      <c r="Q57" s="614" t="n"/>
      <c r="R57" s="614" t="n"/>
      <c r="S57" s="614" t="n"/>
    </row>
    <row r="58" ht="15" customHeight="1" s="307">
      <c r="A58" s="684" t="n"/>
      <c r="B58" s="708" t="n"/>
      <c r="C58" s="708" t="n"/>
      <c r="D58" s="708" t="n"/>
      <c r="E58" s="708" t="n"/>
      <c r="F58" s="614" t="n"/>
      <c r="G58" s="614" t="n"/>
      <c r="H58" s="614" t="n"/>
      <c r="I58" s="614" t="n"/>
      <c r="J58" s="614" t="n"/>
      <c r="K58" s="614" t="n"/>
      <c r="L58" s="614" t="n"/>
      <c r="M58" s="614" t="n"/>
      <c r="N58" s="614" t="n"/>
      <c r="O58" s="614" t="n"/>
      <c r="P58" s="614" t="n"/>
      <c r="Q58" s="614" t="n"/>
      <c r="R58" s="614" t="n"/>
      <c r="S58" s="614" t="n"/>
    </row>
    <row r="59" ht="15" customHeight="1" s="307">
      <c r="A59" s="684" t="n"/>
      <c r="B59" s="708" t="n"/>
      <c r="C59" s="708" t="n"/>
      <c r="D59" s="708" t="n"/>
      <c r="E59" s="708" t="n"/>
      <c r="F59" s="614" t="n"/>
      <c r="G59" s="614" t="n"/>
      <c r="H59" s="614" t="n"/>
      <c r="I59" s="614" t="n"/>
      <c r="J59" s="614" t="n"/>
      <c r="K59" s="614" t="n"/>
      <c r="L59" s="614" t="n"/>
      <c r="M59" s="614" t="n"/>
      <c r="N59" s="614" t="n"/>
      <c r="O59" s="614" t="n"/>
      <c r="P59" s="614" t="n"/>
      <c r="Q59" s="614" t="n"/>
      <c r="R59" s="614" t="n"/>
      <c r="S59" s="614" t="n"/>
    </row>
    <row r="60" ht="15" customHeight="1" s="307">
      <c r="A60" s="684" t="n"/>
      <c r="B60" s="708" t="n"/>
      <c r="C60" s="708" t="n"/>
      <c r="D60" s="708" t="n"/>
      <c r="E60" s="708" t="n"/>
      <c r="F60" s="614" t="n"/>
      <c r="G60" s="614" t="n"/>
      <c r="H60" s="614" t="n"/>
      <c r="I60" s="614" t="n"/>
      <c r="J60" s="614" t="n"/>
      <c r="K60" s="614" t="n"/>
      <c r="L60" s="614" t="n"/>
      <c r="M60" s="614" t="n"/>
      <c r="N60" s="614" t="n"/>
      <c r="O60" s="614" t="n"/>
      <c r="P60" s="614" t="n"/>
      <c r="Q60" s="614" t="n"/>
      <c r="R60" s="614" t="n"/>
      <c r="S60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Year-10 exit sensitivity. Year-10 ARR and 10Y cash are live from _Engine_NR (active scenario).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>
        <f>'_Engine_NR'!$K$150</f>
        <v/>
      </c>
      <c r="C5" s="354">
        <f>'_Engine_NR'!$K$150</f>
        <v/>
      </c>
      <c r="D5" s="354">
        <f>'_Engine_NR'!$K$150</f>
        <v/>
      </c>
      <c r="E5" s="354">
        <f>'_Engine_NR'!$K$150</f>
        <v/>
      </c>
      <c r="F5" s="354">
        <f>'_Engine_NR'!$K$150</f>
        <v/>
      </c>
    </row>
    <row r="6" ht="15" customHeight="1" s="307">
      <c r="A6" s="322" t="inlineStr">
        <is>
          <t>Exit Proceeds ($mm)</t>
        </is>
      </c>
      <c r="B6" s="570">
        <f>B5*B4</f>
        <v/>
      </c>
      <c r="C6" s="570">
        <f>C5*C4</f>
        <v/>
      </c>
      <c r="D6" s="570">
        <f>D5*D4</f>
        <v/>
      </c>
      <c r="E6" s="570">
        <f>E5*E4</f>
        <v/>
      </c>
      <c r="F6" s="570">
        <f>F5*F4</f>
        <v/>
      </c>
    </row>
    <row r="7" ht="15" customHeight="1" s="307">
      <c r="A7" s="321" t="inlineStr">
        <is>
          <t>10Y Cash Distributions ($mm)</t>
        </is>
      </c>
      <c r="B7" s="354">
        <f>'_Engine_NR'!$B$253</f>
        <v/>
      </c>
      <c r="C7" s="354">
        <f>'_Engine_NR'!$B$253</f>
        <v/>
      </c>
      <c r="D7" s="354">
        <f>'_Engine_NR'!$B$253</f>
        <v/>
      </c>
      <c r="E7" s="354">
        <f>'_Engine_NR'!$B$253</f>
        <v/>
      </c>
      <c r="F7" s="354">
        <f>'_Engine_NR'!$B$253</f>
        <v/>
      </c>
    </row>
    <row r="8" ht="15" customHeight="1" s="307">
      <c r="A8" s="322" t="inlineStr">
        <is>
          <t>Total LP Value ($mm)</t>
        </is>
      </c>
      <c r="B8" s="570">
        <f>B6+B7</f>
        <v/>
      </c>
      <c r="C8" s="570">
        <f>C6+C7</f>
        <v/>
      </c>
      <c r="D8" s="570">
        <f>D6+D7</f>
        <v/>
      </c>
      <c r="E8" s="570">
        <f>E6+E7</f>
        <v/>
      </c>
      <c r="F8" s="570">
        <f>F6+F7</f>
        <v/>
      </c>
    </row>
    <row r="9" ht="15" customHeight="1" s="307">
      <c r="A9" s="322" t="inlineStr">
        <is>
          <t>Total LP MOIC (vs fund size)</t>
        </is>
      </c>
      <c r="B9" s="503">
        <f>B8/('1. Press Assumptions'!$B$5/1000000)</f>
        <v/>
      </c>
      <c r="C9" s="503">
        <f>C8/('1. Press Assumptions'!$B$5/1000000)</f>
        <v/>
      </c>
      <c r="D9" s="503">
        <f>D8/('1. Press Assumptions'!$B$5/1000000)</f>
        <v/>
      </c>
      <c r="E9" s="503">
        <f>E8/('1. Press Assumptions'!$B$5/1000000)</f>
        <v/>
      </c>
      <c r="F9" s="503">
        <f>F8/('1. Press Assumptions'!$B$5/1000000)</f>
        <v/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 (anchored to engine base)</t>
        </is>
      </c>
      <c r="B1" s="309" t="n"/>
      <c r="C1" s="309" t="n"/>
      <c r="D1" s="309" t="n"/>
      <c r="E1" s="309" t="n"/>
      <c r="F1" s="306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Base case ties exactly to _Engine_NR 15Y DPI. Downside scenarios are closed-form haircuts scaled to that base.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729" t="inlineStr">
        <is>
          <t>Base row is engine-exact; downside rows are engine-anchored closed-form haircuts (illustrative).</t>
        </is>
      </c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  <c r="J5" s="615" t="inlineStr">
        <is>
          <t>anchor scaler</t>
        </is>
      </c>
      <c r="K5" s="615" t="inlineStr">
        <is>
          <t>raw closed-form (helper)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K6*$J$6</f>
        <v/>
      </c>
      <c r="G6" s="662">
        <f>F6*('1. Press Assumptions'!$B$5/1000000)</f>
        <v/>
      </c>
      <c r="H6" s="638" t="inlineStr">
        <is>
          <t>NDR + margin from Tab 1; no zero deals; 2x exit.</t>
        </is>
      </c>
      <c r="J6" s="306">
        <f>'_Engine_NR'!$B$252/K6</f>
        <v/>
      </c>
      <c r="K6" s="306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K7*$J$6</f>
        <v/>
      </c>
      <c r="G7" s="662">
        <f>F7*('1. Press Assumptions'!$B$5/1000000)</f>
        <v/>
      </c>
      <c r="H7" s="638" t="inlineStr">
        <is>
          <t>NDR drops to 80%; everything else unchanged.</t>
        </is>
      </c>
      <c r="K7" s="306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K8*$J$6</f>
        <v/>
      </c>
      <c r="G8" s="662">
        <f>F8*('1. Press Assumptions'!$B$5/1000000)</f>
        <v/>
      </c>
      <c r="H8" s="638" t="inlineStr">
        <is>
          <t>NDR drops to 75%.</t>
        </is>
      </c>
      <c r="K8" s="306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K9*$J$6</f>
        <v/>
      </c>
      <c r="G9" s="662">
        <f>F9*('1. Press Assumptions'!$B$5/1000000)</f>
        <v/>
      </c>
      <c r="H9" s="638" t="inlineStr">
        <is>
          <t>Margin cap drops to 55% (deals leak vs underwriting).</t>
        </is>
      </c>
      <c r="K9" s="306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K10*$J$6</f>
        <v/>
      </c>
      <c r="G10" s="662">
        <f>F10*('1. Press Assumptions'!$B$5/1000000)</f>
        <v/>
      </c>
      <c r="H10" s="638" t="inlineStr">
        <is>
          <t>One deal returns nothing; portfolio = 4 deals at $24M ARR.</t>
        </is>
      </c>
      <c r="K10" s="306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</row>
    <row r="11" ht="15" customHeight="1" s="307">
      <c r="A11" s="321" t="inlineStr">
        <is>
          <t>No exit premium (1x ARR)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K11*$J$6</f>
        <v/>
      </c>
      <c r="G11" s="662">
        <f>F11*('1. Press Assumptions'!$B$5/1000000)</f>
        <v/>
      </c>
      <c r="H11" s="638" t="inlineStr">
        <is>
          <t>1x ARR exit -- buyer pays book; no premium for cash flow capture.</t>
        </is>
      </c>
      <c r="K11" s="306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K12*$J$6</f>
        <v/>
      </c>
      <c r="G12" s="662">
        <f>F12*('1. Press Assumptions'!$B$5/1000000)</f>
        <v/>
      </c>
      <c r="H12" s="638" t="inlineStr">
        <is>
          <t>NDR 80% + margin 55% + 1 write-off + 1.5x exit.</t>
        </is>
      </c>
      <c r="K12" s="306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K13*$J$6</f>
        <v/>
      </c>
      <c r="G13" s="662">
        <f>F13*('1. Press Assumptions'!$B$5/1000000)</f>
        <v/>
      </c>
      <c r="H13" s="638" t="inlineStr">
        <is>
          <t>NDR 70% + margin 45% + 2 write-offs + 1x exit.</t>
        </is>
      </c>
      <c r="K13" s="306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  <row r="22">
      <c r="A22" s="642" t="inlineStr">
        <is>
          <t>STRESS SCALED TO R50 / R100  (NR stress x scenario uplift ratio)</t>
        </is>
      </c>
      <c r="B22" s="618" t="n"/>
      <c r="C22" s="618" t="n"/>
      <c r="D22" s="618" t="n"/>
      <c r="E22" s="618" t="n"/>
      <c r="F22" s="618" t="n"/>
      <c r="G22" s="618" t="n"/>
      <c r="H22" s="618" t="n"/>
      <c r="I22" s="614" t="n"/>
      <c r="J22" s="614" t="n"/>
      <c r="K22" s="614" t="n"/>
    </row>
    <row r="23">
      <c r="A23" s="615" t="inlineStr">
        <is>
          <t>Method: NR stress DPI x (R50_base / NR_base) -- approximate. Recycling amplifies BOTH upside AND downside.</t>
        </is>
      </c>
      <c r="B23" s="614" t="n"/>
      <c r="C23" s="614" t="n"/>
      <c r="D23" s="614" t="n"/>
      <c r="E23" s="614" t="n"/>
      <c r="F23" s="614" t="n"/>
      <c r="G23" s="614" t="n"/>
      <c r="H23" s="614" t="n"/>
      <c r="I23" s="614" t="n"/>
      <c r="J23" s="614" t="n"/>
      <c r="K23" s="614" t="n"/>
    </row>
    <row r="24">
      <c r="A24" s="697" t="inlineStr">
        <is>
          <t>Scenario</t>
        </is>
      </c>
      <c r="B24" s="697" t="inlineStr">
        <is>
          <t>NR DPI</t>
        </is>
      </c>
      <c r="C24" s="697" t="inlineStr">
        <is>
          <t>R50 DPI*</t>
        </is>
      </c>
      <c r="D24" s="697" t="inlineStr">
        <is>
          <t>R100 DPI*</t>
        </is>
      </c>
      <c r="E24" s="697" t="inlineStr">
        <is>
          <t>NR LP $</t>
        </is>
      </c>
      <c r="F24" s="697" t="inlineStr">
        <is>
          <t>R50 LP $</t>
        </is>
      </c>
      <c r="G24" s="697" t="inlineStr">
        <is>
          <t>R100 LP $</t>
        </is>
      </c>
      <c r="H24" s="614" t="n"/>
      <c r="I24" s="614" t="n"/>
      <c r="J24" s="614" t="n"/>
      <c r="K24" s="614" t="n"/>
    </row>
    <row r="25">
      <c r="A25" s="614">
        <f>A6</f>
        <v/>
      </c>
      <c r="B25" s="690">
        <f>F6</f>
        <v/>
      </c>
      <c r="C25" s="690">
        <f>F6*'_Engine_R50'!$B$252/'_Engine_NR'!$B$252</f>
        <v/>
      </c>
      <c r="D25" s="690">
        <f>F6*'_Engine_R100'!$B$252/'_Engine_NR'!$B$252</f>
        <v/>
      </c>
      <c r="E25" s="691">
        <f>G6</f>
        <v/>
      </c>
      <c r="F25" s="691">
        <f>G6*'_Engine_R50'!$B$250/'_Engine_NR'!$B$250</f>
        <v/>
      </c>
      <c r="G25" s="691">
        <f>G6*'_Engine_R100'!$B$250/'_Engine_NR'!$B$250</f>
        <v/>
      </c>
      <c r="H25" s="614" t="n"/>
      <c r="I25" s="614" t="n"/>
      <c r="J25" s="614" t="n"/>
      <c r="K25" s="614" t="n"/>
    </row>
    <row r="26">
      <c r="A26" s="614">
        <f>A7</f>
        <v/>
      </c>
      <c r="B26" s="690">
        <f>F7</f>
        <v/>
      </c>
      <c r="C26" s="690">
        <f>F7*'_Engine_R50'!$B$252/'_Engine_NR'!$B$252</f>
        <v/>
      </c>
      <c r="D26" s="690">
        <f>F7*'_Engine_R100'!$B$252/'_Engine_NR'!$B$252</f>
        <v/>
      </c>
      <c r="E26" s="691">
        <f>G7</f>
        <v/>
      </c>
      <c r="F26" s="691">
        <f>G7*'_Engine_R50'!$B$250/'_Engine_NR'!$B$250</f>
        <v/>
      </c>
      <c r="G26" s="691">
        <f>G7*'_Engine_R100'!$B$250/'_Engine_NR'!$B$250</f>
        <v/>
      </c>
      <c r="H26" s="614" t="n"/>
      <c r="I26" s="614" t="n"/>
      <c r="J26" s="614" t="n"/>
      <c r="K26" s="614" t="n"/>
    </row>
    <row r="27">
      <c r="A27" s="614">
        <f>A8</f>
        <v/>
      </c>
      <c r="B27" s="690">
        <f>F8</f>
        <v/>
      </c>
      <c r="C27" s="690">
        <f>F8*'_Engine_R50'!$B$252/'_Engine_NR'!$B$252</f>
        <v/>
      </c>
      <c r="D27" s="690">
        <f>F8*'_Engine_R100'!$B$252/'_Engine_NR'!$B$252</f>
        <v/>
      </c>
      <c r="E27" s="691">
        <f>G8</f>
        <v/>
      </c>
      <c r="F27" s="691">
        <f>G8*'_Engine_R50'!$B$250/'_Engine_NR'!$B$250</f>
        <v/>
      </c>
      <c r="G27" s="691">
        <f>G8*'_Engine_R100'!$B$250/'_Engine_NR'!$B$250</f>
        <v/>
      </c>
      <c r="H27" s="614" t="n"/>
      <c r="I27" s="614" t="n"/>
      <c r="J27" s="614" t="n"/>
      <c r="K27" s="614" t="n"/>
    </row>
    <row r="28">
      <c r="A28" s="614">
        <f>A9</f>
        <v/>
      </c>
      <c r="B28" s="690">
        <f>F9</f>
        <v/>
      </c>
      <c r="C28" s="690">
        <f>F9*'_Engine_R50'!$B$252/'_Engine_NR'!$B$252</f>
        <v/>
      </c>
      <c r="D28" s="690">
        <f>F9*'_Engine_R100'!$B$252/'_Engine_NR'!$B$252</f>
        <v/>
      </c>
      <c r="E28" s="691">
        <f>G9</f>
        <v/>
      </c>
      <c r="F28" s="691">
        <f>G9*'_Engine_R50'!$B$250/'_Engine_NR'!$B$250</f>
        <v/>
      </c>
      <c r="G28" s="691">
        <f>G9*'_Engine_R100'!$B$250/'_Engine_NR'!$B$250</f>
        <v/>
      </c>
      <c r="H28" s="614" t="n"/>
      <c r="I28" s="614" t="n"/>
      <c r="J28" s="614" t="n"/>
      <c r="K28" s="614" t="n"/>
    </row>
    <row r="29">
      <c r="A29" s="614">
        <f>A10</f>
        <v/>
      </c>
      <c r="B29" s="690">
        <f>F10</f>
        <v/>
      </c>
      <c r="C29" s="690">
        <f>F10*'_Engine_R50'!$B$252/'_Engine_NR'!$B$252</f>
        <v/>
      </c>
      <c r="D29" s="690">
        <f>F10*'_Engine_R100'!$B$252/'_Engine_NR'!$B$252</f>
        <v/>
      </c>
      <c r="E29" s="691">
        <f>G10</f>
        <v/>
      </c>
      <c r="F29" s="691">
        <f>G10*'_Engine_R50'!$B$250/'_Engine_NR'!$B$250</f>
        <v/>
      </c>
      <c r="G29" s="691">
        <f>G10*'_Engine_R100'!$B$250/'_Engine_NR'!$B$250</f>
        <v/>
      </c>
      <c r="H29" s="614" t="n"/>
      <c r="I29" s="614" t="n"/>
      <c r="J29" s="614" t="n"/>
      <c r="K29" s="614" t="n"/>
    </row>
    <row r="30">
      <c r="A30" s="614">
        <f>A11</f>
        <v/>
      </c>
      <c r="B30" s="690">
        <f>F11</f>
        <v/>
      </c>
      <c r="C30" s="690">
        <f>F11*'_Engine_R50'!$B$252/'_Engine_NR'!$B$252</f>
        <v/>
      </c>
      <c r="D30" s="690">
        <f>F11*'_Engine_R100'!$B$252/'_Engine_NR'!$B$252</f>
        <v/>
      </c>
      <c r="E30" s="691">
        <f>G11</f>
        <v/>
      </c>
      <c r="F30" s="691">
        <f>G11*'_Engine_R50'!$B$250/'_Engine_NR'!$B$250</f>
        <v/>
      </c>
      <c r="G30" s="691">
        <f>G11*'_Engine_R100'!$B$250/'_Engine_NR'!$B$250</f>
        <v/>
      </c>
      <c r="H30" s="614" t="n"/>
      <c r="I30" s="614" t="n"/>
      <c r="J30" s="614" t="n"/>
      <c r="K30" s="614" t="n"/>
    </row>
    <row r="31">
      <c r="A31" s="614">
        <f>A12</f>
        <v/>
      </c>
      <c r="B31" s="690">
        <f>F12</f>
        <v/>
      </c>
      <c r="C31" s="690">
        <f>F12*'_Engine_R50'!$B$252/'_Engine_NR'!$B$252</f>
        <v/>
      </c>
      <c r="D31" s="690">
        <f>F12*'_Engine_R100'!$B$252/'_Engine_NR'!$B$252</f>
        <v/>
      </c>
      <c r="E31" s="691">
        <f>G12</f>
        <v/>
      </c>
      <c r="F31" s="691">
        <f>G12*'_Engine_R50'!$B$250/'_Engine_NR'!$B$250</f>
        <v/>
      </c>
      <c r="G31" s="691">
        <f>G12*'_Engine_R100'!$B$250/'_Engine_NR'!$B$250</f>
        <v/>
      </c>
      <c r="H31" s="614" t="n"/>
      <c r="I31" s="614" t="n"/>
      <c r="J31" s="614" t="n"/>
      <c r="K31" s="614" t="n"/>
    </row>
    <row r="32">
      <c r="A32" s="614">
        <f>A13</f>
        <v/>
      </c>
      <c r="B32" s="690">
        <f>F13</f>
        <v/>
      </c>
      <c r="C32" s="690">
        <f>F13*'_Engine_R50'!$B$252/'_Engine_NR'!$B$252</f>
        <v/>
      </c>
      <c r="D32" s="690">
        <f>F13*'_Engine_R100'!$B$252/'_Engine_NR'!$B$252</f>
        <v/>
      </c>
      <c r="E32" s="691">
        <f>G13</f>
        <v/>
      </c>
      <c r="F32" s="691">
        <f>G13*'_Engine_R50'!$B$250/'_Engine_NR'!$B$250</f>
        <v/>
      </c>
      <c r="G32" s="691">
        <f>G13*'_Engine_R100'!$B$250/'_Engine_NR'!$B$250</f>
        <v/>
      </c>
      <c r="H32" s="614" t="n"/>
      <c r="I32" s="614" t="n"/>
      <c r="J32" s="614" t="n"/>
      <c r="K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</row>
    <row r="34">
      <c r="A34" s="615" t="inlineStr">
        <is>
          <t>* Scaled approximation. Engine cannot run stress against alternate inputs without manual scenario change on Tab 1.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</row>
    <row r="35">
      <c r="A35" s="627" t="inlineStr">
        <is>
          <t>CRITICAL: under "Combined severe" stress, R50 retained cash likely INSUFFICIENT for recycled deals.</t>
        </is>
      </c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</row>
    <row r="36">
      <c r="A36" s="615" t="inlineStr">
        <is>
          <t>If revenue / EBITDA collapses, retained pool shrinks below $120M -- recycle program fails.</t>
        </is>
      </c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  <c r="J40" s="614" t="n"/>
      <c r="K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  <c r="J41" s="614" t="n"/>
      <c r="K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  <c r="J43" s="614" t="n"/>
      <c r="K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  <c r="J44" s="614" t="n"/>
      <c r="K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  <c r="J45" s="614" t="n"/>
      <c r="K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  <c r="J46" s="614" t="n"/>
      <c r="K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  <c r="J47" s="614" t="n"/>
      <c r="K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  <c r="J48" s="614" t="n"/>
      <c r="K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  <c r="J49" s="614" t="n"/>
      <c r="K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  <row r="20">
      <c r="A20" s="642" t="inlineStr">
        <is>
          <t>R100 J-CURVE (100% Recycle scenario) -- LP defers ALL distributions M1-36</t>
        </is>
      </c>
      <c r="B20" s="618" t="n"/>
      <c r="C20" s="618" t="n"/>
      <c r="D20" s="618" t="n"/>
      <c r="E20" s="618" t="n"/>
      <c r="F20" s="618" t="n"/>
      <c r="G20" s="618" t="n"/>
      <c r="H20" s="618" t="n"/>
      <c r="I20" s="618" t="n"/>
      <c r="J20" s="618" t="n"/>
      <c r="K20" s="618" t="n"/>
      <c r="L20" s="618" t="n"/>
      <c r="M20" s="618" t="n"/>
      <c r="N20" s="618" t="n"/>
      <c r="O20" s="618" t="n"/>
      <c r="P20" s="618" t="n"/>
      <c r="Q20" s="618" t="n"/>
      <c r="R20" s="618" t="n"/>
      <c r="S20" s="618" t="n"/>
      <c r="T20" s="618" t="n"/>
      <c r="U20" s="618" t="n"/>
      <c r="V20" s="618" t="n"/>
      <c r="W20" s="618" t="n"/>
      <c r="X20" s="618" t="n"/>
      <c r="Y20" s="618" t="n"/>
      <c r="Z20" s="614" t="n"/>
      <c r="AA20" s="614" t="n"/>
      <c r="AB20" s="614" t="n"/>
      <c r="AC20" s="614" t="n"/>
    </row>
    <row r="21">
      <c r="A21" s="614" t="inlineStr">
        <is>
          <t>($mm)</t>
        </is>
      </c>
      <c r="B21" s="614" t="inlineStr">
        <is>
          <t>M1</t>
        </is>
      </c>
      <c r="C21" s="614" t="inlineStr">
        <is>
          <t>M2</t>
        </is>
      </c>
      <c r="D21" s="614" t="inlineStr">
        <is>
          <t>M3</t>
        </is>
      </c>
      <c r="E21" s="614" t="inlineStr">
        <is>
          <t>M4</t>
        </is>
      </c>
      <c r="F21" s="614" t="inlineStr">
        <is>
          <t>M5</t>
        </is>
      </c>
      <c r="G21" s="614" t="inlineStr">
        <is>
          <t>M6</t>
        </is>
      </c>
      <c r="H21" s="614" t="inlineStr">
        <is>
          <t>M7</t>
        </is>
      </c>
      <c r="I21" s="614" t="inlineStr">
        <is>
          <t>M8</t>
        </is>
      </c>
      <c r="J21" s="614" t="inlineStr">
        <is>
          <t>M9</t>
        </is>
      </c>
      <c r="K21" s="614" t="inlineStr">
        <is>
          <t>M10</t>
        </is>
      </c>
      <c r="L21" s="614" t="inlineStr">
        <is>
          <t>M11</t>
        </is>
      </c>
      <c r="M21" s="614" t="inlineStr">
        <is>
          <t>M12</t>
        </is>
      </c>
      <c r="N21" s="614" t="inlineStr">
        <is>
          <t>M13</t>
        </is>
      </c>
      <c r="O21" s="614" t="inlineStr">
        <is>
          <t>M14</t>
        </is>
      </c>
      <c r="P21" s="614" t="inlineStr">
        <is>
          <t>M15</t>
        </is>
      </c>
      <c r="Q21" s="614" t="inlineStr">
        <is>
          <t>M16</t>
        </is>
      </c>
      <c r="R21" s="614" t="inlineStr">
        <is>
          <t>M17</t>
        </is>
      </c>
      <c r="S21" s="614" t="inlineStr">
        <is>
          <t>M18</t>
        </is>
      </c>
      <c r="T21" s="614" t="inlineStr">
        <is>
          <t>M19</t>
        </is>
      </c>
      <c r="U21" s="614" t="inlineStr">
        <is>
          <t>M20</t>
        </is>
      </c>
      <c r="V21" s="614" t="inlineStr">
        <is>
          <t>M21</t>
        </is>
      </c>
      <c r="W21" s="614" t="inlineStr">
        <is>
          <t>M22</t>
        </is>
      </c>
      <c r="X21" s="614" t="inlineStr">
        <is>
          <t>M23</t>
        </is>
      </c>
      <c r="Y21" s="614" t="inlineStr">
        <is>
          <t>M24</t>
        </is>
      </c>
      <c r="Z21" s="614" t="n"/>
      <c r="AA21" s="614" t="n"/>
      <c r="AB21" s="614" t="n"/>
      <c r="AC21" s="614" t="n"/>
    </row>
    <row r="22">
      <c r="A22" s="614" t="inlineStr">
        <is>
          <t>Capital Calls</t>
        </is>
      </c>
      <c r="B22" s="614">
        <f>SUMPRODUCT((1='1. Press Assumptions'!$K$89:$K$93)*('1. Press Assumptions'!$D$89:$D$93*'1. Press Assumptions'!$E$89:$E$93)) + SUMPRODUCT((1='1. Press Assumptions'!$K$101:$K$104)*('1. Press Assumptions'!$D$101:$D$104*'1. Press Assumptions'!$E$101:$E$104))</f>
        <v/>
      </c>
      <c r="C22" s="614">
        <f>SUMPRODUCT((2='1. Press Assumptions'!$K$89:$K$93)*('1. Press Assumptions'!$D$89:$D$93*'1. Press Assumptions'!$E$89:$E$93)) + SUMPRODUCT((2='1. Press Assumptions'!$K$101:$K$104)*('1. Press Assumptions'!$D$101:$D$104*'1. Press Assumptions'!$E$101:$E$104))</f>
        <v/>
      </c>
      <c r="D22" s="614">
        <f>SUMPRODUCT((3='1. Press Assumptions'!$K$89:$K$93)*('1. Press Assumptions'!$D$89:$D$93*'1. Press Assumptions'!$E$89:$E$93)) + SUMPRODUCT((3='1. Press Assumptions'!$K$101:$K$104)*('1. Press Assumptions'!$D$101:$D$104*'1. Press Assumptions'!$E$101:$E$104))</f>
        <v/>
      </c>
      <c r="E22" s="614">
        <f>SUMPRODUCT((4='1. Press Assumptions'!$K$89:$K$93)*('1. Press Assumptions'!$D$89:$D$93*'1. Press Assumptions'!$E$89:$E$93)) + SUMPRODUCT((4='1. Press Assumptions'!$K$101:$K$104)*('1. Press Assumptions'!$D$101:$D$104*'1. Press Assumptions'!$E$101:$E$104))</f>
        <v/>
      </c>
      <c r="F22" s="614">
        <f>SUMPRODUCT((5='1. Press Assumptions'!$K$89:$K$93)*('1. Press Assumptions'!$D$89:$D$93*'1. Press Assumptions'!$E$89:$E$93)) + SUMPRODUCT((5='1. Press Assumptions'!$K$101:$K$104)*('1. Press Assumptions'!$D$101:$D$104*'1. Press Assumptions'!$E$101:$E$104))</f>
        <v/>
      </c>
      <c r="G22" s="614">
        <f>SUMPRODUCT((6='1. Press Assumptions'!$K$89:$K$93)*('1. Press Assumptions'!$D$89:$D$93*'1. Press Assumptions'!$E$89:$E$93)) + SUMPRODUCT((6='1. Press Assumptions'!$K$101:$K$104)*('1. Press Assumptions'!$D$101:$D$104*'1. Press Assumptions'!$E$101:$E$104))</f>
        <v/>
      </c>
      <c r="H22" s="614">
        <f>SUMPRODUCT((7='1. Press Assumptions'!$K$89:$K$93)*('1. Press Assumptions'!$D$89:$D$93*'1. Press Assumptions'!$E$89:$E$93)) + SUMPRODUCT((7='1. Press Assumptions'!$K$101:$K$104)*('1. Press Assumptions'!$D$101:$D$104*'1. Press Assumptions'!$E$101:$E$104))</f>
        <v/>
      </c>
      <c r="I22" s="614">
        <f>SUMPRODUCT((8='1. Press Assumptions'!$K$89:$K$93)*('1. Press Assumptions'!$D$89:$D$93*'1. Press Assumptions'!$E$89:$E$93)) + SUMPRODUCT((8='1. Press Assumptions'!$K$101:$K$104)*('1. Press Assumptions'!$D$101:$D$104*'1. Press Assumptions'!$E$101:$E$104))</f>
        <v/>
      </c>
      <c r="J22" s="614">
        <f>SUMPRODUCT((9='1. Press Assumptions'!$K$89:$K$93)*('1. Press Assumptions'!$D$89:$D$93*'1. Press Assumptions'!$E$89:$E$93)) + SUMPRODUCT((9='1. Press Assumptions'!$K$101:$K$104)*('1. Press Assumptions'!$D$101:$D$104*'1. Press Assumptions'!$E$101:$E$104))</f>
        <v/>
      </c>
      <c r="K22" s="614">
        <f>SUMPRODUCT((10='1. Press Assumptions'!$K$89:$K$93)*('1. Press Assumptions'!$D$89:$D$93*'1. Press Assumptions'!$E$89:$E$93)) + SUMPRODUCT((10='1. Press Assumptions'!$K$101:$K$104)*('1. Press Assumptions'!$D$101:$D$104*'1. Press Assumptions'!$E$101:$E$104))</f>
        <v/>
      </c>
      <c r="L22" s="614">
        <f>SUMPRODUCT((11='1. Press Assumptions'!$K$89:$K$93)*('1. Press Assumptions'!$D$89:$D$93*'1. Press Assumptions'!$E$89:$E$93)) + SUMPRODUCT((11='1. Press Assumptions'!$K$101:$K$104)*('1. Press Assumptions'!$D$101:$D$104*'1. Press Assumptions'!$E$101:$E$104))</f>
        <v/>
      </c>
      <c r="M22" s="614">
        <f>SUMPRODUCT((12='1. Press Assumptions'!$K$89:$K$93)*('1. Press Assumptions'!$D$89:$D$93*'1. Press Assumptions'!$E$89:$E$93)) + SUMPRODUCT((12='1. Press Assumptions'!$K$101:$K$104)*('1. Press Assumptions'!$D$101:$D$104*'1. Press Assumptions'!$E$101:$E$104))</f>
        <v/>
      </c>
      <c r="N22" s="614">
        <f>SUMPRODUCT((13='1. Press Assumptions'!$K$89:$K$93)*('1. Press Assumptions'!$D$89:$D$93*'1. Press Assumptions'!$E$89:$E$93)) + SUMPRODUCT((13='1. Press Assumptions'!$K$101:$K$104)*('1. Press Assumptions'!$D$101:$D$104*'1. Press Assumptions'!$E$101:$E$104))</f>
        <v/>
      </c>
      <c r="O22" s="614">
        <f>SUMPRODUCT((14='1. Press Assumptions'!$K$89:$K$93)*('1. Press Assumptions'!$D$89:$D$93*'1. Press Assumptions'!$E$89:$E$93)) + SUMPRODUCT((14='1. Press Assumptions'!$K$101:$K$104)*('1. Press Assumptions'!$D$101:$D$104*'1. Press Assumptions'!$E$101:$E$104))</f>
        <v/>
      </c>
      <c r="P22" s="614">
        <f>SUMPRODUCT((15='1. Press Assumptions'!$K$89:$K$93)*('1. Press Assumptions'!$D$89:$D$93*'1. Press Assumptions'!$E$89:$E$93)) + SUMPRODUCT((15='1. Press Assumptions'!$K$101:$K$104)*('1. Press Assumptions'!$D$101:$D$104*'1. Press Assumptions'!$E$101:$E$104))</f>
        <v/>
      </c>
      <c r="Q22" s="614">
        <f>SUMPRODUCT((16='1. Press Assumptions'!$K$89:$K$93)*('1. Press Assumptions'!$D$89:$D$93*'1. Press Assumptions'!$E$89:$E$93)) + SUMPRODUCT((16='1. Press Assumptions'!$K$101:$K$104)*('1. Press Assumptions'!$D$101:$D$104*'1. Press Assumptions'!$E$101:$E$104))</f>
        <v/>
      </c>
      <c r="R22" s="614">
        <f>SUMPRODUCT((17='1. Press Assumptions'!$K$89:$K$93)*('1. Press Assumptions'!$D$89:$D$93*'1. Press Assumptions'!$E$89:$E$93)) + SUMPRODUCT((17='1. Press Assumptions'!$K$101:$K$104)*('1. Press Assumptions'!$D$101:$D$104*'1. Press Assumptions'!$E$101:$E$104))</f>
        <v/>
      </c>
      <c r="S22" s="614">
        <f>SUMPRODUCT((18='1. Press Assumptions'!$K$89:$K$93)*('1. Press Assumptions'!$D$89:$D$93*'1. Press Assumptions'!$E$89:$E$93)) + SUMPRODUCT((18='1. Press Assumptions'!$K$101:$K$104)*('1. Press Assumptions'!$D$101:$D$104*'1. Press Assumptions'!$E$101:$E$104))</f>
        <v/>
      </c>
      <c r="T22" s="614">
        <f>SUMPRODUCT((19='1. Press Assumptions'!$K$89:$K$93)*('1. Press Assumptions'!$D$89:$D$93*'1. Press Assumptions'!$E$89:$E$93)) + SUMPRODUCT((19='1. Press Assumptions'!$K$101:$K$104)*('1. Press Assumptions'!$D$101:$D$104*'1. Press Assumptions'!$E$101:$E$104))</f>
        <v/>
      </c>
      <c r="U22" s="614">
        <f>SUMPRODUCT((20='1. Press Assumptions'!$K$89:$K$93)*('1. Press Assumptions'!$D$89:$D$93*'1. Press Assumptions'!$E$89:$E$93)) + SUMPRODUCT((20='1. Press Assumptions'!$K$101:$K$104)*('1. Press Assumptions'!$D$101:$D$104*'1. Press Assumptions'!$E$101:$E$104))</f>
        <v/>
      </c>
      <c r="V22" s="614">
        <f>SUMPRODUCT((21='1. Press Assumptions'!$K$89:$K$93)*('1. Press Assumptions'!$D$89:$D$93*'1. Press Assumptions'!$E$89:$E$93)) + SUMPRODUCT((21='1. Press Assumptions'!$K$101:$K$104)*('1. Press Assumptions'!$D$101:$D$104*'1. Press Assumptions'!$E$101:$E$104))</f>
        <v/>
      </c>
      <c r="W22" s="614">
        <f>SUMPRODUCT((22='1. Press Assumptions'!$K$89:$K$93)*('1. Press Assumptions'!$D$89:$D$93*'1. Press Assumptions'!$E$89:$E$93)) + SUMPRODUCT((22='1. Press Assumptions'!$K$101:$K$104)*('1. Press Assumptions'!$D$101:$D$104*'1. Press Assumptions'!$E$101:$E$104))</f>
        <v/>
      </c>
      <c r="X22" s="614">
        <f>SUMPRODUCT((23='1. Press Assumptions'!$K$89:$K$93)*('1. Press Assumptions'!$D$89:$D$93*'1. Press Assumptions'!$E$89:$E$93)) + SUMPRODUCT((23='1. Press Assumptions'!$K$101:$K$104)*('1. Press Assumptions'!$D$101:$D$104*'1. Press Assumptions'!$E$101:$E$104))</f>
        <v/>
      </c>
      <c r="Y22" s="614">
        <f>SUMPRODUCT((24='1. Press Assumptions'!$K$89:$K$93)*('1. Press Assumptions'!$D$89:$D$93*'1. Press Assumptions'!$E$89:$E$93)) + SUMPRODUCT((24='1. Press Assumptions'!$K$101:$K$104)*('1. Press Assumptions'!$D$101:$D$104*'1. Press Assumptions'!$E$101:$E$104))</f>
        <v/>
      </c>
      <c r="Z22" s="614" t="n"/>
      <c r="AA22" s="614" t="n"/>
      <c r="AB22" s="614" t="n"/>
      <c r="AC22" s="614" t="n"/>
    </row>
    <row r="23">
      <c r="A23" s="614" t="inlineStr">
        <is>
          <t>Revenue</t>
        </is>
      </c>
      <c r="B23" s="614">
        <f>'_Engine_R100'!P31</f>
        <v/>
      </c>
      <c r="C23" s="614">
        <f>'_Engine_R100'!P32</f>
        <v/>
      </c>
      <c r="D23" s="614">
        <f>'_Engine_R100'!P33</f>
        <v/>
      </c>
      <c r="E23" s="614">
        <f>'_Engine_R100'!P34</f>
        <v/>
      </c>
      <c r="F23" s="614">
        <f>'_Engine_R100'!P35</f>
        <v/>
      </c>
      <c r="G23" s="614">
        <f>'_Engine_R100'!P36</f>
        <v/>
      </c>
      <c r="H23" s="614">
        <f>'_Engine_R100'!P37</f>
        <v/>
      </c>
      <c r="I23" s="614">
        <f>'_Engine_R100'!P38</f>
        <v/>
      </c>
      <c r="J23" s="614">
        <f>'_Engine_R100'!P39</f>
        <v/>
      </c>
      <c r="K23" s="614">
        <f>'_Engine_R100'!P40</f>
        <v/>
      </c>
      <c r="L23" s="614">
        <f>'_Engine_R100'!P41</f>
        <v/>
      </c>
      <c r="M23" s="614">
        <f>'_Engine_R100'!P42</f>
        <v/>
      </c>
      <c r="N23" s="614">
        <f>'_Engine_R100'!P43</f>
        <v/>
      </c>
      <c r="O23" s="614">
        <f>'_Engine_R100'!P44</f>
        <v/>
      </c>
      <c r="P23" s="614">
        <f>'_Engine_R100'!P45</f>
        <v/>
      </c>
      <c r="Q23" s="614">
        <f>'_Engine_R100'!P46</f>
        <v/>
      </c>
      <c r="R23" s="614">
        <f>'_Engine_R100'!P47</f>
        <v/>
      </c>
      <c r="S23" s="614">
        <f>'_Engine_R100'!P48</f>
        <v/>
      </c>
      <c r="T23" s="614">
        <f>'_Engine_R100'!P49</f>
        <v/>
      </c>
      <c r="U23" s="614">
        <f>'_Engine_R100'!P50</f>
        <v/>
      </c>
      <c r="V23" s="614">
        <f>'_Engine_R100'!P51</f>
        <v/>
      </c>
      <c r="W23" s="614">
        <f>'_Engine_R100'!P52</f>
        <v/>
      </c>
      <c r="X23" s="614">
        <f>'_Engine_R100'!P53</f>
        <v/>
      </c>
      <c r="Y23" s="614">
        <f>'_Engine_R100'!P54</f>
        <v/>
      </c>
      <c r="Z23" s="614" t="n"/>
      <c r="AA23" s="614" t="n"/>
      <c r="AB23" s="614" t="n"/>
      <c r="AC23" s="614" t="n"/>
    </row>
    <row r="24">
      <c r="A24" s="614" t="inlineStr">
        <is>
          <t>OpEx</t>
        </is>
      </c>
      <c r="B24" s="614">
        <f>'_Engine_R100'!Q31+'_Engine_R100'!R31+'_Engine_R100'!S31+'_Engine_R100'!D31+'_Engine_R100'!E31+'_Engine_R100'!U31</f>
        <v/>
      </c>
      <c r="C24" s="614">
        <f>'_Engine_R100'!Q32+'_Engine_R100'!R32+'_Engine_R100'!S32+'_Engine_R100'!D32+'_Engine_R100'!E32+'_Engine_R100'!U32</f>
        <v/>
      </c>
      <c r="D24" s="614">
        <f>'_Engine_R100'!Q33+'_Engine_R100'!R33+'_Engine_R100'!S33+'_Engine_R100'!D33+'_Engine_R100'!E33+'_Engine_R100'!U33</f>
        <v/>
      </c>
      <c r="E24" s="614">
        <f>'_Engine_R100'!Q34+'_Engine_R100'!R34+'_Engine_R100'!S34+'_Engine_R100'!D34+'_Engine_R100'!E34+'_Engine_R100'!U34</f>
        <v/>
      </c>
      <c r="F24" s="614">
        <f>'_Engine_R100'!Q35+'_Engine_R100'!R35+'_Engine_R100'!S35+'_Engine_R100'!D35+'_Engine_R100'!E35+'_Engine_R100'!U35</f>
        <v/>
      </c>
      <c r="G24" s="614">
        <f>'_Engine_R100'!Q36+'_Engine_R100'!R36+'_Engine_R100'!S36+'_Engine_R100'!D36+'_Engine_R100'!E36+'_Engine_R100'!U36</f>
        <v/>
      </c>
      <c r="H24" s="614">
        <f>'_Engine_R100'!Q37+'_Engine_R100'!R37+'_Engine_R100'!S37+'_Engine_R100'!D37+'_Engine_R100'!E37+'_Engine_R100'!U37</f>
        <v/>
      </c>
      <c r="I24" s="614">
        <f>'_Engine_R100'!Q38+'_Engine_R100'!R38+'_Engine_R100'!S38+'_Engine_R100'!D38+'_Engine_R100'!E38+'_Engine_R100'!U38</f>
        <v/>
      </c>
      <c r="J24" s="614">
        <f>'_Engine_R100'!Q39+'_Engine_R100'!R39+'_Engine_R100'!S39+'_Engine_R100'!D39+'_Engine_R100'!E39+'_Engine_R100'!U39</f>
        <v/>
      </c>
      <c r="K24" s="614">
        <f>'_Engine_R100'!Q40+'_Engine_R100'!R40+'_Engine_R100'!S40+'_Engine_R100'!D40+'_Engine_R100'!E40+'_Engine_R100'!U40</f>
        <v/>
      </c>
      <c r="L24" s="614">
        <f>'_Engine_R100'!Q41+'_Engine_R100'!R41+'_Engine_R100'!S41+'_Engine_R100'!D41+'_Engine_R100'!E41+'_Engine_R100'!U41</f>
        <v/>
      </c>
      <c r="M24" s="614">
        <f>'_Engine_R100'!Q42+'_Engine_R100'!R42+'_Engine_R100'!S42+'_Engine_R100'!D42+'_Engine_R100'!E42+'_Engine_R100'!U42</f>
        <v/>
      </c>
      <c r="N24" s="614">
        <f>'_Engine_R100'!Q43+'_Engine_R100'!R43+'_Engine_R100'!S43+'_Engine_R100'!D43+'_Engine_R100'!E43+'_Engine_R100'!U43</f>
        <v/>
      </c>
      <c r="O24" s="614">
        <f>'_Engine_R100'!Q44+'_Engine_R100'!R44+'_Engine_R100'!S44+'_Engine_R100'!D44+'_Engine_R100'!E44+'_Engine_R100'!U44</f>
        <v/>
      </c>
      <c r="P24" s="614">
        <f>'_Engine_R100'!Q45+'_Engine_R100'!R45+'_Engine_R100'!S45+'_Engine_R100'!D45+'_Engine_R100'!E45+'_Engine_R100'!U45</f>
        <v/>
      </c>
      <c r="Q24" s="614">
        <f>'_Engine_R100'!Q46+'_Engine_R100'!R46+'_Engine_R100'!S46+'_Engine_R100'!D46+'_Engine_R100'!E46+'_Engine_R100'!U46</f>
        <v/>
      </c>
      <c r="R24" s="614">
        <f>'_Engine_R100'!Q47+'_Engine_R100'!R47+'_Engine_R100'!S47+'_Engine_R100'!D47+'_Engine_R100'!E47+'_Engine_R100'!U47</f>
        <v/>
      </c>
      <c r="S24" s="614">
        <f>'_Engine_R100'!Q48+'_Engine_R100'!R48+'_Engine_R100'!S48+'_Engine_R100'!D48+'_Engine_R100'!E48+'_Engine_R100'!U48</f>
        <v/>
      </c>
      <c r="T24" s="614">
        <f>'_Engine_R100'!Q49+'_Engine_R100'!R49+'_Engine_R100'!S49+'_Engine_R100'!D49+'_Engine_R100'!E49+'_Engine_R100'!U49</f>
        <v/>
      </c>
      <c r="U24" s="614">
        <f>'_Engine_R100'!Q50+'_Engine_R100'!R50+'_Engine_R100'!S50+'_Engine_R100'!D50+'_Engine_R100'!E50+'_Engine_R100'!U50</f>
        <v/>
      </c>
      <c r="V24" s="614">
        <f>'_Engine_R100'!Q51+'_Engine_R100'!R51+'_Engine_R100'!S51+'_Engine_R100'!D51+'_Engine_R100'!E51+'_Engine_R100'!U51</f>
        <v/>
      </c>
      <c r="W24" s="614">
        <f>'_Engine_R100'!Q52+'_Engine_R100'!R52+'_Engine_R100'!S52+'_Engine_R100'!D52+'_Engine_R100'!E52+'_Engine_R100'!U52</f>
        <v/>
      </c>
      <c r="X24" s="614">
        <f>'_Engine_R100'!Q53+'_Engine_R100'!R53+'_Engine_R100'!S53+'_Engine_R100'!D53+'_Engine_R100'!E53+'_Engine_R100'!U53</f>
        <v/>
      </c>
      <c r="Y24" s="614">
        <f>'_Engine_R100'!Q54+'_Engine_R100'!R54+'_Engine_R100'!S54+'_Engine_R100'!D54+'_Engine_R100'!E54+'_Engine_R100'!U54</f>
        <v/>
      </c>
      <c r="Z24" s="614" t="n"/>
      <c r="AA24" s="614" t="n"/>
      <c r="AB24" s="614" t="n"/>
      <c r="AC24" s="614" t="n"/>
    </row>
    <row r="25">
      <c r="A25" s="614" t="inlineStr">
        <is>
          <t>Severance</t>
        </is>
      </c>
      <c r="B25" s="614">
        <f>'_Engine_R100'!W31</f>
        <v/>
      </c>
      <c r="C25" s="614">
        <f>'_Engine_R100'!W32</f>
        <v/>
      </c>
      <c r="D25" s="614">
        <f>'_Engine_R100'!W33</f>
        <v/>
      </c>
      <c r="E25" s="614">
        <f>'_Engine_R100'!W34</f>
        <v/>
      </c>
      <c r="F25" s="614">
        <f>'_Engine_R100'!W35</f>
        <v/>
      </c>
      <c r="G25" s="614">
        <f>'_Engine_R100'!W36</f>
        <v/>
      </c>
      <c r="H25" s="614">
        <f>'_Engine_R100'!W37</f>
        <v/>
      </c>
      <c r="I25" s="614">
        <f>'_Engine_R100'!W38</f>
        <v/>
      </c>
      <c r="J25" s="614">
        <f>'_Engine_R100'!W39</f>
        <v/>
      </c>
      <c r="K25" s="614">
        <f>'_Engine_R100'!W40</f>
        <v/>
      </c>
      <c r="L25" s="614">
        <f>'_Engine_R100'!W41</f>
        <v/>
      </c>
      <c r="M25" s="614">
        <f>'_Engine_R100'!W42</f>
        <v/>
      </c>
      <c r="N25" s="614">
        <f>'_Engine_R100'!W43</f>
        <v/>
      </c>
      <c r="O25" s="614">
        <f>'_Engine_R100'!W44</f>
        <v/>
      </c>
      <c r="P25" s="614">
        <f>'_Engine_R100'!W45</f>
        <v/>
      </c>
      <c r="Q25" s="614">
        <f>'_Engine_R100'!W46</f>
        <v/>
      </c>
      <c r="R25" s="614">
        <f>'_Engine_R100'!W47</f>
        <v/>
      </c>
      <c r="S25" s="614">
        <f>'_Engine_R100'!W48</f>
        <v/>
      </c>
      <c r="T25" s="614">
        <f>'_Engine_R100'!W49</f>
        <v/>
      </c>
      <c r="U25" s="614">
        <f>'_Engine_R100'!W50</f>
        <v/>
      </c>
      <c r="V25" s="614">
        <f>'_Engine_R100'!W51</f>
        <v/>
      </c>
      <c r="W25" s="614">
        <f>'_Engine_R100'!W52</f>
        <v/>
      </c>
      <c r="X25" s="614">
        <f>'_Engine_R100'!W53</f>
        <v/>
      </c>
      <c r="Y25" s="614">
        <f>'_Engine_R100'!W54</f>
        <v/>
      </c>
      <c r="Z25" s="614" t="n"/>
      <c r="AA25" s="614" t="n"/>
      <c r="AB25" s="614" t="n"/>
      <c r="AC25" s="614" t="n"/>
    </row>
    <row r="26">
      <c r="A26" s="614" t="inlineStr">
        <is>
          <t>Mgmt Fee</t>
        </is>
      </c>
      <c r="B26" s="614">
        <f>'_Engine_R100'!C31</f>
        <v/>
      </c>
      <c r="C26" s="614">
        <f>'_Engine_R100'!C32</f>
        <v/>
      </c>
      <c r="D26" s="614">
        <f>'_Engine_R100'!C33</f>
        <v/>
      </c>
      <c r="E26" s="614">
        <f>'_Engine_R100'!C34</f>
        <v/>
      </c>
      <c r="F26" s="614">
        <f>'_Engine_R100'!C35</f>
        <v/>
      </c>
      <c r="G26" s="614">
        <f>'_Engine_R100'!C36</f>
        <v/>
      </c>
      <c r="H26" s="614">
        <f>'_Engine_R100'!C37</f>
        <v/>
      </c>
      <c r="I26" s="614">
        <f>'_Engine_R100'!C38</f>
        <v/>
      </c>
      <c r="J26" s="614">
        <f>'_Engine_R100'!C39</f>
        <v/>
      </c>
      <c r="K26" s="614">
        <f>'_Engine_R100'!C40</f>
        <v/>
      </c>
      <c r="L26" s="614">
        <f>'_Engine_R100'!C41</f>
        <v/>
      </c>
      <c r="M26" s="614">
        <f>'_Engine_R100'!C42</f>
        <v/>
      </c>
      <c r="N26" s="614">
        <f>'_Engine_R100'!C43</f>
        <v/>
      </c>
      <c r="O26" s="614">
        <f>'_Engine_R100'!C44</f>
        <v/>
      </c>
      <c r="P26" s="614">
        <f>'_Engine_R100'!C45</f>
        <v/>
      </c>
      <c r="Q26" s="614">
        <f>'_Engine_R100'!C46</f>
        <v/>
      </c>
      <c r="R26" s="614">
        <f>'_Engine_R100'!C47</f>
        <v/>
      </c>
      <c r="S26" s="614">
        <f>'_Engine_R100'!C48</f>
        <v/>
      </c>
      <c r="T26" s="614">
        <f>'_Engine_R100'!C49</f>
        <v/>
      </c>
      <c r="U26" s="614">
        <f>'_Engine_R100'!C50</f>
        <v/>
      </c>
      <c r="V26" s="614">
        <f>'_Engine_R100'!C51</f>
        <v/>
      </c>
      <c r="W26" s="614">
        <f>'_Engine_R100'!C52</f>
        <v/>
      </c>
      <c r="X26" s="614">
        <f>'_Engine_R100'!C53</f>
        <v/>
      </c>
      <c r="Y26" s="614">
        <f>'_Engine_R100'!C54</f>
        <v/>
      </c>
      <c r="Z26" s="614" t="n"/>
      <c r="AA26" s="614" t="n"/>
      <c r="AB26" s="614" t="n"/>
      <c r="AC26" s="614" t="n"/>
    </row>
    <row r="27">
      <c r="A27" s="628" t="inlineStr">
        <is>
          <t>Retained (recycle)</t>
        </is>
      </c>
      <c r="B27" s="614">
        <f>'_Engine_R100'!Y31</f>
        <v/>
      </c>
      <c r="C27" s="614">
        <f>'_Engine_R100'!Y32</f>
        <v/>
      </c>
      <c r="D27" s="614">
        <f>'_Engine_R100'!Y33</f>
        <v/>
      </c>
      <c r="E27" s="614">
        <f>'_Engine_R100'!Y34</f>
        <v/>
      </c>
      <c r="F27" s="614">
        <f>'_Engine_R100'!Y35</f>
        <v/>
      </c>
      <c r="G27" s="614">
        <f>'_Engine_R100'!Y36</f>
        <v/>
      </c>
      <c r="H27" s="614">
        <f>'_Engine_R100'!Y37</f>
        <v/>
      </c>
      <c r="I27" s="614">
        <f>'_Engine_R100'!Y38</f>
        <v/>
      </c>
      <c r="J27" s="614">
        <f>'_Engine_R100'!Y39</f>
        <v/>
      </c>
      <c r="K27" s="614">
        <f>'_Engine_R100'!Y40</f>
        <v/>
      </c>
      <c r="L27" s="614">
        <f>'_Engine_R100'!Y41</f>
        <v/>
      </c>
      <c r="M27" s="614">
        <f>'_Engine_R100'!Y42</f>
        <v/>
      </c>
      <c r="N27" s="614">
        <f>'_Engine_R100'!Y43</f>
        <v/>
      </c>
      <c r="O27" s="614">
        <f>'_Engine_R100'!Y44</f>
        <v/>
      </c>
      <c r="P27" s="614">
        <f>'_Engine_R100'!Y45</f>
        <v/>
      </c>
      <c r="Q27" s="614">
        <f>'_Engine_R100'!Y46</f>
        <v/>
      </c>
      <c r="R27" s="614">
        <f>'_Engine_R100'!Y47</f>
        <v/>
      </c>
      <c r="S27" s="614">
        <f>'_Engine_R100'!Y48</f>
        <v/>
      </c>
      <c r="T27" s="614">
        <f>'_Engine_R100'!Y49</f>
        <v/>
      </c>
      <c r="U27" s="614">
        <f>'_Engine_R100'!Y50</f>
        <v/>
      </c>
      <c r="V27" s="614">
        <f>'_Engine_R100'!Y51</f>
        <v/>
      </c>
      <c r="W27" s="614">
        <f>'_Engine_R100'!Y52</f>
        <v/>
      </c>
      <c r="X27" s="614">
        <f>'_Engine_R100'!Y53</f>
        <v/>
      </c>
      <c r="Y27" s="614">
        <f>'_Engine_R100'!Y54</f>
        <v/>
      </c>
      <c r="Z27" s="614" t="n"/>
      <c r="AA27" s="614" t="n"/>
      <c r="AB27" s="614" t="n"/>
      <c r="AC27" s="614" t="n"/>
    </row>
    <row r="28">
      <c r="A28" s="628" t="inlineStr">
        <is>
          <t>Distributable Post</t>
        </is>
      </c>
      <c r="B28" s="614">
        <f>'_Engine_R100'!Z31</f>
        <v/>
      </c>
      <c r="C28" s="614">
        <f>'_Engine_R100'!Z32</f>
        <v/>
      </c>
      <c r="D28" s="614">
        <f>'_Engine_R100'!Z33</f>
        <v/>
      </c>
      <c r="E28" s="614">
        <f>'_Engine_R100'!Z34</f>
        <v/>
      </c>
      <c r="F28" s="614">
        <f>'_Engine_R100'!Z35</f>
        <v/>
      </c>
      <c r="G28" s="614">
        <f>'_Engine_R100'!Z36</f>
        <v/>
      </c>
      <c r="H28" s="614">
        <f>'_Engine_R100'!Z37</f>
        <v/>
      </c>
      <c r="I28" s="614">
        <f>'_Engine_R100'!Z38</f>
        <v/>
      </c>
      <c r="J28" s="614">
        <f>'_Engine_R100'!Z39</f>
        <v/>
      </c>
      <c r="K28" s="614">
        <f>'_Engine_R100'!Z40</f>
        <v/>
      </c>
      <c r="L28" s="614">
        <f>'_Engine_R100'!Z41</f>
        <v/>
      </c>
      <c r="M28" s="614">
        <f>'_Engine_R100'!Z42</f>
        <v/>
      </c>
      <c r="N28" s="614">
        <f>'_Engine_R100'!Z43</f>
        <v/>
      </c>
      <c r="O28" s="614">
        <f>'_Engine_R100'!Z44</f>
        <v/>
      </c>
      <c r="P28" s="614">
        <f>'_Engine_R100'!Z45</f>
        <v/>
      </c>
      <c r="Q28" s="614">
        <f>'_Engine_R100'!Z46</f>
        <v/>
      </c>
      <c r="R28" s="614">
        <f>'_Engine_R100'!Z47</f>
        <v/>
      </c>
      <c r="S28" s="614">
        <f>'_Engine_R100'!Z48</f>
        <v/>
      </c>
      <c r="T28" s="614">
        <f>'_Engine_R100'!Z49</f>
        <v/>
      </c>
      <c r="U28" s="614">
        <f>'_Engine_R100'!Z50</f>
        <v/>
      </c>
      <c r="V28" s="614">
        <f>'_Engine_R100'!Z51</f>
        <v/>
      </c>
      <c r="W28" s="614">
        <f>'_Engine_R100'!Z52</f>
        <v/>
      </c>
      <c r="X28" s="614">
        <f>'_Engine_R100'!Z53</f>
        <v/>
      </c>
      <c r="Y28" s="614">
        <f>'_Engine_R100'!Z54</f>
        <v/>
      </c>
      <c r="Z28" s="614" t="n"/>
      <c r="AA28" s="614" t="n"/>
      <c r="AB28" s="614" t="n"/>
      <c r="AC28" s="614" t="n"/>
    </row>
    <row r="29">
      <c r="A29" s="628" t="inlineStr">
        <is>
          <t>Cumulative LP cash</t>
        </is>
      </c>
      <c r="B29" s="614">
        <f>B28</f>
        <v/>
      </c>
      <c r="C29" s="614">
        <f>B29+C28</f>
        <v/>
      </c>
      <c r="D29" s="614">
        <f>C29+D28</f>
        <v/>
      </c>
      <c r="E29" s="614">
        <f>D29+E28</f>
        <v/>
      </c>
      <c r="F29" s="614">
        <f>E29+F28</f>
        <v/>
      </c>
      <c r="G29" s="614">
        <f>F29+G28</f>
        <v/>
      </c>
      <c r="H29" s="614">
        <f>G29+H28</f>
        <v/>
      </c>
      <c r="I29" s="614">
        <f>H29+I28</f>
        <v/>
      </c>
      <c r="J29" s="614">
        <f>I29+J28</f>
        <v/>
      </c>
      <c r="K29" s="614">
        <f>J29+K28</f>
        <v/>
      </c>
      <c r="L29" s="614">
        <f>K29+L28</f>
        <v/>
      </c>
      <c r="M29" s="614">
        <f>L29+M28</f>
        <v/>
      </c>
      <c r="N29" s="614">
        <f>M29+N28</f>
        <v/>
      </c>
      <c r="O29" s="614">
        <f>N29+O28</f>
        <v/>
      </c>
      <c r="P29" s="614">
        <f>O29+P28</f>
        <v/>
      </c>
      <c r="Q29" s="614">
        <f>P29+Q28</f>
        <v/>
      </c>
      <c r="R29" s="614">
        <f>Q29+R28</f>
        <v/>
      </c>
      <c r="S29" s="614">
        <f>R29+S28</f>
        <v/>
      </c>
      <c r="T29" s="614">
        <f>S29+T28</f>
        <v/>
      </c>
      <c r="U29" s="614">
        <f>T29+U28</f>
        <v/>
      </c>
      <c r="V29" s="614">
        <f>U29+V28</f>
        <v/>
      </c>
      <c r="W29" s="614">
        <f>V29+W28</f>
        <v/>
      </c>
      <c r="X29" s="614">
        <f>W29+X28</f>
        <v/>
      </c>
      <c r="Y29" s="614">
        <f>X29+Y28</f>
        <v/>
      </c>
      <c r="Z29" s="614" t="n"/>
      <c r="AA29" s="614" t="n"/>
      <c r="AB29" s="614" t="n"/>
      <c r="AC29" s="614" t="n"/>
    </row>
    <row r="30">
      <c r="A30" s="628" t="inlineStr">
        <is>
          <t>LP NET position (cum dist - cum calls)</t>
        </is>
      </c>
      <c r="B30" s="614">
        <f>B28-B22</f>
        <v/>
      </c>
      <c r="C30" s="614">
        <f>B30+C28-C22</f>
        <v/>
      </c>
      <c r="D30" s="614">
        <f>C30+D28-D22</f>
        <v/>
      </c>
      <c r="E30" s="614">
        <f>D30+E28-E22</f>
        <v/>
      </c>
      <c r="F30" s="614">
        <f>E30+F28-F22</f>
        <v/>
      </c>
      <c r="G30" s="614">
        <f>F30+G28-G22</f>
        <v/>
      </c>
      <c r="H30" s="614">
        <f>G30+H28-H22</f>
        <v/>
      </c>
      <c r="I30" s="614">
        <f>H30+I28-I22</f>
        <v/>
      </c>
      <c r="J30" s="614">
        <f>I30+J28-J22</f>
        <v/>
      </c>
      <c r="K30" s="614">
        <f>J30+K28-K22</f>
        <v/>
      </c>
      <c r="L30" s="614">
        <f>K30+L28-L22</f>
        <v/>
      </c>
      <c r="M30" s="614">
        <f>L30+M28-M22</f>
        <v/>
      </c>
      <c r="N30" s="614">
        <f>M30+N28-N22</f>
        <v/>
      </c>
      <c r="O30" s="614">
        <f>N30+O28-O22</f>
        <v/>
      </c>
      <c r="P30" s="614">
        <f>O30+P28-P22</f>
        <v/>
      </c>
      <c r="Q30" s="614">
        <f>P30+Q28-Q22</f>
        <v/>
      </c>
      <c r="R30" s="614">
        <f>Q30+R28-R22</f>
        <v/>
      </c>
      <c r="S30" s="614">
        <f>R30+S28-S22</f>
        <v/>
      </c>
      <c r="T30" s="614">
        <f>S30+T28-T22</f>
        <v/>
      </c>
      <c r="U30" s="614">
        <f>T30+U28-U22</f>
        <v/>
      </c>
      <c r="V30" s="614">
        <f>U30+V28-V22</f>
        <v/>
      </c>
      <c r="W30" s="614">
        <f>V30+W28-W22</f>
        <v/>
      </c>
      <c r="X30" s="614">
        <f>W30+X28-X22</f>
        <v/>
      </c>
      <c r="Y30" s="614">
        <f>X30+Y28-Y22</f>
        <v/>
      </c>
      <c r="Z30" s="614" t="n"/>
      <c r="AA30" s="614" t="n"/>
      <c r="AB30" s="614" t="n"/>
      <c r="AC30" s="614" t="n"/>
    </row>
    <row r="31">
      <c r="A31" s="627" t="inlineStr">
        <is>
          <t>KEY INSIGHT: R100 retains 100% of operating cash M1-36. LP working capital trough is much deeper.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  <c r="J31" s="614" t="n"/>
      <c r="K31" s="614" t="n"/>
      <c r="L31" s="614" t="n"/>
      <c r="M31" s="614" t="n"/>
      <c r="N31" s="614" t="n"/>
      <c r="O31" s="614" t="n"/>
      <c r="P31" s="614" t="n"/>
      <c r="Q31" s="614" t="n"/>
      <c r="R31" s="614" t="n"/>
      <c r="S31" s="614" t="n"/>
      <c r="T31" s="614" t="n"/>
      <c r="U31" s="614" t="n"/>
      <c r="V31" s="614" t="n"/>
      <c r="W31" s="614" t="n"/>
      <c r="X31" s="614" t="n"/>
      <c r="Y31" s="614" t="n"/>
      <c r="Z31" s="614" t="n"/>
      <c r="AA31" s="614" t="n"/>
      <c r="AB31" s="614" t="n"/>
      <c r="AC31" s="614" t="n"/>
    </row>
    <row r="32">
      <c r="A32" s="627" t="inlineStr">
        <is>
          <t>KEY INSIGHT: R100 retains 100% of operating cash M1-36. Row 28 ~= 0 most months. LP gets nothing.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4" t="n"/>
      <c r="O32" s="614" t="n"/>
      <c r="P32" s="614" t="n"/>
      <c r="Q32" s="614" t="n"/>
      <c r="R32" s="614" t="n"/>
      <c r="S32" s="614" t="n"/>
      <c r="T32" s="614" t="n"/>
      <c r="U32" s="614" t="n"/>
      <c r="V32" s="614" t="n"/>
      <c r="W32" s="614" t="n"/>
      <c r="X32" s="614" t="n"/>
      <c r="Y32" s="614" t="n"/>
      <c r="Z32" s="614" t="n"/>
      <c r="AA32" s="614" t="n"/>
      <c r="AB32" s="614" t="n"/>
      <c r="AC32" s="614" t="n"/>
    </row>
    <row r="33">
      <c r="A33" s="627" t="inlineStr">
        <is>
          <t>Row 30 LP NET position = -$160M by M16 (all 5 deals funded) and stays negative through M37.</t>
        </is>
      </c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4" t="n"/>
      <c r="O33" s="614" t="n"/>
      <c r="P33" s="614" t="n"/>
      <c r="Q33" s="614" t="n"/>
      <c r="R33" s="614" t="n"/>
      <c r="S33" s="614" t="n"/>
      <c r="T33" s="614" t="n"/>
      <c r="U33" s="614" t="n"/>
      <c r="V33" s="614" t="n"/>
      <c r="W33" s="614" t="n"/>
      <c r="X33" s="614" t="n"/>
      <c r="Y33" s="614" t="n"/>
      <c r="Z33" s="614" t="n"/>
      <c r="AA33" s="614" t="n"/>
      <c r="AB33" s="614" t="n"/>
      <c r="AC33" s="614" t="n"/>
    </row>
    <row r="34">
      <c r="A34" s="615" t="inlineStr">
        <is>
          <t>At M37, the recycle pool excess releases to LP -- net position recovers rapidly.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4" t="n"/>
      <c r="O34" s="614" t="n"/>
      <c r="P34" s="614" t="n"/>
      <c r="Q34" s="614" t="n"/>
      <c r="R34" s="614" t="n"/>
      <c r="S34" s="614" t="n"/>
      <c r="T34" s="614" t="n"/>
      <c r="U34" s="614" t="n"/>
      <c r="V34" s="614" t="n"/>
      <c r="W34" s="614" t="n"/>
      <c r="X34" s="614" t="n"/>
      <c r="Y34" s="614" t="n"/>
      <c r="Z34" s="614" t="n"/>
      <c r="AA34" s="614" t="n"/>
      <c r="AB34" s="614" t="n"/>
      <c r="AC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4" t="n"/>
      <c r="O35" s="614" t="n"/>
      <c r="P35" s="614" t="n"/>
      <c r="Q35" s="614" t="n"/>
      <c r="R35" s="614" t="n"/>
      <c r="S35" s="614" t="n"/>
      <c r="T35" s="614" t="n"/>
      <c r="U35" s="614" t="n"/>
      <c r="V35" s="614" t="n"/>
      <c r="W35" s="614" t="n"/>
      <c r="X35" s="614" t="n"/>
      <c r="Y35" s="614" t="n"/>
      <c r="Z35" s="614" t="n"/>
      <c r="AA35" s="614" t="n"/>
      <c r="AB35" s="614" t="n"/>
      <c r="AC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4" t="n"/>
      <c r="O36" s="614" t="n"/>
      <c r="P36" s="614" t="n"/>
      <c r="Q36" s="614" t="n"/>
      <c r="R36" s="614" t="n"/>
      <c r="S36" s="614" t="n"/>
      <c r="T36" s="614" t="n"/>
      <c r="U36" s="614" t="n"/>
      <c r="V36" s="614" t="n"/>
      <c r="W36" s="614" t="n"/>
      <c r="X36" s="614" t="n"/>
      <c r="Y36" s="614" t="n"/>
      <c r="Z36" s="614" t="n"/>
      <c r="AA36" s="614" t="n"/>
      <c r="AB36" s="614" t="n"/>
      <c r="AC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4" t="n"/>
      <c r="O37" s="614" t="n"/>
      <c r="P37" s="614" t="n"/>
      <c r="Q37" s="614" t="n"/>
      <c r="R37" s="614" t="n"/>
      <c r="S37" s="614" t="n"/>
      <c r="T37" s="614" t="n"/>
      <c r="U37" s="614" t="n"/>
      <c r="V37" s="614" t="n"/>
      <c r="W37" s="614" t="n"/>
      <c r="X37" s="614" t="n"/>
      <c r="Y37" s="614" t="n"/>
      <c r="Z37" s="614" t="n"/>
      <c r="AA37" s="614" t="n"/>
      <c r="AB37" s="614" t="n"/>
      <c r="AC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4" t="n"/>
      <c r="O38" s="614" t="n"/>
      <c r="P38" s="614" t="n"/>
      <c r="Q38" s="614" t="n"/>
      <c r="R38" s="614" t="n"/>
      <c r="S38" s="614" t="n"/>
      <c r="T38" s="614" t="n"/>
      <c r="U38" s="614" t="n"/>
      <c r="V38" s="614" t="n"/>
      <c r="W38" s="614" t="n"/>
      <c r="X38" s="614" t="n"/>
      <c r="Y38" s="614" t="n"/>
      <c r="Z38" s="614" t="n"/>
      <c r="AA38" s="614" t="n"/>
      <c r="AB38" s="614" t="n"/>
      <c r="AC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4" t="n"/>
      <c r="O39" s="614" t="n"/>
      <c r="P39" s="614" t="n"/>
      <c r="Q39" s="614" t="n"/>
      <c r="R39" s="614" t="n"/>
      <c r="S39" s="614" t="n"/>
      <c r="T39" s="614" t="n"/>
      <c r="U39" s="614" t="n"/>
      <c r="V39" s="614" t="n"/>
      <c r="W39" s="614" t="n"/>
      <c r="X39" s="614" t="n"/>
      <c r="Y39" s="614" t="n"/>
      <c r="Z39" s="614" t="n"/>
      <c r="AA39" s="614" t="n"/>
      <c r="AB39" s="614" t="n"/>
      <c r="AC3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(mgmt fee + carry only -- excludes team comp &amp; bonus pool)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>
        <f>'_Engine_NR'!$B$251</f>
        <v/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751" t="inlineStr">
        <is>
          <t>INPUT / reference — funnel &amp; timeline assumptions. Not an engine output.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 (live; No Recycle, active scenario)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>
        <f>'_Engine_NR'!$B$254*5</f>
        <v/>
      </c>
      <c r="C11" s="354">
        <f>'_Engine_NR'!$B$252*5</f>
        <v/>
      </c>
      <c r="D11" s="441">
        <f>'_Engine_NR'!$B$252</f>
        <v/>
      </c>
    </row>
    <row r="12" ht="15" customHeight="1" s="307">
      <c r="A12" s="394" t="inlineStr">
        <is>
          <t>$10mm</t>
        </is>
      </c>
      <c r="B12" s="354">
        <f>'_Engine_NR'!$B$254*10</f>
        <v/>
      </c>
      <c r="C12" s="354">
        <f>'_Engine_NR'!$B$252*10</f>
        <v/>
      </c>
      <c r="D12" s="441">
        <f>'_Engine_NR'!$B$252</f>
        <v/>
      </c>
    </row>
    <row r="13" ht="15" customHeight="1" s="307">
      <c r="A13" s="394" t="inlineStr">
        <is>
          <t>$15mm</t>
        </is>
      </c>
      <c r="B13" s="354">
        <f>'_Engine_NR'!$B$254*15</f>
        <v/>
      </c>
      <c r="C13" s="354">
        <f>'_Engine_NR'!$B$252*15</f>
        <v/>
      </c>
      <c r="D13" s="441">
        <f>'_Engine_NR'!$B$252</f>
        <v/>
      </c>
    </row>
    <row r="14" ht="15" customHeight="1" s="307">
      <c r="A14" s="394" t="inlineStr">
        <is>
          <t>$20mm</t>
        </is>
      </c>
      <c r="B14" s="354">
        <f>'_Engine_NR'!$B$254*20</f>
        <v/>
      </c>
      <c r="C14" s="354">
        <f>'_Engine_NR'!$B$252*20</f>
        <v/>
      </c>
      <c r="D14" s="441">
        <f>'_Engine_NR'!$B$252</f>
        <v/>
      </c>
    </row>
    <row r="15" ht="15" customHeight="1" s="307">
      <c r="A15" s="394" t="inlineStr">
        <is>
          <t>$25mm</t>
        </is>
      </c>
      <c r="B15" s="354">
        <f>'_Engine_NR'!$B$254*25</f>
        <v/>
      </c>
      <c r="C15" s="354">
        <f>'_Engine_NR'!$B$252*25</f>
        <v/>
      </c>
      <c r="D15" s="441">
        <f>'_Engine_NR'!$B$252</f>
        <v/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>
        <f>'1. Press Assumptions'!$B$5/1000000</f>
        <v/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base deals; recycled funded from retained cash)</t>
        </is>
      </c>
      <c r="B9" s="625">
        <f>SUMPRODUCT('1. Press Assumptions'!$D$89:$D$93,'1. Press Assumptions'!$E$89:$E$93)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(5 base deals, 50% share)</t>
        </is>
      </c>
      <c r="B10" s="619">
        <f>-5*'1. Press Assumptions'!$B$103*'1. Press Assumptions'!$B$110*0.5/1000000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06" min="1" max="1"/>
    <col width="18" customWidth="1" style="306" min="2" max="7"/>
    <col width="18" customWidth="1" style="307" min="3" max="3"/>
    <col width="18" customWidth="1" style="307" min="4" max="4"/>
    <col width="18" customWidth="1" style="307" min="5" max="5"/>
    <col width="18" customWidth="1" style="307" min="6" max="6"/>
    <col width="18" customWidth="1" style="307" min="7" max="7"/>
  </cols>
  <sheetData>
    <row r="1" ht="15.75" customHeight="1" s="307">
      <c r="A1" s="612">
        <f>"PORTFOLIO DASHBOARD  --  LP IC HEADLINE  (Scenario: " &amp; '1. Press Assumptions'!$B$136 &amp; ")"</f>
        <v/>
      </c>
      <c r="B1" s="707" t="n"/>
      <c r="C1" s="707" t="n"/>
      <c r="D1" s="707" t="n"/>
      <c r="E1" s="707" t="n"/>
      <c r="F1" s="707" t="n"/>
      <c r="G1" s="707" t="n"/>
      <c r="H1" s="614" t="n"/>
      <c r="I1" s="728">
        <f>"Active scenario: " &amp; '1. Press Assumptions'!$B$136 &amp; "   (toggle on Tab 1 B136)"</f>
        <v/>
      </c>
    </row>
    <row r="2">
      <c r="A2" s="615" t="inlineStr">
        <is>
          <t>Headline = No Recycle + LP Base scenario (NDR capped 0.95). See Tab 1 B136 to toggle Bull/Base/Bear.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</row>
    <row r="3" ht="15" customHeight="1" s="307">
      <c r="A3" s="613" t="n"/>
      <c r="B3" s="708" t="n"/>
      <c r="C3" s="708" t="n"/>
      <c r="D3" s="708" t="n"/>
      <c r="E3" s="708" t="n"/>
      <c r="F3" s="708" t="n"/>
      <c r="G3" s="708" t="n"/>
      <c r="H3" s="614" t="n"/>
      <c r="I3" s="614" t="n"/>
    </row>
    <row r="4" ht="15" customHeight="1" s="307">
      <c r="A4" s="616">
        <f>"LP IC BASE CASE  -- Currently showing: " &amp; '1. Press Assumptions'!$B$136 &amp; " scenario"</f>
        <v/>
      </c>
      <c r="B4" s="617" t="n"/>
      <c r="C4" s="617" t="n"/>
      <c r="D4" s="617" t="n"/>
      <c r="E4" s="617" t="n"/>
      <c r="F4" s="617" t="n"/>
      <c r="G4" s="617" t="n"/>
      <c r="H4" s="614" t="n"/>
      <c r="I4" s="614" t="n"/>
    </row>
    <row r="5" ht="15" customHeight="1" s="307">
      <c r="A5" s="613" t="n"/>
      <c r="B5" s="686" t="n"/>
      <c r="C5" s="686" t="n"/>
      <c r="D5" s="686" t="n"/>
      <c r="E5" s="686" t="n"/>
      <c r="F5" s="686" t="n"/>
      <c r="G5" s="686" t="n"/>
      <c r="H5" s="614" t="n"/>
      <c r="I5" s="614" t="n"/>
    </row>
    <row r="6" ht="15" customHeight="1" s="307">
      <c r="A6" s="612" t="inlineStr">
        <is>
          <t>Metric</t>
        </is>
      </c>
      <c r="B6" s="709" t="inlineStr">
        <is>
          <t>Value</t>
        </is>
      </c>
      <c r="C6" s="709" t="inlineStr">
        <is>
          <t>vs Bull (GP claim)</t>
        </is>
      </c>
      <c r="D6" s="619" t="n"/>
      <c r="E6" s="619" t="n"/>
      <c r="F6" s="619" t="n"/>
      <c r="G6" s="619" t="n"/>
      <c r="H6" s="614" t="n"/>
      <c r="I6" s="614" t="n"/>
    </row>
    <row r="7" ht="15" customHeight="1" s="307">
      <c r="A7" s="613" t="inlineStr">
        <is>
          <t>15Y DPI</t>
        </is>
      </c>
      <c r="B7" s="687">
        <f>'_Engine_NR'!$B$252</f>
        <v/>
      </c>
      <c r="C7" s="684">
        <f>"(at " &amp; '1. Press Assumptions'!$B$136 &amp; ")"</f>
        <v/>
      </c>
      <c r="D7" s="684" t="n"/>
      <c r="E7" s="684" t="n"/>
      <c r="F7" s="684" t="n"/>
      <c r="G7" s="619" t="n"/>
      <c r="H7" s="614" t="n"/>
      <c r="I7" s="614" t="n"/>
    </row>
    <row r="8" ht="15" customHeight="1" s="307">
      <c r="A8" s="613" t="inlineStr">
        <is>
          <t>15Y IRR</t>
        </is>
      </c>
      <c r="B8" s="684">
        <f>'_Engine_NR'!$B$276</f>
        <v/>
      </c>
      <c r="C8" s="708" t="n"/>
      <c r="D8" s="708" t="n"/>
      <c r="E8" s="708" t="n"/>
      <c r="F8" s="708" t="n"/>
      <c r="G8" s="614" t="n"/>
      <c r="H8" s="614" t="n"/>
      <c r="I8" s="614" t="n"/>
    </row>
    <row r="9" ht="15" customHeight="1" s="307">
      <c r="A9" s="613" t="inlineStr">
        <is>
          <t>15Y LP Cash ($mm)</t>
        </is>
      </c>
      <c r="B9" s="688">
        <f>'_Engine_NR'!$B$250</f>
        <v/>
      </c>
      <c r="C9" s="708" t="n"/>
      <c r="D9" s="708" t="n"/>
      <c r="E9" s="708" t="n"/>
      <c r="F9" s="708" t="n"/>
      <c r="G9" s="614" t="n"/>
      <c r="H9" s="614" t="n"/>
      <c r="I9" s="614" t="n"/>
    </row>
    <row r="10" ht="15" customHeight="1" s="307">
      <c r="A10" s="613" t="inlineStr">
        <is>
          <t>15Y GP Carry ($mm)</t>
        </is>
      </c>
      <c r="B10" s="688">
        <f>'_Engine_NR'!$B$251</f>
        <v/>
      </c>
      <c r="C10" s="684" t="n"/>
      <c r="D10" s="684" t="n"/>
      <c r="E10" s="684" t="n"/>
      <c r="F10" s="684" t="n"/>
      <c r="G10" s="614" t="n"/>
      <c r="H10" s="614" t="n"/>
      <c r="I10" s="614" t="n"/>
    </row>
    <row r="11" ht="15" customHeight="1" s="307">
      <c r="A11" s="613" t="inlineStr">
        <is>
          <t>10Y DPI</t>
        </is>
      </c>
      <c r="B11" s="687">
        <f>'_Engine_NR'!$B$254</f>
        <v/>
      </c>
      <c r="C11" s="708" t="n"/>
      <c r="D11" s="708" t="n"/>
      <c r="E11" s="708" t="n"/>
      <c r="F11" s="708" t="n"/>
      <c r="G11" s="614" t="n"/>
      <c r="H11" s="614" t="n"/>
      <c r="I11" s="614" t="n"/>
    </row>
    <row r="12">
      <c r="A12" s="614" t="inlineStr">
        <is>
          <t>Capital Deployed ($mm)</t>
        </is>
      </c>
      <c r="B12" s="691">
        <f>5*'1. Press Assumptions'!$D$89*1.24-5*'1. Press Assumptions'!$D$89*0.1154*0.5</f>
        <v/>
      </c>
      <c r="C12" s="614" t="n"/>
      <c r="D12" s="614" t="n"/>
      <c r="E12" s="614" t="n"/>
      <c r="F12" s="614" t="n"/>
      <c r="G12" s="614" t="n"/>
      <c r="H12" s="614" t="n"/>
      <c r="I12" s="614" t="n"/>
    </row>
    <row r="13" ht="15" customHeight="1" s="307">
      <c r="A13" s="613" t="inlineStr">
        <is>
          <t>GP Take % of Fund Cash</t>
        </is>
      </c>
      <c r="B13" s="684">
        <f>'15. Fee Drag'!B22</f>
        <v/>
      </c>
      <c r="C13" s="619" t="n"/>
      <c r="D13" s="619" t="n"/>
      <c r="E13" s="619" t="n"/>
      <c r="F13" s="619" t="n"/>
      <c r="G13" s="619" t="n"/>
      <c r="H13" s="614" t="n"/>
      <c r="I13" s="614" t="n"/>
    </row>
    <row r="14" ht="15" customHeight="1" s="307">
      <c r="A14" s="613" t="n"/>
      <c r="B14" s="619" t="n"/>
      <c r="C14" s="619" t="n"/>
      <c r="D14" s="619" t="n"/>
      <c r="E14" s="619" t="n"/>
      <c r="F14" s="619" t="n"/>
      <c r="G14" s="619" t="n"/>
      <c r="H14" s="614" t="n"/>
      <c r="I14" s="614" t="n"/>
    </row>
    <row r="15" ht="15" customHeight="1" s="307">
      <c r="A15" s="613" t="n"/>
      <c r="B15" s="619" t="n"/>
      <c r="C15" s="619" t="n"/>
      <c r="D15" s="619" t="n"/>
      <c r="E15" s="619" t="n"/>
      <c r="F15" s="619" t="n"/>
      <c r="G15" s="619" t="n"/>
      <c r="H15" s="614" t="n"/>
      <c r="I15" s="614" t="n"/>
    </row>
    <row r="16" ht="15" customHeight="1" s="307">
      <c r="A16" s="616" t="inlineStr">
        <is>
          <t>SCENARIO MATRIX  (Bull/Base/Bear x Recycle)</t>
        </is>
      </c>
      <c r="B16" s="617" t="n"/>
      <c r="C16" s="617" t="n"/>
      <c r="D16" s="617" t="n"/>
      <c r="E16" s="617" t="n"/>
      <c r="F16" s="617" t="n"/>
      <c r="G16" s="617" t="n"/>
      <c r="H16" s="614" t="n"/>
      <c r="I16" s="614" t="n"/>
    </row>
    <row r="17">
      <c r="A17" s="615" t="inlineStr">
        <is>
          <t>NOTE: matrix below shows CURRENT engine output, not all 9 combinations. Toggle Tab 1 B136 to see Base/Bear.</t>
        </is>
      </c>
      <c r="B17" s="614" t="n"/>
      <c r="C17" s="614" t="n"/>
      <c r="D17" s="614" t="n"/>
      <c r="E17" s="614" t="n"/>
      <c r="F17" s="614" t="n"/>
      <c r="G17" s="614" t="n"/>
      <c r="H17" s="614" t="n"/>
      <c r="I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  <c r="H18" s="614" t="n"/>
      <c r="I18" s="614" t="n"/>
    </row>
    <row r="19">
      <c r="A19" s="633" t="inlineStr">
        <is>
          <t>Scenario \ Recycle</t>
        </is>
      </c>
      <c r="B19" s="633" t="inlineStr">
        <is>
          <t>No Recycle</t>
        </is>
      </c>
      <c r="C19" s="633" t="inlineStr">
        <is>
          <t>50% Recycle</t>
        </is>
      </c>
      <c r="D19" s="633" t="inlineStr">
        <is>
          <t>100% Recycle</t>
        </is>
      </c>
      <c r="E19" s="614" t="n"/>
      <c r="F19" s="614" t="n"/>
      <c r="G19" s="614" t="n"/>
      <c r="H19" s="614" t="n"/>
      <c r="I19" s="614" t="n"/>
    </row>
    <row r="20">
      <c r="A20" s="614" t="inlineStr">
        <is>
          <t>Current scenario DPI</t>
        </is>
      </c>
      <c r="B20" s="690">
        <f>'_Engine_NR'!B252</f>
        <v/>
      </c>
      <c r="C20" s="690">
        <f>'_Engine_R50'!B252</f>
        <v/>
      </c>
      <c r="D20" s="690">
        <f>'_Engine_R100'!B252</f>
        <v/>
      </c>
      <c r="E20" s="614" t="n"/>
      <c r="F20" s="614" t="n"/>
      <c r="G20" s="614" t="n"/>
      <c r="H20" s="614" t="n"/>
      <c r="I20" s="614" t="n"/>
    </row>
    <row r="21">
      <c r="A21" s="614" t="inlineStr">
        <is>
          <t>Current scenario IRR</t>
        </is>
      </c>
      <c r="B21" s="703">
        <f>'_Engine_NR'!B276</f>
        <v/>
      </c>
      <c r="C21" s="703">
        <f>'_Engine_R50'!B276</f>
        <v/>
      </c>
      <c r="D21" s="703">
        <f>'_Engine_R100'!B276</f>
        <v/>
      </c>
      <c r="E21" s="614" t="n"/>
      <c r="F21" s="614" t="n"/>
      <c r="G21" s="614" t="n"/>
      <c r="H21" s="614" t="n"/>
      <c r="I21" s="614" t="n"/>
    </row>
    <row r="22">
      <c r="A22" s="614" t="inlineStr">
        <is>
          <t>Current scenario LP Cash ($mm)</t>
        </is>
      </c>
      <c r="B22" s="691">
        <f>'_Engine_NR'!B250</f>
        <v/>
      </c>
      <c r="C22" s="691">
        <f>'_Engine_R50'!B250</f>
        <v/>
      </c>
      <c r="D22" s="691">
        <f>'_Engine_R100'!B250</f>
        <v/>
      </c>
      <c r="E22" s="614" t="n"/>
      <c r="F22" s="614" t="n"/>
      <c r="G22" s="614" t="n"/>
      <c r="H22" s="614" t="n"/>
      <c r="I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  <c r="H23" s="614" t="n"/>
      <c r="I23" s="614" t="n"/>
    </row>
    <row r="24">
      <c r="A24" s="628" t="inlineStr">
        <is>
          <t>EXPECTED RESULTS BY SCENARIO (current displays the active Tab 1 B136 setting):</t>
        </is>
      </c>
      <c r="B24" s="614" t="n"/>
      <c r="C24" s="614" t="n"/>
      <c r="D24" s="614" t="n"/>
      <c r="E24" s="614" t="n"/>
      <c r="F24" s="614" t="n"/>
      <c r="G24" s="614" t="n"/>
      <c r="H24" s="614" t="n"/>
      <c r="I24" s="614" t="n"/>
    </row>
    <row r="25">
      <c r="A25" s="615" t="inlineStr">
        <is>
          <t>Bear (uniform 0.80 NDR -- downside):     NR=1.63x  R50=2.71x  R100=2.62x</t>
        </is>
      </c>
      <c r="B25" s="614" t="n"/>
      <c r="C25" s="614" t="n"/>
      <c r="D25" s="614" t="n"/>
      <c r="E25" s="614" t="n"/>
      <c r="F25" s="614" t="n"/>
      <c r="G25" s="614" t="n"/>
      <c r="H25" s="614" t="n"/>
      <c r="I25" s="614" t="n"/>
    </row>
    <row r="26">
      <c r="A26" s="615" t="inlineStr">
        <is>
          <t>Base (uniform 0.85 NDR -- LP base case): NR=2.27x  R50=3.89x  R100=3.84x</t>
        </is>
      </c>
      <c r="B26" s="614" t="n"/>
      <c r="C26" s="614" t="n"/>
      <c r="D26" s="614" t="n"/>
      <c r="E26" s="614" t="n"/>
      <c r="F26" s="614" t="n"/>
      <c r="G26" s="614" t="n"/>
      <c r="H26" s="614" t="n"/>
      <c r="I26" s="614" t="n"/>
    </row>
    <row r="27">
      <c r="A27" s="615" t="inlineStr">
        <is>
          <t>Bull (uniform 0.90 NDR -- upside):       NR=3.35x  R50=5.51x  R100=5.59x</t>
        </is>
      </c>
      <c r="B27" s="614" t="n"/>
      <c r="C27" s="614" t="n"/>
      <c r="D27" s="614" t="n"/>
      <c r="E27" s="614" t="n"/>
      <c r="F27" s="614" t="n"/>
      <c r="G27" s="614" t="n"/>
      <c r="H27" s="614" t="n"/>
      <c r="I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  <c r="H28" s="614" t="n"/>
      <c r="I28" s="614" t="n"/>
    </row>
    <row r="29">
      <c r="A29" s="642" t="inlineStr">
        <is>
          <t>LP IC RECOMMENDATION  (independent of current Tab 1 B136 setting)</t>
        </is>
      </c>
      <c r="B29" s="618" t="n"/>
      <c r="C29" s="618" t="n"/>
      <c r="D29" s="618" t="n"/>
      <c r="E29" s="618" t="n"/>
      <c r="F29" s="618" t="n"/>
      <c r="G29" s="618" t="n"/>
      <c r="H29" s="614" t="n"/>
      <c r="I29" s="614" t="n"/>
    </row>
    <row r="30">
      <c r="A30" s="628" t="inlineStr">
        <is>
          <t>LP IC underwrites at Base (0.85 NDR), No Recycle  =  expected ~2.27x DPI / ~18% IRR.</t>
        </is>
      </c>
      <c r="B30" s="614" t="n"/>
      <c r="C30" s="614" t="n"/>
      <c r="D30" s="614" t="n"/>
      <c r="E30" s="614" t="n"/>
      <c r="F30" s="614" t="n"/>
      <c r="G30" s="614" t="n"/>
      <c r="H30" s="614" t="n"/>
      <c r="I30" s="614" t="n"/>
    </row>
    <row r="31">
      <c r="A31" s="615" t="inlineStr">
        <is>
          <t>Reasoning: removes 2-zero-decay-winner risk, avoids 72mo LPA dispute, and avoids 3-year zero-distribution debate.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</row>
    <row r="32">
      <c r="A32" s="615" t="inlineStr">
        <is>
          <t>Upside if Bull case delivers.  LP still clears 2x in Bear case.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</row>
    <row r="34">
      <c r="A34" s="614" t="n"/>
      <c r="B34" s="614" t="n"/>
      <c r="C34" s="614" t="n"/>
      <c r="D34" s="614" t="n"/>
      <c r="E34" s="614" t="n"/>
      <c r="F34" s="614" t="n"/>
      <c r="G34" s="614" t="n"/>
      <c r="H34" s="614" t="n"/>
      <c r="I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  <c r="I1" s="728">
        <f>"Active scenario: " &amp; '1. Press Assumptions'!$B$136 &amp; "   (toggle on Tab 1 B136)"</f>
        <v/>
      </c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751" t="inlineStr">
        <is>
          <t>INPUT — role salary schedule. This loaded total ($7,637K/yr) DRIVES engine team comp (via Tab 26 row 28).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  <row r="29">
      <c r="A29" s="615" t="inlineStr">
        <is>
          <t>Total loaded = base x 1.30 (30% fully-weighted overhead).</t>
        </is>
      </c>
    </row>
    <row r="30">
      <c r="A30" s="615" t="inlineStr">
        <is>
          <t>Engine team comp = this total, ramped (Y1 45%, Y2 99%, Y3+ 100%). See Tab 26 row 28.</t>
        </is>
      </c>
    </row>
    <row r="31">
      <c r="A31" s="61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>
        <f>"NR " &amp; TEXT('_Engine_NR'!$B$276,"0%") &amp; " / R50 " &amp; TEXT('_Engine_R50'!$B$276,"0%") &amp; " / R100 " &amp; TEXT('_Engine_R100'!$B$276,"0%") &amp; "  (" &amp; '1. Press Assumptions'!$B$136 &amp; " case)"</f>
        <v/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>
        <f>"NR " &amp; TEXT('_Engine_NR'!$B$252,"0.00") &amp; "x / R50 " &amp; TEXT('_Engine_R50'!$B$252,"0.00") &amp; "x / R100 " &amp; TEXT('_Engine_R100'!$B$252,"0.00") &amp; "x  (" &amp; '1. Press Assumptions'!$B$136 &amp; " case)"</f>
        <v/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>
        <f>"NR " &amp; TEXT('_Engine_NR'!$B$254,"0.00") &amp; "x / R50 " &amp; TEXT('_Engine_R50'!$B$254,"0.00") &amp; "x / R100 " &amp; TEXT('_Engine_R100'!$B$254,"0.00") &amp; "x  (" &amp; '1. Press Assumptions'!$B$136 &amp; " case)"</f>
        <v/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  (LIVE from _Engine_R100)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Retained cash and recycled deployment are live. Recycled deals close M24/28/32/36.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>
        <f>SUM('_Engine_R100'!Y31:Y33)</f>
        <v/>
      </c>
      <c r="C5" s="354">
        <f>SUM('_Engine_R100'!Y34:Y36)</f>
        <v/>
      </c>
      <c r="D5" s="354">
        <f>SUM('_Engine_R100'!Y37:Y39)</f>
        <v/>
      </c>
      <c r="E5" s="354">
        <f>SUM('_Engine_R100'!Y40:Y42)</f>
        <v/>
      </c>
      <c r="F5" s="354">
        <f>SUM('_Engine_R100'!Y43:Y45)</f>
        <v/>
      </c>
      <c r="G5" s="354">
        <f>SUM('_Engine_R100'!Y46:Y48)</f>
        <v/>
      </c>
      <c r="H5" s="354">
        <f>SUM('_Engine_R100'!Y49:Y51)</f>
        <v/>
      </c>
      <c r="I5" s="354">
        <f>SUM('_Engine_R100'!Y52:Y54)</f>
        <v/>
      </c>
      <c r="J5" s="354">
        <f>SUM('_Engine_R100'!Y55:Y57)</f>
        <v/>
      </c>
      <c r="K5" s="354">
        <f>SUM('_Engine_R100'!Y58:Y60)</f>
        <v/>
      </c>
      <c r="L5" s="354">
        <f>SUM('_Engine_R100'!Y61:Y63)</f>
        <v/>
      </c>
      <c r="M5" s="354">
        <f>SUM('_Engine_R100'!Y64:Y66)</f>
        <v/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>
        <f>SUMPRODUCT(('1. Press Assumptions'!$K$101:$K$104&gt;=1)*('1. Press Assumptions'!$K$101:$K$104&lt;=3)*('1. Press Assumptions'!$D$101:$D$104*'1. Press Assumptions'!$E$101:$E$104))</f>
        <v/>
      </c>
      <c r="C6" s="354">
        <f>SUMPRODUCT(('1. Press Assumptions'!$K$101:$K$104&gt;=4)*('1. Press Assumptions'!$K$101:$K$104&lt;=6)*('1. Press Assumptions'!$D$101:$D$104*'1. Press Assumptions'!$E$101:$E$104))</f>
        <v/>
      </c>
      <c r="D6" s="354">
        <f>SUMPRODUCT(('1. Press Assumptions'!$K$101:$K$104&gt;=7)*('1. Press Assumptions'!$K$101:$K$104&lt;=9)*('1. Press Assumptions'!$D$101:$D$104*'1. Press Assumptions'!$E$101:$E$104))</f>
        <v/>
      </c>
      <c r="E6" s="354">
        <f>SUMPRODUCT(('1. Press Assumptions'!$K$101:$K$104&gt;=10)*('1. Press Assumptions'!$K$101:$K$104&lt;=12)*('1. Press Assumptions'!$D$101:$D$104*'1. Press Assumptions'!$E$101:$E$104))</f>
        <v/>
      </c>
      <c r="F6" s="354">
        <f>SUMPRODUCT(('1. Press Assumptions'!$K$101:$K$104&gt;=13)*('1. Press Assumptions'!$K$101:$K$104&lt;=15)*('1. Press Assumptions'!$D$101:$D$104*'1. Press Assumptions'!$E$101:$E$104))</f>
        <v/>
      </c>
      <c r="G6" s="354">
        <f>SUMPRODUCT(('1. Press Assumptions'!$K$101:$K$104&gt;=16)*('1. Press Assumptions'!$K$101:$K$104&lt;=18)*('1. Press Assumptions'!$D$101:$D$104*'1. Press Assumptions'!$E$101:$E$104))</f>
        <v/>
      </c>
      <c r="H6" s="354">
        <f>SUMPRODUCT(('1. Press Assumptions'!$K$101:$K$104&gt;=19)*('1. Press Assumptions'!$K$101:$K$104&lt;=21)*('1. Press Assumptions'!$D$101:$D$104*'1. Press Assumptions'!$E$101:$E$104))</f>
        <v/>
      </c>
      <c r="I6" s="354">
        <f>SUMPRODUCT(('1. Press Assumptions'!$K$101:$K$104&gt;=22)*('1. Press Assumptions'!$K$101:$K$104&lt;=24)*('1. Press Assumptions'!$D$101:$D$104*'1. Press Assumptions'!$E$101:$E$104))</f>
        <v/>
      </c>
      <c r="J6" s="354">
        <f>SUMPRODUCT(('1. Press Assumptions'!$K$101:$K$104&gt;=25)*('1. Press Assumptions'!$K$101:$K$104&lt;=27)*('1. Press Assumptions'!$D$101:$D$104*'1. Press Assumptions'!$E$101:$E$104))</f>
        <v/>
      </c>
      <c r="K6" s="354">
        <f>SUMPRODUCT(('1. Press Assumptions'!$K$101:$K$104&gt;=28)*('1. Press Assumptions'!$K$101:$K$104&lt;=30)*('1. Press Assumptions'!$D$101:$D$104*'1. Press Assumptions'!$E$101:$E$104))</f>
        <v/>
      </c>
      <c r="L6" s="354">
        <f>SUMPRODUCT(('1. Press Assumptions'!$K$101:$K$104&gt;=31)*('1. Press Assumptions'!$K$101:$K$104&lt;=33)*('1. Press Assumptions'!$D$101:$D$104*'1. Press Assumptions'!$E$101:$E$104))</f>
        <v/>
      </c>
      <c r="M6" s="354">
        <f>SUMPRODUCT(('1. Press Assumptions'!$K$101:$K$104&gt;=34)*('1. Press Assumptions'!$K$101:$K$104&lt;=36)*('1. Press Assumptions'!$D$101:$D$104*'1. Press Assumptions'!$E$101:$E$104))</f>
        <v/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>
        <f>B5-B6</f>
        <v/>
      </c>
      <c r="C7" s="588">
        <f>B7+C5-C6</f>
        <v/>
      </c>
      <c r="D7" s="588">
        <f>C7+D5-D6</f>
        <v/>
      </c>
      <c r="E7" s="588">
        <f>D7+E5-E6</f>
        <v/>
      </c>
      <c r="F7" s="571">
        <f>E7+F5-F6</f>
        <v/>
      </c>
      <c r="G7" s="571">
        <f>F7+G5-G6</f>
        <v/>
      </c>
      <c r="H7" s="571">
        <f>G7+H5-H6</f>
        <v/>
      </c>
      <c r="I7" s="571">
        <f>H7+I5-I6</f>
        <v/>
      </c>
      <c r="J7" s="571">
        <f>I7+J5-J6</f>
        <v/>
      </c>
      <c r="K7" s="571">
        <f>J7+K5-K6</f>
        <v/>
      </c>
      <c r="L7" s="571">
        <f>K7+L5-L6</f>
        <v/>
      </c>
      <c r="M7" s="571">
        <f>L7+M5-M6</f>
        <v/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3">
      <c r="A3" s="641" t="inlineStr">
        <is>
          <t>INPUT — row 28 "Total Loaded" feeds the engines (D28:R28). Now DERIVED from Tab 23 role schedule (loaded) with hiring ramp.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>
        <f>D28/1.3</f>
        <v/>
      </c>
      <c r="E27" s="590">
        <f>E28/1.3</f>
        <v/>
      </c>
      <c r="F27" s="590">
        <f>F28/1.3</f>
        <v/>
      </c>
      <c r="G27" s="590">
        <f>G28/1.3</f>
        <v/>
      </c>
      <c r="H27" s="590">
        <f>H28/1.3</f>
        <v/>
      </c>
      <c r="I27" s="590">
        <f>I28/1.3</f>
        <v/>
      </c>
      <c r="J27" s="590">
        <f>J28/1.3</f>
        <v/>
      </c>
      <c r="K27" s="590">
        <f>K28/1.3</f>
        <v/>
      </c>
      <c r="L27" s="590">
        <f>L28/1.3</f>
        <v/>
      </c>
      <c r="M27" s="590">
        <f>M28/1.3</f>
        <v/>
      </c>
      <c r="N27" s="590">
        <f>N28/1.3</f>
        <v/>
      </c>
      <c r="O27" s="590">
        <f>O28/1.3</f>
        <v/>
      </c>
      <c r="P27" s="590">
        <f>P28/1.3</f>
        <v/>
      </c>
      <c r="Q27" s="590">
        <f>Q28/1.3</f>
        <v/>
      </c>
      <c r="R27" s="590">
        <f>R28/1.3</f>
        <v/>
      </c>
    </row>
    <row r="28" ht="15" customHeight="1" s="307">
      <c r="A28" s="321" t="inlineStr">
        <is>
          <t>Total Loaded (+ 30%)</t>
        </is>
      </c>
      <c r="D28" s="590">
        <f>0.4527*'23. Fund OpBudget'!$C$27</f>
        <v/>
      </c>
      <c r="E28" s="590">
        <f>0.9947*'23. Fund OpBudget'!$C$27</f>
        <v/>
      </c>
      <c r="F28" s="590">
        <f>'23. Fund OpBudget'!$C$27</f>
        <v/>
      </c>
      <c r="G28" s="590">
        <f>'23. Fund OpBudget'!$C$27</f>
        <v/>
      </c>
      <c r="H28" s="590">
        <f>'23. Fund OpBudget'!$C$27</f>
        <v/>
      </c>
      <c r="I28" s="590">
        <f>'23. Fund OpBudget'!$C$27</f>
        <v/>
      </c>
      <c r="J28" s="590">
        <f>'23. Fund OpBudget'!$C$27</f>
        <v/>
      </c>
      <c r="K28" s="590">
        <f>'23. Fund OpBudget'!$C$27</f>
        <v/>
      </c>
      <c r="L28" s="590">
        <f>'23. Fund OpBudget'!$C$27</f>
        <v/>
      </c>
      <c r="M28" s="590">
        <f>'23. Fund OpBudget'!$C$27</f>
        <v/>
      </c>
      <c r="N28" s="590">
        <f>'23. Fund OpBudget'!$C$27</f>
        <v/>
      </c>
      <c r="O28" s="590">
        <f>'23. Fund OpBudget'!$C$27</f>
        <v/>
      </c>
      <c r="P28" s="590">
        <f>'23. Fund OpBudget'!$C$27</f>
        <v/>
      </c>
      <c r="Q28" s="590">
        <f>'23. Fund OpBudget'!$C$27</f>
        <v/>
      </c>
      <c r="R28" s="590">
        <f>'23. Fund OpBudget'!$C$27</f>
        <v/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1">
      <c r="A31" s="706" t="inlineStr">
        <is>
          <t>RECONCILED: steady-state = Tab 23 loaded total ($7,637K/yr). Y1=45%, Y2=99% ramp (CEO/CFO pre-deal, full team by M16).</t>
        </is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6" customWidth="1" style="307" min="1" max="1"/>
    <col width="52" customWidth="1" style="307" min="2" max="2"/>
    <col width="50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TRACK RECORD + COMMIT (PARTIAL)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  <row r="25">
      <c r="A25" s="642" t="inlineStr">
        <is>
          <t>TRACK RECORD (GP-DISCLOSED)</t>
        </is>
      </c>
    </row>
    <row r="26">
      <c r="A26" s="628" t="inlineStr">
        <is>
          <t>Prior deals</t>
        </is>
      </c>
      <c r="B26" s="706" t="inlineStr">
        <is>
          <t>3 deals completed</t>
        </is>
      </c>
      <c r="C26" s="615" t="inlineStr">
        <is>
          <t>Need: outcome detail per deal, hold period, exit type</t>
        </is>
      </c>
    </row>
    <row r="27">
      <c r="A27" s="628" t="inlineStr">
        <is>
          <t>Most recent IRR</t>
        </is>
      </c>
      <c r="B27" s="706" t="inlineStr">
        <is>
          <t>36% (GP-stated)</t>
        </is>
      </c>
      <c r="C27" s="615" t="inlineStr">
        <is>
          <t>Need: realized vs projected, gross vs net, cash flow detail</t>
        </is>
      </c>
    </row>
    <row r="28">
      <c r="A28" s="628" t="inlineStr">
        <is>
          <t>Operating track record</t>
        </is>
      </c>
      <c r="B28" s="706" t="inlineStr">
        <is>
          <t>3 years at 75% net margin</t>
        </is>
      </c>
      <c r="C28" s="615" t="inlineStr">
        <is>
          <t>Need: which company, scale, audited financials</t>
        </is>
      </c>
    </row>
    <row r="29">
      <c r="A29" s="628" t="inlineStr">
        <is>
          <t>GP commit</t>
        </is>
      </c>
      <c r="B29" s="706" t="inlineStr">
        <is>
          <t>1% of fund = $1.5M</t>
        </is>
      </c>
      <c r="C29" s="615" t="inlineStr">
        <is>
          <t>Below market norm 2-5%; carry/commit ratio = 32x</t>
        </is>
      </c>
    </row>
    <row r="31">
      <c r="A31" s="642" t="inlineStr">
        <is>
          <t>RECYCLING PROVISIONS (50% RECYCLE STRUCTURE)</t>
        </is>
      </c>
      <c r="B31" s="650" t="n"/>
      <c r="C31" s="650" t="n"/>
      <c r="D31" s="650" t="n"/>
      <c r="E31" s="650" t="n"/>
    </row>
    <row r="32">
      <c r="A32" s="757" t="inlineStr">
        <is>
          <t>Provision</t>
        </is>
      </c>
      <c r="B32" s="757" t="inlineStr">
        <is>
          <t>Term</t>
        </is>
      </c>
      <c r="C32" s="757" t="inlineStr">
        <is>
          <t>Market reference / notes</t>
        </is>
      </c>
    </row>
    <row r="33" ht="42" customHeight="1" s="307">
      <c r="A33" s="635" t="inlineStr">
        <is>
          <t>Recycling window</t>
        </is>
      </c>
      <c r="B33" s="636" t="inlineStr">
        <is>
          <t>Investment Period only (Years 1-5). No recycling after IP ends; all proceeds distributed.</t>
        </is>
      </c>
      <c r="C33" s="638" t="inlineStr">
        <is>
          <t>Standard. The master trigger — recycling permitted solely during the commitment/investment period.</t>
        </is>
      </c>
    </row>
    <row r="34" ht="42" customHeight="1" s="307">
      <c r="A34" s="635" t="inlineStr">
        <is>
          <t>What may be recycled</t>
        </is>
      </c>
      <c r="B34" s="636" t="inlineStr">
        <is>
          <t>50% of OpCo operating distributable cash during the window. Exit/RoC proceeds within 18 months of acquisition also recyclable.</t>
        </is>
      </c>
      <c r="C34" s="638" t="inlineStr">
        <is>
          <t>Current-income recycle, capped at 50% retention. LP receives the other 50% as current distributions.</t>
        </is>
      </c>
    </row>
    <row r="35" ht="42" customHeight="1" s="307">
      <c r="A35" s="635" t="inlineStr">
        <is>
          <t>Legal mechanism</t>
        </is>
      </c>
      <c r="B35" s="636" t="inlineStr">
        <is>
          <t>Recallable Distributions: distributions designated recallable may be called back for reinvestment, up to the deployment cap, during the IP.</t>
        </is>
      </c>
      <c r="C35" s="638" t="inlineStr">
        <is>
          <t>ILPA-standard recycling mechanic.</t>
        </is>
      </c>
    </row>
    <row r="36" ht="42" customHeight="1" s="307">
      <c r="A36" s="635" t="inlineStr">
        <is>
          <t>Aggregate deployment cap</t>
        </is>
      </c>
      <c r="B36" s="636" t="inlineStr">
        <is>
          <t>Up to 150% of committed capital may be invested (100% base + up to 50% recycled).</t>
        </is>
      </c>
      <c r="C36" s="638" t="inlineStr">
        <is>
          <t>Within market range (110-150%). Press targets ~9 deals: 5 base + 4 recycled.</t>
        </is>
      </c>
    </row>
    <row r="37" ht="42" customHeight="1" s="307">
      <c r="A37" s="635" t="inlineStr">
        <is>
          <t>Management fee on recycled $</t>
        </is>
      </c>
      <c r="B37" s="636" t="inlineStr">
        <is>
          <t>ZERO. Mgmt fee charged on committed capital only; never on recycled/reinvested amounts.</t>
        </is>
      </c>
      <c r="C37" s="638" t="inlineStr">
        <is>
          <t>Standard LP protection against double fees. (Moot here — Press fee is ~0 after Y2.)</t>
        </is>
      </c>
    </row>
    <row r="38" ht="42" customHeight="1" s="307">
      <c r="A38" s="635" t="inlineStr">
        <is>
          <t>GP discretion</t>
        </is>
      </c>
      <c r="B38" s="636" t="inlineStr">
        <is>
          <t>GP may elect to recycle up to the 50% cap; not obligated. Amounts not recycled are distributed.</t>
        </is>
      </c>
      <c r="C38" s="638" t="inlineStr">
        <is>
          <t>Gives GP flexibility to distribute if attractive deals are scarce.</t>
        </is>
      </c>
    </row>
    <row r="39" ht="42" customHeight="1" s="307">
      <c r="A39" s="635" t="inlineStr">
        <is>
          <t>LP liquidity protection</t>
        </is>
      </c>
      <c r="B39" s="636" t="inlineStr">
        <is>
          <t>Minimum 50% of distributable cash flows to LPs currently each year during IP (the un-retained half).</t>
        </is>
      </c>
      <c r="C39" s="638" t="inlineStr">
        <is>
          <t>The core of the 50% (vs 100%) structure — LPs keep receiving cash while the fund compounds.</t>
        </is>
      </c>
    </row>
    <row r="40" ht="42" customHeight="1" s="307">
      <c r="A40" s="635" t="inlineStr">
        <is>
          <t>Recycle sufficiency</t>
        </is>
      </c>
      <c r="B40" s="636" t="inlineStr">
        <is>
          <t>Recycled deals funded solely from retained cash; no incremental capital calls. Model shows $244M retained vs $134M needed.</t>
        </is>
      </c>
      <c r="C40" s="638" t="inlineStr">
        <is>
          <t>No capital-call surprise. Sufficiency verified at each deal close (Tab _Engine_R50).</t>
        </is>
      </c>
    </row>
    <row r="41" ht="42" customHeight="1" s="307">
      <c r="A41" s="635" t="inlineStr">
        <is>
          <t>Sunset</t>
        </is>
      </c>
      <c r="B41" s="636" t="inlineStr">
        <is>
          <t>Any recallable distribution not recalled within the IP is permanently released to LPs.</t>
        </is>
      </c>
      <c r="C41" s="638" t="inlineStr">
        <is>
          <t>Standard.</t>
        </is>
      </c>
    </row>
    <row r="43">
      <c r="A43" s="706" t="inlineStr">
        <is>
          <t>WHY 50% (alignment):</t>
        </is>
      </c>
    </row>
    <row r="44" ht="42" customHeight="1" s="307">
      <c r="A44" s="758" t="inlineStr">
        <is>
          <t>Positive-sum: recycling compounds capital into more cash-generating OpCos, so LP cash AND GP carry both rise. Unlike a fee increase (LP-&gt;GP transfer), it grows the pie. 50% (vs 100%) keeps LPs in current cash while still compounding.</t>
        </is>
      </c>
    </row>
    <row r="45">
      <c r="A45" s="628" t="inlineStr">
        <is>
          <t>Deployment pace</t>
        </is>
      </c>
      <c r="B45" s="306" t="inlineStr">
        <is>
          <t>Conservative: all 9 deals deployed by Year 5 (recycled at M30/40/50/60). No incremental capital calls.</t>
        </is>
      </c>
      <c r="C45" s="615" t="inlineStr">
        <is>
          <t>Stress-tested: retained cash covers every recycled deal even at 80% NDR (+$30M min cushion).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(INDEX('26. Team Comp'!$D$28:$R$28, B31) * 0.001 / 12)*1.55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(INDEX('26. Team Comp'!$D$28:$R$28, B32) * 0.001 / 12)*1.55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(INDEX('26. Team Comp'!$D$28:$R$28, B33) * 0.001 / 12)*1.55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(INDEX('26. Team Comp'!$D$28:$R$28, B34) * 0.001 / 12)*1.55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(INDEX('26. Team Comp'!$D$28:$R$28, B35) * 0.001 / 12)*1.55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(INDEX('26. Team Comp'!$D$28:$R$28, B36) * 0.001 / 12)*1.55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(INDEX('26. Team Comp'!$D$28:$R$28, B37) * 0.001 / 12)*1.55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(INDEX('26. Team Comp'!$D$28:$R$28, B38) * 0.001 / 12)*1.55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(INDEX('26. Team Comp'!$D$28:$R$28, B39) * 0.001 / 12)*1.55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(INDEX('26. Team Comp'!$D$28:$R$28, B40) * 0.001 / 12)*1.55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(INDEX('26. Team Comp'!$D$28:$R$28, B41) * 0.001 / 12)*1.55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(INDEX('26. Team Comp'!$D$28:$R$28, B42) * 0.001 / 12)*1.55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(INDEX('26. Team Comp'!$D$28:$R$28, B43) * 0.001 / 12)*1.55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(INDEX('26. Team Comp'!$D$28:$R$28, B44) * 0.001 / 12)*1.55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(INDEX('26. Team Comp'!$D$28:$R$28, B45) * 0.001 / 12)*1.55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(INDEX('26. Team Comp'!$D$28:$R$28, B46) * 0.001 / 12)*1.55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(INDEX('26. Team Comp'!$D$28:$R$28, B47) * 0.001 / 12)*1.55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(INDEX('26. Team Comp'!$D$28:$R$28, B48) * 0.001 / 12)*1.55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(INDEX('26. Team Comp'!$D$28:$R$28, B49) * 0.001 / 12)*1.55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(INDEX('26. Team Comp'!$D$28:$R$28, B50) * 0.001 / 12)*1.55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(INDEX('26. Team Comp'!$D$28:$R$28, B51) * 0.001 / 12)*1.55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(INDEX('26. Team Comp'!$D$28:$R$28, B52) * 0.001 / 12)*1.55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(INDEX('26. Team Comp'!$D$28:$R$28, B53) * 0.001 / 12)*1.55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(INDEX('26. Team Comp'!$D$28:$R$28, B54) * 0.001 / 12)*1.55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(INDEX('26. Team Comp'!$D$28:$R$28, B55) * 0.001 / 12)*1.55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(INDEX('26. Team Comp'!$D$28:$R$28, B56) * 0.001 / 12)*1.55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(INDEX('26. Team Comp'!$D$28:$R$28, B57) * 0.001 / 12)*1.55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(INDEX('26. Team Comp'!$D$28:$R$28, B58) * 0.001 / 12)*1.55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(INDEX('26. Team Comp'!$D$28:$R$28, B59) * 0.001 / 12)*1.55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(INDEX('26. Team Comp'!$D$28:$R$28, B60) * 0.001 / 12)*1.55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(INDEX('26. Team Comp'!$D$28:$R$28, B61) * 0.001 / 12)*1.55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(INDEX('26. Team Comp'!$D$28:$R$28, B62) * 0.001 / 12)*1.55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(INDEX('26. Team Comp'!$D$28:$R$28, B63) * 0.001 / 12)*1.55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(INDEX('26. Team Comp'!$D$28:$R$28, B64) * 0.001 / 12)*1.55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(INDEX('26. Team Comp'!$D$28:$R$28, B65) * 0.001 / 12)*1.55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(INDEX('26. Team Comp'!$D$28:$R$28, B66) * 0.001 / 12)*1.55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(INDEX('26. Team Comp'!$D$28:$R$28, B67) * 0.001 / 12)*1.55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(INDEX('26. Team Comp'!$D$28:$R$28, B68) * 0.001 / 12)*1.55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(INDEX('26. Team Comp'!$D$28:$R$28, B69) * 0.001 / 12)*1.55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(INDEX('26. Team Comp'!$D$28:$R$28, B70) * 0.001 / 12)*1.55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(INDEX('26. Team Comp'!$D$28:$R$28, B71) * 0.001 / 12)*1.55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(INDEX('26. Team Comp'!$D$28:$R$28, B72) * 0.001 / 12)*1.55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(INDEX('26. Team Comp'!$D$28:$R$28, B73) * 0.001 / 12)*1.55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(INDEX('26. Team Comp'!$D$28:$R$28, B74) * 0.001 / 12)*1.55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(INDEX('26. Team Comp'!$D$28:$R$28, B75) * 0.001 / 12)*1.55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(INDEX('26. Team Comp'!$D$28:$R$28, B76) * 0.001 / 12)*1.55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(INDEX('26. Team Comp'!$D$28:$R$28, B77) * 0.001 / 12)*1.55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(INDEX('26. Team Comp'!$D$28:$R$28, B78) * 0.001 / 12)*1.55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(INDEX('26. Team Comp'!$D$28:$R$28, B79) * 0.001 / 12)*1.55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(INDEX('26. Team Comp'!$D$28:$R$28, B80) * 0.001 / 12)*1.55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(INDEX('26. Team Comp'!$D$28:$R$28, B81) * 0.001 / 12)*1.55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(INDEX('26. Team Comp'!$D$28:$R$28, B82) * 0.001 / 12)*1.55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(INDEX('26. Team Comp'!$D$28:$R$28, B83) * 0.001 / 12)*1.55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(INDEX('26. Team Comp'!$D$28:$R$28, B84) * 0.001 / 12)*1.55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(INDEX('26. Team Comp'!$D$28:$R$28, B85) * 0.001 / 12)*1.55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(INDEX('26. Team Comp'!$D$28:$R$28, B86) * 0.001 / 12)*1.55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(INDEX('26. Team Comp'!$D$28:$R$28, B87) * 0.001 / 12)*1.55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(INDEX('26. Team Comp'!$D$28:$R$28, B88) * 0.001 / 12)*1.55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(INDEX('26. Team Comp'!$D$28:$R$28, B89) * 0.001 / 12)*1.55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(INDEX('26. Team Comp'!$D$28:$R$28, B90) * 0.001 / 12)*1.55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(INDEX('26. Team Comp'!$D$28:$R$28, B91) * 0.001 / 12)*1.55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(INDEX('26. Team Comp'!$D$28:$R$28, B92) * 0.001 / 12)*1.55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(INDEX('26. Team Comp'!$D$28:$R$28, B93) * 0.001 / 12)*1.55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(INDEX('26. Team Comp'!$D$28:$R$28, B94) * 0.001 / 12)*1.55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(INDEX('26. Team Comp'!$D$28:$R$28, B95) * 0.001 / 12)*1.55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(INDEX('26. Team Comp'!$D$28:$R$28, B96) * 0.001 / 12)*1.55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(INDEX('26. Team Comp'!$D$28:$R$28, B97) * 0.001 / 12)*1.55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(INDEX('26. Team Comp'!$D$28:$R$28, B98) * 0.001 / 12)*1.55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(INDEX('26. Team Comp'!$D$28:$R$28, B99) * 0.001 / 12)*1.55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(INDEX('26. Team Comp'!$D$28:$R$28, B100) * 0.001 / 12)*1.55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(INDEX('26. Team Comp'!$D$28:$R$28, B101) * 0.001 / 12)*1.55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(INDEX('26. Team Comp'!$D$28:$R$28, B102) * 0.001 / 12)*1.55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(INDEX('26. Team Comp'!$D$28:$R$28, B103) * 0.001 / 12)*1.55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(INDEX('26. Team Comp'!$D$28:$R$28, B104) * 0.001 / 12)*1.55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(INDEX('26. Team Comp'!$D$28:$R$28, B105) * 0.001 / 12)*1.55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(INDEX('26. Team Comp'!$D$28:$R$28, B106) * 0.001 / 12)*1.55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(INDEX('26. Team Comp'!$D$28:$R$28, B107) * 0.001 / 12)*1.55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(INDEX('26. Team Comp'!$D$28:$R$28, B108) * 0.001 / 12)*1.55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(INDEX('26. Team Comp'!$D$28:$R$28, B109) * 0.001 / 12)*1.55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(INDEX('26. Team Comp'!$D$28:$R$28, B110) * 0.001 / 12)*1.55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(INDEX('26. Team Comp'!$D$28:$R$28, B111) * 0.001 / 12)*1.55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(INDEX('26. Team Comp'!$D$28:$R$28, B112) * 0.001 / 12)*1.55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(INDEX('26. Team Comp'!$D$28:$R$28, B113) * 0.001 / 12)*1.55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(INDEX('26. Team Comp'!$D$28:$R$28, B114) * 0.001 / 12)*1.55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(INDEX('26. Team Comp'!$D$28:$R$28, B115) * 0.001 / 12)*1.55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(INDEX('26. Team Comp'!$D$28:$R$28, B116) * 0.001 / 12)*1.55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(INDEX('26. Team Comp'!$D$28:$R$28, B117) * 0.001 / 12)*1.55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(INDEX('26. Team Comp'!$D$28:$R$28, B118) * 0.001 / 12)*1.55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(INDEX('26. Team Comp'!$D$28:$R$28, B119) * 0.001 / 12)*1.55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(INDEX('26. Team Comp'!$D$28:$R$28, B120) * 0.001 / 12)*1.55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(INDEX('26. Team Comp'!$D$28:$R$28, B121) * 0.001 / 12)*1.55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(INDEX('26. Team Comp'!$D$28:$R$28, B122) * 0.001 / 12)*1.55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(INDEX('26. Team Comp'!$D$28:$R$28, B123) * 0.001 / 12)*1.55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(INDEX('26. Team Comp'!$D$28:$R$28, B124) * 0.001 / 12)*1.55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(INDEX('26. Team Comp'!$D$28:$R$28, B125) * 0.001 / 12)*1.55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(INDEX('26. Team Comp'!$D$28:$R$28, B126) * 0.001 / 12)*1.55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(INDEX('26. Team Comp'!$D$28:$R$28, B127) * 0.001 / 12)*1.55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(INDEX('26. Team Comp'!$D$28:$R$28, B128) * 0.001 / 12)*1.55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(INDEX('26. Team Comp'!$D$28:$R$28, B129) * 0.001 / 12)*1.55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(INDEX('26. Team Comp'!$D$28:$R$28, B130) * 0.001 / 12)*1.55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(INDEX('26. Team Comp'!$D$28:$R$28, B131) * 0.001 / 12)*1.55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(INDEX('26. Team Comp'!$D$28:$R$28, B132) * 0.001 / 12)*1.55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(INDEX('26. Team Comp'!$D$28:$R$28, B133) * 0.001 / 12)*1.55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(INDEX('26. Team Comp'!$D$28:$R$28, B134) * 0.001 / 12)*1.55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(INDEX('26. Team Comp'!$D$28:$R$28, B135) * 0.001 / 12)*1.55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(INDEX('26. Team Comp'!$D$28:$R$28, B136) * 0.001 / 12)*1.55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(INDEX('26. Team Comp'!$D$28:$R$28, B137) * 0.001 / 12)*1.55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(INDEX('26. Team Comp'!$D$28:$R$28, B138) * 0.001 / 12)*1.55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(INDEX('26. Team Comp'!$D$28:$R$28, B139) * 0.001 / 12)*1.55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(INDEX('26. Team Comp'!$D$28:$R$28, B140) * 0.001 / 12)*1.55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(INDEX('26. Team Comp'!$D$28:$R$28, B141) * 0.001 / 12)*1.55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(INDEX('26. Team Comp'!$D$28:$R$28, B142) * 0.001 / 12)*1.55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(INDEX('26. Team Comp'!$D$28:$R$28, B143) * 0.001 / 12)*1.55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(INDEX('26. Team Comp'!$D$28:$R$28, B144) * 0.001 / 12)*1.55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(INDEX('26. Team Comp'!$D$28:$R$28, B145) * 0.001 / 12)*1.55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(INDEX('26. Team Comp'!$D$28:$R$28, B146) * 0.001 / 12)*1.55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(INDEX('26. Team Comp'!$D$28:$R$28, B147) * 0.001 / 12)*1.55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(INDEX('26. Team Comp'!$D$28:$R$28, B148) * 0.001 / 12)*1.55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(INDEX('26. Team Comp'!$D$28:$R$28, B149) * 0.001 / 12)*1.55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(INDEX('26. Team Comp'!$D$28:$R$28, B150) * 0.001 / 12)*1.55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(INDEX('26. Team Comp'!$D$28:$R$28, B151) * 0.001 / 12)*1.55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(INDEX('26. Team Comp'!$D$28:$R$28, B152) * 0.001 / 12)*1.55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(INDEX('26. Team Comp'!$D$28:$R$28, B153) * 0.001 / 12)*1.55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(INDEX('26. Team Comp'!$D$28:$R$28, B154) * 0.001 / 12)*1.55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(INDEX('26. Team Comp'!$D$28:$R$28, B155) * 0.001 / 12)*1.55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(INDEX('26. Team Comp'!$D$28:$R$28, B156) * 0.001 / 12)*1.55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(INDEX('26. Team Comp'!$D$28:$R$28, B157) * 0.001 / 12)*1.55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(INDEX('26. Team Comp'!$D$28:$R$28, B158) * 0.001 / 12)*1.55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(INDEX('26. Team Comp'!$D$28:$R$28, B159) * 0.001 / 12)*1.55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(INDEX('26. Team Comp'!$D$28:$R$28, B160) * 0.001 / 12)*1.55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(INDEX('26. Team Comp'!$D$28:$R$28, B161) * 0.001 / 12)*1.55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(INDEX('26. Team Comp'!$D$28:$R$28, B162) * 0.001 / 12)*1.55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(INDEX('26. Team Comp'!$D$28:$R$28, B163) * 0.001 / 12)*1.55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(INDEX('26. Team Comp'!$D$28:$R$28, B164) * 0.001 / 12)*1.55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(INDEX('26. Team Comp'!$D$28:$R$28, B165) * 0.001 / 12)*1.55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(INDEX('26. Team Comp'!$D$28:$R$28, B166) * 0.001 / 12)*1.55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(INDEX('26. Team Comp'!$D$28:$R$28, B167) * 0.001 / 12)*1.55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(INDEX('26. Team Comp'!$D$28:$R$28, B168) * 0.001 / 12)*1.55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(INDEX('26. Team Comp'!$D$28:$R$28, B169) * 0.001 / 12)*1.55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(INDEX('26. Team Comp'!$D$28:$R$28, B170) * 0.001 / 12)*1.55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(INDEX('26. Team Comp'!$D$28:$R$28, B171) * 0.001 / 12)*1.55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(INDEX('26. Team Comp'!$D$28:$R$28, B172) * 0.001 / 12)*1.55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(INDEX('26. Team Comp'!$D$28:$R$28, B173) * 0.001 / 12)*1.55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(INDEX('26. Team Comp'!$D$28:$R$28, B174) * 0.001 / 12)*1.55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(INDEX('26. Team Comp'!$D$28:$R$28, B175) * 0.001 / 12)*1.55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(INDEX('26. Team Comp'!$D$28:$R$28, B176) * 0.001 / 12)*1.55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(INDEX('26. Team Comp'!$D$28:$R$28, B177) * 0.001 / 12)*1.55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(INDEX('26. Team Comp'!$D$28:$R$28, B178) * 0.001 / 12)*1.55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(INDEX('26. Team Comp'!$D$28:$R$28, B179) * 0.001 / 12)*1.55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(INDEX('26. Team Comp'!$D$28:$R$28, B180) * 0.001 / 12)*1.55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(INDEX('26. Team Comp'!$D$28:$R$28, B181) * 0.001 / 12)*1.55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(INDEX('26. Team Comp'!$D$28:$R$28, B182) * 0.001 / 12)*1.55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(INDEX('26. Team Comp'!$D$28:$R$28, B183) * 0.001 / 12)*1.55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(INDEX('26. Team Comp'!$D$28:$R$28, B184) * 0.001 / 12)*1.55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(INDEX('26. Team Comp'!$D$28:$R$28, B185) * 0.001 / 12)*1.55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(INDEX('26. Team Comp'!$D$28:$R$28, B186) * 0.001 / 12)*1.55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(INDEX('26. Team Comp'!$D$28:$R$28, B187) * 0.001 / 12)*1.55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(INDEX('26. Team Comp'!$D$28:$R$28, B188) * 0.001 / 12)*1.55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(INDEX('26. Team Comp'!$D$28:$R$28, B189) * 0.001 / 12)*1.55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(INDEX('26. Team Comp'!$D$28:$R$28, B190) * 0.001 / 12)*1.55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(INDEX('26. Team Comp'!$D$28:$R$28, B191) * 0.001 / 12)*1.55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(INDEX('26. Team Comp'!$D$28:$R$28, B192) * 0.001 / 12)*1.55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(INDEX('26. Team Comp'!$D$28:$R$28, B193) * 0.001 / 12)*1.55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(INDEX('26. Team Comp'!$D$28:$R$28, B194) * 0.001 / 12)*1.55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(INDEX('26. Team Comp'!$D$28:$R$28, B195) * 0.001 / 12)*1.55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(INDEX('26. Team Comp'!$D$28:$R$28, B196) * 0.001 / 12)*1.55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(INDEX('26. Team Comp'!$D$28:$R$28, B197) * 0.001 / 12)*1.55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(INDEX('26. Team Comp'!$D$28:$R$28, B198) * 0.001 / 12)*1.55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(INDEX('26. Team Comp'!$D$28:$R$28, B199) * 0.001 / 12)*1.55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(INDEX('26. Team Comp'!$D$28:$R$28, B200) * 0.001 / 12)*1.55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(INDEX('26. Team Comp'!$D$28:$R$28, B201) * 0.001 / 12)*1.55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(INDEX('26. Team Comp'!$D$28:$R$28, B202) * 0.001 / 12)*1.55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(INDEX('26. Team Comp'!$D$28:$R$28, B203) * 0.001 / 12)*1.55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(INDEX('26. Team Comp'!$D$28:$R$28, B204) * 0.001 / 12)*1.55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(INDEX('26. Team Comp'!$D$28:$R$28, B205) * 0.001 / 12)*1.55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(INDEX('26. Team Comp'!$D$28:$R$28, B206) * 0.001 / 12)*1.55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(INDEX('26. Team Comp'!$D$28:$R$28, B207) * 0.001 / 12)*1.55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(INDEX('26. Team Comp'!$D$28:$R$28, B208) * 0.001 / 12)*1.55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(INDEX('26. Team Comp'!$D$28:$R$28, B209) * 0.001 / 12)*1.55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(INDEX('26. Team Comp'!$D$28:$R$28, B210) * 0.001 / 12)*1.55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 t="n">
        <v>0</v>
      </c>
      <c r="V210" s="306">
        <f>T210-U210</f>
        <v/>
      </c>
      <c r="W210" s="306">
        <f>IF(AND(A210=$B$19, $B$21=1), K210*$B$20, 0) + IF(AND(A210=180, $B$21=0), K210*'1. Press Assumptions'!$B$141,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(INDEX('26. Team Comp'!$D$28:$R$28, B31) * 0.001 / 12)*1.6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IF(A31&lt;$F$11, 0, IF(AND($B$21=1, A31&gt;$B$19), 0, $E$11 * $G$11^((A31-$F$11)/12)))</f>
        <v/>
      </c>
      <c r="L31" s="306">
        <f>IF(A31&lt;$F$12, 0, IF(AND($B$21=1, A31&gt;$B$19), 0, $E$12 * $G$12^((A31-$F$12)/12)))</f>
        <v/>
      </c>
      <c r="M31" s="306">
        <f>IF(A31&lt;$F$13, 0, IF(AND($B$21=1, A31&gt;$B$19), 0, $E$13 * $G$13^((A31-$F$13)/12)))</f>
        <v/>
      </c>
      <c r="N31" s="306">
        <f>IF(A31&lt;$F$14, 0, IF(AND($B$21=1, A31&gt;$B$19), 0, $E$14 * $G$14^((A31-$F$14)/12)))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(INDEX('26. Team Comp'!$D$28:$R$28, B32) * 0.001 / 12)*1.6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IF(A32&lt;$F$11, 0, IF(AND($B$21=1, A32&gt;$B$19), 0, $E$11 * $G$11^((A32-$F$11)/12)))</f>
        <v/>
      </c>
      <c r="L32" s="306">
        <f>IF(A32&lt;$F$12, 0, IF(AND($B$21=1, A32&gt;$B$19), 0, $E$12 * $G$12^((A32-$F$12)/12)))</f>
        <v/>
      </c>
      <c r="M32" s="306">
        <f>IF(A32&lt;$F$13, 0, IF(AND($B$21=1, A32&gt;$B$19), 0, $E$13 * $G$13^((A32-$F$13)/12)))</f>
        <v/>
      </c>
      <c r="N32" s="306">
        <f>IF(A32&lt;$F$14, 0, IF(AND($B$21=1, A32&gt;$B$19), 0, $E$14 * $G$14^((A32-$F$14)/12)))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(INDEX('26. Team Comp'!$D$28:$R$28, B33) * 0.001 / 12)*1.6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IF(A33&lt;$F$11, 0, IF(AND($B$21=1, A33&gt;$B$19), 0, $E$11 * $G$11^((A33-$F$11)/12)))</f>
        <v/>
      </c>
      <c r="L33" s="306">
        <f>IF(A33&lt;$F$12, 0, IF(AND($B$21=1, A33&gt;$B$19), 0, $E$12 * $G$12^((A33-$F$12)/12)))</f>
        <v/>
      </c>
      <c r="M33" s="306">
        <f>IF(A33&lt;$F$13, 0, IF(AND($B$21=1, A33&gt;$B$19), 0, $E$13 * $G$13^((A33-$F$13)/12)))</f>
        <v/>
      </c>
      <c r="N33" s="306">
        <f>IF(A33&lt;$F$14, 0, IF(AND($B$21=1, A33&gt;$B$19), 0, $E$14 * $G$14^((A33-$F$14)/12)))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(INDEX('26. Team Comp'!$D$28:$R$28, B34) * 0.001 / 12)*1.6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IF(A34&lt;$F$11, 0, IF(AND($B$21=1, A34&gt;$B$19), 0, $E$11 * $G$11^((A34-$F$11)/12)))</f>
        <v/>
      </c>
      <c r="L34" s="306">
        <f>IF(A34&lt;$F$12, 0, IF(AND($B$21=1, A34&gt;$B$19), 0, $E$12 * $G$12^((A34-$F$12)/12)))</f>
        <v/>
      </c>
      <c r="M34" s="306">
        <f>IF(A34&lt;$F$13, 0, IF(AND($B$21=1, A34&gt;$B$19), 0, $E$13 * $G$13^((A34-$F$13)/12)))</f>
        <v/>
      </c>
      <c r="N34" s="306">
        <f>IF(A34&lt;$F$14, 0, IF(AND($B$21=1, A34&gt;$B$19), 0, $E$14 * $G$14^((A34-$F$14)/12)))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(INDEX('26. Team Comp'!$D$28:$R$28, B35) * 0.001 / 12)*1.6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IF(A35&lt;$F$11, 0, IF(AND($B$21=1, A35&gt;$B$19), 0, $E$11 * $G$11^((A35-$F$11)/12)))</f>
        <v/>
      </c>
      <c r="L35" s="306">
        <f>IF(A35&lt;$F$12, 0, IF(AND($B$21=1, A35&gt;$B$19), 0, $E$12 * $G$12^((A35-$F$12)/12)))</f>
        <v/>
      </c>
      <c r="M35" s="306">
        <f>IF(A35&lt;$F$13, 0, IF(AND($B$21=1, A35&gt;$B$19), 0, $E$13 * $G$13^((A35-$F$13)/12)))</f>
        <v/>
      </c>
      <c r="N35" s="306">
        <f>IF(A35&lt;$F$14, 0, IF(AND($B$21=1, A35&gt;$B$19), 0, $E$14 * $G$14^((A35-$F$14)/12)))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(INDEX('26. Team Comp'!$D$28:$R$28, B36) * 0.001 / 12)*1.6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IF(A36&lt;$F$11, 0, IF(AND($B$21=1, A36&gt;$B$19), 0, $E$11 * $G$11^((A36-$F$11)/12)))</f>
        <v/>
      </c>
      <c r="L36" s="306">
        <f>IF(A36&lt;$F$12, 0, IF(AND($B$21=1, A36&gt;$B$19), 0, $E$12 * $G$12^((A36-$F$12)/12)))</f>
        <v/>
      </c>
      <c r="M36" s="306">
        <f>IF(A36&lt;$F$13, 0, IF(AND($B$21=1, A36&gt;$B$19), 0, $E$13 * $G$13^((A36-$F$13)/12)))</f>
        <v/>
      </c>
      <c r="N36" s="306">
        <f>IF(A36&lt;$F$14, 0, IF(AND($B$21=1, A36&gt;$B$19), 0, $E$14 * $G$14^((A36-$F$14)/12)))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(INDEX('26. Team Comp'!$D$28:$R$28, B37) * 0.001 / 12)*1.6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IF(A37&lt;$F$11, 0, IF(AND($B$21=1, A37&gt;$B$19), 0, $E$11 * $G$11^((A37-$F$11)/12)))</f>
        <v/>
      </c>
      <c r="L37" s="306">
        <f>IF(A37&lt;$F$12, 0, IF(AND($B$21=1, A37&gt;$B$19), 0, $E$12 * $G$12^((A37-$F$12)/12)))</f>
        <v/>
      </c>
      <c r="M37" s="306">
        <f>IF(A37&lt;$F$13, 0, IF(AND($B$21=1, A37&gt;$B$19), 0, $E$13 * $G$13^((A37-$F$13)/12)))</f>
        <v/>
      </c>
      <c r="N37" s="306">
        <f>IF(A37&lt;$F$14, 0, IF(AND($B$21=1, A37&gt;$B$19), 0, $E$14 * $G$14^((A37-$F$14)/12)))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(INDEX('26. Team Comp'!$D$28:$R$28, B38) * 0.001 / 12)*1.6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IF(A38&lt;$F$11, 0, IF(AND($B$21=1, A38&gt;$B$19), 0, $E$11 * $G$11^((A38-$F$11)/12)))</f>
        <v/>
      </c>
      <c r="L38" s="306">
        <f>IF(A38&lt;$F$12, 0, IF(AND($B$21=1, A38&gt;$B$19), 0, $E$12 * $G$12^((A38-$F$12)/12)))</f>
        <v/>
      </c>
      <c r="M38" s="306">
        <f>IF(A38&lt;$F$13, 0, IF(AND($B$21=1, A38&gt;$B$19), 0, $E$13 * $G$13^((A38-$F$13)/12)))</f>
        <v/>
      </c>
      <c r="N38" s="306">
        <f>IF(A38&lt;$F$14, 0, IF(AND($B$21=1, A38&gt;$B$19), 0, $E$14 * $G$14^((A38-$F$14)/12)))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(INDEX('26. Team Comp'!$D$28:$R$28, B39) * 0.001 / 12)*1.6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IF(A39&lt;$F$11, 0, IF(AND($B$21=1, A39&gt;$B$19), 0, $E$11 * $G$11^((A39-$F$11)/12)))</f>
        <v/>
      </c>
      <c r="L39" s="306">
        <f>IF(A39&lt;$F$12, 0, IF(AND($B$21=1, A39&gt;$B$19), 0, $E$12 * $G$12^((A39-$F$12)/12)))</f>
        <v/>
      </c>
      <c r="M39" s="306">
        <f>IF(A39&lt;$F$13, 0, IF(AND($B$21=1, A39&gt;$B$19), 0, $E$13 * $G$13^((A39-$F$13)/12)))</f>
        <v/>
      </c>
      <c r="N39" s="306">
        <f>IF(A39&lt;$F$14, 0, IF(AND($B$21=1, A39&gt;$B$19), 0, $E$14 * $G$14^((A39-$F$14)/12)))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(INDEX('26. Team Comp'!$D$28:$R$28, B40) * 0.001 / 12)*1.6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IF(A40&lt;$F$11, 0, IF(AND($B$21=1, A40&gt;$B$19), 0, $E$11 * $G$11^((A40-$F$11)/12)))</f>
        <v/>
      </c>
      <c r="L40" s="306">
        <f>IF(A40&lt;$F$12, 0, IF(AND($B$21=1, A40&gt;$B$19), 0, $E$12 * $G$12^((A40-$F$12)/12)))</f>
        <v/>
      </c>
      <c r="M40" s="306">
        <f>IF(A40&lt;$F$13, 0, IF(AND($B$21=1, A40&gt;$B$19), 0, $E$13 * $G$13^((A40-$F$13)/12)))</f>
        <v/>
      </c>
      <c r="N40" s="306">
        <f>IF(A40&lt;$F$14, 0, IF(AND($B$21=1, A40&gt;$B$19), 0, $E$14 * $G$14^((A40-$F$14)/12)))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(INDEX('26. Team Comp'!$D$28:$R$28, B41) * 0.001 / 12)*1.6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IF(A41&lt;$F$11, 0, IF(AND($B$21=1, A41&gt;$B$19), 0, $E$11 * $G$11^((A41-$F$11)/12)))</f>
        <v/>
      </c>
      <c r="L41" s="306">
        <f>IF(A41&lt;$F$12, 0, IF(AND($B$21=1, A41&gt;$B$19), 0, $E$12 * $G$12^((A41-$F$12)/12)))</f>
        <v/>
      </c>
      <c r="M41" s="306">
        <f>IF(A41&lt;$F$13, 0, IF(AND($B$21=1, A41&gt;$B$19), 0, $E$13 * $G$13^((A41-$F$13)/12)))</f>
        <v/>
      </c>
      <c r="N41" s="306">
        <f>IF(A41&lt;$F$14, 0, IF(AND($B$21=1, A41&gt;$B$19), 0, $E$14 * $G$14^((A41-$F$14)/12)))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(INDEX('26. Team Comp'!$D$28:$R$28, B42) * 0.001 / 12)*1.6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IF(A42&lt;$F$11, 0, IF(AND($B$21=1, A42&gt;$B$19), 0, $E$11 * $G$11^((A42-$F$11)/12)))</f>
        <v/>
      </c>
      <c r="L42" s="306">
        <f>IF(A42&lt;$F$12, 0, IF(AND($B$21=1, A42&gt;$B$19), 0, $E$12 * $G$12^((A42-$F$12)/12)))</f>
        <v/>
      </c>
      <c r="M42" s="306">
        <f>IF(A42&lt;$F$13, 0, IF(AND($B$21=1, A42&gt;$B$19), 0, $E$13 * $G$13^((A42-$F$13)/12)))</f>
        <v/>
      </c>
      <c r="N42" s="306">
        <f>IF(A42&lt;$F$14, 0, IF(AND($B$21=1, A42&gt;$B$19), 0, $E$14 * $G$14^((A42-$F$14)/12)))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(INDEX('26. Team Comp'!$D$28:$R$28, B43) * 0.001 / 12)*1.6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IF(A43&lt;$F$11, 0, IF(AND($B$21=1, A43&gt;$B$19), 0, $E$11 * $G$11^((A43-$F$11)/12)))</f>
        <v/>
      </c>
      <c r="L43" s="306">
        <f>IF(A43&lt;$F$12, 0, IF(AND($B$21=1, A43&gt;$B$19), 0, $E$12 * $G$12^((A43-$F$12)/12)))</f>
        <v/>
      </c>
      <c r="M43" s="306">
        <f>IF(A43&lt;$F$13, 0, IF(AND($B$21=1, A43&gt;$B$19), 0, $E$13 * $G$13^((A43-$F$13)/12)))</f>
        <v/>
      </c>
      <c r="N43" s="306">
        <f>IF(A43&lt;$F$14, 0, IF(AND($B$21=1, A43&gt;$B$19), 0, $E$14 * $G$14^((A43-$F$14)/12)))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(INDEX('26. Team Comp'!$D$28:$R$28, B44) * 0.001 / 12)*1.6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IF(A44&lt;$F$11, 0, IF(AND($B$21=1, A44&gt;$B$19), 0, $E$11 * $G$11^((A44-$F$11)/12)))</f>
        <v/>
      </c>
      <c r="L44" s="306">
        <f>IF(A44&lt;$F$12, 0, IF(AND($B$21=1, A44&gt;$B$19), 0, $E$12 * $G$12^((A44-$F$12)/12)))</f>
        <v/>
      </c>
      <c r="M44" s="306">
        <f>IF(A44&lt;$F$13, 0, IF(AND($B$21=1, A44&gt;$B$19), 0, $E$13 * $G$13^((A44-$F$13)/12)))</f>
        <v/>
      </c>
      <c r="N44" s="306">
        <f>IF(A44&lt;$F$14, 0, IF(AND($B$21=1, A44&gt;$B$19), 0, $E$14 * $G$14^((A44-$F$14)/12)))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(INDEX('26. Team Comp'!$D$28:$R$28, B45) * 0.001 / 12)*1.6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IF(A45&lt;$F$11, 0, IF(AND($B$21=1, A45&gt;$B$19), 0, $E$11 * $G$11^((A45-$F$11)/12)))</f>
        <v/>
      </c>
      <c r="L45" s="306">
        <f>IF(A45&lt;$F$12, 0, IF(AND($B$21=1, A45&gt;$B$19), 0, $E$12 * $G$12^((A45-$F$12)/12)))</f>
        <v/>
      </c>
      <c r="M45" s="306">
        <f>IF(A45&lt;$F$13, 0, IF(AND($B$21=1, A45&gt;$B$19), 0, $E$13 * $G$13^((A45-$F$13)/12)))</f>
        <v/>
      </c>
      <c r="N45" s="306">
        <f>IF(A45&lt;$F$14, 0, IF(AND($B$21=1, A45&gt;$B$19), 0, $E$14 * $G$14^((A45-$F$14)/12)))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(INDEX('26. Team Comp'!$D$28:$R$28, B46) * 0.001 / 12)*1.6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IF(A46&lt;$F$11, 0, IF(AND($B$21=1, A46&gt;$B$19), 0, $E$11 * $G$11^((A46-$F$11)/12)))</f>
        <v/>
      </c>
      <c r="L46" s="306">
        <f>IF(A46&lt;$F$12, 0, IF(AND($B$21=1, A46&gt;$B$19), 0, $E$12 * $G$12^((A46-$F$12)/12)))</f>
        <v/>
      </c>
      <c r="M46" s="306">
        <f>IF(A46&lt;$F$13, 0, IF(AND($B$21=1, A46&gt;$B$19), 0, $E$13 * $G$13^((A46-$F$13)/12)))</f>
        <v/>
      </c>
      <c r="N46" s="306">
        <f>IF(A46&lt;$F$14, 0, IF(AND($B$21=1, A46&gt;$B$19), 0, $E$14 * $G$14^((A46-$F$14)/12)))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(INDEX('26. Team Comp'!$D$28:$R$28, B47) * 0.001 / 12)*1.6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IF(A47&lt;$F$11, 0, IF(AND($B$21=1, A47&gt;$B$19), 0, $E$11 * $G$11^((A47-$F$11)/12)))</f>
        <v/>
      </c>
      <c r="L47" s="306">
        <f>IF(A47&lt;$F$12, 0, IF(AND($B$21=1, A47&gt;$B$19), 0, $E$12 * $G$12^((A47-$F$12)/12)))</f>
        <v/>
      </c>
      <c r="M47" s="306">
        <f>IF(A47&lt;$F$13, 0, IF(AND($B$21=1, A47&gt;$B$19), 0, $E$13 * $G$13^((A47-$F$13)/12)))</f>
        <v/>
      </c>
      <c r="N47" s="306">
        <f>IF(A47&lt;$F$14, 0, IF(AND($B$21=1, A47&gt;$B$19), 0, $E$14 * $G$14^((A47-$F$14)/12)))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(INDEX('26. Team Comp'!$D$28:$R$28, B48) * 0.001 / 12)*1.6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IF(A48&lt;$F$11, 0, IF(AND($B$21=1, A48&gt;$B$19), 0, $E$11 * $G$11^((A48-$F$11)/12)))</f>
        <v/>
      </c>
      <c r="L48" s="306">
        <f>IF(A48&lt;$F$12, 0, IF(AND($B$21=1, A48&gt;$B$19), 0, $E$12 * $G$12^((A48-$F$12)/12)))</f>
        <v/>
      </c>
      <c r="M48" s="306">
        <f>IF(A48&lt;$F$13, 0, IF(AND($B$21=1, A48&gt;$B$19), 0, $E$13 * $G$13^((A48-$F$13)/12)))</f>
        <v/>
      </c>
      <c r="N48" s="306">
        <f>IF(A48&lt;$F$14, 0, IF(AND($B$21=1, A48&gt;$B$19), 0, $E$14 * $G$14^((A48-$F$14)/12)))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(INDEX('26. Team Comp'!$D$28:$R$28, B49) * 0.001 / 12)*1.6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IF(A49&lt;$F$11, 0, IF(AND($B$21=1, A49&gt;$B$19), 0, $E$11 * $G$11^((A49-$F$11)/12)))</f>
        <v/>
      </c>
      <c r="L49" s="306">
        <f>IF(A49&lt;$F$12, 0, IF(AND($B$21=1, A49&gt;$B$19), 0, $E$12 * $G$12^((A49-$F$12)/12)))</f>
        <v/>
      </c>
      <c r="M49" s="306">
        <f>IF(A49&lt;$F$13, 0, IF(AND($B$21=1, A49&gt;$B$19), 0, $E$13 * $G$13^((A49-$F$13)/12)))</f>
        <v/>
      </c>
      <c r="N49" s="306">
        <f>IF(A49&lt;$F$14, 0, IF(AND($B$21=1, A49&gt;$B$19), 0, $E$14 * $G$14^((A49-$F$14)/12)))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(INDEX('26. Team Comp'!$D$28:$R$28, B50) * 0.001 / 12)*1.6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IF(A50&lt;$F$11, 0, IF(AND($B$21=1, A50&gt;$B$19), 0, $E$11 * $G$11^((A50-$F$11)/12)))</f>
        <v/>
      </c>
      <c r="L50" s="306">
        <f>IF(A50&lt;$F$12, 0, IF(AND($B$21=1, A50&gt;$B$19), 0, $E$12 * $G$12^((A50-$F$12)/12)))</f>
        <v/>
      </c>
      <c r="M50" s="306">
        <f>IF(A50&lt;$F$13, 0, IF(AND($B$21=1, A50&gt;$B$19), 0, $E$13 * $G$13^((A50-$F$13)/12)))</f>
        <v/>
      </c>
      <c r="N50" s="306">
        <f>IF(A50&lt;$F$14, 0, IF(AND($B$21=1, A50&gt;$B$19), 0, $E$14 * $G$14^((A50-$F$14)/12)))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(INDEX('26. Team Comp'!$D$28:$R$28, B51) * 0.001 / 12)*1.6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IF(A51&lt;$F$11, 0, IF(AND($B$21=1, A51&gt;$B$19), 0, $E$11 * $G$11^((A51-$F$11)/12)))</f>
        <v/>
      </c>
      <c r="L51" s="306">
        <f>IF(A51&lt;$F$12, 0, IF(AND($B$21=1, A51&gt;$B$19), 0, $E$12 * $G$12^((A51-$F$12)/12)))</f>
        <v/>
      </c>
      <c r="M51" s="306">
        <f>IF(A51&lt;$F$13, 0, IF(AND($B$21=1, A51&gt;$B$19), 0, $E$13 * $G$13^((A51-$F$13)/12)))</f>
        <v/>
      </c>
      <c r="N51" s="306">
        <f>IF(A51&lt;$F$14, 0, IF(AND($B$21=1, A51&gt;$B$19), 0, $E$14 * $G$14^((A51-$F$14)/12)))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(INDEX('26. Team Comp'!$D$28:$R$28, B52) * 0.001 / 12)*1.6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IF(A52&lt;$F$11, 0, IF(AND($B$21=1, A52&gt;$B$19), 0, $E$11 * $G$11^((A52-$F$11)/12)))</f>
        <v/>
      </c>
      <c r="L52" s="306">
        <f>IF(A52&lt;$F$12, 0, IF(AND($B$21=1, A52&gt;$B$19), 0, $E$12 * $G$12^((A52-$F$12)/12)))</f>
        <v/>
      </c>
      <c r="M52" s="306">
        <f>IF(A52&lt;$F$13, 0, IF(AND($B$21=1, A52&gt;$B$19), 0, $E$13 * $G$13^((A52-$F$13)/12)))</f>
        <v/>
      </c>
      <c r="N52" s="306">
        <f>IF(A52&lt;$F$14, 0, IF(AND($B$21=1, A52&gt;$B$19), 0, $E$14 * $G$14^((A52-$F$14)/12)))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(INDEX('26. Team Comp'!$D$28:$R$28, B53) * 0.001 / 12)*1.6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IF(A53&lt;$F$11, 0, IF(AND($B$21=1, A53&gt;$B$19), 0, $E$11 * $G$11^((A53-$F$11)/12)))</f>
        <v/>
      </c>
      <c r="L53" s="306">
        <f>IF(A53&lt;$F$12, 0, IF(AND($B$21=1, A53&gt;$B$19), 0, $E$12 * $G$12^((A53-$F$12)/12)))</f>
        <v/>
      </c>
      <c r="M53" s="306">
        <f>IF(A53&lt;$F$13, 0, IF(AND($B$21=1, A53&gt;$B$19), 0, $E$13 * $G$13^((A53-$F$13)/12)))</f>
        <v/>
      </c>
      <c r="N53" s="306">
        <f>IF(A53&lt;$F$14, 0, IF(AND($B$21=1, A53&gt;$B$19), 0, $E$14 * $G$14^((A53-$F$14)/12)))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(INDEX('26. Team Comp'!$D$28:$R$28, B54) * 0.001 / 12)*1.6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IF(A54&lt;$F$11, 0, IF(AND($B$21=1, A54&gt;$B$19), 0, $E$11 * $G$11^((A54-$F$11)/12)))</f>
        <v/>
      </c>
      <c r="L54" s="306">
        <f>IF(A54&lt;$F$12, 0, IF(AND($B$21=1, A54&gt;$B$19), 0, $E$12 * $G$12^((A54-$F$12)/12)))</f>
        <v/>
      </c>
      <c r="M54" s="306">
        <f>IF(A54&lt;$F$13, 0, IF(AND($B$21=1, A54&gt;$B$19), 0, $E$13 * $G$13^((A54-$F$13)/12)))</f>
        <v/>
      </c>
      <c r="N54" s="306">
        <f>IF(A54&lt;$F$14, 0, IF(AND($B$21=1, A54&gt;$B$19), 0, $E$14 * $G$14^((A54-$F$14)/12)))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(INDEX('26. Team Comp'!$D$28:$R$28, B55) * 0.001 / 12)*1.6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IF(A55&lt;$F$11, 0, IF(AND($B$21=1, A55&gt;$B$19), 0, $E$11 * $G$11^((A55-$F$11)/12)))</f>
        <v/>
      </c>
      <c r="L55" s="306">
        <f>IF(A55&lt;$F$12, 0, IF(AND($B$21=1, A55&gt;$B$19), 0, $E$12 * $G$12^((A55-$F$12)/12)))</f>
        <v/>
      </c>
      <c r="M55" s="306">
        <f>IF(A55&lt;$F$13, 0, IF(AND($B$21=1, A55&gt;$B$19), 0, $E$13 * $G$13^((A55-$F$13)/12)))</f>
        <v/>
      </c>
      <c r="N55" s="306">
        <f>IF(A55&lt;$F$14, 0, IF(AND($B$21=1, A55&gt;$B$19), 0, $E$14 * $G$14^((A55-$F$14)/12)))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(INDEX('26. Team Comp'!$D$28:$R$28, B56) * 0.001 / 12)*1.6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IF(A56&lt;$F$11, 0, IF(AND($B$21=1, A56&gt;$B$19), 0, $E$11 * $G$11^((A56-$F$11)/12)))</f>
        <v/>
      </c>
      <c r="L56" s="306">
        <f>IF(A56&lt;$F$12, 0, IF(AND($B$21=1, A56&gt;$B$19), 0, $E$12 * $G$12^((A56-$F$12)/12)))</f>
        <v/>
      </c>
      <c r="M56" s="306">
        <f>IF(A56&lt;$F$13, 0, IF(AND($B$21=1, A56&gt;$B$19), 0, $E$13 * $G$13^((A56-$F$13)/12)))</f>
        <v/>
      </c>
      <c r="N56" s="306">
        <f>IF(A56&lt;$F$14, 0, IF(AND($B$21=1, A56&gt;$B$19), 0, $E$14 * $G$14^((A56-$F$14)/12)))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(INDEX('26. Team Comp'!$D$28:$R$28, B57) * 0.001 / 12)*1.6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IF(A57&lt;$F$11, 0, IF(AND($B$21=1, A57&gt;$B$19), 0, $E$11 * $G$11^((A57-$F$11)/12)))</f>
        <v/>
      </c>
      <c r="L57" s="306">
        <f>IF(A57&lt;$F$12, 0, IF(AND($B$21=1, A57&gt;$B$19), 0, $E$12 * $G$12^((A57-$F$12)/12)))</f>
        <v/>
      </c>
      <c r="M57" s="306">
        <f>IF(A57&lt;$F$13, 0, IF(AND($B$21=1, A57&gt;$B$19), 0, $E$13 * $G$13^((A57-$F$13)/12)))</f>
        <v/>
      </c>
      <c r="N57" s="306">
        <f>IF(A57&lt;$F$14, 0, IF(AND($B$21=1, A57&gt;$B$19), 0, $E$14 * $G$14^((A57-$F$14)/12)))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(INDEX('26. Team Comp'!$D$28:$R$28, B58) * 0.001 / 12)*1.6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IF(A58&lt;$F$11, 0, IF(AND($B$21=1, A58&gt;$B$19), 0, $E$11 * $G$11^((A58-$F$11)/12)))</f>
        <v/>
      </c>
      <c r="L58" s="306">
        <f>IF(A58&lt;$F$12, 0, IF(AND($B$21=1, A58&gt;$B$19), 0, $E$12 * $G$12^((A58-$F$12)/12)))</f>
        <v/>
      </c>
      <c r="M58" s="306">
        <f>IF(A58&lt;$F$13, 0, IF(AND($B$21=1, A58&gt;$B$19), 0, $E$13 * $G$13^((A58-$F$13)/12)))</f>
        <v/>
      </c>
      <c r="N58" s="306">
        <f>IF(A58&lt;$F$14, 0, IF(AND($B$21=1, A58&gt;$B$19), 0, $E$14 * $G$14^((A58-$F$14)/12)))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(INDEX('26. Team Comp'!$D$28:$R$28, B59) * 0.001 / 12)*1.6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IF(A59&lt;$F$11, 0, IF(AND($B$21=1, A59&gt;$B$19), 0, $E$11 * $G$11^((A59-$F$11)/12)))</f>
        <v/>
      </c>
      <c r="L59" s="306">
        <f>IF(A59&lt;$F$12, 0, IF(AND($B$21=1, A59&gt;$B$19), 0, $E$12 * $G$12^((A59-$F$12)/12)))</f>
        <v/>
      </c>
      <c r="M59" s="306">
        <f>IF(A59&lt;$F$13, 0, IF(AND($B$21=1, A59&gt;$B$19), 0, $E$13 * $G$13^((A59-$F$13)/12)))</f>
        <v/>
      </c>
      <c r="N59" s="306">
        <f>IF(A59&lt;$F$14, 0, IF(AND($B$21=1, A59&gt;$B$19), 0, $E$14 * $G$14^((A59-$F$14)/12)))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(INDEX('26. Team Comp'!$D$28:$R$28, B60) * 0.001 / 12)*1.6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IF(A60&lt;$F$11, 0, IF(AND($B$21=1, A60&gt;$B$19), 0, $E$11 * $G$11^((A60-$F$11)/12)))</f>
        <v/>
      </c>
      <c r="L60" s="306">
        <f>IF(A60&lt;$F$12, 0, IF(AND($B$21=1, A60&gt;$B$19), 0, $E$12 * $G$12^((A60-$F$12)/12)))</f>
        <v/>
      </c>
      <c r="M60" s="306">
        <f>IF(A60&lt;$F$13, 0, IF(AND($B$21=1, A60&gt;$B$19), 0, $E$13 * $G$13^((A60-$F$13)/12)))</f>
        <v/>
      </c>
      <c r="N60" s="306">
        <f>IF(A60&lt;$F$14, 0, IF(AND($B$21=1, A60&gt;$B$19), 0, $E$14 * $G$14^((A60-$F$14)/12)))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(INDEX('26. Team Comp'!$D$28:$R$28, B61) * 0.001 / 12)*1.6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IF(A61&lt;$F$11, 0, IF(AND($B$21=1, A61&gt;$B$19), 0, $E$11 * $G$11^((A61-$F$11)/12)))</f>
        <v/>
      </c>
      <c r="L61" s="306">
        <f>IF(A61&lt;$F$12, 0, IF(AND($B$21=1, A61&gt;$B$19), 0, $E$12 * $G$12^((A61-$F$12)/12)))</f>
        <v/>
      </c>
      <c r="M61" s="306">
        <f>IF(A61&lt;$F$13, 0, IF(AND($B$21=1, A61&gt;$B$19), 0, $E$13 * $G$13^((A61-$F$13)/12)))</f>
        <v/>
      </c>
      <c r="N61" s="306">
        <f>IF(A61&lt;$F$14, 0, IF(AND($B$21=1, A61&gt;$B$19), 0, $E$14 * $G$14^((A61-$F$14)/12)))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(INDEX('26. Team Comp'!$D$28:$R$28, B62) * 0.001 / 12)*1.6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IF(A62&lt;$F$11, 0, IF(AND($B$21=1, A62&gt;$B$19), 0, $E$11 * $G$11^((A62-$F$11)/12)))</f>
        <v/>
      </c>
      <c r="L62" s="306">
        <f>IF(A62&lt;$F$12, 0, IF(AND($B$21=1, A62&gt;$B$19), 0, $E$12 * $G$12^((A62-$F$12)/12)))</f>
        <v/>
      </c>
      <c r="M62" s="306">
        <f>IF(A62&lt;$F$13, 0, IF(AND($B$21=1, A62&gt;$B$19), 0, $E$13 * $G$13^((A62-$F$13)/12)))</f>
        <v/>
      </c>
      <c r="N62" s="306">
        <f>IF(A62&lt;$F$14, 0, IF(AND($B$21=1, A62&gt;$B$19), 0, $E$14 * $G$14^((A62-$F$14)/12)))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(INDEX('26. Team Comp'!$D$28:$R$28, B63) * 0.001 / 12)*1.6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IF(A63&lt;$F$11, 0, IF(AND($B$21=1, A63&gt;$B$19), 0, $E$11 * $G$11^((A63-$F$11)/12)))</f>
        <v/>
      </c>
      <c r="L63" s="306">
        <f>IF(A63&lt;$F$12, 0, IF(AND($B$21=1, A63&gt;$B$19), 0, $E$12 * $G$12^((A63-$F$12)/12)))</f>
        <v/>
      </c>
      <c r="M63" s="306">
        <f>IF(A63&lt;$F$13, 0, IF(AND($B$21=1, A63&gt;$B$19), 0, $E$13 * $G$13^((A63-$F$13)/12)))</f>
        <v/>
      </c>
      <c r="N63" s="306">
        <f>IF(A63&lt;$F$14, 0, IF(AND($B$21=1, A63&gt;$B$19), 0, $E$14 * $G$14^((A63-$F$14)/12)))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(INDEX('26. Team Comp'!$D$28:$R$28, B64) * 0.001 / 12)*1.6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IF(A64&lt;$F$11, 0, IF(AND($B$21=1, A64&gt;$B$19), 0, $E$11 * $G$11^((A64-$F$11)/12)))</f>
        <v/>
      </c>
      <c r="L64" s="306">
        <f>IF(A64&lt;$F$12, 0, IF(AND($B$21=1, A64&gt;$B$19), 0, $E$12 * $G$12^((A64-$F$12)/12)))</f>
        <v/>
      </c>
      <c r="M64" s="306">
        <f>IF(A64&lt;$F$13, 0, IF(AND($B$21=1, A64&gt;$B$19), 0, $E$13 * $G$13^((A64-$F$13)/12)))</f>
        <v/>
      </c>
      <c r="N64" s="306">
        <f>IF(A64&lt;$F$14, 0, IF(AND($B$21=1, A64&gt;$B$19), 0, $E$14 * $G$14^((A64-$F$14)/12)))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(INDEX('26. Team Comp'!$D$28:$R$28, B65) * 0.001 / 12)*1.6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IF(A65&lt;$F$11, 0, IF(AND($B$21=1, A65&gt;$B$19), 0, $E$11 * $G$11^((A65-$F$11)/12)))</f>
        <v/>
      </c>
      <c r="L65" s="306">
        <f>IF(A65&lt;$F$12, 0, IF(AND($B$21=1, A65&gt;$B$19), 0, $E$12 * $G$12^((A65-$F$12)/12)))</f>
        <v/>
      </c>
      <c r="M65" s="306">
        <f>IF(A65&lt;$F$13, 0, IF(AND($B$21=1, A65&gt;$B$19), 0, $E$13 * $G$13^((A65-$F$13)/12)))</f>
        <v/>
      </c>
      <c r="N65" s="306">
        <f>IF(A65&lt;$F$14, 0, IF(AND($B$21=1, A65&gt;$B$19), 0, $E$14 * $G$14^((A65-$F$14)/12)))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(INDEX('26. Team Comp'!$D$28:$R$28, B66) * 0.001 / 12)*1.6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IF(A66&lt;$F$11, 0, IF(AND($B$21=1, A66&gt;$B$19), 0, $E$11 * $G$11^((A66-$F$11)/12)))</f>
        <v/>
      </c>
      <c r="L66" s="306">
        <f>IF(A66&lt;$F$12, 0, IF(AND($B$21=1, A66&gt;$B$19), 0, $E$12 * $G$12^((A66-$F$12)/12)))</f>
        <v/>
      </c>
      <c r="M66" s="306">
        <f>IF(A66&lt;$F$13, 0, IF(AND($B$21=1, A66&gt;$B$19), 0, $E$13 * $G$13^((A66-$F$13)/12)))</f>
        <v/>
      </c>
      <c r="N66" s="306">
        <f>IF(A66&lt;$F$14, 0, IF(AND($B$21=1, A66&gt;$B$19), 0, $E$14 * $G$14^((A66-$F$14)/12)))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(INDEX('26. Team Comp'!$D$28:$R$28, B67) * 0.001 / 12)*1.6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IF(A67&lt;$F$11, 0, IF(AND($B$21=1, A67&gt;$B$19), 0, $E$11 * $G$11^((A67-$F$11)/12)))</f>
        <v/>
      </c>
      <c r="L67" s="306">
        <f>IF(A67&lt;$F$12, 0, IF(AND($B$21=1, A67&gt;$B$19), 0, $E$12 * $G$12^((A67-$F$12)/12)))</f>
        <v/>
      </c>
      <c r="M67" s="306">
        <f>IF(A67&lt;$F$13, 0, IF(AND($B$21=1, A67&gt;$B$19), 0, $E$13 * $G$13^((A67-$F$13)/12)))</f>
        <v/>
      </c>
      <c r="N67" s="306">
        <f>IF(A67&lt;$F$14, 0, IF(AND($B$21=1, A67&gt;$B$19), 0, $E$14 * $G$14^((A67-$F$14)/12)))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(INDEX('26. Team Comp'!$D$28:$R$28, B68) * 0.001 / 12)*1.6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IF(A68&lt;$F$11, 0, IF(AND($B$21=1, A68&gt;$B$19), 0, $E$11 * $G$11^((A68-$F$11)/12)))</f>
        <v/>
      </c>
      <c r="L68" s="306">
        <f>IF(A68&lt;$F$12, 0, IF(AND($B$21=1, A68&gt;$B$19), 0, $E$12 * $G$12^((A68-$F$12)/12)))</f>
        <v/>
      </c>
      <c r="M68" s="306">
        <f>IF(A68&lt;$F$13, 0, IF(AND($B$21=1, A68&gt;$B$19), 0, $E$13 * $G$13^((A68-$F$13)/12)))</f>
        <v/>
      </c>
      <c r="N68" s="306">
        <f>IF(A68&lt;$F$14, 0, IF(AND($B$21=1, A68&gt;$B$19), 0, $E$14 * $G$14^((A68-$F$14)/12)))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(INDEX('26. Team Comp'!$D$28:$R$28, B69) * 0.001 / 12)*1.6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IF(A69&lt;$F$11, 0, IF(AND($B$21=1, A69&gt;$B$19), 0, $E$11 * $G$11^((A69-$F$11)/12)))</f>
        <v/>
      </c>
      <c r="L69" s="306">
        <f>IF(A69&lt;$F$12, 0, IF(AND($B$21=1, A69&gt;$B$19), 0, $E$12 * $G$12^((A69-$F$12)/12)))</f>
        <v/>
      </c>
      <c r="M69" s="306">
        <f>IF(A69&lt;$F$13, 0, IF(AND($B$21=1, A69&gt;$B$19), 0, $E$13 * $G$13^((A69-$F$13)/12)))</f>
        <v/>
      </c>
      <c r="N69" s="306">
        <f>IF(A69&lt;$F$14, 0, IF(AND($B$21=1, A69&gt;$B$19), 0, $E$14 * $G$14^((A69-$F$14)/12)))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(INDEX('26. Team Comp'!$D$28:$R$28, B70) * 0.001 / 12)*1.6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IF(A70&lt;$F$11, 0, IF(AND($B$21=1, A70&gt;$B$19), 0, $E$11 * $G$11^((A70-$F$11)/12)))</f>
        <v/>
      </c>
      <c r="L70" s="306">
        <f>IF(A70&lt;$F$12, 0, IF(AND($B$21=1, A70&gt;$B$19), 0, $E$12 * $G$12^((A70-$F$12)/12)))</f>
        <v/>
      </c>
      <c r="M70" s="306">
        <f>IF(A70&lt;$F$13, 0, IF(AND($B$21=1, A70&gt;$B$19), 0, $E$13 * $G$13^((A70-$F$13)/12)))</f>
        <v/>
      </c>
      <c r="N70" s="306">
        <f>IF(A70&lt;$F$14, 0, IF(AND($B$21=1, A70&gt;$B$19), 0, $E$14 * $G$14^((A70-$F$14)/12)))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(INDEX('26. Team Comp'!$D$28:$R$28, B71) * 0.001 / 12)*1.6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IF(A71&lt;$F$11, 0, IF(AND($B$21=1, A71&gt;$B$19), 0, $E$11 * $G$11^((A71-$F$11)/12)))</f>
        <v/>
      </c>
      <c r="L71" s="306">
        <f>IF(A71&lt;$F$12, 0, IF(AND($B$21=1, A71&gt;$B$19), 0, $E$12 * $G$12^((A71-$F$12)/12)))</f>
        <v/>
      </c>
      <c r="M71" s="306">
        <f>IF(A71&lt;$F$13, 0, IF(AND($B$21=1, A71&gt;$B$19), 0, $E$13 * $G$13^((A71-$F$13)/12)))</f>
        <v/>
      </c>
      <c r="N71" s="306">
        <f>IF(A71&lt;$F$14, 0, IF(AND($B$21=1, A71&gt;$B$19), 0, $E$14 * $G$14^((A71-$F$14)/12)))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(INDEX('26. Team Comp'!$D$28:$R$28, B72) * 0.001 / 12)*1.6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IF(A72&lt;$F$11, 0, IF(AND($B$21=1, A72&gt;$B$19), 0, $E$11 * $G$11^((A72-$F$11)/12)))</f>
        <v/>
      </c>
      <c r="L72" s="306">
        <f>IF(A72&lt;$F$12, 0, IF(AND($B$21=1, A72&gt;$B$19), 0, $E$12 * $G$12^((A72-$F$12)/12)))</f>
        <v/>
      </c>
      <c r="M72" s="306">
        <f>IF(A72&lt;$F$13, 0, IF(AND($B$21=1, A72&gt;$B$19), 0, $E$13 * $G$13^((A72-$F$13)/12)))</f>
        <v/>
      </c>
      <c r="N72" s="306">
        <f>IF(A72&lt;$F$14, 0, IF(AND($B$21=1, A72&gt;$B$19), 0, $E$14 * $G$14^((A72-$F$14)/12)))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(INDEX('26. Team Comp'!$D$28:$R$28, B73) * 0.001 / 12)*1.6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IF(A73&lt;$F$11, 0, IF(AND($B$21=1, A73&gt;$B$19), 0, $E$11 * $G$11^((A73-$F$11)/12)))</f>
        <v/>
      </c>
      <c r="L73" s="306">
        <f>IF(A73&lt;$F$12, 0, IF(AND($B$21=1, A73&gt;$B$19), 0, $E$12 * $G$12^((A73-$F$12)/12)))</f>
        <v/>
      </c>
      <c r="M73" s="306">
        <f>IF(A73&lt;$F$13, 0, IF(AND($B$21=1, A73&gt;$B$19), 0, $E$13 * $G$13^((A73-$F$13)/12)))</f>
        <v/>
      </c>
      <c r="N73" s="306">
        <f>IF(A73&lt;$F$14, 0, IF(AND($B$21=1, A73&gt;$B$19), 0, $E$14 * $G$14^((A73-$F$14)/12)))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(INDEX('26. Team Comp'!$D$28:$R$28, B74) * 0.001 / 12)*1.6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IF(A74&lt;$F$11, 0, IF(AND($B$21=1, A74&gt;$B$19), 0, $E$11 * $G$11^((A74-$F$11)/12)))</f>
        <v/>
      </c>
      <c r="L74" s="306">
        <f>IF(A74&lt;$F$12, 0, IF(AND($B$21=1, A74&gt;$B$19), 0, $E$12 * $G$12^((A74-$F$12)/12)))</f>
        <v/>
      </c>
      <c r="M74" s="306">
        <f>IF(A74&lt;$F$13, 0, IF(AND($B$21=1, A74&gt;$B$19), 0, $E$13 * $G$13^((A74-$F$13)/12)))</f>
        <v/>
      </c>
      <c r="N74" s="306">
        <f>IF(A74&lt;$F$14, 0, IF(AND($B$21=1, A74&gt;$B$19), 0, $E$14 * $G$14^((A74-$F$14)/12)))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(INDEX('26. Team Comp'!$D$28:$R$28, B75) * 0.001 / 12)*1.6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IF(A75&lt;$F$11, 0, IF(AND($B$21=1, A75&gt;$B$19), 0, $E$11 * $G$11^((A75-$F$11)/12)))</f>
        <v/>
      </c>
      <c r="L75" s="306">
        <f>IF(A75&lt;$F$12, 0, IF(AND($B$21=1, A75&gt;$B$19), 0, $E$12 * $G$12^((A75-$F$12)/12)))</f>
        <v/>
      </c>
      <c r="M75" s="306">
        <f>IF(A75&lt;$F$13, 0, IF(AND($B$21=1, A75&gt;$B$19), 0, $E$13 * $G$13^((A75-$F$13)/12)))</f>
        <v/>
      </c>
      <c r="N75" s="306">
        <f>IF(A75&lt;$F$14, 0, IF(AND($B$21=1, A75&gt;$B$19), 0, $E$14 * $G$14^((A75-$F$14)/12)))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(INDEX('26. Team Comp'!$D$28:$R$28, B76) * 0.001 / 12)*1.6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IF(A76&lt;$F$11, 0, IF(AND($B$21=1, A76&gt;$B$19), 0, $E$11 * $G$11^((A76-$F$11)/12)))</f>
        <v/>
      </c>
      <c r="L76" s="306">
        <f>IF(A76&lt;$F$12, 0, IF(AND($B$21=1, A76&gt;$B$19), 0, $E$12 * $G$12^((A76-$F$12)/12)))</f>
        <v/>
      </c>
      <c r="M76" s="306">
        <f>IF(A76&lt;$F$13, 0, IF(AND($B$21=1, A76&gt;$B$19), 0, $E$13 * $G$13^((A76-$F$13)/12)))</f>
        <v/>
      </c>
      <c r="N76" s="306">
        <f>IF(A76&lt;$F$14, 0, IF(AND($B$21=1, A76&gt;$B$19), 0, $E$14 * $G$14^((A76-$F$14)/12)))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(INDEX('26. Team Comp'!$D$28:$R$28, B77) * 0.001 / 12)*1.6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IF(A77&lt;$F$11, 0, IF(AND($B$21=1, A77&gt;$B$19), 0, $E$11 * $G$11^((A77-$F$11)/12)))</f>
        <v/>
      </c>
      <c r="L77" s="306">
        <f>IF(A77&lt;$F$12, 0, IF(AND($B$21=1, A77&gt;$B$19), 0, $E$12 * $G$12^((A77-$F$12)/12)))</f>
        <v/>
      </c>
      <c r="M77" s="306">
        <f>IF(A77&lt;$F$13, 0, IF(AND($B$21=1, A77&gt;$B$19), 0, $E$13 * $G$13^((A77-$F$13)/12)))</f>
        <v/>
      </c>
      <c r="N77" s="306">
        <f>IF(A77&lt;$F$14, 0, IF(AND($B$21=1, A77&gt;$B$19), 0, $E$14 * $G$14^((A77-$F$14)/12)))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(INDEX('26. Team Comp'!$D$28:$R$28, B78) * 0.001 / 12)*1.6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IF(A78&lt;$F$11, 0, IF(AND($B$21=1, A78&gt;$B$19), 0, $E$11 * $G$11^((A78-$F$11)/12)))</f>
        <v/>
      </c>
      <c r="L78" s="306">
        <f>IF(A78&lt;$F$12, 0, IF(AND($B$21=1, A78&gt;$B$19), 0, $E$12 * $G$12^((A78-$F$12)/12)))</f>
        <v/>
      </c>
      <c r="M78" s="306">
        <f>IF(A78&lt;$F$13, 0, IF(AND($B$21=1, A78&gt;$B$19), 0, $E$13 * $G$13^((A78-$F$13)/12)))</f>
        <v/>
      </c>
      <c r="N78" s="306">
        <f>IF(A78&lt;$F$14, 0, IF(AND($B$21=1, A78&gt;$B$19), 0, $E$14 * $G$14^((A78-$F$14)/12)))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(INDEX('26. Team Comp'!$D$28:$R$28, B79) * 0.001 / 12)*1.6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IF(A79&lt;$F$11, 0, IF(AND($B$21=1, A79&gt;$B$19), 0, $E$11 * $G$11^((A79-$F$11)/12)))</f>
        <v/>
      </c>
      <c r="L79" s="306">
        <f>IF(A79&lt;$F$12, 0, IF(AND($B$21=1, A79&gt;$B$19), 0, $E$12 * $G$12^((A79-$F$12)/12)))</f>
        <v/>
      </c>
      <c r="M79" s="306">
        <f>IF(A79&lt;$F$13, 0, IF(AND($B$21=1, A79&gt;$B$19), 0, $E$13 * $G$13^((A79-$F$13)/12)))</f>
        <v/>
      </c>
      <c r="N79" s="306">
        <f>IF(A79&lt;$F$14, 0, IF(AND($B$21=1, A79&gt;$B$19), 0, $E$14 * $G$14^((A79-$F$14)/12)))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(INDEX('26. Team Comp'!$D$28:$R$28, B80) * 0.001 / 12)*1.6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IF(A80&lt;$F$11, 0, IF(AND($B$21=1, A80&gt;$B$19), 0, $E$11 * $G$11^((A80-$F$11)/12)))</f>
        <v/>
      </c>
      <c r="L80" s="306">
        <f>IF(A80&lt;$F$12, 0, IF(AND($B$21=1, A80&gt;$B$19), 0, $E$12 * $G$12^((A80-$F$12)/12)))</f>
        <v/>
      </c>
      <c r="M80" s="306">
        <f>IF(A80&lt;$F$13, 0, IF(AND($B$21=1, A80&gt;$B$19), 0, $E$13 * $G$13^((A80-$F$13)/12)))</f>
        <v/>
      </c>
      <c r="N80" s="306">
        <f>IF(A80&lt;$F$14, 0, IF(AND($B$21=1, A80&gt;$B$19), 0, $E$14 * $G$14^((A80-$F$14)/12)))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(INDEX('26. Team Comp'!$D$28:$R$28, B81) * 0.001 / 12)*1.6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IF(A81&lt;$F$11, 0, IF(AND($B$21=1, A81&gt;$B$19), 0, $E$11 * $G$11^((A81-$F$11)/12)))</f>
        <v/>
      </c>
      <c r="L81" s="306">
        <f>IF(A81&lt;$F$12, 0, IF(AND($B$21=1, A81&gt;$B$19), 0, $E$12 * $G$12^((A81-$F$12)/12)))</f>
        <v/>
      </c>
      <c r="M81" s="306">
        <f>IF(A81&lt;$F$13, 0, IF(AND($B$21=1, A81&gt;$B$19), 0, $E$13 * $G$13^((A81-$F$13)/12)))</f>
        <v/>
      </c>
      <c r="N81" s="306">
        <f>IF(A81&lt;$F$14, 0, IF(AND($B$21=1, A81&gt;$B$19), 0, $E$14 * $G$14^((A81-$F$14)/12)))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(INDEX('26. Team Comp'!$D$28:$R$28, B82) * 0.001 / 12)*1.6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IF(A82&lt;$F$11, 0, IF(AND($B$21=1, A82&gt;$B$19), 0, $E$11 * $G$11^((A82-$F$11)/12)))</f>
        <v/>
      </c>
      <c r="L82" s="306">
        <f>IF(A82&lt;$F$12, 0, IF(AND($B$21=1, A82&gt;$B$19), 0, $E$12 * $G$12^((A82-$F$12)/12)))</f>
        <v/>
      </c>
      <c r="M82" s="306">
        <f>IF(A82&lt;$F$13, 0, IF(AND($B$21=1, A82&gt;$B$19), 0, $E$13 * $G$13^((A82-$F$13)/12)))</f>
        <v/>
      </c>
      <c r="N82" s="306">
        <f>IF(A82&lt;$F$14, 0, IF(AND($B$21=1, A82&gt;$B$19), 0, $E$14 * $G$14^((A82-$F$14)/12)))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(INDEX('26. Team Comp'!$D$28:$R$28, B83) * 0.001 / 12)*1.6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IF(A83&lt;$F$11, 0, IF(AND($B$21=1, A83&gt;$B$19), 0, $E$11 * $G$11^((A83-$F$11)/12)))</f>
        <v/>
      </c>
      <c r="L83" s="306">
        <f>IF(A83&lt;$F$12, 0, IF(AND($B$21=1, A83&gt;$B$19), 0, $E$12 * $G$12^((A83-$F$12)/12)))</f>
        <v/>
      </c>
      <c r="M83" s="306">
        <f>IF(A83&lt;$F$13, 0, IF(AND($B$21=1, A83&gt;$B$19), 0, $E$13 * $G$13^((A83-$F$13)/12)))</f>
        <v/>
      </c>
      <c r="N83" s="306">
        <f>IF(A83&lt;$F$14, 0, IF(AND($B$21=1, A83&gt;$B$19), 0, $E$14 * $G$14^((A83-$F$14)/12)))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(INDEX('26. Team Comp'!$D$28:$R$28, B84) * 0.001 / 12)*1.6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IF(A84&lt;$F$11, 0, IF(AND($B$21=1, A84&gt;$B$19), 0, $E$11 * $G$11^((A84-$F$11)/12)))</f>
        <v/>
      </c>
      <c r="L84" s="306">
        <f>IF(A84&lt;$F$12, 0, IF(AND($B$21=1, A84&gt;$B$19), 0, $E$12 * $G$12^((A84-$F$12)/12)))</f>
        <v/>
      </c>
      <c r="M84" s="306">
        <f>IF(A84&lt;$F$13, 0, IF(AND($B$21=1, A84&gt;$B$19), 0, $E$13 * $G$13^((A84-$F$13)/12)))</f>
        <v/>
      </c>
      <c r="N84" s="306">
        <f>IF(A84&lt;$F$14, 0, IF(AND($B$21=1, A84&gt;$B$19), 0, $E$14 * $G$14^((A84-$F$14)/12)))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(INDEX('26. Team Comp'!$D$28:$R$28, B85) * 0.001 / 12)*1.6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IF(A85&lt;$F$11, 0, IF(AND($B$21=1, A85&gt;$B$19), 0, $E$11 * $G$11^((A85-$F$11)/12)))</f>
        <v/>
      </c>
      <c r="L85" s="306">
        <f>IF(A85&lt;$F$12, 0, IF(AND($B$21=1, A85&gt;$B$19), 0, $E$12 * $G$12^((A85-$F$12)/12)))</f>
        <v/>
      </c>
      <c r="M85" s="306">
        <f>IF(A85&lt;$F$13, 0, IF(AND($B$21=1, A85&gt;$B$19), 0, $E$13 * $G$13^((A85-$F$13)/12)))</f>
        <v/>
      </c>
      <c r="N85" s="306">
        <f>IF(A85&lt;$F$14, 0, IF(AND($B$21=1, A85&gt;$B$19), 0, $E$14 * $G$14^((A85-$F$14)/12)))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(INDEX('26. Team Comp'!$D$28:$R$28, B86) * 0.001 / 12)*1.6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IF(A86&lt;$F$11, 0, IF(AND($B$21=1, A86&gt;$B$19), 0, $E$11 * $G$11^((A86-$F$11)/12)))</f>
        <v/>
      </c>
      <c r="L86" s="306">
        <f>IF(A86&lt;$F$12, 0, IF(AND($B$21=1, A86&gt;$B$19), 0, $E$12 * $G$12^((A86-$F$12)/12)))</f>
        <v/>
      </c>
      <c r="M86" s="306">
        <f>IF(A86&lt;$F$13, 0, IF(AND($B$21=1, A86&gt;$B$19), 0, $E$13 * $G$13^((A86-$F$13)/12)))</f>
        <v/>
      </c>
      <c r="N86" s="306">
        <f>IF(A86&lt;$F$14, 0, IF(AND($B$21=1, A86&gt;$B$19), 0, $E$14 * $G$14^((A86-$F$14)/12)))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(INDEX('26. Team Comp'!$D$28:$R$28, B87) * 0.001 / 12)*1.6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IF(A87&lt;$F$11, 0, IF(AND($B$21=1, A87&gt;$B$19), 0, $E$11 * $G$11^((A87-$F$11)/12)))</f>
        <v/>
      </c>
      <c r="L87" s="306">
        <f>IF(A87&lt;$F$12, 0, IF(AND($B$21=1, A87&gt;$B$19), 0, $E$12 * $G$12^((A87-$F$12)/12)))</f>
        <v/>
      </c>
      <c r="M87" s="306">
        <f>IF(A87&lt;$F$13, 0, IF(AND($B$21=1, A87&gt;$B$19), 0, $E$13 * $G$13^((A87-$F$13)/12)))</f>
        <v/>
      </c>
      <c r="N87" s="306">
        <f>IF(A87&lt;$F$14, 0, IF(AND($B$21=1, A87&gt;$B$19), 0, $E$14 * $G$14^((A87-$F$14)/12)))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(INDEX('26. Team Comp'!$D$28:$R$28, B88) * 0.001 / 12)*1.6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IF(A88&lt;$F$11, 0, IF(AND($B$21=1, A88&gt;$B$19), 0, $E$11 * $G$11^((A88-$F$11)/12)))</f>
        <v/>
      </c>
      <c r="L88" s="306">
        <f>IF(A88&lt;$F$12, 0, IF(AND($B$21=1, A88&gt;$B$19), 0, $E$12 * $G$12^((A88-$F$12)/12)))</f>
        <v/>
      </c>
      <c r="M88" s="306">
        <f>IF(A88&lt;$F$13, 0, IF(AND($B$21=1, A88&gt;$B$19), 0, $E$13 * $G$13^((A88-$F$13)/12)))</f>
        <v/>
      </c>
      <c r="N88" s="306">
        <f>IF(A88&lt;$F$14, 0, IF(AND($B$21=1, A88&gt;$B$19), 0, $E$14 * $G$14^((A88-$F$14)/12)))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(INDEX('26. Team Comp'!$D$28:$R$28, B89) * 0.001 / 12)*1.6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IF(A89&lt;$F$11, 0, IF(AND($B$21=1, A89&gt;$B$19), 0, $E$11 * $G$11^((A89-$F$11)/12)))</f>
        <v/>
      </c>
      <c r="L89" s="306">
        <f>IF(A89&lt;$F$12, 0, IF(AND($B$21=1, A89&gt;$B$19), 0, $E$12 * $G$12^((A89-$F$12)/12)))</f>
        <v/>
      </c>
      <c r="M89" s="306">
        <f>IF(A89&lt;$F$13, 0, IF(AND($B$21=1, A89&gt;$B$19), 0, $E$13 * $G$13^((A89-$F$13)/12)))</f>
        <v/>
      </c>
      <c r="N89" s="306">
        <f>IF(A89&lt;$F$14, 0, IF(AND($B$21=1, A89&gt;$B$19), 0, $E$14 * $G$14^((A89-$F$14)/12)))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(INDEX('26. Team Comp'!$D$28:$R$28, B90) * 0.001 / 12)*1.6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IF(A90&lt;$F$11, 0, IF(AND($B$21=1, A90&gt;$B$19), 0, $E$11 * $G$11^((A90-$F$11)/12)))</f>
        <v/>
      </c>
      <c r="L90" s="306">
        <f>IF(A90&lt;$F$12, 0, IF(AND($B$21=1, A90&gt;$B$19), 0, $E$12 * $G$12^((A90-$F$12)/12)))</f>
        <v/>
      </c>
      <c r="M90" s="306">
        <f>IF(A90&lt;$F$13, 0, IF(AND($B$21=1, A90&gt;$B$19), 0, $E$13 * $G$13^((A90-$F$13)/12)))</f>
        <v/>
      </c>
      <c r="N90" s="306">
        <f>IF(A90&lt;$F$14, 0, IF(AND($B$21=1, A90&gt;$B$19), 0, $E$14 * $G$14^((A90-$F$14)/12)))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(INDEX('26. Team Comp'!$D$28:$R$28, B91) * 0.001 / 12)*1.6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IF(A91&lt;$F$11, 0, IF(AND($B$21=1, A91&gt;$B$19), 0, $E$11 * $G$11^((A91-$F$11)/12)))</f>
        <v/>
      </c>
      <c r="L91" s="306">
        <f>IF(A91&lt;$F$12, 0, IF(AND($B$21=1, A91&gt;$B$19), 0, $E$12 * $G$12^((A91-$F$12)/12)))</f>
        <v/>
      </c>
      <c r="M91" s="306">
        <f>IF(A91&lt;$F$13, 0, IF(AND($B$21=1, A91&gt;$B$19), 0, $E$13 * $G$13^((A91-$F$13)/12)))</f>
        <v/>
      </c>
      <c r="N91" s="306">
        <f>IF(A91&lt;$F$14, 0, IF(AND($B$21=1, A91&gt;$B$19), 0, $E$14 * $G$14^((A91-$F$14)/12)))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(INDEX('26. Team Comp'!$D$28:$R$28, B92) * 0.001 / 12)*1.6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IF(A92&lt;$F$11, 0, IF(AND($B$21=1, A92&gt;$B$19), 0, $E$11 * $G$11^((A92-$F$11)/12)))</f>
        <v/>
      </c>
      <c r="L92" s="306">
        <f>IF(A92&lt;$F$12, 0, IF(AND($B$21=1, A92&gt;$B$19), 0, $E$12 * $G$12^((A92-$F$12)/12)))</f>
        <v/>
      </c>
      <c r="M92" s="306">
        <f>IF(A92&lt;$F$13, 0, IF(AND($B$21=1, A92&gt;$B$19), 0, $E$13 * $G$13^((A92-$F$13)/12)))</f>
        <v/>
      </c>
      <c r="N92" s="306">
        <f>IF(A92&lt;$F$14, 0, IF(AND($B$21=1, A92&gt;$B$19), 0, $E$14 * $G$14^((A92-$F$14)/12)))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(INDEX('26. Team Comp'!$D$28:$R$28, B93) * 0.001 / 12)*1.6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IF(A93&lt;$F$11, 0, IF(AND($B$21=1, A93&gt;$B$19), 0, $E$11 * $G$11^((A93-$F$11)/12)))</f>
        <v/>
      </c>
      <c r="L93" s="306">
        <f>IF(A93&lt;$F$12, 0, IF(AND($B$21=1, A93&gt;$B$19), 0, $E$12 * $G$12^((A93-$F$12)/12)))</f>
        <v/>
      </c>
      <c r="M93" s="306">
        <f>IF(A93&lt;$F$13, 0, IF(AND($B$21=1, A93&gt;$B$19), 0, $E$13 * $G$13^((A93-$F$13)/12)))</f>
        <v/>
      </c>
      <c r="N93" s="306">
        <f>IF(A93&lt;$F$14, 0, IF(AND($B$21=1, A93&gt;$B$19), 0, $E$14 * $G$14^((A93-$F$14)/12)))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(INDEX('26. Team Comp'!$D$28:$R$28, B94) * 0.001 / 12)*1.6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IF(A94&lt;$F$11, 0, IF(AND($B$21=1, A94&gt;$B$19), 0, $E$11 * $G$11^((A94-$F$11)/12)))</f>
        <v/>
      </c>
      <c r="L94" s="306">
        <f>IF(A94&lt;$F$12, 0, IF(AND($B$21=1, A94&gt;$B$19), 0, $E$12 * $G$12^((A94-$F$12)/12)))</f>
        <v/>
      </c>
      <c r="M94" s="306">
        <f>IF(A94&lt;$F$13, 0, IF(AND($B$21=1, A94&gt;$B$19), 0, $E$13 * $G$13^((A94-$F$13)/12)))</f>
        <v/>
      </c>
      <c r="N94" s="306">
        <f>IF(A94&lt;$F$14, 0, IF(AND($B$21=1, A94&gt;$B$19), 0, $E$14 * $G$14^((A94-$F$14)/12)))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(INDEX('26. Team Comp'!$D$28:$R$28, B95) * 0.001 / 12)*1.6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IF(A95&lt;$F$11, 0, IF(AND($B$21=1, A95&gt;$B$19), 0, $E$11 * $G$11^((A95-$F$11)/12)))</f>
        <v/>
      </c>
      <c r="L95" s="306">
        <f>IF(A95&lt;$F$12, 0, IF(AND($B$21=1, A95&gt;$B$19), 0, $E$12 * $G$12^((A95-$F$12)/12)))</f>
        <v/>
      </c>
      <c r="M95" s="306">
        <f>IF(A95&lt;$F$13, 0, IF(AND($B$21=1, A95&gt;$B$19), 0, $E$13 * $G$13^((A95-$F$13)/12)))</f>
        <v/>
      </c>
      <c r="N95" s="306">
        <f>IF(A95&lt;$F$14, 0, IF(AND($B$21=1, A95&gt;$B$19), 0, $E$14 * $G$14^((A95-$F$14)/12)))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(INDEX('26. Team Comp'!$D$28:$R$28, B96) * 0.001 / 12)*1.6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IF(A96&lt;$F$11, 0, IF(AND($B$21=1, A96&gt;$B$19), 0, $E$11 * $G$11^((A96-$F$11)/12)))</f>
        <v/>
      </c>
      <c r="L96" s="306">
        <f>IF(A96&lt;$F$12, 0, IF(AND($B$21=1, A96&gt;$B$19), 0, $E$12 * $G$12^((A96-$F$12)/12)))</f>
        <v/>
      </c>
      <c r="M96" s="306">
        <f>IF(A96&lt;$F$13, 0, IF(AND($B$21=1, A96&gt;$B$19), 0, $E$13 * $G$13^((A96-$F$13)/12)))</f>
        <v/>
      </c>
      <c r="N96" s="306">
        <f>IF(A96&lt;$F$14, 0, IF(AND($B$21=1, A96&gt;$B$19), 0, $E$14 * $G$14^((A96-$F$14)/12)))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(INDEX('26. Team Comp'!$D$28:$R$28, B97) * 0.001 / 12)*1.6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IF(A97&lt;$F$11, 0, IF(AND($B$21=1, A97&gt;$B$19), 0, $E$11 * $G$11^((A97-$F$11)/12)))</f>
        <v/>
      </c>
      <c r="L97" s="306">
        <f>IF(A97&lt;$F$12, 0, IF(AND($B$21=1, A97&gt;$B$19), 0, $E$12 * $G$12^((A97-$F$12)/12)))</f>
        <v/>
      </c>
      <c r="M97" s="306">
        <f>IF(A97&lt;$F$13, 0, IF(AND($B$21=1, A97&gt;$B$19), 0, $E$13 * $G$13^((A97-$F$13)/12)))</f>
        <v/>
      </c>
      <c r="N97" s="306">
        <f>IF(A97&lt;$F$14, 0, IF(AND($B$21=1, A97&gt;$B$19), 0, $E$14 * $G$14^((A97-$F$14)/12)))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(INDEX('26. Team Comp'!$D$28:$R$28, B98) * 0.001 / 12)*1.6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IF(A98&lt;$F$11, 0, IF(AND($B$21=1, A98&gt;$B$19), 0, $E$11 * $G$11^((A98-$F$11)/12)))</f>
        <v/>
      </c>
      <c r="L98" s="306">
        <f>IF(A98&lt;$F$12, 0, IF(AND($B$21=1, A98&gt;$B$19), 0, $E$12 * $G$12^((A98-$F$12)/12)))</f>
        <v/>
      </c>
      <c r="M98" s="306">
        <f>IF(A98&lt;$F$13, 0, IF(AND($B$21=1, A98&gt;$B$19), 0, $E$13 * $G$13^((A98-$F$13)/12)))</f>
        <v/>
      </c>
      <c r="N98" s="306">
        <f>IF(A98&lt;$F$14, 0, IF(AND($B$21=1, A98&gt;$B$19), 0, $E$14 * $G$14^((A98-$F$14)/12)))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(INDEX('26. Team Comp'!$D$28:$R$28, B99) * 0.001 / 12)*1.6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IF(A99&lt;$F$11, 0, IF(AND($B$21=1, A99&gt;$B$19), 0, $E$11 * $G$11^((A99-$F$11)/12)))</f>
        <v/>
      </c>
      <c r="L99" s="306">
        <f>IF(A99&lt;$F$12, 0, IF(AND($B$21=1, A99&gt;$B$19), 0, $E$12 * $G$12^((A99-$F$12)/12)))</f>
        <v/>
      </c>
      <c r="M99" s="306">
        <f>IF(A99&lt;$F$13, 0, IF(AND($B$21=1, A99&gt;$B$19), 0, $E$13 * $G$13^((A99-$F$13)/12)))</f>
        <v/>
      </c>
      <c r="N99" s="306">
        <f>IF(A99&lt;$F$14, 0, IF(AND($B$21=1, A99&gt;$B$19), 0, $E$14 * $G$14^((A99-$F$14)/12)))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(INDEX('26. Team Comp'!$D$28:$R$28, B100) * 0.001 / 12)*1.6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IF(A100&lt;$F$11, 0, IF(AND($B$21=1, A100&gt;$B$19), 0, $E$11 * $G$11^((A100-$F$11)/12)))</f>
        <v/>
      </c>
      <c r="L100" s="306">
        <f>IF(A100&lt;$F$12, 0, IF(AND($B$21=1, A100&gt;$B$19), 0, $E$12 * $G$12^((A100-$F$12)/12)))</f>
        <v/>
      </c>
      <c r="M100" s="306">
        <f>IF(A100&lt;$F$13, 0, IF(AND($B$21=1, A100&gt;$B$19), 0, $E$13 * $G$13^((A100-$F$13)/12)))</f>
        <v/>
      </c>
      <c r="N100" s="306">
        <f>IF(A100&lt;$F$14, 0, IF(AND($B$21=1, A100&gt;$B$19), 0, $E$14 * $G$14^((A100-$F$14)/12)))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(INDEX('26. Team Comp'!$D$28:$R$28, B101) * 0.001 / 12)*1.6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IF(A101&lt;$F$11, 0, IF(AND($B$21=1, A101&gt;$B$19), 0, $E$11 * $G$11^((A101-$F$11)/12)))</f>
        <v/>
      </c>
      <c r="L101" s="306">
        <f>IF(A101&lt;$F$12, 0, IF(AND($B$21=1, A101&gt;$B$19), 0, $E$12 * $G$12^((A101-$F$12)/12)))</f>
        <v/>
      </c>
      <c r="M101" s="306">
        <f>IF(A101&lt;$F$13, 0, IF(AND($B$21=1, A101&gt;$B$19), 0, $E$13 * $G$13^((A101-$F$13)/12)))</f>
        <v/>
      </c>
      <c r="N101" s="306">
        <f>IF(A101&lt;$F$14, 0, IF(AND($B$21=1, A101&gt;$B$19), 0, $E$14 * $G$14^((A101-$F$14)/12)))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(INDEX('26. Team Comp'!$D$28:$R$28, B102) * 0.001 / 12)*1.6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IF(A102&lt;$F$11, 0, IF(AND($B$21=1, A102&gt;$B$19), 0, $E$11 * $G$11^((A102-$F$11)/12)))</f>
        <v/>
      </c>
      <c r="L102" s="306">
        <f>IF(A102&lt;$F$12, 0, IF(AND($B$21=1, A102&gt;$B$19), 0, $E$12 * $G$12^((A102-$F$12)/12)))</f>
        <v/>
      </c>
      <c r="M102" s="306">
        <f>IF(A102&lt;$F$13, 0, IF(AND($B$21=1, A102&gt;$B$19), 0, $E$13 * $G$13^((A102-$F$13)/12)))</f>
        <v/>
      </c>
      <c r="N102" s="306">
        <f>IF(A102&lt;$F$14, 0, IF(AND($B$21=1, A102&gt;$B$19), 0, $E$14 * $G$14^((A102-$F$14)/12)))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(INDEX('26. Team Comp'!$D$28:$R$28, B103) * 0.001 / 12)*1.6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IF(A103&lt;$F$11, 0, IF(AND($B$21=1, A103&gt;$B$19), 0, $E$11 * $G$11^((A103-$F$11)/12)))</f>
        <v/>
      </c>
      <c r="L103" s="306">
        <f>IF(A103&lt;$F$12, 0, IF(AND($B$21=1, A103&gt;$B$19), 0, $E$12 * $G$12^((A103-$F$12)/12)))</f>
        <v/>
      </c>
      <c r="M103" s="306">
        <f>IF(A103&lt;$F$13, 0, IF(AND($B$21=1, A103&gt;$B$19), 0, $E$13 * $G$13^((A103-$F$13)/12)))</f>
        <v/>
      </c>
      <c r="N103" s="306">
        <f>IF(A103&lt;$F$14, 0, IF(AND($B$21=1, A103&gt;$B$19), 0, $E$14 * $G$14^((A103-$F$14)/12)))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X103-Y103+MAX(0, SUM(Y31:Y102)-120)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(INDEX('26. Team Comp'!$D$28:$R$28, B104) * 0.001 / 12)*1.6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IF(A104&lt;$F$11, 0, IF(AND($B$21=1, A104&gt;$B$19), 0, $E$11 * $G$11^((A104-$F$11)/12)))</f>
        <v/>
      </c>
      <c r="L104" s="306">
        <f>IF(A104&lt;$F$12, 0, IF(AND($B$21=1, A104&gt;$B$19), 0, $E$12 * $G$12^((A104-$F$12)/12)))</f>
        <v/>
      </c>
      <c r="M104" s="306">
        <f>IF(A104&lt;$F$13, 0, IF(AND($B$21=1, A104&gt;$B$19), 0, $E$13 * $G$13^((A104-$F$13)/12)))</f>
        <v/>
      </c>
      <c r="N104" s="306">
        <f>IF(A104&lt;$F$14, 0, IF(AND($B$21=1, A104&gt;$B$19), 0, $E$14 * $G$14^((A104-$F$14)/12)))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(INDEX('26. Team Comp'!$D$28:$R$28, B105) * 0.001 / 12)*1.6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IF(A105&lt;$F$11, 0, IF(AND($B$21=1, A105&gt;$B$19), 0, $E$11 * $G$11^((A105-$F$11)/12)))</f>
        <v/>
      </c>
      <c r="L105" s="306">
        <f>IF(A105&lt;$F$12, 0, IF(AND($B$21=1, A105&gt;$B$19), 0, $E$12 * $G$12^((A105-$F$12)/12)))</f>
        <v/>
      </c>
      <c r="M105" s="306">
        <f>IF(A105&lt;$F$13, 0, IF(AND($B$21=1, A105&gt;$B$19), 0, $E$13 * $G$13^((A105-$F$13)/12)))</f>
        <v/>
      </c>
      <c r="N105" s="306">
        <f>IF(A105&lt;$F$14, 0, IF(AND($B$21=1, A105&gt;$B$19), 0, $E$14 * $G$14^((A105-$F$14)/12)))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(INDEX('26. Team Comp'!$D$28:$R$28, B106) * 0.001 / 12)*1.6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IF(A106&lt;$F$11, 0, IF(AND($B$21=1, A106&gt;$B$19), 0, $E$11 * $G$11^((A106-$F$11)/12)))</f>
        <v/>
      </c>
      <c r="L106" s="306">
        <f>IF(A106&lt;$F$12, 0, IF(AND($B$21=1, A106&gt;$B$19), 0, $E$12 * $G$12^((A106-$F$12)/12)))</f>
        <v/>
      </c>
      <c r="M106" s="306">
        <f>IF(A106&lt;$F$13, 0, IF(AND($B$21=1, A106&gt;$B$19), 0, $E$13 * $G$13^((A106-$F$13)/12)))</f>
        <v/>
      </c>
      <c r="N106" s="306">
        <f>IF(A106&lt;$F$14, 0, IF(AND($B$21=1, A106&gt;$B$19), 0, $E$14 * $G$14^((A106-$F$14)/12)))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(INDEX('26. Team Comp'!$D$28:$R$28, B107) * 0.001 / 12)*1.6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IF(A107&lt;$F$11, 0, IF(AND($B$21=1, A107&gt;$B$19), 0, $E$11 * $G$11^((A107-$F$11)/12)))</f>
        <v/>
      </c>
      <c r="L107" s="306">
        <f>IF(A107&lt;$F$12, 0, IF(AND($B$21=1, A107&gt;$B$19), 0, $E$12 * $G$12^((A107-$F$12)/12)))</f>
        <v/>
      </c>
      <c r="M107" s="306">
        <f>IF(A107&lt;$F$13, 0, IF(AND($B$21=1, A107&gt;$B$19), 0, $E$13 * $G$13^((A107-$F$13)/12)))</f>
        <v/>
      </c>
      <c r="N107" s="306">
        <f>IF(A107&lt;$F$14, 0, IF(AND($B$21=1, A107&gt;$B$19), 0, $E$14 * $G$14^((A107-$F$14)/12)))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(INDEX('26. Team Comp'!$D$28:$R$28, B108) * 0.001 / 12)*1.6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IF(A108&lt;$F$11, 0, IF(AND($B$21=1, A108&gt;$B$19), 0, $E$11 * $G$11^((A108-$F$11)/12)))</f>
        <v/>
      </c>
      <c r="L108" s="306">
        <f>IF(A108&lt;$F$12, 0, IF(AND($B$21=1, A108&gt;$B$19), 0, $E$12 * $G$12^((A108-$F$12)/12)))</f>
        <v/>
      </c>
      <c r="M108" s="306">
        <f>IF(A108&lt;$F$13, 0, IF(AND($B$21=1, A108&gt;$B$19), 0, $E$13 * $G$13^((A108-$F$13)/12)))</f>
        <v/>
      </c>
      <c r="N108" s="306">
        <f>IF(A108&lt;$F$14, 0, IF(AND($B$21=1, A108&gt;$B$19), 0, $E$14 * $G$14^((A108-$F$14)/12)))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(INDEX('26. Team Comp'!$D$28:$R$28, B109) * 0.001 / 12)*1.6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IF(A109&lt;$F$11, 0, IF(AND($B$21=1, A109&gt;$B$19), 0, $E$11 * $G$11^((A109-$F$11)/12)))</f>
        <v/>
      </c>
      <c r="L109" s="306">
        <f>IF(A109&lt;$F$12, 0, IF(AND($B$21=1, A109&gt;$B$19), 0, $E$12 * $G$12^((A109-$F$12)/12)))</f>
        <v/>
      </c>
      <c r="M109" s="306">
        <f>IF(A109&lt;$F$13, 0, IF(AND($B$21=1, A109&gt;$B$19), 0, $E$13 * $G$13^((A109-$F$13)/12)))</f>
        <v/>
      </c>
      <c r="N109" s="306">
        <f>IF(A109&lt;$F$14, 0, IF(AND($B$21=1, A109&gt;$B$19), 0, $E$14 * $G$14^((A109-$F$14)/12)))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(INDEX('26. Team Comp'!$D$28:$R$28, B110) * 0.001 / 12)*1.6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IF(A110&lt;$F$11, 0, IF(AND($B$21=1, A110&gt;$B$19), 0, $E$11 * $G$11^((A110-$F$11)/12)))</f>
        <v/>
      </c>
      <c r="L110" s="306">
        <f>IF(A110&lt;$F$12, 0, IF(AND($B$21=1, A110&gt;$B$19), 0, $E$12 * $G$12^((A110-$F$12)/12)))</f>
        <v/>
      </c>
      <c r="M110" s="306">
        <f>IF(A110&lt;$F$13, 0, IF(AND($B$21=1, A110&gt;$B$19), 0, $E$13 * $G$13^((A110-$F$13)/12)))</f>
        <v/>
      </c>
      <c r="N110" s="306">
        <f>IF(A110&lt;$F$14, 0, IF(AND($B$21=1, A110&gt;$B$19), 0, $E$14 * $G$14^((A110-$F$14)/12)))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(INDEX('26. Team Comp'!$D$28:$R$28, B111) * 0.001 / 12)*1.6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IF(A111&lt;$F$11, 0, IF(AND($B$21=1, A111&gt;$B$19), 0, $E$11 * $G$11^((A111-$F$11)/12)))</f>
        <v/>
      </c>
      <c r="L111" s="306">
        <f>IF(A111&lt;$F$12, 0, IF(AND($B$21=1, A111&gt;$B$19), 0, $E$12 * $G$12^((A111-$F$12)/12)))</f>
        <v/>
      </c>
      <c r="M111" s="306">
        <f>IF(A111&lt;$F$13, 0, IF(AND($B$21=1, A111&gt;$B$19), 0, $E$13 * $G$13^((A111-$F$13)/12)))</f>
        <v/>
      </c>
      <c r="N111" s="306">
        <f>IF(A111&lt;$F$14, 0, IF(AND($B$21=1, A111&gt;$B$19), 0, $E$14 * $G$14^((A111-$F$14)/12)))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(INDEX('26. Team Comp'!$D$28:$R$28, B112) * 0.001 / 12)*1.6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IF(A112&lt;$F$11, 0, IF(AND($B$21=1, A112&gt;$B$19), 0, $E$11 * $G$11^((A112-$F$11)/12)))</f>
        <v/>
      </c>
      <c r="L112" s="306">
        <f>IF(A112&lt;$F$12, 0, IF(AND($B$21=1, A112&gt;$B$19), 0, $E$12 * $G$12^((A112-$F$12)/12)))</f>
        <v/>
      </c>
      <c r="M112" s="306">
        <f>IF(A112&lt;$F$13, 0, IF(AND($B$21=1, A112&gt;$B$19), 0, $E$13 * $G$13^((A112-$F$13)/12)))</f>
        <v/>
      </c>
      <c r="N112" s="306">
        <f>IF(A112&lt;$F$14, 0, IF(AND($B$21=1, A112&gt;$B$19), 0, $E$14 * $G$14^((A112-$F$14)/12)))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(INDEX('26. Team Comp'!$D$28:$R$28, B113) * 0.001 / 12)*1.6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IF(A113&lt;$F$11, 0, IF(AND($B$21=1, A113&gt;$B$19), 0, $E$11 * $G$11^((A113-$F$11)/12)))</f>
        <v/>
      </c>
      <c r="L113" s="306">
        <f>IF(A113&lt;$F$12, 0, IF(AND($B$21=1, A113&gt;$B$19), 0, $E$12 * $G$12^((A113-$F$12)/12)))</f>
        <v/>
      </c>
      <c r="M113" s="306">
        <f>IF(A113&lt;$F$13, 0, IF(AND($B$21=1, A113&gt;$B$19), 0, $E$13 * $G$13^((A113-$F$13)/12)))</f>
        <v/>
      </c>
      <c r="N113" s="306">
        <f>IF(A113&lt;$F$14, 0, IF(AND($B$21=1, A113&gt;$B$19), 0, $E$14 * $G$14^((A113-$F$14)/12)))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(INDEX('26. Team Comp'!$D$28:$R$28, B114) * 0.001 / 12)*1.6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IF(A114&lt;$F$11, 0, IF(AND($B$21=1, A114&gt;$B$19), 0, $E$11 * $G$11^((A114-$F$11)/12)))</f>
        <v/>
      </c>
      <c r="L114" s="306">
        <f>IF(A114&lt;$F$12, 0, IF(AND($B$21=1, A114&gt;$B$19), 0, $E$12 * $G$12^((A114-$F$12)/12)))</f>
        <v/>
      </c>
      <c r="M114" s="306">
        <f>IF(A114&lt;$F$13, 0, IF(AND($B$21=1, A114&gt;$B$19), 0, $E$13 * $G$13^((A114-$F$13)/12)))</f>
        <v/>
      </c>
      <c r="N114" s="306">
        <f>IF(A114&lt;$F$14, 0, IF(AND($B$21=1, A114&gt;$B$19), 0, $E$14 * $G$14^((A114-$F$14)/12)))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(INDEX('26. Team Comp'!$D$28:$R$28, B115) * 0.001 / 12)*1.6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IF(A115&lt;$F$11, 0, IF(AND($B$21=1, A115&gt;$B$19), 0, $E$11 * $G$11^((A115-$F$11)/12)))</f>
        <v/>
      </c>
      <c r="L115" s="306">
        <f>IF(A115&lt;$F$12, 0, IF(AND($B$21=1, A115&gt;$B$19), 0, $E$12 * $G$12^((A115-$F$12)/12)))</f>
        <v/>
      </c>
      <c r="M115" s="306">
        <f>IF(A115&lt;$F$13, 0, IF(AND($B$21=1, A115&gt;$B$19), 0, $E$13 * $G$13^((A115-$F$13)/12)))</f>
        <v/>
      </c>
      <c r="N115" s="306">
        <f>IF(A115&lt;$F$14, 0, IF(AND($B$21=1, A115&gt;$B$19), 0, $E$14 * $G$14^((A115-$F$14)/12)))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(INDEX('26. Team Comp'!$D$28:$R$28, B116) * 0.001 / 12)*1.6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IF(A116&lt;$F$11, 0, IF(AND($B$21=1, A116&gt;$B$19), 0, $E$11 * $G$11^((A116-$F$11)/12)))</f>
        <v/>
      </c>
      <c r="L116" s="306">
        <f>IF(A116&lt;$F$12, 0, IF(AND($B$21=1, A116&gt;$B$19), 0, $E$12 * $G$12^((A116-$F$12)/12)))</f>
        <v/>
      </c>
      <c r="M116" s="306">
        <f>IF(A116&lt;$F$13, 0, IF(AND($B$21=1, A116&gt;$B$19), 0, $E$13 * $G$13^((A116-$F$13)/12)))</f>
        <v/>
      </c>
      <c r="N116" s="306">
        <f>IF(A116&lt;$F$14, 0, IF(AND($B$21=1, A116&gt;$B$19), 0, $E$14 * $G$14^((A116-$F$14)/12)))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(INDEX('26. Team Comp'!$D$28:$R$28, B117) * 0.001 / 12)*1.6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IF(A117&lt;$F$11, 0, IF(AND($B$21=1, A117&gt;$B$19), 0, $E$11 * $G$11^((A117-$F$11)/12)))</f>
        <v/>
      </c>
      <c r="L117" s="306">
        <f>IF(A117&lt;$F$12, 0, IF(AND($B$21=1, A117&gt;$B$19), 0, $E$12 * $G$12^((A117-$F$12)/12)))</f>
        <v/>
      </c>
      <c r="M117" s="306">
        <f>IF(A117&lt;$F$13, 0, IF(AND($B$21=1, A117&gt;$B$19), 0, $E$13 * $G$13^((A117-$F$13)/12)))</f>
        <v/>
      </c>
      <c r="N117" s="306">
        <f>IF(A117&lt;$F$14, 0, IF(AND($B$21=1, A117&gt;$B$19), 0, $E$14 * $G$14^((A117-$F$14)/12)))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(INDEX('26. Team Comp'!$D$28:$R$28, B118) * 0.001 / 12)*1.6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IF(A118&lt;$F$11, 0, IF(AND($B$21=1, A118&gt;$B$19), 0, $E$11 * $G$11^((A118-$F$11)/12)))</f>
        <v/>
      </c>
      <c r="L118" s="306">
        <f>IF(A118&lt;$F$12, 0, IF(AND($B$21=1, A118&gt;$B$19), 0, $E$12 * $G$12^((A118-$F$12)/12)))</f>
        <v/>
      </c>
      <c r="M118" s="306">
        <f>IF(A118&lt;$F$13, 0, IF(AND($B$21=1, A118&gt;$B$19), 0, $E$13 * $G$13^((A118-$F$13)/12)))</f>
        <v/>
      </c>
      <c r="N118" s="306">
        <f>IF(A118&lt;$F$14, 0, IF(AND($B$21=1, A118&gt;$B$19), 0, $E$14 * $G$14^((A118-$F$14)/12)))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(INDEX('26. Team Comp'!$D$28:$R$28, B119) * 0.001 / 12)*1.6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IF(A119&lt;$F$11, 0, IF(AND($B$21=1, A119&gt;$B$19), 0, $E$11 * $G$11^((A119-$F$11)/12)))</f>
        <v/>
      </c>
      <c r="L119" s="306">
        <f>IF(A119&lt;$F$12, 0, IF(AND($B$21=1, A119&gt;$B$19), 0, $E$12 * $G$12^((A119-$F$12)/12)))</f>
        <v/>
      </c>
      <c r="M119" s="306">
        <f>IF(A119&lt;$F$13, 0, IF(AND($B$21=1, A119&gt;$B$19), 0, $E$13 * $G$13^((A119-$F$13)/12)))</f>
        <v/>
      </c>
      <c r="N119" s="306">
        <f>IF(A119&lt;$F$14, 0, IF(AND($B$21=1, A119&gt;$B$19), 0, $E$14 * $G$14^((A119-$F$14)/12)))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(INDEX('26. Team Comp'!$D$28:$R$28, B120) * 0.001 / 12)*1.6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IF(A120&lt;$F$11, 0, IF(AND($B$21=1, A120&gt;$B$19), 0, $E$11 * $G$11^((A120-$F$11)/12)))</f>
        <v/>
      </c>
      <c r="L120" s="306">
        <f>IF(A120&lt;$F$12, 0, IF(AND($B$21=1, A120&gt;$B$19), 0, $E$12 * $G$12^((A120-$F$12)/12)))</f>
        <v/>
      </c>
      <c r="M120" s="306">
        <f>IF(A120&lt;$F$13, 0, IF(AND($B$21=1, A120&gt;$B$19), 0, $E$13 * $G$13^((A120-$F$13)/12)))</f>
        <v/>
      </c>
      <c r="N120" s="306">
        <f>IF(A120&lt;$F$14, 0, IF(AND($B$21=1, A120&gt;$B$19), 0, $E$14 * $G$14^((A120-$F$14)/12)))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(INDEX('26. Team Comp'!$D$28:$R$28, B121) * 0.001 / 12)*1.6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IF(A121&lt;$F$11, 0, IF(AND($B$21=1, A121&gt;$B$19), 0, $E$11 * $G$11^((A121-$F$11)/12)))</f>
        <v/>
      </c>
      <c r="L121" s="306">
        <f>IF(A121&lt;$F$12, 0, IF(AND($B$21=1, A121&gt;$B$19), 0, $E$12 * $G$12^((A121-$F$12)/12)))</f>
        <v/>
      </c>
      <c r="M121" s="306">
        <f>IF(A121&lt;$F$13, 0, IF(AND($B$21=1, A121&gt;$B$19), 0, $E$13 * $G$13^((A121-$F$13)/12)))</f>
        <v/>
      </c>
      <c r="N121" s="306">
        <f>IF(A121&lt;$F$14, 0, IF(AND($B$21=1, A121&gt;$B$19), 0, $E$14 * $G$14^((A121-$F$14)/12)))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(INDEX('26. Team Comp'!$D$28:$R$28, B122) * 0.001 / 12)*1.6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IF(A122&lt;$F$11, 0, IF(AND($B$21=1, A122&gt;$B$19), 0, $E$11 * $G$11^((A122-$F$11)/12)))</f>
        <v/>
      </c>
      <c r="L122" s="306">
        <f>IF(A122&lt;$F$12, 0, IF(AND($B$21=1, A122&gt;$B$19), 0, $E$12 * $G$12^((A122-$F$12)/12)))</f>
        <v/>
      </c>
      <c r="M122" s="306">
        <f>IF(A122&lt;$F$13, 0, IF(AND($B$21=1, A122&gt;$B$19), 0, $E$13 * $G$13^((A122-$F$13)/12)))</f>
        <v/>
      </c>
      <c r="N122" s="306">
        <f>IF(A122&lt;$F$14, 0, IF(AND($B$21=1, A122&gt;$B$19), 0, $E$14 * $G$14^((A122-$F$14)/12)))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(INDEX('26. Team Comp'!$D$28:$R$28, B123) * 0.001 / 12)*1.6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IF(A123&lt;$F$11, 0, IF(AND($B$21=1, A123&gt;$B$19), 0, $E$11 * $G$11^((A123-$F$11)/12)))</f>
        <v/>
      </c>
      <c r="L123" s="306">
        <f>IF(A123&lt;$F$12, 0, IF(AND($B$21=1, A123&gt;$B$19), 0, $E$12 * $G$12^((A123-$F$12)/12)))</f>
        <v/>
      </c>
      <c r="M123" s="306">
        <f>IF(A123&lt;$F$13, 0, IF(AND($B$21=1, A123&gt;$B$19), 0, $E$13 * $G$13^((A123-$F$13)/12)))</f>
        <v/>
      </c>
      <c r="N123" s="306">
        <f>IF(A123&lt;$F$14, 0, IF(AND($B$21=1, A123&gt;$B$19), 0, $E$14 * $G$14^((A123-$F$14)/12)))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(INDEX('26. Team Comp'!$D$28:$R$28, B124) * 0.001 / 12)*1.6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IF(A124&lt;$F$11, 0, IF(AND($B$21=1, A124&gt;$B$19), 0, $E$11 * $G$11^((A124-$F$11)/12)))</f>
        <v/>
      </c>
      <c r="L124" s="306">
        <f>IF(A124&lt;$F$12, 0, IF(AND($B$21=1, A124&gt;$B$19), 0, $E$12 * $G$12^((A124-$F$12)/12)))</f>
        <v/>
      </c>
      <c r="M124" s="306">
        <f>IF(A124&lt;$F$13, 0, IF(AND($B$21=1, A124&gt;$B$19), 0, $E$13 * $G$13^((A124-$F$13)/12)))</f>
        <v/>
      </c>
      <c r="N124" s="306">
        <f>IF(A124&lt;$F$14, 0, IF(AND($B$21=1, A124&gt;$B$19), 0, $E$14 * $G$14^((A124-$F$14)/12)))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(INDEX('26. Team Comp'!$D$28:$R$28, B125) * 0.001 / 12)*1.6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IF(A125&lt;$F$11, 0, IF(AND($B$21=1, A125&gt;$B$19), 0, $E$11 * $G$11^((A125-$F$11)/12)))</f>
        <v/>
      </c>
      <c r="L125" s="306">
        <f>IF(A125&lt;$F$12, 0, IF(AND($B$21=1, A125&gt;$B$19), 0, $E$12 * $G$12^((A125-$F$12)/12)))</f>
        <v/>
      </c>
      <c r="M125" s="306">
        <f>IF(A125&lt;$F$13, 0, IF(AND($B$21=1, A125&gt;$B$19), 0, $E$13 * $G$13^((A125-$F$13)/12)))</f>
        <v/>
      </c>
      <c r="N125" s="306">
        <f>IF(A125&lt;$F$14, 0, IF(AND($B$21=1, A125&gt;$B$19), 0, $E$14 * $G$14^((A125-$F$14)/12)))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(INDEX('26. Team Comp'!$D$28:$R$28, B126) * 0.001 / 12)*1.6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IF(A126&lt;$F$11, 0, IF(AND($B$21=1, A126&gt;$B$19), 0, $E$11 * $G$11^((A126-$F$11)/12)))</f>
        <v/>
      </c>
      <c r="L126" s="306">
        <f>IF(A126&lt;$F$12, 0, IF(AND($B$21=1, A126&gt;$B$19), 0, $E$12 * $G$12^((A126-$F$12)/12)))</f>
        <v/>
      </c>
      <c r="M126" s="306">
        <f>IF(A126&lt;$F$13, 0, IF(AND($B$21=1, A126&gt;$B$19), 0, $E$13 * $G$13^((A126-$F$13)/12)))</f>
        <v/>
      </c>
      <c r="N126" s="306">
        <f>IF(A126&lt;$F$14, 0, IF(AND($B$21=1, A126&gt;$B$19), 0, $E$14 * $G$14^((A126-$F$14)/12)))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(INDEX('26. Team Comp'!$D$28:$R$28, B127) * 0.001 / 12)*1.6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IF(A127&lt;$F$11, 0, IF(AND($B$21=1, A127&gt;$B$19), 0, $E$11 * $G$11^((A127-$F$11)/12)))</f>
        <v/>
      </c>
      <c r="L127" s="306">
        <f>IF(A127&lt;$F$12, 0, IF(AND($B$21=1, A127&gt;$B$19), 0, $E$12 * $G$12^((A127-$F$12)/12)))</f>
        <v/>
      </c>
      <c r="M127" s="306">
        <f>IF(A127&lt;$F$13, 0, IF(AND($B$21=1, A127&gt;$B$19), 0, $E$13 * $G$13^((A127-$F$13)/12)))</f>
        <v/>
      </c>
      <c r="N127" s="306">
        <f>IF(A127&lt;$F$14, 0, IF(AND($B$21=1, A127&gt;$B$19), 0, $E$14 * $G$14^((A127-$F$14)/12)))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(INDEX('26. Team Comp'!$D$28:$R$28, B128) * 0.001 / 12)*1.6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IF(A128&lt;$F$11, 0, IF(AND($B$21=1, A128&gt;$B$19), 0, $E$11 * $G$11^((A128-$F$11)/12)))</f>
        <v/>
      </c>
      <c r="L128" s="306">
        <f>IF(A128&lt;$F$12, 0, IF(AND($B$21=1, A128&gt;$B$19), 0, $E$12 * $G$12^((A128-$F$12)/12)))</f>
        <v/>
      </c>
      <c r="M128" s="306">
        <f>IF(A128&lt;$F$13, 0, IF(AND($B$21=1, A128&gt;$B$19), 0, $E$13 * $G$13^((A128-$F$13)/12)))</f>
        <v/>
      </c>
      <c r="N128" s="306">
        <f>IF(A128&lt;$F$14, 0, IF(AND($B$21=1, A128&gt;$B$19), 0, $E$14 * $G$14^((A128-$F$14)/12)))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(INDEX('26. Team Comp'!$D$28:$R$28, B129) * 0.001 / 12)*1.6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IF(A129&lt;$F$11, 0, IF(AND($B$21=1, A129&gt;$B$19), 0, $E$11 * $G$11^((A129-$F$11)/12)))</f>
        <v/>
      </c>
      <c r="L129" s="306">
        <f>IF(A129&lt;$F$12, 0, IF(AND($B$21=1, A129&gt;$B$19), 0, $E$12 * $G$12^((A129-$F$12)/12)))</f>
        <v/>
      </c>
      <c r="M129" s="306">
        <f>IF(A129&lt;$F$13, 0, IF(AND($B$21=1, A129&gt;$B$19), 0, $E$13 * $G$13^((A129-$F$13)/12)))</f>
        <v/>
      </c>
      <c r="N129" s="306">
        <f>IF(A129&lt;$F$14, 0, IF(AND($B$21=1, A129&gt;$B$19), 0, $E$14 * $G$14^((A129-$F$14)/12)))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(INDEX('26. Team Comp'!$D$28:$R$28, B130) * 0.001 / 12)*1.6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IF(A130&lt;$F$11, 0, IF(AND($B$21=1, A130&gt;$B$19), 0, $E$11 * $G$11^((A130-$F$11)/12)))</f>
        <v/>
      </c>
      <c r="L130" s="306">
        <f>IF(A130&lt;$F$12, 0, IF(AND($B$21=1, A130&gt;$B$19), 0, $E$12 * $G$12^((A130-$F$12)/12)))</f>
        <v/>
      </c>
      <c r="M130" s="306">
        <f>IF(A130&lt;$F$13, 0, IF(AND($B$21=1, A130&gt;$B$19), 0, $E$13 * $G$13^((A130-$F$13)/12)))</f>
        <v/>
      </c>
      <c r="N130" s="306">
        <f>IF(A130&lt;$F$14, 0, IF(AND($B$21=1, A130&gt;$B$19), 0, $E$14 * $G$14^((A130-$F$14)/12)))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(INDEX('26. Team Comp'!$D$28:$R$28, B131) * 0.001 / 12)*1.6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IF(A131&lt;$F$11, 0, IF(AND($B$21=1, A131&gt;$B$19), 0, $E$11 * $G$11^((A131-$F$11)/12)))</f>
        <v/>
      </c>
      <c r="L131" s="306">
        <f>IF(A131&lt;$F$12, 0, IF(AND($B$21=1, A131&gt;$B$19), 0, $E$12 * $G$12^((A131-$F$12)/12)))</f>
        <v/>
      </c>
      <c r="M131" s="306">
        <f>IF(A131&lt;$F$13, 0, IF(AND($B$21=1, A131&gt;$B$19), 0, $E$13 * $G$13^((A131-$F$13)/12)))</f>
        <v/>
      </c>
      <c r="N131" s="306">
        <f>IF(A131&lt;$F$14, 0, IF(AND($B$21=1, A131&gt;$B$19), 0, $E$14 * $G$14^((A131-$F$14)/12)))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(INDEX('26. Team Comp'!$D$28:$R$28, B132) * 0.001 / 12)*1.6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IF(A132&lt;$F$11, 0, IF(AND($B$21=1, A132&gt;$B$19), 0, $E$11 * $G$11^((A132-$F$11)/12)))</f>
        <v/>
      </c>
      <c r="L132" s="306">
        <f>IF(A132&lt;$F$12, 0, IF(AND($B$21=1, A132&gt;$B$19), 0, $E$12 * $G$12^((A132-$F$12)/12)))</f>
        <v/>
      </c>
      <c r="M132" s="306">
        <f>IF(A132&lt;$F$13, 0, IF(AND($B$21=1, A132&gt;$B$19), 0, $E$13 * $G$13^((A132-$F$13)/12)))</f>
        <v/>
      </c>
      <c r="N132" s="306">
        <f>IF(A132&lt;$F$14, 0, IF(AND($B$21=1, A132&gt;$B$19), 0, $E$14 * $G$14^((A132-$F$14)/12)))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(INDEX('26. Team Comp'!$D$28:$R$28, B133) * 0.001 / 12)*1.6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IF(A133&lt;$F$11, 0, IF(AND($B$21=1, A133&gt;$B$19), 0, $E$11 * $G$11^((A133-$F$11)/12)))</f>
        <v/>
      </c>
      <c r="L133" s="306">
        <f>IF(A133&lt;$F$12, 0, IF(AND($B$21=1, A133&gt;$B$19), 0, $E$12 * $G$12^((A133-$F$12)/12)))</f>
        <v/>
      </c>
      <c r="M133" s="306">
        <f>IF(A133&lt;$F$13, 0, IF(AND($B$21=1, A133&gt;$B$19), 0, $E$13 * $G$13^((A133-$F$13)/12)))</f>
        <v/>
      </c>
      <c r="N133" s="306">
        <f>IF(A133&lt;$F$14, 0, IF(AND($B$21=1, A133&gt;$B$19), 0, $E$14 * $G$14^((A133-$F$14)/12)))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(INDEX('26. Team Comp'!$D$28:$R$28, B134) * 0.001 / 12)*1.6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IF(A134&lt;$F$11, 0, IF(AND($B$21=1, A134&gt;$B$19), 0, $E$11 * $G$11^((A134-$F$11)/12)))</f>
        <v/>
      </c>
      <c r="L134" s="306">
        <f>IF(A134&lt;$F$12, 0, IF(AND($B$21=1, A134&gt;$B$19), 0, $E$12 * $G$12^((A134-$F$12)/12)))</f>
        <v/>
      </c>
      <c r="M134" s="306">
        <f>IF(A134&lt;$F$13, 0, IF(AND($B$21=1, A134&gt;$B$19), 0, $E$13 * $G$13^((A134-$F$13)/12)))</f>
        <v/>
      </c>
      <c r="N134" s="306">
        <f>IF(A134&lt;$F$14, 0, IF(AND($B$21=1, A134&gt;$B$19), 0, $E$14 * $G$14^((A134-$F$14)/12)))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(INDEX('26. Team Comp'!$D$28:$R$28, B135) * 0.001 / 12)*1.6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IF(A135&lt;$F$11, 0, IF(AND($B$21=1, A135&gt;$B$19), 0, $E$11 * $G$11^((A135-$F$11)/12)))</f>
        <v/>
      </c>
      <c r="L135" s="306">
        <f>IF(A135&lt;$F$12, 0, IF(AND($B$21=1, A135&gt;$B$19), 0, $E$12 * $G$12^((A135-$F$12)/12)))</f>
        <v/>
      </c>
      <c r="M135" s="306">
        <f>IF(A135&lt;$F$13, 0, IF(AND($B$21=1, A135&gt;$B$19), 0, $E$13 * $G$13^((A135-$F$13)/12)))</f>
        <v/>
      </c>
      <c r="N135" s="306">
        <f>IF(A135&lt;$F$14, 0, IF(AND($B$21=1, A135&gt;$B$19), 0, $E$14 * $G$14^((A135-$F$14)/12)))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(INDEX('26. Team Comp'!$D$28:$R$28, B136) * 0.001 / 12)*1.6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IF(A136&lt;$F$11, 0, IF(AND($B$21=1, A136&gt;$B$19), 0, $E$11 * $G$11^((A136-$F$11)/12)))</f>
        <v/>
      </c>
      <c r="L136" s="306">
        <f>IF(A136&lt;$F$12, 0, IF(AND($B$21=1, A136&gt;$B$19), 0, $E$12 * $G$12^((A136-$F$12)/12)))</f>
        <v/>
      </c>
      <c r="M136" s="306">
        <f>IF(A136&lt;$F$13, 0, IF(AND($B$21=1, A136&gt;$B$19), 0, $E$13 * $G$13^((A136-$F$13)/12)))</f>
        <v/>
      </c>
      <c r="N136" s="306">
        <f>IF(A136&lt;$F$14, 0, IF(AND($B$21=1, A136&gt;$B$19), 0, $E$14 * $G$14^((A136-$F$14)/12)))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(INDEX('26. Team Comp'!$D$28:$R$28, B137) * 0.001 / 12)*1.6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IF(A137&lt;$F$11, 0, IF(AND($B$21=1, A137&gt;$B$19), 0, $E$11 * $G$11^((A137-$F$11)/12)))</f>
        <v/>
      </c>
      <c r="L137" s="306">
        <f>IF(A137&lt;$F$12, 0, IF(AND($B$21=1, A137&gt;$B$19), 0, $E$12 * $G$12^((A137-$F$12)/12)))</f>
        <v/>
      </c>
      <c r="M137" s="306">
        <f>IF(A137&lt;$F$13, 0, IF(AND($B$21=1, A137&gt;$B$19), 0, $E$13 * $G$13^((A137-$F$13)/12)))</f>
        <v/>
      </c>
      <c r="N137" s="306">
        <f>IF(A137&lt;$F$14, 0, IF(AND($B$21=1, A137&gt;$B$19), 0, $E$14 * $G$14^((A137-$F$14)/12)))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(INDEX('26. Team Comp'!$D$28:$R$28, B138) * 0.001 / 12)*1.6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IF(A138&lt;$F$11, 0, IF(AND($B$21=1, A138&gt;$B$19), 0, $E$11 * $G$11^((A138-$F$11)/12)))</f>
        <v/>
      </c>
      <c r="L138" s="306">
        <f>IF(A138&lt;$F$12, 0, IF(AND($B$21=1, A138&gt;$B$19), 0, $E$12 * $G$12^((A138-$F$12)/12)))</f>
        <v/>
      </c>
      <c r="M138" s="306">
        <f>IF(A138&lt;$F$13, 0, IF(AND($B$21=1, A138&gt;$B$19), 0, $E$13 * $G$13^((A138-$F$13)/12)))</f>
        <v/>
      </c>
      <c r="N138" s="306">
        <f>IF(A138&lt;$F$14, 0, IF(AND($B$21=1, A138&gt;$B$19), 0, $E$14 * $G$14^((A138-$F$14)/12)))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(INDEX('26. Team Comp'!$D$28:$R$28, B139) * 0.001 / 12)*1.6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IF(A139&lt;$F$11, 0, IF(AND($B$21=1, A139&gt;$B$19), 0, $E$11 * $G$11^((A139-$F$11)/12)))</f>
        <v/>
      </c>
      <c r="L139" s="306">
        <f>IF(A139&lt;$F$12, 0, IF(AND($B$21=1, A139&gt;$B$19), 0, $E$12 * $G$12^((A139-$F$12)/12)))</f>
        <v/>
      </c>
      <c r="M139" s="306">
        <f>IF(A139&lt;$F$13, 0, IF(AND($B$21=1, A139&gt;$B$19), 0, $E$13 * $G$13^((A139-$F$13)/12)))</f>
        <v/>
      </c>
      <c r="N139" s="306">
        <f>IF(A139&lt;$F$14, 0, IF(AND($B$21=1, A139&gt;$B$19), 0, $E$14 * $G$14^((A139-$F$14)/12)))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(INDEX('26. Team Comp'!$D$28:$R$28, B140) * 0.001 / 12)*1.6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IF(A140&lt;$F$11, 0, IF(AND($B$21=1, A140&gt;$B$19), 0, $E$11 * $G$11^((A140-$F$11)/12)))</f>
        <v/>
      </c>
      <c r="L140" s="306">
        <f>IF(A140&lt;$F$12, 0, IF(AND($B$21=1, A140&gt;$B$19), 0, $E$12 * $G$12^((A140-$F$12)/12)))</f>
        <v/>
      </c>
      <c r="M140" s="306">
        <f>IF(A140&lt;$F$13, 0, IF(AND($B$21=1, A140&gt;$B$19), 0, $E$13 * $G$13^((A140-$F$13)/12)))</f>
        <v/>
      </c>
      <c r="N140" s="306">
        <f>IF(A140&lt;$F$14, 0, IF(AND($B$21=1, A140&gt;$B$19), 0, $E$14 * $G$14^((A140-$F$14)/12)))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(INDEX('26. Team Comp'!$D$28:$R$28, B141) * 0.001 / 12)*1.6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IF(A141&lt;$F$11, 0, IF(AND($B$21=1, A141&gt;$B$19), 0, $E$11 * $G$11^((A141-$F$11)/12)))</f>
        <v/>
      </c>
      <c r="L141" s="306">
        <f>IF(A141&lt;$F$12, 0, IF(AND($B$21=1, A141&gt;$B$19), 0, $E$12 * $G$12^((A141-$F$12)/12)))</f>
        <v/>
      </c>
      <c r="M141" s="306">
        <f>IF(A141&lt;$F$13, 0, IF(AND($B$21=1, A141&gt;$B$19), 0, $E$13 * $G$13^((A141-$F$13)/12)))</f>
        <v/>
      </c>
      <c r="N141" s="306">
        <f>IF(A141&lt;$F$14, 0, IF(AND($B$21=1, A141&gt;$B$19), 0, $E$14 * $G$14^((A141-$F$14)/12)))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(INDEX('26. Team Comp'!$D$28:$R$28, B142) * 0.001 / 12)*1.6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IF(A142&lt;$F$11, 0, IF(AND($B$21=1, A142&gt;$B$19), 0, $E$11 * $G$11^((A142-$F$11)/12)))</f>
        <v/>
      </c>
      <c r="L142" s="306">
        <f>IF(A142&lt;$F$12, 0, IF(AND($B$21=1, A142&gt;$B$19), 0, $E$12 * $G$12^((A142-$F$12)/12)))</f>
        <v/>
      </c>
      <c r="M142" s="306">
        <f>IF(A142&lt;$F$13, 0, IF(AND($B$21=1, A142&gt;$B$19), 0, $E$13 * $G$13^((A142-$F$13)/12)))</f>
        <v/>
      </c>
      <c r="N142" s="306">
        <f>IF(A142&lt;$F$14, 0, IF(AND($B$21=1, A142&gt;$B$19), 0, $E$14 * $G$14^((A142-$F$14)/12)))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(INDEX('26. Team Comp'!$D$28:$R$28, B143) * 0.001 / 12)*1.6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IF(A143&lt;$F$11, 0, IF(AND($B$21=1, A143&gt;$B$19), 0, $E$11 * $G$11^((A143-$F$11)/12)))</f>
        <v/>
      </c>
      <c r="L143" s="306">
        <f>IF(A143&lt;$F$12, 0, IF(AND($B$21=1, A143&gt;$B$19), 0, $E$12 * $G$12^((A143-$F$12)/12)))</f>
        <v/>
      </c>
      <c r="M143" s="306">
        <f>IF(A143&lt;$F$13, 0, IF(AND($B$21=1, A143&gt;$B$19), 0, $E$13 * $G$13^((A143-$F$13)/12)))</f>
        <v/>
      </c>
      <c r="N143" s="306">
        <f>IF(A143&lt;$F$14, 0, IF(AND($B$21=1, A143&gt;$B$19), 0, $E$14 * $G$14^((A143-$F$14)/12)))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(INDEX('26. Team Comp'!$D$28:$R$28, B144) * 0.001 / 12)*1.6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IF(A144&lt;$F$11, 0, IF(AND($B$21=1, A144&gt;$B$19), 0, $E$11 * $G$11^((A144-$F$11)/12)))</f>
        <v/>
      </c>
      <c r="L144" s="306">
        <f>IF(A144&lt;$F$12, 0, IF(AND($B$21=1, A144&gt;$B$19), 0, $E$12 * $G$12^((A144-$F$12)/12)))</f>
        <v/>
      </c>
      <c r="M144" s="306">
        <f>IF(A144&lt;$F$13, 0, IF(AND($B$21=1, A144&gt;$B$19), 0, $E$13 * $G$13^((A144-$F$13)/12)))</f>
        <v/>
      </c>
      <c r="N144" s="306">
        <f>IF(A144&lt;$F$14, 0, IF(AND($B$21=1, A144&gt;$B$19), 0, $E$14 * $G$14^((A144-$F$14)/12)))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(INDEX('26. Team Comp'!$D$28:$R$28, B145) * 0.001 / 12)*1.6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IF(A145&lt;$F$11, 0, IF(AND($B$21=1, A145&gt;$B$19), 0, $E$11 * $G$11^((A145-$F$11)/12)))</f>
        <v/>
      </c>
      <c r="L145" s="306">
        <f>IF(A145&lt;$F$12, 0, IF(AND($B$21=1, A145&gt;$B$19), 0, $E$12 * $G$12^((A145-$F$12)/12)))</f>
        <v/>
      </c>
      <c r="M145" s="306">
        <f>IF(A145&lt;$F$13, 0, IF(AND($B$21=1, A145&gt;$B$19), 0, $E$13 * $G$13^((A145-$F$13)/12)))</f>
        <v/>
      </c>
      <c r="N145" s="306">
        <f>IF(A145&lt;$F$14, 0, IF(AND($B$21=1, A145&gt;$B$19), 0, $E$14 * $G$14^((A145-$F$14)/12)))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(INDEX('26. Team Comp'!$D$28:$R$28, B146) * 0.001 / 12)*1.6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IF(A146&lt;$F$11, 0, IF(AND($B$21=1, A146&gt;$B$19), 0, $E$11 * $G$11^((A146-$F$11)/12)))</f>
        <v/>
      </c>
      <c r="L146" s="306">
        <f>IF(A146&lt;$F$12, 0, IF(AND($B$21=1, A146&gt;$B$19), 0, $E$12 * $G$12^((A146-$F$12)/12)))</f>
        <v/>
      </c>
      <c r="M146" s="306">
        <f>IF(A146&lt;$F$13, 0, IF(AND($B$21=1, A146&gt;$B$19), 0, $E$13 * $G$13^((A146-$F$13)/12)))</f>
        <v/>
      </c>
      <c r="N146" s="306">
        <f>IF(A146&lt;$F$14, 0, IF(AND($B$21=1, A146&gt;$B$19), 0, $E$14 * $G$14^((A146-$F$14)/12)))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(INDEX('26. Team Comp'!$D$28:$R$28, B147) * 0.001 / 12)*1.6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IF(A147&lt;$F$11, 0, IF(AND($B$21=1, A147&gt;$B$19), 0, $E$11 * $G$11^((A147-$F$11)/12)))</f>
        <v/>
      </c>
      <c r="L147" s="306">
        <f>IF(A147&lt;$F$12, 0, IF(AND($B$21=1, A147&gt;$B$19), 0, $E$12 * $G$12^((A147-$F$12)/12)))</f>
        <v/>
      </c>
      <c r="M147" s="306">
        <f>IF(A147&lt;$F$13, 0, IF(AND($B$21=1, A147&gt;$B$19), 0, $E$13 * $G$13^((A147-$F$13)/12)))</f>
        <v/>
      </c>
      <c r="N147" s="306">
        <f>IF(A147&lt;$F$14, 0, IF(AND($B$21=1, A147&gt;$B$19), 0, $E$14 * $G$14^((A147-$F$14)/12)))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(INDEX('26. Team Comp'!$D$28:$R$28, B148) * 0.001 / 12)*1.6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IF(A148&lt;$F$11, 0, IF(AND($B$21=1, A148&gt;$B$19), 0, $E$11 * $G$11^((A148-$F$11)/12)))</f>
        <v/>
      </c>
      <c r="L148" s="306">
        <f>IF(A148&lt;$F$12, 0, IF(AND($B$21=1, A148&gt;$B$19), 0, $E$12 * $G$12^((A148-$F$12)/12)))</f>
        <v/>
      </c>
      <c r="M148" s="306">
        <f>IF(A148&lt;$F$13, 0, IF(AND($B$21=1, A148&gt;$B$19), 0, $E$13 * $G$13^((A148-$F$13)/12)))</f>
        <v/>
      </c>
      <c r="N148" s="306">
        <f>IF(A148&lt;$F$14, 0, IF(AND($B$21=1, A148&gt;$B$19), 0, $E$14 * $G$14^((A148-$F$14)/12)))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(INDEX('26. Team Comp'!$D$28:$R$28, B149) * 0.001 / 12)*1.6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IF(A149&lt;$F$11, 0, IF(AND($B$21=1, A149&gt;$B$19), 0, $E$11 * $G$11^((A149-$F$11)/12)))</f>
        <v/>
      </c>
      <c r="L149" s="306">
        <f>IF(A149&lt;$F$12, 0, IF(AND($B$21=1, A149&gt;$B$19), 0, $E$12 * $G$12^((A149-$F$12)/12)))</f>
        <v/>
      </c>
      <c r="M149" s="306">
        <f>IF(A149&lt;$F$13, 0, IF(AND($B$21=1, A149&gt;$B$19), 0, $E$13 * $G$13^((A149-$F$13)/12)))</f>
        <v/>
      </c>
      <c r="N149" s="306">
        <f>IF(A149&lt;$F$14, 0, IF(AND($B$21=1, A149&gt;$B$19), 0, $E$14 * $G$14^((A149-$F$14)/12)))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(INDEX('26. Team Comp'!$D$28:$R$28, B150) * 0.001 / 12)*1.6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IF(A150&lt;$F$11, 0, IF(AND($B$21=1, A150&gt;$B$19), 0, $E$11 * $G$11^((A150-$F$11)/12)))</f>
        <v/>
      </c>
      <c r="L150" s="306">
        <f>IF(A150&lt;$F$12, 0, IF(AND($B$21=1, A150&gt;$B$19), 0, $E$12 * $G$12^((A150-$F$12)/12)))</f>
        <v/>
      </c>
      <c r="M150" s="306">
        <f>IF(A150&lt;$F$13, 0, IF(AND($B$21=1, A150&gt;$B$19), 0, $E$13 * $G$13^((A150-$F$13)/12)))</f>
        <v/>
      </c>
      <c r="N150" s="306">
        <f>IF(A150&lt;$F$14, 0, IF(AND($B$21=1, A150&gt;$B$19), 0, $E$14 * $G$14^((A150-$F$14)/12)))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(INDEX('26. Team Comp'!$D$28:$R$28, B151) * 0.001 / 12)*1.6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IF(A151&lt;$F$11, 0, IF(AND($B$21=1, A151&gt;$B$19), 0, $E$11 * $G$11^((A151-$F$11)/12)))</f>
        <v/>
      </c>
      <c r="L151" s="306">
        <f>IF(A151&lt;$F$12, 0, IF(AND($B$21=1, A151&gt;$B$19), 0, $E$12 * $G$12^((A151-$F$12)/12)))</f>
        <v/>
      </c>
      <c r="M151" s="306">
        <f>IF(A151&lt;$F$13, 0, IF(AND($B$21=1, A151&gt;$B$19), 0, $E$13 * $G$13^((A151-$F$13)/12)))</f>
        <v/>
      </c>
      <c r="N151" s="306">
        <f>IF(A151&lt;$F$14, 0, IF(AND($B$21=1, A151&gt;$B$19), 0, $E$14 * $G$14^((A151-$F$14)/12)))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(INDEX('26. Team Comp'!$D$28:$R$28, B152) * 0.001 / 12)*1.6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IF(A152&lt;$F$11, 0, IF(AND($B$21=1, A152&gt;$B$19), 0, $E$11 * $G$11^((A152-$F$11)/12)))</f>
        <v/>
      </c>
      <c r="L152" s="306">
        <f>IF(A152&lt;$F$12, 0, IF(AND($B$21=1, A152&gt;$B$19), 0, $E$12 * $G$12^((A152-$F$12)/12)))</f>
        <v/>
      </c>
      <c r="M152" s="306">
        <f>IF(A152&lt;$F$13, 0, IF(AND($B$21=1, A152&gt;$B$19), 0, $E$13 * $G$13^((A152-$F$13)/12)))</f>
        <v/>
      </c>
      <c r="N152" s="306">
        <f>IF(A152&lt;$F$14, 0, IF(AND($B$21=1, A152&gt;$B$19), 0, $E$14 * $G$14^((A152-$F$14)/12)))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(INDEX('26. Team Comp'!$D$28:$R$28, B153) * 0.001 / 12)*1.6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IF(A153&lt;$F$11, 0, IF(AND($B$21=1, A153&gt;$B$19), 0, $E$11 * $G$11^((A153-$F$11)/12)))</f>
        <v/>
      </c>
      <c r="L153" s="306">
        <f>IF(A153&lt;$F$12, 0, IF(AND($B$21=1, A153&gt;$B$19), 0, $E$12 * $G$12^((A153-$F$12)/12)))</f>
        <v/>
      </c>
      <c r="M153" s="306">
        <f>IF(A153&lt;$F$13, 0, IF(AND($B$21=1, A153&gt;$B$19), 0, $E$13 * $G$13^((A153-$F$13)/12)))</f>
        <v/>
      </c>
      <c r="N153" s="306">
        <f>IF(A153&lt;$F$14, 0, IF(AND($B$21=1, A153&gt;$B$19), 0, $E$14 * $G$14^((A153-$F$14)/12)))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(INDEX('26. Team Comp'!$D$28:$R$28, B154) * 0.001 / 12)*1.6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IF(A154&lt;$F$11, 0, IF(AND($B$21=1, A154&gt;$B$19), 0, $E$11 * $G$11^((A154-$F$11)/12)))</f>
        <v/>
      </c>
      <c r="L154" s="306">
        <f>IF(A154&lt;$F$12, 0, IF(AND($B$21=1, A154&gt;$B$19), 0, $E$12 * $G$12^((A154-$F$12)/12)))</f>
        <v/>
      </c>
      <c r="M154" s="306">
        <f>IF(A154&lt;$F$13, 0, IF(AND($B$21=1, A154&gt;$B$19), 0, $E$13 * $G$13^((A154-$F$13)/12)))</f>
        <v/>
      </c>
      <c r="N154" s="306">
        <f>IF(A154&lt;$F$14, 0, IF(AND($B$21=1, A154&gt;$B$19), 0, $E$14 * $G$14^((A154-$F$14)/12)))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(INDEX('26. Team Comp'!$D$28:$R$28, B155) * 0.001 / 12)*1.6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IF(A155&lt;$F$11, 0, IF(AND($B$21=1, A155&gt;$B$19), 0, $E$11 * $G$11^((A155-$F$11)/12)))</f>
        <v/>
      </c>
      <c r="L155" s="306">
        <f>IF(A155&lt;$F$12, 0, IF(AND($B$21=1, A155&gt;$B$19), 0, $E$12 * $G$12^((A155-$F$12)/12)))</f>
        <v/>
      </c>
      <c r="M155" s="306">
        <f>IF(A155&lt;$F$13, 0, IF(AND($B$21=1, A155&gt;$B$19), 0, $E$13 * $G$13^((A155-$F$13)/12)))</f>
        <v/>
      </c>
      <c r="N155" s="306">
        <f>IF(A155&lt;$F$14, 0, IF(AND($B$21=1, A155&gt;$B$19), 0, $E$14 * $G$14^((A155-$F$14)/12)))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(INDEX('26. Team Comp'!$D$28:$R$28, B156) * 0.001 / 12)*1.6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IF(A156&lt;$F$11, 0, IF(AND($B$21=1, A156&gt;$B$19), 0, $E$11 * $G$11^((A156-$F$11)/12)))</f>
        <v/>
      </c>
      <c r="L156" s="306">
        <f>IF(A156&lt;$F$12, 0, IF(AND($B$21=1, A156&gt;$B$19), 0, $E$12 * $G$12^((A156-$F$12)/12)))</f>
        <v/>
      </c>
      <c r="M156" s="306">
        <f>IF(A156&lt;$F$13, 0, IF(AND($B$21=1, A156&gt;$B$19), 0, $E$13 * $G$13^((A156-$F$13)/12)))</f>
        <v/>
      </c>
      <c r="N156" s="306">
        <f>IF(A156&lt;$F$14, 0, IF(AND($B$21=1, A156&gt;$B$19), 0, $E$14 * $G$14^((A156-$F$14)/12)))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(INDEX('26. Team Comp'!$D$28:$R$28, B157) * 0.001 / 12)*1.6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IF(A157&lt;$F$11, 0, IF(AND($B$21=1, A157&gt;$B$19), 0, $E$11 * $G$11^((A157-$F$11)/12)))</f>
        <v/>
      </c>
      <c r="L157" s="306">
        <f>IF(A157&lt;$F$12, 0, IF(AND($B$21=1, A157&gt;$B$19), 0, $E$12 * $G$12^((A157-$F$12)/12)))</f>
        <v/>
      </c>
      <c r="M157" s="306">
        <f>IF(A157&lt;$F$13, 0, IF(AND($B$21=1, A157&gt;$B$19), 0, $E$13 * $G$13^((A157-$F$13)/12)))</f>
        <v/>
      </c>
      <c r="N157" s="306">
        <f>IF(A157&lt;$F$14, 0, IF(AND($B$21=1, A157&gt;$B$19), 0, $E$14 * $G$14^((A157-$F$14)/12)))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(INDEX('26. Team Comp'!$D$28:$R$28, B158) * 0.001 / 12)*1.6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IF(A158&lt;$F$11, 0, IF(AND($B$21=1, A158&gt;$B$19), 0, $E$11 * $G$11^((A158-$F$11)/12)))</f>
        <v/>
      </c>
      <c r="L158" s="306">
        <f>IF(A158&lt;$F$12, 0, IF(AND($B$21=1, A158&gt;$B$19), 0, $E$12 * $G$12^((A158-$F$12)/12)))</f>
        <v/>
      </c>
      <c r="M158" s="306">
        <f>IF(A158&lt;$F$13, 0, IF(AND($B$21=1, A158&gt;$B$19), 0, $E$13 * $G$13^((A158-$F$13)/12)))</f>
        <v/>
      </c>
      <c r="N158" s="306">
        <f>IF(A158&lt;$F$14, 0, IF(AND($B$21=1, A158&gt;$B$19), 0, $E$14 * $G$14^((A158-$F$14)/12)))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(INDEX('26. Team Comp'!$D$28:$R$28, B159) * 0.001 / 12)*1.6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IF(A159&lt;$F$11, 0, IF(AND($B$21=1, A159&gt;$B$19), 0, $E$11 * $G$11^((A159-$F$11)/12)))</f>
        <v/>
      </c>
      <c r="L159" s="306">
        <f>IF(A159&lt;$F$12, 0, IF(AND($B$21=1, A159&gt;$B$19), 0, $E$12 * $G$12^((A159-$F$12)/12)))</f>
        <v/>
      </c>
      <c r="M159" s="306">
        <f>IF(A159&lt;$F$13, 0, IF(AND($B$21=1, A159&gt;$B$19), 0, $E$13 * $G$13^((A159-$F$13)/12)))</f>
        <v/>
      </c>
      <c r="N159" s="306">
        <f>IF(A159&lt;$F$14, 0, IF(AND($B$21=1, A159&gt;$B$19), 0, $E$14 * $G$14^((A159-$F$14)/12)))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(INDEX('26. Team Comp'!$D$28:$R$28, B160) * 0.001 / 12)*1.6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IF(A160&lt;$F$11, 0, IF(AND($B$21=1, A160&gt;$B$19), 0, $E$11 * $G$11^((A160-$F$11)/12)))</f>
        <v/>
      </c>
      <c r="L160" s="306">
        <f>IF(A160&lt;$F$12, 0, IF(AND($B$21=1, A160&gt;$B$19), 0, $E$12 * $G$12^((A160-$F$12)/12)))</f>
        <v/>
      </c>
      <c r="M160" s="306">
        <f>IF(A160&lt;$F$13, 0, IF(AND($B$21=1, A160&gt;$B$19), 0, $E$13 * $G$13^((A160-$F$13)/12)))</f>
        <v/>
      </c>
      <c r="N160" s="306">
        <f>IF(A160&lt;$F$14, 0, IF(AND($B$21=1, A160&gt;$B$19), 0, $E$14 * $G$14^((A160-$F$14)/12)))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(INDEX('26. Team Comp'!$D$28:$R$28, B161) * 0.001 / 12)*1.6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IF(A161&lt;$F$11, 0, IF(AND($B$21=1, A161&gt;$B$19), 0, $E$11 * $G$11^((A161-$F$11)/12)))</f>
        <v/>
      </c>
      <c r="L161" s="306">
        <f>IF(A161&lt;$F$12, 0, IF(AND($B$21=1, A161&gt;$B$19), 0, $E$12 * $G$12^((A161-$F$12)/12)))</f>
        <v/>
      </c>
      <c r="M161" s="306">
        <f>IF(A161&lt;$F$13, 0, IF(AND($B$21=1, A161&gt;$B$19), 0, $E$13 * $G$13^((A161-$F$13)/12)))</f>
        <v/>
      </c>
      <c r="N161" s="306">
        <f>IF(A161&lt;$F$14, 0, IF(AND($B$21=1, A161&gt;$B$19), 0, $E$14 * $G$14^((A161-$F$14)/12)))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(INDEX('26. Team Comp'!$D$28:$R$28, B162) * 0.001 / 12)*1.6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IF(A162&lt;$F$11, 0, IF(AND($B$21=1, A162&gt;$B$19), 0, $E$11 * $G$11^((A162-$F$11)/12)))</f>
        <v/>
      </c>
      <c r="L162" s="306">
        <f>IF(A162&lt;$F$12, 0, IF(AND($B$21=1, A162&gt;$B$19), 0, $E$12 * $G$12^((A162-$F$12)/12)))</f>
        <v/>
      </c>
      <c r="M162" s="306">
        <f>IF(A162&lt;$F$13, 0, IF(AND($B$21=1, A162&gt;$B$19), 0, $E$13 * $G$13^((A162-$F$13)/12)))</f>
        <v/>
      </c>
      <c r="N162" s="306">
        <f>IF(A162&lt;$F$14, 0, IF(AND($B$21=1, A162&gt;$B$19), 0, $E$14 * $G$14^((A162-$F$14)/12)))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(INDEX('26. Team Comp'!$D$28:$R$28, B163) * 0.001 / 12)*1.6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IF(A163&lt;$F$11, 0, IF(AND($B$21=1, A163&gt;$B$19), 0, $E$11 * $G$11^((A163-$F$11)/12)))</f>
        <v/>
      </c>
      <c r="L163" s="306">
        <f>IF(A163&lt;$F$12, 0, IF(AND($B$21=1, A163&gt;$B$19), 0, $E$12 * $G$12^((A163-$F$12)/12)))</f>
        <v/>
      </c>
      <c r="M163" s="306">
        <f>IF(A163&lt;$F$13, 0, IF(AND($B$21=1, A163&gt;$B$19), 0, $E$13 * $G$13^((A163-$F$13)/12)))</f>
        <v/>
      </c>
      <c r="N163" s="306">
        <f>IF(A163&lt;$F$14, 0, IF(AND($B$21=1, A163&gt;$B$19), 0, $E$14 * $G$14^((A163-$F$14)/12)))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(INDEX('26. Team Comp'!$D$28:$R$28, B164) * 0.001 / 12)*1.6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IF(A164&lt;$F$11, 0, IF(AND($B$21=1, A164&gt;$B$19), 0, $E$11 * $G$11^((A164-$F$11)/12)))</f>
        <v/>
      </c>
      <c r="L164" s="306">
        <f>IF(A164&lt;$F$12, 0, IF(AND($B$21=1, A164&gt;$B$19), 0, $E$12 * $G$12^((A164-$F$12)/12)))</f>
        <v/>
      </c>
      <c r="M164" s="306">
        <f>IF(A164&lt;$F$13, 0, IF(AND($B$21=1, A164&gt;$B$19), 0, $E$13 * $G$13^((A164-$F$13)/12)))</f>
        <v/>
      </c>
      <c r="N164" s="306">
        <f>IF(A164&lt;$F$14, 0, IF(AND($B$21=1, A164&gt;$B$19), 0, $E$14 * $G$14^((A164-$F$14)/12)))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(INDEX('26. Team Comp'!$D$28:$R$28, B165) * 0.001 / 12)*1.6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IF(A165&lt;$F$11, 0, IF(AND($B$21=1, A165&gt;$B$19), 0, $E$11 * $G$11^((A165-$F$11)/12)))</f>
        <v/>
      </c>
      <c r="L165" s="306">
        <f>IF(A165&lt;$F$12, 0, IF(AND($B$21=1, A165&gt;$B$19), 0, $E$12 * $G$12^((A165-$F$12)/12)))</f>
        <v/>
      </c>
      <c r="M165" s="306">
        <f>IF(A165&lt;$F$13, 0, IF(AND($B$21=1, A165&gt;$B$19), 0, $E$13 * $G$13^((A165-$F$13)/12)))</f>
        <v/>
      </c>
      <c r="N165" s="306">
        <f>IF(A165&lt;$F$14, 0, IF(AND($B$21=1, A165&gt;$B$19), 0, $E$14 * $G$14^((A165-$F$14)/12)))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(INDEX('26. Team Comp'!$D$28:$R$28, B166) * 0.001 / 12)*1.6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IF(A166&lt;$F$11, 0, IF(AND($B$21=1, A166&gt;$B$19), 0, $E$11 * $G$11^((A166-$F$11)/12)))</f>
        <v/>
      </c>
      <c r="L166" s="306">
        <f>IF(A166&lt;$F$12, 0, IF(AND($B$21=1, A166&gt;$B$19), 0, $E$12 * $G$12^((A166-$F$12)/12)))</f>
        <v/>
      </c>
      <c r="M166" s="306">
        <f>IF(A166&lt;$F$13, 0, IF(AND($B$21=1, A166&gt;$B$19), 0, $E$13 * $G$13^((A166-$F$13)/12)))</f>
        <v/>
      </c>
      <c r="N166" s="306">
        <f>IF(A166&lt;$F$14, 0, IF(AND($B$21=1, A166&gt;$B$19), 0, $E$14 * $G$14^((A166-$F$14)/12)))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(INDEX('26. Team Comp'!$D$28:$R$28, B167) * 0.001 / 12)*1.6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IF(A167&lt;$F$11, 0, IF(AND($B$21=1, A167&gt;$B$19), 0, $E$11 * $G$11^((A167-$F$11)/12)))</f>
        <v/>
      </c>
      <c r="L167" s="306">
        <f>IF(A167&lt;$F$12, 0, IF(AND($B$21=1, A167&gt;$B$19), 0, $E$12 * $G$12^((A167-$F$12)/12)))</f>
        <v/>
      </c>
      <c r="M167" s="306">
        <f>IF(A167&lt;$F$13, 0, IF(AND($B$21=1, A167&gt;$B$19), 0, $E$13 * $G$13^((A167-$F$13)/12)))</f>
        <v/>
      </c>
      <c r="N167" s="306">
        <f>IF(A167&lt;$F$14, 0, IF(AND($B$21=1, A167&gt;$B$19), 0, $E$14 * $G$14^((A167-$F$14)/12)))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(INDEX('26. Team Comp'!$D$28:$R$28, B168) * 0.001 / 12)*1.6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IF(A168&lt;$F$11, 0, IF(AND($B$21=1, A168&gt;$B$19), 0, $E$11 * $G$11^((A168-$F$11)/12)))</f>
        <v/>
      </c>
      <c r="L168" s="306">
        <f>IF(A168&lt;$F$12, 0, IF(AND($B$21=1, A168&gt;$B$19), 0, $E$12 * $G$12^((A168-$F$12)/12)))</f>
        <v/>
      </c>
      <c r="M168" s="306">
        <f>IF(A168&lt;$F$13, 0, IF(AND($B$21=1, A168&gt;$B$19), 0, $E$13 * $G$13^((A168-$F$13)/12)))</f>
        <v/>
      </c>
      <c r="N168" s="306">
        <f>IF(A168&lt;$F$14, 0, IF(AND($B$21=1, A168&gt;$B$19), 0, $E$14 * $G$14^((A168-$F$14)/12)))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(INDEX('26. Team Comp'!$D$28:$R$28, B169) * 0.001 / 12)*1.6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IF(A169&lt;$F$11, 0, IF(AND($B$21=1, A169&gt;$B$19), 0, $E$11 * $G$11^((A169-$F$11)/12)))</f>
        <v/>
      </c>
      <c r="L169" s="306">
        <f>IF(A169&lt;$F$12, 0, IF(AND($B$21=1, A169&gt;$B$19), 0, $E$12 * $G$12^((A169-$F$12)/12)))</f>
        <v/>
      </c>
      <c r="M169" s="306">
        <f>IF(A169&lt;$F$13, 0, IF(AND($B$21=1, A169&gt;$B$19), 0, $E$13 * $G$13^((A169-$F$13)/12)))</f>
        <v/>
      </c>
      <c r="N169" s="306">
        <f>IF(A169&lt;$F$14, 0, IF(AND($B$21=1, A169&gt;$B$19), 0, $E$14 * $G$14^((A169-$F$14)/12)))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(INDEX('26. Team Comp'!$D$28:$R$28, B170) * 0.001 / 12)*1.6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IF(A170&lt;$F$11, 0, IF(AND($B$21=1, A170&gt;$B$19), 0, $E$11 * $G$11^((A170-$F$11)/12)))</f>
        <v/>
      </c>
      <c r="L170" s="306">
        <f>IF(A170&lt;$F$12, 0, IF(AND($B$21=1, A170&gt;$B$19), 0, $E$12 * $G$12^((A170-$F$12)/12)))</f>
        <v/>
      </c>
      <c r="M170" s="306">
        <f>IF(A170&lt;$F$13, 0, IF(AND($B$21=1, A170&gt;$B$19), 0, $E$13 * $G$13^((A170-$F$13)/12)))</f>
        <v/>
      </c>
      <c r="N170" s="306">
        <f>IF(A170&lt;$F$14, 0, IF(AND($B$21=1, A170&gt;$B$19), 0, $E$14 * $G$14^((A170-$F$14)/12)))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(INDEX('26. Team Comp'!$D$28:$R$28, B171) * 0.001 / 12)*1.6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IF(A171&lt;$F$11, 0, IF(AND($B$21=1, A171&gt;$B$19), 0, $E$11 * $G$11^((A171-$F$11)/12)))</f>
        <v/>
      </c>
      <c r="L171" s="306">
        <f>IF(A171&lt;$F$12, 0, IF(AND($B$21=1, A171&gt;$B$19), 0, $E$12 * $G$12^((A171-$F$12)/12)))</f>
        <v/>
      </c>
      <c r="M171" s="306">
        <f>IF(A171&lt;$F$13, 0, IF(AND($B$21=1, A171&gt;$B$19), 0, $E$13 * $G$13^((A171-$F$13)/12)))</f>
        <v/>
      </c>
      <c r="N171" s="306">
        <f>IF(A171&lt;$F$14, 0, IF(AND($B$21=1, A171&gt;$B$19), 0, $E$14 * $G$14^((A171-$F$14)/12)))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(INDEX('26. Team Comp'!$D$28:$R$28, B172) * 0.001 / 12)*1.6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IF(A172&lt;$F$11, 0, IF(AND($B$21=1, A172&gt;$B$19), 0, $E$11 * $G$11^((A172-$F$11)/12)))</f>
        <v/>
      </c>
      <c r="L172" s="306">
        <f>IF(A172&lt;$F$12, 0, IF(AND($B$21=1, A172&gt;$B$19), 0, $E$12 * $G$12^((A172-$F$12)/12)))</f>
        <v/>
      </c>
      <c r="M172" s="306">
        <f>IF(A172&lt;$F$13, 0, IF(AND($B$21=1, A172&gt;$B$19), 0, $E$13 * $G$13^((A172-$F$13)/12)))</f>
        <v/>
      </c>
      <c r="N172" s="306">
        <f>IF(A172&lt;$F$14, 0, IF(AND($B$21=1, A172&gt;$B$19), 0, $E$14 * $G$14^((A172-$F$14)/12)))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(INDEX('26. Team Comp'!$D$28:$R$28, B173) * 0.001 / 12)*1.6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IF(A173&lt;$F$11, 0, IF(AND($B$21=1, A173&gt;$B$19), 0, $E$11 * $G$11^((A173-$F$11)/12)))</f>
        <v/>
      </c>
      <c r="L173" s="306">
        <f>IF(A173&lt;$F$12, 0, IF(AND($B$21=1, A173&gt;$B$19), 0, $E$12 * $G$12^((A173-$F$12)/12)))</f>
        <v/>
      </c>
      <c r="M173" s="306">
        <f>IF(A173&lt;$F$13, 0, IF(AND($B$21=1, A173&gt;$B$19), 0, $E$13 * $G$13^((A173-$F$13)/12)))</f>
        <v/>
      </c>
      <c r="N173" s="306">
        <f>IF(A173&lt;$F$14, 0, IF(AND($B$21=1, A173&gt;$B$19), 0, $E$14 * $G$14^((A173-$F$14)/12)))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(INDEX('26. Team Comp'!$D$28:$R$28, B174) * 0.001 / 12)*1.6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IF(A174&lt;$F$11, 0, IF(AND($B$21=1, A174&gt;$B$19), 0, $E$11 * $G$11^((A174-$F$11)/12)))</f>
        <v/>
      </c>
      <c r="L174" s="306">
        <f>IF(A174&lt;$F$12, 0, IF(AND($B$21=1, A174&gt;$B$19), 0, $E$12 * $G$12^((A174-$F$12)/12)))</f>
        <v/>
      </c>
      <c r="M174" s="306">
        <f>IF(A174&lt;$F$13, 0, IF(AND($B$21=1, A174&gt;$B$19), 0, $E$13 * $G$13^((A174-$F$13)/12)))</f>
        <v/>
      </c>
      <c r="N174" s="306">
        <f>IF(A174&lt;$F$14, 0, IF(AND($B$21=1, A174&gt;$B$19), 0, $E$14 * $G$14^((A174-$F$14)/12)))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(INDEX('26. Team Comp'!$D$28:$R$28, B175) * 0.001 / 12)*1.6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IF(A175&lt;$F$11, 0, IF(AND($B$21=1, A175&gt;$B$19), 0, $E$11 * $G$11^((A175-$F$11)/12)))</f>
        <v/>
      </c>
      <c r="L175" s="306">
        <f>IF(A175&lt;$F$12, 0, IF(AND($B$21=1, A175&gt;$B$19), 0, $E$12 * $G$12^((A175-$F$12)/12)))</f>
        <v/>
      </c>
      <c r="M175" s="306">
        <f>IF(A175&lt;$F$13, 0, IF(AND($B$21=1, A175&gt;$B$19), 0, $E$13 * $G$13^((A175-$F$13)/12)))</f>
        <v/>
      </c>
      <c r="N175" s="306">
        <f>IF(A175&lt;$F$14, 0, IF(AND($B$21=1, A175&gt;$B$19), 0, $E$14 * $G$14^((A175-$F$14)/12)))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(INDEX('26. Team Comp'!$D$28:$R$28, B176) * 0.001 / 12)*1.6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IF(A176&lt;$F$11, 0, IF(AND($B$21=1, A176&gt;$B$19), 0, $E$11 * $G$11^((A176-$F$11)/12)))</f>
        <v/>
      </c>
      <c r="L176" s="306">
        <f>IF(A176&lt;$F$12, 0, IF(AND($B$21=1, A176&gt;$B$19), 0, $E$12 * $G$12^((A176-$F$12)/12)))</f>
        <v/>
      </c>
      <c r="M176" s="306">
        <f>IF(A176&lt;$F$13, 0, IF(AND($B$21=1, A176&gt;$B$19), 0, $E$13 * $G$13^((A176-$F$13)/12)))</f>
        <v/>
      </c>
      <c r="N176" s="306">
        <f>IF(A176&lt;$F$14, 0, IF(AND($B$21=1, A176&gt;$B$19), 0, $E$14 * $G$14^((A176-$F$14)/12)))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(INDEX('26. Team Comp'!$D$28:$R$28, B177) * 0.001 / 12)*1.6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IF(A177&lt;$F$11, 0, IF(AND($B$21=1, A177&gt;$B$19), 0, $E$11 * $G$11^((A177-$F$11)/12)))</f>
        <v/>
      </c>
      <c r="L177" s="306">
        <f>IF(A177&lt;$F$12, 0, IF(AND($B$21=1, A177&gt;$B$19), 0, $E$12 * $G$12^((A177-$F$12)/12)))</f>
        <v/>
      </c>
      <c r="M177" s="306">
        <f>IF(A177&lt;$F$13, 0, IF(AND($B$21=1, A177&gt;$B$19), 0, $E$13 * $G$13^((A177-$F$13)/12)))</f>
        <v/>
      </c>
      <c r="N177" s="306">
        <f>IF(A177&lt;$F$14, 0, IF(AND($B$21=1, A177&gt;$B$19), 0, $E$14 * $G$14^((A177-$F$14)/12)))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(INDEX('26. Team Comp'!$D$28:$R$28, B178) * 0.001 / 12)*1.6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IF(A178&lt;$F$11, 0, IF(AND($B$21=1, A178&gt;$B$19), 0, $E$11 * $G$11^((A178-$F$11)/12)))</f>
        <v/>
      </c>
      <c r="L178" s="306">
        <f>IF(A178&lt;$F$12, 0, IF(AND($B$21=1, A178&gt;$B$19), 0, $E$12 * $G$12^((A178-$F$12)/12)))</f>
        <v/>
      </c>
      <c r="M178" s="306">
        <f>IF(A178&lt;$F$13, 0, IF(AND($B$21=1, A178&gt;$B$19), 0, $E$13 * $G$13^((A178-$F$13)/12)))</f>
        <v/>
      </c>
      <c r="N178" s="306">
        <f>IF(A178&lt;$F$14, 0, IF(AND($B$21=1, A178&gt;$B$19), 0, $E$14 * $G$14^((A178-$F$14)/12)))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(INDEX('26. Team Comp'!$D$28:$R$28, B179) * 0.001 / 12)*1.6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IF(A179&lt;$F$11, 0, IF(AND($B$21=1, A179&gt;$B$19), 0, $E$11 * $G$11^((A179-$F$11)/12)))</f>
        <v/>
      </c>
      <c r="L179" s="306">
        <f>IF(A179&lt;$F$12, 0, IF(AND($B$21=1, A179&gt;$B$19), 0, $E$12 * $G$12^((A179-$F$12)/12)))</f>
        <v/>
      </c>
      <c r="M179" s="306">
        <f>IF(A179&lt;$F$13, 0, IF(AND($B$21=1, A179&gt;$B$19), 0, $E$13 * $G$13^((A179-$F$13)/12)))</f>
        <v/>
      </c>
      <c r="N179" s="306">
        <f>IF(A179&lt;$F$14, 0, IF(AND($B$21=1, A179&gt;$B$19), 0, $E$14 * $G$14^((A179-$F$14)/12)))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(INDEX('26. Team Comp'!$D$28:$R$28, B180) * 0.001 / 12)*1.6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IF(A180&lt;$F$11, 0, IF(AND($B$21=1, A180&gt;$B$19), 0, $E$11 * $G$11^((A180-$F$11)/12)))</f>
        <v/>
      </c>
      <c r="L180" s="306">
        <f>IF(A180&lt;$F$12, 0, IF(AND($B$21=1, A180&gt;$B$19), 0, $E$12 * $G$12^((A180-$F$12)/12)))</f>
        <v/>
      </c>
      <c r="M180" s="306">
        <f>IF(A180&lt;$F$13, 0, IF(AND($B$21=1, A180&gt;$B$19), 0, $E$13 * $G$13^((A180-$F$13)/12)))</f>
        <v/>
      </c>
      <c r="N180" s="306">
        <f>IF(A180&lt;$F$14, 0, IF(AND($B$21=1, A180&gt;$B$19), 0, $E$14 * $G$14^((A180-$F$14)/12)))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(INDEX('26. Team Comp'!$D$28:$R$28, B181) * 0.001 / 12)*1.6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IF(A181&lt;$F$11, 0, IF(AND($B$21=1, A181&gt;$B$19), 0, $E$11 * $G$11^((A181-$F$11)/12)))</f>
        <v/>
      </c>
      <c r="L181" s="306">
        <f>IF(A181&lt;$F$12, 0, IF(AND($B$21=1, A181&gt;$B$19), 0, $E$12 * $G$12^((A181-$F$12)/12)))</f>
        <v/>
      </c>
      <c r="M181" s="306">
        <f>IF(A181&lt;$F$13, 0, IF(AND($B$21=1, A181&gt;$B$19), 0, $E$13 * $G$13^((A181-$F$13)/12)))</f>
        <v/>
      </c>
      <c r="N181" s="306">
        <f>IF(A181&lt;$F$14, 0, IF(AND($B$21=1, A181&gt;$B$19), 0, $E$14 * $G$14^((A181-$F$14)/12)))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(INDEX('26. Team Comp'!$D$28:$R$28, B182) * 0.001 / 12)*1.6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IF(A182&lt;$F$11, 0, IF(AND($B$21=1, A182&gt;$B$19), 0, $E$11 * $G$11^((A182-$F$11)/12)))</f>
        <v/>
      </c>
      <c r="L182" s="306">
        <f>IF(A182&lt;$F$12, 0, IF(AND($B$21=1, A182&gt;$B$19), 0, $E$12 * $G$12^((A182-$F$12)/12)))</f>
        <v/>
      </c>
      <c r="M182" s="306">
        <f>IF(A182&lt;$F$13, 0, IF(AND($B$21=1, A182&gt;$B$19), 0, $E$13 * $G$13^((A182-$F$13)/12)))</f>
        <v/>
      </c>
      <c r="N182" s="306">
        <f>IF(A182&lt;$F$14, 0, IF(AND($B$21=1, A182&gt;$B$19), 0, $E$14 * $G$14^((A182-$F$14)/12)))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(INDEX('26. Team Comp'!$D$28:$R$28, B183) * 0.001 / 12)*1.6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IF(A183&lt;$F$11, 0, IF(AND($B$21=1, A183&gt;$B$19), 0, $E$11 * $G$11^((A183-$F$11)/12)))</f>
        <v/>
      </c>
      <c r="L183" s="306">
        <f>IF(A183&lt;$F$12, 0, IF(AND($B$21=1, A183&gt;$B$19), 0, $E$12 * $G$12^((A183-$F$12)/12)))</f>
        <v/>
      </c>
      <c r="M183" s="306">
        <f>IF(A183&lt;$F$13, 0, IF(AND($B$21=1, A183&gt;$B$19), 0, $E$13 * $G$13^((A183-$F$13)/12)))</f>
        <v/>
      </c>
      <c r="N183" s="306">
        <f>IF(A183&lt;$F$14, 0, IF(AND($B$21=1, A183&gt;$B$19), 0, $E$14 * $G$14^((A183-$F$14)/12)))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(INDEX('26. Team Comp'!$D$28:$R$28, B184) * 0.001 / 12)*1.6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IF(A184&lt;$F$11, 0, IF(AND($B$21=1, A184&gt;$B$19), 0, $E$11 * $G$11^((A184-$F$11)/12)))</f>
        <v/>
      </c>
      <c r="L184" s="306">
        <f>IF(A184&lt;$F$12, 0, IF(AND($B$21=1, A184&gt;$B$19), 0, $E$12 * $G$12^((A184-$F$12)/12)))</f>
        <v/>
      </c>
      <c r="M184" s="306">
        <f>IF(A184&lt;$F$13, 0, IF(AND($B$21=1, A184&gt;$B$19), 0, $E$13 * $G$13^((A184-$F$13)/12)))</f>
        <v/>
      </c>
      <c r="N184" s="306">
        <f>IF(A184&lt;$F$14, 0, IF(AND($B$21=1, A184&gt;$B$19), 0, $E$14 * $G$14^((A184-$F$14)/12)))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(INDEX('26. Team Comp'!$D$28:$R$28, B185) * 0.001 / 12)*1.6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IF(A185&lt;$F$11, 0, IF(AND($B$21=1, A185&gt;$B$19), 0, $E$11 * $G$11^((A185-$F$11)/12)))</f>
        <v/>
      </c>
      <c r="L185" s="306">
        <f>IF(A185&lt;$F$12, 0, IF(AND($B$21=1, A185&gt;$B$19), 0, $E$12 * $G$12^((A185-$F$12)/12)))</f>
        <v/>
      </c>
      <c r="M185" s="306">
        <f>IF(A185&lt;$F$13, 0, IF(AND($B$21=1, A185&gt;$B$19), 0, $E$13 * $G$13^((A185-$F$13)/12)))</f>
        <v/>
      </c>
      <c r="N185" s="306">
        <f>IF(A185&lt;$F$14, 0, IF(AND($B$21=1, A185&gt;$B$19), 0, $E$14 * $G$14^((A185-$F$14)/12)))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(INDEX('26. Team Comp'!$D$28:$R$28, B186) * 0.001 / 12)*1.6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IF(A186&lt;$F$11, 0, IF(AND($B$21=1, A186&gt;$B$19), 0, $E$11 * $G$11^((A186-$F$11)/12)))</f>
        <v/>
      </c>
      <c r="L186" s="306">
        <f>IF(A186&lt;$F$12, 0, IF(AND($B$21=1, A186&gt;$B$19), 0, $E$12 * $G$12^((A186-$F$12)/12)))</f>
        <v/>
      </c>
      <c r="M186" s="306">
        <f>IF(A186&lt;$F$13, 0, IF(AND($B$21=1, A186&gt;$B$19), 0, $E$13 * $G$13^((A186-$F$13)/12)))</f>
        <v/>
      </c>
      <c r="N186" s="306">
        <f>IF(A186&lt;$F$14, 0, IF(AND($B$21=1, A186&gt;$B$19), 0, $E$14 * $G$14^((A186-$F$14)/12)))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(INDEX('26. Team Comp'!$D$28:$R$28, B187) * 0.001 / 12)*1.6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IF(A187&lt;$F$11, 0, IF(AND($B$21=1, A187&gt;$B$19), 0, $E$11 * $G$11^((A187-$F$11)/12)))</f>
        <v/>
      </c>
      <c r="L187" s="306">
        <f>IF(A187&lt;$F$12, 0, IF(AND($B$21=1, A187&gt;$B$19), 0, $E$12 * $G$12^((A187-$F$12)/12)))</f>
        <v/>
      </c>
      <c r="M187" s="306">
        <f>IF(A187&lt;$F$13, 0, IF(AND($B$21=1, A187&gt;$B$19), 0, $E$13 * $G$13^((A187-$F$13)/12)))</f>
        <v/>
      </c>
      <c r="N187" s="306">
        <f>IF(A187&lt;$F$14, 0, IF(AND($B$21=1, A187&gt;$B$19), 0, $E$14 * $G$14^((A187-$F$14)/12)))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(INDEX('26. Team Comp'!$D$28:$R$28, B188) * 0.001 / 12)*1.6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IF(A188&lt;$F$11, 0, IF(AND($B$21=1, A188&gt;$B$19), 0, $E$11 * $G$11^((A188-$F$11)/12)))</f>
        <v/>
      </c>
      <c r="L188" s="306">
        <f>IF(A188&lt;$F$12, 0, IF(AND($B$21=1, A188&gt;$B$19), 0, $E$12 * $G$12^((A188-$F$12)/12)))</f>
        <v/>
      </c>
      <c r="M188" s="306">
        <f>IF(A188&lt;$F$13, 0, IF(AND($B$21=1, A188&gt;$B$19), 0, $E$13 * $G$13^((A188-$F$13)/12)))</f>
        <v/>
      </c>
      <c r="N188" s="306">
        <f>IF(A188&lt;$F$14, 0, IF(AND($B$21=1, A188&gt;$B$19), 0, $E$14 * $G$14^((A188-$F$14)/12)))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(INDEX('26. Team Comp'!$D$28:$R$28, B189) * 0.001 / 12)*1.6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IF(A189&lt;$F$11, 0, IF(AND($B$21=1, A189&gt;$B$19), 0, $E$11 * $G$11^((A189-$F$11)/12)))</f>
        <v/>
      </c>
      <c r="L189" s="306">
        <f>IF(A189&lt;$F$12, 0, IF(AND($B$21=1, A189&gt;$B$19), 0, $E$12 * $G$12^((A189-$F$12)/12)))</f>
        <v/>
      </c>
      <c r="M189" s="306">
        <f>IF(A189&lt;$F$13, 0, IF(AND($B$21=1, A189&gt;$B$19), 0, $E$13 * $G$13^((A189-$F$13)/12)))</f>
        <v/>
      </c>
      <c r="N189" s="306">
        <f>IF(A189&lt;$F$14, 0, IF(AND($B$21=1, A189&gt;$B$19), 0, $E$14 * $G$14^((A189-$F$14)/12)))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(INDEX('26. Team Comp'!$D$28:$R$28, B190) * 0.001 / 12)*1.6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IF(A190&lt;$F$11, 0, IF(AND($B$21=1, A190&gt;$B$19), 0, $E$11 * $G$11^((A190-$F$11)/12)))</f>
        <v/>
      </c>
      <c r="L190" s="306">
        <f>IF(A190&lt;$F$12, 0, IF(AND($B$21=1, A190&gt;$B$19), 0, $E$12 * $G$12^((A190-$F$12)/12)))</f>
        <v/>
      </c>
      <c r="M190" s="306">
        <f>IF(A190&lt;$F$13, 0, IF(AND($B$21=1, A190&gt;$B$19), 0, $E$13 * $G$13^((A190-$F$13)/12)))</f>
        <v/>
      </c>
      <c r="N190" s="306">
        <f>IF(A190&lt;$F$14, 0, IF(AND($B$21=1, A190&gt;$B$19), 0, $E$14 * $G$14^((A190-$F$14)/12)))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(INDEX('26. Team Comp'!$D$28:$R$28, B191) * 0.001 / 12)*1.6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IF(A191&lt;$F$11, 0, IF(AND($B$21=1, A191&gt;$B$19), 0, $E$11 * $G$11^((A191-$F$11)/12)))</f>
        <v/>
      </c>
      <c r="L191" s="306">
        <f>IF(A191&lt;$F$12, 0, IF(AND($B$21=1, A191&gt;$B$19), 0, $E$12 * $G$12^((A191-$F$12)/12)))</f>
        <v/>
      </c>
      <c r="M191" s="306">
        <f>IF(A191&lt;$F$13, 0, IF(AND($B$21=1, A191&gt;$B$19), 0, $E$13 * $G$13^((A191-$F$13)/12)))</f>
        <v/>
      </c>
      <c r="N191" s="306">
        <f>IF(A191&lt;$F$14, 0, IF(AND($B$21=1, A191&gt;$B$19), 0, $E$14 * $G$14^((A191-$F$14)/12)))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(INDEX('26. Team Comp'!$D$28:$R$28, B192) * 0.001 / 12)*1.6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IF(A192&lt;$F$11, 0, IF(AND($B$21=1, A192&gt;$B$19), 0, $E$11 * $G$11^((A192-$F$11)/12)))</f>
        <v/>
      </c>
      <c r="L192" s="306">
        <f>IF(A192&lt;$F$12, 0, IF(AND($B$21=1, A192&gt;$B$19), 0, $E$12 * $G$12^((A192-$F$12)/12)))</f>
        <v/>
      </c>
      <c r="M192" s="306">
        <f>IF(A192&lt;$F$13, 0, IF(AND($B$21=1, A192&gt;$B$19), 0, $E$13 * $G$13^((A192-$F$13)/12)))</f>
        <v/>
      </c>
      <c r="N192" s="306">
        <f>IF(A192&lt;$F$14, 0, IF(AND($B$21=1, A192&gt;$B$19), 0, $E$14 * $G$14^((A192-$F$14)/12)))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(INDEX('26. Team Comp'!$D$28:$R$28, B193) * 0.001 / 12)*1.6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IF(A193&lt;$F$11, 0, IF(AND($B$21=1, A193&gt;$B$19), 0, $E$11 * $G$11^((A193-$F$11)/12)))</f>
        <v/>
      </c>
      <c r="L193" s="306">
        <f>IF(A193&lt;$F$12, 0, IF(AND($B$21=1, A193&gt;$B$19), 0, $E$12 * $G$12^((A193-$F$12)/12)))</f>
        <v/>
      </c>
      <c r="M193" s="306">
        <f>IF(A193&lt;$F$13, 0, IF(AND($B$21=1, A193&gt;$B$19), 0, $E$13 * $G$13^((A193-$F$13)/12)))</f>
        <v/>
      </c>
      <c r="N193" s="306">
        <f>IF(A193&lt;$F$14, 0, IF(AND($B$21=1, A193&gt;$B$19), 0, $E$14 * $G$14^((A193-$F$14)/12)))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(INDEX('26. Team Comp'!$D$28:$R$28, B194) * 0.001 / 12)*1.6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IF(A194&lt;$F$11, 0, IF(AND($B$21=1, A194&gt;$B$19), 0, $E$11 * $G$11^((A194-$F$11)/12)))</f>
        <v/>
      </c>
      <c r="L194" s="306">
        <f>IF(A194&lt;$F$12, 0, IF(AND($B$21=1, A194&gt;$B$19), 0, $E$12 * $G$12^((A194-$F$12)/12)))</f>
        <v/>
      </c>
      <c r="M194" s="306">
        <f>IF(A194&lt;$F$13, 0, IF(AND($B$21=1, A194&gt;$B$19), 0, $E$13 * $G$13^((A194-$F$13)/12)))</f>
        <v/>
      </c>
      <c r="N194" s="306">
        <f>IF(A194&lt;$F$14, 0, IF(AND($B$21=1, A194&gt;$B$19), 0, $E$14 * $G$14^((A194-$F$14)/12)))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(INDEX('26. Team Comp'!$D$28:$R$28, B195) * 0.001 / 12)*1.6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IF(A195&lt;$F$11, 0, IF(AND($B$21=1, A195&gt;$B$19), 0, $E$11 * $G$11^((A195-$F$11)/12)))</f>
        <v/>
      </c>
      <c r="L195" s="306">
        <f>IF(A195&lt;$F$12, 0, IF(AND($B$21=1, A195&gt;$B$19), 0, $E$12 * $G$12^((A195-$F$12)/12)))</f>
        <v/>
      </c>
      <c r="M195" s="306">
        <f>IF(A195&lt;$F$13, 0, IF(AND($B$21=1, A195&gt;$B$19), 0, $E$13 * $G$13^((A195-$F$13)/12)))</f>
        <v/>
      </c>
      <c r="N195" s="306">
        <f>IF(A195&lt;$F$14, 0, IF(AND($B$21=1, A195&gt;$B$19), 0, $E$14 * $G$14^((A195-$F$14)/12)))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(INDEX('26. Team Comp'!$D$28:$R$28, B196) * 0.001 / 12)*1.6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IF(A196&lt;$F$11, 0, IF(AND($B$21=1, A196&gt;$B$19), 0, $E$11 * $G$11^((A196-$F$11)/12)))</f>
        <v/>
      </c>
      <c r="L196" s="306">
        <f>IF(A196&lt;$F$12, 0, IF(AND($B$21=1, A196&gt;$B$19), 0, $E$12 * $G$12^((A196-$F$12)/12)))</f>
        <v/>
      </c>
      <c r="M196" s="306">
        <f>IF(A196&lt;$F$13, 0, IF(AND($B$21=1, A196&gt;$B$19), 0, $E$13 * $G$13^((A196-$F$13)/12)))</f>
        <v/>
      </c>
      <c r="N196" s="306">
        <f>IF(A196&lt;$F$14, 0, IF(AND($B$21=1, A196&gt;$B$19), 0, $E$14 * $G$14^((A196-$F$14)/12)))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(INDEX('26. Team Comp'!$D$28:$R$28, B197) * 0.001 / 12)*1.6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IF(A197&lt;$F$11, 0, IF(AND($B$21=1, A197&gt;$B$19), 0, $E$11 * $G$11^((A197-$F$11)/12)))</f>
        <v/>
      </c>
      <c r="L197" s="306">
        <f>IF(A197&lt;$F$12, 0, IF(AND($B$21=1, A197&gt;$B$19), 0, $E$12 * $G$12^((A197-$F$12)/12)))</f>
        <v/>
      </c>
      <c r="M197" s="306">
        <f>IF(A197&lt;$F$13, 0, IF(AND($B$21=1, A197&gt;$B$19), 0, $E$13 * $G$13^((A197-$F$13)/12)))</f>
        <v/>
      </c>
      <c r="N197" s="306">
        <f>IF(A197&lt;$F$14, 0, IF(AND($B$21=1, A197&gt;$B$19), 0, $E$14 * $G$14^((A197-$F$14)/12)))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(INDEX('26. Team Comp'!$D$28:$R$28, B198) * 0.001 / 12)*1.6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IF(A198&lt;$F$11, 0, IF(AND($B$21=1, A198&gt;$B$19), 0, $E$11 * $G$11^((A198-$F$11)/12)))</f>
        <v/>
      </c>
      <c r="L198" s="306">
        <f>IF(A198&lt;$F$12, 0, IF(AND($B$21=1, A198&gt;$B$19), 0, $E$12 * $G$12^((A198-$F$12)/12)))</f>
        <v/>
      </c>
      <c r="M198" s="306">
        <f>IF(A198&lt;$F$13, 0, IF(AND($B$21=1, A198&gt;$B$19), 0, $E$13 * $G$13^((A198-$F$13)/12)))</f>
        <v/>
      </c>
      <c r="N198" s="306">
        <f>IF(A198&lt;$F$14, 0, IF(AND($B$21=1, A198&gt;$B$19), 0, $E$14 * $G$14^((A198-$F$14)/12)))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(INDEX('26. Team Comp'!$D$28:$R$28, B199) * 0.001 / 12)*1.6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IF(A199&lt;$F$11, 0, IF(AND($B$21=1, A199&gt;$B$19), 0, $E$11 * $G$11^((A199-$F$11)/12)))</f>
        <v/>
      </c>
      <c r="L199" s="306">
        <f>IF(A199&lt;$F$12, 0, IF(AND($B$21=1, A199&gt;$B$19), 0, $E$12 * $G$12^((A199-$F$12)/12)))</f>
        <v/>
      </c>
      <c r="M199" s="306">
        <f>IF(A199&lt;$F$13, 0, IF(AND($B$21=1, A199&gt;$B$19), 0, $E$13 * $G$13^((A199-$F$13)/12)))</f>
        <v/>
      </c>
      <c r="N199" s="306">
        <f>IF(A199&lt;$F$14, 0, IF(AND($B$21=1, A199&gt;$B$19), 0, $E$14 * $G$14^((A199-$F$14)/12)))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(INDEX('26. Team Comp'!$D$28:$R$28, B200) * 0.001 / 12)*1.6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IF(A200&lt;$F$11, 0, IF(AND($B$21=1, A200&gt;$B$19), 0, $E$11 * $G$11^((A200-$F$11)/12)))</f>
        <v/>
      </c>
      <c r="L200" s="306">
        <f>IF(A200&lt;$F$12, 0, IF(AND($B$21=1, A200&gt;$B$19), 0, $E$12 * $G$12^((A200-$F$12)/12)))</f>
        <v/>
      </c>
      <c r="M200" s="306">
        <f>IF(A200&lt;$F$13, 0, IF(AND($B$21=1, A200&gt;$B$19), 0, $E$13 * $G$13^((A200-$F$13)/12)))</f>
        <v/>
      </c>
      <c r="N200" s="306">
        <f>IF(A200&lt;$F$14, 0, IF(AND($B$21=1, A200&gt;$B$19), 0, $E$14 * $G$14^((A200-$F$14)/12)))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(INDEX('26. Team Comp'!$D$28:$R$28, B201) * 0.001 / 12)*1.6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IF(A201&lt;$F$11, 0, IF(AND($B$21=1, A201&gt;$B$19), 0, $E$11 * $G$11^((A201-$F$11)/12)))</f>
        <v/>
      </c>
      <c r="L201" s="306">
        <f>IF(A201&lt;$F$12, 0, IF(AND($B$21=1, A201&gt;$B$19), 0, $E$12 * $G$12^((A201-$F$12)/12)))</f>
        <v/>
      </c>
      <c r="M201" s="306">
        <f>IF(A201&lt;$F$13, 0, IF(AND($B$21=1, A201&gt;$B$19), 0, $E$13 * $G$13^((A201-$F$13)/12)))</f>
        <v/>
      </c>
      <c r="N201" s="306">
        <f>IF(A201&lt;$F$14, 0, IF(AND($B$21=1, A201&gt;$B$19), 0, $E$14 * $G$14^((A201-$F$14)/12)))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(INDEX('26. Team Comp'!$D$28:$R$28, B202) * 0.001 / 12)*1.6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IF(A202&lt;$F$11, 0, IF(AND($B$21=1, A202&gt;$B$19), 0, $E$11 * $G$11^((A202-$F$11)/12)))</f>
        <v/>
      </c>
      <c r="L202" s="306">
        <f>IF(A202&lt;$F$12, 0, IF(AND($B$21=1, A202&gt;$B$19), 0, $E$12 * $G$12^((A202-$F$12)/12)))</f>
        <v/>
      </c>
      <c r="M202" s="306">
        <f>IF(A202&lt;$F$13, 0, IF(AND($B$21=1, A202&gt;$B$19), 0, $E$13 * $G$13^((A202-$F$13)/12)))</f>
        <v/>
      </c>
      <c r="N202" s="306">
        <f>IF(A202&lt;$F$14, 0, IF(AND($B$21=1, A202&gt;$B$19), 0, $E$14 * $G$14^((A202-$F$14)/12)))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(INDEX('26. Team Comp'!$D$28:$R$28, B203) * 0.001 / 12)*1.6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IF(A203&lt;$F$11, 0, IF(AND($B$21=1, A203&gt;$B$19), 0, $E$11 * $G$11^((A203-$F$11)/12)))</f>
        <v/>
      </c>
      <c r="L203" s="306">
        <f>IF(A203&lt;$F$12, 0, IF(AND($B$21=1, A203&gt;$B$19), 0, $E$12 * $G$12^((A203-$F$12)/12)))</f>
        <v/>
      </c>
      <c r="M203" s="306">
        <f>IF(A203&lt;$F$13, 0, IF(AND($B$21=1, A203&gt;$B$19), 0, $E$13 * $G$13^((A203-$F$13)/12)))</f>
        <v/>
      </c>
      <c r="N203" s="306">
        <f>IF(A203&lt;$F$14, 0, IF(AND($B$21=1, A203&gt;$B$19), 0, $E$14 * $G$14^((A203-$F$14)/12)))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(INDEX('26. Team Comp'!$D$28:$R$28, B204) * 0.001 / 12)*1.6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IF(A204&lt;$F$11, 0, IF(AND($B$21=1, A204&gt;$B$19), 0, $E$11 * $G$11^((A204-$F$11)/12)))</f>
        <v/>
      </c>
      <c r="L204" s="306">
        <f>IF(A204&lt;$F$12, 0, IF(AND($B$21=1, A204&gt;$B$19), 0, $E$12 * $G$12^((A204-$F$12)/12)))</f>
        <v/>
      </c>
      <c r="M204" s="306">
        <f>IF(A204&lt;$F$13, 0, IF(AND($B$21=1, A204&gt;$B$19), 0, $E$13 * $G$13^((A204-$F$13)/12)))</f>
        <v/>
      </c>
      <c r="N204" s="306">
        <f>IF(A204&lt;$F$14, 0, IF(AND($B$21=1, A204&gt;$B$19), 0, $E$14 * $G$14^((A204-$F$14)/12)))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(INDEX('26. Team Comp'!$D$28:$R$28, B205) * 0.001 / 12)*1.6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IF(A205&lt;$F$11, 0, IF(AND($B$21=1, A205&gt;$B$19), 0, $E$11 * $G$11^((A205-$F$11)/12)))</f>
        <v/>
      </c>
      <c r="L205" s="306">
        <f>IF(A205&lt;$F$12, 0, IF(AND($B$21=1, A205&gt;$B$19), 0, $E$12 * $G$12^((A205-$F$12)/12)))</f>
        <v/>
      </c>
      <c r="M205" s="306">
        <f>IF(A205&lt;$F$13, 0, IF(AND($B$21=1, A205&gt;$B$19), 0, $E$13 * $G$13^((A205-$F$13)/12)))</f>
        <v/>
      </c>
      <c r="N205" s="306">
        <f>IF(A205&lt;$F$14, 0, IF(AND($B$21=1, A205&gt;$B$19), 0, $E$14 * $G$14^((A205-$F$14)/12)))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(INDEX('26. Team Comp'!$D$28:$R$28, B206) * 0.001 / 12)*1.6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IF(A206&lt;$F$11, 0, IF(AND($B$21=1, A206&gt;$B$19), 0, $E$11 * $G$11^((A206-$F$11)/12)))</f>
        <v/>
      </c>
      <c r="L206" s="306">
        <f>IF(A206&lt;$F$12, 0, IF(AND($B$21=1, A206&gt;$B$19), 0, $E$12 * $G$12^((A206-$F$12)/12)))</f>
        <v/>
      </c>
      <c r="M206" s="306">
        <f>IF(A206&lt;$F$13, 0, IF(AND($B$21=1, A206&gt;$B$19), 0, $E$13 * $G$13^((A206-$F$13)/12)))</f>
        <v/>
      </c>
      <c r="N206" s="306">
        <f>IF(A206&lt;$F$14, 0, IF(AND($B$21=1, A206&gt;$B$19), 0, $E$14 * $G$14^((A206-$F$14)/12)))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(INDEX('26. Team Comp'!$D$28:$R$28, B207) * 0.001 / 12)*1.6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IF(A207&lt;$F$11, 0, IF(AND($B$21=1, A207&gt;$B$19), 0, $E$11 * $G$11^((A207-$F$11)/12)))</f>
        <v/>
      </c>
      <c r="L207" s="306">
        <f>IF(A207&lt;$F$12, 0, IF(AND($B$21=1, A207&gt;$B$19), 0, $E$12 * $G$12^((A207-$F$12)/12)))</f>
        <v/>
      </c>
      <c r="M207" s="306">
        <f>IF(A207&lt;$F$13, 0, IF(AND($B$21=1, A207&gt;$B$19), 0, $E$13 * $G$13^((A207-$F$13)/12)))</f>
        <v/>
      </c>
      <c r="N207" s="306">
        <f>IF(A207&lt;$F$14, 0, IF(AND($B$21=1, A207&gt;$B$19), 0, $E$14 * $G$14^((A207-$F$14)/12)))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(INDEX('26. Team Comp'!$D$28:$R$28, B208) * 0.001 / 12)*1.6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IF(A208&lt;$F$11, 0, IF(AND($B$21=1, A208&gt;$B$19), 0, $E$11 * $G$11^((A208-$F$11)/12)))</f>
        <v/>
      </c>
      <c r="L208" s="306">
        <f>IF(A208&lt;$F$12, 0, IF(AND($B$21=1, A208&gt;$B$19), 0, $E$12 * $G$12^((A208-$F$12)/12)))</f>
        <v/>
      </c>
      <c r="M208" s="306">
        <f>IF(A208&lt;$F$13, 0, IF(AND($B$21=1, A208&gt;$B$19), 0, $E$13 * $G$13^((A208-$F$13)/12)))</f>
        <v/>
      </c>
      <c r="N208" s="306">
        <f>IF(A208&lt;$F$14, 0, IF(AND($B$21=1, A208&gt;$B$19), 0, $E$14 * $G$14^((A208-$F$14)/12)))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(INDEX('26. Team Comp'!$D$28:$R$28, B209) * 0.001 / 12)*1.6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IF(A209&lt;$F$11, 0, IF(AND($B$21=1, A209&gt;$B$19), 0, $E$11 * $G$11^((A209-$F$11)/12)))</f>
        <v/>
      </c>
      <c r="L209" s="306">
        <f>IF(A209&lt;$F$12, 0, IF(AND($B$21=1, A209&gt;$B$19), 0, $E$12 * $G$12^((A209-$F$12)/12)))</f>
        <v/>
      </c>
      <c r="M209" s="306">
        <f>IF(A209&lt;$F$13, 0, IF(AND($B$21=1, A209&gt;$B$19), 0, $E$13 * $G$13^((A209-$F$13)/12)))</f>
        <v/>
      </c>
      <c r="N209" s="306">
        <f>IF(A209&lt;$F$14, 0, IF(AND($B$21=1, A209&gt;$B$19), 0, $E$14 * $G$14^((A209-$F$14)/12)))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(INDEX('26. Team Comp'!$D$28:$R$28, B210) * 0.001 / 12)*1.6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IF(A210&lt;$F$11, 0, IF(AND($B$21=1, A210&gt;$B$19), 0, $E$11 * $G$11^((A210-$F$11)/12)))</f>
        <v/>
      </c>
      <c r="L210" s="306">
        <f>IF(A210&lt;$F$12, 0, IF(AND($B$21=1, A210&gt;$B$19), 0, $E$12 * $G$12^((A210-$F$12)/12)))</f>
        <v/>
      </c>
      <c r="M210" s="306">
        <f>IF(A210&lt;$F$13, 0, IF(AND($B$21=1, A210&gt;$B$19), 0, $E$13 * $G$13^((A210-$F$13)/12)))</f>
        <v/>
      </c>
      <c r="N210" s="306">
        <f>IF(A210&lt;$F$14, 0, IF(AND($B$21=1, A210&gt;$B$19), 0, $E$14 * $G$14^((A210-$F$14)/12)))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M30 (Deal #6 close)</t>
        </is>
      </c>
      <c r="B334" s="695">
        <f>SUM(Y31:Y60)</f>
        <v/>
      </c>
      <c r="C334" s="695" t="n">
        <v>33.6</v>
      </c>
      <c r="D334" s="695">
        <f>B334-C334</f>
        <v/>
      </c>
      <c r="E334" s="306">
        <f>IF(B334&gt;=C334,"OK","SHORT")</f>
        <v/>
      </c>
    </row>
    <row r="335">
      <c r="A335" s="306" t="inlineStr">
        <is>
          <t>M40 (Deal #7 close)</t>
        </is>
      </c>
      <c r="B335" s="695">
        <f>SUM(Y31:Y70)</f>
        <v/>
      </c>
      <c r="C335" s="695" t="n">
        <v>67.2</v>
      </c>
      <c r="D335" s="695">
        <f>B335-C335</f>
        <v/>
      </c>
      <c r="E335" s="306">
        <f>IF(B335&gt;=C335,"OK","SHORT")</f>
        <v/>
      </c>
    </row>
    <row r="336">
      <c r="A336" s="306" t="inlineStr">
        <is>
          <t>M50 (Deal #8 close)</t>
        </is>
      </c>
      <c r="B336" s="695">
        <f>SUM(Y31:Y80)</f>
        <v/>
      </c>
      <c r="C336" s="695" t="n">
        <v>100.8</v>
      </c>
      <c r="D336" s="695">
        <f>B336-C336</f>
        <v/>
      </c>
      <c r="E336" s="306">
        <f>IF(B336&gt;=C336,"OK","SHORT")</f>
        <v/>
      </c>
    </row>
    <row r="337">
      <c r="A337" s="306" t="inlineStr">
        <is>
          <t>M60 (Deal #9 close)</t>
        </is>
      </c>
      <c r="B337" s="695">
        <f>SUM(Y31:Y90)</f>
        <v/>
      </c>
      <c r="C337" s="695" t="n">
        <v>134.4</v>
      </c>
      <c r="D337" s="695">
        <f>B337-C337</f>
        <v/>
      </c>
      <c r="E337" s="306">
        <f>IF(B337&gt;=C337,"OK","SHORT")</f>
        <v/>
      </c>
    </row>
    <row r="338">
      <c r="A338" s="628" t="inlineStr">
        <is>
          <t>Total recycled capital needed</t>
        </is>
      </c>
      <c r="B338" s="306" t="n">
        <v>134.4</v>
      </c>
    </row>
    <row r="339">
      <c r="A339" s="628" t="inlineStr">
        <is>
          <t>Total retained M1-36</t>
        </is>
      </c>
      <c r="B339" s="306">
        <f>SUM(Y31:Y90)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Assumptions'!$D$101</f>
        <v/>
      </c>
      <c r="F11" s="306">
        <f>'1. Press Assumptions'!$K$101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Assumptions'!$D$102</f>
        <v/>
      </c>
      <c r="F12" s="306">
        <f>'1. Press Assumptions'!$K$102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Assumptions'!$D$103</f>
        <v/>
      </c>
      <c r="F13" s="306">
        <f>'1. Press Assumptions'!$K$103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Assumptions'!$D$104</f>
        <v/>
      </c>
      <c r="F14" s="306">
        <f>'1. Press Assumptions'!$K$104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Assumptions'!$B$105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IF(A31&lt;$F$11, 0, IF(AND($B$21=1, A31&gt;$B$19), 0, $E$11 * $G$11^((A31-$F$11)/12)))</f>
        <v/>
      </c>
      <c r="L31" s="306">
        <f>IF(A31&lt;$F$12, 0, IF(AND($B$21=1, A31&gt;$B$19), 0, $E$12 * $G$12^((A31-$F$12)/12)))</f>
        <v/>
      </c>
      <c r="M31" s="306">
        <f>IF(A31&lt;$F$13, 0, IF(AND($B$21=1, A31&gt;$B$19), 0, $E$13 * $G$13^((A31-$F$13)/12)))</f>
        <v/>
      </c>
      <c r="N31" s="306">
        <f>IF(A31&lt;$F$14, 0, IF(AND($B$21=1, A31&gt;$B$19), 0, $E$14 * $G$14^((A31-$F$14)/12)))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IF(A32&lt;$F$11, 0, IF(AND($B$21=1, A32&gt;$B$19), 0, $E$11 * $G$11^((A32-$F$11)/12)))</f>
        <v/>
      </c>
      <c r="L32" s="306">
        <f>IF(A32&lt;$F$12, 0, IF(AND($B$21=1, A32&gt;$B$19), 0, $E$12 * $G$12^((A32-$F$12)/12)))</f>
        <v/>
      </c>
      <c r="M32" s="306">
        <f>IF(A32&lt;$F$13, 0, IF(AND($B$21=1, A32&gt;$B$19), 0, $E$13 * $G$13^((A32-$F$13)/12)))</f>
        <v/>
      </c>
      <c r="N32" s="306">
        <f>IF(A32&lt;$F$14, 0, IF(AND($B$21=1, A32&gt;$B$19), 0, $E$14 * $G$14^((A32-$F$14)/12)))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IF(A33&lt;$F$11, 0, IF(AND($B$21=1, A33&gt;$B$19), 0, $E$11 * $G$11^((A33-$F$11)/12)))</f>
        <v/>
      </c>
      <c r="L33" s="306">
        <f>IF(A33&lt;$F$12, 0, IF(AND($B$21=1, A33&gt;$B$19), 0, $E$12 * $G$12^((A33-$F$12)/12)))</f>
        <v/>
      </c>
      <c r="M33" s="306">
        <f>IF(A33&lt;$F$13, 0, IF(AND($B$21=1, A33&gt;$B$19), 0, $E$13 * $G$13^((A33-$F$13)/12)))</f>
        <v/>
      </c>
      <c r="N33" s="306">
        <f>IF(A33&lt;$F$14, 0, IF(AND($B$21=1, A33&gt;$B$19), 0, $E$14 * $G$14^((A33-$F$14)/12)))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IF(A34&lt;$F$11, 0, IF(AND($B$21=1, A34&gt;$B$19), 0, $E$11 * $G$11^((A34-$F$11)/12)))</f>
        <v/>
      </c>
      <c r="L34" s="306">
        <f>IF(A34&lt;$F$12, 0, IF(AND($B$21=1, A34&gt;$B$19), 0, $E$12 * $G$12^((A34-$F$12)/12)))</f>
        <v/>
      </c>
      <c r="M34" s="306">
        <f>IF(A34&lt;$F$13, 0, IF(AND($B$21=1, A34&gt;$B$19), 0, $E$13 * $G$13^((A34-$F$13)/12)))</f>
        <v/>
      </c>
      <c r="N34" s="306">
        <f>IF(A34&lt;$F$14, 0, IF(AND($B$21=1, A34&gt;$B$19), 0, $E$14 * $G$14^((A34-$F$14)/12)))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IF(A35&lt;$F$11, 0, IF(AND($B$21=1, A35&gt;$B$19), 0, $E$11 * $G$11^((A35-$F$11)/12)))</f>
        <v/>
      </c>
      <c r="L35" s="306">
        <f>IF(A35&lt;$F$12, 0, IF(AND($B$21=1, A35&gt;$B$19), 0, $E$12 * $G$12^((A35-$F$12)/12)))</f>
        <v/>
      </c>
      <c r="M35" s="306">
        <f>IF(A35&lt;$F$13, 0, IF(AND($B$21=1, A35&gt;$B$19), 0, $E$13 * $G$13^((A35-$F$13)/12)))</f>
        <v/>
      </c>
      <c r="N35" s="306">
        <f>IF(A35&lt;$F$14, 0, IF(AND($B$21=1, A35&gt;$B$19), 0, $E$14 * $G$14^((A35-$F$14)/12)))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IF(A36&lt;$F$11, 0, IF(AND($B$21=1, A36&gt;$B$19), 0, $E$11 * $G$11^((A36-$F$11)/12)))</f>
        <v/>
      </c>
      <c r="L36" s="306">
        <f>IF(A36&lt;$F$12, 0, IF(AND($B$21=1, A36&gt;$B$19), 0, $E$12 * $G$12^((A36-$F$12)/12)))</f>
        <v/>
      </c>
      <c r="M36" s="306">
        <f>IF(A36&lt;$F$13, 0, IF(AND($B$21=1, A36&gt;$B$19), 0, $E$13 * $G$13^((A36-$F$13)/12)))</f>
        <v/>
      </c>
      <c r="N36" s="306">
        <f>IF(A36&lt;$F$14, 0, IF(AND($B$21=1, A36&gt;$B$19), 0, $E$14 * $G$14^((A36-$F$14)/12)))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IF(A37&lt;$F$11, 0, IF(AND($B$21=1, A37&gt;$B$19), 0, $E$11 * $G$11^((A37-$F$11)/12)))</f>
        <v/>
      </c>
      <c r="L37" s="306">
        <f>IF(A37&lt;$F$12, 0, IF(AND($B$21=1, A37&gt;$B$19), 0, $E$12 * $G$12^((A37-$F$12)/12)))</f>
        <v/>
      </c>
      <c r="M37" s="306">
        <f>IF(A37&lt;$F$13, 0, IF(AND($B$21=1, A37&gt;$B$19), 0, $E$13 * $G$13^((A37-$F$13)/12)))</f>
        <v/>
      </c>
      <c r="N37" s="306">
        <f>IF(A37&lt;$F$14, 0, IF(AND($B$21=1, A37&gt;$B$19), 0, $E$14 * $G$14^((A37-$F$14)/12)))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IF(A38&lt;$F$11, 0, IF(AND($B$21=1, A38&gt;$B$19), 0, $E$11 * $G$11^((A38-$F$11)/12)))</f>
        <v/>
      </c>
      <c r="L38" s="306">
        <f>IF(A38&lt;$F$12, 0, IF(AND($B$21=1, A38&gt;$B$19), 0, $E$12 * $G$12^((A38-$F$12)/12)))</f>
        <v/>
      </c>
      <c r="M38" s="306">
        <f>IF(A38&lt;$F$13, 0, IF(AND($B$21=1, A38&gt;$B$19), 0, $E$13 * $G$13^((A38-$F$13)/12)))</f>
        <v/>
      </c>
      <c r="N38" s="306">
        <f>IF(A38&lt;$F$14, 0, IF(AND($B$21=1, A38&gt;$B$19), 0, $E$14 * $G$14^((A38-$F$14)/12)))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IF(A39&lt;$F$11, 0, IF(AND($B$21=1, A39&gt;$B$19), 0, $E$11 * $G$11^((A39-$F$11)/12)))</f>
        <v/>
      </c>
      <c r="L39" s="306">
        <f>IF(A39&lt;$F$12, 0, IF(AND($B$21=1, A39&gt;$B$19), 0, $E$12 * $G$12^((A39-$F$12)/12)))</f>
        <v/>
      </c>
      <c r="M39" s="306">
        <f>IF(A39&lt;$F$13, 0, IF(AND($B$21=1, A39&gt;$B$19), 0, $E$13 * $G$13^((A39-$F$13)/12)))</f>
        <v/>
      </c>
      <c r="N39" s="306">
        <f>IF(A39&lt;$F$14, 0, IF(AND($B$21=1, A39&gt;$B$19), 0, $E$14 * $G$14^((A39-$F$14)/12)))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IF(A40&lt;$F$11, 0, IF(AND($B$21=1, A40&gt;$B$19), 0, $E$11 * $G$11^((A40-$F$11)/12)))</f>
        <v/>
      </c>
      <c r="L40" s="306">
        <f>IF(A40&lt;$F$12, 0, IF(AND($B$21=1, A40&gt;$B$19), 0, $E$12 * $G$12^((A40-$F$12)/12)))</f>
        <v/>
      </c>
      <c r="M40" s="306">
        <f>IF(A40&lt;$F$13, 0, IF(AND($B$21=1, A40&gt;$B$19), 0, $E$13 * $G$13^((A40-$F$13)/12)))</f>
        <v/>
      </c>
      <c r="N40" s="306">
        <f>IF(A40&lt;$F$14, 0, IF(AND($B$21=1, A40&gt;$B$19), 0, $E$14 * $G$14^((A40-$F$14)/12)))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IF(A41&lt;$F$11, 0, IF(AND($B$21=1, A41&gt;$B$19), 0, $E$11 * $G$11^((A41-$F$11)/12)))</f>
        <v/>
      </c>
      <c r="L41" s="306">
        <f>IF(A41&lt;$F$12, 0, IF(AND($B$21=1, A41&gt;$B$19), 0, $E$12 * $G$12^((A41-$F$12)/12)))</f>
        <v/>
      </c>
      <c r="M41" s="306">
        <f>IF(A41&lt;$F$13, 0, IF(AND($B$21=1, A41&gt;$B$19), 0, $E$13 * $G$13^((A41-$F$13)/12)))</f>
        <v/>
      </c>
      <c r="N41" s="306">
        <f>IF(A41&lt;$F$14, 0, IF(AND($B$21=1, A41&gt;$B$19), 0, $E$14 * $G$14^((A41-$F$14)/12)))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IF(A42&lt;$F$11, 0, IF(AND($B$21=1, A42&gt;$B$19), 0, $E$11 * $G$11^((A42-$F$11)/12)))</f>
        <v/>
      </c>
      <c r="L42" s="306">
        <f>IF(A42&lt;$F$12, 0, IF(AND($B$21=1, A42&gt;$B$19), 0, $E$12 * $G$12^((A42-$F$12)/12)))</f>
        <v/>
      </c>
      <c r="M42" s="306">
        <f>IF(A42&lt;$F$13, 0, IF(AND($B$21=1, A42&gt;$B$19), 0, $E$13 * $G$13^((A42-$F$13)/12)))</f>
        <v/>
      </c>
      <c r="N42" s="306">
        <f>IF(A42&lt;$F$14, 0, IF(AND($B$21=1, A42&gt;$B$19), 0, $E$14 * $G$14^((A42-$F$14)/12)))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IF(A43&lt;$F$11, 0, IF(AND($B$21=1, A43&gt;$B$19), 0, $E$11 * $G$11^((A43-$F$11)/12)))</f>
        <v/>
      </c>
      <c r="L43" s="306">
        <f>IF(A43&lt;$F$12, 0, IF(AND($B$21=1, A43&gt;$B$19), 0, $E$12 * $G$12^((A43-$F$12)/12)))</f>
        <v/>
      </c>
      <c r="M43" s="306">
        <f>IF(A43&lt;$F$13, 0, IF(AND($B$21=1, A43&gt;$B$19), 0, $E$13 * $G$13^((A43-$F$13)/12)))</f>
        <v/>
      </c>
      <c r="N43" s="306">
        <f>IF(A43&lt;$F$14, 0, IF(AND($B$21=1, A43&gt;$B$19), 0, $E$14 * $G$14^((A43-$F$14)/12)))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IF(A44&lt;$F$11, 0, IF(AND($B$21=1, A44&gt;$B$19), 0, $E$11 * $G$11^((A44-$F$11)/12)))</f>
        <v/>
      </c>
      <c r="L44" s="306">
        <f>IF(A44&lt;$F$12, 0, IF(AND($B$21=1, A44&gt;$B$19), 0, $E$12 * $G$12^((A44-$F$12)/12)))</f>
        <v/>
      </c>
      <c r="M44" s="306">
        <f>IF(A44&lt;$F$13, 0, IF(AND($B$21=1, A44&gt;$B$19), 0, $E$13 * $G$13^((A44-$F$13)/12)))</f>
        <v/>
      </c>
      <c r="N44" s="306">
        <f>IF(A44&lt;$F$14, 0, IF(AND($B$21=1, A44&gt;$B$19), 0, $E$14 * $G$14^((A44-$F$14)/12)))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IF(A45&lt;$F$11, 0, IF(AND($B$21=1, A45&gt;$B$19), 0, $E$11 * $G$11^((A45-$F$11)/12)))</f>
        <v/>
      </c>
      <c r="L45" s="306">
        <f>IF(A45&lt;$F$12, 0, IF(AND($B$21=1, A45&gt;$B$19), 0, $E$12 * $G$12^((A45-$F$12)/12)))</f>
        <v/>
      </c>
      <c r="M45" s="306">
        <f>IF(A45&lt;$F$13, 0, IF(AND($B$21=1, A45&gt;$B$19), 0, $E$13 * $G$13^((A45-$F$13)/12)))</f>
        <v/>
      </c>
      <c r="N45" s="306">
        <f>IF(A45&lt;$F$14, 0, IF(AND($B$21=1, A45&gt;$B$19), 0, $E$14 * $G$14^((A45-$F$14)/12)))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IF(A46&lt;$F$11, 0, IF(AND($B$21=1, A46&gt;$B$19), 0, $E$11 * $G$11^((A46-$F$11)/12)))</f>
        <v/>
      </c>
      <c r="L46" s="306">
        <f>IF(A46&lt;$F$12, 0, IF(AND($B$21=1, A46&gt;$B$19), 0, $E$12 * $G$12^((A46-$F$12)/12)))</f>
        <v/>
      </c>
      <c r="M46" s="306">
        <f>IF(A46&lt;$F$13, 0, IF(AND($B$21=1, A46&gt;$B$19), 0, $E$13 * $G$13^((A46-$F$13)/12)))</f>
        <v/>
      </c>
      <c r="N46" s="306">
        <f>IF(A46&lt;$F$14, 0, IF(AND($B$21=1, A46&gt;$B$19), 0, $E$14 * $G$14^((A46-$F$14)/12)))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IF(A47&lt;$F$11, 0, IF(AND($B$21=1, A47&gt;$B$19), 0, $E$11 * $G$11^((A47-$F$11)/12)))</f>
        <v/>
      </c>
      <c r="L47" s="306">
        <f>IF(A47&lt;$F$12, 0, IF(AND($B$21=1, A47&gt;$B$19), 0, $E$12 * $G$12^((A47-$F$12)/12)))</f>
        <v/>
      </c>
      <c r="M47" s="306">
        <f>IF(A47&lt;$F$13, 0, IF(AND($B$21=1, A47&gt;$B$19), 0, $E$13 * $G$13^((A47-$F$13)/12)))</f>
        <v/>
      </c>
      <c r="N47" s="306">
        <f>IF(A47&lt;$F$14, 0, IF(AND($B$21=1, A47&gt;$B$19), 0, $E$14 * $G$14^((A47-$F$14)/12)))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IF(A48&lt;$F$11, 0, IF(AND($B$21=1, A48&gt;$B$19), 0, $E$11 * $G$11^((A48-$F$11)/12)))</f>
        <v/>
      </c>
      <c r="L48" s="306">
        <f>IF(A48&lt;$F$12, 0, IF(AND($B$21=1, A48&gt;$B$19), 0, $E$12 * $G$12^((A48-$F$12)/12)))</f>
        <v/>
      </c>
      <c r="M48" s="306">
        <f>IF(A48&lt;$F$13, 0, IF(AND($B$21=1, A48&gt;$B$19), 0, $E$13 * $G$13^((A48-$F$13)/12)))</f>
        <v/>
      </c>
      <c r="N48" s="306">
        <f>IF(A48&lt;$F$14, 0, IF(AND($B$21=1, A48&gt;$B$19), 0, $E$14 * $G$14^((A48-$F$14)/12)))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IF(A49&lt;$F$11, 0, IF(AND($B$21=1, A49&gt;$B$19), 0, $E$11 * $G$11^((A49-$F$11)/12)))</f>
        <v/>
      </c>
      <c r="L49" s="306">
        <f>IF(A49&lt;$F$12, 0, IF(AND($B$21=1, A49&gt;$B$19), 0, $E$12 * $G$12^((A49-$F$12)/12)))</f>
        <v/>
      </c>
      <c r="M49" s="306">
        <f>IF(A49&lt;$F$13, 0, IF(AND($B$21=1, A49&gt;$B$19), 0, $E$13 * $G$13^((A49-$F$13)/12)))</f>
        <v/>
      </c>
      <c r="N49" s="306">
        <f>IF(A49&lt;$F$14, 0, IF(AND($B$21=1, A49&gt;$B$19), 0, $E$14 * $G$14^((A49-$F$14)/12)))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IF(A50&lt;$F$11, 0, IF(AND($B$21=1, A50&gt;$B$19), 0, $E$11 * $G$11^((A50-$F$11)/12)))</f>
        <v/>
      </c>
      <c r="L50" s="306">
        <f>IF(A50&lt;$F$12, 0, IF(AND($B$21=1, A50&gt;$B$19), 0, $E$12 * $G$12^((A50-$F$12)/12)))</f>
        <v/>
      </c>
      <c r="M50" s="306">
        <f>IF(A50&lt;$F$13, 0, IF(AND($B$21=1, A50&gt;$B$19), 0, $E$13 * $G$13^((A50-$F$13)/12)))</f>
        <v/>
      </c>
      <c r="N50" s="306">
        <f>IF(A50&lt;$F$14, 0, IF(AND($B$21=1, A50&gt;$B$19), 0, $E$14 * $G$14^((A50-$F$14)/12)))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IF(A51&lt;$F$11, 0, IF(AND($B$21=1, A51&gt;$B$19), 0, $E$11 * $G$11^((A51-$F$11)/12)))</f>
        <v/>
      </c>
      <c r="L51" s="306">
        <f>IF(A51&lt;$F$12, 0, IF(AND($B$21=1, A51&gt;$B$19), 0, $E$12 * $G$12^((A51-$F$12)/12)))</f>
        <v/>
      </c>
      <c r="M51" s="306">
        <f>IF(A51&lt;$F$13, 0, IF(AND($B$21=1, A51&gt;$B$19), 0, $E$13 * $G$13^((A51-$F$13)/12)))</f>
        <v/>
      </c>
      <c r="N51" s="306">
        <f>IF(A51&lt;$F$14, 0, IF(AND($B$21=1, A51&gt;$B$19), 0, $E$14 * $G$14^((A51-$F$14)/12)))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IF(A52&lt;$F$11, 0, IF(AND($B$21=1, A52&gt;$B$19), 0, $E$11 * $G$11^((A52-$F$11)/12)))</f>
        <v/>
      </c>
      <c r="L52" s="306">
        <f>IF(A52&lt;$F$12, 0, IF(AND($B$21=1, A52&gt;$B$19), 0, $E$12 * $G$12^((A52-$F$12)/12)))</f>
        <v/>
      </c>
      <c r="M52" s="306">
        <f>IF(A52&lt;$F$13, 0, IF(AND($B$21=1, A52&gt;$B$19), 0, $E$13 * $G$13^((A52-$F$13)/12)))</f>
        <v/>
      </c>
      <c r="N52" s="306">
        <f>IF(A52&lt;$F$14, 0, IF(AND($B$21=1, A52&gt;$B$19), 0, $E$14 * $G$14^((A52-$F$14)/12)))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IF(A53&lt;$F$11, 0, IF(AND($B$21=1, A53&gt;$B$19), 0, $E$11 * $G$11^((A53-$F$11)/12)))</f>
        <v/>
      </c>
      <c r="L53" s="306">
        <f>IF(A53&lt;$F$12, 0, IF(AND($B$21=1, A53&gt;$B$19), 0, $E$12 * $G$12^((A53-$F$12)/12)))</f>
        <v/>
      </c>
      <c r="M53" s="306">
        <f>IF(A53&lt;$F$13, 0, IF(AND($B$21=1, A53&gt;$B$19), 0, $E$13 * $G$13^((A53-$F$13)/12)))</f>
        <v/>
      </c>
      <c r="N53" s="306">
        <f>IF(A53&lt;$F$14, 0, IF(AND($B$21=1, A53&gt;$B$19), 0, $E$14 * $G$14^((A53-$F$14)/12)))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IF(A54&lt;$F$11, 0, IF(AND($B$21=1, A54&gt;$B$19), 0, $E$11 * $G$11^((A54-$F$11)/12)))</f>
        <v/>
      </c>
      <c r="L54" s="306">
        <f>IF(A54&lt;$F$12, 0, IF(AND($B$21=1, A54&gt;$B$19), 0, $E$12 * $G$12^((A54-$F$12)/12)))</f>
        <v/>
      </c>
      <c r="M54" s="306">
        <f>IF(A54&lt;$F$13, 0, IF(AND($B$21=1, A54&gt;$B$19), 0, $E$13 * $G$13^((A54-$F$13)/12)))</f>
        <v/>
      </c>
      <c r="N54" s="306">
        <f>IF(A54&lt;$F$14, 0, IF(AND($B$21=1, A54&gt;$B$19), 0, $E$14 * $G$14^((A54-$F$14)/12)))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IF(A55&lt;$F$11, 0, IF(AND($B$21=1, A55&gt;$B$19), 0, $E$11 * $G$11^((A55-$F$11)/12)))</f>
        <v/>
      </c>
      <c r="L55" s="306">
        <f>IF(A55&lt;$F$12, 0, IF(AND($B$21=1, A55&gt;$B$19), 0, $E$12 * $G$12^((A55-$F$12)/12)))</f>
        <v/>
      </c>
      <c r="M55" s="306">
        <f>IF(A55&lt;$F$13, 0, IF(AND($B$21=1, A55&gt;$B$19), 0, $E$13 * $G$13^((A55-$F$13)/12)))</f>
        <v/>
      </c>
      <c r="N55" s="306">
        <f>IF(A55&lt;$F$14, 0, IF(AND($B$21=1, A55&gt;$B$19), 0, $E$14 * $G$14^((A55-$F$14)/12)))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IF(A56&lt;$F$11, 0, IF(AND($B$21=1, A56&gt;$B$19), 0, $E$11 * $G$11^((A56-$F$11)/12)))</f>
        <v/>
      </c>
      <c r="L56" s="306">
        <f>IF(A56&lt;$F$12, 0, IF(AND($B$21=1, A56&gt;$B$19), 0, $E$12 * $G$12^((A56-$F$12)/12)))</f>
        <v/>
      </c>
      <c r="M56" s="306">
        <f>IF(A56&lt;$F$13, 0, IF(AND($B$21=1, A56&gt;$B$19), 0, $E$13 * $G$13^((A56-$F$13)/12)))</f>
        <v/>
      </c>
      <c r="N56" s="306">
        <f>IF(A56&lt;$F$14, 0, IF(AND($B$21=1, A56&gt;$B$19), 0, $E$14 * $G$14^((A56-$F$14)/12)))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IF(A57&lt;$F$11, 0, IF(AND($B$21=1, A57&gt;$B$19), 0, $E$11 * $G$11^((A57-$F$11)/12)))</f>
        <v/>
      </c>
      <c r="L57" s="306">
        <f>IF(A57&lt;$F$12, 0, IF(AND($B$21=1, A57&gt;$B$19), 0, $E$12 * $G$12^((A57-$F$12)/12)))</f>
        <v/>
      </c>
      <c r="M57" s="306">
        <f>IF(A57&lt;$F$13, 0, IF(AND($B$21=1, A57&gt;$B$19), 0, $E$13 * $G$13^((A57-$F$13)/12)))</f>
        <v/>
      </c>
      <c r="N57" s="306">
        <f>IF(A57&lt;$F$14, 0, IF(AND($B$21=1, A57&gt;$B$19), 0, $E$14 * $G$14^((A57-$F$14)/12)))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IF(A58&lt;$F$11, 0, IF(AND($B$21=1, A58&gt;$B$19), 0, $E$11 * $G$11^((A58-$F$11)/12)))</f>
        <v/>
      </c>
      <c r="L58" s="306">
        <f>IF(A58&lt;$F$12, 0, IF(AND($B$21=1, A58&gt;$B$19), 0, $E$12 * $G$12^((A58-$F$12)/12)))</f>
        <v/>
      </c>
      <c r="M58" s="306">
        <f>IF(A58&lt;$F$13, 0, IF(AND($B$21=1, A58&gt;$B$19), 0, $E$13 * $G$13^((A58-$F$13)/12)))</f>
        <v/>
      </c>
      <c r="N58" s="306">
        <f>IF(A58&lt;$F$14, 0, IF(AND($B$21=1, A58&gt;$B$19), 0, $E$14 * $G$14^((A58-$F$14)/12)))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IF(A59&lt;$F$11, 0, IF(AND($B$21=1, A59&gt;$B$19), 0, $E$11 * $G$11^((A59-$F$11)/12)))</f>
        <v/>
      </c>
      <c r="L59" s="306">
        <f>IF(A59&lt;$F$12, 0, IF(AND($B$21=1, A59&gt;$B$19), 0, $E$12 * $G$12^((A59-$F$12)/12)))</f>
        <v/>
      </c>
      <c r="M59" s="306">
        <f>IF(A59&lt;$F$13, 0, IF(AND($B$21=1, A59&gt;$B$19), 0, $E$13 * $G$13^((A59-$F$13)/12)))</f>
        <v/>
      </c>
      <c r="N59" s="306">
        <f>IF(A59&lt;$F$14, 0, IF(AND($B$21=1, A59&gt;$B$19), 0, $E$14 * $G$14^((A59-$F$14)/12)))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IF(A60&lt;$F$11, 0, IF(AND($B$21=1, A60&gt;$B$19), 0, $E$11 * $G$11^((A60-$F$11)/12)))</f>
        <v/>
      </c>
      <c r="L60" s="306">
        <f>IF(A60&lt;$F$12, 0, IF(AND($B$21=1, A60&gt;$B$19), 0, $E$12 * $G$12^((A60-$F$12)/12)))</f>
        <v/>
      </c>
      <c r="M60" s="306">
        <f>IF(A60&lt;$F$13, 0, IF(AND($B$21=1, A60&gt;$B$19), 0, $E$13 * $G$13^((A60-$F$13)/12)))</f>
        <v/>
      </c>
      <c r="N60" s="306">
        <f>IF(A60&lt;$F$14, 0, IF(AND($B$21=1, A60&gt;$B$19), 0, $E$14 * $G$14^((A60-$F$14)/12)))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IF(A61&lt;$F$11, 0, IF(AND($B$21=1, A61&gt;$B$19), 0, $E$11 * $G$11^((A61-$F$11)/12)))</f>
        <v/>
      </c>
      <c r="L61" s="306">
        <f>IF(A61&lt;$F$12, 0, IF(AND($B$21=1, A61&gt;$B$19), 0, $E$12 * $G$12^((A61-$F$12)/12)))</f>
        <v/>
      </c>
      <c r="M61" s="306">
        <f>IF(A61&lt;$F$13, 0, IF(AND($B$21=1, A61&gt;$B$19), 0, $E$13 * $G$13^((A61-$F$13)/12)))</f>
        <v/>
      </c>
      <c r="N61" s="306">
        <f>IF(A61&lt;$F$14, 0, IF(AND($B$21=1, A61&gt;$B$19), 0, $E$14 * $G$14^((A61-$F$14)/12)))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IF(A62&lt;$F$11, 0, IF(AND($B$21=1, A62&gt;$B$19), 0, $E$11 * $G$11^((A62-$F$11)/12)))</f>
        <v/>
      </c>
      <c r="L62" s="306">
        <f>IF(A62&lt;$F$12, 0, IF(AND($B$21=1, A62&gt;$B$19), 0, $E$12 * $G$12^((A62-$F$12)/12)))</f>
        <v/>
      </c>
      <c r="M62" s="306">
        <f>IF(A62&lt;$F$13, 0, IF(AND($B$21=1, A62&gt;$B$19), 0, $E$13 * $G$13^((A62-$F$13)/12)))</f>
        <v/>
      </c>
      <c r="N62" s="306">
        <f>IF(A62&lt;$F$14, 0, IF(AND($B$21=1, A62&gt;$B$19), 0, $E$14 * $G$14^((A62-$F$14)/12)))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IF(A63&lt;$F$11, 0, IF(AND($B$21=1, A63&gt;$B$19), 0, $E$11 * $G$11^((A63-$F$11)/12)))</f>
        <v/>
      </c>
      <c r="L63" s="306">
        <f>IF(A63&lt;$F$12, 0, IF(AND($B$21=1, A63&gt;$B$19), 0, $E$12 * $G$12^((A63-$F$12)/12)))</f>
        <v/>
      </c>
      <c r="M63" s="306">
        <f>IF(A63&lt;$F$13, 0, IF(AND($B$21=1, A63&gt;$B$19), 0, $E$13 * $G$13^((A63-$F$13)/12)))</f>
        <v/>
      </c>
      <c r="N63" s="306">
        <f>IF(A63&lt;$F$14, 0, IF(AND($B$21=1, A63&gt;$B$19), 0, $E$14 * $G$14^((A63-$F$14)/12)))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IF(A64&lt;$F$11, 0, IF(AND($B$21=1, A64&gt;$B$19), 0, $E$11 * $G$11^((A64-$F$11)/12)))</f>
        <v/>
      </c>
      <c r="L64" s="306">
        <f>IF(A64&lt;$F$12, 0, IF(AND($B$21=1, A64&gt;$B$19), 0, $E$12 * $G$12^((A64-$F$12)/12)))</f>
        <v/>
      </c>
      <c r="M64" s="306">
        <f>IF(A64&lt;$F$13, 0, IF(AND($B$21=1, A64&gt;$B$19), 0, $E$13 * $G$13^((A64-$F$13)/12)))</f>
        <v/>
      </c>
      <c r="N64" s="306">
        <f>IF(A64&lt;$F$14, 0, IF(AND($B$21=1, A64&gt;$B$19), 0, $E$14 * $G$14^((A64-$F$14)/12)))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IF(A65&lt;$F$11, 0, IF(AND($B$21=1, A65&gt;$B$19), 0, $E$11 * $G$11^((A65-$F$11)/12)))</f>
        <v/>
      </c>
      <c r="L65" s="306">
        <f>IF(A65&lt;$F$12, 0, IF(AND($B$21=1, A65&gt;$B$19), 0, $E$12 * $G$12^((A65-$F$12)/12)))</f>
        <v/>
      </c>
      <c r="M65" s="306">
        <f>IF(A65&lt;$F$13, 0, IF(AND($B$21=1, A65&gt;$B$19), 0, $E$13 * $G$13^((A65-$F$13)/12)))</f>
        <v/>
      </c>
      <c r="N65" s="306">
        <f>IF(A65&lt;$F$14, 0, IF(AND($B$21=1, A65&gt;$B$19), 0, $E$14 * $G$14^((A65-$F$14)/12)))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IF(A66&lt;$F$11, 0, IF(AND($B$21=1, A66&gt;$B$19), 0, $E$11 * $G$11^((A66-$F$11)/12)))</f>
        <v/>
      </c>
      <c r="L66" s="306">
        <f>IF(A66&lt;$F$12, 0, IF(AND($B$21=1, A66&gt;$B$19), 0, $E$12 * $G$12^((A66-$F$12)/12)))</f>
        <v/>
      </c>
      <c r="M66" s="306">
        <f>IF(A66&lt;$F$13, 0, IF(AND($B$21=1, A66&gt;$B$19), 0, $E$13 * $G$13^((A66-$F$13)/12)))</f>
        <v/>
      </c>
      <c r="N66" s="306">
        <f>IF(A66&lt;$F$14, 0, IF(AND($B$21=1, A66&gt;$B$19), 0, $E$14 * $G$14^((A66-$F$14)/12)))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IF(A67&lt;$F$11, 0, IF(AND($B$21=1, A67&gt;$B$19), 0, $E$11 * $G$11^((A67-$F$11)/12)))</f>
        <v/>
      </c>
      <c r="L67" s="306">
        <f>IF(A67&lt;$F$12, 0, IF(AND($B$21=1, A67&gt;$B$19), 0, $E$12 * $G$12^((A67-$F$12)/12)))</f>
        <v/>
      </c>
      <c r="M67" s="306">
        <f>IF(A67&lt;$F$13, 0, IF(AND($B$21=1, A67&gt;$B$19), 0, $E$13 * $G$13^((A67-$F$13)/12)))</f>
        <v/>
      </c>
      <c r="N67" s="306">
        <f>IF(A67&lt;$F$14, 0, IF(AND($B$21=1, A67&gt;$B$19), 0, $E$14 * $G$14^((A67-$F$14)/12)))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X67-Y67+MAX(0, SUM(Y31:Y66)-120)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IF(A68&lt;$F$11, 0, IF(AND($B$21=1, A68&gt;$B$19), 0, $E$11 * $G$11^((A68-$F$11)/12)))</f>
        <v/>
      </c>
      <c r="L68" s="306">
        <f>IF(A68&lt;$F$12, 0, IF(AND($B$21=1, A68&gt;$B$19), 0, $E$12 * $G$12^((A68-$F$12)/12)))</f>
        <v/>
      </c>
      <c r="M68" s="306">
        <f>IF(A68&lt;$F$13, 0, IF(AND($B$21=1, A68&gt;$B$19), 0, $E$13 * $G$13^((A68-$F$13)/12)))</f>
        <v/>
      </c>
      <c r="N68" s="306">
        <f>IF(A68&lt;$F$14, 0, IF(AND($B$21=1, A68&gt;$B$19), 0, $E$14 * $G$14^((A68-$F$14)/12)))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IF(A69&lt;$F$11, 0, IF(AND($B$21=1, A69&gt;$B$19), 0, $E$11 * $G$11^((A69-$F$11)/12)))</f>
        <v/>
      </c>
      <c r="L69" s="306">
        <f>IF(A69&lt;$F$12, 0, IF(AND($B$21=1, A69&gt;$B$19), 0, $E$12 * $G$12^((A69-$F$12)/12)))</f>
        <v/>
      </c>
      <c r="M69" s="306">
        <f>IF(A69&lt;$F$13, 0, IF(AND($B$21=1, A69&gt;$B$19), 0, $E$13 * $G$13^((A69-$F$13)/12)))</f>
        <v/>
      </c>
      <c r="N69" s="306">
        <f>IF(A69&lt;$F$14, 0, IF(AND($B$21=1, A69&gt;$B$19), 0, $E$14 * $G$14^((A69-$F$14)/12)))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IF(A70&lt;$F$11, 0, IF(AND($B$21=1, A70&gt;$B$19), 0, $E$11 * $G$11^((A70-$F$11)/12)))</f>
        <v/>
      </c>
      <c r="L70" s="306">
        <f>IF(A70&lt;$F$12, 0, IF(AND($B$21=1, A70&gt;$B$19), 0, $E$12 * $G$12^((A70-$F$12)/12)))</f>
        <v/>
      </c>
      <c r="M70" s="306">
        <f>IF(A70&lt;$F$13, 0, IF(AND($B$21=1, A70&gt;$B$19), 0, $E$13 * $G$13^((A70-$F$13)/12)))</f>
        <v/>
      </c>
      <c r="N70" s="306">
        <f>IF(A70&lt;$F$14, 0, IF(AND($B$21=1, A70&gt;$B$19), 0, $E$14 * $G$14^((A70-$F$14)/12)))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IF(A71&lt;$F$11, 0, IF(AND($B$21=1, A71&gt;$B$19), 0, $E$11 * $G$11^((A71-$F$11)/12)))</f>
        <v/>
      </c>
      <c r="L71" s="306">
        <f>IF(A71&lt;$F$12, 0, IF(AND($B$21=1, A71&gt;$B$19), 0, $E$12 * $G$12^((A71-$F$12)/12)))</f>
        <v/>
      </c>
      <c r="M71" s="306">
        <f>IF(A71&lt;$F$13, 0, IF(AND($B$21=1, A71&gt;$B$19), 0, $E$13 * $G$13^((A71-$F$13)/12)))</f>
        <v/>
      </c>
      <c r="N71" s="306">
        <f>IF(A71&lt;$F$14, 0, IF(AND($B$21=1, A71&gt;$B$19), 0, $E$14 * $G$14^((A71-$F$14)/12)))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IF(A72&lt;$F$11, 0, IF(AND($B$21=1, A72&gt;$B$19), 0, $E$11 * $G$11^((A72-$F$11)/12)))</f>
        <v/>
      </c>
      <c r="L72" s="306">
        <f>IF(A72&lt;$F$12, 0, IF(AND($B$21=1, A72&gt;$B$19), 0, $E$12 * $G$12^((A72-$F$12)/12)))</f>
        <v/>
      </c>
      <c r="M72" s="306">
        <f>IF(A72&lt;$F$13, 0, IF(AND($B$21=1, A72&gt;$B$19), 0, $E$13 * $G$13^((A72-$F$13)/12)))</f>
        <v/>
      </c>
      <c r="N72" s="306">
        <f>IF(A72&lt;$F$14, 0, IF(AND($B$21=1, A72&gt;$B$19), 0, $E$14 * $G$14^((A72-$F$14)/12)))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IF(A73&lt;$F$11, 0, IF(AND($B$21=1, A73&gt;$B$19), 0, $E$11 * $G$11^((A73-$F$11)/12)))</f>
        <v/>
      </c>
      <c r="L73" s="306">
        <f>IF(A73&lt;$F$12, 0, IF(AND($B$21=1, A73&gt;$B$19), 0, $E$12 * $G$12^((A73-$F$12)/12)))</f>
        <v/>
      </c>
      <c r="M73" s="306">
        <f>IF(A73&lt;$F$13, 0, IF(AND($B$21=1, A73&gt;$B$19), 0, $E$13 * $G$13^((A73-$F$13)/12)))</f>
        <v/>
      </c>
      <c r="N73" s="306">
        <f>IF(A73&lt;$F$14, 0, IF(AND($B$21=1, A73&gt;$B$19), 0, $E$14 * $G$14^((A73-$F$14)/12)))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IF(A74&lt;$F$11, 0, IF(AND($B$21=1, A74&gt;$B$19), 0, $E$11 * $G$11^((A74-$F$11)/12)))</f>
        <v/>
      </c>
      <c r="L74" s="306">
        <f>IF(A74&lt;$F$12, 0, IF(AND($B$21=1, A74&gt;$B$19), 0, $E$12 * $G$12^((A74-$F$12)/12)))</f>
        <v/>
      </c>
      <c r="M74" s="306">
        <f>IF(A74&lt;$F$13, 0, IF(AND($B$21=1, A74&gt;$B$19), 0, $E$13 * $G$13^((A74-$F$13)/12)))</f>
        <v/>
      </c>
      <c r="N74" s="306">
        <f>IF(A74&lt;$F$14, 0, IF(AND($B$21=1, A74&gt;$B$19), 0, $E$14 * $G$14^((A74-$F$14)/12)))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IF(A75&lt;$F$11, 0, IF(AND($B$21=1, A75&gt;$B$19), 0, $E$11 * $G$11^((A75-$F$11)/12)))</f>
        <v/>
      </c>
      <c r="L75" s="306">
        <f>IF(A75&lt;$F$12, 0, IF(AND($B$21=1, A75&gt;$B$19), 0, $E$12 * $G$12^((A75-$F$12)/12)))</f>
        <v/>
      </c>
      <c r="M75" s="306">
        <f>IF(A75&lt;$F$13, 0, IF(AND($B$21=1, A75&gt;$B$19), 0, $E$13 * $G$13^((A75-$F$13)/12)))</f>
        <v/>
      </c>
      <c r="N75" s="306">
        <f>IF(A75&lt;$F$14, 0, IF(AND($B$21=1, A75&gt;$B$19), 0, $E$14 * $G$14^((A75-$F$14)/12)))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IF(A76&lt;$F$11, 0, IF(AND($B$21=1, A76&gt;$B$19), 0, $E$11 * $G$11^((A76-$F$11)/12)))</f>
        <v/>
      </c>
      <c r="L76" s="306">
        <f>IF(A76&lt;$F$12, 0, IF(AND($B$21=1, A76&gt;$B$19), 0, $E$12 * $G$12^((A76-$F$12)/12)))</f>
        <v/>
      </c>
      <c r="M76" s="306">
        <f>IF(A76&lt;$F$13, 0, IF(AND($B$21=1, A76&gt;$B$19), 0, $E$13 * $G$13^((A76-$F$13)/12)))</f>
        <v/>
      </c>
      <c r="N76" s="306">
        <f>IF(A76&lt;$F$14, 0, IF(AND($B$21=1, A76&gt;$B$19), 0, $E$14 * $G$14^((A76-$F$14)/12)))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IF(A77&lt;$F$11, 0, IF(AND($B$21=1, A77&gt;$B$19), 0, $E$11 * $G$11^((A77-$F$11)/12)))</f>
        <v/>
      </c>
      <c r="L77" s="306">
        <f>IF(A77&lt;$F$12, 0, IF(AND($B$21=1, A77&gt;$B$19), 0, $E$12 * $G$12^((A77-$F$12)/12)))</f>
        <v/>
      </c>
      <c r="M77" s="306">
        <f>IF(A77&lt;$F$13, 0, IF(AND($B$21=1, A77&gt;$B$19), 0, $E$13 * $G$13^((A77-$F$13)/12)))</f>
        <v/>
      </c>
      <c r="N77" s="306">
        <f>IF(A77&lt;$F$14, 0, IF(AND($B$21=1, A77&gt;$B$19), 0, $E$14 * $G$14^((A77-$F$14)/12)))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IF(A78&lt;$F$11, 0, IF(AND($B$21=1, A78&gt;$B$19), 0, $E$11 * $G$11^((A78-$F$11)/12)))</f>
        <v/>
      </c>
      <c r="L78" s="306">
        <f>IF(A78&lt;$F$12, 0, IF(AND($B$21=1, A78&gt;$B$19), 0, $E$12 * $G$12^((A78-$F$12)/12)))</f>
        <v/>
      </c>
      <c r="M78" s="306">
        <f>IF(A78&lt;$F$13, 0, IF(AND($B$21=1, A78&gt;$B$19), 0, $E$13 * $G$13^((A78-$F$13)/12)))</f>
        <v/>
      </c>
      <c r="N78" s="306">
        <f>IF(A78&lt;$F$14, 0, IF(AND($B$21=1, A78&gt;$B$19), 0, $E$14 * $G$14^((A78-$F$14)/12)))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IF(A79&lt;$F$11, 0, IF(AND($B$21=1, A79&gt;$B$19), 0, $E$11 * $G$11^((A79-$F$11)/12)))</f>
        <v/>
      </c>
      <c r="L79" s="306">
        <f>IF(A79&lt;$F$12, 0, IF(AND($B$21=1, A79&gt;$B$19), 0, $E$12 * $G$12^((A79-$F$12)/12)))</f>
        <v/>
      </c>
      <c r="M79" s="306">
        <f>IF(A79&lt;$F$13, 0, IF(AND($B$21=1, A79&gt;$B$19), 0, $E$13 * $G$13^((A79-$F$13)/12)))</f>
        <v/>
      </c>
      <c r="N79" s="306">
        <f>IF(A79&lt;$F$14, 0, IF(AND($B$21=1, A79&gt;$B$19), 0, $E$14 * $G$14^((A79-$F$14)/12)))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IF(A80&lt;$F$11, 0, IF(AND($B$21=1, A80&gt;$B$19), 0, $E$11 * $G$11^((A80-$F$11)/12)))</f>
        <v/>
      </c>
      <c r="L80" s="306">
        <f>IF(A80&lt;$F$12, 0, IF(AND($B$21=1, A80&gt;$B$19), 0, $E$12 * $G$12^((A80-$F$12)/12)))</f>
        <v/>
      </c>
      <c r="M80" s="306">
        <f>IF(A80&lt;$F$13, 0, IF(AND($B$21=1, A80&gt;$B$19), 0, $E$13 * $G$13^((A80-$F$13)/12)))</f>
        <v/>
      </c>
      <c r="N80" s="306">
        <f>IF(A80&lt;$F$14, 0, IF(AND($B$21=1, A80&gt;$B$19), 0, $E$14 * $G$14^((A80-$F$14)/12)))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IF(A81&lt;$F$11, 0, IF(AND($B$21=1, A81&gt;$B$19), 0, $E$11 * $G$11^((A81-$F$11)/12)))</f>
        <v/>
      </c>
      <c r="L81" s="306">
        <f>IF(A81&lt;$F$12, 0, IF(AND($B$21=1, A81&gt;$B$19), 0, $E$12 * $G$12^((A81-$F$12)/12)))</f>
        <v/>
      </c>
      <c r="M81" s="306">
        <f>IF(A81&lt;$F$13, 0, IF(AND($B$21=1, A81&gt;$B$19), 0, $E$13 * $G$13^((A81-$F$13)/12)))</f>
        <v/>
      </c>
      <c r="N81" s="306">
        <f>IF(A81&lt;$F$14, 0, IF(AND($B$21=1, A81&gt;$B$19), 0, $E$14 * $G$14^((A81-$F$14)/12)))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IF(A82&lt;$F$11, 0, IF(AND($B$21=1, A82&gt;$B$19), 0, $E$11 * $G$11^((A82-$F$11)/12)))</f>
        <v/>
      </c>
      <c r="L82" s="306">
        <f>IF(A82&lt;$F$12, 0, IF(AND($B$21=1, A82&gt;$B$19), 0, $E$12 * $G$12^((A82-$F$12)/12)))</f>
        <v/>
      </c>
      <c r="M82" s="306">
        <f>IF(A82&lt;$F$13, 0, IF(AND($B$21=1, A82&gt;$B$19), 0, $E$13 * $G$13^((A82-$F$13)/12)))</f>
        <v/>
      </c>
      <c r="N82" s="306">
        <f>IF(A82&lt;$F$14, 0, IF(AND($B$21=1, A82&gt;$B$19), 0, $E$14 * $G$14^((A82-$F$14)/12)))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IF(A83&lt;$F$11, 0, IF(AND($B$21=1, A83&gt;$B$19), 0, $E$11 * $G$11^((A83-$F$11)/12)))</f>
        <v/>
      </c>
      <c r="L83" s="306">
        <f>IF(A83&lt;$F$12, 0, IF(AND($B$21=1, A83&gt;$B$19), 0, $E$12 * $G$12^((A83-$F$12)/12)))</f>
        <v/>
      </c>
      <c r="M83" s="306">
        <f>IF(A83&lt;$F$13, 0, IF(AND($B$21=1, A83&gt;$B$19), 0, $E$13 * $G$13^((A83-$F$13)/12)))</f>
        <v/>
      </c>
      <c r="N83" s="306">
        <f>IF(A83&lt;$F$14, 0, IF(AND($B$21=1, A83&gt;$B$19), 0, $E$14 * $G$14^((A83-$F$14)/12)))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IF(A84&lt;$F$11, 0, IF(AND($B$21=1, A84&gt;$B$19), 0, $E$11 * $G$11^((A84-$F$11)/12)))</f>
        <v/>
      </c>
      <c r="L84" s="306">
        <f>IF(A84&lt;$F$12, 0, IF(AND($B$21=1, A84&gt;$B$19), 0, $E$12 * $G$12^((A84-$F$12)/12)))</f>
        <v/>
      </c>
      <c r="M84" s="306">
        <f>IF(A84&lt;$F$13, 0, IF(AND($B$21=1, A84&gt;$B$19), 0, $E$13 * $G$13^((A84-$F$13)/12)))</f>
        <v/>
      </c>
      <c r="N84" s="306">
        <f>IF(A84&lt;$F$14, 0, IF(AND($B$21=1, A84&gt;$B$19), 0, $E$14 * $G$14^((A84-$F$14)/12)))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IF(A85&lt;$F$11, 0, IF(AND($B$21=1, A85&gt;$B$19), 0, $E$11 * $G$11^((A85-$F$11)/12)))</f>
        <v/>
      </c>
      <c r="L85" s="306">
        <f>IF(A85&lt;$F$12, 0, IF(AND($B$21=1, A85&gt;$B$19), 0, $E$12 * $G$12^((A85-$F$12)/12)))</f>
        <v/>
      </c>
      <c r="M85" s="306">
        <f>IF(A85&lt;$F$13, 0, IF(AND($B$21=1, A85&gt;$B$19), 0, $E$13 * $G$13^((A85-$F$13)/12)))</f>
        <v/>
      </c>
      <c r="N85" s="306">
        <f>IF(A85&lt;$F$14, 0, IF(AND($B$21=1, A85&gt;$B$19), 0, $E$14 * $G$14^((A85-$F$14)/12)))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IF(A86&lt;$F$11, 0, IF(AND($B$21=1, A86&gt;$B$19), 0, $E$11 * $G$11^((A86-$F$11)/12)))</f>
        <v/>
      </c>
      <c r="L86" s="306">
        <f>IF(A86&lt;$F$12, 0, IF(AND($B$21=1, A86&gt;$B$19), 0, $E$12 * $G$12^((A86-$F$12)/12)))</f>
        <v/>
      </c>
      <c r="M86" s="306">
        <f>IF(A86&lt;$F$13, 0, IF(AND($B$21=1, A86&gt;$B$19), 0, $E$13 * $G$13^((A86-$F$13)/12)))</f>
        <v/>
      </c>
      <c r="N86" s="306">
        <f>IF(A86&lt;$F$14, 0, IF(AND($B$21=1, A86&gt;$B$19), 0, $E$14 * $G$14^((A86-$F$14)/12)))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IF(A87&lt;$F$11, 0, IF(AND($B$21=1, A87&gt;$B$19), 0, $E$11 * $G$11^((A87-$F$11)/12)))</f>
        <v/>
      </c>
      <c r="L87" s="306">
        <f>IF(A87&lt;$F$12, 0, IF(AND($B$21=1, A87&gt;$B$19), 0, $E$12 * $G$12^((A87-$F$12)/12)))</f>
        <v/>
      </c>
      <c r="M87" s="306">
        <f>IF(A87&lt;$F$13, 0, IF(AND($B$21=1, A87&gt;$B$19), 0, $E$13 * $G$13^((A87-$F$13)/12)))</f>
        <v/>
      </c>
      <c r="N87" s="306">
        <f>IF(A87&lt;$F$14, 0, IF(AND($B$21=1, A87&gt;$B$19), 0, $E$14 * $G$14^((A87-$F$14)/12)))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IF(A88&lt;$F$11, 0, IF(AND($B$21=1, A88&gt;$B$19), 0, $E$11 * $G$11^((A88-$F$11)/12)))</f>
        <v/>
      </c>
      <c r="L88" s="306">
        <f>IF(A88&lt;$F$12, 0, IF(AND($B$21=1, A88&gt;$B$19), 0, $E$12 * $G$12^((A88-$F$12)/12)))</f>
        <v/>
      </c>
      <c r="M88" s="306">
        <f>IF(A88&lt;$F$13, 0, IF(AND($B$21=1, A88&gt;$B$19), 0, $E$13 * $G$13^((A88-$F$13)/12)))</f>
        <v/>
      </c>
      <c r="N88" s="306">
        <f>IF(A88&lt;$F$14, 0, IF(AND($B$21=1, A88&gt;$B$19), 0, $E$14 * $G$14^((A88-$F$14)/12)))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IF(A89&lt;$F$11, 0, IF(AND($B$21=1, A89&gt;$B$19), 0, $E$11 * $G$11^((A89-$F$11)/12)))</f>
        <v/>
      </c>
      <c r="L89" s="306">
        <f>IF(A89&lt;$F$12, 0, IF(AND($B$21=1, A89&gt;$B$19), 0, $E$12 * $G$12^((A89-$F$12)/12)))</f>
        <v/>
      </c>
      <c r="M89" s="306">
        <f>IF(A89&lt;$F$13, 0, IF(AND($B$21=1, A89&gt;$B$19), 0, $E$13 * $G$13^((A89-$F$13)/12)))</f>
        <v/>
      </c>
      <c r="N89" s="306">
        <f>IF(A89&lt;$F$14, 0, IF(AND($B$21=1, A89&gt;$B$19), 0, $E$14 * $G$14^((A89-$F$14)/12)))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IF(A90&lt;$F$11, 0, IF(AND($B$21=1, A90&gt;$B$19), 0, $E$11 * $G$11^((A90-$F$11)/12)))</f>
        <v/>
      </c>
      <c r="L90" s="306">
        <f>IF(A90&lt;$F$12, 0, IF(AND($B$21=1, A90&gt;$B$19), 0, $E$12 * $G$12^((A90-$F$12)/12)))</f>
        <v/>
      </c>
      <c r="M90" s="306">
        <f>IF(A90&lt;$F$13, 0, IF(AND($B$21=1, A90&gt;$B$19), 0, $E$13 * $G$13^((A90-$F$13)/12)))</f>
        <v/>
      </c>
      <c r="N90" s="306">
        <f>IF(A90&lt;$F$14, 0, IF(AND($B$21=1, A90&gt;$B$19), 0, $E$14 * $G$14^((A90-$F$14)/12)))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IF(A91&lt;$F$11, 0, IF(AND($B$21=1, A91&gt;$B$19), 0, $E$11 * $G$11^((A91-$F$11)/12)))</f>
        <v/>
      </c>
      <c r="L91" s="306">
        <f>IF(A91&lt;$F$12, 0, IF(AND($B$21=1, A91&gt;$B$19), 0, $E$12 * $G$12^((A91-$F$12)/12)))</f>
        <v/>
      </c>
      <c r="M91" s="306">
        <f>IF(A91&lt;$F$13, 0, IF(AND($B$21=1, A91&gt;$B$19), 0, $E$13 * $G$13^((A91-$F$13)/12)))</f>
        <v/>
      </c>
      <c r="N91" s="306">
        <f>IF(A91&lt;$F$14, 0, IF(AND($B$21=1, A91&gt;$B$19), 0, $E$14 * $G$14^((A91-$F$14)/12)))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IF(A92&lt;$F$11, 0, IF(AND($B$21=1, A92&gt;$B$19), 0, $E$11 * $G$11^((A92-$F$11)/12)))</f>
        <v/>
      </c>
      <c r="L92" s="306">
        <f>IF(A92&lt;$F$12, 0, IF(AND($B$21=1, A92&gt;$B$19), 0, $E$12 * $G$12^((A92-$F$12)/12)))</f>
        <v/>
      </c>
      <c r="M92" s="306">
        <f>IF(A92&lt;$F$13, 0, IF(AND($B$21=1, A92&gt;$B$19), 0, $E$13 * $G$13^((A92-$F$13)/12)))</f>
        <v/>
      </c>
      <c r="N92" s="306">
        <f>IF(A92&lt;$F$14, 0, IF(AND($B$21=1, A92&gt;$B$19), 0, $E$14 * $G$14^((A92-$F$14)/12)))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IF(A93&lt;$F$11, 0, IF(AND($B$21=1, A93&gt;$B$19), 0, $E$11 * $G$11^((A93-$F$11)/12)))</f>
        <v/>
      </c>
      <c r="L93" s="306">
        <f>IF(A93&lt;$F$12, 0, IF(AND($B$21=1, A93&gt;$B$19), 0, $E$12 * $G$12^((A93-$F$12)/12)))</f>
        <v/>
      </c>
      <c r="M93" s="306">
        <f>IF(A93&lt;$F$13, 0, IF(AND($B$21=1, A93&gt;$B$19), 0, $E$13 * $G$13^((A93-$F$13)/12)))</f>
        <v/>
      </c>
      <c r="N93" s="306">
        <f>IF(A93&lt;$F$14, 0, IF(AND($B$21=1, A93&gt;$B$19), 0, $E$14 * $G$14^((A93-$F$14)/12)))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IF(A94&lt;$F$11, 0, IF(AND($B$21=1, A94&gt;$B$19), 0, $E$11 * $G$11^((A94-$F$11)/12)))</f>
        <v/>
      </c>
      <c r="L94" s="306">
        <f>IF(A94&lt;$F$12, 0, IF(AND($B$21=1, A94&gt;$B$19), 0, $E$12 * $G$12^((A94-$F$12)/12)))</f>
        <v/>
      </c>
      <c r="M94" s="306">
        <f>IF(A94&lt;$F$13, 0, IF(AND($B$21=1, A94&gt;$B$19), 0, $E$13 * $G$13^((A94-$F$13)/12)))</f>
        <v/>
      </c>
      <c r="N94" s="306">
        <f>IF(A94&lt;$F$14, 0, IF(AND($B$21=1, A94&gt;$B$19), 0, $E$14 * $G$14^((A94-$F$14)/12)))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IF(A95&lt;$F$11, 0, IF(AND($B$21=1, A95&gt;$B$19), 0, $E$11 * $G$11^((A95-$F$11)/12)))</f>
        <v/>
      </c>
      <c r="L95" s="306">
        <f>IF(A95&lt;$F$12, 0, IF(AND($B$21=1, A95&gt;$B$19), 0, $E$12 * $G$12^((A95-$F$12)/12)))</f>
        <v/>
      </c>
      <c r="M95" s="306">
        <f>IF(A95&lt;$F$13, 0, IF(AND($B$21=1, A95&gt;$B$19), 0, $E$13 * $G$13^((A95-$F$13)/12)))</f>
        <v/>
      </c>
      <c r="N95" s="306">
        <f>IF(A95&lt;$F$14, 0, IF(AND($B$21=1, A95&gt;$B$19), 0, $E$14 * $G$14^((A95-$F$14)/12)))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IF(A96&lt;$F$11, 0, IF(AND($B$21=1, A96&gt;$B$19), 0, $E$11 * $G$11^((A96-$F$11)/12)))</f>
        <v/>
      </c>
      <c r="L96" s="306">
        <f>IF(A96&lt;$F$12, 0, IF(AND($B$21=1, A96&gt;$B$19), 0, $E$12 * $G$12^((A96-$F$12)/12)))</f>
        <v/>
      </c>
      <c r="M96" s="306">
        <f>IF(A96&lt;$F$13, 0, IF(AND($B$21=1, A96&gt;$B$19), 0, $E$13 * $G$13^((A96-$F$13)/12)))</f>
        <v/>
      </c>
      <c r="N96" s="306">
        <f>IF(A96&lt;$F$14, 0, IF(AND($B$21=1, A96&gt;$B$19), 0, $E$14 * $G$14^((A96-$F$14)/12)))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IF(A97&lt;$F$11, 0, IF(AND($B$21=1, A97&gt;$B$19), 0, $E$11 * $G$11^((A97-$F$11)/12)))</f>
        <v/>
      </c>
      <c r="L97" s="306">
        <f>IF(A97&lt;$F$12, 0, IF(AND($B$21=1, A97&gt;$B$19), 0, $E$12 * $G$12^((A97-$F$12)/12)))</f>
        <v/>
      </c>
      <c r="M97" s="306">
        <f>IF(A97&lt;$F$13, 0, IF(AND($B$21=1, A97&gt;$B$19), 0, $E$13 * $G$13^((A97-$F$13)/12)))</f>
        <v/>
      </c>
      <c r="N97" s="306">
        <f>IF(A97&lt;$F$14, 0, IF(AND($B$21=1, A97&gt;$B$19), 0, $E$14 * $G$14^((A97-$F$14)/12)))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IF(A98&lt;$F$11, 0, IF(AND($B$21=1, A98&gt;$B$19), 0, $E$11 * $G$11^((A98-$F$11)/12)))</f>
        <v/>
      </c>
      <c r="L98" s="306">
        <f>IF(A98&lt;$F$12, 0, IF(AND($B$21=1, A98&gt;$B$19), 0, $E$12 * $G$12^((A98-$F$12)/12)))</f>
        <v/>
      </c>
      <c r="M98" s="306">
        <f>IF(A98&lt;$F$13, 0, IF(AND($B$21=1, A98&gt;$B$19), 0, $E$13 * $G$13^((A98-$F$13)/12)))</f>
        <v/>
      </c>
      <c r="N98" s="306">
        <f>IF(A98&lt;$F$14, 0, IF(AND($B$21=1, A98&gt;$B$19), 0, $E$14 * $G$14^((A98-$F$14)/12)))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IF(A99&lt;$F$11, 0, IF(AND($B$21=1, A99&gt;$B$19), 0, $E$11 * $G$11^((A99-$F$11)/12)))</f>
        <v/>
      </c>
      <c r="L99" s="306">
        <f>IF(A99&lt;$F$12, 0, IF(AND($B$21=1, A99&gt;$B$19), 0, $E$12 * $G$12^((A99-$F$12)/12)))</f>
        <v/>
      </c>
      <c r="M99" s="306">
        <f>IF(A99&lt;$F$13, 0, IF(AND($B$21=1, A99&gt;$B$19), 0, $E$13 * $G$13^((A99-$F$13)/12)))</f>
        <v/>
      </c>
      <c r="N99" s="306">
        <f>IF(A99&lt;$F$14, 0, IF(AND($B$21=1, A99&gt;$B$19), 0, $E$14 * $G$14^((A99-$F$14)/12)))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IF(A100&lt;$F$11, 0, IF(AND($B$21=1, A100&gt;$B$19), 0, $E$11 * $G$11^((A100-$F$11)/12)))</f>
        <v/>
      </c>
      <c r="L100" s="306">
        <f>IF(A100&lt;$F$12, 0, IF(AND($B$21=1, A100&gt;$B$19), 0, $E$12 * $G$12^((A100-$F$12)/12)))</f>
        <v/>
      </c>
      <c r="M100" s="306">
        <f>IF(A100&lt;$F$13, 0, IF(AND($B$21=1, A100&gt;$B$19), 0, $E$13 * $G$13^((A100-$F$13)/12)))</f>
        <v/>
      </c>
      <c r="N100" s="306">
        <f>IF(A100&lt;$F$14, 0, IF(AND($B$21=1, A100&gt;$B$19), 0, $E$14 * $G$14^((A100-$F$14)/12)))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IF(A101&lt;$F$11, 0, IF(AND($B$21=1, A101&gt;$B$19), 0, $E$11 * $G$11^((A101-$F$11)/12)))</f>
        <v/>
      </c>
      <c r="L101" s="306">
        <f>IF(A101&lt;$F$12, 0, IF(AND($B$21=1, A101&gt;$B$19), 0, $E$12 * $G$12^((A101-$F$12)/12)))</f>
        <v/>
      </c>
      <c r="M101" s="306">
        <f>IF(A101&lt;$F$13, 0, IF(AND($B$21=1, A101&gt;$B$19), 0, $E$13 * $G$13^((A101-$F$13)/12)))</f>
        <v/>
      </c>
      <c r="N101" s="306">
        <f>IF(A101&lt;$F$14, 0, IF(AND($B$21=1, A101&gt;$B$19), 0, $E$14 * $G$14^((A101-$F$14)/12)))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IF(A102&lt;$F$11, 0, IF(AND($B$21=1, A102&gt;$B$19), 0, $E$11 * $G$11^((A102-$F$11)/12)))</f>
        <v/>
      </c>
      <c r="L102" s="306">
        <f>IF(A102&lt;$F$12, 0, IF(AND($B$21=1, A102&gt;$B$19), 0, $E$12 * $G$12^((A102-$F$12)/12)))</f>
        <v/>
      </c>
      <c r="M102" s="306">
        <f>IF(A102&lt;$F$13, 0, IF(AND($B$21=1, A102&gt;$B$19), 0, $E$13 * $G$13^((A102-$F$13)/12)))</f>
        <v/>
      </c>
      <c r="N102" s="306">
        <f>IF(A102&lt;$F$14, 0, IF(AND($B$21=1, A102&gt;$B$19), 0, $E$14 * $G$14^((A102-$F$14)/12)))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IF(A103&lt;$F$11, 0, IF(AND($B$21=1, A103&gt;$B$19), 0, $E$11 * $G$11^((A103-$F$11)/12)))</f>
        <v/>
      </c>
      <c r="L103" s="306">
        <f>IF(A103&lt;$F$12, 0, IF(AND($B$21=1, A103&gt;$B$19), 0, $E$12 * $G$12^((A103-$F$12)/12)))</f>
        <v/>
      </c>
      <c r="M103" s="306">
        <f>IF(A103&lt;$F$13, 0, IF(AND($B$21=1, A103&gt;$B$19), 0, $E$13 * $G$13^((A103-$F$13)/12)))</f>
        <v/>
      </c>
      <c r="N103" s="306">
        <f>IF(A103&lt;$F$14, 0, IF(AND($B$21=1, A103&gt;$B$19), 0, $E$14 * $G$14^((A103-$F$14)/12)))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IF(A104&lt;$F$11, 0, IF(AND($B$21=1, A104&gt;$B$19), 0, $E$11 * $G$11^((A104-$F$11)/12)))</f>
        <v/>
      </c>
      <c r="L104" s="306">
        <f>IF(A104&lt;$F$12, 0, IF(AND($B$21=1, A104&gt;$B$19), 0, $E$12 * $G$12^((A104-$F$12)/12)))</f>
        <v/>
      </c>
      <c r="M104" s="306">
        <f>IF(A104&lt;$F$13, 0, IF(AND($B$21=1, A104&gt;$B$19), 0, $E$13 * $G$13^((A104-$F$13)/12)))</f>
        <v/>
      </c>
      <c r="N104" s="306">
        <f>IF(A104&lt;$F$14, 0, IF(AND($B$21=1, A104&gt;$B$19), 0, $E$14 * $G$14^((A104-$F$14)/12)))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IF(A105&lt;$F$11, 0, IF(AND($B$21=1, A105&gt;$B$19), 0, $E$11 * $G$11^((A105-$F$11)/12)))</f>
        <v/>
      </c>
      <c r="L105" s="306">
        <f>IF(A105&lt;$F$12, 0, IF(AND($B$21=1, A105&gt;$B$19), 0, $E$12 * $G$12^((A105-$F$12)/12)))</f>
        <v/>
      </c>
      <c r="M105" s="306">
        <f>IF(A105&lt;$F$13, 0, IF(AND($B$21=1, A105&gt;$B$19), 0, $E$13 * $G$13^((A105-$F$13)/12)))</f>
        <v/>
      </c>
      <c r="N105" s="306">
        <f>IF(A105&lt;$F$14, 0, IF(AND($B$21=1, A105&gt;$B$19), 0, $E$14 * $G$14^((A105-$F$14)/12)))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IF(A106&lt;$F$11, 0, IF(AND($B$21=1, A106&gt;$B$19), 0, $E$11 * $G$11^((A106-$F$11)/12)))</f>
        <v/>
      </c>
      <c r="L106" s="306">
        <f>IF(A106&lt;$F$12, 0, IF(AND($B$21=1, A106&gt;$B$19), 0, $E$12 * $G$12^((A106-$F$12)/12)))</f>
        <v/>
      </c>
      <c r="M106" s="306">
        <f>IF(A106&lt;$F$13, 0, IF(AND($B$21=1, A106&gt;$B$19), 0, $E$13 * $G$13^((A106-$F$13)/12)))</f>
        <v/>
      </c>
      <c r="N106" s="306">
        <f>IF(A106&lt;$F$14, 0, IF(AND($B$21=1, A106&gt;$B$19), 0, $E$14 * $G$14^((A106-$F$14)/12)))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IF(A107&lt;$F$11, 0, IF(AND($B$21=1, A107&gt;$B$19), 0, $E$11 * $G$11^((A107-$F$11)/12)))</f>
        <v/>
      </c>
      <c r="L107" s="306">
        <f>IF(A107&lt;$F$12, 0, IF(AND($B$21=1, A107&gt;$B$19), 0, $E$12 * $G$12^((A107-$F$12)/12)))</f>
        <v/>
      </c>
      <c r="M107" s="306">
        <f>IF(A107&lt;$F$13, 0, IF(AND($B$21=1, A107&gt;$B$19), 0, $E$13 * $G$13^((A107-$F$13)/12)))</f>
        <v/>
      </c>
      <c r="N107" s="306">
        <f>IF(A107&lt;$F$14, 0, IF(AND($B$21=1, A107&gt;$B$19), 0, $E$14 * $G$14^((A107-$F$14)/12)))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IF(A108&lt;$F$11, 0, IF(AND($B$21=1, A108&gt;$B$19), 0, $E$11 * $G$11^((A108-$F$11)/12)))</f>
        <v/>
      </c>
      <c r="L108" s="306">
        <f>IF(A108&lt;$F$12, 0, IF(AND($B$21=1, A108&gt;$B$19), 0, $E$12 * $G$12^((A108-$F$12)/12)))</f>
        <v/>
      </c>
      <c r="M108" s="306">
        <f>IF(A108&lt;$F$13, 0, IF(AND($B$21=1, A108&gt;$B$19), 0, $E$13 * $G$13^((A108-$F$13)/12)))</f>
        <v/>
      </c>
      <c r="N108" s="306">
        <f>IF(A108&lt;$F$14, 0, IF(AND($B$21=1, A108&gt;$B$19), 0, $E$14 * $G$14^((A108-$F$14)/12)))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IF(A109&lt;$F$11, 0, IF(AND($B$21=1, A109&gt;$B$19), 0, $E$11 * $G$11^((A109-$F$11)/12)))</f>
        <v/>
      </c>
      <c r="L109" s="306">
        <f>IF(A109&lt;$F$12, 0, IF(AND($B$21=1, A109&gt;$B$19), 0, $E$12 * $G$12^((A109-$F$12)/12)))</f>
        <v/>
      </c>
      <c r="M109" s="306">
        <f>IF(A109&lt;$F$13, 0, IF(AND($B$21=1, A109&gt;$B$19), 0, $E$13 * $G$13^((A109-$F$13)/12)))</f>
        <v/>
      </c>
      <c r="N109" s="306">
        <f>IF(A109&lt;$F$14, 0, IF(AND($B$21=1, A109&gt;$B$19), 0, $E$14 * $G$14^((A109-$F$14)/12)))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IF(A110&lt;$F$11, 0, IF(AND($B$21=1, A110&gt;$B$19), 0, $E$11 * $G$11^((A110-$F$11)/12)))</f>
        <v/>
      </c>
      <c r="L110" s="306">
        <f>IF(A110&lt;$F$12, 0, IF(AND($B$21=1, A110&gt;$B$19), 0, $E$12 * $G$12^((A110-$F$12)/12)))</f>
        <v/>
      </c>
      <c r="M110" s="306">
        <f>IF(A110&lt;$F$13, 0, IF(AND($B$21=1, A110&gt;$B$19), 0, $E$13 * $G$13^((A110-$F$13)/12)))</f>
        <v/>
      </c>
      <c r="N110" s="306">
        <f>IF(A110&lt;$F$14, 0, IF(AND($B$21=1, A110&gt;$B$19), 0, $E$14 * $G$14^((A110-$F$14)/12)))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IF(A111&lt;$F$11, 0, IF(AND($B$21=1, A111&gt;$B$19), 0, $E$11 * $G$11^((A111-$F$11)/12)))</f>
        <v/>
      </c>
      <c r="L111" s="306">
        <f>IF(A111&lt;$F$12, 0, IF(AND($B$21=1, A111&gt;$B$19), 0, $E$12 * $G$12^((A111-$F$12)/12)))</f>
        <v/>
      </c>
      <c r="M111" s="306">
        <f>IF(A111&lt;$F$13, 0, IF(AND($B$21=1, A111&gt;$B$19), 0, $E$13 * $G$13^((A111-$F$13)/12)))</f>
        <v/>
      </c>
      <c r="N111" s="306">
        <f>IF(A111&lt;$F$14, 0, IF(AND($B$21=1, A111&gt;$B$19), 0, $E$14 * $G$14^((A111-$F$14)/12)))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IF(A112&lt;$F$11, 0, IF(AND($B$21=1, A112&gt;$B$19), 0, $E$11 * $G$11^((A112-$F$11)/12)))</f>
        <v/>
      </c>
      <c r="L112" s="306">
        <f>IF(A112&lt;$F$12, 0, IF(AND($B$21=1, A112&gt;$B$19), 0, $E$12 * $G$12^((A112-$F$12)/12)))</f>
        <v/>
      </c>
      <c r="M112" s="306">
        <f>IF(A112&lt;$F$13, 0, IF(AND($B$21=1, A112&gt;$B$19), 0, $E$13 * $G$13^((A112-$F$13)/12)))</f>
        <v/>
      </c>
      <c r="N112" s="306">
        <f>IF(A112&lt;$F$14, 0, IF(AND($B$21=1, A112&gt;$B$19), 0, $E$14 * $G$14^((A112-$F$14)/12)))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IF(A113&lt;$F$11, 0, IF(AND($B$21=1, A113&gt;$B$19), 0, $E$11 * $G$11^((A113-$F$11)/12)))</f>
        <v/>
      </c>
      <c r="L113" s="306">
        <f>IF(A113&lt;$F$12, 0, IF(AND($B$21=1, A113&gt;$B$19), 0, $E$12 * $G$12^((A113-$F$12)/12)))</f>
        <v/>
      </c>
      <c r="M113" s="306">
        <f>IF(A113&lt;$F$13, 0, IF(AND($B$21=1, A113&gt;$B$19), 0, $E$13 * $G$13^((A113-$F$13)/12)))</f>
        <v/>
      </c>
      <c r="N113" s="306">
        <f>IF(A113&lt;$F$14, 0, IF(AND($B$21=1, A113&gt;$B$19), 0, $E$14 * $G$14^((A113-$F$14)/12)))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IF(A114&lt;$F$11, 0, IF(AND($B$21=1, A114&gt;$B$19), 0, $E$11 * $G$11^((A114-$F$11)/12)))</f>
        <v/>
      </c>
      <c r="L114" s="306">
        <f>IF(A114&lt;$F$12, 0, IF(AND($B$21=1, A114&gt;$B$19), 0, $E$12 * $G$12^((A114-$F$12)/12)))</f>
        <v/>
      </c>
      <c r="M114" s="306">
        <f>IF(A114&lt;$F$13, 0, IF(AND($B$21=1, A114&gt;$B$19), 0, $E$13 * $G$13^((A114-$F$13)/12)))</f>
        <v/>
      </c>
      <c r="N114" s="306">
        <f>IF(A114&lt;$F$14, 0, IF(AND($B$21=1, A114&gt;$B$19), 0, $E$14 * $G$14^((A114-$F$14)/12)))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IF(A115&lt;$F$11, 0, IF(AND($B$21=1, A115&gt;$B$19), 0, $E$11 * $G$11^((A115-$F$11)/12)))</f>
        <v/>
      </c>
      <c r="L115" s="306">
        <f>IF(A115&lt;$F$12, 0, IF(AND($B$21=1, A115&gt;$B$19), 0, $E$12 * $G$12^((A115-$F$12)/12)))</f>
        <v/>
      </c>
      <c r="M115" s="306">
        <f>IF(A115&lt;$F$13, 0, IF(AND($B$21=1, A115&gt;$B$19), 0, $E$13 * $G$13^((A115-$F$13)/12)))</f>
        <v/>
      </c>
      <c r="N115" s="306">
        <f>IF(A115&lt;$F$14, 0, IF(AND($B$21=1, A115&gt;$B$19), 0, $E$14 * $G$14^((A115-$F$14)/12)))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IF(A116&lt;$F$11, 0, IF(AND($B$21=1, A116&gt;$B$19), 0, $E$11 * $G$11^((A116-$F$11)/12)))</f>
        <v/>
      </c>
      <c r="L116" s="306">
        <f>IF(A116&lt;$F$12, 0, IF(AND($B$21=1, A116&gt;$B$19), 0, $E$12 * $G$12^((A116-$F$12)/12)))</f>
        <v/>
      </c>
      <c r="M116" s="306">
        <f>IF(A116&lt;$F$13, 0, IF(AND($B$21=1, A116&gt;$B$19), 0, $E$13 * $G$13^((A116-$F$13)/12)))</f>
        <v/>
      </c>
      <c r="N116" s="306">
        <f>IF(A116&lt;$F$14, 0, IF(AND($B$21=1, A116&gt;$B$19), 0, $E$14 * $G$14^((A116-$F$14)/12)))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IF(A117&lt;$F$11, 0, IF(AND($B$21=1, A117&gt;$B$19), 0, $E$11 * $G$11^((A117-$F$11)/12)))</f>
        <v/>
      </c>
      <c r="L117" s="306">
        <f>IF(A117&lt;$F$12, 0, IF(AND($B$21=1, A117&gt;$B$19), 0, $E$12 * $G$12^((A117-$F$12)/12)))</f>
        <v/>
      </c>
      <c r="M117" s="306">
        <f>IF(A117&lt;$F$13, 0, IF(AND($B$21=1, A117&gt;$B$19), 0, $E$13 * $G$13^((A117-$F$13)/12)))</f>
        <v/>
      </c>
      <c r="N117" s="306">
        <f>IF(A117&lt;$F$14, 0, IF(AND($B$21=1, A117&gt;$B$19), 0, $E$14 * $G$14^((A117-$F$14)/12)))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IF(A118&lt;$F$11, 0, IF(AND($B$21=1, A118&gt;$B$19), 0, $E$11 * $G$11^((A118-$F$11)/12)))</f>
        <v/>
      </c>
      <c r="L118" s="306">
        <f>IF(A118&lt;$F$12, 0, IF(AND($B$21=1, A118&gt;$B$19), 0, $E$12 * $G$12^((A118-$F$12)/12)))</f>
        <v/>
      </c>
      <c r="M118" s="306">
        <f>IF(A118&lt;$F$13, 0, IF(AND($B$21=1, A118&gt;$B$19), 0, $E$13 * $G$13^((A118-$F$13)/12)))</f>
        <v/>
      </c>
      <c r="N118" s="306">
        <f>IF(A118&lt;$F$14, 0, IF(AND($B$21=1, A118&gt;$B$19), 0, $E$14 * $G$14^((A118-$F$14)/12)))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IF(A119&lt;$F$11, 0, IF(AND($B$21=1, A119&gt;$B$19), 0, $E$11 * $G$11^((A119-$F$11)/12)))</f>
        <v/>
      </c>
      <c r="L119" s="306">
        <f>IF(A119&lt;$F$12, 0, IF(AND($B$21=1, A119&gt;$B$19), 0, $E$12 * $G$12^((A119-$F$12)/12)))</f>
        <v/>
      </c>
      <c r="M119" s="306">
        <f>IF(A119&lt;$F$13, 0, IF(AND($B$21=1, A119&gt;$B$19), 0, $E$13 * $G$13^((A119-$F$13)/12)))</f>
        <v/>
      </c>
      <c r="N119" s="306">
        <f>IF(A119&lt;$F$14, 0, IF(AND($B$21=1, A119&gt;$B$19), 0, $E$14 * $G$14^((A119-$F$14)/12)))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IF(A120&lt;$F$11, 0, IF(AND($B$21=1, A120&gt;$B$19), 0, $E$11 * $G$11^((A120-$F$11)/12)))</f>
        <v/>
      </c>
      <c r="L120" s="306">
        <f>IF(A120&lt;$F$12, 0, IF(AND($B$21=1, A120&gt;$B$19), 0, $E$12 * $G$12^((A120-$F$12)/12)))</f>
        <v/>
      </c>
      <c r="M120" s="306">
        <f>IF(A120&lt;$F$13, 0, IF(AND($B$21=1, A120&gt;$B$19), 0, $E$13 * $G$13^((A120-$F$13)/12)))</f>
        <v/>
      </c>
      <c r="N120" s="306">
        <f>IF(A120&lt;$F$14, 0, IF(AND($B$21=1, A120&gt;$B$19), 0, $E$14 * $G$14^((A120-$F$14)/12)))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IF(A121&lt;$F$11, 0, IF(AND($B$21=1, A121&gt;$B$19), 0, $E$11 * $G$11^((A121-$F$11)/12)))</f>
        <v/>
      </c>
      <c r="L121" s="306">
        <f>IF(A121&lt;$F$12, 0, IF(AND($B$21=1, A121&gt;$B$19), 0, $E$12 * $G$12^((A121-$F$12)/12)))</f>
        <v/>
      </c>
      <c r="M121" s="306">
        <f>IF(A121&lt;$F$13, 0, IF(AND($B$21=1, A121&gt;$B$19), 0, $E$13 * $G$13^((A121-$F$13)/12)))</f>
        <v/>
      </c>
      <c r="N121" s="306">
        <f>IF(A121&lt;$F$14, 0, IF(AND($B$21=1, A121&gt;$B$19), 0, $E$14 * $G$14^((A121-$F$14)/12)))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IF(A122&lt;$F$11, 0, IF(AND($B$21=1, A122&gt;$B$19), 0, $E$11 * $G$11^((A122-$F$11)/12)))</f>
        <v/>
      </c>
      <c r="L122" s="306">
        <f>IF(A122&lt;$F$12, 0, IF(AND($B$21=1, A122&gt;$B$19), 0, $E$12 * $G$12^((A122-$F$12)/12)))</f>
        <v/>
      </c>
      <c r="M122" s="306">
        <f>IF(A122&lt;$F$13, 0, IF(AND($B$21=1, A122&gt;$B$19), 0, $E$13 * $G$13^((A122-$F$13)/12)))</f>
        <v/>
      </c>
      <c r="N122" s="306">
        <f>IF(A122&lt;$F$14, 0, IF(AND($B$21=1, A122&gt;$B$19), 0, $E$14 * $G$14^((A122-$F$14)/12)))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IF(A123&lt;$F$11, 0, IF(AND($B$21=1, A123&gt;$B$19), 0, $E$11 * $G$11^((A123-$F$11)/12)))</f>
        <v/>
      </c>
      <c r="L123" s="306">
        <f>IF(A123&lt;$F$12, 0, IF(AND($B$21=1, A123&gt;$B$19), 0, $E$12 * $G$12^((A123-$F$12)/12)))</f>
        <v/>
      </c>
      <c r="M123" s="306">
        <f>IF(A123&lt;$F$13, 0, IF(AND($B$21=1, A123&gt;$B$19), 0, $E$13 * $G$13^((A123-$F$13)/12)))</f>
        <v/>
      </c>
      <c r="N123" s="306">
        <f>IF(A123&lt;$F$14, 0, IF(AND($B$21=1, A123&gt;$B$19), 0, $E$14 * $G$14^((A123-$F$14)/12)))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IF(A124&lt;$F$11, 0, IF(AND($B$21=1, A124&gt;$B$19), 0, $E$11 * $G$11^((A124-$F$11)/12)))</f>
        <v/>
      </c>
      <c r="L124" s="306">
        <f>IF(A124&lt;$F$12, 0, IF(AND($B$21=1, A124&gt;$B$19), 0, $E$12 * $G$12^((A124-$F$12)/12)))</f>
        <v/>
      </c>
      <c r="M124" s="306">
        <f>IF(A124&lt;$F$13, 0, IF(AND($B$21=1, A124&gt;$B$19), 0, $E$13 * $G$13^((A124-$F$13)/12)))</f>
        <v/>
      </c>
      <c r="N124" s="306">
        <f>IF(A124&lt;$F$14, 0, IF(AND($B$21=1, A124&gt;$B$19), 0, $E$14 * $G$14^((A124-$F$14)/12)))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IF(A125&lt;$F$11, 0, IF(AND($B$21=1, A125&gt;$B$19), 0, $E$11 * $G$11^((A125-$F$11)/12)))</f>
        <v/>
      </c>
      <c r="L125" s="306">
        <f>IF(A125&lt;$F$12, 0, IF(AND($B$21=1, A125&gt;$B$19), 0, $E$12 * $G$12^((A125-$F$12)/12)))</f>
        <v/>
      </c>
      <c r="M125" s="306">
        <f>IF(A125&lt;$F$13, 0, IF(AND($B$21=1, A125&gt;$B$19), 0, $E$13 * $G$13^((A125-$F$13)/12)))</f>
        <v/>
      </c>
      <c r="N125" s="306">
        <f>IF(A125&lt;$F$14, 0, IF(AND($B$21=1, A125&gt;$B$19), 0, $E$14 * $G$14^((A125-$F$14)/12)))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IF(A126&lt;$F$11, 0, IF(AND($B$21=1, A126&gt;$B$19), 0, $E$11 * $G$11^((A126-$F$11)/12)))</f>
        <v/>
      </c>
      <c r="L126" s="306">
        <f>IF(A126&lt;$F$12, 0, IF(AND($B$21=1, A126&gt;$B$19), 0, $E$12 * $G$12^((A126-$F$12)/12)))</f>
        <v/>
      </c>
      <c r="M126" s="306">
        <f>IF(A126&lt;$F$13, 0, IF(AND($B$21=1, A126&gt;$B$19), 0, $E$13 * $G$13^((A126-$F$13)/12)))</f>
        <v/>
      </c>
      <c r="N126" s="306">
        <f>IF(A126&lt;$F$14, 0, IF(AND($B$21=1, A126&gt;$B$19), 0, $E$14 * $G$14^((A126-$F$14)/12)))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IF(A127&lt;$F$11, 0, IF(AND($B$21=1, A127&gt;$B$19), 0, $E$11 * $G$11^((A127-$F$11)/12)))</f>
        <v/>
      </c>
      <c r="L127" s="306">
        <f>IF(A127&lt;$F$12, 0, IF(AND($B$21=1, A127&gt;$B$19), 0, $E$12 * $G$12^((A127-$F$12)/12)))</f>
        <v/>
      </c>
      <c r="M127" s="306">
        <f>IF(A127&lt;$F$13, 0, IF(AND($B$21=1, A127&gt;$B$19), 0, $E$13 * $G$13^((A127-$F$13)/12)))</f>
        <v/>
      </c>
      <c r="N127" s="306">
        <f>IF(A127&lt;$F$14, 0, IF(AND($B$21=1, A127&gt;$B$19), 0, $E$14 * $G$14^((A127-$F$14)/12)))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IF(A128&lt;$F$11, 0, IF(AND($B$21=1, A128&gt;$B$19), 0, $E$11 * $G$11^((A128-$F$11)/12)))</f>
        <v/>
      </c>
      <c r="L128" s="306">
        <f>IF(A128&lt;$F$12, 0, IF(AND($B$21=1, A128&gt;$B$19), 0, $E$12 * $G$12^((A128-$F$12)/12)))</f>
        <v/>
      </c>
      <c r="M128" s="306">
        <f>IF(A128&lt;$F$13, 0, IF(AND($B$21=1, A128&gt;$B$19), 0, $E$13 * $G$13^((A128-$F$13)/12)))</f>
        <v/>
      </c>
      <c r="N128" s="306">
        <f>IF(A128&lt;$F$14, 0, IF(AND($B$21=1, A128&gt;$B$19), 0, $E$14 * $G$14^((A128-$F$14)/12)))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IF(A129&lt;$F$11, 0, IF(AND($B$21=1, A129&gt;$B$19), 0, $E$11 * $G$11^((A129-$F$11)/12)))</f>
        <v/>
      </c>
      <c r="L129" s="306">
        <f>IF(A129&lt;$F$12, 0, IF(AND($B$21=1, A129&gt;$B$19), 0, $E$12 * $G$12^((A129-$F$12)/12)))</f>
        <v/>
      </c>
      <c r="M129" s="306">
        <f>IF(A129&lt;$F$13, 0, IF(AND($B$21=1, A129&gt;$B$19), 0, $E$13 * $G$13^((A129-$F$13)/12)))</f>
        <v/>
      </c>
      <c r="N129" s="306">
        <f>IF(A129&lt;$F$14, 0, IF(AND($B$21=1, A129&gt;$B$19), 0, $E$14 * $G$14^((A129-$F$14)/12)))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IF(A130&lt;$F$11, 0, IF(AND($B$21=1, A130&gt;$B$19), 0, $E$11 * $G$11^((A130-$F$11)/12)))</f>
        <v/>
      </c>
      <c r="L130" s="306">
        <f>IF(A130&lt;$F$12, 0, IF(AND($B$21=1, A130&gt;$B$19), 0, $E$12 * $G$12^((A130-$F$12)/12)))</f>
        <v/>
      </c>
      <c r="M130" s="306">
        <f>IF(A130&lt;$F$13, 0, IF(AND($B$21=1, A130&gt;$B$19), 0, $E$13 * $G$13^((A130-$F$13)/12)))</f>
        <v/>
      </c>
      <c r="N130" s="306">
        <f>IF(A130&lt;$F$14, 0, IF(AND($B$21=1, A130&gt;$B$19), 0, $E$14 * $G$14^((A130-$F$14)/12)))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IF(A131&lt;$F$11, 0, IF(AND($B$21=1, A131&gt;$B$19), 0, $E$11 * $G$11^((A131-$F$11)/12)))</f>
        <v/>
      </c>
      <c r="L131" s="306">
        <f>IF(A131&lt;$F$12, 0, IF(AND($B$21=1, A131&gt;$B$19), 0, $E$12 * $G$12^((A131-$F$12)/12)))</f>
        <v/>
      </c>
      <c r="M131" s="306">
        <f>IF(A131&lt;$F$13, 0, IF(AND($B$21=1, A131&gt;$B$19), 0, $E$13 * $G$13^((A131-$F$13)/12)))</f>
        <v/>
      </c>
      <c r="N131" s="306">
        <f>IF(A131&lt;$F$14, 0, IF(AND($B$21=1, A131&gt;$B$19), 0, $E$14 * $G$14^((A131-$F$14)/12)))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IF(A132&lt;$F$11, 0, IF(AND($B$21=1, A132&gt;$B$19), 0, $E$11 * $G$11^((A132-$F$11)/12)))</f>
        <v/>
      </c>
      <c r="L132" s="306">
        <f>IF(A132&lt;$F$12, 0, IF(AND($B$21=1, A132&gt;$B$19), 0, $E$12 * $G$12^((A132-$F$12)/12)))</f>
        <v/>
      </c>
      <c r="M132" s="306">
        <f>IF(A132&lt;$F$13, 0, IF(AND($B$21=1, A132&gt;$B$19), 0, $E$13 * $G$13^((A132-$F$13)/12)))</f>
        <v/>
      </c>
      <c r="N132" s="306">
        <f>IF(A132&lt;$F$14, 0, IF(AND($B$21=1, A132&gt;$B$19), 0, $E$14 * $G$14^((A132-$F$14)/12)))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IF(A133&lt;$F$11, 0, IF(AND($B$21=1, A133&gt;$B$19), 0, $E$11 * $G$11^((A133-$F$11)/12)))</f>
        <v/>
      </c>
      <c r="L133" s="306">
        <f>IF(A133&lt;$F$12, 0, IF(AND($B$21=1, A133&gt;$B$19), 0, $E$12 * $G$12^((A133-$F$12)/12)))</f>
        <v/>
      </c>
      <c r="M133" s="306">
        <f>IF(A133&lt;$F$13, 0, IF(AND($B$21=1, A133&gt;$B$19), 0, $E$13 * $G$13^((A133-$F$13)/12)))</f>
        <v/>
      </c>
      <c r="N133" s="306">
        <f>IF(A133&lt;$F$14, 0, IF(AND($B$21=1, A133&gt;$B$19), 0, $E$14 * $G$14^((A133-$F$14)/12)))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IF(A134&lt;$F$11, 0, IF(AND($B$21=1, A134&gt;$B$19), 0, $E$11 * $G$11^((A134-$F$11)/12)))</f>
        <v/>
      </c>
      <c r="L134" s="306">
        <f>IF(A134&lt;$F$12, 0, IF(AND($B$21=1, A134&gt;$B$19), 0, $E$12 * $G$12^((A134-$F$12)/12)))</f>
        <v/>
      </c>
      <c r="M134" s="306">
        <f>IF(A134&lt;$F$13, 0, IF(AND($B$21=1, A134&gt;$B$19), 0, $E$13 * $G$13^((A134-$F$13)/12)))</f>
        <v/>
      </c>
      <c r="N134" s="306">
        <f>IF(A134&lt;$F$14, 0, IF(AND($B$21=1, A134&gt;$B$19), 0, $E$14 * $G$14^((A134-$F$14)/12)))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IF(A135&lt;$F$11, 0, IF(AND($B$21=1, A135&gt;$B$19), 0, $E$11 * $G$11^((A135-$F$11)/12)))</f>
        <v/>
      </c>
      <c r="L135" s="306">
        <f>IF(A135&lt;$F$12, 0, IF(AND($B$21=1, A135&gt;$B$19), 0, $E$12 * $G$12^((A135-$F$12)/12)))</f>
        <v/>
      </c>
      <c r="M135" s="306">
        <f>IF(A135&lt;$F$13, 0, IF(AND($B$21=1, A135&gt;$B$19), 0, $E$13 * $G$13^((A135-$F$13)/12)))</f>
        <v/>
      </c>
      <c r="N135" s="306">
        <f>IF(A135&lt;$F$14, 0, IF(AND($B$21=1, A135&gt;$B$19), 0, $E$14 * $G$14^((A135-$F$14)/12)))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IF(A136&lt;$F$11, 0, IF(AND($B$21=1, A136&gt;$B$19), 0, $E$11 * $G$11^((A136-$F$11)/12)))</f>
        <v/>
      </c>
      <c r="L136" s="306">
        <f>IF(A136&lt;$F$12, 0, IF(AND($B$21=1, A136&gt;$B$19), 0, $E$12 * $G$12^((A136-$F$12)/12)))</f>
        <v/>
      </c>
      <c r="M136" s="306">
        <f>IF(A136&lt;$F$13, 0, IF(AND($B$21=1, A136&gt;$B$19), 0, $E$13 * $G$13^((A136-$F$13)/12)))</f>
        <v/>
      </c>
      <c r="N136" s="306">
        <f>IF(A136&lt;$F$14, 0, IF(AND($B$21=1, A136&gt;$B$19), 0, $E$14 * $G$14^((A136-$F$14)/12)))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IF(A137&lt;$F$11, 0, IF(AND($B$21=1, A137&gt;$B$19), 0, $E$11 * $G$11^((A137-$F$11)/12)))</f>
        <v/>
      </c>
      <c r="L137" s="306">
        <f>IF(A137&lt;$F$12, 0, IF(AND($B$21=1, A137&gt;$B$19), 0, $E$12 * $G$12^((A137-$F$12)/12)))</f>
        <v/>
      </c>
      <c r="M137" s="306">
        <f>IF(A137&lt;$F$13, 0, IF(AND($B$21=1, A137&gt;$B$19), 0, $E$13 * $G$13^((A137-$F$13)/12)))</f>
        <v/>
      </c>
      <c r="N137" s="306">
        <f>IF(A137&lt;$F$14, 0, IF(AND($B$21=1, A137&gt;$B$19), 0, $E$14 * $G$14^((A137-$F$14)/12)))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IF(A138&lt;$F$11, 0, IF(AND($B$21=1, A138&gt;$B$19), 0, $E$11 * $G$11^((A138-$F$11)/12)))</f>
        <v/>
      </c>
      <c r="L138" s="306">
        <f>IF(A138&lt;$F$12, 0, IF(AND($B$21=1, A138&gt;$B$19), 0, $E$12 * $G$12^((A138-$F$12)/12)))</f>
        <v/>
      </c>
      <c r="M138" s="306">
        <f>IF(A138&lt;$F$13, 0, IF(AND($B$21=1, A138&gt;$B$19), 0, $E$13 * $G$13^((A138-$F$13)/12)))</f>
        <v/>
      </c>
      <c r="N138" s="306">
        <f>IF(A138&lt;$F$14, 0, IF(AND($B$21=1, A138&gt;$B$19), 0, $E$14 * $G$14^((A138-$F$14)/12)))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IF(A139&lt;$F$11, 0, IF(AND($B$21=1, A139&gt;$B$19), 0, $E$11 * $G$11^((A139-$F$11)/12)))</f>
        <v/>
      </c>
      <c r="L139" s="306">
        <f>IF(A139&lt;$F$12, 0, IF(AND($B$21=1, A139&gt;$B$19), 0, $E$12 * $G$12^((A139-$F$12)/12)))</f>
        <v/>
      </c>
      <c r="M139" s="306">
        <f>IF(A139&lt;$F$13, 0, IF(AND($B$21=1, A139&gt;$B$19), 0, $E$13 * $G$13^((A139-$F$13)/12)))</f>
        <v/>
      </c>
      <c r="N139" s="306">
        <f>IF(A139&lt;$F$14, 0, IF(AND($B$21=1, A139&gt;$B$19), 0, $E$14 * $G$14^((A139-$F$14)/12)))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IF(A140&lt;$F$11, 0, IF(AND($B$21=1, A140&gt;$B$19), 0, $E$11 * $G$11^((A140-$F$11)/12)))</f>
        <v/>
      </c>
      <c r="L140" s="306">
        <f>IF(A140&lt;$F$12, 0, IF(AND($B$21=1, A140&gt;$B$19), 0, $E$12 * $G$12^((A140-$F$12)/12)))</f>
        <v/>
      </c>
      <c r="M140" s="306">
        <f>IF(A140&lt;$F$13, 0, IF(AND($B$21=1, A140&gt;$B$19), 0, $E$13 * $G$13^((A140-$F$13)/12)))</f>
        <v/>
      </c>
      <c r="N140" s="306">
        <f>IF(A140&lt;$F$14, 0, IF(AND($B$21=1, A140&gt;$B$19), 0, $E$14 * $G$14^((A140-$F$14)/12)))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IF(A141&lt;$F$11, 0, IF(AND($B$21=1, A141&gt;$B$19), 0, $E$11 * $G$11^((A141-$F$11)/12)))</f>
        <v/>
      </c>
      <c r="L141" s="306">
        <f>IF(A141&lt;$F$12, 0, IF(AND($B$21=1, A141&gt;$B$19), 0, $E$12 * $G$12^((A141-$F$12)/12)))</f>
        <v/>
      </c>
      <c r="M141" s="306">
        <f>IF(A141&lt;$F$13, 0, IF(AND($B$21=1, A141&gt;$B$19), 0, $E$13 * $G$13^((A141-$F$13)/12)))</f>
        <v/>
      </c>
      <c r="N141" s="306">
        <f>IF(A141&lt;$F$14, 0, IF(AND($B$21=1, A141&gt;$B$19), 0, $E$14 * $G$14^((A141-$F$14)/12)))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IF(A142&lt;$F$11, 0, IF(AND($B$21=1, A142&gt;$B$19), 0, $E$11 * $G$11^((A142-$F$11)/12)))</f>
        <v/>
      </c>
      <c r="L142" s="306">
        <f>IF(A142&lt;$F$12, 0, IF(AND($B$21=1, A142&gt;$B$19), 0, $E$12 * $G$12^((A142-$F$12)/12)))</f>
        <v/>
      </c>
      <c r="M142" s="306">
        <f>IF(A142&lt;$F$13, 0, IF(AND($B$21=1, A142&gt;$B$19), 0, $E$13 * $G$13^((A142-$F$13)/12)))</f>
        <v/>
      </c>
      <c r="N142" s="306">
        <f>IF(A142&lt;$F$14, 0, IF(AND($B$21=1, A142&gt;$B$19), 0, $E$14 * $G$14^((A142-$F$14)/12)))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IF(A143&lt;$F$11, 0, IF(AND($B$21=1, A143&gt;$B$19), 0, $E$11 * $G$11^((A143-$F$11)/12)))</f>
        <v/>
      </c>
      <c r="L143" s="306">
        <f>IF(A143&lt;$F$12, 0, IF(AND($B$21=1, A143&gt;$B$19), 0, $E$12 * $G$12^((A143-$F$12)/12)))</f>
        <v/>
      </c>
      <c r="M143" s="306">
        <f>IF(A143&lt;$F$13, 0, IF(AND($B$21=1, A143&gt;$B$19), 0, $E$13 * $G$13^((A143-$F$13)/12)))</f>
        <v/>
      </c>
      <c r="N143" s="306">
        <f>IF(A143&lt;$F$14, 0, IF(AND($B$21=1, A143&gt;$B$19), 0, $E$14 * $G$14^((A143-$F$14)/12)))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IF(A144&lt;$F$11, 0, IF(AND($B$21=1, A144&gt;$B$19), 0, $E$11 * $G$11^((A144-$F$11)/12)))</f>
        <v/>
      </c>
      <c r="L144" s="306">
        <f>IF(A144&lt;$F$12, 0, IF(AND($B$21=1, A144&gt;$B$19), 0, $E$12 * $G$12^((A144-$F$12)/12)))</f>
        <v/>
      </c>
      <c r="M144" s="306">
        <f>IF(A144&lt;$F$13, 0, IF(AND($B$21=1, A144&gt;$B$19), 0, $E$13 * $G$13^((A144-$F$13)/12)))</f>
        <v/>
      </c>
      <c r="N144" s="306">
        <f>IF(A144&lt;$F$14, 0, IF(AND($B$21=1, A144&gt;$B$19), 0, $E$14 * $G$14^((A144-$F$14)/12)))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IF(A145&lt;$F$11, 0, IF(AND($B$21=1, A145&gt;$B$19), 0, $E$11 * $G$11^((A145-$F$11)/12)))</f>
        <v/>
      </c>
      <c r="L145" s="306">
        <f>IF(A145&lt;$F$12, 0, IF(AND($B$21=1, A145&gt;$B$19), 0, $E$12 * $G$12^((A145-$F$12)/12)))</f>
        <v/>
      </c>
      <c r="M145" s="306">
        <f>IF(A145&lt;$F$13, 0, IF(AND($B$21=1, A145&gt;$B$19), 0, $E$13 * $G$13^((A145-$F$13)/12)))</f>
        <v/>
      </c>
      <c r="N145" s="306">
        <f>IF(A145&lt;$F$14, 0, IF(AND($B$21=1, A145&gt;$B$19), 0, $E$14 * $G$14^((A145-$F$14)/12)))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IF(A146&lt;$F$11, 0, IF(AND($B$21=1, A146&gt;$B$19), 0, $E$11 * $G$11^((A146-$F$11)/12)))</f>
        <v/>
      </c>
      <c r="L146" s="306">
        <f>IF(A146&lt;$F$12, 0, IF(AND($B$21=1, A146&gt;$B$19), 0, $E$12 * $G$12^((A146-$F$12)/12)))</f>
        <v/>
      </c>
      <c r="M146" s="306">
        <f>IF(A146&lt;$F$13, 0, IF(AND($B$21=1, A146&gt;$B$19), 0, $E$13 * $G$13^((A146-$F$13)/12)))</f>
        <v/>
      </c>
      <c r="N146" s="306">
        <f>IF(A146&lt;$F$14, 0, IF(AND($B$21=1, A146&gt;$B$19), 0, $E$14 * $G$14^((A146-$F$14)/12)))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IF(A147&lt;$F$11, 0, IF(AND($B$21=1, A147&gt;$B$19), 0, $E$11 * $G$11^((A147-$F$11)/12)))</f>
        <v/>
      </c>
      <c r="L147" s="306">
        <f>IF(A147&lt;$F$12, 0, IF(AND($B$21=1, A147&gt;$B$19), 0, $E$12 * $G$12^((A147-$F$12)/12)))</f>
        <v/>
      </c>
      <c r="M147" s="306">
        <f>IF(A147&lt;$F$13, 0, IF(AND($B$21=1, A147&gt;$B$19), 0, $E$13 * $G$13^((A147-$F$13)/12)))</f>
        <v/>
      </c>
      <c r="N147" s="306">
        <f>IF(A147&lt;$F$14, 0, IF(AND($B$21=1, A147&gt;$B$19), 0, $E$14 * $G$14^((A147-$F$14)/12)))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IF(A148&lt;$F$11, 0, IF(AND($B$21=1, A148&gt;$B$19), 0, $E$11 * $G$11^((A148-$F$11)/12)))</f>
        <v/>
      </c>
      <c r="L148" s="306">
        <f>IF(A148&lt;$F$12, 0, IF(AND($B$21=1, A148&gt;$B$19), 0, $E$12 * $G$12^((A148-$F$12)/12)))</f>
        <v/>
      </c>
      <c r="M148" s="306">
        <f>IF(A148&lt;$F$13, 0, IF(AND($B$21=1, A148&gt;$B$19), 0, $E$13 * $G$13^((A148-$F$13)/12)))</f>
        <v/>
      </c>
      <c r="N148" s="306">
        <f>IF(A148&lt;$F$14, 0, IF(AND($B$21=1, A148&gt;$B$19), 0, $E$14 * $G$14^((A148-$F$14)/12)))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IF(A149&lt;$F$11, 0, IF(AND($B$21=1, A149&gt;$B$19), 0, $E$11 * $G$11^((A149-$F$11)/12)))</f>
        <v/>
      </c>
      <c r="L149" s="306">
        <f>IF(A149&lt;$F$12, 0, IF(AND($B$21=1, A149&gt;$B$19), 0, $E$12 * $G$12^((A149-$F$12)/12)))</f>
        <v/>
      </c>
      <c r="M149" s="306">
        <f>IF(A149&lt;$F$13, 0, IF(AND($B$21=1, A149&gt;$B$19), 0, $E$13 * $G$13^((A149-$F$13)/12)))</f>
        <v/>
      </c>
      <c r="N149" s="306">
        <f>IF(A149&lt;$F$14, 0, IF(AND($B$21=1, A149&gt;$B$19), 0, $E$14 * $G$14^((A149-$F$14)/12)))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IF(A150&lt;$F$11, 0, IF(AND($B$21=1, A150&gt;$B$19), 0, $E$11 * $G$11^((A150-$F$11)/12)))</f>
        <v/>
      </c>
      <c r="L150" s="306">
        <f>IF(A150&lt;$F$12, 0, IF(AND($B$21=1, A150&gt;$B$19), 0, $E$12 * $G$12^((A150-$F$12)/12)))</f>
        <v/>
      </c>
      <c r="M150" s="306">
        <f>IF(A150&lt;$F$13, 0, IF(AND($B$21=1, A150&gt;$B$19), 0, $E$13 * $G$13^((A150-$F$13)/12)))</f>
        <v/>
      </c>
      <c r="N150" s="306">
        <f>IF(A150&lt;$F$14, 0, IF(AND($B$21=1, A150&gt;$B$19), 0, $E$14 * $G$14^((A150-$F$14)/12)))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IF(A151&lt;$F$11, 0, IF(AND($B$21=1, A151&gt;$B$19), 0, $E$11 * $G$11^((A151-$F$11)/12)))</f>
        <v/>
      </c>
      <c r="L151" s="306">
        <f>IF(A151&lt;$F$12, 0, IF(AND($B$21=1, A151&gt;$B$19), 0, $E$12 * $G$12^((A151-$F$12)/12)))</f>
        <v/>
      </c>
      <c r="M151" s="306">
        <f>IF(A151&lt;$F$13, 0, IF(AND($B$21=1, A151&gt;$B$19), 0, $E$13 * $G$13^((A151-$F$13)/12)))</f>
        <v/>
      </c>
      <c r="N151" s="306">
        <f>IF(A151&lt;$F$14, 0, IF(AND($B$21=1, A151&gt;$B$19), 0, $E$14 * $G$14^((A151-$F$14)/12)))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IF(A152&lt;$F$11, 0, IF(AND($B$21=1, A152&gt;$B$19), 0, $E$11 * $G$11^((A152-$F$11)/12)))</f>
        <v/>
      </c>
      <c r="L152" s="306">
        <f>IF(A152&lt;$F$12, 0, IF(AND($B$21=1, A152&gt;$B$19), 0, $E$12 * $G$12^((A152-$F$12)/12)))</f>
        <v/>
      </c>
      <c r="M152" s="306">
        <f>IF(A152&lt;$F$13, 0, IF(AND($B$21=1, A152&gt;$B$19), 0, $E$13 * $G$13^((A152-$F$13)/12)))</f>
        <v/>
      </c>
      <c r="N152" s="306">
        <f>IF(A152&lt;$F$14, 0, IF(AND($B$21=1, A152&gt;$B$19), 0, $E$14 * $G$14^((A152-$F$14)/12)))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IF(A153&lt;$F$11, 0, IF(AND($B$21=1, A153&gt;$B$19), 0, $E$11 * $G$11^((A153-$F$11)/12)))</f>
        <v/>
      </c>
      <c r="L153" s="306">
        <f>IF(A153&lt;$F$12, 0, IF(AND($B$21=1, A153&gt;$B$19), 0, $E$12 * $G$12^((A153-$F$12)/12)))</f>
        <v/>
      </c>
      <c r="M153" s="306">
        <f>IF(A153&lt;$F$13, 0, IF(AND($B$21=1, A153&gt;$B$19), 0, $E$13 * $G$13^((A153-$F$13)/12)))</f>
        <v/>
      </c>
      <c r="N153" s="306">
        <f>IF(A153&lt;$F$14, 0, IF(AND($B$21=1, A153&gt;$B$19), 0, $E$14 * $G$14^((A153-$F$14)/12)))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IF(A154&lt;$F$11, 0, IF(AND($B$21=1, A154&gt;$B$19), 0, $E$11 * $G$11^((A154-$F$11)/12)))</f>
        <v/>
      </c>
      <c r="L154" s="306">
        <f>IF(A154&lt;$F$12, 0, IF(AND($B$21=1, A154&gt;$B$19), 0, $E$12 * $G$12^((A154-$F$12)/12)))</f>
        <v/>
      </c>
      <c r="M154" s="306">
        <f>IF(A154&lt;$F$13, 0, IF(AND($B$21=1, A154&gt;$B$19), 0, $E$13 * $G$13^((A154-$F$13)/12)))</f>
        <v/>
      </c>
      <c r="N154" s="306">
        <f>IF(A154&lt;$F$14, 0, IF(AND($B$21=1, A154&gt;$B$19), 0, $E$14 * $G$14^((A154-$F$14)/12)))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IF(A155&lt;$F$11, 0, IF(AND($B$21=1, A155&gt;$B$19), 0, $E$11 * $G$11^((A155-$F$11)/12)))</f>
        <v/>
      </c>
      <c r="L155" s="306">
        <f>IF(A155&lt;$F$12, 0, IF(AND($B$21=1, A155&gt;$B$19), 0, $E$12 * $G$12^((A155-$F$12)/12)))</f>
        <v/>
      </c>
      <c r="M155" s="306">
        <f>IF(A155&lt;$F$13, 0, IF(AND($B$21=1, A155&gt;$B$19), 0, $E$13 * $G$13^((A155-$F$13)/12)))</f>
        <v/>
      </c>
      <c r="N155" s="306">
        <f>IF(A155&lt;$F$14, 0, IF(AND($B$21=1, A155&gt;$B$19), 0, $E$14 * $G$14^((A155-$F$14)/12)))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IF(A156&lt;$F$11, 0, IF(AND($B$21=1, A156&gt;$B$19), 0, $E$11 * $G$11^((A156-$F$11)/12)))</f>
        <v/>
      </c>
      <c r="L156" s="306">
        <f>IF(A156&lt;$F$12, 0, IF(AND($B$21=1, A156&gt;$B$19), 0, $E$12 * $G$12^((A156-$F$12)/12)))</f>
        <v/>
      </c>
      <c r="M156" s="306">
        <f>IF(A156&lt;$F$13, 0, IF(AND($B$21=1, A156&gt;$B$19), 0, $E$13 * $G$13^((A156-$F$13)/12)))</f>
        <v/>
      </c>
      <c r="N156" s="306">
        <f>IF(A156&lt;$F$14, 0, IF(AND($B$21=1, A156&gt;$B$19), 0, $E$14 * $G$14^((A156-$F$14)/12)))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IF(A157&lt;$F$11, 0, IF(AND($B$21=1, A157&gt;$B$19), 0, $E$11 * $G$11^((A157-$F$11)/12)))</f>
        <v/>
      </c>
      <c r="L157" s="306">
        <f>IF(A157&lt;$F$12, 0, IF(AND($B$21=1, A157&gt;$B$19), 0, $E$12 * $G$12^((A157-$F$12)/12)))</f>
        <v/>
      </c>
      <c r="M157" s="306">
        <f>IF(A157&lt;$F$13, 0, IF(AND($B$21=1, A157&gt;$B$19), 0, $E$13 * $G$13^((A157-$F$13)/12)))</f>
        <v/>
      </c>
      <c r="N157" s="306">
        <f>IF(A157&lt;$F$14, 0, IF(AND($B$21=1, A157&gt;$B$19), 0, $E$14 * $G$14^((A157-$F$14)/12)))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IF(A158&lt;$F$11, 0, IF(AND($B$21=1, A158&gt;$B$19), 0, $E$11 * $G$11^((A158-$F$11)/12)))</f>
        <v/>
      </c>
      <c r="L158" s="306">
        <f>IF(A158&lt;$F$12, 0, IF(AND($B$21=1, A158&gt;$B$19), 0, $E$12 * $G$12^((A158-$F$12)/12)))</f>
        <v/>
      </c>
      <c r="M158" s="306">
        <f>IF(A158&lt;$F$13, 0, IF(AND($B$21=1, A158&gt;$B$19), 0, $E$13 * $G$13^((A158-$F$13)/12)))</f>
        <v/>
      </c>
      <c r="N158" s="306">
        <f>IF(A158&lt;$F$14, 0, IF(AND($B$21=1, A158&gt;$B$19), 0, $E$14 * $G$14^((A158-$F$14)/12)))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IF(A159&lt;$F$11, 0, IF(AND($B$21=1, A159&gt;$B$19), 0, $E$11 * $G$11^((A159-$F$11)/12)))</f>
        <v/>
      </c>
      <c r="L159" s="306">
        <f>IF(A159&lt;$F$12, 0, IF(AND($B$21=1, A159&gt;$B$19), 0, $E$12 * $G$12^((A159-$F$12)/12)))</f>
        <v/>
      </c>
      <c r="M159" s="306">
        <f>IF(A159&lt;$F$13, 0, IF(AND($B$21=1, A159&gt;$B$19), 0, $E$13 * $G$13^((A159-$F$13)/12)))</f>
        <v/>
      </c>
      <c r="N159" s="306">
        <f>IF(A159&lt;$F$14, 0, IF(AND($B$21=1, A159&gt;$B$19), 0, $E$14 * $G$14^((A159-$F$14)/12)))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IF(A160&lt;$F$11, 0, IF(AND($B$21=1, A160&gt;$B$19), 0, $E$11 * $G$11^((A160-$F$11)/12)))</f>
        <v/>
      </c>
      <c r="L160" s="306">
        <f>IF(A160&lt;$F$12, 0, IF(AND($B$21=1, A160&gt;$B$19), 0, $E$12 * $G$12^((A160-$F$12)/12)))</f>
        <v/>
      </c>
      <c r="M160" s="306">
        <f>IF(A160&lt;$F$13, 0, IF(AND($B$21=1, A160&gt;$B$19), 0, $E$13 * $G$13^((A160-$F$13)/12)))</f>
        <v/>
      </c>
      <c r="N160" s="306">
        <f>IF(A160&lt;$F$14, 0, IF(AND($B$21=1, A160&gt;$B$19), 0, $E$14 * $G$14^((A160-$F$14)/12)))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IF(A161&lt;$F$11, 0, IF(AND($B$21=1, A161&gt;$B$19), 0, $E$11 * $G$11^((A161-$F$11)/12)))</f>
        <v/>
      </c>
      <c r="L161" s="306">
        <f>IF(A161&lt;$F$12, 0, IF(AND($B$21=1, A161&gt;$B$19), 0, $E$12 * $G$12^((A161-$F$12)/12)))</f>
        <v/>
      </c>
      <c r="M161" s="306">
        <f>IF(A161&lt;$F$13, 0, IF(AND($B$21=1, A161&gt;$B$19), 0, $E$13 * $G$13^((A161-$F$13)/12)))</f>
        <v/>
      </c>
      <c r="N161" s="306">
        <f>IF(A161&lt;$F$14, 0, IF(AND($B$21=1, A161&gt;$B$19), 0, $E$14 * $G$14^((A161-$F$14)/12)))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IF(A162&lt;$F$11, 0, IF(AND($B$21=1, A162&gt;$B$19), 0, $E$11 * $G$11^((A162-$F$11)/12)))</f>
        <v/>
      </c>
      <c r="L162" s="306">
        <f>IF(A162&lt;$F$12, 0, IF(AND($B$21=1, A162&gt;$B$19), 0, $E$12 * $G$12^((A162-$F$12)/12)))</f>
        <v/>
      </c>
      <c r="M162" s="306">
        <f>IF(A162&lt;$F$13, 0, IF(AND($B$21=1, A162&gt;$B$19), 0, $E$13 * $G$13^((A162-$F$13)/12)))</f>
        <v/>
      </c>
      <c r="N162" s="306">
        <f>IF(A162&lt;$F$14, 0, IF(AND($B$21=1, A162&gt;$B$19), 0, $E$14 * $G$14^((A162-$F$14)/12)))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IF(A163&lt;$F$11, 0, IF(AND($B$21=1, A163&gt;$B$19), 0, $E$11 * $G$11^((A163-$F$11)/12)))</f>
        <v/>
      </c>
      <c r="L163" s="306">
        <f>IF(A163&lt;$F$12, 0, IF(AND($B$21=1, A163&gt;$B$19), 0, $E$12 * $G$12^((A163-$F$12)/12)))</f>
        <v/>
      </c>
      <c r="M163" s="306">
        <f>IF(A163&lt;$F$13, 0, IF(AND($B$21=1, A163&gt;$B$19), 0, $E$13 * $G$13^((A163-$F$13)/12)))</f>
        <v/>
      </c>
      <c r="N163" s="306">
        <f>IF(A163&lt;$F$14, 0, IF(AND($B$21=1, A163&gt;$B$19), 0, $E$14 * $G$14^((A163-$F$14)/12)))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IF(A164&lt;$F$11, 0, IF(AND($B$21=1, A164&gt;$B$19), 0, $E$11 * $G$11^((A164-$F$11)/12)))</f>
        <v/>
      </c>
      <c r="L164" s="306">
        <f>IF(A164&lt;$F$12, 0, IF(AND($B$21=1, A164&gt;$B$19), 0, $E$12 * $G$12^((A164-$F$12)/12)))</f>
        <v/>
      </c>
      <c r="M164" s="306">
        <f>IF(A164&lt;$F$13, 0, IF(AND($B$21=1, A164&gt;$B$19), 0, $E$13 * $G$13^((A164-$F$13)/12)))</f>
        <v/>
      </c>
      <c r="N164" s="306">
        <f>IF(A164&lt;$F$14, 0, IF(AND($B$21=1, A164&gt;$B$19), 0, $E$14 * $G$14^((A164-$F$14)/12)))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IF(A165&lt;$F$11, 0, IF(AND($B$21=1, A165&gt;$B$19), 0, $E$11 * $G$11^((A165-$F$11)/12)))</f>
        <v/>
      </c>
      <c r="L165" s="306">
        <f>IF(A165&lt;$F$12, 0, IF(AND($B$21=1, A165&gt;$B$19), 0, $E$12 * $G$12^((A165-$F$12)/12)))</f>
        <v/>
      </c>
      <c r="M165" s="306">
        <f>IF(A165&lt;$F$13, 0, IF(AND($B$21=1, A165&gt;$B$19), 0, $E$13 * $G$13^((A165-$F$13)/12)))</f>
        <v/>
      </c>
      <c r="N165" s="306">
        <f>IF(A165&lt;$F$14, 0, IF(AND($B$21=1, A165&gt;$B$19), 0, $E$14 * $G$14^((A165-$F$14)/12)))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IF(A166&lt;$F$11, 0, IF(AND($B$21=1, A166&gt;$B$19), 0, $E$11 * $G$11^((A166-$F$11)/12)))</f>
        <v/>
      </c>
      <c r="L166" s="306">
        <f>IF(A166&lt;$F$12, 0, IF(AND($B$21=1, A166&gt;$B$19), 0, $E$12 * $G$12^((A166-$F$12)/12)))</f>
        <v/>
      </c>
      <c r="M166" s="306">
        <f>IF(A166&lt;$F$13, 0, IF(AND($B$21=1, A166&gt;$B$19), 0, $E$13 * $G$13^((A166-$F$13)/12)))</f>
        <v/>
      </c>
      <c r="N166" s="306">
        <f>IF(A166&lt;$F$14, 0, IF(AND($B$21=1, A166&gt;$B$19), 0, $E$14 * $G$14^((A166-$F$14)/12)))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IF(A167&lt;$F$11, 0, IF(AND($B$21=1, A167&gt;$B$19), 0, $E$11 * $G$11^((A167-$F$11)/12)))</f>
        <v/>
      </c>
      <c r="L167" s="306">
        <f>IF(A167&lt;$F$12, 0, IF(AND($B$21=1, A167&gt;$B$19), 0, $E$12 * $G$12^((A167-$F$12)/12)))</f>
        <v/>
      </c>
      <c r="M167" s="306">
        <f>IF(A167&lt;$F$13, 0, IF(AND($B$21=1, A167&gt;$B$19), 0, $E$13 * $G$13^((A167-$F$13)/12)))</f>
        <v/>
      </c>
      <c r="N167" s="306">
        <f>IF(A167&lt;$F$14, 0, IF(AND($B$21=1, A167&gt;$B$19), 0, $E$14 * $G$14^((A167-$F$14)/12)))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IF(A168&lt;$F$11, 0, IF(AND($B$21=1, A168&gt;$B$19), 0, $E$11 * $G$11^((A168-$F$11)/12)))</f>
        <v/>
      </c>
      <c r="L168" s="306">
        <f>IF(A168&lt;$F$12, 0, IF(AND($B$21=1, A168&gt;$B$19), 0, $E$12 * $G$12^((A168-$F$12)/12)))</f>
        <v/>
      </c>
      <c r="M168" s="306">
        <f>IF(A168&lt;$F$13, 0, IF(AND($B$21=1, A168&gt;$B$19), 0, $E$13 * $G$13^((A168-$F$13)/12)))</f>
        <v/>
      </c>
      <c r="N168" s="306">
        <f>IF(A168&lt;$F$14, 0, IF(AND($B$21=1, A168&gt;$B$19), 0, $E$14 * $G$14^((A168-$F$14)/12)))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IF(A169&lt;$F$11, 0, IF(AND($B$21=1, A169&gt;$B$19), 0, $E$11 * $G$11^((A169-$F$11)/12)))</f>
        <v/>
      </c>
      <c r="L169" s="306">
        <f>IF(A169&lt;$F$12, 0, IF(AND($B$21=1, A169&gt;$B$19), 0, $E$12 * $G$12^((A169-$F$12)/12)))</f>
        <v/>
      </c>
      <c r="M169" s="306">
        <f>IF(A169&lt;$F$13, 0, IF(AND($B$21=1, A169&gt;$B$19), 0, $E$13 * $G$13^((A169-$F$13)/12)))</f>
        <v/>
      </c>
      <c r="N169" s="306">
        <f>IF(A169&lt;$F$14, 0, IF(AND($B$21=1, A169&gt;$B$19), 0, $E$14 * $G$14^((A169-$F$14)/12)))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IF(A170&lt;$F$11, 0, IF(AND($B$21=1, A170&gt;$B$19), 0, $E$11 * $G$11^((A170-$F$11)/12)))</f>
        <v/>
      </c>
      <c r="L170" s="306">
        <f>IF(A170&lt;$F$12, 0, IF(AND($B$21=1, A170&gt;$B$19), 0, $E$12 * $G$12^((A170-$F$12)/12)))</f>
        <v/>
      </c>
      <c r="M170" s="306">
        <f>IF(A170&lt;$F$13, 0, IF(AND($B$21=1, A170&gt;$B$19), 0, $E$13 * $G$13^((A170-$F$13)/12)))</f>
        <v/>
      </c>
      <c r="N170" s="306">
        <f>IF(A170&lt;$F$14, 0, IF(AND($B$21=1, A170&gt;$B$19), 0, $E$14 * $G$14^((A170-$F$14)/12)))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IF(A171&lt;$F$11, 0, IF(AND($B$21=1, A171&gt;$B$19), 0, $E$11 * $G$11^((A171-$F$11)/12)))</f>
        <v/>
      </c>
      <c r="L171" s="306">
        <f>IF(A171&lt;$F$12, 0, IF(AND($B$21=1, A171&gt;$B$19), 0, $E$12 * $G$12^((A171-$F$12)/12)))</f>
        <v/>
      </c>
      <c r="M171" s="306">
        <f>IF(A171&lt;$F$13, 0, IF(AND($B$21=1, A171&gt;$B$19), 0, $E$13 * $G$13^((A171-$F$13)/12)))</f>
        <v/>
      </c>
      <c r="N171" s="306">
        <f>IF(A171&lt;$F$14, 0, IF(AND($B$21=1, A171&gt;$B$19), 0, $E$14 * $G$14^((A171-$F$14)/12)))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IF(A172&lt;$F$11, 0, IF(AND($B$21=1, A172&gt;$B$19), 0, $E$11 * $G$11^((A172-$F$11)/12)))</f>
        <v/>
      </c>
      <c r="L172" s="306">
        <f>IF(A172&lt;$F$12, 0, IF(AND($B$21=1, A172&gt;$B$19), 0, $E$12 * $G$12^((A172-$F$12)/12)))</f>
        <v/>
      </c>
      <c r="M172" s="306">
        <f>IF(A172&lt;$F$13, 0, IF(AND($B$21=1, A172&gt;$B$19), 0, $E$13 * $G$13^((A172-$F$13)/12)))</f>
        <v/>
      </c>
      <c r="N172" s="306">
        <f>IF(A172&lt;$F$14, 0, IF(AND($B$21=1, A172&gt;$B$19), 0, $E$14 * $G$14^((A172-$F$14)/12)))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IF(A173&lt;$F$11, 0, IF(AND($B$21=1, A173&gt;$B$19), 0, $E$11 * $G$11^((A173-$F$11)/12)))</f>
        <v/>
      </c>
      <c r="L173" s="306">
        <f>IF(A173&lt;$F$12, 0, IF(AND($B$21=1, A173&gt;$B$19), 0, $E$12 * $G$12^((A173-$F$12)/12)))</f>
        <v/>
      </c>
      <c r="M173" s="306">
        <f>IF(A173&lt;$F$13, 0, IF(AND($B$21=1, A173&gt;$B$19), 0, $E$13 * $G$13^((A173-$F$13)/12)))</f>
        <v/>
      </c>
      <c r="N173" s="306">
        <f>IF(A173&lt;$F$14, 0, IF(AND($B$21=1, A173&gt;$B$19), 0, $E$14 * $G$14^((A173-$F$14)/12)))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IF(A174&lt;$F$11, 0, IF(AND($B$21=1, A174&gt;$B$19), 0, $E$11 * $G$11^((A174-$F$11)/12)))</f>
        <v/>
      </c>
      <c r="L174" s="306">
        <f>IF(A174&lt;$F$12, 0, IF(AND($B$21=1, A174&gt;$B$19), 0, $E$12 * $G$12^((A174-$F$12)/12)))</f>
        <v/>
      </c>
      <c r="M174" s="306">
        <f>IF(A174&lt;$F$13, 0, IF(AND($B$21=1, A174&gt;$B$19), 0, $E$13 * $G$13^((A174-$F$13)/12)))</f>
        <v/>
      </c>
      <c r="N174" s="306">
        <f>IF(A174&lt;$F$14, 0, IF(AND($B$21=1, A174&gt;$B$19), 0, $E$14 * $G$14^((A174-$F$14)/12)))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IF(A175&lt;$F$11, 0, IF(AND($B$21=1, A175&gt;$B$19), 0, $E$11 * $G$11^((A175-$F$11)/12)))</f>
        <v/>
      </c>
      <c r="L175" s="306">
        <f>IF(A175&lt;$F$12, 0, IF(AND($B$21=1, A175&gt;$B$19), 0, $E$12 * $G$12^((A175-$F$12)/12)))</f>
        <v/>
      </c>
      <c r="M175" s="306">
        <f>IF(A175&lt;$F$13, 0, IF(AND($B$21=1, A175&gt;$B$19), 0, $E$13 * $G$13^((A175-$F$13)/12)))</f>
        <v/>
      </c>
      <c r="N175" s="306">
        <f>IF(A175&lt;$F$14, 0, IF(AND($B$21=1, A175&gt;$B$19), 0, $E$14 * $G$14^((A175-$F$14)/12)))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IF(A176&lt;$F$11, 0, IF(AND($B$21=1, A176&gt;$B$19), 0, $E$11 * $G$11^((A176-$F$11)/12)))</f>
        <v/>
      </c>
      <c r="L176" s="306">
        <f>IF(A176&lt;$F$12, 0, IF(AND($B$21=1, A176&gt;$B$19), 0, $E$12 * $G$12^((A176-$F$12)/12)))</f>
        <v/>
      </c>
      <c r="M176" s="306">
        <f>IF(A176&lt;$F$13, 0, IF(AND($B$21=1, A176&gt;$B$19), 0, $E$13 * $G$13^((A176-$F$13)/12)))</f>
        <v/>
      </c>
      <c r="N176" s="306">
        <f>IF(A176&lt;$F$14, 0, IF(AND($B$21=1, A176&gt;$B$19), 0, $E$14 * $G$14^((A176-$F$14)/12)))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IF(A177&lt;$F$11, 0, IF(AND($B$21=1, A177&gt;$B$19), 0, $E$11 * $G$11^((A177-$F$11)/12)))</f>
        <v/>
      </c>
      <c r="L177" s="306">
        <f>IF(A177&lt;$F$12, 0, IF(AND($B$21=1, A177&gt;$B$19), 0, $E$12 * $G$12^((A177-$F$12)/12)))</f>
        <v/>
      </c>
      <c r="M177" s="306">
        <f>IF(A177&lt;$F$13, 0, IF(AND($B$21=1, A177&gt;$B$19), 0, $E$13 * $G$13^((A177-$F$13)/12)))</f>
        <v/>
      </c>
      <c r="N177" s="306">
        <f>IF(A177&lt;$F$14, 0, IF(AND($B$21=1, A177&gt;$B$19), 0, $E$14 * $G$14^((A177-$F$14)/12)))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IF(A178&lt;$F$11, 0, IF(AND($B$21=1, A178&gt;$B$19), 0, $E$11 * $G$11^((A178-$F$11)/12)))</f>
        <v/>
      </c>
      <c r="L178" s="306">
        <f>IF(A178&lt;$F$12, 0, IF(AND($B$21=1, A178&gt;$B$19), 0, $E$12 * $G$12^((A178-$F$12)/12)))</f>
        <v/>
      </c>
      <c r="M178" s="306">
        <f>IF(A178&lt;$F$13, 0, IF(AND($B$21=1, A178&gt;$B$19), 0, $E$13 * $G$13^((A178-$F$13)/12)))</f>
        <v/>
      </c>
      <c r="N178" s="306">
        <f>IF(A178&lt;$F$14, 0, IF(AND($B$21=1, A178&gt;$B$19), 0, $E$14 * $G$14^((A178-$F$14)/12)))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IF(A179&lt;$F$11, 0, IF(AND($B$21=1, A179&gt;$B$19), 0, $E$11 * $G$11^((A179-$F$11)/12)))</f>
        <v/>
      </c>
      <c r="L179" s="306">
        <f>IF(A179&lt;$F$12, 0, IF(AND($B$21=1, A179&gt;$B$19), 0, $E$12 * $G$12^((A179-$F$12)/12)))</f>
        <v/>
      </c>
      <c r="M179" s="306">
        <f>IF(A179&lt;$F$13, 0, IF(AND($B$21=1, A179&gt;$B$19), 0, $E$13 * $G$13^((A179-$F$13)/12)))</f>
        <v/>
      </c>
      <c r="N179" s="306">
        <f>IF(A179&lt;$F$14, 0, IF(AND($B$21=1, A179&gt;$B$19), 0, $E$14 * $G$14^((A179-$F$14)/12)))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IF(A180&lt;$F$11, 0, IF(AND($B$21=1, A180&gt;$B$19), 0, $E$11 * $G$11^((A180-$F$11)/12)))</f>
        <v/>
      </c>
      <c r="L180" s="306">
        <f>IF(A180&lt;$F$12, 0, IF(AND($B$21=1, A180&gt;$B$19), 0, $E$12 * $G$12^((A180-$F$12)/12)))</f>
        <v/>
      </c>
      <c r="M180" s="306">
        <f>IF(A180&lt;$F$13, 0, IF(AND($B$21=1, A180&gt;$B$19), 0, $E$13 * $G$13^((A180-$F$13)/12)))</f>
        <v/>
      </c>
      <c r="N180" s="306">
        <f>IF(A180&lt;$F$14, 0, IF(AND($B$21=1, A180&gt;$B$19), 0, $E$14 * $G$14^((A180-$F$14)/12)))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IF(A181&lt;$F$11, 0, IF(AND($B$21=1, A181&gt;$B$19), 0, $E$11 * $G$11^((A181-$F$11)/12)))</f>
        <v/>
      </c>
      <c r="L181" s="306">
        <f>IF(A181&lt;$F$12, 0, IF(AND($B$21=1, A181&gt;$B$19), 0, $E$12 * $G$12^((A181-$F$12)/12)))</f>
        <v/>
      </c>
      <c r="M181" s="306">
        <f>IF(A181&lt;$F$13, 0, IF(AND($B$21=1, A181&gt;$B$19), 0, $E$13 * $G$13^((A181-$F$13)/12)))</f>
        <v/>
      </c>
      <c r="N181" s="306">
        <f>IF(A181&lt;$F$14, 0, IF(AND($B$21=1, A181&gt;$B$19), 0, $E$14 * $G$14^((A181-$F$14)/12)))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IF(A182&lt;$F$11, 0, IF(AND($B$21=1, A182&gt;$B$19), 0, $E$11 * $G$11^((A182-$F$11)/12)))</f>
        <v/>
      </c>
      <c r="L182" s="306">
        <f>IF(A182&lt;$F$12, 0, IF(AND($B$21=1, A182&gt;$B$19), 0, $E$12 * $G$12^((A182-$F$12)/12)))</f>
        <v/>
      </c>
      <c r="M182" s="306">
        <f>IF(A182&lt;$F$13, 0, IF(AND($B$21=1, A182&gt;$B$19), 0, $E$13 * $G$13^((A182-$F$13)/12)))</f>
        <v/>
      </c>
      <c r="N182" s="306">
        <f>IF(A182&lt;$F$14, 0, IF(AND($B$21=1, A182&gt;$B$19), 0, $E$14 * $G$14^((A182-$F$14)/12)))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IF(A183&lt;$F$11, 0, IF(AND($B$21=1, A183&gt;$B$19), 0, $E$11 * $G$11^((A183-$F$11)/12)))</f>
        <v/>
      </c>
      <c r="L183" s="306">
        <f>IF(A183&lt;$F$12, 0, IF(AND($B$21=1, A183&gt;$B$19), 0, $E$12 * $G$12^((A183-$F$12)/12)))</f>
        <v/>
      </c>
      <c r="M183" s="306">
        <f>IF(A183&lt;$F$13, 0, IF(AND($B$21=1, A183&gt;$B$19), 0, $E$13 * $G$13^((A183-$F$13)/12)))</f>
        <v/>
      </c>
      <c r="N183" s="306">
        <f>IF(A183&lt;$F$14, 0, IF(AND($B$21=1, A183&gt;$B$19), 0, $E$14 * $G$14^((A183-$F$14)/12)))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IF(A184&lt;$F$11, 0, IF(AND($B$21=1, A184&gt;$B$19), 0, $E$11 * $G$11^((A184-$F$11)/12)))</f>
        <v/>
      </c>
      <c r="L184" s="306">
        <f>IF(A184&lt;$F$12, 0, IF(AND($B$21=1, A184&gt;$B$19), 0, $E$12 * $G$12^((A184-$F$12)/12)))</f>
        <v/>
      </c>
      <c r="M184" s="306">
        <f>IF(A184&lt;$F$13, 0, IF(AND($B$21=1, A184&gt;$B$19), 0, $E$13 * $G$13^((A184-$F$13)/12)))</f>
        <v/>
      </c>
      <c r="N184" s="306">
        <f>IF(A184&lt;$F$14, 0, IF(AND($B$21=1, A184&gt;$B$19), 0, $E$14 * $G$14^((A184-$F$14)/12)))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IF(A185&lt;$F$11, 0, IF(AND($B$21=1, A185&gt;$B$19), 0, $E$11 * $G$11^((A185-$F$11)/12)))</f>
        <v/>
      </c>
      <c r="L185" s="306">
        <f>IF(A185&lt;$F$12, 0, IF(AND($B$21=1, A185&gt;$B$19), 0, $E$12 * $G$12^((A185-$F$12)/12)))</f>
        <v/>
      </c>
      <c r="M185" s="306">
        <f>IF(A185&lt;$F$13, 0, IF(AND($B$21=1, A185&gt;$B$19), 0, $E$13 * $G$13^((A185-$F$13)/12)))</f>
        <v/>
      </c>
      <c r="N185" s="306">
        <f>IF(A185&lt;$F$14, 0, IF(AND($B$21=1, A185&gt;$B$19), 0, $E$14 * $G$14^((A185-$F$14)/12)))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IF(A186&lt;$F$11, 0, IF(AND($B$21=1, A186&gt;$B$19), 0, $E$11 * $G$11^((A186-$F$11)/12)))</f>
        <v/>
      </c>
      <c r="L186" s="306">
        <f>IF(A186&lt;$F$12, 0, IF(AND($B$21=1, A186&gt;$B$19), 0, $E$12 * $G$12^((A186-$F$12)/12)))</f>
        <v/>
      </c>
      <c r="M186" s="306">
        <f>IF(A186&lt;$F$13, 0, IF(AND($B$21=1, A186&gt;$B$19), 0, $E$13 * $G$13^((A186-$F$13)/12)))</f>
        <v/>
      </c>
      <c r="N186" s="306">
        <f>IF(A186&lt;$F$14, 0, IF(AND($B$21=1, A186&gt;$B$19), 0, $E$14 * $G$14^((A186-$F$14)/12)))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IF(A187&lt;$F$11, 0, IF(AND($B$21=1, A187&gt;$B$19), 0, $E$11 * $G$11^((A187-$F$11)/12)))</f>
        <v/>
      </c>
      <c r="L187" s="306">
        <f>IF(A187&lt;$F$12, 0, IF(AND($B$21=1, A187&gt;$B$19), 0, $E$12 * $G$12^((A187-$F$12)/12)))</f>
        <v/>
      </c>
      <c r="M187" s="306">
        <f>IF(A187&lt;$F$13, 0, IF(AND($B$21=1, A187&gt;$B$19), 0, $E$13 * $G$13^((A187-$F$13)/12)))</f>
        <v/>
      </c>
      <c r="N187" s="306">
        <f>IF(A187&lt;$F$14, 0, IF(AND($B$21=1, A187&gt;$B$19), 0, $E$14 * $G$14^((A187-$F$14)/12)))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IF(A188&lt;$F$11, 0, IF(AND($B$21=1, A188&gt;$B$19), 0, $E$11 * $G$11^((A188-$F$11)/12)))</f>
        <v/>
      </c>
      <c r="L188" s="306">
        <f>IF(A188&lt;$F$12, 0, IF(AND($B$21=1, A188&gt;$B$19), 0, $E$12 * $G$12^((A188-$F$12)/12)))</f>
        <v/>
      </c>
      <c r="M188" s="306">
        <f>IF(A188&lt;$F$13, 0, IF(AND($B$21=1, A188&gt;$B$19), 0, $E$13 * $G$13^((A188-$F$13)/12)))</f>
        <v/>
      </c>
      <c r="N188" s="306">
        <f>IF(A188&lt;$F$14, 0, IF(AND($B$21=1, A188&gt;$B$19), 0, $E$14 * $G$14^((A188-$F$14)/12)))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IF(A189&lt;$F$11, 0, IF(AND($B$21=1, A189&gt;$B$19), 0, $E$11 * $G$11^((A189-$F$11)/12)))</f>
        <v/>
      </c>
      <c r="L189" s="306">
        <f>IF(A189&lt;$F$12, 0, IF(AND($B$21=1, A189&gt;$B$19), 0, $E$12 * $G$12^((A189-$F$12)/12)))</f>
        <v/>
      </c>
      <c r="M189" s="306">
        <f>IF(A189&lt;$F$13, 0, IF(AND($B$21=1, A189&gt;$B$19), 0, $E$13 * $G$13^((A189-$F$13)/12)))</f>
        <v/>
      </c>
      <c r="N189" s="306">
        <f>IF(A189&lt;$F$14, 0, IF(AND($B$21=1, A189&gt;$B$19), 0, $E$14 * $G$14^((A189-$F$14)/12)))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IF(A190&lt;$F$11, 0, IF(AND($B$21=1, A190&gt;$B$19), 0, $E$11 * $G$11^((A190-$F$11)/12)))</f>
        <v/>
      </c>
      <c r="L190" s="306">
        <f>IF(A190&lt;$F$12, 0, IF(AND($B$21=1, A190&gt;$B$19), 0, $E$12 * $G$12^((A190-$F$12)/12)))</f>
        <v/>
      </c>
      <c r="M190" s="306">
        <f>IF(A190&lt;$F$13, 0, IF(AND($B$21=1, A190&gt;$B$19), 0, $E$13 * $G$13^((A190-$F$13)/12)))</f>
        <v/>
      </c>
      <c r="N190" s="306">
        <f>IF(A190&lt;$F$14, 0, IF(AND($B$21=1, A190&gt;$B$19), 0, $E$14 * $G$14^((A190-$F$14)/12)))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IF(A191&lt;$F$11, 0, IF(AND($B$21=1, A191&gt;$B$19), 0, $E$11 * $G$11^((A191-$F$11)/12)))</f>
        <v/>
      </c>
      <c r="L191" s="306">
        <f>IF(A191&lt;$F$12, 0, IF(AND($B$21=1, A191&gt;$B$19), 0, $E$12 * $G$12^((A191-$F$12)/12)))</f>
        <v/>
      </c>
      <c r="M191" s="306">
        <f>IF(A191&lt;$F$13, 0, IF(AND($B$21=1, A191&gt;$B$19), 0, $E$13 * $G$13^((A191-$F$13)/12)))</f>
        <v/>
      </c>
      <c r="N191" s="306">
        <f>IF(A191&lt;$F$14, 0, IF(AND($B$21=1, A191&gt;$B$19), 0, $E$14 * $G$14^((A191-$F$14)/12)))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IF(A192&lt;$F$11, 0, IF(AND($B$21=1, A192&gt;$B$19), 0, $E$11 * $G$11^((A192-$F$11)/12)))</f>
        <v/>
      </c>
      <c r="L192" s="306">
        <f>IF(A192&lt;$F$12, 0, IF(AND($B$21=1, A192&gt;$B$19), 0, $E$12 * $G$12^((A192-$F$12)/12)))</f>
        <v/>
      </c>
      <c r="M192" s="306">
        <f>IF(A192&lt;$F$13, 0, IF(AND($B$21=1, A192&gt;$B$19), 0, $E$13 * $G$13^((A192-$F$13)/12)))</f>
        <v/>
      </c>
      <c r="N192" s="306">
        <f>IF(A192&lt;$F$14, 0, IF(AND($B$21=1, A192&gt;$B$19), 0, $E$14 * $G$14^((A192-$F$14)/12)))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IF(A193&lt;$F$11, 0, IF(AND($B$21=1, A193&gt;$B$19), 0, $E$11 * $G$11^((A193-$F$11)/12)))</f>
        <v/>
      </c>
      <c r="L193" s="306">
        <f>IF(A193&lt;$F$12, 0, IF(AND($B$21=1, A193&gt;$B$19), 0, $E$12 * $G$12^((A193-$F$12)/12)))</f>
        <v/>
      </c>
      <c r="M193" s="306">
        <f>IF(A193&lt;$F$13, 0, IF(AND($B$21=1, A193&gt;$B$19), 0, $E$13 * $G$13^((A193-$F$13)/12)))</f>
        <v/>
      </c>
      <c r="N193" s="306">
        <f>IF(A193&lt;$F$14, 0, IF(AND($B$21=1, A193&gt;$B$19), 0, $E$14 * $G$14^((A193-$F$14)/12)))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IF(A194&lt;$F$11, 0, IF(AND($B$21=1, A194&gt;$B$19), 0, $E$11 * $G$11^((A194-$F$11)/12)))</f>
        <v/>
      </c>
      <c r="L194" s="306">
        <f>IF(A194&lt;$F$12, 0, IF(AND($B$21=1, A194&gt;$B$19), 0, $E$12 * $G$12^((A194-$F$12)/12)))</f>
        <v/>
      </c>
      <c r="M194" s="306">
        <f>IF(A194&lt;$F$13, 0, IF(AND($B$21=1, A194&gt;$B$19), 0, $E$13 * $G$13^((A194-$F$13)/12)))</f>
        <v/>
      </c>
      <c r="N194" s="306">
        <f>IF(A194&lt;$F$14, 0, IF(AND($B$21=1, A194&gt;$B$19), 0, $E$14 * $G$14^((A194-$F$14)/12)))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IF(A195&lt;$F$11, 0, IF(AND($B$21=1, A195&gt;$B$19), 0, $E$11 * $G$11^((A195-$F$11)/12)))</f>
        <v/>
      </c>
      <c r="L195" s="306">
        <f>IF(A195&lt;$F$12, 0, IF(AND($B$21=1, A195&gt;$B$19), 0, $E$12 * $G$12^((A195-$F$12)/12)))</f>
        <v/>
      </c>
      <c r="M195" s="306">
        <f>IF(A195&lt;$F$13, 0, IF(AND($B$21=1, A195&gt;$B$19), 0, $E$13 * $G$13^((A195-$F$13)/12)))</f>
        <v/>
      </c>
      <c r="N195" s="306">
        <f>IF(A195&lt;$F$14, 0, IF(AND($B$21=1, A195&gt;$B$19), 0, $E$14 * $G$14^((A195-$F$14)/12)))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IF(A196&lt;$F$11, 0, IF(AND($B$21=1, A196&gt;$B$19), 0, $E$11 * $G$11^((A196-$F$11)/12)))</f>
        <v/>
      </c>
      <c r="L196" s="306">
        <f>IF(A196&lt;$F$12, 0, IF(AND($B$21=1, A196&gt;$B$19), 0, $E$12 * $G$12^((A196-$F$12)/12)))</f>
        <v/>
      </c>
      <c r="M196" s="306">
        <f>IF(A196&lt;$F$13, 0, IF(AND($B$21=1, A196&gt;$B$19), 0, $E$13 * $G$13^((A196-$F$13)/12)))</f>
        <v/>
      </c>
      <c r="N196" s="306">
        <f>IF(A196&lt;$F$14, 0, IF(AND($B$21=1, A196&gt;$B$19), 0, $E$14 * $G$14^((A196-$F$14)/12)))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IF(A197&lt;$F$11, 0, IF(AND($B$21=1, A197&gt;$B$19), 0, $E$11 * $G$11^((A197-$F$11)/12)))</f>
        <v/>
      </c>
      <c r="L197" s="306">
        <f>IF(A197&lt;$F$12, 0, IF(AND($B$21=1, A197&gt;$B$19), 0, $E$12 * $G$12^((A197-$F$12)/12)))</f>
        <v/>
      </c>
      <c r="M197" s="306">
        <f>IF(A197&lt;$F$13, 0, IF(AND($B$21=1, A197&gt;$B$19), 0, $E$13 * $G$13^((A197-$F$13)/12)))</f>
        <v/>
      </c>
      <c r="N197" s="306">
        <f>IF(A197&lt;$F$14, 0, IF(AND($B$21=1, A197&gt;$B$19), 0, $E$14 * $G$14^((A197-$F$14)/12)))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IF(A198&lt;$F$11, 0, IF(AND($B$21=1, A198&gt;$B$19), 0, $E$11 * $G$11^((A198-$F$11)/12)))</f>
        <v/>
      </c>
      <c r="L198" s="306">
        <f>IF(A198&lt;$F$12, 0, IF(AND($B$21=1, A198&gt;$B$19), 0, $E$12 * $G$12^((A198-$F$12)/12)))</f>
        <v/>
      </c>
      <c r="M198" s="306">
        <f>IF(A198&lt;$F$13, 0, IF(AND($B$21=1, A198&gt;$B$19), 0, $E$13 * $G$13^((A198-$F$13)/12)))</f>
        <v/>
      </c>
      <c r="N198" s="306">
        <f>IF(A198&lt;$F$14, 0, IF(AND($B$21=1, A198&gt;$B$19), 0, $E$14 * $G$14^((A198-$F$14)/12)))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IF(A199&lt;$F$11, 0, IF(AND($B$21=1, A199&gt;$B$19), 0, $E$11 * $G$11^((A199-$F$11)/12)))</f>
        <v/>
      </c>
      <c r="L199" s="306">
        <f>IF(A199&lt;$F$12, 0, IF(AND($B$21=1, A199&gt;$B$19), 0, $E$12 * $G$12^((A199-$F$12)/12)))</f>
        <v/>
      </c>
      <c r="M199" s="306">
        <f>IF(A199&lt;$F$13, 0, IF(AND($B$21=1, A199&gt;$B$19), 0, $E$13 * $G$13^((A199-$F$13)/12)))</f>
        <v/>
      </c>
      <c r="N199" s="306">
        <f>IF(A199&lt;$F$14, 0, IF(AND($B$21=1, A199&gt;$B$19), 0, $E$14 * $G$14^((A199-$F$14)/12)))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IF(A200&lt;$F$11, 0, IF(AND($B$21=1, A200&gt;$B$19), 0, $E$11 * $G$11^((A200-$F$11)/12)))</f>
        <v/>
      </c>
      <c r="L200" s="306">
        <f>IF(A200&lt;$F$12, 0, IF(AND($B$21=1, A200&gt;$B$19), 0, $E$12 * $G$12^((A200-$F$12)/12)))</f>
        <v/>
      </c>
      <c r="M200" s="306">
        <f>IF(A200&lt;$F$13, 0, IF(AND($B$21=1, A200&gt;$B$19), 0, $E$13 * $G$13^((A200-$F$13)/12)))</f>
        <v/>
      </c>
      <c r="N200" s="306">
        <f>IF(A200&lt;$F$14, 0, IF(AND($B$21=1, A200&gt;$B$19), 0, $E$14 * $G$14^((A200-$F$14)/12)))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IF(A201&lt;$F$11, 0, IF(AND($B$21=1, A201&gt;$B$19), 0, $E$11 * $G$11^((A201-$F$11)/12)))</f>
        <v/>
      </c>
      <c r="L201" s="306">
        <f>IF(A201&lt;$F$12, 0, IF(AND($B$21=1, A201&gt;$B$19), 0, $E$12 * $G$12^((A201-$F$12)/12)))</f>
        <v/>
      </c>
      <c r="M201" s="306">
        <f>IF(A201&lt;$F$13, 0, IF(AND($B$21=1, A201&gt;$B$19), 0, $E$13 * $G$13^((A201-$F$13)/12)))</f>
        <v/>
      </c>
      <c r="N201" s="306">
        <f>IF(A201&lt;$F$14, 0, IF(AND($B$21=1, A201&gt;$B$19), 0, $E$14 * $G$14^((A201-$F$14)/12)))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IF(A202&lt;$F$11, 0, IF(AND($B$21=1, A202&gt;$B$19), 0, $E$11 * $G$11^((A202-$F$11)/12)))</f>
        <v/>
      </c>
      <c r="L202" s="306">
        <f>IF(A202&lt;$F$12, 0, IF(AND($B$21=1, A202&gt;$B$19), 0, $E$12 * $G$12^((A202-$F$12)/12)))</f>
        <v/>
      </c>
      <c r="M202" s="306">
        <f>IF(A202&lt;$F$13, 0, IF(AND($B$21=1, A202&gt;$B$19), 0, $E$13 * $G$13^((A202-$F$13)/12)))</f>
        <v/>
      </c>
      <c r="N202" s="306">
        <f>IF(A202&lt;$F$14, 0, IF(AND($B$21=1, A202&gt;$B$19), 0, $E$14 * $G$14^((A202-$F$14)/12)))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IF(A203&lt;$F$11, 0, IF(AND($B$21=1, A203&gt;$B$19), 0, $E$11 * $G$11^((A203-$F$11)/12)))</f>
        <v/>
      </c>
      <c r="L203" s="306">
        <f>IF(A203&lt;$F$12, 0, IF(AND($B$21=1, A203&gt;$B$19), 0, $E$12 * $G$12^((A203-$F$12)/12)))</f>
        <v/>
      </c>
      <c r="M203" s="306">
        <f>IF(A203&lt;$F$13, 0, IF(AND($B$21=1, A203&gt;$B$19), 0, $E$13 * $G$13^((A203-$F$13)/12)))</f>
        <v/>
      </c>
      <c r="N203" s="306">
        <f>IF(A203&lt;$F$14, 0, IF(AND($B$21=1, A203&gt;$B$19), 0, $E$14 * $G$14^((A203-$F$14)/12)))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IF(A204&lt;$F$11, 0, IF(AND($B$21=1, A204&gt;$B$19), 0, $E$11 * $G$11^((A204-$F$11)/12)))</f>
        <v/>
      </c>
      <c r="L204" s="306">
        <f>IF(A204&lt;$F$12, 0, IF(AND($B$21=1, A204&gt;$B$19), 0, $E$12 * $G$12^((A204-$F$12)/12)))</f>
        <v/>
      </c>
      <c r="M204" s="306">
        <f>IF(A204&lt;$F$13, 0, IF(AND($B$21=1, A204&gt;$B$19), 0, $E$13 * $G$13^((A204-$F$13)/12)))</f>
        <v/>
      </c>
      <c r="N204" s="306">
        <f>IF(A204&lt;$F$14, 0, IF(AND($B$21=1, A204&gt;$B$19), 0, $E$14 * $G$14^((A204-$F$14)/12)))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IF(A205&lt;$F$11, 0, IF(AND($B$21=1, A205&gt;$B$19), 0, $E$11 * $G$11^((A205-$F$11)/12)))</f>
        <v/>
      </c>
      <c r="L205" s="306">
        <f>IF(A205&lt;$F$12, 0, IF(AND($B$21=1, A205&gt;$B$19), 0, $E$12 * $G$12^((A205-$F$12)/12)))</f>
        <v/>
      </c>
      <c r="M205" s="306">
        <f>IF(A205&lt;$F$13, 0, IF(AND($B$21=1, A205&gt;$B$19), 0, $E$13 * $G$13^((A205-$F$13)/12)))</f>
        <v/>
      </c>
      <c r="N205" s="306">
        <f>IF(A205&lt;$F$14, 0, IF(AND($B$21=1, A205&gt;$B$19), 0, $E$14 * $G$14^((A205-$F$14)/12)))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IF(A206&lt;$F$11, 0, IF(AND($B$21=1, A206&gt;$B$19), 0, $E$11 * $G$11^((A206-$F$11)/12)))</f>
        <v/>
      </c>
      <c r="L206" s="306">
        <f>IF(A206&lt;$F$12, 0, IF(AND($B$21=1, A206&gt;$B$19), 0, $E$12 * $G$12^((A206-$F$12)/12)))</f>
        <v/>
      </c>
      <c r="M206" s="306">
        <f>IF(A206&lt;$F$13, 0, IF(AND($B$21=1, A206&gt;$B$19), 0, $E$13 * $G$13^((A206-$F$13)/12)))</f>
        <v/>
      </c>
      <c r="N206" s="306">
        <f>IF(A206&lt;$F$14, 0, IF(AND($B$21=1, A206&gt;$B$19), 0, $E$14 * $G$14^((A206-$F$14)/12)))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IF(A207&lt;$F$11, 0, IF(AND($B$21=1, A207&gt;$B$19), 0, $E$11 * $G$11^((A207-$F$11)/12)))</f>
        <v/>
      </c>
      <c r="L207" s="306">
        <f>IF(A207&lt;$F$12, 0, IF(AND($B$21=1, A207&gt;$B$19), 0, $E$12 * $G$12^((A207-$F$12)/12)))</f>
        <v/>
      </c>
      <c r="M207" s="306">
        <f>IF(A207&lt;$F$13, 0, IF(AND($B$21=1, A207&gt;$B$19), 0, $E$13 * $G$13^((A207-$F$13)/12)))</f>
        <v/>
      </c>
      <c r="N207" s="306">
        <f>IF(A207&lt;$F$14, 0, IF(AND($B$21=1, A207&gt;$B$19), 0, $E$14 * $G$14^((A207-$F$14)/12)))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IF(A208&lt;$F$11, 0, IF(AND($B$21=1, A208&gt;$B$19), 0, $E$11 * $G$11^((A208-$F$11)/12)))</f>
        <v/>
      </c>
      <c r="L208" s="306">
        <f>IF(A208&lt;$F$12, 0, IF(AND($B$21=1, A208&gt;$B$19), 0, $E$12 * $G$12^((A208-$F$12)/12)))</f>
        <v/>
      </c>
      <c r="M208" s="306">
        <f>IF(A208&lt;$F$13, 0, IF(AND($B$21=1, A208&gt;$B$19), 0, $E$13 * $G$13^((A208-$F$13)/12)))</f>
        <v/>
      </c>
      <c r="N208" s="306">
        <f>IF(A208&lt;$F$14, 0, IF(AND($B$21=1, A208&gt;$B$19), 0, $E$14 * $G$14^((A208-$F$14)/12)))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IF(A209&lt;$F$11, 0, IF(AND($B$21=1, A209&gt;$B$19), 0, $E$11 * $G$11^((A209-$F$11)/12)))</f>
        <v/>
      </c>
      <c r="L209" s="306">
        <f>IF(A209&lt;$F$12, 0, IF(AND($B$21=1, A209&gt;$B$19), 0, $E$12 * $G$12^((A209-$F$12)/12)))</f>
        <v/>
      </c>
      <c r="M209" s="306">
        <f>IF(A209&lt;$F$13, 0, IF(AND($B$21=1, A209&gt;$B$19), 0, $E$13 * $G$13^((A209-$F$13)/12)))</f>
        <v/>
      </c>
      <c r="N209" s="306">
        <f>IF(A209&lt;$F$14, 0, IF(AND($B$21=1, A209&gt;$B$19), 0, $E$14 * $G$14^((A209-$F$14)/12)))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IF(A210&lt;$F$11, 0, IF(AND($B$21=1, A210&gt;$B$19), 0, $E$11 * $G$11^((A210-$F$11)/12)))</f>
        <v/>
      </c>
      <c r="L210" s="306">
        <f>IF(A210&lt;$F$12, 0, IF(AND($B$21=1, A210&gt;$B$19), 0, $E$12 * $G$12^((A210-$F$12)/12)))</f>
        <v/>
      </c>
      <c r="M210" s="306">
        <f>IF(A210&lt;$F$13, 0, IF(AND($B$21=1, A210&gt;$B$19), 0, $E$13 * $G$13^((A210-$F$13)/12)))</f>
        <v/>
      </c>
      <c r="N210" s="306">
        <f>IF(A210&lt;$F$14, 0, IF(AND($B$21=1, A210&gt;$B$19), 0, $E$14 * $G$14^((A210-$F$14)/12)))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s="306" t="inlineStr">
        <is>
          <t>50% Recycle scenario was mathematically infeasible.</t>
        </is>
      </c>
      <c r="C29" s="30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06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2026-06-28T03:09:09Z</dcterms:modified>
  <cp:revision>0</cp:revision>
</cp:coreProperties>
</file>