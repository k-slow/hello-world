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. Press Assumptions" sheetId="1" state="visible" r:id="rId1"/>
    <sheet xmlns:r="http://schemas.openxmlformats.org/officeDocument/2006/relationships" name="2. LP Economics" sheetId="2" state="visible" r:id="rId2"/>
    <sheet xmlns:r="http://schemas.openxmlformats.org/officeDocument/2006/relationships" name="3. Deal Allocation" sheetId="3" state="visible" r:id="rId3"/>
    <sheet xmlns:r="http://schemas.openxmlformats.org/officeDocument/2006/relationships" name="4a. Annual P&amp;L (No Recycle)" sheetId="4" state="visible" r:id="rId4"/>
    <sheet xmlns:r="http://schemas.openxmlformats.org/officeDocument/2006/relationships" name="4b. Annual P&amp;L (Recycle)" sheetId="5" state="visible" r:id="rId5"/>
    <sheet xmlns:r="http://schemas.openxmlformats.org/officeDocument/2006/relationships" name="4g. Annual P&amp;L (100% Recycle)" sheetId="6" state="visible" r:id="rId6"/>
    <sheet xmlns:r="http://schemas.openxmlformats.org/officeDocument/2006/relationships" name="4c. Monthly P&amp;L (No Recycle)" sheetId="7" state="visible" r:id="rId7"/>
    <sheet xmlns:r="http://schemas.openxmlformats.org/officeDocument/2006/relationships" name="4d. Monthly P&amp;L (Recycle)" sheetId="8" state="visible" r:id="rId8"/>
    <sheet xmlns:r="http://schemas.openxmlformats.org/officeDocument/2006/relationships" name="4e. Quarterly P&amp;L (No Recycle)" sheetId="9" state="visible" r:id="rId9"/>
    <sheet xmlns:r="http://schemas.openxmlformats.org/officeDocument/2006/relationships" name="4f. Quarterly P&amp;L (Recycle)" sheetId="10" state="visible" r:id="rId10"/>
    <sheet xmlns:r="http://schemas.openxmlformats.org/officeDocument/2006/relationships" name="5a. WF Standard (No Recycle)" sheetId="11" state="visible" r:id="rId11"/>
    <sheet xmlns:r="http://schemas.openxmlformats.org/officeDocument/2006/relationships" name="5b. WF Standard (Recycle)" sheetId="12" state="visible" r:id="rId12"/>
    <sheet xmlns:r="http://schemas.openxmlformats.org/officeDocument/2006/relationships" name="5e. WF Standard (100% Recycle)" sheetId="13" state="visible" r:id="rId13"/>
    <sheet xmlns:r="http://schemas.openxmlformats.org/officeDocument/2006/relationships" name="5c. WF Escalating (No Recycle)" sheetId="14" state="visible" r:id="rId14"/>
    <sheet xmlns:r="http://schemas.openxmlformats.org/officeDocument/2006/relationships" name="5d. WF Escalating (Recycle)" sheetId="15" state="visible" r:id="rId15"/>
    <sheet xmlns:r="http://schemas.openxmlformats.org/officeDocument/2006/relationships" name="6. LP Returns Comparison" sheetId="16" state="visible" r:id="rId16"/>
    <sheet xmlns:r="http://schemas.openxmlformats.org/officeDocument/2006/relationships" name="7. Per-Deal Returns" sheetId="17" state="visible" r:id="rId17"/>
    <sheet xmlns:r="http://schemas.openxmlformats.org/officeDocument/2006/relationships" name="8. Investor Metrics" sheetId="18" state="visible" r:id="rId18"/>
    <sheet xmlns:r="http://schemas.openxmlformats.org/officeDocument/2006/relationships" name="9. Deal Detail" sheetId="19" state="visible" r:id="rId19"/>
    <sheet xmlns:r="http://schemas.openxmlformats.org/officeDocument/2006/relationships" name="10. Bid Sensitivity" sheetId="20" state="visible" r:id="rId20"/>
    <sheet xmlns:r="http://schemas.openxmlformats.org/officeDocument/2006/relationships" name="11. NDR Sensitivity" sheetId="21" state="visible" r:id="rId21"/>
    <sheet xmlns:r="http://schemas.openxmlformats.org/officeDocument/2006/relationships" name="12. Terminal Value" sheetId="22" state="visible" r:id="rId22"/>
    <sheet xmlns:r="http://schemas.openxmlformats.org/officeDocument/2006/relationships" name="13. Stress Test" sheetId="23" state="visible" r:id="rId23"/>
    <sheet xmlns:r="http://schemas.openxmlformats.org/officeDocument/2006/relationships" name="14. J-Curve" sheetId="24" state="visible" r:id="rId24"/>
    <sheet xmlns:r="http://schemas.openxmlformats.org/officeDocument/2006/relationships" name="15. Fee Drag" sheetId="25" state="visible" r:id="rId25"/>
    <sheet xmlns:r="http://schemas.openxmlformats.org/officeDocument/2006/relationships" name="16. Deal Pipeline" sheetId="26" state="visible" r:id="rId26"/>
    <sheet xmlns:r="http://schemas.openxmlformats.org/officeDocument/2006/relationships" name="17. Tax Efficiency" sheetId="27" state="visible" r:id="rId27"/>
    <sheet xmlns:r="http://schemas.openxmlformats.org/officeDocument/2006/relationships" name="18. Cap Table" sheetId="28" state="visible" r:id="rId28"/>
    <sheet xmlns:r="http://schemas.openxmlformats.org/officeDocument/2006/relationships" name="19. Sources &amp; Uses" sheetId="29" state="visible" r:id="rId29"/>
    <sheet xmlns:r="http://schemas.openxmlformats.org/officeDocument/2006/relationships" name="20. Quarterly Distributions" sheetId="30" state="visible" r:id="rId30"/>
    <sheet xmlns:r="http://schemas.openxmlformats.org/officeDocument/2006/relationships" name="21. Portfolio Dashboard" sheetId="31" state="visible" r:id="rId31"/>
    <sheet xmlns:r="http://schemas.openxmlformats.org/officeDocument/2006/relationships" name="22. Scenario Summary" sheetId="32" state="visible" r:id="rId32"/>
    <sheet xmlns:r="http://schemas.openxmlformats.org/officeDocument/2006/relationships" name="23. Fund OpBudget" sheetId="33" state="visible" r:id="rId33"/>
    <sheet xmlns:r="http://schemas.openxmlformats.org/officeDocument/2006/relationships" name="24. Benchmarks" sheetId="34" state="visible" r:id="rId34"/>
    <sheet xmlns:r="http://schemas.openxmlformats.org/officeDocument/2006/relationships" name="25. Recycling Waterfall" sheetId="35" state="visible" r:id="rId35"/>
    <sheet xmlns:r="http://schemas.openxmlformats.org/officeDocument/2006/relationships" name="26. Team Comp" sheetId="36" state="visible" r:id="rId36"/>
    <sheet xmlns:r="http://schemas.openxmlformats.org/officeDocument/2006/relationships" name="27. Governance" sheetId="37" state="visible" r:id="rId37"/>
    <sheet xmlns:r="http://schemas.openxmlformats.org/officeDocument/2006/relationships" name="28. GP Term Sheet Asks" sheetId="38" state="visible" r:id="rId38"/>
    <sheet xmlns:r="http://schemas.openxmlformats.org/officeDocument/2006/relationships" name="_Engine_NR" sheetId="39" state="visible" r:id="rId39"/>
    <sheet xmlns:r="http://schemas.openxmlformats.org/officeDocument/2006/relationships" name="_Engine_R50" sheetId="40" state="visible" r:id="rId40"/>
    <sheet xmlns:r="http://schemas.openxmlformats.org/officeDocument/2006/relationships" name="_Engine_R100" sheetId="41" state="visible" r:id="rId41"/>
    <sheet xmlns:r="http://schemas.openxmlformats.org/officeDocument/2006/relationships"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  <xf numFmtId="0" fontId="52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0" fillId="2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151000000</v>
      </c>
      <c r="C5" s="615" t="inlineStr">
        <is>
          <t>Raised from $150M to fix -$0.4M cushion (LPs slightly increased).</t>
        </is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1</v>
      </c>
      <c r="C35" s="754" t="inlineStr">
        <is>
          <t>Set to 100% per GP -- no bonus pool. All margin upside flows to investors.</t>
        </is>
      </c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35000</v>
      </c>
      <c r="C110" s="615" t="inlineStr">
        <is>
          <t>Raised from $17.3K to $35K/FTE (16 weeks vs 8 weeks). Matches US senior tech norms.</t>
        </is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 = 0.80 NDR (downside).  Base = 0.85 NDR (LP underwriting -- default).  Bull = 0.90 NDR (upside).  Per-deal mix in rows 89-93 kept as reference only.</t>
        </is>
      </c>
    </row>
    <row r="137">
      <c r="A137" s="306" t="inlineStr">
        <is>
          <t>Bonus margin threshold override</t>
        </is>
      </c>
      <c r="B137" s="694" t="n">
        <v>1</v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0.02</v>
      </c>
      <c r="C138" s="755" t="inlineStr">
        <is>
          <t>Raised to 2% per IB underwriting recommendation. GP commit = $3.02M. Carry/commit ratio drops to ~16x.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  <row r="141">
      <c r="A141" s="306" t="inlineStr">
        <is>
          <t>Y15 wind-down multiplier (on remaining ARR)</t>
        </is>
      </c>
      <c r="B141" s="756" t="n">
        <v>1.5</v>
      </c>
      <c r="C141" s="61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2026-06-09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2" t="n">
        <v>0.8</v>
      </c>
      <c r="B6" s="733" t="n">
        <v>1.7852154771796</v>
      </c>
      <c r="C6" s="733" t="n">
        <v>2.59409411476884</v>
      </c>
      <c r="D6" s="733" t="n">
        <v>2.69561792604068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4" t="n">
        <v>0.85</v>
      </c>
      <c r="B7" s="735" t="n">
        <v>2.33967213484699</v>
      </c>
      <c r="C7" s="735" t="n">
        <v>3.4504584736303</v>
      </c>
      <c r="D7" s="735" t="n">
        <v>3.64055878321696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2" t="n">
        <v>0.9</v>
      </c>
      <c r="B8" s="733" t="n">
        <v>3.0959129494067</v>
      </c>
      <c r="C8" s="733" t="n">
        <v>4.57611805054305</v>
      </c>
      <c r="D8" s="733" t="n">
        <v>4.90208005697844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0.95</v>
      </c>
      <c r="B9" s="737" t="n">
        <v>4.13195207719557</v>
      </c>
      <c r="C9" s="737" t="n">
        <v>6.06105267821976</v>
      </c>
      <c r="D9" s="737" t="n">
        <v>6.59337510606038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</v>
      </c>
      <c r="B10" s="737" t="n">
        <v>5.55022684742948</v>
      </c>
      <c r="C10" s="737" t="n">
        <v>8.02463781718396</v>
      </c>
      <c r="D10" s="737" t="n">
        <v>8.85633136346333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2" t="n">
        <v>0.8</v>
      </c>
      <c r="B15" s="733" t="n">
        <v>1.7852154771796</v>
      </c>
      <c r="C15" s="733" t="n">
        <v>2.59409411476884</v>
      </c>
      <c r="D15" s="733" t="n">
        <v>2.69561792604068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4" t="n">
        <v>0.85</v>
      </c>
      <c r="B16" s="735" t="n">
        <v>2.33967213484699</v>
      </c>
      <c r="C16" s="735" t="n">
        <v>3.4504584736303</v>
      </c>
      <c r="D16" s="735" t="n">
        <v>3.64055878321696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2" t="n">
        <v>0.9</v>
      </c>
      <c r="B17" s="733" t="n">
        <v>3.0959129494067</v>
      </c>
      <c r="C17" s="733" t="n">
        <v>4.57611805054305</v>
      </c>
      <c r="D17" s="733" t="n">
        <v>4.90208005697844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0.95</v>
      </c>
      <c r="B18" s="737" t="n">
        <v>4.13195207719557</v>
      </c>
      <c r="C18" s="737" t="n">
        <v>6.06105267821976</v>
      </c>
      <c r="D18" s="737" t="n">
        <v>6.59337510606038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</v>
      </c>
      <c r="B19" s="737" t="n">
        <v>5.55022684742948</v>
      </c>
      <c r="C19" s="737" t="n">
        <v>8.02463781718396</v>
      </c>
      <c r="D19" s="737" t="n">
        <v>8.85633136346333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2" t="n">
        <v>0.8</v>
      </c>
      <c r="B24" s="739" t="n">
        <v>0.138864664251901</v>
      </c>
      <c r="C24" s="739" t="n">
        <v>0.157889802448729</v>
      </c>
      <c r="D24" s="739" t="n">
        <v>0.178016585891977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4" t="n">
        <v>0.85</v>
      </c>
      <c r="B25" s="740" t="n">
        <v>0.194958094258733</v>
      </c>
      <c r="C25" s="740" t="n">
        <v>0.204674922080658</v>
      </c>
      <c r="D25" s="740" t="n">
        <v>0.231086943051227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2" t="n">
        <v>0.9</v>
      </c>
      <c r="B26" s="739" t="n">
        <v>0.249335768435728</v>
      </c>
      <c r="C26" s="739" t="n">
        <v>0.250796655026224</v>
      </c>
      <c r="D26" s="739" t="n">
        <v>0.282263896234708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0.95</v>
      </c>
      <c r="B27" s="741" t="n">
        <v>0.302418951531428</v>
      </c>
      <c r="C27" s="741" t="n">
        <v>0.296379809511183</v>
      </c>
      <c r="D27" s="741" t="n">
        <v>0.332642399811606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</v>
      </c>
      <c r="B28" s="741" t="n">
        <v>0.354792821217568</v>
      </c>
      <c r="C28" s="741" t="n">
        <v>0.341509920893892</v>
      </c>
      <c r="D28" s="741" t="n">
        <v>0.382247570788408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2" t="n">
        <v>0.8</v>
      </c>
      <c r="B33" s="739" t="n">
        <v>0.138864664251901</v>
      </c>
      <c r="C33" s="739" t="n">
        <v>0.157889802448729</v>
      </c>
      <c r="D33" s="739" t="n">
        <v>0.178016585891977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4" t="n">
        <v>0.85</v>
      </c>
      <c r="B34" s="740" t="n">
        <v>0.194958094258733</v>
      </c>
      <c r="C34" s="740" t="n">
        <v>0.204674922080658</v>
      </c>
      <c r="D34" s="740" t="n">
        <v>0.231086943051227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2" t="n">
        <v>0.9</v>
      </c>
      <c r="B35" s="739" t="n">
        <v>0.249335768435728</v>
      </c>
      <c r="C35" s="739" t="n">
        <v>0.250796655026224</v>
      </c>
      <c r="D35" s="739" t="n">
        <v>0.282263896234708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0.95</v>
      </c>
      <c r="B36" s="741" t="n">
        <v>0.302418951531428</v>
      </c>
      <c r="C36" s="741" t="n">
        <v>0.296379809511183</v>
      </c>
      <c r="D36" s="741" t="n">
        <v>0.332642399811606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</v>
      </c>
      <c r="B37" s="741" t="n">
        <v>0.354792821217568</v>
      </c>
      <c r="C37" s="741" t="n">
        <v>0.341509920893892</v>
      </c>
      <c r="D37" s="741" t="n">
        <v>0.382247570788408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No exit premium (1x ARR)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1x ARR exit -- buyer pays book; no premium for cash flow capture.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>
        <f>'1. Press Assumptions'!$B$5/1000000</f>
        <v/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This loaded total ($7,637K/yr) DRIVES engine team comp (via Tab 26 row 28).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9">
      <c r="A29" s="615" t="inlineStr">
        <is>
          <t>Total loaded = base x 1.30 (30% fully-weighted overhead).</t>
        </is>
      </c>
    </row>
    <row r="30">
      <c r="A30" s="615" t="inlineStr">
        <is>
          <t>Engine team comp = this total, ramped (Y1 45%, Y2 99%, Y3+ 100%). See Tab 26 row 28.</t>
        </is>
      </c>
    </row>
    <row r="31">
      <c r="A31" s="6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feeds the engines (D28:R28). Now DERIVED from Tab 23 role schedule (loaded) with hiring ramp.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>
        <f>D28/1.3</f>
        <v/>
      </c>
      <c r="E27" s="590">
        <f>E28/1.3</f>
        <v/>
      </c>
      <c r="F27" s="590">
        <f>F28/1.3</f>
        <v/>
      </c>
      <c r="G27" s="590">
        <f>G28/1.3</f>
        <v/>
      </c>
      <c r="H27" s="590">
        <f>H28/1.3</f>
        <v/>
      </c>
      <c r="I27" s="590">
        <f>I28/1.3</f>
        <v/>
      </c>
      <c r="J27" s="590">
        <f>J28/1.3</f>
        <v/>
      </c>
      <c r="K27" s="590">
        <f>K28/1.3</f>
        <v/>
      </c>
      <c r="L27" s="590">
        <f>L28/1.3</f>
        <v/>
      </c>
      <c r="M27" s="590">
        <f>M28/1.3</f>
        <v/>
      </c>
      <c r="N27" s="590">
        <f>N28/1.3</f>
        <v/>
      </c>
      <c r="O27" s="590">
        <f>O28/1.3</f>
        <v/>
      </c>
      <c r="P27" s="590">
        <f>P28/1.3</f>
        <v/>
      </c>
      <c r="Q27" s="590">
        <f>Q28/1.3</f>
        <v/>
      </c>
      <c r="R27" s="590">
        <f>R28/1.3</f>
        <v/>
      </c>
    </row>
    <row r="28" ht="15" customHeight="1" s="307">
      <c r="A28" s="321" t="inlineStr">
        <is>
          <t>Total Loaded (+ 30%)</t>
        </is>
      </c>
      <c r="D28" s="590">
        <f>0.4527*'23. Fund OpBudget'!$C$27</f>
        <v/>
      </c>
      <c r="E28" s="590">
        <f>0.9947*'23. Fund OpBudget'!$C$27</f>
        <v/>
      </c>
      <c r="F28" s="590">
        <f>'23. Fund OpBudget'!$C$27</f>
        <v/>
      </c>
      <c r="G28" s="590">
        <f>'23. Fund OpBudget'!$C$27</f>
        <v/>
      </c>
      <c r="H28" s="590">
        <f>'23. Fund OpBudget'!$C$27</f>
        <v/>
      </c>
      <c r="I28" s="590">
        <f>'23. Fund OpBudget'!$C$27</f>
        <v/>
      </c>
      <c r="J28" s="590">
        <f>'23. Fund OpBudget'!$C$27</f>
        <v/>
      </c>
      <c r="K28" s="590">
        <f>'23. Fund OpBudget'!$C$27</f>
        <v/>
      </c>
      <c r="L28" s="590">
        <f>'23. Fund OpBudget'!$C$27</f>
        <v/>
      </c>
      <c r="M28" s="590">
        <f>'23. Fund OpBudget'!$C$27</f>
        <v/>
      </c>
      <c r="N28" s="590">
        <f>'23. Fund OpBudget'!$C$27</f>
        <v/>
      </c>
      <c r="O28" s="590">
        <f>'23. Fund OpBudget'!$C$27</f>
        <v/>
      </c>
      <c r="P28" s="590">
        <f>'23. Fund OpBudget'!$C$27</f>
        <v/>
      </c>
      <c r="Q28" s="590">
        <f>'23. Fund OpBudget'!$C$27</f>
        <v/>
      </c>
      <c r="R28" s="590">
        <f>'23. Fund OpBudget'!$C$27</f>
        <v/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706" t="inlineStr">
        <is>
          <t>RECONCILED: steady-state = Tab 23 loaded total ($7,637K/yr). Y1=45%, Y2=99% ramp (CEO/CFO pre-deal, full team by M16).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TRACK RECORD + COMMIT (PARTIAL)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  <row r="25">
      <c r="A25" s="642" t="inlineStr">
        <is>
          <t>TRACK RECORD (GP-DISCLOSED)</t>
        </is>
      </c>
    </row>
    <row r="26">
      <c r="A26" s="628" t="inlineStr">
        <is>
          <t>Prior deals</t>
        </is>
      </c>
      <c r="B26" s="706" t="inlineStr">
        <is>
          <t>3 deals completed</t>
        </is>
      </c>
      <c r="C26" s="615" t="inlineStr">
        <is>
          <t>Need: outcome detail per deal, hold period, exit type</t>
        </is>
      </c>
    </row>
    <row r="27">
      <c r="A27" s="628" t="inlineStr">
        <is>
          <t>Most recent IRR</t>
        </is>
      </c>
      <c r="B27" s="706" t="inlineStr">
        <is>
          <t>36% (GP-stated)</t>
        </is>
      </c>
      <c r="C27" s="615" t="inlineStr">
        <is>
          <t>Need: realized vs projected, gross vs net, cash flow detail</t>
        </is>
      </c>
    </row>
    <row r="28">
      <c r="A28" s="628" t="inlineStr">
        <is>
          <t>Operating track record</t>
        </is>
      </c>
      <c r="B28" s="706" t="inlineStr">
        <is>
          <t>3 years at 75% net margin</t>
        </is>
      </c>
      <c r="C28" s="615" t="inlineStr">
        <is>
          <t>Need: which company, scale, audited financials</t>
        </is>
      </c>
    </row>
    <row r="29">
      <c r="A29" s="628" t="inlineStr">
        <is>
          <t>GP commit</t>
        </is>
      </c>
      <c r="B29" s="706" t="inlineStr">
        <is>
          <t>1% of fund = $1.5M</t>
        </is>
      </c>
      <c r="C29" s="615" t="inlineStr">
        <is>
          <t>Below market norm 2-5%; carry/commit ratio = 32x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 t="n">
        <v>0</v>
      </c>
      <c r="V210" s="306">
        <f>T210-U210</f>
        <v/>
      </c>
      <c r="W210" s="306">
        <f>IF(AND(A210=$B$19, $B$21=1), K210*$B$20, 0) + IF(AND(A210=180, $B$21=0), K210*'1. Press Assumptions'!$B$141,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2026-05-05T03:19:40Z</dcterms:created>
  <dcterms:modified xmlns:dcterms="http://purl.org/dc/terms/" xmlns:xsi="http://www.w3.org/2001/XMLSchema-instance" xsi:type="dcterms:W3CDTF">2026-06-09T04:49:32Z</dcterms:modified>
  <cp:revision>0</cp:revision>
</cp:coreProperties>
</file>