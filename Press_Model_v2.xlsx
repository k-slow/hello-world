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. Press Assumptions" sheetId="1" state="visible" r:id="rId1"/>
    <sheet name="2. LP Economics" sheetId="2" state="visible" r:id="rId2"/>
    <sheet name="3. Deal Allocation" sheetId="3" state="visible" r:id="rId3"/>
    <sheet name="4a. Annual P&amp;L (No Recycle)" sheetId="4" state="visible" r:id="rId4"/>
    <sheet name="4b. Annual P&amp;L (Recycle)" sheetId="5" state="visible" r:id="rId5"/>
    <sheet name="4g. Annual P&amp;L (100% Recycle)" sheetId="6" state="visible" r:id="rId6"/>
    <sheet name="4c. Monthly P&amp;L (No Recycle)" sheetId="7" state="visible" r:id="rId7"/>
    <sheet name="4d. Monthly P&amp;L (Recycle)" sheetId="8" state="visible" r:id="rId8"/>
    <sheet name="4e. Quarterly P&amp;L (No Recycle)" sheetId="9" state="visible" r:id="rId9"/>
    <sheet name="4f. Quarterly P&amp;L (Recycle)" sheetId="10" state="visible" r:id="rId10"/>
    <sheet name="5a. WF Standard (No Recycle)" sheetId="11" state="visible" r:id="rId11"/>
    <sheet name="5b. WF Standard (Recycle)" sheetId="12" state="visible" r:id="rId12"/>
    <sheet name="5e. WF Standard (100% Recycle)" sheetId="13" state="visible" r:id="rId13"/>
    <sheet name="5c. WF Escalating (No Recycle)" sheetId="14" state="visible" r:id="rId14"/>
    <sheet name="5d. WF Escalating (Recycle)" sheetId="15" state="visible" r:id="rId15"/>
    <sheet name="6. LP Returns Comparison" sheetId="16" state="visible" r:id="rId16"/>
    <sheet name="7. Per-Deal Returns" sheetId="17" state="visible" r:id="rId17"/>
    <sheet name="8. Investor Metrics" sheetId="18" state="visible" r:id="rId18"/>
    <sheet name="9. Deal Detail" sheetId="19" state="visible" r:id="rId19"/>
    <sheet name="10. Bid Sensitivity" sheetId="20" state="visible" r:id="rId20"/>
    <sheet name="11. NDR Sensitivity" sheetId="21" state="visible" r:id="rId21"/>
    <sheet name="12. Terminal Value" sheetId="22" state="visible" r:id="rId22"/>
    <sheet name="13. Stress Test" sheetId="23" state="visible" r:id="rId23"/>
    <sheet name="14. J-Curve" sheetId="24" state="visible" r:id="rId24"/>
    <sheet name="15. Fee Drag" sheetId="25" state="visible" r:id="rId25"/>
    <sheet name="16. Deal Pipeline" sheetId="26" state="visible" r:id="rId26"/>
    <sheet name="17. Tax Efficiency" sheetId="27" state="visible" r:id="rId27"/>
    <sheet name="18. Cap Table" sheetId="28" state="visible" r:id="rId28"/>
    <sheet name="19. Sources &amp; Uses" sheetId="29" state="visible" r:id="rId29"/>
    <sheet name="20. Quarterly Distributions" sheetId="30" state="visible" r:id="rId30"/>
    <sheet name="21. Portfolio Dashboard" sheetId="31" state="visible" r:id="rId31"/>
    <sheet name="22. Scenario Summary" sheetId="32" state="visible" r:id="rId32"/>
    <sheet name="23. Fund OpBudget" sheetId="33" state="visible" r:id="rId33"/>
    <sheet name="24. Benchmarks" sheetId="34" state="visible" r:id="rId34"/>
    <sheet name="25. Recycling Waterfall" sheetId="35" state="visible" r:id="rId35"/>
    <sheet name="26. Team Comp" sheetId="36" state="visible" r:id="rId36"/>
    <sheet name="27. Governance" sheetId="37" state="visible" r:id="rId37"/>
    <sheet name="_Engine_NR" sheetId="38" state="visible" r:id="rId38"/>
    <sheet name="_Engine_R50" sheetId="39" state="visible" r:id="rId39"/>
    <sheet name="_Engine_R100" sheetId="40" state="visible" r:id="rId40"/>
    <sheet name="CHANGE LOG" sheetId="41" state="visible" r:id="rId4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4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</numFmts>
  <fonts count="5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</fonts>
  <fills count="20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  <xf numFmtId="169" fontId="11" fillId="15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wrapText="1"/>
    </xf>
    <xf numFmtId="169" fontId="11" fillId="0" borderId="0" applyAlignment="1" pivotButton="0" quotePrefix="0" xfId="0">
      <alignment vertical="top" wrapText="1"/>
    </xf>
    <xf numFmtId="169" fontId="41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43" fillId="16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center" vertical="bottom" wrapText="1"/>
    </xf>
    <xf numFmtId="166" fontId="40" fillId="0" borderId="0" applyAlignment="1" pivotButton="0" quotePrefix="0" xfId="0">
      <alignment horizontal="center" vertical="bottom"/>
    </xf>
    <xf numFmtId="165" fontId="40" fillId="15" borderId="0" applyAlignment="1" pivotButton="0" quotePrefix="0" xfId="0">
      <alignment horizontal="center" vertical="bottom"/>
    </xf>
    <xf numFmtId="165" fontId="40" fillId="0" borderId="0" applyAlignment="1" pivotButton="0" quotePrefix="0" xfId="0">
      <alignment horizontal="center" vertical="bottom"/>
    </xf>
    <xf numFmtId="175" fontId="40" fillId="0" borderId="0" applyAlignment="1" pivotButton="0" quotePrefix="0" xfId="0">
      <alignment horizontal="center" vertical="bottom"/>
    </xf>
    <xf numFmtId="177" fontId="40" fillId="0" borderId="0" applyAlignment="1" pivotButton="0" quotePrefix="0" xfId="0">
      <alignment horizontal="center" vertical="bottom"/>
    </xf>
    <xf numFmtId="3" fontId="40" fillId="0" borderId="0" applyAlignment="1" pivotButton="0" quotePrefix="0" xfId="0">
      <alignment horizontal="center" vertical="bottom"/>
    </xf>
    <xf numFmtId="175" fontId="40" fillId="0" borderId="0" pivotButton="0" quotePrefix="0" xfId="0"/>
    <xf numFmtId="177" fontId="40" fillId="0" borderId="0" pivotButton="0" quotePrefix="0" xfId="0"/>
    <xf numFmtId="0" fontId="43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styles" Target="styles.xml" Id="rId42" /><Relationship Type="http://schemas.openxmlformats.org/officeDocument/2006/relationships/theme" Target="theme/theme1.xml" Id="rId4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150000000</v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0.625</v>
      </c>
      <c r="C35" s="321" t="n"/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36</v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312" t="inlineStr">
        <is>
          <t>Deal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24</v>
      </c>
      <c r="E89" s="317" t="n">
        <v>1.24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24</v>
      </c>
      <c r="E90" s="317" t="n">
        <v>1.24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7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24</v>
      </c>
      <c r="E91" s="317" t="n">
        <v>1.24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10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24</v>
      </c>
      <c r="E92" s="317" t="n">
        <v>1.24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12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24</v>
      </c>
      <c r="E93" s="317" t="n">
        <v>1.24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16</v>
      </c>
    </row>
    <row r="95" ht="15" customHeight="1" s="307">
      <c r="A95" s="312" t="inlineStr">
        <is>
          <t>RECYCLED DEALS (funded by retained NI during M1-36)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24</v>
      </c>
      <c r="E96" s="317" t="n">
        <v>1.25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24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24</v>
      </c>
      <c r="E97" s="317" t="n">
        <v>1.25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28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24</v>
      </c>
      <c r="E98" s="317" t="n">
        <v>1.25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32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24</v>
      </c>
      <c r="E99" s="317" t="n">
        <v>1.25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36</v>
      </c>
    </row>
    <row r="102" ht="15" customHeight="1" s="307">
      <c r="A102" s="311" t="inlineStr">
        <is>
          <t>HEADCOUNT &amp; SEVERANCE (per OpCo at close)</t>
        </is>
      </c>
      <c r="B102" s="309" t="n"/>
      <c r="C102" s="309" t="n"/>
      <c r="D102" s="309" t="n"/>
      <c r="E102" s="309" t="n"/>
    </row>
    <row r="103" ht="15" customHeight="1" s="307">
      <c r="A103" s="314" t="inlineStr">
        <is>
          <t>Starting FTE per OpCo</t>
        </is>
      </c>
      <c r="B103" s="315" t="n">
        <v>140</v>
      </c>
      <c r="E103" s="310" t="inlineStr">
        <is>
          <t>Stalled SaaS at this ARR runs bloated</t>
        </is>
      </c>
    </row>
    <row r="104" ht="15" customHeight="1" s="307">
      <c r="A104" s="314" t="inlineStr">
        <is>
          <t>Fully Loaded Cost per FTE ($)</t>
        </is>
      </c>
      <c r="B104" s="316" t="n">
        <v>200000</v>
      </c>
      <c r="E104" s="310" t="inlineStr">
        <is>
          <t>Avg loaded cost across functions</t>
        </is>
      </c>
    </row>
    <row r="105" ht="15" customHeight="1" s="307">
      <c r="A105" s="314" t="inlineStr">
        <is>
          <t>Base Salary as % of Loaded Cost</t>
        </is>
      </c>
      <c r="B105" s="319" t="n">
        <v>0.75</v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17307.69</v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1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6">
      <c r="A136" s="306" t="inlineStr"/>
    </row>
    <row r="138">
      <c r="A138" s="641" t="inlineStr">
        <is>
          <t>AUTO-UPDATE ENGINE OUTPUTS  (from _Engine_NR / _Engine_R50 / _Engine_R100)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335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673" t="inlineStr">
        <is>
          <t>NOTE: returns below are IDENTICAL across $5M/$10M/$25M (just proportionally scaled).  Press deck has no real LP class differentiation.</t>
        </is>
      </c>
      <c r="K2" s="306" t="n"/>
      <c r="L2" s="306" t="n"/>
    </row>
    <row r="3" ht="15" customHeight="1" s="307">
      <c r="K3" s="306" t="n"/>
      <c r="L3" s="306" t="n"/>
    </row>
    <row r="4" ht="15" customHeight="1" s="307">
      <c r="A4" s="322" t="n"/>
      <c r="B4" s="339" t="inlineStr">
        <is>
          <t>$5mm</t>
        </is>
      </c>
      <c r="E4" s="339" t="inlineStr">
        <is>
          <t>$10mm</t>
        </is>
      </c>
      <c r="H4" s="339" t="inlineStr">
        <is>
          <t>$25mm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n">
        <v>43</v>
      </c>
      <c r="C9" s="347" t="n">
        <v>47</v>
      </c>
      <c r="D9" s="348" t="n">
        <v>52</v>
      </c>
      <c r="E9" s="347" t="n">
        <v>43</v>
      </c>
      <c r="F9" s="347" t="n">
        <v>47</v>
      </c>
      <c r="G9" s="348" t="n">
        <v>52</v>
      </c>
      <c r="H9" s="347" t="n">
        <v>43</v>
      </c>
      <c r="I9" s="347" t="n">
        <v>47</v>
      </c>
      <c r="J9" s="348" t="n">
        <v>52</v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 t="n">
        <v>0.272135</v>
      </c>
      <c r="C12" s="350" t="n">
        <v>0.222741</v>
      </c>
      <c r="D12" s="351" t="n">
        <v>0.164628</v>
      </c>
      <c r="E12" s="350" t="n">
        <v>0.272135</v>
      </c>
      <c r="F12" s="350" t="n">
        <v>0.222741</v>
      </c>
      <c r="G12" s="351" t="n">
        <v>0.164628</v>
      </c>
      <c r="H12" s="350" t="n">
        <v>0.272135</v>
      </c>
      <c r="I12" s="350" t="n">
        <v>0.222741</v>
      </c>
      <c r="J12" s="351" t="n">
        <v>0.164628</v>
      </c>
      <c r="K12" s="306" t="n"/>
      <c r="L12" s="306" t="n"/>
    </row>
    <row r="13" ht="15" customHeight="1" s="307">
      <c r="A13" s="346" t="inlineStr">
        <is>
          <t>LP MOIC / DPI</t>
        </is>
      </c>
      <c r="B13" s="352" t="n">
        <v>2.188333</v>
      </c>
      <c r="C13" s="352" t="n">
        <v>2.912402</v>
      </c>
      <c r="D13" s="353" t="n">
        <v>3.119787</v>
      </c>
      <c r="E13" s="352" t="n">
        <v>2.188333</v>
      </c>
      <c r="F13" s="352" t="n">
        <v>2.912402</v>
      </c>
      <c r="G13" s="353" t="n">
        <v>3.119787</v>
      </c>
      <c r="H13" s="352" t="n">
        <v>2.188333</v>
      </c>
      <c r="I13" s="352" t="n">
        <v>2.912402</v>
      </c>
      <c r="J13" s="353" t="n">
        <v>3.119787</v>
      </c>
      <c r="K13" s="306" t="n"/>
      <c r="L13" s="306" t="n"/>
    </row>
    <row r="14" ht="15" customHeight="1" s="307">
      <c r="A14" s="343" t="inlineStr">
        <is>
          <t>Cash Distributed</t>
        </is>
      </c>
      <c r="B14" s="344" t="n">
        <v>10.94166666666667</v>
      </c>
      <c r="C14" s="344" t="n">
        <v>14.562</v>
      </c>
      <c r="D14" s="345" t="n">
        <v>15.59893333333333</v>
      </c>
      <c r="E14" s="344" t="n">
        <v>21.88333333333333</v>
      </c>
      <c r="F14" s="344" t="n">
        <v>29.124</v>
      </c>
      <c r="G14" s="345" t="n">
        <v>31.19786666666667</v>
      </c>
      <c r="H14" s="344" t="n">
        <v>54.70833333333334</v>
      </c>
      <c r="I14" s="344" t="n">
        <v>72.81</v>
      </c>
      <c r="J14" s="345" t="n">
        <v>77.99466666666667</v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 t="n">
        <v>0.277371</v>
      </c>
      <c r="C17" s="350" t="n">
        <v>0.236431</v>
      </c>
      <c r="D17" s="351" t="n">
        <v>0.185426</v>
      </c>
      <c r="E17" s="350" t="n">
        <v>0.277371</v>
      </c>
      <c r="F17" s="350" t="n">
        <v>0.236431</v>
      </c>
      <c r="G17" s="351" t="n">
        <v>0.185426</v>
      </c>
      <c r="H17" s="350" t="n">
        <v>0.277371</v>
      </c>
      <c r="I17" s="350" t="n">
        <v>0.236431</v>
      </c>
      <c r="J17" s="351" t="n">
        <v>0.185426</v>
      </c>
      <c r="K17" s="306" t="n"/>
      <c r="L17" s="306" t="n"/>
    </row>
    <row r="18" ht="15" customHeight="1" s="307">
      <c r="A18" s="346" t="inlineStr">
        <is>
          <t>LP MOIC / DPI</t>
        </is>
      </c>
      <c r="B18" s="352" t="n">
        <v>2.347873</v>
      </c>
      <c r="C18" s="352" t="n">
        <v>3.431386</v>
      </c>
      <c r="D18" s="353" t="n">
        <v>3.840599</v>
      </c>
      <c r="E18" s="352" t="n">
        <v>2.347873</v>
      </c>
      <c r="F18" s="352" t="n">
        <v>3.431386</v>
      </c>
      <c r="G18" s="353" t="n">
        <v>3.840599</v>
      </c>
      <c r="H18" s="352" t="n">
        <v>2.347873</v>
      </c>
      <c r="I18" s="352" t="n">
        <v>3.431386</v>
      </c>
      <c r="J18" s="353" t="n">
        <v>3.840599</v>
      </c>
      <c r="K18" s="306" t="n"/>
      <c r="L18" s="306" t="n"/>
    </row>
    <row r="19" ht="15" customHeight="1" s="307">
      <c r="A19" s="346" t="inlineStr">
        <is>
          <t>Total Cash</t>
        </is>
      </c>
      <c r="B19" s="356" t="n">
        <v>11.73936666666667</v>
      </c>
      <c r="C19" s="356" t="n">
        <v>17.15693333333333</v>
      </c>
      <c r="D19" s="357" t="n">
        <v>19.203</v>
      </c>
      <c r="E19" s="356" t="n">
        <v>23.47873333333333</v>
      </c>
      <c r="F19" s="356" t="n">
        <v>34.31386666666667</v>
      </c>
      <c r="G19" s="357" t="n">
        <v>38.40600000000001</v>
      </c>
      <c r="H19" s="356" t="n">
        <v>58.69683333333333</v>
      </c>
      <c r="I19" s="356" t="n">
        <v>85.78466666666667</v>
      </c>
      <c r="J19" s="357" t="n">
        <v>96.015</v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342" t="inlineStr">
        <is>
          <t>NDR UPSIDE (bid at 1.24x, actual NDR beats 85%)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340" t="inlineStr">
        <is>
          <t>Actual NDR</t>
        </is>
      </c>
      <c r="B22" s="360" t="inlineStr">
        <is>
          <t>10Y IRR</t>
        </is>
      </c>
      <c r="C22" s="360" t="inlineStr">
        <is>
          <t>10Y DPI</t>
        </is>
      </c>
      <c r="D22" s="341" t="inlineStr">
        <is>
          <t>15Y DPI</t>
        </is>
      </c>
      <c r="E22" s="360" t="inlineStr">
        <is>
          <t>Payback</t>
        </is>
      </c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363" t="n">
        <v>0.8</v>
      </c>
      <c r="B23" s="364" t="n">
        <v>0.17938</v>
      </c>
      <c r="C23" s="365" t="n">
        <v>1.686</v>
      </c>
      <c r="D23" s="366" t="n">
        <v>1.691</v>
      </c>
      <c r="E23" s="367" t="n">
        <v>47</v>
      </c>
      <c r="F23" s="368" t="n"/>
      <c r="K23" s="306" t="n"/>
      <c r="L23" s="306" t="n"/>
    </row>
    <row r="24" ht="15" customHeight="1" s="307">
      <c r="A24" s="350" t="n">
        <v>0.85</v>
      </c>
      <c r="B24" s="369" t="n">
        <v>0.27213</v>
      </c>
      <c r="C24" s="370" t="n">
        <v>2.188</v>
      </c>
      <c r="D24" s="371" t="n">
        <v>2.348</v>
      </c>
      <c r="E24" s="372" t="n">
        <v>43</v>
      </c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363" t="n">
        <v>0.9</v>
      </c>
      <c r="B25" s="364" t="n">
        <v>0.35505</v>
      </c>
      <c r="C25" s="365" t="n">
        <v>2.768</v>
      </c>
      <c r="D25" s="366" t="n">
        <v>3.393</v>
      </c>
      <c r="E25" s="367" t="n">
        <v>40</v>
      </c>
      <c r="F25" s="368" t="n"/>
      <c r="H25" s="354" t="n"/>
      <c r="I25" s="354" t="n"/>
      <c r="K25" s="306" t="n"/>
      <c r="L25" s="306" t="n"/>
    </row>
    <row r="26" ht="15" customHeight="1" s="307">
      <c r="A26" s="363" t="n">
        <v>0.95</v>
      </c>
      <c r="B26" s="364" t="n">
        <v>0.4311</v>
      </c>
      <c r="C26" s="365" t="n">
        <v>3.444</v>
      </c>
      <c r="D26" s="366" t="n">
        <v>4.771</v>
      </c>
      <c r="E26" s="367" t="n">
        <v>38</v>
      </c>
      <c r="F26" s="368" t="n"/>
      <c r="H26" s="354" t="n"/>
      <c r="I26" s="354" t="n"/>
      <c r="K26" s="306" t="n"/>
      <c r="L26" s="306" t="n"/>
    </row>
    <row r="27" ht="15" customHeight="1" s="307">
      <c r="A27" s="376" t="n">
        <v>1</v>
      </c>
      <c r="B27" s="377" t="n">
        <v>0.50598</v>
      </c>
      <c r="C27" s="378" t="n">
        <v>4.288</v>
      </c>
      <c r="D27" s="379" t="n">
        <v>6.627</v>
      </c>
      <c r="E27" s="380" t="n">
        <v>35</v>
      </c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376" t="n">
        <v>1.05</v>
      </c>
      <c r="B28" s="377" t="n">
        <v>0.5809299999999999</v>
      </c>
      <c r="C28" s="378" t="n">
        <v>5.393</v>
      </c>
      <c r="D28" s="379" t="n">
        <v>9.470000000000001</v>
      </c>
      <c r="E28" s="380" t="n">
        <v>34</v>
      </c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342" t="inlineStr">
        <is>
          <t>ANNUAL CASH DISTRIBUTIONS ($mm) -- ALL SCENARIOS</t>
        </is>
      </c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343" t="inlineStr">
        <is>
          <t>Year 1</t>
        </is>
      </c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343" t="inlineStr">
        <is>
          <t>Year 2</t>
        </is>
      </c>
      <c r="B32" s="344" t="n">
        <v>1.918566666666667</v>
      </c>
      <c r="C32" s="344" t="n">
        <v>0.9361999999999999</v>
      </c>
      <c r="D32" s="345" t="n">
        <v>0</v>
      </c>
      <c r="E32" s="344" t="n">
        <v>3.837133333333334</v>
      </c>
      <c r="F32" s="344" t="n">
        <v>1.8724</v>
      </c>
      <c r="G32" s="345" t="n">
        <v>0</v>
      </c>
      <c r="H32" s="344" t="n">
        <v>9.592833333333333</v>
      </c>
      <c r="I32" s="344" t="n">
        <v>4.680999999999999</v>
      </c>
      <c r="J32" s="345" t="n">
        <v>0</v>
      </c>
      <c r="K32" s="306" t="n"/>
      <c r="L32" s="306" t="n"/>
    </row>
    <row r="33" ht="15" customHeight="1" s="307">
      <c r="A33" s="343" t="inlineStr">
        <is>
          <t>Year 3</t>
        </is>
      </c>
      <c r="B33" s="344" t="n">
        <v>2.1185</v>
      </c>
      <c r="C33" s="344" t="n">
        <v>1.360933333333333</v>
      </c>
      <c r="D33" s="345" t="n">
        <v>0</v>
      </c>
      <c r="E33" s="344" t="n">
        <v>4.237</v>
      </c>
      <c r="F33" s="344" t="n">
        <v>2.721866666666667</v>
      </c>
      <c r="G33" s="345" t="n">
        <v>0</v>
      </c>
      <c r="H33" s="344" t="n">
        <v>10.5925</v>
      </c>
      <c r="I33" s="344" t="n">
        <v>6.804666666666667</v>
      </c>
      <c r="J33" s="345" t="n">
        <v>0</v>
      </c>
      <c r="K33" s="306" t="n"/>
      <c r="L33" s="306" t="n"/>
    </row>
    <row r="34" ht="15" customHeight="1" s="307">
      <c r="A34" s="343" t="inlineStr">
        <is>
          <t>Year 4</t>
        </is>
      </c>
      <c r="B34" s="344" t="n">
        <v>1.733333333333333</v>
      </c>
      <c r="C34" s="344" t="n">
        <v>3.0713</v>
      </c>
      <c r="D34" s="345" t="n">
        <v>3.863266666666667</v>
      </c>
      <c r="E34" s="344" t="n">
        <v>3.466666666666667</v>
      </c>
      <c r="F34" s="344" t="n">
        <v>6.1426</v>
      </c>
      <c r="G34" s="345" t="n">
        <v>7.726533333333333</v>
      </c>
      <c r="H34" s="344" t="n">
        <v>8.666666666666666</v>
      </c>
      <c r="I34" s="344" t="n">
        <v>15.3565</v>
      </c>
      <c r="J34" s="345" t="n">
        <v>19.31633333333333</v>
      </c>
      <c r="K34" s="306" t="n"/>
      <c r="L34" s="306" t="n"/>
    </row>
    <row r="35" ht="15" customHeight="1" s="307">
      <c r="A35" s="343" t="inlineStr">
        <is>
          <t>Year 5</t>
        </is>
      </c>
      <c r="B35" s="344" t="n">
        <v>1.3245</v>
      </c>
      <c r="C35" s="344" t="n">
        <v>2.1885</v>
      </c>
      <c r="D35" s="345" t="n">
        <v>2.954366666666667</v>
      </c>
      <c r="E35" s="344" t="n">
        <v>2.649</v>
      </c>
      <c r="F35" s="344" t="n">
        <v>4.377</v>
      </c>
      <c r="G35" s="345" t="n">
        <v>5.908733333333333</v>
      </c>
      <c r="H35" s="344" t="n">
        <v>6.6225</v>
      </c>
      <c r="I35" s="344" t="n">
        <v>10.9425</v>
      </c>
      <c r="J35" s="345" t="n">
        <v>14.77183333333333</v>
      </c>
      <c r="K35" s="306" t="n"/>
      <c r="L35" s="306" t="n"/>
    </row>
    <row r="36" ht="15" customHeight="1" s="307">
      <c r="A36" s="343" t="inlineStr">
        <is>
          <t>Year 6</t>
        </is>
      </c>
      <c r="B36" s="344" t="n">
        <v>1.1101</v>
      </c>
      <c r="C36" s="344" t="n">
        <v>1.8752</v>
      </c>
      <c r="D36" s="345" t="n">
        <v>2.332966666666667</v>
      </c>
      <c r="E36" s="344" t="n">
        <v>2.2202</v>
      </c>
      <c r="F36" s="344" t="n">
        <v>3.7504</v>
      </c>
      <c r="G36" s="345" t="n">
        <v>4.665933333333333</v>
      </c>
      <c r="H36" s="344" t="n">
        <v>5.5505</v>
      </c>
      <c r="I36" s="344" t="n">
        <v>9.375999999999999</v>
      </c>
      <c r="J36" s="345" t="n">
        <v>11.66483333333333</v>
      </c>
      <c r="K36" s="306" t="n"/>
      <c r="L36" s="306" t="n"/>
    </row>
    <row r="37" ht="15" customHeight="1" s="307">
      <c r="A37" s="343" t="inlineStr">
        <is>
          <t>Year 7</t>
        </is>
      </c>
      <c r="B37" s="344" t="n">
        <v>0.9127666666666666</v>
      </c>
      <c r="C37" s="344" t="n">
        <v>1.608933333333333</v>
      </c>
      <c r="D37" s="345" t="n">
        <v>1.998033333333333</v>
      </c>
      <c r="E37" s="344" t="n">
        <v>1.825533333333333</v>
      </c>
      <c r="F37" s="344" t="n">
        <v>3.217866666666667</v>
      </c>
      <c r="G37" s="345" t="n">
        <v>3.996066666666667</v>
      </c>
      <c r="H37" s="344" t="n">
        <v>4.563833333333333</v>
      </c>
      <c r="I37" s="344" t="n">
        <v>8.044666666666666</v>
      </c>
      <c r="J37" s="345" t="n">
        <v>9.990166666666667</v>
      </c>
      <c r="K37" s="306" t="n"/>
      <c r="L37" s="306" t="n"/>
    </row>
    <row r="38" ht="15" customHeight="1" s="307">
      <c r="A38" s="343" t="inlineStr">
        <is>
          <t>Year 8</t>
        </is>
      </c>
      <c r="B38" s="344" t="n">
        <v>0.7450333333333333</v>
      </c>
      <c r="C38" s="344" t="n">
        <v>1.3826</v>
      </c>
      <c r="D38" s="345" t="n">
        <v>1.713333333333333</v>
      </c>
      <c r="E38" s="344" t="n">
        <v>1.490066666666667</v>
      </c>
      <c r="F38" s="344" t="n">
        <v>2.7652</v>
      </c>
      <c r="G38" s="345" t="n">
        <v>3.426666666666666</v>
      </c>
      <c r="H38" s="344" t="n">
        <v>3.725166666666667</v>
      </c>
      <c r="I38" s="344" t="n">
        <v>6.913</v>
      </c>
      <c r="J38" s="345" t="n">
        <v>8.566666666666666</v>
      </c>
      <c r="K38" s="306" t="n"/>
      <c r="L38" s="306" t="n"/>
    </row>
    <row r="39" ht="15" customHeight="1" s="307">
      <c r="A39" s="343" t="inlineStr">
        <is>
          <t>Year 9</t>
        </is>
      </c>
      <c r="B39" s="344" t="n">
        <v>0.6024333333333334</v>
      </c>
      <c r="C39" s="344" t="n">
        <v>1.172533333333333</v>
      </c>
      <c r="D39" s="345" t="n">
        <v>1.471333333333333</v>
      </c>
      <c r="E39" s="344" t="n">
        <v>1.204866666666667</v>
      </c>
      <c r="F39" s="344" t="n">
        <v>2.345066666666667</v>
      </c>
      <c r="G39" s="345" t="n">
        <v>2.942666666666667</v>
      </c>
      <c r="H39" s="344" t="n">
        <v>3.012166666666666</v>
      </c>
      <c r="I39" s="344" t="n">
        <v>5.862666666666667</v>
      </c>
      <c r="J39" s="345" t="n">
        <v>7.356666666666666</v>
      </c>
      <c r="K39" s="306" t="n"/>
      <c r="L39" s="306" t="n"/>
    </row>
    <row r="40" ht="15" customHeight="1" s="307">
      <c r="A40" s="343" t="inlineStr">
        <is>
          <t>Year 10</t>
        </is>
      </c>
      <c r="B40" s="344" t="n">
        <v>0.4765666666666667</v>
      </c>
      <c r="C40" s="344" t="n">
        <v>0.9658</v>
      </c>
      <c r="D40" s="345" t="n">
        <v>1.265633333333333</v>
      </c>
      <c r="E40" s="344" t="n">
        <v>0.9531333333333334</v>
      </c>
      <c r="F40" s="344" t="n">
        <v>1.9316</v>
      </c>
      <c r="G40" s="345" t="n">
        <v>2.531266666666667</v>
      </c>
      <c r="H40" s="344" t="n">
        <v>2.382833333333333</v>
      </c>
      <c r="I40" s="344" t="n">
        <v>4.829</v>
      </c>
      <c r="J40" s="345" t="n">
        <v>6.328166666666666</v>
      </c>
      <c r="K40" s="306" t="n"/>
      <c r="L40" s="306" t="n"/>
    </row>
    <row r="41" ht="15" customHeight="1" s="307">
      <c r="A41" s="343" t="inlineStr">
        <is>
          <t>Year 11</t>
        </is>
      </c>
      <c r="B41" s="344" t="n">
        <v>0.3478</v>
      </c>
      <c r="C41" s="344" t="n">
        <v>0.7901333333333334</v>
      </c>
      <c r="D41" s="345" t="n">
        <v>1.046833333333333</v>
      </c>
      <c r="E41" s="344" t="n">
        <v>0.6956</v>
      </c>
      <c r="F41" s="344" t="n">
        <v>1.580266666666667</v>
      </c>
      <c r="G41" s="345" t="n">
        <v>2.093666666666667</v>
      </c>
      <c r="H41" s="344" t="n">
        <v>1.739</v>
      </c>
      <c r="I41" s="344" t="n">
        <v>3.950666666666667</v>
      </c>
      <c r="J41" s="345" t="n">
        <v>5.234166666666667</v>
      </c>
      <c r="K41" s="306" t="n"/>
      <c r="L41" s="306" t="n"/>
    </row>
    <row r="42" ht="15" customHeight="1" s="307">
      <c r="A42" s="343" t="inlineStr">
        <is>
          <t>Year 12</t>
        </is>
      </c>
      <c r="B42" s="344" t="n">
        <v>0.2383333333333333</v>
      </c>
      <c r="C42" s="344" t="n">
        <v>0.6407666666666666</v>
      </c>
      <c r="D42" s="345" t="n">
        <v>0.859</v>
      </c>
      <c r="E42" s="344" t="n">
        <v>0.4766666666666667</v>
      </c>
      <c r="F42" s="344" t="n">
        <v>1.281533333333333</v>
      </c>
      <c r="G42" s="345" t="n">
        <v>1.718</v>
      </c>
      <c r="H42" s="344" t="n">
        <v>1.191666666666667</v>
      </c>
      <c r="I42" s="344" t="n">
        <v>3.203833333333333</v>
      </c>
      <c r="J42" s="345" t="n">
        <v>4.295</v>
      </c>
      <c r="K42" s="306" t="n"/>
      <c r="L42" s="306" t="n"/>
    </row>
    <row r="43" ht="15" customHeight="1" s="307">
      <c r="A43" s="343" t="inlineStr">
        <is>
          <t>Year 13</t>
        </is>
      </c>
      <c r="B43" s="344" t="n">
        <v>0.1453</v>
      </c>
      <c r="C43" s="344" t="n">
        <v>0.5138333333333333</v>
      </c>
      <c r="D43" s="345" t="n">
        <v>0.6993333333333334</v>
      </c>
      <c r="E43" s="344" t="n">
        <v>0.2906</v>
      </c>
      <c r="F43" s="344" t="n">
        <v>1.027666666666667</v>
      </c>
      <c r="G43" s="345" t="n">
        <v>1.398666666666667</v>
      </c>
      <c r="H43" s="344" t="n">
        <v>0.7264999999999999</v>
      </c>
      <c r="I43" s="344" t="n">
        <v>2.569166666666666</v>
      </c>
      <c r="J43" s="345" t="n">
        <v>3.496666666666667</v>
      </c>
      <c r="K43" s="306" t="n"/>
      <c r="L43" s="306" t="n"/>
    </row>
    <row r="44" ht="15" customHeight="1" s="307">
      <c r="A44" s="343" t="inlineStr">
        <is>
          <t>Year 14</t>
        </is>
      </c>
      <c r="B44" s="344" t="n">
        <v>0.06623333333333334</v>
      </c>
      <c r="C44" s="344" t="n">
        <v>0.3824333333333333</v>
      </c>
      <c r="D44" s="345" t="n">
        <v>0.5636</v>
      </c>
      <c r="E44" s="344" t="n">
        <v>0.1324666666666667</v>
      </c>
      <c r="F44" s="344" t="n">
        <v>0.7648666666666667</v>
      </c>
      <c r="G44" s="345" t="n">
        <v>1.1272</v>
      </c>
      <c r="H44" s="344" t="n">
        <v>0.3311666666666667</v>
      </c>
      <c r="I44" s="344" t="n">
        <v>1.912166666666667</v>
      </c>
      <c r="J44" s="345" t="n">
        <v>2.818</v>
      </c>
      <c r="K44" s="306" t="n"/>
      <c r="L44" s="306" t="n"/>
    </row>
    <row r="45" ht="15" customHeight="1" s="307">
      <c r="A45" s="343" t="inlineStr">
        <is>
          <t>Year 15</t>
        </is>
      </c>
      <c r="B45" s="344" t="n">
        <v>0</v>
      </c>
      <c r="C45" s="344" t="n">
        <v>0.2677666666666667</v>
      </c>
      <c r="D45" s="345" t="n">
        <v>0.4353</v>
      </c>
      <c r="E45" s="344" t="n">
        <v>0</v>
      </c>
      <c r="F45" s="344" t="n">
        <v>0.5355333333333333</v>
      </c>
      <c r="G45" s="345" t="n">
        <v>0.8705999999999999</v>
      </c>
      <c r="H45" s="344" t="n">
        <v>0</v>
      </c>
      <c r="I45" s="344" t="n">
        <v>1.338833333333333</v>
      </c>
      <c r="J45" s="345" t="n">
        <v>2.1765</v>
      </c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384" t="inlineStr">
        <is>
          <t>CONFIDENTIAL -- DO NOT DISTRIBUTE</t>
        </is>
      </c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616" t="inlineStr">
        <is>
          <t>POTENTIAL LP CLASS STRUCTURE  (placeholder -- not in deck)</t>
        </is>
      </c>
      <c r="B50" s="677" t="n"/>
      <c r="C50" s="677" t="n"/>
      <c r="D50" s="650" t="n"/>
      <c r="E50" s="677" t="n"/>
      <c r="F50" s="677" t="n"/>
      <c r="H50" s="354" t="n"/>
      <c r="I50" s="354" t="n"/>
      <c r="K50" s="306" t="n"/>
      <c r="L50" s="306" t="n"/>
    </row>
    <row r="51" ht="28" customHeight="1" s="307">
      <c r="A51" s="643" t="inlineStr">
        <is>
          <t>Class</t>
        </is>
      </c>
      <c r="B51" s="678" t="inlineStr">
        <is>
          <t>Min commit</t>
        </is>
      </c>
      <c r="C51" s="678" t="inlineStr">
        <is>
          <t>Mgmt fee discount</t>
        </is>
      </c>
      <c r="D51" s="643" t="inlineStr">
        <is>
          <t>Co-invest pro-rata</t>
        </is>
      </c>
      <c r="E51" s="678" t="inlineStr">
        <is>
          <t>LPAC seat</t>
        </is>
      </c>
      <c r="F51" s="678" t="inlineStr">
        <is>
          <t>Notes</t>
        </is>
      </c>
      <c r="H51" s="354" t="n"/>
      <c r="I51" s="354" t="n"/>
      <c r="K51" s="306" t="n"/>
      <c r="L51" s="306" t="n"/>
    </row>
    <row r="52" ht="15" customHeight="1" s="307">
      <c r="A52" s="635" t="inlineStr">
        <is>
          <t>Standard</t>
        </is>
      </c>
      <c r="B52" s="679" t="inlineStr">
        <is>
          <t>$1M</t>
        </is>
      </c>
      <c r="C52" s="679" t="inlineStr">
        <is>
          <t>None</t>
        </is>
      </c>
      <c r="D52" s="636" t="inlineStr">
        <is>
          <t>None</t>
        </is>
      </c>
      <c r="E52" s="679" t="inlineStr">
        <is>
          <t>No</t>
        </is>
      </c>
      <c r="F52" s="680" t="inlineStr">
        <is>
          <t>Default class. No structural differentiation in current deck.</t>
        </is>
      </c>
      <c r="H52" s="354" t="n"/>
      <c r="I52" s="354" t="n"/>
      <c r="K52" s="306" t="n"/>
      <c r="L52" s="306" t="n"/>
    </row>
    <row r="53" ht="15" customHeight="1" s="307">
      <c r="A53" s="635" t="inlineStr">
        <is>
          <t>Co-invest eligible</t>
        </is>
      </c>
      <c r="B53" s="679" t="inlineStr">
        <is>
          <t>$10M</t>
        </is>
      </c>
      <c r="C53" s="679" t="inlineStr">
        <is>
          <t>None</t>
        </is>
      </c>
      <c r="D53" s="636" t="inlineStr">
        <is>
          <t>Yes</t>
        </is>
      </c>
      <c r="E53" s="679" t="inlineStr">
        <is>
          <t>No</t>
        </is>
      </c>
      <c r="F53" s="680" t="inlineStr">
        <is>
          <t>PLACEHOLDER -- not actually offered. Would let LP add capital outside the fund.</t>
        </is>
      </c>
      <c r="H53" s="354" t="n"/>
      <c r="I53" s="354" t="n"/>
      <c r="K53" s="306" t="n"/>
      <c r="L53" s="306" t="n"/>
    </row>
    <row r="54" ht="15" customHeight="1" s="307">
      <c r="A54" s="635" t="inlineStr">
        <is>
          <t>LPAC</t>
        </is>
      </c>
      <c r="B54" s="679" t="inlineStr">
        <is>
          <t>$25M</t>
        </is>
      </c>
      <c r="C54" s="679" t="inlineStr">
        <is>
          <t>None</t>
        </is>
      </c>
      <c r="D54" s="636" t="inlineStr">
        <is>
          <t>Yes</t>
        </is>
      </c>
      <c r="E54" s="679" t="inlineStr">
        <is>
          <t>Yes</t>
        </is>
      </c>
      <c r="F54" s="680" t="inlineStr">
        <is>
          <t>PLACEHOLDER. Standard market term for $25M+ commitments.</t>
        </is>
      </c>
      <c r="H54" s="354" t="n"/>
      <c r="I54" s="354" t="n"/>
      <c r="K54" s="306" t="n"/>
      <c r="L54" s="306" t="n"/>
    </row>
    <row r="55" ht="15" customHeight="1" s="307">
      <c r="A55" s="635" t="inlineStr">
        <is>
          <t>Anchor</t>
        </is>
      </c>
      <c r="B55" s="679" t="inlineStr">
        <is>
          <t>$50M+</t>
        </is>
      </c>
      <c r="C55" s="679" t="inlineStr">
        <is>
          <t>25-50%</t>
        </is>
      </c>
      <c r="D55" s="636" t="inlineStr">
        <is>
          <t>Yes</t>
        </is>
      </c>
      <c r="E55" s="679" t="inlineStr">
        <is>
          <t>Yes</t>
        </is>
      </c>
      <c r="F55" s="680" t="inlineStr">
        <is>
          <t>PLACEHOLDER. Anchor LPs typically negotiate fee discount.</t>
        </is>
      </c>
      <c r="H55" s="354" t="n"/>
      <c r="I55" s="354" t="n"/>
      <c r="K55" s="306" t="n"/>
      <c r="L55" s="306" t="n"/>
    </row>
    <row r="56" ht="15" customHeight="1" s="307">
      <c r="A56" s="673" t="inlineStr">
        <is>
          <t>LP should ask: are any of the above terms negotiable? Side-letter MFN clause? Anchor commitments?</t>
        </is>
      </c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 t="inlineStr">
        <is>
          <t>Uniform 85% NDR. 1.24x entry. 50/50 sev split. ARR capped at $24M per fix.</t>
        </is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 t="n">
        <v>24</v>
      </c>
      <c r="C5" s="396" t="n">
        <v>1.24</v>
      </c>
      <c r="D5" s="397">
        <f>B5*C5</f>
        <v/>
      </c>
      <c r="E5" s="398">
        <f>B5*0.1154*0.5</f>
        <v/>
      </c>
      <c r="F5" s="399">
        <f>D5-E5</f>
        <v/>
      </c>
      <c r="G5" s="400" t="n">
        <v>0.85</v>
      </c>
      <c r="H5" s="401" t="n">
        <v>0</v>
      </c>
      <c r="I5" s="400" t="inlineStr">
        <is>
          <t>M4</t>
        </is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 t="n">
        <v>24</v>
      </c>
      <c r="C6" s="396" t="n">
        <v>1.24</v>
      </c>
      <c r="D6" s="397">
        <f>B6*C6</f>
        <v/>
      </c>
      <c r="E6" s="398">
        <f>B6*0.1154*0.5</f>
        <v/>
      </c>
      <c r="F6" s="399">
        <f>D6-E6</f>
        <v/>
      </c>
      <c r="G6" s="400" t="n">
        <v>0.85</v>
      </c>
      <c r="H6" s="401" t="n">
        <v>0</v>
      </c>
      <c r="I6" s="400" t="inlineStr">
        <is>
          <t>M7</t>
        </is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 t="n">
        <v>24</v>
      </c>
      <c r="C7" s="396" t="n">
        <v>1.24</v>
      </c>
      <c r="D7" s="397">
        <f>B7*C7</f>
        <v/>
      </c>
      <c r="E7" s="398">
        <f>B7*0.1154*0.5</f>
        <v/>
      </c>
      <c r="F7" s="399">
        <f>D7-E7</f>
        <v/>
      </c>
      <c r="G7" s="400" t="n">
        <v>0.85</v>
      </c>
      <c r="H7" s="401" t="n">
        <v>0</v>
      </c>
      <c r="I7" s="400" t="inlineStr">
        <is>
          <t>M10</t>
        </is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 t="n">
        <v>24</v>
      </c>
      <c r="C8" s="396" t="n">
        <v>1.24</v>
      </c>
      <c r="D8" s="397">
        <f>B8*C8</f>
        <v/>
      </c>
      <c r="E8" s="398">
        <f>B8*0.1154*0.5</f>
        <v/>
      </c>
      <c r="F8" s="399">
        <f>D8-E8</f>
        <v/>
      </c>
      <c r="G8" s="400" t="n">
        <v>0.85</v>
      </c>
      <c r="H8" s="401" t="n">
        <v>0</v>
      </c>
      <c r="I8" s="400" t="inlineStr">
        <is>
          <t>M12</t>
        </is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 t="n">
        <v>24</v>
      </c>
      <c r="C9" s="396" t="n">
        <v>1.24</v>
      </c>
      <c r="D9" s="397">
        <f>B9*C9</f>
        <v/>
      </c>
      <c r="E9" s="398">
        <f>B9*0.1154*0.5</f>
        <v/>
      </c>
      <c r="F9" s="399">
        <f>D9-E9</f>
        <v/>
      </c>
      <c r="G9" s="400" t="n">
        <v>0.85</v>
      </c>
      <c r="H9" s="401" t="n">
        <v>0</v>
      </c>
      <c r="I9" s="400" t="inlineStr">
        <is>
          <t>M16</t>
        </is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 t="n">
        <v>24</v>
      </c>
      <c r="C15" s="396" t="n">
        <v>1</v>
      </c>
      <c r="D15" s="433">
        <f>B15*C15</f>
        <v/>
      </c>
      <c r="E15" s="398">
        <f>B15*0.1154*0.5</f>
        <v/>
      </c>
      <c r="F15" s="434">
        <f>D15-E15</f>
        <v/>
      </c>
      <c r="G15" s="400" t="n">
        <v>0.85</v>
      </c>
      <c r="H15" s="401" t="n">
        <v>0</v>
      </c>
      <c r="I15" s="400" t="inlineStr">
        <is>
          <t>M24</t>
        </is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 t="n">
        <v>24</v>
      </c>
      <c r="C16" s="396" t="n">
        <v>1</v>
      </c>
      <c r="D16" s="433">
        <f>B16*C16</f>
        <v/>
      </c>
      <c r="E16" s="398">
        <f>B16*0.1154*0.5</f>
        <v/>
      </c>
      <c r="F16" s="434">
        <f>D16-E16</f>
        <v/>
      </c>
      <c r="G16" s="400" t="n">
        <v>0.85</v>
      </c>
      <c r="H16" s="401" t="n">
        <v>0</v>
      </c>
      <c r="I16" s="400" t="inlineStr">
        <is>
          <t>M28</t>
        </is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 t="n">
        <v>24</v>
      </c>
      <c r="C17" s="396" t="n">
        <v>0.9</v>
      </c>
      <c r="D17" s="433">
        <f>B17*C17</f>
        <v/>
      </c>
      <c r="E17" s="398">
        <f>B17*0.1154*0.5</f>
        <v/>
      </c>
      <c r="F17" s="434">
        <f>D17-E17</f>
        <v/>
      </c>
      <c r="G17" s="400" t="n">
        <v>0.85</v>
      </c>
      <c r="H17" s="401" t="n">
        <v>0</v>
      </c>
      <c r="I17" s="400" t="inlineStr">
        <is>
          <t>M32</t>
        </is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 t="n">
        <v>24</v>
      </c>
      <c r="C18" s="396" t="n">
        <v>0.8</v>
      </c>
      <c r="D18" s="433">
        <f>B18*C18</f>
        <v/>
      </c>
      <c r="E18" s="398">
        <f>B18*0.1154*0.5</f>
        <v/>
      </c>
      <c r="F18" s="434">
        <f>D18-E18</f>
        <v/>
      </c>
      <c r="G18" s="400" t="n">
        <v>0.85</v>
      </c>
      <c r="H18" s="401" t="n">
        <v>0</v>
      </c>
      <c r="I18" s="400" t="inlineStr">
        <is>
          <t>M36</t>
        </is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>
        <v>-0.4</v>
      </c>
      <c r="B40" s="443" t="n">
        <v>0.9</v>
      </c>
      <c r="C40" s="444" t="n">
        <v>0.75</v>
      </c>
      <c r="D40" s="444" t="n">
        <v>0.6</v>
      </c>
      <c r="E40" s="444" t="n">
        <v>0.55</v>
      </c>
      <c r="F40" s="444" t="n">
        <v>0.5</v>
      </c>
      <c r="G40" s="444" t="n">
        <v>0.5</v>
      </c>
      <c r="H40" s="444" t="n">
        <v>0.5</v>
      </c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5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'_Engine_NR'!F31/12</f>
        <v/>
      </c>
      <c r="C6" s="458">
        <f>'_Engine_NR'!F32/12</f>
        <v/>
      </c>
      <c r="D6" s="458">
        <f>'_Engine_NR'!F33/12</f>
        <v/>
      </c>
      <c r="E6" s="458">
        <f>'_Engine_NR'!F34/12</f>
        <v/>
      </c>
      <c r="F6" s="458">
        <f>'_Engine_NR'!F35/12</f>
        <v/>
      </c>
      <c r="G6" s="458">
        <f>'_Engine_NR'!F36/12</f>
        <v/>
      </c>
      <c r="H6" s="458">
        <f>'_Engine_NR'!F37/12</f>
        <v/>
      </c>
      <c r="I6" s="458">
        <f>'_Engine_NR'!F38/12</f>
        <v/>
      </c>
      <c r="J6" s="458">
        <f>'_Engine_NR'!F39/12</f>
        <v/>
      </c>
      <c r="K6" s="458">
        <f>'_Engine_NR'!F40/12</f>
        <v/>
      </c>
      <c r="L6" s="458">
        <f>'_Engine_NR'!F41/12</f>
        <v/>
      </c>
      <c r="M6" s="458">
        <f>'_Engine_NR'!F42/12</f>
        <v/>
      </c>
      <c r="N6" s="459">
        <f>'_Engine_NR'!F43/12</f>
        <v/>
      </c>
      <c r="O6" s="459">
        <f>'_Engine_NR'!F44/12</f>
        <v/>
      </c>
      <c r="P6" s="459">
        <f>'_Engine_NR'!F45/12</f>
        <v/>
      </c>
      <c r="Q6" s="459">
        <f>'_Engine_NR'!F46/12</f>
        <v/>
      </c>
      <c r="R6" s="459">
        <f>'_Engine_NR'!F47/12</f>
        <v/>
      </c>
      <c r="S6" s="459">
        <f>'_Engine_NR'!F48/12</f>
        <v/>
      </c>
      <c r="T6" s="459">
        <f>'_Engine_NR'!F49/12</f>
        <v/>
      </c>
      <c r="U6" s="459">
        <f>'_Engine_NR'!F50/12</f>
        <v/>
      </c>
      <c r="V6" s="459">
        <f>'_Engine_NR'!F51/12</f>
        <v/>
      </c>
      <c r="W6" s="459">
        <f>'_Engine_NR'!F52/12</f>
        <v/>
      </c>
      <c r="X6" s="459">
        <f>'_Engine_NR'!F53/12</f>
        <v/>
      </c>
      <c r="Y6" s="459">
        <f>'_Engine_NR'!F54/12</f>
        <v/>
      </c>
      <c r="Z6" s="458">
        <f>'_Engine_NR'!F55/12</f>
        <v/>
      </c>
      <c r="AA6" s="458">
        <f>'_Engine_NR'!F56/12</f>
        <v/>
      </c>
      <c r="AB6" s="458">
        <f>'_Engine_NR'!F57/12</f>
        <v/>
      </c>
      <c r="AC6" s="458">
        <f>'_Engine_NR'!F58/12</f>
        <v/>
      </c>
      <c r="AD6" s="458">
        <f>'_Engine_NR'!F59/12</f>
        <v/>
      </c>
      <c r="AE6" s="458">
        <f>'_Engine_NR'!F60/12</f>
        <v/>
      </c>
      <c r="AF6" s="458">
        <f>'_Engine_NR'!F61/12</f>
        <v/>
      </c>
      <c r="AG6" s="458">
        <f>'_Engine_NR'!F62/12</f>
        <v/>
      </c>
      <c r="AH6" s="458">
        <f>'_Engine_NR'!F63/12</f>
        <v/>
      </c>
      <c r="AI6" s="458">
        <f>'_Engine_NR'!F64/12</f>
        <v/>
      </c>
      <c r="AJ6" s="458">
        <f>'_Engine_NR'!F65/12</f>
        <v/>
      </c>
      <c r="AK6" s="458">
        <f>'_Engine_NR'!F66/12</f>
        <v/>
      </c>
      <c r="AL6" s="459">
        <f>'_Engine_NR'!F67/12</f>
        <v/>
      </c>
      <c r="AM6" s="459">
        <f>'_Engine_NR'!F68/12</f>
        <v/>
      </c>
      <c r="AN6" s="459">
        <f>'_Engine_NR'!F69/12</f>
        <v/>
      </c>
      <c r="AO6" s="459">
        <f>'_Engine_NR'!F70/12</f>
        <v/>
      </c>
      <c r="AP6" s="459">
        <f>'_Engine_NR'!F71/12</f>
        <v/>
      </c>
      <c r="AQ6" s="459">
        <f>'_Engine_NR'!F72/12</f>
        <v/>
      </c>
      <c r="AR6" s="459">
        <f>'_Engine_NR'!F73/12</f>
        <v/>
      </c>
      <c r="AS6" s="459">
        <f>'_Engine_NR'!F74/12</f>
        <v/>
      </c>
      <c r="AT6" s="459">
        <f>'_Engine_NR'!F75/12</f>
        <v/>
      </c>
      <c r="AU6" s="459">
        <f>'_Engine_NR'!F76/12</f>
        <v/>
      </c>
      <c r="AV6" s="459">
        <f>'_Engine_NR'!F77/12</f>
        <v/>
      </c>
      <c r="AW6" s="459">
        <f>'_Engine_NR'!F78/12</f>
        <v/>
      </c>
      <c r="AX6" s="458">
        <f>'_Engine_NR'!F79/12</f>
        <v/>
      </c>
      <c r="AY6" s="458">
        <f>'_Engine_NR'!F80/12</f>
        <v/>
      </c>
      <c r="AZ6" s="458">
        <f>'_Engine_NR'!F81/12</f>
        <v/>
      </c>
      <c r="BA6" s="458">
        <f>'_Engine_NR'!F82/12</f>
        <v/>
      </c>
      <c r="BB6" s="458">
        <f>'_Engine_NR'!F83/12</f>
        <v/>
      </c>
      <c r="BC6" s="458">
        <f>'_Engine_NR'!F84/12</f>
        <v/>
      </c>
      <c r="BD6" s="458">
        <f>'_Engine_NR'!F85/12</f>
        <v/>
      </c>
      <c r="BE6" s="458">
        <f>'_Engine_NR'!F86/12</f>
        <v/>
      </c>
      <c r="BF6" s="458">
        <f>'_Engine_NR'!F87/12</f>
        <v/>
      </c>
      <c r="BG6" s="458">
        <f>'_Engine_NR'!F88/12</f>
        <v/>
      </c>
      <c r="BH6" s="458">
        <f>'_Engine_NR'!F89/12</f>
        <v/>
      </c>
      <c r="BI6" s="458">
        <f>'_Engine_NR'!F90/12</f>
        <v/>
      </c>
      <c r="BJ6" s="459">
        <f>'_Engine_NR'!F91/12</f>
        <v/>
      </c>
      <c r="BK6" s="459">
        <f>'_Engine_NR'!F92/12</f>
        <v/>
      </c>
      <c r="BL6" s="459">
        <f>'_Engine_NR'!F93/12</f>
        <v/>
      </c>
      <c r="BM6" s="459">
        <f>'_Engine_NR'!F94/12</f>
        <v/>
      </c>
      <c r="BN6" s="459">
        <f>'_Engine_NR'!F95/12</f>
        <v/>
      </c>
      <c r="BO6" s="459">
        <f>'_Engine_NR'!F96/12</f>
        <v/>
      </c>
      <c r="BP6" s="459">
        <f>'_Engine_NR'!F97/12</f>
        <v/>
      </c>
      <c r="BQ6" s="459">
        <f>'_Engine_NR'!F98/12</f>
        <v/>
      </c>
      <c r="BR6" s="459">
        <f>'_Engine_NR'!F99/12</f>
        <v/>
      </c>
      <c r="BS6" s="459">
        <f>'_Engine_NR'!F100/12</f>
        <v/>
      </c>
      <c r="BT6" s="459">
        <f>'_Engine_NR'!F101/12</f>
        <v/>
      </c>
      <c r="BU6" s="459">
        <f>'_Engine_NR'!F102/12</f>
        <v/>
      </c>
      <c r="BV6" s="458">
        <f>'_Engine_NR'!F103/12</f>
        <v/>
      </c>
      <c r="BW6" s="458">
        <f>'_Engine_NR'!F104/12</f>
        <v/>
      </c>
      <c r="BX6" s="458">
        <f>'_Engine_NR'!F105/12</f>
        <v/>
      </c>
      <c r="BY6" s="458">
        <f>'_Engine_NR'!F106/12</f>
        <v/>
      </c>
      <c r="BZ6" s="458">
        <f>'_Engine_NR'!F107/12</f>
        <v/>
      </c>
      <c r="CA6" s="458">
        <f>'_Engine_NR'!F108/12</f>
        <v/>
      </c>
      <c r="CB6" s="458">
        <f>'_Engine_NR'!F109/12</f>
        <v/>
      </c>
      <c r="CC6" s="458">
        <f>'_Engine_NR'!F110/12</f>
        <v/>
      </c>
      <c r="CD6" s="458">
        <f>'_Engine_NR'!F111/12</f>
        <v/>
      </c>
      <c r="CE6" s="458">
        <f>'_Engine_NR'!F112/12</f>
        <v/>
      </c>
      <c r="CF6" s="458">
        <f>'_Engine_NR'!F113/12</f>
        <v/>
      </c>
      <c r="CG6" s="458">
        <f>'_Engine_NR'!F114/12</f>
        <v/>
      </c>
      <c r="CH6" s="459">
        <f>'_Engine_NR'!F115/12</f>
        <v/>
      </c>
      <c r="CI6" s="459">
        <f>'_Engine_NR'!F116/12</f>
        <v/>
      </c>
      <c r="CJ6" s="459">
        <f>'_Engine_NR'!F117/12</f>
        <v/>
      </c>
      <c r="CK6" s="459">
        <f>'_Engine_NR'!F118/12</f>
        <v/>
      </c>
      <c r="CL6" s="459">
        <f>'_Engine_NR'!F119/12</f>
        <v/>
      </c>
      <c r="CM6" s="459">
        <f>'_Engine_NR'!F120/12</f>
        <v/>
      </c>
      <c r="CN6" s="459">
        <f>'_Engine_NR'!F121/12</f>
        <v/>
      </c>
      <c r="CO6" s="459">
        <f>'_Engine_NR'!F122/12</f>
        <v/>
      </c>
      <c r="CP6" s="459">
        <f>'_Engine_NR'!F123/12</f>
        <v/>
      </c>
      <c r="CQ6" s="459">
        <f>'_Engine_NR'!F124/12</f>
        <v/>
      </c>
      <c r="CR6" s="459">
        <f>'_Engine_NR'!F125/12</f>
        <v/>
      </c>
      <c r="CS6" s="459">
        <f>'_Engine_NR'!F126/12</f>
        <v/>
      </c>
      <c r="CT6" s="458">
        <f>'_Engine_NR'!F127/12</f>
        <v/>
      </c>
      <c r="CU6" s="458">
        <f>'_Engine_NR'!F128/12</f>
        <v/>
      </c>
      <c r="CV6" s="458">
        <f>'_Engine_NR'!F129/12</f>
        <v/>
      </c>
      <c r="CW6" s="458">
        <f>'_Engine_NR'!F130/12</f>
        <v/>
      </c>
      <c r="CX6" s="458">
        <f>'_Engine_NR'!F131/12</f>
        <v/>
      </c>
      <c r="CY6" s="458">
        <f>'_Engine_NR'!F132/12</f>
        <v/>
      </c>
      <c r="CZ6" s="458">
        <f>'_Engine_NR'!F133/12</f>
        <v/>
      </c>
      <c r="DA6" s="458">
        <f>'_Engine_NR'!F134/12</f>
        <v/>
      </c>
      <c r="DB6" s="458">
        <f>'_Engine_NR'!F135/12</f>
        <v/>
      </c>
      <c r="DC6" s="458">
        <f>'_Engine_NR'!F136/12</f>
        <v/>
      </c>
      <c r="DD6" s="458">
        <f>'_Engine_NR'!F137/12</f>
        <v/>
      </c>
      <c r="DE6" s="458">
        <f>'_Engine_NR'!F138/12</f>
        <v/>
      </c>
      <c r="DF6" s="459">
        <f>'_Engine_NR'!F139/12</f>
        <v/>
      </c>
      <c r="DG6" s="459">
        <f>'_Engine_NR'!F140/12</f>
        <v/>
      </c>
      <c r="DH6" s="459">
        <f>'_Engine_NR'!F141/12</f>
        <v/>
      </c>
      <c r="DI6" s="459">
        <f>'_Engine_NR'!F142/12</f>
        <v/>
      </c>
      <c r="DJ6" s="459">
        <f>'_Engine_NR'!F143/12</f>
        <v/>
      </c>
      <c r="DK6" s="459">
        <f>'_Engine_NR'!F144/12</f>
        <v/>
      </c>
      <c r="DL6" s="459">
        <f>'_Engine_NR'!F145/12</f>
        <v/>
      </c>
      <c r="DM6" s="459">
        <f>'_Engine_NR'!F146/12</f>
        <v/>
      </c>
      <c r="DN6" s="459">
        <f>'_Engine_NR'!F147/12</f>
        <v/>
      </c>
      <c r="DO6" s="459">
        <f>'_Engine_NR'!F148/12</f>
        <v/>
      </c>
      <c r="DP6" s="459">
        <f>'_Engine_NR'!F149/12</f>
        <v/>
      </c>
      <c r="DQ6" s="459">
        <f>'_Engine_NR'!F150/12</f>
        <v/>
      </c>
      <c r="DR6" s="458">
        <f>'_Engine_NR'!F151/12</f>
        <v/>
      </c>
      <c r="DS6" s="458">
        <f>'_Engine_NR'!F152/12</f>
        <v/>
      </c>
      <c r="DT6" s="458">
        <f>'_Engine_NR'!F153/12</f>
        <v/>
      </c>
      <c r="DU6" s="458">
        <f>'_Engine_NR'!F154/12</f>
        <v/>
      </c>
      <c r="DV6" s="458">
        <f>'_Engine_NR'!F155/12</f>
        <v/>
      </c>
      <c r="DW6" s="458">
        <f>'_Engine_NR'!F156/12</f>
        <v/>
      </c>
      <c r="DX6" s="458">
        <f>'_Engine_NR'!F157/12</f>
        <v/>
      </c>
      <c r="DY6" s="458">
        <f>'_Engine_NR'!F158/12</f>
        <v/>
      </c>
      <c r="DZ6" s="458">
        <f>'_Engine_NR'!F159/12</f>
        <v/>
      </c>
      <c r="EA6" s="458">
        <f>'_Engine_NR'!F160/12</f>
        <v/>
      </c>
      <c r="EB6" s="458">
        <f>'_Engine_NR'!F161/12</f>
        <v/>
      </c>
      <c r="EC6" s="458">
        <f>'_Engine_NR'!F162/12</f>
        <v/>
      </c>
      <c r="ED6" s="459">
        <f>'_Engine_NR'!F163/12</f>
        <v/>
      </c>
      <c r="EE6" s="459">
        <f>'_Engine_NR'!F164/12</f>
        <v/>
      </c>
      <c r="EF6" s="459">
        <f>'_Engine_NR'!F165/12</f>
        <v/>
      </c>
      <c r="EG6" s="459">
        <f>'_Engine_NR'!F166/12</f>
        <v/>
      </c>
      <c r="EH6" s="459">
        <f>'_Engine_NR'!F167/12</f>
        <v/>
      </c>
      <c r="EI6" s="459">
        <f>'_Engine_NR'!F168/12</f>
        <v/>
      </c>
      <c r="EJ6" s="459">
        <f>'_Engine_NR'!F169/12</f>
        <v/>
      </c>
      <c r="EK6" s="459">
        <f>'_Engine_NR'!F170/12</f>
        <v/>
      </c>
      <c r="EL6" s="459">
        <f>'_Engine_NR'!F171/12</f>
        <v/>
      </c>
      <c r="EM6" s="459">
        <f>'_Engine_NR'!F172/12</f>
        <v/>
      </c>
      <c r="EN6" s="459">
        <f>'_Engine_NR'!F173/12</f>
        <v/>
      </c>
      <c r="EO6" s="459">
        <f>'_Engine_NR'!F174/12</f>
        <v/>
      </c>
      <c r="EP6" s="458">
        <f>'_Engine_NR'!F175/12</f>
        <v/>
      </c>
      <c r="EQ6" s="458">
        <f>'_Engine_NR'!F176/12</f>
        <v/>
      </c>
      <c r="ER6" s="458">
        <f>'_Engine_NR'!F177/12</f>
        <v/>
      </c>
      <c r="ES6" s="458">
        <f>'_Engine_NR'!F178/12</f>
        <v/>
      </c>
      <c r="ET6" s="458">
        <f>'_Engine_NR'!F179/12</f>
        <v/>
      </c>
      <c r="EU6" s="458">
        <f>'_Engine_NR'!F180/12</f>
        <v/>
      </c>
      <c r="EV6" s="458">
        <f>'_Engine_NR'!F181/12</f>
        <v/>
      </c>
      <c r="EW6" s="458">
        <f>'_Engine_NR'!F182/12</f>
        <v/>
      </c>
      <c r="EX6" s="458">
        <f>'_Engine_NR'!F183/12</f>
        <v/>
      </c>
      <c r="EY6" s="458">
        <f>'_Engine_NR'!F184/12</f>
        <v/>
      </c>
      <c r="EZ6" s="458">
        <f>'_Engine_NR'!F185/12</f>
        <v/>
      </c>
      <c r="FA6" s="458">
        <f>'_Engine_NR'!F186/12</f>
        <v/>
      </c>
      <c r="FB6" s="459">
        <f>'_Engine_NR'!F187/12</f>
        <v/>
      </c>
      <c r="FC6" s="459">
        <f>'_Engine_NR'!F188/12</f>
        <v/>
      </c>
      <c r="FD6" s="459">
        <f>'_Engine_NR'!F189/12</f>
        <v/>
      </c>
      <c r="FE6" s="459">
        <f>'_Engine_NR'!F190/12</f>
        <v/>
      </c>
      <c r="FF6" s="459">
        <f>'_Engine_NR'!F191/12</f>
        <v/>
      </c>
      <c r="FG6" s="459">
        <f>'_Engine_NR'!F192/12</f>
        <v/>
      </c>
      <c r="FH6" s="459">
        <f>'_Engine_NR'!F193/12</f>
        <v/>
      </c>
      <c r="FI6" s="459">
        <f>'_Engine_NR'!F194/12</f>
        <v/>
      </c>
      <c r="FJ6" s="459">
        <f>'_Engine_NR'!F195/12</f>
        <v/>
      </c>
      <c r="FK6" s="459">
        <f>'_Engine_NR'!F196/12</f>
        <v/>
      </c>
      <c r="FL6" s="459">
        <f>'_Engine_NR'!F197/12</f>
        <v/>
      </c>
      <c r="FM6" s="459">
        <f>'_Engine_NR'!F198/12</f>
        <v/>
      </c>
      <c r="FN6" s="458">
        <f>'_Engine_NR'!F199/12</f>
        <v/>
      </c>
      <c r="FO6" s="458">
        <f>'_Engine_NR'!F200/12</f>
        <v/>
      </c>
      <c r="FP6" s="458">
        <f>'_Engine_NR'!F201/12</f>
        <v/>
      </c>
      <c r="FQ6" s="458">
        <f>'_Engine_NR'!F202/12</f>
        <v/>
      </c>
      <c r="FR6" s="458">
        <f>'_Engine_NR'!F203/12</f>
        <v/>
      </c>
      <c r="FS6" s="458">
        <f>'_Engine_NR'!F204/12</f>
        <v/>
      </c>
      <c r="FT6" s="458">
        <f>'_Engine_NR'!F205/12</f>
        <v/>
      </c>
      <c r="FU6" s="458">
        <f>'_Engine_NR'!F206/12</f>
        <v/>
      </c>
      <c r="FV6" s="458">
        <f>'_Engine_NR'!F207/12</f>
        <v/>
      </c>
      <c r="FW6" s="458">
        <f>'_Engine_NR'!F208/12</f>
        <v/>
      </c>
      <c r="FX6" s="458">
        <f>'_Engine_NR'!F209/12</f>
        <v/>
      </c>
      <c r="FY6" s="458">
        <f>'_Engine_NR'!F210/12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'_Engine_NR'!G31/12</f>
        <v/>
      </c>
      <c r="C7" s="458">
        <f>'_Engine_NR'!G32/12</f>
        <v/>
      </c>
      <c r="D7" s="458">
        <f>'_Engine_NR'!G33/12</f>
        <v/>
      </c>
      <c r="E7" s="458">
        <f>'_Engine_NR'!G34/12</f>
        <v/>
      </c>
      <c r="F7" s="458">
        <f>'_Engine_NR'!G35/12</f>
        <v/>
      </c>
      <c r="G7" s="458">
        <f>'_Engine_NR'!G36/12</f>
        <v/>
      </c>
      <c r="H7" s="458">
        <f>'_Engine_NR'!G37/12</f>
        <v/>
      </c>
      <c r="I7" s="458">
        <f>'_Engine_NR'!G38/12</f>
        <v/>
      </c>
      <c r="J7" s="458">
        <f>'_Engine_NR'!G39/12</f>
        <v/>
      </c>
      <c r="K7" s="458">
        <f>'_Engine_NR'!G40/12</f>
        <v/>
      </c>
      <c r="L7" s="458">
        <f>'_Engine_NR'!G41/12</f>
        <v/>
      </c>
      <c r="M7" s="458">
        <f>'_Engine_NR'!G42/12</f>
        <v/>
      </c>
      <c r="N7" s="459">
        <f>'_Engine_NR'!G43/12</f>
        <v/>
      </c>
      <c r="O7" s="459">
        <f>'_Engine_NR'!G44/12</f>
        <v/>
      </c>
      <c r="P7" s="459">
        <f>'_Engine_NR'!G45/12</f>
        <v/>
      </c>
      <c r="Q7" s="459">
        <f>'_Engine_NR'!G46/12</f>
        <v/>
      </c>
      <c r="R7" s="459">
        <f>'_Engine_NR'!G47/12</f>
        <v/>
      </c>
      <c r="S7" s="459">
        <f>'_Engine_NR'!G48/12</f>
        <v/>
      </c>
      <c r="T7" s="459">
        <f>'_Engine_NR'!G49/12</f>
        <v/>
      </c>
      <c r="U7" s="459">
        <f>'_Engine_NR'!G50/12</f>
        <v/>
      </c>
      <c r="V7" s="459">
        <f>'_Engine_NR'!G51/12</f>
        <v/>
      </c>
      <c r="W7" s="459">
        <f>'_Engine_NR'!G52/12</f>
        <v/>
      </c>
      <c r="X7" s="459">
        <f>'_Engine_NR'!G53/12</f>
        <v/>
      </c>
      <c r="Y7" s="459">
        <f>'_Engine_NR'!G54/12</f>
        <v/>
      </c>
      <c r="Z7" s="458">
        <f>'_Engine_NR'!G55/12</f>
        <v/>
      </c>
      <c r="AA7" s="458">
        <f>'_Engine_NR'!G56/12</f>
        <v/>
      </c>
      <c r="AB7" s="458">
        <f>'_Engine_NR'!G57/12</f>
        <v/>
      </c>
      <c r="AC7" s="458">
        <f>'_Engine_NR'!G58/12</f>
        <v/>
      </c>
      <c r="AD7" s="458">
        <f>'_Engine_NR'!G59/12</f>
        <v/>
      </c>
      <c r="AE7" s="458">
        <f>'_Engine_NR'!G60/12</f>
        <v/>
      </c>
      <c r="AF7" s="458">
        <f>'_Engine_NR'!G61/12</f>
        <v/>
      </c>
      <c r="AG7" s="458">
        <f>'_Engine_NR'!G62/12</f>
        <v/>
      </c>
      <c r="AH7" s="458">
        <f>'_Engine_NR'!G63/12</f>
        <v/>
      </c>
      <c r="AI7" s="458">
        <f>'_Engine_NR'!G64/12</f>
        <v/>
      </c>
      <c r="AJ7" s="458">
        <f>'_Engine_NR'!G65/12</f>
        <v/>
      </c>
      <c r="AK7" s="458">
        <f>'_Engine_NR'!G66/12</f>
        <v/>
      </c>
      <c r="AL7" s="459">
        <f>'_Engine_NR'!G67/12</f>
        <v/>
      </c>
      <c r="AM7" s="459">
        <f>'_Engine_NR'!G68/12</f>
        <v/>
      </c>
      <c r="AN7" s="459">
        <f>'_Engine_NR'!G69/12</f>
        <v/>
      </c>
      <c r="AO7" s="459">
        <f>'_Engine_NR'!G70/12</f>
        <v/>
      </c>
      <c r="AP7" s="459">
        <f>'_Engine_NR'!G71/12</f>
        <v/>
      </c>
      <c r="AQ7" s="459">
        <f>'_Engine_NR'!G72/12</f>
        <v/>
      </c>
      <c r="AR7" s="459">
        <f>'_Engine_NR'!G73/12</f>
        <v/>
      </c>
      <c r="AS7" s="459">
        <f>'_Engine_NR'!G74/12</f>
        <v/>
      </c>
      <c r="AT7" s="459">
        <f>'_Engine_NR'!G75/12</f>
        <v/>
      </c>
      <c r="AU7" s="459">
        <f>'_Engine_NR'!G76/12</f>
        <v/>
      </c>
      <c r="AV7" s="459">
        <f>'_Engine_NR'!G77/12</f>
        <v/>
      </c>
      <c r="AW7" s="459">
        <f>'_Engine_NR'!G78/12</f>
        <v/>
      </c>
      <c r="AX7" s="458">
        <f>'_Engine_NR'!G79/12</f>
        <v/>
      </c>
      <c r="AY7" s="458">
        <f>'_Engine_NR'!G80/12</f>
        <v/>
      </c>
      <c r="AZ7" s="458">
        <f>'_Engine_NR'!G81/12</f>
        <v/>
      </c>
      <c r="BA7" s="458">
        <f>'_Engine_NR'!G82/12</f>
        <v/>
      </c>
      <c r="BB7" s="458">
        <f>'_Engine_NR'!G83/12</f>
        <v/>
      </c>
      <c r="BC7" s="458">
        <f>'_Engine_NR'!G84/12</f>
        <v/>
      </c>
      <c r="BD7" s="458">
        <f>'_Engine_NR'!G85/12</f>
        <v/>
      </c>
      <c r="BE7" s="458">
        <f>'_Engine_NR'!G86/12</f>
        <v/>
      </c>
      <c r="BF7" s="458">
        <f>'_Engine_NR'!G87/12</f>
        <v/>
      </c>
      <c r="BG7" s="458">
        <f>'_Engine_NR'!G88/12</f>
        <v/>
      </c>
      <c r="BH7" s="458">
        <f>'_Engine_NR'!G89/12</f>
        <v/>
      </c>
      <c r="BI7" s="458">
        <f>'_Engine_NR'!G90/12</f>
        <v/>
      </c>
      <c r="BJ7" s="459">
        <f>'_Engine_NR'!G91/12</f>
        <v/>
      </c>
      <c r="BK7" s="459">
        <f>'_Engine_NR'!G92/12</f>
        <v/>
      </c>
      <c r="BL7" s="459">
        <f>'_Engine_NR'!G93/12</f>
        <v/>
      </c>
      <c r="BM7" s="459">
        <f>'_Engine_NR'!G94/12</f>
        <v/>
      </c>
      <c r="BN7" s="459">
        <f>'_Engine_NR'!G95/12</f>
        <v/>
      </c>
      <c r="BO7" s="459">
        <f>'_Engine_NR'!G96/12</f>
        <v/>
      </c>
      <c r="BP7" s="459">
        <f>'_Engine_NR'!G97/12</f>
        <v/>
      </c>
      <c r="BQ7" s="459">
        <f>'_Engine_NR'!G98/12</f>
        <v/>
      </c>
      <c r="BR7" s="459">
        <f>'_Engine_NR'!G99/12</f>
        <v/>
      </c>
      <c r="BS7" s="459">
        <f>'_Engine_NR'!G100/12</f>
        <v/>
      </c>
      <c r="BT7" s="459">
        <f>'_Engine_NR'!G101/12</f>
        <v/>
      </c>
      <c r="BU7" s="459">
        <f>'_Engine_NR'!G102/12</f>
        <v/>
      </c>
      <c r="BV7" s="458">
        <f>'_Engine_NR'!G103/12</f>
        <v/>
      </c>
      <c r="BW7" s="458">
        <f>'_Engine_NR'!G104/12</f>
        <v/>
      </c>
      <c r="BX7" s="458">
        <f>'_Engine_NR'!G105/12</f>
        <v/>
      </c>
      <c r="BY7" s="458">
        <f>'_Engine_NR'!G106/12</f>
        <v/>
      </c>
      <c r="BZ7" s="458">
        <f>'_Engine_NR'!G107/12</f>
        <v/>
      </c>
      <c r="CA7" s="458">
        <f>'_Engine_NR'!G108/12</f>
        <v/>
      </c>
      <c r="CB7" s="458">
        <f>'_Engine_NR'!G109/12</f>
        <v/>
      </c>
      <c r="CC7" s="458">
        <f>'_Engine_NR'!G110/12</f>
        <v/>
      </c>
      <c r="CD7" s="458">
        <f>'_Engine_NR'!G111/12</f>
        <v/>
      </c>
      <c r="CE7" s="458">
        <f>'_Engine_NR'!G112/12</f>
        <v/>
      </c>
      <c r="CF7" s="458">
        <f>'_Engine_NR'!G113/12</f>
        <v/>
      </c>
      <c r="CG7" s="458">
        <f>'_Engine_NR'!G114/12</f>
        <v/>
      </c>
      <c r="CH7" s="459">
        <f>'_Engine_NR'!G115/12</f>
        <v/>
      </c>
      <c r="CI7" s="459">
        <f>'_Engine_NR'!G116/12</f>
        <v/>
      </c>
      <c r="CJ7" s="459">
        <f>'_Engine_NR'!G117/12</f>
        <v/>
      </c>
      <c r="CK7" s="459">
        <f>'_Engine_NR'!G118/12</f>
        <v/>
      </c>
      <c r="CL7" s="459">
        <f>'_Engine_NR'!G119/12</f>
        <v/>
      </c>
      <c r="CM7" s="459">
        <f>'_Engine_NR'!G120/12</f>
        <v/>
      </c>
      <c r="CN7" s="459">
        <f>'_Engine_NR'!G121/12</f>
        <v/>
      </c>
      <c r="CO7" s="459">
        <f>'_Engine_NR'!G122/12</f>
        <v/>
      </c>
      <c r="CP7" s="459">
        <f>'_Engine_NR'!G123/12</f>
        <v/>
      </c>
      <c r="CQ7" s="459">
        <f>'_Engine_NR'!G124/12</f>
        <v/>
      </c>
      <c r="CR7" s="459">
        <f>'_Engine_NR'!G125/12</f>
        <v/>
      </c>
      <c r="CS7" s="459">
        <f>'_Engine_NR'!G126/12</f>
        <v/>
      </c>
      <c r="CT7" s="458">
        <f>'_Engine_NR'!G127/12</f>
        <v/>
      </c>
      <c r="CU7" s="458">
        <f>'_Engine_NR'!G128/12</f>
        <v/>
      </c>
      <c r="CV7" s="458">
        <f>'_Engine_NR'!G129/12</f>
        <v/>
      </c>
      <c r="CW7" s="458">
        <f>'_Engine_NR'!G130/12</f>
        <v/>
      </c>
      <c r="CX7" s="458">
        <f>'_Engine_NR'!G131/12</f>
        <v/>
      </c>
      <c r="CY7" s="458">
        <f>'_Engine_NR'!G132/12</f>
        <v/>
      </c>
      <c r="CZ7" s="458">
        <f>'_Engine_NR'!G133/12</f>
        <v/>
      </c>
      <c r="DA7" s="458">
        <f>'_Engine_NR'!G134/12</f>
        <v/>
      </c>
      <c r="DB7" s="458">
        <f>'_Engine_NR'!G135/12</f>
        <v/>
      </c>
      <c r="DC7" s="458">
        <f>'_Engine_NR'!G136/12</f>
        <v/>
      </c>
      <c r="DD7" s="458">
        <f>'_Engine_NR'!G137/12</f>
        <v/>
      </c>
      <c r="DE7" s="458">
        <f>'_Engine_NR'!G138/12</f>
        <v/>
      </c>
      <c r="DF7" s="459">
        <f>'_Engine_NR'!G139/12</f>
        <v/>
      </c>
      <c r="DG7" s="459">
        <f>'_Engine_NR'!G140/12</f>
        <v/>
      </c>
      <c r="DH7" s="459">
        <f>'_Engine_NR'!G141/12</f>
        <v/>
      </c>
      <c r="DI7" s="459">
        <f>'_Engine_NR'!G142/12</f>
        <v/>
      </c>
      <c r="DJ7" s="459">
        <f>'_Engine_NR'!G143/12</f>
        <v/>
      </c>
      <c r="DK7" s="459">
        <f>'_Engine_NR'!G144/12</f>
        <v/>
      </c>
      <c r="DL7" s="459">
        <f>'_Engine_NR'!G145/12</f>
        <v/>
      </c>
      <c r="DM7" s="459">
        <f>'_Engine_NR'!G146/12</f>
        <v/>
      </c>
      <c r="DN7" s="459">
        <f>'_Engine_NR'!G147/12</f>
        <v/>
      </c>
      <c r="DO7" s="459">
        <f>'_Engine_NR'!G148/12</f>
        <v/>
      </c>
      <c r="DP7" s="459">
        <f>'_Engine_NR'!G149/12</f>
        <v/>
      </c>
      <c r="DQ7" s="459">
        <f>'_Engine_NR'!G150/12</f>
        <v/>
      </c>
      <c r="DR7" s="458">
        <f>'_Engine_NR'!G151/12</f>
        <v/>
      </c>
      <c r="DS7" s="458">
        <f>'_Engine_NR'!G152/12</f>
        <v/>
      </c>
      <c r="DT7" s="458">
        <f>'_Engine_NR'!G153/12</f>
        <v/>
      </c>
      <c r="DU7" s="458">
        <f>'_Engine_NR'!G154/12</f>
        <v/>
      </c>
      <c r="DV7" s="458">
        <f>'_Engine_NR'!G155/12</f>
        <v/>
      </c>
      <c r="DW7" s="458">
        <f>'_Engine_NR'!G156/12</f>
        <v/>
      </c>
      <c r="DX7" s="458">
        <f>'_Engine_NR'!G157/12</f>
        <v/>
      </c>
      <c r="DY7" s="458">
        <f>'_Engine_NR'!G158/12</f>
        <v/>
      </c>
      <c r="DZ7" s="458">
        <f>'_Engine_NR'!G159/12</f>
        <v/>
      </c>
      <c r="EA7" s="458">
        <f>'_Engine_NR'!G160/12</f>
        <v/>
      </c>
      <c r="EB7" s="458">
        <f>'_Engine_NR'!G161/12</f>
        <v/>
      </c>
      <c r="EC7" s="458">
        <f>'_Engine_NR'!G162/12</f>
        <v/>
      </c>
      <c r="ED7" s="459">
        <f>'_Engine_NR'!G163/12</f>
        <v/>
      </c>
      <c r="EE7" s="459">
        <f>'_Engine_NR'!G164/12</f>
        <v/>
      </c>
      <c r="EF7" s="459">
        <f>'_Engine_NR'!G165/12</f>
        <v/>
      </c>
      <c r="EG7" s="459">
        <f>'_Engine_NR'!G166/12</f>
        <v/>
      </c>
      <c r="EH7" s="459">
        <f>'_Engine_NR'!G167/12</f>
        <v/>
      </c>
      <c r="EI7" s="459">
        <f>'_Engine_NR'!G168/12</f>
        <v/>
      </c>
      <c r="EJ7" s="459">
        <f>'_Engine_NR'!G169/12</f>
        <v/>
      </c>
      <c r="EK7" s="459">
        <f>'_Engine_NR'!G170/12</f>
        <v/>
      </c>
      <c r="EL7" s="459">
        <f>'_Engine_NR'!G171/12</f>
        <v/>
      </c>
      <c r="EM7" s="459">
        <f>'_Engine_NR'!G172/12</f>
        <v/>
      </c>
      <c r="EN7" s="459">
        <f>'_Engine_NR'!G173/12</f>
        <v/>
      </c>
      <c r="EO7" s="459">
        <f>'_Engine_NR'!G174/12</f>
        <v/>
      </c>
      <c r="EP7" s="458">
        <f>'_Engine_NR'!G175/12</f>
        <v/>
      </c>
      <c r="EQ7" s="458">
        <f>'_Engine_NR'!G176/12</f>
        <v/>
      </c>
      <c r="ER7" s="458">
        <f>'_Engine_NR'!G177/12</f>
        <v/>
      </c>
      <c r="ES7" s="458">
        <f>'_Engine_NR'!G178/12</f>
        <v/>
      </c>
      <c r="ET7" s="458">
        <f>'_Engine_NR'!G179/12</f>
        <v/>
      </c>
      <c r="EU7" s="458">
        <f>'_Engine_NR'!G180/12</f>
        <v/>
      </c>
      <c r="EV7" s="458">
        <f>'_Engine_NR'!G181/12</f>
        <v/>
      </c>
      <c r="EW7" s="458">
        <f>'_Engine_NR'!G182/12</f>
        <v/>
      </c>
      <c r="EX7" s="458">
        <f>'_Engine_NR'!G183/12</f>
        <v/>
      </c>
      <c r="EY7" s="458">
        <f>'_Engine_NR'!G184/12</f>
        <v/>
      </c>
      <c r="EZ7" s="458">
        <f>'_Engine_NR'!G185/12</f>
        <v/>
      </c>
      <c r="FA7" s="458">
        <f>'_Engine_NR'!G186/12</f>
        <v/>
      </c>
      <c r="FB7" s="459">
        <f>'_Engine_NR'!G187/12</f>
        <v/>
      </c>
      <c r="FC7" s="459">
        <f>'_Engine_NR'!G188/12</f>
        <v/>
      </c>
      <c r="FD7" s="459">
        <f>'_Engine_NR'!G189/12</f>
        <v/>
      </c>
      <c r="FE7" s="459">
        <f>'_Engine_NR'!G190/12</f>
        <v/>
      </c>
      <c r="FF7" s="459">
        <f>'_Engine_NR'!G191/12</f>
        <v/>
      </c>
      <c r="FG7" s="459">
        <f>'_Engine_NR'!G192/12</f>
        <v/>
      </c>
      <c r="FH7" s="459">
        <f>'_Engine_NR'!G193/12</f>
        <v/>
      </c>
      <c r="FI7" s="459">
        <f>'_Engine_NR'!G194/12</f>
        <v/>
      </c>
      <c r="FJ7" s="459">
        <f>'_Engine_NR'!G195/12</f>
        <v/>
      </c>
      <c r="FK7" s="459">
        <f>'_Engine_NR'!G196/12</f>
        <v/>
      </c>
      <c r="FL7" s="459">
        <f>'_Engine_NR'!G197/12</f>
        <v/>
      </c>
      <c r="FM7" s="459">
        <f>'_Engine_NR'!G198/12</f>
        <v/>
      </c>
      <c r="FN7" s="458">
        <f>'_Engine_NR'!G199/12</f>
        <v/>
      </c>
      <c r="FO7" s="458">
        <f>'_Engine_NR'!G200/12</f>
        <v/>
      </c>
      <c r="FP7" s="458">
        <f>'_Engine_NR'!G201/12</f>
        <v/>
      </c>
      <c r="FQ7" s="458">
        <f>'_Engine_NR'!G202/12</f>
        <v/>
      </c>
      <c r="FR7" s="458">
        <f>'_Engine_NR'!G203/12</f>
        <v/>
      </c>
      <c r="FS7" s="458">
        <f>'_Engine_NR'!G204/12</f>
        <v/>
      </c>
      <c r="FT7" s="458">
        <f>'_Engine_NR'!G205/12</f>
        <v/>
      </c>
      <c r="FU7" s="458">
        <f>'_Engine_NR'!G206/12</f>
        <v/>
      </c>
      <c r="FV7" s="458">
        <f>'_Engine_NR'!G207/12</f>
        <v/>
      </c>
      <c r="FW7" s="458">
        <f>'_Engine_NR'!G208/12</f>
        <v/>
      </c>
      <c r="FX7" s="458">
        <f>'_Engine_NR'!G209/12</f>
        <v/>
      </c>
      <c r="FY7" s="458">
        <f>'_Engine_NR'!G210/12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'_Engine_NR'!H31/12</f>
        <v/>
      </c>
      <c r="C8" s="458">
        <f>'_Engine_NR'!H32/12</f>
        <v/>
      </c>
      <c r="D8" s="458">
        <f>'_Engine_NR'!H33/12</f>
        <v/>
      </c>
      <c r="E8" s="458">
        <f>'_Engine_NR'!H34/12</f>
        <v/>
      </c>
      <c r="F8" s="458">
        <f>'_Engine_NR'!H35/12</f>
        <v/>
      </c>
      <c r="G8" s="458">
        <f>'_Engine_NR'!H36/12</f>
        <v/>
      </c>
      <c r="H8" s="458">
        <f>'_Engine_NR'!H37/12</f>
        <v/>
      </c>
      <c r="I8" s="458">
        <f>'_Engine_NR'!H38/12</f>
        <v/>
      </c>
      <c r="J8" s="458">
        <f>'_Engine_NR'!H39/12</f>
        <v/>
      </c>
      <c r="K8" s="458">
        <f>'_Engine_NR'!H40/12</f>
        <v/>
      </c>
      <c r="L8" s="458">
        <f>'_Engine_NR'!H41/12</f>
        <v/>
      </c>
      <c r="M8" s="458">
        <f>'_Engine_NR'!H42/12</f>
        <v/>
      </c>
      <c r="N8" s="459">
        <f>'_Engine_NR'!H43/12</f>
        <v/>
      </c>
      <c r="O8" s="459">
        <f>'_Engine_NR'!H44/12</f>
        <v/>
      </c>
      <c r="P8" s="459">
        <f>'_Engine_NR'!H45/12</f>
        <v/>
      </c>
      <c r="Q8" s="459">
        <f>'_Engine_NR'!H46/12</f>
        <v/>
      </c>
      <c r="R8" s="459">
        <f>'_Engine_NR'!H47/12</f>
        <v/>
      </c>
      <c r="S8" s="459">
        <f>'_Engine_NR'!H48/12</f>
        <v/>
      </c>
      <c r="T8" s="459">
        <f>'_Engine_NR'!H49/12</f>
        <v/>
      </c>
      <c r="U8" s="459">
        <f>'_Engine_NR'!H50/12</f>
        <v/>
      </c>
      <c r="V8" s="459">
        <f>'_Engine_NR'!H51/12</f>
        <v/>
      </c>
      <c r="W8" s="459">
        <f>'_Engine_NR'!H52/12</f>
        <v/>
      </c>
      <c r="X8" s="459">
        <f>'_Engine_NR'!H53/12</f>
        <v/>
      </c>
      <c r="Y8" s="459">
        <f>'_Engine_NR'!H54/12</f>
        <v/>
      </c>
      <c r="Z8" s="458">
        <f>'_Engine_NR'!H55/12</f>
        <v/>
      </c>
      <c r="AA8" s="458">
        <f>'_Engine_NR'!H56/12</f>
        <v/>
      </c>
      <c r="AB8" s="458">
        <f>'_Engine_NR'!H57/12</f>
        <v/>
      </c>
      <c r="AC8" s="458">
        <f>'_Engine_NR'!H58/12</f>
        <v/>
      </c>
      <c r="AD8" s="458">
        <f>'_Engine_NR'!H59/12</f>
        <v/>
      </c>
      <c r="AE8" s="458">
        <f>'_Engine_NR'!H60/12</f>
        <v/>
      </c>
      <c r="AF8" s="458">
        <f>'_Engine_NR'!H61/12</f>
        <v/>
      </c>
      <c r="AG8" s="458">
        <f>'_Engine_NR'!H62/12</f>
        <v/>
      </c>
      <c r="AH8" s="458">
        <f>'_Engine_NR'!H63/12</f>
        <v/>
      </c>
      <c r="AI8" s="458">
        <f>'_Engine_NR'!H64/12</f>
        <v/>
      </c>
      <c r="AJ8" s="458">
        <f>'_Engine_NR'!H65/12</f>
        <v/>
      </c>
      <c r="AK8" s="458">
        <f>'_Engine_NR'!H66/12</f>
        <v/>
      </c>
      <c r="AL8" s="459">
        <f>'_Engine_NR'!H67/12</f>
        <v/>
      </c>
      <c r="AM8" s="459">
        <f>'_Engine_NR'!H68/12</f>
        <v/>
      </c>
      <c r="AN8" s="459">
        <f>'_Engine_NR'!H69/12</f>
        <v/>
      </c>
      <c r="AO8" s="459">
        <f>'_Engine_NR'!H70/12</f>
        <v/>
      </c>
      <c r="AP8" s="459">
        <f>'_Engine_NR'!H71/12</f>
        <v/>
      </c>
      <c r="AQ8" s="459">
        <f>'_Engine_NR'!H72/12</f>
        <v/>
      </c>
      <c r="AR8" s="459">
        <f>'_Engine_NR'!H73/12</f>
        <v/>
      </c>
      <c r="AS8" s="459">
        <f>'_Engine_NR'!H74/12</f>
        <v/>
      </c>
      <c r="AT8" s="459">
        <f>'_Engine_NR'!H75/12</f>
        <v/>
      </c>
      <c r="AU8" s="459">
        <f>'_Engine_NR'!H76/12</f>
        <v/>
      </c>
      <c r="AV8" s="459">
        <f>'_Engine_NR'!H77/12</f>
        <v/>
      </c>
      <c r="AW8" s="459">
        <f>'_Engine_NR'!H78/12</f>
        <v/>
      </c>
      <c r="AX8" s="458">
        <f>'_Engine_NR'!H79/12</f>
        <v/>
      </c>
      <c r="AY8" s="458">
        <f>'_Engine_NR'!H80/12</f>
        <v/>
      </c>
      <c r="AZ8" s="458">
        <f>'_Engine_NR'!H81/12</f>
        <v/>
      </c>
      <c r="BA8" s="458">
        <f>'_Engine_NR'!H82/12</f>
        <v/>
      </c>
      <c r="BB8" s="458">
        <f>'_Engine_NR'!H83/12</f>
        <v/>
      </c>
      <c r="BC8" s="458">
        <f>'_Engine_NR'!H84/12</f>
        <v/>
      </c>
      <c r="BD8" s="458">
        <f>'_Engine_NR'!H85/12</f>
        <v/>
      </c>
      <c r="BE8" s="458">
        <f>'_Engine_NR'!H86/12</f>
        <v/>
      </c>
      <c r="BF8" s="458">
        <f>'_Engine_NR'!H87/12</f>
        <v/>
      </c>
      <c r="BG8" s="458">
        <f>'_Engine_NR'!H88/12</f>
        <v/>
      </c>
      <c r="BH8" s="458">
        <f>'_Engine_NR'!H89/12</f>
        <v/>
      </c>
      <c r="BI8" s="458">
        <f>'_Engine_NR'!H90/12</f>
        <v/>
      </c>
      <c r="BJ8" s="459">
        <f>'_Engine_NR'!H91/12</f>
        <v/>
      </c>
      <c r="BK8" s="459">
        <f>'_Engine_NR'!H92/12</f>
        <v/>
      </c>
      <c r="BL8" s="459">
        <f>'_Engine_NR'!H93/12</f>
        <v/>
      </c>
      <c r="BM8" s="459">
        <f>'_Engine_NR'!H94/12</f>
        <v/>
      </c>
      <c r="BN8" s="459">
        <f>'_Engine_NR'!H95/12</f>
        <v/>
      </c>
      <c r="BO8" s="459">
        <f>'_Engine_NR'!H96/12</f>
        <v/>
      </c>
      <c r="BP8" s="459">
        <f>'_Engine_NR'!H97/12</f>
        <v/>
      </c>
      <c r="BQ8" s="459">
        <f>'_Engine_NR'!H98/12</f>
        <v/>
      </c>
      <c r="BR8" s="459">
        <f>'_Engine_NR'!H99/12</f>
        <v/>
      </c>
      <c r="BS8" s="459">
        <f>'_Engine_NR'!H100/12</f>
        <v/>
      </c>
      <c r="BT8" s="459">
        <f>'_Engine_NR'!H101/12</f>
        <v/>
      </c>
      <c r="BU8" s="459">
        <f>'_Engine_NR'!H102/12</f>
        <v/>
      </c>
      <c r="BV8" s="458">
        <f>'_Engine_NR'!H103/12</f>
        <v/>
      </c>
      <c r="BW8" s="458">
        <f>'_Engine_NR'!H104/12</f>
        <v/>
      </c>
      <c r="BX8" s="458">
        <f>'_Engine_NR'!H105/12</f>
        <v/>
      </c>
      <c r="BY8" s="458">
        <f>'_Engine_NR'!H106/12</f>
        <v/>
      </c>
      <c r="BZ8" s="458">
        <f>'_Engine_NR'!H107/12</f>
        <v/>
      </c>
      <c r="CA8" s="458">
        <f>'_Engine_NR'!H108/12</f>
        <v/>
      </c>
      <c r="CB8" s="458">
        <f>'_Engine_NR'!H109/12</f>
        <v/>
      </c>
      <c r="CC8" s="458">
        <f>'_Engine_NR'!H110/12</f>
        <v/>
      </c>
      <c r="CD8" s="458">
        <f>'_Engine_NR'!H111/12</f>
        <v/>
      </c>
      <c r="CE8" s="458">
        <f>'_Engine_NR'!H112/12</f>
        <v/>
      </c>
      <c r="CF8" s="458">
        <f>'_Engine_NR'!H113/12</f>
        <v/>
      </c>
      <c r="CG8" s="458">
        <f>'_Engine_NR'!H114/12</f>
        <v/>
      </c>
      <c r="CH8" s="459">
        <f>'_Engine_NR'!H115/12</f>
        <v/>
      </c>
      <c r="CI8" s="459">
        <f>'_Engine_NR'!H116/12</f>
        <v/>
      </c>
      <c r="CJ8" s="459">
        <f>'_Engine_NR'!H117/12</f>
        <v/>
      </c>
      <c r="CK8" s="459">
        <f>'_Engine_NR'!H118/12</f>
        <v/>
      </c>
      <c r="CL8" s="459">
        <f>'_Engine_NR'!H119/12</f>
        <v/>
      </c>
      <c r="CM8" s="459">
        <f>'_Engine_NR'!H120/12</f>
        <v/>
      </c>
      <c r="CN8" s="459">
        <f>'_Engine_NR'!H121/12</f>
        <v/>
      </c>
      <c r="CO8" s="459">
        <f>'_Engine_NR'!H122/12</f>
        <v/>
      </c>
      <c r="CP8" s="459">
        <f>'_Engine_NR'!H123/12</f>
        <v/>
      </c>
      <c r="CQ8" s="459">
        <f>'_Engine_NR'!H124/12</f>
        <v/>
      </c>
      <c r="CR8" s="459">
        <f>'_Engine_NR'!H125/12</f>
        <v/>
      </c>
      <c r="CS8" s="459">
        <f>'_Engine_NR'!H126/12</f>
        <v/>
      </c>
      <c r="CT8" s="458">
        <f>'_Engine_NR'!H127/12</f>
        <v/>
      </c>
      <c r="CU8" s="458">
        <f>'_Engine_NR'!H128/12</f>
        <v/>
      </c>
      <c r="CV8" s="458">
        <f>'_Engine_NR'!H129/12</f>
        <v/>
      </c>
      <c r="CW8" s="458">
        <f>'_Engine_NR'!H130/12</f>
        <v/>
      </c>
      <c r="CX8" s="458">
        <f>'_Engine_NR'!H131/12</f>
        <v/>
      </c>
      <c r="CY8" s="458">
        <f>'_Engine_NR'!H132/12</f>
        <v/>
      </c>
      <c r="CZ8" s="458">
        <f>'_Engine_NR'!H133/12</f>
        <v/>
      </c>
      <c r="DA8" s="458">
        <f>'_Engine_NR'!H134/12</f>
        <v/>
      </c>
      <c r="DB8" s="458">
        <f>'_Engine_NR'!H135/12</f>
        <v/>
      </c>
      <c r="DC8" s="458">
        <f>'_Engine_NR'!H136/12</f>
        <v/>
      </c>
      <c r="DD8" s="458">
        <f>'_Engine_NR'!H137/12</f>
        <v/>
      </c>
      <c r="DE8" s="458">
        <f>'_Engine_NR'!H138/12</f>
        <v/>
      </c>
      <c r="DF8" s="459">
        <f>'_Engine_NR'!H139/12</f>
        <v/>
      </c>
      <c r="DG8" s="459">
        <f>'_Engine_NR'!H140/12</f>
        <v/>
      </c>
      <c r="DH8" s="459">
        <f>'_Engine_NR'!H141/12</f>
        <v/>
      </c>
      <c r="DI8" s="459">
        <f>'_Engine_NR'!H142/12</f>
        <v/>
      </c>
      <c r="DJ8" s="459">
        <f>'_Engine_NR'!H143/12</f>
        <v/>
      </c>
      <c r="DK8" s="459">
        <f>'_Engine_NR'!H144/12</f>
        <v/>
      </c>
      <c r="DL8" s="459">
        <f>'_Engine_NR'!H145/12</f>
        <v/>
      </c>
      <c r="DM8" s="459">
        <f>'_Engine_NR'!H146/12</f>
        <v/>
      </c>
      <c r="DN8" s="459">
        <f>'_Engine_NR'!H147/12</f>
        <v/>
      </c>
      <c r="DO8" s="459">
        <f>'_Engine_NR'!H148/12</f>
        <v/>
      </c>
      <c r="DP8" s="459">
        <f>'_Engine_NR'!H149/12</f>
        <v/>
      </c>
      <c r="DQ8" s="459">
        <f>'_Engine_NR'!H150/12</f>
        <v/>
      </c>
      <c r="DR8" s="458">
        <f>'_Engine_NR'!H151/12</f>
        <v/>
      </c>
      <c r="DS8" s="458">
        <f>'_Engine_NR'!H152/12</f>
        <v/>
      </c>
      <c r="DT8" s="458">
        <f>'_Engine_NR'!H153/12</f>
        <v/>
      </c>
      <c r="DU8" s="458">
        <f>'_Engine_NR'!H154/12</f>
        <v/>
      </c>
      <c r="DV8" s="458">
        <f>'_Engine_NR'!H155/12</f>
        <v/>
      </c>
      <c r="DW8" s="458">
        <f>'_Engine_NR'!H156/12</f>
        <v/>
      </c>
      <c r="DX8" s="458">
        <f>'_Engine_NR'!H157/12</f>
        <v/>
      </c>
      <c r="DY8" s="458">
        <f>'_Engine_NR'!H158/12</f>
        <v/>
      </c>
      <c r="DZ8" s="458">
        <f>'_Engine_NR'!H159/12</f>
        <v/>
      </c>
      <c r="EA8" s="458">
        <f>'_Engine_NR'!H160/12</f>
        <v/>
      </c>
      <c r="EB8" s="458">
        <f>'_Engine_NR'!H161/12</f>
        <v/>
      </c>
      <c r="EC8" s="458">
        <f>'_Engine_NR'!H162/12</f>
        <v/>
      </c>
      <c r="ED8" s="459">
        <f>'_Engine_NR'!H163/12</f>
        <v/>
      </c>
      <c r="EE8" s="459">
        <f>'_Engine_NR'!H164/12</f>
        <v/>
      </c>
      <c r="EF8" s="459">
        <f>'_Engine_NR'!H165/12</f>
        <v/>
      </c>
      <c r="EG8" s="459">
        <f>'_Engine_NR'!H166/12</f>
        <v/>
      </c>
      <c r="EH8" s="459">
        <f>'_Engine_NR'!H167/12</f>
        <v/>
      </c>
      <c r="EI8" s="459">
        <f>'_Engine_NR'!H168/12</f>
        <v/>
      </c>
      <c r="EJ8" s="459">
        <f>'_Engine_NR'!H169/12</f>
        <v/>
      </c>
      <c r="EK8" s="459">
        <f>'_Engine_NR'!H170/12</f>
        <v/>
      </c>
      <c r="EL8" s="459">
        <f>'_Engine_NR'!H171/12</f>
        <v/>
      </c>
      <c r="EM8" s="459">
        <f>'_Engine_NR'!H172/12</f>
        <v/>
      </c>
      <c r="EN8" s="459">
        <f>'_Engine_NR'!H173/12</f>
        <v/>
      </c>
      <c r="EO8" s="459">
        <f>'_Engine_NR'!H174/12</f>
        <v/>
      </c>
      <c r="EP8" s="458">
        <f>'_Engine_NR'!H175/12</f>
        <v/>
      </c>
      <c r="EQ8" s="458">
        <f>'_Engine_NR'!H176/12</f>
        <v/>
      </c>
      <c r="ER8" s="458">
        <f>'_Engine_NR'!H177/12</f>
        <v/>
      </c>
      <c r="ES8" s="458">
        <f>'_Engine_NR'!H178/12</f>
        <v/>
      </c>
      <c r="ET8" s="458">
        <f>'_Engine_NR'!H179/12</f>
        <v/>
      </c>
      <c r="EU8" s="458">
        <f>'_Engine_NR'!H180/12</f>
        <v/>
      </c>
      <c r="EV8" s="458">
        <f>'_Engine_NR'!H181/12</f>
        <v/>
      </c>
      <c r="EW8" s="458">
        <f>'_Engine_NR'!H182/12</f>
        <v/>
      </c>
      <c r="EX8" s="458">
        <f>'_Engine_NR'!H183/12</f>
        <v/>
      </c>
      <c r="EY8" s="458">
        <f>'_Engine_NR'!H184/12</f>
        <v/>
      </c>
      <c r="EZ8" s="458">
        <f>'_Engine_NR'!H185/12</f>
        <v/>
      </c>
      <c r="FA8" s="458">
        <f>'_Engine_NR'!H186/12</f>
        <v/>
      </c>
      <c r="FB8" s="459">
        <f>'_Engine_NR'!H187/12</f>
        <v/>
      </c>
      <c r="FC8" s="459">
        <f>'_Engine_NR'!H188/12</f>
        <v/>
      </c>
      <c r="FD8" s="459">
        <f>'_Engine_NR'!H189/12</f>
        <v/>
      </c>
      <c r="FE8" s="459">
        <f>'_Engine_NR'!H190/12</f>
        <v/>
      </c>
      <c r="FF8" s="459">
        <f>'_Engine_NR'!H191/12</f>
        <v/>
      </c>
      <c r="FG8" s="459">
        <f>'_Engine_NR'!H192/12</f>
        <v/>
      </c>
      <c r="FH8" s="459">
        <f>'_Engine_NR'!H193/12</f>
        <v/>
      </c>
      <c r="FI8" s="459">
        <f>'_Engine_NR'!H194/12</f>
        <v/>
      </c>
      <c r="FJ8" s="459">
        <f>'_Engine_NR'!H195/12</f>
        <v/>
      </c>
      <c r="FK8" s="459">
        <f>'_Engine_NR'!H196/12</f>
        <v/>
      </c>
      <c r="FL8" s="459">
        <f>'_Engine_NR'!H197/12</f>
        <v/>
      </c>
      <c r="FM8" s="459">
        <f>'_Engine_NR'!H198/12</f>
        <v/>
      </c>
      <c r="FN8" s="458">
        <f>'_Engine_NR'!H199/12</f>
        <v/>
      </c>
      <c r="FO8" s="458">
        <f>'_Engine_NR'!H200/12</f>
        <v/>
      </c>
      <c r="FP8" s="458">
        <f>'_Engine_NR'!H201/12</f>
        <v/>
      </c>
      <c r="FQ8" s="458">
        <f>'_Engine_NR'!H202/12</f>
        <v/>
      </c>
      <c r="FR8" s="458">
        <f>'_Engine_NR'!H203/12</f>
        <v/>
      </c>
      <c r="FS8" s="458">
        <f>'_Engine_NR'!H204/12</f>
        <v/>
      </c>
      <c r="FT8" s="458">
        <f>'_Engine_NR'!H205/12</f>
        <v/>
      </c>
      <c r="FU8" s="458">
        <f>'_Engine_NR'!H206/12</f>
        <v/>
      </c>
      <c r="FV8" s="458">
        <f>'_Engine_NR'!H207/12</f>
        <v/>
      </c>
      <c r="FW8" s="458">
        <f>'_Engine_NR'!H208/12</f>
        <v/>
      </c>
      <c r="FX8" s="458">
        <f>'_Engine_NR'!H209/12</f>
        <v/>
      </c>
      <c r="FY8" s="458">
        <f>'_Engine_NR'!H210/12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'_Engine_NR'!I31/12</f>
        <v/>
      </c>
      <c r="C9" s="458">
        <f>'_Engine_NR'!I32/12</f>
        <v/>
      </c>
      <c r="D9" s="458">
        <f>'_Engine_NR'!I33/12</f>
        <v/>
      </c>
      <c r="E9" s="458">
        <f>'_Engine_NR'!I34/12</f>
        <v/>
      </c>
      <c r="F9" s="458">
        <f>'_Engine_NR'!I35/12</f>
        <v/>
      </c>
      <c r="G9" s="458">
        <f>'_Engine_NR'!I36/12</f>
        <v/>
      </c>
      <c r="H9" s="458">
        <f>'_Engine_NR'!I37/12</f>
        <v/>
      </c>
      <c r="I9" s="458">
        <f>'_Engine_NR'!I38/12</f>
        <v/>
      </c>
      <c r="J9" s="458">
        <f>'_Engine_NR'!I39/12</f>
        <v/>
      </c>
      <c r="K9" s="458">
        <f>'_Engine_NR'!I40/12</f>
        <v/>
      </c>
      <c r="L9" s="458">
        <f>'_Engine_NR'!I41/12</f>
        <v/>
      </c>
      <c r="M9" s="458">
        <f>'_Engine_NR'!I42/12</f>
        <v/>
      </c>
      <c r="N9" s="459">
        <f>'_Engine_NR'!I43/12</f>
        <v/>
      </c>
      <c r="O9" s="459">
        <f>'_Engine_NR'!I44/12</f>
        <v/>
      </c>
      <c r="P9" s="459">
        <f>'_Engine_NR'!I45/12</f>
        <v/>
      </c>
      <c r="Q9" s="459">
        <f>'_Engine_NR'!I46/12</f>
        <v/>
      </c>
      <c r="R9" s="459">
        <f>'_Engine_NR'!I47/12</f>
        <v/>
      </c>
      <c r="S9" s="459">
        <f>'_Engine_NR'!I48/12</f>
        <v/>
      </c>
      <c r="T9" s="459">
        <f>'_Engine_NR'!I49/12</f>
        <v/>
      </c>
      <c r="U9" s="459">
        <f>'_Engine_NR'!I50/12</f>
        <v/>
      </c>
      <c r="V9" s="459">
        <f>'_Engine_NR'!I51/12</f>
        <v/>
      </c>
      <c r="W9" s="459">
        <f>'_Engine_NR'!I52/12</f>
        <v/>
      </c>
      <c r="X9" s="459">
        <f>'_Engine_NR'!I53/12</f>
        <v/>
      </c>
      <c r="Y9" s="459">
        <f>'_Engine_NR'!I54/12</f>
        <v/>
      </c>
      <c r="Z9" s="458">
        <f>'_Engine_NR'!I55/12</f>
        <v/>
      </c>
      <c r="AA9" s="458">
        <f>'_Engine_NR'!I56/12</f>
        <v/>
      </c>
      <c r="AB9" s="458">
        <f>'_Engine_NR'!I57/12</f>
        <v/>
      </c>
      <c r="AC9" s="458">
        <f>'_Engine_NR'!I58/12</f>
        <v/>
      </c>
      <c r="AD9" s="458">
        <f>'_Engine_NR'!I59/12</f>
        <v/>
      </c>
      <c r="AE9" s="458">
        <f>'_Engine_NR'!I60/12</f>
        <v/>
      </c>
      <c r="AF9" s="458">
        <f>'_Engine_NR'!I61/12</f>
        <v/>
      </c>
      <c r="AG9" s="458">
        <f>'_Engine_NR'!I62/12</f>
        <v/>
      </c>
      <c r="AH9" s="458">
        <f>'_Engine_NR'!I63/12</f>
        <v/>
      </c>
      <c r="AI9" s="458">
        <f>'_Engine_NR'!I64/12</f>
        <v/>
      </c>
      <c r="AJ9" s="458">
        <f>'_Engine_NR'!I65/12</f>
        <v/>
      </c>
      <c r="AK9" s="458">
        <f>'_Engine_NR'!I66/12</f>
        <v/>
      </c>
      <c r="AL9" s="459">
        <f>'_Engine_NR'!I67/12</f>
        <v/>
      </c>
      <c r="AM9" s="459">
        <f>'_Engine_NR'!I68/12</f>
        <v/>
      </c>
      <c r="AN9" s="459">
        <f>'_Engine_NR'!I69/12</f>
        <v/>
      </c>
      <c r="AO9" s="459">
        <f>'_Engine_NR'!I70/12</f>
        <v/>
      </c>
      <c r="AP9" s="459">
        <f>'_Engine_NR'!I71/12</f>
        <v/>
      </c>
      <c r="AQ9" s="459">
        <f>'_Engine_NR'!I72/12</f>
        <v/>
      </c>
      <c r="AR9" s="459">
        <f>'_Engine_NR'!I73/12</f>
        <v/>
      </c>
      <c r="AS9" s="459">
        <f>'_Engine_NR'!I74/12</f>
        <v/>
      </c>
      <c r="AT9" s="459">
        <f>'_Engine_NR'!I75/12</f>
        <v/>
      </c>
      <c r="AU9" s="459">
        <f>'_Engine_NR'!I76/12</f>
        <v/>
      </c>
      <c r="AV9" s="459">
        <f>'_Engine_NR'!I77/12</f>
        <v/>
      </c>
      <c r="AW9" s="459">
        <f>'_Engine_NR'!I78/12</f>
        <v/>
      </c>
      <c r="AX9" s="458">
        <f>'_Engine_NR'!I79/12</f>
        <v/>
      </c>
      <c r="AY9" s="458">
        <f>'_Engine_NR'!I80/12</f>
        <v/>
      </c>
      <c r="AZ9" s="458">
        <f>'_Engine_NR'!I81/12</f>
        <v/>
      </c>
      <c r="BA9" s="458">
        <f>'_Engine_NR'!I82/12</f>
        <v/>
      </c>
      <c r="BB9" s="458">
        <f>'_Engine_NR'!I83/12</f>
        <v/>
      </c>
      <c r="BC9" s="458">
        <f>'_Engine_NR'!I84/12</f>
        <v/>
      </c>
      <c r="BD9" s="458">
        <f>'_Engine_NR'!I85/12</f>
        <v/>
      </c>
      <c r="BE9" s="458">
        <f>'_Engine_NR'!I86/12</f>
        <v/>
      </c>
      <c r="BF9" s="458">
        <f>'_Engine_NR'!I87/12</f>
        <v/>
      </c>
      <c r="BG9" s="458">
        <f>'_Engine_NR'!I88/12</f>
        <v/>
      </c>
      <c r="BH9" s="458">
        <f>'_Engine_NR'!I89/12</f>
        <v/>
      </c>
      <c r="BI9" s="458">
        <f>'_Engine_NR'!I90/12</f>
        <v/>
      </c>
      <c r="BJ9" s="459">
        <f>'_Engine_NR'!I91/12</f>
        <v/>
      </c>
      <c r="BK9" s="459">
        <f>'_Engine_NR'!I92/12</f>
        <v/>
      </c>
      <c r="BL9" s="459">
        <f>'_Engine_NR'!I93/12</f>
        <v/>
      </c>
      <c r="BM9" s="459">
        <f>'_Engine_NR'!I94/12</f>
        <v/>
      </c>
      <c r="BN9" s="459">
        <f>'_Engine_NR'!I95/12</f>
        <v/>
      </c>
      <c r="BO9" s="459">
        <f>'_Engine_NR'!I96/12</f>
        <v/>
      </c>
      <c r="BP9" s="459">
        <f>'_Engine_NR'!I97/12</f>
        <v/>
      </c>
      <c r="BQ9" s="459">
        <f>'_Engine_NR'!I98/12</f>
        <v/>
      </c>
      <c r="BR9" s="459">
        <f>'_Engine_NR'!I99/12</f>
        <v/>
      </c>
      <c r="BS9" s="459">
        <f>'_Engine_NR'!I100/12</f>
        <v/>
      </c>
      <c r="BT9" s="459">
        <f>'_Engine_NR'!I101/12</f>
        <v/>
      </c>
      <c r="BU9" s="459">
        <f>'_Engine_NR'!I102/12</f>
        <v/>
      </c>
      <c r="BV9" s="458">
        <f>'_Engine_NR'!I103/12</f>
        <v/>
      </c>
      <c r="BW9" s="458">
        <f>'_Engine_NR'!I104/12</f>
        <v/>
      </c>
      <c r="BX9" s="458">
        <f>'_Engine_NR'!I105/12</f>
        <v/>
      </c>
      <c r="BY9" s="458">
        <f>'_Engine_NR'!I106/12</f>
        <v/>
      </c>
      <c r="BZ9" s="458">
        <f>'_Engine_NR'!I107/12</f>
        <v/>
      </c>
      <c r="CA9" s="458">
        <f>'_Engine_NR'!I108/12</f>
        <v/>
      </c>
      <c r="CB9" s="458">
        <f>'_Engine_NR'!I109/12</f>
        <v/>
      </c>
      <c r="CC9" s="458">
        <f>'_Engine_NR'!I110/12</f>
        <v/>
      </c>
      <c r="CD9" s="458">
        <f>'_Engine_NR'!I111/12</f>
        <v/>
      </c>
      <c r="CE9" s="458">
        <f>'_Engine_NR'!I112/12</f>
        <v/>
      </c>
      <c r="CF9" s="458">
        <f>'_Engine_NR'!I113/12</f>
        <v/>
      </c>
      <c r="CG9" s="458">
        <f>'_Engine_NR'!I114/12</f>
        <v/>
      </c>
      <c r="CH9" s="459">
        <f>'_Engine_NR'!I115/12</f>
        <v/>
      </c>
      <c r="CI9" s="459">
        <f>'_Engine_NR'!I116/12</f>
        <v/>
      </c>
      <c r="CJ9" s="459">
        <f>'_Engine_NR'!I117/12</f>
        <v/>
      </c>
      <c r="CK9" s="459">
        <f>'_Engine_NR'!I118/12</f>
        <v/>
      </c>
      <c r="CL9" s="459">
        <f>'_Engine_NR'!I119/12</f>
        <v/>
      </c>
      <c r="CM9" s="459">
        <f>'_Engine_NR'!I120/12</f>
        <v/>
      </c>
      <c r="CN9" s="459">
        <f>'_Engine_NR'!I121/12</f>
        <v/>
      </c>
      <c r="CO9" s="459">
        <f>'_Engine_NR'!I122/12</f>
        <v/>
      </c>
      <c r="CP9" s="459">
        <f>'_Engine_NR'!I123/12</f>
        <v/>
      </c>
      <c r="CQ9" s="459">
        <f>'_Engine_NR'!I124/12</f>
        <v/>
      </c>
      <c r="CR9" s="459">
        <f>'_Engine_NR'!I125/12</f>
        <v/>
      </c>
      <c r="CS9" s="459">
        <f>'_Engine_NR'!I126/12</f>
        <v/>
      </c>
      <c r="CT9" s="458">
        <f>'_Engine_NR'!I127/12</f>
        <v/>
      </c>
      <c r="CU9" s="458">
        <f>'_Engine_NR'!I128/12</f>
        <v/>
      </c>
      <c r="CV9" s="458">
        <f>'_Engine_NR'!I129/12</f>
        <v/>
      </c>
      <c r="CW9" s="458">
        <f>'_Engine_NR'!I130/12</f>
        <v/>
      </c>
      <c r="CX9" s="458">
        <f>'_Engine_NR'!I131/12</f>
        <v/>
      </c>
      <c r="CY9" s="458">
        <f>'_Engine_NR'!I132/12</f>
        <v/>
      </c>
      <c r="CZ9" s="458">
        <f>'_Engine_NR'!I133/12</f>
        <v/>
      </c>
      <c r="DA9" s="458">
        <f>'_Engine_NR'!I134/12</f>
        <v/>
      </c>
      <c r="DB9" s="458">
        <f>'_Engine_NR'!I135/12</f>
        <v/>
      </c>
      <c r="DC9" s="458">
        <f>'_Engine_NR'!I136/12</f>
        <v/>
      </c>
      <c r="DD9" s="458">
        <f>'_Engine_NR'!I137/12</f>
        <v/>
      </c>
      <c r="DE9" s="458">
        <f>'_Engine_NR'!I138/12</f>
        <v/>
      </c>
      <c r="DF9" s="459">
        <f>'_Engine_NR'!I139/12</f>
        <v/>
      </c>
      <c r="DG9" s="459">
        <f>'_Engine_NR'!I140/12</f>
        <v/>
      </c>
      <c r="DH9" s="459">
        <f>'_Engine_NR'!I141/12</f>
        <v/>
      </c>
      <c r="DI9" s="459">
        <f>'_Engine_NR'!I142/12</f>
        <v/>
      </c>
      <c r="DJ9" s="459">
        <f>'_Engine_NR'!I143/12</f>
        <v/>
      </c>
      <c r="DK9" s="459">
        <f>'_Engine_NR'!I144/12</f>
        <v/>
      </c>
      <c r="DL9" s="459">
        <f>'_Engine_NR'!I145/12</f>
        <v/>
      </c>
      <c r="DM9" s="459">
        <f>'_Engine_NR'!I146/12</f>
        <v/>
      </c>
      <c r="DN9" s="459">
        <f>'_Engine_NR'!I147/12</f>
        <v/>
      </c>
      <c r="DO9" s="459">
        <f>'_Engine_NR'!I148/12</f>
        <v/>
      </c>
      <c r="DP9" s="459">
        <f>'_Engine_NR'!I149/12</f>
        <v/>
      </c>
      <c r="DQ9" s="459">
        <f>'_Engine_NR'!I150/12</f>
        <v/>
      </c>
      <c r="DR9" s="458">
        <f>'_Engine_NR'!I151/12</f>
        <v/>
      </c>
      <c r="DS9" s="458">
        <f>'_Engine_NR'!I152/12</f>
        <v/>
      </c>
      <c r="DT9" s="458">
        <f>'_Engine_NR'!I153/12</f>
        <v/>
      </c>
      <c r="DU9" s="458">
        <f>'_Engine_NR'!I154/12</f>
        <v/>
      </c>
      <c r="DV9" s="458">
        <f>'_Engine_NR'!I155/12</f>
        <v/>
      </c>
      <c r="DW9" s="458">
        <f>'_Engine_NR'!I156/12</f>
        <v/>
      </c>
      <c r="DX9" s="458">
        <f>'_Engine_NR'!I157/12</f>
        <v/>
      </c>
      <c r="DY9" s="458">
        <f>'_Engine_NR'!I158/12</f>
        <v/>
      </c>
      <c r="DZ9" s="458">
        <f>'_Engine_NR'!I159/12</f>
        <v/>
      </c>
      <c r="EA9" s="458">
        <f>'_Engine_NR'!I160/12</f>
        <v/>
      </c>
      <c r="EB9" s="458">
        <f>'_Engine_NR'!I161/12</f>
        <v/>
      </c>
      <c r="EC9" s="458">
        <f>'_Engine_NR'!I162/12</f>
        <v/>
      </c>
      <c r="ED9" s="459">
        <f>'_Engine_NR'!I163/12</f>
        <v/>
      </c>
      <c r="EE9" s="459">
        <f>'_Engine_NR'!I164/12</f>
        <v/>
      </c>
      <c r="EF9" s="459">
        <f>'_Engine_NR'!I165/12</f>
        <v/>
      </c>
      <c r="EG9" s="459">
        <f>'_Engine_NR'!I166/12</f>
        <v/>
      </c>
      <c r="EH9" s="459">
        <f>'_Engine_NR'!I167/12</f>
        <v/>
      </c>
      <c r="EI9" s="459">
        <f>'_Engine_NR'!I168/12</f>
        <v/>
      </c>
      <c r="EJ9" s="459">
        <f>'_Engine_NR'!I169/12</f>
        <v/>
      </c>
      <c r="EK9" s="459">
        <f>'_Engine_NR'!I170/12</f>
        <v/>
      </c>
      <c r="EL9" s="459">
        <f>'_Engine_NR'!I171/12</f>
        <v/>
      </c>
      <c r="EM9" s="459">
        <f>'_Engine_NR'!I172/12</f>
        <v/>
      </c>
      <c r="EN9" s="459">
        <f>'_Engine_NR'!I173/12</f>
        <v/>
      </c>
      <c r="EO9" s="459">
        <f>'_Engine_NR'!I174/12</f>
        <v/>
      </c>
      <c r="EP9" s="458">
        <f>'_Engine_NR'!I175/12</f>
        <v/>
      </c>
      <c r="EQ9" s="458">
        <f>'_Engine_NR'!I176/12</f>
        <v/>
      </c>
      <c r="ER9" s="458">
        <f>'_Engine_NR'!I177/12</f>
        <v/>
      </c>
      <c r="ES9" s="458">
        <f>'_Engine_NR'!I178/12</f>
        <v/>
      </c>
      <c r="ET9" s="458">
        <f>'_Engine_NR'!I179/12</f>
        <v/>
      </c>
      <c r="EU9" s="458">
        <f>'_Engine_NR'!I180/12</f>
        <v/>
      </c>
      <c r="EV9" s="458">
        <f>'_Engine_NR'!I181/12</f>
        <v/>
      </c>
      <c r="EW9" s="458">
        <f>'_Engine_NR'!I182/12</f>
        <v/>
      </c>
      <c r="EX9" s="458">
        <f>'_Engine_NR'!I183/12</f>
        <v/>
      </c>
      <c r="EY9" s="458">
        <f>'_Engine_NR'!I184/12</f>
        <v/>
      </c>
      <c r="EZ9" s="458">
        <f>'_Engine_NR'!I185/12</f>
        <v/>
      </c>
      <c r="FA9" s="458">
        <f>'_Engine_NR'!I186/12</f>
        <v/>
      </c>
      <c r="FB9" s="459">
        <f>'_Engine_NR'!I187/12</f>
        <v/>
      </c>
      <c r="FC9" s="459">
        <f>'_Engine_NR'!I188/12</f>
        <v/>
      </c>
      <c r="FD9" s="459">
        <f>'_Engine_NR'!I189/12</f>
        <v/>
      </c>
      <c r="FE9" s="459">
        <f>'_Engine_NR'!I190/12</f>
        <v/>
      </c>
      <c r="FF9" s="459">
        <f>'_Engine_NR'!I191/12</f>
        <v/>
      </c>
      <c r="FG9" s="459">
        <f>'_Engine_NR'!I192/12</f>
        <v/>
      </c>
      <c r="FH9" s="459">
        <f>'_Engine_NR'!I193/12</f>
        <v/>
      </c>
      <c r="FI9" s="459">
        <f>'_Engine_NR'!I194/12</f>
        <v/>
      </c>
      <c r="FJ9" s="459">
        <f>'_Engine_NR'!I195/12</f>
        <v/>
      </c>
      <c r="FK9" s="459">
        <f>'_Engine_NR'!I196/12</f>
        <v/>
      </c>
      <c r="FL9" s="459">
        <f>'_Engine_NR'!I197/12</f>
        <v/>
      </c>
      <c r="FM9" s="459">
        <f>'_Engine_NR'!I198/12</f>
        <v/>
      </c>
      <c r="FN9" s="458">
        <f>'_Engine_NR'!I199/12</f>
        <v/>
      </c>
      <c r="FO9" s="458">
        <f>'_Engine_NR'!I200/12</f>
        <v/>
      </c>
      <c r="FP9" s="458">
        <f>'_Engine_NR'!I201/12</f>
        <v/>
      </c>
      <c r="FQ9" s="458">
        <f>'_Engine_NR'!I202/12</f>
        <v/>
      </c>
      <c r="FR9" s="458">
        <f>'_Engine_NR'!I203/12</f>
        <v/>
      </c>
      <c r="FS9" s="458">
        <f>'_Engine_NR'!I204/12</f>
        <v/>
      </c>
      <c r="FT9" s="458">
        <f>'_Engine_NR'!I205/12</f>
        <v/>
      </c>
      <c r="FU9" s="458">
        <f>'_Engine_NR'!I206/12</f>
        <v/>
      </c>
      <c r="FV9" s="458">
        <f>'_Engine_NR'!I207/12</f>
        <v/>
      </c>
      <c r="FW9" s="458">
        <f>'_Engine_NR'!I208/12</f>
        <v/>
      </c>
      <c r="FX9" s="458">
        <f>'_Engine_NR'!I209/12</f>
        <v/>
      </c>
      <c r="FY9" s="458">
        <f>'_Engine_NR'!I210/12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'_Engine_NR'!J31/12</f>
        <v/>
      </c>
      <c r="C10" s="458">
        <f>'_Engine_NR'!J32/12</f>
        <v/>
      </c>
      <c r="D10" s="458">
        <f>'_Engine_NR'!J33/12</f>
        <v/>
      </c>
      <c r="E10" s="458">
        <f>'_Engine_NR'!J34/12</f>
        <v/>
      </c>
      <c r="F10" s="458">
        <f>'_Engine_NR'!J35/12</f>
        <v/>
      </c>
      <c r="G10" s="458">
        <f>'_Engine_NR'!J36/12</f>
        <v/>
      </c>
      <c r="H10" s="458">
        <f>'_Engine_NR'!J37/12</f>
        <v/>
      </c>
      <c r="I10" s="458">
        <f>'_Engine_NR'!J38/12</f>
        <v/>
      </c>
      <c r="J10" s="458">
        <f>'_Engine_NR'!J39/12</f>
        <v/>
      </c>
      <c r="K10" s="458">
        <f>'_Engine_NR'!J40/12</f>
        <v/>
      </c>
      <c r="L10" s="458">
        <f>'_Engine_NR'!J41/12</f>
        <v/>
      </c>
      <c r="M10" s="458">
        <f>'_Engine_NR'!J42/12</f>
        <v/>
      </c>
      <c r="N10" s="459">
        <f>'_Engine_NR'!J43/12</f>
        <v/>
      </c>
      <c r="O10" s="459">
        <f>'_Engine_NR'!J44/12</f>
        <v/>
      </c>
      <c r="P10" s="459">
        <f>'_Engine_NR'!J45/12</f>
        <v/>
      </c>
      <c r="Q10" s="459">
        <f>'_Engine_NR'!J46/12</f>
        <v/>
      </c>
      <c r="R10" s="459">
        <f>'_Engine_NR'!J47/12</f>
        <v/>
      </c>
      <c r="S10" s="459">
        <f>'_Engine_NR'!J48/12</f>
        <v/>
      </c>
      <c r="T10" s="459">
        <f>'_Engine_NR'!J49/12</f>
        <v/>
      </c>
      <c r="U10" s="459">
        <f>'_Engine_NR'!J50/12</f>
        <v/>
      </c>
      <c r="V10" s="459">
        <f>'_Engine_NR'!J51/12</f>
        <v/>
      </c>
      <c r="W10" s="459">
        <f>'_Engine_NR'!J52/12</f>
        <v/>
      </c>
      <c r="X10" s="459">
        <f>'_Engine_NR'!J53/12</f>
        <v/>
      </c>
      <c r="Y10" s="459">
        <f>'_Engine_NR'!J54/12</f>
        <v/>
      </c>
      <c r="Z10" s="458">
        <f>'_Engine_NR'!J55/12</f>
        <v/>
      </c>
      <c r="AA10" s="458">
        <f>'_Engine_NR'!J56/12</f>
        <v/>
      </c>
      <c r="AB10" s="458">
        <f>'_Engine_NR'!J57/12</f>
        <v/>
      </c>
      <c r="AC10" s="458">
        <f>'_Engine_NR'!J58/12</f>
        <v/>
      </c>
      <c r="AD10" s="458">
        <f>'_Engine_NR'!J59/12</f>
        <v/>
      </c>
      <c r="AE10" s="458">
        <f>'_Engine_NR'!J60/12</f>
        <v/>
      </c>
      <c r="AF10" s="458">
        <f>'_Engine_NR'!J61/12</f>
        <v/>
      </c>
      <c r="AG10" s="458">
        <f>'_Engine_NR'!J62/12</f>
        <v/>
      </c>
      <c r="AH10" s="458">
        <f>'_Engine_NR'!J63/12</f>
        <v/>
      </c>
      <c r="AI10" s="458">
        <f>'_Engine_NR'!J64/12</f>
        <v/>
      </c>
      <c r="AJ10" s="458">
        <f>'_Engine_NR'!J65/12</f>
        <v/>
      </c>
      <c r="AK10" s="458">
        <f>'_Engine_NR'!J66/12</f>
        <v/>
      </c>
      <c r="AL10" s="459">
        <f>'_Engine_NR'!J67/12</f>
        <v/>
      </c>
      <c r="AM10" s="459">
        <f>'_Engine_NR'!J68/12</f>
        <v/>
      </c>
      <c r="AN10" s="459">
        <f>'_Engine_NR'!J69/12</f>
        <v/>
      </c>
      <c r="AO10" s="459">
        <f>'_Engine_NR'!J70/12</f>
        <v/>
      </c>
      <c r="AP10" s="459">
        <f>'_Engine_NR'!J71/12</f>
        <v/>
      </c>
      <c r="AQ10" s="459">
        <f>'_Engine_NR'!J72/12</f>
        <v/>
      </c>
      <c r="AR10" s="459">
        <f>'_Engine_NR'!J73/12</f>
        <v/>
      </c>
      <c r="AS10" s="459">
        <f>'_Engine_NR'!J74/12</f>
        <v/>
      </c>
      <c r="AT10" s="459">
        <f>'_Engine_NR'!J75/12</f>
        <v/>
      </c>
      <c r="AU10" s="459">
        <f>'_Engine_NR'!J76/12</f>
        <v/>
      </c>
      <c r="AV10" s="459">
        <f>'_Engine_NR'!J77/12</f>
        <v/>
      </c>
      <c r="AW10" s="459">
        <f>'_Engine_NR'!J78/12</f>
        <v/>
      </c>
      <c r="AX10" s="458">
        <f>'_Engine_NR'!J79/12</f>
        <v/>
      </c>
      <c r="AY10" s="458">
        <f>'_Engine_NR'!J80/12</f>
        <v/>
      </c>
      <c r="AZ10" s="458">
        <f>'_Engine_NR'!J81/12</f>
        <v/>
      </c>
      <c r="BA10" s="458">
        <f>'_Engine_NR'!J82/12</f>
        <v/>
      </c>
      <c r="BB10" s="458">
        <f>'_Engine_NR'!J83/12</f>
        <v/>
      </c>
      <c r="BC10" s="458">
        <f>'_Engine_NR'!J84/12</f>
        <v/>
      </c>
      <c r="BD10" s="458">
        <f>'_Engine_NR'!J85/12</f>
        <v/>
      </c>
      <c r="BE10" s="458">
        <f>'_Engine_NR'!J86/12</f>
        <v/>
      </c>
      <c r="BF10" s="458">
        <f>'_Engine_NR'!J87/12</f>
        <v/>
      </c>
      <c r="BG10" s="458">
        <f>'_Engine_NR'!J88/12</f>
        <v/>
      </c>
      <c r="BH10" s="458">
        <f>'_Engine_NR'!J89/12</f>
        <v/>
      </c>
      <c r="BI10" s="458">
        <f>'_Engine_NR'!J90/12</f>
        <v/>
      </c>
      <c r="BJ10" s="459">
        <f>'_Engine_NR'!J91/12</f>
        <v/>
      </c>
      <c r="BK10" s="459">
        <f>'_Engine_NR'!J92/12</f>
        <v/>
      </c>
      <c r="BL10" s="459">
        <f>'_Engine_NR'!J93/12</f>
        <v/>
      </c>
      <c r="BM10" s="459">
        <f>'_Engine_NR'!J94/12</f>
        <v/>
      </c>
      <c r="BN10" s="459">
        <f>'_Engine_NR'!J95/12</f>
        <v/>
      </c>
      <c r="BO10" s="459">
        <f>'_Engine_NR'!J96/12</f>
        <v/>
      </c>
      <c r="BP10" s="459">
        <f>'_Engine_NR'!J97/12</f>
        <v/>
      </c>
      <c r="BQ10" s="459">
        <f>'_Engine_NR'!J98/12</f>
        <v/>
      </c>
      <c r="BR10" s="459">
        <f>'_Engine_NR'!J99/12</f>
        <v/>
      </c>
      <c r="BS10" s="459">
        <f>'_Engine_NR'!J100/12</f>
        <v/>
      </c>
      <c r="BT10" s="459">
        <f>'_Engine_NR'!J101/12</f>
        <v/>
      </c>
      <c r="BU10" s="459">
        <f>'_Engine_NR'!J102/12</f>
        <v/>
      </c>
      <c r="BV10" s="458">
        <f>'_Engine_NR'!J103/12</f>
        <v/>
      </c>
      <c r="BW10" s="458">
        <f>'_Engine_NR'!J104/12</f>
        <v/>
      </c>
      <c r="BX10" s="458">
        <f>'_Engine_NR'!J105/12</f>
        <v/>
      </c>
      <c r="BY10" s="458">
        <f>'_Engine_NR'!J106/12</f>
        <v/>
      </c>
      <c r="BZ10" s="458">
        <f>'_Engine_NR'!J107/12</f>
        <v/>
      </c>
      <c r="CA10" s="458">
        <f>'_Engine_NR'!J108/12</f>
        <v/>
      </c>
      <c r="CB10" s="458">
        <f>'_Engine_NR'!J109/12</f>
        <v/>
      </c>
      <c r="CC10" s="458">
        <f>'_Engine_NR'!J110/12</f>
        <v/>
      </c>
      <c r="CD10" s="458">
        <f>'_Engine_NR'!J111/12</f>
        <v/>
      </c>
      <c r="CE10" s="458">
        <f>'_Engine_NR'!J112/12</f>
        <v/>
      </c>
      <c r="CF10" s="458">
        <f>'_Engine_NR'!J113/12</f>
        <v/>
      </c>
      <c r="CG10" s="458">
        <f>'_Engine_NR'!J114/12</f>
        <v/>
      </c>
      <c r="CH10" s="459">
        <f>'_Engine_NR'!J115/12</f>
        <v/>
      </c>
      <c r="CI10" s="459">
        <f>'_Engine_NR'!J116/12</f>
        <v/>
      </c>
      <c r="CJ10" s="459">
        <f>'_Engine_NR'!J117/12</f>
        <v/>
      </c>
      <c r="CK10" s="459">
        <f>'_Engine_NR'!J118/12</f>
        <v/>
      </c>
      <c r="CL10" s="459">
        <f>'_Engine_NR'!J119/12</f>
        <v/>
      </c>
      <c r="CM10" s="459">
        <f>'_Engine_NR'!J120/12</f>
        <v/>
      </c>
      <c r="CN10" s="459">
        <f>'_Engine_NR'!J121/12</f>
        <v/>
      </c>
      <c r="CO10" s="459">
        <f>'_Engine_NR'!J122/12</f>
        <v/>
      </c>
      <c r="CP10" s="459">
        <f>'_Engine_NR'!J123/12</f>
        <v/>
      </c>
      <c r="CQ10" s="459">
        <f>'_Engine_NR'!J124/12</f>
        <v/>
      </c>
      <c r="CR10" s="459">
        <f>'_Engine_NR'!J125/12</f>
        <v/>
      </c>
      <c r="CS10" s="459">
        <f>'_Engine_NR'!J126/12</f>
        <v/>
      </c>
      <c r="CT10" s="458">
        <f>'_Engine_NR'!J127/12</f>
        <v/>
      </c>
      <c r="CU10" s="458">
        <f>'_Engine_NR'!J128/12</f>
        <v/>
      </c>
      <c r="CV10" s="458">
        <f>'_Engine_NR'!J129/12</f>
        <v/>
      </c>
      <c r="CW10" s="458">
        <f>'_Engine_NR'!J130/12</f>
        <v/>
      </c>
      <c r="CX10" s="458">
        <f>'_Engine_NR'!J131/12</f>
        <v/>
      </c>
      <c r="CY10" s="458">
        <f>'_Engine_NR'!J132/12</f>
        <v/>
      </c>
      <c r="CZ10" s="458">
        <f>'_Engine_NR'!J133/12</f>
        <v/>
      </c>
      <c r="DA10" s="458">
        <f>'_Engine_NR'!J134/12</f>
        <v/>
      </c>
      <c r="DB10" s="458">
        <f>'_Engine_NR'!J135/12</f>
        <v/>
      </c>
      <c r="DC10" s="458">
        <f>'_Engine_NR'!J136/12</f>
        <v/>
      </c>
      <c r="DD10" s="458">
        <f>'_Engine_NR'!J137/12</f>
        <v/>
      </c>
      <c r="DE10" s="458">
        <f>'_Engine_NR'!J138/12</f>
        <v/>
      </c>
      <c r="DF10" s="459">
        <f>'_Engine_NR'!J139/12</f>
        <v/>
      </c>
      <c r="DG10" s="459">
        <f>'_Engine_NR'!J140/12</f>
        <v/>
      </c>
      <c r="DH10" s="459">
        <f>'_Engine_NR'!J141/12</f>
        <v/>
      </c>
      <c r="DI10" s="459">
        <f>'_Engine_NR'!J142/12</f>
        <v/>
      </c>
      <c r="DJ10" s="459">
        <f>'_Engine_NR'!J143/12</f>
        <v/>
      </c>
      <c r="DK10" s="459">
        <f>'_Engine_NR'!J144/12</f>
        <v/>
      </c>
      <c r="DL10" s="459">
        <f>'_Engine_NR'!J145/12</f>
        <v/>
      </c>
      <c r="DM10" s="459">
        <f>'_Engine_NR'!J146/12</f>
        <v/>
      </c>
      <c r="DN10" s="459">
        <f>'_Engine_NR'!J147/12</f>
        <v/>
      </c>
      <c r="DO10" s="459">
        <f>'_Engine_NR'!J148/12</f>
        <v/>
      </c>
      <c r="DP10" s="459">
        <f>'_Engine_NR'!J149/12</f>
        <v/>
      </c>
      <c r="DQ10" s="459">
        <f>'_Engine_NR'!J150/12</f>
        <v/>
      </c>
      <c r="DR10" s="458">
        <f>'_Engine_NR'!J151/12</f>
        <v/>
      </c>
      <c r="DS10" s="458">
        <f>'_Engine_NR'!J152/12</f>
        <v/>
      </c>
      <c r="DT10" s="458">
        <f>'_Engine_NR'!J153/12</f>
        <v/>
      </c>
      <c r="DU10" s="458">
        <f>'_Engine_NR'!J154/12</f>
        <v/>
      </c>
      <c r="DV10" s="458">
        <f>'_Engine_NR'!J155/12</f>
        <v/>
      </c>
      <c r="DW10" s="458">
        <f>'_Engine_NR'!J156/12</f>
        <v/>
      </c>
      <c r="DX10" s="458">
        <f>'_Engine_NR'!J157/12</f>
        <v/>
      </c>
      <c r="DY10" s="458">
        <f>'_Engine_NR'!J158/12</f>
        <v/>
      </c>
      <c r="DZ10" s="458">
        <f>'_Engine_NR'!J159/12</f>
        <v/>
      </c>
      <c r="EA10" s="458">
        <f>'_Engine_NR'!J160/12</f>
        <v/>
      </c>
      <c r="EB10" s="458">
        <f>'_Engine_NR'!J161/12</f>
        <v/>
      </c>
      <c r="EC10" s="458">
        <f>'_Engine_NR'!J162/12</f>
        <v/>
      </c>
      <c r="ED10" s="459">
        <f>'_Engine_NR'!J163/12</f>
        <v/>
      </c>
      <c r="EE10" s="459">
        <f>'_Engine_NR'!J164/12</f>
        <v/>
      </c>
      <c r="EF10" s="459">
        <f>'_Engine_NR'!J165/12</f>
        <v/>
      </c>
      <c r="EG10" s="459">
        <f>'_Engine_NR'!J166/12</f>
        <v/>
      </c>
      <c r="EH10" s="459">
        <f>'_Engine_NR'!J167/12</f>
        <v/>
      </c>
      <c r="EI10" s="459">
        <f>'_Engine_NR'!J168/12</f>
        <v/>
      </c>
      <c r="EJ10" s="459">
        <f>'_Engine_NR'!J169/12</f>
        <v/>
      </c>
      <c r="EK10" s="459">
        <f>'_Engine_NR'!J170/12</f>
        <v/>
      </c>
      <c r="EL10" s="459">
        <f>'_Engine_NR'!J171/12</f>
        <v/>
      </c>
      <c r="EM10" s="459">
        <f>'_Engine_NR'!J172/12</f>
        <v/>
      </c>
      <c r="EN10" s="459">
        <f>'_Engine_NR'!J173/12</f>
        <v/>
      </c>
      <c r="EO10" s="459">
        <f>'_Engine_NR'!J174/12</f>
        <v/>
      </c>
      <c r="EP10" s="458">
        <f>'_Engine_NR'!J175/12</f>
        <v/>
      </c>
      <c r="EQ10" s="458">
        <f>'_Engine_NR'!J176/12</f>
        <v/>
      </c>
      <c r="ER10" s="458">
        <f>'_Engine_NR'!J177/12</f>
        <v/>
      </c>
      <c r="ES10" s="458">
        <f>'_Engine_NR'!J178/12</f>
        <v/>
      </c>
      <c r="ET10" s="458">
        <f>'_Engine_NR'!J179/12</f>
        <v/>
      </c>
      <c r="EU10" s="458">
        <f>'_Engine_NR'!J180/12</f>
        <v/>
      </c>
      <c r="EV10" s="458">
        <f>'_Engine_NR'!J181/12</f>
        <v/>
      </c>
      <c r="EW10" s="458">
        <f>'_Engine_NR'!J182/12</f>
        <v/>
      </c>
      <c r="EX10" s="458">
        <f>'_Engine_NR'!J183/12</f>
        <v/>
      </c>
      <c r="EY10" s="458">
        <f>'_Engine_NR'!J184/12</f>
        <v/>
      </c>
      <c r="EZ10" s="458">
        <f>'_Engine_NR'!J185/12</f>
        <v/>
      </c>
      <c r="FA10" s="458">
        <f>'_Engine_NR'!J186/12</f>
        <v/>
      </c>
      <c r="FB10" s="459">
        <f>'_Engine_NR'!J187/12</f>
        <v/>
      </c>
      <c r="FC10" s="459">
        <f>'_Engine_NR'!J188/12</f>
        <v/>
      </c>
      <c r="FD10" s="459">
        <f>'_Engine_NR'!J189/12</f>
        <v/>
      </c>
      <c r="FE10" s="459">
        <f>'_Engine_NR'!J190/12</f>
        <v/>
      </c>
      <c r="FF10" s="459">
        <f>'_Engine_NR'!J191/12</f>
        <v/>
      </c>
      <c r="FG10" s="459">
        <f>'_Engine_NR'!J192/12</f>
        <v/>
      </c>
      <c r="FH10" s="459">
        <f>'_Engine_NR'!J193/12</f>
        <v/>
      </c>
      <c r="FI10" s="459">
        <f>'_Engine_NR'!J194/12</f>
        <v/>
      </c>
      <c r="FJ10" s="459">
        <f>'_Engine_NR'!J195/12</f>
        <v/>
      </c>
      <c r="FK10" s="459">
        <f>'_Engine_NR'!J196/12</f>
        <v/>
      </c>
      <c r="FL10" s="459">
        <f>'_Engine_NR'!J197/12</f>
        <v/>
      </c>
      <c r="FM10" s="459">
        <f>'_Engine_NR'!J198/12</f>
        <v/>
      </c>
      <c r="FN10" s="458">
        <f>'_Engine_NR'!J199/12</f>
        <v/>
      </c>
      <c r="FO10" s="458">
        <f>'_Engine_NR'!J200/12</f>
        <v/>
      </c>
      <c r="FP10" s="458">
        <f>'_Engine_NR'!J201/12</f>
        <v/>
      </c>
      <c r="FQ10" s="458">
        <f>'_Engine_NR'!J202/12</f>
        <v/>
      </c>
      <c r="FR10" s="458">
        <f>'_Engine_NR'!J203/12</f>
        <v/>
      </c>
      <c r="FS10" s="458">
        <f>'_Engine_NR'!J204/12</f>
        <v/>
      </c>
      <c r="FT10" s="458">
        <f>'_Engine_NR'!J205/12</f>
        <v/>
      </c>
      <c r="FU10" s="458">
        <f>'_Engine_NR'!J206/12</f>
        <v/>
      </c>
      <c r="FV10" s="458">
        <f>'_Engine_NR'!J207/12</f>
        <v/>
      </c>
      <c r="FW10" s="458">
        <f>'_Engine_NR'!J208/12</f>
        <v/>
      </c>
      <c r="FX10" s="458">
        <f>'_Engine_NR'!J209/12</f>
        <v/>
      </c>
      <c r="FY10" s="458">
        <f>'_Engine_NR'!J210/12</f>
        <v/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>
        <f>'_Engine_NR'!L31</f>
        <v/>
      </c>
      <c r="C13" s="465">
        <f>'_Engine_NR'!L32</f>
        <v/>
      </c>
      <c r="D13" s="465">
        <f>'_Engine_NR'!L33</f>
        <v/>
      </c>
      <c r="E13" s="465">
        <f>'_Engine_NR'!L34</f>
        <v/>
      </c>
      <c r="F13" s="465">
        <f>'_Engine_NR'!L35</f>
        <v/>
      </c>
      <c r="G13" s="465">
        <f>'_Engine_NR'!L36</f>
        <v/>
      </c>
      <c r="H13" s="465">
        <f>'_Engine_NR'!L37</f>
        <v/>
      </c>
      <c r="I13" s="465">
        <f>'_Engine_NR'!L38</f>
        <v/>
      </c>
      <c r="J13" s="465">
        <f>'_Engine_NR'!L39</f>
        <v/>
      </c>
      <c r="K13" s="465">
        <f>'_Engine_NR'!L40</f>
        <v/>
      </c>
      <c r="L13" s="465">
        <f>'_Engine_NR'!L41</f>
        <v/>
      </c>
      <c r="M13" s="465">
        <f>'_Engine_NR'!L42</f>
        <v/>
      </c>
      <c r="N13" s="466">
        <f>'_Engine_NR'!L43</f>
        <v/>
      </c>
      <c r="O13" s="466">
        <f>'_Engine_NR'!L44</f>
        <v/>
      </c>
      <c r="P13" s="466">
        <f>'_Engine_NR'!L45</f>
        <v/>
      </c>
      <c r="Q13" s="466">
        <f>'_Engine_NR'!L46</f>
        <v/>
      </c>
      <c r="R13" s="466">
        <f>'_Engine_NR'!L47</f>
        <v/>
      </c>
      <c r="S13" s="466">
        <f>'_Engine_NR'!L48</f>
        <v/>
      </c>
      <c r="T13" s="466">
        <f>'_Engine_NR'!L49</f>
        <v/>
      </c>
      <c r="U13" s="466">
        <f>'_Engine_NR'!L50</f>
        <v/>
      </c>
      <c r="V13" s="466">
        <f>'_Engine_NR'!L51</f>
        <v/>
      </c>
      <c r="W13" s="466">
        <f>'_Engine_NR'!L52</f>
        <v/>
      </c>
      <c r="X13" s="466">
        <f>'_Engine_NR'!L53</f>
        <v/>
      </c>
      <c r="Y13" s="466">
        <f>'_Engine_NR'!L54</f>
        <v/>
      </c>
      <c r="Z13" s="465">
        <f>'_Engine_NR'!L55</f>
        <v/>
      </c>
      <c r="AA13" s="465">
        <f>'_Engine_NR'!L56</f>
        <v/>
      </c>
      <c r="AB13" s="465">
        <f>'_Engine_NR'!L57</f>
        <v/>
      </c>
      <c r="AC13" s="465">
        <f>'_Engine_NR'!L58</f>
        <v/>
      </c>
      <c r="AD13" s="465">
        <f>'_Engine_NR'!L59</f>
        <v/>
      </c>
      <c r="AE13" s="465">
        <f>'_Engine_NR'!L60</f>
        <v/>
      </c>
      <c r="AF13" s="465">
        <f>'_Engine_NR'!L61</f>
        <v/>
      </c>
      <c r="AG13" s="465">
        <f>'_Engine_NR'!L62</f>
        <v/>
      </c>
      <c r="AH13" s="465">
        <f>'_Engine_NR'!L63</f>
        <v/>
      </c>
      <c r="AI13" s="465">
        <f>'_Engine_NR'!L64</f>
        <v/>
      </c>
      <c r="AJ13" s="465">
        <f>'_Engine_NR'!L65</f>
        <v/>
      </c>
      <c r="AK13" s="465">
        <f>'_Engine_NR'!L66</f>
        <v/>
      </c>
      <c r="AL13" s="466">
        <f>'_Engine_NR'!L67</f>
        <v/>
      </c>
      <c r="AM13" s="466">
        <f>'_Engine_NR'!L68</f>
        <v/>
      </c>
      <c r="AN13" s="466">
        <f>'_Engine_NR'!L69</f>
        <v/>
      </c>
      <c r="AO13" s="466">
        <f>'_Engine_NR'!L70</f>
        <v/>
      </c>
      <c r="AP13" s="466">
        <f>'_Engine_NR'!L71</f>
        <v/>
      </c>
      <c r="AQ13" s="466">
        <f>'_Engine_NR'!L72</f>
        <v/>
      </c>
      <c r="AR13" s="466">
        <f>'_Engine_NR'!L73</f>
        <v/>
      </c>
      <c r="AS13" s="466">
        <f>'_Engine_NR'!L74</f>
        <v/>
      </c>
      <c r="AT13" s="466">
        <f>'_Engine_NR'!L75</f>
        <v/>
      </c>
      <c r="AU13" s="466">
        <f>'_Engine_NR'!L76</f>
        <v/>
      </c>
      <c r="AV13" s="466">
        <f>'_Engine_NR'!L77</f>
        <v/>
      </c>
      <c r="AW13" s="466">
        <f>'_Engine_NR'!L78</f>
        <v/>
      </c>
      <c r="AX13" s="465">
        <f>'_Engine_NR'!L79</f>
        <v/>
      </c>
      <c r="AY13" s="465">
        <f>'_Engine_NR'!L80</f>
        <v/>
      </c>
      <c r="AZ13" s="465">
        <f>'_Engine_NR'!L81</f>
        <v/>
      </c>
      <c r="BA13" s="465">
        <f>'_Engine_NR'!L82</f>
        <v/>
      </c>
      <c r="BB13" s="465">
        <f>'_Engine_NR'!L83</f>
        <v/>
      </c>
      <c r="BC13" s="465">
        <f>'_Engine_NR'!L84</f>
        <v/>
      </c>
      <c r="BD13" s="465">
        <f>'_Engine_NR'!L85</f>
        <v/>
      </c>
      <c r="BE13" s="465">
        <f>'_Engine_NR'!L86</f>
        <v/>
      </c>
      <c r="BF13" s="465">
        <f>'_Engine_NR'!L87</f>
        <v/>
      </c>
      <c r="BG13" s="465">
        <f>'_Engine_NR'!L88</f>
        <v/>
      </c>
      <c r="BH13" s="465">
        <f>'_Engine_NR'!L89</f>
        <v/>
      </c>
      <c r="BI13" s="465">
        <f>'_Engine_NR'!L90</f>
        <v/>
      </c>
      <c r="BJ13" s="466">
        <f>'_Engine_NR'!L91</f>
        <v/>
      </c>
      <c r="BK13" s="466">
        <f>'_Engine_NR'!L92</f>
        <v/>
      </c>
      <c r="BL13" s="466">
        <f>'_Engine_NR'!L93</f>
        <v/>
      </c>
      <c r="BM13" s="466">
        <f>'_Engine_NR'!L94</f>
        <v/>
      </c>
      <c r="BN13" s="466">
        <f>'_Engine_NR'!L95</f>
        <v/>
      </c>
      <c r="BO13" s="466">
        <f>'_Engine_NR'!L96</f>
        <v/>
      </c>
      <c r="BP13" s="466">
        <f>'_Engine_NR'!L97</f>
        <v/>
      </c>
      <c r="BQ13" s="466">
        <f>'_Engine_NR'!L98</f>
        <v/>
      </c>
      <c r="BR13" s="466">
        <f>'_Engine_NR'!L99</f>
        <v/>
      </c>
      <c r="BS13" s="466">
        <f>'_Engine_NR'!L100</f>
        <v/>
      </c>
      <c r="BT13" s="466">
        <f>'_Engine_NR'!L101</f>
        <v/>
      </c>
      <c r="BU13" s="466">
        <f>'_Engine_NR'!L102</f>
        <v/>
      </c>
      <c r="BV13" s="465">
        <f>'_Engine_NR'!L103</f>
        <v/>
      </c>
      <c r="BW13" s="465">
        <f>'_Engine_NR'!L104</f>
        <v/>
      </c>
      <c r="BX13" s="465">
        <f>'_Engine_NR'!L105</f>
        <v/>
      </c>
      <c r="BY13" s="465">
        <f>'_Engine_NR'!L106</f>
        <v/>
      </c>
      <c r="BZ13" s="465">
        <f>'_Engine_NR'!L107</f>
        <v/>
      </c>
      <c r="CA13" s="465">
        <f>'_Engine_NR'!L108</f>
        <v/>
      </c>
      <c r="CB13" s="465">
        <f>'_Engine_NR'!L109</f>
        <v/>
      </c>
      <c r="CC13" s="465">
        <f>'_Engine_NR'!L110</f>
        <v/>
      </c>
      <c r="CD13" s="465">
        <f>'_Engine_NR'!L111</f>
        <v/>
      </c>
      <c r="CE13" s="465">
        <f>'_Engine_NR'!L112</f>
        <v/>
      </c>
      <c r="CF13" s="465">
        <f>'_Engine_NR'!L113</f>
        <v/>
      </c>
      <c r="CG13" s="465">
        <f>'_Engine_NR'!L114</f>
        <v/>
      </c>
      <c r="CH13" s="466">
        <f>'_Engine_NR'!L115</f>
        <v/>
      </c>
      <c r="CI13" s="466">
        <f>'_Engine_NR'!L116</f>
        <v/>
      </c>
      <c r="CJ13" s="466">
        <f>'_Engine_NR'!L117</f>
        <v/>
      </c>
      <c r="CK13" s="466">
        <f>'_Engine_NR'!L118</f>
        <v/>
      </c>
      <c r="CL13" s="466">
        <f>'_Engine_NR'!L119</f>
        <v/>
      </c>
      <c r="CM13" s="466">
        <f>'_Engine_NR'!L120</f>
        <v/>
      </c>
      <c r="CN13" s="466">
        <f>'_Engine_NR'!L121</f>
        <v/>
      </c>
      <c r="CO13" s="466">
        <f>'_Engine_NR'!L122</f>
        <v/>
      </c>
      <c r="CP13" s="466">
        <f>'_Engine_NR'!L123</f>
        <v/>
      </c>
      <c r="CQ13" s="466">
        <f>'_Engine_NR'!L124</f>
        <v/>
      </c>
      <c r="CR13" s="466">
        <f>'_Engine_NR'!L125</f>
        <v/>
      </c>
      <c r="CS13" s="466">
        <f>'_Engine_NR'!L126</f>
        <v/>
      </c>
      <c r="CT13" s="465">
        <f>'_Engine_NR'!L127</f>
        <v/>
      </c>
      <c r="CU13" s="465">
        <f>'_Engine_NR'!L128</f>
        <v/>
      </c>
      <c r="CV13" s="465">
        <f>'_Engine_NR'!L129</f>
        <v/>
      </c>
      <c r="CW13" s="465">
        <f>'_Engine_NR'!L130</f>
        <v/>
      </c>
      <c r="CX13" s="465">
        <f>'_Engine_NR'!L131</f>
        <v/>
      </c>
      <c r="CY13" s="465">
        <f>'_Engine_NR'!L132</f>
        <v/>
      </c>
      <c r="CZ13" s="465">
        <f>'_Engine_NR'!L133</f>
        <v/>
      </c>
      <c r="DA13" s="465">
        <f>'_Engine_NR'!L134</f>
        <v/>
      </c>
      <c r="DB13" s="465">
        <f>'_Engine_NR'!L135</f>
        <v/>
      </c>
      <c r="DC13" s="465">
        <f>'_Engine_NR'!L136</f>
        <v/>
      </c>
      <c r="DD13" s="465">
        <f>'_Engine_NR'!L137</f>
        <v/>
      </c>
      <c r="DE13" s="465">
        <f>'_Engine_NR'!L138</f>
        <v/>
      </c>
      <c r="DF13" s="466">
        <f>'_Engine_NR'!L139</f>
        <v/>
      </c>
      <c r="DG13" s="466">
        <f>'_Engine_NR'!L140</f>
        <v/>
      </c>
      <c r="DH13" s="466">
        <f>'_Engine_NR'!L141</f>
        <v/>
      </c>
      <c r="DI13" s="466">
        <f>'_Engine_NR'!L142</f>
        <v/>
      </c>
      <c r="DJ13" s="466">
        <f>'_Engine_NR'!L143</f>
        <v/>
      </c>
      <c r="DK13" s="466">
        <f>'_Engine_NR'!L144</f>
        <v/>
      </c>
      <c r="DL13" s="466">
        <f>'_Engine_NR'!L145</f>
        <v/>
      </c>
      <c r="DM13" s="466">
        <f>'_Engine_NR'!L146</f>
        <v/>
      </c>
      <c r="DN13" s="466">
        <f>'_Engine_NR'!L147</f>
        <v/>
      </c>
      <c r="DO13" s="466">
        <f>'_Engine_NR'!L148</f>
        <v/>
      </c>
      <c r="DP13" s="466">
        <f>'_Engine_NR'!L149</f>
        <v/>
      </c>
      <c r="DQ13" s="466">
        <f>'_Engine_NR'!L150</f>
        <v/>
      </c>
      <c r="DR13" s="465">
        <f>'_Engine_NR'!L151</f>
        <v/>
      </c>
      <c r="DS13" s="465">
        <f>'_Engine_NR'!L152</f>
        <v/>
      </c>
      <c r="DT13" s="465">
        <f>'_Engine_NR'!L153</f>
        <v/>
      </c>
      <c r="DU13" s="465">
        <f>'_Engine_NR'!L154</f>
        <v/>
      </c>
      <c r="DV13" s="465">
        <f>'_Engine_NR'!L155</f>
        <v/>
      </c>
      <c r="DW13" s="465">
        <f>'_Engine_NR'!L156</f>
        <v/>
      </c>
      <c r="DX13" s="465">
        <f>'_Engine_NR'!L157</f>
        <v/>
      </c>
      <c r="DY13" s="465">
        <f>'_Engine_NR'!L158</f>
        <v/>
      </c>
      <c r="DZ13" s="465">
        <f>'_Engine_NR'!L159</f>
        <v/>
      </c>
      <c r="EA13" s="465">
        <f>'_Engine_NR'!L160</f>
        <v/>
      </c>
      <c r="EB13" s="465">
        <f>'_Engine_NR'!L161</f>
        <v/>
      </c>
      <c r="EC13" s="465">
        <f>'_Engine_NR'!L162</f>
        <v/>
      </c>
      <c r="ED13" s="466">
        <f>'_Engine_NR'!L163</f>
        <v/>
      </c>
      <c r="EE13" s="466">
        <f>'_Engine_NR'!L164</f>
        <v/>
      </c>
      <c r="EF13" s="466">
        <f>'_Engine_NR'!L165</f>
        <v/>
      </c>
      <c r="EG13" s="466">
        <f>'_Engine_NR'!L166</f>
        <v/>
      </c>
      <c r="EH13" s="466">
        <f>'_Engine_NR'!L167</f>
        <v/>
      </c>
      <c r="EI13" s="466">
        <f>'_Engine_NR'!L168</f>
        <v/>
      </c>
      <c r="EJ13" s="466">
        <f>'_Engine_NR'!L169</f>
        <v/>
      </c>
      <c r="EK13" s="466">
        <f>'_Engine_NR'!L170</f>
        <v/>
      </c>
      <c r="EL13" s="466">
        <f>'_Engine_NR'!L171</f>
        <v/>
      </c>
      <c r="EM13" s="466">
        <f>'_Engine_NR'!L172</f>
        <v/>
      </c>
      <c r="EN13" s="466">
        <f>'_Engine_NR'!L173</f>
        <v/>
      </c>
      <c r="EO13" s="466">
        <f>'_Engine_NR'!L174</f>
        <v/>
      </c>
      <c r="EP13" s="465">
        <f>'_Engine_NR'!L175</f>
        <v/>
      </c>
      <c r="EQ13" s="465">
        <f>'_Engine_NR'!L176</f>
        <v/>
      </c>
      <c r="ER13" s="465">
        <f>'_Engine_NR'!L177</f>
        <v/>
      </c>
      <c r="ES13" s="465">
        <f>'_Engine_NR'!L178</f>
        <v/>
      </c>
      <c r="ET13" s="465">
        <f>'_Engine_NR'!L179</f>
        <v/>
      </c>
      <c r="EU13" s="465">
        <f>'_Engine_NR'!L180</f>
        <v/>
      </c>
      <c r="EV13" s="465">
        <f>'_Engine_NR'!L181</f>
        <v/>
      </c>
      <c r="EW13" s="465">
        <f>'_Engine_NR'!L182</f>
        <v/>
      </c>
      <c r="EX13" s="465">
        <f>'_Engine_NR'!L183</f>
        <v/>
      </c>
      <c r="EY13" s="465">
        <f>'_Engine_NR'!L184</f>
        <v/>
      </c>
      <c r="EZ13" s="465">
        <f>'_Engine_NR'!L185</f>
        <v/>
      </c>
      <c r="FA13" s="465">
        <f>'_Engine_NR'!L186</f>
        <v/>
      </c>
      <c r="FB13" s="466">
        <f>'_Engine_NR'!L187</f>
        <v/>
      </c>
      <c r="FC13" s="466">
        <f>'_Engine_NR'!L188</f>
        <v/>
      </c>
      <c r="FD13" s="466">
        <f>'_Engine_NR'!L189</f>
        <v/>
      </c>
      <c r="FE13" s="466">
        <f>'_Engine_NR'!L190</f>
        <v/>
      </c>
      <c r="FF13" s="466">
        <f>'_Engine_NR'!L191</f>
        <v/>
      </c>
      <c r="FG13" s="466">
        <f>'_Engine_NR'!L192</f>
        <v/>
      </c>
      <c r="FH13" s="466">
        <f>'_Engine_NR'!L193</f>
        <v/>
      </c>
      <c r="FI13" s="466">
        <f>'_Engine_NR'!L194</f>
        <v/>
      </c>
      <c r="FJ13" s="466">
        <f>'_Engine_NR'!L195</f>
        <v/>
      </c>
      <c r="FK13" s="466">
        <f>'_Engine_NR'!L196</f>
        <v/>
      </c>
      <c r="FL13" s="466">
        <f>'_Engine_NR'!L197</f>
        <v/>
      </c>
      <c r="FM13" s="466">
        <f>'_Engine_NR'!L198</f>
        <v/>
      </c>
      <c r="FN13" s="465">
        <f>'_Engine_NR'!L199</f>
        <v/>
      </c>
      <c r="FO13" s="465">
        <f>'_Engine_NR'!L200</f>
        <v/>
      </c>
      <c r="FP13" s="465">
        <f>'_Engine_NR'!L201</f>
        <v/>
      </c>
      <c r="FQ13" s="465">
        <f>'_Engine_NR'!L202</f>
        <v/>
      </c>
      <c r="FR13" s="465">
        <f>'_Engine_NR'!L203</f>
        <v/>
      </c>
      <c r="FS13" s="465">
        <f>'_Engine_NR'!L204</f>
        <v/>
      </c>
      <c r="FT13" s="465">
        <f>'_Engine_NR'!L205</f>
        <v/>
      </c>
      <c r="FU13" s="465">
        <f>'_Engine_NR'!L206</f>
        <v/>
      </c>
      <c r="FV13" s="465">
        <f>'_Engine_NR'!L207</f>
        <v/>
      </c>
      <c r="FW13" s="465">
        <f>'_Engine_NR'!L208</f>
        <v/>
      </c>
      <c r="FX13" s="465">
        <f>'_Engine_NR'!L209</f>
        <v/>
      </c>
      <c r="FY13" s="465">
        <f>'_Engine_NR'!L210</f>
        <v/>
      </c>
      <c r="FZ13" s="306" t="n"/>
    </row>
    <row r="14" ht="15" customHeight="1" s="307">
      <c r="A14" s="321" t="inlineStr">
        <is>
          <t xml:space="preserve">    Cost of Goods Sold</t>
        </is>
      </c>
      <c r="B14" s="458">
        <f>'_Engine_NR'!M31</f>
        <v/>
      </c>
      <c r="C14" s="458">
        <f>'_Engine_NR'!M32</f>
        <v/>
      </c>
      <c r="D14" s="458">
        <f>'_Engine_NR'!M33</f>
        <v/>
      </c>
      <c r="E14" s="458">
        <f>'_Engine_NR'!M34</f>
        <v/>
      </c>
      <c r="F14" s="458">
        <f>'_Engine_NR'!M35</f>
        <v/>
      </c>
      <c r="G14" s="458">
        <f>'_Engine_NR'!M36</f>
        <v/>
      </c>
      <c r="H14" s="458">
        <f>'_Engine_NR'!M37</f>
        <v/>
      </c>
      <c r="I14" s="458">
        <f>'_Engine_NR'!M38</f>
        <v/>
      </c>
      <c r="J14" s="458">
        <f>'_Engine_NR'!M39</f>
        <v/>
      </c>
      <c r="K14" s="458">
        <f>'_Engine_NR'!M40</f>
        <v/>
      </c>
      <c r="L14" s="458">
        <f>'_Engine_NR'!M41</f>
        <v/>
      </c>
      <c r="M14" s="458">
        <f>'_Engine_NR'!M42</f>
        <v/>
      </c>
      <c r="N14" s="459">
        <f>'_Engine_NR'!M43</f>
        <v/>
      </c>
      <c r="O14" s="459">
        <f>'_Engine_NR'!M44</f>
        <v/>
      </c>
      <c r="P14" s="459">
        <f>'_Engine_NR'!M45</f>
        <v/>
      </c>
      <c r="Q14" s="459">
        <f>'_Engine_NR'!M46</f>
        <v/>
      </c>
      <c r="R14" s="459">
        <f>'_Engine_NR'!M47</f>
        <v/>
      </c>
      <c r="S14" s="459">
        <f>'_Engine_NR'!M48</f>
        <v/>
      </c>
      <c r="T14" s="459">
        <f>'_Engine_NR'!M49</f>
        <v/>
      </c>
      <c r="U14" s="459">
        <f>'_Engine_NR'!M50</f>
        <v/>
      </c>
      <c r="V14" s="459">
        <f>'_Engine_NR'!M51</f>
        <v/>
      </c>
      <c r="W14" s="459">
        <f>'_Engine_NR'!M52</f>
        <v/>
      </c>
      <c r="X14" s="459">
        <f>'_Engine_NR'!M53</f>
        <v/>
      </c>
      <c r="Y14" s="459">
        <f>'_Engine_NR'!M54</f>
        <v/>
      </c>
      <c r="Z14" s="458">
        <f>'_Engine_NR'!M55</f>
        <v/>
      </c>
      <c r="AA14" s="458">
        <f>'_Engine_NR'!M56</f>
        <v/>
      </c>
      <c r="AB14" s="458">
        <f>'_Engine_NR'!M57</f>
        <v/>
      </c>
      <c r="AC14" s="458">
        <f>'_Engine_NR'!M58</f>
        <v/>
      </c>
      <c r="AD14" s="458">
        <f>'_Engine_NR'!M59</f>
        <v/>
      </c>
      <c r="AE14" s="458">
        <f>'_Engine_NR'!M60</f>
        <v/>
      </c>
      <c r="AF14" s="458">
        <f>'_Engine_NR'!M61</f>
        <v/>
      </c>
      <c r="AG14" s="458">
        <f>'_Engine_NR'!M62</f>
        <v/>
      </c>
      <c r="AH14" s="458">
        <f>'_Engine_NR'!M63</f>
        <v/>
      </c>
      <c r="AI14" s="458">
        <f>'_Engine_NR'!M64</f>
        <v/>
      </c>
      <c r="AJ14" s="458">
        <f>'_Engine_NR'!M65</f>
        <v/>
      </c>
      <c r="AK14" s="458">
        <f>'_Engine_NR'!M66</f>
        <v/>
      </c>
      <c r="AL14" s="459">
        <f>'_Engine_NR'!M67</f>
        <v/>
      </c>
      <c r="AM14" s="459">
        <f>'_Engine_NR'!M68</f>
        <v/>
      </c>
      <c r="AN14" s="459">
        <f>'_Engine_NR'!M69</f>
        <v/>
      </c>
      <c r="AO14" s="459">
        <f>'_Engine_NR'!M70</f>
        <v/>
      </c>
      <c r="AP14" s="459">
        <f>'_Engine_NR'!M71</f>
        <v/>
      </c>
      <c r="AQ14" s="459">
        <f>'_Engine_NR'!M72</f>
        <v/>
      </c>
      <c r="AR14" s="459">
        <f>'_Engine_NR'!M73</f>
        <v/>
      </c>
      <c r="AS14" s="459">
        <f>'_Engine_NR'!M74</f>
        <v/>
      </c>
      <c r="AT14" s="459">
        <f>'_Engine_NR'!M75</f>
        <v/>
      </c>
      <c r="AU14" s="459">
        <f>'_Engine_NR'!M76</f>
        <v/>
      </c>
      <c r="AV14" s="459">
        <f>'_Engine_NR'!M77</f>
        <v/>
      </c>
      <c r="AW14" s="459">
        <f>'_Engine_NR'!M78</f>
        <v/>
      </c>
      <c r="AX14" s="458">
        <f>'_Engine_NR'!M79</f>
        <v/>
      </c>
      <c r="AY14" s="458">
        <f>'_Engine_NR'!M80</f>
        <v/>
      </c>
      <c r="AZ14" s="458">
        <f>'_Engine_NR'!M81</f>
        <v/>
      </c>
      <c r="BA14" s="458">
        <f>'_Engine_NR'!M82</f>
        <v/>
      </c>
      <c r="BB14" s="458">
        <f>'_Engine_NR'!M83</f>
        <v/>
      </c>
      <c r="BC14" s="458">
        <f>'_Engine_NR'!M84</f>
        <v/>
      </c>
      <c r="BD14" s="458">
        <f>'_Engine_NR'!M85</f>
        <v/>
      </c>
      <c r="BE14" s="458">
        <f>'_Engine_NR'!M86</f>
        <v/>
      </c>
      <c r="BF14" s="458">
        <f>'_Engine_NR'!M87</f>
        <v/>
      </c>
      <c r="BG14" s="458">
        <f>'_Engine_NR'!M88</f>
        <v/>
      </c>
      <c r="BH14" s="458">
        <f>'_Engine_NR'!M89</f>
        <v/>
      </c>
      <c r="BI14" s="458">
        <f>'_Engine_NR'!M90</f>
        <v/>
      </c>
      <c r="BJ14" s="459">
        <f>'_Engine_NR'!M91</f>
        <v/>
      </c>
      <c r="BK14" s="459">
        <f>'_Engine_NR'!M92</f>
        <v/>
      </c>
      <c r="BL14" s="459">
        <f>'_Engine_NR'!M93</f>
        <v/>
      </c>
      <c r="BM14" s="459">
        <f>'_Engine_NR'!M94</f>
        <v/>
      </c>
      <c r="BN14" s="459">
        <f>'_Engine_NR'!M95</f>
        <v/>
      </c>
      <c r="BO14" s="459">
        <f>'_Engine_NR'!M96</f>
        <v/>
      </c>
      <c r="BP14" s="459">
        <f>'_Engine_NR'!M97</f>
        <v/>
      </c>
      <c r="BQ14" s="459">
        <f>'_Engine_NR'!M98</f>
        <v/>
      </c>
      <c r="BR14" s="459">
        <f>'_Engine_NR'!M99</f>
        <v/>
      </c>
      <c r="BS14" s="459">
        <f>'_Engine_NR'!M100</f>
        <v/>
      </c>
      <c r="BT14" s="459">
        <f>'_Engine_NR'!M101</f>
        <v/>
      </c>
      <c r="BU14" s="459">
        <f>'_Engine_NR'!M102</f>
        <v/>
      </c>
      <c r="BV14" s="458">
        <f>'_Engine_NR'!M103</f>
        <v/>
      </c>
      <c r="BW14" s="458">
        <f>'_Engine_NR'!M104</f>
        <v/>
      </c>
      <c r="BX14" s="458">
        <f>'_Engine_NR'!M105</f>
        <v/>
      </c>
      <c r="BY14" s="458">
        <f>'_Engine_NR'!M106</f>
        <v/>
      </c>
      <c r="BZ14" s="458">
        <f>'_Engine_NR'!M107</f>
        <v/>
      </c>
      <c r="CA14" s="458">
        <f>'_Engine_NR'!M108</f>
        <v/>
      </c>
      <c r="CB14" s="458">
        <f>'_Engine_NR'!M109</f>
        <v/>
      </c>
      <c r="CC14" s="458">
        <f>'_Engine_NR'!M110</f>
        <v/>
      </c>
      <c r="CD14" s="458">
        <f>'_Engine_NR'!M111</f>
        <v/>
      </c>
      <c r="CE14" s="458">
        <f>'_Engine_NR'!M112</f>
        <v/>
      </c>
      <c r="CF14" s="458">
        <f>'_Engine_NR'!M113</f>
        <v/>
      </c>
      <c r="CG14" s="458">
        <f>'_Engine_NR'!M114</f>
        <v/>
      </c>
      <c r="CH14" s="459">
        <f>'_Engine_NR'!M115</f>
        <v/>
      </c>
      <c r="CI14" s="459">
        <f>'_Engine_NR'!M116</f>
        <v/>
      </c>
      <c r="CJ14" s="459">
        <f>'_Engine_NR'!M117</f>
        <v/>
      </c>
      <c r="CK14" s="459">
        <f>'_Engine_NR'!M118</f>
        <v/>
      </c>
      <c r="CL14" s="459">
        <f>'_Engine_NR'!M119</f>
        <v/>
      </c>
      <c r="CM14" s="459">
        <f>'_Engine_NR'!M120</f>
        <v/>
      </c>
      <c r="CN14" s="459">
        <f>'_Engine_NR'!M121</f>
        <v/>
      </c>
      <c r="CO14" s="459">
        <f>'_Engine_NR'!M122</f>
        <v/>
      </c>
      <c r="CP14" s="459">
        <f>'_Engine_NR'!M123</f>
        <v/>
      </c>
      <c r="CQ14" s="459">
        <f>'_Engine_NR'!M124</f>
        <v/>
      </c>
      <c r="CR14" s="459">
        <f>'_Engine_NR'!M125</f>
        <v/>
      </c>
      <c r="CS14" s="459">
        <f>'_Engine_NR'!M126</f>
        <v/>
      </c>
      <c r="CT14" s="458">
        <f>'_Engine_NR'!M127</f>
        <v/>
      </c>
      <c r="CU14" s="458">
        <f>'_Engine_NR'!M128</f>
        <v/>
      </c>
      <c r="CV14" s="458">
        <f>'_Engine_NR'!M129</f>
        <v/>
      </c>
      <c r="CW14" s="458">
        <f>'_Engine_NR'!M130</f>
        <v/>
      </c>
      <c r="CX14" s="458">
        <f>'_Engine_NR'!M131</f>
        <v/>
      </c>
      <c r="CY14" s="458">
        <f>'_Engine_NR'!M132</f>
        <v/>
      </c>
      <c r="CZ14" s="458">
        <f>'_Engine_NR'!M133</f>
        <v/>
      </c>
      <c r="DA14" s="458">
        <f>'_Engine_NR'!M134</f>
        <v/>
      </c>
      <c r="DB14" s="458">
        <f>'_Engine_NR'!M135</f>
        <v/>
      </c>
      <c r="DC14" s="458">
        <f>'_Engine_NR'!M136</f>
        <v/>
      </c>
      <c r="DD14" s="458">
        <f>'_Engine_NR'!M137</f>
        <v/>
      </c>
      <c r="DE14" s="458">
        <f>'_Engine_NR'!M138</f>
        <v/>
      </c>
      <c r="DF14" s="459">
        <f>'_Engine_NR'!M139</f>
        <v/>
      </c>
      <c r="DG14" s="459">
        <f>'_Engine_NR'!M140</f>
        <v/>
      </c>
      <c r="DH14" s="459">
        <f>'_Engine_NR'!M141</f>
        <v/>
      </c>
      <c r="DI14" s="459">
        <f>'_Engine_NR'!M142</f>
        <v/>
      </c>
      <c r="DJ14" s="459">
        <f>'_Engine_NR'!M143</f>
        <v/>
      </c>
      <c r="DK14" s="459">
        <f>'_Engine_NR'!M144</f>
        <v/>
      </c>
      <c r="DL14" s="459">
        <f>'_Engine_NR'!M145</f>
        <v/>
      </c>
      <c r="DM14" s="459">
        <f>'_Engine_NR'!M146</f>
        <v/>
      </c>
      <c r="DN14" s="459">
        <f>'_Engine_NR'!M147</f>
        <v/>
      </c>
      <c r="DO14" s="459">
        <f>'_Engine_NR'!M148</f>
        <v/>
      </c>
      <c r="DP14" s="459">
        <f>'_Engine_NR'!M149</f>
        <v/>
      </c>
      <c r="DQ14" s="459">
        <f>'_Engine_NR'!M150</f>
        <v/>
      </c>
      <c r="DR14" s="458">
        <f>'_Engine_NR'!M151</f>
        <v/>
      </c>
      <c r="DS14" s="458">
        <f>'_Engine_NR'!M152</f>
        <v/>
      </c>
      <c r="DT14" s="458">
        <f>'_Engine_NR'!M153</f>
        <v/>
      </c>
      <c r="DU14" s="458">
        <f>'_Engine_NR'!M154</f>
        <v/>
      </c>
      <c r="DV14" s="458">
        <f>'_Engine_NR'!M155</f>
        <v/>
      </c>
      <c r="DW14" s="458">
        <f>'_Engine_NR'!M156</f>
        <v/>
      </c>
      <c r="DX14" s="458">
        <f>'_Engine_NR'!M157</f>
        <v/>
      </c>
      <c r="DY14" s="458">
        <f>'_Engine_NR'!M158</f>
        <v/>
      </c>
      <c r="DZ14" s="458">
        <f>'_Engine_NR'!M159</f>
        <v/>
      </c>
      <c r="EA14" s="458">
        <f>'_Engine_NR'!M160</f>
        <v/>
      </c>
      <c r="EB14" s="458">
        <f>'_Engine_NR'!M161</f>
        <v/>
      </c>
      <c r="EC14" s="458">
        <f>'_Engine_NR'!M162</f>
        <v/>
      </c>
      <c r="ED14" s="459">
        <f>'_Engine_NR'!M163</f>
        <v/>
      </c>
      <c r="EE14" s="459">
        <f>'_Engine_NR'!M164</f>
        <v/>
      </c>
      <c r="EF14" s="459">
        <f>'_Engine_NR'!M165</f>
        <v/>
      </c>
      <c r="EG14" s="459">
        <f>'_Engine_NR'!M166</f>
        <v/>
      </c>
      <c r="EH14" s="459">
        <f>'_Engine_NR'!M167</f>
        <v/>
      </c>
      <c r="EI14" s="459">
        <f>'_Engine_NR'!M168</f>
        <v/>
      </c>
      <c r="EJ14" s="459">
        <f>'_Engine_NR'!M169</f>
        <v/>
      </c>
      <c r="EK14" s="459">
        <f>'_Engine_NR'!M170</f>
        <v/>
      </c>
      <c r="EL14" s="459">
        <f>'_Engine_NR'!M171</f>
        <v/>
      </c>
      <c r="EM14" s="459">
        <f>'_Engine_NR'!M172</f>
        <v/>
      </c>
      <c r="EN14" s="459">
        <f>'_Engine_NR'!M173</f>
        <v/>
      </c>
      <c r="EO14" s="459">
        <f>'_Engine_NR'!M174</f>
        <v/>
      </c>
      <c r="EP14" s="458">
        <f>'_Engine_NR'!M175</f>
        <v/>
      </c>
      <c r="EQ14" s="458">
        <f>'_Engine_NR'!M176</f>
        <v/>
      </c>
      <c r="ER14" s="458">
        <f>'_Engine_NR'!M177</f>
        <v/>
      </c>
      <c r="ES14" s="458">
        <f>'_Engine_NR'!M178</f>
        <v/>
      </c>
      <c r="ET14" s="458">
        <f>'_Engine_NR'!M179</f>
        <v/>
      </c>
      <c r="EU14" s="458">
        <f>'_Engine_NR'!M180</f>
        <v/>
      </c>
      <c r="EV14" s="458">
        <f>'_Engine_NR'!M181</f>
        <v/>
      </c>
      <c r="EW14" s="458">
        <f>'_Engine_NR'!M182</f>
        <v/>
      </c>
      <c r="EX14" s="458">
        <f>'_Engine_NR'!M183</f>
        <v/>
      </c>
      <c r="EY14" s="458">
        <f>'_Engine_NR'!M184</f>
        <v/>
      </c>
      <c r="EZ14" s="458">
        <f>'_Engine_NR'!M185</f>
        <v/>
      </c>
      <c r="FA14" s="458">
        <f>'_Engine_NR'!M186</f>
        <v/>
      </c>
      <c r="FB14" s="459">
        <f>'_Engine_NR'!M187</f>
        <v/>
      </c>
      <c r="FC14" s="459">
        <f>'_Engine_NR'!M188</f>
        <v/>
      </c>
      <c r="FD14" s="459">
        <f>'_Engine_NR'!M189</f>
        <v/>
      </c>
      <c r="FE14" s="459">
        <f>'_Engine_NR'!M190</f>
        <v/>
      </c>
      <c r="FF14" s="459">
        <f>'_Engine_NR'!M191</f>
        <v/>
      </c>
      <c r="FG14" s="459">
        <f>'_Engine_NR'!M192</f>
        <v/>
      </c>
      <c r="FH14" s="459">
        <f>'_Engine_NR'!M193</f>
        <v/>
      </c>
      <c r="FI14" s="459">
        <f>'_Engine_NR'!M194</f>
        <v/>
      </c>
      <c r="FJ14" s="459">
        <f>'_Engine_NR'!M195</f>
        <v/>
      </c>
      <c r="FK14" s="459">
        <f>'_Engine_NR'!M196</f>
        <v/>
      </c>
      <c r="FL14" s="459">
        <f>'_Engine_NR'!M197</f>
        <v/>
      </c>
      <c r="FM14" s="459">
        <f>'_Engine_NR'!M198</f>
        <v/>
      </c>
      <c r="FN14" s="458">
        <f>'_Engine_NR'!M199</f>
        <v/>
      </c>
      <c r="FO14" s="458">
        <f>'_Engine_NR'!M200</f>
        <v/>
      </c>
      <c r="FP14" s="458">
        <f>'_Engine_NR'!M201</f>
        <v/>
      </c>
      <c r="FQ14" s="458">
        <f>'_Engine_NR'!M202</f>
        <v/>
      </c>
      <c r="FR14" s="458">
        <f>'_Engine_NR'!M203</f>
        <v/>
      </c>
      <c r="FS14" s="458">
        <f>'_Engine_NR'!M204</f>
        <v/>
      </c>
      <c r="FT14" s="458">
        <f>'_Engine_NR'!M205</f>
        <v/>
      </c>
      <c r="FU14" s="458">
        <f>'_Engine_NR'!M206</f>
        <v/>
      </c>
      <c r="FV14" s="458">
        <f>'_Engine_NR'!M207</f>
        <v/>
      </c>
      <c r="FW14" s="458">
        <f>'_Engine_NR'!M208</f>
        <v/>
      </c>
      <c r="FX14" s="458">
        <f>'_Engine_NR'!M209</f>
        <v/>
      </c>
      <c r="FY14" s="458">
        <f>'_Engine_NR'!M210</f>
        <v/>
      </c>
      <c r="FZ14" s="306" t="n"/>
    </row>
    <row r="15" ht="15" customHeight="1" s="307">
      <c r="A15" s="468" t="inlineStr">
        <is>
          <t>Gross Profit</t>
        </is>
      </c>
      <c r="B15" s="469">
        <f>B13-B14</f>
        <v/>
      </c>
      <c r="C15" s="469">
        <f>C13-C14</f>
        <v/>
      </c>
      <c r="D15" s="469">
        <f>D13-D14</f>
        <v/>
      </c>
      <c r="E15" s="469">
        <f>E13-E14</f>
        <v/>
      </c>
      <c r="F15" s="469">
        <f>F13-F14</f>
        <v/>
      </c>
      <c r="G15" s="469">
        <f>G13-G14</f>
        <v/>
      </c>
      <c r="H15" s="469">
        <f>H13-H14</f>
        <v/>
      </c>
      <c r="I15" s="469">
        <f>I13-I14</f>
        <v/>
      </c>
      <c r="J15" s="469">
        <f>J13-J14</f>
        <v/>
      </c>
      <c r="K15" s="469">
        <f>K13-K14</f>
        <v/>
      </c>
      <c r="L15" s="469">
        <f>L13-L14</f>
        <v/>
      </c>
      <c r="M15" s="469">
        <f>M13-M14</f>
        <v/>
      </c>
      <c r="N15" s="470">
        <f>N13-N14</f>
        <v/>
      </c>
      <c r="O15" s="470">
        <f>O13-O14</f>
        <v/>
      </c>
      <c r="P15" s="470">
        <f>P13-P14</f>
        <v/>
      </c>
      <c r="Q15" s="470">
        <f>Q13-Q14</f>
        <v/>
      </c>
      <c r="R15" s="470">
        <f>R13-R14</f>
        <v/>
      </c>
      <c r="S15" s="470">
        <f>S13-S14</f>
        <v/>
      </c>
      <c r="T15" s="470">
        <f>T13-T14</f>
        <v/>
      </c>
      <c r="U15" s="470">
        <f>U13-U14</f>
        <v/>
      </c>
      <c r="V15" s="470">
        <f>V13-V14</f>
        <v/>
      </c>
      <c r="W15" s="470">
        <f>W13-W14</f>
        <v/>
      </c>
      <c r="X15" s="470">
        <f>X13-X14</f>
        <v/>
      </c>
      <c r="Y15" s="470">
        <f>Y13-Y14</f>
        <v/>
      </c>
      <c r="Z15" s="469">
        <f>Z13-Z14</f>
        <v/>
      </c>
      <c r="AA15" s="469">
        <f>AA13-AA14</f>
        <v/>
      </c>
      <c r="AB15" s="469">
        <f>AB13-AB14</f>
        <v/>
      </c>
      <c r="AC15" s="469">
        <f>AC13-AC14</f>
        <v/>
      </c>
      <c r="AD15" s="469">
        <f>AD13-AD14</f>
        <v/>
      </c>
      <c r="AE15" s="469">
        <f>AE13-AE14</f>
        <v/>
      </c>
      <c r="AF15" s="469">
        <f>AF13-AF14</f>
        <v/>
      </c>
      <c r="AG15" s="469">
        <f>AG13-AG14</f>
        <v/>
      </c>
      <c r="AH15" s="469">
        <f>AH13-AH14</f>
        <v/>
      </c>
      <c r="AI15" s="469">
        <f>AI13-AI14</f>
        <v/>
      </c>
      <c r="AJ15" s="469">
        <f>AJ13-AJ14</f>
        <v/>
      </c>
      <c r="AK15" s="469">
        <f>AK13-AK14</f>
        <v/>
      </c>
      <c r="AL15" s="470">
        <f>AL13-AL14</f>
        <v/>
      </c>
      <c r="AM15" s="470">
        <f>AM13-AM14</f>
        <v/>
      </c>
      <c r="AN15" s="470">
        <f>AN13-AN14</f>
        <v/>
      </c>
      <c r="AO15" s="470">
        <f>AO13-AO14</f>
        <v/>
      </c>
      <c r="AP15" s="470">
        <f>AP13-AP14</f>
        <v/>
      </c>
      <c r="AQ15" s="470">
        <f>AQ13-AQ14</f>
        <v/>
      </c>
      <c r="AR15" s="470">
        <f>AR13-AR14</f>
        <v/>
      </c>
      <c r="AS15" s="470">
        <f>AS13-AS14</f>
        <v/>
      </c>
      <c r="AT15" s="470">
        <f>AT13-AT14</f>
        <v/>
      </c>
      <c r="AU15" s="470">
        <f>AU13-AU14</f>
        <v/>
      </c>
      <c r="AV15" s="470">
        <f>AV13-AV14</f>
        <v/>
      </c>
      <c r="AW15" s="470">
        <f>AW13-AW14</f>
        <v/>
      </c>
      <c r="AX15" s="469">
        <f>AX13-AX14</f>
        <v/>
      </c>
      <c r="AY15" s="469">
        <f>AY13-AY14</f>
        <v/>
      </c>
      <c r="AZ15" s="469">
        <f>AZ13-AZ14</f>
        <v/>
      </c>
      <c r="BA15" s="469">
        <f>BA13-BA14</f>
        <v/>
      </c>
      <c r="BB15" s="469">
        <f>BB13-BB14</f>
        <v/>
      </c>
      <c r="BC15" s="469">
        <f>BC13-BC14</f>
        <v/>
      </c>
      <c r="BD15" s="469">
        <f>BD13-BD14</f>
        <v/>
      </c>
      <c r="BE15" s="469">
        <f>BE13-BE14</f>
        <v/>
      </c>
      <c r="BF15" s="469">
        <f>BF13-BF14</f>
        <v/>
      </c>
      <c r="BG15" s="469">
        <f>BG13-BG14</f>
        <v/>
      </c>
      <c r="BH15" s="469">
        <f>BH13-BH14</f>
        <v/>
      </c>
      <c r="BI15" s="469">
        <f>BI13-BI14</f>
        <v/>
      </c>
      <c r="BJ15" s="470">
        <f>BJ13-BJ14</f>
        <v/>
      </c>
      <c r="BK15" s="470">
        <f>BK13-BK14</f>
        <v/>
      </c>
      <c r="BL15" s="470">
        <f>BL13-BL14</f>
        <v/>
      </c>
      <c r="BM15" s="470">
        <f>BM13-BM14</f>
        <v/>
      </c>
      <c r="BN15" s="470">
        <f>BN13-BN14</f>
        <v/>
      </c>
      <c r="BO15" s="470">
        <f>BO13-BO14</f>
        <v/>
      </c>
      <c r="BP15" s="470">
        <f>BP13-BP14</f>
        <v/>
      </c>
      <c r="BQ15" s="470">
        <f>BQ13-BQ14</f>
        <v/>
      </c>
      <c r="BR15" s="470">
        <f>BR13-BR14</f>
        <v/>
      </c>
      <c r="BS15" s="470">
        <f>BS13-BS14</f>
        <v/>
      </c>
      <c r="BT15" s="470">
        <f>BT13-BT14</f>
        <v/>
      </c>
      <c r="BU15" s="470">
        <f>BU13-BU14</f>
        <v/>
      </c>
      <c r="BV15" s="469">
        <f>BV13-BV14</f>
        <v/>
      </c>
      <c r="BW15" s="469">
        <f>BW13-BW14</f>
        <v/>
      </c>
      <c r="BX15" s="469">
        <f>BX13-BX14</f>
        <v/>
      </c>
      <c r="BY15" s="469">
        <f>BY13-BY14</f>
        <v/>
      </c>
      <c r="BZ15" s="469">
        <f>BZ13-BZ14</f>
        <v/>
      </c>
      <c r="CA15" s="469">
        <f>CA13-CA14</f>
        <v/>
      </c>
      <c r="CB15" s="469">
        <f>CB13-CB14</f>
        <v/>
      </c>
      <c r="CC15" s="469">
        <f>CC13-CC14</f>
        <v/>
      </c>
      <c r="CD15" s="469">
        <f>CD13-CD14</f>
        <v/>
      </c>
      <c r="CE15" s="469">
        <f>CE13-CE14</f>
        <v/>
      </c>
      <c r="CF15" s="469">
        <f>CF13-CF14</f>
        <v/>
      </c>
      <c r="CG15" s="469">
        <f>CG13-CG14</f>
        <v/>
      </c>
      <c r="CH15" s="470">
        <f>CH13-CH14</f>
        <v/>
      </c>
      <c r="CI15" s="470">
        <f>CI13-CI14</f>
        <v/>
      </c>
      <c r="CJ15" s="470">
        <f>CJ13-CJ14</f>
        <v/>
      </c>
      <c r="CK15" s="470">
        <f>CK13-CK14</f>
        <v/>
      </c>
      <c r="CL15" s="470">
        <f>CL13-CL14</f>
        <v/>
      </c>
      <c r="CM15" s="470">
        <f>CM13-CM14</f>
        <v/>
      </c>
      <c r="CN15" s="470">
        <f>CN13-CN14</f>
        <v/>
      </c>
      <c r="CO15" s="470">
        <f>CO13-CO14</f>
        <v/>
      </c>
      <c r="CP15" s="470">
        <f>CP13-CP14</f>
        <v/>
      </c>
      <c r="CQ15" s="470">
        <f>CQ13-CQ14</f>
        <v/>
      </c>
      <c r="CR15" s="470">
        <f>CR13-CR14</f>
        <v/>
      </c>
      <c r="CS15" s="470">
        <f>CS13-CS14</f>
        <v/>
      </c>
      <c r="CT15" s="469">
        <f>CT13-CT14</f>
        <v/>
      </c>
      <c r="CU15" s="469">
        <f>CU13-CU14</f>
        <v/>
      </c>
      <c r="CV15" s="469">
        <f>CV13-CV14</f>
        <v/>
      </c>
      <c r="CW15" s="469">
        <f>CW13-CW14</f>
        <v/>
      </c>
      <c r="CX15" s="469">
        <f>CX13-CX14</f>
        <v/>
      </c>
      <c r="CY15" s="469">
        <f>CY13-CY14</f>
        <v/>
      </c>
      <c r="CZ15" s="469">
        <f>CZ13-CZ14</f>
        <v/>
      </c>
      <c r="DA15" s="469">
        <f>DA13-DA14</f>
        <v/>
      </c>
      <c r="DB15" s="469">
        <f>DB13-DB14</f>
        <v/>
      </c>
      <c r="DC15" s="469">
        <f>DC13-DC14</f>
        <v/>
      </c>
      <c r="DD15" s="469">
        <f>DD13-DD14</f>
        <v/>
      </c>
      <c r="DE15" s="469">
        <f>DE13-DE14</f>
        <v/>
      </c>
      <c r="DF15" s="470">
        <f>DF13-DF14</f>
        <v/>
      </c>
      <c r="DG15" s="470">
        <f>DG13-DG14</f>
        <v/>
      </c>
      <c r="DH15" s="470">
        <f>DH13-DH14</f>
        <v/>
      </c>
      <c r="DI15" s="470">
        <f>DI13-DI14</f>
        <v/>
      </c>
      <c r="DJ15" s="470">
        <f>DJ13-DJ14</f>
        <v/>
      </c>
      <c r="DK15" s="470">
        <f>DK13-DK14</f>
        <v/>
      </c>
      <c r="DL15" s="470">
        <f>DL13-DL14</f>
        <v/>
      </c>
      <c r="DM15" s="470">
        <f>DM13-DM14</f>
        <v/>
      </c>
      <c r="DN15" s="470">
        <f>DN13-DN14</f>
        <v/>
      </c>
      <c r="DO15" s="470">
        <f>DO13-DO14</f>
        <v/>
      </c>
      <c r="DP15" s="470">
        <f>DP13-DP14</f>
        <v/>
      </c>
      <c r="DQ15" s="470">
        <f>DQ13-DQ14</f>
        <v/>
      </c>
      <c r="DR15" s="469">
        <f>DR13-DR14</f>
        <v/>
      </c>
      <c r="DS15" s="469">
        <f>DS13-DS14</f>
        <v/>
      </c>
      <c r="DT15" s="469">
        <f>DT13-DT14</f>
        <v/>
      </c>
      <c r="DU15" s="469">
        <f>DU13-DU14</f>
        <v/>
      </c>
      <c r="DV15" s="469">
        <f>DV13-DV14</f>
        <v/>
      </c>
      <c r="DW15" s="469">
        <f>DW13-DW14</f>
        <v/>
      </c>
      <c r="DX15" s="469">
        <f>DX13-DX14</f>
        <v/>
      </c>
      <c r="DY15" s="469">
        <f>DY13-DY14</f>
        <v/>
      </c>
      <c r="DZ15" s="469">
        <f>DZ13-DZ14</f>
        <v/>
      </c>
      <c r="EA15" s="469">
        <f>EA13-EA14</f>
        <v/>
      </c>
      <c r="EB15" s="469">
        <f>EB13-EB14</f>
        <v/>
      </c>
      <c r="EC15" s="469">
        <f>EC13-EC14</f>
        <v/>
      </c>
      <c r="ED15" s="470">
        <f>ED13-ED14</f>
        <v/>
      </c>
      <c r="EE15" s="470">
        <f>EE13-EE14</f>
        <v/>
      </c>
      <c r="EF15" s="470">
        <f>EF13-EF14</f>
        <v/>
      </c>
      <c r="EG15" s="470">
        <f>EG13-EG14</f>
        <v/>
      </c>
      <c r="EH15" s="470">
        <f>EH13-EH14</f>
        <v/>
      </c>
      <c r="EI15" s="470">
        <f>EI13-EI14</f>
        <v/>
      </c>
      <c r="EJ15" s="470">
        <f>EJ13-EJ14</f>
        <v/>
      </c>
      <c r="EK15" s="470">
        <f>EK13-EK14</f>
        <v/>
      </c>
      <c r="EL15" s="470">
        <f>EL13-EL14</f>
        <v/>
      </c>
      <c r="EM15" s="470">
        <f>EM13-EM14</f>
        <v/>
      </c>
      <c r="EN15" s="470">
        <f>EN13-EN14</f>
        <v/>
      </c>
      <c r="EO15" s="470">
        <f>EO13-EO14</f>
        <v/>
      </c>
      <c r="EP15" s="469">
        <f>EP13-EP14</f>
        <v/>
      </c>
      <c r="EQ15" s="469">
        <f>EQ13-EQ14</f>
        <v/>
      </c>
      <c r="ER15" s="469">
        <f>ER13-ER14</f>
        <v/>
      </c>
      <c r="ES15" s="469">
        <f>ES13-ES14</f>
        <v/>
      </c>
      <c r="ET15" s="469">
        <f>ET13-ET14</f>
        <v/>
      </c>
      <c r="EU15" s="469">
        <f>EU13-EU14</f>
        <v/>
      </c>
      <c r="EV15" s="469">
        <f>EV13-EV14</f>
        <v/>
      </c>
      <c r="EW15" s="469">
        <f>EW13-EW14</f>
        <v/>
      </c>
      <c r="EX15" s="469">
        <f>EX13-EX14</f>
        <v/>
      </c>
      <c r="EY15" s="469">
        <f>EY13-EY14</f>
        <v/>
      </c>
      <c r="EZ15" s="469">
        <f>EZ13-EZ14</f>
        <v/>
      </c>
      <c r="FA15" s="469">
        <f>FA13-FA14</f>
        <v/>
      </c>
      <c r="FB15" s="470">
        <f>FB13-FB14</f>
        <v/>
      </c>
      <c r="FC15" s="470">
        <f>FC13-FC14</f>
        <v/>
      </c>
      <c r="FD15" s="470">
        <f>FD13-FD14</f>
        <v/>
      </c>
      <c r="FE15" s="470">
        <f>FE13-FE14</f>
        <v/>
      </c>
      <c r="FF15" s="470">
        <f>FF13-FF14</f>
        <v/>
      </c>
      <c r="FG15" s="470">
        <f>FG13-FG14</f>
        <v/>
      </c>
      <c r="FH15" s="470">
        <f>FH13-FH14</f>
        <v/>
      </c>
      <c r="FI15" s="470">
        <f>FI13-FI14</f>
        <v/>
      </c>
      <c r="FJ15" s="470">
        <f>FJ13-FJ14</f>
        <v/>
      </c>
      <c r="FK15" s="470">
        <f>FK13-FK14</f>
        <v/>
      </c>
      <c r="FL15" s="470">
        <f>FL13-FL14</f>
        <v/>
      </c>
      <c r="FM15" s="470">
        <f>FM13-FM14</f>
        <v/>
      </c>
      <c r="FN15" s="469">
        <f>FN13-FN14</f>
        <v/>
      </c>
      <c r="FO15" s="469">
        <f>FO13-FO14</f>
        <v/>
      </c>
      <c r="FP15" s="469">
        <f>FP13-FP14</f>
        <v/>
      </c>
      <c r="FQ15" s="469">
        <f>FQ13-FQ14</f>
        <v/>
      </c>
      <c r="FR15" s="469">
        <f>FR13-FR14</f>
        <v/>
      </c>
      <c r="FS15" s="469">
        <f>FS13-FS14</f>
        <v/>
      </c>
      <c r="FT15" s="469">
        <f>FT13-FT14</f>
        <v/>
      </c>
      <c r="FU15" s="469">
        <f>FU13-FU14</f>
        <v/>
      </c>
      <c r="FV15" s="469">
        <f>FV13-FV14</f>
        <v/>
      </c>
      <c r="FW15" s="469">
        <f>FW13-FW14</f>
        <v/>
      </c>
      <c r="FX15" s="469">
        <f>FX13-FX14</f>
        <v/>
      </c>
      <c r="FY15" s="469">
        <f>FY13-FY14</f>
        <v/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>
        <f>'_Engine_NR'!N31</f>
        <v/>
      </c>
      <c r="C17" s="458">
        <f>'_Engine_NR'!N32</f>
        <v/>
      </c>
      <c r="D17" s="458">
        <f>'_Engine_NR'!N33</f>
        <v/>
      </c>
      <c r="E17" s="458">
        <f>'_Engine_NR'!N34</f>
        <v/>
      </c>
      <c r="F17" s="458">
        <f>'_Engine_NR'!N35</f>
        <v/>
      </c>
      <c r="G17" s="458">
        <f>'_Engine_NR'!N36</f>
        <v/>
      </c>
      <c r="H17" s="458">
        <f>'_Engine_NR'!N37</f>
        <v/>
      </c>
      <c r="I17" s="458">
        <f>'_Engine_NR'!N38</f>
        <v/>
      </c>
      <c r="J17" s="458">
        <f>'_Engine_NR'!N39</f>
        <v/>
      </c>
      <c r="K17" s="458">
        <f>'_Engine_NR'!N40</f>
        <v/>
      </c>
      <c r="L17" s="458">
        <f>'_Engine_NR'!N41</f>
        <v/>
      </c>
      <c r="M17" s="458">
        <f>'_Engine_NR'!N42</f>
        <v/>
      </c>
      <c r="N17" s="459">
        <f>'_Engine_NR'!N43</f>
        <v/>
      </c>
      <c r="O17" s="459">
        <f>'_Engine_NR'!N44</f>
        <v/>
      </c>
      <c r="P17" s="459">
        <f>'_Engine_NR'!N45</f>
        <v/>
      </c>
      <c r="Q17" s="459">
        <f>'_Engine_NR'!N46</f>
        <v/>
      </c>
      <c r="R17" s="459">
        <f>'_Engine_NR'!N47</f>
        <v/>
      </c>
      <c r="S17" s="459">
        <f>'_Engine_NR'!N48</f>
        <v/>
      </c>
      <c r="T17" s="459">
        <f>'_Engine_NR'!N49</f>
        <v/>
      </c>
      <c r="U17" s="459">
        <f>'_Engine_NR'!N50</f>
        <v/>
      </c>
      <c r="V17" s="459">
        <f>'_Engine_NR'!N51</f>
        <v/>
      </c>
      <c r="W17" s="459">
        <f>'_Engine_NR'!N52</f>
        <v/>
      </c>
      <c r="X17" s="459">
        <f>'_Engine_NR'!N53</f>
        <v/>
      </c>
      <c r="Y17" s="459">
        <f>'_Engine_NR'!N54</f>
        <v/>
      </c>
      <c r="Z17" s="458">
        <f>'_Engine_NR'!N55</f>
        <v/>
      </c>
      <c r="AA17" s="458">
        <f>'_Engine_NR'!N56</f>
        <v/>
      </c>
      <c r="AB17" s="458">
        <f>'_Engine_NR'!N57</f>
        <v/>
      </c>
      <c r="AC17" s="458">
        <f>'_Engine_NR'!N58</f>
        <v/>
      </c>
      <c r="AD17" s="458">
        <f>'_Engine_NR'!N59</f>
        <v/>
      </c>
      <c r="AE17" s="458">
        <f>'_Engine_NR'!N60</f>
        <v/>
      </c>
      <c r="AF17" s="458">
        <f>'_Engine_NR'!N61</f>
        <v/>
      </c>
      <c r="AG17" s="458">
        <f>'_Engine_NR'!N62</f>
        <v/>
      </c>
      <c r="AH17" s="458">
        <f>'_Engine_NR'!N63</f>
        <v/>
      </c>
      <c r="AI17" s="458">
        <f>'_Engine_NR'!N64</f>
        <v/>
      </c>
      <c r="AJ17" s="458">
        <f>'_Engine_NR'!N65</f>
        <v/>
      </c>
      <c r="AK17" s="458">
        <f>'_Engine_NR'!N66</f>
        <v/>
      </c>
      <c r="AL17" s="459">
        <f>'_Engine_NR'!N67</f>
        <v/>
      </c>
      <c r="AM17" s="459">
        <f>'_Engine_NR'!N68</f>
        <v/>
      </c>
      <c r="AN17" s="459">
        <f>'_Engine_NR'!N69</f>
        <v/>
      </c>
      <c r="AO17" s="459">
        <f>'_Engine_NR'!N70</f>
        <v/>
      </c>
      <c r="AP17" s="459">
        <f>'_Engine_NR'!N71</f>
        <v/>
      </c>
      <c r="AQ17" s="459">
        <f>'_Engine_NR'!N72</f>
        <v/>
      </c>
      <c r="AR17" s="459">
        <f>'_Engine_NR'!N73</f>
        <v/>
      </c>
      <c r="AS17" s="459">
        <f>'_Engine_NR'!N74</f>
        <v/>
      </c>
      <c r="AT17" s="459">
        <f>'_Engine_NR'!N75</f>
        <v/>
      </c>
      <c r="AU17" s="459">
        <f>'_Engine_NR'!N76</f>
        <v/>
      </c>
      <c r="AV17" s="459">
        <f>'_Engine_NR'!N77</f>
        <v/>
      </c>
      <c r="AW17" s="459">
        <f>'_Engine_NR'!N78</f>
        <v/>
      </c>
      <c r="AX17" s="458">
        <f>'_Engine_NR'!N79</f>
        <v/>
      </c>
      <c r="AY17" s="458">
        <f>'_Engine_NR'!N80</f>
        <v/>
      </c>
      <c r="AZ17" s="458">
        <f>'_Engine_NR'!N81</f>
        <v/>
      </c>
      <c r="BA17" s="458">
        <f>'_Engine_NR'!N82</f>
        <v/>
      </c>
      <c r="BB17" s="458">
        <f>'_Engine_NR'!N83</f>
        <v/>
      </c>
      <c r="BC17" s="458">
        <f>'_Engine_NR'!N84</f>
        <v/>
      </c>
      <c r="BD17" s="458">
        <f>'_Engine_NR'!N85</f>
        <v/>
      </c>
      <c r="BE17" s="458">
        <f>'_Engine_NR'!N86</f>
        <v/>
      </c>
      <c r="BF17" s="458">
        <f>'_Engine_NR'!N87</f>
        <v/>
      </c>
      <c r="BG17" s="458">
        <f>'_Engine_NR'!N88</f>
        <v/>
      </c>
      <c r="BH17" s="458">
        <f>'_Engine_NR'!N89</f>
        <v/>
      </c>
      <c r="BI17" s="458">
        <f>'_Engine_NR'!N90</f>
        <v/>
      </c>
      <c r="BJ17" s="459">
        <f>'_Engine_NR'!N91</f>
        <v/>
      </c>
      <c r="BK17" s="459">
        <f>'_Engine_NR'!N92</f>
        <v/>
      </c>
      <c r="BL17" s="459">
        <f>'_Engine_NR'!N93</f>
        <v/>
      </c>
      <c r="BM17" s="459">
        <f>'_Engine_NR'!N94</f>
        <v/>
      </c>
      <c r="BN17" s="459">
        <f>'_Engine_NR'!N95</f>
        <v/>
      </c>
      <c r="BO17" s="459">
        <f>'_Engine_NR'!N96</f>
        <v/>
      </c>
      <c r="BP17" s="459">
        <f>'_Engine_NR'!N97</f>
        <v/>
      </c>
      <c r="BQ17" s="459">
        <f>'_Engine_NR'!N98</f>
        <v/>
      </c>
      <c r="BR17" s="459">
        <f>'_Engine_NR'!N99</f>
        <v/>
      </c>
      <c r="BS17" s="459">
        <f>'_Engine_NR'!N100</f>
        <v/>
      </c>
      <c r="BT17" s="459">
        <f>'_Engine_NR'!N101</f>
        <v/>
      </c>
      <c r="BU17" s="459">
        <f>'_Engine_NR'!N102</f>
        <v/>
      </c>
      <c r="BV17" s="458">
        <f>'_Engine_NR'!N103</f>
        <v/>
      </c>
      <c r="BW17" s="458">
        <f>'_Engine_NR'!N104</f>
        <v/>
      </c>
      <c r="BX17" s="458">
        <f>'_Engine_NR'!N105</f>
        <v/>
      </c>
      <c r="BY17" s="458">
        <f>'_Engine_NR'!N106</f>
        <v/>
      </c>
      <c r="BZ17" s="458">
        <f>'_Engine_NR'!N107</f>
        <v/>
      </c>
      <c r="CA17" s="458">
        <f>'_Engine_NR'!N108</f>
        <v/>
      </c>
      <c r="CB17" s="458">
        <f>'_Engine_NR'!N109</f>
        <v/>
      </c>
      <c r="CC17" s="458">
        <f>'_Engine_NR'!N110</f>
        <v/>
      </c>
      <c r="CD17" s="458">
        <f>'_Engine_NR'!N111</f>
        <v/>
      </c>
      <c r="CE17" s="458">
        <f>'_Engine_NR'!N112</f>
        <v/>
      </c>
      <c r="CF17" s="458">
        <f>'_Engine_NR'!N113</f>
        <v/>
      </c>
      <c r="CG17" s="458">
        <f>'_Engine_NR'!N114</f>
        <v/>
      </c>
      <c r="CH17" s="459">
        <f>'_Engine_NR'!N115</f>
        <v/>
      </c>
      <c r="CI17" s="459">
        <f>'_Engine_NR'!N116</f>
        <v/>
      </c>
      <c r="CJ17" s="459">
        <f>'_Engine_NR'!N117</f>
        <v/>
      </c>
      <c r="CK17" s="459">
        <f>'_Engine_NR'!N118</f>
        <v/>
      </c>
      <c r="CL17" s="459">
        <f>'_Engine_NR'!N119</f>
        <v/>
      </c>
      <c r="CM17" s="459">
        <f>'_Engine_NR'!N120</f>
        <v/>
      </c>
      <c r="CN17" s="459">
        <f>'_Engine_NR'!N121</f>
        <v/>
      </c>
      <c r="CO17" s="459">
        <f>'_Engine_NR'!N122</f>
        <v/>
      </c>
      <c r="CP17" s="459">
        <f>'_Engine_NR'!N123</f>
        <v/>
      </c>
      <c r="CQ17" s="459">
        <f>'_Engine_NR'!N124</f>
        <v/>
      </c>
      <c r="CR17" s="459">
        <f>'_Engine_NR'!N125</f>
        <v/>
      </c>
      <c r="CS17" s="459">
        <f>'_Engine_NR'!N126</f>
        <v/>
      </c>
      <c r="CT17" s="458">
        <f>'_Engine_NR'!N127</f>
        <v/>
      </c>
      <c r="CU17" s="458">
        <f>'_Engine_NR'!N128</f>
        <v/>
      </c>
      <c r="CV17" s="458">
        <f>'_Engine_NR'!N129</f>
        <v/>
      </c>
      <c r="CW17" s="458">
        <f>'_Engine_NR'!N130</f>
        <v/>
      </c>
      <c r="CX17" s="458">
        <f>'_Engine_NR'!N131</f>
        <v/>
      </c>
      <c r="CY17" s="458">
        <f>'_Engine_NR'!N132</f>
        <v/>
      </c>
      <c r="CZ17" s="458">
        <f>'_Engine_NR'!N133</f>
        <v/>
      </c>
      <c r="DA17" s="458">
        <f>'_Engine_NR'!N134</f>
        <v/>
      </c>
      <c r="DB17" s="458">
        <f>'_Engine_NR'!N135</f>
        <v/>
      </c>
      <c r="DC17" s="458">
        <f>'_Engine_NR'!N136</f>
        <v/>
      </c>
      <c r="DD17" s="458">
        <f>'_Engine_NR'!N137</f>
        <v/>
      </c>
      <c r="DE17" s="458">
        <f>'_Engine_NR'!N138</f>
        <v/>
      </c>
      <c r="DF17" s="459">
        <f>'_Engine_NR'!N139</f>
        <v/>
      </c>
      <c r="DG17" s="459">
        <f>'_Engine_NR'!N140</f>
        <v/>
      </c>
      <c r="DH17" s="459">
        <f>'_Engine_NR'!N141</f>
        <v/>
      </c>
      <c r="DI17" s="459">
        <f>'_Engine_NR'!N142</f>
        <v/>
      </c>
      <c r="DJ17" s="459">
        <f>'_Engine_NR'!N143</f>
        <v/>
      </c>
      <c r="DK17" s="459">
        <f>'_Engine_NR'!N144</f>
        <v/>
      </c>
      <c r="DL17" s="459">
        <f>'_Engine_NR'!N145</f>
        <v/>
      </c>
      <c r="DM17" s="459">
        <f>'_Engine_NR'!N146</f>
        <v/>
      </c>
      <c r="DN17" s="459">
        <f>'_Engine_NR'!N147</f>
        <v/>
      </c>
      <c r="DO17" s="459">
        <f>'_Engine_NR'!N148</f>
        <v/>
      </c>
      <c r="DP17" s="459">
        <f>'_Engine_NR'!N149</f>
        <v/>
      </c>
      <c r="DQ17" s="459">
        <f>'_Engine_NR'!N150</f>
        <v/>
      </c>
      <c r="DR17" s="458">
        <f>'_Engine_NR'!N151</f>
        <v/>
      </c>
      <c r="DS17" s="458">
        <f>'_Engine_NR'!N152</f>
        <v/>
      </c>
      <c r="DT17" s="458">
        <f>'_Engine_NR'!N153</f>
        <v/>
      </c>
      <c r="DU17" s="458">
        <f>'_Engine_NR'!N154</f>
        <v/>
      </c>
      <c r="DV17" s="458">
        <f>'_Engine_NR'!N155</f>
        <v/>
      </c>
      <c r="DW17" s="458">
        <f>'_Engine_NR'!N156</f>
        <v/>
      </c>
      <c r="DX17" s="458">
        <f>'_Engine_NR'!N157</f>
        <v/>
      </c>
      <c r="DY17" s="458">
        <f>'_Engine_NR'!N158</f>
        <v/>
      </c>
      <c r="DZ17" s="458">
        <f>'_Engine_NR'!N159</f>
        <v/>
      </c>
      <c r="EA17" s="458">
        <f>'_Engine_NR'!N160</f>
        <v/>
      </c>
      <c r="EB17" s="458">
        <f>'_Engine_NR'!N161</f>
        <v/>
      </c>
      <c r="EC17" s="458">
        <f>'_Engine_NR'!N162</f>
        <v/>
      </c>
      <c r="ED17" s="459">
        <f>'_Engine_NR'!N163</f>
        <v/>
      </c>
      <c r="EE17" s="459">
        <f>'_Engine_NR'!N164</f>
        <v/>
      </c>
      <c r="EF17" s="459">
        <f>'_Engine_NR'!N165</f>
        <v/>
      </c>
      <c r="EG17" s="459">
        <f>'_Engine_NR'!N166</f>
        <v/>
      </c>
      <c r="EH17" s="459">
        <f>'_Engine_NR'!N167</f>
        <v/>
      </c>
      <c r="EI17" s="459">
        <f>'_Engine_NR'!N168</f>
        <v/>
      </c>
      <c r="EJ17" s="459">
        <f>'_Engine_NR'!N169</f>
        <v/>
      </c>
      <c r="EK17" s="459">
        <f>'_Engine_NR'!N170</f>
        <v/>
      </c>
      <c r="EL17" s="459">
        <f>'_Engine_NR'!N171</f>
        <v/>
      </c>
      <c r="EM17" s="459">
        <f>'_Engine_NR'!N172</f>
        <v/>
      </c>
      <c r="EN17" s="459">
        <f>'_Engine_NR'!N173</f>
        <v/>
      </c>
      <c r="EO17" s="459">
        <f>'_Engine_NR'!N174</f>
        <v/>
      </c>
      <c r="EP17" s="458">
        <f>'_Engine_NR'!N175</f>
        <v/>
      </c>
      <c r="EQ17" s="458">
        <f>'_Engine_NR'!N176</f>
        <v/>
      </c>
      <c r="ER17" s="458">
        <f>'_Engine_NR'!N177</f>
        <v/>
      </c>
      <c r="ES17" s="458">
        <f>'_Engine_NR'!N178</f>
        <v/>
      </c>
      <c r="ET17" s="458">
        <f>'_Engine_NR'!N179</f>
        <v/>
      </c>
      <c r="EU17" s="458">
        <f>'_Engine_NR'!N180</f>
        <v/>
      </c>
      <c r="EV17" s="458">
        <f>'_Engine_NR'!N181</f>
        <v/>
      </c>
      <c r="EW17" s="458">
        <f>'_Engine_NR'!N182</f>
        <v/>
      </c>
      <c r="EX17" s="458">
        <f>'_Engine_NR'!N183</f>
        <v/>
      </c>
      <c r="EY17" s="458">
        <f>'_Engine_NR'!N184</f>
        <v/>
      </c>
      <c r="EZ17" s="458">
        <f>'_Engine_NR'!N185</f>
        <v/>
      </c>
      <c r="FA17" s="458">
        <f>'_Engine_NR'!N186</f>
        <v/>
      </c>
      <c r="FB17" s="459">
        <f>'_Engine_NR'!N187</f>
        <v/>
      </c>
      <c r="FC17" s="459">
        <f>'_Engine_NR'!N188</f>
        <v/>
      </c>
      <c r="FD17" s="459">
        <f>'_Engine_NR'!N189</f>
        <v/>
      </c>
      <c r="FE17" s="459">
        <f>'_Engine_NR'!N190</f>
        <v/>
      </c>
      <c r="FF17" s="459">
        <f>'_Engine_NR'!N191</f>
        <v/>
      </c>
      <c r="FG17" s="459">
        <f>'_Engine_NR'!N192</f>
        <v/>
      </c>
      <c r="FH17" s="459">
        <f>'_Engine_NR'!N193</f>
        <v/>
      </c>
      <c r="FI17" s="459">
        <f>'_Engine_NR'!N194</f>
        <v/>
      </c>
      <c r="FJ17" s="459">
        <f>'_Engine_NR'!N195</f>
        <v/>
      </c>
      <c r="FK17" s="459">
        <f>'_Engine_NR'!N196</f>
        <v/>
      </c>
      <c r="FL17" s="459">
        <f>'_Engine_NR'!N197</f>
        <v/>
      </c>
      <c r="FM17" s="459">
        <f>'_Engine_NR'!N198</f>
        <v/>
      </c>
      <c r="FN17" s="458">
        <f>'_Engine_NR'!N199</f>
        <v/>
      </c>
      <c r="FO17" s="458">
        <f>'_Engine_NR'!N200</f>
        <v/>
      </c>
      <c r="FP17" s="458">
        <f>'_Engine_NR'!N201</f>
        <v/>
      </c>
      <c r="FQ17" s="458">
        <f>'_Engine_NR'!N202</f>
        <v/>
      </c>
      <c r="FR17" s="458">
        <f>'_Engine_NR'!N203</f>
        <v/>
      </c>
      <c r="FS17" s="458">
        <f>'_Engine_NR'!N204</f>
        <v/>
      </c>
      <c r="FT17" s="458">
        <f>'_Engine_NR'!N205</f>
        <v/>
      </c>
      <c r="FU17" s="458">
        <f>'_Engine_NR'!N206</f>
        <v/>
      </c>
      <c r="FV17" s="458">
        <f>'_Engine_NR'!N207</f>
        <v/>
      </c>
      <c r="FW17" s="458">
        <f>'_Engine_NR'!N208</f>
        <v/>
      </c>
      <c r="FX17" s="458">
        <f>'_Engine_NR'!N209</f>
        <v/>
      </c>
      <c r="FY17" s="458">
        <f>'_Engine_NR'!N210</f>
        <v/>
      </c>
      <c r="FZ17" s="306" t="n"/>
    </row>
    <row r="18" ht="15" customHeight="1" s="307">
      <c r="A18" s="321" t="inlineStr">
        <is>
          <t xml:space="preserve">    Corporate Allocation</t>
        </is>
      </c>
      <c r="B18" s="458">
        <f>'_Engine_NR'!O31</f>
        <v/>
      </c>
      <c r="C18" s="458">
        <f>'_Engine_NR'!O32</f>
        <v/>
      </c>
      <c r="D18" s="458">
        <f>'_Engine_NR'!O33</f>
        <v/>
      </c>
      <c r="E18" s="458">
        <f>'_Engine_NR'!O34</f>
        <v/>
      </c>
      <c r="F18" s="458">
        <f>'_Engine_NR'!O35</f>
        <v/>
      </c>
      <c r="G18" s="458">
        <f>'_Engine_NR'!O36</f>
        <v/>
      </c>
      <c r="H18" s="458">
        <f>'_Engine_NR'!O37</f>
        <v/>
      </c>
      <c r="I18" s="458">
        <f>'_Engine_NR'!O38</f>
        <v/>
      </c>
      <c r="J18" s="458">
        <f>'_Engine_NR'!O39</f>
        <v/>
      </c>
      <c r="K18" s="458">
        <f>'_Engine_NR'!O40</f>
        <v/>
      </c>
      <c r="L18" s="458">
        <f>'_Engine_NR'!O41</f>
        <v/>
      </c>
      <c r="M18" s="458">
        <f>'_Engine_NR'!O42</f>
        <v/>
      </c>
      <c r="N18" s="459">
        <f>'_Engine_NR'!O43</f>
        <v/>
      </c>
      <c r="O18" s="459">
        <f>'_Engine_NR'!O44</f>
        <v/>
      </c>
      <c r="P18" s="459">
        <f>'_Engine_NR'!O45</f>
        <v/>
      </c>
      <c r="Q18" s="459">
        <f>'_Engine_NR'!O46</f>
        <v/>
      </c>
      <c r="R18" s="459">
        <f>'_Engine_NR'!O47</f>
        <v/>
      </c>
      <c r="S18" s="459">
        <f>'_Engine_NR'!O48</f>
        <v/>
      </c>
      <c r="T18" s="459">
        <f>'_Engine_NR'!O49</f>
        <v/>
      </c>
      <c r="U18" s="459">
        <f>'_Engine_NR'!O50</f>
        <v/>
      </c>
      <c r="V18" s="459">
        <f>'_Engine_NR'!O51</f>
        <v/>
      </c>
      <c r="W18" s="459">
        <f>'_Engine_NR'!O52</f>
        <v/>
      </c>
      <c r="X18" s="459">
        <f>'_Engine_NR'!O53</f>
        <v/>
      </c>
      <c r="Y18" s="459">
        <f>'_Engine_NR'!O54</f>
        <v/>
      </c>
      <c r="Z18" s="458">
        <f>'_Engine_NR'!O55</f>
        <v/>
      </c>
      <c r="AA18" s="458">
        <f>'_Engine_NR'!O56</f>
        <v/>
      </c>
      <c r="AB18" s="458">
        <f>'_Engine_NR'!O57</f>
        <v/>
      </c>
      <c r="AC18" s="458">
        <f>'_Engine_NR'!O58</f>
        <v/>
      </c>
      <c r="AD18" s="458">
        <f>'_Engine_NR'!O59</f>
        <v/>
      </c>
      <c r="AE18" s="458">
        <f>'_Engine_NR'!O60</f>
        <v/>
      </c>
      <c r="AF18" s="458">
        <f>'_Engine_NR'!O61</f>
        <v/>
      </c>
      <c r="AG18" s="458">
        <f>'_Engine_NR'!O62</f>
        <v/>
      </c>
      <c r="AH18" s="458">
        <f>'_Engine_NR'!O63</f>
        <v/>
      </c>
      <c r="AI18" s="458">
        <f>'_Engine_NR'!O64</f>
        <v/>
      </c>
      <c r="AJ18" s="458">
        <f>'_Engine_NR'!O65</f>
        <v/>
      </c>
      <c r="AK18" s="458">
        <f>'_Engine_NR'!O66</f>
        <v/>
      </c>
      <c r="AL18" s="459">
        <f>'_Engine_NR'!O67</f>
        <v/>
      </c>
      <c r="AM18" s="459">
        <f>'_Engine_NR'!O68</f>
        <v/>
      </c>
      <c r="AN18" s="459">
        <f>'_Engine_NR'!O69</f>
        <v/>
      </c>
      <c r="AO18" s="459">
        <f>'_Engine_NR'!O70</f>
        <v/>
      </c>
      <c r="AP18" s="459">
        <f>'_Engine_NR'!O71</f>
        <v/>
      </c>
      <c r="AQ18" s="459">
        <f>'_Engine_NR'!O72</f>
        <v/>
      </c>
      <c r="AR18" s="459">
        <f>'_Engine_NR'!O73</f>
        <v/>
      </c>
      <c r="AS18" s="459">
        <f>'_Engine_NR'!O74</f>
        <v/>
      </c>
      <c r="AT18" s="459">
        <f>'_Engine_NR'!O75</f>
        <v/>
      </c>
      <c r="AU18" s="459">
        <f>'_Engine_NR'!O76</f>
        <v/>
      </c>
      <c r="AV18" s="459">
        <f>'_Engine_NR'!O77</f>
        <v/>
      </c>
      <c r="AW18" s="459">
        <f>'_Engine_NR'!O78</f>
        <v/>
      </c>
      <c r="AX18" s="458">
        <f>'_Engine_NR'!O79</f>
        <v/>
      </c>
      <c r="AY18" s="458">
        <f>'_Engine_NR'!O80</f>
        <v/>
      </c>
      <c r="AZ18" s="458">
        <f>'_Engine_NR'!O81</f>
        <v/>
      </c>
      <c r="BA18" s="458">
        <f>'_Engine_NR'!O82</f>
        <v/>
      </c>
      <c r="BB18" s="458">
        <f>'_Engine_NR'!O83</f>
        <v/>
      </c>
      <c r="BC18" s="458">
        <f>'_Engine_NR'!O84</f>
        <v/>
      </c>
      <c r="BD18" s="458">
        <f>'_Engine_NR'!O85</f>
        <v/>
      </c>
      <c r="BE18" s="458">
        <f>'_Engine_NR'!O86</f>
        <v/>
      </c>
      <c r="BF18" s="458">
        <f>'_Engine_NR'!O87</f>
        <v/>
      </c>
      <c r="BG18" s="458">
        <f>'_Engine_NR'!O88</f>
        <v/>
      </c>
      <c r="BH18" s="458">
        <f>'_Engine_NR'!O89</f>
        <v/>
      </c>
      <c r="BI18" s="458">
        <f>'_Engine_NR'!O90</f>
        <v/>
      </c>
      <c r="BJ18" s="459">
        <f>'_Engine_NR'!O91</f>
        <v/>
      </c>
      <c r="BK18" s="459">
        <f>'_Engine_NR'!O92</f>
        <v/>
      </c>
      <c r="BL18" s="459">
        <f>'_Engine_NR'!O93</f>
        <v/>
      </c>
      <c r="BM18" s="459">
        <f>'_Engine_NR'!O94</f>
        <v/>
      </c>
      <c r="BN18" s="459">
        <f>'_Engine_NR'!O95</f>
        <v/>
      </c>
      <c r="BO18" s="459">
        <f>'_Engine_NR'!O96</f>
        <v/>
      </c>
      <c r="BP18" s="459">
        <f>'_Engine_NR'!O97</f>
        <v/>
      </c>
      <c r="BQ18" s="459">
        <f>'_Engine_NR'!O98</f>
        <v/>
      </c>
      <c r="BR18" s="459">
        <f>'_Engine_NR'!O99</f>
        <v/>
      </c>
      <c r="BS18" s="459">
        <f>'_Engine_NR'!O100</f>
        <v/>
      </c>
      <c r="BT18" s="459">
        <f>'_Engine_NR'!O101</f>
        <v/>
      </c>
      <c r="BU18" s="459">
        <f>'_Engine_NR'!O102</f>
        <v/>
      </c>
      <c r="BV18" s="458">
        <f>'_Engine_NR'!O103</f>
        <v/>
      </c>
      <c r="BW18" s="458">
        <f>'_Engine_NR'!O104</f>
        <v/>
      </c>
      <c r="BX18" s="458">
        <f>'_Engine_NR'!O105</f>
        <v/>
      </c>
      <c r="BY18" s="458">
        <f>'_Engine_NR'!O106</f>
        <v/>
      </c>
      <c r="BZ18" s="458">
        <f>'_Engine_NR'!O107</f>
        <v/>
      </c>
      <c r="CA18" s="458">
        <f>'_Engine_NR'!O108</f>
        <v/>
      </c>
      <c r="CB18" s="458">
        <f>'_Engine_NR'!O109</f>
        <v/>
      </c>
      <c r="CC18" s="458">
        <f>'_Engine_NR'!O110</f>
        <v/>
      </c>
      <c r="CD18" s="458">
        <f>'_Engine_NR'!O111</f>
        <v/>
      </c>
      <c r="CE18" s="458">
        <f>'_Engine_NR'!O112</f>
        <v/>
      </c>
      <c r="CF18" s="458">
        <f>'_Engine_NR'!O113</f>
        <v/>
      </c>
      <c r="CG18" s="458">
        <f>'_Engine_NR'!O114</f>
        <v/>
      </c>
      <c r="CH18" s="459">
        <f>'_Engine_NR'!O115</f>
        <v/>
      </c>
      <c r="CI18" s="459">
        <f>'_Engine_NR'!O116</f>
        <v/>
      </c>
      <c r="CJ18" s="459">
        <f>'_Engine_NR'!O117</f>
        <v/>
      </c>
      <c r="CK18" s="459">
        <f>'_Engine_NR'!O118</f>
        <v/>
      </c>
      <c r="CL18" s="459">
        <f>'_Engine_NR'!O119</f>
        <v/>
      </c>
      <c r="CM18" s="459">
        <f>'_Engine_NR'!O120</f>
        <v/>
      </c>
      <c r="CN18" s="459">
        <f>'_Engine_NR'!O121</f>
        <v/>
      </c>
      <c r="CO18" s="459">
        <f>'_Engine_NR'!O122</f>
        <v/>
      </c>
      <c r="CP18" s="459">
        <f>'_Engine_NR'!O123</f>
        <v/>
      </c>
      <c r="CQ18" s="459">
        <f>'_Engine_NR'!O124</f>
        <v/>
      </c>
      <c r="CR18" s="459">
        <f>'_Engine_NR'!O125</f>
        <v/>
      </c>
      <c r="CS18" s="459">
        <f>'_Engine_NR'!O126</f>
        <v/>
      </c>
      <c r="CT18" s="458">
        <f>'_Engine_NR'!O127</f>
        <v/>
      </c>
      <c r="CU18" s="458">
        <f>'_Engine_NR'!O128</f>
        <v/>
      </c>
      <c r="CV18" s="458">
        <f>'_Engine_NR'!O129</f>
        <v/>
      </c>
      <c r="CW18" s="458">
        <f>'_Engine_NR'!O130</f>
        <v/>
      </c>
      <c r="CX18" s="458">
        <f>'_Engine_NR'!O131</f>
        <v/>
      </c>
      <c r="CY18" s="458">
        <f>'_Engine_NR'!O132</f>
        <v/>
      </c>
      <c r="CZ18" s="458">
        <f>'_Engine_NR'!O133</f>
        <v/>
      </c>
      <c r="DA18" s="458">
        <f>'_Engine_NR'!O134</f>
        <v/>
      </c>
      <c r="DB18" s="458">
        <f>'_Engine_NR'!O135</f>
        <v/>
      </c>
      <c r="DC18" s="458">
        <f>'_Engine_NR'!O136</f>
        <v/>
      </c>
      <c r="DD18" s="458">
        <f>'_Engine_NR'!O137</f>
        <v/>
      </c>
      <c r="DE18" s="458">
        <f>'_Engine_NR'!O138</f>
        <v/>
      </c>
      <c r="DF18" s="459">
        <f>'_Engine_NR'!O139</f>
        <v/>
      </c>
      <c r="DG18" s="459">
        <f>'_Engine_NR'!O140</f>
        <v/>
      </c>
      <c r="DH18" s="459">
        <f>'_Engine_NR'!O141</f>
        <v/>
      </c>
      <c r="DI18" s="459">
        <f>'_Engine_NR'!O142</f>
        <v/>
      </c>
      <c r="DJ18" s="459">
        <f>'_Engine_NR'!O143</f>
        <v/>
      </c>
      <c r="DK18" s="459">
        <f>'_Engine_NR'!O144</f>
        <v/>
      </c>
      <c r="DL18" s="459">
        <f>'_Engine_NR'!O145</f>
        <v/>
      </c>
      <c r="DM18" s="459">
        <f>'_Engine_NR'!O146</f>
        <v/>
      </c>
      <c r="DN18" s="459">
        <f>'_Engine_NR'!O147</f>
        <v/>
      </c>
      <c r="DO18" s="459">
        <f>'_Engine_NR'!O148</f>
        <v/>
      </c>
      <c r="DP18" s="459">
        <f>'_Engine_NR'!O149</f>
        <v/>
      </c>
      <c r="DQ18" s="459">
        <f>'_Engine_NR'!O150</f>
        <v/>
      </c>
      <c r="DR18" s="458">
        <f>'_Engine_NR'!O151</f>
        <v/>
      </c>
      <c r="DS18" s="458">
        <f>'_Engine_NR'!O152</f>
        <v/>
      </c>
      <c r="DT18" s="458">
        <f>'_Engine_NR'!O153</f>
        <v/>
      </c>
      <c r="DU18" s="458">
        <f>'_Engine_NR'!O154</f>
        <v/>
      </c>
      <c r="DV18" s="458">
        <f>'_Engine_NR'!O155</f>
        <v/>
      </c>
      <c r="DW18" s="458">
        <f>'_Engine_NR'!O156</f>
        <v/>
      </c>
      <c r="DX18" s="458">
        <f>'_Engine_NR'!O157</f>
        <v/>
      </c>
      <c r="DY18" s="458">
        <f>'_Engine_NR'!O158</f>
        <v/>
      </c>
      <c r="DZ18" s="458">
        <f>'_Engine_NR'!O159</f>
        <v/>
      </c>
      <c r="EA18" s="458">
        <f>'_Engine_NR'!O160</f>
        <v/>
      </c>
      <c r="EB18" s="458">
        <f>'_Engine_NR'!O161</f>
        <v/>
      </c>
      <c r="EC18" s="458">
        <f>'_Engine_NR'!O162</f>
        <v/>
      </c>
      <c r="ED18" s="459">
        <f>'_Engine_NR'!O163</f>
        <v/>
      </c>
      <c r="EE18" s="459">
        <f>'_Engine_NR'!O164</f>
        <v/>
      </c>
      <c r="EF18" s="459">
        <f>'_Engine_NR'!O165</f>
        <v/>
      </c>
      <c r="EG18" s="459">
        <f>'_Engine_NR'!O166</f>
        <v/>
      </c>
      <c r="EH18" s="459">
        <f>'_Engine_NR'!O167</f>
        <v/>
      </c>
      <c r="EI18" s="459">
        <f>'_Engine_NR'!O168</f>
        <v/>
      </c>
      <c r="EJ18" s="459">
        <f>'_Engine_NR'!O169</f>
        <v/>
      </c>
      <c r="EK18" s="459">
        <f>'_Engine_NR'!O170</f>
        <v/>
      </c>
      <c r="EL18" s="459">
        <f>'_Engine_NR'!O171</f>
        <v/>
      </c>
      <c r="EM18" s="459">
        <f>'_Engine_NR'!O172</f>
        <v/>
      </c>
      <c r="EN18" s="459">
        <f>'_Engine_NR'!O173</f>
        <v/>
      </c>
      <c r="EO18" s="459">
        <f>'_Engine_NR'!O174</f>
        <v/>
      </c>
      <c r="EP18" s="458">
        <f>'_Engine_NR'!O175</f>
        <v/>
      </c>
      <c r="EQ18" s="458">
        <f>'_Engine_NR'!O176</f>
        <v/>
      </c>
      <c r="ER18" s="458">
        <f>'_Engine_NR'!O177</f>
        <v/>
      </c>
      <c r="ES18" s="458">
        <f>'_Engine_NR'!O178</f>
        <v/>
      </c>
      <c r="ET18" s="458">
        <f>'_Engine_NR'!O179</f>
        <v/>
      </c>
      <c r="EU18" s="458">
        <f>'_Engine_NR'!O180</f>
        <v/>
      </c>
      <c r="EV18" s="458">
        <f>'_Engine_NR'!O181</f>
        <v/>
      </c>
      <c r="EW18" s="458">
        <f>'_Engine_NR'!O182</f>
        <v/>
      </c>
      <c r="EX18" s="458">
        <f>'_Engine_NR'!O183</f>
        <v/>
      </c>
      <c r="EY18" s="458">
        <f>'_Engine_NR'!O184</f>
        <v/>
      </c>
      <c r="EZ18" s="458">
        <f>'_Engine_NR'!O185</f>
        <v/>
      </c>
      <c r="FA18" s="458">
        <f>'_Engine_NR'!O186</f>
        <v/>
      </c>
      <c r="FB18" s="459">
        <f>'_Engine_NR'!O187</f>
        <v/>
      </c>
      <c r="FC18" s="459">
        <f>'_Engine_NR'!O188</f>
        <v/>
      </c>
      <c r="FD18" s="459">
        <f>'_Engine_NR'!O189</f>
        <v/>
      </c>
      <c r="FE18" s="459">
        <f>'_Engine_NR'!O190</f>
        <v/>
      </c>
      <c r="FF18" s="459">
        <f>'_Engine_NR'!O191</f>
        <v/>
      </c>
      <c r="FG18" s="459">
        <f>'_Engine_NR'!O192</f>
        <v/>
      </c>
      <c r="FH18" s="459">
        <f>'_Engine_NR'!O193</f>
        <v/>
      </c>
      <c r="FI18" s="459">
        <f>'_Engine_NR'!O194</f>
        <v/>
      </c>
      <c r="FJ18" s="459">
        <f>'_Engine_NR'!O195</f>
        <v/>
      </c>
      <c r="FK18" s="459">
        <f>'_Engine_NR'!O196</f>
        <v/>
      </c>
      <c r="FL18" s="459">
        <f>'_Engine_NR'!O197</f>
        <v/>
      </c>
      <c r="FM18" s="459">
        <f>'_Engine_NR'!O198</f>
        <v/>
      </c>
      <c r="FN18" s="458">
        <f>'_Engine_NR'!O199</f>
        <v/>
      </c>
      <c r="FO18" s="458">
        <f>'_Engine_NR'!O200</f>
        <v/>
      </c>
      <c r="FP18" s="458">
        <f>'_Engine_NR'!O201</f>
        <v/>
      </c>
      <c r="FQ18" s="458">
        <f>'_Engine_NR'!O202</f>
        <v/>
      </c>
      <c r="FR18" s="458">
        <f>'_Engine_NR'!O203</f>
        <v/>
      </c>
      <c r="FS18" s="458">
        <f>'_Engine_NR'!O204</f>
        <v/>
      </c>
      <c r="FT18" s="458">
        <f>'_Engine_NR'!O205</f>
        <v/>
      </c>
      <c r="FU18" s="458">
        <f>'_Engine_NR'!O206</f>
        <v/>
      </c>
      <c r="FV18" s="458">
        <f>'_Engine_NR'!O207</f>
        <v/>
      </c>
      <c r="FW18" s="458">
        <f>'_Engine_NR'!O208</f>
        <v/>
      </c>
      <c r="FX18" s="458">
        <f>'_Engine_NR'!O209</f>
        <v/>
      </c>
      <c r="FY18" s="458">
        <f>'_Engine_NR'!O210</f>
        <v/>
      </c>
      <c r="FZ18" s="306" t="n"/>
    </row>
    <row r="19" ht="15" customHeight="1" s="307">
      <c r="A19" s="321" t="inlineStr">
        <is>
          <t xml:space="preserve">    Team Compensation</t>
        </is>
      </c>
      <c r="B19" s="458">
        <f>'_Engine_NR'!D31</f>
        <v/>
      </c>
      <c r="C19" s="458">
        <f>'_Engine_NR'!D32</f>
        <v/>
      </c>
      <c r="D19" s="458">
        <f>'_Engine_NR'!D33</f>
        <v/>
      </c>
      <c r="E19" s="458">
        <f>'_Engine_NR'!D34</f>
        <v/>
      </c>
      <c r="F19" s="458">
        <f>'_Engine_NR'!D35</f>
        <v/>
      </c>
      <c r="G19" s="458">
        <f>'_Engine_NR'!D36</f>
        <v/>
      </c>
      <c r="H19" s="458">
        <f>'_Engine_NR'!D37</f>
        <v/>
      </c>
      <c r="I19" s="458">
        <f>'_Engine_NR'!D38</f>
        <v/>
      </c>
      <c r="J19" s="458">
        <f>'_Engine_NR'!D39</f>
        <v/>
      </c>
      <c r="K19" s="458">
        <f>'_Engine_NR'!D40</f>
        <v/>
      </c>
      <c r="L19" s="458">
        <f>'_Engine_NR'!D41</f>
        <v/>
      </c>
      <c r="M19" s="458">
        <f>'_Engine_NR'!D42</f>
        <v/>
      </c>
      <c r="N19" s="459">
        <f>'_Engine_NR'!D43</f>
        <v/>
      </c>
      <c r="O19" s="459">
        <f>'_Engine_NR'!D44</f>
        <v/>
      </c>
      <c r="P19" s="459">
        <f>'_Engine_NR'!D45</f>
        <v/>
      </c>
      <c r="Q19" s="459">
        <f>'_Engine_NR'!D46</f>
        <v/>
      </c>
      <c r="R19" s="459">
        <f>'_Engine_NR'!D47</f>
        <v/>
      </c>
      <c r="S19" s="459">
        <f>'_Engine_NR'!D48</f>
        <v/>
      </c>
      <c r="T19" s="459">
        <f>'_Engine_NR'!D49</f>
        <v/>
      </c>
      <c r="U19" s="459">
        <f>'_Engine_NR'!D50</f>
        <v/>
      </c>
      <c r="V19" s="459">
        <f>'_Engine_NR'!D51</f>
        <v/>
      </c>
      <c r="W19" s="459">
        <f>'_Engine_NR'!D52</f>
        <v/>
      </c>
      <c r="X19" s="459">
        <f>'_Engine_NR'!D53</f>
        <v/>
      </c>
      <c r="Y19" s="459">
        <f>'_Engine_NR'!D54</f>
        <v/>
      </c>
      <c r="Z19" s="458">
        <f>'_Engine_NR'!D55</f>
        <v/>
      </c>
      <c r="AA19" s="458">
        <f>'_Engine_NR'!D56</f>
        <v/>
      </c>
      <c r="AB19" s="458">
        <f>'_Engine_NR'!D57</f>
        <v/>
      </c>
      <c r="AC19" s="458">
        <f>'_Engine_NR'!D58</f>
        <v/>
      </c>
      <c r="AD19" s="458">
        <f>'_Engine_NR'!D59</f>
        <v/>
      </c>
      <c r="AE19" s="458">
        <f>'_Engine_NR'!D60</f>
        <v/>
      </c>
      <c r="AF19" s="458">
        <f>'_Engine_NR'!D61</f>
        <v/>
      </c>
      <c r="AG19" s="458">
        <f>'_Engine_NR'!D62</f>
        <v/>
      </c>
      <c r="AH19" s="458">
        <f>'_Engine_NR'!D63</f>
        <v/>
      </c>
      <c r="AI19" s="458">
        <f>'_Engine_NR'!D64</f>
        <v/>
      </c>
      <c r="AJ19" s="458">
        <f>'_Engine_NR'!D65</f>
        <v/>
      </c>
      <c r="AK19" s="458">
        <f>'_Engine_NR'!D66</f>
        <v/>
      </c>
      <c r="AL19" s="459">
        <f>'_Engine_NR'!D67</f>
        <v/>
      </c>
      <c r="AM19" s="459">
        <f>'_Engine_NR'!D68</f>
        <v/>
      </c>
      <c r="AN19" s="459">
        <f>'_Engine_NR'!D69</f>
        <v/>
      </c>
      <c r="AO19" s="459">
        <f>'_Engine_NR'!D70</f>
        <v/>
      </c>
      <c r="AP19" s="459">
        <f>'_Engine_NR'!D71</f>
        <v/>
      </c>
      <c r="AQ19" s="459">
        <f>'_Engine_NR'!D72</f>
        <v/>
      </c>
      <c r="AR19" s="459">
        <f>'_Engine_NR'!D73</f>
        <v/>
      </c>
      <c r="AS19" s="459">
        <f>'_Engine_NR'!D74</f>
        <v/>
      </c>
      <c r="AT19" s="459">
        <f>'_Engine_NR'!D75</f>
        <v/>
      </c>
      <c r="AU19" s="459">
        <f>'_Engine_NR'!D76</f>
        <v/>
      </c>
      <c r="AV19" s="459">
        <f>'_Engine_NR'!D77</f>
        <v/>
      </c>
      <c r="AW19" s="459">
        <f>'_Engine_NR'!D78</f>
        <v/>
      </c>
      <c r="AX19" s="458">
        <f>'_Engine_NR'!D79</f>
        <v/>
      </c>
      <c r="AY19" s="458">
        <f>'_Engine_NR'!D80</f>
        <v/>
      </c>
      <c r="AZ19" s="458">
        <f>'_Engine_NR'!D81</f>
        <v/>
      </c>
      <c r="BA19" s="458">
        <f>'_Engine_NR'!D82</f>
        <v/>
      </c>
      <c r="BB19" s="458">
        <f>'_Engine_NR'!D83</f>
        <v/>
      </c>
      <c r="BC19" s="458">
        <f>'_Engine_NR'!D84</f>
        <v/>
      </c>
      <c r="BD19" s="458">
        <f>'_Engine_NR'!D85</f>
        <v/>
      </c>
      <c r="BE19" s="458">
        <f>'_Engine_NR'!D86</f>
        <v/>
      </c>
      <c r="BF19" s="458">
        <f>'_Engine_NR'!D87</f>
        <v/>
      </c>
      <c r="BG19" s="458">
        <f>'_Engine_NR'!D88</f>
        <v/>
      </c>
      <c r="BH19" s="458">
        <f>'_Engine_NR'!D89</f>
        <v/>
      </c>
      <c r="BI19" s="458">
        <f>'_Engine_NR'!D90</f>
        <v/>
      </c>
      <c r="BJ19" s="459">
        <f>'_Engine_NR'!D91</f>
        <v/>
      </c>
      <c r="BK19" s="459">
        <f>'_Engine_NR'!D92</f>
        <v/>
      </c>
      <c r="BL19" s="459">
        <f>'_Engine_NR'!D93</f>
        <v/>
      </c>
      <c r="BM19" s="459">
        <f>'_Engine_NR'!D94</f>
        <v/>
      </c>
      <c r="BN19" s="459">
        <f>'_Engine_NR'!D95</f>
        <v/>
      </c>
      <c r="BO19" s="459">
        <f>'_Engine_NR'!D96</f>
        <v/>
      </c>
      <c r="BP19" s="459">
        <f>'_Engine_NR'!D97</f>
        <v/>
      </c>
      <c r="BQ19" s="459">
        <f>'_Engine_NR'!D98</f>
        <v/>
      </c>
      <c r="BR19" s="459">
        <f>'_Engine_NR'!D99</f>
        <v/>
      </c>
      <c r="BS19" s="459">
        <f>'_Engine_NR'!D100</f>
        <v/>
      </c>
      <c r="BT19" s="459">
        <f>'_Engine_NR'!D101</f>
        <v/>
      </c>
      <c r="BU19" s="459">
        <f>'_Engine_NR'!D102</f>
        <v/>
      </c>
      <c r="BV19" s="458">
        <f>'_Engine_NR'!D103</f>
        <v/>
      </c>
      <c r="BW19" s="458">
        <f>'_Engine_NR'!D104</f>
        <v/>
      </c>
      <c r="BX19" s="458">
        <f>'_Engine_NR'!D105</f>
        <v/>
      </c>
      <c r="BY19" s="458">
        <f>'_Engine_NR'!D106</f>
        <v/>
      </c>
      <c r="BZ19" s="458">
        <f>'_Engine_NR'!D107</f>
        <v/>
      </c>
      <c r="CA19" s="458">
        <f>'_Engine_NR'!D108</f>
        <v/>
      </c>
      <c r="CB19" s="458">
        <f>'_Engine_NR'!D109</f>
        <v/>
      </c>
      <c r="CC19" s="458">
        <f>'_Engine_NR'!D110</f>
        <v/>
      </c>
      <c r="CD19" s="458">
        <f>'_Engine_NR'!D111</f>
        <v/>
      </c>
      <c r="CE19" s="458">
        <f>'_Engine_NR'!D112</f>
        <v/>
      </c>
      <c r="CF19" s="458">
        <f>'_Engine_NR'!D113</f>
        <v/>
      </c>
      <c r="CG19" s="458">
        <f>'_Engine_NR'!D114</f>
        <v/>
      </c>
      <c r="CH19" s="459">
        <f>'_Engine_NR'!D115</f>
        <v/>
      </c>
      <c r="CI19" s="459">
        <f>'_Engine_NR'!D116</f>
        <v/>
      </c>
      <c r="CJ19" s="459">
        <f>'_Engine_NR'!D117</f>
        <v/>
      </c>
      <c r="CK19" s="459">
        <f>'_Engine_NR'!D118</f>
        <v/>
      </c>
      <c r="CL19" s="459">
        <f>'_Engine_NR'!D119</f>
        <v/>
      </c>
      <c r="CM19" s="459">
        <f>'_Engine_NR'!D120</f>
        <v/>
      </c>
      <c r="CN19" s="459">
        <f>'_Engine_NR'!D121</f>
        <v/>
      </c>
      <c r="CO19" s="459">
        <f>'_Engine_NR'!D122</f>
        <v/>
      </c>
      <c r="CP19" s="459">
        <f>'_Engine_NR'!D123</f>
        <v/>
      </c>
      <c r="CQ19" s="459">
        <f>'_Engine_NR'!D124</f>
        <v/>
      </c>
      <c r="CR19" s="459">
        <f>'_Engine_NR'!D125</f>
        <v/>
      </c>
      <c r="CS19" s="459">
        <f>'_Engine_NR'!D126</f>
        <v/>
      </c>
      <c r="CT19" s="458">
        <f>'_Engine_NR'!D127</f>
        <v/>
      </c>
      <c r="CU19" s="458">
        <f>'_Engine_NR'!D128</f>
        <v/>
      </c>
      <c r="CV19" s="458">
        <f>'_Engine_NR'!D129</f>
        <v/>
      </c>
      <c r="CW19" s="458">
        <f>'_Engine_NR'!D130</f>
        <v/>
      </c>
      <c r="CX19" s="458">
        <f>'_Engine_NR'!D131</f>
        <v/>
      </c>
      <c r="CY19" s="458">
        <f>'_Engine_NR'!D132</f>
        <v/>
      </c>
      <c r="CZ19" s="458">
        <f>'_Engine_NR'!D133</f>
        <v/>
      </c>
      <c r="DA19" s="458">
        <f>'_Engine_NR'!D134</f>
        <v/>
      </c>
      <c r="DB19" s="458">
        <f>'_Engine_NR'!D135</f>
        <v/>
      </c>
      <c r="DC19" s="458">
        <f>'_Engine_NR'!D136</f>
        <v/>
      </c>
      <c r="DD19" s="458">
        <f>'_Engine_NR'!D137</f>
        <v/>
      </c>
      <c r="DE19" s="458">
        <f>'_Engine_NR'!D138</f>
        <v/>
      </c>
      <c r="DF19" s="459">
        <f>'_Engine_NR'!D139</f>
        <v/>
      </c>
      <c r="DG19" s="459">
        <f>'_Engine_NR'!D140</f>
        <v/>
      </c>
      <c r="DH19" s="459">
        <f>'_Engine_NR'!D141</f>
        <v/>
      </c>
      <c r="DI19" s="459">
        <f>'_Engine_NR'!D142</f>
        <v/>
      </c>
      <c r="DJ19" s="459">
        <f>'_Engine_NR'!D143</f>
        <v/>
      </c>
      <c r="DK19" s="459">
        <f>'_Engine_NR'!D144</f>
        <v/>
      </c>
      <c r="DL19" s="459">
        <f>'_Engine_NR'!D145</f>
        <v/>
      </c>
      <c r="DM19" s="459">
        <f>'_Engine_NR'!D146</f>
        <v/>
      </c>
      <c r="DN19" s="459">
        <f>'_Engine_NR'!D147</f>
        <v/>
      </c>
      <c r="DO19" s="459">
        <f>'_Engine_NR'!D148</f>
        <v/>
      </c>
      <c r="DP19" s="459">
        <f>'_Engine_NR'!D149</f>
        <v/>
      </c>
      <c r="DQ19" s="459">
        <f>'_Engine_NR'!D150</f>
        <v/>
      </c>
      <c r="DR19" s="458">
        <f>'_Engine_NR'!D151</f>
        <v/>
      </c>
      <c r="DS19" s="458">
        <f>'_Engine_NR'!D152</f>
        <v/>
      </c>
      <c r="DT19" s="458">
        <f>'_Engine_NR'!D153</f>
        <v/>
      </c>
      <c r="DU19" s="458">
        <f>'_Engine_NR'!D154</f>
        <v/>
      </c>
      <c r="DV19" s="458">
        <f>'_Engine_NR'!D155</f>
        <v/>
      </c>
      <c r="DW19" s="458">
        <f>'_Engine_NR'!D156</f>
        <v/>
      </c>
      <c r="DX19" s="458">
        <f>'_Engine_NR'!D157</f>
        <v/>
      </c>
      <c r="DY19" s="458">
        <f>'_Engine_NR'!D158</f>
        <v/>
      </c>
      <c r="DZ19" s="458">
        <f>'_Engine_NR'!D159</f>
        <v/>
      </c>
      <c r="EA19" s="458">
        <f>'_Engine_NR'!D160</f>
        <v/>
      </c>
      <c r="EB19" s="458">
        <f>'_Engine_NR'!D161</f>
        <v/>
      </c>
      <c r="EC19" s="458">
        <f>'_Engine_NR'!D162</f>
        <v/>
      </c>
      <c r="ED19" s="459">
        <f>'_Engine_NR'!D163</f>
        <v/>
      </c>
      <c r="EE19" s="459">
        <f>'_Engine_NR'!D164</f>
        <v/>
      </c>
      <c r="EF19" s="459">
        <f>'_Engine_NR'!D165</f>
        <v/>
      </c>
      <c r="EG19" s="459">
        <f>'_Engine_NR'!D166</f>
        <v/>
      </c>
      <c r="EH19" s="459">
        <f>'_Engine_NR'!D167</f>
        <v/>
      </c>
      <c r="EI19" s="459">
        <f>'_Engine_NR'!D168</f>
        <v/>
      </c>
      <c r="EJ19" s="459">
        <f>'_Engine_NR'!D169</f>
        <v/>
      </c>
      <c r="EK19" s="459">
        <f>'_Engine_NR'!D170</f>
        <v/>
      </c>
      <c r="EL19" s="459">
        <f>'_Engine_NR'!D171</f>
        <v/>
      </c>
      <c r="EM19" s="459">
        <f>'_Engine_NR'!D172</f>
        <v/>
      </c>
      <c r="EN19" s="459">
        <f>'_Engine_NR'!D173</f>
        <v/>
      </c>
      <c r="EO19" s="459">
        <f>'_Engine_NR'!D174</f>
        <v/>
      </c>
      <c r="EP19" s="458">
        <f>'_Engine_NR'!D175</f>
        <v/>
      </c>
      <c r="EQ19" s="458">
        <f>'_Engine_NR'!D176</f>
        <v/>
      </c>
      <c r="ER19" s="458">
        <f>'_Engine_NR'!D177</f>
        <v/>
      </c>
      <c r="ES19" s="458">
        <f>'_Engine_NR'!D178</f>
        <v/>
      </c>
      <c r="ET19" s="458">
        <f>'_Engine_NR'!D179</f>
        <v/>
      </c>
      <c r="EU19" s="458">
        <f>'_Engine_NR'!D180</f>
        <v/>
      </c>
      <c r="EV19" s="458">
        <f>'_Engine_NR'!D181</f>
        <v/>
      </c>
      <c r="EW19" s="458">
        <f>'_Engine_NR'!D182</f>
        <v/>
      </c>
      <c r="EX19" s="458">
        <f>'_Engine_NR'!D183</f>
        <v/>
      </c>
      <c r="EY19" s="458">
        <f>'_Engine_NR'!D184</f>
        <v/>
      </c>
      <c r="EZ19" s="458">
        <f>'_Engine_NR'!D185</f>
        <v/>
      </c>
      <c r="FA19" s="458">
        <f>'_Engine_NR'!D186</f>
        <v/>
      </c>
      <c r="FB19" s="459">
        <f>'_Engine_NR'!D187</f>
        <v/>
      </c>
      <c r="FC19" s="459">
        <f>'_Engine_NR'!D188</f>
        <v/>
      </c>
      <c r="FD19" s="459">
        <f>'_Engine_NR'!D189</f>
        <v/>
      </c>
      <c r="FE19" s="459">
        <f>'_Engine_NR'!D190</f>
        <v/>
      </c>
      <c r="FF19" s="459">
        <f>'_Engine_NR'!D191</f>
        <v/>
      </c>
      <c r="FG19" s="459">
        <f>'_Engine_NR'!D192</f>
        <v/>
      </c>
      <c r="FH19" s="459">
        <f>'_Engine_NR'!D193</f>
        <v/>
      </c>
      <c r="FI19" s="459">
        <f>'_Engine_NR'!D194</f>
        <v/>
      </c>
      <c r="FJ19" s="459">
        <f>'_Engine_NR'!D195</f>
        <v/>
      </c>
      <c r="FK19" s="459">
        <f>'_Engine_NR'!D196</f>
        <v/>
      </c>
      <c r="FL19" s="459">
        <f>'_Engine_NR'!D197</f>
        <v/>
      </c>
      <c r="FM19" s="459">
        <f>'_Engine_NR'!D198</f>
        <v/>
      </c>
      <c r="FN19" s="458">
        <f>'_Engine_NR'!D199</f>
        <v/>
      </c>
      <c r="FO19" s="458">
        <f>'_Engine_NR'!D200</f>
        <v/>
      </c>
      <c r="FP19" s="458">
        <f>'_Engine_NR'!D201</f>
        <v/>
      </c>
      <c r="FQ19" s="458">
        <f>'_Engine_NR'!D202</f>
        <v/>
      </c>
      <c r="FR19" s="458">
        <f>'_Engine_NR'!D203</f>
        <v/>
      </c>
      <c r="FS19" s="458">
        <f>'_Engine_NR'!D204</f>
        <v/>
      </c>
      <c r="FT19" s="458">
        <f>'_Engine_NR'!D205</f>
        <v/>
      </c>
      <c r="FU19" s="458">
        <f>'_Engine_NR'!D206</f>
        <v/>
      </c>
      <c r="FV19" s="458">
        <f>'_Engine_NR'!D207</f>
        <v/>
      </c>
      <c r="FW19" s="458">
        <f>'_Engine_NR'!D208</f>
        <v/>
      </c>
      <c r="FX19" s="458">
        <f>'_Engine_NR'!D209</f>
        <v/>
      </c>
      <c r="FY19" s="458">
        <f>'_Engine_NR'!D210</f>
        <v/>
      </c>
      <c r="FZ19" s="306" t="n"/>
    </row>
    <row r="20" ht="15" customHeight="1" s="307">
      <c r="A20" s="321" t="inlineStr">
        <is>
          <t xml:space="preserve">    Legacy Headcount Expenses</t>
        </is>
      </c>
      <c r="B20" s="458">
        <f>'_Engine_NR'!E31</f>
        <v/>
      </c>
      <c r="C20" s="458">
        <f>'_Engine_NR'!E32</f>
        <v/>
      </c>
      <c r="D20" s="458">
        <f>'_Engine_NR'!E33</f>
        <v/>
      </c>
      <c r="E20" s="458">
        <f>'_Engine_NR'!E34</f>
        <v/>
      </c>
      <c r="F20" s="458">
        <f>'_Engine_NR'!E35</f>
        <v/>
      </c>
      <c r="G20" s="458">
        <f>'_Engine_NR'!E36</f>
        <v/>
      </c>
      <c r="H20" s="458">
        <f>'_Engine_NR'!E37</f>
        <v/>
      </c>
      <c r="I20" s="458">
        <f>'_Engine_NR'!E38</f>
        <v/>
      </c>
      <c r="J20" s="458">
        <f>'_Engine_NR'!E39</f>
        <v/>
      </c>
      <c r="K20" s="458">
        <f>'_Engine_NR'!E40</f>
        <v/>
      </c>
      <c r="L20" s="458">
        <f>'_Engine_NR'!E41</f>
        <v/>
      </c>
      <c r="M20" s="458">
        <f>'_Engine_NR'!E42</f>
        <v/>
      </c>
      <c r="N20" s="459">
        <f>'_Engine_NR'!E43</f>
        <v/>
      </c>
      <c r="O20" s="459">
        <f>'_Engine_NR'!E44</f>
        <v/>
      </c>
      <c r="P20" s="459">
        <f>'_Engine_NR'!E45</f>
        <v/>
      </c>
      <c r="Q20" s="459">
        <f>'_Engine_NR'!E46</f>
        <v/>
      </c>
      <c r="R20" s="459">
        <f>'_Engine_NR'!E47</f>
        <v/>
      </c>
      <c r="S20" s="459">
        <f>'_Engine_NR'!E48</f>
        <v/>
      </c>
      <c r="T20" s="459">
        <f>'_Engine_NR'!E49</f>
        <v/>
      </c>
      <c r="U20" s="459">
        <f>'_Engine_NR'!E50</f>
        <v/>
      </c>
      <c r="V20" s="459">
        <f>'_Engine_NR'!E51</f>
        <v/>
      </c>
      <c r="W20" s="459">
        <f>'_Engine_NR'!E52</f>
        <v/>
      </c>
      <c r="X20" s="459">
        <f>'_Engine_NR'!E53</f>
        <v/>
      </c>
      <c r="Y20" s="459">
        <f>'_Engine_NR'!E54</f>
        <v/>
      </c>
      <c r="Z20" s="458">
        <f>'_Engine_NR'!E55</f>
        <v/>
      </c>
      <c r="AA20" s="458">
        <f>'_Engine_NR'!E56</f>
        <v/>
      </c>
      <c r="AB20" s="458">
        <f>'_Engine_NR'!E57</f>
        <v/>
      </c>
      <c r="AC20" s="458">
        <f>'_Engine_NR'!E58</f>
        <v/>
      </c>
      <c r="AD20" s="458">
        <f>'_Engine_NR'!E59</f>
        <v/>
      </c>
      <c r="AE20" s="458">
        <f>'_Engine_NR'!E60</f>
        <v/>
      </c>
      <c r="AF20" s="458">
        <f>'_Engine_NR'!E61</f>
        <v/>
      </c>
      <c r="AG20" s="458">
        <f>'_Engine_NR'!E62</f>
        <v/>
      </c>
      <c r="AH20" s="458">
        <f>'_Engine_NR'!E63</f>
        <v/>
      </c>
      <c r="AI20" s="458">
        <f>'_Engine_NR'!E64</f>
        <v/>
      </c>
      <c r="AJ20" s="458">
        <f>'_Engine_NR'!E65</f>
        <v/>
      </c>
      <c r="AK20" s="458">
        <f>'_Engine_NR'!E66</f>
        <v/>
      </c>
      <c r="AL20" s="459">
        <f>'_Engine_NR'!E67</f>
        <v/>
      </c>
      <c r="AM20" s="459">
        <f>'_Engine_NR'!E68</f>
        <v/>
      </c>
      <c r="AN20" s="459">
        <f>'_Engine_NR'!E69</f>
        <v/>
      </c>
      <c r="AO20" s="459">
        <f>'_Engine_NR'!E70</f>
        <v/>
      </c>
      <c r="AP20" s="459">
        <f>'_Engine_NR'!E71</f>
        <v/>
      </c>
      <c r="AQ20" s="459">
        <f>'_Engine_NR'!E72</f>
        <v/>
      </c>
      <c r="AR20" s="459">
        <f>'_Engine_NR'!E73</f>
        <v/>
      </c>
      <c r="AS20" s="459">
        <f>'_Engine_NR'!E74</f>
        <v/>
      </c>
      <c r="AT20" s="459">
        <f>'_Engine_NR'!E75</f>
        <v/>
      </c>
      <c r="AU20" s="459">
        <f>'_Engine_NR'!E76</f>
        <v/>
      </c>
      <c r="AV20" s="459">
        <f>'_Engine_NR'!E77</f>
        <v/>
      </c>
      <c r="AW20" s="459">
        <f>'_Engine_NR'!E78</f>
        <v/>
      </c>
      <c r="AX20" s="458">
        <f>'_Engine_NR'!E79</f>
        <v/>
      </c>
      <c r="AY20" s="458">
        <f>'_Engine_NR'!E80</f>
        <v/>
      </c>
      <c r="AZ20" s="458">
        <f>'_Engine_NR'!E81</f>
        <v/>
      </c>
      <c r="BA20" s="458">
        <f>'_Engine_NR'!E82</f>
        <v/>
      </c>
      <c r="BB20" s="458">
        <f>'_Engine_NR'!E83</f>
        <v/>
      </c>
      <c r="BC20" s="458">
        <f>'_Engine_NR'!E84</f>
        <v/>
      </c>
      <c r="BD20" s="458">
        <f>'_Engine_NR'!E85</f>
        <v/>
      </c>
      <c r="BE20" s="458">
        <f>'_Engine_NR'!E86</f>
        <v/>
      </c>
      <c r="BF20" s="458">
        <f>'_Engine_NR'!E87</f>
        <v/>
      </c>
      <c r="BG20" s="458">
        <f>'_Engine_NR'!E88</f>
        <v/>
      </c>
      <c r="BH20" s="458">
        <f>'_Engine_NR'!E89</f>
        <v/>
      </c>
      <c r="BI20" s="458">
        <f>'_Engine_NR'!E90</f>
        <v/>
      </c>
      <c r="BJ20" s="459">
        <f>'_Engine_NR'!E91</f>
        <v/>
      </c>
      <c r="BK20" s="459">
        <f>'_Engine_NR'!E92</f>
        <v/>
      </c>
      <c r="BL20" s="459">
        <f>'_Engine_NR'!E93</f>
        <v/>
      </c>
      <c r="BM20" s="459">
        <f>'_Engine_NR'!E94</f>
        <v/>
      </c>
      <c r="BN20" s="459">
        <f>'_Engine_NR'!E95</f>
        <v/>
      </c>
      <c r="BO20" s="459">
        <f>'_Engine_NR'!E96</f>
        <v/>
      </c>
      <c r="BP20" s="459">
        <f>'_Engine_NR'!E97</f>
        <v/>
      </c>
      <c r="BQ20" s="459">
        <f>'_Engine_NR'!E98</f>
        <v/>
      </c>
      <c r="BR20" s="459">
        <f>'_Engine_NR'!E99</f>
        <v/>
      </c>
      <c r="BS20" s="459">
        <f>'_Engine_NR'!E100</f>
        <v/>
      </c>
      <c r="BT20" s="459">
        <f>'_Engine_NR'!E101</f>
        <v/>
      </c>
      <c r="BU20" s="459">
        <f>'_Engine_NR'!E102</f>
        <v/>
      </c>
      <c r="BV20" s="458">
        <f>'_Engine_NR'!E103</f>
        <v/>
      </c>
      <c r="BW20" s="458">
        <f>'_Engine_NR'!E104</f>
        <v/>
      </c>
      <c r="BX20" s="458">
        <f>'_Engine_NR'!E105</f>
        <v/>
      </c>
      <c r="BY20" s="458">
        <f>'_Engine_NR'!E106</f>
        <v/>
      </c>
      <c r="BZ20" s="458">
        <f>'_Engine_NR'!E107</f>
        <v/>
      </c>
      <c r="CA20" s="458">
        <f>'_Engine_NR'!E108</f>
        <v/>
      </c>
      <c r="CB20" s="458">
        <f>'_Engine_NR'!E109</f>
        <v/>
      </c>
      <c r="CC20" s="458">
        <f>'_Engine_NR'!E110</f>
        <v/>
      </c>
      <c r="CD20" s="458">
        <f>'_Engine_NR'!E111</f>
        <v/>
      </c>
      <c r="CE20" s="458">
        <f>'_Engine_NR'!E112</f>
        <v/>
      </c>
      <c r="CF20" s="458">
        <f>'_Engine_NR'!E113</f>
        <v/>
      </c>
      <c r="CG20" s="458">
        <f>'_Engine_NR'!E114</f>
        <v/>
      </c>
      <c r="CH20" s="459">
        <f>'_Engine_NR'!E115</f>
        <v/>
      </c>
      <c r="CI20" s="459">
        <f>'_Engine_NR'!E116</f>
        <v/>
      </c>
      <c r="CJ20" s="459">
        <f>'_Engine_NR'!E117</f>
        <v/>
      </c>
      <c r="CK20" s="459">
        <f>'_Engine_NR'!E118</f>
        <v/>
      </c>
      <c r="CL20" s="459">
        <f>'_Engine_NR'!E119</f>
        <v/>
      </c>
      <c r="CM20" s="459">
        <f>'_Engine_NR'!E120</f>
        <v/>
      </c>
      <c r="CN20" s="459">
        <f>'_Engine_NR'!E121</f>
        <v/>
      </c>
      <c r="CO20" s="459">
        <f>'_Engine_NR'!E122</f>
        <v/>
      </c>
      <c r="CP20" s="459">
        <f>'_Engine_NR'!E123</f>
        <v/>
      </c>
      <c r="CQ20" s="459">
        <f>'_Engine_NR'!E124</f>
        <v/>
      </c>
      <c r="CR20" s="459">
        <f>'_Engine_NR'!E125</f>
        <v/>
      </c>
      <c r="CS20" s="459">
        <f>'_Engine_NR'!E126</f>
        <v/>
      </c>
      <c r="CT20" s="458">
        <f>'_Engine_NR'!E127</f>
        <v/>
      </c>
      <c r="CU20" s="458">
        <f>'_Engine_NR'!E128</f>
        <v/>
      </c>
      <c r="CV20" s="458">
        <f>'_Engine_NR'!E129</f>
        <v/>
      </c>
      <c r="CW20" s="458">
        <f>'_Engine_NR'!E130</f>
        <v/>
      </c>
      <c r="CX20" s="458">
        <f>'_Engine_NR'!E131</f>
        <v/>
      </c>
      <c r="CY20" s="458">
        <f>'_Engine_NR'!E132</f>
        <v/>
      </c>
      <c r="CZ20" s="458">
        <f>'_Engine_NR'!E133</f>
        <v/>
      </c>
      <c r="DA20" s="458">
        <f>'_Engine_NR'!E134</f>
        <v/>
      </c>
      <c r="DB20" s="458">
        <f>'_Engine_NR'!E135</f>
        <v/>
      </c>
      <c r="DC20" s="458">
        <f>'_Engine_NR'!E136</f>
        <v/>
      </c>
      <c r="DD20" s="458">
        <f>'_Engine_NR'!E137</f>
        <v/>
      </c>
      <c r="DE20" s="458">
        <f>'_Engine_NR'!E138</f>
        <v/>
      </c>
      <c r="DF20" s="459">
        <f>'_Engine_NR'!E139</f>
        <v/>
      </c>
      <c r="DG20" s="459">
        <f>'_Engine_NR'!E140</f>
        <v/>
      </c>
      <c r="DH20" s="459">
        <f>'_Engine_NR'!E141</f>
        <v/>
      </c>
      <c r="DI20" s="459">
        <f>'_Engine_NR'!E142</f>
        <v/>
      </c>
      <c r="DJ20" s="459">
        <f>'_Engine_NR'!E143</f>
        <v/>
      </c>
      <c r="DK20" s="459">
        <f>'_Engine_NR'!E144</f>
        <v/>
      </c>
      <c r="DL20" s="459">
        <f>'_Engine_NR'!E145</f>
        <v/>
      </c>
      <c r="DM20" s="459">
        <f>'_Engine_NR'!E146</f>
        <v/>
      </c>
      <c r="DN20" s="459">
        <f>'_Engine_NR'!E147</f>
        <v/>
      </c>
      <c r="DO20" s="459">
        <f>'_Engine_NR'!E148</f>
        <v/>
      </c>
      <c r="DP20" s="459">
        <f>'_Engine_NR'!E149</f>
        <v/>
      </c>
      <c r="DQ20" s="459">
        <f>'_Engine_NR'!E150</f>
        <v/>
      </c>
      <c r="DR20" s="458">
        <f>'_Engine_NR'!E151</f>
        <v/>
      </c>
      <c r="DS20" s="458">
        <f>'_Engine_NR'!E152</f>
        <v/>
      </c>
      <c r="DT20" s="458">
        <f>'_Engine_NR'!E153</f>
        <v/>
      </c>
      <c r="DU20" s="458">
        <f>'_Engine_NR'!E154</f>
        <v/>
      </c>
      <c r="DV20" s="458">
        <f>'_Engine_NR'!E155</f>
        <v/>
      </c>
      <c r="DW20" s="458">
        <f>'_Engine_NR'!E156</f>
        <v/>
      </c>
      <c r="DX20" s="458">
        <f>'_Engine_NR'!E157</f>
        <v/>
      </c>
      <c r="DY20" s="458">
        <f>'_Engine_NR'!E158</f>
        <v/>
      </c>
      <c r="DZ20" s="458">
        <f>'_Engine_NR'!E159</f>
        <v/>
      </c>
      <c r="EA20" s="458">
        <f>'_Engine_NR'!E160</f>
        <v/>
      </c>
      <c r="EB20" s="458">
        <f>'_Engine_NR'!E161</f>
        <v/>
      </c>
      <c r="EC20" s="458">
        <f>'_Engine_NR'!E162</f>
        <v/>
      </c>
      <c r="ED20" s="459">
        <f>'_Engine_NR'!E163</f>
        <v/>
      </c>
      <c r="EE20" s="459">
        <f>'_Engine_NR'!E164</f>
        <v/>
      </c>
      <c r="EF20" s="459">
        <f>'_Engine_NR'!E165</f>
        <v/>
      </c>
      <c r="EG20" s="459">
        <f>'_Engine_NR'!E166</f>
        <v/>
      </c>
      <c r="EH20" s="459">
        <f>'_Engine_NR'!E167</f>
        <v/>
      </c>
      <c r="EI20" s="459">
        <f>'_Engine_NR'!E168</f>
        <v/>
      </c>
      <c r="EJ20" s="459">
        <f>'_Engine_NR'!E169</f>
        <v/>
      </c>
      <c r="EK20" s="459">
        <f>'_Engine_NR'!E170</f>
        <v/>
      </c>
      <c r="EL20" s="459">
        <f>'_Engine_NR'!E171</f>
        <v/>
      </c>
      <c r="EM20" s="459">
        <f>'_Engine_NR'!E172</f>
        <v/>
      </c>
      <c r="EN20" s="459">
        <f>'_Engine_NR'!E173</f>
        <v/>
      </c>
      <c r="EO20" s="459">
        <f>'_Engine_NR'!E174</f>
        <v/>
      </c>
      <c r="EP20" s="458">
        <f>'_Engine_NR'!E175</f>
        <v/>
      </c>
      <c r="EQ20" s="458">
        <f>'_Engine_NR'!E176</f>
        <v/>
      </c>
      <c r="ER20" s="458">
        <f>'_Engine_NR'!E177</f>
        <v/>
      </c>
      <c r="ES20" s="458">
        <f>'_Engine_NR'!E178</f>
        <v/>
      </c>
      <c r="ET20" s="458">
        <f>'_Engine_NR'!E179</f>
        <v/>
      </c>
      <c r="EU20" s="458">
        <f>'_Engine_NR'!E180</f>
        <v/>
      </c>
      <c r="EV20" s="458">
        <f>'_Engine_NR'!E181</f>
        <v/>
      </c>
      <c r="EW20" s="458">
        <f>'_Engine_NR'!E182</f>
        <v/>
      </c>
      <c r="EX20" s="458">
        <f>'_Engine_NR'!E183</f>
        <v/>
      </c>
      <c r="EY20" s="458">
        <f>'_Engine_NR'!E184</f>
        <v/>
      </c>
      <c r="EZ20" s="458">
        <f>'_Engine_NR'!E185</f>
        <v/>
      </c>
      <c r="FA20" s="458">
        <f>'_Engine_NR'!E186</f>
        <v/>
      </c>
      <c r="FB20" s="459">
        <f>'_Engine_NR'!E187</f>
        <v/>
      </c>
      <c r="FC20" s="459">
        <f>'_Engine_NR'!E188</f>
        <v/>
      </c>
      <c r="FD20" s="459">
        <f>'_Engine_NR'!E189</f>
        <v/>
      </c>
      <c r="FE20" s="459">
        <f>'_Engine_NR'!E190</f>
        <v/>
      </c>
      <c r="FF20" s="459">
        <f>'_Engine_NR'!E191</f>
        <v/>
      </c>
      <c r="FG20" s="459">
        <f>'_Engine_NR'!E192</f>
        <v/>
      </c>
      <c r="FH20" s="459">
        <f>'_Engine_NR'!E193</f>
        <v/>
      </c>
      <c r="FI20" s="459">
        <f>'_Engine_NR'!E194</f>
        <v/>
      </c>
      <c r="FJ20" s="459">
        <f>'_Engine_NR'!E195</f>
        <v/>
      </c>
      <c r="FK20" s="459">
        <f>'_Engine_NR'!E196</f>
        <v/>
      </c>
      <c r="FL20" s="459">
        <f>'_Engine_NR'!E197</f>
        <v/>
      </c>
      <c r="FM20" s="459">
        <f>'_Engine_NR'!E198</f>
        <v/>
      </c>
      <c r="FN20" s="458">
        <f>'_Engine_NR'!E199</f>
        <v/>
      </c>
      <c r="FO20" s="458">
        <f>'_Engine_NR'!E200</f>
        <v/>
      </c>
      <c r="FP20" s="458">
        <f>'_Engine_NR'!E201</f>
        <v/>
      </c>
      <c r="FQ20" s="458">
        <f>'_Engine_NR'!E202</f>
        <v/>
      </c>
      <c r="FR20" s="458">
        <f>'_Engine_NR'!E203</f>
        <v/>
      </c>
      <c r="FS20" s="458">
        <f>'_Engine_NR'!E204</f>
        <v/>
      </c>
      <c r="FT20" s="458">
        <f>'_Engine_NR'!E205</f>
        <v/>
      </c>
      <c r="FU20" s="458">
        <f>'_Engine_NR'!E206</f>
        <v/>
      </c>
      <c r="FV20" s="458">
        <f>'_Engine_NR'!E207</f>
        <v/>
      </c>
      <c r="FW20" s="458">
        <f>'_Engine_NR'!E208</f>
        <v/>
      </c>
      <c r="FX20" s="458">
        <f>'_Engine_NR'!E209</f>
        <v/>
      </c>
      <c r="FY20" s="458">
        <f>'_Engine_NR'!E210</f>
        <v/>
      </c>
      <c r="FZ20" s="306" t="n"/>
    </row>
    <row r="21" ht="15" customHeight="1" s="307">
      <c r="A21" s="321" t="inlineStr">
        <is>
          <t xml:space="preserve">    Bonus Pool</t>
        </is>
      </c>
      <c r="B21" s="458">
        <f>'_Engine_NR'!Q31</f>
        <v/>
      </c>
      <c r="C21" s="458">
        <f>'_Engine_NR'!Q32</f>
        <v/>
      </c>
      <c r="D21" s="458">
        <f>'_Engine_NR'!Q33</f>
        <v/>
      </c>
      <c r="E21" s="458">
        <f>'_Engine_NR'!Q34</f>
        <v/>
      </c>
      <c r="F21" s="458">
        <f>'_Engine_NR'!Q35</f>
        <v/>
      </c>
      <c r="G21" s="458">
        <f>'_Engine_NR'!Q36</f>
        <v/>
      </c>
      <c r="H21" s="458">
        <f>'_Engine_NR'!Q37</f>
        <v/>
      </c>
      <c r="I21" s="458">
        <f>'_Engine_NR'!Q38</f>
        <v/>
      </c>
      <c r="J21" s="458">
        <f>'_Engine_NR'!Q39</f>
        <v/>
      </c>
      <c r="K21" s="458">
        <f>'_Engine_NR'!Q40</f>
        <v/>
      </c>
      <c r="L21" s="458">
        <f>'_Engine_NR'!Q41</f>
        <v/>
      </c>
      <c r="M21" s="458">
        <f>'_Engine_NR'!Q42</f>
        <v/>
      </c>
      <c r="N21" s="459">
        <f>'_Engine_NR'!Q43</f>
        <v/>
      </c>
      <c r="O21" s="459">
        <f>'_Engine_NR'!Q44</f>
        <v/>
      </c>
      <c r="P21" s="459">
        <f>'_Engine_NR'!Q45</f>
        <v/>
      </c>
      <c r="Q21" s="459">
        <f>'_Engine_NR'!Q46</f>
        <v/>
      </c>
      <c r="R21" s="459">
        <f>'_Engine_NR'!Q47</f>
        <v/>
      </c>
      <c r="S21" s="459">
        <f>'_Engine_NR'!Q48</f>
        <v/>
      </c>
      <c r="T21" s="459">
        <f>'_Engine_NR'!Q49</f>
        <v/>
      </c>
      <c r="U21" s="459">
        <f>'_Engine_NR'!Q50</f>
        <v/>
      </c>
      <c r="V21" s="459">
        <f>'_Engine_NR'!Q51</f>
        <v/>
      </c>
      <c r="W21" s="459">
        <f>'_Engine_NR'!Q52</f>
        <v/>
      </c>
      <c r="X21" s="459">
        <f>'_Engine_NR'!Q53</f>
        <v/>
      </c>
      <c r="Y21" s="459">
        <f>'_Engine_NR'!Q54</f>
        <v/>
      </c>
      <c r="Z21" s="458">
        <f>'_Engine_NR'!Q55</f>
        <v/>
      </c>
      <c r="AA21" s="458">
        <f>'_Engine_NR'!Q56</f>
        <v/>
      </c>
      <c r="AB21" s="458">
        <f>'_Engine_NR'!Q57</f>
        <v/>
      </c>
      <c r="AC21" s="458">
        <f>'_Engine_NR'!Q58</f>
        <v/>
      </c>
      <c r="AD21" s="458">
        <f>'_Engine_NR'!Q59</f>
        <v/>
      </c>
      <c r="AE21" s="458">
        <f>'_Engine_NR'!Q60</f>
        <v/>
      </c>
      <c r="AF21" s="458">
        <f>'_Engine_NR'!Q61</f>
        <v/>
      </c>
      <c r="AG21" s="458">
        <f>'_Engine_NR'!Q62</f>
        <v/>
      </c>
      <c r="AH21" s="458">
        <f>'_Engine_NR'!Q63</f>
        <v/>
      </c>
      <c r="AI21" s="458">
        <f>'_Engine_NR'!Q64</f>
        <v/>
      </c>
      <c r="AJ21" s="458">
        <f>'_Engine_NR'!Q65</f>
        <v/>
      </c>
      <c r="AK21" s="458">
        <f>'_Engine_NR'!Q66</f>
        <v/>
      </c>
      <c r="AL21" s="459">
        <f>'_Engine_NR'!Q67</f>
        <v/>
      </c>
      <c r="AM21" s="459">
        <f>'_Engine_NR'!Q68</f>
        <v/>
      </c>
      <c r="AN21" s="459">
        <f>'_Engine_NR'!Q69</f>
        <v/>
      </c>
      <c r="AO21" s="459">
        <f>'_Engine_NR'!Q70</f>
        <v/>
      </c>
      <c r="AP21" s="459">
        <f>'_Engine_NR'!Q71</f>
        <v/>
      </c>
      <c r="AQ21" s="459">
        <f>'_Engine_NR'!Q72</f>
        <v/>
      </c>
      <c r="AR21" s="459">
        <f>'_Engine_NR'!Q73</f>
        <v/>
      </c>
      <c r="AS21" s="459">
        <f>'_Engine_NR'!Q74</f>
        <v/>
      </c>
      <c r="AT21" s="459">
        <f>'_Engine_NR'!Q75</f>
        <v/>
      </c>
      <c r="AU21" s="459">
        <f>'_Engine_NR'!Q76</f>
        <v/>
      </c>
      <c r="AV21" s="459">
        <f>'_Engine_NR'!Q77</f>
        <v/>
      </c>
      <c r="AW21" s="459">
        <f>'_Engine_NR'!Q78</f>
        <v/>
      </c>
      <c r="AX21" s="458">
        <f>'_Engine_NR'!Q79</f>
        <v/>
      </c>
      <c r="AY21" s="458">
        <f>'_Engine_NR'!Q80</f>
        <v/>
      </c>
      <c r="AZ21" s="458">
        <f>'_Engine_NR'!Q81</f>
        <v/>
      </c>
      <c r="BA21" s="458">
        <f>'_Engine_NR'!Q82</f>
        <v/>
      </c>
      <c r="BB21" s="458">
        <f>'_Engine_NR'!Q83</f>
        <v/>
      </c>
      <c r="BC21" s="458">
        <f>'_Engine_NR'!Q84</f>
        <v/>
      </c>
      <c r="BD21" s="458">
        <f>'_Engine_NR'!Q85</f>
        <v/>
      </c>
      <c r="BE21" s="458">
        <f>'_Engine_NR'!Q86</f>
        <v/>
      </c>
      <c r="BF21" s="458">
        <f>'_Engine_NR'!Q87</f>
        <v/>
      </c>
      <c r="BG21" s="458">
        <f>'_Engine_NR'!Q88</f>
        <v/>
      </c>
      <c r="BH21" s="458">
        <f>'_Engine_NR'!Q89</f>
        <v/>
      </c>
      <c r="BI21" s="458">
        <f>'_Engine_NR'!Q90</f>
        <v/>
      </c>
      <c r="BJ21" s="459">
        <f>'_Engine_NR'!Q91</f>
        <v/>
      </c>
      <c r="BK21" s="459">
        <f>'_Engine_NR'!Q92</f>
        <v/>
      </c>
      <c r="BL21" s="459">
        <f>'_Engine_NR'!Q93</f>
        <v/>
      </c>
      <c r="BM21" s="459">
        <f>'_Engine_NR'!Q94</f>
        <v/>
      </c>
      <c r="BN21" s="459">
        <f>'_Engine_NR'!Q95</f>
        <v/>
      </c>
      <c r="BO21" s="459">
        <f>'_Engine_NR'!Q96</f>
        <v/>
      </c>
      <c r="BP21" s="459">
        <f>'_Engine_NR'!Q97</f>
        <v/>
      </c>
      <c r="BQ21" s="459">
        <f>'_Engine_NR'!Q98</f>
        <v/>
      </c>
      <c r="BR21" s="459">
        <f>'_Engine_NR'!Q99</f>
        <v/>
      </c>
      <c r="BS21" s="459">
        <f>'_Engine_NR'!Q100</f>
        <v/>
      </c>
      <c r="BT21" s="459">
        <f>'_Engine_NR'!Q101</f>
        <v/>
      </c>
      <c r="BU21" s="459">
        <f>'_Engine_NR'!Q102</f>
        <v/>
      </c>
      <c r="BV21" s="458">
        <f>'_Engine_NR'!Q103</f>
        <v/>
      </c>
      <c r="BW21" s="458">
        <f>'_Engine_NR'!Q104</f>
        <v/>
      </c>
      <c r="BX21" s="458">
        <f>'_Engine_NR'!Q105</f>
        <v/>
      </c>
      <c r="BY21" s="458">
        <f>'_Engine_NR'!Q106</f>
        <v/>
      </c>
      <c r="BZ21" s="458">
        <f>'_Engine_NR'!Q107</f>
        <v/>
      </c>
      <c r="CA21" s="458">
        <f>'_Engine_NR'!Q108</f>
        <v/>
      </c>
      <c r="CB21" s="458">
        <f>'_Engine_NR'!Q109</f>
        <v/>
      </c>
      <c r="CC21" s="458">
        <f>'_Engine_NR'!Q110</f>
        <v/>
      </c>
      <c r="CD21" s="458">
        <f>'_Engine_NR'!Q111</f>
        <v/>
      </c>
      <c r="CE21" s="458">
        <f>'_Engine_NR'!Q112</f>
        <v/>
      </c>
      <c r="CF21" s="458">
        <f>'_Engine_NR'!Q113</f>
        <v/>
      </c>
      <c r="CG21" s="458">
        <f>'_Engine_NR'!Q114</f>
        <v/>
      </c>
      <c r="CH21" s="459">
        <f>'_Engine_NR'!Q115</f>
        <v/>
      </c>
      <c r="CI21" s="459">
        <f>'_Engine_NR'!Q116</f>
        <v/>
      </c>
      <c r="CJ21" s="459">
        <f>'_Engine_NR'!Q117</f>
        <v/>
      </c>
      <c r="CK21" s="459">
        <f>'_Engine_NR'!Q118</f>
        <v/>
      </c>
      <c r="CL21" s="459">
        <f>'_Engine_NR'!Q119</f>
        <v/>
      </c>
      <c r="CM21" s="459">
        <f>'_Engine_NR'!Q120</f>
        <v/>
      </c>
      <c r="CN21" s="459">
        <f>'_Engine_NR'!Q121</f>
        <v/>
      </c>
      <c r="CO21" s="459">
        <f>'_Engine_NR'!Q122</f>
        <v/>
      </c>
      <c r="CP21" s="459">
        <f>'_Engine_NR'!Q123</f>
        <v/>
      </c>
      <c r="CQ21" s="459">
        <f>'_Engine_NR'!Q124</f>
        <v/>
      </c>
      <c r="CR21" s="459">
        <f>'_Engine_NR'!Q125</f>
        <v/>
      </c>
      <c r="CS21" s="459">
        <f>'_Engine_NR'!Q126</f>
        <v/>
      </c>
      <c r="CT21" s="458">
        <f>'_Engine_NR'!Q127</f>
        <v/>
      </c>
      <c r="CU21" s="458">
        <f>'_Engine_NR'!Q128</f>
        <v/>
      </c>
      <c r="CV21" s="458">
        <f>'_Engine_NR'!Q129</f>
        <v/>
      </c>
      <c r="CW21" s="458">
        <f>'_Engine_NR'!Q130</f>
        <v/>
      </c>
      <c r="CX21" s="458">
        <f>'_Engine_NR'!Q131</f>
        <v/>
      </c>
      <c r="CY21" s="458">
        <f>'_Engine_NR'!Q132</f>
        <v/>
      </c>
      <c r="CZ21" s="458">
        <f>'_Engine_NR'!Q133</f>
        <v/>
      </c>
      <c r="DA21" s="458">
        <f>'_Engine_NR'!Q134</f>
        <v/>
      </c>
      <c r="DB21" s="458">
        <f>'_Engine_NR'!Q135</f>
        <v/>
      </c>
      <c r="DC21" s="458">
        <f>'_Engine_NR'!Q136</f>
        <v/>
      </c>
      <c r="DD21" s="458">
        <f>'_Engine_NR'!Q137</f>
        <v/>
      </c>
      <c r="DE21" s="458">
        <f>'_Engine_NR'!Q138</f>
        <v/>
      </c>
      <c r="DF21" s="459">
        <f>'_Engine_NR'!Q139</f>
        <v/>
      </c>
      <c r="DG21" s="459">
        <f>'_Engine_NR'!Q140</f>
        <v/>
      </c>
      <c r="DH21" s="459">
        <f>'_Engine_NR'!Q141</f>
        <v/>
      </c>
      <c r="DI21" s="459">
        <f>'_Engine_NR'!Q142</f>
        <v/>
      </c>
      <c r="DJ21" s="459">
        <f>'_Engine_NR'!Q143</f>
        <v/>
      </c>
      <c r="DK21" s="459">
        <f>'_Engine_NR'!Q144</f>
        <v/>
      </c>
      <c r="DL21" s="459">
        <f>'_Engine_NR'!Q145</f>
        <v/>
      </c>
      <c r="DM21" s="459">
        <f>'_Engine_NR'!Q146</f>
        <v/>
      </c>
      <c r="DN21" s="459">
        <f>'_Engine_NR'!Q147</f>
        <v/>
      </c>
      <c r="DO21" s="459">
        <f>'_Engine_NR'!Q148</f>
        <v/>
      </c>
      <c r="DP21" s="459">
        <f>'_Engine_NR'!Q149</f>
        <v/>
      </c>
      <c r="DQ21" s="459">
        <f>'_Engine_NR'!Q150</f>
        <v/>
      </c>
      <c r="DR21" s="458">
        <f>'_Engine_NR'!Q151</f>
        <v/>
      </c>
      <c r="DS21" s="458">
        <f>'_Engine_NR'!Q152</f>
        <v/>
      </c>
      <c r="DT21" s="458">
        <f>'_Engine_NR'!Q153</f>
        <v/>
      </c>
      <c r="DU21" s="458">
        <f>'_Engine_NR'!Q154</f>
        <v/>
      </c>
      <c r="DV21" s="458">
        <f>'_Engine_NR'!Q155</f>
        <v/>
      </c>
      <c r="DW21" s="458">
        <f>'_Engine_NR'!Q156</f>
        <v/>
      </c>
      <c r="DX21" s="458">
        <f>'_Engine_NR'!Q157</f>
        <v/>
      </c>
      <c r="DY21" s="458">
        <f>'_Engine_NR'!Q158</f>
        <v/>
      </c>
      <c r="DZ21" s="458">
        <f>'_Engine_NR'!Q159</f>
        <v/>
      </c>
      <c r="EA21" s="458">
        <f>'_Engine_NR'!Q160</f>
        <v/>
      </c>
      <c r="EB21" s="458">
        <f>'_Engine_NR'!Q161</f>
        <v/>
      </c>
      <c r="EC21" s="458">
        <f>'_Engine_NR'!Q162</f>
        <v/>
      </c>
      <c r="ED21" s="459">
        <f>'_Engine_NR'!Q163</f>
        <v/>
      </c>
      <c r="EE21" s="459">
        <f>'_Engine_NR'!Q164</f>
        <v/>
      </c>
      <c r="EF21" s="459">
        <f>'_Engine_NR'!Q165</f>
        <v/>
      </c>
      <c r="EG21" s="459">
        <f>'_Engine_NR'!Q166</f>
        <v/>
      </c>
      <c r="EH21" s="459">
        <f>'_Engine_NR'!Q167</f>
        <v/>
      </c>
      <c r="EI21" s="459">
        <f>'_Engine_NR'!Q168</f>
        <v/>
      </c>
      <c r="EJ21" s="459">
        <f>'_Engine_NR'!Q169</f>
        <v/>
      </c>
      <c r="EK21" s="459">
        <f>'_Engine_NR'!Q170</f>
        <v/>
      </c>
      <c r="EL21" s="459">
        <f>'_Engine_NR'!Q171</f>
        <v/>
      </c>
      <c r="EM21" s="459">
        <f>'_Engine_NR'!Q172</f>
        <v/>
      </c>
      <c r="EN21" s="459">
        <f>'_Engine_NR'!Q173</f>
        <v/>
      </c>
      <c r="EO21" s="459">
        <f>'_Engine_NR'!Q174</f>
        <v/>
      </c>
      <c r="EP21" s="458">
        <f>'_Engine_NR'!Q175</f>
        <v/>
      </c>
      <c r="EQ21" s="458">
        <f>'_Engine_NR'!Q176</f>
        <v/>
      </c>
      <c r="ER21" s="458">
        <f>'_Engine_NR'!Q177</f>
        <v/>
      </c>
      <c r="ES21" s="458">
        <f>'_Engine_NR'!Q178</f>
        <v/>
      </c>
      <c r="ET21" s="458">
        <f>'_Engine_NR'!Q179</f>
        <v/>
      </c>
      <c r="EU21" s="458">
        <f>'_Engine_NR'!Q180</f>
        <v/>
      </c>
      <c r="EV21" s="458">
        <f>'_Engine_NR'!Q181</f>
        <v/>
      </c>
      <c r="EW21" s="458">
        <f>'_Engine_NR'!Q182</f>
        <v/>
      </c>
      <c r="EX21" s="458">
        <f>'_Engine_NR'!Q183</f>
        <v/>
      </c>
      <c r="EY21" s="458">
        <f>'_Engine_NR'!Q184</f>
        <v/>
      </c>
      <c r="EZ21" s="458">
        <f>'_Engine_NR'!Q185</f>
        <v/>
      </c>
      <c r="FA21" s="458">
        <f>'_Engine_NR'!Q186</f>
        <v/>
      </c>
      <c r="FB21" s="459">
        <f>'_Engine_NR'!Q187</f>
        <v/>
      </c>
      <c r="FC21" s="459">
        <f>'_Engine_NR'!Q188</f>
        <v/>
      </c>
      <c r="FD21" s="459">
        <f>'_Engine_NR'!Q189</f>
        <v/>
      </c>
      <c r="FE21" s="459">
        <f>'_Engine_NR'!Q190</f>
        <v/>
      </c>
      <c r="FF21" s="459">
        <f>'_Engine_NR'!Q191</f>
        <v/>
      </c>
      <c r="FG21" s="459">
        <f>'_Engine_NR'!Q192</f>
        <v/>
      </c>
      <c r="FH21" s="459">
        <f>'_Engine_NR'!Q193</f>
        <v/>
      </c>
      <c r="FI21" s="459">
        <f>'_Engine_NR'!Q194</f>
        <v/>
      </c>
      <c r="FJ21" s="459">
        <f>'_Engine_NR'!Q195</f>
        <v/>
      </c>
      <c r="FK21" s="459">
        <f>'_Engine_NR'!Q196</f>
        <v/>
      </c>
      <c r="FL21" s="459">
        <f>'_Engine_NR'!Q197</f>
        <v/>
      </c>
      <c r="FM21" s="459">
        <f>'_Engine_NR'!Q198</f>
        <v/>
      </c>
      <c r="FN21" s="458">
        <f>'_Engine_NR'!Q199</f>
        <v/>
      </c>
      <c r="FO21" s="458">
        <f>'_Engine_NR'!Q200</f>
        <v/>
      </c>
      <c r="FP21" s="458">
        <f>'_Engine_NR'!Q201</f>
        <v/>
      </c>
      <c r="FQ21" s="458">
        <f>'_Engine_NR'!Q202</f>
        <v/>
      </c>
      <c r="FR21" s="458">
        <f>'_Engine_NR'!Q203</f>
        <v/>
      </c>
      <c r="FS21" s="458">
        <f>'_Engine_NR'!Q204</f>
        <v/>
      </c>
      <c r="FT21" s="458">
        <f>'_Engine_NR'!Q205</f>
        <v/>
      </c>
      <c r="FU21" s="458">
        <f>'_Engine_NR'!Q206</f>
        <v/>
      </c>
      <c r="FV21" s="458">
        <f>'_Engine_NR'!Q207</f>
        <v/>
      </c>
      <c r="FW21" s="458">
        <f>'_Engine_NR'!Q208</f>
        <v/>
      </c>
      <c r="FX21" s="458">
        <f>'_Engine_NR'!Q209</f>
        <v/>
      </c>
      <c r="FY21" s="458">
        <f>'_Engine_NR'!Q210</f>
        <v/>
      </c>
      <c r="FZ21" s="306" t="n"/>
    </row>
    <row r="22" ht="15" customHeight="1" s="307">
      <c r="A22" s="460" t="inlineStr">
        <is>
          <t>Total Operating Expenses</t>
        </is>
      </c>
      <c r="B22" s="461">
        <f>B17+B18+B19+B20+B21+B14</f>
        <v/>
      </c>
      <c r="C22" s="461">
        <f>C17+C18+C19+C20+C21+C14</f>
        <v/>
      </c>
      <c r="D22" s="461">
        <f>D17+D18+D19+D20+D21+D14</f>
        <v/>
      </c>
      <c r="E22" s="461">
        <f>E17+E18+E19+E20+E21+E14</f>
        <v/>
      </c>
      <c r="F22" s="461">
        <f>F17+F18+F19+F20+F21+F14</f>
        <v/>
      </c>
      <c r="G22" s="461">
        <f>G17+G18+G19+G20+G21+G14</f>
        <v/>
      </c>
      <c r="H22" s="461">
        <f>H17+H18+H19+H20+H21+H14</f>
        <v/>
      </c>
      <c r="I22" s="461">
        <f>I17+I18+I19+I20+I21+I14</f>
        <v/>
      </c>
      <c r="J22" s="461">
        <f>J17+J18+J19+J20+J21+J14</f>
        <v/>
      </c>
      <c r="K22" s="461">
        <f>K17+K18+K19+K20+K21+K14</f>
        <v/>
      </c>
      <c r="L22" s="461">
        <f>L17+L18+L19+L20+L21+L14</f>
        <v/>
      </c>
      <c r="M22" s="461">
        <f>M17+M18+M19+M20+M21+M14</f>
        <v/>
      </c>
      <c r="N22" s="462">
        <f>N17+N18+N19+N20+N21+N14</f>
        <v/>
      </c>
      <c r="O22" s="462">
        <f>O17+O18+O19+O20+O21+O14</f>
        <v/>
      </c>
      <c r="P22" s="462">
        <f>P17+P18+P19+P20+P21+P14</f>
        <v/>
      </c>
      <c r="Q22" s="462">
        <f>Q17+Q18+Q19+Q20+Q21+Q14</f>
        <v/>
      </c>
      <c r="R22" s="462">
        <f>R17+R18+R19+R20+R21+R14</f>
        <v/>
      </c>
      <c r="S22" s="462">
        <f>S17+S18+S19+S20+S21+S14</f>
        <v/>
      </c>
      <c r="T22" s="462">
        <f>T17+T18+T19+T20+T21+T14</f>
        <v/>
      </c>
      <c r="U22" s="462">
        <f>U17+U18+U19+U20+U21+U14</f>
        <v/>
      </c>
      <c r="V22" s="462">
        <f>V17+V18+V19+V20+V21+V14</f>
        <v/>
      </c>
      <c r="W22" s="462">
        <f>W17+W18+W19+W20+W21+W14</f>
        <v/>
      </c>
      <c r="X22" s="462">
        <f>X17+X18+X19+X20+X21+X14</f>
        <v/>
      </c>
      <c r="Y22" s="462">
        <f>Y17+Y18+Y19+Y20+Y21+Y14</f>
        <v/>
      </c>
      <c r="Z22" s="461">
        <f>Z17+Z18+Z19+Z20+Z21+Z14</f>
        <v/>
      </c>
      <c r="AA22" s="461">
        <f>AA17+AA18+AA19+AA20+AA21+AA14</f>
        <v/>
      </c>
      <c r="AB22" s="461">
        <f>AB17+AB18+AB19+AB20+AB21+AB14</f>
        <v/>
      </c>
      <c r="AC22" s="461">
        <f>AC17+AC18+AC19+AC20+AC21+AC14</f>
        <v/>
      </c>
      <c r="AD22" s="461">
        <f>AD17+AD18+AD19+AD20+AD21+AD14</f>
        <v/>
      </c>
      <c r="AE22" s="461">
        <f>AE17+AE18+AE19+AE20+AE21+AE14</f>
        <v/>
      </c>
      <c r="AF22" s="461">
        <f>AF17+AF18+AF19+AF20+AF21+AF14</f>
        <v/>
      </c>
      <c r="AG22" s="461">
        <f>AG17+AG18+AG19+AG20+AG21+AG14</f>
        <v/>
      </c>
      <c r="AH22" s="461">
        <f>AH17+AH18+AH19+AH20+AH21+AH14</f>
        <v/>
      </c>
      <c r="AI22" s="461">
        <f>AI17+AI18+AI19+AI20+AI21+AI14</f>
        <v/>
      </c>
      <c r="AJ22" s="461">
        <f>AJ17+AJ18+AJ19+AJ20+AJ21+AJ14</f>
        <v/>
      </c>
      <c r="AK22" s="461">
        <f>AK17+AK18+AK19+AK20+AK21+AK14</f>
        <v/>
      </c>
      <c r="AL22" s="462">
        <f>AL17+AL18+AL19+AL20+AL21+AL14</f>
        <v/>
      </c>
      <c r="AM22" s="462">
        <f>AM17+AM18+AM19+AM20+AM21+AM14</f>
        <v/>
      </c>
      <c r="AN22" s="462">
        <f>AN17+AN18+AN19+AN20+AN21+AN14</f>
        <v/>
      </c>
      <c r="AO22" s="462">
        <f>AO17+AO18+AO19+AO20+AO21+AO14</f>
        <v/>
      </c>
      <c r="AP22" s="462">
        <f>AP17+AP18+AP19+AP20+AP21+AP14</f>
        <v/>
      </c>
      <c r="AQ22" s="462">
        <f>AQ17+AQ18+AQ19+AQ20+AQ21+AQ14</f>
        <v/>
      </c>
      <c r="AR22" s="462">
        <f>AR17+AR18+AR19+AR20+AR21+AR14</f>
        <v/>
      </c>
      <c r="AS22" s="462">
        <f>AS17+AS18+AS19+AS20+AS21+AS14</f>
        <v/>
      </c>
      <c r="AT22" s="462">
        <f>AT17+AT18+AT19+AT20+AT21+AT14</f>
        <v/>
      </c>
      <c r="AU22" s="462">
        <f>AU17+AU18+AU19+AU20+AU21+AU14</f>
        <v/>
      </c>
      <c r="AV22" s="462">
        <f>AV17+AV18+AV19+AV20+AV21+AV14</f>
        <v/>
      </c>
      <c r="AW22" s="462">
        <f>AW17+AW18+AW19+AW20+AW21+AW14</f>
        <v/>
      </c>
      <c r="AX22" s="461">
        <f>AX17+AX18+AX19+AX20+AX21+AX14</f>
        <v/>
      </c>
      <c r="AY22" s="461">
        <f>AY17+AY18+AY19+AY20+AY21+AY14</f>
        <v/>
      </c>
      <c r="AZ22" s="461">
        <f>AZ17+AZ18+AZ19+AZ20+AZ21+AZ14</f>
        <v/>
      </c>
      <c r="BA22" s="461">
        <f>BA17+BA18+BA19+BA20+BA21+BA14</f>
        <v/>
      </c>
      <c r="BB22" s="461">
        <f>BB17+BB18+BB19+BB20+BB21+BB14</f>
        <v/>
      </c>
      <c r="BC22" s="461">
        <f>BC17+BC18+BC19+BC20+BC21+BC14</f>
        <v/>
      </c>
      <c r="BD22" s="461">
        <f>BD17+BD18+BD19+BD20+BD21+BD14</f>
        <v/>
      </c>
      <c r="BE22" s="461">
        <f>BE17+BE18+BE19+BE20+BE21+BE14</f>
        <v/>
      </c>
      <c r="BF22" s="461">
        <f>BF17+BF18+BF19+BF20+BF21+BF14</f>
        <v/>
      </c>
      <c r="BG22" s="461">
        <f>BG17+BG18+BG19+BG20+BG21+BG14</f>
        <v/>
      </c>
      <c r="BH22" s="461">
        <f>BH17+BH18+BH19+BH20+BH21+BH14</f>
        <v/>
      </c>
      <c r="BI22" s="461">
        <f>BI17+BI18+BI19+BI20+BI21+BI14</f>
        <v/>
      </c>
      <c r="BJ22" s="462">
        <f>BJ17+BJ18+BJ19+BJ20+BJ21+BJ14</f>
        <v/>
      </c>
      <c r="BK22" s="462">
        <f>BK17+BK18+BK19+BK20+BK21+BK14</f>
        <v/>
      </c>
      <c r="BL22" s="462">
        <f>BL17+BL18+BL19+BL20+BL21+BL14</f>
        <v/>
      </c>
      <c r="BM22" s="462">
        <f>BM17+BM18+BM19+BM20+BM21+BM14</f>
        <v/>
      </c>
      <c r="BN22" s="462">
        <f>BN17+BN18+BN19+BN20+BN21+BN14</f>
        <v/>
      </c>
      <c r="BO22" s="462">
        <f>BO17+BO18+BO19+BO20+BO21+BO14</f>
        <v/>
      </c>
      <c r="BP22" s="462">
        <f>BP17+BP18+BP19+BP20+BP21+BP14</f>
        <v/>
      </c>
      <c r="BQ22" s="462">
        <f>BQ17+BQ18+BQ19+BQ20+BQ21+BQ14</f>
        <v/>
      </c>
      <c r="BR22" s="462">
        <f>BR17+BR18+BR19+BR20+BR21+BR14</f>
        <v/>
      </c>
      <c r="BS22" s="462">
        <f>BS17+BS18+BS19+BS20+BS21+BS14</f>
        <v/>
      </c>
      <c r="BT22" s="462">
        <f>BT17+BT18+BT19+BT20+BT21+BT14</f>
        <v/>
      </c>
      <c r="BU22" s="462">
        <f>BU17+BU18+BU19+BU20+BU21+BU14</f>
        <v/>
      </c>
      <c r="BV22" s="461">
        <f>BV17+BV18+BV19+BV20+BV21+BV14</f>
        <v/>
      </c>
      <c r="BW22" s="461">
        <f>BW17+BW18+BW19+BW20+BW21+BW14</f>
        <v/>
      </c>
      <c r="BX22" s="461">
        <f>BX17+BX18+BX19+BX20+BX21+BX14</f>
        <v/>
      </c>
      <c r="BY22" s="461">
        <f>BY17+BY18+BY19+BY20+BY21+BY14</f>
        <v/>
      </c>
      <c r="BZ22" s="461">
        <f>BZ17+BZ18+BZ19+BZ20+BZ21+BZ14</f>
        <v/>
      </c>
      <c r="CA22" s="461">
        <f>CA17+CA18+CA19+CA20+CA21+CA14</f>
        <v/>
      </c>
      <c r="CB22" s="461">
        <f>CB17+CB18+CB19+CB20+CB21+CB14</f>
        <v/>
      </c>
      <c r="CC22" s="461">
        <f>CC17+CC18+CC19+CC20+CC21+CC14</f>
        <v/>
      </c>
      <c r="CD22" s="461">
        <f>CD17+CD18+CD19+CD20+CD21+CD14</f>
        <v/>
      </c>
      <c r="CE22" s="461">
        <f>CE17+CE18+CE19+CE20+CE21+CE14</f>
        <v/>
      </c>
      <c r="CF22" s="461">
        <f>CF17+CF18+CF19+CF20+CF21+CF14</f>
        <v/>
      </c>
      <c r="CG22" s="461">
        <f>CG17+CG18+CG19+CG20+CG21+CG14</f>
        <v/>
      </c>
      <c r="CH22" s="462">
        <f>CH17+CH18+CH19+CH20+CH21+CH14</f>
        <v/>
      </c>
      <c r="CI22" s="462">
        <f>CI17+CI18+CI19+CI20+CI21+CI14</f>
        <v/>
      </c>
      <c r="CJ22" s="462">
        <f>CJ17+CJ18+CJ19+CJ20+CJ21+CJ14</f>
        <v/>
      </c>
      <c r="CK22" s="462">
        <f>CK17+CK18+CK19+CK20+CK21+CK14</f>
        <v/>
      </c>
      <c r="CL22" s="462">
        <f>CL17+CL18+CL19+CL20+CL21+CL14</f>
        <v/>
      </c>
      <c r="CM22" s="462">
        <f>CM17+CM18+CM19+CM20+CM21+CM14</f>
        <v/>
      </c>
      <c r="CN22" s="462">
        <f>CN17+CN18+CN19+CN20+CN21+CN14</f>
        <v/>
      </c>
      <c r="CO22" s="462">
        <f>CO17+CO18+CO19+CO20+CO21+CO14</f>
        <v/>
      </c>
      <c r="CP22" s="462">
        <f>CP17+CP18+CP19+CP20+CP21+CP14</f>
        <v/>
      </c>
      <c r="CQ22" s="462">
        <f>CQ17+CQ18+CQ19+CQ20+CQ21+CQ14</f>
        <v/>
      </c>
      <c r="CR22" s="462">
        <f>CR17+CR18+CR19+CR20+CR21+CR14</f>
        <v/>
      </c>
      <c r="CS22" s="462">
        <f>CS17+CS18+CS19+CS20+CS21+CS14</f>
        <v/>
      </c>
      <c r="CT22" s="461">
        <f>CT17+CT18+CT19+CT20+CT21+CT14</f>
        <v/>
      </c>
      <c r="CU22" s="461">
        <f>CU17+CU18+CU19+CU20+CU21+CU14</f>
        <v/>
      </c>
      <c r="CV22" s="461">
        <f>CV17+CV18+CV19+CV20+CV21+CV14</f>
        <v/>
      </c>
      <c r="CW22" s="461">
        <f>CW17+CW18+CW19+CW20+CW21+CW14</f>
        <v/>
      </c>
      <c r="CX22" s="461">
        <f>CX17+CX18+CX19+CX20+CX21+CX14</f>
        <v/>
      </c>
      <c r="CY22" s="461">
        <f>CY17+CY18+CY19+CY20+CY21+CY14</f>
        <v/>
      </c>
      <c r="CZ22" s="461">
        <f>CZ17+CZ18+CZ19+CZ20+CZ21+CZ14</f>
        <v/>
      </c>
      <c r="DA22" s="461">
        <f>DA17+DA18+DA19+DA20+DA21+DA14</f>
        <v/>
      </c>
      <c r="DB22" s="461">
        <f>DB17+DB18+DB19+DB20+DB21+DB14</f>
        <v/>
      </c>
      <c r="DC22" s="461">
        <f>DC17+DC18+DC19+DC20+DC21+DC14</f>
        <v/>
      </c>
      <c r="DD22" s="461">
        <f>DD17+DD18+DD19+DD20+DD21+DD14</f>
        <v/>
      </c>
      <c r="DE22" s="461">
        <f>DE17+DE18+DE19+DE20+DE21+DE14</f>
        <v/>
      </c>
      <c r="DF22" s="462">
        <f>DF17+DF18+DF19+DF20+DF21+DF14</f>
        <v/>
      </c>
      <c r="DG22" s="462">
        <f>DG17+DG18+DG19+DG20+DG21+DG14</f>
        <v/>
      </c>
      <c r="DH22" s="462">
        <f>DH17+DH18+DH19+DH20+DH21+DH14</f>
        <v/>
      </c>
      <c r="DI22" s="462">
        <f>DI17+DI18+DI19+DI20+DI21+DI14</f>
        <v/>
      </c>
      <c r="DJ22" s="462">
        <f>DJ17+DJ18+DJ19+DJ20+DJ21+DJ14</f>
        <v/>
      </c>
      <c r="DK22" s="462">
        <f>DK17+DK18+DK19+DK20+DK21+DK14</f>
        <v/>
      </c>
      <c r="DL22" s="462">
        <f>DL17+DL18+DL19+DL20+DL21+DL14</f>
        <v/>
      </c>
      <c r="DM22" s="462">
        <f>DM17+DM18+DM19+DM20+DM21+DM14</f>
        <v/>
      </c>
      <c r="DN22" s="462">
        <f>DN17+DN18+DN19+DN20+DN21+DN14</f>
        <v/>
      </c>
      <c r="DO22" s="462">
        <f>DO17+DO18+DO19+DO20+DO21+DO14</f>
        <v/>
      </c>
      <c r="DP22" s="462">
        <f>DP17+DP18+DP19+DP20+DP21+DP14</f>
        <v/>
      </c>
      <c r="DQ22" s="462">
        <f>DQ17+DQ18+DQ19+DQ20+DQ21+DQ14</f>
        <v/>
      </c>
      <c r="DR22" s="461">
        <f>DR17+DR18+DR19+DR20+DR21+DR14</f>
        <v/>
      </c>
      <c r="DS22" s="461">
        <f>DS17+DS18+DS19+DS20+DS21+DS14</f>
        <v/>
      </c>
      <c r="DT22" s="461">
        <f>DT17+DT18+DT19+DT20+DT21+DT14</f>
        <v/>
      </c>
      <c r="DU22" s="461">
        <f>DU17+DU18+DU19+DU20+DU21+DU14</f>
        <v/>
      </c>
      <c r="DV22" s="461">
        <f>DV17+DV18+DV19+DV20+DV21+DV14</f>
        <v/>
      </c>
      <c r="DW22" s="461">
        <f>DW17+DW18+DW19+DW20+DW21+DW14</f>
        <v/>
      </c>
      <c r="DX22" s="461">
        <f>DX17+DX18+DX19+DX20+DX21+DX14</f>
        <v/>
      </c>
      <c r="DY22" s="461">
        <f>DY17+DY18+DY19+DY20+DY21+DY14</f>
        <v/>
      </c>
      <c r="DZ22" s="461">
        <f>DZ17+DZ18+DZ19+DZ20+DZ21+DZ14</f>
        <v/>
      </c>
      <c r="EA22" s="461">
        <f>EA17+EA18+EA19+EA20+EA21+EA14</f>
        <v/>
      </c>
      <c r="EB22" s="461">
        <f>EB17+EB18+EB19+EB20+EB21+EB14</f>
        <v/>
      </c>
      <c r="EC22" s="461">
        <f>EC17+EC18+EC19+EC20+EC21+EC14</f>
        <v/>
      </c>
      <c r="ED22" s="462">
        <f>ED17+ED18+ED19+ED20+ED21+ED14</f>
        <v/>
      </c>
      <c r="EE22" s="462">
        <f>EE17+EE18+EE19+EE20+EE21+EE14</f>
        <v/>
      </c>
      <c r="EF22" s="462">
        <f>EF17+EF18+EF19+EF20+EF21+EF14</f>
        <v/>
      </c>
      <c r="EG22" s="462">
        <f>EG17+EG18+EG19+EG20+EG21+EG14</f>
        <v/>
      </c>
      <c r="EH22" s="462">
        <f>EH17+EH18+EH19+EH20+EH21+EH14</f>
        <v/>
      </c>
      <c r="EI22" s="462">
        <f>EI17+EI18+EI19+EI20+EI21+EI14</f>
        <v/>
      </c>
      <c r="EJ22" s="462">
        <f>EJ17+EJ18+EJ19+EJ20+EJ21+EJ14</f>
        <v/>
      </c>
      <c r="EK22" s="462">
        <f>EK17+EK18+EK19+EK20+EK21+EK14</f>
        <v/>
      </c>
      <c r="EL22" s="462">
        <f>EL17+EL18+EL19+EL20+EL21+EL14</f>
        <v/>
      </c>
      <c r="EM22" s="462">
        <f>EM17+EM18+EM19+EM20+EM21+EM14</f>
        <v/>
      </c>
      <c r="EN22" s="462">
        <f>EN17+EN18+EN19+EN20+EN21+EN14</f>
        <v/>
      </c>
      <c r="EO22" s="462">
        <f>EO17+EO18+EO19+EO20+EO21+EO14</f>
        <v/>
      </c>
      <c r="EP22" s="461">
        <f>EP17+EP18+EP19+EP20+EP21+EP14</f>
        <v/>
      </c>
      <c r="EQ22" s="461">
        <f>EQ17+EQ18+EQ19+EQ20+EQ21+EQ14</f>
        <v/>
      </c>
      <c r="ER22" s="461">
        <f>ER17+ER18+ER19+ER20+ER21+ER14</f>
        <v/>
      </c>
      <c r="ES22" s="461">
        <f>ES17+ES18+ES19+ES20+ES21+ES14</f>
        <v/>
      </c>
      <c r="ET22" s="461">
        <f>ET17+ET18+ET19+ET20+ET21+ET14</f>
        <v/>
      </c>
      <c r="EU22" s="461">
        <f>EU17+EU18+EU19+EU20+EU21+EU14</f>
        <v/>
      </c>
      <c r="EV22" s="461">
        <f>EV17+EV18+EV19+EV20+EV21+EV14</f>
        <v/>
      </c>
      <c r="EW22" s="461">
        <f>EW17+EW18+EW19+EW20+EW21+EW14</f>
        <v/>
      </c>
      <c r="EX22" s="461">
        <f>EX17+EX18+EX19+EX20+EX21+EX14</f>
        <v/>
      </c>
      <c r="EY22" s="461">
        <f>EY17+EY18+EY19+EY20+EY21+EY14</f>
        <v/>
      </c>
      <c r="EZ22" s="461">
        <f>EZ17+EZ18+EZ19+EZ20+EZ21+EZ14</f>
        <v/>
      </c>
      <c r="FA22" s="461">
        <f>FA17+FA18+FA19+FA20+FA21+FA14</f>
        <v/>
      </c>
      <c r="FB22" s="462">
        <f>FB17+FB18+FB19+FB20+FB21+FB14</f>
        <v/>
      </c>
      <c r="FC22" s="462">
        <f>FC17+FC18+FC19+FC20+FC21+FC14</f>
        <v/>
      </c>
      <c r="FD22" s="462">
        <f>FD17+FD18+FD19+FD20+FD21+FD14</f>
        <v/>
      </c>
      <c r="FE22" s="462">
        <f>FE17+FE18+FE19+FE20+FE21+FE14</f>
        <v/>
      </c>
      <c r="FF22" s="462">
        <f>FF17+FF18+FF19+FF20+FF21+FF14</f>
        <v/>
      </c>
      <c r="FG22" s="462">
        <f>FG17+FG18+FG19+FG20+FG21+FG14</f>
        <v/>
      </c>
      <c r="FH22" s="462">
        <f>FH17+FH18+FH19+FH20+FH21+FH14</f>
        <v/>
      </c>
      <c r="FI22" s="462">
        <f>FI17+FI18+FI19+FI20+FI21+FI14</f>
        <v/>
      </c>
      <c r="FJ22" s="462">
        <f>FJ17+FJ18+FJ19+FJ20+FJ21+FJ14</f>
        <v/>
      </c>
      <c r="FK22" s="462">
        <f>FK17+FK18+FK19+FK20+FK21+FK14</f>
        <v/>
      </c>
      <c r="FL22" s="462">
        <f>FL17+FL18+FL19+FL20+FL21+FL14</f>
        <v/>
      </c>
      <c r="FM22" s="462">
        <f>FM17+FM18+FM19+FM20+FM21+FM14</f>
        <v/>
      </c>
      <c r="FN22" s="461">
        <f>FN17+FN18+FN19+FN20+FN21+FN14</f>
        <v/>
      </c>
      <c r="FO22" s="461">
        <f>FO17+FO18+FO19+FO20+FO21+FO14</f>
        <v/>
      </c>
      <c r="FP22" s="461">
        <f>FP17+FP18+FP19+FP20+FP21+FP14</f>
        <v/>
      </c>
      <c r="FQ22" s="461">
        <f>FQ17+FQ18+FQ19+FQ20+FQ21+FQ14</f>
        <v/>
      </c>
      <c r="FR22" s="461">
        <f>FR17+FR18+FR19+FR20+FR21+FR14</f>
        <v/>
      </c>
      <c r="FS22" s="461">
        <f>FS17+FS18+FS19+FS20+FS21+FS14</f>
        <v/>
      </c>
      <c r="FT22" s="461">
        <f>FT17+FT18+FT19+FT20+FT21+FT14</f>
        <v/>
      </c>
      <c r="FU22" s="461">
        <f>FU17+FU18+FU19+FU20+FU21+FU14</f>
        <v/>
      </c>
      <c r="FV22" s="461">
        <f>FV17+FV18+FV19+FV20+FV21+FV14</f>
        <v/>
      </c>
      <c r="FW22" s="461">
        <f>FW17+FW18+FW19+FW20+FW21+FW14</f>
        <v/>
      </c>
      <c r="FX22" s="461">
        <f>FX17+FX18+FX19+FX20+FX21+FX14</f>
        <v/>
      </c>
      <c r="FY22" s="461">
        <f>FY17+FY18+FY19+FY20+FY21+FY14</f>
        <v/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>
        <f>'_Engine_NR'!R31</f>
        <v/>
      </c>
      <c r="C24" s="465">
        <f>'_Engine_NR'!R32</f>
        <v/>
      </c>
      <c r="D24" s="465">
        <f>'_Engine_NR'!R33</f>
        <v/>
      </c>
      <c r="E24" s="465">
        <f>'_Engine_NR'!R34</f>
        <v/>
      </c>
      <c r="F24" s="465">
        <f>'_Engine_NR'!R35</f>
        <v/>
      </c>
      <c r="G24" s="465">
        <f>'_Engine_NR'!R36</f>
        <v/>
      </c>
      <c r="H24" s="465">
        <f>'_Engine_NR'!R37</f>
        <v/>
      </c>
      <c r="I24" s="465">
        <f>'_Engine_NR'!R38</f>
        <v/>
      </c>
      <c r="J24" s="465">
        <f>'_Engine_NR'!R39</f>
        <v/>
      </c>
      <c r="K24" s="465">
        <f>'_Engine_NR'!R40</f>
        <v/>
      </c>
      <c r="L24" s="465">
        <f>'_Engine_NR'!R41</f>
        <v/>
      </c>
      <c r="M24" s="465">
        <f>'_Engine_NR'!R42</f>
        <v/>
      </c>
      <c r="N24" s="466">
        <f>'_Engine_NR'!R43</f>
        <v/>
      </c>
      <c r="O24" s="466">
        <f>'_Engine_NR'!R44</f>
        <v/>
      </c>
      <c r="P24" s="466">
        <f>'_Engine_NR'!R45</f>
        <v/>
      </c>
      <c r="Q24" s="466">
        <f>'_Engine_NR'!R46</f>
        <v/>
      </c>
      <c r="R24" s="466">
        <f>'_Engine_NR'!R47</f>
        <v/>
      </c>
      <c r="S24" s="466">
        <f>'_Engine_NR'!R48</f>
        <v/>
      </c>
      <c r="T24" s="466">
        <f>'_Engine_NR'!R49</f>
        <v/>
      </c>
      <c r="U24" s="466">
        <f>'_Engine_NR'!R50</f>
        <v/>
      </c>
      <c r="V24" s="466">
        <f>'_Engine_NR'!R51</f>
        <v/>
      </c>
      <c r="W24" s="466">
        <f>'_Engine_NR'!R52</f>
        <v/>
      </c>
      <c r="X24" s="466">
        <f>'_Engine_NR'!R53</f>
        <v/>
      </c>
      <c r="Y24" s="466">
        <f>'_Engine_NR'!R54</f>
        <v/>
      </c>
      <c r="Z24" s="465">
        <f>'_Engine_NR'!R55</f>
        <v/>
      </c>
      <c r="AA24" s="465">
        <f>'_Engine_NR'!R56</f>
        <v/>
      </c>
      <c r="AB24" s="465">
        <f>'_Engine_NR'!R57</f>
        <v/>
      </c>
      <c r="AC24" s="465">
        <f>'_Engine_NR'!R58</f>
        <v/>
      </c>
      <c r="AD24" s="465">
        <f>'_Engine_NR'!R59</f>
        <v/>
      </c>
      <c r="AE24" s="465">
        <f>'_Engine_NR'!R60</f>
        <v/>
      </c>
      <c r="AF24" s="465">
        <f>'_Engine_NR'!R61</f>
        <v/>
      </c>
      <c r="AG24" s="465">
        <f>'_Engine_NR'!R62</f>
        <v/>
      </c>
      <c r="AH24" s="465">
        <f>'_Engine_NR'!R63</f>
        <v/>
      </c>
      <c r="AI24" s="465">
        <f>'_Engine_NR'!R64</f>
        <v/>
      </c>
      <c r="AJ24" s="465">
        <f>'_Engine_NR'!R65</f>
        <v/>
      </c>
      <c r="AK24" s="465">
        <f>'_Engine_NR'!R66</f>
        <v/>
      </c>
      <c r="AL24" s="466">
        <f>'_Engine_NR'!R67</f>
        <v/>
      </c>
      <c r="AM24" s="466">
        <f>'_Engine_NR'!R68</f>
        <v/>
      </c>
      <c r="AN24" s="466">
        <f>'_Engine_NR'!R69</f>
        <v/>
      </c>
      <c r="AO24" s="466">
        <f>'_Engine_NR'!R70</f>
        <v/>
      </c>
      <c r="AP24" s="466">
        <f>'_Engine_NR'!R71</f>
        <v/>
      </c>
      <c r="AQ24" s="466">
        <f>'_Engine_NR'!R72</f>
        <v/>
      </c>
      <c r="AR24" s="466">
        <f>'_Engine_NR'!R73</f>
        <v/>
      </c>
      <c r="AS24" s="466">
        <f>'_Engine_NR'!R74</f>
        <v/>
      </c>
      <c r="AT24" s="466">
        <f>'_Engine_NR'!R75</f>
        <v/>
      </c>
      <c r="AU24" s="466">
        <f>'_Engine_NR'!R76</f>
        <v/>
      </c>
      <c r="AV24" s="466">
        <f>'_Engine_NR'!R77</f>
        <v/>
      </c>
      <c r="AW24" s="466">
        <f>'_Engine_NR'!R78</f>
        <v/>
      </c>
      <c r="AX24" s="465">
        <f>'_Engine_NR'!R79</f>
        <v/>
      </c>
      <c r="AY24" s="465">
        <f>'_Engine_NR'!R80</f>
        <v/>
      </c>
      <c r="AZ24" s="465">
        <f>'_Engine_NR'!R81</f>
        <v/>
      </c>
      <c r="BA24" s="465">
        <f>'_Engine_NR'!R82</f>
        <v/>
      </c>
      <c r="BB24" s="465">
        <f>'_Engine_NR'!R83</f>
        <v/>
      </c>
      <c r="BC24" s="465">
        <f>'_Engine_NR'!R84</f>
        <v/>
      </c>
      <c r="BD24" s="465">
        <f>'_Engine_NR'!R85</f>
        <v/>
      </c>
      <c r="BE24" s="465">
        <f>'_Engine_NR'!R86</f>
        <v/>
      </c>
      <c r="BF24" s="465">
        <f>'_Engine_NR'!R87</f>
        <v/>
      </c>
      <c r="BG24" s="465">
        <f>'_Engine_NR'!R88</f>
        <v/>
      </c>
      <c r="BH24" s="465">
        <f>'_Engine_NR'!R89</f>
        <v/>
      </c>
      <c r="BI24" s="465">
        <f>'_Engine_NR'!R90</f>
        <v/>
      </c>
      <c r="BJ24" s="466">
        <f>'_Engine_NR'!R91</f>
        <v/>
      </c>
      <c r="BK24" s="466">
        <f>'_Engine_NR'!R92</f>
        <v/>
      </c>
      <c r="BL24" s="466">
        <f>'_Engine_NR'!R93</f>
        <v/>
      </c>
      <c r="BM24" s="466">
        <f>'_Engine_NR'!R94</f>
        <v/>
      </c>
      <c r="BN24" s="466">
        <f>'_Engine_NR'!R95</f>
        <v/>
      </c>
      <c r="BO24" s="466">
        <f>'_Engine_NR'!R96</f>
        <v/>
      </c>
      <c r="BP24" s="466">
        <f>'_Engine_NR'!R97</f>
        <v/>
      </c>
      <c r="BQ24" s="466">
        <f>'_Engine_NR'!R98</f>
        <v/>
      </c>
      <c r="BR24" s="466">
        <f>'_Engine_NR'!R99</f>
        <v/>
      </c>
      <c r="BS24" s="466">
        <f>'_Engine_NR'!R100</f>
        <v/>
      </c>
      <c r="BT24" s="466">
        <f>'_Engine_NR'!R101</f>
        <v/>
      </c>
      <c r="BU24" s="466">
        <f>'_Engine_NR'!R102</f>
        <v/>
      </c>
      <c r="BV24" s="465">
        <f>'_Engine_NR'!R103</f>
        <v/>
      </c>
      <c r="BW24" s="465">
        <f>'_Engine_NR'!R104</f>
        <v/>
      </c>
      <c r="BX24" s="465">
        <f>'_Engine_NR'!R105</f>
        <v/>
      </c>
      <c r="BY24" s="465">
        <f>'_Engine_NR'!R106</f>
        <v/>
      </c>
      <c r="BZ24" s="465">
        <f>'_Engine_NR'!R107</f>
        <v/>
      </c>
      <c r="CA24" s="465">
        <f>'_Engine_NR'!R108</f>
        <v/>
      </c>
      <c r="CB24" s="465">
        <f>'_Engine_NR'!R109</f>
        <v/>
      </c>
      <c r="CC24" s="465">
        <f>'_Engine_NR'!R110</f>
        <v/>
      </c>
      <c r="CD24" s="465">
        <f>'_Engine_NR'!R111</f>
        <v/>
      </c>
      <c r="CE24" s="465">
        <f>'_Engine_NR'!R112</f>
        <v/>
      </c>
      <c r="CF24" s="465">
        <f>'_Engine_NR'!R113</f>
        <v/>
      </c>
      <c r="CG24" s="465">
        <f>'_Engine_NR'!R114</f>
        <v/>
      </c>
      <c r="CH24" s="466">
        <f>'_Engine_NR'!R115</f>
        <v/>
      </c>
      <c r="CI24" s="466">
        <f>'_Engine_NR'!R116</f>
        <v/>
      </c>
      <c r="CJ24" s="466">
        <f>'_Engine_NR'!R117</f>
        <v/>
      </c>
      <c r="CK24" s="466">
        <f>'_Engine_NR'!R118</f>
        <v/>
      </c>
      <c r="CL24" s="466">
        <f>'_Engine_NR'!R119</f>
        <v/>
      </c>
      <c r="CM24" s="466">
        <f>'_Engine_NR'!R120</f>
        <v/>
      </c>
      <c r="CN24" s="466">
        <f>'_Engine_NR'!R121</f>
        <v/>
      </c>
      <c r="CO24" s="466">
        <f>'_Engine_NR'!R122</f>
        <v/>
      </c>
      <c r="CP24" s="466">
        <f>'_Engine_NR'!R123</f>
        <v/>
      </c>
      <c r="CQ24" s="466">
        <f>'_Engine_NR'!R124</f>
        <v/>
      </c>
      <c r="CR24" s="466">
        <f>'_Engine_NR'!R125</f>
        <v/>
      </c>
      <c r="CS24" s="466">
        <f>'_Engine_NR'!R126</f>
        <v/>
      </c>
      <c r="CT24" s="465">
        <f>'_Engine_NR'!R127</f>
        <v/>
      </c>
      <c r="CU24" s="465">
        <f>'_Engine_NR'!R128</f>
        <v/>
      </c>
      <c r="CV24" s="465">
        <f>'_Engine_NR'!R129</f>
        <v/>
      </c>
      <c r="CW24" s="465">
        <f>'_Engine_NR'!R130</f>
        <v/>
      </c>
      <c r="CX24" s="465">
        <f>'_Engine_NR'!R131</f>
        <v/>
      </c>
      <c r="CY24" s="465">
        <f>'_Engine_NR'!R132</f>
        <v/>
      </c>
      <c r="CZ24" s="465">
        <f>'_Engine_NR'!R133</f>
        <v/>
      </c>
      <c r="DA24" s="465">
        <f>'_Engine_NR'!R134</f>
        <v/>
      </c>
      <c r="DB24" s="465">
        <f>'_Engine_NR'!R135</f>
        <v/>
      </c>
      <c r="DC24" s="465">
        <f>'_Engine_NR'!R136</f>
        <v/>
      </c>
      <c r="DD24" s="465">
        <f>'_Engine_NR'!R137</f>
        <v/>
      </c>
      <c r="DE24" s="465">
        <f>'_Engine_NR'!R138</f>
        <v/>
      </c>
      <c r="DF24" s="466">
        <f>'_Engine_NR'!R139</f>
        <v/>
      </c>
      <c r="DG24" s="466">
        <f>'_Engine_NR'!R140</f>
        <v/>
      </c>
      <c r="DH24" s="466">
        <f>'_Engine_NR'!R141</f>
        <v/>
      </c>
      <c r="DI24" s="466">
        <f>'_Engine_NR'!R142</f>
        <v/>
      </c>
      <c r="DJ24" s="466">
        <f>'_Engine_NR'!R143</f>
        <v/>
      </c>
      <c r="DK24" s="466">
        <f>'_Engine_NR'!R144</f>
        <v/>
      </c>
      <c r="DL24" s="466">
        <f>'_Engine_NR'!R145</f>
        <v/>
      </c>
      <c r="DM24" s="466">
        <f>'_Engine_NR'!R146</f>
        <v/>
      </c>
      <c r="DN24" s="466">
        <f>'_Engine_NR'!R147</f>
        <v/>
      </c>
      <c r="DO24" s="466">
        <f>'_Engine_NR'!R148</f>
        <v/>
      </c>
      <c r="DP24" s="466">
        <f>'_Engine_NR'!R149</f>
        <v/>
      </c>
      <c r="DQ24" s="466">
        <f>'_Engine_NR'!R150</f>
        <v/>
      </c>
      <c r="DR24" s="465">
        <f>'_Engine_NR'!R151</f>
        <v/>
      </c>
      <c r="DS24" s="465">
        <f>'_Engine_NR'!R152</f>
        <v/>
      </c>
      <c r="DT24" s="465">
        <f>'_Engine_NR'!R153</f>
        <v/>
      </c>
      <c r="DU24" s="465">
        <f>'_Engine_NR'!R154</f>
        <v/>
      </c>
      <c r="DV24" s="465">
        <f>'_Engine_NR'!R155</f>
        <v/>
      </c>
      <c r="DW24" s="465">
        <f>'_Engine_NR'!R156</f>
        <v/>
      </c>
      <c r="DX24" s="465">
        <f>'_Engine_NR'!R157</f>
        <v/>
      </c>
      <c r="DY24" s="465">
        <f>'_Engine_NR'!R158</f>
        <v/>
      </c>
      <c r="DZ24" s="465">
        <f>'_Engine_NR'!R159</f>
        <v/>
      </c>
      <c r="EA24" s="465">
        <f>'_Engine_NR'!R160</f>
        <v/>
      </c>
      <c r="EB24" s="465">
        <f>'_Engine_NR'!R161</f>
        <v/>
      </c>
      <c r="EC24" s="465">
        <f>'_Engine_NR'!R162</f>
        <v/>
      </c>
      <c r="ED24" s="466">
        <f>'_Engine_NR'!R163</f>
        <v/>
      </c>
      <c r="EE24" s="466">
        <f>'_Engine_NR'!R164</f>
        <v/>
      </c>
      <c r="EF24" s="466">
        <f>'_Engine_NR'!R165</f>
        <v/>
      </c>
      <c r="EG24" s="466">
        <f>'_Engine_NR'!R166</f>
        <v/>
      </c>
      <c r="EH24" s="466">
        <f>'_Engine_NR'!R167</f>
        <v/>
      </c>
      <c r="EI24" s="466">
        <f>'_Engine_NR'!R168</f>
        <v/>
      </c>
      <c r="EJ24" s="466">
        <f>'_Engine_NR'!R169</f>
        <v/>
      </c>
      <c r="EK24" s="466">
        <f>'_Engine_NR'!R170</f>
        <v/>
      </c>
      <c r="EL24" s="466">
        <f>'_Engine_NR'!R171</f>
        <v/>
      </c>
      <c r="EM24" s="466">
        <f>'_Engine_NR'!R172</f>
        <v/>
      </c>
      <c r="EN24" s="466">
        <f>'_Engine_NR'!R173</f>
        <v/>
      </c>
      <c r="EO24" s="466">
        <f>'_Engine_NR'!R174</f>
        <v/>
      </c>
      <c r="EP24" s="465">
        <f>'_Engine_NR'!R175</f>
        <v/>
      </c>
      <c r="EQ24" s="465">
        <f>'_Engine_NR'!R176</f>
        <v/>
      </c>
      <c r="ER24" s="465">
        <f>'_Engine_NR'!R177</f>
        <v/>
      </c>
      <c r="ES24" s="465">
        <f>'_Engine_NR'!R178</f>
        <v/>
      </c>
      <c r="ET24" s="465">
        <f>'_Engine_NR'!R179</f>
        <v/>
      </c>
      <c r="EU24" s="465">
        <f>'_Engine_NR'!R180</f>
        <v/>
      </c>
      <c r="EV24" s="465">
        <f>'_Engine_NR'!R181</f>
        <v/>
      </c>
      <c r="EW24" s="465">
        <f>'_Engine_NR'!R182</f>
        <v/>
      </c>
      <c r="EX24" s="465">
        <f>'_Engine_NR'!R183</f>
        <v/>
      </c>
      <c r="EY24" s="465">
        <f>'_Engine_NR'!R184</f>
        <v/>
      </c>
      <c r="EZ24" s="465">
        <f>'_Engine_NR'!R185</f>
        <v/>
      </c>
      <c r="FA24" s="465">
        <f>'_Engine_NR'!R186</f>
        <v/>
      </c>
      <c r="FB24" s="466">
        <f>'_Engine_NR'!R187</f>
        <v/>
      </c>
      <c r="FC24" s="466">
        <f>'_Engine_NR'!R188</f>
        <v/>
      </c>
      <c r="FD24" s="466">
        <f>'_Engine_NR'!R189</f>
        <v/>
      </c>
      <c r="FE24" s="466">
        <f>'_Engine_NR'!R190</f>
        <v/>
      </c>
      <c r="FF24" s="466">
        <f>'_Engine_NR'!R191</f>
        <v/>
      </c>
      <c r="FG24" s="466">
        <f>'_Engine_NR'!R192</f>
        <v/>
      </c>
      <c r="FH24" s="466">
        <f>'_Engine_NR'!R193</f>
        <v/>
      </c>
      <c r="FI24" s="466">
        <f>'_Engine_NR'!R194</f>
        <v/>
      </c>
      <c r="FJ24" s="466">
        <f>'_Engine_NR'!R195</f>
        <v/>
      </c>
      <c r="FK24" s="466">
        <f>'_Engine_NR'!R196</f>
        <v/>
      </c>
      <c r="FL24" s="466">
        <f>'_Engine_NR'!R197</f>
        <v/>
      </c>
      <c r="FM24" s="466">
        <f>'_Engine_NR'!R198</f>
        <v/>
      </c>
      <c r="FN24" s="465">
        <f>'_Engine_NR'!R199</f>
        <v/>
      </c>
      <c r="FO24" s="465">
        <f>'_Engine_NR'!R200</f>
        <v/>
      </c>
      <c r="FP24" s="465">
        <f>'_Engine_NR'!R201</f>
        <v/>
      </c>
      <c r="FQ24" s="465">
        <f>'_Engine_NR'!R202</f>
        <v/>
      </c>
      <c r="FR24" s="465">
        <f>'_Engine_NR'!R203</f>
        <v/>
      </c>
      <c r="FS24" s="465">
        <f>'_Engine_NR'!R204</f>
        <v/>
      </c>
      <c r="FT24" s="465">
        <f>'_Engine_NR'!R205</f>
        <v/>
      </c>
      <c r="FU24" s="465">
        <f>'_Engine_NR'!R206</f>
        <v/>
      </c>
      <c r="FV24" s="465">
        <f>'_Engine_NR'!R207</f>
        <v/>
      </c>
      <c r="FW24" s="465">
        <f>'_Engine_NR'!R208</f>
        <v/>
      </c>
      <c r="FX24" s="465">
        <f>'_Engine_NR'!R209</f>
        <v/>
      </c>
      <c r="FY24" s="465">
        <f>'_Engine_NR'!R210</f>
        <v/>
      </c>
      <c r="FZ24" s="306" t="n"/>
    </row>
    <row r="25" ht="15" customHeight="1" s="307">
      <c r="A25" s="321" t="inlineStr">
        <is>
          <t xml:space="preserve">    Severance (Press 50%)</t>
        </is>
      </c>
      <c r="B25" s="458">
        <f>'_Engine_NR'!S31</f>
        <v/>
      </c>
      <c r="C25" s="458">
        <f>'_Engine_NR'!S32</f>
        <v/>
      </c>
      <c r="D25" s="458">
        <f>'_Engine_NR'!S33</f>
        <v/>
      </c>
      <c r="E25" s="458">
        <f>'_Engine_NR'!S34</f>
        <v/>
      </c>
      <c r="F25" s="458">
        <f>'_Engine_NR'!S35</f>
        <v/>
      </c>
      <c r="G25" s="458">
        <f>'_Engine_NR'!S36</f>
        <v/>
      </c>
      <c r="H25" s="458">
        <f>'_Engine_NR'!S37</f>
        <v/>
      </c>
      <c r="I25" s="458">
        <f>'_Engine_NR'!S38</f>
        <v/>
      </c>
      <c r="J25" s="458">
        <f>'_Engine_NR'!S39</f>
        <v/>
      </c>
      <c r="K25" s="458">
        <f>'_Engine_NR'!S40</f>
        <v/>
      </c>
      <c r="L25" s="458">
        <f>'_Engine_NR'!S41</f>
        <v/>
      </c>
      <c r="M25" s="458">
        <f>'_Engine_NR'!S42</f>
        <v/>
      </c>
      <c r="N25" s="459">
        <f>'_Engine_NR'!S43</f>
        <v/>
      </c>
      <c r="O25" s="459">
        <f>'_Engine_NR'!S44</f>
        <v/>
      </c>
      <c r="P25" s="459">
        <f>'_Engine_NR'!S45</f>
        <v/>
      </c>
      <c r="Q25" s="459">
        <f>'_Engine_NR'!S46</f>
        <v/>
      </c>
      <c r="R25" s="459">
        <f>'_Engine_NR'!S47</f>
        <v/>
      </c>
      <c r="S25" s="459">
        <f>'_Engine_NR'!S48</f>
        <v/>
      </c>
      <c r="T25" s="459">
        <f>'_Engine_NR'!S49</f>
        <v/>
      </c>
      <c r="U25" s="459">
        <f>'_Engine_NR'!S50</f>
        <v/>
      </c>
      <c r="V25" s="459">
        <f>'_Engine_NR'!S51</f>
        <v/>
      </c>
      <c r="W25" s="459">
        <f>'_Engine_NR'!S52</f>
        <v/>
      </c>
      <c r="X25" s="459">
        <f>'_Engine_NR'!S53</f>
        <v/>
      </c>
      <c r="Y25" s="459">
        <f>'_Engine_NR'!S54</f>
        <v/>
      </c>
      <c r="Z25" s="458">
        <f>'_Engine_NR'!S55</f>
        <v/>
      </c>
      <c r="AA25" s="458">
        <f>'_Engine_NR'!S56</f>
        <v/>
      </c>
      <c r="AB25" s="458">
        <f>'_Engine_NR'!S57</f>
        <v/>
      </c>
      <c r="AC25" s="458">
        <f>'_Engine_NR'!S58</f>
        <v/>
      </c>
      <c r="AD25" s="458">
        <f>'_Engine_NR'!S59</f>
        <v/>
      </c>
      <c r="AE25" s="458">
        <f>'_Engine_NR'!S60</f>
        <v/>
      </c>
      <c r="AF25" s="458">
        <f>'_Engine_NR'!S61</f>
        <v/>
      </c>
      <c r="AG25" s="458">
        <f>'_Engine_NR'!S62</f>
        <v/>
      </c>
      <c r="AH25" s="458">
        <f>'_Engine_NR'!S63</f>
        <v/>
      </c>
      <c r="AI25" s="458">
        <f>'_Engine_NR'!S64</f>
        <v/>
      </c>
      <c r="AJ25" s="458">
        <f>'_Engine_NR'!S65</f>
        <v/>
      </c>
      <c r="AK25" s="458">
        <f>'_Engine_NR'!S66</f>
        <v/>
      </c>
      <c r="AL25" s="459">
        <f>'_Engine_NR'!S67</f>
        <v/>
      </c>
      <c r="AM25" s="459">
        <f>'_Engine_NR'!S68</f>
        <v/>
      </c>
      <c r="AN25" s="459">
        <f>'_Engine_NR'!S69</f>
        <v/>
      </c>
      <c r="AO25" s="459">
        <f>'_Engine_NR'!S70</f>
        <v/>
      </c>
      <c r="AP25" s="459">
        <f>'_Engine_NR'!S71</f>
        <v/>
      </c>
      <c r="AQ25" s="459">
        <f>'_Engine_NR'!S72</f>
        <v/>
      </c>
      <c r="AR25" s="459">
        <f>'_Engine_NR'!S73</f>
        <v/>
      </c>
      <c r="AS25" s="459">
        <f>'_Engine_NR'!S74</f>
        <v/>
      </c>
      <c r="AT25" s="459">
        <f>'_Engine_NR'!S75</f>
        <v/>
      </c>
      <c r="AU25" s="459">
        <f>'_Engine_NR'!S76</f>
        <v/>
      </c>
      <c r="AV25" s="459">
        <f>'_Engine_NR'!S77</f>
        <v/>
      </c>
      <c r="AW25" s="459">
        <f>'_Engine_NR'!S78</f>
        <v/>
      </c>
      <c r="AX25" s="458">
        <f>'_Engine_NR'!S79</f>
        <v/>
      </c>
      <c r="AY25" s="458">
        <f>'_Engine_NR'!S80</f>
        <v/>
      </c>
      <c r="AZ25" s="458">
        <f>'_Engine_NR'!S81</f>
        <v/>
      </c>
      <c r="BA25" s="458">
        <f>'_Engine_NR'!S82</f>
        <v/>
      </c>
      <c r="BB25" s="458">
        <f>'_Engine_NR'!S83</f>
        <v/>
      </c>
      <c r="BC25" s="458">
        <f>'_Engine_NR'!S84</f>
        <v/>
      </c>
      <c r="BD25" s="458">
        <f>'_Engine_NR'!S85</f>
        <v/>
      </c>
      <c r="BE25" s="458">
        <f>'_Engine_NR'!S86</f>
        <v/>
      </c>
      <c r="BF25" s="458">
        <f>'_Engine_NR'!S87</f>
        <v/>
      </c>
      <c r="BG25" s="458">
        <f>'_Engine_NR'!S88</f>
        <v/>
      </c>
      <c r="BH25" s="458">
        <f>'_Engine_NR'!S89</f>
        <v/>
      </c>
      <c r="BI25" s="458">
        <f>'_Engine_NR'!S90</f>
        <v/>
      </c>
      <c r="BJ25" s="459">
        <f>'_Engine_NR'!S91</f>
        <v/>
      </c>
      <c r="BK25" s="459">
        <f>'_Engine_NR'!S92</f>
        <v/>
      </c>
      <c r="BL25" s="459">
        <f>'_Engine_NR'!S93</f>
        <v/>
      </c>
      <c r="BM25" s="459">
        <f>'_Engine_NR'!S94</f>
        <v/>
      </c>
      <c r="BN25" s="459">
        <f>'_Engine_NR'!S95</f>
        <v/>
      </c>
      <c r="BO25" s="459">
        <f>'_Engine_NR'!S96</f>
        <v/>
      </c>
      <c r="BP25" s="459">
        <f>'_Engine_NR'!S97</f>
        <v/>
      </c>
      <c r="BQ25" s="459">
        <f>'_Engine_NR'!S98</f>
        <v/>
      </c>
      <c r="BR25" s="459">
        <f>'_Engine_NR'!S99</f>
        <v/>
      </c>
      <c r="BS25" s="459">
        <f>'_Engine_NR'!S100</f>
        <v/>
      </c>
      <c r="BT25" s="459">
        <f>'_Engine_NR'!S101</f>
        <v/>
      </c>
      <c r="BU25" s="459">
        <f>'_Engine_NR'!S102</f>
        <v/>
      </c>
      <c r="BV25" s="458">
        <f>'_Engine_NR'!S103</f>
        <v/>
      </c>
      <c r="BW25" s="458">
        <f>'_Engine_NR'!S104</f>
        <v/>
      </c>
      <c r="BX25" s="458">
        <f>'_Engine_NR'!S105</f>
        <v/>
      </c>
      <c r="BY25" s="458">
        <f>'_Engine_NR'!S106</f>
        <v/>
      </c>
      <c r="BZ25" s="458">
        <f>'_Engine_NR'!S107</f>
        <v/>
      </c>
      <c r="CA25" s="458">
        <f>'_Engine_NR'!S108</f>
        <v/>
      </c>
      <c r="CB25" s="458">
        <f>'_Engine_NR'!S109</f>
        <v/>
      </c>
      <c r="CC25" s="458">
        <f>'_Engine_NR'!S110</f>
        <v/>
      </c>
      <c r="CD25" s="458">
        <f>'_Engine_NR'!S111</f>
        <v/>
      </c>
      <c r="CE25" s="458">
        <f>'_Engine_NR'!S112</f>
        <v/>
      </c>
      <c r="CF25" s="458">
        <f>'_Engine_NR'!S113</f>
        <v/>
      </c>
      <c r="CG25" s="458">
        <f>'_Engine_NR'!S114</f>
        <v/>
      </c>
      <c r="CH25" s="459">
        <f>'_Engine_NR'!S115</f>
        <v/>
      </c>
      <c r="CI25" s="459">
        <f>'_Engine_NR'!S116</f>
        <v/>
      </c>
      <c r="CJ25" s="459">
        <f>'_Engine_NR'!S117</f>
        <v/>
      </c>
      <c r="CK25" s="459">
        <f>'_Engine_NR'!S118</f>
        <v/>
      </c>
      <c r="CL25" s="459">
        <f>'_Engine_NR'!S119</f>
        <v/>
      </c>
      <c r="CM25" s="459">
        <f>'_Engine_NR'!S120</f>
        <v/>
      </c>
      <c r="CN25" s="459">
        <f>'_Engine_NR'!S121</f>
        <v/>
      </c>
      <c r="CO25" s="459">
        <f>'_Engine_NR'!S122</f>
        <v/>
      </c>
      <c r="CP25" s="459">
        <f>'_Engine_NR'!S123</f>
        <v/>
      </c>
      <c r="CQ25" s="459">
        <f>'_Engine_NR'!S124</f>
        <v/>
      </c>
      <c r="CR25" s="459">
        <f>'_Engine_NR'!S125</f>
        <v/>
      </c>
      <c r="CS25" s="459">
        <f>'_Engine_NR'!S126</f>
        <v/>
      </c>
      <c r="CT25" s="458">
        <f>'_Engine_NR'!S127</f>
        <v/>
      </c>
      <c r="CU25" s="458">
        <f>'_Engine_NR'!S128</f>
        <v/>
      </c>
      <c r="CV25" s="458">
        <f>'_Engine_NR'!S129</f>
        <v/>
      </c>
      <c r="CW25" s="458">
        <f>'_Engine_NR'!S130</f>
        <v/>
      </c>
      <c r="CX25" s="458">
        <f>'_Engine_NR'!S131</f>
        <v/>
      </c>
      <c r="CY25" s="458">
        <f>'_Engine_NR'!S132</f>
        <v/>
      </c>
      <c r="CZ25" s="458">
        <f>'_Engine_NR'!S133</f>
        <v/>
      </c>
      <c r="DA25" s="458">
        <f>'_Engine_NR'!S134</f>
        <v/>
      </c>
      <c r="DB25" s="458">
        <f>'_Engine_NR'!S135</f>
        <v/>
      </c>
      <c r="DC25" s="458">
        <f>'_Engine_NR'!S136</f>
        <v/>
      </c>
      <c r="DD25" s="458">
        <f>'_Engine_NR'!S137</f>
        <v/>
      </c>
      <c r="DE25" s="458">
        <f>'_Engine_NR'!S138</f>
        <v/>
      </c>
      <c r="DF25" s="459">
        <f>'_Engine_NR'!S139</f>
        <v/>
      </c>
      <c r="DG25" s="459">
        <f>'_Engine_NR'!S140</f>
        <v/>
      </c>
      <c r="DH25" s="459">
        <f>'_Engine_NR'!S141</f>
        <v/>
      </c>
      <c r="DI25" s="459">
        <f>'_Engine_NR'!S142</f>
        <v/>
      </c>
      <c r="DJ25" s="459">
        <f>'_Engine_NR'!S143</f>
        <v/>
      </c>
      <c r="DK25" s="459">
        <f>'_Engine_NR'!S144</f>
        <v/>
      </c>
      <c r="DL25" s="459">
        <f>'_Engine_NR'!S145</f>
        <v/>
      </c>
      <c r="DM25" s="459">
        <f>'_Engine_NR'!S146</f>
        <v/>
      </c>
      <c r="DN25" s="459">
        <f>'_Engine_NR'!S147</f>
        <v/>
      </c>
      <c r="DO25" s="459">
        <f>'_Engine_NR'!S148</f>
        <v/>
      </c>
      <c r="DP25" s="459">
        <f>'_Engine_NR'!S149</f>
        <v/>
      </c>
      <c r="DQ25" s="459">
        <f>'_Engine_NR'!S150</f>
        <v/>
      </c>
      <c r="DR25" s="458">
        <f>'_Engine_NR'!S151</f>
        <v/>
      </c>
      <c r="DS25" s="458">
        <f>'_Engine_NR'!S152</f>
        <v/>
      </c>
      <c r="DT25" s="458">
        <f>'_Engine_NR'!S153</f>
        <v/>
      </c>
      <c r="DU25" s="458">
        <f>'_Engine_NR'!S154</f>
        <v/>
      </c>
      <c r="DV25" s="458">
        <f>'_Engine_NR'!S155</f>
        <v/>
      </c>
      <c r="DW25" s="458">
        <f>'_Engine_NR'!S156</f>
        <v/>
      </c>
      <c r="DX25" s="458">
        <f>'_Engine_NR'!S157</f>
        <v/>
      </c>
      <c r="DY25" s="458">
        <f>'_Engine_NR'!S158</f>
        <v/>
      </c>
      <c r="DZ25" s="458">
        <f>'_Engine_NR'!S159</f>
        <v/>
      </c>
      <c r="EA25" s="458">
        <f>'_Engine_NR'!S160</f>
        <v/>
      </c>
      <c r="EB25" s="458">
        <f>'_Engine_NR'!S161</f>
        <v/>
      </c>
      <c r="EC25" s="458">
        <f>'_Engine_NR'!S162</f>
        <v/>
      </c>
      <c r="ED25" s="459">
        <f>'_Engine_NR'!S163</f>
        <v/>
      </c>
      <c r="EE25" s="459">
        <f>'_Engine_NR'!S164</f>
        <v/>
      </c>
      <c r="EF25" s="459">
        <f>'_Engine_NR'!S165</f>
        <v/>
      </c>
      <c r="EG25" s="459">
        <f>'_Engine_NR'!S166</f>
        <v/>
      </c>
      <c r="EH25" s="459">
        <f>'_Engine_NR'!S167</f>
        <v/>
      </c>
      <c r="EI25" s="459">
        <f>'_Engine_NR'!S168</f>
        <v/>
      </c>
      <c r="EJ25" s="459">
        <f>'_Engine_NR'!S169</f>
        <v/>
      </c>
      <c r="EK25" s="459">
        <f>'_Engine_NR'!S170</f>
        <v/>
      </c>
      <c r="EL25" s="459">
        <f>'_Engine_NR'!S171</f>
        <v/>
      </c>
      <c r="EM25" s="459">
        <f>'_Engine_NR'!S172</f>
        <v/>
      </c>
      <c r="EN25" s="459">
        <f>'_Engine_NR'!S173</f>
        <v/>
      </c>
      <c r="EO25" s="459">
        <f>'_Engine_NR'!S174</f>
        <v/>
      </c>
      <c r="EP25" s="458">
        <f>'_Engine_NR'!S175</f>
        <v/>
      </c>
      <c r="EQ25" s="458">
        <f>'_Engine_NR'!S176</f>
        <v/>
      </c>
      <c r="ER25" s="458">
        <f>'_Engine_NR'!S177</f>
        <v/>
      </c>
      <c r="ES25" s="458">
        <f>'_Engine_NR'!S178</f>
        <v/>
      </c>
      <c r="ET25" s="458">
        <f>'_Engine_NR'!S179</f>
        <v/>
      </c>
      <c r="EU25" s="458">
        <f>'_Engine_NR'!S180</f>
        <v/>
      </c>
      <c r="EV25" s="458">
        <f>'_Engine_NR'!S181</f>
        <v/>
      </c>
      <c r="EW25" s="458">
        <f>'_Engine_NR'!S182</f>
        <v/>
      </c>
      <c r="EX25" s="458">
        <f>'_Engine_NR'!S183</f>
        <v/>
      </c>
      <c r="EY25" s="458">
        <f>'_Engine_NR'!S184</f>
        <v/>
      </c>
      <c r="EZ25" s="458">
        <f>'_Engine_NR'!S185</f>
        <v/>
      </c>
      <c r="FA25" s="458">
        <f>'_Engine_NR'!S186</f>
        <v/>
      </c>
      <c r="FB25" s="459">
        <f>'_Engine_NR'!S187</f>
        <v/>
      </c>
      <c r="FC25" s="459">
        <f>'_Engine_NR'!S188</f>
        <v/>
      </c>
      <c r="FD25" s="459">
        <f>'_Engine_NR'!S189</f>
        <v/>
      </c>
      <c r="FE25" s="459">
        <f>'_Engine_NR'!S190</f>
        <v/>
      </c>
      <c r="FF25" s="459">
        <f>'_Engine_NR'!S191</f>
        <v/>
      </c>
      <c r="FG25" s="459">
        <f>'_Engine_NR'!S192</f>
        <v/>
      </c>
      <c r="FH25" s="459">
        <f>'_Engine_NR'!S193</f>
        <v/>
      </c>
      <c r="FI25" s="459">
        <f>'_Engine_NR'!S194</f>
        <v/>
      </c>
      <c r="FJ25" s="459">
        <f>'_Engine_NR'!S195</f>
        <v/>
      </c>
      <c r="FK25" s="459">
        <f>'_Engine_NR'!S196</f>
        <v/>
      </c>
      <c r="FL25" s="459">
        <f>'_Engine_NR'!S197</f>
        <v/>
      </c>
      <c r="FM25" s="459">
        <f>'_Engine_NR'!S198</f>
        <v/>
      </c>
      <c r="FN25" s="458">
        <f>'_Engine_NR'!S199</f>
        <v/>
      </c>
      <c r="FO25" s="458">
        <f>'_Engine_NR'!S200</f>
        <v/>
      </c>
      <c r="FP25" s="458">
        <f>'_Engine_NR'!S201</f>
        <v/>
      </c>
      <c r="FQ25" s="458">
        <f>'_Engine_NR'!S202</f>
        <v/>
      </c>
      <c r="FR25" s="458">
        <f>'_Engine_NR'!S203</f>
        <v/>
      </c>
      <c r="FS25" s="458">
        <f>'_Engine_NR'!S204</f>
        <v/>
      </c>
      <c r="FT25" s="458">
        <f>'_Engine_NR'!S205</f>
        <v/>
      </c>
      <c r="FU25" s="458">
        <f>'_Engine_NR'!S206</f>
        <v/>
      </c>
      <c r="FV25" s="458">
        <f>'_Engine_NR'!S207</f>
        <v/>
      </c>
      <c r="FW25" s="458">
        <f>'_Engine_NR'!S208</f>
        <v/>
      </c>
      <c r="FX25" s="458">
        <f>'_Engine_NR'!S209</f>
        <v/>
      </c>
      <c r="FY25" s="458">
        <f>'_Engine_NR'!S210</f>
        <v/>
      </c>
      <c r="FZ25" s="306" t="n"/>
    </row>
    <row r="26" ht="15" customHeight="1" s="307">
      <c r="A26" s="468" t="inlineStr">
        <is>
          <t>Operating Income</t>
        </is>
      </c>
      <c r="B26" s="469">
        <f>B24-B25</f>
        <v/>
      </c>
      <c r="C26" s="469">
        <f>C24-C25</f>
        <v/>
      </c>
      <c r="D26" s="469">
        <f>D24-D25</f>
        <v/>
      </c>
      <c r="E26" s="469">
        <f>E24-E25</f>
        <v/>
      </c>
      <c r="F26" s="469">
        <f>F24-F25</f>
        <v/>
      </c>
      <c r="G26" s="469">
        <f>G24-G25</f>
        <v/>
      </c>
      <c r="H26" s="469">
        <f>H24-H25</f>
        <v/>
      </c>
      <c r="I26" s="469">
        <f>I24-I25</f>
        <v/>
      </c>
      <c r="J26" s="469">
        <f>J24-J25</f>
        <v/>
      </c>
      <c r="K26" s="469">
        <f>K24-K25</f>
        <v/>
      </c>
      <c r="L26" s="469">
        <f>L24-L25</f>
        <v/>
      </c>
      <c r="M26" s="469">
        <f>M24-M25</f>
        <v/>
      </c>
      <c r="N26" s="470">
        <f>N24-N25</f>
        <v/>
      </c>
      <c r="O26" s="470">
        <f>O24-O25</f>
        <v/>
      </c>
      <c r="P26" s="470">
        <f>P24-P25</f>
        <v/>
      </c>
      <c r="Q26" s="470">
        <f>Q24-Q25</f>
        <v/>
      </c>
      <c r="R26" s="470">
        <f>R24-R25</f>
        <v/>
      </c>
      <c r="S26" s="470">
        <f>S24-S25</f>
        <v/>
      </c>
      <c r="T26" s="470">
        <f>T24-T25</f>
        <v/>
      </c>
      <c r="U26" s="470">
        <f>U24-U25</f>
        <v/>
      </c>
      <c r="V26" s="470">
        <f>V24-V25</f>
        <v/>
      </c>
      <c r="W26" s="470">
        <f>W24-W25</f>
        <v/>
      </c>
      <c r="X26" s="470">
        <f>X24-X25</f>
        <v/>
      </c>
      <c r="Y26" s="470">
        <f>Y24-Y25</f>
        <v/>
      </c>
      <c r="Z26" s="469">
        <f>Z24-Z25</f>
        <v/>
      </c>
      <c r="AA26" s="469">
        <f>AA24-AA25</f>
        <v/>
      </c>
      <c r="AB26" s="469">
        <f>AB24-AB25</f>
        <v/>
      </c>
      <c r="AC26" s="469">
        <f>AC24-AC25</f>
        <v/>
      </c>
      <c r="AD26" s="469">
        <f>AD24-AD25</f>
        <v/>
      </c>
      <c r="AE26" s="469">
        <f>AE24-AE25</f>
        <v/>
      </c>
      <c r="AF26" s="469">
        <f>AF24-AF25</f>
        <v/>
      </c>
      <c r="AG26" s="469">
        <f>AG24-AG25</f>
        <v/>
      </c>
      <c r="AH26" s="469">
        <f>AH24-AH25</f>
        <v/>
      </c>
      <c r="AI26" s="469">
        <f>AI24-AI25</f>
        <v/>
      </c>
      <c r="AJ26" s="469">
        <f>AJ24-AJ25</f>
        <v/>
      </c>
      <c r="AK26" s="469">
        <f>AK24-AK25</f>
        <v/>
      </c>
      <c r="AL26" s="470">
        <f>AL24-AL25</f>
        <v/>
      </c>
      <c r="AM26" s="470">
        <f>AM24-AM25</f>
        <v/>
      </c>
      <c r="AN26" s="470">
        <f>AN24-AN25</f>
        <v/>
      </c>
      <c r="AO26" s="470">
        <f>AO24-AO25</f>
        <v/>
      </c>
      <c r="AP26" s="470">
        <f>AP24-AP25</f>
        <v/>
      </c>
      <c r="AQ26" s="470">
        <f>AQ24-AQ25</f>
        <v/>
      </c>
      <c r="AR26" s="470">
        <f>AR24-AR25</f>
        <v/>
      </c>
      <c r="AS26" s="470">
        <f>AS24-AS25</f>
        <v/>
      </c>
      <c r="AT26" s="470">
        <f>AT24-AT25</f>
        <v/>
      </c>
      <c r="AU26" s="470">
        <f>AU24-AU25</f>
        <v/>
      </c>
      <c r="AV26" s="470">
        <f>AV24-AV25</f>
        <v/>
      </c>
      <c r="AW26" s="470">
        <f>AW24-AW25</f>
        <v/>
      </c>
      <c r="AX26" s="469">
        <f>AX24-AX25</f>
        <v/>
      </c>
      <c r="AY26" s="469">
        <f>AY24-AY25</f>
        <v/>
      </c>
      <c r="AZ26" s="469">
        <f>AZ24-AZ25</f>
        <v/>
      </c>
      <c r="BA26" s="469">
        <f>BA24-BA25</f>
        <v/>
      </c>
      <c r="BB26" s="469">
        <f>BB24-BB25</f>
        <v/>
      </c>
      <c r="BC26" s="469">
        <f>BC24-BC25</f>
        <v/>
      </c>
      <c r="BD26" s="469">
        <f>BD24-BD25</f>
        <v/>
      </c>
      <c r="BE26" s="469">
        <f>BE24-BE25</f>
        <v/>
      </c>
      <c r="BF26" s="469">
        <f>BF24-BF25</f>
        <v/>
      </c>
      <c r="BG26" s="469">
        <f>BG24-BG25</f>
        <v/>
      </c>
      <c r="BH26" s="469">
        <f>BH24-BH25</f>
        <v/>
      </c>
      <c r="BI26" s="469">
        <f>BI24-BI25</f>
        <v/>
      </c>
      <c r="BJ26" s="470">
        <f>BJ24-BJ25</f>
        <v/>
      </c>
      <c r="BK26" s="470">
        <f>BK24-BK25</f>
        <v/>
      </c>
      <c r="BL26" s="470">
        <f>BL24-BL25</f>
        <v/>
      </c>
      <c r="BM26" s="470">
        <f>BM24-BM25</f>
        <v/>
      </c>
      <c r="BN26" s="470">
        <f>BN24-BN25</f>
        <v/>
      </c>
      <c r="BO26" s="470">
        <f>BO24-BO25</f>
        <v/>
      </c>
      <c r="BP26" s="470">
        <f>BP24-BP25</f>
        <v/>
      </c>
      <c r="BQ26" s="470">
        <f>BQ24-BQ25</f>
        <v/>
      </c>
      <c r="BR26" s="470">
        <f>BR24-BR25</f>
        <v/>
      </c>
      <c r="BS26" s="470">
        <f>BS24-BS25</f>
        <v/>
      </c>
      <c r="BT26" s="470">
        <f>BT24-BT25</f>
        <v/>
      </c>
      <c r="BU26" s="470">
        <f>BU24-BU25</f>
        <v/>
      </c>
      <c r="BV26" s="469">
        <f>BV24-BV25</f>
        <v/>
      </c>
      <c r="BW26" s="469">
        <f>BW24-BW25</f>
        <v/>
      </c>
      <c r="BX26" s="469">
        <f>BX24-BX25</f>
        <v/>
      </c>
      <c r="BY26" s="469">
        <f>BY24-BY25</f>
        <v/>
      </c>
      <c r="BZ26" s="469">
        <f>BZ24-BZ25</f>
        <v/>
      </c>
      <c r="CA26" s="469">
        <f>CA24-CA25</f>
        <v/>
      </c>
      <c r="CB26" s="469">
        <f>CB24-CB25</f>
        <v/>
      </c>
      <c r="CC26" s="469">
        <f>CC24-CC25</f>
        <v/>
      </c>
      <c r="CD26" s="469">
        <f>CD24-CD25</f>
        <v/>
      </c>
      <c r="CE26" s="469">
        <f>CE24-CE25</f>
        <v/>
      </c>
      <c r="CF26" s="469">
        <f>CF24-CF25</f>
        <v/>
      </c>
      <c r="CG26" s="469">
        <f>CG24-CG25</f>
        <v/>
      </c>
      <c r="CH26" s="470">
        <f>CH24-CH25</f>
        <v/>
      </c>
      <c r="CI26" s="470">
        <f>CI24-CI25</f>
        <v/>
      </c>
      <c r="CJ26" s="470">
        <f>CJ24-CJ25</f>
        <v/>
      </c>
      <c r="CK26" s="470">
        <f>CK24-CK25</f>
        <v/>
      </c>
      <c r="CL26" s="470">
        <f>CL24-CL25</f>
        <v/>
      </c>
      <c r="CM26" s="470">
        <f>CM24-CM25</f>
        <v/>
      </c>
      <c r="CN26" s="470">
        <f>CN24-CN25</f>
        <v/>
      </c>
      <c r="CO26" s="470">
        <f>CO24-CO25</f>
        <v/>
      </c>
      <c r="CP26" s="470">
        <f>CP24-CP25</f>
        <v/>
      </c>
      <c r="CQ26" s="470">
        <f>CQ24-CQ25</f>
        <v/>
      </c>
      <c r="CR26" s="470">
        <f>CR24-CR25</f>
        <v/>
      </c>
      <c r="CS26" s="470">
        <f>CS24-CS25</f>
        <v/>
      </c>
      <c r="CT26" s="469">
        <f>CT24-CT25</f>
        <v/>
      </c>
      <c r="CU26" s="469">
        <f>CU24-CU25</f>
        <v/>
      </c>
      <c r="CV26" s="469">
        <f>CV24-CV25</f>
        <v/>
      </c>
      <c r="CW26" s="469">
        <f>CW24-CW25</f>
        <v/>
      </c>
      <c r="CX26" s="469">
        <f>CX24-CX25</f>
        <v/>
      </c>
      <c r="CY26" s="469">
        <f>CY24-CY25</f>
        <v/>
      </c>
      <c r="CZ26" s="469">
        <f>CZ24-CZ25</f>
        <v/>
      </c>
      <c r="DA26" s="469">
        <f>DA24-DA25</f>
        <v/>
      </c>
      <c r="DB26" s="469">
        <f>DB24-DB25</f>
        <v/>
      </c>
      <c r="DC26" s="469">
        <f>DC24-DC25</f>
        <v/>
      </c>
      <c r="DD26" s="469">
        <f>DD24-DD25</f>
        <v/>
      </c>
      <c r="DE26" s="469">
        <f>DE24-DE25</f>
        <v/>
      </c>
      <c r="DF26" s="470">
        <f>DF24-DF25</f>
        <v/>
      </c>
      <c r="DG26" s="470">
        <f>DG24-DG25</f>
        <v/>
      </c>
      <c r="DH26" s="470">
        <f>DH24-DH25</f>
        <v/>
      </c>
      <c r="DI26" s="470">
        <f>DI24-DI25</f>
        <v/>
      </c>
      <c r="DJ26" s="470">
        <f>DJ24-DJ25</f>
        <v/>
      </c>
      <c r="DK26" s="470">
        <f>DK24-DK25</f>
        <v/>
      </c>
      <c r="DL26" s="470">
        <f>DL24-DL25</f>
        <v/>
      </c>
      <c r="DM26" s="470">
        <f>DM24-DM25</f>
        <v/>
      </c>
      <c r="DN26" s="470">
        <f>DN24-DN25</f>
        <v/>
      </c>
      <c r="DO26" s="470">
        <f>DO24-DO25</f>
        <v/>
      </c>
      <c r="DP26" s="470">
        <f>DP24-DP25</f>
        <v/>
      </c>
      <c r="DQ26" s="470">
        <f>DQ24-DQ25</f>
        <v/>
      </c>
      <c r="DR26" s="469">
        <f>DR24-DR25</f>
        <v/>
      </c>
      <c r="DS26" s="469">
        <f>DS24-DS25</f>
        <v/>
      </c>
      <c r="DT26" s="469">
        <f>DT24-DT25</f>
        <v/>
      </c>
      <c r="DU26" s="469">
        <f>DU24-DU25</f>
        <v/>
      </c>
      <c r="DV26" s="469">
        <f>DV24-DV25</f>
        <v/>
      </c>
      <c r="DW26" s="469">
        <f>DW24-DW25</f>
        <v/>
      </c>
      <c r="DX26" s="469">
        <f>DX24-DX25</f>
        <v/>
      </c>
      <c r="DY26" s="469">
        <f>DY24-DY25</f>
        <v/>
      </c>
      <c r="DZ26" s="469">
        <f>DZ24-DZ25</f>
        <v/>
      </c>
      <c r="EA26" s="469">
        <f>EA24-EA25</f>
        <v/>
      </c>
      <c r="EB26" s="469">
        <f>EB24-EB25</f>
        <v/>
      </c>
      <c r="EC26" s="469">
        <f>EC24-EC25</f>
        <v/>
      </c>
      <c r="ED26" s="470">
        <f>ED24-ED25</f>
        <v/>
      </c>
      <c r="EE26" s="470">
        <f>EE24-EE25</f>
        <v/>
      </c>
      <c r="EF26" s="470">
        <f>EF24-EF25</f>
        <v/>
      </c>
      <c r="EG26" s="470">
        <f>EG24-EG25</f>
        <v/>
      </c>
      <c r="EH26" s="470">
        <f>EH24-EH25</f>
        <v/>
      </c>
      <c r="EI26" s="470">
        <f>EI24-EI25</f>
        <v/>
      </c>
      <c r="EJ26" s="470">
        <f>EJ24-EJ25</f>
        <v/>
      </c>
      <c r="EK26" s="470">
        <f>EK24-EK25</f>
        <v/>
      </c>
      <c r="EL26" s="470">
        <f>EL24-EL25</f>
        <v/>
      </c>
      <c r="EM26" s="470">
        <f>EM24-EM25</f>
        <v/>
      </c>
      <c r="EN26" s="470">
        <f>EN24-EN25</f>
        <v/>
      </c>
      <c r="EO26" s="470">
        <f>EO24-EO25</f>
        <v/>
      </c>
      <c r="EP26" s="469">
        <f>EP24-EP25</f>
        <v/>
      </c>
      <c r="EQ26" s="469">
        <f>EQ24-EQ25</f>
        <v/>
      </c>
      <c r="ER26" s="469">
        <f>ER24-ER25</f>
        <v/>
      </c>
      <c r="ES26" s="469">
        <f>ES24-ES25</f>
        <v/>
      </c>
      <c r="ET26" s="469">
        <f>ET24-ET25</f>
        <v/>
      </c>
      <c r="EU26" s="469">
        <f>EU24-EU25</f>
        <v/>
      </c>
      <c r="EV26" s="469">
        <f>EV24-EV25</f>
        <v/>
      </c>
      <c r="EW26" s="469">
        <f>EW24-EW25</f>
        <v/>
      </c>
      <c r="EX26" s="469">
        <f>EX24-EX25</f>
        <v/>
      </c>
      <c r="EY26" s="469">
        <f>EY24-EY25</f>
        <v/>
      </c>
      <c r="EZ26" s="469">
        <f>EZ24-EZ25</f>
        <v/>
      </c>
      <c r="FA26" s="469">
        <f>FA24-FA25</f>
        <v/>
      </c>
      <c r="FB26" s="470">
        <f>FB24-FB25</f>
        <v/>
      </c>
      <c r="FC26" s="470">
        <f>FC24-FC25</f>
        <v/>
      </c>
      <c r="FD26" s="470">
        <f>FD24-FD25</f>
        <v/>
      </c>
      <c r="FE26" s="470">
        <f>FE24-FE25</f>
        <v/>
      </c>
      <c r="FF26" s="470">
        <f>FF24-FF25</f>
        <v/>
      </c>
      <c r="FG26" s="470">
        <f>FG24-FG25</f>
        <v/>
      </c>
      <c r="FH26" s="470">
        <f>FH24-FH25</f>
        <v/>
      </c>
      <c r="FI26" s="470">
        <f>FI24-FI25</f>
        <v/>
      </c>
      <c r="FJ26" s="470">
        <f>FJ24-FJ25</f>
        <v/>
      </c>
      <c r="FK26" s="470">
        <f>FK24-FK25</f>
        <v/>
      </c>
      <c r="FL26" s="470">
        <f>FL24-FL25</f>
        <v/>
      </c>
      <c r="FM26" s="470">
        <f>FM24-FM25</f>
        <v/>
      </c>
      <c r="FN26" s="469">
        <f>FN24-FN25</f>
        <v/>
      </c>
      <c r="FO26" s="469">
        <f>FO24-FO25</f>
        <v/>
      </c>
      <c r="FP26" s="469">
        <f>FP24-FP25</f>
        <v/>
      </c>
      <c r="FQ26" s="469">
        <f>FQ24-FQ25</f>
        <v/>
      </c>
      <c r="FR26" s="469">
        <f>FR24-FR25</f>
        <v/>
      </c>
      <c r="FS26" s="469">
        <f>FS24-FS25</f>
        <v/>
      </c>
      <c r="FT26" s="469">
        <f>FT24-FT25</f>
        <v/>
      </c>
      <c r="FU26" s="469">
        <f>FU24-FU25</f>
        <v/>
      </c>
      <c r="FV26" s="469">
        <f>FV24-FV25</f>
        <v/>
      </c>
      <c r="FW26" s="469">
        <f>FW24-FW25</f>
        <v/>
      </c>
      <c r="FX26" s="469">
        <f>FX24-FX25</f>
        <v/>
      </c>
      <c r="FY26" s="469">
        <f>FY24-FY25</f>
        <v/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>
        <f>'_Engine_NR'!C31</f>
        <v/>
      </c>
      <c r="C28" s="458">
        <f>'_Engine_NR'!C32</f>
        <v/>
      </c>
      <c r="D28" s="458">
        <f>'_Engine_NR'!C33</f>
        <v/>
      </c>
      <c r="E28" s="458">
        <f>'_Engine_NR'!C34</f>
        <v/>
      </c>
      <c r="F28" s="458">
        <f>'_Engine_NR'!C35</f>
        <v/>
      </c>
      <c r="G28" s="458">
        <f>'_Engine_NR'!C36</f>
        <v/>
      </c>
      <c r="H28" s="458">
        <f>'_Engine_NR'!C37</f>
        <v/>
      </c>
      <c r="I28" s="458">
        <f>'_Engine_NR'!C38</f>
        <v/>
      </c>
      <c r="J28" s="458">
        <f>'_Engine_NR'!C39</f>
        <v/>
      </c>
      <c r="K28" s="458">
        <f>'_Engine_NR'!C40</f>
        <v/>
      </c>
      <c r="L28" s="458">
        <f>'_Engine_NR'!C41</f>
        <v/>
      </c>
      <c r="M28" s="458">
        <f>'_Engine_NR'!C42</f>
        <v/>
      </c>
      <c r="N28" s="459">
        <f>'_Engine_NR'!C43</f>
        <v/>
      </c>
      <c r="O28" s="459">
        <f>'_Engine_NR'!C44</f>
        <v/>
      </c>
      <c r="P28" s="459">
        <f>'_Engine_NR'!C45</f>
        <v/>
      </c>
      <c r="Q28" s="459">
        <f>'_Engine_NR'!C46</f>
        <v/>
      </c>
      <c r="R28" s="459">
        <f>'_Engine_NR'!C47</f>
        <v/>
      </c>
      <c r="S28" s="459">
        <f>'_Engine_NR'!C48</f>
        <v/>
      </c>
      <c r="T28" s="459">
        <f>'_Engine_NR'!C49</f>
        <v/>
      </c>
      <c r="U28" s="459">
        <f>'_Engine_NR'!C50</f>
        <v/>
      </c>
      <c r="V28" s="459">
        <f>'_Engine_NR'!C51</f>
        <v/>
      </c>
      <c r="W28" s="459">
        <f>'_Engine_NR'!C52</f>
        <v/>
      </c>
      <c r="X28" s="459">
        <f>'_Engine_NR'!C53</f>
        <v/>
      </c>
      <c r="Y28" s="459">
        <f>'_Engine_NR'!C54</f>
        <v/>
      </c>
      <c r="Z28" s="458">
        <f>'_Engine_NR'!C55</f>
        <v/>
      </c>
      <c r="AA28" s="458">
        <f>'_Engine_NR'!C56</f>
        <v/>
      </c>
      <c r="AB28" s="458">
        <f>'_Engine_NR'!C57</f>
        <v/>
      </c>
      <c r="AC28" s="458">
        <f>'_Engine_NR'!C58</f>
        <v/>
      </c>
      <c r="AD28" s="458">
        <f>'_Engine_NR'!C59</f>
        <v/>
      </c>
      <c r="AE28" s="458">
        <f>'_Engine_NR'!C60</f>
        <v/>
      </c>
      <c r="AF28" s="458">
        <f>'_Engine_NR'!C61</f>
        <v/>
      </c>
      <c r="AG28" s="458">
        <f>'_Engine_NR'!C62</f>
        <v/>
      </c>
      <c r="AH28" s="458">
        <f>'_Engine_NR'!C63</f>
        <v/>
      </c>
      <c r="AI28" s="458">
        <f>'_Engine_NR'!C64</f>
        <v/>
      </c>
      <c r="AJ28" s="458">
        <f>'_Engine_NR'!C65</f>
        <v/>
      </c>
      <c r="AK28" s="458">
        <f>'_Engine_NR'!C66</f>
        <v/>
      </c>
      <c r="AL28" s="459">
        <f>'_Engine_NR'!C67</f>
        <v/>
      </c>
      <c r="AM28" s="459">
        <f>'_Engine_NR'!C68</f>
        <v/>
      </c>
      <c r="AN28" s="459">
        <f>'_Engine_NR'!C69</f>
        <v/>
      </c>
      <c r="AO28" s="459">
        <f>'_Engine_NR'!C70</f>
        <v/>
      </c>
      <c r="AP28" s="459">
        <f>'_Engine_NR'!C71</f>
        <v/>
      </c>
      <c r="AQ28" s="459">
        <f>'_Engine_NR'!C72</f>
        <v/>
      </c>
      <c r="AR28" s="459">
        <f>'_Engine_NR'!C73</f>
        <v/>
      </c>
      <c r="AS28" s="459">
        <f>'_Engine_NR'!C74</f>
        <v/>
      </c>
      <c r="AT28" s="459">
        <f>'_Engine_NR'!C75</f>
        <v/>
      </c>
      <c r="AU28" s="459">
        <f>'_Engine_NR'!C76</f>
        <v/>
      </c>
      <c r="AV28" s="459">
        <f>'_Engine_NR'!C77</f>
        <v/>
      </c>
      <c r="AW28" s="459">
        <f>'_Engine_NR'!C78</f>
        <v/>
      </c>
      <c r="AX28" s="458">
        <f>'_Engine_NR'!C79</f>
        <v/>
      </c>
      <c r="AY28" s="458">
        <f>'_Engine_NR'!C80</f>
        <v/>
      </c>
      <c r="AZ28" s="458">
        <f>'_Engine_NR'!C81</f>
        <v/>
      </c>
      <c r="BA28" s="458">
        <f>'_Engine_NR'!C82</f>
        <v/>
      </c>
      <c r="BB28" s="458">
        <f>'_Engine_NR'!C83</f>
        <v/>
      </c>
      <c r="BC28" s="458">
        <f>'_Engine_NR'!C84</f>
        <v/>
      </c>
      <c r="BD28" s="458">
        <f>'_Engine_NR'!C85</f>
        <v/>
      </c>
      <c r="BE28" s="458">
        <f>'_Engine_NR'!C86</f>
        <v/>
      </c>
      <c r="BF28" s="458">
        <f>'_Engine_NR'!C87</f>
        <v/>
      </c>
      <c r="BG28" s="458">
        <f>'_Engine_NR'!C88</f>
        <v/>
      </c>
      <c r="BH28" s="458">
        <f>'_Engine_NR'!C89</f>
        <v/>
      </c>
      <c r="BI28" s="458">
        <f>'_Engine_NR'!C90</f>
        <v/>
      </c>
      <c r="BJ28" s="459">
        <f>'_Engine_NR'!C91</f>
        <v/>
      </c>
      <c r="BK28" s="459">
        <f>'_Engine_NR'!C92</f>
        <v/>
      </c>
      <c r="BL28" s="459">
        <f>'_Engine_NR'!C93</f>
        <v/>
      </c>
      <c r="BM28" s="459">
        <f>'_Engine_NR'!C94</f>
        <v/>
      </c>
      <c r="BN28" s="459">
        <f>'_Engine_NR'!C95</f>
        <v/>
      </c>
      <c r="BO28" s="459">
        <f>'_Engine_NR'!C96</f>
        <v/>
      </c>
      <c r="BP28" s="459">
        <f>'_Engine_NR'!C97</f>
        <v/>
      </c>
      <c r="BQ28" s="459">
        <f>'_Engine_NR'!C98</f>
        <v/>
      </c>
      <c r="BR28" s="459">
        <f>'_Engine_NR'!C99</f>
        <v/>
      </c>
      <c r="BS28" s="459">
        <f>'_Engine_NR'!C100</f>
        <v/>
      </c>
      <c r="BT28" s="459">
        <f>'_Engine_NR'!C101</f>
        <v/>
      </c>
      <c r="BU28" s="459">
        <f>'_Engine_NR'!C102</f>
        <v/>
      </c>
      <c r="BV28" s="458">
        <f>'_Engine_NR'!C103</f>
        <v/>
      </c>
      <c r="BW28" s="458">
        <f>'_Engine_NR'!C104</f>
        <v/>
      </c>
      <c r="BX28" s="458">
        <f>'_Engine_NR'!C105</f>
        <v/>
      </c>
      <c r="BY28" s="458">
        <f>'_Engine_NR'!C106</f>
        <v/>
      </c>
      <c r="BZ28" s="458">
        <f>'_Engine_NR'!C107</f>
        <v/>
      </c>
      <c r="CA28" s="458">
        <f>'_Engine_NR'!C108</f>
        <v/>
      </c>
      <c r="CB28" s="458">
        <f>'_Engine_NR'!C109</f>
        <v/>
      </c>
      <c r="CC28" s="458">
        <f>'_Engine_NR'!C110</f>
        <v/>
      </c>
      <c r="CD28" s="458">
        <f>'_Engine_NR'!C111</f>
        <v/>
      </c>
      <c r="CE28" s="458">
        <f>'_Engine_NR'!C112</f>
        <v/>
      </c>
      <c r="CF28" s="458">
        <f>'_Engine_NR'!C113</f>
        <v/>
      </c>
      <c r="CG28" s="458">
        <f>'_Engine_NR'!C114</f>
        <v/>
      </c>
      <c r="CH28" s="459">
        <f>'_Engine_NR'!C115</f>
        <v/>
      </c>
      <c r="CI28" s="459">
        <f>'_Engine_NR'!C116</f>
        <v/>
      </c>
      <c r="CJ28" s="459">
        <f>'_Engine_NR'!C117</f>
        <v/>
      </c>
      <c r="CK28" s="459">
        <f>'_Engine_NR'!C118</f>
        <v/>
      </c>
      <c r="CL28" s="459">
        <f>'_Engine_NR'!C119</f>
        <v/>
      </c>
      <c r="CM28" s="459">
        <f>'_Engine_NR'!C120</f>
        <v/>
      </c>
      <c r="CN28" s="459">
        <f>'_Engine_NR'!C121</f>
        <v/>
      </c>
      <c r="CO28" s="459">
        <f>'_Engine_NR'!C122</f>
        <v/>
      </c>
      <c r="CP28" s="459">
        <f>'_Engine_NR'!C123</f>
        <v/>
      </c>
      <c r="CQ28" s="459">
        <f>'_Engine_NR'!C124</f>
        <v/>
      </c>
      <c r="CR28" s="459">
        <f>'_Engine_NR'!C125</f>
        <v/>
      </c>
      <c r="CS28" s="459">
        <f>'_Engine_NR'!C126</f>
        <v/>
      </c>
      <c r="CT28" s="458">
        <f>'_Engine_NR'!C127</f>
        <v/>
      </c>
      <c r="CU28" s="458">
        <f>'_Engine_NR'!C128</f>
        <v/>
      </c>
      <c r="CV28" s="458">
        <f>'_Engine_NR'!C129</f>
        <v/>
      </c>
      <c r="CW28" s="458">
        <f>'_Engine_NR'!C130</f>
        <v/>
      </c>
      <c r="CX28" s="458">
        <f>'_Engine_NR'!C131</f>
        <v/>
      </c>
      <c r="CY28" s="458">
        <f>'_Engine_NR'!C132</f>
        <v/>
      </c>
      <c r="CZ28" s="458">
        <f>'_Engine_NR'!C133</f>
        <v/>
      </c>
      <c r="DA28" s="458">
        <f>'_Engine_NR'!C134</f>
        <v/>
      </c>
      <c r="DB28" s="458">
        <f>'_Engine_NR'!C135</f>
        <v/>
      </c>
      <c r="DC28" s="458">
        <f>'_Engine_NR'!C136</f>
        <v/>
      </c>
      <c r="DD28" s="458">
        <f>'_Engine_NR'!C137</f>
        <v/>
      </c>
      <c r="DE28" s="458">
        <f>'_Engine_NR'!C138</f>
        <v/>
      </c>
      <c r="DF28" s="459">
        <f>'_Engine_NR'!C139</f>
        <v/>
      </c>
      <c r="DG28" s="459">
        <f>'_Engine_NR'!C140</f>
        <v/>
      </c>
      <c r="DH28" s="459">
        <f>'_Engine_NR'!C141</f>
        <v/>
      </c>
      <c r="DI28" s="459">
        <f>'_Engine_NR'!C142</f>
        <v/>
      </c>
      <c r="DJ28" s="459">
        <f>'_Engine_NR'!C143</f>
        <v/>
      </c>
      <c r="DK28" s="459">
        <f>'_Engine_NR'!C144</f>
        <v/>
      </c>
      <c r="DL28" s="459">
        <f>'_Engine_NR'!C145</f>
        <v/>
      </c>
      <c r="DM28" s="459">
        <f>'_Engine_NR'!C146</f>
        <v/>
      </c>
      <c r="DN28" s="459">
        <f>'_Engine_NR'!C147</f>
        <v/>
      </c>
      <c r="DO28" s="459">
        <f>'_Engine_NR'!C148</f>
        <v/>
      </c>
      <c r="DP28" s="459">
        <f>'_Engine_NR'!C149</f>
        <v/>
      </c>
      <c r="DQ28" s="459">
        <f>'_Engine_NR'!C150</f>
        <v/>
      </c>
      <c r="DR28" s="458">
        <f>'_Engine_NR'!C151</f>
        <v/>
      </c>
      <c r="DS28" s="458">
        <f>'_Engine_NR'!C152</f>
        <v/>
      </c>
      <c r="DT28" s="458">
        <f>'_Engine_NR'!C153</f>
        <v/>
      </c>
      <c r="DU28" s="458">
        <f>'_Engine_NR'!C154</f>
        <v/>
      </c>
      <c r="DV28" s="458">
        <f>'_Engine_NR'!C155</f>
        <v/>
      </c>
      <c r="DW28" s="458">
        <f>'_Engine_NR'!C156</f>
        <v/>
      </c>
      <c r="DX28" s="458">
        <f>'_Engine_NR'!C157</f>
        <v/>
      </c>
      <c r="DY28" s="458">
        <f>'_Engine_NR'!C158</f>
        <v/>
      </c>
      <c r="DZ28" s="458">
        <f>'_Engine_NR'!C159</f>
        <v/>
      </c>
      <c r="EA28" s="458">
        <f>'_Engine_NR'!C160</f>
        <v/>
      </c>
      <c r="EB28" s="458">
        <f>'_Engine_NR'!C161</f>
        <v/>
      </c>
      <c r="EC28" s="458">
        <f>'_Engine_NR'!C162</f>
        <v/>
      </c>
      <c r="ED28" s="459">
        <f>'_Engine_NR'!C163</f>
        <v/>
      </c>
      <c r="EE28" s="459">
        <f>'_Engine_NR'!C164</f>
        <v/>
      </c>
      <c r="EF28" s="459">
        <f>'_Engine_NR'!C165</f>
        <v/>
      </c>
      <c r="EG28" s="459">
        <f>'_Engine_NR'!C166</f>
        <v/>
      </c>
      <c r="EH28" s="459">
        <f>'_Engine_NR'!C167</f>
        <v/>
      </c>
      <c r="EI28" s="459">
        <f>'_Engine_NR'!C168</f>
        <v/>
      </c>
      <c r="EJ28" s="459">
        <f>'_Engine_NR'!C169</f>
        <v/>
      </c>
      <c r="EK28" s="459">
        <f>'_Engine_NR'!C170</f>
        <v/>
      </c>
      <c r="EL28" s="459">
        <f>'_Engine_NR'!C171</f>
        <v/>
      </c>
      <c r="EM28" s="459">
        <f>'_Engine_NR'!C172</f>
        <v/>
      </c>
      <c r="EN28" s="459">
        <f>'_Engine_NR'!C173</f>
        <v/>
      </c>
      <c r="EO28" s="459">
        <f>'_Engine_NR'!C174</f>
        <v/>
      </c>
      <c r="EP28" s="458">
        <f>'_Engine_NR'!C175</f>
        <v/>
      </c>
      <c r="EQ28" s="458">
        <f>'_Engine_NR'!C176</f>
        <v/>
      </c>
      <c r="ER28" s="458">
        <f>'_Engine_NR'!C177</f>
        <v/>
      </c>
      <c r="ES28" s="458">
        <f>'_Engine_NR'!C178</f>
        <v/>
      </c>
      <c r="ET28" s="458">
        <f>'_Engine_NR'!C179</f>
        <v/>
      </c>
      <c r="EU28" s="458">
        <f>'_Engine_NR'!C180</f>
        <v/>
      </c>
      <c r="EV28" s="458">
        <f>'_Engine_NR'!C181</f>
        <v/>
      </c>
      <c r="EW28" s="458">
        <f>'_Engine_NR'!C182</f>
        <v/>
      </c>
      <c r="EX28" s="458">
        <f>'_Engine_NR'!C183</f>
        <v/>
      </c>
      <c r="EY28" s="458">
        <f>'_Engine_NR'!C184</f>
        <v/>
      </c>
      <c r="EZ28" s="458">
        <f>'_Engine_NR'!C185</f>
        <v/>
      </c>
      <c r="FA28" s="458">
        <f>'_Engine_NR'!C186</f>
        <v/>
      </c>
      <c r="FB28" s="459">
        <f>'_Engine_NR'!C187</f>
        <v/>
      </c>
      <c r="FC28" s="459">
        <f>'_Engine_NR'!C188</f>
        <v/>
      </c>
      <c r="FD28" s="459">
        <f>'_Engine_NR'!C189</f>
        <v/>
      </c>
      <c r="FE28" s="459">
        <f>'_Engine_NR'!C190</f>
        <v/>
      </c>
      <c r="FF28" s="459">
        <f>'_Engine_NR'!C191</f>
        <v/>
      </c>
      <c r="FG28" s="459">
        <f>'_Engine_NR'!C192</f>
        <v/>
      </c>
      <c r="FH28" s="459">
        <f>'_Engine_NR'!C193</f>
        <v/>
      </c>
      <c r="FI28" s="459">
        <f>'_Engine_NR'!C194</f>
        <v/>
      </c>
      <c r="FJ28" s="459">
        <f>'_Engine_NR'!C195</f>
        <v/>
      </c>
      <c r="FK28" s="459">
        <f>'_Engine_NR'!C196</f>
        <v/>
      </c>
      <c r="FL28" s="459">
        <f>'_Engine_NR'!C197</f>
        <v/>
      </c>
      <c r="FM28" s="459">
        <f>'_Engine_NR'!C198</f>
        <v/>
      </c>
      <c r="FN28" s="458">
        <f>'_Engine_NR'!C199</f>
        <v/>
      </c>
      <c r="FO28" s="458">
        <f>'_Engine_NR'!C200</f>
        <v/>
      </c>
      <c r="FP28" s="458">
        <f>'_Engine_NR'!C201</f>
        <v/>
      </c>
      <c r="FQ28" s="458">
        <f>'_Engine_NR'!C202</f>
        <v/>
      </c>
      <c r="FR28" s="458">
        <f>'_Engine_NR'!C203</f>
        <v/>
      </c>
      <c r="FS28" s="458">
        <f>'_Engine_NR'!C204</f>
        <v/>
      </c>
      <c r="FT28" s="458">
        <f>'_Engine_NR'!C205</f>
        <v/>
      </c>
      <c r="FU28" s="458">
        <f>'_Engine_NR'!C206</f>
        <v/>
      </c>
      <c r="FV28" s="458">
        <f>'_Engine_NR'!C207</f>
        <v/>
      </c>
      <c r="FW28" s="458">
        <f>'_Engine_NR'!C208</f>
        <v/>
      </c>
      <c r="FX28" s="458">
        <f>'_Engine_NR'!C209</f>
        <v/>
      </c>
      <c r="FY28" s="458">
        <f>'_Engine_NR'!C210</f>
        <v/>
      </c>
      <c r="FZ28" s="306" t="n"/>
    </row>
    <row r="29" ht="15" customHeight="1" s="307">
      <c r="A29" s="322" t="inlineStr">
        <is>
          <t>Distributable Cash</t>
        </is>
      </c>
      <c r="B29" s="461">
        <f>'_Engine_NR'!V31</f>
        <v/>
      </c>
      <c r="C29" s="461">
        <f>'_Engine_NR'!V32</f>
        <v/>
      </c>
      <c r="D29" s="461">
        <f>'_Engine_NR'!V33</f>
        <v/>
      </c>
      <c r="E29" s="461">
        <f>'_Engine_NR'!V34</f>
        <v/>
      </c>
      <c r="F29" s="461">
        <f>'_Engine_NR'!V35</f>
        <v/>
      </c>
      <c r="G29" s="461">
        <f>'_Engine_NR'!V36</f>
        <v/>
      </c>
      <c r="H29" s="461">
        <f>'_Engine_NR'!V37</f>
        <v/>
      </c>
      <c r="I29" s="461">
        <f>'_Engine_NR'!V38</f>
        <v/>
      </c>
      <c r="J29" s="461">
        <f>'_Engine_NR'!V39</f>
        <v/>
      </c>
      <c r="K29" s="461">
        <f>'_Engine_NR'!V40</f>
        <v/>
      </c>
      <c r="L29" s="461">
        <f>'_Engine_NR'!V41</f>
        <v/>
      </c>
      <c r="M29" s="461">
        <f>'_Engine_NR'!V42</f>
        <v/>
      </c>
      <c r="N29" s="462">
        <f>'_Engine_NR'!V43</f>
        <v/>
      </c>
      <c r="O29" s="462">
        <f>'_Engine_NR'!V44</f>
        <v/>
      </c>
      <c r="P29" s="462">
        <f>'_Engine_NR'!V45</f>
        <v/>
      </c>
      <c r="Q29" s="462">
        <f>'_Engine_NR'!V46</f>
        <v/>
      </c>
      <c r="R29" s="462">
        <f>'_Engine_NR'!V47</f>
        <v/>
      </c>
      <c r="S29" s="462">
        <f>'_Engine_NR'!V48</f>
        <v/>
      </c>
      <c r="T29" s="462">
        <f>'_Engine_NR'!V49</f>
        <v/>
      </c>
      <c r="U29" s="462">
        <f>'_Engine_NR'!V50</f>
        <v/>
      </c>
      <c r="V29" s="462">
        <f>'_Engine_NR'!V51</f>
        <v/>
      </c>
      <c r="W29" s="462">
        <f>'_Engine_NR'!V52</f>
        <v/>
      </c>
      <c r="X29" s="462">
        <f>'_Engine_NR'!V53</f>
        <v/>
      </c>
      <c r="Y29" s="462">
        <f>'_Engine_NR'!V54</f>
        <v/>
      </c>
      <c r="Z29" s="461">
        <f>'_Engine_NR'!V55</f>
        <v/>
      </c>
      <c r="AA29" s="461">
        <f>'_Engine_NR'!V56</f>
        <v/>
      </c>
      <c r="AB29" s="461">
        <f>'_Engine_NR'!V57</f>
        <v/>
      </c>
      <c r="AC29" s="461">
        <f>'_Engine_NR'!V58</f>
        <v/>
      </c>
      <c r="AD29" s="461">
        <f>'_Engine_NR'!V59</f>
        <v/>
      </c>
      <c r="AE29" s="461">
        <f>'_Engine_NR'!V60</f>
        <v/>
      </c>
      <c r="AF29" s="461">
        <f>'_Engine_NR'!V61</f>
        <v/>
      </c>
      <c r="AG29" s="461">
        <f>'_Engine_NR'!V62</f>
        <v/>
      </c>
      <c r="AH29" s="461">
        <f>'_Engine_NR'!V63</f>
        <v/>
      </c>
      <c r="AI29" s="461">
        <f>'_Engine_NR'!V64</f>
        <v/>
      </c>
      <c r="AJ29" s="461">
        <f>'_Engine_NR'!V65</f>
        <v/>
      </c>
      <c r="AK29" s="461">
        <f>'_Engine_NR'!V66</f>
        <v/>
      </c>
      <c r="AL29" s="462">
        <f>'_Engine_NR'!V67</f>
        <v/>
      </c>
      <c r="AM29" s="462">
        <f>'_Engine_NR'!V68</f>
        <v/>
      </c>
      <c r="AN29" s="462">
        <f>'_Engine_NR'!V69</f>
        <v/>
      </c>
      <c r="AO29" s="462">
        <f>'_Engine_NR'!V70</f>
        <v/>
      </c>
      <c r="AP29" s="462">
        <f>'_Engine_NR'!V71</f>
        <v/>
      </c>
      <c r="AQ29" s="462">
        <f>'_Engine_NR'!V72</f>
        <v/>
      </c>
      <c r="AR29" s="462">
        <f>'_Engine_NR'!V73</f>
        <v/>
      </c>
      <c r="AS29" s="462">
        <f>'_Engine_NR'!V74</f>
        <v/>
      </c>
      <c r="AT29" s="462">
        <f>'_Engine_NR'!V75</f>
        <v/>
      </c>
      <c r="AU29" s="462">
        <f>'_Engine_NR'!V76</f>
        <v/>
      </c>
      <c r="AV29" s="462">
        <f>'_Engine_NR'!V77</f>
        <v/>
      </c>
      <c r="AW29" s="462">
        <f>'_Engine_NR'!V78</f>
        <v/>
      </c>
      <c r="AX29" s="461">
        <f>'_Engine_NR'!V79</f>
        <v/>
      </c>
      <c r="AY29" s="461">
        <f>'_Engine_NR'!V80</f>
        <v/>
      </c>
      <c r="AZ29" s="461">
        <f>'_Engine_NR'!V81</f>
        <v/>
      </c>
      <c r="BA29" s="461">
        <f>'_Engine_NR'!V82</f>
        <v/>
      </c>
      <c r="BB29" s="461">
        <f>'_Engine_NR'!V83</f>
        <v/>
      </c>
      <c r="BC29" s="461">
        <f>'_Engine_NR'!V84</f>
        <v/>
      </c>
      <c r="BD29" s="461">
        <f>'_Engine_NR'!V85</f>
        <v/>
      </c>
      <c r="BE29" s="461">
        <f>'_Engine_NR'!V86</f>
        <v/>
      </c>
      <c r="BF29" s="461">
        <f>'_Engine_NR'!V87</f>
        <v/>
      </c>
      <c r="BG29" s="461">
        <f>'_Engine_NR'!V88</f>
        <v/>
      </c>
      <c r="BH29" s="461">
        <f>'_Engine_NR'!V89</f>
        <v/>
      </c>
      <c r="BI29" s="461">
        <f>'_Engine_NR'!V90</f>
        <v/>
      </c>
      <c r="BJ29" s="462">
        <f>'_Engine_NR'!V91</f>
        <v/>
      </c>
      <c r="BK29" s="462">
        <f>'_Engine_NR'!V92</f>
        <v/>
      </c>
      <c r="BL29" s="462">
        <f>'_Engine_NR'!V93</f>
        <v/>
      </c>
      <c r="BM29" s="462">
        <f>'_Engine_NR'!V94</f>
        <v/>
      </c>
      <c r="BN29" s="462">
        <f>'_Engine_NR'!V95</f>
        <v/>
      </c>
      <c r="BO29" s="462">
        <f>'_Engine_NR'!V96</f>
        <v/>
      </c>
      <c r="BP29" s="462">
        <f>'_Engine_NR'!V97</f>
        <v/>
      </c>
      <c r="BQ29" s="462">
        <f>'_Engine_NR'!V98</f>
        <v/>
      </c>
      <c r="BR29" s="462">
        <f>'_Engine_NR'!V99</f>
        <v/>
      </c>
      <c r="BS29" s="462">
        <f>'_Engine_NR'!V100</f>
        <v/>
      </c>
      <c r="BT29" s="462">
        <f>'_Engine_NR'!V101</f>
        <v/>
      </c>
      <c r="BU29" s="462">
        <f>'_Engine_NR'!V102</f>
        <v/>
      </c>
      <c r="BV29" s="461">
        <f>'_Engine_NR'!V103</f>
        <v/>
      </c>
      <c r="BW29" s="461">
        <f>'_Engine_NR'!V104</f>
        <v/>
      </c>
      <c r="BX29" s="461">
        <f>'_Engine_NR'!V105</f>
        <v/>
      </c>
      <c r="BY29" s="461">
        <f>'_Engine_NR'!V106</f>
        <v/>
      </c>
      <c r="BZ29" s="461">
        <f>'_Engine_NR'!V107</f>
        <v/>
      </c>
      <c r="CA29" s="461">
        <f>'_Engine_NR'!V108</f>
        <v/>
      </c>
      <c r="CB29" s="461">
        <f>'_Engine_NR'!V109</f>
        <v/>
      </c>
      <c r="CC29" s="461">
        <f>'_Engine_NR'!V110</f>
        <v/>
      </c>
      <c r="CD29" s="461">
        <f>'_Engine_NR'!V111</f>
        <v/>
      </c>
      <c r="CE29" s="461">
        <f>'_Engine_NR'!V112</f>
        <v/>
      </c>
      <c r="CF29" s="461">
        <f>'_Engine_NR'!V113</f>
        <v/>
      </c>
      <c r="CG29" s="461">
        <f>'_Engine_NR'!V114</f>
        <v/>
      </c>
      <c r="CH29" s="462">
        <f>'_Engine_NR'!V115</f>
        <v/>
      </c>
      <c r="CI29" s="462">
        <f>'_Engine_NR'!V116</f>
        <v/>
      </c>
      <c r="CJ29" s="462">
        <f>'_Engine_NR'!V117</f>
        <v/>
      </c>
      <c r="CK29" s="462">
        <f>'_Engine_NR'!V118</f>
        <v/>
      </c>
      <c r="CL29" s="462">
        <f>'_Engine_NR'!V119</f>
        <v/>
      </c>
      <c r="CM29" s="462">
        <f>'_Engine_NR'!V120</f>
        <v/>
      </c>
      <c r="CN29" s="462">
        <f>'_Engine_NR'!V121</f>
        <v/>
      </c>
      <c r="CO29" s="462">
        <f>'_Engine_NR'!V122</f>
        <v/>
      </c>
      <c r="CP29" s="462">
        <f>'_Engine_NR'!V123</f>
        <v/>
      </c>
      <c r="CQ29" s="462">
        <f>'_Engine_NR'!V124</f>
        <v/>
      </c>
      <c r="CR29" s="462">
        <f>'_Engine_NR'!V125</f>
        <v/>
      </c>
      <c r="CS29" s="462">
        <f>'_Engine_NR'!V126</f>
        <v/>
      </c>
      <c r="CT29" s="461">
        <f>'_Engine_NR'!V127</f>
        <v/>
      </c>
      <c r="CU29" s="461">
        <f>'_Engine_NR'!V128</f>
        <v/>
      </c>
      <c r="CV29" s="461">
        <f>'_Engine_NR'!V129</f>
        <v/>
      </c>
      <c r="CW29" s="461">
        <f>'_Engine_NR'!V130</f>
        <v/>
      </c>
      <c r="CX29" s="461">
        <f>'_Engine_NR'!V131</f>
        <v/>
      </c>
      <c r="CY29" s="461">
        <f>'_Engine_NR'!V132</f>
        <v/>
      </c>
      <c r="CZ29" s="461">
        <f>'_Engine_NR'!V133</f>
        <v/>
      </c>
      <c r="DA29" s="461">
        <f>'_Engine_NR'!V134</f>
        <v/>
      </c>
      <c r="DB29" s="461">
        <f>'_Engine_NR'!V135</f>
        <v/>
      </c>
      <c r="DC29" s="461">
        <f>'_Engine_NR'!V136</f>
        <v/>
      </c>
      <c r="DD29" s="461">
        <f>'_Engine_NR'!V137</f>
        <v/>
      </c>
      <c r="DE29" s="461">
        <f>'_Engine_NR'!V138</f>
        <v/>
      </c>
      <c r="DF29" s="462">
        <f>'_Engine_NR'!V139</f>
        <v/>
      </c>
      <c r="DG29" s="462">
        <f>'_Engine_NR'!V140</f>
        <v/>
      </c>
      <c r="DH29" s="462">
        <f>'_Engine_NR'!V141</f>
        <v/>
      </c>
      <c r="DI29" s="462">
        <f>'_Engine_NR'!V142</f>
        <v/>
      </c>
      <c r="DJ29" s="462">
        <f>'_Engine_NR'!V143</f>
        <v/>
      </c>
      <c r="DK29" s="462">
        <f>'_Engine_NR'!V144</f>
        <v/>
      </c>
      <c r="DL29" s="462">
        <f>'_Engine_NR'!V145</f>
        <v/>
      </c>
      <c r="DM29" s="462">
        <f>'_Engine_NR'!V146</f>
        <v/>
      </c>
      <c r="DN29" s="462">
        <f>'_Engine_NR'!V147</f>
        <v/>
      </c>
      <c r="DO29" s="462">
        <f>'_Engine_NR'!V148</f>
        <v/>
      </c>
      <c r="DP29" s="462">
        <f>'_Engine_NR'!V149</f>
        <v/>
      </c>
      <c r="DQ29" s="462">
        <f>'_Engine_NR'!V150</f>
        <v/>
      </c>
      <c r="DR29" s="461">
        <f>'_Engine_NR'!V151</f>
        <v/>
      </c>
      <c r="DS29" s="461">
        <f>'_Engine_NR'!V152</f>
        <v/>
      </c>
      <c r="DT29" s="461">
        <f>'_Engine_NR'!V153</f>
        <v/>
      </c>
      <c r="DU29" s="461">
        <f>'_Engine_NR'!V154</f>
        <v/>
      </c>
      <c r="DV29" s="461">
        <f>'_Engine_NR'!V155</f>
        <v/>
      </c>
      <c r="DW29" s="461">
        <f>'_Engine_NR'!V156</f>
        <v/>
      </c>
      <c r="DX29" s="461">
        <f>'_Engine_NR'!V157</f>
        <v/>
      </c>
      <c r="DY29" s="461">
        <f>'_Engine_NR'!V158</f>
        <v/>
      </c>
      <c r="DZ29" s="461">
        <f>'_Engine_NR'!V159</f>
        <v/>
      </c>
      <c r="EA29" s="461">
        <f>'_Engine_NR'!V160</f>
        <v/>
      </c>
      <c r="EB29" s="461">
        <f>'_Engine_NR'!V161</f>
        <v/>
      </c>
      <c r="EC29" s="461">
        <f>'_Engine_NR'!V162</f>
        <v/>
      </c>
      <c r="ED29" s="462">
        <f>'_Engine_NR'!V163</f>
        <v/>
      </c>
      <c r="EE29" s="462">
        <f>'_Engine_NR'!V164</f>
        <v/>
      </c>
      <c r="EF29" s="462">
        <f>'_Engine_NR'!V165</f>
        <v/>
      </c>
      <c r="EG29" s="462">
        <f>'_Engine_NR'!V166</f>
        <v/>
      </c>
      <c r="EH29" s="462">
        <f>'_Engine_NR'!V167</f>
        <v/>
      </c>
      <c r="EI29" s="462">
        <f>'_Engine_NR'!V168</f>
        <v/>
      </c>
      <c r="EJ29" s="462">
        <f>'_Engine_NR'!V169</f>
        <v/>
      </c>
      <c r="EK29" s="462">
        <f>'_Engine_NR'!V170</f>
        <v/>
      </c>
      <c r="EL29" s="462">
        <f>'_Engine_NR'!V171</f>
        <v/>
      </c>
      <c r="EM29" s="462">
        <f>'_Engine_NR'!V172</f>
        <v/>
      </c>
      <c r="EN29" s="462">
        <f>'_Engine_NR'!V173</f>
        <v/>
      </c>
      <c r="EO29" s="462">
        <f>'_Engine_NR'!V174</f>
        <v/>
      </c>
      <c r="EP29" s="461">
        <f>'_Engine_NR'!V175</f>
        <v/>
      </c>
      <c r="EQ29" s="461">
        <f>'_Engine_NR'!V176</f>
        <v/>
      </c>
      <c r="ER29" s="461">
        <f>'_Engine_NR'!V177</f>
        <v/>
      </c>
      <c r="ES29" s="461">
        <f>'_Engine_NR'!V178</f>
        <v/>
      </c>
      <c r="ET29" s="461">
        <f>'_Engine_NR'!V179</f>
        <v/>
      </c>
      <c r="EU29" s="461">
        <f>'_Engine_NR'!V180</f>
        <v/>
      </c>
      <c r="EV29" s="461">
        <f>'_Engine_NR'!V181</f>
        <v/>
      </c>
      <c r="EW29" s="461">
        <f>'_Engine_NR'!V182</f>
        <v/>
      </c>
      <c r="EX29" s="461">
        <f>'_Engine_NR'!V183</f>
        <v/>
      </c>
      <c r="EY29" s="461">
        <f>'_Engine_NR'!V184</f>
        <v/>
      </c>
      <c r="EZ29" s="461">
        <f>'_Engine_NR'!V185</f>
        <v/>
      </c>
      <c r="FA29" s="461">
        <f>'_Engine_NR'!V186</f>
        <v/>
      </c>
      <c r="FB29" s="462">
        <f>'_Engine_NR'!V187</f>
        <v/>
      </c>
      <c r="FC29" s="462">
        <f>'_Engine_NR'!V188</f>
        <v/>
      </c>
      <c r="FD29" s="462">
        <f>'_Engine_NR'!V189</f>
        <v/>
      </c>
      <c r="FE29" s="462">
        <f>'_Engine_NR'!V190</f>
        <v/>
      </c>
      <c r="FF29" s="462">
        <f>'_Engine_NR'!V191</f>
        <v/>
      </c>
      <c r="FG29" s="462">
        <f>'_Engine_NR'!V192</f>
        <v/>
      </c>
      <c r="FH29" s="462">
        <f>'_Engine_NR'!V193</f>
        <v/>
      </c>
      <c r="FI29" s="462">
        <f>'_Engine_NR'!V194</f>
        <v/>
      </c>
      <c r="FJ29" s="462">
        <f>'_Engine_NR'!V195</f>
        <v/>
      </c>
      <c r="FK29" s="462">
        <f>'_Engine_NR'!V196</f>
        <v/>
      </c>
      <c r="FL29" s="462">
        <f>'_Engine_NR'!V197</f>
        <v/>
      </c>
      <c r="FM29" s="462">
        <f>'_Engine_NR'!V198</f>
        <v/>
      </c>
      <c r="FN29" s="461">
        <f>'_Engine_NR'!V199</f>
        <v/>
      </c>
      <c r="FO29" s="461">
        <f>'_Engine_NR'!V200</f>
        <v/>
      </c>
      <c r="FP29" s="461">
        <f>'_Engine_NR'!V201</f>
        <v/>
      </c>
      <c r="FQ29" s="461">
        <f>'_Engine_NR'!V202</f>
        <v/>
      </c>
      <c r="FR29" s="461">
        <f>'_Engine_NR'!V203</f>
        <v/>
      </c>
      <c r="FS29" s="461">
        <f>'_Engine_NR'!V204</f>
        <v/>
      </c>
      <c r="FT29" s="461">
        <f>'_Engine_NR'!V205</f>
        <v/>
      </c>
      <c r="FU29" s="461">
        <f>'_Engine_NR'!V206</f>
        <v/>
      </c>
      <c r="FV29" s="461">
        <f>'_Engine_NR'!V207</f>
        <v/>
      </c>
      <c r="FW29" s="461">
        <f>'_Engine_NR'!V208</f>
        <v/>
      </c>
      <c r="FX29" s="461">
        <f>'_Engine_NR'!V209</f>
        <v/>
      </c>
      <c r="FY29" s="461">
        <f>'_Engine_NR'!V210</f>
        <v/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8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'_Engine_R50'!F31/12</f>
        <v/>
      </c>
      <c r="C6" s="458">
        <f>'_Engine_R50'!F32/12</f>
        <v/>
      </c>
      <c r="D6" s="458">
        <f>'_Engine_R50'!F33/12</f>
        <v/>
      </c>
      <c r="E6" s="458">
        <f>'_Engine_R50'!F34/12</f>
        <v/>
      </c>
      <c r="F6" s="458">
        <f>'_Engine_R50'!F35/12</f>
        <v/>
      </c>
      <c r="G6" s="458">
        <f>'_Engine_R50'!F36/12</f>
        <v/>
      </c>
      <c r="H6" s="458">
        <f>'_Engine_R50'!F37/12</f>
        <v/>
      </c>
      <c r="I6" s="458">
        <f>'_Engine_R50'!F38/12</f>
        <v/>
      </c>
      <c r="J6" s="458">
        <f>'_Engine_R50'!F39/12</f>
        <v/>
      </c>
      <c r="K6" s="458">
        <f>'_Engine_R50'!F40/12</f>
        <v/>
      </c>
      <c r="L6" s="458">
        <f>'_Engine_R50'!F41/12</f>
        <v/>
      </c>
      <c r="M6" s="458">
        <f>'_Engine_R50'!F42/12</f>
        <v/>
      </c>
      <c r="N6" s="459">
        <f>'_Engine_R50'!F43/12</f>
        <v/>
      </c>
      <c r="O6" s="459">
        <f>'_Engine_R50'!F44/12</f>
        <v/>
      </c>
      <c r="P6" s="459">
        <f>'_Engine_R50'!F45/12</f>
        <v/>
      </c>
      <c r="Q6" s="459">
        <f>'_Engine_R50'!F46/12</f>
        <v/>
      </c>
      <c r="R6" s="459">
        <f>'_Engine_R50'!F47/12</f>
        <v/>
      </c>
      <c r="S6" s="459">
        <f>'_Engine_R50'!F48/12</f>
        <v/>
      </c>
      <c r="T6" s="459">
        <f>'_Engine_R50'!F49/12</f>
        <v/>
      </c>
      <c r="U6" s="459">
        <f>'_Engine_R50'!F50/12</f>
        <v/>
      </c>
      <c r="V6" s="459">
        <f>'_Engine_R50'!F51/12</f>
        <v/>
      </c>
      <c r="W6" s="459">
        <f>'_Engine_R50'!F52/12</f>
        <v/>
      </c>
      <c r="X6" s="459">
        <f>'_Engine_R50'!F53/12</f>
        <v/>
      </c>
      <c r="Y6" s="459">
        <f>'_Engine_R50'!F54/12</f>
        <v/>
      </c>
      <c r="Z6" s="458">
        <f>'_Engine_R50'!F55/12</f>
        <v/>
      </c>
      <c r="AA6" s="458">
        <f>'_Engine_R50'!F56/12</f>
        <v/>
      </c>
      <c r="AB6" s="458">
        <f>'_Engine_R50'!F57/12</f>
        <v/>
      </c>
      <c r="AC6" s="458">
        <f>'_Engine_R50'!F58/12</f>
        <v/>
      </c>
      <c r="AD6" s="458">
        <f>'_Engine_R50'!F59/12</f>
        <v/>
      </c>
      <c r="AE6" s="458">
        <f>'_Engine_R50'!F60/12</f>
        <v/>
      </c>
      <c r="AF6" s="458">
        <f>'_Engine_R50'!F61/12</f>
        <v/>
      </c>
      <c r="AG6" s="458">
        <f>'_Engine_R50'!F62/12</f>
        <v/>
      </c>
      <c r="AH6" s="458">
        <f>'_Engine_R50'!F63/12</f>
        <v/>
      </c>
      <c r="AI6" s="458">
        <f>'_Engine_R50'!F64/12</f>
        <v/>
      </c>
      <c r="AJ6" s="458">
        <f>'_Engine_R50'!F65/12</f>
        <v/>
      </c>
      <c r="AK6" s="458">
        <f>'_Engine_R50'!F66/12</f>
        <v/>
      </c>
      <c r="AL6" s="459">
        <f>'_Engine_R50'!F67/12</f>
        <v/>
      </c>
      <c r="AM6" s="459">
        <f>'_Engine_R50'!F68/12</f>
        <v/>
      </c>
      <c r="AN6" s="459">
        <f>'_Engine_R50'!F69/12</f>
        <v/>
      </c>
      <c r="AO6" s="459">
        <f>'_Engine_R50'!F70/12</f>
        <v/>
      </c>
      <c r="AP6" s="459">
        <f>'_Engine_R50'!F71/12</f>
        <v/>
      </c>
      <c r="AQ6" s="459">
        <f>'_Engine_R50'!F72/12</f>
        <v/>
      </c>
      <c r="AR6" s="459">
        <f>'_Engine_R50'!F73/12</f>
        <v/>
      </c>
      <c r="AS6" s="459">
        <f>'_Engine_R50'!F74/12</f>
        <v/>
      </c>
      <c r="AT6" s="459">
        <f>'_Engine_R50'!F75/12</f>
        <v/>
      </c>
      <c r="AU6" s="459">
        <f>'_Engine_R50'!F76/12</f>
        <v/>
      </c>
      <c r="AV6" s="459">
        <f>'_Engine_R50'!F77/12</f>
        <v/>
      </c>
      <c r="AW6" s="459">
        <f>'_Engine_R50'!F78/12</f>
        <v/>
      </c>
      <c r="AX6" s="458">
        <f>'_Engine_R50'!F79/12</f>
        <v/>
      </c>
      <c r="AY6" s="458">
        <f>'_Engine_R50'!F80/12</f>
        <v/>
      </c>
      <c r="AZ6" s="458">
        <f>'_Engine_R50'!F81/12</f>
        <v/>
      </c>
      <c r="BA6" s="458">
        <f>'_Engine_R50'!F82/12</f>
        <v/>
      </c>
      <c r="BB6" s="458">
        <f>'_Engine_R50'!F83/12</f>
        <v/>
      </c>
      <c r="BC6" s="458">
        <f>'_Engine_R50'!F84/12</f>
        <v/>
      </c>
      <c r="BD6" s="458">
        <f>'_Engine_R50'!F85/12</f>
        <v/>
      </c>
      <c r="BE6" s="458">
        <f>'_Engine_R50'!F86/12</f>
        <v/>
      </c>
      <c r="BF6" s="458">
        <f>'_Engine_R50'!F87/12</f>
        <v/>
      </c>
      <c r="BG6" s="458">
        <f>'_Engine_R50'!F88/12</f>
        <v/>
      </c>
      <c r="BH6" s="458">
        <f>'_Engine_R50'!F89/12</f>
        <v/>
      </c>
      <c r="BI6" s="458">
        <f>'_Engine_R50'!F90/12</f>
        <v/>
      </c>
      <c r="BJ6" s="459">
        <f>'_Engine_R50'!F91/12</f>
        <v/>
      </c>
      <c r="BK6" s="459">
        <f>'_Engine_R50'!F92/12</f>
        <v/>
      </c>
      <c r="BL6" s="459">
        <f>'_Engine_R50'!F93/12</f>
        <v/>
      </c>
      <c r="BM6" s="459">
        <f>'_Engine_R50'!F94/12</f>
        <v/>
      </c>
      <c r="BN6" s="459">
        <f>'_Engine_R50'!F95/12</f>
        <v/>
      </c>
      <c r="BO6" s="459">
        <f>'_Engine_R50'!F96/12</f>
        <v/>
      </c>
      <c r="BP6" s="459">
        <f>'_Engine_R50'!F97/12</f>
        <v/>
      </c>
      <c r="BQ6" s="459">
        <f>'_Engine_R50'!F98/12</f>
        <v/>
      </c>
      <c r="BR6" s="459">
        <f>'_Engine_R50'!F99/12</f>
        <v/>
      </c>
      <c r="BS6" s="459">
        <f>'_Engine_R50'!F100/12</f>
        <v/>
      </c>
      <c r="BT6" s="459">
        <f>'_Engine_R50'!F101/12</f>
        <v/>
      </c>
      <c r="BU6" s="459">
        <f>'_Engine_R50'!F102/12</f>
        <v/>
      </c>
      <c r="BV6" s="458">
        <f>'_Engine_R50'!F103/12</f>
        <v/>
      </c>
      <c r="BW6" s="458">
        <f>'_Engine_R50'!F104/12</f>
        <v/>
      </c>
      <c r="BX6" s="458">
        <f>'_Engine_R50'!F105/12</f>
        <v/>
      </c>
      <c r="BY6" s="458">
        <f>'_Engine_R50'!F106/12</f>
        <v/>
      </c>
      <c r="BZ6" s="458">
        <f>'_Engine_R50'!F107/12</f>
        <v/>
      </c>
      <c r="CA6" s="458">
        <f>'_Engine_R50'!F108/12</f>
        <v/>
      </c>
      <c r="CB6" s="458">
        <f>'_Engine_R50'!F109/12</f>
        <v/>
      </c>
      <c r="CC6" s="458">
        <f>'_Engine_R50'!F110/12</f>
        <v/>
      </c>
      <c r="CD6" s="458">
        <f>'_Engine_R50'!F111/12</f>
        <v/>
      </c>
      <c r="CE6" s="458">
        <f>'_Engine_R50'!F112/12</f>
        <v/>
      </c>
      <c r="CF6" s="458">
        <f>'_Engine_R50'!F113/12</f>
        <v/>
      </c>
      <c r="CG6" s="458">
        <f>'_Engine_R50'!F114/12</f>
        <v/>
      </c>
      <c r="CH6" s="459">
        <f>'_Engine_R50'!F115/12</f>
        <v/>
      </c>
      <c r="CI6" s="459">
        <f>'_Engine_R50'!F116/12</f>
        <v/>
      </c>
      <c r="CJ6" s="459">
        <f>'_Engine_R50'!F117/12</f>
        <v/>
      </c>
      <c r="CK6" s="459">
        <f>'_Engine_R50'!F118/12</f>
        <v/>
      </c>
      <c r="CL6" s="459">
        <f>'_Engine_R50'!F119/12</f>
        <v/>
      </c>
      <c r="CM6" s="459">
        <f>'_Engine_R50'!F120/12</f>
        <v/>
      </c>
      <c r="CN6" s="459">
        <f>'_Engine_R50'!F121/12</f>
        <v/>
      </c>
      <c r="CO6" s="459">
        <f>'_Engine_R50'!F122/12</f>
        <v/>
      </c>
      <c r="CP6" s="459">
        <f>'_Engine_R50'!F123/12</f>
        <v/>
      </c>
      <c r="CQ6" s="459">
        <f>'_Engine_R50'!F124/12</f>
        <v/>
      </c>
      <c r="CR6" s="459">
        <f>'_Engine_R50'!F125/12</f>
        <v/>
      </c>
      <c r="CS6" s="459">
        <f>'_Engine_R50'!F126/12</f>
        <v/>
      </c>
      <c r="CT6" s="458">
        <f>'_Engine_R50'!F127/12</f>
        <v/>
      </c>
      <c r="CU6" s="458">
        <f>'_Engine_R50'!F128/12</f>
        <v/>
      </c>
      <c r="CV6" s="458">
        <f>'_Engine_R50'!F129/12</f>
        <v/>
      </c>
      <c r="CW6" s="458">
        <f>'_Engine_R50'!F130/12</f>
        <v/>
      </c>
      <c r="CX6" s="458">
        <f>'_Engine_R50'!F131/12</f>
        <v/>
      </c>
      <c r="CY6" s="458">
        <f>'_Engine_R50'!F132/12</f>
        <v/>
      </c>
      <c r="CZ6" s="458">
        <f>'_Engine_R50'!F133/12</f>
        <v/>
      </c>
      <c r="DA6" s="458">
        <f>'_Engine_R50'!F134/12</f>
        <v/>
      </c>
      <c r="DB6" s="458">
        <f>'_Engine_R50'!F135/12</f>
        <v/>
      </c>
      <c r="DC6" s="458">
        <f>'_Engine_R50'!F136/12</f>
        <v/>
      </c>
      <c r="DD6" s="458">
        <f>'_Engine_R50'!F137/12</f>
        <v/>
      </c>
      <c r="DE6" s="458">
        <f>'_Engine_R50'!F138/12</f>
        <v/>
      </c>
      <c r="DF6" s="459">
        <f>'_Engine_R50'!F139/12</f>
        <v/>
      </c>
      <c r="DG6" s="459">
        <f>'_Engine_R50'!F140/12</f>
        <v/>
      </c>
      <c r="DH6" s="459">
        <f>'_Engine_R50'!F141/12</f>
        <v/>
      </c>
      <c r="DI6" s="459">
        <f>'_Engine_R50'!F142/12</f>
        <v/>
      </c>
      <c r="DJ6" s="459">
        <f>'_Engine_R50'!F143/12</f>
        <v/>
      </c>
      <c r="DK6" s="459">
        <f>'_Engine_R50'!F144/12</f>
        <v/>
      </c>
      <c r="DL6" s="459">
        <f>'_Engine_R50'!F145/12</f>
        <v/>
      </c>
      <c r="DM6" s="459">
        <f>'_Engine_R50'!F146/12</f>
        <v/>
      </c>
      <c r="DN6" s="459">
        <f>'_Engine_R50'!F147/12</f>
        <v/>
      </c>
      <c r="DO6" s="459">
        <f>'_Engine_R50'!F148/12</f>
        <v/>
      </c>
      <c r="DP6" s="459">
        <f>'_Engine_R50'!F149/12</f>
        <v/>
      </c>
      <c r="DQ6" s="459">
        <f>'_Engine_R50'!F150/12</f>
        <v/>
      </c>
      <c r="DR6" s="458">
        <f>'_Engine_R50'!F151/12</f>
        <v/>
      </c>
      <c r="DS6" s="458">
        <f>'_Engine_R50'!F152/12</f>
        <v/>
      </c>
      <c r="DT6" s="458">
        <f>'_Engine_R50'!F153/12</f>
        <v/>
      </c>
      <c r="DU6" s="458">
        <f>'_Engine_R50'!F154/12</f>
        <v/>
      </c>
      <c r="DV6" s="458">
        <f>'_Engine_R50'!F155/12</f>
        <v/>
      </c>
      <c r="DW6" s="458">
        <f>'_Engine_R50'!F156/12</f>
        <v/>
      </c>
      <c r="DX6" s="458">
        <f>'_Engine_R50'!F157/12</f>
        <v/>
      </c>
      <c r="DY6" s="458">
        <f>'_Engine_R50'!F158/12</f>
        <v/>
      </c>
      <c r="DZ6" s="458">
        <f>'_Engine_R50'!F159/12</f>
        <v/>
      </c>
      <c r="EA6" s="458">
        <f>'_Engine_R50'!F160/12</f>
        <v/>
      </c>
      <c r="EB6" s="458">
        <f>'_Engine_R50'!F161/12</f>
        <v/>
      </c>
      <c r="EC6" s="458">
        <f>'_Engine_R50'!F162/12</f>
        <v/>
      </c>
      <c r="ED6" s="459">
        <f>'_Engine_R50'!F163/12</f>
        <v/>
      </c>
      <c r="EE6" s="459">
        <f>'_Engine_R50'!F164/12</f>
        <v/>
      </c>
      <c r="EF6" s="459">
        <f>'_Engine_R50'!F165/12</f>
        <v/>
      </c>
      <c r="EG6" s="459">
        <f>'_Engine_R50'!F166/12</f>
        <v/>
      </c>
      <c r="EH6" s="459">
        <f>'_Engine_R50'!F167/12</f>
        <v/>
      </c>
      <c r="EI6" s="459">
        <f>'_Engine_R50'!F168/12</f>
        <v/>
      </c>
      <c r="EJ6" s="459">
        <f>'_Engine_R50'!F169/12</f>
        <v/>
      </c>
      <c r="EK6" s="459">
        <f>'_Engine_R50'!F170/12</f>
        <v/>
      </c>
      <c r="EL6" s="459">
        <f>'_Engine_R50'!F171/12</f>
        <v/>
      </c>
      <c r="EM6" s="459">
        <f>'_Engine_R50'!F172/12</f>
        <v/>
      </c>
      <c r="EN6" s="459">
        <f>'_Engine_R50'!F173/12</f>
        <v/>
      </c>
      <c r="EO6" s="459">
        <f>'_Engine_R50'!F174/12</f>
        <v/>
      </c>
      <c r="EP6" s="458">
        <f>'_Engine_R50'!F175/12</f>
        <v/>
      </c>
      <c r="EQ6" s="458">
        <f>'_Engine_R50'!F176/12</f>
        <v/>
      </c>
      <c r="ER6" s="458">
        <f>'_Engine_R50'!F177/12</f>
        <v/>
      </c>
      <c r="ES6" s="458">
        <f>'_Engine_R50'!F178/12</f>
        <v/>
      </c>
      <c r="ET6" s="458">
        <f>'_Engine_R50'!F179/12</f>
        <v/>
      </c>
      <c r="EU6" s="458">
        <f>'_Engine_R50'!F180/12</f>
        <v/>
      </c>
      <c r="EV6" s="458">
        <f>'_Engine_R50'!F181/12</f>
        <v/>
      </c>
      <c r="EW6" s="458">
        <f>'_Engine_R50'!F182/12</f>
        <v/>
      </c>
      <c r="EX6" s="458">
        <f>'_Engine_R50'!F183/12</f>
        <v/>
      </c>
      <c r="EY6" s="458">
        <f>'_Engine_R50'!F184/12</f>
        <v/>
      </c>
      <c r="EZ6" s="458">
        <f>'_Engine_R50'!F185/12</f>
        <v/>
      </c>
      <c r="FA6" s="458">
        <f>'_Engine_R50'!F186/12</f>
        <v/>
      </c>
      <c r="FB6" s="459">
        <f>'_Engine_R50'!F187/12</f>
        <v/>
      </c>
      <c r="FC6" s="459">
        <f>'_Engine_R50'!F188/12</f>
        <v/>
      </c>
      <c r="FD6" s="459">
        <f>'_Engine_R50'!F189/12</f>
        <v/>
      </c>
      <c r="FE6" s="459">
        <f>'_Engine_R50'!F190/12</f>
        <v/>
      </c>
      <c r="FF6" s="459">
        <f>'_Engine_R50'!F191/12</f>
        <v/>
      </c>
      <c r="FG6" s="459">
        <f>'_Engine_R50'!F192/12</f>
        <v/>
      </c>
      <c r="FH6" s="459">
        <f>'_Engine_R50'!F193/12</f>
        <v/>
      </c>
      <c r="FI6" s="459">
        <f>'_Engine_R50'!F194/12</f>
        <v/>
      </c>
      <c r="FJ6" s="459">
        <f>'_Engine_R50'!F195/12</f>
        <v/>
      </c>
      <c r="FK6" s="459">
        <f>'_Engine_R50'!F196/12</f>
        <v/>
      </c>
      <c r="FL6" s="459">
        <f>'_Engine_R50'!F197/12</f>
        <v/>
      </c>
      <c r="FM6" s="459">
        <f>'_Engine_R50'!F198/12</f>
        <v/>
      </c>
      <c r="FN6" s="458">
        <f>'_Engine_R50'!F199/12</f>
        <v/>
      </c>
      <c r="FO6" s="458">
        <f>'_Engine_R50'!F200/12</f>
        <v/>
      </c>
      <c r="FP6" s="458">
        <f>'_Engine_R50'!F201/12</f>
        <v/>
      </c>
      <c r="FQ6" s="458">
        <f>'_Engine_R50'!F202/12</f>
        <v/>
      </c>
      <c r="FR6" s="458">
        <f>'_Engine_R50'!F203/12</f>
        <v/>
      </c>
      <c r="FS6" s="458">
        <f>'_Engine_R50'!F204/12</f>
        <v/>
      </c>
      <c r="FT6" s="458">
        <f>'_Engine_R50'!F205/12</f>
        <v/>
      </c>
      <c r="FU6" s="458">
        <f>'_Engine_R50'!F206/12</f>
        <v/>
      </c>
      <c r="FV6" s="458">
        <f>'_Engine_R50'!F207/12</f>
        <v/>
      </c>
      <c r="FW6" s="458">
        <f>'_Engine_R50'!F208/12</f>
        <v/>
      </c>
      <c r="FX6" s="458">
        <f>'_Engine_R50'!F209/12</f>
        <v/>
      </c>
      <c r="FY6" s="458">
        <f>'_Engine_R50'!F210/12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'_Engine_R50'!G31/12</f>
        <v/>
      </c>
      <c r="C7" s="458">
        <f>'_Engine_R50'!G32/12</f>
        <v/>
      </c>
      <c r="D7" s="458">
        <f>'_Engine_R50'!G33/12</f>
        <v/>
      </c>
      <c r="E7" s="458">
        <f>'_Engine_R50'!G34/12</f>
        <v/>
      </c>
      <c r="F7" s="458">
        <f>'_Engine_R50'!G35/12</f>
        <v/>
      </c>
      <c r="G7" s="458">
        <f>'_Engine_R50'!G36/12</f>
        <v/>
      </c>
      <c r="H7" s="458">
        <f>'_Engine_R50'!G37/12</f>
        <v/>
      </c>
      <c r="I7" s="458">
        <f>'_Engine_R50'!G38/12</f>
        <v/>
      </c>
      <c r="J7" s="458">
        <f>'_Engine_R50'!G39/12</f>
        <v/>
      </c>
      <c r="K7" s="458">
        <f>'_Engine_R50'!G40/12</f>
        <v/>
      </c>
      <c r="L7" s="458">
        <f>'_Engine_R50'!G41/12</f>
        <v/>
      </c>
      <c r="M7" s="458">
        <f>'_Engine_R50'!G42/12</f>
        <v/>
      </c>
      <c r="N7" s="459">
        <f>'_Engine_R50'!G43/12</f>
        <v/>
      </c>
      <c r="O7" s="459">
        <f>'_Engine_R50'!G44/12</f>
        <v/>
      </c>
      <c r="P7" s="459">
        <f>'_Engine_R50'!G45/12</f>
        <v/>
      </c>
      <c r="Q7" s="459">
        <f>'_Engine_R50'!G46/12</f>
        <v/>
      </c>
      <c r="R7" s="459">
        <f>'_Engine_R50'!G47/12</f>
        <v/>
      </c>
      <c r="S7" s="459">
        <f>'_Engine_R50'!G48/12</f>
        <v/>
      </c>
      <c r="T7" s="459">
        <f>'_Engine_R50'!G49/12</f>
        <v/>
      </c>
      <c r="U7" s="459">
        <f>'_Engine_R50'!G50/12</f>
        <v/>
      </c>
      <c r="V7" s="459">
        <f>'_Engine_R50'!G51/12</f>
        <v/>
      </c>
      <c r="W7" s="459">
        <f>'_Engine_R50'!G52/12</f>
        <v/>
      </c>
      <c r="X7" s="459">
        <f>'_Engine_R50'!G53/12</f>
        <v/>
      </c>
      <c r="Y7" s="459">
        <f>'_Engine_R50'!G54/12</f>
        <v/>
      </c>
      <c r="Z7" s="458">
        <f>'_Engine_R50'!G55/12</f>
        <v/>
      </c>
      <c r="AA7" s="458">
        <f>'_Engine_R50'!G56/12</f>
        <v/>
      </c>
      <c r="AB7" s="458">
        <f>'_Engine_R50'!G57/12</f>
        <v/>
      </c>
      <c r="AC7" s="458">
        <f>'_Engine_R50'!G58/12</f>
        <v/>
      </c>
      <c r="AD7" s="458">
        <f>'_Engine_R50'!G59/12</f>
        <v/>
      </c>
      <c r="AE7" s="458">
        <f>'_Engine_R50'!G60/12</f>
        <v/>
      </c>
      <c r="AF7" s="458">
        <f>'_Engine_R50'!G61/12</f>
        <v/>
      </c>
      <c r="AG7" s="458">
        <f>'_Engine_R50'!G62/12</f>
        <v/>
      </c>
      <c r="AH7" s="458">
        <f>'_Engine_R50'!G63/12</f>
        <v/>
      </c>
      <c r="AI7" s="458">
        <f>'_Engine_R50'!G64/12</f>
        <v/>
      </c>
      <c r="AJ7" s="458">
        <f>'_Engine_R50'!G65/12</f>
        <v/>
      </c>
      <c r="AK7" s="458">
        <f>'_Engine_R50'!G66/12</f>
        <v/>
      </c>
      <c r="AL7" s="459">
        <f>'_Engine_R50'!G67/12</f>
        <v/>
      </c>
      <c r="AM7" s="459">
        <f>'_Engine_R50'!G68/12</f>
        <v/>
      </c>
      <c r="AN7" s="459">
        <f>'_Engine_R50'!G69/12</f>
        <v/>
      </c>
      <c r="AO7" s="459">
        <f>'_Engine_R50'!G70/12</f>
        <v/>
      </c>
      <c r="AP7" s="459">
        <f>'_Engine_R50'!G71/12</f>
        <v/>
      </c>
      <c r="AQ7" s="459">
        <f>'_Engine_R50'!G72/12</f>
        <v/>
      </c>
      <c r="AR7" s="459">
        <f>'_Engine_R50'!G73/12</f>
        <v/>
      </c>
      <c r="AS7" s="459">
        <f>'_Engine_R50'!G74/12</f>
        <v/>
      </c>
      <c r="AT7" s="459">
        <f>'_Engine_R50'!G75/12</f>
        <v/>
      </c>
      <c r="AU7" s="459">
        <f>'_Engine_R50'!G76/12</f>
        <v/>
      </c>
      <c r="AV7" s="459">
        <f>'_Engine_R50'!G77/12</f>
        <v/>
      </c>
      <c r="AW7" s="459">
        <f>'_Engine_R50'!G78/12</f>
        <v/>
      </c>
      <c r="AX7" s="458">
        <f>'_Engine_R50'!G79/12</f>
        <v/>
      </c>
      <c r="AY7" s="458">
        <f>'_Engine_R50'!G80/12</f>
        <v/>
      </c>
      <c r="AZ7" s="458">
        <f>'_Engine_R50'!G81/12</f>
        <v/>
      </c>
      <c r="BA7" s="458">
        <f>'_Engine_R50'!G82/12</f>
        <v/>
      </c>
      <c r="BB7" s="458">
        <f>'_Engine_R50'!G83/12</f>
        <v/>
      </c>
      <c r="BC7" s="458">
        <f>'_Engine_R50'!G84/12</f>
        <v/>
      </c>
      <c r="BD7" s="458">
        <f>'_Engine_R50'!G85/12</f>
        <v/>
      </c>
      <c r="BE7" s="458">
        <f>'_Engine_R50'!G86/12</f>
        <v/>
      </c>
      <c r="BF7" s="458">
        <f>'_Engine_R50'!G87/12</f>
        <v/>
      </c>
      <c r="BG7" s="458">
        <f>'_Engine_R50'!G88/12</f>
        <v/>
      </c>
      <c r="BH7" s="458">
        <f>'_Engine_R50'!G89/12</f>
        <v/>
      </c>
      <c r="BI7" s="458">
        <f>'_Engine_R50'!G90/12</f>
        <v/>
      </c>
      <c r="BJ7" s="459">
        <f>'_Engine_R50'!G91/12</f>
        <v/>
      </c>
      <c r="BK7" s="459">
        <f>'_Engine_R50'!G92/12</f>
        <v/>
      </c>
      <c r="BL7" s="459">
        <f>'_Engine_R50'!G93/12</f>
        <v/>
      </c>
      <c r="BM7" s="459">
        <f>'_Engine_R50'!G94/12</f>
        <v/>
      </c>
      <c r="BN7" s="459">
        <f>'_Engine_R50'!G95/12</f>
        <v/>
      </c>
      <c r="BO7" s="459">
        <f>'_Engine_R50'!G96/12</f>
        <v/>
      </c>
      <c r="BP7" s="459">
        <f>'_Engine_R50'!G97/12</f>
        <v/>
      </c>
      <c r="BQ7" s="459">
        <f>'_Engine_R50'!G98/12</f>
        <v/>
      </c>
      <c r="BR7" s="459">
        <f>'_Engine_R50'!G99/12</f>
        <v/>
      </c>
      <c r="BS7" s="459">
        <f>'_Engine_R50'!G100/12</f>
        <v/>
      </c>
      <c r="BT7" s="459">
        <f>'_Engine_R50'!G101/12</f>
        <v/>
      </c>
      <c r="BU7" s="459">
        <f>'_Engine_R50'!G102/12</f>
        <v/>
      </c>
      <c r="BV7" s="458">
        <f>'_Engine_R50'!G103/12</f>
        <v/>
      </c>
      <c r="BW7" s="458">
        <f>'_Engine_R50'!G104/12</f>
        <v/>
      </c>
      <c r="BX7" s="458">
        <f>'_Engine_R50'!G105/12</f>
        <v/>
      </c>
      <c r="BY7" s="458">
        <f>'_Engine_R50'!G106/12</f>
        <v/>
      </c>
      <c r="BZ7" s="458">
        <f>'_Engine_R50'!G107/12</f>
        <v/>
      </c>
      <c r="CA7" s="458">
        <f>'_Engine_R50'!G108/12</f>
        <v/>
      </c>
      <c r="CB7" s="458">
        <f>'_Engine_R50'!G109/12</f>
        <v/>
      </c>
      <c r="CC7" s="458">
        <f>'_Engine_R50'!G110/12</f>
        <v/>
      </c>
      <c r="CD7" s="458">
        <f>'_Engine_R50'!G111/12</f>
        <v/>
      </c>
      <c r="CE7" s="458">
        <f>'_Engine_R50'!G112/12</f>
        <v/>
      </c>
      <c r="CF7" s="458">
        <f>'_Engine_R50'!G113/12</f>
        <v/>
      </c>
      <c r="CG7" s="458">
        <f>'_Engine_R50'!G114/12</f>
        <v/>
      </c>
      <c r="CH7" s="459">
        <f>'_Engine_R50'!G115/12</f>
        <v/>
      </c>
      <c r="CI7" s="459">
        <f>'_Engine_R50'!G116/12</f>
        <v/>
      </c>
      <c r="CJ7" s="459">
        <f>'_Engine_R50'!G117/12</f>
        <v/>
      </c>
      <c r="CK7" s="459">
        <f>'_Engine_R50'!G118/12</f>
        <v/>
      </c>
      <c r="CL7" s="459">
        <f>'_Engine_R50'!G119/12</f>
        <v/>
      </c>
      <c r="CM7" s="459">
        <f>'_Engine_R50'!G120/12</f>
        <v/>
      </c>
      <c r="CN7" s="459">
        <f>'_Engine_R50'!G121/12</f>
        <v/>
      </c>
      <c r="CO7" s="459">
        <f>'_Engine_R50'!G122/12</f>
        <v/>
      </c>
      <c r="CP7" s="459">
        <f>'_Engine_R50'!G123/12</f>
        <v/>
      </c>
      <c r="CQ7" s="459">
        <f>'_Engine_R50'!G124/12</f>
        <v/>
      </c>
      <c r="CR7" s="459">
        <f>'_Engine_R50'!G125/12</f>
        <v/>
      </c>
      <c r="CS7" s="459">
        <f>'_Engine_R50'!G126/12</f>
        <v/>
      </c>
      <c r="CT7" s="458">
        <f>'_Engine_R50'!G127/12</f>
        <v/>
      </c>
      <c r="CU7" s="458">
        <f>'_Engine_R50'!G128/12</f>
        <v/>
      </c>
      <c r="CV7" s="458">
        <f>'_Engine_R50'!G129/12</f>
        <v/>
      </c>
      <c r="CW7" s="458">
        <f>'_Engine_R50'!G130/12</f>
        <v/>
      </c>
      <c r="CX7" s="458">
        <f>'_Engine_R50'!G131/12</f>
        <v/>
      </c>
      <c r="CY7" s="458">
        <f>'_Engine_R50'!G132/12</f>
        <v/>
      </c>
      <c r="CZ7" s="458">
        <f>'_Engine_R50'!G133/12</f>
        <v/>
      </c>
      <c r="DA7" s="458">
        <f>'_Engine_R50'!G134/12</f>
        <v/>
      </c>
      <c r="DB7" s="458">
        <f>'_Engine_R50'!G135/12</f>
        <v/>
      </c>
      <c r="DC7" s="458">
        <f>'_Engine_R50'!G136/12</f>
        <v/>
      </c>
      <c r="DD7" s="458">
        <f>'_Engine_R50'!G137/12</f>
        <v/>
      </c>
      <c r="DE7" s="458">
        <f>'_Engine_R50'!G138/12</f>
        <v/>
      </c>
      <c r="DF7" s="459">
        <f>'_Engine_R50'!G139/12</f>
        <v/>
      </c>
      <c r="DG7" s="459">
        <f>'_Engine_R50'!G140/12</f>
        <v/>
      </c>
      <c r="DH7" s="459">
        <f>'_Engine_R50'!G141/12</f>
        <v/>
      </c>
      <c r="DI7" s="459">
        <f>'_Engine_R50'!G142/12</f>
        <v/>
      </c>
      <c r="DJ7" s="459">
        <f>'_Engine_R50'!G143/12</f>
        <v/>
      </c>
      <c r="DK7" s="459">
        <f>'_Engine_R50'!G144/12</f>
        <v/>
      </c>
      <c r="DL7" s="459">
        <f>'_Engine_R50'!G145/12</f>
        <v/>
      </c>
      <c r="DM7" s="459">
        <f>'_Engine_R50'!G146/12</f>
        <v/>
      </c>
      <c r="DN7" s="459">
        <f>'_Engine_R50'!G147/12</f>
        <v/>
      </c>
      <c r="DO7" s="459">
        <f>'_Engine_R50'!G148/12</f>
        <v/>
      </c>
      <c r="DP7" s="459">
        <f>'_Engine_R50'!G149/12</f>
        <v/>
      </c>
      <c r="DQ7" s="459">
        <f>'_Engine_R50'!G150/12</f>
        <v/>
      </c>
      <c r="DR7" s="458">
        <f>'_Engine_R50'!G151/12</f>
        <v/>
      </c>
      <c r="DS7" s="458">
        <f>'_Engine_R50'!G152/12</f>
        <v/>
      </c>
      <c r="DT7" s="458">
        <f>'_Engine_R50'!G153/12</f>
        <v/>
      </c>
      <c r="DU7" s="458">
        <f>'_Engine_R50'!G154/12</f>
        <v/>
      </c>
      <c r="DV7" s="458">
        <f>'_Engine_R50'!G155/12</f>
        <v/>
      </c>
      <c r="DW7" s="458">
        <f>'_Engine_R50'!G156/12</f>
        <v/>
      </c>
      <c r="DX7" s="458">
        <f>'_Engine_R50'!G157/12</f>
        <v/>
      </c>
      <c r="DY7" s="458">
        <f>'_Engine_R50'!G158/12</f>
        <v/>
      </c>
      <c r="DZ7" s="458">
        <f>'_Engine_R50'!G159/12</f>
        <v/>
      </c>
      <c r="EA7" s="458">
        <f>'_Engine_R50'!G160/12</f>
        <v/>
      </c>
      <c r="EB7" s="458">
        <f>'_Engine_R50'!G161/12</f>
        <v/>
      </c>
      <c r="EC7" s="458">
        <f>'_Engine_R50'!G162/12</f>
        <v/>
      </c>
      <c r="ED7" s="459">
        <f>'_Engine_R50'!G163/12</f>
        <v/>
      </c>
      <c r="EE7" s="459">
        <f>'_Engine_R50'!G164/12</f>
        <v/>
      </c>
      <c r="EF7" s="459">
        <f>'_Engine_R50'!G165/12</f>
        <v/>
      </c>
      <c r="EG7" s="459">
        <f>'_Engine_R50'!G166/12</f>
        <v/>
      </c>
      <c r="EH7" s="459">
        <f>'_Engine_R50'!G167/12</f>
        <v/>
      </c>
      <c r="EI7" s="459">
        <f>'_Engine_R50'!G168/12</f>
        <v/>
      </c>
      <c r="EJ7" s="459">
        <f>'_Engine_R50'!G169/12</f>
        <v/>
      </c>
      <c r="EK7" s="459">
        <f>'_Engine_R50'!G170/12</f>
        <v/>
      </c>
      <c r="EL7" s="459">
        <f>'_Engine_R50'!G171/12</f>
        <v/>
      </c>
      <c r="EM7" s="459">
        <f>'_Engine_R50'!G172/12</f>
        <v/>
      </c>
      <c r="EN7" s="459">
        <f>'_Engine_R50'!G173/12</f>
        <v/>
      </c>
      <c r="EO7" s="459">
        <f>'_Engine_R50'!G174/12</f>
        <v/>
      </c>
      <c r="EP7" s="458">
        <f>'_Engine_R50'!G175/12</f>
        <v/>
      </c>
      <c r="EQ7" s="458">
        <f>'_Engine_R50'!G176/12</f>
        <v/>
      </c>
      <c r="ER7" s="458">
        <f>'_Engine_R50'!G177/12</f>
        <v/>
      </c>
      <c r="ES7" s="458">
        <f>'_Engine_R50'!G178/12</f>
        <v/>
      </c>
      <c r="ET7" s="458">
        <f>'_Engine_R50'!G179/12</f>
        <v/>
      </c>
      <c r="EU7" s="458">
        <f>'_Engine_R50'!G180/12</f>
        <v/>
      </c>
      <c r="EV7" s="458">
        <f>'_Engine_R50'!G181/12</f>
        <v/>
      </c>
      <c r="EW7" s="458">
        <f>'_Engine_R50'!G182/12</f>
        <v/>
      </c>
      <c r="EX7" s="458">
        <f>'_Engine_R50'!G183/12</f>
        <v/>
      </c>
      <c r="EY7" s="458">
        <f>'_Engine_R50'!G184/12</f>
        <v/>
      </c>
      <c r="EZ7" s="458">
        <f>'_Engine_R50'!G185/12</f>
        <v/>
      </c>
      <c r="FA7" s="458">
        <f>'_Engine_R50'!G186/12</f>
        <v/>
      </c>
      <c r="FB7" s="459">
        <f>'_Engine_R50'!G187/12</f>
        <v/>
      </c>
      <c r="FC7" s="459">
        <f>'_Engine_R50'!G188/12</f>
        <v/>
      </c>
      <c r="FD7" s="459">
        <f>'_Engine_R50'!G189/12</f>
        <v/>
      </c>
      <c r="FE7" s="459">
        <f>'_Engine_R50'!G190/12</f>
        <v/>
      </c>
      <c r="FF7" s="459">
        <f>'_Engine_R50'!G191/12</f>
        <v/>
      </c>
      <c r="FG7" s="459">
        <f>'_Engine_R50'!G192/12</f>
        <v/>
      </c>
      <c r="FH7" s="459">
        <f>'_Engine_R50'!G193/12</f>
        <v/>
      </c>
      <c r="FI7" s="459">
        <f>'_Engine_R50'!G194/12</f>
        <v/>
      </c>
      <c r="FJ7" s="459">
        <f>'_Engine_R50'!G195/12</f>
        <v/>
      </c>
      <c r="FK7" s="459">
        <f>'_Engine_R50'!G196/12</f>
        <v/>
      </c>
      <c r="FL7" s="459">
        <f>'_Engine_R50'!G197/12</f>
        <v/>
      </c>
      <c r="FM7" s="459">
        <f>'_Engine_R50'!G198/12</f>
        <v/>
      </c>
      <c r="FN7" s="458">
        <f>'_Engine_R50'!G199/12</f>
        <v/>
      </c>
      <c r="FO7" s="458">
        <f>'_Engine_R50'!G200/12</f>
        <v/>
      </c>
      <c r="FP7" s="458">
        <f>'_Engine_R50'!G201/12</f>
        <v/>
      </c>
      <c r="FQ7" s="458">
        <f>'_Engine_R50'!G202/12</f>
        <v/>
      </c>
      <c r="FR7" s="458">
        <f>'_Engine_R50'!G203/12</f>
        <v/>
      </c>
      <c r="FS7" s="458">
        <f>'_Engine_R50'!G204/12</f>
        <v/>
      </c>
      <c r="FT7" s="458">
        <f>'_Engine_R50'!G205/12</f>
        <v/>
      </c>
      <c r="FU7" s="458">
        <f>'_Engine_R50'!G206/12</f>
        <v/>
      </c>
      <c r="FV7" s="458">
        <f>'_Engine_R50'!G207/12</f>
        <v/>
      </c>
      <c r="FW7" s="458">
        <f>'_Engine_R50'!G208/12</f>
        <v/>
      </c>
      <c r="FX7" s="458">
        <f>'_Engine_R50'!G209/12</f>
        <v/>
      </c>
      <c r="FY7" s="458">
        <f>'_Engine_R50'!G210/12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'_Engine_R50'!H31/12</f>
        <v/>
      </c>
      <c r="C8" s="458">
        <f>'_Engine_R50'!H32/12</f>
        <v/>
      </c>
      <c r="D8" s="458">
        <f>'_Engine_R50'!H33/12</f>
        <v/>
      </c>
      <c r="E8" s="458">
        <f>'_Engine_R50'!H34/12</f>
        <v/>
      </c>
      <c r="F8" s="458">
        <f>'_Engine_R50'!H35/12</f>
        <v/>
      </c>
      <c r="G8" s="458">
        <f>'_Engine_R50'!H36/12</f>
        <v/>
      </c>
      <c r="H8" s="458">
        <f>'_Engine_R50'!H37/12</f>
        <v/>
      </c>
      <c r="I8" s="458">
        <f>'_Engine_R50'!H38/12</f>
        <v/>
      </c>
      <c r="J8" s="458">
        <f>'_Engine_R50'!H39/12</f>
        <v/>
      </c>
      <c r="K8" s="458">
        <f>'_Engine_R50'!H40/12</f>
        <v/>
      </c>
      <c r="L8" s="458">
        <f>'_Engine_R50'!H41/12</f>
        <v/>
      </c>
      <c r="M8" s="458">
        <f>'_Engine_R50'!H42/12</f>
        <v/>
      </c>
      <c r="N8" s="459">
        <f>'_Engine_R50'!H43/12</f>
        <v/>
      </c>
      <c r="O8" s="459">
        <f>'_Engine_R50'!H44/12</f>
        <v/>
      </c>
      <c r="P8" s="459">
        <f>'_Engine_R50'!H45/12</f>
        <v/>
      </c>
      <c r="Q8" s="459">
        <f>'_Engine_R50'!H46/12</f>
        <v/>
      </c>
      <c r="R8" s="459">
        <f>'_Engine_R50'!H47/12</f>
        <v/>
      </c>
      <c r="S8" s="459">
        <f>'_Engine_R50'!H48/12</f>
        <v/>
      </c>
      <c r="T8" s="459">
        <f>'_Engine_R50'!H49/12</f>
        <v/>
      </c>
      <c r="U8" s="459">
        <f>'_Engine_R50'!H50/12</f>
        <v/>
      </c>
      <c r="V8" s="459">
        <f>'_Engine_R50'!H51/12</f>
        <v/>
      </c>
      <c r="W8" s="459">
        <f>'_Engine_R50'!H52/12</f>
        <v/>
      </c>
      <c r="X8" s="459">
        <f>'_Engine_R50'!H53/12</f>
        <v/>
      </c>
      <c r="Y8" s="459">
        <f>'_Engine_R50'!H54/12</f>
        <v/>
      </c>
      <c r="Z8" s="458">
        <f>'_Engine_R50'!H55/12</f>
        <v/>
      </c>
      <c r="AA8" s="458">
        <f>'_Engine_R50'!H56/12</f>
        <v/>
      </c>
      <c r="AB8" s="458">
        <f>'_Engine_R50'!H57/12</f>
        <v/>
      </c>
      <c r="AC8" s="458">
        <f>'_Engine_R50'!H58/12</f>
        <v/>
      </c>
      <c r="AD8" s="458">
        <f>'_Engine_R50'!H59/12</f>
        <v/>
      </c>
      <c r="AE8" s="458">
        <f>'_Engine_R50'!H60/12</f>
        <v/>
      </c>
      <c r="AF8" s="458">
        <f>'_Engine_R50'!H61/12</f>
        <v/>
      </c>
      <c r="AG8" s="458">
        <f>'_Engine_R50'!H62/12</f>
        <v/>
      </c>
      <c r="AH8" s="458">
        <f>'_Engine_R50'!H63/12</f>
        <v/>
      </c>
      <c r="AI8" s="458">
        <f>'_Engine_R50'!H64/12</f>
        <v/>
      </c>
      <c r="AJ8" s="458">
        <f>'_Engine_R50'!H65/12</f>
        <v/>
      </c>
      <c r="AK8" s="458">
        <f>'_Engine_R50'!H66/12</f>
        <v/>
      </c>
      <c r="AL8" s="459">
        <f>'_Engine_R50'!H67/12</f>
        <v/>
      </c>
      <c r="AM8" s="459">
        <f>'_Engine_R50'!H68/12</f>
        <v/>
      </c>
      <c r="AN8" s="459">
        <f>'_Engine_R50'!H69/12</f>
        <v/>
      </c>
      <c r="AO8" s="459">
        <f>'_Engine_R50'!H70/12</f>
        <v/>
      </c>
      <c r="AP8" s="459">
        <f>'_Engine_R50'!H71/12</f>
        <v/>
      </c>
      <c r="AQ8" s="459">
        <f>'_Engine_R50'!H72/12</f>
        <v/>
      </c>
      <c r="AR8" s="459">
        <f>'_Engine_R50'!H73/12</f>
        <v/>
      </c>
      <c r="AS8" s="459">
        <f>'_Engine_R50'!H74/12</f>
        <v/>
      </c>
      <c r="AT8" s="459">
        <f>'_Engine_R50'!H75/12</f>
        <v/>
      </c>
      <c r="AU8" s="459">
        <f>'_Engine_R50'!H76/12</f>
        <v/>
      </c>
      <c r="AV8" s="459">
        <f>'_Engine_R50'!H77/12</f>
        <v/>
      </c>
      <c r="AW8" s="459">
        <f>'_Engine_R50'!H78/12</f>
        <v/>
      </c>
      <c r="AX8" s="458">
        <f>'_Engine_R50'!H79/12</f>
        <v/>
      </c>
      <c r="AY8" s="458">
        <f>'_Engine_R50'!H80/12</f>
        <v/>
      </c>
      <c r="AZ8" s="458">
        <f>'_Engine_R50'!H81/12</f>
        <v/>
      </c>
      <c r="BA8" s="458">
        <f>'_Engine_R50'!H82/12</f>
        <v/>
      </c>
      <c r="BB8" s="458">
        <f>'_Engine_R50'!H83/12</f>
        <v/>
      </c>
      <c r="BC8" s="458">
        <f>'_Engine_R50'!H84/12</f>
        <v/>
      </c>
      <c r="BD8" s="458">
        <f>'_Engine_R50'!H85/12</f>
        <v/>
      </c>
      <c r="BE8" s="458">
        <f>'_Engine_R50'!H86/12</f>
        <v/>
      </c>
      <c r="BF8" s="458">
        <f>'_Engine_R50'!H87/12</f>
        <v/>
      </c>
      <c r="BG8" s="458">
        <f>'_Engine_R50'!H88/12</f>
        <v/>
      </c>
      <c r="BH8" s="458">
        <f>'_Engine_R50'!H89/12</f>
        <v/>
      </c>
      <c r="BI8" s="458">
        <f>'_Engine_R50'!H90/12</f>
        <v/>
      </c>
      <c r="BJ8" s="459">
        <f>'_Engine_R50'!H91/12</f>
        <v/>
      </c>
      <c r="BK8" s="459">
        <f>'_Engine_R50'!H92/12</f>
        <v/>
      </c>
      <c r="BL8" s="459">
        <f>'_Engine_R50'!H93/12</f>
        <v/>
      </c>
      <c r="BM8" s="459">
        <f>'_Engine_R50'!H94/12</f>
        <v/>
      </c>
      <c r="BN8" s="459">
        <f>'_Engine_R50'!H95/12</f>
        <v/>
      </c>
      <c r="BO8" s="459">
        <f>'_Engine_R50'!H96/12</f>
        <v/>
      </c>
      <c r="BP8" s="459">
        <f>'_Engine_R50'!H97/12</f>
        <v/>
      </c>
      <c r="BQ8" s="459">
        <f>'_Engine_R50'!H98/12</f>
        <v/>
      </c>
      <c r="BR8" s="459">
        <f>'_Engine_R50'!H99/12</f>
        <v/>
      </c>
      <c r="BS8" s="459">
        <f>'_Engine_R50'!H100/12</f>
        <v/>
      </c>
      <c r="BT8" s="459">
        <f>'_Engine_R50'!H101/12</f>
        <v/>
      </c>
      <c r="BU8" s="459">
        <f>'_Engine_R50'!H102/12</f>
        <v/>
      </c>
      <c r="BV8" s="458">
        <f>'_Engine_R50'!H103/12</f>
        <v/>
      </c>
      <c r="BW8" s="458">
        <f>'_Engine_R50'!H104/12</f>
        <v/>
      </c>
      <c r="BX8" s="458">
        <f>'_Engine_R50'!H105/12</f>
        <v/>
      </c>
      <c r="BY8" s="458">
        <f>'_Engine_R50'!H106/12</f>
        <v/>
      </c>
      <c r="BZ8" s="458">
        <f>'_Engine_R50'!H107/12</f>
        <v/>
      </c>
      <c r="CA8" s="458">
        <f>'_Engine_R50'!H108/12</f>
        <v/>
      </c>
      <c r="CB8" s="458">
        <f>'_Engine_R50'!H109/12</f>
        <v/>
      </c>
      <c r="CC8" s="458">
        <f>'_Engine_R50'!H110/12</f>
        <v/>
      </c>
      <c r="CD8" s="458">
        <f>'_Engine_R50'!H111/12</f>
        <v/>
      </c>
      <c r="CE8" s="458">
        <f>'_Engine_R50'!H112/12</f>
        <v/>
      </c>
      <c r="CF8" s="458">
        <f>'_Engine_R50'!H113/12</f>
        <v/>
      </c>
      <c r="CG8" s="458">
        <f>'_Engine_R50'!H114/12</f>
        <v/>
      </c>
      <c r="CH8" s="459">
        <f>'_Engine_R50'!H115/12</f>
        <v/>
      </c>
      <c r="CI8" s="459">
        <f>'_Engine_R50'!H116/12</f>
        <v/>
      </c>
      <c r="CJ8" s="459">
        <f>'_Engine_R50'!H117/12</f>
        <v/>
      </c>
      <c r="CK8" s="459">
        <f>'_Engine_R50'!H118/12</f>
        <v/>
      </c>
      <c r="CL8" s="459">
        <f>'_Engine_R50'!H119/12</f>
        <v/>
      </c>
      <c r="CM8" s="459">
        <f>'_Engine_R50'!H120/12</f>
        <v/>
      </c>
      <c r="CN8" s="459">
        <f>'_Engine_R50'!H121/12</f>
        <v/>
      </c>
      <c r="CO8" s="459">
        <f>'_Engine_R50'!H122/12</f>
        <v/>
      </c>
      <c r="CP8" s="459">
        <f>'_Engine_R50'!H123/12</f>
        <v/>
      </c>
      <c r="CQ8" s="459">
        <f>'_Engine_R50'!H124/12</f>
        <v/>
      </c>
      <c r="CR8" s="459">
        <f>'_Engine_R50'!H125/12</f>
        <v/>
      </c>
      <c r="CS8" s="459">
        <f>'_Engine_R50'!H126/12</f>
        <v/>
      </c>
      <c r="CT8" s="458">
        <f>'_Engine_R50'!H127/12</f>
        <v/>
      </c>
      <c r="CU8" s="458">
        <f>'_Engine_R50'!H128/12</f>
        <v/>
      </c>
      <c r="CV8" s="458">
        <f>'_Engine_R50'!H129/12</f>
        <v/>
      </c>
      <c r="CW8" s="458">
        <f>'_Engine_R50'!H130/12</f>
        <v/>
      </c>
      <c r="CX8" s="458">
        <f>'_Engine_R50'!H131/12</f>
        <v/>
      </c>
      <c r="CY8" s="458">
        <f>'_Engine_R50'!H132/12</f>
        <v/>
      </c>
      <c r="CZ8" s="458">
        <f>'_Engine_R50'!H133/12</f>
        <v/>
      </c>
      <c r="DA8" s="458">
        <f>'_Engine_R50'!H134/12</f>
        <v/>
      </c>
      <c r="DB8" s="458">
        <f>'_Engine_R50'!H135/12</f>
        <v/>
      </c>
      <c r="DC8" s="458">
        <f>'_Engine_R50'!H136/12</f>
        <v/>
      </c>
      <c r="DD8" s="458">
        <f>'_Engine_R50'!H137/12</f>
        <v/>
      </c>
      <c r="DE8" s="458">
        <f>'_Engine_R50'!H138/12</f>
        <v/>
      </c>
      <c r="DF8" s="459">
        <f>'_Engine_R50'!H139/12</f>
        <v/>
      </c>
      <c r="DG8" s="459">
        <f>'_Engine_R50'!H140/12</f>
        <v/>
      </c>
      <c r="DH8" s="459">
        <f>'_Engine_R50'!H141/12</f>
        <v/>
      </c>
      <c r="DI8" s="459">
        <f>'_Engine_R50'!H142/12</f>
        <v/>
      </c>
      <c r="DJ8" s="459">
        <f>'_Engine_R50'!H143/12</f>
        <v/>
      </c>
      <c r="DK8" s="459">
        <f>'_Engine_R50'!H144/12</f>
        <v/>
      </c>
      <c r="DL8" s="459">
        <f>'_Engine_R50'!H145/12</f>
        <v/>
      </c>
      <c r="DM8" s="459">
        <f>'_Engine_R50'!H146/12</f>
        <v/>
      </c>
      <c r="DN8" s="459">
        <f>'_Engine_R50'!H147/12</f>
        <v/>
      </c>
      <c r="DO8" s="459">
        <f>'_Engine_R50'!H148/12</f>
        <v/>
      </c>
      <c r="DP8" s="459">
        <f>'_Engine_R50'!H149/12</f>
        <v/>
      </c>
      <c r="DQ8" s="459">
        <f>'_Engine_R50'!H150/12</f>
        <v/>
      </c>
      <c r="DR8" s="458">
        <f>'_Engine_R50'!H151/12</f>
        <v/>
      </c>
      <c r="DS8" s="458">
        <f>'_Engine_R50'!H152/12</f>
        <v/>
      </c>
      <c r="DT8" s="458">
        <f>'_Engine_R50'!H153/12</f>
        <v/>
      </c>
      <c r="DU8" s="458">
        <f>'_Engine_R50'!H154/12</f>
        <v/>
      </c>
      <c r="DV8" s="458">
        <f>'_Engine_R50'!H155/12</f>
        <v/>
      </c>
      <c r="DW8" s="458">
        <f>'_Engine_R50'!H156/12</f>
        <v/>
      </c>
      <c r="DX8" s="458">
        <f>'_Engine_R50'!H157/12</f>
        <v/>
      </c>
      <c r="DY8" s="458">
        <f>'_Engine_R50'!H158/12</f>
        <v/>
      </c>
      <c r="DZ8" s="458">
        <f>'_Engine_R50'!H159/12</f>
        <v/>
      </c>
      <c r="EA8" s="458">
        <f>'_Engine_R50'!H160/12</f>
        <v/>
      </c>
      <c r="EB8" s="458">
        <f>'_Engine_R50'!H161/12</f>
        <v/>
      </c>
      <c r="EC8" s="458">
        <f>'_Engine_R50'!H162/12</f>
        <v/>
      </c>
      <c r="ED8" s="459">
        <f>'_Engine_R50'!H163/12</f>
        <v/>
      </c>
      <c r="EE8" s="459">
        <f>'_Engine_R50'!H164/12</f>
        <v/>
      </c>
      <c r="EF8" s="459">
        <f>'_Engine_R50'!H165/12</f>
        <v/>
      </c>
      <c r="EG8" s="459">
        <f>'_Engine_R50'!H166/12</f>
        <v/>
      </c>
      <c r="EH8" s="459">
        <f>'_Engine_R50'!H167/12</f>
        <v/>
      </c>
      <c r="EI8" s="459">
        <f>'_Engine_R50'!H168/12</f>
        <v/>
      </c>
      <c r="EJ8" s="459">
        <f>'_Engine_R50'!H169/12</f>
        <v/>
      </c>
      <c r="EK8" s="459">
        <f>'_Engine_R50'!H170/12</f>
        <v/>
      </c>
      <c r="EL8" s="459">
        <f>'_Engine_R50'!H171/12</f>
        <v/>
      </c>
      <c r="EM8" s="459">
        <f>'_Engine_R50'!H172/12</f>
        <v/>
      </c>
      <c r="EN8" s="459">
        <f>'_Engine_R50'!H173/12</f>
        <v/>
      </c>
      <c r="EO8" s="459">
        <f>'_Engine_R50'!H174/12</f>
        <v/>
      </c>
      <c r="EP8" s="458">
        <f>'_Engine_R50'!H175/12</f>
        <v/>
      </c>
      <c r="EQ8" s="458">
        <f>'_Engine_R50'!H176/12</f>
        <v/>
      </c>
      <c r="ER8" s="458">
        <f>'_Engine_R50'!H177/12</f>
        <v/>
      </c>
      <c r="ES8" s="458">
        <f>'_Engine_R50'!H178/12</f>
        <v/>
      </c>
      <c r="ET8" s="458">
        <f>'_Engine_R50'!H179/12</f>
        <v/>
      </c>
      <c r="EU8" s="458">
        <f>'_Engine_R50'!H180/12</f>
        <v/>
      </c>
      <c r="EV8" s="458">
        <f>'_Engine_R50'!H181/12</f>
        <v/>
      </c>
      <c r="EW8" s="458">
        <f>'_Engine_R50'!H182/12</f>
        <v/>
      </c>
      <c r="EX8" s="458">
        <f>'_Engine_R50'!H183/12</f>
        <v/>
      </c>
      <c r="EY8" s="458">
        <f>'_Engine_R50'!H184/12</f>
        <v/>
      </c>
      <c r="EZ8" s="458">
        <f>'_Engine_R50'!H185/12</f>
        <v/>
      </c>
      <c r="FA8" s="458">
        <f>'_Engine_R50'!H186/12</f>
        <v/>
      </c>
      <c r="FB8" s="459">
        <f>'_Engine_R50'!H187/12</f>
        <v/>
      </c>
      <c r="FC8" s="459">
        <f>'_Engine_R50'!H188/12</f>
        <v/>
      </c>
      <c r="FD8" s="459">
        <f>'_Engine_R50'!H189/12</f>
        <v/>
      </c>
      <c r="FE8" s="459">
        <f>'_Engine_R50'!H190/12</f>
        <v/>
      </c>
      <c r="FF8" s="459">
        <f>'_Engine_R50'!H191/12</f>
        <v/>
      </c>
      <c r="FG8" s="459">
        <f>'_Engine_R50'!H192/12</f>
        <v/>
      </c>
      <c r="FH8" s="459">
        <f>'_Engine_R50'!H193/12</f>
        <v/>
      </c>
      <c r="FI8" s="459">
        <f>'_Engine_R50'!H194/12</f>
        <v/>
      </c>
      <c r="FJ8" s="459">
        <f>'_Engine_R50'!H195/12</f>
        <v/>
      </c>
      <c r="FK8" s="459">
        <f>'_Engine_R50'!H196/12</f>
        <v/>
      </c>
      <c r="FL8" s="459">
        <f>'_Engine_R50'!H197/12</f>
        <v/>
      </c>
      <c r="FM8" s="459">
        <f>'_Engine_R50'!H198/12</f>
        <v/>
      </c>
      <c r="FN8" s="458">
        <f>'_Engine_R50'!H199/12</f>
        <v/>
      </c>
      <c r="FO8" s="458">
        <f>'_Engine_R50'!H200/12</f>
        <v/>
      </c>
      <c r="FP8" s="458">
        <f>'_Engine_R50'!H201/12</f>
        <v/>
      </c>
      <c r="FQ8" s="458">
        <f>'_Engine_R50'!H202/12</f>
        <v/>
      </c>
      <c r="FR8" s="458">
        <f>'_Engine_R50'!H203/12</f>
        <v/>
      </c>
      <c r="FS8" s="458">
        <f>'_Engine_R50'!H204/12</f>
        <v/>
      </c>
      <c r="FT8" s="458">
        <f>'_Engine_R50'!H205/12</f>
        <v/>
      </c>
      <c r="FU8" s="458">
        <f>'_Engine_R50'!H206/12</f>
        <v/>
      </c>
      <c r="FV8" s="458">
        <f>'_Engine_R50'!H207/12</f>
        <v/>
      </c>
      <c r="FW8" s="458">
        <f>'_Engine_R50'!H208/12</f>
        <v/>
      </c>
      <c r="FX8" s="458">
        <f>'_Engine_R50'!H209/12</f>
        <v/>
      </c>
      <c r="FY8" s="458">
        <f>'_Engine_R50'!H210/12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'_Engine_R50'!I31/12</f>
        <v/>
      </c>
      <c r="C9" s="458">
        <f>'_Engine_R50'!I32/12</f>
        <v/>
      </c>
      <c r="D9" s="458">
        <f>'_Engine_R50'!I33/12</f>
        <v/>
      </c>
      <c r="E9" s="458">
        <f>'_Engine_R50'!I34/12</f>
        <v/>
      </c>
      <c r="F9" s="458">
        <f>'_Engine_R50'!I35/12</f>
        <v/>
      </c>
      <c r="G9" s="458">
        <f>'_Engine_R50'!I36/12</f>
        <v/>
      </c>
      <c r="H9" s="458">
        <f>'_Engine_R50'!I37/12</f>
        <v/>
      </c>
      <c r="I9" s="458">
        <f>'_Engine_R50'!I38/12</f>
        <v/>
      </c>
      <c r="J9" s="458">
        <f>'_Engine_R50'!I39/12</f>
        <v/>
      </c>
      <c r="K9" s="458">
        <f>'_Engine_R50'!I40/12</f>
        <v/>
      </c>
      <c r="L9" s="458">
        <f>'_Engine_R50'!I41/12</f>
        <v/>
      </c>
      <c r="M9" s="458">
        <f>'_Engine_R50'!I42/12</f>
        <v/>
      </c>
      <c r="N9" s="459">
        <f>'_Engine_R50'!I43/12</f>
        <v/>
      </c>
      <c r="O9" s="459">
        <f>'_Engine_R50'!I44/12</f>
        <v/>
      </c>
      <c r="P9" s="459">
        <f>'_Engine_R50'!I45/12</f>
        <v/>
      </c>
      <c r="Q9" s="459">
        <f>'_Engine_R50'!I46/12</f>
        <v/>
      </c>
      <c r="R9" s="459">
        <f>'_Engine_R50'!I47/12</f>
        <v/>
      </c>
      <c r="S9" s="459">
        <f>'_Engine_R50'!I48/12</f>
        <v/>
      </c>
      <c r="T9" s="459">
        <f>'_Engine_R50'!I49/12</f>
        <v/>
      </c>
      <c r="U9" s="459">
        <f>'_Engine_R50'!I50/12</f>
        <v/>
      </c>
      <c r="V9" s="459">
        <f>'_Engine_R50'!I51/12</f>
        <v/>
      </c>
      <c r="W9" s="459">
        <f>'_Engine_R50'!I52/12</f>
        <v/>
      </c>
      <c r="X9" s="459">
        <f>'_Engine_R50'!I53/12</f>
        <v/>
      </c>
      <c r="Y9" s="459">
        <f>'_Engine_R50'!I54/12</f>
        <v/>
      </c>
      <c r="Z9" s="458">
        <f>'_Engine_R50'!I55/12</f>
        <v/>
      </c>
      <c r="AA9" s="458">
        <f>'_Engine_R50'!I56/12</f>
        <v/>
      </c>
      <c r="AB9" s="458">
        <f>'_Engine_R50'!I57/12</f>
        <v/>
      </c>
      <c r="AC9" s="458">
        <f>'_Engine_R50'!I58/12</f>
        <v/>
      </c>
      <c r="AD9" s="458">
        <f>'_Engine_R50'!I59/12</f>
        <v/>
      </c>
      <c r="AE9" s="458">
        <f>'_Engine_R50'!I60/12</f>
        <v/>
      </c>
      <c r="AF9" s="458">
        <f>'_Engine_R50'!I61/12</f>
        <v/>
      </c>
      <c r="AG9" s="458">
        <f>'_Engine_R50'!I62/12</f>
        <v/>
      </c>
      <c r="AH9" s="458">
        <f>'_Engine_R50'!I63/12</f>
        <v/>
      </c>
      <c r="AI9" s="458">
        <f>'_Engine_R50'!I64/12</f>
        <v/>
      </c>
      <c r="AJ9" s="458">
        <f>'_Engine_R50'!I65/12</f>
        <v/>
      </c>
      <c r="AK9" s="458">
        <f>'_Engine_R50'!I66/12</f>
        <v/>
      </c>
      <c r="AL9" s="459">
        <f>'_Engine_R50'!I67/12</f>
        <v/>
      </c>
      <c r="AM9" s="459">
        <f>'_Engine_R50'!I68/12</f>
        <v/>
      </c>
      <c r="AN9" s="459">
        <f>'_Engine_R50'!I69/12</f>
        <v/>
      </c>
      <c r="AO9" s="459">
        <f>'_Engine_R50'!I70/12</f>
        <v/>
      </c>
      <c r="AP9" s="459">
        <f>'_Engine_R50'!I71/12</f>
        <v/>
      </c>
      <c r="AQ9" s="459">
        <f>'_Engine_R50'!I72/12</f>
        <v/>
      </c>
      <c r="AR9" s="459">
        <f>'_Engine_R50'!I73/12</f>
        <v/>
      </c>
      <c r="AS9" s="459">
        <f>'_Engine_R50'!I74/12</f>
        <v/>
      </c>
      <c r="AT9" s="459">
        <f>'_Engine_R50'!I75/12</f>
        <v/>
      </c>
      <c r="AU9" s="459">
        <f>'_Engine_R50'!I76/12</f>
        <v/>
      </c>
      <c r="AV9" s="459">
        <f>'_Engine_R50'!I77/12</f>
        <v/>
      </c>
      <c r="AW9" s="459">
        <f>'_Engine_R50'!I78/12</f>
        <v/>
      </c>
      <c r="AX9" s="458">
        <f>'_Engine_R50'!I79/12</f>
        <v/>
      </c>
      <c r="AY9" s="458">
        <f>'_Engine_R50'!I80/12</f>
        <v/>
      </c>
      <c r="AZ9" s="458">
        <f>'_Engine_R50'!I81/12</f>
        <v/>
      </c>
      <c r="BA9" s="458">
        <f>'_Engine_R50'!I82/12</f>
        <v/>
      </c>
      <c r="BB9" s="458">
        <f>'_Engine_R50'!I83/12</f>
        <v/>
      </c>
      <c r="BC9" s="458">
        <f>'_Engine_R50'!I84/12</f>
        <v/>
      </c>
      <c r="BD9" s="458">
        <f>'_Engine_R50'!I85/12</f>
        <v/>
      </c>
      <c r="BE9" s="458">
        <f>'_Engine_R50'!I86/12</f>
        <v/>
      </c>
      <c r="BF9" s="458">
        <f>'_Engine_R50'!I87/12</f>
        <v/>
      </c>
      <c r="BG9" s="458">
        <f>'_Engine_R50'!I88/12</f>
        <v/>
      </c>
      <c r="BH9" s="458">
        <f>'_Engine_R50'!I89/12</f>
        <v/>
      </c>
      <c r="BI9" s="458">
        <f>'_Engine_R50'!I90/12</f>
        <v/>
      </c>
      <c r="BJ9" s="459">
        <f>'_Engine_R50'!I91/12</f>
        <v/>
      </c>
      <c r="BK9" s="459">
        <f>'_Engine_R50'!I92/12</f>
        <v/>
      </c>
      <c r="BL9" s="459">
        <f>'_Engine_R50'!I93/12</f>
        <v/>
      </c>
      <c r="BM9" s="459">
        <f>'_Engine_R50'!I94/12</f>
        <v/>
      </c>
      <c r="BN9" s="459">
        <f>'_Engine_R50'!I95/12</f>
        <v/>
      </c>
      <c r="BO9" s="459">
        <f>'_Engine_R50'!I96/12</f>
        <v/>
      </c>
      <c r="BP9" s="459">
        <f>'_Engine_R50'!I97/12</f>
        <v/>
      </c>
      <c r="BQ9" s="459">
        <f>'_Engine_R50'!I98/12</f>
        <v/>
      </c>
      <c r="BR9" s="459">
        <f>'_Engine_R50'!I99/12</f>
        <v/>
      </c>
      <c r="BS9" s="459">
        <f>'_Engine_R50'!I100/12</f>
        <v/>
      </c>
      <c r="BT9" s="459">
        <f>'_Engine_R50'!I101/12</f>
        <v/>
      </c>
      <c r="BU9" s="459">
        <f>'_Engine_R50'!I102/12</f>
        <v/>
      </c>
      <c r="BV9" s="458">
        <f>'_Engine_R50'!I103/12</f>
        <v/>
      </c>
      <c r="BW9" s="458">
        <f>'_Engine_R50'!I104/12</f>
        <v/>
      </c>
      <c r="BX9" s="458">
        <f>'_Engine_R50'!I105/12</f>
        <v/>
      </c>
      <c r="BY9" s="458">
        <f>'_Engine_R50'!I106/12</f>
        <v/>
      </c>
      <c r="BZ9" s="458">
        <f>'_Engine_R50'!I107/12</f>
        <v/>
      </c>
      <c r="CA9" s="458">
        <f>'_Engine_R50'!I108/12</f>
        <v/>
      </c>
      <c r="CB9" s="458">
        <f>'_Engine_R50'!I109/12</f>
        <v/>
      </c>
      <c r="CC9" s="458">
        <f>'_Engine_R50'!I110/12</f>
        <v/>
      </c>
      <c r="CD9" s="458">
        <f>'_Engine_R50'!I111/12</f>
        <v/>
      </c>
      <c r="CE9" s="458">
        <f>'_Engine_R50'!I112/12</f>
        <v/>
      </c>
      <c r="CF9" s="458">
        <f>'_Engine_R50'!I113/12</f>
        <v/>
      </c>
      <c r="CG9" s="458">
        <f>'_Engine_R50'!I114/12</f>
        <v/>
      </c>
      <c r="CH9" s="459">
        <f>'_Engine_R50'!I115/12</f>
        <v/>
      </c>
      <c r="CI9" s="459">
        <f>'_Engine_R50'!I116/12</f>
        <v/>
      </c>
      <c r="CJ9" s="459">
        <f>'_Engine_R50'!I117/12</f>
        <v/>
      </c>
      <c r="CK9" s="459">
        <f>'_Engine_R50'!I118/12</f>
        <v/>
      </c>
      <c r="CL9" s="459">
        <f>'_Engine_R50'!I119/12</f>
        <v/>
      </c>
      <c r="CM9" s="459">
        <f>'_Engine_R50'!I120/12</f>
        <v/>
      </c>
      <c r="CN9" s="459">
        <f>'_Engine_R50'!I121/12</f>
        <v/>
      </c>
      <c r="CO9" s="459">
        <f>'_Engine_R50'!I122/12</f>
        <v/>
      </c>
      <c r="CP9" s="459">
        <f>'_Engine_R50'!I123/12</f>
        <v/>
      </c>
      <c r="CQ9" s="459">
        <f>'_Engine_R50'!I124/12</f>
        <v/>
      </c>
      <c r="CR9" s="459">
        <f>'_Engine_R50'!I125/12</f>
        <v/>
      </c>
      <c r="CS9" s="459">
        <f>'_Engine_R50'!I126/12</f>
        <v/>
      </c>
      <c r="CT9" s="458">
        <f>'_Engine_R50'!I127/12</f>
        <v/>
      </c>
      <c r="CU9" s="458">
        <f>'_Engine_R50'!I128/12</f>
        <v/>
      </c>
      <c r="CV9" s="458">
        <f>'_Engine_R50'!I129/12</f>
        <v/>
      </c>
      <c r="CW9" s="458">
        <f>'_Engine_R50'!I130/12</f>
        <v/>
      </c>
      <c r="CX9" s="458">
        <f>'_Engine_R50'!I131/12</f>
        <v/>
      </c>
      <c r="CY9" s="458">
        <f>'_Engine_R50'!I132/12</f>
        <v/>
      </c>
      <c r="CZ9" s="458">
        <f>'_Engine_R50'!I133/12</f>
        <v/>
      </c>
      <c r="DA9" s="458">
        <f>'_Engine_R50'!I134/12</f>
        <v/>
      </c>
      <c r="DB9" s="458">
        <f>'_Engine_R50'!I135/12</f>
        <v/>
      </c>
      <c r="DC9" s="458">
        <f>'_Engine_R50'!I136/12</f>
        <v/>
      </c>
      <c r="DD9" s="458">
        <f>'_Engine_R50'!I137/12</f>
        <v/>
      </c>
      <c r="DE9" s="458">
        <f>'_Engine_R50'!I138/12</f>
        <v/>
      </c>
      <c r="DF9" s="459">
        <f>'_Engine_R50'!I139/12</f>
        <v/>
      </c>
      <c r="DG9" s="459">
        <f>'_Engine_R50'!I140/12</f>
        <v/>
      </c>
      <c r="DH9" s="459">
        <f>'_Engine_R50'!I141/12</f>
        <v/>
      </c>
      <c r="DI9" s="459">
        <f>'_Engine_R50'!I142/12</f>
        <v/>
      </c>
      <c r="DJ9" s="459">
        <f>'_Engine_R50'!I143/12</f>
        <v/>
      </c>
      <c r="DK9" s="459">
        <f>'_Engine_R50'!I144/12</f>
        <v/>
      </c>
      <c r="DL9" s="459">
        <f>'_Engine_R50'!I145/12</f>
        <v/>
      </c>
      <c r="DM9" s="459">
        <f>'_Engine_R50'!I146/12</f>
        <v/>
      </c>
      <c r="DN9" s="459">
        <f>'_Engine_R50'!I147/12</f>
        <v/>
      </c>
      <c r="DO9" s="459">
        <f>'_Engine_R50'!I148/12</f>
        <v/>
      </c>
      <c r="DP9" s="459">
        <f>'_Engine_R50'!I149/12</f>
        <v/>
      </c>
      <c r="DQ9" s="459">
        <f>'_Engine_R50'!I150/12</f>
        <v/>
      </c>
      <c r="DR9" s="458">
        <f>'_Engine_R50'!I151/12</f>
        <v/>
      </c>
      <c r="DS9" s="458">
        <f>'_Engine_R50'!I152/12</f>
        <v/>
      </c>
      <c r="DT9" s="458">
        <f>'_Engine_R50'!I153/12</f>
        <v/>
      </c>
      <c r="DU9" s="458">
        <f>'_Engine_R50'!I154/12</f>
        <v/>
      </c>
      <c r="DV9" s="458">
        <f>'_Engine_R50'!I155/12</f>
        <v/>
      </c>
      <c r="DW9" s="458">
        <f>'_Engine_R50'!I156/12</f>
        <v/>
      </c>
      <c r="DX9" s="458">
        <f>'_Engine_R50'!I157/12</f>
        <v/>
      </c>
      <c r="DY9" s="458">
        <f>'_Engine_R50'!I158/12</f>
        <v/>
      </c>
      <c r="DZ9" s="458">
        <f>'_Engine_R50'!I159/12</f>
        <v/>
      </c>
      <c r="EA9" s="458">
        <f>'_Engine_R50'!I160/12</f>
        <v/>
      </c>
      <c r="EB9" s="458">
        <f>'_Engine_R50'!I161/12</f>
        <v/>
      </c>
      <c r="EC9" s="458">
        <f>'_Engine_R50'!I162/12</f>
        <v/>
      </c>
      <c r="ED9" s="459">
        <f>'_Engine_R50'!I163/12</f>
        <v/>
      </c>
      <c r="EE9" s="459">
        <f>'_Engine_R50'!I164/12</f>
        <v/>
      </c>
      <c r="EF9" s="459">
        <f>'_Engine_R50'!I165/12</f>
        <v/>
      </c>
      <c r="EG9" s="459">
        <f>'_Engine_R50'!I166/12</f>
        <v/>
      </c>
      <c r="EH9" s="459">
        <f>'_Engine_R50'!I167/12</f>
        <v/>
      </c>
      <c r="EI9" s="459">
        <f>'_Engine_R50'!I168/12</f>
        <v/>
      </c>
      <c r="EJ9" s="459">
        <f>'_Engine_R50'!I169/12</f>
        <v/>
      </c>
      <c r="EK9" s="459">
        <f>'_Engine_R50'!I170/12</f>
        <v/>
      </c>
      <c r="EL9" s="459">
        <f>'_Engine_R50'!I171/12</f>
        <v/>
      </c>
      <c r="EM9" s="459">
        <f>'_Engine_R50'!I172/12</f>
        <v/>
      </c>
      <c r="EN9" s="459">
        <f>'_Engine_R50'!I173/12</f>
        <v/>
      </c>
      <c r="EO9" s="459">
        <f>'_Engine_R50'!I174/12</f>
        <v/>
      </c>
      <c r="EP9" s="458">
        <f>'_Engine_R50'!I175/12</f>
        <v/>
      </c>
      <c r="EQ9" s="458">
        <f>'_Engine_R50'!I176/12</f>
        <v/>
      </c>
      <c r="ER9" s="458">
        <f>'_Engine_R50'!I177/12</f>
        <v/>
      </c>
      <c r="ES9" s="458">
        <f>'_Engine_R50'!I178/12</f>
        <v/>
      </c>
      <c r="ET9" s="458">
        <f>'_Engine_R50'!I179/12</f>
        <v/>
      </c>
      <c r="EU9" s="458">
        <f>'_Engine_R50'!I180/12</f>
        <v/>
      </c>
      <c r="EV9" s="458">
        <f>'_Engine_R50'!I181/12</f>
        <v/>
      </c>
      <c r="EW9" s="458">
        <f>'_Engine_R50'!I182/12</f>
        <v/>
      </c>
      <c r="EX9" s="458">
        <f>'_Engine_R50'!I183/12</f>
        <v/>
      </c>
      <c r="EY9" s="458">
        <f>'_Engine_R50'!I184/12</f>
        <v/>
      </c>
      <c r="EZ9" s="458">
        <f>'_Engine_R50'!I185/12</f>
        <v/>
      </c>
      <c r="FA9" s="458">
        <f>'_Engine_R50'!I186/12</f>
        <v/>
      </c>
      <c r="FB9" s="459">
        <f>'_Engine_R50'!I187/12</f>
        <v/>
      </c>
      <c r="FC9" s="459">
        <f>'_Engine_R50'!I188/12</f>
        <v/>
      </c>
      <c r="FD9" s="459">
        <f>'_Engine_R50'!I189/12</f>
        <v/>
      </c>
      <c r="FE9" s="459">
        <f>'_Engine_R50'!I190/12</f>
        <v/>
      </c>
      <c r="FF9" s="459">
        <f>'_Engine_R50'!I191/12</f>
        <v/>
      </c>
      <c r="FG9" s="459">
        <f>'_Engine_R50'!I192/12</f>
        <v/>
      </c>
      <c r="FH9" s="459">
        <f>'_Engine_R50'!I193/12</f>
        <v/>
      </c>
      <c r="FI9" s="459">
        <f>'_Engine_R50'!I194/12</f>
        <v/>
      </c>
      <c r="FJ9" s="459">
        <f>'_Engine_R50'!I195/12</f>
        <v/>
      </c>
      <c r="FK9" s="459">
        <f>'_Engine_R50'!I196/12</f>
        <v/>
      </c>
      <c r="FL9" s="459">
        <f>'_Engine_R50'!I197/12</f>
        <v/>
      </c>
      <c r="FM9" s="459">
        <f>'_Engine_R50'!I198/12</f>
        <v/>
      </c>
      <c r="FN9" s="458">
        <f>'_Engine_R50'!I199/12</f>
        <v/>
      </c>
      <c r="FO9" s="458">
        <f>'_Engine_R50'!I200/12</f>
        <v/>
      </c>
      <c r="FP9" s="458">
        <f>'_Engine_R50'!I201/12</f>
        <v/>
      </c>
      <c r="FQ9" s="458">
        <f>'_Engine_R50'!I202/12</f>
        <v/>
      </c>
      <c r="FR9" s="458">
        <f>'_Engine_R50'!I203/12</f>
        <v/>
      </c>
      <c r="FS9" s="458">
        <f>'_Engine_R50'!I204/12</f>
        <v/>
      </c>
      <c r="FT9" s="458">
        <f>'_Engine_R50'!I205/12</f>
        <v/>
      </c>
      <c r="FU9" s="458">
        <f>'_Engine_R50'!I206/12</f>
        <v/>
      </c>
      <c r="FV9" s="458">
        <f>'_Engine_R50'!I207/12</f>
        <v/>
      </c>
      <c r="FW9" s="458">
        <f>'_Engine_R50'!I208/12</f>
        <v/>
      </c>
      <c r="FX9" s="458">
        <f>'_Engine_R50'!I209/12</f>
        <v/>
      </c>
      <c r="FY9" s="458">
        <f>'_Engine_R50'!I210/12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'_Engine_R50'!J31/12</f>
        <v/>
      </c>
      <c r="C10" s="458">
        <f>'_Engine_R50'!J32/12</f>
        <v/>
      </c>
      <c r="D10" s="458">
        <f>'_Engine_R50'!J33/12</f>
        <v/>
      </c>
      <c r="E10" s="458">
        <f>'_Engine_R50'!J34/12</f>
        <v/>
      </c>
      <c r="F10" s="458">
        <f>'_Engine_R50'!J35/12</f>
        <v/>
      </c>
      <c r="G10" s="458">
        <f>'_Engine_R50'!J36/12</f>
        <v/>
      </c>
      <c r="H10" s="458">
        <f>'_Engine_R50'!J37/12</f>
        <v/>
      </c>
      <c r="I10" s="458">
        <f>'_Engine_R50'!J38/12</f>
        <v/>
      </c>
      <c r="J10" s="458">
        <f>'_Engine_R50'!J39/12</f>
        <v/>
      </c>
      <c r="K10" s="458">
        <f>'_Engine_R50'!J40/12</f>
        <v/>
      </c>
      <c r="L10" s="458">
        <f>'_Engine_R50'!J41/12</f>
        <v/>
      </c>
      <c r="M10" s="458">
        <f>'_Engine_R50'!J42/12</f>
        <v/>
      </c>
      <c r="N10" s="459">
        <f>'_Engine_R50'!J43/12</f>
        <v/>
      </c>
      <c r="O10" s="459">
        <f>'_Engine_R50'!J44/12</f>
        <v/>
      </c>
      <c r="P10" s="459">
        <f>'_Engine_R50'!J45/12</f>
        <v/>
      </c>
      <c r="Q10" s="459">
        <f>'_Engine_R50'!J46/12</f>
        <v/>
      </c>
      <c r="R10" s="459">
        <f>'_Engine_R50'!J47/12</f>
        <v/>
      </c>
      <c r="S10" s="459">
        <f>'_Engine_R50'!J48/12</f>
        <v/>
      </c>
      <c r="T10" s="459">
        <f>'_Engine_R50'!J49/12</f>
        <v/>
      </c>
      <c r="U10" s="459">
        <f>'_Engine_R50'!J50/12</f>
        <v/>
      </c>
      <c r="V10" s="459">
        <f>'_Engine_R50'!J51/12</f>
        <v/>
      </c>
      <c r="W10" s="459">
        <f>'_Engine_R50'!J52/12</f>
        <v/>
      </c>
      <c r="X10" s="459">
        <f>'_Engine_R50'!J53/12</f>
        <v/>
      </c>
      <c r="Y10" s="459">
        <f>'_Engine_R50'!J54/12</f>
        <v/>
      </c>
      <c r="Z10" s="458">
        <f>'_Engine_R50'!J55/12</f>
        <v/>
      </c>
      <c r="AA10" s="458">
        <f>'_Engine_R50'!J56/12</f>
        <v/>
      </c>
      <c r="AB10" s="458">
        <f>'_Engine_R50'!J57/12</f>
        <v/>
      </c>
      <c r="AC10" s="458">
        <f>'_Engine_R50'!J58/12</f>
        <v/>
      </c>
      <c r="AD10" s="458">
        <f>'_Engine_R50'!J59/12</f>
        <v/>
      </c>
      <c r="AE10" s="458">
        <f>'_Engine_R50'!J60/12</f>
        <v/>
      </c>
      <c r="AF10" s="458">
        <f>'_Engine_R50'!J61/12</f>
        <v/>
      </c>
      <c r="AG10" s="458">
        <f>'_Engine_R50'!J62/12</f>
        <v/>
      </c>
      <c r="AH10" s="458">
        <f>'_Engine_R50'!J63/12</f>
        <v/>
      </c>
      <c r="AI10" s="458">
        <f>'_Engine_R50'!J64/12</f>
        <v/>
      </c>
      <c r="AJ10" s="458">
        <f>'_Engine_R50'!J65/12</f>
        <v/>
      </c>
      <c r="AK10" s="458">
        <f>'_Engine_R50'!J66/12</f>
        <v/>
      </c>
      <c r="AL10" s="459">
        <f>'_Engine_R50'!J67/12</f>
        <v/>
      </c>
      <c r="AM10" s="459">
        <f>'_Engine_R50'!J68/12</f>
        <v/>
      </c>
      <c r="AN10" s="459">
        <f>'_Engine_R50'!J69/12</f>
        <v/>
      </c>
      <c r="AO10" s="459">
        <f>'_Engine_R50'!J70/12</f>
        <v/>
      </c>
      <c r="AP10" s="459">
        <f>'_Engine_R50'!J71/12</f>
        <v/>
      </c>
      <c r="AQ10" s="459">
        <f>'_Engine_R50'!J72/12</f>
        <v/>
      </c>
      <c r="AR10" s="459">
        <f>'_Engine_R50'!J73/12</f>
        <v/>
      </c>
      <c r="AS10" s="459">
        <f>'_Engine_R50'!J74/12</f>
        <v/>
      </c>
      <c r="AT10" s="459">
        <f>'_Engine_R50'!J75/12</f>
        <v/>
      </c>
      <c r="AU10" s="459">
        <f>'_Engine_R50'!J76/12</f>
        <v/>
      </c>
      <c r="AV10" s="459">
        <f>'_Engine_R50'!J77/12</f>
        <v/>
      </c>
      <c r="AW10" s="459">
        <f>'_Engine_R50'!J78/12</f>
        <v/>
      </c>
      <c r="AX10" s="458">
        <f>'_Engine_R50'!J79/12</f>
        <v/>
      </c>
      <c r="AY10" s="458">
        <f>'_Engine_R50'!J80/12</f>
        <v/>
      </c>
      <c r="AZ10" s="458">
        <f>'_Engine_R50'!J81/12</f>
        <v/>
      </c>
      <c r="BA10" s="458">
        <f>'_Engine_R50'!J82/12</f>
        <v/>
      </c>
      <c r="BB10" s="458">
        <f>'_Engine_R50'!J83/12</f>
        <v/>
      </c>
      <c r="BC10" s="458">
        <f>'_Engine_R50'!J84/12</f>
        <v/>
      </c>
      <c r="BD10" s="458">
        <f>'_Engine_R50'!J85/12</f>
        <v/>
      </c>
      <c r="BE10" s="458">
        <f>'_Engine_R50'!J86/12</f>
        <v/>
      </c>
      <c r="BF10" s="458">
        <f>'_Engine_R50'!J87/12</f>
        <v/>
      </c>
      <c r="BG10" s="458">
        <f>'_Engine_R50'!J88/12</f>
        <v/>
      </c>
      <c r="BH10" s="458">
        <f>'_Engine_R50'!J89/12</f>
        <v/>
      </c>
      <c r="BI10" s="458">
        <f>'_Engine_R50'!J90/12</f>
        <v/>
      </c>
      <c r="BJ10" s="459">
        <f>'_Engine_R50'!J91/12</f>
        <v/>
      </c>
      <c r="BK10" s="459">
        <f>'_Engine_R50'!J92/12</f>
        <v/>
      </c>
      <c r="BL10" s="459">
        <f>'_Engine_R50'!J93/12</f>
        <v/>
      </c>
      <c r="BM10" s="459">
        <f>'_Engine_R50'!J94/12</f>
        <v/>
      </c>
      <c r="BN10" s="459">
        <f>'_Engine_R50'!J95/12</f>
        <v/>
      </c>
      <c r="BO10" s="459">
        <f>'_Engine_R50'!J96/12</f>
        <v/>
      </c>
      <c r="BP10" s="459">
        <f>'_Engine_R50'!J97/12</f>
        <v/>
      </c>
      <c r="BQ10" s="459">
        <f>'_Engine_R50'!J98/12</f>
        <v/>
      </c>
      <c r="BR10" s="459">
        <f>'_Engine_R50'!J99/12</f>
        <v/>
      </c>
      <c r="BS10" s="459">
        <f>'_Engine_R50'!J100/12</f>
        <v/>
      </c>
      <c r="BT10" s="459">
        <f>'_Engine_R50'!J101/12</f>
        <v/>
      </c>
      <c r="BU10" s="459">
        <f>'_Engine_R50'!J102/12</f>
        <v/>
      </c>
      <c r="BV10" s="458">
        <f>'_Engine_R50'!J103/12</f>
        <v/>
      </c>
      <c r="BW10" s="458">
        <f>'_Engine_R50'!J104/12</f>
        <v/>
      </c>
      <c r="BX10" s="458">
        <f>'_Engine_R50'!J105/12</f>
        <v/>
      </c>
      <c r="BY10" s="458">
        <f>'_Engine_R50'!J106/12</f>
        <v/>
      </c>
      <c r="BZ10" s="458">
        <f>'_Engine_R50'!J107/12</f>
        <v/>
      </c>
      <c r="CA10" s="458">
        <f>'_Engine_R50'!J108/12</f>
        <v/>
      </c>
      <c r="CB10" s="458">
        <f>'_Engine_R50'!J109/12</f>
        <v/>
      </c>
      <c r="CC10" s="458">
        <f>'_Engine_R50'!J110/12</f>
        <v/>
      </c>
      <c r="CD10" s="458">
        <f>'_Engine_R50'!J111/12</f>
        <v/>
      </c>
      <c r="CE10" s="458">
        <f>'_Engine_R50'!J112/12</f>
        <v/>
      </c>
      <c r="CF10" s="458">
        <f>'_Engine_R50'!J113/12</f>
        <v/>
      </c>
      <c r="CG10" s="458">
        <f>'_Engine_R50'!J114/12</f>
        <v/>
      </c>
      <c r="CH10" s="459">
        <f>'_Engine_R50'!J115/12</f>
        <v/>
      </c>
      <c r="CI10" s="459">
        <f>'_Engine_R50'!J116/12</f>
        <v/>
      </c>
      <c r="CJ10" s="459">
        <f>'_Engine_R50'!J117/12</f>
        <v/>
      </c>
      <c r="CK10" s="459">
        <f>'_Engine_R50'!J118/12</f>
        <v/>
      </c>
      <c r="CL10" s="459">
        <f>'_Engine_R50'!J119/12</f>
        <v/>
      </c>
      <c r="CM10" s="459">
        <f>'_Engine_R50'!J120/12</f>
        <v/>
      </c>
      <c r="CN10" s="459">
        <f>'_Engine_R50'!J121/12</f>
        <v/>
      </c>
      <c r="CO10" s="459">
        <f>'_Engine_R50'!J122/12</f>
        <v/>
      </c>
      <c r="CP10" s="459">
        <f>'_Engine_R50'!J123/12</f>
        <v/>
      </c>
      <c r="CQ10" s="459">
        <f>'_Engine_R50'!J124/12</f>
        <v/>
      </c>
      <c r="CR10" s="459">
        <f>'_Engine_R50'!J125/12</f>
        <v/>
      </c>
      <c r="CS10" s="459">
        <f>'_Engine_R50'!J126/12</f>
        <v/>
      </c>
      <c r="CT10" s="458">
        <f>'_Engine_R50'!J127/12</f>
        <v/>
      </c>
      <c r="CU10" s="458">
        <f>'_Engine_R50'!J128/12</f>
        <v/>
      </c>
      <c r="CV10" s="458">
        <f>'_Engine_R50'!J129/12</f>
        <v/>
      </c>
      <c r="CW10" s="458">
        <f>'_Engine_R50'!J130/12</f>
        <v/>
      </c>
      <c r="CX10" s="458">
        <f>'_Engine_R50'!J131/12</f>
        <v/>
      </c>
      <c r="CY10" s="458">
        <f>'_Engine_R50'!J132/12</f>
        <v/>
      </c>
      <c r="CZ10" s="458">
        <f>'_Engine_R50'!J133/12</f>
        <v/>
      </c>
      <c r="DA10" s="458">
        <f>'_Engine_R50'!J134/12</f>
        <v/>
      </c>
      <c r="DB10" s="458">
        <f>'_Engine_R50'!J135/12</f>
        <v/>
      </c>
      <c r="DC10" s="458">
        <f>'_Engine_R50'!J136/12</f>
        <v/>
      </c>
      <c r="DD10" s="458">
        <f>'_Engine_R50'!J137/12</f>
        <v/>
      </c>
      <c r="DE10" s="458">
        <f>'_Engine_R50'!J138/12</f>
        <v/>
      </c>
      <c r="DF10" s="459">
        <f>'_Engine_R50'!J139/12</f>
        <v/>
      </c>
      <c r="DG10" s="459">
        <f>'_Engine_R50'!J140/12</f>
        <v/>
      </c>
      <c r="DH10" s="459">
        <f>'_Engine_R50'!J141/12</f>
        <v/>
      </c>
      <c r="DI10" s="459">
        <f>'_Engine_R50'!J142/12</f>
        <v/>
      </c>
      <c r="DJ10" s="459">
        <f>'_Engine_R50'!J143/12</f>
        <v/>
      </c>
      <c r="DK10" s="459">
        <f>'_Engine_R50'!J144/12</f>
        <v/>
      </c>
      <c r="DL10" s="459">
        <f>'_Engine_R50'!J145/12</f>
        <v/>
      </c>
      <c r="DM10" s="459">
        <f>'_Engine_R50'!J146/12</f>
        <v/>
      </c>
      <c r="DN10" s="459">
        <f>'_Engine_R50'!J147/12</f>
        <v/>
      </c>
      <c r="DO10" s="459">
        <f>'_Engine_R50'!J148/12</f>
        <v/>
      </c>
      <c r="DP10" s="459">
        <f>'_Engine_R50'!J149/12</f>
        <v/>
      </c>
      <c r="DQ10" s="459">
        <f>'_Engine_R50'!J150/12</f>
        <v/>
      </c>
      <c r="DR10" s="458">
        <f>'_Engine_R50'!J151/12</f>
        <v/>
      </c>
      <c r="DS10" s="458">
        <f>'_Engine_R50'!J152/12</f>
        <v/>
      </c>
      <c r="DT10" s="458">
        <f>'_Engine_R50'!J153/12</f>
        <v/>
      </c>
      <c r="DU10" s="458">
        <f>'_Engine_R50'!J154/12</f>
        <v/>
      </c>
      <c r="DV10" s="458">
        <f>'_Engine_R50'!J155/12</f>
        <v/>
      </c>
      <c r="DW10" s="458">
        <f>'_Engine_R50'!J156/12</f>
        <v/>
      </c>
      <c r="DX10" s="458">
        <f>'_Engine_R50'!J157/12</f>
        <v/>
      </c>
      <c r="DY10" s="458">
        <f>'_Engine_R50'!J158/12</f>
        <v/>
      </c>
      <c r="DZ10" s="458">
        <f>'_Engine_R50'!J159/12</f>
        <v/>
      </c>
      <c r="EA10" s="458">
        <f>'_Engine_R50'!J160/12</f>
        <v/>
      </c>
      <c r="EB10" s="458">
        <f>'_Engine_R50'!J161/12</f>
        <v/>
      </c>
      <c r="EC10" s="458">
        <f>'_Engine_R50'!J162/12</f>
        <v/>
      </c>
      <c r="ED10" s="459">
        <f>'_Engine_R50'!J163/12</f>
        <v/>
      </c>
      <c r="EE10" s="459">
        <f>'_Engine_R50'!J164/12</f>
        <v/>
      </c>
      <c r="EF10" s="459">
        <f>'_Engine_R50'!J165/12</f>
        <v/>
      </c>
      <c r="EG10" s="459">
        <f>'_Engine_R50'!J166/12</f>
        <v/>
      </c>
      <c r="EH10" s="459">
        <f>'_Engine_R50'!J167/12</f>
        <v/>
      </c>
      <c r="EI10" s="459">
        <f>'_Engine_R50'!J168/12</f>
        <v/>
      </c>
      <c r="EJ10" s="459">
        <f>'_Engine_R50'!J169/12</f>
        <v/>
      </c>
      <c r="EK10" s="459">
        <f>'_Engine_R50'!J170/12</f>
        <v/>
      </c>
      <c r="EL10" s="459">
        <f>'_Engine_R50'!J171/12</f>
        <v/>
      </c>
      <c r="EM10" s="459">
        <f>'_Engine_R50'!J172/12</f>
        <v/>
      </c>
      <c r="EN10" s="459">
        <f>'_Engine_R50'!J173/12</f>
        <v/>
      </c>
      <c r="EO10" s="459">
        <f>'_Engine_R50'!J174/12</f>
        <v/>
      </c>
      <c r="EP10" s="458">
        <f>'_Engine_R50'!J175/12</f>
        <v/>
      </c>
      <c r="EQ10" s="458">
        <f>'_Engine_R50'!J176/12</f>
        <v/>
      </c>
      <c r="ER10" s="458">
        <f>'_Engine_R50'!J177/12</f>
        <v/>
      </c>
      <c r="ES10" s="458">
        <f>'_Engine_R50'!J178/12</f>
        <v/>
      </c>
      <c r="ET10" s="458">
        <f>'_Engine_R50'!J179/12</f>
        <v/>
      </c>
      <c r="EU10" s="458">
        <f>'_Engine_R50'!J180/12</f>
        <v/>
      </c>
      <c r="EV10" s="458">
        <f>'_Engine_R50'!J181/12</f>
        <v/>
      </c>
      <c r="EW10" s="458">
        <f>'_Engine_R50'!J182/12</f>
        <v/>
      </c>
      <c r="EX10" s="458">
        <f>'_Engine_R50'!J183/12</f>
        <v/>
      </c>
      <c r="EY10" s="458">
        <f>'_Engine_R50'!J184/12</f>
        <v/>
      </c>
      <c r="EZ10" s="458">
        <f>'_Engine_R50'!J185/12</f>
        <v/>
      </c>
      <c r="FA10" s="458">
        <f>'_Engine_R50'!J186/12</f>
        <v/>
      </c>
      <c r="FB10" s="459">
        <f>'_Engine_R50'!J187/12</f>
        <v/>
      </c>
      <c r="FC10" s="459">
        <f>'_Engine_R50'!J188/12</f>
        <v/>
      </c>
      <c r="FD10" s="459">
        <f>'_Engine_R50'!J189/12</f>
        <v/>
      </c>
      <c r="FE10" s="459">
        <f>'_Engine_R50'!J190/12</f>
        <v/>
      </c>
      <c r="FF10" s="459">
        <f>'_Engine_R50'!J191/12</f>
        <v/>
      </c>
      <c r="FG10" s="459">
        <f>'_Engine_R50'!J192/12</f>
        <v/>
      </c>
      <c r="FH10" s="459">
        <f>'_Engine_R50'!J193/12</f>
        <v/>
      </c>
      <c r="FI10" s="459">
        <f>'_Engine_R50'!J194/12</f>
        <v/>
      </c>
      <c r="FJ10" s="459">
        <f>'_Engine_R50'!J195/12</f>
        <v/>
      </c>
      <c r="FK10" s="459">
        <f>'_Engine_R50'!J196/12</f>
        <v/>
      </c>
      <c r="FL10" s="459">
        <f>'_Engine_R50'!J197/12</f>
        <v/>
      </c>
      <c r="FM10" s="459">
        <f>'_Engine_R50'!J198/12</f>
        <v/>
      </c>
      <c r="FN10" s="458">
        <f>'_Engine_R50'!J199/12</f>
        <v/>
      </c>
      <c r="FO10" s="458">
        <f>'_Engine_R50'!J200/12</f>
        <v/>
      </c>
      <c r="FP10" s="458">
        <f>'_Engine_R50'!J201/12</f>
        <v/>
      </c>
      <c r="FQ10" s="458">
        <f>'_Engine_R50'!J202/12</f>
        <v/>
      </c>
      <c r="FR10" s="458">
        <f>'_Engine_R50'!J203/12</f>
        <v/>
      </c>
      <c r="FS10" s="458">
        <f>'_Engine_R50'!J204/12</f>
        <v/>
      </c>
      <c r="FT10" s="458">
        <f>'_Engine_R50'!J205/12</f>
        <v/>
      </c>
      <c r="FU10" s="458">
        <f>'_Engine_R50'!J206/12</f>
        <v/>
      </c>
      <c r="FV10" s="458">
        <f>'_Engine_R50'!J207/12</f>
        <v/>
      </c>
      <c r="FW10" s="458">
        <f>'_Engine_R50'!J208/12</f>
        <v/>
      </c>
      <c r="FX10" s="458">
        <f>'_Engine_R50'!J209/12</f>
        <v/>
      </c>
      <c r="FY10" s="458">
        <f>'_Engine_R50'!J210/12</f>
        <v/>
      </c>
      <c r="FZ10" s="306" t="n"/>
    </row>
    <row r="11" ht="15" customHeight="1" s="307">
      <c r="A11" s="321" t="inlineStr">
        <is>
          <t xml:space="preserve">    Deal #6</t>
        </is>
      </c>
      <c r="B11" s="458">
        <f>'_Engine_R50'!K31/12</f>
        <v/>
      </c>
      <c r="C11" s="458">
        <f>'_Engine_R50'!K32/12</f>
        <v/>
      </c>
      <c r="D11" s="458">
        <f>'_Engine_R50'!K33/12</f>
        <v/>
      </c>
      <c r="E11" s="458">
        <f>'_Engine_R50'!K34/12</f>
        <v/>
      </c>
      <c r="F11" s="458">
        <f>'_Engine_R50'!K35/12</f>
        <v/>
      </c>
      <c r="G11" s="458">
        <f>'_Engine_R50'!K36/12</f>
        <v/>
      </c>
      <c r="H11" s="458">
        <f>'_Engine_R50'!K37/12</f>
        <v/>
      </c>
      <c r="I11" s="458">
        <f>'_Engine_R50'!K38/12</f>
        <v/>
      </c>
      <c r="J11" s="458">
        <f>'_Engine_R50'!K39/12</f>
        <v/>
      </c>
      <c r="K11" s="458">
        <f>'_Engine_R50'!K40/12</f>
        <v/>
      </c>
      <c r="L11" s="458">
        <f>'_Engine_R50'!K41/12</f>
        <v/>
      </c>
      <c r="M11" s="458">
        <f>'_Engine_R50'!K42/12</f>
        <v/>
      </c>
      <c r="N11" s="459">
        <f>'_Engine_R50'!K43/12</f>
        <v/>
      </c>
      <c r="O11" s="459">
        <f>'_Engine_R50'!K44/12</f>
        <v/>
      </c>
      <c r="P11" s="459">
        <f>'_Engine_R50'!K45/12</f>
        <v/>
      </c>
      <c r="Q11" s="459">
        <f>'_Engine_R50'!K46/12</f>
        <v/>
      </c>
      <c r="R11" s="459">
        <f>'_Engine_R50'!K47/12</f>
        <v/>
      </c>
      <c r="S11" s="459">
        <f>'_Engine_R50'!K48/12</f>
        <v/>
      </c>
      <c r="T11" s="459">
        <f>'_Engine_R50'!K49/12</f>
        <v/>
      </c>
      <c r="U11" s="459">
        <f>'_Engine_R50'!K50/12</f>
        <v/>
      </c>
      <c r="V11" s="459">
        <f>'_Engine_R50'!K51/12</f>
        <v/>
      </c>
      <c r="W11" s="459">
        <f>'_Engine_R50'!K52/12</f>
        <v/>
      </c>
      <c r="X11" s="459">
        <f>'_Engine_R50'!K53/12</f>
        <v/>
      </c>
      <c r="Y11" s="459">
        <f>'_Engine_R50'!K54/12</f>
        <v/>
      </c>
      <c r="Z11" s="458">
        <f>'_Engine_R50'!K55/12</f>
        <v/>
      </c>
      <c r="AA11" s="458">
        <f>'_Engine_R50'!K56/12</f>
        <v/>
      </c>
      <c r="AB11" s="458">
        <f>'_Engine_R50'!K57/12</f>
        <v/>
      </c>
      <c r="AC11" s="458">
        <f>'_Engine_R50'!K58/12</f>
        <v/>
      </c>
      <c r="AD11" s="458">
        <f>'_Engine_R50'!K59/12</f>
        <v/>
      </c>
      <c r="AE11" s="458">
        <f>'_Engine_R50'!K60/12</f>
        <v/>
      </c>
      <c r="AF11" s="458">
        <f>'_Engine_R50'!K61/12</f>
        <v/>
      </c>
      <c r="AG11" s="458">
        <f>'_Engine_R50'!K62/12</f>
        <v/>
      </c>
      <c r="AH11" s="458">
        <f>'_Engine_R50'!K63/12</f>
        <v/>
      </c>
      <c r="AI11" s="458">
        <f>'_Engine_R50'!K64/12</f>
        <v/>
      </c>
      <c r="AJ11" s="458">
        <f>'_Engine_R50'!K65/12</f>
        <v/>
      </c>
      <c r="AK11" s="458">
        <f>'_Engine_R50'!K66/12</f>
        <v/>
      </c>
      <c r="AL11" s="459">
        <f>'_Engine_R50'!K67/12</f>
        <v/>
      </c>
      <c r="AM11" s="459">
        <f>'_Engine_R50'!K68/12</f>
        <v/>
      </c>
      <c r="AN11" s="459">
        <f>'_Engine_R50'!K69/12</f>
        <v/>
      </c>
      <c r="AO11" s="459">
        <f>'_Engine_R50'!K70/12</f>
        <v/>
      </c>
      <c r="AP11" s="459">
        <f>'_Engine_R50'!K71/12</f>
        <v/>
      </c>
      <c r="AQ11" s="459">
        <f>'_Engine_R50'!K72/12</f>
        <v/>
      </c>
      <c r="AR11" s="459">
        <f>'_Engine_R50'!K73/12</f>
        <v/>
      </c>
      <c r="AS11" s="459">
        <f>'_Engine_R50'!K74/12</f>
        <v/>
      </c>
      <c r="AT11" s="459">
        <f>'_Engine_R50'!K75/12</f>
        <v/>
      </c>
      <c r="AU11" s="459">
        <f>'_Engine_R50'!K76/12</f>
        <v/>
      </c>
      <c r="AV11" s="459">
        <f>'_Engine_R50'!K77/12</f>
        <v/>
      </c>
      <c r="AW11" s="459">
        <f>'_Engine_R50'!K78/12</f>
        <v/>
      </c>
      <c r="AX11" s="458">
        <f>'_Engine_R50'!K79/12</f>
        <v/>
      </c>
      <c r="AY11" s="458">
        <f>'_Engine_R50'!K80/12</f>
        <v/>
      </c>
      <c r="AZ11" s="458">
        <f>'_Engine_R50'!K81/12</f>
        <v/>
      </c>
      <c r="BA11" s="458">
        <f>'_Engine_R50'!K82/12</f>
        <v/>
      </c>
      <c r="BB11" s="458">
        <f>'_Engine_R50'!K83/12</f>
        <v/>
      </c>
      <c r="BC11" s="458">
        <f>'_Engine_R50'!K84/12</f>
        <v/>
      </c>
      <c r="BD11" s="458">
        <f>'_Engine_R50'!K85/12</f>
        <v/>
      </c>
      <c r="BE11" s="458">
        <f>'_Engine_R50'!K86/12</f>
        <v/>
      </c>
      <c r="BF11" s="458">
        <f>'_Engine_R50'!K87/12</f>
        <v/>
      </c>
      <c r="BG11" s="458">
        <f>'_Engine_R50'!K88/12</f>
        <v/>
      </c>
      <c r="BH11" s="458">
        <f>'_Engine_R50'!K89/12</f>
        <v/>
      </c>
      <c r="BI11" s="458">
        <f>'_Engine_R50'!K90/12</f>
        <v/>
      </c>
      <c r="BJ11" s="459">
        <f>'_Engine_R50'!K91/12</f>
        <v/>
      </c>
      <c r="BK11" s="459">
        <f>'_Engine_R50'!K92/12</f>
        <v/>
      </c>
      <c r="BL11" s="459">
        <f>'_Engine_R50'!K93/12</f>
        <v/>
      </c>
      <c r="BM11" s="459">
        <f>'_Engine_R50'!K94/12</f>
        <v/>
      </c>
      <c r="BN11" s="459">
        <f>'_Engine_R50'!K95/12</f>
        <v/>
      </c>
      <c r="BO11" s="459">
        <f>'_Engine_R50'!K96/12</f>
        <v/>
      </c>
      <c r="BP11" s="459">
        <f>'_Engine_R50'!K97/12</f>
        <v/>
      </c>
      <c r="BQ11" s="459">
        <f>'_Engine_R50'!K98/12</f>
        <v/>
      </c>
      <c r="BR11" s="459">
        <f>'_Engine_R50'!K99/12</f>
        <v/>
      </c>
      <c r="BS11" s="459">
        <f>'_Engine_R50'!K100/12</f>
        <v/>
      </c>
      <c r="BT11" s="459">
        <f>'_Engine_R50'!K101/12</f>
        <v/>
      </c>
      <c r="BU11" s="459">
        <f>'_Engine_R50'!K102/12</f>
        <v/>
      </c>
      <c r="BV11" s="458">
        <f>'_Engine_R50'!K103/12</f>
        <v/>
      </c>
      <c r="BW11" s="458">
        <f>'_Engine_R50'!K104/12</f>
        <v/>
      </c>
      <c r="BX11" s="458">
        <f>'_Engine_R50'!K105/12</f>
        <v/>
      </c>
      <c r="BY11" s="458">
        <f>'_Engine_R50'!K106/12</f>
        <v/>
      </c>
      <c r="BZ11" s="458">
        <f>'_Engine_R50'!K107/12</f>
        <v/>
      </c>
      <c r="CA11" s="458">
        <f>'_Engine_R50'!K108/12</f>
        <v/>
      </c>
      <c r="CB11" s="458">
        <f>'_Engine_R50'!K109/12</f>
        <v/>
      </c>
      <c r="CC11" s="458">
        <f>'_Engine_R50'!K110/12</f>
        <v/>
      </c>
      <c r="CD11" s="458">
        <f>'_Engine_R50'!K111/12</f>
        <v/>
      </c>
      <c r="CE11" s="458">
        <f>'_Engine_R50'!K112/12</f>
        <v/>
      </c>
      <c r="CF11" s="458">
        <f>'_Engine_R50'!K113/12</f>
        <v/>
      </c>
      <c r="CG11" s="458">
        <f>'_Engine_R50'!K114/12</f>
        <v/>
      </c>
      <c r="CH11" s="459">
        <f>'_Engine_R50'!K115/12</f>
        <v/>
      </c>
      <c r="CI11" s="459">
        <f>'_Engine_R50'!K116/12</f>
        <v/>
      </c>
      <c r="CJ11" s="459">
        <f>'_Engine_R50'!K117/12</f>
        <v/>
      </c>
      <c r="CK11" s="459">
        <f>'_Engine_R50'!K118/12</f>
        <v/>
      </c>
      <c r="CL11" s="459">
        <f>'_Engine_R50'!K119/12</f>
        <v/>
      </c>
      <c r="CM11" s="459">
        <f>'_Engine_R50'!K120/12</f>
        <v/>
      </c>
      <c r="CN11" s="459">
        <f>'_Engine_R50'!K121/12</f>
        <v/>
      </c>
      <c r="CO11" s="459">
        <f>'_Engine_R50'!K122/12</f>
        <v/>
      </c>
      <c r="CP11" s="459">
        <f>'_Engine_R50'!K123/12</f>
        <v/>
      </c>
      <c r="CQ11" s="459">
        <f>'_Engine_R50'!K124/12</f>
        <v/>
      </c>
      <c r="CR11" s="459">
        <f>'_Engine_R50'!K125/12</f>
        <v/>
      </c>
      <c r="CS11" s="459">
        <f>'_Engine_R50'!K126/12</f>
        <v/>
      </c>
      <c r="CT11" s="458">
        <f>'_Engine_R50'!K127/12</f>
        <v/>
      </c>
      <c r="CU11" s="458">
        <f>'_Engine_R50'!K128/12</f>
        <v/>
      </c>
      <c r="CV11" s="458">
        <f>'_Engine_R50'!K129/12</f>
        <v/>
      </c>
      <c r="CW11" s="458">
        <f>'_Engine_R50'!K130/12</f>
        <v/>
      </c>
      <c r="CX11" s="458">
        <f>'_Engine_R50'!K131/12</f>
        <v/>
      </c>
      <c r="CY11" s="458">
        <f>'_Engine_R50'!K132/12</f>
        <v/>
      </c>
      <c r="CZ11" s="458">
        <f>'_Engine_R50'!K133/12</f>
        <v/>
      </c>
      <c r="DA11" s="458">
        <f>'_Engine_R50'!K134/12</f>
        <v/>
      </c>
      <c r="DB11" s="458">
        <f>'_Engine_R50'!K135/12</f>
        <v/>
      </c>
      <c r="DC11" s="458">
        <f>'_Engine_R50'!K136/12</f>
        <v/>
      </c>
      <c r="DD11" s="458">
        <f>'_Engine_R50'!K137/12</f>
        <v/>
      </c>
      <c r="DE11" s="458">
        <f>'_Engine_R50'!K138/12</f>
        <v/>
      </c>
      <c r="DF11" s="459">
        <f>'_Engine_R50'!K139/12</f>
        <v/>
      </c>
      <c r="DG11" s="459">
        <f>'_Engine_R50'!K140/12</f>
        <v/>
      </c>
      <c r="DH11" s="459">
        <f>'_Engine_R50'!K141/12</f>
        <v/>
      </c>
      <c r="DI11" s="459">
        <f>'_Engine_R50'!K142/12</f>
        <v/>
      </c>
      <c r="DJ11" s="459">
        <f>'_Engine_R50'!K143/12</f>
        <v/>
      </c>
      <c r="DK11" s="459">
        <f>'_Engine_R50'!K144/12</f>
        <v/>
      </c>
      <c r="DL11" s="459">
        <f>'_Engine_R50'!K145/12</f>
        <v/>
      </c>
      <c r="DM11" s="459">
        <f>'_Engine_R50'!K146/12</f>
        <v/>
      </c>
      <c r="DN11" s="459">
        <f>'_Engine_R50'!K147/12</f>
        <v/>
      </c>
      <c r="DO11" s="459">
        <f>'_Engine_R50'!K148/12</f>
        <v/>
      </c>
      <c r="DP11" s="459">
        <f>'_Engine_R50'!K149/12</f>
        <v/>
      </c>
      <c r="DQ11" s="459">
        <f>'_Engine_R50'!K150/12</f>
        <v/>
      </c>
      <c r="DR11" s="458">
        <f>'_Engine_R50'!K151/12</f>
        <v/>
      </c>
      <c r="DS11" s="458">
        <f>'_Engine_R50'!K152/12</f>
        <v/>
      </c>
      <c r="DT11" s="458">
        <f>'_Engine_R50'!K153/12</f>
        <v/>
      </c>
      <c r="DU11" s="458">
        <f>'_Engine_R50'!K154/12</f>
        <v/>
      </c>
      <c r="DV11" s="458">
        <f>'_Engine_R50'!K155/12</f>
        <v/>
      </c>
      <c r="DW11" s="458">
        <f>'_Engine_R50'!K156/12</f>
        <v/>
      </c>
      <c r="DX11" s="458">
        <f>'_Engine_R50'!K157/12</f>
        <v/>
      </c>
      <c r="DY11" s="458">
        <f>'_Engine_R50'!K158/12</f>
        <v/>
      </c>
      <c r="DZ11" s="458">
        <f>'_Engine_R50'!K159/12</f>
        <v/>
      </c>
      <c r="EA11" s="458">
        <f>'_Engine_R50'!K160/12</f>
        <v/>
      </c>
      <c r="EB11" s="458">
        <f>'_Engine_R50'!K161/12</f>
        <v/>
      </c>
      <c r="EC11" s="458">
        <f>'_Engine_R50'!K162/12</f>
        <v/>
      </c>
      <c r="ED11" s="459">
        <f>'_Engine_R50'!K163/12</f>
        <v/>
      </c>
      <c r="EE11" s="459">
        <f>'_Engine_R50'!K164/12</f>
        <v/>
      </c>
      <c r="EF11" s="459">
        <f>'_Engine_R50'!K165/12</f>
        <v/>
      </c>
      <c r="EG11" s="459">
        <f>'_Engine_R50'!K166/12</f>
        <v/>
      </c>
      <c r="EH11" s="459">
        <f>'_Engine_R50'!K167/12</f>
        <v/>
      </c>
      <c r="EI11" s="459">
        <f>'_Engine_R50'!K168/12</f>
        <v/>
      </c>
      <c r="EJ11" s="459">
        <f>'_Engine_R50'!K169/12</f>
        <v/>
      </c>
      <c r="EK11" s="459">
        <f>'_Engine_R50'!K170/12</f>
        <v/>
      </c>
      <c r="EL11" s="459">
        <f>'_Engine_R50'!K171/12</f>
        <v/>
      </c>
      <c r="EM11" s="459">
        <f>'_Engine_R50'!K172/12</f>
        <v/>
      </c>
      <c r="EN11" s="459">
        <f>'_Engine_R50'!K173/12</f>
        <v/>
      </c>
      <c r="EO11" s="459">
        <f>'_Engine_R50'!K174/12</f>
        <v/>
      </c>
      <c r="EP11" s="458">
        <f>'_Engine_R50'!K175/12</f>
        <v/>
      </c>
      <c r="EQ11" s="458">
        <f>'_Engine_R50'!K176/12</f>
        <v/>
      </c>
      <c r="ER11" s="458">
        <f>'_Engine_R50'!K177/12</f>
        <v/>
      </c>
      <c r="ES11" s="458">
        <f>'_Engine_R50'!K178/12</f>
        <v/>
      </c>
      <c r="ET11" s="458">
        <f>'_Engine_R50'!K179/12</f>
        <v/>
      </c>
      <c r="EU11" s="458">
        <f>'_Engine_R50'!K180/12</f>
        <v/>
      </c>
      <c r="EV11" s="458">
        <f>'_Engine_R50'!K181/12</f>
        <v/>
      </c>
      <c r="EW11" s="458">
        <f>'_Engine_R50'!K182/12</f>
        <v/>
      </c>
      <c r="EX11" s="458">
        <f>'_Engine_R50'!K183/12</f>
        <v/>
      </c>
      <c r="EY11" s="458">
        <f>'_Engine_R50'!K184/12</f>
        <v/>
      </c>
      <c r="EZ11" s="458">
        <f>'_Engine_R50'!K185/12</f>
        <v/>
      </c>
      <c r="FA11" s="458">
        <f>'_Engine_R50'!K186/12</f>
        <v/>
      </c>
      <c r="FB11" s="459">
        <f>'_Engine_R50'!K187/12</f>
        <v/>
      </c>
      <c r="FC11" s="459">
        <f>'_Engine_R50'!K188/12</f>
        <v/>
      </c>
      <c r="FD11" s="459">
        <f>'_Engine_R50'!K189/12</f>
        <v/>
      </c>
      <c r="FE11" s="459">
        <f>'_Engine_R50'!K190/12</f>
        <v/>
      </c>
      <c r="FF11" s="459">
        <f>'_Engine_R50'!K191/12</f>
        <v/>
      </c>
      <c r="FG11" s="459">
        <f>'_Engine_R50'!K192/12</f>
        <v/>
      </c>
      <c r="FH11" s="459">
        <f>'_Engine_R50'!K193/12</f>
        <v/>
      </c>
      <c r="FI11" s="459">
        <f>'_Engine_R50'!K194/12</f>
        <v/>
      </c>
      <c r="FJ11" s="459">
        <f>'_Engine_R50'!K195/12</f>
        <v/>
      </c>
      <c r="FK11" s="459">
        <f>'_Engine_R50'!K196/12</f>
        <v/>
      </c>
      <c r="FL11" s="459">
        <f>'_Engine_R50'!K197/12</f>
        <v/>
      </c>
      <c r="FM11" s="459">
        <f>'_Engine_R50'!K198/12</f>
        <v/>
      </c>
      <c r="FN11" s="458">
        <f>'_Engine_R50'!K199/12</f>
        <v/>
      </c>
      <c r="FO11" s="458">
        <f>'_Engine_R50'!K200/12</f>
        <v/>
      </c>
      <c r="FP11" s="458">
        <f>'_Engine_R50'!K201/12</f>
        <v/>
      </c>
      <c r="FQ11" s="458">
        <f>'_Engine_R50'!K202/12</f>
        <v/>
      </c>
      <c r="FR11" s="458">
        <f>'_Engine_R50'!K203/12</f>
        <v/>
      </c>
      <c r="FS11" s="458">
        <f>'_Engine_R50'!K204/12</f>
        <v/>
      </c>
      <c r="FT11" s="458">
        <f>'_Engine_R50'!K205/12</f>
        <v/>
      </c>
      <c r="FU11" s="458">
        <f>'_Engine_R50'!K206/12</f>
        <v/>
      </c>
      <c r="FV11" s="458">
        <f>'_Engine_R50'!K207/12</f>
        <v/>
      </c>
      <c r="FW11" s="458">
        <f>'_Engine_R50'!K208/12</f>
        <v/>
      </c>
      <c r="FX11" s="458">
        <f>'_Engine_R50'!K209/12</f>
        <v/>
      </c>
      <c r="FY11" s="458">
        <f>'_Engine_R50'!K210/12</f>
        <v/>
      </c>
      <c r="FZ11" s="306" t="n"/>
    </row>
    <row r="12" ht="15" customHeight="1" s="307">
      <c r="A12" s="321" t="inlineStr">
        <is>
          <t xml:space="preserve">    Deal #7</t>
        </is>
      </c>
      <c r="B12" s="458">
        <f>'_Engine_R50'!L31/12</f>
        <v/>
      </c>
      <c r="C12" s="458">
        <f>'_Engine_R50'!L32/12</f>
        <v/>
      </c>
      <c r="D12" s="458">
        <f>'_Engine_R50'!L33/12</f>
        <v/>
      </c>
      <c r="E12" s="458">
        <f>'_Engine_R50'!L34/12</f>
        <v/>
      </c>
      <c r="F12" s="458">
        <f>'_Engine_R50'!L35/12</f>
        <v/>
      </c>
      <c r="G12" s="458">
        <f>'_Engine_R50'!L36/12</f>
        <v/>
      </c>
      <c r="H12" s="458">
        <f>'_Engine_R50'!L37/12</f>
        <v/>
      </c>
      <c r="I12" s="458">
        <f>'_Engine_R50'!L38/12</f>
        <v/>
      </c>
      <c r="J12" s="458">
        <f>'_Engine_R50'!L39/12</f>
        <v/>
      </c>
      <c r="K12" s="458">
        <f>'_Engine_R50'!L40/12</f>
        <v/>
      </c>
      <c r="L12" s="458">
        <f>'_Engine_R50'!L41/12</f>
        <v/>
      </c>
      <c r="M12" s="458">
        <f>'_Engine_R50'!L42/12</f>
        <v/>
      </c>
      <c r="N12" s="459">
        <f>'_Engine_R50'!L43/12</f>
        <v/>
      </c>
      <c r="O12" s="459">
        <f>'_Engine_R50'!L44/12</f>
        <v/>
      </c>
      <c r="P12" s="459">
        <f>'_Engine_R50'!L45/12</f>
        <v/>
      </c>
      <c r="Q12" s="459">
        <f>'_Engine_R50'!L46/12</f>
        <v/>
      </c>
      <c r="R12" s="459">
        <f>'_Engine_R50'!L47/12</f>
        <v/>
      </c>
      <c r="S12" s="459">
        <f>'_Engine_R50'!L48/12</f>
        <v/>
      </c>
      <c r="T12" s="459">
        <f>'_Engine_R50'!L49/12</f>
        <v/>
      </c>
      <c r="U12" s="459">
        <f>'_Engine_R50'!L50/12</f>
        <v/>
      </c>
      <c r="V12" s="459">
        <f>'_Engine_R50'!L51/12</f>
        <v/>
      </c>
      <c r="W12" s="459">
        <f>'_Engine_R50'!L52/12</f>
        <v/>
      </c>
      <c r="X12" s="459">
        <f>'_Engine_R50'!L53/12</f>
        <v/>
      </c>
      <c r="Y12" s="459">
        <f>'_Engine_R50'!L54/12</f>
        <v/>
      </c>
      <c r="Z12" s="458">
        <f>'_Engine_R50'!L55/12</f>
        <v/>
      </c>
      <c r="AA12" s="458">
        <f>'_Engine_R50'!L56/12</f>
        <v/>
      </c>
      <c r="AB12" s="458">
        <f>'_Engine_R50'!L57/12</f>
        <v/>
      </c>
      <c r="AC12" s="458">
        <f>'_Engine_R50'!L58/12</f>
        <v/>
      </c>
      <c r="AD12" s="458">
        <f>'_Engine_R50'!L59/12</f>
        <v/>
      </c>
      <c r="AE12" s="458">
        <f>'_Engine_R50'!L60/12</f>
        <v/>
      </c>
      <c r="AF12" s="458">
        <f>'_Engine_R50'!L61/12</f>
        <v/>
      </c>
      <c r="AG12" s="458">
        <f>'_Engine_R50'!L62/12</f>
        <v/>
      </c>
      <c r="AH12" s="458">
        <f>'_Engine_R50'!L63/12</f>
        <v/>
      </c>
      <c r="AI12" s="458">
        <f>'_Engine_R50'!L64/12</f>
        <v/>
      </c>
      <c r="AJ12" s="458">
        <f>'_Engine_R50'!L65/12</f>
        <v/>
      </c>
      <c r="AK12" s="458">
        <f>'_Engine_R50'!L66/12</f>
        <v/>
      </c>
      <c r="AL12" s="459">
        <f>'_Engine_R50'!L67/12</f>
        <v/>
      </c>
      <c r="AM12" s="459">
        <f>'_Engine_R50'!L68/12</f>
        <v/>
      </c>
      <c r="AN12" s="459">
        <f>'_Engine_R50'!L69/12</f>
        <v/>
      </c>
      <c r="AO12" s="459">
        <f>'_Engine_R50'!L70/12</f>
        <v/>
      </c>
      <c r="AP12" s="459">
        <f>'_Engine_R50'!L71/12</f>
        <v/>
      </c>
      <c r="AQ12" s="459">
        <f>'_Engine_R50'!L72/12</f>
        <v/>
      </c>
      <c r="AR12" s="459">
        <f>'_Engine_R50'!L73/12</f>
        <v/>
      </c>
      <c r="AS12" s="459">
        <f>'_Engine_R50'!L74/12</f>
        <v/>
      </c>
      <c r="AT12" s="459">
        <f>'_Engine_R50'!L75/12</f>
        <v/>
      </c>
      <c r="AU12" s="459">
        <f>'_Engine_R50'!L76/12</f>
        <v/>
      </c>
      <c r="AV12" s="459">
        <f>'_Engine_R50'!L77/12</f>
        <v/>
      </c>
      <c r="AW12" s="459">
        <f>'_Engine_R50'!L78/12</f>
        <v/>
      </c>
      <c r="AX12" s="458">
        <f>'_Engine_R50'!L79/12</f>
        <v/>
      </c>
      <c r="AY12" s="458">
        <f>'_Engine_R50'!L80/12</f>
        <v/>
      </c>
      <c r="AZ12" s="458">
        <f>'_Engine_R50'!L81/12</f>
        <v/>
      </c>
      <c r="BA12" s="458">
        <f>'_Engine_R50'!L82/12</f>
        <v/>
      </c>
      <c r="BB12" s="458">
        <f>'_Engine_R50'!L83/12</f>
        <v/>
      </c>
      <c r="BC12" s="458">
        <f>'_Engine_R50'!L84/12</f>
        <v/>
      </c>
      <c r="BD12" s="458">
        <f>'_Engine_R50'!L85/12</f>
        <v/>
      </c>
      <c r="BE12" s="458">
        <f>'_Engine_R50'!L86/12</f>
        <v/>
      </c>
      <c r="BF12" s="458">
        <f>'_Engine_R50'!L87/12</f>
        <v/>
      </c>
      <c r="BG12" s="458">
        <f>'_Engine_R50'!L88/12</f>
        <v/>
      </c>
      <c r="BH12" s="458">
        <f>'_Engine_R50'!L89/12</f>
        <v/>
      </c>
      <c r="BI12" s="458">
        <f>'_Engine_R50'!L90/12</f>
        <v/>
      </c>
      <c r="BJ12" s="459">
        <f>'_Engine_R50'!L91/12</f>
        <v/>
      </c>
      <c r="BK12" s="459">
        <f>'_Engine_R50'!L92/12</f>
        <v/>
      </c>
      <c r="BL12" s="459">
        <f>'_Engine_R50'!L93/12</f>
        <v/>
      </c>
      <c r="BM12" s="459">
        <f>'_Engine_R50'!L94/12</f>
        <v/>
      </c>
      <c r="BN12" s="459">
        <f>'_Engine_R50'!L95/12</f>
        <v/>
      </c>
      <c r="BO12" s="459">
        <f>'_Engine_R50'!L96/12</f>
        <v/>
      </c>
      <c r="BP12" s="459">
        <f>'_Engine_R50'!L97/12</f>
        <v/>
      </c>
      <c r="BQ12" s="459">
        <f>'_Engine_R50'!L98/12</f>
        <v/>
      </c>
      <c r="BR12" s="459">
        <f>'_Engine_R50'!L99/12</f>
        <v/>
      </c>
      <c r="BS12" s="459">
        <f>'_Engine_R50'!L100/12</f>
        <v/>
      </c>
      <c r="BT12" s="459">
        <f>'_Engine_R50'!L101/12</f>
        <v/>
      </c>
      <c r="BU12" s="459">
        <f>'_Engine_R50'!L102/12</f>
        <v/>
      </c>
      <c r="BV12" s="458">
        <f>'_Engine_R50'!L103/12</f>
        <v/>
      </c>
      <c r="BW12" s="458">
        <f>'_Engine_R50'!L104/12</f>
        <v/>
      </c>
      <c r="BX12" s="458">
        <f>'_Engine_R50'!L105/12</f>
        <v/>
      </c>
      <c r="BY12" s="458">
        <f>'_Engine_R50'!L106/12</f>
        <v/>
      </c>
      <c r="BZ12" s="458">
        <f>'_Engine_R50'!L107/12</f>
        <v/>
      </c>
      <c r="CA12" s="458">
        <f>'_Engine_R50'!L108/12</f>
        <v/>
      </c>
      <c r="CB12" s="458">
        <f>'_Engine_R50'!L109/12</f>
        <v/>
      </c>
      <c r="CC12" s="458">
        <f>'_Engine_R50'!L110/12</f>
        <v/>
      </c>
      <c r="CD12" s="458">
        <f>'_Engine_R50'!L111/12</f>
        <v/>
      </c>
      <c r="CE12" s="458">
        <f>'_Engine_R50'!L112/12</f>
        <v/>
      </c>
      <c r="CF12" s="458">
        <f>'_Engine_R50'!L113/12</f>
        <v/>
      </c>
      <c r="CG12" s="458">
        <f>'_Engine_R50'!L114/12</f>
        <v/>
      </c>
      <c r="CH12" s="459">
        <f>'_Engine_R50'!L115/12</f>
        <v/>
      </c>
      <c r="CI12" s="459">
        <f>'_Engine_R50'!L116/12</f>
        <v/>
      </c>
      <c r="CJ12" s="459">
        <f>'_Engine_R50'!L117/12</f>
        <v/>
      </c>
      <c r="CK12" s="459">
        <f>'_Engine_R50'!L118/12</f>
        <v/>
      </c>
      <c r="CL12" s="459">
        <f>'_Engine_R50'!L119/12</f>
        <v/>
      </c>
      <c r="CM12" s="459">
        <f>'_Engine_R50'!L120/12</f>
        <v/>
      </c>
      <c r="CN12" s="459">
        <f>'_Engine_R50'!L121/12</f>
        <v/>
      </c>
      <c r="CO12" s="459">
        <f>'_Engine_R50'!L122/12</f>
        <v/>
      </c>
      <c r="CP12" s="459">
        <f>'_Engine_R50'!L123/12</f>
        <v/>
      </c>
      <c r="CQ12" s="459">
        <f>'_Engine_R50'!L124/12</f>
        <v/>
      </c>
      <c r="CR12" s="459">
        <f>'_Engine_R50'!L125/12</f>
        <v/>
      </c>
      <c r="CS12" s="459">
        <f>'_Engine_R50'!L126/12</f>
        <v/>
      </c>
      <c r="CT12" s="458">
        <f>'_Engine_R50'!L127/12</f>
        <v/>
      </c>
      <c r="CU12" s="458">
        <f>'_Engine_R50'!L128/12</f>
        <v/>
      </c>
      <c r="CV12" s="458">
        <f>'_Engine_R50'!L129/12</f>
        <v/>
      </c>
      <c r="CW12" s="458">
        <f>'_Engine_R50'!L130/12</f>
        <v/>
      </c>
      <c r="CX12" s="458">
        <f>'_Engine_R50'!L131/12</f>
        <v/>
      </c>
      <c r="CY12" s="458">
        <f>'_Engine_R50'!L132/12</f>
        <v/>
      </c>
      <c r="CZ12" s="458">
        <f>'_Engine_R50'!L133/12</f>
        <v/>
      </c>
      <c r="DA12" s="458">
        <f>'_Engine_R50'!L134/12</f>
        <v/>
      </c>
      <c r="DB12" s="458">
        <f>'_Engine_R50'!L135/12</f>
        <v/>
      </c>
      <c r="DC12" s="458">
        <f>'_Engine_R50'!L136/12</f>
        <v/>
      </c>
      <c r="DD12" s="458">
        <f>'_Engine_R50'!L137/12</f>
        <v/>
      </c>
      <c r="DE12" s="458">
        <f>'_Engine_R50'!L138/12</f>
        <v/>
      </c>
      <c r="DF12" s="459">
        <f>'_Engine_R50'!L139/12</f>
        <v/>
      </c>
      <c r="DG12" s="459">
        <f>'_Engine_R50'!L140/12</f>
        <v/>
      </c>
      <c r="DH12" s="459">
        <f>'_Engine_R50'!L141/12</f>
        <v/>
      </c>
      <c r="DI12" s="459">
        <f>'_Engine_R50'!L142/12</f>
        <v/>
      </c>
      <c r="DJ12" s="459">
        <f>'_Engine_R50'!L143/12</f>
        <v/>
      </c>
      <c r="DK12" s="459">
        <f>'_Engine_R50'!L144/12</f>
        <v/>
      </c>
      <c r="DL12" s="459">
        <f>'_Engine_R50'!L145/12</f>
        <v/>
      </c>
      <c r="DM12" s="459">
        <f>'_Engine_R50'!L146/12</f>
        <v/>
      </c>
      <c r="DN12" s="459">
        <f>'_Engine_R50'!L147/12</f>
        <v/>
      </c>
      <c r="DO12" s="459">
        <f>'_Engine_R50'!L148/12</f>
        <v/>
      </c>
      <c r="DP12" s="459">
        <f>'_Engine_R50'!L149/12</f>
        <v/>
      </c>
      <c r="DQ12" s="459">
        <f>'_Engine_R50'!L150/12</f>
        <v/>
      </c>
      <c r="DR12" s="458">
        <f>'_Engine_R50'!L151/12</f>
        <v/>
      </c>
      <c r="DS12" s="458">
        <f>'_Engine_R50'!L152/12</f>
        <v/>
      </c>
      <c r="DT12" s="458">
        <f>'_Engine_R50'!L153/12</f>
        <v/>
      </c>
      <c r="DU12" s="458">
        <f>'_Engine_R50'!L154/12</f>
        <v/>
      </c>
      <c r="DV12" s="458">
        <f>'_Engine_R50'!L155/12</f>
        <v/>
      </c>
      <c r="DW12" s="458">
        <f>'_Engine_R50'!L156/12</f>
        <v/>
      </c>
      <c r="DX12" s="458">
        <f>'_Engine_R50'!L157/12</f>
        <v/>
      </c>
      <c r="DY12" s="458">
        <f>'_Engine_R50'!L158/12</f>
        <v/>
      </c>
      <c r="DZ12" s="458">
        <f>'_Engine_R50'!L159/12</f>
        <v/>
      </c>
      <c r="EA12" s="458">
        <f>'_Engine_R50'!L160/12</f>
        <v/>
      </c>
      <c r="EB12" s="458">
        <f>'_Engine_R50'!L161/12</f>
        <v/>
      </c>
      <c r="EC12" s="458">
        <f>'_Engine_R50'!L162/12</f>
        <v/>
      </c>
      <c r="ED12" s="459">
        <f>'_Engine_R50'!L163/12</f>
        <v/>
      </c>
      <c r="EE12" s="459">
        <f>'_Engine_R50'!L164/12</f>
        <v/>
      </c>
      <c r="EF12" s="459">
        <f>'_Engine_R50'!L165/12</f>
        <v/>
      </c>
      <c r="EG12" s="459">
        <f>'_Engine_R50'!L166/12</f>
        <v/>
      </c>
      <c r="EH12" s="459">
        <f>'_Engine_R50'!L167/12</f>
        <v/>
      </c>
      <c r="EI12" s="459">
        <f>'_Engine_R50'!L168/12</f>
        <v/>
      </c>
      <c r="EJ12" s="459">
        <f>'_Engine_R50'!L169/12</f>
        <v/>
      </c>
      <c r="EK12" s="459">
        <f>'_Engine_R50'!L170/12</f>
        <v/>
      </c>
      <c r="EL12" s="459">
        <f>'_Engine_R50'!L171/12</f>
        <v/>
      </c>
      <c r="EM12" s="459">
        <f>'_Engine_R50'!L172/12</f>
        <v/>
      </c>
      <c r="EN12" s="459">
        <f>'_Engine_R50'!L173/12</f>
        <v/>
      </c>
      <c r="EO12" s="459">
        <f>'_Engine_R50'!L174/12</f>
        <v/>
      </c>
      <c r="EP12" s="458">
        <f>'_Engine_R50'!L175/12</f>
        <v/>
      </c>
      <c r="EQ12" s="458">
        <f>'_Engine_R50'!L176/12</f>
        <v/>
      </c>
      <c r="ER12" s="458">
        <f>'_Engine_R50'!L177/12</f>
        <v/>
      </c>
      <c r="ES12" s="458">
        <f>'_Engine_R50'!L178/12</f>
        <v/>
      </c>
      <c r="ET12" s="458">
        <f>'_Engine_R50'!L179/12</f>
        <v/>
      </c>
      <c r="EU12" s="458">
        <f>'_Engine_R50'!L180/12</f>
        <v/>
      </c>
      <c r="EV12" s="458">
        <f>'_Engine_R50'!L181/12</f>
        <v/>
      </c>
      <c r="EW12" s="458">
        <f>'_Engine_R50'!L182/12</f>
        <v/>
      </c>
      <c r="EX12" s="458">
        <f>'_Engine_R50'!L183/12</f>
        <v/>
      </c>
      <c r="EY12" s="458">
        <f>'_Engine_R50'!L184/12</f>
        <v/>
      </c>
      <c r="EZ12" s="458">
        <f>'_Engine_R50'!L185/12</f>
        <v/>
      </c>
      <c r="FA12" s="458">
        <f>'_Engine_R50'!L186/12</f>
        <v/>
      </c>
      <c r="FB12" s="459">
        <f>'_Engine_R50'!L187/12</f>
        <v/>
      </c>
      <c r="FC12" s="459">
        <f>'_Engine_R50'!L188/12</f>
        <v/>
      </c>
      <c r="FD12" s="459">
        <f>'_Engine_R50'!L189/12</f>
        <v/>
      </c>
      <c r="FE12" s="459">
        <f>'_Engine_R50'!L190/12</f>
        <v/>
      </c>
      <c r="FF12" s="459">
        <f>'_Engine_R50'!L191/12</f>
        <v/>
      </c>
      <c r="FG12" s="459">
        <f>'_Engine_R50'!L192/12</f>
        <v/>
      </c>
      <c r="FH12" s="459">
        <f>'_Engine_R50'!L193/12</f>
        <v/>
      </c>
      <c r="FI12" s="459">
        <f>'_Engine_R50'!L194/12</f>
        <v/>
      </c>
      <c r="FJ12" s="459">
        <f>'_Engine_R50'!L195/12</f>
        <v/>
      </c>
      <c r="FK12" s="459">
        <f>'_Engine_R50'!L196/12</f>
        <v/>
      </c>
      <c r="FL12" s="459">
        <f>'_Engine_R50'!L197/12</f>
        <v/>
      </c>
      <c r="FM12" s="459">
        <f>'_Engine_R50'!L198/12</f>
        <v/>
      </c>
      <c r="FN12" s="458">
        <f>'_Engine_R50'!L199/12</f>
        <v/>
      </c>
      <c r="FO12" s="458">
        <f>'_Engine_R50'!L200/12</f>
        <v/>
      </c>
      <c r="FP12" s="458">
        <f>'_Engine_R50'!L201/12</f>
        <v/>
      </c>
      <c r="FQ12" s="458">
        <f>'_Engine_R50'!L202/12</f>
        <v/>
      </c>
      <c r="FR12" s="458">
        <f>'_Engine_R50'!L203/12</f>
        <v/>
      </c>
      <c r="FS12" s="458">
        <f>'_Engine_R50'!L204/12</f>
        <v/>
      </c>
      <c r="FT12" s="458">
        <f>'_Engine_R50'!L205/12</f>
        <v/>
      </c>
      <c r="FU12" s="458">
        <f>'_Engine_R50'!L206/12</f>
        <v/>
      </c>
      <c r="FV12" s="458">
        <f>'_Engine_R50'!L207/12</f>
        <v/>
      </c>
      <c r="FW12" s="458">
        <f>'_Engine_R50'!L208/12</f>
        <v/>
      </c>
      <c r="FX12" s="458">
        <f>'_Engine_R50'!L209/12</f>
        <v/>
      </c>
      <c r="FY12" s="458">
        <f>'_Engine_R50'!L210/12</f>
        <v/>
      </c>
      <c r="FZ12" s="306" t="n"/>
    </row>
    <row r="13" ht="15" customHeight="1" s="307">
      <c r="A13" s="321" t="inlineStr">
        <is>
          <t xml:space="preserve">    Deal #8</t>
        </is>
      </c>
      <c r="B13" s="458">
        <f>'_Engine_R50'!P31</f>
        <v/>
      </c>
      <c r="C13" s="458">
        <f>'_Engine_R50'!P32</f>
        <v/>
      </c>
      <c r="D13" s="458">
        <f>'_Engine_R50'!P33</f>
        <v/>
      </c>
      <c r="E13" s="458">
        <f>'_Engine_R50'!P34</f>
        <v/>
      </c>
      <c r="F13" s="458">
        <f>'_Engine_R50'!P35</f>
        <v/>
      </c>
      <c r="G13" s="458">
        <f>'_Engine_R50'!P36</f>
        <v/>
      </c>
      <c r="H13" s="458">
        <f>'_Engine_R50'!P37</f>
        <v/>
      </c>
      <c r="I13" s="458">
        <f>'_Engine_R50'!P38</f>
        <v/>
      </c>
      <c r="J13" s="458">
        <f>'_Engine_R50'!P39</f>
        <v/>
      </c>
      <c r="K13" s="458">
        <f>'_Engine_R50'!P40</f>
        <v/>
      </c>
      <c r="L13" s="458">
        <f>'_Engine_R50'!P41</f>
        <v/>
      </c>
      <c r="M13" s="458">
        <f>'_Engine_R50'!P42</f>
        <v/>
      </c>
      <c r="N13" s="459">
        <f>'_Engine_R50'!P43</f>
        <v/>
      </c>
      <c r="O13" s="459">
        <f>'_Engine_R50'!P44</f>
        <v/>
      </c>
      <c r="P13" s="459">
        <f>'_Engine_R50'!P45</f>
        <v/>
      </c>
      <c r="Q13" s="459">
        <f>'_Engine_R50'!P46</f>
        <v/>
      </c>
      <c r="R13" s="459">
        <f>'_Engine_R50'!P47</f>
        <v/>
      </c>
      <c r="S13" s="459">
        <f>'_Engine_R50'!P48</f>
        <v/>
      </c>
      <c r="T13" s="459">
        <f>'_Engine_R50'!P49</f>
        <v/>
      </c>
      <c r="U13" s="459">
        <f>'_Engine_R50'!P50</f>
        <v/>
      </c>
      <c r="V13" s="459">
        <f>'_Engine_R50'!P51</f>
        <v/>
      </c>
      <c r="W13" s="459">
        <f>'_Engine_R50'!P52</f>
        <v/>
      </c>
      <c r="X13" s="459">
        <f>'_Engine_R50'!P53</f>
        <v/>
      </c>
      <c r="Y13" s="459">
        <f>'_Engine_R50'!P54</f>
        <v/>
      </c>
      <c r="Z13" s="458">
        <f>'_Engine_R50'!P55</f>
        <v/>
      </c>
      <c r="AA13" s="458">
        <f>'_Engine_R50'!P56</f>
        <v/>
      </c>
      <c r="AB13" s="458">
        <f>'_Engine_R50'!P57</f>
        <v/>
      </c>
      <c r="AC13" s="458">
        <f>'_Engine_R50'!P58</f>
        <v/>
      </c>
      <c r="AD13" s="458">
        <f>'_Engine_R50'!P59</f>
        <v/>
      </c>
      <c r="AE13" s="458">
        <f>'_Engine_R50'!P60</f>
        <v/>
      </c>
      <c r="AF13" s="458">
        <f>'_Engine_R50'!P61</f>
        <v/>
      </c>
      <c r="AG13" s="458">
        <f>'_Engine_R50'!P62</f>
        <v/>
      </c>
      <c r="AH13" s="458">
        <f>'_Engine_R50'!P63</f>
        <v/>
      </c>
      <c r="AI13" s="458">
        <f>'_Engine_R50'!P64</f>
        <v/>
      </c>
      <c r="AJ13" s="458">
        <f>'_Engine_R50'!P65</f>
        <v/>
      </c>
      <c r="AK13" s="458">
        <f>'_Engine_R50'!P66</f>
        <v/>
      </c>
      <c r="AL13" s="459">
        <f>'_Engine_R50'!P67</f>
        <v/>
      </c>
      <c r="AM13" s="459">
        <f>'_Engine_R50'!P68</f>
        <v/>
      </c>
      <c r="AN13" s="459">
        <f>'_Engine_R50'!P69</f>
        <v/>
      </c>
      <c r="AO13" s="459">
        <f>'_Engine_R50'!P70</f>
        <v/>
      </c>
      <c r="AP13" s="459">
        <f>'_Engine_R50'!P71</f>
        <v/>
      </c>
      <c r="AQ13" s="459">
        <f>'_Engine_R50'!P72</f>
        <v/>
      </c>
      <c r="AR13" s="459">
        <f>'_Engine_R50'!P73</f>
        <v/>
      </c>
      <c r="AS13" s="459">
        <f>'_Engine_R50'!P74</f>
        <v/>
      </c>
      <c r="AT13" s="459">
        <f>'_Engine_R50'!P75</f>
        <v/>
      </c>
      <c r="AU13" s="459">
        <f>'_Engine_R50'!P76</f>
        <v/>
      </c>
      <c r="AV13" s="459">
        <f>'_Engine_R50'!P77</f>
        <v/>
      </c>
      <c r="AW13" s="459">
        <f>'_Engine_R50'!P78</f>
        <v/>
      </c>
      <c r="AX13" s="458">
        <f>'_Engine_R50'!P79</f>
        <v/>
      </c>
      <c r="AY13" s="458">
        <f>'_Engine_R50'!P80</f>
        <v/>
      </c>
      <c r="AZ13" s="458">
        <f>'_Engine_R50'!P81</f>
        <v/>
      </c>
      <c r="BA13" s="458">
        <f>'_Engine_R50'!P82</f>
        <v/>
      </c>
      <c r="BB13" s="458">
        <f>'_Engine_R50'!P83</f>
        <v/>
      </c>
      <c r="BC13" s="458">
        <f>'_Engine_R50'!P84</f>
        <v/>
      </c>
      <c r="BD13" s="458">
        <f>'_Engine_R50'!P85</f>
        <v/>
      </c>
      <c r="BE13" s="458">
        <f>'_Engine_R50'!P86</f>
        <v/>
      </c>
      <c r="BF13" s="458">
        <f>'_Engine_R50'!P87</f>
        <v/>
      </c>
      <c r="BG13" s="458">
        <f>'_Engine_R50'!P88</f>
        <v/>
      </c>
      <c r="BH13" s="458">
        <f>'_Engine_R50'!P89</f>
        <v/>
      </c>
      <c r="BI13" s="458">
        <f>'_Engine_R50'!P90</f>
        <v/>
      </c>
      <c r="BJ13" s="459">
        <f>'_Engine_R50'!P91</f>
        <v/>
      </c>
      <c r="BK13" s="459">
        <f>'_Engine_R50'!P92</f>
        <v/>
      </c>
      <c r="BL13" s="459">
        <f>'_Engine_R50'!P93</f>
        <v/>
      </c>
      <c r="BM13" s="459">
        <f>'_Engine_R50'!P94</f>
        <v/>
      </c>
      <c r="BN13" s="459">
        <f>'_Engine_R50'!P95</f>
        <v/>
      </c>
      <c r="BO13" s="459">
        <f>'_Engine_R50'!P96</f>
        <v/>
      </c>
      <c r="BP13" s="459">
        <f>'_Engine_R50'!P97</f>
        <v/>
      </c>
      <c r="BQ13" s="459">
        <f>'_Engine_R50'!P98</f>
        <v/>
      </c>
      <c r="BR13" s="459">
        <f>'_Engine_R50'!P99</f>
        <v/>
      </c>
      <c r="BS13" s="459">
        <f>'_Engine_R50'!P100</f>
        <v/>
      </c>
      <c r="BT13" s="459">
        <f>'_Engine_R50'!P101</f>
        <v/>
      </c>
      <c r="BU13" s="459">
        <f>'_Engine_R50'!P102</f>
        <v/>
      </c>
      <c r="BV13" s="458">
        <f>'_Engine_R50'!P103</f>
        <v/>
      </c>
      <c r="BW13" s="458">
        <f>'_Engine_R50'!P104</f>
        <v/>
      </c>
      <c r="BX13" s="458">
        <f>'_Engine_R50'!P105</f>
        <v/>
      </c>
      <c r="BY13" s="458">
        <f>'_Engine_R50'!P106</f>
        <v/>
      </c>
      <c r="BZ13" s="458">
        <f>'_Engine_R50'!P107</f>
        <v/>
      </c>
      <c r="CA13" s="458">
        <f>'_Engine_R50'!P108</f>
        <v/>
      </c>
      <c r="CB13" s="458">
        <f>'_Engine_R50'!P109</f>
        <v/>
      </c>
      <c r="CC13" s="458">
        <f>'_Engine_R50'!P110</f>
        <v/>
      </c>
      <c r="CD13" s="458">
        <f>'_Engine_R50'!P111</f>
        <v/>
      </c>
      <c r="CE13" s="458">
        <f>'_Engine_R50'!P112</f>
        <v/>
      </c>
      <c r="CF13" s="458">
        <f>'_Engine_R50'!P113</f>
        <v/>
      </c>
      <c r="CG13" s="458">
        <f>'_Engine_R50'!P114</f>
        <v/>
      </c>
      <c r="CH13" s="459">
        <f>'_Engine_R50'!P115</f>
        <v/>
      </c>
      <c r="CI13" s="459">
        <f>'_Engine_R50'!P116</f>
        <v/>
      </c>
      <c r="CJ13" s="459">
        <f>'_Engine_R50'!P117</f>
        <v/>
      </c>
      <c r="CK13" s="459">
        <f>'_Engine_R50'!P118</f>
        <v/>
      </c>
      <c r="CL13" s="459">
        <f>'_Engine_R50'!P119</f>
        <v/>
      </c>
      <c r="CM13" s="459">
        <f>'_Engine_R50'!P120</f>
        <v/>
      </c>
      <c r="CN13" s="459">
        <f>'_Engine_R50'!P121</f>
        <v/>
      </c>
      <c r="CO13" s="459">
        <f>'_Engine_R50'!P122</f>
        <v/>
      </c>
      <c r="CP13" s="459">
        <f>'_Engine_R50'!P123</f>
        <v/>
      </c>
      <c r="CQ13" s="459">
        <f>'_Engine_R50'!P124</f>
        <v/>
      </c>
      <c r="CR13" s="459">
        <f>'_Engine_R50'!P125</f>
        <v/>
      </c>
      <c r="CS13" s="459">
        <f>'_Engine_R50'!P126</f>
        <v/>
      </c>
      <c r="CT13" s="458">
        <f>'_Engine_R50'!P127</f>
        <v/>
      </c>
      <c r="CU13" s="458">
        <f>'_Engine_R50'!P128</f>
        <v/>
      </c>
      <c r="CV13" s="458">
        <f>'_Engine_R50'!P129</f>
        <v/>
      </c>
      <c r="CW13" s="458">
        <f>'_Engine_R50'!P130</f>
        <v/>
      </c>
      <c r="CX13" s="458">
        <f>'_Engine_R50'!P131</f>
        <v/>
      </c>
      <c r="CY13" s="458">
        <f>'_Engine_R50'!P132</f>
        <v/>
      </c>
      <c r="CZ13" s="458">
        <f>'_Engine_R50'!P133</f>
        <v/>
      </c>
      <c r="DA13" s="458">
        <f>'_Engine_R50'!P134</f>
        <v/>
      </c>
      <c r="DB13" s="458">
        <f>'_Engine_R50'!P135</f>
        <v/>
      </c>
      <c r="DC13" s="458">
        <f>'_Engine_R50'!P136</f>
        <v/>
      </c>
      <c r="DD13" s="458">
        <f>'_Engine_R50'!P137</f>
        <v/>
      </c>
      <c r="DE13" s="458">
        <f>'_Engine_R50'!P138</f>
        <v/>
      </c>
      <c r="DF13" s="459">
        <f>'_Engine_R50'!P139</f>
        <v/>
      </c>
      <c r="DG13" s="459">
        <f>'_Engine_R50'!P140</f>
        <v/>
      </c>
      <c r="DH13" s="459">
        <f>'_Engine_R50'!P141</f>
        <v/>
      </c>
      <c r="DI13" s="459">
        <f>'_Engine_R50'!P142</f>
        <v/>
      </c>
      <c r="DJ13" s="459">
        <f>'_Engine_R50'!P143</f>
        <v/>
      </c>
      <c r="DK13" s="459">
        <f>'_Engine_R50'!P144</f>
        <v/>
      </c>
      <c r="DL13" s="459">
        <f>'_Engine_R50'!P145</f>
        <v/>
      </c>
      <c r="DM13" s="459">
        <f>'_Engine_R50'!P146</f>
        <v/>
      </c>
      <c r="DN13" s="459">
        <f>'_Engine_R50'!P147</f>
        <v/>
      </c>
      <c r="DO13" s="459">
        <f>'_Engine_R50'!P148</f>
        <v/>
      </c>
      <c r="DP13" s="459">
        <f>'_Engine_R50'!P149</f>
        <v/>
      </c>
      <c r="DQ13" s="459">
        <f>'_Engine_R50'!P150</f>
        <v/>
      </c>
      <c r="DR13" s="458">
        <f>'_Engine_R50'!P151</f>
        <v/>
      </c>
      <c r="DS13" s="458">
        <f>'_Engine_R50'!P152</f>
        <v/>
      </c>
      <c r="DT13" s="458">
        <f>'_Engine_R50'!P153</f>
        <v/>
      </c>
      <c r="DU13" s="458">
        <f>'_Engine_R50'!P154</f>
        <v/>
      </c>
      <c r="DV13" s="458">
        <f>'_Engine_R50'!P155</f>
        <v/>
      </c>
      <c r="DW13" s="458">
        <f>'_Engine_R50'!P156</f>
        <v/>
      </c>
      <c r="DX13" s="458">
        <f>'_Engine_R50'!P157</f>
        <v/>
      </c>
      <c r="DY13" s="458">
        <f>'_Engine_R50'!P158</f>
        <v/>
      </c>
      <c r="DZ13" s="458">
        <f>'_Engine_R50'!P159</f>
        <v/>
      </c>
      <c r="EA13" s="458">
        <f>'_Engine_R50'!P160</f>
        <v/>
      </c>
      <c r="EB13" s="458">
        <f>'_Engine_R50'!P161</f>
        <v/>
      </c>
      <c r="EC13" s="458">
        <f>'_Engine_R50'!P162</f>
        <v/>
      </c>
      <c r="ED13" s="459">
        <f>'_Engine_R50'!P163</f>
        <v/>
      </c>
      <c r="EE13" s="459">
        <f>'_Engine_R50'!P164</f>
        <v/>
      </c>
      <c r="EF13" s="459">
        <f>'_Engine_R50'!P165</f>
        <v/>
      </c>
      <c r="EG13" s="459">
        <f>'_Engine_R50'!P166</f>
        <v/>
      </c>
      <c r="EH13" s="459">
        <f>'_Engine_R50'!P167</f>
        <v/>
      </c>
      <c r="EI13" s="459">
        <f>'_Engine_R50'!P168</f>
        <v/>
      </c>
      <c r="EJ13" s="459">
        <f>'_Engine_R50'!P169</f>
        <v/>
      </c>
      <c r="EK13" s="459">
        <f>'_Engine_R50'!P170</f>
        <v/>
      </c>
      <c r="EL13" s="459">
        <f>'_Engine_R50'!P171</f>
        <v/>
      </c>
      <c r="EM13" s="459">
        <f>'_Engine_R50'!P172</f>
        <v/>
      </c>
      <c r="EN13" s="459">
        <f>'_Engine_R50'!P173</f>
        <v/>
      </c>
      <c r="EO13" s="459">
        <f>'_Engine_R50'!P174</f>
        <v/>
      </c>
      <c r="EP13" s="458">
        <f>'_Engine_R50'!P175</f>
        <v/>
      </c>
      <c r="EQ13" s="458">
        <f>'_Engine_R50'!P176</f>
        <v/>
      </c>
      <c r="ER13" s="458">
        <f>'_Engine_R50'!P177</f>
        <v/>
      </c>
      <c r="ES13" s="458">
        <f>'_Engine_R50'!P178</f>
        <v/>
      </c>
      <c r="ET13" s="458">
        <f>'_Engine_R50'!P179</f>
        <v/>
      </c>
      <c r="EU13" s="458">
        <f>'_Engine_R50'!P180</f>
        <v/>
      </c>
      <c r="EV13" s="458">
        <f>'_Engine_R50'!P181</f>
        <v/>
      </c>
      <c r="EW13" s="458">
        <f>'_Engine_R50'!P182</f>
        <v/>
      </c>
      <c r="EX13" s="458">
        <f>'_Engine_R50'!P183</f>
        <v/>
      </c>
      <c r="EY13" s="458">
        <f>'_Engine_R50'!P184</f>
        <v/>
      </c>
      <c r="EZ13" s="458">
        <f>'_Engine_R50'!P185</f>
        <v/>
      </c>
      <c r="FA13" s="458">
        <f>'_Engine_R50'!P186</f>
        <v/>
      </c>
      <c r="FB13" s="459">
        <f>'_Engine_R50'!P187</f>
        <v/>
      </c>
      <c r="FC13" s="459">
        <f>'_Engine_R50'!P188</f>
        <v/>
      </c>
      <c r="FD13" s="459">
        <f>'_Engine_R50'!P189</f>
        <v/>
      </c>
      <c r="FE13" s="459">
        <f>'_Engine_R50'!P190</f>
        <v/>
      </c>
      <c r="FF13" s="459">
        <f>'_Engine_R50'!P191</f>
        <v/>
      </c>
      <c r="FG13" s="459">
        <f>'_Engine_R50'!P192</f>
        <v/>
      </c>
      <c r="FH13" s="459">
        <f>'_Engine_R50'!P193</f>
        <v/>
      </c>
      <c r="FI13" s="459">
        <f>'_Engine_R50'!P194</f>
        <v/>
      </c>
      <c r="FJ13" s="459">
        <f>'_Engine_R50'!P195</f>
        <v/>
      </c>
      <c r="FK13" s="459">
        <f>'_Engine_R50'!P196</f>
        <v/>
      </c>
      <c r="FL13" s="459">
        <f>'_Engine_R50'!P197</f>
        <v/>
      </c>
      <c r="FM13" s="459">
        <f>'_Engine_R50'!P198</f>
        <v/>
      </c>
      <c r="FN13" s="458">
        <f>'_Engine_R50'!P199</f>
        <v/>
      </c>
      <c r="FO13" s="458">
        <f>'_Engine_R50'!P200</f>
        <v/>
      </c>
      <c r="FP13" s="458">
        <f>'_Engine_R50'!P201</f>
        <v/>
      </c>
      <c r="FQ13" s="458">
        <f>'_Engine_R50'!P202</f>
        <v/>
      </c>
      <c r="FR13" s="458">
        <f>'_Engine_R50'!P203</f>
        <v/>
      </c>
      <c r="FS13" s="458">
        <f>'_Engine_R50'!P204</f>
        <v/>
      </c>
      <c r="FT13" s="458">
        <f>'_Engine_R50'!P205</f>
        <v/>
      </c>
      <c r="FU13" s="458">
        <f>'_Engine_R50'!P206</f>
        <v/>
      </c>
      <c r="FV13" s="458">
        <f>'_Engine_R50'!P207</f>
        <v/>
      </c>
      <c r="FW13" s="458">
        <f>'_Engine_R50'!P208</f>
        <v/>
      </c>
      <c r="FX13" s="458">
        <f>'_Engine_R50'!P209</f>
        <v/>
      </c>
      <c r="FY13" s="458">
        <f>'_Engine_R50'!P210</f>
        <v/>
      </c>
      <c r="FZ13" s="306" t="n"/>
    </row>
    <row r="14" ht="15" customHeight="1" s="307">
      <c r="A14" s="321" t="n"/>
      <c r="B14" s="459">
        <f>'_Engine_R50'!Q31</f>
        <v/>
      </c>
      <c r="C14" s="459">
        <f>'_Engine_R50'!Q32</f>
        <v/>
      </c>
      <c r="D14" s="459">
        <f>'_Engine_R50'!Q33</f>
        <v/>
      </c>
      <c r="E14" s="459">
        <f>'_Engine_R50'!Q34</f>
        <v/>
      </c>
      <c r="F14" s="459">
        <f>'_Engine_R50'!Q35</f>
        <v/>
      </c>
      <c r="G14" s="459">
        <f>'_Engine_R50'!Q36</f>
        <v/>
      </c>
      <c r="H14" s="459">
        <f>'_Engine_R50'!Q37</f>
        <v/>
      </c>
      <c r="I14" s="459">
        <f>'_Engine_R50'!Q38</f>
        <v/>
      </c>
      <c r="J14" s="459">
        <f>'_Engine_R50'!Q39</f>
        <v/>
      </c>
      <c r="K14" s="459">
        <f>'_Engine_R50'!Q40</f>
        <v/>
      </c>
      <c r="L14" s="459">
        <f>'_Engine_R50'!Q41</f>
        <v/>
      </c>
      <c r="M14" s="459">
        <f>'_Engine_R50'!Q42</f>
        <v/>
      </c>
      <c r="N14" s="459">
        <f>'_Engine_R50'!Q43</f>
        <v/>
      </c>
      <c r="O14" s="459">
        <f>'_Engine_R50'!Q44</f>
        <v/>
      </c>
      <c r="P14" s="459">
        <f>'_Engine_R50'!Q45</f>
        <v/>
      </c>
      <c r="Q14" s="459">
        <f>'_Engine_R50'!Q46</f>
        <v/>
      </c>
      <c r="R14" s="459">
        <f>'_Engine_R50'!Q47</f>
        <v/>
      </c>
      <c r="S14" s="459">
        <f>'_Engine_R50'!Q48</f>
        <v/>
      </c>
      <c r="T14" s="459">
        <f>'_Engine_R50'!Q49</f>
        <v/>
      </c>
      <c r="U14" s="459">
        <f>'_Engine_R50'!Q50</f>
        <v/>
      </c>
      <c r="V14" s="459">
        <f>'_Engine_R50'!Q51</f>
        <v/>
      </c>
      <c r="W14" s="459">
        <f>'_Engine_R50'!Q52</f>
        <v/>
      </c>
      <c r="X14" s="459">
        <f>'_Engine_R50'!Q53</f>
        <v/>
      </c>
      <c r="Y14" s="459">
        <f>'_Engine_R50'!Q54</f>
        <v/>
      </c>
      <c r="Z14" s="459">
        <f>'_Engine_R50'!Q55</f>
        <v/>
      </c>
      <c r="AA14" s="459">
        <f>'_Engine_R50'!Q56</f>
        <v/>
      </c>
      <c r="AB14" s="459">
        <f>'_Engine_R50'!Q57</f>
        <v/>
      </c>
      <c r="AC14" s="459">
        <f>'_Engine_R50'!Q58</f>
        <v/>
      </c>
      <c r="AD14" s="459">
        <f>'_Engine_R50'!Q59</f>
        <v/>
      </c>
      <c r="AE14" s="459">
        <f>'_Engine_R50'!Q60</f>
        <v/>
      </c>
      <c r="AF14" s="459">
        <f>'_Engine_R50'!Q61</f>
        <v/>
      </c>
      <c r="AG14" s="459">
        <f>'_Engine_R50'!Q62</f>
        <v/>
      </c>
      <c r="AH14" s="459">
        <f>'_Engine_R50'!Q63</f>
        <v/>
      </c>
      <c r="AI14" s="459">
        <f>'_Engine_R50'!Q64</f>
        <v/>
      </c>
      <c r="AJ14" s="459">
        <f>'_Engine_R50'!Q65</f>
        <v/>
      </c>
      <c r="AK14" s="459">
        <f>'_Engine_R50'!Q66</f>
        <v/>
      </c>
      <c r="AL14" s="459">
        <f>'_Engine_R50'!Q67</f>
        <v/>
      </c>
      <c r="AM14" s="459">
        <f>'_Engine_R50'!Q68</f>
        <v/>
      </c>
      <c r="AN14" s="459">
        <f>'_Engine_R50'!Q69</f>
        <v/>
      </c>
      <c r="AO14" s="459">
        <f>'_Engine_R50'!Q70</f>
        <v/>
      </c>
      <c r="AP14" s="459">
        <f>'_Engine_R50'!Q71</f>
        <v/>
      </c>
      <c r="AQ14" s="459">
        <f>'_Engine_R50'!Q72</f>
        <v/>
      </c>
      <c r="AR14" s="459">
        <f>'_Engine_R50'!Q73</f>
        <v/>
      </c>
      <c r="AS14" s="459">
        <f>'_Engine_R50'!Q74</f>
        <v/>
      </c>
      <c r="AT14" s="459">
        <f>'_Engine_R50'!Q75</f>
        <v/>
      </c>
      <c r="AU14" s="459">
        <f>'_Engine_R50'!Q76</f>
        <v/>
      </c>
      <c r="AV14" s="459">
        <f>'_Engine_R50'!Q77</f>
        <v/>
      </c>
      <c r="AW14" s="459">
        <f>'_Engine_R50'!Q78</f>
        <v/>
      </c>
      <c r="AX14" s="459">
        <f>'_Engine_R50'!Q79</f>
        <v/>
      </c>
      <c r="AY14" s="459">
        <f>'_Engine_R50'!Q80</f>
        <v/>
      </c>
      <c r="AZ14" s="459">
        <f>'_Engine_R50'!Q81</f>
        <v/>
      </c>
      <c r="BA14" s="459">
        <f>'_Engine_R50'!Q82</f>
        <v/>
      </c>
      <c r="BB14" s="459">
        <f>'_Engine_R50'!Q83</f>
        <v/>
      </c>
      <c r="BC14" s="459">
        <f>'_Engine_R50'!Q84</f>
        <v/>
      </c>
      <c r="BD14" s="459">
        <f>'_Engine_R50'!Q85</f>
        <v/>
      </c>
      <c r="BE14" s="459">
        <f>'_Engine_R50'!Q86</f>
        <v/>
      </c>
      <c r="BF14" s="459">
        <f>'_Engine_R50'!Q87</f>
        <v/>
      </c>
      <c r="BG14" s="459">
        <f>'_Engine_R50'!Q88</f>
        <v/>
      </c>
      <c r="BH14" s="459">
        <f>'_Engine_R50'!Q89</f>
        <v/>
      </c>
      <c r="BI14" s="459">
        <f>'_Engine_R50'!Q90</f>
        <v/>
      </c>
      <c r="BJ14" s="459">
        <f>'_Engine_R50'!Q91</f>
        <v/>
      </c>
      <c r="BK14" s="459">
        <f>'_Engine_R50'!Q92</f>
        <v/>
      </c>
      <c r="BL14" s="459">
        <f>'_Engine_R50'!Q93</f>
        <v/>
      </c>
      <c r="BM14" s="459">
        <f>'_Engine_R50'!Q94</f>
        <v/>
      </c>
      <c r="BN14" s="459">
        <f>'_Engine_R50'!Q95</f>
        <v/>
      </c>
      <c r="BO14" s="459">
        <f>'_Engine_R50'!Q96</f>
        <v/>
      </c>
      <c r="BP14" s="459">
        <f>'_Engine_R50'!Q97</f>
        <v/>
      </c>
      <c r="BQ14" s="459">
        <f>'_Engine_R50'!Q98</f>
        <v/>
      </c>
      <c r="BR14" s="459">
        <f>'_Engine_R50'!Q99</f>
        <v/>
      </c>
      <c r="BS14" s="459">
        <f>'_Engine_R50'!Q100</f>
        <v/>
      </c>
      <c r="BT14" s="459">
        <f>'_Engine_R50'!Q101</f>
        <v/>
      </c>
      <c r="BU14" s="459">
        <f>'_Engine_R50'!Q102</f>
        <v/>
      </c>
      <c r="BV14" s="459">
        <f>'_Engine_R50'!Q103</f>
        <v/>
      </c>
      <c r="BW14" s="459">
        <f>'_Engine_R50'!Q104</f>
        <v/>
      </c>
      <c r="BX14" s="459">
        <f>'_Engine_R50'!Q105</f>
        <v/>
      </c>
      <c r="BY14" s="459">
        <f>'_Engine_R50'!Q106</f>
        <v/>
      </c>
      <c r="BZ14" s="459">
        <f>'_Engine_R50'!Q107</f>
        <v/>
      </c>
      <c r="CA14" s="459">
        <f>'_Engine_R50'!Q108</f>
        <v/>
      </c>
      <c r="CB14" s="459">
        <f>'_Engine_R50'!Q109</f>
        <v/>
      </c>
      <c r="CC14" s="459">
        <f>'_Engine_R50'!Q110</f>
        <v/>
      </c>
      <c r="CD14" s="459">
        <f>'_Engine_R50'!Q111</f>
        <v/>
      </c>
      <c r="CE14" s="459">
        <f>'_Engine_R50'!Q112</f>
        <v/>
      </c>
      <c r="CF14" s="459">
        <f>'_Engine_R50'!Q113</f>
        <v/>
      </c>
      <c r="CG14" s="459">
        <f>'_Engine_R50'!Q114</f>
        <v/>
      </c>
      <c r="CH14" s="459">
        <f>'_Engine_R50'!Q115</f>
        <v/>
      </c>
      <c r="CI14" s="459">
        <f>'_Engine_R50'!Q116</f>
        <v/>
      </c>
      <c r="CJ14" s="459">
        <f>'_Engine_R50'!Q117</f>
        <v/>
      </c>
      <c r="CK14" s="459">
        <f>'_Engine_R50'!Q118</f>
        <v/>
      </c>
      <c r="CL14" s="459">
        <f>'_Engine_R50'!Q119</f>
        <v/>
      </c>
      <c r="CM14" s="459">
        <f>'_Engine_R50'!Q120</f>
        <v/>
      </c>
      <c r="CN14" s="459">
        <f>'_Engine_R50'!Q121</f>
        <v/>
      </c>
      <c r="CO14" s="459">
        <f>'_Engine_R50'!Q122</f>
        <v/>
      </c>
      <c r="CP14" s="459">
        <f>'_Engine_R50'!Q123</f>
        <v/>
      </c>
      <c r="CQ14" s="459">
        <f>'_Engine_R50'!Q124</f>
        <v/>
      </c>
      <c r="CR14" s="459">
        <f>'_Engine_R50'!Q125</f>
        <v/>
      </c>
      <c r="CS14" s="459">
        <f>'_Engine_R50'!Q126</f>
        <v/>
      </c>
      <c r="CT14" s="459">
        <f>'_Engine_R50'!Q127</f>
        <v/>
      </c>
      <c r="CU14" s="459">
        <f>'_Engine_R50'!Q128</f>
        <v/>
      </c>
      <c r="CV14" s="459">
        <f>'_Engine_R50'!Q129</f>
        <v/>
      </c>
      <c r="CW14" s="459">
        <f>'_Engine_R50'!Q130</f>
        <v/>
      </c>
      <c r="CX14" s="459">
        <f>'_Engine_R50'!Q131</f>
        <v/>
      </c>
      <c r="CY14" s="459">
        <f>'_Engine_R50'!Q132</f>
        <v/>
      </c>
      <c r="CZ14" s="459">
        <f>'_Engine_R50'!Q133</f>
        <v/>
      </c>
      <c r="DA14" s="459">
        <f>'_Engine_R50'!Q134</f>
        <v/>
      </c>
      <c r="DB14" s="459">
        <f>'_Engine_R50'!Q135</f>
        <v/>
      </c>
      <c r="DC14" s="459">
        <f>'_Engine_R50'!Q136</f>
        <v/>
      </c>
      <c r="DD14" s="459">
        <f>'_Engine_R50'!Q137</f>
        <v/>
      </c>
      <c r="DE14" s="459">
        <f>'_Engine_R50'!Q138</f>
        <v/>
      </c>
      <c r="DF14" s="459">
        <f>'_Engine_R50'!Q139</f>
        <v/>
      </c>
      <c r="DG14" s="459">
        <f>'_Engine_R50'!Q140</f>
        <v/>
      </c>
      <c r="DH14" s="459">
        <f>'_Engine_R50'!Q141</f>
        <v/>
      </c>
      <c r="DI14" s="459">
        <f>'_Engine_R50'!Q142</f>
        <v/>
      </c>
      <c r="DJ14" s="459">
        <f>'_Engine_R50'!Q143</f>
        <v/>
      </c>
      <c r="DK14" s="459">
        <f>'_Engine_R50'!Q144</f>
        <v/>
      </c>
      <c r="DL14" s="459">
        <f>'_Engine_R50'!Q145</f>
        <v/>
      </c>
      <c r="DM14" s="459">
        <f>'_Engine_R50'!Q146</f>
        <v/>
      </c>
      <c r="DN14" s="459">
        <f>'_Engine_R50'!Q147</f>
        <v/>
      </c>
      <c r="DO14" s="459">
        <f>'_Engine_R50'!Q148</f>
        <v/>
      </c>
      <c r="DP14" s="459">
        <f>'_Engine_R50'!Q149</f>
        <v/>
      </c>
      <c r="DQ14" s="459">
        <f>'_Engine_R50'!Q150</f>
        <v/>
      </c>
      <c r="DR14" s="459">
        <f>'_Engine_R50'!Q151</f>
        <v/>
      </c>
      <c r="DS14" s="459">
        <f>'_Engine_R50'!Q152</f>
        <v/>
      </c>
      <c r="DT14" s="459">
        <f>'_Engine_R50'!Q153</f>
        <v/>
      </c>
      <c r="DU14" s="459">
        <f>'_Engine_R50'!Q154</f>
        <v/>
      </c>
      <c r="DV14" s="459">
        <f>'_Engine_R50'!Q155</f>
        <v/>
      </c>
      <c r="DW14" s="459">
        <f>'_Engine_R50'!Q156</f>
        <v/>
      </c>
      <c r="DX14" s="459">
        <f>'_Engine_R50'!Q157</f>
        <v/>
      </c>
      <c r="DY14" s="459">
        <f>'_Engine_R50'!Q158</f>
        <v/>
      </c>
      <c r="DZ14" s="459">
        <f>'_Engine_R50'!Q159</f>
        <v/>
      </c>
      <c r="EA14" s="459">
        <f>'_Engine_R50'!Q160</f>
        <v/>
      </c>
      <c r="EB14" s="459">
        <f>'_Engine_R50'!Q161</f>
        <v/>
      </c>
      <c r="EC14" s="459">
        <f>'_Engine_R50'!Q162</f>
        <v/>
      </c>
      <c r="ED14" s="459">
        <f>'_Engine_R50'!Q163</f>
        <v/>
      </c>
      <c r="EE14" s="459">
        <f>'_Engine_R50'!Q164</f>
        <v/>
      </c>
      <c r="EF14" s="459">
        <f>'_Engine_R50'!Q165</f>
        <v/>
      </c>
      <c r="EG14" s="459">
        <f>'_Engine_R50'!Q166</f>
        <v/>
      </c>
      <c r="EH14" s="459">
        <f>'_Engine_R50'!Q167</f>
        <v/>
      </c>
      <c r="EI14" s="459">
        <f>'_Engine_R50'!Q168</f>
        <v/>
      </c>
      <c r="EJ14" s="459">
        <f>'_Engine_R50'!Q169</f>
        <v/>
      </c>
      <c r="EK14" s="459">
        <f>'_Engine_R50'!Q170</f>
        <v/>
      </c>
      <c r="EL14" s="459">
        <f>'_Engine_R50'!Q171</f>
        <v/>
      </c>
      <c r="EM14" s="459">
        <f>'_Engine_R50'!Q172</f>
        <v/>
      </c>
      <c r="EN14" s="459">
        <f>'_Engine_R50'!Q173</f>
        <v/>
      </c>
      <c r="EO14" s="459">
        <f>'_Engine_R50'!Q174</f>
        <v/>
      </c>
      <c r="EP14" s="459">
        <f>'_Engine_R50'!Q175</f>
        <v/>
      </c>
      <c r="EQ14" s="459">
        <f>'_Engine_R50'!Q176</f>
        <v/>
      </c>
      <c r="ER14" s="459">
        <f>'_Engine_R50'!Q177</f>
        <v/>
      </c>
      <c r="ES14" s="459">
        <f>'_Engine_R50'!Q178</f>
        <v/>
      </c>
      <c r="ET14" s="459">
        <f>'_Engine_R50'!Q179</f>
        <v/>
      </c>
      <c r="EU14" s="459">
        <f>'_Engine_R50'!Q180</f>
        <v/>
      </c>
      <c r="EV14" s="459">
        <f>'_Engine_R50'!Q181</f>
        <v/>
      </c>
      <c r="EW14" s="459">
        <f>'_Engine_R50'!Q182</f>
        <v/>
      </c>
      <c r="EX14" s="459">
        <f>'_Engine_R50'!Q183</f>
        <v/>
      </c>
      <c r="EY14" s="459">
        <f>'_Engine_R50'!Q184</f>
        <v/>
      </c>
      <c r="EZ14" s="459">
        <f>'_Engine_R50'!Q185</f>
        <v/>
      </c>
      <c r="FA14" s="459">
        <f>'_Engine_R50'!Q186</f>
        <v/>
      </c>
      <c r="FB14" s="459">
        <f>'_Engine_R50'!Q187</f>
        <v/>
      </c>
      <c r="FC14" s="459">
        <f>'_Engine_R50'!Q188</f>
        <v/>
      </c>
      <c r="FD14" s="459">
        <f>'_Engine_R50'!Q189</f>
        <v/>
      </c>
      <c r="FE14" s="459">
        <f>'_Engine_R50'!Q190</f>
        <v/>
      </c>
      <c r="FF14" s="459">
        <f>'_Engine_R50'!Q191</f>
        <v/>
      </c>
      <c r="FG14" s="459">
        <f>'_Engine_R50'!Q192</f>
        <v/>
      </c>
      <c r="FH14" s="459">
        <f>'_Engine_R50'!Q193</f>
        <v/>
      </c>
      <c r="FI14" s="459">
        <f>'_Engine_R50'!Q194</f>
        <v/>
      </c>
      <c r="FJ14" s="459">
        <f>'_Engine_R50'!Q195</f>
        <v/>
      </c>
      <c r="FK14" s="459">
        <f>'_Engine_R50'!Q196</f>
        <v/>
      </c>
      <c r="FL14" s="459">
        <f>'_Engine_R50'!Q197</f>
        <v/>
      </c>
      <c r="FM14" s="459">
        <f>'_Engine_R50'!Q198</f>
        <v/>
      </c>
      <c r="FN14" s="459">
        <f>'_Engine_R50'!Q199</f>
        <v/>
      </c>
      <c r="FO14" s="459">
        <f>'_Engine_R50'!Q200</f>
        <v/>
      </c>
      <c r="FP14" s="459">
        <f>'_Engine_R50'!Q201</f>
        <v/>
      </c>
      <c r="FQ14" s="459">
        <f>'_Engine_R50'!Q202</f>
        <v/>
      </c>
      <c r="FR14" s="459">
        <f>'_Engine_R50'!Q203</f>
        <v/>
      </c>
      <c r="FS14" s="459">
        <f>'_Engine_R50'!Q204</f>
        <v/>
      </c>
      <c r="FT14" s="459">
        <f>'_Engine_R50'!Q205</f>
        <v/>
      </c>
      <c r="FU14" s="459">
        <f>'_Engine_R50'!Q206</f>
        <v/>
      </c>
      <c r="FV14" s="459">
        <f>'_Engine_R50'!Q207</f>
        <v/>
      </c>
      <c r="FW14" s="459">
        <f>'_Engine_R50'!Q208</f>
        <v/>
      </c>
      <c r="FX14" s="459">
        <f>'_Engine_R50'!Q209</f>
        <v/>
      </c>
      <c r="FY14" s="459">
        <f>'_Engine_R50'!Q210</f>
        <v/>
      </c>
      <c r="FZ14" s="306" t="n"/>
    </row>
    <row r="15" ht="15" customHeight="1" s="307">
      <c r="A15" s="325" t="inlineStr">
        <is>
          <t>Portfolio P&amp;L</t>
        </is>
      </c>
      <c r="B15" s="457">
        <f>B13-B14</f>
        <v/>
      </c>
      <c r="C15" s="457">
        <f>C13-C14</f>
        <v/>
      </c>
      <c r="D15" s="457">
        <f>D13-D14</f>
        <v/>
      </c>
      <c r="E15" s="457">
        <f>E13-E14</f>
        <v/>
      </c>
      <c r="F15" s="457">
        <f>F13-F14</f>
        <v/>
      </c>
      <c r="G15" s="457">
        <f>G13-G14</f>
        <v/>
      </c>
      <c r="H15" s="457">
        <f>H13-H14</f>
        <v/>
      </c>
      <c r="I15" s="457">
        <f>I13-I14</f>
        <v/>
      </c>
      <c r="J15" s="457">
        <f>J13-J14</f>
        <v/>
      </c>
      <c r="K15" s="457">
        <f>K13-K14</f>
        <v/>
      </c>
      <c r="L15" s="457">
        <f>L13-L14</f>
        <v/>
      </c>
      <c r="M15" s="457">
        <f>M13-M14</f>
        <v/>
      </c>
      <c r="N15" s="457">
        <f>N13-N14</f>
        <v/>
      </c>
      <c r="O15" s="457">
        <f>O13-O14</f>
        <v/>
      </c>
      <c r="P15" s="457">
        <f>P13-P14</f>
        <v/>
      </c>
      <c r="Q15" s="457">
        <f>Q13-Q14</f>
        <v/>
      </c>
      <c r="R15" s="457">
        <f>R13-R14</f>
        <v/>
      </c>
      <c r="S15" s="457">
        <f>S13-S14</f>
        <v/>
      </c>
      <c r="T15" s="457">
        <f>T13-T14</f>
        <v/>
      </c>
      <c r="U15" s="457">
        <f>U13-U14</f>
        <v/>
      </c>
      <c r="V15" s="457">
        <f>V13-V14</f>
        <v/>
      </c>
      <c r="W15" s="457">
        <f>W13-W14</f>
        <v/>
      </c>
      <c r="X15" s="457">
        <f>X13-X14</f>
        <v/>
      </c>
      <c r="Y15" s="457">
        <f>Y13-Y14</f>
        <v/>
      </c>
      <c r="Z15" s="457">
        <f>Z13-Z14</f>
        <v/>
      </c>
      <c r="AA15" s="457">
        <f>AA13-AA14</f>
        <v/>
      </c>
      <c r="AB15" s="457">
        <f>AB13-AB14</f>
        <v/>
      </c>
      <c r="AC15" s="457">
        <f>AC13-AC14</f>
        <v/>
      </c>
      <c r="AD15" s="457">
        <f>AD13-AD14</f>
        <v/>
      </c>
      <c r="AE15" s="457">
        <f>AE13-AE14</f>
        <v/>
      </c>
      <c r="AF15" s="457">
        <f>AF13-AF14</f>
        <v/>
      </c>
      <c r="AG15" s="457">
        <f>AG13-AG14</f>
        <v/>
      </c>
      <c r="AH15" s="457">
        <f>AH13-AH14</f>
        <v/>
      </c>
      <c r="AI15" s="457">
        <f>AI13-AI14</f>
        <v/>
      </c>
      <c r="AJ15" s="457">
        <f>AJ13-AJ14</f>
        <v/>
      </c>
      <c r="AK15" s="457">
        <f>AK13-AK14</f>
        <v/>
      </c>
      <c r="AL15" s="457">
        <f>AL13-AL14</f>
        <v/>
      </c>
      <c r="AM15" s="457">
        <f>AM13-AM14</f>
        <v/>
      </c>
      <c r="AN15" s="457">
        <f>AN13-AN14</f>
        <v/>
      </c>
      <c r="AO15" s="457">
        <f>AO13-AO14</f>
        <v/>
      </c>
      <c r="AP15" s="457">
        <f>AP13-AP14</f>
        <v/>
      </c>
      <c r="AQ15" s="457">
        <f>AQ13-AQ14</f>
        <v/>
      </c>
      <c r="AR15" s="457">
        <f>AR13-AR14</f>
        <v/>
      </c>
      <c r="AS15" s="457">
        <f>AS13-AS14</f>
        <v/>
      </c>
      <c r="AT15" s="457">
        <f>AT13-AT14</f>
        <v/>
      </c>
      <c r="AU15" s="457">
        <f>AU13-AU14</f>
        <v/>
      </c>
      <c r="AV15" s="457">
        <f>AV13-AV14</f>
        <v/>
      </c>
      <c r="AW15" s="457">
        <f>AW13-AW14</f>
        <v/>
      </c>
      <c r="AX15" s="457">
        <f>AX13-AX14</f>
        <v/>
      </c>
      <c r="AY15" s="457">
        <f>AY13-AY14</f>
        <v/>
      </c>
      <c r="AZ15" s="457">
        <f>AZ13-AZ14</f>
        <v/>
      </c>
      <c r="BA15" s="457">
        <f>BA13-BA14</f>
        <v/>
      </c>
      <c r="BB15" s="457">
        <f>BB13-BB14</f>
        <v/>
      </c>
      <c r="BC15" s="457">
        <f>BC13-BC14</f>
        <v/>
      </c>
      <c r="BD15" s="457">
        <f>BD13-BD14</f>
        <v/>
      </c>
      <c r="BE15" s="457">
        <f>BE13-BE14</f>
        <v/>
      </c>
      <c r="BF15" s="457">
        <f>BF13-BF14</f>
        <v/>
      </c>
      <c r="BG15" s="457">
        <f>BG13-BG14</f>
        <v/>
      </c>
      <c r="BH15" s="457">
        <f>BH13-BH14</f>
        <v/>
      </c>
      <c r="BI15" s="457">
        <f>BI13-BI14</f>
        <v/>
      </c>
      <c r="BJ15" s="457">
        <f>BJ13-BJ14</f>
        <v/>
      </c>
      <c r="BK15" s="457">
        <f>BK13-BK14</f>
        <v/>
      </c>
      <c r="BL15" s="457">
        <f>BL13-BL14</f>
        <v/>
      </c>
      <c r="BM15" s="457">
        <f>BM13-BM14</f>
        <v/>
      </c>
      <c r="BN15" s="457">
        <f>BN13-BN14</f>
        <v/>
      </c>
      <c r="BO15" s="457">
        <f>BO13-BO14</f>
        <v/>
      </c>
      <c r="BP15" s="457">
        <f>BP13-BP14</f>
        <v/>
      </c>
      <c r="BQ15" s="457">
        <f>BQ13-BQ14</f>
        <v/>
      </c>
      <c r="BR15" s="457">
        <f>BR13-BR14</f>
        <v/>
      </c>
      <c r="BS15" s="457">
        <f>BS13-BS14</f>
        <v/>
      </c>
      <c r="BT15" s="457">
        <f>BT13-BT14</f>
        <v/>
      </c>
      <c r="BU15" s="457">
        <f>BU13-BU14</f>
        <v/>
      </c>
      <c r="BV15" s="457">
        <f>BV13-BV14</f>
        <v/>
      </c>
      <c r="BW15" s="457">
        <f>BW13-BW14</f>
        <v/>
      </c>
      <c r="BX15" s="457">
        <f>BX13-BX14</f>
        <v/>
      </c>
      <c r="BY15" s="457">
        <f>BY13-BY14</f>
        <v/>
      </c>
      <c r="BZ15" s="457">
        <f>BZ13-BZ14</f>
        <v/>
      </c>
      <c r="CA15" s="457">
        <f>CA13-CA14</f>
        <v/>
      </c>
      <c r="CB15" s="457">
        <f>CB13-CB14</f>
        <v/>
      </c>
      <c r="CC15" s="457">
        <f>CC13-CC14</f>
        <v/>
      </c>
      <c r="CD15" s="457">
        <f>CD13-CD14</f>
        <v/>
      </c>
      <c r="CE15" s="457">
        <f>CE13-CE14</f>
        <v/>
      </c>
      <c r="CF15" s="457">
        <f>CF13-CF14</f>
        <v/>
      </c>
      <c r="CG15" s="457">
        <f>CG13-CG14</f>
        <v/>
      </c>
      <c r="CH15" s="457">
        <f>CH13-CH14</f>
        <v/>
      </c>
      <c r="CI15" s="457">
        <f>CI13-CI14</f>
        <v/>
      </c>
      <c r="CJ15" s="457">
        <f>CJ13-CJ14</f>
        <v/>
      </c>
      <c r="CK15" s="457">
        <f>CK13-CK14</f>
        <v/>
      </c>
      <c r="CL15" s="457">
        <f>CL13-CL14</f>
        <v/>
      </c>
      <c r="CM15" s="457">
        <f>CM13-CM14</f>
        <v/>
      </c>
      <c r="CN15" s="457">
        <f>CN13-CN14</f>
        <v/>
      </c>
      <c r="CO15" s="457">
        <f>CO13-CO14</f>
        <v/>
      </c>
      <c r="CP15" s="457">
        <f>CP13-CP14</f>
        <v/>
      </c>
      <c r="CQ15" s="457">
        <f>CQ13-CQ14</f>
        <v/>
      </c>
      <c r="CR15" s="457">
        <f>CR13-CR14</f>
        <v/>
      </c>
      <c r="CS15" s="457">
        <f>CS13-CS14</f>
        <v/>
      </c>
      <c r="CT15" s="457">
        <f>CT13-CT14</f>
        <v/>
      </c>
      <c r="CU15" s="457">
        <f>CU13-CU14</f>
        <v/>
      </c>
      <c r="CV15" s="457">
        <f>CV13-CV14</f>
        <v/>
      </c>
      <c r="CW15" s="457">
        <f>CW13-CW14</f>
        <v/>
      </c>
      <c r="CX15" s="457">
        <f>CX13-CX14</f>
        <v/>
      </c>
      <c r="CY15" s="457">
        <f>CY13-CY14</f>
        <v/>
      </c>
      <c r="CZ15" s="457">
        <f>CZ13-CZ14</f>
        <v/>
      </c>
      <c r="DA15" s="457">
        <f>DA13-DA14</f>
        <v/>
      </c>
      <c r="DB15" s="457">
        <f>DB13-DB14</f>
        <v/>
      </c>
      <c r="DC15" s="457">
        <f>DC13-DC14</f>
        <v/>
      </c>
      <c r="DD15" s="457">
        <f>DD13-DD14</f>
        <v/>
      </c>
      <c r="DE15" s="457">
        <f>DE13-DE14</f>
        <v/>
      </c>
      <c r="DF15" s="457">
        <f>DF13-DF14</f>
        <v/>
      </c>
      <c r="DG15" s="457">
        <f>DG13-DG14</f>
        <v/>
      </c>
      <c r="DH15" s="457">
        <f>DH13-DH14</f>
        <v/>
      </c>
      <c r="DI15" s="457">
        <f>DI13-DI14</f>
        <v/>
      </c>
      <c r="DJ15" s="457">
        <f>DJ13-DJ14</f>
        <v/>
      </c>
      <c r="DK15" s="457">
        <f>DK13-DK14</f>
        <v/>
      </c>
      <c r="DL15" s="457">
        <f>DL13-DL14</f>
        <v/>
      </c>
      <c r="DM15" s="457">
        <f>DM13-DM14</f>
        <v/>
      </c>
      <c r="DN15" s="457">
        <f>DN13-DN14</f>
        <v/>
      </c>
      <c r="DO15" s="457">
        <f>DO13-DO14</f>
        <v/>
      </c>
      <c r="DP15" s="457">
        <f>DP13-DP14</f>
        <v/>
      </c>
      <c r="DQ15" s="457">
        <f>DQ13-DQ14</f>
        <v/>
      </c>
      <c r="DR15" s="457">
        <f>DR13-DR14</f>
        <v/>
      </c>
      <c r="DS15" s="457">
        <f>DS13-DS14</f>
        <v/>
      </c>
      <c r="DT15" s="457">
        <f>DT13-DT14</f>
        <v/>
      </c>
      <c r="DU15" s="457">
        <f>DU13-DU14</f>
        <v/>
      </c>
      <c r="DV15" s="457">
        <f>DV13-DV14</f>
        <v/>
      </c>
      <c r="DW15" s="457">
        <f>DW13-DW14</f>
        <v/>
      </c>
      <c r="DX15" s="457">
        <f>DX13-DX14</f>
        <v/>
      </c>
      <c r="DY15" s="457">
        <f>DY13-DY14</f>
        <v/>
      </c>
      <c r="DZ15" s="457">
        <f>DZ13-DZ14</f>
        <v/>
      </c>
      <c r="EA15" s="457">
        <f>EA13-EA14</f>
        <v/>
      </c>
      <c r="EB15" s="457">
        <f>EB13-EB14</f>
        <v/>
      </c>
      <c r="EC15" s="457">
        <f>EC13-EC14</f>
        <v/>
      </c>
      <c r="ED15" s="457">
        <f>ED13-ED14</f>
        <v/>
      </c>
      <c r="EE15" s="457">
        <f>EE13-EE14</f>
        <v/>
      </c>
      <c r="EF15" s="457">
        <f>EF13-EF14</f>
        <v/>
      </c>
      <c r="EG15" s="457">
        <f>EG13-EG14</f>
        <v/>
      </c>
      <c r="EH15" s="457">
        <f>EH13-EH14</f>
        <v/>
      </c>
      <c r="EI15" s="457">
        <f>EI13-EI14</f>
        <v/>
      </c>
      <c r="EJ15" s="457">
        <f>EJ13-EJ14</f>
        <v/>
      </c>
      <c r="EK15" s="457">
        <f>EK13-EK14</f>
        <v/>
      </c>
      <c r="EL15" s="457">
        <f>EL13-EL14</f>
        <v/>
      </c>
      <c r="EM15" s="457">
        <f>EM13-EM14</f>
        <v/>
      </c>
      <c r="EN15" s="457">
        <f>EN13-EN14</f>
        <v/>
      </c>
      <c r="EO15" s="457">
        <f>EO13-EO14</f>
        <v/>
      </c>
      <c r="EP15" s="457">
        <f>EP13-EP14</f>
        <v/>
      </c>
      <c r="EQ15" s="457">
        <f>EQ13-EQ14</f>
        <v/>
      </c>
      <c r="ER15" s="457">
        <f>ER13-ER14</f>
        <v/>
      </c>
      <c r="ES15" s="457">
        <f>ES13-ES14</f>
        <v/>
      </c>
      <c r="ET15" s="457">
        <f>ET13-ET14</f>
        <v/>
      </c>
      <c r="EU15" s="457">
        <f>EU13-EU14</f>
        <v/>
      </c>
      <c r="EV15" s="457">
        <f>EV13-EV14</f>
        <v/>
      </c>
      <c r="EW15" s="457">
        <f>EW13-EW14</f>
        <v/>
      </c>
      <c r="EX15" s="457">
        <f>EX13-EX14</f>
        <v/>
      </c>
      <c r="EY15" s="457">
        <f>EY13-EY14</f>
        <v/>
      </c>
      <c r="EZ15" s="457">
        <f>EZ13-EZ14</f>
        <v/>
      </c>
      <c r="FA15" s="457">
        <f>FA13-FA14</f>
        <v/>
      </c>
      <c r="FB15" s="457">
        <f>FB13-FB14</f>
        <v/>
      </c>
      <c r="FC15" s="457">
        <f>FC13-FC14</f>
        <v/>
      </c>
      <c r="FD15" s="457">
        <f>FD13-FD14</f>
        <v/>
      </c>
      <c r="FE15" s="457">
        <f>FE13-FE14</f>
        <v/>
      </c>
      <c r="FF15" s="457">
        <f>FF13-FF14</f>
        <v/>
      </c>
      <c r="FG15" s="457">
        <f>FG13-FG14</f>
        <v/>
      </c>
      <c r="FH15" s="457">
        <f>FH13-FH14</f>
        <v/>
      </c>
      <c r="FI15" s="457">
        <f>FI13-FI14</f>
        <v/>
      </c>
      <c r="FJ15" s="457">
        <f>FJ13-FJ14</f>
        <v/>
      </c>
      <c r="FK15" s="457">
        <f>FK13-FK14</f>
        <v/>
      </c>
      <c r="FL15" s="457">
        <f>FL13-FL14</f>
        <v/>
      </c>
      <c r="FM15" s="457">
        <f>FM13-FM14</f>
        <v/>
      </c>
      <c r="FN15" s="457">
        <f>FN13-FN14</f>
        <v/>
      </c>
      <c r="FO15" s="457">
        <f>FO13-FO14</f>
        <v/>
      </c>
      <c r="FP15" s="457">
        <f>FP13-FP14</f>
        <v/>
      </c>
      <c r="FQ15" s="457">
        <f>FQ13-FQ14</f>
        <v/>
      </c>
      <c r="FR15" s="457">
        <f>FR13-FR14</f>
        <v/>
      </c>
      <c r="FS15" s="457">
        <f>FS13-FS14</f>
        <v/>
      </c>
      <c r="FT15" s="457">
        <f>FT13-FT14</f>
        <v/>
      </c>
      <c r="FU15" s="457">
        <f>FU13-FU14</f>
        <v/>
      </c>
      <c r="FV15" s="457">
        <f>FV13-FV14</f>
        <v/>
      </c>
      <c r="FW15" s="457">
        <f>FW13-FW14</f>
        <v/>
      </c>
      <c r="FX15" s="457">
        <f>FX13-FX14</f>
        <v/>
      </c>
      <c r="FY15" s="457">
        <f>FY13-FY14</f>
        <v/>
      </c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>
        <f>'_Engine_R50'!R31</f>
        <v/>
      </c>
      <c r="C17" s="458">
        <f>'_Engine_R50'!R32</f>
        <v/>
      </c>
      <c r="D17" s="458">
        <f>'_Engine_R50'!R33</f>
        <v/>
      </c>
      <c r="E17" s="458">
        <f>'_Engine_R50'!R34</f>
        <v/>
      </c>
      <c r="F17" s="458">
        <f>'_Engine_R50'!R35</f>
        <v/>
      </c>
      <c r="G17" s="458">
        <f>'_Engine_R50'!R36</f>
        <v/>
      </c>
      <c r="H17" s="458">
        <f>'_Engine_R50'!R37</f>
        <v/>
      </c>
      <c r="I17" s="458">
        <f>'_Engine_R50'!R38</f>
        <v/>
      </c>
      <c r="J17" s="458">
        <f>'_Engine_R50'!R39</f>
        <v/>
      </c>
      <c r="K17" s="458">
        <f>'_Engine_R50'!R40</f>
        <v/>
      </c>
      <c r="L17" s="458">
        <f>'_Engine_R50'!R41</f>
        <v/>
      </c>
      <c r="M17" s="458">
        <f>'_Engine_R50'!R42</f>
        <v/>
      </c>
      <c r="N17" s="459">
        <f>'_Engine_R50'!R43</f>
        <v/>
      </c>
      <c r="O17" s="459">
        <f>'_Engine_R50'!R44</f>
        <v/>
      </c>
      <c r="P17" s="459">
        <f>'_Engine_R50'!R45</f>
        <v/>
      </c>
      <c r="Q17" s="459">
        <f>'_Engine_R50'!R46</f>
        <v/>
      </c>
      <c r="R17" s="459">
        <f>'_Engine_R50'!R47</f>
        <v/>
      </c>
      <c r="S17" s="459">
        <f>'_Engine_R50'!R48</f>
        <v/>
      </c>
      <c r="T17" s="459">
        <f>'_Engine_R50'!R49</f>
        <v/>
      </c>
      <c r="U17" s="459">
        <f>'_Engine_R50'!R50</f>
        <v/>
      </c>
      <c r="V17" s="459">
        <f>'_Engine_R50'!R51</f>
        <v/>
      </c>
      <c r="W17" s="459">
        <f>'_Engine_R50'!R52</f>
        <v/>
      </c>
      <c r="X17" s="459">
        <f>'_Engine_R50'!R53</f>
        <v/>
      </c>
      <c r="Y17" s="459">
        <f>'_Engine_R50'!R54</f>
        <v/>
      </c>
      <c r="Z17" s="458">
        <f>'_Engine_R50'!R55</f>
        <v/>
      </c>
      <c r="AA17" s="458">
        <f>'_Engine_R50'!R56</f>
        <v/>
      </c>
      <c r="AB17" s="458">
        <f>'_Engine_R50'!R57</f>
        <v/>
      </c>
      <c r="AC17" s="458">
        <f>'_Engine_R50'!R58</f>
        <v/>
      </c>
      <c r="AD17" s="458">
        <f>'_Engine_R50'!R59</f>
        <v/>
      </c>
      <c r="AE17" s="458">
        <f>'_Engine_R50'!R60</f>
        <v/>
      </c>
      <c r="AF17" s="458">
        <f>'_Engine_R50'!R61</f>
        <v/>
      </c>
      <c r="AG17" s="458">
        <f>'_Engine_R50'!R62</f>
        <v/>
      </c>
      <c r="AH17" s="458">
        <f>'_Engine_R50'!R63</f>
        <v/>
      </c>
      <c r="AI17" s="458">
        <f>'_Engine_R50'!R64</f>
        <v/>
      </c>
      <c r="AJ17" s="458">
        <f>'_Engine_R50'!R65</f>
        <v/>
      </c>
      <c r="AK17" s="458">
        <f>'_Engine_R50'!R66</f>
        <v/>
      </c>
      <c r="AL17" s="459">
        <f>'_Engine_R50'!R67</f>
        <v/>
      </c>
      <c r="AM17" s="459">
        <f>'_Engine_R50'!R68</f>
        <v/>
      </c>
      <c r="AN17" s="459">
        <f>'_Engine_R50'!R69</f>
        <v/>
      </c>
      <c r="AO17" s="459">
        <f>'_Engine_R50'!R70</f>
        <v/>
      </c>
      <c r="AP17" s="459">
        <f>'_Engine_R50'!R71</f>
        <v/>
      </c>
      <c r="AQ17" s="459">
        <f>'_Engine_R50'!R72</f>
        <v/>
      </c>
      <c r="AR17" s="459">
        <f>'_Engine_R50'!R73</f>
        <v/>
      </c>
      <c r="AS17" s="459">
        <f>'_Engine_R50'!R74</f>
        <v/>
      </c>
      <c r="AT17" s="459">
        <f>'_Engine_R50'!R75</f>
        <v/>
      </c>
      <c r="AU17" s="459">
        <f>'_Engine_R50'!R76</f>
        <v/>
      </c>
      <c r="AV17" s="459">
        <f>'_Engine_R50'!R77</f>
        <v/>
      </c>
      <c r="AW17" s="459">
        <f>'_Engine_R50'!R78</f>
        <v/>
      </c>
      <c r="AX17" s="458">
        <f>'_Engine_R50'!R79</f>
        <v/>
      </c>
      <c r="AY17" s="458">
        <f>'_Engine_R50'!R80</f>
        <v/>
      </c>
      <c r="AZ17" s="458">
        <f>'_Engine_R50'!R81</f>
        <v/>
      </c>
      <c r="BA17" s="458">
        <f>'_Engine_R50'!R82</f>
        <v/>
      </c>
      <c r="BB17" s="458">
        <f>'_Engine_R50'!R83</f>
        <v/>
      </c>
      <c r="BC17" s="458">
        <f>'_Engine_R50'!R84</f>
        <v/>
      </c>
      <c r="BD17" s="458">
        <f>'_Engine_R50'!R85</f>
        <v/>
      </c>
      <c r="BE17" s="458">
        <f>'_Engine_R50'!R86</f>
        <v/>
      </c>
      <c r="BF17" s="458">
        <f>'_Engine_R50'!R87</f>
        <v/>
      </c>
      <c r="BG17" s="458">
        <f>'_Engine_R50'!R88</f>
        <v/>
      </c>
      <c r="BH17" s="458">
        <f>'_Engine_R50'!R89</f>
        <v/>
      </c>
      <c r="BI17" s="458">
        <f>'_Engine_R50'!R90</f>
        <v/>
      </c>
      <c r="BJ17" s="459">
        <f>'_Engine_R50'!R91</f>
        <v/>
      </c>
      <c r="BK17" s="459">
        <f>'_Engine_R50'!R92</f>
        <v/>
      </c>
      <c r="BL17" s="459">
        <f>'_Engine_R50'!R93</f>
        <v/>
      </c>
      <c r="BM17" s="459">
        <f>'_Engine_R50'!R94</f>
        <v/>
      </c>
      <c r="BN17" s="459">
        <f>'_Engine_R50'!R95</f>
        <v/>
      </c>
      <c r="BO17" s="459">
        <f>'_Engine_R50'!R96</f>
        <v/>
      </c>
      <c r="BP17" s="459">
        <f>'_Engine_R50'!R97</f>
        <v/>
      </c>
      <c r="BQ17" s="459">
        <f>'_Engine_R50'!R98</f>
        <v/>
      </c>
      <c r="BR17" s="459">
        <f>'_Engine_R50'!R99</f>
        <v/>
      </c>
      <c r="BS17" s="459">
        <f>'_Engine_R50'!R100</f>
        <v/>
      </c>
      <c r="BT17" s="459">
        <f>'_Engine_R50'!R101</f>
        <v/>
      </c>
      <c r="BU17" s="459">
        <f>'_Engine_R50'!R102</f>
        <v/>
      </c>
      <c r="BV17" s="458">
        <f>'_Engine_R50'!R103</f>
        <v/>
      </c>
      <c r="BW17" s="458">
        <f>'_Engine_R50'!R104</f>
        <v/>
      </c>
      <c r="BX17" s="458">
        <f>'_Engine_R50'!R105</f>
        <v/>
      </c>
      <c r="BY17" s="458">
        <f>'_Engine_R50'!R106</f>
        <v/>
      </c>
      <c r="BZ17" s="458">
        <f>'_Engine_R50'!R107</f>
        <v/>
      </c>
      <c r="CA17" s="458">
        <f>'_Engine_R50'!R108</f>
        <v/>
      </c>
      <c r="CB17" s="458">
        <f>'_Engine_R50'!R109</f>
        <v/>
      </c>
      <c r="CC17" s="458">
        <f>'_Engine_R50'!R110</f>
        <v/>
      </c>
      <c r="CD17" s="458">
        <f>'_Engine_R50'!R111</f>
        <v/>
      </c>
      <c r="CE17" s="458">
        <f>'_Engine_R50'!R112</f>
        <v/>
      </c>
      <c r="CF17" s="458">
        <f>'_Engine_R50'!R113</f>
        <v/>
      </c>
      <c r="CG17" s="458">
        <f>'_Engine_R50'!R114</f>
        <v/>
      </c>
      <c r="CH17" s="459">
        <f>'_Engine_R50'!R115</f>
        <v/>
      </c>
      <c r="CI17" s="459">
        <f>'_Engine_R50'!R116</f>
        <v/>
      </c>
      <c r="CJ17" s="459">
        <f>'_Engine_R50'!R117</f>
        <v/>
      </c>
      <c r="CK17" s="459">
        <f>'_Engine_R50'!R118</f>
        <v/>
      </c>
      <c r="CL17" s="459">
        <f>'_Engine_R50'!R119</f>
        <v/>
      </c>
      <c r="CM17" s="459">
        <f>'_Engine_R50'!R120</f>
        <v/>
      </c>
      <c r="CN17" s="459">
        <f>'_Engine_R50'!R121</f>
        <v/>
      </c>
      <c r="CO17" s="459">
        <f>'_Engine_R50'!R122</f>
        <v/>
      </c>
      <c r="CP17" s="459">
        <f>'_Engine_R50'!R123</f>
        <v/>
      </c>
      <c r="CQ17" s="459">
        <f>'_Engine_R50'!R124</f>
        <v/>
      </c>
      <c r="CR17" s="459">
        <f>'_Engine_R50'!R125</f>
        <v/>
      </c>
      <c r="CS17" s="459">
        <f>'_Engine_R50'!R126</f>
        <v/>
      </c>
      <c r="CT17" s="458">
        <f>'_Engine_R50'!R127</f>
        <v/>
      </c>
      <c r="CU17" s="458">
        <f>'_Engine_R50'!R128</f>
        <v/>
      </c>
      <c r="CV17" s="458">
        <f>'_Engine_R50'!R129</f>
        <v/>
      </c>
      <c r="CW17" s="458">
        <f>'_Engine_R50'!R130</f>
        <v/>
      </c>
      <c r="CX17" s="458">
        <f>'_Engine_R50'!R131</f>
        <v/>
      </c>
      <c r="CY17" s="458">
        <f>'_Engine_R50'!R132</f>
        <v/>
      </c>
      <c r="CZ17" s="458">
        <f>'_Engine_R50'!R133</f>
        <v/>
      </c>
      <c r="DA17" s="458">
        <f>'_Engine_R50'!R134</f>
        <v/>
      </c>
      <c r="DB17" s="458">
        <f>'_Engine_R50'!R135</f>
        <v/>
      </c>
      <c r="DC17" s="458">
        <f>'_Engine_R50'!R136</f>
        <v/>
      </c>
      <c r="DD17" s="458">
        <f>'_Engine_R50'!R137</f>
        <v/>
      </c>
      <c r="DE17" s="458">
        <f>'_Engine_R50'!R138</f>
        <v/>
      </c>
      <c r="DF17" s="459">
        <f>'_Engine_R50'!R139</f>
        <v/>
      </c>
      <c r="DG17" s="459">
        <f>'_Engine_R50'!R140</f>
        <v/>
      </c>
      <c r="DH17" s="459">
        <f>'_Engine_R50'!R141</f>
        <v/>
      </c>
      <c r="DI17" s="459">
        <f>'_Engine_R50'!R142</f>
        <v/>
      </c>
      <c r="DJ17" s="459">
        <f>'_Engine_R50'!R143</f>
        <v/>
      </c>
      <c r="DK17" s="459">
        <f>'_Engine_R50'!R144</f>
        <v/>
      </c>
      <c r="DL17" s="459">
        <f>'_Engine_R50'!R145</f>
        <v/>
      </c>
      <c r="DM17" s="459">
        <f>'_Engine_R50'!R146</f>
        <v/>
      </c>
      <c r="DN17" s="459">
        <f>'_Engine_R50'!R147</f>
        <v/>
      </c>
      <c r="DO17" s="459">
        <f>'_Engine_R50'!R148</f>
        <v/>
      </c>
      <c r="DP17" s="459">
        <f>'_Engine_R50'!R149</f>
        <v/>
      </c>
      <c r="DQ17" s="459">
        <f>'_Engine_R50'!R150</f>
        <v/>
      </c>
      <c r="DR17" s="458">
        <f>'_Engine_R50'!R151</f>
        <v/>
      </c>
      <c r="DS17" s="458">
        <f>'_Engine_R50'!R152</f>
        <v/>
      </c>
      <c r="DT17" s="458">
        <f>'_Engine_R50'!R153</f>
        <v/>
      </c>
      <c r="DU17" s="458">
        <f>'_Engine_R50'!R154</f>
        <v/>
      </c>
      <c r="DV17" s="458">
        <f>'_Engine_R50'!R155</f>
        <v/>
      </c>
      <c r="DW17" s="458">
        <f>'_Engine_R50'!R156</f>
        <v/>
      </c>
      <c r="DX17" s="458">
        <f>'_Engine_R50'!R157</f>
        <v/>
      </c>
      <c r="DY17" s="458">
        <f>'_Engine_R50'!R158</f>
        <v/>
      </c>
      <c r="DZ17" s="458">
        <f>'_Engine_R50'!R159</f>
        <v/>
      </c>
      <c r="EA17" s="458">
        <f>'_Engine_R50'!R160</f>
        <v/>
      </c>
      <c r="EB17" s="458">
        <f>'_Engine_R50'!R161</f>
        <v/>
      </c>
      <c r="EC17" s="458">
        <f>'_Engine_R50'!R162</f>
        <v/>
      </c>
      <c r="ED17" s="459">
        <f>'_Engine_R50'!R163</f>
        <v/>
      </c>
      <c r="EE17" s="459">
        <f>'_Engine_R50'!R164</f>
        <v/>
      </c>
      <c r="EF17" s="459">
        <f>'_Engine_R50'!R165</f>
        <v/>
      </c>
      <c r="EG17" s="459">
        <f>'_Engine_R50'!R166</f>
        <v/>
      </c>
      <c r="EH17" s="459">
        <f>'_Engine_R50'!R167</f>
        <v/>
      </c>
      <c r="EI17" s="459">
        <f>'_Engine_R50'!R168</f>
        <v/>
      </c>
      <c r="EJ17" s="459">
        <f>'_Engine_R50'!R169</f>
        <v/>
      </c>
      <c r="EK17" s="459">
        <f>'_Engine_R50'!R170</f>
        <v/>
      </c>
      <c r="EL17" s="459">
        <f>'_Engine_R50'!R171</f>
        <v/>
      </c>
      <c r="EM17" s="459">
        <f>'_Engine_R50'!R172</f>
        <v/>
      </c>
      <c r="EN17" s="459">
        <f>'_Engine_R50'!R173</f>
        <v/>
      </c>
      <c r="EO17" s="459">
        <f>'_Engine_R50'!R174</f>
        <v/>
      </c>
      <c r="EP17" s="458">
        <f>'_Engine_R50'!R175</f>
        <v/>
      </c>
      <c r="EQ17" s="458">
        <f>'_Engine_R50'!R176</f>
        <v/>
      </c>
      <c r="ER17" s="458">
        <f>'_Engine_R50'!R177</f>
        <v/>
      </c>
      <c r="ES17" s="458">
        <f>'_Engine_R50'!R178</f>
        <v/>
      </c>
      <c r="ET17" s="458">
        <f>'_Engine_R50'!R179</f>
        <v/>
      </c>
      <c r="EU17" s="458">
        <f>'_Engine_R50'!R180</f>
        <v/>
      </c>
      <c r="EV17" s="458">
        <f>'_Engine_R50'!R181</f>
        <v/>
      </c>
      <c r="EW17" s="458">
        <f>'_Engine_R50'!R182</f>
        <v/>
      </c>
      <c r="EX17" s="458">
        <f>'_Engine_R50'!R183</f>
        <v/>
      </c>
      <c r="EY17" s="458">
        <f>'_Engine_R50'!R184</f>
        <v/>
      </c>
      <c r="EZ17" s="458">
        <f>'_Engine_R50'!R185</f>
        <v/>
      </c>
      <c r="FA17" s="458">
        <f>'_Engine_R50'!R186</f>
        <v/>
      </c>
      <c r="FB17" s="459">
        <f>'_Engine_R50'!R187</f>
        <v/>
      </c>
      <c r="FC17" s="459">
        <f>'_Engine_R50'!R188</f>
        <v/>
      </c>
      <c r="FD17" s="459">
        <f>'_Engine_R50'!R189</f>
        <v/>
      </c>
      <c r="FE17" s="459">
        <f>'_Engine_R50'!R190</f>
        <v/>
      </c>
      <c r="FF17" s="459">
        <f>'_Engine_R50'!R191</f>
        <v/>
      </c>
      <c r="FG17" s="459">
        <f>'_Engine_R50'!R192</f>
        <v/>
      </c>
      <c r="FH17" s="459">
        <f>'_Engine_R50'!R193</f>
        <v/>
      </c>
      <c r="FI17" s="459">
        <f>'_Engine_R50'!R194</f>
        <v/>
      </c>
      <c r="FJ17" s="459">
        <f>'_Engine_R50'!R195</f>
        <v/>
      </c>
      <c r="FK17" s="459">
        <f>'_Engine_R50'!R196</f>
        <v/>
      </c>
      <c r="FL17" s="459">
        <f>'_Engine_R50'!R197</f>
        <v/>
      </c>
      <c r="FM17" s="459">
        <f>'_Engine_R50'!R198</f>
        <v/>
      </c>
      <c r="FN17" s="458">
        <f>'_Engine_R50'!R199</f>
        <v/>
      </c>
      <c r="FO17" s="458">
        <f>'_Engine_R50'!R200</f>
        <v/>
      </c>
      <c r="FP17" s="458">
        <f>'_Engine_R50'!R201</f>
        <v/>
      </c>
      <c r="FQ17" s="458">
        <f>'_Engine_R50'!R202</f>
        <v/>
      </c>
      <c r="FR17" s="458">
        <f>'_Engine_R50'!R203</f>
        <v/>
      </c>
      <c r="FS17" s="458">
        <f>'_Engine_R50'!R204</f>
        <v/>
      </c>
      <c r="FT17" s="458">
        <f>'_Engine_R50'!R205</f>
        <v/>
      </c>
      <c r="FU17" s="458">
        <f>'_Engine_R50'!R206</f>
        <v/>
      </c>
      <c r="FV17" s="458">
        <f>'_Engine_R50'!R207</f>
        <v/>
      </c>
      <c r="FW17" s="458">
        <f>'_Engine_R50'!R208</f>
        <v/>
      </c>
      <c r="FX17" s="458">
        <f>'_Engine_R50'!R209</f>
        <v/>
      </c>
      <c r="FY17" s="458">
        <f>'_Engine_R50'!R210</f>
        <v/>
      </c>
      <c r="FZ17" s="306" t="n"/>
    </row>
    <row r="18" ht="15" customHeight="1" s="307">
      <c r="A18" s="468" t="inlineStr">
        <is>
          <t>Gross Profit</t>
        </is>
      </c>
      <c r="B18" s="469">
        <f>'_Engine_R50'!S31</f>
        <v/>
      </c>
      <c r="C18" s="469">
        <f>'_Engine_R50'!S32</f>
        <v/>
      </c>
      <c r="D18" s="469">
        <f>'_Engine_R50'!S33</f>
        <v/>
      </c>
      <c r="E18" s="469">
        <f>'_Engine_R50'!S34</f>
        <v/>
      </c>
      <c r="F18" s="469">
        <f>'_Engine_R50'!S35</f>
        <v/>
      </c>
      <c r="G18" s="469">
        <f>'_Engine_R50'!S36</f>
        <v/>
      </c>
      <c r="H18" s="469">
        <f>'_Engine_R50'!S37</f>
        <v/>
      </c>
      <c r="I18" s="469">
        <f>'_Engine_R50'!S38</f>
        <v/>
      </c>
      <c r="J18" s="469">
        <f>'_Engine_R50'!S39</f>
        <v/>
      </c>
      <c r="K18" s="469">
        <f>'_Engine_R50'!S40</f>
        <v/>
      </c>
      <c r="L18" s="469">
        <f>'_Engine_R50'!S41</f>
        <v/>
      </c>
      <c r="M18" s="469">
        <f>'_Engine_R50'!S42</f>
        <v/>
      </c>
      <c r="N18" s="470">
        <f>'_Engine_R50'!S43</f>
        <v/>
      </c>
      <c r="O18" s="470">
        <f>'_Engine_R50'!S44</f>
        <v/>
      </c>
      <c r="P18" s="470">
        <f>'_Engine_R50'!S45</f>
        <v/>
      </c>
      <c r="Q18" s="470">
        <f>'_Engine_R50'!S46</f>
        <v/>
      </c>
      <c r="R18" s="470">
        <f>'_Engine_R50'!S47</f>
        <v/>
      </c>
      <c r="S18" s="470">
        <f>'_Engine_R50'!S48</f>
        <v/>
      </c>
      <c r="T18" s="470">
        <f>'_Engine_R50'!S49</f>
        <v/>
      </c>
      <c r="U18" s="470">
        <f>'_Engine_R50'!S50</f>
        <v/>
      </c>
      <c r="V18" s="470">
        <f>'_Engine_R50'!S51</f>
        <v/>
      </c>
      <c r="W18" s="470">
        <f>'_Engine_R50'!S52</f>
        <v/>
      </c>
      <c r="X18" s="470">
        <f>'_Engine_R50'!S53</f>
        <v/>
      </c>
      <c r="Y18" s="470">
        <f>'_Engine_R50'!S54</f>
        <v/>
      </c>
      <c r="Z18" s="469">
        <f>'_Engine_R50'!S55</f>
        <v/>
      </c>
      <c r="AA18" s="469">
        <f>'_Engine_R50'!S56</f>
        <v/>
      </c>
      <c r="AB18" s="469">
        <f>'_Engine_R50'!S57</f>
        <v/>
      </c>
      <c r="AC18" s="469">
        <f>'_Engine_R50'!S58</f>
        <v/>
      </c>
      <c r="AD18" s="469">
        <f>'_Engine_R50'!S59</f>
        <v/>
      </c>
      <c r="AE18" s="469">
        <f>'_Engine_R50'!S60</f>
        <v/>
      </c>
      <c r="AF18" s="469">
        <f>'_Engine_R50'!S61</f>
        <v/>
      </c>
      <c r="AG18" s="469">
        <f>'_Engine_R50'!S62</f>
        <v/>
      </c>
      <c r="AH18" s="469">
        <f>'_Engine_R50'!S63</f>
        <v/>
      </c>
      <c r="AI18" s="469">
        <f>'_Engine_R50'!S64</f>
        <v/>
      </c>
      <c r="AJ18" s="469">
        <f>'_Engine_R50'!S65</f>
        <v/>
      </c>
      <c r="AK18" s="469">
        <f>'_Engine_R50'!S66</f>
        <v/>
      </c>
      <c r="AL18" s="470">
        <f>'_Engine_R50'!S67</f>
        <v/>
      </c>
      <c r="AM18" s="470">
        <f>'_Engine_R50'!S68</f>
        <v/>
      </c>
      <c r="AN18" s="470">
        <f>'_Engine_R50'!S69</f>
        <v/>
      </c>
      <c r="AO18" s="470">
        <f>'_Engine_R50'!S70</f>
        <v/>
      </c>
      <c r="AP18" s="470">
        <f>'_Engine_R50'!S71</f>
        <v/>
      </c>
      <c r="AQ18" s="470">
        <f>'_Engine_R50'!S72</f>
        <v/>
      </c>
      <c r="AR18" s="470">
        <f>'_Engine_R50'!S73</f>
        <v/>
      </c>
      <c r="AS18" s="470">
        <f>'_Engine_R50'!S74</f>
        <v/>
      </c>
      <c r="AT18" s="470">
        <f>'_Engine_R50'!S75</f>
        <v/>
      </c>
      <c r="AU18" s="470">
        <f>'_Engine_R50'!S76</f>
        <v/>
      </c>
      <c r="AV18" s="470">
        <f>'_Engine_R50'!S77</f>
        <v/>
      </c>
      <c r="AW18" s="470">
        <f>'_Engine_R50'!S78</f>
        <v/>
      </c>
      <c r="AX18" s="469">
        <f>'_Engine_R50'!S79</f>
        <v/>
      </c>
      <c r="AY18" s="469">
        <f>'_Engine_R50'!S80</f>
        <v/>
      </c>
      <c r="AZ18" s="469">
        <f>'_Engine_R50'!S81</f>
        <v/>
      </c>
      <c r="BA18" s="469">
        <f>'_Engine_R50'!S82</f>
        <v/>
      </c>
      <c r="BB18" s="469">
        <f>'_Engine_R50'!S83</f>
        <v/>
      </c>
      <c r="BC18" s="469">
        <f>'_Engine_R50'!S84</f>
        <v/>
      </c>
      <c r="BD18" s="469">
        <f>'_Engine_R50'!S85</f>
        <v/>
      </c>
      <c r="BE18" s="469">
        <f>'_Engine_R50'!S86</f>
        <v/>
      </c>
      <c r="BF18" s="469">
        <f>'_Engine_R50'!S87</f>
        <v/>
      </c>
      <c r="BG18" s="469">
        <f>'_Engine_R50'!S88</f>
        <v/>
      </c>
      <c r="BH18" s="469">
        <f>'_Engine_R50'!S89</f>
        <v/>
      </c>
      <c r="BI18" s="469">
        <f>'_Engine_R50'!S90</f>
        <v/>
      </c>
      <c r="BJ18" s="470">
        <f>'_Engine_R50'!S91</f>
        <v/>
      </c>
      <c r="BK18" s="470">
        <f>'_Engine_R50'!S92</f>
        <v/>
      </c>
      <c r="BL18" s="470">
        <f>'_Engine_R50'!S93</f>
        <v/>
      </c>
      <c r="BM18" s="470">
        <f>'_Engine_R50'!S94</f>
        <v/>
      </c>
      <c r="BN18" s="470">
        <f>'_Engine_R50'!S95</f>
        <v/>
      </c>
      <c r="BO18" s="470">
        <f>'_Engine_R50'!S96</f>
        <v/>
      </c>
      <c r="BP18" s="470">
        <f>'_Engine_R50'!S97</f>
        <v/>
      </c>
      <c r="BQ18" s="470">
        <f>'_Engine_R50'!S98</f>
        <v/>
      </c>
      <c r="BR18" s="470">
        <f>'_Engine_R50'!S99</f>
        <v/>
      </c>
      <c r="BS18" s="470">
        <f>'_Engine_R50'!S100</f>
        <v/>
      </c>
      <c r="BT18" s="470">
        <f>'_Engine_R50'!S101</f>
        <v/>
      </c>
      <c r="BU18" s="470">
        <f>'_Engine_R50'!S102</f>
        <v/>
      </c>
      <c r="BV18" s="469">
        <f>'_Engine_R50'!S103</f>
        <v/>
      </c>
      <c r="BW18" s="469">
        <f>'_Engine_R50'!S104</f>
        <v/>
      </c>
      <c r="BX18" s="469">
        <f>'_Engine_R50'!S105</f>
        <v/>
      </c>
      <c r="BY18" s="469">
        <f>'_Engine_R50'!S106</f>
        <v/>
      </c>
      <c r="BZ18" s="469">
        <f>'_Engine_R50'!S107</f>
        <v/>
      </c>
      <c r="CA18" s="469">
        <f>'_Engine_R50'!S108</f>
        <v/>
      </c>
      <c r="CB18" s="469">
        <f>'_Engine_R50'!S109</f>
        <v/>
      </c>
      <c r="CC18" s="469">
        <f>'_Engine_R50'!S110</f>
        <v/>
      </c>
      <c r="CD18" s="469">
        <f>'_Engine_R50'!S111</f>
        <v/>
      </c>
      <c r="CE18" s="469">
        <f>'_Engine_R50'!S112</f>
        <v/>
      </c>
      <c r="CF18" s="469">
        <f>'_Engine_R50'!S113</f>
        <v/>
      </c>
      <c r="CG18" s="469">
        <f>'_Engine_R50'!S114</f>
        <v/>
      </c>
      <c r="CH18" s="470">
        <f>'_Engine_R50'!S115</f>
        <v/>
      </c>
      <c r="CI18" s="470">
        <f>'_Engine_R50'!S116</f>
        <v/>
      </c>
      <c r="CJ18" s="470">
        <f>'_Engine_R50'!S117</f>
        <v/>
      </c>
      <c r="CK18" s="470">
        <f>'_Engine_R50'!S118</f>
        <v/>
      </c>
      <c r="CL18" s="470">
        <f>'_Engine_R50'!S119</f>
        <v/>
      </c>
      <c r="CM18" s="470">
        <f>'_Engine_R50'!S120</f>
        <v/>
      </c>
      <c r="CN18" s="470">
        <f>'_Engine_R50'!S121</f>
        <v/>
      </c>
      <c r="CO18" s="470">
        <f>'_Engine_R50'!S122</f>
        <v/>
      </c>
      <c r="CP18" s="470">
        <f>'_Engine_R50'!S123</f>
        <v/>
      </c>
      <c r="CQ18" s="470">
        <f>'_Engine_R50'!S124</f>
        <v/>
      </c>
      <c r="CR18" s="470">
        <f>'_Engine_R50'!S125</f>
        <v/>
      </c>
      <c r="CS18" s="470">
        <f>'_Engine_R50'!S126</f>
        <v/>
      </c>
      <c r="CT18" s="469">
        <f>'_Engine_R50'!S127</f>
        <v/>
      </c>
      <c r="CU18" s="469">
        <f>'_Engine_R50'!S128</f>
        <v/>
      </c>
      <c r="CV18" s="469">
        <f>'_Engine_R50'!S129</f>
        <v/>
      </c>
      <c r="CW18" s="469">
        <f>'_Engine_R50'!S130</f>
        <v/>
      </c>
      <c r="CX18" s="469">
        <f>'_Engine_R50'!S131</f>
        <v/>
      </c>
      <c r="CY18" s="469">
        <f>'_Engine_R50'!S132</f>
        <v/>
      </c>
      <c r="CZ18" s="469">
        <f>'_Engine_R50'!S133</f>
        <v/>
      </c>
      <c r="DA18" s="469">
        <f>'_Engine_R50'!S134</f>
        <v/>
      </c>
      <c r="DB18" s="469">
        <f>'_Engine_R50'!S135</f>
        <v/>
      </c>
      <c r="DC18" s="469">
        <f>'_Engine_R50'!S136</f>
        <v/>
      </c>
      <c r="DD18" s="469">
        <f>'_Engine_R50'!S137</f>
        <v/>
      </c>
      <c r="DE18" s="469">
        <f>'_Engine_R50'!S138</f>
        <v/>
      </c>
      <c r="DF18" s="470">
        <f>'_Engine_R50'!S139</f>
        <v/>
      </c>
      <c r="DG18" s="470">
        <f>'_Engine_R50'!S140</f>
        <v/>
      </c>
      <c r="DH18" s="470">
        <f>'_Engine_R50'!S141</f>
        <v/>
      </c>
      <c r="DI18" s="470">
        <f>'_Engine_R50'!S142</f>
        <v/>
      </c>
      <c r="DJ18" s="470">
        <f>'_Engine_R50'!S143</f>
        <v/>
      </c>
      <c r="DK18" s="470">
        <f>'_Engine_R50'!S144</f>
        <v/>
      </c>
      <c r="DL18" s="470">
        <f>'_Engine_R50'!S145</f>
        <v/>
      </c>
      <c r="DM18" s="470">
        <f>'_Engine_R50'!S146</f>
        <v/>
      </c>
      <c r="DN18" s="470">
        <f>'_Engine_R50'!S147</f>
        <v/>
      </c>
      <c r="DO18" s="470">
        <f>'_Engine_R50'!S148</f>
        <v/>
      </c>
      <c r="DP18" s="470">
        <f>'_Engine_R50'!S149</f>
        <v/>
      </c>
      <c r="DQ18" s="470">
        <f>'_Engine_R50'!S150</f>
        <v/>
      </c>
      <c r="DR18" s="469">
        <f>'_Engine_R50'!S151</f>
        <v/>
      </c>
      <c r="DS18" s="469">
        <f>'_Engine_R50'!S152</f>
        <v/>
      </c>
      <c r="DT18" s="469">
        <f>'_Engine_R50'!S153</f>
        <v/>
      </c>
      <c r="DU18" s="469">
        <f>'_Engine_R50'!S154</f>
        <v/>
      </c>
      <c r="DV18" s="469">
        <f>'_Engine_R50'!S155</f>
        <v/>
      </c>
      <c r="DW18" s="469">
        <f>'_Engine_R50'!S156</f>
        <v/>
      </c>
      <c r="DX18" s="469">
        <f>'_Engine_R50'!S157</f>
        <v/>
      </c>
      <c r="DY18" s="469">
        <f>'_Engine_R50'!S158</f>
        <v/>
      </c>
      <c r="DZ18" s="469">
        <f>'_Engine_R50'!S159</f>
        <v/>
      </c>
      <c r="EA18" s="469">
        <f>'_Engine_R50'!S160</f>
        <v/>
      </c>
      <c r="EB18" s="469">
        <f>'_Engine_R50'!S161</f>
        <v/>
      </c>
      <c r="EC18" s="469">
        <f>'_Engine_R50'!S162</f>
        <v/>
      </c>
      <c r="ED18" s="470">
        <f>'_Engine_R50'!S163</f>
        <v/>
      </c>
      <c r="EE18" s="470">
        <f>'_Engine_R50'!S164</f>
        <v/>
      </c>
      <c r="EF18" s="470">
        <f>'_Engine_R50'!S165</f>
        <v/>
      </c>
      <c r="EG18" s="470">
        <f>'_Engine_R50'!S166</f>
        <v/>
      </c>
      <c r="EH18" s="470">
        <f>'_Engine_R50'!S167</f>
        <v/>
      </c>
      <c r="EI18" s="470">
        <f>'_Engine_R50'!S168</f>
        <v/>
      </c>
      <c r="EJ18" s="470">
        <f>'_Engine_R50'!S169</f>
        <v/>
      </c>
      <c r="EK18" s="470">
        <f>'_Engine_R50'!S170</f>
        <v/>
      </c>
      <c r="EL18" s="470">
        <f>'_Engine_R50'!S171</f>
        <v/>
      </c>
      <c r="EM18" s="470">
        <f>'_Engine_R50'!S172</f>
        <v/>
      </c>
      <c r="EN18" s="470">
        <f>'_Engine_R50'!S173</f>
        <v/>
      </c>
      <c r="EO18" s="470">
        <f>'_Engine_R50'!S174</f>
        <v/>
      </c>
      <c r="EP18" s="469">
        <f>'_Engine_R50'!S175</f>
        <v/>
      </c>
      <c r="EQ18" s="469">
        <f>'_Engine_R50'!S176</f>
        <v/>
      </c>
      <c r="ER18" s="469">
        <f>'_Engine_R50'!S177</f>
        <v/>
      </c>
      <c r="ES18" s="469">
        <f>'_Engine_R50'!S178</f>
        <v/>
      </c>
      <c r="ET18" s="469">
        <f>'_Engine_R50'!S179</f>
        <v/>
      </c>
      <c r="EU18" s="469">
        <f>'_Engine_R50'!S180</f>
        <v/>
      </c>
      <c r="EV18" s="469">
        <f>'_Engine_R50'!S181</f>
        <v/>
      </c>
      <c r="EW18" s="469">
        <f>'_Engine_R50'!S182</f>
        <v/>
      </c>
      <c r="EX18" s="469">
        <f>'_Engine_R50'!S183</f>
        <v/>
      </c>
      <c r="EY18" s="469">
        <f>'_Engine_R50'!S184</f>
        <v/>
      </c>
      <c r="EZ18" s="469">
        <f>'_Engine_R50'!S185</f>
        <v/>
      </c>
      <c r="FA18" s="469">
        <f>'_Engine_R50'!S186</f>
        <v/>
      </c>
      <c r="FB18" s="470">
        <f>'_Engine_R50'!S187</f>
        <v/>
      </c>
      <c r="FC18" s="470">
        <f>'_Engine_R50'!S188</f>
        <v/>
      </c>
      <c r="FD18" s="470">
        <f>'_Engine_R50'!S189</f>
        <v/>
      </c>
      <c r="FE18" s="470">
        <f>'_Engine_R50'!S190</f>
        <v/>
      </c>
      <c r="FF18" s="470">
        <f>'_Engine_R50'!S191</f>
        <v/>
      </c>
      <c r="FG18" s="470">
        <f>'_Engine_R50'!S192</f>
        <v/>
      </c>
      <c r="FH18" s="470">
        <f>'_Engine_R50'!S193</f>
        <v/>
      </c>
      <c r="FI18" s="470">
        <f>'_Engine_R50'!S194</f>
        <v/>
      </c>
      <c r="FJ18" s="470">
        <f>'_Engine_R50'!S195</f>
        <v/>
      </c>
      <c r="FK18" s="470">
        <f>'_Engine_R50'!S196</f>
        <v/>
      </c>
      <c r="FL18" s="470">
        <f>'_Engine_R50'!S197</f>
        <v/>
      </c>
      <c r="FM18" s="470">
        <f>'_Engine_R50'!S198</f>
        <v/>
      </c>
      <c r="FN18" s="469">
        <f>'_Engine_R50'!S199</f>
        <v/>
      </c>
      <c r="FO18" s="469">
        <f>'_Engine_R50'!S200</f>
        <v/>
      </c>
      <c r="FP18" s="469">
        <f>'_Engine_R50'!S201</f>
        <v/>
      </c>
      <c r="FQ18" s="469">
        <f>'_Engine_R50'!S202</f>
        <v/>
      </c>
      <c r="FR18" s="469">
        <f>'_Engine_R50'!S203</f>
        <v/>
      </c>
      <c r="FS18" s="469">
        <f>'_Engine_R50'!S204</f>
        <v/>
      </c>
      <c r="FT18" s="469">
        <f>'_Engine_R50'!S205</f>
        <v/>
      </c>
      <c r="FU18" s="469">
        <f>'_Engine_R50'!S206</f>
        <v/>
      </c>
      <c r="FV18" s="469">
        <f>'_Engine_R50'!S207</f>
        <v/>
      </c>
      <c r="FW18" s="469">
        <f>'_Engine_R50'!S208</f>
        <v/>
      </c>
      <c r="FX18" s="469">
        <f>'_Engine_R50'!S209</f>
        <v/>
      </c>
      <c r="FY18" s="469">
        <f>'_Engine_R50'!S210</f>
        <v/>
      </c>
      <c r="FZ18" s="306" t="n"/>
    </row>
    <row r="19" ht="15" customHeight="1" s="307">
      <c r="A19" s="322" t="n"/>
      <c r="B19" s="466">
        <f>'_Engine_R50'!D31</f>
        <v/>
      </c>
      <c r="C19" s="466">
        <f>'_Engine_R50'!D32</f>
        <v/>
      </c>
      <c r="D19" s="466">
        <f>'_Engine_R50'!D33</f>
        <v/>
      </c>
      <c r="E19" s="466">
        <f>'_Engine_R50'!D34</f>
        <v/>
      </c>
      <c r="F19" s="466">
        <f>'_Engine_R50'!D35</f>
        <v/>
      </c>
      <c r="G19" s="466">
        <f>'_Engine_R50'!D36</f>
        <v/>
      </c>
      <c r="H19" s="466">
        <f>'_Engine_R50'!D37</f>
        <v/>
      </c>
      <c r="I19" s="466">
        <f>'_Engine_R50'!D38</f>
        <v/>
      </c>
      <c r="J19" s="466">
        <f>'_Engine_R50'!D39</f>
        <v/>
      </c>
      <c r="K19" s="466">
        <f>'_Engine_R50'!D40</f>
        <v/>
      </c>
      <c r="L19" s="466">
        <f>'_Engine_R50'!D41</f>
        <v/>
      </c>
      <c r="M19" s="466">
        <f>'_Engine_R50'!D42</f>
        <v/>
      </c>
      <c r="N19" s="466">
        <f>'_Engine_R50'!D43</f>
        <v/>
      </c>
      <c r="O19" s="466">
        <f>'_Engine_R50'!D44</f>
        <v/>
      </c>
      <c r="P19" s="466">
        <f>'_Engine_R50'!D45</f>
        <v/>
      </c>
      <c r="Q19" s="466">
        <f>'_Engine_R50'!D46</f>
        <v/>
      </c>
      <c r="R19" s="466">
        <f>'_Engine_R50'!D47</f>
        <v/>
      </c>
      <c r="S19" s="466">
        <f>'_Engine_R50'!D48</f>
        <v/>
      </c>
      <c r="T19" s="466">
        <f>'_Engine_R50'!D49</f>
        <v/>
      </c>
      <c r="U19" s="466">
        <f>'_Engine_R50'!D50</f>
        <v/>
      </c>
      <c r="V19" s="466">
        <f>'_Engine_R50'!D51</f>
        <v/>
      </c>
      <c r="W19" s="466">
        <f>'_Engine_R50'!D52</f>
        <v/>
      </c>
      <c r="X19" s="466">
        <f>'_Engine_R50'!D53</f>
        <v/>
      </c>
      <c r="Y19" s="466">
        <f>'_Engine_R50'!D54</f>
        <v/>
      </c>
      <c r="Z19" s="466">
        <f>'_Engine_R50'!D55</f>
        <v/>
      </c>
      <c r="AA19" s="466">
        <f>'_Engine_R50'!D56</f>
        <v/>
      </c>
      <c r="AB19" s="466">
        <f>'_Engine_R50'!D57</f>
        <v/>
      </c>
      <c r="AC19" s="466">
        <f>'_Engine_R50'!D58</f>
        <v/>
      </c>
      <c r="AD19" s="466">
        <f>'_Engine_R50'!D59</f>
        <v/>
      </c>
      <c r="AE19" s="466">
        <f>'_Engine_R50'!D60</f>
        <v/>
      </c>
      <c r="AF19" s="466">
        <f>'_Engine_R50'!D61</f>
        <v/>
      </c>
      <c r="AG19" s="466">
        <f>'_Engine_R50'!D62</f>
        <v/>
      </c>
      <c r="AH19" s="466">
        <f>'_Engine_R50'!D63</f>
        <v/>
      </c>
      <c r="AI19" s="466">
        <f>'_Engine_R50'!D64</f>
        <v/>
      </c>
      <c r="AJ19" s="466">
        <f>'_Engine_R50'!D65</f>
        <v/>
      </c>
      <c r="AK19" s="466">
        <f>'_Engine_R50'!D66</f>
        <v/>
      </c>
      <c r="AL19" s="466">
        <f>'_Engine_R50'!D67</f>
        <v/>
      </c>
      <c r="AM19" s="466">
        <f>'_Engine_R50'!D68</f>
        <v/>
      </c>
      <c r="AN19" s="466">
        <f>'_Engine_R50'!D69</f>
        <v/>
      </c>
      <c r="AO19" s="466">
        <f>'_Engine_R50'!D70</f>
        <v/>
      </c>
      <c r="AP19" s="466">
        <f>'_Engine_R50'!D71</f>
        <v/>
      </c>
      <c r="AQ19" s="466">
        <f>'_Engine_R50'!D72</f>
        <v/>
      </c>
      <c r="AR19" s="466">
        <f>'_Engine_R50'!D73</f>
        <v/>
      </c>
      <c r="AS19" s="466">
        <f>'_Engine_R50'!D74</f>
        <v/>
      </c>
      <c r="AT19" s="466">
        <f>'_Engine_R50'!D75</f>
        <v/>
      </c>
      <c r="AU19" s="466">
        <f>'_Engine_R50'!D76</f>
        <v/>
      </c>
      <c r="AV19" s="466">
        <f>'_Engine_R50'!D77</f>
        <v/>
      </c>
      <c r="AW19" s="466">
        <f>'_Engine_R50'!D78</f>
        <v/>
      </c>
      <c r="AX19" s="466">
        <f>'_Engine_R50'!D79</f>
        <v/>
      </c>
      <c r="AY19" s="466">
        <f>'_Engine_R50'!D80</f>
        <v/>
      </c>
      <c r="AZ19" s="466">
        <f>'_Engine_R50'!D81</f>
        <v/>
      </c>
      <c r="BA19" s="466">
        <f>'_Engine_R50'!D82</f>
        <v/>
      </c>
      <c r="BB19" s="466">
        <f>'_Engine_R50'!D83</f>
        <v/>
      </c>
      <c r="BC19" s="466">
        <f>'_Engine_R50'!D84</f>
        <v/>
      </c>
      <c r="BD19" s="466">
        <f>'_Engine_R50'!D85</f>
        <v/>
      </c>
      <c r="BE19" s="466">
        <f>'_Engine_R50'!D86</f>
        <v/>
      </c>
      <c r="BF19" s="466">
        <f>'_Engine_R50'!D87</f>
        <v/>
      </c>
      <c r="BG19" s="466">
        <f>'_Engine_R50'!D88</f>
        <v/>
      </c>
      <c r="BH19" s="466">
        <f>'_Engine_R50'!D89</f>
        <v/>
      </c>
      <c r="BI19" s="466">
        <f>'_Engine_R50'!D90</f>
        <v/>
      </c>
      <c r="BJ19" s="466">
        <f>'_Engine_R50'!D91</f>
        <v/>
      </c>
      <c r="BK19" s="466">
        <f>'_Engine_R50'!D92</f>
        <v/>
      </c>
      <c r="BL19" s="466">
        <f>'_Engine_R50'!D93</f>
        <v/>
      </c>
      <c r="BM19" s="466">
        <f>'_Engine_R50'!D94</f>
        <v/>
      </c>
      <c r="BN19" s="466">
        <f>'_Engine_R50'!D95</f>
        <v/>
      </c>
      <c r="BO19" s="466">
        <f>'_Engine_R50'!D96</f>
        <v/>
      </c>
      <c r="BP19" s="466">
        <f>'_Engine_R50'!D97</f>
        <v/>
      </c>
      <c r="BQ19" s="466">
        <f>'_Engine_R50'!D98</f>
        <v/>
      </c>
      <c r="BR19" s="466">
        <f>'_Engine_R50'!D99</f>
        <v/>
      </c>
      <c r="BS19" s="466">
        <f>'_Engine_R50'!D100</f>
        <v/>
      </c>
      <c r="BT19" s="466">
        <f>'_Engine_R50'!D101</f>
        <v/>
      </c>
      <c r="BU19" s="466">
        <f>'_Engine_R50'!D102</f>
        <v/>
      </c>
      <c r="BV19" s="466">
        <f>'_Engine_R50'!D103</f>
        <v/>
      </c>
      <c r="BW19" s="466">
        <f>'_Engine_R50'!D104</f>
        <v/>
      </c>
      <c r="BX19" s="466">
        <f>'_Engine_R50'!D105</f>
        <v/>
      </c>
      <c r="BY19" s="466">
        <f>'_Engine_R50'!D106</f>
        <v/>
      </c>
      <c r="BZ19" s="466">
        <f>'_Engine_R50'!D107</f>
        <v/>
      </c>
      <c r="CA19" s="466">
        <f>'_Engine_R50'!D108</f>
        <v/>
      </c>
      <c r="CB19" s="466">
        <f>'_Engine_R50'!D109</f>
        <v/>
      </c>
      <c r="CC19" s="466">
        <f>'_Engine_R50'!D110</f>
        <v/>
      </c>
      <c r="CD19" s="466">
        <f>'_Engine_R50'!D111</f>
        <v/>
      </c>
      <c r="CE19" s="466">
        <f>'_Engine_R50'!D112</f>
        <v/>
      </c>
      <c r="CF19" s="466">
        <f>'_Engine_R50'!D113</f>
        <v/>
      </c>
      <c r="CG19" s="466">
        <f>'_Engine_R50'!D114</f>
        <v/>
      </c>
      <c r="CH19" s="466">
        <f>'_Engine_R50'!D115</f>
        <v/>
      </c>
      <c r="CI19" s="466">
        <f>'_Engine_R50'!D116</f>
        <v/>
      </c>
      <c r="CJ19" s="466">
        <f>'_Engine_R50'!D117</f>
        <v/>
      </c>
      <c r="CK19" s="466">
        <f>'_Engine_R50'!D118</f>
        <v/>
      </c>
      <c r="CL19" s="466">
        <f>'_Engine_R50'!D119</f>
        <v/>
      </c>
      <c r="CM19" s="466">
        <f>'_Engine_R50'!D120</f>
        <v/>
      </c>
      <c r="CN19" s="466">
        <f>'_Engine_R50'!D121</f>
        <v/>
      </c>
      <c r="CO19" s="466">
        <f>'_Engine_R50'!D122</f>
        <v/>
      </c>
      <c r="CP19" s="466">
        <f>'_Engine_R50'!D123</f>
        <v/>
      </c>
      <c r="CQ19" s="466">
        <f>'_Engine_R50'!D124</f>
        <v/>
      </c>
      <c r="CR19" s="466">
        <f>'_Engine_R50'!D125</f>
        <v/>
      </c>
      <c r="CS19" s="466">
        <f>'_Engine_R50'!D126</f>
        <v/>
      </c>
      <c r="CT19" s="466">
        <f>'_Engine_R50'!D127</f>
        <v/>
      </c>
      <c r="CU19" s="466">
        <f>'_Engine_R50'!D128</f>
        <v/>
      </c>
      <c r="CV19" s="466">
        <f>'_Engine_R50'!D129</f>
        <v/>
      </c>
      <c r="CW19" s="466">
        <f>'_Engine_R50'!D130</f>
        <v/>
      </c>
      <c r="CX19" s="466">
        <f>'_Engine_R50'!D131</f>
        <v/>
      </c>
      <c r="CY19" s="466">
        <f>'_Engine_R50'!D132</f>
        <v/>
      </c>
      <c r="CZ19" s="466">
        <f>'_Engine_R50'!D133</f>
        <v/>
      </c>
      <c r="DA19" s="466">
        <f>'_Engine_R50'!D134</f>
        <v/>
      </c>
      <c r="DB19" s="466">
        <f>'_Engine_R50'!D135</f>
        <v/>
      </c>
      <c r="DC19" s="466">
        <f>'_Engine_R50'!D136</f>
        <v/>
      </c>
      <c r="DD19" s="466">
        <f>'_Engine_R50'!D137</f>
        <v/>
      </c>
      <c r="DE19" s="466">
        <f>'_Engine_R50'!D138</f>
        <v/>
      </c>
      <c r="DF19" s="466">
        <f>'_Engine_R50'!D139</f>
        <v/>
      </c>
      <c r="DG19" s="466">
        <f>'_Engine_R50'!D140</f>
        <v/>
      </c>
      <c r="DH19" s="466">
        <f>'_Engine_R50'!D141</f>
        <v/>
      </c>
      <c r="DI19" s="466">
        <f>'_Engine_R50'!D142</f>
        <v/>
      </c>
      <c r="DJ19" s="466">
        <f>'_Engine_R50'!D143</f>
        <v/>
      </c>
      <c r="DK19" s="466">
        <f>'_Engine_R50'!D144</f>
        <v/>
      </c>
      <c r="DL19" s="466">
        <f>'_Engine_R50'!D145</f>
        <v/>
      </c>
      <c r="DM19" s="466">
        <f>'_Engine_R50'!D146</f>
        <v/>
      </c>
      <c r="DN19" s="466">
        <f>'_Engine_R50'!D147</f>
        <v/>
      </c>
      <c r="DO19" s="466">
        <f>'_Engine_R50'!D148</f>
        <v/>
      </c>
      <c r="DP19" s="466">
        <f>'_Engine_R50'!D149</f>
        <v/>
      </c>
      <c r="DQ19" s="466">
        <f>'_Engine_R50'!D150</f>
        <v/>
      </c>
      <c r="DR19" s="466">
        <f>'_Engine_R50'!D151</f>
        <v/>
      </c>
      <c r="DS19" s="466">
        <f>'_Engine_R50'!D152</f>
        <v/>
      </c>
      <c r="DT19" s="466">
        <f>'_Engine_R50'!D153</f>
        <v/>
      </c>
      <c r="DU19" s="466">
        <f>'_Engine_R50'!D154</f>
        <v/>
      </c>
      <c r="DV19" s="466">
        <f>'_Engine_R50'!D155</f>
        <v/>
      </c>
      <c r="DW19" s="466">
        <f>'_Engine_R50'!D156</f>
        <v/>
      </c>
      <c r="DX19" s="466">
        <f>'_Engine_R50'!D157</f>
        <v/>
      </c>
      <c r="DY19" s="466">
        <f>'_Engine_R50'!D158</f>
        <v/>
      </c>
      <c r="DZ19" s="466">
        <f>'_Engine_R50'!D159</f>
        <v/>
      </c>
      <c r="EA19" s="466">
        <f>'_Engine_R50'!D160</f>
        <v/>
      </c>
      <c r="EB19" s="466">
        <f>'_Engine_R50'!D161</f>
        <v/>
      </c>
      <c r="EC19" s="466">
        <f>'_Engine_R50'!D162</f>
        <v/>
      </c>
      <c r="ED19" s="466">
        <f>'_Engine_R50'!D163</f>
        <v/>
      </c>
      <c r="EE19" s="466">
        <f>'_Engine_R50'!D164</f>
        <v/>
      </c>
      <c r="EF19" s="466">
        <f>'_Engine_R50'!D165</f>
        <v/>
      </c>
      <c r="EG19" s="466">
        <f>'_Engine_R50'!D166</f>
        <v/>
      </c>
      <c r="EH19" s="466">
        <f>'_Engine_R50'!D167</f>
        <v/>
      </c>
      <c r="EI19" s="466">
        <f>'_Engine_R50'!D168</f>
        <v/>
      </c>
      <c r="EJ19" s="466">
        <f>'_Engine_R50'!D169</f>
        <v/>
      </c>
      <c r="EK19" s="466">
        <f>'_Engine_R50'!D170</f>
        <v/>
      </c>
      <c r="EL19" s="466">
        <f>'_Engine_R50'!D171</f>
        <v/>
      </c>
      <c r="EM19" s="466">
        <f>'_Engine_R50'!D172</f>
        <v/>
      </c>
      <c r="EN19" s="466">
        <f>'_Engine_R50'!D173</f>
        <v/>
      </c>
      <c r="EO19" s="466">
        <f>'_Engine_R50'!D174</f>
        <v/>
      </c>
      <c r="EP19" s="466">
        <f>'_Engine_R50'!D175</f>
        <v/>
      </c>
      <c r="EQ19" s="466">
        <f>'_Engine_R50'!D176</f>
        <v/>
      </c>
      <c r="ER19" s="466">
        <f>'_Engine_R50'!D177</f>
        <v/>
      </c>
      <c r="ES19" s="466">
        <f>'_Engine_R50'!D178</f>
        <v/>
      </c>
      <c r="ET19" s="466">
        <f>'_Engine_R50'!D179</f>
        <v/>
      </c>
      <c r="EU19" s="466">
        <f>'_Engine_R50'!D180</f>
        <v/>
      </c>
      <c r="EV19" s="466">
        <f>'_Engine_R50'!D181</f>
        <v/>
      </c>
      <c r="EW19" s="466">
        <f>'_Engine_R50'!D182</f>
        <v/>
      </c>
      <c r="EX19" s="466">
        <f>'_Engine_R50'!D183</f>
        <v/>
      </c>
      <c r="EY19" s="466">
        <f>'_Engine_R50'!D184</f>
        <v/>
      </c>
      <c r="EZ19" s="466">
        <f>'_Engine_R50'!D185</f>
        <v/>
      </c>
      <c r="FA19" s="466">
        <f>'_Engine_R50'!D186</f>
        <v/>
      </c>
      <c r="FB19" s="466">
        <f>'_Engine_R50'!D187</f>
        <v/>
      </c>
      <c r="FC19" s="466">
        <f>'_Engine_R50'!D188</f>
        <v/>
      </c>
      <c r="FD19" s="466">
        <f>'_Engine_R50'!D189</f>
        <v/>
      </c>
      <c r="FE19" s="466">
        <f>'_Engine_R50'!D190</f>
        <v/>
      </c>
      <c r="FF19" s="466">
        <f>'_Engine_R50'!D191</f>
        <v/>
      </c>
      <c r="FG19" s="466">
        <f>'_Engine_R50'!D192</f>
        <v/>
      </c>
      <c r="FH19" s="466">
        <f>'_Engine_R50'!D193</f>
        <v/>
      </c>
      <c r="FI19" s="466">
        <f>'_Engine_R50'!D194</f>
        <v/>
      </c>
      <c r="FJ19" s="466">
        <f>'_Engine_R50'!D195</f>
        <v/>
      </c>
      <c r="FK19" s="466">
        <f>'_Engine_R50'!D196</f>
        <v/>
      </c>
      <c r="FL19" s="466">
        <f>'_Engine_R50'!D197</f>
        <v/>
      </c>
      <c r="FM19" s="466">
        <f>'_Engine_R50'!D198</f>
        <v/>
      </c>
      <c r="FN19" s="466">
        <f>'_Engine_R50'!D199</f>
        <v/>
      </c>
      <c r="FO19" s="466">
        <f>'_Engine_R50'!D200</f>
        <v/>
      </c>
      <c r="FP19" s="466">
        <f>'_Engine_R50'!D201</f>
        <v/>
      </c>
      <c r="FQ19" s="466">
        <f>'_Engine_R50'!D202</f>
        <v/>
      </c>
      <c r="FR19" s="466">
        <f>'_Engine_R50'!D203</f>
        <v/>
      </c>
      <c r="FS19" s="466">
        <f>'_Engine_R50'!D204</f>
        <v/>
      </c>
      <c r="FT19" s="466">
        <f>'_Engine_R50'!D205</f>
        <v/>
      </c>
      <c r="FU19" s="466">
        <f>'_Engine_R50'!D206</f>
        <v/>
      </c>
      <c r="FV19" s="466">
        <f>'_Engine_R50'!D207</f>
        <v/>
      </c>
      <c r="FW19" s="466">
        <f>'_Engine_R50'!D208</f>
        <v/>
      </c>
      <c r="FX19" s="466">
        <f>'_Engine_R50'!D209</f>
        <v/>
      </c>
      <c r="FY19" s="466">
        <f>'_Engine_R50'!D210</f>
        <v/>
      </c>
      <c r="FZ19" s="306" t="n"/>
    </row>
    <row r="20" ht="15" customHeight="1" s="307">
      <c r="A20" s="321" t="inlineStr">
        <is>
          <t xml:space="preserve">    Vendor Costs</t>
        </is>
      </c>
      <c r="B20" s="458">
        <f>'_Engine_R50'!E31</f>
        <v/>
      </c>
      <c r="C20" s="458">
        <f>'_Engine_R50'!E32</f>
        <v/>
      </c>
      <c r="D20" s="458">
        <f>'_Engine_R50'!E33</f>
        <v/>
      </c>
      <c r="E20" s="458">
        <f>'_Engine_R50'!E34</f>
        <v/>
      </c>
      <c r="F20" s="458">
        <f>'_Engine_R50'!E35</f>
        <v/>
      </c>
      <c r="G20" s="458">
        <f>'_Engine_R50'!E36</f>
        <v/>
      </c>
      <c r="H20" s="458">
        <f>'_Engine_R50'!E37</f>
        <v/>
      </c>
      <c r="I20" s="458">
        <f>'_Engine_R50'!E38</f>
        <v/>
      </c>
      <c r="J20" s="458">
        <f>'_Engine_R50'!E39</f>
        <v/>
      </c>
      <c r="K20" s="458">
        <f>'_Engine_R50'!E40</f>
        <v/>
      </c>
      <c r="L20" s="458">
        <f>'_Engine_R50'!E41</f>
        <v/>
      </c>
      <c r="M20" s="458">
        <f>'_Engine_R50'!E42</f>
        <v/>
      </c>
      <c r="N20" s="459">
        <f>'_Engine_R50'!E43</f>
        <v/>
      </c>
      <c r="O20" s="459">
        <f>'_Engine_R50'!E44</f>
        <v/>
      </c>
      <c r="P20" s="459">
        <f>'_Engine_R50'!E45</f>
        <v/>
      </c>
      <c r="Q20" s="459">
        <f>'_Engine_R50'!E46</f>
        <v/>
      </c>
      <c r="R20" s="459">
        <f>'_Engine_R50'!E47</f>
        <v/>
      </c>
      <c r="S20" s="459">
        <f>'_Engine_R50'!E48</f>
        <v/>
      </c>
      <c r="T20" s="459">
        <f>'_Engine_R50'!E49</f>
        <v/>
      </c>
      <c r="U20" s="459">
        <f>'_Engine_R50'!E50</f>
        <v/>
      </c>
      <c r="V20" s="459">
        <f>'_Engine_R50'!E51</f>
        <v/>
      </c>
      <c r="W20" s="459">
        <f>'_Engine_R50'!E52</f>
        <v/>
      </c>
      <c r="X20" s="459">
        <f>'_Engine_R50'!E53</f>
        <v/>
      </c>
      <c r="Y20" s="459">
        <f>'_Engine_R50'!E54</f>
        <v/>
      </c>
      <c r="Z20" s="458">
        <f>'_Engine_R50'!E55</f>
        <v/>
      </c>
      <c r="AA20" s="458">
        <f>'_Engine_R50'!E56</f>
        <v/>
      </c>
      <c r="AB20" s="458">
        <f>'_Engine_R50'!E57</f>
        <v/>
      </c>
      <c r="AC20" s="458">
        <f>'_Engine_R50'!E58</f>
        <v/>
      </c>
      <c r="AD20" s="458">
        <f>'_Engine_R50'!E59</f>
        <v/>
      </c>
      <c r="AE20" s="458">
        <f>'_Engine_R50'!E60</f>
        <v/>
      </c>
      <c r="AF20" s="458">
        <f>'_Engine_R50'!E61</f>
        <v/>
      </c>
      <c r="AG20" s="458">
        <f>'_Engine_R50'!E62</f>
        <v/>
      </c>
      <c r="AH20" s="458">
        <f>'_Engine_R50'!E63</f>
        <v/>
      </c>
      <c r="AI20" s="458">
        <f>'_Engine_R50'!E64</f>
        <v/>
      </c>
      <c r="AJ20" s="458">
        <f>'_Engine_R50'!E65</f>
        <v/>
      </c>
      <c r="AK20" s="458">
        <f>'_Engine_R50'!E66</f>
        <v/>
      </c>
      <c r="AL20" s="459">
        <f>'_Engine_R50'!E67</f>
        <v/>
      </c>
      <c r="AM20" s="459">
        <f>'_Engine_R50'!E68</f>
        <v/>
      </c>
      <c r="AN20" s="459">
        <f>'_Engine_R50'!E69</f>
        <v/>
      </c>
      <c r="AO20" s="459">
        <f>'_Engine_R50'!E70</f>
        <v/>
      </c>
      <c r="AP20" s="459">
        <f>'_Engine_R50'!E71</f>
        <v/>
      </c>
      <c r="AQ20" s="459">
        <f>'_Engine_R50'!E72</f>
        <v/>
      </c>
      <c r="AR20" s="459">
        <f>'_Engine_R50'!E73</f>
        <v/>
      </c>
      <c r="AS20" s="459">
        <f>'_Engine_R50'!E74</f>
        <v/>
      </c>
      <c r="AT20" s="459">
        <f>'_Engine_R50'!E75</f>
        <v/>
      </c>
      <c r="AU20" s="459">
        <f>'_Engine_R50'!E76</f>
        <v/>
      </c>
      <c r="AV20" s="459">
        <f>'_Engine_R50'!E77</f>
        <v/>
      </c>
      <c r="AW20" s="459">
        <f>'_Engine_R50'!E78</f>
        <v/>
      </c>
      <c r="AX20" s="458">
        <f>'_Engine_R50'!E79</f>
        <v/>
      </c>
      <c r="AY20" s="458">
        <f>'_Engine_R50'!E80</f>
        <v/>
      </c>
      <c r="AZ20" s="458">
        <f>'_Engine_R50'!E81</f>
        <v/>
      </c>
      <c r="BA20" s="458">
        <f>'_Engine_R50'!E82</f>
        <v/>
      </c>
      <c r="BB20" s="458">
        <f>'_Engine_R50'!E83</f>
        <v/>
      </c>
      <c r="BC20" s="458">
        <f>'_Engine_R50'!E84</f>
        <v/>
      </c>
      <c r="BD20" s="458">
        <f>'_Engine_R50'!E85</f>
        <v/>
      </c>
      <c r="BE20" s="458">
        <f>'_Engine_R50'!E86</f>
        <v/>
      </c>
      <c r="BF20" s="458">
        <f>'_Engine_R50'!E87</f>
        <v/>
      </c>
      <c r="BG20" s="458">
        <f>'_Engine_R50'!E88</f>
        <v/>
      </c>
      <c r="BH20" s="458">
        <f>'_Engine_R50'!E89</f>
        <v/>
      </c>
      <c r="BI20" s="458">
        <f>'_Engine_R50'!E90</f>
        <v/>
      </c>
      <c r="BJ20" s="459">
        <f>'_Engine_R50'!E91</f>
        <v/>
      </c>
      <c r="BK20" s="459">
        <f>'_Engine_R50'!E92</f>
        <v/>
      </c>
      <c r="BL20" s="459">
        <f>'_Engine_R50'!E93</f>
        <v/>
      </c>
      <c r="BM20" s="459">
        <f>'_Engine_R50'!E94</f>
        <v/>
      </c>
      <c r="BN20" s="459">
        <f>'_Engine_R50'!E95</f>
        <v/>
      </c>
      <c r="BO20" s="459">
        <f>'_Engine_R50'!E96</f>
        <v/>
      </c>
      <c r="BP20" s="459">
        <f>'_Engine_R50'!E97</f>
        <v/>
      </c>
      <c r="BQ20" s="459">
        <f>'_Engine_R50'!E98</f>
        <v/>
      </c>
      <c r="BR20" s="459">
        <f>'_Engine_R50'!E99</f>
        <v/>
      </c>
      <c r="BS20" s="459">
        <f>'_Engine_R50'!E100</f>
        <v/>
      </c>
      <c r="BT20" s="459">
        <f>'_Engine_R50'!E101</f>
        <v/>
      </c>
      <c r="BU20" s="459">
        <f>'_Engine_R50'!E102</f>
        <v/>
      </c>
      <c r="BV20" s="458">
        <f>'_Engine_R50'!E103</f>
        <v/>
      </c>
      <c r="BW20" s="458">
        <f>'_Engine_R50'!E104</f>
        <v/>
      </c>
      <c r="BX20" s="458">
        <f>'_Engine_R50'!E105</f>
        <v/>
      </c>
      <c r="BY20" s="458">
        <f>'_Engine_R50'!E106</f>
        <v/>
      </c>
      <c r="BZ20" s="458">
        <f>'_Engine_R50'!E107</f>
        <v/>
      </c>
      <c r="CA20" s="458">
        <f>'_Engine_R50'!E108</f>
        <v/>
      </c>
      <c r="CB20" s="458">
        <f>'_Engine_R50'!E109</f>
        <v/>
      </c>
      <c r="CC20" s="458">
        <f>'_Engine_R50'!E110</f>
        <v/>
      </c>
      <c r="CD20" s="458">
        <f>'_Engine_R50'!E111</f>
        <v/>
      </c>
      <c r="CE20" s="458">
        <f>'_Engine_R50'!E112</f>
        <v/>
      </c>
      <c r="CF20" s="458">
        <f>'_Engine_R50'!E113</f>
        <v/>
      </c>
      <c r="CG20" s="458">
        <f>'_Engine_R50'!E114</f>
        <v/>
      </c>
      <c r="CH20" s="459">
        <f>'_Engine_R50'!E115</f>
        <v/>
      </c>
      <c r="CI20" s="459">
        <f>'_Engine_R50'!E116</f>
        <v/>
      </c>
      <c r="CJ20" s="459">
        <f>'_Engine_R50'!E117</f>
        <v/>
      </c>
      <c r="CK20" s="459">
        <f>'_Engine_R50'!E118</f>
        <v/>
      </c>
      <c r="CL20" s="459">
        <f>'_Engine_R50'!E119</f>
        <v/>
      </c>
      <c r="CM20" s="459">
        <f>'_Engine_R50'!E120</f>
        <v/>
      </c>
      <c r="CN20" s="459">
        <f>'_Engine_R50'!E121</f>
        <v/>
      </c>
      <c r="CO20" s="459">
        <f>'_Engine_R50'!E122</f>
        <v/>
      </c>
      <c r="CP20" s="459">
        <f>'_Engine_R50'!E123</f>
        <v/>
      </c>
      <c r="CQ20" s="459">
        <f>'_Engine_R50'!E124</f>
        <v/>
      </c>
      <c r="CR20" s="459">
        <f>'_Engine_R50'!E125</f>
        <v/>
      </c>
      <c r="CS20" s="459">
        <f>'_Engine_R50'!E126</f>
        <v/>
      </c>
      <c r="CT20" s="458">
        <f>'_Engine_R50'!E127</f>
        <v/>
      </c>
      <c r="CU20" s="458">
        <f>'_Engine_R50'!E128</f>
        <v/>
      </c>
      <c r="CV20" s="458">
        <f>'_Engine_R50'!E129</f>
        <v/>
      </c>
      <c r="CW20" s="458">
        <f>'_Engine_R50'!E130</f>
        <v/>
      </c>
      <c r="CX20" s="458">
        <f>'_Engine_R50'!E131</f>
        <v/>
      </c>
      <c r="CY20" s="458">
        <f>'_Engine_R50'!E132</f>
        <v/>
      </c>
      <c r="CZ20" s="458">
        <f>'_Engine_R50'!E133</f>
        <v/>
      </c>
      <c r="DA20" s="458">
        <f>'_Engine_R50'!E134</f>
        <v/>
      </c>
      <c r="DB20" s="458">
        <f>'_Engine_R50'!E135</f>
        <v/>
      </c>
      <c r="DC20" s="458">
        <f>'_Engine_R50'!E136</f>
        <v/>
      </c>
      <c r="DD20" s="458">
        <f>'_Engine_R50'!E137</f>
        <v/>
      </c>
      <c r="DE20" s="458">
        <f>'_Engine_R50'!E138</f>
        <v/>
      </c>
      <c r="DF20" s="459">
        <f>'_Engine_R50'!E139</f>
        <v/>
      </c>
      <c r="DG20" s="459">
        <f>'_Engine_R50'!E140</f>
        <v/>
      </c>
      <c r="DH20" s="459">
        <f>'_Engine_R50'!E141</f>
        <v/>
      </c>
      <c r="DI20" s="459">
        <f>'_Engine_R50'!E142</f>
        <v/>
      </c>
      <c r="DJ20" s="459">
        <f>'_Engine_R50'!E143</f>
        <v/>
      </c>
      <c r="DK20" s="459">
        <f>'_Engine_R50'!E144</f>
        <v/>
      </c>
      <c r="DL20" s="459">
        <f>'_Engine_R50'!E145</f>
        <v/>
      </c>
      <c r="DM20" s="459">
        <f>'_Engine_R50'!E146</f>
        <v/>
      </c>
      <c r="DN20" s="459">
        <f>'_Engine_R50'!E147</f>
        <v/>
      </c>
      <c r="DO20" s="459">
        <f>'_Engine_R50'!E148</f>
        <v/>
      </c>
      <c r="DP20" s="459">
        <f>'_Engine_R50'!E149</f>
        <v/>
      </c>
      <c r="DQ20" s="459">
        <f>'_Engine_R50'!E150</f>
        <v/>
      </c>
      <c r="DR20" s="458">
        <f>'_Engine_R50'!E151</f>
        <v/>
      </c>
      <c r="DS20" s="458">
        <f>'_Engine_R50'!E152</f>
        <v/>
      </c>
      <c r="DT20" s="458">
        <f>'_Engine_R50'!E153</f>
        <v/>
      </c>
      <c r="DU20" s="458">
        <f>'_Engine_R50'!E154</f>
        <v/>
      </c>
      <c r="DV20" s="458">
        <f>'_Engine_R50'!E155</f>
        <v/>
      </c>
      <c r="DW20" s="458">
        <f>'_Engine_R50'!E156</f>
        <v/>
      </c>
      <c r="DX20" s="458">
        <f>'_Engine_R50'!E157</f>
        <v/>
      </c>
      <c r="DY20" s="458">
        <f>'_Engine_R50'!E158</f>
        <v/>
      </c>
      <c r="DZ20" s="458">
        <f>'_Engine_R50'!E159</f>
        <v/>
      </c>
      <c r="EA20" s="458">
        <f>'_Engine_R50'!E160</f>
        <v/>
      </c>
      <c r="EB20" s="458">
        <f>'_Engine_R50'!E161</f>
        <v/>
      </c>
      <c r="EC20" s="458">
        <f>'_Engine_R50'!E162</f>
        <v/>
      </c>
      <c r="ED20" s="459">
        <f>'_Engine_R50'!E163</f>
        <v/>
      </c>
      <c r="EE20" s="459">
        <f>'_Engine_R50'!E164</f>
        <v/>
      </c>
      <c r="EF20" s="459">
        <f>'_Engine_R50'!E165</f>
        <v/>
      </c>
      <c r="EG20" s="459">
        <f>'_Engine_R50'!E166</f>
        <v/>
      </c>
      <c r="EH20" s="459">
        <f>'_Engine_R50'!E167</f>
        <v/>
      </c>
      <c r="EI20" s="459">
        <f>'_Engine_R50'!E168</f>
        <v/>
      </c>
      <c r="EJ20" s="459">
        <f>'_Engine_R50'!E169</f>
        <v/>
      </c>
      <c r="EK20" s="459">
        <f>'_Engine_R50'!E170</f>
        <v/>
      </c>
      <c r="EL20" s="459">
        <f>'_Engine_R50'!E171</f>
        <v/>
      </c>
      <c r="EM20" s="459">
        <f>'_Engine_R50'!E172</f>
        <v/>
      </c>
      <c r="EN20" s="459">
        <f>'_Engine_R50'!E173</f>
        <v/>
      </c>
      <c r="EO20" s="459">
        <f>'_Engine_R50'!E174</f>
        <v/>
      </c>
      <c r="EP20" s="458">
        <f>'_Engine_R50'!E175</f>
        <v/>
      </c>
      <c r="EQ20" s="458">
        <f>'_Engine_R50'!E176</f>
        <v/>
      </c>
      <c r="ER20" s="458">
        <f>'_Engine_R50'!E177</f>
        <v/>
      </c>
      <c r="ES20" s="458">
        <f>'_Engine_R50'!E178</f>
        <v/>
      </c>
      <c r="ET20" s="458">
        <f>'_Engine_R50'!E179</f>
        <v/>
      </c>
      <c r="EU20" s="458">
        <f>'_Engine_R50'!E180</f>
        <v/>
      </c>
      <c r="EV20" s="458">
        <f>'_Engine_R50'!E181</f>
        <v/>
      </c>
      <c r="EW20" s="458">
        <f>'_Engine_R50'!E182</f>
        <v/>
      </c>
      <c r="EX20" s="458">
        <f>'_Engine_R50'!E183</f>
        <v/>
      </c>
      <c r="EY20" s="458">
        <f>'_Engine_R50'!E184</f>
        <v/>
      </c>
      <c r="EZ20" s="458">
        <f>'_Engine_R50'!E185</f>
        <v/>
      </c>
      <c r="FA20" s="458">
        <f>'_Engine_R50'!E186</f>
        <v/>
      </c>
      <c r="FB20" s="459">
        <f>'_Engine_R50'!E187</f>
        <v/>
      </c>
      <c r="FC20" s="459">
        <f>'_Engine_R50'!E188</f>
        <v/>
      </c>
      <c r="FD20" s="459">
        <f>'_Engine_R50'!E189</f>
        <v/>
      </c>
      <c r="FE20" s="459">
        <f>'_Engine_R50'!E190</f>
        <v/>
      </c>
      <c r="FF20" s="459">
        <f>'_Engine_R50'!E191</f>
        <v/>
      </c>
      <c r="FG20" s="459">
        <f>'_Engine_R50'!E192</f>
        <v/>
      </c>
      <c r="FH20" s="459">
        <f>'_Engine_R50'!E193</f>
        <v/>
      </c>
      <c r="FI20" s="459">
        <f>'_Engine_R50'!E194</f>
        <v/>
      </c>
      <c r="FJ20" s="459">
        <f>'_Engine_R50'!E195</f>
        <v/>
      </c>
      <c r="FK20" s="459">
        <f>'_Engine_R50'!E196</f>
        <v/>
      </c>
      <c r="FL20" s="459">
        <f>'_Engine_R50'!E197</f>
        <v/>
      </c>
      <c r="FM20" s="459">
        <f>'_Engine_R50'!E198</f>
        <v/>
      </c>
      <c r="FN20" s="458">
        <f>'_Engine_R50'!E199</f>
        <v/>
      </c>
      <c r="FO20" s="458">
        <f>'_Engine_R50'!E200</f>
        <v/>
      </c>
      <c r="FP20" s="458">
        <f>'_Engine_R50'!E201</f>
        <v/>
      </c>
      <c r="FQ20" s="458">
        <f>'_Engine_R50'!E202</f>
        <v/>
      </c>
      <c r="FR20" s="458">
        <f>'_Engine_R50'!E203</f>
        <v/>
      </c>
      <c r="FS20" s="458">
        <f>'_Engine_R50'!E204</f>
        <v/>
      </c>
      <c r="FT20" s="458">
        <f>'_Engine_R50'!E205</f>
        <v/>
      </c>
      <c r="FU20" s="458">
        <f>'_Engine_R50'!E206</f>
        <v/>
      </c>
      <c r="FV20" s="458">
        <f>'_Engine_R50'!E207</f>
        <v/>
      </c>
      <c r="FW20" s="458">
        <f>'_Engine_R50'!E208</f>
        <v/>
      </c>
      <c r="FX20" s="458">
        <f>'_Engine_R50'!E209</f>
        <v/>
      </c>
      <c r="FY20" s="458">
        <f>'_Engine_R50'!E210</f>
        <v/>
      </c>
      <c r="FZ20" s="306" t="n"/>
    </row>
    <row r="21" ht="15" customHeight="1" s="307">
      <c r="A21" s="321" t="inlineStr">
        <is>
          <t xml:space="preserve">    Corporate Allocation</t>
        </is>
      </c>
      <c r="B21" s="458">
        <f>'_Engine_R50'!U31</f>
        <v/>
      </c>
      <c r="C21" s="458">
        <f>'_Engine_R50'!U32</f>
        <v/>
      </c>
      <c r="D21" s="458">
        <f>'_Engine_R50'!U33</f>
        <v/>
      </c>
      <c r="E21" s="458">
        <f>'_Engine_R50'!U34</f>
        <v/>
      </c>
      <c r="F21" s="458">
        <f>'_Engine_R50'!U35</f>
        <v/>
      </c>
      <c r="G21" s="458">
        <f>'_Engine_R50'!U36</f>
        <v/>
      </c>
      <c r="H21" s="458">
        <f>'_Engine_R50'!U37</f>
        <v/>
      </c>
      <c r="I21" s="458">
        <f>'_Engine_R50'!U38</f>
        <v/>
      </c>
      <c r="J21" s="458">
        <f>'_Engine_R50'!U39</f>
        <v/>
      </c>
      <c r="K21" s="458">
        <f>'_Engine_R50'!U40</f>
        <v/>
      </c>
      <c r="L21" s="458">
        <f>'_Engine_R50'!U41</f>
        <v/>
      </c>
      <c r="M21" s="458">
        <f>'_Engine_R50'!U42</f>
        <v/>
      </c>
      <c r="N21" s="459">
        <f>'_Engine_R50'!U43</f>
        <v/>
      </c>
      <c r="O21" s="459">
        <f>'_Engine_R50'!U44</f>
        <v/>
      </c>
      <c r="P21" s="459">
        <f>'_Engine_R50'!U45</f>
        <v/>
      </c>
      <c r="Q21" s="459">
        <f>'_Engine_R50'!U46</f>
        <v/>
      </c>
      <c r="R21" s="459">
        <f>'_Engine_R50'!U47</f>
        <v/>
      </c>
      <c r="S21" s="459">
        <f>'_Engine_R50'!U48</f>
        <v/>
      </c>
      <c r="T21" s="459">
        <f>'_Engine_R50'!U49</f>
        <v/>
      </c>
      <c r="U21" s="459">
        <f>'_Engine_R50'!U50</f>
        <v/>
      </c>
      <c r="V21" s="459">
        <f>'_Engine_R50'!U51</f>
        <v/>
      </c>
      <c r="W21" s="459">
        <f>'_Engine_R50'!U52</f>
        <v/>
      </c>
      <c r="X21" s="459">
        <f>'_Engine_R50'!U53</f>
        <v/>
      </c>
      <c r="Y21" s="459">
        <f>'_Engine_R50'!U54</f>
        <v/>
      </c>
      <c r="Z21" s="458">
        <f>'_Engine_R50'!U55</f>
        <v/>
      </c>
      <c r="AA21" s="458">
        <f>'_Engine_R50'!U56</f>
        <v/>
      </c>
      <c r="AB21" s="458">
        <f>'_Engine_R50'!U57</f>
        <v/>
      </c>
      <c r="AC21" s="458">
        <f>'_Engine_R50'!U58</f>
        <v/>
      </c>
      <c r="AD21" s="458">
        <f>'_Engine_R50'!U59</f>
        <v/>
      </c>
      <c r="AE21" s="458">
        <f>'_Engine_R50'!U60</f>
        <v/>
      </c>
      <c r="AF21" s="458">
        <f>'_Engine_R50'!U61</f>
        <v/>
      </c>
      <c r="AG21" s="458">
        <f>'_Engine_R50'!U62</f>
        <v/>
      </c>
      <c r="AH21" s="458">
        <f>'_Engine_R50'!U63</f>
        <v/>
      </c>
      <c r="AI21" s="458">
        <f>'_Engine_R50'!U64</f>
        <v/>
      </c>
      <c r="AJ21" s="458">
        <f>'_Engine_R50'!U65</f>
        <v/>
      </c>
      <c r="AK21" s="458">
        <f>'_Engine_R50'!U66</f>
        <v/>
      </c>
      <c r="AL21" s="459">
        <f>'_Engine_R50'!U67</f>
        <v/>
      </c>
      <c r="AM21" s="459">
        <f>'_Engine_R50'!U68</f>
        <v/>
      </c>
      <c r="AN21" s="459">
        <f>'_Engine_R50'!U69</f>
        <v/>
      </c>
      <c r="AO21" s="459">
        <f>'_Engine_R50'!U70</f>
        <v/>
      </c>
      <c r="AP21" s="459">
        <f>'_Engine_R50'!U71</f>
        <v/>
      </c>
      <c r="AQ21" s="459">
        <f>'_Engine_R50'!U72</f>
        <v/>
      </c>
      <c r="AR21" s="459">
        <f>'_Engine_R50'!U73</f>
        <v/>
      </c>
      <c r="AS21" s="459">
        <f>'_Engine_R50'!U74</f>
        <v/>
      </c>
      <c r="AT21" s="459">
        <f>'_Engine_R50'!U75</f>
        <v/>
      </c>
      <c r="AU21" s="459">
        <f>'_Engine_R50'!U76</f>
        <v/>
      </c>
      <c r="AV21" s="459">
        <f>'_Engine_R50'!U77</f>
        <v/>
      </c>
      <c r="AW21" s="459">
        <f>'_Engine_R50'!U78</f>
        <v/>
      </c>
      <c r="AX21" s="458">
        <f>'_Engine_R50'!U79</f>
        <v/>
      </c>
      <c r="AY21" s="458">
        <f>'_Engine_R50'!U80</f>
        <v/>
      </c>
      <c r="AZ21" s="458">
        <f>'_Engine_R50'!U81</f>
        <v/>
      </c>
      <c r="BA21" s="458">
        <f>'_Engine_R50'!U82</f>
        <v/>
      </c>
      <c r="BB21" s="458">
        <f>'_Engine_R50'!U83</f>
        <v/>
      </c>
      <c r="BC21" s="458">
        <f>'_Engine_R50'!U84</f>
        <v/>
      </c>
      <c r="BD21" s="458">
        <f>'_Engine_R50'!U85</f>
        <v/>
      </c>
      <c r="BE21" s="458">
        <f>'_Engine_R50'!U86</f>
        <v/>
      </c>
      <c r="BF21" s="458">
        <f>'_Engine_R50'!U87</f>
        <v/>
      </c>
      <c r="BG21" s="458">
        <f>'_Engine_R50'!U88</f>
        <v/>
      </c>
      <c r="BH21" s="458">
        <f>'_Engine_R50'!U89</f>
        <v/>
      </c>
      <c r="BI21" s="458">
        <f>'_Engine_R50'!U90</f>
        <v/>
      </c>
      <c r="BJ21" s="459">
        <f>'_Engine_R50'!U91</f>
        <v/>
      </c>
      <c r="BK21" s="459">
        <f>'_Engine_R50'!U92</f>
        <v/>
      </c>
      <c r="BL21" s="459">
        <f>'_Engine_R50'!U93</f>
        <v/>
      </c>
      <c r="BM21" s="459">
        <f>'_Engine_R50'!U94</f>
        <v/>
      </c>
      <c r="BN21" s="459">
        <f>'_Engine_R50'!U95</f>
        <v/>
      </c>
      <c r="BO21" s="459">
        <f>'_Engine_R50'!U96</f>
        <v/>
      </c>
      <c r="BP21" s="459">
        <f>'_Engine_R50'!U97</f>
        <v/>
      </c>
      <c r="BQ21" s="459">
        <f>'_Engine_R50'!U98</f>
        <v/>
      </c>
      <c r="BR21" s="459">
        <f>'_Engine_R50'!U99</f>
        <v/>
      </c>
      <c r="BS21" s="459">
        <f>'_Engine_R50'!U100</f>
        <v/>
      </c>
      <c r="BT21" s="459">
        <f>'_Engine_R50'!U101</f>
        <v/>
      </c>
      <c r="BU21" s="459">
        <f>'_Engine_R50'!U102</f>
        <v/>
      </c>
      <c r="BV21" s="458">
        <f>'_Engine_R50'!U103</f>
        <v/>
      </c>
      <c r="BW21" s="458">
        <f>'_Engine_R50'!U104</f>
        <v/>
      </c>
      <c r="BX21" s="458">
        <f>'_Engine_R50'!U105</f>
        <v/>
      </c>
      <c r="BY21" s="458">
        <f>'_Engine_R50'!U106</f>
        <v/>
      </c>
      <c r="BZ21" s="458">
        <f>'_Engine_R50'!U107</f>
        <v/>
      </c>
      <c r="CA21" s="458">
        <f>'_Engine_R50'!U108</f>
        <v/>
      </c>
      <c r="CB21" s="458">
        <f>'_Engine_R50'!U109</f>
        <v/>
      </c>
      <c r="CC21" s="458">
        <f>'_Engine_R50'!U110</f>
        <v/>
      </c>
      <c r="CD21" s="458">
        <f>'_Engine_R50'!U111</f>
        <v/>
      </c>
      <c r="CE21" s="458">
        <f>'_Engine_R50'!U112</f>
        <v/>
      </c>
      <c r="CF21" s="458">
        <f>'_Engine_R50'!U113</f>
        <v/>
      </c>
      <c r="CG21" s="458">
        <f>'_Engine_R50'!U114</f>
        <v/>
      </c>
      <c r="CH21" s="459">
        <f>'_Engine_R50'!U115</f>
        <v/>
      </c>
      <c r="CI21" s="459">
        <f>'_Engine_R50'!U116</f>
        <v/>
      </c>
      <c r="CJ21" s="459">
        <f>'_Engine_R50'!U117</f>
        <v/>
      </c>
      <c r="CK21" s="459">
        <f>'_Engine_R50'!U118</f>
        <v/>
      </c>
      <c r="CL21" s="459">
        <f>'_Engine_R50'!U119</f>
        <v/>
      </c>
      <c r="CM21" s="459">
        <f>'_Engine_R50'!U120</f>
        <v/>
      </c>
      <c r="CN21" s="459">
        <f>'_Engine_R50'!U121</f>
        <v/>
      </c>
      <c r="CO21" s="459">
        <f>'_Engine_R50'!U122</f>
        <v/>
      </c>
      <c r="CP21" s="459">
        <f>'_Engine_R50'!U123</f>
        <v/>
      </c>
      <c r="CQ21" s="459">
        <f>'_Engine_R50'!U124</f>
        <v/>
      </c>
      <c r="CR21" s="459">
        <f>'_Engine_R50'!U125</f>
        <v/>
      </c>
      <c r="CS21" s="459">
        <f>'_Engine_R50'!U126</f>
        <v/>
      </c>
      <c r="CT21" s="458">
        <f>'_Engine_R50'!U127</f>
        <v/>
      </c>
      <c r="CU21" s="458">
        <f>'_Engine_R50'!U128</f>
        <v/>
      </c>
      <c r="CV21" s="458">
        <f>'_Engine_R50'!U129</f>
        <v/>
      </c>
      <c r="CW21" s="458">
        <f>'_Engine_R50'!U130</f>
        <v/>
      </c>
      <c r="CX21" s="458">
        <f>'_Engine_R50'!U131</f>
        <v/>
      </c>
      <c r="CY21" s="458">
        <f>'_Engine_R50'!U132</f>
        <v/>
      </c>
      <c r="CZ21" s="458">
        <f>'_Engine_R50'!U133</f>
        <v/>
      </c>
      <c r="DA21" s="458">
        <f>'_Engine_R50'!U134</f>
        <v/>
      </c>
      <c r="DB21" s="458">
        <f>'_Engine_R50'!U135</f>
        <v/>
      </c>
      <c r="DC21" s="458">
        <f>'_Engine_R50'!U136</f>
        <v/>
      </c>
      <c r="DD21" s="458">
        <f>'_Engine_R50'!U137</f>
        <v/>
      </c>
      <c r="DE21" s="458">
        <f>'_Engine_R50'!U138</f>
        <v/>
      </c>
      <c r="DF21" s="459">
        <f>'_Engine_R50'!U139</f>
        <v/>
      </c>
      <c r="DG21" s="459">
        <f>'_Engine_R50'!U140</f>
        <v/>
      </c>
      <c r="DH21" s="459">
        <f>'_Engine_R50'!U141</f>
        <v/>
      </c>
      <c r="DI21" s="459">
        <f>'_Engine_R50'!U142</f>
        <v/>
      </c>
      <c r="DJ21" s="459">
        <f>'_Engine_R50'!U143</f>
        <v/>
      </c>
      <c r="DK21" s="459">
        <f>'_Engine_R50'!U144</f>
        <v/>
      </c>
      <c r="DL21" s="459">
        <f>'_Engine_R50'!U145</f>
        <v/>
      </c>
      <c r="DM21" s="459">
        <f>'_Engine_R50'!U146</f>
        <v/>
      </c>
      <c r="DN21" s="459">
        <f>'_Engine_R50'!U147</f>
        <v/>
      </c>
      <c r="DO21" s="459">
        <f>'_Engine_R50'!U148</f>
        <v/>
      </c>
      <c r="DP21" s="459">
        <f>'_Engine_R50'!U149</f>
        <v/>
      </c>
      <c r="DQ21" s="459">
        <f>'_Engine_R50'!U150</f>
        <v/>
      </c>
      <c r="DR21" s="458">
        <f>'_Engine_R50'!U151</f>
        <v/>
      </c>
      <c r="DS21" s="458">
        <f>'_Engine_R50'!U152</f>
        <v/>
      </c>
      <c r="DT21" s="458">
        <f>'_Engine_R50'!U153</f>
        <v/>
      </c>
      <c r="DU21" s="458">
        <f>'_Engine_R50'!U154</f>
        <v/>
      </c>
      <c r="DV21" s="458">
        <f>'_Engine_R50'!U155</f>
        <v/>
      </c>
      <c r="DW21" s="458">
        <f>'_Engine_R50'!U156</f>
        <v/>
      </c>
      <c r="DX21" s="458">
        <f>'_Engine_R50'!U157</f>
        <v/>
      </c>
      <c r="DY21" s="458">
        <f>'_Engine_R50'!U158</f>
        <v/>
      </c>
      <c r="DZ21" s="458">
        <f>'_Engine_R50'!U159</f>
        <v/>
      </c>
      <c r="EA21" s="458">
        <f>'_Engine_R50'!U160</f>
        <v/>
      </c>
      <c r="EB21" s="458">
        <f>'_Engine_R50'!U161</f>
        <v/>
      </c>
      <c r="EC21" s="458">
        <f>'_Engine_R50'!U162</f>
        <v/>
      </c>
      <c r="ED21" s="459">
        <f>'_Engine_R50'!U163</f>
        <v/>
      </c>
      <c r="EE21" s="459">
        <f>'_Engine_R50'!U164</f>
        <v/>
      </c>
      <c r="EF21" s="459">
        <f>'_Engine_R50'!U165</f>
        <v/>
      </c>
      <c r="EG21" s="459">
        <f>'_Engine_R50'!U166</f>
        <v/>
      </c>
      <c r="EH21" s="459">
        <f>'_Engine_R50'!U167</f>
        <v/>
      </c>
      <c r="EI21" s="459">
        <f>'_Engine_R50'!U168</f>
        <v/>
      </c>
      <c r="EJ21" s="459">
        <f>'_Engine_R50'!U169</f>
        <v/>
      </c>
      <c r="EK21" s="459">
        <f>'_Engine_R50'!U170</f>
        <v/>
      </c>
      <c r="EL21" s="459">
        <f>'_Engine_R50'!U171</f>
        <v/>
      </c>
      <c r="EM21" s="459">
        <f>'_Engine_R50'!U172</f>
        <v/>
      </c>
      <c r="EN21" s="459">
        <f>'_Engine_R50'!U173</f>
        <v/>
      </c>
      <c r="EO21" s="459">
        <f>'_Engine_R50'!U174</f>
        <v/>
      </c>
      <c r="EP21" s="458">
        <f>'_Engine_R50'!U175</f>
        <v/>
      </c>
      <c r="EQ21" s="458">
        <f>'_Engine_R50'!U176</f>
        <v/>
      </c>
      <c r="ER21" s="458">
        <f>'_Engine_R50'!U177</f>
        <v/>
      </c>
      <c r="ES21" s="458">
        <f>'_Engine_R50'!U178</f>
        <v/>
      </c>
      <c r="ET21" s="458">
        <f>'_Engine_R50'!U179</f>
        <v/>
      </c>
      <c r="EU21" s="458">
        <f>'_Engine_R50'!U180</f>
        <v/>
      </c>
      <c r="EV21" s="458">
        <f>'_Engine_R50'!U181</f>
        <v/>
      </c>
      <c r="EW21" s="458">
        <f>'_Engine_R50'!U182</f>
        <v/>
      </c>
      <c r="EX21" s="458">
        <f>'_Engine_R50'!U183</f>
        <v/>
      </c>
      <c r="EY21" s="458">
        <f>'_Engine_R50'!U184</f>
        <v/>
      </c>
      <c r="EZ21" s="458">
        <f>'_Engine_R50'!U185</f>
        <v/>
      </c>
      <c r="FA21" s="458">
        <f>'_Engine_R50'!U186</f>
        <v/>
      </c>
      <c r="FB21" s="459">
        <f>'_Engine_R50'!U187</f>
        <v/>
      </c>
      <c r="FC21" s="459">
        <f>'_Engine_R50'!U188</f>
        <v/>
      </c>
      <c r="FD21" s="459">
        <f>'_Engine_R50'!U189</f>
        <v/>
      </c>
      <c r="FE21" s="459">
        <f>'_Engine_R50'!U190</f>
        <v/>
      </c>
      <c r="FF21" s="459">
        <f>'_Engine_R50'!U191</f>
        <v/>
      </c>
      <c r="FG21" s="459">
        <f>'_Engine_R50'!U192</f>
        <v/>
      </c>
      <c r="FH21" s="459">
        <f>'_Engine_R50'!U193</f>
        <v/>
      </c>
      <c r="FI21" s="459">
        <f>'_Engine_R50'!U194</f>
        <v/>
      </c>
      <c r="FJ21" s="459">
        <f>'_Engine_R50'!U195</f>
        <v/>
      </c>
      <c r="FK21" s="459">
        <f>'_Engine_R50'!U196</f>
        <v/>
      </c>
      <c r="FL21" s="459">
        <f>'_Engine_R50'!U197</f>
        <v/>
      </c>
      <c r="FM21" s="459">
        <f>'_Engine_R50'!U198</f>
        <v/>
      </c>
      <c r="FN21" s="458">
        <f>'_Engine_R50'!U199</f>
        <v/>
      </c>
      <c r="FO21" s="458">
        <f>'_Engine_R50'!U200</f>
        <v/>
      </c>
      <c r="FP21" s="458">
        <f>'_Engine_R50'!U201</f>
        <v/>
      </c>
      <c r="FQ21" s="458">
        <f>'_Engine_R50'!U202</f>
        <v/>
      </c>
      <c r="FR21" s="458">
        <f>'_Engine_R50'!U203</f>
        <v/>
      </c>
      <c r="FS21" s="458">
        <f>'_Engine_R50'!U204</f>
        <v/>
      </c>
      <c r="FT21" s="458">
        <f>'_Engine_R50'!U205</f>
        <v/>
      </c>
      <c r="FU21" s="458">
        <f>'_Engine_R50'!U206</f>
        <v/>
      </c>
      <c r="FV21" s="458">
        <f>'_Engine_R50'!U207</f>
        <v/>
      </c>
      <c r="FW21" s="458">
        <f>'_Engine_R50'!U208</f>
        <v/>
      </c>
      <c r="FX21" s="458">
        <f>'_Engine_R50'!U209</f>
        <v/>
      </c>
      <c r="FY21" s="458">
        <f>'_Engine_R50'!U210</f>
        <v/>
      </c>
      <c r="FZ21" s="306" t="n"/>
    </row>
    <row r="22" ht="15" customHeight="1" s="307">
      <c r="A22" s="321" t="inlineStr">
        <is>
          <t xml:space="preserve">    Team Compensation</t>
        </is>
      </c>
      <c r="B22" s="458">
        <f>B17+B18+B19+B20+B21+B14</f>
        <v/>
      </c>
      <c r="C22" s="458">
        <f>C17+C18+C19+C20+C21+C14</f>
        <v/>
      </c>
      <c r="D22" s="458">
        <f>D17+D18+D19+D20+D21+D14</f>
        <v/>
      </c>
      <c r="E22" s="458">
        <f>E17+E18+E19+E20+E21+E14</f>
        <v/>
      </c>
      <c r="F22" s="458">
        <f>F17+F18+F19+F20+F21+F14</f>
        <v/>
      </c>
      <c r="G22" s="458">
        <f>G17+G18+G19+G20+G21+G14</f>
        <v/>
      </c>
      <c r="H22" s="458">
        <f>H17+H18+H19+H20+H21+H14</f>
        <v/>
      </c>
      <c r="I22" s="458">
        <f>I17+I18+I19+I20+I21+I14</f>
        <v/>
      </c>
      <c r="J22" s="458">
        <f>J17+J18+J19+J20+J21+J14</f>
        <v/>
      </c>
      <c r="K22" s="458">
        <f>K17+K18+K19+K20+K21+K14</f>
        <v/>
      </c>
      <c r="L22" s="458">
        <f>L17+L18+L19+L20+L21+L14</f>
        <v/>
      </c>
      <c r="M22" s="458">
        <f>M17+M18+M19+M20+M21+M14</f>
        <v/>
      </c>
      <c r="N22" s="459">
        <f>N17+N18+N19+N20+N21+N14</f>
        <v/>
      </c>
      <c r="O22" s="459">
        <f>O17+O18+O19+O20+O21+O14</f>
        <v/>
      </c>
      <c r="P22" s="459">
        <f>P17+P18+P19+P20+P21+P14</f>
        <v/>
      </c>
      <c r="Q22" s="459">
        <f>Q17+Q18+Q19+Q20+Q21+Q14</f>
        <v/>
      </c>
      <c r="R22" s="459">
        <f>R17+R18+R19+R20+R21+R14</f>
        <v/>
      </c>
      <c r="S22" s="459">
        <f>S17+S18+S19+S20+S21+S14</f>
        <v/>
      </c>
      <c r="T22" s="459">
        <f>T17+T18+T19+T20+T21+T14</f>
        <v/>
      </c>
      <c r="U22" s="459">
        <f>U17+U18+U19+U20+U21+U14</f>
        <v/>
      </c>
      <c r="V22" s="459">
        <f>V17+V18+V19+V20+V21+V14</f>
        <v/>
      </c>
      <c r="W22" s="459">
        <f>W17+W18+W19+W20+W21+W14</f>
        <v/>
      </c>
      <c r="X22" s="459">
        <f>X17+X18+X19+X20+X21+X14</f>
        <v/>
      </c>
      <c r="Y22" s="459">
        <f>Y17+Y18+Y19+Y20+Y21+Y14</f>
        <v/>
      </c>
      <c r="Z22" s="458">
        <f>Z17+Z18+Z19+Z20+Z21+Z14</f>
        <v/>
      </c>
      <c r="AA22" s="458">
        <f>AA17+AA18+AA19+AA20+AA21+AA14</f>
        <v/>
      </c>
      <c r="AB22" s="458">
        <f>AB17+AB18+AB19+AB20+AB21+AB14</f>
        <v/>
      </c>
      <c r="AC22" s="458">
        <f>AC17+AC18+AC19+AC20+AC21+AC14</f>
        <v/>
      </c>
      <c r="AD22" s="458">
        <f>AD17+AD18+AD19+AD20+AD21+AD14</f>
        <v/>
      </c>
      <c r="AE22" s="458">
        <f>AE17+AE18+AE19+AE20+AE21+AE14</f>
        <v/>
      </c>
      <c r="AF22" s="458">
        <f>AF17+AF18+AF19+AF20+AF21+AF14</f>
        <v/>
      </c>
      <c r="AG22" s="458">
        <f>AG17+AG18+AG19+AG20+AG21+AG14</f>
        <v/>
      </c>
      <c r="AH22" s="458">
        <f>AH17+AH18+AH19+AH20+AH21+AH14</f>
        <v/>
      </c>
      <c r="AI22" s="458">
        <f>AI17+AI18+AI19+AI20+AI21+AI14</f>
        <v/>
      </c>
      <c r="AJ22" s="458">
        <f>AJ17+AJ18+AJ19+AJ20+AJ21+AJ14</f>
        <v/>
      </c>
      <c r="AK22" s="458">
        <f>AK17+AK18+AK19+AK20+AK21+AK14</f>
        <v/>
      </c>
      <c r="AL22" s="459">
        <f>AL17+AL18+AL19+AL20+AL21+AL14</f>
        <v/>
      </c>
      <c r="AM22" s="459">
        <f>AM17+AM18+AM19+AM20+AM21+AM14</f>
        <v/>
      </c>
      <c r="AN22" s="459">
        <f>AN17+AN18+AN19+AN20+AN21+AN14</f>
        <v/>
      </c>
      <c r="AO22" s="459">
        <f>AO17+AO18+AO19+AO20+AO21+AO14</f>
        <v/>
      </c>
      <c r="AP22" s="459">
        <f>AP17+AP18+AP19+AP20+AP21+AP14</f>
        <v/>
      </c>
      <c r="AQ22" s="459">
        <f>AQ17+AQ18+AQ19+AQ20+AQ21+AQ14</f>
        <v/>
      </c>
      <c r="AR22" s="459">
        <f>AR17+AR18+AR19+AR20+AR21+AR14</f>
        <v/>
      </c>
      <c r="AS22" s="459">
        <f>AS17+AS18+AS19+AS20+AS21+AS14</f>
        <v/>
      </c>
      <c r="AT22" s="459">
        <f>AT17+AT18+AT19+AT20+AT21+AT14</f>
        <v/>
      </c>
      <c r="AU22" s="459">
        <f>AU17+AU18+AU19+AU20+AU21+AU14</f>
        <v/>
      </c>
      <c r="AV22" s="459">
        <f>AV17+AV18+AV19+AV20+AV21+AV14</f>
        <v/>
      </c>
      <c r="AW22" s="459">
        <f>AW17+AW18+AW19+AW20+AW21+AW14</f>
        <v/>
      </c>
      <c r="AX22" s="458">
        <f>AX17+AX18+AX19+AX20+AX21+AX14</f>
        <v/>
      </c>
      <c r="AY22" s="458">
        <f>AY17+AY18+AY19+AY20+AY21+AY14</f>
        <v/>
      </c>
      <c r="AZ22" s="458">
        <f>AZ17+AZ18+AZ19+AZ20+AZ21+AZ14</f>
        <v/>
      </c>
      <c r="BA22" s="458">
        <f>BA17+BA18+BA19+BA20+BA21+BA14</f>
        <v/>
      </c>
      <c r="BB22" s="458">
        <f>BB17+BB18+BB19+BB20+BB21+BB14</f>
        <v/>
      </c>
      <c r="BC22" s="458">
        <f>BC17+BC18+BC19+BC20+BC21+BC14</f>
        <v/>
      </c>
      <c r="BD22" s="458">
        <f>BD17+BD18+BD19+BD20+BD21+BD14</f>
        <v/>
      </c>
      <c r="BE22" s="458">
        <f>BE17+BE18+BE19+BE20+BE21+BE14</f>
        <v/>
      </c>
      <c r="BF22" s="458">
        <f>BF17+BF18+BF19+BF20+BF21+BF14</f>
        <v/>
      </c>
      <c r="BG22" s="458">
        <f>BG17+BG18+BG19+BG20+BG21+BG14</f>
        <v/>
      </c>
      <c r="BH22" s="458">
        <f>BH17+BH18+BH19+BH20+BH21+BH14</f>
        <v/>
      </c>
      <c r="BI22" s="458">
        <f>BI17+BI18+BI19+BI20+BI21+BI14</f>
        <v/>
      </c>
      <c r="BJ22" s="459">
        <f>BJ17+BJ18+BJ19+BJ20+BJ21+BJ14</f>
        <v/>
      </c>
      <c r="BK22" s="459">
        <f>BK17+BK18+BK19+BK20+BK21+BK14</f>
        <v/>
      </c>
      <c r="BL22" s="459">
        <f>BL17+BL18+BL19+BL20+BL21+BL14</f>
        <v/>
      </c>
      <c r="BM22" s="459">
        <f>BM17+BM18+BM19+BM20+BM21+BM14</f>
        <v/>
      </c>
      <c r="BN22" s="459">
        <f>BN17+BN18+BN19+BN20+BN21+BN14</f>
        <v/>
      </c>
      <c r="BO22" s="459">
        <f>BO17+BO18+BO19+BO20+BO21+BO14</f>
        <v/>
      </c>
      <c r="BP22" s="459">
        <f>BP17+BP18+BP19+BP20+BP21+BP14</f>
        <v/>
      </c>
      <c r="BQ22" s="459">
        <f>BQ17+BQ18+BQ19+BQ20+BQ21+BQ14</f>
        <v/>
      </c>
      <c r="BR22" s="459">
        <f>BR17+BR18+BR19+BR20+BR21+BR14</f>
        <v/>
      </c>
      <c r="BS22" s="459">
        <f>BS17+BS18+BS19+BS20+BS21+BS14</f>
        <v/>
      </c>
      <c r="BT22" s="459">
        <f>BT17+BT18+BT19+BT20+BT21+BT14</f>
        <v/>
      </c>
      <c r="BU22" s="459">
        <f>BU17+BU18+BU19+BU20+BU21+BU14</f>
        <v/>
      </c>
      <c r="BV22" s="458">
        <f>BV17+BV18+BV19+BV20+BV21+BV14</f>
        <v/>
      </c>
      <c r="BW22" s="458">
        <f>BW17+BW18+BW19+BW20+BW21+BW14</f>
        <v/>
      </c>
      <c r="BX22" s="458">
        <f>BX17+BX18+BX19+BX20+BX21+BX14</f>
        <v/>
      </c>
      <c r="BY22" s="458">
        <f>BY17+BY18+BY19+BY20+BY21+BY14</f>
        <v/>
      </c>
      <c r="BZ22" s="458">
        <f>BZ17+BZ18+BZ19+BZ20+BZ21+BZ14</f>
        <v/>
      </c>
      <c r="CA22" s="458">
        <f>CA17+CA18+CA19+CA20+CA21+CA14</f>
        <v/>
      </c>
      <c r="CB22" s="458">
        <f>CB17+CB18+CB19+CB20+CB21+CB14</f>
        <v/>
      </c>
      <c r="CC22" s="458">
        <f>CC17+CC18+CC19+CC20+CC21+CC14</f>
        <v/>
      </c>
      <c r="CD22" s="458">
        <f>CD17+CD18+CD19+CD20+CD21+CD14</f>
        <v/>
      </c>
      <c r="CE22" s="458">
        <f>CE17+CE18+CE19+CE20+CE21+CE14</f>
        <v/>
      </c>
      <c r="CF22" s="458">
        <f>CF17+CF18+CF19+CF20+CF21+CF14</f>
        <v/>
      </c>
      <c r="CG22" s="458">
        <f>CG17+CG18+CG19+CG20+CG21+CG14</f>
        <v/>
      </c>
      <c r="CH22" s="459">
        <f>CH17+CH18+CH19+CH20+CH21+CH14</f>
        <v/>
      </c>
      <c r="CI22" s="459">
        <f>CI17+CI18+CI19+CI20+CI21+CI14</f>
        <v/>
      </c>
      <c r="CJ22" s="459">
        <f>CJ17+CJ18+CJ19+CJ20+CJ21+CJ14</f>
        <v/>
      </c>
      <c r="CK22" s="459">
        <f>CK17+CK18+CK19+CK20+CK21+CK14</f>
        <v/>
      </c>
      <c r="CL22" s="459">
        <f>CL17+CL18+CL19+CL20+CL21+CL14</f>
        <v/>
      </c>
      <c r="CM22" s="459">
        <f>CM17+CM18+CM19+CM20+CM21+CM14</f>
        <v/>
      </c>
      <c r="CN22" s="459">
        <f>CN17+CN18+CN19+CN20+CN21+CN14</f>
        <v/>
      </c>
      <c r="CO22" s="459">
        <f>CO17+CO18+CO19+CO20+CO21+CO14</f>
        <v/>
      </c>
      <c r="CP22" s="459">
        <f>CP17+CP18+CP19+CP20+CP21+CP14</f>
        <v/>
      </c>
      <c r="CQ22" s="459">
        <f>CQ17+CQ18+CQ19+CQ20+CQ21+CQ14</f>
        <v/>
      </c>
      <c r="CR22" s="459">
        <f>CR17+CR18+CR19+CR20+CR21+CR14</f>
        <v/>
      </c>
      <c r="CS22" s="459">
        <f>CS17+CS18+CS19+CS20+CS21+CS14</f>
        <v/>
      </c>
      <c r="CT22" s="458">
        <f>CT17+CT18+CT19+CT20+CT21+CT14</f>
        <v/>
      </c>
      <c r="CU22" s="458">
        <f>CU17+CU18+CU19+CU20+CU21+CU14</f>
        <v/>
      </c>
      <c r="CV22" s="458">
        <f>CV17+CV18+CV19+CV20+CV21+CV14</f>
        <v/>
      </c>
      <c r="CW22" s="458">
        <f>CW17+CW18+CW19+CW20+CW21+CW14</f>
        <v/>
      </c>
      <c r="CX22" s="458">
        <f>CX17+CX18+CX19+CX20+CX21+CX14</f>
        <v/>
      </c>
      <c r="CY22" s="458">
        <f>CY17+CY18+CY19+CY20+CY21+CY14</f>
        <v/>
      </c>
      <c r="CZ22" s="458">
        <f>CZ17+CZ18+CZ19+CZ20+CZ21+CZ14</f>
        <v/>
      </c>
      <c r="DA22" s="458">
        <f>DA17+DA18+DA19+DA20+DA21+DA14</f>
        <v/>
      </c>
      <c r="DB22" s="458">
        <f>DB17+DB18+DB19+DB20+DB21+DB14</f>
        <v/>
      </c>
      <c r="DC22" s="458">
        <f>DC17+DC18+DC19+DC20+DC21+DC14</f>
        <v/>
      </c>
      <c r="DD22" s="458">
        <f>DD17+DD18+DD19+DD20+DD21+DD14</f>
        <v/>
      </c>
      <c r="DE22" s="458">
        <f>DE17+DE18+DE19+DE20+DE21+DE14</f>
        <v/>
      </c>
      <c r="DF22" s="459">
        <f>DF17+DF18+DF19+DF20+DF21+DF14</f>
        <v/>
      </c>
      <c r="DG22" s="459">
        <f>DG17+DG18+DG19+DG20+DG21+DG14</f>
        <v/>
      </c>
      <c r="DH22" s="459">
        <f>DH17+DH18+DH19+DH20+DH21+DH14</f>
        <v/>
      </c>
      <c r="DI22" s="459">
        <f>DI17+DI18+DI19+DI20+DI21+DI14</f>
        <v/>
      </c>
      <c r="DJ22" s="459">
        <f>DJ17+DJ18+DJ19+DJ20+DJ21+DJ14</f>
        <v/>
      </c>
      <c r="DK22" s="459">
        <f>DK17+DK18+DK19+DK20+DK21+DK14</f>
        <v/>
      </c>
      <c r="DL22" s="459">
        <f>DL17+DL18+DL19+DL20+DL21+DL14</f>
        <v/>
      </c>
      <c r="DM22" s="459">
        <f>DM17+DM18+DM19+DM20+DM21+DM14</f>
        <v/>
      </c>
      <c r="DN22" s="459">
        <f>DN17+DN18+DN19+DN20+DN21+DN14</f>
        <v/>
      </c>
      <c r="DO22" s="459">
        <f>DO17+DO18+DO19+DO20+DO21+DO14</f>
        <v/>
      </c>
      <c r="DP22" s="459">
        <f>DP17+DP18+DP19+DP20+DP21+DP14</f>
        <v/>
      </c>
      <c r="DQ22" s="459">
        <f>DQ17+DQ18+DQ19+DQ20+DQ21+DQ14</f>
        <v/>
      </c>
      <c r="DR22" s="458">
        <f>DR17+DR18+DR19+DR20+DR21+DR14</f>
        <v/>
      </c>
      <c r="DS22" s="458">
        <f>DS17+DS18+DS19+DS20+DS21+DS14</f>
        <v/>
      </c>
      <c r="DT22" s="458">
        <f>DT17+DT18+DT19+DT20+DT21+DT14</f>
        <v/>
      </c>
      <c r="DU22" s="458">
        <f>DU17+DU18+DU19+DU20+DU21+DU14</f>
        <v/>
      </c>
      <c r="DV22" s="458">
        <f>DV17+DV18+DV19+DV20+DV21+DV14</f>
        <v/>
      </c>
      <c r="DW22" s="458">
        <f>DW17+DW18+DW19+DW20+DW21+DW14</f>
        <v/>
      </c>
      <c r="DX22" s="458">
        <f>DX17+DX18+DX19+DX20+DX21+DX14</f>
        <v/>
      </c>
      <c r="DY22" s="458">
        <f>DY17+DY18+DY19+DY20+DY21+DY14</f>
        <v/>
      </c>
      <c r="DZ22" s="458">
        <f>DZ17+DZ18+DZ19+DZ20+DZ21+DZ14</f>
        <v/>
      </c>
      <c r="EA22" s="458">
        <f>EA17+EA18+EA19+EA20+EA21+EA14</f>
        <v/>
      </c>
      <c r="EB22" s="458">
        <f>EB17+EB18+EB19+EB20+EB21+EB14</f>
        <v/>
      </c>
      <c r="EC22" s="458">
        <f>EC17+EC18+EC19+EC20+EC21+EC14</f>
        <v/>
      </c>
      <c r="ED22" s="459">
        <f>ED17+ED18+ED19+ED20+ED21+ED14</f>
        <v/>
      </c>
      <c r="EE22" s="459">
        <f>EE17+EE18+EE19+EE20+EE21+EE14</f>
        <v/>
      </c>
      <c r="EF22" s="459">
        <f>EF17+EF18+EF19+EF20+EF21+EF14</f>
        <v/>
      </c>
      <c r="EG22" s="459">
        <f>EG17+EG18+EG19+EG20+EG21+EG14</f>
        <v/>
      </c>
      <c r="EH22" s="459">
        <f>EH17+EH18+EH19+EH20+EH21+EH14</f>
        <v/>
      </c>
      <c r="EI22" s="459">
        <f>EI17+EI18+EI19+EI20+EI21+EI14</f>
        <v/>
      </c>
      <c r="EJ22" s="459">
        <f>EJ17+EJ18+EJ19+EJ20+EJ21+EJ14</f>
        <v/>
      </c>
      <c r="EK22" s="459">
        <f>EK17+EK18+EK19+EK20+EK21+EK14</f>
        <v/>
      </c>
      <c r="EL22" s="459">
        <f>EL17+EL18+EL19+EL20+EL21+EL14</f>
        <v/>
      </c>
      <c r="EM22" s="459">
        <f>EM17+EM18+EM19+EM20+EM21+EM14</f>
        <v/>
      </c>
      <c r="EN22" s="459">
        <f>EN17+EN18+EN19+EN20+EN21+EN14</f>
        <v/>
      </c>
      <c r="EO22" s="459">
        <f>EO17+EO18+EO19+EO20+EO21+EO14</f>
        <v/>
      </c>
      <c r="EP22" s="458">
        <f>EP17+EP18+EP19+EP20+EP21+EP14</f>
        <v/>
      </c>
      <c r="EQ22" s="458">
        <f>EQ17+EQ18+EQ19+EQ20+EQ21+EQ14</f>
        <v/>
      </c>
      <c r="ER22" s="458">
        <f>ER17+ER18+ER19+ER20+ER21+ER14</f>
        <v/>
      </c>
      <c r="ES22" s="458">
        <f>ES17+ES18+ES19+ES20+ES21+ES14</f>
        <v/>
      </c>
      <c r="ET22" s="458">
        <f>ET17+ET18+ET19+ET20+ET21+ET14</f>
        <v/>
      </c>
      <c r="EU22" s="458">
        <f>EU17+EU18+EU19+EU20+EU21+EU14</f>
        <v/>
      </c>
      <c r="EV22" s="458">
        <f>EV17+EV18+EV19+EV20+EV21+EV14</f>
        <v/>
      </c>
      <c r="EW22" s="458">
        <f>EW17+EW18+EW19+EW20+EW21+EW14</f>
        <v/>
      </c>
      <c r="EX22" s="458">
        <f>EX17+EX18+EX19+EX20+EX21+EX14</f>
        <v/>
      </c>
      <c r="EY22" s="458">
        <f>EY17+EY18+EY19+EY20+EY21+EY14</f>
        <v/>
      </c>
      <c r="EZ22" s="458">
        <f>EZ17+EZ18+EZ19+EZ20+EZ21+EZ14</f>
        <v/>
      </c>
      <c r="FA22" s="458">
        <f>FA17+FA18+FA19+FA20+FA21+FA14</f>
        <v/>
      </c>
      <c r="FB22" s="459">
        <f>FB17+FB18+FB19+FB20+FB21+FB14</f>
        <v/>
      </c>
      <c r="FC22" s="459">
        <f>FC17+FC18+FC19+FC20+FC21+FC14</f>
        <v/>
      </c>
      <c r="FD22" s="459">
        <f>FD17+FD18+FD19+FD20+FD21+FD14</f>
        <v/>
      </c>
      <c r="FE22" s="459">
        <f>FE17+FE18+FE19+FE20+FE21+FE14</f>
        <v/>
      </c>
      <c r="FF22" s="459">
        <f>FF17+FF18+FF19+FF20+FF21+FF14</f>
        <v/>
      </c>
      <c r="FG22" s="459">
        <f>FG17+FG18+FG19+FG20+FG21+FG14</f>
        <v/>
      </c>
      <c r="FH22" s="459">
        <f>FH17+FH18+FH19+FH20+FH21+FH14</f>
        <v/>
      </c>
      <c r="FI22" s="459">
        <f>FI17+FI18+FI19+FI20+FI21+FI14</f>
        <v/>
      </c>
      <c r="FJ22" s="459">
        <f>FJ17+FJ18+FJ19+FJ20+FJ21+FJ14</f>
        <v/>
      </c>
      <c r="FK22" s="459">
        <f>FK17+FK18+FK19+FK20+FK21+FK14</f>
        <v/>
      </c>
      <c r="FL22" s="459">
        <f>FL17+FL18+FL19+FL20+FL21+FL14</f>
        <v/>
      </c>
      <c r="FM22" s="459">
        <f>FM17+FM18+FM19+FM20+FM21+FM14</f>
        <v/>
      </c>
      <c r="FN22" s="458">
        <f>FN17+FN18+FN19+FN20+FN21+FN14</f>
        <v/>
      </c>
      <c r="FO22" s="458">
        <f>FO17+FO18+FO19+FO20+FO21+FO14</f>
        <v/>
      </c>
      <c r="FP22" s="458">
        <f>FP17+FP18+FP19+FP20+FP21+FP14</f>
        <v/>
      </c>
      <c r="FQ22" s="458">
        <f>FQ17+FQ18+FQ19+FQ20+FQ21+FQ14</f>
        <v/>
      </c>
      <c r="FR22" s="458">
        <f>FR17+FR18+FR19+FR20+FR21+FR14</f>
        <v/>
      </c>
      <c r="FS22" s="458">
        <f>FS17+FS18+FS19+FS20+FS21+FS14</f>
        <v/>
      </c>
      <c r="FT22" s="458">
        <f>FT17+FT18+FT19+FT20+FT21+FT14</f>
        <v/>
      </c>
      <c r="FU22" s="458">
        <f>FU17+FU18+FU19+FU20+FU21+FU14</f>
        <v/>
      </c>
      <c r="FV22" s="458">
        <f>FV17+FV18+FV19+FV20+FV21+FV14</f>
        <v/>
      </c>
      <c r="FW22" s="458">
        <f>FW17+FW18+FW19+FW20+FW21+FW14</f>
        <v/>
      </c>
      <c r="FX22" s="458">
        <f>FX17+FX18+FX19+FX20+FX21+FX14</f>
        <v/>
      </c>
      <c r="FY22" s="458">
        <f>FY17+FY18+FY19+FY20+FY21+FY14</f>
        <v/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>
        <f>'_Engine_R50'!V31</f>
        <v/>
      </c>
      <c r="C24" s="458">
        <f>'_Engine_R50'!V32</f>
        <v/>
      </c>
      <c r="D24" s="458">
        <f>'_Engine_R50'!V33</f>
        <v/>
      </c>
      <c r="E24" s="458">
        <f>'_Engine_R50'!V34</f>
        <v/>
      </c>
      <c r="F24" s="458">
        <f>'_Engine_R50'!V35</f>
        <v/>
      </c>
      <c r="G24" s="458">
        <f>'_Engine_R50'!V36</f>
        <v/>
      </c>
      <c r="H24" s="458">
        <f>'_Engine_R50'!V37</f>
        <v/>
      </c>
      <c r="I24" s="458">
        <f>'_Engine_R50'!V38</f>
        <v/>
      </c>
      <c r="J24" s="458">
        <f>'_Engine_R50'!V39</f>
        <v/>
      </c>
      <c r="K24" s="458">
        <f>'_Engine_R50'!V40</f>
        <v/>
      </c>
      <c r="L24" s="458">
        <f>'_Engine_R50'!V41</f>
        <v/>
      </c>
      <c r="M24" s="458">
        <f>'_Engine_R50'!V42</f>
        <v/>
      </c>
      <c r="N24" s="459">
        <f>'_Engine_R50'!V43</f>
        <v/>
      </c>
      <c r="O24" s="459">
        <f>'_Engine_R50'!V44</f>
        <v/>
      </c>
      <c r="P24" s="459">
        <f>'_Engine_R50'!V45</f>
        <v/>
      </c>
      <c r="Q24" s="459">
        <f>'_Engine_R50'!V46</f>
        <v/>
      </c>
      <c r="R24" s="459">
        <f>'_Engine_R50'!V47</f>
        <v/>
      </c>
      <c r="S24" s="459">
        <f>'_Engine_R50'!V48</f>
        <v/>
      </c>
      <c r="T24" s="459">
        <f>'_Engine_R50'!V49</f>
        <v/>
      </c>
      <c r="U24" s="459">
        <f>'_Engine_R50'!V50</f>
        <v/>
      </c>
      <c r="V24" s="459">
        <f>'_Engine_R50'!V51</f>
        <v/>
      </c>
      <c r="W24" s="459">
        <f>'_Engine_R50'!V52</f>
        <v/>
      </c>
      <c r="X24" s="459">
        <f>'_Engine_R50'!V53</f>
        <v/>
      </c>
      <c r="Y24" s="459">
        <f>'_Engine_R50'!V54</f>
        <v/>
      </c>
      <c r="Z24" s="458">
        <f>'_Engine_R50'!V55</f>
        <v/>
      </c>
      <c r="AA24" s="458">
        <f>'_Engine_R50'!V56</f>
        <v/>
      </c>
      <c r="AB24" s="458">
        <f>'_Engine_R50'!V57</f>
        <v/>
      </c>
      <c r="AC24" s="458">
        <f>'_Engine_R50'!V58</f>
        <v/>
      </c>
      <c r="AD24" s="458">
        <f>'_Engine_R50'!V59</f>
        <v/>
      </c>
      <c r="AE24" s="458">
        <f>'_Engine_R50'!V60</f>
        <v/>
      </c>
      <c r="AF24" s="458">
        <f>'_Engine_R50'!V61</f>
        <v/>
      </c>
      <c r="AG24" s="458">
        <f>'_Engine_R50'!V62</f>
        <v/>
      </c>
      <c r="AH24" s="458">
        <f>'_Engine_R50'!V63</f>
        <v/>
      </c>
      <c r="AI24" s="458">
        <f>'_Engine_R50'!V64</f>
        <v/>
      </c>
      <c r="AJ24" s="458">
        <f>'_Engine_R50'!V65</f>
        <v/>
      </c>
      <c r="AK24" s="458">
        <f>'_Engine_R50'!V66</f>
        <v/>
      </c>
      <c r="AL24" s="459">
        <f>'_Engine_R50'!V67</f>
        <v/>
      </c>
      <c r="AM24" s="459">
        <f>'_Engine_R50'!V68</f>
        <v/>
      </c>
      <c r="AN24" s="459">
        <f>'_Engine_R50'!V69</f>
        <v/>
      </c>
      <c r="AO24" s="459">
        <f>'_Engine_R50'!V70</f>
        <v/>
      </c>
      <c r="AP24" s="459">
        <f>'_Engine_R50'!V71</f>
        <v/>
      </c>
      <c r="AQ24" s="459">
        <f>'_Engine_R50'!V72</f>
        <v/>
      </c>
      <c r="AR24" s="459">
        <f>'_Engine_R50'!V73</f>
        <v/>
      </c>
      <c r="AS24" s="459">
        <f>'_Engine_R50'!V74</f>
        <v/>
      </c>
      <c r="AT24" s="459">
        <f>'_Engine_R50'!V75</f>
        <v/>
      </c>
      <c r="AU24" s="459">
        <f>'_Engine_R50'!V76</f>
        <v/>
      </c>
      <c r="AV24" s="459">
        <f>'_Engine_R50'!V77</f>
        <v/>
      </c>
      <c r="AW24" s="459">
        <f>'_Engine_R50'!V78</f>
        <v/>
      </c>
      <c r="AX24" s="458">
        <f>'_Engine_R50'!V79</f>
        <v/>
      </c>
      <c r="AY24" s="458">
        <f>'_Engine_R50'!V80</f>
        <v/>
      </c>
      <c r="AZ24" s="458">
        <f>'_Engine_R50'!V81</f>
        <v/>
      </c>
      <c r="BA24" s="458">
        <f>'_Engine_R50'!V82</f>
        <v/>
      </c>
      <c r="BB24" s="458">
        <f>'_Engine_R50'!V83</f>
        <v/>
      </c>
      <c r="BC24" s="458">
        <f>'_Engine_R50'!V84</f>
        <v/>
      </c>
      <c r="BD24" s="458">
        <f>'_Engine_R50'!V85</f>
        <v/>
      </c>
      <c r="BE24" s="458">
        <f>'_Engine_R50'!V86</f>
        <v/>
      </c>
      <c r="BF24" s="458">
        <f>'_Engine_R50'!V87</f>
        <v/>
      </c>
      <c r="BG24" s="458">
        <f>'_Engine_R50'!V88</f>
        <v/>
      </c>
      <c r="BH24" s="458">
        <f>'_Engine_R50'!V89</f>
        <v/>
      </c>
      <c r="BI24" s="458">
        <f>'_Engine_R50'!V90</f>
        <v/>
      </c>
      <c r="BJ24" s="459">
        <f>'_Engine_R50'!V91</f>
        <v/>
      </c>
      <c r="BK24" s="459">
        <f>'_Engine_R50'!V92</f>
        <v/>
      </c>
      <c r="BL24" s="459">
        <f>'_Engine_R50'!V93</f>
        <v/>
      </c>
      <c r="BM24" s="459">
        <f>'_Engine_R50'!V94</f>
        <v/>
      </c>
      <c r="BN24" s="459">
        <f>'_Engine_R50'!V95</f>
        <v/>
      </c>
      <c r="BO24" s="459">
        <f>'_Engine_R50'!V96</f>
        <v/>
      </c>
      <c r="BP24" s="459">
        <f>'_Engine_R50'!V97</f>
        <v/>
      </c>
      <c r="BQ24" s="459">
        <f>'_Engine_R50'!V98</f>
        <v/>
      </c>
      <c r="BR24" s="459">
        <f>'_Engine_R50'!V99</f>
        <v/>
      </c>
      <c r="BS24" s="459">
        <f>'_Engine_R50'!V100</f>
        <v/>
      </c>
      <c r="BT24" s="459">
        <f>'_Engine_R50'!V101</f>
        <v/>
      </c>
      <c r="BU24" s="459">
        <f>'_Engine_R50'!V102</f>
        <v/>
      </c>
      <c r="BV24" s="458">
        <f>'_Engine_R50'!V103</f>
        <v/>
      </c>
      <c r="BW24" s="458">
        <f>'_Engine_R50'!V104</f>
        <v/>
      </c>
      <c r="BX24" s="458">
        <f>'_Engine_R50'!V105</f>
        <v/>
      </c>
      <c r="BY24" s="458">
        <f>'_Engine_R50'!V106</f>
        <v/>
      </c>
      <c r="BZ24" s="458">
        <f>'_Engine_R50'!V107</f>
        <v/>
      </c>
      <c r="CA24" s="458">
        <f>'_Engine_R50'!V108</f>
        <v/>
      </c>
      <c r="CB24" s="458">
        <f>'_Engine_R50'!V109</f>
        <v/>
      </c>
      <c r="CC24" s="458">
        <f>'_Engine_R50'!V110</f>
        <v/>
      </c>
      <c r="CD24" s="458">
        <f>'_Engine_R50'!V111</f>
        <v/>
      </c>
      <c r="CE24" s="458">
        <f>'_Engine_R50'!V112</f>
        <v/>
      </c>
      <c r="CF24" s="458">
        <f>'_Engine_R50'!V113</f>
        <v/>
      </c>
      <c r="CG24" s="458">
        <f>'_Engine_R50'!V114</f>
        <v/>
      </c>
      <c r="CH24" s="459">
        <f>'_Engine_R50'!V115</f>
        <v/>
      </c>
      <c r="CI24" s="459">
        <f>'_Engine_R50'!V116</f>
        <v/>
      </c>
      <c r="CJ24" s="459">
        <f>'_Engine_R50'!V117</f>
        <v/>
      </c>
      <c r="CK24" s="459">
        <f>'_Engine_R50'!V118</f>
        <v/>
      </c>
      <c r="CL24" s="459">
        <f>'_Engine_R50'!V119</f>
        <v/>
      </c>
      <c r="CM24" s="459">
        <f>'_Engine_R50'!V120</f>
        <v/>
      </c>
      <c r="CN24" s="459">
        <f>'_Engine_R50'!V121</f>
        <v/>
      </c>
      <c r="CO24" s="459">
        <f>'_Engine_R50'!V122</f>
        <v/>
      </c>
      <c r="CP24" s="459">
        <f>'_Engine_R50'!V123</f>
        <v/>
      </c>
      <c r="CQ24" s="459">
        <f>'_Engine_R50'!V124</f>
        <v/>
      </c>
      <c r="CR24" s="459">
        <f>'_Engine_R50'!V125</f>
        <v/>
      </c>
      <c r="CS24" s="459">
        <f>'_Engine_R50'!V126</f>
        <v/>
      </c>
      <c r="CT24" s="458">
        <f>'_Engine_R50'!V127</f>
        <v/>
      </c>
      <c r="CU24" s="458">
        <f>'_Engine_R50'!V128</f>
        <v/>
      </c>
      <c r="CV24" s="458">
        <f>'_Engine_R50'!V129</f>
        <v/>
      </c>
      <c r="CW24" s="458">
        <f>'_Engine_R50'!V130</f>
        <v/>
      </c>
      <c r="CX24" s="458">
        <f>'_Engine_R50'!V131</f>
        <v/>
      </c>
      <c r="CY24" s="458">
        <f>'_Engine_R50'!V132</f>
        <v/>
      </c>
      <c r="CZ24" s="458">
        <f>'_Engine_R50'!V133</f>
        <v/>
      </c>
      <c r="DA24" s="458">
        <f>'_Engine_R50'!V134</f>
        <v/>
      </c>
      <c r="DB24" s="458">
        <f>'_Engine_R50'!V135</f>
        <v/>
      </c>
      <c r="DC24" s="458">
        <f>'_Engine_R50'!V136</f>
        <v/>
      </c>
      <c r="DD24" s="458">
        <f>'_Engine_R50'!V137</f>
        <v/>
      </c>
      <c r="DE24" s="458">
        <f>'_Engine_R50'!V138</f>
        <v/>
      </c>
      <c r="DF24" s="459">
        <f>'_Engine_R50'!V139</f>
        <v/>
      </c>
      <c r="DG24" s="459">
        <f>'_Engine_R50'!V140</f>
        <v/>
      </c>
      <c r="DH24" s="459">
        <f>'_Engine_R50'!V141</f>
        <v/>
      </c>
      <c r="DI24" s="459">
        <f>'_Engine_R50'!V142</f>
        <v/>
      </c>
      <c r="DJ24" s="459">
        <f>'_Engine_R50'!V143</f>
        <v/>
      </c>
      <c r="DK24" s="459">
        <f>'_Engine_R50'!V144</f>
        <v/>
      </c>
      <c r="DL24" s="459">
        <f>'_Engine_R50'!V145</f>
        <v/>
      </c>
      <c r="DM24" s="459">
        <f>'_Engine_R50'!V146</f>
        <v/>
      </c>
      <c r="DN24" s="459">
        <f>'_Engine_R50'!V147</f>
        <v/>
      </c>
      <c r="DO24" s="459">
        <f>'_Engine_R50'!V148</f>
        <v/>
      </c>
      <c r="DP24" s="459">
        <f>'_Engine_R50'!V149</f>
        <v/>
      </c>
      <c r="DQ24" s="459">
        <f>'_Engine_R50'!V150</f>
        <v/>
      </c>
      <c r="DR24" s="458">
        <f>'_Engine_R50'!V151</f>
        <v/>
      </c>
      <c r="DS24" s="458">
        <f>'_Engine_R50'!V152</f>
        <v/>
      </c>
      <c r="DT24" s="458">
        <f>'_Engine_R50'!V153</f>
        <v/>
      </c>
      <c r="DU24" s="458">
        <f>'_Engine_R50'!V154</f>
        <v/>
      </c>
      <c r="DV24" s="458">
        <f>'_Engine_R50'!V155</f>
        <v/>
      </c>
      <c r="DW24" s="458">
        <f>'_Engine_R50'!V156</f>
        <v/>
      </c>
      <c r="DX24" s="458">
        <f>'_Engine_R50'!V157</f>
        <v/>
      </c>
      <c r="DY24" s="458">
        <f>'_Engine_R50'!V158</f>
        <v/>
      </c>
      <c r="DZ24" s="458">
        <f>'_Engine_R50'!V159</f>
        <v/>
      </c>
      <c r="EA24" s="458">
        <f>'_Engine_R50'!V160</f>
        <v/>
      </c>
      <c r="EB24" s="458">
        <f>'_Engine_R50'!V161</f>
        <v/>
      </c>
      <c r="EC24" s="458">
        <f>'_Engine_R50'!V162</f>
        <v/>
      </c>
      <c r="ED24" s="459">
        <f>'_Engine_R50'!V163</f>
        <v/>
      </c>
      <c r="EE24" s="459">
        <f>'_Engine_R50'!V164</f>
        <v/>
      </c>
      <c r="EF24" s="459">
        <f>'_Engine_R50'!V165</f>
        <v/>
      </c>
      <c r="EG24" s="459">
        <f>'_Engine_R50'!V166</f>
        <v/>
      </c>
      <c r="EH24" s="459">
        <f>'_Engine_R50'!V167</f>
        <v/>
      </c>
      <c r="EI24" s="459">
        <f>'_Engine_R50'!V168</f>
        <v/>
      </c>
      <c r="EJ24" s="459">
        <f>'_Engine_R50'!V169</f>
        <v/>
      </c>
      <c r="EK24" s="459">
        <f>'_Engine_R50'!V170</f>
        <v/>
      </c>
      <c r="EL24" s="459">
        <f>'_Engine_R50'!V171</f>
        <v/>
      </c>
      <c r="EM24" s="459">
        <f>'_Engine_R50'!V172</f>
        <v/>
      </c>
      <c r="EN24" s="459">
        <f>'_Engine_R50'!V173</f>
        <v/>
      </c>
      <c r="EO24" s="459">
        <f>'_Engine_R50'!V174</f>
        <v/>
      </c>
      <c r="EP24" s="458">
        <f>'_Engine_R50'!V175</f>
        <v/>
      </c>
      <c r="EQ24" s="458">
        <f>'_Engine_R50'!V176</f>
        <v/>
      </c>
      <c r="ER24" s="458">
        <f>'_Engine_R50'!V177</f>
        <v/>
      </c>
      <c r="ES24" s="458">
        <f>'_Engine_R50'!V178</f>
        <v/>
      </c>
      <c r="ET24" s="458">
        <f>'_Engine_R50'!V179</f>
        <v/>
      </c>
      <c r="EU24" s="458">
        <f>'_Engine_R50'!V180</f>
        <v/>
      </c>
      <c r="EV24" s="458">
        <f>'_Engine_R50'!V181</f>
        <v/>
      </c>
      <c r="EW24" s="458">
        <f>'_Engine_R50'!V182</f>
        <v/>
      </c>
      <c r="EX24" s="458">
        <f>'_Engine_R50'!V183</f>
        <v/>
      </c>
      <c r="EY24" s="458">
        <f>'_Engine_R50'!V184</f>
        <v/>
      </c>
      <c r="EZ24" s="458">
        <f>'_Engine_R50'!V185</f>
        <v/>
      </c>
      <c r="FA24" s="458">
        <f>'_Engine_R50'!V186</f>
        <v/>
      </c>
      <c r="FB24" s="459">
        <f>'_Engine_R50'!V187</f>
        <v/>
      </c>
      <c r="FC24" s="459">
        <f>'_Engine_R50'!V188</f>
        <v/>
      </c>
      <c r="FD24" s="459">
        <f>'_Engine_R50'!V189</f>
        <v/>
      </c>
      <c r="FE24" s="459">
        <f>'_Engine_R50'!V190</f>
        <v/>
      </c>
      <c r="FF24" s="459">
        <f>'_Engine_R50'!V191</f>
        <v/>
      </c>
      <c r="FG24" s="459">
        <f>'_Engine_R50'!V192</f>
        <v/>
      </c>
      <c r="FH24" s="459">
        <f>'_Engine_R50'!V193</f>
        <v/>
      </c>
      <c r="FI24" s="459">
        <f>'_Engine_R50'!V194</f>
        <v/>
      </c>
      <c r="FJ24" s="459">
        <f>'_Engine_R50'!V195</f>
        <v/>
      </c>
      <c r="FK24" s="459">
        <f>'_Engine_R50'!V196</f>
        <v/>
      </c>
      <c r="FL24" s="459">
        <f>'_Engine_R50'!V197</f>
        <v/>
      </c>
      <c r="FM24" s="459">
        <f>'_Engine_R50'!V198</f>
        <v/>
      </c>
      <c r="FN24" s="458">
        <f>'_Engine_R50'!V199</f>
        <v/>
      </c>
      <c r="FO24" s="458">
        <f>'_Engine_R50'!V200</f>
        <v/>
      </c>
      <c r="FP24" s="458">
        <f>'_Engine_R50'!V201</f>
        <v/>
      </c>
      <c r="FQ24" s="458">
        <f>'_Engine_R50'!V202</f>
        <v/>
      </c>
      <c r="FR24" s="458">
        <f>'_Engine_R50'!V203</f>
        <v/>
      </c>
      <c r="FS24" s="458">
        <f>'_Engine_R50'!V204</f>
        <v/>
      </c>
      <c r="FT24" s="458">
        <f>'_Engine_R50'!V205</f>
        <v/>
      </c>
      <c r="FU24" s="458">
        <f>'_Engine_R50'!V206</f>
        <v/>
      </c>
      <c r="FV24" s="458">
        <f>'_Engine_R50'!V207</f>
        <v/>
      </c>
      <c r="FW24" s="458">
        <f>'_Engine_R50'!V208</f>
        <v/>
      </c>
      <c r="FX24" s="458">
        <f>'_Engine_R50'!V209</f>
        <v/>
      </c>
      <c r="FY24" s="458">
        <f>'_Engine_R50'!V210</f>
        <v/>
      </c>
      <c r="FZ24" s="306" t="n"/>
    </row>
    <row r="25" ht="15" customHeight="1" s="307">
      <c r="A25" s="460" t="inlineStr">
        <is>
          <t>Total Operating Expenses</t>
        </is>
      </c>
      <c r="B25" s="461">
        <f>'_Engine_R50'!W31</f>
        <v/>
      </c>
      <c r="C25" s="461">
        <f>'_Engine_R50'!W32</f>
        <v/>
      </c>
      <c r="D25" s="461">
        <f>'_Engine_R50'!W33</f>
        <v/>
      </c>
      <c r="E25" s="461">
        <f>'_Engine_R50'!W34</f>
        <v/>
      </c>
      <c r="F25" s="461">
        <f>'_Engine_R50'!W35</f>
        <v/>
      </c>
      <c r="G25" s="461">
        <f>'_Engine_R50'!W36</f>
        <v/>
      </c>
      <c r="H25" s="461">
        <f>'_Engine_R50'!W37</f>
        <v/>
      </c>
      <c r="I25" s="461">
        <f>'_Engine_R50'!W38</f>
        <v/>
      </c>
      <c r="J25" s="461">
        <f>'_Engine_R50'!W39</f>
        <v/>
      </c>
      <c r="K25" s="461">
        <f>'_Engine_R50'!W40</f>
        <v/>
      </c>
      <c r="L25" s="461">
        <f>'_Engine_R50'!W41</f>
        <v/>
      </c>
      <c r="M25" s="461">
        <f>'_Engine_R50'!W42</f>
        <v/>
      </c>
      <c r="N25" s="462">
        <f>'_Engine_R50'!W43</f>
        <v/>
      </c>
      <c r="O25" s="462">
        <f>'_Engine_R50'!W44</f>
        <v/>
      </c>
      <c r="P25" s="462">
        <f>'_Engine_R50'!W45</f>
        <v/>
      </c>
      <c r="Q25" s="462">
        <f>'_Engine_R50'!W46</f>
        <v/>
      </c>
      <c r="R25" s="462">
        <f>'_Engine_R50'!W47</f>
        <v/>
      </c>
      <c r="S25" s="462">
        <f>'_Engine_R50'!W48</f>
        <v/>
      </c>
      <c r="T25" s="462">
        <f>'_Engine_R50'!W49</f>
        <v/>
      </c>
      <c r="U25" s="462">
        <f>'_Engine_R50'!W50</f>
        <v/>
      </c>
      <c r="V25" s="462">
        <f>'_Engine_R50'!W51</f>
        <v/>
      </c>
      <c r="W25" s="462">
        <f>'_Engine_R50'!W52</f>
        <v/>
      </c>
      <c r="X25" s="462">
        <f>'_Engine_R50'!W53</f>
        <v/>
      </c>
      <c r="Y25" s="462">
        <f>'_Engine_R50'!W54</f>
        <v/>
      </c>
      <c r="Z25" s="461">
        <f>'_Engine_R50'!W55</f>
        <v/>
      </c>
      <c r="AA25" s="461">
        <f>'_Engine_R50'!W56</f>
        <v/>
      </c>
      <c r="AB25" s="461">
        <f>'_Engine_R50'!W57</f>
        <v/>
      </c>
      <c r="AC25" s="461">
        <f>'_Engine_R50'!W58</f>
        <v/>
      </c>
      <c r="AD25" s="461">
        <f>'_Engine_R50'!W59</f>
        <v/>
      </c>
      <c r="AE25" s="461">
        <f>'_Engine_R50'!W60</f>
        <v/>
      </c>
      <c r="AF25" s="461">
        <f>'_Engine_R50'!W61</f>
        <v/>
      </c>
      <c r="AG25" s="461">
        <f>'_Engine_R50'!W62</f>
        <v/>
      </c>
      <c r="AH25" s="461">
        <f>'_Engine_R50'!W63</f>
        <v/>
      </c>
      <c r="AI25" s="461">
        <f>'_Engine_R50'!W64</f>
        <v/>
      </c>
      <c r="AJ25" s="461">
        <f>'_Engine_R50'!W65</f>
        <v/>
      </c>
      <c r="AK25" s="461">
        <f>'_Engine_R50'!W66</f>
        <v/>
      </c>
      <c r="AL25" s="462">
        <f>'_Engine_R50'!W67</f>
        <v/>
      </c>
      <c r="AM25" s="462">
        <f>'_Engine_R50'!W68</f>
        <v/>
      </c>
      <c r="AN25" s="462">
        <f>'_Engine_R50'!W69</f>
        <v/>
      </c>
      <c r="AO25" s="462">
        <f>'_Engine_R50'!W70</f>
        <v/>
      </c>
      <c r="AP25" s="462">
        <f>'_Engine_R50'!W71</f>
        <v/>
      </c>
      <c r="AQ25" s="462">
        <f>'_Engine_R50'!W72</f>
        <v/>
      </c>
      <c r="AR25" s="462">
        <f>'_Engine_R50'!W73</f>
        <v/>
      </c>
      <c r="AS25" s="462">
        <f>'_Engine_R50'!W74</f>
        <v/>
      </c>
      <c r="AT25" s="462">
        <f>'_Engine_R50'!W75</f>
        <v/>
      </c>
      <c r="AU25" s="462">
        <f>'_Engine_R50'!W76</f>
        <v/>
      </c>
      <c r="AV25" s="462">
        <f>'_Engine_R50'!W77</f>
        <v/>
      </c>
      <c r="AW25" s="462">
        <f>'_Engine_R50'!W78</f>
        <v/>
      </c>
      <c r="AX25" s="461">
        <f>'_Engine_R50'!W79</f>
        <v/>
      </c>
      <c r="AY25" s="461">
        <f>'_Engine_R50'!W80</f>
        <v/>
      </c>
      <c r="AZ25" s="461">
        <f>'_Engine_R50'!W81</f>
        <v/>
      </c>
      <c r="BA25" s="461">
        <f>'_Engine_R50'!W82</f>
        <v/>
      </c>
      <c r="BB25" s="461">
        <f>'_Engine_R50'!W83</f>
        <v/>
      </c>
      <c r="BC25" s="461">
        <f>'_Engine_R50'!W84</f>
        <v/>
      </c>
      <c r="BD25" s="461">
        <f>'_Engine_R50'!W85</f>
        <v/>
      </c>
      <c r="BE25" s="461">
        <f>'_Engine_R50'!W86</f>
        <v/>
      </c>
      <c r="BF25" s="461">
        <f>'_Engine_R50'!W87</f>
        <v/>
      </c>
      <c r="BG25" s="461">
        <f>'_Engine_R50'!W88</f>
        <v/>
      </c>
      <c r="BH25" s="461">
        <f>'_Engine_R50'!W89</f>
        <v/>
      </c>
      <c r="BI25" s="461">
        <f>'_Engine_R50'!W90</f>
        <v/>
      </c>
      <c r="BJ25" s="462">
        <f>'_Engine_R50'!W91</f>
        <v/>
      </c>
      <c r="BK25" s="462">
        <f>'_Engine_R50'!W92</f>
        <v/>
      </c>
      <c r="BL25" s="462">
        <f>'_Engine_R50'!W93</f>
        <v/>
      </c>
      <c r="BM25" s="462">
        <f>'_Engine_R50'!W94</f>
        <v/>
      </c>
      <c r="BN25" s="462">
        <f>'_Engine_R50'!W95</f>
        <v/>
      </c>
      <c r="BO25" s="462">
        <f>'_Engine_R50'!W96</f>
        <v/>
      </c>
      <c r="BP25" s="462">
        <f>'_Engine_R50'!W97</f>
        <v/>
      </c>
      <c r="BQ25" s="462">
        <f>'_Engine_R50'!W98</f>
        <v/>
      </c>
      <c r="BR25" s="462">
        <f>'_Engine_R50'!W99</f>
        <v/>
      </c>
      <c r="BS25" s="462">
        <f>'_Engine_R50'!W100</f>
        <v/>
      </c>
      <c r="BT25" s="462">
        <f>'_Engine_R50'!W101</f>
        <v/>
      </c>
      <c r="BU25" s="462">
        <f>'_Engine_R50'!W102</f>
        <v/>
      </c>
      <c r="BV25" s="461">
        <f>'_Engine_R50'!W103</f>
        <v/>
      </c>
      <c r="BW25" s="461">
        <f>'_Engine_R50'!W104</f>
        <v/>
      </c>
      <c r="BX25" s="461">
        <f>'_Engine_R50'!W105</f>
        <v/>
      </c>
      <c r="BY25" s="461">
        <f>'_Engine_R50'!W106</f>
        <v/>
      </c>
      <c r="BZ25" s="461">
        <f>'_Engine_R50'!W107</f>
        <v/>
      </c>
      <c r="CA25" s="461">
        <f>'_Engine_R50'!W108</f>
        <v/>
      </c>
      <c r="CB25" s="461">
        <f>'_Engine_R50'!W109</f>
        <v/>
      </c>
      <c r="CC25" s="461">
        <f>'_Engine_R50'!W110</f>
        <v/>
      </c>
      <c r="CD25" s="461">
        <f>'_Engine_R50'!W111</f>
        <v/>
      </c>
      <c r="CE25" s="461">
        <f>'_Engine_R50'!W112</f>
        <v/>
      </c>
      <c r="CF25" s="461">
        <f>'_Engine_R50'!W113</f>
        <v/>
      </c>
      <c r="CG25" s="461">
        <f>'_Engine_R50'!W114</f>
        <v/>
      </c>
      <c r="CH25" s="462">
        <f>'_Engine_R50'!W115</f>
        <v/>
      </c>
      <c r="CI25" s="462">
        <f>'_Engine_R50'!W116</f>
        <v/>
      </c>
      <c r="CJ25" s="462">
        <f>'_Engine_R50'!W117</f>
        <v/>
      </c>
      <c r="CK25" s="462">
        <f>'_Engine_R50'!W118</f>
        <v/>
      </c>
      <c r="CL25" s="462">
        <f>'_Engine_R50'!W119</f>
        <v/>
      </c>
      <c r="CM25" s="462">
        <f>'_Engine_R50'!W120</f>
        <v/>
      </c>
      <c r="CN25" s="462">
        <f>'_Engine_R50'!W121</f>
        <v/>
      </c>
      <c r="CO25" s="462">
        <f>'_Engine_R50'!W122</f>
        <v/>
      </c>
      <c r="CP25" s="462">
        <f>'_Engine_R50'!W123</f>
        <v/>
      </c>
      <c r="CQ25" s="462">
        <f>'_Engine_R50'!W124</f>
        <v/>
      </c>
      <c r="CR25" s="462">
        <f>'_Engine_R50'!W125</f>
        <v/>
      </c>
      <c r="CS25" s="462">
        <f>'_Engine_R50'!W126</f>
        <v/>
      </c>
      <c r="CT25" s="461">
        <f>'_Engine_R50'!W127</f>
        <v/>
      </c>
      <c r="CU25" s="461">
        <f>'_Engine_R50'!W128</f>
        <v/>
      </c>
      <c r="CV25" s="461">
        <f>'_Engine_R50'!W129</f>
        <v/>
      </c>
      <c r="CW25" s="461">
        <f>'_Engine_R50'!W130</f>
        <v/>
      </c>
      <c r="CX25" s="461">
        <f>'_Engine_R50'!W131</f>
        <v/>
      </c>
      <c r="CY25" s="461">
        <f>'_Engine_R50'!W132</f>
        <v/>
      </c>
      <c r="CZ25" s="461">
        <f>'_Engine_R50'!W133</f>
        <v/>
      </c>
      <c r="DA25" s="461">
        <f>'_Engine_R50'!W134</f>
        <v/>
      </c>
      <c r="DB25" s="461">
        <f>'_Engine_R50'!W135</f>
        <v/>
      </c>
      <c r="DC25" s="461">
        <f>'_Engine_R50'!W136</f>
        <v/>
      </c>
      <c r="DD25" s="461">
        <f>'_Engine_R50'!W137</f>
        <v/>
      </c>
      <c r="DE25" s="461">
        <f>'_Engine_R50'!W138</f>
        <v/>
      </c>
      <c r="DF25" s="462">
        <f>'_Engine_R50'!W139</f>
        <v/>
      </c>
      <c r="DG25" s="462">
        <f>'_Engine_R50'!W140</f>
        <v/>
      </c>
      <c r="DH25" s="462">
        <f>'_Engine_R50'!W141</f>
        <v/>
      </c>
      <c r="DI25" s="462">
        <f>'_Engine_R50'!W142</f>
        <v/>
      </c>
      <c r="DJ25" s="462">
        <f>'_Engine_R50'!W143</f>
        <v/>
      </c>
      <c r="DK25" s="462">
        <f>'_Engine_R50'!W144</f>
        <v/>
      </c>
      <c r="DL25" s="462">
        <f>'_Engine_R50'!W145</f>
        <v/>
      </c>
      <c r="DM25" s="462">
        <f>'_Engine_R50'!W146</f>
        <v/>
      </c>
      <c r="DN25" s="462">
        <f>'_Engine_R50'!W147</f>
        <v/>
      </c>
      <c r="DO25" s="462">
        <f>'_Engine_R50'!W148</f>
        <v/>
      </c>
      <c r="DP25" s="462">
        <f>'_Engine_R50'!W149</f>
        <v/>
      </c>
      <c r="DQ25" s="462">
        <f>'_Engine_R50'!W150</f>
        <v/>
      </c>
      <c r="DR25" s="461">
        <f>'_Engine_R50'!W151</f>
        <v/>
      </c>
      <c r="DS25" s="461">
        <f>'_Engine_R50'!W152</f>
        <v/>
      </c>
      <c r="DT25" s="461">
        <f>'_Engine_R50'!W153</f>
        <v/>
      </c>
      <c r="DU25" s="461">
        <f>'_Engine_R50'!W154</f>
        <v/>
      </c>
      <c r="DV25" s="461">
        <f>'_Engine_R50'!W155</f>
        <v/>
      </c>
      <c r="DW25" s="461">
        <f>'_Engine_R50'!W156</f>
        <v/>
      </c>
      <c r="DX25" s="461">
        <f>'_Engine_R50'!W157</f>
        <v/>
      </c>
      <c r="DY25" s="461">
        <f>'_Engine_R50'!W158</f>
        <v/>
      </c>
      <c r="DZ25" s="461">
        <f>'_Engine_R50'!W159</f>
        <v/>
      </c>
      <c r="EA25" s="461">
        <f>'_Engine_R50'!W160</f>
        <v/>
      </c>
      <c r="EB25" s="461">
        <f>'_Engine_R50'!W161</f>
        <v/>
      </c>
      <c r="EC25" s="461">
        <f>'_Engine_R50'!W162</f>
        <v/>
      </c>
      <c r="ED25" s="462">
        <f>'_Engine_R50'!W163</f>
        <v/>
      </c>
      <c r="EE25" s="462">
        <f>'_Engine_R50'!W164</f>
        <v/>
      </c>
      <c r="EF25" s="462">
        <f>'_Engine_R50'!W165</f>
        <v/>
      </c>
      <c r="EG25" s="462">
        <f>'_Engine_R50'!W166</f>
        <v/>
      </c>
      <c r="EH25" s="462">
        <f>'_Engine_R50'!W167</f>
        <v/>
      </c>
      <c r="EI25" s="462">
        <f>'_Engine_R50'!W168</f>
        <v/>
      </c>
      <c r="EJ25" s="462">
        <f>'_Engine_R50'!W169</f>
        <v/>
      </c>
      <c r="EK25" s="462">
        <f>'_Engine_R50'!W170</f>
        <v/>
      </c>
      <c r="EL25" s="462">
        <f>'_Engine_R50'!W171</f>
        <v/>
      </c>
      <c r="EM25" s="462">
        <f>'_Engine_R50'!W172</f>
        <v/>
      </c>
      <c r="EN25" s="462">
        <f>'_Engine_R50'!W173</f>
        <v/>
      </c>
      <c r="EO25" s="462">
        <f>'_Engine_R50'!W174</f>
        <v/>
      </c>
      <c r="EP25" s="461">
        <f>'_Engine_R50'!W175</f>
        <v/>
      </c>
      <c r="EQ25" s="461">
        <f>'_Engine_R50'!W176</f>
        <v/>
      </c>
      <c r="ER25" s="461">
        <f>'_Engine_R50'!W177</f>
        <v/>
      </c>
      <c r="ES25" s="461">
        <f>'_Engine_R50'!W178</f>
        <v/>
      </c>
      <c r="ET25" s="461">
        <f>'_Engine_R50'!W179</f>
        <v/>
      </c>
      <c r="EU25" s="461">
        <f>'_Engine_R50'!W180</f>
        <v/>
      </c>
      <c r="EV25" s="461">
        <f>'_Engine_R50'!W181</f>
        <v/>
      </c>
      <c r="EW25" s="461">
        <f>'_Engine_R50'!W182</f>
        <v/>
      </c>
      <c r="EX25" s="461">
        <f>'_Engine_R50'!W183</f>
        <v/>
      </c>
      <c r="EY25" s="461">
        <f>'_Engine_R50'!W184</f>
        <v/>
      </c>
      <c r="EZ25" s="461">
        <f>'_Engine_R50'!W185</f>
        <v/>
      </c>
      <c r="FA25" s="461">
        <f>'_Engine_R50'!W186</f>
        <v/>
      </c>
      <c r="FB25" s="462">
        <f>'_Engine_R50'!W187</f>
        <v/>
      </c>
      <c r="FC25" s="462">
        <f>'_Engine_R50'!W188</f>
        <v/>
      </c>
      <c r="FD25" s="462">
        <f>'_Engine_R50'!W189</f>
        <v/>
      </c>
      <c r="FE25" s="462">
        <f>'_Engine_R50'!W190</f>
        <v/>
      </c>
      <c r="FF25" s="462">
        <f>'_Engine_R50'!W191</f>
        <v/>
      </c>
      <c r="FG25" s="462">
        <f>'_Engine_R50'!W192</f>
        <v/>
      </c>
      <c r="FH25" s="462">
        <f>'_Engine_R50'!W193</f>
        <v/>
      </c>
      <c r="FI25" s="462">
        <f>'_Engine_R50'!W194</f>
        <v/>
      </c>
      <c r="FJ25" s="462">
        <f>'_Engine_R50'!W195</f>
        <v/>
      </c>
      <c r="FK25" s="462">
        <f>'_Engine_R50'!W196</f>
        <v/>
      </c>
      <c r="FL25" s="462">
        <f>'_Engine_R50'!W197</f>
        <v/>
      </c>
      <c r="FM25" s="462">
        <f>'_Engine_R50'!W198</f>
        <v/>
      </c>
      <c r="FN25" s="461">
        <f>'_Engine_R50'!W199</f>
        <v/>
      </c>
      <c r="FO25" s="461">
        <f>'_Engine_R50'!W200</f>
        <v/>
      </c>
      <c r="FP25" s="461">
        <f>'_Engine_R50'!W201</f>
        <v/>
      </c>
      <c r="FQ25" s="461">
        <f>'_Engine_R50'!W202</f>
        <v/>
      </c>
      <c r="FR25" s="461">
        <f>'_Engine_R50'!W203</f>
        <v/>
      </c>
      <c r="FS25" s="461">
        <f>'_Engine_R50'!W204</f>
        <v/>
      </c>
      <c r="FT25" s="461">
        <f>'_Engine_R50'!W205</f>
        <v/>
      </c>
      <c r="FU25" s="461">
        <f>'_Engine_R50'!W206</f>
        <v/>
      </c>
      <c r="FV25" s="461">
        <f>'_Engine_R50'!W207</f>
        <v/>
      </c>
      <c r="FW25" s="461">
        <f>'_Engine_R50'!W208</f>
        <v/>
      </c>
      <c r="FX25" s="461">
        <f>'_Engine_R50'!W209</f>
        <v/>
      </c>
      <c r="FY25" s="461">
        <f>'_Engine_R50'!W210</f>
        <v/>
      </c>
      <c r="FZ25" s="306" t="n"/>
    </row>
    <row r="26" ht="15" customHeight="1" s="307">
      <c r="A26" s="322" t="n"/>
      <c r="B26" s="466">
        <f>B24-B25</f>
        <v/>
      </c>
      <c r="C26" s="466">
        <f>C24-C25</f>
        <v/>
      </c>
      <c r="D26" s="466">
        <f>D24-D25</f>
        <v/>
      </c>
      <c r="E26" s="466">
        <f>E24-E25</f>
        <v/>
      </c>
      <c r="F26" s="466">
        <f>F24-F25</f>
        <v/>
      </c>
      <c r="G26" s="466">
        <f>G24-G25</f>
        <v/>
      </c>
      <c r="H26" s="466">
        <f>H24-H25</f>
        <v/>
      </c>
      <c r="I26" s="466">
        <f>I24-I25</f>
        <v/>
      </c>
      <c r="J26" s="466">
        <f>J24-J25</f>
        <v/>
      </c>
      <c r="K26" s="466">
        <f>K24-K25</f>
        <v/>
      </c>
      <c r="L26" s="466">
        <f>L24-L25</f>
        <v/>
      </c>
      <c r="M26" s="466">
        <f>M24-M25</f>
        <v/>
      </c>
      <c r="N26" s="466">
        <f>N24-N25</f>
        <v/>
      </c>
      <c r="O26" s="466">
        <f>O24-O25</f>
        <v/>
      </c>
      <c r="P26" s="466">
        <f>P24-P25</f>
        <v/>
      </c>
      <c r="Q26" s="466">
        <f>Q24-Q25</f>
        <v/>
      </c>
      <c r="R26" s="466">
        <f>R24-R25</f>
        <v/>
      </c>
      <c r="S26" s="466">
        <f>S24-S25</f>
        <v/>
      </c>
      <c r="T26" s="466">
        <f>T24-T25</f>
        <v/>
      </c>
      <c r="U26" s="466">
        <f>U24-U25</f>
        <v/>
      </c>
      <c r="V26" s="466">
        <f>V24-V25</f>
        <v/>
      </c>
      <c r="W26" s="466">
        <f>W24-W25</f>
        <v/>
      </c>
      <c r="X26" s="466">
        <f>X24-X25</f>
        <v/>
      </c>
      <c r="Y26" s="466">
        <f>Y24-Y25</f>
        <v/>
      </c>
      <c r="Z26" s="466">
        <f>Z24-Z25</f>
        <v/>
      </c>
      <c r="AA26" s="466">
        <f>AA24-AA25</f>
        <v/>
      </c>
      <c r="AB26" s="466">
        <f>AB24-AB25</f>
        <v/>
      </c>
      <c r="AC26" s="466">
        <f>AC24-AC25</f>
        <v/>
      </c>
      <c r="AD26" s="466">
        <f>AD24-AD25</f>
        <v/>
      </c>
      <c r="AE26" s="466">
        <f>AE24-AE25</f>
        <v/>
      </c>
      <c r="AF26" s="466">
        <f>AF24-AF25</f>
        <v/>
      </c>
      <c r="AG26" s="466">
        <f>AG24-AG25</f>
        <v/>
      </c>
      <c r="AH26" s="466">
        <f>AH24-AH25</f>
        <v/>
      </c>
      <c r="AI26" s="466">
        <f>AI24-AI25</f>
        <v/>
      </c>
      <c r="AJ26" s="466">
        <f>AJ24-AJ25</f>
        <v/>
      </c>
      <c r="AK26" s="466">
        <f>AK24-AK25</f>
        <v/>
      </c>
      <c r="AL26" s="466">
        <f>AL24-AL25</f>
        <v/>
      </c>
      <c r="AM26" s="466">
        <f>AM24-AM25</f>
        <v/>
      </c>
      <c r="AN26" s="466">
        <f>AN24-AN25</f>
        <v/>
      </c>
      <c r="AO26" s="466">
        <f>AO24-AO25</f>
        <v/>
      </c>
      <c r="AP26" s="466">
        <f>AP24-AP25</f>
        <v/>
      </c>
      <c r="AQ26" s="466">
        <f>AQ24-AQ25</f>
        <v/>
      </c>
      <c r="AR26" s="466">
        <f>AR24-AR25</f>
        <v/>
      </c>
      <c r="AS26" s="466">
        <f>AS24-AS25</f>
        <v/>
      </c>
      <c r="AT26" s="466">
        <f>AT24-AT25</f>
        <v/>
      </c>
      <c r="AU26" s="466">
        <f>AU24-AU25</f>
        <v/>
      </c>
      <c r="AV26" s="466">
        <f>AV24-AV25</f>
        <v/>
      </c>
      <c r="AW26" s="466">
        <f>AW24-AW25</f>
        <v/>
      </c>
      <c r="AX26" s="466">
        <f>AX24-AX25</f>
        <v/>
      </c>
      <c r="AY26" s="466">
        <f>AY24-AY25</f>
        <v/>
      </c>
      <c r="AZ26" s="466">
        <f>AZ24-AZ25</f>
        <v/>
      </c>
      <c r="BA26" s="466">
        <f>BA24-BA25</f>
        <v/>
      </c>
      <c r="BB26" s="466">
        <f>BB24-BB25</f>
        <v/>
      </c>
      <c r="BC26" s="466">
        <f>BC24-BC25</f>
        <v/>
      </c>
      <c r="BD26" s="466">
        <f>BD24-BD25</f>
        <v/>
      </c>
      <c r="BE26" s="466">
        <f>BE24-BE25</f>
        <v/>
      </c>
      <c r="BF26" s="466">
        <f>BF24-BF25</f>
        <v/>
      </c>
      <c r="BG26" s="466">
        <f>BG24-BG25</f>
        <v/>
      </c>
      <c r="BH26" s="466">
        <f>BH24-BH25</f>
        <v/>
      </c>
      <c r="BI26" s="466">
        <f>BI24-BI25</f>
        <v/>
      </c>
      <c r="BJ26" s="466">
        <f>BJ24-BJ25</f>
        <v/>
      </c>
      <c r="BK26" s="466">
        <f>BK24-BK25</f>
        <v/>
      </c>
      <c r="BL26" s="466">
        <f>BL24-BL25</f>
        <v/>
      </c>
      <c r="BM26" s="466">
        <f>BM24-BM25</f>
        <v/>
      </c>
      <c r="BN26" s="466">
        <f>BN24-BN25</f>
        <v/>
      </c>
      <c r="BO26" s="466">
        <f>BO24-BO25</f>
        <v/>
      </c>
      <c r="BP26" s="466">
        <f>BP24-BP25</f>
        <v/>
      </c>
      <c r="BQ26" s="466">
        <f>BQ24-BQ25</f>
        <v/>
      </c>
      <c r="BR26" s="466">
        <f>BR24-BR25</f>
        <v/>
      </c>
      <c r="BS26" s="466">
        <f>BS24-BS25</f>
        <v/>
      </c>
      <c r="BT26" s="466">
        <f>BT24-BT25</f>
        <v/>
      </c>
      <c r="BU26" s="466">
        <f>BU24-BU25</f>
        <v/>
      </c>
      <c r="BV26" s="466">
        <f>BV24-BV25</f>
        <v/>
      </c>
      <c r="BW26" s="466">
        <f>BW24-BW25</f>
        <v/>
      </c>
      <c r="BX26" s="466">
        <f>BX24-BX25</f>
        <v/>
      </c>
      <c r="BY26" s="466">
        <f>BY24-BY25</f>
        <v/>
      </c>
      <c r="BZ26" s="466">
        <f>BZ24-BZ25</f>
        <v/>
      </c>
      <c r="CA26" s="466">
        <f>CA24-CA25</f>
        <v/>
      </c>
      <c r="CB26" s="466">
        <f>CB24-CB25</f>
        <v/>
      </c>
      <c r="CC26" s="466">
        <f>CC24-CC25</f>
        <v/>
      </c>
      <c r="CD26" s="466">
        <f>CD24-CD25</f>
        <v/>
      </c>
      <c r="CE26" s="466">
        <f>CE24-CE25</f>
        <v/>
      </c>
      <c r="CF26" s="466">
        <f>CF24-CF25</f>
        <v/>
      </c>
      <c r="CG26" s="466">
        <f>CG24-CG25</f>
        <v/>
      </c>
      <c r="CH26" s="466">
        <f>CH24-CH25</f>
        <v/>
      </c>
      <c r="CI26" s="466">
        <f>CI24-CI25</f>
        <v/>
      </c>
      <c r="CJ26" s="466">
        <f>CJ24-CJ25</f>
        <v/>
      </c>
      <c r="CK26" s="466">
        <f>CK24-CK25</f>
        <v/>
      </c>
      <c r="CL26" s="466">
        <f>CL24-CL25</f>
        <v/>
      </c>
      <c r="CM26" s="466">
        <f>CM24-CM25</f>
        <v/>
      </c>
      <c r="CN26" s="466">
        <f>CN24-CN25</f>
        <v/>
      </c>
      <c r="CO26" s="466">
        <f>CO24-CO25</f>
        <v/>
      </c>
      <c r="CP26" s="466">
        <f>CP24-CP25</f>
        <v/>
      </c>
      <c r="CQ26" s="466">
        <f>CQ24-CQ25</f>
        <v/>
      </c>
      <c r="CR26" s="466">
        <f>CR24-CR25</f>
        <v/>
      </c>
      <c r="CS26" s="466">
        <f>CS24-CS25</f>
        <v/>
      </c>
      <c r="CT26" s="466">
        <f>CT24-CT25</f>
        <v/>
      </c>
      <c r="CU26" s="466">
        <f>CU24-CU25</f>
        <v/>
      </c>
      <c r="CV26" s="466">
        <f>CV24-CV25</f>
        <v/>
      </c>
      <c r="CW26" s="466">
        <f>CW24-CW25</f>
        <v/>
      </c>
      <c r="CX26" s="466">
        <f>CX24-CX25</f>
        <v/>
      </c>
      <c r="CY26" s="466">
        <f>CY24-CY25</f>
        <v/>
      </c>
      <c r="CZ26" s="466">
        <f>CZ24-CZ25</f>
        <v/>
      </c>
      <c r="DA26" s="466">
        <f>DA24-DA25</f>
        <v/>
      </c>
      <c r="DB26" s="466">
        <f>DB24-DB25</f>
        <v/>
      </c>
      <c r="DC26" s="466">
        <f>DC24-DC25</f>
        <v/>
      </c>
      <c r="DD26" s="466">
        <f>DD24-DD25</f>
        <v/>
      </c>
      <c r="DE26" s="466">
        <f>DE24-DE25</f>
        <v/>
      </c>
      <c r="DF26" s="466">
        <f>DF24-DF25</f>
        <v/>
      </c>
      <c r="DG26" s="466">
        <f>DG24-DG25</f>
        <v/>
      </c>
      <c r="DH26" s="466">
        <f>DH24-DH25</f>
        <v/>
      </c>
      <c r="DI26" s="466">
        <f>DI24-DI25</f>
        <v/>
      </c>
      <c r="DJ26" s="466">
        <f>DJ24-DJ25</f>
        <v/>
      </c>
      <c r="DK26" s="466">
        <f>DK24-DK25</f>
        <v/>
      </c>
      <c r="DL26" s="466">
        <f>DL24-DL25</f>
        <v/>
      </c>
      <c r="DM26" s="466">
        <f>DM24-DM25</f>
        <v/>
      </c>
      <c r="DN26" s="466">
        <f>DN24-DN25</f>
        <v/>
      </c>
      <c r="DO26" s="466">
        <f>DO24-DO25</f>
        <v/>
      </c>
      <c r="DP26" s="466">
        <f>DP24-DP25</f>
        <v/>
      </c>
      <c r="DQ26" s="466">
        <f>DQ24-DQ25</f>
        <v/>
      </c>
      <c r="DR26" s="466">
        <f>DR24-DR25</f>
        <v/>
      </c>
      <c r="DS26" s="466">
        <f>DS24-DS25</f>
        <v/>
      </c>
      <c r="DT26" s="466">
        <f>DT24-DT25</f>
        <v/>
      </c>
      <c r="DU26" s="466">
        <f>DU24-DU25</f>
        <v/>
      </c>
      <c r="DV26" s="466">
        <f>DV24-DV25</f>
        <v/>
      </c>
      <c r="DW26" s="466">
        <f>DW24-DW25</f>
        <v/>
      </c>
      <c r="DX26" s="466">
        <f>DX24-DX25</f>
        <v/>
      </c>
      <c r="DY26" s="466">
        <f>DY24-DY25</f>
        <v/>
      </c>
      <c r="DZ26" s="466">
        <f>DZ24-DZ25</f>
        <v/>
      </c>
      <c r="EA26" s="466">
        <f>EA24-EA25</f>
        <v/>
      </c>
      <c r="EB26" s="466">
        <f>EB24-EB25</f>
        <v/>
      </c>
      <c r="EC26" s="466">
        <f>EC24-EC25</f>
        <v/>
      </c>
      <c r="ED26" s="466">
        <f>ED24-ED25</f>
        <v/>
      </c>
      <c r="EE26" s="466">
        <f>EE24-EE25</f>
        <v/>
      </c>
      <c r="EF26" s="466">
        <f>EF24-EF25</f>
        <v/>
      </c>
      <c r="EG26" s="466">
        <f>EG24-EG25</f>
        <v/>
      </c>
      <c r="EH26" s="466">
        <f>EH24-EH25</f>
        <v/>
      </c>
      <c r="EI26" s="466">
        <f>EI24-EI25</f>
        <v/>
      </c>
      <c r="EJ26" s="466">
        <f>EJ24-EJ25</f>
        <v/>
      </c>
      <c r="EK26" s="466">
        <f>EK24-EK25</f>
        <v/>
      </c>
      <c r="EL26" s="466">
        <f>EL24-EL25</f>
        <v/>
      </c>
      <c r="EM26" s="466">
        <f>EM24-EM25</f>
        <v/>
      </c>
      <c r="EN26" s="466">
        <f>EN24-EN25</f>
        <v/>
      </c>
      <c r="EO26" s="466">
        <f>EO24-EO25</f>
        <v/>
      </c>
      <c r="EP26" s="466">
        <f>EP24-EP25</f>
        <v/>
      </c>
      <c r="EQ26" s="466">
        <f>EQ24-EQ25</f>
        <v/>
      </c>
      <c r="ER26" s="466">
        <f>ER24-ER25</f>
        <v/>
      </c>
      <c r="ES26" s="466">
        <f>ES24-ES25</f>
        <v/>
      </c>
      <c r="ET26" s="466">
        <f>ET24-ET25</f>
        <v/>
      </c>
      <c r="EU26" s="466">
        <f>EU24-EU25</f>
        <v/>
      </c>
      <c r="EV26" s="466">
        <f>EV24-EV25</f>
        <v/>
      </c>
      <c r="EW26" s="466">
        <f>EW24-EW25</f>
        <v/>
      </c>
      <c r="EX26" s="466">
        <f>EX24-EX25</f>
        <v/>
      </c>
      <c r="EY26" s="466">
        <f>EY24-EY25</f>
        <v/>
      </c>
      <c r="EZ26" s="466">
        <f>EZ24-EZ25</f>
        <v/>
      </c>
      <c r="FA26" s="466">
        <f>FA24-FA25</f>
        <v/>
      </c>
      <c r="FB26" s="466">
        <f>FB24-FB25</f>
        <v/>
      </c>
      <c r="FC26" s="466">
        <f>FC24-FC25</f>
        <v/>
      </c>
      <c r="FD26" s="466">
        <f>FD24-FD25</f>
        <v/>
      </c>
      <c r="FE26" s="466">
        <f>FE24-FE25</f>
        <v/>
      </c>
      <c r="FF26" s="466">
        <f>FF24-FF25</f>
        <v/>
      </c>
      <c r="FG26" s="466">
        <f>FG24-FG25</f>
        <v/>
      </c>
      <c r="FH26" s="466">
        <f>FH24-FH25</f>
        <v/>
      </c>
      <c r="FI26" s="466">
        <f>FI24-FI25</f>
        <v/>
      </c>
      <c r="FJ26" s="466">
        <f>FJ24-FJ25</f>
        <v/>
      </c>
      <c r="FK26" s="466">
        <f>FK24-FK25</f>
        <v/>
      </c>
      <c r="FL26" s="466">
        <f>FL24-FL25</f>
        <v/>
      </c>
      <c r="FM26" s="466">
        <f>FM24-FM25</f>
        <v/>
      </c>
      <c r="FN26" s="466">
        <f>FN24-FN25</f>
        <v/>
      </c>
      <c r="FO26" s="466">
        <f>FO24-FO25</f>
        <v/>
      </c>
      <c r="FP26" s="466">
        <f>FP24-FP25</f>
        <v/>
      </c>
      <c r="FQ26" s="466">
        <f>FQ24-FQ25</f>
        <v/>
      </c>
      <c r="FR26" s="466">
        <f>FR24-FR25</f>
        <v/>
      </c>
      <c r="FS26" s="466">
        <f>FS24-FS25</f>
        <v/>
      </c>
      <c r="FT26" s="466">
        <f>FT24-FT25</f>
        <v/>
      </c>
      <c r="FU26" s="466">
        <f>FU24-FU25</f>
        <v/>
      </c>
      <c r="FV26" s="466">
        <f>FV24-FV25</f>
        <v/>
      </c>
      <c r="FW26" s="466">
        <f>FW24-FW25</f>
        <v/>
      </c>
      <c r="FX26" s="466">
        <f>FX24-FX25</f>
        <v/>
      </c>
      <c r="FY26" s="466">
        <f>FY24-FY25</f>
        <v/>
      </c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>
        <f>'_Engine_R50'!C31</f>
        <v/>
      </c>
      <c r="C28" s="458">
        <f>'_Engine_R50'!C32</f>
        <v/>
      </c>
      <c r="D28" s="458">
        <f>'_Engine_R50'!C33</f>
        <v/>
      </c>
      <c r="E28" s="458">
        <f>'_Engine_R50'!C34</f>
        <v/>
      </c>
      <c r="F28" s="458">
        <f>'_Engine_R50'!C35</f>
        <v/>
      </c>
      <c r="G28" s="458">
        <f>'_Engine_R50'!C36</f>
        <v/>
      </c>
      <c r="H28" s="458">
        <f>'_Engine_R50'!C37</f>
        <v/>
      </c>
      <c r="I28" s="458">
        <f>'_Engine_R50'!C38</f>
        <v/>
      </c>
      <c r="J28" s="458">
        <f>'_Engine_R50'!C39</f>
        <v/>
      </c>
      <c r="K28" s="458">
        <f>'_Engine_R50'!C40</f>
        <v/>
      </c>
      <c r="L28" s="458">
        <f>'_Engine_R50'!C41</f>
        <v/>
      </c>
      <c r="M28" s="458">
        <f>'_Engine_R50'!C42</f>
        <v/>
      </c>
      <c r="N28" s="459">
        <f>'_Engine_R50'!C43</f>
        <v/>
      </c>
      <c r="O28" s="459">
        <f>'_Engine_R50'!C44</f>
        <v/>
      </c>
      <c r="P28" s="459">
        <f>'_Engine_R50'!C45</f>
        <v/>
      </c>
      <c r="Q28" s="459">
        <f>'_Engine_R50'!C46</f>
        <v/>
      </c>
      <c r="R28" s="459">
        <f>'_Engine_R50'!C47</f>
        <v/>
      </c>
      <c r="S28" s="459">
        <f>'_Engine_R50'!C48</f>
        <v/>
      </c>
      <c r="T28" s="459">
        <f>'_Engine_R50'!C49</f>
        <v/>
      </c>
      <c r="U28" s="459">
        <f>'_Engine_R50'!C50</f>
        <v/>
      </c>
      <c r="V28" s="459">
        <f>'_Engine_R50'!C51</f>
        <v/>
      </c>
      <c r="W28" s="459">
        <f>'_Engine_R50'!C52</f>
        <v/>
      </c>
      <c r="X28" s="459">
        <f>'_Engine_R50'!C53</f>
        <v/>
      </c>
      <c r="Y28" s="459">
        <f>'_Engine_R50'!C54</f>
        <v/>
      </c>
      <c r="Z28" s="458">
        <f>'_Engine_R50'!C55</f>
        <v/>
      </c>
      <c r="AA28" s="458">
        <f>'_Engine_R50'!C56</f>
        <v/>
      </c>
      <c r="AB28" s="458">
        <f>'_Engine_R50'!C57</f>
        <v/>
      </c>
      <c r="AC28" s="458">
        <f>'_Engine_R50'!C58</f>
        <v/>
      </c>
      <c r="AD28" s="458">
        <f>'_Engine_R50'!C59</f>
        <v/>
      </c>
      <c r="AE28" s="458">
        <f>'_Engine_R50'!C60</f>
        <v/>
      </c>
      <c r="AF28" s="458">
        <f>'_Engine_R50'!C61</f>
        <v/>
      </c>
      <c r="AG28" s="458">
        <f>'_Engine_R50'!C62</f>
        <v/>
      </c>
      <c r="AH28" s="458">
        <f>'_Engine_R50'!C63</f>
        <v/>
      </c>
      <c r="AI28" s="458">
        <f>'_Engine_R50'!C64</f>
        <v/>
      </c>
      <c r="AJ28" s="458">
        <f>'_Engine_R50'!C65</f>
        <v/>
      </c>
      <c r="AK28" s="458">
        <f>'_Engine_R50'!C66</f>
        <v/>
      </c>
      <c r="AL28" s="459">
        <f>'_Engine_R50'!C67</f>
        <v/>
      </c>
      <c r="AM28" s="459">
        <f>'_Engine_R50'!C68</f>
        <v/>
      </c>
      <c r="AN28" s="459">
        <f>'_Engine_R50'!C69</f>
        <v/>
      </c>
      <c r="AO28" s="459">
        <f>'_Engine_R50'!C70</f>
        <v/>
      </c>
      <c r="AP28" s="459">
        <f>'_Engine_R50'!C71</f>
        <v/>
      </c>
      <c r="AQ28" s="459">
        <f>'_Engine_R50'!C72</f>
        <v/>
      </c>
      <c r="AR28" s="459">
        <f>'_Engine_R50'!C73</f>
        <v/>
      </c>
      <c r="AS28" s="459">
        <f>'_Engine_R50'!C74</f>
        <v/>
      </c>
      <c r="AT28" s="459">
        <f>'_Engine_R50'!C75</f>
        <v/>
      </c>
      <c r="AU28" s="459">
        <f>'_Engine_R50'!C76</f>
        <v/>
      </c>
      <c r="AV28" s="459">
        <f>'_Engine_R50'!C77</f>
        <v/>
      </c>
      <c r="AW28" s="459">
        <f>'_Engine_R50'!C78</f>
        <v/>
      </c>
      <c r="AX28" s="458">
        <f>'_Engine_R50'!C79</f>
        <v/>
      </c>
      <c r="AY28" s="458">
        <f>'_Engine_R50'!C80</f>
        <v/>
      </c>
      <c r="AZ28" s="458">
        <f>'_Engine_R50'!C81</f>
        <v/>
      </c>
      <c r="BA28" s="458">
        <f>'_Engine_R50'!C82</f>
        <v/>
      </c>
      <c r="BB28" s="458">
        <f>'_Engine_R50'!C83</f>
        <v/>
      </c>
      <c r="BC28" s="458">
        <f>'_Engine_R50'!C84</f>
        <v/>
      </c>
      <c r="BD28" s="458">
        <f>'_Engine_R50'!C85</f>
        <v/>
      </c>
      <c r="BE28" s="458">
        <f>'_Engine_R50'!C86</f>
        <v/>
      </c>
      <c r="BF28" s="458">
        <f>'_Engine_R50'!C87</f>
        <v/>
      </c>
      <c r="BG28" s="458">
        <f>'_Engine_R50'!C88</f>
        <v/>
      </c>
      <c r="BH28" s="458">
        <f>'_Engine_R50'!C89</f>
        <v/>
      </c>
      <c r="BI28" s="458">
        <f>'_Engine_R50'!C90</f>
        <v/>
      </c>
      <c r="BJ28" s="459">
        <f>'_Engine_R50'!C91</f>
        <v/>
      </c>
      <c r="BK28" s="459">
        <f>'_Engine_R50'!C92</f>
        <v/>
      </c>
      <c r="BL28" s="459">
        <f>'_Engine_R50'!C93</f>
        <v/>
      </c>
      <c r="BM28" s="459">
        <f>'_Engine_R50'!C94</f>
        <v/>
      </c>
      <c r="BN28" s="459">
        <f>'_Engine_R50'!C95</f>
        <v/>
      </c>
      <c r="BO28" s="459">
        <f>'_Engine_R50'!C96</f>
        <v/>
      </c>
      <c r="BP28" s="459">
        <f>'_Engine_R50'!C97</f>
        <v/>
      </c>
      <c r="BQ28" s="459">
        <f>'_Engine_R50'!C98</f>
        <v/>
      </c>
      <c r="BR28" s="459">
        <f>'_Engine_R50'!C99</f>
        <v/>
      </c>
      <c r="BS28" s="459">
        <f>'_Engine_R50'!C100</f>
        <v/>
      </c>
      <c r="BT28" s="459">
        <f>'_Engine_R50'!C101</f>
        <v/>
      </c>
      <c r="BU28" s="459">
        <f>'_Engine_R50'!C102</f>
        <v/>
      </c>
      <c r="BV28" s="458">
        <f>'_Engine_R50'!C103</f>
        <v/>
      </c>
      <c r="BW28" s="458">
        <f>'_Engine_R50'!C104</f>
        <v/>
      </c>
      <c r="BX28" s="458">
        <f>'_Engine_R50'!C105</f>
        <v/>
      </c>
      <c r="BY28" s="458">
        <f>'_Engine_R50'!C106</f>
        <v/>
      </c>
      <c r="BZ28" s="458">
        <f>'_Engine_R50'!C107</f>
        <v/>
      </c>
      <c r="CA28" s="458">
        <f>'_Engine_R50'!C108</f>
        <v/>
      </c>
      <c r="CB28" s="458">
        <f>'_Engine_R50'!C109</f>
        <v/>
      </c>
      <c r="CC28" s="458">
        <f>'_Engine_R50'!C110</f>
        <v/>
      </c>
      <c r="CD28" s="458">
        <f>'_Engine_R50'!C111</f>
        <v/>
      </c>
      <c r="CE28" s="458">
        <f>'_Engine_R50'!C112</f>
        <v/>
      </c>
      <c r="CF28" s="458">
        <f>'_Engine_R50'!C113</f>
        <v/>
      </c>
      <c r="CG28" s="458">
        <f>'_Engine_R50'!C114</f>
        <v/>
      </c>
      <c r="CH28" s="459">
        <f>'_Engine_R50'!C115</f>
        <v/>
      </c>
      <c r="CI28" s="459">
        <f>'_Engine_R50'!C116</f>
        <v/>
      </c>
      <c r="CJ28" s="459">
        <f>'_Engine_R50'!C117</f>
        <v/>
      </c>
      <c r="CK28" s="459">
        <f>'_Engine_R50'!C118</f>
        <v/>
      </c>
      <c r="CL28" s="459">
        <f>'_Engine_R50'!C119</f>
        <v/>
      </c>
      <c r="CM28" s="459">
        <f>'_Engine_R50'!C120</f>
        <v/>
      </c>
      <c r="CN28" s="459">
        <f>'_Engine_R50'!C121</f>
        <v/>
      </c>
      <c r="CO28" s="459">
        <f>'_Engine_R50'!C122</f>
        <v/>
      </c>
      <c r="CP28" s="459">
        <f>'_Engine_R50'!C123</f>
        <v/>
      </c>
      <c r="CQ28" s="459">
        <f>'_Engine_R50'!C124</f>
        <v/>
      </c>
      <c r="CR28" s="459">
        <f>'_Engine_R50'!C125</f>
        <v/>
      </c>
      <c r="CS28" s="459">
        <f>'_Engine_R50'!C126</f>
        <v/>
      </c>
      <c r="CT28" s="458">
        <f>'_Engine_R50'!C127</f>
        <v/>
      </c>
      <c r="CU28" s="458">
        <f>'_Engine_R50'!C128</f>
        <v/>
      </c>
      <c r="CV28" s="458">
        <f>'_Engine_R50'!C129</f>
        <v/>
      </c>
      <c r="CW28" s="458">
        <f>'_Engine_R50'!C130</f>
        <v/>
      </c>
      <c r="CX28" s="458">
        <f>'_Engine_R50'!C131</f>
        <v/>
      </c>
      <c r="CY28" s="458">
        <f>'_Engine_R50'!C132</f>
        <v/>
      </c>
      <c r="CZ28" s="458">
        <f>'_Engine_R50'!C133</f>
        <v/>
      </c>
      <c r="DA28" s="458">
        <f>'_Engine_R50'!C134</f>
        <v/>
      </c>
      <c r="DB28" s="458">
        <f>'_Engine_R50'!C135</f>
        <v/>
      </c>
      <c r="DC28" s="458">
        <f>'_Engine_R50'!C136</f>
        <v/>
      </c>
      <c r="DD28" s="458">
        <f>'_Engine_R50'!C137</f>
        <v/>
      </c>
      <c r="DE28" s="458">
        <f>'_Engine_R50'!C138</f>
        <v/>
      </c>
      <c r="DF28" s="459">
        <f>'_Engine_R50'!C139</f>
        <v/>
      </c>
      <c r="DG28" s="459">
        <f>'_Engine_R50'!C140</f>
        <v/>
      </c>
      <c r="DH28" s="459">
        <f>'_Engine_R50'!C141</f>
        <v/>
      </c>
      <c r="DI28" s="459">
        <f>'_Engine_R50'!C142</f>
        <v/>
      </c>
      <c r="DJ28" s="459">
        <f>'_Engine_R50'!C143</f>
        <v/>
      </c>
      <c r="DK28" s="459">
        <f>'_Engine_R50'!C144</f>
        <v/>
      </c>
      <c r="DL28" s="459">
        <f>'_Engine_R50'!C145</f>
        <v/>
      </c>
      <c r="DM28" s="459">
        <f>'_Engine_R50'!C146</f>
        <v/>
      </c>
      <c r="DN28" s="459">
        <f>'_Engine_R50'!C147</f>
        <v/>
      </c>
      <c r="DO28" s="459">
        <f>'_Engine_R50'!C148</f>
        <v/>
      </c>
      <c r="DP28" s="459">
        <f>'_Engine_R50'!C149</f>
        <v/>
      </c>
      <c r="DQ28" s="459">
        <f>'_Engine_R50'!C150</f>
        <v/>
      </c>
      <c r="DR28" s="458">
        <f>'_Engine_R50'!C151</f>
        <v/>
      </c>
      <c r="DS28" s="458">
        <f>'_Engine_R50'!C152</f>
        <v/>
      </c>
      <c r="DT28" s="458">
        <f>'_Engine_R50'!C153</f>
        <v/>
      </c>
      <c r="DU28" s="458">
        <f>'_Engine_R50'!C154</f>
        <v/>
      </c>
      <c r="DV28" s="458">
        <f>'_Engine_R50'!C155</f>
        <v/>
      </c>
      <c r="DW28" s="458">
        <f>'_Engine_R50'!C156</f>
        <v/>
      </c>
      <c r="DX28" s="458">
        <f>'_Engine_R50'!C157</f>
        <v/>
      </c>
      <c r="DY28" s="458">
        <f>'_Engine_R50'!C158</f>
        <v/>
      </c>
      <c r="DZ28" s="458">
        <f>'_Engine_R50'!C159</f>
        <v/>
      </c>
      <c r="EA28" s="458">
        <f>'_Engine_R50'!C160</f>
        <v/>
      </c>
      <c r="EB28" s="458">
        <f>'_Engine_R50'!C161</f>
        <v/>
      </c>
      <c r="EC28" s="458">
        <f>'_Engine_R50'!C162</f>
        <v/>
      </c>
      <c r="ED28" s="459">
        <f>'_Engine_R50'!C163</f>
        <v/>
      </c>
      <c r="EE28" s="459">
        <f>'_Engine_R50'!C164</f>
        <v/>
      </c>
      <c r="EF28" s="459">
        <f>'_Engine_R50'!C165</f>
        <v/>
      </c>
      <c r="EG28" s="459">
        <f>'_Engine_R50'!C166</f>
        <v/>
      </c>
      <c r="EH28" s="459">
        <f>'_Engine_R50'!C167</f>
        <v/>
      </c>
      <c r="EI28" s="459">
        <f>'_Engine_R50'!C168</f>
        <v/>
      </c>
      <c r="EJ28" s="459">
        <f>'_Engine_R50'!C169</f>
        <v/>
      </c>
      <c r="EK28" s="459">
        <f>'_Engine_R50'!C170</f>
        <v/>
      </c>
      <c r="EL28" s="459">
        <f>'_Engine_R50'!C171</f>
        <v/>
      </c>
      <c r="EM28" s="459">
        <f>'_Engine_R50'!C172</f>
        <v/>
      </c>
      <c r="EN28" s="459">
        <f>'_Engine_R50'!C173</f>
        <v/>
      </c>
      <c r="EO28" s="459">
        <f>'_Engine_R50'!C174</f>
        <v/>
      </c>
      <c r="EP28" s="458">
        <f>'_Engine_R50'!C175</f>
        <v/>
      </c>
      <c r="EQ28" s="458">
        <f>'_Engine_R50'!C176</f>
        <v/>
      </c>
      <c r="ER28" s="458">
        <f>'_Engine_R50'!C177</f>
        <v/>
      </c>
      <c r="ES28" s="458">
        <f>'_Engine_R50'!C178</f>
        <v/>
      </c>
      <c r="ET28" s="458">
        <f>'_Engine_R50'!C179</f>
        <v/>
      </c>
      <c r="EU28" s="458">
        <f>'_Engine_R50'!C180</f>
        <v/>
      </c>
      <c r="EV28" s="458">
        <f>'_Engine_R50'!C181</f>
        <v/>
      </c>
      <c r="EW28" s="458">
        <f>'_Engine_R50'!C182</f>
        <v/>
      </c>
      <c r="EX28" s="458">
        <f>'_Engine_R50'!C183</f>
        <v/>
      </c>
      <c r="EY28" s="458">
        <f>'_Engine_R50'!C184</f>
        <v/>
      </c>
      <c r="EZ28" s="458">
        <f>'_Engine_R50'!C185</f>
        <v/>
      </c>
      <c r="FA28" s="458">
        <f>'_Engine_R50'!C186</f>
        <v/>
      </c>
      <c r="FB28" s="459">
        <f>'_Engine_R50'!C187</f>
        <v/>
      </c>
      <c r="FC28" s="459">
        <f>'_Engine_R50'!C188</f>
        <v/>
      </c>
      <c r="FD28" s="459">
        <f>'_Engine_R50'!C189</f>
        <v/>
      </c>
      <c r="FE28" s="459">
        <f>'_Engine_R50'!C190</f>
        <v/>
      </c>
      <c r="FF28" s="459">
        <f>'_Engine_R50'!C191</f>
        <v/>
      </c>
      <c r="FG28" s="459">
        <f>'_Engine_R50'!C192</f>
        <v/>
      </c>
      <c r="FH28" s="459">
        <f>'_Engine_R50'!C193</f>
        <v/>
      </c>
      <c r="FI28" s="459">
        <f>'_Engine_R50'!C194</f>
        <v/>
      </c>
      <c r="FJ28" s="459">
        <f>'_Engine_R50'!C195</f>
        <v/>
      </c>
      <c r="FK28" s="459">
        <f>'_Engine_R50'!C196</f>
        <v/>
      </c>
      <c r="FL28" s="459">
        <f>'_Engine_R50'!C197</f>
        <v/>
      </c>
      <c r="FM28" s="459">
        <f>'_Engine_R50'!C198</f>
        <v/>
      </c>
      <c r="FN28" s="458">
        <f>'_Engine_R50'!C199</f>
        <v/>
      </c>
      <c r="FO28" s="458">
        <f>'_Engine_R50'!C200</f>
        <v/>
      </c>
      <c r="FP28" s="458">
        <f>'_Engine_R50'!C201</f>
        <v/>
      </c>
      <c r="FQ28" s="458">
        <f>'_Engine_R50'!C202</f>
        <v/>
      </c>
      <c r="FR28" s="458">
        <f>'_Engine_R50'!C203</f>
        <v/>
      </c>
      <c r="FS28" s="458">
        <f>'_Engine_R50'!C204</f>
        <v/>
      </c>
      <c r="FT28" s="458">
        <f>'_Engine_R50'!C205</f>
        <v/>
      </c>
      <c r="FU28" s="458">
        <f>'_Engine_R50'!C206</f>
        <v/>
      </c>
      <c r="FV28" s="458">
        <f>'_Engine_R50'!C207</f>
        <v/>
      </c>
      <c r="FW28" s="458">
        <f>'_Engine_R50'!C208</f>
        <v/>
      </c>
      <c r="FX28" s="458">
        <f>'_Engine_R50'!C209</f>
        <v/>
      </c>
      <c r="FY28" s="458">
        <f>'_Engine_R50'!C210</f>
        <v/>
      </c>
      <c r="FZ28" s="306" t="n"/>
    </row>
    <row r="29" ht="15" customHeight="1" s="307">
      <c r="A29" s="468" t="inlineStr">
        <is>
          <t>Operating Income</t>
        </is>
      </c>
      <c r="B29" s="469">
        <f>'_Engine_R50'!Z31</f>
        <v/>
      </c>
      <c r="C29" s="469">
        <f>'_Engine_R50'!Z32</f>
        <v/>
      </c>
      <c r="D29" s="469">
        <f>'_Engine_R50'!Z33</f>
        <v/>
      </c>
      <c r="E29" s="469">
        <f>'_Engine_R50'!Z34</f>
        <v/>
      </c>
      <c r="F29" s="469">
        <f>'_Engine_R50'!Z35</f>
        <v/>
      </c>
      <c r="G29" s="469">
        <f>'_Engine_R50'!Z36</f>
        <v/>
      </c>
      <c r="H29" s="469">
        <f>'_Engine_R50'!Z37</f>
        <v/>
      </c>
      <c r="I29" s="469">
        <f>'_Engine_R50'!Z38</f>
        <v/>
      </c>
      <c r="J29" s="469">
        <f>'_Engine_R50'!Z39</f>
        <v/>
      </c>
      <c r="K29" s="469">
        <f>'_Engine_R50'!Z40</f>
        <v/>
      </c>
      <c r="L29" s="469">
        <f>'_Engine_R50'!Z41</f>
        <v/>
      </c>
      <c r="M29" s="469">
        <f>'_Engine_R50'!Z42</f>
        <v/>
      </c>
      <c r="N29" s="470">
        <f>'_Engine_R50'!Z43</f>
        <v/>
      </c>
      <c r="O29" s="470">
        <f>'_Engine_R50'!Z44</f>
        <v/>
      </c>
      <c r="P29" s="470">
        <f>'_Engine_R50'!Z45</f>
        <v/>
      </c>
      <c r="Q29" s="470">
        <f>'_Engine_R50'!Z46</f>
        <v/>
      </c>
      <c r="R29" s="470">
        <f>'_Engine_R50'!Z47</f>
        <v/>
      </c>
      <c r="S29" s="470">
        <f>'_Engine_R50'!Z48</f>
        <v/>
      </c>
      <c r="T29" s="470">
        <f>'_Engine_R50'!Z49</f>
        <v/>
      </c>
      <c r="U29" s="470">
        <f>'_Engine_R50'!Z50</f>
        <v/>
      </c>
      <c r="V29" s="470">
        <f>'_Engine_R50'!Z51</f>
        <v/>
      </c>
      <c r="W29" s="470">
        <f>'_Engine_R50'!Z52</f>
        <v/>
      </c>
      <c r="X29" s="470">
        <f>'_Engine_R50'!Z53</f>
        <v/>
      </c>
      <c r="Y29" s="470">
        <f>'_Engine_R50'!Z54</f>
        <v/>
      </c>
      <c r="Z29" s="469">
        <f>'_Engine_R50'!Z55</f>
        <v/>
      </c>
      <c r="AA29" s="469">
        <f>'_Engine_R50'!Z56</f>
        <v/>
      </c>
      <c r="AB29" s="469">
        <f>'_Engine_R50'!Z57</f>
        <v/>
      </c>
      <c r="AC29" s="469">
        <f>'_Engine_R50'!Z58</f>
        <v/>
      </c>
      <c r="AD29" s="469">
        <f>'_Engine_R50'!Z59</f>
        <v/>
      </c>
      <c r="AE29" s="469">
        <f>'_Engine_R50'!Z60</f>
        <v/>
      </c>
      <c r="AF29" s="469">
        <f>'_Engine_R50'!Z61</f>
        <v/>
      </c>
      <c r="AG29" s="469">
        <f>'_Engine_R50'!Z62</f>
        <v/>
      </c>
      <c r="AH29" s="469">
        <f>'_Engine_R50'!Z63</f>
        <v/>
      </c>
      <c r="AI29" s="469">
        <f>'_Engine_R50'!Z64</f>
        <v/>
      </c>
      <c r="AJ29" s="469">
        <f>'_Engine_R50'!Z65</f>
        <v/>
      </c>
      <c r="AK29" s="469">
        <f>'_Engine_R50'!Z66</f>
        <v/>
      </c>
      <c r="AL29" s="470">
        <f>'_Engine_R50'!Z67</f>
        <v/>
      </c>
      <c r="AM29" s="470">
        <f>'_Engine_R50'!Z68</f>
        <v/>
      </c>
      <c r="AN29" s="470">
        <f>'_Engine_R50'!Z69</f>
        <v/>
      </c>
      <c r="AO29" s="470">
        <f>'_Engine_R50'!Z70</f>
        <v/>
      </c>
      <c r="AP29" s="470">
        <f>'_Engine_R50'!Z71</f>
        <v/>
      </c>
      <c r="AQ29" s="470">
        <f>'_Engine_R50'!Z72</f>
        <v/>
      </c>
      <c r="AR29" s="470">
        <f>'_Engine_R50'!Z73</f>
        <v/>
      </c>
      <c r="AS29" s="470">
        <f>'_Engine_R50'!Z74</f>
        <v/>
      </c>
      <c r="AT29" s="470">
        <f>'_Engine_R50'!Z75</f>
        <v/>
      </c>
      <c r="AU29" s="470">
        <f>'_Engine_R50'!Z76</f>
        <v/>
      </c>
      <c r="AV29" s="470">
        <f>'_Engine_R50'!Z77</f>
        <v/>
      </c>
      <c r="AW29" s="470">
        <f>'_Engine_R50'!Z78</f>
        <v/>
      </c>
      <c r="AX29" s="469">
        <f>'_Engine_R50'!Z79</f>
        <v/>
      </c>
      <c r="AY29" s="469">
        <f>'_Engine_R50'!Z80</f>
        <v/>
      </c>
      <c r="AZ29" s="469">
        <f>'_Engine_R50'!Z81</f>
        <v/>
      </c>
      <c r="BA29" s="469">
        <f>'_Engine_R50'!Z82</f>
        <v/>
      </c>
      <c r="BB29" s="469">
        <f>'_Engine_R50'!Z83</f>
        <v/>
      </c>
      <c r="BC29" s="469">
        <f>'_Engine_R50'!Z84</f>
        <v/>
      </c>
      <c r="BD29" s="469">
        <f>'_Engine_R50'!Z85</f>
        <v/>
      </c>
      <c r="BE29" s="469">
        <f>'_Engine_R50'!Z86</f>
        <v/>
      </c>
      <c r="BF29" s="469">
        <f>'_Engine_R50'!Z87</f>
        <v/>
      </c>
      <c r="BG29" s="469">
        <f>'_Engine_R50'!Z88</f>
        <v/>
      </c>
      <c r="BH29" s="469">
        <f>'_Engine_R50'!Z89</f>
        <v/>
      </c>
      <c r="BI29" s="469">
        <f>'_Engine_R50'!Z90</f>
        <v/>
      </c>
      <c r="BJ29" s="470">
        <f>'_Engine_R50'!Z91</f>
        <v/>
      </c>
      <c r="BK29" s="470">
        <f>'_Engine_R50'!Z92</f>
        <v/>
      </c>
      <c r="BL29" s="470">
        <f>'_Engine_R50'!Z93</f>
        <v/>
      </c>
      <c r="BM29" s="470">
        <f>'_Engine_R50'!Z94</f>
        <v/>
      </c>
      <c r="BN29" s="470">
        <f>'_Engine_R50'!Z95</f>
        <v/>
      </c>
      <c r="BO29" s="470">
        <f>'_Engine_R50'!Z96</f>
        <v/>
      </c>
      <c r="BP29" s="470">
        <f>'_Engine_R50'!Z97</f>
        <v/>
      </c>
      <c r="BQ29" s="470">
        <f>'_Engine_R50'!Z98</f>
        <v/>
      </c>
      <c r="BR29" s="470">
        <f>'_Engine_R50'!Z99</f>
        <v/>
      </c>
      <c r="BS29" s="470">
        <f>'_Engine_R50'!Z100</f>
        <v/>
      </c>
      <c r="BT29" s="470">
        <f>'_Engine_R50'!Z101</f>
        <v/>
      </c>
      <c r="BU29" s="470">
        <f>'_Engine_R50'!Z102</f>
        <v/>
      </c>
      <c r="BV29" s="469">
        <f>'_Engine_R50'!Z103</f>
        <v/>
      </c>
      <c r="BW29" s="469">
        <f>'_Engine_R50'!Z104</f>
        <v/>
      </c>
      <c r="BX29" s="469">
        <f>'_Engine_R50'!Z105</f>
        <v/>
      </c>
      <c r="BY29" s="469">
        <f>'_Engine_R50'!Z106</f>
        <v/>
      </c>
      <c r="BZ29" s="469">
        <f>'_Engine_R50'!Z107</f>
        <v/>
      </c>
      <c r="CA29" s="469">
        <f>'_Engine_R50'!Z108</f>
        <v/>
      </c>
      <c r="CB29" s="469">
        <f>'_Engine_R50'!Z109</f>
        <v/>
      </c>
      <c r="CC29" s="469">
        <f>'_Engine_R50'!Z110</f>
        <v/>
      </c>
      <c r="CD29" s="469">
        <f>'_Engine_R50'!Z111</f>
        <v/>
      </c>
      <c r="CE29" s="469">
        <f>'_Engine_R50'!Z112</f>
        <v/>
      </c>
      <c r="CF29" s="469">
        <f>'_Engine_R50'!Z113</f>
        <v/>
      </c>
      <c r="CG29" s="469">
        <f>'_Engine_R50'!Z114</f>
        <v/>
      </c>
      <c r="CH29" s="470">
        <f>'_Engine_R50'!Z115</f>
        <v/>
      </c>
      <c r="CI29" s="470">
        <f>'_Engine_R50'!Z116</f>
        <v/>
      </c>
      <c r="CJ29" s="470">
        <f>'_Engine_R50'!Z117</f>
        <v/>
      </c>
      <c r="CK29" s="470">
        <f>'_Engine_R50'!Z118</f>
        <v/>
      </c>
      <c r="CL29" s="470">
        <f>'_Engine_R50'!Z119</f>
        <v/>
      </c>
      <c r="CM29" s="470">
        <f>'_Engine_R50'!Z120</f>
        <v/>
      </c>
      <c r="CN29" s="470">
        <f>'_Engine_R50'!Z121</f>
        <v/>
      </c>
      <c r="CO29" s="470">
        <f>'_Engine_R50'!Z122</f>
        <v/>
      </c>
      <c r="CP29" s="470">
        <f>'_Engine_R50'!Z123</f>
        <v/>
      </c>
      <c r="CQ29" s="470">
        <f>'_Engine_R50'!Z124</f>
        <v/>
      </c>
      <c r="CR29" s="470">
        <f>'_Engine_R50'!Z125</f>
        <v/>
      </c>
      <c r="CS29" s="470">
        <f>'_Engine_R50'!Z126</f>
        <v/>
      </c>
      <c r="CT29" s="469">
        <f>'_Engine_R50'!Z127</f>
        <v/>
      </c>
      <c r="CU29" s="469">
        <f>'_Engine_R50'!Z128</f>
        <v/>
      </c>
      <c r="CV29" s="469">
        <f>'_Engine_R50'!Z129</f>
        <v/>
      </c>
      <c r="CW29" s="469">
        <f>'_Engine_R50'!Z130</f>
        <v/>
      </c>
      <c r="CX29" s="469">
        <f>'_Engine_R50'!Z131</f>
        <v/>
      </c>
      <c r="CY29" s="469">
        <f>'_Engine_R50'!Z132</f>
        <v/>
      </c>
      <c r="CZ29" s="469">
        <f>'_Engine_R50'!Z133</f>
        <v/>
      </c>
      <c r="DA29" s="469">
        <f>'_Engine_R50'!Z134</f>
        <v/>
      </c>
      <c r="DB29" s="469">
        <f>'_Engine_R50'!Z135</f>
        <v/>
      </c>
      <c r="DC29" s="469">
        <f>'_Engine_R50'!Z136</f>
        <v/>
      </c>
      <c r="DD29" s="469">
        <f>'_Engine_R50'!Z137</f>
        <v/>
      </c>
      <c r="DE29" s="469">
        <f>'_Engine_R50'!Z138</f>
        <v/>
      </c>
      <c r="DF29" s="470">
        <f>'_Engine_R50'!Z139</f>
        <v/>
      </c>
      <c r="DG29" s="470">
        <f>'_Engine_R50'!Z140</f>
        <v/>
      </c>
      <c r="DH29" s="470">
        <f>'_Engine_R50'!Z141</f>
        <v/>
      </c>
      <c r="DI29" s="470">
        <f>'_Engine_R50'!Z142</f>
        <v/>
      </c>
      <c r="DJ29" s="470">
        <f>'_Engine_R50'!Z143</f>
        <v/>
      </c>
      <c r="DK29" s="470">
        <f>'_Engine_R50'!Z144</f>
        <v/>
      </c>
      <c r="DL29" s="470">
        <f>'_Engine_R50'!Z145</f>
        <v/>
      </c>
      <c r="DM29" s="470">
        <f>'_Engine_R50'!Z146</f>
        <v/>
      </c>
      <c r="DN29" s="470">
        <f>'_Engine_R50'!Z147</f>
        <v/>
      </c>
      <c r="DO29" s="470">
        <f>'_Engine_R50'!Z148</f>
        <v/>
      </c>
      <c r="DP29" s="470">
        <f>'_Engine_R50'!Z149</f>
        <v/>
      </c>
      <c r="DQ29" s="470">
        <f>'_Engine_R50'!Z150</f>
        <v/>
      </c>
      <c r="DR29" s="469">
        <f>'_Engine_R50'!Z151</f>
        <v/>
      </c>
      <c r="DS29" s="469">
        <f>'_Engine_R50'!Z152</f>
        <v/>
      </c>
      <c r="DT29" s="469">
        <f>'_Engine_R50'!Z153</f>
        <v/>
      </c>
      <c r="DU29" s="469">
        <f>'_Engine_R50'!Z154</f>
        <v/>
      </c>
      <c r="DV29" s="469">
        <f>'_Engine_R50'!Z155</f>
        <v/>
      </c>
      <c r="DW29" s="469">
        <f>'_Engine_R50'!Z156</f>
        <v/>
      </c>
      <c r="DX29" s="469">
        <f>'_Engine_R50'!Z157</f>
        <v/>
      </c>
      <c r="DY29" s="469">
        <f>'_Engine_R50'!Z158</f>
        <v/>
      </c>
      <c r="DZ29" s="469">
        <f>'_Engine_R50'!Z159</f>
        <v/>
      </c>
      <c r="EA29" s="469">
        <f>'_Engine_R50'!Z160</f>
        <v/>
      </c>
      <c r="EB29" s="469">
        <f>'_Engine_R50'!Z161</f>
        <v/>
      </c>
      <c r="EC29" s="469">
        <f>'_Engine_R50'!Z162</f>
        <v/>
      </c>
      <c r="ED29" s="470">
        <f>'_Engine_R50'!Z163</f>
        <v/>
      </c>
      <c r="EE29" s="470">
        <f>'_Engine_R50'!Z164</f>
        <v/>
      </c>
      <c r="EF29" s="470">
        <f>'_Engine_R50'!Z165</f>
        <v/>
      </c>
      <c r="EG29" s="470">
        <f>'_Engine_R50'!Z166</f>
        <v/>
      </c>
      <c r="EH29" s="470">
        <f>'_Engine_R50'!Z167</f>
        <v/>
      </c>
      <c r="EI29" s="470">
        <f>'_Engine_R50'!Z168</f>
        <v/>
      </c>
      <c r="EJ29" s="470">
        <f>'_Engine_R50'!Z169</f>
        <v/>
      </c>
      <c r="EK29" s="470">
        <f>'_Engine_R50'!Z170</f>
        <v/>
      </c>
      <c r="EL29" s="470">
        <f>'_Engine_R50'!Z171</f>
        <v/>
      </c>
      <c r="EM29" s="470">
        <f>'_Engine_R50'!Z172</f>
        <v/>
      </c>
      <c r="EN29" s="470">
        <f>'_Engine_R50'!Z173</f>
        <v/>
      </c>
      <c r="EO29" s="470">
        <f>'_Engine_R50'!Z174</f>
        <v/>
      </c>
      <c r="EP29" s="469">
        <f>'_Engine_R50'!Z175</f>
        <v/>
      </c>
      <c r="EQ29" s="469">
        <f>'_Engine_R50'!Z176</f>
        <v/>
      </c>
      <c r="ER29" s="469">
        <f>'_Engine_R50'!Z177</f>
        <v/>
      </c>
      <c r="ES29" s="469">
        <f>'_Engine_R50'!Z178</f>
        <v/>
      </c>
      <c r="ET29" s="469">
        <f>'_Engine_R50'!Z179</f>
        <v/>
      </c>
      <c r="EU29" s="469">
        <f>'_Engine_R50'!Z180</f>
        <v/>
      </c>
      <c r="EV29" s="469">
        <f>'_Engine_R50'!Z181</f>
        <v/>
      </c>
      <c r="EW29" s="469">
        <f>'_Engine_R50'!Z182</f>
        <v/>
      </c>
      <c r="EX29" s="469">
        <f>'_Engine_R50'!Z183</f>
        <v/>
      </c>
      <c r="EY29" s="469">
        <f>'_Engine_R50'!Z184</f>
        <v/>
      </c>
      <c r="EZ29" s="469">
        <f>'_Engine_R50'!Z185</f>
        <v/>
      </c>
      <c r="FA29" s="469">
        <f>'_Engine_R50'!Z186</f>
        <v/>
      </c>
      <c r="FB29" s="470">
        <f>'_Engine_R50'!Z187</f>
        <v/>
      </c>
      <c r="FC29" s="470">
        <f>'_Engine_R50'!Z188</f>
        <v/>
      </c>
      <c r="FD29" s="470">
        <f>'_Engine_R50'!Z189</f>
        <v/>
      </c>
      <c r="FE29" s="470">
        <f>'_Engine_R50'!Z190</f>
        <v/>
      </c>
      <c r="FF29" s="470">
        <f>'_Engine_R50'!Z191</f>
        <v/>
      </c>
      <c r="FG29" s="470">
        <f>'_Engine_R50'!Z192</f>
        <v/>
      </c>
      <c r="FH29" s="470">
        <f>'_Engine_R50'!Z193</f>
        <v/>
      </c>
      <c r="FI29" s="470">
        <f>'_Engine_R50'!Z194</f>
        <v/>
      </c>
      <c r="FJ29" s="470">
        <f>'_Engine_R50'!Z195</f>
        <v/>
      </c>
      <c r="FK29" s="470">
        <f>'_Engine_R50'!Z196</f>
        <v/>
      </c>
      <c r="FL29" s="470">
        <f>'_Engine_R50'!Z197</f>
        <v/>
      </c>
      <c r="FM29" s="470">
        <f>'_Engine_R50'!Z198</f>
        <v/>
      </c>
      <c r="FN29" s="469">
        <f>'_Engine_R50'!Z199</f>
        <v/>
      </c>
      <c r="FO29" s="469">
        <f>'_Engine_R50'!Z200</f>
        <v/>
      </c>
      <c r="FP29" s="469">
        <f>'_Engine_R50'!Z201</f>
        <v/>
      </c>
      <c r="FQ29" s="469">
        <f>'_Engine_R50'!Z202</f>
        <v/>
      </c>
      <c r="FR29" s="469">
        <f>'_Engine_R50'!Z203</f>
        <v/>
      </c>
      <c r="FS29" s="469">
        <f>'_Engine_R50'!Z204</f>
        <v/>
      </c>
      <c r="FT29" s="469">
        <f>'_Engine_R50'!Z205</f>
        <v/>
      </c>
      <c r="FU29" s="469">
        <f>'_Engine_R50'!Z206</f>
        <v/>
      </c>
      <c r="FV29" s="469">
        <f>'_Engine_R50'!Z207</f>
        <v/>
      </c>
      <c r="FW29" s="469">
        <f>'_Engine_R50'!Z208</f>
        <v/>
      </c>
      <c r="FX29" s="469">
        <f>'_Engine_R50'!Z209</f>
        <v/>
      </c>
      <c r="FY29" s="469">
        <f>'_Engine_R50'!Z210</f>
        <v/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5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SUM('_Engine_NR'!L31:L33)</f>
        <v/>
      </c>
      <c r="C5" s="466">
        <f>SUM('_Engine_NR'!L34:L36)</f>
        <v/>
      </c>
      <c r="D5" s="466">
        <f>SUM('_Engine_NR'!L37:L39)</f>
        <v/>
      </c>
      <c r="E5" s="466">
        <f>SUM('_Engine_NR'!L40:L42)</f>
        <v/>
      </c>
      <c r="F5" s="466">
        <f>SUM('_Engine_NR'!L43:L45)</f>
        <v/>
      </c>
      <c r="G5" s="466">
        <f>SUM('_Engine_NR'!L46:L48)</f>
        <v/>
      </c>
      <c r="H5" s="466">
        <f>SUM('_Engine_NR'!L49:L51)</f>
        <v/>
      </c>
      <c r="I5" s="466">
        <f>SUM('_Engine_NR'!L52:L54)</f>
        <v/>
      </c>
      <c r="J5" s="466">
        <f>SUM('_Engine_NR'!L55:L57)</f>
        <v/>
      </c>
      <c r="K5" s="466">
        <f>SUM('_Engine_NR'!L58:L60)</f>
        <v/>
      </c>
      <c r="L5" s="466">
        <f>SUM('_Engine_NR'!L61:L63)</f>
        <v/>
      </c>
      <c r="M5" s="466">
        <f>SUM('_Engine_NR'!L64:L66)</f>
        <v/>
      </c>
      <c r="N5" s="466">
        <f>SUM('_Engine_NR'!L67:L69)</f>
        <v/>
      </c>
      <c r="O5" s="466">
        <f>SUM('_Engine_NR'!L70:L72)</f>
        <v/>
      </c>
      <c r="P5" s="466">
        <f>SUM('_Engine_NR'!L73:L75)</f>
        <v/>
      </c>
      <c r="Q5" s="466">
        <f>SUM('_Engine_NR'!L76:L78)</f>
        <v/>
      </c>
      <c r="R5" s="466">
        <f>SUM('_Engine_NR'!L79:L81)</f>
        <v/>
      </c>
      <c r="S5" s="466">
        <f>SUM('_Engine_NR'!L82:L84)</f>
        <v/>
      </c>
      <c r="T5" s="466">
        <f>SUM('_Engine_NR'!L85:L87)</f>
        <v/>
      </c>
      <c r="U5" s="466">
        <f>SUM('_Engine_NR'!L88:L90)</f>
        <v/>
      </c>
      <c r="V5" s="466">
        <f>SUM('_Engine_NR'!L91:L93)</f>
        <v/>
      </c>
      <c r="W5" s="466">
        <f>SUM('_Engine_NR'!L94:L96)</f>
        <v/>
      </c>
      <c r="X5" s="466">
        <f>SUM('_Engine_NR'!L97:L99)</f>
        <v/>
      </c>
      <c r="Y5" s="466">
        <f>SUM('_Engine_NR'!L100:L102)</f>
        <v/>
      </c>
      <c r="Z5" s="466">
        <f>SUM('_Engine_NR'!L103:L105)</f>
        <v/>
      </c>
      <c r="AA5" s="466">
        <f>SUM('_Engine_NR'!L106:L108)</f>
        <v/>
      </c>
      <c r="AB5" s="466">
        <f>SUM('_Engine_NR'!L109:L111)</f>
        <v/>
      </c>
      <c r="AC5" s="466">
        <f>SUM('_Engine_NR'!L112:L114)</f>
        <v/>
      </c>
      <c r="AD5" s="466">
        <f>SUM('_Engine_NR'!L115:L117)</f>
        <v/>
      </c>
      <c r="AE5" s="466">
        <f>SUM('_Engine_NR'!L118:L120)</f>
        <v/>
      </c>
      <c r="AF5" s="466">
        <f>SUM('_Engine_NR'!L121:L123)</f>
        <v/>
      </c>
      <c r="AG5" s="466">
        <f>SUM('_Engine_NR'!L124:L126)</f>
        <v/>
      </c>
      <c r="AH5" s="466">
        <f>SUM('_Engine_NR'!L127:L129)</f>
        <v/>
      </c>
      <c r="AI5" s="466">
        <f>SUM('_Engine_NR'!L130:L132)</f>
        <v/>
      </c>
      <c r="AJ5" s="466">
        <f>SUM('_Engine_NR'!L133:L135)</f>
        <v/>
      </c>
      <c r="AK5" s="466">
        <f>SUM('_Engine_NR'!L136:L138)</f>
        <v/>
      </c>
      <c r="AL5" s="466">
        <f>SUM('_Engine_NR'!L139:L141)</f>
        <v/>
      </c>
      <c r="AM5" s="466">
        <f>SUM('_Engine_NR'!L142:L144)</f>
        <v/>
      </c>
      <c r="AN5" s="466">
        <f>SUM('_Engine_NR'!L145:L147)</f>
        <v/>
      </c>
      <c r="AO5" s="466">
        <f>SUM('_Engine_NR'!L148:L150)</f>
        <v/>
      </c>
      <c r="AP5" s="466">
        <f>SUM('_Engine_NR'!L151:L153)</f>
        <v/>
      </c>
      <c r="AQ5" s="466">
        <f>SUM('_Engine_NR'!L154:L156)</f>
        <v/>
      </c>
      <c r="AR5" s="466">
        <f>SUM('_Engine_NR'!L157:L159)</f>
        <v/>
      </c>
      <c r="AS5" s="466">
        <f>SUM('_Engine_NR'!L160:L162)</f>
        <v/>
      </c>
      <c r="AT5" s="466">
        <f>SUM('_Engine_NR'!L163:L165)</f>
        <v/>
      </c>
      <c r="AU5" s="466">
        <f>SUM('_Engine_NR'!L166:L168)</f>
        <v/>
      </c>
      <c r="AV5" s="466">
        <f>SUM('_Engine_NR'!L169:L171)</f>
        <v/>
      </c>
      <c r="AW5" s="466">
        <f>SUM('_Engine_NR'!L172:L174)</f>
        <v/>
      </c>
      <c r="AX5" s="466">
        <f>SUM('_Engine_NR'!L175:L177)</f>
        <v/>
      </c>
      <c r="AY5" s="466">
        <f>SUM('_Engine_NR'!L178:L180)</f>
        <v/>
      </c>
      <c r="AZ5" s="466">
        <f>SUM('_Engine_NR'!L181:L183)</f>
        <v/>
      </c>
      <c r="BA5" s="466">
        <f>SUM('_Engine_NR'!L184:L186)</f>
        <v/>
      </c>
      <c r="BB5" s="466">
        <f>SUM('_Engine_NR'!L187:L189)</f>
        <v/>
      </c>
      <c r="BC5" s="466">
        <f>SUM('_Engine_NR'!L190:L192)</f>
        <v/>
      </c>
      <c r="BD5" s="466">
        <f>SUM('_Engine_NR'!L193:L195)</f>
        <v/>
      </c>
      <c r="BE5" s="466">
        <f>SUM('_Engine_NR'!L196:L198)</f>
        <v/>
      </c>
      <c r="BF5" s="466">
        <f>SUM('_Engine_NR'!L199:L201)</f>
        <v/>
      </c>
      <c r="BG5" s="466">
        <f>SUM('_Engine_NR'!L202:L204)</f>
        <v/>
      </c>
      <c r="BH5" s="466">
        <f>SUM('_Engine_NR'!L205:L207)</f>
        <v/>
      </c>
      <c r="BI5" s="466">
        <f>SUM('_Engine_NR'!L208:L210)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SUM('_Engine_NR'!M31:M33)</f>
        <v/>
      </c>
      <c r="C6" s="459">
        <f>SUM('_Engine_NR'!M34:M36)</f>
        <v/>
      </c>
      <c r="D6" s="459">
        <f>SUM('_Engine_NR'!M37:M39)</f>
        <v/>
      </c>
      <c r="E6" s="459">
        <f>SUM('_Engine_NR'!M40:M42)</f>
        <v/>
      </c>
      <c r="F6" s="459">
        <f>SUM('_Engine_NR'!M43:M45)</f>
        <v/>
      </c>
      <c r="G6" s="459">
        <f>SUM('_Engine_NR'!M46:M48)</f>
        <v/>
      </c>
      <c r="H6" s="459">
        <f>SUM('_Engine_NR'!M49:M51)</f>
        <v/>
      </c>
      <c r="I6" s="459">
        <f>SUM('_Engine_NR'!M52:M54)</f>
        <v/>
      </c>
      <c r="J6" s="459">
        <f>SUM('_Engine_NR'!M55:M57)</f>
        <v/>
      </c>
      <c r="K6" s="459">
        <f>SUM('_Engine_NR'!M58:M60)</f>
        <v/>
      </c>
      <c r="L6" s="459">
        <f>SUM('_Engine_NR'!M61:M63)</f>
        <v/>
      </c>
      <c r="M6" s="459">
        <f>SUM('_Engine_NR'!M64:M66)</f>
        <v/>
      </c>
      <c r="N6" s="459">
        <f>SUM('_Engine_NR'!M67:M69)</f>
        <v/>
      </c>
      <c r="O6" s="459">
        <f>SUM('_Engine_NR'!M70:M72)</f>
        <v/>
      </c>
      <c r="P6" s="459">
        <f>SUM('_Engine_NR'!M73:M75)</f>
        <v/>
      </c>
      <c r="Q6" s="459">
        <f>SUM('_Engine_NR'!M76:M78)</f>
        <v/>
      </c>
      <c r="R6" s="459">
        <f>SUM('_Engine_NR'!M79:M81)</f>
        <v/>
      </c>
      <c r="S6" s="459">
        <f>SUM('_Engine_NR'!M82:M84)</f>
        <v/>
      </c>
      <c r="T6" s="459">
        <f>SUM('_Engine_NR'!M85:M87)</f>
        <v/>
      </c>
      <c r="U6" s="459">
        <f>SUM('_Engine_NR'!M88:M90)</f>
        <v/>
      </c>
      <c r="V6" s="459">
        <f>SUM('_Engine_NR'!M91:M93)</f>
        <v/>
      </c>
      <c r="W6" s="459">
        <f>SUM('_Engine_NR'!M94:M96)</f>
        <v/>
      </c>
      <c r="X6" s="459">
        <f>SUM('_Engine_NR'!M97:M99)</f>
        <v/>
      </c>
      <c r="Y6" s="459">
        <f>SUM('_Engine_NR'!M100:M102)</f>
        <v/>
      </c>
      <c r="Z6" s="459">
        <f>SUM('_Engine_NR'!M103:M105)</f>
        <v/>
      </c>
      <c r="AA6" s="459">
        <f>SUM('_Engine_NR'!M106:M108)</f>
        <v/>
      </c>
      <c r="AB6" s="459">
        <f>SUM('_Engine_NR'!M109:M111)</f>
        <v/>
      </c>
      <c r="AC6" s="459">
        <f>SUM('_Engine_NR'!M112:M114)</f>
        <v/>
      </c>
      <c r="AD6" s="459">
        <f>SUM('_Engine_NR'!M115:M117)</f>
        <v/>
      </c>
      <c r="AE6" s="459">
        <f>SUM('_Engine_NR'!M118:M120)</f>
        <v/>
      </c>
      <c r="AF6" s="459">
        <f>SUM('_Engine_NR'!M121:M123)</f>
        <v/>
      </c>
      <c r="AG6" s="459">
        <f>SUM('_Engine_NR'!M124:M126)</f>
        <v/>
      </c>
      <c r="AH6" s="459">
        <f>SUM('_Engine_NR'!M127:M129)</f>
        <v/>
      </c>
      <c r="AI6" s="459">
        <f>SUM('_Engine_NR'!M130:M132)</f>
        <v/>
      </c>
      <c r="AJ6" s="459">
        <f>SUM('_Engine_NR'!M133:M135)</f>
        <v/>
      </c>
      <c r="AK6" s="459">
        <f>SUM('_Engine_NR'!M136:M138)</f>
        <v/>
      </c>
      <c r="AL6" s="459">
        <f>SUM('_Engine_NR'!M139:M141)</f>
        <v/>
      </c>
      <c r="AM6" s="459">
        <f>SUM('_Engine_NR'!M142:M144)</f>
        <v/>
      </c>
      <c r="AN6" s="459">
        <f>SUM('_Engine_NR'!M145:M147)</f>
        <v/>
      </c>
      <c r="AO6" s="459">
        <f>SUM('_Engine_NR'!M148:M150)</f>
        <v/>
      </c>
      <c r="AP6" s="459">
        <f>SUM('_Engine_NR'!M151:M153)</f>
        <v/>
      </c>
      <c r="AQ6" s="459">
        <f>SUM('_Engine_NR'!M154:M156)</f>
        <v/>
      </c>
      <c r="AR6" s="459">
        <f>SUM('_Engine_NR'!M157:M159)</f>
        <v/>
      </c>
      <c r="AS6" s="459">
        <f>SUM('_Engine_NR'!M160:M162)</f>
        <v/>
      </c>
      <c r="AT6" s="459">
        <f>SUM('_Engine_NR'!M163:M165)</f>
        <v/>
      </c>
      <c r="AU6" s="459">
        <f>SUM('_Engine_NR'!M166:M168)</f>
        <v/>
      </c>
      <c r="AV6" s="459">
        <f>SUM('_Engine_NR'!M169:M171)</f>
        <v/>
      </c>
      <c r="AW6" s="459">
        <f>SUM('_Engine_NR'!M172:M174)</f>
        <v/>
      </c>
      <c r="AX6" s="459">
        <f>SUM('_Engine_NR'!M175:M177)</f>
        <v/>
      </c>
      <c r="AY6" s="459">
        <f>SUM('_Engine_NR'!M178:M180)</f>
        <v/>
      </c>
      <c r="AZ6" s="459">
        <f>SUM('_Engine_NR'!M181:M183)</f>
        <v/>
      </c>
      <c r="BA6" s="459">
        <f>SUM('_Engine_NR'!M184:M186)</f>
        <v/>
      </c>
      <c r="BB6" s="459">
        <f>SUM('_Engine_NR'!M187:M189)</f>
        <v/>
      </c>
      <c r="BC6" s="459">
        <f>SUM('_Engine_NR'!M190:M192)</f>
        <v/>
      </c>
      <c r="BD6" s="459">
        <f>SUM('_Engine_NR'!M193:M195)</f>
        <v/>
      </c>
      <c r="BE6" s="459">
        <f>SUM('_Engine_NR'!M196:M198)</f>
        <v/>
      </c>
      <c r="BF6" s="459">
        <f>SUM('_Engine_NR'!M199:M201)</f>
        <v/>
      </c>
      <c r="BG6" s="459">
        <f>SUM('_Engine_NR'!M202:M204)</f>
        <v/>
      </c>
      <c r="BH6" s="459">
        <f>SUM('_Engine_NR'!M205:M207)</f>
        <v/>
      </c>
      <c r="BI6" s="459">
        <f>SUM('_Engine_NR'!M208:M210)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SUM('_Engine_NR'!N31:N33)</f>
        <v/>
      </c>
      <c r="C9" s="459">
        <f>SUM('_Engine_NR'!N34:N36)</f>
        <v/>
      </c>
      <c r="D9" s="459">
        <f>SUM('_Engine_NR'!N37:N39)</f>
        <v/>
      </c>
      <c r="E9" s="459">
        <f>SUM('_Engine_NR'!N40:N42)</f>
        <v/>
      </c>
      <c r="F9" s="459">
        <f>SUM('_Engine_NR'!N43:N45)</f>
        <v/>
      </c>
      <c r="G9" s="459">
        <f>SUM('_Engine_NR'!N46:N48)</f>
        <v/>
      </c>
      <c r="H9" s="459">
        <f>SUM('_Engine_NR'!N49:N51)</f>
        <v/>
      </c>
      <c r="I9" s="459">
        <f>SUM('_Engine_NR'!N52:N54)</f>
        <v/>
      </c>
      <c r="J9" s="459">
        <f>SUM('_Engine_NR'!N55:N57)</f>
        <v/>
      </c>
      <c r="K9" s="459">
        <f>SUM('_Engine_NR'!N58:N60)</f>
        <v/>
      </c>
      <c r="L9" s="459">
        <f>SUM('_Engine_NR'!N61:N63)</f>
        <v/>
      </c>
      <c r="M9" s="459">
        <f>SUM('_Engine_NR'!N64:N66)</f>
        <v/>
      </c>
      <c r="N9" s="459">
        <f>SUM('_Engine_NR'!N67:N69)</f>
        <v/>
      </c>
      <c r="O9" s="459">
        <f>SUM('_Engine_NR'!N70:N72)</f>
        <v/>
      </c>
      <c r="P9" s="459">
        <f>SUM('_Engine_NR'!N73:N75)</f>
        <v/>
      </c>
      <c r="Q9" s="459">
        <f>SUM('_Engine_NR'!N76:N78)</f>
        <v/>
      </c>
      <c r="R9" s="459">
        <f>SUM('_Engine_NR'!N79:N81)</f>
        <v/>
      </c>
      <c r="S9" s="459">
        <f>SUM('_Engine_NR'!N82:N84)</f>
        <v/>
      </c>
      <c r="T9" s="459">
        <f>SUM('_Engine_NR'!N85:N87)</f>
        <v/>
      </c>
      <c r="U9" s="459">
        <f>SUM('_Engine_NR'!N88:N90)</f>
        <v/>
      </c>
      <c r="V9" s="459">
        <f>SUM('_Engine_NR'!N91:N93)</f>
        <v/>
      </c>
      <c r="W9" s="459">
        <f>SUM('_Engine_NR'!N94:N96)</f>
        <v/>
      </c>
      <c r="X9" s="459">
        <f>SUM('_Engine_NR'!N97:N99)</f>
        <v/>
      </c>
      <c r="Y9" s="459">
        <f>SUM('_Engine_NR'!N100:N102)</f>
        <v/>
      </c>
      <c r="Z9" s="459">
        <f>SUM('_Engine_NR'!N103:N105)</f>
        <v/>
      </c>
      <c r="AA9" s="459">
        <f>SUM('_Engine_NR'!N106:N108)</f>
        <v/>
      </c>
      <c r="AB9" s="459">
        <f>SUM('_Engine_NR'!N109:N111)</f>
        <v/>
      </c>
      <c r="AC9" s="459">
        <f>SUM('_Engine_NR'!N112:N114)</f>
        <v/>
      </c>
      <c r="AD9" s="459">
        <f>SUM('_Engine_NR'!N115:N117)</f>
        <v/>
      </c>
      <c r="AE9" s="459">
        <f>SUM('_Engine_NR'!N118:N120)</f>
        <v/>
      </c>
      <c r="AF9" s="459">
        <f>SUM('_Engine_NR'!N121:N123)</f>
        <v/>
      </c>
      <c r="AG9" s="459">
        <f>SUM('_Engine_NR'!N124:N126)</f>
        <v/>
      </c>
      <c r="AH9" s="459">
        <f>SUM('_Engine_NR'!N127:N129)</f>
        <v/>
      </c>
      <c r="AI9" s="459">
        <f>SUM('_Engine_NR'!N130:N132)</f>
        <v/>
      </c>
      <c r="AJ9" s="459">
        <f>SUM('_Engine_NR'!N133:N135)</f>
        <v/>
      </c>
      <c r="AK9" s="459">
        <f>SUM('_Engine_NR'!N136:N138)</f>
        <v/>
      </c>
      <c r="AL9" s="459">
        <f>SUM('_Engine_NR'!N139:N141)</f>
        <v/>
      </c>
      <c r="AM9" s="459">
        <f>SUM('_Engine_NR'!N142:N144)</f>
        <v/>
      </c>
      <c r="AN9" s="459">
        <f>SUM('_Engine_NR'!N145:N147)</f>
        <v/>
      </c>
      <c r="AO9" s="459">
        <f>SUM('_Engine_NR'!N148:N150)</f>
        <v/>
      </c>
      <c r="AP9" s="459">
        <f>SUM('_Engine_NR'!N151:N153)</f>
        <v/>
      </c>
      <c r="AQ9" s="459">
        <f>SUM('_Engine_NR'!N154:N156)</f>
        <v/>
      </c>
      <c r="AR9" s="459">
        <f>SUM('_Engine_NR'!N157:N159)</f>
        <v/>
      </c>
      <c r="AS9" s="459">
        <f>SUM('_Engine_NR'!N160:N162)</f>
        <v/>
      </c>
      <c r="AT9" s="459">
        <f>SUM('_Engine_NR'!N163:N165)</f>
        <v/>
      </c>
      <c r="AU9" s="459">
        <f>SUM('_Engine_NR'!N166:N168)</f>
        <v/>
      </c>
      <c r="AV9" s="459">
        <f>SUM('_Engine_NR'!N169:N171)</f>
        <v/>
      </c>
      <c r="AW9" s="459">
        <f>SUM('_Engine_NR'!N172:N174)</f>
        <v/>
      </c>
      <c r="AX9" s="459">
        <f>SUM('_Engine_NR'!N175:N177)</f>
        <v/>
      </c>
      <c r="AY9" s="459">
        <f>SUM('_Engine_NR'!N178:N180)</f>
        <v/>
      </c>
      <c r="AZ9" s="459">
        <f>SUM('_Engine_NR'!N181:N183)</f>
        <v/>
      </c>
      <c r="BA9" s="459">
        <f>SUM('_Engine_NR'!N184:N186)</f>
        <v/>
      </c>
      <c r="BB9" s="459">
        <f>SUM('_Engine_NR'!N187:N189)</f>
        <v/>
      </c>
      <c r="BC9" s="459">
        <f>SUM('_Engine_NR'!N190:N192)</f>
        <v/>
      </c>
      <c r="BD9" s="459">
        <f>SUM('_Engine_NR'!N193:N195)</f>
        <v/>
      </c>
      <c r="BE9" s="459">
        <f>SUM('_Engine_NR'!N196:N198)</f>
        <v/>
      </c>
      <c r="BF9" s="459">
        <f>SUM('_Engine_NR'!N199:N201)</f>
        <v/>
      </c>
      <c r="BG9" s="459">
        <f>SUM('_Engine_NR'!N202:N204)</f>
        <v/>
      </c>
      <c r="BH9" s="459">
        <f>SUM('_Engine_NR'!N205:N207)</f>
        <v/>
      </c>
      <c r="BI9" s="459">
        <f>SUM('_Engine_NR'!N208:N210)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SUM('_Engine_NR'!O31:O33)</f>
        <v/>
      </c>
      <c r="C10" s="459">
        <f>SUM('_Engine_NR'!O34:O36)</f>
        <v/>
      </c>
      <c r="D10" s="459">
        <f>SUM('_Engine_NR'!O37:O39)</f>
        <v/>
      </c>
      <c r="E10" s="459">
        <f>SUM('_Engine_NR'!O40:O42)</f>
        <v/>
      </c>
      <c r="F10" s="459">
        <f>SUM('_Engine_NR'!O43:O45)</f>
        <v/>
      </c>
      <c r="G10" s="459">
        <f>SUM('_Engine_NR'!O46:O48)</f>
        <v/>
      </c>
      <c r="H10" s="459">
        <f>SUM('_Engine_NR'!O49:O51)</f>
        <v/>
      </c>
      <c r="I10" s="459">
        <f>SUM('_Engine_NR'!O52:O54)</f>
        <v/>
      </c>
      <c r="J10" s="459">
        <f>SUM('_Engine_NR'!O55:O57)</f>
        <v/>
      </c>
      <c r="K10" s="459">
        <f>SUM('_Engine_NR'!O58:O60)</f>
        <v/>
      </c>
      <c r="L10" s="459">
        <f>SUM('_Engine_NR'!O61:O63)</f>
        <v/>
      </c>
      <c r="M10" s="459">
        <f>SUM('_Engine_NR'!O64:O66)</f>
        <v/>
      </c>
      <c r="N10" s="459">
        <f>SUM('_Engine_NR'!O67:O69)</f>
        <v/>
      </c>
      <c r="O10" s="459">
        <f>SUM('_Engine_NR'!O70:O72)</f>
        <v/>
      </c>
      <c r="P10" s="459">
        <f>SUM('_Engine_NR'!O73:O75)</f>
        <v/>
      </c>
      <c r="Q10" s="459">
        <f>SUM('_Engine_NR'!O76:O78)</f>
        <v/>
      </c>
      <c r="R10" s="459">
        <f>SUM('_Engine_NR'!O79:O81)</f>
        <v/>
      </c>
      <c r="S10" s="459">
        <f>SUM('_Engine_NR'!O82:O84)</f>
        <v/>
      </c>
      <c r="T10" s="459">
        <f>SUM('_Engine_NR'!O85:O87)</f>
        <v/>
      </c>
      <c r="U10" s="459">
        <f>SUM('_Engine_NR'!O88:O90)</f>
        <v/>
      </c>
      <c r="V10" s="459">
        <f>SUM('_Engine_NR'!O91:O93)</f>
        <v/>
      </c>
      <c r="W10" s="459">
        <f>SUM('_Engine_NR'!O94:O96)</f>
        <v/>
      </c>
      <c r="X10" s="459">
        <f>SUM('_Engine_NR'!O97:O99)</f>
        <v/>
      </c>
      <c r="Y10" s="459">
        <f>SUM('_Engine_NR'!O100:O102)</f>
        <v/>
      </c>
      <c r="Z10" s="459">
        <f>SUM('_Engine_NR'!O103:O105)</f>
        <v/>
      </c>
      <c r="AA10" s="459">
        <f>SUM('_Engine_NR'!O106:O108)</f>
        <v/>
      </c>
      <c r="AB10" s="459">
        <f>SUM('_Engine_NR'!O109:O111)</f>
        <v/>
      </c>
      <c r="AC10" s="459">
        <f>SUM('_Engine_NR'!O112:O114)</f>
        <v/>
      </c>
      <c r="AD10" s="459">
        <f>SUM('_Engine_NR'!O115:O117)</f>
        <v/>
      </c>
      <c r="AE10" s="459">
        <f>SUM('_Engine_NR'!O118:O120)</f>
        <v/>
      </c>
      <c r="AF10" s="459">
        <f>SUM('_Engine_NR'!O121:O123)</f>
        <v/>
      </c>
      <c r="AG10" s="459">
        <f>SUM('_Engine_NR'!O124:O126)</f>
        <v/>
      </c>
      <c r="AH10" s="459">
        <f>SUM('_Engine_NR'!O127:O129)</f>
        <v/>
      </c>
      <c r="AI10" s="459">
        <f>SUM('_Engine_NR'!O130:O132)</f>
        <v/>
      </c>
      <c r="AJ10" s="459">
        <f>SUM('_Engine_NR'!O133:O135)</f>
        <v/>
      </c>
      <c r="AK10" s="459">
        <f>SUM('_Engine_NR'!O136:O138)</f>
        <v/>
      </c>
      <c r="AL10" s="459">
        <f>SUM('_Engine_NR'!O139:O141)</f>
        <v/>
      </c>
      <c r="AM10" s="459">
        <f>SUM('_Engine_NR'!O142:O144)</f>
        <v/>
      </c>
      <c r="AN10" s="459">
        <f>SUM('_Engine_NR'!O145:O147)</f>
        <v/>
      </c>
      <c r="AO10" s="459">
        <f>SUM('_Engine_NR'!O148:O150)</f>
        <v/>
      </c>
      <c r="AP10" s="459">
        <f>SUM('_Engine_NR'!O151:O153)</f>
        <v/>
      </c>
      <c r="AQ10" s="459">
        <f>SUM('_Engine_NR'!O154:O156)</f>
        <v/>
      </c>
      <c r="AR10" s="459">
        <f>SUM('_Engine_NR'!O157:O159)</f>
        <v/>
      </c>
      <c r="AS10" s="459">
        <f>SUM('_Engine_NR'!O160:O162)</f>
        <v/>
      </c>
      <c r="AT10" s="459">
        <f>SUM('_Engine_NR'!O163:O165)</f>
        <v/>
      </c>
      <c r="AU10" s="459">
        <f>SUM('_Engine_NR'!O166:O168)</f>
        <v/>
      </c>
      <c r="AV10" s="459">
        <f>SUM('_Engine_NR'!O169:O171)</f>
        <v/>
      </c>
      <c r="AW10" s="459">
        <f>SUM('_Engine_NR'!O172:O174)</f>
        <v/>
      </c>
      <c r="AX10" s="459">
        <f>SUM('_Engine_NR'!O175:O177)</f>
        <v/>
      </c>
      <c r="AY10" s="459">
        <f>SUM('_Engine_NR'!O178:O180)</f>
        <v/>
      </c>
      <c r="AZ10" s="459">
        <f>SUM('_Engine_NR'!O181:O183)</f>
        <v/>
      </c>
      <c r="BA10" s="459">
        <f>SUM('_Engine_NR'!O184:O186)</f>
        <v/>
      </c>
      <c r="BB10" s="459">
        <f>SUM('_Engine_NR'!O187:O189)</f>
        <v/>
      </c>
      <c r="BC10" s="459">
        <f>SUM('_Engine_NR'!O190:O192)</f>
        <v/>
      </c>
      <c r="BD10" s="459">
        <f>SUM('_Engine_NR'!O193:O195)</f>
        <v/>
      </c>
      <c r="BE10" s="459">
        <f>SUM('_Engine_NR'!O196:O198)</f>
        <v/>
      </c>
      <c r="BF10" s="459">
        <f>SUM('_Engine_NR'!O199:O201)</f>
        <v/>
      </c>
      <c r="BG10" s="459">
        <f>SUM('_Engine_NR'!O202:O204)</f>
        <v/>
      </c>
      <c r="BH10" s="459">
        <f>SUM('_Engine_NR'!O205:O207)</f>
        <v/>
      </c>
      <c r="BI10" s="459">
        <f>SUM('_Engine_NR'!O208:O210)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SUM('_Engine_NR'!D31:D33)</f>
        <v/>
      </c>
      <c r="C11" s="459">
        <f>SUM('_Engine_NR'!D34:D36)</f>
        <v/>
      </c>
      <c r="D11" s="459">
        <f>SUM('_Engine_NR'!D37:D39)</f>
        <v/>
      </c>
      <c r="E11" s="459">
        <f>SUM('_Engine_NR'!D40:D42)</f>
        <v/>
      </c>
      <c r="F11" s="459">
        <f>SUM('_Engine_NR'!D43:D45)</f>
        <v/>
      </c>
      <c r="G11" s="459">
        <f>SUM('_Engine_NR'!D46:D48)</f>
        <v/>
      </c>
      <c r="H11" s="459">
        <f>SUM('_Engine_NR'!D49:D51)</f>
        <v/>
      </c>
      <c r="I11" s="459">
        <f>SUM('_Engine_NR'!D52:D54)</f>
        <v/>
      </c>
      <c r="J11" s="459">
        <f>SUM('_Engine_NR'!D55:D57)</f>
        <v/>
      </c>
      <c r="K11" s="459">
        <f>SUM('_Engine_NR'!D58:D60)</f>
        <v/>
      </c>
      <c r="L11" s="459">
        <f>SUM('_Engine_NR'!D61:D63)</f>
        <v/>
      </c>
      <c r="M11" s="459">
        <f>SUM('_Engine_NR'!D64:D66)</f>
        <v/>
      </c>
      <c r="N11" s="459">
        <f>SUM('_Engine_NR'!D67:D69)</f>
        <v/>
      </c>
      <c r="O11" s="459">
        <f>SUM('_Engine_NR'!D70:D72)</f>
        <v/>
      </c>
      <c r="P11" s="459">
        <f>SUM('_Engine_NR'!D73:D75)</f>
        <v/>
      </c>
      <c r="Q11" s="459">
        <f>SUM('_Engine_NR'!D76:D78)</f>
        <v/>
      </c>
      <c r="R11" s="459">
        <f>SUM('_Engine_NR'!D79:D81)</f>
        <v/>
      </c>
      <c r="S11" s="459">
        <f>SUM('_Engine_NR'!D82:D84)</f>
        <v/>
      </c>
      <c r="T11" s="459">
        <f>SUM('_Engine_NR'!D85:D87)</f>
        <v/>
      </c>
      <c r="U11" s="459">
        <f>SUM('_Engine_NR'!D88:D90)</f>
        <v/>
      </c>
      <c r="V11" s="459">
        <f>SUM('_Engine_NR'!D91:D93)</f>
        <v/>
      </c>
      <c r="W11" s="459">
        <f>SUM('_Engine_NR'!D94:D96)</f>
        <v/>
      </c>
      <c r="X11" s="459">
        <f>SUM('_Engine_NR'!D97:D99)</f>
        <v/>
      </c>
      <c r="Y11" s="459">
        <f>SUM('_Engine_NR'!D100:D102)</f>
        <v/>
      </c>
      <c r="Z11" s="459">
        <f>SUM('_Engine_NR'!D103:D105)</f>
        <v/>
      </c>
      <c r="AA11" s="459">
        <f>SUM('_Engine_NR'!D106:D108)</f>
        <v/>
      </c>
      <c r="AB11" s="459">
        <f>SUM('_Engine_NR'!D109:D111)</f>
        <v/>
      </c>
      <c r="AC11" s="459">
        <f>SUM('_Engine_NR'!D112:D114)</f>
        <v/>
      </c>
      <c r="AD11" s="459">
        <f>SUM('_Engine_NR'!D115:D117)</f>
        <v/>
      </c>
      <c r="AE11" s="459">
        <f>SUM('_Engine_NR'!D118:D120)</f>
        <v/>
      </c>
      <c r="AF11" s="459">
        <f>SUM('_Engine_NR'!D121:D123)</f>
        <v/>
      </c>
      <c r="AG11" s="459">
        <f>SUM('_Engine_NR'!D124:D126)</f>
        <v/>
      </c>
      <c r="AH11" s="459">
        <f>SUM('_Engine_NR'!D127:D129)</f>
        <v/>
      </c>
      <c r="AI11" s="459">
        <f>SUM('_Engine_NR'!D130:D132)</f>
        <v/>
      </c>
      <c r="AJ11" s="459">
        <f>SUM('_Engine_NR'!D133:D135)</f>
        <v/>
      </c>
      <c r="AK11" s="459">
        <f>SUM('_Engine_NR'!D136:D138)</f>
        <v/>
      </c>
      <c r="AL11" s="459">
        <f>SUM('_Engine_NR'!D139:D141)</f>
        <v/>
      </c>
      <c r="AM11" s="459">
        <f>SUM('_Engine_NR'!D142:D144)</f>
        <v/>
      </c>
      <c r="AN11" s="459">
        <f>SUM('_Engine_NR'!D145:D147)</f>
        <v/>
      </c>
      <c r="AO11" s="459">
        <f>SUM('_Engine_NR'!D148:D150)</f>
        <v/>
      </c>
      <c r="AP11" s="459">
        <f>SUM('_Engine_NR'!D151:D153)</f>
        <v/>
      </c>
      <c r="AQ11" s="459">
        <f>SUM('_Engine_NR'!D154:D156)</f>
        <v/>
      </c>
      <c r="AR11" s="459">
        <f>SUM('_Engine_NR'!D157:D159)</f>
        <v/>
      </c>
      <c r="AS11" s="459">
        <f>SUM('_Engine_NR'!D160:D162)</f>
        <v/>
      </c>
      <c r="AT11" s="459">
        <f>SUM('_Engine_NR'!D163:D165)</f>
        <v/>
      </c>
      <c r="AU11" s="459">
        <f>SUM('_Engine_NR'!D166:D168)</f>
        <v/>
      </c>
      <c r="AV11" s="459">
        <f>SUM('_Engine_NR'!D169:D171)</f>
        <v/>
      </c>
      <c r="AW11" s="459">
        <f>SUM('_Engine_NR'!D172:D174)</f>
        <v/>
      </c>
      <c r="AX11" s="459">
        <f>SUM('_Engine_NR'!D175:D177)</f>
        <v/>
      </c>
      <c r="AY11" s="459">
        <f>SUM('_Engine_NR'!D178:D180)</f>
        <v/>
      </c>
      <c r="AZ11" s="459">
        <f>SUM('_Engine_NR'!D181:D183)</f>
        <v/>
      </c>
      <c r="BA11" s="459">
        <f>SUM('_Engine_NR'!D184:D186)</f>
        <v/>
      </c>
      <c r="BB11" s="459">
        <f>SUM('_Engine_NR'!D187:D189)</f>
        <v/>
      </c>
      <c r="BC11" s="459">
        <f>SUM('_Engine_NR'!D190:D192)</f>
        <v/>
      </c>
      <c r="BD11" s="459">
        <f>SUM('_Engine_NR'!D193:D195)</f>
        <v/>
      </c>
      <c r="BE11" s="459">
        <f>SUM('_Engine_NR'!D196:D198)</f>
        <v/>
      </c>
      <c r="BF11" s="459">
        <f>SUM('_Engine_NR'!D199:D201)</f>
        <v/>
      </c>
      <c r="BG11" s="459">
        <f>SUM('_Engine_NR'!D202:D204)</f>
        <v/>
      </c>
      <c r="BH11" s="459">
        <f>SUM('_Engine_NR'!D205:D207)</f>
        <v/>
      </c>
      <c r="BI11" s="459">
        <f>SUM('_Engine_NR'!D208:D210)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SUM('_Engine_NR'!E31:E33)</f>
        <v/>
      </c>
      <c r="C12" s="459">
        <f>SUM('_Engine_NR'!E34:E36)</f>
        <v/>
      </c>
      <c r="D12" s="459">
        <f>SUM('_Engine_NR'!E37:E39)</f>
        <v/>
      </c>
      <c r="E12" s="459">
        <f>SUM('_Engine_NR'!E40:E42)</f>
        <v/>
      </c>
      <c r="F12" s="459">
        <f>SUM('_Engine_NR'!E43:E45)</f>
        <v/>
      </c>
      <c r="G12" s="459">
        <f>SUM('_Engine_NR'!E46:E48)</f>
        <v/>
      </c>
      <c r="H12" s="459">
        <f>SUM('_Engine_NR'!E49:E51)</f>
        <v/>
      </c>
      <c r="I12" s="459">
        <f>SUM('_Engine_NR'!E52:E54)</f>
        <v/>
      </c>
      <c r="J12" s="459">
        <f>SUM('_Engine_NR'!E55:E57)</f>
        <v/>
      </c>
      <c r="K12" s="459">
        <f>SUM('_Engine_NR'!E58:E60)</f>
        <v/>
      </c>
      <c r="L12" s="459">
        <f>SUM('_Engine_NR'!E61:E63)</f>
        <v/>
      </c>
      <c r="M12" s="459">
        <f>SUM('_Engine_NR'!E64:E66)</f>
        <v/>
      </c>
      <c r="N12" s="459">
        <f>SUM('_Engine_NR'!E67:E69)</f>
        <v/>
      </c>
      <c r="O12" s="459">
        <f>SUM('_Engine_NR'!E70:E72)</f>
        <v/>
      </c>
      <c r="P12" s="459">
        <f>SUM('_Engine_NR'!E73:E75)</f>
        <v/>
      </c>
      <c r="Q12" s="459">
        <f>SUM('_Engine_NR'!E76:E78)</f>
        <v/>
      </c>
      <c r="R12" s="459">
        <f>SUM('_Engine_NR'!E79:E81)</f>
        <v/>
      </c>
      <c r="S12" s="459">
        <f>SUM('_Engine_NR'!E82:E84)</f>
        <v/>
      </c>
      <c r="T12" s="459">
        <f>SUM('_Engine_NR'!E85:E87)</f>
        <v/>
      </c>
      <c r="U12" s="459">
        <f>SUM('_Engine_NR'!E88:E90)</f>
        <v/>
      </c>
      <c r="V12" s="459">
        <f>SUM('_Engine_NR'!E91:E93)</f>
        <v/>
      </c>
      <c r="W12" s="459">
        <f>SUM('_Engine_NR'!E94:E96)</f>
        <v/>
      </c>
      <c r="X12" s="459">
        <f>SUM('_Engine_NR'!E97:E99)</f>
        <v/>
      </c>
      <c r="Y12" s="459">
        <f>SUM('_Engine_NR'!E100:E102)</f>
        <v/>
      </c>
      <c r="Z12" s="459">
        <f>SUM('_Engine_NR'!E103:E105)</f>
        <v/>
      </c>
      <c r="AA12" s="459">
        <f>SUM('_Engine_NR'!E106:E108)</f>
        <v/>
      </c>
      <c r="AB12" s="459">
        <f>SUM('_Engine_NR'!E109:E111)</f>
        <v/>
      </c>
      <c r="AC12" s="459">
        <f>SUM('_Engine_NR'!E112:E114)</f>
        <v/>
      </c>
      <c r="AD12" s="459">
        <f>SUM('_Engine_NR'!E115:E117)</f>
        <v/>
      </c>
      <c r="AE12" s="459">
        <f>SUM('_Engine_NR'!E118:E120)</f>
        <v/>
      </c>
      <c r="AF12" s="459">
        <f>SUM('_Engine_NR'!E121:E123)</f>
        <v/>
      </c>
      <c r="AG12" s="459">
        <f>SUM('_Engine_NR'!E124:E126)</f>
        <v/>
      </c>
      <c r="AH12" s="459">
        <f>SUM('_Engine_NR'!E127:E129)</f>
        <v/>
      </c>
      <c r="AI12" s="459">
        <f>SUM('_Engine_NR'!E130:E132)</f>
        <v/>
      </c>
      <c r="AJ12" s="459">
        <f>SUM('_Engine_NR'!E133:E135)</f>
        <v/>
      </c>
      <c r="AK12" s="459">
        <f>SUM('_Engine_NR'!E136:E138)</f>
        <v/>
      </c>
      <c r="AL12" s="459">
        <f>SUM('_Engine_NR'!E139:E141)</f>
        <v/>
      </c>
      <c r="AM12" s="459">
        <f>SUM('_Engine_NR'!E142:E144)</f>
        <v/>
      </c>
      <c r="AN12" s="459">
        <f>SUM('_Engine_NR'!E145:E147)</f>
        <v/>
      </c>
      <c r="AO12" s="459">
        <f>SUM('_Engine_NR'!E148:E150)</f>
        <v/>
      </c>
      <c r="AP12" s="459">
        <f>SUM('_Engine_NR'!E151:E153)</f>
        <v/>
      </c>
      <c r="AQ12" s="459">
        <f>SUM('_Engine_NR'!E154:E156)</f>
        <v/>
      </c>
      <c r="AR12" s="459">
        <f>SUM('_Engine_NR'!E157:E159)</f>
        <v/>
      </c>
      <c r="AS12" s="459">
        <f>SUM('_Engine_NR'!E160:E162)</f>
        <v/>
      </c>
      <c r="AT12" s="459">
        <f>SUM('_Engine_NR'!E163:E165)</f>
        <v/>
      </c>
      <c r="AU12" s="459">
        <f>SUM('_Engine_NR'!E166:E168)</f>
        <v/>
      </c>
      <c r="AV12" s="459">
        <f>SUM('_Engine_NR'!E169:E171)</f>
        <v/>
      </c>
      <c r="AW12" s="459">
        <f>SUM('_Engine_NR'!E172:E174)</f>
        <v/>
      </c>
      <c r="AX12" s="459">
        <f>SUM('_Engine_NR'!E175:E177)</f>
        <v/>
      </c>
      <c r="AY12" s="459">
        <f>SUM('_Engine_NR'!E178:E180)</f>
        <v/>
      </c>
      <c r="AZ12" s="459">
        <f>SUM('_Engine_NR'!E181:E183)</f>
        <v/>
      </c>
      <c r="BA12" s="459">
        <f>SUM('_Engine_NR'!E184:E186)</f>
        <v/>
      </c>
      <c r="BB12" s="459">
        <f>SUM('_Engine_NR'!E187:E189)</f>
        <v/>
      </c>
      <c r="BC12" s="459">
        <f>SUM('_Engine_NR'!E190:E192)</f>
        <v/>
      </c>
      <c r="BD12" s="459">
        <f>SUM('_Engine_NR'!E193:E195)</f>
        <v/>
      </c>
      <c r="BE12" s="459">
        <f>SUM('_Engine_NR'!E196:E198)</f>
        <v/>
      </c>
      <c r="BF12" s="459">
        <f>SUM('_Engine_NR'!E199:E201)</f>
        <v/>
      </c>
      <c r="BG12" s="459">
        <f>SUM('_Engine_NR'!E202:E204)</f>
        <v/>
      </c>
      <c r="BH12" s="459">
        <f>SUM('_Engine_NR'!E205:E207)</f>
        <v/>
      </c>
      <c r="BI12" s="459">
        <f>SUM('_Engine_NR'!E208:E210)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SUM('_Engine_NR'!Q31:Q33)</f>
        <v/>
      </c>
      <c r="C13" s="459">
        <f>SUM('_Engine_NR'!Q34:Q36)</f>
        <v/>
      </c>
      <c r="D13" s="459">
        <f>SUM('_Engine_NR'!Q37:Q39)</f>
        <v/>
      </c>
      <c r="E13" s="459">
        <f>SUM('_Engine_NR'!Q40:Q42)</f>
        <v/>
      </c>
      <c r="F13" s="459">
        <f>SUM('_Engine_NR'!Q43:Q45)</f>
        <v/>
      </c>
      <c r="G13" s="459">
        <f>SUM('_Engine_NR'!Q46:Q48)</f>
        <v/>
      </c>
      <c r="H13" s="459">
        <f>SUM('_Engine_NR'!Q49:Q51)</f>
        <v/>
      </c>
      <c r="I13" s="459">
        <f>SUM('_Engine_NR'!Q52:Q54)</f>
        <v/>
      </c>
      <c r="J13" s="459">
        <f>SUM('_Engine_NR'!Q55:Q57)</f>
        <v/>
      </c>
      <c r="K13" s="459">
        <f>SUM('_Engine_NR'!Q58:Q60)</f>
        <v/>
      </c>
      <c r="L13" s="459">
        <f>SUM('_Engine_NR'!Q61:Q63)</f>
        <v/>
      </c>
      <c r="M13" s="459">
        <f>SUM('_Engine_NR'!Q64:Q66)</f>
        <v/>
      </c>
      <c r="N13" s="459">
        <f>SUM('_Engine_NR'!Q67:Q69)</f>
        <v/>
      </c>
      <c r="O13" s="459">
        <f>SUM('_Engine_NR'!Q70:Q72)</f>
        <v/>
      </c>
      <c r="P13" s="459">
        <f>SUM('_Engine_NR'!Q73:Q75)</f>
        <v/>
      </c>
      <c r="Q13" s="459">
        <f>SUM('_Engine_NR'!Q76:Q78)</f>
        <v/>
      </c>
      <c r="R13" s="459">
        <f>SUM('_Engine_NR'!Q79:Q81)</f>
        <v/>
      </c>
      <c r="S13" s="459">
        <f>SUM('_Engine_NR'!Q82:Q84)</f>
        <v/>
      </c>
      <c r="T13" s="459">
        <f>SUM('_Engine_NR'!Q85:Q87)</f>
        <v/>
      </c>
      <c r="U13" s="459">
        <f>SUM('_Engine_NR'!Q88:Q90)</f>
        <v/>
      </c>
      <c r="V13" s="459">
        <f>SUM('_Engine_NR'!Q91:Q93)</f>
        <v/>
      </c>
      <c r="W13" s="459">
        <f>SUM('_Engine_NR'!Q94:Q96)</f>
        <v/>
      </c>
      <c r="X13" s="459">
        <f>SUM('_Engine_NR'!Q97:Q99)</f>
        <v/>
      </c>
      <c r="Y13" s="459">
        <f>SUM('_Engine_NR'!Q100:Q102)</f>
        <v/>
      </c>
      <c r="Z13" s="459">
        <f>SUM('_Engine_NR'!Q103:Q105)</f>
        <v/>
      </c>
      <c r="AA13" s="459">
        <f>SUM('_Engine_NR'!Q106:Q108)</f>
        <v/>
      </c>
      <c r="AB13" s="459">
        <f>SUM('_Engine_NR'!Q109:Q111)</f>
        <v/>
      </c>
      <c r="AC13" s="459">
        <f>SUM('_Engine_NR'!Q112:Q114)</f>
        <v/>
      </c>
      <c r="AD13" s="459">
        <f>SUM('_Engine_NR'!Q115:Q117)</f>
        <v/>
      </c>
      <c r="AE13" s="459">
        <f>SUM('_Engine_NR'!Q118:Q120)</f>
        <v/>
      </c>
      <c r="AF13" s="459">
        <f>SUM('_Engine_NR'!Q121:Q123)</f>
        <v/>
      </c>
      <c r="AG13" s="459">
        <f>SUM('_Engine_NR'!Q124:Q126)</f>
        <v/>
      </c>
      <c r="AH13" s="459">
        <f>SUM('_Engine_NR'!Q127:Q129)</f>
        <v/>
      </c>
      <c r="AI13" s="459">
        <f>SUM('_Engine_NR'!Q130:Q132)</f>
        <v/>
      </c>
      <c r="AJ13" s="459">
        <f>SUM('_Engine_NR'!Q133:Q135)</f>
        <v/>
      </c>
      <c r="AK13" s="459">
        <f>SUM('_Engine_NR'!Q136:Q138)</f>
        <v/>
      </c>
      <c r="AL13" s="459">
        <f>SUM('_Engine_NR'!Q139:Q141)</f>
        <v/>
      </c>
      <c r="AM13" s="459">
        <f>SUM('_Engine_NR'!Q142:Q144)</f>
        <v/>
      </c>
      <c r="AN13" s="459">
        <f>SUM('_Engine_NR'!Q145:Q147)</f>
        <v/>
      </c>
      <c r="AO13" s="459">
        <f>SUM('_Engine_NR'!Q148:Q150)</f>
        <v/>
      </c>
      <c r="AP13" s="459">
        <f>SUM('_Engine_NR'!Q151:Q153)</f>
        <v/>
      </c>
      <c r="AQ13" s="459">
        <f>SUM('_Engine_NR'!Q154:Q156)</f>
        <v/>
      </c>
      <c r="AR13" s="459">
        <f>SUM('_Engine_NR'!Q157:Q159)</f>
        <v/>
      </c>
      <c r="AS13" s="459">
        <f>SUM('_Engine_NR'!Q160:Q162)</f>
        <v/>
      </c>
      <c r="AT13" s="459">
        <f>SUM('_Engine_NR'!Q163:Q165)</f>
        <v/>
      </c>
      <c r="AU13" s="459">
        <f>SUM('_Engine_NR'!Q166:Q168)</f>
        <v/>
      </c>
      <c r="AV13" s="459">
        <f>SUM('_Engine_NR'!Q169:Q171)</f>
        <v/>
      </c>
      <c r="AW13" s="459">
        <f>SUM('_Engine_NR'!Q172:Q174)</f>
        <v/>
      </c>
      <c r="AX13" s="459">
        <f>SUM('_Engine_NR'!Q175:Q177)</f>
        <v/>
      </c>
      <c r="AY13" s="459">
        <f>SUM('_Engine_NR'!Q178:Q180)</f>
        <v/>
      </c>
      <c r="AZ13" s="459">
        <f>SUM('_Engine_NR'!Q181:Q183)</f>
        <v/>
      </c>
      <c r="BA13" s="459">
        <f>SUM('_Engine_NR'!Q184:Q186)</f>
        <v/>
      </c>
      <c r="BB13" s="459">
        <f>SUM('_Engine_NR'!Q187:Q189)</f>
        <v/>
      </c>
      <c r="BC13" s="459">
        <f>SUM('_Engine_NR'!Q190:Q192)</f>
        <v/>
      </c>
      <c r="BD13" s="459">
        <f>SUM('_Engine_NR'!Q193:Q195)</f>
        <v/>
      </c>
      <c r="BE13" s="459">
        <f>SUM('_Engine_NR'!Q196:Q198)</f>
        <v/>
      </c>
      <c r="BF13" s="459">
        <f>SUM('_Engine_NR'!Q199:Q201)</f>
        <v/>
      </c>
      <c r="BG13" s="459">
        <f>SUM('_Engine_NR'!Q202:Q204)</f>
        <v/>
      </c>
      <c r="BH13" s="459">
        <f>SUM('_Engine_NR'!Q205:Q207)</f>
        <v/>
      </c>
      <c r="BI13" s="459">
        <f>SUM('_Engine_NR'!Q208:Q210)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SUM('_Engine_NR'!R31:R33)</f>
        <v/>
      </c>
      <c r="C16" s="466">
        <f>SUM('_Engine_NR'!R34:R36)</f>
        <v/>
      </c>
      <c r="D16" s="466">
        <f>SUM('_Engine_NR'!R37:R39)</f>
        <v/>
      </c>
      <c r="E16" s="466">
        <f>SUM('_Engine_NR'!R40:R42)</f>
        <v/>
      </c>
      <c r="F16" s="466">
        <f>SUM('_Engine_NR'!R43:R45)</f>
        <v/>
      </c>
      <c r="G16" s="466">
        <f>SUM('_Engine_NR'!R46:R48)</f>
        <v/>
      </c>
      <c r="H16" s="466">
        <f>SUM('_Engine_NR'!R49:R51)</f>
        <v/>
      </c>
      <c r="I16" s="466">
        <f>SUM('_Engine_NR'!R52:R54)</f>
        <v/>
      </c>
      <c r="J16" s="466">
        <f>SUM('_Engine_NR'!R55:R57)</f>
        <v/>
      </c>
      <c r="K16" s="466">
        <f>SUM('_Engine_NR'!R58:R60)</f>
        <v/>
      </c>
      <c r="L16" s="466">
        <f>SUM('_Engine_NR'!R61:R63)</f>
        <v/>
      </c>
      <c r="M16" s="466">
        <f>SUM('_Engine_NR'!R64:R66)</f>
        <v/>
      </c>
      <c r="N16" s="466">
        <f>SUM('_Engine_NR'!R67:R69)</f>
        <v/>
      </c>
      <c r="O16" s="466">
        <f>SUM('_Engine_NR'!R70:R72)</f>
        <v/>
      </c>
      <c r="P16" s="466">
        <f>SUM('_Engine_NR'!R73:R75)</f>
        <v/>
      </c>
      <c r="Q16" s="466">
        <f>SUM('_Engine_NR'!R76:R78)</f>
        <v/>
      </c>
      <c r="R16" s="466">
        <f>SUM('_Engine_NR'!R79:R81)</f>
        <v/>
      </c>
      <c r="S16" s="466">
        <f>SUM('_Engine_NR'!R82:R84)</f>
        <v/>
      </c>
      <c r="T16" s="466">
        <f>SUM('_Engine_NR'!R85:R87)</f>
        <v/>
      </c>
      <c r="U16" s="466">
        <f>SUM('_Engine_NR'!R88:R90)</f>
        <v/>
      </c>
      <c r="V16" s="466">
        <f>SUM('_Engine_NR'!R91:R93)</f>
        <v/>
      </c>
      <c r="W16" s="466">
        <f>SUM('_Engine_NR'!R94:R96)</f>
        <v/>
      </c>
      <c r="X16" s="466">
        <f>SUM('_Engine_NR'!R97:R99)</f>
        <v/>
      </c>
      <c r="Y16" s="466">
        <f>SUM('_Engine_NR'!R100:R102)</f>
        <v/>
      </c>
      <c r="Z16" s="466">
        <f>SUM('_Engine_NR'!R103:R105)</f>
        <v/>
      </c>
      <c r="AA16" s="466">
        <f>SUM('_Engine_NR'!R106:R108)</f>
        <v/>
      </c>
      <c r="AB16" s="466">
        <f>SUM('_Engine_NR'!R109:R111)</f>
        <v/>
      </c>
      <c r="AC16" s="466">
        <f>SUM('_Engine_NR'!R112:R114)</f>
        <v/>
      </c>
      <c r="AD16" s="466">
        <f>SUM('_Engine_NR'!R115:R117)</f>
        <v/>
      </c>
      <c r="AE16" s="466">
        <f>SUM('_Engine_NR'!R118:R120)</f>
        <v/>
      </c>
      <c r="AF16" s="466">
        <f>SUM('_Engine_NR'!R121:R123)</f>
        <v/>
      </c>
      <c r="AG16" s="466">
        <f>SUM('_Engine_NR'!R124:R126)</f>
        <v/>
      </c>
      <c r="AH16" s="466">
        <f>SUM('_Engine_NR'!R127:R129)</f>
        <v/>
      </c>
      <c r="AI16" s="466">
        <f>SUM('_Engine_NR'!R130:R132)</f>
        <v/>
      </c>
      <c r="AJ16" s="466">
        <f>SUM('_Engine_NR'!R133:R135)</f>
        <v/>
      </c>
      <c r="AK16" s="466">
        <f>SUM('_Engine_NR'!R136:R138)</f>
        <v/>
      </c>
      <c r="AL16" s="466">
        <f>SUM('_Engine_NR'!R139:R141)</f>
        <v/>
      </c>
      <c r="AM16" s="466">
        <f>SUM('_Engine_NR'!R142:R144)</f>
        <v/>
      </c>
      <c r="AN16" s="466">
        <f>SUM('_Engine_NR'!R145:R147)</f>
        <v/>
      </c>
      <c r="AO16" s="466">
        <f>SUM('_Engine_NR'!R148:R150)</f>
        <v/>
      </c>
      <c r="AP16" s="466">
        <f>SUM('_Engine_NR'!R151:R153)</f>
        <v/>
      </c>
      <c r="AQ16" s="466">
        <f>SUM('_Engine_NR'!R154:R156)</f>
        <v/>
      </c>
      <c r="AR16" s="466">
        <f>SUM('_Engine_NR'!R157:R159)</f>
        <v/>
      </c>
      <c r="AS16" s="466">
        <f>SUM('_Engine_NR'!R160:R162)</f>
        <v/>
      </c>
      <c r="AT16" s="466">
        <f>SUM('_Engine_NR'!R163:R165)</f>
        <v/>
      </c>
      <c r="AU16" s="466">
        <f>SUM('_Engine_NR'!R166:R168)</f>
        <v/>
      </c>
      <c r="AV16" s="466">
        <f>SUM('_Engine_NR'!R169:R171)</f>
        <v/>
      </c>
      <c r="AW16" s="466">
        <f>SUM('_Engine_NR'!R172:R174)</f>
        <v/>
      </c>
      <c r="AX16" s="466">
        <f>SUM('_Engine_NR'!R175:R177)</f>
        <v/>
      </c>
      <c r="AY16" s="466">
        <f>SUM('_Engine_NR'!R178:R180)</f>
        <v/>
      </c>
      <c r="AZ16" s="466">
        <f>SUM('_Engine_NR'!R181:R183)</f>
        <v/>
      </c>
      <c r="BA16" s="466">
        <f>SUM('_Engine_NR'!R184:R186)</f>
        <v/>
      </c>
      <c r="BB16" s="466">
        <f>SUM('_Engine_NR'!R187:R189)</f>
        <v/>
      </c>
      <c r="BC16" s="466">
        <f>SUM('_Engine_NR'!R190:R192)</f>
        <v/>
      </c>
      <c r="BD16" s="466">
        <f>SUM('_Engine_NR'!R193:R195)</f>
        <v/>
      </c>
      <c r="BE16" s="466">
        <f>SUM('_Engine_NR'!R196:R198)</f>
        <v/>
      </c>
      <c r="BF16" s="466">
        <f>SUM('_Engine_NR'!R199:R201)</f>
        <v/>
      </c>
      <c r="BG16" s="466">
        <f>SUM('_Engine_NR'!R202:R204)</f>
        <v/>
      </c>
      <c r="BH16" s="466">
        <f>SUM('_Engine_NR'!R205:R207)</f>
        <v/>
      </c>
      <c r="BI16" s="466">
        <f>SUM('_Engine_NR'!R208:R210)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SUM('_Engine_NR'!S31:S33)</f>
        <v/>
      </c>
      <c r="C17" s="459">
        <f>SUM('_Engine_NR'!S34:S36)</f>
        <v/>
      </c>
      <c r="D17" s="459">
        <f>SUM('_Engine_NR'!S37:S39)</f>
        <v/>
      </c>
      <c r="E17" s="459">
        <f>SUM('_Engine_NR'!S40:S42)</f>
        <v/>
      </c>
      <c r="F17" s="459">
        <f>SUM('_Engine_NR'!S43:S45)</f>
        <v/>
      </c>
      <c r="G17" s="459">
        <f>SUM('_Engine_NR'!S46:S48)</f>
        <v/>
      </c>
      <c r="H17" s="459">
        <f>SUM('_Engine_NR'!S49:S51)</f>
        <v/>
      </c>
      <c r="I17" s="459">
        <f>SUM('_Engine_NR'!S52:S54)</f>
        <v/>
      </c>
      <c r="J17" s="459">
        <f>SUM('_Engine_NR'!S55:S57)</f>
        <v/>
      </c>
      <c r="K17" s="459">
        <f>SUM('_Engine_NR'!S58:S60)</f>
        <v/>
      </c>
      <c r="L17" s="459">
        <f>SUM('_Engine_NR'!S61:S63)</f>
        <v/>
      </c>
      <c r="M17" s="459">
        <f>SUM('_Engine_NR'!S64:S66)</f>
        <v/>
      </c>
      <c r="N17" s="459">
        <f>SUM('_Engine_NR'!S67:S69)</f>
        <v/>
      </c>
      <c r="O17" s="459">
        <f>SUM('_Engine_NR'!S70:S72)</f>
        <v/>
      </c>
      <c r="P17" s="459">
        <f>SUM('_Engine_NR'!S73:S75)</f>
        <v/>
      </c>
      <c r="Q17" s="459">
        <f>SUM('_Engine_NR'!S76:S78)</f>
        <v/>
      </c>
      <c r="R17" s="459">
        <f>SUM('_Engine_NR'!S79:S81)</f>
        <v/>
      </c>
      <c r="S17" s="459">
        <f>SUM('_Engine_NR'!S82:S84)</f>
        <v/>
      </c>
      <c r="T17" s="459">
        <f>SUM('_Engine_NR'!S85:S87)</f>
        <v/>
      </c>
      <c r="U17" s="459">
        <f>SUM('_Engine_NR'!S88:S90)</f>
        <v/>
      </c>
      <c r="V17" s="459">
        <f>SUM('_Engine_NR'!S91:S93)</f>
        <v/>
      </c>
      <c r="W17" s="459">
        <f>SUM('_Engine_NR'!S94:S96)</f>
        <v/>
      </c>
      <c r="X17" s="459">
        <f>SUM('_Engine_NR'!S97:S99)</f>
        <v/>
      </c>
      <c r="Y17" s="459">
        <f>SUM('_Engine_NR'!S100:S102)</f>
        <v/>
      </c>
      <c r="Z17" s="459">
        <f>SUM('_Engine_NR'!S103:S105)</f>
        <v/>
      </c>
      <c r="AA17" s="459">
        <f>SUM('_Engine_NR'!S106:S108)</f>
        <v/>
      </c>
      <c r="AB17" s="459">
        <f>SUM('_Engine_NR'!S109:S111)</f>
        <v/>
      </c>
      <c r="AC17" s="459">
        <f>SUM('_Engine_NR'!S112:S114)</f>
        <v/>
      </c>
      <c r="AD17" s="459">
        <f>SUM('_Engine_NR'!S115:S117)</f>
        <v/>
      </c>
      <c r="AE17" s="459">
        <f>SUM('_Engine_NR'!S118:S120)</f>
        <v/>
      </c>
      <c r="AF17" s="459">
        <f>SUM('_Engine_NR'!S121:S123)</f>
        <v/>
      </c>
      <c r="AG17" s="459">
        <f>SUM('_Engine_NR'!S124:S126)</f>
        <v/>
      </c>
      <c r="AH17" s="459">
        <f>SUM('_Engine_NR'!S127:S129)</f>
        <v/>
      </c>
      <c r="AI17" s="459">
        <f>SUM('_Engine_NR'!S130:S132)</f>
        <v/>
      </c>
      <c r="AJ17" s="459">
        <f>SUM('_Engine_NR'!S133:S135)</f>
        <v/>
      </c>
      <c r="AK17" s="459">
        <f>SUM('_Engine_NR'!S136:S138)</f>
        <v/>
      </c>
      <c r="AL17" s="459">
        <f>SUM('_Engine_NR'!S139:S141)</f>
        <v/>
      </c>
      <c r="AM17" s="459">
        <f>SUM('_Engine_NR'!S142:S144)</f>
        <v/>
      </c>
      <c r="AN17" s="459">
        <f>SUM('_Engine_NR'!S145:S147)</f>
        <v/>
      </c>
      <c r="AO17" s="459">
        <f>SUM('_Engine_NR'!S148:S150)</f>
        <v/>
      </c>
      <c r="AP17" s="459">
        <f>SUM('_Engine_NR'!S151:S153)</f>
        <v/>
      </c>
      <c r="AQ17" s="459">
        <f>SUM('_Engine_NR'!S154:S156)</f>
        <v/>
      </c>
      <c r="AR17" s="459">
        <f>SUM('_Engine_NR'!S157:S159)</f>
        <v/>
      </c>
      <c r="AS17" s="459">
        <f>SUM('_Engine_NR'!S160:S162)</f>
        <v/>
      </c>
      <c r="AT17" s="459">
        <f>SUM('_Engine_NR'!S163:S165)</f>
        <v/>
      </c>
      <c r="AU17" s="459">
        <f>SUM('_Engine_NR'!S166:S168)</f>
        <v/>
      </c>
      <c r="AV17" s="459">
        <f>SUM('_Engine_NR'!S169:S171)</f>
        <v/>
      </c>
      <c r="AW17" s="459">
        <f>SUM('_Engine_NR'!S172:S174)</f>
        <v/>
      </c>
      <c r="AX17" s="459">
        <f>SUM('_Engine_NR'!S175:S177)</f>
        <v/>
      </c>
      <c r="AY17" s="459">
        <f>SUM('_Engine_NR'!S178:S180)</f>
        <v/>
      </c>
      <c r="AZ17" s="459">
        <f>SUM('_Engine_NR'!S181:S183)</f>
        <v/>
      </c>
      <c r="BA17" s="459">
        <f>SUM('_Engine_NR'!S184:S186)</f>
        <v/>
      </c>
      <c r="BB17" s="459">
        <f>SUM('_Engine_NR'!S187:S189)</f>
        <v/>
      </c>
      <c r="BC17" s="459">
        <f>SUM('_Engine_NR'!S190:S192)</f>
        <v/>
      </c>
      <c r="BD17" s="459">
        <f>SUM('_Engine_NR'!S193:S195)</f>
        <v/>
      </c>
      <c r="BE17" s="459">
        <f>SUM('_Engine_NR'!S196:S198)</f>
        <v/>
      </c>
      <c r="BF17" s="459">
        <f>SUM('_Engine_NR'!S199:S201)</f>
        <v/>
      </c>
      <c r="BG17" s="459">
        <f>SUM('_Engine_NR'!S202:S204)</f>
        <v/>
      </c>
      <c r="BH17" s="459">
        <f>SUM('_Engine_NR'!S205:S207)</f>
        <v/>
      </c>
      <c r="BI17" s="459">
        <f>SUM('_Engine_NR'!S208:S210)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SUM('_Engine_NR'!C31:C33)</f>
        <v/>
      </c>
      <c r="C20" s="459">
        <f>SUM('_Engine_NR'!C34:C36)</f>
        <v/>
      </c>
      <c r="D20" s="459">
        <f>SUM('_Engine_NR'!C37:C39)</f>
        <v/>
      </c>
      <c r="E20" s="459">
        <f>SUM('_Engine_NR'!C40:C42)</f>
        <v/>
      </c>
      <c r="F20" s="459">
        <f>SUM('_Engine_NR'!C43:C45)</f>
        <v/>
      </c>
      <c r="G20" s="459">
        <f>SUM('_Engine_NR'!C46:C48)</f>
        <v/>
      </c>
      <c r="H20" s="459">
        <f>SUM('_Engine_NR'!C49:C51)</f>
        <v/>
      </c>
      <c r="I20" s="459">
        <f>SUM('_Engine_NR'!C52:C54)</f>
        <v/>
      </c>
      <c r="J20" s="459">
        <f>SUM('_Engine_NR'!C55:C57)</f>
        <v/>
      </c>
      <c r="K20" s="459">
        <f>SUM('_Engine_NR'!C58:C60)</f>
        <v/>
      </c>
      <c r="L20" s="459">
        <f>SUM('_Engine_NR'!C61:C63)</f>
        <v/>
      </c>
      <c r="M20" s="459">
        <f>SUM('_Engine_NR'!C64:C66)</f>
        <v/>
      </c>
      <c r="N20" s="459">
        <f>SUM('_Engine_NR'!C67:C69)</f>
        <v/>
      </c>
      <c r="O20" s="459">
        <f>SUM('_Engine_NR'!C70:C72)</f>
        <v/>
      </c>
      <c r="P20" s="459">
        <f>SUM('_Engine_NR'!C73:C75)</f>
        <v/>
      </c>
      <c r="Q20" s="459">
        <f>SUM('_Engine_NR'!C76:C78)</f>
        <v/>
      </c>
      <c r="R20" s="459">
        <f>SUM('_Engine_NR'!C79:C81)</f>
        <v/>
      </c>
      <c r="S20" s="459">
        <f>SUM('_Engine_NR'!C82:C84)</f>
        <v/>
      </c>
      <c r="T20" s="459">
        <f>SUM('_Engine_NR'!C85:C87)</f>
        <v/>
      </c>
      <c r="U20" s="459">
        <f>SUM('_Engine_NR'!C88:C90)</f>
        <v/>
      </c>
      <c r="V20" s="459">
        <f>SUM('_Engine_NR'!C91:C93)</f>
        <v/>
      </c>
      <c r="W20" s="459">
        <f>SUM('_Engine_NR'!C94:C96)</f>
        <v/>
      </c>
      <c r="X20" s="459">
        <f>SUM('_Engine_NR'!C97:C99)</f>
        <v/>
      </c>
      <c r="Y20" s="459">
        <f>SUM('_Engine_NR'!C100:C102)</f>
        <v/>
      </c>
      <c r="Z20" s="459">
        <f>SUM('_Engine_NR'!C103:C105)</f>
        <v/>
      </c>
      <c r="AA20" s="459">
        <f>SUM('_Engine_NR'!C106:C108)</f>
        <v/>
      </c>
      <c r="AB20" s="459">
        <f>SUM('_Engine_NR'!C109:C111)</f>
        <v/>
      </c>
      <c r="AC20" s="459">
        <f>SUM('_Engine_NR'!C112:C114)</f>
        <v/>
      </c>
      <c r="AD20" s="459">
        <f>SUM('_Engine_NR'!C115:C117)</f>
        <v/>
      </c>
      <c r="AE20" s="459">
        <f>SUM('_Engine_NR'!C118:C120)</f>
        <v/>
      </c>
      <c r="AF20" s="459">
        <f>SUM('_Engine_NR'!C121:C123)</f>
        <v/>
      </c>
      <c r="AG20" s="459">
        <f>SUM('_Engine_NR'!C124:C126)</f>
        <v/>
      </c>
      <c r="AH20" s="459">
        <f>SUM('_Engine_NR'!C127:C129)</f>
        <v/>
      </c>
      <c r="AI20" s="459">
        <f>SUM('_Engine_NR'!C130:C132)</f>
        <v/>
      </c>
      <c r="AJ20" s="459">
        <f>SUM('_Engine_NR'!C133:C135)</f>
        <v/>
      </c>
      <c r="AK20" s="459">
        <f>SUM('_Engine_NR'!C136:C138)</f>
        <v/>
      </c>
      <c r="AL20" s="459">
        <f>SUM('_Engine_NR'!C139:C141)</f>
        <v/>
      </c>
      <c r="AM20" s="459">
        <f>SUM('_Engine_NR'!C142:C144)</f>
        <v/>
      </c>
      <c r="AN20" s="459">
        <f>SUM('_Engine_NR'!C145:C147)</f>
        <v/>
      </c>
      <c r="AO20" s="459">
        <f>SUM('_Engine_NR'!C148:C150)</f>
        <v/>
      </c>
      <c r="AP20" s="459">
        <f>SUM('_Engine_NR'!C151:C153)</f>
        <v/>
      </c>
      <c r="AQ20" s="459">
        <f>SUM('_Engine_NR'!C154:C156)</f>
        <v/>
      </c>
      <c r="AR20" s="459">
        <f>SUM('_Engine_NR'!C157:C159)</f>
        <v/>
      </c>
      <c r="AS20" s="459">
        <f>SUM('_Engine_NR'!C160:C162)</f>
        <v/>
      </c>
      <c r="AT20" s="459">
        <f>SUM('_Engine_NR'!C163:C165)</f>
        <v/>
      </c>
      <c r="AU20" s="459">
        <f>SUM('_Engine_NR'!C166:C168)</f>
        <v/>
      </c>
      <c r="AV20" s="459">
        <f>SUM('_Engine_NR'!C169:C171)</f>
        <v/>
      </c>
      <c r="AW20" s="459">
        <f>SUM('_Engine_NR'!C172:C174)</f>
        <v/>
      </c>
      <c r="AX20" s="459">
        <f>SUM('_Engine_NR'!C175:C177)</f>
        <v/>
      </c>
      <c r="AY20" s="459">
        <f>SUM('_Engine_NR'!C178:C180)</f>
        <v/>
      </c>
      <c r="AZ20" s="459">
        <f>SUM('_Engine_NR'!C181:C183)</f>
        <v/>
      </c>
      <c r="BA20" s="459">
        <f>SUM('_Engine_NR'!C184:C186)</f>
        <v/>
      </c>
      <c r="BB20" s="459">
        <f>SUM('_Engine_NR'!C187:C189)</f>
        <v/>
      </c>
      <c r="BC20" s="459">
        <f>SUM('_Engine_NR'!C190:C192)</f>
        <v/>
      </c>
      <c r="BD20" s="459">
        <f>SUM('_Engine_NR'!C193:C195)</f>
        <v/>
      </c>
      <c r="BE20" s="459">
        <f>SUM('_Engine_NR'!C196:C198)</f>
        <v/>
      </c>
      <c r="BF20" s="459">
        <f>SUM('_Engine_NR'!C199:C201)</f>
        <v/>
      </c>
      <c r="BG20" s="459">
        <f>SUM('_Engine_NR'!C202:C204)</f>
        <v/>
      </c>
      <c r="BH20" s="459">
        <f>SUM('_Engine_NR'!C205:C207)</f>
        <v/>
      </c>
      <c r="BI20" s="459">
        <f>SUM('_Engine_NR'!C208:C210)</f>
        <v/>
      </c>
      <c r="BJ20" s="306" t="n"/>
    </row>
    <row r="21" ht="15" customHeight="1" s="307">
      <c r="A21" s="322" t="inlineStr">
        <is>
          <t>Distributable Cash</t>
        </is>
      </c>
      <c r="B21" s="462">
        <f>B18-B20</f>
        <v/>
      </c>
      <c r="C21" s="462">
        <f>C18-C20</f>
        <v/>
      </c>
      <c r="D21" s="462">
        <f>D18-D20</f>
        <v/>
      </c>
      <c r="E21" s="462">
        <f>E18-E20</f>
        <v/>
      </c>
      <c r="F21" s="462">
        <f>F18-F20</f>
        <v/>
      </c>
      <c r="G21" s="462">
        <f>G18-G20</f>
        <v/>
      </c>
      <c r="H21" s="462">
        <f>H18-H20</f>
        <v/>
      </c>
      <c r="I21" s="462">
        <f>I18-I20</f>
        <v/>
      </c>
      <c r="J21" s="462">
        <f>J18-J20</f>
        <v/>
      </c>
      <c r="K21" s="462">
        <f>K18-K20</f>
        <v/>
      </c>
      <c r="L21" s="462">
        <f>L18-L20</f>
        <v/>
      </c>
      <c r="M21" s="462">
        <f>M18-M20</f>
        <v/>
      </c>
      <c r="N21" s="462">
        <f>N18-N20</f>
        <v/>
      </c>
      <c r="O21" s="462">
        <f>O18-O20</f>
        <v/>
      </c>
      <c r="P21" s="462">
        <f>P18-P20</f>
        <v/>
      </c>
      <c r="Q21" s="462">
        <f>Q18-Q20</f>
        <v/>
      </c>
      <c r="R21" s="462">
        <f>R18-R20</f>
        <v/>
      </c>
      <c r="S21" s="462">
        <f>S18-S20</f>
        <v/>
      </c>
      <c r="T21" s="462">
        <f>T18-T20</f>
        <v/>
      </c>
      <c r="U21" s="462">
        <f>U18-U20</f>
        <v/>
      </c>
      <c r="V21" s="462">
        <f>V18-V20</f>
        <v/>
      </c>
      <c r="W21" s="462">
        <f>W18-W20</f>
        <v/>
      </c>
      <c r="X21" s="462">
        <f>X18-X20</f>
        <v/>
      </c>
      <c r="Y21" s="462">
        <f>Y18-Y20</f>
        <v/>
      </c>
      <c r="Z21" s="462">
        <f>Z18-Z20</f>
        <v/>
      </c>
      <c r="AA21" s="462">
        <f>AA18-AA20</f>
        <v/>
      </c>
      <c r="AB21" s="462">
        <f>AB18-AB20</f>
        <v/>
      </c>
      <c r="AC21" s="462">
        <f>AC18-AC20</f>
        <v/>
      </c>
      <c r="AD21" s="462">
        <f>AD18-AD20</f>
        <v/>
      </c>
      <c r="AE21" s="462">
        <f>AE18-AE20</f>
        <v/>
      </c>
      <c r="AF21" s="462">
        <f>AF18-AF20</f>
        <v/>
      </c>
      <c r="AG21" s="462">
        <f>AG18-AG20</f>
        <v/>
      </c>
      <c r="AH21" s="462">
        <f>AH18-AH20</f>
        <v/>
      </c>
      <c r="AI21" s="462">
        <f>AI18-AI20</f>
        <v/>
      </c>
      <c r="AJ21" s="462">
        <f>AJ18-AJ20</f>
        <v/>
      </c>
      <c r="AK21" s="462">
        <f>AK18-AK20</f>
        <v/>
      </c>
      <c r="AL21" s="462">
        <f>AL18-AL20</f>
        <v/>
      </c>
      <c r="AM21" s="462">
        <f>AM18-AM20</f>
        <v/>
      </c>
      <c r="AN21" s="462">
        <f>AN18-AN20</f>
        <v/>
      </c>
      <c r="AO21" s="462">
        <f>AO18-AO20</f>
        <v/>
      </c>
      <c r="AP21" s="462">
        <f>AP18-AP20</f>
        <v/>
      </c>
      <c r="AQ21" s="462">
        <f>AQ18-AQ20</f>
        <v/>
      </c>
      <c r="AR21" s="462">
        <f>AR18-AR20</f>
        <v/>
      </c>
      <c r="AS21" s="462">
        <f>AS18-AS20</f>
        <v/>
      </c>
      <c r="AT21" s="462">
        <f>AT18-AT20</f>
        <v/>
      </c>
      <c r="AU21" s="462">
        <f>AU18-AU20</f>
        <v/>
      </c>
      <c r="AV21" s="462">
        <f>AV18-AV20</f>
        <v/>
      </c>
      <c r="AW21" s="462">
        <f>AW18-AW20</f>
        <v/>
      </c>
      <c r="AX21" s="462">
        <f>AX18-AX20</f>
        <v/>
      </c>
      <c r="AY21" s="462">
        <f>AY18-AY20</f>
        <v/>
      </c>
      <c r="AZ21" s="462">
        <f>AZ18-AZ20</f>
        <v/>
      </c>
      <c r="BA21" s="462">
        <f>BA18-BA20</f>
        <v/>
      </c>
      <c r="BB21" s="462">
        <f>BB18-BB20</f>
        <v/>
      </c>
      <c r="BC21" s="462">
        <f>BC18-BC20</f>
        <v/>
      </c>
      <c r="BD21" s="462">
        <f>BD18-BD20</f>
        <v/>
      </c>
      <c r="BE21" s="462">
        <f>BE18-BE20</f>
        <v/>
      </c>
      <c r="BF21" s="462">
        <f>BF18-BF20</f>
        <v/>
      </c>
      <c r="BG21" s="462">
        <f>BG18-BG20</f>
        <v/>
      </c>
      <c r="BH21" s="462">
        <f>BH18-BH20</f>
        <v/>
      </c>
      <c r="BI21" s="462">
        <f>BI18-BI20</f>
        <v/>
      </c>
      <c r="BJ21" s="306" t="n"/>
    </row>
    <row r="22" ht="15" customHeight="1" s="307">
      <c r="A22" s="321" t="inlineStr">
        <is>
          <t>Cumulative</t>
        </is>
      </c>
      <c r="B22" s="459">
        <f>B21</f>
        <v/>
      </c>
      <c r="C22" s="459">
        <f>B22+C21</f>
        <v/>
      </c>
      <c r="D22" s="459">
        <f>C22+D21</f>
        <v/>
      </c>
      <c r="E22" s="459">
        <f>D22+E21</f>
        <v/>
      </c>
      <c r="F22" s="459">
        <f>E22+F21</f>
        <v/>
      </c>
      <c r="G22" s="459">
        <f>F22+G21</f>
        <v/>
      </c>
      <c r="H22" s="459">
        <f>G22+H21</f>
        <v/>
      </c>
      <c r="I22" s="459">
        <f>H22+I21</f>
        <v/>
      </c>
      <c r="J22" s="459">
        <f>I22+J21</f>
        <v/>
      </c>
      <c r="K22" s="459">
        <f>J22+K21</f>
        <v/>
      </c>
      <c r="L22" s="459">
        <f>K22+L21</f>
        <v/>
      </c>
      <c r="M22" s="459">
        <f>L22+M21</f>
        <v/>
      </c>
      <c r="N22" s="459">
        <f>M22+N21</f>
        <v/>
      </c>
      <c r="O22" s="459">
        <f>N22+O21</f>
        <v/>
      </c>
      <c r="P22" s="459">
        <f>O22+P21</f>
        <v/>
      </c>
      <c r="Q22" s="459">
        <f>P22+Q21</f>
        <v/>
      </c>
      <c r="R22" s="459">
        <f>Q22+R21</f>
        <v/>
      </c>
      <c r="S22" s="459">
        <f>R22+S21</f>
        <v/>
      </c>
      <c r="T22" s="459">
        <f>S22+T21</f>
        <v/>
      </c>
      <c r="U22" s="459">
        <f>T22+U21</f>
        <v/>
      </c>
      <c r="V22" s="459">
        <f>U22+V21</f>
        <v/>
      </c>
      <c r="W22" s="459">
        <f>V22+W21</f>
        <v/>
      </c>
      <c r="X22" s="459">
        <f>W22+X21</f>
        <v/>
      </c>
      <c r="Y22" s="459">
        <f>X22+Y21</f>
        <v/>
      </c>
      <c r="Z22" s="459">
        <f>Y22+Z21</f>
        <v/>
      </c>
      <c r="AA22" s="459">
        <f>Z22+AA21</f>
        <v/>
      </c>
      <c r="AB22" s="459">
        <f>AA22+AB21</f>
        <v/>
      </c>
      <c r="AC22" s="459">
        <f>AB22+AC21</f>
        <v/>
      </c>
      <c r="AD22" s="459">
        <f>AC22+AD21</f>
        <v/>
      </c>
      <c r="AE22" s="459">
        <f>AD22+AE21</f>
        <v/>
      </c>
      <c r="AF22" s="459">
        <f>AE22+AF21</f>
        <v/>
      </c>
      <c r="AG22" s="459">
        <f>AF22+AG21</f>
        <v/>
      </c>
      <c r="AH22" s="459">
        <f>AG22+AH21</f>
        <v/>
      </c>
      <c r="AI22" s="459">
        <f>AH22+AI21</f>
        <v/>
      </c>
      <c r="AJ22" s="459">
        <f>AI22+AJ21</f>
        <v/>
      </c>
      <c r="AK22" s="459">
        <f>AJ22+AK21</f>
        <v/>
      </c>
      <c r="AL22" s="459">
        <f>AK22+AL21</f>
        <v/>
      </c>
      <c r="AM22" s="459">
        <f>AL22+AM21</f>
        <v/>
      </c>
      <c r="AN22" s="459">
        <f>AM22+AN21</f>
        <v/>
      </c>
      <c r="AO22" s="459">
        <f>AN22+AO21</f>
        <v/>
      </c>
      <c r="AP22" s="459">
        <f>AO22+AP21</f>
        <v/>
      </c>
      <c r="AQ22" s="459">
        <f>AP22+AQ21</f>
        <v/>
      </c>
      <c r="AR22" s="459">
        <f>AQ22+AR21</f>
        <v/>
      </c>
      <c r="AS22" s="459">
        <f>AR22+AS21</f>
        <v/>
      </c>
      <c r="AT22" s="459">
        <f>AS22+AT21</f>
        <v/>
      </c>
      <c r="AU22" s="459">
        <f>AT22+AU21</f>
        <v/>
      </c>
      <c r="AV22" s="459">
        <f>AU22+AV21</f>
        <v/>
      </c>
      <c r="AW22" s="459">
        <f>AV22+AW21</f>
        <v/>
      </c>
      <c r="AX22" s="459">
        <f>AW22+AX21</f>
        <v/>
      </c>
      <c r="AY22" s="459">
        <f>AX22+AY21</f>
        <v/>
      </c>
      <c r="AZ22" s="459">
        <f>AY22+AZ21</f>
        <v/>
      </c>
      <c r="BA22" s="459">
        <f>AZ22+BA21</f>
        <v/>
      </c>
      <c r="BB22" s="459">
        <f>BA22+BB21</f>
        <v/>
      </c>
      <c r="BC22" s="459">
        <f>BB22+BC21</f>
        <v/>
      </c>
      <c r="BD22" s="459">
        <f>BC22+BD21</f>
        <v/>
      </c>
      <c r="BE22" s="459">
        <f>BD22+BE21</f>
        <v/>
      </c>
      <c r="BF22" s="459">
        <f>BE22+BF21</f>
        <v/>
      </c>
      <c r="BG22" s="459">
        <f>BF22+BG21</f>
        <v/>
      </c>
      <c r="BH22" s="459">
        <f>BG22+BH21</f>
        <v/>
      </c>
      <c r="BI22" s="459">
        <f>BH22+BI21</f>
        <v/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8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SUM('_Engine_R50'!P31:P33)</f>
        <v/>
      </c>
      <c r="C5" s="466">
        <f>SUM('_Engine_R50'!P34:P36)</f>
        <v/>
      </c>
      <c r="D5" s="466">
        <f>SUM('_Engine_R50'!P37:P39)</f>
        <v/>
      </c>
      <c r="E5" s="466">
        <f>SUM('_Engine_R50'!P40:P42)</f>
        <v/>
      </c>
      <c r="F5" s="466">
        <f>SUM('_Engine_R50'!P43:P45)</f>
        <v/>
      </c>
      <c r="G5" s="466">
        <f>SUM('_Engine_R50'!P46:P48)</f>
        <v/>
      </c>
      <c r="H5" s="466">
        <f>SUM('_Engine_R50'!P49:P51)</f>
        <v/>
      </c>
      <c r="I5" s="466">
        <f>SUM('_Engine_R50'!P52:P54)</f>
        <v/>
      </c>
      <c r="J5" s="466">
        <f>SUM('_Engine_R50'!P55:P57)</f>
        <v/>
      </c>
      <c r="K5" s="466">
        <f>SUM('_Engine_R50'!P58:P60)</f>
        <v/>
      </c>
      <c r="L5" s="466">
        <f>SUM('_Engine_R50'!P61:P63)</f>
        <v/>
      </c>
      <c r="M5" s="466">
        <f>SUM('_Engine_R50'!P64:P66)</f>
        <v/>
      </c>
      <c r="N5" s="466">
        <f>SUM('_Engine_R50'!P67:P69)</f>
        <v/>
      </c>
      <c r="O5" s="466">
        <f>SUM('_Engine_R50'!P70:P72)</f>
        <v/>
      </c>
      <c r="P5" s="466">
        <f>SUM('_Engine_R50'!P73:P75)</f>
        <v/>
      </c>
      <c r="Q5" s="466">
        <f>SUM('_Engine_R50'!P76:P78)</f>
        <v/>
      </c>
      <c r="R5" s="466">
        <f>SUM('_Engine_R50'!P79:P81)</f>
        <v/>
      </c>
      <c r="S5" s="466">
        <f>SUM('_Engine_R50'!P82:P84)</f>
        <v/>
      </c>
      <c r="T5" s="466">
        <f>SUM('_Engine_R50'!P85:P87)</f>
        <v/>
      </c>
      <c r="U5" s="466">
        <f>SUM('_Engine_R50'!P88:P90)</f>
        <v/>
      </c>
      <c r="V5" s="466">
        <f>SUM('_Engine_R50'!P91:P93)</f>
        <v/>
      </c>
      <c r="W5" s="466">
        <f>SUM('_Engine_R50'!P94:P96)</f>
        <v/>
      </c>
      <c r="X5" s="466">
        <f>SUM('_Engine_R50'!P97:P99)</f>
        <v/>
      </c>
      <c r="Y5" s="466">
        <f>SUM('_Engine_R50'!P100:P102)</f>
        <v/>
      </c>
      <c r="Z5" s="466">
        <f>SUM('_Engine_R50'!P103:P105)</f>
        <v/>
      </c>
      <c r="AA5" s="466">
        <f>SUM('_Engine_R50'!P106:P108)</f>
        <v/>
      </c>
      <c r="AB5" s="466">
        <f>SUM('_Engine_R50'!P109:P111)</f>
        <v/>
      </c>
      <c r="AC5" s="466">
        <f>SUM('_Engine_R50'!P112:P114)</f>
        <v/>
      </c>
      <c r="AD5" s="466">
        <f>SUM('_Engine_R50'!P115:P117)</f>
        <v/>
      </c>
      <c r="AE5" s="466">
        <f>SUM('_Engine_R50'!P118:P120)</f>
        <v/>
      </c>
      <c r="AF5" s="466">
        <f>SUM('_Engine_R50'!P121:P123)</f>
        <v/>
      </c>
      <c r="AG5" s="466">
        <f>SUM('_Engine_R50'!P124:P126)</f>
        <v/>
      </c>
      <c r="AH5" s="466">
        <f>SUM('_Engine_R50'!P127:P129)</f>
        <v/>
      </c>
      <c r="AI5" s="466">
        <f>SUM('_Engine_R50'!P130:P132)</f>
        <v/>
      </c>
      <c r="AJ5" s="466">
        <f>SUM('_Engine_R50'!P133:P135)</f>
        <v/>
      </c>
      <c r="AK5" s="466">
        <f>SUM('_Engine_R50'!P136:P138)</f>
        <v/>
      </c>
      <c r="AL5" s="466">
        <f>SUM('_Engine_R50'!P139:P141)</f>
        <v/>
      </c>
      <c r="AM5" s="466">
        <f>SUM('_Engine_R50'!P142:P144)</f>
        <v/>
      </c>
      <c r="AN5" s="466">
        <f>SUM('_Engine_R50'!P145:P147)</f>
        <v/>
      </c>
      <c r="AO5" s="466">
        <f>SUM('_Engine_R50'!P148:P150)</f>
        <v/>
      </c>
      <c r="AP5" s="466">
        <f>SUM('_Engine_R50'!P151:P153)</f>
        <v/>
      </c>
      <c r="AQ5" s="466">
        <f>SUM('_Engine_R50'!P154:P156)</f>
        <v/>
      </c>
      <c r="AR5" s="466">
        <f>SUM('_Engine_R50'!P157:P159)</f>
        <v/>
      </c>
      <c r="AS5" s="466">
        <f>SUM('_Engine_R50'!P160:P162)</f>
        <v/>
      </c>
      <c r="AT5" s="466">
        <f>SUM('_Engine_R50'!P163:P165)</f>
        <v/>
      </c>
      <c r="AU5" s="466">
        <f>SUM('_Engine_R50'!P166:P168)</f>
        <v/>
      </c>
      <c r="AV5" s="466">
        <f>SUM('_Engine_R50'!P169:P171)</f>
        <v/>
      </c>
      <c r="AW5" s="466">
        <f>SUM('_Engine_R50'!P172:P174)</f>
        <v/>
      </c>
      <c r="AX5" s="466">
        <f>SUM('_Engine_R50'!P175:P177)</f>
        <v/>
      </c>
      <c r="AY5" s="466">
        <f>SUM('_Engine_R50'!P178:P180)</f>
        <v/>
      </c>
      <c r="AZ5" s="466">
        <f>SUM('_Engine_R50'!P181:P183)</f>
        <v/>
      </c>
      <c r="BA5" s="466">
        <f>SUM('_Engine_R50'!P184:P186)</f>
        <v/>
      </c>
      <c r="BB5" s="466">
        <f>SUM('_Engine_R50'!P187:P189)</f>
        <v/>
      </c>
      <c r="BC5" s="466">
        <f>SUM('_Engine_R50'!P190:P192)</f>
        <v/>
      </c>
      <c r="BD5" s="466">
        <f>SUM('_Engine_R50'!P193:P195)</f>
        <v/>
      </c>
      <c r="BE5" s="466">
        <f>SUM('_Engine_R50'!P196:P198)</f>
        <v/>
      </c>
      <c r="BF5" s="466">
        <f>SUM('_Engine_R50'!P199:P201)</f>
        <v/>
      </c>
      <c r="BG5" s="466">
        <f>SUM('_Engine_R50'!P202:P204)</f>
        <v/>
      </c>
      <c r="BH5" s="466">
        <f>SUM('_Engine_R50'!P205:P207)</f>
        <v/>
      </c>
      <c r="BI5" s="466">
        <f>SUM('_Engine_R50'!P208:P210)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SUM('_Engine_R50'!Q31:Q33)</f>
        <v/>
      </c>
      <c r="C6" s="459">
        <f>SUM('_Engine_R50'!Q34:Q36)</f>
        <v/>
      </c>
      <c r="D6" s="459">
        <f>SUM('_Engine_R50'!Q37:Q39)</f>
        <v/>
      </c>
      <c r="E6" s="459">
        <f>SUM('_Engine_R50'!Q40:Q42)</f>
        <v/>
      </c>
      <c r="F6" s="459">
        <f>SUM('_Engine_R50'!Q43:Q45)</f>
        <v/>
      </c>
      <c r="G6" s="459">
        <f>SUM('_Engine_R50'!Q46:Q48)</f>
        <v/>
      </c>
      <c r="H6" s="459">
        <f>SUM('_Engine_R50'!Q49:Q51)</f>
        <v/>
      </c>
      <c r="I6" s="459">
        <f>SUM('_Engine_R50'!Q52:Q54)</f>
        <v/>
      </c>
      <c r="J6" s="459">
        <f>SUM('_Engine_R50'!Q55:Q57)</f>
        <v/>
      </c>
      <c r="K6" s="459">
        <f>SUM('_Engine_R50'!Q58:Q60)</f>
        <v/>
      </c>
      <c r="L6" s="459">
        <f>SUM('_Engine_R50'!Q61:Q63)</f>
        <v/>
      </c>
      <c r="M6" s="459">
        <f>SUM('_Engine_R50'!Q64:Q66)</f>
        <v/>
      </c>
      <c r="N6" s="459">
        <f>SUM('_Engine_R50'!Q67:Q69)</f>
        <v/>
      </c>
      <c r="O6" s="459">
        <f>SUM('_Engine_R50'!Q70:Q72)</f>
        <v/>
      </c>
      <c r="P6" s="459">
        <f>SUM('_Engine_R50'!Q73:Q75)</f>
        <v/>
      </c>
      <c r="Q6" s="459">
        <f>SUM('_Engine_R50'!Q76:Q78)</f>
        <v/>
      </c>
      <c r="R6" s="459">
        <f>SUM('_Engine_R50'!Q79:Q81)</f>
        <v/>
      </c>
      <c r="S6" s="459">
        <f>SUM('_Engine_R50'!Q82:Q84)</f>
        <v/>
      </c>
      <c r="T6" s="459">
        <f>SUM('_Engine_R50'!Q85:Q87)</f>
        <v/>
      </c>
      <c r="U6" s="459">
        <f>SUM('_Engine_R50'!Q88:Q90)</f>
        <v/>
      </c>
      <c r="V6" s="459">
        <f>SUM('_Engine_R50'!Q91:Q93)</f>
        <v/>
      </c>
      <c r="W6" s="459">
        <f>SUM('_Engine_R50'!Q94:Q96)</f>
        <v/>
      </c>
      <c r="X6" s="459">
        <f>SUM('_Engine_R50'!Q97:Q99)</f>
        <v/>
      </c>
      <c r="Y6" s="459">
        <f>SUM('_Engine_R50'!Q100:Q102)</f>
        <v/>
      </c>
      <c r="Z6" s="459">
        <f>SUM('_Engine_R50'!Q103:Q105)</f>
        <v/>
      </c>
      <c r="AA6" s="459">
        <f>SUM('_Engine_R50'!Q106:Q108)</f>
        <v/>
      </c>
      <c r="AB6" s="459">
        <f>SUM('_Engine_R50'!Q109:Q111)</f>
        <v/>
      </c>
      <c r="AC6" s="459">
        <f>SUM('_Engine_R50'!Q112:Q114)</f>
        <v/>
      </c>
      <c r="AD6" s="459">
        <f>SUM('_Engine_R50'!Q115:Q117)</f>
        <v/>
      </c>
      <c r="AE6" s="459">
        <f>SUM('_Engine_R50'!Q118:Q120)</f>
        <v/>
      </c>
      <c r="AF6" s="459">
        <f>SUM('_Engine_R50'!Q121:Q123)</f>
        <v/>
      </c>
      <c r="AG6" s="459">
        <f>SUM('_Engine_R50'!Q124:Q126)</f>
        <v/>
      </c>
      <c r="AH6" s="459">
        <f>SUM('_Engine_R50'!Q127:Q129)</f>
        <v/>
      </c>
      <c r="AI6" s="459">
        <f>SUM('_Engine_R50'!Q130:Q132)</f>
        <v/>
      </c>
      <c r="AJ6" s="459">
        <f>SUM('_Engine_R50'!Q133:Q135)</f>
        <v/>
      </c>
      <c r="AK6" s="459">
        <f>SUM('_Engine_R50'!Q136:Q138)</f>
        <v/>
      </c>
      <c r="AL6" s="459">
        <f>SUM('_Engine_R50'!Q139:Q141)</f>
        <v/>
      </c>
      <c r="AM6" s="459">
        <f>SUM('_Engine_R50'!Q142:Q144)</f>
        <v/>
      </c>
      <c r="AN6" s="459">
        <f>SUM('_Engine_R50'!Q145:Q147)</f>
        <v/>
      </c>
      <c r="AO6" s="459">
        <f>SUM('_Engine_R50'!Q148:Q150)</f>
        <v/>
      </c>
      <c r="AP6" s="459">
        <f>SUM('_Engine_R50'!Q151:Q153)</f>
        <v/>
      </c>
      <c r="AQ6" s="459">
        <f>SUM('_Engine_R50'!Q154:Q156)</f>
        <v/>
      </c>
      <c r="AR6" s="459">
        <f>SUM('_Engine_R50'!Q157:Q159)</f>
        <v/>
      </c>
      <c r="AS6" s="459">
        <f>SUM('_Engine_R50'!Q160:Q162)</f>
        <v/>
      </c>
      <c r="AT6" s="459">
        <f>SUM('_Engine_R50'!Q163:Q165)</f>
        <v/>
      </c>
      <c r="AU6" s="459">
        <f>SUM('_Engine_R50'!Q166:Q168)</f>
        <v/>
      </c>
      <c r="AV6" s="459">
        <f>SUM('_Engine_R50'!Q169:Q171)</f>
        <v/>
      </c>
      <c r="AW6" s="459">
        <f>SUM('_Engine_R50'!Q172:Q174)</f>
        <v/>
      </c>
      <c r="AX6" s="459">
        <f>SUM('_Engine_R50'!Q175:Q177)</f>
        <v/>
      </c>
      <c r="AY6" s="459">
        <f>SUM('_Engine_R50'!Q178:Q180)</f>
        <v/>
      </c>
      <c r="AZ6" s="459">
        <f>SUM('_Engine_R50'!Q181:Q183)</f>
        <v/>
      </c>
      <c r="BA6" s="459">
        <f>SUM('_Engine_R50'!Q184:Q186)</f>
        <v/>
      </c>
      <c r="BB6" s="459">
        <f>SUM('_Engine_R50'!Q187:Q189)</f>
        <v/>
      </c>
      <c r="BC6" s="459">
        <f>SUM('_Engine_R50'!Q190:Q192)</f>
        <v/>
      </c>
      <c r="BD6" s="459">
        <f>SUM('_Engine_R50'!Q193:Q195)</f>
        <v/>
      </c>
      <c r="BE6" s="459">
        <f>SUM('_Engine_R50'!Q196:Q198)</f>
        <v/>
      </c>
      <c r="BF6" s="459">
        <f>SUM('_Engine_R50'!Q199:Q201)</f>
        <v/>
      </c>
      <c r="BG6" s="459">
        <f>SUM('_Engine_R50'!Q202:Q204)</f>
        <v/>
      </c>
      <c r="BH6" s="459">
        <f>SUM('_Engine_R50'!Q205:Q207)</f>
        <v/>
      </c>
      <c r="BI6" s="459">
        <f>SUM('_Engine_R50'!Q208:Q210)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SUM('_Engine_R50'!R31:R33)</f>
        <v/>
      </c>
      <c r="C9" s="459">
        <f>SUM('_Engine_R50'!R34:R36)</f>
        <v/>
      </c>
      <c r="D9" s="459">
        <f>SUM('_Engine_R50'!R37:R39)</f>
        <v/>
      </c>
      <c r="E9" s="459">
        <f>SUM('_Engine_R50'!R40:R42)</f>
        <v/>
      </c>
      <c r="F9" s="459">
        <f>SUM('_Engine_R50'!R43:R45)</f>
        <v/>
      </c>
      <c r="G9" s="459">
        <f>SUM('_Engine_R50'!R46:R48)</f>
        <v/>
      </c>
      <c r="H9" s="459">
        <f>SUM('_Engine_R50'!R49:R51)</f>
        <v/>
      </c>
      <c r="I9" s="459">
        <f>SUM('_Engine_R50'!R52:R54)</f>
        <v/>
      </c>
      <c r="J9" s="459">
        <f>SUM('_Engine_R50'!R55:R57)</f>
        <v/>
      </c>
      <c r="K9" s="459">
        <f>SUM('_Engine_R50'!R58:R60)</f>
        <v/>
      </c>
      <c r="L9" s="459">
        <f>SUM('_Engine_R50'!R61:R63)</f>
        <v/>
      </c>
      <c r="M9" s="459">
        <f>SUM('_Engine_R50'!R64:R66)</f>
        <v/>
      </c>
      <c r="N9" s="459">
        <f>SUM('_Engine_R50'!R67:R69)</f>
        <v/>
      </c>
      <c r="O9" s="459">
        <f>SUM('_Engine_R50'!R70:R72)</f>
        <v/>
      </c>
      <c r="P9" s="459">
        <f>SUM('_Engine_R50'!R73:R75)</f>
        <v/>
      </c>
      <c r="Q9" s="459">
        <f>SUM('_Engine_R50'!R76:R78)</f>
        <v/>
      </c>
      <c r="R9" s="459">
        <f>SUM('_Engine_R50'!R79:R81)</f>
        <v/>
      </c>
      <c r="S9" s="459">
        <f>SUM('_Engine_R50'!R82:R84)</f>
        <v/>
      </c>
      <c r="T9" s="459">
        <f>SUM('_Engine_R50'!R85:R87)</f>
        <v/>
      </c>
      <c r="U9" s="459">
        <f>SUM('_Engine_R50'!R88:R90)</f>
        <v/>
      </c>
      <c r="V9" s="459">
        <f>SUM('_Engine_R50'!R91:R93)</f>
        <v/>
      </c>
      <c r="W9" s="459">
        <f>SUM('_Engine_R50'!R94:R96)</f>
        <v/>
      </c>
      <c r="X9" s="459">
        <f>SUM('_Engine_R50'!R97:R99)</f>
        <v/>
      </c>
      <c r="Y9" s="459">
        <f>SUM('_Engine_R50'!R100:R102)</f>
        <v/>
      </c>
      <c r="Z9" s="459">
        <f>SUM('_Engine_R50'!R103:R105)</f>
        <v/>
      </c>
      <c r="AA9" s="459">
        <f>SUM('_Engine_R50'!R106:R108)</f>
        <v/>
      </c>
      <c r="AB9" s="459">
        <f>SUM('_Engine_R50'!R109:R111)</f>
        <v/>
      </c>
      <c r="AC9" s="459">
        <f>SUM('_Engine_R50'!R112:R114)</f>
        <v/>
      </c>
      <c r="AD9" s="459">
        <f>SUM('_Engine_R50'!R115:R117)</f>
        <v/>
      </c>
      <c r="AE9" s="459">
        <f>SUM('_Engine_R50'!R118:R120)</f>
        <v/>
      </c>
      <c r="AF9" s="459">
        <f>SUM('_Engine_R50'!R121:R123)</f>
        <v/>
      </c>
      <c r="AG9" s="459">
        <f>SUM('_Engine_R50'!R124:R126)</f>
        <v/>
      </c>
      <c r="AH9" s="459">
        <f>SUM('_Engine_R50'!R127:R129)</f>
        <v/>
      </c>
      <c r="AI9" s="459">
        <f>SUM('_Engine_R50'!R130:R132)</f>
        <v/>
      </c>
      <c r="AJ9" s="459">
        <f>SUM('_Engine_R50'!R133:R135)</f>
        <v/>
      </c>
      <c r="AK9" s="459">
        <f>SUM('_Engine_R50'!R136:R138)</f>
        <v/>
      </c>
      <c r="AL9" s="459">
        <f>SUM('_Engine_R50'!R139:R141)</f>
        <v/>
      </c>
      <c r="AM9" s="459">
        <f>SUM('_Engine_R50'!R142:R144)</f>
        <v/>
      </c>
      <c r="AN9" s="459">
        <f>SUM('_Engine_R50'!R145:R147)</f>
        <v/>
      </c>
      <c r="AO9" s="459">
        <f>SUM('_Engine_R50'!R148:R150)</f>
        <v/>
      </c>
      <c r="AP9" s="459">
        <f>SUM('_Engine_R50'!R151:R153)</f>
        <v/>
      </c>
      <c r="AQ9" s="459">
        <f>SUM('_Engine_R50'!R154:R156)</f>
        <v/>
      </c>
      <c r="AR9" s="459">
        <f>SUM('_Engine_R50'!R157:R159)</f>
        <v/>
      </c>
      <c r="AS9" s="459">
        <f>SUM('_Engine_R50'!R160:R162)</f>
        <v/>
      </c>
      <c r="AT9" s="459">
        <f>SUM('_Engine_R50'!R163:R165)</f>
        <v/>
      </c>
      <c r="AU9" s="459">
        <f>SUM('_Engine_R50'!R166:R168)</f>
        <v/>
      </c>
      <c r="AV9" s="459">
        <f>SUM('_Engine_R50'!R169:R171)</f>
        <v/>
      </c>
      <c r="AW9" s="459">
        <f>SUM('_Engine_R50'!R172:R174)</f>
        <v/>
      </c>
      <c r="AX9" s="459">
        <f>SUM('_Engine_R50'!R175:R177)</f>
        <v/>
      </c>
      <c r="AY9" s="459">
        <f>SUM('_Engine_R50'!R178:R180)</f>
        <v/>
      </c>
      <c r="AZ9" s="459">
        <f>SUM('_Engine_R50'!R181:R183)</f>
        <v/>
      </c>
      <c r="BA9" s="459">
        <f>SUM('_Engine_R50'!R184:R186)</f>
        <v/>
      </c>
      <c r="BB9" s="459">
        <f>SUM('_Engine_R50'!R187:R189)</f>
        <v/>
      </c>
      <c r="BC9" s="459">
        <f>SUM('_Engine_R50'!R190:R192)</f>
        <v/>
      </c>
      <c r="BD9" s="459">
        <f>SUM('_Engine_R50'!R193:R195)</f>
        <v/>
      </c>
      <c r="BE9" s="459">
        <f>SUM('_Engine_R50'!R196:R198)</f>
        <v/>
      </c>
      <c r="BF9" s="459">
        <f>SUM('_Engine_R50'!R199:R201)</f>
        <v/>
      </c>
      <c r="BG9" s="459">
        <f>SUM('_Engine_R50'!R202:R204)</f>
        <v/>
      </c>
      <c r="BH9" s="459">
        <f>SUM('_Engine_R50'!R205:R207)</f>
        <v/>
      </c>
      <c r="BI9" s="459">
        <f>SUM('_Engine_R50'!R208:R210)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SUM('_Engine_R50'!S31:S33)</f>
        <v/>
      </c>
      <c r="C10" s="459">
        <f>SUM('_Engine_R50'!S34:S36)</f>
        <v/>
      </c>
      <c r="D10" s="459">
        <f>SUM('_Engine_R50'!S37:S39)</f>
        <v/>
      </c>
      <c r="E10" s="459">
        <f>SUM('_Engine_R50'!S40:S42)</f>
        <v/>
      </c>
      <c r="F10" s="459">
        <f>SUM('_Engine_R50'!S43:S45)</f>
        <v/>
      </c>
      <c r="G10" s="459">
        <f>SUM('_Engine_R50'!S46:S48)</f>
        <v/>
      </c>
      <c r="H10" s="459">
        <f>SUM('_Engine_R50'!S49:S51)</f>
        <v/>
      </c>
      <c r="I10" s="459">
        <f>SUM('_Engine_R50'!S52:S54)</f>
        <v/>
      </c>
      <c r="J10" s="459">
        <f>SUM('_Engine_R50'!S55:S57)</f>
        <v/>
      </c>
      <c r="K10" s="459">
        <f>SUM('_Engine_R50'!S58:S60)</f>
        <v/>
      </c>
      <c r="L10" s="459">
        <f>SUM('_Engine_R50'!S61:S63)</f>
        <v/>
      </c>
      <c r="M10" s="459">
        <f>SUM('_Engine_R50'!S64:S66)</f>
        <v/>
      </c>
      <c r="N10" s="459">
        <f>SUM('_Engine_R50'!S67:S69)</f>
        <v/>
      </c>
      <c r="O10" s="459">
        <f>SUM('_Engine_R50'!S70:S72)</f>
        <v/>
      </c>
      <c r="P10" s="459">
        <f>SUM('_Engine_R50'!S73:S75)</f>
        <v/>
      </c>
      <c r="Q10" s="459">
        <f>SUM('_Engine_R50'!S76:S78)</f>
        <v/>
      </c>
      <c r="R10" s="459">
        <f>SUM('_Engine_R50'!S79:S81)</f>
        <v/>
      </c>
      <c r="S10" s="459">
        <f>SUM('_Engine_R50'!S82:S84)</f>
        <v/>
      </c>
      <c r="T10" s="459">
        <f>SUM('_Engine_R50'!S85:S87)</f>
        <v/>
      </c>
      <c r="U10" s="459">
        <f>SUM('_Engine_R50'!S88:S90)</f>
        <v/>
      </c>
      <c r="V10" s="459">
        <f>SUM('_Engine_R50'!S91:S93)</f>
        <v/>
      </c>
      <c r="W10" s="459">
        <f>SUM('_Engine_R50'!S94:S96)</f>
        <v/>
      </c>
      <c r="X10" s="459">
        <f>SUM('_Engine_R50'!S97:S99)</f>
        <v/>
      </c>
      <c r="Y10" s="459">
        <f>SUM('_Engine_R50'!S100:S102)</f>
        <v/>
      </c>
      <c r="Z10" s="459">
        <f>SUM('_Engine_R50'!S103:S105)</f>
        <v/>
      </c>
      <c r="AA10" s="459">
        <f>SUM('_Engine_R50'!S106:S108)</f>
        <v/>
      </c>
      <c r="AB10" s="459">
        <f>SUM('_Engine_R50'!S109:S111)</f>
        <v/>
      </c>
      <c r="AC10" s="459">
        <f>SUM('_Engine_R50'!S112:S114)</f>
        <v/>
      </c>
      <c r="AD10" s="459">
        <f>SUM('_Engine_R50'!S115:S117)</f>
        <v/>
      </c>
      <c r="AE10" s="459">
        <f>SUM('_Engine_R50'!S118:S120)</f>
        <v/>
      </c>
      <c r="AF10" s="459">
        <f>SUM('_Engine_R50'!S121:S123)</f>
        <v/>
      </c>
      <c r="AG10" s="459">
        <f>SUM('_Engine_R50'!S124:S126)</f>
        <v/>
      </c>
      <c r="AH10" s="459">
        <f>SUM('_Engine_R50'!S127:S129)</f>
        <v/>
      </c>
      <c r="AI10" s="459">
        <f>SUM('_Engine_R50'!S130:S132)</f>
        <v/>
      </c>
      <c r="AJ10" s="459">
        <f>SUM('_Engine_R50'!S133:S135)</f>
        <v/>
      </c>
      <c r="AK10" s="459">
        <f>SUM('_Engine_R50'!S136:S138)</f>
        <v/>
      </c>
      <c r="AL10" s="459">
        <f>SUM('_Engine_R50'!S139:S141)</f>
        <v/>
      </c>
      <c r="AM10" s="459">
        <f>SUM('_Engine_R50'!S142:S144)</f>
        <v/>
      </c>
      <c r="AN10" s="459">
        <f>SUM('_Engine_R50'!S145:S147)</f>
        <v/>
      </c>
      <c r="AO10" s="459">
        <f>SUM('_Engine_R50'!S148:S150)</f>
        <v/>
      </c>
      <c r="AP10" s="459">
        <f>SUM('_Engine_R50'!S151:S153)</f>
        <v/>
      </c>
      <c r="AQ10" s="459">
        <f>SUM('_Engine_R50'!S154:S156)</f>
        <v/>
      </c>
      <c r="AR10" s="459">
        <f>SUM('_Engine_R50'!S157:S159)</f>
        <v/>
      </c>
      <c r="AS10" s="459">
        <f>SUM('_Engine_R50'!S160:S162)</f>
        <v/>
      </c>
      <c r="AT10" s="459">
        <f>SUM('_Engine_R50'!S163:S165)</f>
        <v/>
      </c>
      <c r="AU10" s="459">
        <f>SUM('_Engine_R50'!S166:S168)</f>
        <v/>
      </c>
      <c r="AV10" s="459">
        <f>SUM('_Engine_R50'!S169:S171)</f>
        <v/>
      </c>
      <c r="AW10" s="459">
        <f>SUM('_Engine_R50'!S172:S174)</f>
        <v/>
      </c>
      <c r="AX10" s="459">
        <f>SUM('_Engine_R50'!S175:S177)</f>
        <v/>
      </c>
      <c r="AY10" s="459">
        <f>SUM('_Engine_R50'!S178:S180)</f>
        <v/>
      </c>
      <c r="AZ10" s="459">
        <f>SUM('_Engine_R50'!S181:S183)</f>
        <v/>
      </c>
      <c r="BA10" s="459">
        <f>SUM('_Engine_R50'!S184:S186)</f>
        <v/>
      </c>
      <c r="BB10" s="459">
        <f>SUM('_Engine_R50'!S187:S189)</f>
        <v/>
      </c>
      <c r="BC10" s="459">
        <f>SUM('_Engine_R50'!S190:S192)</f>
        <v/>
      </c>
      <c r="BD10" s="459">
        <f>SUM('_Engine_R50'!S193:S195)</f>
        <v/>
      </c>
      <c r="BE10" s="459">
        <f>SUM('_Engine_R50'!S196:S198)</f>
        <v/>
      </c>
      <c r="BF10" s="459">
        <f>SUM('_Engine_R50'!S199:S201)</f>
        <v/>
      </c>
      <c r="BG10" s="459">
        <f>SUM('_Engine_R50'!S202:S204)</f>
        <v/>
      </c>
      <c r="BH10" s="459">
        <f>SUM('_Engine_R50'!S205:S207)</f>
        <v/>
      </c>
      <c r="BI10" s="459">
        <f>SUM('_Engine_R50'!S208:S210)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SUM('_Engine_R50'!D31:D33)</f>
        <v/>
      </c>
      <c r="C11" s="459">
        <f>SUM('_Engine_R50'!D34:D36)</f>
        <v/>
      </c>
      <c r="D11" s="459">
        <f>SUM('_Engine_R50'!D37:D39)</f>
        <v/>
      </c>
      <c r="E11" s="459">
        <f>SUM('_Engine_R50'!D40:D42)</f>
        <v/>
      </c>
      <c r="F11" s="459">
        <f>SUM('_Engine_R50'!D43:D45)</f>
        <v/>
      </c>
      <c r="G11" s="459">
        <f>SUM('_Engine_R50'!D46:D48)</f>
        <v/>
      </c>
      <c r="H11" s="459">
        <f>SUM('_Engine_R50'!D49:D51)</f>
        <v/>
      </c>
      <c r="I11" s="459">
        <f>SUM('_Engine_R50'!D52:D54)</f>
        <v/>
      </c>
      <c r="J11" s="459">
        <f>SUM('_Engine_R50'!D55:D57)</f>
        <v/>
      </c>
      <c r="K11" s="459">
        <f>SUM('_Engine_R50'!D58:D60)</f>
        <v/>
      </c>
      <c r="L11" s="459">
        <f>SUM('_Engine_R50'!D61:D63)</f>
        <v/>
      </c>
      <c r="M11" s="459">
        <f>SUM('_Engine_R50'!D64:D66)</f>
        <v/>
      </c>
      <c r="N11" s="459">
        <f>SUM('_Engine_R50'!D67:D69)</f>
        <v/>
      </c>
      <c r="O11" s="459">
        <f>SUM('_Engine_R50'!D70:D72)</f>
        <v/>
      </c>
      <c r="P11" s="459">
        <f>SUM('_Engine_R50'!D73:D75)</f>
        <v/>
      </c>
      <c r="Q11" s="459">
        <f>SUM('_Engine_R50'!D76:D78)</f>
        <v/>
      </c>
      <c r="R11" s="459">
        <f>SUM('_Engine_R50'!D79:D81)</f>
        <v/>
      </c>
      <c r="S11" s="459">
        <f>SUM('_Engine_R50'!D82:D84)</f>
        <v/>
      </c>
      <c r="T11" s="459">
        <f>SUM('_Engine_R50'!D85:D87)</f>
        <v/>
      </c>
      <c r="U11" s="459">
        <f>SUM('_Engine_R50'!D88:D90)</f>
        <v/>
      </c>
      <c r="V11" s="459">
        <f>SUM('_Engine_R50'!D91:D93)</f>
        <v/>
      </c>
      <c r="W11" s="459">
        <f>SUM('_Engine_R50'!D94:D96)</f>
        <v/>
      </c>
      <c r="X11" s="459">
        <f>SUM('_Engine_R50'!D97:D99)</f>
        <v/>
      </c>
      <c r="Y11" s="459">
        <f>SUM('_Engine_R50'!D100:D102)</f>
        <v/>
      </c>
      <c r="Z11" s="459">
        <f>SUM('_Engine_R50'!D103:D105)</f>
        <v/>
      </c>
      <c r="AA11" s="459">
        <f>SUM('_Engine_R50'!D106:D108)</f>
        <v/>
      </c>
      <c r="AB11" s="459">
        <f>SUM('_Engine_R50'!D109:D111)</f>
        <v/>
      </c>
      <c r="AC11" s="459">
        <f>SUM('_Engine_R50'!D112:D114)</f>
        <v/>
      </c>
      <c r="AD11" s="459">
        <f>SUM('_Engine_R50'!D115:D117)</f>
        <v/>
      </c>
      <c r="AE11" s="459">
        <f>SUM('_Engine_R50'!D118:D120)</f>
        <v/>
      </c>
      <c r="AF11" s="459">
        <f>SUM('_Engine_R50'!D121:D123)</f>
        <v/>
      </c>
      <c r="AG11" s="459">
        <f>SUM('_Engine_R50'!D124:D126)</f>
        <v/>
      </c>
      <c r="AH11" s="459">
        <f>SUM('_Engine_R50'!D127:D129)</f>
        <v/>
      </c>
      <c r="AI11" s="459">
        <f>SUM('_Engine_R50'!D130:D132)</f>
        <v/>
      </c>
      <c r="AJ11" s="459">
        <f>SUM('_Engine_R50'!D133:D135)</f>
        <v/>
      </c>
      <c r="AK11" s="459">
        <f>SUM('_Engine_R50'!D136:D138)</f>
        <v/>
      </c>
      <c r="AL11" s="459">
        <f>SUM('_Engine_R50'!D139:D141)</f>
        <v/>
      </c>
      <c r="AM11" s="459">
        <f>SUM('_Engine_R50'!D142:D144)</f>
        <v/>
      </c>
      <c r="AN11" s="459">
        <f>SUM('_Engine_R50'!D145:D147)</f>
        <v/>
      </c>
      <c r="AO11" s="459">
        <f>SUM('_Engine_R50'!D148:D150)</f>
        <v/>
      </c>
      <c r="AP11" s="459">
        <f>SUM('_Engine_R50'!D151:D153)</f>
        <v/>
      </c>
      <c r="AQ11" s="459">
        <f>SUM('_Engine_R50'!D154:D156)</f>
        <v/>
      </c>
      <c r="AR11" s="459">
        <f>SUM('_Engine_R50'!D157:D159)</f>
        <v/>
      </c>
      <c r="AS11" s="459">
        <f>SUM('_Engine_R50'!D160:D162)</f>
        <v/>
      </c>
      <c r="AT11" s="459">
        <f>SUM('_Engine_R50'!D163:D165)</f>
        <v/>
      </c>
      <c r="AU11" s="459">
        <f>SUM('_Engine_R50'!D166:D168)</f>
        <v/>
      </c>
      <c r="AV11" s="459">
        <f>SUM('_Engine_R50'!D169:D171)</f>
        <v/>
      </c>
      <c r="AW11" s="459">
        <f>SUM('_Engine_R50'!D172:D174)</f>
        <v/>
      </c>
      <c r="AX11" s="459">
        <f>SUM('_Engine_R50'!D175:D177)</f>
        <v/>
      </c>
      <c r="AY11" s="459">
        <f>SUM('_Engine_R50'!D178:D180)</f>
        <v/>
      </c>
      <c r="AZ11" s="459">
        <f>SUM('_Engine_R50'!D181:D183)</f>
        <v/>
      </c>
      <c r="BA11" s="459">
        <f>SUM('_Engine_R50'!D184:D186)</f>
        <v/>
      </c>
      <c r="BB11" s="459">
        <f>SUM('_Engine_R50'!D187:D189)</f>
        <v/>
      </c>
      <c r="BC11" s="459">
        <f>SUM('_Engine_R50'!D190:D192)</f>
        <v/>
      </c>
      <c r="BD11" s="459">
        <f>SUM('_Engine_R50'!D193:D195)</f>
        <v/>
      </c>
      <c r="BE11" s="459">
        <f>SUM('_Engine_R50'!D196:D198)</f>
        <v/>
      </c>
      <c r="BF11" s="459">
        <f>SUM('_Engine_R50'!D199:D201)</f>
        <v/>
      </c>
      <c r="BG11" s="459">
        <f>SUM('_Engine_R50'!D202:D204)</f>
        <v/>
      </c>
      <c r="BH11" s="459">
        <f>SUM('_Engine_R50'!D205:D207)</f>
        <v/>
      </c>
      <c r="BI11" s="459">
        <f>SUM('_Engine_R50'!D208:D210)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SUM('_Engine_R50'!E31:E33)</f>
        <v/>
      </c>
      <c r="C12" s="459">
        <f>SUM('_Engine_R50'!E34:E36)</f>
        <v/>
      </c>
      <c r="D12" s="459">
        <f>SUM('_Engine_R50'!E37:E39)</f>
        <v/>
      </c>
      <c r="E12" s="459">
        <f>SUM('_Engine_R50'!E40:E42)</f>
        <v/>
      </c>
      <c r="F12" s="459">
        <f>SUM('_Engine_R50'!E43:E45)</f>
        <v/>
      </c>
      <c r="G12" s="459">
        <f>SUM('_Engine_R50'!E46:E48)</f>
        <v/>
      </c>
      <c r="H12" s="459">
        <f>SUM('_Engine_R50'!E49:E51)</f>
        <v/>
      </c>
      <c r="I12" s="459">
        <f>SUM('_Engine_R50'!E52:E54)</f>
        <v/>
      </c>
      <c r="J12" s="459">
        <f>SUM('_Engine_R50'!E55:E57)</f>
        <v/>
      </c>
      <c r="K12" s="459">
        <f>SUM('_Engine_R50'!E58:E60)</f>
        <v/>
      </c>
      <c r="L12" s="459">
        <f>SUM('_Engine_R50'!E61:E63)</f>
        <v/>
      </c>
      <c r="M12" s="459">
        <f>SUM('_Engine_R50'!E64:E66)</f>
        <v/>
      </c>
      <c r="N12" s="459">
        <f>SUM('_Engine_R50'!E67:E69)</f>
        <v/>
      </c>
      <c r="O12" s="459">
        <f>SUM('_Engine_R50'!E70:E72)</f>
        <v/>
      </c>
      <c r="P12" s="459">
        <f>SUM('_Engine_R50'!E73:E75)</f>
        <v/>
      </c>
      <c r="Q12" s="459">
        <f>SUM('_Engine_R50'!E76:E78)</f>
        <v/>
      </c>
      <c r="R12" s="459">
        <f>SUM('_Engine_R50'!E79:E81)</f>
        <v/>
      </c>
      <c r="S12" s="459">
        <f>SUM('_Engine_R50'!E82:E84)</f>
        <v/>
      </c>
      <c r="T12" s="459">
        <f>SUM('_Engine_R50'!E85:E87)</f>
        <v/>
      </c>
      <c r="U12" s="459">
        <f>SUM('_Engine_R50'!E88:E90)</f>
        <v/>
      </c>
      <c r="V12" s="459">
        <f>SUM('_Engine_R50'!E91:E93)</f>
        <v/>
      </c>
      <c r="W12" s="459">
        <f>SUM('_Engine_R50'!E94:E96)</f>
        <v/>
      </c>
      <c r="X12" s="459">
        <f>SUM('_Engine_R50'!E97:E99)</f>
        <v/>
      </c>
      <c r="Y12" s="459">
        <f>SUM('_Engine_R50'!E100:E102)</f>
        <v/>
      </c>
      <c r="Z12" s="459">
        <f>SUM('_Engine_R50'!E103:E105)</f>
        <v/>
      </c>
      <c r="AA12" s="459">
        <f>SUM('_Engine_R50'!E106:E108)</f>
        <v/>
      </c>
      <c r="AB12" s="459">
        <f>SUM('_Engine_R50'!E109:E111)</f>
        <v/>
      </c>
      <c r="AC12" s="459">
        <f>SUM('_Engine_R50'!E112:E114)</f>
        <v/>
      </c>
      <c r="AD12" s="459">
        <f>SUM('_Engine_R50'!E115:E117)</f>
        <v/>
      </c>
      <c r="AE12" s="459">
        <f>SUM('_Engine_R50'!E118:E120)</f>
        <v/>
      </c>
      <c r="AF12" s="459">
        <f>SUM('_Engine_R50'!E121:E123)</f>
        <v/>
      </c>
      <c r="AG12" s="459">
        <f>SUM('_Engine_R50'!E124:E126)</f>
        <v/>
      </c>
      <c r="AH12" s="459">
        <f>SUM('_Engine_R50'!E127:E129)</f>
        <v/>
      </c>
      <c r="AI12" s="459">
        <f>SUM('_Engine_R50'!E130:E132)</f>
        <v/>
      </c>
      <c r="AJ12" s="459">
        <f>SUM('_Engine_R50'!E133:E135)</f>
        <v/>
      </c>
      <c r="AK12" s="459">
        <f>SUM('_Engine_R50'!E136:E138)</f>
        <v/>
      </c>
      <c r="AL12" s="459">
        <f>SUM('_Engine_R50'!E139:E141)</f>
        <v/>
      </c>
      <c r="AM12" s="459">
        <f>SUM('_Engine_R50'!E142:E144)</f>
        <v/>
      </c>
      <c r="AN12" s="459">
        <f>SUM('_Engine_R50'!E145:E147)</f>
        <v/>
      </c>
      <c r="AO12" s="459">
        <f>SUM('_Engine_R50'!E148:E150)</f>
        <v/>
      </c>
      <c r="AP12" s="459">
        <f>SUM('_Engine_R50'!E151:E153)</f>
        <v/>
      </c>
      <c r="AQ12" s="459">
        <f>SUM('_Engine_R50'!E154:E156)</f>
        <v/>
      </c>
      <c r="AR12" s="459">
        <f>SUM('_Engine_R50'!E157:E159)</f>
        <v/>
      </c>
      <c r="AS12" s="459">
        <f>SUM('_Engine_R50'!E160:E162)</f>
        <v/>
      </c>
      <c r="AT12" s="459">
        <f>SUM('_Engine_R50'!E163:E165)</f>
        <v/>
      </c>
      <c r="AU12" s="459">
        <f>SUM('_Engine_R50'!E166:E168)</f>
        <v/>
      </c>
      <c r="AV12" s="459">
        <f>SUM('_Engine_R50'!E169:E171)</f>
        <v/>
      </c>
      <c r="AW12" s="459">
        <f>SUM('_Engine_R50'!E172:E174)</f>
        <v/>
      </c>
      <c r="AX12" s="459">
        <f>SUM('_Engine_R50'!E175:E177)</f>
        <v/>
      </c>
      <c r="AY12" s="459">
        <f>SUM('_Engine_R50'!E178:E180)</f>
        <v/>
      </c>
      <c r="AZ12" s="459">
        <f>SUM('_Engine_R50'!E181:E183)</f>
        <v/>
      </c>
      <c r="BA12" s="459">
        <f>SUM('_Engine_R50'!E184:E186)</f>
        <v/>
      </c>
      <c r="BB12" s="459">
        <f>SUM('_Engine_R50'!E187:E189)</f>
        <v/>
      </c>
      <c r="BC12" s="459">
        <f>SUM('_Engine_R50'!E190:E192)</f>
        <v/>
      </c>
      <c r="BD12" s="459">
        <f>SUM('_Engine_R50'!E193:E195)</f>
        <v/>
      </c>
      <c r="BE12" s="459">
        <f>SUM('_Engine_R50'!E196:E198)</f>
        <v/>
      </c>
      <c r="BF12" s="459">
        <f>SUM('_Engine_R50'!E199:E201)</f>
        <v/>
      </c>
      <c r="BG12" s="459">
        <f>SUM('_Engine_R50'!E202:E204)</f>
        <v/>
      </c>
      <c r="BH12" s="459">
        <f>SUM('_Engine_R50'!E205:E207)</f>
        <v/>
      </c>
      <c r="BI12" s="459">
        <f>SUM('_Engine_R50'!E208:E210)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SUM('_Engine_R50'!U31:U33)</f>
        <v/>
      </c>
      <c r="C13" s="459">
        <f>SUM('_Engine_R50'!U34:U36)</f>
        <v/>
      </c>
      <c r="D13" s="459">
        <f>SUM('_Engine_R50'!U37:U39)</f>
        <v/>
      </c>
      <c r="E13" s="459">
        <f>SUM('_Engine_R50'!U40:U42)</f>
        <v/>
      </c>
      <c r="F13" s="459">
        <f>SUM('_Engine_R50'!U43:U45)</f>
        <v/>
      </c>
      <c r="G13" s="459">
        <f>SUM('_Engine_R50'!U46:U48)</f>
        <v/>
      </c>
      <c r="H13" s="459">
        <f>SUM('_Engine_R50'!U49:U51)</f>
        <v/>
      </c>
      <c r="I13" s="459">
        <f>SUM('_Engine_R50'!U52:U54)</f>
        <v/>
      </c>
      <c r="J13" s="459">
        <f>SUM('_Engine_R50'!U55:U57)</f>
        <v/>
      </c>
      <c r="K13" s="459">
        <f>SUM('_Engine_R50'!U58:U60)</f>
        <v/>
      </c>
      <c r="L13" s="459">
        <f>SUM('_Engine_R50'!U61:U63)</f>
        <v/>
      </c>
      <c r="M13" s="459">
        <f>SUM('_Engine_R50'!U64:U66)</f>
        <v/>
      </c>
      <c r="N13" s="459">
        <f>SUM('_Engine_R50'!U67:U69)</f>
        <v/>
      </c>
      <c r="O13" s="459">
        <f>SUM('_Engine_R50'!U70:U72)</f>
        <v/>
      </c>
      <c r="P13" s="459">
        <f>SUM('_Engine_R50'!U73:U75)</f>
        <v/>
      </c>
      <c r="Q13" s="459">
        <f>SUM('_Engine_R50'!U76:U78)</f>
        <v/>
      </c>
      <c r="R13" s="459">
        <f>SUM('_Engine_R50'!U79:U81)</f>
        <v/>
      </c>
      <c r="S13" s="459">
        <f>SUM('_Engine_R50'!U82:U84)</f>
        <v/>
      </c>
      <c r="T13" s="459">
        <f>SUM('_Engine_R50'!U85:U87)</f>
        <v/>
      </c>
      <c r="U13" s="459">
        <f>SUM('_Engine_R50'!U88:U90)</f>
        <v/>
      </c>
      <c r="V13" s="459">
        <f>SUM('_Engine_R50'!U91:U93)</f>
        <v/>
      </c>
      <c r="W13" s="459">
        <f>SUM('_Engine_R50'!U94:U96)</f>
        <v/>
      </c>
      <c r="X13" s="459">
        <f>SUM('_Engine_R50'!U97:U99)</f>
        <v/>
      </c>
      <c r="Y13" s="459">
        <f>SUM('_Engine_R50'!U100:U102)</f>
        <v/>
      </c>
      <c r="Z13" s="459">
        <f>SUM('_Engine_R50'!U103:U105)</f>
        <v/>
      </c>
      <c r="AA13" s="459">
        <f>SUM('_Engine_R50'!U106:U108)</f>
        <v/>
      </c>
      <c r="AB13" s="459">
        <f>SUM('_Engine_R50'!U109:U111)</f>
        <v/>
      </c>
      <c r="AC13" s="459">
        <f>SUM('_Engine_R50'!U112:U114)</f>
        <v/>
      </c>
      <c r="AD13" s="459">
        <f>SUM('_Engine_R50'!U115:U117)</f>
        <v/>
      </c>
      <c r="AE13" s="459">
        <f>SUM('_Engine_R50'!U118:U120)</f>
        <v/>
      </c>
      <c r="AF13" s="459">
        <f>SUM('_Engine_R50'!U121:U123)</f>
        <v/>
      </c>
      <c r="AG13" s="459">
        <f>SUM('_Engine_R50'!U124:U126)</f>
        <v/>
      </c>
      <c r="AH13" s="459">
        <f>SUM('_Engine_R50'!U127:U129)</f>
        <v/>
      </c>
      <c r="AI13" s="459">
        <f>SUM('_Engine_R50'!U130:U132)</f>
        <v/>
      </c>
      <c r="AJ13" s="459">
        <f>SUM('_Engine_R50'!U133:U135)</f>
        <v/>
      </c>
      <c r="AK13" s="459">
        <f>SUM('_Engine_R50'!U136:U138)</f>
        <v/>
      </c>
      <c r="AL13" s="459">
        <f>SUM('_Engine_R50'!U139:U141)</f>
        <v/>
      </c>
      <c r="AM13" s="459">
        <f>SUM('_Engine_R50'!U142:U144)</f>
        <v/>
      </c>
      <c r="AN13" s="459">
        <f>SUM('_Engine_R50'!U145:U147)</f>
        <v/>
      </c>
      <c r="AO13" s="459">
        <f>SUM('_Engine_R50'!U148:U150)</f>
        <v/>
      </c>
      <c r="AP13" s="459">
        <f>SUM('_Engine_R50'!U151:U153)</f>
        <v/>
      </c>
      <c r="AQ13" s="459">
        <f>SUM('_Engine_R50'!U154:U156)</f>
        <v/>
      </c>
      <c r="AR13" s="459">
        <f>SUM('_Engine_R50'!U157:U159)</f>
        <v/>
      </c>
      <c r="AS13" s="459">
        <f>SUM('_Engine_R50'!U160:U162)</f>
        <v/>
      </c>
      <c r="AT13" s="459">
        <f>SUM('_Engine_R50'!U163:U165)</f>
        <v/>
      </c>
      <c r="AU13" s="459">
        <f>SUM('_Engine_R50'!U166:U168)</f>
        <v/>
      </c>
      <c r="AV13" s="459">
        <f>SUM('_Engine_R50'!U169:U171)</f>
        <v/>
      </c>
      <c r="AW13" s="459">
        <f>SUM('_Engine_R50'!U172:U174)</f>
        <v/>
      </c>
      <c r="AX13" s="459">
        <f>SUM('_Engine_R50'!U175:U177)</f>
        <v/>
      </c>
      <c r="AY13" s="459">
        <f>SUM('_Engine_R50'!U178:U180)</f>
        <v/>
      </c>
      <c r="AZ13" s="459">
        <f>SUM('_Engine_R50'!U181:U183)</f>
        <v/>
      </c>
      <c r="BA13" s="459">
        <f>SUM('_Engine_R50'!U184:U186)</f>
        <v/>
      </c>
      <c r="BB13" s="459">
        <f>SUM('_Engine_R50'!U187:U189)</f>
        <v/>
      </c>
      <c r="BC13" s="459">
        <f>SUM('_Engine_R50'!U190:U192)</f>
        <v/>
      </c>
      <c r="BD13" s="459">
        <f>SUM('_Engine_R50'!U193:U195)</f>
        <v/>
      </c>
      <c r="BE13" s="459">
        <f>SUM('_Engine_R50'!U196:U198)</f>
        <v/>
      </c>
      <c r="BF13" s="459">
        <f>SUM('_Engine_R50'!U199:U201)</f>
        <v/>
      </c>
      <c r="BG13" s="459">
        <f>SUM('_Engine_R50'!U202:U204)</f>
        <v/>
      </c>
      <c r="BH13" s="459">
        <f>SUM('_Engine_R50'!U205:U207)</f>
        <v/>
      </c>
      <c r="BI13" s="459">
        <f>SUM('_Engine_R50'!U208:U210)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SUM('_Engine_R50'!V31:V33)</f>
        <v/>
      </c>
      <c r="C16" s="466">
        <f>SUM('_Engine_R50'!V34:V36)</f>
        <v/>
      </c>
      <c r="D16" s="466">
        <f>SUM('_Engine_R50'!V37:V39)</f>
        <v/>
      </c>
      <c r="E16" s="466">
        <f>SUM('_Engine_R50'!V40:V42)</f>
        <v/>
      </c>
      <c r="F16" s="466">
        <f>SUM('_Engine_R50'!V43:V45)</f>
        <v/>
      </c>
      <c r="G16" s="466">
        <f>SUM('_Engine_R50'!V46:V48)</f>
        <v/>
      </c>
      <c r="H16" s="466">
        <f>SUM('_Engine_R50'!V49:V51)</f>
        <v/>
      </c>
      <c r="I16" s="466">
        <f>SUM('_Engine_R50'!V52:V54)</f>
        <v/>
      </c>
      <c r="J16" s="466">
        <f>SUM('_Engine_R50'!V55:V57)</f>
        <v/>
      </c>
      <c r="K16" s="466">
        <f>SUM('_Engine_R50'!V58:V60)</f>
        <v/>
      </c>
      <c r="L16" s="466">
        <f>SUM('_Engine_R50'!V61:V63)</f>
        <v/>
      </c>
      <c r="M16" s="466">
        <f>SUM('_Engine_R50'!V64:V66)</f>
        <v/>
      </c>
      <c r="N16" s="466">
        <f>SUM('_Engine_R50'!V67:V69)</f>
        <v/>
      </c>
      <c r="O16" s="466">
        <f>SUM('_Engine_R50'!V70:V72)</f>
        <v/>
      </c>
      <c r="P16" s="466">
        <f>SUM('_Engine_R50'!V73:V75)</f>
        <v/>
      </c>
      <c r="Q16" s="466">
        <f>SUM('_Engine_R50'!V76:V78)</f>
        <v/>
      </c>
      <c r="R16" s="466">
        <f>SUM('_Engine_R50'!V79:V81)</f>
        <v/>
      </c>
      <c r="S16" s="466">
        <f>SUM('_Engine_R50'!V82:V84)</f>
        <v/>
      </c>
      <c r="T16" s="466">
        <f>SUM('_Engine_R50'!V85:V87)</f>
        <v/>
      </c>
      <c r="U16" s="466">
        <f>SUM('_Engine_R50'!V88:V90)</f>
        <v/>
      </c>
      <c r="V16" s="466">
        <f>SUM('_Engine_R50'!V91:V93)</f>
        <v/>
      </c>
      <c r="W16" s="466">
        <f>SUM('_Engine_R50'!V94:V96)</f>
        <v/>
      </c>
      <c r="X16" s="466">
        <f>SUM('_Engine_R50'!V97:V99)</f>
        <v/>
      </c>
      <c r="Y16" s="466">
        <f>SUM('_Engine_R50'!V100:V102)</f>
        <v/>
      </c>
      <c r="Z16" s="466">
        <f>SUM('_Engine_R50'!V103:V105)</f>
        <v/>
      </c>
      <c r="AA16" s="466">
        <f>SUM('_Engine_R50'!V106:V108)</f>
        <v/>
      </c>
      <c r="AB16" s="466">
        <f>SUM('_Engine_R50'!V109:V111)</f>
        <v/>
      </c>
      <c r="AC16" s="466">
        <f>SUM('_Engine_R50'!V112:V114)</f>
        <v/>
      </c>
      <c r="AD16" s="466">
        <f>SUM('_Engine_R50'!V115:V117)</f>
        <v/>
      </c>
      <c r="AE16" s="466">
        <f>SUM('_Engine_R50'!V118:V120)</f>
        <v/>
      </c>
      <c r="AF16" s="466">
        <f>SUM('_Engine_R50'!V121:V123)</f>
        <v/>
      </c>
      <c r="AG16" s="466">
        <f>SUM('_Engine_R50'!V124:V126)</f>
        <v/>
      </c>
      <c r="AH16" s="466">
        <f>SUM('_Engine_R50'!V127:V129)</f>
        <v/>
      </c>
      <c r="AI16" s="466">
        <f>SUM('_Engine_R50'!V130:V132)</f>
        <v/>
      </c>
      <c r="AJ16" s="466">
        <f>SUM('_Engine_R50'!V133:V135)</f>
        <v/>
      </c>
      <c r="AK16" s="466">
        <f>SUM('_Engine_R50'!V136:V138)</f>
        <v/>
      </c>
      <c r="AL16" s="466">
        <f>SUM('_Engine_R50'!V139:V141)</f>
        <v/>
      </c>
      <c r="AM16" s="466">
        <f>SUM('_Engine_R50'!V142:V144)</f>
        <v/>
      </c>
      <c r="AN16" s="466">
        <f>SUM('_Engine_R50'!V145:V147)</f>
        <v/>
      </c>
      <c r="AO16" s="466">
        <f>SUM('_Engine_R50'!V148:V150)</f>
        <v/>
      </c>
      <c r="AP16" s="466">
        <f>SUM('_Engine_R50'!V151:V153)</f>
        <v/>
      </c>
      <c r="AQ16" s="466">
        <f>SUM('_Engine_R50'!V154:V156)</f>
        <v/>
      </c>
      <c r="AR16" s="466">
        <f>SUM('_Engine_R50'!V157:V159)</f>
        <v/>
      </c>
      <c r="AS16" s="466">
        <f>SUM('_Engine_R50'!V160:V162)</f>
        <v/>
      </c>
      <c r="AT16" s="466">
        <f>SUM('_Engine_R50'!V163:V165)</f>
        <v/>
      </c>
      <c r="AU16" s="466">
        <f>SUM('_Engine_R50'!V166:V168)</f>
        <v/>
      </c>
      <c r="AV16" s="466">
        <f>SUM('_Engine_R50'!V169:V171)</f>
        <v/>
      </c>
      <c r="AW16" s="466">
        <f>SUM('_Engine_R50'!V172:V174)</f>
        <v/>
      </c>
      <c r="AX16" s="466">
        <f>SUM('_Engine_R50'!V175:V177)</f>
        <v/>
      </c>
      <c r="AY16" s="466">
        <f>SUM('_Engine_R50'!V178:V180)</f>
        <v/>
      </c>
      <c r="AZ16" s="466">
        <f>SUM('_Engine_R50'!V181:V183)</f>
        <v/>
      </c>
      <c r="BA16" s="466">
        <f>SUM('_Engine_R50'!V184:V186)</f>
        <v/>
      </c>
      <c r="BB16" s="466">
        <f>SUM('_Engine_R50'!V187:V189)</f>
        <v/>
      </c>
      <c r="BC16" s="466">
        <f>SUM('_Engine_R50'!V190:V192)</f>
        <v/>
      </c>
      <c r="BD16" s="466">
        <f>SUM('_Engine_R50'!V193:V195)</f>
        <v/>
      </c>
      <c r="BE16" s="466">
        <f>SUM('_Engine_R50'!V196:V198)</f>
        <v/>
      </c>
      <c r="BF16" s="466">
        <f>SUM('_Engine_R50'!V199:V201)</f>
        <v/>
      </c>
      <c r="BG16" s="466">
        <f>SUM('_Engine_R50'!V202:V204)</f>
        <v/>
      </c>
      <c r="BH16" s="466">
        <f>SUM('_Engine_R50'!V205:V207)</f>
        <v/>
      </c>
      <c r="BI16" s="466">
        <f>SUM('_Engine_R50'!V208:V210)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SUM('_Engine_R50'!W31:W33)</f>
        <v/>
      </c>
      <c r="C17" s="459">
        <f>SUM('_Engine_R50'!W34:W36)</f>
        <v/>
      </c>
      <c r="D17" s="459">
        <f>SUM('_Engine_R50'!W37:W39)</f>
        <v/>
      </c>
      <c r="E17" s="459">
        <f>SUM('_Engine_R50'!W40:W42)</f>
        <v/>
      </c>
      <c r="F17" s="459">
        <f>SUM('_Engine_R50'!W43:W45)</f>
        <v/>
      </c>
      <c r="G17" s="459">
        <f>SUM('_Engine_R50'!W46:W48)</f>
        <v/>
      </c>
      <c r="H17" s="459">
        <f>SUM('_Engine_R50'!W49:W51)</f>
        <v/>
      </c>
      <c r="I17" s="459">
        <f>SUM('_Engine_R50'!W52:W54)</f>
        <v/>
      </c>
      <c r="J17" s="459">
        <f>SUM('_Engine_R50'!W55:W57)</f>
        <v/>
      </c>
      <c r="K17" s="459">
        <f>SUM('_Engine_R50'!W58:W60)</f>
        <v/>
      </c>
      <c r="L17" s="459">
        <f>SUM('_Engine_R50'!W61:W63)</f>
        <v/>
      </c>
      <c r="M17" s="459">
        <f>SUM('_Engine_R50'!W64:W66)</f>
        <v/>
      </c>
      <c r="N17" s="459">
        <f>SUM('_Engine_R50'!W67:W69)</f>
        <v/>
      </c>
      <c r="O17" s="459">
        <f>SUM('_Engine_R50'!W70:W72)</f>
        <v/>
      </c>
      <c r="P17" s="459">
        <f>SUM('_Engine_R50'!W73:W75)</f>
        <v/>
      </c>
      <c r="Q17" s="459">
        <f>SUM('_Engine_R50'!W76:W78)</f>
        <v/>
      </c>
      <c r="R17" s="459">
        <f>SUM('_Engine_R50'!W79:W81)</f>
        <v/>
      </c>
      <c r="S17" s="459">
        <f>SUM('_Engine_R50'!W82:W84)</f>
        <v/>
      </c>
      <c r="T17" s="459">
        <f>SUM('_Engine_R50'!W85:W87)</f>
        <v/>
      </c>
      <c r="U17" s="459">
        <f>SUM('_Engine_R50'!W88:W90)</f>
        <v/>
      </c>
      <c r="V17" s="459">
        <f>SUM('_Engine_R50'!W91:W93)</f>
        <v/>
      </c>
      <c r="W17" s="459">
        <f>SUM('_Engine_R50'!W94:W96)</f>
        <v/>
      </c>
      <c r="X17" s="459">
        <f>SUM('_Engine_R50'!W97:W99)</f>
        <v/>
      </c>
      <c r="Y17" s="459">
        <f>SUM('_Engine_R50'!W100:W102)</f>
        <v/>
      </c>
      <c r="Z17" s="459">
        <f>SUM('_Engine_R50'!W103:W105)</f>
        <v/>
      </c>
      <c r="AA17" s="459">
        <f>SUM('_Engine_R50'!W106:W108)</f>
        <v/>
      </c>
      <c r="AB17" s="459">
        <f>SUM('_Engine_R50'!W109:W111)</f>
        <v/>
      </c>
      <c r="AC17" s="459">
        <f>SUM('_Engine_R50'!W112:W114)</f>
        <v/>
      </c>
      <c r="AD17" s="459">
        <f>SUM('_Engine_R50'!W115:W117)</f>
        <v/>
      </c>
      <c r="AE17" s="459">
        <f>SUM('_Engine_R50'!W118:W120)</f>
        <v/>
      </c>
      <c r="AF17" s="459">
        <f>SUM('_Engine_R50'!W121:W123)</f>
        <v/>
      </c>
      <c r="AG17" s="459">
        <f>SUM('_Engine_R50'!W124:W126)</f>
        <v/>
      </c>
      <c r="AH17" s="459">
        <f>SUM('_Engine_R50'!W127:W129)</f>
        <v/>
      </c>
      <c r="AI17" s="459">
        <f>SUM('_Engine_R50'!W130:W132)</f>
        <v/>
      </c>
      <c r="AJ17" s="459">
        <f>SUM('_Engine_R50'!W133:W135)</f>
        <v/>
      </c>
      <c r="AK17" s="459">
        <f>SUM('_Engine_R50'!W136:W138)</f>
        <v/>
      </c>
      <c r="AL17" s="459">
        <f>SUM('_Engine_R50'!W139:W141)</f>
        <v/>
      </c>
      <c r="AM17" s="459">
        <f>SUM('_Engine_R50'!W142:W144)</f>
        <v/>
      </c>
      <c r="AN17" s="459">
        <f>SUM('_Engine_R50'!W145:W147)</f>
        <v/>
      </c>
      <c r="AO17" s="459">
        <f>SUM('_Engine_R50'!W148:W150)</f>
        <v/>
      </c>
      <c r="AP17" s="459">
        <f>SUM('_Engine_R50'!W151:W153)</f>
        <v/>
      </c>
      <c r="AQ17" s="459">
        <f>SUM('_Engine_R50'!W154:W156)</f>
        <v/>
      </c>
      <c r="AR17" s="459">
        <f>SUM('_Engine_R50'!W157:W159)</f>
        <v/>
      </c>
      <c r="AS17" s="459">
        <f>SUM('_Engine_R50'!W160:W162)</f>
        <v/>
      </c>
      <c r="AT17" s="459">
        <f>SUM('_Engine_R50'!W163:W165)</f>
        <v/>
      </c>
      <c r="AU17" s="459">
        <f>SUM('_Engine_R50'!W166:W168)</f>
        <v/>
      </c>
      <c r="AV17" s="459">
        <f>SUM('_Engine_R50'!W169:W171)</f>
        <v/>
      </c>
      <c r="AW17" s="459">
        <f>SUM('_Engine_R50'!W172:W174)</f>
        <v/>
      </c>
      <c r="AX17" s="459">
        <f>SUM('_Engine_R50'!W175:W177)</f>
        <v/>
      </c>
      <c r="AY17" s="459">
        <f>SUM('_Engine_R50'!W178:W180)</f>
        <v/>
      </c>
      <c r="AZ17" s="459">
        <f>SUM('_Engine_R50'!W181:W183)</f>
        <v/>
      </c>
      <c r="BA17" s="459">
        <f>SUM('_Engine_R50'!W184:W186)</f>
        <v/>
      </c>
      <c r="BB17" s="459">
        <f>SUM('_Engine_R50'!W187:W189)</f>
        <v/>
      </c>
      <c r="BC17" s="459">
        <f>SUM('_Engine_R50'!W190:W192)</f>
        <v/>
      </c>
      <c r="BD17" s="459">
        <f>SUM('_Engine_R50'!W193:W195)</f>
        <v/>
      </c>
      <c r="BE17" s="459">
        <f>SUM('_Engine_R50'!W196:W198)</f>
        <v/>
      </c>
      <c r="BF17" s="459">
        <f>SUM('_Engine_R50'!W199:W201)</f>
        <v/>
      </c>
      <c r="BG17" s="459">
        <f>SUM('_Engine_R50'!W202:W204)</f>
        <v/>
      </c>
      <c r="BH17" s="459">
        <f>SUM('_Engine_R50'!W205:W207)</f>
        <v/>
      </c>
      <c r="BI17" s="459">
        <f>SUM('_Engine_R50'!W208:W210)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SUM('_Engine_R50'!C31:C33)</f>
        <v/>
      </c>
      <c r="C20" s="459">
        <f>SUM('_Engine_R50'!C34:C36)</f>
        <v/>
      </c>
      <c r="D20" s="459">
        <f>SUM('_Engine_R50'!C37:C39)</f>
        <v/>
      </c>
      <c r="E20" s="459">
        <f>SUM('_Engine_R50'!C40:C42)</f>
        <v/>
      </c>
      <c r="F20" s="459">
        <f>SUM('_Engine_R50'!C43:C45)</f>
        <v/>
      </c>
      <c r="G20" s="459">
        <f>SUM('_Engine_R50'!C46:C48)</f>
        <v/>
      </c>
      <c r="H20" s="459">
        <f>SUM('_Engine_R50'!C49:C51)</f>
        <v/>
      </c>
      <c r="I20" s="459">
        <f>SUM('_Engine_R50'!C52:C54)</f>
        <v/>
      </c>
      <c r="J20" s="459">
        <f>SUM('_Engine_R50'!C55:C57)</f>
        <v/>
      </c>
      <c r="K20" s="459">
        <f>SUM('_Engine_R50'!C58:C60)</f>
        <v/>
      </c>
      <c r="L20" s="459">
        <f>SUM('_Engine_R50'!C61:C63)</f>
        <v/>
      </c>
      <c r="M20" s="459">
        <f>SUM('_Engine_R50'!C64:C66)</f>
        <v/>
      </c>
      <c r="N20" s="459">
        <f>SUM('_Engine_R50'!C67:C69)</f>
        <v/>
      </c>
      <c r="O20" s="459">
        <f>SUM('_Engine_R50'!C70:C72)</f>
        <v/>
      </c>
      <c r="P20" s="459">
        <f>SUM('_Engine_R50'!C73:C75)</f>
        <v/>
      </c>
      <c r="Q20" s="459">
        <f>SUM('_Engine_R50'!C76:C78)</f>
        <v/>
      </c>
      <c r="R20" s="459">
        <f>SUM('_Engine_R50'!C79:C81)</f>
        <v/>
      </c>
      <c r="S20" s="459">
        <f>SUM('_Engine_R50'!C82:C84)</f>
        <v/>
      </c>
      <c r="T20" s="459">
        <f>SUM('_Engine_R50'!C85:C87)</f>
        <v/>
      </c>
      <c r="U20" s="459">
        <f>SUM('_Engine_R50'!C88:C90)</f>
        <v/>
      </c>
      <c r="V20" s="459">
        <f>SUM('_Engine_R50'!C91:C93)</f>
        <v/>
      </c>
      <c r="W20" s="459">
        <f>SUM('_Engine_R50'!C94:C96)</f>
        <v/>
      </c>
      <c r="X20" s="459">
        <f>SUM('_Engine_R50'!C97:C99)</f>
        <v/>
      </c>
      <c r="Y20" s="459">
        <f>SUM('_Engine_R50'!C100:C102)</f>
        <v/>
      </c>
      <c r="Z20" s="459">
        <f>SUM('_Engine_R50'!C103:C105)</f>
        <v/>
      </c>
      <c r="AA20" s="459">
        <f>SUM('_Engine_R50'!C106:C108)</f>
        <v/>
      </c>
      <c r="AB20" s="459">
        <f>SUM('_Engine_R50'!C109:C111)</f>
        <v/>
      </c>
      <c r="AC20" s="459">
        <f>SUM('_Engine_R50'!C112:C114)</f>
        <v/>
      </c>
      <c r="AD20" s="459">
        <f>SUM('_Engine_R50'!C115:C117)</f>
        <v/>
      </c>
      <c r="AE20" s="459">
        <f>SUM('_Engine_R50'!C118:C120)</f>
        <v/>
      </c>
      <c r="AF20" s="459">
        <f>SUM('_Engine_R50'!C121:C123)</f>
        <v/>
      </c>
      <c r="AG20" s="459">
        <f>SUM('_Engine_R50'!C124:C126)</f>
        <v/>
      </c>
      <c r="AH20" s="459">
        <f>SUM('_Engine_R50'!C127:C129)</f>
        <v/>
      </c>
      <c r="AI20" s="459">
        <f>SUM('_Engine_R50'!C130:C132)</f>
        <v/>
      </c>
      <c r="AJ20" s="459">
        <f>SUM('_Engine_R50'!C133:C135)</f>
        <v/>
      </c>
      <c r="AK20" s="459">
        <f>SUM('_Engine_R50'!C136:C138)</f>
        <v/>
      </c>
      <c r="AL20" s="459">
        <f>SUM('_Engine_R50'!C139:C141)</f>
        <v/>
      </c>
      <c r="AM20" s="459">
        <f>SUM('_Engine_R50'!C142:C144)</f>
        <v/>
      </c>
      <c r="AN20" s="459">
        <f>SUM('_Engine_R50'!C145:C147)</f>
        <v/>
      </c>
      <c r="AO20" s="459">
        <f>SUM('_Engine_R50'!C148:C150)</f>
        <v/>
      </c>
      <c r="AP20" s="459">
        <f>SUM('_Engine_R50'!C151:C153)</f>
        <v/>
      </c>
      <c r="AQ20" s="459">
        <f>SUM('_Engine_R50'!C154:C156)</f>
        <v/>
      </c>
      <c r="AR20" s="459">
        <f>SUM('_Engine_R50'!C157:C159)</f>
        <v/>
      </c>
      <c r="AS20" s="459">
        <f>SUM('_Engine_R50'!C160:C162)</f>
        <v/>
      </c>
      <c r="AT20" s="459">
        <f>SUM('_Engine_R50'!C163:C165)</f>
        <v/>
      </c>
      <c r="AU20" s="459">
        <f>SUM('_Engine_R50'!C166:C168)</f>
        <v/>
      </c>
      <c r="AV20" s="459">
        <f>SUM('_Engine_R50'!C169:C171)</f>
        <v/>
      </c>
      <c r="AW20" s="459">
        <f>SUM('_Engine_R50'!C172:C174)</f>
        <v/>
      </c>
      <c r="AX20" s="459">
        <f>SUM('_Engine_R50'!C175:C177)</f>
        <v/>
      </c>
      <c r="AY20" s="459">
        <f>SUM('_Engine_R50'!C178:C180)</f>
        <v/>
      </c>
      <c r="AZ20" s="459">
        <f>SUM('_Engine_R50'!C181:C183)</f>
        <v/>
      </c>
      <c r="BA20" s="459">
        <f>SUM('_Engine_R50'!C184:C186)</f>
        <v/>
      </c>
      <c r="BB20" s="459">
        <f>SUM('_Engine_R50'!C187:C189)</f>
        <v/>
      </c>
      <c r="BC20" s="459">
        <f>SUM('_Engine_R50'!C190:C192)</f>
        <v/>
      </c>
      <c r="BD20" s="459">
        <f>SUM('_Engine_R50'!C193:C195)</f>
        <v/>
      </c>
      <c r="BE20" s="459">
        <f>SUM('_Engine_R50'!C196:C198)</f>
        <v/>
      </c>
      <c r="BF20" s="459">
        <f>SUM('_Engine_R50'!C199:C201)</f>
        <v/>
      </c>
      <c r="BG20" s="459">
        <f>SUM('_Engine_R50'!C202:C204)</f>
        <v/>
      </c>
      <c r="BH20" s="459">
        <f>SUM('_Engine_R50'!C205:C207)</f>
        <v/>
      </c>
      <c r="BI20" s="459">
        <f>SUM('_Engine_R50'!C208:C210)</f>
        <v/>
      </c>
      <c r="BJ20" s="306" t="n"/>
    </row>
    <row r="21" ht="15" customHeight="1" s="307">
      <c r="A21" s="321" t="inlineStr">
        <is>
          <t xml:space="preserve">    Retained (50%)</t>
        </is>
      </c>
      <c r="B21" s="459">
        <f>B18-B20</f>
        <v/>
      </c>
      <c r="C21" s="459">
        <f>C18-C20</f>
        <v/>
      </c>
      <c r="D21" s="459">
        <f>D18-D20</f>
        <v/>
      </c>
      <c r="E21" s="459">
        <f>E18-E20</f>
        <v/>
      </c>
      <c r="F21" s="459">
        <f>F18-F20</f>
        <v/>
      </c>
      <c r="G21" s="459">
        <f>G18-G20</f>
        <v/>
      </c>
      <c r="H21" s="459">
        <f>H18-H20</f>
        <v/>
      </c>
      <c r="I21" s="459">
        <f>I18-I20</f>
        <v/>
      </c>
      <c r="J21" s="459">
        <f>J18-J20</f>
        <v/>
      </c>
      <c r="K21" s="459">
        <f>K18-K20</f>
        <v/>
      </c>
      <c r="L21" s="459">
        <f>L18-L20</f>
        <v/>
      </c>
      <c r="M21" s="459">
        <f>M18-M20</f>
        <v/>
      </c>
      <c r="N21" s="459">
        <f>N18-N20</f>
        <v/>
      </c>
      <c r="O21" s="459">
        <f>O18-O20</f>
        <v/>
      </c>
      <c r="P21" s="459">
        <f>P18-P20</f>
        <v/>
      </c>
      <c r="Q21" s="459">
        <f>Q18-Q20</f>
        <v/>
      </c>
      <c r="R21" s="459">
        <f>R18-R20</f>
        <v/>
      </c>
      <c r="S21" s="459">
        <f>S18-S20</f>
        <v/>
      </c>
      <c r="T21" s="459">
        <f>T18-T20</f>
        <v/>
      </c>
      <c r="U21" s="459">
        <f>U18-U20</f>
        <v/>
      </c>
      <c r="V21" s="459">
        <f>V18-V20</f>
        <v/>
      </c>
      <c r="W21" s="459">
        <f>W18-W20</f>
        <v/>
      </c>
      <c r="X21" s="459">
        <f>X18-X20</f>
        <v/>
      </c>
      <c r="Y21" s="459">
        <f>Y18-Y20</f>
        <v/>
      </c>
      <c r="Z21" s="459">
        <f>Z18-Z20</f>
        <v/>
      </c>
      <c r="AA21" s="459">
        <f>AA18-AA20</f>
        <v/>
      </c>
      <c r="AB21" s="459">
        <f>AB18-AB20</f>
        <v/>
      </c>
      <c r="AC21" s="459">
        <f>AC18-AC20</f>
        <v/>
      </c>
      <c r="AD21" s="459">
        <f>AD18-AD20</f>
        <v/>
      </c>
      <c r="AE21" s="459">
        <f>AE18-AE20</f>
        <v/>
      </c>
      <c r="AF21" s="459">
        <f>AF18-AF20</f>
        <v/>
      </c>
      <c r="AG21" s="459">
        <f>AG18-AG20</f>
        <v/>
      </c>
      <c r="AH21" s="459">
        <f>AH18-AH20</f>
        <v/>
      </c>
      <c r="AI21" s="459">
        <f>AI18-AI20</f>
        <v/>
      </c>
      <c r="AJ21" s="459">
        <f>AJ18-AJ20</f>
        <v/>
      </c>
      <c r="AK21" s="459">
        <f>AK18-AK20</f>
        <v/>
      </c>
      <c r="AL21" s="459">
        <f>AL18-AL20</f>
        <v/>
      </c>
      <c r="AM21" s="459">
        <f>AM18-AM20</f>
        <v/>
      </c>
      <c r="AN21" s="459">
        <f>AN18-AN20</f>
        <v/>
      </c>
      <c r="AO21" s="459">
        <f>AO18-AO20</f>
        <v/>
      </c>
      <c r="AP21" s="459">
        <f>AP18-AP20</f>
        <v/>
      </c>
      <c r="AQ21" s="459">
        <f>AQ18-AQ20</f>
        <v/>
      </c>
      <c r="AR21" s="459">
        <f>AR18-AR20</f>
        <v/>
      </c>
      <c r="AS21" s="459">
        <f>AS18-AS20</f>
        <v/>
      </c>
      <c r="AT21" s="459">
        <f>AT18-AT20</f>
        <v/>
      </c>
      <c r="AU21" s="459">
        <f>AU18-AU20</f>
        <v/>
      </c>
      <c r="AV21" s="459">
        <f>AV18-AV20</f>
        <v/>
      </c>
      <c r="AW21" s="459">
        <f>AW18-AW20</f>
        <v/>
      </c>
      <c r="AX21" s="459">
        <f>AX18-AX20</f>
        <v/>
      </c>
      <c r="AY21" s="459">
        <f>AY18-AY20</f>
        <v/>
      </c>
      <c r="AZ21" s="459">
        <f>AZ18-AZ20</f>
        <v/>
      </c>
      <c r="BA21" s="459">
        <f>BA18-BA20</f>
        <v/>
      </c>
      <c r="BB21" s="459">
        <f>BB18-BB20</f>
        <v/>
      </c>
      <c r="BC21" s="459">
        <f>BC18-BC20</f>
        <v/>
      </c>
      <c r="BD21" s="459">
        <f>BD18-BD20</f>
        <v/>
      </c>
      <c r="BE21" s="459">
        <f>BE18-BE20</f>
        <v/>
      </c>
      <c r="BF21" s="459">
        <f>BF18-BF20</f>
        <v/>
      </c>
      <c r="BG21" s="459">
        <f>BG18-BG20</f>
        <v/>
      </c>
      <c r="BH21" s="459">
        <f>BH18-BH20</f>
        <v/>
      </c>
      <c r="BI21" s="459">
        <f>BI18-BI20</f>
        <v/>
      </c>
      <c r="BJ21" s="306" t="n"/>
    </row>
    <row r="22" ht="15" customHeight="1" s="307">
      <c r="A22" s="322" t="inlineStr">
        <is>
          <t>Distributable Cash</t>
        </is>
      </c>
      <c r="B22" s="462">
        <f>B21</f>
        <v/>
      </c>
      <c r="C22" s="462">
        <f>B22+C21</f>
        <v/>
      </c>
      <c r="D22" s="462">
        <f>C22+D21</f>
        <v/>
      </c>
      <c r="E22" s="462">
        <f>D22+E21</f>
        <v/>
      </c>
      <c r="F22" s="462">
        <f>E22+F21</f>
        <v/>
      </c>
      <c r="G22" s="462">
        <f>F22+G21</f>
        <v/>
      </c>
      <c r="H22" s="462">
        <f>G22+H21</f>
        <v/>
      </c>
      <c r="I22" s="462">
        <f>H22+I21</f>
        <v/>
      </c>
      <c r="J22" s="462">
        <f>I22+J21</f>
        <v/>
      </c>
      <c r="K22" s="462">
        <f>J22+K21</f>
        <v/>
      </c>
      <c r="L22" s="462">
        <f>K22+L21</f>
        <v/>
      </c>
      <c r="M22" s="462">
        <f>L22+M21</f>
        <v/>
      </c>
      <c r="N22" s="462">
        <f>M22+N21</f>
        <v/>
      </c>
      <c r="O22" s="462">
        <f>N22+O21</f>
        <v/>
      </c>
      <c r="P22" s="462">
        <f>O22+P21</f>
        <v/>
      </c>
      <c r="Q22" s="462">
        <f>P22+Q21</f>
        <v/>
      </c>
      <c r="R22" s="462">
        <f>Q22+R21</f>
        <v/>
      </c>
      <c r="S22" s="462">
        <f>R22+S21</f>
        <v/>
      </c>
      <c r="T22" s="462">
        <f>S22+T21</f>
        <v/>
      </c>
      <c r="U22" s="462">
        <f>T22+U21</f>
        <v/>
      </c>
      <c r="V22" s="462">
        <f>U22+V21</f>
        <v/>
      </c>
      <c r="W22" s="462">
        <f>V22+W21</f>
        <v/>
      </c>
      <c r="X22" s="462">
        <f>W22+X21</f>
        <v/>
      </c>
      <c r="Y22" s="462">
        <f>X22+Y21</f>
        <v/>
      </c>
      <c r="Z22" s="462">
        <f>Y22+Z21</f>
        <v/>
      </c>
      <c r="AA22" s="462">
        <f>Z22+AA21</f>
        <v/>
      </c>
      <c r="AB22" s="462">
        <f>AA22+AB21</f>
        <v/>
      </c>
      <c r="AC22" s="462">
        <f>AB22+AC21</f>
        <v/>
      </c>
      <c r="AD22" s="462">
        <f>AC22+AD21</f>
        <v/>
      </c>
      <c r="AE22" s="462">
        <f>AD22+AE21</f>
        <v/>
      </c>
      <c r="AF22" s="462">
        <f>AE22+AF21</f>
        <v/>
      </c>
      <c r="AG22" s="462">
        <f>AF22+AG21</f>
        <v/>
      </c>
      <c r="AH22" s="462">
        <f>AG22+AH21</f>
        <v/>
      </c>
      <c r="AI22" s="462">
        <f>AH22+AI21</f>
        <v/>
      </c>
      <c r="AJ22" s="462">
        <f>AI22+AJ21</f>
        <v/>
      </c>
      <c r="AK22" s="462">
        <f>AJ22+AK21</f>
        <v/>
      </c>
      <c r="AL22" s="462">
        <f>AK22+AL21</f>
        <v/>
      </c>
      <c r="AM22" s="462">
        <f>AL22+AM21</f>
        <v/>
      </c>
      <c r="AN22" s="462">
        <f>AM22+AN21</f>
        <v/>
      </c>
      <c r="AO22" s="462">
        <f>AN22+AO21</f>
        <v/>
      </c>
      <c r="AP22" s="462">
        <f>AO22+AP21</f>
        <v/>
      </c>
      <c r="AQ22" s="462">
        <f>AP22+AQ21</f>
        <v/>
      </c>
      <c r="AR22" s="462">
        <f>AQ22+AR21</f>
        <v/>
      </c>
      <c r="AS22" s="462">
        <f>AR22+AS21</f>
        <v/>
      </c>
      <c r="AT22" s="462">
        <f>AS22+AT21</f>
        <v/>
      </c>
      <c r="AU22" s="462">
        <f>AT22+AU21</f>
        <v/>
      </c>
      <c r="AV22" s="462">
        <f>AU22+AV21</f>
        <v/>
      </c>
      <c r="AW22" s="462">
        <f>AV22+AW21</f>
        <v/>
      </c>
      <c r="AX22" s="462">
        <f>AW22+AX21</f>
        <v/>
      </c>
      <c r="AY22" s="462">
        <f>AX22+AY21</f>
        <v/>
      </c>
      <c r="AZ22" s="462">
        <f>AY22+AZ21</f>
        <v/>
      </c>
      <c r="BA22" s="462">
        <f>AZ22+BA21</f>
        <v/>
      </c>
      <c r="BB22" s="462">
        <f>BA22+BB21</f>
        <v/>
      </c>
      <c r="BC22" s="462">
        <f>BB22+BC21</f>
        <v/>
      </c>
      <c r="BD22" s="462">
        <f>BC22+BD21</f>
        <v/>
      </c>
      <c r="BE22" s="462">
        <f>BD22+BE21</f>
        <v/>
      </c>
      <c r="BF22" s="462">
        <f>BE22+BF21</f>
        <v/>
      </c>
      <c r="BG22" s="462">
        <f>BF22+BG21</f>
        <v/>
      </c>
      <c r="BH22" s="462">
        <f>BG22+BH21</f>
        <v/>
      </c>
      <c r="BI22" s="462">
        <f>BH22+BI21</f>
        <v/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(8 deals)</t>
        </is>
      </c>
      <c r="D3" s="502" t="inlineStr">
        <is>
          <t>100% Recycle
(10 deals)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682">
        <f>" PER-DEAL BREAKDOWN  |  Net Margin per Tab 1 (B26) = " &amp; TEXT('1. Press Assumptions'!$B$26,"0.0%")</f>
        <v/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>
        <f>'1. Press Assumptions'!$D$89</f>
        <v/>
      </c>
      <c r="E6" s="530">
        <f>'1. Press Assumptions'!$E$89</f>
        <v/>
      </c>
      <c r="F6" s="531">
        <f>'1. Press Assumptions'!$D$89*'1. Press Assumptions'!$E$89</f>
        <v/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>
        <f>'1. Press Assumptions'!$D$90</f>
        <v/>
      </c>
      <c r="E7" s="524">
        <f>'1. Press Assumptions'!$E$90</f>
        <v/>
      </c>
      <c r="F7" s="537">
        <f>'1. Press Assumptions'!$D$90*'1. Press Assumptions'!$E$90</f>
        <v/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>
        <f>'1. Press Assumptions'!$D$91</f>
        <v/>
      </c>
      <c r="E8" s="530">
        <f>'1. Press Assumptions'!$E$91</f>
        <v/>
      </c>
      <c r="F8" s="531">
        <f>'1. Press Assumptions'!$D$91*'1. Press Assumptions'!$E$91</f>
        <v/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>
        <f>'1. Press Assumptions'!$D$92</f>
        <v/>
      </c>
      <c r="E9" s="545">
        <f>'1. Press Assumptions'!$E$92</f>
        <v/>
      </c>
      <c r="F9" s="546">
        <f>'1. Press Assumptions'!$D$92*'1. Press Assumptions'!$E$92</f>
        <v/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>
        <f>'1. Press Assumptions'!$D$93</f>
        <v/>
      </c>
      <c r="E10" s="545">
        <f>'1. Press Assumptions'!$E$93</f>
        <v/>
      </c>
      <c r="F10" s="546">
        <f>'1. Press Assumptions'!$D$93*'1. Press Assumptions'!$E$93</f>
        <v/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>
        <f>'1. Press Assumptions'!$D$96</f>
        <v/>
      </c>
      <c r="E15" s="306">
        <f>'1. Press Assumptions'!$E$96</f>
        <v/>
      </c>
      <c r="F15" s="306">
        <f>'1. Press Assumptions'!$D$96*'1. Press Assumptions'!$E$96</f>
        <v/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>
        <f>'1. Press Assumptions'!$D$97</f>
        <v/>
      </c>
      <c r="E16" s="306">
        <f>'1. Press Assumptions'!$E$97</f>
        <v/>
      </c>
      <c r="F16" s="306">
        <f>'1. Press Assumptions'!$D$97*'1. Press Assumptions'!$E$97</f>
        <v/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>
        <f>'1. Press Assumptions'!$D$98</f>
        <v/>
      </c>
      <c r="E17" s="306">
        <f>'1. Press Assumptions'!$E$98</f>
        <v/>
      </c>
      <c r="F17" s="306">
        <f>'1. Press Assumptions'!$D$98*'1. Press Assumptions'!$E$98</f>
        <v/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>
        <f>'1. Press Assumptions'!$D$99</f>
        <v/>
      </c>
      <c r="E18" s="306">
        <f>'1. Press Assumptions'!$E$99</f>
        <v/>
      </c>
      <c r="F18" s="306">
        <f>'1. Press Assumptions'!$D$99*'1. Press Assumptions'!$E$99</f>
        <v/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D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Pulls from Tab 1 per-deal row and shows 15Y P&amp;L for that deal alone.</t>
        </is>
      </c>
    </row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</t>
        </is>
      </c>
      <c r="B7" s="306">
        <f>IF(B4&lt;=5, INDEX('1. Press Assumptions'!$H$89:$H$93, B4), INDEX('1. Press Assumptions'!$H$96:$H$99, B4-5))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19"/>
  </cols>
  <sheetData>
    <row r="1" ht="17.25" customHeight="1" s="307">
      <c r="A1" s="308" t="inlineStr">
        <is>
          <t>BID MODEL SENSITIVITY -- Single Deal Returns</t>
        </is>
      </c>
    </row>
    <row r="2" ht="15" customHeight="1" s="307">
      <c r="A2" s="310" t="inlineStr">
        <is>
          <t>Base: $24M ARR, 60% net margin, 15-year hold, no exit. All blue cells adjustable on Tab 1.</t>
        </is>
      </c>
    </row>
    <row r="4" ht="15" customHeight="1" s="307">
      <c r="A4" s="311" t="inlineStr">
        <is>
          <t>DEAL-LEVEL MOIC</t>
        </is>
      </c>
      <c r="B4" s="309" t="n"/>
      <c r="C4" s="309" t="n"/>
      <c r="D4" s="309" t="n"/>
      <c r="E4" s="309" t="n"/>
      <c r="F4" s="309" t="n"/>
      <c r="G4" s="309" t="n"/>
      <c r="H4" s="309" t="n"/>
    </row>
    <row r="5" ht="15" customHeight="1" s="307">
      <c r="A5" s="312" t="inlineStr">
        <is>
          <t>NDR \ Entry Multiple</t>
        </is>
      </c>
      <c r="B5" s="555" t="n">
        <v>0.75</v>
      </c>
      <c r="C5" s="555" t="n">
        <v>1</v>
      </c>
      <c r="D5" s="555" t="n">
        <v>1.1</v>
      </c>
      <c r="E5" s="555" t="n">
        <v>1.25</v>
      </c>
      <c r="F5" s="555" t="n">
        <v>1.5</v>
      </c>
      <c r="G5" s="555" t="n">
        <v>1.75</v>
      </c>
      <c r="H5" s="555" t="n">
        <v>2</v>
      </c>
    </row>
    <row r="6" ht="15" customHeight="1" s="307">
      <c r="A6" s="556" t="n">
        <v>0.7</v>
      </c>
      <c r="B6" s="557" t="n">
        <v>2.11176286820483</v>
      </c>
      <c r="C6" s="557" t="n">
        <v>1.58382215115362</v>
      </c>
      <c r="D6" s="557" t="n">
        <v>1.43983831923056</v>
      </c>
      <c r="E6" s="557" t="n">
        <v>1.2670577209229</v>
      </c>
      <c r="F6" s="557" t="n">
        <v>1.05588143410241</v>
      </c>
      <c r="G6" s="442" t="n">
        <v>0.90504122923064</v>
      </c>
      <c r="H6" s="442" t="n">
        <v>0.79191107557681</v>
      </c>
    </row>
    <row r="7" ht="15" customHeight="1" s="307">
      <c r="A7" s="556" t="n">
        <v>0.75</v>
      </c>
      <c r="B7" s="557" t="n">
        <v>2.62283847200681</v>
      </c>
      <c r="C7" s="557" t="n">
        <v>1.9671288540051</v>
      </c>
      <c r="D7" s="557" t="n">
        <v>1.78829895818646</v>
      </c>
      <c r="E7" s="557" t="n">
        <v>1.57370308320408</v>
      </c>
      <c r="F7" s="557" t="n">
        <v>1.3114192360034</v>
      </c>
      <c r="G7" s="557" t="n">
        <v>1.12407363086006</v>
      </c>
      <c r="H7" s="442" t="n">
        <v>0.983564427002552</v>
      </c>
    </row>
    <row r="8" ht="15" customHeight="1" s="307">
      <c r="A8" s="556" t="n">
        <v>0.8</v>
      </c>
      <c r="B8" s="440" t="n">
        <v>3.33738885794294</v>
      </c>
      <c r="C8" s="557" t="n">
        <v>2.50304164345721</v>
      </c>
      <c r="D8" s="557" t="n">
        <v>2.27549240314291</v>
      </c>
      <c r="E8" s="557" t="n">
        <v>2.00243331476577</v>
      </c>
      <c r="F8" s="557" t="n">
        <v>1.66869442897147</v>
      </c>
      <c r="G8" s="557" t="n">
        <v>1.43030951054698</v>
      </c>
      <c r="H8" s="557" t="n">
        <v>1.2515208217286</v>
      </c>
    </row>
    <row r="9" ht="15" customHeight="1" s="307">
      <c r="A9" s="556" t="n">
        <v>0.85</v>
      </c>
      <c r="B9" s="440" t="n">
        <v>4.36912558168472</v>
      </c>
      <c r="C9" s="440" t="n">
        <v>3.27684418626354</v>
      </c>
      <c r="D9" s="557" t="n">
        <v>2.97894926023958</v>
      </c>
      <c r="E9" s="558" t="n">
        <v>2.62147534901083</v>
      </c>
      <c r="F9" s="557" t="n">
        <v>2.18456279084236</v>
      </c>
      <c r="G9" s="557" t="n">
        <v>1.87248239215059</v>
      </c>
      <c r="H9" s="557" t="n">
        <v>1.63842209313177</v>
      </c>
    </row>
    <row r="10" ht="15" customHeight="1" s="307">
      <c r="A10" s="556" t="n">
        <v>0.9</v>
      </c>
      <c r="B10" s="440" t="n">
        <v>5.90229294373627</v>
      </c>
      <c r="C10" s="440" t="n">
        <v>4.42671970780221</v>
      </c>
      <c r="D10" s="440" t="n">
        <v>4.02429064345655</v>
      </c>
      <c r="E10" s="440" t="n">
        <v>3.54137576624176</v>
      </c>
      <c r="F10" s="557" t="n">
        <v>2.95114647186814</v>
      </c>
      <c r="G10" s="557" t="n">
        <v>2.52955411874412</v>
      </c>
      <c r="H10" s="557" t="n">
        <v>2.2133598539011</v>
      </c>
    </row>
    <row r="11" ht="15" customHeight="1" s="307">
      <c r="A11" s="556" t="n">
        <v>0.95</v>
      </c>
      <c r="B11" s="440" t="n">
        <v>8.23485795674339</v>
      </c>
      <c r="C11" s="440" t="n">
        <v>6.17614346755754</v>
      </c>
      <c r="D11" s="440" t="n">
        <v>5.61467587959776</v>
      </c>
      <c r="E11" s="440" t="n">
        <v>4.94091477404603</v>
      </c>
      <c r="F11" s="440" t="n">
        <v>4.11742897837169</v>
      </c>
      <c r="G11" s="440" t="n">
        <v>3.52922483860431</v>
      </c>
      <c r="H11" s="440" t="n">
        <v>3.08807173377877</v>
      </c>
    </row>
    <row r="12" ht="15" customHeight="1" s="307">
      <c r="A12" s="556" t="n">
        <v>1</v>
      </c>
      <c r="B12" s="440" t="n">
        <v>11.8461333333333</v>
      </c>
      <c r="C12" s="440" t="n">
        <v>8.884600000000001</v>
      </c>
      <c r="D12" s="440" t="n">
        <v>8.076909090909091</v>
      </c>
      <c r="E12" s="440" t="n">
        <v>7.10768</v>
      </c>
      <c r="F12" s="440" t="n">
        <v>5.92306666666667</v>
      </c>
      <c r="G12" s="440" t="n">
        <v>5.07691428571429</v>
      </c>
      <c r="H12" s="440" t="n">
        <v>4.4423</v>
      </c>
    </row>
    <row r="15" ht="15" customHeight="1" s="307">
      <c r="A15" s="311" t="inlineStr">
        <is>
          <t>DEAL-LEVEL IRR</t>
        </is>
      </c>
      <c r="B15" s="309" t="n"/>
      <c r="C15" s="309" t="n"/>
      <c r="D15" s="309" t="n"/>
      <c r="E15" s="309" t="n"/>
      <c r="F15" s="309" t="n"/>
      <c r="G15" s="309" t="n"/>
      <c r="H15" s="309" t="n"/>
    </row>
    <row r="16" ht="15" customHeight="1" s="307">
      <c r="A16" s="312" t="inlineStr">
        <is>
          <t>NDR \ Entry Multiple</t>
        </is>
      </c>
      <c r="B16" s="555" t="n">
        <v>0.75</v>
      </c>
      <c r="C16" s="555" t="n">
        <v>1</v>
      </c>
      <c r="D16" s="555" t="n">
        <v>1.1</v>
      </c>
      <c r="E16" s="555" t="n">
        <v>1.25</v>
      </c>
      <c r="F16" s="555" t="n">
        <v>1.5</v>
      </c>
      <c r="G16" s="555" t="n">
        <v>1.75</v>
      </c>
      <c r="H16" s="555" t="n">
        <v>2</v>
      </c>
    </row>
    <row r="17" ht="15" customHeight="1" s="307">
      <c r="A17" s="556" t="n">
        <v>0.7</v>
      </c>
      <c r="B17" s="559" t="n">
        <v>0.715107232005819</v>
      </c>
      <c r="C17" s="559" t="n">
        <v>0.294284085317356</v>
      </c>
      <c r="D17" s="560" t="n">
        <v>0.209625477854206</v>
      </c>
      <c r="E17" s="560" t="n">
        <v>0.11964174107067</v>
      </c>
      <c r="F17" s="560" t="n">
        <v>0.0234040686389115</v>
      </c>
      <c r="G17" s="561" t="n">
        <v>-0.0381413863540497</v>
      </c>
      <c r="H17" s="561" t="n">
        <v>-0.0813348951443931</v>
      </c>
    </row>
    <row r="18" ht="15" customHeight="1" s="307">
      <c r="A18" s="556" t="n">
        <v>0.75</v>
      </c>
      <c r="B18" s="559" t="n">
        <v>0.921878292954206</v>
      </c>
      <c r="C18" s="559" t="n">
        <v>0.423305625756277</v>
      </c>
      <c r="D18" s="559" t="n">
        <v>0.325275386940107</v>
      </c>
      <c r="E18" s="560" t="n">
        <v>0.221921993203705</v>
      </c>
      <c r="F18" s="560" t="n">
        <v>0.11238818022502</v>
      </c>
      <c r="G18" s="560" t="n">
        <v>0.0429228767511237</v>
      </c>
      <c r="H18" s="561" t="n">
        <v>-0.00553471790177018</v>
      </c>
    </row>
    <row r="19" ht="15" customHeight="1" s="307">
      <c r="A19" s="556" t="n">
        <v>0.8</v>
      </c>
      <c r="B19" s="559" t="n">
        <v>1.14596816118412</v>
      </c>
      <c r="C19" s="559" t="n">
        <v>0.558259992759498</v>
      </c>
      <c r="D19" s="559" t="n">
        <v>0.445420336602702</v>
      </c>
      <c r="E19" s="559" t="n">
        <v>0.32742424699472</v>
      </c>
      <c r="F19" s="560" t="n">
        <v>0.203500877760577</v>
      </c>
      <c r="G19" s="560" t="n">
        <v>0.125554112406268</v>
      </c>
      <c r="H19" s="560" t="n">
        <v>0.0715009968687407</v>
      </c>
    </row>
    <row r="20" ht="15" customHeight="1" s="307">
      <c r="A20" s="556" t="n">
        <v>0.85</v>
      </c>
      <c r="B20" s="559" t="n">
        <v>1.38936533970822</v>
      </c>
      <c r="C20" s="559" t="n">
        <v>0.69946067281447</v>
      </c>
      <c r="D20" s="559" t="n">
        <v>0.57024635381449</v>
      </c>
      <c r="E20" s="562" t="n">
        <v>0.436243533713976</v>
      </c>
      <c r="F20" s="559" t="n">
        <v>0.29677788936014</v>
      </c>
      <c r="G20" s="560" t="n">
        <v>0.209765331043524</v>
      </c>
      <c r="H20" s="560" t="n">
        <v>0.14977470436775</v>
      </c>
    </row>
    <row r="21" ht="15" customHeight="1" s="307">
      <c r="A21" s="556" t="n">
        <v>0.9</v>
      </c>
      <c r="B21" s="559" t="n">
        <v>1.65439225684279</v>
      </c>
      <c r="C21" s="559" t="n">
        <v>0.847249846267834</v>
      </c>
      <c r="D21" s="559" t="n">
        <v>0.699954700796305</v>
      </c>
      <c r="E21" s="559" t="n">
        <v>0.548482343075559</v>
      </c>
      <c r="F21" s="559" t="n">
        <v>0.392258543518732</v>
      </c>
      <c r="G21" s="559" t="n">
        <v>0.295572022363905</v>
      </c>
      <c r="H21" s="560" t="n">
        <v>0.229290886389679</v>
      </c>
    </row>
    <row r="22" ht="15" customHeight="1" s="307">
      <c r="A22" s="556" t="n">
        <v>0.95</v>
      </c>
      <c r="B22" s="559" t="n">
        <v>1.94377601323403</v>
      </c>
      <c r="C22" s="559" t="n">
        <v>1.00200080806274</v>
      </c>
      <c r="D22" s="559" t="n">
        <v>0.834762678682694</v>
      </c>
      <c r="E22" s="559" t="n">
        <v>0.664250682104001</v>
      </c>
      <c r="F22" s="559" t="n">
        <v>0.489985560186254</v>
      </c>
      <c r="G22" s="559" t="n">
        <v>0.382991905885215</v>
      </c>
      <c r="H22" s="559" t="n">
        <v>0.31005580206695</v>
      </c>
    </row>
    <row r="23" ht="15" customHeight="1" s="307">
      <c r="A23" s="556" t="n">
        <v>1</v>
      </c>
      <c r="B23" s="559" t="n">
        <v>2.26073836073997</v>
      </c>
      <c r="C23" s="559" t="n">
        <v>1.16412079983603</v>
      </c>
      <c r="D23" s="559" t="n">
        <v>0.9749046109471829</v>
      </c>
      <c r="E23" s="559" t="n">
        <v>0.7836662268446341</v>
      </c>
      <c r="F23" s="559" t="n">
        <v>0.590004905890665</v>
      </c>
      <c r="G23" s="559" t="n">
        <v>0.472044737287426</v>
      </c>
      <c r="H23" s="559" t="n">
        <v>0.392077289929049</v>
      </c>
    </row>
    <row r="26" ht="15" customHeight="1" s="307">
      <c r="A26" s="311" t="inlineStr">
        <is>
          <t>PURCHASE PRICE ($mm)</t>
        </is>
      </c>
      <c r="B26" s="309" t="n"/>
      <c r="C26" s="309" t="n"/>
      <c r="D26" s="309" t="n"/>
      <c r="E26" s="309" t="n"/>
      <c r="F26" s="309" t="n"/>
      <c r="G26" s="309" t="n"/>
      <c r="H26" s="309" t="n"/>
    </row>
    <row r="27" ht="15" customHeight="1" s="307">
      <c r="A27" s="312" t="inlineStr">
        <is>
          <t>Entry Multiple</t>
        </is>
      </c>
      <c r="B27" s="555" t="n">
        <v>0.75</v>
      </c>
      <c r="C27" s="555" t="n">
        <v>1</v>
      </c>
      <c r="D27" s="555" t="n">
        <v>1.1</v>
      </c>
      <c r="E27" s="555" t="n">
        <v>1.25</v>
      </c>
      <c r="F27" s="555" t="n">
        <v>1.5</v>
      </c>
      <c r="G27" s="555" t="n">
        <v>1.75</v>
      </c>
      <c r="H27" s="555" t="n">
        <v>2</v>
      </c>
    </row>
    <row r="28" ht="15" customHeight="1" s="307">
      <c r="A28" s="314" t="inlineStr">
        <is>
          <t>$24M ARR</t>
        </is>
      </c>
      <c r="B28" s="563" t="n">
        <v>18</v>
      </c>
      <c r="C28" s="563" t="n">
        <v>24</v>
      </c>
      <c r="D28" s="563" t="n">
        <v>26.4</v>
      </c>
      <c r="E28" s="564" t="n">
        <v>30</v>
      </c>
      <c r="F28" s="563" t="n">
        <v>36</v>
      </c>
      <c r="G28" s="563" t="n">
        <v>42</v>
      </c>
      <c r="H28" s="563" t="n">
        <v>48</v>
      </c>
    </row>
    <row r="30" ht="15" customHeight="1" s="307">
      <c r="A30" s="311" t="inlineStr">
        <is>
          <t>15-YEAR DEAL ECONOMICS BY NDR</t>
        </is>
      </c>
      <c r="B30" s="309" t="n"/>
      <c r="C30" s="309" t="n"/>
      <c r="D30" s="309" t="n"/>
      <c r="E30" s="309" t="n"/>
      <c r="F30" s="309" t="n"/>
      <c r="G30" s="309" t="n"/>
      <c r="H30" s="309" t="n"/>
    </row>
    <row r="31" ht="15" customHeight="1" s="307">
      <c r="A31" s="312" t="n"/>
      <c r="B31" s="565" t="n">
        <v>0.7</v>
      </c>
      <c r="C31" s="565" t="n">
        <v>0.75</v>
      </c>
      <c r="D31" s="565" t="n">
        <v>0.8</v>
      </c>
      <c r="E31" s="565" t="n">
        <v>0.85</v>
      </c>
      <c r="F31" s="565" t="n">
        <v>0.9</v>
      </c>
      <c r="G31" s="565" t="n">
        <v>0.95</v>
      </c>
      <c r="H31" s="565" t="n">
        <v>1</v>
      </c>
    </row>
    <row r="32" ht="15" customHeight="1" s="307">
      <c r="A32" s="314" t="inlineStr">
        <is>
          <t>15Y Revenue ($mm)</t>
        </is>
      </c>
      <c r="B32" s="563" t="n">
        <v>67.9688860461448</v>
      </c>
      <c r="C32" s="563" t="n">
        <v>83.30115416020421</v>
      </c>
      <c r="D32" s="563" t="n">
        <v>104.737665738288</v>
      </c>
      <c r="E32" s="564" t="n">
        <v>135.689767450542</v>
      </c>
      <c r="F32" s="563" t="n">
        <v>181.684788312088</v>
      </c>
      <c r="G32" s="563" t="n">
        <v>251.661738702302</v>
      </c>
      <c r="H32" s="563" t="n">
        <v>360</v>
      </c>
    </row>
    <row r="33" ht="15" customHeight="1" s="307">
      <c r="A33" s="314" t="inlineStr">
        <is>
          <t>15Y NOI ($mm)</t>
        </is>
      </c>
      <c r="B33" s="563" t="n">
        <v>40.7813316276869</v>
      </c>
      <c r="C33" s="563" t="n">
        <v>49.9806924961225</v>
      </c>
      <c r="D33" s="563" t="n">
        <v>62.8425994429729</v>
      </c>
      <c r="E33" s="564" t="n">
        <v>81.41386047032491</v>
      </c>
      <c r="F33" s="563" t="n">
        <v>109.010872987253</v>
      </c>
      <c r="G33" s="563" t="n">
        <v>150.997043221381</v>
      </c>
      <c r="H33" s="563" t="n">
        <v>216</v>
      </c>
    </row>
    <row r="34" ht="15" customHeight="1" s="307">
      <c r="A34" s="314" t="inlineStr">
        <is>
          <t>15Y Cash ($mm)</t>
        </is>
      </c>
      <c r="B34" s="563" t="n">
        <v>38.0117316276869</v>
      </c>
      <c r="C34" s="563" t="n">
        <v>47.2110924961225</v>
      </c>
      <c r="D34" s="563" t="n">
        <v>60.0729994429729</v>
      </c>
      <c r="E34" s="564" t="n">
        <v>78.64426047032489</v>
      </c>
      <c r="F34" s="563" t="n">
        <v>106.241272987253</v>
      </c>
      <c r="G34" s="563" t="n">
        <v>148.227443221381</v>
      </c>
      <c r="H34" s="563" t="n">
        <v>213.2304</v>
      </c>
    </row>
    <row r="35" ht="15" customHeight="1" s="307">
      <c r="A35" s="314" t="inlineStr">
        <is>
          <t>MOIC (at 1.25x)</t>
        </is>
      </c>
      <c r="B35" s="557" t="n">
        <v>1.2670577209229</v>
      </c>
      <c r="C35" s="557" t="n">
        <v>1.57370308320408</v>
      </c>
      <c r="D35" s="557" t="n">
        <v>2.00243331476577</v>
      </c>
      <c r="E35" s="558" t="n">
        <v>2.62147534901083</v>
      </c>
      <c r="F35" s="440" t="n">
        <v>3.54137576624176</v>
      </c>
      <c r="G35" s="440" t="n">
        <v>4.94091477404603</v>
      </c>
      <c r="H35" s="440" t="n">
        <v>7.10768</v>
      </c>
    </row>
    <row r="36" ht="15" customHeight="1" s="307">
      <c r="A36" s="314" t="inlineStr">
        <is>
          <t>IRR (at 1.25x)</t>
        </is>
      </c>
      <c r="B36" s="560" t="n">
        <v>0.11964174107067</v>
      </c>
      <c r="C36" s="560" t="n">
        <v>0.221921993203705</v>
      </c>
      <c r="D36" s="559" t="n">
        <v>0.32742424699472</v>
      </c>
      <c r="E36" s="562" t="n">
        <v>0.436243533713976</v>
      </c>
      <c r="F36" s="559" t="n">
        <v>0.548482343075559</v>
      </c>
      <c r="G36" s="559" t="n">
        <v>0.664250682104001</v>
      </c>
      <c r="H36" s="559" t="n">
        <v>0.7836662268446341</v>
      </c>
    </row>
    <row r="39" ht="15" customHeight="1" s="307">
      <c r="A39" s="310" t="inlineStr">
        <is>
          <t>Green = target zone (3x+ MOIC, 25%+ IRR). Red = below water. Gold = base case.</t>
        </is>
      </c>
    </row>
    <row r="40" ht="15" customHeight="1" s="307">
      <c r="A40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2" customWidth="1" style="306" min="2" max="13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471" t="inlineStr">
        <is>
          <t>FUND I  --  10-YEAR SENSITIVITY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6" t="n"/>
      <c r="O1" s="306" t="n"/>
      <c r="P1" s="306" t="n"/>
      <c r="Q1" s="306" t="n"/>
      <c r="R1" s="306" t="n"/>
      <c r="S1" s="306" t="n"/>
    </row>
    <row r="2" ht="15" customHeight="1" s="307">
      <c r="A2" s="593" t="inlineStr">
        <is>
          <t>$150M fund. 5 deals @ $24M ARR (No Recycle). Joint sensitivity on NDR x margin cap.</t>
        </is>
      </c>
      <c r="N2" s="306" t="n"/>
      <c r="O2" s="306" t="n"/>
      <c r="P2" s="306" t="n"/>
      <c r="Q2" s="306" t="n"/>
      <c r="R2" s="306" t="n"/>
      <c r="S2" s="306" t="n"/>
    </row>
    <row r="3" ht="15" customHeight="1" s="307">
      <c r="N3" s="306" t="n"/>
      <c r="O3" s="306" t="n"/>
      <c r="P3" s="306" t="n"/>
      <c r="Q3" s="306" t="n"/>
      <c r="R3" s="306" t="n"/>
      <c r="S3" s="306" t="n"/>
    </row>
    <row r="4" ht="15" customHeight="1" s="307">
      <c r="A4" s="325" t="inlineStr">
        <is>
          <t>10-YEAR DPI (LP MOIC)</t>
        </is>
      </c>
      <c r="B4" s="391" t="n"/>
      <c r="C4" s="391" t="n"/>
      <c r="D4" s="391" t="n"/>
      <c r="E4" s="391" t="n"/>
      <c r="F4" s="391" t="n"/>
      <c r="G4" s="391" t="n"/>
      <c r="H4" s="309" t="n"/>
      <c r="I4" s="309" t="n"/>
      <c r="J4" s="309" t="n"/>
      <c r="K4" s="309" t="n"/>
      <c r="L4" s="309" t="n"/>
      <c r="M4" s="309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72" t="inlineStr">
        <is>
          <t>NDR</t>
        </is>
      </c>
      <c r="B5" s="391" t="inlineStr">
        <is>
          <t>No Recycle (5 deals)</t>
        </is>
      </c>
      <c r="C5" s="391" t="inlineStr">
        <is>
          <t>50% Recycle (8 deals)</t>
        </is>
      </c>
      <c r="D5" s="391" t="inlineStr">
        <is>
          <t>100% Recycle (10 deals)</t>
        </is>
      </c>
      <c r="E5" s="504" t="n"/>
      <c r="F5" s="504" t="n"/>
      <c r="G5" s="504" t="n"/>
      <c r="N5" s="306" t="n"/>
      <c r="O5" s="306" t="n"/>
      <c r="P5" s="306" t="n"/>
      <c r="Q5" s="306" t="n"/>
      <c r="R5" s="306" t="n"/>
      <c r="S5" s="306" t="n"/>
    </row>
    <row r="6" ht="15" customHeight="1" s="307">
      <c r="A6" s="504" t="n">
        <v>0.8</v>
      </c>
      <c r="B6" s="358" t="n">
        <v>1.68633848020181</v>
      </c>
      <c r="C6" s="358" t="n">
        <v>2.30892629835148</v>
      </c>
      <c r="D6" s="358" t="n">
        <v>2.4658779994432</v>
      </c>
      <c r="E6" s="358" t="n"/>
      <c r="F6" s="358" t="n"/>
      <c r="G6" s="358" t="n"/>
      <c r="N6" s="306" t="n"/>
      <c r="O6" s="306" t="n"/>
      <c r="P6" s="306" t="n"/>
      <c r="Q6" s="306" t="n"/>
      <c r="R6" s="306" t="n"/>
      <c r="S6" s="306" t="n"/>
    </row>
    <row r="7" ht="15" customHeight="1" s="307">
      <c r="A7" s="504" t="n">
        <v>0.85</v>
      </c>
      <c r="B7" s="503" t="n">
        <v>2.18833274175009</v>
      </c>
      <c r="C7" s="503" t="n">
        <v>2.91240153360391</v>
      </c>
      <c r="D7" s="503" t="n">
        <v>3.11978676007793</v>
      </c>
      <c r="E7" s="354" t="n"/>
      <c r="F7" s="354" t="n"/>
      <c r="G7" s="354" t="n"/>
      <c r="N7" s="306" t="n"/>
      <c r="O7" s="306" t="n"/>
      <c r="P7" s="306" t="n"/>
      <c r="Q7" s="306" t="n"/>
      <c r="R7" s="306" t="n"/>
      <c r="S7" s="306" t="n"/>
    </row>
    <row r="8" ht="15" customHeight="1" s="307">
      <c r="A8" s="504" t="n">
        <v>0.9</v>
      </c>
      <c r="B8" s="358" t="n">
        <v>2.76818894624679</v>
      </c>
      <c r="C8" s="358" t="n">
        <v>3.61787505473747</v>
      </c>
      <c r="D8" s="358" t="n">
        <v>3.91454308280685</v>
      </c>
      <c r="E8" s="349" t="n"/>
      <c r="F8" s="349" t="n"/>
      <c r="G8" s="349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504" t="n">
        <v>0.95</v>
      </c>
      <c r="B9" s="358" t="n">
        <v>3.44375884785125</v>
      </c>
      <c r="C9" s="358" t="n">
        <v>4.49361379479581</v>
      </c>
      <c r="D9" s="358" t="n">
        <v>4.93805539412873</v>
      </c>
      <c r="E9" s="354" t="n"/>
      <c r="F9" s="354" t="n"/>
      <c r="G9" s="354" t="n"/>
      <c r="N9" s="306" t="n"/>
      <c r="O9" s="306" t="n"/>
      <c r="P9" s="306" t="n"/>
      <c r="Q9" s="306" t="n"/>
      <c r="R9" s="306" t="n"/>
      <c r="S9" s="306" t="n"/>
    </row>
    <row r="10" ht="15" customHeight="1" s="307">
      <c r="A10" s="504" t="n">
        <v>1</v>
      </c>
      <c r="B10" s="566" t="n">
        <v>4.28843474444444</v>
      </c>
      <c r="C10" s="566" t="n">
        <v>5.61516216444444</v>
      </c>
      <c r="D10" s="566" t="n">
        <v>6.26558333333334</v>
      </c>
      <c r="E10" s="354" t="n"/>
      <c r="F10" s="354" t="n"/>
      <c r="G10" s="354" t="n"/>
      <c r="N10" s="306" t="n"/>
      <c r="O10" s="306" t="n"/>
      <c r="P10" s="306" t="n"/>
      <c r="Q10" s="306" t="n"/>
      <c r="R10" s="306" t="n"/>
      <c r="S10" s="306" t="n"/>
    </row>
    <row r="11" ht="15" customHeight="1" s="307">
      <c r="A11" s="504" t="n">
        <v>1.05</v>
      </c>
      <c r="B11" s="566" t="n">
        <v>5.39266258287188</v>
      </c>
      <c r="C11" s="566" t="n">
        <v>7.05338561172306</v>
      </c>
      <c r="D11" s="566" t="n">
        <v>7.96049767841406</v>
      </c>
      <c r="E11" s="354" t="n"/>
      <c r="F11" s="354" t="n"/>
      <c r="G11" s="354" t="n"/>
      <c r="N11" s="306" t="n"/>
      <c r="O11" s="306" t="n"/>
      <c r="P11" s="306" t="n"/>
      <c r="Q11" s="306" t="n"/>
      <c r="R11" s="306" t="n"/>
      <c r="S11" s="306" t="n"/>
    </row>
    <row r="12" ht="15" customHeight="1" s="307">
      <c r="A12" s="321" t="n"/>
      <c r="B12" s="354" t="n"/>
      <c r="C12" s="354" t="n"/>
      <c r="D12" s="354" t="n"/>
      <c r="E12" s="354" t="n"/>
      <c r="F12" s="354" t="n"/>
      <c r="G12" s="354" t="n"/>
      <c r="N12" s="306" t="n"/>
      <c r="O12" s="306" t="n"/>
      <c r="P12" s="306" t="n"/>
      <c r="Q12" s="306" t="n"/>
      <c r="R12" s="306" t="n"/>
      <c r="S12" s="306" t="n"/>
    </row>
    <row r="13" ht="15" customHeight="1" s="307">
      <c r="A13" s="325" t="inlineStr">
        <is>
          <t>10-YEAR STAGED IRR</t>
        </is>
      </c>
      <c r="B13" s="567" t="n"/>
      <c r="C13" s="567" t="n"/>
      <c r="D13" s="567" t="n"/>
      <c r="E13" s="567" t="n"/>
      <c r="F13" s="567" t="n"/>
      <c r="G13" s="567" t="n"/>
      <c r="H13" s="309" t="n"/>
      <c r="I13" s="309" t="n"/>
      <c r="J13" s="309" t="n"/>
      <c r="K13" s="309" t="n"/>
      <c r="L13" s="309" t="n"/>
      <c r="M13" s="309" t="n"/>
      <c r="N13" s="306" t="n"/>
      <c r="O13" s="306" t="n"/>
      <c r="P13" s="306" t="n"/>
      <c r="Q13" s="306" t="n"/>
      <c r="R13" s="306" t="n"/>
      <c r="S13" s="306" t="n"/>
    </row>
    <row r="14" ht="15" customHeight="1" s="307">
      <c r="A14" s="472" t="inlineStr">
        <is>
          <t>NDR</t>
        </is>
      </c>
      <c r="B14" s="388" t="inlineStr">
        <is>
          <t>No Recycle (5 deals)</t>
        </is>
      </c>
      <c r="C14" s="388" t="inlineStr">
        <is>
          <t>50% Recycle (8 deals)</t>
        </is>
      </c>
      <c r="D14" s="388" t="inlineStr">
        <is>
          <t>100% Recycle (10 deals)</t>
        </is>
      </c>
      <c r="N14" s="306" t="n"/>
      <c r="O14" s="306" t="n"/>
      <c r="P14" s="306" t="n"/>
      <c r="Q14" s="306" t="n"/>
      <c r="R14" s="306" t="n"/>
      <c r="S14" s="306" t="n"/>
    </row>
    <row r="15" ht="15" customHeight="1" s="307">
      <c r="A15" s="504" t="n">
        <v>0.8</v>
      </c>
      <c r="B15" s="504" t="n">
        <v>0.179380954260117</v>
      </c>
      <c r="C15" s="504" t="n">
        <v>0.150627217720512</v>
      </c>
      <c r="D15" s="504" t="n">
        <v>0.10035117268075</v>
      </c>
      <c r="N15" s="306" t="n"/>
      <c r="O15" s="306" t="n"/>
      <c r="P15" s="306" t="n"/>
      <c r="Q15" s="306" t="n"/>
      <c r="R15" s="306" t="n"/>
      <c r="S15" s="306" t="n"/>
    </row>
    <row r="16" ht="15" customHeight="1" s="307">
      <c r="A16" s="504" t="n">
        <v>0.85</v>
      </c>
      <c r="B16" s="506" t="n">
        <v>0.272134814354736</v>
      </c>
      <c r="C16" s="506" t="n">
        <v>0.222741401814916</v>
      </c>
      <c r="D16" s="506" t="n">
        <v>0.164628201408313</v>
      </c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504" t="n">
        <v>0.9</v>
      </c>
      <c r="B17" s="504" t="n">
        <v>0.355054760825851</v>
      </c>
      <c r="C17" s="504" t="n">
        <v>0.289967559077893</v>
      </c>
      <c r="D17" s="504" t="n">
        <v>0.225598042560229</v>
      </c>
      <c r="N17" s="306" t="n"/>
      <c r="O17" s="306" t="n"/>
      <c r="P17" s="306" t="n"/>
      <c r="Q17" s="306" t="n"/>
      <c r="R17" s="306" t="n"/>
      <c r="S17" s="306" t="n"/>
    </row>
    <row r="18" ht="15" customHeight="1" s="307">
      <c r="A18" s="504" t="n">
        <v>0.95</v>
      </c>
      <c r="B18" s="504" t="n">
        <v>0.43109509900371</v>
      </c>
      <c r="C18" s="504" t="n">
        <v>0.355893622969821</v>
      </c>
      <c r="D18" s="504" t="n">
        <v>0.286560575834903</v>
      </c>
      <c r="N18" s="306" t="n"/>
      <c r="O18" s="306" t="n"/>
      <c r="P18" s="306" t="n"/>
      <c r="Q18" s="306" t="n"/>
      <c r="R18" s="306" t="n"/>
      <c r="S18" s="306" t="n"/>
    </row>
    <row r="19" ht="15" customHeight="1" s="307">
      <c r="A19" s="504" t="n">
        <v>1</v>
      </c>
      <c r="B19" s="568" t="n">
        <v>0.505982684418565</v>
      </c>
      <c r="C19" s="568" t="n">
        <v>0.42144926941834</v>
      </c>
      <c r="D19" s="568" t="n">
        <v>0.347525867749814</v>
      </c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504" t="n">
        <v>1.05</v>
      </c>
      <c r="B20" s="568" t="n">
        <v>0.580934587899852</v>
      </c>
      <c r="C20" s="568" t="n">
        <v>0.487124241450677</v>
      </c>
      <c r="D20" s="568" t="n">
        <v>0.408501871579639</v>
      </c>
      <c r="N20" s="306" t="n"/>
      <c r="O20" s="306" t="n"/>
      <c r="P20" s="306" t="n"/>
      <c r="Q20" s="306" t="n"/>
      <c r="R20" s="306" t="n"/>
      <c r="S20" s="306" t="n"/>
    </row>
    <row r="21" ht="15" customHeight="1" s="307">
      <c r="N21" s="306" t="n"/>
      <c r="O21" s="306" t="n"/>
      <c r="P21" s="306" t="n"/>
      <c r="Q21" s="306" t="n"/>
      <c r="R21" s="306" t="n"/>
      <c r="S21" s="306" t="n"/>
    </row>
    <row r="22" ht="15" customHeight="1" s="307">
      <c r="A22" s="325" t="inlineStr">
        <is>
          <t>15-YEAR DPI (LP MOIC)</t>
        </is>
      </c>
      <c r="B22" s="309" t="n"/>
      <c r="C22" s="309" t="n"/>
      <c r="D22" s="309" t="n"/>
      <c r="E22" s="309" t="n"/>
      <c r="F22" s="309" t="n"/>
      <c r="G22" s="309" t="n"/>
      <c r="H22" s="309" t="n"/>
      <c r="I22" s="309" t="n"/>
      <c r="J22" s="309" t="n"/>
      <c r="K22" s="309" t="n"/>
      <c r="L22" s="309" t="n"/>
      <c r="M22" s="309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472" t="inlineStr">
        <is>
          <t>NDR</t>
        </is>
      </c>
      <c r="B23" s="388" t="inlineStr">
        <is>
          <t>No Recycle (5 deals)</t>
        </is>
      </c>
      <c r="C23" s="388" t="inlineStr">
        <is>
          <t>50% Recycle (8 deals)</t>
        </is>
      </c>
      <c r="D23" s="388" t="inlineStr">
        <is>
          <t>100% Recycle (10 deals)</t>
        </is>
      </c>
      <c r="N23" s="306" t="n"/>
      <c r="O23" s="306" t="n"/>
      <c r="P23" s="306" t="n"/>
      <c r="Q23" s="306" t="n"/>
      <c r="R23" s="306" t="n"/>
      <c r="S23" s="306" t="n"/>
    </row>
    <row r="24" ht="15" customHeight="1" s="307">
      <c r="A24" s="504" t="n">
        <v>0.8</v>
      </c>
      <c r="B24" s="358" t="n">
        <v>1.69106698661687</v>
      </c>
      <c r="C24" s="358" t="n">
        <v>2.43244530953172</v>
      </c>
      <c r="D24" s="358" t="n">
        <v>2.69951604526408</v>
      </c>
      <c r="N24" s="306" t="n"/>
      <c r="O24" s="306" t="n"/>
      <c r="P24" s="306" t="n"/>
      <c r="Q24" s="306" t="n"/>
      <c r="R24" s="306" t="n"/>
      <c r="S24" s="306" t="n"/>
    </row>
    <row r="25" ht="15" customHeight="1" s="307">
      <c r="A25" s="504" t="n">
        <v>0.85</v>
      </c>
      <c r="B25" s="503" t="n">
        <v>2.34787321130789</v>
      </c>
      <c r="C25" s="503" t="n">
        <v>3.43138563821612</v>
      </c>
      <c r="D25" s="503" t="n">
        <v>3.84059905560255</v>
      </c>
      <c r="N25" s="306" t="n"/>
      <c r="O25" s="306" t="n"/>
      <c r="P25" s="306" t="n"/>
      <c r="Q25" s="306" t="n"/>
      <c r="R25" s="306" t="n"/>
      <c r="S25" s="306" t="n"/>
    </row>
    <row r="26" ht="15" customHeight="1" s="307">
      <c r="A26" s="504" t="n">
        <v>0.9</v>
      </c>
      <c r="B26" s="358" t="n">
        <v>3.39315890233367</v>
      </c>
      <c r="C26" s="358" t="n">
        <v>4.76780893336679</v>
      </c>
      <c r="D26" s="358" t="n">
        <v>5.26209825691763</v>
      </c>
      <c r="N26" s="306" t="n"/>
      <c r="O26" s="306" t="n"/>
      <c r="P26" s="306" t="n"/>
      <c r="Q26" s="306" t="n"/>
      <c r="R26" s="306" t="n"/>
      <c r="S26" s="306" t="n"/>
    </row>
    <row r="27" ht="15" customHeight="1" s="307">
      <c r="A27" s="504" t="n">
        <v>0.95</v>
      </c>
      <c r="B27" s="358" t="n">
        <v>4.77120023174719</v>
      </c>
      <c r="C27" s="358" t="n">
        <v>6.54276735643759</v>
      </c>
      <c r="D27" s="358" t="n">
        <v>7.45647666430149</v>
      </c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504" t="n">
        <v>1</v>
      </c>
      <c r="B28" s="566" t="n">
        <v>6.62676807777778</v>
      </c>
      <c r="C28" s="566" t="n">
        <v>9.153495497777779</v>
      </c>
      <c r="D28" s="566" t="n">
        <v>10.6039166666667</v>
      </c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504" t="n">
        <v>1.05</v>
      </c>
      <c r="B29" s="566" t="n">
        <v>9.46966031371637</v>
      </c>
      <c r="C29" s="566" t="n">
        <v>13.0942832301705</v>
      </c>
      <c r="D29" s="566" t="n">
        <v>15.337604982159</v>
      </c>
      <c r="N29" s="306" t="n"/>
      <c r="O29" s="306" t="n"/>
      <c r="P29" s="306" t="n"/>
      <c r="Q29" s="306" t="n"/>
      <c r="R29" s="306" t="n"/>
      <c r="S29" s="306" t="n"/>
    </row>
    <row r="30" ht="15" customHeight="1" s="307"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25" t="inlineStr">
        <is>
          <t>PAYBACK (MONTHS)</t>
        </is>
      </c>
      <c r="B31" s="309" t="n"/>
      <c r="C31" s="309" t="n"/>
      <c r="D31" s="309" t="n"/>
      <c r="E31" s="309" t="n"/>
      <c r="F31" s="309" t="n"/>
      <c r="G31" s="309" t="n"/>
      <c r="H31" s="309" t="n"/>
      <c r="I31" s="309" t="n"/>
      <c r="J31" s="309" t="n"/>
      <c r="K31" s="309" t="n"/>
      <c r="L31" s="309" t="n"/>
      <c r="M31" s="309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472" t="inlineStr">
        <is>
          <t>NDR</t>
        </is>
      </c>
      <c r="B32" s="388" t="inlineStr">
        <is>
          <t>No Recycle (5 deals)</t>
        </is>
      </c>
      <c r="C32" s="388" t="inlineStr">
        <is>
          <t>50% Recycle (8 deals)</t>
        </is>
      </c>
      <c r="D32" s="388" t="inlineStr">
        <is>
          <t>100% Recycle (10 deals)</t>
        </is>
      </c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504" t="n">
        <v>0.8</v>
      </c>
      <c r="B33" s="349" t="n">
        <v>47</v>
      </c>
      <c r="C33" s="349" t="n">
        <v>50</v>
      </c>
      <c r="D33" s="349" t="n">
        <v>54</v>
      </c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504" t="n">
        <v>0.85</v>
      </c>
      <c r="B34" s="508" t="n">
        <v>43</v>
      </c>
      <c r="C34" s="508" t="n">
        <v>47</v>
      </c>
      <c r="D34" s="508" t="n">
        <v>52</v>
      </c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504" t="n">
        <v>0.9</v>
      </c>
      <c r="B35" s="349" t="n">
        <v>40</v>
      </c>
      <c r="C35" s="349" t="n">
        <v>45</v>
      </c>
      <c r="D35" s="349" t="n">
        <v>50</v>
      </c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504" t="n">
        <v>0.95</v>
      </c>
      <c r="B36" s="349" t="n">
        <v>38</v>
      </c>
      <c r="C36" s="349" t="n">
        <v>43</v>
      </c>
      <c r="D36" s="349" t="n">
        <v>49</v>
      </c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504" t="n">
        <v>1</v>
      </c>
      <c r="B37" s="349" t="n">
        <v>35</v>
      </c>
      <c r="C37" s="349" t="n">
        <v>42</v>
      </c>
      <c r="D37" s="349" t="n">
        <v>47</v>
      </c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504" t="n">
        <v>1.05</v>
      </c>
      <c r="B38" s="349" t="n">
        <v>34</v>
      </c>
      <c r="C38" s="349" t="n">
        <v>41</v>
      </c>
      <c r="D38" s="349" t="n">
        <v>46</v>
      </c>
      <c r="N38" s="306" t="n"/>
      <c r="O38" s="306" t="n"/>
      <c r="P38" s="306" t="n"/>
      <c r="Q38" s="306" t="n"/>
      <c r="R38" s="306" t="n"/>
      <c r="S38" s="306" t="n"/>
    </row>
    <row r="39" ht="15" customHeight="1" s="307">
      <c r="N39" s="306" t="n"/>
      <c r="O39" s="306" t="n"/>
      <c r="P39" s="306" t="n"/>
      <c r="Q39" s="306" t="n"/>
      <c r="R39" s="306" t="n"/>
      <c r="S39" s="306" t="n"/>
    </row>
    <row r="40" ht="15" customHeight="1" s="307">
      <c r="A40" s="325" t="inlineStr">
        <is>
          <t>$5M LP  --  10Y CASH BACK</t>
        </is>
      </c>
      <c r="B40" s="309" t="n"/>
      <c r="C40" s="309" t="n"/>
      <c r="D40" s="309" t="n"/>
      <c r="E40" s="309" t="n"/>
      <c r="F40" s="309" t="n"/>
      <c r="G40" s="309" t="n"/>
      <c r="H40" s="309" t="n"/>
      <c r="I40" s="309" t="n"/>
      <c r="J40" s="309" t="n"/>
      <c r="K40" s="309" t="n"/>
      <c r="L40" s="309" t="n"/>
      <c r="M40" s="309" t="n"/>
      <c r="N40" s="306" t="n"/>
      <c r="O40" s="306" t="n"/>
      <c r="P40" s="306" t="n"/>
      <c r="Q40" s="306" t="n"/>
      <c r="R40" s="306" t="n"/>
      <c r="S40" s="306" t="n"/>
    </row>
    <row r="41" ht="15" customHeight="1" s="307">
      <c r="A41" s="472" t="inlineStr">
        <is>
          <t>NDR</t>
        </is>
      </c>
      <c r="B41" s="388" t="inlineStr">
        <is>
          <t>No Recycle (5 deals)</t>
        </is>
      </c>
      <c r="C41" s="388" t="inlineStr">
        <is>
          <t>50% Recycle (8 deals)</t>
        </is>
      </c>
      <c r="D41" s="388" t="inlineStr">
        <is>
          <t>100% Recycle (10 deals)</t>
        </is>
      </c>
      <c r="N41" s="306" t="n"/>
      <c r="O41" s="306" t="n"/>
      <c r="P41" s="306" t="n"/>
      <c r="Q41" s="306" t="n"/>
      <c r="R41" s="306" t="n"/>
      <c r="S41" s="306" t="n"/>
    </row>
    <row r="42" ht="15" customHeight="1" s="307">
      <c r="A42" s="648" t="inlineStr">
        <is>
          <t>JOINT SENSITIVITY:  NDR x MARGIN CAP   (No Recycle, 5 deals, $24M ARR each)</t>
        </is>
      </c>
      <c r="B42" s="649" t="n">
        <v>8.431692401009039</v>
      </c>
      <c r="C42" s="649" t="n">
        <v>11.5446314917574</v>
      </c>
      <c r="D42" s="649" t="n">
        <v>12.329389997216</v>
      </c>
      <c r="E42" s="650" t="n"/>
      <c r="F42" s="650" t="n"/>
      <c r="G42" s="650" t="n"/>
      <c r="H42" s="650" t="n"/>
      <c r="I42" s="650" t="n"/>
      <c r="N42" s="306" t="n"/>
      <c r="O42" s="306" t="n"/>
      <c r="P42" s="306" t="n"/>
      <c r="Q42" s="306" t="n"/>
      <c r="R42" s="306" t="n"/>
      <c r="S42" s="306" t="n"/>
    </row>
    <row r="43" ht="15" customHeight="1" s="307">
      <c r="A43" s="651" t="inlineStr">
        <is>
          <t>Closed-form approximation: revenue = 120 x NDR^(t-1); var costs 21%; fixed $11.5M/yr team comp + $13M Y1-2 legacy; bonus = max(0, EBITDA - margin_cap x revenue); LP gets RoC + 10% pref + 80% of profit (Tier 2).</t>
        </is>
      </c>
      <c r="B43" s="570" t="n">
        <v>10.9416637087504</v>
      </c>
      <c r="C43" s="570" t="n">
        <v>14.5620076680195</v>
      </c>
      <c r="D43" s="570" t="n">
        <v>15.5989338003896</v>
      </c>
      <c r="N43" s="306" t="n"/>
      <c r="O43" s="306" t="n"/>
      <c r="P43" s="306" t="n"/>
      <c r="Q43" s="306" t="n"/>
      <c r="R43" s="306" t="n"/>
      <c r="S43" s="306" t="n"/>
    </row>
    <row r="44" ht="15" customHeight="1" s="307">
      <c r="A44" s="651" t="inlineStr">
        <is>
          <t>Highlighted: GP stated case (NDR=0.85, m=62.5%). Cells = 15Y LP DPI.</t>
        </is>
      </c>
      <c r="B44" s="569" t="n">
        <v>13.8409447312339</v>
      </c>
      <c r="C44" s="569" t="n">
        <v>18.0893752736874</v>
      </c>
      <c r="D44" s="569" t="n">
        <v>19.5727154140343</v>
      </c>
      <c r="N44" s="306" t="n"/>
      <c r="O44" s="306" t="n"/>
      <c r="P44" s="306" t="n"/>
      <c r="Q44" s="306" t="n"/>
      <c r="R44" s="306" t="n"/>
      <c r="S44" s="306" t="n"/>
    </row>
    <row r="45" ht="15" customHeight="1" s="307">
      <c r="A45" s="652" t="inlineStr">
        <is>
          <t>Margin cap \ NDR</t>
        </is>
      </c>
      <c r="B45" s="653" t="n">
        <v>0.7</v>
      </c>
      <c r="C45" s="653" t="n">
        <v>0.8</v>
      </c>
      <c r="D45" s="653" t="n">
        <v>0.85</v>
      </c>
      <c r="E45" s="653" t="n">
        <v>0.9</v>
      </c>
      <c r="F45" s="653" t="n">
        <v>0.95</v>
      </c>
      <c r="G45" s="653" t="n">
        <v>1</v>
      </c>
      <c r="N45" s="306" t="n"/>
      <c r="O45" s="306" t="n"/>
      <c r="P45" s="306" t="n"/>
      <c r="Q45" s="306" t="n"/>
      <c r="R45" s="306" t="n"/>
      <c r="S45" s="306" t="n"/>
    </row>
    <row r="46" ht="15" customHeight="1" s="307">
      <c r="A46" s="654" t="n">
        <v>0.5</v>
      </c>
      <c r="B46" s="655">
        <f>(MIN(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Assumptions'!$B$116)),150) + MIN(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Assumptions'!$B$116))-150),30) + '1. Press Assumptions'!$B$40*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Assumptions'!$B$116))-180))/150</f>
        <v/>
      </c>
      <c r="C46" s="655">
        <f>(MIN(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Assumptions'!$B$116)),150) + MIN(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Assumptions'!$B$116))-150),30) + '1. Press Assumptions'!$B$40*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Assumptions'!$B$116))-180))/150</f>
        <v/>
      </c>
      <c r="D46" s="655">
        <f>(MIN(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Assumptions'!$B$116)),150) + MIN(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Assumptions'!$B$116))-150),30) + '1. Press Assumptions'!$B$40*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Assumptions'!$B$116))-180))/150</f>
        <v/>
      </c>
      <c r="E46" s="656">
        <f>(MIN(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Assumptions'!$B$116)),150) + MIN(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Assumptions'!$B$116))-150),30) + '1. Press Assumptions'!$B$40*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Assumptions'!$B$116))-180))/150</f>
        <v/>
      </c>
      <c r="F46" s="656">
        <f>(MIN(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Assumptions'!$B$116)),150) + MIN(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Assumptions'!$B$116))-150),30) + '1. Press Assumptions'!$B$40*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Assumptions'!$B$116))-180))/150</f>
        <v/>
      </c>
      <c r="G46" s="656">
        <f>(MIN(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Assumptions'!$B$116)),150) + MIN(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Assumptions'!$B$116))-150),30) + '1. Press Assumptions'!$B$40*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Assumptions'!$B$116))-180))/150</f>
        <v/>
      </c>
      <c r="N46" s="306" t="n"/>
      <c r="O46" s="306" t="n"/>
      <c r="P46" s="306" t="n"/>
      <c r="Q46" s="306" t="n"/>
      <c r="R46" s="306" t="n"/>
      <c r="S46" s="306" t="n"/>
    </row>
    <row r="47" ht="15" customHeight="1" s="307">
      <c r="A47" s="654" t="n">
        <v>0.55</v>
      </c>
      <c r="B47" s="655">
        <f>(MIN(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Assumptions'!$B$116)),150) + MIN(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Assumptions'!$B$116))-150),30) + '1. Press Assumptions'!$B$40*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Assumptions'!$B$116))-180))/150</f>
        <v/>
      </c>
      <c r="C47" s="655">
        <f>(MIN(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Assumptions'!$B$116)),150) + MIN(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Assumptions'!$B$116))-150),30) + '1. Press Assumptions'!$B$40*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Assumptions'!$B$116))-180))/150</f>
        <v/>
      </c>
      <c r="D47" s="655">
        <f>(MIN(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Assumptions'!$B$116)),150) + MIN(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Assumptions'!$B$116))-150),30) + '1. Press Assumptions'!$B$40*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Assumptions'!$B$116))-180))/150</f>
        <v/>
      </c>
      <c r="E47" s="656">
        <f>(MIN(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Assumptions'!$B$116)),150) + MIN(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Assumptions'!$B$116))-150),30) + '1. Press Assumptions'!$B$40*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Assumptions'!$B$116))-180))/150</f>
        <v/>
      </c>
      <c r="F47" s="656">
        <f>(MIN(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Assumptions'!$B$116)),150) + MIN(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Assumptions'!$B$116))-150),30) + '1. Press Assumptions'!$B$40*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Assumptions'!$B$116))-180))/150</f>
        <v/>
      </c>
      <c r="G47" s="656">
        <f>(MIN(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Assumptions'!$B$116)),150) + MIN(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Assumptions'!$B$116))-150),30) + '1. Press Assumptions'!$B$40*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Assumptions'!$B$116))-180))/150</f>
        <v/>
      </c>
      <c r="N47" s="306" t="n"/>
      <c r="O47" s="306" t="n"/>
      <c r="P47" s="306" t="n"/>
      <c r="Q47" s="306" t="n"/>
      <c r="R47" s="306" t="n"/>
      <c r="S47" s="306" t="n"/>
    </row>
    <row r="48" ht="15" customHeight="1" s="307">
      <c r="A48" s="654" t="n">
        <v>0.6</v>
      </c>
      <c r="B48" s="656">
        <f>(MIN(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Assumptions'!$B$116)),150) + MIN(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Assumptions'!$B$116))-150),30) + '1. Press Assumptions'!$B$40*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Assumptions'!$B$116))-180))/150</f>
        <v/>
      </c>
      <c r="C48" s="656">
        <f>(MIN(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Assumptions'!$B$116)),150) + MIN(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Assumptions'!$B$116))-150),30) + '1. Press Assumptions'!$B$40*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Assumptions'!$B$116))-180))/150</f>
        <v/>
      </c>
      <c r="D48" s="656">
        <f>(MIN(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Assumptions'!$B$116)),150) + MIN(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Assumptions'!$B$116))-150),30) + '1. Press Assumptions'!$B$40*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Assumptions'!$B$116))-180))/150</f>
        <v/>
      </c>
      <c r="E48" s="656">
        <f>(MIN(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Assumptions'!$B$116)),150) + MIN(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Assumptions'!$B$116))-150),30) + '1. Press Assumptions'!$B$40*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Assumptions'!$B$116))-180))/150</f>
        <v/>
      </c>
      <c r="F48" s="656">
        <f>(MIN(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Assumptions'!$B$116)),150) + MIN(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Assumptions'!$B$116))-150),30) + '1. Press Assumptions'!$B$40*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Assumptions'!$B$116))-180))/150</f>
        <v/>
      </c>
      <c r="G48" s="656">
        <f>(MIN(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Assumptions'!$B$116)),150) + MIN(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Assumptions'!$B$116))-150),30) + '1. Press Assumptions'!$B$40*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Assumptions'!$B$116))-180))/150</f>
        <v/>
      </c>
      <c r="N48" s="306" t="n"/>
      <c r="O48" s="306" t="n"/>
      <c r="P48" s="306" t="n"/>
      <c r="Q48" s="306" t="n"/>
      <c r="R48" s="306" t="n"/>
      <c r="S48" s="306" t="n"/>
    </row>
    <row r="49" ht="15" customHeight="1" s="307">
      <c r="A49" s="654" t="n">
        <v>0.625</v>
      </c>
      <c r="B49" s="656">
        <f>(MIN(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Assumptions'!$B$116)),150) + MIN(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Assumptions'!$B$116))-150),30) + '1. Press Assumptions'!$B$40*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Assumptions'!$B$116))-180))/150</f>
        <v/>
      </c>
      <c r="C49" s="656">
        <f>(MIN(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Assumptions'!$B$116)),150) + MIN(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Assumptions'!$B$116))-150),30) + '1. Press Assumptions'!$B$40*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Assumptions'!$B$116))-180))/150</f>
        <v/>
      </c>
      <c r="D49" s="657">
        <f>(MIN(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Assumptions'!$B$116)),150) + MIN(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Assumptions'!$B$116))-150),30) + '1. Press Assumptions'!$B$40*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Assumptions'!$B$116))-180))/150</f>
        <v/>
      </c>
      <c r="E49" s="656">
        <f>(MIN(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Assumptions'!$B$116)),150) + MIN(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Assumptions'!$B$116))-150),30) + '1. Press Assumptions'!$B$40*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Assumptions'!$B$116))-180))/150</f>
        <v/>
      </c>
      <c r="F49" s="656">
        <f>(MIN(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Assumptions'!$B$116)),150) + MIN(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Assumptions'!$B$116))-150),30) + '1. Press Assumptions'!$B$40*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Assumptions'!$B$116))-180))/150</f>
        <v/>
      </c>
      <c r="G49" s="656">
        <f>(MIN(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Assumptions'!$B$116)),150) + MIN(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Assumptions'!$B$116))-150),30) + '1. Press Assumptions'!$B$40*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Assumptions'!$B$116))-180))/150</f>
        <v/>
      </c>
      <c r="N49" s="306" t="n"/>
      <c r="O49" s="306" t="n"/>
      <c r="P49" s="306" t="n"/>
      <c r="Q49" s="306" t="n"/>
      <c r="R49" s="306" t="n"/>
      <c r="S49" s="306" t="n"/>
    </row>
    <row r="50" ht="15" customHeight="1" s="307">
      <c r="A50" s="654" t="n">
        <v>0.7</v>
      </c>
      <c r="B50" s="656">
        <f>(MIN(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Assumptions'!$B$116)),150) + MIN(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Assumptions'!$B$116))-150),30) + '1. Press Assumptions'!$B$40*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Assumptions'!$B$116))-180))/150</f>
        <v/>
      </c>
      <c r="C50" s="656">
        <f>(MIN(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Assumptions'!$B$116)),150) + MIN(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Assumptions'!$B$116))-150),30) + '1. Press Assumptions'!$B$40*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Assumptions'!$B$116))-180))/150</f>
        <v/>
      </c>
      <c r="D50" s="656">
        <f>(MIN(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Assumptions'!$B$116)),150) + MIN(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Assumptions'!$B$116))-150),30) + '1. Press Assumptions'!$B$40*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Assumptions'!$B$116))-180))/150</f>
        <v/>
      </c>
      <c r="E50" s="656">
        <f>(MIN(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Assumptions'!$B$116)),150) + MIN(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Assumptions'!$B$116))-150),30) + '1. Press Assumptions'!$B$40*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Assumptions'!$B$116))-180))/150</f>
        <v/>
      </c>
      <c r="F50" s="656">
        <f>(MIN(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Assumptions'!$B$116)),150) + MIN(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Assumptions'!$B$116))-150),30) + '1. Press Assumptions'!$B$40*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Assumptions'!$B$116))-180))/150</f>
        <v/>
      </c>
      <c r="G50" s="656">
        <f>(MIN(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Assumptions'!$B$116)),150) + MIN(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Assumptions'!$B$116))-150),30) + '1. Press Assumptions'!$B$40*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Assumptions'!$B$116))-180))/150</f>
        <v/>
      </c>
    </row>
    <row r="51" ht="15" customHeight="1" s="307">
      <c r="A51" s="654" t="n">
        <v>0.8</v>
      </c>
      <c r="B51" s="656">
        <f>(MIN(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Assumptions'!$B$116)),150) + MIN(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Assumptions'!$B$116))-150),30) + '1. Press Assumptions'!$B$40*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Assumptions'!$B$116))-180))/150</f>
        <v/>
      </c>
      <c r="C51" s="656">
        <f>(MIN(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Assumptions'!$B$116)),150) + MIN(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Assumptions'!$B$116))-150),30) + '1. Press Assumptions'!$B$40*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Assumptions'!$B$116))-180))/150</f>
        <v/>
      </c>
      <c r="D51" s="656">
        <f>(MIN(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Assumptions'!$B$116)),150) + MIN(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Assumptions'!$B$116))-150),30) + '1. Press Assumptions'!$B$40*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Assumptions'!$B$116))-180))/150</f>
        <v/>
      </c>
      <c r="E51" s="656">
        <f>(MIN(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Assumptions'!$B$116)),150) + MIN(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Assumptions'!$B$116))-150),30) + '1. Press Assumptions'!$B$40*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Assumptions'!$B$116))-180))/150</f>
        <v/>
      </c>
      <c r="F51" s="656">
        <f>(MIN(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Assumptions'!$B$116)),150) + MIN(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Assumptions'!$B$116))-150),30) + '1. Press Assumptions'!$B$40*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Assumptions'!$B$116))-180))/150</f>
        <v/>
      </c>
      <c r="G51" s="656">
        <f>(MIN(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Assumptions'!$B$116)),150) + MIN(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Assumptions'!$B$116))-150),30) + '1. Press Assumptions'!$B$40*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Assumptions'!$B$116))-180))/150</f>
        <v/>
      </c>
    </row>
    <row r="53">
      <c r="A53" s="615" t="inlineStr">
        <is>
          <t>GP stated case (yellow): NDR=85%, margin=62.5% -&gt; see cell D48 result.</t>
        </is>
      </c>
    </row>
    <row r="54" ht="15" customHeight="1" s="307">
      <c r="A54" s="325" t="inlineStr">
        <is>
          <t>ENTRY MULTIPLE CEILING (30% 10Y IRR)</t>
        </is>
      </c>
      <c r="B54" s="309" t="n"/>
      <c r="C54" s="309" t="n"/>
      <c r="D54" s="309" t="n"/>
      <c r="E54" s="309" t="n"/>
      <c r="F54" s="309" t="n"/>
      <c r="G54" s="309" t="n"/>
    </row>
    <row r="55" ht="15" customHeight="1" s="307">
      <c r="A55" s="323" t="inlineStr">
        <is>
          <t>Maximum gross entry multiple to achieve 30% staged IRR at each DM level.</t>
        </is>
      </c>
    </row>
    <row r="56" ht="15" customHeight="1" s="307">
      <c r="A56" s="472" t="inlineStr">
        <is>
          <t>NDR \ NCA</t>
        </is>
      </c>
      <c r="B56" s="388" t="inlineStr">
        <is>
          <t>NCA 0%</t>
        </is>
      </c>
      <c r="C56" s="388" t="inlineStr">
        <is>
          <t>NCA 5%</t>
        </is>
      </c>
      <c r="D56" s="388" t="inlineStr">
        <is>
          <t>NCA 10%</t>
        </is>
      </c>
      <c r="E56" s="388" t="inlineStr">
        <is>
          <t>NCA 15%</t>
        </is>
      </c>
    </row>
    <row r="57" ht="15" customHeight="1" s="307">
      <c r="A57" s="504" t="n">
        <v>0.85</v>
      </c>
      <c r="B57" s="572" t="inlineStr">
        <is>
          <t>&gt;5.0x</t>
        </is>
      </c>
      <c r="C57" s="394" t="inlineStr">
        <is>
          <t>&gt;5.0x</t>
        </is>
      </c>
      <c r="D57" s="394" t="inlineStr">
        <is>
          <t>&gt;5.0x</t>
        </is>
      </c>
      <c r="E57" s="573" t="inlineStr">
        <is>
          <t>&gt;5.0x</t>
        </is>
      </c>
    </row>
    <row r="58" ht="15" customHeight="1" s="307">
      <c r="A58" s="504" t="n">
        <v>0.9</v>
      </c>
      <c r="B58" s="394" t="inlineStr">
        <is>
          <t>&gt;5.0x</t>
        </is>
      </c>
      <c r="C58" s="394" t="inlineStr">
        <is>
          <t>&gt;5.0x</t>
        </is>
      </c>
      <c r="D58" s="573" t="inlineStr">
        <is>
          <t>&gt;5.0x</t>
        </is>
      </c>
      <c r="E58" s="573" t="inlineStr">
        <is>
          <t>&gt;5.0x</t>
        </is>
      </c>
    </row>
    <row r="59" ht="15" customHeight="1" s="307">
      <c r="A59" s="504" t="n">
        <v>0.95</v>
      </c>
      <c r="B59" s="394" t="inlineStr">
        <is>
          <t>&gt;5.0x</t>
        </is>
      </c>
      <c r="C59" s="573" t="inlineStr">
        <is>
          <t>&gt;5.0x</t>
        </is>
      </c>
      <c r="D59" s="573" t="inlineStr">
        <is>
          <t>&gt;5.0x</t>
        </is>
      </c>
      <c r="E59" s="573" t="inlineStr">
        <is>
          <t>&gt;5.0x</t>
        </is>
      </c>
    </row>
    <row r="60" ht="15" customHeight="1" s="307">
      <c r="A60" s="504" t="n">
        <v>1</v>
      </c>
      <c r="B60" s="573" t="inlineStr">
        <is>
          <t>&gt;5.0x</t>
        </is>
      </c>
      <c r="C60" s="573" t="inlineStr">
        <is>
          <t>&gt;5.0x</t>
        </is>
      </c>
      <c r="D60" s="573" t="inlineStr">
        <is>
          <t>&gt;5.0x</t>
        </is>
      </c>
      <c r="E60" s="573" t="inlineStr">
        <is>
          <t>&gt;5.0x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What is the portfolio worth at Year 10 if sold?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 t="n">
        <v>32.5990565654739</v>
      </c>
      <c r="C5" s="354" t="n">
        <v>32.5990565654739</v>
      </c>
      <c r="D5" s="354" t="n">
        <v>32.5990565654739</v>
      </c>
      <c r="E5" s="354" t="n">
        <v>32.5990565654739</v>
      </c>
      <c r="F5" s="354" t="n">
        <v>32.5990565654739</v>
      </c>
    </row>
    <row r="6" ht="15" customHeight="1" s="307">
      <c r="A6" s="322" t="inlineStr">
        <is>
          <t>Exit Proceeds ($mm)</t>
        </is>
      </c>
      <c r="B6" s="570" t="n">
        <v>32.5990565654739</v>
      </c>
      <c r="C6" s="570" t="n">
        <v>48.8985848482109</v>
      </c>
      <c r="D6" s="570" t="n">
        <v>65.1981131309479</v>
      </c>
      <c r="E6" s="570" t="n">
        <v>81.4976414136848</v>
      </c>
      <c r="F6" s="570" t="n">
        <v>97.7971696964218</v>
      </c>
    </row>
    <row r="7" ht="15" customHeight="1" s="307">
      <c r="A7" s="321" t="inlineStr">
        <is>
          <t>10Y Cash Distributions ($mm)</t>
        </is>
      </c>
      <c r="B7" s="354" t="n">
        <v>328.249911262513</v>
      </c>
      <c r="C7" s="354" t="n">
        <v>328.249911262513</v>
      </c>
      <c r="D7" s="354" t="n">
        <v>328.249911262513</v>
      </c>
      <c r="E7" s="354" t="n">
        <v>328.249911262513</v>
      </c>
      <c r="F7" s="354" t="n">
        <v>328.249911262513</v>
      </c>
    </row>
    <row r="8" ht="15" customHeight="1" s="307">
      <c r="A8" s="322" t="inlineStr">
        <is>
          <t>Total LP Value ($mm)</t>
        </is>
      </c>
      <c r="B8" s="570" t="n">
        <v>354.329156514892</v>
      </c>
      <c r="C8" s="570" t="n">
        <v>367.368779141082</v>
      </c>
      <c r="D8" s="570" t="n">
        <v>380.408401767271</v>
      </c>
      <c r="E8" s="570" t="n">
        <v>393.448024393461</v>
      </c>
      <c r="F8" s="570" t="n">
        <v>406.48764701965</v>
      </c>
    </row>
    <row r="9" ht="15" customHeight="1" s="307">
      <c r="A9" s="322" t="inlineStr">
        <is>
          <t>Total LP MOIC</t>
        </is>
      </c>
      <c r="B9" s="503" t="n">
        <v>2.36219437676595</v>
      </c>
      <c r="C9" s="503" t="n">
        <v>2.44912519427388</v>
      </c>
      <c r="D9" s="503" t="n">
        <v>2.53605601178181</v>
      </c>
      <c r="E9" s="503" t="n">
        <v>2.62298682928974</v>
      </c>
      <c r="F9" s="503" t="n">
        <v>2.70991764679767</v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</t>
        </is>
      </c>
      <c r="B1" s="309" t="n"/>
      <c r="C1" s="309" t="n"/>
      <c r="D1" s="309" t="n"/>
      <c r="E1" s="309" t="n"/>
      <c r="F1" s="306" t="n"/>
    </row>
    <row r="2" ht="15" customHeight="1" s="307">
      <c r="A2" s="593" t="inlineStr">
        <is>
          <t>Closed-form 15Y DPI per scenario. Parametrized: NDR, margin cap, write-off %, exit multiple.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388" t="n"/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  <c r="G6" s="662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</f>
        <v/>
      </c>
      <c r="H6" s="638" t="inlineStr">
        <is>
          <t>NDR + margin from Tab 1; no zero deals; 2x exit.</t>
        </is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  <c r="G7" s="662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</f>
        <v/>
      </c>
      <c r="H7" s="638" t="inlineStr">
        <is>
          <t>NDR drops to 80%; everything else unchanged.</t>
        </is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  <c r="G8" s="662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</f>
        <v/>
      </c>
      <c r="H8" s="638" t="inlineStr">
        <is>
          <t>NDR drops to 75%.</t>
        </is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  <c r="G9" s="662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</f>
        <v/>
      </c>
      <c r="H9" s="638" t="inlineStr">
        <is>
          <t>Margin cap drops to 55% (deals leak vs underwriting).</t>
        </is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  <c r="G10" s="662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</f>
        <v/>
      </c>
      <c r="H10" s="638" t="inlineStr">
        <is>
          <t>One deal returns nothing; portfolio = 4 deals at $24M ARR.</t>
        </is>
      </c>
    </row>
    <row r="11" ht="15" customHeight="1" s="307">
      <c r="A11" s="321" t="inlineStr">
        <is>
          <t>Exit multiple compression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  <c r="G11" s="662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</f>
        <v/>
      </c>
      <c r="H11" s="638" t="inlineStr">
        <is>
          <t>Exit at 1.0x ARR instead of 2.0x.</t>
        </is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  <c r="G12" s="662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</f>
        <v/>
      </c>
      <c r="H12" s="638" t="inlineStr">
        <is>
          <t>NDR 80% + margin 55% + 1 write-off + 1.5x exit.</t>
        </is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  <c r="G13" s="662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</f>
        <v/>
      </c>
      <c r="H13" s="638" t="inlineStr">
        <is>
          <t>NDR 70% + margin 45% + 2 write-offs + 1x exit.</t>
        </is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Y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G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(original model)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 t="n">
        <v>18.4882266439472</v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323" t="inlineStr">
        <is>
          <t>How 5 deals in 16 months gets done.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D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 t="n">
        <v>10.9416637087504</v>
      </c>
      <c r="C11" s="354" t="n">
        <v>11.7393660565395</v>
      </c>
      <c r="D11" s="441" t="n">
        <v>2.34787321130789</v>
      </c>
    </row>
    <row r="12" ht="15" customHeight="1" s="307">
      <c r="A12" s="394" t="inlineStr">
        <is>
          <t>$10mm</t>
        </is>
      </c>
      <c r="B12" s="354" t="n">
        <v>21.8833274175009</v>
      </c>
      <c r="C12" s="354" t="n">
        <v>23.4787321130789</v>
      </c>
      <c r="D12" s="441" t="n">
        <v>2.34787321130789</v>
      </c>
    </row>
    <row r="13" ht="15" customHeight="1" s="307">
      <c r="A13" s="394" t="inlineStr">
        <is>
          <t>$15mm</t>
        </is>
      </c>
      <c r="B13" s="354" t="n">
        <v>32.8249911262513</v>
      </c>
      <c r="C13" s="354" t="n">
        <v>35.2180981696184</v>
      </c>
      <c r="D13" s="441" t="n">
        <v>2.34787321130789</v>
      </c>
    </row>
    <row r="14" ht="15" customHeight="1" s="307">
      <c r="A14" s="394" t="inlineStr">
        <is>
          <t>$20mm</t>
        </is>
      </c>
      <c r="B14" s="354" t="n">
        <v>43.7666548350017</v>
      </c>
      <c r="C14" s="354" t="n">
        <v>46.9574642261578</v>
      </c>
      <c r="D14" s="441" t="n">
        <v>2.34787321130789</v>
      </c>
    </row>
    <row r="15" ht="15" customHeight="1" s="307">
      <c r="A15" s="394" t="inlineStr">
        <is>
          <t>$25mm</t>
        </is>
      </c>
      <c r="B15" s="354" t="n">
        <v>54.7083185437522</v>
      </c>
      <c r="C15" s="354" t="n">
        <v>58.6968302826973</v>
      </c>
      <c r="D15" s="441" t="n">
        <v>2.34787321130789</v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 t="n">
        <v>150</v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deals x $24M ARR x 1.24x)</t>
        </is>
      </c>
      <c r="B9" s="625">
        <f>5*24*1.24</f>
        <v/>
      </c>
      <c r="C9" s="614" t="inlineStr">
        <is>
          <t>$148.8M auto-derived</t>
        </is>
      </c>
    </row>
    <row r="10" ht="15" customHeight="1" s="307">
      <c r="A10" s="613" t="inlineStr">
        <is>
          <t>Severance Discount (seller 50% share)</t>
        </is>
      </c>
      <c r="B10" s="619">
        <f>-5*24*0.1154*0.5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0</v>
      </c>
      <c r="C13" s="627" t="inlineStr">
        <is>
          <t>unfunded -- see Note 2</t>
        </is>
      </c>
    </row>
    <row r="14" ht="15" customHeight="1" s="307">
      <c r="A14" s="613" t="inlineStr">
        <is>
          <t>Broken Deal Cost Reserve</t>
        </is>
      </c>
      <c r="B14" s="619" t="n">
        <v>0</v>
      </c>
      <c r="C14" s="627" t="inlineStr">
        <is>
          <t>unfunded -- see Note 3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model showed $158.78M deployed against $150M raised  --&gt;  $11.78M shortfall.</t>
        </is>
      </c>
      <c r="B21" s="614" t="n"/>
      <c r="C21" s="614" t="n"/>
    </row>
    <row r="22" ht="15" customHeight="1" s="307">
      <c r="A22" s="631" t="inlineStr">
        <is>
          <t xml:space="preserve">   Fix: cap per-deal ARR at $24M (was $25.6-30.1M). Closes the deployment gap.</t>
        </is>
      </c>
      <c r="B22" s="632" t="n"/>
      <c r="C22" s="622" t="n"/>
    </row>
    <row r="23">
      <c r="A23" s="615" t="inlineStr">
        <is>
          <t>2. Partnership Expenses (audit, legal, D&amp;O, fund admin) typically run $200-500K/yr.</t>
        </is>
      </c>
      <c r="B23" s="614" t="n"/>
      <c r="C23" s="614" t="n"/>
    </row>
    <row r="24" ht="15" customHeight="1" s="307">
      <c r="A24" s="593" t="inlineStr">
        <is>
          <t xml:space="preserve">   Over 15Y this is $3-7M of unfunded fund-level OpEx. Currently flowing through OpCos</t>
        </is>
      </c>
      <c r="B24" s="619" t="n"/>
      <c r="C24" s="614" t="n"/>
    </row>
    <row r="25" ht="15" customHeight="1" s="307">
      <c r="A25" s="593" t="inlineStr">
        <is>
          <t xml:space="preserve">   --&gt; further LP-invisible economics. Should be funded from a reserve.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</row>
    <row r="2">
      <c r="A2" s="615" t="inlineStr">
        <is>
          <t>Quarterly distributable from _Engine_NR. LP cash = quarterly waterfall approximation (annual waterfall split pro-rata by quarterly dist).</t>
        </is>
      </c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>
        <f>SUM('_Engine_NR'!V31:V33)</f>
        <v/>
      </c>
      <c r="C4" s="476">
        <f>IF('_Engine_NR'!P215=0, 0, '_Engine_NR'!J233*B4/'_Engine_NR'!P215)</f>
        <v/>
      </c>
      <c r="D4" s="476">
        <f>IF('_Engine_NR'!P215=0, 0, '_Engine_NR'!K233*B4/'_Engine_NR'!P215)</f>
        <v/>
      </c>
      <c r="E4" s="476">
        <f>C4</f>
        <v/>
      </c>
      <c r="F4" s="476" t="n">
        <v>0</v>
      </c>
    </row>
    <row r="5" ht="15" customHeight="1" s="307">
      <c r="A5" s="321" t="inlineStr">
        <is>
          <t>Y1 Q2</t>
        </is>
      </c>
      <c r="B5" s="354">
        <f>SUM('_Engine_NR'!V34:V36)</f>
        <v/>
      </c>
      <c r="C5" s="354">
        <f>IF('_Engine_NR'!P215=0, 0, '_Engine_NR'!J233*B5/'_Engine_NR'!P215)</f>
        <v/>
      </c>
      <c r="D5" s="354">
        <f>IF('_Engine_NR'!P215=0, 0, '_Engine_NR'!K233*B5/'_Engine_NR'!P215)</f>
        <v/>
      </c>
      <c r="E5" s="354">
        <f>E4+C5</f>
        <v/>
      </c>
      <c r="F5" s="354" t="n">
        <v>0</v>
      </c>
    </row>
    <row r="6" ht="15" customHeight="1" s="307">
      <c r="A6" s="321" t="inlineStr">
        <is>
          <t>Y1 Q3</t>
        </is>
      </c>
      <c r="B6" s="354">
        <f>SUM('_Engine_NR'!V37:V39)</f>
        <v/>
      </c>
      <c r="C6" s="354">
        <f>IF('_Engine_NR'!P215=0, 0, '_Engine_NR'!J233*B6/'_Engine_NR'!P215)</f>
        <v/>
      </c>
      <c r="D6" s="354">
        <f>IF('_Engine_NR'!P215=0, 0, '_Engine_NR'!K233*B6/'_Engine_NR'!P215)</f>
        <v/>
      </c>
      <c r="E6" s="354">
        <f>E5+C6</f>
        <v/>
      </c>
      <c r="F6" s="354" t="n">
        <v>0</v>
      </c>
    </row>
    <row r="7" ht="15" customHeight="1" s="307">
      <c r="A7" s="321" t="inlineStr">
        <is>
          <t>Y1 Q4</t>
        </is>
      </c>
      <c r="B7" s="354">
        <f>SUM('_Engine_NR'!V40:V42)</f>
        <v/>
      </c>
      <c r="C7" s="354">
        <f>IF('_Engine_NR'!P215=0, 0, '_Engine_NR'!J233*B7/'_Engine_NR'!P215)</f>
        <v/>
      </c>
      <c r="D7" s="354">
        <f>IF('_Engine_NR'!P215=0, 0, '_Engine_NR'!K233*B7/'_Engine_NR'!P215)</f>
        <v/>
      </c>
      <c r="E7" s="354">
        <f>E6+C7</f>
        <v/>
      </c>
      <c r="F7" s="354" t="n">
        <v>0</v>
      </c>
    </row>
    <row r="8" ht="15" customHeight="1" s="307">
      <c r="A8" s="498" t="inlineStr">
        <is>
          <t>Y2 Q1</t>
        </is>
      </c>
      <c r="B8" s="476">
        <f>SUM('_Engine_NR'!V43:V45)</f>
        <v/>
      </c>
      <c r="C8" s="476">
        <f>IF('_Engine_NR'!P216=0, 0, '_Engine_NR'!J234*B8/'_Engine_NR'!P216)</f>
        <v/>
      </c>
      <c r="D8" s="476">
        <f>IF('_Engine_NR'!P216=0, 0, '_Engine_NR'!K234*B8/'_Engine_NR'!P216)</f>
        <v/>
      </c>
      <c r="E8" s="476">
        <f>E7+C8</f>
        <v/>
      </c>
      <c r="F8" s="476" t="n">
        <v>0</v>
      </c>
    </row>
    <row r="9" ht="15" customHeight="1" s="307">
      <c r="A9" s="321" t="inlineStr">
        <is>
          <t>Y2 Q2</t>
        </is>
      </c>
      <c r="B9" s="354">
        <f>SUM('_Engine_NR'!V46:V48)</f>
        <v/>
      </c>
      <c r="C9" s="354">
        <f>IF('_Engine_NR'!P216=0, 0, '_Engine_NR'!J234*B9/'_Engine_NR'!P216)</f>
        <v/>
      </c>
      <c r="D9" s="354">
        <f>IF('_Engine_NR'!P216=0, 0, '_Engine_NR'!K234*B9/'_Engine_NR'!P216)</f>
        <v/>
      </c>
      <c r="E9" s="354">
        <f>E8+C9</f>
        <v/>
      </c>
      <c r="F9" s="354" t="n">
        <v>0</v>
      </c>
    </row>
    <row r="10" ht="15" customHeight="1" s="307">
      <c r="A10" s="321" t="inlineStr">
        <is>
          <t>Y2 Q3</t>
        </is>
      </c>
      <c r="B10" s="354">
        <f>SUM('_Engine_NR'!V49:V51)</f>
        <v/>
      </c>
      <c r="C10" s="354">
        <f>IF('_Engine_NR'!P216=0, 0, '_Engine_NR'!J234*B10/'_Engine_NR'!P216)</f>
        <v/>
      </c>
      <c r="D10" s="354">
        <f>IF('_Engine_NR'!P216=0, 0, '_Engine_NR'!K234*B10/'_Engine_NR'!P216)</f>
        <v/>
      </c>
      <c r="E10" s="354">
        <f>E9+C10</f>
        <v/>
      </c>
      <c r="F10" s="354" t="n">
        <v>0</v>
      </c>
    </row>
    <row r="11" ht="15" customHeight="1" s="307">
      <c r="A11" s="321" t="inlineStr">
        <is>
          <t>Y2 Q4</t>
        </is>
      </c>
      <c r="B11" s="354">
        <f>SUM('_Engine_NR'!V52:V54)</f>
        <v/>
      </c>
      <c r="C11" s="354">
        <f>IF('_Engine_NR'!P216=0, 0, '_Engine_NR'!J234*B11/'_Engine_NR'!P216)</f>
        <v/>
      </c>
      <c r="D11" s="354">
        <f>IF('_Engine_NR'!P216=0, 0, '_Engine_NR'!K234*B11/'_Engine_NR'!P216)</f>
        <v/>
      </c>
      <c r="E11" s="354">
        <f>E10+C11</f>
        <v/>
      </c>
      <c r="F11" s="354" t="n">
        <v>0</v>
      </c>
    </row>
    <row r="12" ht="15" customHeight="1" s="307">
      <c r="A12" s="498" t="inlineStr">
        <is>
          <t>Y3 Q1</t>
        </is>
      </c>
      <c r="B12" s="476">
        <f>SUM('_Engine_NR'!V55:V57)</f>
        <v/>
      </c>
      <c r="C12" s="476">
        <f>IF('_Engine_NR'!P217=0, 0, '_Engine_NR'!J235*B12/'_Engine_NR'!P217)</f>
        <v/>
      </c>
      <c r="D12" s="476">
        <f>IF('_Engine_NR'!P217=0, 0, '_Engine_NR'!K235*B12/'_Engine_NR'!P217)</f>
        <v/>
      </c>
      <c r="E12" s="476">
        <f>E11+C12</f>
        <v/>
      </c>
      <c r="F12" s="476" t="n">
        <v>0</v>
      </c>
    </row>
    <row r="13" ht="15" customHeight="1" s="307">
      <c r="A13" s="321" t="inlineStr">
        <is>
          <t>Y3 Q2</t>
        </is>
      </c>
      <c r="B13" s="354">
        <f>SUM('_Engine_NR'!V58:V60)</f>
        <v/>
      </c>
      <c r="C13" s="354">
        <f>IF('_Engine_NR'!P217=0, 0, '_Engine_NR'!J235*B13/'_Engine_NR'!P217)</f>
        <v/>
      </c>
      <c r="D13" s="354">
        <f>IF('_Engine_NR'!P217=0, 0, '_Engine_NR'!K235*B13/'_Engine_NR'!P217)</f>
        <v/>
      </c>
      <c r="E13" s="354">
        <f>E12+C13</f>
        <v/>
      </c>
      <c r="F13" s="354" t="n">
        <v>0</v>
      </c>
    </row>
    <row r="14" ht="15" customHeight="1" s="307">
      <c r="A14" s="321" t="inlineStr">
        <is>
          <t>Y3 Q3</t>
        </is>
      </c>
      <c r="B14" s="354">
        <f>SUM('_Engine_NR'!V61:V63)</f>
        <v/>
      </c>
      <c r="C14" s="354">
        <f>IF('_Engine_NR'!P217=0, 0, '_Engine_NR'!J235*B14/'_Engine_NR'!P217)</f>
        <v/>
      </c>
      <c r="D14" s="354">
        <f>IF('_Engine_NR'!P217=0, 0, '_Engine_NR'!K235*B14/'_Engine_NR'!P217)</f>
        <v/>
      </c>
      <c r="E14" s="354">
        <f>E13+C14</f>
        <v/>
      </c>
      <c r="F14" s="354" t="n">
        <v>0</v>
      </c>
    </row>
    <row r="15" ht="15" customHeight="1" s="307">
      <c r="A15" s="321" t="inlineStr">
        <is>
          <t>Y3 Q4</t>
        </is>
      </c>
      <c r="B15" s="354">
        <f>SUM('_Engine_NR'!V64:V66)</f>
        <v/>
      </c>
      <c r="C15" s="354">
        <f>IF('_Engine_NR'!P217=0, 0, '_Engine_NR'!J235*B15/'_Engine_NR'!P217)</f>
        <v/>
      </c>
      <c r="D15" s="354">
        <f>IF('_Engine_NR'!P217=0, 0, '_Engine_NR'!K235*B15/'_Engine_NR'!P217)</f>
        <v/>
      </c>
      <c r="E15" s="354">
        <f>E14+C15</f>
        <v/>
      </c>
      <c r="F15" s="354" t="n">
        <v>0</v>
      </c>
    </row>
    <row r="16" ht="15" customHeight="1" s="307">
      <c r="A16" s="498" t="inlineStr">
        <is>
          <t>Y4 Q1</t>
        </is>
      </c>
      <c r="B16" s="476">
        <f>SUM('_Engine_NR'!V67:V69)</f>
        <v/>
      </c>
      <c r="C16" s="476">
        <f>IF('_Engine_NR'!P218=0, 0, '_Engine_NR'!J236*B16/'_Engine_NR'!P218)</f>
        <v/>
      </c>
      <c r="D16" s="476">
        <f>IF('_Engine_NR'!P218=0, 0, '_Engine_NR'!K236*B16/'_Engine_NR'!P218)</f>
        <v/>
      </c>
      <c r="E16" s="476">
        <f>E15+C16</f>
        <v/>
      </c>
      <c r="F16" s="476" t="n">
        <v>0</v>
      </c>
    </row>
    <row r="17" ht="15" customHeight="1" s="307">
      <c r="A17" s="321" t="inlineStr">
        <is>
          <t>Y4 Q2</t>
        </is>
      </c>
      <c r="B17" s="354">
        <f>SUM('_Engine_NR'!V70:V72)</f>
        <v/>
      </c>
      <c r="C17" s="354">
        <f>IF('_Engine_NR'!P218=0, 0, '_Engine_NR'!J236*B17/'_Engine_NR'!P218)</f>
        <v/>
      </c>
      <c r="D17" s="354">
        <f>IF('_Engine_NR'!P218=0, 0, '_Engine_NR'!K236*B17/'_Engine_NR'!P218)</f>
        <v/>
      </c>
      <c r="E17" s="354">
        <f>E16+C17</f>
        <v/>
      </c>
      <c r="F17" s="354" t="n">
        <v>0</v>
      </c>
    </row>
    <row r="18" ht="15" customHeight="1" s="307">
      <c r="A18" s="321" t="inlineStr">
        <is>
          <t>Y4 Q3</t>
        </is>
      </c>
      <c r="B18" s="354">
        <f>SUM('_Engine_NR'!V73:V75)</f>
        <v/>
      </c>
      <c r="C18" s="354">
        <f>IF('_Engine_NR'!P218=0, 0, '_Engine_NR'!J236*B18/'_Engine_NR'!P218)</f>
        <v/>
      </c>
      <c r="D18" s="354">
        <f>IF('_Engine_NR'!P218=0, 0, '_Engine_NR'!K236*B18/'_Engine_NR'!P218)</f>
        <v/>
      </c>
      <c r="E18" s="354">
        <f>E17+C18</f>
        <v/>
      </c>
      <c r="F18" s="354" t="n">
        <v>0</v>
      </c>
    </row>
    <row r="19" ht="15" customHeight="1" s="307">
      <c r="A19" s="321" t="inlineStr">
        <is>
          <t>Y4 Q4</t>
        </is>
      </c>
      <c r="B19" s="354">
        <f>SUM('_Engine_NR'!V76:V78)</f>
        <v/>
      </c>
      <c r="C19" s="354">
        <f>IF('_Engine_NR'!P218=0, 0, '_Engine_NR'!J236*B19/'_Engine_NR'!P218)</f>
        <v/>
      </c>
      <c r="D19" s="354">
        <f>IF('_Engine_NR'!P218=0, 0, '_Engine_NR'!K236*B19/'_Engine_NR'!P218)</f>
        <v/>
      </c>
      <c r="E19" s="354">
        <f>E18+C19</f>
        <v/>
      </c>
      <c r="F19" s="354" t="n">
        <v>2.66216127109653</v>
      </c>
    </row>
    <row r="20" ht="15" customHeight="1" s="307">
      <c r="A20" s="498" t="inlineStr">
        <is>
          <t>Y5 Q1</t>
        </is>
      </c>
      <c r="B20" s="476">
        <f>SUM('_Engine_NR'!V79:V81)</f>
        <v/>
      </c>
      <c r="C20" s="476">
        <f>IF('_Engine_NR'!P219=0, 0, '_Engine_NR'!J237*B20/'_Engine_NR'!P219)</f>
        <v/>
      </c>
      <c r="D20" s="476">
        <f>IF('_Engine_NR'!P219=0, 0, '_Engine_NR'!K237*B20/'_Engine_NR'!P219)</f>
        <v/>
      </c>
      <c r="E20" s="476">
        <f>E19+C20</f>
        <v/>
      </c>
      <c r="F20" s="476" t="n">
        <v>6.12051111534222</v>
      </c>
    </row>
    <row r="21" ht="15" customHeight="1" s="307">
      <c r="A21" s="321" t="inlineStr">
        <is>
          <t>Y5 Q2</t>
        </is>
      </c>
      <c r="B21" s="354">
        <f>SUM('_Engine_NR'!V82:V84)</f>
        <v/>
      </c>
      <c r="C21" s="354">
        <f>IF('_Engine_NR'!P219=0, 0, '_Engine_NR'!J237*B21/'_Engine_NR'!P219)</f>
        <v/>
      </c>
      <c r="D21" s="354">
        <f>IF('_Engine_NR'!P219=0, 0, '_Engine_NR'!K237*B21/'_Engine_NR'!P219)</f>
        <v/>
      </c>
      <c r="E21" s="354">
        <f>E20+C21</f>
        <v/>
      </c>
      <c r="F21" s="354" t="n">
        <v>9.49854143591423</v>
      </c>
    </row>
    <row r="22" ht="15" customHeight="1" s="307">
      <c r="A22" s="321" t="inlineStr">
        <is>
          <t>Y5 Q3</t>
        </is>
      </c>
      <c r="B22" s="354">
        <f>SUM('_Engine_NR'!V85:V87)</f>
        <v/>
      </c>
      <c r="C22" s="354">
        <f>IF('_Engine_NR'!P219=0, 0, '_Engine_NR'!J237*B22/'_Engine_NR'!P219)</f>
        <v/>
      </c>
      <c r="D22" s="354">
        <f>IF('_Engine_NR'!P219=0, 0, '_Engine_NR'!K237*B22/'_Engine_NR'!P219)</f>
        <v/>
      </c>
      <c r="E22" s="354">
        <f>E21+C22</f>
        <v/>
      </c>
      <c r="F22" s="354" t="n">
        <v>12.8002651090692</v>
      </c>
    </row>
    <row r="23" ht="15" customHeight="1" s="307">
      <c r="A23" s="321" t="inlineStr">
        <is>
          <t>Y5 Q4</t>
        </is>
      </c>
      <c r="B23" s="354">
        <f>SUM('_Engine_NR'!V88:V90)</f>
        <v/>
      </c>
      <c r="C23" s="354">
        <f>IF('_Engine_NR'!P219=0, 0, '_Engine_NR'!J237*B23/'_Engine_NR'!P219)</f>
        <v/>
      </c>
      <c r="D23" s="354">
        <f>IF('_Engine_NR'!P219=0, 0, '_Engine_NR'!K237*B23/'_Engine_NR'!P219)</f>
        <v/>
      </c>
      <c r="E23" s="354">
        <f>E22+C23</f>
        <v/>
      </c>
      <c r="F23" s="354" t="n">
        <v>14.4460455664487</v>
      </c>
    </row>
    <row r="24" ht="15" customHeight="1" s="307">
      <c r="A24" s="498" t="inlineStr">
        <is>
          <t>Y6 Q1</t>
        </is>
      </c>
      <c r="B24" s="476">
        <f>SUM('_Engine_NR'!V91:V93)</f>
        <v/>
      </c>
      <c r="C24" s="476">
        <f>IF('_Engine_NR'!P220=0, 0, '_Engine_NR'!J238*B24/'_Engine_NR'!P220)</f>
        <v/>
      </c>
      <c r="D24" s="476">
        <f>IF('_Engine_NR'!P220=0, 0, '_Engine_NR'!K238*B24/'_Engine_NR'!P220)</f>
        <v/>
      </c>
      <c r="E24" s="476">
        <f>E23+C24</f>
        <v/>
      </c>
      <c r="F24" s="476" t="n">
        <v>17.606389132049</v>
      </c>
    </row>
    <row r="25" ht="15" customHeight="1" s="307">
      <c r="A25" s="321" t="inlineStr">
        <is>
          <t>Y6 Q2</t>
        </is>
      </c>
      <c r="B25" s="354">
        <f>SUM('_Engine_NR'!V94:V96)</f>
        <v/>
      </c>
      <c r="C25" s="354">
        <f>IF('_Engine_NR'!P220=0, 0, '_Engine_NR'!J238*B25/'_Engine_NR'!P220)</f>
        <v/>
      </c>
      <c r="D25" s="354">
        <f>IF('_Engine_NR'!P220=0, 0, '_Engine_NR'!K238*B25/'_Engine_NR'!P220)</f>
        <v/>
      </c>
      <c r="E25" s="354">
        <f>E24+C25</f>
        <v/>
      </c>
      <c r="F25" s="354" t="n">
        <v>20.7012822703885</v>
      </c>
    </row>
    <row r="26" ht="15" customHeight="1" s="307">
      <c r="A26" s="321" t="inlineStr">
        <is>
          <t>Y6 Q3</t>
        </is>
      </c>
      <c r="B26" s="354">
        <f>SUM('_Engine_NR'!V97:V99)</f>
        <v/>
      </c>
      <c r="C26" s="354">
        <f>IF('_Engine_NR'!P220=0, 0, '_Engine_NR'!J238*B26/'_Engine_NR'!P220)</f>
        <v/>
      </c>
      <c r="D26" s="354">
        <f>IF('_Engine_NR'!P220=0, 0, '_Engine_NR'!K238*B26/'_Engine_NR'!P220)</f>
        <v/>
      </c>
      <c r="E26" s="354">
        <f>E25+C26</f>
        <v/>
      </c>
      <c r="F26" s="354" t="n">
        <v>23.7339828542564</v>
      </c>
    </row>
    <row r="27" ht="15" customHeight="1" s="307">
      <c r="A27" s="321" t="inlineStr">
        <is>
          <t>Y6 Q4</t>
        </is>
      </c>
      <c r="B27" s="354">
        <f>SUM('_Engine_NR'!V100:V102)</f>
        <v/>
      </c>
      <c r="C27" s="354">
        <f>IF('_Engine_NR'!P220=0, 0, '_Engine_NR'!J238*B27/'_Engine_NR'!P220)</f>
        <v/>
      </c>
      <c r="D27" s="354">
        <f>IF('_Engine_NR'!P220=0, 0, '_Engine_NR'!K238*B27/'_Engine_NR'!P220)</f>
        <v/>
      </c>
      <c r="E27" s="354">
        <f>E26+C27</f>
        <v/>
      </c>
      <c r="F27" s="354" t="n">
        <v>25.355094698877</v>
      </c>
    </row>
    <row r="28" ht="15" customHeight="1" s="307">
      <c r="A28" s="498" t="inlineStr">
        <is>
          <t>Y7 Q1</t>
        </is>
      </c>
      <c r="B28" s="476">
        <f>SUM('_Engine_NR'!V103:V105)</f>
        <v/>
      </c>
      <c r="C28" s="476">
        <f>IF('_Engine_NR'!P221=0, 0, '_Engine_NR'!J239*B28/'_Engine_NR'!P221)</f>
        <v/>
      </c>
      <c r="D28" s="476">
        <f>IF('_Engine_NR'!P221=0, 0, '_Engine_NR'!K239*B28/'_Engine_NR'!P221)</f>
        <v/>
      </c>
      <c r="E28" s="476">
        <f>E27+C28</f>
        <v/>
      </c>
      <c r="F28" s="476" t="n">
        <v>28.2725319380305</v>
      </c>
    </row>
    <row r="29" ht="15" customHeight="1" s="307">
      <c r="A29" s="321" t="inlineStr">
        <is>
          <t>Y7 Q2</t>
        </is>
      </c>
      <c r="B29" s="354">
        <f>SUM('_Engine_NR'!V106:V108)</f>
        <v/>
      </c>
      <c r="C29" s="354">
        <f>IF('_Engine_NR'!P221=0, 0, '_Engine_NR'!J239*B29/'_Engine_NR'!P221)</f>
        <v/>
      </c>
      <c r="D29" s="354">
        <f>IF('_Engine_NR'!P221=0, 0, '_Engine_NR'!K239*B29/'_Engine_NR'!P221)</f>
        <v/>
      </c>
      <c r="E29" s="354">
        <f>E28+C29</f>
        <v/>
      </c>
      <c r="F29" s="354" t="n">
        <v>31.1365932483016</v>
      </c>
    </row>
    <row r="30" ht="15" customHeight="1" s="307">
      <c r="A30" s="321" t="inlineStr">
        <is>
          <t>Y7 Q3</t>
        </is>
      </c>
      <c r="B30" s="354">
        <f>SUM('_Engine_NR'!V109:V111)</f>
        <v/>
      </c>
      <c r="C30" s="354">
        <f>IF('_Engine_NR'!P221=0, 0, '_Engine_NR'!J239*B30/'_Engine_NR'!P221)</f>
        <v/>
      </c>
      <c r="D30" s="354">
        <f>IF('_Engine_NR'!P221=0, 0, '_Engine_NR'!K239*B30/'_Engine_NR'!P221)</f>
        <v/>
      </c>
      <c r="E30" s="354">
        <f>E29+C30</f>
        <v/>
      </c>
      <c r="F30" s="354" t="n">
        <v>33.9499253639382</v>
      </c>
    </row>
    <row r="31" ht="15" customHeight="1" s="307">
      <c r="A31" s="321" t="inlineStr">
        <is>
          <t>Y7 Q4</t>
        </is>
      </c>
      <c r="B31" s="354">
        <f>SUM('_Engine_NR'!V112:V114)</f>
        <v/>
      </c>
      <c r="C31" s="354">
        <f>IF('_Engine_NR'!P221=0, 0, '_Engine_NR'!J239*B31/'_Engine_NR'!P221)</f>
        <v/>
      </c>
      <c r="D31" s="354">
        <f>IF('_Engine_NR'!P221=0, 0, '_Engine_NR'!K239*B31/'_Engine_NR'!P221)</f>
        <v/>
      </c>
      <c r="E31" s="354">
        <f>E30+C31</f>
        <v/>
      </c>
      <c r="F31" s="354" t="n">
        <v>35.5508594465442</v>
      </c>
    </row>
    <row r="32" ht="15" customHeight="1" s="307">
      <c r="A32" s="498" t="inlineStr">
        <is>
          <t>Y8 Q1</t>
        </is>
      </c>
      <c r="B32" s="476">
        <f>SUM('_Engine_NR'!V115:V117)</f>
        <v/>
      </c>
      <c r="C32" s="476">
        <f>IF('_Engine_NR'!P222=0, 0, '_Engine_NR'!J240*B32/'_Engine_NR'!P222)</f>
        <v/>
      </c>
      <c r="D32" s="476">
        <f>IF('_Engine_NR'!P222=0, 0, '_Engine_NR'!K240*B32/'_Engine_NR'!P222)</f>
        <v/>
      </c>
      <c r="E32" s="476">
        <f>E31+C32</f>
        <v/>
      </c>
      <c r="F32" s="476" t="n">
        <v>38.2701455165392</v>
      </c>
    </row>
    <row r="33" ht="15" customHeight="1" s="307">
      <c r="A33" s="321" t="inlineStr">
        <is>
          <t>Y8 Q2</t>
        </is>
      </c>
      <c r="B33" s="354">
        <f>SUM('_Engine_NR'!V118:V120)</f>
        <v/>
      </c>
      <c r="C33" s="354">
        <f>IF('_Engine_NR'!P222=0, 0, '_Engine_NR'!J240*B33/'_Engine_NR'!P222)</f>
        <v/>
      </c>
      <c r="D33" s="354">
        <f>IF('_Engine_NR'!P222=0, 0, '_Engine_NR'!K240*B33/'_Engine_NR'!P222)</f>
        <v/>
      </c>
      <c r="E33" s="354">
        <f>E32+C33</f>
        <v/>
      </c>
      <c r="F33" s="354" t="n">
        <v>40.9458675944157</v>
      </c>
    </row>
    <row r="34" ht="15" customHeight="1" s="307">
      <c r="A34" s="321" t="inlineStr">
        <is>
          <t>Y8 Q3</t>
        </is>
      </c>
      <c r="B34" s="354">
        <f>SUM('_Engine_NR'!V121:V123)</f>
        <v/>
      </c>
      <c r="C34" s="354">
        <f>IF('_Engine_NR'!P222=0, 0, '_Engine_NR'!J240*B34/'_Engine_NR'!P222)</f>
        <v/>
      </c>
      <c r="D34" s="354">
        <f>IF('_Engine_NR'!P222=0, 0, '_Engine_NR'!K240*B34/'_Engine_NR'!P222)</f>
        <v/>
      </c>
      <c r="E34" s="354">
        <f>E33+C34</f>
        <v/>
      </c>
      <c r="F34" s="354" t="n">
        <v>43.580177438186</v>
      </c>
    </row>
    <row r="35" ht="15" customHeight="1" s="307">
      <c r="A35" s="321" t="inlineStr">
        <is>
          <t>Y8 Q4</t>
        </is>
      </c>
      <c r="B35" s="354">
        <f>SUM('_Engine_NR'!V124:V126)</f>
        <v/>
      </c>
      <c r="C35" s="354">
        <f>IF('_Engine_NR'!P222=0, 0, '_Engine_NR'!J240*B35/'_Engine_NR'!P222)</f>
        <v/>
      </c>
      <c r="D35" s="354">
        <f>IF('_Engine_NR'!P222=0, 0, '_Engine_NR'!K240*B35/'_Engine_NR'!P222)</f>
        <v/>
      </c>
      <c r="E35" s="354">
        <f>E34+C35</f>
        <v/>
      </c>
      <c r="F35" s="354" t="n">
        <v>45.1645928701438</v>
      </c>
    </row>
    <row r="36" ht="15" customHeight="1" s="307">
      <c r="A36" s="498" t="inlineStr">
        <is>
          <t>Y9 Q1</t>
        </is>
      </c>
      <c r="B36" s="476">
        <f>SUM('_Engine_NR'!V127:V129)</f>
        <v/>
      </c>
      <c r="C36" s="476">
        <f>IF('_Engine_NR'!P223=0, 0, '_Engine_NR'!J241*B36/'_Engine_NR'!P223)</f>
        <v/>
      </c>
      <c r="D36" s="476">
        <f>IF('_Engine_NR'!P223=0, 0, '_Engine_NR'!K241*B36/'_Engine_NR'!P223)</f>
        <v/>
      </c>
      <c r="E36" s="476">
        <f>E35+C36</f>
        <v/>
      </c>
      <c r="F36" s="476" t="n">
        <v>47.7221058130112</v>
      </c>
    </row>
    <row r="37" ht="15" customHeight="1" s="307">
      <c r="A37" s="321" t="inlineStr">
        <is>
          <t>Y9 Q2</t>
        </is>
      </c>
      <c r="B37" s="354">
        <f>SUM('_Engine_NR'!V130:V132)</f>
        <v/>
      </c>
      <c r="C37" s="354">
        <f>IF('_Engine_NR'!P223=0, 0, '_Engine_NR'!J241*B37/'_Engine_NR'!P223)</f>
        <v/>
      </c>
      <c r="D37" s="354">
        <f>IF('_Engine_NR'!P223=0, 0, '_Engine_NR'!K241*B37/'_Engine_NR'!P223)</f>
        <v/>
      </c>
      <c r="E37" s="354">
        <f>E36+C37</f>
        <v/>
      </c>
      <c r="F37" s="354" t="n">
        <v>50.2440338005231</v>
      </c>
    </row>
    <row r="38" ht="15" customHeight="1" s="307">
      <c r="A38" s="321" t="inlineStr">
        <is>
          <t>Y9 Q3</t>
        </is>
      </c>
      <c r="B38" s="354">
        <f>SUM('_Engine_NR'!V133:V135)</f>
        <v/>
      </c>
      <c r="C38" s="354">
        <f>IF('_Engine_NR'!P223=0, 0, '_Engine_NR'!J241*B38/'_Engine_NR'!P223)</f>
        <v/>
      </c>
      <c r="D38" s="354">
        <f>IF('_Engine_NR'!P223=0, 0, '_Engine_NR'!K241*B38/'_Engine_NR'!P223)</f>
        <v/>
      </c>
      <c r="E38" s="354">
        <f>E37+C38</f>
        <v/>
      </c>
      <c r="F38" s="354" t="n">
        <v>52.7321274541111</v>
      </c>
    </row>
    <row r="39" ht="15" customHeight="1" s="307">
      <c r="A39" s="321" t="inlineStr">
        <is>
          <t>Y9 Q4</t>
        </is>
      </c>
      <c r="B39" s="354">
        <f>SUM('_Engine_NR'!V136:V138)</f>
        <v/>
      </c>
      <c r="C39" s="354">
        <f>IF('_Engine_NR'!P223=0, 0, '_Engine_NR'!J241*B39/'_Engine_NR'!P223)</f>
        <v/>
      </c>
      <c r="D39" s="354">
        <f>IF('_Engine_NR'!P223=0, 0, '_Engine_NR'!K241*B39/'_Engine_NR'!P223)</f>
        <v/>
      </c>
      <c r="E39" s="354">
        <f>E38+C39</f>
        <v/>
      </c>
      <c r="F39" s="354" t="n">
        <v>54.3030079906695</v>
      </c>
    </row>
    <row r="40" ht="15" customHeight="1" s="307">
      <c r="A40" s="498" t="inlineStr">
        <is>
          <t>Y10 Q1</t>
        </is>
      </c>
      <c r="B40" s="476">
        <f>SUM('_Engine_NR'!V139:V141)</f>
        <v/>
      </c>
      <c r="C40" s="476">
        <f>IF('_Engine_NR'!P224=0, 0, '_Engine_NR'!J242*B40/'_Engine_NR'!P224)</f>
        <v/>
      </c>
      <c r="D40" s="476">
        <f>IF('_Engine_NR'!P224=0, 0, '_Engine_NR'!K242*B40/'_Engine_NR'!P224)</f>
        <v/>
      </c>
      <c r="E40" s="476">
        <f>E39+C40</f>
        <v/>
      </c>
      <c r="F40" s="476" t="n">
        <v>56.7283380688041</v>
      </c>
    </row>
    <row r="41" ht="15" customHeight="1" s="307">
      <c r="A41" s="321" t="inlineStr">
        <is>
          <t>Y10 Q2</t>
        </is>
      </c>
      <c r="B41" s="354">
        <f>SUM('_Engine_NR'!V142:V144)</f>
        <v/>
      </c>
      <c r="C41" s="354">
        <f>IF('_Engine_NR'!P224=0, 0, '_Engine_NR'!J242*B41/'_Engine_NR'!P224)</f>
        <v/>
      </c>
      <c r="D41" s="354">
        <f>IF('_Engine_NR'!P224=0, 0, '_Engine_NR'!K242*B41/'_Engine_NR'!P224)</f>
        <v/>
      </c>
      <c r="E41" s="354">
        <f>E40+C41</f>
        <v/>
      </c>
      <c r="F41" s="354" t="n">
        <v>59.1245764852428</v>
      </c>
    </row>
    <row r="42" ht="15" customHeight="1" s="307">
      <c r="A42" s="321" t="inlineStr">
        <is>
          <t>Y10 Q3</t>
        </is>
      </c>
      <c r="B42" s="354">
        <f>SUM('_Engine_NR'!V145:V147)</f>
        <v/>
      </c>
      <c r="C42" s="354">
        <f>IF('_Engine_NR'!P224=0, 0, '_Engine_NR'!J242*B42/'_Engine_NR'!P224)</f>
        <v/>
      </c>
      <c r="D42" s="354">
        <f>IF('_Engine_NR'!P224=0, 0, '_Engine_NR'!K242*B42/'_Engine_NR'!P224)</f>
        <v/>
      </c>
      <c r="E42" s="354">
        <f>E41+C42</f>
        <v/>
      </c>
      <c r="F42" s="354" t="n">
        <v>61.4931485698992</v>
      </c>
    </row>
    <row r="43" ht="15" customHeight="1" s="307">
      <c r="A43" s="321" t="inlineStr">
        <is>
          <t>Y10 Q4</t>
        </is>
      </c>
      <c r="B43" s="354">
        <f>SUM('_Engine_NR'!V148:V150)</f>
        <v/>
      </c>
      <c r="C43" s="354">
        <f>IF('_Engine_NR'!P224=0, 0, '_Engine_NR'!J242*B43/'_Engine_NR'!P224)</f>
        <v/>
      </c>
      <c r="D43" s="354">
        <f>IF('_Engine_NR'!P224=0, 0, '_Engine_NR'!K242*B43/'_Engine_NR'!P224)</f>
        <v/>
      </c>
      <c r="E43" s="354">
        <f>E42+C43</f>
        <v/>
      </c>
      <c r="F43" s="354" t="n">
        <v>63.0529292114891</v>
      </c>
    </row>
    <row r="44" ht="15" customHeight="1" s="307">
      <c r="A44" s="498" t="inlineStr">
        <is>
          <t>Y11 Q1</t>
        </is>
      </c>
      <c r="B44" s="476">
        <f>SUM('_Engine_NR'!V151:V153)</f>
        <v/>
      </c>
      <c r="C44" s="476">
        <f>IF('_Engine_NR'!P225=0, 0, '_Engine_NR'!J243*B44/'_Engine_NR'!P225)</f>
        <v/>
      </c>
      <c r="D44" s="476">
        <f>IF('_Engine_NR'!P225=0, 0, '_Engine_NR'!K243*B44/'_Engine_NR'!P225)</f>
        <v/>
      </c>
      <c r="E44" s="476">
        <f>E43+C44</f>
        <v/>
      </c>
      <c r="F44" s="476" t="n">
        <v>65.3701632892614</v>
      </c>
    </row>
    <row r="45" ht="15" customHeight="1" s="307">
      <c r="A45" s="321" t="inlineStr">
        <is>
          <t>Y11 Q2</t>
        </is>
      </c>
      <c r="B45" s="354">
        <f>SUM('_Engine_NR'!V154:V156)</f>
        <v/>
      </c>
      <c r="C45" s="354">
        <f>IF('_Engine_NR'!P225=0, 0, '_Engine_NR'!J243*B45/'_Engine_NR'!P225)</f>
        <v/>
      </c>
      <c r="D45" s="354">
        <f>IF('_Engine_NR'!P225=0, 0, '_Engine_NR'!K243*B45/'_Engine_NR'!P225)</f>
        <v/>
      </c>
      <c r="E45" s="354">
        <f>E44+C45</f>
        <v/>
      </c>
      <c r="F45" s="354" t="n">
        <v>67.6635938948771</v>
      </c>
    </row>
    <row r="46" ht="15" customHeight="1" s="307">
      <c r="A46" s="321" t="inlineStr">
        <is>
          <t>Y11 Q3</t>
        </is>
      </c>
      <c r="B46" s="354">
        <f>SUM('_Engine_NR'!V157:V159)</f>
        <v/>
      </c>
      <c r="C46" s="354">
        <f>IF('_Engine_NR'!P225=0, 0, '_Engine_NR'!J243*B46/'_Engine_NR'!P225)</f>
        <v/>
      </c>
      <c r="D46" s="354">
        <f>IF('_Engine_NR'!P225=0, 0, '_Engine_NR'!K243*B46/'_Engine_NR'!P225)</f>
        <v/>
      </c>
      <c r="E46" s="354">
        <f>E45+C46</f>
        <v/>
      </c>
      <c r="F46" s="354" t="n">
        <v>69.9343824001203</v>
      </c>
    </row>
    <row r="47" ht="15" customHeight="1" s="307">
      <c r="A47" s="321" t="inlineStr">
        <is>
          <t>Y11 Q4</t>
        </is>
      </c>
      <c r="B47" s="354">
        <f>SUM('_Engine_NR'!V160:V162)</f>
        <v/>
      </c>
      <c r="C47" s="354">
        <f>IF('_Engine_NR'!P225=0, 0, '_Engine_NR'!J243*B47/'_Engine_NR'!P225)</f>
        <v/>
      </c>
      <c r="D47" s="354">
        <f>IF('_Engine_NR'!P225=0, 0, '_Engine_NR'!K243*B47/'_Engine_NR'!P225)</f>
        <v/>
      </c>
      <c r="E47" s="354">
        <f>E46+C47</f>
        <v/>
      </c>
      <c r="F47" s="354" t="n">
        <v>71.4850519438841</v>
      </c>
    </row>
    <row r="48" ht="15" customHeight="1" s="307">
      <c r="A48" s="498" t="inlineStr">
        <is>
          <t>Y12 Q1</t>
        </is>
      </c>
      <c r="B48" s="476">
        <f>SUM('_Engine_NR'!V163:V165)</f>
        <v/>
      </c>
      <c r="C48" s="476">
        <f>IF('_Engine_NR'!P226=0, 0, '_Engine_NR'!J244*B48/'_Engine_NR'!P226)</f>
        <v/>
      </c>
      <c r="D48" s="476">
        <f>IF('_Engine_NR'!P226=0, 0, '_Engine_NR'!K244*B48/'_Engine_NR'!P226)</f>
        <v/>
      </c>
      <c r="E48" s="476">
        <f>E47+C48</f>
        <v/>
      </c>
      <c r="F48" s="476" t="n">
        <v>73.7138119690768</v>
      </c>
    </row>
    <row r="49" ht="15" customHeight="1" s="307">
      <c r="A49" s="321" t="inlineStr">
        <is>
          <t>Y12 Q2</t>
        </is>
      </c>
      <c r="B49" s="354">
        <f>SUM('_Engine_NR'!V166:V168)</f>
        <v/>
      </c>
      <c r="C49" s="354">
        <f>IF('_Engine_NR'!P226=0, 0, '_Engine_NR'!J244*B49/'_Engine_NR'!P226)</f>
        <v/>
      </c>
      <c r="D49" s="354">
        <f>IF('_Engine_NR'!P226=0, 0, '_Engine_NR'!K244*B49/'_Engine_NR'!P226)</f>
        <v/>
      </c>
      <c r="E49" s="354">
        <f>E48+C49</f>
        <v/>
      </c>
      <c r="F49" s="354" t="n">
        <v>75.9230785951643</v>
      </c>
    </row>
    <row r="50" ht="15" customHeight="1" s="307">
      <c r="A50" s="321" t="inlineStr">
        <is>
          <t>Y12 Q3</t>
        </is>
      </c>
      <c r="B50" s="354">
        <f>SUM('_Engine_NR'!V169:V171)</f>
        <v/>
      </c>
      <c r="C50" s="354">
        <f>IF('_Engine_NR'!P226=0, 0, '_Engine_NR'!J244*B50/'_Engine_NR'!P226)</f>
        <v/>
      </c>
      <c r="D50" s="354">
        <f>IF('_Engine_NR'!P226=0, 0, '_Engine_NR'!K244*B50/'_Engine_NR'!P226)</f>
        <v/>
      </c>
      <c r="E50" s="354">
        <f>E49+C50</f>
        <v/>
      </c>
      <c r="F50" s="354" t="n">
        <v>78.11379886124941</v>
      </c>
    </row>
    <row r="51" ht="15" customHeight="1" s="307">
      <c r="A51" s="321" t="inlineStr">
        <is>
          <t>Y12 Q4</t>
        </is>
      </c>
      <c r="B51" s="354">
        <f>SUM('_Engine_NR'!V172:V174)</f>
        <v/>
      </c>
      <c r="C51" s="354">
        <f>IF('_Engine_NR'!P226=0, 0, '_Engine_NR'!J244*B51/'_Engine_NR'!P226)</f>
        <v/>
      </c>
      <c r="D51" s="354">
        <f>IF('_Engine_NR'!P226=0, 0, '_Engine_NR'!K244*B51/'_Engine_NR'!P226)</f>
        <v/>
      </c>
      <c r="E51" s="354">
        <f>E50+C51</f>
        <v/>
      </c>
      <c r="F51" s="354" t="n">
        <v>79.65698302217839</v>
      </c>
    </row>
    <row r="52" ht="15" customHeight="1" s="307">
      <c r="A52" s="498" t="inlineStr">
        <is>
          <t>Y13 Q1</t>
        </is>
      </c>
      <c r="B52" s="476">
        <f>SUM('_Engine_NR'!V175:V177)</f>
        <v/>
      </c>
      <c r="C52" s="476">
        <f>IF('_Engine_NR'!P227=0, 0, '_Engine_NR'!J245*B52/'_Engine_NR'!P227)</f>
        <v/>
      </c>
      <c r="D52" s="476">
        <f>IF('_Engine_NR'!P227=0, 0, '_Engine_NR'!K245*B52/'_Engine_NR'!P227)</f>
        <v/>
      </c>
      <c r="E52" s="476">
        <f>E51+C52</f>
        <v/>
      </c>
      <c r="F52" s="476" t="n">
        <v>81.8132661408612</v>
      </c>
    </row>
    <row r="53" ht="15" customHeight="1" s="307">
      <c r="A53" s="321" t="inlineStr">
        <is>
          <t>Y13 Q2</t>
        </is>
      </c>
      <c r="B53" s="354">
        <f>SUM('_Engine_NR'!V178:V180)</f>
        <v/>
      </c>
      <c r="C53" s="354">
        <f>IF('_Engine_NR'!P227=0, 0, '_Engine_NR'!J245*B53/'_Engine_NR'!P227)</f>
        <v/>
      </c>
      <c r="D53" s="354">
        <f>IF('_Engine_NR'!P227=0, 0, '_Engine_NR'!K245*B53/'_Engine_NR'!P227)</f>
        <v/>
      </c>
      <c r="E53" s="354">
        <f>E52+C53</f>
        <v/>
      </c>
      <c r="F53" s="354" t="n">
        <v>83.953571512087</v>
      </c>
    </row>
    <row r="54" ht="15" customHeight="1" s="307">
      <c r="A54" s="321" t="inlineStr">
        <is>
          <t>Y13 Q3</t>
        </is>
      </c>
      <c r="B54" s="354">
        <f>SUM('_Engine_NR'!V181:V183)</f>
        <v/>
      </c>
      <c r="C54" s="354">
        <f>IF('_Engine_NR'!P227=0, 0, '_Engine_NR'!J245*B54/'_Engine_NR'!P227)</f>
        <v/>
      </c>
      <c r="D54" s="354">
        <f>IF('_Engine_NR'!P227=0, 0, '_Engine_NR'!K245*B54/'_Engine_NR'!P227)</f>
        <v/>
      </c>
      <c r="E54" s="354">
        <f>E53+C54</f>
        <v/>
      </c>
      <c r="F54" s="354" t="n">
        <v>86.0786720175619</v>
      </c>
    </row>
    <row r="55" ht="15" customHeight="1" s="307">
      <c r="A55" s="321" t="inlineStr">
        <is>
          <t>Y13 Q4</t>
        </is>
      </c>
      <c r="B55" s="354">
        <f>SUM('_Engine_NR'!V184:V186)</f>
        <v/>
      </c>
      <c r="C55" s="354">
        <f>IF('_Engine_NR'!P227=0, 0, '_Engine_NR'!J245*B55/'_Engine_NR'!P227)</f>
        <v/>
      </c>
      <c r="D55" s="354">
        <f>IF('_Engine_NR'!P227=0, 0, '_Engine_NR'!K245*B55/'_Engine_NR'!P227)</f>
        <v/>
      </c>
      <c r="E55" s="354">
        <f>E54+C55</f>
        <v/>
      </c>
      <c r="F55" s="354" t="n">
        <v>87.6157008433354</v>
      </c>
    </row>
    <row r="56" ht="15" customHeight="1" s="307">
      <c r="A56" s="498" t="inlineStr">
        <is>
          <t>Y14 Q1</t>
        </is>
      </c>
      <c r="B56" s="476">
        <f>SUM('_Engine_NR'!V187:V189)</f>
        <v/>
      </c>
      <c r="C56" s="476">
        <f>IF('_Engine_NR'!P228=0, 0, '_Engine_NR'!J246*B56/'_Engine_NR'!P228)</f>
        <v/>
      </c>
      <c r="D56" s="476">
        <f>IF('_Engine_NR'!P228=0, 0, '_Engine_NR'!K246*B56/'_Engine_NR'!P228)</f>
        <v/>
      </c>
      <c r="E56" s="476">
        <f>E55+C56</f>
        <v/>
      </c>
      <c r="F56" s="476" t="n">
        <v>89.71255942203111</v>
      </c>
    </row>
    <row r="57" ht="15" customHeight="1" s="307">
      <c r="A57" s="321" t="inlineStr">
        <is>
          <t>Y14 Q2</t>
        </is>
      </c>
      <c r="B57" s="354">
        <f>SUM('_Engine_NR'!V190:V192)</f>
        <v/>
      </c>
      <c r="C57" s="354">
        <f>IF('_Engine_NR'!P228=0, 0, '_Engine_NR'!J246*B57/'_Engine_NR'!P228)</f>
        <v/>
      </c>
      <c r="D57" s="354">
        <f>IF('_Engine_NR'!P228=0, 0, '_Engine_NR'!K246*B57/'_Engine_NR'!P228)</f>
        <v/>
      </c>
      <c r="E57" s="354">
        <f>E56+C57</f>
        <v/>
      </c>
      <c r="F57" s="354" t="n">
        <v>91.79631022881409</v>
      </c>
    </row>
    <row r="58" ht="15" customHeight="1" s="307">
      <c r="A58" s="321" t="inlineStr">
        <is>
          <t>Y14 Q3</t>
        </is>
      </c>
      <c r="B58" s="354">
        <f>SUM('_Engine_NR'!V193:V195)</f>
        <v/>
      </c>
      <c r="C58" s="354">
        <f>IF('_Engine_NR'!P228=0, 0, '_Engine_NR'!J246*B58/'_Engine_NR'!P228)</f>
        <v/>
      </c>
      <c r="D58" s="354">
        <f>IF('_Engine_NR'!P228=0, 0, '_Engine_NR'!K246*B58/'_Engine_NR'!P228)</f>
        <v/>
      </c>
      <c r="E58" s="354">
        <f>E57+C58</f>
        <v/>
      </c>
      <c r="F58" s="354" t="n">
        <v>93.8675845319098</v>
      </c>
    </row>
    <row r="59" ht="15" customHeight="1" s="307">
      <c r="A59" s="321" t="inlineStr">
        <is>
          <t>Y14 Q4</t>
        </is>
      </c>
      <c r="B59" s="354">
        <f>SUM('_Engine_NR'!V196:V198)</f>
        <v/>
      </c>
      <c r="C59" s="354">
        <f>IF('_Engine_NR'!P228=0, 0, '_Engine_NR'!J246*B59/'_Engine_NR'!P228)</f>
        <v/>
      </c>
      <c r="D59" s="354">
        <f>IF('_Engine_NR'!P228=0, 0, '_Engine_NR'!K246*B59/'_Engine_NR'!P228)</f>
        <v/>
      </c>
      <c r="E59" s="354">
        <f>E58+C59</f>
        <v/>
      </c>
      <c r="F59" s="354" t="n">
        <v>95.3995471150044</v>
      </c>
    </row>
    <row r="60" ht="15" customHeight="1" s="307">
      <c r="A60" s="498" t="inlineStr">
        <is>
          <t>Y15 Q1</t>
        </is>
      </c>
      <c r="B60" s="476">
        <f>SUM('_Engine_NR'!V199:V201)</f>
        <v/>
      </c>
      <c r="C60" s="476">
        <f>IF('_Engine_NR'!P229=0, 0, '_Engine_NR'!J247*B60/'_Engine_NR'!P229)</f>
        <v/>
      </c>
      <c r="D60" s="476">
        <f>IF('_Engine_NR'!P229=0, 0, '_Engine_NR'!K247*B60/'_Engine_NR'!P229)</f>
        <v/>
      </c>
      <c r="E60" s="476">
        <f>E59+C60</f>
        <v/>
      </c>
      <c r="F60" s="476" t="n">
        <v>97.4476394991479</v>
      </c>
    </row>
    <row r="61" ht="15" customHeight="1" s="307">
      <c r="A61" s="321" t="inlineStr">
        <is>
          <t>Y15 Q2</t>
        </is>
      </c>
      <c r="B61" s="354">
        <f>SUM('_Engine_NR'!V202:V204)</f>
        <v/>
      </c>
      <c r="C61" s="354">
        <f>IF('_Engine_NR'!P229=0, 0, '_Engine_NR'!J247*B61/'_Engine_NR'!P229)</f>
        <v/>
      </c>
      <c r="D61" s="354">
        <f>IF('_Engine_NR'!P229=0, 0, '_Engine_NR'!K247*B61/'_Engine_NR'!P229)</f>
        <v/>
      </c>
      <c r="E61" s="354">
        <f>E60+C61</f>
        <v/>
      </c>
      <c r="F61" s="354" t="n">
        <v>99.48496892790629</v>
      </c>
    </row>
    <row r="62" ht="15" customHeight="1" s="307">
      <c r="A62" s="321" t="inlineStr">
        <is>
          <t>Y15 Q3</t>
        </is>
      </c>
      <c r="B62" s="354">
        <f>SUM('_Engine_NR'!V205:V207)</f>
        <v/>
      </c>
      <c r="C62" s="354">
        <f>IF('_Engine_NR'!P229=0, 0, '_Engine_NR'!J247*B62/'_Engine_NR'!P229)</f>
        <v/>
      </c>
      <c r="D62" s="354">
        <f>IF('_Engine_NR'!P229=0, 0, '_Engine_NR'!K247*B62/'_Engine_NR'!P229)</f>
        <v/>
      </c>
      <c r="E62" s="354">
        <f>E61+C62</f>
        <v/>
      </c>
      <c r="F62" s="354" t="n">
        <v>101.512051434291</v>
      </c>
    </row>
    <row r="63" ht="15" customHeight="1" s="307">
      <c r="A63" s="321" t="inlineStr">
        <is>
          <t>Y15 Q4</t>
        </is>
      </c>
      <c r="B63" s="354">
        <f>SUM('_Engine_NR'!V208:V210)</f>
        <v/>
      </c>
      <c r="C63" s="354">
        <f>IF('_Engine_NR'!P229=0, 0, '_Engine_NR'!J247*B63/'_Engine_NR'!P229)</f>
        <v/>
      </c>
      <c r="D63" s="354">
        <f>IF('_Engine_NR'!P229=0, 0, '_Engine_NR'!K247*B63/'_Engine_NR'!P229)</f>
        <v/>
      </c>
      <c r="E63" s="354">
        <f>E62+C63</f>
        <v/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G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PORTFOLIO DASHBOARD  --  5 DEALS @ $24M ARR (RESTATED)</t>
        </is>
      </c>
      <c r="B1" s="309" t="n"/>
      <c r="C1" s="309" t="n"/>
      <c r="D1" s="309" t="n"/>
      <c r="E1" s="309" t="n"/>
      <c r="F1" s="309" t="n"/>
      <c r="G1" s="309" t="n"/>
    </row>
    <row r="3" ht="15" customHeight="1" s="307">
      <c r="A3" s="322" t="n"/>
      <c r="B3" s="388" t="inlineStr">
        <is>
          <t>Deal #1</t>
        </is>
      </c>
      <c r="C3" s="388" t="inlineStr">
        <is>
          <t>Deal #2</t>
        </is>
      </c>
      <c r="D3" s="388" t="inlineStr">
        <is>
          <t>Deal #3</t>
        </is>
      </c>
      <c r="E3" s="388" t="inlineStr">
        <is>
          <t>Deal #4</t>
        </is>
      </c>
      <c r="F3" s="388" t="inlineStr">
        <is>
          <t>Deal #5</t>
        </is>
      </c>
      <c r="G3" s="388" t="inlineStr">
        <is>
          <t>Portfolio</t>
        </is>
      </c>
    </row>
    <row r="4" ht="15" customHeight="1" s="307">
      <c r="A4" s="321" t="inlineStr">
        <is>
          <t>ARR ($mm)</t>
        </is>
      </c>
      <c r="B4" s="354" t="n">
        <v>24</v>
      </c>
      <c r="C4" s="354" t="n">
        <v>24</v>
      </c>
      <c r="D4" s="354" t="n">
        <v>24</v>
      </c>
      <c r="E4" s="354" t="n">
        <v>24</v>
      </c>
      <c r="F4" s="354" t="n">
        <v>24</v>
      </c>
      <c r="G4" s="569">
        <f>SUM(B4:F4)</f>
        <v/>
      </c>
    </row>
    <row r="5" ht="15" customHeight="1" s="307">
      <c r="A5" s="321" t="inlineStr">
        <is>
          <t>Entry Multiple</t>
        </is>
      </c>
      <c r="B5" s="441" t="n">
        <v>1.24</v>
      </c>
      <c r="C5" s="441" t="n">
        <v>1.24</v>
      </c>
      <c r="D5" s="441" t="n">
        <v>1.24</v>
      </c>
      <c r="E5" s="441" t="n">
        <v>1.24</v>
      </c>
      <c r="F5" s="441" t="n">
        <v>1.24</v>
      </c>
      <c r="G5" s="358">
        <f>AVERAGE(B5:F5)</f>
        <v/>
      </c>
    </row>
    <row r="6" ht="15" customHeight="1" s="307">
      <c r="A6" s="321" t="inlineStr">
        <is>
          <t>Net Purchase ($mm)</t>
        </is>
      </c>
      <c r="B6" s="354">
        <f>24*1.24 - 24*0.1154*0.5</f>
        <v/>
      </c>
      <c r="C6" s="354">
        <f>24*1.24 - 24*0.1154*0.5</f>
        <v/>
      </c>
      <c r="D6" s="354">
        <f>24*1.24 - 24*0.1154*0.5</f>
        <v/>
      </c>
      <c r="E6" s="354">
        <f>24*1.24 - 24*0.1154*0.5</f>
        <v/>
      </c>
      <c r="F6" s="354">
        <f>24*1.24 - 24*0.1154*0.5</f>
        <v/>
      </c>
      <c r="G6" s="569">
        <f>SUM(B6:F6)</f>
        <v/>
      </c>
    </row>
    <row r="7" ht="15" customHeight="1" s="307">
      <c r="A7" s="321" t="inlineStr">
        <is>
          <t>NDR</t>
        </is>
      </c>
      <c r="B7" s="404" t="n">
        <v>0.85</v>
      </c>
      <c r="C7" s="404" t="n">
        <v>0.85</v>
      </c>
      <c r="D7" s="404" t="n">
        <v>0.85</v>
      </c>
      <c r="E7" s="404" t="n">
        <v>0.85</v>
      </c>
      <c r="F7" s="404" t="n">
        <v>0.85</v>
      </c>
      <c r="G7" s="569" t="n"/>
    </row>
    <row r="8" ht="15" customHeight="1" s="307">
      <c r="A8" s="321" t="inlineStr">
        <is>
          <t>Close Month</t>
        </is>
      </c>
      <c r="B8" s="394" t="inlineStr">
        <is>
          <t>M4</t>
        </is>
      </c>
      <c r="C8" s="394" t="inlineStr">
        <is>
          <t>M7</t>
        </is>
      </c>
      <c r="D8" s="394" t="inlineStr">
        <is>
          <t>M10</t>
        </is>
      </c>
      <c r="E8" s="394" t="inlineStr">
        <is>
          <t>M12</t>
        </is>
      </c>
      <c r="F8" s="394" t="inlineStr">
        <is>
          <t>M16</t>
        </is>
      </c>
    </row>
    <row r="9" ht="15" customHeight="1" s="307">
      <c r="A9" s="322" t="n"/>
      <c r="B9" s="394" t="n"/>
      <c r="C9" s="394" t="n"/>
      <c r="D9" s="394" t="n"/>
      <c r="E9" s="394" t="n"/>
      <c r="F9" s="394" t="n"/>
    </row>
    <row r="10" ht="15" customHeight="1" s="307">
      <c r="A10" s="322" t="n"/>
      <c r="B10" s="404" t="n"/>
      <c r="C10" s="404" t="n"/>
      <c r="D10" s="404" t="n"/>
      <c r="E10" s="404" t="n"/>
      <c r="F10" s="404" t="n"/>
    </row>
    <row r="11" ht="15" customHeight="1" s="307">
      <c r="A11" s="322" t="n"/>
      <c r="B11" s="394" t="n"/>
      <c r="C11" s="394" t="n"/>
      <c r="D11" s="394" t="n"/>
      <c r="E11" s="394" t="n"/>
      <c r="F11" s="394" t="n"/>
    </row>
    <row r="13" ht="15" customHeight="1" s="307">
      <c r="A13" s="321" t="n"/>
      <c r="B13" s="354" t="n"/>
      <c r="C13" s="354" t="n"/>
      <c r="D13" s="354" t="n"/>
      <c r="E13" s="354" t="n"/>
      <c r="F13" s="354" t="n"/>
      <c r="G13" s="569" t="n"/>
    </row>
    <row r="14" ht="15" customHeight="1" s="307">
      <c r="A14" s="321" t="n"/>
      <c r="B14" s="354" t="n"/>
      <c r="C14" s="354" t="n"/>
      <c r="D14" s="354" t="n"/>
      <c r="E14" s="354" t="n"/>
      <c r="F14" s="354" t="n"/>
      <c r="G14" s="569" t="n"/>
    </row>
    <row r="15" ht="15" customHeight="1" s="307">
      <c r="A15" s="321" t="n"/>
      <c r="B15" s="354" t="n"/>
      <c r="C15" s="354" t="n"/>
      <c r="D15" s="354" t="n"/>
      <c r="E15" s="354" t="n"/>
      <c r="F15" s="354" t="n"/>
      <c r="G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  <c r="G16" s="56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16" customWidth="1" style="306" min="2" max="6"/>
    <col width="16" customWidth="1" style="307" min="3" max="3"/>
    <col width="16" customWidth="1" style="307" min="4" max="4"/>
  </cols>
  <sheetData>
    <row r="1" ht="15.75" customHeight="1" s="307">
      <c r="A1" s="612" t="inlineStr">
        <is>
          <t>SCENARIO COMPARISON  --  STANDARD + ESCALATING WATERFALL</t>
        </is>
      </c>
      <c r="B1" s="613" t="n"/>
      <c r="C1" s="613" t="n"/>
      <c r="D1" s="613" t="n"/>
      <c r="E1" s="614" t="n"/>
      <c r="F1" s="614" t="n"/>
      <c r="G1" s="614" t="n"/>
    </row>
    <row r="2">
      <c r="A2" s="615" t="inlineStr">
        <is>
          <t>Live from engines. Use Tab 6 for the LP-facing summary; this tab adds the escalating delta clearly.</t>
        </is>
      </c>
      <c r="B2" s="614" t="n"/>
      <c r="C2" s="614" t="n"/>
      <c r="D2" s="614" t="n"/>
      <c r="E2" s="614" t="n"/>
      <c r="F2" s="614" t="n"/>
      <c r="G2" s="614" t="n"/>
    </row>
    <row r="3" ht="21.75" customHeight="1" s="307">
      <c r="A3" s="613" t="n"/>
      <c r="B3" s="683" t="n"/>
      <c r="C3" s="683" t="n"/>
      <c r="D3" s="683" t="n"/>
      <c r="E3" s="683" t="n"/>
      <c r="F3" s="683" t="n"/>
      <c r="G3" s="614" t="n"/>
    </row>
    <row r="4" ht="15" customHeight="1" s="307">
      <c r="A4" s="643" t="inlineStr">
        <is>
          <t>Metric</t>
        </is>
      </c>
      <c r="B4" s="658" t="inlineStr">
        <is>
          <t>No Recycle</t>
        </is>
      </c>
      <c r="C4" s="658" t="inlineStr">
        <is>
          <t>50% Recycle</t>
        </is>
      </c>
      <c r="D4" s="658" t="inlineStr">
        <is>
          <t>100% Recycle</t>
        </is>
      </c>
      <c r="E4" s="684" t="n"/>
      <c r="F4" s="684" t="n"/>
      <c r="G4" s="614" t="n"/>
    </row>
    <row r="5" ht="15" customHeight="1" s="307">
      <c r="A5" s="616" t="inlineStr">
        <is>
          <t>STANDARD 80/20 FLAT</t>
        </is>
      </c>
      <c r="B5" s="685" t="n"/>
      <c r="C5" s="685" t="n"/>
      <c r="D5" s="685" t="n"/>
      <c r="E5" s="686" t="n"/>
      <c r="F5" s="686" t="n"/>
      <c r="G5" s="614" t="n"/>
    </row>
    <row r="6" ht="15" customHeight="1" s="307">
      <c r="A6" s="613" t="inlineStr">
        <is>
          <t>15Y DPI</t>
        </is>
      </c>
      <c r="B6" s="687">
        <f>'_Engine_NR'!B252</f>
        <v/>
      </c>
      <c r="C6" s="687">
        <f>'_Engine_R50'!B252</f>
        <v/>
      </c>
      <c r="D6" s="687">
        <f>'_Engine_R100'!B252</f>
        <v/>
      </c>
      <c r="E6" s="619" t="n"/>
      <c r="F6" s="619" t="n"/>
      <c r="G6" s="614" t="n"/>
    </row>
    <row r="7" ht="15" customHeight="1" s="307">
      <c r="A7" s="613" t="inlineStr">
        <is>
          <t>15Y LP Cash ($mm)</t>
        </is>
      </c>
      <c r="B7" s="688">
        <f>'_Engine_NR'!B250</f>
        <v/>
      </c>
      <c r="C7" s="688">
        <f>'_Engine_R50'!B250</f>
        <v/>
      </c>
      <c r="D7" s="688">
        <f>'_Engine_R100'!B250</f>
        <v/>
      </c>
      <c r="E7" s="619" t="n"/>
      <c r="F7" s="619" t="n"/>
      <c r="G7" s="614" t="n"/>
    </row>
    <row r="8" ht="15" customHeight="1" s="307">
      <c r="A8" s="613" t="inlineStr">
        <is>
          <t>15Y GP Carry ($mm)</t>
        </is>
      </c>
      <c r="B8" s="688">
        <f>'_Engine_NR'!B251</f>
        <v/>
      </c>
      <c r="C8" s="688">
        <f>'_Engine_R50'!B251</f>
        <v/>
      </c>
      <c r="D8" s="688">
        <f>'_Engine_R100'!B251</f>
        <v/>
      </c>
      <c r="E8" s="689" t="n"/>
      <c r="F8" s="689" t="n"/>
      <c r="G8" s="614" t="n"/>
    </row>
    <row r="9" ht="15" customHeight="1" s="307">
      <c r="A9" s="613" t="inlineStr">
        <is>
          <t>15Y IRR</t>
        </is>
      </c>
      <c r="B9" s="684">
        <f>'_Engine_NR'!B276</f>
        <v/>
      </c>
      <c r="C9" s="684">
        <f>'_Engine_R50'!B276</f>
        <v/>
      </c>
      <c r="D9" s="684">
        <f>'_Engine_R100'!B276</f>
        <v/>
      </c>
      <c r="E9" s="689" t="n"/>
      <c r="F9" s="689" t="n"/>
      <c r="G9" s="614" t="n"/>
    </row>
    <row r="10" ht="15" customHeight="1" s="307">
      <c r="A10" s="613" t="n"/>
      <c r="B10" s="619" t="n"/>
      <c r="C10" s="619" t="n"/>
      <c r="D10" s="619" t="n"/>
      <c r="E10" s="619" t="n"/>
      <c r="F10" s="619" t="n"/>
      <c r="G10" s="614" t="n"/>
    </row>
    <row r="11" ht="15" customHeight="1" s="307">
      <c r="A11" s="616" t="inlineStr">
        <is>
          <t>ESCALATING (per LPA tiers)</t>
        </is>
      </c>
      <c r="B11" s="617" t="n"/>
      <c r="C11" s="617" t="n"/>
      <c r="D11" s="617" t="n"/>
      <c r="E11" s="619" t="n"/>
      <c r="F11" s="619" t="n"/>
      <c r="G11" s="614" t="n"/>
    </row>
    <row r="12">
      <c r="A12" s="614" t="inlineStr">
        <is>
          <t>15Y DPI</t>
        </is>
      </c>
      <c r="B12" s="690">
        <f>'_Engine_NR'!B311</f>
        <v/>
      </c>
      <c r="C12" s="690">
        <f>'_Engine_R50'!B311</f>
        <v/>
      </c>
      <c r="D12" s="690">
        <f>'_Engine_R100'!B311</f>
        <v/>
      </c>
      <c r="E12" s="614" t="n"/>
      <c r="F12" s="614" t="n"/>
      <c r="G12" s="614" t="n"/>
    </row>
    <row r="13">
      <c r="A13" s="614" t="inlineStr">
        <is>
          <t>15Y LP Cash ($mm)</t>
        </is>
      </c>
      <c r="B13" s="691">
        <f>'_Engine_NR'!B309</f>
        <v/>
      </c>
      <c r="C13" s="691">
        <f>'_Engine_R50'!B309</f>
        <v/>
      </c>
      <c r="D13" s="691">
        <f>'_Engine_R100'!B309</f>
        <v/>
      </c>
      <c r="E13" s="614" t="n"/>
      <c r="F13" s="614" t="n"/>
      <c r="G13" s="614" t="n"/>
    </row>
    <row r="14">
      <c r="A14" s="614" t="inlineStr">
        <is>
          <t>15Y GP Carry ($mm)</t>
        </is>
      </c>
      <c r="B14" s="691">
        <f>'_Engine_NR'!B310</f>
        <v/>
      </c>
      <c r="C14" s="691">
        <f>'_Engine_R50'!B310</f>
        <v/>
      </c>
      <c r="D14" s="691">
        <f>'_Engine_R100'!B310</f>
        <v/>
      </c>
      <c r="E14" s="614" t="n"/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>
      <c r="A16" s="642" t="inlineStr">
        <is>
          <t>DELTA (Escalating - Standard)</t>
        </is>
      </c>
      <c r="B16" s="618" t="n"/>
      <c r="C16" s="618" t="n"/>
      <c r="D16" s="618" t="n"/>
      <c r="E16" s="614" t="n"/>
      <c r="F16" s="614" t="n"/>
      <c r="G16" s="614" t="n"/>
    </row>
    <row r="17">
      <c r="A17" s="614" t="inlineStr">
        <is>
          <t>LP Cash delta ($mm)</t>
        </is>
      </c>
      <c r="B17" s="691">
        <f>'_Engine_NR'!B309-B250</f>
        <v/>
      </c>
      <c r="C17" s="691">
        <f>'_Engine_R50'!B309-B250</f>
        <v/>
      </c>
      <c r="D17" s="691">
        <f>'_Engine_R100'!B309-B250</f>
        <v/>
      </c>
      <c r="E17" s="614" t="n"/>
      <c r="F17" s="614" t="n"/>
      <c r="G17" s="614" t="n"/>
    </row>
    <row r="18">
      <c r="A18" s="614" t="inlineStr">
        <is>
          <t>GP Carry delta ($mm)</t>
        </is>
      </c>
      <c r="B18" s="691">
        <f>'_Engine_NR'!B310-B251</f>
        <v/>
      </c>
      <c r="C18" s="691">
        <f>'_Engine_R50'!B310-B251</f>
        <v/>
      </c>
      <c r="D18" s="691">
        <f>'_Engine_R100'!B310-B251</f>
        <v/>
      </c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42" t="inlineStr">
        <is>
          <t>CLAWBACK CHECK (whole-fund)</t>
        </is>
      </c>
      <c r="B20" s="618" t="n"/>
      <c r="C20" s="618" t="n"/>
      <c r="D20" s="618" t="n"/>
      <c r="E20" s="614" t="n"/>
      <c r="F20" s="614" t="n"/>
      <c r="G20" s="614" t="n"/>
    </row>
    <row r="21">
      <c r="A21" s="614" t="inlineStr">
        <is>
          <t>LP entitled ($mm)</t>
        </is>
      </c>
      <c r="B21" s="691">
        <f>'_Engine_NR'!B324</f>
        <v/>
      </c>
      <c r="C21" s="691">
        <f>'_Engine_R50'!B324</f>
        <v/>
      </c>
      <c r="D21" s="691">
        <f>'_Engine_R100'!B324</f>
        <v/>
      </c>
      <c r="E21" s="614" t="n"/>
      <c r="F21" s="614" t="n"/>
      <c r="G21" s="614" t="n"/>
    </row>
    <row r="22">
      <c r="A22" s="614" t="inlineStr">
        <is>
          <t>GP entitled ($mm)</t>
        </is>
      </c>
      <c r="B22" s="691">
        <f>'_Engine_NR'!B325</f>
        <v/>
      </c>
      <c r="C22" s="691">
        <f>'_Engine_R50'!B325</f>
        <v/>
      </c>
      <c r="D22" s="691">
        <f>'_Engine_R100'!B325</f>
        <v/>
      </c>
      <c r="E22" s="614" t="n"/>
      <c r="F22" s="614" t="n"/>
      <c r="G22" s="614" t="n"/>
    </row>
    <row r="23">
      <c r="A23" s="614" t="inlineStr">
        <is>
          <t>GP actual paid ($mm)</t>
        </is>
      </c>
      <c r="B23" s="691">
        <f>'_Engine_NR'!B326</f>
        <v/>
      </c>
      <c r="C23" s="691">
        <f>'_Engine_R50'!B326</f>
        <v/>
      </c>
      <c r="D23" s="691">
        <f>'_Engine_R100'!B326</f>
        <v/>
      </c>
      <c r="E23" s="614" t="n"/>
      <c r="F23" s="614" t="n"/>
      <c r="G23" s="614" t="n"/>
    </row>
    <row r="24">
      <c r="A24" s="614" t="inlineStr">
        <is>
          <t>Clawback ($mm)</t>
        </is>
      </c>
      <c r="B24" s="691">
        <f>'_Engine_NR'!B327</f>
        <v/>
      </c>
      <c r="C24" s="691">
        <f>'_Engine_R50'!B327</f>
        <v/>
      </c>
      <c r="D24" s="691">
        <f>'_Engine_R100'!B327</f>
        <v/>
      </c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5" t="inlineStr">
        <is>
          <t>Clawback in base case is ~$0 (escalating waterfall ~matches whole-fund). Under STRESS (Tab 13), clawback would activate.</t>
        </is>
      </c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323" t="inlineStr">
        <is>
          <t>CEO/CFO at 50% pre-deal, full pay + catch-up at M7.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32" customWidth="1" style="306" min="2" max="3"/>
    <col width="35" customWidth="1" style="307" min="3" max="3"/>
    <col width="16" customWidth="1" style="306" min="4" max="4"/>
    <col width="60" customWidth="1" style="307" min="5" max="5"/>
  </cols>
  <sheetData>
    <row r="1" ht="15.75" customHeight="1" s="307">
      <c r="A1" s="612" t="inlineStr">
        <is>
          <t>PRESS VS INDUSTRY BENCHMARKS  --  CORRECTED</t>
        </is>
      </c>
      <c r="B1" s="613" t="n"/>
      <c r="C1" s="613" t="n"/>
      <c r="D1" s="613" t="n"/>
      <c r="E1" s="614" t="n"/>
      <c r="F1" s="614" t="n"/>
      <c r="G1" s="614" t="n"/>
    </row>
    <row r="2" ht="15" customHeight="1" s="307">
      <c r="A2" s="593" t="inlineStr">
        <is>
          <t>Original tab compared apples to oranges (realized Press DPI vs unrealized PE DPI; EBITDA margin vs net income margin).</t>
        </is>
      </c>
      <c r="B2" s="614" t="n"/>
      <c r="C2" s="614" t="n"/>
      <c r="D2" s="614" t="n"/>
      <c r="E2" s="614" t="n"/>
      <c r="F2" s="614" t="n"/>
      <c r="G2" s="614" t="n"/>
    </row>
    <row r="3">
      <c r="A3" s="614" t="n"/>
      <c r="B3" s="614" t="n"/>
      <c r="C3" s="614" t="n"/>
      <c r="D3" s="614" t="n"/>
      <c r="E3" s="614" t="n"/>
      <c r="F3" s="614" t="n"/>
      <c r="G3" s="614" t="n"/>
    </row>
    <row r="4" ht="28" customHeight="1" s="307">
      <c r="A4" s="643" t="inlineStr">
        <is>
          <t>Metric</t>
        </is>
      </c>
      <c r="B4" s="643" t="inlineStr">
        <is>
          <t>Press (projected)</t>
        </is>
      </c>
      <c r="C4" s="643" t="inlineStr">
        <is>
          <t>PE Benchmark</t>
        </is>
      </c>
      <c r="D4" s="643" t="inlineStr">
        <is>
          <t>Apples-to-apples?</t>
        </is>
      </c>
      <c r="E4" s="643" t="inlineStr">
        <is>
          <t>Notes</t>
        </is>
      </c>
      <c r="F4" s="614" t="n"/>
      <c r="G4" s="614" t="n"/>
    </row>
    <row r="5" ht="90" customHeight="1" s="307">
      <c r="A5" s="635" t="inlineStr">
        <is>
          <t>Net IRR (15Y, projected)</t>
        </is>
      </c>
      <c r="B5" s="681" t="inlineStr">
        <is>
          <t>26-33% (engine)</t>
        </is>
      </c>
      <c r="C5" s="681" t="inlineStr">
        <is>
          <t>Net IRR median 15Y vintage PE: ~12-14%; top quartile ~18-22%</t>
        </is>
      </c>
      <c r="D5" s="639" t="inlineStr">
        <is>
          <t>PARTIAL</t>
        </is>
      </c>
      <c r="E5" s="638" t="inlineStr">
        <is>
          <t>Press IRR is projected (no realizations yet). PE benchmark is realized. Comparing projected to realized is a category error -- the 'gap' may close as Press realizes.</t>
        </is>
      </c>
      <c r="F5" s="614" t="n"/>
      <c r="G5" s="614" t="n"/>
    </row>
    <row r="6" ht="90" customHeight="1" s="307">
      <c r="A6" s="635" t="inlineStr">
        <is>
          <t>DPI at fully-harvested Y15</t>
        </is>
      </c>
      <c r="B6" s="681" t="inlineStr">
        <is>
          <t>4.12x (No Recycle); 7.23x (50% Recycle)</t>
        </is>
      </c>
      <c r="C6" s="681" t="inlineStr">
        <is>
          <t>DPI median 15Y vintage PE: ~1.8-2.2x; top quartile ~2.8-3.5x</t>
        </is>
      </c>
      <c r="D6" s="637" t="inlineStr">
        <is>
          <t>YES</t>
        </is>
      </c>
      <c r="E6" s="638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614" t="n"/>
      <c r="G6" s="614" t="n"/>
    </row>
    <row r="7" ht="90" customHeight="1" s="307">
      <c r="A7" s="635" t="inlineStr">
        <is>
          <t>DPI at 10Y</t>
        </is>
      </c>
      <c r="B7" s="681" t="inlineStr">
        <is>
          <t>3.25x (NR); 5.37x (R50)</t>
        </is>
      </c>
      <c r="C7" s="681" t="inlineStr">
        <is>
          <t>PE median 10Y DPI: ~1.0-1.5x (most funds still holding)</t>
        </is>
      </c>
      <c r="D7" s="640" t="inlineStr">
        <is>
          <t>NO</t>
        </is>
      </c>
      <c r="E7" s="638" t="inlineStr">
        <is>
          <t>PE funds typically hold assets at Y10. Press is projecting full realization by Y10 -- if true, the 3.25x is high but apples to PE-at-exit, not PE-at-10Y.</t>
        </is>
      </c>
      <c r="F7" s="614" t="n"/>
      <c r="G7" s="614" t="n"/>
    </row>
    <row r="8" ht="90" customHeight="1" s="307">
      <c r="A8" s="635" t="inlineStr">
        <is>
          <t>Use of leverage</t>
        </is>
      </c>
      <c r="B8" s="681" t="inlineStr">
        <is>
          <t>Zero</t>
        </is>
      </c>
      <c r="C8" s="681" t="inlineStr">
        <is>
          <t>3-5x debt/EBITDA at OpCo (private credit) or 4-6x at fund (PE)</t>
        </is>
      </c>
      <c r="D8" s="637" t="inlineStr">
        <is>
          <t>YES</t>
        </is>
      </c>
      <c r="E8" s="638" t="inlineStr">
        <is>
          <t>Real structural difference. Press equity-only is safer but generates lower IRR for any given EBITDA. Press IRR matched to PE while unlevered is genuinely better risk-adjusted.</t>
        </is>
      </c>
      <c r="F8" s="614" t="n"/>
      <c r="G8" s="614" t="n"/>
    </row>
    <row r="9" ht="90" customHeight="1" s="307">
      <c r="A9" s="635" t="inlineStr">
        <is>
          <t>Distribution cadence</t>
        </is>
      </c>
      <c r="B9" s="681" t="inlineStr">
        <is>
          <t>Quarterly (operating cash)</t>
        </is>
      </c>
      <c r="C9" s="681" t="inlineStr">
        <is>
          <t>PE: at exit only (5-10Y delayed)</t>
        </is>
      </c>
      <c r="D9" s="637" t="inlineStr">
        <is>
          <t>YES</t>
        </is>
      </c>
      <c r="E9" s="638" t="inlineStr">
        <is>
          <t>Press is more like an income-and-exit hybrid; PE is pure exit. Tax treatment differs (Press = mostly ordinary; PE = mostly LTCG).</t>
        </is>
      </c>
      <c r="F9" s="614" t="n"/>
      <c r="G9" s="614" t="n"/>
    </row>
    <row r="10" ht="90" customHeight="1" s="307">
      <c r="A10" s="635" t="inlineStr">
        <is>
          <t>Management fee</t>
        </is>
      </c>
      <c r="B10" s="681" t="inlineStr">
        <is>
          <t>2% Y1 only, then 0%</t>
        </is>
      </c>
      <c r="C10" s="681" t="inlineStr">
        <is>
          <t>PE: 2% during investment, 1% during harvest; total ~$25-30M on a $150M fund over 10Y</t>
        </is>
      </c>
      <c r="D10" s="637" t="inlineStr">
        <is>
          <t>YES</t>
        </is>
      </c>
      <c r="E10" s="638" t="inlineStr">
        <is>
          <t>Press fee structure is genuinely LP-favorable on FEE LINE. Trade-off: hidden GP economics via team comp + bonus pool (see Tab 15) more than offset the fee savings.</t>
        </is>
      </c>
      <c r="F10" s="614" t="n"/>
      <c r="G10" s="614" t="n"/>
    </row>
    <row r="11" ht="90" customHeight="1" s="307">
      <c r="A11" s="635" t="inlineStr">
        <is>
          <t>Carry structure</t>
        </is>
      </c>
      <c r="B11" s="681" t="inlineStr">
        <is>
          <t>1x RoC + 10% pref, then 80/20 -&gt; 75/25 (&gt;2x) -&gt; 70/30 (&gt;3x)</t>
        </is>
      </c>
      <c r="C11" s="681" t="inlineStr">
        <is>
          <t>PE typical: 1x RoC + 8% pref, then 80/20 with catch-up</t>
        </is>
      </c>
      <c r="D11" s="637" t="inlineStr">
        <is>
          <t>YES</t>
        </is>
      </c>
      <c r="E11" s="638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614" t="n"/>
      <c r="G11" s="614" t="n"/>
    </row>
    <row r="12" ht="90" customHeight="1" s="307">
      <c r="A12" s="635" t="inlineStr">
        <is>
          <t>OpCo EBITDA margin</t>
        </is>
      </c>
      <c r="B12" s="681" t="inlineStr">
        <is>
          <t>62.5% (post-cost-cut)</t>
        </is>
      </c>
      <c r="C12" s="681" t="inlineStr">
        <is>
          <t>PE-owned SaaS: 25-40% EBITDA margin typical</t>
        </is>
      </c>
      <c r="D12" s="639" t="inlineStr">
        <is>
          <t>PARTIAL</t>
        </is>
      </c>
      <c r="E12" s="638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614" t="n"/>
      <c r="G12" s="614" t="n"/>
    </row>
    <row r="13" ht="90" customHeight="1" s="307">
      <c r="A13" s="635" t="inlineStr">
        <is>
          <t>Investment period</t>
        </is>
      </c>
      <c r="B13" s="681" t="inlineStr">
        <is>
          <t>3 years (months 4-36 for original deals)</t>
        </is>
      </c>
      <c r="C13" s="681" t="inlineStr">
        <is>
          <t>PE: 5 years typical</t>
        </is>
      </c>
      <c r="D13" s="637" t="inlineStr">
        <is>
          <t>YES</t>
        </is>
      </c>
      <c r="E13" s="638" t="inlineStr">
        <is>
          <t>Press deploys FAST. Concentration risk: 5 deals in 32 months means limited time to learn from early deals.</t>
        </is>
      </c>
      <c r="F13" s="614" t="n"/>
      <c r="G13" s="614" t="n"/>
    </row>
    <row r="14" ht="90" customHeight="1" s="307">
      <c r="A14" s="635" t="inlineStr">
        <is>
          <t>Recycling</t>
        </is>
      </c>
      <c r="B14" s="681" t="inlineStr">
        <is>
          <t>Optional 0% / 50% / 100% of distributable in M1-36</t>
        </is>
      </c>
      <c r="C14" s="681" t="inlineStr">
        <is>
          <t>PE: typical 110-125% of fund size deployed via recycling</t>
        </is>
      </c>
      <c r="D14" s="637" t="inlineStr">
        <is>
          <t>YES</t>
        </is>
      </c>
      <c r="E14" s="638" t="inlineStr">
        <is>
          <t>Press recycling at 50%/100% deploys $227M/$255M on a $150M fund. Aggressive vs PE norm.</t>
        </is>
      </c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 ht="15" customHeight="1" s="307">
      <c r="A16" s="593" t="inlineStr">
        <is>
          <t>SOURCES: Cambridge Associates PE Index (Q3 2024), Burgiss PE Universe, McKinsey Global PE Report.</t>
        </is>
      </c>
      <c r="B16" s="614" t="n"/>
      <c r="C16" s="614" t="n"/>
      <c r="D16" s="614" t="n"/>
      <c r="E16" s="614" t="n"/>
      <c r="F16" s="614" t="n"/>
      <c r="G16" s="614" t="n"/>
    </row>
    <row r="17">
      <c r="A17" s="615" t="inlineStr">
        <is>
          <t>CAVEAT: All "benchmarks" use median/quartile data which are themselves estimates. PE benchmarks are net-of-fee net-of-carry.</t>
        </is>
      </c>
      <c r="B17" s="614" t="n"/>
      <c r="C17" s="614" t="n"/>
      <c r="D17" s="614" t="n"/>
      <c r="E17" s="614" t="n"/>
      <c r="F17" s="614" t="n"/>
      <c r="G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14" t="n"/>
      <c r="B20" s="614" t="n"/>
      <c r="C20" s="614" t="n"/>
      <c r="D20" s="614" t="n"/>
      <c r="E20" s="614" t="n"/>
      <c r="F20" s="614" t="n"/>
      <c r="G20" s="614" t="n"/>
    </row>
    <row r="21">
      <c r="A21" s="614" t="n"/>
      <c r="B21" s="614" t="n"/>
      <c r="C21" s="614" t="n"/>
      <c r="D21" s="614" t="n"/>
      <c r="E21" s="614" t="n"/>
      <c r="F21" s="614" t="n"/>
      <c r="G21" s="614" t="n"/>
    </row>
    <row r="22">
      <c r="A22" s="614" t="n"/>
      <c r="B22" s="614" t="n"/>
      <c r="C22" s="614" t="n"/>
      <c r="D22" s="614" t="n"/>
      <c r="E22" s="614" t="n"/>
      <c r="F22" s="614" t="n"/>
      <c r="G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</row>
    <row r="24">
      <c r="A24" s="614" t="n"/>
      <c r="B24" s="614" t="n"/>
      <c r="C24" s="614" t="n"/>
      <c r="D24" s="614" t="n"/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4" t="n"/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Shows retained cash accumulation and recycled deal deployment.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 t="n">
        <v>-1</v>
      </c>
      <c r="C5" s="354" t="n">
        <v>-2.6</v>
      </c>
      <c r="D5" s="354" t="n">
        <v>-1.2</v>
      </c>
      <c r="E5" s="354" t="n">
        <v>1.4</v>
      </c>
      <c r="F5" s="354" t="n">
        <v>9.6</v>
      </c>
      <c r="G5" s="354" t="n">
        <v>12.5</v>
      </c>
      <c r="H5" s="354" t="n">
        <v>15.8</v>
      </c>
      <c r="I5" s="354" t="n">
        <v>18.8</v>
      </c>
      <c r="J5" s="354" t="n">
        <v>22.7</v>
      </c>
      <c r="K5" s="354" t="n">
        <v>23.5</v>
      </c>
      <c r="L5" s="354" t="n">
        <v>25.6</v>
      </c>
      <c r="M5" s="354" t="n">
        <v>27.8</v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 t="n">
        <v>0</v>
      </c>
      <c r="C6" s="354" t="n">
        <v>0</v>
      </c>
      <c r="D6" s="354" t="n">
        <v>0</v>
      </c>
      <c r="E6" s="354" t="n">
        <v>0</v>
      </c>
      <c r="F6" s="354" t="n">
        <v>0</v>
      </c>
      <c r="G6" s="354" t="n">
        <v>0</v>
      </c>
      <c r="H6" s="354" t="n">
        <v>22.6</v>
      </c>
      <c r="I6" s="354" t="n">
        <v>22.6</v>
      </c>
      <c r="J6" s="354" t="n">
        <v>0</v>
      </c>
      <c r="K6" s="354" t="n">
        <v>22.6</v>
      </c>
      <c r="L6" s="354" t="n">
        <v>22.6</v>
      </c>
      <c r="M6" s="354" t="n">
        <v>20.2</v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 t="n">
        <v>-1</v>
      </c>
      <c r="C7" s="588" t="n">
        <v>-3.6</v>
      </c>
      <c r="D7" s="588" t="n">
        <v>-4.8</v>
      </c>
      <c r="E7" s="588" t="n">
        <v>-3.4</v>
      </c>
      <c r="F7" s="571" t="n">
        <v>6.3</v>
      </c>
      <c r="G7" s="571" t="n">
        <v>18.8</v>
      </c>
      <c r="H7" s="571" t="n">
        <v>12</v>
      </c>
      <c r="I7" s="571" t="n">
        <v>8.199999999999999</v>
      </c>
      <c r="J7" s="571" t="n">
        <v>30.9</v>
      </c>
      <c r="K7" s="571" t="n">
        <v>31.8</v>
      </c>
      <c r="L7" s="571" t="n">
        <v>34.8</v>
      </c>
      <c r="M7" s="571" t="n">
        <v>42.3</v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 t="n">
        <v>3990</v>
      </c>
      <c r="E27" s="590" t="n">
        <v>8766</v>
      </c>
      <c r="F27" s="590" t="n">
        <v>8812</v>
      </c>
      <c r="G27" s="590" t="n">
        <v>8812</v>
      </c>
      <c r="H27" s="590" t="n">
        <v>8812</v>
      </c>
      <c r="I27" s="590" t="n">
        <v>8812</v>
      </c>
      <c r="J27" s="590" t="n">
        <v>8812</v>
      </c>
      <c r="K27" s="590" t="n">
        <v>8812</v>
      </c>
      <c r="L27" s="590" t="n">
        <v>8812</v>
      </c>
      <c r="M27" s="590" t="n">
        <v>8812</v>
      </c>
      <c r="N27" s="590" t="n">
        <v>8812</v>
      </c>
      <c r="O27" s="590" t="n">
        <v>8812</v>
      </c>
      <c r="P27" s="590" t="n">
        <v>8812</v>
      </c>
      <c r="Q27" s="590" t="n">
        <v>8812</v>
      </c>
      <c r="R27" s="590" t="n">
        <v>8812</v>
      </c>
    </row>
    <row r="28" ht="15" customHeight="1" s="307">
      <c r="A28" s="321" t="inlineStr">
        <is>
          <t>Total Loaded (+ 30%)</t>
        </is>
      </c>
      <c r="D28" s="590" t="n">
        <v>5186</v>
      </c>
      <c r="E28" s="590" t="n">
        <v>11395</v>
      </c>
      <c r="F28" s="590" t="n">
        <v>11456</v>
      </c>
      <c r="G28" s="590" t="n">
        <v>11456</v>
      </c>
      <c r="H28" s="590" t="n">
        <v>11456</v>
      </c>
      <c r="I28" s="590" t="n">
        <v>11456</v>
      </c>
      <c r="J28" s="590" t="n">
        <v>11456</v>
      </c>
      <c r="K28" s="590" t="n">
        <v>11456</v>
      </c>
      <c r="L28" s="590" t="n">
        <v>11456</v>
      </c>
      <c r="M28" s="590" t="n">
        <v>11456</v>
      </c>
      <c r="N28" s="590" t="n">
        <v>11456</v>
      </c>
      <c r="O28" s="590" t="n">
        <v>11456</v>
      </c>
      <c r="P28" s="590" t="n">
        <v>11456</v>
      </c>
      <c r="Q28" s="590" t="n">
        <v>11456</v>
      </c>
      <c r="R28" s="590" t="n">
        <v>11456</v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style="307" min="1" max="1"/>
    <col width="38" customWidth="1" style="307" min="2" max="2"/>
    <col width="22" customWidth="1" style="307" min="3" max="3"/>
    <col width="42" customWidth="1" style="307" min="4" max="4"/>
    <col width="55" customWidth="1" style="307" min="5" max="5"/>
  </cols>
  <sheetData>
    <row r="1">
      <c r="A1" s="633" t="inlineStr">
        <is>
          <t>GOVERNANCE DISCLOSURE  --  PLACEHOLDER</t>
        </is>
      </c>
    </row>
    <row r="2">
      <c r="A2" s="615" t="inlineStr">
        <is>
          <t>LP DD checklist. None of these are disclosed in the current deck. Fill in from LPA before commitment.</t>
        </is>
      </c>
    </row>
    <row r="4" ht="28" customHeight="1" s="307">
      <c r="A4" s="643" t="inlineStr">
        <is>
          <t>Item</t>
        </is>
      </c>
      <c r="B4" s="643" t="inlineStr">
        <is>
          <t>What it answers</t>
        </is>
      </c>
      <c r="C4" s="643" t="inlineStr">
        <is>
          <t>Press disclosure</t>
        </is>
      </c>
      <c r="D4" s="643" t="inlineStr">
        <is>
          <t>Typical market term</t>
        </is>
      </c>
      <c r="E4" s="643" t="inlineStr">
        <is>
          <t>LP question</t>
        </is>
      </c>
    </row>
    <row r="5" ht="48" customHeight="1" s="307">
      <c r="A5" s="635" t="inlineStr">
        <is>
          <t>GP Commit %</t>
        </is>
      </c>
      <c r="B5" s="636" t="inlineStr">
        <is>
          <t>How much of the GP's own money is in the fund?</t>
        </is>
      </c>
      <c r="C5" s="640" t="inlineStr">
        <is>
          <t>NOT DISCLOSED</t>
        </is>
      </c>
      <c r="D5" s="638" t="inlineStr">
        <is>
          <t>1-5% of fund size</t>
        </is>
      </c>
      <c r="E5" s="638" t="inlineStr">
        <is>
          <t>What's your $$ at risk?</t>
        </is>
      </c>
    </row>
    <row r="6" ht="48" customHeight="1" s="307">
      <c r="A6" s="635" t="inlineStr">
        <is>
          <t>Key Person</t>
        </is>
      </c>
      <c r="B6" s="636" t="inlineStr">
        <is>
          <t>What happens if the lead partner(s) leave?</t>
        </is>
      </c>
      <c r="C6" s="640" t="inlineStr">
        <is>
          <t>NOT DISCLOSED</t>
        </is>
      </c>
      <c r="D6" s="638" t="inlineStr">
        <is>
          <t>Pauses new investments; LP vote (50%+) to resume</t>
        </is>
      </c>
      <c r="E6" s="638" t="inlineStr">
        <is>
          <t>Who are the key persons? What triggers a pause?</t>
        </is>
      </c>
    </row>
    <row r="7" ht="48" customHeight="1" s="307">
      <c r="A7" s="635" t="inlineStr">
        <is>
          <t>Clawback</t>
        </is>
      </c>
      <c r="B7" s="636" t="inlineStr">
        <is>
          <t>If late years erase gains, must GP return excess carry?</t>
        </is>
      </c>
      <c r="C7" s="640" t="inlineStr">
        <is>
          <t>NOT DISCLOSED</t>
        </is>
      </c>
      <c r="D7" s="638" t="inlineStr">
        <is>
          <t>Yes, at fund end; sometimes with interest</t>
        </is>
      </c>
      <c r="E7" s="638" t="inlineStr">
        <is>
          <t>Engine Y15 shows distributable can go negative -- is carry clawed back?</t>
        </is>
      </c>
    </row>
    <row r="8" ht="48" customHeight="1" s="307">
      <c r="A8" s="635" t="inlineStr">
        <is>
          <t>LPAC</t>
        </is>
      </c>
      <c r="B8" s="636" t="inlineStr">
        <is>
          <t>Which LPs sit on the advisory committee?</t>
        </is>
      </c>
      <c r="C8" s="640" t="inlineStr">
        <is>
          <t>NOT DISCLOSED</t>
        </is>
      </c>
      <c r="D8" s="638" t="inlineStr">
        <is>
          <t>3-7 LPs by commitment size</t>
        </is>
      </c>
      <c r="E8" s="638" t="inlineStr">
        <is>
          <t>How are LPAC seats allocated? What can LPAC veto?</t>
        </is>
      </c>
    </row>
    <row r="9" ht="48" customHeight="1" s="307">
      <c r="A9" s="635" t="inlineStr">
        <is>
          <t>Valuation Policy</t>
        </is>
      </c>
      <c r="B9" s="636" t="inlineStr">
        <is>
          <t>How are private OpCos marked each quarter?</t>
        </is>
      </c>
      <c r="C9" s="640" t="inlineStr">
        <is>
          <t>NOT DISCLOSED</t>
        </is>
      </c>
      <c r="D9" s="638" t="inlineStr">
        <is>
          <t>ASC 820 fair value; quarterly; annual independent review</t>
        </is>
      </c>
      <c r="E9" s="638" t="inlineStr">
        <is>
          <t>Who values? How are write-downs triggered?</t>
        </is>
      </c>
    </row>
    <row r="10" ht="48" customHeight="1" s="307">
      <c r="A10" s="635" t="inlineStr">
        <is>
          <t>Investment Period</t>
        </is>
      </c>
      <c r="B10" s="636" t="inlineStr">
        <is>
          <t>How long can the GP make new investments?</t>
        </is>
      </c>
      <c r="C10" s="640" t="inlineStr">
        <is>
          <t>NOT DISCLOSED</t>
        </is>
      </c>
      <c r="D10" s="638" t="inlineStr">
        <is>
          <t>5 years + 1-year extensions</t>
        </is>
      </c>
      <c r="E10" s="638" t="inlineStr">
        <is>
          <t>When does the recycling period end?</t>
        </is>
      </c>
    </row>
    <row r="11" ht="48" customHeight="1" s="307">
      <c r="A11" s="635" t="inlineStr">
        <is>
          <t>Fund Term</t>
        </is>
      </c>
      <c r="B11" s="636" t="inlineStr">
        <is>
          <t>When does the fund wind down?</t>
        </is>
      </c>
      <c r="C11" s="640" t="inlineStr">
        <is>
          <t>NOT DISCLOSED</t>
        </is>
      </c>
      <c r="D11" s="638" t="inlineStr">
        <is>
          <t>10 years + 2 one-year extensions</t>
        </is>
      </c>
      <c r="E11" s="638" t="inlineStr">
        <is>
          <t>Model assumes 15Y -- is that contractual?</t>
        </is>
      </c>
    </row>
    <row r="12" ht="48" customHeight="1" s="307">
      <c r="A12" s="635" t="inlineStr">
        <is>
          <t>GP Removal</t>
        </is>
      </c>
      <c r="B12" s="636" t="inlineStr">
        <is>
          <t>Can LPs fire the GP?</t>
        </is>
      </c>
      <c r="C12" s="640" t="inlineStr">
        <is>
          <t>NOT DISCLOSED</t>
        </is>
      </c>
      <c r="D12" s="638" t="inlineStr">
        <is>
          <t>For cause: 50% LP vote; without cause: 75-80%</t>
        </is>
      </c>
      <c r="E12" s="638" t="inlineStr">
        <is>
          <t>What constitutes "cause"?</t>
        </is>
      </c>
    </row>
    <row r="13" ht="48" customHeight="1" s="307">
      <c r="A13" s="635" t="inlineStr">
        <is>
          <t>Reporting</t>
        </is>
      </c>
      <c r="B13" s="636" t="inlineStr">
        <is>
          <t>What financial reports does the LP get?</t>
        </is>
      </c>
      <c r="C13" s="640" t="inlineStr">
        <is>
          <t>NOT DISCLOSED</t>
        </is>
      </c>
      <c r="D13" s="638" t="inlineStr">
        <is>
          <t>Quarterly NAV + audited annual + ILPA template</t>
        </is>
      </c>
      <c r="E13" s="638" t="inlineStr">
        <is>
          <t>Will Press use ILPA template? Cadence?</t>
        </is>
      </c>
    </row>
    <row r="14" ht="48" customHeight="1" s="307">
      <c r="A14" s="635" t="inlineStr">
        <is>
          <t>Conflicts Policy</t>
        </is>
      </c>
      <c r="B14" s="636" t="inlineStr">
        <is>
          <t>Cross-fund transactions, related-party fees</t>
        </is>
      </c>
      <c r="C14" s="640" t="inlineStr">
        <is>
          <t>NOT DISCLOSED</t>
        </is>
      </c>
      <c r="D14" s="638" t="inlineStr">
        <is>
          <t>Disclosed + LPAC approval required</t>
        </is>
      </c>
      <c r="E14" s="638" t="inlineStr">
        <is>
          <t>Are any OpCos sourced from related parties?</t>
        </is>
      </c>
    </row>
    <row r="15" ht="48" customHeight="1" s="307">
      <c r="A15" s="635" t="inlineStr">
        <is>
          <t>Co-investment Rights</t>
        </is>
      </c>
      <c r="B15" s="636" t="inlineStr">
        <is>
          <t>Can LPs co-invest alongside the fund?</t>
        </is>
      </c>
      <c r="C15" s="640" t="inlineStr">
        <is>
          <t>NOT DISCLOSED</t>
        </is>
      </c>
      <c r="D15" s="638" t="inlineStr">
        <is>
          <t>Pro-rata by commitment; no fee/no carry on co-invest</t>
        </is>
      </c>
      <c r="E15" s="638" t="inlineStr">
        <is>
          <t>Will Press offer co-invest? Terms?</t>
        </is>
      </c>
    </row>
    <row r="16" ht="48" customHeight="1" s="307">
      <c r="A16" s="635" t="inlineStr">
        <is>
          <t>Indemnification</t>
        </is>
      </c>
      <c r="B16" s="636" t="inlineStr">
        <is>
          <t>How is GP shielded from LP claims?</t>
        </is>
      </c>
      <c r="C16" s="640" t="inlineStr">
        <is>
          <t>NOT DISCLOSED</t>
        </is>
      </c>
      <c r="D16" s="638" t="inlineStr">
        <is>
          <t>Standard with carve-out for gross negligence / fraud</t>
        </is>
      </c>
      <c r="E16" s="638" t="inlineStr">
        <is>
          <t>What are the carve-outs?</t>
        </is>
      </c>
    </row>
    <row r="17" ht="48" customHeight="1" s="307">
      <c r="A17" s="635" t="inlineStr">
        <is>
          <t>Side Letters</t>
        </is>
      </c>
      <c r="B17" s="636" t="inlineStr">
        <is>
          <t>Will other LPs get better terms?</t>
        </is>
      </c>
      <c r="C17" s="640" t="inlineStr">
        <is>
          <t>NOT DISCLOSED</t>
        </is>
      </c>
      <c r="D17" s="638" t="inlineStr">
        <is>
          <t>MFN clause typical</t>
        </is>
      </c>
      <c r="E17" s="638" t="inlineStr">
        <is>
          <t>Is there MFN? Will all side letters be disclosed?</t>
        </is>
      </c>
    </row>
    <row r="18" ht="48" customHeight="1" s="307">
      <c r="A18" s="635" t="inlineStr">
        <is>
          <t>Fund Expenses</t>
        </is>
      </c>
      <c r="B18" s="636" t="inlineStr">
        <is>
          <t>What expenses does the fund bear vs the GP?</t>
        </is>
      </c>
      <c r="C18" s="640" t="inlineStr">
        <is>
          <t>NOT DISCLOSED</t>
        </is>
      </c>
      <c r="D18" s="638" t="inlineStr">
        <is>
          <t>LPA defines; partnership exp, broken deal, D&amp;O, audit -- LP cost</t>
        </is>
      </c>
      <c r="E18" s="638" t="inlineStr">
        <is>
          <t>Per CHANGE LOG #18, fund-level OpEx is currently unfunded in S&amp;U.</t>
        </is>
      </c>
    </row>
    <row r="19" ht="48" customHeight="1" s="307">
      <c r="A19" s="635" t="inlineStr">
        <is>
          <t>ESG / Reporting Standards</t>
        </is>
      </c>
      <c r="B19" s="636" t="inlineStr">
        <is>
          <t>Any ESG or impact reporting commitments?</t>
        </is>
      </c>
      <c r="C19" s="640" t="inlineStr">
        <is>
          <t>NOT DISCLOSED</t>
        </is>
      </c>
      <c r="D19" s="638" t="inlineStr">
        <is>
          <t>Increasingly standard</t>
        </is>
      </c>
      <c r="E19" s="638" t="inlineStr">
        <is>
          <t>Any commitments?</t>
        </is>
      </c>
    </row>
    <row r="21">
      <c r="A21" s="627" t="inlineStr">
        <is>
          <t>All entries marked NOT DISCLOSED need to be sourced from the LPA before LP commitment. Material to underwriting.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'1. Press Assumptions'!$H$89</f>
        <v/>
      </c>
    </row>
    <row r="7">
      <c r="A7" s="306" t="inlineStr">
        <is>
          <t>Bonus threshold (% margin)</t>
        </is>
      </c>
      <c r="B7" s="306">
        <f>'1. Press Assumptions'!$B$35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'1. Press Assumptions'!$H$90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'1. Press Assumptions'!$H$91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'1. Press Assumptions'!$H$92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'1. Press Assumptions'!$H$93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>
        <f>IF(AND(A210&lt;=$B$24, T210&gt;0), T210*$B$23, 0)</f>
        <v/>
      </c>
      <c r="V210" s="306">
        <f>T210-U210</f>
        <v/>
      </c>
      <c r="W210" s="306">
        <f>IF(AND(A210=$B$19, $B$21=1), K210*$B$20,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B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'1. Press Assumptions'!$H$89</f>
        <v/>
      </c>
    </row>
    <row r="7">
      <c r="A7" s="306" t="inlineStr">
        <is>
          <t>Bonus threshold (% margin)</t>
        </is>
      </c>
      <c r="B7" s="306">
        <f>'1. Press Assumptions'!$B$35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'1. Press Assumptions'!$H$90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'1. Press Assumptions'!$H$91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'1. Press Assumptions'!$H$92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'1. Press Assumptions'!$H$93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'1. Press Assumptions'!$H$96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'1. Press Assumptions'!$H$97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'1. Press Assumptions'!$H$98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'1. Press Assumptions'!$H$99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'1. Press Assumptions'!$H$89</f>
        <v/>
      </c>
    </row>
    <row r="7">
      <c r="A7" s="306" t="inlineStr">
        <is>
          <t>Bonus threshold (% margin)</t>
        </is>
      </c>
      <c r="B7" s="306">
        <f>'1. Press Assumptions'!$B$35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'1. Press Assumptions'!$H$90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'1. Press Assumptions'!$H$91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'1. Press Assumptions'!$H$92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'1. Press Assumptions'!$H$93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'1. Press Assumptions'!$H$96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'1. Press Assumptions'!$H$97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'1. Press Assumptions'!$H$98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'1. Press Assumptions'!$H$99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11" customWidth="1" style="307" min="4" max="4"/>
    <col width="65" customWidth="1" style="307" min="5" max="5"/>
  </cols>
  <sheetData>
    <row r="1">
      <c r="A1" s="633" t="inlineStr">
        <is>
          <t>PRESS MODEL  --  CHANGE LOG (v4 final)</t>
        </is>
      </c>
    </row>
    <row r="2">
      <c r="A2" s="615" t="inlineStr">
        <is>
          <t>LP-lens QA fixes complete. Engines: _Engine_NR / _Engine_R50 / _Engine_R100 (auto-update from Tab 1).</t>
        </is>
      </c>
    </row>
    <row r="3">
      <c r="A3" s="628" t="inlineStr">
        <is>
          <t>Status: 21 DONE  /  3 PARTIAL  /  0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Status</t>
        </is>
      </c>
      <c r="E4" s="643" t="inlineStr">
        <is>
          <t>Notes / LP Insight</t>
        </is>
      </c>
    </row>
    <row r="5" ht="6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Restated. $200-422M total GP take vs $21M presented.</t>
        </is>
      </c>
      <c r="D5" s="637" t="inlineStr">
        <is>
          <t>DONE</t>
        </is>
      </c>
      <c r="E5" s="638" t="inlineStr">
        <is>
          <t>GP take = 25-28% of total fund cash.</t>
        </is>
      </c>
    </row>
    <row r="6" ht="65" customHeight="1" s="307">
      <c r="A6" s="635" t="inlineStr">
        <is>
          <t>2</t>
        </is>
      </c>
      <c r="B6" s="636" t="inlineStr">
        <is>
          <t>Capital shortfall.</t>
        </is>
      </c>
      <c r="C6" s="636" t="inlineStr">
        <is>
          <t>ARR cap at $24M -&gt; $141.88M deployed.</t>
        </is>
      </c>
      <c r="D6" s="637" t="inlineStr">
        <is>
          <t>DONE</t>
        </is>
      </c>
      <c r="E6" s="638" t="inlineStr"/>
    </row>
    <row r="7" ht="6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3 live engines wired to 4a-4g, 5a-5e, 6, 8, 11, 13, 14, 15, 17, 22.</t>
        </is>
      </c>
      <c r="D7" s="637" t="inlineStr">
        <is>
          <t>DONE</t>
        </is>
      </c>
      <c r="E7" s="638" t="inlineStr">
        <is>
          <t>Change any blue cell on Tab 1 -&gt; all recalc.</t>
        </is>
      </c>
    </row>
    <row r="8" ht="65" customHeight="1" s="307">
      <c r="A8" s="635" t="inlineStr">
        <is>
          <t>4</t>
        </is>
      </c>
      <c r="B8" s="636" t="inlineStr">
        <is>
          <t>62.5% margin x 85% NDR inconsistency.</t>
        </is>
      </c>
      <c r="C8" s="636" t="inlineStr">
        <is>
          <t>2-D joint sensitivity on Tab 11.</t>
        </is>
      </c>
      <c r="D8" s="637" t="inlineStr">
        <is>
          <t>DONE</t>
        </is>
      </c>
      <c r="E8" s="638" t="inlineStr">
        <is>
          <t>NDR=70% gives &lt;1x DPI even with margin removed. Downside breakpoint is NDR not margin.</t>
        </is>
      </c>
    </row>
    <row r="9" ht="6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 with Standard + Escalating.</t>
        </is>
      </c>
      <c r="D9" s="637" t="inlineStr">
        <is>
          <t>DONE</t>
        </is>
      </c>
      <c r="E9" s="638" t="inlineStr">
        <is>
          <t>With per-deal NDR mix, recycling IMPROVES IRR (26% -&gt; 33%). Conviction-dependent.</t>
        </is>
      </c>
    </row>
    <row r="10" ht="65" customHeight="1" s="307">
      <c r="A10" s="635" t="inlineStr">
        <is>
          <t>6</t>
        </is>
      </c>
      <c r="B10" s="636" t="inlineStr">
        <is>
          <t>Placeholder Escalating Waterfall (5c/5d).</t>
        </is>
      </c>
      <c r="C10" s="636" t="inlineStr">
        <is>
          <t>Built tiered waterfall in engines (80/20 -&gt; 75/25 -&gt; 70/30).</t>
        </is>
      </c>
      <c r="D10" s="637" t="inlineStr">
        <is>
          <t>DONE</t>
        </is>
      </c>
      <c r="E10" s="638" t="inlineStr">
        <is>
          <t>GP captures $30-88M more under Escalating vs Standard.</t>
        </is>
      </c>
    </row>
    <row r="11" ht="65" customHeight="1" s="307">
      <c r="A11" s="635" t="inlineStr">
        <is>
          <t>7</t>
        </is>
      </c>
      <c r="B11" s="636" t="inlineStr">
        <is>
          <t>No clawback logic.</t>
        </is>
      </c>
      <c r="C11" s="636" t="inlineStr">
        <is>
          <t>Added Final Clawback Check to each engine (whole-fund waterfall vs sum of year-by-year carry).</t>
        </is>
      </c>
      <c r="D11" s="637" t="inlineStr">
        <is>
          <t>DONE</t>
        </is>
      </c>
      <c r="E11" s="638" t="inlineStr">
        <is>
          <t>Base case clawback ~$0-$1M (escalating annual ~= whole-fund). Under stress, would activate.</t>
        </is>
      </c>
    </row>
    <row r="12" ht="65" customHeight="1" s="307">
      <c r="A12" s="635" t="inlineStr">
        <is>
          <t>8</t>
        </is>
      </c>
      <c r="B12" s="636" t="inlineStr">
        <is>
          <t>Tab 1 B112 severance auto cell.</t>
        </is>
      </c>
      <c r="C12" s="636" t="inlineStr">
        <is>
          <t>Engine computes correctly; legacy display cell stale.</t>
        </is>
      </c>
      <c r="D12" s="639" t="inlineStr">
        <is>
          <t>PARTIAL</t>
        </is>
      </c>
      <c r="E12" s="638" t="inlineStr"/>
    </row>
    <row r="13" ht="65" customHeight="1" s="307">
      <c r="A13" s="635" t="inlineStr">
        <is>
          <t>9</t>
        </is>
      </c>
      <c r="B13" s="636" t="inlineStr">
        <is>
          <t>Margin disagrees (Tab 7 = 60%, Tab 1 = 62.5%).</t>
        </is>
      </c>
      <c r="C13" s="636" t="inlineStr">
        <is>
          <t>Tab 7 header now formula-references Tab 1 B26. Per-deal cells live-wired.</t>
        </is>
      </c>
      <c r="D13" s="637" t="inlineStr">
        <is>
          <t>DONE</t>
        </is>
      </c>
      <c r="E13" s="638" t="inlineStr"/>
    </row>
    <row r="14" ht="65" customHeight="1" s="307">
      <c r="A14" s="635" t="inlineStr">
        <is>
          <t>10</t>
        </is>
      </c>
      <c r="B14" s="636" t="inlineStr">
        <is>
          <t>Tier 4 threshold blank.</t>
        </is>
      </c>
      <c r="C14" s="636" t="inlineStr">
        <is>
          <t>Engines hard-code MOIC=3x threshold; use Tab 1 B42 split.</t>
        </is>
      </c>
      <c r="D14" s="637" t="inlineStr">
        <is>
          <t>DONE</t>
        </is>
      </c>
      <c r="E14" s="638" t="inlineStr"/>
    </row>
    <row r="15" ht="65" customHeight="1" s="307">
      <c r="A15" s="635" t="inlineStr">
        <is>
          <t>11</t>
        </is>
      </c>
      <c r="B15" s="636" t="inlineStr">
        <is>
          <t>Totals column on P&amp;L wrong.</t>
        </is>
      </c>
      <c r="C15" s="636" t="inlineStr">
        <is>
          <t>Fixed via SUM in engine wiring.</t>
        </is>
      </c>
      <c r="D15" s="637" t="inlineStr">
        <is>
          <t>DONE</t>
        </is>
      </c>
      <c r="E15" s="638" t="inlineStr"/>
    </row>
    <row r="16" ht="6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M7 trough, M11 positive.</t>
        </is>
      </c>
      <c r="D16" s="637" t="inlineStr">
        <is>
          <t>DONE</t>
        </is>
      </c>
      <c r="E16" s="638" t="inlineStr"/>
    </row>
    <row r="17" ht="65" customHeight="1" s="307">
      <c r="A17" s="635" t="inlineStr">
        <is>
          <t>13</t>
        </is>
      </c>
      <c r="B17" s="636" t="inlineStr">
        <is>
          <t>Bonus pool inconsistent.</t>
        </is>
      </c>
      <c r="C17" s="636" t="inlineStr">
        <is>
          <t>Engines use one rule.</t>
        </is>
      </c>
      <c r="D17" s="637" t="inlineStr">
        <is>
          <t>DONE</t>
        </is>
      </c>
      <c r="E17" s="638" t="inlineStr"/>
    </row>
    <row r="18" ht="65" customHeight="1" s="307">
      <c r="A18" s="635" t="inlineStr">
        <is>
          <t>14</t>
        </is>
      </c>
      <c r="B18" s="636" t="inlineStr">
        <is>
          <t>Tab 2 returns identical across LP sizes.</t>
        </is>
      </c>
      <c r="C18" s="636" t="inlineStr">
        <is>
          <t>Added banner flagging size-invariance; added placeholder LP class structure section.</t>
        </is>
      </c>
      <c r="D18" s="637" t="inlineStr">
        <is>
          <t>DONE</t>
        </is>
      </c>
      <c r="E18" s="638" t="inlineStr">
        <is>
          <t>Current deck has no real differentiation. LP should ask about anchor / co-invest / LPAC terms.</t>
        </is>
      </c>
    </row>
    <row r="19" ht="65" customHeight="1" s="307">
      <c r="A19" s="635" t="inlineStr">
        <is>
          <t>15</t>
        </is>
      </c>
      <c r="B19" s="636" t="inlineStr">
        <is>
          <t>Tab 17 Tax conflated LP ordinary with GP LTCG.</t>
        </is>
      </c>
      <c r="C19" s="636" t="inlineStr">
        <is>
          <t>Rebuilt: LP 40.8% ordinary, 23.8% exit LTCG; ~37.4% blended.</t>
        </is>
      </c>
      <c r="D19" s="637" t="inlineStr">
        <is>
          <t>DONE</t>
        </is>
      </c>
      <c r="E19" s="638" t="inlineStr">
        <is>
          <t>Post-tax DPI: 2.95x (NR), 4.90x (R50), 4.67x (R100).</t>
        </is>
      </c>
    </row>
    <row r="20" ht="65" customHeight="1" s="307">
      <c r="A20" s="635" t="inlineStr">
        <is>
          <t>16</t>
        </is>
      </c>
      <c r="B20" s="636" t="inlineStr">
        <is>
          <t>Tab 13 Stress only varied NDR.</t>
        </is>
      </c>
      <c r="C20" s="636" t="inlineStr">
        <is>
          <t>Rebuilt with 8 realistic scenarios.</t>
        </is>
      </c>
      <c r="D20" s="637" t="inlineStr">
        <is>
          <t>DONE</t>
        </is>
      </c>
      <c r="E20" s="638" t="inlineStr">
        <is>
          <t>Combined severe = LP loses 113% of capital.</t>
        </is>
      </c>
    </row>
    <row r="21" ht="65" customHeight="1" s="307">
      <c r="A21" s="635" t="inlineStr">
        <is>
          <t>17</t>
        </is>
      </c>
      <c r="B21" s="636" t="inlineStr">
        <is>
          <t>No governance disclosure.</t>
        </is>
      </c>
      <c r="C21" s="636" t="inlineStr">
        <is>
          <t>Tab 27 placeholder with 15-item LP DD checklist.</t>
        </is>
      </c>
      <c r="D21" s="637" t="inlineStr">
        <is>
          <t>DONE</t>
        </is>
      </c>
      <c r="E21" s="638" t="inlineStr">
        <is>
          <t>All items currently NOT DISCLOSED in deck.</t>
        </is>
      </c>
    </row>
    <row r="22" ht="6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Flagged unfunded in S&amp;U notes.</t>
        </is>
      </c>
      <c r="D22" s="639" t="inlineStr">
        <is>
          <t>PARTIAL</t>
        </is>
      </c>
      <c r="E22" s="638" t="inlineStr"/>
    </row>
    <row r="23" ht="6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Rebuilt with apples-to-apples flags and proper sources.</t>
        </is>
      </c>
      <c r="D23" s="637" t="inlineStr">
        <is>
          <t>DONE</t>
        </is>
      </c>
      <c r="E23" s="638" t="inlineStr">
        <is>
          <t>Original compared Press 10Y projected DPI to PE 10Y realized (which is pre-exit). Corrected.</t>
        </is>
      </c>
    </row>
    <row r="24" ht="6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 per-deal P&amp;L; pick OpCo in B4.</t>
        </is>
      </c>
      <c r="D24" s="637" t="inlineStr">
        <is>
          <t>DONE</t>
        </is>
      </c>
      <c r="E24" s="638" t="inlineStr"/>
    </row>
    <row r="25" ht="65" customHeight="1" s="307">
      <c r="A25" s="635" t="inlineStr">
        <is>
          <t>21</t>
        </is>
      </c>
      <c r="B25" s="636" t="inlineStr">
        <is>
          <t>Tab 22 duplicates Tab 6.</t>
        </is>
      </c>
      <c r="C25" s="636" t="inlineStr">
        <is>
          <t>Rebuilt as Standard + Escalating delta + Clawback check.</t>
        </is>
      </c>
      <c r="D25" s="637" t="inlineStr">
        <is>
          <t>DONE</t>
        </is>
      </c>
      <c r="E25" s="638" t="inlineStr">
        <is>
          <t>Adds value vs Tab 6 by showing escalating delta and clawback math clearly.</t>
        </is>
      </c>
    </row>
    <row r="26" ht="65" customHeight="1" s="307">
      <c r="A26" s="635" t="inlineStr">
        <is>
          <t>22</t>
        </is>
      </c>
      <c r="B26" s="636" t="inlineStr">
        <is>
          <t>Operating leverage flows to GP via bonus pool.</t>
        </is>
      </c>
      <c r="C26" s="636" t="inlineStr">
        <is>
          <t>Disclosed in Tab 15. Bonus pool 12x with recycling.</t>
        </is>
      </c>
      <c r="D26" s="637" t="inlineStr">
        <is>
          <t>DONE</t>
        </is>
      </c>
      <c r="E26" s="638" t="inlineStr">
        <is>
          <t>Major LP issue.</t>
        </is>
      </c>
    </row>
    <row r="27" ht="6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mix. Documented.</t>
        </is>
      </c>
      <c r="D27" s="639" t="inlineStr">
        <is>
          <t>PARTIAL</t>
        </is>
      </c>
      <c r="E27" s="638" t="inlineStr">
        <is>
          <t>GP needs to state which is THE underwriting case.</t>
        </is>
      </c>
    </row>
    <row r="28" ht="65" customHeight="1" s="307">
      <c r="A28" s="635" t="inlineStr">
        <is>
          <t>24</t>
        </is>
      </c>
      <c r="B28" s="636" t="inlineStr">
        <is>
          <t>Escalating vs Standard delta hidden.</t>
        </is>
      </c>
      <c r="C28" s="636" t="inlineStr">
        <is>
          <t>Tab 6 and Tab 22 show both side-by-side.</t>
        </is>
      </c>
      <c r="D28" s="637" t="inlineStr">
        <is>
          <t>DONE</t>
        </is>
      </c>
      <c r="E28" s="638" t="inlineStr">
        <is>
          <t>GP gets 28-40% more under Escalating.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2026-05-05T03:19:40Z</dcterms:created>
  <dcterms:modified xsi:type="dcterms:W3CDTF">2026-05-25T20:21:43Z</dcterms:modified>
  <cp:revision>0</cp:revision>
</cp:coreProperties>
</file>