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  <xf numFmtId="166" fontId="40" fillId="15" borderId="0" applyAlignment="1" pivotButton="0" quotePrefix="0" xfId="0">
      <alignment horizontal="center" vertical="bottom"/>
    </xf>
    <xf numFmtId="9" fontId="40" fillId="17" borderId="0" applyAlignment="1" pivotButton="0" quotePrefix="0" xfId="0">
      <alignment horizontal="center" vertical="bottom"/>
    </xf>
    <xf numFmtId="175" fontId="40" fillId="17" borderId="0" applyAlignment="1" pivotButton="0" quotePrefix="0" xfId="0">
      <alignment horizontal="center"/>
    </xf>
    <xf numFmtId="9" fontId="44" fillId="21" borderId="0" applyAlignment="1" pivotButton="0" quotePrefix="0" xfId="0">
      <alignment horizontal="center" vertical="bottom"/>
    </xf>
    <xf numFmtId="175" fontId="44" fillId="21" borderId="0" applyAlignment="1" pivotButton="0" quotePrefix="0" xfId="0">
      <alignment horizontal="center"/>
    </xf>
    <xf numFmtId="9" fontId="41" fillId="0" borderId="0" applyAlignment="1" pivotButton="0" quotePrefix="0" xfId="0">
      <alignment horizontal="center" vertical="bottom"/>
    </xf>
    <xf numFmtId="175" fontId="41" fillId="0" borderId="0" applyAlignment="1" pivotButton="0" quotePrefix="0" xfId="0">
      <alignment horizontal="center"/>
    </xf>
    <xf numFmtId="0" fontId="40" fillId="15" borderId="0" applyAlignment="1" pivotButton="0" quotePrefix="0" xfId="0">
      <alignment horizontal="general" vertical="bottom"/>
    </xf>
    <xf numFmtId="166" fontId="40" fillId="17" borderId="0" applyAlignment="1" pivotButton="0" quotePrefix="0" xfId="0">
      <alignment horizontal="center"/>
    </xf>
    <xf numFmtId="166" fontId="44" fillId="21" borderId="0" applyAlignment="1" pivotButton="0" quotePrefix="0" xfId="0">
      <alignment horizontal="center"/>
    </xf>
    <xf numFmtId="166" fontId="41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 wrapText="1"/>
    </xf>
    <xf numFmtId="2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5" fontId="43" fillId="16" borderId="0" applyAlignment="1" pivotButton="0" quotePrefix="0" xfId="0">
      <alignment horizontal="center" vertical="bottom"/>
    </xf>
    <xf numFmtId="9" fontId="40" fillId="0" borderId="0" applyAlignment="1" pivotButton="0" quotePrefix="0" xfId="0">
      <alignment horizontal="general" vertical="bottom"/>
    </xf>
    <xf numFmtId="9" fontId="44" fillId="21" borderId="0" applyAlignment="1" pivotButton="0" quotePrefix="0" xfId="0">
      <alignment horizontal="general" vertical="bottom"/>
    </xf>
    <xf numFmtId="175" fontId="40" fillId="21" borderId="0" applyAlignment="1" pivotButton="0" quotePrefix="0" xfId="0">
      <alignment horizontal="center" vertical="bottom"/>
    </xf>
    <xf numFmtId="166" fontId="40" fillId="21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178" fontId="40" fillId="0" borderId="0" applyAlignment="1" pivotButton="0" quotePrefix="0" xfId="0">
      <alignment horizontal="center" vertical="bottom"/>
    </xf>
    <xf numFmtId="168" fontId="40" fillId="0" borderId="0" applyAlignment="1" pivotButton="0" quotePrefix="0" xfId="0">
      <alignment horizontal="center" vertical="bottom"/>
    </xf>
    <xf numFmtId="0" fontId="52" fillId="0" borderId="0" applyAlignment="1" pivotButton="0" quotePrefix="0" xfId="0">
      <alignment horizontal="general" vertical="bottom"/>
    </xf>
    <xf numFmtId="0" fontId="53" fillId="0" borderId="0" pivotButton="0" quotePrefix="0" xfId="0"/>
    <xf numFmtId="0" fontId="0" fillId="20" borderId="0" pivotButton="0" quotePrefix="0" xfId="0"/>
    <xf numFmtId="0" fontId="43" fillId="16" borderId="0" applyAlignment="1" pivotButton="0" quotePrefix="0" xfId="0">
      <alignment horizontal="left" wrapText="1"/>
    </xf>
    <xf numFmtId="0" fontId="41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 t="inlineStr">
        <is>
          <t>UNDERWRITING SCENARIO set in B136 below (Bear 80% / Base 85% / Bull 90%).</t>
        </is>
      </c>
    </row>
    <row r="3">
      <c r="D3" s="706" t="inlineStr">
        <is>
          <t>ACTIVE: $250M, 50% RECYCLE (hold &amp; compound). 5 base @ $37M/1.30x + 4 recycled @ $28M/1.20x (M36/48/60/72). No Y10 exit; Y15 wind-down 1.5x.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250000000</v>
      </c>
      <c r="C5" s="615" t="inlineStr">
        <is>
          <t>Raised from $150M to fix -$0.4M cushion (LPs slightly increased).</t>
        </is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1</v>
      </c>
      <c r="C35" s="754" t="inlineStr">
        <is>
          <t>Set to 100% per GP -- no bonus pool. All margin upside flows to investors.</t>
        </is>
      </c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37</v>
      </c>
      <c r="E89" s="317" t="n">
        <v>1.3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37</v>
      </c>
      <c r="E90" s="317" t="n">
        <v>1.3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8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37</v>
      </c>
      <c r="E91" s="317" t="n">
        <v>1.3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12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37</v>
      </c>
      <c r="E92" s="317" t="n">
        <v>1.3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16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37</v>
      </c>
      <c r="E93" s="317" t="n">
        <v>1.3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20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28</v>
      </c>
      <c r="E96" s="317" t="n">
        <v>1.2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36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28</v>
      </c>
      <c r="E97" s="317" t="n">
        <v>1.2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28</v>
      </c>
      <c r="E98" s="317" t="n">
        <v>1.2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60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28</v>
      </c>
      <c r="E99" s="317" t="n">
        <v>1.2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72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35000</v>
      </c>
      <c r="C110" s="615" t="inlineStr">
        <is>
          <t>Raised from $17.3K to $35K/FTE (16 weeks vs 8 weeks). Matches US senior tech norms.</t>
        </is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0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 = 0.80 NDR (downside).  Base = 0.85 NDR (LP underwriting -- default).  Bull = 0.90 NDR (upside).  Per-deal mix in rows 89-93 kept as reference only.</t>
        </is>
      </c>
    </row>
    <row r="137">
      <c r="A137" s="306" t="inlineStr">
        <is>
          <t>Bonus margin threshold override</t>
        </is>
      </c>
      <c r="B137" s="694" t="n">
        <v>1</v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0.02</v>
      </c>
      <c r="C138" s="755" t="inlineStr">
        <is>
          <t>Raised to 2% per IB underwriting recommendation. GP commit = $3.02M. Carry/commit ratio drops to ~16x.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  <row r="141">
      <c r="A141" s="306" t="inlineStr">
        <is>
          <t>Y15 wind-down multiplier (on remaining ARR)</t>
        </is>
      </c>
      <c r="B141" s="756" t="n">
        <v>1.5</v>
      </c>
      <c r="C141" s="615" t="inlineStr">
        <is>
          <t>Conservative 1.5x ARR liquidation value on Y15 remaining portfolio. Captures terminal value.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>
        <f>" Scenario-driven. NDR = "&amp;TEXT(IF('1. Press Assumptions'!$B$136="Bear",0.8,IF('1. Press Assumptions'!$B$136="Bull",0.9,0.85)),"0%")&amp;" (Tab 1 B136). 1.24x entry. 50/50 sev split."</f>
        <v/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>
        <f>'1. Press Assumptions'!$D$89</f>
        <v/>
      </c>
      <c r="C5" s="396">
        <f>'1. Press Assumptions'!$E$89</f>
        <v/>
      </c>
      <c r="D5" s="397">
        <f>B5*C5</f>
        <v/>
      </c>
      <c r="E5" s="398">
        <f>B5*0.1154*0.5</f>
        <v/>
      </c>
      <c r="F5" s="399">
        <f>D5-E5</f>
        <v/>
      </c>
      <c r="G5" s="400">
        <f>IF('1. Press Assumptions'!$B$136="Bear",0.8,IF('1. Press Assumptions'!$B$136="Bull",0.9,0.85))</f>
        <v/>
      </c>
      <c r="H5" s="401" t="n">
        <v>0</v>
      </c>
      <c r="I5" s="400">
        <f>"M"&amp;'1. Press Assumptions'!$K$89</f>
        <v/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>
        <f>'1. Press Assumptions'!$D$90</f>
        <v/>
      </c>
      <c r="C6" s="396">
        <f>'1. Press Assumptions'!$E$90</f>
        <v/>
      </c>
      <c r="D6" s="397">
        <f>B6*C6</f>
        <v/>
      </c>
      <c r="E6" s="398">
        <f>B6*0.1154*0.5</f>
        <v/>
      </c>
      <c r="F6" s="399">
        <f>D6-E6</f>
        <v/>
      </c>
      <c r="G6" s="400">
        <f>IF('1. Press Assumptions'!$B$136="Bear",0.8,IF('1. Press Assumptions'!$B$136="Bull",0.9,0.85))</f>
        <v/>
      </c>
      <c r="H6" s="401" t="n">
        <v>0</v>
      </c>
      <c r="I6" s="400">
        <f>"M"&amp;'1. Press Assumptions'!$K$90</f>
        <v/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>
        <f>'1. Press Assumptions'!$D$91</f>
        <v/>
      </c>
      <c r="C7" s="396">
        <f>'1. Press Assumptions'!$E$91</f>
        <v/>
      </c>
      <c r="D7" s="397">
        <f>B7*C7</f>
        <v/>
      </c>
      <c r="E7" s="398">
        <f>B7*0.1154*0.5</f>
        <v/>
      </c>
      <c r="F7" s="399">
        <f>D7-E7</f>
        <v/>
      </c>
      <c r="G7" s="400">
        <f>IF('1. Press Assumptions'!$B$136="Bear",0.8,IF('1. Press Assumptions'!$B$136="Bull",0.9,0.85))</f>
        <v/>
      </c>
      <c r="H7" s="401" t="n">
        <v>0</v>
      </c>
      <c r="I7" s="400">
        <f>"M"&amp;'1. Press Assumptions'!$K$91</f>
        <v/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>
        <f>'1. Press Assumptions'!$D$92</f>
        <v/>
      </c>
      <c r="C8" s="396">
        <f>'1. Press Assumptions'!$E$92</f>
        <v/>
      </c>
      <c r="D8" s="397">
        <f>B8*C8</f>
        <v/>
      </c>
      <c r="E8" s="398">
        <f>B8*0.1154*0.5</f>
        <v/>
      </c>
      <c r="F8" s="399">
        <f>D8-E8</f>
        <v/>
      </c>
      <c r="G8" s="400">
        <f>IF('1. Press Assumptions'!$B$136="Bear",0.8,IF('1. Press Assumptions'!$B$136="Bull",0.9,0.85))</f>
        <v/>
      </c>
      <c r="H8" s="401" t="n">
        <v>0</v>
      </c>
      <c r="I8" s="400">
        <f>"M"&amp;'1. Press Assumptions'!$K$92</f>
        <v/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>
        <f>'1. Press Assumptions'!$D$93</f>
        <v/>
      </c>
      <c r="C9" s="396">
        <f>'1. Press Assumptions'!$E$93</f>
        <v/>
      </c>
      <c r="D9" s="397">
        <f>B9*C9</f>
        <v/>
      </c>
      <c r="E9" s="398">
        <f>B9*0.1154*0.5</f>
        <v/>
      </c>
      <c r="F9" s="399">
        <f>D9-E9</f>
        <v/>
      </c>
      <c r="G9" s="400">
        <f>IF('1. Press Assumptions'!$B$136="Bear",0.8,IF('1. Press Assumptions'!$B$136="Bull",0.9,0.85))</f>
        <v/>
      </c>
      <c r="H9" s="401" t="n">
        <v>0</v>
      </c>
      <c r="I9" s="400">
        <f>"M"&amp;'1. Press Assumptions'!$K$93</f>
        <v/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>
        <f>'1. Press Assumptions'!$D$96</f>
        <v/>
      </c>
      <c r="C15" s="396">
        <f>'1. Press Assumptions'!$E$96</f>
        <v/>
      </c>
      <c r="D15" s="433">
        <f>B15*C15</f>
        <v/>
      </c>
      <c r="E15" s="398">
        <f>B15*0.1154*0.5</f>
        <v/>
      </c>
      <c r="F15" s="434">
        <f>D15-E15</f>
        <v/>
      </c>
      <c r="G15" s="400">
        <f>IF('1. Press Assumptions'!$B$136="Bear",0.8,IF('1. Press Assumptions'!$B$136="Bull",0.9,0.85))</f>
        <v/>
      </c>
      <c r="H15" s="401" t="n">
        <v>0</v>
      </c>
      <c r="I15" s="400">
        <f>"M"&amp;'1. Press Assumptions'!$K$96</f>
        <v/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>
        <f>'1. Press Assumptions'!$D$97</f>
        <v/>
      </c>
      <c r="C16" s="396">
        <f>'1. Press Assumptions'!$E$97</f>
        <v/>
      </c>
      <c r="D16" s="433">
        <f>B16*C16</f>
        <v/>
      </c>
      <c r="E16" s="398">
        <f>B16*0.1154*0.5</f>
        <v/>
      </c>
      <c r="F16" s="434">
        <f>D16-E16</f>
        <v/>
      </c>
      <c r="G16" s="400">
        <f>IF('1. Press Assumptions'!$B$136="Bear",0.8,IF('1. Press Assumptions'!$B$136="Bull",0.9,0.85))</f>
        <v/>
      </c>
      <c r="H16" s="401" t="n">
        <v>0</v>
      </c>
      <c r="I16" s="400">
        <f>"M"&amp;'1. Press Assumptions'!$K$97</f>
        <v/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>
        <f>'1. Press Assumptions'!$D$98</f>
        <v/>
      </c>
      <c r="C17" s="396">
        <f>'1. Press Assumptions'!$E$98</f>
        <v/>
      </c>
      <c r="D17" s="433">
        <f>B17*C17</f>
        <v/>
      </c>
      <c r="E17" s="398">
        <f>B17*0.1154*0.5</f>
        <v/>
      </c>
      <c r="F17" s="434">
        <f>D17-E17</f>
        <v/>
      </c>
      <c r="G17" s="400">
        <f>IF('1. Press Assumptions'!$B$136="Bear",0.8,IF('1. Press Assumptions'!$B$136="Bull",0.9,0.85))</f>
        <v/>
      </c>
      <c r="H17" s="401" t="n">
        <v>0</v>
      </c>
      <c r="I17" s="400">
        <f>"M"&amp;'1. Press Assumptions'!$K$98</f>
        <v/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>
        <f>'1. Press Assumptions'!$D$99</f>
        <v/>
      </c>
      <c r="C18" s="396">
        <f>'1. Press Assumptions'!$E$99</f>
        <v/>
      </c>
      <c r="D18" s="433">
        <f>B18*C18</f>
        <v/>
      </c>
      <c r="E18" s="398">
        <f>B18*0.1154*0.5</f>
        <v/>
      </c>
      <c r="F18" s="434">
        <f>D18-E18</f>
        <v/>
      </c>
      <c r="G18" s="400">
        <f>IF('1. Press Assumptions'!$B$136="Bear",0.8,IF('1. Press Assumptions'!$B$136="Bull",0.9,0.85))</f>
        <v/>
      </c>
      <c r="H18" s="401" t="n">
        <v>0</v>
      </c>
      <c r="I18" s="400">
        <f>"M"&amp;'1. Press Assumptions'!$K$99</f>
        <v/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/>
      <c r="B40" s="443" t="n"/>
      <c r="C40" s="444" t="n"/>
      <c r="D40" s="444" t="n"/>
      <c r="E40" s="444" t="n"/>
      <c r="F40" s="444" t="n"/>
      <c r="G40" s="444" t="n"/>
      <c r="H40" s="444" t="n"/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ARR/close month from Tab 1; NDR from active scenario (uniform).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 (scenario, Tab 1 B136)</t>
        </is>
      </c>
      <c r="B7" s="306">
        <f>IF('1. Press Assumptions'!$B$136="Bear",0.8,IF('1. Press Assumptions'!$B$136="Bull",0.9,0.85))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Q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1" customWidth="1" style="306" min="2" max="19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</cols>
  <sheetData>
    <row r="1" ht="17.25" customHeight="1" s="307">
      <c r="A1" s="612" t="inlineStr">
        <is>
          <t>BID MODEL SENSITIVITY  --  DEAL-LEVEL (single OpCo, gross)</t>
        </is>
      </c>
      <c r="B1" s="614" t="n"/>
      <c r="C1" s="614" t="n"/>
      <c r="D1" s="614" t="n"/>
      <c r="E1" s="614" t="n"/>
      <c r="F1" s="614" t="n"/>
      <c r="G1" s="614" t="n"/>
      <c r="H1" s="614" t="n"/>
    </row>
    <row r="2" ht="15" customHeight="1" s="307">
      <c r="A2" s="593">
        <f>" GROSS deal economics: single OpCo, "&amp;TEXT('1. Press Assumptions'!$B$35,"0.0%")&amp;" net margin, 15Y hold, no exit, NO fund costs/carry. NOT comparable to fund-level LP DPI (Tabs 2/6/11)."</f>
        <v/>
      </c>
      <c r="B2" s="614" t="n"/>
      <c r="C2" s="614" t="n"/>
      <c r="D2" s="614" t="n"/>
      <c r="E2" s="614" t="n"/>
      <c r="F2" s="614" t="n"/>
      <c r="G2" s="614" t="n"/>
      <c r="H2" s="614" t="n"/>
    </row>
    <row r="3">
      <c r="A3" s="614" t="n"/>
      <c r="B3" s="614" t="n"/>
      <c r="C3" s="614" t="n"/>
      <c r="D3" s="614" t="n"/>
      <c r="E3" s="614" t="n"/>
      <c r="F3" s="614" t="n"/>
      <c r="G3" s="614" t="n"/>
      <c r="H3" s="614" t="n"/>
    </row>
    <row r="4" ht="15" customHeight="1" s="307">
      <c r="A4" s="616" t="inlineStr">
        <is>
          <t>DEAL-LEVEL 15Y MOIC (gross)</t>
        </is>
      </c>
      <c r="B4" s="738" t="n"/>
      <c r="C4" s="738" t="n"/>
      <c r="D4" s="738" t="n"/>
      <c r="E4" s="738" t="n"/>
      <c r="F4" s="738" t="n"/>
      <c r="G4" s="738" t="n"/>
      <c r="H4" s="738" t="n"/>
    </row>
    <row r="5" ht="15" customHeight="1" s="307">
      <c r="A5" s="612" t="inlineStr">
        <is>
          <t>NDR \ Entry Mult</t>
        </is>
      </c>
      <c r="B5" s="746" t="n">
        <v>0.75</v>
      </c>
      <c r="C5" s="746" t="n">
        <v>1</v>
      </c>
      <c r="D5" s="746" t="n">
        <v>1.1</v>
      </c>
      <c r="E5" s="746" t="n">
        <v>1.25</v>
      </c>
      <c r="F5" s="746" t="n">
        <v>1.5</v>
      </c>
      <c r="G5" s="746" t="n">
        <v>1.75</v>
      </c>
      <c r="H5" s="746" t="n">
        <v>2</v>
      </c>
    </row>
    <row r="6" ht="15" customHeight="1" s="307">
      <c r="A6" s="747" t="n">
        <v>0.7</v>
      </c>
      <c r="B6" s="687">
        <f>('1. Press Assumptions'!$B$35*'1. Press Assumptions'!$D$89*(IF($A6=1,15,(1-$A6^15)/(1-$A6))))/('1. Press Assumptions'!$D$89*B$5)</f>
        <v/>
      </c>
      <c r="C6" s="687">
        <f>('1. Press Assumptions'!$B$35*'1. Press Assumptions'!$D$89*(IF($A6=1,15,(1-$A6^15)/(1-$A6))))/('1. Press Assumptions'!$D$89*C$5)</f>
        <v/>
      </c>
      <c r="D6" s="687">
        <f>('1. Press Assumptions'!$B$35*'1. Press Assumptions'!$D$89*(IF($A6=1,15,(1-$A6^15)/(1-$A6))))/('1. Press Assumptions'!$D$89*D$5)</f>
        <v/>
      </c>
      <c r="E6" s="687">
        <f>('1. Press Assumptions'!$B$35*'1. Press Assumptions'!$D$89*(IF($A6=1,15,(1-$A6^15)/(1-$A6))))/('1. Press Assumptions'!$D$89*E$5)</f>
        <v/>
      </c>
      <c r="F6" s="687">
        <f>('1. Press Assumptions'!$B$35*'1. Press Assumptions'!$D$89*(IF($A6=1,15,(1-$A6^15)/(1-$A6))))/('1. Press Assumptions'!$D$89*F$5)</f>
        <v/>
      </c>
      <c r="G6" s="687">
        <f>('1. Press Assumptions'!$B$35*'1. Press Assumptions'!$D$89*(IF($A6=1,15,(1-$A6^15)/(1-$A6))))/('1. Press Assumptions'!$D$89*G$5)</f>
        <v/>
      </c>
      <c r="H6" s="687">
        <f>('1. Press Assumptions'!$B$35*'1. Press Assumptions'!$D$89*(IF($A6=1,15,(1-$A6^15)/(1-$A6))))/('1. Press Assumptions'!$D$89*H$5)</f>
        <v/>
      </c>
    </row>
    <row r="7" ht="15" customHeight="1" s="307">
      <c r="A7" s="747" t="n">
        <v>0.75</v>
      </c>
      <c r="B7" s="687">
        <f>('1. Press Assumptions'!$B$35*'1. Press Assumptions'!$D$89*(IF($A7=1,15,(1-$A7^15)/(1-$A7))))/('1. Press Assumptions'!$D$89*B$5)</f>
        <v/>
      </c>
      <c r="C7" s="687">
        <f>('1. Press Assumptions'!$B$35*'1. Press Assumptions'!$D$89*(IF($A7=1,15,(1-$A7^15)/(1-$A7))))/('1. Press Assumptions'!$D$89*C$5)</f>
        <v/>
      </c>
      <c r="D7" s="687">
        <f>('1. Press Assumptions'!$B$35*'1. Press Assumptions'!$D$89*(IF($A7=1,15,(1-$A7^15)/(1-$A7))))/('1. Press Assumptions'!$D$89*D$5)</f>
        <v/>
      </c>
      <c r="E7" s="687">
        <f>('1. Press Assumptions'!$B$35*'1. Press Assumptions'!$D$89*(IF($A7=1,15,(1-$A7^15)/(1-$A7))))/('1. Press Assumptions'!$D$89*E$5)</f>
        <v/>
      </c>
      <c r="F7" s="687">
        <f>('1. Press Assumptions'!$B$35*'1. Press Assumptions'!$D$89*(IF($A7=1,15,(1-$A7^15)/(1-$A7))))/('1. Press Assumptions'!$D$89*F$5)</f>
        <v/>
      </c>
      <c r="G7" s="687">
        <f>('1. Press Assumptions'!$B$35*'1. Press Assumptions'!$D$89*(IF($A7=1,15,(1-$A7^15)/(1-$A7))))/('1. Press Assumptions'!$D$89*G$5)</f>
        <v/>
      </c>
      <c r="H7" s="687">
        <f>('1. Press Assumptions'!$B$35*'1. Press Assumptions'!$D$89*(IF($A7=1,15,(1-$A7^15)/(1-$A7))))/('1. Press Assumptions'!$D$89*H$5)</f>
        <v/>
      </c>
    </row>
    <row r="8" ht="15" customHeight="1" s="307">
      <c r="A8" s="747" t="n">
        <v>0.8</v>
      </c>
      <c r="B8" s="687">
        <f>('1. Press Assumptions'!$B$35*'1. Press Assumptions'!$D$89*(IF($A8=1,15,(1-$A8^15)/(1-$A8))))/('1. Press Assumptions'!$D$89*B$5)</f>
        <v/>
      </c>
      <c r="C8" s="687">
        <f>('1. Press Assumptions'!$B$35*'1. Press Assumptions'!$D$89*(IF($A8=1,15,(1-$A8^15)/(1-$A8))))/('1. Press Assumptions'!$D$89*C$5)</f>
        <v/>
      </c>
      <c r="D8" s="687">
        <f>('1. Press Assumptions'!$B$35*'1. Press Assumptions'!$D$89*(IF($A8=1,15,(1-$A8^15)/(1-$A8))))/('1. Press Assumptions'!$D$89*D$5)</f>
        <v/>
      </c>
      <c r="E8" s="687">
        <f>('1. Press Assumptions'!$B$35*'1. Press Assumptions'!$D$89*(IF($A8=1,15,(1-$A8^15)/(1-$A8))))/('1. Press Assumptions'!$D$89*E$5)</f>
        <v/>
      </c>
      <c r="F8" s="687">
        <f>('1. Press Assumptions'!$B$35*'1. Press Assumptions'!$D$89*(IF($A8=1,15,(1-$A8^15)/(1-$A8))))/('1. Press Assumptions'!$D$89*F$5)</f>
        <v/>
      </c>
      <c r="G8" s="687">
        <f>('1. Press Assumptions'!$B$35*'1. Press Assumptions'!$D$89*(IF($A8=1,15,(1-$A8^15)/(1-$A8))))/('1. Press Assumptions'!$D$89*G$5)</f>
        <v/>
      </c>
      <c r="H8" s="687">
        <f>('1. Press Assumptions'!$B$35*'1. Press Assumptions'!$D$89*(IF($A8=1,15,(1-$A8^15)/(1-$A8))))/('1. Press Assumptions'!$D$89*H$5)</f>
        <v/>
      </c>
    </row>
    <row r="9" ht="15" customHeight="1" s="307">
      <c r="A9" s="748" t="n">
        <v>0.85</v>
      </c>
      <c r="B9" s="749">
        <f>('1. Press Assumptions'!$B$35*'1. Press Assumptions'!$D$89*(IF($A9=1,15,(1-$A9^15)/(1-$A9))))/('1. Press Assumptions'!$D$89*B$5)</f>
        <v/>
      </c>
      <c r="C9" s="749">
        <f>('1. Press Assumptions'!$B$35*'1. Press Assumptions'!$D$89*(IF($A9=1,15,(1-$A9^15)/(1-$A9))))/('1. Press Assumptions'!$D$89*C$5)</f>
        <v/>
      </c>
      <c r="D9" s="749">
        <f>('1. Press Assumptions'!$B$35*'1. Press Assumptions'!$D$89*(IF($A9=1,15,(1-$A9^15)/(1-$A9))))/('1. Press Assumptions'!$D$89*D$5)</f>
        <v/>
      </c>
      <c r="E9" s="749">
        <f>('1. Press Assumptions'!$B$35*'1. Press Assumptions'!$D$89*(IF($A9=1,15,(1-$A9^15)/(1-$A9))))/('1. Press Assumptions'!$D$89*E$5)</f>
        <v/>
      </c>
      <c r="F9" s="749">
        <f>('1. Press Assumptions'!$B$35*'1. Press Assumptions'!$D$89*(IF($A9=1,15,(1-$A9^15)/(1-$A9))))/('1. Press Assumptions'!$D$89*F$5)</f>
        <v/>
      </c>
      <c r="G9" s="749">
        <f>('1. Press Assumptions'!$B$35*'1. Press Assumptions'!$D$89*(IF($A9=1,15,(1-$A9^15)/(1-$A9))))/('1. Press Assumptions'!$D$89*G$5)</f>
        <v/>
      </c>
      <c r="H9" s="749">
        <f>('1. Press Assumptions'!$B$35*'1. Press Assumptions'!$D$89*(IF($A9=1,15,(1-$A9^15)/(1-$A9))))/('1. Press Assumptions'!$D$89*H$5)</f>
        <v/>
      </c>
    </row>
    <row r="10" ht="15" customHeight="1" s="307">
      <c r="A10" s="747" t="n">
        <v>0.9</v>
      </c>
      <c r="B10" s="687">
        <f>('1. Press Assumptions'!$B$35*'1. Press Assumptions'!$D$89*(IF($A10=1,15,(1-$A10^15)/(1-$A10))))/('1. Press Assumptions'!$D$89*B$5)</f>
        <v/>
      </c>
      <c r="C10" s="687">
        <f>('1. Press Assumptions'!$B$35*'1. Press Assumptions'!$D$89*(IF($A10=1,15,(1-$A10^15)/(1-$A10))))/('1. Press Assumptions'!$D$89*C$5)</f>
        <v/>
      </c>
      <c r="D10" s="687">
        <f>('1. Press Assumptions'!$B$35*'1. Press Assumptions'!$D$89*(IF($A10=1,15,(1-$A10^15)/(1-$A10))))/('1. Press Assumptions'!$D$89*D$5)</f>
        <v/>
      </c>
      <c r="E10" s="687">
        <f>('1. Press Assumptions'!$B$35*'1. Press Assumptions'!$D$89*(IF($A10=1,15,(1-$A10^15)/(1-$A10))))/('1. Press Assumptions'!$D$89*E$5)</f>
        <v/>
      </c>
      <c r="F10" s="687">
        <f>('1. Press Assumptions'!$B$35*'1. Press Assumptions'!$D$89*(IF($A10=1,15,(1-$A10^15)/(1-$A10))))/('1. Press Assumptions'!$D$89*F$5)</f>
        <v/>
      </c>
      <c r="G10" s="687">
        <f>('1. Press Assumptions'!$B$35*'1. Press Assumptions'!$D$89*(IF($A10=1,15,(1-$A10^15)/(1-$A10))))/('1. Press Assumptions'!$D$89*G$5)</f>
        <v/>
      </c>
      <c r="H10" s="687">
        <f>('1. Press Assumptions'!$B$35*'1. Press Assumptions'!$D$89*(IF($A10=1,15,(1-$A10^15)/(1-$A10))))/('1. Press Assumptions'!$D$89*H$5)</f>
        <v/>
      </c>
    </row>
    <row r="11" ht="15" customHeight="1" s="307">
      <c r="A11" s="747" t="n">
        <v>0.95</v>
      </c>
      <c r="B11" s="687">
        <f>('1. Press Assumptions'!$B$35*'1. Press Assumptions'!$D$89*(IF($A11=1,15,(1-$A11^15)/(1-$A11))))/('1. Press Assumptions'!$D$89*B$5)</f>
        <v/>
      </c>
      <c r="C11" s="687">
        <f>('1. Press Assumptions'!$B$35*'1. Press Assumptions'!$D$89*(IF($A11=1,15,(1-$A11^15)/(1-$A11))))/('1. Press Assumptions'!$D$89*C$5)</f>
        <v/>
      </c>
      <c r="D11" s="687">
        <f>('1. Press Assumptions'!$B$35*'1. Press Assumptions'!$D$89*(IF($A11=1,15,(1-$A11^15)/(1-$A11))))/('1. Press Assumptions'!$D$89*D$5)</f>
        <v/>
      </c>
      <c r="E11" s="687">
        <f>('1. Press Assumptions'!$B$35*'1. Press Assumptions'!$D$89*(IF($A11=1,15,(1-$A11^15)/(1-$A11))))/('1. Press Assumptions'!$D$89*E$5)</f>
        <v/>
      </c>
      <c r="F11" s="687">
        <f>('1. Press Assumptions'!$B$35*'1. Press Assumptions'!$D$89*(IF($A11=1,15,(1-$A11^15)/(1-$A11))))/('1. Press Assumptions'!$D$89*F$5)</f>
        <v/>
      </c>
      <c r="G11" s="687">
        <f>('1. Press Assumptions'!$B$35*'1. Press Assumptions'!$D$89*(IF($A11=1,15,(1-$A11^15)/(1-$A11))))/('1. Press Assumptions'!$D$89*G$5)</f>
        <v/>
      </c>
      <c r="H11" s="687">
        <f>('1. Press Assumptions'!$B$35*'1. Press Assumptions'!$D$89*(IF($A11=1,15,(1-$A11^15)/(1-$A11))))/('1. Press Assumptions'!$D$89*H$5)</f>
        <v/>
      </c>
    </row>
    <row r="12" ht="15" customHeight="1" s="307">
      <c r="A12" s="747" t="n">
        <v>1</v>
      </c>
      <c r="B12" s="687">
        <f>('1. Press Assumptions'!$B$35*'1. Press Assumptions'!$D$89*(IF($A12=1,15,(1-$A12^15)/(1-$A12))))/('1. Press Assumptions'!$D$89*B$5)</f>
        <v/>
      </c>
      <c r="C12" s="687">
        <f>('1. Press Assumptions'!$B$35*'1. Press Assumptions'!$D$89*(IF($A12=1,15,(1-$A12^15)/(1-$A12))))/('1. Press Assumptions'!$D$89*C$5)</f>
        <v/>
      </c>
      <c r="D12" s="687">
        <f>('1. Press Assumptions'!$B$35*'1. Press Assumptions'!$D$89*(IF($A12=1,15,(1-$A12^15)/(1-$A12))))/('1. Press Assumptions'!$D$89*D$5)</f>
        <v/>
      </c>
      <c r="E12" s="687">
        <f>('1. Press Assumptions'!$B$35*'1. Press Assumptions'!$D$89*(IF($A12=1,15,(1-$A12^15)/(1-$A12))))/('1. Press Assumptions'!$D$89*E$5)</f>
        <v/>
      </c>
      <c r="F12" s="687">
        <f>('1. Press Assumptions'!$B$35*'1. Press Assumptions'!$D$89*(IF($A12=1,15,(1-$A12^15)/(1-$A12))))/('1. Press Assumptions'!$D$89*F$5)</f>
        <v/>
      </c>
      <c r="G12" s="687">
        <f>('1. Press Assumptions'!$B$35*'1. Press Assumptions'!$D$89*(IF($A12=1,15,(1-$A12^15)/(1-$A12))))/('1. Press Assumptions'!$D$89*G$5)</f>
        <v/>
      </c>
      <c r="H12" s="687">
        <f>('1. Press Assumptions'!$B$35*'1. Press Assumptions'!$D$89*(IF($A12=1,15,(1-$A12^15)/(1-$A12))))/('1. Press Assumptions'!$D$89*H$5)</f>
        <v/>
      </c>
    </row>
    <row r="13">
      <c r="A13" s="614" t="n"/>
      <c r="B13" s="614" t="n"/>
      <c r="C13" s="614" t="n"/>
      <c r="D13" s="614" t="n"/>
      <c r="E13" s="614" t="n"/>
      <c r="F13" s="614" t="n"/>
      <c r="G13" s="614" t="n"/>
      <c r="H13" s="614" t="n"/>
    </row>
    <row r="14">
      <c r="A14" s="614" t="n"/>
      <c r="B14" s="614" t="n"/>
      <c r="C14" s="614" t="n"/>
      <c r="D14" s="614" t="n"/>
      <c r="E14" s="614" t="n"/>
      <c r="F14" s="614" t="n"/>
      <c r="G14" s="614" t="n"/>
      <c r="H14" s="614" t="n"/>
    </row>
    <row r="15" ht="15" customHeight="1" s="307">
      <c r="A15" s="616" t="inlineStr">
        <is>
          <t>DEAL-LEVEL 15Y IRR (gross)</t>
        </is>
      </c>
      <c r="B15" s="738" t="n"/>
      <c r="C15" s="738" t="n"/>
      <c r="D15" s="738" t="n"/>
      <c r="E15" s="738" t="n"/>
      <c r="F15" s="738" t="n"/>
      <c r="G15" s="738" t="n"/>
      <c r="H15" s="738" t="n"/>
    </row>
    <row r="16" ht="15" customHeight="1" s="307">
      <c r="A16" s="612" t="inlineStr">
        <is>
          <t>NDR \ Entry Mult</t>
        </is>
      </c>
      <c r="B16" s="746" t="n">
        <v>0.75</v>
      </c>
      <c r="C16" s="746" t="n">
        <v>1</v>
      </c>
      <c r="D16" s="746" t="n">
        <v>1.1</v>
      </c>
      <c r="E16" s="746" t="n">
        <v>1.25</v>
      </c>
      <c r="F16" s="746" t="n">
        <v>1.5</v>
      </c>
      <c r="G16" s="746" t="n">
        <v>1.75</v>
      </c>
      <c r="H16" s="746" t="n">
        <v>2</v>
      </c>
    </row>
    <row r="17" ht="15" customHeight="1" s="307">
      <c r="A17" s="747" t="n">
        <v>0.7</v>
      </c>
      <c r="B17" s="684">
        <f>IRR(B45:Q45)</f>
        <v/>
      </c>
      <c r="C17" s="684">
        <f>IRR(B46:Q46)</f>
        <v/>
      </c>
      <c r="D17" s="684">
        <f>IRR(B47:Q47)</f>
        <v/>
      </c>
      <c r="E17" s="684">
        <f>IRR(B48:Q48)</f>
        <v/>
      </c>
      <c r="F17" s="684">
        <f>IRR(B49:Q49)</f>
        <v/>
      </c>
      <c r="G17" s="684">
        <f>IRR(B50:Q50)</f>
        <v/>
      </c>
      <c r="H17" s="684">
        <f>IRR(B51:Q51)</f>
        <v/>
      </c>
    </row>
    <row r="18" ht="15" customHeight="1" s="307">
      <c r="A18" s="747" t="n">
        <v>0.75</v>
      </c>
      <c r="B18" s="684">
        <f>IRR(B52:Q52)</f>
        <v/>
      </c>
      <c r="C18" s="684">
        <f>IRR(B53:Q53)</f>
        <v/>
      </c>
      <c r="D18" s="684">
        <f>IRR(B54:Q54)</f>
        <v/>
      </c>
      <c r="E18" s="684">
        <f>IRR(B55:Q55)</f>
        <v/>
      </c>
      <c r="F18" s="684">
        <f>IRR(B56:Q56)</f>
        <v/>
      </c>
      <c r="G18" s="684">
        <f>IRR(B57:Q57)</f>
        <v/>
      </c>
      <c r="H18" s="684">
        <f>IRR(B58:Q58)</f>
        <v/>
      </c>
    </row>
    <row r="19" ht="15" customHeight="1" s="307">
      <c r="A19" s="747" t="n">
        <v>0.8</v>
      </c>
      <c r="B19" s="684">
        <f>IRR(B59:Q59)</f>
        <v/>
      </c>
      <c r="C19" s="684">
        <f>IRR(B60:Q60)</f>
        <v/>
      </c>
      <c r="D19" s="684">
        <f>IRR(B61:Q61)</f>
        <v/>
      </c>
      <c r="E19" s="684">
        <f>IRR(B62:Q62)</f>
        <v/>
      </c>
      <c r="F19" s="684">
        <f>IRR(B63:Q63)</f>
        <v/>
      </c>
      <c r="G19" s="684">
        <f>IRR(B64:Q64)</f>
        <v/>
      </c>
      <c r="H19" s="684">
        <f>IRR(B65:Q65)</f>
        <v/>
      </c>
    </row>
    <row r="20" ht="15" customHeight="1" s="307">
      <c r="A20" s="748" t="n">
        <v>0.85</v>
      </c>
      <c r="B20" s="750">
        <f>IRR(B66:Q66)</f>
        <v/>
      </c>
      <c r="C20" s="750">
        <f>IRR(B67:Q67)</f>
        <v/>
      </c>
      <c r="D20" s="750">
        <f>IRR(B68:Q68)</f>
        <v/>
      </c>
      <c r="E20" s="750">
        <f>IRR(B69:Q69)</f>
        <v/>
      </c>
      <c r="F20" s="750">
        <f>IRR(B70:Q70)</f>
        <v/>
      </c>
      <c r="G20" s="750">
        <f>IRR(B71:Q71)</f>
        <v/>
      </c>
      <c r="H20" s="750">
        <f>IRR(B72:Q72)</f>
        <v/>
      </c>
    </row>
    <row r="21" ht="15" customHeight="1" s="307">
      <c r="A21" s="747" t="n">
        <v>0.9</v>
      </c>
      <c r="B21" s="684">
        <f>IRR(B73:Q73)</f>
        <v/>
      </c>
      <c r="C21" s="684">
        <f>IRR(B74:Q74)</f>
        <v/>
      </c>
      <c r="D21" s="684">
        <f>IRR(B75:Q75)</f>
        <v/>
      </c>
      <c r="E21" s="684">
        <f>IRR(B76:Q76)</f>
        <v/>
      </c>
      <c r="F21" s="684">
        <f>IRR(B77:Q77)</f>
        <v/>
      </c>
      <c r="G21" s="684">
        <f>IRR(B78:Q78)</f>
        <v/>
      </c>
      <c r="H21" s="684">
        <f>IRR(B79:Q79)</f>
        <v/>
      </c>
    </row>
    <row r="22" ht="15" customHeight="1" s="307">
      <c r="A22" s="747" t="n">
        <v>0.95</v>
      </c>
      <c r="B22" s="684">
        <f>IRR(B80:Q80)</f>
        <v/>
      </c>
      <c r="C22" s="684">
        <f>IRR(B81:Q81)</f>
        <v/>
      </c>
      <c r="D22" s="684">
        <f>IRR(B82:Q82)</f>
        <v/>
      </c>
      <c r="E22" s="684">
        <f>IRR(B83:Q83)</f>
        <v/>
      </c>
      <c r="F22" s="684">
        <f>IRR(B84:Q84)</f>
        <v/>
      </c>
      <c r="G22" s="684">
        <f>IRR(B85:Q85)</f>
        <v/>
      </c>
      <c r="H22" s="684">
        <f>IRR(B86:Q86)</f>
        <v/>
      </c>
    </row>
    <row r="23" ht="15" customHeight="1" s="307">
      <c r="A23" s="747" t="n">
        <v>1</v>
      </c>
      <c r="B23" s="684">
        <f>IRR(B87:Q87)</f>
        <v/>
      </c>
      <c r="C23" s="684">
        <f>IRR(B88:Q88)</f>
        <v/>
      </c>
      <c r="D23" s="684">
        <f>IRR(B89:Q89)</f>
        <v/>
      </c>
      <c r="E23" s="684">
        <f>IRR(B90:Q90)</f>
        <v/>
      </c>
      <c r="F23" s="684">
        <f>IRR(B91:Q91)</f>
        <v/>
      </c>
      <c r="G23" s="684">
        <f>IRR(B92:Q92)</f>
        <v/>
      </c>
      <c r="H23" s="684">
        <f>IRR(B93:Q93)</f>
        <v/>
      </c>
    </row>
    <row r="24">
      <c r="A24" s="614" t="n"/>
      <c r="B24" s="614" t="n"/>
      <c r="C24" s="614" t="n"/>
      <c r="D24" s="614" t="n"/>
      <c r="E24" s="614" t="n"/>
      <c r="F24" s="614" t="n"/>
      <c r="G24" s="614" t="n"/>
      <c r="H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  <c r="H25" s="614" t="n"/>
    </row>
    <row r="26" ht="15" customHeight="1" s="307">
      <c r="A26" s="751" t="inlineStr">
        <is>
          <t>PURCHASE PRICE ($mm)</t>
        </is>
      </c>
      <c r="B26" s="613" t="n"/>
      <c r="C26" s="613" t="n"/>
      <c r="D26" s="613" t="n"/>
      <c r="E26" s="613" t="n"/>
      <c r="F26" s="613" t="n"/>
      <c r="G26" s="613" t="n"/>
      <c r="H26" s="613" t="n"/>
    </row>
    <row r="27" ht="15" customHeight="1" s="307">
      <c r="A27" s="613" t="inlineStr">
        <is>
          <t>Entry Multiple</t>
        </is>
      </c>
      <c r="B27" s="687" t="n">
        <v>0.75</v>
      </c>
      <c r="C27" s="687" t="n">
        <v>1</v>
      </c>
      <c r="D27" s="687" t="n">
        <v>1.1</v>
      </c>
      <c r="E27" s="687" t="n">
        <v>1.25</v>
      </c>
      <c r="F27" s="687" t="n">
        <v>1.5</v>
      </c>
      <c r="G27" s="687" t="n">
        <v>1.75</v>
      </c>
      <c r="H27" s="687" t="n">
        <v>2</v>
      </c>
    </row>
    <row r="28" ht="15" customHeight="1" s="307">
      <c r="A28" s="613">
        <f>" $"&amp;TEXT('1. Press Assumptions'!$D$89,"0")&amp;"M ARR"</f>
        <v/>
      </c>
      <c r="B28" s="752">
        <f>'1. Press Assumptions'!$D$89*B$27</f>
        <v/>
      </c>
      <c r="C28" s="752">
        <f>'1. Press Assumptions'!$D$89*C$27</f>
        <v/>
      </c>
      <c r="D28" s="752">
        <f>'1. Press Assumptions'!$D$89*D$27</f>
        <v/>
      </c>
      <c r="E28" s="752">
        <f>'1. Press Assumptions'!$D$89*E$27</f>
        <v/>
      </c>
      <c r="F28" s="752">
        <f>'1. Press Assumptions'!$D$89*F$27</f>
        <v/>
      </c>
      <c r="G28" s="752">
        <f>'1. Press Assumptions'!$D$89*G$27</f>
        <v/>
      </c>
      <c r="H28" s="752">
        <f>'1. Press Assumptions'!$D$89*H$27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 ht="15" customHeight="1" s="307">
      <c r="A30" s="613" t="n"/>
      <c r="B30" s="613" t="n"/>
      <c r="C30" s="613" t="n"/>
      <c r="D30" s="613" t="n"/>
      <c r="E30" s="613" t="n"/>
      <c r="F30" s="613" t="n"/>
      <c r="G30" s="613" t="n"/>
      <c r="H30" s="613" t="n"/>
    </row>
    <row r="31" ht="15" customHeight="1" s="307">
      <c r="A31" s="613" t="n"/>
      <c r="B31" s="684" t="n"/>
      <c r="C31" s="684" t="n"/>
      <c r="D31" s="684" t="n"/>
      <c r="E31" s="684" t="n"/>
      <c r="F31" s="684" t="n"/>
      <c r="G31" s="684" t="n"/>
      <c r="H31" s="684" t="n"/>
    </row>
    <row r="32" ht="15" customHeight="1" s="307">
      <c r="A32" s="613" t="n"/>
      <c r="B32" s="753" t="n"/>
      <c r="C32" s="753" t="n"/>
      <c r="D32" s="753" t="n"/>
      <c r="E32" s="753" t="n"/>
      <c r="F32" s="753" t="n"/>
      <c r="G32" s="753" t="n"/>
      <c r="H32" s="753" t="n"/>
    </row>
    <row r="33" ht="15" customHeight="1" s="307">
      <c r="A33" s="613" t="n"/>
      <c r="B33" s="753" t="n"/>
      <c r="C33" s="753" t="n"/>
      <c r="D33" s="753" t="n"/>
      <c r="E33" s="753" t="n"/>
      <c r="F33" s="753" t="n"/>
      <c r="G33" s="753" t="n"/>
      <c r="H33" s="753" t="n"/>
    </row>
    <row r="34" ht="15" customHeight="1" s="307">
      <c r="A34" s="613" t="n"/>
      <c r="B34" s="753" t="n"/>
      <c r="C34" s="753" t="n"/>
      <c r="D34" s="753" t="n"/>
      <c r="E34" s="753" t="n"/>
      <c r="F34" s="753" t="n"/>
      <c r="G34" s="753" t="n"/>
      <c r="H34" s="753" t="n"/>
    </row>
    <row r="35" ht="15" customHeight="1" s="307">
      <c r="A35" s="613" t="n"/>
      <c r="B35" s="686" t="n"/>
      <c r="C35" s="686" t="n"/>
      <c r="D35" s="686" t="n"/>
      <c r="E35" s="686" t="n"/>
      <c r="F35" s="686" t="n"/>
      <c r="G35" s="686" t="n"/>
      <c r="H35" s="686" t="n"/>
    </row>
    <row r="36" ht="15" customHeight="1" s="307">
      <c r="A36" s="613" t="n"/>
      <c r="B36" s="684" t="n"/>
      <c r="C36" s="684" t="n"/>
      <c r="D36" s="684" t="n"/>
      <c r="E36" s="684" t="n"/>
      <c r="F36" s="684" t="n"/>
      <c r="G36" s="684" t="n"/>
      <c r="H36" s="68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</row>
    <row r="39" ht="15" customHeight="1" s="307">
      <c r="A39" s="613" t="n"/>
      <c r="B39" s="614" t="n"/>
      <c r="C39" s="614" t="n"/>
      <c r="D39" s="614" t="n"/>
      <c r="E39" s="614" t="n"/>
      <c r="F39" s="614" t="n"/>
      <c r="G39" s="614" t="n"/>
      <c r="H39" s="614" t="n"/>
    </row>
    <row r="40" ht="15" customHeight="1" s="307">
      <c r="A40" s="593" t="inlineStr">
        <is>
          <t>Base = 85% NDR, 1.24x entry (highlighted). Deal-level gross; see Tabs 2/6/11 for fund-level LP returns.</t>
        </is>
      </c>
      <c r="B40" s="614" t="n"/>
      <c r="C40" s="614" t="n"/>
      <c r="D40" s="614" t="n"/>
      <c r="E40" s="614" t="n"/>
      <c r="F40" s="614" t="n"/>
      <c r="G40" s="614" t="n"/>
      <c r="H40" s="614" t="n"/>
    </row>
    <row r="44">
      <c r="A44" s="615" t="inlineStr">
        <is>
          <t>IRR helper cashflows (yr0..15) -- do not edit</t>
        </is>
      </c>
    </row>
    <row r="45">
      <c r="B45" s="306">
        <f>-'1. Press Assumptions'!$D$89*B$5</f>
        <v/>
      </c>
      <c r="C45" s="306">
        <f>'1. Press Assumptions'!$B$35*'1. Press Assumptions'!$D$89*$A6^0</f>
        <v/>
      </c>
      <c r="D45" s="306">
        <f>'1. Press Assumptions'!$B$35*'1. Press Assumptions'!$D$89*$A6^1</f>
        <v/>
      </c>
      <c r="E45" s="306">
        <f>'1. Press Assumptions'!$B$35*'1. Press Assumptions'!$D$89*$A6^2</f>
        <v/>
      </c>
      <c r="F45" s="306">
        <f>'1. Press Assumptions'!$B$35*'1. Press Assumptions'!$D$89*$A6^3</f>
        <v/>
      </c>
      <c r="G45" s="306">
        <f>'1. Press Assumptions'!$B$35*'1. Press Assumptions'!$D$89*$A6^4</f>
        <v/>
      </c>
      <c r="H45" s="306">
        <f>'1. Press Assumptions'!$B$35*'1. Press Assumptions'!$D$89*$A6^5</f>
        <v/>
      </c>
      <c r="I45" s="306">
        <f>'1. Press Assumptions'!$B$35*'1. Press Assumptions'!$D$89*$A6^6</f>
        <v/>
      </c>
      <c r="J45" s="306">
        <f>'1. Press Assumptions'!$B$35*'1. Press Assumptions'!$D$89*$A6^7</f>
        <v/>
      </c>
      <c r="K45" s="306">
        <f>'1. Press Assumptions'!$B$35*'1. Press Assumptions'!$D$89*$A6^8</f>
        <v/>
      </c>
      <c r="L45" s="306">
        <f>'1. Press Assumptions'!$B$35*'1. Press Assumptions'!$D$89*$A6^9</f>
        <v/>
      </c>
      <c r="M45" s="306">
        <f>'1. Press Assumptions'!$B$35*'1. Press Assumptions'!$D$89*$A6^10</f>
        <v/>
      </c>
      <c r="N45" s="306">
        <f>'1. Press Assumptions'!$B$35*'1. Press Assumptions'!$D$89*$A6^11</f>
        <v/>
      </c>
      <c r="O45" s="306">
        <f>'1. Press Assumptions'!$B$35*'1. Press Assumptions'!$D$89*$A6^12</f>
        <v/>
      </c>
      <c r="P45" s="306">
        <f>'1. Press Assumptions'!$B$35*'1. Press Assumptions'!$D$89*$A6^13</f>
        <v/>
      </c>
      <c r="Q45" s="306">
        <f>'1. Press Assumptions'!$B$35*'1. Press Assumptions'!$D$89*$A6^14</f>
        <v/>
      </c>
    </row>
    <row r="46">
      <c r="B46" s="306">
        <f>-'1. Press Assumptions'!$D$89*C$5</f>
        <v/>
      </c>
      <c r="C46" s="306">
        <f>'1. Press Assumptions'!$B$35*'1. Press Assumptions'!$D$89*$A6^0</f>
        <v/>
      </c>
      <c r="D46" s="306">
        <f>'1. Press Assumptions'!$B$35*'1. Press Assumptions'!$D$89*$A6^1</f>
        <v/>
      </c>
      <c r="E46" s="306">
        <f>'1. Press Assumptions'!$B$35*'1. Press Assumptions'!$D$89*$A6^2</f>
        <v/>
      </c>
      <c r="F46" s="306">
        <f>'1. Press Assumptions'!$B$35*'1. Press Assumptions'!$D$89*$A6^3</f>
        <v/>
      </c>
      <c r="G46" s="306">
        <f>'1. Press Assumptions'!$B$35*'1. Press Assumptions'!$D$89*$A6^4</f>
        <v/>
      </c>
      <c r="H46" s="306">
        <f>'1. Press Assumptions'!$B$35*'1. Press Assumptions'!$D$89*$A6^5</f>
        <v/>
      </c>
      <c r="I46" s="306">
        <f>'1. Press Assumptions'!$B$35*'1. Press Assumptions'!$D$89*$A6^6</f>
        <v/>
      </c>
      <c r="J46" s="306">
        <f>'1. Press Assumptions'!$B$35*'1. Press Assumptions'!$D$89*$A6^7</f>
        <v/>
      </c>
      <c r="K46" s="306">
        <f>'1. Press Assumptions'!$B$35*'1. Press Assumptions'!$D$89*$A6^8</f>
        <v/>
      </c>
      <c r="L46" s="306">
        <f>'1. Press Assumptions'!$B$35*'1. Press Assumptions'!$D$89*$A6^9</f>
        <v/>
      </c>
      <c r="M46" s="306">
        <f>'1. Press Assumptions'!$B$35*'1. Press Assumptions'!$D$89*$A6^10</f>
        <v/>
      </c>
      <c r="N46" s="306">
        <f>'1. Press Assumptions'!$B$35*'1. Press Assumptions'!$D$89*$A6^11</f>
        <v/>
      </c>
      <c r="O46" s="306">
        <f>'1. Press Assumptions'!$B$35*'1. Press Assumptions'!$D$89*$A6^12</f>
        <v/>
      </c>
      <c r="P46" s="306">
        <f>'1. Press Assumptions'!$B$35*'1. Press Assumptions'!$D$89*$A6^13</f>
        <v/>
      </c>
      <c r="Q46" s="306">
        <f>'1. Press Assumptions'!$B$35*'1. Press Assumptions'!$D$89*$A6^14</f>
        <v/>
      </c>
    </row>
    <row r="47">
      <c r="B47" s="306">
        <f>-'1. Press Assumptions'!$D$89*D$5</f>
        <v/>
      </c>
      <c r="C47" s="306">
        <f>'1. Press Assumptions'!$B$35*'1. Press Assumptions'!$D$89*$A6^0</f>
        <v/>
      </c>
      <c r="D47" s="306">
        <f>'1. Press Assumptions'!$B$35*'1. Press Assumptions'!$D$89*$A6^1</f>
        <v/>
      </c>
      <c r="E47" s="306">
        <f>'1. Press Assumptions'!$B$35*'1. Press Assumptions'!$D$89*$A6^2</f>
        <v/>
      </c>
      <c r="F47" s="306">
        <f>'1. Press Assumptions'!$B$35*'1. Press Assumptions'!$D$89*$A6^3</f>
        <v/>
      </c>
      <c r="G47" s="306">
        <f>'1. Press Assumptions'!$B$35*'1. Press Assumptions'!$D$89*$A6^4</f>
        <v/>
      </c>
      <c r="H47" s="306">
        <f>'1. Press Assumptions'!$B$35*'1. Press Assumptions'!$D$89*$A6^5</f>
        <v/>
      </c>
      <c r="I47" s="306">
        <f>'1. Press Assumptions'!$B$35*'1. Press Assumptions'!$D$89*$A6^6</f>
        <v/>
      </c>
      <c r="J47" s="306">
        <f>'1. Press Assumptions'!$B$35*'1. Press Assumptions'!$D$89*$A6^7</f>
        <v/>
      </c>
      <c r="K47" s="306">
        <f>'1. Press Assumptions'!$B$35*'1. Press Assumptions'!$D$89*$A6^8</f>
        <v/>
      </c>
      <c r="L47" s="306">
        <f>'1. Press Assumptions'!$B$35*'1. Press Assumptions'!$D$89*$A6^9</f>
        <v/>
      </c>
      <c r="M47" s="306">
        <f>'1. Press Assumptions'!$B$35*'1. Press Assumptions'!$D$89*$A6^10</f>
        <v/>
      </c>
      <c r="N47" s="306">
        <f>'1. Press Assumptions'!$B$35*'1. Press Assumptions'!$D$89*$A6^11</f>
        <v/>
      </c>
      <c r="O47" s="306">
        <f>'1. Press Assumptions'!$B$35*'1. Press Assumptions'!$D$89*$A6^12</f>
        <v/>
      </c>
      <c r="P47" s="306">
        <f>'1. Press Assumptions'!$B$35*'1. Press Assumptions'!$D$89*$A6^13</f>
        <v/>
      </c>
      <c r="Q47" s="306">
        <f>'1. Press Assumptions'!$B$35*'1. Press Assumptions'!$D$89*$A6^14</f>
        <v/>
      </c>
    </row>
    <row r="48">
      <c r="B48" s="306">
        <f>-'1. Press Assumptions'!$D$89*E$5</f>
        <v/>
      </c>
      <c r="C48" s="306">
        <f>'1. Press Assumptions'!$B$35*'1. Press Assumptions'!$D$89*$A6^0</f>
        <v/>
      </c>
      <c r="D48" s="306">
        <f>'1. Press Assumptions'!$B$35*'1. Press Assumptions'!$D$89*$A6^1</f>
        <v/>
      </c>
      <c r="E48" s="306">
        <f>'1. Press Assumptions'!$B$35*'1. Press Assumptions'!$D$89*$A6^2</f>
        <v/>
      </c>
      <c r="F48" s="306">
        <f>'1. Press Assumptions'!$B$35*'1. Press Assumptions'!$D$89*$A6^3</f>
        <v/>
      </c>
      <c r="G48" s="306">
        <f>'1. Press Assumptions'!$B$35*'1. Press Assumptions'!$D$89*$A6^4</f>
        <v/>
      </c>
      <c r="H48" s="306">
        <f>'1. Press Assumptions'!$B$35*'1. Press Assumptions'!$D$89*$A6^5</f>
        <v/>
      </c>
      <c r="I48" s="306">
        <f>'1. Press Assumptions'!$B$35*'1. Press Assumptions'!$D$89*$A6^6</f>
        <v/>
      </c>
      <c r="J48" s="306">
        <f>'1. Press Assumptions'!$B$35*'1. Press Assumptions'!$D$89*$A6^7</f>
        <v/>
      </c>
      <c r="K48" s="306">
        <f>'1. Press Assumptions'!$B$35*'1. Press Assumptions'!$D$89*$A6^8</f>
        <v/>
      </c>
      <c r="L48" s="306">
        <f>'1. Press Assumptions'!$B$35*'1. Press Assumptions'!$D$89*$A6^9</f>
        <v/>
      </c>
      <c r="M48" s="306">
        <f>'1. Press Assumptions'!$B$35*'1. Press Assumptions'!$D$89*$A6^10</f>
        <v/>
      </c>
      <c r="N48" s="306">
        <f>'1. Press Assumptions'!$B$35*'1. Press Assumptions'!$D$89*$A6^11</f>
        <v/>
      </c>
      <c r="O48" s="306">
        <f>'1. Press Assumptions'!$B$35*'1. Press Assumptions'!$D$89*$A6^12</f>
        <v/>
      </c>
      <c r="P48" s="306">
        <f>'1. Press Assumptions'!$B$35*'1. Press Assumptions'!$D$89*$A6^13</f>
        <v/>
      </c>
      <c r="Q48" s="306">
        <f>'1. Press Assumptions'!$B$35*'1. Press Assumptions'!$D$89*$A6^14</f>
        <v/>
      </c>
    </row>
    <row r="49">
      <c r="B49" s="306">
        <f>-'1. Press Assumptions'!$D$89*F$5</f>
        <v/>
      </c>
      <c r="C49" s="306">
        <f>'1. Press Assumptions'!$B$35*'1. Press Assumptions'!$D$89*$A6^0</f>
        <v/>
      </c>
      <c r="D49" s="306">
        <f>'1. Press Assumptions'!$B$35*'1. Press Assumptions'!$D$89*$A6^1</f>
        <v/>
      </c>
      <c r="E49" s="306">
        <f>'1. Press Assumptions'!$B$35*'1. Press Assumptions'!$D$89*$A6^2</f>
        <v/>
      </c>
      <c r="F49" s="306">
        <f>'1. Press Assumptions'!$B$35*'1. Press Assumptions'!$D$89*$A6^3</f>
        <v/>
      </c>
      <c r="G49" s="306">
        <f>'1. Press Assumptions'!$B$35*'1. Press Assumptions'!$D$89*$A6^4</f>
        <v/>
      </c>
      <c r="H49" s="306">
        <f>'1. Press Assumptions'!$B$35*'1. Press Assumptions'!$D$89*$A6^5</f>
        <v/>
      </c>
      <c r="I49" s="306">
        <f>'1. Press Assumptions'!$B$35*'1. Press Assumptions'!$D$89*$A6^6</f>
        <v/>
      </c>
      <c r="J49" s="306">
        <f>'1. Press Assumptions'!$B$35*'1. Press Assumptions'!$D$89*$A6^7</f>
        <v/>
      </c>
      <c r="K49" s="306">
        <f>'1. Press Assumptions'!$B$35*'1. Press Assumptions'!$D$89*$A6^8</f>
        <v/>
      </c>
      <c r="L49" s="306">
        <f>'1. Press Assumptions'!$B$35*'1. Press Assumptions'!$D$89*$A6^9</f>
        <v/>
      </c>
      <c r="M49" s="306">
        <f>'1. Press Assumptions'!$B$35*'1. Press Assumptions'!$D$89*$A6^10</f>
        <v/>
      </c>
      <c r="N49" s="306">
        <f>'1. Press Assumptions'!$B$35*'1. Press Assumptions'!$D$89*$A6^11</f>
        <v/>
      </c>
      <c r="O49" s="306">
        <f>'1. Press Assumptions'!$B$35*'1. Press Assumptions'!$D$89*$A6^12</f>
        <v/>
      </c>
      <c r="P49" s="306">
        <f>'1. Press Assumptions'!$B$35*'1. Press Assumptions'!$D$89*$A6^13</f>
        <v/>
      </c>
      <c r="Q49" s="306">
        <f>'1. Press Assumptions'!$B$35*'1. Press Assumptions'!$D$89*$A6^14</f>
        <v/>
      </c>
    </row>
    <row r="50">
      <c r="B50" s="306">
        <f>-'1. Press Assumptions'!$D$89*G$5</f>
        <v/>
      </c>
      <c r="C50" s="306">
        <f>'1. Press Assumptions'!$B$35*'1. Press Assumptions'!$D$89*$A6^0</f>
        <v/>
      </c>
      <c r="D50" s="306">
        <f>'1. Press Assumptions'!$B$35*'1. Press Assumptions'!$D$89*$A6^1</f>
        <v/>
      </c>
      <c r="E50" s="306">
        <f>'1. Press Assumptions'!$B$35*'1. Press Assumptions'!$D$89*$A6^2</f>
        <v/>
      </c>
      <c r="F50" s="306">
        <f>'1. Press Assumptions'!$B$35*'1. Press Assumptions'!$D$89*$A6^3</f>
        <v/>
      </c>
      <c r="G50" s="306">
        <f>'1. Press Assumptions'!$B$35*'1. Press Assumptions'!$D$89*$A6^4</f>
        <v/>
      </c>
      <c r="H50" s="306">
        <f>'1. Press Assumptions'!$B$35*'1. Press Assumptions'!$D$89*$A6^5</f>
        <v/>
      </c>
      <c r="I50" s="306">
        <f>'1. Press Assumptions'!$B$35*'1. Press Assumptions'!$D$89*$A6^6</f>
        <v/>
      </c>
      <c r="J50" s="306">
        <f>'1. Press Assumptions'!$B$35*'1. Press Assumptions'!$D$89*$A6^7</f>
        <v/>
      </c>
      <c r="K50" s="306">
        <f>'1. Press Assumptions'!$B$35*'1. Press Assumptions'!$D$89*$A6^8</f>
        <v/>
      </c>
      <c r="L50" s="306">
        <f>'1. Press Assumptions'!$B$35*'1. Press Assumptions'!$D$89*$A6^9</f>
        <v/>
      </c>
      <c r="M50" s="306">
        <f>'1. Press Assumptions'!$B$35*'1. Press Assumptions'!$D$89*$A6^10</f>
        <v/>
      </c>
      <c r="N50" s="306">
        <f>'1. Press Assumptions'!$B$35*'1. Press Assumptions'!$D$89*$A6^11</f>
        <v/>
      </c>
      <c r="O50" s="306">
        <f>'1. Press Assumptions'!$B$35*'1. Press Assumptions'!$D$89*$A6^12</f>
        <v/>
      </c>
      <c r="P50" s="306">
        <f>'1. Press Assumptions'!$B$35*'1. Press Assumptions'!$D$89*$A6^13</f>
        <v/>
      </c>
      <c r="Q50" s="306">
        <f>'1. Press Assumptions'!$B$35*'1. Press Assumptions'!$D$89*$A6^14</f>
        <v/>
      </c>
    </row>
    <row r="51">
      <c r="B51" s="306">
        <f>-'1. Press Assumptions'!$D$89*H$5</f>
        <v/>
      </c>
      <c r="C51" s="306">
        <f>'1. Press Assumptions'!$B$35*'1. Press Assumptions'!$D$89*$A6^0</f>
        <v/>
      </c>
      <c r="D51" s="306">
        <f>'1. Press Assumptions'!$B$35*'1. Press Assumptions'!$D$89*$A6^1</f>
        <v/>
      </c>
      <c r="E51" s="306">
        <f>'1. Press Assumptions'!$B$35*'1. Press Assumptions'!$D$89*$A6^2</f>
        <v/>
      </c>
      <c r="F51" s="306">
        <f>'1. Press Assumptions'!$B$35*'1. Press Assumptions'!$D$89*$A6^3</f>
        <v/>
      </c>
      <c r="G51" s="306">
        <f>'1. Press Assumptions'!$B$35*'1. Press Assumptions'!$D$89*$A6^4</f>
        <v/>
      </c>
      <c r="H51" s="306">
        <f>'1. Press Assumptions'!$B$35*'1. Press Assumptions'!$D$89*$A6^5</f>
        <v/>
      </c>
      <c r="I51" s="306">
        <f>'1. Press Assumptions'!$B$35*'1. Press Assumptions'!$D$89*$A6^6</f>
        <v/>
      </c>
      <c r="J51" s="306">
        <f>'1. Press Assumptions'!$B$35*'1. Press Assumptions'!$D$89*$A6^7</f>
        <v/>
      </c>
      <c r="K51" s="306">
        <f>'1. Press Assumptions'!$B$35*'1. Press Assumptions'!$D$89*$A6^8</f>
        <v/>
      </c>
      <c r="L51" s="306">
        <f>'1. Press Assumptions'!$B$35*'1. Press Assumptions'!$D$89*$A6^9</f>
        <v/>
      </c>
      <c r="M51" s="306">
        <f>'1. Press Assumptions'!$B$35*'1. Press Assumptions'!$D$89*$A6^10</f>
        <v/>
      </c>
      <c r="N51" s="306">
        <f>'1. Press Assumptions'!$B$35*'1. Press Assumptions'!$D$89*$A6^11</f>
        <v/>
      </c>
      <c r="O51" s="306">
        <f>'1. Press Assumptions'!$B$35*'1. Press Assumptions'!$D$89*$A6^12</f>
        <v/>
      </c>
      <c r="P51" s="306">
        <f>'1. Press Assumptions'!$B$35*'1. Press Assumptions'!$D$89*$A6^13</f>
        <v/>
      </c>
      <c r="Q51" s="306">
        <f>'1. Press Assumptions'!$B$35*'1. Press Assumptions'!$D$89*$A6^14</f>
        <v/>
      </c>
    </row>
    <row r="52">
      <c r="B52" s="306">
        <f>-'1. Press Assumptions'!$D$89*B$5</f>
        <v/>
      </c>
      <c r="C52" s="306">
        <f>'1. Press Assumptions'!$B$35*'1. Press Assumptions'!$D$89*$A7^0</f>
        <v/>
      </c>
      <c r="D52" s="306">
        <f>'1. Press Assumptions'!$B$35*'1. Press Assumptions'!$D$89*$A7^1</f>
        <v/>
      </c>
      <c r="E52" s="306">
        <f>'1. Press Assumptions'!$B$35*'1. Press Assumptions'!$D$89*$A7^2</f>
        <v/>
      </c>
      <c r="F52" s="306">
        <f>'1. Press Assumptions'!$B$35*'1. Press Assumptions'!$D$89*$A7^3</f>
        <v/>
      </c>
      <c r="G52" s="306">
        <f>'1. Press Assumptions'!$B$35*'1. Press Assumptions'!$D$89*$A7^4</f>
        <v/>
      </c>
      <c r="H52" s="306">
        <f>'1. Press Assumptions'!$B$35*'1. Press Assumptions'!$D$89*$A7^5</f>
        <v/>
      </c>
      <c r="I52" s="306">
        <f>'1. Press Assumptions'!$B$35*'1. Press Assumptions'!$D$89*$A7^6</f>
        <v/>
      </c>
      <c r="J52" s="306">
        <f>'1. Press Assumptions'!$B$35*'1. Press Assumptions'!$D$89*$A7^7</f>
        <v/>
      </c>
      <c r="K52" s="306">
        <f>'1. Press Assumptions'!$B$35*'1. Press Assumptions'!$D$89*$A7^8</f>
        <v/>
      </c>
      <c r="L52" s="306">
        <f>'1. Press Assumptions'!$B$35*'1. Press Assumptions'!$D$89*$A7^9</f>
        <v/>
      </c>
      <c r="M52" s="306">
        <f>'1. Press Assumptions'!$B$35*'1. Press Assumptions'!$D$89*$A7^10</f>
        <v/>
      </c>
      <c r="N52" s="306">
        <f>'1. Press Assumptions'!$B$35*'1. Press Assumptions'!$D$89*$A7^11</f>
        <v/>
      </c>
      <c r="O52" s="306">
        <f>'1. Press Assumptions'!$B$35*'1. Press Assumptions'!$D$89*$A7^12</f>
        <v/>
      </c>
      <c r="P52" s="306">
        <f>'1. Press Assumptions'!$B$35*'1. Press Assumptions'!$D$89*$A7^13</f>
        <v/>
      </c>
      <c r="Q52" s="306">
        <f>'1. Press Assumptions'!$B$35*'1. Press Assumptions'!$D$89*$A7^14</f>
        <v/>
      </c>
    </row>
    <row r="53">
      <c r="B53" s="306">
        <f>-'1. Press Assumptions'!$D$89*C$5</f>
        <v/>
      </c>
      <c r="C53" s="306">
        <f>'1. Press Assumptions'!$B$35*'1. Press Assumptions'!$D$89*$A7^0</f>
        <v/>
      </c>
      <c r="D53" s="306">
        <f>'1. Press Assumptions'!$B$35*'1. Press Assumptions'!$D$89*$A7^1</f>
        <v/>
      </c>
      <c r="E53" s="306">
        <f>'1. Press Assumptions'!$B$35*'1. Press Assumptions'!$D$89*$A7^2</f>
        <v/>
      </c>
      <c r="F53" s="306">
        <f>'1. Press Assumptions'!$B$35*'1. Press Assumptions'!$D$89*$A7^3</f>
        <v/>
      </c>
      <c r="G53" s="306">
        <f>'1. Press Assumptions'!$B$35*'1. Press Assumptions'!$D$89*$A7^4</f>
        <v/>
      </c>
      <c r="H53" s="306">
        <f>'1. Press Assumptions'!$B$35*'1. Press Assumptions'!$D$89*$A7^5</f>
        <v/>
      </c>
      <c r="I53" s="306">
        <f>'1. Press Assumptions'!$B$35*'1. Press Assumptions'!$D$89*$A7^6</f>
        <v/>
      </c>
      <c r="J53" s="306">
        <f>'1. Press Assumptions'!$B$35*'1. Press Assumptions'!$D$89*$A7^7</f>
        <v/>
      </c>
      <c r="K53" s="306">
        <f>'1. Press Assumptions'!$B$35*'1. Press Assumptions'!$D$89*$A7^8</f>
        <v/>
      </c>
      <c r="L53" s="306">
        <f>'1. Press Assumptions'!$B$35*'1. Press Assumptions'!$D$89*$A7^9</f>
        <v/>
      </c>
      <c r="M53" s="306">
        <f>'1. Press Assumptions'!$B$35*'1. Press Assumptions'!$D$89*$A7^10</f>
        <v/>
      </c>
      <c r="N53" s="306">
        <f>'1. Press Assumptions'!$B$35*'1. Press Assumptions'!$D$89*$A7^11</f>
        <v/>
      </c>
      <c r="O53" s="306">
        <f>'1. Press Assumptions'!$B$35*'1. Press Assumptions'!$D$89*$A7^12</f>
        <v/>
      </c>
      <c r="P53" s="306">
        <f>'1. Press Assumptions'!$B$35*'1. Press Assumptions'!$D$89*$A7^13</f>
        <v/>
      </c>
      <c r="Q53" s="306">
        <f>'1. Press Assumptions'!$B$35*'1. Press Assumptions'!$D$89*$A7^14</f>
        <v/>
      </c>
    </row>
    <row r="54">
      <c r="B54" s="306">
        <f>-'1. Press Assumptions'!$D$89*D$5</f>
        <v/>
      </c>
      <c r="C54" s="306">
        <f>'1. Press Assumptions'!$B$35*'1. Press Assumptions'!$D$89*$A7^0</f>
        <v/>
      </c>
      <c r="D54" s="306">
        <f>'1. Press Assumptions'!$B$35*'1. Press Assumptions'!$D$89*$A7^1</f>
        <v/>
      </c>
      <c r="E54" s="306">
        <f>'1. Press Assumptions'!$B$35*'1. Press Assumptions'!$D$89*$A7^2</f>
        <v/>
      </c>
      <c r="F54" s="306">
        <f>'1. Press Assumptions'!$B$35*'1. Press Assumptions'!$D$89*$A7^3</f>
        <v/>
      </c>
      <c r="G54" s="306">
        <f>'1. Press Assumptions'!$B$35*'1. Press Assumptions'!$D$89*$A7^4</f>
        <v/>
      </c>
      <c r="H54" s="306">
        <f>'1. Press Assumptions'!$B$35*'1. Press Assumptions'!$D$89*$A7^5</f>
        <v/>
      </c>
      <c r="I54" s="306">
        <f>'1. Press Assumptions'!$B$35*'1. Press Assumptions'!$D$89*$A7^6</f>
        <v/>
      </c>
      <c r="J54" s="306">
        <f>'1. Press Assumptions'!$B$35*'1. Press Assumptions'!$D$89*$A7^7</f>
        <v/>
      </c>
      <c r="K54" s="306">
        <f>'1. Press Assumptions'!$B$35*'1. Press Assumptions'!$D$89*$A7^8</f>
        <v/>
      </c>
      <c r="L54" s="306">
        <f>'1. Press Assumptions'!$B$35*'1. Press Assumptions'!$D$89*$A7^9</f>
        <v/>
      </c>
      <c r="M54" s="306">
        <f>'1. Press Assumptions'!$B$35*'1. Press Assumptions'!$D$89*$A7^10</f>
        <v/>
      </c>
      <c r="N54" s="306">
        <f>'1. Press Assumptions'!$B$35*'1. Press Assumptions'!$D$89*$A7^11</f>
        <v/>
      </c>
      <c r="O54" s="306">
        <f>'1. Press Assumptions'!$B$35*'1. Press Assumptions'!$D$89*$A7^12</f>
        <v/>
      </c>
      <c r="P54" s="306">
        <f>'1. Press Assumptions'!$B$35*'1. Press Assumptions'!$D$89*$A7^13</f>
        <v/>
      </c>
      <c r="Q54" s="306">
        <f>'1. Press Assumptions'!$B$35*'1. Press Assumptions'!$D$89*$A7^14</f>
        <v/>
      </c>
    </row>
    <row r="55">
      <c r="B55" s="306">
        <f>-'1. Press Assumptions'!$D$89*E$5</f>
        <v/>
      </c>
      <c r="C55" s="306">
        <f>'1. Press Assumptions'!$B$35*'1. Press Assumptions'!$D$89*$A7^0</f>
        <v/>
      </c>
      <c r="D55" s="306">
        <f>'1. Press Assumptions'!$B$35*'1. Press Assumptions'!$D$89*$A7^1</f>
        <v/>
      </c>
      <c r="E55" s="306">
        <f>'1. Press Assumptions'!$B$35*'1. Press Assumptions'!$D$89*$A7^2</f>
        <v/>
      </c>
      <c r="F55" s="306">
        <f>'1. Press Assumptions'!$B$35*'1. Press Assumptions'!$D$89*$A7^3</f>
        <v/>
      </c>
      <c r="G55" s="306">
        <f>'1. Press Assumptions'!$B$35*'1. Press Assumptions'!$D$89*$A7^4</f>
        <v/>
      </c>
      <c r="H55" s="306">
        <f>'1. Press Assumptions'!$B$35*'1. Press Assumptions'!$D$89*$A7^5</f>
        <v/>
      </c>
      <c r="I55" s="306">
        <f>'1. Press Assumptions'!$B$35*'1. Press Assumptions'!$D$89*$A7^6</f>
        <v/>
      </c>
      <c r="J55" s="306">
        <f>'1. Press Assumptions'!$B$35*'1. Press Assumptions'!$D$89*$A7^7</f>
        <v/>
      </c>
      <c r="K55" s="306">
        <f>'1. Press Assumptions'!$B$35*'1. Press Assumptions'!$D$89*$A7^8</f>
        <v/>
      </c>
      <c r="L55" s="306">
        <f>'1. Press Assumptions'!$B$35*'1. Press Assumptions'!$D$89*$A7^9</f>
        <v/>
      </c>
      <c r="M55" s="306">
        <f>'1. Press Assumptions'!$B$35*'1. Press Assumptions'!$D$89*$A7^10</f>
        <v/>
      </c>
      <c r="N55" s="306">
        <f>'1. Press Assumptions'!$B$35*'1. Press Assumptions'!$D$89*$A7^11</f>
        <v/>
      </c>
      <c r="O55" s="306">
        <f>'1. Press Assumptions'!$B$35*'1. Press Assumptions'!$D$89*$A7^12</f>
        <v/>
      </c>
      <c r="P55" s="306">
        <f>'1. Press Assumptions'!$B$35*'1. Press Assumptions'!$D$89*$A7^13</f>
        <v/>
      </c>
      <c r="Q55" s="306">
        <f>'1. Press Assumptions'!$B$35*'1. Press Assumptions'!$D$89*$A7^14</f>
        <v/>
      </c>
    </row>
    <row r="56">
      <c r="B56" s="306">
        <f>-'1. Press Assumptions'!$D$89*F$5</f>
        <v/>
      </c>
      <c r="C56" s="306">
        <f>'1. Press Assumptions'!$B$35*'1. Press Assumptions'!$D$89*$A7^0</f>
        <v/>
      </c>
      <c r="D56" s="306">
        <f>'1. Press Assumptions'!$B$35*'1. Press Assumptions'!$D$89*$A7^1</f>
        <v/>
      </c>
      <c r="E56" s="306">
        <f>'1. Press Assumptions'!$B$35*'1. Press Assumptions'!$D$89*$A7^2</f>
        <v/>
      </c>
      <c r="F56" s="306">
        <f>'1. Press Assumptions'!$B$35*'1. Press Assumptions'!$D$89*$A7^3</f>
        <v/>
      </c>
      <c r="G56" s="306">
        <f>'1. Press Assumptions'!$B$35*'1. Press Assumptions'!$D$89*$A7^4</f>
        <v/>
      </c>
      <c r="H56" s="306">
        <f>'1. Press Assumptions'!$B$35*'1. Press Assumptions'!$D$89*$A7^5</f>
        <v/>
      </c>
      <c r="I56" s="306">
        <f>'1. Press Assumptions'!$B$35*'1. Press Assumptions'!$D$89*$A7^6</f>
        <v/>
      </c>
      <c r="J56" s="306">
        <f>'1. Press Assumptions'!$B$35*'1. Press Assumptions'!$D$89*$A7^7</f>
        <v/>
      </c>
      <c r="K56" s="306">
        <f>'1. Press Assumptions'!$B$35*'1. Press Assumptions'!$D$89*$A7^8</f>
        <v/>
      </c>
      <c r="L56" s="306">
        <f>'1. Press Assumptions'!$B$35*'1. Press Assumptions'!$D$89*$A7^9</f>
        <v/>
      </c>
      <c r="M56" s="306">
        <f>'1. Press Assumptions'!$B$35*'1. Press Assumptions'!$D$89*$A7^10</f>
        <v/>
      </c>
      <c r="N56" s="306">
        <f>'1. Press Assumptions'!$B$35*'1. Press Assumptions'!$D$89*$A7^11</f>
        <v/>
      </c>
      <c r="O56" s="306">
        <f>'1. Press Assumptions'!$B$35*'1. Press Assumptions'!$D$89*$A7^12</f>
        <v/>
      </c>
      <c r="P56" s="306">
        <f>'1. Press Assumptions'!$B$35*'1. Press Assumptions'!$D$89*$A7^13</f>
        <v/>
      </c>
      <c r="Q56" s="306">
        <f>'1. Press Assumptions'!$B$35*'1. Press Assumptions'!$D$89*$A7^14</f>
        <v/>
      </c>
    </row>
    <row r="57">
      <c r="B57" s="306">
        <f>-'1. Press Assumptions'!$D$89*G$5</f>
        <v/>
      </c>
      <c r="C57" s="306">
        <f>'1. Press Assumptions'!$B$35*'1. Press Assumptions'!$D$89*$A7^0</f>
        <v/>
      </c>
      <c r="D57" s="306">
        <f>'1. Press Assumptions'!$B$35*'1. Press Assumptions'!$D$89*$A7^1</f>
        <v/>
      </c>
      <c r="E57" s="306">
        <f>'1. Press Assumptions'!$B$35*'1. Press Assumptions'!$D$89*$A7^2</f>
        <v/>
      </c>
      <c r="F57" s="306">
        <f>'1. Press Assumptions'!$B$35*'1. Press Assumptions'!$D$89*$A7^3</f>
        <v/>
      </c>
      <c r="G57" s="306">
        <f>'1. Press Assumptions'!$B$35*'1. Press Assumptions'!$D$89*$A7^4</f>
        <v/>
      </c>
      <c r="H57" s="306">
        <f>'1. Press Assumptions'!$B$35*'1. Press Assumptions'!$D$89*$A7^5</f>
        <v/>
      </c>
      <c r="I57" s="306">
        <f>'1. Press Assumptions'!$B$35*'1. Press Assumptions'!$D$89*$A7^6</f>
        <v/>
      </c>
      <c r="J57" s="306">
        <f>'1. Press Assumptions'!$B$35*'1. Press Assumptions'!$D$89*$A7^7</f>
        <v/>
      </c>
      <c r="K57" s="306">
        <f>'1. Press Assumptions'!$B$35*'1. Press Assumptions'!$D$89*$A7^8</f>
        <v/>
      </c>
      <c r="L57" s="306">
        <f>'1. Press Assumptions'!$B$35*'1. Press Assumptions'!$D$89*$A7^9</f>
        <v/>
      </c>
      <c r="M57" s="306">
        <f>'1. Press Assumptions'!$B$35*'1. Press Assumptions'!$D$89*$A7^10</f>
        <v/>
      </c>
      <c r="N57" s="306">
        <f>'1. Press Assumptions'!$B$35*'1. Press Assumptions'!$D$89*$A7^11</f>
        <v/>
      </c>
      <c r="O57" s="306">
        <f>'1. Press Assumptions'!$B$35*'1. Press Assumptions'!$D$89*$A7^12</f>
        <v/>
      </c>
      <c r="P57" s="306">
        <f>'1. Press Assumptions'!$B$35*'1. Press Assumptions'!$D$89*$A7^13</f>
        <v/>
      </c>
      <c r="Q57" s="306">
        <f>'1. Press Assumptions'!$B$35*'1. Press Assumptions'!$D$89*$A7^14</f>
        <v/>
      </c>
    </row>
    <row r="58">
      <c r="B58" s="306">
        <f>-'1. Press Assumptions'!$D$89*H$5</f>
        <v/>
      </c>
      <c r="C58" s="306">
        <f>'1. Press Assumptions'!$B$35*'1. Press Assumptions'!$D$89*$A7^0</f>
        <v/>
      </c>
      <c r="D58" s="306">
        <f>'1. Press Assumptions'!$B$35*'1. Press Assumptions'!$D$89*$A7^1</f>
        <v/>
      </c>
      <c r="E58" s="306">
        <f>'1. Press Assumptions'!$B$35*'1. Press Assumptions'!$D$89*$A7^2</f>
        <v/>
      </c>
      <c r="F58" s="306">
        <f>'1. Press Assumptions'!$B$35*'1. Press Assumptions'!$D$89*$A7^3</f>
        <v/>
      </c>
      <c r="G58" s="306">
        <f>'1. Press Assumptions'!$B$35*'1. Press Assumptions'!$D$89*$A7^4</f>
        <v/>
      </c>
      <c r="H58" s="306">
        <f>'1. Press Assumptions'!$B$35*'1. Press Assumptions'!$D$89*$A7^5</f>
        <v/>
      </c>
      <c r="I58" s="306">
        <f>'1. Press Assumptions'!$B$35*'1. Press Assumptions'!$D$89*$A7^6</f>
        <v/>
      </c>
      <c r="J58" s="306">
        <f>'1. Press Assumptions'!$B$35*'1. Press Assumptions'!$D$89*$A7^7</f>
        <v/>
      </c>
      <c r="K58" s="306">
        <f>'1. Press Assumptions'!$B$35*'1. Press Assumptions'!$D$89*$A7^8</f>
        <v/>
      </c>
      <c r="L58" s="306">
        <f>'1. Press Assumptions'!$B$35*'1. Press Assumptions'!$D$89*$A7^9</f>
        <v/>
      </c>
      <c r="M58" s="306">
        <f>'1. Press Assumptions'!$B$35*'1. Press Assumptions'!$D$89*$A7^10</f>
        <v/>
      </c>
      <c r="N58" s="306">
        <f>'1. Press Assumptions'!$B$35*'1. Press Assumptions'!$D$89*$A7^11</f>
        <v/>
      </c>
      <c r="O58" s="306">
        <f>'1. Press Assumptions'!$B$35*'1. Press Assumptions'!$D$89*$A7^12</f>
        <v/>
      </c>
      <c r="P58" s="306">
        <f>'1. Press Assumptions'!$B$35*'1. Press Assumptions'!$D$89*$A7^13</f>
        <v/>
      </c>
      <c r="Q58" s="306">
        <f>'1. Press Assumptions'!$B$35*'1. Press Assumptions'!$D$89*$A7^14</f>
        <v/>
      </c>
    </row>
    <row r="59">
      <c r="B59" s="306">
        <f>-'1. Press Assumptions'!$D$89*B$5</f>
        <v/>
      </c>
      <c r="C59" s="306">
        <f>'1. Press Assumptions'!$B$35*'1. Press Assumptions'!$D$89*$A8^0</f>
        <v/>
      </c>
      <c r="D59" s="306">
        <f>'1. Press Assumptions'!$B$35*'1. Press Assumptions'!$D$89*$A8^1</f>
        <v/>
      </c>
      <c r="E59" s="306">
        <f>'1. Press Assumptions'!$B$35*'1. Press Assumptions'!$D$89*$A8^2</f>
        <v/>
      </c>
      <c r="F59" s="306">
        <f>'1. Press Assumptions'!$B$35*'1. Press Assumptions'!$D$89*$A8^3</f>
        <v/>
      </c>
      <c r="G59" s="306">
        <f>'1. Press Assumptions'!$B$35*'1. Press Assumptions'!$D$89*$A8^4</f>
        <v/>
      </c>
      <c r="H59" s="306">
        <f>'1. Press Assumptions'!$B$35*'1. Press Assumptions'!$D$89*$A8^5</f>
        <v/>
      </c>
      <c r="I59" s="306">
        <f>'1. Press Assumptions'!$B$35*'1. Press Assumptions'!$D$89*$A8^6</f>
        <v/>
      </c>
      <c r="J59" s="306">
        <f>'1. Press Assumptions'!$B$35*'1. Press Assumptions'!$D$89*$A8^7</f>
        <v/>
      </c>
      <c r="K59" s="306">
        <f>'1. Press Assumptions'!$B$35*'1. Press Assumptions'!$D$89*$A8^8</f>
        <v/>
      </c>
      <c r="L59" s="306">
        <f>'1. Press Assumptions'!$B$35*'1. Press Assumptions'!$D$89*$A8^9</f>
        <v/>
      </c>
      <c r="M59" s="306">
        <f>'1. Press Assumptions'!$B$35*'1. Press Assumptions'!$D$89*$A8^10</f>
        <v/>
      </c>
      <c r="N59" s="306">
        <f>'1. Press Assumptions'!$B$35*'1. Press Assumptions'!$D$89*$A8^11</f>
        <v/>
      </c>
      <c r="O59" s="306">
        <f>'1. Press Assumptions'!$B$35*'1. Press Assumptions'!$D$89*$A8^12</f>
        <v/>
      </c>
      <c r="P59" s="306">
        <f>'1. Press Assumptions'!$B$35*'1. Press Assumptions'!$D$89*$A8^13</f>
        <v/>
      </c>
      <c r="Q59" s="306">
        <f>'1. Press Assumptions'!$B$35*'1. Press Assumptions'!$D$89*$A8^14</f>
        <v/>
      </c>
    </row>
    <row r="60">
      <c r="B60" s="306">
        <f>-'1. Press Assumptions'!$D$89*C$5</f>
        <v/>
      </c>
      <c r="C60" s="306">
        <f>'1. Press Assumptions'!$B$35*'1. Press Assumptions'!$D$89*$A8^0</f>
        <v/>
      </c>
      <c r="D60" s="306">
        <f>'1. Press Assumptions'!$B$35*'1. Press Assumptions'!$D$89*$A8^1</f>
        <v/>
      </c>
      <c r="E60" s="306">
        <f>'1. Press Assumptions'!$B$35*'1. Press Assumptions'!$D$89*$A8^2</f>
        <v/>
      </c>
      <c r="F60" s="306">
        <f>'1. Press Assumptions'!$B$35*'1. Press Assumptions'!$D$89*$A8^3</f>
        <v/>
      </c>
      <c r="G60" s="306">
        <f>'1. Press Assumptions'!$B$35*'1. Press Assumptions'!$D$89*$A8^4</f>
        <v/>
      </c>
      <c r="H60" s="306">
        <f>'1. Press Assumptions'!$B$35*'1. Press Assumptions'!$D$89*$A8^5</f>
        <v/>
      </c>
      <c r="I60" s="306">
        <f>'1. Press Assumptions'!$B$35*'1. Press Assumptions'!$D$89*$A8^6</f>
        <v/>
      </c>
      <c r="J60" s="306">
        <f>'1. Press Assumptions'!$B$35*'1. Press Assumptions'!$D$89*$A8^7</f>
        <v/>
      </c>
      <c r="K60" s="306">
        <f>'1. Press Assumptions'!$B$35*'1. Press Assumptions'!$D$89*$A8^8</f>
        <v/>
      </c>
      <c r="L60" s="306">
        <f>'1. Press Assumptions'!$B$35*'1. Press Assumptions'!$D$89*$A8^9</f>
        <v/>
      </c>
      <c r="M60" s="306">
        <f>'1. Press Assumptions'!$B$35*'1. Press Assumptions'!$D$89*$A8^10</f>
        <v/>
      </c>
      <c r="N60" s="306">
        <f>'1. Press Assumptions'!$B$35*'1. Press Assumptions'!$D$89*$A8^11</f>
        <v/>
      </c>
      <c r="O60" s="306">
        <f>'1. Press Assumptions'!$B$35*'1. Press Assumptions'!$D$89*$A8^12</f>
        <v/>
      </c>
      <c r="P60" s="306">
        <f>'1. Press Assumptions'!$B$35*'1. Press Assumptions'!$D$89*$A8^13</f>
        <v/>
      </c>
      <c r="Q60" s="306">
        <f>'1. Press Assumptions'!$B$35*'1. Press Assumptions'!$D$89*$A8^14</f>
        <v/>
      </c>
    </row>
    <row r="61">
      <c r="B61" s="306">
        <f>-'1. Press Assumptions'!$D$89*D$5</f>
        <v/>
      </c>
      <c r="C61" s="306">
        <f>'1. Press Assumptions'!$B$35*'1. Press Assumptions'!$D$89*$A8^0</f>
        <v/>
      </c>
      <c r="D61" s="306">
        <f>'1. Press Assumptions'!$B$35*'1. Press Assumptions'!$D$89*$A8^1</f>
        <v/>
      </c>
      <c r="E61" s="306">
        <f>'1. Press Assumptions'!$B$35*'1. Press Assumptions'!$D$89*$A8^2</f>
        <v/>
      </c>
      <c r="F61" s="306">
        <f>'1. Press Assumptions'!$B$35*'1. Press Assumptions'!$D$89*$A8^3</f>
        <v/>
      </c>
      <c r="G61" s="306">
        <f>'1. Press Assumptions'!$B$35*'1. Press Assumptions'!$D$89*$A8^4</f>
        <v/>
      </c>
      <c r="H61" s="306">
        <f>'1. Press Assumptions'!$B$35*'1. Press Assumptions'!$D$89*$A8^5</f>
        <v/>
      </c>
      <c r="I61" s="306">
        <f>'1. Press Assumptions'!$B$35*'1. Press Assumptions'!$D$89*$A8^6</f>
        <v/>
      </c>
      <c r="J61" s="306">
        <f>'1. Press Assumptions'!$B$35*'1. Press Assumptions'!$D$89*$A8^7</f>
        <v/>
      </c>
      <c r="K61" s="306">
        <f>'1. Press Assumptions'!$B$35*'1. Press Assumptions'!$D$89*$A8^8</f>
        <v/>
      </c>
      <c r="L61" s="306">
        <f>'1. Press Assumptions'!$B$35*'1. Press Assumptions'!$D$89*$A8^9</f>
        <v/>
      </c>
      <c r="M61" s="306">
        <f>'1. Press Assumptions'!$B$35*'1. Press Assumptions'!$D$89*$A8^10</f>
        <v/>
      </c>
      <c r="N61" s="306">
        <f>'1. Press Assumptions'!$B$35*'1. Press Assumptions'!$D$89*$A8^11</f>
        <v/>
      </c>
      <c r="O61" s="306">
        <f>'1. Press Assumptions'!$B$35*'1. Press Assumptions'!$D$89*$A8^12</f>
        <v/>
      </c>
      <c r="P61" s="306">
        <f>'1. Press Assumptions'!$B$35*'1. Press Assumptions'!$D$89*$A8^13</f>
        <v/>
      </c>
      <c r="Q61" s="306">
        <f>'1. Press Assumptions'!$B$35*'1. Press Assumptions'!$D$89*$A8^14</f>
        <v/>
      </c>
    </row>
    <row r="62">
      <c r="B62" s="306">
        <f>-'1. Press Assumptions'!$D$89*E$5</f>
        <v/>
      </c>
      <c r="C62" s="306">
        <f>'1. Press Assumptions'!$B$35*'1. Press Assumptions'!$D$89*$A8^0</f>
        <v/>
      </c>
      <c r="D62" s="306">
        <f>'1. Press Assumptions'!$B$35*'1. Press Assumptions'!$D$89*$A8^1</f>
        <v/>
      </c>
      <c r="E62" s="306">
        <f>'1. Press Assumptions'!$B$35*'1. Press Assumptions'!$D$89*$A8^2</f>
        <v/>
      </c>
      <c r="F62" s="306">
        <f>'1. Press Assumptions'!$B$35*'1. Press Assumptions'!$D$89*$A8^3</f>
        <v/>
      </c>
      <c r="G62" s="306">
        <f>'1. Press Assumptions'!$B$35*'1. Press Assumptions'!$D$89*$A8^4</f>
        <v/>
      </c>
      <c r="H62" s="306">
        <f>'1. Press Assumptions'!$B$35*'1. Press Assumptions'!$D$89*$A8^5</f>
        <v/>
      </c>
      <c r="I62" s="306">
        <f>'1. Press Assumptions'!$B$35*'1. Press Assumptions'!$D$89*$A8^6</f>
        <v/>
      </c>
      <c r="J62" s="306">
        <f>'1. Press Assumptions'!$B$35*'1. Press Assumptions'!$D$89*$A8^7</f>
        <v/>
      </c>
      <c r="K62" s="306">
        <f>'1. Press Assumptions'!$B$35*'1. Press Assumptions'!$D$89*$A8^8</f>
        <v/>
      </c>
      <c r="L62" s="306">
        <f>'1. Press Assumptions'!$B$35*'1. Press Assumptions'!$D$89*$A8^9</f>
        <v/>
      </c>
      <c r="M62" s="306">
        <f>'1. Press Assumptions'!$B$35*'1. Press Assumptions'!$D$89*$A8^10</f>
        <v/>
      </c>
      <c r="N62" s="306">
        <f>'1. Press Assumptions'!$B$35*'1. Press Assumptions'!$D$89*$A8^11</f>
        <v/>
      </c>
      <c r="O62" s="306">
        <f>'1. Press Assumptions'!$B$35*'1. Press Assumptions'!$D$89*$A8^12</f>
        <v/>
      </c>
      <c r="P62" s="306">
        <f>'1. Press Assumptions'!$B$35*'1. Press Assumptions'!$D$89*$A8^13</f>
        <v/>
      </c>
      <c r="Q62" s="306">
        <f>'1. Press Assumptions'!$B$35*'1. Press Assumptions'!$D$89*$A8^14</f>
        <v/>
      </c>
    </row>
    <row r="63">
      <c r="B63" s="306">
        <f>-'1. Press Assumptions'!$D$89*F$5</f>
        <v/>
      </c>
      <c r="C63" s="306">
        <f>'1. Press Assumptions'!$B$35*'1. Press Assumptions'!$D$89*$A8^0</f>
        <v/>
      </c>
      <c r="D63" s="306">
        <f>'1. Press Assumptions'!$B$35*'1. Press Assumptions'!$D$89*$A8^1</f>
        <v/>
      </c>
      <c r="E63" s="306">
        <f>'1. Press Assumptions'!$B$35*'1. Press Assumptions'!$D$89*$A8^2</f>
        <v/>
      </c>
      <c r="F63" s="306">
        <f>'1. Press Assumptions'!$B$35*'1. Press Assumptions'!$D$89*$A8^3</f>
        <v/>
      </c>
      <c r="G63" s="306">
        <f>'1. Press Assumptions'!$B$35*'1. Press Assumptions'!$D$89*$A8^4</f>
        <v/>
      </c>
      <c r="H63" s="306">
        <f>'1. Press Assumptions'!$B$35*'1. Press Assumptions'!$D$89*$A8^5</f>
        <v/>
      </c>
      <c r="I63" s="306">
        <f>'1. Press Assumptions'!$B$35*'1. Press Assumptions'!$D$89*$A8^6</f>
        <v/>
      </c>
      <c r="J63" s="306">
        <f>'1. Press Assumptions'!$B$35*'1. Press Assumptions'!$D$89*$A8^7</f>
        <v/>
      </c>
      <c r="K63" s="306">
        <f>'1. Press Assumptions'!$B$35*'1. Press Assumptions'!$D$89*$A8^8</f>
        <v/>
      </c>
      <c r="L63" s="306">
        <f>'1. Press Assumptions'!$B$35*'1. Press Assumptions'!$D$89*$A8^9</f>
        <v/>
      </c>
      <c r="M63" s="306">
        <f>'1. Press Assumptions'!$B$35*'1. Press Assumptions'!$D$89*$A8^10</f>
        <v/>
      </c>
      <c r="N63" s="306">
        <f>'1. Press Assumptions'!$B$35*'1. Press Assumptions'!$D$89*$A8^11</f>
        <v/>
      </c>
      <c r="O63" s="306">
        <f>'1. Press Assumptions'!$B$35*'1. Press Assumptions'!$D$89*$A8^12</f>
        <v/>
      </c>
      <c r="P63" s="306">
        <f>'1. Press Assumptions'!$B$35*'1. Press Assumptions'!$D$89*$A8^13</f>
        <v/>
      </c>
      <c r="Q63" s="306">
        <f>'1. Press Assumptions'!$B$35*'1. Press Assumptions'!$D$89*$A8^14</f>
        <v/>
      </c>
    </row>
    <row r="64">
      <c r="B64" s="306">
        <f>-'1. Press Assumptions'!$D$89*G$5</f>
        <v/>
      </c>
      <c r="C64" s="306">
        <f>'1. Press Assumptions'!$B$35*'1. Press Assumptions'!$D$89*$A8^0</f>
        <v/>
      </c>
      <c r="D64" s="306">
        <f>'1. Press Assumptions'!$B$35*'1. Press Assumptions'!$D$89*$A8^1</f>
        <v/>
      </c>
      <c r="E64" s="306">
        <f>'1. Press Assumptions'!$B$35*'1. Press Assumptions'!$D$89*$A8^2</f>
        <v/>
      </c>
      <c r="F64" s="306">
        <f>'1. Press Assumptions'!$B$35*'1. Press Assumptions'!$D$89*$A8^3</f>
        <v/>
      </c>
      <c r="G64" s="306">
        <f>'1. Press Assumptions'!$B$35*'1. Press Assumptions'!$D$89*$A8^4</f>
        <v/>
      </c>
      <c r="H64" s="306">
        <f>'1. Press Assumptions'!$B$35*'1. Press Assumptions'!$D$89*$A8^5</f>
        <v/>
      </c>
      <c r="I64" s="306">
        <f>'1. Press Assumptions'!$B$35*'1. Press Assumptions'!$D$89*$A8^6</f>
        <v/>
      </c>
      <c r="J64" s="306">
        <f>'1. Press Assumptions'!$B$35*'1. Press Assumptions'!$D$89*$A8^7</f>
        <v/>
      </c>
      <c r="K64" s="306">
        <f>'1. Press Assumptions'!$B$35*'1. Press Assumptions'!$D$89*$A8^8</f>
        <v/>
      </c>
      <c r="L64" s="306">
        <f>'1. Press Assumptions'!$B$35*'1. Press Assumptions'!$D$89*$A8^9</f>
        <v/>
      </c>
      <c r="M64" s="306">
        <f>'1. Press Assumptions'!$B$35*'1. Press Assumptions'!$D$89*$A8^10</f>
        <v/>
      </c>
      <c r="N64" s="306">
        <f>'1. Press Assumptions'!$B$35*'1. Press Assumptions'!$D$89*$A8^11</f>
        <v/>
      </c>
      <c r="O64" s="306">
        <f>'1. Press Assumptions'!$B$35*'1. Press Assumptions'!$D$89*$A8^12</f>
        <v/>
      </c>
      <c r="P64" s="306">
        <f>'1. Press Assumptions'!$B$35*'1. Press Assumptions'!$D$89*$A8^13</f>
        <v/>
      </c>
      <c r="Q64" s="306">
        <f>'1. Press Assumptions'!$B$35*'1. Press Assumptions'!$D$89*$A8^14</f>
        <v/>
      </c>
    </row>
    <row r="65">
      <c r="B65" s="306">
        <f>-'1. Press Assumptions'!$D$89*H$5</f>
        <v/>
      </c>
      <c r="C65" s="306">
        <f>'1. Press Assumptions'!$B$35*'1. Press Assumptions'!$D$89*$A8^0</f>
        <v/>
      </c>
      <c r="D65" s="306">
        <f>'1. Press Assumptions'!$B$35*'1. Press Assumptions'!$D$89*$A8^1</f>
        <v/>
      </c>
      <c r="E65" s="306">
        <f>'1. Press Assumptions'!$B$35*'1. Press Assumptions'!$D$89*$A8^2</f>
        <v/>
      </c>
      <c r="F65" s="306">
        <f>'1. Press Assumptions'!$B$35*'1. Press Assumptions'!$D$89*$A8^3</f>
        <v/>
      </c>
      <c r="G65" s="306">
        <f>'1. Press Assumptions'!$B$35*'1. Press Assumptions'!$D$89*$A8^4</f>
        <v/>
      </c>
      <c r="H65" s="306">
        <f>'1. Press Assumptions'!$B$35*'1. Press Assumptions'!$D$89*$A8^5</f>
        <v/>
      </c>
      <c r="I65" s="306">
        <f>'1. Press Assumptions'!$B$35*'1. Press Assumptions'!$D$89*$A8^6</f>
        <v/>
      </c>
      <c r="J65" s="306">
        <f>'1. Press Assumptions'!$B$35*'1. Press Assumptions'!$D$89*$A8^7</f>
        <v/>
      </c>
      <c r="K65" s="306">
        <f>'1. Press Assumptions'!$B$35*'1. Press Assumptions'!$D$89*$A8^8</f>
        <v/>
      </c>
      <c r="L65" s="306">
        <f>'1. Press Assumptions'!$B$35*'1. Press Assumptions'!$D$89*$A8^9</f>
        <v/>
      </c>
      <c r="M65" s="306">
        <f>'1. Press Assumptions'!$B$35*'1. Press Assumptions'!$D$89*$A8^10</f>
        <v/>
      </c>
      <c r="N65" s="306">
        <f>'1. Press Assumptions'!$B$35*'1. Press Assumptions'!$D$89*$A8^11</f>
        <v/>
      </c>
      <c r="O65" s="306">
        <f>'1. Press Assumptions'!$B$35*'1. Press Assumptions'!$D$89*$A8^12</f>
        <v/>
      </c>
      <c r="P65" s="306">
        <f>'1. Press Assumptions'!$B$35*'1. Press Assumptions'!$D$89*$A8^13</f>
        <v/>
      </c>
      <c r="Q65" s="306">
        <f>'1. Press Assumptions'!$B$35*'1. Press Assumptions'!$D$89*$A8^14</f>
        <v/>
      </c>
    </row>
    <row r="66">
      <c r="B66" s="306">
        <f>-'1. Press Assumptions'!$D$89*B$5</f>
        <v/>
      </c>
      <c r="C66" s="306">
        <f>'1. Press Assumptions'!$B$35*'1. Press Assumptions'!$D$89*$A9^0</f>
        <v/>
      </c>
      <c r="D66" s="306">
        <f>'1. Press Assumptions'!$B$35*'1. Press Assumptions'!$D$89*$A9^1</f>
        <v/>
      </c>
      <c r="E66" s="306">
        <f>'1. Press Assumptions'!$B$35*'1. Press Assumptions'!$D$89*$A9^2</f>
        <v/>
      </c>
      <c r="F66" s="306">
        <f>'1. Press Assumptions'!$B$35*'1. Press Assumptions'!$D$89*$A9^3</f>
        <v/>
      </c>
      <c r="G66" s="306">
        <f>'1. Press Assumptions'!$B$35*'1. Press Assumptions'!$D$89*$A9^4</f>
        <v/>
      </c>
      <c r="H66" s="306">
        <f>'1. Press Assumptions'!$B$35*'1. Press Assumptions'!$D$89*$A9^5</f>
        <v/>
      </c>
      <c r="I66" s="306">
        <f>'1. Press Assumptions'!$B$35*'1. Press Assumptions'!$D$89*$A9^6</f>
        <v/>
      </c>
      <c r="J66" s="306">
        <f>'1. Press Assumptions'!$B$35*'1. Press Assumptions'!$D$89*$A9^7</f>
        <v/>
      </c>
      <c r="K66" s="306">
        <f>'1. Press Assumptions'!$B$35*'1. Press Assumptions'!$D$89*$A9^8</f>
        <v/>
      </c>
      <c r="L66" s="306">
        <f>'1. Press Assumptions'!$B$35*'1. Press Assumptions'!$D$89*$A9^9</f>
        <v/>
      </c>
      <c r="M66" s="306">
        <f>'1. Press Assumptions'!$B$35*'1. Press Assumptions'!$D$89*$A9^10</f>
        <v/>
      </c>
      <c r="N66" s="306">
        <f>'1. Press Assumptions'!$B$35*'1. Press Assumptions'!$D$89*$A9^11</f>
        <v/>
      </c>
      <c r="O66" s="306">
        <f>'1. Press Assumptions'!$B$35*'1. Press Assumptions'!$D$89*$A9^12</f>
        <v/>
      </c>
      <c r="P66" s="306">
        <f>'1. Press Assumptions'!$B$35*'1. Press Assumptions'!$D$89*$A9^13</f>
        <v/>
      </c>
      <c r="Q66" s="306">
        <f>'1. Press Assumptions'!$B$35*'1. Press Assumptions'!$D$89*$A9^14</f>
        <v/>
      </c>
    </row>
    <row r="67">
      <c r="B67" s="306">
        <f>-'1. Press Assumptions'!$D$89*C$5</f>
        <v/>
      </c>
      <c r="C67" s="306">
        <f>'1. Press Assumptions'!$B$35*'1. Press Assumptions'!$D$89*$A9^0</f>
        <v/>
      </c>
      <c r="D67" s="306">
        <f>'1. Press Assumptions'!$B$35*'1. Press Assumptions'!$D$89*$A9^1</f>
        <v/>
      </c>
      <c r="E67" s="306">
        <f>'1. Press Assumptions'!$B$35*'1. Press Assumptions'!$D$89*$A9^2</f>
        <v/>
      </c>
      <c r="F67" s="306">
        <f>'1. Press Assumptions'!$B$35*'1. Press Assumptions'!$D$89*$A9^3</f>
        <v/>
      </c>
      <c r="G67" s="306">
        <f>'1. Press Assumptions'!$B$35*'1. Press Assumptions'!$D$89*$A9^4</f>
        <v/>
      </c>
      <c r="H67" s="306">
        <f>'1. Press Assumptions'!$B$35*'1. Press Assumptions'!$D$89*$A9^5</f>
        <v/>
      </c>
      <c r="I67" s="306">
        <f>'1. Press Assumptions'!$B$35*'1. Press Assumptions'!$D$89*$A9^6</f>
        <v/>
      </c>
      <c r="J67" s="306">
        <f>'1. Press Assumptions'!$B$35*'1. Press Assumptions'!$D$89*$A9^7</f>
        <v/>
      </c>
      <c r="K67" s="306">
        <f>'1. Press Assumptions'!$B$35*'1. Press Assumptions'!$D$89*$A9^8</f>
        <v/>
      </c>
      <c r="L67" s="306">
        <f>'1. Press Assumptions'!$B$35*'1. Press Assumptions'!$D$89*$A9^9</f>
        <v/>
      </c>
      <c r="M67" s="306">
        <f>'1. Press Assumptions'!$B$35*'1. Press Assumptions'!$D$89*$A9^10</f>
        <v/>
      </c>
      <c r="N67" s="306">
        <f>'1. Press Assumptions'!$B$35*'1. Press Assumptions'!$D$89*$A9^11</f>
        <v/>
      </c>
      <c r="O67" s="306">
        <f>'1. Press Assumptions'!$B$35*'1. Press Assumptions'!$D$89*$A9^12</f>
        <v/>
      </c>
      <c r="P67" s="306">
        <f>'1. Press Assumptions'!$B$35*'1. Press Assumptions'!$D$89*$A9^13</f>
        <v/>
      </c>
      <c r="Q67" s="306">
        <f>'1. Press Assumptions'!$B$35*'1. Press Assumptions'!$D$89*$A9^14</f>
        <v/>
      </c>
    </row>
    <row r="68">
      <c r="B68" s="306">
        <f>-'1. Press Assumptions'!$D$89*D$5</f>
        <v/>
      </c>
      <c r="C68" s="306">
        <f>'1. Press Assumptions'!$B$35*'1. Press Assumptions'!$D$89*$A9^0</f>
        <v/>
      </c>
      <c r="D68" s="306">
        <f>'1. Press Assumptions'!$B$35*'1. Press Assumptions'!$D$89*$A9^1</f>
        <v/>
      </c>
      <c r="E68" s="306">
        <f>'1. Press Assumptions'!$B$35*'1. Press Assumptions'!$D$89*$A9^2</f>
        <v/>
      </c>
      <c r="F68" s="306">
        <f>'1. Press Assumptions'!$B$35*'1. Press Assumptions'!$D$89*$A9^3</f>
        <v/>
      </c>
      <c r="G68" s="306">
        <f>'1. Press Assumptions'!$B$35*'1. Press Assumptions'!$D$89*$A9^4</f>
        <v/>
      </c>
      <c r="H68" s="306">
        <f>'1. Press Assumptions'!$B$35*'1. Press Assumptions'!$D$89*$A9^5</f>
        <v/>
      </c>
      <c r="I68" s="306">
        <f>'1. Press Assumptions'!$B$35*'1. Press Assumptions'!$D$89*$A9^6</f>
        <v/>
      </c>
      <c r="J68" s="306">
        <f>'1. Press Assumptions'!$B$35*'1. Press Assumptions'!$D$89*$A9^7</f>
        <v/>
      </c>
      <c r="K68" s="306">
        <f>'1. Press Assumptions'!$B$35*'1. Press Assumptions'!$D$89*$A9^8</f>
        <v/>
      </c>
      <c r="L68" s="306">
        <f>'1. Press Assumptions'!$B$35*'1. Press Assumptions'!$D$89*$A9^9</f>
        <v/>
      </c>
      <c r="M68" s="306">
        <f>'1. Press Assumptions'!$B$35*'1. Press Assumptions'!$D$89*$A9^10</f>
        <v/>
      </c>
      <c r="N68" s="306">
        <f>'1. Press Assumptions'!$B$35*'1. Press Assumptions'!$D$89*$A9^11</f>
        <v/>
      </c>
      <c r="O68" s="306">
        <f>'1. Press Assumptions'!$B$35*'1. Press Assumptions'!$D$89*$A9^12</f>
        <v/>
      </c>
      <c r="P68" s="306">
        <f>'1. Press Assumptions'!$B$35*'1. Press Assumptions'!$D$89*$A9^13</f>
        <v/>
      </c>
      <c r="Q68" s="306">
        <f>'1. Press Assumptions'!$B$35*'1. Press Assumptions'!$D$89*$A9^14</f>
        <v/>
      </c>
    </row>
    <row r="69">
      <c r="B69" s="306">
        <f>-'1. Press Assumptions'!$D$89*E$5</f>
        <v/>
      </c>
      <c r="C69" s="306">
        <f>'1. Press Assumptions'!$B$35*'1. Press Assumptions'!$D$89*$A9^0</f>
        <v/>
      </c>
      <c r="D69" s="306">
        <f>'1. Press Assumptions'!$B$35*'1. Press Assumptions'!$D$89*$A9^1</f>
        <v/>
      </c>
      <c r="E69" s="306">
        <f>'1. Press Assumptions'!$B$35*'1. Press Assumptions'!$D$89*$A9^2</f>
        <v/>
      </c>
      <c r="F69" s="306">
        <f>'1. Press Assumptions'!$B$35*'1. Press Assumptions'!$D$89*$A9^3</f>
        <v/>
      </c>
      <c r="G69" s="306">
        <f>'1. Press Assumptions'!$B$35*'1. Press Assumptions'!$D$89*$A9^4</f>
        <v/>
      </c>
      <c r="H69" s="306">
        <f>'1. Press Assumptions'!$B$35*'1. Press Assumptions'!$D$89*$A9^5</f>
        <v/>
      </c>
      <c r="I69" s="306">
        <f>'1. Press Assumptions'!$B$35*'1. Press Assumptions'!$D$89*$A9^6</f>
        <v/>
      </c>
      <c r="J69" s="306">
        <f>'1. Press Assumptions'!$B$35*'1. Press Assumptions'!$D$89*$A9^7</f>
        <v/>
      </c>
      <c r="K69" s="306">
        <f>'1. Press Assumptions'!$B$35*'1. Press Assumptions'!$D$89*$A9^8</f>
        <v/>
      </c>
      <c r="L69" s="306">
        <f>'1. Press Assumptions'!$B$35*'1. Press Assumptions'!$D$89*$A9^9</f>
        <v/>
      </c>
      <c r="M69" s="306">
        <f>'1. Press Assumptions'!$B$35*'1. Press Assumptions'!$D$89*$A9^10</f>
        <v/>
      </c>
      <c r="N69" s="306">
        <f>'1. Press Assumptions'!$B$35*'1. Press Assumptions'!$D$89*$A9^11</f>
        <v/>
      </c>
      <c r="O69" s="306">
        <f>'1. Press Assumptions'!$B$35*'1. Press Assumptions'!$D$89*$A9^12</f>
        <v/>
      </c>
      <c r="P69" s="306">
        <f>'1. Press Assumptions'!$B$35*'1. Press Assumptions'!$D$89*$A9^13</f>
        <v/>
      </c>
      <c r="Q69" s="306">
        <f>'1. Press Assumptions'!$B$35*'1. Press Assumptions'!$D$89*$A9^14</f>
        <v/>
      </c>
    </row>
    <row r="70">
      <c r="B70" s="306">
        <f>-'1. Press Assumptions'!$D$89*F$5</f>
        <v/>
      </c>
      <c r="C70" s="306">
        <f>'1. Press Assumptions'!$B$35*'1. Press Assumptions'!$D$89*$A9^0</f>
        <v/>
      </c>
      <c r="D70" s="306">
        <f>'1. Press Assumptions'!$B$35*'1. Press Assumptions'!$D$89*$A9^1</f>
        <v/>
      </c>
      <c r="E70" s="306">
        <f>'1. Press Assumptions'!$B$35*'1. Press Assumptions'!$D$89*$A9^2</f>
        <v/>
      </c>
      <c r="F70" s="306">
        <f>'1. Press Assumptions'!$B$35*'1. Press Assumptions'!$D$89*$A9^3</f>
        <v/>
      </c>
      <c r="G70" s="306">
        <f>'1. Press Assumptions'!$B$35*'1. Press Assumptions'!$D$89*$A9^4</f>
        <v/>
      </c>
      <c r="H70" s="306">
        <f>'1. Press Assumptions'!$B$35*'1. Press Assumptions'!$D$89*$A9^5</f>
        <v/>
      </c>
      <c r="I70" s="306">
        <f>'1. Press Assumptions'!$B$35*'1. Press Assumptions'!$D$89*$A9^6</f>
        <v/>
      </c>
      <c r="J70" s="306">
        <f>'1. Press Assumptions'!$B$35*'1. Press Assumptions'!$D$89*$A9^7</f>
        <v/>
      </c>
      <c r="K70" s="306">
        <f>'1. Press Assumptions'!$B$35*'1. Press Assumptions'!$D$89*$A9^8</f>
        <v/>
      </c>
      <c r="L70" s="306">
        <f>'1. Press Assumptions'!$B$35*'1. Press Assumptions'!$D$89*$A9^9</f>
        <v/>
      </c>
      <c r="M70" s="306">
        <f>'1. Press Assumptions'!$B$35*'1. Press Assumptions'!$D$89*$A9^10</f>
        <v/>
      </c>
      <c r="N70" s="306">
        <f>'1. Press Assumptions'!$B$35*'1. Press Assumptions'!$D$89*$A9^11</f>
        <v/>
      </c>
      <c r="O70" s="306">
        <f>'1. Press Assumptions'!$B$35*'1. Press Assumptions'!$D$89*$A9^12</f>
        <v/>
      </c>
      <c r="P70" s="306">
        <f>'1. Press Assumptions'!$B$35*'1. Press Assumptions'!$D$89*$A9^13</f>
        <v/>
      </c>
      <c r="Q70" s="306">
        <f>'1. Press Assumptions'!$B$35*'1. Press Assumptions'!$D$89*$A9^14</f>
        <v/>
      </c>
    </row>
    <row r="71">
      <c r="B71" s="306">
        <f>-'1. Press Assumptions'!$D$89*G$5</f>
        <v/>
      </c>
      <c r="C71" s="306">
        <f>'1. Press Assumptions'!$B$35*'1. Press Assumptions'!$D$89*$A9^0</f>
        <v/>
      </c>
      <c r="D71" s="306">
        <f>'1. Press Assumptions'!$B$35*'1. Press Assumptions'!$D$89*$A9^1</f>
        <v/>
      </c>
      <c r="E71" s="306">
        <f>'1. Press Assumptions'!$B$35*'1. Press Assumptions'!$D$89*$A9^2</f>
        <v/>
      </c>
      <c r="F71" s="306">
        <f>'1. Press Assumptions'!$B$35*'1. Press Assumptions'!$D$89*$A9^3</f>
        <v/>
      </c>
      <c r="G71" s="306">
        <f>'1. Press Assumptions'!$B$35*'1. Press Assumptions'!$D$89*$A9^4</f>
        <v/>
      </c>
      <c r="H71" s="306">
        <f>'1. Press Assumptions'!$B$35*'1. Press Assumptions'!$D$89*$A9^5</f>
        <v/>
      </c>
      <c r="I71" s="306">
        <f>'1. Press Assumptions'!$B$35*'1. Press Assumptions'!$D$89*$A9^6</f>
        <v/>
      </c>
      <c r="J71" s="306">
        <f>'1. Press Assumptions'!$B$35*'1. Press Assumptions'!$D$89*$A9^7</f>
        <v/>
      </c>
      <c r="K71" s="306">
        <f>'1. Press Assumptions'!$B$35*'1. Press Assumptions'!$D$89*$A9^8</f>
        <v/>
      </c>
      <c r="L71" s="306">
        <f>'1. Press Assumptions'!$B$35*'1. Press Assumptions'!$D$89*$A9^9</f>
        <v/>
      </c>
      <c r="M71" s="306">
        <f>'1. Press Assumptions'!$B$35*'1. Press Assumptions'!$D$89*$A9^10</f>
        <v/>
      </c>
      <c r="N71" s="306">
        <f>'1. Press Assumptions'!$B$35*'1. Press Assumptions'!$D$89*$A9^11</f>
        <v/>
      </c>
      <c r="O71" s="306">
        <f>'1. Press Assumptions'!$B$35*'1. Press Assumptions'!$D$89*$A9^12</f>
        <v/>
      </c>
      <c r="P71" s="306">
        <f>'1. Press Assumptions'!$B$35*'1. Press Assumptions'!$D$89*$A9^13</f>
        <v/>
      </c>
      <c r="Q71" s="306">
        <f>'1. Press Assumptions'!$B$35*'1. Press Assumptions'!$D$89*$A9^14</f>
        <v/>
      </c>
    </row>
    <row r="72">
      <c r="B72" s="306">
        <f>-'1. Press Assumptions'!$D$89*H$5</f>
        <v/>
      </c>
      <c r="C72" s="306">
        <f>'1. Press Assumptions'!$B$35*'1. Press Assumptions'!$D$89*$A9^0</f>
        <v/>
      </c>
      <c r="D72" s="306">
        <f>'1. Press Assumptions'!$B$35*'1. Press Assumptions'!$D$89*$A9^1</f>
        <v/>
      </c>
      <c r="E72" s="306">
        <f>'1. Press Assumptions'!$B$35*'1. Press Assumptions'!$D$89*$A9^2</f>
        <v/>
      </c>
      <c r="F72" s="306">
        <f>'1. Press Assumptions'!$B$35*'1. Press Assumptions'!$D$89*$A9^3</f>
        <v/>
      </c>
      <c r="G72" s="306">
        <f>'1. Press Assumptions'!$B$35*'1. Press Assumptions'!$D$89*$A9^4</f>
        <v/>
      </c>
      <c r="H72" s="306">
        <f>'1. Press Assumptions'!$B$35*'1. Press Assumptions'!$D$89*$A9^5</f>
        <v/>
      </c>
      <c r="I72" s="306">
        <f>'1. Press Assumptions'!$B$35*'1. Press Assumptions'!$D$89*$A9^6</f>
        <v/>
      </c>
      <c r="J72" s="306">
        <f>'1. Press Assumptions'!$B$35*'1. Press Assumptions'!$D$89*$A9^7</f>
        <v/>
      </c>
      <c r="K72" s="306">
        <f>'1. Press Assumptions'!$B$35*'1. Press Assumptions'!$D$89*$A9^8</f>
        <v/>
      </c>
      <c r="L72" s="306">
        <f>'1. Press Assumptions'!$B$35*'1. Press Assumptions'!$D$89*$A9^9</f>
        <v/>
      </c>
      <c r="M72" s="306">
        <f>'1. Press Assumptions'!$B$35*'1. Press Assumptions'!$D$89*$A9^10</f>
        <v/>
      </c>
      <c r="N72" s="306">
        <f>'1. Press Assumptions'!$B$35*'1. Press Assumptions'!$D$89*$A9^11</f>
        <v/>
      </c>
      <c r="O72" s="306">
        <f>'1. Press Assumptions'!$B$35*'1. Press Assumptions'!$D$89*$A9^12</f>
        <v/>
      </c>
      <c r="P72" s="306">
        <f>'1. Press Assumptions'!$B$35*'1. Press Assumptions'!$D$89*$A9^13</f>
        <v/>
      </c>
      <c r="Q72" s="306">
        <f>'1. Press Assumptions'!$B$35*'1. Press Assumptions'!$D$89*$A9^14</f>
        <v/>
      </c>
    </row>
    <row r="73">
      <c r="B73" s="306">
        <f>-'1. Press Assumptions'!$D$89*B$5</f>
        <v/>
      </c>
      <c r="C73" s="306">
        <f>'1. Press Assumptions'!$B$35*'1. Press Assumptions'!$D$89*$A10^0</f>
        <v/>
      </c>
      <c r="D73" s="306">
        <f>'1. Press Assumptions'!$B$35*'1. Press Assumptions'!$D$89*$A10^1</f>
        <v/>
      </c>
      <c r="E73" s="306">
        <f>'1. Press Assumptions'!$B$35*'1. Press Assumptions'!$D$89*$A10^2</f>
        <v/>
      </c>
      <c r="F73" s="306">
        <f>'1. Press Assumptions'!$B$35*'1. Press Assumptions'!$D$89*$A10^3</f>
        <v/>
      </c>
      <c r="G73" s="306">
        <f>'1. Press Assumptions'!$B$35*'1. Press Assumptions'!$D$89*$A10^4</f>
        <v/>
      </c>
      <c r="H73" s="306">
        <f>'1. Press Assumptions'!$B$35*'1. Press Assumptions'!$D$89*$A10^5</f>
        <v/>
      </c>
      <c r="I73" s="306">
        <f>'1. Press Assumptions'!$B$35*'1. Press Assumptions'!$D$89*$A10^6</f>
        <v/>
      </c>
      <c r="J73" s="306">
        <f>'1. Press Assumptions'!$B$35*'1. Press Assumptions'!$D$89*$A10^7</f>
        <v/>
      </c>
      <c r="K73" s="306">
        <f>'1. Press Assumptions'!$B$35*'1. Press Assumptions'!$D$89*$A10^8</f>
        <v/>
      </c>
      <c r="L73" s="306">
        <f>'1. Press Assumptions'!$B$35*'1. Press Assumptions'!$D$89*$A10^9</f>
        <v/>
      </c>
      <c r="M73" s="306">
        <f>'1. Press Assumptions'!$B$35*'1. Press Assumptions'!$D$89*$A10^10</f>
        <v/>
      </c>
      <c r="N73" s="306">
        <f>'1. Press Assumptions'!$B$35*'1. Press Assumptions'!$D$89*$A10^11</f>
        <v/>
      </c>
      <c r="O73" s="306">
        <f>'1. Press Assumptions'!$B$35*'1. Press Assumptions'!$D$89*$A10^12</f>
        <v/>
      </c>
      <c r="P73" s="306">
        <f>'1. Press Assumptions'!$B$35*'1. Press Assumptions'!$D$89*$A10^13</f>
        <v/>
      </c>
      <c r="Q73" s="306">
        <f>'1. Press Assumptions'!$B$35*'1. Press Assumptions'!$D$89*$A10^14</f>
        <v/>
      </c>
    </row>
    <row r="74">
      <c r="B74" s="306">
        <f>-'1. Press Assumptions'!$D$89*C$5</f>
        <v/>
      </c>
      <c r="C74" s="306">
        <f>'1. Press Assumptions'!$B$35*'1. Press Assumptions'!$D$89*$A10^0</f>
        <v/>
      </c>
      <c r="D74" s="306">
        <f>'1. Press Assumptions'!$B$35*'1. Press Assumptions'!$D$89*$A10^1</f>
        <v/>
      </c>
      <c r="E74" s="306">
        <f>'1. Press Assumptions'!$B$35*'1. Press Assumptions'!$D$89*$A10^2</f>
        <v/>
      </c>
      <c r="F74" s="306">
        <f>'1. Press Assumptions'!$B$35*'1. Press Assumptions'!$D$89*$A10^3</f>
        <v/>
      </c>
      <c r="G74" s="306">
        <f>'1. Press Assumptions'!$B$35*'1. Press Assumptions'!$D$89*$A10^4</f>
        <v/>
      </c>
      <c r="H74" s="306">
        <f>'1. Press Assumptions'!$B$35*'1. Press Assumptions'!$D$89*$A10^5</f>
        <v/>
      </c>
      <c r="I74" s="306">
        <f>'1. Press Assumptions'!$B$35*'1. Press Assumptions'!$D$89*$A10^6</f>
        <v/>
      </c>
      <c r="J74" s="306">
        <f>'1. Press Assumptions'!$B$35*'1. Press Assumptions'!$D$89*$A10^7</f>
        <v/>
      </c>
      <c r="K74" s="306">
        <f>'1. Press Assumptions'!$B$35*'1. Press Assumptions'!$D$89*$A10^8</f>
        <v/>
      </c>
      <c r="L74" s="306">
        <f>'1. Press Assumptions'!$B$35*'1. Press Assumptions'!$D$89*$A10^9</f>
        <v/>
      </c>
      <c r="M74" s="306">
        <f>'1. Press Assumptions'!$B$35*'1. Press Assumptions'!$D$89*$A10^10</f>
        <v/>
      </c>
      <c r="N74" s="306">
        <f>'1. Press Assumptions'!$B$35*'1. Press Assumptions'!$D$89*$A10^11</f>
        <v/>
      </c>
      <c r="O74" s="306">
        <f>'1. Press Assumptions'!$B$35*'1. Press Assumptions'!$D$89*$A10^12</f>
        <v/>
      </c>
      <c r="P74" s="306">
        <f>'1. Press Assumptions'!$B$35*'1. Press Assumptions'!$D$89*$A10^13</f>
        <v/>
      </c>
      <c r="Q74" s="306">
        <f>'1. Press Assumptions'!$B$35*'1. Press Assumptions'!$D$89*$A10^14</f>
        <v/>
      </c>
    </row>
    <row r="75">
      <c r="B75" s="306">
        <f>-'1. Press Assumptions'!$D$89*D$5</f>
        <v/>
      </c>
      <c r="C75" s="306">
        <f>'1. Press Assumptions'!$B$35*'1. Press Assumptions'!$D$89*$A10^0</f>
        <v/>
      </c>
      <c r="D75" s="306">
        <f>'1. Press Assumptions'!$B$35*'1. Press Assumptions'!$D$89*$A10^1</f>
        <v/>
      </c>
      <c r="E75" s="306">
        <f>'1. Press Assumptions'!$B$35*'1. Press Assumptions'!$D$89*$A10^2</f>
        <v/>
      </c>
      <c r="F75" s="306">
        <f>'1. Press Assumptions'!$B$35*'1. Press Assumptions'!$D$89*$A10^3</f>
        <v/>
      </c>
      <c r="G75" s="306">
        <f>'1. Press Assumptions'!$B$35*'1. Press Assumptions'!$D$89*$A10^4</f>
        <v/>
      </c>
      <c r="H75" s="306">
        <f>'1. Press Assumptions'!$B$35*'1. Press Assumptions'!$D$89*$A10^5</f>
        <v/>
      </c>
      <c r="I75" s="306">
        <f>'1. Press Assumptions'!$B$35*'1. Press Assumptions'!$D$89*$A10^6</f>
        <v/>
      </c>
      <c r="J75" s="306">
        <f>'1. Press Assumptions'!$B$35*'1. Press Assumptions'!$D$89*$A10^7</f>
        <v/>
      </c>
      <c r="K75" s="306">
        <f>'1. Press Assumptions'!$B$35*'1. Press Assumptions'!$D$89*$A10^8</f>
        <v/>
      </c>
      <c r="L75" s="306">
        <f>'1. Press Assumptions'!$B$35*'1. Press Assumptions'!$D$89*$A10^9</f>
        <v/>
      </c>
      <c r="M75" s="306">
        <f>'1. Press Assumptions'!$B$35*'1. Press Assumptions'!$D$89*$A10^10</f>
        <v/>
      </c>
      <c r="N75" s="306">
        <f>'1. Press Assumptions'!$B$35*'1. Press Assumptions'!$D$89*$A10^11</f>
        <v/>
      </c>
      <c r="O75" s="306">
        <f>'1. Press Assumptions'!$B$35*'1. Press Assumptions'!$D$89*$A10^12</f>
        <v/>
      </c>
      <c r="P75" s="306">
        <f>'1. Press Assumptions'!$B$35*'1. Press Assumptions'!$D$89*$A10^13</f>
        <v/>
      </c>
      <c r="Q75" s="306">
        <f>'1. Press Assumptions'!$B$35*'1. Press Assumptions'!$D$89*$A10^14</f>
        <v/>
      </c>
    </row>
    <row r="76">
      <c r="B76" s="306">
        <f>-'1. Press Assumptions'!$D$89*E$5</f>
        <v/>
      </c>
      <c r="C76" s="306">
        <f>'1. Press Assumptions'!$B$35*'1. Press Assumptions'!$D$89*$A10^0</f>
        <v/>
      </c>
      <c r="D76" s="306">
        <f>'1. Press Assumptions'!$B$35*'1. Press Assumptions'!$D$89*$A10^1</f>
        <v/>
      </c>
      <c r="E76" s="306">
        <f>'1. Press Assumptions'!$B$35*'1. Press Assumptions'!$D$89*$A10^2</f>
        <v/>
      </c>
      <c r="F76" s="306">
        <f>'1. Press Assumptions'!$B$35*'1. Press Assumptions'!$D$89*$A10^3</f>
        <v/>
      </c>
      <c r="G76" s="306">
        <f>'1. Press Assumptions'!$B$35*'1. Press Assumptions'!$D$89*$A10^4</f>
        <v/>
      </c>
      <c r="H76" s="306">
        <f>'1. Press Assumptions'!$B$35*'1. Press Assumptions'!$D$89*$A10^5</f>
        <v/>
      </c>
      <c r="I76" s="306">
        <f>'1. Press Assumptions'!$B$35*'1. Press Assumptions'!$D$89*$A10^6</f>
        <v/>
      </c>
      <c r="J76" s="306">
        <f>'1. Press Assumptions'!$B$35*'1. Press Assumptions'!$D$89*$A10^7</f>
        <v/>
      </c>
      <c r="K76" s="306">
        <f>'1. Press Assumptions'!$B$35*'1. Press Assumptions'!$D$89*$A10^8</f>
        <v/>
      </c>
      <c r="L76" s="306">
        <f>'1. Press Assumptions'!$B$35*'1. Press Assumptions'!$D$89*$A10^9</f>
        <v/>
      </c>
      <c r="M76" s="306">
        <f>'1. Press Assumptions'!$B$35*'1. Press Assumptions'!$D$89*$A10^10</f>
        <v/>
      </c>
      <c r="N76" s="306">
        <f>'1. Press Assumptions'!$B$35*'1. Press Assumptions'!$D$89*$A10^11</f>
        <v/>
      </c>
      <c r="O76" s="306">
        <f>'1. Press Assumptions'!$B$35*'1. Press Assumptions'!$D$89*$A10^12</f>
        <v/>
      </c>
      <c r="P76" s="306">
        <f>'1. Press Assumptions'!$B$35*'1. Press Assumptions'!$D$89*$A10^13</f>
        <v/>
      </c>
      <c r="Q76" s="306">
        <f>'1. Press Assumptions'!$B$35*'1. Press Assumptions'!$D$89*$A10^14</f>
        <v/>
      </c>
    </row>
    <row r="77">
      <c r="B77" s="306">
        <f>-'1. Press Assumptions'!$D$89*F$5</f>
        <v/>
      </c>
      <c r="C77" s="306">
        <f>'1. Press Assumptions'!$B$35*'1. Press Assumptions'!$D$89*$A10^0</f>
        <v/>
      </c>
      <c r="D77" s="306">
        <f>'1. Press Assumptions'!$B$35*'1. Press Assumptions'!$D$89*$A10^1</f>
        <v/>
      </c>
      <c r="E77" s="306">
        <f>'1. Press Assumptions'!$B$35*'1. Press Assumptions'!$D$89*$A10^2</f>
        <v/>
      </c>
      <c r="F77" s="306">
        <f>'1. Press Assumptions'!$B$35*'1. Press Assumptions'!$D$89*$A10^3</f>
        <v/>
      </c>
      <c r="G77" s="306">
        <f>'1. Press Assumptions'!$B$35*'1. Press Assumptions'!$D$89*$A10^4</f>
        <v/>
      </c>
      <c r="H77" s="306">
        <f>'1. Press Assumptions'!$B$35*'1. Press Assumptions'!$D$89*$A10^5</f>
        <v/>
      </c>
      <c r="I77" s="306">
        <f>'1. Press Assumptions'!$B$35*'1. Press Assumptions'!$D$89*$A10^6</f>
        <v/>
      </c>
      <c r="J77" s="306">
        <f>'1. Press Assumptions'!$B$35*'1. Press Assumptions'!$D$89*$A10^7</f>
        <v/>
      </c>
      <c r="K77" s="306">
        <f>'1. Press Assumptions'!$B$35*'1. Press Assumptions'!$D$89*$A10^8</f>
        <v/>
      </c>
      <c r="L77" s="306">
        <f>'1. Press Assumptions'!$B$35*'1. Press Assumptions'!$D$89*$A10^9</f>
        <v/>
      </c>
      <c r="M77" s="306">
        <f>'1. Press Assumptions'!$B$35*'1. Press Assumptions'!$D$89*$A10^10</f>
        <v/>
      </c>
      <c r="N77" s="306">
        <f>'1. Press Assumptions'!$B$35*'1. Press Assumptions'!$D$89*$A10^11</f>
        <v/>
      </c>
      <c r="O77" s="306">
        <f>'1. Press Assumptions'!$B$35*'1. Press Assumptions'!$D$89*$A10^12</f>
        <v/>
      </c>
      <c r="P77" s="306">
        <f>'1. Press Assumptions'!$B$35*'1. Press Assumptions'!$D$89*$A10^13</f>
        <v/>
      </c>
      <c r="Q77" s="306">
        <f>'1. Press Assumptions'!$B$35*'1. Press Assumptions'!$D$89*$A10^14</f>
        <v/>
      </c>
    </row>
    <row r="78">
      <c r="B78" s="306">
        <f>-'1. Press Assumptions'!$D$89*G$5</f>
        <v/>
      </c>
      <c r="C78" s="306">
        <f>'1. Press Assumptions'!$B$35*'1. Press Assumptions'!$D$89*$A10^0</f>
        <v/>
      </c>
      <c r="D78" s="306">
        <f>'1. Press Assumptions'!$B$35*'1. Press Assumptions'!$D$89*$A10^1</f>
        <v/>
      </c>
      <c r="E78" s="306">
        <f>'1. Press Assumptions'!$B$35*'1. Press Assumptions'!$D$89*$A10^2</f>
        <v/>
      </c>
      <c r="F78" s="306">
        <f>'1. Press Assumptions'!$B$35*'1. Press Assumptions'!$D$89*$A10^3</f>
        <v/>
      </c>
      <c r="G78" s="306">
        <f>'1. Press Assumptions'!$B$35*'1. Press Assumptions'!$D$89*$A10^4</f>
        <v/>
      </c>
      <c r="H78" s="306">
        <f>'1. Press Assumptions'!$B$35*'1. Press Assumptions'!$D$89*$A10^5</f>
        <v/>
      </c>
      <c r="I78" s="306">
        <f>'1. Press Assumptions'!$B$35*'1. Press Assumptions'!$D$89*$A10^6</f>
        <v/>
      </c>
      <c r="J78" s="306">
        <f>'1. Press Assumptions'!$B$35*'1. Press Assumptions'!$D$89*$A10^7</f>
        <v/>
      </c>
      <c r="K78" s="306">
        <f>'1. Press Assumptions'!$B$35*'1. Press Assumptions'!$D$89*$A10^8</f>
        <v/>
      </c>
      <c r="L78" s="306">
        <f>'1. Press Assumptions'!$B$35*'1. Press Assumptions'!$D$89*$A10^9</f>
        <v/>
      </c>
      <c r="M78" s="306">
        <f>'1. Press Assumptions'!$B$35*'1. Press Assumptions'!$D$89*$A10^10</f>
        <v/>
      </c>
      <c r="N78" s="306">
        <f>'1. Press Assumptions'!$B$35*'1. Press Assumptions'!$D$89*$A10^11</f>
        <v/>
      </c>
      <c r="O78" s="306">
        <f>'1. Press Assumptions'!$B$35*'1. Press Assumptions'!$D$89*$A10^12</f>
        <v/>
      </c>
      <c r="P78" s="306">
        <f>'1. Press Assumptions'!$B$35*'1. Press Assumptions'!$D$89*$A10^13</f>
        <v/>
      </c>
      <c r="Q78" s="306">
        <f>'1. Press Assumptions'!$B$35*'1. Press Assumptions'!$D$89*$A10^14</f>
        <v/>
      </c>
    </row>
    <row r="79">
      <c r="B79" s="306">
        <f>-'1. Press Assumptions'!$D$89*H$5</f>
        <v/>
      </c>
      <c r="C79" s="306">
        <f>'1. Press Assumptions'!$B$35*'1. Press Assumptions'!$D$89*$A10^0</f>
        <v/>
      </c>
      <c r="D79" s="306">
        <f>'1. Press Assumptions'!$B$35*'1. Press Assumptions'!$D$89*$A10^1</f>
        <v/>
      </c>
      <c r="E79" s="306">
        <f>'1. Press Assumptions'!$B$35*'1. Press Assumptions'!$D$89*$A10^2</f>
        <v/>
      </c>
      <c r="F79" s="306">
        <f>'1. Press Assumptions'!$B$35*'1. Press Assumptions'!$D$89*$A10^3</f>
        <v/>
      </c>
      <c r="G79" s="306">
        <f>'1. Press Assumptions'!$B$35*'1. Press Assumptions'!$D$89*$A10^4</f>
        <v/>
      </c>
      <c r="H79" s="306">
        <f>'1. Press Assumptions'!$B$35*'1. Press Assumptions'!$D$89*$A10^5</f>
        <v/>
      </c>
      <c r="I79" s="306">
        <f>'1. Press Assumptions'!$B$35*'1. Press Assumptions'!$D$89*$A10^6</f>
        <v/>
      </c>
      <c r="J79" s="306">
        <f>'1. Press Assumptions'!$B$35*'1. Press Assumptions'!$D$89*$A10^7</f>
        <v/>
      </c>
      <c r="K79" s="306">
        <f>'1. Press Assumptions'!$B$35*'1. Press Assumptions'!$D$89*$A10^8</f>
        <v/>
      </c>
      <c r="L79" s="306">
        <f>'1. Press Assumptions'!$B$35*'1. Press Assumptions'!$D$89*$A10^9</f>
        <v/>
      </c>
      <c r="M79" s="306">
        <f>'1. Press Assumptions'!$B$35*'1. Press Assumptions'!$D$89*$A10^10</f>
        <v/>
      </c>
      <c r="N79" s="306">
        <f>'1. Press Assumptions'!$B$35*'1. Press Assumptions'!$D$89*$A10^11</f>
        <v/>
      </c>
      <c r="O79" s="306">
        <f>'1. Press Assumptions'!$B$35*'1. Press Assumptions'!$D$89*$A10^12</f>
        <v/>
      </c>
      <c r="P79" s="306">
        <f>'1. Press Assumptions'!$B$35*'1. Press Assumptions'!$D$89*$A10^13</f>
        <v/>
      </c>
      <c r="Q79" s="306">
        <f>'1. Press Assumptions'!$B$35*'1. Press Assumptions'!$D$89*$A10^14</f>
        <v/>
      </c>
    </row>
    <row r="80">
      <c r="B80" s="306">
        <f>-'1. Press Assumptions'!$D$89*B$5</f>
        <v/>
      </c>
      <c r="C80" s="306">
        <f>'1. Press Assumptions'!$B$35*'1. Press Assumptions'!$D$89*$A11^0</f>
        <v/>
      </c>
      <c r="D80" s="306">
        <f>'1. Press Assumptions'!$B$35*'1. Press Assumptions'!$D$89*$A11^1</f>
        <v/>
      </c>
      <c r="E80" s="306">
        <f>'1. Press Assumptions'!$B$35*'1. Press Assumptions'!$D$89*$A11^2</f>
        <v/>
      </c>
      <c r="F80" s="306">
        <f>'1. Press Assumptions'!$B$35*'1. Press Assumptions'!$D$89*$A11^3</f>
        <v/>
      </c>
      <c r="G80" s="306">
        <f>'1. Press Assumptions'!$B$35*'1. Press Assumptions'!$D$89*$A11^4</f>
        <v/>
      </c>
      <c r="H80" s="306">
        <f>'1. Press Assumptions'!$B$35*'1. Press Assumptions'!$D$89*$A11^5</f>
        <v/>
      </c>
      <c r="I80" s="306">
        <f>'1. Press Assumptions'!$B$35*'1. Press Assumptions'!$D$89*$A11^6</f>
        <v/>
      </c>
      <c r="J80" s="306">
        <f>'1. Press Assumptions'!$B$35*'1. Press Assumptions'!$D$89*$A11^7</f>
        <v/>
      </c>
      <c r="K80" s="306">
        <f>'1. Press Assumptions'!$B$35*'1. Press Assumptions'!$D$89*$A11^8</f>
        <v/>
      </c>
      <c r="L80" s="306">
        <f>'1. Press Assumptions'!$B$35*'1. Press Assumptions'!$D$89*$A11^9</f>
        <v/>
      </c>
      <c r="M80" s="306">
        <f>'1. Press Assumptions'!$B$35*'1. Press Assumptions'!$D$89*$A11^10</f>
        <v/>
      </c>
      <c r="N80" s="306">
        <f>'1. Press Assumptions'!$B$35*'1. Press Assumptions'!$D$89*$A11^11</f>
        <v/>
      </c>
      <c r="O80" s="306">
        <f>'1. Press Assumptions'!$B$35*'1. Press Assumptions'!$D$89*$A11^12</f>
        <v/>
      </c>
      <c r="P80" s="306">
        <f>'1. Press Assumptions'!$B$35*'1. Press Assumptions'!$D$89*$A11^13</f>
        <v/>
      </c>
      <c r="Q80" s="306">
        <f>'1. Press Assumptions'!$B$35*'1. Press Assumptions'!$D$89*$A11^14</f>
        <v/>
      </c>
    </row>
    <row r="81">
      <c r="B81" s="306">
        <f>-'1. Press Assumptions'!$D$89*C$5</f>
        <v/>
      </c>
      <c r="C81" s="306">
        <f>'1. Press Assumptions'!$B$35*'1. Press Assumptions'!$D$89*$A11^0</f>
        <v/>
      </c>
      <c r="D81" s="306">
        <f>'1. Press Assumptions'!$B$35*'1. Press Assumptions'!$D$89*$A11^1</f>
        <v/>
      </c>
      <c r="E81" s="306">
        <f>'1. Press Assumptions'!$B$35*'1. Press Assumptions'!$D$89*$A11^2</f>
        <v/>
      </c>
      <c r="F81" s="306">
        <f>'1. Press Assumptions'!$B$35*'1. Press Assumptions'!$D$89*$A11^3</f>
        <v/>
      </c>
      <c r="G81" s="306">
        <f>'1. Press Assumptions'!$B$35*'1. Press Assumptions'!$D$89*$A11^4</f>
        <v/>
      </c>
      <c r="H81" s="306">
        <f>'1. Press Assumptions'!$B$35*'1. Press Assumptions'!$D$89*$A11^5</f>
        <v/>
      </c>
      <c r="I81" s="306">
        <f>'1. Press Assumptions'!$B$35*'1. Press Assumptions'!$D$89*$A11^6</f>
        <v/>
      </c>
      <c r="J81" s="306">
        <f>'1. Press Assumptions'!$B$35*'1. Press Assumptions'!$D$89*$A11^7</f>
        <v/>
      </c>
      <c r="K81" s="306">
        <f>'1. Press Assumptions'!$B$35*'1. Press Assumptions'!$D$89*$A11^8</f>
        <v/>
      </c>
      <c r="L81" s="306">
        <f>'1. Press Assumptions'!$B$35*'1. Press Assumptions'!$D$89*$A11^9</f>
        <v/>
      </c>
      <c r="M81" s="306">
        <f>'1. Press Assumptions'!$B$35*'1. Press Assumptions'!$D$89*$A11^10</f>
        <v/>
      </c>
      <c r="N81" s="306">
        <f>'1. Press Assumptions'!$B$35*'1. Press Assumptions'!$D$89*$A11^11</f>
        <v/>
      </c>
      <c r="O81" s="306">
        <f>'1. Press Assumptions'!$B$35*'1. Press Assumptions'!$D$89*$A11^12</f>
        <v/>
      </c>
      <c r="P81" s="306">
        <f>'1. Press Assumptions'!$B$35*'1. Press Assumptions'!$D$89*$A11^13</f>
        <v/>
      </c>
      <c r="Q81" s="306">
        <f>'1. Press Assumptions'!$B$35*'1. Press Assumptions'!$D$89*$A11^14</f>
        <v/>
      </c>
    </row>
    <row r="82">
      <c r="B82" s="306">
        <f>-'1. Press Assumptions'!$D$89*D$5</f>
        <v/>
      </c>
      <c r="C82" s="306">
        <f>'1. Press Assumptions'!$B$35*'1. Press Assumptions'!$D$89*$A11^0</f>
        <v/>
      </c>
      <c r="D82" s="306">
        <f>'1. Press Assumptions'!$B$35*'1. Press Assumptions'!$D$89*$A11^1</f>
        <v/>
      </c>
      <c r="E82" s="306">
        <f>'1. Press Assumptions'!$B$35*'1. Press Assumptions'!$D$89*$A11^2</f>
        <v/>
      </c>
      <c r="F82" s="306">
        <f>'1. Press Assumptions'!$B$35*'1. Press Assumptions'!$D$89*$A11^3</f>
        <v/>
      </c>
      <c r="G82" s="306">
        <f>'1. Press Assumptions'!$B$35*'1. Press Assumptions'!$D$89*$A11^4</f>
        <v/>
      </c>
      <c r="H82" s="306">
        <f>'1. Press Assumptions'!$B$35*'1. Press Assumptions'!$D$89*$A11^5</f>
        <v/>
      </c>
      <c r="I82" s="306">
        <f>'1. Press Assumptions'!$B$35*'1. Press Assumptions'!$D$89*$A11^6</f>
        <v/>
      </c>
      <c r="J82" s="306">
        <f>'1. Press Assumptions'!$B$35*'1. Press Assumptions'!$D$89*$A11^7</f>
        <v/>
      </c>
      <c r="K82" s="306">
        <f>'1. Press Assumptions'!$B$35*'1. Press Assumptions'!$D$89*$A11^8</f>
        <v/>
      </c>
      <c r="L82" s="306">
        <f>'1. Press Assumptions'!$B$35*'1. Press Assumptions'!$D$89*$A11^9</f>
        <v/>
      </c>
      <c r="M82" s="306">
        <f>'1. Press Assumptions'!$B$35*'1. Press Assumptions'!$D$89*$A11^10</f>
        <v/>
      </c>
      <c r="N82" s="306">
        <f>'1. Press Assumptions'!$B$35*'1. Press Assumptions'!$D$89*$A11^11</f>
        <v/>
      </c>
      <c r="O82" s="306">
        <f>'1. Press Assumptions'!$B$35*'1. Press Assumptions'!$D$89*$A11^12</f>
        <v/>
      </c>
      <c r="P82" s="306">
        <f>'1. Press Assumptions'!$B$35*'1. Press Assumptions'!$D$89*$A11^13</f>
        <v/>
      </c>
      <c r="Q82" s="306">
        <f>'1. Press Assumptions'!$B$35*'1. Press Assumptions'!$D$89*$A11^14</f>
        <v/>
      </c>
    </row>
    <row r="83">
      <c r="B83" s="306">
        <f>-'1. Press Assumptions'!$D$89*E$5</f>
        <v/>
      </c>
      <c r="C83" s="306">
        <f>'1. Press Assumptions'!$B$35*'1. Press Assumptions'!$D$89*$A11^0</f>
        <v/>
      </c>
      <c r="D83" s="306">
        <f>'1. Press Assumptions'!$B$35*'1. Press Assumptions'!$D$89*$A11^1</f>
        <v/>
      </c>
      <c r="E83" s="306">
        <f>'1. Press Assumptions'!$B$35*'1. Press Assumptions'!$D$89*$A11^2</f>
        <v/>
      </c>
      <c r="F83" s="306">
        <f>'1. Press Assumptions'!$B$35*'1. Press Assumptions'!$D$89*$A11^3</f>
        <v/>
      </c>
      <c r="G83" s="306">
        <f>'1. Press Assumptions'!$B$35*'1. Press Assumptions'!$D$89*$A11^4</f>
        <v/>
      </c>
      <c r="H83" s="306">
        <f>'1. Press Assumptions'!$B$35*'1. Press Assumptions'!$D$89*$A11^5</f>
        <v/>
      </c>
      <c r="I83" s="306">
        <f>'1. Press Assumptions'!$B$35*'1. Press Assumptions'!$D$89*$A11^6</f>
        <v/>
      </c>
      <c r="J83" s="306">
        <f>'1. Press Assumptions'!$B$35*'1. Press Assumptions'!$D$89*$A11^7</f>
        <v/>
      </c>
      <c r="K83" s="306">
        <f>'1. Press Assumptions'!$B$35*'1. Press Assumptions'!$D$89*$A11^8</f>
        <v/>
      </c>
      <c r="L83" s="306">
        <f>'1. Press Assumptions'!$B$35*'1. Press Assumptions'!$D$89*$A11^9</f>
        <v/>
      </c>
      <c r="M83" s="306">
        <f>'1. Press Assumptions'!$B$35*'1. Press Assumptions'!$D$89*$A11^10</f>
        <v/>
      </c>
      <c r="N83" s="306">
        <f>'1. Press Assumptions'!$B$35*'1. Press Assumptions'!$D$89*$A11^11</f>
        <v/>
      </c>
      <c r="O83" s="306">
        <f>'1. Press Assumptions'!$B$35*'1. Press Assumptions'!$D$89*$A11^12</f>
        <v/>
      </c>
      <c r="P83" s="306">
        <f>'1. Press Assumptions'!$B$35*'1. Press Assumptions'!$D$89*$A11^13</f>
        <v/>
      </c>
      <c r="Q83" s="306">
        <f>'1. Press Assumptions'!$B$35*'1. Press Assumptions'!$D$89*$A11^14</f>
        <v/>
      </c>
    </row>
    <row r="84">
      <c r="B84" s="306">
        <f>-'1. Press Assumptions'!$D$89*F$5</f>
        <v/>
      </c>
      <c r="C84" s="306">
        <f>'1. Press Assumptions'!$B$35*'1. Press Assumptions'!$D$89*$A11^0</f>
        <v/>
      </c>
      <c r="D84" s="306">
        <f>'1. Press Assumptions'!$B$35*'1. Press Assumptions'!$D$89*$A11^1</f>
        <v/>
      </c>
      <c r="E84" s="306">
        <f>'1. Press Assumptions'!$B$35*'1. Press Assumptions'!$D$89*$A11^2</f>
        <v/>
      </c>
      <c r="F84" s="306">
        <f>'1. Press Assumptions'!$B$35*'1. Press Assumptions'!$D$89*$A11^3</f>
        <v/>
      </c>
      <c r="G84" s="306">
        <f>'1. Press Assumptions'!$B$35*'1. Press Assumptions'!$D$89*$A11^4</f>
        <v/>
      </c>
      <c r="H84" s="306">
        <f>'1. Press Assumptions'!$B$35*'1. Press Assumptions'!$D$89*$A11^5</f>
        <v/>
      </c>
      <c r="I84" s="306">
        <f>'1. Press Assumptions'!$B$35*'1. Press Assumptions'!$D$89*$A11^6</f>
        <v/>
      </c>
      <c r="J84" s="306">
        <f>'1. Press Assumptions'!$B$35*'1. Press Assumptions'!$D$89*$A11^7</f>
        <v/>
      </c>
      <c r="K84" s="306">
        <f>'1. Press Assumptions'!$B$35*'1. Press Assumptions'!$D$89*$A11^8</f>
        <v/>
      </c>
      <c r="L84" s="306">
        <f>'1. Press Assumptions'!$B$35*'1. Press Assumptions'!$D$89*$A11^9</f>
        <v/>
      </c>
      <c r="M84" s="306">
        <f>'1. Press Assumptions'!$B$35*'1. Press Assumptions'!$D$89*$A11^10</f>
        <v/>
      </c>
      <c r="N84" s="306">
        <f>'1. Press Assumptions'!$B$35*'1. Press Assumptions'!$D$89*$A11^11</f>
        <v/>
      </c>
      <c r="O84" s="306">
        <f>'1. Press Assumptions'!$B$35*'1. Press Assumptions'!$D$89*$A11^12</f>
        <v/>
      </c>
      <c r="P84" s="306">
        <f>'1. Press Assumptions'!$B$35*'1. Press Assumptions'!$D$89*$A11^13</f>
        <v/>
      </c>
      <c r="Q84" s="306">
        <f>'1. Press Assumptions'!$B$35*'1. Press Assumptions'!$D$89*$A11^14</f>
        <v/>
      </c>
    </row>
    <row r="85">
      <c r="B85" s="306">
        <f>-'1. Press Assumptions'!$D$89*G$5</f>
        <v/>
      </c>
      <c r="C85" s="306">
        <f>'1. Press Assumptions'!$B$35*'1. Press Assumptions'!$D$89*$A11^0</f>
        <v/>
      </c>
      <c r="D85" s="306">
        <f>'1. Press Assumptions'!$B$35*'1. Press Assumptions'!$D$89*$A11^1</f>
        <v/>
      </c>
      <c r="E85" s="306">
        <f>'1. Press Assumptions'!$B$35*'1. Press Assumptions'!$D$89*$A11^2</f>
        <v/>
      </c>
      <c r="F85" s="306">
        <f>'1. Press Assumptions'!$B$35*'1. Press Assumptions'!$D$89*$A11^3</f>
        <v/>
      </c>
      <c r="G85" s="306">
        <f>'1. Press Assumptions'!$B$35*'1. Press Assumptions'!$D$89*$A11^4</f>
        <v/>
      </c>
      <c r="H85" s="306">
        <f>'1. Press Assumptions'!$B$35*'1. Press Assumptions'!$D$89*$A11^5</f>
        <v/>
      </c>
      <c r="I85" s="306">
        <f>'1. Press Assumptions'!$B$35*'1. Press Assumptions'!$D$89*$A11^6</f>
        <v/>
      </c>
      <c r="J85" s="306">
        <f>'1. Press Assumptions'!$B$35*'1. Press Assumptions'!$D$89*$A11^7</f>
        <v/>
      </c>
      <c r="K85" s="306">
        <f>'1. Press Assumptions'!$B$35*'1. Press Assumptions'!$D$89*$A11^8</f>
        <v/>
      </c>
      <c r="L85" s="306">
        <f>'1. Press Assumptions'!$B$35*'1. Press Assumptions'!$D$89*$A11^9</f>
        <v/>
      </c>
      <c r="M85" s="306">
        <f>'1. Press Assumptions'!$B$35*'1. Press Assumptions'!$D$89*$A11^10</f>
        <v/>
      </c>
      <c r="N85" s="306">
        <f>'1. Press Assumptions'!$B$35*'1. Press Assumptions'!$D$89*$A11^11</f>
        <v/>
      </c>
      <c r="O85" s="306">
        <f>'1. Press Assumptions'!$B$35*'1. Press Assumptions'!$D$89*$A11^12</f>
        <v/>
      </c>
      <c r="P85" s="306">
        <f>'1. Press Assumptions'!$B$35*'1. Press Assumptions'!$D$89*$A11^13</f>
        <v/>
      </c>
      <c r="Q85" s="306">
        <f>'1. Press Assumptions'!$B$35*'1. Press Assumptions'!$D$89*$A11^14</f>
        <v/>
      </c>
    </row>
    <row r="86">
      <c r="B86" s="306">
        <f>-'1. Press Assumptions'!$D$89*H$5</f>
        <v/>
      </c>
      <c r="C86" s="306">
        <f>'1. Press Assumptions'!$B$35*'1. Press Assumptions'!$D$89*$A11^0</f>
        <v/>
      </c>
      <c r="D86" s="306">
        <f>'1. Press Assumptions'!$B$35*'1. Press Assumptions'!$D$89*$A11^1</f>
        <v/>
      </c>
      <c r="E86" s="306">
        <f>'1. Press Assumptions'!$B$35*'1. Press Assumptions'!$D$89*$A11^2</f>
        <v/>
      </c>
      <c r="F86" s="306">
        <f>'1. Press Assumptions'!$B$35*'1. Press Assumptions'!$D$89*$A11^3</f>
        <v/>
      </c>
      <c r="G86" s="306">
        <f>'1. Press Assumptions'!$B$35*'1. Press Assumptions'!$D$89*$A11^4</f>
        <v/>
      </c>
      <c r="H86" s="306">
        <f>'1. Press Assumptions'!$B$35*'1. Press Assumptions'!$D$89*$A11^5</f>
        <v/>
      </c>
      <c r="I86" s="306">
        <f>'1. Press Assumptions'!$B$35*'1. Press Assumptions'!$D$89*$A11^6</f>
        <v/>
      </c>
      <c r="J86" s="306">
        <f>'1. Press Assumptions'!$B$35*'1. Press Assumptions'!$D$89*$A11^7</f>
        <v/>
      </c>
      <c r="K86" s="306">
        <f>'1. Press Assumptions'!$B$35*'1. Press Assumptions'!$D$89*$A11^8</f>
        <v/>
      </c>
      <c r="L86" s="306">
        <f>'1. Press Assumptions'!$B$35*'1. Press Assumptions'!$D$89*$A11^9</f>
        <v/>
      </c>
      <c r="M86" s="306">
        <f>'1. Press Assumptions'!$B$35*'1. Press Assumptions'!$D$89*$A11^10</f>
        <v/>
      </c>
      <c r="N86" s="306">
        <f>'1. Press Assumptions'!$B$35*'1. Press Assumptions'!$D$89*$A11^11</f>
        <v/>
      </c>
      <c r="O86" s="306">
        <f>'1. Press Assumptions'!$B$35*'1. Press Assumptions'!$D$89*$A11^12</f>
        <v/>
      </c>
      <c r="P86" s="306">
        <f>'1. Press Assumptions'!$B$35*'1. Press Assumptions'!$D$89*$A11^13</f>
        <v/>
      </c>
      <c r="Q86" s="306">
        <f>'1. Press Assumptions'!$B$35*'1. Press Assumptions'!$D$89*$A11^14</f>
        <v/>
      </c>
    </row>
    <row r="87">
      <c r="B87" s="306">
        <f>-'1. Press Assumptions'!$D$89*B$5</f>
        <v/>
      </c>
      <c r="C87" s="306">
        <f>'1. Press Assumptions'!$B$35*'1. Press Assumptions'!$D$89*$A12^0</f>
        <v/>
      </c>
      <c r="D87" s="306">
        <f>'1. Press Assumptions'!$B$35*'1. Press Assumptions'!$D$89*$A12^1</f>
        <v/>
      </c>
      <c r="E87" s="306">
        <f>'1. Press Assumptions'!$B$35*'1. Press Assumptions'!$D$89*$A12^2</f>
        <v/>
      </c>
      <c r="F87" s="306">
        <f>'1. Press Assumptions'!$B$35*'1. Press Assumptions'!$D$89*$A12^3</f>
        <v/>
      </c>
      <c r="G87" s="306">
        <f>'1. Press Assumptions'!$B$35*'1. Press Assumptions'!$D$89*$A12^4</f>
        <v/>
      </c>
      <c r="H87" s="306">
        <f>'1. Press Assumptions'!$B$35*'1. Press Assumptions'!$D$89*$A12^5</f>
        <v/>
      </c>
      <c r="I87" s="306">
        <f>'1. Press Assumptions'!$B$35*'1. Press Assumptions'!$D$89*$A12^6</f>
        <v/>
      </c>
      <c r="J87" s="306">
        <f>'1. Press Assumptions'!$B$35*'1. Press Assumptions'!$D$89*$A12^7</f>
        <v/>
      </c>
      <c r="K87" s="306">
        <f>'1. Press Assumptions'!$B$35*'1. Press Assumptions'!$D$89*$A12^8</f>
        <v/>
      </c>
      <c r="L87" s="306">
        <f>'1. Press Assumptions'!$B$35*'1. Press Assumptions'!$D$89*$A12^9</f>
        <v/>
      </c>
      <c r="M87" s="306">
        <f>'1. Press Assumptions'!$B$35*'1. Press Assumptions'!$D$89*$A12^10</f>
        <v/>
      </c>
      <c r="N87" s="306">
        <f>'1. Press Assumptions'!$B$35*'1. Press Assumptions'!$D$89*$A12^11</f>
        <v/>
      </c>
      <c r="O87" s="306">
        <f>'1. Press Assumptions'!$B$35*'1. Press Assumptions'!$D$89*$A12^12</f>
        <v/>
      </c>
      <c r="P87" s="306">
        <f>'1. Press Assumptions'!$B$35*'1. Press Assumptions'!$D$89*$A12^13</f>
        <v/>
      </c>
      <c r="Q87" s="306">
        <f>'1. Press Assumptions'!$B$35*'1. Press Assumptions'!$D$89*$A12^14</f>
        <v/>
      </c>
    </row>
    <row r="88">
      <c r="B88" s="306">
        <f>-'1. Press Assumptions'!$D$89*C$5</f>
        <v/>
      </c>
      <c r="C88" s="306">
        <f>'1. Press Assumptions'!$B$35*'1. Press Assumptions'!$D$89*$A12^0</f>
        <v/>
      </c>
      <c r="D88" s="306">
        <f>'1. Press Assumptions'!$B$35*'1. Press Assumptions'!$D$89*$A12^1</f>
        <v/>
      </c>
      <c r="E88" s="306">
        <f>'1. Press Assumptions'!$B$35*'1. Press Assumptions'!$D$89*$A12^2</f>
        <v/>
      </c>
      <c r="F88" s="306">
        <f>'1. Press Assumptions'!$B$35*'1. Press Assumptions'!$D$89*$A12^3</f>
        <v/>
      </c>
      <c r="G88" s="306">
        <f>'1. Press Assumptions'!$B$35*'1. Press Assumptions'!$D$89*$A12^4</f>
        <v/>
      </c>
      <c r="H88" s="306">
        <f>'1. Press Assumptions'!$B$35*'1. Press Assumptions'!$D$89*$A12^5</f>
        <v/>
      </c>
      <c r="I88" s="306">
        <f>'1. Press Assumptions'!$B$35*'1. Press Assumptions'!$D$89*$A12^6</f>
        <v/>
      </c>
      <c r="J88" s="306">
        <f>'1. Press Assumptions'!$B$35*'1. Press Assumptions'!$D$89*$A12^7</f>
        <v/>
      </c>
      <c r="K88" s="306">
        <f>'1. Press Assumptions'!$B$35*'1. Press Assumptions'!$D$89*$A12^8</f>
        <v/>
      </c>
      <c r="L88" s="306">
        <f>'1. Press Assumptions'!$B$35*'1. Press Assumptions'!$D$89*$A12^9</f>
        <v/>
      </c>
      <c r="M88" s="306">
        <f>'1. Press Assumptions'!$B$35*'1. Press Assumptions'!$D$89*$A12^10</f>
        <v/>
      </c>
      <c r="N88" s="306">
        <f>'1. Press Assumptions'!$B$35*'1. Press Assumptions'!$D$89*$A12^11</f>
        <v/>
      </c>
      <c r="O88" s="306">
        <f>'1. Press Assumptions'!$B$35*'1. Press Assumptions'!$D$89*$A12^12</f>
        <v/>
      </c>
      <c r="P88" s="306">
        <f>'1. Press Assumptions'!$B$35*'1. Press Assumptions'!$D$89*$A12^13</f>
        <v/>
      </c>
      <c r="Q88" s="306">
        <f>'1. Press Assumptions'!$B$35*'1. Press Assumptions'!$D$89*$A12^14</f>
        <v/>
      </c>
    </row>
    <row r="89">
      <c r="B89" s="306">
        <f>-'1. Press Assumptions'!$D$89*D$5</f>
        <v/>
      </c>
      <c r="C89" s="306">
        <f>'1. Press Assumptions'!$B$35*'1. Press Assumptions'!$D$89*$A12^0</f>
        <v/>
      </c>
      <c r="D89" s="306">
        <f>'1. Press Assumptions'!$B$35*'1. Press Assumptions'!$D$89*$A12^1</f>
        <v/>
      </c>
      <c r="E89" s="306">
        <f>'1. Press Assumptions'!$B$35*'1. Press Assumptions'!$D$89*$A12^2</f>
        <v/>
      </c>
      <c r="F89" s="306">
        <f>'1. Press Assumptions'!$B$35*'1. Press Assumptions'!$D$89*$A12^3</f>
        <v/>
      </c>
      <c r="G89" s="306">
        <f>'1. Press Assumptions'!$B$35*'1. Press Assumptions'!$D$89*$A12^4</f>
        <v/>
      </c>
      <c r="H89" s="306">
        <f>'1. Press Assumptions'!$B$35*'1. Press Assumptions'!$D$89*$A12^5</f>
        <v/>
      </c>
      <c r="I89" s="306">
        <f>'1. Press Assumptions'!$B$35*'1. Press Assumptions'!$D$89*$A12^6</f>
        <v/>
      </c>
      <c r="J89" s="306">
        <f>'1. Press Assumptions'!$B$35*'1. Press Assumptions'!$D$89*$A12^7</f>
        <v/>
      </c>
      <c r="K89" s="306">
        <f>'1. Press Assumptions'!$B$35*'1. Press Assumptions'!$D$89*$A12^8</f>
        <v/>
      </c>
      <c r="L89" s="306">
        <f>'1. Press Assumptions'!$B$35*'1. Press Assumptions'!$D$89*$A12^9</f>
        <v/>
      </c>
      <c r="M89" s="306">
        <f>'1. Press Assumptions'!$B$35*'1. Press Assumptions'!$D$89*$A12^10</f>
        <v/>
      </c>
      <c r="N89" s="306">
        <f>'1. Press Assumptions'!$B$35*'1. Press Assumptions'!$D$89*$A12^11</f>
        <v/>
      </c>
      <c r="O89" s="306">
        <f>'1. Press Assumptions'!$B$35*'1. Press Assumptions'!$D$89*$A12^12</f>
        <v/>
      </c>
      <c r="P89" s="306">
        <f>'1. Press Assumptions'!$B$35*'1. Press Assumptions'!$D$89*$A12^13</f>
        <v/>
      </c>
      <c r="Q89" s="306">
        <f>'1. Press Assumptions'!$B$35*'1. Press Assumptions'!$D$89*$A12^14</f>
        <v/>
      </c>
    </row>
    <row r="90">
      <c r="B90" s="306">
        <f>-'1. Press Assumptions'!$D$89*E$5</f>
        <v/>
      </c>
      <c r="C90" s="306">
        <f>'1. Press Assumptions'!$B$35*'1. Press Assumptions'!$D$89*$A12^0</f>
        <v/>
      </c>
      <c r="D90" s="306">
        <f>'1. Press Assumptions'!$B$35*'1. Press Assumptions'!$D$89*$A12^1</f>
        <v/>
      </c>
      <c r="E90" s="306">
        <f>'1. Press Assumptions'!$B$35*'1. Press Assumptions'!$D$89*$A12^2</f>
        <v/>
      </c>
      <c r="F90" s="306">
        <f>'1. Press Assumptions'!$B$35*'1. Press Assumptions'!$D$89*$A12^3</f>
        <v/>
      </c>
      <c r="G90" s="306">
        <f>'1. Press Assumptions'!$B$35*'1. Press Assumptions'!$D$89*$A12^4</f>
        <v/>
      </c>
      <c r="H90" s="306">
        <f>'1. Press Assumptions'!$B$35*'1. Press Assumptions'!$D$89*$A12^5</f>
        <v/>
      </c>
      <c r="I90" s="306">
        <f>'1. Press Assumptions'!$B$35*'1. Press Assumptions'!$D$89*$A12^6</f>
        <v/>
      </c>
      <c r="J90" s="306">
        <f>'1. Press Assumptions'!$B$35*'1. Press Assumptions'!$D$89*$A12^7</f>
        <v/>
      </c>
      <c r="K90" s="306">
        <f>'1. Press Assumptions'!$B$35*'1. Press Assumptions'!$D$89*$A12^8</f>
        <v/>
      </c>
      <c r="L90" s="306">
        <f>'1. Press Assumptions'!$B$35*'1. Press Assumptions'!$D$89*$A12^9</f>
        <v/>
      </c>
      <c r="M90" s="306">
        <f>'1. Press Assumptions'!$B$35*'1. Press Assumptions'!$D$89*$A12^10</f>
        <v/>
      </c>
      <c r="N90" s="306">
        <f>'1. Press Assumptions'!$B$35*'1. Press Assumptions'!$D$89*$A12^11</f>
        <v/>
      </c>
      <c r="O90" s="306">
        <f>'1. Press Assumptions'!$B$35*'1. Press Assumptions'!$D$89*$A12^12</f>
        <v/>
      </c>
      <c r="P90" s="306">
        <f>'1. Press Assumptions'!$B$35*'1. Press Assumptions'!$D$89*$A12^13</f>
        <v/>
      </c>
      <c r="Q90" s="306">
        <f>'1. Press Assumptions'!$B$35*'1. Press Assumptions'!$D$89*$A12^14</f>
        <v/>
      </c>
    </row>
    <row r="91">
      <c r="B91" s="306">
        <f>-'1. Press Assumptions'!$D$89*F$5</f>
        <v/>
      </c>
      <c r="C91" s="306">
        <f>'1. Press Assumptions'!$B$35*'1. Press Assumptions'!$D$89*$A12^0</f>
        <v/>
      </c>
      <c r="D91" s="306">
        <f>'1. Press Assumptions'!$B$35*'1. Press Assumptions'!$D$89*$A12^1</f>
        <v/>
      </c>
      <c r="E91" s="306">
        <f>'1. Press Assumptions'!$B$35*'1. Press Assumptions'!$D$89*$A12^2</f>
        <v/>
      </c>
      <c r="F91" s="306">
        <f>'1. Press Assumptions'!$B$35*'1. Press Assumptions'!$D$89*$A12^3</f>
        <v/>
      </c>
      <c r="G91" s="306">
        <f>'1. Press Assumptions'!$B$35*'1. Press Assumptions'!$D$89*$A12^4</f>
        <v/>
      </c>
      <c r="H91" s="306">
        <f>'1. Press Assumptions'!$B$35*'1. Press Assumptions'!$D$89*$A12^5</f>
        <v/>
      </c>
      <c r="I91" s="306">
        <f>'1. Press Assumptions'!$B$35*'1. Press Assumptions'!$D$89*$A12^6</f>
        <v/>
      </c>
      <c r="J91" s="306">
        <f>'1. Press Assumptions'!$B$35*'1. Press Assumptions'!$D$89*$A12^7</f>
        <v/>
      </c>
      <c r="K91" s="306">
        <f>'1. Press Assumptions'!$B$35*'1. Press Assumptions'!$D$89*$A12^8</f>
        <v/>
      </c>
      <c r="L91" s="306">
        <f>'1. Press Assumptions'!$B$35*'1. Press Assumptions'!$D$89*$A12^9</f>
        <v/>
      </c>
      <c r="M91" s="306">
        <f>'1. Press Assumptions'!$B$35*'1. Press Assumptions'!$D$89*$A12^10</f>
        <v/>
      </c>
      <c r="N91" s="306">
        <f>'1. Press Assumptions'!$B$35*'1. Press Assumptions'!$D$89*$A12^11</f>
        <v/>
      </c>
      <c r="O91" s="306">
        <f>'1. Press Assumptions'!$B$35*'1. Press Assumptions'!$D$89*$A12^12</f>
        <v/>
      </c>
      <c r="P91" s="306">
        <f>'1. Press Assumptions'!$B$35*'1. Press Assumptions'!$D$89*$A12^13</f>
        <v/>
      </c>
      <c r="Q91" s="306">
        <f>'1. Press Assumptions'!$B$35*'1. Press Assumptions'!$D$89*$A12^14</f>
        <v/>
      </c>
    </row>
    <row r="92">
      <c r="B92" s="306">
        <f>-'1. Press Assumptions'!$D$89*G$5</f>
        <v/>
      </c>
      <c r="C92" s="306">
        <f>'1. Press Assumptions'!$B$35*'1. Press Assumptions'!$D$89*$A12^0</f>
        <v/>
      </c>
      <c r="D92" s="306">
        <f>'1. Press Assumptions'!$B$35*'1. Press Assumptions'!$D$89*$A12^1</f>
        <v/>
      </c>
      <c r="E92" s="306">
        <f>'1. Press Assumptions'!$B$35*'1. Press Assumptions'!$D$89*$A12^2</f>
        <v/>
      </c>
      <c r="F92" s="306">
        <f>'1. Press Assumptions'!$B$35*'1. Press Assumptions'!$D$89*$A12^3</f>
        <v/>
      </c>
      <c r="G92" s="306">
        <f>'1. Press Assumptions'!$B$35*'1. Press Assumptions'!$D$89*$A12^4</f>
        <v/>
      </c>
      <c r="H92" s="306">
        <f>'1. Press Assumptions'!$B$35*'1. Press Assumptions'!$D$89*$A12^5</f>
        <v/>
      </c>
      <c r="I92" s="306">
        <f>'1. Press Assumptions'!$B$35*'1. Press Assumptions'!$D$89*$A12^6</f>
        <v/>
      </c>
      <c r="J92" s="306">
        <f>'1. Press Assumptions'!$B$35*'1. Press Assumptions'!$D$89*$A12^7</f>
        <v/>
      </c>
      <c r="K92" s="306">
        <f>'1. Press Assumptions'!$B$35*'1. Press Assumptions'!$D$89*$A12^8</f>
        <v/>
      </c>
      <c r="L92" s="306">
        <f>'1. Press Assumptions'!$B$35*'1. Press Assumptions'!$D$89*$A12^9</f>
        <v/>
      </c>
      <c r="M92" s="306">
        <f>'1. Press Assumptions'!$B$35*'1. Press Assumptions'!$D$89*$A12^10</f>
        <v/>
      </c>
      <c r="N92" s="306">
        <f>'1. Press Assumptions'!$B$35*'1. Press Assumptions'!$D$89*$A12^11</f>
        <v/>
      </c>
      <c r="O92" s="306">
        <f>'1. Press Assumptions'!$B$35*'1. Press Assumptions'!$D$89*$A12^12</f>
        <v/>
      </c>
      <c r="P92" s="306">
        <f>'1. Press Assumptions'!$B$35*'1. Press Assumptions'!$D$89*$A12^13</f>
        <v/>
      </c>
      <c r="Q92" s="306">
        <f>'1. Press Assumptions'!$B$35*'1. Press Assumptions'!$D$89*$A12^14</f>
        <v/>
      </c>
    </row>
    <row r="93">
      <c r="B93" s="306">
        <f>-'1. Press Assumptions'!$D$89*H$5</f>
        <v/>
      </c>
      <c r="C93" s="306">
        <f>'1. Press Assumptions'!$B$35*'1. Press Assumptions'!$D$89*$A12^0</f>
        <v/>
      </c>
      <c r="D93" s="306">
        <f>'1. Press Assumptions'!$B$35*'1. Press Assumptions'!$D$89*$A12^1</f>
        <v/>
      </c>
      <c r="E93" s="306">
        <f>'1. Press Assumptions'!$B$35*'1. Press Assumptions'!$D$89*$A12^2</f>
        <v/>
      </c>
      <c r="F93" s="306">
        <f>'1. Press Assumptions'!$B$35*'1. Press Assumptions'!$D$89*$A12^3</f>
        <v/>
      </c>
      <c r="G93" s="306">
        <f>'1. Press Assumptions'!$B$35*'1. Press Assumptions'!$D$89*$A12^4</f>
        <v/>
      </c>
      <c r="H93" s="306">
        <f>'1. Press Assumptions'!$B$35*'1. Press Assumptions'!$D$89*$A12^5</f>
        <v/>
      </c>
      <c r="I93" s="306">
        <f>'1. Press Assumptions'!$B$35*'1. Press Assumptions'!$D$89*$A12^6</f>
        <v/>
      </c>
      <c r="J93" s="306">
        <f>'1. Press Assumptions'!$B$35*'1. Press Assumptions'!$D$89*$A12^7</f>
        <v/>
      </c>
      <c r="K93" s="306">
        <f>'1. Press Assumptions'!$B$35*'1. Press Assumptions'!$D$89*$A12^8</f>
        <v/>
      </c>
      <c r="L93" s="306">
        <f>'1. Press Assumptions'!$B$35*'1. Press Assumptions'!$D$89*$A12^9</f>
        <v/>
      </c>
      <c r="M93" s="306">
        <f>'1. Press Assumptions'!$B$35*'1. Press Assumptions'!$D$89*$A12^10</f>
        <v/>
      </c>
      <c r="N93" s="306">
        <f>'1. Press Assumptions'!$B$35*'1. Press Assumptions'!$D$89*$A12^11</f>
        <v/>
      </c>
      <c r="O93" s="306">
        <f>'1. Press Assumptions'!$B$35*'1. Press Assumptions'!$D$89*$A12^12</f>
        <v/>
      </c>
      <c r="P93" s="306">
        <f>'1. Press Assumptions'!$B$35*'1. Press Assumptions'!$D$89*$A12^13</f>
        <v/>
      </c>
      <c r="Q93" s="306">
        <f>'1. Press Assumptions'!$B$35*'1. Press Assumptions'!$D$89*$A12^14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6" customWidth="1" style="306" min="2" max="13"/>
    <col width="16" customWidth="1" style="307" min="3" max="3"/>
    <col width="16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612" t="inlineStr">
        <is>
          <t>FUND I  --  NDR SENSITIVITY (single source = engine sweep)</t>
        </is>
      </c>
      <c r="B1" s="613" t="n"/>
      <c r="C1" s="613" t="n"/>
      <c r="D1" s="613" t="n"/>
      <c r="E1" s="613" t="n"/>
      <c r="F1" s="613" t="n"/>
      <c r="G1" s="613" t="n"/>
      <c r="H1" s="613" t="n"/>
      <c r="I1" s="613" t="n"/>
      <c r="J1" s="613" t="n"/>
      <c r="K1" s="613" t="n"/>
      <c r="L1" s="613" t="n"/>
      <c r="M1" s="613" t="n"/>
      <c r="N1" s="613" t="n"/>
      <c r="O1" s="613" t="n"/>
      <c r="P1" s="613" t="n"/>
      <c r="Q1" s="613" t="n"/>
      <c r="R1" s="613" t="n"/>
      <c r="S1" s="613" t="n"/>
    </row>
    <row r="2" ht="15" customHeight="1" s="307">
      <c r="A2" s="593" t="inlineStr">
        <is>
          <t>Generated 2026-06-28 via sweep_sensitivity.py from the 3 engines. Scenario-independent (full NDR curve). 80/85/90 = primary band; 95/100 = extended reference.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  <c r="J2" s="614" t="n"/>
      <c r="K2" s="614" t="n"/>
      <c r="L2" s="614" t="n"/>
      <c r="M2" s="614" t="n"/>
      <c r="N2" s="613" t="n"/>
      <c r="O2" s="613" t="n"/>
      <c r="P2" s="613" t="n"/>
      <c r="Q2" s="613" t="n"/>
      <c r="R2" s="613" t="n"/>
      <c r="S2" s="613" t="n"/>
    </row>
    <row r="3" ht="15" customHeight="1" s="307">
      <c r="A3" s="614" t="n"/>
      <c r="B3" s="614" t="n"/>
      <c r="C3" s="614" t="n"/>
      <c r="D3" s="614" t="n"/>
      <c r="E3" s="614" t="n"/>
      <c r="F3" s="614" t="n"/>
      <c r="G3" s="614" t="n"/>
      <c r="H3" s="614" t="n"/>
      <c r="I3" s="614" t="n"/>
      <c r="J3" s="614" t="n"/>
      <c r="K3" s="614" t="n"/>
      <c r="L3" s="614" t="n"/>
      <c r="M3" s="614" t="n"/>
      <c r="N3" s="613" t="n"/>
      <c r="O3" s="613" t="n"/>
      <c r="P3" s="613" t="n"/>
      <c r="Q3" s="613" t="n"/>
      <c r="R3" s="613" t="n"/>
      <c r="S3" s="613" t="n"/>
    </row>
    <row r="4" ht="15" customHeight="1" s="307">
      <c r="A4" s="616" t="inlineStr">
        <is>
          <t>10Y DPI (LP MOIC)</t>
        </is>
      </c>
      <c r="B4" s="731" t="n"/>
      <c r="C4" s="731" t="n"/>
      <c r="D4" s="731" t="n"/>
      <c r="E4" s="684" t="n"/>
      <c r="F4" s="684" t="n"/>
      <c r="G4" s="684" t="n"/>
      <c r="H4" s="613" t="n"/>
      <c r="I4" s="613" t="n"/>
      <c r="J4" s="613" t="n"/>
      <c r="K4" s="613" t="n"/>
      <c r="L4" s="613" t="n"/>
      <c r="M4" s="613" t="n"/>
      <c r="N4" s="613" t="n"/>
      <c r="O4" s="613" t="n"/>
      <c r="P4" s="613" t="n"/>
      <c r="Q4" s="613" t="n"/>
      <c r="R4" s="613" t="n"/>
      <c r="S4" s="613" t="n"/>
    </row>
    <row r="5" ht="15" customHeight="1" s="307">
      <c r="A5" s="612" t="inlineStr">
        <is>
          <t>NDR</t>
        </is>
      </c>
      <c r="B5" s="654" t="inlineStr">
        <is>
          <t>No Recycle</t>
        </is>
      </c>
      <c r="C5" s="654" t="inlineStr">
        <is>
          <t>50% Recycle</t>
        </is>
      </c>
      <c r="D5" s="654" t="inlineStr">
        <is>
          <t>100% Recycle</t>
        </is>
      </c>
      <c r="E5" s="684" t="n"/>
      <c r="F5" s="684" t="n"/>
      <c r="G5" s="684" t="n"/>
      <c r="H5" s="614" t="n"/>
      <c r="I5" s="614" t="n"/>
      <c r="J5" s="614" t="n"/>
      <c r="K5" s="614" t="n"/>
      <c r="L5" s="614" t="n"/>
      <c r="M5" s="614" t="n"/>
      <c r="N5" s="613" t="n"/>
      <c r="O5" s="613" t="n"/>
      <c r="P5" s="613" t="n"/>
      <c r="Q5" s="613" t="n"/>
      <c r="R5" s="613" t="n"/>
      <c r="S5" s="613" t="n"/>
    </row>
    <row r="6" ht="15" customHeight="1" s="307">
      <c r="A6" s="732" t="n">
        <v>0.8</v>
      </c>
      <c r="B6" s="733" t="n">
        <v>1.58974618131608</v>
      </c>
      <c r="C6" s="733" t="n">
        <v>2.01500806666714</v>
      </c>
      <c r="D6" s="733" t="n">
        <v>2.15119466476817</v>
      </c>
      <c r="E6" s="686" t="n"/>
      <c r="F6" s="686" t="n"/>
      <c r="G6" s="686" t="n"/>
      <c r="H6" s="614" t="n"/>
      <c r="I6" s="614" t="n"/>
      <c r="J6" s="614" t="n"/>
      <c r="K6" s="614" t="n"/>
      <c r="L6" s="614" t="n"/>
      <c r="M6" s="614" t="n"/>
      <c r="N6" s="613" t="n"/>
      <c r="O6" s="613" t="n"/>
      <c r="P6" s="613" t="n"/>
      <c r="Q6" s="613" t="n"/>
      <c r="R6" s="613" t="n"/>
      <c r="S6" s="613" t="n"/>
    </row>
    <row r="7" ht="15" customHeight="1" s="307">
      <c r="A7" s="734" t="n">
        <v>0.85</v>
      </c>
      <c r="B7" s="735" t="n">
        <v>1.98542885787231</v>
      </c>
      <c r="C7" s="735" t="n">
        <v>2.54025465005397</v>
      </c>
      <c r="D7" s="735" t="n">
        <v>2.71597963669944</v>
      </c>
      <c r="E7" s="619" t="n"/>
      <c r="F7" s="619" t="n"/>
      <c r="G7" s="619" t="n"/>
      <c r="H7" s="614" t="n"/>
      <c r="I7" s="614" t="n"/>
      <c r="J7" s="614" t="n"/>
      <c r="K7" s="614" t="n"/>
      <c r="L7" s="614" t="n"/>
      <c r="M7" s="614" t="n"/>
      <c r="N7" s="613" t="n"/>
      <c r="O7" s="613" t="n"/>
      <c r="P7" s="613" t="n"/>
      <c r="Q7" s="613" t="n"/>
      <c r="R7" s="613" t="n"/>
      <c r="S7" s="613" t="n"/>
    </row>
    <row r="8" ht="15" customHeight="1" s="307">
      <c r="A8" s="732" t="n">
        <v>0.9</v>
      </c>
      <c r="B8" s="733" t="n">
        <v>2.49462901687355</v>
      </c>
      <c r="C8" s="733" t="n">
        <v>3.20170146376281</v>
      </c>
      <c r="D8" s="733" t="n">
        <v>3.43377562554781</v>
      </c>
      <c r="E8" s="689" t="n"/>
      <c r="F8" s="689" t="n"/>
      <c r="G8" s="689" t="n"/>
      <c r="H8" s="614" t="n"/>
      <c r="I8" s="614" t="n"/>
      <c r="J8" s="614" t="n"/>
      <c r="K8" s="614" t="n"/>
      <c r="L8" s="614" t="n"/>
      <c r="M8" s="614" t="n"/>
      <c r="N8" s="613" t="n"/>
      <c r="O8" s="613" t="n"/>
      <c r="P8" s="613" t="n"/>
      <c r="Q8" s="613" t="n"/>
      <c r="R8" s="613" t="n"/>
      <c r="S8" s="613" t="n"/>
    </row>
    <row r="9" ht="15" customHeight="1" s="307">
      <c r="A9" s="736" t="n">
        <v>0.95</v>
      </c>
      <c r="B9" s="737" t="n">
        <v>3.15027262358027</v>
      </c>
      <c r="C9" s="737" t="n">
        <v>4.03547247593613</v>
      </c>
      <c r="D9" s="737" t="n">
        <v>4.34629345763026</v>
      </c>
      <c r="E9" s="619" t="n"/>
      <c r="F9" s="619" t="n"/>
      <c r="G9" s="619" t="n"/>
      <c r="H9" s="614" t="n"/>
      <c r="I9" s="614" t="n"/>
      <c r="J9" s="614" t="n"/>
      <c r="K9" s="614" t="n"/>
      <c r="L9" s="614" t="n"/>
      <c r="M9" s="614" t="n"/>
      <c r="N9" s="613" t="n"/>
      <c r="O9" s="613" t="n"/>
      <c r="P9" s="613" t="n"/>
      <c r="Q9" s="613" t="n"/>
      <c r="R9" s="613" t="n"/>
      <c r="S9" s="613" t="n"/>
    </row>
    <row r="10" ht="15" customHeight="1" s="307">
      <c r="A10" s="736" t="n">
        <v>1</v>
      </c>
      <c r="B10" s="737" t="n">
        <v>3.99528446048941</v>
      </c>
      <c r="C10" s="737" t="n">
        <v>5.08939975897719</v>
      </c>
      <c r="D10" s="737" t="n">
        <v>5.5060244144</v>
      </c>
      <c r="E10" s="619" t="n"/>
      <c r="F10" s="619" t="n"/>
      <c r="G10" s="619" t="n"/>
      <c r="H10" s="614" t="n"/>
      <c r="I10" s="614" t="n"/>
      <c r="J10" s="614" t="n"/>
      <c r="K10" s="614" t="n"/>
      <c r="L10" s="614" t="n"/>
      <c r="M10" s="614" t="n"/>
      <c r="N10" s="613" t="n"/>
      <c r="O10" s="613" t="n"/>
      <c r="P10" s="613" t="n"/>
      <c r="Q10" s="613" t="n"/>
      <c r="R10" s="613" t="n"/>
      <c r="S10" s="613" t="n"/>
    </row>
    <row r="11" ht="15" customHeight="1" s="307">
      <c r="A11" s="684" t="n"/>
      <c r="B11" s="686" t="n"/>
      <c r="C11" s="686" t="n"/>
      <c r="D11" s="686" t="n"/>
      <c r="E11" s="619" t="n"/>
      <c r="F11" s="619" t="n"/>
      <c r="G11" s="619" t="n"/>
      <c r="H11" s="614" t="n"/>
      <c r="I11" s="614" t="n"/>
      <c r="J11" s="614" t="n"/>
      <c r="K11" s="614" t="n"/>
      <c r="L11" s="614" t="n"/>
      <c r="M11" s="614" t="n"/>
      <c r="N11" s="613" t="n"/>
      <c r="O11" s="613" t="n"/>
      <c r="P11" s="613" t="n"/>
      <c r="Q11" s="613" t="n"/>
      <c r="R11" s="613" t="n"/>
      <c r="S11" s="613" t="n"/>
    </row>
    <row r="12" ht="15" customHeight="1" s="307">
      <c r="A12" s="613" t="n"/>
      <c r="B12" s="619" t="n"/>
      <c r="C12" s="619" t="n"/>
      <c r="D12" s="619" t="n"/>
      <c r="E12" s="619" t="n"/>
      <c r="F12" s="619" t="n"/>
      <c r="G12" s="619" t="n"/>
      <c r="H12" s="614" t="n"/>
      <c r="I12" s="614" t="n"/>
      <c r="J12" s="614" t="n"/>
      <c r="K12" s="614" t="n"/>
      <c r="L12" s="614" t="n"/>
      <c r="M12" s="614" t="n"/>
      <c r="N12" s="613" t="n"/>
      <c r="O12" s="613" t="n"/>
      <c r="P12" s="613" t="n"/>
      <c r="Q12" s="613" t="n"/>
      <c r="R12" s="613" t="n"/>
      <c r="S12" s="613" t="n"/>
    </row>
    <row r="13" ht="15" customHeight="1" s="307">
      <c r="A13" s="616" t="inlineStr">
        <is>
          <t>15Y DPI (LP MOIC)</t>
        </is>
      </c>
      <c r="B13" s="731" t="n"/>
      <c r="C13" s="731" t="n"/>
      <c r="D13" s="731" t="n"/>
      <c r="E13" s="684" t="n"/>
      <c r="F13" s="684" t="n"/>
      <c r="G13" s="684" t="n"/>
      <c r="H13" s="613" t="n"/>
      <c r="I13" s="613" t="n"/>
      <c r="J13" s="613" t="n"/>
      <c r="K13" s="613" t="n"/>
      <c r="L13" s="613" t="n"/>
      <c r="M13" s="613" t="n"/>
      <c r="N13" s="613" t="n"/>
      <c r="O13" s="613" t="n"/>
      <c r="P13" s="613" t="n"/>
      <c r="Q13" s="613" t="n"/>
      <c r="R13" s="613" t="n"/>
      <c r="S13" s="613" t="n"/>
    </row>
    <row r="14" ht="15" customHeight="1" s="307">
      <c r="A14" s="612" t="inlineStr">
        <is>
          <t>NDR</t>
        </is>
      </c>
      <c r="B14" s="697" t="inlineStr">
        <is>
          <t>No Recycle</t>
        </is>
      </c>
      <c r="C14" s="697" t="inlineStr">
        <is>
          <t>50% Recycle</t>
        </is>
      </c>
      <c r="D14" s="697" t="inlineStr">
        <is>
          <t>100% Recycle</t>
        </is>
      </c>
      <c r="E14" s="614" t="n"/>
      <c r="F14" s="614" t="n"/>
      <c r="G14" s="614" t="n"/>
      <c r="H14" s="614" t="n"/>
      <c r="I14" s="614" t="n"/>
      <c r="J14" s="614" t="n"/>
      <c r="K14" s="614" t="n"/>
      <c r="L14" s="614" t="n"/>
      <c r="M14" s="614" t="n"/>
      <c r="N14" s="613" t="n"/>
      <c r="O14" s="613" t="n"/>
      <c r="P14" s="613" t="n"/>
      <c r="Q14" s="613" t="n"/>
      <c r="R14" s="613" t="n"/>
      <c r="S14" s="613" t="n"/>
    </row>
    <row r="15" ht="15" customHeight="1" s="307">
      <c r="A15" s="732" t="n">
        <v>0.8</v>
      </c>
      <c r="B15" s="733" t="n">
        <v>1.63922232585255</v>
      </c>
      <c r="C15" s="733" t="n">
        <v>2.35591476169099</v>
      </c>
      <c r="D15" s="733" t="n">
        <v>2.42146062045142</v>
      </c>
      <c r="E15" s="614" t="n"/>
      <c r="F15" s="614" t="n"/>
      <c r="G15" s="614" t="n"/>
      <c r="H15" s="614" t="n"/>
      <c r="I15" s="614" t="n"/>
      <c r="J15" s="614" t="n"/>
      <c r="K15" s="614" t="n"/>
      <c r="L15" s="614" t="n"/>
      <c r="M15" s="614" t="n"/>
      <c r="N15" s="613" t="n"/>
      <c r="O15" s="613" t="n"/>
      <c r="P15" s="613" t="n"/>
      <c r="Q15" s="613" t="n"/>
      <c r="R15" s="613" t="n"/>
      <c r="S15" s="613" t="n"/>
    </row>
    <row r="16" ht="15" customHeight="1" s="307">
      <c r="A16" s="734" t="n">
        <v>0.85</v>
      </c>
      <c r="B16" s="735" t="n">
        <v>2.25691855455967</v>
      </c>
      <c r="C16" s="735" t="n">
        <v>3.30514413111596</v>
      </c>
      <c r="D16" s="735" t="n">
        <v>3.35952646701966</v>
      </c>
      <c r="E16" s="614" t="n"/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613" t="n"/>
      <c r="O16" s="613" t="n"/>
      <c r="P16" s="613" t="n"/>
      <c r="Q16" s="613" t="n"/>
      <c r="R16" s="613" t="n"/>
      <c r="S16" s="613" t="n"/>
    </row>
    <row r="17" ht="15" customHeight="1" s="307">
      <c r="A17" s="732" t="n">
        <v>0.9</v>
      </c>
      <c r="B17" s="733" t="n">
        <v>3.2106416699924</v>
      </c>
      <c r="C17" s="733" t="n">
        <v>4.7087100294346</v>
      </c>
      <c r="D17" s="733" t="n">
        <v>4.76701625360053</v>
      </c>
      <c r="E17" s="614" t="n"/>
      <c r="F17" s="614" t="n"/>
      <c r="G17" s="614" t="n"/>
      <c r="H17" s="614" t="n"/>
      <c r="I17" s="614" t="n"/>
      <c r="J17" s="614" t="n"/>
      <c r="K17" s="614" t="n"/>
      <c r="L17" s="614" t="n"/>
      <c r="M17" s="614" t="n"/>
      <c r="N17" s="613" t="n"/>
      <c r="O17" s="613" t="n"/>
      <c r="P17" s="613" t="n"/>
      <c r="Q17" s="613" t="n"/>
      <c r="R17" s="613" t="n"/>
      <c r="S17" s="613" t="n"/>
    </row>
    <row r="18" ht="15" customHeight="1" s="307">
      <c r="A18" s="736" t="n">
        <v>0.95</v>
      </c>
      <c r="B18" s="737" t="n">
        <v>4.69161951805881</v>
      </c>
      <c r="C18" s="737" t="n">
        <v>6.8262584662643</v>
      </c>
      <c r="D18" s="737" t="n">
        <v>6.92468451960258</v>
      </c>
      <c r="E18" s="614" t="n"/>
      <c r="F18" s="614" t="n"/>
      <c r="G18" s="614" t="n"/>
      <c r="H18" s="614" t="n"/>
      <c r="I18" s="614" t="n"/>
      <c r="J18" s="614" t="n"/>
      <c r="K18" s="614" t="n"/>
      <c r="L18" s="614" t="n"/>
      <c r="M18" s="614" t="n"/>
      <c r="N18" s="613" t="n"/>
      <c r="O18" s="613" t="n"/>
      <c r="P18" s="613" t="n"/>
      <c r="Q18" s="613" t="n"/>
      <c r="R18" s="613" t="n"/>
      <c r="S18" s="613" t="n"/>
    </row>
    <row r="19" ht="15" customHeight="1" s="307">
      <c r="A19" s="736" t="n">
        <v>1</v>
      </c>
      <c r="B19" s="737" t="n">
        <v>7.03228686048941</v>
      </c>
      <c r="C19" s="737" t="n">
        <v>10.0735725589772</v>
      </c>
      <c r="D19" s="737" t="n">
        <v>10.2844724144</v>
      </c>
      <c r="E19" s="614" t="n"/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613" t="n"/>
      <c r="O19" s="613" t="n"/>
      <c r="P19" s="613" t="n"/>
      <c r="Q19" s="613" t="n"/>
      <c r="R19" s="613" t="n"/>
      <c r="S19" s="613" t="n"/>
    </row>
    <row r="20" ht="15" customHeight="1" s="307">
      <c r="A20" s="684" t="n"/>
      <c r="B20" s="684" t="n"/>
      <c r="C20" s="684" t="n"/>
      <c r="D20" s="684" t="n"/>
      <c r="E20" s="614" t="n"/>
      <c r="F20" s="614" t="n"/>
      <c r="G20" s="614" t="n"/>
      <c r="H20" s="614" t="n"/>
      <c r="I20" s="614" t="n"/>
      <c r="J20" s="614" t="n"/>
      <c r="K20" s="614" t="n"/>
      <c r="L20" s="614" t="n"/>
      <c r="M20" s="614" t="n"/>
      <c r="N20" s="613" t="n"/>
      <c r="O20" s="613" t="n"/>
      <c r="P20" s="613" t="n"/>
      <c r="Q20" s="613" t="n"/>
      <c r="R20" s="613" t="n"/>
      <c r="S20" s="613" t="n"/>
    </row>
    <row r="21" ht="15" customHeight="1" s="307">
      <c r="A21" s="614" t="n"/>
      <c r="B21" s="614" t="n"/>
      <c r="C21" s="614" t="n"/>
      <c r="D21" s="614" t="n"/>
      <c r="E21" s="614" t="n"/>
      <c r="F21" s="614" t="n"/>
      <c r="G21" s="614" t="n"/>
      <c r="H21" s="614" t="n"/>
      <c r="I21" s="614" t="n"/>
      <c r="J21" s="614" t="n"/>
      <c r="K21" s="614" t="n"/>
      <c r="L21" s="614" t="n"/>
      <c r="M21" s="614" t="n"/>
      <c r="N21" s="613" t="n"/>
      <c r="O21" s="613" t="n"/>
      <c r="P21" s="613" t="n"/>
      <c r="Q21" s="613" t="n"/>
      <c r="R21" s="613" t="n"/>
      <c r="S21" s="613" t="n"/>
    </row>
    <row r="22" ht="15" customHeight="1" s="307">
      <c r="A22" s="616" t="inlineStr">
        <is>
          <t>10Y STAGED IRR</t>
        </is>
      </c>
      <c r="B22" s="738" t="n"/>
      <c r="C22" s="738" t="n"/>
      <c r="D22" s="738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3" t="n"/>
      <c r="R22" s="613" t="n"/>
      <c r="S22" s="613" t="n"/>
    </row>
    <row r="23" ht="15" customHeight="1" s="307">
      <c r="A23" s="612" t="inlineStr">
        <is>
          <t>NDR</t>
        </is>
      </c>
      <c r="B23" s="697" t="inlineStr">
        <is>
          <t>No Recycle</t>
        </is>
      </c>
      <c r="C23" s="697" t="inlineStr">
        <is>
          <t>50% Recycle</t>
        </is>
      </c>
      <c r="D23" s="697" t="inlineStr">
        <is>
          <t>100% Recycle</t>
        </is>
      </c>
      <c r="E23" s="614" t="n"/>
      <c r="F23" s="614" t="n"/>
      <c r="G23" s="614" t="n"/>
      <c r="H23" s="614" t="n"/>
      <c r="I23" s="614" t="n"/>
      <c r="J23" s="614" t="n"/>
      <c r="K23" s="614" t="n"/>
      <c r="L23" s="614" t="n"/>
      <c r="M23" s="614" t="n"/>
      <c r="N23" s="613" t="n"/>
      <c r="O23" s="613" t="n"/>
      <c r="P23" s="613" t="n"/>
      <c r="Q23" s="613" t="n"/>
      <c r="R23" s="613" t="n"/>
      <c r="S23" s="613" t="n"/>
    </row>
    <row r="24" ht="15" customHeight="1" s="307">
      <c r="A24" s="732" t="n">
        <v>0.8</v>
      </c>
      <c r="B24" s="739" t="n">
        <v>0.119685620358886</v>
      </c>
      <c r="C24" s="739" t="n">
        <v>0.125118699317771</v>
      </c>
      <c r="D24" s="739" t="n">
        <v>0.15142326450545</v>
      </c>
      <c r="E24" s="614" t="n"/>
      <c r="F24" s="614" t="n"/>
      <c r="G24" s="614" t="n"/>
      <c r="H24" s="614" t="n"/>
      <c r="I24" s="614" t="n"/>
      <c r="J24" s="614" t="n"/>
      <c r="K24" s="614" t="n"/>
      <c r="L24" s="614" t="n"/>
      <c r="M24" s="614" t="n"/>
      <c r="N24" s="613" t="n"/>
      <c r="O24" s="613" t="n"/>
      <c r="P24" s="613" t="n"/>
      <c r="Q24" s="613" t="n"/>
      <c r="R24" s="613" t="n"/>
      <c r="S24" s="613" t="n"/>
    </row>
    <row r="25" ht="15" customHeight="1" s="307">
      <c r="A25" s="734" t="n">
        <v>0.85</v>
      </c>
      <c r="B25" s="740" t="n">
        <v>0.170810589293701</v>
      </c>
      <c r="C25" s="740" t="n">
        <v>0.166136086488495</v>
      </c>
      <c r="D25" s="740" t="n">
        <v>0.196334794811012</v>
      </c>
      <c r="E25" s="614" t="n"/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613" t="n"/>
      <c r="O25" s="613" t="n"/>
      <c r="P25" s="613" t="n"/>
      <c r="Q25" s="613" t="n"/>
      <c r="R25" s="613" t="n"/>
      <c r="S25" s="613" t="n"/>
    </row>
    <row r="26" ht="15" customHeight="1" s="307">
      <c r="A26" s="732" t="n">
        <v>0.9</v>
      </c>
      <c r="B26" s="739" t="n">
        <v>0.22024281531696</v>
      </c>
      <c r="C26" s="739" t="n">
        <v>0.206979475299835</v>
      </c>
      <c r="D26" s="739" t="n">
        <v>0.240354046984388</v>
      </c>
      <c r="E26" s="614" t="n"/>
      <c r="F26" s="614" t="n"/>
      <c r="G26" s="614" t="n"/>
      <c r="H26" s="614" t="n"/>
      <c r="I26" s="614" t="n"/>
      <c r="J26" s="614" t="n"/>
      <c r="K26" s="614" t="n"/>
      <c r="L26" s="614" t="n"/>
      <c r="M26" s="614" t="n"/>
      <c r="N26" s="613" t="n"/>
      <c r="O26" s="613" t="n"/>
      <c r="P26" s="613" t="n"/>
      <c r="Q26" s="613" t="n"/>
      <c r="R26" s="613" t="n"/>
      <c r="S26" s="613" t="n"/>
    </row>
    <row r="27" ht="15" customHeight="1" s="307">
      <c r="A27" s="736" t="n">
        <v>0.95</v>
      </c>
      <c r="B27" s="741" t="n">
        <v>0.268470693020173</v>
      </c>
      <c r="C27" s="741" t="n">
        <v>0.247710992019884</v>
      </c>
      <c r="D27" s="741" t="n">
        <v>0.283992057804027</v>
      </c>
      <c r="E27" s="614" t="n"/>
      <c r="F27" s="614" t="n"/>
      <c r="G27" s="614" t="n"/>
      <c r="H27" s="614" t="n"/>
      <c r="I27" s="614" t="n"/>
      <c r="J27" s="614" t="n"/>
      <c r="K27" s="614" t="n"/>
      <c r="L27" s="614" t="n"/>
      <c r="M27" s="614" t="n"/>
      <c r="N27" s="613" t="n"/>
      <c r="O27" s="613" t="n"/>
      <c r="P27" s="613" t="n"/>
      <c r="Q27" s="613" t="n"/>
      <c r="R27" s="613" t="n"/>
      <c r="S27" s="613" t="n"/>
    </row>
    <row r="28" ht="15" customHeight="1" s="307">
      <c r="A28" s="736" t="n">
        <v>1</v>
      </c>
      <c r="B28" s="741" t="n">
        <v>0.315511189413438</v>
      </c>
      <c r="C28" s="741" t="n">
        <v>0.288207226349832</v>
      </c>
      <c r="D28" s="741" t="n">
        <v>0.327271277356969</v>
      </c>
      <c r="E28" s="614" t="n"/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613" t="n"/>
      <c r="O28" s="613" t="n"/>
      <c r="P28" s="613" t="n"/>
      <c r="Q28" s="613" t="n"/>
      <c r="R28" s="613" t="n"/>
      <c r="S28" s="613" t="n"/>
    </row>
    <row r="29" ht="15" customHeight="1" s="307">
      <c r="A29" s="684" t="n"/>
      <c r="B29" s="686" t="n"/>
      <c r="C29" s="686" t="n"/>
      <c r="D29" s="686" t="n"/>
      <c r="E29" s="614" t="n"/>
      <c r="F29" s="614" t="n"/>
      <c r="G29" s="614" t="n"/>
      <c r="H29" s="614" t="n"/>
      <c r="I29" s="614" t="n"/>
      <c r="J29" s="614" t="n"/>
      <c r="K29" s="614" t="n"/>
      <c r="L29" s="614" t="n"/>
      <c r="M29" s="614" t="n"/>
      <c r="N29" s="613" t="n"/>
      <c r="O29" s="613" t="n"/>
      <c r="P29" s="613" t="n"/>
      <c r="Q29" s="613" t="n"/>
      <c r="R29" s="613" t="n"/>
      <c r="S29" s="613" t="n"/>
    </row>
    <row r="30" ht="15" customHeight="1" s="307">
      <c r="A30" s="614" t="n"/>
      <c r="B30" s="614" t="n"/>
      <c r="C30" s="614" t="n"/>
      <c r="D30" s="614" t="n"/>
      <c r="E30" s="614" t="n"/>
      <c r="F30" s="614" t="n"/>
      <c r="G30" s="614" t="n"/>
      <c r="H30" s="614" t="n"/>
      <c r="I30" s="614" t="n"/>
      <c r="J30" s="614" t="n"/>
      <c r="K30" s="614" t="n"/>
      <c r="L30" s="614" t="n"/>
      <c r="M30" s="614" t="n"/>
      <c r="N30" s="613" t="n"/>
      <c r="O30" s="613" t="n"/>
      <c r="P30" s="613" t="n"/>
      <c r="Q30" s="613" t="n"/>
      <c r="R30" s="613" t="n"/>
      <c r="S30" s="613" t="n"/>
    </row>
    <row r="31" ht="15" customHeight="1" s="307">
      <c r="A31" s="616" t="inlineStr">
        <is>
          <t>15Y STAGED IRR</t>
        </is>
      </c>
      <c r="B31" s="738" t="n"/>
      <c r="C31" s="738" t="n"/>
      <c r="D31" s="738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</row>
    <row r="32" ht="15" customHeight="1" s="307">
      <c r="A32" s="612" t="inlineStr">
        <is>
          <t>NDR</t>
        </is>
      </c>
      <c r="B32" s="697" t="inlineStr">
        <is>
          <t>No Recycle</t>
        </is>
      </c>
      <c r="C32" s="697" t="inlineStr">
        <is>
          <t>50% Recycle</t>
        </is>
      </c>
      <c r="D32" s="697" t="inlineStr">
        <is>
          <t>100% Recycle</t>
        </is>
      </c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3" t="n"/>
      <c r="O32" s="613" t="n"/>
      <c r="P32" s="613" t="n"/>
      <c r="Q32" s="613" t="n"/>
      <c r="R32" s="613" t="n"/>
      <c r="S32" s="613" t="n"/>
    </row>
    <row r="33" ht="15" customHeight="1" s="307">
      <c r="A33" s="732" t="n">
        <v>0.8</v>
      </c>
      <c r="B33" s="739" t="n">
        <v>0.122908062947104</v>
      </c>
      <c r="C33" s="739" t="n">
        <v>0.138613217467012</v>
      </c>
      <c r="D33" s="739" t="n">
        <v>0.160511759793101</v>
      </c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3" t="n"/>
      <c r="O33" s="613" t="n"/>
      <c r="P33" s="613" t="n"/>
      <c r="Q33" s="613" t="n"/>
      <c r="R33" s="613" t="n"/>
      <c r="S33" s="613" t="n"/>
    </row>
    <row r="34" ht="15" customHeight="1" s="307">
      <c r="A34" s="734" t="n">
        <v>0.85</v>
      </c>
      <c r="B34" s="740" t="n">
        <v>0.18023696094279</v>
      </c>
      <c r="C34" s="740" t="n">
        <v>0.184716114404589</v>
      </c>
      <c r="D34" s="740" t="n">
        <v>0.209245672780707</v>
      </c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3" t="n"/>
      <c r="O34" s="613" t="n"/>
      <c r="P34" s="613" t="n"/>
      <c r="Q34" s="613" t="n"/>
      <c r="R34" s="613" t="n"/>
      <c r="S34" s="613" t="n"/>
    </row>
    <row r="35" ht="15" customHeight="1" s="307">
      <c r="A35" s="732" t="n">
        <v>0.9</v>
      </c>
      <c r="B35" s="739" t="n">
        <v>0.234267371819506</v>
      </c>
      <c r="C35" s="739" t="n">
        <v>0.229954961474031</v>
      </c>
      <c r="D35" s="739" t="n">
        <v>0.256739442633043</v>
      </c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3" t="n"/>
      <c r="O35" s="613" t="n"/>
      <c r="P35" s="613" t="n"/>
      <c r="Q35" s="613" t="n"/>
      <c r="R35" s="613" t="n"/>
      <c r="S35" s="613" t="n"/>
    </row>
    <row r="36" ht="15" customHeight="1" s="307">
      <c r="A36" s="736" t="n">
        <v>0.95</v>
      </c>
      <c r="B36" s="741" t="n">
        <v>0.286205909811351</v>
      </c>
      <c r="C36" s="741" t="n">
        <v>0.274811722976004</v>
      </c>
      <c r="D36" s="741" t="n">
        <v>0.303752367075508</v>
      </c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3" t="n"/>
      <c r="O36" s="613" t="n"/>
      <c r="P36" s="613" t="n"/>
      <c r="Q36" s="613" t="n"/>
      <c r="R36" s="613" t="n"/>
      <c r="S36" s="613" t="n"/>
    </row>
    <row r="37" ht="15" customHeight="1" s="307">
      <c r="A37" s="736" t="n">
        <v>1</v>
      </c>
      <c r="B37" s="741" t="n">
        <v>0.336640016606107</v>
      </c>
      <c r="C37" s="741" t="n">
        <v>0.319399551946616</v>
      </c>
      <c r="D37" s="741" t="n">
        <v>0.350443377634184</v>
      </c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3" t="n"/>
      <c r="O37" s="613" t="n"/>
      <c r="P37" s="613" t="n"/>
      <c r="Q37" s="613" t="n"/>
      <c r="R37" s="613" t="n"/>
      <c r="S37" s="613" t="n"/>
    </row>
    <row r="38" ht="15" customHeight="1" s="307">
      <c r="A38" s="684" t="n"/>
      <c r="B38" s="689" t="n"/>
      <c r="C38" s="689" t="n"/>
      <c r="D38" s="689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3" t="n"/>
      <c r="O38" s="613" t="n"/>
      <c r="P38" s="613" t="n"/>
      <c r="Q38" s="613" t="n"/>
      <c r="R38" s="613" t="n"/>
      <c r="S38" s="613" t="n"/>
    </row>
    <row r="39" ht="15" customHeight="1" s="307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3" t="n"/>
      <c r="O39" s="613" t="n"/>
      <c r="P39" s="613" t="n"/>
      <c r="Q39" s="613" t="n"/>
      <c r="R39" s="613" t="n"/>
      <c r="S39" s="613" t="n"/>
    </row>
    <row r="40" ht="15" customHeight="1" s="307">
      <c r="A40" s="613" t="n"/>
      <c r="B40" s="613" t="n"/>
      <c r="C40" s="613" t="n"/>
      <c r="D40" s="613" t="n"/>
      <c r="E40" s="613" t="n"/>
      <c r="F40" s="613" t="n"/>
      <c r="G40" s="613" t="n"/>
      <c r="H40" s="613" t="n"/>
      <c r="I40" s="613" t="n"/>
      <c r="J40" s="613" t="n"/>
      <c r="K40" s="613" t="n"/>
      <c r="L40" s="613" t="n"/>
      <c r="M40" s="613" t="n"/>
      <c r="N40" s="613" t="n"/>
      <c r="O40" s="613" t="n"/>
      <c r="P40" s="613" t="n"/>
      <c r="Q40" s="613" t="n"/>
      <c r="R40" s="613" t="n"/>
      <c r="S40" s="613" t="n"/>
    </row>
    <row r="41" ht="15" customHeight="1" s="307">
      <c r="A41" s="593" t="inlineStr">
        <is>
          <t>Base case = 85% NDR (highlighted). This is the curve; Tab 1 B136 selects which point the headline tabs feature.</t>
        </is>
      </c>
      <c r="B41" s="708" t="n"/>
      <c r="C41" s="708" t="n"/>
      <c r="D41" s="708" t="n"/>
      <c r="E41" s="614" t="n"/>
      <c r="F41" s="614" t="n"/>
      <c r="G41" s="614" t="n"/>
      <c r="H41" s="614" t="n"/>
      <c r="I41" s="614" t="n"/>
      <c r="J41" s="614" t="n"/>
      <c r="K41" s="614" t="n"/>
      <c r="L41" s="614" t="n"/>
      <c r="M41" s="614" t="n"/>
      <c r="N41" s="613" t="n"/>
      <c r="O41" s="613" t="n"/>
      <c r="P41" s="613" t="n"/>
      <c r="Q41" s="613" t="n"/>
      <c r="R41" s="613" t="n"/>
      <c r="S41" s="613" t="n"/>
    </row>
    <row r="42" ht="15" customHeight="1" s="307">
      <c r="A42" s="651" t="inlineStr">
        <is>
          <t>Verification: 80% row == engine at Bear, 85% == Base, 90% == Bull (see verifier).</t>
        </is>
      </c>
      <c r="B42" s="619" t="n"/>
      <c r="C42" s="619" t="n"/>
      <c r="D42" s="619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3" t="n"/>
      <c r="O42" s="613" t="n"/>
      <c r="P42" s="613" t="n"/>
      <c r="Q42" s="613" t="n"/>
      <c r="R42" s="613" t="n"/>
      <c r="S42" s="613" t="n"/>
    </row>
    <row r="43" ht="15" customHeight="1" s="307">
      <c r="A43" s="684" t="n"/>
      <c r="B43" s="619" t="n"/>
      <c r="C43" s="619" t="n"/>
      <c r="D43" s="619" t="n"/>
      <c r="E43" s="614" t="n"/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613" t="n"/>
      <c r="O43" s="613" t="n"/>
      <c r="P43" s="613" t="n"/>
      <c r="Q43" s="613" t="n"/>
      <c r="R43" s="613" t="n"/>
      <c r="S43" s="613" t="n"/>
    </row>
    <row r="44" ht="15" customHeight="1" s="307">
      <c r="A44" s="684" t="n"/>
      <c r="B44" s="619" t="n"/>
      <c r="C44" s="619" t="n"/>
      <c r="D44" s="619" t="n"/>
      <c r="E44" s="614" t="n"/>
      <c r="F44" s="614" t="n"/>
      <c r="G44" s="614" t="n"/>
      <c r="H44" s="614" t="n"/>
      <c r="I44" s="614" t="n"/>
      <c r="J44" s="614" t="n"/>
      <c r="K44" s="614" t="n"/>
      <c r="L44" s="614" t="n"/>
      <c r="M44" s="614" t="n"/>
      <c r="N44" s="613" t="n"/>
      <c r="O44" s="613" t="n"/>
      <c r="P44" s="613" t="n"/>
      <c r="Q44" s="613" t="n"/>
      <c r="R44" s="613" t="n"/>
      <c r="S44" s="613" t="n"/>
    </row>
    <row r="45" ht="15" customHeight="1" s="307">
      <c r="A45" s="742" t="n"/>
      <c r="B45" s="743" t="n"/>
      <c r="C45" s="743" t="n"/>
      <c r="D45" s="743" t="n"/>
      <c r="E45" s="743" t="n"/>
      <c r="F45" s="743" t="n"/>
      <c r="G45" s="743" t="n"/>
      <c r="H45" s="614" t="n"/>
      <c r="I45" s="614" t="n"/>
      <c r="J45" s="614" t="n"/>
      <c r="K45" s="614" t="n"/>
      <c r="L45" s="614" t="n"/>
      <c r="M45" s="614" t="n"/>
      <c r="N45" s="613" t="n"/>
      <c r="O45" s="613" t="n"/>
      <c r="P45" s="613" t="n"/>
      <c r="Q45" s="613" t="n"/>
      <c r="R45" s="613" t="n"/>
      <c r="S45" s="613" t="n"/>
    </row>
    <row r="46" ht="15" customHeight="1" s="307">
      <c r="A46" s="744" t="n"/>
      <c r="B46" s="745" t="n"/>
      <c r="C46" s="745" t="n"/>
      <c r="D46" s="745" t="n"/>
      <c r="E46" s="745" t="n"/>
      <c r="F46" s="745" t="n"/>
      <c r="G46" s="745" t="n"/>
      <c r="H46" s="614" t="n"/>
      <c r="I46" s="614" t="n"/>
      <c r="J46" s="614" t="n"/>
      <c r="K46" s="614" t="n"/>
      <c r="L46" s="614" t="n"/>
      <c r="M46" s="614" t="n"/>
      <c r="N46" s="613" t="n"/>
      <c r="O46" s="613" t="n"/>
      <c r="P46" s="613" t="n"/>
      <c r="Q46" s="613" t="n"/>
      <c r="R46" s="613" t="n"/>
      <c r="S46" s="613" t="n"/>
    </row>
    <row r="47" ht="15" customHeight="1" s="307">
      <c r="A47" s="744" t="n"/>
      <c r="B47" s="745" t="n"/>
      <c r="C47" s="745" t="n"/>
      <c r="D47" s="745" t="n"/>
      <c r="E47" s="745" t="n"/>
      <c r="F47" s="745" t="n"/>
      <c r="G47" s="745" t="n"/>
      <c r="H47" s="614" t="n"/>
      <c r="I47" s="614" t="n"/>
      <c r="J47" s="614" t="n"/>
      <c r="K47" s="614" t="n"/>
      <c r="L47" s="614" t="n"/>
      <c r="M47" s="614" t="n"/>
      <c r="N47" s="613" t="n"/>
      <c r="O47" s="613" t="n"/>
      <c r="P47" s="613" t="n"/>
      <c r="Q47" s="613" t="n"/>
      <c r="R47" s="613" t="n"/>
      <c r="S47" s="613" t="n"/>
    </row>
    <row r="48" ht="15" customHeight="1" s="307">
      <c r="A48" s="744" t="n"/>
      <c r="B48" s="745" t="n"/>
      <c r="C48" s="745" t="n"/>
      <c r="D48" s="745" t="n"/>
      <c r="E48" s="745" t="n"/>
      <c r="F48" s="745" t="n"/>
      <c r="G48" s="745" t="n"/>
      <c r="H48" s="614" t="n"/>
      <c r="I48" s="614" t="n"/>
      <c r="J48" s="614" t="n"/>
      <c r="K48" s="614" t="n"/>
      <c r="L48" s="614" t="n"/>
      <c r="M48" s="614" t="n"/>
      <c r="N48" s="613" t="n"/>
      <c r="O48" s="613" t="n"/>
      <c r="P48" s="613" t="n"/>
      <c r="Q48" s="613" t="n"/>
      <c r="R48" s="613" t="n"/>
      <c r="S48" s="613" t="n"/>
    </row>
    <row r="49" ht="15" customHeight="1" s="307">
      <c r="A49" s="744" t="n"/>
      <c r="B49" s="745" t="n"/>
      <c r="C49" s="745" t="n"/>
      <c r="D49" s="745" t="n"/>
      <c r="E49" s="745" t="n"/>
      <c r="F49" s="745" t="n"/>
      <c r="G49" s="745" t="n"/>
      <c r="H49" s="614" t="n"/>
      <c r="I49" s="614" t="n"/>
      <c r="J49" s="614" t="n"/>
      <c r="K49" s="614" t="n"/>
      <c r="L49" s="614" t="n"/>
      <c r="M49" s="614" t="n"/>
      <c r="N49" s="613" t="n"/>
      <c r="O49" s="613" t="n"/>
      <c r="P49" s="613" t="n"/>
      <c r="Q49" s="613" t="n"/>
      <c r="R49" s="613" t="n"/>
      <c r="S49" s="613" t="n"/>
    </row>
    <row r="50" ht="15" customHeight="1" s="307">
      <c r="A50" s="744" t="n"/>
      <c r="B50" s="745" t="n"/>
      <c r="C50" s="745" t="n"/>
      <c r="D50" s="745" t="n"/>
      <c r="E50" s="745" t="n"/>
      <c r="F50" s="745" t="n"/>
      <c r="G50" s="745" t="n"/>
      <c r="H50" s="614" t="n"/>
      <c r="I50" s="614" t="n"/>
      <c r="J50" s="614" t="n"/>
      <c r="K50" s="614" t="n"/>
      <c r="L50" s="614" t="n"/>
      <c r="M50" s="614" t="n"/>
      <c r="N50" s="614" t="n"/>
      <c r="O50" s="614" t="n"/>
      <c r="P50" s="614" t="n"/>
      <c r="Q50" s="614" t="n"/>
      <c r="R50" s="614" t="n"/>
      <c r="S50" s="614" t="n"/>
    </row>
    <row r="51" ht="15" customHeight="1" s="307">
      <c r="A51" s="744" t="n"/>
      <c r="B51" s="745" t="n"/>
      <c r="C51" s="745" t="n"/>
      <c r="D51" s="745" t="n"/>
      <c r="E51" s="745" t="n"/>
      <c r="F51" s="745" t="n"/>
      <c r="G51" s="745" t="n"/>
      <c r="H51" s="614" t="n"/>
      <c r="I51" s="614" t="n"/>
      <c r="J51" s="614" t="n"/>
      <c r="K51" s="614" t="n"/>
      <c r="L51" s="614" t="n"/>
      <c r="M51" s="614" t="n"/>
      <c r="N51" s="614" t="n"/>
      <c r="O51" s="614" t="n"/>
      <c r="P51" s="614" t="n"/>
      <c r="Q51" s="614" t="n"/>
      <c r="R51" s="614" t="n"/>
      <c r="S51" s="614" t="n"/>
    </row>
    <row r="52">
      <c r="A52" s="614" t="n"/>
      <c r="B52" s="614" t="n"/>
      <c r="C52" s="614" t="n"/>
      <c r="D52" s="614" t="n"/>
      <c r="E52" s="614" t="n"/>
      <c r="F52" s="614" t="n"/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614" t="n"/>
      <c r="P52" s="614" t="n"/>
      <c r="Q52" s="614" t="n"/>
      <c r="R52" s="614" t="n"/>
      <c r="S52" s="614" t="n"/>
    </row>
    <row r="53">
      <c r="A53" s="614" t="n"/>
      <c r="B53" s="614" t="n"/>
      <c r="C53" s="614" t="n"/>
      <c r="D53" s="614" t="n"/>
      <c r="E53" s="614" t="n"/>
      <c r="F53" s="614" t="n"/>
      <c r="G53" s="614" t="n"/>
      <c r="H53" s="614" t="n"/>
      <c r="I53" s="614" t="n"/>
      <c r="J53" s="614" t="n"/>
      <c r="K53" s="614" t="n"/>
      <c r="L53" s="614" t="n"/>
      <c r="M53" s="614" t="n"/>
      <c r="N53" s="614" t="n"/>
      <c r="O53" s="614" t="n"/>
      <c r="P53" s="614" t="n"/>
      <c r="Q53" s="614" t="n"/>
      <c r="R53" s="614" t="n"/>
      <c r="S53" s="614" t="n"/>
    </row>
    <row r="54" ht="15" customHeight="1" s="307">
      <c r="A54" s="613" t="n"/>
      <c r="B54" s="613" t="n"/>
      <c r="C54" s="613" t="n"/>
      <c r="D54" s="613" t="n"/>
      <c r="E54" s="613" t="n"/>
      <c r="F54" s="613" t="n"/>
      <c r="G54" s="613" t="n"/>
      <c r="H54" s="614" t="n"/>
      <c r="I54" s="614" t="n"/>
      <c r="J54" s="614" t="n"/>
      <c r="K54" s="614" t="n"/>
      <c r="L54" s="614" t="n"/>
      <c r="M54" s="614" t="n"/>
      <c r="N54" s="614" t="n"/>
      <c r="O54" s="614" t="n"/>
      <c r="P54" s="614" t="n"/>
      <c r="Q54" s="614" t="n"/>
      <c r="R54" s="614" t="n"/>
      <c r="S54" s="614" t="n"/>
    </row>
    <row r="55" ht="15" customHeight="1" s="307">
      <c r="A55" s="613" t="n"/>
      <c r="B55" s="614" t="n"/>
      <c r="C55" s="614" t="n"/>
      <c r="D55" s="614" t="n"/>
      <c r="E55" s="614" t="n"/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614" t="n"/>
      <c r="P55" s="614" t="n"/>
      <c r="Q55" s="614" t="n"/>
      <c r="R55" s="614" t="n"/>
      <c r="S55" s="614" t="n"/>
    </row>
    <row r="56" ht="15" customHeight="1" s="307">
      <c r="A56" s="613" t="n"/>
      <c r="B56" s="708" t="n"/>
      <c r="C56" s="708" t="n"/>
      <c r="D56" s="708" t="n"/>
      <c r="E56" s="708" t="n"/>
      <c r="F56" s="614" t="n"/>
      <c r="G56" s="614" t="n"/>
      <c r="H56" s="614" t="n"/>
      <c r="I56" s="614" t="n"/>
      <c r="J56" s="614" t="n"/>
      <c r="K56" s="614" t="n"/>
      <c r="L56" s="614" t="n"/>
      <c r="M56" s="614" t="n"/>
      <c r="N56" s="614" t="n"/>
      <c r="O56" s="614" t="n"/>
      <c r="P56" s="614" t="n"/>
      <c r="Q56" s="614" t="n"/>
      <c r="R56" s="614" t="n"/>
      <c r="S56" s="614" t="n"/>
    </row>
    <row r="57" ht="15" customHeight="1" s="307">
      <c r="A57" s="684" t="n"/>
      <c r="B57" s="708" t="n"/>
      <c r="C57" s="708" t="n"/>
      <c r="D57" s="708" t="n"/>
      <c r="E57" s="708" t="n"/>
      <c r="F57" s="614" t="n"/>
      <c r="G57" s="614" t="n"/>
      <c r="H57" s="614" t="n"/>
      <c r="I57" s="614" t="n"/>
      <c r="J57" s="614" t="n"/>
      <c r="K57" s="614" t="n"/>
      <c r="L57" s="614" t="n"/>
      <c r="M57" s="614" t="n"/>
      <c r="N57" s="614" t="n"/>
      <c r="O57" s="614" t="n"/>
      <c r="P57" s="614" t="n"/>
      <c r="Q57" s="614" t="n"/>
      <c r="R57" s="614" t="n"/>
      <c r="S57" s="614" t="n"/>
    </row>
    <row r="58" ht="15" customHeight="1" s="307">
      <c r="A58" s="684" t="n"/>
      <c r="B58" s="708" t="n"/>
      <c r="C58" s="708" t="n"/>
      <c r="D58" s="708" t="n"/>
      <c r="E58" s="708" t="n"/>
      <c r="F58" s="614" t="n"/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614" t="n"/>
      <c r="P58" s="614" t="n"/>
      <c r="Q58" s="614" t="n"/>
      <c r="R58" s="614" t="n"/>
      <c r="S58" s="614" t="n"/>
    </row>
    <row r="59" ht="15" customHeight="1" s="307">
      <c r="A59" s="684" t="n"/>
      <c r="B59" s="708" t="n"/>
      <c r="C59" s="708" t="n"/>
      <c r="D59" s="708" t="n"/>
      <c r="E59" s="708" t="n"/>
      <c r="F59" s="614" t="n"/>
      <c r="G59" s="614" t="n"/>
      <c r="H59" s="614" t="n"/>
      <c r="I59" s="614" t="n"/>
      <c r="J59" s="614" t="n"/>
      <c r="K59" s="614" t="n"/>
      <c r="L59" s="614" t="n"/>
      <c r="M59" s="614" t="n"/>
      <c r="N59" s="614" t="n"/>
      <c r="O59" s="614" t="n"/>
      <c r="P59" s="614" t="n"/>
      <c r="Q59" s="614" t="n"/>
      <c r="R59" s="614" t="n"/>
      <c r="S59" s="614" t="n"/>
    </row>
    <row r="60" ht="15" customHeight="1" s="307">
      <c r="A60" s="684" t="n"/>
      <c r="B60" s="708" t="n"/>
      <c r="C60" s="708" t="n"/>
      <c r="D60" s="708" t="n"/>
      <c r="E60" s="708" t="n"/>
      <c r="F60" s="614" t="n"/>
      <c r="G60" s="614" t="n"/>
      <c r="H60" s="614" t="n"/>
      <c r="I60" s="614" t="n"/>
      <c r="J60" s="614" t="n"/>
      <c r="K60" s="614" t="n"/>
      <c r="L60" s="614" t="n"/>
      <c r="M60" s="614" t="n"/>
      <c r="N60" s="614" t="n"/>
      <c r="O60" s="614" t="n"/>
      <c r="P60" s="614" t="n"/>
      <c r="Q60" s="614" t="n"/>
      <c r="R60" s="614" t="n"/>
      <c r="S60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Year-10 exit sensitivity. Year-10 ARR and 10Y cash are live from _Engine_NR (active scenario).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>
        <f>'_Engine_NR'!$K$150</f>
        <v/>
      </c>
      <c r="C5" s="354">
        <f>'_Engine_NR'!$K$150</f>
        <v/>
      </c>
      <c r="D5" s="354">
        <f>'_Engine_NR'!$K$150</f>
        <v/>
      </c>
      <c r="E5" s="354">
        <f>'_Engine_NR'!$K$150</f>
        <v/>
      </c>
      <c r="F5" s="354">
        <f>'_Engine_NR'!$K$150</f>
        <v/>
      </c>
    </row>
    <row r="6" ht="15" customHeight="1" s="307">
      <c r="A6" s="322" t="inlineStr">
        <is>
          <t>Exit Proceeds ($mm)</t>
        </is>
      </c>
      <c r="B6" s="570">
        <f>B5*B4</f>
        <v/>
      </c>
      <c r="C6" s="570">
        <f>C5*C4</f>
        <v/>
      </c>
      <c r="D6" s="570">
        <f>D5*D4</f>
        <v/>
      </c>
      <c r="E6" s="570">
        <f>E5*E4</f>
        <v/>
      </c>
      <c r="F6" s="570">
        <f>F5*F4</f>
        <v/>
      </c>
    </row>
    <row r="7" ht="15" customHeight="1" s="307">
      <c r="A7" s="321" t="inlineStr">
        <is>
          <t>10Y Cash Distributions ($mm)</t>
        </is>
      </c>
      <c r="B7" s="354">
        <f>'_Engine_NR'!$B$253</f>
        <v/>
      </c>
      <c r="C7" s="354">
        <f>'_Engine_NR'!$B$253</f>
        <v/>
      </c>
      <c r="D7" s="354">
        <f>'_Engine_NR'!$B$253</f>
        <v/>
      </c>
      <c r="E7" s="354">
        <f>'_Engine_NR'!$B$253</f>
        <v/>
      </c>
      <c r="F7" s="354">
        <f>'_Engine_NR'!$B$253</f>
        <v/>
      </c>
    </row>
    <row r="8" ht="15" customHeight="1" s="307">
      <c r="A8" s="322" t="inlineStr">
        <is>
          <t>Total LP Value ($mm)</t>
        </is>
      </c>
      <c r="B8" s="570">
        <f>B6+B7</f>
        <v/>
      </c>
      <c r="C8" s="570">
        <f>C6+C7</f>
        <v/>
      </c>
      <c r="D8" s="570">
        <f>D6+D7</f>
        <v/>
      </c>
      <c r="E8" s="570">
        <f>E6+E7</f>
        <v/>
      </c>
      <c r="F8" s="570">
        <f>F6+F7</f>
        <v/>
      </c>
    </row>
    <row r="9" ht="15" customHeight="1" s="307">
      <c r="A9" s="322" t="inlineStr">
        <is>
          <t>Total LP MOIC (vs fund size)</t>
        </is>
      </c>
      <c r="B9" s="503">
        <f>B8/('1. Press Assumptions'!$B$5/1000000)</f>
        <v/>
      </c>
      <c r="C9" s="503">
        <f>C8/('1. Press Assumptions'!$B$5/1000000)</f>
        <v/>
      </c>
      <c r="D9" s="503">
        <f>D8/('1. Press Assumptions'!$B$5/1000000)</f>
        <v/>
      </c>
      <c r="E9" s="503">
        <f>E8/('1. Press Assumptions'!$B$5/1000000)</f>
        <v/>
      </c>
      <c r="F9" s="503">
        <f>F8/('1. Press Assumptions'!$B$5/1000000)</f>
        <v/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 (anchored to engine base)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Base case ties exactly to _Engine_NR 15Y DPI. Downside scenarios are closed-form haircuts scaled to that base.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 t="inlineStr">
        <is>
          <t>Base row is engine-exact; downside rows are engine-anchored closed-form haircuts (illustrative).</t>
        </is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  <c r="J5" s="615" t="inlineStr">
        <is>
          <t>anchor scaler</t>
        </is>
      </c>
      <c r="K5" s="615" t="inlineStr">
        <is>
          <t>raw closed-form (helper)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K6*$J$6</f>
        <v/>
      </c>
      <c r="G6" s="662">
        <f>F6*('1. Press Assumptions'!$B$5/1000000)</f>
        <v/>
      </c>
      <c r="H6" s="638" t="inlineStr">
        <is>
          <t>NDR + margin from Tab 1; no zero deals; 2x exit.</t>
        </is>
      </c>
      <c r="J6" s="306">
        <f>'_Engine_NR'!$B$252/K6</f>
        <v/>
      </c>
      <c r="K6" s="306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K7*$J$6</f>
        <v/>
      </c>
      <c r="G7" s="662">
        <f>F7*('1. Press Assumptions'!$B$5/1000000)</f>
        <v/>
      </c>
      <c r="H7" s="638" t="inlineStr">
        <is>
          <t>NDR drops to 80%; everything else unchanged.</t>
        </is>
      </c>
      <c r="K7" s="306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K8*$J$6</f>
        <v/>
      </c>
      <c r="G8" s="662">
        <f>F8*('1. Press Assumptions'!$B$5/1000000)</f>
        <v/>
      </c>
      <c r="H8" s="638" t="inlineStr">
        <is>
          <t>NDR drops to 75%.</t>
        </is>
      </c>
      <c r="K8" s="306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K9*$J$6</f>
        <v/>
      </c>
      <c r="G9" s="662">
        <f>F9*('1. Press Assumptions'!$B$5/1000000)</f>
        <v/>
      </c>
      <c r="H9" s="638" t="inlineStr">
        <is>
          <t>Margin cap drops to 55% (deals leak vs underwriting).</t>
        </is>
      </c>
      <c r="K9" s="306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K10*$J$6</f>
        <v/>
      </c>
      <c r="G10" s="662">
        <f>F10*('1. Press Assumptions'!$B$5/1000000)</f>
        <v/>
      </c>
      <c r="H10" s="638" t="inlineStr">
        <is>
          <t>One deal returns nothing; portfolio = 4 deals at $24M ARR.</t>
        </is>
      </c>
      <c r="K10" s="306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</row>
    <row r="11" ht="15" customHeight="1" s="307">
      <c r="A11" s="321" t="inlineStr">
        <is>
          <t>No exit premium (1x ARR)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K11*$J$6</f>
        <v/>
      </c>
      <c r="G11" s="662">
        <f>F11*('1. Press Assumptions'!$B$5/1000000)</f>
        <v/>
      </c>
      <c r="H11" s="638" t="inlineStr">
        <is>
          <t>1x ARR exit -- buyer pays book; no premium for cash flow capture.</t>
        </is>
      </c>
      <c r="K11" s="306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K12*$J$6</f>
        <v/>
      </c>
      <c r="G12" s="662">
        <f>F12*('1. Press Assumptions'!$B$5/1000000)</f>
        <v/>
      </c>
      <c r="H12" s="638" t="inlineStr">
        <is>
          <t>NDR 80% + margin 55% + 1 write-off + 1.5x exit.</t>
        </is>
      </c>
      <c r="K12" s="306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K13*$J$6</f>
        <v/>
      </c>
      <c r="G13" s="662">
        <f>F13*('1. Press Assumptions'!$B$5/1000000)</f>
        <v/>
      </c>
      <c r="H13" s="638" t="inlineStr">
        <is>
          <t>NDR 70% + margin 45% + 2 write-offs + 1x exit.</t>
        </is>
      </c>
      <c r="K13" s="306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(mgmt fee + carry only -- excludes team comp &amp; bonus pool)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>
        <f>'_Engine_NR'!$B$251</f>
        <v/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751" t="inlineStr">
        <is>
          <t>INPUT / reference — funnel &amp; timeline assumptions. Not an engine output.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 (live; No Recycle, active scenario)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>
        <f>'_Engine_NR'!$B$254*5</f>
        <v/>
      </c>
      <c r="C11" s="354">
        <f>'_Engine_NR'!$B$252*5</f>
        <v/>
      </c>
      <c r="D11" s="441">
        <f>'_Engine_NR'!$B$252</f>
        <v/>
      </c>
    </row>
    <row r="12" ht="15" customHeight="1" s="307">
      <c r="A12" s="394" t="inlineStr">
        <is>
          <t>$10mm</t>
        </is>
      </c>
      <c r="B12" s="354">
        <f>'_Engine_NR'!$B$254*10</f>
        <v/>
      </c>
      <c r="C12" s="354">
        <f>'_Engine_NR'!$B$252*10</f>
        <v/>
      </c>
      <c r="D12" s="441">
        <f>'_Engine_NR'!$B$252</f>
        <v/>
      </c>
    </row>
    <row r="13" ht="15" customHeight="1" s="307">
      <c r="A13" s="394" t="inlineStr">
        <is>
          <t>$15mm</t>
        </is>
      </c>
      <c r="B13" s="354">
        <f>'_Engine_NR'!$B$254*15</f>
        <v/>
      </c>
      <c r="C13" s="354">
        <f>'_Engine_NR'!$B$252*15</f>
        <v/>
      </c>
      <c r="D13" s="441">
        <f>'_Engine_NR'!$B$252</f>
        <v/>
      </c>
    </row>
    <row r="14" ht="15" customHeight="1" s="307">
      <c r="A14" s="394" t="inlineStr">
        <is>
          <t>$20mm</t>
        </is>
      </c>
      <c r="B14" s="354">
        <f>'_Engine_NR'!$B$254*20</f>
        <v/>
      </c>
      <c r="C14" s="354">
        <f>'_Engine_NR'!$B$252*20</f>
        <v/>
      </c>
      <c r="D14" s="441">
        <f>'_Engine_NR'!$B$252</f>
        <v/>
      </c>
    </row>
    <row r="15" ht="15" customHeight="1" s="307">
      <c r="A15" s="394" t="inlineStr">
        <is>
          <t>$25mm</t>
        </is>
      </c>
      <c r="B15" s="354">
        <f>'_Engine_NR'!$B$254*25</f>
        <v/>
      </c>
      <c r="C15" s="354">
        <f>'_Engine_NR'!$B$252*25</f>
        <v/>
      </c>
      <c r="D15" s="441">
        <f>'_Engine_NR'!$B$252</f>
        <v/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>
        <f>'1. Press Assumptions'!$B$5/1000000</f>
        <v/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base deals; recycled funded from retained cash)</t>
        </is>
      </c>
      <c r="B9" s="625">
        <f>SUMPRODUCT('1. Press Assumptions'!$D$89:$D$93,'1. Press Assumptions'!$E$89:$E$93)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(5 base deals, 50% share)</t>
        </is>
      </c>
      <c r="B10" s="619">
        <f>-5*'1. Press Assumptions'!$B$103*'1. Press Assumptions'!$B$110*0.5/1000000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751" t="inlineStr">
        <is>
          <t>INPUT — role salary schedule. This loaded total ($7,637K/yr) DRIVES engine team comp (via Tab 26 row 28).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  <row r="29">
      <c r="A29" s="615" t="inlineStr">
        <is>
          <t>Total loaded = base x 1.30 (30% fully-weighted overhead).</t>
        </is>
      </c>
    </row>
    <row r="30">
      <c r="A30" s="615" t="inlineStr">
        <is>
          <t>Engine team comp = this total, ramped (Y1 45%, Y2 99%, Y3+ 100%). See Tab 26 row 28.</t>
        </is>
      </c>
    </row>
    <row r="31">
      <c r="A31" s="61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  (LIVE from _Engine_R100)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Retained cash and recycled deployment are live. Recycled deals close M24/28/32/36.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>
        <f>SUM('_Engine_R100'!Y31:Y33)</f>
        <v/>
      </c>
      <c r="C5" s="354">
        <f>SUM('_Engine_R100'!Y34:Y36)</f>
        <v/>
      </c>
      <c r="D5" s="354">
        <f>SUM('_Engine_R100'!Y37:Y39)</f>
        <v/>
      </c>
      <c r="E5" s="354">
        <f>SUM('_Engine_R100'!Y40:Y42)</f>
        <v/>
      </c>
      <c r="F5" s="354">
        <f>SUM('_Engine_R100'!Y43:Y45)</f>
        <v/>
      </c>
      <c r="G5" s="354">
        <f>SUM('_Engine_R100'!Y46:Y48)</f>
        <v/>
      </c>
      <c r="H5" s="354">
        <f>SUM('_Engine_R100'!Y49:Y51)</f>
        <v/>
      </c>
      <c r="I5" s="354">
        <f>SUM('_Engine_R100'!Y52:Y54)</f>
        <v/>
      </c>
      <c r="J5" s="354">
        <f>SUM('_Engine_R100'!Y55:Y57)</f>
        <v/>
      </c>
      <c r="K5" s="354">
        <f>SUM('_Engine_R100'!Y58:Y60)</f>
        <v/>
      </c>
      <c r="L5" s="354">
        <f>SUM('_Engine_R100'!Y61:Y63)</f>
        <v/>
      </c>
      <c r="M5" s="354">
        <f>SUM('_Engine_R100'!Y64:Y66)</f>
        <v/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>
        <f>SUMPRODUCT(('1. Press Assumptions'!$K$101:$K$104&gt;=1)*('1. Press Assumptions'!$K$101:$K$104&lt;=3)*('1. Press Assumptions'!$D$101:$D$104*'1. Press Assumptions'!$E$101:$E$104))</f>
        <v/>
      </c>
      <c r="C6" s="354">
        <f>SUMPRODUCT(('1. Press Assumptions'!$K$101:$K$104&gt;=4)*('1. Press Assumptions'!$K$101:$K$104&lt;=6)*('1. Press Assumptions'!$D$101:$D$104*'1. Press Assumptions'!$E$101:$E$104))</f>
        <v/>
      </c>
      <c r="D6" s="354">
        <f>SUMPRODUCT(('1. Press Assumptions'!$K$101:$K$104&gt;=7)*('1. Press Assumptions'!$K$101:$K$104&lt;=9)*('1. Press Assumptions'!$D$101:$D$104*'1. Press Assumptions'!$E$101:$E$104))</f>
        <v/>
      </c>
      <c r="E6" s="354">
        <f>SUMPRODUCT(('1. Press Assumptions'!$K$101:$K$104&gt;=10)*('1. Press Assumptions'!$K$101:$K$104&lt;=12)*('1. Press Assumptions'!$D$101:$D$104*'1. Press Assumptions'!$E$101:$E$104))</f>
        <v/>
      </c>
      <c r="F6" s="354">
        <f>SUMPRODUCT(('1. Press Assumptions'!$K$101:$K$104&gt;=13)*('1. Press Assumptions'!$K$101:$K$104&lt;=15)*('1. Press Assumptions'!$D$101:$D$104*'1. Press Assumptions'!$E$101:$E$104))</f>
        <v/>
      </c>
      <c r="G6" s="354">
        <f>SUMPRODUCT(('1. Press Assumptions'!$K$101:$K$104&gt;=16)*('1. Press Assumptions'!$K$101:$K$104&lt;=18)*('1. Press Assumptions'!$D$101:$D$104*'1. Press Assumptions'!$E$101:$E$104))</f>
        <v/>
      </c>
      <c r="H6" s="354">
        <f>SUMPRODUCT(('1. Press Assumptions'!$K$101:$K$104&gt;=19)*('1. Press Assumptions'!$K$101:$K$104&lt;=21)*('1. Press Assumptions'!$D$101:$D$104*'1. Press Assumptions'!$E$101:$E$104))</f>
        <v/>
      </c>
      <c r="I6" s="354">
        <f>SUMPRODUCT(('1. Press Assumptions'!$K$101:$K$104&gt;=22)*('1. Press Assumptions'!$K$101:$K$104&lt;=24)*('1. Press Assumptions'!$D$101:$D$104*'1. Press Assumptions'!$E$101:$E$104))</f>
        <v/>
      </c>
      <c r="J6" s="354">
        <f>SUMPRODUCT(('1. Press Assumptions'!$K$101:$K$104&gt;=25)*('1. Press Assumptions'!$K$101:$K$104&lt;=27)*('1. Press Assumptions'!$D$101:$D$104*'1. Press Assumptions'!$E$101:$E$104))</f>
        <v/>
      </c>
      <c r="K6" s="354">
        <f>SUMPRODUCT(('1. Press Assumptions'!$K$101:$K$104&gt;=28)*('1. Press Assumptions'!$K$101:$K$104&lt;=30)*('1. Press Assumptions'!$D$101:$D$104*'1. Press Assumptions'!$E$101:$E$104))</f>
        <v/>
      </c>
      <c r="L6" s="354">
        <f>SUMPRODUCT(('1. Press Assumptions'!$K$101:$K$104&gt;=31)*('1. Press Assumptions'!$K$101:$K$104&lt;=33)*('1. Press Assumptions'!$D$101:$D$104*'1. Press Assumptions'!$E$101:$E$104))</f>
        <v/>
      </c>
      <c r="M6" s="354">
        <f>SUMPRODUCT(('1. Press Assumptions'!$K$101:$K$104&gt;=34)*('1. Press Assumptions'!$K$101:$K$104&lt;=36)*('1. Press Assumptions'!$D$101:$D$104*'1. Press Assumptions'!$E$101:$E$104))</f>
        <v/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>
        <f>B5-B6</f>
        <v/>
      </c>
      <c r="C7" s="588">
        <f>B7+C5-C6</f>
        <v/>
      </c>
      <c r="D7" s="588">
        <f>C7+D5-D6</f>
        <v/>
      </c>
      <c r="E7" s="588">
        <f>D7+E5-E6</f>
        <v/>
      </c>
      <c r="F7" s="571">
        <f>E7+F5-F6</f>
        <v/>
      </c>
      <c r="G7" s="571">
        <f>F7+G5-G6</f>
        <v/>
      </c>
      <c r="H7" s="571">
        <f>G7+H5-H6</f>
        <v/>
      </c>
      <c r="I7" s="571">
        <f>H7+I5-I6</f>
        <v/>
      </c>
      <c r="J7" s="571">
        <f>I7+J5-J6</f>
        <v/>
      </c>
      <c r="K7" s="571">
        <f>J7+K5-K6</f>
        <v/>
      </c>
      <c r="L7" s="571">
        <f>K7+L5-L6</f>
        <v/>
      </c>
      <c r="M7" s="571">
        <f>L7+M5-M6</f>
        <v/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3">
      <c r="A3" s="641" t="inlineStr">
        <is>
          <t>INPUT — row 28 "Total Loaded" feeds the engines (D28:R28). Now DERIVED from Tab 23 role schedule (loaded) with hiring ramp.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>
        <f>D28/1.3</f>
        <v/>
      </c>
      <c r="E27" s="590">
        <f>E28/1.3</f>
        <v/>
      </c>
      <c r="F27" s="590">
        <f>F28/1.3</f>
        <v/>
      </c>
      <c r="G27" s="590">
        <f>G28/1.3</f>
        <v/>
      </c>
      <c r="H27" s="590">
        <f>H28/1.3</f>
        <v/>
      </c>
      <c r="I27" s="590">
        <f>I28/1.3</f>
        <v/>
      </c>
      <c r="J27" s="590">
        <f>J28/1.3</f>
        <v/>
      </c>
      <c r="K27" s="590">
        <f>K28/1.3</f>
        <v/>
      </c>
      <c r="L27" s="590">
        <f>L28/1.3</f>
        <v/>
      </c>
      <c r="M27" s="590">
        <f>M28/1.3</f>
        <v/>
      </c>
      <c r="N27" s="590">
        <f>N28/1.3</f>
        <v/>
      </c>
      <c r="O27" s="590">
        <f>O28/1.3</f>
        <v/>
      </c>
      <c r="P27" s="590">
        <f>P28/1.3</f>
        <v/>
      </c>
      <c r="Q27" s="590">
        <f>Q28/1.3</f>
        <v/>
      </c>
      <c r="R27" s="590">
        <f>R28/1.3</f>
        <v/>
      </c>
    </row>
    <row r="28" ht="15" customHeight="1" s="307">
      <c r="A28" s="321" t="inlineStr">
        <is>
          <t>Total Loaded (+ 30%)</t>
        </is>
      </c>
      <c r="D28" s="590">
        <f>0.4527*'23. Fund OpBudget'!$C$27</f>
        <v/>
      </c>
      <c r="E28" s="590">
        <f>0.9947*'23. Fund OpBudget'!$C$27</f>
        <v/>
      </c>
      <c r="F28" s="590">
        <f>'23. Fund OpBudget'!$C$27</f>
        <v/>
      </c>
      <c r="G28" s="590">
        <f>'23. Fund OpBudget'!$C$27</f>
        <v/>
      </c>
      <c r="H28" s="590">
        <f>'23. Fund OpBudget'!$C$27</f>
        <v/>
      </c>
      <c r="I28" s="590">
        <f>'23. Fund OpBudget'!$C$27</f>
        <v/>
      </c>
      <c r="J28" s="590">
        <f>'23. Fund OpBudget'!$C$27</f>
        <v/>
      </c>
      <c r="K28" s="590">
        <f>'23. Fund OpBudget'!$C$27</f>
        <v/>
      </c>
      <c r="L28" s="590">
        <f>'23. Fund OpBudget'!$C$27</f>
        <v/>
      </c>
      <c r="M28" s="590">
        <f>'23. Fund OpBudget'!$C$27</f>
        <v/>
      </c>
      <c r="N28" s="590">
        <f>'23. Fund OpBudget'!$C$27</f>
        <v/>
      </c>
      <c r="O28" s="590">
        <f>'23. Fund OpBudget'!$C$27</f>
        <v/>
      </c>
      <c r="P28" s="590">
        <f>'23. Fund OpBudget'!$C$27</f>
        <v/>
      </c>
      <c r="Q28" s="590">
        <f>'23. Fund OpBudget'!$C$27</f>
        <v/>
      </c>
      <c r="R28" s="590">
        <f>'23. Fund OpBudget'!$C$27</f>
        <v/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1">
      <c r="A31" s="706" t="inlineStr">
        <is>
          <t>RECONCILED: steady-state = Tab 23 loaded total ($7,637K/yr). Y1=45%, Y2=99% ramp (CEO/CFO pre-deal, full team by M16).</t>
        </is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26" customWidth="1" style="307" min="1" max="1"/>
    <col width="52" customWidth="1" style="307" min="2" max="2"/>
    <col width="50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TRACK RECORD + COMMIT (PARTIAL)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  <row r="25">
      <c r="A25" s="642" t="inlineStr">
        <is>
          <t>TRACK RECORD (GP-DISCLOSED)</t>
        </is>
      </c>
    </row>
    <row r="26">
      <c r="A26" s="628" t="inlineStr">
        <is>
          <t>Prior deals</t>
        </is>
      </c>
      <c r="B26" s="706" t="inlineStr">
        <is>
          <t>3 deals completed</t>
        </is>
      </c>
      <c r="C26" s="615" t="inlineStr">
        <is>
          <t>Need: outcome detail per deal, hold period, exit type</t>
        </is>
      </c>
    </row>
    <row r="27">
      <c r="A27" s="628" t="inlineStr">
        <is>
          <t>Most recent IRR</t>
        </is>
      </c>
      <c r="B27" s="706" t="inlineStr">
        <is>
          <t>36% (GP-stated)</t>
        </is>
      </c>
      <c r="C27" s="615" t="inlineStr">
        <is>
          <t>Need: realized vs projected, gross vs net, cash flow detail</t>
        </is>
      </c>
    </row>
    <row r="28">
      <c r="A28" s="628" t="inlineStr">
        <is>
          <t>Operating track record</t>
        </is>
      </c>
      <c r="B28" s="706" t="inlineStr">
        <is>
          <t>3 years at 75% net margin</t>
        </is>
      </c>
      <c r="C28" s="615" t="inlineStr">
        <is>
          <t>Need: which company, scale, audited financials</t>
        </is>
      </c>
    </row>
    <row r="29">
      <c r="A29" s="628" t="inlineStr">
        <is>
          <t>GP commit</t>
        </is>
      </c>
      <c r="B29" s="706" t="inlineStr">
        <is>
          <t>1% of fund = $1.5M</t>
        </is>
      </c>
      <c r="C29" s="615" t="inlineStr">
        <is>
          <t>Below market norm 2-5%; carry/commit ratio = 32x</t>
        </is>
      </c>
    </row>
    <row r="31">
      <c r="A31" s="642" t="inlineStr">
        <is>
          <t>RECYCLING PROVISIONS (50% RECYCLE STRUCTURE)</t>
        </is>
      </c>
      <c r="B31" s="650" t="n"/>
      <c r="C31" s="650" t="n"/>
      <c r="D31" s="650" t="n"/>
      <c r="E31" s="650" t="n"/>
    </row>
    <row r="32">
      <c r="A32" s="757" t="inlineStr">
        <is>
          <t>Provision</t>
        </is>
      </c>
      <c r="B32" s="757" t="inlineStr">
        <is>
          <t>Term</t>
        </is>
      </c>
      <c r="C32" s="757" t="inlineStr">
        <is>
          <t>Market reference / notes</t>
        </is>
      </c>
    </row>
    <row r="33" ht="42" customHeight="1" s="307">
      <c r="A33" s="635" t="inlineStr">
        <is>
          <t>Recycling window</t>
        </is>
      </c>
      <c r="B33" s="636" t="inlineStr">
        <is>
          <t>Investment Period only (Years 1-5). No recycling after IP ends; all proceeds distributed.</t>
        </is>
      </c>
      <c r="C33" s="638" t="inlineStr">
        <is>
          <t>Standard. The master trigger — recycling permitted solely during the commitment/investment period.</t>
        </is>
      </c>
    </row>
    <row r="34" ht="42" customHeight="1" s="307">
      <c r="A34" s="635" t="inlineStr">
        <is>
          <t>What may be recycled</t>
        </is>
      </c>
      <c r="B34" s="636" t="inlineStr">
        <is>
          <t>50% of OpCo operating distributable cash during the window. Exit/RoC proceeds within 18 months of acquisition also recyclable.</t>
        </is>
      </c>
      <c r="C34" s="638" t="inlineStr">
        <is>
          <t>Current-income recycle, capped at 50% retention. LP receives the other 50% as current distributions.</t>
        </is>
      </c>
    </row>
    <row r="35" ht="42" customHeight="1" s="307">
      <c r="A35" s="635" t="inlineStr">
        <is>
          <t>Legal mechanism</t>
        </is>
      </c>
      <c r="B35" s="636" t="inlineStr">
        <is>
          <t>Recallable Distributions: distributions designated recallable may be called back for reinvestment, up to the deployment cap, during the IP.</t>
        </is>
      </c>
      <c r="C35" s="638" t="inlineStr">
        <is>
          <t>ILPA-standard recycling mechanic.</t>
        </is>
      </c>
    </row>
    <row r="36" ht="42" customHeight="1" s="307">
      <c r="A36" s="635" t="inlineStr">
        <is>
          <t>Aggregate deployment cap</t>
        </is>
      </c>
      <c r="B36" s="636" t="inlineStr">
        <is>
          <t>Up to 150% of committed capital may be invested (100% base + up to 50% recycled).</t>
        </is>
      </c>
      <c r="C36" s="638" t="inlineStr">
        <is>
          <t>Within market range (110-150%). Press targets ~9 deals: 5 base + 4 recycled.</t>
        </is>
      </c>
    </row>
    <row r="37" ht="42" customHeight="1" s="307">
      <c r="A37" s="635" t="inlineStr">
        <is>
          <t>Management fee on recycled $</t>
        </is>
      </c>
      <c r="B37" s="636" t="inlineStr">
        <is>
          <t>ZERO. Mgmt fee charged on committed capital only; never on recycled/reinvested amounts.</t>
        </is>
      </c>
      <c r="C37" s="638" t="inlineStr">
        <is>
          <t>Standard LP protection against double fees. (Moot here — Press fee is ~0 after Y2.)</t>
        </is>
      </c>
    </row>
    <row r="38" ht="42" customHeight="1" s="307">
      <c r="A38" s="635" t="inlineStr">
        <is>
          <t>GP discretion</t>
        </is>
      </c>
      <c r="B38" s="636" t="inlineStr">
        <is>
          <t>GP may elect to recycle up to the 50% cap; not obligated. Amounts not recycled are distributed.</t>
        </is>
      </c>
      <c r="C38" s="638" t="inlineStr">
        <is>
          <t>Gives GP flexibility to distribute if attractive deals are scarce.</t>
        </is>
      </c>
    </row>
    <row r="39" ht="42" customHeight="1" s="307">
      <c r="A39" s="635" t="inlineStr">
        <is>
          <t>LP liquidity protection</t>
        </is>
      </c>
      <c r="B39" s="636" t="inlineStr">
        <is>
          <t>Minimum 50% of distributable cash flows to LPs currently each year during IP (the un-retained half).</t>
        </is>
      </c>
      <c r="C39" s="638" t="inlineStr">
        <is>
          <t>The core of the 50% (vs 100%) structure — LPs keep receiving cash while the fund compounds.</t>
        </is>
      </c>
    </row>
    <row r="40" ht="42" customHeight="1" s="307">
      <c r="A40" s="635" t="inlineStr">
        <is>
          <t>Recycle sufficiency</t>
        </is>
      </c>
      <c r="B40" s="636" t="inlineStr">
        <is>
          <t>Recycled deals funded solely from retained cash; no incremental capital calls. Model shows $244M retained vs $134M needed.</t>
        </is>
      </c>
      <c r="C40" s="638" t="inlineStr">
        <is>
          <t>No capital-call surprise. Sufficiency verified at each deal close (Tab _Engine_R50).</t>
        </is>
      </c>
    </row>
    <row r="41" ht="42" customHeight="1" s="307">
      <c r="A41" s="635" t="inlineStr">
        <is>
          <t>Sunset</t>
        </is>
      </c>
      <c r="B41" s="636" t="inlineStr">
        <is>
          <t>Any recallable distribution not recalled within the IP is permanently released to LPs.</t>
        </is>
      </c>
      <c r="C41" s="638" t="inlineStr">
        <is>
          <t>Standard.</t>
        </is>
      </c>
    </row>
    <row r="43">
      <c r="A43" s="706" t="inlineStr">
        <is>
          <t>WHY 50% (alignment):</t>
        </is>
      </c>
    </row>
    <row r="44" ht="42" customHeight="1" s="307">
      <c r="A44" s="758" t="inlineStr">
        <is>
          <t>Positive-sum: recycling compounds capital into more cash-generating OpCos, so LP cash AND GP carry both rise. Unlike a fee increase (LP-&gt;GP transfer), it grows the pie. 50% (vs 100%) keeps LPs in current cash while still compounding.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(INDEX('26. Team Comp'!$D$28:$R$28, B31) * 0.001 / 12)*1.55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(INDEX('26. Team Comp'!$D$28:$R$28, B32) * 0.001 / 12)*1.55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(INDEX('26. Team Comp'!$D$28:$R$28, B33) * 0.001 / 12)*1.55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(INDEX('26. Team Comp'!$D$28:$R$28, B34) * 0.001 / 12)*1.55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(INDEX('26. Team Comp'!$D$28:$R$28, B35) * 0.001 / 12)*1.55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(INDEX('26. Team Comp'!$D$28:$R$28, B36) * 0.001 / 12)*1.55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(INDEX('26. Team Comp'!$D$28:$R$28, B37) * 0.001 / 12)*1.55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(INDEX('26. Team Comp'!$D$28:$R$28, B38) * 0.001 / 12)*1.55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(INDEX('26. Team Comp'!$D$28:$R$28, B39) * 0.001 / 12)*1.55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(INDEX('26. Team Comp'!$D$28:$R$28, B40) * 0.001 / 12)*1.55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(INDEX('26. Team Comp'!$D$28:$R$28, B41) * 0.001 / 12)*1.55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(INDEX('26. Team Comp'!$D$28:$R$28, B42) * 0.001 / 12)*1.55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(INDEX('26. Team Comp'!$D$28:$R$28, B43) * 0.001 / 12)*1.55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(INDEX('26. Team Comp'!$D$28:$R$28, B44) * 0.001 / 12)*1.55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(INDEX('26. Team Comp'!$D$28:$R$28, B45) * 0.001 / 12)*1.55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(INDEX('26. Team Comp'!$D$28:$R$28, B46) * 0.001 / 12)*1.55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(INDEX('26. Team Comp'!$D$28:$R$28, B47) * 0.001 / 12)*1.55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(INDEX('26. Team Comp'!$D$28:$R$28, B48) * 0.001 / 12)*1.55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(INDEX('26. Team Comp'!$D$28:$R$28, B49) * 0.001 / 12)*1.55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(INDEX('26. Team Comp'!$D$28:$R$28, B50) * 0.001 / 12)*1.55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(INDEX('26. Team Comp'!$D$28:$R$28, B51) * 0.001 / 12)*1.55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(INDEX('26. Team Comp'!$D$28:$R$28, B52) * 0.001 / 12)*1.55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(INDEX('26. Team Comp'!$D$28:$R$28, B53) * 0.001 / 12)*1.55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(INDEX('26. Team Comp'!$D$28:$R$28, B54) * 0.001 / 12)*1.55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(INDEX('26. Team Comp'!$D$28:$R$28, B55) * 0.001 / 12)*1.55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(INDEX('26. Team Comp'!$D$28:$R$28, B56) * 0.001 / 12)*1.55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(INDEX('26. Team Comp'!$D$28:$R$28, B57) * 0.001 / 12)*1.55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(INDEX('26. Team Comp'!$D$28:$R$28, B58) * 0.001 / 12)*1.55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(INDEX('26. Team Comp'!$D$28:$R$28, B59) * 0.001 / 12)*1.55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(INDEX('26. Team Comp'!$D$28:$R$28, B60) * 0.001 / 12)*1.55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(INDEX('26. Team Comp'!$D$28:$R$28, B61) * 0.001 / 12)*1.55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(INDEX('26. Team Comp'!$D$28:$R$28, B62) * 0.001 / 12)*1.55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(INDEX('26. Team Comp'!$D$28:$R$28, B63) * 0.001 / 12)*1.55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(INDEX('26. Team Comp'!$D$28:$R$28, B64) * 0.001 / 12)*1.55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(INDEX('26. Team Comp'!$D$28:$R$28, B65) * 0.001 / 12)*1.55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(INDEX('26. Team Comp'!$D$28:$R$28, B66) * 0.001 / 12)*1.55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(INDEX('26. Team Comp'!$D$28:$R$28, B67) * 0.001 / 12)*1.55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(INDEX('26. Team Comp'!$D$28:$R$28, B68) * 0.001 / 12)*1.55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(INDEX('26. Team Comp'!$D$28:$R$28, B69) * 0.001 / 12)*1.55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(INDEX('26. Team Comp'!$D$28:$R$28, B70) * 0.001 / 12)*1.55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(INDEX('26. Team Comp'!$D$28:$R$28, B71) * 0.001 / 12)*1.55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(INDEX('26. Team Comp'!$D$28:$R$28, B72) * 0.001 / 12)*1.55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(INDEX('26. Team Comp'!$D$28:$R$28, B73) * 0.001 / 12)*1.55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(INDEX('26. Team Comp'!$D$28:$R$28, B74) * 0.001 / 12)*1.55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(INDEX('26. Team Comp'!$D$28:$R$28, B75) * 0.001 / 12)*1.55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(INDEX('26. Team Comp'!$D$28:$R$28, B76) * 0.001 / 12)*1.55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(INDEX('26. Team Comp'!$D$28:$R$28, B77) * 0.001 / 12)*1.55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(INDEX('26. Team Comp'!$D$28:$R$28, B78) * 0.001 / 12)*1.55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(INDEX('26. Team Comp'!$D$28:$R$28, B79) * 0.001 / 12)*1.55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(INDEX('26. Team Comp'!$D$28:$R$28, B80) * 0.001 / 12)*1.55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(INDEX('26. Team Comp'!$D$28:$R$28, B81) * 0.001 / 12)*1.55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(INDEX('26. Team Comp'!$D$28:$R$28, B82) * 0.001 / 12)*1.55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(INDEX('26. Team Comp'!$D$28:$R$28, B83) * 0.001 / 12)*1.55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(INDEX('26. Team Comp'!$D$28:$R$28, B84) * 0.001 / 12)*1.55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(INDEX('26. Team Comp'!$D$28:$R$28, B85) * 0.001 / 12)*1.55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(INDEX('26. Team Comp'!$D$28:$R$28, B86) * 0.001 / 12)*1.55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(INDEX('26. Team Comp'!$D$28:$R$28, B87) * 0.001 / 12)*1.55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(INDEX('26. Team Comp'!$D$28:$R$28, B88) * 0.001 / 12)*1.55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(INDEX('26. Team Comp'!$D$28:$R$28, B89) * 0.001 / 12)*1.55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(INDEX('26. Team Comp'!$D$28:$R$28, B90) * 0.001 / 12)*1.55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(INDEX('26. Team Comp'!$D$28:$R$28, B91) * 0.001 / 12)*1.55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(INDEX('26. Team Comp'!$D$28:$R$28, B92) * 0.001 / 12)*1.55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(INDEX('26. Team Comp'!$D$28:$R$28, B93) * 0.001 / 12)*1.55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(INDEX('26. Team Comp'!$D$28:$R$28, B94) * 0.001 / 12)*1.55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(INDEX('26. Team Comp'!$D$28:$R$28, B95) * 0.001 / 12)*1.55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(INDEX('26. Team Comp'!$D$28:$R$28, B96) * 0.001 / 12)*1.55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(INDEX('26. Team Comp'!$D$28:$R$28, B97) * 0.001 / 12)*1.55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(INDEX('26. Team Comp'!$D$28:$R$28, B98) * 0.001 / 12)*1.55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(INDEX('26. Team Comp'!$D$28:$R$28, B99) * 0.001 / 12)*1.55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(INDEX('26. Team Comp'!$D$28:$R$28, B100) * 0.001 / 12)*1.55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(INDEX('26. Team Comp'!$D$28:$R$28, B101) * 0.001 / 12)*1.55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(INDEX('26. Team Comp'!$D$28:$R$28, B102) * 0.001 / 12)*1.55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(INDEX('26. Team Comp'!$D$28:$R$28, B103) * 0.001 / 12)*1.55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(INDEX('26. Team Comp'!$D$28:$R$28, B104) * 0.001 / 12)*1.55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(INDEX('26. Team Comp'!$D$28:$R$28, B105) * 0.001 / 12)*1.55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(INDEX('26. Team Comp'!$D$28:$R$28, B106) * 0.001 / 12)*1.55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(INDEX('26. Team Comp'!$D$28:$R$28, B107) * 0.001 / 12)*1.55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(INDEX('26. Team Comp'!$D$28:$R$28, B108) * 0.001 / 12)*1.55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(INDEX('26. Team Comp'!$D$28:$R$28, B109) * 0.001 / 12)*1.55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(INDEX('26. Team Comp'!$D$28:$R$28, B110) * 0.001 / 12)*1.55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(INDEX('26. Team Comp'!$D$28:$R$28, B111) * 0.001 / 12)*1.55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(INDEX('26. Team Comp'!$D$28:$R$28, B112) * 0.001 / 12)*1.55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(INDEX('26. Team Comp'!$D$28:$R$28, B113) * 0.001 / 12)*1.55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(INDEX('26. Team Comp'!$D$28:$R$28, B114) * 0.001 / 12)*1.55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(INDEX('26. Team Comp'!$D$28:$R$28, B115) * 0.001 / 12)*1.55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(INDEX('26. Team Comp'!$D$28:$R$28, B116) * 0.001 / 12)*1.55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(INDEX('26. Team Comp'!$D$28:$R$28, B117) * 0.001 / 12)*1.55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(INDEX('26. Team Comp'!$D$28:$R$28, B118) * 0.001 / 12)*1.55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(INDEX('26. Team Comp'!$D$28:$R$28, B119) * 0.001 / 12)*1.55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(INDEX('26. Team Comp'!$D$28:$R$28, B120) * 0.001 / 12)*1.55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(INDEX('26. Team Comp'!$D$28:$R$28, B121) * 0.001 / 12)*1.55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(INDEX('26. Team Comp'!$D$28:$R$28, B122) * 0.001 / 12)*1.55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(INDEX('26. Team Comp'!$D$28:$R$28, B123) * 0.001 / 12)*1.55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(INDEX('26. Team Comp'!$D$28:$R$28, B124) * 0.001 / 12)*1.55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(INDEX('26. Team Comp'!$D$28:$R$28, B125) * 0.001 / 12)*1.55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(INDEX('26. Team Comp'!$D$28:$R$28, B126) * 0.001 / 12)*1.55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(INDEX('26. Team Comp'!$D$28:$R$28, B127) * 0.001 / 12)*1.55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(INDEX('26. Team Comp'!$D$28:$R$28, B128) * 0.001 / 12)*1.55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(INDEX('26. Team Comp'!$D$28:$R$28, B129) * 0.001 / 12)*1.55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(INDEX('26. Team Comp'!$D$28:$R$28, B130) * 0.001 / 12)*1.55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(INDEX('26. Team Comp'!$D$28:$R$28, B131) * 0.001 / 12)*1.55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(INDEX('26. Team Comp'!$D$28:$R$28, B132) * 0.001 / 12)*1.55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(INDEX('26. Team Comp'!$D$28:$R$28, B133) * 0.001 / 12)*1.55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(INDEX('26. Team Comp'!$D$28:$R$28, B134) * 0.001 / 12)*1.55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(INDEX('26. Team Comp'!$D$28:$R$28, B135) * 0.001 / 12)*1.55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(INDEX('26. Team Comp'!$D$28:$R$28, B136) * 0.001 / 12)*1.55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(INDEX('26. Team Comp'!$D$28:$R$28, B137) * 0.001 / 12)*1.55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(INDEX('26. Team Comp'!$D$28:$R$28, B138) * 0.001 / 12)*1.55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(INDEX('26. Team Comp'!$D$28:$R$28, B139) * 0.001 / 12)*1.55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(INDEX('26. Team Comp'!$D$28:$R$28, B140) * 0.001 / 12)*1.55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(INDEX('26. Team Comp'!$D$28:$R$28, B141) * 0.001 / 12)*1.55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(INDEX('26. Team Comp'!$D$28:$R$28, B142) * 0.001 / 12)*1.55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(INDEX('26. Team Comp'!$D$28:$R$28, B143) * 0.001 / 12)*1.55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(INDEX('26. Team Comp'!$D$28:$R$28, B144) * 0.001 / 12)*1.55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(INDEX('26. Team Comp'!$D$28:$R$28, B145) * 0.001 / 12)*1.55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(INDEX('26. Team Comp'!$D$28:$R$28, B146) * 0.001 / 12)*1.55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(INDEX('26. Team Comp'!$D$28:$R$28, B147) * 0.001 / 12)*1.55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(INDEX('26. Team Comp'!$D$28:$R$28, B148) * 0.001 / 12)*1.55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(INDEX('26. Team Comp'!$D$28:$R$28, B149) * 0.001 / 12)*1.55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(INDEX('26. Team Comp'!$D$28:$R$28, B150) * 0.001 / 12)*1.55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(INDEX('26. Team Comp'!$D$28:$R$28, B151) * 0.001 / 12)*1.55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(INDEX('26. Team Comp'!$D$28:$R$28, B152) * 0.001 / 12)*1.55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(INDEX('26. Team Comp'!$D$28:$R$28, B153) * 0.001 / 12)*1.55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(INDEX('26. Team Comp'!$D$28:$R$28, B154) * 0.001 / 12)*1.55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(INDEX('26. Team Comp'!$D$28:$R$28, B155) * 0.001 / 12)*1.55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(INDEX('26. Team Comp'!$D$28:$R$28, B156) * 0.001 / 12)*1.55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(INDEX('26. Team Comp'!$D$28:$R$28, B157) * 0.001 / 12)*1.55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(INDEX('26. Team Comp'!$D$28:$R$28, B158) * 0.001 / 12)*1.55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(INDEX('26. Team Comp'!$D$28:$R$28, B159) * 0.001 / 12)*1.55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(INDEX('26. Team Comp'!$D$28:$R$28, B160) * 0.001 / 12)*1.55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(INDEX('26. Team Comp'!$D$28:$R$28, B161) * 0.001 / 12)*1.55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(INDEX('26. Team Comp'!$D$28:$R$28, B162) * 0.001 / 12)*1.55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(INDEX('26. Team Comp'!$D$28:$R$28, B163) * 0.001 / 12)*1.55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(INDEX('26. Team Comp'!$D$28:$R$28, B164) * 0.001 / 12)*1.55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(INDEX('26. Team Comp'!$D$28:$R$28, B165) * 0.001 / 12)*1.55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(INDEX('26. Team Comp'!$D$28:$R$28, B166) * 0.001 / 12)*1.55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(INDEX('26. Team Comp'!$D$28:$R$28, B167) * 0.001 / 12)*1.55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(INDEX('26. Team Comp'!$D$28:$R$28, B168) * 0.001 / 12)*1.55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(INDEX('26. Team Comp'!$D$28:$R$28, B169) * 0.001 / 12)*1.55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(INDEX('26. Team Comp'!$D$28:$R$28, B170) * 0.001 / 12)*1.55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(INDEX('26. Team Comp'!$D$28:$R$28, B171) * 0.001 / 12)*1.55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(INDEX('26. Team Comp'!$D$28:$R$28, B172) * 0.001 / 12)*1.55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(INDEX('26. Team Comp'!$D$28:$R$28, B173) * 0.001 / 12)*1.55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(INDEX('26. Team Comp'!$D$28:$R$28, B174) * 0.001 / 12)*1.55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(INDEX('26. Team Comp'!$D$28:$R$28, B175) * 0.001 / 12)*1.55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(INDEX('26. Team Comp'!$D$28:$R$28, B176) * 0.001 / 12)*1.55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(INDEX('26. Team Comp'!$D$28:$R$28, B177) * 0.001 / 12)*1.55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(INDEX('26. Team Comp'!$D$28:$R$28, B178) * 0.001 / 12)*1.55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(INDEX('26. Team Comp'!$D$28:$R$28, B179) * 0.001 / 12)*1.55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(INDEX('26. Team Comp'!$D$28:$R$28, B180) * 0.001 / 12)*1.55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(INDEX('26. Team Comp'!$D$28:$R$28, B181) * 0.001 / 12)*1.55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(INDEX('26. Team Comp'!$D$28:$R$28, B182) * 0.001 / 12)*1.55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(INDEX('26. Team Comp'!$D$28:$R$28, B183) * 0.001 / 12)*1.55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(INDEX('26. Team Comp'!$D$28:$R$28, B184) * 0.001 / 12)*1.55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(INDEX('26. Team Comp'!$D$28:$R$28, B185) * 0.001 / 12)*1.55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(INDEX('26. Team Comp'!$D$28:$R$28, B186) * 0.001 / 12)*1.55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(INDEX('26. Team Comp'!$D$28:$R$28, B187) * 0.001 / 12)*1.55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(INDEX('26. Team Comp'!$D$28:$R$28, B188) * 0.001 / 12)*1.55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(INDEX('26. Team Comp'!$D$28:$R$28, B189) * 0.001 / 12)*1.55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(INDEX('26. Team Comp'!$D$28:$R$28, B190) * 0.001 / 12)*1.55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(INDEX('26. Team Comp'!$D$28:$R$28, B191) * 0.001 / 12)*1.55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(INDEX('26. Team Comp'!$D$28:$R$28, B192) * 0.001 / 12)*1.55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(INDEX('26. Team Comp'!$D$28:$R$28, B193) * 0.001 / 12)*1.55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(INDEX('26. Team Comp'!$D$28:$R$28, B194) * 0.001 / 12)*1.55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(INDEX('26. Team Comp'!$D$28:$R$28, B195) * 0.001 / 12)*1.55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(INDEX('26. Team Comp'!$D$28:$R$28, B196) * 0.001 / 12)*1.55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(INDEX('26. Team Comp'!$D$28:$R$28, B197) * 0.001 / 12)*1.55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(INDEX('26. Team Comp'!$D$28:$R$28, B198) * 0.001 / 12)*1.55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(INDEX('26. Team Comp'!$D$28:$R$28, B199) * 0.001 / 12)*1.55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(INDEX('26. Team Comp'!$D$28:$R$28, B200) * 0.001 / 12)*1.55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(INDEX('26. Team Comp'!$D$28:$R$28, B201) * 0.001 / 12)*1.55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(INDEX('26. Team Comp'!$D$28:$R$28, B202) * 0.001 / 12)*1.55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(INDEX('26. Team Comp'!$D$28:$R$28, B203) * 0.001 / 12)*1.55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(INDEX('26. Team Comp'!$D$28:$R$28, B204) * 0.001 / 12)*1.55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(INDEX('26. Team Comp'!$D$28:$R$28, B205) * 0.001 / 12)*1.55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(INDEX('26. Team Comp'!$D$28:$R$28, B206) * 0.001 / 12)*1.55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(INDEX('26. Team Comp'!$D$28:$R$28, B207) * 0.001 / 12)*1.55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(INDEX('26. Team Comp'!$D$28:$R$28, B208) * 0.001 / 12)*1.55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(INDEX('26. Team Comp'!$D$28:$R$28, B209) * 0.001 / 12)*1.55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(INDEX('26. Team Comp'!$D$28:$R$28, B210) * 0.001 / 12)*1.55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 t="n">
        <v>0</v>
      </c>
      <c r="V210" s="306">
        <f>T210-U210</f>
        <v/>
      </c>
      <c r="W210" s="306">
        <f>IF(AND(A210=$B$19, $B$21=1), K210*$B$20, 0) + IF(AND(A210=180, $B$21=0), K210*'1. Press Assumptions'!$B$141,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(INDEX('26. Team Comp'!$D$28:$R$28, B31) * 0.001 / 12)*1.6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(INDEX('26. Team Comp'!$D$28:$R$28, B32) * 0.001 / 12)*1.6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(INDEX('26. Team Comp'!$D$28:$R$28, B33) * 0.001 / 12)*1.6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(INDEX('26. Team Comp'!$D$28:$R$28, B34) * 0.001 / 12)*1.6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(INDEX('26. Team Comp'!$D$28:$R$28, B35) * 0.001 / 12)*1.6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(INDEX('26. Team Comp'!$D$28:$R$28, B36) * 0.001 / 12)*1.6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(INDEX('26. Team Comp'!$D$28:$R$28, B37) * 0.001 / 12)*1.6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(INDEX('26. Team Comp'!$D$28:$R$28, B38) * 0.001 / 12)*1.6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(INDEX('26. Team Comp'!$D$28:$R$28, B39) * 0.001 / 12)*1.6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(INDEX('26. Team Comp'!$D$28:$R$28, B40) * 0.001 / 12)*1.6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(INDEX('26. Team Comp'!$D$28:$R$28, B41) * 0.001 / 12)*1.6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(INDEX('26. Team Comp'!$D$28:$R$28, B42) * 0.001 / 12)*1.6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(INDEX('26. Team Comp'!$D$28:$R$28, B43) * 0.001 / 12)*1.6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(INDEX('26. Team Comp'!$D$28:$R$28, B44) * 0.001 / 12)*1.6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(INDEX('26. Team Comp'!$D$28:$R$28, B45) * 0.001 / 12)*1.6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(INDEX('26. Team Comp'!$D$28:$R$28, B46) * 0.001 / 12)*1.6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(INDEX('26. Team Comp'!$D$28:$R$28, B47) * 0.001 / 12)*1.6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(INDEX('26. Team Comp'!$D$28:$R$28, B48) * 0.001 / 12)*1.6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(INDEX('26. Team Comp'!$D$28:$R$28, B49) * 0.001 / 12)*1.6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(INDEX('26. Team Comp'!$D$28:$R$28, B50) * 0.001 / 12)*1.6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(INDEX('26. Team Comp'!$D$28:$R$28, B51) * 0.001 / 12)*1.6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(INDEX('26. Team Comp'!$D$28:$R$28, B52) * 0.001 / 12)*1.6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(INDEX('26. Team Comp'!$D$28:$R$28, B53) * 0.001 / 12)*1.6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(INDEX('26. Team Comp'!$D$28:$R$28, B54) * 0.001 / 12)*1.6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(INDEX('26. Team Comp'!$D$28:$R$28, B55) * 0.001 / 12)*1.6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(INDEX('26. Team Comp'!$D$28:$R$28, B56) * 0.001 / 12)*1.6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(INDEX('26. Team Comp'!$D$28:$R$28, B57) * 0.001 / 12)*1.6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(INDEX('26. Team Comp'!$D$28:$R$28, B58) * 0.001 / 12)*1.6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(INDEX('26. Team Comp'!$D$28:$R$28, B59) * 0.001 / 12)*1.6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(INDEX('26. Team Comp'!$D$28:$R$28, B60) * 0.001 / 12)*1.6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(INDEX('26. Team Comp'!$D$28:$R$28, B61) * 0.001 / 12)*1.6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(INDEX('26. Team Comp'!$D$28:$R$28, B62) * 0.001 / 12)*1.6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(INDEX('26. Team Comp'!$D$28:$R$28, B63) * 0.001 / 12)*1.6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(INDEX('26. Team Comp'!$D$28:$R$28, B64) * 0.001 / 12)*1.6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(INDEX('26. Team Comp'!$D$28:$R$28, B65) * 0.001 / 12)*1.6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(INDEX('26. Team Comp'!$D$28:$R$28, B66) * 0.001 / 12)*1.6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(INDEX('26. Team Comp'!$D$28:$R$28, B67) * 0.001 / 12)*1.6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(INDEX('26. Team Comp'!$D$28:$R$28, B68) * 0.001 / 12)*1.6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(INDEX('26. Team Comp'!$D$28:$R$28, B69) * 0.001 / 12)*1.6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(INDEX('26. Team Comp'!$D$28:$R$28, B70) * 0.001 / 12)*1.6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(INDEX('26. Team Comp'!$D$28:$R$28, B71) * 0.001 / 12)*1.6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(INDEX('26. Team Comp'!$D$28:$R$28, B72) * 0.001 / 12)*1.6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(INDEX('26. Team Comp'!$D$28:$R$28, B73) * 0.001 / 12)*1.6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(INDEX('26. Team Comp'!$D$28:$R$28, B74) * 0.001 / 12)*1.6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(INDEX('26. Team Comp'!$D$28:$R$28, B75) * 0.001 / 12)*1.6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(INDEX('26. Team Comp'!$D$28:$R$28, B76) * 0.001 / 12)*1.6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(INDEX('26. Team Comp'!$D$28:$R$28, B77) * 0.001 / 12)*1.6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(INDEX('26. Team Comp'!$D$28:$R$28, B78) * 0.001 / 12)*1.6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(INDEX('26. Team Comp'!$D$28:$R$28, B79) * 0.001 / 12)*1.6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(INDEX('26. Team Comp'!$D$28:$R$28, B80) * 0.001 / 12)*1.6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(INDEX('26. Team Comp'!$D$28:$R$28, B81) * 0.001 / 12)*1.6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(INDEX('26. Team Comp'!$D$28:$R$28, B82) * 0.001 / 12)*1.6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(INDEX('26. Team Comp'!$D$28:$R$28, B83) * 0.001 / 12)*1.6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(INDEX('26. Team Comp'!$D$28:$R$28, B84) * 0.001 / 12)*1.6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(INDEX('26. Team Comp'!$D$28:$R$28, B85) * 0.001 / 12)*1.6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(INDEX('26. Team Comp'!$D$28:$R$28, B86) * 0.001 / 12)*1.6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(INDEX('26. Team Comp'!$D$28:$R$28, B87) * 0.001 / 12)*1.6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(INDEX('26. Team Comp'!$D$28:$R$28, B88) * 0.001 / 12)*1.6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(INDEX('26. Team Comp'!$D$28:$R$28, B89) * 0.001 / 12)*1.6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(INDEX('26. Team Comp'!$D$28:$R$28, B90) * 0.001 / 12)*1.6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(INDEX('26. Team Comp'!$D$28:$R$28, B91) * 0.001 / 12)*1.6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(INDEX('26. Team Comp'!$D$28:$R$28, B92) * 0.001 / 12)*1.6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(INDEX('26. Team Comp'!$D$28:$R$28, B93) * 0.001 / 12)*1.6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(INDEX('26. Team Comp'!$D$28:$R$28, B94) * 0.001 / 12)*1.6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(INDEX('26. Team Comp'!$D$28:$R$28, B95) * 0.001 / 12)*1.6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(INDEX('26. Team Comp'!$D$28:$R$28, B96) * 0.001 / 12)*1.6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(INDEX('26. Team Comp'!$D$28:$R$28, B97) * 0.001 / 12)*1.6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(INDEX('26. Team Comp'!$D$28:$R$28, B98) * 0.001 / 12)*1.6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(INDEX('26. Team Comp'!$D$28:$R$28, B99) * 0.001 / 12)*1.6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(INDEX('26. Team Comp'!$D$28:$R$28, B100) * 0.001 / 12)*1.6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(INDEX('26. Team Comp'!$D$28:$R$28, B101) * 0.001 / 12)*1.6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(INDEX('26. Team Comp'!$D$28:$R$28, B102) * 0.001 / 12)*1.6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(INDEX('26. Team Comp'!$D$28:$R$28, B103) * 0.001 / 12)*1.6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(INDEX('26. Team Comp'!$D$28:$R$28, B104) * 0.001 / 12)*1.6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(INDEX('26. Team Comp'!$D$28:$R$28, B105) * 0.001 / 12)*1.6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(INDEX('26. Team Comp'!$D$28:$R$28, B106) * 0.001 / 12)*1.6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(INDEX('26. Team Comp'!$D$28:$R$28, B107) * 0.001 / 12)*1.6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(INDEX('26. Team Comp'!$D$28:$R$28, B108) * 0.001 / 12)*1.6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(INDEX('26. Team Comp'!$D$28:$R$28, B109) * 0.001 / 12)*1.6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(INDEX('26. Team Comp'!$D$28:$R$28, B110) * 0.001 / 12)*1.6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(INDEX('26. Team Comp'!$D$28:$R$28, B111) * 0.001 / 12)*1.6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(INDEX('26. Team Comp'!$D$28:$R$28, B112) * 0.001 / 12)*1.6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(INDEX('26. Team Comp'!$D$28:$R$28, B113) * 0.001 / 12)*1.6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(INDEX('26. Team Comp'!$D$28:$R$28, B114) * 0.001 / 12)*1.6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(INDEX('26. Team Comp'!$D$28:$R$28, B115) * 0.001 / 12)*1.6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(INDEX('26. Team Comp'!$D$28:$R$28, B116) * 0.001 / 12)*1.6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(INDEX('26. Team Comp'!$D$28:$R$28, B117) * 0.001 / 12)*1.6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(INDEX('26. Team Comp'!$D$28:$R$28, B118) * 0.001 / 12)*1.6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(INDEX('26. Team Comp'!$D$28:$R$28, B119) * 0.001 / 12)*1.6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(INDEX('26. Team Comp'!$D$28:$R$28, B120) * 0.001 / 12)*1.6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(INDEX('26. Team Comp'!$D$28:$R$28, B121) * 0.001 / 12)*1.6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(INDEX('26. Team Comp'!$D$28:$R$28, B122) * 0.001 / 12)*1.6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(INDEX('26. Team Comp'!$D$28:$R$28, B123) * 0.001 / 12)*1.6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(INDEX('26. Team Comp'!$D$28:$R$28, B124) * 0.001 / 12)*1.6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(INDEX('26. Team Comp'!$D$28:$R$28, B125) * 0.001 / 12)*1.6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(INDEX('26. Team Comp'!$D$28:$R$28, B126) * 0.001 / 12)*1.6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(INDEX('26. Team Comp'!$D$28:$R$28, B127) * 0.001 / 12)*1.6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(INDEX('26. Team Comp'!$D$28:$R$28, B128) * 0.001 / 12)*1.6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(INDEX('26. Team Comp'!$D$28:$R$28, B129) * 0.001 / 12)*1.6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(INDEX('26. Team Comp'!$D$28:$R$28, B130) * 0.001 / 12)*1.6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(INDEX('26. Team Comp'!$D$28:$R$28, B131) * 0.001 / 12)*1.6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(INDEX('26. Team Comp'!$D$28:$R$28, B132) * 0.001 / 12)*1.6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(INDEX('26. Team Comp'!$D$28:$R$28, B133) * 0.001 / 12)*1.6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(INDEX('26. Team Comp'!$D$28:$R$28, B134) * 0.001 / 12)*1.6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(INDEX('26. Team Comp'!$D$28:$R$28, B135) * 0.001 / 12)*1.6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(INDEX('26. Team Comp'!$D$28:$R$28, B136) * 0.001 / 12)*1.6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(INDEX('26. Team Comp'!$D$28:$R$28, B137) * 0.001 / 12)*1.6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(INDEX('26. Team Comp'!$D$28:$R$28, B138) * 0.001 / 12)*1.6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(INDEX('26. Team Comp'!$D$28:$R$28, B139) * 0.001 / 12)*1.6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(INDEX('26. Team Comp'!$D$28:$R$28, B140) * 0.001 / 12)*1.6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(INDEX('26. Team Comp'!$D$28:$R$28, B141) * 0.001 / 12)*1.6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(INDEX('26. Team Comp'!$D$28:$R$28, B142) * 0.001 / 12)*1.6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(INDEX('26. Team Comp'!$D$28:$R$28, B143) * 0.001 / 12)*1.6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(INDEX('26. Team Comp'!$D$28:$R$28, B144) * 0.001 / 12)*1.6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(INDEX('26. Team Comp'!$D$28:$R$28, B145) * 0.001 / 12)*1.6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(INDEX('26. Team Comp'!$D$28:$R$28, B146) * 0.001 / 12)*1.6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(INDEX('26. Team Comp'!$D$28:$R$28, B147) * 0.001 / 12)*1.6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(INDEX('26. Team Comp'!$D$28:$R$28, B148) * 0.001 / 12)*1.6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(INDEX('26. Team Comp'!$D$28:$R$28, B149) * 0.001 / 12)*1.6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(INDEX('26. Team Comp'!$D$28:$R$28, B150) * 0.001 / 12)*1.6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(INDEX('26. Team Comp'!$D$28:$R$28, B151) * 0.001 / 12)*1.6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(INDEX('26. Team Comp'!$D$28:$R$28, B152) * 0.001 / 12)*1.6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(INDEX('26. Team Comp'!$D$28:$R$28, B153) * 0.001 / 12)*1.6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(INDEX('26. Team Comp'!$D$28:$R$28, B154) * 0.001 / 12)*1.6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(INDEX('26. Team Comp'!$D$28:$R$28, B155) * 0.001 / 12)*1.6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(INDEX('26. Team Comp'!$D$28:$R$28, B156) * 0.001 / 12)*1.6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(INDEX('26. Team Comp'!$D$28:$R$28, B157) * 0.001 / 12)*1.6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(INDEX('26. Team Comp'!$D$28:$R$28, B158) * 0.001 / 12)*1.6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(INDEX('26. Team Comp'!$D$28:$R$28, B159) * 0.001 / 12)*1.6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(INDEX('26. Team Comp'!$D$28:$R$28, B160) * 0.001 / 12)*1.6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(INDEX('26. Team Comp'!$D$28:$R$28, B161) * 0.001 / 12)*1.6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(INDEX('26. Team Comp'!$D$28:$R$28, B162) * 0.001 / 12)*1.6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(INDEX('26. Team Comp'!$D$28:$R$28, B163) * 0.001 / 12)*1.6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(INDEX('26. Team Comp'!$D$28:$R$28, B164) * 0.001 / 12)*1.6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(INDEX('26. Team Comp'!$D$28:$R$28, B165) * 0.001 / 12)*1.6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(INDEX('26. Team Comp'!$D$28:$R$28, B166) * 0.001 / 12)*1.6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(INDEX('26. Team Comp'!$D$28:$R$28, B167) * 0.001 / 12)*1.6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(INDEX('26. Team Comp'!$D$28:$R$28, B168) * 0.001 / 12)*1.6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(INDEX('26. Team Comp'!$D$28:$R$28, B169) * 0.001 / 12)*1.6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(INDEX('26. Team Comp'!$D$28:$R$28, B170) * 0.001 / 12)*1.6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(INDEX('26. Team Comp'!$D$28:$R$28, B171) * 0.001 / 12)*1.6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(INDEX('26. Team Comp'!$D$28:$R$28, B172) * 0.001 / 12)*1.6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(INDEX('26. Team Comp'!$D$28:$R$28, B173) * 0.001 / 12)*1.6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(INDEX('26. Team Comp'!$D$28:$R$28, B174) * 0.001 / 12)*1.6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(INDEX('26. Team Comp'!$D$28:$R$28, B175) * 0.001 / 12)*1.6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(INDEX('26. Team Comp'!$D$28:$R$28, B176) * 0.001 / 12)*1.6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(INDEX('26. Team Comp'!$D$28:$R$28, B177) * 0.001 / 12)*1.6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(INDEX('26. Team Comp'!$D$28:$R$28, B178) * 0.001 / 12)*1.6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(INDEX('26. Team Comp'!$D$28:$R$28, B179) * 0.001 / 12)*1.6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(INDEX('26. Team Comp'!$D$28:$R$28, B180) * 0.001 / 12)*1.6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(INDEX('26. Team Comp'!$D$28:$R$28, B181) * 0.001 / 12)*1.6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(INDEX('26. Team Comp'!$D$28:$R$28, B182) * 0.001 / 12)*1.6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(INDEX('26. Team Comp'!$D$28:$R$28, B183) * 0.001 / 12)*1.6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(INDEX('26. Team Comp'!$D$28:$R$28, B184) * 0.001 / 12)*1.6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(INDEX('26. Team Comp'!$D$28:$R$28, B185) * 0.001 / 12)*1.6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(INDEX('26. Team Comp'!$D$28:$R$28, B186) * 0.001 / 12)*1.6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(INDEX('26. Team Comp'!$D$28:$R$28, B187) * 0.001 / 12)*1.6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(INDEX('26. Team Comp'!$D$28:$R$28, B188) * 0.001 / 12)*1.6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(INDEX('26. Team Comp'!$D$28:$R$28, B189) * 0.001 / 12)*1.6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(INDEX('26. Team Comp'!$D$28:$R$28, B190) * 0.001 / 12)*1.6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(INDEX('26. Team Comp'!$D$28:$R$28, B191) * 0.001 / 12)*1.6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(INDEX('26. Team Comp'!$D$28:$R$28, B192) * 0.001 / 12)*1.6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(INDEX('26. Team Comp'!$D$28:$R$28, B193) * 0.001 / 12)*1.6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(INDEX('26. Team Comp'!$D$28:$R$28, B194) * 0.001 / 12)*1.6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(INDEX('26. Team Comp'!$D$28:$R$28, B195) * 0.001 / 12)*1.6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(INDEX('26. Team Comp'!$D$28:$R$28, B196) * 0.001 / 12)*1.6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(INDEX('26. Team Comp'!$D$28:$R$28, B197) * 0.001 / 12)*1.6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(INDEX('26. Team Comp'!$D$28:$R$28, B198) * 0.001 / 12)*1.6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(INDEX('26. Team Comp'!$D$28:$R$28, B199) * 0.001 / 12)*1.6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(INDEX('26. Team Comp'!$D$28:$R$28, B200) * 0.001 / 12)*1.6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(INDEX('26. Team Comp'!$D$28:$R$28, B201) * 0.001 / 12)*1.6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(INDEX('26. Team Comp'!$D$28:$R$28, B202) * 0.001 / 12)*1.6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(INDEX('26. Team Comp'!$D$28:$R$28, B203) * 0.001 / 12)*1.6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(INDEX('26. Team Comp'!$D$28:$R$28, B204) * 0.001 / 12)*1.6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(INDEX('26. Team Comp'!$D$28:$R$28, B205) * 0.001 / 12)*1.6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(INDEX('26. Team Comp'!$D$28:$R$28, B206) * 0.001 / 12)*1.6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(INDEX('26. Team Comp'!$D$28:$R$28, B207) * 0.001 / 12)*1.6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(INDEX('26. Team Comp'!$D$28:$R$28, B208) * 0.001 / 12)*1.6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(INDEX('26. Team Comp'!$D$28:$R$28, B209) * 0.001 / 12)*1.6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(INDEX('26. Team Comp'!$D$28:$R$28, B210) * 0.001 / 12)*1.6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M36 (Deal #6 close)</t>
        </is>
      </c>
      <c r="B334" s="695">
        <f>SUM(Y31:Y66)</f>
        <v/>
      </c>
      <c r="C334" s="695" t="n">
        <v>33.6</v>
      </c>
      <c r="D334" s="695">
        <f>B334-C334</f>
        <v/>
      </c>
      <c r="E334" s="306">
        <f>IF(B334&gt;=C334,"OK","SHORT $"&amp;TEXT(C334-B334,"0.0")&amp;"M")</f>
        <v/>
      </c>
    </row>
    <row r="335">
      <c r="A335" s="306" t="inlineStr">
        <is>
          <t>M48 (Deal #7 close)</t>
        </is>
      </c>
      <c r="B335" s="695">
        <f>SUM(Y31:Y78)</f>
        <v/>
      </c>
      <c r="C335" s="695" t="n">
        <v>67.2</v>
      </c>
      <c r="D335" s="695">
        <f>B335-C335</f>
        <v/>
      </c>
      <c r="E335" s="306">
        <f>IF(B335&gt;=C335,"OK","SHORT $"&amp;TEXT(C335-B335,"0.0")&amp;"M")</f>
        <v/>
      </c>
    </row>
    <row r="336">
      <c r="A336" s="306" t="inlineStr">
        <is>
          <t>M60 (Deal #8 close)</t>
        </is>
      </c>
      <c r="B336" s="695">
        <f>SUM(Y31:Y90)</f>
        <v/>
      </c>
      <c r="C336" s="695" t="n">
        <v>100.8</v>
      </c>
      <c r="D336" s="695">
        <f>B336-C336</f>
        <v/>
      </c>
      <c r="E336" s="306">
        <f>IF(B336&gt;=C336,"OK","SHORT $"&amp;TEXT(C336-B336,"0.0")&amp;"M")</f>
        <v/>
      </c>
    </row>
    <row r="337">
      <c r="A337" s="306" t="inlineStr">
        <is>
          <t>M72 (Deal #9 close)</t>
        </is>
      </c>
      <c r="B337" s="695">
        <f>SUM(Y31:Y102)</f>
        <v/>
      </c>
      <c r="C337" s="695" t="n">
        <v>134.4</v>
      </c>
      <c r="D337" s="695">
        <f>B337-C337</f>
        <v/>
      </c>
      <c r="E337" s="306">
        <f>IF(B337&gt;=C337,"OK","SHORT $"&amp;TEXT(C337-B337,"0.0")&amp;"M")</f>
        <v/>
      </c>
    </row>
    <row r="338">
      <c r="A338" s="628" t="inlineStr">
        <is>
          <t>Total recycled capital needed</t>
        </is>
      </c>
      <c r="B338" s="306" t="n">
        <v>134.4</v>
      </c>
    </row>
    <row r="339">
      <c r="A339" s="628" t="inlineStr">
        <is>
          <t>Total retained M1-36</t>
        </is>
      </c>
      <c r="B339" s="306">
        <f>SUM(Y31:Y102)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2026-06-28T01:56:49Z</dcterms:modified>
  <cp:revision>0</cp:revision>
</cp:coreProperties>
</file>