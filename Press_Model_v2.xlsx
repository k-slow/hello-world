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. Press Assumptions" sheetId="1" state="visible" r:id="rId1"/>
    <sheet name="2. LP Economics" sheetId="2" state="visible" r:id="rId2"/>
    <sheet name="3. Deal Allocation" sheetId="3" state="visible" r:id="rId3"/>
    <sheet name="4a. Annual P&amp;L (No Recycle)" sheetId="4" state="visible" r:id="rId4"/>
    <sheet name="4b. Annual P&amp;L (Recycle)" sheetId="5" state="visible" r:id="rId5"/>
    <sheet name="4g. Annual P&amp;L (100% Recycle)" sheetId="6" state="visible" r:id="rId6"/>
    <sheet name="4c. Monthly P&amp;L (No Recycle)" sheetId="7" state="visible" r:id="rId7"/>
    <sheet name="4d. Monthly P&amp;L (Recycle)" sheetId="8" state="visible" r:id="rId8"/>
    <sheet name="4e. Quarterly P&amp;L (No Recycle)" sheetId="9" state="visible" r:id="rId9"/>
    <sheet name="4f. Quarterly P&amp;L (Recycle)" sheetId="10" state="visible" r:id="rId10"/>
    <sheet name="5a. WF Standard (No Recycle)" sheetId="11" state="visible" r:id="rId11"/>
    <sheet name="5b. WF Standard (Recycle)" sheetId="12" state="visible" r:id="rId12"/>
    <sheet name="5e. WF Standard (100% Recycle)" sheetId="13" state="visible" r:id="rId13"/>
    <sheet name="5c. WF Escalating (No Recycle)" sheetId="14" state="visible" r:id="rId14"/>
    <sheet name="5d. WF Escalating (Recycle)" sheetId="15" state="visible" r:id="rId15"/>
    <sheet name="6. LP Returns Comparison" sheetId="16" state="visible" r:id="rId16"/>
    <sheet name="7. Per-Deal Returns" sheetId="17" state="visible" r:id="rId17"/>
    <sheet name="8. Investor Metrics" sheetId="18" state="visible" r:id="rId18"/>
    <sheet name="9. Deal Detail" sheetId="19" state="visible" r:id="rId19"/>
    <sheet name="10. Bid Sensitivity" sheetId="20" state="visible" r:id="rId20"/>
    <sheet name="11. NDR Sensitivity" sheetId="21" state="visible" r:id="rId21"/>
    <sheet name="12. Terminal Value" sheetId="22" state="visible" r:id="rId22"/>
    <sheet name="13. Stress Test" sheetId="23" state="visible" r:id="rId23"/>
    <sheet name="14. J-Curve" sheetId="24" state="visible" r:id="rId24"/>
    <sheet name="15. Fee Drag" sheetId="25" state="visible" r:id="rId25"/>
    <sheet name="16. Deal Pipeline" sheetId="26" state="visible" r:id="rId26"/>
    <sheet name="17. Tax Efficiency" sheetId="27" state="visible" r:id="rId27"/>
    <sheet name="18. Cap Table" sheetId="28" state="visible" r:id="rId28"/>
    <sheet name="19. Sources &amp; Uses" sheetId="29" state="visible" r:id="rId29"/>
    <sheet name="20. Quarterly Distributions" sheetId="30" state="visible" r:id="rId30"/>
    <sheet name="21. Portfolio Dashboard" sheetId="31" state="visible" r:id="rId31"/>
    <sheet name="22. Scenario Summary" sheetId="32" state="visible" r:id="rId32"/>
    <sheet name="23. Fund OpBudget" sheetId="33" state="visible" r:id="rId33"/>
    <sheet name="24. Benchmarks" sheetId="34" state="visible" r:id="rId34"/>
    <sheet name="25. Recycling Waterfall" sheetId="35" state="visible" r:id="rId35"/>
    <sheet name="26. Team Comp" sheetId="36" state="visible" r:id="rId36"/>
    <sheet name="_Engine_NR" sheetId="37" state="visible" r:id="rId37"/>
    <sheet name="_Engine_R50" sheetId="38" state="visible" r:id="rId38"/>
    <sheet name="_Engine_R100" sheetId="39" state="visible" r:id="rId39"/>
    <sheet name="CHANGE LOG" sheetId="40" state="visible" r:id="rId4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3">
    <numFmt numFmtId="164" formatCode="\$#,##0"/>
    <numFmt numFmtId="165" formatCode="0.00\x"/>
    <numFmt numFmtId="166" formatCode="0.0%"/>
    <numFmt numFmtId="167" formatCode="0.0\x"/>
    <numFmt numFmtId="168" formatCode="\$#,##0.0"/>
    <numFmt numFmtId="169" formatCode="_(#,##0.0_);\(#,##0.0\)"/>
    <numFmt numFmtId="170" formatCode="#,##0.0"/>
    <numFmt numFmtId="171" formatCode="\(#,##0.0\)"/>
    <numFmt numFmtId="172" formatCode="\+0%;\-0%"/>
    <numFmt numFmtId="173" formatCode="\$#,##0&quot;mm&quot;"/>
    <numFmt numFmtId="174" formatCode="_(#,##0_);\(#,##0\)"/>
    <numFmt numFmtId="175" formatCode="0.00&quot;x&quot;"/>
    <numFmt numFmtId="176" formatCode="&quot;+$&quot;#,##0.0&quot;M understated&quot;"/>
  </numFmts>
  <fonts count="5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BE8A42"/>
      <sz val="8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2E7D5B"/>
      <sz val="10"/>
    </font>
    <font>
      <name val="Arial"/>
      <charset val="1"/>
      <family val="0"/>
      <color rgb="FFCC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548235"/>
      <sz val="10"/>
    </font>
    <font>
      <name val="Arial"/>
      <charset val="1"/>
      <family val="0"/>
      <b val="1"/>
      <color rgb="FFBE8A42"/>
      <sz val="10"/>
    </font>
    <font>
      <name val="Arial"/>
      <charset val="1"/>
      <family val="0"/>
      <color rgb="FFFFFFFF"/>
      <sz val="10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i val="1"/>
      <color rgb="FF548235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b val="1"/>
      <i val="1"/>
      <color rgb="FFC00000"/>
      <sz val="10"/>
    </font>
    <font>
      <name val="Libre Franklin"/>
      <charset val="1"/>
      <family val="0"/>
      <b val="1"/>
      <color rgb="FFBE8A42"/>
      <sz val="11"/>
    </font>
    <font>
      <name val="Arial"/>
      <b val="1"/>
      <color rgb="00FFFFFF"/>
      <sz val="13"/>
    </font>
    <font>
      <name val="Arial"/>
      <color rgb="00888888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BE8A42"/>
      <sz val="8"/>
    </font>
    <font/>
    <font>
      <i val="1"/>
      <color rgb="FF888888"/>
    </font>
    <font>
      <b val="1"/>
      <color rgb="FF1F3864"/>
    </font>
    <font>
      <b val="1"/>
      <color rgb="FFFFFFFF"/>
    </font>
    <font>
      <b val="1"/>
    </font>
    <font>
      <b val="1"/>
      <color rgb="FF2E7D5B"/>
    </font>
    <font>
      <b val="1"/>
      <color rgb="FF0070C0"/>
    </font>
    <font>
      <b val="1"/>
      <color rgb="FFC00000"/>
    </font>
    <font>
      <b val="1"/>
      <color rgb="FFD68910"/>
    </font>
    <font>
      <b val="1"/>
      <i val="1"/>
      <color rgb="FF2E7D5B"/>
    </font>
    <font>
      <i val="1"/>
      <color rgb="FF2E7D5B"/>
    </font>
  </fonts>
  <fills count="19">
    <fill>
      <patternFill/>
    </fill>
    <fill>
      <patternFill patternType="gray125"/>
    </fill>
    <fill>
      <patternFill patternType="solid">
        <fgColor rgb="FF1F3864"/>
        <bgColor rgb="FF0F2B5C"/>
      </patternFill>
    </fill>
    <fill>
      <patternFill patternType="solid">
        <fgColor rgb="FFFFFFF0"/>
        <bgColor rgb="FFFFFFFF"/>
      </patternFill>
    </fill>
    <fill>
      <patternFill patternType="solid">
        <fgColor rgb="FFF2F2F2"/>
        <bgColor rgb="FFF5F5F5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CE4EC"/>
        <bgColor rgb="FFFCE4D6"/>
      </patternFill>
    </fill>
    <fill>
      <patternFill patternType="solid">
        <fgColor rgb="FFF5F5F5"/>
        <bgColor rgb="FFF2F2F2"/>
      </patternFill>
    </fill>
    <fill>
      <patternFill patternType="solid">
        <fgColor rgb="FF0F2B5C"/>
        <bgColor rgb="FF1F3864"/>
      </patternFill>
    </fill>
    <fill>
      <patternFill patternType="solid">
        <fgColor rgb="FFFCE4D6"/>
        <bgColor rgb="FFFCE4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EEF6FB"/>
      </patternFill>
    </fill>
  </fills>
  <borders count="5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C0C0C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4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9" fontId="12" fillId="2" borderId="0" applyAlignment="1" pivotButton="0" quotePrefix="0" xfId="0">
      <alignment horizontal="center" vertical="bottom"/>
    </xf>
    <xf numFmtId="169" fontId="17" fillId="2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11" fillId="5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3" fontId="11" fillId="5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6" fontId="11" fillId="6" borderId="0" applyAlignment="1" pivotButton="0" quotePrefix="0" xfId="0">
      <alignment horizontal="center" vertical="bottom"/>
    </xf>
    <xf numFmtId="165" fontId="11" fillId="6" borderId="0" applyAlignment="1" pivotButton="0" quotePrefix="0" xfId="0">
      <alignment horizontal="center" vertical="bottom"/>
    </xf>
    <xf numFmtId="3" fontId="11" fillId="6" borderId="0" applyAlignment="1" pivotButton="0" quotePrefix="0" xfId="0">
      <alignment horizontal="center" vertical="bottom"/>
    </xf>
    <xf numFmtId="169" fontId="11" fillId="2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7" fillId="0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general" vertical="bottom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0" fontId="12" fillId="0" borderId="0" applyAlignment="1" pivotButton="0" quotePrefix="0" xfId="0">
      <alignment horizontal="left" vertical="center" indent="1"/>
    </xf>
    <xf numFmtId="165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2"/>
    </xf>
    <xf numFmtId="0" fontId="11" fillId="0" borderId="0" applyAlignment="1" pivotButton="0" quotePrefix="0" xfId="0">
      <alignment horizontal="left" vertical="center" indent="2"/>
    </xf>
    <xf numFmtId="169" fontId="11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general" vertical="bottom"/>
    </xf>
    <xf numFmtId="165" fontId="12" fillId="6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general" vertical="bottom"/>
    </xf>
    <xf numFmtId="169" fontId="12" fillId="8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2" borderId="0" pivotButton="0" quotePrefix="0" xfId="0"/>
    <xf numFmtId="0" fontId="34" fillId="0" borderId="0" applyAlignment="1" pivotButton="0" quotePrefix="0" xfId="0">
      <alignment horizontal="general" vertical="bottom"/>
    </xf>
    <xf numFmtId="0" fontId="35" fillId="12" borderId="0" applyAlignment="1" pivotButton="0" quotePrefix="0" xfId="0">
      <alignment horizontal="center" vertical="bottom"/>
    </xf>
    <xf numFmtId="0" fontId="36" fillId="12" borderId="0" applyAlignment="1" pivotButton="0" quotePrefix="0" xfId="0">
      <alignment horizontal="center" vertical="bottom"/>
    </xf>
    <xf numFmtId="0" fontId="36" fillId="12" borderId="0" pivotButton="0" quotePrefix="0" xfId="0"/>
    <xf numFmtId="0" fontId="35" fillId="12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169" fontId="37" fillId="0" borderId="0" applyAlignment="1" pivotButton="0" quotePrefix="0" xfId="0">
      <alignment horizontal="center" vertical="bottom"/>
    </xf>
    <xf numFmtId="169" fontId="37" fillId="0" borderId="0" pivotButton="0" quotePrefix="0" xfId="0"/>
    <xf numFmtId="0" fontId="38" fillId="0" borderId="0" applyAlignment="1" pivotButton="0" quotePrefix="0" xfId="0">
      <alignment horizontal="general" vertical="bottom"/>
    </xf>
    <xf numFmtId="3" fontId="38" fillId="13" borderId="0" applyAlignment="1" pivotButton="0" quotePrefix="0" xfId="0">
      <alignment horizontal="center" vertical="bottom"/>
    </xf>
    <xf numFmtId="3" fontId="38" fillId="13" borderId="0" pivotButton="0" quotePrefix="0" xfId="0"/>
    <xf numFmtId="3" fontId="12" fillId="0" borderId="0" applyAlignment="1" pivotButton="0" quotePrefix="0" xfId="0">
      <alignment horizontal="center" vertical="bottom"/>
    </xf>
    <xf numFmtId="166" fontId="38" fillId="13" borderId="0" applyAlignment="1" pivotButton="0" quotePrefix="0" xfId="0">
      <alignment horizontal="center" vertical="bottom"/>
    </xf>
    <xf numFmtId="166" fontId="38" fillId="13" borderId="0" pivotButton="0" quotePrefix="0" xfId="0"/>
    <xf numFmtId="175" fontId="38" fillId="13" borderId="0" applyAlignment="1" pivotButton="0" quotePrefix="0" xfId="0">
      <alignment horizontal="center" vertical="bottom"/>
    </xf>
    <xf numFmtId="175" fontId="38" fillId="13" borderId="0" pivotButton="0" quotePrefix="0" xfId="0"/>
    <xf numFmtId="169" fontId="11" fillId="0" borderId="0" applyAlignment="1" pivotButton="0" quotePrefix="0" xfId="0">
      <alignment horizontal="center" vertical="bottom"/>
    </xf>
    <xf numFmtId="166" fontId="11" fillId="12" borderId="0" applyAlignment="1" pivotButton="0" quotePrefix="0" xfId="0">
      <alignment horizontal="center" vertical="bottom"/>
    </xf>
    <xf numFmtId="169" fontId="38" fillId="0" borderId="0" applyAlignment="1" pivotButton="0" quotePrefix="0" xfId="0">
      <alignment horizontal="center" vertical="bottom"/>
    </xf>
    <xf numFmtId="169" fontId="38" fillId="0" borderId="0" pivotButton="0" quotePrefix="0" xfId="0"/>
    <xf numFmtId="165" fontId="12" fillId="0" borderId="0" applyAlignment="1" pivotButton="0" quotePrefix="0" xfId="0">
      <alignment horizontal="center" vertical="bottom"/>
    </xf>
    <xf numFmtId="169" fontId="12" fillId="12" borderId="0" applyAlignment="1" pivotButton="0" quotePrefix="0" xfId="0">
      <alignment horizontal="center" vertical="bottom"/>
    </xf>
    <xf numFmtId="169" fontId="36" fillId="12" borderId="0" applyAlignment="1" pivotButton="0" quotePrefix="0" xfId="0">
      <alignment horizontal="center" vertical="bottom"/>
    </xf>
    <xf numFmtId="169" fontId="17" fillId="12" borderId="0" applyAlignment="1" pivotButton="0" quotePrefix="0" xfId="0">
      <alignment horizontal="center" vertical="bottom"/>
    </xf>
    <xf numFmtId="169" fontId="11" fillId="12" borderId="0" applyAlignment="1" pivotButton="0" quotePrefix="0" xfId="0">
      <alignment horizontal="center" vertical="bottom"/>
    </xf>
    <xf numFmtId="166" fontId="38" fillId="0" borderId="0" applyAlignment="1" pivotButton="0" quotePrefix="0" xfId="0">
      <alignment horizontal="center" vertical="bottom"/>
    </xf>
    <xf numFmtId="166" fontId="37" fillId="0" borderId="0" applyAlignment="1" pivotButton="0" quotePrefix="0" xfId="0">
      <alignment horizontal="center" vertical="bottom"/>
    </xf>
    <xf numFmtId="175" fontId="37" fillId="0" borderId="0" applyAlignment="1" pivotButton="0" quotePrefix="0" xfId="0">
      <alignment horizontal="center" vertical="bottom"/>
    </xf>
    <xf numFmtId="175" fontId="37" fillId="0" borderId="0" pivotButton="0" quotePrefix="0" xfId="0"/>
    <xf numFmtId="3" fontId="3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37" fillId="13" borderId="0" applyAlignment="1" pivotButton="0" quotePrefix="0" xfId="0">
      <alignment horizontal="center" vertical="bottom"/>
    </xf>
    <xf numFmtId="175" fontId="37" fillId="13" borderId="0" applyAlignment="1" pivotButton="0" quotePrefix="0" xfId="0">
      <alignment horizontal="center" vertical="bottom"/>
    </xf>
    <xf numFmtId="175" fontId="37" fillId="13" borderId="0" pivotButton="0" quotePrefix="0" xfId="0"/>
    <xf numFmtId="3" fontId="37" fillId="13" borderId="0" applyAlignment="1" pivotButton="0" quotePrefix="0" xfId="0">
      <alignment horizontal="center" vertical="bottom"/>
    </xf>
    <xf numFmtId="3" fontId="11" fillId="13" borderId="0" applyAlignment="1" pivotButton="0" quotePrefix="0" xfId="0">
      <alignment horizontal="center" vertical="bottom"/>
    </xf>
    <xf numFmtId="0" fontId="0" fillId="13" borderId="0" pivotButton="0" quotePrefix="0" xfId="0"/>
    <xf numFmtId="169" fontId="11" fillId="13" borderId="0" applyAlignment="1" pivotButton="0" quotePrefix="0" xfId="0">
      <alignment horizontal="center" vertical="bottom"/>
    </xf>
    <xf numFmtId="166" fontId="38" fillId="14" borderId="0" applyAlignment="1" pivotButton="0" quotePrefix="0" xfId="0">
      <alignment horizontal="center" vertical="bottom"/>
    </xf>
    <xf numFmtId="166" fontId="37" fillId="14" borderId="0" applyAlignment="1" pivotButton="0" quotePrefix="0" xfId="0">
      <alignment horizontal="center" vertical="bottom"/>
    </xf>
    <xf numFmtId="175" fontId="37" fillId="14" borderId="0" applyAlignment="1" pivotButton="0" quotePrefix="0" xfId="0">
      <alignment horizontal="center" vertical="bottom"/>
    </xf>
    <xf numFmtId="175" fontId="37" fillId="14" borderId="0" pivotButton="0" quotePrefix="0" xfId="0"/>
    <xf numFmtId="3" fontId="37" fillId="14" borderId="0" applyAlignment="1" pivotButton="0" quotePrefix="0" xfId="0">
      <alignment horizontal="center" vertical="bottom"/>
    </xf>
    <xf numFmtId="3" fontId="11" fillId="14" borderId="0" applyAlignment="1" pivotButton="0" quotePrefix="0" xfId="0">
      <alignment horizontal="center" vertical="bottom"/>
    </xf>
    <xf numFmtId="0" fontId="0" fillId="14" borderId="0" pivotButton="0" quotePrefix="0" xfId="0"/>
    <xf numFmtId="169" fontId="11" fillId="14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165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166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2"/>
    </xf>
    <xf numFmtId="3" fontId="12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left" vertical="center" indent="2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3" fontId="11" fillId="5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165" fontId="12" fillId="6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8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0" fillId="0" borderId="4" pivotButton="0" quotePrefix="0" xfId="0"/>
    <xf numFmtId="0" fontId="42" fillId="15" borderId="4" applyAlignment="1" pivotButton="0" quotePrefix="0" xfId="0">
      <alignment horizontal="center" vertical="bottom"/>
    </xf>
    <xf numFmtId="0" fontId="40" fillId="15" borderId="4" applyAlignment="1" pivotButton="0" quotePrefix="0" xfId="0">
      <alignment horizontal="center" vertical="bottom"/>
    </xf>
    <xf numFmtId="0" fontId="40" fillId="0" borderId="4" applyAlignment="1" pivotButton="0" quotePrefix="0" xfId="0">
      <alignment horizontal="general" vertical="bottom"/>
    </xf>
    <xf numFmtId="169" fontId="43" fillId="16" borderId="4" applyAlignment="1" pivotButton="0" quotePrefix="0" xfId="0">
      <alignment horizontal="center" vertical="bottom"/>
    </xf>
    <xf numFmtId="169" fontId="40" fillId="0" borderId="4" applyAlignment="1" pivotButton="0" quotePrefix="0" xfId="0">
      <alignment horizontal="center" vertical="bottom"/>
    </xf>
    <xf numFmtId="169" fontId="45" fillId="0" borderId="4" applyAlignment="1" pivotButton="0" quotePrefix="0" xfId="0">
      <alignment horizontal="center" vertical="bottom"/>
    </xf>
    <xf numFmtId="0" fontId="44" fillId="0" borderId="4" pivotButton="0" quotePrefix="0" xfId="0"/>
    <xf numFmtId="0" fontId="40" fillId="17" borderId="4" pivotButton="0" quotePrefix="0" xfId="0"/>
    <xf numFmtId="0" fontId="45" fillId="17" borderId="4" pivotButton="0" quotePrefix="0" xfId="0"/>
    <xf numFmtId="0" fontId="42" fillId="15" borderId="4" applyAlignment="1" pivotButton="0" quotePrefix="0" xfId="0">
      <alignment horizontal="general" vertical="bottom"/>
    </xf>
    <xf numFmtId="0" fontId="40" fillId="15" borderId="4" pivotButton="0" quotePrefix="0" xfId="0"/>
    <xf numFmtId="9" fontId="46" fillId="18" borderId="4" pivotButton="0" quotePrefix="0" xfId="0"/>
    <xf numFmtId="0" fontId="41" fillId="0" borderId="4" pivotButton="0" quotePrefix="0" xfId="0"/>
    <xf numFmtId="0" fontId="43" fillId="16" borderId="4" applyAlignment="1" pivotButton="0" quotePrefix="0" xfId="0">
      <alignment horizontal="center" vertical="center" wrapText="1"/>
    </xf>
    <xf numFmtId="0" fontId="44" fillId="17" borderId="4" pivotButton="0" quotePrefix="0" xfId="0"/>
    <xf numFmtId="166" fontId="47" fillId="0" borderId="4" pivotButton="0" quotePrefix="0" xfId="0"/>
    <xf numFmtId="176" fontId="47" fillId="0" borderId="4" pivotButton="0" quotePrefix="0" xfId="0"/>
    <xf numFmtId="0" fontId="43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pivotButton="0" quotePrefix="0" xfId="0"/>
    <xf numFmtId="0" fontId="41" fillId="0" borderId="0" pivotButton="0" quotePrefix="0" xfId="0"/>
    <xf numFmtId="0" fontId="42" fillId="15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center" vertical="bottom"/>
    </xf>
    <xf numFmtId="0" fontId="40" fillId="15" borderId="0" pivotButton="0" quotePrefix="0" xfId="0"/>
    <xf numFmtId="169" fontId="40" fillId="0" borderId="0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bottom"/>
    </xf>
    <xf numFmtId="169" fontId="45" fillId="17" borderId="1" applyAlignment="1" pivotButton="0" quotePrefix="0" xfId="0">
      <alignment horizontal="general" vertical="bottom"/>
    </xf>
    <xf numFmtId="0" fontId="40" fillId="0" borderId="1" applyAlignment="1" pivotButton="0" quotePrefix="0" xfId="0">
      <alignment horizontal="general" vertical="bottom"/>
    </xf>
    <xf numFmtId="169" fontId="40" fillId="0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7" fillId="0" borderId="0" pivotButton="0" quotePrefix="0" xfId="0"/>
    <xf numFmtId="0" fontId="44" fillId="0" borderId="0" pivotButton="0" quotePrefix="0" xfId="0"/>
    <xf numFmtId="0" fontId="45" fillId="17" borderId="0" pivotButton="0" quotePrefix="0" xfId="0"/>
    <xf numFmtId="169" fontId="45" fillId="0" borderId="0" applyAlignment="1" pivotButton="0" quotePrefix="0" xfId="0">
      <alignment horizontal="center" vertical="bottom"/>
    </xf>
    <xf numFmtId="0" fontId="41" fillId="0" borderId="1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general" vertical="bottom"/>
    </xf>
    <xf numFmtId="0" fontId="43" fillId="16" borderId="0" pivotButton="0" quotePrefix="0" xfId="0"/>
    <xf numFmtId="0" fontId="43" fillId="16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5" fillId="0" borderId="0" applyAlignment="1" pivotButton="0" quotePrefix="0" xfId="0">
      <alignment vertical="top" wrapText="1"/>
    </xf>
    <xf numFmtId="0" fontId="41" fillId="0" borderId="0" applyAlignment="1" pivotButton="0" quotePrefix="0" xfId="0">
      <alignment vertical="top" wrapText="1"/>
    </xf>
    <xf numFmtId="0" fontId="48" fillId="0" borderId="0" applyAlignment="1" pivotButton="0" quotePrefix="0" xfId="0">
      <alignment vertical="top" wrapText="1"/>
    </xf>
    <xf numFmtId="0" fontId="47" fillId="0" borderId="0" applyAlignment="1" pivotButton="0" quotePrefix="0" xfId="0">
      <alignment vertical="top" wrapText="1"/>
    </xf>
    <xf numFmtId="0" fontId="42" fillId="0" borderId="0" pivotButton="0" quotePrefix="0" xfId="0"/>
    <xf numFmtId="0" fontId="42" fillId="15" borderId="0" pivotButton="0" quotePrefix="0" xfId="0"/>
    <xf numFmtId="0" fontId="43" fillId="16" borderId="0" applyAlignment="1" pivotButton="0" quotePrefix="0" xfId="0">
      <alignment horizontal="center" wrapText="1"/>
    </xf>
    <xf numFmtId="0" fontId="49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left" vertical="center" indent="1"/>
    </xf>
    <xf numFmtId="0" fontId="50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left" vertical="center" inden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88888"/>
      <rgbColor rgb="FF9999FF"/>
      <rgbColor rgb="FF993366"/>
      <rgbColor rgb="FFFFF2CC"/>
      <rgbColor rgb="FFF2F2F2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F0"/>
      <rgbColor rgb="FFFCE4EC"/>
      <rgbColor rgb="FFF5F5F5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BE8A42"/>
      <rgbColor rgb="FF0F2B5C"/>
      <rgbColor rgb="FF2E7D5B"/>
      <rgbColor rgb="FF003300"/>
      <rgbColor rgb="FF333300"/>
      <rgbColor rgb="FF9933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styles" Target="styles.xml" Id="rId41" /><Relationship Type="http://schemas.openxmlformats.org/officeDocument/2006/relationships/theme" Target="theme/theme1.xml" Id="rId42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06" min="1" max="1"/>
    <col width="18" customWidth="1" style="306" min="2" max="3"/>
    <col width="16" customWidth="1" style="306" min="4" max="4"/>
    <col width="40" customWidth="1" style="306" min="5" max="5"/>
    <col width="4" customWidth="1" style="306" min="6" max="6"/>
    <col width="12" customWidth="1" style="306" min="7" max="8"/>
    <col width="4" customWidth="1" style="306" min="9" max="9"/>
    <col width="10" customWidth="1" style="306" min="10" max="10"/>
  </cols>
  <sheetData>
    <row r="1" ht="17.25" customHeight="1" s="307">
      <c r="A1" s="308" t="inlineStr">
        <is>
          <t>PRESS CAPITAL -- Fund I ASSUMPTIONS</t>
        </is>
      </c>
      <c r="B1" s="309" t="n"/>
      <c r="C1" s="309" t="n"/>
      <c r="D1" s="309" t="n"/>
      <c r="E1" s="309" t="n"/>
    </row>
    <row r="2" ht="15" customHeight="1" s="307">
      <c r="A2" s="310" t="inlineStr">
        <is>
          <t>All blue cells are adjustable inputs. Black cells on gray are calculated.</t>
        </is>
      </c>
    </row>
    <row r="4" ht="15" customHeight="1" s="307">
      <c r="A4" s="311" t="inlineStr">
        <is>
          <t>FUND PARAMETERS</t>
        </is>
      </c>
      <c r="B4" s="309" t="n"/>
      <c r="C4" s="309" t="n"/>
      <c r="D4" s="309" t="n"/>
      <c r="E4" s="309" t="n"/>
    </row>
    <row r="5" ht="15" customHeight="1" s="307">
      <c r="A5" s="312" t="inlineStr">
        <is>
          <t>Fund Size ($)</t>
        </is>
      </c>
      <c r="B5" s="313" t="n">
        <v>150000000</v>
      </c>
    </row>
    <row r="6" ht="15" customHeight="1" s="307">
      <c r="A6" s="314" t="inlineStr">
        <is>
          <t>Number of Deals</t>
        </is>
      </c>
      <c r="B6" s="315" t="n">
        <v>5</v>
      </c>
    </row>
    <row r="7" ht="15" customHeight="1" s="307">
      <c r="A7" s="314" t="inlineStr">
        <is>
          <t>ARR per Deal ($)</t>
        </is>
      </c>
      <c r="B7" s="316" t="n">
        <v>24000000</v>
      </c>
    </row>
    <row r="8" ht="15" customHeight="1" s="307">
      <c r="A8" s="314" t="inlineStr">
        <is>
          <t>Entry Multiple (x ARR)</t>
        </is>
      </c>
      <c r="B8" s="317" t="n">
        <v>1.25</v>
      </c>
    </row>
    <row r="9" ht="15" customHeight="1" s="307">
      <c r="A9" s="314" t="inlineStr">
        <is>
          <t>Capital per Deal ($)</t>
        </is>
      </c>
      <c r="B9" s="318" t="n">
        <v>30000000</v>
      </c>
      <c r="E9" s="310" t="inlineStr">
        <is>
          <t>ARR x Entry Multiple (auto)</t>
        </is>
      </c>
    </row>
    <row r="10" ht="15" customHeight="1" s="307">
      <c r="A10" s="314" t="inlineStr">
        <is>
          <t>Total Capital Deployed ($)</t>
        </is>
      </c>
      <c r="B10" s="318" t="n">
        <v>150000000</v>
      </c>
      <c r="E10" s="310" t="inlineStr">
        <is>
          <t>Deals x Capital per Deal (auto)</t>
        </is>
      </c>
    </row>
    <row r="11" ht="15" customHeight="1" s="307">
      <c r="A11" s="314" t="inlineStr">
        <is>
          <t>Asset Deal % (50% rev haircut Y1)</t>
        </is>
      </c>
      <c r="B11" s="319" t="n">
        <v>0.25</v>
      </c>
    </row>
    <row r="12" ht="15" customHeight="1" s="307">
      <c r="A12" s="314" t="inlineStr">
        <is>
          <t>Share Deal %</t>
        </is>
      </c>
      <c r="B12" s="320" t="n">
        <v>0.75</v>
      </c>
      <c r="E12" s="310" t="inlineStr">
        <is>
          <t>1 - Asset Deal %</t>
        </is>
      </c>
    </row>
    <row r="13" ht="15" customHeight="1" s="307">
      <c r="A13" s="321" t="inlineStr">
        <is>
          <t>Leverage / Debt</t>
        </is>
      </c>
      <c r="B13" s="322" t="inlineStr">
        <is>
          <t>Zero</t>
        </is>
      </c>
      <c r="E13" s="323" t="inlineStr">
        <is>
          <t>No debt at fund or portfolio company level. All cash acquisitions.</t>
        </is>
      </c>
    </row>
    <row r="15" ht="15" customHeight="1" s="307">
      <c r="A15" s="311" t="inlineStr">
        <is>
          <t>RETENTION &amp; GROWTH</t>
        </is>
      </c>
      <c r="B15" s="309" t="n"/>
      <c r="C15" s="309" t="n"/>
      <c r="D15" s="309" t="n"/>
      <c r="E15" s="309" t="n"/>
    </row>
    <row r="16" ht="15" customHeight="1" s="307">
      <c r="A16" s="312" t="inlineStr">
        <is>
          <t>Net Dollar Retention -- Base Case</t>
        </is>
      </c>
      <c r="B16" s="324" t="n">
        <v>0.85</v>
      </c>
    </row>
    <row r="17" ht="15" customHeight="1" s="307">
      <c r="A17" s="314" t="inlineStr">
        <is>
          <t>Net Dollar Retention -- Homerun</t>
        </is>
      </c>
      <c r="B17" s="319" t="n">
        <v>0.95</v>
      </c>
    </row>
    <row r="18" ht="15" customHeight="1" s="307">
      <c r="A18" s="314" t="inlineStr">
        <is>
          <t>Net Dollar Retention -- Looser</t>
        </is>
      </c>
      <c r="B18" s="319" t="n">
        <v>0.8</v>
      </c>
      <c r="E18" s="310" t="inlineStr">
        <is>
          <t>Conservative / stress test scenario</t>
        </is>
      </c>
    </row>
    <row r="19" ht="15" customHeight="1" s="307">
      <c r="A19" s="314" t="inlineStr">
        <is>
          <t>NCA % -- Base Case</t>
        </is>
      </c>
      <c r="B19" s="319" t="n">
        <v>0</v>
      </c>
    </row>
    <row r="20" ht="15" customHeight="1" s="307">
      <c r="A20" s="314" t="inlineStr">
        <is>
          <t>NCA % -- Homerun</t>
        </is>
      </c>
      <c r="B20" s="319" t="n">
        <v>0.05</v>
      </c>
    </row>
    <row r="21" ht="15" customHeight="1" s="307">
      <c r="A21" s="314" t="inlineStr">
        <is>
          <t>Scenario Toggle (1=Base, 2=Homerun)</t>
        </is>
      </c>
      <c r="B21" s="315" t="n">
        <v>1</v>
      </c>
      <c r="E21" s="310" t="inlineStr">
        <is>
          <t>1=Base, 2=Homerun, 3=Looser</t>
        </is>
      </c>
    </row>
    <row r="22" ht="15" customHeight="1" s="307">
      <c r="A22" s="314" t="inlineStr">
        <is>
          <t>Active Retention Rate</t>
        </is>
      </c>
      <c r="B22" s="320" t="n">
        <v>0.85</v>
      </c>
      <c r="E22" s="310" t="inlineStr">
        <is>
          <t>Auto from toggle</t>
        </is>
      </c>
    </row>
    <row r="23" ht="15" customHeight="1" s="307">
      <c r="A23" s="314" t="inlineStr">
        <is>
          <t>Active NCA Rate</t>
        </is>
      </c>
      <c r="B23" s="320" t="n">
        <v>0</v>
      </c>
      <c r="E23" s="310" t="inlineStr">
        <is>
          <t>Auto from toggle</t>
        </is>
      </c>
    </row>
    <row r="25" ht="15" customHeight="1" s="307">
      <c r="A25" s="311" t="inlineStr">
        <is>
          <t>MARGIN MODEL</t>
        </is>
      </c>
      <c r="B25" s="309" t="n"/>
      <c r="C25" s="309" t="n"/>
      <c r="D25" s="309" t="n"/>
      <c r="E25" s="309" t="n"/>
    </row>
    <row r="26" ht="15" customHeight="1" s="307">
      <c r="A26" s="312" t="inlineStr">
        <is>
          <t>Net Margin (flat, all years)</t>
        </is>
      </c>
      <c r="B26" s="324" t="n">
        <v>0.625</v>
      </c>
      <c r="E26" s="310" t="inlineStr">
        <is>
          <t>Used in flat-margin tabs (3a-3d). Set to 0 to use component costs.</t>
        </is>
      </c>
    </row>
    <row r="28" ht="15" customHeight="1" s="307">
      <c r="A28" s="325" t="inlineStr">
        <is>
          <t>COST STRUCTURE</t>
        </is>
      </c>
      <c r="B28" s="326" t="n"/>
      <c r="C28" s="326" t="n"/>
      <c r="D28" s="326" t="n"/>
      <c r="E28" s="326" t="n"/>
    </row>
    <row r="29" ht="15" customHeight="1" s="307">
      <c r="A29" s="323" t="inlineStr">
        <is>
          <t>All companies assumed breakeven at entry. Adjust per-deal entry margin on Tab 2.</t>
        </is>
      </c>
      <c r="B29" s="321" t="n"/>
      <c r="C29" s="321" t="n"/>
      <c r="D29" s="321" t="n"/>
      <c r="E29" s="321" t="n"/>
    </row>
    <row r="30" ht="15" customHeight="1" s="307">
      <c r="A30" s="321" t="inlineStr">
        <is>
          <t>COGS</t>
        </is>
      </c>
      <c r="B30" s="319" t="n">
        <v>0.1</v>
      </c>
      <c r="C30" s="327" t="n"/>
      <c r="D30" s="321" t="n"/>
      <c r="E30" s="323" t="inlineStr">
        <is>
          <t>Ramps from 25% at close to 10% over 6 months</t>
        </is>
      </c>
    </row>
    <row r="31" ht="15" customHeight="1" s="307">
      <c r="A31" s="321" t="inlineStr">
        <is>
          <t>Vendor Costs</t>
        </is>
      </c>
      <c r="B31" s="319" t="n">
        <v>0.05</v>
      </c>
      <c r="C31" s="327" t="n"/>
      <c r="D31" s="321" t="n"/>
      <c r="E31" s="323" t="inlineStr">
        <is>
          <t>Ramps from 10% at close to 5% over 6 months</t>
        </is>
      </c>
    </row>
    <row r="32" ht="15" customHeight="1" s="307">
      <c r="A32" s="321" t="inlineStr">
        <is>
          <t>Corporate Allocation</t>
        </is>
      </c>
      <c r="B32" s="319" t="n">
        <v>0.06</v>
      </c>
      <c r="C32" s="327" t="n"/>
      <c r="D32" s="321" t="n"/>
      <c r="E32" s="323" t="inlineStr">
        <is>
          <t>Flat</t>
        </is>
      </c>
    </row>
    <row r="33" ht="15" customHeight="1" s="307">
      <c r="A33" s="321" t="inlineStr">
        <is>
          <t>Legacy Headcount Expenses</t>
        </is>
      </c>
      <c r="B33" s="319" t="n">
        <v>0</v>
      </c>
      <c r="C33" s="321" t="n"/>
      <c r="D33" s="321" t="n"/>
      <c r="E33" s="323" t="inlineStr">
        <is>
          <t>Acquired company staff. 50% cut day 1, 90% by M6, 100% by M24. Rate derived from entry profit per deal.</t>
        </is>
      </c>
    </row>
    <row r="34" ht="15" customHeight="1" s="307">
      <c r="A34" s="321" t="inlineStr">
        <is>
          <t>Salary Overhead Loading</t>
        </is>
      </c>
      <c r="B34" s="319" t="n">
        <v>0.3</v>
      </c>
      <c r="C34" s="327" t="n"/>
      <c r="D34" s="321" t="n"/>
      <c r="E34" s="323" t="inlineStr">
        <is>
          <t>On top of base salaries</t>
        </is>
      </c>
    </row>
    <row r="35" ht="15" customHeight="1" s="307">
      <c r="A35" s="321" t="inlineStr">
        <is>
          <t>Bonus Pool Threshold</t>
        </is>
      </c>
      <c r="B35" s="319" t="n">
        <v>0.625</v>
      </c>
      <c r="C35" s="321" t="n"/>
      <c r="D35" s="321" t="n"/>
      <c r="E35" s="323" t="inlineStr">
        <is>
          <t>Included in OpEx. Everything above 62.5% EBITDA margin goes to team.</t>
        </is>
      </c>
    </row>
    <row r="36" ht="15" customHeight="1" s="307">
      <c r="A36" s="321" t="n"/>
      <c r="B36" s="321" t="n"/>
      <c r="C36" s="321" t="n"/>
      <c r="D36" s="321" t="n"/>
      <c r="E36" s="321" t="n"/>
    </row>
    <row r="37" ht="15" customHeight="1" s="307">
      <c r="A37" s="311" t="inlineStr">
        <is>
          <t>WATERFALL &amp; DISTRIBUTION</t>
        </is>
      </c>
      <c r="B37" s="309" t="n"/>
      <c r="C37" s="309" t="n"/>
      <c r="D37" s="309" t="n"/>
      <c r="E37" s="309" t="n"/>
    </row>
    <row r="38" ht="15" customHeight="1" s="307">
      <c r="A38" s="312" t="inlineStr">
        <is>
          <t>Phase 1: Return of Capital (x)</t>
        </is>
      </c>
      <c r="B38" s="328" t="n">
        <v>1</v>
      </c>
      <c r="E38" s="310" t="inlineStr">
        <is>
          <t>100% to LPs until 1x returned</t>
        </is>
      </c>
    </row>
    <row r="39" ht="15" customHeight="1" s="307">
      <c r="A39" s="312" t="inlineStr">
        <is>
          <t>Preferred Return (Annual)</t>
        </is>
      </c>
      <c r="B39" s="324" t="n">
        <v>0.1</v>
      </c>
      <c r="E39" s="310" t="inlineStr">
        <is>
          <t>10% pref on unreturned capital</t>
        </is>
      </c>
    </row>
    <row r="40" ht="15" customHeight="1" s="307">
      <c r="A40" s="314" t="inlineStr">
        <is>
          <t>Tier 2: LP Split % (1x-2x)</t>
        </is>
      </c>
      <c r="B40" s="319" t="n">
        <v>0.8</v>
      </c>
      <c r="E40" s="310" t="inlineStr">
        <is>
          <t>HoldCo gets 20%</t>
        </is>
      </c>
    </row>
    <row r="41" ht="15" customHeight="1" s="307">
      <c r="A41" s="314" t="inlineStr">
        <is>
          <t>Tier 3: LP Split % (2x-3x)</t>
        </is>
      </c>
      <c r="B41" s="319" t="n">
        <v>0.75</v>
      </c>
      <c r="E41" s="310" t="inlineStr">
        <is>
          <t>HoldCo gets 25%</t>
        </is>
      </c>
    </row>
    <row r="42" ht="15" customHeight="1" s="307">
      <c r="A42" s="314" t="inlineStr">
        <is>
          <t>Tier 4: LP Split % (above 3x)</t>
        </is>
      </c>
      <c r="B42" s="319" t="n">
        <v>0.7</v>
      </c>
      <c r="E42" s="310" t="inlineStr">
        <is>
          <t>HoldCo gets 30% -- perpetual</t>
        </is>
      </c>
    </row>
    <row r="43" ht="15" customHeight="1" s="307">
      <c r="A43" s="314" t="inlineStr">
        <is>
          <t>Mgmt Fee Schedule</t>
        </is>
      </c>
      <c r="B43" s="329" t="inlineStr">
        <is>
          <t>2% Y1 only</t>
        </is>
      </c>
      <c r="E43" s="310" t="inlineStr">
        <is>
          <t>0% after Y1 once 3 deals deployed</t>
        </is>
      </c>
    </row>
    <row r="45" ht="15" customHeight="1" s="307">
      <c r="A45" s="311" t="inlineStr">
        <is>
          <t>TIERED WATERFALL THRESHOLDS</t>
        </is>
      </c>
      <c r="B45" s="309" t="n"/>
      <c r="C45" s="309" t="n"/>
      <c r="D45" s="309" t="n"/>
      <c r="E45" s="309" t="n"/>
    </row>
    <row r="46" ht="15" customHeight="1" s="307">
      <c r="A46" s="312" t="inlineStr">
        <is>
          <t>Tier</t>
        </is>
      </c>
      <c r="B46" s="312" t="inlineStr">
        <is>
          <t>Threshold (x)</t>
        </is>
      </c>
      <c r="C46" s="312" t="inlineStr">
        <is>
          <t>LP Split %</t>
        </is>
      </c>
    </row>
    <row r="47" ht="15" customHeight="1" s="307">
      <c r="A47" s="314" t="inlineStr">
        <is>
          <t>Tier 1</t>
        </is>
      </c>
      <c r="B47" s="329" t="inlineStr">
        <is>
          <t>1x</t>
        </is>
      </c>
      <c r="C47" s="319" t="n">
        <v>1</v>
      </c>
    </row>
    <row r="48" ht="15" customHeight="1" s="307">
      <c r="A48" s="314" t="inlineStr">
        <is>
          <t>Tier 2</t>
        </is>
      </c>
      <c r="B48" s="329" t="inlineStr">
        <is>
          <t>2x</t>
        </is>
      </c>
      <c r="C48" s="319" t="n">
        <v>0.8</v>
      </c>
    </row>
    <row r="49" ht="15" customHeight="1" s="307">
      <c r="A49" s="314" t="inlineStr">
        <is>
          <t>Tier 3</t>
        </is>
      </c>
      <c r="B49" s="329" t="inlineStr">
        <is>
          <t>3x</t>
        </is>
      </c>
      <c r="C49" s="319" t="n">
        <v>0.75</v>
      </c>
    </row>
    <row r="50" ht="15" customHeight="1" s="307">
      <c r="A50" s="314" t="inlineStr">
        <is>
          <t>Tier 4 (above 3x)</t>
        </is>
      </c>
      <c r="B50" s="329" t="n"/>
      <c r="C50" s="319" t="n">
        <v>0.7</v>
      </c>
    </row>
    <row r="52" ht="15" customHeight="1" s="307">
      <c r="A52" s="311" t="inlineStr">
        <is>
          <t>TEAM &amp; COMPENSATION</t>
        </is>
      </c>
      <c r="B52" s="309" t="n"/>
      <c r="C52" s="309" t="n"/>
      <c r="D52" s="309" t="n"/>
      <c r="E52" s="309" t="n"/>
    </row>
    <row r="53" ht="15" customHeight="1" s="307">
      <c r="A53" s="314" t="inlineStr">
        <is>
          <t>CEO Salary ($, base)</t>
        </is>
      </c>
      <c r="B53" s="316" t="n">
        <v>1000000</v>
      </c>
    </row>
    <row r="54" ht="15" customHeight="1" s="307">
      <c r="A54" s="314" t="inlineStr">
        <is>
          <t>COO Salary ($, base)</t>
        </is>
      </c>
      <c r="B54" s="316" t="n">
        <v>500000</v>
      </c>
    </row>
    <row r="55" ht="15" customHeight="1" s="307">
      <c r="A55" s="314" t="inlineStr">
        <is>
          <t>CFO Salary ($, base)</t>
        </is>
      </c>
      <c r="B55" s="316" t="n">
        <v>500000</v>
      </c>
    </row>
    <row r="56" ht="15" customHeight="1" s="307">
      <c r="A56" s="314" t="inlineStr">
        <is>
          <t>CPO Salary ($, base)</t>
        </is>
      </c>
      <c r="B56" s="316" t="n">
        <v>500000</v>
      </c>
    </row>
    <row r="57" ht="15" customHeight="1" s="307">
      <c r="A57" s="314" t="inlineStr">
        <is>
          <t>CTO Salary ($, base)</t>
        </is>
      </c>
      <c r="B57" s="316" t="n">
        <v>500000</v>
      </c>
    </row>
    <row r="58" ht="15" customHeight="1" s="307">
      <c r="A58" s="314" t="inlineStr">
        <is>
          <t>CRO Salary ($, base)</t>
        </is>
      </c>
      <c r="B58" s="316" t="n">
        <v>500000</v>
      </c>
    </row>
    <row r="59" ht="15" customHeight="1" s="307">
      <c r="A59" s="314" t="inlineStr">
        <is>
          <t>Team Steady State Headcount</t>
        </is>
      </c>
      <c r="B59" s="315" t="n">
        <v>20</v>
      </c>
    </row>
    <row r="60" ht="15" customHeight="1" s="307">
      <c r="A60" s="314" t="inlineStr">
        <is>
          <t xml:space="preserve">  Direct Reports: 5 at $250K</t>
        </is>
      </c>
      <c r="B60" s="316" t="n">
        <v>250000</v>
      </c>
      <c r="E60" s="310" t="inlineStr">
        <is>
          <t>Senior operators (layered in with deals 1-3)</t>
        </is>
      </c>
    </row>
    <row r="61" ht="15" customHeight="1" s="307">
      <c r="A61" s="314" t="inlineStr">
        <is>
          <t xml:space="preserve">  Direct Reports: 9 at $125K</t>
        </is>
      </c>
      <c r="B61" s="316" t="n">
        <v>125000</v>
      </c>
      <c r="E61" s="310" t="inlineStr">
        <is>
          <t>Junior operators (layered in with deals 3-5)</t>
        </is>
      </c>
    </row>
    <row r="62" ht="15" customHeight="1" s="307">
      <c r="A62" s="314" t="inlineStr">
        <is>
          <t>ARR Step Threshold ($)</t>
        </is>
      </c>
      <c r="B62" s="316" t="n">
        <v>100000000</v>
      </c>
      <c r="E62" s="310" t="inlineStr">
        <is>
          <t>$75M default -- toggle to change tier size</t>
        </is>
      </c>
    </row>
    <row r="63" ht="15" customHeight="1" s="307">
      <c r="A63" s="314" t="inlineStr">
        <is>
          <t>Step-Up Multiplier per Tier</t>
        </is>
      </c>
      <c r="B63" s="330" t="n">
        <v>1.5</v>
      </c>
      <c r="E63" s="310" t="inlineStr">
        <is>
          <t>1.5x = 50% raise per tier; compounds across tiers</t>
        </is>
      </c>
    </row>
    <row r="65" ht="15" customHeight="1" s="307">
      <c r="A65" s="311" t="inlineStr">
        <is>
          <t>DEPLOYMENT TIMING</t>
        </is>
      </c>
      <c r="B65" s="309" t="n"/>
      <c r="C65" s="309" t="n"/>
      <c r="D65" s="309" t="n"/>
      <c r="E65" s="309" t="n"/>
    </row>
    <row r="66" ht="15" customHeight="1" s="307">
      <c r="A66" s="314" t="inlineStr">
        <is>
          <t>Fund Start Month (Global)</t>
        </is>
      </c>
      <c r="B66" s="315" t="n">
        <v>1</v>
      </c>
    </row>
    <row r="67" ht="15" customHeight="1" s="307">
      <c r="A67" s="312" t="inlineStr">
        <is>
          <t>Deal Closing Schedule (Global Month):</t>
        </is>
      </c>
    </row>
    <row r="68" ht="15" customHeight="1" s="307">
      <c r="A68" s="314" t="inlineStr">
        <is>
          <t xml:space="preserve">  OpCo 1</t>
        </is>
      </c>
      <c r="B68" s="315" t="n">
        <v>4</v>
      </c>
    </row>
    <row r="69" ht="15" customHeight="1" s="307">
      <c r="A69" s="314" t="inlineStr">
        <is>
          <t xml:space="preserve">  OpCo 2</t>
        </is>
      </c>
      <c r="B69" s="315" t="n">
        <v>8</v>
      </c>
    </row>
    <row r="70" ht="15" customHeight="1" s="307">
      <c r="A70" s="314" t="inlineStr">
        <is>
          <t xml:space="preserve">  OpCo 3</t>
        </is>
      </c>
      <c r="B70" s="315" t="n">
        <v>12</v>
      </c>
    </row>
    <row r="71" ht="15" customHeight="1" s="307">
      <c r="A71" s="314" t="inlineStr">
        <is>
          <t xml:space="preserve">  OpCo 4</t>
        </is>
      </c>
      <c r="B71" s="315" t="n">
        <v>16</v>
      </c>
    </row>
    <row r="72" ht="15" customHeight="1" s="307">
      <c r="A72" s="314" t="inlineStr">
        <is>
          <t xml:space="preserve">  OpCo 5</t>
        </is>
      </c>
      <c r="B72" s="315" t="n">
        <v>20</v>
      </c>
    </row>
    <row r="73" ht="15" customHeight="1" s="307">
      <c r="A73" s="314" t="inlineStr">
        <is>
          <t xml:space="preserve">  OpCo 6 (recycled)</t>
        </is>
      </c>
      <c r="B73" s="315" t="n">
        <v>24</v>
      </c>
    </row>
    <row r="74" ht="15" customHeight="1" s="307">
      <c r="A74" s="314" t="inlineStr">
        <is>
          <t xml:space="preserve">  OpCo 7 (recycled)</t>
        </is>
      </c>
      <c r="B74" s="315" t="n">
        <v>28</v>
      </c>
    </row>
    <row r="75" ht="15" customHeight="1" s="307">
      <c r="A75" s="314" t="inlineStr">
        <is>
          <t xml:space="preserve">  OpCo 8 (recycled)</t>
        </is>
      </c>
      <c r="B75" s="315" t="n">
        <v>32</v>
      </c>
    </row>
    <row r="76" ht="15" customHeight="1" s="307">
      <c r="A76" s="314" t="inlineStr">
        <is>
          <t xml:space="preserve">  OpCo 9 (recycled)</t>
        </is>
      </c>
      <c r="B76" s="315" t="n">
        <v>36</v>
      </c>
    </row>
    <row r="78" ht="15" customHeight="1" s="307">
      <c r="A78" s="311" t="inlineStr">
        <is>
          <t>CAPITAL RECYCLING</t>
        </is>
      </c>
      <c r="B78" s="309" t="n"/>
      <c r="C78" s="309" t="n"/>
      <c r="D78" s="309" t="n"/>
      <c r="E78" s="309" t="n"/>
    </row>
    <row r="79" ht="15" customHeight="1" s="307">
      <c r="A79" s="312" t="inlineStr">
        <is>
          <t>Recycling Enabled (1=Yes, 0=No)</t>
        </is>
      </c>
      <c r="B79" s="331" t="n">
        <v>1</v>
      </c>
      <c r="E79" s="310" t="inlineStr">
        <is>
          <t>Toggle off to revert to fixed 5-deal model</t>
        </is>
      </c>
    </row>
    <row r="80" ht="15" customHeight="1" s="307">
      <c r="A80" s="314" t="inlineStr">
        <is>
          <t>Recycle % of Pre-Waterfall NI</t>
        </is>
      </c>
      <c r="B80" s="319" t="n">
        <v>1</v>
      </c>
      <c r="E80" s="310" t="inlineStr">
        <is>
          <t>100% during reinvestment period</t>
        </is>
      </c>
    </row>
    <row r="81" ht="15" customHeight="1" s="307">
      <c r="A81" s="314" t="inlineStr">
        <is>
          <t>Reinvestment Period (months)</t>
        </is>
      </c>
      <c r="B81" s="315" t="n">
        <v>36</v>
      </c>
      <c r="E81" s="310" t="inlineStr">
        <is>
          <t>3-year lockup; recycle stops after M36</t>
        </is>
      </c>
    </row>
    <row r="82" ht="15" customHeight="1" s="307">
      <c r="A82" s="314" t="inlineStr">
        <is>
          <t>Number of Recycled Deals</t>
        </is>
      </c>
      <c r="B82" s="315" t="n">
        <v>4</v>
      </c>
      <c r="E82" s="310" t="inlineStr">
        <is>
          <t>OpCos 6-9, every 4 months</t>
        </is>
      </c>
    </row>
    <row r="83" ht="15" customHeight="1" s="307">
      <c r="A83" s="314" t="inlineStr">
        <is>
          <t>Capital per Recycled Deal ($)</t>
        </is>
      </c>
      <c r="B83" s="318" t="n">
        <v>30000000</v>
      </c>
      <c r="E83" s="310" t="inlineStr">
        <is>
          <t>ARR x Entry Multiple (auto)</t>
        </is>
      </c>
    </row>
    <row r="84" ht="15" customHeight="1" s="307">
      <c r="A84" s="314" t="inlineStr">
        <is>
          <t>Total Recycled Capital ($)</t>
        </is>
      </c>
      <c r="B84" s="318" t="n">
        <v>120000000</v>
      </c>
      <c r="E84" s="310" t="inlineStr">
        <is>
          <t>4 x $30M (auto)</t>
        </is>
      </c>
    </row>
    <row r="86" ht="15" customHeight="1" s="307">
      <c r="A86" s="311" t="inlineStr">
        <is>
          <t>PER-DEAL ALLOCATION (Mixed Portfolio + Entry Margins)</t>
        </is>
      </c>
      <c r="B86" s="309" t="n"/>
      <c r="C86" s="309" t="n"/>
      <c r="D86" s="309" t="n"/>
      <c r="E86" s="309" t="n"/>
    </row>
    <row r="87" ht="15" customHeight="1" s="307">
      <c r="A87" s="310" t="inlineStr">
        <is>
          <t>Override per-deal NDR here. UW NDR = what was underwritten. Real NDR = actual performance.</t>
        </is>
      </c>
    </row>
    <row r="88" ht="15" customHeight="1" s="307">
      <c r="A88" s="312" t="inlineStr">
        <is>
          <t>Deal</t>
        </is>
      </c>
      <c r="B88" s="312" t="inlineStr">
        <is>
          <t>Outcome</t>
        </is>
      </c>
      <c r="C88" s="312" t="inlineStr">
        <is>
          <t>Profile</t>
        </is>
      </c>
      <c r="D88" s="312" t="inlineStr">
        <is>
          <t>ARR ($mm)</t>
        </is>
      </c>
      <c r="E88" s="312" t="inlineStr">
        <is>
          <t>Entry Mult</t>
        </is>
      </c>
      <c r="F88" s="312" t="n"/>
      <c r="G88" s="312" t="inlineStr">
        <is>
          <t>UW NDR</t>
        </is>
      </c>
      <c r="H88" s="312" t="inlineStr">
        <is>
          <t>Real NDR</t>
        </is>
      </c>
      <c r="I88" s="312" t="n"/>
      <c r="J88" s="312" t="inlineStr">
        <is>
          <t>Close M</t>
        </is>
      </c>
      <c r="K88" s="306" t="inlineStr">
        <is>
          <t>Close M (#)</t>
        </is>
      </c>
    </row>
    <row r="89" ht="15" customHeight="1" s="307">
      <c r="A89" s="314" t="inlineStr">
        <is>
          <t>#1</t>
        </is>
      </c>
      <c r="B89" s="314" t="inlineStr">
        <is>
          <t>WINNER</t>
        </is>
      </c>
      <c r="C89" s="314" t="inlineStr">
        <is>
          <t>STELLAR</t>
        </is>
      </c>
      <c r="D89" s="332" t="n">
        <v>24</v>
      </c>
      <c r="E89" s="317" t="n">
        <v>1.24</v>
      </c>
      <c r="G89" s="319" t="n">
        <v>1.05</v>
      </c>
      <c r="H89" s="319" t="n">
        <v>1</v>
      </c>
      <c r="J89" s="329" t="inlineStr">
        <is>
          <t>M4</t>
        </is>
      </c>
      <c r="K89" s="306" t="n">
        <v>4</v>
      </c>
    </row>
    <row r="90" ht="15" customHeight="1" s="307">
      <c r="A90" s="314" t="inlineStr">
        <is>
          <t>#2</t>
        </is>
      </c>
      <c r="B90" s="314" t="inlineStr">
        <is>
          <t>AVERAGE</t>
        </is>
      </c>
      <c r="C90" s="314" t="inlineStr">
        <is>
          <t>PLAN</t>
        </is>
      </c>
      <c r="D90" s="332" t="n">
        <v>24</v>
      </c>
      <c r="E90" s="317" t="n">
        <v>1.24</v>
      </c>
      <c r="G90" s="319" t="n">
        <v>0.9</v>
      </c>
      <c r="H90" s="319" t="n">
        <v>0.85</v>
      </c>
      <c r="J90" s="329" t="inlineStr">
        <is>
          <t>M7</t>
        </is>
      </c>
      <c r="K90" s="306" t="n">
        <v>7</v>
      </c>
    </row>
    <row r="91" ht="15" customHeight="1" s="307">
      <c r="A91" s="314" t="inlineStr">
        <is>
          <t>#3</t>
        </is>
      </c>
      <c r="B91" s="314" t="inlineStr">
        <is>
          <t>WINNER</t>
        </is>
      </c>
      <c r="C91" s="314" t="inlineStr">
        <is>
          <t>STELLAR</t>
        </is>
      </c>
      <c r="D91" s="332" t="n">
        <v>24</v>
      </c>
      <c r="E91" s="317" t="n">
        <v>1.24</v>
      </c>
      <c r="G91" s="319" t="n">
        <v>0.92</v>
      </c>
      <c r="H91" s="319" t="n">
        <v>1</v>
      </c>
      <c r="J91" s="329" t="inlineStr">
        <is>
          <t>M10</t>
        </is>
      </c>
      <c r="K91" s="306" t="n">
        <v>10</v>
      </c>
    </row>
    <row r="92" ht="15" customHeight="1" s="307">
      <c r="A92" s="314" t="inlineStr">
        <is>
          <t>#4</t>
        </is>
      </c>
      <c r="B92" s="314" t="inlineStr">
        <is>
          <t>LOSER</t>
        </is>
      </c>
      <c r="C92" s="314" t="inlineStr">
        <is>
          <t>DUD</t>
        </is>
      </c>
      <c r="D92" s="332" t="n">
        <v>24</v>
      </c>
      <c r="E92" s="317" t="n">
        <v>1.24</v>
      </c>
      <c r="G92" s="319" t="n">
        <v>1.03</v>
      </c>
      <c r="H92" s="319" t="n">
        <v>0.8</v>
      </c>
      <c r="J92" s="329" t="inlineStr">
        <is>
          <t>M12</t>
        </is>
      </c>
      <c r="K92" s="306" t="n">
        <v>12</v>
      </c>
    </row>
    <row r="93" ht="15" customHeight="1" s="307">
      <c r="A93" s="314" t="inlineStr">
        <is>
          <t>#5</t>
        </is>
      </c>
      <c r="B93" s="314" t="inlineStr">
        <is>
          <t>LOSER</t>
        </is>
      </c>
      <c r="C93" s="314" t="inlineStr">
        <is>
          <t>DUD</t>
        </is>
      </c>
      <c r="D93" s="332" t="n">
        <v>24</v>
      </c>
      <c r="E93" s="317" t="n">
        <v>1.24</v>
      </c>
      <c r="G93" s="319" t="n">
        <v>0.9</v>
      </c>
      <c r="H93" s="319" t="n">
        <v>0.8</v>
      </c>
      <c r="J93" s="329" t="inlineStr">
        <is>
          <t>M16</t>
        </is>
      </c>
      <c r="K93" s="306" t="n">
        <v>16</v>
      </c>
    </row>
    <row r="95" ht="15" customHeight="1" s="307">
      <c r="A95" s="312" t="inlineStr">
        <is>
          <t>RECYCLED DEALS (funded by retained NI during M1-36)</t>
        </is>
      </c>
    </row>
    <row r="96" ht="15" customHeight="1" s="307">
      <c r="A96" s="314" t="inlineStr">
        <is>
          <t>#6</t>
        </is>
      </c>
      <c r="B96" s="314" t="inlineStr">
        <is>
          <t>WINNER</t>
        </is>
      </c>
      <c r="C96" s="314" t="inlineStr">
        <is>
          <t>STELLAR</t>
        </is>
      </c>
      <c r="D96" s="332" t="n">
        <v>24</v>
      </c>
      <c r="E96" s="317" t="n">
        <v>1.25</v>
      </c>
      <c r="G96" s="319" t="n">
        <v>1.05</v>
      </c>
      <c r="H96" s="319" t="n">
        <v>1</v>
      </c>
      <c r="J96" s="329" t="inlineStr">
        <is>
          <t>M24</t>
        </is>
      </c>
      <c r="K96" s="306" t="n">
        <v>24</v>
      </c>
    </row>
    <row r="97" ht="15" customHeight="1" s="307">
      <c r="A97" s="314" t="inlineStr">
        <is>
          <t>#7</t>
        </is>
      </c>
      <c r="B97" s="314" t="inlineStr">
        <is>
          <t>WINNER</t>
        </is>
      </c>
      <c r="C97" s="314" t="inlineStr">
        <is>
          <t>STELLAR</t>
        </is>
      </c>
      <c r="D97" s="332" t="n">
        <v>24</v>
      </c>
      <c r="E97" s="317" t="n">
        <v>1.25</v>
      </c>
      <c r="G97" s="319" t="n">
        <v>1.05</v>
      </c>
      <c r="H97" s="319" t="n">
        <v>1</v>
      </c>
      <c r="J97" s="329" t="inlineStr">
        <is>
          <t>M28</t>
        </is>
      </c>
      <c r="K97" s="306" t="n">
        <v>28</v>
      </c>
    </row>
    <row r="98" ht="15" customHeight="1" s="307">
      <c r="A98" s="314" t="inlineStr">
        <is>
          <t>#8</t>
        </is>
      </c>
      <c r="B98" s="314" t="inlineStr">
        <is>
          <t>AVERAGE</t>
        </is>
      </c>
      <c r="C98" s="314" t="inlineStr">
        <is>
          <t>PLAN</t>
        </is>
      </c>
      <c r="D98" s="332" t="n">
        <v>24</v>
      </c>
      <c r="E98" s="317" t="n">
        <v>1.25</v>
      </c>
      <c r="G98" s="319" t="n">
        <v>0.9</v>
      </c>
      <c r="H98" s="319" t="n">
        <v>0.85</v>
      </c>
      <c r="J98" s="329" t="inlineStr">
        <is>
          <t>M32</t>
        </is>
      </c>
      <c r="K98" s="306" t="n">
        <v>32</v>
      </c>
    </row>
    <row r="99" ht="15" customHeight="1" s="307">
      <c r="A99" s="314" t="inlineStr">
        <is>
          <t>#9</t>
        </is>
      </c>
      <c r="B99" s="314" t="inlineStr">
        <is>
          <t>LOSER</t>
        </is>
      </c>
      <c r="C99" s="314" t="inlineStr">
        <is>
          <t>DUD</t>
        </is>
      </c>
      <c r="D99" s="332" t="n">
        <v>24</v>
      </c>
      <c r="E99" s="317" t="n">
        <v>1.25</v>
      </c>
      <c r="G99" s="319" t="n">
        <v>0.9</v>
      </c>
      <c r="H99" s="319" t="n">
        <v>0.8</v>
      </c>
      <c r="J99" s="329" t="inlineStr">
        <is>
          <t>M36</t>
        </is>
      </c>
      <c r="K99" s="306" t="n">
        <v>36</v>
      </c>
    </row>
    <row r="102" ht="15" customHeight="1" s="307">
      <c r="A102" s="311" t="inlineStr">
        <is>
          <t>HEADCOUNT &amp; SEVERANCE (per OpCo at close)</t>
        </is>
      </c>
      <c r="B102" s="309" t="n"/>
      <c r="C102" s="309" t="n"/>
      <c r="D102" s="309" t="n"/>
      <c r="E102" s="309" t="n"/>
    </row>
    <row r="103" ht="15" customHeight="1" s="307">
      <c r="A103" s="314" t="inlineStr">
        <is>
          <t>Starting FTE per OpCo</t>
        </is>
      </c>
      <c r="B103" s="315" t="n">
        <v>140</v>
      </c>
      <c r="E103" s="310" t="inlineStr">
        <is>
          <t>Stalled SaaS at this ARR runs bloated</t>
        </is>
      </c>
    </row>
    <row r="104" ht="15" customHeight="1" s="307">
      <c r="A104" s="314" t="inlineStr">
        <is>
          <t>Fully Loaded Cost per FTE ($)</t>
        </is>
      </c>
      <c r="B104" s="316" t="n">
        <v>200000</v>
      </c>
      <c r="E104" s="310" t="inlineStr">
        <is>
          <t>Avg loaded cost across functions</t>
        </is>
      </c>
    </row>
    <row r="105" ht="15" customHeight="1" s="307">
      <c r="A105" s="314" t="inlineStr">
        <is>
          <t>Base Salary as % of Loaded Cost</t>
        </is>
      </c>
      <c r="B105" s="319" t="n">
        <v>0.75</v>
      </c>
      <c r="E105" s="310" t="inlineStr">
        <is>
          <t>Severance paid on base, not loaded</t>
        </is>
      </c>
    </row>
    <row r="106" ht="15" customHeight="1" s="307">
      <c r="A106" s="314" t="inlineStr">
        <is>
          <t>Avg Tenure (years)</t>
        </is>
      </c>
      <c r="B106" s="315" t="n">
        <v>4</v>
      </c>
      <c r="E106" s="310" t="inlineStr">
        <is>
          <t>Drives severance weeks per person</t>
        </is>
      </c>
    </row>
    <row r="107" ht="15" customHeight="1" s="307">
      <c r="A107" s="314" t="inlineStr">
        <is>
          <t>Weeks Severance per Year of Service</t>
        </is>
      </c>
      <c r="B107" s="315" t="n">
        <v>2</v>
      </c>
      <c r="E107" s="310" t="inlineStr">
        <is>
          <t>Lean policy</t>
        </is>
      </c>
    </row>
    <row r="108" ht="15" customHeight="1" s="307">
      <c r="A108" s="314" t="inlineStr">
        <is>
          <t>Severance Cap (weeks)</t>
        </is>
      </c>
      <c r="B108" s="315" t="n">
        <v>12</v>
      </c>
      <c r="E108" s="310" t="inlineStr">
        <is>
          <t>Max weeks per individual</t>
        </is>
      </c>
    </row>
    <row r="109" ht="15" customHeight="1" s="307">
      <c r="A109" s="314" t="inlineStr">
        <is>
          <t>Avg Severance Weeks per FTE (auto)</t>
        </is>
      </c>
      <c r="B109" s="333" t="n">
        <v>8</v>
      </c>
      <c r="E109" s="310" t="inlineStr">
        <is>
          <t>MIN(weeks_per_yr x tenure, cap)</t>
        </is>
      </c>
    </row>
    <row r="110" ht="15" customHeight="1" s="307">
      <c r="A110" s="314" t="inlineStr">
        <is>
          <t>Avg Severance per FTE ($) (auto)</t>
        </is>
      </c>
      <c r="B110" s="318" t="n">
        <v>17307.69</v>
      </c>
      <c r="E110" s="310" t="inlineStr">
        <is>
          <t>Base salary basis</t>
        </is>
      </c>
    </row>
    <row r="111" ht="15" customHeight="1" s="307">
      <c r="A111" s="314" t="inlineStr">
        <is>
          <t>Severance Split</t>
        </is>
      </c>
      <c r="B111" s="327" t="inlineStr">
        <is>
          <t>Per deal on Tab 2</t>
        </is>
      </c>
      <c r="E111" s="323" t="inlineStr">
        <is>
          <t>Options: Seller (0%), 50/50 (50%), Press (100%). Set per deal in col M.</t>
        </is>
      </c>
    </row>
    <row r="112" ht="15" customHeight="1" s="307">
      <c r="A112" s="314" t="inlineStr">
        <is>
          <t>Press Severance Cost per OpCo (auto)</t>
        </is>
      </c>
      <c r="B112" s="318" t="n">
        <v>0</v>
      </c>
      <c r="E112" s="310" t="inlineStr">
        <is>
          <t>Cash hit at close month</t>
        </is>
      </c>
    </row>
    <row r="114" ht="15" customHeight="1" s="307">
      <c r="A114" s="311" t="inlineStr">
        <is>
          <t>TERMINAL VALUE (Exit Assumption)</t>
        </is>
      </c>
      <c r="B114" s="309" t="n"/>
      <c r="C114" s="309" t="n"/>
      <c r="D114" s="309" t="n"/>
      <c r="E114" s="309" t="n"/>
    </row>
    <row r="115" ht="15" customHeight="1" s="307">
      <c r="A115" s="314" t="inlineStr">
        <is>
          <t>Exit Month (when fund exits all OpCos)</t>
        </is>
      </c>
      <c r="B115" s="315" t="n">
        <v>120</v>
      </c>
      <c r="E115" s="310" t="inlineStr">
        <is>
          <t>M120 = end of Year 10</t>
        </is>
      </c>
    </row>
    <row r="116" ht="15" customHeight="1" s="307">
      <c r="A116" s="314" t="inlineStr">
        <is>
          <t>Terminal Value Multiple (x ARR)</t>
        </is>
      </c>
      <c r="B116" s="317" t="n">
        <v>2</v>
      </c>
      <c r="E116" s="310" t="inlineStr">
        <is>
          <t>Applied to ending ARR per OpCo at exit</t>
        </is>
      </c>
    </row>
    <row r="117" ht="15" customHeight="1" s="307">
      <c r="A117" s="314" t="inlineStr">
        <is>
          <t>Include Exit in Waterfall (1=Yes, 0=No)</t>
        </is>
      </c>
      <c r="B117" s="315" t="n">
        <v>1</v>
      </c>
      <c r="E117" s="310" t="inlineStr">
        <is>
          <t>Toggle to add exit proceeds to Distributable NI</t>
        </is>
      </c>
    </row>
    <row r="119" ht="15" customHeight="1" s="307">
      <c r="A119" s="311" t="inlineStr">
        <is>
          <t>ESCALATING WATERFALL (Optional)</t>
        </is>
      </c>
      <c r="B119" s="309" t="n"/>
      <c r="C119" s="309" t="n"/>
      <c r="D119" s="309" t="n"/>
      <c r="E119" s="309" t="n"/>
    </row>
    <row r="120" ht="15" customHeight="1" s="307">
      <c r="A120" s="310" t="inlineStr">
        <is>
          <t>Carry steps up +5pp per MOIC turn above 3x (cap 60%). Compared on tabs 4c/4d.</t>
        </is>
      </c>
    </row>
    <row r="121" ht="15" customHeight="1" s="307">
      <c r="A121" s="312" t="inlineStr">
        <is>
          <t>MOIC Range</t>
        </is>
      </c>
      <c r="B121" s="312" t="inlineStr">
        <is>
          <t>Carry Rate</t>
        </is>
      </c>
      <c r="C121" s="312" t="inlineStr">
        <is>
          <t>LP Split</t>
        </is>
      </c>
    </row>
    <row r="122" ht="15" customHeight="1" s="307">
      <c r="A122" s="314" t="inlineStr">
        <is>
          <t>Below 3x</t>
        </is>
      </c>
      <c r="B122" s="329" t="inlineStr">
        <is>
          <t>20%</t>
        </is>
      </c>
      <c r="C122" s="329" t="inlineStr">
        <is>
          <t>80%</t>
        </is>
      </c>
    </row>
    <row r="123" ht="15" customHeight="1" s="307">
      <c r="A123" s="314" t="inlineStr">
        <is>
          <t>3x-4x</t>
        </is>
      </c>
      <c r="B123" s="329" t="inlineStr">
        <is>
          <t>25%</t>
        </is>
      </c>
      <c r="C123" s="329" t="inlineStr">
        <is>
          <t>75%</t>
        </is>
      </c>
    </row>
    <row r="124" ht="15" customHeight="1" s="307">
      <c r="A124" s="314" t="inlineStr">
        <is>
          <t>4x-5x</t>
        </is>
      </c>
      <c r="B124" s="329" t="inlineStr">
        <is>
          <t>30%</t>
        </is>
      </c>
      <c r="C124" s="329" t="inlineStr">
        <is>
          <t>70%</t>
        </is>
      </c>
    </row>
    <row r="125" ht="15" customHeight="1" s="307">
      <c r="A125" s="314" t="inlineStr">
        <is>
          <t>5x-6x</t>
        </is>
      </c>
      <c r="B125" s="329" t="inlineStr">
        <is>
          <t>35%</t>
        </is>
      </c>
      <c r="C125" s="329" t="inlineStr">
        <is>
          <t>65%</t>
        </is>
      </c>
    </row>
    <row r="126" ht="15" customHeight="1" s="307">
      <c r="A126" s="314" t="inlineStr">
        <is>
          <t>6x+</t>
        </is>
      </c>
      <c r="B126" s="329" t="inlineStr">
        <is>
          <t>40% (cap 60%)</t>
        </is>
      </c>
      <c r="C126" s="329" t="inlineStr">
        <is>
          <t>60% (floor 40%)</t>
        </is>
      </c>
    </row>
    <row r="129" ht="15" customHeight="1" s="307">
      <c r="A129" s="311" t="inlineStr">
        <is>
          <t>MODEL HORIZON</t>
        </is>
      </c>
      <c r="B129" s="309" t="n"/>
      <c r="C129" s="309" t="n"/>
      <c r="D129" s="309" t="n"/>
      <c r="E129" s="309" t="n"/>
    </row>
    <row r="130" ht="15" customHeight="1" s="307">
      <c r="A130" s="314" t="inlineStr">
        <is>
          <t>Total Months (P&amp;L horizon)</t>
        </is>
      </c>
      <c r="B130" s="315" t="n">
        <v>180</v>
      </c>
      <c r="E130" s="310" t="inlineStr">
        <is>
          <t>180 = 15 years (annual tabs), 120 = 10 years (monthly tabs)</t>
        </is>
      </c>
    </row>
    <row r="131" ht="15" customHeight="1" s="307">
      <c r="A131" s="314" t="inlineStr">
        <is>
          <t>Monthly P&amp;L Months</t>
        </is>
      </c>
      <c r="B131" s="315" t="n">
        <v>180</v>
      </c>
      <c r="E131" s="310" t="inlineStr">
        <is>
          <t>Tabs 3c/3d show this many months</t>
        </is>
      </c>
    </row>
    <row r="132" ht="15" customHeight="1" s="307">
      <c r="A132" s="314" t="inlineStr">
        <is>
          <t>Annual P&amp;L Years</t>
        </is>
      </c>
      <c r="B132" s="315" t="n">
        <v>15</v>
      </c>
      <c r="E132" s="310" t="inlineStr">
        <is>
          <t>Tabs 3a/3b show this many years</t>
        </is>
      </c>
    </row>
    <row r="134" ht="15" customHeight="1" s="307">
      <c r="A134" s="334" t="inlineStr">
        <is>
          <t>CONFIDENTIAL -- DO NOT DISTRIBUTE</t>
        </is>
      </c>
    </row>
    <row r="136">
      <c r="A136" s="306" t="inlineStr"/>
    </row>
    <row r="138">
      <c r="A138" s="641" t="inlineStr">
        <is>
          <t>AUTO-UPDATE ENGINE OUTPUTS  (from _Engine_NR / _Engine_R50 / _Engine_R100)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4" customWidth="1" style="306" min="2" max="7"/>
    <col width="14" customWidth="1" style="307" min="3" max="3"/>
    <col width="14" customWidth="1" style="307" min="4" max="4"/>
    <col width="14" customWidth="1" style="307" min="5" max="5"/>
    <col width="14" customWidth="1" style="307" min="6" max="6"/>
    <col width="14" customWidth="1" style="307" min="7" max="7"/>
    <col width="14" customWidth="1" style="307" min="8" max="8"/>
    <col width="14" customWidth="1" style="307" min="9" max="9"/>
    <col width="14" customWidth="1" style="307" min="10" max="10"/>
  </cols>
  <sheetData>
    <row r="1" ht="15.75" customHeight="1" s="307">
      <c r="A1" s="335" t="inlineStr">
        <is>
          <t>LP ECONOMICS BY COMMITMENT SIZE</t>
        </is>
      </c>
      <c r="B1" s="336" t="n"/>
      <c r="C1" s="336" t="n"/>
      <c r="D1" s="337" t="n"/>
      <c r="E1" s="336" t="n"/>
      <c r="F1" s="336" t="n"/>
      <c r="G1" s="337" t="n"/>
      <c r="H1" s="336" t="n"/>
      <c r="I1" s="336" t="n"/>
      <c r="J1" s="337" t="n"/>
      <c r="K1" s="306" t="n"/>
      <c r="L1" s="306" t="n"/>
    </row>
    <row r="2" ht="15" customHeight="1" s="307">
      <c r="A2" s="338" t="inlineStr">
        <is>
          <t>$150M fund. 85% NDR base case. 1.24x entry. Tiered waterfall. Staged IRR.</t>
        </is>
      </c>
      <c r="K2" s="306" t="n"/>
      <c r="L2" s="306" t="n"/>
    </row>
    <row r="3" ht="15" customHeight="1" s="307">
      <c r="K3" s="306" t="n"/>
      <c r="L3" s="306" t="n"/>
    </row>
    <row r="4" ht="15" customHeight="1" s="307">
      <c r="A4" s="322" t="n"/>
      <c r="B4" s="339" t="inlineStr">
        <is>
          <t>$5mm</t>
        </is>
      </c>
      <c r="E4" s="339" t="inlineStr">
        <is>
          <t>$10mm</t>
        </is>
      </c>
      <c r="H4" s="339" t="inlineStr">
        <is>
          <t>$25mm</t>
        </is>
      </c>
      <c r="K4" s="306" t="n"/>
      <c r="L4" s="306" t="n"/>
    </row>
    <row r="5" ht="15" customHeight="1" s="307">
      <c r="A5" s="322" t="n"/>
      <c r="B5" s="340" t="inlineStr">
        <is>
          <t>No Recycle</t>
        </is>
      </c>
      <c r="C5" s="340" t="inlineStr">
        <is>
          <t>50% Recycle</t>
        </is>
      </c>
      <c r="D5" s="341" t="inlineStr">
        <is>
          <t>100% Recycle</t>
        </is>
      </c>
      <c r="E5" s="340" t="inlineStr">
        <is>
          <t>No Recycle</t>
        </is>
      </c>
      <c r="F5" s="340" t="inlineStr">
        <is>
          <t>50% Recycle</t>
        </is>
      </c>
      <c r="G5" s="341" t="inlineStr">
        <is>
          <t>100% Recycle</t>
        </is>
      </c>
      <c r="H5" s="340" t="inlineStr">
        <is>
          <t>No Recycle</t>
        </is>
      </c>
      <c r="I5" s="340" t="inlineStr">
        <is>
          <t>50% Recycle</t>
        </is>
      </c>
      <c r="J5" s="341" t="inlineStr">
        <is>
          <t>100% Recycle</t>
        </is>
      </c>
      <c r="K5" s="306" t="n"/>
      <c r="L5" s="306" t="n"/>
    </row>
    <row r="6" ht="15" customHeight="1" s="307">
      <c r="K6" s="306" t="n"/>
      <c r="L6" s="306" t="n"/>
    </row>
    <row r="7" ht="15" customHeight="1" s="307">
      <c r="A7" s="342" t="inlineStr">
        <is>
          <t>FUND PARTICIPATION</t>
        </is>
      </c>
      <c r="B7" s="336" t="n"/>
      <c r="C7" s="336" t="n"/>
      <c r="D7" s="337" t="n"/>
      <c r="E7" s="336" t="n"/>
      <c r="F7" s="336" t="n"/>
      <c r="G7" s="337" t="n"/>
      <c r="H7" s="336" t="n"/>
      <c r="I7" s="336" t="n"/>
      <c r="J7" s="337" t="n"/>
      <c r="K7" s="306" t="n"/>
      <c r="L7" s="306" t="n"/>
    </row>
    <row r="8" ht="15" customHeight="1" s="307">
      <c r="A8" s="343" t="inlineStr">
        <is>
          <t>Commitment</t>
        </is>
      </c>
      <c r="B8" s="344" t="n">
        <v>5</v>
      </c>
      <c r="C8" s="344" t="n">
        <v>5</v>
      </c>
      <c r="D8" s="345" t="n">
        <v>5</v>
      </c>
      <c r="E8" s="344" t="n">
        <v>10</v>
      </c>
      <c r="F8" s="344" t="n">
        <v>10</v>
      </c>
      <c r="G8" s="345" t="n">
        <v>10</v>
      </c>
      <c r="H8" s="344" t="n">
        <v>25</v>
      </c>
      <c r="I8" s="344" t="n">
        <v>25</v>
      </c>
      <c r="J8" s="345" t="n">
        <v>25</v>
      </c>
      <c r="K8" s="306" t="n"/>
      <c r="L8" s="306" t="n"/>
    </row>
    <row r="9" ht="15" customHeight="1" s="307">
      <c r="A9" s="346" t="inlineStr">
        <is>
          <t>Payback (months)</t>
        </is>
      </c>
      <c r="B9" s="347" t="n">
        <v>43</v>
      </c>
      <c r="C9" s="347" t="n">
        <v>47</v>
      </c>
      <c r="D9" s="348" t="n">
        <v>52</v>
      </c>
      <c r="E9" s="347" t="n">
        <v>43</v>
      </c>
      <c r="F9" s="347" t="n">
        <v>47</v>
      </c>
      <c r="G9" s="348" t="n">
        <v>52</v>
      </c>
      <c r="H9" s="347" t="n">
        <v>43</v>
      </c>
      <c r="I9" s="347" t="n">
        <v>47</v>
      </c>
      <c r="J9" s="348" t="n">
        <v>52</v>
      </c>
      <c r="K9" s="306" t="n"/>
      <c r="L9" s="306" t="n"/>
    </row>
    <row r="10" ht="15" customHeight="1" s="307">
      <c r="A10" s="322" t="n"/>
      <c r="B10" s="349" t="n"/>
      <c r="C10" s="349" t="n"/>
      <c r="E10" s="349" t="n"/>
      <c r="F10" s="349" t="n"/>
      <c r="H10" s="349" t="n"/>
      <c r="I10" s="349" t="n"/>
      <c r="K10" s="306" t="n"/>
      <c r="L10" s="306" t="n"/>
    </row>
    <row r="11" ht="15" customHeight="1" s="307">
      <c r="A11" s="342" t="inlineStr">
        <is>
          <t>10-YEAR RETURNS</t>
        </is>
      </c>
      <c r="B11" s="336" t="n"/>
      <c r="C11" s="336" t="n"/>
      <c r="D11" s="337" t="n"/>
      <c r="E11" s="336" t="n"/>
      <c r="F11" s="336" t="n"/>
      <c r="G11" s="337" t="n"/>
      <c r="H11" s="336" t="n"/>
      <c r="I11" s="336" t="n"/>
      <c r="J11" s="337" t="n"/>
      <c r="K11" s="306" t="n"/>
      <c r="L11" s="306" t="n"/>
    </row>
    <row r="12" ht="15" customHeight="1" s="307">
      <c r="A12" s="346" t="inlineStr">
        <is>
          <t>LP Net IRR (Staged)</t>
        </is>
      </c>
      <c r="B12" s="350" t="n">
        <v>0.272135</v>
      </c>
      <c r="C12" s="350" t="n">
        <v>0.222741</v>
      </c>
      <c r="D12" s="351" t="n">
        <v>0.164628</v>
      </c>
      <c r="E12" s="350" t="n">
        <v>0.272135</v>
      </c>
      <c r="F12" s="350" t="n">
        <v>0.222741</v>
      </c>
      <c r="G12" s="351" t="n">
        <v>0.164628</v>
      </c>
      <c r="H12" s="350" t="n">
        <v>0.272135</v>
      </c>
      <c r="I12" s="350" t="n">
        <v>0.222741</v>
      </c>
      <c r="J12" s="351" t="n">
        <v>0.164628</v>
      </c>
      <c r="K12" s="306" t="n"/>
      <c r="L12" s="306" t="n"/>
    </row>
    <row r="13" ht="15" customHeight="1" s="307">
      <c r="A13" s="346" t="inlineStr">
        <is>
          <t>LP MOIC / DPI</t>
        </is>
      </c>
      <c r="B13" s="352" t="n">
        <v>2.188333</v>
      </c>
      <c r="C13" s="352" t="n">
        <v>2.912402</v>
      </c>
      <c r="D13" s="353" t="n">
        <v>3.119787</v>
      </c>
      <c r="E13" s="352" t="n">
        <v>2.188333</v>
      </c>
      <c r="F13" s="352" t="n">
        <v>2.912402</v>
      </c>
      <c r="G13" s="353" t="n">
        <v>3.119787</v>
      </c>
      <c r="H13" s="352" t="n">
        <v>2.188333</v>
      </c>
      <c r="I13" s="352" t="n">
        <v>2.912402</v>
      </c>
      <c r="J13" s="353" t="n">
        <v>3.119787</v>
      </c>
      <c r="K13" s="306" t="n"/>
      <c r="L13" s="306" t="n"/>
    </row>
    <row r="14" ht="15" customHeight="1" s="307">
      <c r="A14" s="343" t="inlineStr">
        <is>
          <t>Cash Distributed</t>
        </is>
      </c>
      <c r="B14" s="344" t="n">
        <v>10.94166666666667</v>
      </c>
      <c r="C14" s="344" t="n">
        <v>14.562</v>
      </c>
      <c r="D14" s="345" t="n">
        <v>15.59893333333333</v>
      </c>
      <c r="E14" s="344" t="n">
        <v>21.88333333333333</v>
      </c>
      <c r="F14" s="344" t="n">
        <v>29.124</v>
      </c>
      <c r="G14" s="345" t="n">
        <v>31.19786666666667</v>
      </c>
      <c r="H14" s="344" t="n">
        <v>54.70833333333334</v>
      </c>
      <c r="I14" s="344" t="n">
        <v>72.81</v>
      </c>
      <c r="J14" s="345" t="n">
        <v>77.99466666666667</v>
      </c>
      <c r="K14" s="306" t="n"/>
      <c r="L14" s="306" t="n"/>
    </row>
    <row r="15" ht="15" customHeight="1" s="307">
      <c r="A15" s="321" t="n"/>
      <c r="B15" s="354" t="n"/>
      <c r="C15" s="354" t="n"/>
      <c r="E15" s="354" t="n"/>
      <c r="F15" s="354" t="n"/>
      <c r="H15" s="354" t="n"/>
      <c r="I15" s="354" t="n"/>
      <c r="K15" s="306" t="n"/>
      <c r="L15" s="306" t="n"/>
    </row>
    <row r="16" ht="15" customHeight="1" s="307">
      <c r="A16" s="342" t="inlineStr">
        <is>
          <t>15-YEAR RETURNS</t>
        </is>
      </c>
      <c r="B16" s="355" t="n"/>
      <c r="C16" s="355" t="n"/>
      <c r="D16" s="337" t="n"/>
      <c r="E16" s="355" t="n"/>
      <c r="F16" s="355" t="n"/>
      <c r="G16" s="337" t="n"/>
      <c r="H16" s="355" t="n"/>
      <c r="I16" s="355" t="n"/>
      <c r="J16" s="337" t="n"/>
      <c r="K16" s="306" t="n"/>
      <c r="L16" s="306" t="n"/>
    </row>
    <row r="17" ht="15" customHeight="1" s="307">
      <c r="A17" s="346" t="inlineStr">
        <is>
          <t>LP Net IRR (Staged)</t>
        </is>
      </c>
      <c r="B17" s="350" t="n">
        <v>0.277371</v>
      </c>
      <c r="C17" s="350" t="n">
        <v>0.236431</v>
      </c>
      <c r="D17" s="351" t="n">
        <v>0.185426</v>
      </c>
      <c r="E17" s="350" t="n">
        <v>0.277371</v>
      </c>
      <c r="F17" s="350" t="n">
        <v>0.236431</v>
      </c>
      <c r="G17" s="351" t="n">
        <v>0.185426</v>
      </c>
      <c r="H17" s="350" t="n">
        <v>0.277371</v>
      </c>
      <c r="I17" s="350" t="n">
        <v>0.236431</v>
      </c>
      <c r="J17" s="351" t="n">
        <v>0.185426</v>
      </c>
      <c r="K17" s="306" t="n"/>
      <c r="L17" s="306" t="n"/>
    </row>
    <row r="18" ht="15" customHeight="1" s="307">
      <c r="A18" s="346" t="inlineStr">
        <is>
          <t>LP MOIC / DPI</t>
        </is>
      </c>
      <c r="B18" s="352" t="n">
        <v>2.347873</v>
      </c>
      <c r="C18" s="352" t="n">
        <v>3.431386</v>
      </c>
      <c r="D18" s="353" t="n">
        <v>3.840599</v>
      </c>
      <c r="E18" s="352" t="n">
        <v>2.347873</v>
      </c>
      <c r="F18" s="352" t="n">
        <v>3.431386</v>
      </c>
      <c r="G18" s="353" t="n">
        <v>3.840599</v>
      </c>
      <c r="H18" s="352" t="n">
        <v>2.347873</v>
      </c>
      <c r="I18" s="352" t="n">
        <v>3.431386</v>
      </c>
      <c r="J18" s="353" t="n">
        <v>3.840599</v>
      </c>
      <c r="K18" s="306" t="n"/>
      <c r="L18" s="306" t="n"/>
    </row>
    <row r="19" ht="15" customHeight="1" s="307">
      <c r="A19" s="346" t="inlineStr">
        <is>
          <t>Total Cash</t>
        </is>
      </c>
      <c r="B19" s="356" t="n">
        <v>11.73936666666667</v>
      </c>
      <c r="C19" s="356" t="n">
        <v>17.15693333333333</v>
      </c>
      <c r="D19" s="357" t="n">
        <v>19.203</v>
      </c>
      <c r="E19" s="356" t="n">
        <v>23.47873333333333</v>
      </c>
      <c r="F19" s="356" t="n">
        <v>34.31386666666667</v>
      </c>
      <c r="G19" s="357" t="n">
        <v>38.40600000000001</v>
      </c>
      <c r="H19" s="356" t="n">
        <v>58.69683333333333</v>
      </c>
      <c r="I19" s="356" t="n">
        <v>85.78466666666667</v>
      </c>
      <c r="J19" s="357" t="n">
        <v>96.015</v>
      </c>
      <c r="K19" s="306" t="n"/>
      <c r="L19" s="306" t="n"/>
    </row>
    <row r="20" ht="15" customHeight="1" s="307">
      <c r="A20" s="322" t="n"/>
      <c r="B20" s="358" t="n"/>
      <c r="C20" s="358" t="n"/>
      <c r="E20" s="358" t="n"/>
      <c r="F20" s="358" t="n"/>
      <c r="H20" s="358" t="n"/>
      <c r="I20" s="358" t="n"/>
      <c r="K20" s="306" t="n"/>
      <c r="L20" s="306" t="n"/>
    </row>
    <row r="21" ht="15" customHeight="1" s="307">
      <c r="A21" s="342" t="inlineStr">
        <is>
          <t>NDR UPSIDE (bid at 1.24x, actual NDR beats 85%)</t>
        </is>
      </c>
      <c r="B21" s="359" t="n"/>
      <c r="C21" s="359" t="n"/>
      <c r="D21" s="337" t="n"/>
      <c r="E21" s="359" t="n"/>
      <c r="F21" s="359" t="n"/>
      <c r="G21" s="337" t="n"/>
      <c r="H21" s="359" t="n"/>
      <c r="I21" s="359" t="n"/>
      <c r="J21" s="337" t="n"/>
      <c r="K21" s="306" t="n"/>
      <c r="L21" s="306" t="n"/>
    </row>
    <row r="22" ht="15" customHeight="1" s="307">
      <c r="A22" s="340" t="inlineStr">
        <is>
          <t>Actual NDR</t>
        </is>
      </c>
      <c r="B22" s="360" t="inlineStr">
        <is>
          <t>10Y IRR</t>
        </is>
      </c>
      <c r="C22" s="360" t="inlineStr">
        <is>
          <t>10Y DPI</t>
        </is>
      </c>
      <c r="D22" s="341" t="inlineStr">
        <is>
          <t>15Y DPI</t>
        </is>
      </c>
      <c r="E22" s="360" t="inlineStr">
        <is>
          <t>Payback</t>
        </is>
      </c>
      <c r="F22" s="361" t="n"/>
      <c r="G22" s="337" t="n"/>
      <c r="H22" s="362" t="n"/>
      <c r="I22" s="362" t="n"/>
      <c r="J22" s="337" t="n"/>
      <c r="K22" s="306" t="n"/>
      <c r="L22" s="306" t="n"/>
    </row>
    <row r="23" ht="15" customHeight="1" s="307">
      <c r="A23" s="363" t="n">
        <v>0.8</v>
      </c>
      <c r="B23" s="364" t="n">
        <v>0.17938</v>
      </c>
      <c r="C23" s="365" t="n">
        <v>1.686</v>
      </c>
      <c r="D23" s="366" t="n">
        <v>1.691</v>
      </c>
      <c r="E23" s="367" t="n">
        <v>47</v>
      </c>
      <c r="F23" s="368" t="n"/>
      <c r="K23" s="306" t="n"/>
      <c r="L23" s="306" t="n"/>
    </row>
    <row r="24" ht="15" customHeight="1" s="307">
      <c r="A24" s="350" t="n">
        <v>0.85</v>
      </c>
      <c r="B24" s="369" t="n">
        <v>0.27213</v>
      </c>
      <c r="C24" s="370" t="n">
        <v>2.188</v>
      </c>
      <c r="D24" s="371" t="n">
        <v>2.348</v>
      </c>
      <c r="E24" s="372" t="n">
        <v>43</v>
      </c>
      <c r="F24" s="373" t="n"/>
      <c r="G24" s="374" t="n"/>
      <c r="H24" s="375" t="n"/>
      <c r="I24" s="375" t="n"/>
      <c r="J24" s="374" t="n"/>
      <c r="K24" s="306" t="n"/>
      <c r="L24" s="306" t="n"/>
    </row>
    <row r="25" ht="15" customHeight="1" s="307">
      <c r="A25" s="363" t="n">
        <v>0.9</v>
      </c>
      <c r="B25" s="364" t="n">
        <v>0.35505</v>
      </c>
      <c r="C25" s="365" t="n">
        <v>2.768</v>
      </c>
      <c r="D25" s="366" t="n">
        <v>3.393</v>
      </c>
      <c r="E25" s="367" t="n">
        <v>40</v>
      </c>
      <c r="F25" s="368" t="n"/>
      <c r="H25" s="354" t="n"/>
      <c r="I25" s="354" t="n"/>
      <c r="K25" s="306" t="n"/>
      <c r="L25" s="306" t="n"/>
    </row>
    <row r="26" ht="15" customHeight="1" s="307">
      <c r="A26" s="363" t="n">
        <v>0.95</v>
      </c>
      <c r="B26" s="364" t="n">
        <v>0.4311</v>
      </c>
      <c r="C26" s="365" t="n">
        <v>3.444</v>
      </c>
      <c r="D26" s="366" t="n">
        <v>4.771</v>
      </c>
      <c r="E26" s="367" t="n">
        <v>38</v>
      </c>
      <c r="F26" s="368" t="n"/>
      <c r="H26" s="354" t="n"/>
      <c r="I26" s="354" t="n"/>
      <c r="K26" s="306" t="n"/>
      <c r="L26" s="306" t="n"/>
    </row>
    <row r="27" ht="15" customHeight="1" s="307">
      <c r="A27" s="376" t="n">
        <v>1</v>
      </c>
      <c r="B27" s="377" t="n">
        <v>0.50598</v>
      </c>
      <c r="C27" s="378" t="n">
        <v>4.288</v>
      </c>
      <c r="D27" s="379" t="n">
        <v>6.627</v>
      </c>
      <c r="E27" s="380" t="n">
        <v>35</v>
      </c>
      <c r="F27" s="381" t="n"/>
      <c r="G27" s="382" t="n"/>
      <c r="H27" s="383" t="n"/>
      <c r="I27" s="383" t="n"/>
      <c r="J27" s="382" t="n"/>
      <c r="K27" s="306" t="n"/>
      <c r="L27" s="306" t="n"/>
    </row>
    <row r="28" ht="15" customHeight="1" s="307">
      <c r="A28" s="376" t="n">
        <v>1.05</v>
      </c>
      <c r="B28" s="377" t="n">
        <v>0.5809299999999999</v>
      </c>
      <c r="C28" s="378" t="n">
        <v>5.393</v>
      </c>
      <c r="D28" s="379" t="n">
        <v>9.470000000000001</v>
      </c>
      <c r="E28" s="380" t="n">
        <v>34</v>
      </c>
      <c r="F28" s="381" t="n"/>
      <c r="G28" s="382" t="n"/>
      <c r="H28" s="383" t="n"/>
      <c r="I28" s="383" t="n"/>
      <c r="J28" s="382" t="n"/>
      <c r="K28" s="306" t="n"/>
      <c r="L28" s="306" t="n"/>
    </row>
    <row r="29" ht="15" customHeight="1" s="307">
      <c r="A29" s="321" t="n"/>
      <c r="B29" s="354" t="n"/>
      <c r="C29" s="354" t="n"/>
      <c r="E29" s="354" t="n"/>
      <c r="F29" s="354" t="n"/>
      <c r="H29" s="354" t="n"/>
      <c r="I29" s="354" t="n"/>
      <c r="K29" s="306" t="n"/>
      <c r="L29" s="306" t="n"/>
    </row>
    <row r="30" ht="15" customHeight="1" s="307">
      <c r="A30" s="342" t="inlineStr">
        <is>
          <t>ANNUAL CASH DISTRIBUTIONS ($mm) -- ALL SCENARIOS</t>
        </is>
      </c>
      <c r="B30" s="362" t="n"/>
      <c r="C30" s="362" t="n"/>
      <c r="D30" s="337" t="n"/>
      <c r="E30" s="362" t="n"/>
      <c r="F30" s="362" t="n"/>
      <c r="G30" s="337" t="n"/>
      <c r="H30" s="362" t="n"/>
      <c r="I30" s="362" t="n"/>
      <c r="J30" s="337" t="n"/>
      <c r="K30" s="306" t="n"/>
      <c r="L30" s="306" t="n"/>
    </row>
    <row r="31" ht="15" customHeight="1" s="307">
      <c r="A31" s="343" t="inlineStr">
        <is>
          <t>Year 1</t>
        </is>
      </c>
      <c r="B31" s="344" t="n">
        <v>0</v>
      </c>
      <c r="C31" s="344" t="n">
        <v>0</v>
      </c>
      <c r="D31" s="345" t="n">
        <v>0</v>
      </c>
      <c r="E31" s="344" t="n">
        <v>0</v>
      </c>
      <c r="F31" s="344" t="n">
        <v>0</v>
      </c>
      <c r="G31" s="345" t="n">
        <v>0</v>
      </c>
      <c r="H31" s="344" t="n">
        <v>0</v>
      </c>
      <c r="I31" s="344" t="n">
        <v>0</v>
      </c>
      <c r="J31" s="345" t="n">
        <v>0</v>
      </c>
      <c r="K31" s="306" t="n"/>
      <c r="L31" s="306" t="n"/>
    </row>
    <row r="32" ht="15" customHeight="1" s="307">
      <c r="A32" s="343" t="inlineStr">
        <is>
          <t>Year 2</t>
        </is>
      </c>
      <c r="B32" s="344" t="n">
        <v>1.918566666666667</v>
      </c>
      <c r="C32" s="344" t="n">
        <v>0.9361999999999999</v>
      </c>
      <c r="D32" s="345" t="n">
        <v>0</v>
      </c>
      <c r="E32" s="344" t="n">
        <v>3.837133333333334</v>
      </c>
      <c r="F32" s="344" t="n">
        <v>1.8724</v>
      </c>
      <c r="G32" s="345" t="n">
        <v>0</v>
      </c>
      <c r="H32" s="344" t="n">
        <v>9.592833333333333</v>
      </c>
      <c r="I32" s="344" t="n">
        <v>4.680999999999999</v>
      </c>
      <c r="J32" s="345" t="n">
        <v>0</v>
      </c>
      <c r="K32" s="306" t="n"/>
      <c r="L32" s="306" t="n"/>
    </row>
    <row r="33" ht="15" customHeight="1" s="307">
      <c r="A33" s="343" t="inlineStr">
        <is>
          <t>Year 3</t>
        </is>
      </c>
      <c r="B33" s="344" t="n">
        <v>2.1185</v>
      </c>
      <c r="C33" s="344" t="n">
        <v>1.360933333333333</v>
      </c>
      <c r="D33" s="345" t="n">
        <v>0</v>
      </c>
      <c r="E33" s="344" t="n">
        <v>4.237</v>
      </c>
      <c r="F33" s="344" t="n">
        <v>2.721866666666667</v>
      </c>
      <c r="G33" s="345" t="n">
        <v>0</v>
      </c>
      <c r="H33" s="344" t="n">
        <v>10.5925</v>
      </c>
      <c r="I33" s="344" t="n">
        <v>6.804666666666667</v>
      </c>
      <c r="J33" s="345" t="n">
        <v>0</v>
      </c>
      <c r="K33" s="306" t="n"/>
      <c r="L33" s="306" t="n"/>
    </row>
    <row r="34" ht="15" customHeight="1" s="307">
      <c r="A34" s="343" t="inlineStr">
        <is>
          <t>Year 4</t>
        </is>
      </c>
      <c r="B34" s="344" t="n">
        <v>1.733333333333333</v>
      </c>
      <c r="C34" s="344" t="n">
        <v>3.0713</v>
      </c>
      <c r="D34" s="345" t="n">
        <v>3.863266666666667</v>
      </c>
      <c r="E34" s="344" t="n">
        <v>3.466666666666667</v>
      </c>
      <c r="F34" s="344" t="n">
        <v>6.1426</v>
      </c>
      <c r="G34" s="345" t="n">
        <v>7.726533333333333</v>
      </c>
      <c r="H34" s="344" t="n">
        <v>8.666666666666666</v>
      </c>
      <c r="I34" s="344" t="n">
        <v>15.3565</v>
      </c>
      <c r="J34" s="345" t="n">
        <v>19.31633333333333</v>
      </c>
      <c r="K34" s="306" t="n"/>
      <c r="L34" s="306" t="n"/>
    </row>
    <row r="35" ht="15" customHeight="1" s="307">
      <c r="A35" s="343" t="inlineStr">
        <is>
          <t>Year 5</t>
        </is>
      </c>
      <c r="B35" s="344" t="n">
        <v>1.3245</v>
      </c>
      <c r="C35" s="344" t="n">
        <v>2.1885</v>
      </c>
      <c r="D35" s="345" t="n">
        <v>2.954366666666667</v>
      </c>
      <c r="E35" s="344" t="n">
        <v>2.649</v>
      </c>
      <c r="F35" s="344" t="n">
        <v>4.377</v>
      </c>
      <c r="G35" s="345" t="n">
        <v>5.908733333333333</v>
      </c>
      <c r="H35" s="344" t="n">
        <v>6.6225</v>
      </c>
      <c r="I35" s="344" t="n">
        <v>10.9425</v>
      </c>
      <c r="J35" s="345" t="n">
        <v>14.77183333333333</v>
      </c>
      <c r="K35" s="306" t="n"/>
      <c r="L35" s="306" t="n"/>
    </row>
    <row r="36" ht="15" customHeight="1" s="307">
      <c r="A36" s="343" t="inlineStr">
        <is>
          <t>Year 6</t>
        </is>
      </c>
      <c r="B36" s="344" t="n">
        <v>1.1101</v>
      </c>
      <c r="C36" s="344" t="n">
        <v>1.8752</v>
      </c>
      <c r="D36" s="345" t="n">
        <v>2.332966666666667</v>
      </c>
      <c r="E36" s="344" t="n">
        <v>2.2202</v>
      </c>
      <c r="F36" s="344" t="n">
        <v>3.7504</v>
      </c>
      <c r="G36" s="345" t="n">
        <v>4.665933333333333</v>
      </c>
      <c r="H36" s="344" t="n">
        <v>5.5505</v>
      </c>
      <c r="I36" s="344" t="n">
        <v>9.375999999999999</v>
      </c>
      <c r="J36" s="345" t="n">
        <v>11.66483333333333</v>
      </c>
      <c r="K36" s="306" t="n"/>
      <c r="L36" s="306" t="n"/>
    </row>
    <row r="37" ht="15" customHeight="1" s="307">
      <c r="A37" s="343" t="inlineStr">
        <is>
          <t>Year 7</t>
        </is>
      </c>
      <c r="B37" s="344" t="n">
        <v>0.9127666666666666</v>
      </c>
      <c r="C37" s="344" t="n">
        <v>1.608933333333333</v>
      </c>
      <c r="D37" s="345" t="n">
        <v>1.998033333333333</v>
      </c>
      <c r="E37" s="344" t="n">
        <v>1.825533333333333</v>
      </c>
      <c r="F37" s="344" t="n">
        <v>3.217866666666667</v>
      </c>
      <c r="G37" s="345" t="n">
        <v>3.996066666666667</v>
      </c>
      <c r="H37" s="344" t="n">
        <v>4.563833333333333</v>
      </c>
      <c r="I37" s="344" t="n">
        <v>8.044666666666666</v>
      </c>
      <c r="J37" s="345" t="n">
        <v>9.990166666666667</v>
      </c>
      <c r="K37" s="306" t="n"/>
      <c r="L37" s="306" t="n"/>
    </row>
    <row r="38" ht="15" customHeight="1" s="307">
      <c r="A38" s="343" t="inlineStr">
        <is>
          <t>Year 8</t>
        </is>
      </c>
      <c r="B38" s="344" t="n">
        <v>0.7450333333333333</v>
      </c>
      <c r="C38" s="344" t="n">
        <v>1.3826</v>
      </c>
      <c r="D38" s="345" t="n">
        <v>1.713333333333333</v>
      </c>
      <c r="E38" s="344" t="n">
        <v>1.490066666666667</v>
      </c>
      <c r="F38" s="344" t="n">
        <v>2.7652</v>
      </c>
      <c r="G38" s="345" t="n">
        <v>3.426666666666666</v>
      </c>
      <c r="H38" s="344" t="n">
        <v>3.725166666666667</v>
      </c>
      <c r="I38" s="344" t="n">
        <v>6.913</v>
      </c>
      <c r="J38" s="345" t="n">
        <v>8.566666666666666</v>
      </c>
      <c r="K38" s="306" t="n"/>
      <c r="L38" s="306" t="n"/>
    </row>
    <row r="39" ht="15" customHeight="1" s="307">
      <c r="A39" s="343" t="inlineStr">
        <is>
          <t>Year 9</t>
        </is>
      </c>
      <c r="B39" s="344" t="n">
        <v>0.6024333333333334</v>
      </c>
      <c r="C39" s="344" t="n">
        <v>1.172533333333333</v>
      </c>
      <c r="D39" s="345" t="n">
        <v>1.471333333333333</v>
      </c>
      <c r="E39" s="344" t="n">
        <v>1.204866666666667</v>
      </c>
      <c r="F39" s="344" t="n">
        <v>2.345066666666667</v>
      </c>
      <c r="G39" s="345" t="n">
        <v>2.942666666666667</v>
      </c>
      <c r="H39" s="344" t="n">
        <v>3.012166666666666</v>
      </c>
      <c r="I39" s="344" t="n">
        <v>5.862666666666667</v>
      </c>
      <c r="J39" s="345" t="n">
        <v>7.356666666666666</v>
      </c>
      <c r="K39" s="306" t="n"/>
      <c r="L39" s="306" t="n"/>
    </row>
    <row r="40" ht="15" customHeight="1" s="307">
      <c r="A40" s="343" t="inlineStr">
        <is>
          <t>Year 10</t>
        </is>
      </c>
      <c r="B40" s="344" t="n">
        <v>0.4765666666666667</v>
      </c>
      <c r="C40" s="344" t="n">
        <v>0.9658</v>
      </c>
      <c r="D40" s="345" t="n">
        <v>1.265633333333333</v>
      </c>
      <c r="E40" s="344" t="n">
        <v>0.9531333333333334</v>
      </c>
      <c r="F40" s="344" t="n">
        <v>1.9316</v>
      </c>
      <c r="G40" s="345" t="n">
        <v>2.531266666666667</v>
      </c>
      <c r="H40" s="344" t="n">
        <v>2.382833333333333</v>
      </c>
      <c r="I40" s="344" t="n">
        <v>4.829</v>
      </c>
      <c r="J40" s="345" t="n">
        <v>6.328166666666666</v>
      </c>
      <c r="K40" s="306" t="n"/>
      <c r="L40" s="306" t="n"/>
    </row>
    <row r="41" ht="15" customHeight="1" s="307">
      <c r="A41" s="343" t="inlineStr">
        <is>
          <t>Year 11</t>
        </is>
      </c>
      <c r="B41" s="344" t="n">
        <v>0.3478</v>
      </c>
      <c r="C41" s="344" t="n">
        <v>0.7901333333333334</v>
      </c>
      <c r="D41" s="345" t="n">
        <v>1.046833333333333</v>
      </c>
      <c r="E41" s="344" t="n">
        <v>0.6956</v>
      </c>
      <c r="F41" s="344" t="n">
        <v>1.580266666666667</v>
      </c>
      <c r="G41" s="345" t="n">
        <v>2.093666666666667</v>
      </c>
      <c r="H41" s="344" t="n">
        <v>1.739</v>
      </c>
      <c r="I41" s="344" t="n">
        <v>3.950666666666667</v>
      </c>
      <c r="J41" s="345" t="n">
        <v>5.234166666666667</v>
      </c>
      <c r="K41" s="306" t="n"/>
      <c r="L41" s="306" t="n"/>
    </row>
    <row r="42" ht="15" customHeight="1" s="307">
      <c r="A42" s="343" t="inlineStr">
        <is>
          <t>Year 12</t>
        </is>
      </c>
      <c r="B42" s="344" t="n">
        <v>0.2383333333333333</v>
      </c>
      <c r="C42" s="344" t="n">
        <v>0.6407666666666666</v>
      </c>
      <c r="D42" s="345" t="n">
        <v>0.859</v>
      </c>
      <c r="E42" s="344" t="n">
        <v>0.4766666666666667</v>
      </c>
      <c r="F42" s="344" t="n">
        <v>1.281533333333333</v>
      </c>
      <c r="G42" s="345" t="n">
        <v>1.718</v>
      </c>
      <c r="H42" s="344" t="n">
        <v>1.191666666666667</v>
      </c>
      <c r="I42" s="344" t="n">
        <v>3.203833333333333</v>
      </c>
      <c r="J42" s="345" t="n">
        <v>4.295</v>
      </c>
      <c r="K42" s="306" t="n"/>
      <c r="L42" s="306" t="n"/>
    </row>
    <row r="43" ht="15" customHeight="1" s="307">
      <c r="A43" s="343" t="inlineStr">
        <is>
          <t>Year 13</t>
        </is>
      </c>
      <c r="B43" s="344" t="n">
        <v>0.1453</v>
      </c>
      <c r="C43" s="344" t="n">
        <v>0.5138333333333333</v>
      </c>
      <c r="D43" s="345" t="n">
        <v>0.6993333333333334</v>
      </c>
      <c r="E43" s="344" t="n">
        <v>0.2906</v>
      </c>
      <c r="F43" s="344" t="n">
        <v>1.027666666666667</v>
      </c>
      <c r="G43" s="345" t="n">
        <v>1.398666666666667</v>
      </c>
      <c r="H43" s="344" t="n">
        <v>0.7264999999999999</v>
      </c>
      <c r="I43" s="344" t="n">
        <v>2.569166666666666</v>
      </c>
      <c r="J43" s="345" t="n">
        <v>3.496666666666667</v>
      </c>
      <c r="K43" s="306" t="n"/>
      <c r="L43" s="306" t="n"/>
    </row>
    <row r="44" ht="15" customHeight="1" s="307">
      <c r="A44" s="343" t="inlineStr">
        <is>
          <t>Year 14</t>
        </is>
      </c>
      <c r="B44" s="344" t="n">
        <v>0.06623333333333334</v>
      </c>
      <c r="C44" s="344" t="n">
        <v>0.3824333333333333</v>
      </c>
      <c r="D44" s="345" t="n">
        <v>0.5636</v>
      </c>
      <c r="E44" s="344" t="n">
        <v>0.1324666666666667</v>
      </c>
      <c r="F44" s="344" t="n">
        <v>0.7648666666666667</v>
      </c>
      <c r="G44" s="345" t="n">
        <v>1.1272</v>
      </c>
      <c r="H44" s="344" t="n">
        <v>0.3311666666666667</v>
      </c>
      <c r="I44" s="344" t="n">
        <v>1.912166666666667</v>
      </c>
      <c r="J44" s="345" t="n">
        <v>2.818</v>
      </c>
      <c r="K44" s="306" t="n"/>
      <c r="L44" s="306" t="n"/>
    </row>
    <row r="45" ht="15" customHeight="1" s="307">
      <c r="A45" s="343" t="inlineStr">
        <is>
          <t>Year 15</t>
        </is>
      </c>
      <c r="B45" s="344" t="n">
        <v>0</v>
      </c>
      <c r="C45" s="344" t="n">
        <v>0.2677666666666667</v>
      </c>
      <c r="D45" s="345" t="n">
        <v>0.4353</v>
      </c>
      <c r="E45" s="344" t="n">
        <v>0</v>
      </c>
      <c r="F45" s="344" t="n">
        <v>0.5355333333333333</v>
      </c>
      <c r="G45" s="345" t="n">
        <v>0.8705999999999999</v>
      </c>
      <c r="H45" s="344" t="n">
        <v>0</v>
      </c>
      <c r="I45" s="344" t="n">
        <v>1.338833333333333</v>
      </c>
      <c r="J45" s="345" t="n">
        <v>2.1765</v>
      </c>
      <c r="K45" s="306" t="n"/>
      <c r="L45" s="306" t="n"/>
    </row>
    <row r="46" ht="15" customHeight="1" s="307">
      <c r="A46" s="321" t="n"/>
      <c r="B46" s="354" t="n"/>
      <c r="C46" s="354" t="n"/>
      <c r="E46" s="354" t="n"/>
      <c r="F46" s="354" t="n"/>
      <c r="H46" s="354" t="n"/>
      <c r="I46" s="354" t="n"/>
      <c r="K46" s="306" t="n"/>
      <c r="L46" s="306" t="n"/>
    </row>
    <row r="47" ht="15" customHeight="1" s="307">
      <c r="A47" s="384" t="inlineStr">
        <is>
          <t>CONFIDENTIAL -- DO NOT DISTRIBUTE</t>
        </is>
      </c>
      <c r="B47" s="354" t="n"/>
      <c r="C47" s="354" t="n"/>
      <c r="E47" s="354" t="n"/>
      <c r="F47" s="354" t="n"/>
      <c r="H47" s="354" t="n"/>
      <c r="I47" s="354" t="n"/>
      <c r="K47" s="306" t="n"/>
      <c r="L47" s="306" t="n"/>
    </row>
    <row r="48" ht="15" customHeight="1" s="307">
      <c r="A48" s="321" t="n"/>
      <c r="B48" s="354" t="n"/>
      <c r="C48" s="354" t="n"/>
      <c r="E48" s="354" t="n"/>
      <c r="F48" s="354" t="n"/>
      <c r="H48" s="354" t="n"/>
      <c r="I48" s="354" t="n"/>
      <c r="K48" s="306" t="n"/>
      <c r="L48" s="306" t="n"/>
    </row>
    <row r="49" ht="15" customHeight="1" s="307">
      <c r="A49" s="321" t="n"/>
      <c r="B49" s="354" t="n"/>
      <c r="C49" s="354" t="n"/>
      <c r="E49" s="354" t="n"/>
      <c r="F49" s="354" t="n"/>
      <c r="H49" s="354" t="n"/>
      <c r="I49" s="354" t="n"/>
      <c r="K49" s="306" t="n"/>
      <c r="L49" s="306" t="n"/>
    </row>
    <row r="50" ht="15" customHeight="1" s="307">
      <c r="A50" s="321" t="n"/>
      <c r="B50" s="354" t="n"/>
      <c r="C50" s="354" t="n"/>
      <c r="E50" s="354" t="n"/>
      <c r="F50" s="354" t="n"/>
      <c r="H50" s="354" t="n"/>
      <c r="I50" s="354" t="n"/>
      <c r="K50" s="306" t="n"/>
      <c r="L50" s="306" t="n"/>
    </row>
    <row r="51" ht="15" customHeight="1" s="307">
      <c r="A51" s="321" t="n"/>
      <c r="B51" s="354" t="n"/>
      <c r="C51" s="354" t="n"/>
      <c r="E51" s="354" t="n"/>
      <c r="F51" s="354" t="n"/>
      <c r="H51" s="354" t="n"/>
      <c r="I51" s="354" t="n"/>
      <c r="K51" s="306" t="n"/>
      <c r="L51" s="306" t="n"/>
    </row>
    <row r="52" ht="15" customHeight="1" s="307">
      <c r="A52" s="321" t="n"/>
      <c r="B52" s="354" t="n"/>
      <c r="C52" s="354" t="n"/>
      <c r="E52" s="354" t="n"/>
      <c r="F52" s="354" t="n"/>
      <c r="H52" s="354" t="n"/>
      <c r="I52" s="354" t="n"/>
      <c r="K52" s="306" t="n"/>
      <c r="L52" s="306" t="n"/>
    </row>
    <row r="53" ht="15" customHeight="1" s="307">
      <c r="A53" s="321" t="n"/>
      <c r="B53" s="354" t="n"/>
      <c r="C53" s="354" t="n"/>
      <c r="E53" s="354" t="n"/>
      <c r="F53" s="354" t="n"/>
      <c r="H53" s="354" t="n"/>
      <c r="I53" s="354" t="n"/>
      <c r="K53" s="306" t="n"/>
      <c r="L53" s="306" t="n"/>
    </row>
    <row r="54" ht="15" customHeight="1" s="307">
      <c r="A54" s="321" t="n"/>
      <c r="B54" s="354" t="n"/>
      <c r="C54" s="354" t="n"/>
      <c r="E54" s="354" t="n"/>
      <c r="F54" s="354" t="n"/>
      <c r="H54" s="354" t="n"/>
      <c r="I54" s="354" t="n"/>
      <c r="K54" s="306" t="n"/>
      <c r="L54" s="306" t="n"/>
    </row>
    <row r="55" ht="15" customHeight="1" s="307">
      <c r="A55" s="321" t="n"/>
      <c r="B55" s="354" t="n"/>
      <c r="C55" s="354" t="n"/>
      <c r="E55" s="354" t="n"/>
      <c r="F55" s="354" t="n"/>
      <c r="H55" s="354" t="n"/>
      <c r="I55" s="354" t="n"/>
      <c r="K55" s="306" t="n"/>
      <c r="L55" s="306" t="n"/>
    </row>
    <row r="56" ht="15" customHeight="1" s="307">
      <c r="A56" s="321" t="n"/>
      <c r="B56" s="354" t="n"/>
      <c r="C56" s="354" t="n"/>
      <c r="E56" s="354" t="n"/>
      <c r="F56" s="354" t="n"/>
      <c r="H56" s="354" t="n"/>
      <c r="I56" s="354" t="n"/>
      <c r="K56" s="306" t="n"/>
      <c r="L56" s="306" t="n"/>
    </row>
    <row r="57" ht="15" customHeight="1" s="307">
      <c r="A57" s="334" t="n"/>
      <c r="K57" s="306" t="n"/>
      <c r="L57" s="306" t="n"/>
    </row>
    <row r="58" ht="15" customHeight="1" s="307">
      <c r="A58" s="334" t="n"/>
      <c r="K58" s="306" t="n"/>
      <c r="L58" s="306" t="n"/>
    </row>
    <row r="59" ht="15" customHeight="1" s="307">
      <c r="K59" s="306" t="n"/>
      <c r="L59" s="306" t="n"/>
    </row>
    <row r="60" ht="15" customHeight="1" s="307">
      <c r="K60" s="306" t="n"/>
      <c r="L60" s="306" t="n"/>
    </row>
    <row r="61" ht="15" customHeight="1" s="307">
      <c r="K61" s="306" t="n"/>
      <c r="L61" s="306" t="n"/>
    </row>
    <row r="62" ht="15" customHeight="1" s="307">
      <c r="K62" s="306" t="n"/>
      <c r="L62" s="306" t="n"/>
    </row>
    <row r="63" ht="15" customHeight="1" s="307">
      <c r="K63" s="306" t="n"/>
      <c r="L63" s="306" t="n"/>
    </row>
    <row r="64" ht="15" customHeight="1" s="307">
      <c r="K64" s="306" t="n"/>
      <c r="L64" s="306" t="n"/>
    </row>
    <row r="65" ht="15" customHeight="1" s="307">
      <c r="K65" s="306" t="n"/>
      <c r="L65" s="306" t="n"/>
    </row>
    <row r="66" ht="15" customHeight="1" s="307">
      <c r="K66" s="306" t="n"/>
      <c r="L66" s="306" t="n"/>
    </row>
    <row r="67" ht="15" customHeight="1" s="307">
      <c r="K67" s="306" t="n"/>
      <c r="L67" s="306" t="n"/>
    </row>
    <row r="68" ht="15" customHeight="1" s="307">
      <c r="K68" s="306" t="n"/>
      <c r="L68" s="306" t="n"/>
    </row>
    <row r="69" ht="15" customHeight="1" s="307">
      <c r="K69" s="306" t="n"/>
      <c r="L69" s="306" t="n"/>
    </row>
    <row r="70" ht="15" customHeight="1" s="307">
      <c r="K70" s="306" t="n"/>
      <c r="L70" s="306" t="n"/>
    </row>
    <row r="71" ht="15" customHeight="1" s="307">
      <c r="K71" s="306" t="n"/>
      <c r="L71" s="306" t="n"/>
    </row>
    <row r="72" ht="15" customHeight="1" s="307">
      <c r="K72" s="306" t="n"/>
      <c r="L72" s="306" t="n"/>
    </row>
    <row r="73" ht="15" customHeight="1" s="307">
      <c r="K73" s="306" t="n"/>
      <c r="L73" s="306" t="n"/>
    </row>
    <row r="74" ht="15" customHeight="1" s="307">
      <c r="K74" s="306" t="n"/>
      <c r="L74" s="306" t="n"/>
    </row>
    <row r="75" ht="15" customHeight="1" s="307">
      <c r="K75" s="306" t="n"/>
      <c r="L75" s="306" t="n"/>
    </row>
    <row r="76" ht="15" customHeight="1" s="307">
      <c r="K76" s="306" t="n"/>
      <c r="L76" s="306" t="n"/>
    </row>
    <row r="77" ht="15" customHeight="1" s="307">
      <c r="K77" s="306" t="n"/>
      <c r="L77" s="306" t="n"/>
    </row>
    <row r="78" ht="15" customHeight="1" s="307">
      <c r="K78" s="306" t="n"/>
      <c r="L78" s="306" t="n"/>
    </row>
    <row r="79" ht="15" customHeight="1" s="307">
      <c r="K79" s="306" t="n"/>
      <c r="L79" s="306" t="n"/>
    </row>
  </sheetData>
  <mergeCells count="3">
    <mergeCell ref="E4:G4"/>
    <mergeCell ref="B4:D4"/>
    <mergeCell ref="H4:J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2" customWidth="1" style="306" min="2" max="11"/>
    <col width="10" customWidth="1" style="306" min="12" max="12"/>
    <col width="8" customWidth="1" style="306" min="13" max="13"/>
    <col width="28" customWidth="1" style="306" min="14" max="14"/>
  </cols>
  <sheetData>
    <row r="1" ht="25.5" customHeight="1" s="307">
      <c r="A1" s="385" t="inlineStr">
        <is>
          <t>PRESS CAPITAL -- DEAL ALLOCATION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O1" s="306" t="n"/>
    </row>
    <row r="2" ht="15" customHeight="1" s="307">
      <c r="A2" s="386" t="inlineStr">
        <is>
          <t>Uniform 85% NDR. 1.24x entry. 50/50 sev split. ARR capped at $24M per fix.</t>
        </is>
      </c>
      <c r="O2" s="306" t="n"/>
    </row>
    <row r="3" ht="15" customHeight="1" s="307">
      <c r="A3" s="387" t="n"/>
      <c r="B3" s="387" t="n"/>
      <c r="C3" s="387" t="n"/>
      <c r="D3" s="387" t="n"/>
      <c r="E3" s="387" t="n"/>
      <c r="F3" s="387" t="n"/>
      <c r="G3" s="387" t="n"/>
      <c r="H3" s="387" t="n"/>
      <c r="I3" s="387" t="n"/>
      <c r="J3" s="387" t="n"/>
      <c r="K3" s="387" t="n"/>
      <c r="L3" s="387" t="n"/>
      <c r="M3" s="387" t="n"/>
      <c r="O3" s="306" t="n"/>
    </row>
    <row r="4" ht="19.5" customHeight="1" s="307">
      <c r="A4" s="388" t="inlineStr">
        <is>
          <t>Deal</t>
        </is>
      </c>
      <c r="B4" s="388" t="inlineStr">
        <is>
          <t>ARR ($mm)</t>
        </is>
      </c>
      <c r="C4" s="388" t="inlineStr">
        <is>
          <t>Entry Mult</t>
        </is>
      </c>
      <c r="D4" s="389" t="inlineStr">
        <is>
          <t>Gross Price</t>
        </is>
      </c>
      <c r="E4" s="390" t="inlineStr">
        <is>
          <t>Sev Disc</t>
        </is>
      </c>
      <c r="F4" s="389" t="inlineStr">
        <is>
          <t>Net Price</t>
        </is>
      </c>
      <c r="G4" s="391" t="inlineStr">
        <is>
          <t>NDR</t>
        </is>
      </c>
      <c r="H4" s="391" t="inlineStr">
        <is>
          <t>Entry Profit</t>
        </is>
      </c>
      <c r="I4" s="391" t="inlineStr">
        <is>
          <t>Close Mo</t>
        </is>
      </c>
      <c r="J4" s="392" t="n"/>
      <c r="K4" s="393" t="n"/>
      <c r="L4" s="392" t="n"/>
      <c r="M4" s="392" t="n"/>
      <c r="N4" s="387" t="n"/>
      <c r="O4" s="306" t="n"/>
    </row>
    <row r="5" ht="15" customHeight="1" s="307">
      <c r="A5" s="394" t="inlineStr">
        <is>
          <t>#1</t>
        </is>
      </c>
      <c r="B5" s="395" t="n">
        <v>24</v>
      </c>
      <c r="C5" s="396" t="n">
        <v>1.24</v>
      </c>
      <c r="D5" s="397">
        <f>B5*C5</f>
        <v/>
      </c>
      <c r="E5" s="398">
        <f>B5*0.1154*0.5</f>
        <v/>
      </c>
      <c r="F5" s="399">
        <f>D5-E5</f>
        <v/>
      </c>
      <c r="G5" s="400" t="n">
        <v>0.85</v>
      </c>
      <c r="H5" s="401" t="n">
        <v>0</v>
      </c>
      <c r="I5" s="400" t="inlineStr">
        <is>
          <t>M4</t>
        </is>
      </c>
      <c r="J5" s="402" t="n"/>
      <c r="K5" s="403" t="n"/>
      <c r="L5" s="404" t="n"/>
      <c r="M5" s="403" t="n"/>
      <c r="N5" s="323" t="n"/>
      <c r="O5" s="306" t="n"/>
    </row>
    <row r="6" ht="15" customHeight="1" s="307">
      <c r="A6" s="394" t="inlineStr">
        <is>
          <t>#2</t>
        </is>
      </c>
      <c r="B6" s="395" t="n">
        <v>24</v>
      </c>
      <c r="C6" s="396" t="n">
        <v>1.24</v>
      </c>
      <c r="D6" s="397">
        <f>B6*C6</f>
        <v/>
      </c>
      <c r="E6" s="398">
        <f>B6*0.1154*0.5</f>
        <v/>
      </c>
      <c r="F6" s="399">
        <f>D6-E6</f>
        <v/>
      </c>
      <c r="G6" s="400" t="n">
        <v>0.85</v>
      </c>
      <c r="H6" s="401" t="n">
        <v>0</v>
      </c>
      <c r="I6" s="400" t="inlineStr">
        <is>
          <t>M7</t>
        </is>
      </c>
      <c r="J6" s="402" t="n"/>
      <c r="K6" s="403" t="n"/>
      <c r="L6" s="404" t="n"/>
      <c r="M6" s="403" t="n"/>
      <c r="N6" s="323" t="n"/>
      <c r="O6" s="306" t="n"/>
    </row>
    <row r="7" ht="15" customHeight="1" s="307">
      <c r="A7" s="394" t="inlineStr">
        <is>
          <t>#3</t>
        </is>
      </c>
      <c r="B7" s="395" t="n">
        <v>24</v>
      </c>
      <c r="C7" s="396" t="n">
        <v>1.24</v>
      </c>
      <c r="D7" s="397">
        <f>B7*C7</f>
        <v/>
      </c>
      <c r="E7" s="398">
        <f>B7*0.1154*0.5</f>
        <v/>
      </c>
      <c r="F7" s="399">
        <f>D7-E7</f>
        <v/>
      </c>
      <c r="G7" s="400" t="n">
        <v>0.85</v>
      </c>
      <c r="H7" s="401" t="n">
        <v>0</v>
      </c>
      <c r="I7" s="400" t="inlineStr">
        <is>
          <t>M10</t>
        </is>
      </c>
      <c r="J7" s="402" t="n"/>
      <c r="K7" s="403" t="n"/>
      <c r="L7" s="404" t="n"/>
      <c r="M7" s="403" t="n"/>
      <c r="N7" s="323" t="n"/>
      <c r="O7" s="306" t="n"/>
    </row>
    <row r="8" ht="15" customHeight="1" s="307">
      <c r="A8" s="394" t="inlineStr">
        <is>
          <t>#4</t>
        </is>
      </c>
      <c r="B8" s="395" t="n">
        <v>24</v>
      </c>
      <c r="C8" s="396" t="n">
        <v>1.24</v>
      </c>
      <c r="D8" s="397">
        <f>B8*C8</f>
        <v/>
      </c>
      <c r="E8" s="398">
        <f>B8*0.1154*0.5</f>
        <v/>
      </c>
      <c r="F8" s="399">
        <f>D8-E8</f>
        <v/>
      </c>
      <c r="G8" s="400" t="n">
        <v>0.85</v>
      </c>
      <c r="H8" s="401" t="n">
        <v>0</v>
      </c>
      <c r="I8" s="400" t="inlineStr">
        <is>
          <t>M12</t>
        </is>
      </c>
      <c r="J8" s="402" t="n"/>
      <c r="K8" s="403" t="n"/>
      <c r="L8" s="404" t="n"/>
      <c r="M8" s="403" t="n"/>
      <c r="N8" s="323" t="n"/>
      <c r="O8" s="306" t="n"/>
    </row>
    <row r="9" ht="15" customHeight="1" s="307">
      <c r="A9" s="394" t="inlineStr">
        <is>
          <t>#5</t>
        </is>
      </c>
      <c r="B9" s="395" t="n">
        <v>24</v>
      </c>
      <c r="C9" s="396" t="n">
        <v>1.24</v>
      </c>
      <c r="D9" s="397">
        <f>B9*C9</f>
        <v/>
      </c>
      <c r="E9" s="398">
        <f>B9*0.1154*0.5</f>
        <v/>
      </c>
      <c r="F9" s="399">
        <f>D9-E9</f>
        <v/>
      </c>
      <c r="G9" s="400" t="n">
        <v>0.85</v>
      </c>
      <c r="H9" s="401" t="n">
        <v>0</v>
      </c>
      <c r="I9" s="400" t="inlineStr">
        <is>
          <t>M16</t>
        </is>
      </c>
      <c r="J9" s="402" t="n"/>
      <c r="K9" s="403" t="n"/>
      <c r="L9" s="404" t="n"/>
      <c r="M9" s="405" t="n"/>
      <c r="N9" s="323" t="n"/>
      <c r="O9" s="306" t="n"/>
    </row>
    <row r="10" ht="15" customHeight="1" s="307">
      <c r="A10" s="406" t="n"/>
      <c r="B10" s="407" t="n"/>
      <c r="C10" s="408" t="n"/>
      <c r="D10" s="408" t="n"/>
      <c r="E10" s="409" t="n"/>
      <c r="F10" s="410" t="n"/>
      <c r="G10" s="411" t="n"/>
      <c r="H10" s="412" t="n"/>
      <c r="I10" s="413" t="n"/>
      <c r="J10" s="407" t="n"/>
      <c r="K10" s="409" t="n"/>
      <c r="L10" s="414" t="n"/>
      <c r="O10" s="306" t="n"/>
    </row>
    <row r="11" ht="15" customHeight="1" s="307">
      <c r="A11" s="415" t="inlineStr">
        <is>
          <t>TOTAL</t>
        </is>
      </c>
      <c r="B11" s="416">
        <f>SUM(B5:B9)</f>
        <v/>
      </c>
      <c r="C11" s="417" t="n"/>
      <c r="D11" s="417">
        <f>SUM(D5:D9)</f>
        <v/>
      </c>
      <c r="E11" s="418">
        <f>SUM(E5:E9)</f>
        <v/>
      </c>
      <c r="F11" s="419">
        <f>SUM(F5:F9)</f>
        <v/>
      </c>
      <c r="G11" s="418" t="n"/>
      <c r="H11" s="417" t="n"/>
      <c r="I11" s="420" t="n"/>
      <c r="J11" s="387" t="n"/>
      <c r="K11" s="421" t="n"/>
      <c r="L11" s="392" t="n"/>
      <c r="M11" s="387" t="n"/>
      <c r="O11" s="306" t="n"/>
    </row>
    <row r="12" ht="15" customHeight="1" s="307">
      <c r="A12" s="394" t="n"/>
      <c r="B12" s="394" t="n"/>
      <c r="C12" s="422" t="n"/>
      <c r="D12" s="423" t="n"/>
      <c r="E12" s="424" t="n"/>
      <c r="F12" s="425" t="n"/>
      <c r="G12" s="403" t="n"/>
      <c r="H12" s="403" t="n"/>
      <c r="I12" s="403" t="n"/>
      <c r="J12" s="404" t="n"/>
      <c r="K12" s="423" t="n"/>
      <c r="L12" s="403" t="n"/>
      <c r="M12" s="403" t="n"/>
      <c r="O12" s="306" t="n"/>
    </row>
    <row r="13" ht="15" customHeight="1" s="307">
      <c r="A13" s="426" t="inlineStr">
        <is>
          <t>RECYCLED DEALS (50% retention, M1-36)</t>
        </is>
      </c>
      <c r="B13" s="427" t="n"/>
      <c r="C13" s="428" t="n"/>
      <c r="D13" s="429" t="n"/>
      <c r="E13" s="430" t="n"/>
      <c r="F13" s="431" t="n"/>
      <c r="G13" s="432" t="n"/>
      <c r="H13" s="432" t="n"/>
      <c r="I13" s="432" t="n"/>
      <c r="J13" s="404" t="n"/>
      <c r="K13" s="423" t="n"/>
      <c r="L13" s="403" t="n"/>
      <c r="M13" s="403" t="n"/>
      <c r="O13" s="306" t="n"/>
    </row>
    <row r="14" ht="19.5" customHeight="1" s="307">
      <c r="A14" s="388" t="inlineStr">
        <is>
          <t>Deal</t>
        </is>
      </c>
      <c r="B14" s="388" t="inlineStr">
        <is>
          <t>ARR ($mm)</t>
        </is>
      </c>
      <c r="C14" s="388" t="inlineStr">
        <is>
          <t>Entry Mult</t>
        </is>
      </c>
      <c r="D14" s="389" t="inlineStr">
        <is>
          <t>Gross Price</t>
        </is>
      </c>
      <c r="E14" s="390" t="inlineStr">
        <is>
          <t>Sev Disc</t>
        </is>
      </c>
      <c r="F14" s="389" t="inlineStr">
        <is>
          <t>Net Price</t>
        </is>
      </c>
      <c r="G14" s="391" t="inlineStr">
        <is>
          <t>NDR</t>
        </is>
      </c>
      <c r="H14" s="391" t="inlineStr">
        <is>
          <t>Entry Profit</t>
        </is>
      </c>
      <c r="I14" s="391" t="inlineStr">
        <is>
          <t>Close Mo</t>
        </is>
      </c>
      <c r="J14" s="392" t="n"/>
      <c r="K14" s="393" t="n"/>
      <c r="L14" s="392" t="n"/>
      <c r="M14" s="392" t="n"/>
      <c r="N14" s="387" t="n"/>
      <c r="O14" s="306" t="n"/>
    </row>
    <row r="15" ht="15" customHeight="1" s="307">
      <c r="A15" s="394" t="inlineStr">
        <is>
          <t>#6</t>
        </is>
      </c>
      <c r="B15" s="395" t="n">
        <v>24</v>
      </c>
      <c r="C15" s="396" t="n">
        <v>1</v>
      </c>
      <c r="D15" s="433">
        <f>B15*C15</f>
        <v/>
      </c>
      <c r="E15" s="398">
        <f>B15*0.1154*0.5</f>
        <v/>
      </c>
      <c r="F15" s="434">
        <f>D15-E15</f>
        <v/>
      </c>
      <c r="G15" s="400" t="n">
        <v>0.85</v>
      </c>
      <c r="H15" s="401" t="n">
        <v>0</v>
      </c>
      <c r="I15" s="400" t="inlineStr">
        <is>
          <t>M24</t>
        </is>
      </c>
      <c r="J15" s="402" t="n"/>
      <c r="K15" s="403" t="n"/>
      <c r="L15" s="404" t="n"/>
      <c r="M15" s="403" t="n"/>
      <c r="N15" s="323" t="n"/>
      <c r="O15" s="306" t="n"/>
    </row>
    <row r="16" ht="15" customHeight="1" s="307">
      <c r="A16" s="394" t="inlineStr">
        <is>
          <t>#7</t>
        </is>
      </c>
      <c r="B16" s="395" t="n">
        <v>24</v>
      </c>
      <c r="C16" s="396" t="n">
        <v>1</v>
      </c>
      <c r="D16" s="433">
        <f>B16*C16</f>
        <v/>
      </c>
      <c r="E16" s="398">
        <f>B16*0.1154*0.5</f>
        <v/>
      </c>
      <c r="F16" s="434">
        <f>D16-E16</f>
        <v/>
      </c>
      <c r="G16" s="400" t="n">
        <v>0.85</v>
      </c>
      <c r="H16" s="401" t="n">
        <v>0</v>
      </c>
      <c r="I16" s="400" t="inlineStr">
        <is>
          <t>M28</t>
        </is>
      </c>
      <c r="J16" s="402" t="n"/>
      <c r="K16" s="403" t="n"/>
      <c r="L16" s="404" t="n"/>
      <c r="M16" s="405" t="n"/>
      <c r="N16" s="323" t="n"/>
      <c r="O16" s="306" t="n"/>
    </row>
    <row r="17" ht="15" customHeight="1" s="307">
      <c r="A17" s="394" t="inlineStr">
        <is>
          <t>#8</t>
        </is>
      </c>
      <c r="B17" s="395" t="n">
        <v>24</v>
      </c>
      <c r="C17" s="396" t="n">
        <v>0.9</v>
      </c>
      <c r="D17" s="433">
        <f>B17*C17</f>
        <v/>
      </c>
      <c r="E17" s="398">
        <f>B17*0.1154*0.5</f>
        <v/>
      </c>
      <c r="F17" s="434">
        <f>D17-E17</f>
        <v/>
      </c>
      <c r="G17" s="400" t="n">
        <v>0.85</v>
      </c>
      <c r="H17" s="401" t="n">
        <v>0</v>
      </c>
      <c r="I17" s="400" t="inlineStr">
        <is>
          <t>M32</t>
        </is>
      </c>
      <c r="J17" s="402" t="n"/>
      <c r="K17" s="403" t="n"/>
      <c r="L17" s="404" t="n"/>
      <c r="M17" s="405" t="n"/>
      <c r="N17" s="323" t="n"/>
      <c r="O17" s="306" t="n"/>
    </row>
    <row r="18" ht="15" customHeight="1" s="307">
      <c r="A18" s="394" t="inlineStr">
        <is>
          <t>#9</t>
        </is>
      </c>
      <c r="B18" s="395" t="n">
        <v>24</v>
      </c>
      <c r="C18" s="396" t="n">
        <v>0.8</v>
      </c>
      <c r="D18" s="433">
        <f>B18*C18</f>
        <v/>
      </c>
      <c r="E18" s="398">
        <f>B18*0.1154*0.5</f>
        <v/>
      </c>
      <c r="F18" s="434">
        <f>D18-E18</f>
        <v/>
      </c>
      <c r="G18" s="400" t="n">
        <v>0.85</v>
      </c>
      <c r="H18" s="401" t="n">
        <v>0</v>
      </c>
      <c r="I18" s="400" t="inlineStr">
        <is>
          <t>M36</t>
        </is>
      </c>
      <c r="J18" s="402" t="n"/>
      <c r="K18" s="403" t="n"/>
      <c r="L18" s="404" t="n"/>
      <c r="M18" s="405" t="n"/>
      <c r="N18" s="323" t="n"/>
      <c r="O18" s="306" t="n"/>
    </row>
    <row r="19" ht="15" customHeight="1" s="307">
      <c r="A19" s="435" t="n"/>
      <c r="B19" s="422" t="n"/>
      <c r="C19" s="436" t="n"/>
      <c r="D19" s="437" t="n"/>
      <c r="E19" s="409" t="n"/>
      <c r="F19" s="410" t="n"/>
      <c r="G19" s="411" t="n"/>
      <c r="H19" s="412" t="n"/>
      <c r="I19" s="413" t="n"/>
      <c r="J19" s="407" t="n"/>
      <c r="K19" s="409" t="n"/>
      <c r="L19" s="414" t="n"/>
      <c r="O19" s="306" t="n"/>
    </row>
    <row r="20" ht="15" customHeight="1" s="307">
      <c r="A20" s="435" t="n"/>
      <c r="B20" s="422" t="n"/>
      <c r="C20" s="436" t="n"/>
      <c r="D20" s="408" t="n"/>
      <c r="E20" s="409" t="n"/>
      <c r="F20" s="410" t="n"/>
      <c r="G20" s="411" t="n"/>
      <c r="H20" s="412" t="n"/>
      <c r="I20" s="413" t="n"/>
      <c r="J20" s="407" t="n"/>
      <c r="K20" s="409" t="n"/>
      <c r="L20" s="414" t="n"/>
      <c r="O20" s="306" t="n"/>
    </row>
    <row r="21" ht="15" customHeight="1" s="307">
      <c r="A21" s="438" t="n"/>
      <c r="B21" s="422" t="n"/>
      <c r="C21" s="323" t="n"/>
      <c r="O21" s="306" t="n"/>
    </row>
    <row r="22" ht="15" customHeight="1" s="307">
      <c r="A22" s="321" t="n"/>
      <c r="B22" s="422" t="n"/>
      <c r="C22" s="323" t="n"/>
      <c r="O22" s="306" t="n"/>
    </row>
    <row r="23" ht="15" customHeight="1" s="307">
      <c r="A23" s="321" t="n"/>
      <c r="B23" s="422" t="n"/>
      <c r="C23" s="323" t="n"/>
      <c r="O23" s="306" t="n"/>
    </row>
    <row r="24" ht="15" customHeight="1" s="307">
      <c r="A24" s="321" t="n"/>
      <c r="B24" s="422" t="n"/>
      <c r="C24" s="323" t="n"/>
      <c r="O24" s="306" t="n"/>
    </row>
    <row r="25" ht="15" customHeight="1" s="307">
      <c r="A25" s="321" t="n"/>
      <c r="B25" s="422" t="n"/>
      <c r="C25" s="323" t="n"/>
      <c r="O25" s="306" t="n"/>
    </row>
    <row r="26" ht="15" customHeight="1" s="307">
      <c r="A26" s="321" t="n"/>
      <c r="B26" s="422" t="n"/>
      <c r="C26" s="323" t="n"/>
      <c r="O26" s="306" t="n"/>
    </row>
    <row r="27" ht="15" customHeight="1" s="307">
      <c r="A27" s="321" t="n"/>
      <c r="B27" s="422" t="n"/>
      <c r="C27" s="323" t="n"/>
      <c r="O27" s="306" t="n"/>
    </row>
    <row r="28" ht="15" customHeight="1" s="307">
      <c r="O28" s="306" t="n"/>
    </row>
    <row r="29" ht="15" customHeight="1" s="307">
      <c r="O29" s="306" t="n"/>
    </row>
    <row r="30" ht="15" customHeight="1" s="307">
      <c r="A30" s="438" t="n"/>
      <c r="O30" s="306" t="n"/>
    </row>
    <row r="31" ht="15" customHeight="1" s="307">
      <c r="A31" s="323" t="n"/>
      <c r="O31" s="306" t="n"/>
    </row>
    <row r="32" ht="15" customHeight="1" s="307">
      <c r="O32" s="306" t="n"/>
    </row>
    <row r="33" ht="15" customHeight="1" s="307">
      <c r="A33" s="322" t="n"/>
      <c r="B33" s="392" t="n"/>
      <c r="C33" s="392" t="n"/>
      <c r="D33" s="392" t="n"/>
      <c r="E33" s="392" t="n"/>
      <c r="F33" s="392" t="n"/>
      <c r="G33" s="392" t="n"/>
      <c r="H33" s="392" t="n"/>
      <c r="O33" s="306" t="n"/>
    </row>
    <row r="34" ht="15" customHeight="1" s="307">
      <c r="A34" s="439" t="n"/>
      <c r="B34" s="440" t="n"/>
      <c r="C34" s="440" t="n"/>
      <c r="D34" s="440" t="n"/>
      <c r="E34" s="440" t="n"/>
      <c r="F34" s="440" t="n"/>
      <c r="G34" s="440" t="n"/>
      <c r="H34" s="440" t="n"/>
      <c r="O34" s="306" t="n"/>
    </row>
    <row r="35" ht="15" customHeight="1" s="307">
      <c r="A35" s="439" t="n"/>
      <c r="B35" s="440" t="n"/>
      <c r="C35" s="440" t="n"/>
      <c r="D35" s="440" t="n"/>
      <c r="E35" s="441" t="n"/>
      <c r="F35" s="441" t="n"/>
      <c r="G35" s="441" t="n"/>
      <c r="H35" s="441" t="n"/>
      <c r="O35" s="306" t="n"/>
    </row>
    <row r="36" ht="15" customHeight="1" s="307">
      <c r="A36" s="439" t="n"/>
      <c r="B36" s="440" t="n"/>
      <c r="C36" s="441" t="n"/>
      <c r="D36" s="441" t="n"/>
      <c r="E36" s="441" t="n"/>
      <c r="F36" s="441" t="n"/>
      <c r="G36" s="442" t="n"/>
      <c r="H36" s="442" t="n"/>
      <c r="O36" s="306" t="n"/>
    </row>
    <row r="37" ht="15" customHeight="1" s="307">
      <c r="A37" s="439" t="n"/>
      <c r="B37" s="441" t="n"/>
      <c r="C37" s="441" t="n"/>
      <c r="D37" s="441" t="n"/>
      <c r="E37" s="442" t="n"/>
      <c r="F37" s="442" t="n"/>
      <c r="G37" s="442" t="n"/>
      <c r="H37" s="442" t="n"/>
      <c r="O37" s="306" t="n"/>
    </row>
    <row r="38" ht="15" customHeight="1" s="307">
      <c r="A38" s="439" t="n"/>
      <c r="B38" s="441" t="n"/>
      <c r="C38" s="441" t="n"/>
      <c r="D38" s="442" t="n"/>
      <c r="E38" s="442" t="n"/>
      <c r="F38" s="442" t="n"/>
      <c r="G38" s="442" t="n"/>
      <c r="H38" s="442" t="n"/>
      <c r="O38" s="306" t="n"/>
    </row>
    <row r="39" ht="15" customHeight="1" s="307">
      <c r="A39" s="439" t="n"/>
      <c r="B39" s="441" t="n"/>
      <c r="C39" s="442" t="n"/>
      <c r="D39" s="442" t="n"/>
      <c r="E39" s="442" t="n"/>
      <c r="F39" s="442" t="n"/>
      <c r="G39" s="442" t="n"/>
      <c r="H39" s="442" t="n"/>
      <c r="O39" s="306" t="n"/>
    </row>
    <row r="40" ht="15" customHeight="1" s="307">
      <c r="A40" s="439" t="n">
        <v>-0.4</v>
      </c>
      <c r="B40" s="443" t="n">
        <v>0.9</v>
      </c>
      <c r="C40" s="444" t="n">
        <v>0.75</v>
      </c>
      <c r="D40" s="444" t="n">
        <v>0.6</v>
      </c>
      <c r="E40" s="444" t="n">
        <v>0.55</v>
      </c>
      <c r="F40" s="444" t="n">
        <v>0.5</v>
      </c>
      <c r="G40" s="444" t="n">
        <v>0.5</v>
      </c>
      <c r="H40" s="444" t="n">
        <v>0.5</v>
      </c>
    </row>
    <row r="42" ht="15" customHeight="1" s="307">
      <c r="A42" s="323" t="inlineStr">
        <is>
          <t>Green = premium (profitable + growing). Gold = par. Red = distress discount.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5 deals @ $24M ARR. Per-deal NDR mix..  LIVE from _Engine_NR -- Tab 1 inputs flow through.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'_Engine_NR'!B215</f>
        <v/>
      </c>
      <c r="D5" s="448">
        <f>'_Engine_NR'!B216</f>
        <v/>
      </c>
      <c r="E5" s="448">
        <f>'_Engine_NR'!B217</f>
        <v/>
      </c>
      <c r="F5" s="448">
        <f>'_Engine_NR'!B218</f>
        <v/>
      </c>
      <c r="G5" s="448">
        <f>'_Engine_NR'!B219</f>
        <v/>
      </c>
      <c r="H5" s="448">
        <f>'_Engine_NR'!B220</f>
        <v/>
      </c>
      <c r="I5" s="448">
        <f>'_Engine_NR'!B221</f>
        <v/>
      </c>
      <c r="J5" s="448">
        <f>'_Engine_NR'!B222</f>
        <v/>
      </c>
      <c r="K5" s="448">
        <f>'_Engine_NR'!B223</f>
        <v/>
      </c>
      <c r="L5" s="448">
        <f>'_Engine_NR'!B224</f>
        <v/>
      </c>
      <c r="M5" s="448">
        <f>'_Engine_NR'!B225</f>
        <v/>
      </c>
      <c r="N5" s="448">
        <f>'_Engine_NR'!B226</f>
        <v/>
      </c>
      <c r="O5" s="448">
        <f>'_Engine_NR'!B227</f>
        <v/>
      </c>
      <c r="P5" s="448">
        <f>'_Engine_NR'!B228</f>
        <v/>
      </c>
      <c r="Q5" s="448">
        <f>'_Engine_NR'!B229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'_Engine_NR'!C215</f>
        <v/>
      </c>
      <c r="D6" s="451">
        <f>'_Engine_NR'!C216</f>
        <v/>
      </c>
      <c r="E6" s="451">
        <f>'_Engine_NR'!C217</f>
        <v/>
      </c>
      <c r="F6" s="451">
        <f>'_Engine_NR'!C218</f>
        <v/>
      </c>
      <c r="G6" s="451">
        <f>'_Engine_NR'!C219</f>
        <v/>
      </c>
      <c r="H6" s="451">
        <f>'_Engine_NR'!C220</f>
        <v/>
      </c>
      <c r="I6" s="451">
        <f>'_Engine_NR'!C221</f>
        <v/>
      </c>
      <c r="J6" s="451">
        <f>'_Engine_NR'!C222</f>
        <v/>
      </c>
      <c r="K6" s="451">
        <f>'_Engine_NR'!C223</f>
        <v/>
      </c>
      <c r="L6" s="451">
        <f>'_Engine_NR'!C224</f>
        <v/>
      </c>
      <c r="M6" s="451">
        <f>'_Engine_NR'!C225</f>
        <v/>
      </c>
      <c r="N6" s="451">
        <f>'_Engine_NR'!C226</f>
        <v/>
      </c>
      <c r="O6" s="451">
        <f>'_Engine_NR'!C227</f>
        <v/>
      </c>
      <c r="P6" s="451">
        <f>'_Engine_NR'!C228</f>
        <v/>
      </c>
      <c r="Q6" s="451">
        <f>'_Engine_NR'!C229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'_Engine_NR'!D215</f>
        <v/>
      </c>
      <c r="D10" s="451">
        <f>'_Engine_NR'!D216</f>
        <v/>
      </c>
      <c r="E10" s="451">
        <f>'_Engine_NR'!D217</f>
        <v/>
      </c>
      <c r="F10" s="451">
        <f>'_Engine_NR'!D218</f>
        <v/>
      </c>
      <c r="G10" s="451">
        <f>'_Engine_NR'!D219</f>
        <v/>
      </c>
      <c r="H10" s="451">
        <f>'_Engine_NR'!D220</f>
        <v/>
      </c>
      <c r="I10" s="451">
        <f>'_Engine_NR'!D221</f>
        <v/>
      </c>
      <c r="J10" s="451">
        <f>'_Engine_NR'!D222</f>
        <v/>
      </c>
      <c r="K10" s="451">
        <f>'_Engine_NR'!D223</f>
        <v/>
      </c>
      <c r="L10" s="451">
        <f>'_Engine_NR'!D224</f>
        <v/>
      </c>
      <c r="M10" s="451">
        <f>'_Engine_NR'!D225</f>
        <v/>
      </c>
      <c r="N10" s="451">
        <f>'_Engine_NR'!D226</f>
        <v/>
      </c>
      <c r="O10" s="451">
        <f>'_Engine_NR'!D227</f>
        <v/>
      </c>
      <c r="P10" s="451">
        <f>'_Engine_NR'!D228</f>
        <v/>
      </c>
      <c r="Q10" s="451">
        <f>'_Engine_NR'!D229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'_Engine_NR'!E215</f>
        <v/>
      </c>
      <c r="D11" s="451">
        <f>'_Engine_NR'!E216</f>
        <v/>
      </c>
      <c r="E11" s="451">
        <f>'_Engine_NR'!E217</f>
        <v/>
      </c>
      <c r="F11" s="451">
        <f>'_Engine_NR'!E218</f>
        <v/>
      </c>
      <c r="G11" s="451">
        <f>'_Engine_NR'!E219</f>
        <v/>
      </c>
      <c r="H11" s="451">
        <f>'_Engine_NR'!E220</f>
        <v/>
      </c>
      <c r="I11" s="451">
        <f>'_Engine_NR'!E221</f>
        <v/>
      </c>
      <c r="J11" s="451">
        <f>'_Engine_NR'!E222</f>
        <v/>
      </c>
      <c r="K11" s="451">
        <f>'_Engine_NR'!E223</f>
        <v/>
      </c>
      <c r="L11" s="451">
        <f>'_Engine_NR'!E224</f>
        <v/>
      </c>
      <c r="M11" s="451">
        <f>'_Engine_NR'!E225</f>
        <v/>
      </c>
      <c r="N11" s="451">
        <f>'_Engine_NR'!E226</f>
        <v/>
      </c>
      <c r="O11" s="451">
        <f>'_Engine_NR'!E227</f>
        <v/>
      </c>
      <c r="P11" s="451">
        <f>'_Engine_NR'!E228</f>
        <v/>
      </c>
      <c r="Q11" s="451">
        <f>'_Engine_NR'!E229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'_Engine_NR'!F215</f>
        <v/>
      </c>
      <c r="D12" s="451">
        <f>'_Engine_NR'!F216</f>
        <v/>
      </c>
      <c r="E12" s="451">
        <f>'_Engine_NR'!F217</f>
        <v/>
      </c>
      <c r="F12" s="451">
        <f>'_Engine_NR'!F218</f>
        <v/>
      </c>
      <c r="G12" s="451">
        <f>'_Engine_NR'!F219</f>
        <v/>
      </c>
      <c r="H12" s="451">
        <f>'_Engine_NR'!F220</f>
        <v/>
      </c>
      <c r="I12" s="451">
        <f>'_Engine_NR'!F221</f>
        <v/>
      </c>
      <c r="J12" s="451">
        <f>'_Engine_NR'!F222</f>
        <v/>
      </c>
      <c r="K12" s="451">
        <f>'_Engine_NR'!F223</f>
        <v/>
      </c>
      <c r="L12" s="451">
        <f>'_Engine_NR'!F224</f>
        <v/>
      </c>
      <c r="M12" s="451">
        <f>'_Engine_NR'!F225</f>
        <v/>
      </c>
      <c r="N12" s="451">
        <f>'_Engine_NR'!F226</f>
        <v/>
      </c>
      <c r="O12" s="451">
        <f>'_Engine_NR'!F227</f>
        <v/>
      </c>
      <c r="P12" s="451">
        <f>'_Engine_NR'!F228</f>
        <v/>
      </c>
      <c r="Q12" s="451">
        <f>'_Engine_NR'!F229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'_Engine_NR'!G215</f>
        <v/>
      </c>
      <c r="D13" s="451">
        <f>'_Engine_NR'!G216</f>
        <v/>
      </c>
      <c r="E13" s="451">
        <f>'_Engine_NR'!G217</f>
        <v/>
      </c>
      <c r="F13" s="451">
        <f>'_Engine_NR'!G218</f>
        <v/>
      </c>
      <c r="G13" s="451">
        <f>'_Engine_NR'!G219</f>
        <v/>
      </c>
      <c r="H13" s="451">
        <f>'_Engine_NR'!G220</f>
        <v/>
      </c>
      <c r="I13" s="451">
        <f>'_Engine_NR'!G221</f>
        <v/>
      </c>
      <c r="J13" s="451">
        <f>'_Engine_NR'!G222</f>
        <v/>
      </c>
      <c r="K13" s="451">
        <f>'_Engine_NR'!G223</f>
        <v/>
      </c>
      <c r="L13" s="451">
        <f>'_Engine_NR'!G224</f>
        <v/>
      </c>
      <c r="M13" s="451">
        <f>'_Engine_NR'!G225</f>
        <v/>
      </c>
      <c r="N13" s="451">
        <f>'_Engine_NR'!G226</f>
        <v/>
      </c>
      <c r="O13" s="451">
        <f>'_Engine_NR'!G227</f>
        <v/>
      </c>
      <c r="P13" s="451">
        <f>'_Engine_NR'!G228</f>
        <v/>
      </c>
      <c r="Q13" s="451">
        <f>'_Engine_NR'!G229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'_Engine_NR'!H215</f>
        <v/>
      </c>
      <c r="D14" s="459">
        <f>'_Engine_NR'!H216</f>
        <v/>
      </c>
      <c r="E14" s="459">
        <f>'_Engine_NR'!H217</f>
        <v/>
      </c>
      <c r="F14" s="459">
        <f>'_Engine_NR'!H218</f>
        <v/>
      </c>
      <c r="G14" s="459">
        <f>'_Engine_NR'!H219</f>
        <v/>
      </c>
      <c r="H14" s="459">
        <f>'_Engine_NR'!H220</f>
        <v/>
      </c>
      <c r="I14" s="459">
        <f>'_Engine_NR'!H221</f>
        <v/>
      </c>
      <c r="J14" s="459">
        <f>'_Engine_NR'!H222</f>
        <v/>
      </c>
      <c r="K14" s="459">
        <f>'_Engine_NR'!H223</f>
        <v/>
      </c>
      <c r="L14" s="459">
        <f>'_Engine_NR'!H224</f>
        <v/>
      </c>
      <c r="M14" s="459">
        <f>'_Engine_NR'!H225</f>
        <v/>
      </c>
      <c r="N14" s="459">
        <f>'_Engine_NR'!H226</f>
        <v/>
      </c>
      <c r="O14" s="459">
        <f>'_Engine_NR'!H227</f>
        <v/>
      </c>
      <c r="P14" s="459">
        <f>'_Engine_NR'!H228</f>
        <v/>
      </c>
      <c r="Q14" s="459">
        <f>'_Engine_NR'!H229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'_Engine_NR'!I215</f>
        <v/>
      </c>
      <c r="D17" s="466">
        <f>'_Engine_NR'!I216</f>
        <v/>
      </c>
      <c r="E17" s="466">
        <f>'_Engine_NR'!I217</f>
        <v/>
      </c>
      <c r="F17" s="466">
        <f>'_Engine_NR'!I218</f>
        <v/>
      </c>
      <c r="G17" s="466">
        <f>'_Engine_NR'!I219</f>
        <v/>
      </c>
      <c r="H17" s="466">
        <f>'_Engine_NR'!I220</f>
        <v/>
      </c>
      <c r="I17" s="466">
        <f>'_Engine_NR'!I221</f>
        <v/>
      </c>
      <c r="J17" s="466">
        <f>'_Engine_NR'!I222</f>
        <v/>
      </c>
      <c r="K17" s="466">
        <f>'_Engine_NR'!I223</f>
        <v/>
      </c>
      <c r="L17" s="466">
        <f>'_Engine_NR'!I224</f>
        <v/>
      </c>
      <c r="M17" s="466">
        <f>'_Engine_NR'!I225</f>
        <v/>
      </c>
      <c r="N17" s="466">
        <f>'_Engine_NR'!I226</f>
        <v/>
      </c>
      <c r="O17" s="466">
        <f>'_Engine_NR'!I227</f>
        <v/>
      </c>
      <c r="P17" s="466">
        <f>'_Engine_NR'!I228</f>
        <v/>
      </c>
      <c r="Q17" s="466">
        <f>'_Engine_NR'!I229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'_Engine_NR'!J215</f>
        <v/>
      </c>
      <c r="D20" s="459">
        <f>'_Engine_NR'!J216</f>
        <v/>
      </c>
      <c r="E20" s="459">
        <f>'_Engine_NR'!J217</f>
        <v/>
      </c>
      <c r="F20" s="459">
        <f>'_Engine_NR'!J218</f>
        <v/>
      </c>
      <c r="G20" s="459">
        <f>'_Engine_NR'!J219</f>
        <v/>
      </c>
      <c r="H20" s="459">
        <f>'_Engine_NR'!J220</f>
        <v/>
      </c>
      <c r="I20" s="459">
        <f>'_Engine_NR'!J221</f>
        <v/>
      </c>
      <c r="J20" s="459">
        <f>'_Engine_NR'!J222</f>
        <v/>
      </c>
      <c r="K20" s="459">
        <f>'_Engine_NR'!J223</f>
        <v/>
      </c>
      <c r="L20" s="459">
        <f>'_Engine_NR'!J224</f>
        <v/>
      </c>
      <c r="M20" s="459">
        <f>'_Engine_NR'!J225</f>
        <v/>
      </c>
      <c r="N20" s="459">
        <f>'_Engine_NR'!J226</f>
        <v/>
      </c>
      <c r="O20" s="459">
        <f>'_Engine_NR'!J227</f>
        <v/>
      </c>
      <c r="P20" s="459">
        <f>'_Engine_NR'!J228</f>
        <v/>
      </c>
      <c r="Q20" s="459">
        <f>'_Engine_NR'!J229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'_Engine_NR'!K215</f>
        <v/>
      </c>
      <c r="D23" s="459">
        <f>'_Engine_NR'!K216</f>
        <v/>
      </c>
      <c r="E23" s="459">
        <f>'_Engine_NR'!K217</f>
        <v/>
      </c>
      <c r="F23" s="459">
        <f>'_Engine_NR'!K218</f>
        <v/>
      </c>
      <c r="G23" s="459">
        <f>'_Engine_NR'!K219</f>
        <v/>
      </c>
      <c r="H23" s="459">
        <f>'_Engine_NR'!K220</f>
        <v/>
      </c>
      <c r="I23" s="459">
        <f>'_Engine_NR'!K221</f>
        <v/>
      </c>
      <c r="J23" s="459">
        <f>'_Engine_NR'!K222</f>
        <v/>
      </c>
      <c r="K23" s="459">
        <f>'_Engine_NR'!K223</f>
        <v/>
      </c>
      <c r="L23" s="459">
        <f>'_Engine_NR'!K224</f>
        <v/>
      </c>
      <c r="M23" s="459">
        <f>'_Engine_NR'!K225</f>
        <v/>
      </c>
      <c r="N23" s="459">
        <f>'_Engine_NR'!K226</f>
        <v/>
      </c>
      <c r="O23" s="459">
        <f>'_Engine_NR'!K227</f>
        <v/>
      </c>
      <c r="P23" s="459">
        <f>'_Engine_NR'!K228</f>
        <v/>
      </c>
      <c r="Q23" s="459">
        <f>'_Engine_NR'!K229</f>
        <v/>
      </c>
      <c r="R23" s="306" t="n"/>
      <c r="S23" s="306" t="n"/>
    </row>
    <row r="24" ht="15" customHeight="1" s="307">
      <c r="A24" s="460" t="inlineStr">
        <is>
          <t>Distributable Cash</t>
        </is>
      </c>
      <c r="B24" s="461">
        <f>SUM(C24:Q24)</f>
        <v/>
      </c>
      <c r="C24" s="462">
        <f>C21-C23</f>
        <v/>
      </c>
      <c r="D24" s="462">
        <f>D21-D23</f>
        <v/>
      </c>
      <c r="E24" s="462">
        <f>E21-E23</f>
        <v/>
      </c>
      <c r="F24" s="462">
        <f>F21-F23</f>
        <v/>
      </c>
      <c r="G24" s="462">
        <f>G21-G23</f>
        <v/>
      </c>
      <c r="H24" s="462">
        <f>H21-H23</f>
        <v/>
      </c>
      <c r="I24" s="462">
        <f>I21-I23</f>
        <v/>
      </c>
      <c r="J24" s="462">
        <f>J21-J23</f>
        <v/>
      </c>
      <c r="K24" s="462">
        <f>K21-K23</f>
        <v/>
      </c>
      <c r="L24" s="462">
        <f>L21-L23</f>
        <v/>
      </c>
      <c r="M24" s="462">
        <f>M21-M23</f>
        <v/>
      </c>
      <c r="N24" s="462">
        <f>N21-N23</f>
        <v/>
      </c>
      <c r="O24" s="462">
        <f>O21-O23</f>
        <v/>
      </c>
      <c r="P24" s="462">
        <f>P21-P23</f>
        <v/>
      </c>
      <c r="Q24" s="462">
        <f>Q21-Q23</f>
        <v/>
      </c>
      <c r="R24" s="463" t="n"/>
      <c r="S24" s="306" t="n"/>
    </row>
    <row r="25" ht="15" customHeight="1" s="307">
      <c r="A25" s="321" t="inlineStr">
        <is>
          <t>Cumulative Distributable</t>
        </is>
      </c>
      <c r="B25" s="458">
        <f>Q25</f>
        <v/>
      </c>
      <c r="C25" s="459">
        <f>C24</f>
        <v/>
      </c>
      <c r="D25" s="459">
        <f>C25+D24</f>
        <v/>
      </c>
      <c r="E25" s="459">
        <f>D25+E24</f>
        <v/>
      </c>
      <c r="F25" s="459">
        <f>E25+F24</f>
        <v/>
      </c>
      <c r="G25" s="459">
        <f>F25+G24</f>
        <v/>
      </c>
      <c r="H25" s="459">
        <f>G25+H24</f>
        <v/>
      </c>
      <c r="I25" s="459">
        <f>H25+I24</f>
        <v/>
      </c>
      <c r="J25" s="459">
        <f>I25+J24</f>
        <v/>
      </c>
      <c r="K25" s="459">
        <f>J25+K24</f>
        <v/>
      </c>
      <c r="L25" s="459">
        <f>K25+L24</f>
        <v/>
      </c>
      <c r="M25" s="459">
        <f>L25+M24</f>
        <v/>
      </c>
      <c r="N25" s="459">
        <f>M25+N24</f>
        <v/>
      </c>
      <c r="O25" s="459">
        <f>N25+O24</f>
        <v/>
      </c>
      <c r="P25" s="459">
        <f>O25+P24</f>
        <v/>
      </c>
      <c r="Q25" s="459">
        <f>P25+Q24</f>
        <v/>
      </c>
      <c r="R25" s="306" t="n"/>
      <c r="S25" s="306" t="n"/>
    </row>
    <row r="26" ht="15" customHeight="1" s="307">
      <c r="A26" s="314" t="n"/>
      <c r="B26" s="464" t="n"/>
      <c r="C26" s="464" t="n"/>
      <c r="D26" s="464" t="n"/>
      <c r="E26" s="464" t="n"/>
      <c r="F26" s="464" t="n"/>
      <c r="G26" s="464" t="n"/>
      <c r="H26" s="464" t="n"/>
      <c r="I26" s="464" t="n"/>
      <c r="J26" s="464" t="n"/>
      <c r="K26" s="464" t="n"/>
      <c r="L26" s="464" t="n"/>
      <c r="M26" s="464" t="n"/>
      <c r="N26" s="464" t="n"/>
      <c r="O26" s="464" t="n"/>
      <c r="P26" s="464" t="n"/>
      <c r="Q26" s="464" t="n"/>
      <c r="R26" s="306" t="n"/>
      <c r="S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4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50%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8 deals @ $24M ARR. 50% retained M1-36..  LIVE from _Engine_R50.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'_Engine_R50'!B215</f>
        <v/>
      </c>
      <c r="D5" s="448">
        <f>'_Engine_R50'!B216</f>
        <v/>
      </c>
      <c r="E5" s="448">
        <f>'_Engine_R50'!B217</f>
        <v/>
      </c>
      <c r="F5" s="448">
        <f>'_Engine_R50'!B218</f>
        <v/>
      </c>
      <c r="G5" s="448">
        <f>'_Engine_R50'!B219</f>
        <v/>
      </c>
      <c r="H5" s="448">
        <f>'_Engine_R50'!B220</f>
        <v/>
      </c>
      <c r="I5" s="448">
        <f>'_Engine_R50'!B221</f>
        <v/>
      </c>
      <c r="J5" s="448">
        <f>'_Engine_R50'!B222</f>
        <v/>
      </c>
      <c r="K5" s="448">
        <f>'_Engine_R50'!B223</f>
        <v/>
      </c>
      <c r="L5" s="448">
        <f>'_Engine_R50'!B224</f>
        <v/>
      </c>
      <c r="M5" s="448">
        <f>'_Engine_R50'!B225</f>
        <v/>
      </c>
      <c r="N5" s="448">
        <f>'_Engine_R50'!B226</f>
        <v/>
      </c>
      <c r="O5" s="448">
        <f>'_Engine_R50'!B227</f>
        <v/>
      </c>
      <c r="P5" s="448">
        <f>'_Engine_R50'!B228</f>
        <v/>
      </c>
      <c r="Q5" s="448">
        <f>'_Engine_R50'!B229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'_Engine_R50'!C215</f>
        <v/>
      </c>
      <c r="D6" s="451">
        <f>'_Engine_R50'!C216</f>
        <v/>
      </c>
      <c r="E6" s="451">
        <f>'_Engine_R50'!C217</f>
        <v/>
      </c>
      <c r="F6" s="451">
        <f>'_Engine_R50'!C218</f>
        <v/>
      </c>
      <c r="G6" s="451">
        <f>'_Engine_R50'!C219</f>
        <v/>
      </c>
      <c r="H6" s="451">
        <f>'_Engine_R50'!C220</f>
        <v/>
      </c>
      <c r="I6" s="451">
        <f>'_Engine_R50'!C221</f>
        <v/>
      </c>
      <c r="J6" s="451">
        <f>'_Engine_R50'!C222</f>
        <v/>
      </c>
      <c r="K6" s="451">
        <f>'_Engine_R50'!C223</f>
        <v/>
      </c>
      <c r="L6" s="451">
        <f>'_Engine_R50'!C224</f>
        <v/>
      </c>
      <c r="M6" s="451">
        <f>'_Engine_R50'!C225</f>
        <v/>
      </c>
      <c r="N6" s="451">
        <f>'_Engine_R50'!C226</f>
        <v/>
      </c>
      <c r="O6" s="451">
        <f>'_Engine_R50'!C227</f>
        <v/>
      </c>
      <c r="P6" s="451">
        <f>'_Engine_R50'!C228</f>
        <v/>
      </c>
      <c r="Q6" s="451">
        <f>'_Engine_R50'!C229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'_Engine_R50'!D215</f>
        <v/>
      </c>
      <c r="D10" s="451">
        <f>'_Engine_R50'!D216</f>
        <v/>
      </c>
      <c r="E10" s="451">
        <f>'_Engine_R50'!D217</f>
        <v/>
      </c>
      <c r="F10" s="451">
        <f>'_Engine_R50'!D218</f>
        <v/>
      </c>
      <c r="G10" s="451">
        <f>'_Engine_R50'!D219</f>
        <v/>
      </c>
      <c r="H10" s="451">
        <f>'_Engine_R50'!D220</f>
        <v/>
      </c>
      <c r="I10" s="451">
        <f>'_Engine_R50'!D221</f>
        <v/>
      </c>
      <c r="J10" s="451">
        <f>'_Engine_R50'!D222</f>
        <v/>
      </c>
      <c r="K10" s="451">
        <f>'_Engine_R50'!D223</f>
        <v/>
      </c>
      <c r="L10" s="451">
        <f>'_Engine_R50'!D224</f>
        <v/>
      </c>
      <c r="M10" s="451">
        <f>'_Engine_R50'!D225</f>
        <v/>
      </c>
      <c r="N10" s="451">
        <f>'_Engine_R50'!D226</f>
        <v/>
      </c>
      <c r="O10" s="451">
        <f>'_Engine_R50'!D227</f>
        <v/>
      </c>
      <c r="P10" s="451">
        <f>'_Engine_R50'!D228</f>
        <v/>
      </c>
      <c r="Q10" s="451">
        <f>'_Engine_R50'!D229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'_Engine_R50'!E215</f>
        <v/>
      </c>
      <c r="D11" s="451">
        <f>'_Engine_R50'!E216</f>
        <v/>
      </c>
      <c r="E11" s="451">
        <f>'_Engine_R50'!E217</f>
        <v/>
      </c>
      <c r="F11" s="451">
        <f>'_Engine_R50'!E218</f>
        <v/>
      </c>
      <c r="G11" s="451">
        <f>'_Engine_R50'!E219</f>
        <v/>
      </c>
      <c r="H11" s="451">
        <f>'_Engine_R50'!E220</f>
        <v/>
      </c>
      <c r="I11" s="451">
        <f>'_Engine_R50'!E221</f>
        <v/>
      </c>
      <c r="J11" s="451">
        <f>'_Engine_R50'!E222</f>
        <v/>
      </c>
      <c r="K11" s="451">
        <f>'_Engine_R50'!E223</f>
        <v/>
      </c>
      <c r="L11" s="451">
        <f>'_Engine_R50'!E224</f>
        <v/>
      </c>
      <c r="M11" s="451">
        <f>'_Engine_R50'!E225</f>
        <v/>
      </c>
      <c r="N11" s="451">
        <f>'_Engine_R50'!E226</f>
        <v/>
      </c>
      <c r="O11" s="451">
        <f>'_Engine_R50'!E227</f>
        <v/>
      </c>
      <c r="P11" s="451">
        <f>'_Engine_R50'!E228</f>
        <v/>
      </c>
      <c r="Q11" s="451">
        <f>'_Engine_R50'!E229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'_Engine_R50'!F215</f>
        <v/>
      </c>
      <c r="D12" s="451">
        <f>'_Engine_R50'!F216</f>
        <v/>
      </c>
      <c r="E12" s="451">
        <f>'_Engine_R50'!F217</f>
        <v/>
      </c>
      <c r="F12" s="451">
        <f>'_Engine_R50'!F218</f>
        <v/>
      </c>
      <c r="G12" s="451">
        <f>'_Engine_R50'!F219</f>
        <v/>
      </c>
      <c r="H12" s="451">
        <f>'_Engine_R50'!F220</f>
        <v/>
      </c>
      <c r="I12" s="451">
        <f>'_Engine_R50'!F221</f>
        <v/>
      </c>
      <c r="J12" s="451">
        <f>'_Engine_R50'!F222</f>
        <v/>
      </c>
      <c r="K12" s="451">
        <f>'_Engine_R50'!F223</f>
        <v/>
      </c>
      <c r="L12" s="451">
        <f>'_Engine_R50'!F224</f>
        <v/>
      </c>
      <c r="M12" s="451">
        <f>'_Engine_R50'!F225</f>
        <v/>
      </c>
      <c r="N12" s="451">
        <f>'_Engine_R50'!F226</f>
        <v/>
      </c>
      <c r="O12" s="451">
        <f>'_Engine_R50'!F227</f>
        <v/>
      </c>
      <c r="P12" s="451">
        <f>'_Engine_R50'!F228</f>
        <v/>
      </c>
      <c r="Q12" s="451">
        <f>'_Engine_R50'!F229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'_Engine_R50'!G215</f>
        <v/>
      </c>
      <c r="D13" s="451">
        <f>'_Engine_R50'!G216</f>
        <v/>
      </c>
      <c r="E13" s="451">
        <f>'_Engine_R50'!G217</f>
        <v/>
      </c>
      <c r="F13" s="451">
        <f>'_Engine_R50'!G218</f>
        <v/>
      </c>
      <c r="G13" s="451">
        <f>'_Engine_R50'!G219</f>
        <v/>
      </c>
      <c r="H13" s="451">
        <f>'_Engine_R50'!G220</f>
        <v/>
      </c>
      <c r="I13" s="451">
        <f>'_Engine_R50'!G221</f>
        <v/>
      </c>
      <c r="J13" s="451">
        <f>'_Engine_R50'!G222</f>
        <v/>
      </c>
      <c r="K13" s="451">
        <f>'_Engine_R50'!G223</f>
        <v/>
      </c>
      <c r="L13" s="451">
        <f>'_Engine_R50'!G224</f>
        <v/>
      </c>
      <c r="M13" s="451">
        <f>'_Engine_R50'!G225</f>
        <v/>
      </c>
      <c r="N13" s="451">
        <f>'_Engine_R50'!G226</f>
        <v/>
      </c>
      <c r="O13" s="451">
        <f>'_Engine_R50'!G227</f>
        <v/>
      </c>
      <c r="P13" s="451">
        <f>'_Engine_R50'!G228</f>
        <v/>
      </c>
      <c r="Q13" s="451">
        <f>'_Engine_R50'!G229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'_Engine_R50'!H215</f>
        <v/>
      </c>
      <c r="D14" s="459">
        <f>'_Engine_R50'!H216</f>
        <v/>
      </c>
      <c r="E14" s="459">
        <f>'_Engine_R50'!H217</f>
        <v/>
      </c>
      <c r="F14" s="459">
        <f>'_Engine_R50'!H218</f>
        <v/>
      </c>
      <c r="G14" s="459">
        <f>'_Engine_R50'!H219</f>
        <v/>
      </c>
      <c r="H14" s="459">
        <f>'_Engine_R50'!H220</f>
        <v/>
      </c>
      <c r="I14" s="459">
        <f>'_Engine_R50'!H221</f>
        <v/>
      </c>
      <c r="J14" s="459">
        <f>'_Engine_R50'!H222</f>
        <v/>
      </c>
      <c r="K14" s="459">
        <f>'_Engine_R50'!H223</f>
        <v/>
      </c>
      <c r="L14" s="459">
        <f>'_Engine_R50'!H224</f>
        <v/>
      </c>
      <c r="M14" s="459">
        <f>'_Engine_R50'!H225</f>
        <v/>
      </c>
      <c r="N14" s="459">
        <f>'_Engine_R50'!H226</f>
        <v/>
      </c>
      <c r="O14" s="459">
        <f>'_Engine_R50'!H227</f>
        <v/>
      </c>
      <c r="P14" s="459">
        <f>'_Engine_R50'!H228</f>
        <v/>
      </c>
      <c r="Q14" s="459">
        <f>'_Engine_R50'!H229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'_Engine_R50'!I215</f>
        <v/>
      </c>
      <c r="D17" s="466">
        <f>'_Engine_R50'!I216</f>
        <v/>
      </c>
      <c r="E17" s="466">
        <f>'_Engine_R50'!I217</f>
        <v/>
      </c>
      <c r="F17" s="466">
        <f>'_Engine_R50'!I218</f>
        <v/>
      </c>
      <c r="G17" s="466">
        <f>'_Engine_R50'!I219</f>
        <v/>
      </c>
      <c r="H17" s="466">
        <f>'_Engine_R50'!I220</f>
        <v/>
      </c>
      <c r="I17" s="466">
        <f>'_Engine_R50'!I221</f>
        <v/>
      </c>
      <c r="J17" s="466">
        <f>'_Engine_R50'!I222</f>
        <v/>
      </c>
      <c r="K17" s="466">
        <f>'_Engine_R50'!I223</f>
        <v/>
      </c>
      <c r="L17" s="466">
        <f>'_Engine_R50'!I224</f>
        <v/>
      </c>
      <c r="M17" s="466">
        <f>'_Engine_R50'!I225</f>
        <v/>
      </c>
      <c r="N17" s="466">
        <f>'_Engine_R50'!I226</f>
        <v/>
      </c>
      <c r="O17" s="466">
        <f>'_Engine_R50'!I227</f>
        <v/>
      </c>
      <c r="P17" s="466">
        <f>'_Engine_R50'!I228</f>
        <v/>
      </c>
      <c r="Q17" s="466">
        <f>'_Engine_R50'!I229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'_Engine_R50'!J215</f>
        <v/>
      </c>
      <c r="D20" s="459">
        <f>'_Engine_R50'!J216</f>
        <v/>
      </c>
      <c r="E20" s="459">
        <f>'_Engine_R50'!J217</f>
        <v/>
      </c>
      <c r="F20" s="459">
        <f>'_Engine_R50'!J218</f>
        <v/>
      </c>
      <c r="G20" s="459">
        <f>'_Engine_R50'!J219</f>
        <v/>
      </c>
      <c r="H20" s="459">
        <f>'_Engine_R50'!J220</f>
        <v/>
      </c>
      <c r="I20" s="459">
        <f>'_Engine_R50'!J221</f>
        <v/>
      </c>
      <c r="J20" s="459">
        <f>'_Engine_R50'!J222</f>
        <v/>
      </c>
      <c r="K20" s="459">
        <f>'_Engine_R50'!J223</f>
        <v/>
      </c>
      <c r="L20" s="459">
        <f>'_Engine_R50'!J224</f>
        <v/>
      </c>
      <c r="M20" s="459">
        <f>'_Engine_R50'!J225</f>
        <v/>
      </c>
      <c r="N20" s="459">
        <f>'_Engine_R50'!J226</f>
        <v/>
      </c>
      <c r="O20" s="459">
        <f>'_Engine_R50'!J227</f>
        <v/>
      </c>
      <c r="P20" s="459">
        <f>'_Engine_R50'!J228</f>
        <v/>
      </c>
      <c r="Q20" s="459">
        <f>'_Engine_R50'!J229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'_Engine_R50'!K215</f>
        <v/>
      </c>
      <c r="D23" s="459">
        <f>'_Engine_R50'!K216</f>
        <v/>
      </c>
      <c r="E23" s="459">
        <f>'_Engine_R50'!K217</f>
        <v/>
      </c>
      <c r="F23" s="459">
        <f>'_Engine_R50'!K218</f>
        <v/>
      </c>
      <c r="G23" s="459">
        <f>'_Engine_R50'!K219</f>
        <v/>
      </c>
      <c r="H23" s="459">
        <f>'_Engine_R50'!K220</f>
        <v/>
      </c>
      <c r="I23" s="459">
        <f>'_Engine_R50'!K221</f>
        <v/>
      </c>
      <c r="J23" s="459">
        <f>'_Engine_R50'!K222</f>
        <v/>
      </c>
      <c r="K23" s="459">
        <f>'_Engine_R50'!K223</f>
        <v/>
      </c>
      <c r="L23" s="459">
        <f>'_Engine_R50'!K224</f>
        <v/>
      </c>
      <c r="M23" s="459">
        <f>'_Engine_R50'!K225</f>
        <v/>
      </c>
      <c r="N23" s="459">
        <f>'_Engine_R50'!K226</f>
        <v/>
      </c>
      <c r="O23" s="459">
        <f>'_Engine_R50'!K227</f>
        <v/>
      </c>
      <c r="P23" s="459">
        <f>'_Engine_R50'!K228</f>
        <v/>
      </c>
      <c r="Q23" s="459">
        <f>'_Engine_R50'!K229</f>
        <v/>
      </c>
      <c r="R23" s="306" t="n"/>
      <c r="S23" s="306" t="n"/>
    </row>
    <row r="24" ht="15" customHeight="1" s="307">
      <c r="A24" s="321" t="inlineStr">
        <is>
          <t xml:space="preserve">    Retained for Recycling (50%)</t>
        </is>
      </c>
      <c r="B24" s="458">
        <f>SUM(C24:Q24)</f>
        <v/>
      </c>
      <c r="C24" s="459">
        <f>'_Engine_R50'!M215</f>
        <v/>
      </c>
      <c r="D24" s="459">
        <f>'_Engine_R50'!M216</f>
        <v/>
      </c>
      <c r="E24" s="459">
        <f>'_Engine_R50'!M217</f>
        <v/>
      </c>
      <c r="F24" s="459">
        <f>'_Engine_R50'!M218</f>
        <v/>
      </c>
      <c r="G24" s="459">
        <f>'_Engine_R50'!M219</f>
        <v/>
      </c>
      <c r="H24" s="459">
        <f>'_Engine_R50'!M220</f>
        <v/>
      </c>
      <c r="I24" s="459">
        <f>'_Engine_R50'!M221</f>
        <v/>
      </c>
      <c r="J24" s="459">
        <f>'_Engine_R50'!M222</f>
        <v/>
      </c>
      <c r="K24" s="459">
        <f>'_Engine_R50'!M223</f>
        <v/>
      </c>
      <c r="L24" s="459">
        <f>'_Engine_R50'!M224</f>
        <v/>
      </c>
      <c r="M24" s="459">
        <f>'_Engine_R50'!M225</f>
        <v/>
      </c>
      <c r="N24" s="459">
        <f>'_Engine_R50'!M226</f>
        <v/>
      </c>
      <c r="O24" s="459">
        <f>'_Engine_R50'!M227</f>
        <v/>
      </c>
      <c r="P24" s="459">
        <f>'_Engine_R50'!M228</f>
        <v/>
      </c>
      <c r="Q24" s="459">
        <f>'_Engine_R50'!M229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'_Engine_R50'!P215</f>
        <v/>
      </c>
      <c r="D25" s="462">
        <f>'_Engine_R50'!P216</f>
        <v/>
      </c>
      <c r="E25" s="462">
        <f>'_Engine_R50'!P217</f>
        <v/>
      </c>
      <c r="F25" s="462">
        <f>'_Engine_R50'!P218</f>
        <v/>
      </c>
      <c r="G25" s="462">
        <f>'_Engine_R50'!P219</f>
        <v/>
      </c>
      <c r="H25" s="462">
        <f>'_Engine_R50'!P220</f>
        <v/>
      </c>
      <c r="I25" s="462">
        <f>'_Engine_R50'!P221</f>
        <v/>
      </c>
      <c r="J25" s="462">
        <f>'_Engine_R50'!P222</f>
        <v/>
      </c>
      <c r="K25" s="462">
        <f>'_Engine_R50'!P223</f>
        <v/>
      </c>
      <c r="L25" s="462">
        <f>'_Engine_R50'!P224</f>
        <v/>
      </c>
      <c r="M25" s="462">
        <f>'_Engine_R50'!P225</f>
        <v/>
      </c>
      <c r="N25" s="462">
        <f>'_Engine_R50'!P226</f>
        <v/>
      </c>
      <c r="O25" s="462">
        <f>'_Engine_R50'!P227</f>
        <v/>
      </c>
      <c r="P25" s="462">
        <f>'_Engine_R50'!P228</f>
        <v/>
      </c>
      <c r="Q25" s="462">
        <f>'_Engine_R50'!P229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14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2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14" t="n"/>
      <c r="B29" s="464" t="n"/>
      <c r="C29" s="464" t="n"/>
      <c r="D29" s="464" t="n"/>
      <c r="E29" s="464" t="n"/>
      <c r="F29" s="464" t="n"/>
      <c r="G29" s="464" t="n"/>
      <c r="H29" s="464" t="n"/>
      <c r="I29" s="464" t="n"/>
      <c r="J29" s="464" t="n"/>
      <c r="K29" s="464" t="n"/>
      <c r="L29" s="464" t="n"/>
      <c r="M29" s="464" t="n"/>
      <c r="N29" s="464" t="n"/>
      <c r="O29" s="464" t="n"/>
      <c r="P29" s="464" t="n"/>
      <c r="Q29" s="464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7"/>
  </cols>
  <sheetData>
    <row r="1" ht="15.75" customHeight="1" s="307">
      <c r="A1" s="471" t="inlineStr">
        <is>
          <t>PRESS CAPITAL  --  FUND I P&amp;L  |  100%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9 deals @ $24M ARR. 100% retained M1-36..  LIVE from _Engine_R100.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72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322" t="inlineStr">
        <is>
          <t>Revenue</t>
        </is>
      </c>
      <c r="B5" s="465">
        <f>SUM(C5:Q5)</f>
        <v/>
      </c>
      <c r="C5" s="466">
        <f>'_Engine_R100'!B215</f>
        <v/>
      </c>
      <c r="D5" s="466">
        <f>'_Engine_R100'!B216</f>
        <v/>
      </c>
      <c r="E5" s="466">
        <f>'_Engine_R100'!B217</f>
        <v/>
      </c>
      <c r="F5" s="466">
        <f>'_Engine_R100'!B218</f>
        <v/>
      </c>
      <c r="G5" s="466">
        <f>'_Engine_R100'!B219</f>
        <v/>
      </c>
      <c r="H5" s="466">
        <f>'_Engine_R100'!B220</f>
        <v/>
      </c>
      <c r="I5" s="466">
        <f>'_Engine_R100'!B221</f>
        <v/>
      </c>
      <c r="J5" s="466">
        <f>'_Engine_R100'!B222</f>
        <v/>
      </c>
      <c r="K5" s="466">
        <f>'_Engine_R100'!B223</f>
        <v/>
      </c>
      <c r="L5" s="466">
        <f>'_Engine_R100'!B224</f>
        <v/>
      </c>
      <c r="M5" s="466">
        <f>'_Engine_R100'!B225</f>
        <v/>
      </c>
      <c r="N5" s="466">
        <f>'_Engine_R100'!B226</f>
        <v/>
      </c>
      <c r="O5" s="466">
        <f>'_Engine_R100'!B227</f>
        <v/>
      </c>
      <c r="P5" s="466">
        <f>'_Engine_R100'!B228</f>
        <v/>
      </c>
      <c r="Q5" s="466">
        <f>'_Engine_R100'!B229</f>
        <v/>
      </c>
      <c r="R5" s="306" t="n"/>
      <c r="S5" s="306" t="n"/>
    </row>
    <row r="6" ht="15" customHeight="1" s="307">
      <c r="A6" s="321" t="inlineStr">
        <is>
          <t xml:space="preserve">    Cost of Goods Sold</t>
        </is>
      </c>
      <c r="B6" s="458">
        <f>SUM(C6:Q6)</f>
        <v/>
      </c>
      <c r="C6" s="459">
        <f>'_Engine_R100'!C215</f>
        <v/>
      </c>
      <c r="D6" s="459">
        <f>'_Engine_R100'!C216</f>
        <v/>
      </c>
      <c r="E6" s="459">
        <f>'_Engine_R100'!C217</f>
        <v/>
      </c>
      <c r="F6" s="459">
        <f>'_Engine_R100'!C218</f>
        <v/>
      </c>
      <c r="G6" s="459">
        <f>'_Engine_R100'!C219</f>
        <v/>
      </c>
      <c r="H6" s="459">
        <f>'_Engine_R100'!C220</f>
        <v/>
      </c>
      <c r="I6" s="459">
        <f>'_Engine_R100'!C221</f>
        <v/>
      </c>
      <c r="J6" s="459">
        <f>'_Engine_R100'!C222</f>
        <v/>
      </c>
      <c r="K6" s="459">
        <f>'_Engine_R100'!C223</f>
        <v/>
      </c>
      <c r="L6" s="459">
        <f>'_Engine_R100'!C224</f>
        <v/>
      </c>
      <c r="M6" s="459">
        <f>'_Engine_R100'!C225</f>
        <v/>
      </c>
      <c r="N6" s="459">
        <f>'_Engine_R100'!C226</f>
        <v/>
      </c>
      <c r="O6" s="459">
        <f>'_Engine_R100'!C227</f>
        <v/>
      </c>
      <c r="P6" s="459">
        <f>'_Engine_R100'!C228</f>
        <v/>
      </c>
      <c r="Q6" s="459">
        <f>'_Engine_R100'!C229</f>
        <v/>
      </c>
      <c r="R6" s="306" t="n"/>
      <c r="S6" s="306" t="n"/>
    </row>
    <row r="7" ht="15" customHeight="1" s="307">
      <c r="A7" s="468" t="inlineStr">
        <is>
          <t>Gross Profit</t>
        </is>
      </c>
      <c r="B7" s="469">
        <f>SUM(C7:Q7)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55" t="n"/>
      <c r="S7" s="306" t="n"/>
    </row>
    <row r="8" ht="15" customHeight="1" s="307">
      <c r="A8" s="306" t="n"/>
      <c r="B8" s="306" t="n"/>
      <c r="C8" s="306" t="n"/>
      <c r="D8" s="306" t="n"/>
      <c r="E8" s="306" t="n"/>
      <c r="F8" s="306" t="n"/>
      <c r="G8" s="306" t="n"/>
      <c r="H8" s="306" t="n"/>
      <c r="I8" s="306" t="n"/>
      <c r="J8" s="306" t="n"/>
      <c r="K8" s="306" t="n"/>
      <c r="L8" s="306" t="n"/>
      <c r="M8" s="306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325" t="inlineStr">
        <is>
          <t>Operating Expenses</t>
        </is>
      </c>
      <c r="B9" s="309" t="n"/>
      <c r="C9" s="309" t="n"/>
      <c r="D9" s="309" t="n"/>
      <c r="E9" s="309" t="n"/>
      <c r="F9" s="309" t="n"/>
      <c r="G9" s="309" t="n"/>
      <c r="H9" s="309" t="n"/>
      <c r="I9" s="309" t="n"/>
      <c r="J9" s="309" t="n"/>
      <c r="K9" s="309" t="n"/>
      <c r="L9" s="309" t="n"/>
      <c r="M9" s="309" t="n"/>
      <c r="N9" s="309" t="n"/>
      <c r="O9" s="309" t="n"/>
      <c r="P9" s="309" t="n"/>
      <c r="Q9" s="309" t="n"/>
      <c r="R9" s="309" t="n"/>
      <c r="S9" s="306" t="n"/>
    </row>
    <row r="10" ht="15" customHeight="1" s="307">
      <c r="A10" s="321" t="inlineStr">
        <is>
          <t xml:space="preserve">    Vendor Costs</t>
        </is>
      </c>
      <c r="B10" s="458">
        <f>SUM(C10:Q10)</f>
        <v/>
      </c>
      <c r="C10" s="459">
        <f>'_Engine_R100'!D215</f>
        <v/>
      </c>
      <c r="D10" s="459">
        <f>'_Engine_R100'!D216</f>
        <v/>
      </c>
      <c r="E10" s="459">
        <f>'_Engine_R100'!D217</f>
        <v/>
      </c>
      <c r="F10" s="459">
        <f>'_Engine_R100'!D218</f>
        <v/>
      </c>
      <c r="G10" s="459">
        <f>'_Engine_R100'!D219</f>
        <v/>
      </c>
      <c r="H10" s="459">
        <f>'_Engine_R100'!D220</f>
        <v/>
      </c>
      <c r="I10" s="459">
        <f>'_Engine_R100'!D221</f>
        <v/>
      </c>
      <c r="J10" s="459">
        <f>'_Engine_R100'!D222</f>
        <v/>
      </c>
      <c r="K10" s="459">
        <f>'_Engine_R100'!D223</f>
        <v/>
      </c>
      <c r="L10" s="459">
        <f>'_Engine_R100'!D224</f>
        <v/>
      </c>
      <c r="M10" s="459">
        <f>'_Engine_R100'!D225</f>
        <v/>
      </c>
      <c r="N10" s="459">
        <f>'_Engine_R100'!D226</f>
        <v/>
      </c>
      <c r="O10" s="459">
        <f>'_Engine_R100'!D227</f>
        <v/>
      </c>
      <c r="P10" s="459">
        <f>'_Engine_R100'!D228</f>
        <v/>
      </c>
      <c r="Q10" s="459">
        <f>'_Engine_R100'!D229</f>
        <v/>
      </c>
      <c r="R10" s="306" t="n"/>
      <c r="S10" s="306" t="n"/>
    </row>
    <row r="11" ht="15" customHeight="1" s="307">
      <c r="A11" s="321" t="inlineStr">
        <is>
          <t xml:space="preserve">    Corporate Allocation</t>
        </is>
      </c>
      <c r="B11" s="458">
        <f>SUM(C11:Q11)</f>
        <v/>
      </c>
      <c r="C11" s="459">
        <f>'_Engine_R100'!E215</f>
        <v/>
      </c>
      <c r="D11" s="459">
        <f>'_Engine_R100'!E216</f>
        <v/>
      </c>
      <c r="E11" s="459">
        <f>'_Engine_R100'!E217</f>
        <v/>
      </c>
      <c r="F11" s="459">
        <f>'_Engine_R100'!E218</f>
        <v/>
      </c>
      <c r="G11" s="459">
        <f>'_Engine_R100'!E219</f>
        <v/>
      </c>
      <c r="H11" s="459">
        <f>'_Engine_R100'!E220</f>
        <v/>
      </c>
      <c r="I11" s="459">
        <f>'_Engine_R100'!E221</f>
        <v/>
      </c>
      <c r="J11" s="459">
        <f>'_Engine_R100'!E222</f>
        <v/>
      </c>
      <c r="K11" s="459">
        <f>'_Engine_R100'!E223</f>
        <v/>
      </c>
      <c r="L11" s="459">
        <f>'_Engine_R100'!E224</f>
        <v/>
      </c>
      <c r="M11" s="459">
        <f>'_Engine_R100'!E225</f>
        <v/>
      </c>
      <c r="N11" s="459">
        <f>'_Engine_R100'!E226</f>
        <v/>
      </c>
      <c r="O11" s="459">
        <f>'_Engine_R100'!E227</f>
        <v/>
      </c>
      <c r="P11" s="459">
        <f>'_Engine_R100'!E228</f>
        <v/>
      </c>
      <c r="Q11" s="459">
        <f>'_Engine_R100'!E229</f>
        <v/>
      </c>
      <c r="R11" s="306" t="n"/>
      <c r="S11" s="306" t="n"/>
    </row>
    <row r="12" ht="15" customHeight="1" s="307">
      <c r="A12" s="321" t="inlineStr">
        <is>
          <t xml:space="preserve">    Team Compensation</t>
        </is>
      </c>
      <c r="B12" s="458">
        <f>SUM(C12:Q12)</f>
        <v/>
      </c>
      <c r="C12" s="459">
        <f>'_Engine_R100'!F215</f>
        <v/>
      </c>
      <c r="D12" s="459">
        <f>'_Engine_R100'!F216</f>
        <v/>
      </c>
      <c r="E12" s="459">
        <f>'_Engine_R100'!F217</f>
        <v/>
      </c>
      <c r="F12" s="459">
        <f>'_Engine_R100'!F218</f>
        <v/>
      </c>
      <c r="G12" s="459">
        <f>'_Engine_R100'!F219</f>
        <v/>
      </c>
      <c r="H12" s="459">
        <f>'_Engine_R100'!F220</f>
        <v/>
      </c>
      <c r="I12" s="459">
        <f>'_Engine_R100'!F221</f>
        <v/>
      </c>
      <c r="J12" s="459">
        <f>'_Engine_R100'!F222</f>
        <v/>
      </c>
      <c r="K12" s="459">
        <f>'_Engine_R100'!F223</f>
        <v/>
      </c>
      <c r="L12" s="459">
        <f>'_Engine_R100'!F224</f>
        <v/>
      </c>
      <c r="M12" s="459">
        <f>'_Engine_R100'!F225</f>
        <v/>
      </c>
      <c r="N12" s="459">
        <f>'_Engine_R100'!F226</f>
        <v/>
      </c>
      <c r="O12" s="459">
        <f>'_Engine_R100'!F227</f>
        <v/>
      </c>
      <c r="P12" s="459">
        <f>'_Engine_R100'!F228</f>
        <v/>
      </c>
      <c r="Q12" s="459">
        <f>'_Engine_R100'!F229</f>
        <v/>
      </c>
      <c r="R12" s="306" t="n"/>
      <c r="S12" s="306" t="n"/>
    </row>
    <row r="13" ht="15" customHeight="1" s="307">
      <c r="A13" s="321" t="inlineStr">
        <is>
          <t xml:space="preserve">    Legacy Headcount Expenses</t>
        </is>
      </c>
      <c r="B13" s="458">
        <f>SUM(C13:Q13)</f>
        <v/>
      </c>
      <c r="C13" s="459">
        <f>'_Engine_R100'!G215</f>
        <v/>
      </c>
      <c r="D13" s="459">
        <f>'_Engine_R100'!G216</f>
        <v/>
      </c>
      <c r="E13" s="459">
        <f>'_Engine_R100'!G217</f>
        <v/>
      </c>
      <c r="F13" s="459">
        <f>'_Engine_R100'!G218</f>
        <v/>
      </c>
      <c r="G13" s="459">
        <f>'_Engine_R100'!G219</f>
        <v/>
      </c>
      <c r="H13" s="459">
        <f>'_Engine_R100'!G220</f>
        <v/>
      </c>
      <c r="I13" s="459">
        <f>'_Engine_R100'!G221</f>
        <v/>
      </c>
      <c r="J13" s="459">
        <f>'_Engine_R100'!G222</f>
        <v/>
      </c>
      <c r="K13" s="459">
        <f>'_Engine_R100'!G223</f>
        <v/>
      </c>
      <c r="L13" s="459">
        <f>'_Engine_R100'!G224</f>
        <v/>
      </c>
      <c r="M13" s="459">
        <f>'_Engine_R100'!G225</f>
        <v/>
      </c>
      <c r="N13" s="459">
        <f>'_Engine_R100'!G226</f>
        <v/>
      </c>
      <c r="O13" s="459">
        <f>'_Engine_R100'!G227</f>
        <v/>
      </c>
      <c r="P13" s="459">
        <f>'_Engine_R100'!G228</f>
        <v/>
      </c>
      <c r="Q13" s="459">
        <f>'_Engine_R100'!G229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'_Engine_R100'!H215</f>
        <v/>
      </c>
      <c r="D14" s="459">
        <f>'_Engine_R100'!H216</f>
        <v/>
      </c>
      <c r="E14" s="459">
        <f>'_Engine_R100'!H217</f>
        <v/>
      </c>
      <c r="F14" s="459">
        <f>'_Engine_R100'!H218</f>
        <v/>
      </c>
      <c r="G14" s="459">
        <f>'_Engine_R100'!H219</f>
        <v/>
      </c>
      <c r="H14" s="459">
        <f>'_Engine_R100'!H220</f>
        <v/>
      </c>
      <c r="I14" s="459">
        <f>'_Engine_R100'!H221</f>
        <v/>
      </c>
      <c r="J14" s="459">
        <f>'_Engine_R100'!H222</f>
        <v/>
      </c>
      <c r="K14" s="459">
        <f>'_Engine_R100'!H223</f>
        <v/>
      </c>
      <c r="L14" s="459">
        <f>'_Engine_R100'!H224</f>
        <v/>
      </c>
      <c r="M14" s="459">
        <f>'_Engine_R100'!H225</f>
        <v/>
      </c>
      <c r="N14" s="459">
        <f>'_Engine_R100'!H226</f>
        <v/>
      </c>
      <c r="O14" s="459">
        <f>'_Engine_R100'!H227</f>
        <v/>
      </c>
      <c r="P14" s="459">
        <f>'_Engine_R100'!H228</f>
        <v/>
      </c>
      <c r="Q14" s="459">
        <f>'_Engine_R100'!H229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06" t="n"/>
      <c r="B16" s="306" t="n"/>
      <c r="C16" s="306" t="n"/>
      <c r="D16" s="306" t="n"/>
      <c r="E16" s="306" t="n"/>
      <c r="F16" s="306" t="n"/>
      <c r="G16" s="306" t="n"/>
      <c r="H16" s="306" t="n"/>
      <c r="I16" s="306" t="n"/>
      <c r="J16" s="306" t="n"/>
      <c r="K16" s="306" t="n"/>
      <c r="L16" s="306" t="n"/>
      <c r="M16" s="306" t="n"/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'_Engine_R100'!I215</f>
        <v/>
      </c>
      <c r="D17" s="466">
        <f>'_Engine_R100'!I216</f>
        <v/>
      </c>
      <c r="E17" s="466">
        <f>'_Engine_R100'!I217</f>
        <v/>
      </c>
      <c r="F17" s="466">
        <f>'_Engine_R100'!I218</f>
        <v/>
      </c>
      <c r="G17" s="466">
        <f>'_Engine_R100'!I219</f>
        <v/>
      </c>
      <c r="H17" s="466">
        <f>'_Engine_R100'!I220</f>
        <v/>
      </c>
      <c r="I17" s="466">
        <f>'_Engine_R100'!I221</f>
        <v/>
      </c>
      <c r="J17" s="466">
        <f>'_Engine_R100'!I222</f>
        <v/>
      </c>
      <c r="K17" s="466">
        <f>'_Engine_R100'!I223</f>
        <v/>
      </c>
      <c r="L17" s="466">
        <f>'_Engine_R100'!I224</f>
        <v/>
      </c>
      <c r="M17" s="466">
        <f>'_Engine_R100'!I225</f>
        <v/>
      </c>
      <c r="N17" s="466">
        <f>'_Engine_R100'!I226</f>
        <v/>
      </c>
      <c r="O17" s="466">
        <f>'_Engine_R100'!I227</f>
        <v/>
      </c>
      <c r="P17" s="466">
        <f>'_Engine_R100'!I228</f>
        <v/>
      </c>
      <c r="Q17" s="466">
        <f>'_Engine_R100'!I229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06" t="n"/>
      <c r="B19" s="306" t="n"/>
      <c r="C19" s="306" t="n"/>
      <c r="D19" s="306" t="n"/>
      <c r="E19" s="306" t="n"/>
      <c r="F19" s="306" t="n"/>
      <c r="G19" s="306" t="n"/>
      <c r="H19" s="306" t="n"/>
      <c r="I19" s="306" t="n"/>
      <c r="J19" s="306" t="n"/>
      <c r="K19" s="306" t="n"/>
      <c r="L19" s="306" t="n"/>
      <c r="M19" s="306" t="n"/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'_Engine_R100'!J215</f>
        <v/>
      </c>
      <c r="D20" s="459">
        <f>'_Engine_R100'!J216</f>
        <v/>
      </c>
      <c r="E20" s="459">
        <f>'_Engine_R100'!J217</f>
        <v/>
      </c>
      <c r="F20" s="459">
        <f>'_Engine_R100'!J218</f>
        <v/>
      </c>
      <c r="G20" s="459">
        <f>'_Engine_R100'!J219</f>
        <v/>
      </c>
      <c r="H20" s="459">
        <f>'_Engine_R100'!J220</f>
        <v/>
      </c>
      <c r="I20" s="459">
        <f>'_Engine_R100'!J221</f>
        <v/>
      </c>
      <c r="J20" s="459">
        <f>'_Engine_R100'!J222</f>
        <v/>
      </c>
      <c r="K20" s="459">
        <f>'_Engine_R100'!J223</f>
        <v/>
      </c>
      <c r="L20" s="459">
        <f>'_Engine_R100'!J224</f>
        <v/>
      </c>
      <c r="M20" s="459">
        <f>'_Engine_R100'!J225</f>
        <v/>
      </c>
      <c r="N20" s="459">
        <f>'_Engine_R100'!J226</f>
        <v/>
      </c>
      <c r="O20" s="459">
        <f>'_Engine_R100'!J227</f>
        <v/>
      </c>
      <c r="P20" s="459">
        <f>'_Engine_R100'!J228</f>
        <v/>
      </c>
      <c r="Q20" s="459">
        <f>'_Engine_R100'!J229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'_Engine_R100'!K215</f>
        <v/>
      </c>
      <c r="D23" s="459">
        <f>'_Engine_R100'!K216</f>
        <v/>
      </c>
      <c r="E23" s="459">
        <f>'_Engine_R100'!K217</f>
        <v/>
      </c>
      <c r="F23" s="459">
        <f>'_Engine_R100'!K218</f>
        <v/>
      </c>
      <c r="G23" s="459">
        <f>'_Engine_R100'!K219</f>
        <v/>
      </c>
      <c r="H23" s="459">
        <f>'_Engine_R100'!K220</f>
        <v/>
      </c>
      <c r="I23" s="459">
        <f>'_Engine_R100'!K221</f>
        <v/>
      </c>
      <c r="J23" s="459">
        <f>'_Engine_R100'!K222</f>
        <v/>
      </c>
      <c r="K23" s="459">
        <f>'_Engine_R100'!K223</f>
        <v/>
      </c>
      <c r="L23" s="459">
        <f>'_Engine_R100'!K224</f>
        <v/>
      </c>
      <c r="M23" s="459">
        <f>'_Engine_R100'!K225</f>
        <v/>
      </c>
      <c r="N23" s="459">
        <f>'_Engine_R100'!K226</f>
        <v/>
      </c>
      <c r="O23" s="459">
        <f>'_Engine_R100'!K227</f>
        <v/>
      </c>
      <c r="P23" s="459">
        <f>'_Engine_R100'!K228</f>
        <v/>
      </c>
      <c r="Q23" s="459">
        <f>'_Engine_R100'!K229</f>
        <v/>
      </c>
      <c r="R23" s="306" t="n"/>
      <c r="S23" s="306" t="n"/>
    </row>
    <row r="24" ht="15" customHeight="1" s="307">
      <c r="A24" s="321" t="inlineStr">
        <is>
          <t xml:space="preserve">    Retained for Recycling (100%)</t>
        </is>
      </c>
      <c r="B24" s="458">
        <f>SUM(C24:Q24)</f>
        <v/>
      </c>
      <c r="C24" s="459">
        <f>'_Engine_R100'!M215</f>
        <v/>
      </c>
      <c r="D24" s="459">
        <f>'_Engine_R100'!M216</f>
        <v/>
      </c>
      <c r="E24" s="459">
        <f>'_Engine_R100'!M217</f>
        <v/>
      </c>
      <c r="F24" s="459">
        <f>'_Engine_R100'!M218</f>
        <v/>
      </c>
      <c r="G24" s="459">
        <f>'_Engine_R100'!M219</f>
        <v/>
      </c>
      <c r="H24" s="459">
        <f>'_Engine_R100'!M220</f>
        <v/>
      </c>
      <c r="I24" s="459">
        <f>'_Engine_R100'!M221</f>
        <v/>
      </c>
      <c r="J24" s="459">
        <f>'_Engine_R100'!M222</f>
        <v/>
      </c>
      <c r="K24" s="459">
        <f>'_Engine_R100'!M223</f>
        <v/>
      </c>
      <c r="L24" s="459">
        <f>'_Engine_R100'!M224</f>
        <v/>
      </c>
      <c r="M24" s="459">
        <f>'_Engine_R100'!M225</f>
        <v/>
      </c>
      <c r="N24" s="459">
        <f>'_Engine_R100'!M226</f>
        <v/>
      </c>
      <c r="O24" s="459">
        <f>'_Engine_R100'!M227</f>
        <v/>
      </c>
      <c r="P24" s="459">
        <f>'_Engine_R100'!M228</f>
        <v/>
      </c>
      <c r="Q24" s="459">
        <f>'_Engine_R100'!M229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'_Engine_R100'!P215</f>
        <v/>
      </c>
      <c r="D25" s="462">
        <f>'_Engine_R100'!P216</f>
        <v/>
      </c>
      <c r="E25" s="462">
        <f>'_Engine_R100'!P217</f>
        <v/>
      </c>
      <c r="F25" s="462">
        <f>'_Engine_R100'!P218</f>
        <v/>
      </c>
      <c r="G25" s="462">
        <f>'_Engine_R100'!P219</f>
        <v/>
      </c>
      <c r="H25" s="462">
        <f>'_Engine_R100'!P220</f>
        <v/>
      </c>
      <c r="I25" s="462">
        <f>'_Engine_R100'!P221</f>
        <v/>
      </c>
      <c r="J25" s="462">
        <f>'_Engine_R100'!P222</f>
        <v/>
      </c>
      <c r="K25" s="462">
        <f>'_Engine_R100'!P223</f>
        <v/>
      </c>
      <c r="L25" s="462">
        <f>'_Engine_R100'!P224</f>
        <v/>
      </c>
      <c r="M25" s="462">
        <f>'_Engine_R100'!P225</f>
        <v/>
      </c>
      <c r="N25" s="462">
        <f>'_Engine_R100'!P226</f>
        <v/>
      </c>
      <c r="O25" s="462">
        <f>'_Engine_R100'!P227</f>
        <v/>
      </c>
      <c r="P25" s="462">
        <f>'_Engine_R100'!P228</f>
        <v/>
      </c>
      <c r="Q25" s="462">
        <f>'_Engine_R100'!P229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471" t="inlineStr">
        <is>
          <t>MONTHLY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 t="n">
        <v>0</v>
      </c>
      <c r="C6" s="458" t="n">
        <v>0</v>
      </c>
      <c r="D6" s="458" t="n">
        <v>0</v>
      </c>
      <c r="E6" s="458" t="n">
        <v>2.1333</v>
      </c>
      <c r="F6" s="458" t="n">
        <v>2.1046</v>
      </c>
      <c r="G6" s="458" t="n">
        <v>2.0763</v>
      </c>
      <c r="H6" s="458" t="n">
        <v>2.0484</v>
      </c>
      <c r="I6" s="458" t="n">
        <v>2.0208</v>
      </c>
      <c r="J6" s="458" t="n">
        <v>1.9937</v>
      </c>
      <c r="K6" s="458" t="n">
        <v>1.9668</v>
      </c>
      <c r="L6" s="458" t="n">
        <v>1.9404</v>
      </c>
      <c r="M6" s="458" t="n">
        <v>1.9143</v>
      </c>
      <c r="N6" s="459" t="n">
        <v>1.8885</v>
      </c>
      <c r="O6" s="459" t="n">
        <v>1.8631</v>
      </c>
      <c r="P6" s="459" t="n">
        <v>1.8381</v>
      </c>
      <c r="Q6" s="459" t="n">
        <v>1.8133</v>
      </c>
      <c r="R6" s="459" t="n">
        <v>1.7889</v>
      </c>
      <c r="S6" s="459" t="n">
        <v>1.7649</v>
      </c>
      <c r="T6" s="459" t="n">
        <v>1.7411</v>
      </c>
      <c r="U6" s="459" t="n">
        <v>1.7177</v>
      </c>
      <c r="V6" s="459" t="n">
        <v>1.6946</v>
      </c>
      <c r="W6" s="459" t="n">
        <v>1.6718</v>
      </c>
      <c r="X6" s="459" t="n">
        <v>1.6493</v>
      </c>
      <c r="Y6" s="459" t="n">
        <v>1.6271</v>
      </c>
      <c r="Z6" s="458" t="n">
        <v>1.6052</v>
      </c>
      <c r="AA6" s="458" t="n">
        <v>1.5837</v>
      </c>
      <c r="AB6" s="458" t="n">
        <v>1.5623</v>
      </c>
      <c r="AC6" s="458" t="n">
        <v>1.5413</v>
      </c>
      <c r="AD6" s="458" t="n">
        <v>1.5206</v>
      </c>
      <c r="AE6" s="458" t="n">
        <v>1.5001</v>
      </c>
      <c r="AF6" s="458" t="n">
        <v>1.48</v>
      </c>
      <c r="AG6" s="458" t="n">
        <v>1.4601</v>
      </c>
      <c r="AH6" s="458" t="n">
        <v>1.4404</v>
      </c>
      <c r="AI6" s="458" t="n">
        <v>1.421</v>
      </c>
      <c r="AJ6" s="458" t="n">
        <v>1.4019</v>
      </c>
      <c r="AK6" s="458" t="n">
        <v>1.3831</v>
      </c>
      <c r="AL6" s="459" t="n">
        <v>1.3645</v>
      </c>
      <c r="AM6" s="459" t="n">
        <v>1.3461</v>
      </c>
      <c r="AN6" s="459" t="n">
        <v>1.328</v>
      </c>
      <c r="AO6" s="459" t="n">
        <v>1.3101</v>
      </c>
      <c r="AP6" s="459" t="n">
        <v>1.2925</v>
      </c>
      <c r="AQ6" s="459" t="n">
        <v>1.2751</v>
      </c>
      <c r="AR6" s="459" t="n">
        <v>1.258</v>
      </c>
      <c r="AS6" s="459" t="n">
        <v>1.241</v>
      </c>
      <c r="AT6" s="459" t="n">
        <v>1.2244</v>
      </c>
      <c r="AU6" s="459" t="n">
        <v>1.2079</v>
      </c>
      <c r="AV6" s="459" t="n">
        <v>1.1916</v>
      </c>
      <c r="AW6" s="459" t="n">
        <v>1.1756</v>
      </c>
      <c r="AX6" s="458" t="n">
        <v>1.1598</v>
      </c>
      <c r="AY6" s="458" t="n">
        <v>1.1442</v>
      </c>
      <c r="AZ6" s="458" t="n">
        <v>1.1288</v>
      </c>
      <c r="BA6" s="458" t="n">
        <v>1.1136</v>
      </c>
      <c r="BB6" s="458" t="n">
        <v>1.0986</v>
      </c>
      <c r="BC6" s="458" t="n">
        <v>1.0839</v>
      </c>
      <c r="BD6" s="458" t="n">
        <v>1.0693</v>
      </c>
      <c r="BE6" s="458" t="n">
        <v>1.0549</v>
      </c>
      <c r="BF6" s="458" t="n">
        <v>1.0407</v>
      </c>
      <c r="BG6" s="458" t="n">
        <v>1.0267</v>
      </c>
      <c r="BH6" s="458" t="n">
        <v>1.0129</v>
      </c>
      <c r="BI6" s="458" t="n">
        <v>0.9993</v>
      </c>
      <c r="BJ6" s="459" t="n">
        <v>0.9858</v>
      </c>
      <c r="BK6" s="459" t="n">
        <v>0.9726</v>
      </c>
      <c r="BL6" s="459" t="n">
        <v>0.9595</v>
      </c>
      <c r="BM6" s="459" t="n">
        <v>0.9466</v>
      </c>
      <c r="BN6" s="459" t="n">
        <v>0.9338</v>
      </c>
      <c r="BO6" s="459" t="n">
        <v>0.9213</v>
      </c>
      <c r="BP6" s="459" t="n">
        <v>0.9089</v>
      </c>
      <c r="BQ6" s="459" t="n">
        <v>0.8967000000000001</v>
      </c>
      <c r="BR6" s="459" t="n">
        <v>0.8846000000000001</v>
      </c>
      <c r="BS6" s="459" t="n">
        <v>0.8727</v>
      </c>
      <c r="BT6" s="459" t="n">
        <v>0.861</v>
      </c>
      <c r="BU6" s="459" t="n">
        <v>0.8494</v>
      </c>
      <c r="BV6" s="458" t="n">
        <v>0.8379</v>
      </c>
      <c r="BW6" s="458" t="n">
        <v>0.8267</v>
      </c>
      <c r="BX6" s="458" t="n">
        <v>0.8156</v>
      </c>
      <c r="BY6" s="458" t="n">
        <v>0.8046</v>
      </c>
      <c r="BZ6" s="458" t="n">
        <v>0.7938</v>
      </c>
      <c r="CA6" s="458" t="n">
        <v>0.7831</v>
      </c>
      <c r="CB6" s="458" t="n">
        <v>0.7726</v>
      </c>
      <c r="CC6" s="458" t="n">
        <v>0.7622</v>
      </c>
      <c r="CD6" s="458" t="n">
        <v>0.7519</v>
      </c>
      <c r="CE6" s="458" t="n">
        <v>0.7418</v>
      </c>
      <c r="CF6" s="458" t="n">
        <v>0.7318</v>
      </c>
      <c r="CG6" s="458" t="n">
        <v>0.722</v>
      </c>
      <c r="CH6" s="459" t="n">
        <v>0.7123</v>
      </c>
      <c r="CI6" s="459" t="n">
        <v>0.7027</v>
      </c>
      <c r="CJ6" s="459" t="n">
        <v>0.6932</v>
      </c>
      <c r="CK6" s="459" t="n">
        <v>0.6839</v>
      </c>
      <c r="CL6" s="459" t="n">
        <v>0.6747</v>
      </c>
      <c r="CM6" s="459" t="n">
        <v>0.6656</v>
      </c>
      <c r="CN6" s="459" t="n">
        <v>0.6567</v>
      </c>
      <c r="CO6" s="459" t="n">
        <v>0.6478</v>
      </c>
      <c r="CP6" s="459" t="n">
        <v>0.6391</v>
      </c>
      <c r="CQ6" s="459" t="n">
        <v>0.6304999999999999</v>
      </c>
      <c r="CR6" s="459" t="n">
        <v>0.622</v>
      </c>
      <c r="CS6" s="459" t="n">
        <v>0.6137</v>
      </c>
      <c r="CT6" s="458" t="n">
        <v>0.6054</v>
      </c>
      <c r="CU6" s="458" t="n">
        <v>0.5973000000000001</v>
      </c>
      <c r="CV6" s="458" t="n">
        <v>0.5891999999999999</v>
      </c>
      <c r="CW6" s="458" t="n">
        <v>0.5813</v>
      </c>
      <c r="CX6" s="458" t="n">
        <v>0.5735</v>
      </c>
      <c r="CY6" s="458" t="n">
        <v>0.5658</v>
      </c>
      <c r="CZ6" s="458" t="n">
        <v>0.5582</v>
      </c>
      <c r="DA6" s="458" t="n">
        <v>0.5507</v>
      </c>
      <c r="DB6" s="458" t="n">
        <v>0.5433</v>
      </c>
      <c r="DC6" s="458" t="n">
        <v>0.5359</v>
      </c>
      <c r="DD6" s="458" t="n">
        <v>0.5286999999999999</v>
      </c>
      <c r="DE6" s="458" t="n">
        <v>0.5216</v>
      </c>
      <c r="DF6" s="459" t="n">
        <v>0.5145999999999999</v>
      </c>
      <c r="DG6" s="459" t="n">
        <v>0.5077</v>
      </c>
      <c r="DH6" s="459" t="n">
        <v>0.5009</v>
      </c>
      <c r="DI6" s="459" t="n">
        <v>0.4941</v>
      </c>
      <c r="DJ6" s="459" t="n">
        <v>0.4875</v>
      </c>
      <c r="DK6" s="459" t="n">
        <v>0.4809</v>
      </c>
      <c r="DL6" s="459" t="n">
        <v>0.4744</v>
      </c>
      <c r="DM6" s="459" t="n">
        <v>0.4681</v>
      </c>
      <c r="DN6" s="459" t="n">
        <v>0.4618</v>
      </c>
      <c r="DO6" s="459" t="n">
        <v>0.4556</v>
      </c>
      <c r="DP6" s="459" t="n">
        <v>0.4494</v>
      </c>
      <c r="DQ6" s="459" t="n">
        <v>0.4434</v>
      </c>
      <c r="DR6" s="458" t="n">
        <v>0.4374</v>
      </c>
      <c r="DS6" s="458" t="n">
        <v>0.4315</v>
      </c>
      <c r="DT6" s="458" t="n">
        <v>0.4257</v>
      </c>
      <c r="DU6" s="458" t="n">
        <v>0.42</v>
      </c>
      <c r="DV6" s="458" t="n">
        <v>0.4143</v>
      </c>
      <c r="DW6" s="458" t="n">
        <v>0.4088</v>
      </c>
      <c r="DX6" s="458" t="n">
        <v>0.4033</v>
      </c>
      <c r="DY6" s="458" t="n">
        <v>0.3979</v>
      </c>
      <c r="DZ6" s="458" t="n">
        <v>0.3925</v>
      </c>
      <c r="EA6" s="458" t="n">
        <v>0.3872</v>
      </c>
      <c r="EB6" s="458" t="n">
        <v>0.382</v>
      </c>
      <c r="EC6" s="458" t="n">
        <v>0.3769</v>
      </c>
      <c r="ED6" s="459" t="n">
        <v>0.3718</v>
      </c>
      <c r="EE6" s="459" t="n">
        <v>0.3668</v>
      </c>
      <c r="EF6" s="459" t="n">
        <v>0.3619</v>
      </c>
      <c r="EG6" s="459" t="n">
        <v>0.357</v>
      </c>
      <c r="EH6" s="459" t="n">
        <v>0.3522</v>
      </c>
      <c r="EI6" s="459" t="n">
        <v>0.3475</v>
      </c>
      <c r="EJ6" s="459" t="n">
        <v>0.3428</v>
      </c>
      <c r="EK6" s="459" t="n">
        <v>0.3382</v>
      </c>
      <c r="EL6" s="459" t="n">
        <v>0.3336</v>
      </c>
      <c r="EM6" s="459" t="n">
        <v>0.3291</v>
      </c>
      <c r="EN6" s="459" t="n">
        <v>0.3247</v>
      </c>
      <c r="EO6" s="459" t="n">
        <v>0.3203</v>
      </c>
      <c r="EP6" s="458" t="n">
        <v>0.316</v>
      </c>
      <c r="EQ6" s="458" t="n">
        <v>0.3118</v>
      </c>
      <c r="ER6" s="458" t="n">
        <v>0.3076</v>
      </c>
      <c r="ES6" s="458" t="n">
        <v>0.3034</v>
      </c>
      <c r="ET6" s="458" t="n">
        <v>0.2994</v>
      </c>
      <c r="EU6" s="458" t="n">
        <v>0.2953</v>
      </c>
      <c r="EV6" s="458" t="n">
        <v>0.2914</v>
      </c>
      <c r="EW6" s="458" t="n">
        <v>0.2874</v>
      </c>
      <c r="EX6" s="458" t="n">
        <v>0.2836</v>
      </c>
      <c r="EY6" s="458" t="n">
        <v>0.2798</v>
      </c>
      <c r="EZ6" s="458" t="n">
        <v>0.276</v>
      </c>
      <c r="FA6" s="458" t="n">
        <v>0.2723</v>
      </c>
      <c r="FB6" s="459" t="n">
        <v>0.2686</v>
      </c>
      <c r="FC6" s="459" t="n">
        <v>0.265</v>
      </c>
      <c r="FD6" s="459" t="n">
        <v>0.2614</v>
      </c>
      <c r="FE6" s="459" t="n">
        <v>0.2579</v>
      </c>
      <c r="FF6" s="459" t="n">
        <v>0.2545</v>
      </c>
      <c r="FG6" s="459" t="n">
        <v>0.251</v>
      </c>
      <c r="FH6" s="459" t="n">
        <v>0.2477</v>
      </c>
      <c r="FI6" s="459" t="n">
        <v>0.2443</v>
      </c>
      <c r="FJ6" s="459" t="n">
        <v>0.241</v>
      </c>
      <c r="FK6" s="459" t="n">
        <v>0.2378</v>
      </c>
      <c r="FL6" s="459" t="n">
        <v>0.2346</v>
      </c>
      <c r="FM6" s="459" t="n">
        <v>0.2314</v>
      </c>
      <c r="FN6" s="458" t="n">
        <v>0.2283</v>
      </c>
      <c r="FO6" s="458" t="n">
        <v>0.2253</v>
      </c>
      <c r="FP6" s="458" t="n">
        <v>0.2222</v>
      </c>
      <c r="FQ6" s="458" t="n">
        <v>0.2192</v>
      </c>
      <c r="FR6" s="458" t="n">
        <v>0.2163</v>
      </c>
      <c r="FS6" s="458" t="n">
        <v>0.2134</v>
      </c>
      <c r="FT6" s="458" t="n">
        <v>0.2105</v>
      </c>
      <c r="FU6" s="458" t="n">
        <v>0.2077</v>
      </c>
      <c r="FV6" s="458" t="n">
        <v>0.2049</v>
      </c>
      <c r="FW6" s="458" t="n">
        <v>0.2021</v>
      </c>
      <c r="FX6" s="458" t="n">
        <v>0.1994</v>
      </c>
      <c r="FY6" s="458" t="n">
        <v>0.1967</v>
      </c>
      <c r="FZ6" s="306" t="n"/>
    </row>
    <row r="7" ht="15" customHeight="1" s="307">
      <c r="A7" s="321" t="inlineStr">
        <is>
          <t xml:space="preserve">    Deal #2</t>
        </is>
      </c>
      <c r="B7" s="458" t="n">
        <v>0</v>
      </c>
      <c r="C7" s="458" t="n">
        <v>0</v>
      </c>
      <c r="D7" s="458" t="n">
        <v>0</v>
      </c>
      <c r="E7" s="458" t="n">
        <v>0</v>
      </c>
      <c r="F7" s="458" t="n">
        <v>0</v>
      </c>
      <c r="G7" s="458" t="n">
        <v>0</v>
      </c>
      <c r="H7" s="458" t="n">
        <v>2.2667</v>
      </c>
      <c r="I7" s="458" t="n">
        <v>2.2362</v>
      </c>
      <c r="J7" s="458" t="n">
        <v>2.2061</v>
      </c>
      <c r="K7" s="458" t="n">
        <v>2.1764</v>
      </c>
      <c r="L7" s="458" t="n">
        <v>2.1471</v>
      </c>
      <c r="M7" s="458" t="n">
        <v>2.1183</v>
      </c>
      <c r="N7" s="459" t="n">
        <v>2.0898</v>
      </c>
      <c r="O7" s="459" t="n">
        <v>2.0617</v>
      </c>
      <c r="P7" s="459" t="n">
        <v>2.0339</v>
      </c>
      <c r="Q7" s="459" t="n">
        <v>2.0066</v>
      </c>
      <c r="R7" s="459" t="n">
        <v>1.9796</v>
      </c>
      <c r="S7" s="459" t="n">
        <v>1.9529</v>
      </c>
      <c r="T7" s="459" t="n">
        <v>1.9267</v>
      </c>
      <c r="U7" s="459" t="n">
        <v>1.9007</v>
      </c>
      <c r="V7" s="459" t="n">
        <v>1.8752</v>
      </c>
      <c r="W7" s="459" t="n">
        <v>1.85</v>
      </c>
      <c r="X7" s="459" t="n">
        <v>1.8251</v>
      </c>
      <c r="Y7" s="459" t="n">
        <v>1.8005</v>
      </c>
      <c r="Z7" s="458" t="n">
        <v>1.7763</v>
      </c>
      <c r="AA7" s="458" t="n">
        <v>1.7524</v>
      </c>
      <c r="AB7" s="458" t="n">
        <v>1.7288</v>
      </c>
      <c r="AC7" s="458" t="n">
        <v>1.7056</v>
      </c>
      <c r="AD7" s="458" t="n">
        <v>1.6826</v>
      </c>
      <c r="AE7" s="458" t="n">
        <v>1.66</v>
      </c>
      <c r="AF7" s="458" t="n">
        <v>1.6377</v>
      </c>
      <c r="AG7" s="458" t="n">
        <v>1.6156</v>
      </c>
      <c r="AH7" s="458" t="n">
        <v>1.5939</v>
      </c>
      <c r="AI7" s="458" t="n">
        <v>1.5725</v>
      </c>
      <c r="AJ7" s="458" t="n">
        <v>1.5513</v>
      </c>
      <c r="AK7" s="458" t="n">
        <v>1.5304</v>
      </c>
      <c r="AL7" s="459" t="n">
        <v>1.5099</v>
      </c>
      <c r="AM7" s="459" t="n">
        <v>1.4895</v>
      </c>
      <c r="AN7" s="459" t="n">
        <v>1.4695</v>
      </c>
      <c r="AO7" s="459" t="n">
        <v>1.4497</v>
      </c>
      <c r="AP7" s="459" t="n">
        <v>1.4302</v>
      </c>
      <c r="AQ7" s="459" t="n">
        <v>1.411</v>
      </c>
      <c r="AR7" s="459" t="n">
        <v>1.392</v>
      </c>
      <c r="AS7" s="459" t="n">
        <v>1.3733</v>
      </c>
      <c r="AT7" s="459" t="n">
        <v>1.3548</v>
      </c>
      <c r="AU7" s="459" t="n">
        <v>1.3366</v>
      </c>
      <c r="AV7" s="459" t="n">
        <v>1.3186</v>
      </c>
      <c r="AW7" s="459" t="n">
        <v>1.3009</v>
      </c>
      <c r="AX7" s="458" t="n">
        <v>1.2834</v>
      </c>
      <c r="AY7" s="458" t="n">
        <v>1.2661</v>
      </c>
      <c r="AZ7" s="458" t="n">
        <v>1.2491</v>
      </c>
      <c r="BA7" s="458" t="n">
        <v>1.2323</v>
      </c>
      <c r="BB7" s="458" t="n">
        <v>1.2157</v>
      </c>
      <c r="BC7" s="458" t="n">
        <v>1.1993</v>
      </c>
      <c r="BD7" s="458" t="n">
        <v>1.1832</v>
      </c>
      <c r="BE7" s="458" t="n">
        <v>1.1673</v>
      </c>
      <c r="BF7" s="458" t="n">
        <v>1.1516</v>
      </c>
      <c r="BG7" s="458" t="n">
        <v>1.1361</v>
      </c>
      <c r="BH7" s="458" t="n">
        <v>1.1208</v>
      </c>
      <c r="BI7" s="458" t="n">
        <v>1.1057</v>
      </c>
      <c r="BJ7" s="459" t="n">
        <v>1.0909</v>
      </c>
      <c r="BK7" s="459" t="n">
        <v>1.0762</v>
      </c>
      <c r="BL7" s="459" t="n">
        <v>1.0617</v>
      </c>
      <c r="BM7" s="459" t="n">
        <v>1.0474</v>
      </c>
      <c r="BN7" s="459" t="n">
        <v>1.0333</v>
      </c>
      <c r="BO7" s="459" t="n">
        <v>1.0194</v>
      </c>
      <c r="BP7" s="459" t="n">
        <v>1.0057</v>
      </c>
      <c r="BQ7" s="459" t="n">
        <v>0.9922</v>
      </c>
      <c r="BR7" s="459" t="n">
        <v>0.9789</v>
      </c>
      <c r="BS7" s="459" t="n">
        <v>0.9657</v>
      </c>
      <c r="BT7" s="459" t="n">
        <v>0.9527</v>
      </c>
      <c r="BU7" s="459" t="n">
        <v>0.9399</v>
      </c>
      <c r="BV7" s="458" t="n">
        <v>0.9272</v>
      </c>
      <c r="BW7" s="458" t="n">
        <v>0.9147999999999999</v>
      </c>
      <c r="BX7" s="458" t="n">
        <v>0.9025</v>
      </c>
      <c r="BY7" s="458" t="n">
        <v>0.8903</v>
      </c>
      <c r="BZ7" s="458" t="n">
        <v>0.8783</v>
      </c>
      <c r="CA7" s="458" t="n">
        <v>0.8665</v>
      </c>
      <c r="CB7" s="458" t="n">
        <v>0.8549</v>
      </c>
      <c r="CC7" s="458" t="n">
        <v>0.8434</v>
      </c>
      <c r="CD7" s="458" t="n">
        <v>0.832</v>
      </c>
      <c r="CE7" s="458" t="n">
        <v>0.8208</v>
      </c>
      <c r="CF7" s="458" t="n">
        <v>0.8098</v>
      </c>
      <c r="CG7" s="458" t="n">
        <v>0.7989000000000001</v>
      </c>
      <c r="CH7" s="459" t="n">
        <v>0.7882</v>
      </c>
      <c r="CI7" s="459" t="n">
        <v>0.7776</v>
      </c>
      <c r="CJ7" s="459" t="n">
        <v>0.7671</v>
      </c>
      <c r="CK7" s="459" t="n">
        <v>0.7568</v>
      </c>
      <c r="CL7" s="459" t="n">
        <v>0.7466</v>
      </c>
      <c r="CM7" s="459" t="n">
        <v>0.7365</v>
      </c>
      <c r="CN7" s="459" t="n">
        <v>0.7266</v>
      </c>
      <c r="CO7" s="459" t="n">
        <v>0.7169</v>
      </c>
      <c r="CP7" s="459" t="n">
        <v>0.7072000000000001</v>
      </c>
      <c r="CQ7" s="459" t="n">
        <v>0.6977</v>
      </c>
      <c r="CR7" s="459" t="n">
        <v>0.6883</v>
      </c>
      <c r="CS7" s="459" t="n">
        <v>0.6791</v>
      </c>
      <c r="CT7" s="458" t="n">
        <v>0.6699000000000001</v>
      </c>
      <c r="CU7" s="458" t="n">
        <v>0.6609</v>
      </c>
      <c r="CV7" s="458" t="n">
        <v>0.652</v>
      </c>
      <c r="CW7" s="458" t="n">
        <v>0.6433</v>
      </c>
      <c r="CX7" s="458" t="n">
        <v>0.6346000000000001</v>
      </c>
      <c r="CY7" s="458" t="n">
        <v>0.6261</v>
      </c>
      <c r="CZ7" s="458" t="n">
        <v>0.6176</v>
      </c>
      <c r="DA7" s="458" t="n">
        <v>0.6093</v>
      </c>
      <c r="DB7" s="458" t="n">
        <v>0.6011</v>
      </c>
      <c r="DC7" s="458" t="n">
        <v>0.5931</v>
      </c>
      <c r="DD7" s="458" t="n">
        <v>0.5851</v>
      </c>
      <c r="DE7" s="458" t="n">
        <v>0.5772</v>
      </c>
      <c r="DF7" s="459" t="n">
        <v>0.5694</v>
      </c>
      <c r="DG7" s="459" t="n">
        <v>0.5618</v>
      </c>
      <c r="DH7" s="459" t="n">
        <v>0.5542</v>
      </c>
      <c r="DI7" s="459" t="n">
        <v>0.5468</v>
      </c>
      <c r="DJ7" s="459" t="n">
        <v>0.5394</v>
      </c>
      <c r="DK7" s="459" t="n">
        <v>0.5322</v>
      </c>
      <c r="DL7" s="459" t="n">
        <v>0.525</v>
      </c>
      <c r="DM7" s="459" t="n">
        <v>0.5179</v>
      </c>
      <c r="DN7" s="459" t="n">
        <v>0.511</v>
      </c>
      <c r="DO7" s="459" t="n">
        <v>0.5041</v>
      </c>
      <c r="DP7" s="459" t="n">
        <v>0.4973</v>
      </c>
      <c r="DQ7" s="459" t="n">
        <v>0.4906</v>
      </c>
      <c r="DR7" s="458" t="n">
        <v>0.484</v>
      </c>
      <c r="DS7" s="458" t="n">
        <v>0.4775</v>
      </c>
      <c r="DT7" s="458" t="n">
        <v>0.4711</v>
      </c>
      <c r="DU7" s="458" t="n">
        <v>0.4648</v>
      </c>
      <c r="DV7" s="458" t="n">
        <v>0.4585</v>
      </c>
      <c r="DW7" s="458" t="n">
        <v>0.4523</v>
      </c>
      <c r="DX7" s="458" t="n">
        <v>0.4462</v>
      </c>
      <c r="DY7" s="458" t="n">
        <v>0.4402</v>
      </c>
      <c r="DZ7" s="458" t="n">
        <v>0.4343</v>
      </c>
      <c r="EA7" s="458" t="n">
        <v>0.4285</v>
      </c>
      <c r="EB7" s="458" t="n">
        <v>0.4227</v>
      </c>
      <c r="EC7" s="458" t="n">
        <v>0.417</v>
      </c>
      <c r="ED7" s="459" t="n">
        <v>0.4114</v>
      </c>
      <c r="EE7" s="459" t="n">
        <v>0.4059</v>
      </c>
      <c r="EF7" s="459" t="n">
        <v>0.4004</v>
      </c>
      <c r="EG7" s="459" t="n">
        <v>0.395</v>
      </c>
      <c r="EH7" s="459" t="n">
        <v>0.3897</v>
      </c>
      <c r="EI7" s="459" t="n">
        <v>0.3845</v>
      </c>
      <c r="EJ7" s="459" t="n">
        <v>0.3793</v>
      </c>
      <c r="EK7" s="459" t="n">
        <v>0.3742</v>
      </c>
      <c r="EL7" s="459" t="n">
        <v>0.3692</v>
      </c>
      <c r="EM7" s="459" t="n">
        <v>0.3642</v>
      </c>
      <c r="EN7" s="459" t="n">
        <v>0.3593</v>
      </c>
      <c r="EO7" s="459" t="n">
        <v>0.3545</v>
      </c>
      <c r="EP7" s="458" t="n">
        <v>0.3497</v>
      </c>
      <c r="EQ7" s="458" t="n">
        <v>0.345</v>
      </c>
      <c r="ER7" s="458" t="n">
        <v>0.3404</v>
      </c>
      <c r="ES7" s="458" t="n">
        <v>0.3358</v>
      </c>
      <c r="ET7" s="458" t="n">
        <v>0.3313</v>
      </c>
      <c r="EU7" s="458" t="n">
        <v>0.3268</v>
      </c>
      <c r="EV7" s="458" t="n">
        <v>0.3224</v>
      </c>
      <c r="EW7" s="458" t="n">
        <v>0.3181</v>
      </c>
      <c r="EX7" s="458" t="n">
        <v>0.3138</v>
      </c>
      <c r="EY7" s="458" t="n">
        <v>0.3096</v>
      </c>
      <c r="EZ7" s="458" t="n">
        <v>0.3054</v>
      </c>
      <c r="FA7" s="458" t="n">
        <v>0.3013</v>
      </c>
      <c r="FB7" s="459" t="n">
        <v>0.2973</v>
      </c>
      <c r="FC7" s="459" t="n">
        <v>0.2933</v>
      </c>
      <c r="FD7" s="459" t="n">
        <v>0.2893</v>
      </c>
      <c r="FE7" s="459" t="n">
        <v>0.2854</v>
      </c>
      <c r="FF7" s="459" t="n">
        <v>0.2816</v>
      </c>
      <c r="FG7" s="459" t="n">
        <v>0.2778</v>
      </c>
      <c r="FH7" s="459" t="n">
        <v>0.2741</v>
      </c>
      <c r="FI7" s="459" t="n">
        <v>0.2704</v>
      </c>
      <c r="FJ7" s="459" t="n">
        <v>0.2667</v>
      </c>
      <c r="FK7" s="459" t="n">
        <v>0.2631</v>
      </c>
      <c r="FL7" s="459" t="n">
        <v>0.2596</v>
      </c>
      <c r="FM7" s="459" t="n">
        <v>0.2561</v>
      </c>
      <c r="FN7" s="458" t="n">
        <v>0.2527</v>
      </c>
      <c r="FO7" s="458" t="n">
        <v>0.2493</v>
      </c>
      <c r="FP7" s="458" t="n">
        <v>0.2459</v>
      </c>
      <c r="FQ7" s="458" t="n">
        <v>0.2426</v>
      </c>
      <c r="FR7" s="458" t="n">
        <v>0.2393</v>
      </c>
      <c r="FS7" s="458" t="n">
        <v>0.2361</v>
      </c>
      <c r="FT7" s="458" t="n">
        <v>0.2329</v>
      </c>
      <c r="FU7" s="458" t="n">
        <v>0.2298</v>
      </c>
      <c r="FV7" s="458" t="n">
        <v>0.2267</v>
      </c>
      <c r="FW7" s="458" t="n">
        <v>0.2237</v>
      </c>
      <c r="FX7" s="458" t="n">
        <v>0.2207</v>
      </c>
      <c r="FY7" s="458" t="n">
        <v>0.2177</v>
      </c>
      <c r="FZ7" s="306" t="n"/>
    </row>
    <row r="8" ht="15" customHeight="1" s="307">
      <c r="A8" s="321" t="inlineStr">
        <is>
          <t xml:space="preserve">    Deal #3</t>
        </is>
      </c>
      <c r="B8" s="458" t="n">
        <v>0</v>
      </c>
      <c r="C8" s="458" t="n">
        <v>0</v>
      </c>
      <c r="D8" s="458" t="n">
        <v>0</v>
      </c>
      <c r="E8" s="458" t="n">
        <v>0</v>
      </c>
      <c r="F8" s="458" t="n">
        <v>0</v>
      </c>
      <c r="G8" s="458" t="n">
        <v>0</v>
      </c>
      <c r="H8" s="458" t="n">
        <v>0</v>
      </c>
      <c r="I8" s="458" t="n">
        <v>0</v>
      </c>
      <c r="J8" s="458" t="n">
        <v>0</v>
      </c>
      <c r="K8" s="458" t="n">
        <v>2.5083</v>
      </c>
      <c r="L8" s="458" t="n">
        <v>2.4746</v>
      </c>
      <c r="M8" s="458" t="n">
        <v>2.4413</v>
      </c>
      <c r="N8" s="459" t="n">
        <v>2.4085</v>
      </c>
      <c r="O8" s="459" t="n">
        <v>2.3761</v>
      </c>
      <c r="P8" s="459" t="n">
        <v>2.3441</v>
      </c>
      <c r="Q8" s="459" t="n">
        <v>2.3126</v>
      </c>
      <c r="R8" s="459" t="n">
        <v>2.2815</v>
      </c>
      <c r="S8" s="459" t="n">
        <v>2.2508</v>
      </c>
      <c r="T8" s="459" t="n">
        <v>2.2205</v>
      </c>
      <c r="U8" s="459" t="n">
        <v>2.1906</v>
      </c>
      <c r="V8" s="459" t="n">
        <v>2.1612</v>
      </c>
      <c r="W8" s="459" t="n">
        <v>2.1321</v>
      </c>
      <c r="X8" s="459" t="n">
        <v>2.1034</v>
      </c>
      <c r="Y8" s="459" t="n">
        <v>2.0751</v>
      </c>
      <c r="Z8" s="458" t="n">
        <v>2.0472</v>
      </c>
      <c r="AA8" s="458" t="n">
        <v>2.0197</v>
      </c>
      <c r="AB8" s="458" t="n">
        <v>1.9925</v>
      </c>
      <c r="AC8" s="458" t="n">
        <v>1.9657</v>
      </c>
      <c r="AD8" s="458" t="n">
        <v>1.9392</v>
      </c>
      <c r="AE8" s="458" t="n">
        <v>1.9132</v>
      </c>
      <c r="AF8" s="458" t="n">
        <v>1.8874</v>
      </c>
      <c r="AG8" s="458" t="n">
        <v>1.862</v>
      </c>
      <c r="AH8" s="458" t="n">
        <v>1.837</v>
      </c>
      <c r="AI8" s="458" t="n">
        <v>1.8123</v>
      </c>
      <c r="AJ8" s="458" t="n">
        <v>1.7879</v>
      </c>
      <c r="AK8" s="458" t="n">
        <v>1.7638</v>
      </c>
      <c r="AL8" s="459" t="n">
        <v>1.7401</v>
      </c>
      <c r="AM8" s="459" t="n">
        <v>1.7167</v>
      </c>
      <c r="AN8" s="459" t="n">
        <v>1.6936</v>
      </c>
      <c r="AO8" s="459" t="n">
        <v>1.6708</v>
      </c>
      <c r="AP8" s="459" t="n">
        <v>1.6484</v>
      </c>
      <c r="AQ8" s="459" t="n">
        <v>1.6262</v>
      </c>
      <c r="AR8" s="459" t="n">
        <v>1.6043</v>
      </c>
      <c r="AS8" s="459" t="n">
        <v>1.5827</v>
      </c>
      <c r="AT8" s="459" t="n">
        <v>1.5614</v>
      </c>
      <c r="AU8" s="459" t="n">
        <v>1.5404</v>
      </c>
      <c r="AV8" s="459" t="n">
        <v>1.5197</v>
      </c>
      <c r="AW8" s="459" t="n">
        <v>1.4993</v>
      </c>
      <c r="AX8" s="458" t="n">
        <v>1.4791</v>
      </c>
      <c r="AY8" s="458" t="n">
        <v>1.4592</v>
      </c>
      <c r="AZ8" s="458" t="n">
        <v>1.4396</v>
      </c>
      <c r="BA8" s="458" t="n">
        <v>1.4202</v>
      </c>
      <c r="BB8" s="458" t="n">
        <v>1.4011</v>
      </c>
      <c r="BC8" s="458" t="n">
        <v>1.3823</v>
      </c>
      <c r="BD8" s="458" t="n">
        <v>1.3637</v>
      </c>
      <c r="BE8" s="458" t="n">
        <v>1.3453</v>
      </c>
      <c r="BF8" s="458" t="n">
        <v>1.3272</v>
      </c>
      <c r="BG8" s="458" t="n">
        <v>1.3094</v>
      </c>
      <c r="BH8" s="458" t="n">
        <v>1.2918</v>
      </c>
      <c r="BI8" s="458" t="n">
        <v>1.2744</v>
      </c>
      <c r="BJ8" s="459" t="n">
        <v>1.2572</v>
      </c>
      <c r="BK8" s="459" t="n">
        <v>1.2403</v>
      </c>
      <c r="BL8" s="459" t="n">
        <v>1.2236</v>
      </c>
      <c r="BM8" s="459" t="n">
        <v>1.2072</v>
      </c>
      <c r="BN8" s="459" t="n">
        <v>1.1909</v>
      </c>
      <c r="BO8" s="459" t="n">
        <v>1.1749</v>
      </c>
      <c r="BP8" s="459" t="n">
        <v>1.1591</v>
      </c>
      <c r="BQ8" s="459" t="n">
        <v>1.1435</v>
      </c>
      <c r="BR8" s="459" t="n">
        <v>1.1281</v>
      </c>
      <c r="BS8" s="459" t="n">
        <v>1.113</v>
      </c>
      <c r="BT8" s="459" t="n">
        <v>1.098</v>
      </c>
      <c r="BU8" s="459" t="n">
        <v>1.0832</v>
      </c>
      <c r="BV8" s="458" t="n">
        <v>1.0686</v>
      </c>
      <c r="BW8" s="458" t="n">
        <v>1.0543</v>
      </c>
      <c r="BX8" s="458" t="n">
        <v>1.0401</v>
      </c>
      <c r="BY8" s="458" t="n">
        <v>1.0261</v>
      </c>
      <c r="BZ8" s="458" t="n">
        <v>1.0123</v>
      </c>
      <c r="CA8" s="458" t="n">
        <v>0.9987</v>
      </c>
      <c r="CB8" s="458" t="n">
        <v>0.9852</v>
      </c>
      <c r="CC8" s="458" t="n">
        <v>0.972</v>
      </c>
      <c r="CD8" s="458" t="n">
        <v>0.9589</v>
      </c>
      <c r="CE8" s="458" t="n">
        <v>0.946</v>
      </c>
      <c r="CF8" s="458" t="n">
        <v>0.9333</v>
      </c>
      <c r="CG8" s="458" t="n">
        <v>0.9207</v>
      </c>
      <c r="CH8" s="459" t="n">
        <v>0.9084</v>
      </c>
      <c r="CI8" s="459" t="n">
        <v>0.8961</v>
      </c>
      <c r="CJ8" s="459" t="n">
        <v>0.8841</v>
      </c>
      <c r="CK8" s="459" t="n">
        <v>0.8722</v>
      </c>
      <c r="CL8" s="459" t="n">
        <v>0.8605</v>
      </c>
      <c r="CM8" s="459" t="n">
        <v>0.8489</v>
      </c>
      <c r="CN8" s="459" t="n">
        <v>0.8375</v>
      </c>
      <c r="CO8" s="459" t="n">
        <v>0.8262</v>
      </c>
      <c r="CP8" s="459" t="n">
        <v>0.8151</v>
      </c>
      <c r="CQ8" s="459" t="n">
        <v>0.8041</v>
      </c>
      <c r="CR8" s="459" t="n">
        <v>0.7933</v>
      </c>
      <c r="CS8" s="459" t="n">
        <v>0.7826</v>
      </c>
      <c r="CT8" s="458" t="n">
        <v>0.7721</v>
      </c>
      <c r="CU8" s="458" t="n">
        <v>0.7617</v>
      </c>
      <c r="CV8" s="458" t="n">
        <v>0.7514999999999999</v>
      </c>
      <c r="CW8" s="458" t="n">
        <v>0.7413999999999999</v>
      </c>
      <c r="CX8" s="458" t="n">
        <v>0.7314000000000001</v>
      </c>
      <c r="CY8" s="458" t="n">
        <v>0.7215</v>
      </c>
      <c r="CZ8" s="458" t="n">
        <v>0.7118</v>
      </c>
      <c r="DA8" s="458" t="n">
        <v>0.7023</v>
      </c>
      <c r="DB8" s="458" t="n">
        <v>0.6928</v>
      </c>
      <c r="DC8" s="458" t="n">
        <v>0.6835</v>
      </c>
      <c r="DD8" s="458" t="n">
        <v>0.6743</v>
      </c>
      <c r="DE8" s="458" t="n">
        <v>0.6652</v>
      </c>
      <c r="DF8" s="459" t="n">
        <v>0.6563</v>
      </c>
      <c r="DG8" s="459" t="n">
        <v>0.6475</v>
      </c>
      <c r="DH8" s="459" t="n">
        <v>0.6387</v>
      </c>
      <c r="DI8" s="459" t="n">
        <v>0.6302</v>
      </c>
      <c r="DJ8" s="459" t="n">
        <v>0.6217</v>
      </c>
      <c r="DK8" s="459" t="n">
        <v>0.6133</v>
      </c>
      <c r="DL8" s="459" t="n">
        <v>0.6051</v>
      </c>
      <c r="DM8" s="459" t="n">
        <v>0.5969</v>
      </c>
      <c r="DN8" s="459" t="n">
        <v>0.5889</v>
      </c>
      <c r="DO8" s="459" t="n">
        <v>0.581</v>
      </c>
      <c r="DP8" s="459" t="n">
        <v>0.5732</v>
      </c>
      <c r="DQ8" s="459" t="n">
        <v>0.5654</v>
      </c>
      <c r="DR8" s="458" t="n">
        <v>0.5578</v>
      </c>
      <c r="DS8" s="458" t="n">
        <v>0.5503</v>
      </c>
      <c r="DT8" s="458" t="n">
        <v>0.5429</v>
      </c>
      <c r="DU8" s="458" t="n">
        <v>0.5356</v>
      </c>
      <c r="DV8" s="458" t="n">
        <v>0.5284</v>
      </c>
      <c r="DW8" s="458" t="n">
        <v>0.5213</v>
      </c>
      <c r="DX8" s="458" t="n">
        <v>0.5143</v>
      </c>
      <c r="DY8" s="458" t="n">
        <v>0.5074</v>
      </c>
      <c r="DZ8" s="458" t="n">
        <v>0.5006</v>
      </c>
      <c r="EA8" s="458" t="n">
        <v>0.4938</v>
      </c>
      <c r="EB8" s="458" t="n">
        <v>0.4872</v>
      </c>
      <c r="EC8" s="458" t="n">
        <v>0.4806</v>
      </c>
      <c r="ED8" s="459" t="n">
        <v>0.4742</v>
      </c>
      <c r="EE8" s="459" t="n">
        <v>0.4678</v>
      </c>
      <c r="EF8" s="459" t="n">
        <v>0.4615</v>
      </c>
      <c r="EG8" s="459" t="n">
        <v>0.4553</v>
      </c>
      <c r="EH8" s="459" t="n">
        <v>0.4492</v>
      </c>
      <c r="EI8" s="459" t="n">
        <v>0.4431</v>
      </c>
      <c r="EJ8" s="459" t="n">
        <v>0.4372</v>
      </c>
      <c r="EK8" s="459" t="n">
        <v>0.4313</v>
      </c>
      <c r="EL8" s="459" t="n">
        <v>0.4255</v>
      </c>
      <c r="EM8" s="459" t="n">
        <v>0.4198</v>
      </c>
      <c r="EN8" s="459" t="n">
        <v>0.4141</v>
      </c>
      <c r="EO8" s="459" t="n">
        <v>0.4085</v>
      </c>
      <c r="EP8" s="458" t="n">
        <v>0.403</v>
      </c>
      <c r="EQ8" s="458" t="n">
        <v>0.3976</v>
      </c>
      <c r="ER8" s="458" t="n">
        <v>0.3923</v>
      </c>
      <c r="ES8" s="458" t="n">
        <v>0.387</v>
      </c>
      <c r="ET8" s="458" t="n">
        <v>0.3818</v>
      </c>
      <c r="EU8" s="458" t="n">
        <v>0.3767</v>
      </c>
      <c r="EV8" s="458" t="n">
        <v>0.3716</v>
      </c>
      <c r="EW8" s="458" t="n">
        <v>0.3666</v>
      </c>
      <c r="EX8" s="458" t="n">
        <v>0.3617</v>
      </c>
      <c r="EY8" s="458" t="n">
        <v>0.3568</v>
      </c>
      <c r="EZ8" s="458" t="n">
        <v>0.352</v>
      </c>
      <c r="FA8" s="458" t="n">
        <v>0.3473</v>
      </c>
      <c r="FB8" s="459" t="n">
        <v>0.3426</v>
      </c>
      <c r="FC8" s="459" t="n">
        <v>0.338</v>
      </c>
      <c r="FD8" s="459" t="n">
        <v>0.3334</v>
      </c>
      <c r="FE8" s="459" t="n">
        <v>0.3289</v>
      </c>
      <c r="FF8" s="459" t="n">
        <v>0.3245</v>
      </c>
      <c r="FG8" s="459" t="n">
        <v>0.3202</v>
      </c>
      <c r="FH8" s="459" t="n">
        <v>0.3158</v>
      </c>
      <c r="FI8" s="459" t="n">
        <v>0.3116</v>
      </c>
      <c r="FJ8" s="459" t="n">
        <v>0.3074</v>
      </c>
      <c r="FK8" s="459" t="n">
        <v>0.3033</v>
      </c>
      <c r="FL8" s="459" t="n">
        <v>0.2992</v>
      </c>
      <c r="FM8" s="459" t="n">
        <v>0.2952</v>
      </c>
      <c r="FN8" s="458" t="n">
        <v>0.2912</v>
      </c>
      <c r="FO8" s="458" t="n">
        <v>0.2873</v>
      </c>
      <c r="FP8" s="458" t="n">
        <v>0.2834</v>
      </c>
      <c r="FQ8" s="458" t="n">
        <v>0.2796</v>
      </c>
      <c r="FR8" s="458" t="n">
        <v>0.2758</v>
      </c>
      <c r="FS8" s="458" t="n">
        <v>0.2721</v>
      </c>
      <c r="FT8" s="458" t="n">
        <v>0.2685</v>
      </c>
      <c r="FU8" s="458" t="n">
        <v>0.2649</v>
      </c>
      <c r="FV8" s="458" t="n">
        <v>0.2613</v>
      </c>
      <c r="FW8" s="458" t="n">
        <v>0.2578</v>
      </c>
      <c r="FX8" s="458" t="n">
        <v>0.2543</v>
      </c>
      <c r="FY8" s="458" t="n">
        <v>0.2509</v>
      </c>
      <c r="FZ8" s="306" t="n"/>
    </row>
    <row r="9" ht="15" customHeight="1" s="307">
      <c r="A9" s="321" t="inlineStr">
        <is>
          <t xml:space="preserve">    Deal #4</t>
        </is>
      </c>
      <c r="B9" s="458" t="n">
        <v>0</v>
      </c>
      <c r="C9" s="458" t="n">
        <v>0</v>
      </c>
      <c r="D9" s="458" t="n">
        <v>0</v>
      </c>
      <c r="E9" s="458" t="n">
        <v>0</v>
      </c>
      <c r="F9" s="458" t="n">
        <v>0</v>
      </c>
      <c r="G9" s="458" t="n">
        <v>0</v>
      </c>
      <c r="H9" s="458" t="n">
        <v>0</v>
      </c>
      <c r="I9" s="458" t="n">
        <v>0</v>
      </c>
      <c r="J9" s="458" t="n">
        <v>0</v>
      </c>
      <c r="K9" s="458" t="n">
        <v>0</v>
      </c>
      <c r="L9" s="458" t="n">
        <v>0</v>
      </c>
      <c r="M9" s="458" t="n">
        <v>2.1667</v>
      </c>
      <c r="N9" s="459" t="n">
        <v>2.1375</v>
      </c>
      <c r="O9" s="459" t="n">
        <v>2.1088</v>
      </c>
      <c r="P9" s="459" t="n">
        <v>2.0804</v>
      </c>
      <c r="Q9" s="459" t="n">
        <v>2.0524</v>
      </c>
      <c r="R9" s="459" t="n">
        <v>2.0248</v>
      </c>
      <c r="S9" s="459" t="n">
        <v>1.9976</v>
      </c>
      <c r="T9" s="459" t="n">
        <v>1.9707</v>
      </c>
      <c r="U9" s="459" t="n">
        <v>1.9442</v>
      </c>
      <c r="V9" s="459" t="n">
        <v>1.918</v>
      </c>
      <c r="W9" s="459" t="n">
        <v>1.8922</v>
      </c>
      <c r="X9" s="459" t="n">
        <v>1.8668</v>
      </c>
      <c r="Y9" s="459" t="n">
        <v>1.8417</v>
      </c>
      <c r="Z9" s="458" t="n">
        <v>1.8169</v>
      </c>
      <c r="AA9" s="458" t="n">
        <v>1.7925</v>
      </c>
      <c r="AB9" s="458" t="n">
        <v>1.7683</v>
      </c>
      <c r="AC9" s="458" t="n">
        <v>1.7446</v>
      </c>
      <c r="AD9" s="458" t="n">
        <v>1.7211</v>
      </c>
      <c r="AE9" s="458" t="n">
        <v>1.6979</v>
      </c>
      <c r="AF9" s="458" t="n">
        <v>1.6751</v>
      </c>
      <c r="AG9" s="458" t="n">
        <v>1.6526</v>
      </c>
      <c r="AH9" s="458" t="n">
        <v>1.6303</v>
      </c>
      <c r="AI9" s="458" t="n">
        <v>1.6084</v>
      </c>
      <c r="AJ9" s="458" t="n">
        <v>1.5868</v>
      </c>
      <c r="AK9" s="458" t="n">
        <v>1.5654</v>
      </c>
      <c r="AL9" s="459" t="n">
        <v>1.5444</v>
      </c>
      <c r="AM9" s="459" t="n">
        <v>1.5236</v>
      </c>
      <c r="AN9" s="459" t="n">
        <v>1.5031</v>
      </c>
      <c r="AO9" s="459" t="n">
        <v>1.4829</v>
      </c>
      <c r="AP9" s="459" t="n">
        <v>1.4629</v>
      </c>
      <c r="AQ9" s="459" t="n">
        <v>1.4432</v>
      </c>
      <c r="AR9" s="459" t="n">
        <v>1.4238</v>
      </c>
      <c r="AS9" s="459" t="n">
        <v>1.4047</v>
      </c>
      <c r="AT9" s="459" t="n">
        <v>1.3858</v>
      </c>
      <c r="AU9" s="459" t="n">
        <v>1.3671</v>
      </c>
      <c r="AV9" s="459" t="n">
        <v>1.3487</v>
      </c>
      <c r="AW9" s="459" t="n">
        <v>1.3306</v>
      </c>
      <c r="AX9" s="458" t="n">
        <v>1.3127</v>
      </c>
      <c r="AY9" s="458" t="n">
        <v>1.295</v>
      </c>
      <c r="AZ9" s="458" t="n">
        <v>1.2776</v>
      </c>
      <c r="BA9" s="458" t="n">
        <v>1.2604</v>
      </c>
      <c r="BB9" s="458" t="n">
        <v>1.2435</v>
      </c>
      <c r="BC9" s="458" t="n">
        <v>1.2268</v>
      </c>
      <c r="BD9" s="458" t="n">
        <v>1.2103</v>
      </c>
      <c r="BE9" s="458" t="n">
        <v>1.194</v>
      </c>
      <c r="BF9" s="458" t="n">
        <v>1.1779</v>
      </c>
      <c r="BG9" s="458" t="n">
        <v>1.1621</v>
      </c>
      <c r="BH9" s="458" t="n">
        <v>1.1464</v>
      </c>
      <c r="BI9" s="458" t="n">
        <v>1.131</v>
      </c>
      <c r="BJ9" s="459" t="n">
        <v>1.1158</v>
      </c>
      <c r="BK9" s="459" t="n">
        <v>1.1008</v>
      </c>
      <c r="BL9" s="459" t="n">
        <v>1.086</v>
      </c>
      <c r="BM9" s="459" t="n">
        <v>1.0714</v>
      </c>
      <c r="BN9" s="459" t="n">
        <v>1.057</v>
      </c>
      <c r="BO9" s="459" t="n">
        <v>1.0427</v>
      </c>
      <c r="BP9" s="459" t="n">
        <v>1.0287</v>
      </c>
      <c r="BQ9" s="459" t="n">
        <v>1.0149</v>
      </c>
      <c r="BR9" s="459" t="n">
        <v>1.0012</v>
      </c>
      <c r="BS9" s="459" t="n">
        <v>0.9878</v>
      </c>
      <c r="BT9" s="459" t="n">
        <v>0.9745</v>
      </c>
      <c r="BU9" s="459" t="n">
        <v>0.9614</v>
      </c>
      <c r="BV9" s="458" t="n">
        <v>0.9484</v>
      </c>
      <c r="BW9" s="458" t="n">
        <v>0.9357</v>
      </c>
      <c r="BX9" s="458" t="n">
        <v>0.9231</v>
      </c>
      <c r="BY9" s="458" t="n">
        <v>0.9107</v>
      </c>
      <c r="BZ9" s="458" t="n">
        <v>0.8984</v>
      </c>
      <c r="CA9" s="458" t="n">
        <v>0.8863</v>
      </c>
      <c r="CB9" s="458" t="n">
        <v>0.8744</v>
      </c>
      <c r="CC9" s="458" t="n">
        <v>0.8626</v>
      </c>
      <c r="CD9" s="458" t="n">
        <v>0.851</v>
      </c>
      <c r="CE9" s="458" t="n">
        <v>0.8396</v>
      </c>
      <c r="CF9" s="458" t="n">
        <v>0.8283</v>
      </c>
      <c r="CG9" s="458" t="n">
        <v>0.8172</v>
      </c>
      <c r="CH9" s="459" t="n">
        <v>0.8062</v>
      </c>
      <c r="CI9" s="459" t="n">
        <v>0.7953</v>
      </c>
      <c r="CJ9" s="459" t="n">
        <v>0.7846</v>
      </c>
      <c r="CK9" s="459" t="n">
        <v>0.7741</v>
      </c>
      <c r="CL9" s="459" t="n">
        <v>0.7637</v>
      </c>
      <c r="CM9" s="459" t="n">
        <v>0.7534</v>
      </c>
      <c r="CN9" s="459" t="n">
        <v>0.7432</v>
      </c>
      <c r="CO9" s="459" t="n">
        <v>0.7332</v>
      </c>
      <c r="CP9" s="459" t="n">
        <v>0.7234</v>
      </c>
      <c r="CQ9" s="459" t="n">
        <v>0.7137</v>
      </c>
      <c r="CR9" s="459" t="n">
        <v>0.7040999999999999</v>
      </c>
      <c r="CS9" s="459" t="n">
        <v>0.6946</v>
      </c>
      <c r="CT9" s="458" t="n">
        <v>0.6852</v>
      </c>
      <c r="CU9" s="458" t="n">
        <v>0.676</v>
      </c>
      <c r="CV9" s="458" t="n">
        <v>0.6669</v>
      </c>
      <c r="CW9" s="458" t="n">
        <v>0.658</v>
      </c>
      <c r="CX9" s="458" t="n">
        <v>0.6491</v>
      </c>
      <c r="CY9" s="458" t="n">
        <v>0.6404</v>
      </c>
      <c r="CZ9" s="458" t="n">
        <v>0.6318</v>
      </c>
      <c r="DA9" s="458" t="n">
        <v>0.6233</v>
      </c>
      <c r="DB9" s="458" t="n">
        <v>0.6149</v>
      </c>
      <c r="DC9" s="458" t="n">
        <v>0.6066</v>
      </c>
      <c r="DD9" s="458" t="n">
        <v>0.5984</v>
      </c>
      <c r="DE9" s="458" t="n">
        <v>0.5904</v>
      </c>
      <c r="DF9" s="459" t="n">
        <v>0.5825</v>
      </c>
      <c r="DG9" s="459" t="n">
        <v>0.5746</v>
      </c>
      <c r="DH9" s="459" t="n">
        <v>0.5669</v>
      </c>
      <c r="DI9" s="459" t="n">
        <v>0.5593</v>
      </c>
      <c r="DJ9" s="459" t="n">
        <v>0.5517</v>
      </c>
      <c r="DK9" s="459" t="n">
        <v>0.5443</v>
      </c>
      <c r="DL9" s="459" t="n">
        <v>0.537</v>
      </c>
      <c r="DM9" s="459" t="n">
        <v>0.5298</v>
      </c>
      <c r="DN9" s="459" t="n">
        <v>0.5226</v>
      </c>
      <c r="DO9" s="459" t="n">
        <v>0.5155999999999999</v>
      </c>
      <c r="DP9" s="459" t="n">
        <v>0.5087</v>
      </c>
      <c r="DQ9" s="459" t="n">
        <v>0.5018</v>
      </c>
      <c r="DR9" s="458" t="n">
        <v>0.4951</v>
      </c>
      <c r="DS9" s="458" t="n">
        <v>0.4884</v>
      </c>
      <c r="DT9" s="458" t="n">
        <v>0.4819</v>
      </c>
      <c r="DU9" s="458" t="n">
        <v>0.4754</v>
      </c>
      <c r="DV9" s="458" t="n">
        <v>0.469</v>
      </c>
      <c r="DW9" s="458" t="n">
        <v>0.4627</v>
      </c>
      <c r="DX9" s="458" t="n">
        <v>0.4564</v>
      </c>
      <c r="DY9" s="458" t="n">
        <v>0.4503</v>
      </c>
      <c r="DZ9" s="458" t="n">
        <v>0.4442</v>
      </c>
      <c r="EA9" s="458" t="n">
        <v>0.4383</v>
      </c>
      <c r="EB9" s="458" t="n">
        <v>0.4324</v>
      </c>
      <c r="EC9" s="458" t="n">
        <v>0.4266</v>
      </c>
      <c r="ED9" s="459" t="n">
        <v>0.4208</v>
      </c>
      <c r="EE9" s="459" t="n">
        <v>0.4152</v>
      </c>
      <c r="EF9" s="459" t="n">
        <v>0.4096</v>
      </c>
      <c r="EG9" s="459" t="n">
        <v>0.4041</v>
      </c>
      <c r="EH9" s="459" t="n">
        <v>0.3986</v>
      </c>
      <c r="EI9" s="459" t="n">
        <v>0.3933</v>
      </c>
      <c r="EJ9" s="459" t="n">
        <v>0.388</v>
      </c>
      <c r="EK9" s="459" t="n">
        <v>0.3828</v>
      </c>
      <c r="EL9" s="459" t="n">
        <v>0.3776</v>
      </c>
      <c r="EM9" s="459" t="n">
        <v>0.3725</v>
      </c>
      <c r="EN9" s="459" t="n">
        <v>0.3675</v>
      </c>
      <c r="EO9" s="459" t="n">
        <v>0.3626</v>
      </c>
      <c r="EP9" s="458" t="n">
        <v>0.3577</v>
      </c>
      <c r="EQ9" s="458" t="n">
        <v>0.3529</v>
      </c>
      <c r="ER9" s="458" t="n">
        <v>0.3481</v>
      </c>
      <c r="ES9" s="458" t="n">
        <v>0.3435</v>
      </c>
      <c r="ET9" s="458" t="n">
        <v>0.3388</v>
      </c>
      <c r="EU9" s="458" t="n">
        <v>0.3343</v>
      </c>
      <c r="EV9" s="458" t="n">
        <v>0.3298</v>
      </c>
      <c r="EW9" s="458" t="n">
        <v>0.3253</v>
      </c>
      <c r="EX9" s="458" t="n">
        <v>0.321</v>
      </c>
      <c r="EY9" s="458" t="n">
        <v>0.3167</v>
      </c>
      <c r="EZ9" s="458" t="n">
        <v>0.3124</v>
      </c>
      <c r="FA9" s="458" t="n">
        <v>0.3082</v>
      </c>
      <c r="FB9" s="459" t="n">
        <v>0.304</v>
      </c>
      <c r="FC9" s="459" t="n">
        <v>0.3</v>
      </c>
      <c r="FD9" s="459" t="n">
        <v>0.2959</v>
      </c>
      <c r="FE9" s="459" t="n">
        <v>0.2919</v>
      </c>
      <c r="FF9" s="459" t="n">
        <v>0.288</v>
      </c>
      <c r="FG9" s="459" t="n">
        <v>0.2841</v>
      </c>
      <c r="FH9" s="459" t="n">
        <v>0.2803</v>
      </c>
      <c r="FI9" s="459" t="n">
        <v>0.2765</v>
      </c>
      <c r="FJ9" s="459" t="n">
        <v>0.2728</v>
      </c>
      <c r="FK9" s="459" t="n">
        <v>0.2692</v>
      </c>
      <c r="FL9" s="459" t="n">
        <v>0.2655</v>
      </c>
      <c r="FM9" s="459" t="n">
        <v>0.262</v>
      </c>
      <c r="FN9" s="458" t="n">
        <v>0.2584</v>
      </c>
      <c r="FO9" s="458" t="n">
        <v>0.255</v>
      </c>
      <c r="FP9" s="458" t="n">
        <v>0.2515</v>
      </c>
      <c r="FQ9" s="458" t="n">
        <v>0.2481</v>
      </c>
      <c r="FR9" s="458" t="n">
        <v>0.2448</v>
      </c>
      <c r="FS9" s="458" t="n">
        <v>0.2415</v>
      </c>
      <c r="FT9" s="458" t="n">
        <v>0.2383</v>
      </c>
      <c r="FU9" s="458" t="n">
        <v>0.2351</v>
      </c>
      <c r="FV9" s="458" t="n">
        <v>0.2319</v>
      </c>
      <c r="FW9" s="458" t="n">
        <v>0.2288</v>
      </c>
      <c r="FX9" s="458" t="n">
        <v>0.2257</v>
      </c>
      <c r="FY9" s="458" t="n">
        <v>0.2227</v>
      </c>
      <c r="FZ9" s="306" t="n"/>
    </row>
    <row r="10" ht="15" customHeight="1" s="307">
      <c r="A10" s="321" t="inlineStr">
        <is>
          <t xml:space="preserve">    Deal #5</t>
        </is>
      </c>
      <c r="B10" s="458" t="n">
        <v>0</v>
      </c>
      <c r="C10" s="458" t="n">
        <v>0</v>
      </c>
      <c r="D10" s="458" t="n">
        <v>0</v>
      </c>
      <c r="E10" s="458" t="n">
        <v>0</v>
      </c>
      <c r="F10" s="458" t="n">
        <v>0</v>
      </c>
      <c r="G10" s="458" t="n">
        <v>0</v>
      </c>
      <c r="H10" s="458" t="n">
        <v>0</v>
      </c>
      <c r="I10" s="458" t="n">
        <v>0</v>
      </c>
      <c r="J10" s="458" t="n">
        <v>0</v>
      </c>
      <c r="K10" s="458" t="n">
        <v>0</v>
      </c>
      <c r="L10" s="458" t="n">
        <v>0</v>
      </c>
      <c r="M10" s="458" t="n">
        <v>0</v>
      </c>
      <c r="N10" s="459" t="n">
        <v>0</v>
      </c>
      <c r="O10" s="459" t="n">
        <v>0</v>
      </c>
      <c r="P10" s="459" t="n">
        <v>0</v>
      </c>
      <c r="Q10" s="459" t="n">
        <v>2.1167</v>
      </c>
      <c r="R10" s="459" t="n">
        <v>2.0882</v>
      </c>
      <c r="S10" s="459" t="n">
        <v>2.0601</v>
      </c>
      <c r="T10" s="459" t="n">
        <v>2.0324</v>
      </c>
      <c r="U10" s="459" t="n">
        <v>2.0051</v>
      </c>
      <c r="V10" s="459" t="n">
        <v>1.9781</v>
      </c>
      <c r="W10" s="459" t="n">
        <v>1.9515</v>
      </c>
      <c r="X10" s="459" t="n">
        <v>1.9252</v>
      </c>
      <c r="Y10" s="459" t="n">
        <v>1.8993</v>
      </c>
      <c r="Z10" s="458" t="n">
        <v>1.8738</v>
      </c>
      <c r="AA10" s="458" t="n">
        <v>1.8486</v>
      </c>
      <c r="AB10" s="458" t="n">
        <v>1.8237</v>
      </c>
      <c r="AC10" s="458" t="n">
        <v>1.7992</v>
      </c>
      <c r="AD10" s="458" t="n">
        <v>1.775</v>
      </c>
      <c r="AE10" s="458" t="n">
        <v>1.7511</v>
      </c>
      <c r="AF10" s="458" t="n">
        <v>1.7275</v>
      </c>
      <c r="AG10" s="458" t="n">
        <v>1.7043</v>
      </c>
      <c r="AH10" s="458" t="n">
        <v>1.6814</v>
      </c>
      <c r="AI10" s="458" t="n">
        <v>1.6587</v>
      </c>
      <c r="AJ10" s="458" t="n">
        <v>1.6364</v>
      </c>
      <c r="AK10" s="458" t="n">
        <v>1.6144</v>
      </c>
      <c r="AL10" s="459" t="n">
        <v>1.5927</v>
      </c>
      <c r="AM10" s="459" t="n">
        <v>1.5713</v>
      </c>
      <c r="AN10" s="459" t="n">
        <v>1.5501</v>
      </c>
      <c r="AO10" s="459" t="n">
        <v>1.5293</v>
      </c>
      <c r="AP10" s="459" t="n">
        <v>1.5087</v>
      </c>
      <c r="AQ10" s="459" t="n">
        <v>1.4884</v>
      </c>
      <c r="AR10" s="459" t="n">
        <v>1.4684</v>
      </c>
      <c r="AS10" s="459" t="n">
        <v>1.4486</v>
      </c>
      <c r="AT10" s="459" t="n">
        <v>1.4292</v>
      </c>
      <c r="AU10" s="459" t="n">
        <v>1.4099</v>
      </c>
      <c r="AV10" s="459" t="n">
        <v>1.391</v>
      </c>
      <c r="AW10" s="459" t="n">
        <v>1.3723</v>
      </c>
      <c r="AX10" s="458" t="n">
        <v>1.3538</v>
      </c>
      <c r="AY10" s="458" t="n">
        <v>1.3356</v>
      </c>
      <c r="AZ10" s="458" t="n">
        <v>1.3176</v>
      </c>
      <c r="BA10" s="458" t="n">
        <v>1.2999</v>
      </c>
      <c r="BB10" s="458" t="n">
        <v>1.2824</v>
      </c>
      <c r="BC10" s="458" t="n">
        <v>1.2652</v>
      </c>
      <c r="BD10" s="458" t="n">
        <v>1.2481</v>
      </c>
      <c r="BE10" s="458" t="n">
        <v>1.2314</v>
      </c>
      <c r="BF10" s="458" t="n">
        <v>1.2148</v>
      </c>
      <c r="BG10" s="458" t="n">
        <v>1.1984</v>
      </c>
      <c r="BH10" s="458" t="n">
        <v>1.1823</v>
      </c>
      <c r="BI10" s="458" t="n">
        <v>1.1664</v>
      </c>
      <c r="BJ10" s="459" t="n">
        <v>1.1507</v>
      </c>
      <c r="BK10" s="459" t="n">
        <v>1.1353</v>
      </c>
      <c r="BL10" s="459" t="n">
        <v>1.12</v>
      </c>
      <c r="BM10" s="459" t="n">
        <v>1.1049</v>
      </c>
      <c r="BN10" s="459" t="n">
        <v>1.09</v>
      </c>
      <c r="BO10" s="459" t="n">
        <v>1.0754</v>
      </c>
      <c r="BP10" s="459" t="n">
        <v>1.0609</v>
      </c>
      <c r="BQ10" s="459" t="n">
        <v>1.0466</v>
      </c>
      <c r="BR10" s="459" t="n">
        <v>1.0326</v>
      </c>
      <c r="BS10" s="459" t="n">
        <v>1.0187</v>
      </c>
      <c r="BT10" s="459" t="n">
        <v>1.005</v>
      </c>
      <c r="BU10" s="459" t="n">
        <v>0.9915</v>
      </c>
      <c r="BV10" s="458" t="n">
        <v>0.9781</v>
      </c>
      <c r="BW10" s="458" t="n">
        <v>0.965</v>
      </c>
      <c r="BX10" s="458" t="n">
        <v>0.952</v>
      </c>
      <c r="BY10" s="458" t="n">
        <v>0.9392</v>
      </c>
      <c r="BZ10" s="458" t="n">
        <v>0.9265</v>
      </c>
      <c r="CA10" s="458" t="n">
        <v>0.9141</v>
      </c>
      <c r="CB10" s="458" t="n">
        <v>0.9018</v>
      </c>
      <c r="CC10" s="458" t="n">
        <v>0.8897</v>
      </c>
      <c r="CD10" s="458" t="n">
        <v>0.8777</v>
      </c>
      <c r="CE10" s="458" t="n">
        <v>0.8659</v>
      </c>
      <c r="CF10" s="458" t="n">
        <v>0.8542</v>
      </c>
      <c r="CG10" s="458" t="n">
        <v>0.8427</v>
      </c>
      <c r="CH10" s="459" t="n">
        <v>0.8314</v>
      </c>
      <c r="CI10" s="459" t="n">
        <v>0.8202</v>
      </c>
      <c r="CJ10" s="459" t="n">
        <v>0.8092</v>
      </c>
      <c r="CK10" s="459" t="n">
        <v>0.7983</v>
      </c>
      <c r="CL10" s="459" t="n">
        <v>0.7876</v>
      </c>
      <c r="CM10" s="459" t="n">
        <v>0.777</v>
      </c>
      <c r="CN10" s="459" t="n">
        <v>0.7665</v>
      </c>
      <c r="CO10" s="459" t="n">
        <v>0.7562</v>
      </c>
      <c r="CP10" s="459" t="n">
        <v>0.746</v>
      </c>
      <c r="CQ10" s="459" t="n">
        <v>0.736</v>
      </c>
      <c r="CR10" s="459" t="n">
        <v>0.7261</v>
      </c>
      <c r="CS10" s="459" t="n">
        <v>0.7163</v>
      </c>
      <c r="CT10" s="458" t="n">
        <v>0.7067</v>
      </c>
      <c r="CU10" s="458" t="n">
        <v>0.6972</v>
      </c>
      <c r="CV10" s="458" t="n">
        <v>0.6878</v>
      </c>
      <c r="CW10" s="458" t="n">
        <v>0.6786</v>
      </c>
      <c r="CX10" s="458" t="n">
        <v>0.6694</v>
      </c>
      <c r="CY10" s="458" t="n">
        <v>0.6604</v>
      </c>
      <c r="CZ10" s="458" t="n">
        <v>0.6515</v>
      </c>
      <c r="DA10" s="458" t="n">
        <v>0.6428</v>
      </c>
      <c r="DB10" s="458" t="n">
        <v>0.6341</v>
      </c>
      <c r="DC10" s="458" t="n">
        <v>0.6256</v>
      </c>
      <c r="DD10" s="458" t="n">
        <v>0.6172</v>
      </c>
      <c r="DE10" s="458" t="n">
        <v>0.6089</v>
      </c>
      <c r="DF10" s="459" t="n">
        <v>0.6007</v>
      </c>
      <c r="DG10" s="459" t="n">
        <v>0.5926</v>
      </c>
      <c r="DH10" s="459" t="n">
        <v>0.5846</v>
      </c>
      <c r="DI10" s="459" t="n">
        <v>0.5768</v>
      </c>
      <c r="DJ10" s="459" t="n">
        <v>0.569</v>
      </c>
      <c r="DK10" s="459" t="n">
        <v>0.5614</v>
      </c>
      <c r="DL10" s="459" t="n">
        <v>0.5538</v>
      </c>
      <c r="DM10" s="459" t="n">
        <v>0.5464</v>
      </c>
      <c r="DN10" s="459" t="n">
        <v>0.539</v>
      </c>
      <c r="DO10" s="459" t="n">
        <v>0.5318000000000001</v>
      </c>
      <c r="DP10" s="459" t="n">
        <v>0.5246</v>
      </c>
      <c r="DQ10" s="459" t="n">
        <v>0.5175</v>
      </c>
      <c r="DR10" s="458" t="n">
        <v>0.5106000000000001</v>
      </c>
      <c r="DS10" s="458" t="n">
        <v>0.5037</v>
      </c>
      <c r="DT10" s="458" t="n">
        <v>0.4969</v>
      </c>
      <c r="DU10" s="458" t="n">
        <v>0.4903</v>
      </c>
      <c r="DV10" s="458" t="n">
        <v>0.4837</v>
      </c>
      <c r="DW10" s="458" t="n">
        <v>0.4772</v>
      </c>
      <c r="DX10" s="458" t="n">
        <v>0.4707</v>
      </c>
      <c r="DY10" s="458" t="n">
        <v>0.4644</v>
      </c>
      <c r="DZ10" s="458" t="n">
        <v>0.4582</v>
      </c>
      <c r="EA10" s="458" t="n">
        <v>0.452</v>
      </c>
      <c r="EB10" s="458" t="n">
        <v>0.4459</v>
      </c>
      <c r="EC10" s="458" t="n">
        <v>0.4399</v>
      </c>
      <c r="ED10" s="459" t="n">
        <v>0.434</v>
      </c>
      <c r="EE10" s="459" t="n">
        <v>0.4282</v>
      </c>
      <c r="EF10" s="459" t="n">
        <v>0.4224</v>
      </c>
      <c r="EG10" s="459" t="n">
        <v>0.4167</v>
      </c>
      <c r="EH10" s="459" t="n">
        <v>0.4111</v>
      </c>
      <c r="EI10" s="459" t="n">
        <v>0.4056</v>
      </c>
      <c r="EJ10" s="459" t="n">
        <v>0.4001</v>
      </c>
      <c r="EK10" s="459" t="n">
        <v>0.3947</v>
      </c>
      <c r="EL10" s="459" t="n">
        <v>0.3894</v>
      </c>
      <c r="EM10" s="459" t="n">
        <v>0.3842</v>
      </c>
      <c r="EN10" s="459" t="n">
        <v>0.379</v>
      </c>
      <c r="EO10" s="459" t="n">
        <v>0.3739</v>
      </c>
      <c r="EP10" s="458" t="n">
        <v>0.3689</v>
      </c>
      <c r="EQ10" s="458" t="n">
        <v>0.3639</v>
      </c>
      <c r="ER10" s="458" t="n">
        <v>0.359</v>
      </c>
      <c r="ES10" s="458" t="n">
        <v>0.3542</v>
      </c>
      <c r="ET10" s="458" t="n">
        <v>0.3494</v>
      </c>
      <c r="EU10" s="458" t="n">
        <v>0.3447</v>
      </c>
      <c r="EV10" s="458" t="n">
        <v>0.3401</v>
      </c>
      <c r="EW10" s="458" t="n">
        <v>0.3355</v>
      </c>
      <c r="EX10" s="458" t="n">
        <v>0.331</v>
      </c>
      <c r="EY10" s="458" t="n">
        <v>0.3266</v>
      </c>
      <c r="EZ10" s="458" t="n">
        <v>0.3222</v>
      </c>
      <c r="FA10" s="458" t="n">
        <v>0.3178</v>
      </c>
      <c r="FB10" s="459" t="n">
        <v>0.3136</v>
      </c>
      <c r="FC10" s="459" t="n">
        <v>0.3093</v>
      </c>
      <c r="FD10" s="459" t="n">
        <v>0.3052</v>
      </c>
      <c r="FE10" s="459" t="n">
        <v>0.3011</v>
      </c>
      <c r="FF10" s="459" t="n">
        <v>0.297</v>
      </c>
      <c r="FG10" s="459" t="n">
        <v>0.293</v>
      </c>
      <c r="FH10" s="459" t="n">
        <v>0.2891</v>
      </c>
      <c r="FI10" s="459" t="n">
        <v>0.2852</v>
      </c>
      <c r="FJ10" s="459" t="n">
        <v>0.2814</v>
      </c>
      <c r="FK10" s="459" t="n">
        <v>0.2776</v>
      </c>
      <c r="FL10" s="459" t="n">
        <v>0.2738</v>
      </c>
      <c r="FM10" s="459" t="n">
        <v>0.2702</v>
      </c>
      <c r="FN10" s="458" t="n">
        <v>0.2665</v>
      </c>
      <c r="FO10" s="458" t="n">
        <v>0.2629</v>
      </c>
      <c r="FP10" s="458" t="n">
        <v>0.2594</v>
      </c>
      <c r="FQ10" s="458" t="n">
        <v>0.2559</v>
      </c>
      <c r="FR10" s="458" t="n">
        <v>0.2525</v>
      </c>
      <c r="FS10" s="458" t="n">
        <v>0.2491</v>
      </c>
      <c r="FT10" s="458" t="n">
        <v>0.2457</v>
      </c>
      <c r="FU10" s="458" t="n">
        <v>0.2424</v>
      </c>
      <c r="FV10" s="458" t="n">
        <v>0.2392</v>
      </c>
      <c r="FW10" s="458" t="n">
        <v>0.2359</v>
      </c>
      <c r="FX10" s="458" t="n">
        <v>0.2328</v>
      </c>
      <c r="FY10" s="458" t="n">
        <v>0.2296</v>
      </c>
      <c r="FZ10" s="306" t="n"/>
    </row>
    <row r="11" ht="15" customHeight="1" s="307">
      <c r="A11" s="314" t="n"/>
      <c r="B11" s="464" t="n"/>
      <c r="C11" s="464" t="n"/>
      <c r="D11" s="464" t="n"/>
      <c r="E11" s="464" t="n"/>
      <c r="F11" s="464" t="n"/>
      <c r="G11" s="464" t="n"/>
      <c r="H11" s="464" t="n"/>
      <c r="I11" s="464" t="n"/>
      <c r="J11" s="464" t="n"/>
      <c r="K11" s="464" t="n"/>
      <c r="L11" s="464" t="n"/>
      <c r="M11" s="464" t="n"/>
      <c r="N11" s="464" t="n"/>
      <c r="O11" s="464" t="n"/>
      <c r="P11" s="464" t="n"/>
      <c r="Q11" s="464" t="n"/>
      <c r="R11" s="464" t="n"/>
      <c r="S11" s="464" t="n"/>
      <c r="T11" s="464" t="n"/>
      <c r="U11" s="464" t="n"/>
      <c r="V11" s="464" t="n"/>
      <c r="W11" s="464" t="n"/>
      <c r="X11" s="464" t="n"/>
      <c r="Y11" s="464" t="n"/>
      <c r="Z11" s="464" t="n"/>
      <c r="AA11" s="464" t="n"/>
      <c r="AB11" s="464" t="n"/>
      <c r="AC11" s="464" t="n"/>
      <c r="AD11" s="464" t="n"/>
      <c r="AE11" s="464" t="n"/>
      <c r="AF11" s="464" t="n"/>
      <c r="AG11" s="464" t="n"/>
      <c r="AH11" s="464" t="n"/>
      <c r="AI11" s="464" t="n"/>
      <c r="AJ11" s="464" t="n"/>
      <c r="AK11" s="464" t="n"/>
      <c r="AL11" s="464" t="n"/>
      <c r="AM11" s="464" t="n"/>
      <c r="AN11" s="464" t="n"/>
      <c r="AO11" s="464" t="n"/>
      <c r="AP11" s="464" t="n"/>
      <c r="AQ11" s="464" t="n"/>
      <c r="AR11" s="464" t="n"/>
      <c r="AS11" s="464" t="n"/>
      <c r="AT11" s="464" t="n"/>
      <c r="AU11" s="464" t="n"/>
      <c r="AV11" s="464" t="n"/>
      <c r="AW11" s="464" t="n"/>
      <c r="AX11" s="464" t="n"/>
      <c r="AY11" s="464" t="n"/>
      <c r="AZ11" s="464" t="n"/>
      <c r="BA11" s="464" t="n"/>
      <c r="BB11" s="464" t="n"/>
      <c r="BC11" s="464" t="n"/>
      <c r="BD11" s="464" t="n"/>
      <c r="BE11" s="464" t="n"/>
      <c r="BF11" s="464" t="n"/>
      <c r="BG11" s="464" t="n"/>
      <c r="BH11" s="464" t="n"/>
      <c r="BI11" s="464" t="n"/>
      <c r="BJ11" s="464" t="n"/>
      <c r="BK11" s="464" t="n"/>
      <c r="BL11" s="464" t="n"/>
      <c r="BM11" s="464" t="n"/>
      <c r="BN11" s="464" t="n"/>
      <c r="BO11" s="464" t="n"/>
      <c r="BP11" s="464" t="n"/>
      <c r="BQ11" s="464" t="n"/>
      <c r="BR11" s="464" t="n"/>
      <c r="BS11" s="464" t="n"/>
      <c r="BT11" s="464" t="n"/>
      <c r="BU11" s="464" t="n"/>
      <c r="BV11" s="464" t="n"/>
      <c r="BW11" s="464" t="n"/>
      <c r="BX11" s="464" t="n"/>
      <c r="BY11" s="464" t="n"/>
      <c r="BZ11" s="464" t="n"/>
      <c r="CA11" s="464" t="n"/>
      <c r="CB11" s="464" t="n"/>
      <c r="CC11" s="464" t="n"/>
      <c r="CD11" s="464" t="n"/>
      <c r="CE11" s="464" t="n"/>
      <c r="CF11" s="464" t="n"/>
      <c r="CG11" s="464" t="n"/>
      <c r="CH11" s="464" t="n"/>
      <c r="CI11" s="464" t="n"/>
      <c r="CJ11" s="464" t="n"/>
      <c r="CK11" s="464" t="n"/>
      <c r="CL11" s="464" t="n"/>
      <c r="CM11" s="464" t="n"/>
      <c r="CN11" s="464" t="n"/>
      <c r="CO11" s="464" t="n"/>
      <c r="CP11" s="464" t="n"/>
      <c r="CQ11" s="464" t="n"/>
      <c r="CR11" s="464" t="n"/>
      <c r="CS11" s="464" t="n"/>
      <c r="CT11" s="464" t="n"/>
      <c r="CU11" s="464" t="n"/>
      <c r="CV11" s="464" t="n"/>
      <c r="CW11" s="464" t="n"/>
      <c r="CX11" s="464" t="n"/>
      <c r="CY11" s="464" t="n"/>
      <c r="CZ11" s="464" t="n"/>
      <c r="DA11" s="464" t="n"/>
      <c r="DB11" s="464" t="n"/>
      <c r="DC11" s="464" t="n"/>
      <c r="DD11" s="464" t="n"/>
      <c r="DE11" s="464" t="n"/>
      <c r="DF11" s="464" t="n"/>
      <c r="DG11" s="464" t="n"/>
      <c r="DH11" s="464" t="n"/>
      <c r="DI11" s="464" t="n"/>
      <c r="DJ11" s="464" t="n"/>
      <c r="DK11" s="464" t="n"/>
      <c r="DL11" s="464" t="n"/>
      <c r="DM11" s="464" t="n"/>
      <c r="DN11" s="464" t="n"/>
      <c r="DO11" s="464" t="n"/>
      <c r="DP11" s="464" t="n"/>
      <c r="DQ11" s="464" t="n"/>
      <c r="DR11" s="464" t="n"/>
      <c r="DS11" s="464" t="n"/>
      <c r="DT11" s="464" t="n"/>
      <c r="DU11" s="464" t="n"/>
      <c r="DV11" s="464" t="n"/>
      <c r="DW11" s="464" t="n"/>
      <c r="DX11" s="464" t="n"/>
      <c r="DY11" s="464" t="n"/>
      <c r="DZ11" s="464" t="n"/>
      <c r="EA11" s="464" t="n"/>
      <c r="EB11" s="464" t="n"/>
      <c r="EC11" s="464" t="n"/>
      <c r="ED11" s="464" t="n"/>
      <c r="EE11" s="464" t="n"/>
      <c r="EF11" s="464" t="n"/>
      <c r="EG11" s="464" t="n"/>
      <c r="EH11" s="464" t="n"/>
      <c r="EI11" s="464" t="n"/>
      <c r="EJ11" s="464" t="n"/>
      <c r="EK11" s="464" t="n"/>
      <c r="EL11" s="464" t="n"/>
      <c r="EM11" s="464" t="n"/>
      <c r="EN11" s="464" t="n"/>
      <c r="EO11" s="464" t="n"/>
      <c r="EP11" s="464" t="n"/>
      <c r="EQ11" s="464" t="n"/>
      <c r="ER11" s="464" t="n"/>
      <c r="ES11" s="464" t="n"/>
      <c r="ET11" s="464" t="n"/>
      <c r="EU11" s="464" t="n"/>
      <c r="EV11" s="464" t="n"/>
      <c r="EW11" s="464" t="n"/>
      <c r="EX11" s="464" t="n"/>
      <c r="EY11" s="464" t="n"/>
      <c r="EZ11" s="464" t="n"/>
      <c r="FA11" s="464" t="n"/>
      <c r="FB11" s="464" t="n"/>
      <c r="FC11" s="464" t="n"/>
      <c r="FD11" s="464" t="n"/>
      <c r="FE11" s="464" t="n"/>
      <c r="FF11" s="464" t="n"/>
      <c r="FG11" s="464" t="n"/>
      <c r="FH11" s="464" t="n"/>
      <c r="FI11" s="464" t="n"/>
      <c r="FJ11" s="464" t="n"/>
      <c r="FK11" s="464" t="n"/>
      <c r="FL11" s="464" t="n"/>
      <c r="FM11" s="464" t="n"/>
      <c r="FN11" s="464" t="n"/>
      <c r="FO11" s="464" t="n"/>
      <c r="FP11" s="464" t="n"/>
      <c r="FQ11" s="464" t="n"/>
      <c r="FR11" s="464" t="n"/>
      <c r="FS11" s="464" t="n"/>
      <c r="FT11" s="464" t="n"/>
      <c r="FU11" s="464" t="n"/>
      <c r="FV11" s="464" t="n"/>
      <c r="FW11" s="464" t="n"/>
      <c r="FX11" s="464" t="n"/>
      <c r="FY11" s="464" t="n"/>
      <c r="FZ11" s="306" t="n"/>
    </row>
    <row r="12" ht="15" customHeight="1" s="307">
      <c r="A12" s="325" t="inlineStr">
        <is>
          <t>Portfolio P&amp;L</t>
        </is>
      </c>
      <c r="B12" s="309" t="n"/>
      <c r="C12" s="309" t="n"/>
      <c r="D12" s="309" t="n"/>
      <c r="E12" s="309" t="n"/>
      <c r="F12" s="309" t="n"/>
      <c r="G12" s="309" t="n"/>
      <c r="H12" s="309" t="n"/>
      <c r="I12" s="309" t="n"/>
      <c r="J12" s="309" t="n"/>
      <c r="K12" s="309" t="n"/>
      <c r="L12" s="309" t="n"/>
      <c r="M12" s="309" t="n"/>
      <c r="N12" s="309" t="n"/>
      <c r="O12" s="309" t="n"/>
      <c r="P12" s="309" t="n"/>
      <c r="Q12" s="309" t="n"/>
      <c r="R12" s="309" t="n"/>
      <c r="S12" s="309" t="n"/>
      <c r="T12" s="309" t="n"/>
      <c r="U12" s="309" t="n"/>
      <c r="V12" s="309" t="n"/>
      <c r="W12" s="309" t="n"/>
      <c r="X12" s="309" t="n"/>
      <c r="Y12" s="309" t="n"/>
      <c r="Z12" s="309" t="n"/>
      <c r="AA12" s="309" t="n"/>
      <c r="AB12" s="309" t="n"/>
      <c r="AC12" s="309" t="n"/>
      <c r="AD12" s="309" t="n"/>
      <c r="AE12" s="309" t="n"/>
      <c r="AF12" s="309" t="n"/>
      <c r="AG12" s="309" t="n"/>
      <c r="AH12" s="309" t="n"/>
      <c r="AI12" s="309" t="n"/>
      <c r="AJ12" s="309" t="n"/>
      <c r="AK12" s="309" t="n"/>
      <c r="AL12" s="309" t="n"/>
      <c r="AM12" s="309" t="n"/>
      <c r="AN12" s="309" t="n"/>
      <c r="AO12" s="309" t="n"/>
      <c r="AP12" s="309" t="n"/>
      <c r="AQ12" s="309" t="n"/>
      <c r="AR12" s="309" t="n"/>
      <c r="AS12" s="309" t="n"/>
      <c r="AT12" s="309" t="n"/>
      <c r="AU12" s="309" t="n"/>
      <c r="AV12" s="309" t="n"/>
      <c r="AW12" s="309" t="n"/>
      <c r="AX12" s="309" t="n"/>
      <c r="AY12" s="309" t="n"/>
      <c r="AZ12" s="309" t="n"/>
      <c r="BA12" s="309" t="n"/>
      <c r="BB12" s="309" t="n"/>
      <c r="BC12" s="309" t="n"/>
      <c r="BD12" s="309" t="n"/>
      <c r="BE12" s="309" t="n"/>
      <c r="BF12" s="309" t="n"/>
      <c r="BG12" s="309" t="n"/>
      <c r="BH12" s="309" t="n"/>
      <c r="BI12" s="309" t="n"/>
      <c r="BJ12" s="309" t="n"/>
      <c r="BK12" s="309" t="n"/>
      <c r="BL12" s="309" t="n"/>
      <c r="BM12" s="309" t="n"/>
      <c r="BN12" s="309" t="n"/>
      <c r="BO12" s="309" t="n"/>
      <c r="BP12" s="309" t="n"/>
      <c r="BQ12" s="309" t="n"/>
      <c r="BR12" s="309" t="n"/>
      <c r="BS12" s="309" t="n"/>
      <c r="BT12" s="309" t="n"/>
      <c r="BU12" s="309" t="n"/>
      <c r="BV12" s="309" t="n"/>
      <c r="BW12" s="309" t="n"/>
      <c r="BX12" s="309" t="n"/>
      <c r="BY12" s="309" t="n"/>
      <c r="BZ12" s="309" t="n"/>
      <c r="CA12" s="309" t="n"/>
      <c r="CB12" s="309" t="n"/>
      <c r="CC12" s="309" t="n"/>
      <c r="CD12" s="309" t="n"/>
      <c r="CE12" s="309" t="n"/>
      <c r="CF12" s="309" t="n"/>
      <c r="CG12" s="309" t="n"/>
      <c r="CH12" s="309" t="n"/>
      <c r="CI12" s="309" t="n"/>
      <c r="CJ12" s="309" t="n"/>
      <c r="CK12" s="309" t="n"/>
      <c r="CL12" s="309" t="n"/>
      <c r="CM12" s="309" t="n"/>
      <c r="CN12" s="309" t="n"/>
      <c r="CO12" s="309" t="n"/>
      <c r="CP12" s="309" t="n"/>
      <c r="CQ12" s="309" t="n"/>
      <c r="CR12" s="309" t="n"/>
      <c r="CS12" s="309" t="n"/>
      <c r="CT12" s="309" t="n"/>
      <c r="CU12" s="309" t="n"/>
      <c r="CV12" s="309" t="n"/>
      <c r="CW12" s="309" t="n"/>
      <c r="CX12" s="309" t="n"/>
      <c r="CY12" s="309" t="n"/>
      <c r="CZ12" s="309" t="n"/>
      <c r="DA12" s="309" t="n"/>
      <c r="DB12" s="309" t="n"/>
      <c r="DC12" s="309" t="n"/>
      <c r="DD12" s="309" t="n"/>
      <c r="DE12" s="309" t="n"/>
      <c r="DF12" s="309" t="n"/>
      <c r="DG12" s="309" t="n"/>
      <c r="DH12" s="309" t="n"/>
      <c r="DI12" s="309" t="n"/>
      <c r="DJ12" s="309" t="n"/>
      <c r="DK12" s="309" t="n"/>
      <c r="DL12" s="309" t="n"/>
      <c r="DM12" s="309" t="n"/>
      <c r="DN12" s="309" t="n"/>
      <c r="DO12" s="309" t="n"/>
      <c r="DP12" s="309" t="n"/>
      <c r="DQ12" s="309" t="n"/>
      <c r="DR12" s="309" t="n"/>
      <c r="DS12" s="309" t="n"/>
      <c r="DT12" s="309" t="n"/>
      <c r="DU12" s="309" t="n"/>
      <c r="DV12" s="309" t="n"/>
      <c r="DW12" s="309" t="n"/>
      <c r="DX12" s="309" t="n"/>
      <c r="DY12" s="309" t="n"/>
      <c r="DZ12" s="309" t="n"/>
      <c r="EA12" s="309" t="n"/>
      <c r="EB12" s="309" t="n"/>
      <c r="EC12" s="309" t="n"/>
      <c r="ED12" s="309" t="n"/>
      <c r="EE12" s="309" t="n"/>
      <c r="EF12" s="309" t="n"/>
      <c r="EG12" s="309" t="n"/>
      <c r="EH12" s="309" t="n"/>
      <c r="EI12" s="309" t="n"/>
      <c r="EJ12" s="309" t="n"/>
      <c r="EK12" s="309" t="n"/>
      <c r="EL12" s="309" t="n"/>
      <c r="EM12" s="309" t="n"/>
      <c r="EN12" s="309" t="n"/>
      <c r="EO12" s="309" t="n"/>
      <c r="EP12" s="309" t="n"/>
      <c r="EQ12" s="309" t="n"/>
      <c r="ER12" s="309" t="n"/>
      <c r="ES12" s="309" t="n"/>
      <c r="ET12" s="309" t="n"/>
      <c r="EU12" s="309" t="n"/>
      <c r="EV12" s="309" t="n"/>
      <c r="EW12" s="309" t="n"/>
      <c r="EX12" s="309" t="n"/>
      <c r="EY12" s="309" t="n"/>
      <c r="EZ12" s="309" t="n"/>
      <c r="FA12" s="309" t="n"/>
      <c r="FB12" s="309" t="n"/>
      <c r="FC12" s="309" t="n"/>
      <c r="FD12" s="309" t="n"/>
      <c r="FE12" s="309" t="n"/>
      <c r="FF12" s="309" t="n"/>
      <c r="FG12" s="309" t="n"/>
      <c r="FH12" s="309" t="n"/>
      <c r="FI12" s="309" t="n"/>
      <c r="FJ12" s="309" t="n"/>
      <c r="FK12" s="309" t="n"/>
      <c r="FL12" s="309" t="n"/>
      <c r="FM12" s="309" t="n"/>
      <c r="FN12" s="309" t="n"/>
      <c r="FO12" s="309" t="n"/>
      <c r="FP12" s="309" t="n"/>
      <c r="FQ12" s="309" t="n"/>
      <c r="FR12" s="309" t="n"/>
      <c r="FS12" s="309" t="n"/>
      <c r="FT12" s="309" t="n"/>
      <c r="FU12" s="309" t="n"/>
      <c r="FV12" s="309" t="n"/>
      <c r="FW12" s="309" t="n"/>
      <c r="FX12" s="309" t="n"/>
      <c r="FY12" s="309" t="n"/>
      <c r="FZ12" s="306" t="n"/>
    </row>
    <row r="13" ht="15" customHeight="1" s="307">
      <c r="A13" s="322" t="inlineStr">
        <is>
          <t>Revenue</t>
        </is>
      </c>
      <c r="B13" s="465" t="n">
        <v>0</v>
      </c>
      <c r="C13" s="465" t="n">
        <v>0</v>
      </c>
      <c r="D13" s="465" t="n">
        <v>0</v>
      </c>
      <c r="E13" s="465" t="n">
        <v>2.1333</v>
      </c>
      <c r="F13" s="465" t="n">
        <v>2.1046</v>
      </c>
      <c r="G13" s="465" t="n">
        <v>2.0763</v>
      </c>
      <c r="H13" s="465" t="n">
        <v>4.3151</v>
      </c>
      <c r="I13" s="465" t="n">
        <v>4.257</v>
      </c>
      <c r="J13" s="465" t="n">
        <v>4.1997</v>
      </c>
      <c r="K13" s="465" t="n">
        <v>6.6516</v>
      </c>
      <c r="L13" s="465" t="n">
        <v>6.5621</v>
      </c>
      <c r="M13" s="465" t="n">
        <v>8.640499999999999</v>
      </c>
      <c r="N13" s="466" t="n">
        <v>8.5243</v>
      </c>
      <c r="O13" s="466" t="n">
        <v>8.409599999999999</v>
      </c>
      <c r="P13" s="466" t="n">
        <v>8.2965</v>
      </c>
      <c r="Q13" s="466" t="n">
        <v>10.3015</v>
      </c>
      <c r="R13" s="466" t="n">
        <v>10.163</v>
      </c>
      <c r="S13" s="466" t="n">
        <v>10.0263</v>
      </c>
      <c r="T13" s="466" t="n">
        <v>9.891400000000001</v>
      </c>
      <c r="U13" s="466" t="n">
        <v>9.7583</v>
      </c>
      <c r="V13" s="466" t="n">
        <v>9.6271</v>
      </c>
      <c r="W13" s="466" t="n">
        <v>9.4976</v>
      </c>
      <c r="X13" s="466" t="n">
        <v>9.3698</v>
      </c>
      <c r="Y13" s="466" t="n">
        <v>9.2438</v>
      </c>
      <c r="Z13" s="465" t="n">
        <v>9.119400000000001</v>
      </c>
      <c r="AA13" s="465" t="n">
        <v>8.996700000000001</v>
      </c>
      <c r="AB13" s="465" t="n">
        <v>8.8757</v>
      </c>
      <c r="AC13" s="465" t="n">
        <v>8.7563</v>
      </c>
      <c r="AD13" s="465" t="n">
        <v>8.638500000000001</v>
      </c>
      <c r="AE13" s="465" t="n">
        <v>8.5223</v>
      </c>
      <c r="AF13" s="465" t="n">
        <v>8.4077</v>
      </c>
      <c r="AG13" s="465" t="n">
        <v>8.294600000000001</v>
      </c>
      <c r="AH13" s="465" t="n">
        <v>8.183</v>
      </c>
      <c r="AI13" s="465" t="n">
        <v>8.072900000000001</v>
      </c>
      <c r="AJ13" s="465" t="n">
        <v>7.9643</v>
      </c>
      <c r="AK13" s="465" t="n">
        <v>7.8572</v>
      </c>
      <c r="AL13" s="466" t="n">
        <v>7.7515</v>
      </c>
      <c r="AM13" s="466" t="n">
        <v>7.6472</v>
      </c>
      <c r="AN13" s="466" t="n">
        <v>7.5444</v>
      </c>
      <c r="AO13" s="466" t="n">
        <v>7.4429</v>
      </c>
      <c r="AP13" s="466" t="n">
        <v>7.3427</v>
      </c>
      <c r="AQ13" s="466" t="n">
        <v>7.244</v>
      </c>
      <c r="AR13" s="466" t="n">
        <v>7.1465</v>
      </c>
      <c r="AS13" s="466" t="n">
        <v>7.0504</v>
      </c>
      <c r="AT13" s="466" t="n">
        <v>6.9555</v>
      </c>
      <c r="AU13" s="466" t="n">
        <v>6.862</v>
      </c>
      <c r="AV13" s="466" t="n">
        <v>6.7697</v>
      </c>
      <c r="AW13" s="466" t="n">
        <v>6.6786</v>
      </c>
      <c r="AX13" s="465" t="n">
        <v>6.5888</v>
      </c>
      <c r="AY13" s="465" t="n">
        <v>6.5001</v>
      </c>
      <c r="AZ13" s="465" t="n">
        <v>6.4127</v>
      </c>
      <c r="BA13" s="465" t="n">
        <v>6.3264</v>
      </c>
      <c r="BB13" s="465" t="n">
        <v>6.2413</v>
      </c>
      <c r="BC13" s="465" t="n">
        <v>6.1574</v>
      </c>
      <c r="BD13" s="465" t="n">
        <v>6.0745</v>
      </c>
      <c r="BE13" s="465" t="n">
        <v>5.9928</v>
      </c>
      <c r="BF13" s="465" t="n">
        <v>5.9122</v>
      </c>
      <c r="BG13" s="465" t="n">
        <v>5.8327</v>
      </c>
      <c r="BH13" s="465" t="n">
        <v>5.7542</v>
      </c>
      <c r="BI13" s="465" t="n">
        <v>5.6768</v>
      </c>
      <c r="BJ13" s="466" t="n">
        <v>5.6005</v>
      </c>
      <c r="BK13" s="466" t="n">
        <v>5.5251</v>
      </c>
      <c r="BL13" s="466" t="n">
        <v>5.4508</v>
      </c>
      <c r="BM13" s="466" t="n">
        <v>5.3775</v>
      </c>
      <c r="BN13" s="466" t="n">
        <v>5.3051</v>
      </c>
      <c r="BO13" s="466" t="n">
        <v>5.2338</v>
      </c>
      <c r="BP13" s="466" t="n">
        <v>5.1634</v>
      </c>
      <c r="BQ13" s="466" t="n">
        <v>5.0939</v>
      </c>
      <c r="BR13" s="466" t="n">
        <v>5.0254</v>
      </c>
      <c r="BS13" s="466" t="n">
        <v>4.9578</v>
      </c>
      <c r="BT13" s="466" t="n">
        <v>4.8911</v>
      </c>
      <c r="BU13" s="466" t="n">
        <v>4.8253</v>
      </c>
      <c r="BV13" s="465" t="n">
        <v>4.7604</v>
      </c>
      <c r="BW13" s="465" t="n">
        <v>4.6963</v>
      </c>
      <c r="BX13" s="465" t="n">
        <v>4.6332</v>
      </c>
      <c r="BY13" s="465" t="n">
        <v>4.5708</v>
      </c>
      <c r="BZ13" s="465" t="n">
        <v>4.5094</v>
      </c>
      <c r="CA13" s="465" t="n">
        <v>4.4487</v>
      </c>
      <c r="CB13" s="465" t="n">
        <v>4.3889</v>
      </c>
      <c r="CC13" s="465" t="n">
        <v>4.3298</v>
      </c>
      <c r="CD13" s="465" t="n">
        <v>4.2716</v>
      </c>
      <c r="CE13" s="465" t="n">
        <v>4.2141</v>
      </c>
      <c r="CF13" s="465" t="n">
        <v>4.1574</v>
      </c>
      <c r="CG13" s="465" t="n">
        <v>4.1015</v>
      </c>
      <c r="CH13" s="466" t="n">
        <v>4.0463</v>
      </c>
      <c r="CI13" s="466" t="n">
        <v>3.9919</v>
      </c>
      <c r="CJ13" s="466" t="n">
        <v>3.9382</v>
      </c>
      <c r="CK13" s="466" t="n">
        <v>3.8852</v>
      </c>
      <c r="CL13" s="466" t="n">
        <v>3.833</v>
      </c>
      <c r="CM13" s="466" t="n">
        <v>3.7814</v>
      </c>
      <c r="CN13" s="466" t="n">
        <v>3.7305</v>
      </c>
      <c r="CO13" s="466" t="n">
        <v>3.6803</v>
      </c>
      <c r="CP13" s="466" t="n">
        <v>3.6308</v>
      </c>
      <c r="CQ13" s="466" t="n">
        <v>3.582</v>
      </c>
      <c r="CR13" s="466" t="n">
        <v>3.5338</v>
      </c>
      <c r="CS13" s="466" t="n">
        <v>3.4863</v>
      </c>
      <c r="CT13" s="465" t="n">
        <v>3.4394</v>
      </c>
      <c r="CU13" s="465" t="n">
        <v>3.3931</v>
      </c>
      <c r="CV13" s="465" t="n">
        <v>3.3475</v>
      </c>
      <c r="CW13" s="465" t="n">
        <v>3.3024</v>
      </c>
      <c r="CX13" s="465" t="n">
        <v>3.258</v>
      </c>
      <c r="CY13" s="465" t="n">
        <v>3.2142</v>
      </c>
      <c r="CZ13" s="465" t="n">
        <v>3.171</v>
      </c>
      <c r="DA13" s="465" t="n">
        <v>3.1283</v>
      </c>
      <c r="DB13" s="465" t="n">
        <v>3.0862</v>
      </c>
      <c r="DC13" s="465" t="n">
        <v>3.0447</v>
      </c>
      <c r="DD13" s="465" t="n">
        <v>3.0037</v>
      </c>
      <c r="DE13" s="465" t="n">
        <v>2.9633</v>
      </c>
      <c r="DF13" s="466" t="n">
        <v>2.9235</v>
      </c>
      <c r="DG13" s="466" t="n">
        <v>2.8841</v>
      </c>
      <c r="DH13" s="466" t="n">
        <v>2.8453</v>
      </c>
      <c r="DI13" s="466" t="n">
        <v>2.8071</v>
      </c>
      <c r="DJ13" s="466" t="n">
        <v>2.7693</v>
      </c>
      <c r="DK13" s="466" t="n">
        <v>2.7321</v>
      </c>
      <c r="DL13" s="466" t="n">
        <v>2.6953</v>
      </c>
      <c r="DM13" s="466" t="n">
        <v>2.6591</v>
      </c>
      <c r="DN13" s="466" t="n">
        <v>2.6233</v>
      </c>
      <c r="DO13" s="466" t="n">
        <v>2.588</v>
      </c>
      <c r="DP13" s="466" t="n">
        <v>2.5532</v>
      </c>
      <c r="DQ13" s="466" t="n">
        <v>2.5188</v>
      </c>
      <c r="DR13" s="465" t="n">
        <v>2.485</v>
      </c>
      <c r="DS13" s="465" t="n">
        <v>2.4515</v>
      </c>
      <c r="DT13" s="465" t="n">
        <v>2.4185</v>
      </c>
      <c r="DU13" s="465" t="n">
        <v>2.386</v>
      </c>
      <c r="DV13" s="465" t="n">
        <v>2.3539</v>
      </c>
      <c r="DW13" s="465" t="n">
        <v>2.3223</v>
      </c>
      <c r="DX13" s="465" t="n">
        <v>2.291</v>
      </c>
      <c r="DY13" s="465" t="n">
        <v>2.2602</v>
      </c>
      <c r="DZ13" s="465" t="n">
        <v>2.2298</v>
      </c>
      <c r="EA13" s="465" t="n">
        <v>2.1998</v>
      </c>
      <c r="EB13" s="465" t="n">
        <v>2.1702</v>
      </c>
      <c r="EC13" s="465" t="n">
        <v>2.141</v>
      </c>
      <c r="ED13" s="466" t="n">
        <v>2.1122</v>
      </c>
      <c r="EE13" s="466" t="n">
        <v>2.0838</v>
      </c>
      <c r="EF13" s="466" t="n">
        <v>2.0558</v>
      </c>
      <c r="EG13" s="466" t="n">
        <v>2.0281</v>
      </c>
      <c r="EH13" s="466" t="n">
        <v>2.0008</v>
      </c>
      <c r="EI13" s="466" t="n">
        <v>1.9739</v>
      </c>
      <c r="EJ13" s="466" t="n">
        <v>1.9474</v>
      </c>
      <c r="EK13" s="466" t="n">
        <v>1.9212</v>
      </c>
      <c r="EL13" s="466" t="n">
        <v>1.8953</v>
      </c>
      <c r="EM13" s="466" t="n">
        <v>1.8698</v>
      </c>
      <c r="EN13" s="466" t="n">
        <v>1.8447</v>
      </c>
      <c r="EO13" s="466" t="n">
        <v>1.8199</v>
      </c>
      <c r="EP13" s="465" t="n">
        <v>1.7954</v>
      </c>
      <c r="EQ13" s="465" t="n">
        <v>1.7712</v>
      </c>
      <c r="ER13" s="465" t="n">
        <v>1.7474</v>
      </c>
      <c r="ES13" s="465" t="n">
        <v>1.7239</v>
      </c>
      <c r="ET13" s="465" t="n">
        <v>1.7007</v>
      </c>
      <c r="EU13" s="465" t="n">
        <v>1.6778</v>
      </c>
      <c r="EV13" s="465" t="n">
        <v>1.6553</v>
      </c>
      <c r="EW13" s="465" t="n">
        <v>1.633</v>
      </c>
      <c r="EX13" s="465" t="n">
        <v>1.611</v>
      </c>
      <c r="EY13" s="465" t="n">
        <v>1.5894</v>
      </c>
      <c r="EZ13" s="465" t="n">
        <v>1.568</v>
      </c>
      <c r="FA13" s="465" t="n">
        <v>1.5469</v>
      </c>
      <c r="FB13" s="466" t="n">
        <v>1.5261</v>
      </c>
      <c r="FC13" s="466" t="n">
        <v>1.5055</v>
      </c>
      <c r="FD13" s="466" t="n">
        <v>1.4853</v>
      </c>
      <c r="FE13" s="466" t="n">
        <v>1.4653</v>
      </c>
      <c r="FF13" s="466" t="n">
        <v>1.4456</v>
      </c>
      <c r="FG13" s="466" t="n">
        <v>1.4262</v>
      </c>
      <c r="FH13" s="466" t="n">
        <v>1.407</v>
      </c>
      <c r="FI13" s="466" t="n">
        <v>1.388</v>
      </c>
      <c r="FJ13" s="466" t="n">
        <v>1.3694</v>
      </c>
      <c r="FK13" s="466" t="n">
        <v>1.3509</v>
      </c>
      <c r="FL13" s="466" t="n">
        <v>1.3328</v>
      </c>
      <c r="FM13" s="466" t="n">
        <v>1.3148</v>
      </c>
      <c r="FN13" s="465" t="n">
        <v>1.2972</v>
      </c>
      <c r="FO13" s="465" t="n">
        <v>1.2797</v>
      </c>
      <c r="FP13" s="465" t="n">
        <v>1.2625</v>
      </c>
      <c r="FQ13" s="465" t="n">
        <v>1.2455</v>
      </c>
      <c r="FR13" s="465" t="n">
        <v>1.2288</v>
      </c>
      <c r="FS13" s="465" t="n">
        <v>1.2122</v>
      </c>
      <c r="FT13" s="465" t="n">
        <v>1.1959</v>
      </c>
      <c r="FU13" s="465" t="n">
        <v>1.1798</v>
      </c>
      <c r="FV13" s="465" t="n">
        <v>1.164</v>
      </c>
      <c r="FW13" s="465" t="n">
        <v>1.1483</v>
      </c>
      <c r="FX13" s="465" t="n">
        <v>1.1329</v>
      </c>
      <c r="FY13" s="465" t="n">
        <v>1.1176</v>
      </c>
      <c r="FZ13" s="306" t="n"/>
    </row>
    <row r="14" ht="15" customHeight="1" s="307">
      <c r="A14" s="321" t="inlineStr">
        <is>
          <t xml:space="preserve">    Cost of Goods Sold</t>
        </is>
      </c>
      <c r="B14" s="458" t="n">
        <v>0</v>
      </c>
      <c r="C14" s="458" t="n">
        <v>0</v>
      </c>
      <c r="D14" s="458" t="n">
        <v>0</v>
      </c>
      <c r="E14" s="458" t="n">
        <v>0.5333</v>
      </c>
      <c r="F14" s="458" t="n">
        <v>0.4735</v>
      </c>
      <c r="G14" s="458" t="n">
        <v>0.4153</v>
      </c>
      <c r="H14" s="458" t="n">
        <v>0.9251</v>
      </c>
      <c r="I14" s="458" t="n">
        <v>0.8063</v>
      </c>
      <c r="J14" s="458" t="n">
        <v>0.6904</v>
      </c>
      <c r="K14" s="458" t="n">
        <v>1.2046</v>
      </c>
      <c r="L14" s="458" t="n">
        <v>1.0729</v>
      </c>
      <c r="M14" s="458" t="n">
        <v>1.4861</v>
      </c>
      <c r="N14" s="459" t="n">
        <v>1.3003</v>
      </c>
      <c r="O14" s="459" t="n">
        <v>1.1706</v>
      </c>
      <c r="P14" s="459" t="n">
        <v>1.0443</v>
      </c>
      <c r="Q14" s="459" t="n">
        <v>1.4503</v>
      </c>
      <c r="R14" s="459" t="n">
        <v>1.3279</v>
      </c>
      <c r="S14" s="459" t="n">
        <v>1.2086</v>
      </c>
      <c r="T14" s="459" t="n">
        <v>1.1416</v>
      </c>
      <c r="U14" s="459" t="n">
        <v>1.0761</v>
      </c>
      <c r="V14" s="459" t="n">
        <v>1.0122</v>
      </c>
      <c r="W14" s="459" t="n">
        <v>0.9498</v>
      </c>
      <c r="X14" s="459" t="n">
        <v>0.9370000000000001</v>
      </c>
      <c r="Y14" s="459" t="n">
        <v>0.9244</v>
      </c>
      <c r="Z14" s="458" t="n">
        <v>0.9119</v>
      </c>
      <c r="AA14" s="458" t="n">
        <v>0.8997000000000001</v>
      </c>
      <c r="AB14" s="458" t="n">
        <v>0.8875999999999999</v>
      </c>
      <c r="AC14" s="458" t="n">
        <v>0.8756</v>
      </c>
      <c r="AD14" s="458" t="n">
        <v>0.8639</v>
      </c>
      <c r="AE14" s="458" t="n">
        <v>0.8522</v>
      </c>
      <c r="AF14" s="458" t="n">
        <v>0.8408</v>
      </c>
      <c r="AG14" s="458" t="n">
        <v>0.8295</v>
      </c>
      <c r="AH14" s="458" t="n">
        <v>0.8183</v>
      </c>
      <c r="AI14" s="458" t="n">
        <v>0.8073</v>
      </c>
      <c r="AJ14" s="458" t="n">
        <v>0.7964</v>
      </c>
      <c r="AK14" s="458" t="n">
        <v>0.7857</v>
      </c>
      <c r="AL14" s="459" t="n">
        <v>0.7751</v>
      </c>
      <c r="AM14" s="459" t="n">
        <v>0.7647</v>
      </c>
      <c r="AN14" s="459" t="n">
        <v>0.7544</v>
      </c>
      <c r="AO14" s="459" t="n">
        <v>0.7443</v>
      </c>
      <c r="AP14" s="459" t="n">
        <v>0.7343</v>
      </c>
      <c r="AQ14" s="459" t="n">
        <v>0.7244</v>
      </c>
      <c r="AR14" s="459" t="n">
        <v>0.7147</v>
      </c>
      <c r="AS14" s="459" t="n">
        <v>0.705</v>
      </c>
      <c r="AT14" s="459" t="n">
        <v>0.6956</v>
      </c>
      <c r="AU14" s="459" t="n">
        <v>0.6862</v>
      </c>
      <c r="AV14" s="459" t="n">
        <v>0.677</v>
      </c>
      <c r="AW14" s="459" t="n">
        <v>0.6679</v>
      </c>
      <c r="AX14" s="458" t="n">
        <v>0.6589</v>
      </c>
      <c r="AY14" s="458" t="n">
        <v>0.65</v>
      </c>
      <c r="AZ14" s="458" t="n">
        <v>0.6413</v>
      </c>
      <c r="BA14" s="458" t="n">
        <v>0.6326000000000001</v>
      </c>
      <c r="BB14" s="458" t="n">
        <v>0.6241</v>
      </c>
      <c r="BC14" s="458" t="n">
        <v>0.6157</v>
      </c>
      <c r="BD14" s="458" t="n">
        <v>0.6075</v>
      </c>
      <c r="BE14" s="458" t="n">
        <v>0.5993000000000001</v>
      </c>
      <c r="BF14" s="458" t="n">
        <v>0.5911999999999999</v>
      </c>
      <c r="BG14" s="458" t="n">
        <v>0.5833</v>
      </c>
      <c r="BH14" s="458" t="n">
        <v>0.5754</v>
      </c>
      <c r="BI14" s="458" t="n">
        <v>0.5677</v>
      </c>
      <c r="BJ14" s="459" t="n">
        <v>0.5600000000000001</v>
      </c>
      <c r="BK14" s="459" t="n">
        <v>0.5525</v>
      </c>
      <c r="BL14" s="459" t="n">
        <v>0.5451</v>
      </c>
      <c r="BM14" s="459" t="n">
        <v>0.5377</v>
      </c>
      <c r="BN14" s="459" t="n">
        <v>0.5305</v>
      </c>
      <c r="BO14" s="459" t="n">
        <v>0.5234</v>
      </c>
      <c r="BP14" s="459" t="n">
        <v>0.5163</v>
      </c>
      <c r="BQ14" s="459" t="n">
        <v>0.5094</v>
      </c>
      <c r="BR14" s="459" t="n">
        <v>0.5024999999999999</v>
      </c>
      <c r="BS14" s="459" t="n">
        <v>0.4958</v>
      </c>
      <c r="BT14" s="459" t="n">
        <v>0.4891</v>
      </c>
      <c r="BU14" s="459" t="n">
        <v>0.4825</v>
      </c>
      <c r="BV14" s="458" t="n">
        <v>0.476</v>
      </c>
      <c r="BW14" s="458" t="n">
        <v>0.4696</v>
      </c>
      <c r="BX14" s="458" t="n">
        <v>0.4633</v>
      </c>
      <c r="BY14" s="458" t="n">
        <v>0.4571</v>
      </c>
      <c r="BZ14" s="458" t="n">
        <v>0.4509</v>
      </c>
      <c r="CA14" s="458" t="n">
        <v>0.4449</v>
      </c>
      <c r="CB14" s="458" t="n">
        <v>0.4389</v>
      </c>
      <c r="CC14" s="458" t="n">
        <v>0.433</v>
      </c>
      <c r="CD14" s="458" t="n">
        <v>0.4272</v>
      </c>
      <c r="CE14" s="458" t="n">
        <v>0.4214</v>
      </c>
      <c r="CF14" s="458" t="n">
        <v>0.4157</v>
      </c>
      <c r="CG14" s="458" t="n">
        <v>0.4102</v>
      </c>
      <c r="CH14" s="459" t="n">
        <v>0.4046</v>
      </c>
      <c r="CI14" s="459" t="n">
        <v>0.3992</v>
      </c>
      <c r="CJ14" s="459" t="n">
        <v>0.3938</v>
      </c>
      <c r="CK14" s="459" t="n">
        <v>0.3885</v>
      </c>
      <c r="CL14" s="459" t="n">
        <v>0.3833</v>
      </c>
      <c r="CM14" s="459" t="n">
        <v>0.3781</v>
      </c>
      <c r="CN14" s="459" t="n">
        <v>0.3731</v>
      </c>
      <c r="CO14" s="459" t="n">
        <v>0.368</v>
      </c>
      <c r="CP14" s="459" t="n">
        <v>0.3631</v>
      </c>
      <c r="CQ14" s="459" t="n">
        <v>0.3582</v>
      </c>
      <c r="CR14" s="459" t="n">
        <v>0.3534</v>
      </c>
      <c r="CS14" s="459" t="n">
        <v>0.3486</v>
      </c>
      <c r="CT14" s="458" t="n">
        <v>0.3439</v>
      </c>
      <c r="CU14" s="458" t="n">
        <v>0.3393</v>
      </c>
      <c r="CV14" s="458" t="n">
        <v>0.3347</v>
      </c>
      <c r="CW14" s="458" t="n">
        <v>0.3302</v>
      </c>
      <c r="CX14" s="458" t="n">
        <v>0.3258</v>
      </c>
      <c r="CY14" s="458" t="n">
        <v>0.3214</v>
      </c>
      <c r="CZ14" s="458" t="n">
        <v>0.3171</v>
      </c>
      <c r="DA14" s="458" t="n">
        <v>0.3128</v>
      </c>
      <c r="DB14" s="458" t="n">
        <v>0.3086</v>
      </c>
      <c r="DC14" s="458" t="n">
        <v>0.3045</v>
      </c>
      <c r="DD14" s="458" t="n">
        <v>0.3004</v>
      </c>
      <c r="DE14" s="458" t="n">
        <v>0.2963</v>
      </c>
      <c r="DF14" s="459" t="n">
        <v>0.2923</v>
      </c>
      <c r="DG14" s="459" t="n">
        <v>0.2884</v>
      </c>
      <c r="DH14" s="459" t="n">
        <v>0.2845</v>
      </c>
      <c r="DI14" s="459" t="n">
        <v>0.2807</v>
      </c>
      <c r="DJ14" s="459" t="n">
        <v>0.2769</v>
      </c>
      <c r="DK14" s="459" t="n">
        <v>0.2732</v>
      </c>
      <c r="DL14" s="459" t="n">
        <v>0.2695</v>
      </c>
      <c r="DM14" s="459" t="n">
        <v>0.2659</v>
      </c>
      <c r="DN14" s="459" t="n">
        <v>0.2623</v>
      </c>
      <c r="DO14" s="459" t="n">
        <v>0.2588</v>
      </c>
      <c r="DP14" s="459" t="n">
        <v>0.2553</v>
      </c>
      <c r="DQ14" s="459" t="n">
        <v>0.2519</v>
      </c>
      <c r="DR14" s="458" t="n">
        <v>0.2485</v>
      </c>
      <c r="DS14" s="458" t="n">
        <v>0.2452</v>
      </c>
      <c r="DT14" s="458" t="n">
        <v>0.2419</v>
      </c>
      <c r="DU14" s="458" t="n">
        <v>0.2386</v>
      </c>
      <c r="DV14" s="458" t="n">
        <v>0.2354</v>
      </c>
      <c r="DW14" s="458" t="n">
        <v>0.2322</v>
      </c>
      <c r="DX14" s="458" t="n">
        <v>0.2291</v>
      </c>
      <c r="DY14" s="458" t="n">
        <v>0.226</v>
      </c>
      <c r="DZ14" s="458" t="n">
        <v>0.223</v>
      </c>
      <c r="EA14" s="458" t="n">
        <v>0.22</v>
      </c>
      <c r="EB14" s="458" t="n">
        <v>0.217</v>
      </c>
      <c r="EC14" s="458" t="n">
        <v>0.2141</v>
      </c>
      <c r="ED14" s="459" t="n">
        <v>0.2112</v>
      </c>
      <c r="EE14" s="459" t="n">
        <v>0.2084</v>
      </c>
      <c r="EF14" s="459" t="n">
        <v>0.2056</v>
      </c>
      <c r="EG14" s="459" t="n">
        <v>0.2028</v>
      </c>
      <c r="EH14" s="459" t="n">
        <v>0.2001</v>
      </c>
      <c r="EI14" s="459" t="n">
        <v>0.1974</v>
      </c>
      <c r="EJ14" s="459" t="n">
        <v>0.1947</v>
      </c>
      <c r="EK14" s="459" t="n">
        <v>0.1921</v>
      </c>
      <c r="EL14" s="459" t="n">
        <v>0.1895</v>
      </c>
      <c r="EM14" s="459" t="n">
        <v>0.187</v>
      </c>
      <c r="EN14" s="459" t="n">
        <v>0.1845</v>
      </c>
      <c r="EO14" s="459" t="n">
        <v>0.182</v>
      </c>
      <c r="EP14" s="458" t="n">
        <v>0.1795</v>
      </c>
      <c r="EQ14" s="458" t="n">
        <v>0.1771</v>
      </c>
      <c r="ER14" s="458" t="n">
        <v>0.1747</v>
      </c>
      <c r="ES14" s="458" t="n">
        <v>0.1724</v>
      </c>
      <c r="ET14" s="458" t="n">
        <v>0.1701</v>
      </c>
      <c r="EU14" s="458" t="n">
        <v>0.1678</v>
      </c>
      <c r="EV14" s="458" t="n">
        <v>0.1655</v>
      </c>
      <c r="EW14" s="458" t="n">
        <v>0.1633</v>
      </c>
      <c r="EX14" s="458" t="n">
        <v>0.1611</v>
      </c>
      <c r="EY14" s="458" t="n">
        <v>0.1589</v>
      </c>
      <c r="EZ14" s="458" t="n">
        <v>0.1568</v>
      </c>
      <c r="FA14" s="458" t="n">
        <v>0.1547</v>
      </c>
      <c r="FB14" s="459" t="n">
        <v>0.1526</v>
      </c>
      <c r="FC14" s="459" t="n">
        <v>0.1506</v>
      </c>
      <c r="FD14" s="459" t="n">
        <v>0.1485</v>
      </c>
      <c r="FE14" s="459" t="n">
        <v>0.1465</v>
      </c>
      <c r="FF14" s="459" t="n">
        <v>0.1446</v>
      </c>
      <c r="FG14" s="459" t="n">
        <v>0.1426</v>
      </c>
      <c r="FH14" s="459" t="n">
        <v>0.1407</v>
      </c>
      <c r="FI14" s="459" t="n">
        <v>0.1388</v>
      </c>
      <c r="FJ14" s="459" t="n">
        <v>0.1369</v>
      </c>
      <c r="FK14" s="459" t="n">
        <v>0.1351</v>
      </c>
      <c r="FL14" s="459" t="n">
        <v>0.1333</v>
      </c>
      <c r="FM14" s="459" t="n">
        <v>0.1315</v>
      </c>
      <c r="FN14" s="458" t="n">
        <v>0.1297</v>
      </c>
      <c r="FO14" s="458" t="n">
        <v>0.128</v>
      </c>
      <c r="FP14" s="458" t="n">
        <v>0.1262</v>
      </c>
      <c r="FQ14" s="458" t="n">
        <v>0.1246</v>
      </c>
      <c r="FR14" s="458" t="n">
        <v>0.1229</v>
      </c>
      <c r="FS14" s="458" t="n">
        <v>0.1212</v>
      </c>
      <c r="FT14" s="458" t="n">
        <v>0.1196</v>
      </c>
      <c r="FU14" s="458" t="n">
        <v>0.118</v>
      </c>
      <c r="FV14" s="458" t="n">
        <v>0.1164</v>
      </c>
      <c r="FW14" s="458" t="n">
        <v>0.1148</v>
      </c>
      <c r="FX14" s="458" t="n">
        <v>0.1133</v>
      </c>
      <c r="FY14" s="458" t="n">
        <v>0.1118</v>
      </c>
      <c r="FZ14" s="306" t="n"/>
    </row>
    <row r="15" ht="15" customHeight="1" s="307">
      <c r="A15" s="468" t="inlineStr">
        <is>
          <t>Gross Profit</t>
        </is>
      </c>
      <c r="B15" s="469" t="n">
        <v>0</v>
      </c>
      <c r="C15" s="469" t="n">
        <v>0</v>
      </c>
      <c r="D15" s="469" t="n">
        <v>0</v>
      </c>
      <c r="E15" s="469" t="n">
        <v>1.6</v>
      </c>
      <c r="F15" s="469" t="n">
        <v>1.6311</v>
      </c>
      <c r="G15" s="469" t="n">
        <v>1.6611</v>
      </c>
      <c r="H15" s="469" t="n">
        <v>3.3899</v>
      </c>
      <c r="I15" s="469" t="n">
        <v>3.4507</v>
      </c>
      <c r="J15" s="469" t="n">
        <v>3.5093</v>
      </c>
      <c r="K15" s="469" t="n">
        <v>5.4469</v>
      </c>
      <c r="L15" s="469" t="n">
        <v>5.4892</v>
      </c>
      <c r="M15" s="469" t="n">
        <v>7.1544</v>
      </c>
      <c r="N15" s="470" t="n">
        <v>7.224</v>
      </c>
      <c r="O15" s="470" t="n">
        <v>7.239</v>
      </c>
      <c r="P15" s="470" t="n">
        <v>7.2522</v>
      </c>
      <c r="Q15" s="470" t="n">
        <v>8.8513</v>
      </c>
      <c r="R15" s="470" t="n">
        <v>8.835000000000001</v>
      </c>
      <c r="S15" s="470" t="n">
        <v>8.817600000000001</v>
      </c>
      <c r="T15" s="470" t="n">
        <v>8.7498</v>
      </c>
      <c r="U15" s="470" t="n">
        <v>8.6822</v>
      </c>
      <c r="V15" s="470" t="n">
        <v>8.6149</v>
      </c>
      <c r="W15" s="470" t="n">
        <v>8.547800000000001</v>
      </c>
      <c r="X15" s="470" t="n">
        <v>8.4328</v>
      </c>
      <c r="Y15" s="470" t="n">
        <v>8.3194</v>
      </c>
      <c r="Z15" s="469" t="n">
        <v>8.2075</v>
      </c>
      <c r="AA15" s="469" t="n">
        <v>8.097099999999999</v>
      </c>
      <c r="AB15" s="469" t="n">
        <v>7.9881</v>
      </c>
      <c r="AC15" s="469" t="n">
        <v>7.8807</v>
      </c>
      <c r="AD15" s="469" t="n">
        <v>7.7747</v>
      </c>
      <c r="AE15" s="469" t="n">
        <v>7.6701</v>
      </c>
      <c r="AF15" s="469" t="n">
        <v>7.5669</v>
      </c>
      <c r="AG15" s="469" t="n">
        <v>7.4651</v>
      </c>
      <c r="AH15" s="469" t="n">
        <v>7.3647</v>
      </c>
      <c r="AI15" s="469" t="n">
        <v>7.2656</v>
      </c>
      <c r="AJ15" s="469" t="n">
        <v>7.1679</v>
      </c>
      <c r="AK15" s="469" t="n">
        <v>7.0715</v>
      </c>
      <c r="AL15" s="470" t="n">
        <v>6.9763</v>
      </c>
      <c r="AM15" s="470" t="n">
        <v>6.8825</v>
      </c>
      <c r="AN15" s="470" t="n">
        <v>6.7899</v>
      </c>
      <c r="AO15" s="470" t="n">
        <v>6.6986</v>
      </c>
      <c r="AP15" s="470" t="n">
        <v>6.6085</v>
      </c>
      <c r="AQ15" s="470" t="n">
        <v>6.5196</v>
      </c>
      <c r="AR15" s="470" t="n">
        <v>6.4319</v>
      </c>
      <c r="AS15" s="470" t="n">
        <v>6.3454</v>
      </c>
      <c r="AT15" s="470" t="n">
        <v>6.26</v>
      </c>
      <c r="AU15" s="470" t="n">
        <v>6.1758</v>
      </c>
      <c r="AV15" s="470" t="n">
        <v>6.0927</v>
      </c>
      <c r="AW15" s="470" t="n">
        <v>6.0107</v>
      </c>
      <c r="AX15" s="469" t="n">
        <v>5.9299</v>
      </c>
      <c r="AY15" s="469" t="n">
        <v>5.8501</v>
      </c>
      <c r="AZ15" s="469" t="n">
        <v>5.7714</v>
      </c>
      <c r="BA15" s="469" t="n">
        <v>5.6938</v>
      </c>
      <c r="BB15" s="469" t="n">
        <v>5.6172</v>
      </c>
      <c r="BC15" s="469" t="n">
        <v>5.5416</v>
      </c>
      <c r="BD15" s="469" t="n">
        <v>5.4671</v>
      </c>
      <c r="BE15" s="469" t="n">
        <v>5.3935</v>
      </c>
      <c r="BF15" s="469" t="n">
        <v>5.321</v>
      </c>
      <c r="BG15" s="469" t="n">
        <v>5.2494</v>
      </c>
      <c r="BH15" s="469" t="n">
        <v>5.1788</v>
      </c>
      <c r="BI15" s="469" t="n">
        <v>5.1091</v>
      </c>
      <c r="BJ15" s="470" t="n">
        <v>5.0404</v>
      </c>
      <c r="BK15" s="470" t="n">
        <v>4.9726</v>
      </c>
      <c r="BL15" s="470" t="n">
        <v>4.9057</v>
      </c>
      <c r="BM15" s="470" t="n">
        <v>4.8397</v>
      </c>
      <c r="BN15" s="470" t="n">
        <v>4.7746</v>
      </c>
      <c r="BO15" s="470" t="n">
        <v>4.7104</v>
      </c>
      <c r="BP15" s="470" t="n">
        <v>4.647</v>
      </c>
      <c r="BQ15" s="470" t="n">
        <v>4.5845</v>
      </c>
      <c r="BR15" s="470" t="n">
        <v>4.5228</v>
      </c>
      <c r="BS15" s="470" t="n">
        <v>4.462</v>
      </c>
      <c r="BT15" s="470" t="n">
        <v>4.402</v>
      </c>
      <c r="BU15" s="470" t="n">
        <v>4.3428</v>
      </c>
      <c r="BV15" s="469" t="n">
        <v>4.2843</v>
      </c>
      <c r="BW15" s="469" t="n">
        <v>4.2267</v>
      </c>
      <c r="BX15" s="469" t="n">
        <v>4.1699</v>
      </c>
      <c r="BY15" s="469" t="n">
        <v>4.1138</v>
      </c>
      <c r="BZ15" s="469" t="n">
        <v>4.0584</v>
      </c>
      <c r="CA15" s="469" t="n">
        <v>4.0038</v>
      </c>
      <c r="CB15" s="469" t="n">
        <v>3.95</v>
      </c>
      <c r="CC15" s="469" t="n">
        <v>3.8968</v>
      </c>
      <c r="CD15" s="469" t="n">
        <v>3.8444</v>
      </c>
      <c r="CE15" s="469" t="n">
        <v>3.7927</v>
      </c>
      <c r="CF15" s="469" t="n">
        <v>3.7417</v>
      </c>
      <c r="CG15" s="469" t="n">
        <v>3.6914</v>
      </c>
      <c r="CH15" s="470" t="n">
        <v>3.6417</v>
      </c>
      <c r="CI15" s="470" t="n">
        <v>3.5927</v>
      </c>
      <c r="CJ15" s="470" t="n">
        <v>3.5444</v>
      </c>
      <c r="CK15" s="470" t="n">
        <v>3.4967</v>
      </c>
      <c r="CL15" s="470" t="n">
        <v>3.4497</v>
      </c>
      <c r="CM15" s="470" t="n">
        <v>3.4033</v>
      </c>
      <c r="CN15" s="470" t="n">
        <v>3.3575</v>
      </c>
      <c r="CO15" s="470" t="n">
        <v>3.3123</v>
      </c>
      <c r="CP15" s="470" t="n">
        <v>3.2678</v>
      </c>
      <c r="CQ15" s="470" t="n">
        <v>3.2238</v>
      </c>
      <c r="CR15" s="470" t="n">
        <v>3.1804</v>
      </c>
      <c r="CS15" s="470" t="n">
        <v>3.1376</v>
      </c>
      <c r="CT15" s="469" t="n">
        <v>3.0954</v>
      </c>
      <c r="CU15" s="469" t="n">
        <v>3.0538</v>
      </c>
      <c r="CV15" s="469" t="n">
        <v>3.0127</v>
      </c>
      <c r="CW15" s="469" t="n">
        <v>2.9722</v>
      </c>
      <c r="CX15" s="469" t="n">
        <v>2.9322</v>
      </c>
      <c r="CY15" s="469" t="n">
        <v>2.8928</v>
      </c>
      <c r="CZ15" s="469" t="n">
        <v>2.8539</v>
      </c>
      <c r="DA15" s="469" t="n">
        <v>2.8155</v>
      </c>
      <c r="DB15" s="469" t="n">
        <v>2.7776</v>
      </c>
      <c r="DC15" s="469" t="n">
        <v>2.7402</v>
      </c>
      <c r="DD15" s="469" t="n">
        <v>2.7034</v>
      </c>
      <c r="DE15" s="469" t="n">
        <v>2.667</v>
      </c>
      <c r="DF15" s="470" t="n">
        <v>2.6311</v>
      </c>
      <c r="DG15" s="470" t="n">
        <v>2.5957</v>
      </c>
      <c r="DH15" s="470" t="n">
        <v>2.5608</v>
      </c>
      <c r="DI15" s="470" t="n">
        <v>2.5264</v>
      </c>
      <c r="DJ15" s="470" t="n">
        <v>2.4924</v>
      </c>
      <c r="DK15" s="470" t="n">
        <v>2.4589</v>
      </c>
      <c r="DL15" s="470" t="n">
        <v>2.4258</v>
      </c>
      <c r="DM15" s="470" t="n">
        <v>2.3931</v>
      </c>
      <c r="DN15" s="470" t="n">
        <v>2.361</v>
      </c>
      <c r="DO15" s="470" t="n">
        <v>2.3292</v>
      </c>
      <c r="DP15" s="470" t="n">
        <v>2.2979</v>
      </c>
      <c r="DQ15" s="470" t="n">
        <v>2.267</v>
      </c>
      <c r="DR15" s="469" t="n">
        <v>2.2365</v>
      </c>
      <c r="DS15" s="469" t="n">
        <v>2.2064</v>
      </c>
      <c r="DT15" s="469" t="n">
        <v>2.1767</v>
      </c>
      <c r="DU15" s="469" t="n">
        <v>2.1474</v>
      </c>
      <c r="DV15" s="469" t="n">
        <v>2.1185</v>
      </c>
      <c r="DW15" s="469" t="n">
        <v>2.09</v>
      </c>
      <c r="DX15" s="469" t="n">
        <v>2.0619</v>
      </c>
      <c r="DY15" s="469" t="n">
        <v>2.0342</v>
      </c>
      <c r="DZ15" s="469" t="n">
        <v>2.0068</v>
      </c>
      <c r="EA15" s="469" t="n">
        <v>1.9798</v>
      </c>
      <c r="EB15" s="469" t="n">
        <v>1.9532</v>
      </c>
      <c r="EC15" s="469" t="n">
        <v>1.9269</v>
      </c>
      <c r="ED15" s="470" t="n">
        <v>1.901</v>
      </c>
      <c r="EE15" s="470" t="n">
        <v>1.8754</v>
      </c>
      <c r="EF15" s="470" t="n">
        <v>1.8502</v>
      </c>
      <c r="EG15" s="470" t="n">
        <v>1.8253</v>
      </c>
      <c r="EH15" s="470" t="n">
        <v>1.8007</v>
      </c>
      <c r="EI15" s="470" t="n">
        <v>1.7765</v>
      </c>
      <c r="EJ15" s="470" t="n">
        <v>1.7526</v>
      </c>
      <c r="EK15" s="470" t="n">
        <v>1.729</v>
      </c>
      <c r="EL15" s="470" t="n">
        <v>1.7058</v>
      </c>
      <c r="EM15" s="470" t="n">
        <v>1.6828</v>
      </c>
      <c r="EN15" s="470" t="n">
        <v>1.6602</v>
      </c>
      <c r="EO15" s="470" t="n">
        <v>1.6379</v>
      </c>
      <c r="EP15" s="469" t="n">
        <v>1.6158</v>
      </c>
      <c r="EQ15" s="469" t="n">
        <v>1.5941</v>
      </c>
      <c r="ER15" s="469" t="n">
        <v>1.5727</v>
      </c>
      <c r="ES15" s="469" t="n">
        <v>1.5515</v>
      </c>
      <c r="ET15" s="469" t="n">
        <v>1.5306</v>
      </c>
      <c r="EU15" s="469" t="n">
        <v>1.51</v>
      </c>
      <c r="EV15" s="469" t="n">
        <v>1.4897</v>
      </c>
      <c r="EW15" s="469" t="n">
        <v>1.4697</v>
      </c>
      <c r="EX15" s="469" t="n">
        <v>1.4499</v>
      </c>
      <c r="EY15" s="469" t="n">
        <v>1.4304</v>
      </c>
      <c r="EZ15" s="469" t="n">
        <v>1.4112</v>
      </c>
      <c r="FA15" s="469" t="n">
        <v>1.3922</v>
      </c>
      <c r="FB15" s="470" t="n">
        <v>1.3735</v>
      </c>
      <c r="FC15" s="470" t="n">
        <v>1.355</v>
      </c>
      <c r="FD15" s="470" t="n">
        <v>1.3368</v>
      </c>
      <c r="FE15" s="470" t="n">
        <v>1.3188</v>
      </c>
      <c r="FF15" s="470" t="n">
        <v>1.301</v>
      </c>
      <c r="FG15" s="470" t="n">
        <v>1.2835</v>
      </c>
      <c r="FH15" s="470" t="n">
        <v>1.2663</v>
      </c>
      <c r="FI15" s="470" t="n">
        <v>1.2492</v>
      </c>
      <c r="FJ15" s="470" t="n">
        <v>1.2324</v>
      </c>
      <c r="FK15" s="470" t="n">
        <v>1.2159</v>
      </c>
      <c r="FL15" s="470" t="n">
        <v>1.1995</v>
      </c>
      <c r="FM15" s="470" t="n">
        <v>1.1834</v>
      </c>
      <c r="FN15" s="469" t="n">
        <v>1.1674</v>
      </c>
      <c r="FO15" s="469" t="n">
        <v>1.1517</v>
      </c>
      <c r="FP15" s="469" t="n">
        <v>1.1362</v>
      </c>
      <c r="FQ15" s="469" t="n">
        <v>1.121</v>
      </c>
      <c r="FR15" s="469" t="n">
        <v>1.1059</v>
      </c>
      <c r="FS15" s="469" t="n">
        <v>1.091</v>
      </c>
      <c r="FT15" s="469" t="n">
        <v>1.0763</v>
      </c>
      <c r="FU15" s="469" t="n">
        <v>1.0619</v>
      </c>
      <c r="FV15" s="469" t="n">
        <v>1.0476</v>
      </c>
      <c r="FW15" s="469" t="n">
        <v>1.0335</v>
      </c>
      <c r="FX15" s="469" t="n">
        <v>1.0196</v>
      </c>
      <c r="FY15" s="469" t="n">
        <v>1.0059</v>
      </c>
      <c r="FZ15" s="306" t="n"/>
    </row>
    <row r="16" ht="15" customHeight="1" s="307">
      <c r="A16" s="312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464" t="n"/>
      <c r="S16" s="464" t="n"/>
      <c r="T16" s="464" t="n"/>
      <c r="U16" s="464" t="n"/>
      <c r="V16" s="464" t="n"/>
      <c r="W16" s="464" t="n"/>
      <c r="X16" s="464" t="n"/>
      <c r="Y16" s="464" t="n"/>
      <c r="Z16" s="464" t="n"/>
      <c r="AA16" s="464" t="n"/>
      <c r="AB16" s="464" t="n"/>
      <c r="AC16" s="464" t="n"/>
      <c r="AD16" s="464" t="n"/>
      <c r="AE16" s="464" t="n"/>
      <c r="AF16" s="464" t="n"/>
      <c r="AG16" s="464" t="n"/>
      <c r="AH16" s="464" t="n"/>
      <c r="AI16" s="464" t="n"/>
      <c r="AJ16" s="464" t="n"/>
      <c r="AK16" s="464" t="n"/>
      <c r="AL16" s="464" t="n"/>
      <c r="AM16" s="464" t="n"/>
      <c r="AN16" s="464" t="n"/>
      <c r="AO16" s="464" t="n"/>
      <c r="AP16" s="464" t="n"/>
      <c r="AQ16" s="464" t="n"/>
      <c r="AR16" s="464" t="n"/>
      <c r="AS16" s="464" t="n"/>
      <c r="AT16" s="464" t="n"/>
      <c r="AU16" s="464" t="n"/>
      <c r="AV16" s="464" t="n"/>
      <c r="AW16" s="464" t="n"/>
      <c r="AX16" s="464" t="n"/>
      <c r="AY16" s="464" t="n"/>
      <c r="AZ16" s="464" t="n"/>
      <c r="BA16" s="464" t="n"/>
      <c r="BB16" s="464" t="n"/>
      <c r="BC16" s="464" t="n"/>
      <c r="BD16" s="464" t="n"/>
      <c r="BE16" s="464" t="n"/>
      <c r="BF16" s="464" t="n"/>
      <c r="BG16" s="464" t="n"/>
      <c r="BH16" s="464" t="n"/>
      <c r="BI16" s="464" t="n"/>
      <c r="BJ16" s="464" t="n"/>
      <c r="BK16" s="464" t="n"/>
      <c r="BL16" s="464" t="n"/>
      <c r="BM16" s="464" t="n"/>
      <c r="BN16" s="464" t="n"/>
      <c r="BO16" s="464" t="n"/>
      <c r="BP16" s="464" t="n"/>
      <c r="BQ16" s="464" t="n"/>
      <c r="BR16" s="464" t="n"/>
      <c r="BS16" s="464" t="n"/>
      <c r="BT16" s="464" t="n"/>
      <c r="BU16" s="464" t="n"/>
      <c r="BV16" s="464" t="n"/>
      <c r="BW16" s="464" t="n"/>
      <c r="BX16" s="464" t="n"/>
      <c r="BY16" s="464" t="n"/>
      <c r="BZ16" s="464" t="n"/>
      <c r="CA16" s="464" t="n"/>
      <c r="CB16" s="464" t="n"/>
      <c r="CC16" s="464" t="n"/>
      <c r="CD16" s="464" t="n"/>
      <c r="CE16" s="464" t="n"/>
      <c r="CF16" s="464" t="n"/>
      <c r="CG16" s="464" t="n"/>
      <c r="CH16" s="464" t="n"/>
      <c r="CI16" s="464" t="n"/>
      <c r="CJ16" s="464" t="n"/>
      <c r="CK16" s="464" t="n"/>
      <c r="CL16" s="464" t="n"/>
      <c r="CM16" s="464" t="n"/>
      <c r="CN16" s="464" t="n"/>
      <c r="CO16" s="464" t="n"/>
      <c r="CP16" s="464" t="n"/>
      <c r="CQ16" s="464" t="n"/>
      <c r="CR16" s="464" t="n"/>
      <c r="CS16" s="464" t="n"/>
      <c r="CT16" s="464" t="n"/>
      <c r="CU16" s="464" t="n"/>
      <c r="CV16" s="464" t="n"/>
      <c r="CW16" s="464" t="n"/>
      <c r="CX16" s="464" t="n"/>
      <c r="CY16" s="464" t="n"/>
      <c r="CZ16" s="464" t="n"/>
      <c r="DA16" s="464" t="n"/>
      <c r="DB16" s="464" t="n"/>
      <c r="DC16" s="464" t="n"/>
      <c r="DD16" s="464" t="n"/>
      <c r="DE16" s="464" t="n"/>
      <c r="DF16" s="464" t="n"/>
      <c r="DG16" s="464" t="n"/>
      <c r="DH16" s="464" t="n"/>
      <c r="DI16" s="464" t="n"/>
      <c r="DJ16" s="464" t="n"/>
      <c r="DK16" s="464" t="n"/>
      <c r="DL16" s="464" t="n"/>
      <c r="DM16" s="464" t="n"/>
      <c r="DN16" s="464" t="n"/>
      <c r="DO16" s="464" t="n"/>
      <c r="DP16" s="464" t="n"/>
      <c r="DQ16" s="464" t="n"/>
      <c r="DR16" s="464" t="n"/>
      <c r="DS16" s="464" t="n"/>
      <c r="DT16" s="464" t="n"/>
      <c r="DU16" s="464" t="n"/>
      <c r="DV16" s="464" t="n"/>
      <c r="DW16" s="464" t="n"/>
      <c r="DX16" s="464" t="n"/>
      <c r="DY16" s="464" t="n"/>
      <c r="DZ16" s="464" t="n"/>
      <c r="EA16" s="464" t="n"/>
      <c r="EB16" s="464" t="n"/>
      <c r="EC16" s="464" t="n"/>
      <c r="ED16" s="464" t="n"/>
      <c r="EE16" s="464" t="n"/>
      <c r="EF16" s="464" t="n"/>
      <c r="EG16" s="464" t="n"/>
      <c r="EH16" s="464" t="n"/>
      <c r="EI16" s="464" t="n"/>
      <c r="EJ16" s="464" t="n"/>
      <c r="EK16" s="464" t="n"/>
      <c r="EL16" s="464" t="n"/>
      <c r="EM16" s="464" t="n"/>
      <c r="EN16" s="464" t="n"/>
      <c r="EO16" s="464" t="n"/>
      <c r="EP16" s="464" t="n"/>
      <c r="EQ16" s="464" t="n"/>
      <c r="ER16" s="464" t="n"/>
      <c r="ES16" s="464" t="n"/>
      <c r="ET16" s="464" t="n"/>
      <c r="EU16" s="464" t="n"/>
      <c r="EV16" s="464" t="n"/>
      <c r="EW16" s="464" t="n"/>
      <c r="EX16" s="464" t="n"/>
      <c r="EY16" s="464" t="n"/>
      <c r="EZ16" s="464" t="n"/>
      <c r="FA16" s="464" t="n"/>
      <c r="FB16" s="464" t="n"/>
      <c r="FC16" s="464" t="n"/>
      <c r="FD16" s="464" t="n"/>
      <c r="FE16" s="464" t="n"/>
      <c r="FF16" s="464" t="n"/>
      <c r="FG16" s="464" t="n"/>
      <c r="FH16" s="464" t="n"/>
      <c r="FI16" s="464" t="n"/>
      <c r="FJ16" s="464" t="n"/>
      <c r="FK16" s="464" t="n"/>
      <c r="FL16" s="464" t="n"/>
      <c r="FM16" s="464" t="n"/>
      <c r="FN16" s="464" t="n"/>
      <c r="FO16" s="464" t="n"/>
      <c r="FP16" s="464" t="n"/>
      <c r="FQ16" s="464" t="n"/>
      <c r="FR16" s="464" t="n"/>
      <c r="FS16" s="464" t="n"/>
      <c r="FT16" s="464" t="n"/>
      <c r="FU16" s="464" t="n"/>
      <c r="FV16" s="464" t="n"/>
      <c r="FW16" s="464" t="n"/>
      <c r="FX16" s="464" t="n"/>
      <c r="FY16" s="464" t="n"/>
      <c r="FZ16" s="306" t="n"/>
    </row>
    <row r="17" ht="15" customHeight="1" s="307">
      <c r="A17" s="321" t="inlineStr">
        <is>
          <t xml:space="preserve">    Vendor Costs</t>
        </is>
      </c>
      <c r="B17" s="458" t="n">
        <v>0</v>
      </c>
      <c r="C17" s="458" t="n">
        <v>0</v>
      </c>
      <c r="D17" s="458" t="n">
        <v>0</v>
      </c>
      <c r="E17" s="458" t="n">
        <v>0.2133</v>
      </c>
      <c r="F17" s="458" t="n">
        <v>0.1929</v>
      </c>
      <c r="G17" s="458" t="n">
        <v>0.173</v>
      </c>
      <c r="H17" s="458" t="n">
        <v>0.3803</v>
      </c>
      <c r="I17" s="458" t="n">
        <v>0.3397</v>
      </c>
      <c r="J17" s="458" t="n">
        <v>0.3001</v>
      </c>
      <c r="K17" s="458" t="n">
        <v>0.5124</v>
      </c>
      <c r="L17" s="458" t="n">
        <v>0.467</v>
      </c>
      <c r="M17" s="458" t="n">
        <v>0.6394</v>
      </c>
      <c r="N17" s="459" t="n">
        <v>0.5755</v>
      </c>
      <c r="O17" s="459" t="n">
        <v>0.5304</v>
      </c>
      <c r="P17" s="459" t="n">
        <v>0.4864</v>
      </c>
      <c r="Q17" s="459" t="n">
        <v>0.6551</v>
      </c>
      <c r="R17" s="459" t="n">
        <v>0.612</v>
      </c>
      <c r="S17" s="459" t="n">
        <v>0.57</v>
      </c>
      <c r="T17" s="459" t="n">
        <v>0.5454</v>
      </c>
      <c r="U17" s="459" t="n">
        <v>0.5213</v>
      </c>
      <c r="V17" s="459" t="n">
        <v>0.4978</v>
      </c>
      <c r="W17" s="459" t="n">
        <v>0.4749</v>
      </c>
      <c r="X17" s="459" t="n">
        <v>0.4685</v>
      </c>
      <c r="Y17" s="459" t="n">
        <v>0.4622</v>
      </c>
      <c r="Z17" s="458" t="n">
        <v>0.456</v>
      </c>
      <c r="AA17" s="458" t="n">
        <v>0.4498</v>
      </c>
      <c r="AB17" s="458" t="n">
        <v>0.4438</v>
      </c>
      <c r="AC17" s="458" t="n">
        <v>0.4378</v>
      </c>
      <c r="AD17" s="458" t="n">
        <v>0.4319</v>
      </c>
      <c r="AE17" s="458" t="n">
        <v>0.4261</v>
      </c>
      <c r="AF17" s="458" t="n">
        <v>0.4204</v>
      </c>
      <c r="AG17" s="458" t="n">
        <v>0.4147</v>
      </c>
      <c r="AH17" s="458" t="n">
        <v>0.4091</v>
      </c>
      <c r="AI17" s="458" t="n">
        <v>0.4036</v>
      </c>
      <c r="AJ17" s="458" t="n">
        <v>0.3982</v>
      </c>
      <c r="AK17" s="458" t="n">
        <v>0.3929</v>
      </c>
      <c r="AL17" s="459" t="n">
        <v>0.3876</v>
      </c>
      <c r="AM17" s="459" t="n">
        <v>0.3824</v>
      </c>
      <c r="AN17" s="459" t="n">
        <v>0.3772</v>
      </c>
      <c r="AO17" s="459" t="n">
        <v>0.3721</v>
      </c>
      <c r="AP17" s="459" t="n">
        <v>0.3671</v>
      </c>
      <c r="AQ17" s="459" t="n">
        <v>0.3622</v>
      </c>
      <c r="AR17" s="459" t="n">
        <v>0.3573</v>
      </c>
      <c r="AS17" s="459" t="n">
        <v>0.3525</v>
      </c>
      <c r="AT17" s="459" t="n">
        <v>0.3478</v>
      </c>
      <c r="AU17" s="459" t="n">
        <v>0.3431</v>
      </c>
      <c r="AV17" s="459" t="n">
        <v>0.3385</v>
      </c>
      <c r="AW17" s="459" t="n">
        <v>0.3339</v>
      </c>
      <c r="AX17" s="458" t="n">
        <v>0.3294</v>
      </c>
      <c r="AY17" s="458" t="n">
        <v>0.325</v>
      </c>
      <c r="AZ17" s="458" t="n">
        <v>0.3206</v>
      </c>
      <c r="BA17" s="458" t="n">
        <v>0.3163</v>
      </c>
      <c r="BB17" s="458" t="n">
        <v>0.3121</v>
      </c>
      <c r="BC17" s="458" t="n">
        <v>0.3079</v>
      </c>
      <c r="BD17" s="458" t="n">
        <v>0.3037</v>
      </c>
      <c r="BE17" s="458" t="n">
        <v>0.2996</v>
      </c>
      <c r="BF17" s="458" t="n">
        <v>0.2956</v>
      </c>
      <c r="BG17" s="458" t="n">
        <v>0.2916</v>
      </c>
      <c r="BH17" s="458" t="n">
        <v>0.2877</v>
      </c>
      <c r="BI17" s="458" t="n">
        <v>0.2838</v>
      </c>
      <c r="BJ17" s="459" t="n">
        <v>0.28</v>
      </c>
      <c r="BK17" s="459" t="n">
        <v>0.2763</v>
      </c>
      <c r="BL17" s="459" t="n">
        <v>0.2725</v>
      </c>
      <c r="BM17" s="459" t="n">
        <v>0.2689</v>
      </c>
      <c r="BN17" s="459" t="n">
        <v>0.2653</v>
      </c>
      <c r="BO17" s="459" t="n">
        <v>0.2617</v>
      </c>
      <c r="BP17" s="459" t="n">
        <v>0.2582</v>
      </c>
      <c r="BQ17" s="459" t="n">
        <v>0.2547</v>
      </c>
      <c r="BR17" s="459" t="n">
        <v>0.2513</v>
      </c>
      <c r="BS17" s="459" t="n">
        <v>0.2479</v>
      </c>
      <c r="BT17" s="459" t="n">
        <v>0.2446</v>
      </c>
      <c r="BU17" s="459" t="n">
        <v>0.2413</v>
      </c>
      <c r="BV17" s="458" t="n">
        <v>0.238</v>
      </c>
      <c r="BW17" s="458" t="n">
        <v>0.2348</v>
      </c>
      <c r="BX17" s="458" t="n">
        <v>0.2317</v>
      </c>
      <c r="BY17" s="458" t="n">
        <v>0.2285</v>
      </c>
      <c r="BZ17" s="458" t="n">
        <v>0.2255</v>
      </c>
      <c r="CA17" s="458" t="n">
        <v>0.2224</v>
      </c>
      <c r="CB17" s="458" t="n">
        <v>0.2194</v>
      </c>
      <c r="CC17" s="458" t="n">
        <v>0.2165</v>
      </c>
      <c r="CD17" s="458" t="n">
        <v>0.2136</v>
      </c>
      <c r="CE17" s="458" t="n">
        <v>0.2107</v>
      </c>
      <c r="CF17" s="458" t="n">
        <v>0.2079</v>
      </c>
      <c r="CG17" s="458" t="n">
        <v>0.2051</v>
      </c>
      <c r="CH17" s="459" t="n">
        <v>0.2023</v>
      </c>
      <c r="CI17" s="459" t="n">
        <v>0.1996</v>
      </c>
      <c r="CJ17" s="459" t="n">
        <v>0.1969</v>
      </c>
      <c r="CK17" s="459" t="n">
        <v>0.1943</v>
      </c>
      <c r="CL17" s="459" t="n">
        <v>0.1916</v>
      </c>
      <c r="CM17" s="459" t="n">
        <v>0.1891</v>
      </c>
      <c r="CN17" s="459" t="n">
        <v>0.1865</v>
      </c>
      <c r="CO17" s="459" t="n">
        <v>0.184</v>
      </c>
      <c r="CP17" s="459" t="n">
        <v>0.1815</v>
      </c>
      <c r="CQ17" s="459" t="n">
        <v>0.1791</v>
      </c>
      <c r="CR17" s="459" t="n">
        <v>0.1767</v>
      </c>
      <c r="CS17" s="459" t="n">
        <v>0.1743</v>
      </c>
      <c r="CT17" s="458" t="n">
        <v>0.172</v>
      </c>
      <c r="CU17" s="458" t="n">
        <v>0.1697</v>
      </c>
      <c r="CV17" s="458" t="n">
        <v>0.1674</v>
      </c>
      <c r="CW17" s="458" t="n">
        <v>0.1651</v>
      </c>
      <c r="CX17" s="458" t="n">
        <v>0.1629</v>
      </c>
      <c r="CY17" s="458" t="n">
        <v>0.1607</v>
      </c>
      <c r="CZ17" s="458" t="n">
        <v>0.1585</v>
      </c>
      <c r="DA17" s="458" t="n">
        <v>0.1564</v>
      </c>
      <c r="DB17" s="458" t="n">
        <v>0.1543</v>
      </c>
      <c r="DC17" s="458" t="n">
        <v>0.1522</v>
      </c>
      <c r="DD17" s="458" t="n">
        <v>0.1502</v>
      </c>
      <c r="DE17" s="458" t="n">
        <v>0.1482</v>
      </c>
      <c r="DF17" s="459" t="n">
        <v>0.1462</v>
      </c>
      <c r="DG17" s="459" t="n">
        <v>0.1442</v>
      </c>
      <c r="DH17" s="459" t="n">
        <v>0.1423</v>
      </c>
      <c r="DI17" s="459" t="n">
        <v>0.1404</v>
      </c>
      <c r="DJ17" s="459" t="n">
        <v>0.1385</v>
      </c>
      <c r="DK17" s="459" t="n">
        <v>0.1366</v>
      </c>
      <c r="DL17" s="459" t="n">
        <v>0.1348</v>
      </c>
      <c r="DM17" s="459" t="n">
        <v>0.133</v>
      </c>
      <c r="DN17" s="459" t="n">
        <v>0.1312</v>
      </c>
      <c r="DO17" s="459" t="n">
        <v>0.1294</v>
      </c>
      <c r="DP17" s="459" t="n">
        <v>0.1277</v>
      </c>
      <c r="DQ17" s="459" t="n">
        <v>0.1259</v>
      </c>
      <c r="DR17" s="458" t="n">
        <v>0.1242</v>
      </c>
      <c r="DS17" s="458" t="n">
        <v>0.1226</v>
      </c>
      <c r="DT17" s="458" t="n">
        <v>0.1209</v>
      </c>
      <c r="DU17" s="458" t="n">
        <v>0.1193</v>
      </c>
      <c r="DV17" s="458" t="n">
        <v>0.1177</v>
      </c>
      <c r="DW17" s="458" t="n">
        <v>0.1161</v>
      </c>
      <c r="DX17" s="458" t="n">
        <v>0.1146</v>
      </c>
      <c r="DY17" s="458" t="n">
        <v>0.113</v>
      </c>
      <c r="DZ17" s="458" t="n">
        <v>0.1115</v>
      </c>
      <c r="EA17" s="458" t="n">
        <v>0.11</v>
      </c>
      <c r="EB17" s="458" t="n">
        <v>0.1085</v>
      </c>
      <c r="EC17" s="458" t="n">
        <v>0.1071</v>
      </c>
      <c r="ED17" s="459" t="n">
        <v>0.1056</v>
      </c>
      <c r="EE17" s="459" t="n">
        <v>0.1042</v>
      </c>
      <c r="EF17" s="459" t="n">
        <v>0.1028</v>
      </c>
      <c r="EG17" s="459" t="n">
        <v>0.1014</v>
      </c>
      <c r="EH17" s="459" t="n">
        <v>0.1</v>
      </c>
      <c r="EI17" s="459" t="n">
        <v>0.0987</v>
      </c>
      <c r="EJ17" s="459" t="n">
        <v>0.0974</v>
      </c>
      <c r="EK17" s="459" t="n">
        <v>0.0961</v>
      </c>
      <c r="EL17" s="459" t="n">
        <v>0.0948</v>
      </c>
      <c r="EM17" s="459" t="n">
        <v>0.0935</v>
      </c>
      <c r="EN17" s="459" t="n">
        <v>0.0922</v>
      </c>
      <c r="EO17" s="459" t="n">
        <v>0.091</v>
      </c>
      <c r="EP17" s="458" t="n">
        <v>0.0898</v>
      </c>
      <c r="EQ17" s="458" t="n">
        <v>0.0886</v>
      </c>
      <c r="ER17" s="458" t="n">
        <v>0.08740000000000001</v>
      </c>
      <c r="ES17" s="458" t="n">
        <v>0.0862</v>
      </c>
      <c r="ET17" s="458" t="n">
        <v>0.08500000000000001</v>
      </c>
      <c r="EU17" s="458" t="n">
        <v>0.0839</v>
      </c>
      <c r="EV17" s="458" t="n">
        <v>0.0828</v>
      </c>
      <c r="EW17" s="458" t="n">
        <v>0.08160000000000001</v>
      </c>
      <c r="EX17" s="458" t="n">
        <v>0.0806</v>
      </c>
      <c r="EY17" s="458" t="n">
        <v>0.0795</v>
      </c>
      <c r="EZ17" s="458" t="n">
        <v>0.0784</v>
      </c>
      <c r="FA17" s="458" t="n">
        <v>0.07729999999999999</v>
      </c>
      <c r="FB17" s="459" t="n">
        <v>0.07630000000000001</v>
      </c>
      <c r="FC17" s="459" t="n">
        <v>0.07530000000000001</v>
      </c>
      <c r="FD17" s="459" t="n">
        <v>0.0743</v>
      </c>
      <c r="FE17" s="459" t="n">
        <v>0.0733</v>
      </c>
      <c r="FF17" s="459" t="n">
        <v>0.0723</v>
      </c>
      <c r="FG17" s="459" t="n">
        <v>0.0713</v>
      </c>
      <c r="FH17" s="459" t="n">
        <v>0.0703</v>
      </c>
      <c r="FI17" s="459" t="n">
        <v>0.0694</v>
      </c>
      <c r="FJ17" s="459" t="n">
        <v>0.06850000000000001</v>
      </c>
      <c r="FK17" s="459" t="n">
        <v>0.0675</v>
      </c>
      <c r="FL17" s="459" t="n">
        <v>0.06660000000000001</v>
      </c>
      <c r="FM17" s="459" t="n">
        <v>0.06569999999999999</v>
      </c>
      <c r="FN17" s="458" t="n">
        <v>0.0649</v>
      </c>
      <c r="FO17" s="458" t="n">
        <v>0.064</v>
      </c>
      <c r="FP17" s="458" t="n">
        <v>0.0631</v>
      </c>
      <c r="FQ17" s="458" t="n">
        <v>0.0623</v>
      </c>
      <c r="FR17" s="458" t="n">
        <v>0.0614</v>
      </c>
      <c r="FS17" s="458" t="n">
        <v>0.0606</v>
      </c>
      <c r="FT17" s="458" t="n">
        <v>0.0598</v>
      </c>
      <c r="FU17" s="458" t="n">
        <v>0.059</v>
      </c>
      <c r="FV17" s="458" t="n">
        <v>0.0582</v>
      </c>
      <c r="FW17" s="458" t="n">
        <v>0.0574</v>
      </c>
      <c r="FX17" s="458" t="n">
        <v>0.0566</v>
      </c>
      <c r="FY17" s="458" t="n">
        <v>0.0559</v>
      </c>
      <c r="FZ17" s="306" t="n"/>
    </row>
    <row r="18" ht="15" customHeight="1" s="307">
      <c r="A18" s="321" t="inlineStr">
        <is>
          <t xml:space="preserve">    Corporate Allocation</t>
        </is>
      </c>
      <c r="B18" s="458" t="n">
        <v>0</v>
      </c>
      <c r="C18" s="458" t="n">
        <v>0</v>
      </c>
      <c r="D18" s="458" t="n">
        <v>0</v>
      </c>
      <c r="E18" s="458" t="n">
        <v>0.128</v>
      </c>
      <c r="F18" s="458" t="n">
        <v>0.1263</v>
      </c>
      <c r="G18" s="458" t="n">
        <v>0.1246</v>
      </c>
      <c r="H18" s="458" t="n">
        <v>0.2589</v>
      </c>
      <c r="I18" s="458" t="n">
        <v>0.2554</v>
      </c>
      <c r="J18" s="458" t="n">
        <v>0.252</v>
      </c>
      <c r="K18" s="458" t="n">
        <v>0.3991</v>
      </c>
      <c r="L18" s="458" t="n">
        <v>0.3937</v>
      </c>
      <c r="M18" s="458" t="n">
        <v>0.5184</v>
      </c>
      <c r="N18" s="459" t="n">
        <v>0.5115</v>
      </c>
      <c r="O18" s="459" t="n">
        <v>0.5046</v>
      </c>
      <c r="P18" s="459" t="n">
        <v>0.4978</v>
      </c>
      <c r="Q18" s="459" t="n">
        <v>0.6181</v>
      </c>
      <c r="R18" s="459" t="n">
        <v>0.6098</v>
      </c>
      <c r="S18" s="459" t="n">
        <v>0.6016</v>
      </c>
      <c r="T18" s="459" t="n">
        <v>0.5935</v>
      </c>
      <c r="U18" s="459" t="n">
        <v>0.5855</v>
      </c>
      <c r="V18" s="459" t="n">
        <v>0.5776</v>
      </c>
      <c r="W18" s="459" t="n">
        <v>0.5699</v>
      </c>
      <c r="X18" s="459" t="n">
        <v>0.5622</v>
      </c>
      <c r="Y18" s="459" t="n">
        <v>0.5546</v>
      </c>
      <c r="Z18" s="458" t="n">
        <v>0.5472</v>
      </c>
      <c r="AA18" s="458" t="n">
        <v>0.5397999999999999</v>
      </c>
      <c r="AB18" s="458" t="n">
        <v>0.5325</v>
      </c>
      <c r="AC18" s="458" t="n">
        <v>0.5254</v>
      </c>
      <c r="AD18" s="458" t="n">
        <v>0.5183</v>
      </c>
      <c r="AE18" s="458" t="n">
        <v>0.5113</v>
      </c>
      <c r="AF18" s="458" t="n">
        <v>0.5044999999999999</v>
      </c>
      <c r="AG18" s="458" t="n">
        <v>0.4977</v>
      </c>
      <c r="AH18" s="458" t="n">
        <v>0.491</v>
      </c>
      <c r="AI18" s="458" t="n">
        <v>0.4844</v>
      </c>
      <c r="AJ18" s="458" t="n">
        <v>0.4779</v>
      </c>
      <c r="AK18" s="458" t="n">
        <v>0.4714</v>
      </c>
      <c r="AL18" s="459" t="n">
        <v>0.4651</v>
      </c>
      <c r="AM18" s="459" t="n">
        <v>0.4588</v>
      </c>
      <c r="AN18" s="459" t="n">
        <v>0.4527</v>
      </c>
      <c r="AO18" s="459" t="n">
        <v>0.4466</v>
      </c>
      <c r="AP18" s="459" t="n">
        <v>0.4406</v>
      </c>
      <c r="AQ18" s="459" t="n">
        <v>0.4346</v>
      </c>
      <c r="AR18" s="459" t="n">
        <v>0.4288</v>
      </c>
      <c r="AS18" s="459" t="n">
        <v>0.423</v>
      </c>
      <c r="AT18" s="459" t="n">
        <v>0.4173</v>
      </c>
      <c r="AU18" s="459" t="n">
        <v>0.4117</v>
      </c>
      <c r="AV18" s="459" t="n">
        <v>0.4062</v>
      </c>
      <c r="AW18" s="459" t="n">
        <v>0.4007</v>
      </c>
      <c r="AX18" s="458" t="n">
        <v>0.3953</v>
      </c>
      <c r="AY18" s="458" t="n">
        <v>0.39</v>
      </c>
      <c r="AZ18" s="458" t="n">
        <v>0.3848</v>
      </c>
      <c r="BA18" s="458" t="n">
        <v>0.3796</v>
      </c>
      <c r="BB18" s="458" t="n">
        <v>0.3745</v>
      </c>
      <c r="BC18" s="458" t="n">
        <v>0.3694</v>
      </c>
      <c r="BD18" s="458" t="n">
        <v>0.3645</v>
      </c>
      <c r="BE18" s="458" t="n">
        <v>0.3596</v>
      </c>
      <c r="BF18" s="458" t="n">
        <v>0.3547</v>
      </c>
      <c r="BG18" s="458" t="n">
        <v>0.35</v>
      </c>
      <c r="BH18" s="458" t="n">
        <v>0.3453</v>
      </c>
      <c r="BI18" s="458" t="n">
        <v>0.3406</v>
      </c>
      <c r="BJ18" s="459" t="n">
        <v>0.336</v>
      </c>
      <c r="BK18" s="459" t="n">
        <v>0.3315</v>
      </c>
      <c r="BL18" s="459" t="n">
        <v>0.327</v>
      </c>
      <c r="BM18" s="459" t="n">
        <v>0.3226</v>
      </c>
      <c r="BN18" s="459" t="n">
        <v>0.3183</v>
      </c>
      <c r="BO18" s="459" t="n">
        <v>0.314</v>
      </c>
      <c r="BP18" s="459" t="n">
        <v>0.3098</v>
      </c>
      <c r="BQ18" s="459" t="n">
        <v>0.3056</v>
      </c>
      <c r="BR18" s="459" t="n">
        <v>0.3015</v>
      </c>
      <c r="BS18" s="459" t="n">
        <v>0.2975</v>
      </c>
      <c r="BT18" s="459" t="n">
        <v>0.2935</v>
      </c>
      <c r="BU18" s="459" t="n">
        <v>0.2895</v>
      </c>
      <c r="BV18" s="458" t="n">
        <v>0.2856</v>
      </c>
      <c r="BW18" s="458" t="n">
        <v>0.2818</v>
      </c>
      <c r="BX18" s="458" t="n">
        <v>0.278</v>
      </c>
      <c r="BY18" s="458" t="n">
        <v>0.2743</v>
      </c>
      <c r="BZ18" s="458" t="n">
        <v>0.2706</v>
      </c>
      <c r="CA18" s="458" t="n">
        <v>0.2669</v>
      </c>
      <c r="CB18" s="458" t="n">
        <v>0.2633</v>
      </c>
      <c r="CC18" s="458" t="n">
        <v>0.2598</v>
      </c>
      <c r="CD18" s="458" t="n">
        <v>0.2563</v>
      </c>
      <c r="CE18" s="458" t="n">
        <v>0.2528</v>
      </c>
      <c r="CF18" s="458" t="n">
        <v>0.2494</v>
      </c>
      <c r="CG18" s="458" t="n">
        <v>0.2461</v>
      </c>
      <c r="CH18" s="459" t="n">
        <v>0.2428</v>
      </c>
      <c r="CI18" s="459" t="n">
        <v>0.2395</v>
      </c>
      <c r="CJ18" s="459" t="n">
        <v>0.2363</v>
      </c>
      <c r="CK18" s="459" t="n">
        <v>0.2331</v>
      </c>
      <c r="CL18" s="459" t="n">
        <v>0.23</v>
      </c>
      <c r="CM18" s="459" t="n">
        <v>0.2269</v>
      </c>
      <c r="CN18" s="459" t="n">
        <v>0.2238</v>
      </c>
      <c r="CO18" s="459" t="n">
        <v>0.2208</v>
      </c>
      <c r="CP18" s="459" t="n">
        <v>0.2179</v>
      </c>
      <c r="CQ18" s="459" t="n">
        <v>0.2149</v>
      </c>
      <c r="CR18" s="459" t="n">
        <v>0.212</v>
      </c>
      <c r="CS18" s="459" t="n">
        <v>0.2092</v>
      </c>
      <c r="CT18" s="458" t="n">
        <v>0.2064</v>
      </c>
      <c r="CU18" s="458" t="n">
        <v>0.2036</v>
      </c>
      <c r="CV18" s="458" t="n">
        <v>0.2008</v>
      </c>
      <c r="CW18" s="458" t="n">
        <v>0.1981</v>
      </c>
      <c r="CX18" s="458" t="n">
        <v>0.1955</v>
      </c>
      <c r="CY18" s="458" t="n">
        <v>0.1929</v>
      </c>
      <c r="CZ18" s="458" t="n">
        <v>0.1903</v>
      </c>
      <c r="DA18" s="458" t="n">
        <v>0.1877</v>
      </c>
      <c r="DB18" s="458" t="n">
        <v>0.1852</v>
      </c>
      <c r="DC18" s="458" t="n">
        <v>0.1827</v>
      </c>
      <c r="DD18" s="458" t="n">
        <v>0.1802</v>
      </c>
      <c r="DE18" s="458" t="n">
        <v>0.1778</v>
      </c>
      <c r="DF18" s="459" t="n">
        <v>0.1754</v>
      </c>
      <c r="DG18" s="459" t="n">
        <v>0.173</v>
      </c>
      <c r="DH18" s="459" t="n">
        <v>0.1707</v>
      </c>
      <c r="DI18" s="459" t="n">
        <v>0.1684</v>
      </c>
      <c r="DJ18" s="459" t="n">
        <v>0.1662</v>
      </c>
      <c r="DK18" s="459" t="n">
        <v>0.1639</v>
      </c>
      <c r="DL18" s="459" t="n">
        <v>0.1617</v>
      </c>
      <c r="DM18" s="459" t="n">
        <v>0.1595</v>
      </c>
      <c r="DN18" s="459" t="n">
        <v>0.1574</v>
      </c>
      <c r="DO18" s="459" t="n">
        <v>0.1553</v>
      </c>
      <c r="DP18" s="459" t="n">
        <v>0.1532</v>
      </c>
      <c r="DQ18" s="459" t="n">
        <v>0.1511</v>
      </c>
      <c r="DR18" s="458" t="n">
        <v>0.1491</v>
      </c>
      <c r="DS18" s="458" t="n">
        <v>0.1471</v>
      </c>
      <c r="DT18" s="458" t="n">
        <v>0.1451</v>
      </c>
      <c r="DU18" s="458" t="n">
        <v>0.1432</v>
      </c>
      <c r="DV18" s="458" t="n">
        <v>0.1412</v>
      </c>
      <c r="DW18" s="458" t="n">
        <v>0.1393</v>
      </c>
      <c r="DX18" s="458" t="n">
        <v>0.1375</v>
      </c>
      <c r="DY18" s="458" t="n">
        <v>0.1356</v>
      </c>
      <c r="DZ18" s="458" t="n">
        <v>0.1338</v>
      </c>
      <c r="EA18" s="458" t="n">
        <v>0.132</v>
      </c>
      <c r="EB18" s="458" t="n">
        <v>0.1302</v>
      </c>
      <c r="EC18" s="458" t="n">
        <v>0.1285</v>
      </c>
      <c r="ED18" s="459" t="n">
        <v>0.1267</v>
      </c>
      <c r="EE18" s="459" t="n">
        <v>0.125</v>
      </c>
      <c r="EF18" s="459" t="n">
        <v>0.1233</v>
      </c>
      <c r="EG18" s="459" t="n">
        <v>0.1217</v>
      </c>
      <c r="EH18" s="459" t="n">
        <v>0.12</v>
      </c>
      <c r="EI18" s="459" t="n">
        <v>0.1184</v>
      </c>
      <c r="EJ18" s="459" t="n">
        <v>0.1168</v>
      </c>
      <c r="EK18" s="459" t="n">
        <v>0.1153</v>
      </c>
      <c r="EL18" s="459" t="n">
        <v>0.1137</v>
      </c>
      <c r="EM18" s="459" t="n">
        <v>0.1122</v>
      </c>
      <c r="EN18" s="459" t="n">
        <v>0.1107</v>
      </c>
      <c r="EO18" s="459" t="n">
        <v>0.1092</v>
      </c>
      <c r="EP18" s="458" t="n">
        <v>0.1077</v>
      </c>
      <c r="EQ18" s="458" t="n">
        <v>0.1063</v>
      </c>
      <c r="ER18" s="458" t="n">
        <v>0.1048</v>
      </c>
      <c r="ES18" s="458" t="n">
        <v>0.1034</v>
      </c>
      <c r="ET18" s="458" t="n">
        <v>0.102</v>
      </c>
      <c r="EU18" s="458" t="n">
        <v>0.1007</v>
      </c>
      <c r="EV18" s="458" t="n">
        <v>0.0993</v>
      </c>
      <c r="EW18" s="458" t="n">
        <v>0.098</v>
      </c>
      <c r="EX18" s="458" t="n">
        <v>0.09669999999999999</v>
      </c>
      <c r="EY18" s="458" t="n">
        <v>0.0954</v>
      </c>
      <c r="EZ18" s="458" t="n">
        <v>0.0941</v>
      </c>
      <c r="FA18" s="458" t="n">
        <v>0.09279999999999999</v>
      </c>
      <c r="FB18" s="459" t="n">
        <v>0.0916</v>
      </c>
      <c r="FC18" s="459" t="n">
        <v>0.09030000000000001</v>
      </c>
      <c r="FD18" s="459" t="n">
        <v>0.0891</v>
      </c>
      <c r="FE18" s="459" t="n">
        <v>0.08790000000000001</v>
      </c>
      <c r="FF18" s="459" t="n">
        <v>0.0867</v>
      </c>
      <c r="FG18" s="459" t="n">
        <v>0.0856</v>
      </c>
      <c r="FH18" s="459" t="n">
        <v>0.0844</v>
      </c>
      <c r="FI18" s="459" t="n">
        <v>0.0833</v>
      </c>
      <c r="FJ18" s="459" t="n">
        <v>0.0822</v>
      </c>
      <c r="FK18" s="459" t="n">
        <v>0.08110000000000001</v>
      </c>
      <c r="FL18" s="459" t="n">
        <v>0.08</v>
      </c>
      <c r="FM18" s="459" t="n">
        <v>0.0789</v>
      </c>
      <c r="FN18" s="458" t="n">
        <v>0.07779999999999999</v>
      </c>
      <c r="FO18" s="458" t="n">
        <v>0.07679999999999999</v>
      </c>
      <c r="FP18" s="458" t="n">
        <v>0.0757</v>
      </c>
      <c r="FQ18" s="458" t="n">
        <v>0.0747</v>
      </c>
      <c r="FR18" s="458" t="n">
        <v>0.0737</v>
      </c>
      <c r="FS18" s="458" t="n">
        <v>0.0727</v>
      </c>
      <c r="FT18" s="458" t="n">
        <v>0.0718</v>
      </c>
      <c r="FU18" s="458" t="n">
        <v>0.0708</v>
      </c>
      <c r="FV18" s="458" t="n">
        <v>0.0698</v>
      </c>
      <c r="FW18" s="458" t="n">
        <v>0.0689</v>
      </c>
      <c r="FX18" s="458" t="n">
        <v>0.068</v>
      </c>
      <c r="FY18" s="458" t="n">
        <v>0.06710000000000001</v>
      </c>
      <c r="FZ18" s="306" t="n"/>
    </row>
    <row r="19" ht="15" customHeight="1" s="307">
      <c r="A19" s="321" t="inlineStr">
        <is>
          <t xml:space="preserve">    Team Compensation</t>
        </is>
      </c>
      <c r="B19" s="458" t="n">
        <v>0.0813</v>
      </c>
      <c r="C19" s="458" t="n">
        <v>0.0813</v>
      </c>
      <c r="D19" s="458" t="n">
        <v>0.0813</v>
      </c>
      <c r="E19" s="458" t="n">
        <v>0.3385</v>
      </c>
      <c r="F19" s="458" t="n">
        <v>0.3385</v>
      </c>
      <c r="G19" s="458" t="n">
        <v>0.3385</v>
      </c>
      <c r="H19" s="458" t="n">
        <v>1.0292</v>
      </c>
      <c r="I19" s="458" t="n">
        <v>0.5417</v>
      </c>
      <c r="J19" s="458" t="n">
        <v>0.5417</v>
      </c>
      <c r="K19" s="458" t="n">
        <v>0.5958</v>
      </c>
      <c r="L19" s="458" t="n">
        <v>0.5958</v>
      </c>
      <c r="M19" s="458" t="n">
        <v>0.6229</v>
      </c>
      <c r="N19" s="459" t="n">
        <v>0.9344</v>
      </c>
      <c r="O19" s="459" t="n">
        <v>0.9344</v>
      </c>
      <c r="P19" s="459" t="n">
        <v>0.9344</v>
      </c>
      <c r="Q19" s="459" t="n">
        <v>0.9547</v>
      </c>
      <c r="R19" s="459" t="n">
        <v>0.9547</v>
      </c>
      <c r="S19" s="459" t="n">
        <v>0.9547</v>
      </c>
      <c r="T19" s="459" t="n">
        <v>0.9547</v>
      </c>
      <c r="U19" s="459" t="n">
        <v>0.9547</v>
      </c>
      <c r="V19" s="459" t="n">
        <v>0.9547</v>
      </c>
      <c r="W19" s="459" t="n">
        <v>0.9547</v>
      </c>
      <c r="X19" s="459" t="n">
        <v>0.9547</v>
      </c>
      <c r="Y19" s="459" t="n">
        <v>0.9547</v>
      </c>
      <c r="Z19" s="458" t="n">
        <v>0.9547</v>
      </c>
      <c r="AA19" s="458" t="n">
        <v>0.9547</v>
      </c>
      <c r="AB19" s="458" t="n">
        <v>0.9547</v>
      </c>
      <c r="AC19" s="458" t="n">
        <v>0.9547</v>
      </c>
      <c r="AD19" s="458" t="n">
        <v>0.9547</v>
      </c>
      <c r="AE19" s="458" t="n">
        <v>0.9547</v>
      </c>
      <c r="AF19" s="458" t="n">
        <v>0.9547</v>
      </c>
      <c r="AG19" s="458" t="n">
        <v>0.9547</v>
      </c>
      <c r="AH19" s="458" t="n">
        <v>0.9547</v>
      </c>
      <c r="AI19" s="458" t="n">
        <v>0.9547</v>
      </c>
      <c r="AJ19" s="458" t="n">
        <v>0.9547</v>
      </c>
      <c r="AK19" s="458" t="n">
        <v>0.9547</v>
      </c>
      <c r="AL19" s="459" t="n">
        <v>0.9547</v>
      </c>
      <c r="AM19" s="459" t="n">
        <v>0.9547</v>
      </c>
      <c r="AN19" s="459" t="n">
        <v>0.9547</v>
      </c>
      <c r="AO19" s="459" t="n">
        <v>0.9547</v>
      </c>
      <c r="AP19" s="459" t="n">
        <v>0.9547</v>
      </c>
      <c r="AQ19" s="459" t="n">
        <v>0.9547</v>
      </c>
      <c r="AR19" s="459" t="n">
        <v>0.9547</v>
      </c>
      <c r="AS19" s="459" t="n">
        <v>0.9547</v>
      </c>
      <c r="AT19" s="459" t="n">
        <v>0.9547</v>
      </c>
      <c r="AU19" s="459" t="n">
        <v>0.9547</v>
      </c>
      <c r="AV19" s="459" t="n">
        <v>0.9547</v>
      </c>
      <c r="AW19" s="459" t="n">
        <v>0.9547</v>
      </c>
      <c r="AX19" s="458" t="n">
        <v>0.9547</v>
      </c>
      <c r="AY19" s="458" t="n">
        <v>0.9547</v>
      </c>
      <c r="AZ19" s="458" t="n">
        <v>0.9547</v>
      </c>
      <c r="BA19" s="458" t="n">
        <v>0.9547</v>
      </c>
      <c r="BB19" s="458" t="n">
        <v>0.9547</v>
      </c>
      <c r="BC19" s="458" t="n">
        <v>0.9547</v>
      </c>
      <c r="BD19" s="458" t="n">
        <v>0.9547</v>
      </c>
      <c r="BE19" s="458" t="n">
        <v>0.9547</v>
      </c>
      <c r="BF19" s="458" t="n">
        <v>0.9547</v>
      </c>
      <c r="BG19" s="458" t="n">
        <v>0.9547</v>
      </c>
      <c r="BH19" s="458" t="n">
        <v>0.9547</v>
      </c>
      <c r="BI19" s="458" t="n">
        <v>0.9547</v>
      </c>
      <c r="BJ19" s="459" t="n">
        <v>0.9547</v>
      </c>
      <c r="BK19" s="459" t="n">
        <v>0.9547</v>
      </c>
      <c r="BL19" s="459" t="n">
        <v>0.9547</v>
      </c>
      <c r="BM19" s="459" t="n">
        <v>0.9547</v>
      </c>
      <c r="BN19" s="459" t="n">
        <v>0.9547</v>
      </c>
      <c r="BO19" s="459" t="n">
        <v>0.9547</v>
      </c>
      <c r="BP19" s="459" t="n">
        <v>0.9547</v>
      </c>
      <c r="BQ19" s="459" t="n">
        <v>0.9547</v>
      </c>
      <c r="BR19" s="459" t="n">
        <v>0.9547</v>
      </c>
      <c r="BS19" s="459" t="n">
        <v>0.9547</v>
      </c>
      <c r="BT19" s="459" t="n">
        <v>0.9547</v>
      </c>
      <c r="BU19" s="459" t="n">
        <v>0.9547</v>
      </c>
      <c r="BV19" s="458" t="n">
        <v>0.9547</v>
      </c>
      <c r="BW19" s="458" t="n">
        <v>0.9547</v>
      </c>
      <c r="BX19" s="458" t="n">
        <v>0.9547</v>
      </c>
      <c r="BY19" s="458" t="n">
        <v>0.9547</v>
      </c>
      <c r="BZ19" s="458" t="n">
        <v>0.9547</v>
      </c>
      <c r="CA19" s="458" t="n">
        <v>0.9547</v>
      </c>
      <c r="CB19" s="458" t="n">
        <v>0.9547</v>
      </c>
      <c r="CC19" s="458" t="n">
        <v>0.9547</v>
      </c>
      <c r="CD19" s="458" t="n">
        <v>0.9547</v>
      </c>
      <c r="CE19" s="458" t="n">
        <v>0.9547</v>
      </c>
      <c r="CF19" s="458" t="n">
        <v>0.9547</v>
      </c>
      <c r="CG19" s="458" t="n">
        <v>0.9547</v>
      </c>
      <c r="CH19" s="459" t="n">
        <v>0.9547</v>
      </c>
      <c r="CI19" s="459" t="n">
        <v>0.9547</v>
      </c>
      <c r="CJ19" s="459" t="n">
        <v>0.9547</v>
      </c>
      <c r="CK19" s="459" t="n">
        <v>0.9547</v>
      </c>
      <c r="CL19" s="459" t="n">
        <v>0.9547</v>
      </c>
      <c r="CM19" s="459" t="n">
        <v>0.9547</v>
      </c>
      <c r="CN19" s="459" t="n">
        <v>0.9547</v>
      </c>
      <c r="CO19" s="459" t="n">
        <v>0.9547</v>
      </c>
      <c r="CP19" s="459" t="n">
        <v>0.9547</v>
      </c>
      <c r="CQ19" s="459" t="n">
        <v>0.9547</v>
      </c>
      <c r="CR19" s="459" t="n">
        <v>0.9547</v>
      </c>
      <c r="CS19" s="459" t="n">
        <v>0.9547</v>
      </c>
      <c r="CT19" s="458" t="n">
        <v>0.9547</v>
      </c>
      <c r="CU19" s="458" t="n">
        <v>0.9547</v>
      </c>
      <c r="CV19" s="458" t="n">
        <v>0.9547</v>
      </c>
      <c r="CW19" s="458" t="n">
        <v>0.9547</v>
      </c>
      <c r="CX19" s="458" t="n">
        <v>0.9547</v>
      </c>
      <c r="CY19" s="458" t="n">
        <v>0.9547</v>
      </c>
      <c r="CZ19" s="458" t="n">
        <v>0.9547</v>
      </c>
      <c r="DA19" s="458" t="n">
        <v>0.9547</v>
      </c>
      <c r="DB19" s="458" t="n">
        <v>0.9547</v>
      </c>
      <c r="DC19" s="458" t="n">
        <v>0.9547</v>
      </c>
      <c r="DD19" s="458" t="n">
        <v>0.9547</v>
      </c>
      <c r="DE19" s="458" t="n">
        <v>0.9547</v>
      </c>
      <c r="DF19" s="459" t="n">
        <v>0.9547</v>
      </c>
      <c r="DG19" s="459" t="n">
        <v>0.9547</v>
      </c>
      <c r="DH19" s="459" t="n">
        <v>0.9547</v>
      </c>
      <c r="DI19" s="459" t="n">
        <v>0.9547</v>
      </c>
      <c r="DJ19" s="459" t="n">
        <v>0.9547</v>
      </c>
      <c r="DK19" s="459" t="n">
        <v>0.9547</v>
      </c>
      <c r="DL19" s="459" t="n">
        <v>0.9547</v>
      </c>
      <c r="DM19" s="459" t="n">
        <v>0.9547</v>
      </c>
      <c r="DN19" s="459" t="n">
        <v>0.9547</v>
      </c>
      <c r="DO19" s="459" t="n">
        <v>0.9547</v>
      </c>
      <c r="DP19" s="459" t="n">
        <v>0.9547</v>
      </c>
      <c r="DQ19" s="459" t="n">
        <v>0.9547</v>
      </c>
      <c r="DR19" s="458" t="n">
        <v>0.9547</v>
      </c>
      <c r="DS19" s="458" t="n">
        <v>0.9547</v>
      </c>
      <c r="DT19" s="458" t="n">
        <v>0.9547</v>
      </c>
      <c r="DU19" s="458" t="n">
        <v>0.9547</v>
      </c>
      <c r="DV19" s="458" t="n">
        <v>0.9547</v>
      </c>
      <c r="DW19" s="458" t="n">
        <v>0.9547</v>
      </c>
      <c r="DX19" s="458" t="n">
        <v>0.9547</v>
      </c>
      <c r="DY19" s="458" t="n">
        <v>0.9547</v>
      </c>
      <c r="DZ19" s="458" t="n">
        <v>0.9547</v>
      </c>
      <c r="EA19" s="458" t="n">
        <v>0.9547</v>
      </c>
      <c r="EB19" s="458" t="n">
        <v>0.9547</v>
      </c>
      <c r="EC19" s="458" t="n">
        <v>0.9547</v>
      </c>
      <c r="ED19" s="459" t="n">
        <v>0.9547</v>
      </c>
      <c r="EE19" s="459" t="n">
        <v>0.9547</v>
      </c>
      <c r="EF19" s="459" t="n">
        <v>0.9547</v>
      </c>
      <c r="EG19" s="459" t="n">
        <v>0.9547</v>
      </c>
      <c r="EH19" s="459" t="n">
        <v>0.9547</v>
      </c>
      <c r="EI19" s="459" t="n">
        <v>0.9547</v>
      </c>
      <c r="EJ19" s="459" t="n">
        <v>0.9547</v>
      </c>
      <c r="EK19" s="459" t="n">
        <v>0.9547</v>
      </c>
      <c r="EL19" s="459" t="n">
        <v>0.9547</v>
      </c>
      <c r="EM19" s="459" t="n">
        <v>0.9547</v>
      </c>
      <c r="EN19" s="459" t="n">
        <v>0.9547</v>
      </c>
      <c r="EO19" s="459" t="n">
        <v>0.9547</v>
      </c>
      <c r="EP19" s="458" t="n">
        <v>0.9547</v>
      </c>
      <c r="EQ19" s="458" t="n">
        <v>0.9547</v>
      </c>
      <c r="ER19" s="458" t="n">
        <v>0.9547</v>
      </c>
      <c r="ES19" s="458" t="n">
        <v>0.9547</v>
      </c>
      <c r="ET19" s="458" t="n">
        <v>0.9547</v>
      </c>
      <c r="EU19" s="458" t="n">
        <v>0.9547</v>
      </c>
      <c r="EV19" s="458" t="n">
        <v>0.9547</v>
      </c>
      <c r="EW19" s="458" t="n">
        <v>0.9547</v>
      </c>
      <c r="EX19" s="458" t="n">
        <v>0.9547</v>
      </c>
      <c r="EY19" s="458" t="n">
        <v>0.9547</v>
      </c>
      <c r="EZ19" s="458" t="n">
        <v>0.9547</v>
      </c>
      <c r="FA19" s="458" t="n">
        <v>0.9547</v>
      </c>
      <c r="FB19" s="459" t="n">
        <v>0.9547</v>
      </c>
      <c r="FC19" s="459" t="n">
        <v>0.9547</v>
      </c>
      <c r="FD19" s="459" t="n">
        <v>0.9547</v>
      </c>
      <c r="FE19" s="459" t="n">
        <v>0.9547</v>
      </c>
      <c r="FF19" s="459" t="n">
        <v>0.9547</v>
      </c>
      <c r="FG19" s="459" t="n">
        <v>0.9547</v>
      </c>
      <c r="FH19" s="459" t="n">
        <v>0.9547</v>
      </c>
      <c r="FI19" s="459" t="n">
        <v>0.9547</v>
      </c>
      <c r="FJ19" s="459" t="n">
        <v>0.9547</v>
      </c>
      <c r="FK19" s="459" t="n">
        <v>0.9547</v>
      </c>
      <c r="FL19" s="459" t="n">
        <v>0.9547</v>
      </c>
      <c r="FM19" s="459" t="n">
        <v>0.9547</v>
      </c>
      <c r="FN19" s="458" t="n">
        <v>0.9547</v>
      </c>
      <c r="FO19" s="458" t="n">
        <v>0.9547</v>
      </c>
      <c r="FP19" s="458" t="n">
        <v>0.9547</v>
      </c>
      <c r="FQ19" s="458" t="n">
        <v>0.9547</v>
      </c>
      <c r="FR19" s="458" t="n">
        <v>0.9547</v>
      </c>
      <c r="FS19" s="458" t="n">
        <v>0.9547</v>
      </c>
      <c r="FT19" s="458" t="n">
        <v>0.9547</v>
      </c>
      <c r="FU19" s="458" t="n">
        <v>0.9547</v>
      </c>
      <c r="FV19" s="458" t="n">
        <v>0.9547</v>
      </c>
      <c r="FW19" s="458" t="n">
        <v>0.9547</v>
      </c>
      <c r="FX19" s="458" t="n">
        <v>0.9547</v>
      </c>
      <c r="FY19" s="458" t="n">
        <v>0.9547</v>
      </c>
      <c r="FZ19" s="306" t="n"/>
    </row>
    <row r="20" ht="15" customHeight="1" s="307">
      <c r="A20" s="321" t="inlineStr">
        <is>
          <t xml:space="preserve">    Legacy Headcount Expenses</t>
        </is>
      </c>
      <c r="B20" s="458" t="n">
        <v>0</v>
      </c>
      <c r="C20" s="458" t="n">
        <v>0</v>
      </c>
      <c r="D20" s="458" t="n">
        <v>0</v>
      </c>
      <c r="E20" s="458" t="n">
        <v>1.2587</v>
      </c>
      <c r="F20" s="458" t="n">
        <v>1.0927</v>
      </c>
      <c r="G20" s="458" t="n">
        <v>0.9308999999999999</v>
      </c>
      <c r="H20" s="458" t="n">
        <v>2.1106</v>
      </c>
      <c r="I20" s="458" t="n">
        <v>1.7807</v>
      </c>
      <c r="J20" s="458" t="n">
        <v>1.4592</v>
      </c>
      <c r="K20" s="458" t="n">
        <v>2.626</v>
      </c>
      <c r="L20" s="458" t="n">
        <v>2.21</v>
      </c>
      <c r="M20" s="458" t="n">
        <v>3.083</v>
      </c>
      <c r="N20" s="459" t="n">
        <v>2.5195</v>
      </c>
      <c r="O20" s="459" t="n">
        <v>2.06</v>
      </c>
      <c r="P20" s="459" t="n">
        <v>1.6124</v>
      </c>
      <c r="Q20" s="459" t="n">
        <v>2.4254</v>
      </c>
      <c r="R20" s="459" t="n">
        <v>1.9842</v>
      </c>
      <c r="S20" s="459" t="n">
        <v>1.5545</v>
      </c>
      <c r="T20" s="459" t="n">
        <v>1.2214</v>
      </c>
      <c r="U20" s="459" t="n">
        <v>0.9492</v>
      </c>
      <c r="V20" s="459" t="n">
        <v>0.6842</v>
      </c>
      <c r="W20" s="459" t="n">
        <v>0.4261</v>
      </c>
      <c r="X20" s="459" t="n">
        <v>0.3161</v>
      </c>
      <c r="Y20" s="459" t="n">
        <v>0.2089</v>
      </c>
      <c r="Z20" s="458" t="n">
        <v>0.1546</v>
      </c>
      <c r="AA20" s="458" t="n">
        <v>0.1017</v>
      </c>
      <c r="AB20" s="458" t="n">
        <v>0.0502</v>
      </c>
      <c r="AC20" s="458" t="n">
        <v>0</v>
      </c>
      <c r="AD20" s="458" t="n">
        <v>0</v>
      </c>
      <c r="AE20" s="458" t="n">
        <v>0</v>
      </c>
      <c r="AF20" s="458" t="n">
        <v>0</v>
      </c>
      <c r="AG20" s="458" t="n">
        <v>0</v>
      </c>
      <c r="AH20" s="458" t="n">
        <v>0</v>
      </c>
      <c r="AI20" s="458" t="n">
        <v>0</v>
      </c>
      <c r="AJ20" s="458" t="n">
        <v>0</v>
      </c>
      <c r="AK20" s="458" t="n">
        <v>0</v>
      </c>
      <c r="AL20" s="459" t="n">
        <v>0</v>
      </c>
      <c r="AM20" s="459" t="n">
        <v>0</v>
      </c>
      <c r="AN20" s="459" t="n">
        <v>0</v>
      </c>
      <c r="AO20" s="459" t="n">
        <v>0</v>
      </c>
      <c r="AP20" s="459" t="n">
        <v>0</v>
      </c>
      <c r="AQ20" s="459" t="n">
        <v>0</v>
      </c>
      <c r="AR20" s="459" t="n">
        <v>0</v>
      </c>
      <c r="AS20" s="459" t="n">
        <v>0</v>
      </c>
      <c r="AT20" s="459" t="n">
        <v>0</v>
      </c>
      <c r="AU20" s="459" t="n">
        <v>0</v>
      </c>
      <c r="AV20" s="459" t="n">
        <v>0</v>
      </c>
      <c r="AW20" s="459" t="n">
        <v>0</v>
      </c>
      <c r="AX20" s="458" t="n">
        <v>0</v>
      </c>
      <c r="AY20" s="458" t="n">
        <v>0</v>
      </c>
      <c r="AZ20" s="458" t="n">
        <v>0</v>
      </c>
      <c r="BA20" s="458" t="n">
        <v>0</v>
      </c>
      <c r="BB20" s="458" t="n">
        <v>0</v>
      </c>
      <c r="BC20" s="458" t="n">
        <v>0</v>
      </c>
      <c r="BD20" s="458" t="n">
        <v>0</v>
      </c>
      <c r="BE20" s="458" t="n">
        <v>0</v>
      </c>
      <c r="BF20" s="458" t="n">
        <v>0</v>
      </c>
      <c r="BG20" s="458" t="n">
        <v>0</v>
      </c>
      <c r="BH20" s="458" t="n">
        <v>0</v>
      </c>
      <c r="BI20" s="458" t="n">
        <v>0</v>
      </c>
      <c r="BJ20" s="459" t="n">
        <v>0</v>
      </c>
      <c r="BK20" s="459" t="n">
        <v>0</v>
      </c>
      <c r="BL20" s="459" t="n">
        <v>0</v>
      </c>
      <c r="BM20" s="459" t="n">
        <v>0</v>
      </c>
      <c r="BN20" s="459" t="n">
        <v>0</v>
      </c>
      <c r="BO20" s="459" t="n">
        <v>0</v>
      </c>
      <c r="BP20" s="459" t="n">
        <v>0</v>
      </c>
      <c r="BQ20" s="459" t="n">
        <v>0</v>
      </c>
      <c r="BR20" s="459" t="n">
        <v>0</v>
      </c>
      <c r="BS20" s="459" t="n">
        <v>0</v>
      </c>
      <c r="BT20" s="459" t="n">
        <v>0</v>
      </c>
      <c r="BU20" s="459" t="n">
        <v>0</v>
      </c>
      <c r="BV20" s="458" t="n">
        <v>0</v>
      </c>
      <c r="BW20" s="458" t="n">
        <v>0</v>
      </c>
      <c r="BX20" s="458" t="n">
        <v>0</v>
      </c>
      <c r="BY20" s="458" t="n">
        <v>0</v>
      </c>
      <c r="BZ20" s="458" t="n">
        <v>0</v>
      </c>
      <c r="CA20" s="458" t="n">
        <v>0</v>
      </c>
      <c r="CB20" s="458" t="n">
        <v>0</v>
      </c>
      <c r="CC20" s="458" t="n">
        <v>0</v>
      </c>
      <c r="CD20" s="458" t="n">
        <v>0</v>
      </c>
      <c r="CE20" s="458" t="n">
        <v>0</v>
      </c>
      <c r="CF20" s="458" t="n">
        <v>0</v>
      </c>
      <c r="CG20" s="458" t="n">
        <v>0</v>
      </c>
      <c r="CH20" s="459" t="n">
        <v>0</v>
      </c>
      <c r="CI20" s="459" t="n">
        <v>0</v>
      </c>
      <c r="CJ20" s="459" t="n">
        <v>0</v>
      </c>
      <c r="CK20" s="459" t="n">
        <v>0</v>
      </c>
      <c r="CL20" s="459" t="n">
        <v>0</v>
      </c>
      <c r="CM20" s="459" t="n">
        <v>0</v>
      </c>
      <c r="CN20" s="459" t="n">
        <v>0</v>
      </c>
      <c r="CO20" s="459" t="n">
        <v>0</v>
      </c>
      <c r="CP20" s="459" t="n">
        <v>0</v>
      </c>
      <c r="CQ20" s="459" t="n">
        <v>0</v>
      </c>
      <c r="CR20" s="459" t="n">
        <v>0</v>
      </c>
      <c r="CS20" s="459" t="n">
        <v>0</v>
      </c>
      <c r="CT20" s="458" t="n">
        <v>0</v>
      </c>
      <c r="CU20" s="458" t="n">
        <v>0</v>
      </c>
      <c r="CV20" s="458" t="n">
        <v>0</v>
      </c>
      <c r="CW20" s="458" t="n">
        <v>0</v>
      </c>
      <c r="CX20" s="458" t="n">
        <v>0</v>
      </c>
      <c r="CY20" s="458" t="n">
        <v>0</v>
      </c>
      <c r="CZ20" s="458" t="n">
        <v>0</v>
      </c>
      <c r="DA20" s="458" t="n">
        <v>0</v>
      </c>
      <c r="DB20" s="458" t="n">
        <v>0</v>
      </c>
      <c r="DC20" s="458" t="n">
        <v>0</v>
      </c>
      <c r="DD20" s="458" t="n">
        <v>0</v>
      </c>
      <c r="DE20" s="458" t="n">
        <v>0</v>
      </c>
      <c r="DF20" s="459" t="n">
        <v>0</v>
      </c>
      <c r="DG20" s="459" t="n">
        <v>0</v>
      </c>
      <c r="DH20" s="459" t="n">
        <v>0</v>
      </c>
      <c r="DI20" s="459" t="n">
        <v>0</v>
      </c>
      <c r="DJ20" s="459" t="n">
        <v>0</v>
      </c>
      <c r="DK20" s="459" t="n">
        <v>0</v>
      </c>
      <c r="DL20" s="459" t="n">
        <v>0</v>
      </c>
      <c r="DM20" s="459" t="n">
        <v>0</v>
      </c>
      <c r="DN20" s="459" t="n">
        <v>0</v>
      </c>
      <c r="DO20" s="459" t="n">
        <v>0</v>
      </c>
      <c r="DP20" s="459" t="n">
        <v>0</v>
      </c>
      <c r="DQ20" s="459" t="n">
        <v>0</v>
      </c>
      <c r="DR20" s="458" t="n">
        <v>0</v>
      </c>
      <c r="DS20" s="458" t="n">
        <v>0</v>
      </c>
      <c r="DT20" s="458" t="n">
        <v>0</v>
      </c>
      <c r="DU20" s="458" t="n">
        <v>0</v>
      </c>
      <c r="DV20" s="458" t="n">
        <v>0</v>
      </c>
      <c r="DW20" s="458" t="n">
        <v>0</v>
      </c>
      <c r="DX20" s="458" t="n">
        <v>0</v>
      </c>
      <c r="DY20" s="458" t="n">
        <v>0</v>
      </c>
      <c r="DZ20" s="458" t="n">
        <v>0</v>
      </c>
      <c r="EA20" s="458" t="n">
        <v>0</v>
      </c>
      <c r="EB20" s="458" t="n">
        <v>0</v>
      </c>
      <c r="EC20" s="458" t="n">
        <v>0</v>
      </c>
      <c r="ED20" s="459" t="n">
        <v>0</v>
      </c>
      <c r="EE20" s="459" t="n">
        <v>0</v>
      </c>
      <c r="EF20" s="459" t="n">
        <v>0</v>
      </c>
      <c r="EG20" s="459" t="n">
        <v>0</v>
      </c>
      <c r="EH20" s="459" t="n">
        <v>0</v>
      </c>
      <c r="EI20" s="459" t="n">
        <v>0</v>
      </c>
      <c r="EJ20" s="459" t="n">
        <v>0</v>
      </c>
      <c r="EK20" s="459" t="n">
        <v>0</v>
      </c>
      <c r="EL20" s="459" t="n">
        <v>0</v>
      </c>
      <c r="EM20" s="459" t="n">
        <v>0</v>
      </c>
      <c r="EN20" s="459" t="n">
        <v>0</v>
      </c>
      <c r="EO20" s="459" t="n">
        <v>0</v>
      </c>
      <c r="EP20" s="458" t="n">
        <v>0</v>
      </c>
      <c r="EQ20" s="458" t="n">
        <v>0</v>
      </c>
      <c r="ER20" s="458" t="n">
        <v>0</v>
      </c>
      <c r="ES20" s="458" t="n">
        <v>0</v>
      </c>
      <c r="ET20" s="458" t="n">
        <v>0</v>
      </c>
      <c r="EU20" s="458" t="n">
        <v>0</v>
      </c>
      <c r="EV20" s="458" t="n">
        <v>0</v>
      </c>
      <c r="EW20" s="458" t="n">
        <v>0</v>
      </c>
      <c r="EX20" s="458" t="n">
        <v>0</v>
      </c>
      <c r="EY20" s="458" t="n">
        <v>0</v>
      </c>
      <c r="EZ20" s="458" t="n">
        <v>0</v>
      </c>
      <c r="FA20" s="458" t="n">
        <v>0</v>
      </c>
      <c r="FB20" s="459" t="n">
        <v>0</v>
      </c>
      <c r="FC20" s="459" t="n">
        <v>0</v>
      </c>
      <c r="FD20" s="459" t="n">
        <v>0</v>
      </c>
      <c r="FE20" s="459" t="n">
        <v>0</v>
      </c>
      <c r="FF20" s="459" t="n">
        <v>0</v>
      </c>
      <c r="FG20" s="459" t="n">
        <v>0</v>
      </c>
      <c r="FH20" s="459" t="n">
        <v>0</v>
      </c>
      <c r="FI20" s="459" t="n">
        <v>0</v>
      </c>
      <c r="FJ20" s="459" t="n">
        <v>0</v>
      </c>
      <c r="FK20" s="459" t="n">
        <v>0</v>
      </c>
      <c r="FL20" s="459" t="n">
        <v>0</v>
      </c>
      <c r="FM20" s="459" t="n">
        <v>0</v>
      </c>
      <c r="FN20" s="458" t="n">
        <v>0</v>
      </c>
      <c r="FO20" s="458" t="n">
        <v>0</v>
      </c>
      <c r="FP20" s="458" t="n">
        <v>0</v>
      </c>
      <c r="FQ20" s="458" t="n">
        <v>0</v>
      </c>
      <c r="FR20" s="458" t="n">
        <v>0</v>
      </c>
      <c r="FS20" s="458" t="n">
        <v>0</v>
      </c>
      <c r="FT20" s="458" t="n">
        <v>0</v>
      </c>
      <c r="FU20" s="458" t="n">
        <v>0</v>
      </c>
      <c r="FV20" s="458" t="n">
        <v>0</v>
      </c>
      <c r="FW20" s="458" t="n">
        <v>0</v>
      </c>
      <c r="FX20" s="458" t="n">
        <v>0</v>
      </c>
      <c r="FY20" s="458" t="n">
        <v>0</v>
      </c>
      <c r="FZ20" s="306" t="n"/>
    </row>
    <row r="21" ht="15" customHeight="1" s="307">
      <c r="A21" s="321" t="inlineStr">
        <is>
          <t xml:space="preserve">    Bonus Pool</t>
        </is>
      </c>
      <c r="B21" s="458" t="n">
        <v>0</v>
      </c>
      <c r="C21" s="458" t="n">
        <v>0</v>
      </c>
      <c r="D21" s="458" t="n">
        <v>0</v>
      </c>
      <c r="E21" s="458" t="n">
        <v>0</v>
      </c>
      <c r="F21" s="458" t="n">
        <v>0</v>
      </c>
      <c r="G21" s="458" t="n">
        <v>0</v>
      </c>
      <c r="H21" s="458" t="n">
        <v>0</v>
      </c>
      <c r="I21" s="458" t="n">
        <v>0</v>
      </c>
      <c r="J21" s="458" t="n">
        <v>0</v>
      </c>
      <c r="K21" s="458" t="n">
        <v>0</v>
      </c>
      <c r="L21" s="458" t="n">
        <v>0</v>
      </c>
      <c r="M21" s="458" t="n">
        <v>0</v>
      </c>
      <c r="N21" s="459" t="n">
        <v>0</v>
      </c>
      <c r="O21" s="459" t="n">
        <v>0</v>
      </c>
      <c r="P21" s="459" t="n">
        <v>0</v>
      </c>
      <c r="Q21" s="459" t="n">
        <v>0</v>
      </c>
      <c r="R21" s="459" t="n">
        <v>0</v>
      </c>
      <c r="S21" s="459" t="n">
        <v>0</v>
      </c>
      <c r="T21" s="459" t="n">
        <v>0</v>
      </c>
      <c r="U21" s="459" t="n">
        <v>0</v>
      </c>
      <c r="V21" s="459" t="n">
        <v>0</v>
      </c>
      <c r="W21" s="459" t="n">
        <v>0</v>
      </c>
      <c r="X21" s="459" t="n">
        <v>0</v>
      </c>
      <c r="Y21" s="459" t="n">
        <v>0</v>
      </c>
      <c r="Z21" s="458" t="n">
        <v>0</v>
      </c>
      <c r="AA21" s="458" t="n">
        <v>0</v>
      </c>
      <c r="AB21" s="458" t="n">
        <v>0</v>
      </c>
      <c r="AC21" s="458" t="n">
        <v>0</v>
      </c>
      <c r="AD21" s="458" t="n">
        <v>0</v>
      </c>
      <c r="AE21" s="458" t="n">
        <v>0</v>
      </c>
      <c r="AF21" s="458" t="n">
        <v>0</v>
      </c>
      <c r="AG21" s="458" t="n">
        <v>0</v>
      </c>
      <c r="AH21" s="458" t="n">
        <v>0</v>
      </c>
      <c r="AI21" s="458" t="n">
        <v>0</v>
      </c>
      <c r="AJ21" s="458" t="n">
        <v>0</v>
      </c>
      <c r="AK21" s="458" t="n">
        <v>5.016</v>
      </c>
      <c r="AL21" s="459" t="n">
        <v>0</v>
      </c>
      <c r="AM21" s="459" t="n">
        <v>0</v>
      </c>
      <c r="AN21" s="459" t="n">
        <v>0</v>
      </c>
      <c r="AO21" s="459" t="n">
        <v>0</v>
      </c>
      <c r="AP21" s="459" t="n">
        <v>0</v>
      </c>
      <c r="AQ21" s="459" t="n">
        <v>0</v>
      </c>
      <c r="AR21" s="459" t="n">
        <v>0</v>
      </c>
      <c r="AS21" s="459" t="n">
        <v>0</v>
      </c>
      <c r="AT21" s="459" t="n">
        <v>0</v>
      </c>
      <c r="AU21" s="459" t="n">
        <v>0</v>
      </c>
      <c r="AV21" s="459" t="n">
        <v>0</v>
      </c>
      <c r="AW21" s="459" t="n">
        <v>2.8056</v>
      </c>
      <c r="AX21" s="458" t="n">
        <v>0</v>
      </c>
      <c r="AY21" s="458" t="n">
        <v>0</v>
      </c>
      <c r="AZ21" s="458" t="n">
        <v>0</v>
      </c>
      <c r="BA21" s="458" t="n">
        <v>0</v>
      </c>
      <c r="BB21" s="458" t="n">
        <v>0</v>
      </c>
      <c r="BC21" s="458" t="n">
        <v>0</v>
      </c>
      <c r="BD21" s="458" t="n">
        <v>0</v>
      </c>
      <c r="BE21" s="458" t="n">
        <v>0</v>
      </c>
      <c r="BF21" s="458" t="n">
        <v>0</v>
      </c>
      <c r="BG21" s="458" t="n">
        <v>0</v>
      </c>
      <c r="BH21" s="458" t="n">
        <v>0</v>
      </c>
      <c r="BI21" s="458" t="n">
        <v>0.6663</v>
      </c>
      <c r="BJ21" s="459" t="n">
        <v>0</v>
      </c>
      <c r="BK21" s="459" t="n">
        <v>0</v>
      </c>
      <c r="BL21" s="459" t="n">
        <v>0</v>
      </c>
      <c r="BM21" s="459" t="n">
        <v>0</v>
      </c>
      <c r="BN21" s="459" t="n">
        <v>0</v>
      </c>
      <c r="BO21" s="459" t="n">
        <v>0</v>
      </c>
      <c r="BP21" s="459" t="n">
        <v>0</v>
      </c>
      <c r="BQ21" s="459" t="n">
        <v>0</v>
      </c>
      <c r="BR21" s="459" t="n">
        <v>0</v>
      </c>
      <c r="BS21" s="459" t="n">
        <v>0</v>
      </c>
      <c r="BT21" s="459" t="n">
        <v>0</v>
      </c>
      <c r="BU21" s="459" t="n">
        <v>0</v>
      </c>
      <c r="BV21" s="458" t="n">
        <v>0</v>
      </c>
      <c r="BW21" s="458" t="n">
        <v>0</v>
      </c>
      <c r="BX21" s="458" t="n">
        <v>0</v>
      </c>
      <c r="BY21" s="458" t="n">
        <v>0</v>
      </c>
      <c r="BZ21" s="458" t="n">
        <v>0</v>
      </c>
      <c r="CA21" s="458" t="n">
        <v>0</v>
      </c>
      <c r="CB21" s="458" t="n">
        <v>0</v>
      </c>
      <c r="CC21" s="458" t="n">
        <v>0</v>
      </c>
      <c r="CD21" s="458" t="n">
        <v>0</v>
      </c>
      <c r="CE21" s="458" t="n">
        <v>0</v>
      </c>
      <c r="CF21" s="458" t="n">
        <v>0</v>
      </c>
      <c r="CG21" s="458" t="n">
        <v>0</v>
      </c>
      <c r="CH21" s="459" t="n">
        <v>0</v>
      </c>
      <c r="CI21" s="459" t="n">
        <v>0</v>
      </c>
      <c r="CJ21" s="459" t="n">
        <v>0</v>
      </c>
      <c r="CK21" s="459" t="n">
        <v>0</v>
      </c>
      <c r="CL21" s="459" t="n">
        <v>0</v>
      </c>
      <c r="CM21" s="459" t="n">
        <v>0</v>
      </c>
      <c r="CN21" s="459" t="n">
        <v>0</v>
      </c>
      <c r="CO21" s="459" t="n">
        <v>0</v>
      </c>
      <c r="CP21" s="459" t="n">
        <v>0</v>
      </c>
      <c r="CQ21" s="459" t="n">
        <v>0</v>
      </c>
      <c r="CR21" s="459" t="n">
        <v>0</v>
      </c>
      <c r="CS21" s="459" t="n">
        <v>0</v>
      </c>
      <c r="CT21" s="458" t="n">
        <v>0</v>
      </c>
      <c r="CU21" s="458" t="n">
        <v>0</v>
      </c>
      <c r="CV21" s="458" t="n">
        <v>0</v>
      </c>
      <c r="CW21" s="458" t="n">
        <v>0</v>
      </c>
      <c r="CX21" s="458" t="n">
        <v>0</v>
      </c>
      <c r="CY21" s="458" t="n">
        <v>0</v>
      </c>
      <c r="CZ21" s="458" t="n">
        <v>0</v>
      </c>
      <c r="DA21" s="458" t="n">
        <v>0</v>
      </c>
      <c r="DB21" s="458" t="n">
        <v>0</v>
      </c>
      <c r="DC21" s="458" t="n">
        <v>0</v>
      </c>
      <c r="DD21" s="458" t="n">
        <v>0</v>
      </c>
      <c r="DE21" s="458" t="n">
        <v>0</v>
      </c>
      <c r="DF21" s="459" t="n">
        <v>0</v>
      </c>
      <c r="DG21" s="459" t="n">
        <v>0</v>
      </c>
      <c r="DH21" s="459" t="n">
        <v>0</v>
      </c>
      <c r="DI21" s="459" t="n">
        <v>0</v>
      </c>
      <c r="DJ21" s="459" t="n">
        <v>0</v>
      </c>
      <c r="DK21" s="459" t="n">
        <v>0</v>
      </c>
      <c r="DL21" s="459" t="n">
        <v>0</v>
      </c>
      <c r="DM21" s="459" t="n">
        <v>0</v>
      </c>
      <c r="DN21" s="459" t="n">
        <v>0</v>
      </c>
      <c r="DO21" s="459" t="n">
        <v>0</v>
      </c>
      <c r="DP21" s="459" t="n">
        <v>0</v>
      </c>
      <c r="DQ21" s="459" t="n">
        <v>0</v>
      </c>
      <c r="DR21" s="458" t="n">
        <v>0</v>
      </c>
      <c r="DS21" s="458" t="n">
        <v>0</v>
      </c>
      <c r="DT21" s="458" t="n">
        <v>0</v>
      </c>
      <c r="DU21" s="458" t="n">
        <v>0</v>
      </c>
      <c r="DV21" s="458" t="n">
        <v>0</v>
      </c>
      <c r="DW21" s="458" t="n">
        <v>0</v>
      </c>
      <c r="DX21" s="458" t="n">
        <v>0</v>
      </c>
      <c r="DY21" s="458" t="n">
        <v>0</v>
      </c>
      <c r="DZ21" s="458" t="n">
        <v>0</v>
      </c>
      <c r="EA21" s="458" t="n">
        <v>0</v>
      </c>
      <c r="EB21" s="458" t="n">
        <v>0</v>
      </c>
      <c r="EC21" s="458" t="n">
        <v>0</v>
      </c>
      <c r="ED21" s="459" t="n">
        <v>0</v>
      </c>
      <c r="EE21" s="459" t="n">
        <v>0</v>
      </c>
      <c r="EF21" s="459" t="n">
        <v>0</v>
      </c>
      <c r="EG21" s="459" t="n">
        <v>0</v>
      </c>
      <c r="EH21" s="459" t="n">
        <v>0</v>
      </c>
      <c r="EI21" s="459" t="n">
        <v>0</v>
      </c>
      <c r="EJ21" s="459" t="n">
        <v>0</v>
      </c>
      <c r="EK21" s="459" t="n">
        <v>0</v>
      </c>
      <c r="EL21" s="459" t="n">
        <v>0</v>
      </c>
      <c r="EM21" s="459" t="n">
        <v>0</v>
      </c>
      <c r="EN21" s="459" t="n">
        <v>0</v>
      </c>
      <c r="EO21" s="459" t="n">
        <v>0</v>
      </c>
      <c r="EP21" s="458" t="n">
        <v>0</v>
      </c>
      <c r="EQ21" s="458" t="n">
        <v>0</v>
      </c>
      <c r="ER21" s="458" t="n">
        <v>0</v>
      </c>
      <c r="ES21" s="458" t="n">
        <v>0</v>
      </c>
      <c r="ET21" s="458" t="n">
        <v>0</v>
      </c>
      <c r="EU21" s="458" t="n">
        <v>0</v>
      </c>
      <c r="EV21" s="458" t="n">
        <v>0</v>
      </c>
      <c r="EW21" s="458" t="n">
        <v>0</v>
      </c>
      <c r="EX21" s="458" t="n">
        <v>0</v>
      </c>
      <c r="EY21" s="458" t="n">
        <v>0</v>
      </c>
      <c r="EZ21" s="458" t="n">
        <v>0</v>
      </c>
      <c r="FA21" s="458" t="n">
        <v>0</v>
      </c>
      <c r="FB21" s="459" t="n">
        <v>0</v>
      </c>
      <c r="FC21" s="459" t="n">
        <v>0</v>
      </c>
      <c r="FD21" s="459" t="n">
        <v>0</v>
      </c>
      <c r="FE21" s="459" t="n">
        <v>0</v>
      </c>
      <c r="FF21" s="459" t="n">
        <v>0</v>
      </c>
      <c r="FG21" s="459" t="n">
        <v>0</v>
      </c>
      <c r="FH21" s="459" t="n">
        <v>0</v>
      </c>
      <c r="FI21" s="459" t="n">
        <v>0</v>
      </c>
      <c r="FJ21" s="459" t="n">
        <v>0</v>
      </c>
      <c r="FK21" s="459" t="n">
        <v>0</v>
      </c>
      <c r="FL21" s="459" t="n">
        <v>0</v>
      </c>
      <c r="FM21" s="459" t="n">
        <v>0</v>
      </c>
      <c r="FN21" s="458" t="n">
        <v>0</v>
      </c>
      <c r="FO21" s="458" t="n">
        <v>0</v>
      </c>
      <c r="FP21" s="458" t="n">
        <v>0</v>
      </c>
      <c r="FQ21" s="458" t="n">
        <v>0</v>
      </c>
      <c r="FR21" s="458" t="n">
        <v>0</v>
      </c>
      <c r="FS21" s="458" t="n">
        <v>0</v>
      </c>
      <c r="FT21" s="458" t="n">
        <v>0</v>
      </c>
      <c r="FU21" s="458" t="n">
        <v>0</v>
      </c>
      <c r="FV21" s="458" t="n">
        <v>0</v>
      </c>
      <c r="FW21" s="458" t="n">
        <v>0</v>
      </c>
      <c r="FX21" s="458" t="n">
        <v>0</v>
      </c>
      <c r="FY21" s="458" t="n">
        <v>0</v>
      </c>
      <c r="FZ21" s="306" t="n"/>
    </row>
    <row r="22" ht="15" customHeight="1" s="307">
      <c r="A22" s="460" t="inlineStr">
        <is>
          <t>Total Operating Expenses</t>
        </is>
      </c>
      <c r="B22" s="461" t="n">
        <v>0.0813</v>
      </c>
      <c r="C22" s="461" t="n">
        <v>0.0813</v>
      </c>
      <c r="D22" s="461" t="n">
        <v>0.0813</v>
      </c>
      <c r="E22" s="461" t="n">
        <v>1.9385</v>
      </c>
      <c r="F22" s="461" t="n">
        <v>1.7504</v>
      </c>
      <c r="G22" s="461" t="n">
        <v>1.567</v>
      </c>
      <c r="H22" s="461" t="n">
        <v>3.779</v>
      </c>
      <c r="I22" s="461" t="n">
        <v>2.9175</v>
      </c>
      <c r="J22" s="461" t="n">
        <v>2.553</v>
      </c>
      <c r="K22" s="461" t="n">
        <v>4.1334</v>
      </c>
      <c r="L22" s="461" t="n">
        <v>3.6665</v>
      </c>
      <c r="M22" s="461" t="n">
        <v>4.8637</v>
      </c>
      <c r="N22" s="462" t="n">
        <v>4.5409</v>
      </c>
      <c r="O22" s="462" t="n">
        <v>4.0294</v>
      </c>
      <c r="P22" s="462" t="n">
        <v>3.531</v>
      </c>
      <c r="Q22" s="462" t="n">
        <v>4.6533</v>
      </c>
      <c r="R22" s="462" t="n">
        <v>4.1607</v>
      </c>
      <c r="S22" s="462" t="n">
        <v>3.6807</v>
      </c>
      <c r="T22" s="462" t="n">
        <v>3.3149</v>
      </c>
      <c r="U22" s="462" t="n">
        <v>3.0107</v>
      </c>
      <c r="V22" s="462" t="n">
        <v>2.7143</v>
      </c>
      <c r="W22" s="462" t="n">
        <v>2.4255</v>
      </c>
      <c r="X22" s="462" t="n">
        <v>2.3014</v>
      </c>
      <c r="Y22" s="462" t="n">
        <v>2.1804</v>
      </c>
      <c r="Z22" s="461" t="n">
        <v>2.1124</v>
      </c>
      <c r="AA22" s="461" t="n">
        <v>2.046</v>
      </c>
      <c r="AB22" s="461" t="n">
        <v>1.9812</v>
      </c>
      <c r="AC22" s="461" t="n">
        <v>1.9179</v>
      </c>
      <c r="AD22" s="461" t="n">
        <v>1.9049</v>
      </c>
      <c r="AE22" s="461" t="n">
        <v>1.8921</v>
      </c>
      <c r="AF22" s="461" t="n">
        <v>1.8795</v>
      </c>
      <c r="AG22" s="461" t="n">
        <v>1.8671</v>
      </c>
      <c r="AH22" s="461" t="n">
        <v>1.8548</v>
      </c>
      <c r="AI22" s="461" t="n">
        <v>1.8427</v>
      </c>
      <c r="AJ22" s="461" t="n">
        <v>1.8308</v>
      </c>
      <c r="AK22" s="461" t="n">
        <v>6.8349</v>
      </c>
      <c r="AL22" s="462" t="n">
        <v>1.8074</v>
      </c>
      <c r="AM22" s="462" t="n">
        <v>1.7959</v>
      </c>
      <c r="AN22" s="462" t="n">
        <v>1.7846</v>
      </c>
      <c r="AO22" s="462" t="n">
        <v>1.7734</v>
      </c>
      <c r="AP22" s="462" t="n">
        <v>1.7624</v>
      </c>
      <c r="AQ22" s="462" t="n">
        <v>1.7515</v>
      </c>
      <c r="AR22" s="462" t="n">
        <v>1.7408</v>
      </c>
      <c r="AS22" s="462" t="n">
        <v>1.7302</v>
      </c>
      <c r="AT22" s="462" t="n">
        <v>1.7198</v>
      </c>
      <c r="AU22" s="462" t="n">
        <v>1.7095</v>
      </c>
      <c r="AV22" s="462" t="n">
        <v>1.6994</v>
      </c>
      <c r="AW22" s="462" t="n">
        <v>4.4949</v>
      </c>
      <c r="AX22" s="461" t="n">
        <v>1.6795</v>
      </c>
      <c r="AY22" s="461" t="n">
        <v>1.6697</v>
      </c>
      <c r="AZ22" s="461" t="n">
        <v>1.6601</v>
      </c>
      <c r="BA22" s="461" t="n">
        <v>1.6506</v>
      </c>
      <c r="BB22" s="461" t="n">
        <v>1.6412</v>
      </c>
      <c r="BC22" s="461" t="n">
        <v>1.632</v>
      </c>
      <c r="BD22" s="461" t="n">
        <v>1.6229</v>
      </c>
      <c r="BE22" s="461" t="n">
        <v>1.6139</v>
      </c>
      <c r="BF22" s="461" t="n">
        <v>1.605</v>
      </c>
      <c r="BG22" s="461" t="n">
        <v>1.5963</v>
      </c>
      <c r="BH22" s="461" t="n">
        <v>1.5877</v>
      </c>
      <c r="BI22" s="461" t="n">
        <v>2.2454</v>
      </c>
      <c r="BJ22" s="462" t="n">
        <v>1.5707</v>
      </c>
      <c r="BK22" s="462" t="n">
        <v>1.5625</v>
      </c>
      <c r="BL22" s="462" t="n">
        <v>1.5543</v>
      </c>
      <c r="BM22" s="462" t="n">
        <v>1.5462</v>
      </c>
      <c r="BN22" s="462" t="n">
        <v>1.5383</v>
      </c>
      <c r="BO22" s="462" t="n">
        <v>1.5304</v>
      </c>
      <c r="BP22" s="462" t="n">
        <v>1.5227</v>
      </c>
      <c r="BQ22" s="462" t="n">
        <v>1.515</v>
      </c>
      <c r="BR22" s="462" t="n">
        <v>1.5075</v>
      </c>
      <c r="BS22" s="462" t="n">
        <v>1.5</v>
      </c>
      <c r="BT22" s="462" t="n">
        <v>1.4927</v>
      </c>
      <c r="BU22" s="462" t="n">
        <v>1.4855</v>
      </c>
      <c r="BV22" s="461" t="n">
        <v>1.4783</v>
      </c>
      <c r="BW22" s="461" t="n">
        <v>1.4713</v>
      </c>
      <c r="BX22" s="461" t="n">
        <v>1.4643</v>
      </c>
      <c r="BY22" s="461" t="n">
        <v>1.4575</v>
      </c>
      <c r="BZ22" s="461" t="n">
        <v>1.4507</v>
      </c>
      <c r="CA22" s="461" t="n">
        <v>1.444</v>
      </c>
      <c r="CB22" s="461" t="n">
        <v>1.4375</v>
      </c>
      <c r="CC22" s="461" t="n">
        <v>1.431</v>
      </c>
      <c r="CD22" s="461" t="n">
        <v>1.4246</v>
      </c>
      <c r="CE22" s="461" t="n">
        <v>1.4182</v>
      </c>
      <c r="CF22" s="461" t="n">
        <v>1.412</v>
      </c>
      <c r="CG22" s="461" t="n">
        <v>1.4059</v>
      </c>
      <c r="CH22" s="462" t="n">
        <v>1.3998</v>
      </c>
      <c r="CI22" s="462" t="n">
        <v>1.3938</v>
      </c>
      <c r="CJ22" s="462" t="n">
        <v>1.3879</v>
      </c>
      <c r="CK22" s="462" t="n">
        <v>1.3821</v>
      </c>
      <c r="CL22" s="462" t="n">
        <v>1.3763</v>
      </c>
      <c r="CM22" s="462" t="n">
        <v>1.3706</v>
      </c>
      <c r="CN22" s="462" t="n">
        <v>1.365</v>
      </c>
      <c r="CO22" s="462" t="n">
        <v>1.3595</v>
      </c>
      <c r="CP22" s="462" t="n">
        <v>1.3541</v>
      </c>
      <c r="CQ22" s="462" t="n">
        <v>1.3487</v>
      </c>
      <c r="CR22" s="462" t="n">
        <v>1.3434</v>
      </c>
      <c r="CS22" s="462" t="n">
        <v>1.3382</v>
      </c>
      <c r="CT22" s="461" t="n">
        <v>1.333</v>
      </c>
      <c r="CU22" s="461" t="n">
        <v>1.3279</v>
      </c>
      <c r="CV22" s="461" t="n">
        <v>1.3229</v>
      </c>
      <c r="CW22" s="461" t="n">
        <v>1.318</v>
      </c>
      <c r="CX22" s="461" t="n">
        <v>1.3131</v>
      </c>
      <c r="CY22" s="461" t="n">
        <v>1.3082</v>
      </c>
      <c r="CZ22" s="461" t="n">
        <v>1.3035</v>
      </c>
      <c r="DA22" s="461" t="n">
        <v>1.2988</v>
      </c>
      <c r="DB22" s="461" t="n">
        <v>1.2942</v>
      </c>
      <c r="DC22" s="461" t="n">
        <v>1.2896</v>
      </c>
      <c r="DD22" s="461" t="n">
        <v>1.2851</v>
      </c>
      <c r="DE22" s="461" t="n">
        <v>1.2807</v>
      </c>
      <c r="DF22" s="462" t="n">
        <v>1.2763</v>
      </c>
      <c r="DG22" s="462" t="n">
        <v>1.2719</v>
      </c>
      <c r="DH22" s="462" t="n">
        <v>1.2677</v>
      </c>
      <c r="DI22" s="462" t="n">
        <v>1.2635</v>
      </c>
      <c r="DJ22" s="462" t="n">
        <v>1.2593</v>
      </c>
      <c r="DK22" s="462" t="n">
        <v>1.2552</v>
      </c>
      <c r="DL22" s="462" t="n">
        <v>1.2512</v>
      </c>
      <c r="DM22" s="462" t="n">
        <v>1.2472</v>
      </c>
      <c r="DN22" s="462" t="n">
        <v>1.2432</v>
      </c>
      <c r="DO22" s="462" t="n">
        <v>1.2394</v>
      </c>
      <c r="DP22" s="462" t="n">
        <v>1.2355</v>
      </c>
      <c r="DQ22" s="462" t="n">
        <v>1.2318</v>
      </c>
      <c r="DR22" s="461" t="n">
        <v>1.228</v>
      </c>
      <c r="DS22" s="461" t="n">
        <v>1.2244</v>
      </c>
      <c r="DT22" s="461" t="n">
        <v>1.2207</v>
      </c>
      <c r="DU22" s="461" t="n">
        <v>1.2171</v>
      </c>
      <c r="DV22" s="461" t="n">
        <v>1.2136</v>
      </c>
      <c r="DW22" s="461" t="n">
        <v>1.2101</v>
      </c>
      <c r="DX22" s="461" t="n">
        <v>1.2067</v>
      </c>
      <c r="DY22" s="461" t="n">
        <v>1.2033</v>
      </c>
      <c r="DZ22" s="461" t="n">
        <v>1.2</v>
      </c>
      <c r="EA22" s="461" t="n">
        <v>1.1967</v>
      </c>
      <c r="EB22" s="461" t="n">
        <v>1.1934</v>
      </c>
      <c r="EC22" s="461" t="n">
        <v>1.1902</v>
      </c>
      <c r="ED22" s="462" t="n">
        <v>1.187</v>
      </c>
      <c r="EE22" s="462" t="n">
        <v>1.1839</v>
      </c>
      <c r="EF22" s="462" t="n">
        <v>1.1808</v>
      </c>
      <c r="EG22" s="462" t="n">
        <v>1.1778</v>
      </c>
      <c r="EH22" s="462" t="n">
        <v>1.1748</v>
      </c>
      <c r="EI22" s="462" t="n">
        <v>1.1718</v>
      </c>
      <c r="EJ22" s="462" t="n">
        <v>1.1689</v>
      </c>
      <c r="EK22" s="462" t="n">
        <v>1.166</v>
      </c>
      <c r="EL22" s="462" t="n">
        <v>1.1632</v>
      </c>
      <c r="EM22" s="462" t="n">
        <v>1.1604</v>
      </c>
      <c r="EN22" s="462" t="n">
        <v>1.1576</v>
      </c>
      <c r="EO22" s="462" t="n">
        <v>1.1549</v>
      </c>
      <c r="EP22" s="461" t="n">
        <v>1.1522</v>
      </c>
      <c r="EQ22" s="461" t="n">
        <v>1.1495</v>
      </c>
      <c r="ER22" s="461" t="n">
        <v>1.1469</v>
      </c>
      <c r="ES22" s="461" t="n">
        <v>1.1443</v>
      </c>
      <c r="ET22" s="461" t="n">
        <v>1.1418</v>
      </c>
      <c r="EU22" s="461" t="n">
        <v>1.1392</v>
      </c>
      <c r="EV22" s="461" t="n">
        <v>1.1368</v>
      </c>
      <c r="EW22" s="461" t="n">
        <v>1.1343</v>
      </c>
      <c r="EX22" s="461" t="n">
        <v>1.1319</v>
      </c>
      <c r="EY22" s="461" t="n">
        <v>1.1295</v>
      </c>
      <c r="EZ22" s="461" t="n">
        <v>1.1272</v>
      </c>
      <c r="FA22" s="461" t="n">
        <v>1.1248</v>
      </c>
      <c r="FB22" s="462" t="n">
        <v>1.1226</v>
      </c>
      <c r="FC22" s="462" t="n">
        <v>1.1203</v>
      </c>
      <c r="FD22" s="462" t="n">
        <v>1.1181</v>
      </c>
      <c r="FE22" s="462" t="n">
        <v>1.1159</v>
      </c>
      <c r="FF22" s="462" t="n">
        <v>1.1137</v>
      </c>
      <c r="FG22" s="462" t="n">
        <v>1.1116</v>
      </c>
      <c r="FH22" s="462" t="n">
        <v>1.1095</v>
      </c>
      <c r="FI22" s="462" t="n">
        <v>1.1074</v>
      </c>
      <c r="FJ22" s="462" t="n">
        <v>1.1053</v>
      </c>
      <c r="FK22" s="462" t="n">
        <v>1.1033</v>
      </c>
      <c r="FL22" s="462" t="n">
        <v>1.1013</v>
      </c>
      <c r="FM22" s="462" t="n">
        <v>1.0993</v>
      </c>
      <c r="FN22" s="461" t="n">
        <v>1.0974</v>
      </c>
      <c r="FO22" s="461" t="n">
        <v>1.0955</v>
      </c>
      <c r="FP22" s="461" t="n">
        <v>1.0936</v>
      </c>
      <c r="FQ22" s="461" t="n">
        <v>1.0917</v>
      </c>
      <c r="FR22" s="461" t="n">
        <v>1.0899</v>
      </c>
      <c r="FS22" s="461" t="n">
        <v>1.088</v>
      </c>
      <c r="FT22" s="461" t="n">
        <v>1.0862</v>
      </c>
      <c r="FU22" s="461" t="n">
        <v>1.0845</v>
      </c>
      <c r="FV22" s="461" t="n">
        <v>1.0827</v>
      </c>
      <c r="FW22" s="461" t="n">
        <v>1.081</v>
      </c>
      <c r="FX22" s="461" t="n">
        <v>1.0793</v>
      </c>
      <c r="FY22" s="461" t="n">
        <v>1.0776</v>
      </c>
      <c r="FZ22" s="306" t="n"/>
    </row>
    <row r="23" ht="15" customHeight="1" s="307">
      <c r="A23" s="312" t="n"/>
      <c r="B23" s="464" t="n"/>
      <c r="C23" s="464" t="n"/>
      <c r="D23" s="464" t="n"/>
      <c r="E23" s="464" t="n"/>
      <c r="F23" s="464" t="n"/>
      <c r="G23" s="464" t="n"/>
      <c r="H23" s="464" t="n"/>
      <c r="I23" s="464" t="n"/>
      <c r="J23" s="464" t="n"/>
      <c r="K23" s="464" t="n"/>
      <c r="L23" s="464" t="n"/>
      <c r="M23" s="464" t="n"/>
      <c r="N23" s="464" t="n"/>
      <c r="O23" s="464" t="n"/>
      <c r="P23" s="464" t="n"/>
      <c r="Q23" s="464" t="n"/>
      <c r="R23" s="464" t="n"/>
      <c r="S23" s="464" t="n"/>
      <c r="T23" s="464" t="n"/>
      <c r="U23" s="464" t="n"/>
      <c r="V23" s="464" t="n"/>
      <c r="W23" s="464" t="n"/>
      <c r="X23" s="464" t="n"/>
      <c r="Y23" s="464" t="n"/>
      <c r="Z23" s="464" t="n"/>
      <c r="AA23" s="464" t="n"/>
      <c r="AB23" s="464" t="n"/>
      <c r="AC23" s="464" t="n"/>
      <c r="AD23" s="464" t="n"/>
      <c r="AE23" s="464" t="n"/>
      <c r="AF23" s="464" t="n"/>
      <c r="AG23" s="464" t="n"/>
      <c r="AH23" s="464" t="n"/>
      <c r="AI23" s="464" t="n"/>
      <c r="AJ23" s="464" t="n"/>
      <c r="AK23" s="464" t="n"/>
      <c r="AL23" s="464" t="n"/>
      <c r="AM23" s="464" t="n"/>
      <c r="AN23" s="464" t="n"/>
      <c r="AO23" s="464" t="n"/>
      <c r="AP23" s="464" t="n"/>
      <c r="AQ23" s="464" t="n"/>
      <c r="AR23" s="464" t="n"/>
      <c r="AS23" s="464" t="n"/>
      <c r="AT23" s="464" t="n"/>
      <c r="AU23" s="464" t="n"/>
      <c r="AV23" s="464" t="n"/>
      <c r="AW23" s="464" t="n"/>
      <c r="AX23" s="464" t="n"/>
      <c r="AY23" s="464" t="n"/>
      <c r="AZ23" s="464" t="n"/>
      <c r="BA23" s="464" t="n"/>
      <c r="BB23" s="464" t="n"/>
      <c r="BC23" s="464" t="n"/>
      <c r="BD23" s="464" t="n"/>
      <c r="BE23" s="464" t="n"/>
      <c r="BF23" s="464" t="n"/>
      <c r="BG23" s="464" t="n"/>
      <c r="BH23" s="464" t="n"/>
      <c r="BI23" s="464" t="n"/>
      <c r="BJ23" s="464" t="n"/>
      <c r="BK23" s="464" t="n"/>
      <c r="BL23" s="464" t="n"/>
      <c r="BM23" s="464" t="n"/>
      <c r="BN23" s="464" t="n"/>
      <c r="BO23" s="464" t="n"/>
      <c r="BP23" s="464" t="n"/>
      <c r="BQ23" s="464" t="n"/>
      <c r="BR23" s="464" t="n"/>
      <c r="BS23" s="464" t="n"/>
      <c r="BT23" s="464" t="n"/>
      <c r="BU23" s="464" t="n"/>
      <c r="BV23" s="464" t="n"/>
      <c r="BW23" s="464" t="n"/>
      <c r="BX23" s="464" t="n"/>
      <c r="BY23" s="464" t="n"/>
      <c r="BZ23" s="464" t="n"/>
      <c r="CA23" s="464" t="n"/>
      <c r="CB23" s="464" t="n"/>
      <c r="CC23" s="464" t="n"/>
      <c r="CD23" s="464" t="n"/>
      <c r="CE23" s="464" t="n"/>
      <c r="CF23" s="464" t="n"/>
      <c r="CG23" s="464" t="n"/>
      <c r="CH23" s="464" t="n"/>
      <c r="CI23" s="464" t="n"/>
      <c r="CJ23" s="464" t="n"/>
      <c r="CK23" s="464" t="n"/>
      <c r="CL23" s="464" t="n"/>
      <c r="CM23" s="464" t="n"/>
      <c r="CN23" s="464" t="n"/>
      <c r="CO23" s="464" t="n"/>
      <c r="CP23" s="464" t="n"/>
      <c r="CQ23" s="464" t="n"/>
      <c r="CR23" s="464" t="n"/>
      <c r="CS23" s="464" t="n"/>
      <c r="CT23" s="464" t="n"/>
      <c r="CU23" s="464" t="n"/>
      <c r="CV23" s="464" t="n"/>
      <c r="CW23" s="464" t="n"/>
      <c r="CX23" s="464" t="n"/>
      <c r="CY23" s="464" t="n"/>
      <c r="CZ23" s="464" t="n"/>
      <c r="DA23" s="464" t="n"/>
      <c r="DB23" s="464" t="n"/>
      <c r="DC23" s="464" t="n"/>
      <c r="DD23" s="464" t="n"/>
      <c r="DE23" s="464" t="n"/>
      <c r="DF23" s="464" t="n"/>
      <c r="DG23" s="464" t="n"/>
      <c r="DH23" s="464" t="n"/>
      <c r="DI23" s="464" t="n"/>
      <c r="DJ23" s="464" t="n"/>
      <c r="DK23" s="464" t="n"/>
      <c r="DL23" s="464" t="n"/>
      <c r="DM23" s="464" t="n"/>
      <c r="DN23" s="464" t="n"/>
      <c r="DO23" s="464" t="n"/>
      <c r="DP23" s="464" t="n"/>
      <c r="DQ23" s="464" t="n"/>
      <c r="DR23" s="464" t="n"/>
      <c r="DS23" s="464" t="n"/>
      <c r="DT23" s="464" t="n"/>
      <c r="DU23" s="464" t="n"/>
      <c r="DV23" s="464" t="n"/>
      <c r="DW23" s="464" t="n"/>
      <c r="DX23" s="464" t="n"/>
      <c r="DY23" s="464" t="n"/>
      <c r="DZ23" s="464" t="n"/>
      <c r="EA23" s="464" t="n"/>
      <c r="EB23" s="464" t="n"/>
      <c r="EC23" s="464" t="n"/>
      <c r="ED23" s="464" t="n"/>
      <c r="EE23" s="464" t="n"/>
      <c r="EF23" s="464" t="n"/>
      <c r="EG23" s="464" t="n"/>
      <c r="EH23" s="464" t="n"/>
      <c r="EI23" s="464" t="n"/>
      <c r="EJ23" s="464" t="n"/>
      <c r="EK23" s="464" t="n"/>
      <c r="EL23" s="464" t="n"/>
      <c r="EM23" s="464" t="n"/>
      <c r="EN23" s="464" t="n"/>
      <c r="EO23" s="464" t="n"/>
      <c r="EP23" s="464" t="n"/>
      <c r="EQ23" s="464" t="n"/>
      <c r="ER23" s="464" t="n"/>
      <c r="ES23" s="464" t="n"/>
      <c r="ET23" s="464" t="n"/>
      <c r="EU23" s="464" t="n"/>
      <c r="EV23" s="464" t="n"/>
      <c r="EW23" s="464" t="n"/>
      <c r="EX23" s="464" t="n"/>
      <c r="EY23" s="464" t="n"/>
      <c r="EZ23" s="464" t="n"/>
      <c r="FA23" s="464" t="n"/>
      <c r="FB23" s="464" t="n"/>
      <c r="FC23" s="464" t="n"/>
      <c r="FD23" s="464" t="n"/>
      <c r="FE23" s="464" t="n"/>
      <c r="FF23" s="464" t="n"/>
      <c r="FG23" s="464" t="n"/>
      <c r="FH23" s="464" t="n"/>
      <c r="FI23" s="464" t="n"/>
      <c r="FJ23" s="464" t="n"/>
      <c r="FK23" s="464" t="n"/>
      <c r="FL23" s="464" t="n"/>
      <c r="FM23" s="464" t="n"/>
      <c r="FN23" s="464" t="n"/>
      <c r="FO23" s="464" t="n"/>
      <c r="FP23" s="464" t="n"/>
      <c r="FQ23" s="464" t="n"/>
      <c r="FR23" s="464" t="n"/>
      <c r="FS23" s="464" t="n"/>
      <c r="FT23" s="464" t="n"/>
      <c r="FU23" s="464" t="n"/>
      <c r="FV23" s="464" t="n"/>
      <c r="FW23" s="464" t="n"/>
      <c r="FX23" s="464" t="n"/>
      <c r="FY23" s="464" t="n"/>
      <c r="FZ23" s="306" t="n"/>
    </row>
    <row r="24" ht="15" customHeight="1" s="307">
      <c r="A24" s="322" t="inlineStr">
        <is>
          <t>EBITDA</t>
        </is>
      </c>
      <c r="B24" s="465" t="n">
        <v>-0.0813</v>
      </c>
      <c r="C24" s="465" t="n">
        <v>-0.0813</v>
      </c>
      <c r="D24" s="465" t="n">
        <v>-0.0813</v>
      </c>
      <c r="E24" s="465" t="n">
        <v>-0.3385</v>
      </c>
      <c r="F24" s="465" t="n">
        <v>-0.1193</v>
      </c>
      <c r="G24" s="465" t="n">
        <v>0.094</v>
      </c>
      <c r="H24" s="465" t="n">
        <v>-0.389</v>
      </c>
      <c r="I24" s="465" t="n">
        <v>0.5333</v>
      </c>
      <c r="J24" s="465" t="n">
        <v>0.9563</v>
      </c>
      <c r="K24" s="465" t="n">
        <v>1.3136</v>
      </c>
      <c r="L24" s="465" t="n">
        <v>1.8227</v>
      </c>
      <c r="M24" s="465" t="n">
        <v>2.2907</v>
      </c>
      <c r="N24" s="466" t="n">
        <v>2.6832</v>
      </c>
      <c r="O24" s="466" t="n">
        <v>3.2096</v>
      </c>
      <c r="P24" s="466" t="n">
        <v>3.7212</v>
      </c>
      <c r="Q24" s="466" t="n">
        <v>4.198</v>
      </c>
      <c r="R24" s="466" t="n">
        <v>4.6743</v>
      </c>
      <c r="S24" s="466" t="n">
        <v>5.1369</v>
      </c>
      <c r="T24" s="466" t="n">
        <v>5.4349</v>
      </c>
      <c r="U24" s="466" t="n">
        <v>5.6715</v>
      </c>
      <c r="V24" s="466" t="n">
        <v>5.9006</v>
      </c>
      <c r="W24" s="466" t="n">
        <v>6.1223</v>
      </c>
      <c r="X24" s="466" t="n">
        <v>6.1314</v>
      </c>
      <c r="Y24" s="466" t="n">
        <v>6.1389</v>
      </c>
      <c r="Z24" s="465" t="n">
        <v>6.0951</v>
      </c>
      <c r="AA24" s="465" t="n">
        <v>6.0511</v>
      </c>
      <c r="AB24" s="465" t="n">
        <v>6.007</v>
      </c>
      <c r="AC24" s="465" t="n">
        <v>5.9628</v>
      </c>
      <c r="AD24" s="465" t="n">
        <v>5.8697</v>
      </c>
      <c r="AE24" s="465" t="n">
        <v>5.7779</v>
      </c>
      <c r="AF24" s="465" t="n">
        <v>5.6874</v>
      </c>
      <c r="AG24" s="465" t="n">
        <v>5.598</v>
      </c>
      <c r="AH24" s="465" t="n">
        <v>5.5099</v>
      </c>
      <c r="AI24" s="465" t="n">
        <v>5.4229</v>
      </c>
      <c r="AJ24" s="465" t="n">
        <v>5.3371</v>
      </c>
      <c r="AK24" s="465" t="n">
        <v>0.2365</v>
      </c>
      <c r="AL24" s="466" t="n">
        <v>5.169</v>
      </c>
      <c r="AM24" s="466" t="n">
        <v>5.0866</v>
      </c>
      <c r="AN24" s="466" t="n">
        <v>5.0053</v>
      </c>
      <c r="AO24" s="466" t="n">
        <v>4.9252</v>
      </c>
      <c r="AP24" s="466" t="n">
        <v>4.8461</v>
      </c>
      <c r="AQ24" s="466" t="n">
        <v>4.768</v>
      </c>
      <c r="AR24" s="466" t="n">
        <v>4.6911</v>
      </c>
      <c r="AS24" s="466" t="n">
        <v>4.6151</v>
      </c>
      <c r="AT24" s="466" t="n">
        <v>4.5402</v>
      </c>
      <c r="AU24" s="466" t="n">
        <v>4.4663</v>
      </c>
      <c r="AV24" s="466" t="n">
        <v>4.3934</v>
      </c>
      <c r="AW24" s="466" t="n">
        <v>1.5158</v>
      </c>
      <c r="AX24" s="465" t="n">
        <v>4.2504</v>
      </c>
      <c r="AY24" s="465" t="n">
        <v>4.1804</v>
      </c>
      <c r="AZ24" s="465" t="n">
        <v>4.1113</v>
      </c>
      <c r="BA24" s="465" t="n">
        <v>4.0432</v>
      </c>
      <c r="BB24" s="465" t="n">
        <v>3.976</v>
      </c>
      <c r="BC24" s="465" t="n">
        <v>3.9096</v>
      </c>
      <c r="BD24" s="465" t="n">
        <v>3.8442</v>
      </c>
      <c r="BE24" s="465" t="n">
        <v>3.7796</v>
      </c>
      <c r="BF24" s="465" t="n">
        <v>3.716</v>
      </c>
      <c r="BG24" s="465" t="n">
        <v>3.6531</v>
      </c>
      <c r="BH24" s="465" t="n">
        <v>3.5911</v>
      </c>
      <c r="BI24" s="465" t="n">
        <v>2.8637</v>
      </c>
      <c r="BJ24" s="466" t="n">
        <v>3.4697</v>
      </c>
      <c r="BK24" s="466" t="n">
        <v>3.4102</v>
      </c>
      <c r="BL24" s="466" t="n">
        <v>3.3514</v>
      </c>
      <c r="BM24" s="466" t="n">
        <v>3.2935</v>
      </c>
      <c r="BN24" s="466" t="n">
        <v>3.2364</v>
      </c>
      <c r="BO24" s="466" t="n">
        <v>3.18</v>
      </c>
      <c r="BP24" s="466" t="n">
        <v>3.1244</v>
      </c>
      <c r="BQ24" s="466" t="n">
        <v>3.0695</v>
      </c>
      <c r="BR24" s="466" t="n">
        <v>3.0154</v>
      </c>
      <c r="BS24" s="466" t="n">
        <v>2.962</v>
      </c>
      <c r="BT24" s="466" t="n">
        <v>2.9093</v>
      </c>
      <c r="BU24" s="466" t="n">
        <v>2.8573</v>
      </c>
      <c r="BV24" s="465" t="n">
        <v>2.806</v>
      </c>
      <c r="BW24" s="465" t="n">
        <v>2.7554</v>
      </c>
      <c r="BX24" s="465" t="n">
        <v>2.7055</v>
      </c>
      <c r="BY24" s="465" t="n">
        <v>2.6563</v>
      </c>
      <c r="BZ24" s="465" t="n">
        <v>2.6077</v>
      </c>
      <c r="CA24" s="465" t="n">
        <v>2.5598</v>
      </c>
      <c r="CB24" s="465" t="n">
        <v>2.5125</v>
      </c>
      <c r="CC24" s="465" t="n">
        <v>2.4659</v>
      </c>
      <c r="CD24" s="465" t="n">
        <v>2.4199</v>
      </c>
      <c r="CE24" s="465" t="n">
        <v>2.3745</v>
      </c>
      <c r="CF24" s="465" t="n">
        <v>2.3297</v>
      </c>
      <c r="CG24" s="465" t="n">
        <v>2.2855</v>
      </c>
      <c r="CH24" s="466" t="n">
        <v>2.2419</v>
      </c>
      <c r="CI24" s="466" t="n">
        <v>2.1989</v>
      </c>
      <c r="CJ24" s="466" t="n">
        <v>2.1565</v>
      </c>
      <c r="CK24" s="466" t="n">
        <v>2.1146</v>
      </c>
      <c r="CL24" s="466" t="n">
        <v>2.0733</v>
      </c>
      <c r="CM24" s="466" t="n">
        <v>2.0326</v>
      </c>
      <c r="CN24" s="466" t="n">
        <v>1.9924</v>
      </c>
      <c r="CO24" s="466" t="n">
        <v>1.9528</v>
      </c>
      <c r="CP24" s="466" t="n">
        <v>1.9137</v>
      </c>
      <c r="CQ24" s="466" t="n">
        <v>1.8751</v>
      </c>
      <c r="CR24" s="466" t="n">
        <v>1.837</v>
      </c>
      <c r="CS24" s="466" t="n">
        <v>1.7995</v>
      </c>
      <c r="CT24" s="465" t="n">
        <v>1.7624</v>
      </c>
      <c r="CU24" s="465" t="n">
        <v>1.7259</v>
      </c>
      <c r="CV24" s="465" t="n">
        <v>1.6898</v>
      </c>
      <c r="CW24" s="465" t="n">
        <v>1.6542</v>
      </c>
      <c r="CX24" s="465" t="n">
        <v>1.6191</v>
      </c>
      <c r="CY24" s="465" t="n">
        <v>1.5845</v>
      </c>
      <c r="CZ24" s="465" t="n">
        <v>1.5504</v>
      </c>
      <c r="DA24" s="465" t="n">
        <v>1.5167</v>
      </c>
      <c r="DB24" s="465" t="n">
        <v>1.4834</v>
      </c>
      <c r="DC24" s="465" t="n">
        <v>1.4506</v>
      </c>
      <c r="DD24" s="465" t="n">
        <v>1.4183</v>
      </c>
      <c r="DE24" s="465" t="n">
        <v>1.3863</v>
      </c>
      <c r="DF24" s="466" t="n">
        <v>1.3549</v>
      </c>
      <c r="DG24" s="466" t="n">
        <v>1.3238</v>
      </c>
      <c r="DH24" s="466" t="n">
        <v>1.2931</v>
      </c>
      <c r="DI24" s="466" t="n">
        <v>1.2629</v>
      </c>
      <c r="DJ24" s="466" t="n">
        <v>1.2331</v>
      </c>
      <c r="DK24" s="466" t="n">
        <v>1.2036</v>
      </c>
      <c r="DL24" s="466" t="n">
        <v>1.1746</v>
      </c>
      <c r="DM24" s="466" t="n">
        <v>1.146</v>
      </c>
      <c r="DN24" s="466" t="n">
        <v>1.1177</v>
      </c>
      <c r="DO24" s="466" t="n">
        <v>1.0898</v>
      </c>
      <c r="DP24" s="466" t="n">
        <v>1.0623</v>
      </c>
      <c r="DQ24" s="466" t="n">
        <v>1.0352</v>
      </c>
      <c r="DR24" s="465" t="n">
        <v>1.0084</v>
      </c>
      <c r="DS24" s="465" t="n">
        <v>0.982</v>
      </c>
      <c r="DT24" s="465" t="n">
        <v>0.956</v>
      </c>
      <c r="DU24" s="465" t="n">
        <v>0.9303</v>
      </c>
      <c r="DV24" s="465" t="n">
        <v>0.9049</v>
      </c>
      <c r="DW24" s="465" t="n">
        <v>0.8799</v>
      </c>
      <c r="DX24" s="465" t="n">
        <v>0.8552</v>
      </c>
      <c r="DY24" s="465" t="n">
        <v>0.8309</v>
      </c>
      <c r="DZ24" s="465" t="n">
        <v>0.8068</v>
      </c>
      <c r="EA24" s="465" t="n">
        <v>0.7831</v>
      </c>
      <c r="EB24" s="465" t="n">
        <v>0.7598</v>
      </c>
      <c r="EC24" s="465" t="n">
        <v>0.7367</v>
      </c>
      <c r="ED24" s="466" t="n">
        <v>0.714</v>
      </c>
      <c r="EE24" s="466" t="n">
        <v>0.6915</v>
      </c>
      <c r="EF24" s="466" t="n">
        <v>0.6694</v>
      </c>
      <c r="EG24" s="466" t="n">
        <v>0.6475</v>
      </c>
      <c r="EH24" s="466" t="n">
        <v>0.626</v>
      </c>
      <c r="EI24" s="466" t="n">
        <v>0.6047</v>
      </c>
      <c r="EJ24" s="466" t="n">
        <v>0.5837</v>
      </c>
      <c r="EK24" s="466" t="n">
        <v>0.5629999999999999</v>
      </c>
      <c r="EL24" s="466" t="n">
        <v>0.5426</v>
      </c>
      <c r="EM24" s="466" t="n">
        <v>0.5225</v>
      </c>
      <c r="EN24" s="466" t="n">
        <v>0.5026</v>
      </c>
      <c r="EO24" s="466" t="n">
        <v>0.483</v>
      </c>
      <c r="EP24" s="465" t="n">
        <v>0.4637</v>
      </c>
      <c r="EQ24" s="465" t="n">
        <v>0.4446</v>
      </c>
      <c r="ER24" s="465" t="n">
        <v>0.4258</v>
      </c>
      <c r="ES24" s="465" t="n">
        <v>0.4072</v>
      </c>
      <c r="ET24" s="465" t="n">
        <v>0.3889</v>
      </c>
      <c r="EU24" s="465" t="n">
        <v>0.3708</v>
      </c>
      <c r="EV24" s="465" t="n">
        <v>0.353</v>
      </c>
      <c r="EW24" s="465" t="n">
        <v>0.3354</v>
      </c>
      <c r="EX24" s="465" t="n">
        <v>0.318</v>
      </c>
      <c r="EY24" s="465" t="n">
        <v>0.3009</v>
      </c>
      <c r="EZ24" s="465" t="n">
        <v>0.284</v>
      </c>
      <c r="FA24" s="465" t="n">
        <v>0.2673</v>
      </c>
      <c r="FB24" s="466" t="n">
        <v>0.2509</v>
      </c>
      <c r="FC24" s="466" t="n">
        <v>0.2347</v>
      </c>
      <c r="FD24" s="466" t="n">
        <v>0.2187</v>
      </c>
      <c r="FE24" s="466" t="n">
        <v>0.2029</v>
      </c>
      <c r="FF24" s="466" t="n">
        <v>0.1873</v>
      </c>
      <c r="FG24" s="466" t="n">
        <v>0.172</v>
      </c>
      <c r="FH24" s="466" t="n">
        <v>0.1568</v>
      </c>
      <c r="FI24" s="466" t="n">
        <v>0.1419</v>
      </c>
      <c r="FJ24" s="466" t="n">
        <v>0.1271</v>
      </c>
      <c r="FK24" s="466" t="n">
        <v>0.1126</v>
      </c>
      <c r="FL24" s="466" t="n">
        <v>0.0982</v>
      </c>
      <c r="FM24" s="466" t="n">
        <v>0.08400000000000001</v>
      </c>
      <c r="FN24" s="465" t="n">
        <v>0.0701</v>
      </c>
      <c r="FO24" s="465" t="n">
        <v>0.0563</v>
      </c>
      <c r="FP24" s="465" t="n">
        <v>0.0427</v>
      </c>
      <c r="FQ24" s="465" t="n">
        <v>0.0293</v>
      </c>
      <c r="FR24" s="465" t="n">
        <v>0.016</v>
      </c>
      <c r="FS24" s="465" t="n">
        <v>0.003</v>
      </c>
      <c r="FT24" s="465" t="n">
        <v>-0.009900000000000001</v>
      </c>
      <c r="FU24" s="465" t="n">
        <v>-0.0226</v>
      </c>
      <c r="FV24" s="465" t="n">
        <v>-0.0352</v>
      </c>
      <c r="FW24" s="465" t="n">
        <v>-0.0475</v>
      </c>
      <c r="FX24" s="465" t="n">
        <v>-0.0597</v>
      </c>
      <c r="FY24" s="465" t="n">
        <v>-0.0718</v>
      </c>
      <c r="FZ24" s="306" t="n"/>
    </row>
    <row r="25" ht="15" customHeight="1" s="307">
      <c r="A25" s="321" t="inlineStr">
        <is>
          <t xml:space="preserve">    Severance (Press 50%)</t>
        </is>
      </c>
      <c r="B25" s="458" t="n">
        <v>0</v>
      </c>
      <c r="C25" s="458" t="n">
        <v>0</v>
      </c>
      <c r="D25" s="458" t="n">
        <v>0</v>
      </c>
      <c r="E25" s="458" t="n">
        <v>1.4771</v>
      </c>
      <c r="F25" s="458" t="n">
        <v>0</v>
      </c>
      <c r="G25" s="458" t="n">
        <v>0</v>
      </c>
      <c r="H25" s="458" t="n">
        <v>1.5694</v>
      </c>
      <c r="I25" s="458" t="n">
        <v>0</v>
      </c>
      <c r="J25" s="458" t="n">
        <v>0</v>
      </c>
      <c r="K25" s="458" t="n">
        <v>1.7368</v>
      </c>
      <c r="L25" s="458" t="n">
        <v>0</v>
      </c>
      <c r="M25" s="458" t="n">
        <v>1.5002</v>
      </c>
      <c r="N25" s="459" t="n">
        <v>0</v>
      </c>
      <c r="O25" s="459" t="n">
        <v>0</v>
      </c>
      <c r="P25" s="459" t="n">
        <v>0</v>
      </c>
      <c r="Q25" s="459" t="n">
        <v>1.4656</v>
      </c>
      <c r="R25" s="459" t="n">
        <v>0</v>
      </c>
      <c r="S25" s="459" t="n">
        <v>0</v>
      </c>
      <c r="T25" s="459" t="n">
        <v>0</v>
      </c>
      <c r="U25" s="459" t="n">
        <v>0</v>
      </c>
      <c r="V25" s="459" t="n">
        <v>0</v>
      </c>
      <c r="W25" s="459" t="n">
        <v>0</v>
      </c>
      <c r="X25" s="459" t="n">
        <v>0</v>
      </c>
      <c r="Y25" s="459" t="n">
        <v>0</v>
      </c>
      <c r="Z25" s="458" t="n">
        <v>0</v>
      </c>
      <c r="AA25" s="458" t="n">
        <v>0</v>
      </c>
      <c r="AB25" s="458" t="n">
        <v>0</v>
      </c>
      <c r="AC25" s="458" t="n">
        <v>0</v>
      </c>
      <c r="AD25" s="458" t="n">
        <v>0</v>
      </c>
      <c r="AE25" s="458" t="n">
        <v>0</v>
      </c>
      <c r="AF25" s="458" t="n">
        <v>0</v>
      </c>
      <c r="AG25" s="458" t="n">
        <v>0</v>
      </c>
      <c r="AH25" s="458" t="n">
        <v>0</v>
      </c>
      <c r="AI25" s="458" t="n">
        <v>0</v>
      </c>
      <c r="AJ25" s="458" t="n">
        <v>0</v>
      </c>
      <c r="AK25" s="458" t="n">
        <v>0</v>
      </c>
      <c r="AL25" s="459" t="n">
        <v>0</v>
      </c>
      <c r="AM25" s="459" t="n">
        <v>0</v>
      </c>
      <c r="AN25" s="459" t="n">
        <v>0</v>
      </c>
      <c r="AO25" s="459" t="n">
        <v>0</v>
      </c>
      <c r="AP25" s="459" t="n">
        <v>0</v>
      </c>
      <c r="AQ25" s="459" t="n">
        <v>0</v>
      </c>
      <c r="AR25" s="459" t="n">
        <v>0</v>
      </c>
      <c r="AS25" s="459" t="n">
        <v>0</v>
      </c>
      <c r="AT25" s="459" t="n">
        <v>0</v>
      </c>
      <c r="AU25" s="459" t="n">
        <v>0</v>
      </c>
      <c r="AV25" s="459" t="n">
        <v>0</v>
      </c>
      <c r="AW25" s="459" t="n">
        <v>0</v>
      </c>
      <c r="AX25" s="458" t="n">
        <v>0</v>
      </c>
      <c r="AY25" s="458" t="n">
        <v>0</v>
      </c>
      <c r="AZ25" s="458" t="n">
        <v>0</v>
      </c>
      <c r="BA25" s="458" t="n">
        <v>0</v>
      </c>
      <c r="BB25" s="458" t="n">
        <v>0</v>
      </c>
      <c r="BC25" s="458" t="n">
        <v>0</v>
      </c>
      <c r="BD25" s="458" t="n">
        <v>0</v>
      </c>
      <c r="BE25" s="458" t="n">
        <v>0</v>
      </c>
      <c r="BF25" s="458" t="n">
        <v>0</v>
      </c>
      <c r="BG25" s="458" t="n">
        <v>0</v>
      </c>
      <c r="BH25" s="458" t="n">
        <v>0</v>
      </c>
      <c r="BI25" s="458" t="n">
        <v>0</v>
      </c>
      <c r="BJ25" s="459" t="n">
        <v>0</v>
      </c>
      <c r="BK25" s="459" t="n">
        <v>0</v>
      </c>
      <c r="BL25" s="459" t="n">
        <v>0</v>
      </c>
      <c r="BM25" s="459" t="n">
        <v>0</v>
      </c>
      <c r="BN25" s="459" t="n">
        <v>0</v>
      </c>
      <c r="BO25" s="459" t="n">
        <v>0</v>
      </c>
      <c r="BP25" s="459" t="n">
        <v>0</v>
      </c>
      <c r="BQ25" s="459" t="n">
        <v>0</v>
      </c>
      <c r="BR25" s="459" t="n">
        <v>0</v>
      </c>
      <c r="BS25" s="459" t="n">
        <v>0</v>
      </c>
      <c r="BT25" s="459" t="n">
        <v>0</v>
      </c>
      <c r="BU25" s="459" t="n">
        <v>0</v>
      </c>
      <c r="BV25" s="458" t="n">
        <v>0</v>
      </c>
      <c r="BW25" s="458" t="n">
        <v>0</v>
      </c>
      <c r="BX25" s="458" t="n">
        <v>0</v>
      </c>
      <c r="BY25" s="458" t="n">
        <v>0</v>
      </c>
      <c r="BZ25" s="458" t="n">
        <v>0</v>
      </c>
      <c r="CA25" s="458" t="n">
        <v>0</v>
      </c>
      <c r="CB25" s="458" t="n">
        <v>0</v>
      </c>
      <c r="CC25" s="458" t="n">
        <v>0</v>
      </c>
      <c r="CD25" s="458" t="n">
        <v>0</v>
      </c>
      <c r="CE25" s="458" t="n">
        <v>0</v>
      </c>
      <c r="CF25" s="458" t="n">
        <v>0</v>
      </c>
      <c r="CG25" s="458" t="n">
        <v>0</v>
      </c>
      <c r="CH25" s="459" t="n">
        <v>0</v>
      </c>
      <c r="CI25" s="459" t="n">
        <v>0</v>
      </c>
      <c r="CJ25" s="459" t="n">
        <v>0</v>
      </c>
      <c r="CK25" s="459" t="n">
        <v>0</v>
      </c>
      <c r="CL25" s="459" t="n">
        <v>0</v>
      </c>
      <c r="CM25" s="459" t="n">
        <v>0</v>
      </c>
      <c r="CN25" s="459" t="n">
        <v>0</v>
      </c>
      <c r="CO25" s="459" t="n">
        <v>0</v>
      </c>
      <c r="CP25" s="459" t="n">
        <v>0</v>
      </c>
      <c r="CQ25" s="459" t="n">
        <v>0</v>
      </c>
      <c r="CR25" s="459" t="n">
        <v>0</v>
      </c>
      <c r="CS25" s="459" t="n">
        <v>0</v>
      </c>
      <c r="CT25" s="458" t="n">
        <v>0</v>
      </c>
      <c r="CU25" s="458" t="n">
        <v>0</v>
      </c>
      <c r="CV25" s="458" t="n">
        <v>0</v>
      </c>
      <c r="CW25" s="458" t="n">
        <v>0</v>
      </c>
      <c r="CX25" s="458" t="n">
        <v>0</v>
      </c>
      <c r="CY25" s="458" t="n">
        <v>0</v>
      </c>
      <c r="CZ25" s="458" t="n">
        <v>0</v>
      </c>
      <c r="DA25" s="458" t="n">
        <v>0</v>
      </c>
      <c r="DB25" s="458" t="n">
        <v>0</v>
      </c>
      <c r="DC25" s="458" t="n">
        <v>0</v>
      </c>
      <c r="DD25" s="458" t="n">
        <v>0</v>
      </c>
      <c r="DE25" s="458" t="n">
        <v>0</v>
      </c>
      <c r="DF25" s="459" t="n">
        <v>0</v>
      </c>
      <c r="DG25" s="459" t="n">
        <v>0</v>
      </c>
      <c r="DH25" s="459" t="n">
        <v>0</v>
      </c>
      <c r="DI25" s="459" t="n">
        <v>0</v>
      </c>
      <c r="DJ25" s="459" t="n">
        <v>0</v>
      </c>
      <c r="DK25" s="459" t="n">
        <v>0</v>
      </c>
      <c r="DL25" s="459" t="n">
        <v>0</v>
      </c>
      <c r="DM25" s="459" t="n">
        <v>0</v>
      </c>
      <c r="DN25" s="459" t="n">
        <v>0</v>
      </c>
      <c r="DO25" s="459" t="n">
        <v>0</v>
      </c>
      <c r="DP25" s="459" t="n">
        <v>0</v>
      </c>
      <c r="DQ25" s="459" t="n">
        <v>0</v>
      </c>
      <c r="DR25" s="458" t="n">
        <v>0</v>
      </c>
      <c r="DS25" s="458" t="n">
        <v>0</v>
      </c>
      <c r="DT25" s="458" t="n">
        <v>0</v>
      </c>
      <c r="DU25" s="458" t="n">
        <v>0</v>
      </c>
      <c r="DV25" s="458" t="n">
        <v>0</v>
      </c>
      <c r="DW25" s="458" t="n">
        <v>0</v>
      </c>
      <c r="DX25" s="458" t="n">
        <v>0</v>
      </c>
      <c r="DY25" s="458" t="n">
        <v>0</v>
      </c>
      <c r="DZ25" s="458" t="n">
        <v>0</v>
      </c>
      <c r="EA25" s="458" t="n">
        <v>0</v>
      </c>
      <c r="EB25" s="458" t="n">
        <v>0</v>
      </c>
      <c r="EC25" s="458" t="n">
        <v>0</v>
      </c>
      <c r="ED25" s="459" t="n">
        <v>0</v>
      </c>
      <c r="EE25" s="459" t="n">
        <v>0</v>
      </c>
      <c r="EF25" s="459" t="n">
        <v>0</v>
      </c>
      <c r="EG25" s="459" t="n">
        <v>0</v>
      </c>
      <c r="EH25" s="459" t="n">
        <v>0</v>
      </c>
      <c r="EI25" s="459" t="n">
        <v>0</v>
      </c>
      <c r="EJ25" s="459" t="n">
        <v>0</v>
      </c>
      <c r="EK25" s="459" t="n">
        <v>0</v>
      </c>
      <c r="EL25" s="459" t="n">
        <v>0</v>
      </c>
      <c r="EM25" s="459" t="n">
        <v>0</v>
      </c>
      <c r="EN25" s="459" t="n">
        <v>0</v>
      </c>
      <c r="EO25" s="459" t="n">
        <v>0</v>
      </c>
      <c r="EP25" s="458" t="n">
        <v>0</v>
      </c>
      <c r="EQ25" s="458" t="n">
        <v>0</v>
      </c>
      <c r="ER25" s="458" t="n">
        <v>0</v>
      </c>
      <c r="ES25" s="458" t="n">
        <v>0</v>
      </c>
      <c r="ET25" s="458" t="n">
        <v>0</v>
      </c>
      <c r="EU25" s="458" t="n">
        <v>0</v>
      </c>
      <c r="EV25" s="458" t="n">
        <v>0</v>
      </c>
      <c r="EW25" s="458" t="n">
        <v>0</v>
      </c>
      <c r="EX25" s="458" t="n">
        <v>0</v>
      </c>
      <c r="EY25" s="458" t="n">
        <v>0</v>
      </c>
      <c r="EZ25" s="458" t="n">
        <v>0</v>
      </c>
      <c r="FA25" s="458" t="n">
        <v>0</v>
      </c>
      <c r="FB25" s="459" t="n">
        <v>0</v>
      </c>
      <c r="FC25" s="459" t="n">
        <v>0</v>
      </c>
      <c r="FD25" s="459" t="n">
        <v>0</v>
      </c>
      <c r="FE25" s="459" t="n">
        <v>0</v>
      </c>
      <c r="FF25" s="459" t="n">
        <v>0</v>
      </c>
      <c r="FG25" s="459" t="n">
        <v>0</v>
      </c>
      <c r="FH25" s="459" t="n">
        <v>0</v>
      </c>
      <c r="FI25" s="459" t="n">
        <v>0</v>
      </c>
      <c r="FJ25" s="459" t="n">
        <v>0</v>
      </c>
      <c r="FK25" s="459" t="n">
        <v>0</v>
      </c>
      <c r="FL25" s="459" t="n">
        <v>0</v>
      </c>
      <c r="FM25" s="459" t="n">
        <v>0</v>
      </c>
      <c r="FN25" s="458" t="n">
        <v>0</v>
      </c>
      <c r="FO25" s="458" t="n">
        <v>0</v>
      </c>
      <c r="FP25" s="458" t="n">
        <v>0</v>
      </c>
      <c r="FQ25" s="458" t="n">
        <v>0</v>
      </c>
      <c r="FR25" s="458" t="n">
        <v>0</v>
      </c>
      <c r="FS25" s="458" t="n">
        <v>0</v>
      </c>
      <c r="FT25" s="458" t="n">
        <v>0</v>
      </c>
      <c r="FU25" s="458" t="n">
        <v>0</v>
      </c>
      <c r="FV25" s="458" t="n">
        <v>0</v>
      </c>
      <c r="FW25" s="458" t="n">
        <v>0</v>
      </c>
      <c r="FX25" s="458" t="n">
        <v>0</v>
      </c>
      <c r="FY25" s="458" t="n">
        <v>0</v>
      </c>
      <c r="FZ25" s="306" t="n"/>
    </row>
    <row r="26" ht="15" customHeight="1" s="307">
      <c r="A26" s="468" t="inlineStr">
        <is>
          <t>Operating Income</t>
        </is>
      </c>
      <c r="B26" s="469" t="n">
        <v>-0.0813</v>
      </c>
      <c r="C26" s="469" t="n">
        <v>-0.0813</v>
      </c>
      <c r="D26" s="469" t="n">
        <v>-0.0813</v>
      </c>
      <c r="E26" s="469" t="n">
        <v>-1.8157</v>
      </c>
      <c r="F26" s="469" t="n">
        <v>-0.1193</v>
      </c>
      <c r="G26" s="469" t="n">
        <v>0.094</v>
      </c>
      <c r="H26" s="469" t="n">
        <v>-1.9585</v>
      </c>
      <c r="I26" s="469" t="n">
        <v>0.5333</v>
      </c>
      <c r="J26" s="469" t="n">
        <v>0.9563</v>
      </c>
      <c r="K26" s="469" t="n">
        <v>-0.4232</v>
      </c>
      <c r="L26" s="469" t="n">
        <v>1.8227</v>
      </c>
      <c r="M26" s="469" t="n">
        <v>0.7905</v>
      </c>
      <c r="N26" s="470" t="n">
        <v>2.6832</v>
      </c>
      <c r="O26" s="470" t="n">
        <v>3.2096</v>
      </c>
      <c r="P26" s="470" t="n">
        <v>3.7212</v>
      </c>
      <c r="Q26" s="470" t="n">
        <v>2.7324</v>
      </c>
      <c r="R26" s="470" t="n">
        <v>4.6743</v>
      </c>
      <c r="S26" s="470" t="n">
        <v>5.1369</v>
      </c>
      <c r="T26" s="470" t="n">
        <v>5.4349</v>
      </c>
      <c r="U26" s="470" t="n">
        <v>5.6715</v>
      </c>
      <c r="V26" s="470" t="n">
        <v>5.9006</v>
      </c>
      <c r="W26" s="470" t="n">
        <v>6.1223</v>
      </c>
      <c r="X26" s="470" t="n">
        <v>6.1314</v>
      </c>
      <c r="Y26" s="470" t="n">
        <v>6.1389</v>
      </c>
      <c r="Z26" s="469" t="n">
        <v>6.0951</v>
      </c>
      <c r="AA26" s="469" t="n">
        <v>6.0511</v>
      </c>
      <c r="AB26" s="469" t="n">
        <v>6.007</v>
      </c>
      <c r="AC26" s="469" t="n">
        <v>5.9628</v>
      </c>
      <c r="AD26" s="469" t="n">
        <v>5.8697</v>
      </c>
      <c r="AE26" s="469" t="n">
        <v>5.7779</v>
      </c>
      <c r="AF26" s="469" t="n">
        <v>5.6874</v>
      </c>
      <c r="AG26" s="469" t="n">
        <v>5.598</v>
      </c>
      <c r="AH26" s="469" t="n">
        <v>5.5099</v>
      </c>
      <c r="AI26" s="469" t="n">
        <v>5.4229</v>
      </c>
      <c r="AJ26" s="469" t="n">
        <v>5.3371</v>
      </c>
      <c r="AK26" s="469" t="n">
        <v>0.2365</v>
      </c>
      <c r="AL26" s="470" t="n">
        <v>5.169</v>
      </c>
      <c r="AM26" s="470" t="n">
        <v>5.0866</v>
      </c>
      <c r="AN26" s="470" t="n">
        <v>5.0053</v>
      </c>
      <c r="AO26" s="470" t="n">
        <v>4.9252</v>
      </c>
      <c r="AP26" s="470" t="n">
        <v>4.8461</v>
      </c>
      <c r="AQ26" s="470" t="n">
        <v>4.768</v>
      </c>
      <c r="AR26" s="470" t="n">
        <v>4.6911</v>
      </c>
      <c r="AS26" s="470" t="n">
        <v>4.6151</v>
      </c>
      <c r="AT26" s="470" t="n">
        <v>4.5402</v>
      </c>
      <c r="AU26" s="470" t="n">
        <v>4.4663</v>
      </c>
      <c r="AV26" s="470" t="n">
        <v>4.3934</v>
      </c>
      <c r="AW26" s="470" t="n">
        <v>1.5158</v>
      </c>
      <c r="AX26" s="469" t="n">
        <v>4.2504</v>
      </c>
      <c r="AY26" s="469" t="n">
        <v>4.1804</v>
      </c>
      <c r="AZ26" s="469" t="n">
        <v>4.1113</v>
      </c>
      <c r="BA26" s="469" t="n">
        <v>4.0432</v>
      </c>
      <c r="BB26" s="469" t="n">
        <v>3.976</v>
      </c>
      <c r="BC26" s="469" t="n">
        <v>3.9096</v>
      </c>
      <c r="BD26" s="469" t="n">
        <v>3.8442</v>
      </c>
      <c r="BE26" s="469" t="n">
        <v>3.7796</v>
      </c>
      <c r="BF26" s="469" t="n">
        <v>3.716</v>
      </c>
      <c r="BG26" s="469" t="n">
        <v>3.6531</v>
      </c>
      <c r="BH26" s="469" t="n">
        <v>3.5911</v>
      </c>
      <c r="BI26" s="469" t="n">
        <v>2.8637</v>
      </c>
      <c r="BJ26" s="470" t="n">
        <v>3.4697</v>
      </c>
      <c r="BK26" s="470" t="n">
        <v>3.4102</v>
      </c>
      <c r="BL26" s="470" t="n">
        <v>3.3514</v>
      </c>
      <c r="BM26" s="470" t="n">
        <v>3.2935</v>
      </c>
      <c r="BN26" s="470" t="n">
        <v>3.2364</v>
      </c>
      <c r="BO26" s="470" t="n">
        <v>3.18</v>
      </c>
      <c r="BP26" s="470" t="n">
        <v>3.1244</v>
      </c>
      <c r="BQ26" s="470" t="n">
        <v>3.0695</v>
      </c>
      <c r="BR26" s="470" t="n">
        <v>3.0154</v>
      </c>
      <c r="BS26" s="470" t="n">
        <v>2.962</v>
      </c>
      <c r="BT26" s="470" t="n">
        <v>2.9093</v>
      </c>
      <c r="BU26" s="470" t="n">
        <v>2.8573</v>
      </c>
      <c r="BV26" s="469" t="n">
        <v>2.806</v>
      </c>
      <c r="BW26" s="469" t="n">
        <v>2.7554</v>
      </c>
      <c r="BX26" s="469" t="n">
        <v>2.7055</v>
      </c>
      <c r="BY26" s="469" t="n">
        <v>2.6563</v>
      </c>
      <c r="BZ26" s="469" t="n">
        <v>2.6077</v>
      </c>
      <c r="CA26" s="469" t="n">
        <v>2.5598</v>
      </c>
      <c r="CB26" s="469" t="n">
        <v>2.5125</v>
      </c>
      <c r="CC26" s="469" t="n">
        <v>2.4659</v>
      </c>
      <c r="CD26" s="469" t="n">
        <v>2.4199</v>
      </c>
      <c r="CE26" s="469" t="n">
        <v>2.3745</v>
      </c>
      <c r="CF26" s="469" t="n">
        <v>2.3297</v>
      </c>
      <c r="CG26" s="469" t="n">
        <v>2.2855</v>
      </c>
      <c r="CH26" s="470" t="n">
        <v>2.2419</v>
      </c>
      <c r="CI26" s="470" t="n">
        <v>2.1989</v>
      </c>
      <c r="CJ26" s="470" t="n">
        <v>2.1565</v>
      </c>
      <c r="CK26" s="470" t="n">
        <v>2.1146</v>
      </c>
      <c r="CL26" s="470" t="n">
        <v>2.0733</v>
      </c>
      <c r="CM26" s="470" t="n">
        <v>2.0326</v>
      </c>
      <c r="CN26" s="470" t="n">
        <v>1.9924</v>
      </c>
      <c r="CO26" s="470" t="n">
        <v>1.9528</v>
      </c>
      <c r="CP26" s="470" t="n">
        <v>1.9137</v>
      </c>
      <c r="CQ26" s="470" t="n">
        <v>1.8751</v>
      </c>
      <c r="CR26" s="470" t="n">
        <v>1.837</v>
      </c>
      <c r="CS26" s="470" t="n">
        <v>1.7995</v>
      </c>
      <c r="CT26" s="469" t="n">
        <v>1.7624</v>
      </c>
      <c r="CU26" s="469" t="n">
        <v>1.7259</v>
      </c>
      <c r="CV26" s="469" t="n">
        <v>1.6898</v>
      </c>
      <c r="CW26" s="469" t="n">
        <v>1.6542</v>
      </c>
      <c r="CX26" s="469" t="n">
        <v>1.6191</v>
      </c>
      <c r="CY26" s="469" t="n">
        <v>1.5845</v>
      </c>
      <c r="CZ26" s="469" t="n">
        <v>1.5504</v>
      </c>
      <c r="DA26" s="469" t="n">
        <v>1.5167</v>
      </c>
      <c r="DB26" s="469" t="n">
        <v>1.4834</v>
      </c>
      <c r="DC26" s="469" t="n">
        <v>1.4506</v>
      </c>
      <c r="DD26" s="469" t="n">
        <v>1.4183</v>
      </c>
      <c r="DE26" s="469" t="n">
        <v>1.3863</v>
      </c>
      <c r="DF26" s="470" t="n">
        <v>1.3549</v>
      </c>
      <c r="DG26" s="470" t="n">
        <v>1.3238</v>
      </c>
      <c r="DH26" s="470" t="n">
        <v>1.2931</v>
      </c>
      <c r="DI26" s="470" t="n">
        <v>1.2629</v>
      </c>
      <c r="DJ26" s="470" t="n">
        <v>1.2331</v>
      </c>
      <c r="DK26" s="470" t="n">
        <v>1.2036</v>
      </c>
      <c r="DL26" s="470" t="n">
        <v>1.1746</v>
      </c>
      <c r="DM26" s="470" t="n">
        <v>1.146</v>
      </c>
      <c r="DN26" s="470" t="n">
        <v>1.1177</v>
      </c>
      <c r="DO26" s="470" t="n">
        <v>1.0898</v>
      </c>
      <c r="DP26" s="470" t="n">
        <v>1.0623</v>
      </c>
      <c r="DQ26" s="470" t="n">
        <v>1.0352</v>
      </c>
      <c r="DR26" s="469" t="n">
        <v>1.0084</v>
      </c>
      <c r="DS26" s="469" t="n">
        <v>0.982</v>
      </c>
      <c r="DT26" s="469" t="n">
        <v>0.956</v>
      </c>
      <c r="DU26" s="469" t="n">
        <v>0.9303</v>
      </c>
      <c r="DV26" s="469" t="n">
        <v>0.9049</v>
      </c>
      <c r="DW26" s="469" t="n">
        <v>0.8799</v>
      </c>
      <c r="DX26" s="469" t="n">
        <v>0.8552</v>
      </c>
      <c r="DY26" s="469" t="n">
        <v>0.8309</v>
      </c>
      <c r="DZ26" s="469" t="n">
        <v>0.8068</v>
      </c>
      <c r="EA26" s="469" t="n">
        <v>0.7831</v>
      </c>
      <c r="EB26" s="469" t="n">
        <v>0.7598</v>
      </c>
      <c r="EC26" s="469" t="n">
        <v>0.7367</v>
      </c>
      <c r="ED26" s="470" t="n">
        <v>0.714</v>
      </c>
      <c r="EE26" s="470" t="n">
        <v>0.6915</v>
      </c>
      <c r="EF26" s="470" t="n">
        <v>0.6694</v>
      </c>
      <c r="EG26" s="470" t="n">
        <v>0.6475</v>
      </c>
      <c r="EH26" s="470" t="n">
        <v>0.626</v>
      </c>
      <c r="EI26" s="470" t="n">
        <v>0.6047</v>
      </c>
      <c r="EJ26" s="470" t="n">
        <v>0.5837</v>
      </c>
      <c r="EK26" s="470" t="n">
        <v>0.5629999999999999</v>
      </c>
      <c r="EL26" s="470" t="n">
        <v>0.5426</v>
      </c>
      <c r="EM26" s="470" t="n">
        <v>0.5225</v>
      </c>
      <c r="EN26" s="470" t="n">
        <v>0.5026</v>
      </c>
      <c r="EO26" s="470" t="n">
        <v>0.483</v>
      </c>
      <c r="EP26" s="469" t="n">
        <v>0.4637</v>
      </c>
      <c r="EQ26" s="469" t="n">
        <v>0.4446</v>
      </c>
      <c r="ER26" s="469" t="n">
        <v>0.4258</v>
      </c>
      <c r="ES26" s="469" t="n">
        <v>0.4072</v>
      </c>
      <c r="ET26" s="469" t="n">
        <v>0.3889</v>
      </c>
      <c r="EU26" s="469" t="n">
        <v>0.3708</v>
      </c>
      <c r="EV26" s="469" t="n">
        <v>0.353</v>
      </c>
      <c r="EW26" s="469" t="n">
        <v>0.3354</v>
      </c>
      <c r="EX26" s="469" t="n">
        <v>0.318</v>
      </c>
      <c r="EY26" s="469" t="n">
        <v>0.3009</v>
      </c>
      <c r="EZ26" s="469" t="n">
        <v>0.284</v>
      </c>
      <c r="FA26" s="469" t="n">
        <v>0.2673</v>
      </c>
      <c r="FB26" s="470" t="n">
        <v>0.2509</v>
      </c>
      <c r="FC26" s="470" t="n">
        <v>0.2347</v>
      </c>
      <c r="FD26" s="470" t="n">
        <v>0.2187</v>
      </c>
      <c r="FE26" s="470" t="n">
        <v>0.2029</v>
      </c>
      <c r="FF26" s="470" t="n">
        <v>0.1873</v>
      </c>
      <c r="FG26" s="470" t="n">
        <v>0.172</v>
      </c>
      <c r="FH26" s="470" t="n">
        <v>0.1568</v>
      </c>
      <c r="FI26" s="470" t="n">
        <v>0.1419</v>
      </c>
      <c r="FJ26" s="470" t="n">
        <v>0.1271</v>
      </c>
      <c r="FK26" s="470" t="n">
        <v>0.1126</v>
      </c>
      <c r="FL26" s="470" t="n">
        <v>0.0982</v>
      </c>
      <c r="FM26" s="470" t="n">
        <v>0.08400000000000001</v>
      </c>
      <c r="FN26" s="469" t="n">
        <v>0.0701</v>
      </c>
      <c r="FO26" s="469" t="n">
        <v>0.0563</v>
      </c>
      <c r="FP26" s="469" t="n">
        <v>0.0427</v>
      </c>
      <c r="FQ26" s="469" t="n">
        <v>0.0293</v>
      </c>
      <c r="FR26" s="469" t="n">
        <v>0.016</v>
      </c>
      <c r="FS26" s="469" t="n">
        <v>0.003</v>
      </c>
      <c r="FT26" s="469" t="n">
        <v>-0.009900000000000001</v>
      </c>
      <c r="FU26" s="469" t="n">
        <v>-0.0226</v>
      </c>
      <c r="FV26" s="469" t="n">
        <v>-0.0352</v>
      </c>
      <c r="FW26" s="469" t="n">
        <v>-0.0475</v>
      </c>
      <c r="FX26" s="469" t="n">
        <v>-0.0597</v>
      </c>
      <c r="FY26" s="469" t="n">
        <v>-0.0718</v>
      </c>
      <c r="FZ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464" t="n"/>
      <c r="S27" s="464" t="n"/>
      <c r="T27" s="464" t="n"/>
      <c r="U27" s="464" t="n"/>
      <c r="V27" s="464" t="n"/>
      <c r="W27" s="464" t="n"/>
      <c r="X27" s="464" t="n"/>
      <c r="Y27" s="464" t="n"/>
      <c r="Z27" s="464" t="n"/>
      <c r="AA27" s="464" t="n"/>
      <c r="AB27" s="464" t="n"/>
      <c r="AC27" s="464" t="n"/>
      <c r="AD27" s="464" t="n"/>
      <c r="AE27" s="464" t="n"/>
      <c r="AF27" s="464" t="n"/>
      <c r="AG27" s="464" t="n"/>
      <c r="AH27" s="464" t="n"/>
      <c r="AI27" s="464" t="n"/>
      <c r="AJ27" s="464" t="n"/>
      <c r="AK27" s="464" t="n"/>
      <c r="AL27" s="464" t="n"/>
      <c r="AM27" s="464" t="n"/>
      <c r="AN27" s="464" t="n"/>
      <c r="AO27" s="464" t="n"/>
      <c r="AP27" s="464" t="n"/>
      <c r="AQ27" s="464" t="n"/>
      <c r="AR27" s="464" t="n"/>
      <c r="AS27" s="464" t="n"/>
      <c r="AT27" s="464" t="n"/>
      <c r="AU27" s="464" t="n"/>
      <c r="AV27" s="464" t="n"/>
      <c r="AW27" s="464" t="n"/>
      <c r="AX27" s="464" t="n"/>
      <c r="AY27" s="464" t="n"/>
      <c r="AZ27" s="464" t="n"/>
      <c r="BA27" s="464" t="n"/>
      <c r="BB27" s="464" t="n"/>
      <c r="BC27" s="464" t="n"/>
      <c r="BD27" s="464" t="n"/>
      <c r="BE27" s="464" t="n"/>
      <c r="BF27" s="464" t="n"/>
      <c r="BG27" s="464" t="n"/>
      <c r="BH27" s="464" t="n"/>
      <c r="BI27" s="464" t="n"/>
      <c r="BJ27" s="464" t="n"/>
      <c r="BK27" s="464" t="n"/>
      <c r="BL27" s="464" t="n"/>
      <c r="BM27" s="464" t="n"/>
      <c r="BN27" s="464" t="n"/>
      <c r="BO27" s="464" t="n"/>
      <c r="BP27" s="464" t="n"/>
      <c r="BQ27" s="464" t="n"/>
      <c r="BR27" s="464" t="n"/>
      <c r="BS27" s="464" t="n"/>
      <c r="BT27" s="464" t="n"/>
      <c r="BU27" s="464" t="n"/>
      <c r="BV27" s="464" t="n"/>
      <c r="BW27" s="464" t="n"/>
      <c r="BX27" s="464" t="n"/>
      <c r="BY27" s="464" t="n"/>
      <c r="BZ27" s="464" t="n"/>
      <c r="CA27" s="464" t="n"/>
      <c r="CB27" s="464" t="n"/>
      <c r="CC27" s="464" t="n"/>
      <c r="CD27" s="464" t="n"/>
      <c r="CE27" s="464" t="n"/>
      <c r="CF27" s="464" t="n"/>
      <c r="CG27" s="464" t="n"/>
      <c r="CH27" s="464" t="n"/>
      <c r="CI27" s="464" t="n"/>
      <c r="CJ27" s="464" t="n"/>
      <c r="CK27" s="464" t="n"/>
      <c r="CL27" s="464" t="n"/>
      <c r="CM27" s="464" t="n"/>
      <c r="CN27" s="464" t="n"/>
      <c r="CO27" s="464" t="n"/>
      <c r="CP27" s="464" t="n"/>
      <c r="CQ27" s="464" t="n"/>
      <c r="CR27" s="464" t="n"/>
      <c r="CS27" s="464" t="n"/>
      <c r="CT27" s="464" t="n"/>
      <c r="CU27" s="464" t="n"/>
      <c r="CV27" s="464" t="n"/>
      <c r="CW27" s="464" t="n"/>
      <c r="CX27" s="464" t="n"/>
      <c r="CY27" s="464" t="n"/>
      <c r="CZ27" s="464" t="n"/>
      <c r="DA27" s="464" t="n"/>
      <c r="DB27" s="464" t="n"/>
      <c r="DC27" s="464" t="n"/>
      <c r="DD27" s="464" t="n"/>
      <c r="DE27" s="464" t="n"/>
      <c r="DF27" s="464" t="n"/>
      <c r="DG27" s="464" t="n"/>
      <c r="DH27" s="464" t="n"/>
      <c r="DI27" s="464" t="n"/>
      <c r="DJ27" s="464" t="n"/>
      <c r="DK27" s="464" t="n"/>
      <c r="DL27" s="464" t="n"/>
      <c r="DM27" s="464" t="n"/>
      <c r="DN27" s="464" t="n"/>
      <c r="DO27" s="464" t="n"/>
      <c r="DP27" s="464" t="n"/>
      <c r="DQ27" s="464" t="n"/>
      <c r="DR27" s="464" t="n"/>
      <c r="DS27" s="464" t="n"/>
      <c r="DT27" s="464" t="n"/>
      <c r="DU27" s="464" t="n"/>
      <c r="DV27" s="464" t="n"/>
      <c r="DW27" s="464" t="n"/>
      <c r="DX27" s="464" t="n"/>
      <c r="DY27" s="464" t="n"/>
      <c r="DZ27" s="464" t="n"/>
      <c r="EA27" s="464" t="n"/>
      <c r="EB27" s="464" t="n"/>
      <c r="EC27" s="464" t="n"/>
      <c r="ED27" s="464" t="n"/>
      <c r="EE27" s="464" t="n"/>
      <c r="EF27" s="464" t="n"/>
      <c r="EG27" s="464" t="n"/>
      <c r="EH27" s="464" t="n"/>
      <c r="EI27" s="464" t="n"/>
      <c r="EJ27" s="464" t="n"/>
      <c r="EK27" s="464" t="n"/>
      <c r="EL27" s="464" t="n"/>
      <c r="EM27" s="464" t="n"/>
      <c r="EN27" s="464" t="n"/>
      <c r="EO27" s="464" t="n"/>
      <c r="EP27" s="464" t="n"/>
      <c r="EQ27" s="464" t="n"/>
      <c r="ER27" s="464" t="n"/>
      <c r="ES27" s="464" t="n"/>
      <c r="ET27" s="464" t="n"/>
      <c r="EU27" s="464" t="n"/>
      <c r="EV27" s="464" t="n"/>
      <c r="EW27" s="464" t="n"/>
      <c r="EX27" s="464" t="n"/>
      <c r="EY27" s="464" t="n"/>
      <c r="EZ27" s="464" t="n"/>
      <c r="FA27" s="464" t="n"/>
      <c r="FB27" s="464" t="n"/>
      <c r="FC27" s="464" t="n"/>
      <c r="FD27" s="464" t="n"/>
      <c r="FE27" s="464" t="n"/>
      <c r="FF27" s="464" t="n"/>
      <c r="FG27" s="464" t="n"/>
      <c r="FH27" s="464" t="n"/>
      <c r="FI27" s="464" t="n"/>
      <c r="FJ27" s="464" t="n"/>
      <c r="FK27" s="464" t="n"/>
      <c r="FL27" s="464" t="n"/>
      <c r="FM27" s="464" t="n"/>
      <c r="FN27" s="464" t="n"/>
      <c r="FO27" s="464" t="n"/>
      <c r="FP27" s="464" t="n"/>
      <c r="FQ27" s="464" t="n"/>
      <c r="FR27" s="464" t="n"/>
      <c r="FS27" s="464" t="n"/>
      <c r="FT27" s="464" t="n"/>
      <c r="FU27" s="464" t="n"/>
      <c r="FV27" s="464" t="n"/>
      <c r="FW27" s="464" t="n"/>
      <c r="FX27" s="464" t="n"/>
      <c r="FY27" s="464" t="n"/>
      <c r="FZ27" s="306" t="n"/>
    </row>
    <row r="28" ht="15" customHeight="1" s="307">
      <c r="A28" s="321" t="inlineStr">
        <is>
          <t xml:space="preserve">    Management Fee</t>
        </is>
      </c>
      <c r="B28" s="458" t="n">
        <v>0.25</v>
      </c>
      <c r="C28" s="458" t="n">
        <v>0.25</v>
      </c>
      <c r="D28" s="458" t="n">
        <v>0.25</v>
      </c>
      <c r="E28" s="458" t="n">
        <v>0.25</v>
      </c>
      <c r="F28" s="458" t="n">
        <v>0.25</v>
      </c>
      <c r="G28" s="458" t="n">
        <v>0.25</v>
      </c>
      <c r="H28" s="458" t="n">
        <v>0.25</v>
      </c>
      <c r="I28" s="458" t="n">
        <v>0.25</v>
      </c>
      <c r="J28" s="458" t="n">
        <v>0.25</v>
      </c>
      <c r="K28" s="458" t="n">
        <v>0.25</v>
      </c>
      <c r="L28" s="458" t="n">
        <v>0.25</v>
      </c>
      <c r="M28" s="458" t="n">
        <v>0.25</v>
      </c>
      <c r="N28" s="459" t="n">
        <v>0</v>
      </c>
      <c r="O28" s="459" t="n">
        <v>0</v>
      </c>
      <c r="P28" s="459" t="n">
        <v>0</v>
      </c>
      <c r="Q28" s="459" t="n">
        <v>0</v>
      </c>
      <c r="R28" s="459" t="n">
        <v>0</v>
      </c>
      <c r="S28" s="459" t="n">
        <v>0</v>
      </c>
      <c r="T28" s="459" t="n">
        <v>0</v>
      </c>
      <c r="U28" s="459" t="n">
        <v>0</v>
      </c>
      <c r="V28" s="459" t="n">
        <v>0</v>
      </c>
      <c r="W28" s="459" t="n">
        <v>0</v>
      </c>
      <c r="X28" s="459" t="n">
        <v>0</v>
      </c>
      <c r="Y28" s="459" t="n">
        <v>0</v>
      </c>
      <c r="Z28" s="458" t="n">
        <v>0</v>
      </c>
      <c r="AA28" s="458" t="n">
        <v>0</v>
      </c>
      <c r="AB28" s="458" t="n">
        <v>0</v>
      </c>
      <c r="AC28" s="458" t="n">
        <v>0</v>
      </c>
      <c r="AD28" s="458" t="n">
        <v>0</v>
      </c>
      <c r="AE28" s="458" t="n">
        <v>0</v>
      </c>
      <c r="AF28" s="458" t="n">
        <v>0</v>
      </c>
      <c r="AG28" s="458" t="n">
        <v>0</v>
      </c>
      <c r="AH28" s="458" t="n">
        <v>0</v>
      </c>
      <c r="AI28" s="458" t="n">
        <v>0</v>
      </c>
      <c r="AJ28" s="458" t="n">
        <v>0</v>
      </c>
      <c r="AK28" s="458" t="n">
        <v>0</v>
      </c>
      <c r="AL28" s="459" t="n">
        <v>0</v>
      </c>
      <c r="AM28" s="459" t="n">
        <v>0</v>
      </c>
      <c r="AN28" s="459" t="n">
        <v>0</v>
      </c>
      <c r="AO28" s="459" t="n">
        <v>0</v>
      </c>
      <c r="AP28" s="459" t="n">
        <v>0</v>
      </c>
      <c r="AQ28" s="459" t="n">
        <v>0</v>
      </c>
      <c r="AR28" s="459" t="n">
        <v>0</v>
      </c>
      <c r="AS28" s="459" t="n">
        <v>0</v>
      </c>
      <c r="AT28" s="459" t="n">
        <v>0</v>
      </c>
      <c r="AU28" s="459" t="n">
        <v>0</v>
      </c>
      <c r="AV28" s="459" t="n">
        <v>0</v>
      </c>
      <c r="AW28" s="459" t="n">
        <v>0</v>
      </c>
      <c r="AX28" s="458" t="n">
        <v>0</v>
      </c>
      <c r="AY28" s="458" t="n">
        <v>0</v>
      </c>
      <c r="AZ28" s="458" t="n">
        <v>0</v>
      </c>
      <c r="BA28" s="458" t="n">
        <v>0</v>
      </c>
      <c r="BB28" s="458" t="n">
        <v>0</v>
      </c>
      <c r="BC28" s="458" t="n">
        <v>0</v>
      </c>
      <c r="BD28" s="458" t="n">
        <v>0</v>
      </c>
      <c r="BE28" s="458" t="n">
        <v>0</v>
      </c>
      <c r="BF28" s="458" t="n">
        <v>0</v>
      </c>
      <c r="BG28" s="458" t="n">
        <v>0</v>
      </c>
      <c r="BH28" s="458" t="n">
        <v>0</v>
      </c>
      <c r="BI28" s="458" t="n">
        <v>0</v>
      </c>
      <c r="BJ28" s="459" t="n">
        <v>0</v>
      </c>
      <c r="BK28" s="459" t="n">
        <v>0</v>
      </c>
      <c r="BL28" s="459" t="n">
        <v>0</v>
      </c>
      <c r="BM28" s="459" t="n">
        <v>0</v>
      </c>
      <c r="BN28" s="459" t="n">
        <v>0</v>
      </c>
      <c r="BO28" s="459" t="n">
        <v>0</v>
      </c>
      <c r="BP28" s="459" t="n">
        <v>0</v>
      </c>
      <c r="BQ28" s="459" t="n">
        <v>0</v>
      </c>
      <c r="BR28" s="459" t="n">
        <v>0</v>
      </c>
      <c r="BS28" s="459" t="n">
        <v>0</v>
      </c>
      <c r="BT28" s="459" t="n">
        <v>0</v>
      </c>
      <c r="BU28" s="459" t="n">
        <v>0</v>
      </c>
      <c r="BV28" s="458" t="n">
        <v>0</v>
      </c>
      <c r="BW28" s="458" t="n">
        <v>0</v>
      </c>
      <c r="BX28" s="458" t="n">
        <v>0</v>
      </c>
      <c r="BY28" s="458" t="n">
        <v>0</v>
      </c>
      <c r="BZ28" s="458" t="n">
        <v>0</v>
      </c>
      <c r="CA28" s="458" t="n">
        <v>0</v>
      </c>
      <c r="CB28" s="458" t="n">
        <v>0</v>
      </c>
      <c r="CC28" s="458" t="n">
        <v>0</v>
      </c>
      <c r="CD28" s="458" t="n">
        <v>0</v>
      </c>
      <c r="CE28" s="458" t="n">
        <v>0</v>
      </c>
      <c r="CF28" s="458" t="n">
        <v>0</v>
      </c>
      <c r="CG28" s="458" t="n">
        <v>0</v>
      </c>
      <c r="CH28" s="459" t="n">
        <v>0</v>
      </c>
      <c r="CI28" s="459" t="n">
        <v>0</v>
      </c>
      <c r="CJ28" s="459" t="n">
        <v>0</v>
      </c>
      <c r="CK28" s="459" t="n">
        <v>0</v>
      </c>
      <c r="CL28" s="459" t="n">
        <v>0</v>
      </c>
      <c r="CM28" s="459" t="n">
        <v>0</v>
      </c>
      <c r="CN28" s="459" t="n">
        <v>0</v>
      </c>
      <c r="CO28" s="459" t="n">
        <v>0</v>
      </c>
      <c r="CP28" s="459" t="n">
        <v>0</v>
      </c>
      <c r="CQ28" s="459" t="n">
        <v>0</v>
      </c>
      <c r="CR28" s="459" t="n">
        <v>0</v>
      </c>
      <c r="CS28" s="459" t="n">
        <v>0</v>
      </c>
      <c r="CT28" s="458" t="n">
        <v>0</v>
      </c>
      <c r="CU28" s="458" t="n">
        <v>0</v>
      </c>
      <c r="CV28" s="458" t="n">
        <v>0</v>
      </c>
      <c r="CW28" s="458" t="n">
        <v>0</v>
      </c>
      <c r="CX28" s="458" t="n">
        <v>0</v>
      </c>
      <c r="CY28" s="458" t="n">
        <v>0</v>
      </c>
      <c r="CZ28" s="458" t="n">
        <v>0</v>
      </c>
      <c r="DA28" s="458" t="n">
        <v>0</v>
      </c>
      <c r="DB28" s="458" t="n">
        <v>0</v>
      </c>
      <c r="DC28" s="458" t="n">
        <v>0</v>
      </c>
      <c r="DD28" s="458" t="n">
        <v>0</v>
      </c>
      <c r="DE28" s="458" t="n">
        <v>0</v>
      </c>
      <c r="DF28" s="459" t="n">
        <v>0</v>
      </c>
      <c r="DG28" s="459" t="n">
        <v>0</v>
      </c>
      <c r="DH28" s="459" t="n">
        <v>0</v>
      </c>
      <c r="DI28" s="459" t="n">
        <v>0</v>
      </c>
      <c r="DJ28" s="459" t="n">
        <v>0</v>
      </c>
      <c r="DK28" s="459" t="n">
        <v>0</v>
      </c>
      <c r="DL28" s="459" t="n">
        <v>0</v>
      </c>
      <c r="DM28" s="459" t="n">
        <v>0</v>
      </c>
      <c r="DN28" s="459" t="n">
        <v>0</v>
      </c>
      <c r="DO28" s="459" t="n">
        <v>0</v>
      </c>
      <c r="DP28" s="459" t="n">
        <v>0</v>
      </c>
      <c r="DQ28" s="459" t="n">
        <v>0</v>
      </c>
      <c r="DR28" s="458" t="n">
        <v>0</v>
      </c>
      <c r="DS28" s="458" t="n">
        <v>0</v>
      </c>
      <c r="DT28" s="458" t="n">
        <v>0</v>
      </c>
      <c r="DU28" s="458" t="n">
        <v>0</v>
      </c>
      <c r="DV28" s="458" t="n">
        <v>0</v>
      </c>
      <c r="DW28" s="458" t="n">
        <v>0</v>
      </c>
      <c r="DX28" s="458" t="n">
        <v>0</v>
      </c>
      <c r="DY28" s="458" t="n">
        <v>0</v>
      </c>
      <c r="DZ28" s="458" t="n">
        <v>0</v>
      </c>
      <c r="EA28" s="458" t="n">
        <v>0</v>
      </c>
      <c r="EB28" s="458" t="n">
        <v>0</v>
      </c>
      <c r="EC28" s="458" t="n">
        <v>0</v>
      </c>
      <c r="ED28" s="459" t="n">
        <v>0</v>
      </c>
      <c r="EE28" s="459" t="n">
        <v>0</v>
      </c>
      <c r="EF28" s="459" t="n">
        <v>0</v>
      </c>
      <c r="EG28" s="459" t="n">
        <v>0</v>
      </c>
      <c r="EH28" s="459" t="n">
        <v>0</v>
      </c>
      <c r="EI28" s="459" t="n">
        <v>0</v>
      </c>
      <c r="EJ28" s="459" t="n">
        <v>0</v>
      </c>
      <c r="EK28" s="459" t="n">
        <v>0</v>
      </c>
      <c r="EL28" s="459" t="n">
        <v>0</v>
      </c>
      <c r="EM28" s="459" t="n">
        <v>0</v>
      </c>
      <c r="EN28" s="459" t="n">
        <v>0</v>
      </c>
      <c r="EO28" s="459" t="n">
        <v>0</v>
      </c>
      <c r="EP28" s="458" t="n">
        <v>0</v>
      </c>
      <c r="EQ28" s="458" t="n">
        <v>0</v>
      </c>
      <c r="ER28" s="458" t="n">
        <v>0</v>
      </c>
      <c r="ES28" s="458" t="n">
        <v>0</v>
      </c>
      <c r="ET28" s="458" t="n">
        <v>0</v>
      </c>
      <c r="EU28" s="458" t="n">
        <v>0</v>
      </c>
      <c r="EV28" s="458" t="n">
        <v>0</v>
      </c>
      <c r="EW28" s="458" t="n">
        <v>0</v>
      </c>
      <c r="EX28" s="458" t="n">
        <v>0</v>
      </c>
      <c r="EY28" s="458" t="n">
        <v>0</v>
      </c>
      <c r="EZ28" s="458" t="n">
        <v>0</v>
      </c>
      <c r="FA28" s="458" t="n">
        <v>0</v>
      </c>
      <c r="FB28" s="459" t="n">
        <v>0</v>
      </c>
      <c r="FC28" s="459" t="n">
        <v>0</v>
      </c>
      <c r="FD28" s="459" t="n">
        <v>0</v>
      </c>
      <c r="FE28" s="459" t="n">
        <v>0</v>
      </c>
      <c r="FF28" s="459" t="n">
        <v>0</v>
      </c>
      <c r="FG28" s="459" t="n">
        <v>0</v>
      </c>
      <c r="FH28" s="459" t="n">
        <v>0</v>
      </c>
      <c r="FI28" s="459" t="n">
        <v>0</v>
      </c>
      <c r="FJ28" s="459" t="n">
        <v>0</v>
      </c>
      <c r="FK28" s="459" t="n">
        <v>0</v>
      </c>
      <c r="FL28" s="459" t="n">
        <v>0</v>
      </c>
      <c r="FM28" s="459" t="n">
        <v>0</v>
      </c>
      <c r="FN28" s="458" t="n">
        <v>0</v>
      </c>
      <c r="FO28" s="458" t="n">
        <v>0</v>
      </c>
      <c r="FP28" s="458" t="n">
        <v>0</v>
      </c>
      <c r="FQ28" s="458" t="n">
        <v>0</v>
      </c>
      <c r="FR28" s="458" t="n">
        <v>0</v>
      </c>
      <c r="FS28" s="458" t="n">
        <v>0</v>
      </c>
      <c r="FT28" s="458" t="n">
        <v>0</v>
      </c>
      <c r="FU28" s="458" t="n">
        <v>0</v>
      </c>
      <c r="FV28" s="458" t="n">
        <v>0</v>
      </c>
      <c r="FW28" s="458" t="n">
        <v>0</v>
      </c>
      <c r="FX28" s="458" t="n">
        <v>0</v>
      </c>
      <c r="FY28" s="458" t="n">
        <v>0</v>
      </c>
      <c r="FZ28" s="306" t="n"/>
    </row>
    <row r="29" ht="15" customHeight="1" s="307">
      <c r="A29" s="322" t="inlineStr">
        <is>
          <t>Distributable Cash</t>
        </is>
      </c>
      <c r="B29" s="461" t="n">
        <v>-0.3312</v>
      </c>
      <c r="C29" s="461" t="n">
        <v>-0.3312</v>
      </c>
      <c r="D29" s="461" t="n">
        <v>-0.3312</v>
      </c>
      <c r="E29" s="461" t="n">
        <v>-2.0657</v>
      </c>
      <c r="F29" s="461" t="n">
        <v>-0.3693</v>
      </c>
      <c r="G29" s="461" t="n">
        <v>-0.156</v>
      </c>
      <c r="H29" s="461" t="n">
        <v>-2.2085</v>
      </c>
      <c r="I29" s="461" t="n">
        <v>0.2833</v>
      </c>
      <c r="J29" s="461" t="n">
        <v>0.7063</v>
      </c>
      <c r="K29" s="461" t="n">
        <v>-0.6732</v>
      </c>
      <c r="L29" s="461" t="n">
        <v>1.5727</v>
      </c>
      <c r="M29" s="461" t="n">
        <v>0.5405</v>
      </c>
      <c r="N29" s="462" t="n">
        <v>2.6832</v>
      </c>
      <c r="O29" s="462" t="n">
        <v>3.2096</v>
      </c>
      <c r="P29" s="462" t="n">
        <v>3.7212</v>
      </c>
      <c r="Q29" s="462" t="n">
        <v>2.7324</v>
      </c>
      <c r="R29" s="462" t="n">
        <v>4.6743</v>
      </c>
      <c r="S29" s="462" t="n">
        <v>5.1369</v>
      </c>
      <c r="T29" s="462" t="n">
        <v>5.4349</v>
      </c>
      <c r="U29" s="462" t="n">
        <v>5.6715</v>
      </c>
      <c r="V29" s="462" t="n">
        <v>5.9006</v>
      </c>
      <c r="W29" s="462" t="n">
        <v>6.1223</v>
      </c>
      <c r="X29" s="462" t="n">
        <v>6.1314</v>
      </c>
      <c r="Y29" s="462" t="n">
        <v>6.1389</v>
      </c>
      <c r="Z29" s="461" t="n">
        <v>6.0951</v>
      </c>
      <c r="AA29" s="461" t="n">
        <v>6.0511</v>
      </c>
      <c r="AB29" s="461" t="n">
        <v>6.007</v>
      </c>
      <c r="AC29" s="461" t="n">
        <v>5.9628</v>
      </c>
      <c r="AD29" s="461" t="n">
        <v>5.8697</v>
      </c>
      <c r="AE29" s="461" t="n">
        <v>5.7779</v>
      </c>
      <c r="AF29" s="461" t="n">
        <v>5.6874</v>
      </c>
      <c r="AG29" s="461" t="n">
        <v>5.598</v>
      </c>
      <c r="AH29" s="461" t="n">
        <v>5.5099</v>
      </c>
      <c r="AI29" s="461" t="n">
        <v>5.4229</v>
      </c>
      <c r="AJ29" s="461" t="n">
        <v>5.3371</v>
      </c>
      <c r="AK29" s="461" t="n">
        <v>0.2365</v>
      </c>
      <c r="AL29" s="462" t="n">
        <v>5.169</v>
      </c>
      <c r="AM29" s="462" t="n">
        <v>5.0866</v>
      </c>
      <c r="AN29" s="462" t="n">
        <v>5.0053</v>
      </c>
      <c r="AO29" s="462" t="n">
        <v>4.9252</v>
      </c>
      <c r="AP29" s="462" t="n">
        <v>4.8461</v>
      </c>
      <c r="AQ29" s="462" t="n">
        <v>4.768</v>
      </c>
      <c r="AR29" s="462" t="n">
        <v>4.6911</v>
      </c>
      <c r="AS29" s="462" t="n">
        <v>4.6151</v>
      </c>
      <c r="AT29" s="462" t="n">
        <v>4.5402</v>
      </c>
      <c r="AU29" s="462" t="n">
        <v>4.4663</v>
      </c>
      <c r="AV29" s="462" t="n">
        <v>4.3934</v>
      </c>
      <c r="AW29" s="462" t="n">
        <v>1.5158</v>
      </c>
      <c r="AX29" s="461" t="n">
        <v>4.2504</v>
      </c>
      <c r="AY29" s="461" t="n">
        <v>4.1804</v>
      </c>
      <c r="AZ29" s="461" t="n">
        <v>4.1113</v>
      </c>
      <c r="BA29" s="461" t="n">
        <v>4.0432</v>
      </c>
      <c r="BB29" s="461" t="n">
        <v>3.976</v>
      </c>
      <c r="BC29" s="461" t="n">
        <v>3.9096</v>
      </c>
      <c r="BD29" s="461" t="n">
        <v>3.8442</v>
      </c>
      <c r="BE29" s="461" t="n">
        <v>3.7796</v>
      </c>
      <c r="BF29" s="461" t="n">
        <v>3.716</v>
      </c>
      <c r="BG29" s="461" t="n">
        <v>3.6531</v>
      </c>
      <c r="BH29" s="461" t="n">
        <v>3.5911</v>
      </c>
      <c r="BI29" s="461" t="n">
        <v>2.8637</v>
      </c>
      <c r="BJ29" s="462" t="n">
        <v>3.4697</v>
      </c>
      <c r="BK29" s="462" t="n">
        <v>3.4102</v>
      </c>
      <c r="BL29" s="462" t="n">
        <v>3.3514</v>
      </c>
      <c r="BM29" s="462" t="n">
        <v>3.2935</v>
      </c>
      <c r="BN29" s="462" t="n">
        <v>3.2364</v>
      </c>
      <c r="BO29" s="462" t="n">
        <v>3.18</v>
      </c>
      <c r="BP29" s="462" t="n">
        <v>3.1244</v>
      </c>
      <c r="BQ29" s="462" t="n">
        <v>3.0695</v>
      </c>
      <c r="BR29" s="462" t="n">
        <v>3.0154</v>
      </c>
      <c r="BS29" s="462" t="n">
        <v>2.962</v>
      </c>
      <c r="BT29" s="462" t="n">
        <v>2.9093</v>
      </c>
      <c r="BU29" s="462" t="n">
        <v>2.8573</v>
      </c>
      <c r="BV29" s="461" t="n">
        <v>2.806</v>
      </c>
      <c r="BW29" s="461" t="n">
        <v>2.7554</v>
      </c>
      <c r="BX29" s="461" t="n">
        <v>2.7055</v>
      </c>
      <c r="BY29" s="461" t="n">
        <v>2.6563</v>
      </c>
      <c r="BZ29" s="461" t="n">
        <v>2.6077</v>
      </c>
      <c r="CA29" s="461" t="n">
        <v>2.5598</v>
      </c>
      <c r="CB29" s="461" t="n">
        <v>2.5125</v>
      </c>
      <c r="CC29" s="461" t="n">
        <v>2.4659</v>
      </c>
      <c r="CD29" s="461" t="n">
        <v>2.4199</v>
      </c>
      <c r="CE29" s="461" t="n">
        <v>2.3745</v>
      </c>
      <c r="CF29" s="461" t="n">
        <v>2.3297</v>
      </c>
      <c r="CG29" s="461" t="n">
        <v>2.2855</v>
      </c>
      <c r="CH29" s="462" t="n">
        <v>2.2419</v>
      </c>
      <c r="CI29" s="462" t="n">
        <v>2.1989</v>
      </c>
      <c r="CJ29" s="462" t="n">
        <v>2.1565</v>
      </c>
      <c r="CK29" s="462" t="n">
        <v>2.1146</v>
      </c>
      <c r="CL29" s="462" t="n">
        <v>2.0733</v>
      </c>
      <c r="CM29" s="462" t="n">
        <v>2.0326</v>
      </c>
      <c r="CN29" s="462" t="n">
        <v>1.9924</v>
      </c>
      <c r="CO29" s="462" t="n">
        <v>1.9528</v>
      </c>
      <c r="CP29" s="462" t="n">
        <v>1.9137</v>
      </c>
      <c r="CQ29" s="462" t="n">
        <v>1.8751</v>
      </c>
      <c r="CR29" s="462" t="n">
        <v>1.837</v>
      </c>
      <c r="CS29" s="462" t="n">
        <v>1.7995</v>
      </c>
      <c r="CT29" s="461" t="n">
        <v>1.7624</v>
      </c>
      <c r="CU29" s="461" t="n">
        <v>1.7259</v>
      </c>
      <c r="CV29" s="461" t="n">
        <v>1.6898</v>
      </c>
      <c r="CW29" s="461" t="n">
        <v>1.6542</v>
      </c>
      <c r="CX29" s="461" t="n">
        <v>1.6191</v>
      </c>
      <c r="CY29" s="461" t="n">
        <v>1.5845</v>
      </c>
      <c r="CZ29" s="461" t="n">
        <v>1.5504</v>
      </c>
      <c r="DA29" s="461" t="n">
        <v>1.5167</v>
      </c>
      <c r="DB29" s="461" t="n">
        <v>1.4834</v>
      </c>
      <c r="DC29" s="461" t="n">
        <v>1.4506</v>
      </c>
      <c r="DD29" s="461" t="n">
        <v>1.4183</v>
      </c>
      <c r="DE29" s="461" t="n">
        <v>1.3863</v>
      </c>
      <c r="DF29" s="462" t="n">
        <v>1.3549</v>
      </c>
      <c r="DG29" s="462" t="n">
        <v>1.3238</v>
      </c>
      <c r="DH29" s="462" t="n">
        <v>1.2931</v>
      </c>
      <c r="DI29" s="462" t="n">
        <v>1.2629</v>
      </c>
      <c r="DJ29" s="462" t="n">
        <v>1.2331</v>
      </c>
      <c r="DK29" s="462" t="n">
        <v>1.2036</v>
      </c>
      <c r="DL29" s="462" t="n">
        <v>1.1746</v>
      </c>
      <c r="DM29" s="462" t="n">
        <v>1.146</v>
      </c>
      <c r="DN29" s="462" t="n">
        <v>1.1177</v>
      </c>
      <c r="DO29" s="462" t="n">
        <v>1.0898</v>
      </c>
      <c r="DP29" s="462" t="n">
        <v>1.0623</v>
      </c>
      <c r="DQ29" s="462" t="n">
        <v>1.0352</v>
      </c>
      <c r="DR29" s="461" t="n">
        <v>1.0084</v>
      </c>
      <c r="DS29" s="461" t="n">
        <v>0.982</v>
      </c>
      <c r="DT29" s="461" t="n">
        <v>0.956</v>
      </c>
      <c r="DU29" s="461" t="n">
        <v>0.9303</v>
      </c>
      <c r="DV29" s="461" t="n">
        <v>0.9049</v>
      </c>
      <c r="DW29" s="461" t="n">
        <v>0.8799</v>
      </c>
      <c r="DX29" s="461" t="n">
        <v>0.8552</v>
      </c>
      <c r="DY29" s="461" t="n">
        <v>0.8309</v>
      </c>
      <c r="DZ29" s="461" t="n">
        <v>0.8068</v>
      </c>
      <c r="EA29" s="461" t="n">
        <v>0.7831</v>
      </c>
      <c r="EB29" s="461" t="n">
        <v>0.7598</v>
      </c>
      <c r="EC29" s="461" t="n">
        <v>0.7367</v>
      </c>
      <c r="ED29" s="462" t="n">
        <v>0.714</v>
      </c>
      <c r="EE29" s="462" t="n">
        <v>0.6915</v>
      </c>
      <c r="EF29" s="462" t="n">
        <v>0.6694</v>
      </c>
      <c r="EG29" s="462" t="n">
        <v>0.6475</v>
      </c>
      <c r="EH29" s="462" t="n">
        <v>0.626</v>
      </c>
      <c r="EI29" s="462" t="n">
        <v>0.6047</v>
      </c>
      <c r="EJ29" s="462" t="n">
        <v>0.5837</v>
      </c>
      <c r="EK29" s="462" t="n">
        <v>0.5629999999999999</v>
      </c>
      <c r="EL29" s="462" t="n">
        <v>0.5426</v>
      </c>
      <c r="EM29" s="462" t="n">
        <v>0.5225</v>
      </c>
      <c r="EN29" s="462" t="n">
        <v>0.5026</v>
      </c>
      <c r="EO29" s="462" t="n">
        <v>0.483</v>
      </c>
      <c r="EP29" s="461" t="n">
        <v>0.4637</v>
      </c>
      <c r="EQ29" s="461" t="n">
        <v>0.4446</v>
      </c>
      <c r="ER29" s="461" t="n">
        <v>0.4258</v>
      </c>
      <c r="ES29" s="461" t="n">
        <v>0.4072</v>
      </c>
      <c r="ET29" s="461" t="n">
        <v>0.3889</v>
      </c>
      <c r="EU29" s="461" t="n">
        <v>0.3708</v>
      </c>
      <c r="EV29" s="461" t="n">
        <v>0.353</v>
      </c>
      <c r="EW29" s="461" t="n">
        <v>0.3354</v>
      </c>
      <c r="EX29" s="461" t="n">
        <v>0.318</v>
      </c>
      <c r="EY29" s="461" t="n">
        <v>0.3009</v>
      </c>
      <c r="EZ29" s="461" t="n">
        <v>0.284</v>
      </c>
      <c r="FA29" s="461" t="n">
        <v>0.2673</v>
      </c>
      <c r="FB29" s="462" t="n">
        <v>0.2509</v>
      </c>
      <c r="FC29" s="462" t="n">
        <v>0.2347</v>
      </c>
      <c r="FD29" s="462" t="n">
        <v>0.2187</v>
      </c>
      <c r="FE29" s="462" t="n">
        <v>0.2029</v>
      </c>
      <c r="FF29" s="462" t="n">
        <v>0.1873</v>
      </c>
      <c r="FG29" s="462" t="n">
        <v>0.172</v>
      </c>
      <c r="FH29" s="462" t="n">
        <v>0.1568</v>
      </c>
      <c r="FI29" s="462" t="n">
        <v>0.1419</v>
      </c>
      <c r="FJ29" s="462" t="n">
        <v>0.1271</v>
      </c>
      <c r="FK29" s="462" t="n">
        <v>0.1126</v>
      </c>
      <c r="FL29" s="462" t="n">
        <v>0.0982</v>
      </c>
      <c r="FM29" s="462" t="n">
        <v>0.08400000000000001</v>
      </c>
      <c r="FN29" s="461" t="n">
        <v>0.0701</v>
      </c>
      <c r="FO29" s="461" t="n">
        <v>0.0563</v>
      </c>
      <c r="FP29" s="461" t="n">
        <v>0.0427</v>
      </c>
      <c r="FQ29" s="461" t="n">
        <v>0.0293</v>
      </c>
      <c r="FR29" s="461" t="n">
        <v>0.016</v>
      </c>
      <c r="FS29" s="461" t="n">
        <v>0.003</v>
      </c>
      <c r="FT29" s="461" t="n">
        <v>-0.009900000000000001</v>
      </c>
      <c r="FU29" s="461" t="n">
        <v>-0.0226</v>
      </c>
      <c r="FV29" s="461" t="n">
        <v>-0.0352</v>
      </c>
      <c r="FW29" s="461" t="n">
        <v>-0.0475</v>
      </c>
      <c r="FX29" s="461" t="n">
        <v>-0.0597</v>
      </c>
      <c r="FY29" s="461" t="n">
        <v>-0.0718</v>
      </c>
      <c r="FZ29" s="306" t="n"/>
    </row>
    <row r="30" ht="15" customHeight="1" s="307">
      <c r="A30" s="321" t="inlineStr">
        <is>
          <t>Cumulative Distributable</t>
        </is>
      </c>
      <c r="B30" s="458" t="n">
        <v>-0.3312</v>
      </c>
      <c r="C30" s="458" t="n">
        <v>-0.6625</v>
      </c>
      <c r="D30" s="458" t="n">
        <v>-0.9937</v>
      </c>
      <c r="E30" s="458" t="n">
        <v>-3.0594</v>
      </c>
      <c r="F30" s="458" t="n">
        <v>-3.4287</v>
      </c>
      <c r="G30" s="458" t="n">
        <v>-3.5847</v>
      </c>
      <c r="H30" s="458" t="n">
        <v>-5.7932</v>
      </c>
      <c r="I30" s="458" t="n">
        <v>-5.5099</v>
      </c>
      <c r="J30" s="458" t="n">
        <v>-4.8036</v>
      </c>
      <c r="K30" s="458" t="n">
        <v>-5.4768</v>
      </c>
      <c r="L30" s="458" t="n">
        <v>-3.9041</v>
      </c>
      <c r="M30" s="458" t="n">
        <v>-3.3637</v>
      </c>
      <c r="N30" s="459" t="n">
        <v>-0.6805</v>
      </c>
      <c r="O30" s="459" t="n">
        <v>2.5291</v>
      </c>
      <c r="P30" s="459" t="n">
        <v>6.2503</v>
      </c>
      <c r="Q30" s="459" t="n">
        <v>8.982799999999999</v>
      </c>
      <c r="R30" s="459" t="n">
        <v>13.6571</v>
      </c>
      <c r="S30" s="459" t="n">
        <v>18.7939</v>
      </c>
      <c r="T30" s="459" t="n">
        <v>24.2288</v>
      </c>
      <c r="U30" s="459" t="n">
        <v>29.9003</v>
      </c>
      <c r="V30" s="459" t="n">
        <v>35.8009</v>
      </c>
      <c r="W30" s="459" t="n">
        <v>41.9232</v>
      </c>
      <c r="X30" s="459" t="n">
        <v>48.0546</v>
      </c>
      <c r="Y30" s="459" t="n">
        <v>54.1935</v>
      </c>
      <c r="Z30" s="458" t="n">
        <v>60.2886</v>
      </c>
      <c r="AA30" s="458" t="n">
        <v>66.33969999999999</v>
      </c>
      <c r="AB30" s="458" t="n">
        <v>72.3466</v>
      </c>
      <c r="AC30" s="458" t="n">
        <v>78.3094</v>
      </c>
      <c r="AD30" s="458" t="n">
        <v>84.17919999999999</v>
      </c>
      <c r="AE30" s="458" t="n">
        <v>89.9571</v>
      </c>
      <c r="AF30" s="458" t="n">
        <v>95.64449999999999</v>
      </c>
      <c r="AG30" s="458" t="n">
        <v>101.2425</v>
      </c>
      <c r="AH30" s="458" t="n">
        <v>106.7524</v>
      </c>
      <c r="AI30" s="458" t="n">
        <v>112.1753</v>
      </c>
      <c r="AJ30" s="458" t="n">
        <v>117.5124</v>
      </c>
      <c r="AK30" s="458" t="n">
        <v>117.749</v>
      </c>
      <c r="AL30" s="459" t="n">
        <v>122.918</v>
      </c>
      <c r="AM30" s="459" t="n">
        <v>128.0046</v>
      </c>
      <c r="AN30" s="459" t="n">
        <v>133.0099</v>
      </c>
      <c r="AO30" s="459" t="n">
        <v>137.9351</v>
      </c>
      <c r="AP30" s="459" t="n">
        <v>142.7812</v>
      </c>
      <c r="AQ30" s="459" t="n">
        <v>147.5492</v>
      </c>
      <c r="AR30" s="459" t="n">
        <v>152.2403</v>
      </c>
      <c r="AS30" s="459" t="n">
        <v>156.8554</v>
      </c>
      <c r="AT30" s="459" t="n">
        <v>161.3956</v>
      </c>
      <c r="AU30" s="459" t="n">
        <v>165.8619</v>
      </c>
      <c r="AV30" s="459" t="n">
        <v>170.2552</v>
      </c>
      <c r="AW30" s="459" t="n">
        <v>171.7711</v>
      </c>
      <c r="AX30" s="458" t="n">
        <v>176.0215</v>
      </c>
      <c r="AY30" s="458" t="n">
        <v>180.2019</v>
      </c>
      <c r="AZ30" s="458" t="n">
        <v>184.3133</v>
      </c>
      <c r="BA30" s="458" t="n">
        <v>188.3565</v>
      </c>
      <c r="BB30" s="458" t="n">
        <v>192.3324</v>
      </c>
      <c r="BC30" s="458" t="n">
        <v>196.2421</v>
      </c>
      <c r="BD30" s="458" t="n">
        <v>200.0863</v>
      </c>
      <c r="BE30" s="458" t="n">
        <v>203.8659</v>
      </c>
      <c r="BF30" s="458" t="n">
        <v>207.5819</v>
      </c>
      <c r="BG30" s="458" t="n">
        <v>211.235</v>
      </c>
      <c r="BH30" s="458" t="n">
        <v>214.8262</v>
      </c>
      <c r="BI30" s="458" t="n">
        <v>217.6899</v>
      </c>
      <c r="BJ30" s="459" t="n">
        <v>221.1595</v>
      </c>
      <c r="BK30" s="459" t="n">
        <v>224.5697</v>
      </c>
      <c r="BL30" s="459" t="n">
        <v>227.9211</v>
      </c>
      <c r="BM30" s="459" t="n">
        <v>231.2146</v>
      </c>
      <c r="BN30" s="459" t="n">
        <v>234.451</v>
      </c>
      <c r="BO30" s="459" t="n">
        <v>237.631</v>
      </c>
      <c r="BP30" s="459" t="n">
        <v>240.7554</v>
      </c>
      <c r="BQ30" s="459" t="n">
        <v>243.8249</v>
      </c>
      <c r="BR30" s="459" t="n">
        <v>246.8402</v>
      </c>
      <c r="BS30" s="459" t="n">
        <v>249.8022</v>
      </c>
      <c r="BT30" s="459" t="n">
        <v>252.7115</v>
      </c>
      <c r="BU30" s="459" t="n">
        <v>255.5688</v>
      </c>
      <c r="BV30" s="458" t="n">
        <v>258.3748</v>
      </c>
      <c r="BW30" s="458" t="n">
        <v>261.1302</v>
      </c>
      <c r="BX30" s="458" t="n">
        <v>263.8357</v>
      </c>
      <c r="BY30" s="458" t="n">
        <v>266.492</v>
      </c>
      <c r="BZ30" s="458" t="n">
        <v>269.0997</v>
      </c>
      <c r="CA30" s="458" t="n">
        <v>271.6595</v>
      </c>
      <c r="CB30" s="458" t="n">
        <v>274.172</v>
      </c>
      <c r="CC30" s="458" t="n">
        <v>276.6379</v>
      </c>
      <c r="CD30" s="458" t="n">
        <v>279.0577</v>
      </c>
      <c r="CE30" s="458" t="n">
        <v>281.4322</v>
      </c>
      <c r="CF30" s="458" t="n">
        <v>283.7619</v>
      </c>
      <c r="CG30" s="458" t="n">
        <v>286.0474</v>
      </c>
      <c r="CH30" s="459" t="n">
        <v>288.2893</v>
      </c>
      <c r="CI30" s="459" t="n">
        <v>290.4882</v>
      </c>
      <c r="CJ30" s="459" t="n">
        <v>292.6447</v>
      </c>
      <c r="CK30" s="459" t="n">
        <v>294.7593</v>
      </c>
      <c r="CL30" s="459" t="n">
        <v>296.8327</v>
      </c>
      <c r="CM30" s="459" t="n">
        <v>298.8653</v>
      </c>
      <c r="CN30" s="459" t="n">
        <v>300.8577</v>
      </c>
      <c r="CO30" s="459" t="n">
        <v>302.8105</v>
      </c>
      <c r="CP30" s="459" t="n">
        <v>304.7242</v>
      </c>
      <c r="CQ30" s="459" t="n">
        <v>306.5993</v>
      </c>
      <c r="CR30" s="459" t="n">
        <v>308.4363</v>
      </c>
      <c r="CS30" s="459" t="n">
        <v>310.2358</v>
      </c>
      <c r="CT30" s="458" t="n">
        <v>311.9982</v>
      </c>
      <c r="CU30" s="458" t="n">
        <v>313.7241</v>
      </c>
      <c r="CV30" s="458" t="n">
        <v>315.4139</v>
      </c>
      <c r="CW30" s="458" t="n">
        <v>317.0681</v>
      </c>
      <c r="CX30" s="458" t="n">
        <v>318.6873</v>
      </c>
      <c r="CY30" s="458" t="n">
        <v>320.2718</v>
      </c>
      <c r="CZ30" s="458" t="n">
        <v>321.8221</v>
      </c>
      <c r="DA30" s="458" t="n">
        <v>323.3388</v>
      </c>
      <c r="DB30" s="458" t="n">
        <v>324.8222</v>
      </c>
      <c r="DC30" s="458" t="n">
        <v>326.2729</v>
      </c>
      <c r="DD30" s="458" t="n">
        <v>327.6911</v>
      </c>
      <c r="DE30" s="458" t="n">
        <v>329.0775</v>
      </c>
      <c r="DF30" s="459" t="n">
        <v>330.4323</v>
      </c>
      <c r="DG30" s="459" t="n">
        <v>331.7561</v>
      </c>
      <c r="DH30" s="459" t="n">
        <v>333.0492</v>
      </c>
      <c r="DI30" s="459" t="n">
        <v>334.3121</v>
      </c>
      <c r="DJ30" s="459" t="n">
        <v>335.5452</v>
      </c>
      <c r="DK30" s="459" t="n">
        <v>336.7489</v>
      </c>
      <c r="DL30" s="459" t="n">
        <v>337.9235</v>
      </c>
      <c r="DM30" s="459" t="n">
        <v>339.0694</v>
      </c>
      <c r="DN30" s="459" t="n">
        <v>340.1871</v>
      </c>
      <c r="DO30" s="459" t="n">
        <v>341.277</v>
      </c>
      <c r="DP30" s="459" t="n">
        <v>342.3393</v>
      </c>
      <c r="DQ30" s="459" t="n">
        <v>343.3745</v>
      </c>
      <c r="DR30" s="458" t="n">
        <v>344.3829</v>
      </c>
      <c r="DS30" s="458" t="n">
        <v>345.3649</v>
      </c>
      <c r="DT30" s="458" t="n">
        <v>346.3209</v>
      </c>
      <c r="DU30" s="458" t="n">
        <v>347.2511</v>
      </c>
      <c r="DV30" s="458" t="n">
        <v>348.156</v>
      </c>
      <c r="DW30" s="458" t="n">
        <v>349.0359</v>
      </c>
      <c r="DX30" s="458" t="n">
        <v>349.8911</v>
      </c>
      <c r="DY30" s="458" t="n">
        <v>350.722</v>
      </c>
      <c r="DZ30" s="458" t="n">
        <v>351.5289</v>
      </c>
      <c r="EA30" s="458" t="n">
        <v>352.312</v>
      </c>
      <c r="EB30" s="458" t="n">
        <v>353.0718</v>
      </c>
      <c r="EC30" s="458" t="n">
        <v>353.8085</v>
      </c>
      <c r="ED30" s="459" t="n">
        <v>354.5224</v>
      </c>
      <c r="EE30" s="459" t="n">
        <v>355.214</v>
      </c>
      <c r="EF30" s="459" t="n">
        <v>355.8833</v>
      </c>
      <c r="EG30" s="459" t="n">
        <v>356.5308</v>
      </c>
      <c r="EH30" s="459" t="n">
        <v>357.1568</v>
      </c>
      <c r="EI30" s="459" t="n">
        <v>357.7615</v>
      </c>
      <c r="EJ30" s="459" t="n">
        <v>358.3452</v>
      </c>
      <c r="EK30" s="459" t="n">
        <v>358.9083</v>
      </c>
      <c r="EL30" s="459" t="n">
        <v>359.4509</v>
      </c>
      <c r="EM30" s="459" t="n">
        <v>359.9734</v>
      </c>
      <c r="EN30" s="459" t="n">
        <v>360.476</v>
      </c>
      <c r="EO30" s="459" t="n">
        <v>360.959</v>
      </c>
      <c r="EP30" s="458" t="n">
        <v>361.4226</v>
      </c>
      <c r="EQ30" s="458" t="n">
        <v>361.8672</v>
      </c>
      <c r="ER30" s="458" t="n">
        <v>362.293</v>
      </c>
      <c r="ES30" s="458" t="n">
        <v>362.7002</v>
      </c>
      <c r="ET30" s="458" t="n">
        <v>363.089</v>
      </c>
      <c r="EU30" s="458" t="n">
        <v>363.4598</v>
      </c>
      <c r="EV30" s="458" t="n">
        <v>363.8128</v>
      </c>
      <c r="EW30" s="458" t="n">
        <v>364.1482</v>
      </c>
      <c r="EX30" s="458" t="n">
        <v>364.4662</v>
      </c>
      <c r="EY30" s="458" t="n">
        <v>364.7671</v>
      </c>
      <c r="EZ30" s="458" t="n">
        <v>365.0511</v>
      </c>
      <c r="FA30" s="458" t="n">
        <v>365.3184</v>
      </c>
      <c r="FB30" s="459" t="n">
        <v>365.5693</v>
      </c>
      <c r="FC30" s="459" t="n">
        <v>365.804</v>
      </c>
      <c r="FD30" s="459" t="n">
        <v>366.0227</v>
      </c>
      <c r="FE30" s="459" t="n">
        <v>366.2256</v>
      </c>
      <c r="FF30" s="459" t="n">
        <v>366.413</v>
      </c>
      <c r="FG30" s="459" t="n">
        <v>366.5849</v>
      </c>
      <c r="FH30" s="459" t="n">
        <v>366.7418</v>
      </c>
      <c r="FI30" s="459" t="n">
        <v>366.8836</v>
      </c>
      <c r="FJ30" s="459" t="n">
        <v>367.0107</v>
      </c>
      <c r="FK30" s="459" t="n">
        <v>367.1233</v>
      </c>
      <c r="FL30" s="459" t="n">
        <v>367.2215</v>
      </c>
      <c r="FM30" s="459" t="n">
        <v>367.3055</v>
      </c>
      <c r="FN30" s="458" t="n">
        <v>367.3756</v>
      </c>
      <c r="FO30" s="458" t="n">
        <v>367.4319</v>
      </c>
      <c r="FP30" s="458" t="n">
        <v>367.4746</v>
      </c>
      <c r="FQ30" s="458" t="n">
        <v>367.5038</v>
      </c>
      <c r="FR30" s="458" t="n">
        <v>367.5199</v>
      </c>
      <c r="FS30" s="458" t="n">
        <v>367.5229</v>
      </c>
      <c r="FT30" s="458" t="n">
        <v>367.5129</v>
      </c>
      <c r="FU30" s="458" t="n">
        <v>367.4903</v>
      </c>
      <c r="FV30" s="458" t="n">
        <v>367.4552</v>
      </c>
      <c r="FW30" s="458" t="n">
        <v>367.4076</v>
      </c>
      <c r="FX30" s="458" t="n">
        <v>367.3479</v>
      </c>
      <c r="FY30" s="458" t="n">
        <v>367.2762</v>
      </c>
      <c r="FZ30" s="306" t="n"/>
    </row>
    <row r="31" ht="15" customHeight="1" s="307">
      <c r="A31" s="314" t="n"/>
      <c r="B31" s="464" t="n"/>
      <c r="C31" s="464" t="n"/>
      <c r="D31" s="464" t="n"/>
      <c r="E31" s="464" t="n"/>
      <c r="F31" s="464" t="n"/>
      <c r="G31" s="464" t="n"/>
      <c r="H31" s="464" t="n"/>
      <c r="I31" s="464" t="n"/>
      <c r="J31" s="464" t="n"/>
      <c r="K31" s="464" t="n"/>
      <c r="L31" s="464" t="n"/>
      <c r="M31" s="464" t="n"/>
      <c r="N31" s="464" t="n"/>
      <c r="O31" s="464" t="n"/>
      <c r="P31" s="464" t="n"/>
      <c r="Q31" s="464" t="n"/>
      <c r="R31" s="464" t="n"/>
      <c r="S31" s="464" t="n"/>
      <c r="T31" s="464" t="n"/>
      <c r="U31" s="464" t="n"/>
      <c r="V31" s="464" t="n"/>
      <c r="W31" s="464" t="n"/>
      <c r="X31" s="464" t="n"/>
      <c r="Y31" s="464" t="n"/>
      <c r="Z31" s="464" t="n"/>
      <c r="AA31" s="464" t="n"/>
      <c r="AB31" s="464" t="n"/>
      <c r="AC31" s="464" t="n"/>
      <c r="AD31" s="464" t="n"/>
      <c r="AE31" s="464" t="n"/>
      <c r="AF31" s="464" t="n"/>
      <c r="AG31" s="464" t="n"/>
      <c r="AH31" s="464" t="n"/>
      <c r="AI31" s="464" t="n"/>
      <c r="AJ31" s="464" t="n"/>
      <c r="AK31" s="464" t="n"/>
      <c r="AL31" s="464" t="n"/>
      <c r="AM31" s="464" t="n"/>
      <c r="AN31" s="464" t="n"/>
      <c r="AO31" s="464" t="n"/>
      <c r="AP31" s="464" t="n"/>
      <c r="AQ31" s="464" t="n"/>
      <c r="AR31" s="464" t="n"/>
      <c r="AS31" s="464" t="n"/>
      <c r="AT31" s="464" t="n"/>
      <c r="AU31" s="464" t="n"/>
      <c r="AV31" s="464" t="n"/>
      <c r="AW31" s="464" t="n"/>
      <c r="AX31" s="464" t="n"/>
      <c r="AY31" s="464" t="n"/>
      <c r="AZ31" s="464" t="n"/>
      <c r="BA31" s="464" t="n"/>
      <c r="BB31" s="464" t="n"/>
      <c r="BC31" s="464" t="n"/>
      <c r="BD31" s="464" t="n"/>
      <c r="BE31" s="464" t="n"/>
      <c r="BF31" s="464" t="n"/>
      <c r="BG31" s="464" t="n"/>
      <c r="BH31" s="464" t="n"/>
      <c r="BI31" s="464" t="n"/>
      <c r="BJ31" s="464" t="n"/>
      <c r="BK31" s="464" t="n"/>
      <c r="BL31" s="464" t="n"/>
      <c r="BM31" s="464" t="n"/>
      <c r="BN31" s="464" t="n"/>
      <c r="BO31" s="464" t="n"/>
      <c r="BP31" s="464" t="n"/>
      <c r="BQ31" s="464" t="n"/>
      <c r="BR31" s="464" t="n"/>
      <c r="BS31" s="464" t="n"/>
      <c r="BT31" s="464" t="n"/>
      <c r="BU31" s="464" t="n"/>
      <c r="BV31" s="464" t="n"/>
      <c r="BW31" s="464" t="n"/>
      <c r="BX31" s="464" t="n"/>
      <c r="BY31" s="464" t="n"/>
      <c r="BZ31" s="464" t="n"/>
      <c r="CA31" s="464" t="n"/>
      <c r="CB31" s="464" t="n"/>
      <c r="CC31" s="464" t="n"/>
      <c r="CD31" s="464" t="n"/>
      <c r="CE31" s="464" t="n"/>
      <c r="CF31" s="464" t="n"/>
      <c r="CG31" s="464" t="n"/>
      <c r="CH31" s="464" t="n"/>
      <c r="CI31" s="464" t="n"/>
      <c r="CJ31" s="464" t="n"/>
      <c r="CK31" s="464" t="n"/>
      <c r="CL31" s="464" t="n"/>
      <c r="CM31" s="464" t="n"/>
      <c r="CN31" s="464" t="n"/>
      <c r="CO31" s="464" t="n"/>
      <c r="CP31" s="464" t="n"/>
      <c r="CQ31" s="464" t="n"/>
      <c r="CR31" s="464" t="n"/>
      <c r="CS31" s="464" t="n"/>
      <c r="CT31" s="464" t="n"/>
      <c r="CU31" s="464" t="n"/>
      <c r="CV31" s="464" t="n"/>
      <c r="CW31" s="464" t="n"/>
      <c r="CX31" s="464" t="n"/>
      <c r="CY31" s="464" t="n"/>
      <c r="CZ31" s="464" t="n"/>
      <c r="DA31" s="464" t="n"/>
      <c r="DB31" s="464" t="n"/>
      <c r="DC31" s="464" t="n"/>
      <c r="DD31" s="464" t="n"/>
      <c r="DE31" s="464" t="n"/>
      <c r="DF31" s="464" t="n"/>
      <c r="DG31" s="464" t="n"/>
      <c r="DH31" s="464" t="n"/>
      <c r="DI31" s="464" t="n"/>
      <c r="DJ31" s="464" t="n"/>
      <c r="DK31" s="464" t="n"/>
      <c r="DL31" s="464" t="n"/>
      <c r="DM31" s="464" t="n"/>
      <c r="DN31" s="464" t="n"/>
      <c r="DO31" s="464" t="n"/>
      <c r="DP31" s="464" t="n"/>
      <c r="DQ31" s="464" t="n"/>
      <c r="DR31" s="464" t="n"/>
      <c r="DS31" s="464" t="n"/>
      <c r="DT31" s="464" t="n"/>
      <c r="DU31" s="464" t="n"/>
      <c r="DV31" s="464" t="n"/>
      <c r="DW31" s="464" t="n"/>
      <c r="DX31" s="464" t="n"/>
      <c r="DY31" s="464" t="n"/>
      <c r="DZ31" s="464" t="n"/>
      <c r="EA31" s="464" t="n"/>
      <c r="EB31" s="464" t="n"/>
      <c r="EC31" s="464" t="n"/>
      <c r="ED31" s="464" t="n"/>
      <c r="EE31" s="464" t="n"/>
      <c r="EF31" s="464" t="n"/>
      <c r="EG31" s="464" t="n"/>
      <c r="EH31" s="464" t="n"/>
      <c r="EI31" s="464" t="n"/>
      <c r="EJ31" s="464" t="n"/>
      <c r="EK31" s="464" t="n"/>
      <c r="EL31" s="464" t="n"/>
      <c r="EM31" s="464" t="n"/>
      <c r="EN31" s="464" t="n"/>
      <c r="EO31" s="464" t="n"/>
      <c r="EP31" s="464" t="n"/>
      <c r="EQ31" s="464" t="n"/>
      <c r="ER31" s="464" t="n"/>
      <c r="ES31" s="464" t="n"/>
      <c r="ET31" s="464" t="n"/>
      <c r="EU31" s="464" t="n"/>
      <c r="EV31" s="464" t="n"/>
      <c r="EW31" s="464" t="n"/>
      <c r="EX31" s="464" t="n"/>
      <c r="EY31" s="464" t="n"/>
      <c r="EZ31" s="464" t="n"/>
      <c r="FA31" s="464" t="n"/>
      <c r="FB31" s="464" t="n"/>
      <c r="FC31" s="464" t="n"/>
      <c r="FD31" s="464" t="n"/>
      <c r="FE31" s="464" t="n"/>
      <c r="FF31" s="464" t="n"/>
      <c r="FG31" s="464" t="n"/>
      <c r="FH31" s="464" t="n"/>
      <c r="FI31" s="464" t="n"/>
      <c r="FJ31" s="464" t="n"/>
      <c r="FK31" s="464" t="n"/>
      <c r="FL31" s="464" t="n"/>
      <c r="FM31" s="464" t="n"/>
      <c r="FN31" s="464" t="n"/>
      <c r="FO31" s="464" t="n"/>
      <c r="FP31" s="464" t="n"/>
      <c r="FQ31" s="464" t="n"/>
      <c r="FR31" s="464" t="n"/>
      <c r="FS31" s="464" t="n"/>
      <c r="FT31" s="464" t="n"/>
      <c r="FU31" s="464" t="n"/>
      <c r="FV31" s="464" t="n"/>
      <c r="FW31" s="464" t="n"/>
      <c r="FX31" s="464" t="n"/>
      <c r="FY31" s="464" t="n"/>
      <c r="FZ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  <c r="BK32" s="306" t="n"/>
      <c r="BL32" s="306" t="n"/>
      <c r="BM32" s="306" t="n"/>
      <c r="BN32" s="306" t="n"/>
      <c r="BO32" s="306" t="n"/>
      <c r="BP32" s="306" t="n"/>
      <c r="BQ32" s="306" t="n"/>
      <c r="BR32" s="306" t="n"/>
      <c r="BS32" s="306" t="n"/>
      <c r="BT32" s="306" t="n"/>
      <c r="BU32" s="306" t="n"/>
      <c r="BV32" s="306" t="n"/>
      <c r="BW32" s="306" t="n"/>
      <c r="BX32" s="306" t="n"/>
      <c r="BY32" s="306" t="n"/>
      <c r="BZ32" s="306" t="n"/>
      <c r="CA32" s="306" t="n"/>
      <c r="CB32" s="306" t="n"/>
      <c r="CC32" s="306" t="n"/>
      <c r="CD32" s="306" t="n"/>
      <c r="CE32" s="306" t="n"/>
      <c r="CF32" s="306" t="n"/>
      <c r="CG32" s="306" t="n"/>
      <c r="CH32" s="306" t="n"/>
      <c r="CI32" s="306" t="n"/>
      <c r="CJ32" s="306" t="n"/>
      <c r="CK32" s="306" t="n"/>
      <c r="CL32" s="306" t="n"/>
      <c r="CM32" s="306" t="n"/>
      <c r="CN32" s="306" t="n"/>
      <c r="CO32" s="306" t="n"/>
      <c r="CP32" s="306" t="n"/>
      <c r="CQ32" s="306" t="n"/>
      <c r="CR32" s="306" t="n"/>
      <c r="CS32" s="306" t="n"/>
      <c r="CT32" s="306" t="n"/>
      <c r="CU32" s="306" t="n"/>
      <c r="CV32" s="306" t="n"/>
      <c r="CW32" s="306" t="n"/>
      <c r="CX32" s="306" t="n"/>
      <c r="CY32" s="306" t="n"/>
      <c r="CZ32" s="306" t="n"/>
      <c r="DA32" s="306" t="n"/>
      <c r="DB32" s="306" t="n"/>
      <c r="DC32" s="306" t="n"/>
      <c r="DD32" s="306" t="n"/>
      <c r="DE32" s="306" t="n"/>
      <c r="DF32" s="306" t="n"/>
      <c r="DG32" s="306" t="n"/>
      <c r="DH32" s="306" t="n"/>
      <c r="DI32" s="306" t="n"/>
      <c r="DJ32" s="306" t="n"/>
      <c r="DK32" s="306" t="n"/>
      <c r="DL32" s="306" t="n"/>
      <c r="DM32" s="306" t="n"/>
      <c r="DN32" s="306" t="n"/>
      <c r="DO32" s="306" t="n"/>
      <c r="DP32" s="306" t="n"/>
      <c r="DQ32" s="306" t="n"/>
      <c r="DR32" s="306" t="n"/>
      <c r="DS32" s="306" t="n"/>
      <c r="DT32" s="306" t="n"/>
      <c r="DU32" s="306" t="n"/>
      <c r="DV32" s="306" t="n"/>
      <c r="DW32" s="306" t="n"/>
      <c r="DX32" s="306" t="n"/>
      <c r="DY32" s="306" t="n"/>
      <c r="DZ32" s="306" t="n"/>
      <c r="EA32" s="306" t="n"/>
      <c r="EB32" s="306" t="n"/>
      <c r="EC32" s="306" t="n"/>
      <c r="ED32" s="306" t="n"/>
      <c r="EE32" s="306" t="n"/>
      <c r="EF32" s="306" t="n"/>
      <c r="EG32" s="306" t="n"/>
      <c r="EH32" s="306" t="n"/>
      <c r="EI32" s="306" t="n"/>
      <c r="EJ32" s="306" t="n"/>
      <c r="EK32" s="306" t="n"/>
      <c r="EL32" s="306" t="n"/>
      <c r="EM32" s="306" t="n"/>
      <c r="EN32" s="306" t="n"/>
      <c r="EO32" s="306" t="n"/>
      <c r="EP32" s="306" t="n"/>
      <c r="EQ32" s="306" t="n"/>
      <c r="ER32" s="306" t="n"/>
      <c r="ES32" s="306" t="n"/>
      <c r="ET32" s="306" t="n"/>
      <c r="EU32" s="306" t="n"/>
      <c r="EV32" s="306" t="n"/>
      <c r="EW32" s="306" t="n"/>
      <c r="EX32" s="306" t="n"/>
      <c r="EY32" s="306" t="n"/>
      <c r="EZ32" s="306" t="n"/>
      <c r="FA32" s="306" t="n"/>
      <c r="FB32" s="306" t="n"/>
      <c r="FC32" s="306" t="n"/>
      <c r="FD32" s="306" t="n"/>
      <c r="FE32" s="306" t="n"/>
      <c r="FF32" s="306" t="n"/>
      <c r="FG32" s="306" t="n"/>
      <c r="FH32" s="306" t="n"/>
      <c r="FI32" s="306" t="n"/>
      <c r="FJ32" s="306" t="n"/>
      <c r="FK32" s="306" t="n"/>
      <c r="FL32" s="306" t="n"/>
      <c r="FM32" s="306" t="n"/>
      <c r="FN32" s="306" t="n"/>
      <c r="FO32" s="306" t="n"/>
      <c r="FP32" s="306" t="n"/>
      <c r="FQ32" s="306" t="n"/>
      <c r="FR32" s="306" t="n"/>
      <c r="FS32" s="306" t="n"/>
      <c r="FT32" s="306" t="n"/>
      <c r="FU32" s="306" t="n"/>
      <c r="FV32" s="306" t="n"/>
      <c r="FW32" s="306" t="n"/>
      <c r="FX32" s="306" t="n"/>
      <c r="FY32" s="306" t="n"/>
      <c r="FZ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  <c r="BK33" s="306" t="n"/>
      <c r="BL33" s="306" t="n"/>
      <c r="BM33" s="306" t="n"/>
      <c r="BN33" s="306" t="n"/>
      <c r="BO33" s="306" t="n"/>
      <c r="BP33" s="306" t="n"/>
      <c r="BQ33" s="306" t="n"/>
      <c r="BR33" s="306" t="n"/>
      <c r="BS33" s="306" t="n"/>
      <c r="BT33" s="306" t="n"/>
      <c r="BU33" s="306" t="n"/>
      <c r="BV33" s="306" t="n"/>
      <c r="BW33" s="306" t="n"/>
      <c r="BX33" s="306" t="n"/>
      <c r="BY33" s="306" t="n"/>
      <c r="BZ33" s="306" t="n"/>
      <c r="CA33" s="306" t="n"/>
      <c r="CB33" s="306" t="n"/>
      <c r="CC33" s="306" t="n"/>
      <c r="CD33" s="306" t="n"/>
      <c r="CE33" s="306" t="n"/>
      <c r="CF33" s="306" t="n"/>
      <c r="CG33" s="306" t="n"/>
      <c r="CH33" s="306" t="n"/>
      <c r="CI33" s="306" t="n"/>
      <c r="CJ33" s="306" t="n"/>
      <c r="CK33" s="306" t="n"/>
      <c r="CL33" s="306" t="n"/>
      <c r="CM33" s="306" t="n"/>
      <c r="CN33" s="306" t="n"/>
      <c r="CO33" s="306" t="n"/>
      <c r="CP33" s="306" t="n"/>
      <c r="CQ33" s="306" t="n"/>
      <c r="CR33" s="306" t="n"/>
      <c r="CS33" s="306" t="n"/>
      <c r="CT33" s="306" t="n"/>
      <c r="CU33" s="306" t="n"/>
      <c r="CV33" s="306" t="n"/>
      <c r="CW33" s="306" t="n"/>
      <c r="CX33" s="306" t="n"/>
      <c r="CY33" s="306" t="n"/>
      <c r="CZ33" s="306" t="n"/>
      <c r="DA33" s="306" t="n"/>
      <c r="DB33" s="306" t="n"/>
      <c r="DC33" s="306" t="n"/>
      <c r="DD33" s="306" t="n"/>
      <c r="DE33" s="306" t="n"/>
      <c r="DF33" s="306" t="n"/>
      <c r="DG33" s="306" t="n"/>
      <c r="DH33" s="306" t="n"/>
      <c r="DI33" s="306" t="n"/>
      <c r="DJ33" s="306" t="n"/>
      <c r="DK33" s="306" t="n"/>
      <c r="DL33" s="306" t="n"/>
      <c r="DM33" s="306" t="n"/>
      <c r="DN33" s="306" t="n"/>
      <c r="DO33" s="306" t="n"/>
      <c r="DP33" s="306" t="n"/>
      <c r="DQ33" s="306" t="n"/>
      <c r="DR33" s="306" t="n"/>
      <c r="DS33" s="306" t="n"/>
      <c r="DT33" s="306" t="n"/>
      <c r="DU33" s="306" t="n"/>
      <c r="DV33" s="306" t="n"/>
      <c r="DW33" s="306" t="n"/>
      <c r="DX33" s="306" t="n"/>
      <c r="DY33" s="306" t="n"/>
      <c r="DZ33" s="306" t="n"/>
      <c r="EA33" s="306" t="n"/>
      <c r="EB33" s="306" t="n"/>
      <c r="EC33" s="306" t="n"/>
      <c r="ED33" s="306" t="n"/>
      <c r="EE33" s="306" t="n"/>
      <c r="EF33" s="306" t="n"/>
      <c r="EG33" s="306" t="n"/>
      <c r="EH33" s="306" t="n"/>
      <c r="EI33" s="306" t="n"/>
      <c r="EJ33" s="306" t="n"/>
      <c r="EK33" s="306" t="n"/>
      <c r="EL33" s="306" t="n"/>
      <c r="EM33" s="306" t="n"/>
      <c r="EN33" s="306" t="n"/>
      <c r="EO33" s="306" t="n"/>
      <c r="EP33" s="306" t="n"/>
      <c r="EQ33" s="306" t="n"/>
      <c r="ER33" s="306" t="n"/>
      <c r="ES33" s="306" t="n"/>
      <c r="ET33" s="306" t="n"/>
      <c r="EU33" s="306" t="n"/>
      <c r="EV33" s="306" t="n"/>
      <c r="EW33" s="306" t="n"/>
      <c r="EX33" s="306" t="n"/>
      <c r="EY33" s="306" t="n"/>
      <c r="EZ33" s="306" t="n"/>
      <c r="FA33" s="306" t="n"/>
      <c r="FB33" s="306" t="n"/>
      <c r="FC33" s="306" t="n"/>
      <c r="FD33" s="306" t="n"/>
      <c r="FE33" s="306" t="n"/>
      <c r="FF33" s="306" t="n"/>
      <c r="FG33" s="306" t="n"/>
      <c r="FH33" s="306" t="n"/>
      <c r="FI33" s="306" t="n"/>
      <c r="FJ33" s="306" t="n"/>
      <c r="FK33" s="306" t="n"/>
      <c r="FL33" s="306" t="n"/>
      <c r="FM33" s="306" t="n"/>
      <c r="FN33" s="306" t="n"/>
      <c r="FO33" s="306" t="n"/>
      <c r="FP33" s="306" t="n"/>
      <c r="FQ33" s="306" t="n"/>
      <c r="FR33" s="306" t="n"/>
      <c r="FS33" s="306" t="n"/>
      <c r="FT33" s="306" t="n"/>
      <c r="FU33" s="306" t="n"/>
      <c r="FV33" s="306" t="n"/>
      <c r="FW33" s="306" t="n"/>
      <c r="FX33" s="306" t="n"/>
      <c r="FY33" s="306" t="n"/>
      <c r="FZ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  <c r="BK34" s="306" t="n"/>
      <c r="BL34" s="306" t="n"/>
      <c r="BM34" s="306" t="n"/>
      <c r="BN34" s="306" t="n"/>
      <c r="BO34" s="306" t="n"/>
      <c r="BP34" s="306" t="n"/>
      <c r="BQ34" s="306" t="n"/>
      <c r="BR34" s="306" t="n"/>
      <c r="BS34" s="306" t="n"/>
      <c r="BT34" s="306" t="n"/>
      <c r="BU34" s="306" t="n"/>
      <c r="BV34" s="306" t="n"/>
      <c r="BW34" s="306" t="n"/>
      <c r="BX34" s="306" t="n"/>
      <c r="BY34" s="306" t="n"/>
      <c r="BZ34" s="306" t="n"/>
      <c r="CA34" s="306" t="n"/>
      <c r="CB34" s="306" t="n"/>
      <c r="CC34" s="306" t="n"/>
      <c r="CD34" s="306" t="n"/>
      <c r="CE34" s="306" t="n"/>
      <c r="CF34" s="306" t="n"/>
      <c r="CG34" s="306" t="n"/>
      <c r="CH34" s="306" t="n"/>
      <c r="CI34" s="306" t="n"/>
      <c r="CJ34" s="306" t="n"/>
      <c r="CK34" s="306" t="n"/>
      <c r="CL34" s="306" t="n"/>
      <c r="CM34" s="306" t="n"/>
      <c r="CN34" s="306" t="n"/>
      <c r="CO34" s="306" t="n"/>
      <c r="CP34" s="306" t="n"/>
      <c r="CQ34" s="306" t="n"/>
      <c r="CR34" s="306" t="n"/>
      <c r="CS34" s="306" t="n"/>
      <c r="CT34" s="306" t="n"/>
      <c r="CU34" s="306" t="n"/>
      <c r="CV34" s="306" t="n"/>
      <c r="CW34" s="306" t="n"/>
      <c r="CX34" s="306" t="n"/>
      <c r="CY34" s="306" t="n"/>
      <c r="CZ34" s="306" t="n"/>
      <c r="DA34" s="306" t="n"/>
      <c r="DB34" s="306" t="n"/>
      <c r="DC34" s="306" t="n"/>
      <c r="DD34" s="306" t="n"/>
      <c r="DE34" s="306" t="n"/>
      <c r="DF34" s="306" t="n"/>
      <c r="DG34" s="306" t="n"/>
      <c r="DH34" s="306" t="n"/>
      <c r="DI34" s="306" t="n"/>
      <c r="DJ34" s="306" t="n"/>
      <c r="DK34" s="306" t="n"/>
      <c r="DL34" s="306" t="n"/>
      <c r="DM34" s="306" t="n"/>
      <c r="DN34" s="306" t="n"/>
      <c r="DO34" s="306" t="n"/>
      <c r="DP34" s="306" t="n"/>
      <c r="DQ34" s="306" t="n"/>
      <c r="DR34" s="306" t="n"/>
      <c r="DS34" s="306" t="n"/>
      <c r="DT34" s="306" t="n"/>
      <c r="DU34" s="306" t="n"/>
      <c r="DV34" s="306" t="n"/>
      <c r="DW34" s="306" t="n"/>
      <c r="DX34" s="306" t="n"/>
      <c r="DY34" s="306" t="n"/>
      <c r="DZ34" s="306" t="n"/>
      <c r="EA34" s="306" t="n"/>
      <c r="EB34" s="306" t="n"/>
      <c r="EC34" s="306" t="n"/>
      <c r="ED34" s="306" t="n"/>
      <c r="EE34" s="306" t="n"/>
      <c r="EF34" s="306" t="n"/>
      <c r="EG34" s="306" t="n"/>
      <c r="EH34" s="306" t="n"/>
      <c r="EI34" s="306" t="n"/>
      <c r="EJ34" s="306" t="n"/>
      <c r="EK34" s="306" t="n"/>
      <c r="EL34" s="306" t="n"/>
      <c r="EM34" s="306" t="n"/>
      <c r="EN34" s="306" t="n"/>
      <c r="EO34" s="306" t="n"/>
      <c r="EP34" s="306" t="n"/>
      <c r="EQ34" s="306" t="n"/>
      <c r="ER34" s="306" t="n"/>
      <c r="ES34" s="306" t="n"/>
      <c r="ET34" s="306" t="n"/>
      <c r="EU34" s="306" t="n"/>
      <c r="EV34" s="306" t="n"/>
      <c r="EW34" s="306" t="n"/>
      <c r="EX34" s="306" t="n"/>
      <c r="EY34" s="306" t="n"/>
      <c r="EZ34" s="306" t="n"/>
      <c r="FA34" s="306" t="n"/>
      <c r="FB34" s="306" t="n"/>
      <c r="FC34" s="306" t="n"/>
      <c r="FD34" s="306" t="n"/>
      <c r="FE34" s="306" t="n"/>
      <c r="FF34" s="306" t="n"/>
      <c r="FG34" s="306" t="n"/>
      <c r="FH34" s="306" t="n"/>
      <c r="FI34" s="306" t="n"/>
      <c r="FJ34" s="306" t="n"/>
      <c r="FK34" s="306" t="n"/>
      <c r="FL34" s="306" t="n"/>
      <c r="FM34" s="306" t="n"/>
      <c r="FN34" s="306" t="n"/>
      <c r="FO34" s="306" t="n"/>
      <c r="FP34" s="306" t="n"/>
      <c r="FQ34" s="306" t="n"/>
      <c r="FR34" s="306" t="n"/>
      <c r="FS34" s="306" t="n"/>
      <c r="FT34" s="306" t="n"/>
      <c r="FU34" s="306" t="n"/>
      <c r="FV34" s="306" t="n"/>
      <c r="FW34" s="306" t="n"/>
      <c r="FX34" s="306" t="n"/>
      <c r="FY34" s="306" t="n"/>
      <c r="FZ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  <c r="T35" s="306" t="n"/>
      <c r="U35" s="306" t="n"/>
      <c r="V35" s="306" t="n"/>
      <c r="W35" s="306" t="n"/>
      <c r="X35" s="306" t="n"/>
      <c r="Y35" s="306" t="n"/>
      <c r="Z35" s="306" t="n"/>
      <c r="AA35" s="306" t="n"/>
      <c r="AB35" s="306" t="n"/>
      <c r="AC35" s="306" t="n"/>
      <c r="AD35" s="306" t="n"/>
      <c r="AE35" s="306" t="n"/>
      <c r="AF35" s="306" t="n"/>
      <c r="AG35" s="306" t="n"/>
      <c r="AH35" s="306" t="n"/>
      <c r="AI35" s="306" t="n"/>
      <c r="AJ35" s="306" t="n"/>
      <c r="AK35" s="306" t="n"/>
      <c r="AL35" s="306" t="n"/>
      <c r="AM35" s="306" t="n"/>
      <c r="AN35" s="306" t="n"/>
      <c r="AO35" s="306" t="n"/>
      <c r="AP35" s="306" t="n"/>
      <c r="AQ35" s="306" t="n"/>
      <c r="AR35" s="306" t="n"/>
      <c r="AS35" s="306" t="n"/>
      <c r="AT35" s="306" t="n"/>
      <c r="AU35" s="306" t="n"/>
      <c r="AV35" s="306" t="n"/>
      <c r="AW35" s="306" t="n"/>
      <c r="AX35" s="306" t="n"/>
      <c r="AY35" s="306" t="n"/>
      <c r="AZ35" s="306" t="n"/>
      <c r="BA35" s="306" t="n"/>
      <c r="BB35" s="306" t="n"/>
      <c r="BC35" s="306" t="n"/>
      <c r="BD35" s="306" t="n"/>
      <c r="BE35" s="306" t="n"/>
      <c r="BF35" s="306" t="n"/>
      <c r="BG35" s="306" t="n"/>
      <c r="BH35" s="306" t="n"/>
      <c r="BI35" s="306" t="n"/>
      <c r="BJ35" s="306" t="n"/>
      <c r="BK35" s="306" t="n"/>
      <c r="BL35" s="306" t="n"/>
      <c r="BM35" s="306" t="n"/>
      <c r="BN35" s="306" t="n"/>
      <c r="BO35" s="306" t="n"/>
      <c r="BP35" s="306" t="n"/>
      <c r="BQ35" s="306" t="n"/>
      <c r="BR35" s="306" t="n"/>
      <c r="BS35" s="306" t="n"/>
      <c r="BT35" s="306" t="n"/>
      <c r="BU35" s="306" t="n"/>
      <c r="BV35" s="306" t="n"/>
      <c r="BW35" s="306" t="n"/>
      <c r="BX35" s="306" t="n"/>
      <c r="BY35" s="306" t="n"/>
      <c r="BZ35" s="306" t="n"/>
      <c r="CA35" s="306" t="n"/>
      <c r="CB35" s="306" t="n"/>
      <c r="CC35" s="306" t="n"/>
      <c r="CD35" s="306" t="n"/>
      <c r="CE35" s="306" t="n"/>
      <c r="CF35" s="306" t="n"/>
      <c r="CG35" s="306" t="n"/>
      <c r="CH35" s="306" t="n"/>
      <c r="CI35" s="306" t="n"/>
      <c r="CJ35" s="306" t="n"/>
      <c r="CK35" s="306" t="n"/>
      <c r="CL35" s="306" t="n"/>
      <c r="CM35" s="306" t="n"/>
      <c r="CN35" s="306" t="n"/>
      <c r="CO35" s="306" t="n"/>
      <c r="CP35" s="306" t="n"/>
      <c r="CQ35" s="306" t="n"/>
      <c r="CR35" s="306" t="n"/>
      <c r="CS35" s="306" t="n"/>
      <c r="CT35" s="306" t="n"/>
      <c r="CU35" s="306" t="n"/>
      <c r="CV35" s="306" t="n"/>
      <c r="CW35" s="306" t="n"/>
      <c r="CX35" s="306" t="n"/>
      <c r="CY35" s="306" t="n"/>
      <c r="CZ35" s="306" t="n"/>
      <c r="DA35" s="306" t="n"/>
      <c r="DB35" s="306" t="n"/>
      <c r="DC35" s="306" t="n"/>
      <c r="DD35" s="306" t="n"/>
      <c r="DE35" s="306" t="n"/>
      <c r="DF35" s="306" t="n"/>
      <c r="DG35" s="306" t="n"/>
      <c r="DH35" s="306" t="n"/>
      <c r="DI35" s="306" t="n"/>
      <c r="DJ35" s="306" t="n"/>
      <c r="DK35" s="306" t="n"/>
      <c r="DL35" s="306" t="n"/>
      <c r="DM35" s="306" t="n"/>
      <c r="DN35" s="306" t="n"/>
      <c r="DO35" s="306" t="n"/>
      <c r="DP35" s="306" t="n"/>
      <c r="DQ35" s="306" t="n"/>
      <c r="DR35" s="306" t="n"/>
      <c r="DS35" s="306" t="n"/>
      <c r="DT35" s="306" t="n"/>
      <c r="DU35" s="306" t="n"/>
      <c r="DV35" s="306" t="n"/>
      <c r="DW35" s="306" t="n"/>
      <c r="DX35" s="306" t="n"/>
      <c r="DY35" s="306" t="n"/>
      <c r="DZ35" s="306" t="n"/>
      <c r="EA35" s="306" t="n"/>
      <c r="EB35" s="306" t="n"/>
      <c r="EC35" s="306" t="n"/>
      <c r="ED35" s="306" t="n"/>
      <c r="EE35" s="306" t="n"/>
      <c r="EF35" s="306" t="n"/>
      <c r="EG35" s="306" t="n"/>
      <c r="EH35" s="306" t="n"/>
      <c r="EI35" s="306" t="n"/>
      <c r="EJ35" s="306" t="n"/>
      <c r="EK35" s="306" t="n"/>
      <c r="EL35" s="306" t="n"/>
      <c r="EM35" s="306" t="n"/>
      <c r="EN35" s="306" t="n"/>
      <c r="EO35" s="306" t="n"/>
      <c r="EP35" s="306" t="n"/>
      <c r="EQ35" s="306" t="n"/>
      <c r="ER35" s="306" t="n"/>
      <c r="ES35" s="306" t="n"/>
      <c r="ET35" s="306" t="n"/>
      <c r="EU35" s="306" t="n"/>
      <c r="EV35" s="306" t="n"/>
      <c r="EW35" s="306" t="n"/>
      <c r="EX35" s="306" t="n"/>
      <c r="EY35" s="306" t="n"/>
      <c r="EZ35" s="306" t="n"/>
      <c r="FA35" s="306" t="n"/>
      <c r="FB35" s="306" t="n"/>
      <c r="FC35" s="306" t="n"/>
      <c r="FD35" s="306" t="n"/>
      <c r="FE35" s="306" t="n"/>
      <c r="FF35" s="306" t="n"/>
      <c r="FG35" s="306" t="n"/>
      <c r="FH35" s="306" t="n"/>
      <c r="FI35" s="306" t="n"/>
      <c r="FJ35" s="306" t="n"/>
      <c r="FK35" s="306" t="n"/>
      <c r="FL35" s="306" t="n"/>
      <c r="FM35" s="306" t="n"/>
      <c r="FN35" s="306" t="n"/>
      <c r="FO35" s="306" t="n"/>
      <c r="FP35" s="306" t="n"/>
      <c r="FQ35" s="306" t="n"/>
      <c r="FR35" s="306" t="n"/>
      <c r="FS35" s="306" t="n"/>
      <c r="FT35" s="306" t="n"/>
      <c r="FU35" s="306" t="n"/>
      <c r="FV35" s="306" t="n"/>
      <c r="FW35" s="306" t="n"/>
      <c r="FX35" s="306" t="n"/>
      <c r="FY35" s="306" t="n"/>
      <c r="FZ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  <c r="T36" s="306" t="n"/>
      <c r="U36" s="306" t="n"/>
      <c r="V36" s="306" t="n"/>
      <c r="W36" s="306" t="n"/>
      <c r="X36" s="306" t="n"/>
      <c r="Y36" s="306" t="n"/>
      <c r="Z36" s="306" t="n"/>
      <c r="AA36" s="306" t="n"/>
      <c r="AB36" s="306" t="n"/>
      <c r="AC36" s="306" t="n"/>
      <c r="AD36" s="306" t="n"/>
      <c r="AE36" s="306" t="n"/>
      <c r="AF36" s="306" t="n"/>
      <c r="AG36" s="306" t="n"/>
      <c r="AH36" s="306" t="n"/>
      <c r="AI36" s="306" t="n"/>
      <c r="AJ36" s="306" t="n"/>
      <c r="AK36" s="306" t="n"/>
      <c r="AL36" s="306" t="n"/>
      <c r="AM36" s="306" t="n"/>
      <c r="AN36" s="306" t="n"/>
      <c r="AO36" s="306" t="n"/>
      <c r="AP36" s="306" t="n"/>
      <c r="AQ36" s="306" t="n"/>
      <c r="AR36" s="306" t="n"/>
      <c r="AS36" s="306" t="n"/>
      <c r="AT36" s="306" t="n"/>
      <c r="AU36" s="306" t="n"/>
      <c r="AV36" s="306" t="n"/>
      <c r="AW36" s="306" t="n"/>
      <c r="AX36" s="306" t="n"/>
      <c r="AY36" s="306" t="n"/>
      <c r="AZ36" s="306" t="n"/>
      <c r="BA36" s="306" t="n"/>
      <c r="BB36" s="306" t="n"/>
      <c r="BC36" s="306" t="n"/>
      <c r="BD36" s="306" t="n"/>
      <c r="BE36" s="306" t="n"/>
      <c r="BF36" s="306" t="n"/>
      <c r="BG36" s="306" t="n"/>
      <c r="BH36" s="306" t="n"/>
      <c r="BI36" s="306" t="n"/>
      <c r="BJ36" s="306" t="n"/>
      <c r="BK36" s="306" t="n"/>
      <c r="BL36" s="306" t="n"/>
      <c r="BM36" s="306" t="n"/>
      <c r="BN36" s="306" t="n"/>
      <c r="BO36" s="306" t="n"/>
      <c r="BP36" s="306" t="n"/>
      <c r="BQ36" s="306" t="n"/>
      <c r="BR36" s="306" t="n"/>
      <c r="BS36" s="306" t="n"/>
      <c r="BT36" s="306" t="n"/>
      <c r="BU36" s="306" t="n"/>
      <c r="BV36" s="306" t="n"/>
      <c r="BW36" s="306" t="n"/>
      <c r="BX36" s="306" t="n"/>
      <c r="BY36" s="306" t="n"/>
      <c r="BZ36" s="306" t="n"/>
      <c r="CA36" s="306" t="n"/>
      <c r="CB36" s="306" t="n"/>
      <c r="CC36" s="306" t="n"/>
      <c r="CD36" s="306" t="n"/>
      <c r="CE36" s="306" t="n"/>
      <c r="CF36" s="306" t="n"/>
      <c r="CG36" s="306" t="n"/>
      <c r="CH36" s="306" t="n"/>
      <c r="CI36" s="306" t="n"/>
      <c r="CJ36" s="306" t="n"/>
      <c r="CK36" s="306" t="n"/>
      <c r="CL36" s="306" t="n"/>
      <c r="CM36" s="306" t="n"/>
      <c r="CN36" s="306" t="n"/>
      <c r="CO36" s="306" t="n"/>
      <c r="CP36" s="306" t="n"/>
      <c r="CQ36" s="306" t="n"/>
      <c r="CR36" s="306" t="n"/>
      <c r="CS36" s="306" t="n"/>
      <c r="CT36" s="306" t="n"/>
      <c r="CU36" s="306" t="n"/>
      <c r="CV36" s="306" t="n"/>
      <c r="CW36" s="306" t="n"/>
      <c r="CX36" s="306" t="n"/>
      <c r="CY36" s="306" t="n"/>
      <c r="CZ36" s="306" t="n"/>
      <c r="DA36" s="306" t="n"/>
      <c r="DB36" s="306" t="n"/>
      <c r="DC36" s="306" t="n"/>
      <c r="DD36" s="306" t="n"/>
      <c r="DE36" s="306" t="n"/>
      <c r="DF36" s="306" t="n"/>
      <c r="DG36" s="306" t="n"/>
      <c r="DH36" s="306" t="n"/>
      <c r="DI36" s="306" t="n"/>
      <c r="DJ36" s="306" t="n"/>
      <c r="DK36" s="306" t="n"/>
      <c r="DL36" s="306" t="n"/>
      <c r="DM36" s="306" t="n"/>
      <c r="DN36" s="306" t="n"/>
      <c r="DO36" s="306" t="n"/>
      <c r="DP36" s="306" t="n"/>
      <c r="DQ36" s="306" t="n"/>
      <c r="DR36" s="306" t="n"/>
      <c r="DS36" s="306" t="n"/>
      <c r="DT36" s="306" t="n"/>
      <c r="DU36" s="306" t="n"/>
      <c r="DV36" s="306" t="n"/>
      <c r="DW36" s="306" t="n"/>
      <c r="DX36" s="306" t="n"/>
      <c r="DY36" s="306" t="n"/>
      <c r="DZ36" s="306" t="n"/>
      <c r="EA36" s="306" t="n"/>
      <c r="EB36" s="306" t="n"/>
      <c r="EC36" s="306" t="n"/>
      <c r="ED36" s="306" t="n"/>
      <c r="EE36" s="306" t="n"/>
      <c r="EF36" s="306" t="n"/>
      <c r="EG36" s="306" t="n"/>
      <c r="EH36" s="306" t="n"/>
      <c r="EI36" s="306" t="n"/>
      <c r="EJ36" s="306" t="n"/>
      <c r="EK36" s="306" t="n"/>
      <c r="EL36" s="306" t="n"/>
      <c r="EM36" s="306" t="n"/>
      <c r="EN36" s="306" t="n"/>
      <c r="EO36" s="306" t="n"/>
      <c r="EP36" s="306" t="n"/>
      <c r="EQ36" s="306" t="n"/>
      <c r="ER36" s="306" t="n"/>
      <c r="ES36" s="306" t="n"/>
      <c r="ET36" s="306" t="n"/>
      <c r="EU36" s="306" t="n"/>
      <c r="EV36" s="306" t="n"/>
      <c r="EW36" s="306" t="n"/>
      <c r="EX36" s="306" t="n"/>
      <c r="EY36" s="306" t="n"/>
      <c r="EZ36" s="306" t="n"/>
      <c r="FA36" s="306" t="n"/>
      <c r="FB36" s="306" t="n"/>
      <c r="FC36" s="306" t="n"/>
      <c r="FD36" s="306" t="n"/>
      <c r="FE36" s="306" t="n"/>
      <c r="FF36" s="306" t="n"/>
      <c r="FG36" s="306" t="n"/>
      <c r="FH36" s="306" t="n"/>
      <c r="FI36" s="306" t="n"/>
      <c r="FJ36" s="306" t="n"/>
      <c r="FK36" s="306" t="n"/>
      <c r="FL36" s="306" t="n"/>
      <c r="FM36" s="306" t="n"/>
      <c r="FN36" s="306" t="n"/>
      <c r="FO36" s="306" t="n"/>
      <c r="FP36" s="306" t="n"/>
      <c r="FQ36" s="306" t="n"/>
      <c r="FR36" s="306" t="n"/>
      <c r="FS36" s="306" t="n"/>
      <c r="FT36" s="306" t="n"/>
      <c r="FU36" s="306" t="n"/>
      <c r="FV36" s="306" t="n"/>
      <c r="FW36" s="306" t="n"/>
      <c r="FX36" s="306" t="n"/>
      <c r="FY36" s="306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471" t="inlineStr">
        <is>
          <t>MONTHLY P&amp;L  |  50% RECYCLE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 t="n">
        <v>0</v>
      </c>
      <c r="C6" s="458" t="n">
        <v>0</v>
      </c>
      <c r="D6" s="458" t="n">
        <v>0</v>
      </c>
      <c r="E6" s="458" t="n">
        <v>2.1333</v>
      </c>
      <c r="F6" s="458" t="n">
        <v>2.1046</v>
      </c>
      <c r="G6" s="458" t="n">
        <v>2.0763</v>
      </c>
      <c r="H6" s="458" t="n">
        <v>2.0484</v>
      </c>
      <c r="I6" s="458" t="n">
        <v>2.0208</v>
      </c>
      <c r="J6" s="458" t="n">
        <v>1.9937</v>
      </c>
      <c r="K6" s="458" t="n">
        <v>1.9668</v>
      </c>
      <c r="L6" s="458" t="n">
        <v>1.9404</v>
      </c>
      <c r="M6" s="458" t="n">
        <v>1.9143</v>
      </c>
      <c r="N6" s="459" t="n">
        <v>1.8885</v>
      </c>
      <c r="O6" s="459" t="n">
        <v>1.8631</v>
      </c>
      <c r="P6" s="459" t="n">
        <v>1.8381</v>
      </c>
      <c r="Q6" s="459" t="n">
        <v>1.8133</v>
      </c>
      <c r="R6" s="459" t="n">
        <v>1.7889</v>
      </c>
      <c r="S6" s="459" t="n">
        <v>1.7649</v>
      </c>
      <c r="T6" s="459" t="n">
        <v>1.7411</v>
      </c>
      <c r="U6" s="459" t="n">
        <v>1.7177</v>
      </c>
      <c r="V6" s="459" t="n">
        <v>1.6946</v>
      </c>
      <c r="W6" s="459" t="n">
        <v>1.6718</v>
      </c>
      <c r="X6" s="459" t="n">
        <v>1.6493</v>
      </c>
      <c r="Y6" s="459" t="n">
        <v>1.6271</v>
      </c>
      <c r="Z6" s="458" t="n">
        <v>1.6052</v>
      </c>
      <c r="AA6" s="458" t="n">
        <v>1.5837</v>
      </c>
      <c r="AB6" s="458" t="n">
        <v>1.5623</v>
      </c>
      <c r="AC6" s="458" t="n">
        <v>1.5413</v>
      </c>
      <c r="AD6" s="458" t="n">
        <v>1.5206</v>
      </c>
      <c r="AE6" s="458" t="n">
        <v>1.5001</v>
      </c>
      <c r="AF6" s="458" t="n">
        <v>1.48</v>
      </c>
      <c r="AG6" s="458" t="n">
        <v>1.4601</v>
      </c>
      <c r="AH6" s="458" t="n">
        <v>1.4404</v>
      </c>
      <c r="AI6" s="458" t="n">
        <v>1.421</v>
      </c>
      <c r="AJ6" s="458" t="n">
        <v>1.4019</v>
      </c>
      <c r="AK6" s="458" t="n">
        <v>1.3831</v>
      </c>
      <c r="AL6" s="459" t="n">
        <v>1.3645</v>
      </c>
      <c r="AM6" s="459" t="n">
        <v>1.3461</v>
      </c>
      <c r="AN6" s="459" t="n">
        <v>1.328</v>
      </c>
      <c r="AO6" s="459" t="n">
        <v>1.3101</v>
      </c>
      <c r="AP6" s="459" t="n">
        <v>1.2925</v>
      </c>
      <c r="AQ6" s="459" t="n">
        <v>1.2751</v>
      </c>
      <c r="AR6" s="459" t="n">
        <v>1.258</v>
      </c>
      <c r="AS6" s="459" t="n">
        <v>1.241</v>
      </c>
      <c r="AT6" s="459" t="n">
        <v>1.2244</v>
      </c>
      <c r="AU6" s="459" t="n">
        <v>1.2079</v>
      </c>
      <c r="AV6" s="459" t="n">
        <v>1.1916</v>
      </c>
      <c r="AW6" s="459" t="n">
        <v>1.1756</v>
      </c>
      <c r="AX6" s="458" t="n">
        <v>1.1598</v>
      </c>
      <c r="AY6" s="458" t="n">
        <v>1.1442</v>
      </c>
      <c r="AZ6" s="458" t="n">
        <v>1.1288</v>
      </c>
      <c r="BA6" s="458" t="n">
        <v>1.1136</v>
      </c>
      <c r="BB6" s="458" t="n">
        <v>1.0986</v>
      </c>
      <c r="BC6" s="458" t="n">
        <v>1.0839</v>
      </c>
      <c r="BD6" s="458" t="n">
        <v>1.0693</v>
      </c>
      <c r="BE6" s="458" t="n">
        <v>1.0549</v>
      </c>
      <c r="BF6" s="458" t="n">
        <v>1.0407</v>
      </c>
      <c r="BG6" s="458" t="n">
        <v>1.0267</v>
      </c>
      <c r="BH6" s="458" t="n">
        <v>1.0129</v>
      </c>
      <c r="BI6" s="458" t="n">
        <v>0.9993</v>
      </c>
      <c r="BJ6" s="459" t="n">
        <v>0.9858</v>
      </c>
      <c r="BK6" s="459" t="n">
        <v>0.9726</v>
      </c>
      <c r="BL6" s="459" t="n">
        <v>0.9595</v>
      </c>
      <c r="BM6" s="459" t="n">
        <v>0.9466</v>
      </c>
      <c r="BN6" s="459" t="n">
        <v>0.9338</v>
      </c>
      <c r="BO6" s="459" t="n">
        <v>0.9213</v>
      </c>
      <c r="BP6" s="459" t="n">
        <v>0.9089</v>
      </c>
      <c r="BQ6" s="459" t="n">
        <v>0.8967000000000001</v>
      </c>
      <c r="BR6" s="459" t="n">
        <v>0.8846000000000001</v>
      </c>
      <c r="BS6" s="459" t="n">
        <v>0.8727</v>
      </c>
      <c r="BT6" s="459" t="n">
        <v>0.861</v>
      </c>
      <c r="BU6" s="459" t="n">
        <v>0.8494</v>
      </c>
      <c r="BV6" s="458" t="n">
        <v>0.8379</v>
      </c>
      <c r="BW6" s="458" t="n">
        <v>0.8267</v>
      </c>
      <c r="BX6" s="458" t="n">
        <v>0.8156</v>
      </c>
      <c r="BY6" s="458" t="n">
        <v>0.8046</v>
      </c>
      <c r="BZ6" s="458" t="n">
        <v>0.7938</v>
      </c>
      <c r="CA6" s="458" t="n">
        <v>0.7831</v>
      </c>
      <c r="CB6" s="458" t="n">
        <v>0.7726</v>
      </c>
      <c r="CC6" s="458" t="n">
        <v>0.7622</v>
      </c>
      <c r="CD6" s="458" t="n">
        <v>0.7519</v>
      </c>
      <c r="CE6" s="458" t="n">
        <v>0.7418</v>
      </c>
      <c r="CF6" s="458" t="n">
        <v>0.7318</v>
      </c>
      <c r="CG6" s="458" t="n">
        <v>0.722</v>
      </c>
      <c r="CH6" s="459" t="n">
        <v>0.7123</v>
      </c>
      <c r="CI6" s="459" t="n">
        <v>0.7027</v>
      </c>
      <c r="CJ6" s="459" t="n">
        <v>0.6932</v>
      </c>
      <c r="CK6" s="459" t="n">
        <v>0.6839</v>
      </c>
      <c r="CL6" s="459" t="n">
        <v>0.6747</v>
      </c>
      <c r="CM6" s="459" t="n">
        <v>0.6656</v>
      </c>
      <c r="CN6" s="459" t="n">
        <v>0.6567</v>
      </c>
      <c r="CO6" s="459" t="n">
        <v>0.6478</v>
      </c>
      <c r="CP6" s="459" t="n">
        <v>0.6391</v>
      </c>
      <c r="CQ6" s="459" t="n">
        <v>0.6304999999999999</v>
      </c>
      <c r="CR6" s="459" t="n">
        <v>0.622</v>
      </c>
      <c r="CS6" s="459" t="n">
        <v>0.6137</v>
      </c>
      <c r="CT6" s="458" t="n">
        <v>0.6054</v>
      </c>
      <c r="CU6" s="458" t="n">
        <v>0.5973000000000001</v>
      </c>
      <c r="CV6" s="458" t="n">
        <v>0.5891999999999999</v>
      </c>
      <c r="CW6" s="458" t="n">
        <v>0.5813</v>
      </c>
      <c r="CX6" s="458" t="n">
        <v>0.5735</v>
      </c>
      <c r="CY6" s="458" t="n">
        <v>0.5658</v>
      </c>
      <c r="CZ6" s="458" t="n">
        <v>0.5582</v>
      </c>
      <c r="DA6" s="458" t="n">
        <v>0.5507</v>
      </c>
      <c r="DB6" s="458" t="n">
        <v>0.5433</v>
      </c>
      <c r="DC6" s="458" t="n">
        <v>0.5359</v>
      </c>
      <c r="DD6" s="458" t="n">
        <v>0.5286999999999999</v>
      </c>
      <c r="DE6" s="458" t="n">
        <v>0.5216</v>
      </c>
      <c r="DF6" s="459" t="n">
        <v>0.5145999999999999</v>
      </c>
      <c r="DG6" s="459" t="n">
        <v>0.5077</v>
      </c>
      <c r="DH6" s="459" t="n">
        <v>0.5009</v>
      </c>
      <c r="DI6" s="459" t="n">
        <v>0.4941</v>
      </c>
      <c r="DJ6" s="459" t="n">
        <v>0.4875</v>
      </c>
      <c r="DK6" s="459" t="n">
        <v>0.4809</v>
      </c>
      <c r="DL6" s="459" t="n">
        <v>0.4744</v>
      </c>
      <c r="DM6" s="459" t="n">
        <v>0.4681</v>
      </c>
      <c r="DN6" s="459" t="n">
        <v>0.4618</v>
      </c>
      <c r="DO6" s="459" t="n">
        <v>0.4556</v>
      </c>
      <c r="DP6" s="459" t="n">
        <v>0.4494</v>
      </c>
      <c r="DQ6" s="459" t="n">
        <v>0.4434</v>
      </c>
      <c r="DR6" s="458" t="n">
        <v>0.4374</v>
      </c>
      <c r="DS6" s="458" t="n">
        <v>0.4315</v>
      </c>
      <c r="DT6" s="458" t="n">
        <v>0.4257</v>
      </c>
      <c r="DU6" s="458" t="n">
        <v>0.42</v>
      </c>
      <c r="DV6" s="458" t="n">
        <v>0.4143</v>
      </c>
      <c r="DW6" s="458" t="n">
        <v>0.4088</v>
      </c>
      <c r="DX6" s="458" t="n">
        <v>0.4033</v>
      </c>
      <c r="DY6" s="458" t="n">
        <v>0.3979</v>
      </c>
      <c r="DZ6" s="458" t="n">
        <v>0.3925</v>
      </c>
      <c r="EA6" s="458" t="n">
        <v>0.3872</v>
      </c>
      <c r="EB6" s="458" t="n">
        <v>0.382</v>
      </c>
      <c r="EC6" s="458" t="n">
        <v>0.3769</v>
      </c>
      <c r="ED6" s="459" t="n">
        <v>0.3718</v>
      </c>
      <c r="EE6" s="459" t="n">
        <v>0.3668</v>
      </c>
      <c r="EF6" s="459" t="n">
        <v>0.3619</v>
      </c>
      <c r="EG6" s="459" t="n">
        <v>0.357</v>
      </c>
      <c r="EH6" s="459" t="n">
        <v>0.3522</v>
      </c>
      <c r="EI6" s="459" t="n">
        <v>0.3475</v>
      </c>
      <c r="EJ6" s="459" t="n">
        <v>0.3428</v>
      </c>
      <c r="EK6" s="459" t="n">
        <v>0.3382</v>
      </c>
      <c r="EL6" s="459" t="n">
        <v>0.3336</v>
      </c>
      <c r="EM6" s="459" t="n">
        <v>0.3291</v>
      </c>
      <c r="EN6" s="459" t="n">
        <v>0.3247</v>
      </c>
      <c r="EO6" s="459" t="n">
        <v>0.3203</v>
      </c>
      <c r="EP6" s="458" t="n">
        <v>0.316</v>
      </c>
      <c r="EQ6" s="458" t="n">
        <v>0.3118</v>
      </c>
      <c r="ER6" s="458" t="n">
        <v>0.3076</v>
      </c>
      <c r="ES6" s="458" t="n">
        <v>0.3034</v>
      </c>
      <c r="ET6" s="458" t="n">
        <v>0.2994</v>
      </c>
      <c r="EU6" s="458" t="n">
        <v>0.2953</v>
      </c>
      <c r="EV6" s="458" t="n">
        <v>0.2914</v>
      </c>
      <c r="EW6" s="458" t="n">
        <v>0.2874</v>
      </c>
      <c r="EX6" s="458" t="n">
        <v>0.2836</v>
      </c>
      <c r="EY6" s="458" t="n">
        <v>0.2798</v>
      </c>
      <c r="EZ6" s="458" t="n">
        <v>0.276</v>
      </c>
      <c r="FA6" s="458" t="n">
        <v>0.2723</v>
      </c>
      <c r="FB6" s="459" t="n">
        <v>0.2686</v>
      </c>
      <c r="FC6" s="459" t="n">
        <v>0.265</v>
      </c>
      <c r="FD6" s="459" t="n">
        <v>0.2614</v>
      </c>
      <c r="FE6" s="459" t="n">
        <v>0.2579</v>
      </c>
      <c r="FF6" s="459" t="n">
        <v>0.2545</v>
      </c>
      <c r="FG6" s="459" t="n">
        <v>0.251</v>
      </c>
      <c r="FH6" s="459" t="n">
        <v>0.2477</v>
      </c>
      <c r="FI6" s="459" t="n">
        <v>0.2443</v>
      </c>
      <c r="FJ6" s="459" t="n">
        <v>0.241</v>
      </c>
      <c r="FK6" s="459" t="n">
        <v>0.2378</v>
      </c>
      <c r="FL6" s="459" t="n">
        <v>0.2346</v>
      </c>
      <c r="FM6" s="459" t="n">
        <v>0.2314</v>
      </c>
      <c r="FN6" s="458" t="n">
        <v>0.2283</v>
      </c>
      <c r="FO6" s="458" t="n">
        <v>0.2253</v>
      </c>
      <c r="FP6" s="458" t="n">
        <v>0.2222</v>
      </c>
      <c r="FQ6" s="458" t="n">
        <v>0.2192</v>
      </c>
      <c r="FR6" s="458" t="n">
        <v>0.2163</v>
      </c>
      <c r="FS6" s="458" t="n">
        <v>0.2134</v>
      </c>
      <c r="FT6" s="458" t="n">
        <v>0.2105</v>
      </c>
      <c r="FU6" s="458" t="n">
        <v>0.2077</v>
      </c>
      <c r="FV6" s="458" t="n">
        <v>0.2049</v>
      </c>
      <c r="FW6" s="458" t="n">
        <v>0.2021</v>
      </c>
      <c r="FX6" s="458" t="n">
        <v>0.1994</v>
      </c>
      <c r="FY6" s="458" t="n">
        <v>0.1967</v>
      </c>
      <c r="FZ6" s="306" t="n"/>
    </row>
    <row r="7" ht="15" customHeight="1" s="307">
      <c r="A7" s="321" t="inlineStr">
        <is>
          <t xml:space="preserve">    Deal #2</t>
        </is>
      </c>
      <c r="B7" s="458" t="n">
        <v>0</v>
      </c>
      <c r="C7" s="458" t="n">
        <v>0</v>
      </c>
      <c r="D7" s="458" t="n">
        <v>0</v>
      </c>
      <c r="E7" s="458" t="n">
        <v>0</v>
      </c>
      <c r="F7" s="458" t="n">
        <v>0</v>
      </c>
      <c r="G7" s="458" t="n">
        <v>0</v>
      </c>
      <c r="H7" s="458" t="n">
        <v>2.2667</v>
      </c>
      <c r="I7" s="458" t="n">
        <v>2.2362</v>
      </c>
      <c r="J7" s="458" t="n">
        <v>2.2061</v>
      </c>
      <c r="K7" s="458" t="n">
        <v>2.1764</v>
      </c>
      <c r="L7" s="458" t="n">
        <v>2.1471</v>
      </c>
      <c r="M7" s="458" t="n">
        <v>2.1183</v>
      </c>
      <c r="N7" s="459" t="n">
        <v>2.0898</v>
      </c>
      <c r="O7" s="459" t="n">
        <v>2.0617</v>
      </c>
      <c r="P7" s="459" t="n">
        <v>2.0339</v>
      </c>
      <c r="Q7" s="459" t="n">
        <v>2.0066</v>
      </c>
      <c r="R7" s="459" t="n">
        <v>1.9796</v>
      </c>
      <c r="S7" s="459" t="n">
        <v>1.9529</v>
      </c>
      <c r="T7" s="459" t="n">
        <v>1.9267</v>
      </c>
      <c r="U7" s="459" t="n">
        <v>1.9007</v>
      </c>
      <c r="V7" s="459" t="n">
        <v>1.8752</v>
      </c>
      <c r="W7" s="459" t="n">
        <v>1.85</v>
      </c>
      <c r="X7" s="459" t="n">
        <v>1.8251</v>
      </c>
      <c r="Y7" s="459" t="n">
        <v>1.8005</v>
      </c>
      <c r="Z7" s="458" t="n">
        <v>1.7763</v>
      </c>
      <c r="AA7" s="458" t="n">
        <v>1.7524</v>
      </c>
      <c r="AB7" s="458" t="n">
        <v>1.7288</v>
      </c>
      <c r="AC7" s="458" t="n">
        <v>1.7056</v>
      </c>
      <c r="AD7" s="458" t="n">
        <v>1.6826</v>
      </c>
      <c r="AE7" s="458" t="n">
        <v>1.66</v>
      </c>
      <c r="AF7" s="458" t="n">
        <v>1.6377</v>
      </c>
      <c r="AG7" s="458" t="n">
        <v>1.6156</v>
      </c>
      <c r="AH7" s="458" t="n">
        <v>1.5939</v>
      </c>
      <c r="AI7" s="458" t="n">
        <v>1.5725</v>
      </c>
      <c r="AJ7" s="458" t="n">
        <v>1.5513</v>
      </c>
      <c r="AK7" s="458" t="n">
        <v>1.5304</v>
      </c>
      <c r="AL7" s="459" t="n">
        <v>1.5099</v>
      </c>
      <c r="AM7" s="459" t="n">
        <v>1.4895</v>
      </c>
      <c r="AN7" s="459" t="n">
        <v>1.4695</v>
      </c>
      <c r="AO7" s="459" t="n">
        <v>1.4497</v>
      </c>
      <c r="AP7" s="459" t="n">
        <v>1.4302</v>
      </c>
      <c r="AQ7" s="459" t="n">
        <v>1.411</v>
      </c>
      <c r="AR7" s="459" t="n">
        <v>1.392</v>
      </c>
      <c r="AS7" s="459" t="n">
        <v>1.3733</v>
      </c>
      <c r="AT7" s="459" t="n">
        <v>1.3548</v>
      </c>
      <c r="AU7" s="459" t="n">
        <v>1.3366</v>
      </c>
      <c r="AV7" s="459" t="n">
        <v>1.3186</v>
      </c>
      <c r="AW7" s="459" t="n">
        <v>1.3009</v>
      </c>
      <c r="AX7" s="458" t="n">
        <v>1.2834</v>
      </c>
      <c r="AY7" s="458" t="n">
        <v>1.2661</v>
      </c>
      <c r="AZ7" s="458" t="n">
        <v>1.2491</v>
      </c>
      <c r="BA7" s="458" t="n">
        <v>1.2323</v>
      </c>
      <c r="BB7" s="458" t="n">
        <v>1.2157</v>
      </c>
      <c r="BC7" s="458" t="n">
        <v>1.1993</v>
      </c>
      <c r="BD7" s="458" t="n">
        <v>1.1832</v>
      </c>
      <c r="BE7" s="458" t="n">
        <v>1.1673</v>
      </c>
      <c r="BF7" s="458" t="n">
        <v>1.1516</v>
      </c>
      <c r="BG7" s="458" t="n">
        <v>1.1361</v>
      </c>
      <c r="BH7" s="458" t="n">
        <v>1.1208</v>
      </c>
      <c r="BI7" s="458" t="n">
        <v>1.1057</v>
      </c>
      <c r="BJ7" s="459" t="n">
        <v>1.0909</v>
      </c>
      <c r="BK7" s="459" t="n">
        <v>1.0762</v>
      </c>
      <c r="BL7" s="459" t="n">
        <v>1.0617</v>
      </c>
      <c r="BM7" s="459" t="n">
        <v>1.0474</v>
      </c>
      <c r="BN7" s="459" t="n">
        <v>1.0333</v>
      </c>
      <c r="BO7" s="459" t="n">
        <v>1.0194</v>
      </c>
      <c r="BP7" s="459" t="n">
        <v>1.0057</v>
      </c>
      <c r="BQ7" s="459" t="n">
        <v>0.9922</v>
      </c>
      <c r="BR7" s="459" t="n">
        <v>0.9789</v>
      </c>
      <c r="BS7" s="459" t="n">
        <v>0.9657</v>
      </c>
      <c r="BT7" s="459" t="n">
        <v>0.9527</v>
      </c>
      <c r="BU7" s="459" t="n">
        <v>0.9399</v>
      </c>
      <c r="BV7" s="458" t="n">
        <v>0.9272</v>
      </c>
      <c r="BW7" s="458" t="n">
        <v>0.9147999999999999</v>
      </c>
      <c r="BX7" s="458" t="n">
        <v>0.9025</v>
      </c>
      <c r="BY7" s="458" t="n">
        <v>0.8903</v>
      </c>
      <c r="BZ7" s="458" t="n">
        <v>0.8783</v>
      </c>
      <c r="CA7" s="458" t="n">
        <v>0.8665</v>
      </c>
      <c r="CB7" s="458" t="n">
        <v>0.8549</v>
      </c>
      <c r="CC7" s="458" t="n">
        <v>0.8434</v>
      </c>
      <c r="CD7" s="458" t="n">
        <v>0.832</v>
      </c>
      <c r="CE7" s="458" t="n">
        <v>0.8208</v>
      </c>
      <c r="CF7" s="458" t="n">
        <v>0.8098</v>
      </c>
      <c r="CG7" s="458" t="n">
        <v>0.7989000000000001</v>
      </c>
      <c r="CH7" s="459" t="n">
        <v>0.7882</v>
      </c>
      <c r="CI7" s="459" t="n">
        <v>0.7776</v>
      </c>
      <c r="CJ7" s="459" t="n">
        <v>0.7671</v>
      </c>
      <c r="CK7" s="459" t="n">
        <v>0.7568</v>
      </c>
      <c r="CL7" s="459" t="n">
        <v>0.7466</v>
      </c>
      <c r="CM7" s="459" t="n">
        <v>0.7365</v>
      </c>
      <c r="CN7" s="459" t="n">
        <v>0.7266</v>
      </c>
      <c r="CO7" s="459" t="n">
        <v>0.7169</v>
      </c>
      <c r="CP7" s="459" t="n">
        <v>0.7072000000000001</v>
      </c>
      <c r="CQ7" s="459" t="n">
        <v>0.6977</v>
      </c>
      <c r="CR7" s="459" t="n">
        <v>0.6883</v>
      </c>
      <c r="CS7" s="459" t="n">
        <v>0.6791</v>
      </c>
      <c r="CT7" s="458" t="n">
        <v>0.6699000000000001</v>
      </c>
      <c r="CU7" s="458" t="n">
        <v>0.6609</v>
      </c>
      <c r="CV7" s="458" t="n">
        <v>0.652</v>
      </c>
      <c r="CW7" s="458" t="n">
        <v>0.6433</v>
      </c>
      <c r="CX7" s="458" t="n">
        <v>0.6346000000000001</v>
      </c>
      <c r="CY7" s="458" t="n">
        <v>0.6261</v>
      </c>
      <c r="CZ7" s="458" t="n">
        <v>0.6176</v>
      </c>
      <c r="DA7" s="458" t="n">
        <v>0.6093</v>
      </c>
      <c r="DB7" s="458" t="n">
        <v>0.6011</v>
      </c>
      <c r="DC7" s="458" t="n">
        <v>0.5931</v>
      </c>
      <c r="DD7" s="458" t="n">
        <v>0.5851</v>
      </c>
      <c r="DE7" s="458" t="n">
        <v>0.5772</v>
      </c>
      <c r="DF7" s="459" t="n">
        <v>0.5694</v>
      </c>
      <c r="DG7" s="459" t="n">
        <v>0.5618</v>
      </c>
      <c r="DH7" s="459" t="n">
        <v>0.5542</v>
      </c>
      <c r="DI7" s="459" t="n">
        <v>0.5468</v>
      </c>
      <c r="DJ7" s="459" t="n">
        <v>0.5394</v>
      </c>
      <c r="DK7" s="459" t="n">
        <v>0.5322</v>
      </c>
      <c r="DL7" s="459" t="n">
        <v>0.525</v>
      </c>
      <c r="DM7" s="459" t="n">
        <v>0.5179</v>
      </c>
      <c r="DN7" s="459" t="n">
        <v>0.511</v>
      </c>
      <c r="DO7" s="459" t="n">
        <v>0.5041</v>
      </c>
      <c r="DP7" s="459" t="n">
        <v>0.4973</v>
      </c>
      <c r="DQ7" s="459" t="n">
        <v>0.4906</v>
      </c>
      <c r="DR7" s="458" t="n">
        <v>0.484</v>
      </c>
      <c r="DS7" s="458" t="n">
        <v>0.4775</v>
      </c>
      <c r="DT7" s="458" t="n">
        <v>0.4711</v>
      </c>
      <c r="DU7" s="458" t="n">
        <v>0.4648</v>
      </c>
      <c r="DV7" s="458" t="n">
        <v>0.4585</v>
      </c>
      <c r="DW7" s="458" t="n">
        <v>0.4523</v>
      </c>
      <c r="DX7" s="458" t="n">
        <v>0.4462</v>
      </c>
      <c r="DY7" s="458" t="n">
        <v>0.4402</v>
      </c>
      <c r="DZ7" s="458" t="n">
        <v>0.4343</v>
      </c>
      <c r="EA7" s="458" t="n">
        <v>0.4285</v>
      </c>
      <c r="EB7" s="458" t="n">
        <v>0.4227</v>
      </c>
      <c r="EC7" s="458" t="n">
        <v>0.417</v>
      </c>
      <c r="ED7" s="459" t="n">
        <v>0.4114</v>
      </c>
      <c r="EE7" s="459" t="n">
        <v>0.4059</v>
      </c>
      <c r="EF7" s="459" t="n">
        <v>0.4004</v>
      </c>
      <c r="EG7" s="459" t="n">
        <v>0.395</v>
      </c>
      <c r="EH7" s="459" t="n">
        <v>0.3897</v>
      </c>
      <c r="EI7" s="459" t="n">
        <v>0.3845</v>
      </c>
      <c r="EJ7" s="459" t="n">
        <v>0.3793</v>
      </c>
      <c r="EK7" s="459" t="n">
        <v>0.3742</v>
      </c>
      <c r="EL7" s="459" t="n">
        <v>0.3692</v>
      </c>
      <c r="EM7" s="459" t="n">
        <v>0.3642</v>
      </c>
      <c r="EN7" s="459" t="n">
        <v>0.3593</v>
      </c>
      <c r="EO7" s="459" t="n">
        <v>0.3545</v>
      </c>
      <c r="EP7" s="458" t="n">
        <v>0.3497</v>
      </c>
      <c r="EQ7" s="458" t="n">
        <v>0.345</v>
      </c>
      <c r="ER7" s="458" t="n">
        <v>0.3404</v>
      </c>
      <c r="ES7" s="458" t="n">
        <v>0.3358</v>
      </c>
      <c r="ET7" s="458" t="n">
        <v>0.3313</v>
      </c>
      <c r="EU7" s="458" t="n">
        <v>0.3268</v>
      </c>
      <c r="EV7" s="458" t="n">
        <v>0.3224</v>
      </c>
      <c r="EW7" s="458" t="n">
        <v>0.3181</v>
      </c>
      <c r="EX7" s="458" t="n">
        <v>0.3138</v>
      </c>
      <c r="EY7" s="458" t="n">
        <v>0.3096</v>
      </c>
      <c r="EZ7" s="458" t="n">
        <v>0.3054</v>
      </c>
      <c r="FA7" s="458" t="n">
        <v>0.3013</v>
      </c>
      <c r="FB7" s="459" t="n">
        <v>0.2973</v>
      </c>
      <c r="FC7" s="459" t="n">
        <v>0.2933</v>
      </c>
      <c r="FD7" s="459" t="n">
        <v>0.2893</v>
      </c>
      <c r="FE7" s="459" t="n">
        <v>0.2854</v>
      </c>
      <c r="FF7" s="459" t="n">
        <v>0.2816</v>
      </c>
      <c r="FG7" s="459" t="n">
        <v>0.2778</v>
      </c>
      <c r="FH7" s="459" t="n">
        <v>0.2741</v>
      </c>
      <c r="FI7" s="459" t="n">
        <v>0.2704</v>
      </c>
      <c r="FJ7" s="459" t="n">
        <v>0.2667</v>
      </c>
      <c r="FK7" s="459" t="n">
        <v>0.2631</v>
      </c>
      <c r="FL7" s="459" t="n">
        <v>0.2596</v>
      </c>
      <c r="FM7" s="459" t="n">
        <v>0.2561</v>
      </c>
      <c r="FN7" s="458" t="n">
        <v>0.2527</v>
      </c>
      <c r="FO7" s="458" t="n">
        <v>0.2493</v>
      </c>
      <c r="FP7" s="458" t="n">
        <v>0.2459</v>
      </c>
      <c r="FQ7" s="458" t="n">
        <v>0.2426</v>
      </c>
      <c r="FR7" s="458" t="n">
        <v>0.2393</v>
      </c>
      <c r="FS7" s="458" t="n">
        <v>0.2361</v>
      </c>
      <c r="FT7" s="458" t="n">
        <v>0.2329</v>
      </c>
      <c r="FU7" s="458" t="n">
        <v>0.2298</v>
      </c>
      <c r="FV7" s="458" t="n">
        <v>0.2267</v>
      </c>
      <c r="FW7" s="458" t="n">
        <v>0.2237</v>
      </c>
      <c r="FX7" s="458" t="n">
        <v>0.2207</v>
      </c>
      <c r="FY7" s="458" t="n">
        <v>0.2177</v>
      </c>
      <c r="FZ7" s="306" t="n"/>
    </row>
    <row r="8" ht="15" customHeight="1" s="307">
      <c r="A8" s="321" t="inlineStr">
        <is>
          <t xml:space="preserve">    Deal #3</t>
        </is>
      </c>
      <c r="B8" s="458" t="n">
        <v>0</v>
      </c>
      <c r="C8" s="458" t="n">
        <v>0</v>
      </c>
      <c r="D8" s="458" t="n">
        <v>0</v>
      </c>
      <c r="E8" s="458" t="n">
        <v>0</v>
      </c>
      <c r="F8" s="458" t="n">
        <v>0</v>
      </c>
      <c r="G8" s="458" t="n">
        <v>0</v>
      </c>
      <c r="H8" s="458" t="n">
        <v>0</v>
      </c>
      <c r="I8" s="458" t="n">
        <v>0</v>
      </c>
      <c r="J8" s="458" t="n">
        <v>0</v>
      </c>
      <c r="K8" s="458" t="n">
        <v>2.5083</v>
      </c>
      <c r="L8" s="458" t="n">
        <v>2.4746</v>
      </c>
      <c r="M8" s="458" t="n">
        <v>2.4413</v>
      </c>
      <c r="N8" s="459" t="n">
        <v>2.4085</v>
      </c>
      <c r="O8" s="459" t="n">
        <v>2.3761</v>
      </c>
      <c r="P8" s="459" t="n">
        <v>2.3441</v>
      </c>
      <c r="Q8" s="459" t="n">
        <v>2.3126</v>
      </c>
      <c r="R8" s="459" t="n">
        <v>2.2815</v>
      </c>
      <c r="S8" s="459" t="n">
        <v>2.2508</v>
      </c>
      <c r="T8" s="459" t="n">
        <v>2.2205</v>
      </c>
      <c r="U8" s="459" t="n">
        <v>2.1906</v>
      </c>
      <c r="V8" s="459" t="n">
        <v>2.1612</v>
      </c>
      <c r="W8" s="459" t="n">
        <v>2.1321</v>
      </c>
      <c r="X8" s="459" t="n">
        <v>2.1034</v>
      </c>
      <c r="Y8" s="459" t="n">
        <v>2.0751</v>
      </c>
      <c r="Z8" s="458" t="n">
        <v>2.0472</v>
      </c>
      <c r="AA8" s="458" t="n">
        <v>2.0197</v>
      </c>
      <c r="AB8" s="458" t="n">
        <v>1.9925</v>
      </c>
      <c r="AC8" s="458" t="n">
        <v>1.9657</v>
      </c>
      <c r="AD8" s="458" t="n">
        <v>1.9392</v>
      </c>
      <c r="AE8" s="458" t="n">
        <v>1.9132</v>
      </c>
      <c r="AF8" s="458" t="n">
        <v>1.8874</v>
      </c>
      <c r="AG8" s="458" t="n">
        <v>1.862</v>
      </c>
      <c r="AH8" s="458" t="n">
        <v>1.837</v>
      </c>
      <c r="AI8" s="458" t="n">
        <v>1.8123</v>
      </c>
      <c r="AJ8" s="458" t="n">
        <v>1.7879</v>
      </c>
      <c r="AK8" s="458" t="n">
        <v>1.7638</v>
      </c>
      <c r="AL8" s="459" t="n">
        <v>1.7401</v>
      </c>
      <c r="AM8" s="459" t="n">
        <v>1.7167</v>
      </c>
      <c r="AN8" s="459" t="n">
        <v>1.6936</v>
      </c>
      <c r="AO8" s="459" t="n">
        <v>1.6708</v>
      </c>
      <c r="AP8" s="459" t="n">
        <v>1.6484</v>
      </c>
      <c r="AQ8" s="459" t="n">
        <v>1.6262</v>
      </c>
      <c r="AR8" s="459" t="n">
        <v>1.6043</v>
      </c>
      <c r="AS8" s="459" t="n">
        <v>1.5827</v>
      </c>
      <c r="AT8" s="459" t="n">
        <v>1.5614</v>
      </c>
      <c r="AU8" s="459" t="n">
        <v>1.5404</v>
      </c>
      <c r="AV8" s="459" t="n">
        <v>1.5197</v>
      </c>
      <c r="AW8" s="459" t="n">
        <v>1.4993</v>
      </c>
      <c r="AX8" s="458" t="n">
        <v>1.4791</v>
      </c>
      <c r="AY8" s="458" t="n">
        <v>1.4592</v>
      </c>
      <c r="AZ8" s="458" t="n">
        <v>1.4396</v>
      </c>
      <c r="BA8" s="458" t="n">
        <v>1.4202</v>
      </c>
      <c r="BB8" s="458" t="n">
        <v>1.4011</v>
      </c>
      <c r="BC8" s="458" t="n">
        <v>1.3823</v>
      </c>
      <c r="BD8" s="458" t="n">
        <v>1.3637</v>
      </c>
      <c r="BE8" s="458" t="n">
        <v>1.3453</v>
      </c>
      <c r="BF8" s="458" t="n">
        <v>1.3272</v>
      </c>
      <c r="BG8" s="458" t="n">
        <v>1.3094</v>
      </c>
      <c r="BH8" s="458" t="n">
        <v>1.2918</v>
      </c>
      <c r="BI8" s="458" t="n">
        <v>1.2744</v>
      </c>
      <c r="BJ8" s="459" t="n">
        <v>1.2572</v>
      </c>
      <c r="BK8" s="459" t="n">
        <v>1.2403</v>
      </c>
      <c r="BL8" s="459" t="n">
        <v>1.2236</v>
      </c>
      <c r="BM8" s="459" t="n">
        <v>1.2072</v>
      </c>
      <c r="BN8" s="459" t="n">
        <v>1.1909</v>
      </c>
      <c r="BO8" s="459" t="n">
        <v>1.1749</v>
      </c>
      <c r="BP8" s="459" t="n">
        <v>1.1591</v>
      </c>
      <c r="BQ8" s="459" t="n">
        <v>1.1435</v>
      </c>
      <c r="BR8" s="459" t="n">
        <v>1.1281</v>
      </c>
      <c r="BS8" s="459" t="n">
        <v>1.113</v>
      </c>
      <c r="BT8" s="459" t="n">
        <v>1.098</v>
      </c>
      <c r="BU8" s="459" t="n">
        <v>1.0832</v>
      </c>
      <c r="BV8" s="458" t="n">
        <v>1.0686</v>
      </c>
      <c r="BW8" s="458" t="n">
        <v>1.0543</v>
      </c>
      <c r="BX8" s="458" t="n">
        <v>1.0401</v>
      </c>
      <c r="BY8" s="458" t="n">
        <v>1.0261</v>
      </c>
      <c r="BZ8" s="458" t="n">
        <v>1.0123</v>
      </c>
      <c r="CA8" s="458" t="n">
        <v>0.9987</v>
      </c>
      <c r="CB8" s="458" t="n">
        <v>0.9852</v>
      </c>
      <c r="CC8" s="458" t="n">
        <v>0.972</v>
      </c>
      <c r="CD8" s="458" t="n">
        <v>0.9589</v>
      </c>
      <c r="CE8" s="458" t="n">
        <v>0.946</v>
      </c>
      <c r="CF8" s="458" t="n">
        <v>0.9333</v>
      </c>
      <c r="CG8" s="458" t="n">
        <v>0.9207</v>
      </c>
      <c r="CH8" s="459" t="n">
        <v>0.9084</v>
      </c>
      <c r="CI8" s="459" t="n">
        <v>0.8961</v>
      </c>
      <c r="CJ8" s="459" t="n">
        <v>0.8841</v>
      </c>
      <c r="CK8" s="459" t="n">
        <v>0.8722</v>
      </c>
      <c r="CL8" s="459" t="n">
        <v>0.8605</v>
      </c>
      <c r="CM8" s="459" t="n">
        <v>0.8489</v>
      </c>
      <c r="CN8" s="459" t="n">
        <v>0.8375</v>
      </c>
      <c r="CO8" s="459" t="n">
        <v>0.8262</v>
      </c>
      <c r="CP8" s="459" t="n">
        <v>0.8151</v>
      </c>
      <c r="CQ8" s="459" t="n">
        <v>0.8041</v>
      </c>
      <c r="CR8" s="459" t="n">
        <v>0.7933</v>
      </c>
      <c r="CS8" s="459" t="n">
        <v>0.7826</v>
      </c>
      <c r="CT8" s="458" t="n">
        <v>0.7721</v>
      </c>
      <c r="CU8" s="458" t="n">
        <v>0.7617</v>
      </c>
      <c r="CV8" s="458" t="n">
        <v>0.7514999999999999</v>
      </c>
      <c r="CW8" s="458" t="n">
        <v>0.7413999999999999</v>
      </c>
      <c r="CX8" s="458" t="n">
        <v>0.7314000000000001</v>
      </c>
      <c r="CY8" s="458" t="n">
        <v>0.7215</v>
      </c>
      <c r="CZ8" s="458" t="n">
        <v>0.7118</v>
      </c>
      <c r="DA8" s="458" t="n">
        <v>0.7023</v>
      </c>
      <c r="DB8" s="458" t="n">
        <v>0.6928</v>
      </c>
      <c r="DC8" s="458" t="n">
        <v>0.6835</v>
      </c>
      <c r="DD8" s="458" t="n">
        <v>0.6743</v>
      </c>
      <c r="DE8" s="458" t="n">
        <v>0.6652</v>
      </c>
      <c r="DF8" s="459" t="n">
        <v>0.6563</v>
      </c>
      <c r="DG8" s="459" t="n">
        <v>0.6475</v>
      </c>
      <c r="DH8" s="459" t="n">
        <v>0.6387</v>
      </c>
      <c r="DI8" s="459" t="n">
        <v>0.6302</v>
      </c>
      <c r="DJ8" s="459" t="n">
        <v>0.6217</v>
      </c>
      <c r="DK8" s="459" t="n">
        <v>0.6133</v>
      </c>
      <c r="DL8" s="459" t="n">
        <v>0.6051</v>
      </c>
      <c r="DM8" s="459" t="n">
        <v>0.5969</v>
      </c>
      <c r="DN8" s="459" t="n">
        <v>0.5889</v>
      </c>
      <c r="DO8" s="459" t="n">
        <v>0.581</v>
      </c>
      <c r="DP8" s="459" t="n">
        <v>0.5732</v>
      </c>
      <c r="DQ8" s="459" t="n">
        <v>0.5654</v>
      </c>
      <c r="DR8" s="458" t="n">
        <v>0.5578</v>
      </c>
      <c r="DS8" s="458" t="n">
        <v>0.5503</v>
      </c>
      <c r="DT8" s="458" t="n">
        <v>0.5429</v>
      </c>
      <c r="DU8" s="458" t="n">
        <v>0.5356</v>
      </c>
      <c r="DV8" s="458" t="n">
        <v>0.5284</v>
      </c>
      <c r="DW8" s="458" t="n">
        <v>0.5213</v>
      </c>
      <c r="DX8" s="458" t="n">
        <v>0.5143</v>
      </c>
      <c r="DY8" s="458" t="n">
        <v>0.5074</v>
      </c>
      <c r="DZ8" s="458" t="n">
        <v>0.5006</v>
      </c>
      <c r="EA8" s="458" t="n">
        <v>0.4938</v>
      </c>
      <c r="EB8" s="458" t="n">
        <v>0.4872</v>
      </c>
      <c r="EC8" s="458" t="n">
        <v>0.4806</v>
      </c>
      <c r="ED8" s="459" t="n">
        <v>0.4742</v>
      </c>
      <c r="EE8" s="459" t="n">
        <v>0.4678</v>
      </c>
      <c r="EF8" s="459" t="n">
        <v>0.4615</v>
      </c>
      <c r="EG8" s="459" t="n">
        <v>0.4553</v>
      </c>
      <c r="EH8" s="459" t="n">
        <v>0.4492</v>
      </c>
      <c r="EI8" s="459" t="n">
        <v>0.4431</v>
      </c>
      <c r="EJ8" s="459" t="n">
        <v>0.4372</v>
      </c>
      <c r="EK8" s="459" t="n">
        <v>0.4313</v>
      </c>
      <c r="EL8" s="459" t="n">
        <v>0.4255</v>
      </c>
      <c r="EM8" s="459" t="n">
        <v>0.4198</v>
      </c>
      <c r="EN8" s="459" t="n">
        <v>0.4141</v>
      </c>
      <c r="EO8" s="459" t="n">
        <v>0.4085</v>
      </c>
      <c r="EP8" s="458" t="n">
        <v>0.403</v>
      </c>
      <c r="EQ8" s="458" t="n">
        <v>0.3976</v>
      </c>
      <c r="ER8" s="458" t="n">
        <v>0.3923</v>
      </c>
      <c r="ES8" s="458" t="n">
        <v>0.387</v>
      </c>
      <c r="ET8" s="458" t="n">
        <v>0.3818</v>
      </c>
      <c r="EU8" s="458" t="n">
        <v>0.3767</v>
      </c>
      <c r="EV8" s="458" t="n">
        <v>0.3716</v>
      </c>
      <c r="EW8" s="458" t="n">
        <v>0.3666</v>
      </c>
      <c r="EX8" s="458" t="n">
        <v>0.3617</v>
      </c>
      <c r="EY8" s="458" t="n">
        <v>0.3568</v>
      </c>
      <c r="EZ8" s="458" t="n">
        <v>0.352</v>
      </c>
      <c r="FA8" s="458" t="n">
        <v>0.3473</v>
      </c>
      <c r="FB8" s="459" t="n">
        <v>0.3426</v>
      </c>
      <c r="FC8" s="459" t="n">
        <v>0.338</v>
      </c>
      <c r="FD8" s="459" t="n">
        <v>0.3334</v>
      </c>
      <c r="FE8" s="459" t="n">
        <v>0.3289</v>
      </c>
      <c r="FF8" s="459" t="n">
        <v>0.3245</v>
      </c>
      <c r="FG8" s="459" t="n">
        <v>0.3202</v>
      </c>
      <c r="FH8" s="459" t="n">
        <v>0.3158</v>
      </c>
      <c r="FI8" s="459" t="n">
        <v>0.3116</v>
      </c>
      <c r="FJ8" s="459" t="n">
        <v>0.3074</v>
      </c>
      <c r="FK8" s="459" t="n">
        <v>0.3033</v>
      </c>
      <c r="FL8" s="459" t="n">
        <v>0.2992</v>
      </c>
      <c r="FM8" s="459" t="n">
        <v>0.2952</v>
      </c>
      <c r="FN8" s="458" t="n">
        <v>0.2912</v>
      </c>
      <c r="FO8" s="458" t="n">
        <v>0.2873</v>
      </c>
      <c r="FP8" s="458" t="n">
        <v>0.2834</v>
      </c>
      <c r="FQ8" s="458" t="n">
        <v>0.2796</v>
      </c>
      <c r="FR8" s="458" t="n">
        <v>0.2758</v>
      </c>
      <c r="FS8" s="458" t="n">
        <v>0.2721</v>
      </c>
      <c r="FT8" s="458" t="n">
        <v>0.2685</v>
      </c>
      <c r="FU8" s="458" t="n">
        <v>0.2649</v>
      </c>
      <c r="FV8" s="458" t="n">
        <v>0.2613</v>
      </c>
      <c r="FW8" s="458" t="n">
        <v>0.2578</v>
      </c>
      <c r="FX8" s="458" t="n">
        <v>0.2543</v>
      </c>
      <c r="FY8" s="458" t="n">
        <v>0.2509</v>
      </c>
      <c r="FZ8" s="306" t="n"/>
    </row>
    <row r="9" ht="15" customHeight="1" s="307">
      <c r="A9" s="321" t="inlineStr">
        <is>
          <t xml:space="preserve">    Deal #4</t>
        </is>
      </c>
      <c r="B9" s="458" t="n">
        <v>0</v>
      </c>
      <c r="C9" s="458" t="n">
        <v>0</v>
      </c>
      <c r="D9" s="458" t="n">
        <v>0</v>
      </c>
      <c r="E9" s="458" t="n">
        <v>0</v>
      </c>
      <c r="F9" s="458" t="n">
        <v>0</v>
      </c>
      <c r="G9" s="458" t="n">
        <v>0</v>
      </c>
      <c r="H9" s="458" t="n">
        <v>0</v>
      </c>
      <c r="I9" s="458" t="n">
        <v>0</v>
      </c>
      <c r="J9" s="458" t="n">
        <v>0</v>
      </c>
      <c r="K9" s="458" t="n">
        <v>0</v>
      </c>
      <c r="L9" s="458" t="n">
        <v>0</v>
      </c>
      <c r="M9" s="458" t="n">
        <v>2.1667</v>
      </c>
      <c r="N9" s="459" t="n">
        <v>2.1375</v>
      </c>
      <c r="O9" s="459" t="n">
        <v>2.1088</v>
      </c>
      <c r="P9" s="459" t="n">
        <v>2.0804</v>
      </c>
      <c r="Q9" s="459" t="n">
        <v>2.0524</v>
      </c>
      <c r="R9" s="459" t="n">
        <v>2.0248</v>
      </c>
      <c r="S9" s="459" t="n">
        <v>1.9976</v>
      </c>
      <c r="T9" s="459" t="n">
        <v>1.9707</v>
      </c>
      <c r="U9" s="459" t="n">
        <v>1.9442</v>
      </c>
      <c r="V9" s="459" t="n">
        <v>1.918</v>
      </c>
      <c r="W9" s="459" t="n">
        <v>1.8922</v>
      </c>
      <c r="X9" s="459" t="n">
        <v>1.8668</v>
      </c>
      <c r="Y9" s="459" t="n">
        <v>1.8417</v>
      </c>
      <c r="Z9" s="458" t="n">
        <v>1.8169</v>
      </c>
      <c r="AA9" s="458" t="n">
        <v>1.7925</v>
      </c>
      <c r="AB9" s="458" t="n">
        <v>1.7683</v>
      </c>
      <c r="AC9" s="458" t="n">
        <v>1.7446</v>
      </c>
      <c r="AD9" s="458" t="n">
        <v>1.7211</v>
      </c>
      <c r="AE9" s="458" t="n">
        <v>1.6979</v>
      </c>
      <c r="AF9" s="458" t="n">
        <v>1.6751</v>
      </c>
      <c r="AG9" s="458" t="n">
        <v>1.6526</v>
      </c>
      <c r="AH9" s="458" t="n">
        <v>1.6303</v>
      </c>
      <c r="AI9" s="458" t="n">
        <v>1.6084</v>
      </c>
      <c r="AJ9" s="458" t="n">
        <v>1.5868</v>
      </c>
      <c r="AK9" s="458" t="n">
        <v>1.5654</v>
      </c>
      <c r="AL9" s="459" t="n">
        <v>1.5444</v>
      </c>
      <c r="AM9" s="459" t="n">
        <v>1.5236</v>
      </c>
      <c r="AN9" s="459" t="n">
        <v>1.5031</v>
      </c>
      <c r="AO9" s="459" t="n">
        <v>1.4829</v>
      </c>
      <c r="AP9" s="459" t="n">
        <v>1.4629</v>
      </c>
      <c r="AQ9" s="459" t="n">
        <v>1.4432</v>
      </c>
      <c r="AR9" s="459" t="n">
        <v>1.4238</v>
      </c>
      <c r="AS9" s="459" t="n">
        <v>1.4047</v>
      </c>
      <c r="AT9" s="459" t="n">
        <v>1.3858</v>
      </c>
      <c r="AU9" s="459" t="n">
        <v>1.3671</v>
      </c>
      <c r="AV9" s="459" t="n">
        <v>1.3487</v>
      </c>
      <c r="AW9" s="459" t="n">
        <v>1.3306</v>
      </c>
      <c r="AX9" s="458" t="n">
        <v>1.3127</v>
      </c>
      <c r="AY9" s="458" t="n">
        <v>1.295</v>
      </c>
      <c r="AZ9" s="458" t="n">
        <v>1.2776</v>
      </c>
      <c r="BA9" s="458" t="n">
        <v>1.2604</v>
      </c>
      <c r="BB9" s="458" t="n">
        <v>1.2435</v>
      </c>
      <c r="BC9" s="458" t="n">
        <v>1.2268</v>
      </c>
      <c r="BD9" s="458" t="n">
        <v>1.2103</v>
      </c>
      <c r="BE9" s="458" t="n">
        <v>1.194</v>
      </c>
      <c r="BF9" s="458" t="n">
        <v>1.1779</v>
      </c>
      <c r="BG9" s="458" t="n">
        <v>1.1621</v>
      </c>
      <c r="BH9" s="458" t="n">
        <v>1.1464</v>
      </c>
      <c r="BI9" s="458" t="n">
        <v>1.131</v>
      </c>
      <c r="BJ9" s="459" t="n">
        <v>1.1158</v>
      </c>
      <c r="BK9" s="459" t="n">
        <v>1.1008</v>
      </c>
      <c r="BL9" s="459" t="n">
        <v>1.086</v>
      </c>
      <c r="BM9" s="459" t="n">
        <v>1.0714</v>
      </c>
      <c r="BN9" s="459" t="n">
        <v>1.057</v>
      </c>
      <c r="BO9" s="459" t="n">
        <v>1.0427</v>
      </c>
      <c r="BP9" s="459" t="n">
        <v>1.0287</v>
      </c>
      <c r="BQ9" s="459" t="n">
        <v>1.0149</v>
      </c>
      <c r="BR9" s="459" t="n">
        <v>1.0012</v>
      </c>
      <c r="BS9" s="459" t="n">
        <v>0.9878</v>
      </c>
      <c r="BT9" s="459" t="n">
        <v>0.9745</v>
      </c>
      <c r="BU9" s="459" t="n">
        <v>0.9614</v>
      </c>
      <c r="BV9" s="458" t="n">
        <v>0.9484</v>
      </c>
      <c r="BW9" s="458" t="n">
        <v>0.9357</v>
      </c>
      <c r="BX9" s="458" t="n">
        <v>0.9231</v>
      </c>
      <c r="BY9" s="458" t="n">
        <v>0.9107</v>
      </c>
      <c r="BZ9" s="458" t="n">
        <v>0.8984</v>
      </c>
      <c r="CA9" s="458" t="n">
        <v>0.8863</v>
      </c>
      <c r="CB9" s="458" t="n">
        <v>0.8744</v>
      </c>
      <c r="CC9" s="458" t="n">
        <v>0.8626</v>
      </c>
      <c r="CD9" s="458" t="n">
        <v>0.851</v>
      </c>
      <c r="CE9" s="458" t="n">
        <v>0.8396</v>
      </c>
      <c r="CF9" s="458" t="n">
        <v>0.8283</v>
      </c>
      <c r="CG9" s="458" t="n">
        <v>0.8172</v>
      </c>
      <c r="CH9" s="459" t="n">
        <v>0.8062</v>
      </c>
      <c r="CI9" s="459" t="n">
        <v>0.7953</v>
      </c>
      <c r="CJ9" s="459" t="n">
        <v>0.7846</v>
      </c>
      <c r="CK9" s="459" t="n">
        <v>0.7741</v>
      </c>
      <c r="CL9" s="459" t="n">
        <v>0.7637</v>
      </c>
      <c r="CM9" s="459" t="n">
        <v>0.7534</v>
      </c>
      <c r="CN9" s="459" t="n">
        <v>0.7432</v>
      </c>
      <c r="CO9" s="459" t="n">
        <v>0.7332</v>
      </c>
      <c r="CP9" s="459" t="n">
        <v>0.7234</v>
      </c>
      <c r="CQ9" s="459" t="n">
        <v>0.7137</v>
      </c>
      <c r="CR9" s="459" t="n">
        <v>0.7040999999999999</v>
      </c>
      <c r="CS9" s="459" t="n">
        <v>0.6946</v>
      </c>
      <c r="CT9" s="458" t="n">
        <v>0.6852</v>
      </c>
      <c r="CU9" s="458" t="n">
        <v>0.676</v>
      </c>
      <c r="CV9" s="458" t="n">
        <v>0.6669</v>
      </c>
      <c r="CW9" s="458" t="n">
        <v>0.658</v>
      </c>
      <c r="CX9" s="458" t="n">
        <v>0.6491</v>
      </c>
      <c r="CY9" s="458" t="n">
        <v>0.6404</v>
      </c>
      <c r="CZ9" s="458" t="n">
        <v>0.6318</v>
      </c>
      <c r="DA9" s="458" t="n">
        <v>0.6233</v>
      </c>
      <c r="DB9" s="458" t="n">
        <v>0.6149</v>
      </c>
      <c r="DC9" s="458" t="n">
        <v>0.6066</v>
      </c>
      <c r="DD9" s="458" t="n">
        <v>0.5984</v>
      </c>
      <c r="DE9" s="458" t="n">
        <v>0.5904</v>
      </c>
      <c r="DF9" s="459" t="n">
        <v>0.5825</v>
      </c>
      <c r="DG9" s="459" t="n">
        <v>0.5746</v>
      </c>
      <c r="DH9" s="459" t="n">
        <v>0.5669</v>
      </c>
      <c r="DI9" s="459" t="n">
        <v>0.5593</v>
      </c>
      <c r="DJ9" s="459" t="n">
        <v>0.5517</v>
      </c>
      <c r="DK9" s="459" t="n">
        <v>0.5443</v>
      </c>
      <c r="DL9" s="459" t="n">
        <v>0.537</v>
      </c>
      <c r="DM9" s="459" t="n">
        <v>0.5298</v>
      </c>
      <c r="DN9" s="459" t="n">
        <v>0.5226</v>
      </c>
      <c r="DO9" s="459" t="n">
        <v>0.5155999999999999</v>
      </c>
      <c r="DP9" s="459" t="n">
        <v>0.5087</v>
      </c>
      <c r="DQ9" s="459" t="n">
        <v>0.5018</v>
      </c>
      <c r="DR9" s="458" t="n">
        <v>0.4951</v>
      </c>
      <c r="DS9" s="458" t="n">
        <v>0.4884</v>
      </c>
      <c r="DT9" s="458" t="n">
        <v>0.4819</v>
      </c>
      <c r="DU9" s="458" t="n">
        <v>0.4754</v>
      </c>
      <c r="DV9" s="458" t="n">
        <v>0.469</v>
      </c>
      <c r="DW9" s="458" t="n">
        <v>0.4627</v>
      </c>
      <c r="DX9" s="458" t="n">
        <v>0.4564</v>
      </c>
      <c r="DY9" s="458" t="n">
        <v>0.4503</v>
      </c>
      <c r="DZ9" s="458" t="n">
        <v>0.4442</v>
      </c>
      <c r="EA9" s="458" t="n">
        <v>0.4383</v>
      </c>
      <c r="EB9" s="458" t="n">
        <v>0.4324</v>
      </c>
      <c r="EC9" s="458" t="n">
        <v>0.4266</v>
      </c>
      <c r="ED9" s="459" t="n">
        <v>0.4208</v>
      </c>
      <c r="EE9" s="459" t="n">
        <v>0.4152</v>
      </c>
      <c r="EF9" s="459" t="n">
        <v>0.4096</v>
      </c>
      <c r="EG9" s="459" t="n">
        <v>0.4041</v>
      </c>
      <c r="EH9" s="459" t="n">
        <v>0.3986</v>
      </c>
      <c r="EI9" s="459" t="n">
        <v>0.3933</v>
      </c>
      <c r="EJ9" s="459" t="n">
        <v>0.388</v>
      </c>
      <c r="EK9" s="459" t="n">
        <v>0.3828</v>
      </c>
      <c r="EL9" s="459" t="n">
        <v>0.3776</v>
      </c>
      <c r="EM9" s="459" t="n">
        <v>0.3725</v>
      </c>
      <c r="EN9" s="459" t="n">
        <v>0.3675</v>
      </c>
      <c r="EO9" s="459" t="n">
        <v>0.3626</v>
      </c>
      <c r="EP9" s="458" t="n">
        <v>0.3577</v>
      </c>
      <c r="EQ9" s="458" t="n">
        <v>0.3529</v>
      </c>
      <c r="ER9" s="458" t="n">
        <v>0.3481</v>
      </c>
      <c r="ES9" s="458" t="n">
        <v>0.3435</v>
      </c>
      <c r="ET9" s="458" t="n">
        <v>0.3388</v>
      </c>
      <c r="EU9" s="458" t="n">
        <v>0.3343</v>
      </c>
      <c r="EV9" s="458" t="n">
        <v>0.3298</v>
      </c>
      <c r="EW9" s="458" t="n">
        <v>0.3253</v>
      </c>
      <c r="EX9" s="458" t="n">
        <v>0.321</v>
      </c>
      <c r="EY9" s="458" t="n">
        <v>0.3167</v>
      </c>
      <c r="EZ9" s="458" t="n">
        <v>0.3124</v>
      </c>
      <c r="FA9" s="458" t="n">
        <v>0.3082</v>
      </c>
      <c r="FB9" s="459" t="n">
        <v>0.304</v>
      </c>
      <c r="FC9" s="459" t="n">
        <v>0.3</v>
      </c>
      <c r="FD9" s="459" t="n">
        <v>0.2959</v>
      </c>
      <c r="FE9" s="459" t="n">
        <v>0.2919</v>
      </c>
      <c r="FF9" s="459" t="n">
        <v>0.288</v>
      </c>
      <c r="FG9" s="459" t="n">
        <v>0.2841</v>
      </c>
      <c r="FH9" s="459" t="n">
        <v>0.2803</v>
      </c>
      <c r="FI9" s="459" t="n">
        <v>0.2765</v>
      </c>
      <c r="FJ9" s="459" t="n">
        <v>0.2728</v>
      </c>
      <c r="FK9" s="459" t="n">
        <v>0.2692</v>
      </c>
      <c r="FL9" s="459" t="n">
        <v>0.2655</v>
      </c>
      <c r="FM9" s="459" t="n">
        <v>0.262</v>
      </c>
      <c r="FN9" s="458" t="n">
        <v>0.2584</v>
      </c>
      <c r="FO9" s="458" t="n">
        <v>0.255</v>
      </c>
      <c r="FP9" s="458" t="n">
        <v>0.2515</v>
      </c>
      <c r="FQ9" s="458" t="n">
        <v>0.2481</v>
      </c>
      <c r="FR9" s="458" t="n">
        <v>0.2448</v>
      </c>
      <c r="FS9" s="458" t="n">
        <v>0.2415</v>
      </c>
      <c r="FT9" s="458" t="n">
        <v>0.2383</v>
      </c>
      <c r="FU9" s="458" t="n">
        <v>0.2351</v>
      </c>
      <c r="FV9" s="458" t="n">
        <v>0.2319</v>
      </c>
      <c r="FW9" s="458" t="n">
        <v>0.2288</v>
      </c>
      <c r="FX9" s="458" t="n">
        <v>0.2257</v>
      </c>
      <c r="FY9" s="458" t="n">
        <v>0.2227</v>
      </c>
      <c r="FZ9" s="306" t="n"/>
    </row>
    <row r="10" ht="15" customHeight="1" s="307">
      <c r="A10" s="321" t="inlineStr">
        <is>
          <t xml:space="preserve">    Deal #5</t>
        </is>
      </c>
      <c r="B10" s="458" t="n">
        <v>0</v>
      </c>
      <c r="C10" s="458" t="n">
        <v>0</v>
      </c>
      <c r="D10" s="458" t="n">
        <v>0</v>
      </c>
      <c r="E10" s="458" t="n">
        <v>0</v>
      </c>
      <c r="F10" s="458" t="n">
        <v>0</v>
      </c>
      <c r="G10" s="458" t="n">
        <v>0</v>
      </c>
      <c r="H10" s="458" t="n">
        <v>0</v>
      </c>
      <c r="I10" s="458" t="n">
        <v>0</v>
      </c>
      <c r="J10" s="458" t="n">
        <v>0</v>
      </c>
      <c r="K10" s="458" t="n">
        <v>0</v>
      </c>
      <c r="L10" s="458" t="n">
        <v>0</v>
      </c>
      <c r="M10" s="458" t="n">
        <v>0</v>
      </c>
      <c r="N10" s="459" t="n">
        <v>0</v>
      </c>
      <c r="O10" s="459" t="n">
        <v>0</v>
      </c>
      <c r="P10" s="459" t="n">
        <v>0</v>
      </c>
      <c r="Q10" s="459" t="n">
        <v>2.1167</v>
      </c>
      <c r="R10" s="459" t="n">
        <v>2.0882</v>
      </c>
      <c r="S10" s="459" t="n">
        <v>2.0601</v>
      </c>
      <c r="T10" s="459" t="n">
        <v>2.0324</v>
      </c>
      <c r="U10" s="459" t="n">
        <v>2.0051</v>
      </c>
      <c r="V10" s="459" t="n">
        <v>1.9781</v>
      </c>
      <c r="W10" s="459" t="n">
        <v>1.9515</v>
      </c>
      <c r="X10" s="459" t="n">
        <v>1.9252</v>
      </c>
      <c r="Y10" s="459" t="n">
        <v>1.8993</v>
      </c>
      <c r="Z10" s="458" t="n">
        <v>1.8738</v>
      </c>
      <c r="AA10" s="458" t="n">
        <v>1.8486</v>
      </c>
      <c r="AB10" s="458" t="n">
        <v>1.8237</v>
      </c>
      <c r="AC10" s="458" t="n">
        <v>1.7992</v>
      </c>
      <c r="AD10" s="458" t="n">
        <v>1.775</v>
      </c>
      <c r="AE10" s="458" t="n">
        <v>1.7511</v>
      </c>
      <c r="AF10" s="458" t="n">
        <v>1.7275</v>
      </c>
      <c r="AG10" s="458" t="n">
        <v>1.7043</v>
      </c>
      <c r="AH10" s="458" t="n">
        <v>1.6814</v>
      </c>
      <c r="AI10" s="458" t="n">
        <v>1.6587</v>
      </c>
      <c r="AJ10" s="458" t="n">
        <v>1.6364</v>
      </c>
      <c r="AK10" s="458" t="n">
        <v>1.6144</v>
      </c>
      <c r="AL10" s="459" t="n">
        <v>1.5927</v>
      </c>
      <c r="AM10" s="459" t="n">
        <v>1.5713</v>
      </c>
      <c r="AN10" s="459" t="n">
        <v>1.5501</v>
      </c>
      <c r="AO10" s="459" t="n">
        <v>1.5293</v>
      </c>
      <c r="AP10" s="459" t="n">
        <v>1.5087</v>
      </c>
      <c r="AQ10" s="459" t="n">
        <v>1.4884</v>
      </c>
      <c r="AR10" s="459" t="n">
        <v>1.4684</v>
      </c>
      <c r="AS10" s="459" t="n">
        <v>1.4486</v>
      </c>
      <c r="AT10" s="459" t="n">
        <v>1.4292</v>
      </c>
      <c r="AU10" s="459" t="n">
        <v>1.4099</v>
      </c>
      <c r="AV10" s="459" t="n">
        <v>1.391</v>
      </c>
      <c r="AW10" s="459" t="n">
        <v>1.3723</v>
      </c>
      <c r="AX10" s="458" t="n">
        <v>1.3538</v>
      </c>
      <c r="AY10" s="458" t="n">
        <v>1.3356</v>
      </c>
      <c r="AZ10" s="458" t="n">
        <v>1.3176</v>
      </c>
      <c r="BA10" s="458" t="n">
        <v>1.2999</v>
      </c>
      <c r="BB10" s="458" t="n">
        <v>1.2824</v>
      </c>
      <c r="BC10" s="458" t="n">
        <v>1.2652</v>
      </c>
      <c r="BD10" s="458" t="n">
        <v>1.2481</v>
      </c>
      <c r="BE10" s="458" t="n">
        <v>1.2314</v>
      </c>
      <c r="BF10" s="458" t="n">
        <v>1.2148</v>
      </c>
      <c r="BG10" s="458" t="n">
        <v>1.1984</v>
      </c>
      <c r="BH10" s="458" t="n">
        <v>1.1823</v>
      </c>
      <c r="BI10" s="458" t="n">
        <v>1.1664</v>
      </c>
      <c r="BJ10" s="459" t="n">
        <v>1.1507</v>
      </c>
      <c r="BK10" s="459" t="n">
        <v>1.1353</v>
      </c>
      <c r="BL10" s="459" t="n">
        <v>1.12</v>
      </c>
      <c r="BM10" s="459" t="n">
        <v>1.1049</v>
      </c>
      <c r="BN10" s="459" t="n">
        <v>1.09</v>
      </c>
      <c r="BO10" s="459" t="n">
        <v>1.0754</v>
      </c>
      <c r="BP10" s="459" t="n">
        <v>1.0609</v>
      </c>
      <c r="BQ10" s="459" t="n">
        <v>1.0466</v>
      </c>
      <c r="BR10" s="459" t="n">
        <v>1.0326</v>
      </c>
      <c r="BS10" s="459" t="n">
        <v>1.0187</v>
      </c>
      <c r="BT10" s="459" t="n">
        <v>1.005</v>
      </c>
      <c r="BU10" s="459" t="n">
        <v>0.9915</v>
      </c>
      <c r="BV10" s="458" t="n">
        <v>0.9781</v>
      </c>
      <c r="BW10" s="458" t="n">
        <v>0.965</v>
      </c>
      <c r="BX10" s="458" t="n">
        <v>0.952</v>
      </c>
      <c r="BY10" s="458" t="n">
        <v>0.9392</v>
      </c>
      <c r="BZ10" s="458" t="n">
        <v>0.9265</v>
      </c>
      <c r="CA10" s="458" t="n">
        <v>0.9141</v>
      </c>
      <c r="CB10" s="458" t="n">
        <v>0.9018</v>
      </c>
      <c r="CC10" s="458" t="n">
        <v>0.8897</v>
      </c>
      <c r="CD10" s="458" t="n">
        <v>0.8777</v>
      </c>
      <c r="CE10" s="458" t="n">
        <v>0.8659</v>
      </c>
      <c r="CF10" s="458" t="n">
        <v>0.8542</v>
      </c>
      <c r="CG10" s="458" t="n">
        <v>0.8427</v>
      </c>
      <c r="CH10" s="459" t="n">
        <v>0.8314</v>
      </c>
      <c r="CI10" s="459" t="n">
        <v>0.8202</v>
      </c>
      <c r="CJ10" s="459" t="n">
        <v>0.8092</v>
      </c>
      <c r="CK10" s="459" t="n">
        <v>0.7983</v>
      </c>
      <c r="CL10" s="459" t="n">
        <v>0.7876</v>
      </c>
      <c r="CM10" s="459" t="n">
        <v>0.777</v>
      </c>
      <c r="CN10" s="459" t="n">
        <v>0.7665</v>
      </c>
      <c r="CO10" s="459" t="n">
        <v>0.7562</v>
      </c>
      <c r="CP10" s="459" t="n">
        <v>0.746</v>
      </c>
      <c r="CQ10" s="459" t="n">
        <v>0.736</v>
      </c>
      <c r="CR10" s="459" t="n">
        <v>0.7261</v>
      </c>
      <c r="CS10" s="459" t="n">
        <v>0.7163</v>
      </c>
      <c r="CT10" s="458" t="n">
        <v>0.7067</v>
      </c>
      <c r="CU10" s="458" t="n">
        <v>0.6972</v>
      </c>
      <c r="CV10" s="458" t="n">
        <v>0.6878</v>
      </c>
      <c r="CW10" s="458" t="n">
        <v>0.6786</v>
      </c>
      <c r="CX10" s="458" t="n">
        <v>0.6694</v>
      </c>
      <c r="CY10" s="458" t="n">
        <v>0.6604</v>
      </c>
      <c r="CZ10" s="458" t="n">
        <v>0.6515</v>
      </c>
      <c r="DA10" s="458" t="n">
        <v>0.6428</v>
      </c>
      <c r="DB10" s="458" t="n">
        <v>0.6341</v>
      </c>
      <c r="DC10" s="458" t="n">
        <v>0.6256</v>
      </c>
      <c r="DD10" s="458" t="n">
        <v>0.6172</v>
      </c>
      <c r="DE10" s="458" t="n">
        <v>0.6089</v>
      </c>
      <c r="DF10" s="459" t="n">
        <v>0.6007</v>
      </c>
      <c r="DG10" s="459" t="n">
        <v>0.5926</v>
      </c>
      <c r="DH10" s="459" t="n">
        <v>0.5846</v>
      </c>
      <c r="DI10" s="459" t="n">
        <v>0.5768</v>
      </c>
      <c r="DJ10" s="459" t="n">
        <v>0.569</v>
      </c>
      <c r="DK10" s="459" t="n">
        <v>0.5614</v>
      </c>
      <c r="DL10" s="459" t="n">
        <v>0.5538</v>
      </c>
      <c r="DM10" s="459" t="n">
        <v>0.5464</v>
      </c>
      <c r="DN10" s="459" t="n">
        <v>0.539</v>
      </c>
      <c r="DO10" s="459" t="n">
        <v>0.5318000000000001</v>
      </c>
      <c r="DP10" s="459" t="n">
        <v>0.5246</v>
      </c>
      <c r="DQ10" s="459" t="n">
        <v>0.5175</v>
      </c>
      <c r="DR10" s="458" t="n">
        <v>0.5106000000000001</v>
      </c>
      <c r="DS10" s="458" t="n">
        <v>0.5037</v>
      </c>
      <c r="DT10" s="458" t="n">
        <v>0.4969</v>
      </c>
      <c r="DU10" s="458" t="n">
        <v>0.4903</v>
      </c>
      <c r="DV10" s="458" t="n">
        <v>0.4837</v>
      </c>
      <c r="DW10" s="458" t="n">
        <v>0.4772</v>
      </c>
      <c r="DX10" s="458" t="n">
        <v>0.4707</v>
      </c>
      <c r="DY10" s="458" t="n">
        <v>0.4644</v>
      </c>
      <c r="DZ10" s="458" t="n">
        <v>0.4582</v>
      </c>
      <c r="EA10" s="458" t="n">
        <v>0.452</v>
      </c>
      <c r="EB10" s="458" t="n">
        <v>0.4459</v>
      </c>
      <c r="EC10" s="458" t="n">
        <v>0.4399</v>
      </c>
      <c r="ED10" s="459" t="n">
        <v>0.434</v>
      </c>
      <c r="EE10" s="459" t="n">
        <v>0.4282</v>
      </c>
      <c r="EF10" s="459" t="n">
        <v>0.4224</v>
      </c>
      <c r="EG10" s="459" t="n">
        <v>0.4167</v>
      </c>
      <c r="EH10" s="459" t="n">
        <v>0.4111</v>
      </c>
      <c r="EI10" s="459" t="n">
        <v>0.4056</v>
      </c>
      <c r="EJ10" s="459" t="n">
        <v>0.4001</v>
      </c>
      <c r="EK10" s="459" t="n">
        <v>0.3947</v>
      </c>
      <c r="EL10" s="459" t="n">
        <v>0.3894</v>
      </c>
      <c r="EM10" s="459" t="n">
        <v>0.3842</v>
      </c>
      <c r="EN10" s="459" t="n">
        <v>0.379</v>
      </c>
      <c r="EO10" s="459" t="n">
        <v>0.3739</v>
      </c>
      <c r="EP10" s="458" t="n">
        <v>0.3689</v>
      </c>
      <c r="EQ10" s="458" t="n">
        <v>0.3639</v>
      </c>
      <c r="ER10" s="458" t="n">
        <v>0.359</v>
      </c>
      <c r="ES10" s="458" t="n">
        <v>0.3542</v>
      </c>
      <c r="ET10" s="458" t="n">
        <v>0.3494</v>
      </c>
      <c r="EU10" s="458" t="n">
        <v>0.3447</v>
      </c>
      <c r="EV10" s="458" t="n">
        <v>0.3401</v>
      </c>
      <c r="EW10" s="458" t="n">
        <v>0.3355</v>
      </c>
      <c r="EX10" s="458" t="n">
        <v>0.331</v>
      </c>
      <c r="EY10" s="458" t="n">
        <v>0.3266</v>
      </c>
      <c r="EZ10" s="458" t="n">
        <v>0.3222</v>
      </c>
      <c r="FA10" s="458" t="n">
        <v>0.3178</v>
      </c>
      <c r="FB10" s="459" t="n">
        <v>0.3136</v>
      </c>
      <c r="FC10" s="459" t="n">
        <v>0.3093</v>
      </c>
      <c r="FD10" s="459" t="n">
        <v>0.3052</v>
      </c>
      <c r="FE10" s="459" t="n">
        <v>0.3011</v>
      </c>
      <c r="FF10" s="459" t="n">
        <v>0.297</v>
      </c>
      <c r="FG10" s="459" t="n">
        <v>0.293</v>
      </c>
      <c r="FH10" s="459" t="n">
        <v>0.2891</v>
      </c>
      <c r="FI10" s="459" t="n">
        <v>0.2852</v>
      </c>
      <c r="FJ10" s="459" t="n">
        <v>0.2814</v>
      </c>
      <c r="FK10" s="459" t="n">
        <v>0.2776</v>
      </c>
      <c r="FL10" s="459" t="n">
        <v>0.2738</v>
      </c>
      <c r="FM10" s="459" t="n">
        <v>0.2702</v>
      </c>
      <c r="FN10" s="458" t="n">
        <v>0.2665</v>
      </c>
      <c r="FO10" s="458" t="n">
        <v>0.2629</v>
      </c>
      <c r="FP10" s="458" t="n">
        <v>0.2594</v>
      </c>
      <c r="FQ10" s="458" t="n">
        <v>0.2559</v>
      </c>
      <c r="FR10" s="458" t="n">
        <v>0.2525</v>
      </c>
      <c r="FS10" s="458" t="n">
        <v>0.2491</v>
      </c>
      <c r="FT10" s="458" t="n">
        <v>0.2457</v>
      </c>
      <c r="FU10" s="458" t="n">
        <v>0.2424</v>
      </c>
      <c r="FV10" s="458" t="n">
        <v>0.2392</v>
      </c>
      <c r="FW10" s="458" t="n">
        <v>0.2359</v>
      </c>
      <c r="FX10" s="458" t="n">
        <v>0.2328</v>
      </c>
      <c r="FY10" s="458" t="n">
        <v>0.2296</v>
      </c>
      <c r="FZ10" s="306" t="n"/>
    </row>
    <row r="11" ht="15" customHeight="1" s="307">
      <c r="A11" s="321" t="inlineStr">
        <is>
          <t xml:space="preserve">    Deal #6</t>
        </is>
      </c>
      <c r="B11" s="458" t="n">
        <v>0</v>
      </c>
      <c r="C11" s="458" t="n">
        <v>0</v>
      </c>
      <c r="D11" s="458" t="n">
        <v>0</v>
      </c>
      <c r="E11" s="458" t="n">
        <v>0</v>
      </c>
      <c r="F11" s="458" t="n">
        <v>0</v>
      </c>
      <c r="G11" s="458" t="n">
        <v>0</v>
      </c>
      <c r="H11" s="458" t="n">
        <v>0</v>
      </c>
      <c r="I11" s="458" t="n">
        <v>0</v>
      </c>
      <c r="J11" s="458" t="n">
        <v>0</v>
      </c>
      <c r="K11" s="458" t="n">
        <v>0</v>
      </c>
      <c r="L11" s="458" t="n">
        <v>0</v>
      </c>
      <c r="M11" s="458" t="n">
        <v>0</v>
      </c>
      <c r="N11" s="459" t="n">
        <v>0</v>
      </c>
      <c r="O11" s="459" t="n">
        <v>0</v>
      </c>
      <c r="P11" s="459" t="n">
        <v>0</v>
      </c>
      <c r="Q11" s="459" t="n">
        <v>0</v>
      </c>
      <c r="R11" s="459" t="n">
        <v>0</v>
      </c>
      <c r="S11" s="459" t="n">
        <v>0</v>
      </c>
      <c r="T11" s="459" t="n">
        <v>0</v>
      </c>
      <c r="U11" s="459" t="n">
        <v>0</v>
      </c>
      <c r="V11" s="459" t="n">
        <v>0</v>
      </c>
      <c r="W11" s="459" t="n">
        <v>0</v>
      </c>
      <c r="X11" s="459" t="n">
        <v>0</v>
      </c>
      <c r="Y11" s="459" t="n">
        <v>2</v>
      </c>
      <c r="Z11" s="458" t="n">
        <v>1.9731</v>
      </c>
      <c r="AA11" s="458" t="n">
        <v>1.9466</v>
      </c>
      <c r="AB11" s="458" t="n">
        <v>1.9204</v>
      </c>
      <c r="AC11" s="458" t="n">
        <v>1.8945</v>
      </c>
      <c r="AD11" s="458" t="n">
        <v>1.8691</v>
      </c>
      <c r="AE11" s="458" t="n">
        <v>1.8439</v>
      </c>
      <c r="AF11" s="458" t="n">
        <v>1.8191</v>
      </c>
      <c r="AG11" s="458" t="n">
        <v>1.7946</v>
      </c>
      <c r="AH11" s="458" t="n">
        <v>1.7705</v>
      </c>
      <c r="AI11" s="458" t="n">
        <v>1.7467</v>
      </c>
      <c r="AJ11" s="458" t="n">
        <v>1.7232</v>
      </c>
      <c r="AK11" s="458" t="n">
        <v>1.7</v>
      </c>
      <c r="AL11" s="459" t="n">
        <v>1.6771</v>
      </c>
      <c r="AM11" s="459" t="n">
        <v>1.6546</v>
      </c>
      <c r="AN11" s="459" t="n">
        <v>1.6323</v>
      </c>
      <c r="AO11" s="459" t="n">
        <v>1.6104</v>
      </c>
      <c r="AP11" s="459" t="n">
        <v>1.5887</v>
      </c>
      <c r="AQ11" s="459" t="n">
        <v>1.5673</v>
      </c>
      <c r="AR11" s="459" t="n">
        <v>1.5462</v>
      </c>
      <c r="AS11" s="459" t="n">
        <v>1.5254</v>
      </c>
      <c r="AT11" s="459" t="n">
        <v>1.5049</v>
      </c>
      <c r="AU11" s="459" t="n">
        <v>1.4847</v>
      </c>
      <c r="AV11" s="459" t="n">
        <v>1.4647</v>
      </c>
      <c r="AW11" s="459" t="n">
        <v>1.445</v>
      </c>
      <c r="AX11" s="458" t="n">
        <v>1.4256</v>
      </c>
      <c r="AY11" s="458" t="n">
        <v>1.4064</v>
      </c>
      <c r="AZ11" s="458" t="n">
        <v>1.3875</v>
      </c>
      <c r="BA11" s="458" t="n">
        <v>1.3688</v>
      </c>
      <c r="BB11" s="458" t="n">
        <v>1.3504</v>
      </c>
      <c r="BC11" s="458" t="n">
        <v>1.3322</v>
      </c>
      <c r="BD11" s="458" t="n">
        <v>1.3143</v>
      </c>
      <c r="BE11" s="458" t="n">
        <v>1.2966</v>
      </c>
      <c r="BF11" s="458" t="n">
        <v>1.2792</v>
      </c>
      <c r="BG11" s="458" t="n">
        <v>1.262</v>
      </c>
      <c r="BH11" s="458" t="n">
        <v>1.245</v>
      </c>
      <c r="BI11" s="458" t="n">
        <v>1.2282</v>
      </c>
      <c r="BJ11" s="459" t="n">
        <v>1.2117</v>
      </c>
      <c r="BK11" s="459" t="n">
        <v>1.1954</v>
      </c>
      <c r="BL11" s="459" t="n">
        <v>1.1793</v>
      </c>
      <c r="BM11" s="459" t="n">
        <v>1.1635</v>
      </c>
      <c r="BN11" s="459" t="n">
        <v>1.1478</v>
      </c>
      <c r="BO11" s="459" t="n">
        <v>1.1324</v>
      </c>
      <c r="BP11" s="459" t="n">
        <v>1.1172</v>
      </c>
      <c r="BQ11" s="459" t="n">
        <v>1.1021</v>
      </c>
      <c r="BR11" s="459" t="n">
        <v>1.0873</v>
      </c>
      <c r="BS11" s="459" t="n">
        <v>1.0727</v>
      </c>
      <c r="BT11" s="459" t="n">
        <v>1.0582</v>
      </c>
      <c r="BU11" s="459" t="n">
        <v>1.044</v>
      </c>
      <c r="BV11" s="458" t="n">
        <v>1.03</v>
      </c>
      <c r="BW11" s="458" t="n">
        <v>1.0161</v>
      </c>
      <c r="BX11" s="458" t="n">
        <v>1.0024</v>
      </c>
      <c r="BY11" s="458" t="n">
        <v>0.989</v>
      </c>
      <c r="BZ11" s="458" t="n">
        <v>0.9757</v>
      </c>
      <c r="CA11" s="458" t="n">
        <v>0.9625</v>
      </c>
      <c r="CB11" s="458" t="n">
        <v>0.9496</v>
      </c>
      <c r="CC11" s="458" t="n">
        <v>0.9368</v>
      </c>
      <c r="CD11" s="458" t="n">
        <v>0.9242</v>
      </c>
      <c r="CE11" s="458" t="n">
        <v>0.9118000000000001</v>
      </c>
      <c r="CF11" s="458" t="n">
        <v>0.8995</v>
      </c>
      <c r="CG11" s="458" t="n">
        <v>0.8874</v>
      </c>
      <c r="CH11" s="459" t="n">
        <v>0.8754999999999999</v>
      </c>
      <c r="CI11" s="459" t="n">
        <v>0.8637</v>
      </c>
      <c r="CJ11" s="459" t="n">
        <v>0.8521</v>
      </c>
      <c r="CK11" s="459" t="n">
        <v>0.8406</v>
      </c>
      <c r="CL11" s="459" t="n">
        <v>0.8293</v>
      </c>
      <c r="CM11" s="459" t="n">
        <v>0.8182</v>
      </c>
      <c r="CN11" s="459" t="n">
        <v>0.8071</v>
      </c>
      <c r="CO11" s="459" t="n">
        <v>0.7963</v>
      </c>
      <c r="CP11" s="459" t="n">
        <v>0.7856</v>
      </c>
      <c r="CQ11" s="459" t="n">
        <v>0.775</v>
      </c>
      <c r="CR11" s="459" t="n">
        <v>0.7645999999999999</v>
      </c>
      <c r="CS11" s="459" t="n">
        <v>0.7543</v>
      </c>
      <c r="CT11" s="458" t="n">
        <v>0.7442</v>
      </c>
      <c r="CU11" s="458" t="n">
        <v>0.7341</v>
      </c>
      <c r="CV11" s="458" t="n">
        <v>0.7243000000000001</v>
      </c>
      <c r="CW11" s="458" t="n">
        <v>0.7145</v>
      </c>
      <c r="CX11" s="458" t="n">
        <v>0.7049</v>
      </c>
      <c r="CY11" s="458" t="n">
        <v>0.6954</v>
      </c>
      <c r="CZ11" s="458" t="n">
        <v>0.6861</v>
      </c>
      <c r="DA11" s="458" t="n">
        <v>0.6768</v>
      </c>
      <c r="DB11" s="458" t="n">
        <v>0.6677</v>
      </c>
      <c r="DC11" s="458" t="n">
        <v>0.6588000000000001</v>
      </c>
      <c r="DD11" s="458" t="n">
        <v>0.6499</v>
      </c>
      <c r="DE11" s="458" t="n">
        <v>0.6412</v>
      </c>
      <c r="DF11" s="459" t="n">
        <v>0.6325</v>
      </c>
      <c r="DG11" s="459" t="n">
        <v>0.624</v>
      </c>
      <c r="DH11" s="459" t="n">
        <v>0.6156</v>
      </c>
      <c r="DI11" s="459" t="n">
        <v>0.6073</v>
      </c>
      <c r="DJ11" s="459" t="n">
        <v>0.5992</v>
      </c>
      <c r="DK11" s="459" t="n">
        <v>0.5911</v>
      </c>
      <c r="DL11" s="459" t="n">
        <v>0.5832000000000001</v>
      </c>
      <c r="DM11" s="459" t="n">
        <v>0.5753</v>
      </c>
      <c r="DN11" s="459" t="n">
        <v>0.5676</v>
      </c>
      <c r="DO11" s="459" t="n">
        <v>0.5599</v>
      </c>
      <c r="DP11" s="459" t="n">
        <v>0.5524</v>
      </c>
      <c r="DQ11" s="459" t="n">
        <v>0.545</v>
      </c>
      <c r="DR11" s="458" t="n">
        <v>0.5376</v>
      </c>
      <c r="DS11" s="458" t="n">
        <v>0.5304</v>
      </c>
      <c r="DT11" s="458" t="n">
        <v>0.5233</v>
      </c>
      <c r="DU11" s="458" t="n">
        <v>0.5162</v>
      </c>
      <c r="DV11" s="458" t="n">
        <v>0.5093</v>
      </c>
      <c r="DW11" s="458" t="n">
        <v>0.5024</v>
      </c>
      <c r="DX11" s="458" t="n">
        <v>0.4957</v>
      </c>
      <c r="DY11" s="458" t="n">
        <v>0.489</v>
      </c>
      <c r="DZ11" s="458" t="n">
        <v>0.4824</v>
      </c>
      <c r="EA11" s="458" t="n">
        <v>0.476</v>
      </c>
      <c r="EB11" s="458" t="n">
        <v>0.4696</v>
      </c>
      <c r="EC11" s="458" t="n">
        <v>0.4632</v>
      </c>
      <c r="ED11" s="459" t="n">
        <v>0.457</v>
      </c>
      <c r="EE11" s="459" t="n">
        <v>0.4509</v>
      </c>
      <c r="EF11" s="459" t="n">
        <v>0.4448</v>
      </c>
      <c r="EG11" s="459" t="n">
        <v>0.4388</v>
      </c>
      <c r="EH11" s="459" t="n">
        <v>0.4329</v>
      </c>
      <c r="EI11" s="459" t="n">
        <v>0.4271</v>
      </c>
      <c r="EJ11" s="459" t="n">
        <v>0.4213</v>
      </c>
      <c r="EK11" s="459" t="n">
        <v>0.4157</v>
      </c>
      <c r="EL11" s="459" t="n">
        <v>0.4101</v>
      </c>
      <c r="EM11" s="459" t="n">
        <v>0.4046</v>
      </c>
      <c r="EN11" s="459" t="n">
        <v>0.3991</v>
      </c>
      <c r="EO11" s="459" t="n">
        <v>0.3937</v>
      </c>
      <c r="EP11" s="458" t="n">
        <v>0.3885</v>
      </c>
      <c r="EQ11" s="458" t="n">
        <v>0.3832</v>
      </c>
      <c r="ER11" s="458" t="n">
        <v>0.3781</v>
      </c>
      <c r="ES11" s="458" t="n">
        <v>0.373</v>
      </c>
      <c r="ET11" s="458" t="n">
        <v>0.368</v>
      </c>
      <c r="EU11" s="458" t="n">
        <v>0.363</v>
      </c>
      <c r="EV11" s="458" t="n">
        <v>0.3581</v>
      </c>
      <c r="EW11" s="458" t="n">
        <v>0.3533</v>
      </c>
      <c r="EX11" s="458" t="n">
        <v>0.3486</v>
      </c>
      <c r="EY11" s="458" t="n">
        <v>0.3439</v>
      </c>
      <c r="EZ11" s="458" t="n">
        <v>0.3393</v>
      </c>
      <c r="FA11" s="458" t="n">
        <v>0.3347</v>
      </c>
      <c r="FB11" s="459" t="n">
        <v>0.3302</v>
      </c>
      <c r="FC11" s="459" t="n">
        <v>0.3257</v>
      </c>
      <c r="FD11" s="459" t="n">
        <v>0.3214</v>
      </c>
      <c r="FE11" s="459" t="n">
        <v>0.317</v>
      </c>
      <c r="FF11" s="459" t="n">
        <v>0.3128</v>
      </c>
      <c r="FG11" s="459" t="n">
        <v>0.3086</v>
      </c>
      <c r="FH11" s="459" t="n">
        <v>0.3044</v>
      </c>
      <c r="FI11" s="459" t="n">
        <v>0.3003</v>
      </c>
      <c r="FJ11" s="459" t="n">
        <v>0.2963</v>
      </c>
      <c r="FK11" s="459" t="n">
        <v>0.2923</v>
      </c>
      <c r="FL11" s="459" t="n">
        <v>0.2884</v>
      </c>
      <c r="FM11" s="459" t="n">
        <v>0.2845</v>
      </c>
      <c r="FN11" s="458" t="n">
        <v>0.2807</v>
      </c>
      <c r="FO11" s="458" t="n">
        <v>0.2769</v>
      </c>
      <c r="FP11" s="458" t="n">
        <v>0.2732</v>
      </c>
      <c r="FQ11" s="458" t="n">
        <v>0.2695</v>
      </c>
      <c r="FR11" s="458" t="n">
        <v>0.2659</v>
      </c>
      <c r="FS11" s="458" t="n">
        <v>0.2623</v>
      </c>
      <c r="FT11" s="458" t="n">
        <v>0.2588</v>
      </c>
      <c r="FU11" s="458" t="n">
        <v>0.2553</v>
      </c>
      <c r="FV11" s="458" t="n">
        <v>0.2518</v>
      </c>
      <c r="FW11" s="458" t="n">
        <v>0.2485</v>
      </c>
      <c r="FX11" s="458" t="n">
        <v>0.2451</v>
      </c>
      <c r="FY11" s="458" t="n">
        <v>0.2418</v>
      </c>
      <c r="FZ11" s="306" t="n"/>
    </row>
    <row r="12" ht="15" customHeight="1" s="307">
      <c r="A12" s="321" t="inlineStr">
        <is>
          <t xml:space="preserve">    Deal #7</t>
        </is>
      </c>
      <c r="B12" s="458" t="n">
        <v>0</v>
      </c>
      <c r="C12" s="458" t="n">
        <v>0</v>
      </c>
      <c r="D12" s="458" t="n">
        <v>0</v>
      </c>
      <c r="E12" s="458" t="n">
        <v>0</v>
      </c>
      <c r="F12" s="458" t="n">
        <v>0</v>
      </c>
      <c r="G12" s="458" t="n">
        <v>0</v>
      </c>
      <c r="H12" s="458" t="n">
        <v>0</v>
      </c>
      <c r="I12" s="458" t="n">
        <v>0</v>
      </c>
      <c r="J12" s="458" t="n">
        <v>0</v>
      </c>
      <c r="K12" s="458" t="n">
        <v>0</v>
      </c>
      <c r="L12" s="458" t="n">
        <v>0</v>
      </c>
      <c r="M12" s="458" t="n">
        <v>0</v>
      </c>
      <c r="N12" s="459" t="n">
        <v>0</v>
      </c>
      <c r="O12" s="459" t="n">
        <v>0</v>
      </c>
      <c r="P12" s="459" t="n">
        <v>0</v>
      </c>
      <c r="Q12" s="459" t="n">
        <v>0</v>
      </c>
      <c r="R12" s="459" t="n">
        <v>0</v>
      </c>
      <c r="S12" s="459" t="n">
        <v>0</v>
      </c>
      <c r="T12" s="459" t="n">
        <v>0</v>
      </c>
      <c r="U12" s="459" t="n">
        <v>0</v>
      </c>
      <c r="V12" s="459" t="n">
        <v>0</v>
      </c>
      <c r="W12" s="459" t="n">
        <v>0</v>
      </c>
      <c r="X12" s="459" t="n">
        <v>0</v>
      </c>
      <c r="Y12" s="459" t="n">
        <v>0</v>
      </c>
      <c r="Z12" s="458" t="n">
        <v>0</v>
      </c>
      <c r="AA12" s="458" t="n">
        <v>0</v>
      </c>
      <c r="AB12" s="458" t="n">
        <v>0</v>
      </c>
      <c r="AC12" s="458" t="n">
        <v>0</v>
      </c>
      <c r="AD12" s="458" t="n">
        <v>0</v>
      </c>
      <c r="AE12" s="458" t="n">
        <v>2</v>
      </c>
      <c r="AF12" s="458" t="n">
        <v>1.9731</v>
      </c>
      <c r="AG12" s="458" t="n">
        <v>1.9466</v>
      </c>
      <c r="AH12" s="458" t="n">
        <v>1.9204</v>
      </c>
      <c r="AI12" s="458" t="n">
        <v>1.8945</v>
      </c>
      <c r="AJ12" s="458" t="n">
        <v>1.8691</v>
      </c>
      <c r="AK12" s="458" t="n">
        <v>1.8439</v>
      </c>
      <c r="AL12" s="459" t="n">
        <v>1.8191</v>
      </c>
      <c r="AM12" s="459" t="n">
        <v>1.7946</v>
      </c>
      <c r="AN12" s="459" t="n">
        <v>1.7705</v>
      </c>
      <c r="AO12" s="459" t="n">
        <v>1.7467</v>
      </c>
      <c r="AP12" s="459" t="n">
        <v>1.7232</v>
      </c>
      <c r="AQ12" s="459" t="n">
        <v>1.7</v>
      </c>
      <c r="AR12" s="459" t="n">
        <v>1.6771</v>
      </c>
      <c r="AS12" s="459" t="n">
        <v>1.6546</v>
      </c>
      <c r="AT12" s="459" t="n">
        <v>1.6323</v>
      </c>
      <c r="AU12" s="459" t="n">
        <v>1.6104</v>
      </c>
      <c r="AV12" s="459" t="n">
        <v>1.5887</v>
      </c>
      <c r="AW12" s="459" t="n">
        <v>1.5673</v>
      </c>
      <c r="AX12" s="458" t="n">
        <v>1.5462</v>
      </c>
      <c r="AY12" s="458" t="n">
        <v>1.5254</v>
      </c>
      <c r="AZ12" s="458" t="n">
        <v>1.5049</v>
      </c>
      <c r="BA12" s="458" t="n">
        <v>1.4847</v>
      </c>
      <c r="BB12" s="458" t="n">
        <v>1.4647</v>
      </c>
      <c r="BC12" s="458" t="n">
        <v>1.445</v>
      </c>
      <c r="BD12" s="458" t="n">
        <v>1.4256</v>
      </c>
      <c r="BE12" s="458" t="n">
        <v>1.4064</v>
      </c>
      <c r="BF12" s="458" t="n">
        <v>1.3875</v>
      </c>
      <c r="BG12" s="458" t="n">
        <v>1.3688</v>
      </c>
      <c r="BH12" s="458" t="n">
        <v>1.3504</v>
      </c>
      <c r="BI12" s="458" t="n">
        <v>1.3322</v>
      </c>
      <c r="BJ12" s="459" t="n">
        <v>1.3143</v>
      </c>
      <c r="BK12" s="459" t="n">
        <v>1.2966</v>
      </c>
      <c r="BL12" s="459" t="n">
        <v>1.2792</v>
      </c>
      <c r="BM12" s="459" t="n">
        <v>1.262</v>
      </c>
      <c r="BN12" s="459" t="n">
        <v>1.245</v>
      </c>
      <c r="BO12" s="459" t="n">
        <v>1.2282</v>
      </c>
      <c r="BP12" s="459" t="n">
        <v>1.2117</v>
      </c>
      <c r="BQ12" s="459" t="n">
        <v>1.1954</v>
      </c>
      <c r="BR12" s="459" t="n">
        <v>1.1793</v>
      </c>
      <c r="BS12" s="459" t="n">
        <v>1.1635</v>
      </c>
      <c r="BT12" s="459" t="n">
        <v>1.1478</v>
      </c>
      <c r="BU12" s="459" t="n">
        <v>1.1324</v>
      </c>
      <c r="BV12" s="458" t="n">
        <v>1.1172</v>
      </c>
      <c r="BW12" s="458" t="n">
        <v>1.1021</v>
      </c>
      <c r="BX12" s="458" t="n">
        <v>1.0873</v>
      </c>
      <c r="BY12" s="458" t="n">
        <v>1.0727</v>
      </c>
      <c r="BZ12" s="458" t="n">
        <v>1.0582</v>
      </c>
      <c r="CA12" s="458" t="n">
        <v>1.044</v>
      </c>
      <c r="CB12" s="458" t="n">
        <v>1.03</v>
      </c>
      <c r="CC12" s="458" t="n">
        <v>1.0161</v>
      </c>
      <c r="CD12" s="458" t="n">
        <v>1.0024</v>
      </c>
      <c r="CE12" s="458" t="n">
        <v>0.989</v>
      </c>
      <c r="CF12" s="458" t="n">
        <v>0.9757</v>
      </c>
      <c r="CG12" s="458" t="n">
        <v>0.9625</v>
      </c>
      <c r="CH12" s="459" t="n">
        <v>0.9496</v>
      </c>
      <c r="CI12" s="459" t="n">
        <v>0.9368</v>
      </c>
      <c r="CJ12" s="459" t="n">
        <v>0.9242</v>
      </c>
      <c r="CK12" s="459" t="n">
        <v>0.9118000000000001</v>
      </c>
      <c r="CL12" s="459" t="n">
        <v>0.8995</v>
      </c>
      <c r="CM12" s="459" t="n">
        <v>0.8874</v>
      </c>
      <c r="CN12" s="459" t="n">
        <v>0.8754999999999999</v>
      </c>
      <c r="CO12" s="459" t="n">
        <v>0.8637</v>
      </c>
      <c r="CP12" s="459" t="n">
        <v>0.8521</v>
      </c>
      <c r="CQ12" s="459" t="n">
        <v>0.8406</v>
      </c>
      <c r="CR12" s="459" t="n">
        <v>0.8293</v>
      </c>
      <c r="CS12" s="459" t="n">
        <v>0.8182</v>
      </c>
      <c r="CT12" s="458" t="n">
        <v>0.8071</v>
      </c>
      <c r="CU12" s="458" t="n">
        <v>0.7963</v>
      </c>
      <c r="CV12" s="458" t="n">
        <v>0.7856</v>
      </c>
      <c r="CW12" s="458" t="n">
        <v>0.775</v>
      </c>
      <c r="CX12" s="458" t="n">
        <v>0.7645999999999999</v>
      </c>
      <c r="CY12" s="458" t="n">
        <v>0.7543</v>
      </c>
      <c r="CZ12" s="458" t="n">
        <v>0.7442</v>
      </c>
      <c r="DA12" s="458" t="n">
        <v>0.7341</v>
      </c>
      <c r="DB12" s="458" t="n">
        <v>0.7243000000000001</v>
      </c>
      <c r="DC12" s="458" t="n">
        <v>0.7145</v>
      </c>
      <c r="DD12" s="458" t="n">
        <v>0.7049</v>
      </c>
      <c r="DE12" s="458" t="n">
        <v>0.6954</v>
      </c>
      <c r="DF12" s="459" t="n">
        <v>0.6861</v>
      </c>
      <c r="DG12" s="459" t="n">
        <v>0.6768</v>
      </c>
      <c r="DH12" s="459" t="n">
        <v>0.6677</v>
      </c>
      <c r="DI12" s="459" t="n">
        <v>0.6588000000000001</v>
      </c>
      <c r="DJ12" s="459" t="n">
        <v>0.6499</v>
      </c>
      <c r="DK12" s="459" t="n">
        <v>0.6412</v>
      </c>
      <c r="DL12" s="459" t="n">
        <v>0.6325</v>
      </c>
      <c r="DM12" s="459" t="n">
        <v>0.624</v>
      </c>
      <c r="DN12" s="459" t="n">
        <v>0.6156</v>
      </c>
      <c r="DO12" s="459" t="n">
        <v>0.6073</v>
      </c>
      <c r="DP12" s="459" t="n">
        <v>0.5992</v>
      </c>
      <c r="DQ12" s="459" t="n">
        <v>0.5911</v>
      </c>
      <c r="DR12" s="458" t="n">
        <v>0.5832000000000001</v>
      </c>
      <c r="DS12" s="458" t="n">
        <v>0.5753</v>
      </c>
      <c r="DT12" s="458" t="n">
        <v>0.5676</v>
      </c>
      <c r="DU12" s="458" t="n">
        <v>0.5599</v>
      </c>
      <c r="DV12" s="458" t="n">
        <v>0.5524</v>
      </c>
      <c r="DW12" s="458" t="n">
        <v>0.545</v>
      </c>
      <c r="DX12" s="458" t="n">
        <v>0.5376</v>
      </c>
      <c r="DY12" s="458" t="n">
        <v>0.5304</v>
      </c>
      <c r="DZ12" s="458" t="n">
        <v>0.5233</v>
      </c>
      <c r="EA12" s="458" t="n">
        <v>0.5162</v>
      </c>
      <c r="EB12" s="458" t="n">
        <v>0.5093</v>
      </c>
      <c r="EC12" s="458" t="n">
        <v>0.5024</v>
      </c>
      <c r="ED12" s="459" t="n">
        <v>0.4957</v>
      </c>
      <c r="EE12" s="459" t="n">
        <v>0.489</v>
      </c>
      <c r="EF12" s="459" t="n">
        <v>0.4824</v>
      </c>
      <c r="EG12" s="459" t="n">
        <v>0.476</v>
      </c>
      <c r="EH12" s="459" t="n">
        <v>0.4696</v>
      </c>
      <c r="EI12" s="459" t="n">
        <v>0.4632</v>
      </c>
      <c r="EJ12" s="459" t="n">
        <v>0.457</v>
      </c>
      <c r="EK12" s="459" t="n">
        <v>0.4509</v>
      </c>
      <c r="EL12" s="459" t="n">
        <v>0.4448</v>
      </c>
      <c r="EM12" s="459" t="n">
        <v>0.4388</v>
      </c>
      <c r="EN12" s="459" t="n">
        <v>0.4329</v>
      </c>
      <c r="EO12" s="459" t="n">
        <v>0.4271</v>
      </c>
      <c r="EP12" s="458" t="n">
        <v>0.4213</v>
      </c>
      <c r="EQ12" s="458" t="n">
        <v>0.4157</v>
      </c>
      <c r="ER12" s="458" t="n">
        <v>0.4101</v>
      </c>
      <c r="ES12" s="458" t="n">
        <v>0.4046</v>
      </c>
      <c r="ET12" s="458" t="n">
        <v>0.3991</v>
      </c>
      <c r="EU12" s="458" t="n">
        <v>0.3937</v>
      </c>
      <c r="EV12" s="458" t="n">
        <v>0.3885</v>
      </c>
      <c r="EW12" s="458" t="n">
        <v>0.3832</v>
      </c>
      <c r="EX12" s="458" t="n">
        <v>0.3781</v>
      </c>
      <c r="EY12" s="458" t="n">
        <v>0.373</v>
      </c>
      <c r="EZ12" s="458" t="n">
        <v>0.368</v>
      </c>
      <c r="FA12" s="458" t="n">
        <v>0.363</v>
      </c>
      <c r="FB12" s="459" t="n">
        <v>0.3581</v>
      </c>
      <c r="FC12" s="459" t="n">
        <v>0.3533</v>
      </c>
      <c r="FD12" s="459" t="n">
        <v>0.3486</v>
      </c>
      <c r="FE12" s="459" t="n">
        <v>0.3439</v>
      </c>
      <c r="FF12" s="459" t="n">
        <v>0.3393</v>
      </c>
      <c r="FG12" s="459" t="n">
        <v>0.3347</v>
      </c>
      <c r="FH12" s="459" t="n">
        <v>0.3302</v>
      </c>
      <c r="FI12" s="459" t="n">
        <v>0.3257</v>
      </c>
      <c r="FJ12" s="459" t="n">
        <v>0.3214</v>
      </c>
      <c r="FK12" s="459" t="n">
        <v>0.317</v>
      </c>
      <c r="FL12" s="459" t="n">
        <v>0.3128</v>
      </c>
      <c r="FM12" s="459" t="n">
        <v>0.3086</v>
      </c>
      <c r="FN12" s="458" t="n">
        <v>0.3044</v>
      </c>
      <c r="FO12" s="458" t="n">
        <v>0.3003</v>
      </c>
      <c r="FP12" s="458" t="n">
        <v>0.2963</v>
      </c>
      <c r="FQ12" s="458" t="n">
        <v>0.2923</v>
      </c>
      <c r="FR12" s="458" t="n">
        <v>0.2884</v>
      </c>
      <c r="FS12" s="458" t="n">
        <v>0.2845</v>
      </c>
      <c r="FT12" s="458" t="n">
        <v>0.2807</v>
      </c>
      <c r="FU12" s="458" t="n">
        <v>0.2769</v>
      </c>
      <c r="FV12" s="458" t="n">
        <v>0.2732</v>
      </c>
      <c r="FW12" s="458" t="n">
        <v>0.2695</v>
      </c>
      <c r="FX12" s="458" t="n">
        <v>0.2659</v>
      </c>
      <c r="FY12" s="458" t="n">
        <v>0.2623</v>
      </c>
      <c r="FZ12" s="306" t="n"/>
    </row>
    <row r="13" ht="15" customHeight="1" s="307">
      <c r="A13" s="321" t="inlineStr">
        <is>
          <t xml:space="preserve">    Deal #8</t>
        </is>
      </c>
      <c r="B13" s="458" t="n">
        <v>0</v>
      </c>
      <c r="C13" s="458" t="n">
        <v>0</v>
      </c>
      <c r="D13" s="458" t="n">
        <v>0</v>
      </c>
      <c r="E13" s="458" t="n">
        <v>0</v>
      </c>
      <c r="F13" s="458" t="n">
        <v>0</v>
      </c>
      <c r="G13" s="458" t="n">
        <v>0</v>
      </c>
      <c r="H13" s="458" t="n">
        <v>0</v>
      </c>
      <c r="I13" s="458" t="n">
        <v>0</v>
      </c>
      <c r="J13" s="458" t="n">
        <v>0</v>
      </c>
      <c r="K13" s="458" t="n">
        <v>0</v>
      </c>
      <c r="L13" s="458" t="n">
        <v>0</v>
      </c>
      <c r="M13" s="458" t="n">
        <v>0</v>
      </c>
      <c r="N13" s="459" t="n">
        <v>0</v>
      </c>
      <c r="O13" s="459" t="n">
        <v>0</v>
      </c>
      <c r="P13" s="459" t="n">
        <v>0</v>
      </c>
      <c r="Q13" s="459" t="n">
        <v>0</v>
      </c>
      <c r="R13" s="459" t="n">
        <v>0</v>
      </c>
      <c r="S13" s="459" t="n">
        <v>0</v>
      </c>
      <c r="T13" s="459" t="n">
        <v>0</v>
      </c>
      <c r="U13" s="459" t="n">
        <v>0</v>
      </c>
      <c r="V13" s="459" t="n">
        <v>0</v>
      </c>
      <c r="W13" s="459" t="n">
        <v>0</v>
      </c>
      <c r="X13" s="459" t="n">
        <v>0</v>
      </c>
      <c r="Y13" s="459" t="n">
        <v>0</v>
      </c>
      <c r="Z13" s="458" t="n">
        <v>0</v>
      </c>
      <c r="AA13" s="458" t="n">
        <v>0</v>
      </c>
      <c r="AB13" s="458" t="n">
        <v>0</v>
      </c>
      <c r="AC13" s="458" t="n">
        <v>0</v>
      </c>
      <c r="AD13" s="458" t="n">
        <v>0</v>
      </c>
      <c r="AE13" s="458" t="n">
        <v>0</v>
      </c>
      <c r="AF13" s="458" t="n">
        <v>0</v>
      </c>
      <c r="AG13" s="458" t="n">
        <v>0</v>
      </c>
      <c r="AH13" s="458" t="n">
        <v>0</v>
      </c>
      <c r="AI13" s="458" t="n">
        <v>0</v>
      </c>
      <c r="AJ13" s="458" t="n">
        <v>0</v>
      </c>
      <c r="AK13" s="458" t="n">
        <v>2</v>
      </c>
      <c r="AL13" s="459" t="n">
        <v>1.9731</v>
      </c>
      <c r="AM13" s="459" t="n">
        <v>1.9466</v>
      </c>
      <c r="AN13" s="459" t="n">
        <v>1.9204</v>
      </c>
      <c r="AO13" s="459" t="n">
        <v>1.8945</v>
      </c>
      <c r="AP13" s="459" t="n">
        <v>1.8691</v>
      </c>
      <c r="AQ13" s="459" t="n">
        <v>1.8439</v>
      </c>
      <c r="AR13" s="459" t="n">
        <v>1.8191</v>
      </c>
      <c r="AS13" s="459" t="n">
        <v>1.7946</v>
      </c>
      <c r="AT13" s="459" t="n">
        <v>1.7705</v>
      </c>
      <c r="AU13" s="459" t="n">
        <v>1.7467</v>
      </c>
      <c r="AV13" s="459" t="n">
        <v>1.7232</v>
      </c>
      <c r="AW13" s="459" t="n">
        <v>1.7</v>
      </c>
      <c r="AX13" s="458" t="n">
        <v>1.6771</v>
      </c>
      <c r="AY13" s="458" t="n">
        <v>1.6546</v>
      </c>
      <c r="AZ13" s="458" t="n">
        <v>1.6323</v>
      </c>
      <c r="BA13" s="458" t="n">
        <v>1.6104</v>
      </c>
      <c r="BB13" s="458" t="n">
        <v>1.5887</v>
      </c>
      <c r="BC13" s="458" t="n">
        <v>1.5673</v>
      </c>
      <c r="BD13" s="458" t="n">
        <v>1.5462</v>
      </c>
      <c r="BE13" s="458" t="n">
        <v>1.5254</v>
      </c>
      <c r="BF13" s="458" t="n">
        <v>1.5049</v>
      </c>
      <c r="BG13" s="458" t="n">
        <v>1.4847</v>
      </c>
      <c r="BH13" s="458" t="n">
        <v>1.4647</v>
      </c>
      <c r="BI13" s="458" t="n">
        <v>1.445</v>
      </c>
      <c r="BJ13" s="459" t="n">
        <v>1.4256</v>
      </c>
      <c r="BK13" s="459" t="n">
        <v>1.4064</v>
      </c>
      <c r="BL13" s="459" t="n">
        <v>1.3875</v>
      </c>
      <c r="BM13" s="459" t="n">
        <v>1.3688</v>
      </c>
      <c r="BN13" s="459" t="n">
        <v>1.3504</v>
      </c>
      <c r="BO13" s="459" t="n">
        <v>1.3322</v>
      </c>
      <c r="BP13" s="459" t="n">
        <v>1.3143</v>
      </c>
      <c r="BQ13" s="459" t="n">
        <v>1.2966</v>
      </c>
      <c r="BR13" s="459" t="n">
        <v>1.2792</v>
      </c>
      <c r="BS13" s="459" t="n">
        <v>1.262</v>
      </c>
      <c r="BT13" s="459" t="n">
        <v>1.245</v>
      </c>
      <c r="BU13" s="459" t="n">
        <v>1.2282</v>
      </c>
      <c r="BV13" s="458" t="n">
        <v>1.2117</v>
      </c>
      <c r="BW13" s="458" t="n">
        <v>1.1954</v>
      </c>
      <c r="BX13" s="458" t="n">
        <v>1.1793</v>
      </c>
      <c r="BY13" s="458" t="n">
        <v>1.1635</v>
      </c>
      <c r="BZ13" s="458" t="n">
        <v>1.1478</v>
      </c>
      <c r="CA13" s="458" t="n">
        <v>1.1324</v>
      </c>
      <c r="CB13" s="458" t="n">
        <v>1.1172</v>
      </c>
      <c r="CC13" s="458" t="n">
        <v>1.1021</v>
      </c>
      <c r="CD13" s="458" t="n">
        <v>1.0873</v>
      </c>
      <c r="CE13" s="458" t="n">
        <v>1.0727</v>
      </c>
      <c r="CF13" s="458" t="n">
        <v>1.0582</v>
      </c>
      <c r="CG13" s="458" t="n">
        <v>1.044</v>
      </c>
      <c r="CH13" s="459" t="n">
        <v>1.03</v>
      </c>
      <c r="CI13" s="459" t="n">
        <v>1.0161</v>
      </c>
      <c r="CJ13" s="459" t="n">
        <v>1.0024</v>
      </c>
      <c r="CK13" s="459" t="n">
        <v>0.989</v>
      </c>
      <c r="CL13" s="459" t="n">
        <v>0.9757</v>
      </c>
      <c r="CM13" s="459" t="n">
        <v>0.9625</v>
      </c>
      <c r="CN13" s="459" t="n">
        <v>0.9496</v>
      </c>
      <c r="CO13" s="459" t="n">
        <v>0.9368</v>
      </c>
      <c r="CP13" s="459" t="n">
        <v>0.9242</v>
      </c>
      <c r="CQ13" s="459" t="n">
        <v>0.9118000000000001</v>
      </c>
      <c r="CR13" s="459" t="n">
        <v>0.8995</v>
      </c>
      <c r="CS13" s="459" t="n">
        <v>0.8874</v>
      </c>
      <c r="CT13" s="458" t="n">
        <v>0.8754999999999999</v>
      </c>
      <c r="CU13" s="458" t="n">
        <v>0.8637</v>
      </c>
      <c r="CV13" s="458" t="n">
        <v>0.8521</v>
      </c>
      <c r="CW13" s="458" t="n">
        <v>0.8406</v>
      </c>
      <c r="CX13" s="458" t="n">
        <v>0.8293</v>
      </c>
      <c r="CY13" s="458" t="n">
        <v>0.8182</v>
      </c>
      <c r="CZ13" s="458" t="n">
        <v>0.8071</v>
      </c>
      <c r="DA13" s="458" t="n">
        <v>0.7963</v>
      </c>
      <c r="DB13" s="458" t="n">
        <v>0.7856</v>
      </c>
      <c r="DC13" s="458" t="n">
        <v>0.775</v>
      </c>
      <c r="DD13" s="458" t="n">
        <v>0.7645999999999999</v>
      </c>
      <c r="DE13" s="458" t="n">
        <v>0.7543</v>
      </c>
      <c r="DF13" s="459" t="n">
        <v>0.7442</v>
      </c>
      <c r="DG13" s="459" t="n">
        <v>0.7341</v>
      </c>
      <c r="DH13" s="459" t="n">
        <v>0.7243000000000001</v>
      </c>
      <c r="DI13" s="459" t="n">
        <v>0.7145</v>
      </c>
      <c r="DJ13" s="459" t="n">
        <v>0.7049</v>
      </c>
      <c r="DK13" s="459" t="n">
        <v>0.6954</v>
      </c>
      <c r="DL13" s="459" t="n">
        <v>0.6861</v>
      </c>
      <c r="DM13" s="459" t="n">
        <v>0.6768</v>
      </c>
      <c r="DN13" s="459" t="n">
        <v>0.6677</v>
      </c>
      <c r="DO13" s="459" t="n">
        <v>0.6588000000000001</v>
      </c>
      <c r="DP13" s="459" t="n">
        <v>0.6499</v>
      </c>
      <c r="DQ13" s="459" t="n">
        <v>0.6412</v>
      </c>
      <c r="DR13" s="458" t="n">
        <v>0.6325</v>
      </c>
      <c r="DS13" s="458" t="n">
        <v>0.624</v>
      </c>
      <c r="DT13" s="458" t="n">
        <v>0.6156</v>
      </c>
      <c r="DU13" s="458" t="n">
        <v>0.6073</v>
      </c>
      <c r="DV13" s="458" t="n">
        <v>0.5992</v>
      </c>
      <c r="DW13" s="458" t="n">
        <v>0.5911</v>
      </c>
      <c r="DX13" s="458" t="n">
        <v>0.5832000000000001</v>
      </c>
      <c r="DY13" s="458" t="n">
        <v>0.5753</v>
      </c>
      <c r="DZ13" s="458" t="n">
        <v>0.5676</v>
      </c>
      <c r="EA13" s="458" t="n">
        <v>0.5599</v>
      </c>
      <c r="EB13" s="458" t="n">
        <v>0.5524</v>
      </c>
      <c r="EC13" s="458" t="n">
        <v>0.545</v>
      </c>
      <c r="ED13" s="459" t="n">
        <v>0.5376</v>
      </c>
      <c r="EE13" s="459" t="n">
        <v>0.5304</v>
      </c>
      <c r="EF13" s="459" t="n">
        <v>0.5233</v>
      </c>
      <c r="EG13" s="459" t="n">
        <v>0.5162</v>
      </c>
      <c r="EH13" s="459" t="n">
        <v>0.5093</v>
      </c>
      <c r="EI13" s="459" t="n">
        <v>0.5024</v>
      </c>
      <c r="EJ13" s="459" t="n">
        <v>0.4957</v>
      </c>
      <c r="EK13" s="459" t="n">
        <v>0.489</v>
      </c>
      <c r="EL13" s="459" t="n">
        <v>0.4824</v>
      </c>
      <c r="EM13" s="459" t="n">
        <v>0.476</v>
      </c>
      <c r="EN13" s="459" t="n">
        <v>0.4696</v>
      </c>
      <c r="EO13" s="459" t="n">
        <v>0.4632</v>
      </c>
      <c r="EP13" s="458" t="n">
        <v>0.457</v>
      </c>
      <c r="EQ13" s="458" t="n">
        <v>0.4509</v>
      </c>
      <c r="ER13" s="458" t="n">
        <v>0.4448</v>
      </c>
      <c r="ES13" s="458" t="n">
        <v>0.4388</v>
      </c>
      <c r="ET13" s="458" t="n">
        <v>0.4329</v>
      </c>
      <c r="EU13" s="458" t="n">
        <v>0.4271</v>
      </c>
      <c r="EV13" s="458" t="n">
        <v>0.4213</v>
      </c>
      <c r="EW13" s="458" t="n">
        <v>0.4157</v>
      </c>
      <c r="EX13" s="458" t="n">
        <v>0.4101</v>
      </c>
      <c r="EY13" s="458" t="n">
        <v>0.4046</v>
      </c>
      <c r="EZ13" s="458" t="n">
        <v>0.3991</v>
      </c>
      <c r="FA13" s="458" t="n">
        <v>0.3937</v>
      </c>
      <c r="FB13" s="459" t="n">
        <v>0.3885</v>
      </c>
      <c r="FC13" s="459" t="n">
        <v>0.3832</v>
      </c>
      <c r="FD13" s="459" t="n">
        <v>0.3781</v>
      </c>
      <c r="FE13" s="459" t="n">
        <v>0.373</v>
      </c>
      <c r="FF13" s="459" t="n">
        <v>0.368</v>
      </c>
      <c r="FG13" s="459" t="n">
        <v>0.363</v>
      </c>
      <c r="FH13" s="459" t="n">
        <v>0.3581</v>
      </c>
      <c r="FI13" s="459" t="n">
        <v>0.3533</v>
      </c>
      <c r="FJ13" s="459" t="n">
        <v>0.3486</v>
      </c>
      <c r="FK13" s="459" t="n">
        <v>0.3439</v>
      </c>
      <c r="FL13" s="459" t="n">
        <v>0.3393</v>
      </c>
      <c r="FM13" s="459" t="n">
        <v>0.3347</v>
      </c>
      <c r="FN13" s="458" t="n">
        <v>0.3302</v>
      </c>
      <c r="FO13" s="458" t="n">
        <v>0.3257</v>
      </c>
      <c r="FP13" s="458" t="n">
        <v>0.3214</v>
      </c>
      <c r="FQ13" s="458" t="n">
        <v>0.317</v>
      </c>
      <c r="FR13" s="458" t="n">
        <v>0.3128</v>
      </c>
      <c r="FS13" s="458" t="n">
        <v>0.3086</v>
      </c>
      <c r="FT13" s="458" t="n">
        <v>0.3044</v>
      </c>
      <c r="FU13" s="458" t="n">
        <v>0.3003</v>
      </c>
      <c r="FV13" s="458" t="n">
        <v>0.2963</v>
      </c>
      <c r="FW13" s="458" t="n">
        <v>0.2923</v>
      </c>
      <c r="FX13" s="458" t="n">
        <v>0.2884</v>
      </c>
      <c r="FY13" s="458" t="n">
        <v>0.2845</v>
      </c>
      <c r="FZ13" s="306" t="n"/>
    </row>
    <row r="14" ht="15" customHeight="1" s="307">
      <c r="A14" s="321" t="n"/>
      <c r="B14" s="459" t="n"/>
      <c r="C14" s="459" t="n"/>
      <c r="D14" s="459" t="n"/>
      <c r="E14" s="459" t="n"/>
      <c r="F14" s="459" t="n"/>
      <c r="G14" s="459" t="n"/>
      <c r="H14" s="459" t="n"/>
      <c r="I14" s="459" t="n"/>
      <c r="J14" s="459" t="n"/>
      <c r="K14" s="459" t="n"/>
      <c r="L14" s="459" t="n"/>
      <c r="M14" s="459" t="n"/>
      <c r="N14" s="459" t="n"/>
      <c r="O14" s="459" t="n"/>
      <c r="P14" s="459" t="n"/>
      <c r="Q14" s="459" t="n"/>
      <c r="R14" s="459" t="n"/>
      <c r="S14" s="459" t="n"/>
      <c r="T14" s="459" t="n"/>
      <c r="U14" s="459" t="n"/>
      <c r="V14" s="459" t="n"/>
      <c r="W14" s="459" t="n"/>
      <c r="X14" s="459" t="n"/>
      <c r="Y14" s="459" t="n"/>
      <c r="Z14" s="459" t="n"/>
      <c r="AA14" s="459" t="n"/>
      <c r="AB14" s="459" t="n"/>
      <c r="AC14" s="459" t="n"/>
      <c r="AD14" s="459" t="n"/>
      <c r="AE14" s="459" t="n"/>
      <c r="AF14" s="459" t="n"/>
      <c r="AG14" s="459" t="n"/>
      <c r="AH14" s="459" t="n"/>
      <c r="AI14" s="459" t="n"/>
      <c r="AJ14" s="459" t="n"/>
      <c r="AK14" s="459" t="n"/>
      <c r="AL14" s="459" t="n"/>
      <c r="AM14" s="459" t="n"/>
      <c r="AN14" s="459" t="n"/>
      <c r="AO14" s="459" t="n"/>
      <c r="AP14" s="459" t="n"/>
      <c r="AQ14" s="459" t="n"/>
      <c r="AR14" s="459" t="n"/>
      <c r="AS14" s="459" t="n"/>
      <c r="AT14" s="459" t="n"/>
      <c r="AU14" s="459" t="n"/>
      <c r="AV14" s="459" t="n"/>
      <c r="AW14" s="459" t="n"/>
      <c r="AX14" s="459" t="n"/>
      <c r="AY14" s="459" t="n"/>
      <c r="AZ14" s="459" t="n"/>
      <c r="BA14" s="459" t="n"/>
      <c r="BB14" s="459" t="n"/>
      <c r="BC14" s="459" t="n"/>
      <c r="BD14" s="459" t="n"/>
      <c r="BE14" s="459" t="n"/>
      <c r="BF14" s="459" t="n"/>
      <c r="BG14" s="459" t="n"/>
      <c r="BH14" s="459" t="n"/>
      <c r="BI14" s="459" t="n"/>
      <c r="BJ14" s="459" t="n"/>
      <c r="BK14" s="459" t="n"/>
      <c r="BL14" s="459" t="n"/>
      <c r="BM14" s="459" t="n"/>
      <c r="BN14" s="459" t="n"/>
      <c r="BO14" s="459" t="n"/>
      <c r="BP14" s="459" t="n"/>
      <c r="BQ14" s="459" t="n"/>
      <c r="BR14" s="459" t="n"/>
      <c r="BS14" s="459" t="n"/>
      <c r="BT14" s="459" t="n"/>
      <c r="BU14" s="459" t="n"/>
      <c r="BV14" s="459" t="n"/>
      <c r="BW14" s="459" t="n"/>
      <c r="BX14" s="459" t="n"/>
      <c r="BY14" s="459" t="n"/>
      <c r="BZ14" s="459" t="n"/>
      <c r="CA14" s="459" t="n"/>
      <c r="CB14" s="459" t="n"/>
      <c r="CC14" s="459" t="n"/>
      <c r="CD14" s="459" t="n"/>
      <c r="CE14" s="459" t="n"/>
      <c r="CF14" s="459" t="n"/>
      <c r="CG14" s="459" t="n"/>
      <c r="CH14" s="459" t="n"/>
      <c r="CI14" s="459" t="n"/>
      <c r="CJ14" s="459" t="n"/>
      <c r="CK14" s="459" t="n"/>
      <c r="CL14" s="459" t="n"/>
      <c r="CM14" s="459" t="n"/>
      <c r="CN14" s="459" t="n"/>
      <c r="CO14" s="459" t="n"/>
      <c r="CP14" s="459" t="n"/>
      <c r="CQ14" s="459" t="n"/>
      <c r="CR14" s="459" t="n"/>
      <c r="CS14" s="459" t="n"/>
      <c r="CT14" s="459" t="n"/>
      <c r="CU14" s="459" t="n"/>
      <c r="CV14" s="459" t="n"/>
      <c r="CW14" s="459" t="n"/>
      <c r="CX14" s="459" t="n"/>
      <c r="CY14" s="459" t="n"/>
      <c r="CZ14" s="459" t="n"/>
      <c r="DA14" s="459" t="n"/>
      <c r="DB14" s="459" t="n"/>
      <c r="DC14" s="459" t="n"/>
      <c r="DD14" s="459" t="n"/>
      <c r="DE14" s="459" t="n"/>
      <c r="DF14" s="459" t="n"/>
      <c r="DG14" s="459" t="n"/>
      <c r="DH14" s="459" t="n"/>
      <c r="DI14" s="459" t="n"/>
      <c r="DJ14" s="459" t="n"/>
      <c r="DK14" s="459" t="n"/>
      <c r="DL14" s="459" t="n"/>
      <c r="DM14" s="459" t="n"/>
      <c r="DN14" s="459" t="n"/>
      <c r="DO14" s="459" t="n"/>
      <c r="DP14" s="459" t="n"/>
      <c r="DQ14" s="459" t="n"/>
      <c r="DR14" s="459" t="n"/>
      <c r="DS14" s="459" t="n"/>
      <c r="DT14" s="459" t="n"/>
      <c r="DU14" s="459" t="n"/>
      <c r="DV14" s="459" t="n"/>
      <c r="DW14" s="459" t="n"/>
      <c r="DX14" s="459" t="n"/>
      <c r="DY14" s="459" t="n"/>
      <c r="DZ14" s="459" t="n"/>
      <c r="EA14" s="459" t="n"/>
      <c r="EB14" s="459" t="n"/>
      <c r="EC14" s="459" t="n"/>
      <c r="ED14" s="459" t="n"/>
      <c r="EE14" s="459" t="n"/>
      <c r="EF14" s="459" t="n"/>
      <c r="EG14" s="459" t="n"/>
      <c r="EH14" s="459" t="n"/>
      <c r="EI14" s="459" t="n"/>
      <c r="EJ14" s="459" t="n"/>
      <c r="EK14" s="459" t="n"/>
      <c r="EL14" s="459" t="n"/>
      <c r="EM14" s="459" t="n"/>
      <c r="EN14" s="459" t="n"/>
      <c r="EO14" s="459" t="n"/>
      <c r="EP14" s="459" t="n"/>
      <c r="EQ14" s="459" t="n"/>
      <c r="ER14" s="459" t="n"/>
      <c r="ES14" s="459" t="n"/>
      <c r="ET14" s="459" t="n"/>
      <c r="EU14" s="459" t="n"/>
      <c r="EV14" s="459" t="n"/>
      <c r="EW14" s="459" t="n"/>
      <c r="EX14" s="459" t="n"/>
      <c r="EY14" s="459" t="n"/>
      <c r="EZ14" s="459" t="n"/>
      <c r="FA14" s="459" t="n"/>
      <c r="FB14" s="459" t="n"/>
      <c r="FC14" s="459" t="n"/>
      <c r="FD14" s="459" t="n"/>
      <c r="FE14" s="459" t="n"/>
      <c r="FF14" s="459" t="n"/>
      <c r="FG14" s="459" t="n"/>
      <c r="FH14" s="459" t="n"/>
      <c r="FI14" s="459" t="n"/>
      <c r="FJ14" s="459" t="n"/>
      <c r="FK14" s="459" t="n"/>
      <c r="FL14" s="459" t="n"/>
      <c r="FM14" s="459" t="n"/>
      <c r="FN14" s="459" t="n"/>
      <c r="FO14" s="459" t="n"/>
      <c r="FP14" s="459" t="n"/>
      <c r="FQ14" s="459" t="n"/>
      <c r="FR14" s="459" t="n"/>
      <c r="FS14" s="459" t="n"/>
      <c r="FT14" s="459" t="n"/>
      <c r="FU14" s="459" t="n"/>
      <c r="FV14" s="459" t="n"/>
      <c r="FW14" s="459" t="n"/>
      <c r="FX14" s="459" t="n"/>
      <c r="FY14" s="459" t="n"/>
      <c r="FZ14" s="306" t="n"/>
    </row>
    <row r="15" ht="15" customHeight="1" s="307">
      <c r="A15" s="325" t="inlineStr">
        <is>
          <t>Portfolio P&amp;L</t>
        </is>
      </c>
      <c r="B15" s="457" t="n"/>
      <c r="C15" s="457" t="n"/>
      <c r="D15" s="457" t="n"/>
      <c r="E15" s="457" t="n"/>
      <c r="F15" s="457" t="n"/>
      <c r="G15" s="457" t="n"/>
      <c r="H15" s="457" t="n"/>
      <c r="I15" s="457" t="n"/>
      <c r="J15" s="457" t="n"/>
      <c r="K15" s="457" t="n"/>
      <c r="L15" s="457" t="n"/>
      <c r="M15" s="457" t="n"/>
      <c r="N15" s="457" t="n"/>
      <c r="O15" s="457" t="n"/>
      <c r="P15" s="457" t="n"/>
      <c r="Q15" s="457" t="n"/>
      <c r="R15" s="457" t="n"/>
      <c r="S15" s="457" t="n"/>
      <c r="T15" s="457" t="n"/>
      <c r="U15" s="457" t="n"/>
      <c r="V15" s="457" t="n"/>
      <c r="W15" s="457" t="n"/>
      <c r="X15" s="457" t="n"/>
      <c r="Y15" s="457" t="n"/>
      <c r="Z15" s="457" t="n"/>
      <c r="AA15" s="457" t="n"/>
      <c r="AB15" s="457" t="n"/>
      <c r="AC15" s="457" t="n"/>
      <c r="AD15" s="457" t="n"/>
      <c r="AE15" s="457" t="n"/>
      <c r="AF15" s="457" t="n"/>
      <c r="AG15" s="457" t="n"/>
      <c r="AH15" s="457" t="n"/>
      <c r="AI15" s="457" t="n"/>
      <c r="AJ15" s="457" t="n"/>
      <c r="AK15" s="457" t="n"/>
      <c r="AL15" s="457" t="n"/>
      <c r="AM15" s="457" t="n"/>
      <c r="AN15" s="457" t="n"/>
      <c r="AO15" s="457" t="n"/>
      <c r="AP15" s="457" t="n"/>
      <c r="AQ15" s="457" t="n"/>
      <c r="AR15" s="457" t="n"/>
      <c r="AS15" s="457" t="n"/>
      <c r="AT15" s="457" t="n"/>
      <c r="AU15" s="457" t="n"/>
      <c r="AV15" s="457" t="n"/>
      <c r="AW15" s="457" t="n"/>
      <c r="AX15" s="457" t="n"/>
      <c r="AY15" s="457" t="n"/>
      <c r="AZ15" s="457" t="n"/>
      <c r="BA15" s="457" t="n"/>
      <c r="BB15" s="457" t="n"/>
      <c r="BC15" s="457" t="n"/>
      <c r="BD15" s="457" t="n"/>
      <c r="BE15" s="457" t="n"/>
      <c r="BF15" s="457" t="n"/>
      <c r="BG15" s="457" t="n"/>
      <c r="BH15" s="457" t="n"/>
      <c r="BI15" s="457" t="n"/>
      <c r="BJ15" s="457" t="n"/>
      <c r="BK15" s="457" t="n"/>
      <c r="BL15" s="457" t="n"/>
      <c r="BM15" s="457" t="n"/>
      <c r="BN15" s="457" t="n"/>
      <c r="BO15" s="457" t="n"/>
      <c r="BP15" s="457" t="n"/>
      <c r="BQ15" s="457" t="n"/>
      <c r="BR15" s="457" t="n"/>
      <c r="BS15" s="457" t="n"/>
      <c r="BT15" s="457" t="n"/>
      <c r="BU15" s="457" t="n"/>
      <c r="BV15" s="457" t="n"/>
      <c r="BW15" s="457" t="n"/>
      <c r="BX15" s="457" t="n"/>
      <c r="BY15" s="457" t="n"/>
      <c r="BZ15" s="457" t="n"/>
      <c r="CA15" s="457" t="n"/>
      <c r="CB15" s="457" t="n"/>
      <c r="CC15" s="457" t="n"/>
      <c r="CD15" s="457" t="n"/>
      <c r="CE15" s="457" t="n"/>
      <c r="CF15" s="457" t="n"/>
      <c r="CG15" s="457" t="n"/>
      <c r="CH15" s="457" t="n"/>
      <c r="CI15" s="457" t="n"/>
      <c r="CJ15" s="457" t="n"/>
      <c r="CK15" s="457" t="n"/>
      <c r="CL15" s="457" t="n"/>
      <c r="CM15" s="457" t="n"/>
      <c r="CN15" s="457" t="n"/>
      <c r="CO15" s="457" t="n"/>
      <c r="CP15" s="457" t="n"/>
      <c r="CQ15" s="457" t="n"/>
      <c r="CR15" s="457" t="n"/>
      <c r="CS15" s="457" t="n"/>
      <c r="CT15" s="457" t="n"/>
      <c r="CU15" s="457" t="n"/>
      <c r="CV15" s="457" t="n"/>
      <c r="CW15" s="457" t="n"/>
      <c r="CX15" s="457" t="n"/>
      <c r="CY15" s="457" t="n"/>
      <c r="CZ15" s="457" t="n"/>
      <c r="DA15" s="457" t="n"/>
      <c r="DB15" s="457" t="n"/>
      <c r="DC15" s="457" t="n"/>
      <c r="DD15" s="457" t="n"/>
      <c r="DE15" s="457" t="n"/>
      <c r="DF15" s="457" t="n"/>
      <c r="DG15" s="457" t="n"/>
      <c r="DH15" s="457" t="n"/>
      <c r="DI15" s="457" t="n"/>
      <c r="DJ15" s="457" t="n"/>
      <c r="DK15" s="457" t="n"/>
      <c r="DL15" s="457" t="n"/>
      <c r="DM15" s="457" t="n"/>
      <c r="DN15" s="457" t="n"/>
      <c r="DO15" s="457" t="n"/>
      <c r="DP15" s="457" t="n"/>
      <c r="DQ15" s="457" t="n"/>
      <c r="DR15" s="457" t="n"/>
      <c r="DS15" s="457" t="n"/>
      <c r="DT15" s="457" t="n"/>
      <c r="DU15" s="457" t="n"/>
      <c r="DV15" s="457" t="n"/>
      <c r="DW15" s="457" t="n"/>
      <c r="DX15" s="457" t="n"/>
      <c r="DY15" s="457" t="n"/>
      <c r="DZ15" s="457" t="n"/>
      <c r="EA15" s="457" t="n"/>
      <c r="EB15" s="457" t="n"/>
      <c r="EC15" s="457" t="n"/>
      <c r="ED15" s="457" t="n"/>
      <c r="EE15" s="457" t="n"/>
      <c r="EF15" s="457" t="n"/>
      <c r="EG15" s="457" t="n"/>
      <c r="EH15" s="457" t="n"/>
      <c r="EI15" s="457" t="n"/>
      <c r="EJ15" s="457" t="n"/>
      <c r="EK15" s="457" t="n"/>
      <c r="EL15" s="457" t="n"/>
      <c r="EM15" s="457" t="n"/>
      <c r="EN15" s="457" t="n"/>
      <c r="EO15" s="457" t="n"/>
      <c r="EP15" s="457" t="n"/>
      <c r="EQ15" s="457" t="n"/>
      <c r="ER15" s="457" t="n"/>
      <c r="ES15" s="457" t="n"/>
      <c r="ET15" s="457" t="n"/>
      <c r="EU15" s="457" t="n"/>
      <c r="EV15" s="457" t="n"/>
      <c r="EW15" s="457" t="n"/>
      <c r="EX15" s="457" t="n"/>
      <c r="EY15" s="457" t="n"/>
      <c r="EZ15" s="457" t="n"/>
      <c r="FA15" s="457" t="n"/>
      <c r="FB15" s="457" t="n"/>
      <c r="FC15" s="457" t="n"/>
      <c r="FD15" s="457" t="n"/>
      <c r="FE15" s="457" t="n"/>
      <c r="FF15" s="457" t="n"/>
      <c r="FG15" s="457" t="n"/>
      <c r="FH15" s="457" t="n"/>
      <c r="FI15" s="457" t="n"/>
      <c r="FJ15" s="457" t="n"/>
      <c r="FK15" s="457" t="n"/>
      <c r="FL15" s="457" t="n"/>
      <c r="FM15" s="457" t="n"/>
      <c r="FN15" s="457" t="n"/>
      <c r="FO15" s="457" t="n"/>
      <c r="FP15" s="457" t="n"/>
      <c r="FQ15" s="457" t="n"/>
      <c r="FR15" s="457" t="n"/>
      <c r="FS15" s="457" t="n"/>
      <c r="FT15" s="457" t="n"/>
      <c r="FU15" s="457" t="n"/>
      <c r="FV15" s="457" t="n"/>
      <c r="FW15" s="457" t="n"/>
      <c r="FX15" s="457" t="n"/>
      <c r="FY15" s="457" t="n"/>
      <c r="FZ15" s="306" t="n"/>
    </row>
    <row r="16" ht="15" customHeight="1" s="307">
      <c r="A16" s="322" t="inlineStr">
        <is>
          <t>Revenue</t>
        </is>
      </c>
      <c r="B16" s="465" t="n">
        <v>0</v>
      </c>
      <c r="C16" s="465" t="n">
        <v>0</v>
      </c>
      <c r="D16" s="465" t="n">
        <v>0</v>
      </c>
      <c r="E16" s="465" t="n">
        <v>2.1333</v>
      </c>
      <c r="F16" s="465" t="n">
        <v>2.1046</v>
      </c>
      <c r="G16" s="465" t="n">
        <v>2.0763</v>
      </c>
      <c r="H16" s="465" t="n">
        <v>4.3151</v>
      </c>
      <c r="I16" s="465" t="n">
        <v>4.257</v>
      </c>
      <c r="J16" s="465" t="n">
        <v>4.1997</v>
      </c>
      <c r="K16" s="465" t="n">
        <v>6.6516</v>
      </c>
      <c r="L16" s="465" t="n">
        <v>6.5621</v>
      </c>
      <c r="M16" s="465" t="n">
        <v>8.640499999999999</v>
      </c>
      <c r="N16" s="466" t="n">
        <v>8.5243</v>
      </c>
      <c r="O16" s="466" t="n">
        <v>8.409599999999999</v>
      </c>
      <c r="P16" s="466" t="n">
        <v>8.2965</v>
      </c>
      <c r="Q16" s="466" t="n">
        <v>10.3015</v>
      </c>
      <c r="R16" s="466" t="n">
        <v>10.163</v>
      </c>
      <c r="S16" s="466" t="n">
        <v>10.0263</v>
      </c>
      <c r="T16" s="466" t="n">
        <v>9.891400000000001</v>
      </c>
      <c r="U16" s="466" t="n">
        <v>9.7583</v>
      </c>
      <c r="V16" s="466" t="n">
        <v>9.6271</v>
      </c>
      <c r="W16" s="466" t="n">
        <v>9.4976</v>
      </c>
      <c r="X16" s="466" t="n">
        <v>9.3698</v>
      </c>
      <c r="Y16" s="466" t="n">
        <v>11.2438</v>
      </c>
      <c r="Z16" s="465" t="n">
        <v>11.0925</v>
      </c>
      <c r="AA16" s="465" t="n">
        <v>10.9433</v>
      </c>
      <c r="AB16" s="465" t="n">
        <v>10.7961</v>
      </c>
      <c r="AC16" s="465" t="n">
        <v>10.6508</v>
      </c>
      <c r="AD16" s="465" t="n">
        <v>10.5076</v>
      </c>
      <c r="AE16" s="465" t="n">
        <v>12.3662</v>
      </c>
      <c r="AF16" s="465" t="n">
        <v>12.1999</v>
      </c>
      <c r="AG16" s="465" t="n">
        <v>12.0358</v>
      </c>
      <c r="AH16" s="465" t="n">
        <v>11.8739</v>
      </c>
      <c r="AI16" s="465" t="n">
        <v>11.7141</v>
      </c>
      <c r="AJ16" s="465" t="n">
        <v>11.5566</v>
      </c>
      <c r="AK16" s="465" t="n">
        <v>13.4011</v>
      </c>
      <c r="AL16" s="466" t="n">
        <v>13.2208</v>
      </c>
      <c r="AM16" s="466" t="n">
        <v>13.043</v>
      </c>
      <c r="AN16" s="466" t="n">
        <v>12.8675</v>
      </c>
      <c r="AO16" s="466" t="n">
        <v>12.6944</v>
      </c>
      <c r="AP16" s="466" t="n">
        <v>12.5237</v>
      </c>
      <c r="AQ16" s="466" t="n">
        <v>12.3552</v>
      </c>
      <c r="AR16" s="466" t="n">
        <v>12.189</v>
      </c>
      <c r="AS16" s="466" t="n">
        <v>12.025</v>
      </c>
      <c r="AT16" s="466" t="n">
        <v>11.8633</v>
      </c>
      <c r="AU16" s="466" t="n">
        <v>11.7037</v>
      </c>
      <c r="AV16" s="466" t="n">
        <v>11.5463</v>
      </c>
      <c r="AW16" s="466" t="n">
        <v>11.3909</v>
      </c>
      <c r="AX16" s="465" t="n">
        <v>11.2377</v>
      </c>
      <c r="AY16" s="465" t="n">
        <v>11.0865</v>
      </c>
      <c r="AZ16" s="465" t="n">
        <v>10.9374</v>
      </c>
      <c r="BA16" s="465" t="n">
        <v>10.7903</v>
      </c>
      <c r="BB16" s="465" t="n">
        <v>10.6451</v>
      </c>
      <c r="BC16" s="465" t="n">
        <v>10.5019</v>
      </c>
      <c r="BD16" s="465" t="n">
        <v>10.3606</v>
      </c>
      <c r="BE16" s="465" t="n">
        <v>10.2213</v>
      </c>
      <c r="BF16" s="465" t="n">
        <v>10.0838</v>
      </c>
      <c r="BG16" s="465" t="n">
        <v>9.9481</v>
      </c>
      <c r="BH16" s="465" t="n">
        <v>9.814299999999999</v>
      </c>
      <c r="BI16" s="465" t="n">
        <v>9.6823</v>
      </c>
      <c r="BJ16" s="466" t="n">
        <v>9.552</v>
      </c>
      <c r="BK16" s="466" t="n">
        <v>9.4236</v>
      </c>
      <c r="BL16" s="466" t="n">
        <v>9.296799999999999</v>
      </c>
      <c r="BM16" s="466" t="n">
        <v>9.1717</v>
      </c>
      <c r="BN16" s="466" t="n">
        <v>9.048400000000001</v>
      </c>
      <c r="BO16" s="466" t="n">
        <v>8.926600000000001</v>
      </c>
      <c r="BP16" s="466" t="n">
        <v>8.8066</v>
      </c>
      <c r="BQ16" s="466" t="n">
        <v>8.6881</v>
      </c>
      <c r="BR16" s="466" t="n">
        <v>8.571199999999999</v>
      </c>
      <c r="BS16" s="466" t="n">
        <v>8.4559</v>
      </c>
      <c r="BT16" s="466" t="n">
        <v>8.3422</v>
      </c>
      <c r="BU16" s="466" t="n">
        <v>8.229900000000001</v>
      </c>
      <c r="BV16" s="465" t="n">
        <v>8.119199999999999</v>
      </c>
      <c r="BW16" s="465" t="n">
        <v>8.01</v>
      </c>
      <c r="BX16" s="465" t="n">
        <v>7.9023</v>
      </c>
      <c r="BY16" s="465" t="n">
        <v>7.796</v>
      </c>
      <c r="BZ16" s="465" t="n">
        <v>7.6911</v>
      </c>
      <c r="CA16" s="465" t="n">
        <v>7.5876</v>
      </c>
      <c r="CB16" s="465" t="n">
        <v>7.4856</v>
      </c>
      <c r="CC16" s="465" t="n">
        <v>7.3849</v>
      </c>
      <c r="CD16" s="465" t="n">
        <v>7.2855</v>
      </c>
      <c r="CE16" s="465" t="n">
        <v>7.1875</v>
      </c>
      <c r="CF16" s="465" t="n">
        <v>7.0908</v>
      </c>
      <c r="CG16" s="465" t="n">
        <v>6.9955</v>
      </c>
      <c r="CH16" s="466" t="n">
        <v>6.9014</v>
      </c>
      <c r="CI16" s="466" t="n">
        <v>6.8085</v>
      </c>
      <c r="CJ16" s="466" t="n">
        <v>6.7169</v>
      </c>
      <c r="CK16" s="466" t="n">
        <v>6.6266</v>
      </c>
      <c r="CL16" s="466" t="n">
        <v>6.5374</v>
      </c>
      <c r="CM16" s="466" t="n">
        <v>6.4495</v>
      </c>
      <c r="CN16" s="466" t="n">
        <v>6.3627</v>
      </c>
      <c r="CO16" s="466" t="n">
        <v>6.2771</v>
      </c>
      <c r="CP16" s="466" t="n">
        <v>6.1927</v>
      </c>
      <c r="CQ16" s="466" t="n">
        <v>6.1094</v>
      </c>
      <c r="CR16" s="466" t="n">
        <v>6.0272</v>
      </c>
      <c r="CS16" s="466" t="n">
        <v>5.9461</v>
      </c>
      <c r="CT16" s="465" t="n">
        <v>5.8662</v>
      </c>
      <c r="CU16" s="465" t="n">
        <v>5.7872</v>
      </c>
      <c r="CV16" s="465" t="n">
        <v>5.7094</v>
      </c>
      <c r="CW16" s="465" t="n">
        <v>5.6326</v>
      </c>
      <c r="CX16" s="465" t="n">
        <v>5.5568</v>
      </c>
      <c r="CY16" s="465" t="n">
        <v>5.4821</v>
      </c>
      <c r="CZ16" s="465" t="n">
        <v>5.4083</v>
      </c>
      <c r="DA16" s="465" t="n">
        <v>5.3356</v>
      </c>
      <c r="DB16" s="465" t="n">
        <v>5.2638</v>
      </c>
      <c r="DC16" s="465" t="n">
        <v>5.193</v>
      </c>
      <c r="DD16" s="465" t="n">
        <v>5.1231</v>
      </c>
      <c r="DE16" s="465" t="n">
        <v>5.0542</v>
      </c>
      <c r="DF16" s="466" t="n">
        <v>4.9862</v>
      </c>
      <c r="DG16" s="466" t="n">
        <v>4.9192</v>
      </c>
      <c r="DH16" s="466" t="n">
        <v>4.853</v>
      </c>
      <c r="DI16" s="466" t="n">
        <v>4.7877</v>
      </c>
      <c r="DJ16" s="466" t="n">
        <v>4.7233</v>
      </c>
      <c r="DK16" s="466" t="n">
        <v>4.6598</v>
      </c>
      <c r="DL16" s="466" t="n">
        <v>4.5971</v>
      </c>
      <c r="DM16" s="466" t="n">
        <v>4.5352</v>
      </c>
      <c r="DN16" s="466" t="n">
        <v>4.4742</v>
      </c>
      <c r="DO16" s="466" t="n">
        <v>4.414</v>
      </c>
      <c r="DP16" s="466" t="n">
        <v>4.3547</v>
      </c>
      <c r="DQ16" s="466" t="n">
        <v>4.2961</v>
      </c>
      <c r="DR16" s="465" t="n">
        <v>4.2383</v>
      </c>
      <c r="DS16" s="465" t="n">
        <v>4.1813</v>
      </c>
      <c r="DT16" s="465" t="n">
        <v>4.125</v>
      </c>
      <c r="DU16" s="465" t="n">
        <v>4.0695</v>
      </c>
      <c r="DV16" s="465" t="n">
        <v>4.0148</v>
      </c>
      <c r="DW16" s="465" t="n">
        <v>3.9608</v>
      </c>
      <c r="DX16" s="465" t="n">
        <v>3.9075</v>
      </c>
      <c r="DY16" s="465" t="n">
        <v>3.855</v>
      </c>
      <c r="DZ16" s="465" t="n">
        <v>3.8031</v>
      </c>
      <c r="EA16" s="465" t="n">
        <v>3.7519</v>
      </c>
      <c r="EB16" s="465" t="n">
        <v>3.7015</v>
      </c>
      <c r="EC16" s="465" t="n">
        <v>3.6517</v>
      </c>
      <c r="ED16" s="466" t="n">
        <v>3.6025</v>
      </c>
      <c r="EE16" s="466" t="n">
        <v>3.5541</v>
      </c>
      <c r="EF16" s="466" t="n">
        <v>3.5063</v>
      </c>
      <c r="EG16" s="466" t="n">
        <v>3.4591</v>
      </c>
      <c r="EH16" s="466" t="n">
        <v>3.4126</v>
      </c>
      <c r="EI16" s="466" t="n">
        <v>3.3667</v>
      </c>
      <c r="EJ16" s="466" t="n">
        <v>3.3214</v>
      </c>
      <c r="EK16" s="466" t="n">
        <v>3.2767</v>
      </c>
      <c r="EL16" s="466" t="n">
        <v>3.2326</v>
      </c>
      <c r="EM16" s="466" t="n">
        <v>3.1891</v>
      </c>
      <c r="EN16" s="466" t="n">
        <v>3.1462</v>
      </c>
      <c r="EO16" s="466" t="n">
        <v>3.1039</v>
      </c>
      <c r="EP16" s="465" t="n">
        <v>3.0622</v>
      </c>
      <c r="EQ16" s="465" t="n">
        <v>3.021</v>
      </c>
      <c r="ER16" s="465" t="n">
        <v>2.9803</v>
      </c>
      <c r="ES16" s="465" t="n">
        <v>2.9402</v>
      </c>
      <c r="ET16" s="465" t="n">
        <v>2.9007</v>
      </c>
      <c r="EU16" s="465" t="n">
        <v>2.8617</v>
      </c>
      <c r="EV16" s="465" t="n">
        <v>2.8232</v>
      </c>
      <c r="EW16" s="465" t="n">
        <v>2.7852</v>
      </c>
      <c r="EX16" s="465" t="n">
        <v>2.7477</v>
      </c>
      <c r="EY16" s="465" t="n">
        <v>2.7108</v>
      </c>
      <c r="EZ16" s="465" t="n">
        <v>2.6743</v>
      </c>
      <c r="FA16" s="465" t="n">
        <v>2.6383</v>
      </c>
      <c r="FB16" s="466" t="n">
        <v>2.6028</v>
      </c>
      <c r="FC16" s="466" t="n">
        <v>2.5678</v>
      </c>
      <c r="FD16" s="466" t="n">
        <v>2.5333</v>
      </c>
      <c r="FE16" s="466" t="n">
        <v>2.4992</v>
      </c>
      <c r="FF16" s="466" t="n">
        <v>2.4656</v>
      </c>
      <c r="FG16" s="466" t="n">
        <v>2.4324</v>
      </c>
      <c r="FH16" s="466" t="n">
        <v>2.3997</v>
      </c>
      <c r="FI16" s="466" t="n">
        <v>2.3674</v>
      </c>
      <c r="FJ16" s="466" t="n">
        <v>2.3356</v>
      </c>
      <c r="FK16" s="466" t="n">
        <v>2.3042</v>
      </c>
      <c r="FL16" s="466" t="n">
        <v>2.2732</v>
      </c>
      <c r="FM16" s="466" t="n">
        <v>2.2426</v>
      </c>
      <c r="FN16" s="465" t="n">
        <v>2.2124</v>
      </c>
      <c r="FO16" s="465" t="n">
        <v>2.1827</v>
      </c>
      <c r="FP16" s="465" t="n">
        <v>2.1533</v>
      </c>
      <c r="FQ16" s="465" t="n">
        <v>2.1243</v>
      </c>
      <c r="FR16" s="465" t="n">
        <v>2.0958</v>
      </c>
      <c r="FS16" s="465" t="n">
        <v>2.0676</v>
      </c>
      <c r="FT16" s="465" t="n">
        <v>2.0397</v>
      </c>
      <c r="FU16" s="465" t="n">
        <v>2.0123</v>
      </c>
      <c r="FV16" s="465" t="n">
        <v>1.9852</v>
      </c>
      <c r="FW16" s="465" t="n">
        <v>1.9585</v>
      </c>
      <c r="FX16" s="465" t="n">
        <v>1.9322</v>
      </c>
      <c r="FY16" s="465" t="n">
        <v>1.9062</v>
      </c>
      <c r="FZ16" s="306" t="n"/>
    </row>
    <row r="17" ht="15" customHeight="1" s="307">
      <c r="A17" s="321" t="inlineStr">
        <is>
          <t xml:space="preserve">    Cost of Goods Sold</t>
        </is>
      </c>
      <c r="B17" s="458" t="n">
        <v>0</v>
      </c>
      <c r="C17" s="458" t="n">
        <v>0</v>
      </c>
      <c r="D17" s="458" t="n">
        <v>0</v>
      </c>
      <c r="E17" s="458" t="n">
        <v>0.5333</v>
      </c>
      <c r="F17" s="458" t="n">
        <v>0.4735</v>
      </c>
      <c r="G17" s="458" t="n">
        <v>0.4153</v>
      </c>
      <c r="H17" s="458" t="n">
        <v>0.9251</v>
      </c>
      <c r="I17" s="458" t="n">
        <v>0.8063</v>
      </c>
      <c r="J17" s="458" t="n">
        <v>0.6904</v>
      </c>
      <c r="K17" s="458" t="n">
        <v>1.2046</v>
      </c>
      <c r="L17" s="458" t="n">
        <v>1.0729</v>
      </c>
      <c r="M17" s="458" t="n">
        <v>1.4861</v>
      </c>
      <c r="N17" s="459" t="n">
        <v>1.3003</v>
      </c>
      <c r="O17" s="459" t="n">
        <v>1.1706</v>
      </c>
      <c r="P17" s="459" t="n">
        <v>1.0443</v>
      </c>
      <c r="Q17" s="459" t="n">
        <v>1.4503</v>
      </c>
      <c r="R17" s="459" t="n">
        <v>1.3279</v>
      </c>
      <c r="S17" s="459" t="n">
        <v>1.2086</v>
      </c>
      <c r="T17" s="459" t="n">
        <v>1.1416</v>
      </c>
      <c r="U17" s="459" t="n">
        <v>1.0761</v>
      </c>
      <c r="V17" s="459" t="n">
        <v>1.0122</v>
      </c>
      <c r="W17" s="459" t="n">
        <v>0.9498</v>
      </c>
      <c r="X17" s="459" t="n">
        <v>0.9370000000000001</v>
      </c>
      <c r="Y17" s="459" t="n">
        <v>1.4244</v>
      </c>
      <c r="Z17" s="458" t="n">
        <v>1.3559</v>
      </c>
      <c r="AA17" s="458" t="n">
        <v>1.289</v>
      </c>
      <c r="AB17" s="458" t="n">
        <v>1.2236</v>
      </c>
      <c r="AC17" s="458" t="n">
        <v>1.1598</v>
      </c>
      <c r="AD17" s="458" t="n">
        <v>1.0975</v>
      </c>
      <c r="AE17" s="458" t="n">
        <v>1.5366</v>
      </c>
      <c r="AF17" s="458" t="n">
        <v>1.4666</v>
      </c>
      <c r="AG17" s="458" t="n">
        <v>1.3982</v>
      </c>
      <c r="AH17" s="458" t="n">
        <v>1.3314</v>
      </c>
      <c r="AI17" s="458" t="n">
        <v>1.2661</v>
      </c>
      <c r="AJ17" s="458" t="n">
        <v>1.2024</v>
      </c>
      <c r="AK17" s="458" t="n">
        <v>1.6401</v>
      </c>
      <c r="AL17" s="459" t="n">
        <v>1.5687</v>
      </c>
      <c r="AM17" s="459" t="n">
        <v>1.499</v>
      </c>
      <c r="AN17" s="459" t="n">
        <v>1.4308</v>
      </c>
      <c r="AO17" s="459" t="n">
        <v>1.3642</v>
      </c>
      <c r="AP17" s="459" t="n">
        <v>1.2991</v>
      </c>
      <c r="AQ17" s="459" t="n">
        <v>1.2355</v>
      </c>
      <c r="AR17" s="459" t="n">
        <v>1.2189</v>
      </c>
      <c r="AS17" s="459" t="n">
        <v>1.2025</v>
      </c>
      <c r="AT17" s="459" t="n">
        <v>1.1863</v>
      </c>
      <c r="AU17" s="459" t="n">
        <v>1.1704</v>
      </c>
      <c r="AV17" s="459" t="n">
        <v>1.1546</v>
      </c>
      <c r="AW17" s="459" t="n">
        <v>1.1391</v>
      </c>
      <c r="AX17" s="458" t="n">
        <v>1.1238</v>
      </c>
      <c r="AY17" s="458" t="n">
        <v>1.1087</v>
      </c>
      <c r="AZ17" s="458" t="n">
        <v>1.0937</v>
      </c>
      <c r="BA17" s="458" t="n">
        <v>1.079</v>
      </c>
      <c r="BB17" s="458" t="n">
        <v>1.0645</v>
      </c>
      <c r="BC17" s="458" t="n">
        <v>1.0502</v>
      </c>
      <c r="BD17" s="458" t="n">
        <v>1.0361</v>
      </c>
      <c r="BE17" s="458" t="n">
        <v>1.0221</v>
      </c>
      <c r="BF17" s="458" t="n">
        <v>1.0084</v>
      </c>
      <c r="BG17" s="458" t="n">
        <v>0.9948</v>
      </c>
      <c r="BH17" s="458" t="n">
        <v>0.9814000000000001</v>
      </c>
      <c r="BI17" s="458" t="n">
        <v>0.9681999999999999</v>
      </c>
      <c r="BJ17" s="459" t="n">
        <v>0.9552</v>
      </c>
      <c r="BK17" s="459" t="n">
        <v>0.9424</v>
      </c>
      <c r="BL17" s="459" t="n">
        <v>0.9297</v>
      </c>
      <c r="BM17" s="459" t="n">
        <v>0.9172</v>
      </c>
      <c r="BN17" s="459" t="n">
        <v>0.9048</v>
      </c>
      <c r="BO17" s="459" t="n">
        <v>0.8927</v>
      </c>
      <c r="BP17" s="459" t="n">
        <v>0.8807</v>
      </c>
      <c r="BQ17" s="459" t="n">
        <v>0.8688</v>
      </c>
      <c r="BR17" s="459" t="n">
        <v>0.8571</v>
      </c>
      <c r="BS17" s="459" t="n">
        <v>0.8456</v>
      </c>
      <c r="BT17" s="459" t="n">
        <v>0.8342000000000001</v>
      </c>
      <c r="BU17" s="459" t="n">
        <v>0.823</v>
      </c>
      <c r="BV17" s="458" t="n">
        <v>0.8119</v>
      </c>
      <c r="BW17" s="458" t="n">
        <v>0.801</v>
      </c>
      <c r="BX17" s="458" t="n">
        <v>0.7902</v>
      </c>
      <c r="BY17" s="458" t="n">
        <v>0.7796</v>
      </c>
      <c r="BZ17" s="458" t="n">
        <v>0.7691</v>
      </c>
      <c r="CA17" s="458" t="n">
        <v>0.7588</v>
      </c>
      <c r="CB17" s="458" t="n">
        <v>0.7486</v>
      </c>
      <c r="CC17" s="458" t="n">
        <v>0.7385</v>
      </c>
      <c r="CD17" s="458" t="n">
        <v>0.7286</v>
      </c>
      <c r="CE17" s="458" t="n">
        <v>0.7188</v>
      </c>
      <c r="CF17" s="458" t="n">
        <v>0.7091</v>
      </c>
      <c r="CG17" s="458" t="n">
        <v>0.6995</v>
      </c>
      <c r="CH17" s="459" t="n">
        <v>0.6901</v>
      </c>
      <c r="CI17" s="459" t="n">
        <v>0.6808999999999999</v>
      </c>
      <c r="CJ17" s="459" t="n">
        <v>0.6717</v>
      </c>
      <c r="CK17" s="459" t="n">
        <v>0.6627</v>
      </c>
      <c r="CL17" s="459" t="n">
        <v>0.6536999999999999</v>
      </c>
      <c r="CM17" s="459" t="n">
        <v>0.6449</v>
      </c>
      <c r="CN17" s="459" t="n">
        <v>0.6363</v>
      </c>
      <c r="CO17" s="459" t="n">
        <v>0.6277</v>
      </c>
      <c r="CP17" s="459" t="n">
        <v>0.6193</v>
      </c>
      <c r="CQ17" s="459" t="n">
        <v>0.6109</v>
      </c>
      <c r="CR17" s="459" t="n">
        <v>0.6027</v>
      </c>
      <c r="CS17" s="459" t="n">
        <v>0.5946</v>
      </c>
      <c r="CT17" s="458" t="n">
        <v>0.5866</v>
      </c>
      <c r="CU17" s="458" t="n">
        <v>0.5787</v>
      </c>
      <c r="CV17" s="458" t="n">
        <v>0.5709</v>
      </c>
      <c r="CW17" s="458" t="n">
        <v>0.5633</v>
      </c>
      <c r="CX17" s="458" t="n">
        <v>0.5557</v>
      </c>
      <c r="CY17" s="458" t="n">
        <v>0.5482</v>
      </c>
      <c r="CZ17" s="458" t="n">
        <v>0.5407999999999999</v>
      </c>
      <c r="DA17" s="458" t="n">
        <v>0.5336</v>
      </c>
      <c r="DB17" s="458" t="n">
        <v>0.5264</v>
      </c>
      <c r="DC17" s="458" t="n">
        <v>0.5193</v>
      </c>
      <c r="DD17" s="458" t="n">
        <v>0.5123</v>
      </c>
      <c r="DE17" s="458" t="n">
        <v>0.5054</v>
      </c>
      <c r="DF17" s="459" t="n">
        <v>0.4986</v>
      </c>
      <c r="DG17" s="459" t="n">
        <v>0.4919</v>
      </c>
      <c r="DH17" s="459" t="n">
        <v>0.4853</v>
      </c>
      <c r="DI17" s="459" t="n">
        <v>0.4788</v>
      </c>
      <c r="DJ17" s="459" t="n">
        <v>0.4723</v>
      </c>
      <c r="DK17" s="459" t="n">
        <v>0.466</v>
      </c>
      <c r="DL17" s="459" t="n">
        <v>0.4597</v>
      </c>
      <c r="DM17" s="459" t="n">
        <v>0.4535</v>
      </c>
      <c r="DN17" s="459" t="n">
        <v>0.4474</v>
      </c>
      <c r="DO17" s="459" t="n">
        <v>0.4414</v>
      </c>
      <c r="DP17" s="459" t="n">
        <v>0.4355</v>
      </c>
      <c r="DQ17" s="459" t="n">
        <v>0.4296</v>
      </c>
      <c r="DR17" s="458" t="n">
        <v>0.4238</v>
      </c>
      <c r="DS17" s="458" t="n">
        <v>0.4181</v>
      </c>
      <c r="DT17" s="458" t="n">
        <v>0.4125</v>
      </c>
      <c r="DU17" s="458" t="n">
        <v>0.407</v>
      </c>
      <c r="DV17" s="458" t="n">
        <v>0.4015</v>
      </c>
      <c r="DW17" s="458" t="n">
        <v>0.3961</v>
      </c>
      <c r="DX17" s="458" t="n">
        <v>0.3908</v>
      </c>
      <c r="DY17" s="458" t="n">
        <v>0.3855</v>
      </c>
      <c r="DZ17" s="458" t="n">
        <v>0.3803</v>
      </c>
      <c r="EA17" s="458" t="n">
        <v>0.3752</v>
      </c>
      <c r="EB17" s="458" t="n">
        <v>0.3701</v>
      </c>
      <c r="EC17" s="458" t="n">
        <v>0.3652</v>
      </c>
      <c r="ED17" s="459" t="n">
        <v>0.3603</v>
      </c>
      <c r="EE17" s="459" t="n">
        <v>0.3554</v>
      </c>
      <c r="EF17" s="459" t="n">
        <v>0.3506</v>
      </c>
      <c r="EG17" s="459" t="n">
        <v>0.3459</v>
      </c>
      <c r="EH17" s="459" t="n">
        <v>0.3413</v>
      </c>
      <c r="EI17" s="459" t="n">
        <v>0.3367</v>
      </c>
      <c r="EJ17" s="459" t="n">
        <v>0.3321</v>
      </c>
      <c r="EK17" s="459" t="n">
        <v>0.3277</v>
      </c>
      <c r="EL17" s="459" t="n">
        <v>0.3233</v>
      </c>
      <c r="EM17" s="459" t="n">
        <v>0.3189</v>
      </c>
      <c r="EN17" s="459" t="n">
        <v>0.3146</v>
      </c>
      <c r="EO17" s="459" t="n">
        <v>0.3104</v>
      </c>
      <c r="EP17" s="458" t="n">
        <v>0.3062</v>
      </c>
      <c r="EQ17" s="458" t="n">
        <v>0.3021</v>
      </c>
      <c r="ER17" s="458" t="n">
        <v>0.298</v>
      </c>
      <c r="ES17" s="458" t="n">
        <v>0.294</v>
      </c>
      <c r="ET17" s="458" t="n">
        <v>0.2901</v>
      </c>
      <c r="EU17" s="458" t="n">
        <v>0.2862</v>
      </c>
      <c r="EV17" s="458" t="n">
        <v>0.2823</v>
      </c>
      <c r="EW17" s="458" t="n">
        <v>0.2785</v>
      </c>
      <c r="EX17" s="458" t="n">
        <v>0.2748</v>
      </c>
      <c r="EY17" s="458" t="n">
        <v>0.2711</v>
      </c>
      <c r="EZ17" s="458" t="n">
        <v>0.2674</v>
      </c>
      <c r="FA17" s="458" t="n">
        <v>0.2638</v>
      </c>
      <c r="FB17" s="459" t="n">
        <v>0.2603</v>
      </c>
      <c r="FC17" s="459" t="n">
        <v>0.2568</v>
      </c>
      <c r="FD17" s="459" t="n">
        <v>0.2533</v>
      </c>
      <c r="FE17" s="459" t="n">
        <v>0.2499</v>
      </c>
      <c r="FF17" s="459" t="n">
        <v>0.2466</v>
      </c>
      <c r="FG17" s="459" t="n">
        <v>0.2432</v>
      </c>
      <c r="FH17" s="459" t="n">
        <v>0.24</v>
      </c>
      <c r="FI17" s="459" t="n">
        <v>0.2367</v>
      </c>
      <c r="FJ17" s="459" t="n">
        <v>0.2336</v>
      </c>
      <c r="FK17" s="459" t="n">
        <v>0.2304</v>
      </c>
      <c r="FL17" s="459" t="n">
        <v>0.2273</v>
      </c>
      <c r="FM17" s="459" t="n">
        <v>0.2243</v>
      </c>
      <c r="FN17" s="458" t="n">
        <v>0.2212</v>
      </c>
      <c r="FO17" s="458" t="n">
        <v>0.2183</v>
      </c>
      <c r="FP17" s="458" t="n">
        <v>0.2153</v>
      </c>
      <c r="FQ17" s="458" t="n">
        <v>0.2124</v>
      </c>
      <c r="FR17" s="458" t="n">
        <v>0.2096</v>
      </c>
      <c r="FS17" s="458" t="n">
        <v>0.2068</v>
      </c>
      <c r="FT17" s="458" t="n">
        <v>0.204</v>
      </c>
      <c r="FU17" s="458" t="n">
        <v>0.2012</v>
      </c>
      <c r="FV17" s="458" t="n">
        <v>0.1985</v>
      </c>
      <c r="FW17" s="458" t="n">
        <v>0.1959</v>
      </c>
      <c r="FX17" s="458" t="n">
        <v>0.1932</v>
      </c>
      <c r="FY17" s="458" t="n">
        <v>0.1906</v>
      </c>
      <c r="FZ17" s="306" t="n"/>
    </row>
    <row r="18" ht="15" customHeight="1" s="307">
      <c r="A18" s="468" t="inlineStr">
        <is>
          <t>Gross Profit</t>
        </is>
      </c>
      <c r="B18" s="469" t="n">
        <v>0</v>
      </c>
      <c r="C18" s="469" t="n">
        <v>0</v>
      </c>
      <c r="D18" s="469" t="n">
        <v>0</v>
      </c>
      <c r="E18" s="469" t="n">
        <v>1.6</v>
      </c>
      <c r="F18" s="469" t="n">
        <v>1.6311</v>
      </c>
      <c r="G18" s="469" t="n">
        <v>1.6611</v>
      </c>
      <c r="H18" s="469" t="n">
        <v>3.3899</v>
      </c>
      <c r="I18" s="469" t="n">
        <v>3.4507</v>
      </c>
      <c r="J18" s="469" t="n">
        <v>3.5093</v>
      </c>
      <c r="K18" s="469" t="n">
        <v>5.4469</v>
      </c>
      <c r="L18" s="469" t="n">
        <v>5.4892</v>
      </c>
      <c r="M18" s="469" t="n">
        <v>7.1544</v>
      </c>
      <c r="N18" s="470" t="n">
        <v>7.224</v>
      </c>
      <c r="O18" s="470" t="n">
        <v>7.239</v>
      </c>
      <c r="P18" s="470" t="n">
        <v>7.2522</v>
      </c>
      <c r="Q18" s="470" t="n">
        <v>8.8513</v>
      </c>
      <c r="R18" s="470" t="n">
        <v>8.835000000000001</v>
      </c>
      <c r="S18" s="470" t="n">
        <v>8.817600000000001</v>
      </c>
      <c r="T18" s="470" t="n">
        <v>8.7498</v>
      </c>
      <c r="U18" s="470" t="n">
        <v>8.6822</v>
      </c>
      <c r="V18" s="470" t="n">
        <v>8.6149</v>
      </c>
      <c r="W18" s="470" t="n">
        <v>8.547800000000001</v>
      </c>
      <c r="X18" s="470" t="n">
        <v>8.4328</v>
      </c>
      <c r="Y18" s="470" t="n">
        <v>9.8194</v>
      </c>
      <c r="Z18" s="469" t="n">
        <v>9.736599999999999</v>
      </c>
      <c r="AA18" s="469" t="n">
        <v>9.654299999999999</v>
      </c>
      <c r="AB18" s="469" t="n">
        <v>9.5724</v>
      </c>
      <c r="AC18" s="469" t="n">
        <v>9.491</v>
      </c>
      <c r="AD18" s="469" t="n">
        <v>9.4101</v>
      </c>
      <c r="AE18" s="469" t="n">
        <v>10.8296</v>
      </c>
      <c r="AF18" s="469" t="n">
        <v>10.7333</v>
      </c>
      <c r="AG18" s="469" t="n">
        <v>10.6375</v>
      </c>
      <c r="AH18" s="469" t="n">
        <v>10.5424</v>
      </c>
      <c r="AI18" s="469" t="n">
        <v>10.448</v>
      </c>
      <c r="AJ18" s="469" t="n">
        <v>10.3542</v>
      </c>
      <c r="AK18" s="469" t="n">
        <v>11.761</v>
      </c>
      <c r="AL18" s="470" t="n">
        <v>11.6521</v>
      </c>
      <c r="AM18" s="470" t="n">
        <v>11.544</v>
      </c>
      <c r="AN18" s="470" t="n">
        <v>11.4367</v>
      </c>
      <c r="AO18" s="470" t="n">
        <v>11.3303</v>
      </c>
      <c r="AP18" s="470" t="n">
        <v>11.2246</v>
      </c>
      <c r="AQ18" s="470" t="n">
        <v>11.1197</v>
      </c>
      <c r="AR18" s="470" t="n">
        <v>10.9701</v>
      </c>
      <c r="AS18" s="470" t="n">
        <v>10.8225</v>
      </c>
      <c r="AT18" s="470" t="n">
        <v>10.6769</v>
      </c>
      <c r="AU18" s="470" t="n">
        <v>10.5333</v>
      </c>
      <c r="AV18" s="470" t="n">
        <v>10.3916</v>
      </c>
      <c r="AW18" s="470" t="n">
        <v>10.2518</v>
      </c>
      <c r="AX18" s="469" t="n">
        <v>10.1139</v>
      </c>
      <c r="AY18" s="469" t="n">
        <v>9.9779</v>
      </c>
      <c r="AZ18" s="469" t="n">
        <v>9.8437</v>
      </c>
      <c r="BA18" s="469" t="n">
        <v>9.7112</v>
      </c>
      <c r="BB18" s="469" t="n">
        <v>9.5806</v>
      </c>
      <c r="BC18" s="469" t="n">
        <v>9.451700000000001</v>
      </c>
      <c r="BD18" s="469" t="n">
        <v>9.3246</v>
      </c>
      <c r="BE18" s="469" t="n">
        <v>9.199199999999999</v>
      </c>
      <c r="BF18" s="469" t="n">
        <v>9.0754</v>
      </c>
      <c r="BG18" s="469" t="n">
        <v>8.9533</v>
      </c>
      <c r="BH18" s="469" t="n">
        <v>8.8329</v>
      </c>
      <c r="BI18" s="469" t="n">
        <v>8.7141</v>
      </c>
      <c r="BJ18" s="470" t="n">
        <v>8.5968</v>
      </c>
      <c r="BK18" s="470" t="n">
        <v>8.481199999999999</v>
      </c>
      <c r="BL18" s="470" t="n">
        <v>8.367100000000001</v>
      </c>
      <c r="BM18" s="470" t="n">
        <v>8.2546</v>
      </c>
      <c r="BN18" s="470" t="n">
        <v>8.1435</v>
      </c>
      <c r="BO18" s="470" t="n">
        <v>8.034000000000001</v>
      </c>
      <c r="BP18" s="470" t="n">
        <v>7.9259</v>
      </c>
      <c r="BQ18" s="470" t="n">
        <v>7.8193</v>
      </c>
      <c r="BR18" s="470" t="n">
        <v>7.7141</v>
      </c>
      <c r="BS18" s="470" t="n">
        <v>7.6103</v>
      </c>
      <c r="BT18" s="470" t="n">
        <v>7.508</v>
      </c>
      <c r="BU18" s="470" t="n">
        <v>7.407</v>
      </c>
      <c r="BV18" s="469" t="n">
        <v>7.3073</v>
      </c>
      <c r="BW18" s="469" t="n">
        <v>7.209</v>
      </c>
      <c r="BX18" s="469" t="n">
        <v>7.112</v>
      </c>
      <c r="BY18" s="469" t="n">
        <v>7.0164</v>
      </c>
      <c r="BZ18" s="469" t="n">
        <v>6.922</v>
      </c>
      <c r="CA18" s="469" t="n">
        <v>6.8289</v>
      </c>
      <c r="CB18" s="469" t="n">
        <v>6.737</v>
      </c>
      <c r="CC18" s="469" t="n">
        <v>6.6464</v>
      </c>
      <c r="CD18" s="469" t="n">
        <v>6.557</v>
      </c>
      <c r="CE18" s="469" t="n">
        <v>6.4688</v>
      </c>
      <c r="CF18" s="469" t="n">
        <v>6.3818</v>
      </c>
      <c r="CG18" s="469" t="n">
        <v>6.2959</v>
      </c>
      <c r="CH18" s="470" t="n">
        <v>6.2112</v>
      </c>
      <c r="CI18" s="470" t="n">
        <v>6.1277</v>
      </c>
      <c r="CJ18" s="470" t="n">
        <v>6.0452</v>
      </c>
      <c r="CK18" s="470" t="n">
        <v>5.9639</v>
      </c>
      <c r="CL18" s="470" t="n">
        <v>5.8837</v>
      </c>
      <c r="CM18" s="470" t="n">
        <v>5.8045</v>
      </c>
      <c r="CN18" s="470" t="n">
        <v>5.7265</v>
      </c>
      <c r="CO18" s="470" t="n">
        <v>5.6494</v>
      </c>
      <c r="CP18" s="470" t="n">
        <v>5.5734</v>
      </c>
      <c r="CQ18" s="470" t="n">
        <v>5.4985</v>
      </c>
      <c r="CR18" s="470" t="n">
        <v>5.4245</v>
      </c>
      <c r="CS18" s="470" t="n">
        <v>5.3515</v>
      </c>
      <c r="CT18" s="469" t="n">
        <v>5.2795</v>
      </c>
      <c r="CU18" s="469" t="n">
        <v>5.2085</v>
      </c>
      <c r="CV18" s="469" t="n">
        <v>5.1385</v>
      </c>
      <c r="CW18" s="469" t="n">
        <v>5.0693</v>
      </c>
      <c r="CX18" s="469" t="n">
        <v>5.0011</v>
      </c>
      <c r="CY18" s="469" t="n">
        <v>4.9339</v>
      </c>
      <c r="CZ18" s="469" t="n">
        <v>4.8675</v>
      </c>
      <c r="DA18" s="469" t="n">
        <v>4.802</v>
      </c>
      <c r="DB18" s="469" t="n">
        <v>4.7374</v>
      </c>
      <c r="DC18" s="469" t="n">
        <v>4.6737</v>
      </c>
      <c r="DD18" s="469" t="n">
        <v>4.6108</v>
      </c>
      <c r="DE18" s="469" t="n">
        <v>4.5488</v>
      </c>
      <c r="DF18" s="470" t="n">
        <v>4.4876</v>
      </c>
      <c r="DG18" s="470" t="n">
        <v>4.4272</v>
      </c>
      <c r="DH18" s="470" t="n">
        <v>4.3677</v>
      </c>
      <c r="DI18" s="470" t="n">
        <v>4.3089</v>
      </c>
      <c r="DJ18" s="470" t="n">
        <v>4.251</v>
      </c>
      <c r="DK18" s="470" t="n">
        <v>4.1938</v>
      </c>
      <c r="DL18" s="470" t="n">
        <v>4.1374</v>
      </c>
      <c r="DM18" s="470" t="n">
        <v>4.0817</v>
      </c>
      <c r="DN18" s="470" t="n">
        <v>4.0268</v>
      </c>
      <c r="DO18" s="470" t="n">
        <v>3.9726</v>
      </c>
      <c r="DP18" s="470" t="n">
        <v>3.9192</v>
      </c>
      <c r="DQ18" s="470" t="n">
        <v>3.8665</v>
      </c>
      <c r="DR18" s="469" t="n">
        <v>3.8145</v>
      </c>
      <c r="DS18" s="469" t="n">
        <v>3.7632</v>
      </c>
      <c r="DT18" s="469" t="n">
        <v>3.7125</v>
      </c>
      <c r="DU18" s="469" t="n">
        <v>3.6626</v>
      </c>
      <c r="DV18" s="469" t="n">
        <v>3.6133</v>
      </c>
      <c r="DW18" s="469" t="n">
        <v>3.5647</v>
      </c>
      <c r="DX18" s="469" t="n">
        <v>3.5168</v>
      </c>
      <c r="DY18" s="469" t="n">
        <v>3.4695</v>
      </c>
      <c r="DZ18" s="469" t="n">
        <v>3.4228</v>
      </c>
      <c r="EA18" s="469" t="n">
        <v>3.3767</v>
      </c>
      <c r="EB18" s="469" t="n">
        <v>3.3313</v>
      </c>
      <c r="EC18" s="469" t="n">
        <v>3.2865</v>
      </c>
      <c r="ED18" s="470" t="n">
        <v>3.2423</v>
      </c>
      <c r="EE18" s="470" t="n">
        <v>3.1987</v>
      </c>
      <c r="EF18" s="470" t="n">
        <v>3.1557</v>
      </c>
      <c r="EG18" s="470" t="n">
        <v>3.1132</v>
      </c>
      <c r="EH18" s="470" t="n">
        <v>3.0713</v>
      </c>
      <c r="EI18" s="470" t="n">
        <v>3.03</v>
      </c>
      <c r="EJ18" s="470" t="n">
        <v>2.9892</v>
      </c>
      <c r="EK18" s="470" t="n">
        <v>2.949</v>
      </c>
      <c r="EL18" s="470" t="n">
        <v>2.9094</v>
      </c>
      <c r="EM18" s="470" t="n">
        <v>2.8702</v>
      </c>
      <c r="EN18" s="470" t="n">
        <v>2.8316</v>
      </c>
      <c r="EO18" s="470" t="n">
        <v>2.7935</v>
      </c>
      <c r="EP18" s="469" t="n">
        <v>2.756</v>
      </c>
      <c r="EQ18" s="469" t="n">
        <v>2.7189</v>
      </c>
      <c r="ER18" s="469" t="n">
        <v>2.6823</v>
      </c>
      <c r="ES18" s="469" t="n">
        <v>2.6462</v>
      </c>
      <c r="ET18" s="469" t="n">
        <v>2.6106</v>
      </c>
      <c r="EU18" s="469" t="n">
        <v>2.5755</v>
      </c>
      <c r="EV18" s="469" t="n">
        <v>2.5409</v>
      </c>
      <c r="EW18" s="469" t="n">
        <v>2.5067</v>
      </c>
      <c r="EX18" s="469" t="n">
        <v>2.473</v>
      </c>
      <c r="EY18" s="469" t="n">
        <v>2.4397</v>
      </c>
      <c r="EZ18" s="469" t="n">
        <v>2.4069</v>
      </c>
      <c r="FA18" s="469" t="n">
        <v>2.3745</v>
      </c>
      <c r="FB18" s="470" t="n">
        <v>2.3426</v>
      </c>
      <c r="FC18" s="470" t="n">
        <v>2.311</v>
      </c>
      <c r="FD18" s="470" t="n">
        <v>2.28</v>
      </c>
      <c r="FE18" s="470" t="n">
        <v>2.2493</v>
      </c>
      <c r="FF18" s="470" t="n">
        <v>2.219</v>
      </c>
      <c r="FG18" s="470" t="n">
        <v>2.1892</v>
      </c>
      <c r="FH18" s="470" t="n">
        <v>2.1597</v>
      </c>
      <c r="FI18" s="470" t="n">
        <v>2.1307</v>
      </c>
      <c r="FJ18" s="470" t="n">
        <v>2.102</v>
      </c>
      <c r="FK18" s="470" t="n">
        <v>2.0737</v>
      </c>
      <c r="FL18" s="470" t="n">
        <v>2.0458</v>
      </c>
      <c r="FM18" s="470" t="n">
        <v>2.0183</v>
      </c>
      <c r="FN18" s="469" t="n">
        <v>1.9912</v>
      </c>
      <c r="FO18" s="469" t="n">
        <v>1.9644</v>
      </c>
      <c r="FP18" s="469" t="n">
        <v>1.938</v>
      </c>
      <c r="FQ18" s="469" t="n">
        <v>1.9119</v>
      </c>
      <c r="FR18" s="469" t="n">
        <v>1.8862</v>
      </c>
      <c r="FS18" s="469" t="n">
        <v>1.8608</v>
      </c>
      <c r="FT18" s="469" t="n">
        <v>1.8358</v>
      </c>
      <c r="FU18" s="469" t="n">
        <v>1.8111</v>
      </c>
      <c r="FV18" s="469" t="n">
        <v>1.7867</v>
      </c>
      <c r="FW18" s="469" t="n">
        <v>1.7627</v>
      </c>
      <c r="FX18" s="469" t="n">
        <v>1.739</v>
      </c>
      <c r="FY18" s="469" t="n">
        <v>1.7156</v>
      </c>
      <c r="FZ18" s="306" t="n"/>
    </row>
    <row r="19" ht="15" customHeight="1" s="307">
      <c r="A19" s="322" t="n"/>
      <c r="B19" s="466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466" t="n"/>
      <c r="L19" s="466" t="n"/>
      <c r="M19" s="466" t="n"/>
      <c r="N19" s="466" t="n"/>
      <c r="O19" s="466" t="n"/>
      <c r="P19" s="466" t="n"/>
      <c r="Q19" s="466" t="n"/>
      <c r="R19" s="466" t="n"/>
      <c r="S19" s="466" t="n"/>
      <c r="T19" s="466" t="n"/>
      <c r="U19" s="466" t="n"/>
      <c r="V19" s="466" t="n"/>
      <c r="W19" s="466" t="n"/>
      <c r="X19" s="466" t="n"/>
      <c r="Y19" s="466" t="n"/>
      <c r="Z19" s="466" t="n"/>
      <c r="AA19" s="466" t="n"/>
      <c r="AB19" s="466" t="n"/>
      <c r="AC19" s="466" t="n"/>
      <c r="AD19" s="466" t="n"/>
      <c r="AE19" s="466" t="n"/>
      <c r="AF19" s="466" t="n"/>
      <c r="AG19" s="466" t="n"/>
      <c r="AH19" s="466" t="n"/>
      <c r="AI19" s="466" t="n"/>
      <c r="AJ19" s="466" t="n"/>
      <c r="AK19" s="466" t="n"/>
      <c r="AL19" s="466" t="n"/>
      <c r="AM19" s="466" t="n"/>
      <c r="AN19" s="466" t="n"/>
      <c r="AO19" s="466" t="n"/>
      <c r="AP19" s="466" t="n"/>
      <c r="AQ19" s="466" t="n"/>
      <c r="AR19" s="466" t="n"/>
      <c r="AS19" s="466" t="n"/>
      <c r="AT19" s="466" t="n"/>
      <c r="AU19" s="466" t="n"/>
      <c r="AV19" s="466" t="n"/>
      <c r="AW19" s="466" t="n"/>
      <c r="AX19" s="466" t="n"/>
      <c r="AY19" s="466" t="n"/>
      <c r="AZ19" s="466" t="n"/>
      <c r="BA19" s="466" t="n"/>
      <c r="BB19" s="466" t="n"/>
      <c r="BC19" s="466" t="n"/>
      <c r="BD19" s="466" t="n"/>
      <c r="BE19" s="466" t="n"/>
      <c r="BF19" s="466" t="n"/>
      <c r="BG19" s="466" t="n"/>
      <c r="BH19" s="466" t="n"/>
      <c r="BI19" s="466" t="n"/>
      <c r="BJ19" s="466" t="n"/>
      <c r="BK19" s="466" t="n"/>
      <c r="BL19" s="466" t="n"/>
      <c r="BM19" s="466" t="n"/>
      <c r="BN19" s="466" t="n"/>
      <c r="BO19" s="466" t="n"/>
      <c r="BP19" s="466" t="n"/>
      <c r="BQ19" s="466" t="n"/>
      <c r="BR19" s="466" t="n"/>
      <c r="BS19" s="466" t="n"/>
      <c r="BT19" s="466" t="n"/>
      <c r="BU19" s="466" t="n"/>
      <c r="BV19" s="466" t="n"/>
      <c r="BW19" s="466" t="n"/>
      <c r="BX19" s="466" t="n"/>
      <c r="BY19" s="466" t="n"/>
      <c r="BZ19" s="466" t="n"/>
      <c r="CA19" s="466" t="n"/>
      <c r="CB19" s="466" t="n"/>
      <c r="CC19" s="466" t="n"/>
      <c r="CD19" s="466" t="n"/>
      <c r="CE19" s="466" t="n"/>
      <c r="CF19" s="466" t="n"/>
      <c r="CG19" s="466" t="n"/>
      <c r="CH19" s="466" t="n"/>
      <c r="CI19" s="466" t="n"/>
      <c r="CJ19" s="466" t="n"/>
      <c r="CK19" s="466" t="n"/>
      <c r="CL19" s="466" t="n"/>
      <c r="CM19" s="466" t="n"/>
      <c r="CN19" s="466" t="n"/>
      <c r="CO19" s="466" t="n"/>
      <c r="CP19" s="466" t="n"/>
      <c r="CQ19" s="466" t="n"/>
      <c r="CR19" s="466" t="n"/>
      <c r="CS19" s="466" t="n"/>
      <c r="CT19" s="466" t="n"/>
      <c r="CU19" s="466" t="n"/>
      <c r="CV19" s="466" t="n"/>
      <c r="CW19" s="466" t="n"/>
      <c r="CX19" s="466" t="n"/>
      <c r="CY19" s="466" t="n"/>
      <c r="CZ19" s="466" t="n"/>
      <c r="DA19" s="466" t="n"/>
      <c r="DB19" s="466" t="n"/>
      <c r="DC19" s="466" t="n"/>
      <c r="DD19" s="466" t="n"/>
      <c r="DE19" s="466" t="n"/>
      <c r="DF19" s="466" t="n"/>
      <c r="DG19" s="466" t="n"/>
      <c r="DH19" s="466" t="n"/>
      <c r="DI19" s="466" t="n"/>
      <c r="DJ19" s="466" t="n"/>
      <c r="DK19" s="466" t="n"/>
      <c r="DL19" s="466" t="n"/>
      <c r="DM19" s="466" t="n"/>
      <c r="DN19" s="466" t="n"/>
      <c r="DO19" s="466" t="n"/>
      <c r="DP19" s="466" t="n"/>
      <c r="DQ19" s="466" t="n"/>
      <c r="DR19" s="466" t="n"/>
      <c r="DS19" s="466" t="n"/>
      <c r="DT19" s="466" t="n"/>
      <c r="DU19" s="466" t="n"/>
      <c r="DV19" s="466" t="n"/>
      <c r="DW19" s="466" t="n"/>
      <c r="DX19" s="466" t="n"/>
      <c r="DY19" s="466" t="n"/>
      <c r="DZ19" s="466" t="n"/>
      <c r="EA19" s="466" t="n"/>
      <c r="EB19" s="466" t="n"/>
      <c r="EC19" s="466" t="n"/>
      <c r="ED19" s="466" t="n"/>
      <c r="EE19" s="466" t="n"/>
      <c r="EF19" s="466" t="n"/>
      <c r="EG19" s="466" t="n"/>
      <c r="EH19" s="466" t="n"/>
      <c r="EI19" s="466" t="n"/>
      <c r="EJ19" s="466" t="n"/>
      <c r="EK19" s="466" t="n"/>
      <c r="EL19" s="466" t="n"/>
      <c r="EM19" s="466" t="n"/>
      <c r="EN19" s="466" t="n"/>
      <c r="EO19" s="466" t="n"/>
      <c r="EP19" s="466" t="n"/>
      <c r="EQ19" s="466" t="n"/>
      <c r="ER19" s="466" t="n"/>
      <c r="ES19" s="466" t="n"/>
      <c r="ET19" s="466" t="n"/>
      <c r="EU19" s="466" t="n"/>
      <c r="EV19" s="466" t="n"/>
      <c r="EW19" s="466" t="n"/>
      <c r="EX19" s="466" t="n"/>
      <c r="EY19" s="466" t="n"/>
      <c r="EZ19" s="466" t="n"/>
      <c r="FA19" s="466" t="n"/>
      <c r="FB19" s="466" t="n"/>
      <c r="FC19" s="466" t="n"/>
      <c r="FD19" s="466" t="n"/>
      <c r="FE19" s="466" t="n"/>
      <c r="FF19" s="466" t="n"/>
      <c r="FG19" s="466" t="n"/>
      <c r="FH19" s="466" t="n"/>
      <c r="FI19" s="466" t="n"/>
      <c r="FJ19" s="466" t="n"/>
      <c r="FK19" s="466" t="n"/>
      <c r="FL19" s="466" t="n"/>
      <c r="FM19" s="466" t="n"/>
      <c r="FN19" s="466" t="n"/>
      <c r="FO19" s="466" t="n"/>
      <c r="FP19" s="466" t="n"/>
      <c r="FQ19" s="466" t="n"/>
      <c r="FR19" s="466" t="n"/>
      <c r="FS19" s="466" t="n"/>
      <c r="FT19" s="466" t="n"/>
      <c r="FU19" s="466" t="n"/>
      <c r="FV19" s="466" t="n"/>
      <c r="FW19" s="466" t="n"/>
      <c r="FX19" s="466" t="n"/>
      <c r="FY19" s="466" t="n"/>
      <c r="FZ19" s="306" t="n"/>
    </row>
    <row r="20" ht="15" customHeight="1" s="307">
      <c r="A20" s="321" t="inlineStr">
        <is>
          <t xml:space="preserve">    Vendor Costs</t>
        </is>
      </c>
      <c r="B20" s="458" t="n">
        <v>0</v>
      </c>
      <c r="C20" s="458" t="n">
        <v>0</v>
      </c>
      <c r="D20" s="458" t="n">
        <v>0</v>
      </c>
      <c r="E20" s="458" t="n">
        <v>0.2133</v>
      </c>
      <c r="F20" s="458" t="n">
        <v>0.1929</v>
      </c>
      <c r="G20" s="458" t="n">
        <v>0.173</v>
      </c>
      <c r="H20" s="458" t="n">
        <v>0.3803</v>
      </c>
      <c r="I20" s="458" t="n">
        <v>0.3397</v>
      </c>
      <c r="J20" s="458" t="n">
        <v>0.3001</v>
      </c>
      <c r="K20" s="458" t="n">
        <v>0.5124</v>
      </c>
      <c r="L20" s="458" t="n">
        <v>0.467</v>
      </c>
      <c r="M20" s="458" t="n">
        <v>0.6394</v>
      </c>
      <c r="N20" s="459" t="n">
        <v>0.5755</v>
      </c>
      <c r="O20" s="459" t="n">
        <v>0.5304</v>
      </c>
      <c r="P20" s="459" t="n">
        <v>0.4864</v>
      </c>
      <c r="Q20" s="459" t="n">
        <v>0.6551</v>
      </c>
      <c r="R20" s="459" t="n">
        <v>0.612</v>
      </c>
      <c r="S20" s="459" t="n">
        <v>0.57</v>
      </c>
      <c r="T20" s="459" t="n">
        <v>0.5454</v>
      </c>
      <c r="U20" s="459" t="n">
        <v>0.5213</v>
      </c>
      <c r="V20" s="459" t="n">
        <v>0.4978</v>
      </c>
      <c r="W20" s="459" t="n">
        <v>0.4749</v>
      </c>
      <c r="X20" s="459" t="n">
        <v>0.4685</v>
      </c>
      <c r="Y20" s="459" t="n">
        <v>0.6622</v>
      </c>
      <c r="Z20" s="458" t="n">
        <v>0.6368</v>
      </c>
      <c r="AA20" s="458" t="n">
        <v>0.612</v>
      </c>
      <c r="AB20" s="458" t="n">
        <v>0.5878</v>
      </c>
      <c r="AC20" s="458" t="n">
        <v>0.5641</v>
      </c>
      <c r="AD20" s="458" t="n">
        <v>0.541</v>
      </c>
      <c r="AE20" s="458" t="n">
        <v>0.7183</v>
      </c>
      <c r="AF20" s="458" t="n">
        <v>0.6922</v>
      </c>
      <c r="AG20" s="458" t="n">
        <v>0.6667</v>
      </c>
      <c r="AH20" s="458" t="n">
        <v>0.6417</v>
      </c>
      <c r="AI20" s="458" t="n">
        <v>0.6173</v>
      </c>
      <c r="AJ20" s="458" t="n">
        <v>0.5934</v>
      </c>
      <c r="AK20" s="458" t="n">
        <v>0.7701</v>
      </c>
      <c r="AL20" s="459" t="n">
        <v>0.7433</v>
      </c>
      <c r="AM20" s="459" t="n">
        <v>0.717</v>
      </c>
      <c r="AN20" s="459" t="n">
        <v>0.6914</v>
      </c>
      <c r="AO20" s="459" t="n">
        <v>0.6663</v>
      </c>
      <c r="AP20" s="459" t="n">
        <v>0.6418</v>
      </c>
      <c r="AQ20" s="459" t="n">
        <v>0.6178</v>
      </c>
      <c r="AR20" s="459" t="n">
        <v>0.6094000000000001</v>
      </c>
      <c r="AS20" s="459" t="n">
        <v>0.6012999999999999</v>
      </c>
      <c r="AT20" s="459" t="n">
        <v>0.5931999999999999</v>
      </c>
      <c r="AU20" s="459" t="n">
        <v>0.5852000000000001</v>
      </c>
      <c r="AV20" s="459" t="n">
        <v>0.5773</v>
      </c>
      <c r="AW20" s="459" t="n">
        <v>0.5695</v>
      </c>
      <c r="AX20" s="458" t="n">
        <v>0.5619</v>
      </c>
      <c r="AY20" s="458" t="n">
        <v>0.5543</v>
      </c>
      <c r="AZ20" s="458" t="n">
        <v>0.5469000000000001</v>
      </c>
      <c r="BA20" s="458" t="n">
        <v>0.5395</v>
      </c>
      <c r="BB20" s="458" t="n">
        <v>0.5323</v>
      </c>
      <c r="BC20" s="458" t="n">
        <v>0.5251</v>
      </c>
      <c r="BD20" s="458" t="n">
        <v>0.518</v>
      </c>
      <c r="BE20" s="458" t="n">
        <v>0.5111</v>
      </c>
      <c r="BF20" s="458" t="n">
        <v>0.5042</v>
      </c>
      <c r="BG20" s="458" t="n">
        <v>0.4974</v>
      </c>
      <c r="BH20" s="458" t="n">
        <v>0.4907</v>
      </c>
      <c r="BI20" s="458" t="n">
        <v>0.4841</v>
      </c>
      <c r="BJ20" s="459" t="n">
        <v>0.4776</v>
      </c>
      <c r="BK20" s="459" t="n">
        <v>0.4712</v>
      </c>
      <c r="BL20" s="459" t="n">
        <v>0.4648</v>
      </c>
      <c r="BM20" s="459" t="n">
        <v>0.4586</v>
      </c>
      <c r="BN20" s="459" t="n">
        <v>0.4524</v>
      </c>
      <c r="BO20" s="459" t="n">
        <v>0.4463</v>
      </c>
      <c r="BP20" s="459" t="n">
        <v>0.4403</v>
      </c>
      <c r="BQ20" s="459" t="n">
        <v>0.4344</v>
      </c>
      <c r="BR20" s="459" t="n">
        <v>0.4286</v>
      </c>
      <c r="BS20" s="459" t="n">
        <v>0.4228</v>
      </c>
      <c r="BT20" s="459" t="n">
        <v>0.4171</v>
      </c>
      <c r="BU20" s="459" t="n">
        <v>0.4115</v>
      </c>
      <c r="BV20" s="458" t="n">
        <v>0.406</v>
      </c>
      <c r="BW20" s="458" t="n">
        <v>0.4005</v>
      </c>
      <c r="BX20" s="458" t="n">
        <v>0.3951</v>
      </c>
      <c r="BY20" s="458" t="n">
        <v>0.3898</v>
      </c>
      <c r="BZ20" s="458" t="n">
        <v>0.3846</v>
      </c>
      <c r="CA20" s="458" t="n">
        <v>0.3794</v>
      </c>
      <c r="CB20" s="458" t="n">
        <v>0.3743</v>
      </c>
      <c r="CC20" s="458" t="n">
        <v>0.3692</v>
      </c>
      <c r="CD20" s="458" t="n">
        <v>0.3643</v>
      </c>
      <c r="CE20" s="458" t="n">
        <v>0.3594</v>
      </c>
      <c r="CF20" s="458" t="n">
        <v>0.3545</v>
      </c>
      <c r="CG20" s="458" t="n">
        <v>0.3498</v>
      </c>
      <c r="CH20" s="459" t="n">
        <v>0.3451</v>
      </c>
      <c r="CI20" s="459" t="n">
        <v>0.3404</v>
      </c>
      <c r="CJ20" s="459" t="n">
        <v>0.3358</v>
      </c>
      <c r="CK20" s="459" t="n">
        <v>0.3313</v>
      </c>
      <c r="CL20" s="459" t="n">
        <v>0.3269</v>
      </c>
      <c r="CM20" s="459" t="n">
        <v>0.3225</v>
      </c>
      <c r="CN20" s="459" t="n">
        <v>0.3181</v>
      </c>
      <c r="CO20" s="459" t="n">
        <v>0.3139</v>
      </c>
      <c r="CP20" s="459" t="n">
        <v>0.3096</v>
      </c>
      <c r="CQ20" s="459" t="n">
        <v>0.3055</v>
      </c>
      <c r="CR20" s="459" t="n">
        <v>0.3014</v>
      </c>
      <c r="CS20" s="459" t="n">
        <v>0.2973</v>
      </c>
      <c r="CT20" s="458" t="n">
        <v>0.2933</v>
      </c>
      <c r="CU20" s="458" t="n">
        <v>0.2894</v>
      </c>
      <c r="CV20" s="458" t="n">
        <v>0.2855</v>
      </c>
      <c r="CW20" s="458" t="n">
        <v>0.2816</v>
      </c>
      <c r="CX20" s="458" t="n">
        <v>0.2778</v>
      </c>
      <c r="CY20" s="458" t="n">
        <v>0.2741</v>
      </c>
      <c r="CZ20" s="458" t="n">
        <v>0.2704</v>
      </c>
      <c r="DA20" s="458" t="n">
        <v>0.2668</v>
      </c>
      <c r="DB20" s="458" t="n">
        <v>0.2632</v>
      </c>
      <c r="DC20" s="458" t="n">
        <v>0.2596</v>
      </c>
      <c r="DD20" s="458" t="n">
        <v>0.2562</v>
      </c>
      <c r="DE20" s="458" t="n">
        <v>0.2527</v>
      </c>
      <c r="DF20" s="459" t="n">
        <v>0.2493</v>
      </c>
      <c r="DG20" s="459" t="n">
        <v>0.246</v>
      </c>
      <c r="DH20" s="459" t="n">
        <v>0.2426</v>
      </c>
      <c r="DI20" s="459" t="n">
        <v>0.2394</v>
      </c>
      <c r="DJ20" s="459" t="n">
        <v>0.2362</v>
      </c>
      <c r="DK20" s="459" t="n">
        <v>0.233</v>
      </c>
      <c r="DL20" s="459" t="n">
        <v>0.2299</v>
      </c>
      <c r="DM20" s="459" t="n">
        <v>0.2268</v>
      </c>
      <c r="DN20" s="459" t="n">
        <v>0.2237</v>
      </c>
      <c r="DO20" s="459" t="n">
        <v>0.2207</v>
      </c>
      <c r="DP20" s="459" t="n">
        <v>0.2177</v>
      </c>
      <c r="DQ20" s="459" t="n">
        <v>0.2148</v>
      </c>
      <c r="DR20" s="458" t="n">
        <v>0.2119</v>
      </c>
      <c r="DS20" s="458" t="n">
        <v>0.2091</v>
      </c>
      <c r="DT20" s="458" t="n">
        <v>0.2063</v>
      </c>
      <c r="DU20" s="458" t="n">
        <v>0.2035</v>
      </c>
      <c r="DV20" s="458" t="n">
        <v>0.2007</v>
      </c>
      <c r="DW20" s="458" t="n">
        <v>0.198</v>
      </c>
      <c r="DX20" s="458" t="n">
        <v>0.1954</v>
      </c>
      <c r="DY20" s="458" t="n">
        <v>0.1927</v>
      </c>
      <c r="DZ20" s="458" t="n">
        <v>0.1902</v>
      </c>
      <c r="EA20" s="458" t="n">
        <v>0.1876</v>
      </c>
      <c r="EB20" s="458" t="n">
        <v>0.1851</v>
      </c>
      <c r="EC20" s="458" t="n">
        <v>0.1826</v>
      </c>
      <c r="ED20" s="459" t="n">
        <v>0.1801</v>
      </c>
      <c r="EE20" s="459" t="n">
        <v>0.1777</v>
      </c>
      <c r="EF20" s="459" t="n">
        <v>0.1753</v>
      </c>
      <c r="EG20" s="459" t="n">
        <v>0.173</v>
      </c>
      <c r="EH20" s="459" t="n">
        <v>0.1706</v>
      </c>
      <c r="EI20" s="459" t="n">
        <v>0.1683</v>
      </c>
      <c r="EJ20" s="459" t="n">
        <v>0.1661</v>
      </c>
      <c r="EK20" s="459" t="n">
        <v>0.1638</v>
      </c>
      <c r="EL20" s="459" t="n">
        <v>0.1616</v>
      </c>
      <c r="EM20" s="459" t="n">
        <v>0.1595</v>
      </c>
      <c r="EN20" s="459" t="n">
        <v>0.1573</v>
      </c>
      <c r="EO20" s="459" t="n">
        <v>0.1552</v>
      </c>
      <c r="EP20" s="458" t="n">
        <v>0.1531</v>
      </c>
      <c r="EQ20" s="458" t="n">
        <v>0.151</v>
      </c>
      <c r="ER20" s="458" t="n">
        <v>0.149</v>
      </c>
      <c r="ES20" s="458" t="n">
        <v>0.147</v>
      </c>
      <c r="ET20" s="458" t="n">
        <v>0.145</v>
      </c>
      <c r="EU20" s="458" t="n">
        <v>0.1431</v>
      </c>
      <c r="EV20" s="458" t="n">
        <v>0.1412</v>
      </c>
      <c r="EW20" s="458" t="n">
        <v>0.1393</v>
      </c>
      <c r="EX20" s="458" t="n">
        <v>0.1374</v>
      </c>
      <c r="EY20" s="458" t="n">
        <v>0.1355</v>
      </c>
      <c r="EZ20" s="458" t="n">
        <v>0.1337</v>
      </c>
      <c r="FA20" s="458" t="n">
        <v>0.1319</v>
      </c>
      <c r="FB20" s="459" t="n">
        <v>0.1301</v>
      </c>
      <c r="FC20" s="459" t="n">
        <v>0.1284</v>
      </c>
      <c r="FD20" s="459" t="n">
        <v>0.1267</v>
      </c>
      <c r="FE20" s="459" t="n">
        <v>0.125</v>
      </c>
      <c r="FF20" s="459" t="n">
        <v>0.1233</v>
      </c>
      <c r="FG20" s="459" t="n">
        <v>0.1216</v>
      </c>
      <c r="FH20" s="459" t="n">
        <v>0.12</v>
      </c>
      <c r="FI20" s="459" t="n">
        <v>0.1184</v>
      </c>
      <c r="FJ20" s="459" t="n">
        <v>0.1168</v>
      </c>
      <c r="FK20" s="459" t="n">
        <v>0.1152</v>
      </c>
      <c r="FL20" s="459" t="n">
        <v>0.1137</v>
      </c>
      <c r="FM20" s="459" t="n">
        <v>0.1121</v>
      </c>
      <c r="FN20" s="458" t="n">
        <v>0.1106</v>
      </c>
      <c r="FO20" s="458" t="n">
        <v>0.1091</v>
      </c>
      <c r="FP20" s="458" t="n">
        <v>0.1077</v>
      </c>
      <c r="FQ20" s="458" t="n">
        <v>0.1062</v>
      </c>
      <c r="FR20" s="458" t="n">
        <v>0.1048</v>
      </c>
      <c r="FS20" s="458" t="n">
        <v>0.1034</v>
      </c>
      <c r="FT20" s="458" t="n">
        <v>0.102</v>
      </c>
      <c r="FU20" s="458" t="n">
        <v>0.1006</v>
      </c>
      <c r="FV20" s="458" t="n">
        <v>0.0993</v>
      </c>
      <c r="FW20" s="458" t="n">
        <v>0.0979</v>
      </c>
      <c r="FX20" s="458" t="n">
        <v>0.09660000000000001</v>
      </c>
      <c r="FY20" s="458" t="n">
        <v>0.0953</v>
      </c>
      <c r="FZ20" s="306" t="n"/>
    </row>
    <row r="21" ht="15" customHeight="1" s="307">
      <c r="A21" s="321" t="inlineStr">
        <is>
          <t xml:space="preserve">    Corporate Allocation</t>
        </is>
      </c>
      <c r="B21" s="458" t="n">
        <v>0</v>
      </c>
      <c r="C21" s="458" t="n">
        <v>0</v>
      </c>
      <c r="D21" s="458" t="n">
        <v>0</v>
      </c>
      <c r="E21" s="458" t="n">
        <v>0.128</v>
      </c>
      <c r="F21" s="458" t="n">
        <v>0.1263</v>
      </c>
      <c r="G21" s="458" t="n">
        <v>0.1246</v>
      </c>
      <c r="H21" s="458" t="n">
        <v>0.2589</v>
      </c>
      <c r="I21" s="458" t="n">
        <v>0.2554</v>
      </c>
      <c r="J21" s="458" t="n">
        <v>0.252</v>
      </c>
      <c r="K21" s="458" t="n">
        <v>0.3991</v>
      </c>
      <c r="L21" s="458" t="n">
        <v>0.3937</v>
      </c>
      <c r="M21" s="458" t="n">
        <v>0.5184</v>
      </c>
      <c r="N21" s="459" t="n">
        <v>0.5115</v>
      </c>
      <c r="O21" s="459" t="n">
        <v>0.5046</v>
      </c>
      <c r="P21" s="459" t="n">
        <v>0.4978</v>
      </c>
      <c r="Q21" s="459" t="n">
        <v>0.6181</v>
      </c>
      <c r="R21" s="459" t="n">
        <v>0.6098</v>
      </c>
      <c r="S21" s="459" t="n">
        <v>0.6016</v>
      </c>
      <c r="T21" s="459" t="n">
        <v>0.5935</v>
      </c>
      <c r="U21" s="459" t="n">
        <v>0.5855</v>
      </c>
      <c r="V21" s="459" t="n">
        <v>0.5776</v>
      </c>
      <c r="W21" s="459" t="n">
        <v>0.5699</v>
      </c>
      <c r="X21" s="459" t="n">
        <v>0.5622</v>
      </c>
      <c r="Y21" s="459" t="n">
        <v>0.6746</v>
      </c>
      <c r="Z21" s="458" t="n">
        <v>0.6655</v>
      </c>
      <c r="AA21" s="458" t="n">
        <v>0.6566</v>
      </c>
      <c r="AB21" s="458" t="n">
        <v>0.6478</v>
      </c>
      <c r="AC21" s="458" t="n">
        <v>0.6391</v>
      </c>
      <c r="AD21" s="458" t="n">
        <v>0.6304999999999999</v>
      </c>
      <c r="AE21" s="458" t="n">
        <v>0.742</v>
      </c>
      <c r="AF21" s="458" t="n">
        <v>0.732</v>
      </c>
      <c r="AG21" s="458" t="n">
        <v>0.7221</v>
      </c>
      <c r="AH21" s="458" t="n">
        <v>0.7124</v>
      </c>
      <c r="AI21" s="458" t="n">
        <v>0.7028</v>
      </c>
      <c r="AJ21" s="458" t="n">
        <v>0.6934</v>
      </c>
      <c r="AK21" s="458" t="n">
        <v>0.8041</v>
      </c>
      <c r="AL21" s="459" t="n">
        <v>0.7932</v>
      </c>
      <c r="AM21" s="459" t="n">
        <v>0.7826</v>
      </c>
      <c r="AN21" s="459" t="n">
        <v>0.7721</v>
      </c>
      <c r="AO21" s="459" t="n">
        <v>0.7617</v>
      </c>
      <c r="AP21" s="459" t="n">
        <v>0.7514</v>
      </c>
      <c r="AQ21" s="459" t="n">
        <v>0.7413</v>
      </c>
      <c r="AR21" s="459" t="n">
        <v>0.7313</v>
      </c>
      <c r="AS21" s="459" t="n">
        <v>0.7215</v>
      </c>
      <c r="AT21" s="459" t="n">
        <v>0.7118</v>
      </c>
      <c r="AU21" s="459" t="n">
        <v>0.7022</v>
      </c>
      <c r="AV21" s="459" t="n">
        <v>0.6928</v>
      </c>
      <c r="AW21" s="459" t="n">
        <v>0.6835</v>
      </c>
      <c r="AX21" s="458" t="n">
        <v>0.6743</v>
      </c>
      <c r="AY21" s="458" t="n">
        <v>0.6652</v>
      </c>
      <c r="AZ21" s="458" t="n">
        <v>0.6562</v>
      </c>
      <c r="BA21" s="458" t="n">
        <v>0.6474</v>
      </c>
      <c r="BB21" s="458" t="n">
        <v>0.6387</v>
      </c>
      <c r="BC21" s="458" t="n">
        <v>0.6301</v>
      </c>
      <c r="BD21" s="458" t="n">
        <v>0.6216</v>
      </c>
      <c r="BE21" s="458" t="n">
        <v>0.6133</v>
      </c>
      <c r="BF21" s="458" t="n">
        <v>0.605</v>
      </c>
      <c r="BG21" s="458" t="n">
        <v>0.5969</v>
      </c>
      <c r="BH21" s="458" t="n">
        <v>0.5889</v>
      </c>
      <c r="BI21" s="458" t="n">
        <v>0.5809</v>
      </c>
      <c r="BJ21" s="459" t="n">
        <v>0.5731000000000001</v>
      </c>
      <c r="BK21" s="459" t="n">
        <v>0.5654</v>
      </c>
      <c r="BL21" s="459" t="n">
        <v>0.5578</v>
      </c>
      <c r="BM21" s="459" t="n">
        <v>0.5503</v>
      </c>
      <c r="BN21" s="459" t="n">
        <v>0.5429</v>
      </c>
      <c r="BO21" s="459" t="n">
        <v>0.5356</v>
      </c>
      <c r="BP21" s="459" t="n">
        <v>0.5284</v>
      </c>
      <c r="BQ21" s="459" t="n">
        <v>0.5213</v>
      </c>
      <c r="BR21" s="459" t="n">
        <v>0.5143</v>
      </c>
      <c r="BS21" s="459" t="n">
        <v>0.5074</v>
      </c>
      <c r="BT21" s="459" t="n">
        <v>0.5004999999999999</v>
      </c>
      <c r="BU21" s="459" t="n">
        <v>0.4938</v>
      </c>
      <c r="BV21" s="458" t="n">
        <v>0.4872</v>
      </c>
      <c r="BW21" s="458" t="n">
        <v>0.4806</v>
      </c>
      <c r="BX21" s="458" t="n">
        <v>0.4741</v>
      </c>
      <c r="BY21" s="458" t="n">
        <v>0.4678</v>
      </c>
      <c r="BZ21" s="458" t="n">
        <v>0.4615</v>
      </c>
      <c r="CA21" s="458" t="n">
        <v>0.4553</v>
      </c>
      <c r="CB21" s="458" t="n">
        <v>0.4491</v>
      </c>
      <c r="CC21" s="458" t="n">
        <v>0.4431</v>
      </c>
      <c r="CD21" s="458" t="n">
        <v>0.4371</v>
      </c>
      <c r="CE21" s="458" t="n">
        <v>0.4313</v>
      </c>
      <c r="CF21" s="458" t="n">
        <v>0.4255</v>
      </c>
      <c r="CG21" s="458" t="n">
        <v>0.4197</v>
      </c>
      <c r="CH21" s="459" t="n">
        <v>0.4141</v>
      </c>
      <c r="CI21" s="459" t="n">
        <v>0.4085</v>
      </c>
      <c r="CJ21" s="459" t="n">
        <v>0.403</v>
      </c>
      <c r="CK21" s="459" t="n">
        <v>0.3976</v>
      </c>
      <c r="CL21" s="459" t="n">
        <v>0.3922</v>
      </c>
      <c r="CM21" s="459" t="n">
        <v>0.387</v>
      </c>
      <c r="CN21" s="459" t="n">
        <v>0.3818</v>
      </c>
      <c r="CO21" s="459" t="n">
        <v>0.3766</v>
      </c>
      <c r="CP21" s="459" t="n">
        <v>0.3716</v>
      </c>
      <c r="CQ21" s="459" t="n">
        <v>0.3666</v>
      </c>
      <c r="CR21" s="459" t="n">
        <v>0.3616</v>
      </c>
      <c r="CS21" s="459" t="n">
        <v>0.3568</v>
      </c>
      <c r="CT21" s="458" t="n">
        <v>0.352</v>
      </c>
      <c r="CU21" s="458" t="n">
        <v>0.3472</v>
      </c>
      <c r="CV21" s="458" t="n">
        <v>0.3426</v>
      </c>
      <c r="CW21" s="458" t="n">
        <v>0.338</v>
      </c>
      <c r="CX21" s="458" t="n">
        <v>0.3334</v>
      </c>
      <c r="CY21" s="458" t="n">
        <v>0.3289</v>
      </c>
      <c r="CZ21" s="458" t="n">
        <v>0.3245</v>
      </c>
      <c r="DA21" s="458" t="n">
        <v>0.3201</v>
      </c>
      <c r="DB21" s="458" t="n">
        <v>0.3158</v>
      </c>
      <c r="DC21" s="458" t="n">
        <v>0.3116</v>
      </c>
      <c r="DD21" s="458" t="n">
        <v>0.3074</v>
      </c>
      <c r="DE21" s="458" t="n">
        <v>0.3033</v>
      </c>
      <c r="DF21" s="459" t="n">
        <v>0.2992</v>
      </c>
      <c r="DG21" s="459" t="n">
        <v>0.2951</v>
      </c>
      <c r="DH21" s="459" t="n">
        <v>0.2912</v>
      </c>
      <c r="DI21" s="459" t="n">
        <v>0.2873</v>
      </c>
      <c r="DJ21" s="459" t="n">
        <v>0.2834</v>
      </c>
      <c r="DK21" s="459" t="n">
        <v>0.2796</v>
      </c>
      <c r="DL21" s="459" t="n">
        <v>0.2758</v>
      </c>
      <c r="DM21" s="459" t="n">
        <v>0.2721</v>
      </c>
      <c r="DN21" s="459" t="n">
        <v>0.2685</v>
      </c>
      <c r="DO21" s="459" t="n">
        <v>0.2648</v>
      </c>
      <c r="DP21" s="459" t="n">
        <v>0.2613</v>
      </c>
      <c r="DQ21" s="459" t="n">
        <v>0.2578</v>
      </c>
      <c r="DR21" s="458" t="n">
        <v>0.2543</v>
      </c>
      <c r="DS21" s="458" t="n">
        <v>0.2509</v>
      </c>
      <c r="DT21" s="458" t="n">
        <v>0.2475</v>
      </c>
      <c r="DU21" s="458" t="n">
        <v>0.2442</v>
      </c>
      <c r="DV21" s="458" t="n">
        <v>0.2409</v>
      </c>
      <c r="DW21" s="458" t="n">
        <v>0.2376</v>
      </c>
      <c r="DX21" s="458" t="n">
        <v>0.2345</v>
      </c>
      <c r="DY21" s="458" t="n">
        <v>0.2313</v>
      </c>
      <c r="DZ21" s="458" t="n">
        <v>0.2282</v>
      </c>
      <c r="EA21" s="458" t="n">
        <v>0.2251</v>
      </c>
      <c r="EB21" s="458" t="n">
        <v>0.2221</v>
      </c>
      <c r="EC21" s="458" t="n">
        <v>0.2191</v>
      </c>
      <c r="ED21" s="459" t="n">
        <v>0.2162</v>
      </c>
      <c r="EE21" s="459" t="n">
        <v>0.2132</v>
      </c>
      <c r="EF21" s="459" t="n">
        <v>0.2104</v>
      </c>
      <c r="EG21" s="459" t="n">
        <v>0.2075</v>
      </c>
      <c r="EH21" s="459" t="n">
        <v>0.2048</v>
      </c>
      <c r="EI21" s="459" t="n">
        <v>0.202</v>
      </c>
      <c r="EJ21" s="459" t="n">
        <v>0.1993</v>
      </c>
      <c r="EK21" s="459" t="n">
        <v>0.1966</v>
      </c>
      <c r="EL21" s="459" t="n">
        <v>0.194</v>
      </c>
      <c r="EM21" s="459" t="n">
        <v>0.1913</v>
      </c>
      <c r="EN21" s="459" t="n">
        <v>0.1888</v>
      </c>
      <c r="EO21" s="459" t="n">
        <v>0.1862</v>
      </c>
      <c r="EP21" s="458" t="n">
        <v>0.1837</v>
      </c>
      <c r="EQ21" s="458" t="n">
        <v>0.1813</v>
      </c>
      <c r="ER21" s="458" t="n">
        <v>0.1788</v>
      </c>
      <c r="ES21" s="458" t="n">
        <v>0.1764</v>
      </c>
      <c r="ET21" s="458" t="n">
        <v>0.174</v>
      </c>
      <c r="EU21" s="458" t="n">
        <v>0.1717</v>
      </c>
      <c r="EV21" s="458" t="n">
        <v>0.1694</v>
      </c>
      <c r="EW21" s="458" t="n">
        <v>0.1671</v>
      </c>
      <c r="EX21" s="458" t="n">
        <v>0.1649</v>
      </c>
      <c r="EY21" s="458" t="n">
        <v>0.1626</v>
      </c>
      <c r="EZ21" s="458" t="n">
        <v>0.1605</v>
      </c>
      <c r="FA21" s="458" t="n">
        <v>0.1583</v>
      </c>
      <c r="FB21" s="459" t="n">
        <v>0.1562</v>
      </c>
      <c r="FC21" s="459" t="n">
        <v>0.1541</v>
      </c>
      <c r="FD21" s="459" t="n">
        <v>0.152</v>
      </c>
      <c r="FE21" s="459" t="n">
        <v>0.15</v>
      </c>
      <c r="FF21" s="459" t="n">
        <v>0.1479</v>
      </c>
      <c r="FG21" s="459" t="n">
        <v>0.1459</v>
      </c>
      <c r="FH21" s="459" t="n">
        <v>0.144</v>
      </c>
      <c r="FI21" s="459" t="n">
        <v>0.142</v>
      </c>
      <c r="FJ21" s="459" t="n">
        <v>0.1401</v>
      </c>
      <c r="FK21" s="459" t="n">
        <v>0.1382</v>
      </c>
      <c r="FL21" s="459" t="n">
        <v>0.1364</v>
      </c>
      <c r="FM21" s="459" t="n">
        <v>0.1346</v>
      </c>
      <c r="FN21" s="458" t="n">
        <v>0.1327</v>
      </c>
      <c r="FO21" s="458" t="n">
        <v>0.131</v>
      </c>
      <c r="FP21" s="458" t="n">
        <v>0.1292</v>
      </c>
      <c r="FQ21" s="458" t="n">
        <v>0.1275</v>
      </c>
      <c r="FR21" s="458" t="n">
        <v>0.1257</v>
      </c>
      <c r="FS21" s="458" t="n">
        <v>0.1241</v>
      </c>
      <c r="FT21" s="458" t="n">
        <v>0.1224</v>
      </c>
      <c r="FU21" s="458" t="n">
        <v>0.1207</v>
      </c>
      <c r="FV21" s="458" t="n">
        <v>0.1191</v>
      </c>
      <c r="FW21" s="458" t="n">
        <v>0.1175</v>
      </c>
      <c r="FX21" s="458" t="n">
        <v>0.1159</v>
      </c>
      <c r="FY21" s="458" t="n">
        <v>0.1144</v>
      </c>
      <c r="FZ21" s="306" t="n"/>
    </row>
    <row r="22" ht="15" customHeight="1" s="307">
      <c r="A22" s="321" t="inlineStr">
        <is>
          <t xml:space="preserve">    Team Compensation</t>
        </is>
      </c>
      <c r="B22" s="458" t="n">
        <v>0.0813</v>
      </c>
      <c r="C22" s="458" t="n">
        <v>0.0813</v>
      </c>
      <c r="D22" s="458" t="n">
        <v>0.0813</v>
      </c>
      <c r="E22" s="458" t="n">
        <v>0.3385</v>
      </c>
      <c r="F22" s="458" t="n">
        <v>0.3385</v>
      </c>
      <c r="G22" s="458" t="n">
        <v>0.3385</v>
      </c>
      <c r="H22" s="458" t="n">
        <v>1.0292</v>
      </c>
      <c r="I22" s="458" t="n">
        <v>0.5417</v>
      </c>
      <c r="J22" s="458" t="n">
        <v>0.5417</v>
      </c>
      <c r="K22" s="458" t="n">
        <v>0.5958</v>
      </c>
      <c r="L22" s="458" t="n">
        <v>0.5958</v>
      </c>
      <c r="M22" s="458" t="n">
        <v>0.6229</v>
      </c>
      <c r="N22" s="459" t="n">
        <v>0.9344</v>
      </c>
      <c r="O22" s="459" t="n">
        <v>0.9344</v>
      </c>
      <c r="P22" s="459" t="n">
        <v>0.9344</v>
      </c>
      <c r="Q22" s="459" t="n">
        <v>0.9547</v>
      </c>
      <c r="R22" s="459" t="n">
        <v>0.9547</v>
      </c>
      <c r="S22" s="459" t="n">
        <v>0.9547</v>
      </c>
      <c r="T22" s="459" t="n">
        <v>0.9547</v>
      </c>
      <c r="U22" s="459" t="n">
        <v>0.9547</v>
      </c>
      <c r="V22" s="459" t="n">
        <v>0.9547</v>
      </c>
      <c r="W22" s="459" t="n">
        <v>0.9547</v>
      </c>
      <c r="X22" s="459" t="n">
        <v>0.9547</v>
      </c>
      <c r="Y22" s="459" t="n">
        <v>0.9547</v>
      </c>
      <c r="Z22" s="458" t="n">
        <v>0.9547</v>
      </c>
      <c r="AA22" s="458" t="n">
        <v>0.9547</v>
      </c>
      <c r="AB22" s="458" t="n">
        <v>0.9547</v>
      </c>
      <c r="AC22" s="458" t="n">
        <v>0.9547</v>
      </c>
      <c r="AD22" s="458" t="n">
        <v>0.9547</v>
      </c>
      <c r="AE22" s="458" t="n">
        <v>0.9547</v>
      </c>
      <c r="AF22" s="458" t="n">
        <v>0.9547</v>
      </c>
      <c r="AG22" s="458" t="n">
        <v>0.9547</v>
      </c>
      <c r="AH22" s="458" t="n">
        <v>0.9547</v>
      </c>
      <c r="AI22" s="458" t="n">
        <v>0.9547</v>
      </c>
      <c r="AJ22" s="458" t="n">
        <v>0.9547</v>
      </c>
      <c r="AK22" s="458" t="n">
        <v>0.9547</v>
      </c>
      <c r="AL22" s="459" t="n">
        <v>0.9547</v>
      </c>
      <c r="AM22" s="459" t="n">
        <v>0.9547</v>
      </c>
      <c r="AN22" s="459" t="n">
        <v>0.9547</v>
      </c>
      <c r="AO22" s="459" t="n">
        <v>0.9547</v>
      </c>
      <c r="AP22" s="459" t="n">
        <v>0.9547</v>
      </c>
      <c r="AQ22" s="459" t="n">
        <v>0.9547</v>
      </c>
      <c r="AR22" s="459" t="n">
        <v>0.9547</v>
      </c>
      <c r="AS22" s="459" t="n">
        <v>0.9547</v>
      </c>
      <c r="AT22" s="459" t="n">
        <v>0.9547</v>
      </c>
      <c r="AU22" s="459" t="n">
        <v>0.9547</v>
      </c>
      <c r="AV22" s="459" t="n">
        <v>0.9547</v>
      </c>
      <c r="AW22" s="459" t="n">
        <v>0.9547</v>
      </c>
      <c r="AX22" s="458" t="n">
        <v>0.9547</v>
      </c>
      <c r="AY22" s="458" t="n">
        <v>0.9547</v>
      </c>
      <c r="AZ22" s="458" t="n">
        <v>0.9547</v>
      </c>
      <c r="BA22" s="458" t="n">
        <v>0.9547</v>
      </c>
      <c r="BB22" s="458" t="n">
        <v>0.9547</v>
      </c>
      <c r="BC22" s="458" t="n">
        <v>0.9547</v>
      </c>
      <c r="BD22" s="458" t="n">
        <v>0.9547</v>
      </c>
      <c r="BE22" s="458" t="n">
        <v>0.9547</v>
      </c>
      <c r="BF22" s="458" t="n">
        <v>0.9547</v>
      </c>
      <c r="BG22" s="458" t="n">
        <v>0.9547</v>
      </c>
      <c r="BH22" s="458" t="n">
        <v>0.9547</v>
      </c>
      <c r="BI22" s="458" t="n">
        <v>0.9547</v>
      </c>
      <c r="BJ22" s="459" t="n">
        <v>0.9547</v>
      </c>
      <c r="BK22" s="459" t="n">
        <v>0.9547</v>
      </c>
      <c r="BL22" s="459" t="n">
        <v>0.9547</v>
      </c>
      <c r="BM22" s="459" t="n">
        <v>0.9547</v>
      </c>
      <c r="BN22" s="459" t="n">
        <v>0.9547</v>
      </c>
      <c r="BO22" s="459" t="n">
        <v>0.9547</v>
      </c>
      <c r="BP22" s="459" t="n">
        <v>0.9547</v>
      </c>
      <c r="BQ22" s="459" t="n">
        <v>0.9547</v>
      </c>
      <c r="BR22" s="459" t="n">
        <v>0.9547</v>
      </c>
      <c r="BS22" s="459" t="n">
        <v>0.9547</v>
      </c>
      <c r="BT22" s="459" t="n">
        <v>0.9547</v>
      </c>
      <c r="BU22" s="459" t="n">
        <v>0.9547</v>
      </c>
      <c r="BV22" s="458" t="n">
        <v>0.9547</v>
      </c>
      <c r="BW22" s="458" t="n">
        <v>0.9547</v>
      </c>
      <c r="BX22" s="458" t="n">
        <v>0.9547</v>
      </c>
      <c r="BY22" s="458" t="n">
        <v>0.9547</v>
      </c>
      <c r="BZ22" s="458" t="n">
        <v>0.9547</v>
      </c>
      <c r="CA22" s="458" t="n">
        <v>0.9547</v>
      </c>
      <c r="CB22" s="458" t="n">
        <v>0.9547</v>
      </c>
      <c r="CC22" s="458" t="n">
        <v>0.9547</v>
      </c>
      <c r="CD22" s="458" t="n">
        <v>0.9547</v>
      </c>
      <c r="CE22" s="458" t="n">
        <v>0.9547</v>
      </c>
      <c r="CF22" s="458" t="n">
        <v>0.9547</v>
      </c>
      <c r="CG22" s="458" t="n">
        <v>0.9547</v>
      </c>
      <c r="CH22" s="459" t="n">
        <v>0.9547</v>
      </c>
      <c r="CI22" s="459" t="n">
        <v>0.9547</v>
      </c>
      <c r="CJ22" s="459" t="n">
        <v>0.9547</v>
      </c>
      <c r="CK22" s="459" t="n">
        <v>0.9547</v>
      </c>
      <c r="CL22" s="459" t="n">
        <v>0.9547</v>
      </c>
      <c r="CM22" s="459" t="n">
        <v>0.9547</v>
      </c>
      <c r="CN22" s="459" t="n">
        <v>0.9547</v>
      </c>
      <c r="CO22" s="459" t="n">
        <v>0.9547</v>
      </c>
      <c r="CP22" s="459" t="n">
        <v>0.9547</v>
      </c>
      <c r="CQ22" s="459" t="n">
        <v>0.9547</v>
      </c>
      <c r="CR22" s="459" t="n">
        <v>0.9547</v>
      </c>
      <c r="CS22" s="459" t="n">
        <v>0.9547</v>
      </c>
      <c r="CT22" s="458" t="n">
        <v>0.9547</v>
      </c>
      <c r="CU22" s="458" t="n">
        <v>0.9547</v>
      </c>
      <c r="CV22" s="458" t="n">
        <v>0.9547</v>
      </c>
      <c r="CW22" s="458" t="n">
        <v>0.9547</v>
      </c>
      <c r="CX22" s="458" t="n">
        <v>0.9547</v>
      </c>
      <c r="CY22" s="458" t="n">
        <v>0.9547</v>
      </c>
      <c r="CZ22" s="458" t="n">
        <v>0.9547</v>
      </c>
      <c r="DA22" s="458" t="n">
        <v>0.9547</v>
      </c>
      <c r="DB22" s="458" t="n">
        <v>0.9547</v>
      </c>
      <c r="DC22" s="458" t="n">
        <v>0.9547</v>
      </c>
      <c r="DD22" s="458" t="n">
        <v>0.9547</v>
      </c>
      <c r="DE22" s="458" t="n">
        <v>0.9547</v>
      </c>
      <c r="DF22" s="459" t="n">
        <v>0.9547</v>
      </c>
      <c r="DG22" s="459" t="n">
        <v>0.9547</v>
      </c>
      <c r="DH22" s="459" t="n">
        <v>0.9547</v>
      </c>
      <c r="DI22" s="459" t="n">
        <v>0.9547</v>
      </c>
      <c r="DJ22" s="459" t="n">
        <v>0.9547</v>
      </c>
      <c r="DK22" s="459" t="n">
        <v>0.9547</v>
      </c>
      <c r="DL22" s="459" t="n">
        <v>0.9547</v>
      </c>
      <c r="DM22" s="459" t="n">
        <v>0.9547</v>
      </c>
      <c r="DN22" s="459" t="n">
        <v>0.9547</v>
      </c>
      <c r="DO22" s="459" t="n">
        <v>0.9547</v>
      </c>
      <c r="DP22" s="459" t="n">
        <v>0.9547</v>
      </c>
      <c r="DQ22" s="459" t="n">
        <v>0.9547</v>
      </c>
      <c r="DR22" s="458" t="n">
        <v>0.9547</v>
      </c>
      <c r="DS22" s="458" t="n">
        <v>0.9547</v>
      </c>
      <c r="DT22" s="458" t="n">
        <v>0.9547</v>
      </c>
      <c r="DU22" s="458" t="n">
        <v>0.9547</v>
      </c>
      <c r="DV22" s="458" t="n">
        <v>0.9547</v>
      </c>
      <c r="DW22" s="458" t="n">
        <v>0.9547</v>
      </c>
      <c r="DX22" s="458" t="n">
        <v>0.9547</v>
      </c>
      <c r="DY22" s="458" t="n">
        <v>0.9547</v>
      </c>
      <c r="DZ22" s="458" t="n">
        <v>0.9547</v>
      </c>
      <c r="EA22" s="458" t="n">
        <v>0.9547</v>
      </c>
      <c r="EB22" s="458" t="n">
        <v>0.9547</v>
      </c>
      <c r="EC22" s="458" t="n">
        <v>0.9547</v>
      </c>
      <c r="ED22" s="459" t="n">
        <v>0.9547</v>
      </c>
      <c r="EE22" s="459" t="n">
        <v>0.9547</v>
      </c>
      <c r="EF22" s="459" t="n">
        <v>0.9547</v>
      </c>
      <c r="EG22" s="459" t="n">
        <v>0.9547</v>
      </c>
      <c r="EH22" s="459" t="n">
        <v>0.9547</v>
      </c>
      <c r="EI22" s="459" t="n">
        <v>0.9547</v>
      </c>
      <c r="EJ22" s="459" t="n">
        <v>0.9547</v>
      </c>
      <c r="EK22" s="459" t="n">
        <v>0.9547</v>
      </c>
      <c r="EL22" s="459" t="n">
        <v>0.9547</v>
      </c>
      <c r="EM22" s="459" t="n">
        <v>0.9547</v>
      </c>
      <c r="EN22" s="459" t="n">
        <v>0.9547</v>
      </c>
      <c r="EO22" s="459" t="n">
        <v>0.9547</v>
      </c>
      <c r="EP22" s="458" t="n">
        <v>0.9547</v>
      </c>
      <c r="EQ22" s="458" t="n">
        <v>0.9547</v>
      </c>
      <c r="ER22" s="458" t="n">
        <v>0.9547</v>
      </c>
      <c r="ES22" s="458" t="n">
        <v>0.9547</v>
      </c>
      <c r="ET22" s="458" t="n">
        <v>0.9547</v>
      </c>
      <c r="EU22" s="458" t="n">
        <v>0.9547</v>
      </c>
      <c r="EV22" s="458" t="n">
        <v>0.9547</v>
      </c>
      <c r="EW22" s="458" t="n">
        <v>0.9547</v>
      </c>
      <c r="EX22" s="458" t="n">
        <v>0.9547</v>
      </c>
      <c r="EY22" s="458" t="n">
        <v>0.9547</v>
      </c>
      <c r="EZ22" s="458" t="n">
        <v>0.9547</v>
      </c>
      <c r="FA22" s="458" t="n">
        <v>0.9547</v>
      </c>
      <c r="FB22" s="459" t="n">
        <v>0.9547</v>
      </c>
      <c r="FC22" s="459" t="n">
        <v>0.9547</v>
      </c>
      <c r="FD22" s="459" t="n">
        <v>0.9547</v>
      </c>
      <c r="FE22" s="459" t="n">
        <v>0.9547</v>
      </c>
      <c r="FF22" s="459" t="n">
        <v>0.9547</v>
      </c>
      <c r="FG22" s="459" t="n">
        <v>0.9547</v>
      </c>
      <c r="FH22" s="459" t="n">
        <v>0.9547</v>
      </c>
      <c r="FI22" s="459" t="n">
        <v>0.9547</v>
      </c>
      <c r="FJ22" s="459" t="n">
        <v>0.9547</v>
      </c>
      <c r="FK22" s="459" t="n">
        <v>0.9547</v>
      </c>
      <c r="FL22" s="459" t="n">
        <v>0.9547</v>
      </c>
      <c r="FM22" s="459" t="n">
        <v>0.9547</v>
      </c>
      <c r="FN22" s="458" t="n">
        <v>0.9547</v>
      </c>
      <c r="FO22" s="458" t="n">
        <v>0.9547</v>
      </c>
      <c r="FP22" s="458" t="n">
        <v>0.9547</v>
      </c>
      <c r="FQ22" s="458" t="n">
        <v>0.9547</v>
      </c>
      <c r="FR22" s="458" t="n">
        <v>0.9547</v>
      </c>
      <c r="FS22" s="458" t="n">
        <v>0.9547</v>
      </c>
      <c r="FT22" s="458" t="n">
        <v>0.9547</v>
      </c>
      <c r="FU22" s="458" t="n">
        <v>0.9547</v>
      </c>
      <c r="FV22" s="458" t="n">
        <v>0.9547</v>
      </c>
      <c r="FW22" s="458" t="n">
        <v>0.9547</v>
      </c>
      <c r="FX22" s="458" t="n">
        <v>0.9547</v>
      </c>
      <c r="FY22" s="458" t="n">
        <v>0.9547</v>
      </c>
      <c r="FZ22" s="306" t="n"/>
    </row>
    <row r="23" ht="15" customHeight="1" s="307">
      <c r="A23" s="321" t="inlineStr">
        <is>
          <t xml:space="preserve">    Legacy Headcount Expenses</t>
        </is>
      </c>
      <c r="B23" s="458" t="n">
        <v>0</v>
      </c>
      <c r="C23" s="458" t="n">
        <v>0</v>
      </c>
      <c r="D23" s="458" t="n">
        <v>0</v>
      </c>
      <c r="E23" s="458" t="n">
        <v>1.2587</v>
      </c>
      <c r="F23" s="458" t="n">
        <v>1.0927</v>
      </c>
      <c r="G23" s="458" t="n">
        <v>0.9308999999999999</v>
      </c>
      <c r="H23" s="458" t="n">
        <v>2.1106</v>
      </c>
      <c r="I23" s="458" t="n">
        <v>1.7807</v>
      </c>
      <c r="J23" s="458" t="n">
        <v>1.4592</v>
      </c>
      <c r="K23" s="458" t="n">
        <v>2.626</v>
      </c>
      <c r="L23" s="458" t="n">
        <v>2.21</v>
      </c>
      <c r="M23" s="458" t="n">
        <v>3.083</v>
      </c>
      <c r="N23" s="459" t="n">
        <v>2.5195</v>
      </c>
      <c r="O23" s="459" t="n">
        <v>2.06</v>
      </c>
      <c r="P23" s="459" t="n">
        <v>1.6124</v>
      </c>
      <c r="Q23" s="459" t="n">
        <v>2.4254</v>
      </c>
      <c r="R23" s="459" t="n">
        <v>1.9842</v>
      </c>
      <c r="S23" s="459" t="n">
        <v>1.5545</v>
      </c>
      <c r="T23" s="459" t="n">
        <v>1.2214</v>
      </c>
      <c r="U23" s="459" t="n">
        <v>0.9492</v>
      </c>
      <c r="V23" s="459" t="n">
        <v>0.6842</v>
      </c>
      <c r="W23" s="459" t="n">
        <v>0.4261</v>
      </c>
      <c r="X23" s="459" t="n">
        <v>0.3161</v>
      </c>
      <c r="Y23" s="459" t="n">
        <v>1.3889</v>
      </c>
      <c r="Z23" s="458" t="n">
        <v>1.179</v>
      </c>
      <c r="AA23" s="458" t="n">
        <v>0.9744</v>
      </c>
      <c r="AB23" s="458" t="n">
        <v>0.7751</v>
      </c>
      <c r="AC23" s="458" t="n">
        <v>0.581</v>
      </c>
      <c r="AD23" s="458" t="n">
        <v>0.4408</v>
      </c>
      <c r="AE23" s="458" t="n">
        <v>1.4842</v>
      </c>
      <c r="AF23" s="458" t="n">
        <v>1.2745</v>
      </c>
      <c r="AG23" s="458" t="n">
        <v>1.0701</v>
      </c>
      <c r="AH23" s="458" t="n">
        <v>0.871</v>
      </c>
      <c r="AI23" s="458" t="n">
        <v>0.6771</v>
      </c>
      <c r="AJ23" s="458" t="n">
        <v>0.4882</v>
      </c>
      <c r="AK23" s="458" t="n">
        <v>1.4842</v>
      </c>
      <c r="AL23" s="459" t="n">
        <v>1.2745</v>
      </c>
      <c r="AM23" s="459" t="n">
        <v>1.0701</v>
      </c>
      <c r="AN23" s="459" t="n">
        <v>0.871</v>
      </c>
      <c r="AO23" s="459" t="n">
        <v>0.6771</v>
      </c>
      <c r="AP23" s="459" t="n">
        <v>0.4882</v>
      </c>
      <c r="AQ23" s="459" t="n">
        <v>0.3042</v>
      </c>
      <c r="AR23" s="459" t="n">
        <v>0.2501</v>
      </c>
      <c r="AS23" s="459" t="n">
        <v>0.1974</v>
      </c>
      <c r="AT23" s="459" t="n">
        <v>0.1461</v>
      </c>
      <c r="AU23" s="459" t="n">
        <v>0.0961</v>
      </c>
      <c r="AV23" s="459" t="n">
        <v>0.0474</v>
      </c>
      <c r="AW23" s="459" t="n">
        <v>0</v>
      </c>
      <c r="AX23" s="458" t="n">
        <v>0</v>
      </c>
      <c r="AY23" s="458" t="n">
        <v>0</v>
      </c>
      <c r="AZ23" s="458" t="n">
        <v>0</v>
      </c>
      <c r="BA23" s="458" t="n">
        <v>0</v>
      </c>
      <c r="BB23" s="458" t="n">
        <v>0</v>
      </c>
      <c r="BC23" s="458" t="n">
        <v>0</v>
      </c>
      <c r="BD23" s="458" t="n">
        <v>0</v>
      </c>
      <c r="BE23" s="458" t="n">
        <v>0</v>
      </c>
      <c r="BF23" s="458" t="n">
        <v>0</v>
      </c>
      <c r="BG23" s="458" t="n">
        <v>0</v>
      </c>
      <c r="BH23" s="458" t="n">
        <v>0</v>
      </c>
      <c r="BI23" s="458" t="n">
        <v>0</v>
      </c>
      <c r="BJ23" s="459" t="n">
        <v>0</v>
      </c>
      <c r="BK23" s="459" t="n">
        <v>0</v>
      </c>
      <c r="BL23" s="459" t="n">
        <v>0</v>
      </c>
      <c r="BM23" s="459" t="n">
        <v>0</v>
      </c>
      <c r="BN23" s="459" t="n">
        <v>0</v>
      </c>
      <c r="BO23" s="459" t="n">
        <v>0</v>
      </c>
      <c r="BP23" s="459" t="n">
        <v>0</v>
      </c>
      <c r="BQ23" s="459" t="n">
        <v>0</v>
      </c>
      <c r="BR23" s="459" t="n">
        <v>0</v>
      </c>
      <c r="BS23" s="459" t="n">
        <v>0</v>
      </c>
      <c r="BT23" s="459" t="n">
        <v>0</v>
      </c>
      <c r="BU23" s="459" t="n">
        <v>0</v>
      </c>
      <c r="BV23" s="458" t="n">
        <v>0</v>
      </c>
      <c r="BW23" s="458" t="n">
        <v>0</v>
      </c>
      <c r="BX23" s="458" t="n">
        <v>0</v>
      </c>
      <c r="BY23" s="458" t="n">
        <v>0</v>
      </c>
      <c r="BZ23" s="458" t="n">
        <v>0</v>
      </c>
      <c r="CA23" s="458" t="n">
        <v>0</v>
      </c>
      <c r="CB23" s="458" t="n">
        <v>0</v>
      </c>
      <c r="CC23" s="458" t="n">
        <v>0</v>
      </c>
      <c r="CD23" s="458" t="n">
        <v>0</v>
      </c>
      <c r="CE23" s="458" t="n">
        <v>0</v>
      </c>
      <c r="CF23" s="458" t="n">
        <v>0</v>
      </c>
      <c r="CG23" s="458" t="n">
        <v>0</v>
      </c>
      <c r="CH23" s="459" t="n">
        <v>0</v>
      </c>
      <c r="CI23" s="459" t="n">
        <v>0</v>
      </c>
      <c r="CJ23" s="459" t="n">
        <v>0</v>
      </c>
      <c r="CK23" s="459" t="n">
        <v>0</v>
      </c>
      <c r="CL23" s="459" t="n">
        <v>0</v>
      </c>
      <c r="CM23" s="459" t="n">
        <v>0</v>
      </c>
      <c r="CN23" s="459" t="n">
        <v>0</v>
      </c>
      <c r="CO23" s="459" t="n">
        <v>0</v>
      </c>
      <c r="CP23" s="459" t="n">
        <v>0</v>
      </c>
      <c r="CQ23" s="459" t="n">
        <v>0</v>
      </c>
      <c r="CR23" s="459" t="n">
        <v>0</v>
      </c>
      <c r="CS23" s="459" t="n">
        <v>0</v>
      </c>
      <c r="CT23" s="458" t="n">
        <v>0</v>
      </c>
      <c r="CU23" s="458" t="n">
        <v>0</v>
      </c>
      <c r="CV23" s="458" t="n">
        <v>0</v>
      </c>
      <c r="CW23" s="458" t="n">
        <v>0</v>
      </c>
      <c r="CX23" s="458" t="n">
        <v>0</v>
      </c>
      <c r="CY23" s="458" t="n">
        <v>0</v>
      </c>
      <c r="CZ23" s="458" t="n">
        <v>0</v>
      </c>
      <c r="DA23" s="458" t="n">
        <v>0</v>
      </c>
      <c r="DB23" s="458" t="n">
        <v>0</v>
      </c>
      <c r="DC23" s="458" t="n">
        <v>0</v>
      </c>
      <c r="DD23" s="458" t="n">
        <v>0</v>
      </c>
      <c r="DE23" s="458" t="n">
        <v>0</v>
      </c>
      <c r="DF23" s="459" t="n">
        <v>0</v>
      </c>
      <c r="DG23" s="459" t="n">
        <v>0</v>
      </c>
      <c r="DH23" s="459" t="n">
        <v>0</v>
      </c>
      <c r="DI23" s="459" t="n">
        <v>0</v>
      </c>
      <c r="DJ23" s="459" t="n">
        <v>0</v>
      </c>
      <c r="DK23" s="459" t="n">
        <v>0</v>
      </c>
      <c r="DL23" s="459" t="n">
        <v>0</v>
      </c>
      <c r="DM23" s="459" t="n">
        <v>0</v>
      </c>
      <c r="DN23" s="459" t="n">
        <v>0</v>
      </c>
      <c r="DO23" s="459" t="n">
        <v>0</v>
      </c>
      <c r="DP23" s="459" t="n">
        <v>0</v>
      </c>
      <c r="DQ23" s="459" t="n">
        <v>0</v>
      </c>
      <c r="DR23" s="458" t="n">
        <v>0</v>
      </c>
      <c r="DS23" s="458" t="n">
        <v>0</v>
      </c>
      <c r="DT23" s="458" t="n">
        <v>0</v>
      </c>
      <c r="DU23" s="458" t="n">
        <v>0</v>
      </c>
      <c r="DV23" s="458" t="n">
        <v>0</v>
      </c>
      <c r="DW23" s="458" t="n">
        <v>0</v>
      </c>
      <c r="DX23" s="458" t="n">
        <v>0</v>
      </c>
      <c r="DY23" s="458" t="n">
        <v>0</v>
      </c>
      <c r="DZ23" s="458" t="n">
        <v>0</v>
      </c>
      <c r="EA23" s="458" t="n">
        <v>0</v>
      </c>
      <c r="EB23" s="458" t="n">
        <v>0</v>
      </c>
      <c r="EC23" s="458" t="n">
        <v>0</v>
      </c>
      <c r="ED23" s="459" t="n">
        <v>0</v>
      </c>
      <c r="EE23" s="459" t="n">
        <v>0</v>
      </c>
      <c r="EF23" s="459" t="n">
        <v>0</v>
      </c>
      <c r="EG23" s="459" t="n">
        <v>0</v>
      </c>
      <c r="EH23" s="459" t="n">
        <v>0</v>
      </c>
      <c r="EI23" s="459" t="n">
        <v>0</v>
      </c>
      <c r="EJ23" s="459" t="n">
        <v>0</v>
      </c>
      <c r="EK23" s="459" t="n">
        <v>0</v>
      </c>
      <c r="EL23" s="459" t="n">
        <v>0</v>
      </c>
      <c r="EM23" s="459" t="n">
        <v>0</v>
      </c>
      <c r="EN23" s="459" t="n">
        <v>0</v>
      </c>
      <c r="EO23" s="459" t="n">
        <v>0</v>
      </c>
      <c r="EP23" s="458" t="n">
        <v>0</v>
      </c>
      <c r="EQ23" s="458" t="n">
        <v>0</v>
      </c>
      <c r="ER23" s="458" t="n">
        <v>0</v>
      </c>
      <c r="ES23" s="458" t="n">
        <v>0</v>
      </c>
      <c r="ET23" s="458" t="n">
        <v>0</v>
      </c>
      <c r="EU23" s="458" t="n">
        <v>0</v>
      </c>
      <c r="EV23" s="458" t="n">
        <v>0</v>
      </c>
      <c r="EW23" s="458" t="n">
        <v>0</v>
      </c>
      <c r="EX23" s="458" t="n">
        <v>0</v>
      </c>
      <c r="EY23" s="458" t="n">
        <v>0</v>
      </c>
      <c r="EZ23" s="458" t="n">
        <v>0</v>
      </c>
      <c r="FA23" s="458" t="n">
        <v>0</v>
      </c>
      <c r="FB23" s="459" t="n">
        <v>0</v>
      </c>
      <c r="FC23" s="459" t="n">
        <v>0</v>
      </c>
      <c r="FD23" s="459" t="n">
        <v>0</v>
      </c>
      <c r="FE23" s="459" t="n">
        <v>0</v>
      </c>
      <c r="FF23" s="459" t="n">
        <v>0</v>
      </c>
      <c r="FG23" s="459" t="n">
        <v>0</v>
      </c>
      <c r="FH23" s="459" t="n">
        <v>0</v>
      </c>
      <c r="FI23" s="459" t="n">
        <v>0</v>
      </c>
      <c r="FJ23" s="459" t="n">
        <v>0</v>
      </c>
      <c r="FK23" s="459" t="n">
        <v>0</v>
      </c>
      <c r="FL23" s="459" t="n">
        <v>0</v>
      </c>
      <c r="FM23" s="459" t="n">
        <v>0</v>
      </c>
      <c r="FN23" s="458" t="n">
        <v>0</v>
      </c>
      <c r="FO23" s="458" t="n">
        <v>0</v>
      </c>
      <c r="FP23" s="458" t="n">
        <v>0</v>
      </c>
      <c r="FQ23" s="458" t="n">
        <v>0</v>
      </c>
      <c r="FR23" s="458" t="n">
        <v>0</v>
      </c>
      <c r="FS23" s="458" t="n">
        <v>0</v>
      </c>
      <c r="FT23" s="458" t="n">
        <v>0</v>
      </c>
      <c r="FU23" s="458" t="n">
        <v>0</v>
      </c>
      <c r="FV23" s="458" t="n">
        <v>0</v>
      </c>
      <c r="FW23" s="458" t="n">
        <v>0</v>
      </c>
      <c r="FX23" s="458" t="n">
        <v>0</v>
      </c>
      <c r="FY23" s="458" t="n">
        <v>0</v>
      </c>
      <c r="FZ23" s="306" t="n"/>
    </row>
    <row r="24" ht="15" customHeight="1" s="307">
      <c r="A24" s="321" t="inlineStr">
        <is>
          <t xml:space="preserve">    Bonus Pool</t>
        </is>
      </c>
      <c r="B24" s="458" t="n">
        <v>0</v>
      </c>
      <c r="C24" s="458" t="n">
        <v>0</v>
      </c>
      <c r="D24" s="458" t="n">
        <v>0</v>
      </c>
      <c r="E24" s="458" t="n">
        <v>0</v>
      </c>
      <c r="F24" s="458" t="n">
        <v>0</v>
      </c>
      <c r="G24" s="458" t="n">
        <v>0</v>
      </c>
      <c r="H24" s="458" t="n">
        <v>0</v>
      </c>
      <c r="I24" s="458" t="n">
        <v>0</v>
      </c>
      <c r="J24" s="458" t="n">
        <v>0</v>
      </c>
      <c r="K24" s="458" t="n">
        <v>0</v>
      </c>
      <c r="L24" s="458" t="n">
        <v>0</v>
      </c>
      <c r="M24" s="458" t="n">
        <v>0</v>
      </c>
      <c r="N24" s="459" t="n">
        <v>0</v>
      </c>
      <c r="O24" s="459" t="n">
        <v>0</v>
      </c>
      <c r="P24" s="459" t="n">
        <v>0</v>
      </c>
      <c r="Q24" s="459" t="n">
        <v>0</v>
      </c>
      <c r="R24" s="459" t="n">
        <v>0</v>
      </c>
      <c r="S24" s="459" t="n">
        <v>0</v>
      </c>
      <c r="T24" s="459" t="n">
        <v>0</v>
      </c>
      <c r="U24" s="459" t="n">
        <v>0</v>
      </c>
      <c r="V24" s="459" t="n">
        <v>0</v>
      </c>
      <c r="W24" s="459" t="n">
        <v>0</v>
      </c>
      <c r="X24" s="459" t="n">
        <v>0</v>
      </c>
      <c r="Y24" s="459" t="n">
        <v>0</v>
      </c>
      <c r="Z24" s="458" t="n">
        <v>0</v>
      </c>
      <c r="AA24" s="458" t="n">
        <v>0</v>
      </c>
      <c r="AB24" s="458" t="n">
        <v>0</v>
      </c>
      <c r="AC24" s="458" t="n">
        <v>0</v>
      </c>
      <c r="AD24" s="458" t="n">
        <v>0</v>
      </c>
      <c r="AE24" s="458" t="n">
        <v>0</v>
      </c>
      <c r="AF24" s="458" t="n">
        <v>0</v>
      </c>
      <c r="AG24" s="458" t="n">
        <v>0</v>
      </c>
      <c r="AH24" s="458" t="n">
        <v>0</v>
      </c>
      <c r="AI24" s="458" t="n">
        <v>0</v>
      </c>
      <c r="AJ24" s="458" t="n">
        <v>0</v>
      </c>
      <c r="AK24" s="458" t="n">
        <v>0</v>
      </c>
      <c r="AL24" s="459" t="n">
        <v>0</v>
      </c>
      <c r="AM24" s="459" t="n">
        <v>0</v>
      </c>
      <c r="AN24" s="459" t="n">
        <v>0</v>
      </c>
      <c r="AO24" s="459" t="n">
        <v>0</v>
      </c>
      <c r="AP24" s="459" t="n">
        <v>0</v>
      </c>
      <c r="AQ24" s="459" t="n">
        <v>0</v>
      </c>
      <c r="AR24" s="459" t="n">
        <v>0</v>
      </c>
      <c r="AS24" s="459" t="n">
        <v>0</v>
      </c>
      <c r="AT24" s="459" t="n">
        <v>0</v>
      </c>
      <c r="AU24" s="459" t="n">
        <v>0</v>
      </c>
      <c r="AV24" s="459" t="n">
        <v>0</v>
      </c>
      <c r="AW24" s="459" t="n">
        <v>6.4773</v>
      </c>
      <c r="AX24" s="458" t="n">
        <v>0</v>
      </c>
      <c r="AY24" s="458" t="n">
        <v>0</v>
      </c>
      <c r="AZ24" s="458" t="n">
        <v>0</v>
      </c>
      <c r="BA24" s="458" t="n">
        <v>0</v>
      </c>
      <c r="BB24" s="458" t="n">
        <v>0</v>
      </c>
      <c r="BC24" s="458" t="n">
        <v>0</v>
      </c>
      <c r="BD24" s="458" t="n">
        <v>0</v>
      </c>
      <c r="BE24" s="458" t="n">
        <v>0</v>
      </c>
      <c r="BF24" s="458" t="n">
        <v>0</v>
      </c>
      <c r="BG24" s="458" t="n">
        <v>0</v>
      </c>
      <c r="BH24" s="458" t="n">
        <v>0</v>
      </c>
      <c r="BI24" s="458" t="n">
        <v>9.219799999999999</v>
      </c>
      <c r="BJ24" s="459" t="n">
        <v>0</v>
      </c>
      <c r="BK24" s="459" t="n">
        <v>0</v>
      </c>
      <c r="BL24" s="459" t="n">
        <v>0</v>
      </c>
      <c r="BM24" s="459" t="n">
        <v>0</v>
      </c>
      <c r="BN24" s="459" t="n">
        <v>0</v>
      </c>
      <c r="BO24" s="459" t="n">
        <v>0</v>
      </c>
      <c r="BP24" s="459" t="n">
        <v>0</v>
      </c>
      <c r="BQ24" s="459" t="n">
        <v>0</v>
      </c>
      <c r="BR24" s="459" t="n">
        <v>0</v>
      </c>
      <c r="BS24" s="459" t="n">
        <v>0</v>
      </c>
      <c r="BT24" s="459" t="n">
        <v>0</v>
      </c>
      <c r="BU24" s="459" t="n">
        <v>6.1184</v>
      </c>
      <c r="BV24" s="458" t="n">
        <v>0</v>
      </c>
      <c r="BW24" s="458" t="n">
        <v>0</v>
      </c>
      <c r="BX24" s="458" t="n">
        <v>0</v>
      </c>
      <c r="BY24" s="458" t="n">
        <v>0</v>
      </c>
      <c r="BZ24" s="458" t="n">
        <v>0</v>
      </c>
      <c r="CA24" s="458" t="n">
        <v>0</v>
      </c>
      <c r="CB24" s="458" t="n">
        <v>0</v>
      </c>
      <c r="CC24" s="458" t="n">
        <v>0</v>
      </c>
      <c r="CD24" s="458" t="n">
        <v>0</v>
      </c>
      <c r="CE24" s="458" t="n">
        <v>0</v>
      </c>
      <c r="CF24" s="458" t="n">
        <v>0</v>
      </c>
      <c r="CG24" s="458" t="n">
        <v>3.4822</v>
      </c>
      <c r="CH24" s="459" t="n">
        <v>0</v>
      </c>
      <c r="CI24" s="459" t="n">
        <v>0</v>
      </c>
      <c r="CJ24" s="459" t="n">
        <v>0</v>
      </c>
      <c r="CK24" s="459" t="n">
        <v>0</v>
      </c>
      <c r="CL24" s="459" t="n">
        <v>0</v>
      </c>
      <c r="CM24" s="459" t="n">
        <v>0</v>
      </c>
      <c r="CN24" s="459" t="n">
        <v>0</v>
      </c>
      <c r="CO24" s="459" t="n">
        <v>0</v>
      </c>
      <c r="CP24" s="459" t="n">
        <v>0</v>
      </c>
      <c r="CQ24" s="459" t="n">
        <v>0</v>
      </c>
      <c r="CR24" s="459" t="n">
        <v>0</v>
      </c>
      <c r="CS24" s="459" t="n">
        <v>1.2414</v>
      </c>
      <c r="CT24" s="458" t="n">
        <v>0</v>
      </c>
      <c r="CU24" s="458" t="n">
        <v>0</v>
      </c>
      <c r="CV24" s="458" t="n">
        <v>0</v>
      </c>
      <c r="CW24" s="458" t="n">
        <v>0</v>
      </c>
      <c r="CX24" s="458" t="n">
        <v>0</v>
      </c>
      <c r="CY24" s="458" t="n">
        <v>0</v>
      </c>
      <c r="CZ24" s="458" t="n">
        <v>0</v>
      </c>
      <c r="DA24" s="458" t="n">
        <v>0</v>
      </c>
      <c r="DB24" s="458" t="n">
        <v>0</v>
      </c>
      <c r="DC24" s="458" t="n">
        <v>0</v>
      </c>
      <c r="DD24" s="458" t="n">
        <v>0</v>
      </c>
      <c r="DE24" s="458" t="n">
        <v>0</v>
      </c>
      <c r="DF24" s="459" t="n">
        <v>0</v>
      </c>
      <c r="DG24" s="459" t="n">
        <v>0</v>
      </c>
      <c r="DH24" s="459" t="n">
        <v>0</v>
      </c>
      <c r="DI24" s="459" t="n">
        <v>0</v>
      </c>
      <c r="DJ24" s="459" t="n">
        <v>0</v>
      </c>
      <c r="DK24" s="459" t="n">
        <v>0</v>
      </c>
      <c r="DL24" s="459" t="n">
        <v>0</v>
      </c>
      <c r="DM24" s="459" t="n">
        <v>0</v>
      </c>
      <c r="DN24" s="459" t="n">
        <v>0</v>
      </c>
      <c r="DO24" s="459" t="n">
        <v>0</v>
      </c>
      <c r="DP24" s="459" t="n">
        <v>0</v>
      </c>
      <c r="DQ24" s="459" t="n">
        <v>0</v>
      </c>
      <c r="DR24" s="458" t="n">
        <v>0</v>
      </c>
      <c r="DS24" s="458" t="n">
        <v>0</v>
      </c>
      <c r="DT24" s="458" t="n">
        <v>0</v>
      </c>
      <c r="DU24" s="458" t="n">
        <v>0</v>
      </c>
      <c r="DV24" s="458" t="n">
        <v>0</v>
      </c>
      <c r="DW24" s="458" t="n">
        <v>0</v>
      </c>
      <c r="DX24" s="458" t="n">
        <v>0</v>
      </c>
      <c r="DY24" s="458" t="n">
        <v>0</v>
      </c>
      <c r="DZ24" s="458" t="n">
        <v>0</v>
      </c>
      <c r="EA24" s="458" t="n">
        <v>0</v>
      </c>
      <c r="EB24" s="458" t="n">
        <v>0</v>
      </c>
      <c r="EC24" s="458" t="n">
        <v>0</v>
      </c>
      <c r="ED24" s="459" t="n">
        <v>0</v>
      </c>
      <c r="EE24" s="459" t="n">
        <v>0</v>
      </c>
      <c r="EF24" s="459" t="n">
        <v>0</v>
      </c>
      <c r="EG24" s="459" t="n">
        <v>0</v>
      </c>
      <c r="EH24" s="459" t="n">
        <v>0</v>
      </c>
      <c r="EI24" s="459" t="n">
        <v>0</v>
      </c>
      <c r="EJ24" s="459" t="n">
        <v>0</v>
      </c>
      <c r="EK24" s="459" t="n">
        <v>0</v>
      </c>
      <c r="EL24" s="459" t="n">
        <v>0</v>
      </c>
      <c r="EM24" s="459" t="n">
        <v>0</v>
      </c>
      <c r="EN24" s="459" t="n">
        <v>0</v>
      </c>
      <c r="EO24" s="459" t="n">
        <v>0</v>
      </c>
      <c r="EP24" s="458" t="n">
        <v>0</v>
      </c>
      <c r="EQ24" s="458" t="n">
        <v>0</v>
      </c>
      <c r="ER24" s="458" t="n">
        <v>0</v>
      </c>
      <c r="ES24" s="458" t="n">
        <v>0</v>
      </c>
      <c r="ET24" s="458" t="n">
        <v>0</v>
      </c>
      <c r="EU24" s="458" t="n">
        <v>0</v>
      </c>
      <c r="EV24" s="458" t="n">
        <v>0</v>
      </c>
      <c r="EW24" s="458" t="n">
        <v>0</v>
      </c>
      <c r="EX24" s="458" t="n">
        <v>0</v>
      </c>
      <c r="EY24" s="458" t="n">
        <v>0</v>
      </c>
      <c r="EZ24" s="458" t="n">
        <v>0</v>
      </c>
      <c r="FA24" s="458" t="n">
        <v>0</v>
      </c>
      <c r="FB24" s="459" t="n">
        <v>0</v>
      </c>
      <c r="FC24" s="459" t="n">
        <v>0</v>
      </c>
      <c r="FD24" s="459" t="n">
        <v>0</v>
      </c>
      <c r="FE24" s="459" t="n">
        <v>0</v>
      </c>
      <c r="FF24" s="459" t="n">
        <v>0</v>
      </c>
      <c r="FG24" s="459" t="n">
        <v>0</v>
      </c>
      <c r="FH24" s="459" t="n">
        <v>0</v>
      </c>
      <c r="FI24" s="459" t="n">
        <v>0</v>
      </c>
      <c r="FJ24" s="459" t="n">
        <v>0</v>
      </c>
      <c r="FK24" s="459" t="n">
        <v>0</v>
      </c>
      <c r="FL24" s="459" t="n">
        <v>0</v>
      </c>
      <c r="FM24" s="459" t="n">
        <v>0</v>
      </c>
      <c r="FN24" s="458" t="n">
        <v>0</v>
      </c>
      <c r="FO24" s="458" t="n">
        <v>0</v>
      </c>
      <c r="FP24" s="458" t="n">
        <v>0</v>
      </c>
      <c r="FQ24" s="458" t="n">
        <v>0</v>
      </c>
      <c r="FR24" s="458" t="n">
        <v>0</v>
      </c>
      <c r="FS24" s="458" t="n">
        <v>0</v>
      </c>
      <c r="FT24" s="458" t="n">
        <v>0</v>
      </c>
      <c r="FU24" s="458" t="n">
        <v>0</v>
      </c>
      <c r="FV24" s="458" t="n">
        <v>0</v>
      </c>
      <c r="FW24" s="458" t="n">
        <v>0</v>
      </c>
      <c r="FX24" s="458" t="n">
        <v>0</v>
      </c>
      <c r="FY24" s="458" t="n">
        <v>0</v>
      </c>
      <c r="FZ24" s="306" t="n"/>
    </row>
    <row r="25" ht="15" customHeight="1" s="307">
      <c r="A25" s="460" t="inlineStr">
        <is>
          <t>Total Operating Expenses</t>
        </is>
      </c>
      <c r="B25" s="461" t="n">
        <v>0.0813</v>
      </c>
      <c r="C25" s="461" t="n">
        <v>0.0813</v>
      </c>
      <c r="D25" s="461" t="n">
        <v>0.0813</v>
      </c>
      <c r="E25" s="461" t="n">
        <v>1.9385</v>
      </c>
      <c r="F25" s="461" t="n">
        <v>1.7504</v>
      </c>
      <c r="G25" s="461" t="n">
        <v>1.567</v>
      </c>
      <c r="H25" s="461" t="n">
        <v>3.779</v>
      </c>
      <c r="I25" s="461" t="n">
        <v>2.9175</v>
      </c>
      <c r="J25" s="461" t="n">
        <v>2.553</v>
      </c>
      <c r="K25" s="461" t="n">
        <v>4.1334</v>
      </c>
      <c r="L25" s="461" t="n">
        <v>3.6665</v>
      </c>
      <c r="M25" s="461" t="n">
        <v>4.8637</v>
      </c>
      <c r="N25" s="462" t="n">
        <v>4.5409</v>
      </c>
      <c r="O25" s="462" t="n">
        <v>4.0294</v>
      </c>
      <c r="P25" s="462" t="n">
        <v>3.531</v>
      </c>
      <c r="Q25" s="462" t="n">
        <v>4.6533</v>
      </c>
      <c r="R25" s="462" t="n">
        <v>4.1607</v>
      </c>
      <c r="S25" s="462" t="n">
        <v>3.6807</v>
      </c>
      <c r="T25" s="462" t="n">
        <v>3.3149</v>
      </c>
      <c r="U25" s="462" t="n">
        <v>3.0107</v>
      </c>
      <c r="V25" s="462" t="n">
        <v>2.7143</v>
      </c>
      <c r="W25" s="462" t="n">
        <v>2.4255</v>
      </c>
      <c r="X25" s="462" t="n">
        <v>2.3014</v>
      </c>
      <c r="Y25" s="462" t="n">
        <v>3.6804</v>
      </c>
      <c r="Z25" s="461" t="n">
        <v>3.436</v>
      </c>
      <c r="AA25" s="461" t="n">
        <v>3.1977</v>
      </c>
      <c r="AB25" s="461" t="n">
        <v>2.9654</v>
      </c>
      <c r="AC25" s="461" t="n">
        <v>2.7388</v>
      </c>
      <c r="AD25" s="461" t="n">
        <v>2.5669</v>
      </c>
      <c r="AE25" s="461" t="n">
        <v>3.8992</v>
      </c>
      <c r="AF25" s="461" t="n">
        <v>3.6534</v>
      </c>
      <c r="AG25" s="461" t="n">
        <v>3.4136</v>
      </c>
      <c r="AH25" s="461" t="n">
        <v>3.1798</v>
      </c>
      <c r="AI25" s="461" t="n">
        <v>2.9519</v>
      </c>
      <c r="AJ25" s="461" t="n">
        <v>2.7297</v>
      </c>
      <c r="AK25" s="461" t="n">
        <v>4.0131</v>
      </c>
      <c r="AL25" s="462" t="n">
        <v>3.7657</v>
      </c>
      <c r="AM25" s="462" t="n">
        <v>3.5244</v>
      </c>
      <c r="AN25" s="462" t="n">
        <v>3.2891</v>
      </c>
      <c r="AO25" s="462" t="n">
        <v>3.0597</v>
      </c>
      <c r="AP25" s="462" t="n">
        <v>2.836</v>
      </c>
      <c r="AQ25" s="462" t="n">
        <v>2.618</v>
      </c>
      <c r="AR25" s="462" t="n">
        <v>2.5456</v>
      </c>
      <c r="AS25" s="462" t="n">
        <v>2.4749</v>
      </c>
      <c r="AT25" s="462" t="n">
        <v>2.4057</v>
      </c>
      <c r="AU25" s="462" t="n">
        <v>2.3382</v>
      </c>
      <c r="AV25" s="462" t="n">
        <v>2.2722</v>
      </c>
      <c r="AW25" s="462" t="n">
        <v>8.685</v>
      </c>
      <c r="AX25" s="461" t="n">
        <v>2.1908</v>
      </c>
      <c r="AY25" s="461" t="n">
        <v>2.1742</v>
      </c>
      <c r="AZ25" s="461" t="n">
        <v>2.1578</v>
      </c>
      <c r="BA25" s="461" t="n">
        <v>2.1416</v>
      </c>
      <c r="BB25" s="461" t="n">
        <v>2.1257</v>
      </c>
      <c r="BC25" s="461" t="n">
        <v>2.1099</v>
      </c>
      <c r="BD25" s="461" t="n">
        <v>2.0944</v>
      </c>
      <c r="BE25" s="461" t="n">
        <v>2.079</v>
      </c>
      <c r="BF25" s="461" t="n">
        <v>2.0639</v>
      </c>
      <c r="BG25" s="461" t="n">
        <v>2.049</v>
      </c>
      <c r="BH25" s="461" t="n">
        <v>2.0343</v>
      </c>
      <c r="BI25" s="461" t="n">
        <v>11.2395</v>
      </c>
      <c r="BJ25" s="462" t="n">
        <v>2.0054</v>
      </c>
      <c r="BK25" s="462" t="n">
        <v>1.9913</v>
      </c>
      <c r="BL25" s="462" t="n">
        <v>1.9773</v>
      </c>
      <c r="BM25" s="462" t="n">
        <v>1.9636</v>
      </c>
      <c r="BN25" s="462" t="n">
        <v>1.95</v>
      </c>
      <c r="BO25" s="462" t="n">
        <v>1.9366</v>
      </c>
      <c r="BP25" s="462" t="n">
        <v>1.9234</v>
      </c>
      <c r="BQ25" s="462" t="n">
        <v>1.9104</v>
      </c>
      <c r="BR25" s="462" t="n">
        <v>1.8975</v>
      </c>
      <c r="BS25" s="462" t="n">
        <v>1.8848</v>
      </c>
      <c r="BT25" s="462" t="n">
        <v>1.8723</v>
      </c>
      <c r="BU25" s="462" t="n">
        <v>7.9784</v>
      </c>
      <c r="BV25" s="461" t="n">
        <v>1.8478</v>
      </c>
      <c r="BW25" s="461" t="n">
        <v>1.8358</v>
      </c>
      <c r="BX25" s="461" t="n">
        <v>1.8239</v>
      </c>
      <c r="BY25" s="461" t="n">
        <v>1.8122</v>
      </c>
      <c r="BZ25" s="461" t="n">
        <v>1.8007</v>
      </c>
      <c r="CA25" s="461" t="n">
        <v>1.7893</v>
      </c>
      <c r="CB25" s="461" t="n">
        <v>1.7781</v>
      </c>
      <c r="CC25" s="461" t="n">
        <v>1.767</v>
      </c>
      <c r="CD25" s="461" t="n">
        <v>1.7561</v>
      </c>
      <c r="CE25" s="461" t="n">
        <v>1.7453</v>
      </c>
      <c r="CF25" s="461" t="n">
        <v>1.7347</v>
      </c>
      <c r="CG25" s="461" t="n">
        <v>5.2064</v>
      </c>
      <c r="CH25" s="462" t="n">
        <v>1.7138</v>
      </c>
      <c r="CI25" s="462" t="n">
        <v>1.7036</v>
      </c>
      <c r="CJ25" s="462" t="n">
        <v>1.6935</v>
      </c>
      <c r="CK25" s="462" t="n">
        <v>1.6836</v>
      </c>
      <c r="CL25" s="462" t="n">
        <v>1.6738</v>
      </c>
      <c r="CM25" s="462" t="n">
        <v>1.6641</v>
      </c>
      <c r="CN25" s="462" t="n">
        <v>1.6546</v>
      </c>
      <c r="CO25" s="462" t="n">
        <v>1.6452</v>
      </c>
      <c r="CP25" s="462" t="n">
        <v>1.6359</v>
      </c>
      <c r="CQ25" s="462" t="n">
        <v>1.6267</v>
      </c>
      <c r="CR25" s="462" t="n">
        <v>1.6177</v>
      </c>
      <c r="CS25" s="462" t="n">
        <v>2.8502</v>
      </c>
      <c r="CT25" s="461" t="n">
        <v>1.6</v>
      </c>
      <c r="CU25" s="461" t="n">
        <v>1.5913</v>
      </c>
      <c r="CV25" s="461" t="n">
        <v>1.5827</v>
      </c>
      <c r="CW25" s="461" t="n">
        <v>1.5743</v>
      </c>
      <c r="CX25" s="461" t="n">
        <v>1.5659</v>
      </c>
      <c r="CY25" s="461" t="n">
        <v>1.5577</v>
      </c>
      <c r="CZ25" s="461" t="n">
        <v>1.5496</v>
      </c>
      <c r="DA25" s="461" t="n">
        <v>1.5416</v>
      </c>
      <c r="DB25" s="461" t="n">
        <v>1.5337</v>
      </c>
      <c r="DC25" s="461" t="n">
        <v>1.5259</v>
      </c>
      <c r="DD25" s="461" t="n">
        <v>1.5182</v>
      </c>
      <c r="DE25" s="461" t="n">
        <v>1.5107</v>
      </c>
      <c r="DF25" s="462" t="n">
        <v>1.5032</v>
      </c>
      <c r="DG25" s="462" t="n">
        <v>1.4958</v>
      </c>
      <c r="DH25" s="462" t="n">
        <v>1.4885</v>
      </c>
      <c r="DI25" s="462" t="n">
        <v>1.4813</v>
      </c>
      <c r="DJ25" s="462" t="n">
        <v>1.4742</v>
      </c>
      <c r="DK25" s="462" t="n">
        <v>1.4673</v>
      </c>
      <c r="DL25" s="462" t="n">
        <v>1.4604</v>
      </c>
      <c r="DM25" s="462" t="n">
        <v>1.4536</v>
      </c>
      <c r="DN25" s="462" t="n">
        <v>1.4469</v>
      </c>
      <c r="DO25" s="462" t="n">
        <v>1.4402</v>
      </c>
      <c r="DP25" s="462" t="n">
        <v>1.4337</v>
      </c>
      <c r="DQ25" s="462" t="n">
        <v>1.4273</v>
      </c>
      <c r="DR25" s="461" t="n">
        <v>1.4209</v>
      </c>
      <c r="DS25" s="461" t="n">
        <v>1.4146</v>
      </c>
      <c r="DT25" s="461" t="n">
        <v>1.4084</v>
      </c>
      <c r="DU25" s="461" t="n">
        <v>1.4023</v>
      </c>
      <c r="DV25" s="461" t="n">
        <v>1.3963</v>
      </c>
      <c r="DW25" s="461" t="n">
        <v>1.3904</v>
      </c>
      <c r="DX25" s="461" t="n">
        <v>1.3845</v>
      </c>
      <c r="DY25" s="461" t="n">
        <v>1.3787</v>
      </c>
      <c r="DZ25" s="461" t="n">
        <v>1.373</v>
      </c>
      <c r="EA25" s="461" t="n">
        <v>1.3674</v>
      </c>
      <c r="EB25" s="461" t="n">
        <v>1.3618</v>
      </c>
      <c r="EC25" s="461" t="n">
        <v>1.3564</v>
      </c>
      <c r="ED25" s="462" t="n">
        <v>1.351</v>
      </c>
      <c r="EE25" s="462" t="n">
        <v>1.3456</v>
      </c>
      <c r="EF25" s="462" t="n">
        <v>1.3404</v>
      </c>
      <c r="EG25" s="462" t="n">
        <v>1.3352</v>
      </c>
      <c r="EH25" s="462" t="n">
        <v>1.3301</v>
      </c>
      <c r="EI25" s="462" t="n">
        <v>1.325</v>
      </c>
      <c r="EJ25" s="462" t="n">
        <v>1.32</v>
      </c>
      <c r="EK25" s="462" t="n">
        <v>1.3151</v>
      </c>
      <c r="EL25" s="462" t="n">
        <v>1.3103</v>
      </c>
      <c r="EM25" s="462" t="n">
        <v>1.3055</v>
      </c>
      <c r="EN25" s="462" t="n">
        <v>1.3008</v>
      </c>
      <c r="EO25" s="462" t="n">
        <v>1.2961</v>
      </c>
      <c r="EP25" s="461" t="n">
        <v>1.2915</v>
      </c>
      <c r="EQ25" s="461" t="n">
        <v>1.287</v>
      </c>
      <c r="ER25" s="461" t="n">
        <v>1.2825</v>
      </c>
      <c r="ES25" s="461" t="n">
        <v>1.2781</v>
      </c>
      <c r="ET25" s="461" t="n">
        <v>1.2738</v>
      </c>
      <c r="EU25" s="461" t="n">
        <v>1.2695</v>
      </c>
      <c r="EV25" s="461" t="n">
        <v>1.2652</v>
      </c>
      <c r="EW25" s="461" t="n">
        <v>1.2611</v>
      </c>
      <c r="EX25" s="461" t="n">
        <v>1.2569</v>
      </c>
      <c r="EY25" s="461" t="n">
        <v>1.2529</v>
      </c>
      <c r="EZ25" s="461" t="n">
        <v>1.2489</v>
      </c>
      <c r="FA25" s="461" t="n">
        <v>1.2449</v>
      </c>
      <c r="FB25" s="462" t="n">
        <v>1.241</v>
      </c>
      <c r="FC25" s="462" t="n">
        <v>1.2371</v>
      </c>
      <c r="FD25" s="462" t="n">
        <v>1.2333</v>
      </c>
      <c r="FE25" s="462" t="n">
        <v>1.2296</v>
      </c>
      <c r="FF25" s="462" t="n">
        <v>1.2259</v>
      </c>
      <c r="FG25" s="462" t="n">
        <v>1.2223</v>
      </c>
      <c r="FH25" s="462" t="n">
        <v>1.2187</v>
      </c>
      <c r="FI25" s="462" t="n">
        <v>1.2151</v>
      </c>
      <c r="FJ25" s="462" t="n">
        <v>1.2116</v>
      </c>
      <c r="FK25" s="462" t="n">
        <v>1.2081</v>
      </c>
      <c r="FL25" s="462" t="n">
        <v>1.2047</v>
      </c>
      <c r="FM25" s="462" t="n">
        <v>1.2014</v>
      </c>
      <c r="FN25" s="461" t="n">
        <v>1.1981</v>
      </c>
      <c r="FO25" s="461" t="n">
        <v>1.1948</v>
      </c>
      <c r="FP25" s="461" t="n">
        <v>1.1915</v>
      </c>
      <c r="FQ25" s="461" t="n">
        <v>1.1884</v>
      </c>
      <c r="FR25" s="461" t="n">
        <v>1.1852</v>
      </c>
      <c r="FS25" s="461" t="n">
        <v>1.1821</v>
      </c>
      <c r="FT25" s="461" t="n">
        <v>1.1791</v>
      </c>
      <c r="FU25" s="461" t="n">
        <v>1.176</v>
      </c>
      <c r="FV25" s="461" t="n">
        <v>1.1731</v>
      </c>
      <c r="FW25" s="461" t="n">
        <v>1.1701</v>
      </c>
      <c r="FX25" s="461" t="n">
        <v>1.1672</v>
      </c>
      <c r="FY25" s="461" t="n">
        <v>1.1644</v>
      </c>
      <c r="FZ25" s="306" t="n"/>
    </row>
    <row r="26" ht="15" customHeight="1" s="307">
      <c r="A26" s="322" t="n"/>
      <c r="B26" s="466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466" t="n"/>
      <c r="L26" s="466" t="n"/>
      <c r="M26" s="466" t="n"/>
      <c r="N26" s="466" t="n"/>
      <c r="O26" s="466" t="n"/>
      <c r="P26" s="466" t="n"/>
      <c r="Q26" s="466" t="n"/>
      <c r="R26" s="466" t="n"/>
      <c r="S26" s="466" t="n"/>
      <c r="T26" s="466" t="n"/>
      <c r="U26" s="466" t="n"/>
      <c r="V26" s="466" t="n"/>
      <c r="W26" s="466" t="n"/>
      <c r="X26" s="466" t="n"/>
      <c r="Y26" s="466" t="n"/>
      <c r="Z26" s="466" t="n"/>
      <c r="AA26" s="466" t="n"/>
      <c r="AB26" s="466" t="n"/>
      <c r="AC26" s="466" t="n"/>
      <c r="AD26" s="466" t="n"/>
      <c r="AE26" s="466" t="n"/>
      <c r="AF26" s="466" t="n"/>
      <c r="AG26" s="466" t="n"/>
      <c r="AH26" s="466" t="n"/>
      <c r="AI26" s="466" t="n"/>
      <c r="AJ26" s="466" t="n"/>
      <c r="AK26" s="466" t="n"/>
      <c r="AL26" s="466" t="n"/>
      <c r="AM26" s="466" t="n"/>
      <c r="AN26" s="466" t="n"/>
      <c r="AO26" s="466" t="n"/>
      <c r="AP26" s="466" t="n"/>
      <c r="AQ26" s="466" t="n"/>
      <c r="AR26" s="466" t="n"/>
      <c r="AS26" s="466" t="n"/>
      <c r="AT26" s="466" t="n"/>
      <c r="AU26" s="466" t="n"/>
      <c r="AV26" s="466" t="n"/>
      <c r="AW26" s="466" t="n"/>
      <c r="AX26" s="466" t="n"/>
      <c r="AY26" s="466" t="n"/>
      <c r="AZ26" s="466" t="n"/>
      <c r="BA26" s="466" t="n"/>
      <c r="BB26" s="466" t="n"/>
      <c r="BC26" s="466" t="n"/>
      <c r="BD26" s="466" t="n"/>
      <c r="BE26" s="466" t="n"/>
      <c r="BF26" s="466" t="n"/>
      <c r="BG26" s="466" t="n"/>
      <c r="BH26" s="466" t="n"/>
      <c r="BI26" s="466" t="n"/>
      <c r="BJ26" s="466" t="n"/>
      <c r="BK26" s="466" t="n"/>
      <c r="BL26" s="466" t="n"/>
      <c r="BM26" s="466" t="n"/>
      <c r="BN26" s="466" t="n"/>
      <c r="BO26" s="466" t="n"/>
      <c r="BP26" s="466" t="n"/>
      <c r="BQ26" s="466" t="n"/>
      <c r="BR26" s="466" t="n"/>
      <c r="BS26" s="466" t="n"/>
      <c r="BT26" s="466" t="n"/>
      <c r="BU26" s="466" t="n"/>
      <c r="BV26" s="466" t="n"/>
      <c r="BW26" s="466" t="n"/>
      <c r="BX26" s="466" t="n"/>
      <c r="BY26" s="466" t="n"/>
      <c r="BZ26" s="466" t="n"/>
      <c r="CA26" s="466" t="n"/>
      <c r="CB26" s="466" t="n"/>
      <c r="CC26" s="466" t="n"/>
      <c r="CD26" s="466" t="n"/>
      <c r="CE26" s="466" t="n"/>
      <c r="CF26" s="466" t="n"/>
      <c r="CG26" s="466" t="n"/>
      <c r="CH26" s="466" t="n"/>
      <c r="CI26" s="466" t="n"/>
      <c r="CJ26" s="466" t="n"/>
      <c r="CK26" s="466" t="n"/>
      <c r="CL26" s="466" t="n"/>
      <c r="CM26" s="466" t="n"/>
      <c r="CN26" s="466" t="n"/>
      <c r="CO26" s="466" t="n"/>
      <c r="CP26" s="466" t="n"/>
      <c r="CQ26" s="466" t="n"/>
      <c r="CR26" s="466" t="n"/>
      <c r="CS26" s="466" t="n"/>
      <c r="CT26" s="466" t="n"/>
      <c r="CU26" s="466" t="n"/>
      <c r="CV26" s="466" t="n"/>
      <c r="CW26" s="466" t="n"/>
      <c r="CX26" s="466" t="n"/>
      <c r="CY26" s="466" t="n"/>
      <c r="CZ26" s="466" t="n"/>
      <c r="DA26" s="466" t="n"/>
      <c r="DB26" s="466" t="n"/>
      <c r="DC26" s="466" t="n"/>
      <c r="DD26" s="466" t="n"/>
      <c r="DE26" s="466" t="n"/>
      <c r="DF26" s="466" t="n"/>
      <c r="DG26" s="466" t="n"/>
      <c r="DH26" s="466" t="n"/>
      <c r="DI26" s="466" t="n"/>
      <c r="DJ26" s="466" t="n"/>
      <c r="DK26" s="466" t="n"/>
      <c r="DL26" s="466" t="n"/>
      <c r="DM26" s="466" t="n"/>
      <c r="DN26" s="466" t="n"/>
      <c r="DO26" s="466" t="n"/>
      <c r="DP26" s="466" t="n"/>
      <c r="DQ26" s="466" t="n"/>
      <c r="DR26" s="466" t="n"/>
      <c r="DS26" s="466" t="n"/>
      <c r="DT26" s="466" t="n"/>
      <c r="DU26" s="466" t="n"/>
      <c r="DV26" s="466" t="n"/>
      <c r="DW26" s="466" t="n"/>
      <c r="DX26" s="466" t="n"/>
      <c r="DY26" s="466" t="n"/>
      <c r="DZ26" s="466" t="n"/>
      <c r="EA26" s="466" t="n"/>
      <c r="EB26" s="466" t="n"/>
      <c r="EC26" s="466" t="n"/>
      <c r="ED26" s="466" t="n"/>
      <c r="EE26" s="466" t="n"/>
      <c r="EF26" s="466" t="n"/>
      <c r="EG26" s="466" t="n"/>
      <c r="EH26" s="466" t="n"/>
      <c r="EI26" s="466" t="n"/>
      <c r="EJ26" s="466" t="n"/>
      <c r="EK26" s="466" t="n"/>
      <c r="EL26" s="466" t="n"/>
      <c r="EM26" s="466" t="n"/>
      <c r="EN26" s="466" t="n"/>
      <c r="EO26" s="466" t="n"/>
      <c r="EP26" s="466" t="n"/>
      <c r="EQ26" s="466" t="n"/>
      <c r="ER26" s="466" t="n"/>
      <c r="ES26" s="466" t="n"/>
      <c r="ET26" s="466" t="n"/>
      <c r="EU26" s="466" t="n"/>
      <c r="EV26" s="466" t="n"/>
      <c r="EW26" s="466" t="n"/>
      <c r="EX26" s="466" t="n"/>
      <c r="EY26" s="466" t="n"/>
      <c r="EZ26" s="466" t="n"/>
      <c r="FA26" s="466" t="n"/>
      <c r="FB26" s="466" t="n"/>
      <c r="FC26" s="466" t="n"/>
      <c r="FD26" s="466" t="n"/>
      <c r="FE26" s="466" t="n"/>
      <c r="FF26" s="466" t="n"/>
      <c r="FG26" s="466" t="n"/>
      <c r="FH26" s="466" t="n"/>
      <c r="FI26" s="466" t="n"/>
      <c r="FJ26" s="466" t="n"/>
      <c r="FK26" s="466" t="n"/>
      <c r="FL26" s="466" t="n"/>
      <c r="FM26" s="466" t="n"/>
      <c r="FN26" s="466" t="n"/>
      <c r="FO26" s="466" t="n"/>
      <c r="FP26" s="466" t="n"/>
      <c r="FQ26" s="466" t="n"/>
      <c r="FR26" s="466" t="n"/>
      <c r="FS26" s="466" t="n"/>
      <c r="FT26" s="466" t="n"/>
      <c r="FU26" s="466" t="n"/>
      <c r="FV26" s="466" t="n"/>
      <c r="FW26" s="466" t="n"/>
      <c r="FX26" s="466" t="n"/>
      <c r="FY26" s="466" t="n"/>
      <c r="FZ26" s="306" t="n"/>
    </row>
    <row r="27" ht="15" customHeight="1" s="307">
      <c r="A27" s="322" t="inlineStr">
        <is>
          <t>EBITDA</t>
        </is>
      </c>
      <c r="B27" s="465" t="n">
        <v>-0.0813</v>
      </c>
      <c r="C27" s="465" t="n">
        <v>-0.0813</v>
      </c>
      <c r="D27" s="465" t="n">
        <v>-0.0813</v>
      </c>
      <c r="E27" s="465" t="n">
        <v>-0.3385</v>
      </c>
      <c r="F27" s="465" t="n">
        <v>-0.1193</v>
      </c>
      <c r="G27" s="465" t="n">
        <v>0.094</v>
      </c>
      <c r="H27" s="465" t="n">
        <v>-0.389</v>
      </c>
      <c r="I27" s="465" t="n">
        <v>0.5333</v>
      </c>
      <c r="J27" s="465" t="n">
        <v>0.9563</v>
      </c>
      <c r="K27" s="465" t="n">
        <v>1.3136</v>
      </c>
      <c r="L27" s="465" t="n">
        <v>1.8227</v>
      </c>
      <c r="M27" s="465" t="n">
        <v>2.2907</v>
      </c>
      <c r="N27" s="466" t="n">
        <v>2.6832</v>
      </c>
      <c r="O27" s="466" t="n">
        <v>3.2096</v>
      </c>
      <c r="P27" s="466" t="n">
        <v>3.7212</v>
      </c>
      <c r="Q27" s="466" t="n">
        <v>4.198</v>
      </c>
      <c r="R27" s="466" t="n">
        <v>4.6743</v>
      </c>
      <c r="S27" s="466" t="n">
        <v>5.1369</v>
      </c>
      <c r="T27" s="466" t="n">
        <v>5.4349</v>
      </c>
      <c r="U27" s="466" t="n">
        <v>5.6715</v>
      </c>
      <c r="V27" s="466" t="n">
        <v>5.9006</v>
      </c>
      <c r="W27" s="466" t="n">
        <v>6.1223</v>
      </c>
      <c r="X27" s="466" t="n">
        <v>6.1314</v>
      </c>
      <c r="Y27" s="466" t="n">
        <v>6.1389</v>
      </c>
      <c r="Z27" s="465" t="n">
        <v>6.3006</v>
      </c>
      <c r="AA27" s="465" t="n">
        <v>6.4566</v>
      </c>
      <c r="AB27" s="465" t="n">
        <v>6.6071</v>
      </c>
      <c r="AC27" s="465" t="n">
        <v>6.7522</v>
      </c>
      <c r="AD27" s="465" t="n">
        <v>6.8432</v>
      </c>
      <c r="AE27" s="465" t="n">
        <v>6.9304</v>
      </c>
      <c r="AF27" s="465" t="n">
        <v>7.0799</v>
      </c>
      <c r="AG27" s="465" t="n">
        <v>7.2239</v>
      </c>
      <c r="AH27" s="465" t="n">
        <v>7.3626</v>
      </c>
      <c r="AI27" s="465" t="n">
        <v>7.4961</v>
      </c>
      <c r="AJ27" s="465" t="n">
        <v>7.6245</v>
      </c>
      <c r="AK27" s="465" t="n">
        <v>7.7479</v>
      </c>
      <c r="AL27" s="466" t="n">
        <v>7.8864</v>
      </c>
      <c r="AM27" s="466" t="n">
        <v>8.019600000000001</v>
      </c>
      <c r="AN27" s="466" t="n">
        <v>8.147600000000001</v>
      </c>
      <c r="AO27" s="466" t="n">
        <v>8.2706</v>
      </c>
      <c r="AP27" s="466" t="n">
        <v>8.388500000000001</v>
      </c>
      <c r="AQ27" s="466" t="n">
        <v>8.5017</v>
      </c>
      <c r="AR27" s="466" t="n">
        <v>8.4245</v>
      </c>
      <c r="AS27" s="466" t="n">
        <v>8.3477</v>
      </c>
      <c r="AT27" s="466" t="n">
        <v>8.2712</v>
      </c>
      <c r="AU27" s="466" t="n">
        <v>8.1952</v>
      </c>
      <c r="AV27" s="466" t="n">
        <v>8.1195</v>
      </c>
      <c r="AW27" s="466" t="n">
        <v>1.5668</v>
      </c>
      <c r="AX27" s="465" t="n">
        <v>7.9231</v>
      </c>
      <c r="AY27" s="465" t="n">
        <v>7.8037</v>
      </c>
      <c r="AZ27" s="465" t="n">
        <v>7.6859</v>
      </c>
      <c r="BA27" s="465" t="n">
        <v>7.5696</v>
      </c>
      <c r="BB27" s="465" t="n">
        <v>7.455</v>
      </c>
      <c r="BC27" s="465" t="n">
        <v>7.3418</v>
      </c>
      <c r="BD27" s="465" t="n">
        <v>7.2302</v>
      </c>
      <c r="BE27" s="465" t="n">
        <v>7.1201</v>
      </c>
      <c r="BF27" s="465" t="n">
        <v>7.0115</v>
      </c>
      <c r="BG27" s="465" t="n">
        <v>6.9043</v>
      </c>
      <c r="BH27" s="465" t="n">
        <v>6.7986</v>
      </c>
      <c r="BI27" s="465" t="n">
        <v>-2.5255</v>
      </c>
      <c r="BJ27" s="466" t="n">
        <v>6.5914</v>
      </c>
      <c r="BK27" s="466" t="n">
        <v>6.4899</v>
      </c>
      <c r="BL27" s="466" t="n">
        <v>6.3898</v>
      </c>
      <c r="BM27" s="466" t="n">
        <v>6.291</v>
      </c>
      <c r="BN27" s="466" t="n">
        <v>6.1935</v>
      </c>
      <c r="BO27" s="466" t="n">
        <v>6.0974</v>
      </c>
      <c r="BP27" s="466" t="n">
        <v>6.0025</v>
      </c>
      <c r="BQ27" s="466" t="n">
        <v>5.9089</v>
      </c>
      <c r="BR27" s="466" t="n">
        <v>5.8166</v>
      </c>
      <c r="BS27" s="466" t="n">
        <v>5.7255</v>
      </c>
      <c r="BT27" s="466" t="n">
        <v>5.6356</v>
      </c>
      <c r="BU27" s="466" t="n">
        <v>-0.5714</v>
      </c>
      <c r="BV27" s="465" t="n">
        <v>5.4595</v>
      </c>
      <c r="BW27" s="465" t="n">
        <v>5.3732</v>
      </c>
      <c r="BX27" s="465" t="n">
        <v>5.2881</v>
      </c>
      <c r="BY27" s="465" t="n">
        <v>5.2041</v>
      </c>
      <c r="BZ27" s="465" t="n">
        <v>5.1213</v>
      </c>
      <c r="CA27" s="465" t="n">
        <v>5.0395</v>
      </c>
      <c r="CB27" s="465" t="n">
        <v>4.9589</v>
      </c>
      <c r="CC27" s="465" t="n">
        <v>4.8794</v>
      </c>
      <c r="CD27" s="465" t="n">
        <v>4.8009</v>
      </c>
      <c r="CE27" s="465" t="n">
        <v>4.7235</v>
      </c>
      <c r="CF27" s="465" t="n">
        <v>4.6471</v>
      </c>
      <c r="CG27" s="465" t="n">
        <v>1.0895</v>
      </c>
      <c r="CH27" s="466" t="n">
        <v>4.4974</v>
      </c>
      <c r="CI27" s="466" t="n">
        <v>4.424</v>
      </c>
      <c r="CJ27" s="466" t="n">
        <v>4.3517</v>
      </c>
      <c r="CK27" s="466" t="n">
        <v>4.2803</v>
      </c>
      <c r="CL27" s="466" t="n">
        <v>4.2099</v>
      </c>
      <c r="CM27" s="466" t="n">
        <v>4.1404</v>
      </c>
      <c r="CN27" s="466" t="n">
        <v>4.0719</v>
      </c>
      <c r="CO27" s="466" t="n">
        <v>4.0043</v>
      </c>
      <c r="CP27" s="466" t="n">
        <v>3.9375</v>
      </c>
      <c r="CQ27" s="466" t="n">
        <v>3.8717</v>
      </c>
      <c r="CR27" s="466" t="n">
        <v>3.8068</v>
      </c>
      <c r="CS27" s="466" t="n">
        <v>2.5013</v>
      </c>
      <c r="CT27" s="465" t="n">
        <v>3.6796</v>
      </c>
      <c r="CU27" s="465" t="n">
        <v>3.6172</v>
      </c>
      <c r="CV27" s="465" t="n">
        <v>3.5557</v>
      </c>
      <c r="CW27" s="465" t="n">
        <v>3.4951</v>
      </c>
      <c r="CX27" s="465" t="n">
        <v>3.4352</v>
      </c>
      <c r="CY27" s="465" t="n">
        <v>3.3761</v>
      </c>
      <c r="CZ27" s="465" t="n">
        <v>3.3179</v>
      </c>
      <c r="DA27" s="465" t="n">
        <v>3.2604</v>
      </c>
      <c r="DB27" s="465" t="n">
        <v>3.2037</v>
      </c>
      <c r="DC27" s="465" t="n">
        <v>3.1478</v>
      </c>
      <c r="DD27" s="465" t="n">
        <v>3.0926</v>
      </c>
      <c r="DE27" s="465" t="n">
        <v>3.0381</v>
      </c>
      <c r="DF27" s="466" t="n">
        <v>2.9844</v>
      </c>
      <c r="DG27" s="466" t="n">
        <v>2.9314</v>
      </c>
      <c r="DH27" s="466" t="n">
        <v>2.8792</v>
      </c>
      <c r="DI27" s="466" t="n">
        <v>2.8276</v>
      </c>
      <c r="DJ27" s="466" t="n">
        <v>2.7767</v>
      </c>
      <c r="DK27" s="466" t="n">
        <v>2.7265</v>
      </c>
      <c r="DL27" s="466" t="n">
        <v>2.677</v>
      </c>
      <c r="DM27" s="466" t="n">
        <v>2.6281</v>
      </c>
      <c r="DN27" s="466" t="n">
        <v>2.58</v>
      </c>
      <c r="DO27" s="466" t="n">
        <v>2.5324</v>
      </c>
      <c r="DP27" s="466" t="n">
        <v>2.4855</v>
      </c>
      <c r="DQ27" s="466" t="n">
        <v>2.4392</v>
      </c>
      <c r="DR27" s="465" t="n">
        <v>2.3936</v>
      </c>
      <c r="DS27" s="465" t="n">
        <v>2.3485</v>
      </c>
      <c r="DT27" s="465" t="n">
        <v>2.3041</v>
      </c>
      <c r="DU27" s="465" t="n">
        <v>2.2603</v>
      </c>
      <c r="DV27" s="465" t="n">
        <v>2.217</v>
      </c>
      <c r="DW27" s="465" t="n">
        <v>2.1743</v>
      </c>
      <c r="DX27" s="465" t="n">
        <v>2.1322</v>
      </c>
      <c r="DY27" s="465" t="n">
        <v>2.0907</v>
      </c>
      <c r="DZ27" s="465" t="n">
        <v>2.0498</v>
      </c>
      <c r="EA27" s="465" t="n">
        <v>2.0093</v>
      </c>
      <c r="EB27" s="465" t="n">
        <v>1.9695</v>
      </c>
      <c r="EC27" s="465" t="n">
        <v>1.9301</v>
      </c>
      <c r="ED27" s="466" t="n">
        <v>1.8913</v>
      </c>
      <c r="EE27" s="466" t="n">
        <v>1.853</v>
      </c>
      <c r="EF27" s="466" t="n">
        <v>1.8153</v>
      </c>
      <c r="EG27" s="466" t="n">
        <v>1.778</v>
      </c>
      <c r="EH27" s="466" t="n">
        <v>1.7413</v>
      </c>
      <c r="EI27" s="466" t="n">
        <v>1.705</v>
      </c>
      <c r="EJ27" s="466" t="n">
        <v>1.6692</v>
      </c>
      <c r="EK27" s="466" t="n">
        <v>1.6339</v>
      </c>
      <c r="EL27" s="466" t="n">
        <v>1.5991</v>
      </c>
      <c r="EM27" s="466" t="n">
        <v>1.5647</v>
      </c>
      <c r="EN27" s="466" t="n">
        <v>1.5308</v>
      </c>
      <c r="EO27" s="466" t="n">
        <v>1.4974</v>
      </c>
      <c r="EP27" s="465" t="n">
        <v>1.4644</v>
      </c>
      <c r="EQ27" s="465" t="n">
        <v>1.4319</v>
      </c>
      <c r="ER27" s="465" t="n">
        <v>1.3998</v>
      </c>
      <c r="ES27" s="465" t="n">
        <v>1.3681</v>
      </c>
      <c r="ET27" s="465" t="n">
        <v>1.3369</v>
      </c>
      <c r="EU27" s="465" t="n">
        <v>1.306</v>
      </c>
      <c r="EV27" s="465" t="n">
        <v>1.2756</v>
      </c>
      <c r="EW27" s="465" t="n">
        <v>1.2456</v>
      </c>
      <c r="EX27" s="465" t="n">
        <v>1.216</v>
      </c>
      <c r="EY27" s="465" t="n">
        <v>1.1868</v>
      </c>
      <c r="EZ27" s="465" t="n">
        <v>1.158</v>
      </c>
      <c r="FA27" s="465" t="n">
        <v>1.1296</v>
      </c>
      <c r="FB27" s="466" t="n">
        <v>1.1016</v>
      </c>
      <c r="FC27" s="466" t="n">
        <v>1.0739</v>
      </c>
      <c r="FD27" s="466" t="n">
        <v>1.0466</v>
      </c>
      <c r="FE27" s="466" t="n">
        <v>1.0197</v>
      </c>
      <c r="FF27" s="466" t="n">
        <v>0.9931</v>
      </c>
      <c r="FG27" s="466" t="n">
        <v>0.9669</v>
      </c>
      <c r="FH27" s="466" t="n">
        <v>0.9411</v>
      </c>
      <c r="FI27" s="466" t="n">
        <v>0.9156</v>
      </c>
      <c r="FJ27" s="466" t="n">
        <v>0.8904</v>
      </c>
      <c r="FK27" s="466" t="n">
        <v>0.8656</v>
      </c>
      <c r="FL27" s="466" t="n">
        <v>0.8411</v>
      </c>
      <c r="FM27" s="466" t="n">
        <v>0.8169999999999999</v>
      </c>
      <c r="FN27" s="465" t="n">
        <v>0.7931</v>
      </c>
      <c r="FO27" s="465" t="n">
        <v>0.7696</v>
      </c>
      <c r="FP27" s="465" t="n">
        <v>0.7464</v>
      </c>
      <c r="FQ27" s="465" t="n">
        <v>0.7235</v>
      </c>
      <c r="FR27" s="465" t="n">
        <v>0.701</v>
      </c>
      <c r="FS27" s="465" t="n">
        <v>0.6787</v>
      </c>
      <c r="FT27" s="465" t="n">
        <v>0.6567</v>
      </c>
      <c r="FU27" s="465" t="n">
        <v>0.635</v>
      </c>
      <c r="FV27" s="465" t="n">
        <v>0.6137</v>
      </c>
      <c r="FW27" s="465" t="n">
        <v>0.5926</v>
      </c>
      <c r="FX27" s="465" t="n">
        <v>0.5717</v>
      </c>
      <c r="FY27" s="465" t="n">
        <v>0.5512</v>
      </c>
      <c r="FZ27" s="306" t="n"/>
    </row>
    <row r="28" ht="15" customHeight="1" s="307">
      <c r="A28" s="321" t="inlineStr">
        <is>
          <t xml:space="preserve">    Severance (Press 50%)</t>
        </is>
      </c>
      <c r="B28" s="458" t="n">
        <v>0</v>
      </c>
      <c r="C28" s="458" t="n">
        <v>0</v>
      </c>
      <c r="D28" s="458" t="n">
        <v>0</v>
      </c>
      <c r="E28" s="458" t="n">
        <v>1.4771</v>
      </c>
      <c r="F28" s="458" t="n">
        <v>0</v>
      </c>
      <c r="G28" s="458" t="n">
        <v>0</v>
      </c>
      <c r="H28" s="458" t="n">
        <v>1.5694</v>
      </c>
      <c r="I28" s="458" t="n">
        <v>0</v>
      </c>
      <c r="J28" s="458" t="n">
        <v>0</v>
      </c>
      <c r="K28" s="458" t="n">
        <v>1.7368</v>
      </c>
      <c r="L28" s="458" t="n">
        <v>0</v>
      </c>
      <c r="M28" s="458" t="n">
        <v>1.5002</v>
      </c>
      <c r="N28" s="459" t="n">
        <v>0</v>
      </c>
      <c r="O28" s="459" t="n">
        <v>0</v>
      </c>
      <c r="P28" s="459" t="n">
        <v>0</v>
      </c>
      <c r="Q28" s="459" t="n">
        <v>1.4656</v>
      </c>
      <c r="R28" s="459" t="n">
        <v>0</v>
      </c>
      <c r="S28" s="459" t="n">
        <v>0</v>
      </c>
      <c r="T28" s="459" t="n">
        <v>0</v>
      </c>
      <c r="U28" s="459" t="n">
        <v>0</v>
      </c>
      <c r="V28" s="459" t="n">
        <v>0</v>
      </c>
      <c r="W28" s="459" t="n">
        <v>0</v>
      </c>
      <c r="X28" s="459" t="n">
        <v>0</v>
      </c>
      <c r="Y28" s="459" t="n">
        <v>1.3848</v>
      </c>
      <c r="Z28" s="458" t="n">
        <v>0</v>
      </c>
      <c r="AA28" s="458" t="n">
        <v>0</v>
      </c>
      <c r="AB28" s="458" t="n">
        <v>0</v>
      </c>
      <c r="AC28" s="458" t="n">
        <v>0</v>
      </c>
      <c r="AD28" s="458" t="n">
        <v>0</v>
      </c>
      <c r="AE28" s="458" t="n">
        <v>1.3848</v>
      </c>
      <c r="AF28" s="458" t="n">
        <v>0</v>
      </c>
      <c r="AG28" s="458" t="n">
        <v>0</v>
      </c>
      <c r="AH28" s="458" t="n">
        <v>0</v>
      </c>
      <c r="AI28" s="458" t="n">
        <v>0</v>
      </c>
      <c r="AJ28" s="458" t="n">
        <v>0</v>
      </c>
      <c r="AK28" s="458" t="n">
        <v>1.3848</v>
      </c>
      <c r="AL28" s="459" t="n">
        <v>0</v>
      </c>
      <c r="AM28" s="459" t="n">
        <v>0</v>
      </c>
      <c r="AN28" s="459" t="n">
        <v>0</v>
      </c>
      <c r="AO28" s="459" t="n">
        <v>0</v>
      </c>
      <c r="AP28" s="459" t="n">
        <v>0</v>
      </c>
      <c r="AQ28" s="459" t="n">
        <v>0</v>
      </c>
      <c r="AR28" s="459" t="n">
        <v>0</v>
      </c>
      <c r="AS28" s="459" t="n">
        <v>0</v>
      </c>
      <c r="AT28" s="459" t="n">
        <v>0</v>
      </c>
      <c r="AU28" s="459" t="n">
        <v>0</v>
      </c>
      <c r="AV28" s="459" t="n">
        <v>0</v>
      </c>
      <c r="AW28" s="459" t="n">
        <v>0</v>
      </c>
      <c r="AX28" s="458" t="n">
        <v>0</v>
      </c>
      <c r="AY28" s="458" t="n">
        <v>0</v>
      </c>
      <c r="AZ28" s="458" t="n">
        <v>0</v>
      </c>
      <c r="BA28" s="458" t="n">
        <v>0</v>
      </c>
      <c r="BB28" s="458" t="n">
        <v>0</v>
      </c>
      <c r="BC28" s="458" t="n">
        <v>0</v>
      </c>
      <c r="BD28" s="458" t="n">
        <v>0</v>
      </c>
      <c r="BE28" s="458" t="n">
        <v>0</v>
      </c>
      <c r="BF28" s="458" t="n">
        <v>0</v>
      </c>
      <c r="BG28" s="458" t="n">
        <v>0</v>
      </c>
      <c r="BH28" s="458" t="n">
        <v>0</v>
      </c>
      <c r="BI28" s="458" t="n">
        <v>0</v>
      </c>
      <c r="BJ28" s="459" t="n">
        <v>0</v>
      </c>
      <c r="BK28" s="459" t="n">
        <v>0</v>
      </c>
      <c r="BL28" s="459" t="n">
        <v>0</v>
      </c>
      <c r="BM28" s="459" t="n">
        <v>0</v>
      </c>
      <c r="BN28" s="459" t="n">
        <v>0</v>
      </c>
      <c r="BO28" s="459" t="n">
        <v>0</v>
      </c>
      <c r="BP28" s="459" t="n">
        <v>0</v>
      </c>
      <c r="BQ28" s="459" t="n">
        <v>0</v>
      </c>
      <c r="BR28" s="459" t="n">
        <v>0</v>
      </c>
      <c r="BS28" s="459" t="n">
        <v>0</v>
      </c>
      <c r="BT28" s="459" t="n">
        <v>0</v>
      </c>
      <c r="BU28" s="459" t="n">
        <v>0</v>
      </c>
      <c r="BV28" s="458" t="n">
        <v>0</v>
      </c>
      <c r="BW28" s="458" t="n">
        <v>0</v>
      </c>
      <c r="BX28" s="458" t="n">
        <v>0</v>
      </c>
      <c r="BY28" s="458" t="n">
        <v>0</v>
      </c>
      <c r="BZ28" s="458" t="n">
        <v>0</v>
      </c>
      <c r="CA28" s="458" t="n">
        <v>0</v>
      </c>
      <c r="CB28" s="458" t="n">
        <v>0</v>
      </c>
      <c r="CC28" s="458" t="n">
        <v>0</v>
      </c>
      <c r="CD28" s="458" t="n">
        <v>0</v>
      </c>
      <c r="CE28" s="458" t="n">
        <v>0</v>
      </c>
      <c r="CF28" s="458" t="n">
        <v>0</v>
      </c>
      <c r="CG28" s="458" t="n">
        <v>0</v>
      </c>
      <c r="CH28" s="459" t="n">
        <v>0</v>
      </c>
      <c r="CI28" s="459" t="n">
        <v>0</v>
      </c>
      <c r="CJ28" s="459" t="n">
        <v>0</v>
      </c>
      <c r="CK28" s="459" t="n">
        <v>0</v>
      </c>
      <c r="CL28" s="459" t="n">
        <v>0</v>
      </c>
      <c r="CM28" s="459" t="n">
        <v>0</v>
      </c>
      <c r="CN28" s="459" t="n">
        <v>0</v>
      </c>
      <c r="CO28" s="459" t="n">
        <v>0</v>
      </c>
      <c r="CP28" s="459" t="n">
        <v>0</v>
      </c>
      <c r="CQ28" s="459" t="n">
        <v>0</v>
      </c>
      <c r="CR28" s="459" t="n">
        <v>0</v>
      </c>
      <c r="CS28" s="459" t="n">
        <v>0</v>
      </c>
      <c r="CT28" s="458" t="n">
        <v>0</v>
      </c>
      <c r="CU28" s="458" t="n">
        <v>0</v>
      </c>
      <c r="CV28" s="458" t="n">
        <v>0</v>
      </c>
      <c r="CW28" s="458" t="n">
        <v>0</v>
      </c>
      <c r="CX28" s="458" t="n">
        <v>0</v>
      </c>
      <c r="CY28" s="458" t="n">
        <v>0</v>
      </c>
      <c r="CZ28" s="458" t="n">
        <v>0</v>
      </c>
      <c r="DA28" s="458" t="n">
        <v>0</v>
      </c>
      <c r="DB28" s="458" t="n">
        <v>0</v>
      </c>
      <c r="DC28" s="458" t="n">
        <v>0</v>
      </c>
      <c r="DD28" s="458" t="n">
        <v>0</v>
      </c>
      <c r="DE28" s="458" t="n">
        <v>0</v>
      </c>
      <c r="DF28" s="459" t="n">
        <v>0</v>
      </c>
      <c r="DG28" s="459" t="n">
        <v>0</v>
      </c>
      <c r="DH28" s="459" t="n">
        <v>0</v>
      </c>
      <c r="DI28" s="459" t="n">
        <v>0</v>
      </c>
      <c r="DJ28" s="459" t="n">
        <v>0</v>
      </c>
      <c r="DK28" s="459" t="n">
        <v>0</v>
      </c>
      <c r="DL28" s="459" t="n">
        <v>0</v>
      </c>
      <c r="DM28" s="459" t="n">
        <v>0</v>
      </c>
      <c r="DN28" s="459" t="n">
        <v>0</v>
      </c>
      <c r="DO28" s="459" t="n">
        <v>0</v>
      </c>
      <c r="DP28" s="459" t="n">
        <v>0</v>
      </c>
      <c r="DQ28" s="459" t="n">
        <v>0</v>
      </c>
      <c r="DR28" s="458" t="n">
        <v>0</v>
      </c>
      <c r="DS28" s="458" t="n">
        <v>0</v>
      </c>
      <c r="DT28" s="458" t="n">
        <v>0</v>
      </c>
      <c r="DU28" s="458" t="n">
        <v>0</v>
      </c>
      <c r="DV28" s="458" t="n">
        <v>0</v>
      </c>
      <c r="DW28" s="458" t="n">
        <v>0</v>
      </c>
      <c r="DX28" s="458" t="n">
        <v>0</v>
      </c>
      <c r="DY28" s="458" t="n">
        <v>0</v>
      </c>
      <c r="DZ28" s="458" t="n">
        <v>0</v>
      </c>
      <c r="EA28" s="458" t="n">
        <v>0</v>
      </c>
      <c r="EB28" s="458" t="n">
        <v>0</v>
      </c>
      <c r="EC28" s="458" t="n">
        <v>0</v>
      </c>
      <c r="ED28" s="459" t="n">
        <v>0</v>
      </c>
      <c r="EE28" s="459" t="n">
        <v>0</v>
      </c>
      <c r="EF28" s="459" t="n">
        <v>0</v>
      </c>
      <c r="EG28" s="459" t="n">
        <v>0</v>
      </c>
      <c r="EH28" s="459" t="n">
        <v>0</v>
      </c>
      <c r="EI28" s="459" t="n">
        <v>0</v>
      </c>
      <c r="EJ28" s="459" t="n">
        <v>0</v>
      </c>
      <c r="EK28" s="459" t="n">
        <v>0</v>
      </c>
      <c r="EL28" s="459" t="n">
        <v>0</v>
      </c>
      <c r="EM28" s="459" t="n">
        <v>0</v>
      </c>
      <c r="EN28" s="459" t="n">
        <v>0</v>
      </c>
      <c r="EO28" s="459" t="n">
        <v>0</v>
      </c>
      <c r="EP28" s="458" t="n">
        <v>0</v>
      </c>
      <c r="EQ28" s="458" t="n">
        <v>0</v>
      </c>
      <c r="ER28" s="458" t="n">
        <v>0</v>
      </c>
      <c r="ES28" s="458" t="n">
        <v>0</v>
      </c>
      <c r="ET28" s="458" t="n">
        <v>0</v>
      </c>
      <c r="EU28" s="458" t="n">
        <v>0</v>
      </c>
      <c r="EV28" s="458" t="n">
        <v>0</v>
      </c>
      <c r="EW28" s="458" t="n">
        <v>0</v>
      </c>
      <c r="EX28" s="458" t="n">
        <v>0</v>
      </c>
      <c r="EY28" s="458" t="n">
        <v>0</v>
      </c>
      <c r="EZ28" s="458" t="n">
        <v>0</v>
      </c>
      <c r="FA28" s="458" t="n">
        <v>0</v>
      </c>
      <c r="FB28" s="459" t="n">
        <v>0</v>
      </c>
      <c r="FC28" s="459" t="n">
        <v>0</v>
      </c>
      <c r="FD28" s="459" t="n">
        <v>0</v>
      </c>
      <c r="FE28" s="459" t="n">
        <v>0</v>
      </c>
      <c r="FF28" s="459" t="n">
        <v>0</v>
      </c>
      <c r="FG28" s="459" t="n">
        <v>0</v>
      </c>
      <c r="FH28" s="459" t="n">
        <v>0</v>
      </c>
      <c r="FI28" s="459" t="n">
        <v>0</v>
      </c>
      <c r="FJ28" s="459" t="n">
        <v>0</v>
      </c>
      <c r="FK28" s="459" t="n">
        <v>0</v>
      </c>
      <c r="FL28" s="459" t="n">
        <v>0</v>
      </c>
      <c r="FM28" s="459" t="n">
        <v>0</v>
      </c>
      <c r="FN28" s="458" t="n">
        <v>0</v>
      </c>
      <c r="FO28" s="458" t="n">
        <v>0</v>
      </c>
      <c r="FP28" s="458" t="n">
        <v>0</v>
      </c>
      <c r="FQ28" s="458" t="n">
        <v>0</v>
      </c>
      <c r="FR28" s="458" t="n">
        <v>0</v>
      </c>
      <c r="FS28" s="458" t="n">
        <v>0</v>
      </c>
      <c r="FT28" s="458" t="n">
        <v>0</v>
      </c>
      <c r="FU28" s="458" t="n">
        <v>0</v>
      </c>
      <c r="FV28" s="458" t="n">
        <v>0</v>
      </c>
      <c r="FW28" s="458" t="n">
        <v>0</v>
      </c>
      <c r="FX28" s="458" t="n">
        <v>0</v>
      </c>
      <c r="FY28" s="458" t="n">
        <v>0</v>
      </c>
      <c r="FZ28" s="306" t="n"/>
    </row>
    <row r="29" ht="15" customHeight="1" s="307">
      <c r="A29" s="468" t="inlineStr">
        <is>
          <t>Operating Income</t>
        </is>
      </c>
      <c r="B29" s="469" t="n">
        <v>-0.0813</v>
      </c>
      <c r="C29" s="469" t="n">
        <v>-0.0813</v>
      </c>
      <c r="D29" s="469" t="n">
        <v>-0.0813</v>
      </c>
      <c r="E29" s="469" t="n">
        <v>-1.8157</v>
      </c>
      <c r="F29" s="469" t="n">
        <v>-0.1193</v>
      </c>
      <c r="G29" s="469" t="n">
        <v>0.094</v>
      </c>
      <c r="H29" s="469" t="n">
        <v>-1.9585</v>
      </c>
      <c r="I29" s="469" t="n">
        <v>0.5333</v>
      </c>
      <c r="J29" s="469" t="n">
        <v>0.9563</v>
      </c>
      <c r="K29" s="469" t="n">
        <v>-0.4232</v>
      </c>
      <c r="L29" s="469" t="n">
        <v>1.8227</v>
      </c>
      <c r="M29" s="469" t="n">
        <v>0.7905</v>
      </c>
      <c r="N29" s="470" t="n">
        <v>2.6832</v>
      </c>
      <c r="O29" s="470" t="n">
        <v>3.2096</v>
      </c>
      <c r="P29" s="470" t="n">
        <v>3.7212</v>
      </c>
      <c r="Q29" s="470" t="n">
        <v>2.7324</v>
      </c>
      <c r="R29" s="470" t="n">
        <v>4.6743</v>
      </c>
      <c r="S29" s="470" t="n">
        <v>5.1369</v>
      </c>
      <c r="T29" s="470" t="n">
        <v>5.4349</v>
      </c>
      <c r="U29" s="470" t="n">
        <v>5.6715</v>
      </c>
      <c r="V29" s="470" t="n">
        <v>5.9006</v>
      </c>
      <c r="W29" s="470" t="n">
        <v>6.1223</v>
      </c>
      <c r="X29" s="470" t="n">
        <v>6.1314</v>
      </c>
      <c r="Y29" s="470" t="n">
        <v>4.7541</v>
      </c>
      <c r="Z29" s="469" t="n">
        <v>6.3006</v>
      </c>
      <c r="AA29" s="469" t="n">
        <v>6.4566</v>
      </c>
      <c r="AB29" s="469" t="n">
        <v>6.6071</v>
      </c>
      <c r="AC29" s="469" t="n">
        <v>6.7522</v>
      </c>
      <c r="AD29" s="469" t="n">
        <v>6.8432</v>
      </c>
      <c r="AE29" s="469" t="n">
        <v>5.5456</v>
      </c>
      <c r="AF29" s="469" t="n">
        <v>7.0799</v>
      </c>
      <c r="AG29" s="469" t="n">
        <v>7.2239</v>
      </c>
      <c r="AH29" s="469" t="n">
        <v>7.3626</v>
      </c>
      <c r="AI29" s="469" t="n">
        <v>7.4961</v>
      </c>
      <c r="AJ29" s="469" t="n">
        <v>7.6245</v>
      </c>
      <c r="AK29" s="469" t="n">
        <v>6.3631</v>
      </c>
      <c r="AL29" s="470" t="n">
        <v>7.8864</v>
      </c>
      <c r="AM29" s="470" t="n">
        <v>8.019600000000001</v>
      </c>
      <c r="AN29" s="470" t="n">
        <v>8.147600000000001</v>
      </c>
      <c r="AO29" s="470" t="n">
        <v>8.2706</v>
      </c>
      <c r="AP29" s="470" t="n">
        <v>8.388500000000001</v>
      </c>
      <c r="AQ29" s="470" t="n">
        <v>8.5017</v>
      </c>
      <c r="AR29" s="470" t="n">
        <v>8.4245</v>
      </c>
      <c r="AS29" s="470" t="n">
        <v>8.3477</v>
      </c>
      <c r="AT29" s="470" t="n">
        <v>8.2712</v>
      </c>
      <c r="AU29" s="470" t="n">
        <v>8.1952</v>
      </c>
      <c r="AV29" s="470" t="n">
        <v>8.1195</v>
      </c>
      <c r="AW29" s="470" t="n">
        <v>1.5668</v>
      </c>
      <c r="AX29" s="469" t="n">
        <v>7.9231</v>
      </c>
      <c r="AY29" s="469" t="n">
        <v>7.8037</v>
      </c>
      <c r="AZ29" s="469" t="n">
        <v>7.6859</v>
      </c>
      <c r="BA29" s="469" t="n">
        <v>7.5696</v>
      </c>
      <c r="BB29" s="469" t="n">
        <v>7.455</v>
      </c>
      <c r="BC29" s="469" t="n">
        <v>7.3418</v>
      </c>
      <c r="BD29" s="469" t="n">
        <v>7.2302</v>
      </c>
      <c r="BE29" s="469" t="n">
        <v>7.1201</v>
      </c>
      <c r="BF29" s="469" t="n">
        <v>7.0115</v>
      </c>
      <c r="BG29" s="469" t="n">
        <v>6.9043</v>
      </c>
      <c r="BH29" s="469" t="n">
        <v>6.7986</v>
      </c>
      <c r="BI29" s="469" t="n">
        <v>-2.5255</v>
      </c>
      <c r="BJ29" s="470" t="n">
        <v>6.5914</v>
      </c>
      <c r="BK29" s="470" t="n">
        <v>6.4899</v>
      </c>
      <c r="BL29" s="470" t="n">
        <v>6.3898</v>
      </c>
      <c r="BM29" s="470" t="n">
        <v>6.291</v>
      </c>
      <c r="BN29" s="470" t="n">
        <v>6.1935</v>
      </c>
      <c r="BO29" s="470" t="n">
        <v>6.0974</v>
      </c>
      <c r="BP29" s="470" t="n">
        <v>6.0025</v>
      </c>
      <c r="BQ29" s="470" t="n">
        <v>5.9089</v>
      </c>
      <c r="BR29" s="470" t="n">
        <v>5.8166</v>
      </c>
      <c r="BS29" s="470" t="n">
        <v>5.7255</v>
      </c>
      <c r="BT29" s="470" t="n">
        <v>5.6356</v>
      </c>
      <c r="BU29" s="470" t="n">
        <v>-0.5714</v>
      </c>
      <c r="BV29" s="469" t="n">
        <v>5.4595</v>
      </c>
      <c r="BW29" s="469" t="n">
        <v>5.3732</v>
      </c>
      <c r="BX29" s="469" t="n">
        <v>5.2881</v>
      </c>
      <c r="BY29" s="469" t="n">
        <v>5.2041</v>
      </c>
      <c r="BZ29" s="469" t="n">
        <v>5.1213</v>
      </c>
      <c r="CA29" s="469" t="n">
        <v>5.0395</v>
      </c>
      <c r="CB29" s="469" t="n">
        <v>4.9589</v>
      </c>
      <c r="CC29" s="469" t="n">
        <v>4.8794</v>
      </c>
      <c r="CD29" s="469" t="n">
        <v>4.8009</v>
      </c>
      <c r="CE29" s="469" t="n">
        <v>4.7235</v>
      </c>
      <c r="CF29" s="469" t="n">
        <v>4.6471</v>
      </c>
      <c r="CG29" s="469" t="n">
        <v>1.0895</v>
      </c>
      <c r="CH29" s="470" t="n">
        <v>4.4974</v>
      </c>
      <c r="CI29" s="470" t="n">
        <v>4.424</v>
      </c>
      <c r="CJ29" s="470" t="n">
        <v>4.3517</v>
      </c>
      <c r="CK29" s="470" t="n">
        <v>4.2803</v>
      </c>
      <c r="CL29" s="470" t="n">
        <v>4.2099</v>
      </c>
      <c r="CM29" s="470" t="n">
        <v>4.1404</v>
      </c>
      <c r="CN29" s="470" t="n">
        <v>4.0719</v>
      </c>
      <c r="CO29" s="470" t="n">
        <v>4.0043</v>
      </c>
      <c r="CP29" s="470" t="n">
        <v>3.9375</v>
      </c>
      <c r="CQ29" s="470" t="n">
        <v>3.8717</v>
      </c>
      <c r="CR29" s="470" t="n">
        <v>3.8068</v>
      </c>
      <c r="CS29" s="470" t="n">
        <v>2.5013</v>
      </c>
      <c r="CT29" s="469" t="n">
        <v>3.6796</v>
      </c>
      <c r="CU29" s="469" t="n">
        <v>3.6172</v>
      </c>
      <c r="CV29" s="469" t="n">
        <v>3.5557</v>
      </c>
      <c r="CW29" s="469" t="n">
        <v>3.4951</v>
      </c>
      <c r="CX29" s="469" t="n">
        <v>3.4352</v>
      </c>
      <c r="CY29" s="469" t="n">
        <v>3.3761</v>
      </c>
      <c r="CZ29" s="469" t="n">
        <v>3.3179</v>
      </c>
      <c r="DA29" s="469" t="n">
        <v>3.2604</v>
      </c>
      <c r="DB29" s="469" t="n">
        <v>3.2037</v>
      </c>
      <c r="DC29" s="469" t="n">
        <v>3.1478</v>
      </c>
      <c r="DD29" s="469" t="n">
        <v>3.0926</v>
      </c>
      <c r="DE29" s="469" t="n">
        <v>3.0381</v>
      </c>
      <c r="DF29" s="470" t="n">
        <v>2.9844</v>
      </c>
      <c r="DG29" s="470" t="n">
        <v>2.9314</v>
      </c>
      <c r="DH29" s="470" t="n">
        <v>2.8792</v>
      </c>
      <c r="DI29" s="470" t="n">
        <v>2.8276</v>
      </c>
      <c r="DJ29" s="470" t="n">
        <v>2.7767</v>
      </c>
      <c r="DK29" s="470" t="n">
        <v>2.7265</v>
      </c>
      <c r="DL29" s="470" t="n">
        <v>2.677</v>
      </c>
      <c r="DM29" s="470" t="n">
        <v>2.6281</v>
      </c>
      <c r="DN29" s="470" t="n">
        <v>2.58</v>
      </c>
      <c r="DO29" s="470" t="n">
        <v>2.5324</v>
      </c>
      <c r="DP29" s="470" t="n">
        <v>2.4855</v>
      </c>
      <c r="DQ29" s="470" t="n">
        <v>2.4392</v>
      </c>
      <c r="DR29" s="469" t="n">
        <v>2.3936</v>
      </c>
      <c r="DS29" s="469" t="n">
        <v>2.3485</v>
      </c>
      <c r="DT29" s="469" t="n">
        <v>2.3041</v>
      </c>
      <c r="DU29" s="469" t="n">
        <v>2.2603</v>
      </c>
      <c r="DV29" s="469" t="n">
        <v>2.217</v>
      </c>
      <c r="DW29" s="469" t="n">
        <v>2.1743</v>
      </c>
      <c r="DX29" s="469" t="n">
        <v>2.1322</v>
      </c>
      <c r="DY29" s="469" t="n">
        <v>2.0907</v>
      </c>
      <c r="DZ29" s="469" t="n">
        <v>2.0498</v>
      </c>
      <c r="EA29" s="469" t="n">
        <v>2.0093</v>
      </c>
      <c r="EB29" s="469" t="n">
        <v>1.9695</v>
      </c>
      <c r="EC29" s="469" t="n">
        <v>1.9301</v>
      </c>
      <c r="ED29" s="470" t="n">
        <v>1.8913</v>
      </c>
      <c r="EE29" s="470" t="n">
        <v>1.853</v>
      </c>
      <c r="EF29" s="470" t="n">
        <v>1.8153</v>
      </c>
      <c r="EG29" s="470" t="n">
        <v>1.778</v>
      </c>
      <c r="EH29" s="470" t="n">
        <v>1.7413</v>
      </c>
      <c r="EI29" s="470" t="n">
        <v>1.705</v>
      </c>
      <c r="EJ29" s="470" t="n">
        <v>1.6692</v>
      </c>
      <c r="EK29" s="470" t="n">
        <v>1.6339</v>
      </c>
      <c r="EL29" s="470" t="n">
        <v>1.5991</v>
      </c>
      <c r="EM29" s="470" t="n">
        <v>1.5647</v>
      </c>
      <c r="EN29" s="470" t="n">
        <v>1.5308</v>
      </c>
      <c r="EO29" s="470" t="n">
        <v>1.4974</v>
      </c>
      <c r="EP29" s="469" t="n">
        <v>1.4644</v>
      </c>
      <c r="EQ29" s="469" t="n">
        <v>1.4319</v>
      </c>
      <c r="ER29" s="469" t="n">
        <v>1.3998</v>
      </c>
      <c r="ES29" s="469" t="n">
        <v>1.3681</v>
      </c>
      <c r="ET29" s="469" t="n">
        <v>1.3369</v>
      </c>
      <c r="EU29" s="469" t="n">
        <v>1.306</v>
      </c>
      <c r="EV29" s="469" t="n">
        <v>1.2756</v>
      </c>
      <c r="EW29" s="469" t="n">
        <v>1.2456</v>
      </c>
      <c r="EX29" s="469" t="n">
        <v>1.216</v>
      </c>
      <c r="EY29" s="469" t="n">
        <v>1.1868</v>
      </c>
      <c r="EZ29" s="469" t="n">
        <v>1.158</v>
      </c>
      <c r="FA29" s="469" t="n">
        <v>1.1296</v>
      </c>
      <c r="FB29" s="470" t="n">
        <v>1.1016</v>
      </c>
      <c r="FC29" s="470" t="n">
        <v>1.0739</v>
      </c>
      <c r="FD29" s="470" t="n">
        <v>1.0466</v>
      </c>
      <c r="FE29" s="470" t="n">
        <v>1.0197</v>
      </c>
      <c r="FF29" s="470" t="n">
        <v>0.9931</v>
      </c>
      <c r="FG29" s="470" t="n">
        <v>0.9669</v>
      </c>
      <c r="FH29" s="470" t="n">
        <v>0.9411</v>
      </c>
      <c r="FI29" s="470" t="n">
        <v>0.9156</v>
      </c>
      <c r="FJ29" s="470" t="n">
        <v>0.8904</v>
      </c>
      <c r="FK29" s="470" t="n">
        <v>0.8656</v>
      </c>
      <c r="FL29" s="470" t="n">
        <v>0.8411</v>
      </c>
      <c r="FM29" s="470" t="n">
        <v>0.8169999999999999</v>
      </c>
      <c r="FN29" s="469" t="n">
        <v>0.7931</v>
      </c>
      <c r="FO29" s="469" t="n">
        <v>0.7696</v>
      </c>
      <c r="FP29" s="469" t="n">
        <v>0.7464</v>
      </c>
      <c r="FQ29" s="469" t="n">
        <v>0.7235</v>
      </c>
      <c r="FR29" s="469" t="n">
        <v>0.701</v>
      </c>
      <c r="FS29" s="469" t="n">
        <v>0.6787</v>
      </c>
      <c r="FT29" s="469" t="n">
        <v>0.6567</v>
      </c>
      <c r="FU29" s="469" t="n">
        <v>0.635</v>
      </c>
      <c r="FV29" s="469" t="n">
        <v>0.6137</v>
      </c>
      <c r="FW29" s="469" t="n">
        <v>0.5926</v>
      </c>
      <c r="FX29" s="469" t="n">
        <v>0.5717</v>
      </c>
      <c r="FY29" s="469" t="n">
        <v>0.5512</v>
      </c>
      <c r="FZ29" s="306" t="n"/>
    </row>
    <row r="30" ht="15" customHeight="1" s="307">
      <c r="A30" s="322" t="n"/>
      <c r="B30" s="466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  <c r="U30" s="466" t="n"/>
      <c r="V30" s="466" t="n"/>
      <c r="W30" s="466" t="n"/>
      <c r="X30" s="466" t="n"/>
      <c r="Y30" s="466" t="n"/>
      <c r="Z30" s="466" t="n"/>
      <c r="AA30" s="466" t="n"/>
      <c r="AB30" s="466" t="n"/>
      <c r="AC30" s="466" t="n"/>
      <c r="AD30" s="466" t="n"/>
      <c r="AE30" s="466" t="n"/>
      <c r="AF30" s="466" t="n"/>
      <c r="AG30" s="466" t="n"/>
      <c r="AH30" s="466" t="n"/>
      <c r="AI30" s="466" t="n"/>
      <c r="AJ30" s="466" t="n"/>
      <c r="AK30" s="466" t="n"/>
      <c r="AL30" s="466" t="n"/>
      <c r="AM30" s="466" t="n"/>
      <c r="AN30" s="466" t="n"/>
      <c r="AO30" s="466" t="n"/>
      <c r="AP30" s="466" t="n"/>
      <c r="AQ30" s="466" t="n"/>
      <c r="AR30" s="466" t="n"/>
      <c r="AS30" s="466" t="n"/>
      <c r="AT30" s="466" t="n"/>
      <c r="AU30" s="466" t="n"/>
      <c r="AV30" s="466" t="n"/>
      <c r="AW30" s="466" t="n"/>
      <c r="AX30" s="466" t="n"/>
      <c r="AY30" s="466" t="n"/>
      <c r="AZ30" s="466" t="n"/>
      <c r="BA30" s="466" t="n"/>
      <c r="BB30" s="466" t="n"/>
      <c r="BC30" s="466" t="n"/>
      <c r="BD30" s="466" t="n"/>
      <c r="BE30" s="466" t="n"/>
      <c r="BF30" s="466" t="n"/>
      <c r="BG30" s="466" t="n"/>
      <c r="BH30" s="466" t="n"/>
      <c r="BI30" s="466" t="n"/>
      <c r="BJ30" s="466" t="n"/>
      <c r="BK30" s="466" t="n"/>
      <c r="BL30" s="466" t="n"/>
      <c r="BM30" s="466" t="n"/>
      <c r="BN30" s="466" t="n"/>
      <c r="BO30" s="466" t="n"/>
      <c r="BP30" s="466" t="n"/>
      <c r="BQ30" s="466" t="n"/>
      <c r="BR30" s="466" t="n"/>
      <c r="BS30" s="466" t="n"/>
      <c r="BT30" s="466" t="n"/>
      <c r="BU30" s="466" t="n"/>
      <c r="BV30" s="466" t="n"/>
      <c r="BW30" s="466" t="n"/>
      <c r="BX30" s="466" t="n"/>
      <c r="BY30" s="466" t="n"/>
      <c r="BZ30" s="466" t="n"/>
      <c r="CA30" s="466" t="n"/>
      <c r="CB30" s="466" t="n"/>
      <c r="CC30" s="466" t="n"/>
      <c r="CD30" s="466" t="n"/>
      <c r="CE30" s="466" t="n"/>
      <c r="CF30" s="466" t="n"/>
      <c r="CG30" s="466" t="n"/>
      <c r="CH30" s="466" t="n"/>
      <c r="CI30" s="466" t="n"/>
      <c r="CJ30" s="466" t="n"/>
      <c r="CK30" s="466" t="n"/>
      <c r="CL30" s="466" t="n"/>
      <c r="CM30" s="466" t="n"/>
      <c r="CN30" s="466" t="n"/>
      <c r="CO30" s="466" t="n"/>
      <c r="CP30" s="466" t="n"/>
      <c r="CQ30" s="466" t="n"/>
      <c r="CR30" s="466" t="n"/>
      <c r="CS30" s="466" t="n"/>
      <c r="CT30" s="466" t="n"/>
      <c r="CU30" s="466" t="n"/>
      <c r="CV30" s="466" t="n"/>
      <c r="CW30" s="466" t="n"/>
      <c r="CX30" s="466" t="n"/>
      <c r="CY30" s="466" t="n"/>
      <c r="CZ30" s="466" t="n"/>
      <c r="DA30" s="466" t="n"/>
      <c r="DB30" s="466" t="n"/>
      <c r="DC30" s="466" t="n"/>
      <c r="DD30" s="466" t="n"/>
      <c r="DE30" s="466" t="n"/>
      <c r="DF30" s="466" t="n"/>
      <c r="DG30" s="466" t="n"/>
      <c r="DH30" s="466" t="n"/>
      <c r="DI30" s="466" t="n"/>
      <c r="DJ30" s="466" t="n"/>
      <c r="DK30" s="466" t="n"/>
      <c r="DL30" s="466" t="n"/>
      <c r="DM30" s="466" t="n"/>
      <c r="DN30" s="466" t="n"/>
      <c r="DO30" s="466" t="n"/>
      <c r="DP30" s="466" t="n"/>
      <c r="DQ30" s="466" t="n"/>
      <c r="DR30" s="466" t="n"/>
      <c r="DS30" s="466" t="n"/>
      <c r="DT30" s="466" t="n"/>
      <c r="DU30" s="466" t="n"/>
      <c r="DV30" s="466" t="n"/>
      <c r="DW30" s="466" t="n"/>
      <c r="DX30" s="466" t="n"/>
      <c r="DY30" s="466" t="n"/>
      <c r="DZ30" s="466" t="n"/>
      <c r="EA30" s="466" t="n"/>
      <c r="EB30" s="466" t="n"/>
      <c r="EC30" s="466" t="n"/>
      <c r="ED30" s="466" t="n"/>
      <c r="EE30" s="466" t="n"/>
      <c r="EF30" s="466" t="n"/>
      <c r="EG30" s="466" t="n"/>
      <c r="EH30" s="466" t="n"/>
      <c r="EI30" s="466" t="n"/>
      <c r="EJ30" s="466" t="n"/>
      <c r="EK30" s="466" t="n"/>
      <c r="EL30" s="466" t="n"/>
      <c r="EM30" s="466" t="n"/>
      <c r="EN30" s="466" t="n"/>
      <c r="EO30" s="466" t="n"/>
      <c r="EP30" s="466" t="n"/>
      <c r="EQ30" s="466" t="n"/>
      <c r="ER30" s="466" t="n"/>
      <c r="ES30" s="466" t="n"/>
      <c r="ET30" s="466" t="n"/>
      <c r="EU30" s="466" t="n"/>
      <c r="EV30" s="466" t="n"/>
      <c r="EW30" s="466" t="n"/>
      <c r="EX30" s="466" t="n"/>
      <c r="EY30" s="466" t="n"/>
      <c r="EZ30" s="466" t="n"/>
      <c r="FA30" s="466" t="n"/>
      <c r="FB30" s="466" t="n"/>
      <c r="FC30" s="466" t="n"/>
      <c r="FD30" s="466" t="n"/>
      <c r="FE30" s="466" t="n"/>
      <c r="FF30" s="466" t="n"/>
      <c r="FG30" s="466" t="n"/>
      <c r="FH30" s="466" t="n"/>
      <c r="FI30" s="466" t="n"/>
      <c r="FJ30" s="466" t="n"/>
      <c r="FK30" s="466" t="n"/>
      <c r="FL30" s="466" t="n"/>
      <c r="FM30" s="466" t="n"/>
      <c r="FN30" s="466" t="n"/>
      <c r="FO30" s="466" t="n"/>
      <c r="FP30" s="466" t="n"/>
      <c r="FQ30" s="466" t="n"/>
      <c r="FR30" s="466" t="n"/>
      <c r="FS30" s="466" t="n"/>
      <c r="FT30" s="466" t="n"/>
      <c r="FU30" s="466" t="n"/>
      <c r="FV30" s="466" t="n"/>
      <c r="FW30" s="466" t="n"/>
      <c r="FX30" s="466" t="n"/>
      <c r="FY30" s="466" t="n"/>
      <c r="FZ30" s="306" t="n"/>
    </row>
    <row r="31" ht="15" customHeight="1" s="307">
      <c r="A31" s="321" t="inlineStr">
        <is>
          <t xml:space="preserve">    Management Fee</t>
        </is>
      </c>
      <c r="B31" s="458" t="n">
        <v>0.25</v>
      </c>
      <c r="C31" s="458" t="n">
        <v>0.25</v>
      </c>
      <c r="D31" s="458" t="n">
        <v>0.25</v>
      </c>
      <c r="E31" s="458" t="n">
        <v>0.25</v>
      </c>
      <c r="F31" s="458" t="n">
        <v>0.25</v>
      </c>
      <c r="G31" s="458" t="n">
        <v>0.25</v>
      </c>
      <c r="H31" s="458" t="n">
        <v>0.25</v>
      </c>
      <c r="I31" s="458" t="n">
        <v>0.25</v>
      </c>
      <c r="J31" s="458" t="n">
        <v>0.25</v>
      </c>
      <c r="K31" s="458" t="n">
        <v>0.25</v>
      </c>
      <c r="L31" s="458" t="n">
        <v>0.25</v>
      </c>
      <c r="M31" s="458" t="n">
        <v>0.25</v>
      </c>
      <c r="N31" s="459" t="n">
        <v>0</v>
      </c>
      <c r="O31" s="459" t="n">
        <v>0</v>
      </c>
      <c r="P31" s="459" t="n">
        <v>0</v>
      </c>
      <c r="Q31" s="459" t="n">
        <v>0</v>
      </c>
      <c r="R31" s="459" t="n">
        <v>0</v>
      </c>
      <c r="S31" s="459" t="n">
        <v>0</v>
      </c>
      <c r="T31" s="459" t="n">
        <v>0</v>
      </c>
      <c r="U31" s="459" t="n">
        <v>0</v>
      </c>
      <c r="V31" s="459" t="n">
        <v>0</v>
      </c>
      <c r="W31" s="459" t="n">
        <v>0</v>
      </c>
      <c r="X31" s="459" t="n">
        <v>0</v>
      </c>
      <c r="Y31" s="459" t="n">
        <v>0</v>
      </c>
      <c r="Z31" s="458" t="n">
        <v>0</v>
      </c>
      <c r="AA31" s="458" t="n">
        <v>0</v>
      </c>
      <c r="AB31" s="458" t="n">
        <v>0</v>
      </c>
      <c r="AC31" s="458" t="n">
        <v>0</v>
      </c>
      <c r="AD31" s="458" t="n">
        <v>0</v>
      </c>
      <c r="AE31" s="458" t="n">
        <v>0</v>
      </c>
      <c r="AF31" s="458" t="n">
        <v>0</v>
      </c>
      <c r="AG31" s="458" t="n">
        <v>0</v>
      </c>
      <c r="AH31" s="458" t="n">
        <v>0</v>
      </c>
      <c r="AI31" s="458" t="n">
        <v>0</v>
      </c>
      <c r="AJ31" s="458" t="n">
        <v>0</v>
      </c>
      <c r="AK31" s="458" t="n">
        <v>0</v>
      </c>
      <c r="AL31" s="459" t="n">
        <v>0</v>
      </c>
      <c r="AM31" s="459" t="n">
        <v>0</v>
      </c>
      <c r="AN31" s="459" t="n">
        <v>0</v>
      </c>
      <c r="AO31" s="459" t="n">
        <v>0</v>
      </c>
      <c r="AP31" s="459" t="n">
        <v>0</v>
      </c>
      <c r="AQ31" s="459" t="n">
        <v>0</v>
      </c>
      <c r="AR31" s="459" t="n">
        <v>0</v>
      </c>
      <c r="AS31" s="459" t="n">
        <v>0</v>
      </c>
      <c r="AT31" s="459" t="n">
        <v>0</v>
      </c>
      <c r="AU31" s="459" t="n">
        <v>0</v>
      </c>
      <c r="AV31" s="459" t="n">
        <v>0</v>
      </c>
      <c r="AW31" s="459" t="n">
        <v>0</v>
      </c>
      <c r="AX31" s="458" t="n">
        <v>0</v>
      </c>
      <c r="AY31" s="458" t="n">
        <v>0</v>
      </c>
      <c r="AZ31" s="458" t="n">
        <v>0</v>
      </c>
      <c r="BA31" s="458" t="n">
        <v>0</v>
      </c>
      <c r="BB31" s="458" t="n">
        <v>0</v>
      </c>
      <c r="BC31" s="458" t="n">
        <v>0</v>
      </c>
      <c r="BD31" s="458" t="n">
        <v>0</v>
      </c>
      <c r="BE31" s="458" t="n">
        <v>0</v>
      </c>
      <c r="BF31" s="458" t="n">
        <v>0</v>
      </c>
      <c r="BG31" s="458" t="n">
        <v>0</v>
      </c>
      <c r="BH31" s="458" t="n">
        <v>0</v>
      </c>
      <c r="BI31" s="458" t="n">
        <v>0</v>
      </c>
      <c r="BJ31" s="459" t="n">
        <v>0</v>
      </c>
      <c r="BK31" s="459" t="n">
        <v>0</v>
      </c>
      <c r="BL31" s="459" t="n">
        <v>0</v>
      </c>
      <c r="BM31" s="459" t="n">
        <v>0</v>
      </c>
      <c r="BN31" s="459" t="n">
        <v>0</v>
      </c>
      <c r="BO31" s="459" t="n">
        <v>0</v>
      </c>
      <c r="BP31" s="459" t="n">
        <v>0</v>
      </c>
      <c r="BQ31" s="459" t="n">
        <v>0</v>
      </c>
      <c r="BR31" s="459" t="n">
        <v>0</v>
      </c>
      <c r="BS31" s="459" t="n">
        <v>0</v>
      </c>
      <c r="BT31" s="459" t="n">
        <v>0</v>
      </c>
      <c r="BU31" s="459" t="n">
        <v>0</v>
      </c>
      <c r="BV31" s="458" t="n">
        <v>0</v>
      </c>
      <c r="BW31" s="458" t="n">
        <v>0</v>
      </c>
      <c r="BX31" s="458" t="n">
        <v>0</v>
      </c>
      <c r="BY31" s="458" t="n">
        <v>0</v>
      </c>
      <c r="BZ31" s="458" t="n">
        <v>0</v>
      </c>
      <c r="CA31" s="458" t="n">
        <v>0</v>
      </c>
      <c r="CB31" s="458" t="n">
        <v>0</v>
      </c>
      <c r="CC31" s="458" t="n">
        <v>0</v>
      </c>
      <c r="CD31" s="458" t="n">
        <v>0</v>
      </c>
      <c r="CE31" s="458" t="n">
        <v>0</v>
      </c>
      <c r="CF31" s="458" t="n">
        <v>0</v>
      </c>
      <c r="CG31" s="458" t="n">
        <v>0</v>
      </c>
      <c r="CH31" s="459" t="n">
        <v>0</v>
      </c>
      <c r="CI31" s="459" t="n">
        <v>0</v>
      </c>
      <c r="CJ31" s="459" t="n">
        <v>0</v>
      </c>
      <c r="CK31" s="459" t="n">
        <v>0</v>
      </c>
      <c r="CL31" s="459" t="n">
        <v>0</v>
      </c>
      <c r="CM31" s="459" t="n">
        <v>0</v>
      </c>
      <c r="CN31" s="459" t="n">
        <v>0</v>
      </c>
      <c r="CO31" s="459" t="n">
        <v>0</v>
      </c>
      <c r="CP31" s="459" t="n">
        <v>0</v>
      </c>
      <c r="CQ31" s="459" t="n">
        <v>0</v>
      </c>
      <c r="CR31" s="459" t="n">
        <v>0</v>
      </c>
      <c r="CS31" s="459" t="n">
        <v>0</v>
      </c>
      <c r="CT31" s="458" t="n">
        <v>0</v>
      </c>
      <c r="CU31" s="458" t="n">
        <v>0</v>
      </c>
      <c r="CV31" s="458" t="n">
        <v>0</v>
      </c>
      <c r="CW31" s="458" t="n">
        <v>0</v>
      </c>
      <c r="CX31" s="458" t="n">
        <v>0</v>
      </c>
      <c r="CY31" s="458" t="n">
        <v>0</v>
      </c>
      <c r="CZ31" s="458" t="n">
        <v>0</v>
      </c>
      <c r="DA31" s="458" t="n">
        <v>0</v>
      </c>
      <c r="DB31" s="458" t="n">
        <v>0</v>
      </c>
      <c r="DC31" s="458" t="n">
        <v>0</v>
      </c>
      <c r="DD31" s="458" t="n">
        <v>0</v>
      </c>
      <c r="DE31" s="458" t="n">
        <v>0</v>
      </c>
      <c r="DF31" s="459" t="n">
        <v>0</v>
      </c>
      <c r="DG31" s="459" t="n">
        <v>0</v>
      </c>
      <c r="DH31" s="459" t="n">
        <v>0</v>
      </c>
      <c r="DI31" s="459" t="n">
        <v>0</v>
      </c>
      <c r="DJ31" s="459" t="n">
        <v>0</v>
      </c>
      <c r="DK31" s="459" t="n">
        <v>0</v>
      </c>
      <c r="DL31" s="459" t="n">
        <v>0</v>
      </c>
      <c r="DM31" s="459" t="n">
        <v>0</v>
      </c>
      <c r="DN31" s="459" t="n">
        <v>0</v>
      </c>
      <c r="DO31" s="459" t="n">
        <v>0</v>
      </c>
      <c r="DP31" s="459" t="n">
        <v>0</v>
      </c>
      <c r="DQ31" s="459" t="n">
        <v>0</v>
      </c>
      <c r="DR31" s="458" t="n">
        <v>0</v>
      </c>
      <c r="DS31" s="458" t="n">
        <v>0</v>
      </c>
      <c r="DT31" s="458" t="n">
        <v>0</v>
      </c>
      <c r="DU31" s="458" t="n">
        <v>0</v>
      </c>
      <c r="DV31" s="458" t="n">
        <v>0</v>
      </c>
      <c r="DW31" s="458" t="n">
        <v>0</v>
      </c>
      <c r="DX31" s="458" t="n">
        <v>0</v>
      </c>
      <c r="DY31" s="458" t="n">
        <v>0</v>
      </c>
      <c r="DZ31" s="458" t="n">
        <v>0</v>
      </c>
      <c r="EA31" s="458" t="n">
        <v>0</v>
      </c>
      <c r="EB31" s="458" t="n">
        <v>0</v>
      </c>
      <c r="EC31" s="458" t="n">
        <v>0</v>
      </c>
      <c r="ED31" s="459" t="n">
        <v>0</v>
      </c>
      <c r="EE31" s="459" t="n">
        <v>0</v>
      </c>
      <c r="EF31" s="459" t="n">
        <v>0</v>
      </c>
      <c r="EG31" s="459" t="n">
        <v>0</v>
      </c>
      <c r="EH31" s="459" t="n">
        <v>0</v>
      </c>
      <c r="EI31" s="459" t="n">
        <v>0</v>
      </c>
      <c r="EJ31" s="459" t="n">
        <v>0</v>
      </c>
      <c r="EK31" s="459" t="n">
        <v>0</v>
      </c>
      <c r="EL31" s="459" t="n">
        <v>0</v>
      </c>
      <c r="EM31" s="459" t="n">
        <v>0</v>
      </c>
      <c r="EN31" s="459" t="n">
        <v>0</v>
      </c>
      <c r="EO31" s="459" t="n">
        <v>0</v>
      </c>
      <c r="EP31" s="458" t="n">
        <v>0</v>
      </c>
      <c r="EQ31" s="458" t="n">
        <v>0</v>
      </c>
      <c r="ER31" s="458" t="n">
        <v>0</v>
      </c>
      <c r="ES31" s="458" t="n">
        <v>0</v>
      </c>
      <c r="ET31" s="458" t="n">
        <v>0</v>
      </c>
      <c r="EU31" s="458" t="n">
        <v>0</v>
      </c>
      <c r="EV31" s="458" t="n">
        <v>0</v>
      </c>
      <c r="EW31" s="458" t="n">
        <v>0</v>
      </c>
      <c r="EX31" s="458" t="n">
        <v>0</v>
      </c>
      <c r="EY31" s="458" t="n">
        <v>0</v>
      </c>
      <c r="EZ31" s="458" t="n">
        <v>0</v>
      </c>
      <c r="FA31" s="458" t="n">
        <v>0</v>
      </c>
      <c r="FB31" s="459" t="n">
        <v>0</v>
      </c>
      <c r="FC31" s="459" t="n">
        <v>0</v>
      </c>
      <c r="FD31" s="459" t="n">
        <v>0</v>
      </c>
      <c r="FE31" s="459" t="n">
        <v>0</v>
      </c>
      <c r="FF31" s="459" t="n">
        <v>0</v>
      </c>
      <c r="FG31" s="459" t="n">
        <v>0</v>
      </c>
      <c r="FH31" s="459" t="n">
        <v>0</v>
      </c>
      <c r="FI31" s="459" t="n">
        <v>0</v>
      </c>
      <c r="FJ31" s="459" t="n">
        <v>0</v>
      </c>
      <c r="FK31" s="459" t="n">
        <v>0</v>
      </c>
      <c r="FL31" s="459" t="n">
        <v>0</v>
      </c>
      <c r="FM31" s="459" t="n">
        <v>0</v>
      </c>
      <c r="FN31" s="458" t="n">
        <v>0</v>
      </c>
      <c r="FO31" s="458" t="n">
        <v>0</v>
      </c>
      <c r="FP31" s="458" t="n">
        <v>0</v>
      </c>
      <c r="FQ31" s="458" t="n">
        <v>0</v>
      </c>
      <c r="FR31" s="458" t="n">
        <v>0</v>
      </c>
      <c r="FS31" s="458" t="n">
        <v>0</v>
      </c>
      <c r="FT31" s="458" t="n">
        <v>0</v>
      </c>
      <c r="FU31" s="458" t="n">
        <v>0</v>
      </c>
      <c r="FV31" s="458" t="n">
        <v>0</v>
      </c>
      <c r="FW31" s="458" t="n">
        <v>0</v>
      </c>
      <c r="FX31" s="458" t="n">
        <v>0</v>
      </c>
      <c r="FY31" s="458" t="n">
        <v>0</v>
      </c>
      <c r="FZ31" s="306" t="n"/>
    </row>
    <row r="32" ht="15" customHeight="1" s="307">
      <c r="A32" s="321" t="inlineStr">
        <is>
          <t xml:space="preserve">    Retained (50%)</t>
        </is>
      </c>
      <c r="B32" s="458" t="n">
        <v>-0.1656</v>
      </c>
      <c r="C32" s="458" t="n">
        <v>-0.1656</v>
      </c>
      <c r="D32" s="458" t="n">
        <v>-0.1656</v>
      </c>
      <c r="E32" s="458" t="n">
        <v>-1.0328</v>
      </c>
      <c r="F32" s="458" t="n">
        <v>-0.1847</v>
      </c>
      <c r="G32" s="458" t="n">
        <v>-0.078</v>
      </c>
      <c r="H32" s="458" t="n">
        <v>-1.1042</v>
      </c>
      <c r="I32" s="458" t="n">
        <v>0.1416</v>
      </c>
      <c r="J32" s="458" t="n">
        <v>0.3531</v>
      </c>
      <c r="K32" s="458" t="n">
        <v>-0.3366</v>
      </c>
      <c r="L32" s="458" t="n">
        <v>0.7863</v>
      </c>
      <c r="M32" s="458" t="n">
        <v>0.2702</v>
      </c>
      <c r="N32" s="459" t="n">
        <v>1.3416</v>
      </c>
      <c r="O32" s="459" t="n">
        <v>1.6048</v>
      </c>
      <c r="P32" s="459" t="n">
        <v>1.8606</v>
      </c>
      <c r="Q32" s="459" t="n">
        <v>1.3662</v>
      </c>
      <c r="R32" s="459" t="n">
        <v>2.3372</v>
      </c>
      <c r="S32" s="459" t="n">
        <v>2.5684</v>
      </c>
      <c r="T32" s="459" t="n">
        <v>2.7174</v>
      </c>
      <c r="U32" s="459" t="n">
        <v>2.8357</v>
      </c>
      <c r="V32" s="459" t="n">
        <v>2.9503</v>
      </c>
      <c r="W32" s="459" t="n">
        <v>3.0612</v>
      </c>
      <c r="X32" s="459" t="n">
        <v>3.0657</v>
      </c>
      <c r="Y32" s="459" t="n">
        <v>2.3771</v>
      </c>
      <c r="Z32" s="458" t="n">
        <v>3.1503</v>
      </c>
      <c r="AA32" s="458" t="n">
        <v>3.2283</v>
      </c>
      <c r="AB32" s="458" t="n">
        <v>3.3035</v>
      </c>
      <c r="AC32" s="458" t="n">
        <v>3.3761</v>
      </c>
      <c r="AD32" s="458" t="n">
        <v>3.4216</v>
      </c>
      <c r="AE32" s="458" t="n">
        <v>2.7728</v>
      </c>
      <c r="AF32" s="458" t="n">
        <v>3.5399</v>
      </c>
      <c r="AG32" s="458" t="n">
        <v>3.612</v>
      </c>
      <c r="AH32" s="458" t="n">
        <v>3.6813</v>
      </c>
      <c r="AI32" s="458" t="n">
        <v>3.7481</v>
      </c>
      <c r="AJ32" s="458" t="n">
        <v>3.8123</v>
      </c>
      <c r="AK32" s="458" t="n">
        <v>3.1816</v>
      </c>
      <c r="AL32" s="459" t="n">
        <v>0</v>
      </c>
      <c r="AM32" s="459" t="n">
        <v>0</v>
      </c>
      <c r="AN32" s="459" t="n">
        <v>0</v>
      </c>
      <c r="AO32" s="459" t="n">
        <v>0</v>
      </c>
      <c r="AP32" s="459" t="n">
        <v>0</v>
      </c>
      <c r="AQ32" s="459" t="n">
        <v>0</v>
      </c>
      <c r="AR32" s="459" t="n">
        <v>0</v>
      </c>
      <c r="AS32" s="459" t="n">
        <v>0</v>
      </c>
      <c r="AT32" s="459" t="n">
        <v>0</v>
      </c>
      <c r="AU32" s="459" t="n">
        <v>0</v>
      </c>
      <c r="AV32" s="459" t="n">
        <v>0</v>
      </c>
      <c r="AW32" s="459" t="n">
        <v>0</v>
      </c>
      <c r="AX32" s="458" t="n">
        <v>0</v>
      </c>
      <c r="AY32" s="458" t="n">
        <v>0</v>
      </c>
      <c r="AZ32" s="458" t="n">
        <v>0</v>
      </c>
      <c r="BA32" s="458" t="n">
        <v>0</v>
      </c>
      <c r="BB32" s="458" t="n">
        <v>0</v>
      </c>
      <c r="BC32" s="458" t="n">
        <v>0</v>
      </c>
      <c r="BD32" s="458" t="n">
        <v>0</v>
      </c>
      <c r="BE32" s="458" t="n">
        <v>0</v>
      </c>
      <c r="BF32" s="458" t="n">
        <v>0</v>
      </c>
      <c r="BG32" s="458" t="n">
        <v>0</v>
      </c>
      <c r="BH32" s="458" t="n">
        <v>0</v>
      </c>
      <c r="BI32" s="458" t="n">
        <v>0</v>
      </c>
      <c r="BJ32" s="459" t="n">
        <v>0</v>
      </c>
      <c r="BK32" s="459" t="n">
        <v>0</v>
      </c>
      <c r="BL32" s="459" t="n">
        <v>0</v>
      </c>
      <c r="BM32" s="459" t="n">
        <v>0</v>
      </c>
      <c r="BN32" s="459" t="n">
        <v>0</v>
      </c>
      <c r="BO32" s="459" t="n">
        <v>0</v>
      </c>
      <c r="BP32" s="459" t="n">
        <v>0</v>
      </c>
      <c r="BQ32" s="459" t="n">
        <v>0</v>
      </c>
      <c r="BR32" s="459" t="n">
        <v>0</v>
      </c>
      <c r="BS32" s="459" t="n">
        <v>0</v>
      </c>
      <c r="BT32" s="459" t="n">
        <v>0</v>
      </c>
      <c r="BU32" s="459" t="n">
        <v>0</v>
      </c>
      <c r="BV32" s="458" t="n">
        <v>0</v>
      </c>
      <c r="BW32" s="458" t="n">
        <v>0</v>
      </c>
      <c r="BX32" s="458" t="n">
        <v>0</v>
      </c>
      <c r="BY32" s="458" t="n">
        <v>0</v>
      </c>
      <c r="BZ32" s="458" t="n">
        <v>0</v>
      </c>
      <c r="CA32" s="458" t="n">
        <v>0</v>
      </c>
      <c r="CB32" s="458" t="n">
        <v>0</v>
      </c>
      <c r="CC32" s="458" t="n">
        <v>0</v>
      </c>
      <c r="CD32" s="458" t="n">
        <v>0</v>
      </c>
      <c r="CE32" s="458" t="n">
        <v>0</v>
      </c>
      <c r="CF32" s="458" t="n">
        <v>0</v>
      </c>
      <c r="CG32" s="458" t="n">
        <v>0</v>
      </c>
      <c r="CH32" s="459" t="n">
        <v>0</v>
      </c>
      <c r="CI32" s="459" t="n">
        <v>0</v>
      </c>
      <c r="CJ32" s="459" t="n">
        <v>0</v>
      </c>
      <c r="CK32" s="459" t="n">
        <v>0</v>
      </c>
      <c r="CL32" s="459" t="n">
        <v>0</v>
      </c>
      <c r="CM32" s="459" t="n">
        <v>0</v>
      </c>
      <c r="CN32" s="459" t="n">
        <v>0</v>
      </c>
      <c r="CO32" s="459" t="n">
        <v>0</v>
      </c>
      <c r="CP32" s="459" t="n">
        <v>0</v>
      </c>
      <c r="CQ32" s="459" t="n">
        <v>0</v>
      </c>
      <c r="CR32" s="459" t="n">
        <v>0</v>
      </c>
      <c r="CS32" s="459" t="n">
        <v>0</v>
      </c>
      <c r="CT32" s="458" t="n">
        <v>0</v>
      </c>
      <c r="CU32" s="458" t="n">
        <v>0</v>
      </c>
      <c r="CV32" s="458" t="n">
        <v>0</v>
      </c>
      <c r="CW32" s="458" t="n">
        <v>0</v>
      </c>
      <c r="CX32" s="458" t="n">
        <v>0</v>
      </c>
      <c r="CY32" s="458" t="n">
        <v>0</v>
      </c>
      <c r="CZ32" s="458" t="n">
        <v>0</v>
      </c>
      <c r="DA32" s="458" t="n">
        <v>0</v>
      </c>
      <c r="DB32" s="458" t="n">
        <v>0</v>
      </c>
      <c r="DC32" s="458" t="n">
        <v>0</v>
      </c>
      <c r="DD32" s="458" t="n">
        <v>0</v>
      </c>
      <c r="DE32" s="458" t="n">
        <v>0</v>
      </c>
      <c r="DF32" s="459" t="n">
        <v>0</v>
      </c>
      <c r="DG32" s="459" t="n">
        <v>0</v>
      </c>
      <c r="DH32" s="459" t="n">
        <v>0</v>
      </c>
      <c r="DI32" s="459" t="n">
        <v>0</v>
      </c>
      <c r="DJ32" s="459" t="n">
        <v>0</v>
      </c>
      <c r="DK32" s="459" t="n">
        <v>0</v>
      </c>
      <c r="DL32" s="459" t="n">
        <v>0</v>
      </c>
      <c r="DM32" s="459" t="n">
        <v>0</v>
      </c>
      <c r="DN32" s="459" t="n">
        <v>0</v>
      </c>
      <c r="DO32" s="459" t="n">
        <v>0</v>
      </c>
      <c r="DP32" s="459" t="n">
        <v>0</v>
      </c>
      <c r="DQ32" s="459" t="n">
        <v>0</v>
      </c>
      <c r="DR32" s="458" t="n">
        <v>0</v>
      </c>
      <c r="DS32" s="458" t="n">
        <v>0</v>
      </c>
      <c r="DT32" s="458" t="n">
        <v>0</v>
      </c>
      <c r="DU32" s="458" t="n">
        <v>0</v>
      </c>
      <c r="DV32" s="458" t="n">
        <v>0</v>
      </c>
      <c r="DW32" s="458" t="n">
        <v>0</v>
      </c>
      <c r="DX32" s="458" t="n">
        <v>0</v>
      </c>
      <c r="DY32" s="458" t="n">
        <v>0</v>
      </c>
      <c r="DZ32" s="458" t="n">
        <v>0</v>
      </c>
      <c r="EA32" s="458" t="n">
        <v>0</v>
      </c>
      <c r="EB32" s="458" t="n">
        <v>0</v>
      </c>
      <c r="EC32" s="458" t="n">
        <v>0</v>
      </c>
      <c r="ED32" s="459" t="n">
        <v>0</v>
      </c>
      <c r="EE32" s="459" t="n">
        <v>0</v>
      </c>
      <c r="EF32" s="459" t="n">
        <v>0</v>
      </c>
      <c r="EG32" s="459" t="n">
        <v>0</v>
      </c>
      <c r="EH32" s="459" t="n">
        <v>0</v>
      </c>
      <c r="EI32" s="459" t="n">
        <v>0</v>
      </c>
      <c r="EJ32" s="459" t="n">
        <v>0</v>
      </c>
      <c r="EK32" s="459" t="n">
        <v>0</v>
      </c>
      <c r="EL32" s="459" t="n">
        <v>0</v>
      </c>
      <c r="EM32" s="459" t="n">
        <v>0</v>
      </c>
      <c r="EN32" s="459" t="n">
        <v>0</v>
      </c>
      <c r="EO32" s="459" t="n">
        <v>0</v>
      </c>
      <c r="EP32" s="458" t="n">
        <v>0</v>
      </c>
      <c r="EQ32" s="458" t="n">
        <v>0</v>
      </c>
      <c r="ER32" s="458" t="n">
        <v>0</v>
      </c>
      <c r="ES32" s="458" t="n">
        <v>0</v>
      </c>
      <c r="ET32" s="458" t="n">
        <v>0</v>
      </c>
      <c r="EU32" s="458" t="n">
        <v>0</v>
      </c>
      <c r="EV32" s="458" t="n">
        <v>0</v>
      </c>
      <c r="EW32" s="458" t="n">
        <v>0</v>
      </c>
      <c r="EX32" s="458" t="n">
        <v>0</v>
      </c>
      <c r="EY32" s="458" t="n">
        <v>0</v>
      </c>
      <c r="EZ32" s="458" t="n">
        <v>0</v>
      </c>
      <c r="FA32" s="458" t="n">
        <v>0</v>
      </c>
      <c r="FB32" s="459" t="n">
        <v>0</v>
      </c>
      <c r="FC32" s="459" t="n">
        <v>0</v>
      </c>
      <c r="FD32" s="459" t="n">
        <v>0</v>
      </c>
      <c r="FE32" s="459" t="n">
        <v>0</v>
      </c>
      <c r="FF32" s="459" t="n">
        <v>0</v>
      </c>
      <c r="FG32" s="459" t="n">
        <v>0</v>
      </c>
      <c r="FH32" s="459" t="n">
        <v>0</v>
      </c>
      <c r="FI32" s="459" t="n">
        <v>0</v>
      </c>
      <c r="FJ32" s="459" t="n">
        <v>0</v>
      </c>
      <c r="FK32" s="459" t="n">
        <v>0</v>
      </c>
      <c r="FL32" s="459" t="n">
        <v>0</v>
      </c>
      <c r="FM32" s="459" t="n">
        <v>0</v>
      </c>
      <c r="FN32" s="458" t="n">
        <v>0</v>
      </c>
      <c r="FO32" s="458" t="n">
        <v>0</v>
      </c>
      <c r="FP32" s="458" t="n">
        <v>0</v>
      </c>
      <c r="FQ32" s="458" t="n">
        <v>0</v>
      </c>
      <c r="FR32" s="458" t="n">
        <v>0</v>
      </c>
      <c r="FS32" s="458" t="n">
        <v>0</v>
      </c>
      <c r="FT32" s="458" t="n">
        <v>0</v>
      </c>
      <c r="FU32" s="458" t="n">
        <v>0</v>
      </c>
      <c r="FV32" s="458" t="n">
        <v>0</v>
      </c>
      <c r="FW32" s="458" t="n">
        <v>0</v>
      </c>
      <c r="FX32" s="458" t="n">
        <v>0</v>
      </c>
      <c r="FY32" s="458" t="n">
        <v>0</v>
      </c>
      <c r="FZ32" s="306" t="n"/>
    </row>
    <row r="33" ht="15" customHeight="1" s="307">
      <c r="A33" s="322" t="inlineStr">
        <is>
          <t>Distributable Cash</t>
        </is>
      </c>
      <c r="B33" s="461" t="n">
        <v>-0.1656</v>
      </c>
      <c r="C33" s="461" t="n">
        <v>-0.1656</v>
      </c>
      <c r="D33" s="461" t="n">
        <v>-0.1656</v>
      </c>
      <c r="E33" s="461" t="n">
        <v>-1.0328</v>
      </c>
      <c r="F33" s="461" t="n">
        <v>-0.1847</v>
      </c>
      <c r="G33" s="461" t="n">
        <v>-0.078</v>
      </c>
      <c r="H33" s="461" t="n">
        <v>-1.1042</v>
      </c>
      <c r="I33" s="461" t="n">
        <v>0.1416</v>
      </c>
      <c r="J33" s="461" t="n">
        <v>0.3531</v>
      </c>
      <c r="K33" s="461" t="n">
        <v>-0.3366</v>
      </c>
      <c r="L33" s="461" t="n">
        <v>0.7863</v>
      </c>
      <c r="M33" s="461" t="n">
        <v>0.2702</v>
      </c>
      <c r="N33" s="462" t="n">
        <v>1.3416</v>
      </c>
      <c r="O33" s="462" t="n">
        <v>1.6048</v>
      </c>
      <c r="P33" s="462" t="n">
        <v>1.8606</v>
      </c>
      <c r="Q33" s="462" t="n">
        <v>1.3662</v>
      </c>
      <c r="R33" s="462" t="n">
        <v>2.3372</v>
      </c>
      <c r="S33" s="462" t="n">
        <v>2.5684</v>
      </c>
      <c r="T33" s="462" t="n">
        <v>2.7174</v>
      </c>
      <c r="U33" s="462" t="n">
        <v>2.8357</v>
      </c>
      <c r="V33" s="462" t="n">
        <v>2.9503</v>
      </c>
      <c r="W33" s="462" t="n">
        <v>3.0612</v>
      </c>
      <c r="X33" s="462" t="n">
        <v>3.0657</v>
      </c>
      <c r="Y33" s="462" t="n">
        <v>2.3771</v>
      </c>
      <c r="Z33" s="461" t="n">
        <v>3.1503</v>
      </c>
      <c r="AA33" s="461" t="n">
        <v>3.2283</v>
      </c>
      <c r="AB33" s="461" t="n">
        <v>3.3035</v>
      </c>
      <c r="AC33" s="461" t="n">
        <v>3.3761</v>
      </c>
      <c r="AD33" s="461" t="n">
        <v>3.4216</v>
      </c>
      <c r="AE33" s="461" t="n">
        <v>2.7728</v>
      </c>
      <c r="AF33" s="461" t="n">
        <v>3.5399</v>
      </c>
      <c r="AG33" s="461" t="n">
        <v>3.612</v>
      </c>
      <c r="AH33" s="461" t="n">
        <v>3.6813</v>
      </c>
      <c r="AI33" s="461" t="n">
        <v>3.7481</v>
      </c>
      <c r="AJ33" s="461" t="n">
        <v>3.8123</v>
      </c>
      <c r="AK33" s="461" t="n">
        <v>3.1816</v>
      </c>
      <c r="AL33" s="462" t="n">
        <v>7.8864</v>
      </c>
      <c r="AM33" s="462" t="n">
        <v>8.019600000000001</v>
      </c>
      <c r="AN33" s="462" t="n">
        <v>8.147600000000001</v>
      </c>
      <c r="AO33" s="462" t="n">
        <v>8.2706</v>
      </c>
      <c r="AP33" s="462" t="n">
        <v>8.388500000000001</v>
      </c>
      <c r="AQ33" s="462" t="n">
        <v>8.5017</v>
      </c>
      <c r="AR33" s="462" t="n">
        <v>8.4245</v>
      </c>
      <c r="AS33" s="462" t="n">
        <v>8.3477</v>
      </c>
      <c r="AT33" s="462" t="n">
        <v>8.2712</v>
      </c>
      <c r="AU33" s="462" t="n">
        <v>8.1952</v>
      </c>
      <c r="AV33" s="462" t="n">
        <v>8.1195</v>
      </c>
      <c r="AW33" s="462" t="n">
        <v>1.5668</v>
      </c>
      <c r="AX33" s="461" t="n">
        <v>7.9231</v>
      </c>
      <c r="AY33" s="461" t="n">
        <v>7.8037</v>
      </c>
      <c r="AZ33" s="461" t="n">
        <v>7.6859</v>
      </c>
      <c r="BA33" s="461" t="n">
        <v>7.5696</v>
      </c>
      <c r="BB33" s="461" t="n">
        <v>7.455</v>
      </c>
      <c r="BC33" s="461" t="n">
        <v>7.3418</v>
      </c>
      <c r="BD33" s="461" t="n">
        <v>7.2302</v>
      </c>
      <c r="BE33" s="461" t="n">
        <v>7.1201</v>
      </c>
      <c r="BF33" s="461" t="n">
        <v>7.0115</v>
      </c>
      <c r="BG33" s="461" t="n">
        <v>6.9043</v>
      </c>
      <c r="BH33" s="461" t="n">
        <v>6.7986</v>
      </c>
      <c r="BI33" s="461" t="n">
        <v>-2.5255</v>
      </c>
      <c r="BJ33" s="462" t="n">
        <v>6.5914</v>
      </c>
      <c r="BK33" s="462" t="n">
        <v>6.4899</v>
      </c>
      <c r="BL33" s="462" t="n">
        <v>6.3898</v>
      </c>
      <c r="BM33" s="462" t="n">
        <v>6.291</v>
      </c>
      <c r="BN33" s="462" t="n">
        <v>6.1935</v>
      </c>
      <c r="BO33" s="462" t="n">
        <v>6.0974</v>
      </c>
      <c r="BP33" s="462" t="n">
        <v>6.0025</v>
      </c>
      <c r="BQ33" s="462" t="n">
        <v>5.9089</v>
      </c>
      <c r="BR33" s="462" t="n">
        <v>5.8166</v>
      </c>
      <c r="BS33" s="462" t="n">
        <v>5.7255</v>
      </c>
      <c r="BT33" s="462" t="n">
        <v>5.6356</v>
      </c>
      <c r="BU33" s="462" t="n">
        <v>-0.5714</v>
      </c>
      <c r="BV33" s="461" t="n">
        <v>5.4595</v>
      </c>
      <c r="BW33" s="461" t="n">
        <v>5.3732</v>
      </c>
      <c r="BX33" s="461" t="n">
        <v>5.2881</v>
      </c>
      <c r="BY33" s="461" t="n">
        <v>5.2041</v>
      </c>
      <c r="BZ33" s="461" t="n">
        <v>5.1213</v>
      </c>
      <c r="CA33" s="461" t="n">
        <v>5.0395</v>
      </c>
      <c r="CB33" s="461" t="n">
        <v>4.9589</v>
      </c>
      <c r="CC33" s="461" t="n">
        <v>4.8794</v>
      </c>
      <c r="CD33" s="461" t="n">
        <v>4.8009</v>
      </c>
      <c r="CE33" s="461" t="n">
        <v>4.7235</v>
      </c>
      <c r="CF33" s="461" t="n">
        <v>4.6471</v>
      </c>
      <c r="CG33" s="461" t="n">
        <v>1.0895</v>
      </c>
      <c r="CH33" s="462" t="n">
        <v>4.4974</v>
      </c>
      <c r="CI33" s="462" t="n">
        <v>4.424</v>
      </c>
      <c r="CJ33" s="462" t="n">
        <v>4.3517</v>
      </c>
      <c r="CK33" s="462" t="n">
        <v>4.2803</v>
      </c>
      <c r="CL33" s="462" t="n">
        <v>4.2099</v>
      </c>
      <c r="CM33" s="462" t="n">
        <v>4.1404</v>
      </c>
      <c r="CN33" s="462" t="n">
        <v>4.0719</v>
      </c>
      <c r="CO33" s="462" t="n">
        <v>4.0043</v>
      </c>
      <c r="CP33" s="462" t="n">
        <v>3.9375</v>
      </c>
      <c r="CQ33" s="462" t="n">
        <v>3.8717</v>
      </c>
      <c r="CR33" s="462" t="n">
        <v>3.8068</v>
      </c>
      <c r="CS33" s="462" t="n">
        <v>2.5013</v>
      </c>
      <c r="CT33" s="461" t="n">
        <v>3.6796</v>
      </c>
      <c r="CU33" s="461" t="n">
        <v>3.6172</v>
      </c>
      <c r="CV33" s="461" t="n">
        <v>3.5557</v>
      </c>
      <c r="CW33" s="461" t="n">
        <v>3.4951</v>
      </c>
      <c r="CX33" s="461" t="n">
        <v>3.4352</v>
      </c>
      <c r="CY33" s="461" t="n">
        <v>3.3761</v>
      </c>
      <c r="CZ33" s="461" t="n">
        <v>3.3179</v>
      </c>
      <c r="DA33" s="461" t="n">
        <v>3.2604</v>
      </c>
      <c r="DB33" s="461" t="n">
        <v>3.2037</v>
      </c>
      <c r="DC33" s="461" t="n">
        <v>3.1478</v>
      </c>
      <c r="DD33" s="461" t="n">
        <v>3.0926</v>
      </c>
      <c r="DE33" s="461" t="n">
        <v>3.0381</v>
      </c>
      <c r="DF33" s="462" t="n">
        <v>2.9844</v>
      </c>
      <c r="DG33" s="462" t="n">
        <v>2.9314</v>
      </c>
      <c r="DH33" s="462" t="n">
        <v>2.8792</v>
      </c>
      <c r="DI33" s="462" t="n">
        <v>2.8276</v>
      </c>
      <c r="DJ33" s="462" t="n">
        <v>2.7767</v>
      </c>
      <c r="DK33" s="462" t="n">
        <v>2.7265</v>
      </c>
      <c r="DL33" s="462" t="n">
        <v>2.677</v>
      </c>
      <c r="DM33" s="462" t="n">
        <v>2.6281</v>
      </c>
      <c r="DN33" s="462" t="n">
        <v>2.58</v>
      </c>
      <c r="DO33" s="462" t="n">
        <v>2.5324</v>
      </c>
      <c r="DP33" s="462" t="n">
        <v>2.4855</v>
      </c>
      <c r="DQ33" s="462" t="n">
        <v>2.4392</v>
      </c>
      <c r="DR33" s="461" t="n">
        <v>2.3936</v>
      </c>
      <c r="DS33" s="461" t="n">
        <v>2.3485</v>
      </c>
      <c r="DT33" s="461" t="n">
        <v>2.3041</v>
      </c>
      <c r="DU33" s="461" t="n">
        <v>2.2603</v>
      </c>
      <c r="DV33" s="461" t="n">
        <v>2.217</v>
      </c>
      <c r="DW33" s="461" t="n">
        <v>2.1743</v>
      </c>
      <c r="DX33" s="461" t="n">
        <v>2.1322</v>
      </c>
      <c r="DY33" s="461" t="n">
        <v>2.0907</v>
      </c>
      <c r="DZ33" s="461" t="n">
        <v>2.0498</v>
      </c>
      <c r="EA33" s="461" t="n">
        <v>2.0093</v>
      </c>
      <c r="EB33" s="461" t="n">
        <v>1.9695</v>
      </c>
      <c r="EC33" s="461" t="n">
        <v>1.9301</v>
      </c>
      <c r="ED33" s="462" t="n">
        <v>1.8913</v>
      </c>
      <c r="EE33" s="462" t="n">
        <v>1.853</v>
      </c>
      <c r="EF33" s="462" t="n">
        <v>1.8153</v>
      </c>
      <c r="EG33" s="462" t="n">
        <v>1.778</v>
      </c>
      <c r="EH33" s="462" t="n">
        <v>1.7413</v>
      </c>
      <c r="EI33" s="462" t="n">
        <v>1.705</v>
      </c>
      <c r="EJ33" s="462" t="n">
        <v>1.6692</v>
      </c>
      <c r="EK33" s="462" t="n">
        <v>1.6339</v>
      </c>
      <c r="EL33" s="462" t="n">
        <v>1.5991</v>
      </c>
      <c r="EM33" s="462" t="n">
        <v>1.5647</v>
      </c>
      <c r="EN33" s="462" t="n">
        <v>1.5308</v>
      </c>
      <c r="EO33" s="462" t="n">
        <v>1.4974</v>
      </c>
      <c r="EP33" s="461" t="n">
        <v>1.4644</v>
      </c>
      <c r="EQ33" s="461" t="n">
        <v>1.4319</v>
      </c>
      <c r="ER33" s="461" t="n">
        <v>1.3998</v>
      </c>
      <c r="ES33" s="461" t="n">
        <v>1.3681</v>
      </c>
      <c r="ET33" s="461" t="n">
        <v>1.3369</v>
      </c>
      <c r="EU33" s="461" t="n">
        <v>1.306</v>
      </c>
      <c r="EV33" s="461" t="n">
        <v>1.2756</v>
      </c>
      <c r="EW33" s="461" t="n">
        <v>1.2456</v>
      </c>
      <c r="EX33" s="461" t="n">
        <v>1.216</v>
      </c>
      <c r="EY33" s="461" t="n">
        <v>1.1868</v>
      </c>
      <c r="EZ33" s="461" t="n">
        <v>1.158</v>
      </c>
      <c r="FA33" s="461" t="n">
        <v>1.1296</v>
      </c>
      <c r="FB33" s="462" t="n">
        <v>1.1016</v>
      </c>
      <c r="FC33" s="462" t="n">
        <v>1.0739</v>
      </c>
      <c r="FD33" s="462" t="n">
        <v>1.0466</v>
      </c>
      <c r="FE33" s="462" t="n">
        <v>1.0197</v>
      </c>
      <c r="FF33" s="462" t="n">
        <v>0.9931</v>
      </c>
      <c r="FG33" s="462" t="n">
        <v>0.9669</v>
      </c>
      <c r="FH33" s="462" t="n">
        <v>0.9411</v>
      </c>
      <c r="FI33" s="462" t="n">
        <v>0.9156</v>
      </c>
      <c r="FJ33" s="462" t="n">
        <v>0.8904</v>
      </c>
      <c r="FK33" s="462" t="n">
        <v>0.8656</v>
      </c>
      <c r="FL33" s="462" t="n">
        <v>0.8411</v>
      </c>
      <c r="FM33" s="462" t="n">
        <v>0.8169999999999999</v>
      </c>
      <c r="FN33" s="461" t="n">
        <v>0.7931</v>
      </c>
      <c r="FO33" s="461" t="n">
        <v>0.7696</v>
      </c>
      <c r="FP33" s="461" t="n">
        <v>0.7464</v>
      </c>
      <c r="FQ33" s="461" t="n">
        <v>0.7235</v>
      </c>
      <c r="FR33" s="461" t="n">
        <v>0.701</v>
      </c>
      <c r="FS33" s="461" t="n">
        <v>0.6787</v>
      </c>
      <c r="FT33" s="461" t="n">
        <v>0.6567</v>
      </c>
      <c r="FU33" s="461" t="n">
        <v>0.635</v>
      </c>
      <c r="FV33" s="461" t="n">
        <v>0.6137</v>
      </c>
      <c r="FW33" s="461" t="n">
        <v>0.5926</v>
      </c>
      <c r="FX33" s="461" t="n">
        <v>0.5717</v>
      </c>
      <c r="FY33" s="461" t="n">
        <v>0.5512</v>
      </c>
      <c r="FZ33" s="306" t="n"/>
    </row>
    <row r="34" ht="15" customHeight="1" s="307">
      <c r="A34" s="321" t="inlineStr">
        <is>
          <t>Cumulative Distributable</t>
        </is>
      </c>
      <c r="B34" s="458" t="n">
        <v>-0.1656</v>
      </c>
      <c r="C34" s="458" t="n">
        <v>-0.3312</v>
      </c>
      <c r="D34" s="458" t="n">
        <v>-0.4969</v>
      </c>
      <c r="E34" s="458" t="n">
        <v>-1.5297</v>
      </c>
      <c r="F34" s="458" t="n">
        <v>-1.7144</v>
      </c>
      <c r="G34" s="458" t="n">
        <v>-1.7923</v>
      </c>
      <c r="H34" s="458" t="n">
        <v>-2.8966</v>
      </c>
      <c r="I34" s="458" t="n">
        <v>-2.7549</v>
      </c>
      <c r="J34" s="458" t="n">
        <v>-2.4018</v>
      </c>
      <c r="K34" s="458" t="n">
        <v>-2.7384</v>
      </c>
      <c r="L34" s="458" t="n">
        <v>-1.9521</v>
      </c>
      <c r="M34" s="458" t="n">
        <v>-1.6818</v>
      </c>
      <c r="N34" s="459" t="n">
        <v>-0.3403</v>
      </c>
      <c r="O34" s="459" t="n">
        <v>1.2645</v>
      </c>
      <c r="P34" s="459" t="n">
        <v>3.1252</v>
      </c>
      <c r="Q34" s="459" t="n">
        <v>4.4914</v>
      </c>
      <c r="R34" s="459" t="n">
        <v>6.8285</v>
      </c>
      <c r="S34" s="459" t="n">
        <v>9.397</v>
      </c>
      <c r="T34" s="459" t="n">
        <v>12.1144</v>
      </c>
      <c r="U34" s="459" t="n">
        <v>14.9502</v>
      </c>
      <c r="V34" s="459" t="n">
        <v>17.9004</v>
      </c>
      <c r="W34" s="459" t="n">
        <v>20.9616</v>
      </c>
      <c r="X34" s="459" t="n">
        <v>24.0273</v>
      </c>
      <c r="Y34" s="459" t="n">
        <v>26.4044</v>
      </c>
      <c r="Z34" s="458" t="n">
        <v>29.5547</v>
      </c>
      <c r="AA34" s="458" t="n">
        <v>32.783</v>
      </c>
      <c r="AB34" s="458" t="n">
        <v>36.0865</v>
      </c>
      <c r="AC34" s="458" t="n">
        <v>39.4626</v>
      </c>
      <c r="AD34" s="458" t="n">
        <v>42.8842</v>
      </c>
      <c r="AE34" s="458" t="n">
        <v>45.657</v>
      </c>
      <c r="AF34" s="458" t="n">
        <v>49.1969</v>
      </c>
      <c r="AG34" s="458" t="n">
        <v>52.8089</v>
      </c>
      <c r="AH34" s="458" t="n">
        <v>56.4902</v>
      </c>
      <c r="AI34" s="458" t="n">
        <v>60.2383</v>
      </c>
      <c r="AJ34" s="458" t="n">
        <v>64.0505</v>
      </c>
      <c r="AK34" s="458" t="n">
        <v>67.2321</v>
      </c>
      <c r="AL34" s="459" t="n">
        <v>75.1185</v>
      </c>
      <c r="AM34" s="459" t="n">
        <v>83.13809999999999</v>
      </c>
      <c r="AN34" s="459" t="n">
        <v>91.28570000000001</v>
      </c>
      <c r="AO34" s="459" t="n">
        <v>99.55629999999999</v>
      </c>
      <c r="AP34" s="459" t="n">
        <v>107.9448</v>
      </c>
      <c r="AQ34" s="459" t="n">
        <v>116.4465</v>
      </c>
      <c r="AR34" s="459" t="n">
        <v>124.871</v>
      </c>
      <c r="AS34" s="459" t="n">
        <v>133.2187</v>
      </c>
      <c r="AT34" s="459" t="n">
        <v>141.4899</v>
      </c>
      <c r="AU34" s="459" t="n">
        <v>149.6851</v>
      </c>
      <c r="AV34" s="459" t="n">
        <v>157.8045</v>
      </c>
      <c r="AW34" s="459" t="n">
        <v>159.3713</v>
      </c>
      <c r="AX34" s="458" t="n">
        <v>167.2944</v>
      </c>
      <c r="AY34" s="458" t="n">
        <v>175.0981</v>
      </c>
      <c r="AZ34" s="458" t="n">
        <v>182.784</v>
      </c>
      <c r="BA34" s="458" t="n">
        <v>190.3536</v>
      </c>
      <c r="BB34" s="458" t="n">
        <v>197.8085</v>
      </c>
      <c r="BC34" s="458" t="n">
        <v>205.1504</v>
      </c>
      <c r="BD34" s="458" t="n">
        <v>212.3806</v>
      </c>
      <c r="BE34" s="458" t="n">
        <v>219.5007</v>
      </c>
      <c r="BF34" s="458" t="n">
        <v>226.5122</v>
      </c>
      <c r="BG34" s="458" t="n">
        <v>233.4166</v>
      </c>
      <c r="BH34" s="458" t="n">
        <v>240.2152</v>
      </c>
      <c r="BI34" s="458" t="n">
        <v>237.6897</v>
      </c>
      <c r="BJ34" s="459" t="n">
        <v>244.2811</v>
      </c>
      <c r="BK34" s="459" t="n">
        <v>250.7711</v>
      </c>
      <c r="BL34" s="459" t="n">
        <v>257.1608</v>
      </c>
      <c r="BM34" s="459" t="n">
        <v>263.4518</v>
      </c>
      <c r="BN34" s="459" t="n">
        <v>269.6453</v>
      </c>
      <c r="BO34" s="459" t="n">
        <v>275.7427</v>
      </c>
      <c r="BP34" s="459" t="n">
        <v>281.7452</v>
      </c>
      <c r="BQ34" s="459" t="n">
        <v>287.6541</v>
      </c>
      <c r="BR34" s="459" t="n">
        <v>293.4706</v>
      </c>
      <c r="BS34" s="459" t="n">
        <v>299.1961</v>
      </c>
      <c r="BT34" s="459" t="n">
        <v>304.8317</v>
      </c>
      <c r="BU34" s="459" t="n">
        <v>304.2603</v>
      </c>
      <c r="BV34" s="458" t="n">
        <v>309.7198</v>
      </c>
      <c r="BW34" s="458" t="n">
        <v>315.0931</v>
      </c>
      <c r="BX34" s="458" t="n">
        <v>320.3812</v>
      </c>
      <c r="BY34" s="458" t="n">
        <v>325.5853</v>
      </c>
      <c r="BZ34" s="458" t="n">
        <v>330.7066</v>
      </c>
      <c r="CA34" s="458" t="n">
        <v>335.7461</v>
      </c>
      <c r="CB34" s="458" t="n">
        <v>340.705</v>
      </c>
      <c r="CC34" s="458" t="n">
        <v>345.5844</v>
      </c>
      <c r="CD34" s="458" t="n">
        <v>350.3853</v>
      </c>
      <c r="CE34" s="458" t="n">
        <v>355.1087</v>
      </c>
      <c r="CF34" s="458" t="n">
        <v>359.7558</v>
      </c>
      <c r="CG34" s="458" t="n">
        <v>360.8453</v>
      </c>
      <c r="CH34" s="459" t="n">
        <v>365.3427</v>
      </c>
      <c r="CI34" s="459" t="n">
        <v>369.7668</v>
      </c>
      <c r="CJ34" s="459" t="n">
        <v>374.1185</v>
      </c>
      <c r="CK34" s="459" t="n">
        <v>378.3988</v>
      </c>
      <c r="CL34" s="459" t="n">
        <v>382.6086</v>
      </c>
      <c r="CM34" s="459" t="n">
        <v>386.7491</v>
      </c>
      <c r="CN34" s="459" t="n">
        <v>390.8209</v>
      </c>
      <c r="CO34" s="459" t="n">
        <v>394.8252</v>
      </c>
      <c r="CP34" s="459" t="n">
        <v>398.7627</v>
      </c>
      <c r="CQ34" s="459" t="n">
        <v>402.6345</v>
      </c>
      <c r="CR34" s="459" t="n">
        <v>406.4413</v>
      </c>
      <c r="CS34" s="459" t="n">
        <v>408.9426</v>
      </c>
      <c r="CT34" s="458" t="n">
        <v>412.6222</v>
      </c>
      <c r="CU34" s="458" t="n">
        <v>416.2394</v>
      </c>
      <c r="CV34" s="458" t="n">
        <v>419.7951</v>
      </c>
      <c r="CW34" s="458" t="n">
        <v>423.2902</v>
      </c>
      <c r="CX34" s="458" t="n">
        <v>426.7254</v>
      </c>
      <c r="CY34" s="458" t="n">
        <v>430.1015</v>
      </c>
      <c r="CZ34" s="458" t="n">
        <v>433.4194</v>
      </c>
      <c r="DA34" s="458" t="n">
        <v>436.6798</v>
      </c>
      <c r="DB34" s="458" t="n">
        <v>439.8836</v>
      </c>
      <c r="DC34" s="458" t="n">
        <v>443.0313</v>
      </c>
      <c r="DD34" s="458" t="n">
        <v>446.1239</v>
      </c>
      <c r="DE34" s="458" t="n">
        <v>449.1621</v>
      </c>
      <c r="DF34" s="459" t="n">
        <v>452.1465</v>
      </c>
      <c r="DG34" s="459" t="n">
        <v>455.0779</v>
      </c>
      <c r="DH34" s="459" t="n">
        <v>457.9571</v>
      </c>
      <c r="DI34" s="459" t="n">
        <v>460.7847</v>
      </c>
      <c r="DJ34" s="459" t="n">
        <v>463.5614</v>
      </c>
      <c r="DK34" s="459" t="n">
        <v>466.2879</v>
      </c>
      <c r="DL34" s="459" t="n">
        <v>468.9649</v>
      </c>
      <c r="DM34" s="459" t="n">
        <v>471.5931</v>
      </c>
      <c r="DN34" s="459" t="n">
        <v>474.173</v>
      </c>
      <c r="DO34" s="459" t="n">
        <v>476.7054</v>
      </c>
      <c r="DP34" s="459" t="n">
        <v>479.1909</v>
      </c>
      <c r="DQ34" s="459" t="n">
        <v>481.6302</v>
      </c>
      <c r="DR34" s="458" t="n">
        <v>484.0237</v>
      </c>
      <c r="DS34" s="458" t="n">
        <v>486.3723</v>
      </c>
      <c r="DT34" s="458" t="n">
        <v>488.6763</v>
      </c>
      <c r="DU34" s="458" t="n">
        <v>490.9366</v>
      </c>
      <c r="DV34" s="458" t="n">
        <v>493.1536</v>
      </c>
      <c r="DW34" s="458" t="n">
        <v>495.3279</v>
      </c>
      <c r="DX34" s="458" t="n">
        <v>497.4602</v>
      </c>
      <c r="DY34" s="458" t="n">
        <v>499.5509</v>
      </c>
      <c r="DZ34" s="458" t="n">
        <v>501.6007</v>
      </c>
      <c r="EA34" s="458" t="n">
        <v>503.61</v>
      </c>
      <c r="EB34" s="458" t="n">
        <v>505.5795</v>
      </c>
      <c r="EC34" s="458" t="n">
        <v>507.5096</v>
      </c>
      <c r="ED34" s="459" t="n">
        <v>509.4009</v>
      </c>
      <c r="EE34" s="459" t="n">
        <v>511.254</v>
      </c>
      <c r="EF34" s="459" t="n">
        <v>513.0693</v>
      </c>
      <c r="EG34" s="459" t="n">
        <v>514.8473</v>
      </c>
      <c r="EH34" s="459" t="n">
        <v>516.5885</v>
      </c>
      <c r="EI34" s="459" t="n">
        <v>518.2935</v>
      </c>
      <c r="EJ34" s="459" t="n">
        <v>519.9627</v>
      </c>
      <c r="EK34" s="459" t="n">
        <v>521.5966</v>
      </c>
      <c r="EL34" s="459" t="n">
        <v>523.1957</v>
      </c>
      <c r="EM34" s="459" t="n">
        <v>524.7604</v>
      </c>
      <c r="EN34" s="459" t="n">
        <v>526.2913</v>
      </c>
      <c r="EO34" s="459" t="n">
        <v>527.7886999999999</v>
      </c>
      <c r="EP34" s="458" t="n">
        <v>529.2531</v>
      </c>
      <c r="EQ34" s="458" t="n">
        <v>530.6849999999999</v>
      </c>
      <c r="ER34" s="458" t="n">
        <v>532.0848</v>
      </c>
      <c r="ES34" s="458" t="n">
        <v>533.4529</v>
      </c>
      <c r="ET34" s="458" t="n">
        <v>534.7898</v>
      </c>
      <c r="EU34" s="458" t="n">
        <v>536.0958000000001</v>
      </c>
      <c r="EV34" s="458" t="n">
        <v>537.3714</v>
      </c>
      <c r="EW34" s="458" t="n">
        <v>538.617</v>
      </c>
      <c r="EX34" s="458" t="n">
        <v>539.8330999999999</v>
      </c>
      <c r="EY34" s="458" t="n">
        <v>541.0199</v>
      </c>
      <c r="EZ34" s="458" t="n">
        <v>542.1779</v>
      </c>
      <c r="FA34" s="458" t="n">
        <v>543.3075</v>
      </c>
      <c r="FB34" s="459" t="n">
        <v>544.4091</v>
      </c>
      <c r="FC34" s="459" t="n">
        <v>545.4829</v>
      </c>
      <c r="FD34" s="459" t="n">
        <v>546.5296</v>
      </c>
      <c r="FE34" s="459" t="n">
        <v>547.5492</v>
      </c>
      <c r="FF34" s="459" t="n">
        <v>548.5424</v>
      </c>
      <c r="FG34" s="459" t="n">
        <v>549.5093000000001</v>
      </c>
      <c r="FH34" s="459" t="n">
        <v>550.4503999999999</v>
      </c>
      <c r="FI34" s="459" t="n">
        <v>551.366</v>
      </c>
      <c r="FJ34" s="459" t="n">
        <v>552.2564</v>
      </c>
      <c r="FK34" s="459" t="n">
        <v>553.122</v>
      </c>
      <c r="FL34" s="459" t="n">
        <v>553.9631000000001</v>
      </c>
      <c r="FM34" s="459" t="n">
        <v>554.78</v>
      </c>
      <c r="FN34" s="458" t="n">
        <v>555.5731</v>
      </c>
      <c r="FO34" s="458" t="n">
        <v>556.3428</v>
      </c>
      <c r="FP34" s="458" t="n">
        <v>557.0892</v>
      </c>
      <c r="FQ34" s="458" t="n">
        <v>557.8126999999999</v>
      </c>
      <c r="FR34" s="458" t="n">
        <v>558.5137</v>
      </c>
      <c r="FS34" s="458" t="n">
        <v>559.1923</v>
      </c>
      <c r="FT34" s="458" t="n">
        <v>559.8491</v>
      </c>
      <c r="FU34" s="458" t="n">
        <v>560.4841</v>
      </c>
      <c r="FV34" s="458" t="n">
        <v>561.0977</v>
      </c>
      <c r="FW34" s="458" t="n">
        <v>561.6903</v>
      </c>
      <c r="FX34" s="458" t="n">
        <v>562.2619999999999</v>
      </c>
      <c r="FY34" s="458" t="n">
        <v>562.8132000000001</v>
      </c>
      <c r="FZ34" s="306" t="n"/>
    </row>
    <row r="35" ht="15" customHeight="1" s="307">
      <c r="A35" s="321" t="n"/>
      <c r="B35" s="459" t="n"/>
      <c r="C35" s="459" t="n"/>
      <c r="D35" s="459" t="n"/>
      <c r="E35" s="459" t="n"/>
      <c r="F35" s="459" t="n"/>
      <c r="G35" s="459" t="n"/>
      <c r="H35" s="459" t="n"/>
      <c r="I35" s="459" t="n"/>
      <c r="J35" s="459" t="n"/>
      <c r="K35" s="459" t="n"/>
      <c r="L35" s="459" t="n"/>
      <c r="M35" s="459" t="n"/>
      <c r="N35" s="459" t="n"/>
      <c r="O35" s="459" t="n"/>
      <c r="P35" s="459" t="n"/>
      <c r="Q35" s="459" t="n"/>
      <c r="R35" s="459" t="n"/>
      <c r="S35" s="459" t="n"/>
      <c r="T35" s="459" t="n"/>
      <c r="U35" s="459" t="n"/>
      <c r="V35" s="459" t="n"/>
      <c r="W35" s="459" t="n"/>
      <c r="X35" s="459" t="n"/>
      <c r="Y35" s="459" t="n"/>
      <c r="Z35" s="459" t="n"/>
      <c r="AA35" s="459" t="n"/>
      <c r="AB35" s="459" t="n"/>
      <c r="AC35" s="459" t="n"/>
      <c r="AD35" s="459" t="n"/>
      <c r="AE35" s="459" t="n"/>
      <c r="AF35" s="459" t="n"/>
      <c r="AG35" s="459" t="n"/>
      <c r="AH35" s="459" t="n"/>
      <c r="AI35" s="459" t="n"/>
      <c r="AJ35" s="459" t="n"/>
      <c r="AK35" s="459" t="n"/>
      <c r="AL35" s="459" t="n"/>
      <c r="AM35" s="459" t="n"/>
      <c r="AN35" s="459" t="n"/>
      <c r="AO35" s="459" t="n"/>
      <c r="AP35" s="459" t="n"/>
      <c r="AQ35" s="459" t="n"/>
      <c r="AR35" s="459" t="n"/>
      <c r="AS35" s="459" t="n"/>
      <c r="AT35" s="459" t="n"/>
      <c r="AU35" s="459" t="n"/>
      <c r="AV35" s="459" t="n"/>
      <c r="AW35" s="459" t="n"/>
      <c r="AX35" s="459" t="n"/>
      <c r="AY35" s="459" t="n"/>
      <c r="AZ35" s="459" t="n"/>
      <c r="BA35" s="459" t="n"/>
      <c r="BB35" s="459" t="n"/>
      <c r="BC35" s="459" t="n"/>
      <c r="BD35" s="459" t="n"/>
      <c r="BE35" s="459" t="n"/>
      <c r="BF35" s="459" t="n"/>
      <c r="BG35" s="459" t="n"/>
      <c r="BH35" s="459" t="n"/>
      <c r="BI35" s="459" t="n"/>
      <c r="BJ35" s="459" t="n"/>
      <c r="BK35" s="459" t="n"/>
      <c r="BL35" s="459" t="n"/>
      <c r="BM35" s="459" t="n"/>
      <c r="BN35" s="459" t="n"/>
      <c r="BO35" s="459" t="n"/>
      <c r="BP35" s="459" t="n"/>
      <c r="BQ35" s="459" t="n"/>
      <c r="BR35" s="459" t="n"/>
      <c r="BS35" s="459" t="n"/>
      <c r="BT35" s="459" t="n"/>
      <c r="BU35" s="459" t="n"/>
      <c r="BV35" s="459" t="n"/>
      <c r="BW35" s="459" t="n"/>
      <c r="BX35" s="459" t="n"/>
      <c r="BY35" s="459" t="n"/>
      <c r="BZ35" s="459" t="n"/>
      <c r="CA35" s="459" t="n"/>
      <c r="CB35" s="459" t="n"/>
      <c r="CC35" s="459" t="n"/>
      <c r="CD35" s="459" t="n"/>
      <c r="CE35" s="459" t="n"/>
      <c r="CF35" s="459" t="n"/>
      <c r="CG35" s="459" t="n"/>
      <c r="CH35" s="459" t="n"/>
      <c r="CI35" s="459" t="n"/>
      <c r="CJ35" s="459" t="n"/>
      <c r="CK35" s="459" t="n"/>
      <c r="CL35" s="459" t="n"/>
      <c r="CM35" s="459" t="n"/>
      <c r="CN35" s="459" t="n"/>
      <c r="CO35" s="459" t="n"/>
      <c r="CP35" s="459" t="n"/>
      <c r="CQ35" s="459" t="n"/>
      <c r="CR35" s="459" t="n"/>
      <c r="CS35" s="459" t="n"/>
      <c r="CT35" s="459" t="n"/>
      <c r="CU35" s="459" t="n"/>
      <c r="CV35" s="459" t="n"/>
      <c r="CW35" s="459" t="n"/>
      <c r="CX35" s="459" t="n"/>
      <c r="CY35" s="459" t="n"/>
      <c r="CZ35" s="459" t="n"/>
      <c r="DA35" s="459" t="n"/>
      <c r="DB35" s="459" t="n"/>
      <c r="DC35" s="459" t="n"/>
      <c r="DD35" s="459" t="n"/>
      <c r="DE35" s="459" t="n"/>
      <c r="DF35" s="459" t="n"/>
      <c r="DG35" s="459" t="n"/>
      <c r="DH35" s="459" t="n"/>
      <c r="DI35" s="459" t="n"/>
      <c r="DJ35" s="459" t="n"/>
      <c r="DK35" s="459" t="n"/>
      <c r="DL35" s="459" t="n"/>
      <c r="DM35" s="459" t="n"/>
      <c r="DN35" s="459" t="n"/>
      <c r="DO35" s="459" t="n"/>
      <c r="DP35" s="459" t="n"/>
      <c r="DQ35" s="459" t="n"/>
      <c r="DR35" s="459" t="n"/>
      <c r="DS35" s="459" t="n"/>
      <c r="DT35" s="459" t="n"/>
      <c r="DU35" s="459" t="n"/>
      <c r="DV35" s="459" t="n"/>
      <c r="DW35" s="459" t="n"/>
      <c r="DX35" s="459" t="n"/>
      <c r="DY35" s="459" t="n"/>
      <c r="DZ35" s="459" t="n"/>
      <c r="EA35" s="459" t="n"/>
      <c r="EB35" s="459" t="n"/>
      <c r="EC35" s="459" t="n"/>
      <c r="ED35" s="459" t="n"/>
      <c r="EE35" s="459" t="n"/>
      <c r="EF35" s="459" t="n"/>
      <c r="EG35" s="459" t="n"/>
      <c r="EH35" s="459" t="n"/>
      <c r="EI35" s="459" t="n"/>
      <c r="EJ35" s="459" t="n"/>
      <c r="EK35" s="459" t="n"/>
      <c r="EL35" s="459" t="n"/>
      <c r="EM35" s="459" t="n"/>
      <c r="EN35" s="459" t="n"/>
      <c r="EO35" s="459" t="n"/>
      <c r="EP35" s="459" t="n"/>
      <c r="EQ35" s="459" t="n"/>
      <c r="ER35" s="459" t="n"/>
      <c r="ES35" s="459" t="n"/>
      <c r="ET35" s="459" t="n"/>
      <c r="EU35" s="459" t="n"/>
      <c r="EV35" s="459" t="n"/>
      <c r="EW35" s="459" t="n"/>
      <c r="EX35" s="459" t="n"/>
      <c r="EY35" s="459" t="n"/>
      <c r="EZ35" s="459" t="n"/>
      <c r="FA35" s="459" t="n"/>
      <c r="FB35" s="459" t="n"/>
      <c r="FC35" s="459" t="n"/>
      <c r="FD35" s="459" t="n"/>
      <c r="FE35" s="459" t="n"/>
      <c r="FF35" s="459" t="n"/>
      <c r="FG35" s="459" t="n"/>
      <c r="FH35" s="459" t="n"/>
      <c r="FI35" s="459" t="n"/>
      <c r="FJ35" s="459" t="n"/>
      <c r="FK35" s="459" t="n"/>
      <c r="FL35" s="459" t="n"/>
      <c r="FM35" s="459" t="n"/>
      <c r="FN35" s="459" t="n"/>
      <c r="FO35" s="459" t="n"/>
      <c r="FP35" s="459" t="n"/>
      <c r="FQ35" s="459" t="n"/>
      <c r="FR35" s="459" t="n"/>
      <c r="FS35" s="459" t="n"/>
      <c r="FT35" s="459" t="n"/>
      <c r="FU35" s="459" t="n"/>
      <c r="FV35" s="459" t="n"/>
      <c r="FW35" s="459" t="n"/>
      <c r="FX35" s="459" t="n"/>
      <c r="FY35" s="459" t="n"/>
      <c r="FZ35" s="306" t="n"/>
    </row>
    <row r="36" ht="15" customHeight="1" s="307">
      <c r="A36" s="314" t="n"/>
      <c r="B36" s="464" t="n"/>
      <c r="C36" s="464" t="n"/>
      <c r="D36" s="464" t="n"/>
      <c r="E36" s="464" t="n"/>
      <c r="F36" s="464" t="n"/>
      <c r="G36" s="464" t="n"/>
      <c r="H36" s="464" t="n"/>
      <c r="I36" s="464" t="n"/>
      <c r="J36" s="464" t="n"/>
      <c r="K36" s="464" t="n"/>
      <c r="L36" s="464" t="n"/>
      <c r="M36" s="464" t="n"/>
      <c r="N36" s="464" t="n"/>
      <c r="O36" s="464" t="n"/>
      <c r="P36" s="464" t="n"/>
      <c r="Q36" s="464" t="n"/>
      <c r="R36" s="464" t="n"/>
      <c r="S36" s="464" t="n"/>
      <c r="T36" s="464" t="n"/>
      <c r="U36" s="464" t="n"/>
      <c r="V36" s="464" t="n"/>
      <c r="W36" s="464" t="n"/>
      <c r="X36" s="464" t="n"/>
      <c r="Y36" s="464" t="n"/>
      <c r="Z36" s="464" t="n"/>
      <c r="AA36" s="464" t="n"/>
      <c r="AB36" s="464" t="n"/>
      <c r="AC36" s="464" t="n"/>
      <c r="AD36" s="464" t="n"/>
      <c r="AE36" s="464" t="n"/>
      <c r="AF36" s="464" t="n"/>
      <c r="AG36" s="464" t="n"/>
      <c r="AH36" s="464" t="n"/>
      <c r="AI36" s="464" t="n"/>
      <c r="AJ36" s="464" t="n"/>
      <c r="AK36" s="464" t="n"/>
      <c r="AL36" s="464" t="n"/>
      <c r="AM36" s="464" t="n"/>
      <c r="AN36" s="464" t="n"/>
      <c r="AO36" s="464" t="n"/>
      <c r="AP36" s="464" t="n"/>
      <c r="AQ36" s="464" t="n"/>
      <c r="AR36" s="464" t="n"/>
      <c r="AS36" s="464" t="n"/>
      <c r="AT36" s="464" t="n"/>
      <c r="AU36" s="464" t="n"/>
      <c r="AV36" s="464" t="n"/>
      <c r="AW36" s="464" t="n"/>
      <c r="AX36" s="464" t="n"/>
      <c r="AY36" s="464" t="n"/>
      <c r="AZ36" s="464" t="n"/>
      <c r="BA36" s="464" t="n"/>
      <c r="BB36" s="464" t="n"/>
      <c r="BC36" s="464" t="n"/>
      <c r="BD36" s="464" t="n"/>
      <c r="BE36" s="464" t="n"/>
      <c r="BF36" s="464" t="n"/>
      <c r="BG36" s="464" t="n"/>
      <c r="BH36" s="464" t="n"/>
      <c r="BI36" s="464" t="n"/>
      <c r="BJ36" s="464" t="n"/>
      <c r="BK36" s="464" t="n"/>
      <c r="BL36" s="464" t="n"/>
      <c r="BM36" s="464" t="n"/>
      <c r="BN36" s="464" t="n"/>
      <c r="BO36" s="464" t="n"/>
      <c r="BP36" s="464" t="n"/>
      <c r="BQ36" s="464" t="n"/>
      <c r="BR36" s="464" t="n"/>
      <c r="BS36" s="464" t="n"/>
      <c r="BT36" s="464" t="n"/>
      <c r="BU36" s="464" t="n"/>
      <c r="BV36" s="464" t="n"/>
      <c r="BW36" s="464" t="n"/>
      <c r="BX36" s="464" t="n"/>
      <c r="BY36" s="464" t="n"/>
      <c r="BZ36" s="464" t="n"/>
      <c r="CA36" s="464" t="n"/>
      <c r="CB36" s="464" t="n"/>
      <c r="CC36" s="464" t="n"/>
      <c r="CD36" s="464" t="n"/>
      <c r="CE36" s="464" t="n"/>
      <c r="CF36" s="464" t="n"/>
      <c r="CG36" s="464" t="n"/>
      <c r="CH36" s="464" t="n"/>
      <c r="CI36" s="464" t="n"/>
      <c r="CJ36" s="464" t="n"/>
      <c r="CK36" s="464" t="n"/>
      <c r="CL36" s="464" t="n"/>
      <c r="CM36" s="464" t="n"/>
      <c r="CN36" s="464" t="n"/>
      <c r="CO36" s="464" t="n"/>
      <c r="CP36" s="464" t="n"/>
      <c r="CQ36" s="464" t="n"/>
      <c r="CR36" s="464" t="n"/>
      <c r="CS36" s="464" t="n"/>
      <c r="CT36" s="464" t="n"/>
      <c r="CU36" s="464" t="n"/>
      <c r="CV36" s="464" t="n"/>
      <c r="CW36" s="464" t="n"/>
      <c r="CX36" s="464" t="n"/>
      <c r="CY36" s="464" t="n"/>
      <c r="CZ36" s="464" t="n"/>
      <c r="DA36" s="464" t="n"/>
      <c r="DB36" s="464" t="n"/>
      <c r="DC36" s="464" t="n"/>
      <c r="DD36" s="464" t="n"/>
      <c r="DE36" s="464" t="n"/>
      <c r="DF36" s="464" t="n"/>
      <c r="DG36" s="464" t="n"/>
      <c r="DH36" s="464" t="n"/>
      <c r="DI36" s="464" t="n"/>
      <c r="DJ36" s="464" t="n"/>
      <c r="DK36" s="464" t="n"/>
      <c r="DL36" s="464" t="n"/>
      <c r="DM36" s="464" t="n"/>
      <c r="DN36" s="464" t="n"/>
      <c r="DO36" s="464" t="n"/>
      <c r="DP36" s="464" t="n"/>
      <c r="DQ36" s="464" t="n"/>
      <c r="DR36" s="464" t="n"/>
      <c r="DS36" s="464" t="n"/>
      <c r="DT36" s="464" t="n"/>
      <c r="DU36" s="464" t="n"/>
      <c r="DV36" s="464" t="n"/>
      <c r="DW36" s="464" t="n"/>
      <c r="DX36" s="464" t="n"/>
      <c r="DY36" s="464" t="n"/>
      <c r="DZ36" s="464" t="n"/>
      <c r="EA36" s="464" t="n"/>
      <c r="EB36" s="464" t="n"/>
      <c r="EC36" s="464" t="n"/>
      <c r="ED36" s="464" t="n"/>
      <c r="EE36" s="464" t="n"/>
      <c r="EF36" s="464" t="n"/>
      <c r="EG36" s="464" t="n"/>
      <c r="EH36" s="464" t="n"/>
      <c r="EI36" s="464" t="n"/>
      <c r="EJ36" s="464" t="n"/>
      <c r="EK36" s="464" t="n"/>
      <c r="EL36" s="464" t="n"/>
      <c r="EM36" s="464" t="n"/>
      <c r="EN36" s="464" t="n"/>
      <c r="EO36" s="464" t="n"/>
      <c r="EP36" s="464" t="n"/>
      <c r="EQ36" s="464" t="n"/>
      <c r="ER36" s="464" t="n"/>
      <c r="ES36" s="464" t="n"/>
      <c r="ET36" s="464" t="n"/>
      <c r="EU36" s="464" t="n"/>
      <c r="EV36" s="464" t="n"/>
      <c r="EW36" s="464" t="n"/>
      <c r="EX36" s="464" t="n"/>
      <c r="EY36" s="464" t="n"/>
      <c r="EZ36" s="464" t="n"/>
      <c r="FA36" s="464" t="n"/>
      <c r="FB36" s="464" t="n"/>
      <c r="FC36" s="464" t="n"/>
      <c r="FD36" s="464" t="n"/>
      <c r="FE36" s="464" t="n"/>
      <c r="FF36" s="464" t="n"/>
      <c r="FG36" s="464" t="n"/>
      <c r="FH36" s="464" t="n"/>
      <c r="FI36" s="464" t="n"/>
      <c r="FJ36" s="464" t="n"/>
      <c r="FK36" s="464" t="n"/>
      <c r="FL36" s="464" t="n"/>
      <c r="FM36" s="464" t="n"/>
      <c r="FN36" s="464" t="n"/>
      <c r="FO36" s="464" t="n"/>
      <c r="FP36" s="464" t="n"/>
      <c r="FQ36" s="464" t="n"/>
      <c r="FR36" s="464" t="n"/>
      <c r="FS36" s="464" t="n"/>
      <c r="FT36" s="464" t="n"/>
      <c r="FU36" s="464" t="n"/>
      <c r="FV36" s="464" t="n"/>
      <c r="FW36" s="464" t="n"/>
      <c r="FX36" s="464" t="n"/>
      <c r="FY36" s="464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471" t="inlineStr">
        <is>
          <t>QUARTERLY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 t="n">
        <v>0</v>
      </c>
      <c r="C5" s="466" t="n">
        <v>6.31</v>
      </c>
      <c r="D5" s="466" t="n">
        <v>12.77</v>
      </c>
      <c r="E5" s="466" t="n">
        <v>21.85</v>
      </c>
      <c r="F5" s="466" t="n">
        <v>25.23</v>
      </c>
      <c r="G5" s="466" t="n">
        <v>30.49</v>
      </c>
      <c r="H5" s="466" t="n">
        <v>29.28</v>
      </c>
      <c r="I5" s="466" t="n">
        <v>28.11</v>
      </c>
      <c r="J5" s="466" t="n">
        <v>26.99</v>
      </c>
      <c r="K5" s="466" t="n">
        <v>25.92</v>
      </c>
      <c r="L5" s="466" t="n">
        <v>24.89</v>
      </c>
      <c r="M5" s="466" t="n">
        <v>23.89</v>
      </c>
      <c r="N5" s="466" t="n">
        <v>22.94</v>
      </c>
      <c r="O5" s="466" t="n">
        <v>22.03</v>
      </c>
      <c r="P5" s="466" t="n">
        <v>21.15</v>
      </c>
      <c r="Q5" s="466" t="n">
        <v>20.31</v>
      </c>
      <c r="R5" s="466" t="n">
        <v>19.5</v>
      </c>
      <c r="S5" s="466" t="n">
        <v>18.73</v>
      </c>
      <c r="T5" s="466" t="n">
        <v>17.98</v>
      </c>
      <c r="U5" s="466" t="n">
        <v>17.26</v>
      </c>
      <c r="V5" s="466" t="n">
        <v>16.58</v>
      </c>
      <c r="W5" s="466" t="n">
        <v>15.92</v>
      </c>
      <c r="X5" s="466" t="n">
        <v>15.28</v>
      </c>
      <c r="Y5" s="466" t="n">
        <v>14.67</v>
      </c>
      <c r="Z5" s="466" t="n">
        <v>14.09</v>
      </c>
      <c r="AA5" s="466" t="n">
        <v>13.53</v>
      </c>
      <c r="AB5" s="466" t="n">
        <v>12.99</v>
      </c>
      <c r="AC5" s="466" t="n">
        <v>12.47</v>
      </c>
      <c r="AD5" s="466" t="n">
        <v>11.98</v>
      </c>
      <c r="AE5" s="466" t="n">
        <v>11.5</v>
      </c>
      <c r="AF5" s="466" t="n">
        <v>11.04</v>
      </c>
      <c r="AG5" s="466" t="n">
        <v>10.6</v>
      </c>
      <c r="AH5" s="466" t="n">
        <v>10.18</v>
      </c>
      <c r="AI5" s="466" t="n">
        <v>9.77</v>
      </c>
      <c r="AJ5" s="466" t="n">
        <v>9.390000000000001</v>
      </c>
      <c r="AK5" s="466" t="n">
        <v>9.01</v>
      </c>
      <c r="AL5" s="466" t="n">
        <v>8.65</v>
      </c>
      <c r="AM5" s="466" t="n">
        <v>8.31</v>
      </c>
      <c r="AN5" s="466" t="n">
        <v>7.98</v>
      </c>
      <c r="AO5" s="466" t="n">
        <v>7.66</v>
      </c>
      <c r="AP5" s="466" t="n">
        <v>7.36</v>
      </c>
      <c r="AQ5" s="466" t="n">
        <v>7.06</v>
      </c>
      <c r="AR5" s="466" t="n">
        <v>6.78</v>
      </c>
      <c r="AS5" s="466" t="n">
        <v>6.51</v>
      </c>
      <c r="AT5" s="466" t="n">
        <v>6.25</v>
      </c>
      <c r="AU5" s="466" t="n">
        <v>6</v>
      </c>
      <c r="AV5" s="466" t="n">
        <v>5.76</v>
      </c>
      <c r="AW5" s="466" t="n">
        <v>5.53</v>
      </c>
      <c r="AX5" s="466" t="n">
        <v>5.31</v>
      </c>
      <c r="AY5" s="466" t="n">
        <v>5.1</v>
      </c>
      <c r="AZ5" s="466" t="n">
        <v>4.9</v>
      </c>
      <c r="BA5" s="466" t="n">
        <v>4.7</v>
      </c>
      <c r="BB5" s="466" t="n">
        <v>4.52</v>
      </c>
      <c r="BC5" s="466" t="n">
        <v>4.34</v>
      </c>
      <c r="BD5" s="466" t="n">
        <v>4.16</v>
      </c>
      <c r="BE5" s="466" t="n">
        <v>4</v>
      </c>
      <c r="BF5" s="466" t="n">
        <v>3.84</v>
      </c>
      <c r="BG5" s="466" t="n">
        <v>3.69</v>
      </c>
      <c r="BH5" s="466" t="n">
        <v>3.54</v>
      </c>
      <c r="BI5" s="466" t="n">
        <v>3.4</v>
      </c>
      <c r="BJ5" s="306" t="n"/>
    </row>
    <row r="6" ht="15" customHeight="1" s="307">
      <c r="A6" s="321" t="inlineStr">
        <is>
          <t xml:space="preserve">    Cost of Goods Sold</t>
        </is>
      </c>
      <c r="B6" s="459" t="n">
        <v>0</v>
      </c>
      <c r="C6" s="459" t="n">
        <v>1.42</v>
      </c>
      <c r="D6" s="459" t="n">
        <v>2.42</v>
      </c>
      <c r="E6" s="459" t="n">
        <v>3.76</v>
      </c>
      <c r="F6" s="459" t="n">
        <v>3.52</v>
      </c>
      <c r="G6" s="459" t="n">
        <v>3.99</v>
      </c>
      <c r="H6" s="459" t="n">
        <v>3.23</v>
      </c>
      <c r="I6" s="459" t="n">
        <v>2.81</v>
      </c>
      <c r="J6" s="459" t="n">
        <v>2.7</v>
      </c>
      <c r="K6" s="459" t="n">
        <v>2.59</v>
      </c>
      <c r="L6" s="459" t="n">
        <v>2.49</v>
      </c>
      <c r="M6" s="459" t="n">
        <v>2.39</v>
      </c>
      <c r="N6" s="459" t="n">
        <v>2.29</v>
      </c>
      <c r="O6" s="459" t="n">
        <v>2.2</v>
      </c>
      <c r="P6" s="459" t="n">
        <v>2.12</v>
      </c>
      <c r="Q6" s="459" t="n">
        <v>2.03</v>
      </c>
      <c r="R6" s="459" t="n">
        <v>1.95</v>
      </c>
      <c r="S6" s="459" t="n">
        <v>1.87</v>
      </c>
      <c r="T6" s="459" t="n">
        <v>1.8</v>
      </c>
      <c r="U6" s="459" t="n">
        <v>1.73</v>
      </c>
      <c r="V6" s="459" t="n">
        <v>1.66</v>
      </c>
      <c r="W6" s="459" t="n">
        <v>1.59</v>
      </c>
      <c r="X6" s="459" t="n">
        <v>1.53</v>
      </c>
      <c r="Y6" s="459" t="n">
        <v>1.47</v>
      </c>
      <c r="Z6" s="459" t="n">
        <v>1.41</v>
      </c>
      <c r="AA6" s="459" t="n">
        <v>1.35</v>
      </c>
      <c r="AB6" s="459" t="n">
        <v>1.3</v>
      </c>
      <c r="AC6" s="459" t="n">
        <v>1.25</v>
      </c>
      <c r="AD6" s="459" t="n">
        <v>1.2</v>
      </c>
      <c r="AE6" s="459" t="n">
        <v>1.15</v>
      </c>
      <c r="AF6" s="459" t="n">
        <v>1.1</v>
      </c>
      <c r="AG6" s="459" t="n">
        <v>1.06</v>
      </c>
      <c r="AH6" s="459" t="n">
        <v>1.02</v>
      </c>
      <c r="AI6" s="459" t="n">
        <v>0.98</v>
      </c>
      <c r="AJ6" s="459" t="n">
        <v>0.9399999999999999</v>
      </c>
      <c r="AK6" s="459" t="n">
        <v>0.9</v>
      </c>
      <c r="AL6" s="459" t="n">
        <v>0.87</v>
      </c>
      <c r="AM6" s="459" t="n">
        <v>0.83</v>
      </c>
      <c r="AN6" s="459" t="n">
        <v>0.8</v>
      </c>
      <c r="AO6" s="459" t="n">
        <v>0.77</v>
      </c>
      <c r="AP6" s="459" t="n">
        <v>0.74</v>
      </c>
      <c r="AQ6" s="459" t="n">
        <v>0.71</v>
      </c>
      <c r="AR6" s="459" t="n">
        <v>0.68</v>
      </c>
      <c r="AS6" s="459" t="n">
        <v>0.65</v>
      </c>
      <c r="AT6" s="459" t="n">
        <v>0.63</v>
      </c>
      <c r="AU6" s="459" t="n">
        <v>0.6</v>
      </c>
      <c r="AV6" s="459" t="n">
        <v>0.58</v>
      </c>
      <c r="AW6" s="459" t="n">
        <v>0.55</v>
      </c>
      <c r="AX6" s="459" t="n">
        <v>0.53</v>
      </c>
      <c r="AY6" s="459" t="n">
        <v>0.51</v>
      </c>
      <c r="AZ6" s="459" t="n">
        <v>0.49</v>
      </c>
      <c r="BA6" s="459" t="n">
        <v>0.47</v>
      </c>
      <c r="BB6" s="459" t="n">
        <v>0.45</v>
      </c>
      <c r="BC6" s="459" t="n">
        <v>0.43</v>
      </c>
      <c r="BD6" s="459" t="n">
        <v>0.42</v>
      </c>
      <c r="BE6" s="459" t="n">
        <v>0.4</v>
      </c>
      <c r="BF6" s="459" t="n">
        <v>0.38</v>
      </c>
      <c r="BG6" s="459" t="n">
        <v>0.37</v>
      </c>
      <c r="BH6" s="459" t="n">
        <v>0.35</v>
      </c>
      <c r="BI6" s="459" t="n">
        <v>0.34</v>
      </c>
      <c r="BJ6" s="306" t="n"/>
    </row>
    <row r="7" ht="15" customHeight="1" s="307">
      <c r="A7" s="468" t="inlineStr">
        <is>
          <t>Gross Profit</t>
        </is>
      </c>
      <c r="B7" s="470" t="n">
        <v>0</v>
      </c>
      <c r="C7" s="470" t="n">
        <v>4.89</v>
      </c>
      <c r="D7" s="470" t="n">
        <v>10.35</v>
      </c>
      <c r="E7" s="470" t="n">
        <v>18.09</v>
      </c>
      <c r="F7" s="470" t="n">
        <v>21.72</v>
      </c>
      <c r="G7" s="470" t="n">
        <v>26.5</v>
      </c>
      <c r="H7" s="470" t="n">
        <v>26.05</v>
      </c>
      <c r="I7" s="470" t="n">
        <v>25.3</v>
      </c>
      <c r="J7" s="470" t="n">
        <v>24.29</v>
      </c>
      <c r="K7" s="470" t="n">
        <v>23.33</v>
      </c>
      <c r="L7" s="470" t="n">
        <v>22.4</v>
      </c>
      <c r="M7" s="470" t="n">
        <v>21.5</v>
      </c>
      <c r="N7" s="470" t="n">
        <v>20.65</v>
      </c>
      <c r="O7" s="470" t="n">
        <v>19.83</v>
      </c>
      <c r="P7" s="470" t="n">
        <v>19.04</v>
      </c>
      <c r="Q7" s="470" t="n">
        <v>18.28</v>
      </c>
      <c r="R7" s="470" t="n">
        <v>17.55</v>
      </c>
      <c r="S7" s="470" t="n">
        <v>16.85</v>
      </c>
      <c r="T7" s="470" t="n">
        <v>16.18</v>
      </c>
      <c r="U7" s="470" t="n">
        <v>15.54</v>
      </c>
      <c r="V7" s="470" t="n">
        <v>14.92</v>
      </c>
      <c r="W7" s="470" t="n">
        <v>14.32</v>
      </c>
      <c r="X7" s="470" t="n">
        <v>13.75</v>
      </c>
      <c r="Y7" s="470" t="n">
        <v>13.21</v>
      </c>
      <c r="Z7" s="470" t="n">
        <v>12.68</v>
      </c>
      <c r="AA7" s="470" t="n">
        <v>12.18</v>
      </c>
      <c r="AB7" s="470" t="n">
        <v>11.69</v>
      </c>
      <c r="AC7" s="470" t="n">
        <v>11.23</v>
      </c>
      <c r="AD7" s="470" t="n">
        <v>10.78</v>
      </c>
      <c r="AE7" s="470" t="n">
        <v>10.35</v>
      </c>
      <c r="AF7" s="470" t="n">
        <v>9.94</v>
      </c>
      <c r="AG7" s="470" t="n">
        <v>9.539999999999999</v>
      </c>
      <c r="AH7" s="470" t="n">
        <v>9.16</v>
      </c>
      <c r="AI7" s="470" t="n">
        <v>8.800000000000001</v>
      </c>
      <c r="AJ7" s="470" t="n">
        <v>8.449999999999999</v>
      </c>
      <c r="AK7" s="470" t="n">
        <v>8.109999999999999</v>
      </c>
      <c r="AL7" s="470" t="n">
        <v>7.79</v>
      </c>
      <c r="AM7" s="470" t="n">
        <v>7.48</v>
      </c>
      <c r="AN7" s="470" t="n">
        <v>7.18</v>
      </c>
      <c r="AO7" s="470" t="n">
        <v>6.89</v>
      </c>
      <c r="AP7" s="470" t="n">
        <v>6.62</v>
      </c>
      <c r="AQ7" s="470" t="n">
        <v>6.36</v>
      </c>
      <c r="AR7" s="470" t="n">
        <v>6.1</v>
      </c>
      <c r="AS7" s="470" t="n">
        <v>5.86</v>
      </c>
      <c r="AT7" s="470" t="n">
        <v>5.63</v>
      </c>
      <c r="AU7" s="470" t="n">
        <v>5.4</v>
      </c>
      <c r="AV7" s="470" t="n">
        <v>5.19</v>
      </c>
      <c r="AW7" s="470" t="n">
        <v>4.98</v>
      </c>
      <c r="AX7" s="470" t="n">
        <v>4.78</v>
      </c>
      <c r="AY7" s="470" t="n">
        <v>4.59</v>
      </c>
      <c r="AZ7" s="470" t="n">
        <v>4.41</v>
      </c>
      <c r="BA7" s="470" t="n">
        <v>4.23</v>
      </c>
      <c r="BB7" s="470" t="n">
        <v>4.07</v>
      </c>
      <c r="BC7" s="470" t="n">
        <v>3.9</v>
      </c>
      <c r="BD7" s="470" t="n">
        <v>3.75</v>
      </c>
      <c r="BE7" s="470" t="n">
        <v>3.6</v>
      </c>
      <c r="BF7" s="470" t="n">
        <v>3.46</v>
      </c>
      <c r="BG7" s="470" t="n">
        <v>3.32</v>
      </c>
      <c r="BH7" s="470" t="n">
        <v>3.19</v>
      </c>
      <c r="BI7" s="470" t="n">
        <v>3.06</v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 t="n">
        <v>0</v>
      </c>
      <c r="C9" s="459" t="n">
        <v>0.58</v>
      </c>
      <c r="D9" s="459" t="n">
        <v>1.02</v>
      </c>
      <c r="E9" s="459" t="n">
        <v>1.62</v>
      </c>
      <c r="F9" s="459" t="n">
        <v>1.59</v>
      </c>
      <c r="G9" s="459" t="n">
        <v>1.84</v>
      </c>
      <c r="H9" s="459" t="n">
        <v>1.56</v>
      </c>
      <c r="I9" s="459" t="n">
        <v>1.41</v>
      </c>
      <c r="J9" s="459" t="n">
        <v>1.35</v>
      </c>
      <c r="K9" s="459" t="n">
        <v>1.3</v>
      </c>
      <c r="L9" s="459" t="n">
        <v>1.24</v>
      </c>
      <c r="M9" s="459" t="n">
        <v>1.19</v>
      </c>
      <c r="N9" s="459" t="n">
        <v>1.15</v>
      </c>
      <c r="O9" s="459" t="n">
        <v>1.1</v>
      </c>
      <c r="P9" s="459" t="n">
        <v>1.06</v>
      </c>
      <c r="Q9" s="459" t="n">
        <v>1.02</v>
      </c>
      <c r="R9" s="459" t="n">
        <v>0.98</v>
      </c>
      <c r="S9" s="459" t="n">
        <v>0.9399999999999999</v>
      </c>
      <c r="T9" s="459" t="n">
        <v>0.9</v>
      </c>
      <c r="U9" s="459" t="n">
        <v>0.86</v>
      </c>
      <c r="V9" s="459" t="n">
        <v>0.83</v>
      </c>
      <c r="W9" s="459" t="n">
        <v>0.8</v>
      </c>
      <c r="X9" s="459" t="n">
        <v>0.76</v>
      </c>
      <c r="Y9" s="459" t="n">
        <v>0.73</v>
      </c>
      <c r="Z9" s="459" t="n">
        <v>0.7</v>
      </c>
      <c r="AA9" s="459" t="n">
        <v>0.68</v>
      </c>
      <c r="AB9" s="459" t="n">
        <v>0.65</v>
      </c>
      <c r="AC9" s="459" t="n">
        <v>0.62</v>
      </c>
      <c r="AD9" s="459" t="n">
        <v>0.6</v>
      </c>
      <c r="AE9" s="459" t="n">
        <v>0.57</v>
      </c>
      <c r="AF9" s="459" t="n">
        <v>0.55</v>
      </c>
      <c r="AG9" s="459" t="n">
        <v>0.53</v>
      </c>
      <c r="AH9" s="459" t="n">
        <v>0.51</v>
      </c>
      <c r="AI9" s="459" t="n">
        <v>0.49</v>
      </c>
      <c r="AJ9" s="459" t="n">
        <v>0.47</v>
      </c>
      <c r="AK9" s="459" t="n">
        <v>0.45</v>
      </c>
      <c r="AL9" s="459" t="n">
        <v>0.43</v>
      </c>
      <c r="AM9" s="459" t="n">
        <v>0.42</v>
      </c>
      <c r="AN9" s="459" t="n">
        <v>0.4</v>
      </c>
      <c r="AO9" s="459" t="n">
        <v>0.38</v>
      </c>
      <c r="AP9" s="459" t="n">
        <v>0.37</v>
      </c>
      <c r="AQ9" s="459" t="n">
        <v>0.35</v>
      </c>
      <c r="AR9" s="459" t="n">
        <v>0.34</v>
      </c>
      <c r="AS9" s="459" t="n">
        <v>0.33</v>
      </c>
      <c r="AT9" s="459" t="n">
        <v>0.31</v>
      </c>
      <c r="AU9" s="459" t="n">
        <v>0.3</v>
      </c>
      <c r="AV9" s="459" t="n">
        <v>0.29</v>
      </c>
      <c r="AW9" s="459" t="n">
        <v>0.28</v>
      </c>
      <c r="AX9" s="459" t="n">
        <v>0.27</v>
      </c>
      <c r="AY9" s="459" t="n">
        <v>0.26</v>
      </c>
      <c r="AZ9" s="459" t="n">
        <v>0.24</v>
      </c>
      <c r="BA9" s="459" t="n">
        <v>0.24</v>
      </c>
      <c r="BB9" s="459" t="n">
        <v>0.23</v>
      </c>
      <c r="BC9" s="459" t="n">
        <v>0.22</v>
      </c>
      <c r="BD9" s="459" t="n">
        <v>0.21</v>
      </c>
      <c r="BE9" s="459" t="n">
        <v>0.2</v>
      </c>
      <c r="BF9" s="459" t="n">
        <v>0.19</v>
      </c>
      <c r="BG9" s="459" t="n">
        <v>0.18</v>
      </c>
      <c r="BH9" s="459" t="n">
        <v>0.18</v>
      </c>
      <c r="BI9" s="459" t="n">
        <v>0.17</v>
      </c>
      <c r="BJ9" s="306" t="n"/>
    </row>
    <row r="10" ht="15" customHeight="1" s="307">
      <c r="A10" s="321" t="inlineStr">
        <is>
          <t xml:space="preserve">    Corporate Allocation</t>
        </is>
      </c>
      <c r="B10" s="459" t="n">
        <v>0</v>
      </c>
      <c r="C10" s="459" t="n">
        <v>0.38</v>
      </c>
      <c r="D10" s="459" t="n">
        <v>0.77</v>
      </c>
      <c r="E10" s="459" t="n">
        <v>1.31</v>
      </c>
      <c r="F10" s="459" t="n">
        <v>1.51</v>
      </c>
      <c r="G10" s="459" t="n">
        <v>1.83</v>
      </c>
      <c r="H10" s="459" t="n">
        <v>1.76</v>
      </c>
      <c r="I10" s="459" t="n">
        <v>1.69</v>
      </c>
      <c r="J10" s="459" t="n">
        <v>1.62</v>
      </c>
      <c r="K10" s="459" t="n">
        <v>1.56</v>
      </c>
      <c r="L10" s="459" t="n">
        <v>1.49</v>
      </c>
      <c r="M10" s="459" t="n">
        <v>1.43</v>
      </c>
      <c r="N10" s="459" t="n">
        <v>1.38</v>
      </c>
      <c r="O10" s="459" t="n">
        <v>1.32</v>
      </c>
      <c r="P10" s="459" t="n">
        <v>1.27</v>
      </c>
      <c r="Q10" s="459" t="n">
        <v>1.22</v>
      </c>
      <c r="R10" s="459" t="n">
        <v>1.17</v>
      </c>
      <c r="S10" s="459" t="n">
        <v>1.12</v>
      </c>
      <c r="T10" s="459" t="n">
        <v>1.08</v>
      </c>
      <c r="U10" s="459" t="n">
        <v>1.04</v>
      </c>
      <c r="V10" s="459" t="n">
        <v>0.99</v>
      </c>
      <c r="W10" s="459" t="n">
        <v>0.95</v>
      </c>
      <c r="X10" s="459" t="n">
        <v>0.92</v>
      </c>
      <c r="Y10" s="459" t="n">
        <v>0.88</v>
      </c>
      <c r="Z10" s="459" t="n">
        <v>0.85</v>
      </c>
      <c r="AA10" s="459" t="n">
        <v>0.8100000000000001</v>
      </c>
      <c r="AB10" s="459" t="n">
        <v>0.78</v>
      </c>
      <c r="AC10" s="459" t="n">
        <v>0.75</v>
      </c>
      <c r="AD10" s="459" t="n">
        <v>0.72</v>
      </c>
      <c r="AE10" s="459" t="n">
        <v>0.6899999999999999</v>
      </c>
      <c r="AF10" s="459" t="n">
        <v>0.66</v>
      </c>
      <c r="AG10" s="459" t="n">
        <v>0.64</v>
      </c>
      <c r="AH10" s="459" t="n">
        <v>0.61</v>
      </c>
      <c r="AI10" s="459" t="n">
        <v>0.59</v>
      </c>
      <c r="AJ10" s="459" t="n">
        <v>0.5600000000000001</v>
      </c>
      <c r="AK10" s="459" t="n">
        <v>0.54</v>
      </c>
      <c r="AL10" s="459" t="n">
        <v>0.52</v>
      </c>
      <c r="AM10" s="459" t="n">
        <v>0.5</v>
      </c>
      <c r="AN10" s="459" t="n">
        <v>0.48</v>
      </c>
      <c r="AO10" s="459" t="n">
        <v>0.46</v>
      </c>
      <c r="AP10" s="459" t="n">
        <v>0.44</v>
      </c>
      <c r="AQ10" s="459" t="n">
        <v>0.42</v>
      </c>
      <c r="AR10" s="459" t="n">
        <v>0.41</v>
      </c>
      <c r="AS10" s="459" t="n">
        <v>0.39</v>
      </c>
      <c r="AT10" s="459" t="n">
        <v>0.38</v>
      </c>
      <c r="AU10" s="459" t="n">
        <v>0.36</v>
      </c>
      <c r="AV10" s="459" t="n">
        <v>0.35</v>
      </c>
      <c r="AW10" s="459" t="n">
        <v>0.33</v>
      </c>
      <c r="AX10" s="459" t="n">
        <v>0.32</v>
      </c>
      <c r="AY10" s="459" t="n">
        <v>0.31</v>
      </c>
      <c r="AZ10" s="459" t="n">
        <v>0.29</v>
      </c>
      <c r="BA10" s="459" t="n">
        <v>0.28</v>
      </c>
      <c r="BB10" s="459" t="n">
        <v>0.27</v>
      </c>
      <c r="BC10" s="459" t="n">
        <v>0.26</v>
      </c>
      <c r="BD10" s="459" t="n">
        <v>0.25</v>
      </c>
      <c r="BE10" s="459" t="n">
        <v>0.24</v>
      </c>
      <c r="BF10" s="459" t="n">
        <v>0.23</v>
      </c>
      <c r="BG10" s="459" t="n">
        <v>0.22</v>
      </c>
      <c r="BH10" s="459" t="n">
        <v>0.21</v>
      </c>
      <c r="BI10" s="459" t="n">
        <v>0.2</v>
      </c>
      <c r="BJ10" s="306" t="n"/>
    </row>
    <row r="11" ht="15" customHeight="1" s="307">
      <c r="A11" s="321" t="inlineStr">
        <is>
          <t xml:space="preserve">    Team Compensation</t>
        </is>
      </c>
      <c r="B11" s="459" t="n">
        <v>0.24</v>
      </c>
      <c r="C11" s="459" t="n">
        <v>1.02</v>
      </c>
      <c r="D11" s="459" t="n">
        <v>2.11</v>
      </c>
      <c r="E11" s="459" t="n">
        <v>1.81</v>
      </c>
      <c r="F11" s="459" t="n">
        <v>2.8</v>
      </c>
      <c r="G11" s="459" t="n">
        <v>2.86</v>
      </c>
      <c r="H11" s="459" t="n">
        <v>2.86</v>
      </c>
      <c r="I11" s="459" t="n">
        <v>2.86</v>
      </c>
      <c r="J11" s="459" t="n">
        <v>2.86</v>
      </c>
      <c r="K11" s="459" t="n">
        <v>2.86</v>
      </c>
      <c r="L11" s="459" t="n">
        <v>2.86</v>
      </c>
      <c r="M11" s="459" t="n">
        <v>2.86</v>
      </c>
      <c r="N11" s="459" t="n">
        <v>2.86</v>
      </c>
      <c r="O11" s="459" t="n">
        <v>2.86</v>
      </c>
      <c r="P11" s="459" t="n">
        <v>2.86</v>
      </c>
      <c r="Q11" s="459" t="n">
        <v>2.86</v>
      </c>
      <c r="R11" s="459" t="n">
        <v>2.86</v>
      </c>
      <c r="S11" s="459" t="n">
        <v>2.86</v>
      </c>
      <c r="T11" s="459" t="n">
        <v>2.86</v>
      </c>
      <c r="U11" s="459" t="n">
        <v>2.86</v>
      </c>
      <c r="V11" s="459" t="n">
        <v>2.86</v>
      </c>
      <c r="W11" s="459" t="n">
        <v>2.86</v>
      </c>
      <c r="X11" s="459" t="n">
        <v>2.86</v>
      </c>
      <c r="Y11" s="459" t="n">
        <v>2.86</v>
      </c>
      <c r="Z11" s="459" t="n">
        <v>2.86</v>
      </c>
      <c r="AA11" s="459" t="n">
        <v>2.86</v>
      </c>
      <c r="AB11" s="459" t="n">
        <v>2.86</v>
      </c>
      <c r="AC11" s="459" t="n">
        <v>2.86</v>
      </c>
      <c r="AD11" s="459" t="n">
        <v>2.86</v>
      </c>
      <c r="AE11" s="459" t="n">
        <v>2.86</v>
      </c>
      <c r="AF11" s="459" t="n">
        <v>2.86</v>
      </c>
      <c r="AG11" s="459" t="n">
        <v>2.86</v>
      </c>
      <c r="AH11" s="459" t="n">
        <v>2.86</v>
      </c>
      <c r="AI11" s="459" t="n">
        <v>2.86</v>
      </c>
      <c r="AJ11" s="459" t="n">
        <v>2.86</v>
      </c>
      <c r="AK11" s="459" t="n">
        <v>2.86</v>
      </c>
      <c r="AL11" s="459" t="n">
        <v>2.86</v>
      </c>
      <c r="AM11" s="459" t="n">
        <v>2.86</v>
      </c>
      <c r="AN11" s="459" t="n">
        <v>2.86</v>
      </c>
      <c r="AO11" s="459" t="n">
        <v>2.86</v>
      </c>
      <c r="AP11" s="459" t="n">
        <v>2.86</v>
      </c>
      <c r="AQ11" s="459" t="n">
        <v>2.86</v>
      </c>
      <c r="AR11" s="459" t="n">
        <v>2.86</v>
      </c>
      <c r="AS11" s="459" t="n">
        <v>2.86</v>
      </c>
      <c r="AT11" s="459" t="n">
        <v>2.86</v>
      </c>
      <c r="AU11" s="459" t="n">
        <v>2.86</v>
      </c>
      <c r="AV11" s="459" t="n">
        <v>2.86</v>
      </c>
      <c r="AW11" s="459" t="n">
        <v>2.86</v>
      </c>
      <c r="AX11" s="459" t="n">
        <v>2.86</v>
      </c>
      <c r="AY11" s="459" t="n">
        <v>2.86</v>
      </c>
      <c r="AZ11" s="459" t="n">
        <v>2.86</v>
      </c>
      <c r="BA11" s="459" t="n">
        <v>2.86</v>
      </c>
      <c r="BB11" s="459" t="n">
        <v>2.86</v>
      </c>
      <c r="BC11" s="459" t="n">
        <v>2.86</v>
      </c>
      <c r="BD11" s="459" t="n">
        <v>2.86</v>
      </c>
      <c r="BE11" s="459" t="n">
        <v>2.86</v>
      </c>
      <c r="BF11" s="459" t="n">
        <v>2.86</v>
      </c>
      <c r="BG11" s="459" t="n">
        <v>2.86</v>
      </c>
      <c r="BH11" s="459" t="n">
        <v>2.86</v>
      </c>
      <c r="BI11" s="459" t="n">
        <v>2.86</v>
      </c>
      <c r="BJ11" s="306" t="n"/>
    </row>
    <row r="12" ht="15" customHeight="1" s="307">
      <c r="A12" s="321" t="inlineStr">
        <is>
          <t xml:space="preserve">    Legacy Headcount</t>
        </is>
      </c>
      <c r="B12" s="459" t="n">
        <v>0</v>
      </c>
      <c r="C12" s="459" t="n">
        <v>3.28</v>
      </c>
      <c r="D12" s="459" t="n">
        <v>5.35</v>
      </c>
      <c r="E12" s="459" t="n">
        <v>7.92</v>
      </c>
      <c r="F12" s="459" t="n">
        <v>6.19</v>
      </c>
      <c r="G12" s="459" t="n">
        <v>5.96</v>
      </c>
      <c r="H12" s="459" t="n">
        <v>2.85</v>
      </c>
      <c r="I12" s="459" t="n">
        <v>0.95</v>
      </c>
      <c r="J12" s="459" t="n">
        <v>0.31</v>
      </c>
      <c r="K12" s="459" t="n">
        <v>0</v>
      </c>
      <c r="L12" s="459" t="n">
        <v>0</v>
      </c>
      <c r="M12" s="459" t="n">
        <v>0</v>
      </c>
      <c r="N12" s="459" t="n">
        <v>0</v>
      </c>
      <c r="O12" s="459" t="n">
        <v>0</v>
      </c>
      <c r="P12" s="459" t="n">
        <v>0</v>
      </c>
      <c r="Q12" s="459" t="n">
        <v>0</v>
      </c>
      <c r="R12" s="459" t="n">
        <v>0</v>
      </c>
      <c r="S12" s="459" t="n">
        <v>0</v>
      </c>
      <c r="T12" s="459" t="n">
        <v>0</v>
      </c>
      <c r="U12" s="459" t="n">
        <v>0</v>
      </c>
      <c r="V12" s="459" t="n">
        <v>0</v>
      </c>
      <c r="W12" s="459" t="n">
        <v>0</v>
      </c>
      <c r="X12" s="459" t="n">
        <v>0</v>
      </c>
      <c r="Y12" s="459" t="n">
        <v>0</v>
      </c>
      <c r="Z12" s="459" t="n">
        <v>0</v>
      </c>
      <c r="AA12" s="459" t="n">
        <v>0</v>
      </c>
      <c r="AB12" s="459" t="n">
        <v>0</v>
      </c>
      <c r="AC12" s="459" t="n">
        <v>0</v>
      </c>
      <c r="AD12" s="459" t="n">
        <v>0</v>
      </c>
      <c r="AE12" s="459" t="n">
        <v>0</v>
      </c>
      <c r="AF12" s="459" t="n">
        <v>0</v>
      </c>
      <c r="AG12" s="459" t="n">
        <v>0</v>
      </c>
      <c r="AH12" s="459" t="n">
        <v>0</v>
      </c>
      <c r="AI12" s="459" t="n">
        <v>0</v>
      </c>
      <c r="AJ12" s="459" t="n">
        <v>0</v>
      </c>
      <c r="AK12" s="459" t="n">
        <v>0</v>
      </c>
      <c r="AL12" s="459" t="n">
        <v>0</v>
      </c>
      <c r="AM12" s="459" t="n">
        <v>0</v>
      </c>
      <c r="AN12" s="459" t="n">
        <v>0</v>
      </c>
      <c r="AO12" s="459" t="n">
        <v>0</v>
      </c>
      <c r="AP12" s="459" t="n">
        <v>0</v>
      </c>
      <c r="AQ12" s="459" t="n">
        <v>0</v>
      </c>
      <c r="AR12" s="459" t="n">
        <v>0</v>
      </c>
      <c r="AS12" s="459" t="n">
        <v>0</v>
      </c>
      <c r="AT12" s="459" t="n">
        <v>0</v>
      </c>
      <c r="AU12" s="459" t="n">
        <v>0</v>
      </c>
      <c r="AV12" s="459" t="n">
        <v>0</v>
      </c>
      <c r="AW12" s="459" t="n">
        <v>0</v>
      </c>
      <c r="AX12" s="459" t="n">
        <v>0</v>
      </c>
      <c r="AY12" s="459" t="n">
        <v>0</v>
      </c>
      <c r="AZ12" s="459" t="n">
        <v>0</v>
      </c>
      <c r="BA12" s="459" t="n">
        <v>0</v>
      </c>
      <c r="BB12" s="459" t="n">
        <v>0</v>
      </c>
      <c r="BC12" s="459" t="n">
        <v>0</v>
      </c>
      <c r="BD12" s="459" t="n">
        <v>0</v>
      </c>
      <c r="BE12" s="459" t="n">
        <v>0</v>
      </c>
      <c r="BF12" s="459" t="n">
        <v>0</v>
      </c>
      <c r="BG12" s="459" t="n">
        <v>0</v>
      </c>
      <c r="BH12" s="459" t="n">
        <v>0</v>
      </c>
      <c r="BI12" s="459" t="n">
        <v>0</v>
      </c>
      <c r="BJ12" s="306" t="n"/>
    </row>
    <row r="13" ht="15" customHeight="1" s="307">
      <c r="A13" s="321" t="inlineStr">
        <is>
          <t xml:space="preserve">    Bonus Pool</t>
        </is>
      </c>
      <c r="B13" s="459" t="n">
        <v>0</v>
      </c>
      <c r="C13" s="459" t="n">
        <v>0</v>
      </c>
      <c r="D13" s="459" t="n">
        <v>0</v>
      </c>
      <c r="E13" s="459" t="n">
        <v>0</v>
      </c>
      <c r="F13" s="459" t="n">
        <v>0</v>
      </c>
      <c r="G13" s="459" t="n">
        <v>0</v>
      </c>
      <c r="H13" s="459" t="n">
        <v>0</v>
      </c>
      <c r="I13" s="459" t="n">
        <v>0</v>
      </c>
      <c r="J13" s="459" t="n">
        <v>0</v>
      </c>
      <c r="K13" s="459" t="n">
        <v>0</v>
      </c>
      <c r="L13" s="459" t="n">
        <v>0</v>
      </c>
      <c r="M13" s="459" t="n">
        <v>5.02</v>
      </c>
      <c r="N13" s="459" t="n">
        <v>0</v>
      </c>
      <c r="O13" s="459" t="n">
        <v>0</v>
      </c>
      <c r="P13" s="459" t="n">
        <v>0</v>
      </c>
      <c r="Q13" s="459" t="n">
        <v>2.81</v>
      </c>
      <c r="R13" s="459" t="n">
        <v>0</v>
      </c>
      <c r="S13" s="459" t="n">
        <v>0</v>
      </c>
      <c r="T13" s="459" t="n">
        <v>0</v>
      </c>
      <c r="U13" s="459" t="n">
        <v>0.67</v>
      </c>
      <c r="V13" s="459" t="n">
        <v>0</v>
      </c>
      <c r="W13" s="459" t="n">
        <v>0</v>
      </c>
      <c r="X13" s="459" t="n">
        <v>0</v>
      </c>
      <c r="Y13" s="459" t="n">
        <v>0</v>
      </c>
      <c r="Z13" s="459" t="n">
        <v>0</v>
      </c>
      <c r="AA13" s="459" t="n">
        <v>0</v>
      </c>
      <c r="AB13" s="459" t="n">
        <v>0</v>
      </c>
      <c r="AC13" s="459" t="n">
        <v>0</v>
      </c>
      <c r="AD13" s="459" t="n">
        <v>0</v>
      </c>
      <c r="AE13" s="459" t="n">
        <v>0</v>
      </c>
      <c r="AF13" s="459" t="n">
        <v>0</v>
      </c>
      <c r="AG13" s="459" t="n">
        <v>0</v>
      </c>
      <c r="AH13" s="459" t="n">
        <v>0</v>
      </c>
      <c r="AI13" s="459" t="n">
        <v>0</v>
      </c>
      <c r="AJ13" s="459" t="n">
        <v>0</v>
      </c>
      <c r="AK13" s="459" t="n">
        <v>0</v>
      </c>
      <c r="AL13" s="459" t="n">
        <v>0</v>
      </c>
      <c r="AM13" s="459" t="n">
        <v>0</v>
      </c>
      <c r="AN13" s="459" t="n">
        <v>0</v>
      </c>
      <c r="AO13" s="459" t="n">
        <v>0</v>
      </c>
      <c r="AP13" s="459" t="n">
        <v>0</v>
      </c>
      <c r="AQ13" s="459" t="n">
        <v>0</v>
      </c>
      <c r="AR13" s="459" t="n">
        <v>0</v>
      </c>
      <c r="AS13" s="459" t="n">
        <v>0</v>
      </c>
      <c r="AT13" s="459" t="n">
        <v>0</v>
      </c>
      <c r="AU13" s="459" t="n">
        <v>0</v>
      </c>
      <c r="AV13" s="459" t="n">
        <v>0</v>
      </c>
      <c r="AW13" s="459" t="n">
        <v>0</v>
      </c>
      <c r="AX13" s="459" t="n">
        <v>0</v>
      </c>
      <c r="AY13" s="459" t="n">
        <v>0</v>
      </c>
      <c r="AZ13" s="459" t="n">
        <v>0</v>
      </c>
      <c r="BA13" s="459" t="n">
        <v>0</v>
      </c>
      <c r="BB13" s="459" t="n">
        <v>0</v>
      </c>
      <c r="BC13" s="459" t="n">
        <v>0</v>
      </c>
      <c r="BD13" s="459" t="n">
        <v>0</v>
      </c>
      <c r="BE13" s="459" t="n">
        <v>0</v>
      </c>
      <c r="BF13" s="459" t="n">
        <v>0</v>
      </c>
      <c r="BG13" s="459" t="n">
        <v>0</v>
      </c>
      <c r="BH13" s="459" t="n">
        <v>0</v>
      </c>
      <c r="BI13" s="459" t="n">
        <v>0</v>
      </c>
      <c r="BJ13" s="306" t="n"/>
    </row>
    <row r="14" ht="15" customHeight="1" s="307">
      <c r="A14" s="460" t="inlineStr">
        <is>
          <t>Total OpEx</t>
        </is>
      </c>
      <c r="B14" s="462" t="n">
        <v>0.24</v>
      </c>
      <c r="C14" s="462" t="n">
        <v>5.26</v>
      </c>
      <c r="D14" s="462" t="n">
        <v>9.25</v>
      </c>
      <c r="E14" s="462" t="n">
        <v>12.66</v>
      </c>
      <c r="F14" s="462" t="n">
        <v>12.1</v>
      </c>
      <c r="G14" s="462" t="n">
        <v>12.49</v>
      </c>
      <c r="H14" s="462" t="n">
        <v>9.039999999999999</v>
      </c>
      <c r="I14" s="462" t="n">
        <v>6.91</v>
      </c>
      <c r="J14" s="462" t="n">
        <v>6.14</v>
      </c>
      <c r="K14" s="462" t="n">
        <v>5.71</v>
      </c>
      <c r="L14" s="462" t="n">
        <v>5.6</v>
      </c>
      <c r="M14" s="462" t="n">
        <v>10.51</v>
      </c>
      <c r="N14" s="462" t="n">
        <v>5.39</v>
      </c>
      <c r="O14" s="462" t="n">
        <v>5.29</v>
      </c>
      <c r="P14" s="462" t="n">
        <v>5.19</v>
      </c>
      <c r="Q14" s="462" t="n">
        <v>7.9</v>
      </c>
      <c r="R14" s="462" t="n">
        <v>5.01</v>
      </c>
      <c r="S14" s="462" t="n">
        <v>4.92</v>
      </c>
      <c r="T14" s="462" t="n">
        <v>4.84</v>
      </c>
      <c r="U14" s="462" t="n">
        <v>5.43</v>
      </c>
      <c r="V14" s="462" t="n">
        <v>4.69</v>
      </c>
      <c r="W14" s="462" t="n">
        <v>4.61</v>
      </c>
      <c r="X14" s="462" t="n">
        <v>4.55</v>
      </c>
      <c r="Y14" s="462" t="n">
        <v>4.48</v>
      </c>
      <c r="Z14" s="462" t="n">
        <v>4.41</v>
      </c>
      <c r="AA14" s="462" t="n">
        <v>4.35</v>
      </c>
      <c r="AB14" s="462" t="n">
        <v>4.29</v>
      </c>
      <c r="AC14" s="462" t="n">
        <v>4.24</v>
      </c>
      <c r="AD14" s="462" t="n">
        <v>4.18</v>
      </c>
      <c r="AE14" s="462" t="n">
        <v>4.13</v>
      </c>
      <c r="AF14" s="462" t="n">
        <v>4.08</v>
      </c>
      <c r="AG14" s="462" t="n">
        <v>4.03</v>
      </c>
      <c r="AH14" s="462" t="n">
        <v>3.98</v>
      </c>
      <c r="AI14" s="462" t="n">
        <v>3.94</v>
      </c>
      <c r="AJ14" s="462" t="n">
        <v>3.9</v>
      </c>
      <c r="AK14" s="462" t="n">
        <v>3.86</v>
      </c>
      <c r="AL14" s="462" t="n">
        <v>3.82</v>
      </c>
      <c r="AM14" s="462" t="n">
        <v>3.78</v>
      </c>
      <c r="AN14" s="462" t="n">
        <v>3.74</v>
      </c>
      <c r="AO14" s="462" t="n">
        <v>3.71</v>
      </c>
      <c r="AP14" s="462" t="n">
        <v>3.67</v>
      </c>
      <c r="AQ14" s="462" t="n">
        <v>3.64</v>
      </c>
      <c r="AR14" s="462" t="n">
        <v>3.61</v>
      </c>
      <c r="AS14" s="462" t="n">
        <v>3.58</v>
      </c>
      <c r="AT14" s="462" t="n">
        <v>3.55</v>
      </c>
      <c r="AU14" s="462" t="n">
        <v>3.52</v>
      </c>
      <c r="AV14" s="462" t="n">
        <v>3.5</v>
      </c>
      <c r="AW14" s="462" t="n">
        <v>3.47</v>
      </c>
      <c r="AX14" s="462" t="n">
        <v>3.45</v>
      </c>
      <c r="AY14" s="462" t="n">
        <v>3.43</v>
      </c>
      <c r="AZ14" s="462" t="n">
        <v>3.4</v>
      </c>
      <c r="BA14" s="462" t="n">
        <v>3.38</v>
      </c>
      <c r="BB14" s="462" t="n">
        <v>3.36</v>
      </c>
      <c r="BC14" s="462" t="n">
        <v>3.34</v>
      </c>
      <c r="BD14" s="462" t="n">
        <v>3.32</v>
      </c>
      <c r="BE14" s="462" t="n">
        <v>3.3</v>
      </c>
      <c r="BF14" s="462" t="n">
        <v>3.29</v>
      </c>
      <c r="BG14" s="462" t="n">
        <v>3.27</v>
      </c>
      <c r="BH14" s="462" t="n">
        <v>3.25</v>
      </c>
      <c r="BI14" s="462" t="n">
        <v>3.24</v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 t="n">
        <v>-0.24</v>
      </c>
      <c r="C16" s="466" t="n">
        <v>-0.36</v>
      </c>
      <c r="D16" s="466" t="n">
        <v>1.1</v>
      </c>
      <c r="E16" s="466" t="n">
        <v>5.43</v>
      </c>
      <c r="F16" s="466" t="n">
        <v>9.609999999999999</v>
      </c>
      <c r="G16" s="466" t="n">
        <v>14.01</v>
      </c>
      <c r="H16" s="466" t="n">
        <v>17.01</v>
      </c>
      <c r="I16" s="466" t="n">
        <v>18.39</v>
      </c>
      <c r="J16" s="466" t="n">
        <v>18.15</v>
      </c>
      <c r="K16" s="466" t="n">
        <v>17.61</v>
      </c>
      <c r="L16" s="466" t="n">
        <v>16.8</v>
      </c>
      <c r="M16" s="466" t="n">
        <v>11</v>
      </c>
      <c r="N16" s="466" t="n">
        <v>15.26</v>
      </c>
      <c r="O16" s="466" t="n">
        <v>14.54</v>
      </c>
      <c r="P16" s="466" t="n">
        <v>13.85</v>
      </c>
      <c r="Q16" s="466" t="n">
        <v>10.38</v>
      </c>
      <c r="R16" s="466" t="n">
        <v>12.54</v>
      </c>
      <c r="S16" s="466" t="n">
        <v>11.93</v>
      </c>
      <c r="T16" s="466" t="n">
        <v>11.34</v>
      </c>
      <c r="U16" s="466" t="n">
        <v>10.11</v>
      </c>
      <c r="V16" s="466" t="n">
        <v>10.23</v>
      </c>
      <c r="W16" s="466" t="n">
        <v>9.710000000000001</v>
      </c>
      <c r="X16" s="466" t="n">
        <v>9.210000000000001</v>
      </c>
      <c r="Y16" s="466" t="n">
        <v>8.73</v>
      </c>
      <c r="Z16" s="466" t="n">
        <v>8.27</v>
      </c>
      <c r="AA16" s="466" t="n">
        <v>7.82</v>
      </c>
      <c r="AB16" s="466" t="n">
        <v>7.4</v>
      </c>
      <c r="AC16" s="466" t="n">
        <v>6.99</v>
      </c>
      <c r="AD16" s="466" t="n">
        <v>6.6</v>
      </c>
      <c r="AE16" s="466" t="n">
        <v>6.22</v>
      </c>
      <c r="AF16" s="466" t="n">
        <v>5.86</v>
      </c>
      <c r="AG16" s="466" t="n">
        <v>5.51</v>
      </c>
      <c r="AH16" s="466" t="n">
        <v>5.18</v>
      </c>
      <c r="AI16" s="466" t="n">
        <v>4.86</v>
      </c>
      <c r="AJ16" s="466" t="n">
        <v>4.55</v>
      </c>
      <c r="AK16" s="466" t="n">
        <v>4.26</v>
      </c>
      <c r="AL16" s="466" t="n">
        <v>3.97</v>
      </c>
      <c r="AM16" s="466" t="n">
        <v>3.7</v>
      </c>
      <c r="AN16" s="466" t="n">
        <v>3.44</v>
      </c>
      <c r="AO16" s="466" t="n">
        <v>3.19</v>
      </c>
      <c r="AP16" s="466" t="n">
        <v>2.95</v>
      </c>
      <c r="AQ16" s="466" t="n">
        <v>2.72</v>
      </c>
      <c r="AR16" s="466" t="n">
        <v>2.49</v>
      </c>
      <c r="AS16" s="466" t="n">
        <v>2.28</v>
      </c>
      <c r="AT16" s="466" t="n">
        <v>2.07</v>
      </c>
      <c r="AU16" s="466" t="n">
        <v>1.88</v>
      </c>
      <c r="AV16" s="466" t="n">
        <v>1.69</v>
      </c>
      <c r="AW16" s="466" t="n">
        <v>1.51</v>
      </c>
      <c r="AX16" s="466" t="n">
        <v>1.33</v>
      </c>
      <c r="AY16" s="466" t="n">
        <v>1.17</v>
      </c>
      <c r="AZ16" s="466" t="n">
        <v>1.01</v>
      </c>
      <c r="BA16" s="466" t="n">
        <v>0.85</v>
      </c>
      <c r="BB16" s="466" t="n">
        <v>0.7</v>
      </c>
      <c r="BC16" s="466" t="n">
        <v>0.5600000000000001</v>
      </c>
      <c r="BD16" s="466" t="n">
        <v>0.43</v>
      </c>
      <c r="BE16" s="466" t="n">
        <v>0.29</v>
      </c>
      <c r="BF16" s="466" t="n">
        <v>0.17</v>
      </c>
      <c r="BG16" s="466" t="n">
        <v>0.05</v>
      </c>
      <c r="BH16" s="466" t="n">
        <v>-0.07000000000000001</v>
      </c>
      <c r="BI16" s="466" t="n">
        <v>-0.18</v>
      </c>
      <c r="BJ16" s="306" t="n"/>
    </row>
    <row r="17" ht="15" customHeight="1" s="307">
      <c r="A17" s="321" t="inlineStr">
        <is>
          <t xml:space="preserve">    Severance</t>
        </is>
      </c>
      <c r="B17" s="459" t="n">
        <v>0</v>
      </c>
      <c r="C17" s="459" t="n">
        <v>1.48</v>
      </c>
      <c r="D17" s="459" t="n">
        <v>1.57</v>
      </c>
      <c r="E17" s="459" t="n">
        <v>3.24</v>
      </c>
      <c r="F17" s="459" t="n">
        <v>0</v>
      </c>
      <c r="G17" s="459" t="n">
        <v>1.47</v>
      </c>
      <c r="H17" s="459" t="n">
        <v>0</v>
      </c>
      <c r="I17" s="459" t="n">
        <v>0</v>
      </c>
      <c r="J17" s="459" t="n">
        <v>0</v>
      </c>
      <c r="K17" s="459" t="n">
        <v>0</v>
      </c>
      <c r="L17" s="459" t="n">
        <v>0</v>
      </c>
      <c r="M17" s="459" t="n">
        <v>0</v>
      </c>
      <c r="N17" s="459" t="n">
        <v>0</v>
      </c>
      <c r="O17" s="459" t="n">
        <v>0</v>
      </c>
      <c r="P17" s="459" t="n">
        <v>0</v>
      </c>
      <c r="Q17" s="459" t="n">
        <v>0</v>
      </c>
      <c r="R17" s="459" t="n">
        <v>0</v>
      </c>
      <c r="S17" s="459" t="n">
        <v>0</v>
      </c>
      <c r="T17" s="459" t="n">
        <v>0</v>
      </c>
      <c r="U17" s="459" t="n">
        <v>0</v>
      </c>
      <c r="V17" s="459" t="n">
        <v>0</v>
      </c>
      <c r="W17" s="459" t="n">
        <v>0</v>
      </c>
      <c r="X17" s="459" t="n">
        <v>0</v>
      </c>
      <c r="Y17" s="459" t="n">
        <v>0</v>
      </c>
      <c r="Z17" s="459" t="n">
        <v>0</v>
      </c>
      <c r="AA17" s="459" t="n">
        <v>0</v>
      </c>
      <c r="AB17" s="459" t="n">
        <v>0</v>
      </c>
      <c r="AC17" s="459" t="n">
        <v>0</v>
      </c>
      <c r="AD17" s="459" t="n">
        <v>0</v>
      </c>
      <c r="AE17" s="459" t="n">
        <v>0</v>
      </c>
      <c r="AF17" s="459" t="n">
        <v>0</v>
      </c>
      <c r="AG17" s="459" t="n">
        <v>0</v>
      </c>
      <c r="AH17" s="459" t="n">
        <v>0</v>
      </c>
      <c r="AI17" s="459" t="n">
        <v>0</v>
      </c>
      <c r="AJ17" s="459" t="n">
        <v>0</v>
      </c>
      <c r="AK17" s="459" t="n">
        <v>0</v>
      </c>
      <c r="AL17" s="459" t="n">
        <v>0</v>
      </c>
      <c r="AM17" s="459" t="n">
        <v>0</v>
      </c>
      <c r="AN17" s="459" t="n">
        <v>0</v>
      </c>
      <c r="AO17" s="459" t="n">
        <v>0</v>
      </c>
      <c r="AP17" s="459" t="n">
        <v>0</v>
      </c>
      <c r="AQ17" s="459" t="n">
        <v>0</v>
      </c>
      <c r="AR17" s="459" t="n">
        <v>0</v>
      </c>
      <c r="AS17" s="459" t="n">
        <v>0</v>
      </c>
      <c r="AT17" s="459" t="n">
        <v>0</v>
      </c>
      <c r="AU17" s="459" t="n">
        <v>0</v>
      </c>
      <c r="AV17" s="459" t="n">
        <v>0</v>
      </c>
      <c r="AW17" s="459" t="n">
        <v>0</v>
      </c>
      <c r="AX17" s="459" t="n">
        <v>0</v>
      </c>
      <c r="AY17" s="459" t="n">
        <v>0</v>
      </c>
      <c r="AZ17" s="459" t="n">
        <v>0</v>
      </c>
      <c r="BA17" s="459" t="n">
        <v>0</v>
      </c>
      <c r="BB17" s="459" t="n">
        <v>0</v>
      </c>
      <c r="BC17" s="459" t="n">
        <v>0</v>
      </c>
      <c r="BD17" s="459" t="n">
        <v>0</v>
      </c>
      <c r="BE17" s="459" t="n">
        <v>0</v>
      </c>
      <c r="BF17" s="459" t="n">
        <v>0</v>
      </c>
      <c r="BG17" s="459" t="n">
        <v>0</v>
      </c>
      <c r="BH17" s="459" t="n">
        <v>0</v>
      </c>
      <c r="BI17" s="459" t="n">
        <v>0</v>
      </c>
      <c r="BJ17" s="306" t="n"/>
    </row>
    <row r="18" ht="15" customHeight="1" s="307">
      <c r="A18" s="468" t="inlineStr">
        <is>
          <t>Operating Income</t>
        </is>
      </c>
      <c r="B18" s="470" t="n">
        <v>-0.24</v>
      </c>
      <c r="C18" s="470" t="n">
        <v>-1.84</v>
      </c>
      <c r="D18" s="470" t="n">
        <v>-0.47</v>
      </c>
      <c r="E18" s="470" t="n">
        <v>2.19</v>
      </c>
      <c r="F18" s="470" t="n">
        <v>9.609999999999999</v>
      </c>
      <c r="G18" s="470" t="n">
        <v>12.54</v>
      </c>
      <c r="H18" s="470" t="n">
        <v>17.01</v>
      </c>
      <c r="I18" s="470" t="n">
        <v>18.39</v>
      </c>
      <c r="J18" s="470" t="n">
        <v>18.15</v>
      </c>
      <c r="K18" s="470" t="n">
        <v>17.61</v>
      </c>
      <c r="L18" s="470" t="n">
        <v>16.8</v>
      </c>
      <c r="M18" s="470" t="n">
        <v>11</v>
      </c>
      <c r="N18" s="470" t="n">
        <v>15.26</v>
      </c>
      <c r="O18" s="470" t="n">
        <v>14.54</v>
      </c>
      <c r="P18" s="470" t="n">
        <v>13.85</v>
      </c>
      <c r="Q18" s="470" t="n">
        <v>10.38</v>
      </c>
      <c r="R18" s="470" t="n">
        <v>12.54</v>
      </c>
      <c r="S18" s="470" t="n">
        <v>11.93</v>
      </c>
      <c r="T18" s="470" t="n">
        <v>11.34</v>
      </c>
      <c r="U18" s="470" t="n">
        <v>10.11</v>
      </c>
      <c r="V18" s="470" t="n">
        <v>10.23</v>
      </c>
      <c r="W18" s="470" t="n">
        <v>9.710000000000001</v>
      </c>
      <c r="X18" s="470" t="n">
        <v>9.210000000000001</v>
      </c>
      <c r="Y18" s="470" t="n">
        <v>8.73</v>
      </c>
      <c r="Z18" s="470" t="n">
        <v>8.27</v>
      </c>
      <c r="AA18" s="470" t="n">
        <v>7.82</v>
      </c>
      <c r="AB18" s="470" t="n">
        <v>7.4</v>
      </c>
      <c r="AC18" s="470" t="n">
        <v>6.99</v>
      </c>
      <c r="AD18" s="470" t="n">
        <v>6.6</v>
      </c>
      <c r="AE18" s="470" t="n">
        <v>6.22</v>
      </c>
      <c r="AF18" s="470" t="n">
        <v>5.86</v>
      </c>
      <c r="AG18" s="470" t="n">
        <v>5.51</v>
      </c>
      <c r="AH18" s="470" t="n">
        <v>5.18</v>
      </c>
      <c r="AI18" s="470" t="n">
        <v>4.86</v>
      </c>
      <c r="AJ18" s="470" t="n">
        <v>4.55</v>
      </c>
      <c r="AK18" s="470" t="n">
        <v>4.26</v>
      </c>
      <c r="AL18" s="470" t="n">
        <v>3.97</v>
      </c>
      <c r="AM18" s="470" t="n">
        <v>3.7</v>
      </c>
      <c r="AN18" s="470" t="n">
        <v>3.44</v>
      </c>
      <c r="AO18" s="470" t="n">
        <v>3.19</v>
      </c>
      <c r="AP18" s="470" t="n">
        <v>2.95</v>
      </c>
      <c r="AQ18" s="470" t="n">
        <v>2.72</v>
      </c>
      <c r="AR18" s="470" t="n">
        <v>2.49</v>
      </c>
      <c r="AS18" s="470" t="n">
        <v>2.28</v>
      </c>
      <c r="AT18" s="470" t="n">
        <v>2.07</v>
      </c>
      <c r="AU18" s="470" t="n">
        <v>1.88</v>
      </c>
      <c r="AV18" s="470" t="n">
        <v>1.69</v>
      </c>
      <c r="AW18" s="470" t="n">
        <v>1.51</v>
      </c>
      <c r="AX18" s="470" t="n">
        <v>1.33</v>
      </c>
      <c r="AY18" s="470" t="n">
        <v>1.17</v>
      </c>
      <c r="AZ18" s="470" t="n">
        <v>1.01</v>
      </c>
      <c r="BA18" s="470" t="n">
        <v>0.85</v>
      </c>
      <c r="BB18" s="470" t="n">
        <v>0.7</v>
      </c>
      <c r="BC18" s="470" t="n">
        <v>0.5600000000000001</v>
      </c>
      <c r="BD18" s="470" t="n">
        <v>0.43</v>
      </c>
      <c r="BE18" s="470" t="n">
        <v>0.29</v>
      </c>
      <c r="BF18" s="470" t="n">
        <v>0.17</v>
      </c>
      <c r="BG18" s="470" t="n">
        <v>0.05</v>
      </c>
      <c r="BH18" s="470" t="n">
        <v>-0.07000000000000001</v>
      </c>
      <c r="BI18" s="470" t="n">
        <v>-0.18</v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 t="n">
        <v>0.75</v>
      </c>
      <c r="C20" s="459" t="n">
        <v>0.75</v>
      </c>
      <c r="D20" s="459" t="n">
        <v>0.75</v>
      </c>
      <c r="E20" s="459" t="n">
        <v>0.75</v>
      </c>
      <c r="F20" s="459" t="n">
        <v>0</v>
      </c>
      <c r="G20" s="459" t="n">
        <v>0</v>
      </c>
      <c r="H20" s="459" t="n">
        <v>0</v>
      </c>
      <c r="I20" s="459" t="n">
        <v>0</v>
      </c>
      <c r="J20" s="459" t="n">
        <v>0</v>
      </c>
      <c r="K20" s="459" t="n">
        <v>0</v>
      </c>
      <c r="L20" s="459" t="n">
        <v>0</v>
      </c>
      <c r="M20" s="459" t="n">
        <v>0</v>
      </c>
      <c r="N20" s="459" t="n">
        <v>0</v>
      </c>
      <c r="O20" s="459" t="n">
        <v>0</v>
      </c>
      <c r="P20" s="459" t="n">
        <v>0</v>
      </c>
      <c r="Q20" s="459" t="n">
        <v>0</v>
      </c>
      <c r="R20" s="459" t="n">
        <v>0</v>
      </c>
      <c r="S20" s="459" t="n">
        <v>0</v>
      </c>
      <c r="T20" s="459" t="n">
        <v>0</v>
      </c>
      <c r="U20" s="459" t="n">
        <v>0</v>
      </c>
      <c r="V20" s="459" t="n">
        <v>0</v>
      </c>
      <c r="W20" s="459" t="n">
        <v>0</v>
      </c>
      <c r="X20" s="459" t="n">
        <v>0</v>
      </c>
      <c r="Y20" s="459" t="n">
        <v>0</v>
      </c>
      <c r="Z20" s="459" t="n">
        <v>0</v>
      </c>
      <c r="AA20" s="459" t="n">
        <v>0</v>
      </c>
      <c r="AB20" s="459" t="n">
        <v>0</v>
      </c>
      <c r="AC20" s="459" t="n">
        <v>0</v>
      </c>
      <c r="AD20" s="459" t="n">
        <v>0</v>
      </c>
      <c r="AE20" s="459" t="n">
        <v>0</v>
      </c>
      <c r="AF20" s="459" t="n">
        <v>0</v>
      </c>
      <c r="AG20" s="459" t="n">
        <v>0</v>
      </c>
      <c r="AH20" s="459" t="n">
        <v>0</v>
      </c>
      <c r="AI20" s="459" t="n">
        <v>0</v>
      </c>
      <c r="AJ20" s="459" t="n">
        <v>0</v>
      </c>
      <c r="AK20" s="459" t="n">
        <v>0</v>
      </c>
      <c r="AL20" s="459" t="n">
        <v>0</v>
      </c>
      <c r="AM20" s="459" t="n">
        <v>0</v>
      </c>
      <c r="AN20" s="459" t="n">
        <v>0</v>
      </c>
      <c r="AO20" s="459" t="n">
        <v>0</v>
      </c>
      <c r="AP20" s="459" t="n">
        <v>0</v>
      </c>
      <c r="AQ20" s="459" t="n">
        <v>0</v>
      </c>
      <c r="AR20" s="459" t="n">
        <v>0</v>
      </c>
      <c r="AS20" s="459" t="n">
        <v>0</v>
      </c>
      <c r="AT20" s="459" t="n">
        <v>0</v>
      </c>
      <c r="AU20" s="459" t="n">
        <v>0</v>
      </c>
      <c r="AV20" s="459" t="n">
        <v>0</v>
      </c>
      <c r="AW20" s="459" t="n">
        <v>0</v>
      </c>
      <c r="AX20" s="459" t="n">
        <v>0</v>
      </c>
      <c r="AY20" s="459" t="n">
        <v>0</v>
      </c>
      <c r="AZ20" s="459" t="n">
        <v>0</v>
      </c>
      <c r="BA20" s="459" t="n">
        <v>0</v>
      </c>
      <c r="BB20" s="459" t="n">
        <v>0</v>
      </c>
      <c r="BC20" s="459" t="n">
        <v>0</v>
      </c>
      <c r="BD20" s="459" t="n">
        <v>0</v>
      </c>
      <c r="BE20" s="459" t="n">
        <v>0</v>
      </c>
      <c r="BF20" s="459" t="n">
        <v>0</v>
      </c>
      <c r="BG20" s="459" t="n">
        <v>0</v>
      </c>
      <c r="BH20" s="459" t="n">
        <v>0</v>
      </c>
      <c r="BI20" s="459" t="n">
        <v>0</v>
      </c>
      <c r="BJ20" s="306" t="n"/>
    </row>
    <row r="21" ht="15" customHeight="1" s="307">
      <c r="A21" s="322" t="inlineStr">
        <is>
          <t>Distributable Cash</t>
        </is>
      </c>
      <c r="B21" s="462" t="n">
        <v>-0.99</v>
      </c>
      <c r="C21" s="462" t="n">
        <v>-2.59</v>
      </c>
      <c r="D21" s="462" t="n">
        <v>-1.22</v>
      </c>
      <c r="E21" s="462" t="n">
        <v>1.44</v>
      </c>
      <c r="F21" s="462" t="n">
        <v>9.609999999999999</v>
      </c>
      <c r="G21" s="462" t="n">
        <v>12.54</v>
      </c>
      <c r="H21" s="462" t="n">
        <v>17.01</v>
      </c>
      <c r="I21" s="462" t="n">
        <v>18.39</v>
      </c>
      <c r="J21" s="462" t="n">
        <v>18.15</v>
      </c>
      <c r="K21" s="462" t="n">
        <v>17.61</v>
      </c>
      <c r="L21" s="462" t="n">
        <v>16.8</v>
      </c>
      <c r="M21" s="462" t="n">
        <v>11</v>
      </c>
      <c r="N21" s="462" t="n">
        <v>15.26</v>
      </c>
      <c r="O21" s="462" t="n">
        <v>14.54</v>
      </c>
      <c r="P21" s="462" t="n">
        <v>13.85</v>
      </c>
      <c r="Q21" s="462" t="n">
        <v>10.38</v>
      </c>
      <c r="R21" s="462" t="n">
        <v>12.54</v>
      </c>
      <c r="S21" s="462" t="n">
        <v>11.93</v>
      </c>
      <c r="T21" s="462" t="n">
        <v>11.34</v>
      </c>
      <c r="U21" s="462" t="n">
        <v>10.11</v>
      </c>
      <c r="V21" s="462" t="n">
        <v>10.23</v>
      </c>
      <c r="W21" s="462" t="n">
        <v>9.710000000000001</v>
      </c>
      <c r="X21" s="462" t="n">
        <v>9.210000000000001</v>
      </c>
      <c r="Y21" s="462" t="n">
        <v>8.73</v>
      </c>
      <c r="Z21" s="462" t="n">
        <v>8.27</v>
      </c>
      <c r="AA21" s="462" t="n">
        <v>7.82</v>
      </c>
      <c r="AB21" s="462" t="n">
        <v>7.4</v>
      </c>
      <c r="AC21" s="462" t="n">
        <v>6.99</v>
      </c>
      <c r="AD21" s="462" t="n">
        <v>6.6</v>
      </c>
      <c r="AE21" s="462" t="n">
        <v>6.22</v>
      </c>
      <c r="AF21" s="462" t="n">
        <v>5.86</v>
      </c>
      <c r="AG21" s="462" t="n">
        <v>5.51</v>
      </c>
      <c r="AH21" s="462" t="n">
        <v>5.18</v>
      </c>
      <c r="AI21" s="462" t="n">
        <v>4.86</v>
      </c>
      <c r="AJ21" s="462" t="n">
        <v>4.55</v>
      </c>
      <c r="AK21" s="462" t="n">
        <v>4.26</v>
      </c>
      <c r="AL21" s="462" t="n">
        <v>3.97</v>
      </c>
      <c r="AM21" s="462" t="n">
        <v>3.7</v>
      </c>
      <c r="AN21" s="462" t="n">
        <v>3.44</v>
      </c>
      <c r="AO21" s="462" t="n">
        <v>3.19</v>
      </c>
      <c r="AP21" s="462" t="n">
        <v>2.95</v>
      </c>
      <c r="AQ21" s="462" t="n">
        <v>2.72</v>
      </c>
      <c r="AR21" s="462" t="n">
        <v>2.49</v>
      </c>
      <c r="AS21" s="462" t="n">
        <v>2.28</v>
      </c>
      <c r="AT21" s="462" t="n">
        <v>2.07</v>
      </c>
      <c r="AU21" s="462" t="n">
        <v>1.88</v>
      </c>
      <c r="AV21" s="462" t="n">
        <v>1.69</v>
      </c>
      <c r="AW21" s="462" t="n">
        <v>1.51</v>
      </c>
      <c r="AX21" s="462" t="n">
        <v>1.33</v>
      </c>
      <c r="AY21" s="462" t="n">
        <v>1.17</v>
      </c>
      <c r="AZ21" s="462" t="n">
        <v>1.01</v>
      </c>
      <c r="BA21" s="462" t="n">
        <v>0.85</v>
      </c>
      <c r="BB21" s="462" t="n">
        <v>0.7</v>
      </c>
      <c r="BC21" s="462" t="n">
        <v>0.5600000000000001</v>
      </c>
      <c r="BD21" s="462" t="n">
        <v>0.43</v>
      </c>
      <c r="BE21" s="462" t="n">
        <v>0.29</v>
      </c>
      <c r="BF21" s="462" t="n">
        <v>0.17</v>
      </c>
      <c r="BG21" s="462" t="n">
        <v>0.05</v>
      </c>
      <c r="BH21" s="462" t="n">
        <v>-0.07000000000000001</v>
      </c>
      <c r="BI21" s="462" t="n">
        <v>-0.18</v>
      </c>
      <c r="BJ21" s="306" t="n"/>
    </row>
    <row r="22" ht="15" customHeight="1" s="307">
      <c r="A22" s="321" t="inlineStr">
        <is>
          <t>Cumulative</t>
        </is>
      </c>
      <c r="B22" s="459" t="n">
        <v>-0.99</v>
      </c>
      <c r="C22" s="459" t="n">
        <v>-3.58</v>
      </c>
      <c r="D22" s="459" t="n">
        <v>-4.8</v>
      </c>
      <c r="E22" s="459" t="n">
        <v>-3.36</v>
      </c>
      <c r="F22" s="459" t="n">
        <v>6.25</v>
      </c>
      <c r="G22" s="459" t="n">
        <v>18.79</v>
      </c>
      <c r="H22" s="459" t="n">
        <v>35.8</v>
      </c>
      <c r="I22" s="459" t="n">
        <v>54.19</v>
      </c>
      <c r="J22" s="459" t="n">
        <v>72.34999999999999</v>
      </c>
      <c r="K22" s="459" t="n">
        <v>89.95999999999999</v>
      </c>
      <c r="L22" s="459" t="n">
        <v>106.75</v>
      </c>
      <c r="M22" s="459" t="n">
        <v>117.75</v>
      </c>
      <c r="N22" s="459" t="n">
        <v>133.01</v>
      </c>
      <c r="O22" s="459" t="n">
        <v>147.55</v>
      </c>
      <c r="P22" s="459" t="n">
        <v>161.4</v>
      </c>
      <c r="Q22" s="459" t="n">
        <v>171.77</v>
      </c>
      <c r="R22" s="459" t="n">
        <v>184.31</v>
      </c>
      <c r="S22" s="459" t="n">
        <v>196.24</v>
      </c>
      <c r="T22" s="459" t="n">
        <v>207.58</v>
      </c>
      <c r="U22" s="459" t="n">
        <v>217.69</v>
      </c>
      <c r="V22" s="459" t="n">
        <v>227.92</v>
      </c>
      <c r="W22" s="459" t="n">
        <v>237.63</v>
      </c>
      <c r="X22" s="459" t="n">
        <v>246.84</v>
      </c>
      <c r="Y22" s="459" t="n">
        <v>255.57</v>
      </c>
      <c r="Z22" s="459" t="n">
        <v>263.84</v>
      </c>
      <c r="AA22" s="459" t="n">
        <v>271.66</v>
      </c>
      <c r="AB22" s="459" t="n">
        <v>279.06</v>
      </c>
      <c r="AC22" s="459" t="n">
        <v>286.05</v>
      </c>
      <c r="AD22" s="459" t="n">
        <v>292.64</v>
      </c>
      <c r="AE22" s="459" t="n">
        <v>298.87</v>
      </c>
      <c r="AF22" s="459" t="n">
        <v>304.72</v>
      </c>
      <c r="AG22" s="459" t="n">
        <v>310.24</v>
      </c>
      <c r="AH22" s="459" t="n">
        <v>315.41</v>
      </c>
      <c r="AI22" s="459" t="n">
        <v>320.27</v>
      </c>
      <c r="AJ22" s="459" t="n">
        <v>324.82</v>
      </c>
      <c r="AK22" s="459" t="n">
        <v>329.08</v>
      </c>
      <c r="AL22" s="459" t="n">
        <v>333.05</v>
      </c>
      <c r="AM22" s="459" t="n">
        <v>336.75</v>
      </c>
      <c r="AN22" s="459" t="n">
        <v>340.19</v>
      </c>
      <c r="AO22" s="459" t="n">
        <v>343.37</v>
      </c>
      <c r="AP22" s="459" t="n">
        <v>346.32</v>
      </c>
      <c r="AQ22" s="459" t="n">
        <v>349.04</v>
      </c>
      <c r="AR22" s="459" t="n">
        <v>351.53</v>
      </c>
      <c r="AS22" s="459" t="n">
        <v>353.81</v>
      </c>
      <c r="AT22" s="459" t="n">
        <v>355.88</v>
      </c>
      <c r="AU22" s="459" t="n">
        <v>357.76</v>
      </c>
      <c r="AV22" s="459" t="n">
        <v>359.45</v>
      </c>
      <c r="AW22" s="459" t="n">
        <v>360.96</v>
      </c>
      <c r="AX22" s="459" t="n">
        <v>362.29</v>
      </c>
      <c r="AY22" s="459" t="n">
        <v>363.46</v>
      </c>
      <c r="AZ22" s="459" t="n">
        <v>364.47</v>
      </c>
      <c r="BA22" s="459" t="n">
        <v>365.32</v>
      </c>
      <c r="BB22" s="459" t="n">
        <v>366.02</v>
      </c>
      <c r="BC22" s="459" t="n">
        <v>366.58</v>
      </c>
      <c r="BD22" s="459" t="n">
        <v>367.01</v>
      </c>
      <c r="BE22" s="459" t="n">
        <v>367.31</v>
      </c>
      <c r="BF22" s="459" t="n">
        <v>367.47</v>
      </c>
      <c r="BG22" s="459" t="n">
        <v>367.52</v>
      </c>
      <c r="BH22" s="459" t="n">
        <v>367.46</v>
      </c>
      <c r="BI22" s="459" t="n">
        <v>367.28</v>
      </c>
      <c r="BJ22" s="306" t="n"/>
    </row>
    <row r="23" ht="15" customHeight="1" s="307">
      <c r="A23" s="321" t="n"/>
      <c r="B23" s="459" t="n"/>
      <c r="C23" s="459" t="n"/>
      <c r="D23" s="459" t="n"/>
      <c r="E23" s="459" t="n"/>
      <c r="F23" s="459" t="n"/>
      <c r="G23" s="459" t="n"/>
      <c r="H23" s="459" t="n"/>
      <c r="I23" s="459" t="n"/>
      <c r="J23" s="459" t="n"/>
      <c r="K23" s="459" t="n"/>
      <c r="L23" s="459" t="n"/>
      <c r="M23" s="459" t="n"/>
      <c r="N23" s="459" t="n"/>
      <c r="O23" s="459" t="n"/>
      <c r="P23" s="459" t="n"/>
      <c r="Q23" s="459" t="n"/>
      <c r="R23" s="459" t="n"/>
      <c r="S23" s="459" t="n"/>
      <c r="T23" s="459" t="n"/>
      <c r="U23" s="459" t="n"/>
      <c r="V23" s="459" t="n"/>
      <c r="W23" s="459" t="n"/>
      <c r="X23" s="459" t="n"/>
      <c r="Y23" s="459" t="n"/>
      <c r="Z23" s="459" t="n"/>
      <c r="AA23" s="459" t="n"/>
      <c r="AB23" s="459" t="n"/>
      <c r="AC23" s="459" t="n"/>
      <c r="AD23" s="459" t="n"/>
      <c r="AE23" s="459" t="n"/>
      <c r="AF23" s="459" t="n"/>
      <c r="AG23" s="459" t="n"/>
      <c r="AH23" s="459" t="n"/>
      <c r="AI23" s="459" t="n"/>
      <c r="AJ23" s="459" t="n"/>
      <c r="AK23" s="459" t="n"/>
      <c r="AL23" s="459" t="n"/>
      <c r="AM23" s="459" t="n"/>
      <c r="AN23" s="459" t="n"/>
      <c r="AO23" s="459" t="n"/>
      <c r="AP23" s="459" t="n"/>
      <c r="AQ23" s="459" t="n"/>
      <c r="AR23" s="459" t="n"/>
      <c r="AS23" s="459" t="n"/>
      <c r="AT23" s="459" t="n"/>
      <c r="AU23" s="459" t="n"/>
      <c r="AV23" s="459" t="n"/>
      <c r="AW23" s="459" t="n"/>
      <c r="AX23" s="459" t="n"/>
      <c r="AY23" s="459" t="n"/>
      <c r="AZ23" s="459" t="n"/>
      <c r="BA23" s="459" t="n"/>
      <c r="BB23" s="459" t="n"/>
      <c r="BC23" s="459" t="n"/>
      <c r="BD23" s="459" t="n"/>
      <c r="BE23" s="459" t="n"/>
      <c r="BF23" s="459" t="n"/>
      <c r="BG23" s="459" t="n"/>
      <c r="BH23" s="459" t="n"/>
      <c r="BI23" s="459" t="n"/>
      <c r="BJ23" s="306" t="n"/>
    </row>
    <row r="24" ht="15" customHeight="1" s="307">
      <c r="A24" s="322" t="n"/>
      <c r="B24" s="466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466" t="n"/>
      <c r="L24" s="466" t="n"/>
      <c r="M24" s="466" t="n"/>
      <c r="N24" s="466" t="n"/>
      <c r="O24" s="466" t="n"/>
      <c r="P24" s="466" t="n"/>
      <c r="Q24" s="466" t="n"/>
      <c r="R24" s="466" t="n"/>
      <c r="S24" s="466" t="n"/>
      <c r="T24" s="466" t="n"/>
      <c r="U24" s="466" t="n"/>
      <c r="V24" s="466" t="n"/>
      <c r="W24" s="466" t="n"/>
      <c r="X24" s="466" t="n"/>
      <c r="Y24" s="466" t="n"/>
      <c r="Z24" s="466" t="n"/>
      <c r="AA24" s="466" t="n"/>
      <c r="AB24" s="466" t="n"/>
      <c r="AC24" s="466" t="n"/>
      <c r="AD24" s="466" t="n"/>
      <c r="AE24" s="466" t="n"/>
      <c r="AF24" s="466" t="n"/>
      <c r="AG24" s="466" t="n"/>
      <c r="AH24" s="466" t="n"/>
      <c r="AI24" s="466" t="n"/>
      <c r="AJ24" s="466" t="n"/>
      <c r="AK24" s="466" t="n"/>
      <c r="AL24" s="466" t="n"/>
      <c r="AM24" s="466" t="n"/>
      <c r="AN24" s="466" t="n"/>
      <c r="AO24" s="466" t="n"/>
      <c r="AP24" s="466" t="n"/>
      <c r="AQ24" s="466" t="n"/>
      <c r="AR24" s="466" t="n"/>
      <c r="AS24" s="466" t="n"/>
      <c r="AT24" s="466" t="n"/>
      <c r="AU24" s="466" t="n"/>
      <c r="AV24" s="466" t="n"/>
      <c r="AW24" s="466" t="n"/>
      <c r="AX24" s="466" t="n"/>
      <c r="AY24" s="466" t="n"/>
      <c r="AZ24" s="466" t="n"/>
      <c r="BA24" s="466" t="n"/>
      <c r="BB24" s="466" t="n"/>
      <c r="BC24" s="466" t="n"/>
      <c r="BD24" s="466" t="n"/>
      <c r="BE24" s="466" t="n"/>
      <c r="BF24" s="466" t="n"/>
      <c r="BG24" s="466" t="n"/>
      <c r="BH24" s="466" t="n"/>
      <c r="BI24" s="466" t="n"/>
      <c r="BJ24" s="306" t="n"/>
    </row>
    <row r="25" ht="15" customHeight="1" s="307">
      <c r="A25" s="321" t="n"/>
      <c r="B25" s="459" t="n"/>
      <c r="C25" s="459" t="n"/>
      <c r="D25" s="459" t="n"/>
      <c r="E25" s="459" t="n"/>
      <c r="F25" s="459" t="n"/>
      <c r="G25" s="459" t="n"/>
      <c r="H25" s="459" t="n"/>
      <c r="I25" s="459" t="n"/>
      <c r="J25" s="459" t="n"/>
      <c r="K25" s="459" t="n"/>
      <c r="L25" s="459" t="n"/>
      <c r="M25" s="459" t="n"/>
      <c r="N25" s="459" t="n"/>
      <c r="O25" s="459" t="n"/>
      <c r="P25" s="459" t="n"/>
      <c r="Q25" s="459" t="n"/>
      <c r="R25" s="459" t="n"/>
      <c r="S25" s="459" t="n"/>
      <c r="T25" s="459" t="n"/>
      <c r="U25" s="459" t="n"/>
      <c r="V25" s="459" t="n"/>
      <c r="W25" s="459" t="n"/>
      <c r="X25" s="459" t="n"/>
      <c r="Y25" s="459" t="n"/>
      <c r="Z25" s="459" t="n"/>
      <c r="AA25" s="459" t="n"/>
      <c r="AB25" s="459" t="n"/>
      <c r="AC25" s="459" t="n"/>
      <c r="AD25" s="459" t="n"/>
      <c r="AE25" s="459" t="n"/>
      <c r="AF25" s="459" t="n"/>
      <c r="AG25" s="459" t="n"/>
      <c r="AH25" s="459" t="n"/>
      <c r="AI25" s="459" t="n"/>
      <c r="AJ25" s="459" t="n"/>
      <c r="AK25" s="459" t="n"/>
      <c r="AL25" s="459" t="n"/>
      <c r="AM25" s="459" t="n"/>
      <c r="AN25" s="459" t="n"/>
      <c r="AO25" s="459" t="n"/>
      <c r="AP25" s="459" t="n"/>
      <c r="AQ25" s="459" t="n"/>
      <c r="AR25" s="459" t="n"/>
      <c r="AS25" s="459" t="n"/>
      <c r="AT25" s="459" t="n"/>
      <c r="AU25" s="459" t="n"/>
      <c r="AV25" s="459" t="n"/>
      <c r="AW25" s="459" t="n"/>
      <c r="AX25" s="459" t="n"/>
      <c r="AY25" s="459" t="n"/>
      <c r="AZ25" s="459" t="n"/>
      <c r="BA25" s="459" t="n"/>
      <c r="BB25" s="459" t="n"/>
      <c r="BC25" s="459" t="n"/>
      <c r="BD25" s="459" t="n"/>
      <c r="BE25" s="459" t="n"/>
      <c r="BF25" s="459" t="n"/>
      <c r="BG25" s="459" t="n"/>
      <c r="BH25" s="459" t="n"/>
      <c r="BI25" s="459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6" t="n"/>
      <c r="AA27" s="306" t="n"/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06" t="n"/>
      <c r="AO27" s="306" t="n"/>
      <c r="AP27" s="306" t="n"/>
      <c r="AQ27" s="306" t="n"/>
      <c r="AR27" s="306" t="n"/>
      <c r="AS27" s="306" t="n"/>
      <c r="AT27" s="306" t="n"/>
      <c r="AU27" s="306" t="n"/>
      <c r="AV27" s="306" t="n"/>
      <c r="AW27" s="306" t="n"/>
      <c r="AX27" s="306" t="n"/>
      <c r="AY27" s="306" t="n"/>
      <c r="AZ27" s="306" t="n"/>
      <c r="BA27" s="306" t="n"/>
      <c r="BB27" s="306" t="n"/>
      <c r="BC27" s="306" t="n"/>
      <c r="BD27" s="306" t="n"/>
      <c r="BE27" s="306" t="n"/>
      <c r="BF27" s="306" t="n"/>
      <c r="BG27" s="306" t="n"/>
      <c r="BH27" s="306" t="n"/>
      <c r="BI27" s="306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471" t="inlineStr">
        <is>
          <t>QUARTERLY P&amp;L  |  50% RECYCLE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 t="n">
        <v>0</v>
      </c>
      <c r="C5" s="466" t="n">
        <v>6.31</v>
      </c>
      <c r="D5" s="466" t="n">
        <v>12.77</v>
      </c>
      <c r="E5" s="466" t="n">
        <v>21.85</v>
      </c>
      <c r="F5" s="466" t="n">
        <v>25.23</v>
      </c>
      <c r="G5" s="466" t="n">
        <v>30.49</v>
      </c>
      <c r="H5" s="466" t="n">
        <v>29.28</v>
      </c>
      <c r="I5" s="466" t="n">
        <v>30.11</v>
      </c>
      <c r="J5" s="466" t="n">
        <v>32.83</v>
      </c>
      <c r="K5" s="466" t="n">
        <v>33.52</v>
      </c>
      <c r="L5" s="466" t="n">
        <v>36.11</v>
      </c>
      <c r="M5" s="466" t="n">
        <v>36.67</v>
      </c>
      <c r="N5" s="466" t="n">
        <v>39.13</v>
      </c>
      <c r="O5" s="466" t="n">
        <v>37.57</v>
      </c>
      <c r="P5" s="466" t="n">
        <v>36.08</v>
      </c>
      <c r="Q5" s="466" t="n">
        <v>34.64</v>
      </c>
      <c r="R5" s="466" t="n">
        <v>33.26</v>
      </c>
      <c r="S5" s="466" t="n">
        <v>31.94</v>
      </c>
      <c r="T5" s="466" t="n">
        <v>30.67</v>
      </c>
      <c r="U5" s="466" t="n">
        <v>29.44</v>
      </c>
      <c r="V5" s="466" t="n">
        <v>28.27</v>
      </c>
      <c r="W5" s="466" t="n">
        <v>27.15</v>
      </c>
      <c r="X5" s="466" t="n">
        <v>26.07</v>
      </c>
      <c r="Y5" s="466" t="n">
        <v>25.03</v>
      </c>
      <c r="Z5" s="466" t="n">
        <v>24.03</v>
      </c>
      <c r="AA5" s="466" t="n">
        <v>23.07</v>
      </c>
      <c r="AB5" s="466" t="n">
        <v>22.16</v>
      </c>
      <c r="AC5" s="466" t="n">
        <v>21.27</v>
      </c>
      <c r="AD5" s="466" t="n">
        <v>20.43</v>
      </c>
      <c r="AE5" s="466" t="n">
        <v>19.61</v>
      </c>
      <c r="AF5" s="466" t="n">
        <v>18.83</v>
      </c>
      <c r="AG5" s="466" t="n">
        <v>18.08</v>
      </c>
      <c r="AH5" s="466" t="n">
        <v>17.36</v>
      </c>
      <c r="AI5" s="466" t="n">
        <v>16.67</v>
      </c>
      <c r="AJ5" s="466" t="n">
        <v>16.01</v>
      </c>
      <c r="AK5" s="466" t="n">
        <v>15.37</v>
      </c>
      <c r="AL5" s="466" t="n">
        <v>14.76</v>
      </c>
      <c r="AM5" s="466" t="n">
        <v>14.17</v>
      </c>
      <c r="AN5" s="466" t="n">
        <v>13.61</v>
      </c>
      <c r="AO5" s="466" t="n">
        <v>13.06</v>
      </c>
      <c r="AP5" s="466" t="n">
        <v>12.54</v>
      </c>
      <c r="AQ5" s="466" t="n">
        <v>12.05</v>
      </c>
      <c r="AR5" s="466" t="n">
        <v>11.57</v>
      </c>
      <c r="AS5" s="466" t="n">
        <v>11.11</v>
      </c>
      <c r="AT5" s="466" t="n">
        <v>10.66</v>
      </c>
      <c r="AU5" s="466" t="n">
        <v>10.24</v>
      </c>
      <c r="AV5" s="466" t="n">
        <v>9.83</v>
      </c>
      <c r="AW5" s="466" t="n">
        <v>9.44</v>
      </c>
      <c r="AX5" s="466" t="n">
        <v>9.06</v>
      </c>
      <c r="AY5" s="466" t="n">
        <v>8.699999999999999</v>
      </c>
      <c r="AZ5" s="466" t="n">
        <v>8.359999999999999</v>
      </c>
      <c r="BA5" s="466" t="n">
        <v>8.02</v>
      </c>
      <c r="BB5" s="466" t="n">
        <v>7.7</v>
      </c>
      <c r="BC5" s="466" t="n">
        <v>7.4</v>
      </c>
      <c r="BD5" s="466" t="n">
        <v>7.1</v>
      </c>
      <c r="BE5" s="466" t="n">
        <v>6.82</v>
      </c>
      <c r="BF5" s="466" t="n">
        <v>6.55</v>
      </c>
      <c r="BG5" s="466" t="n">
        <v>6.29</v>
      </c>
      <c r="BH5" s="466" t="n">
        <v>6.04</v>
      </c>
      <c r="BI5" s="466" t="n">
        <v>5.8</v>
      </c>
      <c r="BJ5" s="306" t="n"/>
    </row>
    <row r="6" ht="15" customHeight="1" s="307">
      <c r="A6" s="321" t="inlineStr">
        <is>
          <t xml:space="preserve">    Cost of Goods Sold</t>
        </is>
      </c>
      <c r="B6" s="459" t="n">
        <v>0</v>
      </c>
      <c r="C6" s="459" t="n">
        <v>1.42</v>
      </c>
      <c r="D6" s="459" t="n">
        <v>2.42</v>
      </c>
      <c r="E6" s="459" t="n">
        <v>3.76</v>
      </c>
      <c r="F6" s="459" t="n">
        <v>3.52</v>
      </c>
      <c r="G6" s="459" t="n">
        <v>3.99</v>
      </c>
      <c r="H6" s="459" t="n">
        <v>3.23</v>
      </c>
      <c r="I6" s="459" t="n">
        <v>3.31</v>
      </c>
      <c r="J6" s="459" t="n">
        <v>3.87</v>
      </c>
      <c r="K6" s="459" t="n">
        <v>3.79</v>
      </c>
      <c r="L6" s="459" t="n">
        <v>4.2</v>
      </c>
      <c r="M6" s="459" t="n">
        <v>4.11</v>
      </c>
      <c r="N6" s="459" t="n">
        <v>4.5</v>
      </c>
      <c r="O6" s="459" t="n">
        <v>3.9</v>
      </c>
      <c r="P6" s="459" t="n">
        <v>3.61</v>
      </c>
      <c r="Q6" s="459" t="n">
        <v>3.46</v>
      </c>
      <c r="R6" s="459" t="n">
        <v>3.33</v>
      </c>
      <c r="S6" s="459" t="n">
        <v>3.19</v>
      </c>
      <c r="T6" s="459" t="n">
        <v>3.07</v>
      </c>
      <c r="U6" s="459" t="n">
        <v>2.94</v>
      </c>
      <c r="V6" s="459" t="n">
        <v>2.83</v>
      </c>
      <c r="W6" s="459" t="n">
        <v>2.71</v>
      </c>
      <c r="X6" s="459" t="n">
        <v>2.61</v>
      </c>
      <c r="Y6" s="459" t="n">
        <v>2.5</v>
      </c>
      <c r="Z6" s="459" t="n">
        <v>2.4</v>
      </c>
      <c r="AA6" s="459" t="n">
        <v>2.31</v>
      </c>
      <c r="AB6" s="459" t="n">
        <v>2.22</v>
      </c>
      <c r="AC6" s="459" t="n">
        <v>2.13</v>
      </c>
      <c r="AD6" s="459" t="n">
        <v>2.04</v>
      </c>
      <c r="AE6" s="459" t="n">
        <v>1.96</v>
      </c>
      <c r="AF6" s="459" t="n">
        <v>1.88</v>
      </c>
      <c r="AG6" s="459" t="n">
        <v>1.81</v>
      </c>
      <c r="AH6" s="459" t="n">
        <v>1.74</v>
      </c>
      <c r="AI6" s="459" t="n">
        <v>1.67</v>
      </c>
      <c r="AJ6" s="459" t="n">
        <v>1.6</v>
      </c>
      <c r="AK6" s="459" t="n">
        <v>1.54</v>
      </c>
      <c r="AL6" s="459" t="n">
        <v>1.48</v>
      </c>
      <c r="AM6" s="459" t="n">
        <v>1.42</v>
      </c>
      <c r="AN6" s="459" t="n">
        <v>1.36</v>
      </c>
      <c r="AO6" s="459" t="n">
        <v>1.31</v>
      </c>
      <c r="AP6" s="459" t="n">
        <v>1.25</v>
      </c>
      <c r="AQ6" s="459" t="n">
        <v>1.2</v>
      </c>
      <c r="AR6" s="459" t="n">
        <v>1.16</v>
      </c>
      <c r="AS6" s="459" t="n">
        <v>1.11</v>
      </c>
      <c r="AT6" s="459" t="n">
        <v>1.07</v>
      </c>
      <c r="AU6" s="459" t="n">
        <v>1.02</v>
      </c>
      <c r="AV6" s="459" t="n">
        <v>0.98</v>
      </c>
      <c r="AW6" s="459" t="n">
        <v>0.9399999999999999</v>
      </c>
      <c r="AX6" s="459" t="n">
        <v>0.91</v>
      </c>
      <c r="AY6" s="459" t="n">
        <v>0.87</v>
      </c>
      <c r="AZ6" s="459" t="n">
        <v>0.84</v>
      </c>
      <c r="BA6" s="459" t="n">
        <v>0.8</v>
      </c>
      <c r="BB6" s="459" t="n">
        <v>0.77</v>
      </c>
      <c r="BC6" s="459" t="n">
        <v>0.74</v>
      </c>
      <c r="BD6" s="459" t="n">
        <v>0.71</v>
      </c>
      <c r="BE6" s="459" t="n">
        <v>0.68</v>
      </c>
      <c r="BF6" s="459" t="n">
        <v>0.65</v>
      </c>
      <c r="BG6" s="459" t="n">
        <v>0.63</v>
      </c>
      <c r="BH6" s="459" t="n">
        <v>0.6</v>
      </c>
      <c r="BI6" s="459" t="n">
        <v>0.58</v>
      </c>
      <c r="BJ6" s="306" t="n"/>
    </row>
    <row r="7" ht="15" customHeight="1" s="307">
      <c r="A7" s="468" t="inlineStr">
        <is>
          <t>Gross Profit</t>
        </is>
      </c>
      <c r="B7" s="470" t="n">
        <v>0</v>
      </c>
      <c r="C7" s="470" t="n">
        <v>4.89</v>
      </c>
      <c r="D7" s="470" t="n">
        <v>10.35</v>
      </c>
      <c r="E7" s="470" t="n">
        <v>18.09</v>
      </c>
      <c r="F7" s="470" t="n">
        <v>21.72</v>
      </c>
      <c r="G7" s="470" t="n">
        <v>26.5</v>
      </c>
      <c r="H7" s="470" t="n">
        <v>26.05</v>
      </c>
      <c r="I7" s="470" t="n">
        <v>26.8</v>
      </c>
      <c r="J7" s="470" t="n">
        <v>28.96</v>
      </c>
      <c r="K7" s="470" t="n">
        <v>29.73</v>
      </c>
      <c r="L7" s="470" t="n">
        <v>31.91</v>
      </c>
      <c r="M7" s="470" t="n">
        <v>32.56</v>
      </c>
      <c r="N7" s="470" t="n">
        <v>34.63</v>
      </c>
      <c r="O7" s="470" t="n">
        <v>33.67</v>
      </c>
      <c r="P7" s="470" t="n">
        <v>32.47</v>
      </c>
      <c r="Q7" s="470" t="n">
        <v>31.18</v>
      </c>
      <c r="R7" s="470" t="n">
        <v>29.94</v>
      </c>
      <c r="S7" s="470" t="n">
        <v>28.74</v>
      </c>
      <c r="T7" s="470" t="n">
        <v>27.6</v>
      </c>
      <c r="U7" s="470" t="n">
        <v>26.5</v>
      </c>
      <c r="V7" s="470" t="n">
        <v>25.45</v>
      </c>
      <c r="W7" s="470" t="n">
        <v>24.43</v>
      </c>
      <c r="X7" s="470" t="n">
        <v>23.46</v>
      </c>
      <c r="Y7" s="470" t="n">
        <v>22.53</v>
      </c>
      <c r="Z7" s="470" t="n">
        <v>21.63</v>
      </c>
      <c r="AA7" s="470" t="n">
        <v>20.77</v>
      </c>
      <c r="AB7" s="470" t="n">
        <v>19.94</v>
      </c>
      <c r="AC7" s="470" t="n">
        <v>19.15</v>
      </c>
      <c r="AD7" s="470" t="n">
        <v>18.38</v>
      </c>
      <c r="AE7" s="470" t="n">
        <v>17.65</v>
      </c>
      <c r="AF7" s="470" t="n">
        <v>16.95</v>
      </c>
      <c r="AG7" s="470" t="n">
        <v>16.27</v>
      </c>
      <c r="AH7" s="470" t="n">
        <v>15.63</v>
      </c>
      <c r="AI7" s="470" t="n">
        <v>15</v>
      </c>
      <c r="AJ7" s="470" t="n">
        <v>14.41</v>
      </c>
      <c r="AK7" s="470" t="n">
        <v>13.83</v>
      </c>
      <c r="AL7" s="470" t="n">
        <v>13.28</v>
      </c>
      <c r="AM7" s="470" t="n">
        <v>12.75</v>
      </c>
      <c r="AN7" s="470" t="n">
        <v>12.25</v>
      </c>
      <c r="AO7" s="470" t="n">
        <v>11.76</v>
      </c>
      <c r="AP7" s="470" t="n">
        <v>11.29</v>
      </c>
      <c r="AQ7" s="470" t="n">
        <v>10.84</v>
      </c>
      <c r="AR7" s="470" t="n">
        <v>10.41</v>
      </c>
      <c r="AS7" s="470" t="n">
        <v>9.99</v>
      </c>
      <c r="AT7" s="470" t="n">
        <v>9.6</v>
      </c>
      <c r="AU7" s="470" t="n">
        <v>9.210000000000001</v>
      </c>
      <c r="AV7" s="470" t="n">
        <v>8.85</v>
      </c>
      <c r="AW7" s="470" t="n">
        <v>8.5</v>
      </c>
      <c r="AX7" s="470" t="n">
        <v>8.16</v>
      </c>
      <c r="AY7" s="470" t="n">
        <v>7.83</v>
      </c>
      <c r="AZ7" s="470" t="n">
        <v>7.52</v>
      </c>
      <c r="BA7" s="470" t="n">
        <v>7.22</v>
      </c>
      <c r="BB7" s="470" t="n">
        <v>6.93</v>
      </c>
      <c r="BC7" s="470" t="n">
        <v>6.66</v>
      </c>
      <c r="BD7" s="470" t="n">
        <v>6.39</v>
      </c>
      <c r="BE7" s="470" t="n">
        <v>6.14</v>
      </c>
      <c r="BF7" s="470" t="n">
        <v>5.89</v>
      </c>
      <c r="BG7" s="470" t="n">
        <v>5.66</v>
      </c>
      <c r="BH7" s="470" t="n">
        <v>5.43</v>
      </c>
      <c r="BI7" s="470" t="n">
        <v>5.22</v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 t="n">
        <v>0</v>
      </c>
      <c r="C9" s="459" t="n">
        <v>0.58</v>
      </c>
      <c r="D9" s="459" t="n">
        <v>1.02</v>
      </c>
      <c r="E9" s="459" t="n">
        <v>1.62</v>
      </c>
      <c r="F9" s="459" t="n">
        <v>1.59</v>
      </c>
      <c r="G9" s="459" t="n">
        <v>1.84</v>
      </c>
      <c r="H9" s="459" t="n">
        <v>1.56</v>
      </c>
      <c r="I9" s="459" t="n">
        <v>1.61</v>
      </c>
      <c r="J9" s="459" t="n">
        <v>1.84</v>
      </c>
      <c r="K9" s="459" t="n">
        <v>1.82</v>
      </c>
      <c r="L9" s="459" t="n">
        <v>2</v>
      </c>
      <c r="M9" s="459" t="n">
        <v>1.98</v>
      </c>
      <c r="N9" s="459" t="n">
        <v>2.15</v>
      </c>
      <c r="O9" s="459" t="n">
        <v>1.93</v>
      </c>
      <c r="P9" s="459" t="n">
        <v>1.8</v>
      </c>
      <c r="Q9" s="459" t="n">
        <v>1.73</v>
      </c>
      <c r="R9" s="459" t="n">
        <v>1.66</v>
      </c>
      <c r="S9" s="459" t="n">
        <v>1.6</v>
      </c>
      <c r="T9" s="459" t="n">
        <v>1.53</v>
      </c>
      <c r="U9" s="459" t="n">
        <v>1.47</v>
      </c>
      <c r="V9" s="459" t="n">
        <v>1.41</v>
      </c>
      <c r="W9" s="459" t="n">
        <v>1.36</v>
      </c>
      <c r="X9" s="459" t="n">
        <v>1.3</v>
      </c>
      <c r="Y9" s="459" t="n">
        <v>1.25</v>
      </c>
      <c r="Z9" s="459" t="n">
        <v>1.2</v>
      </c>
      <c r="AA9" s="459" t="n">
        <v>1.15</v>
      </c>
      <c r="AB9" s="459" t="n">
        <v>1.11</v>
      </c>
      <c r="AC9" s="459" t="n">
        <v>1.06</v>
      </c>
      <c r="AD9" s="459" t="n">
        <v>1.02</v>
      </c>
      <c r="AE9" s="459" t="n">
        <v>0.98</v>
      </c>
      <c r="AF9" s="459" t="n">
        <v>0.9399999999999999</v>
      </c>
      <c r="AG9" s="459" t="n">
        <v>0.9</v>
      </c>
      <c r="AH9" s="459" t="n">
        <v>0.87</v>
      </c>
      <c r="AI9" s="459" t="n">
        <v>0.83</v>
      </c>
      <c r="AJ9" s="459" t="n">
        <v>0.8</v>
      </c>
      <c r="AK9" s="459" t="n">
        <v>0.77</v>
      </c>
      <c r="AL9" s="459" t="n">
        <v>0.74</v>
      </c>
      <c r="AM9" s="459" t="n">
        <v>0.71</v>
      </c>
      <c r="AN9" s="459" t="n">
        <v>0.68</v>
      </c>
      <c r="AO9" s="459" t="n">
        <v>0.65</v>
      </c>
      <c r="AP9" s="459" t="n">
        <v>0.63</v>
      </c>
      <c r="AQ9" s="459" t="n">
        <v>0.6</v>
      </c>
      <c r="AR9" s="459" t="n">
        <v>0.58</v>
      </c>
      <c r="AS9" s="459" t="n">
        <v>0.5600000000000001</v>
      </c>
      <c r="AT9" s="459" t="n">
        <v>0.53</v>
      </c>
      <c r="AU9" s="459" t="n">
        <v>0.51</v>
      </c>
      <c r="AV9" s="459" t="n">
        <v>0.49</v>
      </c>
      <c r="AW9" s="459" t="n">
        <v>0.47</v>
      </c>
      <c r="AX9" s="459" t="n">
        <v>0.45</v>
      </c>
      <c r="AY9" s="459" t="n">
        <v>0.44</v>
      </c>
      <c r="AZ9" s="459" t="n">
        <v>0.42</v>
      </c>
      <c r="BA9" s="459" t="n">
        <v>0.4</v>
      </c>
      <c r="BB9" s="459" t="n">
        <v>0.39</v>
      </c>
      <c r="BC9" s="459" t="n">
        <v>0.37</v>
      </c>
      <c r="BD9" s="459" t="n">
        <v>0.36</v>
      </c>
      <c r="BE9" s="459" t="n">
        <v>0.34</v>
      </c>
      <c r="BF9" s="459" t="n">
        <v>0.33</v>
      </c>
      <c r="BG9" s="459" t="n">
        <v>0.31</v>
      </c>
      <c r="BH9" s="459" t="n">
        <v>0.3</v>
      </c>
      <c r="BI9" s="459" t="n">
        <v>0.29</v>
      </c>
      <c r="BJ9" s="306" t="n"/>
    </row>
    <row r="10" ht="15" customHeight="1" s="307">
      <c r="A10" s="321" t="inlineStr">
        <is>
          <t xml:space="preserve">    Corporate Allocation</t>
        </is>
      </c>
      <c r="B10" s="459" t="n">
        <v>0</v>
      </c>
      <c r="C10" s="459" t="n">
        <v>0.38</v>
      </c>
      <c r="D10" s="459" t="n">
        <v>0.77</v>
      </c>
      <c r="E10" s="459" t="n">
        <v>1.31</v>
      </c>
      <c r="F10" s="459" t="n">
        <v>1.51</v>
      </c>
      <c r="G10" s="459" t="n">
        <v>1.83</v>
      </c>
      <c r="H10" s="459" t="n">
        <v>1.76</v>
      </c>
      <c r="I10" s="459" t="n">
        <v>1.81</v>
      </c>
      <c r="J10" s="459" t="n">
        <v>1.97</v>
      </c>
      <c r="K10" s="459" t="n">
        <v>2.01</v>
      </c>
      <c r="L10" s="459" t="n">
        <v>2.17</v>
      </c>
      <c r="M10" s="459" t="n">
        <v>2.2</v>
      </c>
      <c r="N10" s="459" t="n">
        <v>2.35</v>
      </c>
      <c r="O10" s="459" t="n">
        <v>2.25</v>
      </c>
      <c r="P10" s="459" t="n">
        <v>2.16</v>
      </c>
      <c r="Q10" s="459" t="n">
        <v>2.08</v>
      </c>
      <c r="R10" s="459" t="n">
        <v>2</v>
      </c>
      <c r="S10" s="459" t="n">
        <v>1.92</v>
      </c>
      <c r="T10" s="459" t="n">
        <v>1.84</v>
      </c>
      <c r="U10" s="459" t="n">
        <v>1.77</v>
      </c>
      <c r="V10" s="459" t="n">
        <v>1.7</v>
      </c>
      <c r="W10" s="459" t="n">
        <v>1.63</v>
      </c>
      <c r="X10" s="459" t="n">
        <v>1.56</v>
      </c>
      <c r="Y10" s="459" t="n">
        <v>1.5</v>
      </c>
      <c r="Z10" s="459" t="n">
        <v>1.44</v>
      </c>
      <c r="AA10" s="459" t="n">
        <v>1.38</v>
      </c>
      <c r="AB10" s="459" t="n">
        <v>1.33</v>
      </c>
      <c r="AC10" s="459" t="n">
        <v>1.28</v>
      </c>
      <c r="AD10" s="459" t="n">
        <v>1.23</v>
      </c>
      <c r="AE10" s="459" t="n">
        <v>1.18</v>
      </c>
      <c r="AF10" s="459" t="n">
        <v>1.13</v>
      </c>
      <c r="AG10" s="459" t="n">
        <v>1.08</v>
      </c>
      <c r="AH10" s="459" t="n">
        <v>1.04</v>
      </c>
      <c r="AI10" s="459" t="n">
        <v>1</v>
      </c>
      <c r="AJ10" s="459" t="n">
        <v>0.96</v>
      </c>
      <c r="AK10" s="459" t="n">
        <v>0.92</v>
      </c>
      <c r="AL10" s="459" t="n">
        <v>0.89</v>
      </c>
      <c r="AM10" s="459" t="n">
        <v>0.85</v>
      </c>
      <c r="AN10" s="459" t="n">
        <v>0.82</v>
      </c>
      <c r="AO10" s="459" t="n">
        <v>0.78</v>
      </c>
      <c r="AP10" s="459" t="n">
        <v>0.75</v>
      </c>
      <c r="AQ10" s="459" t="n">
        <v>0.72</v>
      </c>
      <c r="AR10" s="459" t="n">
        <v>0.6899999999999999</v>
      </c>
      <c r="AS10" s="459" t="n">
        <v>0.67</v>
      </c>
      <c r="AT10" s="459" t="n">
        <v>0.64</v>
      </c>
      <c r="AU10" s="459" t="n">
        <v>0.61</v>
      </c>
      <c r="AV10" s="459" t="n">
        <v>0.59</v>
      </c>
      <c r="AW10" s="459" t="n">
        <v>0.57</v>
      </c>
      <c r="AX10" s="459" t="n">
        <v>0.54</v>
      </c>
      <c r="AY10" s="459" t="n">
        <v>0.52</v>
      </c>
      <c r="AZ10" s="459" t="n">
        <v>0.5</v>
      </c>
      <c r="BA10" s="459" t="n">
        <v>0.48</v>
      </c>
      <c r="BB10" s="459" t="n">
        <v>0.46</v>
      </c>
      <c r="BC10" s="459" t="n">
        <v>0.44</v>
      </c>
      <c r="BD10" s="459" t="n">
        <v>0.43</v>
      </c>
      <c r="BE10" s="459" t="n">
        <v>0.41</v>
      </c>
      <c r="BF10" s="459" t="n">
        <v>0.39</v>
      </c>
      <c r="BG10" s="459" t="n">
        <v>0.38</v>
      </c>
      <c r="BH10" s="459" t="n">
        <v>0.36</v>
      </c>
      <c r="BI10" s="459" t="n">
        <v>0.35</v>
      </c>
      <c r="BJ10" s="306" t="n"/>
    </row>
    <row r="11" ht="15" customHeight="1" s="307">
      <c r="A11" s="321" t="inlineStr">
        <is>
          <t xml:space="preserve">    Team Compensation</t>
        </is>
      </c>
      <c r="B11" s="459" t="n">
        <v>0.24</v>
      </c>
      <c r="C11" s="459" t="n">
        <v>1.02</v>
      </c>
      <c r="D11" s="459" t="n">
        <v>2.11</v>
      </c>
      <c r="E11" s="459" t="n">
        <v>1.81</v>
      </c>
      <c r="F11" s="459" t="n">
        <v>2.8</v>
      </c>
      <c r="G11" s="459" t="n">
        <v>2.86</v>
      </c>
      <c r="H11" s="459" t="n">
        <v>2.86</v>
      </c>
      <c r="I11" s="459" t="n">
        <v>2.86</v>
      </c>
      <c r="J11" s="459" t="n">
        <v>2.86</v>
      </c>
      <c r="K11" s="459" t="n">
        <v>2.86</v>
      </c>
      <c r="L11" s="459" t="n">
        <v>2.86</v>
      </c>
      <c r="M11" s="459" t="n">
        <v>2.86</v>
      </c>
      <c r="N11" s="459" t="n">
        <v>2.86</v>
      </c>
      <c r="O11" s="459" t="n">
        <v>2.86</v>
      </c>
      <c r="P11" s="459" t="n">
        <v>2.86</v>
      </c>
      <c r="Q11" s="459" t="n">
        <v>2.86</v>
      </c>
      <c r="R11" s="459" t="n">
        <v>2.86</v>
      </c>
      <c r="S11" s="459" t="n">
        <v>2.86</v>
      </c>
      <c r="T11" s="459" t="n">
        <v>2.86</v>
      </c>
      <c r="U11" s="459" t="n">
        <v>2.86</v>
      </c>
      <c r="V11" s="459" t="n">
        <v>2.86</v>
      </c>
      <c r="W11" s="459" t="n">
        <v>2.86</v>
      </c>
      <c r="X11" s="459" t="n">
        <v>2.86</v>
      </c>
      <c r="Y11" s="459" t="n">
        <v>2.86</v>
      </c>
      <c r="Z11" s="459" t="n">
        <v>2.86</v>
      </c>
      <c r="AA11" s="459" t="n">
        <v>2.86</v>
      </c>
      <c r="AB11" s="459" t="n">
        <v>2.86</v>
      </c>
      <c r="AC11" s="459" t="n">
        <v>2.86</v>
      </c>
      <c r="AD11" s="459" t="n">
        <v>2.86</v>
      </c>
      <c r="AE11" s="459" t="n">
        <v>2.86</v>
      </c>
      <c r="AF11" s="459" t="n">
        <v>2.86</v>
      </c>
      <c r="AG11" s="459" t="n">
        <v>2.86</v>
      </c>
      <c r="AH11" s="459" t="n">
        <v>2.86</v>
      </c>
      <c r="AI11" s="459" t="n">
        <v>2.86</v>
      </c>
      <c r="AJ11" s="459" t="n">
        <v>2.86</v>
      </c>
      <c r="AK11" s="459" t="n">
        <v>2.86</v>
      </c>
      <c r="AL11" s="459" t="n">
        <v>2.86</v>
      </c>
      <c r="AM11" s="459" t="n">
        <v>2.86</v>
      </c>
      <c r="AN11" s="459" t="n">
        <v>2.86</v>
      </c>
      <c r="AO11" s="459" t="n">
        <v>2.86</v>
      </c>
      <c r="AP11" s="459" t="n">
        <v>2.86</v>
      </c>
      <c r="AQ11" s="459" t="n">
        <v>2.86</v>
      </c>
      <c r="AR11" s="459" t="n">
        <v>2.86</v>
      </c>
      <c r="AS11" s="459" t="n">
        <v>2.86</v>
      </c>
      <c r="AT11" s="459" t="n">
        <v>2.86</v>
      </c>
      <c r="AU11" s="459" t="n">
        <v>2.86</v>
      </c>
      <c r="AV11" s="459" t="n">
        <v>2.86</v>
      </c>
      <c r="AW11" s="459" t="n">
        <v>2.86</v>
      </c>
      <c r="AX11" s="459" t="n">
        <v>2.86</v>
      </c>
      <c r="AY11" s="459" t="n">
        <v>2.86</v>
      </c>
      <c r="AZ11" s="459" t="n">
        <v>2.86</v>
      </c>
      <c r="BA11" s="459" t="n">
        <v>2.86</v>
      </c>
      <c r="BB11" s="459" t="n">
        <v>2.86</v>
      </c>
      <c r="BC11" s="459" t="n">
        <v>2.86</v>
      </c>
      <c r="BD11" s="459" t="n">
        <v>2.86</v>
      </c>
      <c r="BE11" s="459" t="n">
        <v>2.86</v>
      </c>
      <c r="BF11" s="459" t="n">
        <v>2.86</v>
      </c>
      <c r="BG11" s="459" t="n">
        <v>2.86</v>
      </c>
      <c r="BH11" s="459" t="n">
        <v>2.86</v>
      </c>
      <c r="BI11" s="459" t="n">
        <v>2.86</v>
      </c>
      <c r="BJ11" s="306" t="n"/>
    </row>
    <row r="12" ht="15" customHeight="1" s="307">
      <c r="A12" s="321" t="inlineStr">
        <is>
          <t xml:space="preserve">    Legacy Headcount</t>
        </is>
      </c>
      <c r="B12" s="459" t="n">
        <v>0</v>
      </c>
      <c r="C12" s="459" t="n">
        <v>3.28</v>
      </c>
      <c r="D12" s="459" t="n">
        <v>5.35</v>
      </c>
      <c r="E12" s="459" t="n">
        <v>7.92</v>
      </c>
      <c r="F12" s="459" t="n">
        <v>6.19</v>
      </c>
      <c r="G12" s="459" t="n">
        <v>5.96</v>
      </c>
      <c r="H12" s="459" t="n">
        <v>2.85</v>
      </c>
      <c r="I12" s="459" t="n">
        <v>2.13</v>
      </c>
      <c r="J12" s="459" t="n">
        <v>2.93</v>
      </c>
      <c r="K12" s="459" t="n">
        <v>2.51</v>
      </c>
      <c r="L12" s="459" t="n">
        <v>3.22</v>
      </c>
      <c r="M12" s="459" t="n">
        <v>2.65</v>
      </c>
      <c r="N12" s="459" t="n">
        <v>3.22</v>
      </c>
      <c r="O12" s="459" t="n">
        <v>1.47</v>
      </c>
      <c r="P12" s="459" t="n">
        <v>0.59</v>
      </c>
      <c r="Q12" s="459" t="n">
        <v>0.14</v>
      </c>
      <c r="R12" s="459" t="n">
        <v>0</v>
      </c>
      <c r="S12" s="459" t="n">
        <v>0</v>
      </c>
      <c r="T12" s="459" t="n">
        <v>0</v>
      </c>
      <c r="U12" s="459" t="n">
        <v>0</v>
      </c>
      <c r="V12" s="459" t="n">
        <v>0</v>
      </c>
      <c r="W12" s="459" t="n">
        <v>0</v>
      </c>
      <c r="X12" s="459" t="n">
        <v>0</v>
      </c>
      <c r="Y12" s="459" t="n">
        <v>0</v>
      </c>
      <c r="Z12" s="459" t="n">
        <v>0</v>
      </c>
      <c r="AA12" s="459" t="n">
        <v>0</v>
      </c>
      <c r="AB12" s="459" t="n">
        <v>0</v>
      </c>
      <c r="AC12" s="459" t="n">
        <v>0</v>
      </c>
      <c r="AD12" s="459" t="n">
        <v>0</v>
      </c>
      <c r="AE12" s="459" t="n">
        <v>0</v>
      </c>
      <c r="AF12" s="459" t="n">
        <v>0</v>
      </c>
      <c r="AG12" s="459" t="n">
        <v>0</v>
      </c>
      <c r="AH12" s="459" t="n">
        <v>0</v>
      </c>
      <c r="AI12" s="459" t="n">
        <v>0</v>
      </c>
      <c r="AJ12" s="459" t="n">
        <v>0</v>
      </c>
      <c r="AK12" s="459" t="n">
        <v>0</v>
      </c>
      <c r="AL12" s="459" t="n">
        <v>0</v>
      </c>
      <c r="AM12" s="459" t="n">
        <v>0</v>
      </c>
      <c r="AN12" s="459" t="n">
        <v>0</v>
      </c>
      <c r="AO12" s="459" t="n">
        <v>0</v>
      </c>
      <c r="AP12" s="459" t="n">
        <v>0</v>
      </c>
      <c r="AQ12" s="459" t="n">
        <v>0</v>
      </c>
      <c r="AR12" s="459" t="n">
        <v>0</v>
      </c>
      <c r="AS12" s="459" t="n">
        <v>0</v>
      </c>
      <c r="AT12" s="459" t="n">
        <v>0</v>
      </c>
      <c r="AU12" s="459" t="n">
        <v>0</v>
      </c>
      <c r="AV12" s="459" t="n">
        <v>0</v>
      </c>
      <c r="AW12" s="459" t="n">
        <v>0</v>
      </c>
      <c r="AX12" s="459" t="n">
        <v>0</v>
      </c>
      <c r="AY12" s="459" t="n">
        <v>0</v>
      </c>
      <c r="AZ12" s="459" t="n">
        <v>0</v>
      </c>
      <c r="BA12" s="459" t="n">
        <v>0</v>
      </c>
      <c r="BB12" s="459" t="n">
        <v>0</v>
      </c>
      <c r="BC12" s="459" t="n">
        <v>0</v>
      </c>
      <c r="BD12" s="459" t="n">
        <v>0</v>
      </c>
      <c r="BE12" s="459" t="n">
        <v>0</v>
      </c>
      <c r="BF12" s="459" t="n">
        <v>0</v>
      </c>
      <c r="BG12" s="459" t="n">
        <v>0</v>
      </c>
      <c r="BH12" s="459" t="n">
        <v>0</v>
      </c>
      <c r="BI12" s="459" t="n">
        <v>0</v>
      </c>
      <c r="BJ12" s="306" t="n"/>
    </row>
    <row r="13" ht="15" customHeight="1" s="307">
      <c r="A13" s="321" t="inlineStr">
        <is>
          <t xml:space="preserve">    Bonus Pool</t>
        </is>
      </c>
      <c r="B13" s="459" t="n">
        <v>0</v>
      </c>
      <c r="C13" s="459" t="n">
        <v>0</v>
      </c>
      <c r="D13" s="459" t="n">
        <v>0</v>
      </c>
      <c r="E13" s="459" t="n">
        <v>0</v>
      </c>
      <c r="F13" s="459" t="n">
        <v>0</v>
      </c>
      <c r="G13" s="459" t="n">
        <v>0</v>
      </c>
      <c r="H13" s="459" t="n">
        <v>0</v>
      </c>
      <c r="I13" s="459" t="n">
        <v>0</v>
      </c>
      <c r="J13" s="459" t="n">
        <v>0</v>
      </c>
      <c r="K13" s="459" t="n">
        <v>0</v>
      </c>
      <c r="L13" s="459" t="n">
        <v>0</v>
      </c>
      <c r="M13" s="459" t="n">
        <v>0</v>
      </c>
      <c r="N13" s="459" t="n">
        <v>0</v>
      </c>
      <c r="O13" s="459" t="n">
        <v>0</v>
      </c>
      <c r="P13" s="459" t="n">
        <v>0</v>
      </c>
      <c r="Q13" s="459" t="n">
        <v>6.48</v>
      </c>
      <c r="R13" s="459" t="n">
        <v>0</v>
      </c>
      <c r="S13" s="459" t="n">
        <v>0</v>
      </c>
      <c r="T13" s="459" t="n">
        <v>0</v>
      </c>
      <c r="U13" s="459" t="n">
        <v>9.220000000000001</v>
      </c>
      <c r="V13" s="459" t="n">
        <v>0</v>
      </c>
      <c r="W13" s="459" t="n">
        <v>0</v>
      </c>
      <c r="X13" s="459" t="n">
        <v>0</v>
      </c>
      <c r="Y13" s="459" t="n">
        <v>6.12</v>
      </c>
      <c r="Z13" s="459" t="n">
        <v>0</v>
      </c>
      <c r="AA13" s="459" t="n">
        <v>0</v>
      </c>
      <c r="AB13" s="459" t="n">
        <v>0</v>
      </c>
      <c r="AC13" s="459" t="n">
        <v>3.48</v>
      </c>
      <c r="AD13" s="459" t="n">
        <v>0</v>
      </c>
      <c r="AE13" s="459" t="n">
        <v>0</v>
      </c>
      <c r="AF13" s="459" t="n">
        <v>0</v>
      </c>
      <c r="AG13" s="459" t="n">
        <v>1.24</v>
      </c>
      <c r="AH13" s="459" t="n">
        <v>0</v>
      </c>
      <c r="AI13" s="459" t="n">
        <v>0</v>
      </c>
      <c r="AJ13" s="459" t="n">
        <v>0</v>
      </c>
      <c r="AK13" s="459" t="n">
        <v>0</v>
      </c>
      <c r="AL13" s="459" t="n">
        <v>0</v>
      </c>
      <c r="AM13" s="459" t="n">
        <v>0</v>
      </c>
      <c r="AN13" s="459" t="n">
        <v>0</v>
      </c>
      <c r="AO13" s="459" t="n">
        <v>0</v>
      </c>
      <c r="AP13" s="459" t="n">
        <v>0</v>
      </c>
      <c r="AQ13" s="459" t="n">
        <v>0</v>
      </c>
      <c r="AR13" s="459" t="n">
        <v>0</v>
      </c>
      <c r="AS13" s="459" t="n">
        <v>0</v>
      </c>
      <c r="AT13" s="459" t="n">
        <v>0</v>
      </c>
      <c r="AU13" s="459" t="n">
        <v>0</v>
      </c>
      <c r="AV13" s="459" t="n">
        <v>0</v>
      </c>
      <c r="AW13" s="459" t="n">
        <v>0</v>
      </c>
      <c r="AX13" s="459" t="n">
        <v>0</v>
      </c>
      <c r="AY13" s="459" t="n">
        <v>0</v>
      </c>
      <c r="AZ13" s="459" t="n">
        <v>0</v>
      </c>
      <c r="BA13" s="459" t="n">
        <v>0</v>
      </c>
      <c r="BB13" s="459" t="n">
        <v>0</v>
      </c>
      <c r="BC13" s="459" t="n">
        <v>0</v>
      </c>
      <c r="BD13" s="459" t="n">
        <v>0</v>
      </c>
      <c r="BE13" s="459" t="n">
        <v>0</v>
      </c>
      <c r="BF13" s="459" t="n">
        <v>0</v>
      </c>
      <c r="BG13" s="459" t="n">
        <v>0</v>
      </c>
      <c r="BH13" s="459" t="n">
        <v>0</v>
      </c>
      <c r="BI13" s="459" t="n">
        <v>0</v>
      </c>
      <c r="BJ13" s="306" t="n"/>
    </row>
    <row r="14" ht="15" customHeight="1" s="307">
      <c r="A14" s="460" t="inlineStr">
        <is>
          <t>Total OpEx</t>
        </is>
      </c>
      <c r="B14" s="462" t="n">
        <v>0.24</v>
      </c>
      <c r="C14" s="462" t="n">
        <v>5.26</v>
      </c>
      <c r="D14" s="462" t="n">
        <v>9.25</v>
      </c>
      <c r="E14" s="462" t="n">
        <v>12.66</v>
      </c>
      <c r="F14" s="462" t="n">
        <v>12.1</v>
      </c>
      <c r="G14" s="462" t="n">
        <v>12.49</v>
      </c>
      <c r="H14" s="462" t="n">
        <v>9.039999999999999</v>
      </c>
      <c r="I14" s="462" t="n">
        <v>8.41</v>
      </c>
      <c r="J14" s="462" t="n">
        <v>9.6</v>
      </c>
      <c r="K14" s="462" t="n">
        <v>9.199999999999999</v>
      </c>
      <c r="L14" s="462" t="n">
        <v>10.25</v>
      </c>
      <c r="M14" s="462" t="n">
        <v>9.69</v>
      </c>
      <c r="N14" s="462" t="n">
        <v>10.58</v>
      </c>
      <c r="O14" s="462" t="n">
        <v>8.51</v>
      </c>
      <c r="P14" s="462" t="n">
        <v>7.43</v>
      </c>
      <c r="Q14" s="462" t="n">
        <v>13.3</v>
      </c>
      <c r="R14" s="462" t="n">
        <v>6.52</v>
      </c>
      <c r="S14" s="462" t="n">
        <v>6.38</v>
      </c>
      <c r="T14" s="462" t="n">
        <v>6.24</v>
      </c>
      <c r="U14" s="462" t="n">
        <v>15.32</v>
      </c>
      <c r="V14" s="462" t="n">
        <v>5.97</v>
      </c>
      <c r="W14" s="462" t="n">
        <v>5.85</v>
      </c>
      <c r="X14" s="462" t="n">
        <v>5.73</v>
      </c>
      <c r="Y14" s="462" t="n">
        <v>11.74</v>
      </c>
      <c r="Z14" s="462" t="n">
        <v>5.51</v>
      </c>
      <c r="AA14" s="462" t="n">
        <v>5.4</v>
      </c>
      <c r="AB14" s="462" t="n">
        <v>5.3</v>
      </c>
      <c r="AC14" s="462" t="n">
        <v>8.69</v>
      </c>
      <c r="AD14" s="462" t="n">
        <v>5.11</v>
      </c>
      <c r="AE14" s="462" t="n">
        <v>5.02</v>
      </c>
      <c r="AF14" s="462" t="n">
        <v>4.94</v>
      </c>
      <c r="AG14" s="462" t="n">
        <v>6.09</v>
      </c>
      <c r="AH14" s="462" t="n">
        <v>4.77</v>
      </c>
      <c r="AI14" s="462" t="n">
        <v>4.7</v>
      </c>
      <c r="AJ14" s="462" t="n">
        <v>4.62</v>
      </c>
      <c r="AK14" s="462" t="n">
        <v>4.55</v>
      </c>
      <c r="AL14" s="462" t="n">
        <v>4.49</v>
      </c>
      <c r="AM14" s="462" t="n">
        <v>4.42</v>
      </c>
      <c r="AN14" s="462" t="n">
        <v>4.36</v>
      </c>
      <c r="AO14" s="462" t="n">
        <v>4.3</v>
      </c>
      <c r="AP14" s="462" t="n">
        <v>4.24</v>
      </c>
      <c r="AQ14" s="462" t="n">
        <v>4.19</v>
      </c>
      <c r="AR14" s="462" t="n">
        <v>4.14</v>
      </c>
      <c r="AS14" s="462" t="n">
        <v>4.09</v>
      </c>
      <c r="AT14" s="462" t="n">
        <v>4.04</v>
      </c>
      <c r="AU14" s="462" t="n">
        <v>3.99</v>
      </c>
      <c r="AV14" s="462" t="n">
        <v>3.95</v>
      </c>
      <c r="AW14" s="462" t="n">
        <v>3.9</v>
      </c>
      <c r="AX14" s="462" t="n">
        <v>3.86</v>
      </c>
      <c r="AY14" s="462" t="n">
        <v>3.82</v>
      </c>
      <c r="AZ14" s="462" t="n">
        <v>3.78</v>
      </c>
      <c r="BA14" s="462" t="n">
        <v>3.75</v>
      </c>
      <c r="BB14" s="462" t="n">
        <v>3.71</v>
      </c>
      <c r="BC14" s="462" t="n">
        <v>3.68</v>
      </c>
      <c r="BD14" s="462" t="n">
        <v>3.65</v>
      </c>
      <c r="BE14" s="462" t="n">
        <v>3.61</v>
      </c>
      <c r="BF14" s="462" t="n">
        <v>3.58</v>
      </c>
      <c r="BG14" s="462" t="n">
        <v>3.56</v>
      </c>
      <c r="BH14" s="462" t="n">
        <v>3.53</v>
      </c>
      <c r="BI14" s="462" t="n">
        <v>3.5</v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 t="n">
        <v>-0.24</v>
      </c>
      <c r="C16" s="466" t="n">
        <v>-0.36</v>
      </c>
      <c r="D16" s="466" t="n">
        <v>1.1</v>
      </c>
      <c r="E16" s="466" t="n">
        <v>5.43</v>
      </c>
      <c r="F16" s="466" t="n">
        <v>9.609999999999999</v>
      </c>
      <c r="G16" s="466" t="n">
        <v>14.01</v>
      </c>
      <c r="H16" s="466" t="n">
        <v>17.01</v>
      </c>
      <c r="I16" s="466" t="n">
        <v>18.39</v>
      </c>
      <c r="J16" s="466" t="n">
        <v>19.36</v>
      </c>
      <c r="K16" s="466" t="n">
        <v>20.53</v>
      </c>
      <c r="L16" s="466" t="n">
        <v>21.67</v>
      </c>
      <c r="M16" s="466" t="n">
        <v>22.87</v>
      </c>
      <c r="N16" s="466" t="n">
        <v>24.05</v>
      </c>
      <c r="O16" s="466" t="n">
        <v>25.16</v>
      </c>
      <c r="P16" s="466" t="n">
        <v>25.04</v>
      </c>
      <c r="Q16" s="466" t="n">
        <v>17.88</v>
      </c>
      <c r="R16" s="466" t="n">
        <v>23.41</v>
      </c>
      <c r="S16" s="466" t="n">
        <v>22.37</v>
      </c>
      <c r="T16" s="466" t="n">
        <v>21.36</v>
      </c>
      <c r="U16" s="466" t="n">
        <v>11.18</v>
      </c>
      <c r="V16" s="466" t="n">
        <v>19.47</v>
      </c>
      <c r="W16" s="466" t="n">
        <v>18.58</v>
      </c>
      <c r="X16" s="466" t="n">
        <v>17.73</v>
      </c>
      <c r="Y16" s="466" t="n">
        <v>10.79</v>
      </c>
      <c r="Z16" s="466" t="n">
        <v>16.12</v>
      </c>
      <c r="AA16" s="466" t="n">
        <v>15.36</v>
      </c>
      <c r="AB16" s="466" t="n">
        <v>14.64</v>
      </c>
      <c r="AC16" s="466" t="n">
        <v>10.46</v>
      </c>
      <c r="AD16" s="466" t="n">
        <v>13.27</v>
      </c>
      <c r="AE16" s="466" t="n">
        <v>12.63</v>
      </c>
      <c r="AF16" s="466" t="n">
        <v>12.01</v>
      </c>
      <c r="AG16" s="466" t="n">
        <v>10.18</v>
      </c>
      <c r="AH16" s="466" t="n">
        <v>10.85</v>
      </c>
      <c r="AI16" s="466" t="n">
        <v>10.31</v>
      </c>
      <c r="AJ16" s="466" t="n">
        <v>9.779999999999999</v>
      </c>
      <c r="AK16" s="466" t="n">
        <v>9.279999999999999</v>
      </c>
      <c r="AL16" s="466" t="n">
        <v>8.800000000000001</v>
      </c>
      <c r="AM16" s="466" t="n">
        <v>8.33</v>
      </c>
      <c r="AN16" s="466" t="n">
        <v>7.89</v>
      </c>
      <c r="AO16" s="466" t="n">
        <v>7.46</v>
      </c>
      <c r="AP16" s="466" t="n">
        <v>7.05</v>
      </c>
      <c r="AQ16" s="466" t="n">
        <v>6.65</v>
      </c>
      <c r="AR16" s="466" t="n">
        <v>6.27</v>
      </c>
      <c r="AS16" s="466" t="n">
        <v>5.91</v>
      </c>
      <c r="AT16" s="466" t="n">
        <v>5.56</v>
      </c>
      <c r="AU16" s="466" t="n">
        <v>5.22</v>
      </c>
      <c r="AV16" s="466" t="n">
        <v>4.9</v>
      </c>
      <c r="AW16" s="466" t="n">
        <v>4.59</v>
      </c>
      <c r="AX16" s="466" t="n">
        <v>4.3</v>
      </c>
      <c r="AY16" s="466" t="n">
        <v>4.01</v>
      </c>
      <c r="AZ16" s="466" t="n">
        <v>3.74</v>
      </c>
      <c r="BA16" s="466" t="n">
        <v>3.47</v>
      </c>
      <c r="BB16" s="466" t="n">
        <v>3.22</v>
      </c>
      <c r="BC16" s="466" t="n">
        <v>2.98</v>
      </c>
      <c r="BD16" s="466" t="n">
        <v>2.75</v>
      </c>
      <c r="BE16" s="466" t="n">
        <v>2.52</v>
      </c>
      <c r="BF16" s="466" t="n">
        <v>2.31</v>
      </c>
      <c r="BG16" s="466" t="n">
        <v>2.1</v>
      </c>
      <c r="BH16" s="466" t="n">
        <v>1.91</v>
      </c>
      <c r="BI16" s="466" t="n">
        <v>1.72</v>
      </c>
      <c r="BJ16" s="306" t="n"/>
    </row>
    <row r="17" ht="15" customHeight="1" s="307">
      <c r="A17" s="321" t="inlineStr">
        <is>
          <t xml:space="preserve">    Severance</t>
        </is>
      </c>
      <c r="B17" s="459" t="n">
        <v>0</v>
      </c>
      <c r="C17" s="459" t="n">
        <v>1.48</v>
      </c>
      <c r="D17" s="459" t="n">
        <v>1.57</v>
      </c>
      <c r="E17" s="459" t="n">
        <v>3.24</v>
      </c>
      <c r="F17" s="459" t="n">
        <v>0</v>
      </c>
      <c r="G17" s="459" t="n">
        <v>1.47</v>
      </c>
      <c r="H17" s="459" t="n">
        <v>0</v>
      </c>
      <c r="I17" s="459" t="n">
        <v>1.38</v>
      </c>
      <c r="J17" s="459" t="n">
        <v>0</v>
      </c>
      <c r="K17" s="459" t="n">
        <v>1.38</v>
      </c>
      <c r="L17" s="459" t="n">
        <v>0</v>
      </c>
      <c r="M17" s="459" t="n">
        <v>1.38</v>
      </c>
      <c r="N17" s="459" t="n">
        <v>0</v>
      </c>
      <c r="O17" s="459" t="n">
        <v>0</v>
      </c>
      <c r="P17" s="459" t="n">
        <v>0</v>
      </c>
      <c r="Q17" s="459" t="n">
        <v>0</v>
      </c>
      <c r="R17" s="459" t="n">
        <v>0</v>
      </c>
      <c r="S17" s="459" t="n">
        <v>0</v>
      </c>
      <c r="T17" s="459" t="n">
        <v>0</v>
      </c>
      <c r="U17" s="459" t="n">
        <v>0</v>
      </c>
      <c r="V17" s="459" t="n">
        <v>0</v>
      </c>
      <c r="W17" s="459" t="n">
        <v>0</v>
      </c>
      <c r="X17" s="459" t="n">
        <v>0</v>
      </c>
      <c r="Y17" s="459" t="n">
        <v>0</v>
      </c>
      <c r="Z17" s="459" t="n">
        <v>0</v>
      </c>
      <c r="AA17" s="459" t="n">
        <v>0</v>
      </c>
      <c r="AB17" s="459" t="n">
        <v>0</v>
      </c>
      <c r="AC17" s="459" t="n">
        <v>0</v>
      </c>
      <c r="AD17" s="459" t="n">
        <v>0</v>
      </c>
      <c r="AE17" s="459" t="n">
        <v>0</v>
      </c>
      <c r="AF17" s="459" t="n">
        <v>0</v>
      </c>
      <c r="AG17" s="459" t="n">
        <v>0</v>
      </c>
      <c r="AH17" s="459" t="n">
        <v>0</v>
      </c>
      <c r="AI17" s="459" t="n">
        <v>0</v>
      </c>
      <c r="AJ17" s="459" t="n">
        <v>0</v>
      </c>
      <c r="AK17" s="459" t="n">
        <v>0</v>
      </c>
      <c r="AL17" s="459" t="n">
        <v>0</v>
      </c>
      <c r="AM17" s="459" t="n">
        <v>0</v>
      </c>
      <c r="AN17" s="459" t="n">
        <v>0</v>
      </c>
      <c r="AO17" s="459" t="n">
        <v>0</v>
      </c>
      <c r="AP17" s="459" t="n">
        <v>0</v>
      </c>
      <c r="AQ17" s="459" t="n">
        <v>0</v>
      </c>
      <c r="AR17" s="459" t="n">
        <v>0</v>
      </c>
      <c r="AS17" s="459" t="n">
        <v>0</v>
      </c>
      <c r="AT17" s="459" t="n">
        <v>0</v>
      </c>
      <c r="AU17" s="459" t="n">
        <v>0</v>
      </c>
      <c r="AV17" s="459" t="n">
        <v>0</v>
      </c>
      <c r="AW17" s="459" t="n">
        <v>0</v>
      </c>
      <c r="AX17" s="459" t="n">
        <v>0</v>
      </c>
      <c r="AY17" s="459" t="n">
        <v>0</v>
      </c>
      <c r="AZ17" s="459" t="n">
        <v>0</v>
      </c>
      <c r="BA17" s="459" t="n">
        <v>0</v>
      </c>
      <c r="BB17" s="459" t="n">
        <v>0</v>
      </c>
      <c r="BC17" s="459" t="n">
        <v>0</v>
      </c>
      <c r="BD17" s="459" t="n">
        <v>0</v>
      </c>
      <c r="BE17" s="459" t="n">
        <v>0</v>
      </c>
      <c r="BF17" s="459" t="n">
        <v>0</v>
      </c>
      <c r="BG17" s="459" t="n">
        <v>0</v>
      </c>
      <c r="BH17" s="459" t="n">
        <v>0</v>
      </c>
      <c r="BI17" s="459" t="n">
        <v>0</v>
      </c>
      <c r="BJ17" s="306" t="n"/>
    </row>
    <row r="18" ht="15" customHeight="1" s="307">
      <c r="A18" s="468" t="inlineStr">
        <is>
          <t>Operating Income</t>
        </is>
      </c>
      <c r="B18" s="470" t="n">
        <v>-0.24</v>
      </c>
      <c r="C18" s="470" t="n">
        <v>-1.84</v>
      </c>
      <c r="D18" s="470" t="n">
        <v>-0.47</v>
      </c>
      <c r="E18" s="470" t="n">
        <v>2.19</v>
      </c>
      <c r="F18" s="470" t="n">
        <v>9.609999999999999</v>
      </c>
      <c r="G18" s="470" t="n">
        <v>12.54</v>
      </c>
      <c r="H18" s="470" t="n">
        <v>17.01</v>
      </c>
      <c r="I18" s="470" t="n">
        <v>17.01</v>
      </c>
      <c r="J18" s="470" t="n">
        <v>19.36</v>
      </c>
      <c r="K18" s="470" t="n">
        <v>19.14</v>
      </c>
      <c r="L18" s="470" t="n">
        <v>21.67</v>
      </c>
      <c r="M18" s="470" t="n">
        <v>21.48</v>
      </c>
      <c r="N18" s="470" t="n">
        <v>24.05</v>
      </c>
      <c r="O18" s="470" t="n">
        <v>25.16</v>
      </c>
      <c r="P18" s="470" t="n">
        <v>25.04</v>
      </c>
      <c r="Q18" s="470" t="n">
        <v>17.88</v>
      </c>
      <c r="R18" s="470" t="n">
        <v>23.41</v>
      </c>
      <c r="S18" s="470" t="n">
        <v>22.37</v>
      </c>
      <c r="T18" s="470" t="n">
        <v>21.36</v>
      </c>
      <c r="U18" s="470" t="n">
        <v>11.18</v>
      </c>
      <c r="V18" s="470" t="n">
        <v>19.47</v>
      </c>
      <c r="W18" s="470" t="n">
        <v>18.58</v>
      </c>
      <c r="X18" s="470" t="n">
        <v>17.73</v>
      </c>
      <c r="Y18" s="470" t="n">
        <v>10.79</v>
      </c>
      <c r="Z18" s="470" t="n">
        <v>16.12</v>
      </c>
      <c r="AA18" s="470" t="n">
        <v>15.36</v>
      </c>
      <c r="AB18" s="470" t="n">
        <v>14.64</v>
      </c>
      <c r="AC18" s="470" t="n">
        <v>10.46</v>
      </c>
      <c r="AD18" s="470" t="n">
        <v>13.27</v>
      </c>
      <c r="AE18" s="470" t="n">
        <v>12.63</v>
      </c>
      <c r="AF18" s="470" t="n">
        <v>12.01</v>
      </c>
      <c r="AG18" s="470" t="n">
        <v>10.18</v>
      </c>
      <c r="AH18" s="470" t="n">
        <v>10.85</v>
      </c>
      <c r="AI18" s="470" t="n">
        <v>10.31</v>
      </c>
      <c r="AJ18" s="470" t="n">
        <v>9.779999999999999</v>
      </c>
      <c r="AK18" s="470" t="n">
        <v>9.279999999999999</v>
      </c>
      <c r="AL18" s="470" t="n">
        <v>8.800000000000001</v>
      </c>
      <c r="AM18" s="470" t="n">
        <v>8.33</v>
      </c>
      <c r="AN18" s="470" t="n">
        <v>7.89</v>
      </c>
      <c r="AO18" s="470" t="n">
        <v>7.46</v>
      </c>
      <c r="AP18" s="470" t="n">
        <v>7.05</v>
      </c>
      <c r="AQ18" s="470" t="n">
        <v>6.65</v>
      </c>
      <c r="AR18" s="470" t="n">
        <v>6.27</v>
      </c>
      <c r="AS18" s="470" t="n">
        <v>5.91</v>
      </c>
      <c r="AT18" s="470" t="n">
        <v>5.56</v>
      </c>
      <c r="AU18" s="470" t="n">
        <v>5.22</v>
      </c>
      <c r="AV18" s="470" t="n">
        <v>4.9</v>
      </c>
      <c r="AW18" s="470" t="n">
        <v>4.59</v>
      </c>
      <c r="AX18" s="470" t="n">
        <v>4.3</v>
      </c>
      <c r="AY18" s="470" t="n">
        <v>4.01</v>
      </c>
      <c r="AZ18" s="470" t="n">
        <v>3.74</v>
      </c>
      <c r="BA18" s="470" t="n">
        <v>3.47</v>
      </c>
      <c r="BB18" s="470" t="n">
        <v>3.22</v>
      </c>
      <c r="BC18" s="470" t="n">
        <v>2.98</v>
      </c>
      <c r="BD18" s="470" t="n">
        <v>2.75</v>
      </c>
      <c r="BE18" s="470" t="n">
        <v>2.52</v>
      </c>
      <c r="BF18" s="470" t="n">
        <v>2.31</v>
      </c>
      <c r="BG18" s="470" t="n">
        <v>2.1</v>
      </c>
      <c r="BH18" s="470" t="n">
        <v>1.91</v>
      </c>
      <c r="BI18" s="470" t="n">
        <v>1.72</v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 t="n">
        <v>0.75</v>
      </c>
      <c r="C20" s="459" t="n">
        <v>0.75</v>
      </c>
      <c r="D20" s="459" t="n">
        <v>0.75</v>
      </c>
      <c r="E20" s="459" t="n">
        <v>0.75</v>
      </c>
      <c r="F20" s="459" t="n">
        <v>0</v>
      </c>
      <c r="G20" s="459" t="n">
        <v>0</v>
      </c>
      <c r="H20" s="459" t="n">
        <v>0</v>
      </c>
      <c r="I20" s="459" t="n">
        <v>0</v>
      </c>
      <c r="J20" s="459" t="n">
        <v>0</v>
      </c>
      <c r="K20" s="459" t="n">
        <v>0</v>
      </c>
      <c r="L20" s="459" t="n">
        <v>0</v>
      </c>
      <c r="M20" s="459" t="n">
        <v>0</v>
      </c>
      <c r="N20" s="459" t="n">
        <v>0</v>
      </c>
      <c r="O20" s="459" t="n">
        <v>0</v>
      </c>
      <c r="P20" s="459" t="n">
        <v>0</v>
      </c>
      <c r="Q20" s="459" t="n">
        <v>0</v>
      </c>
      <c r="R20" s="459" t="n">
        <v>0</v>
      </c>
      <c r="S20" s="459" t="n">
        <v>0</v>
      </c>
      <c r="T20" s="459" t="n">
        <v>0</v>
      </c>
      <c r="U20" s="459" t="n">
        <v>0</v>
      </c>
      <c r="V20" s="459" t="n">
        <v>0</v>
      </c>
      <c r="W20" s="459" t="n">
        <v>0</v>
      </c>
      <c r="X20" s="459" t="n">
        <v>0</v>
      </c>
      <c r="Y20" s="459" t="n">
        <v>0</v>
      </c>
      <c r="Z20" s="459" t="n">
        <v>0</v>
      </c>
      <c r="AA20" s="459" t="n">
        <v>0</v>
      </c>
      <c r="AB20" s="459" t="n">
        <v>0</v>
      </c>
      <c r="AC20" s="459" t="n">
        <v>0</v>
      </c>
      <c r="AD20" s="459" t="n">
        <v>0</v>
      </c>
      <c r="AE20" s="459" t="n">
        <v>0</v>
      </c>
      <c r="AF20" s="459" t="n">
        <v>0</v>
      </c>
      <c r="AG20" s="459" t="n">
        <v>0</v>
      </c>
      <c r="AH20" s="459" t="n">
        <v>0</v>
      </c>
      <c r="AI20" s="459" t="n">
        <v>0</v>
      </c>
      <c r="AJ20" s="459" t="n">
        <v>0</v>
      </c>
      <c r="AK20" s="459" t="n">
        <v>0</v>
      </c>
      <c r="AL20" s="459" t="n">
        <v>0</v>
      </c>
      <c r="AM20" s="459" t="n">
        <v>0</v>
      </c>
      <c r="AN20" s="459" t="n">
        <v>0</v>
      </c>
      <c r="AO20" s="459" t="n">
        <v>0</v>
      </c>
      <c r="AP20" s="459" t="n">
        <v>0</v>
      </c>
      <c r="AQ20" s="459" t="n">
        <v>0</v>
      </c>
      <c r="AR20" s="459" t="n">
        <v>0</v>
      </c>
      <c r="AS20" s="459" t="n">
        <v>0</v>
      </c>
      <c r="AT20" s="459" t="n">
        <v>0</v>
      </c>
      <c r="AU20" s="459" t="n">
        <v>0</v>
      </c>
      <c r="AV20" s="459" t="n">
        <v>0</v>
      </c>
      <c r="AW20" s="459" t="n">
        <v>0</v>
      </c>
      <c r="AX20" s="459" t="n">
        <v>0</v>
      </c>
      <c r="AY20" s="459" t="n">
        <v>0</v>
      </c>
      <c r="AZ20" s="459" t="n">
        <v>0</v>
      </c>
      <c r="BA20" s="459" t="n">
        <v>0</v>
      </c>
      <c r="BB20" s="459" t="n">
        <v>0</v>
      </c>
      <c r="BC20" s="459" t="n">
        <v>0</v>
      </c>
      <c r="BD20" s="459" t="n">
        <v>0</v>
      </c>
      <c r="BE20" s="459" t="n">
        <v>0</v>
      </c>
      <c r="BF20" s="459" t="n">
        <v>0</v>
      </c>
      <c r="BG20" s="459" t="n">
        <v>0</v>
      </c>
      <c r="BH20" s="459" t="n">
        <v>0</v>
      </c>
      <c r="BI20" s="459" t="n">
        <v>0</v>
      </c>
      <c r="BJ20" s="306" t="n"/>
    </row>
    <row r="21" ht="15" customHeight="1" s="307">
      <c r="A21" s="321" t="inlineStr">
        <is>
          <t xml:space="preserve">    Retained (50%)</t>
        </is>
      </c>
      <c r="B21" s="459" t="n">
        <v>-0.5</v>
      </c>
      <c r="C21" s="459" t="n">
        <v>-1.3</v>
      </c>
      <c r="D21" s="459" t="n">
        <v>-0.61</v>
      </c>
      <c r="E21" s="459" t="n">
        <v>0.72</v>
      </c>
      <c r="F21" s="459" t="n">
        <v>4.81</v>
      </c>
      <c r="G21" s="459" t="n">
        <v>6.27</v>
      </c>
      <c r="H21" s="459" t="n">
        <v>8.5</v>
      </c>
      <c r="I21" s="459" t="n">
        <v>8.5</v>
      </c>
      <c r="J21" s="459" t="n">
        <v>9.68</v>
      </c>
      <c r="K21" s="459" t="n">
        <v>9.57</v>
      </c>
      <c r="L21" s="459" t="n">
        <v>10.83</v>
      </c>
      <c r="M21" s="459" t="n">
        <v>10.74</v>
      </c>
      <c r="N21" s="459" t="n">
        <v>0</v>
      </c>
      <c r="O21" s="459" t="n">
        <v>0</v>
      </c>
      <c r="P21" s="459" t="n">
        <v>0</v>
      </c>
      <c r="Q21" s="459" t="n">
        <v>0</v>
      </c>
      <c r="R21" s="459" t="n">
        <v>0</v>
      </c>
      <c r="S21" s="459" t="n">
        <v>0</v>
      </c>
      <c r="T21" s="459" t="n">
        <v>0</v>
      </c>
      <c r="U21" s="459" t="n">
        <v>0</v>
      </c>
      <c r="V21" s="459" t="n">
        <v>0</v>
      </c>
      <c r="W21" s="459" t="n">
        <v>0</v>
      </c>
      <c r="X21" s="459" t="n">
        <v>0</v>
      </c>
      <c r="Y21" s="459" t="n">
        <v>0</v>
      </c>
      <c r="Z21" s="459" t="n">
        <v>0</v>
      </c>
      <c r="AA21" s="459" t="n">
        <v>0</v>
      </c>
      <c r="AB21" s="459" t="n">
        <v>0</v>
      </c>
      <c r="AC21" s="459" t="n">
        <v>0</v>
      </c>
      <c r="AD21" s="459" t="n">
        <v>0</v>
      </c>
      <c r="AE21" s="459" t="n">
        <v>0</v>
      </c>
      <c r="AF21" s="459" t="n">
        <v>0</v>
      </c>
      <c r="AG21" s="459" t="n">
        <v>0</v>
      </c>
      <c r="AH21" s="459" t="n">
        <v>0</v>
      </c>
      <c r="AI21" s="459" t="n">
        <v>0</v>
      </c>
      <c r="AJ21" s="459" t="n">
        <v>0</v>
      </c>
      <c r="AK21" s="459" t="n">
        <v>0</v>
      </c>
      <c r="AL21" s="459" t="n">
        <v>0</v>
      </c>
      <c r="AM21" s="459" t="n">
        <v>0</v>
      </c>
      <c r="AN21" s="459" t="n">
        <v>0</v>
      </c>
      <c r="AO21" s="459" t="n">
        <v>0</v>
      </c>
      <c r="AP21" s="459" t="n">
        <v>0</v>
      </c>
      <c r="AQ21" s="459" t="n">
        <v>0</v>
      </c>
      <c r="AR21" s="459" t="n">
        <v>0</v>
      </c>
      <c r="AS21" s="459" t="n">
        <v>0</v>
      </c>
      <c r="AT21" s="459" t="n">
        <v>0</v>
      </c>
      <c r="AU21" s="459" t="n">
        <v>0</v>
      </c>
      <c r="AV21" s="459" t="n">
        <v>0</v>
      </c>
      <c r="AW21" s="459" t="n">
        <v>0</v>
      </c>
      <c r="AX21" s="459" t="n">
        <v>0</v>
      </c>
      <c r="AY21" s="459" t="n">
        <v>0</v>
      </c>
      <c r="AZ21" s="459" t="n">
        <v>0</v>
      </c>
      <c r="BA21" s="459" t="n">
        <v>0</v>
      </c>
      <c r="BB21" s="459" t="n">
        <v>0</v>
      </c>
      <c r="BC21" s="459" t="n">
        <v>0</v>
      </c>
      <c r="BD21" s="459" t="n">
        <v>0</v>
      </c>
      <c r="BE21" s="459" t="n">
        <v>0</v>
      </c>
      <c r="BF21" s="459" t="n">
        <v>0</v>
      </c>
      <c r="BG21" s="459" t="n">
        <v>0</v>
      </c>
      <c r="BH21" s="459" t="n">
        <v>0</v>
      </c>
      <c r="BI21" s="459" t="n">
        <v>0</v>
      </c>
      <c r="BJ21" s="306" t="n"/>
    </row>
    <row r="22" ht="15" customHeight="1" s="307">
      <c r="A22" s="322" t="inlineStr">
        <is>
          <t>Distributable Cash</t>
        </is>
      </c>
      <c r="B22" s="462" t="n">
        <v>-0.5</v>
      </c>
      <c r="C22" s="462" t="n">
        <v>-1.3</v>
      </c>
      <c r="D22" s="462" t="n">
        <v>-0.61</v>
      </c>
      <c r="E22" s="462" t="n">
        <v>0.72</v>
      </c>
      <c r="F22" s="462" t="n">
        <v>4.81</v>
      </c>
      <c r="G22" s="462" t="n">
        <v>6.27</v>
      </c>
      <c r="H22" s="462" t="n">
        <v>8.5</v>
      </c>
      <c r="I22" s="462" t="n">
        <v>8.5</v>
      </c>
      <c r="J22" s="462" t="n">
        <v>9.68</v>
      </c>
      <c r="K22" s="462" t="n">
        <v>9.57</v>
      </c>
      <c r="L22" s="462" t="n">
        <v>10.83</v>
      </c>
      <c r="M22" s="462" t="n">
        <v>10.74</v>
      </c>
      <c r="N22" s="462" t="n">
        <v>24.05</v>
      </c>
      <c r="O22" s="462" t="n">
        <v>25.16</v>
      </c>
      <c r="P22" s="462" t="n">
        <v>25.04</v>
      </c>
      <c r="Q22" s="462" t="n">
        <v>17.88</v>
      </c>
      <c r="R22" s="462" t="n">
        <v>23.41</v>
      </c>
      <c r="S22" s="462" t="n">
        <v>22.37</v>
      </c>
      <c r="T22" s="462" t="n">
        <v>21.36</v>
      </c>
      <c r="U22" s="462" t="n">
        <v>11.18</v>
      </c>
      <c r="V22" s="462" t="n">
        <v>19.47</v>
      </c>
      <c r="W22" s="462" t="n">
        <v>18.58</v>
      </c>
      <c r="X22" s="462" t="n">
        <v>17.73</v>
      </c>
      <c r="Y22" s="462" t="n">
        <v>10.79</v>
      </c>
      <c r="Z22" s="462" t="n">
        <v>16.12</v>
      </c>
      <c r="AA22" s="462" t="n">
        <v>15.36</v>
      </c>
      <c r="AB22" s="462" t="n">
        <v>14.64</v>
      </c>
      <c r="AC22" s="462" t="n">
        <v>10.46</v>
      </c>
      <c r="AD22" s="462" t="n">
        <v>13.27</v>
      </c>
      <c r="AE22" s="462" t="n">
        <v>12.63</v>
      </c>
      <c r="AF22" s="462" t="n">
        <v>12.01</v>
      </c>
      <c r="AG22" s="462" t="n">
        <v>10.18</v>
      </c>
      <c r="AH22" s="462" t="n">
        <v>10.85</v>
      </c>
      <c r="AI22" s="462" t="n">
        <v>10.31</v>
      </c>
      <c r="AJ22" s="462" t="n">
        <v>9.779999999999999</v>
      </c>
      <c r="AK22" s="462" t="n">
        <v>9.279999999999999</v>
      </c>
      <c r="AL22" s="462" t="n">
        <v>8.800000000000001</v>
      </c>
      <c r="AM22" s="462" t="n">
        <v>8.33</v>
      </c>
      <c r="AN22" s="462" t="n">
        <v>7.89</v>
      </c>
      <c r="AO22" s="462" t="n">
        <v>7.46</v>
      </c>
      <c r="AP22" s="462" t="n">
        <v>7.05</v>
      </c>
      <c r="AQ22" s="462" t="n">
        <v>6.65</v>
      </c>
      <c r="AR22" s="462" t="n">
        <v>6.27</v>
      </c>
      <c r="AS22" s="462" t="n">
        <v>5.91</v>
      </c>
      <c r="AT22" s="462" t="n">
        <v>5.56</v>
      </c>
      <c r="AU22" s="462" t="n">
        <v>5.22</v>
      </c>
      <c r="AV22" s="462" t="n">
        <v>4.9</v>
      </c>
      <c r="AW22" s="462" t="n">
        <v>4.59</v>
      </c>
      <c r="AX22" s="462" t="n">
        <v>4.3</v>
      </c>
      <c r="AY22" s="462" t="n">
        <v>4.01</v>
      </c>
      <c r="AZ22" s="462" t="n">
        <v>3.74</v>
      </c>
      <c r="BA22" s="462" t="n">
        <v>3.47</v>
      </c>
      <c r="BB22" s="462" t="n">
        <v>3.22</v>
      </c>
      <c r="BC22" s="462" t="n">
        <v>2.98</v>
      </c>
      <c r="BD22" s="462" t="n">
        <v>2.75</v>
      </c>
      <c r="BE22" s="462" t="n">
        <v>2.52</v>
      </c>
      <c r="BF22" s="462" t="n">
        <v>2.31</v>
      </c>
      <c r="BG22" s="462" t="n">
        <v>2.1</v>
      </c>
      <c r="BH22" s="462" t="n">
        <v>1.91</v>
      </c>
      <c r="BI22" s="462" t="n">
        <v>1.72</v>
      </c>
      <c r="BJ22" s="306" t="n"/>
    </row>
    <row r="23" ht="15" customHeight="1" s="307">
      <c r="A23" s="321" t="inlineStr">
        <is>
          <t>Cumulative</t>
        </is>
      </c>
      <c r="B23" s="459" t="n">
        <v>-0.5</v>
      </c>
      <c r="C23" s="459" t="n">
        <v>-1.79</v>
      </c>
      <c r="D23" s="459" t="n">
        <v>-2.4</v>
      </c>
      <c r="E23" s="459" t="n">
        <v>-1.68</v>
      </c>
      <c r="F23" s="459" t="n">
        <v>3.13</v>
      </c>
      <c r="G23" s="459" t="n">
        <v>9.4</v>
      </c>
      <c r="H23" s="459" t="n">
        <v>17.9</v>
      </c>
      <c r="I23" s="459" t="n">
        <v>26.4</v>
      </c>
      <c r="J23" s="459" t="n">
        <v>36.09</v>
      </c>
      <c r="K23" s="459" t="n">
        <v>45.66</v>
      </c>
      <c r="L23" s="459" t="n">
        <v>56.49</v>
      </c>
      <c r="M23" s="459" t="n">
        <v>67.23</v>
      </c>
      <c r="N23" s="459" t="n">
        <v>91.29000000000001</v>
      </c>
      <c r="O23" s="459" t="n">
        <v>116.45</v>
      </c>
      <c r="P23" s="459" t="n">
        <v>141.49</v>
      </c>
      <c r="Q23" s="459" t="n">
        <v>159.37</v>
      </c>
      <c r="R23" s="459" t="n">
        <v>182.78</v>
      </c>
      <c r="S23" s="459" t="n">
        <v>205.15</v>
      </c>
      <c r="T23" s="459" t="n">
        <v>226.51</v>
      </c>
      <c r="U23" s="459" t="n">
        <v>237.69</v>
      </c>
      <c r="V23" s="459" t="n">
        <v>257.16</v>
      </c>
      <c r="W23" s="459" t="n">
        <v>275.74</v>
      </c>
      <c r="X23" s="459" t="n">
        <v>293.47</v>
      </c>
      <c r="Y23" s="459" t="n">
        <v>304.26</v>
      </c>
      <c r="Z23" s="459" t="n">
        <v>320.38</v>
      </c>
      <c r="AA23" s="459" t="n">
        <v>335.75</v>
      </c>
      <c r="AB23" s="459" t="n">
        <v>350.39</v>
      </c>
      <c r="AC23" s="459" t="n">
        <v>360.85</v>
      </c>
      <c r="AD23" s="459" t="n">
        <v>374.12</v>
      </c>
      <c r="AE23" s="459" t="n">
        <v>386.75</v>
      </c>
      <c r="AF23" s="459" t="n">
        <v>398.76</v>
      </c>
      <c r="AG23" s="459" t="n">
        <v>408.94</v>
      </c>
      <c r="AH23" s="459" t="n">
        <v>419.8</v>
      </c>
      <c r="AI23" s="459" t="n">
        <v>430.1</v>
      </c>
      <c r="AJ23" s="459" t="n">
        <v>439.88</v>
      </c>
      <c r="AK23" s="459" t="n">
        <v>449.16</v>
      </c>
      <c r="AL23" s="459" t="n">
        <v>457.96</v>
      </c>
      <c r="AM23" s="459" t="n">
        <v>466.29</v>
      </c>
      <c r="AN23" s="459" t="n">
        <v>474.17</v>
      </c>
      <c r="AO23" s="459" t="n">
        <v>481.63</v>
      </c>
      <c r="AP23" s="459" t="n">
        <v>488.68</v>
      </c>
      <c r="AQ23" s="459" t="n">
        <v>495.33</v>
      </c>
      <c r="AR23" s="459" t="n">
        <v>501.6</v>
      </c>
      <c r="AS23" s="459" t="n">
        <v>507.51</v>
      </c>
      <c r="AT23" s="459" t="n">
        <v>513.0700000000001</v>
      </c>
      <c r="AU23" s="459" t="n">
        <v>518.29</v>
      </c>
      <c r="AV23" s="459" t="n">
        <v>523.2</v>
      </c>
      <c r="AW23" s="459" t="n">
        <v>527.79</v>
      </c>
      <c r="AX23" s="459" t="n">
        <v>532.08</v>
      </c>
      <c r="AY23" s="459" t="n">
        <v>536.1</v>
      </c>
      <c r="AZ23" s="459" t="n">
        <v>539.83</v>
      </c>
      <c r="BA23" s="459" t="n">
        <v>543.3099999999999</v>
      </c>
      <c r="BB23" s="459" t="n">
        <v>546.53</v>
      </c>
      <c r="BC23" s="459" t="n">
        <v>549.51</v>
      </c>
      <c r="BD23" s="459" t="n">
        <v>552.26</v>
      </c>
      <c r="BE23" s="459" t="n">
        <v>554.78</v>
      </c>
      <c r="BF23" s="459" t="n">
        <v>557.09</v>
      </c>
      <c r="BG23" s="459" t="n">
        <v>559.1900000000001</v>
      </c>
      <c r="BH23" s="459" t="n">
        <v>561.1</v>
      </c>
      <c r="BI23" s="459" t="n">
        <v>562.8099999999999</v>
      </c>
      <c r="BJ23" s="306" t="n"/>
    </row>
    <row r="24" ht="15" customHeight="1" s="307">
      <c r="A24" s="321" t="n"/>
      <c r="B24" s="459" t="n"/>
      <c r="C24" s="459" t="n"/>
      <c r="D24" s="459" t="n"/>
      <c r="E24" s="459" t="n"/>
      <c r="F24" s="459" t="n"/>
      <c r="G24" s="459" t="n"/>
      <c r="H24" s="459" t="n"/>
      <c r="I24" s="459" t="n"/>
      <c r="J24" s="459" t="n"/>
      <c r="K24" s="459" t="n"/>
      <c r="L24" s="459" t="n"/>
      <c r="M24" s="459" t="n"/>
      <c r="N24" s="459" t="n"/>
      <c r="O24" s="459" t="n"/>
      <c r="P24" s="459" t="n"/>
      <c r="Q24" s="459" t="n"/>
      <c r="R24" s="459" t="n"/>
      <c r="S24" s="459" t="n"/>
      <c r="T24" s="459" t="n"/>
      <c r="U24" s="459" t="n"/>
      <c r="V24" s="459" t="n"/>
      <c r="W24" s="459" t="n"/>
      <c r="X24" s="459" t="n"/>
      <c r="Y24" s="459" t="n"/>
      <c r="Z24" s="459" t="n"/>
      <c r="AA24" s="459" t="n"/>
      <c r="AB24" s="459" t="n"/>
      <c r="AC24" s="459" t="n"/>
      <c r="AD24" s="459" t="n"/>
      <c r="AE24" s="459" t="n"/>
      <c r="AF24" s="459" t="n"/>
      <c r="AG24" s="459" t="n"/>
      <c r="AH24" s="459" t="n"/>
      <c r="AI24" s="459" t="n"/>
      <c r="AJ24" s="459" t="n"/>
      <c r="AK24" s="459" t="n"/>
      <c r="AL24" s="459" t="n"/>
      <c r="AM24" s="459" t="n"/>
      <c r="AN24" s="459" t="n"/>
      <c r="AO24" s="459" t="n"/>
      <c r="AP24" s="459" t="n"/>
      <c r="AQ24" s="459" t="n"/>
      <c r="AR24" s="459" t="n"/>
      <c r="AS24" s="459" t="n"/>
      <c r="AT24" s="459" t="n"/>
      <c r="AU24" s="459" t="n"/>
      <c r="AV24" s="459" t="n"/>
      <c r="AW24" s="459" t="n"/>
      <c r="AX24" s="459" t="n"/>
      <c r="AY24" s="459" t="n"/>
      <c r="AZ24" s="459" t="n"/>
      <c r="BA24" s="459" t="n"/>
      <c r="BB24" s="459" t="n"/>
      <c r="BC24" s="459" t="n"/>
      <c r="BD24" s="459" t="n"/>
      <c r="BE24" s="459" t="n"/>
      <c r="BF24" s="459" t="n"/>
      <c r="BG24" s="459" t="n"/>
      <c r="BH24" s="459" t="n"/>
      <c r="BI24" s="459" t="n"/>
      <c r="BJ24" s="306" t="n"/>
    </row>
    <row r="25" ht="15" customHeight="1" s="307">
      <c r="A25" s="322" t="n"/>
      <c r="B25" s="466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466" t="n"/>
      <c r="L25" s="466" t="n"/>
      <c r="M25" s="466" t="n"/>
      <c r="N25" s="466" t="n"/>
      <c r="O25" s="466" t="n"/>
      <c r="P25" s="466" t="n"/>
      <c r="Q25" s="466" t="n"/>
      <c r="R25" s="466" t="n"/>
      <c r="S25" s="466" t="n"/>
      <c r="T25" s="466" t="n"/>
      <c r="U25" s="466" t="n"/>
      <c r="V25" s="466" t="n"/>
      <c r="W25" s="466" t="n"/>
      <c r="X25" s="466" t="n"/>
      <c r="Y25" s="466" t="n"/>
      <c r="Z25" s="466" t="n"/>
      <c r="AA25" s="466" t="n"/>
      <c r="AB25" s="466" t="n"/>
      <c r="AC25" s="466" t="n"/>
      <c r="AD25" s="466" t="n"/>
      <c r="AE25" s="466" t="n"/>
      <c r="AF25" s="466" t="n"/>
      <c r="AG25" s="466" t="n"/>
      <c r="AH25" s="466" t="n"/>
      <c r="AI25" s="466" t="n"/>
      <c r="AJ25" s="466" t="n"/>
      <c r="AK25" s="466" t="n"/>
      <c r="AL25" s="466" t="n"/>
      <c r="AM25" s="466" t="n"/>
      <c r="AN25" s="466" t="n"/>
      <c r="AO25" s="466" t="n"/>
      <c r="AP25" s="466" t="n"/>
      <c r="AQ25" s="466" t="n"/>
      <c r="AR25" s="466" t="n"/>
      <c r="AS25" s="466" t="n"/>
      <c r="AT25" s="466" t="n"/>
      <c r="AU25" s="466" t="n"/>
      <c r="AV25" s="466" t="n"/>
      <c r="AW25" s="466" t="n"/>
      <c r="AX25" s="466" t="n"/>
      <c r="AY25" s="466" t="n"/>
      <c r="AZ25" s="466" t="n"/>
      <c r="BA25" s="466" t="n"/>
      <c r="BB25" s="466" t="n"/>
      <c r="BC25" s="466" t="n"/>
      <c r="BD25" s="466" t="n"/>
      <c r="BE25" s="466" t="n"/>
      <c r="BF25" s="466" t="n"/>
      <c r="BG25" s="466" t="n"/>
      <c r="BH25" s="466" t="n"/>
      <c r="BI25" s="466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21" t="n"/>
      <c r="B27" s="459" t="n"/>
      <c r="C27" s="459" t="n"/>
      <c r="D27" s="459" t="n"/>
      <c r="E27" s="459" t="n"/>
      <c r="F27" s="459" t="n"/>
      <c r="G27" s="459" t="n"/>
      <c r="H27" s="459" t="n"/>
      <c r="I27" s="459" t="n"/>
      <c r="J27" s="459" t="n"/>
      <c r="K27" s="459" t="n"/>
      <c r="L27" s="459" t="n"/>
      <c r="M27" s="459" t="n"/>
      <c r="N27" s="459" t="n"/>
      <c r="O27" s="459" t="n"/>
      <c r="P27" s="459" t="n"/>
      <c r="Q27" s="459" t="n"/>
      <c r="R27" s="459" t="n"/>
      <c r="S27" s="459" t="n"/>
      <c r="T27" s="459" t="n"/>
      <c r="U27" s="459" t="n"/>
      <c r="V27" s="459" t="n"/>
      <c r="W27" s="459" t="n"/>
      <c r="X27" s="459" t="n"/>
      <c r="Y27" s="459" t="n"/>
      <c r="Z27" s="459" t="n"/>
      <c r="AA27" s="459" t="n"/>
      <c r="AB27" s="459" t="n"/>
      <c r="AC27" s="459" t="n"/>
      <c r="AD27" s="459" t="n"/>
      <c r="AE27" s="459" t="n"/>
      <c r="AF27" s="459" t="n"/>
      <c r="AG27" s="459" t="n"/>
      <c r="AH27" s="459" t="n"/>
      <c r="AI27" s="459" t="n"/>
      <c r="AJ27" s="459" t="n"/>
      <c r="AK27" s="459" t="n"/>
      <c r="AL27" s="459" t="n"/>
      <c r="AM27" s="459" t="n"/>
      <c r="AN27" s="459" t="n"/>
      <c r="AO27" s="459" t="n"/>
      <c r="AP27" s="459" t="n"/>
      <c r="AQ27" s="459" t="n"/>
      <c r="AR27" s="459" t="n"/>
      <c r="AS27" s="459" t="n"/>
      <c r="AT27" s="459" t="n"/>
      <c r="AU27" s="459" t="n"/>
      <c r="AV27" s="459" t="n"/>
      <c r="AW27" s="459" t="n"/>
      <c r="AX27" s="459" t="n"/>
      <c r="AY27" s="459" t="n"/>
      <c r="AZ27" s="459" t="n"/>
      <c r="BA27" s="459" t="n"/>
      <c r="BB27" s="459" t="n"/>
      <c r="BC27" s="459" t="n"/>
      <c r="BD27" s="459" t="n"/>
      <c r="BE27" s="459" t="n"/>
      <c r="BF27" s="459" t="n"/>
      <c r="BG27" s="459" t="n"/>
      <c r="BH27" s="459" t="n"/>
      <c r="BI27" s="459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'_Engine_NR'!B233</f>
        <v/>
      </c>
      <c r="C4" s="476">
        <f>'_Engine_NR'!C233</f>
        <v/>
      </c>
      <c r="D4" s="477">
        <f>'_Engine_NR'!N233</f>
        <v/>
      </c>
      <c r="E4" s="475" t="n"/>
      <c r="F4" s="478" t="n"/>
      <c r="G4" s="478" t="n"/>
      <c r="H4" s="476">
        <f>'_Engine_NR'!J233</f>
        <v/>
      </c>
      <c r="I4" s="476">
        <f>'_Engine_NR'!K233</f>
        <v/>
      </c>
      <c r="J4" s="476">
        <f>'_Engine_NR'!L233</f>
        <v/>
      </c>
      <c r="K4" s="476">
        <f>'_Engine_NR'!M233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'_Engine_NR'!B234</f>
        <v/>
      </c>
      <c r="C5" s="354">
        <f>'_Engine_NR'!C234</f>
        <v/>
      </c>
      <c r="D5" s="441">
        <f>'_Engine_NR'!N234</f>
        <v/>
      </c>
      <c r="E5" s="394" t="n"/>
      <c r="F5" s="404" t="n"/>
      <c r="G5" s="404" t="n"/>
      <c r="H5" s="354">
        <f>'_Engine_NR'!J234</f>
        <v/>
      </c>
      <c r="I5" s="354">
        <f>'_Engine_NR'!K234</f>
        <v/>
      </c>
      <c r="J5" s="354">
        <f>'_Engine_NR'!L234</f>
        <v/>
      </c>
      <c r="K5" s="354">
        <f>'_Engine_NR'!M234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'_Engine_NR'!B235</f>
        <v/>
      </c>
      <c r="C6" s="476">
        <f>'_Engine_NR'!C235</f>
        <v/>
      </c>
      <c r="D6" s="477">
        <f>'_Engine_NR'!N235</f>
        <v/>
      </c>
      <c r="E6" s="475" t="n"/>
      <c r="F6" s="478" t="n"/>
      <c r="G6" s="478" t="n"/>
      <c r="H6" s="476">
        <f>'_Engine_NR'!J235</f>
        <v/>
      </c>
      <c r="I6" s="476">
        <f>'_Engine_NR'!K235</f>
        <v/>
      </c>
      <c r="J6" s="476">
        <f>'_Engine_NR'!L235</f>
        <v/>
      </c>
      <c r="K6" s="476">
        <f>'_Engine_NR'!M235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'_Engine_NR'!B236</f>
        <v/>
      </c>
      <c r="C7" s="354">
        <f>'_Engine_NR'!C236</f>
        <v/>
      </c>
      <c r="D7" s="441">
        <f>'_Engine_NR'!N236</f>
        <v/>
      </c>
      <c r="E7" s="394" t="n"/>
      <c r="F7" s="404" t="n"/>
      <c r="G7" s="404" t="n"/>
      <c r="H7" s="354">
        <f>'_Engine_NR'!J236</f>
        <v/>
      </c>
      <c r="I7" s="354">
        <f>'_Engine_NR'!K236</f>
        <v/>
      </c>
      <c r="J7" s="354">
        <f>'_Engine_NR'!L236</f>
        <v/>
      </c>
      <c r="K7" s="354">
        <f>'_Engine_NR'!M236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'_Engine_NR'!B237</f>
        <v/>
      </c>
      <c r="C8" s="476">
        <f>'_Engine_NR'!C237</f>
        <v/>
      </c>
      <c r="D8" s="477">
        <f>'_Engine_NR'!N237</f>
        <v/>
      </c>
      <c r="E8" s="475" t="n"/>
      <c r="F8" s="478" t="n"/>
      <c r="G8" s="478" t="n"/>
      <c r="H8" s="476">
        <f>'_Engine_NR'!J237</f>
        <v/>
      </c>
      <c r="I8" s="476">
        <f>'_Engine_NR'!K237</f>
        <v/>
      </c>
      <c r="J8" s="476">
        <f>'_Engine_NR'!L237</f>
        <v/>
      </c>
      <c r="K8" s="476">
        <f>'_Engine_NR'!M237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'_Engine_NR'!B238</f>
        <v/>
      </c>
      <c r="C9" s="354">
        <f>'_Engine_NR'!C238</f>
        <v/>
      </c>
      <c r="D9" s="441">
        <f>'_Engine_NR'!N238</f>
        <v/>
      </c>
      <c r="E9" s="394" t="n"/>
      <c r="F9" s="404" t="n"/>
      <c r="G9" s="404" t="n"/>
      <c r="H9" s="354">
        <f>'_Engine_NR'!J238</f>
        <v/>
      </c>
      <c r="I9" s="354">
        <f>'_Engine_NR'!K238</f>
        <v/>
      </c>
      <c r="J9" s="354">
        <f>'_Engine_NR'!L238</f>
        <v/>
      </c>
      <c r="K9" s="354">
        <f>'_Engine_NR'!M238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'_Engine_NR'!B239</f>
        <v/>
      </c>
      <c r="C10" s="476">
        <f>'_Engine_NR'!C239</f>
        <v/>
      </c>
      <c r="D10" s="477">
        <f>'_Engine_NR'!N239</f>
        <v/>
      </c>
      <c r="E10" s="475" t="n"/>
      <c r="F10" s="478" t="n"/>
      <c r="G10" s="478" t="n"/>
      <c r="H10" s="476">
        <f>'_Engine_NR'!J239</f>
        <v/>
      </c>
      <c r="I10" s="476">
        <f>'_Engine_NR'!K239</f>
        <v/>
      </c>
      <c r="J10" s="476">
        <f>'_Engine_NR'!L239</f>
        <v/>
      </c>
      <c r="K10" s="476">
        <f>'_Engine_NR'!M239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'_Engine_NR'!B240</f>
        <v/>
      </c>
      <c r="C11" s="354">
        <f>'_Engine_NR'!C240</f>
        <v/>
      </c>
      <c r="D11" s="441">
        <f>'_Engine_NR'!N240</f>
        <v/>
      </c>
      <c r="E11" s="394" t="n"/>
      <c r="F11" s="404" t="n"/>
      <c r="G11" s="404" t="n"/>
      <c r="H11" s="354">
        <f>'_Engine_NR'!J240</f>
        <v/>
      </c>
      <c r="I11" s="354">
        <f>'_Engine_NR'!K240</f>
        <v/>
      </c>
      <c r="J11" s="354">
        <f>'_Engine_NR'!L240</f>
        <v/>
      </c>
      <c r="K11" s="354">
        <f>'_Engine_NR'!M240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'_Engine_NR'!B241</f>
        <v/>
      </c>
      <c r="C12" s="476">
        <f>'_Engine_NR'!C241</f>
        <v/>
      </c>
      <c r="D12" s="477">
        <f>'_Engine_NR'!N241</f>
        <v/>
      </c>
      <c r="E12" s="475" t="n"/>
      <c r="F12" s="478" t="n"/>
      <c r="G12" s="478" t="n"/>
      <c r="H12" s="476">
        <f>'_Engine_NR'!J241</f>
        <v/>
      </c>
      <c r="I12" s="476">
        <f>'_Engine_NR'!K241</f>
        <v/>
      </c>
      <c r="J12" s="476">
        <f>'_Engine_NR'!L241</f>
        <v/>
      </c>
      <c r="K12" s="476">
        <f>'_Engine_NR'!M241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'_Engine_NR'!B242</f>
        <v/>
      </c>
      <c r="C13" s="354">
        <f>'_Engine_NR'!C242</f>
        <v/>
      </c>
      <c r="D13" s="441">
        <f>'_Engine_NR'!N242</f>
        <v/>
      </c>
      <c r="E13" s="394" t="n"/>
      <c r="F13" s="404" t="n"/>
      <c r="G13" s="404" t="n"/>
      <c r="H13" s="354">
        <f>'_Engine_NR'!J242</f>
        <v/>
      </c>
      <c r="I13" s="354">
        <f>'_Engine_NR'!K242</f>
        <v/>
      </c>
      <c r="J13" s="354">
        <f>'_Engine_NR'!L242</f>
        <v/>
      </c>
      <c r="K13" s="354">
        <f>'_Engine_NR'!M242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'_Engine_NR'!B243</f>
        <v/>
      </c>
      <c r="C14" s="476">
        <f>'_Engine_NR'!C243</f>
        <v/>
      </c>
      <c r="D14" s="477">
        <f>'_Engine_NR'!N243</f>
        <v/>
      </c>
      <c r="E14" s="475" t="n"/>
      <c r="F14" s="478" t="n"/>
      <c r="G14" s="478" t="n"/>
      <c r="H14" s="476">
        <f>'_Engine_NR'!J243</f>
        <v/>
      </c>
      <c r="I14" s="476">
        <f>'_Engine_NR'!K243</f>
        <v/>
      </c>
      <c r="J14" s="476">
        <f>'_Engine_NR'!L243</f>
        <v/>
      </c>
      <c r="K14" s="476">
        <f>'_Engine_NR'!M243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'_Engine_NR'!B244</f>
        <v/>
      </c>
      <c r="C15" s="354">
        <f>'_Engine_NR'!C244</f>
        <v/>
      </c>
      <c r="D15" s="441">
        <f>'_Engine_NR'!N244</f>
        <v/>
      </c>
      <c r="E15" s="394" t="n"/>
      <c r="F15" s="404" t="n"/>
      <c r="G15" s="404" t="n"/>
      <c r="H15" s="354">
        <f>'_Engine_NR'!J244</f>
        <v/>
      </c>
      <c r="I15" s="354">
        <f>'_Engine_NR'!K244</f>
        <v/>
      </c>
      <c r="J15" s="354">
        <f>'_Engine_NR'!L244</f>
        <v/>
      </c>
      <c r="K15" s="354">
        <f>'_Engine_NR'!M244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'_Engine_NR'!B245</f>
        <v/>
      </c>
      <c r="C16" s="476">
        <f>'_Engine_NR'!C245</f>
        <v/>
      </c>
      <c r="D16" s="477">
        <f>'_Engine_NR'!N245</f>
        <v/>
      </c>
      <c r="E16" s="475" t="n"/>
      <c r="F16" s="478" t="n"/>
      <c r="G16" s="478" t="n"/>
      <c r="H16" s="476">
        <f>'_Engine_NR'!J245</f>
        <v/>
      </c>
      <c r="I16" s="476">
        <f>'_Engine_NR'!K245</f>
        <v/>
      </c>
      <c r="J16" s="476">
        <f>'_Engine_NR'!L245</f>
        <v/>
      </c>
      <c r="K16" s="476">
        <f>'_Engine_NR'!M245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'_Engine_NR'!B246</f>
        <v/>
      </c>
      <c r="C17" s="354">
        <f>'_Engine_NR'!C246</f>
        <v/>
      </c>
      <c r="D17" s="441">
        <f>'_Engine_NR'!N246</f>
        <v/>
      </c>
      <c r="E17" s="394" t="n"/>
      <c r="F17" s="404" t="n"/>
      <c r="G17" s="404" t="n"/>
      <c r="H17" s="354">
        <f>'_Engine_NR'!J246</f>
        <v/>
      </c>
      <c r="I17" s="354">
        <f>'_Engine_NR'!K246</f>
        <v/>
      </c>
      <c r="J17" s="354">
        <f>'_Engine_NR'!L246</f>
        <v/>
      </c>
      <c r="K17" s="354">
        <f>'_Engine_NR'!M246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'_Engine_NR'!B247</f>
        <v/>
      </c>
      <c r="C18" s="476">
        <f>'_Engine_NR'!C247</f>
        <v/>
      </c>
      <c r="D18" s="477">
        <f>'_Engine_NR'!N247</f>
        <v/>
      </c>
      <c r="E18" s="475" t="n"/>
      <c r="F18" s="478" t="n"/>
      <c r="G18" s="478" t="n"/>
      <c r="H18" s="476">
        <f>'_Engine_NR'!J247</f>
        <v/>
      </c>
      <c r="I18" s="476">
        <f>'_Engine_NR'!K247</f>
        <v/>
      </c>
      <c r="J18" s="476">
        <f>'_Engine_NR'!L247</f>
        <v/>
      </c>
      <c r="K18" s="476">
        <f>'_Engine_NR'!M247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'_Engine_NR'!L247</f>
        <v/>
      </c>
      <c r="I19" s="484">
        <f>'_Engine_NR'!M247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50%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'_Engine_R50'!B233</f>
        <v/>
      </c>
      <c r="C4" s="476">
        <f>'_Engine_R50'!C233</f>
        <v/>
      </c>
      <c r="D4" s="477">
        <f>'_Engine_R50'!N233</f>
        <v/>
      </c>
      <c r="E4" s="475" t="n"/>
      <c r="F4" s="478" t="n"/>
      <c r="G4" s="478" t="n"/>
      <c r="H4" s="476">
        <f>'_Engine_R50'!J233</f>
        <v/>
      </c>
      <c r="I4" s="476">
        <f>'_Engine_R50'!K233</f>
        <v/>
      </c>
      <c r="J4" s="476">
        <f>'_Engine_R50'!L233</f>
        <v/>
      </c>
      <c r="K4" s="476">
        <f>'_Engine_R50'!M233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'_Engine_R50'!B234</f>
        <v/>
      </c>
      <c r="C5" s="354">
        <f>'_Engine_R50'!C234</f>
        <v/>
      </c>
      <c r="D5" s="441">
        <f>'_Engine_R50'!N234</f>
        <v/>
      </c>
      <c r="E5" s="394" t="n"/>
      <c r="F5" s="404" t="n"/>
      <c r="G5" s="404" t="n"/>
      <c r="H5" s="354">
        <f>'_Engine_R50'!J234</f>
        <v/>
      </c>
      <c r="I5" s="354">
        <f>'_Engine_R50'!K234</f>
        <v/>
      </c>
      <c r="J5" s="354">
        <f>'_Engine_R50'!L234</f>
        <v/>
      </c>
      <c r="K5" s="354">
        <f>'_Engine_R50'!M234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'_Engine_R50'!B235</f>
        <v/>
      </c>
      <c r="C6" s="476">
        <f>'_Engine_R50'!C235</f>
        <v/>
      </c>
      <c r="D6" s="477">
        <f>'_Engine_R50'!N235</f>
        <v/>
      </c>
      <c r="E6" s="475" t="n"/>
      <c r="F6" s="478" t="n"/>
      <c r="G6" s="478" t="n"/>
      <c r="H6" s="476">
        <f>'_Engine_R50'!J235</f>
        <v/>
      </c>
      <c r="I6" s="476">
        <f>'_Engine_R50'!K235</f>
        <v/>
      </c>
      <c r="J6" s="476">
        <f>'_Engine_R50'!L235</f>
        <v/>
      </c>
      <c r="K6" s="476">
        <f>'_Engine_R50'!M235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'_Engine_R50'!B236</f>
        <v/>
      </c>
      <c r="C7" s="354">
        <f>'_Engine_R50'!C236</f>
        <v/>
      </c>
      <c r="D7" s="441">
        <f>'_Engine_R50'!N236</f>
        <v/>
      </c>
      <c r="E7" s="394" t="n"/>
      <c r="F7" s="404" t="n"/>
      <c r="G7" s="404" t="n"/>
      <c r="H7" s="354">
        <f>'_Engine_R50'!J236</f>
        <v/>
      </c>
      <c r="I7" s="354">
        <f>'_Engine_R50'!K236</f>
        <v/>
      </c>
      <c r="J7" s="354">
        <f>'_Engine_R50'!L236</f>
        <v/>
      </c>
      <c r="K7" s="354">
        <f>'_Engine_R50'!M236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'_Engine_R50'!B237</f>
        <v/>
      </c>
      <c r="C8" s="476">
        <f>'_Engine_R50'!C237</f>
        <v/>
      </c>
      <c r="D8" s="477">
        <f>'_Engine_R50'!N237</f>
        <v/>
      </c>
      <c r="E8" s="475" t="n"/>
      <c r="F8" s="478" t="n"/>
      <c r="G8" s="478" t="n"/>
      <c r="H8" s="476">
        <f>'_Engine_R50'!J237</f>
        <v/>
      </c>
      <c r="I8" s="476">
        <f>'_Engine_R50'!K237</f>
        <v/>
      </c>
      <c r="J8" s="476">
        <f>'_Engine_R50'!L237</f>
        <v/>
      </c>
      <c r="K8" s="476">
        <f>'_Engine_R50'!M237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'_Engine_R50'!B238</f>
        <v/>
      </c>
      <c r="C9" s="354">
        <f>'_Engine_R50'!C238</f>
        <v/>
      </c>
      <c r="D9" s="441">
        <f>'_Engine_R50'!N238</f>
        <v/>
      </c>
      <c r="E9" s="394" t="n"/>
      <c r="F9" s="404" t="n"/>
      <c r="G9" s="404" t="n"/>
      <c r="H9" s="354">
        <f>'_Engine_R50'!J238</f>
        <v/>
      </c>
      <c r="I9" s="354">
        <f>'_Engine_R50'!K238</f>
        <v/>
      </c>
      <c r="J9" s="354">
        <f>'_Engine_R50'!L238</f>
        <v/>
      </c>
      <c r="K9" s="354">
        <f>'_Engine_R50'!M238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'_Engine_R50'!B239</f>
        <v/>
      </c>
      <c r="C10" s="476">
        <f>'_Engine_R50'!C239</f>
        <v/>
      </c>
      <c r="D10" s="477">
        <f>'_Engine_R50'!N239</f>
        <v/>
      </c>
      <c r="E10" s="475" t="n"/>
      <c r="F10" s="478" t="n"/>
      <c r="G10" s="478" t="n"/>
      <c r="H10" s="476">
        <f>'_Engine_R50'!J239</f>
        <v/>
      </c>
      <c r="I10" s="476">
        <f>'_Engine_R50'!K239</f>
        <v/>
      </c>
      <c r="J10" s="476">
        <f>'_Engine_R50'!L239</f>
        <v/>
      </c>
      <c r="K10" s="476">
        <f>'_Engine_R50'!M239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'_Engine_R50'!B240</f>
        <v/>
      </c>
      <c r="C11" s="354">
        <f>'_Engine_R50'!C240</f>
        <v/>
      </c>
      <c r="D11" s="441">
        <f>'_Engine_R50'!N240</f>
        <v/>
      </c>
      <c r="E11" s="394" t="n"/>
      <c r="F11" s="404" t="n"/>
      <c r="G11" s="404" t="n"/>
      <c r="H11" s="354">
        <f>'_Engine_R50'!J240</f>
        <v/>
      </c>
      <c r="I11" s="354">
        <f>'_Engine_R50'!K240</f>
        <v/>
      </c>
      <c r="J11" s="354">
        <f>'_Engine_R50'!L240</f>
        <v/>
      </c>
      <c r="K11" s="354">
        <f>'_Engine_R50'!M240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'_Engine_R50'!B241</f>
        <v/>
      </c>
      <c r="C12" s="476">
        <f>'_Engine_R50'!C241</f>
        <v/>
      </c>
      <c r="D12" s="477">
        <f>'_Engine_R50'!N241</f>
        <v/>
      </c>
      <c r="E12" s="475" t="n"/>
      <c r="F12" s="478" t="n"/>
      <c r="G12" s="478" t="n"/>
      <c r="H12" s="476">
        <f>'_Engine_R50'!J241</f>
        <v/>
      </c>
      <c r="I12" s="476">
        <f>'_Engine_R50'!K241</f>
        <v/>
      </c>
      <c r="J12" s="476">
        <f>'_Engine_R50'!L241</f>
        <v/>
      </c>
      <c r="K12" s="476">
        <f>'_Engine_R50'!M241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'_Engine_R50'!B242</f>
        <v/>
      </c>
      <c r="C13" s="354">
        <f>'_Engine_R50'!C242</f>
        <v/>
      </c>
      <c r="D13" s="441">
        <f>'_Engine_R50'!N242</f>
        <v/>
      </c>
      <c r="E13" s="394" t="n"/>
      <c r="F13" s="404" t="n"/>
      <c r="G13" s="404" t="n"/>
      <c r="H13" s="354">
        <f>'_Engine_R50'!J242</f>
        <v/>
      </c>
      <c r="I13" s="354">
        <f>'_Engine_R50'!K242</f>
        <v/>
      </c>
      <c r="J13" s="354">
        <f>'_Engine_R50'!L242</f>
        <v/>
      </c>
      <c r="K13" s="354">
        <f>'_Engine_R50'!M242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'_Engine_R50'!B243</f>
        <v/>
      </c>
      <c r="C14" s="476">
        <f>'_Engine_R50'!C243</f>
        <v/>
      </c>
      <c r="D14" s="477">
        <f>'_Engine_R50'!N243</f>
        <v/>
      </c>
      <c r="E14" s="475" t="n"/>
      <c r="F14" s="478" t="n"/>
      <c r="G14" s="478" t="n"/>
      <c r="H14" s="476">
        <f>'_Engine_R50'!J243</f>
        <v/>
      </c>
      <c r="I14" s="476">
        <f>'_Engine_R50'!K243</f>
        <v/>
      </c>
      <c r="J14" s="476">
        <f>'_Engine_R50'!L243</f>
        <v/>
      </c>
      <c r="K14" s="476">
        <f>'_Engine_R50'!M243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'_Engine_R50'!B244</f>
        <v/>
      </c>
      <c r="C15" s="354">
        <f>'_Engine_R50'!C244</f>
        <v/>
      </c>
      <c r="D15" s="441">
        <f>'_Engine_R50'!N244</f>
        <v/>
      </c>
      <c r="E15" s="394" t="n"/>
      <c r="F15" s="404" t="n"/>
      <c r="G15" s="404" t="n"/>
      <c r="H15" s="354">
        <f>'_Engine_R50'!J244</f>
        <v/>
      </c>
      <c r="I15" s="354">
        <f>'_Engine_R50'!K244</f>
        <v/>
      </c>
      <c r="J15" s="354">
        <f>'_Engine_R50'!L244</f>
        <v/>
      </c>
      <c r="K15" s="354">
        <f>'_Engine_R50'!M244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'_Engine_R50'!B245</f>
        <v/>
      </c>
      <c r="C16" s="476">
        <f>'_Engine_R50'!C245</f>
        <v/>
      </c>
      <c r="D16" s="477">
        <f>'_Engine_R50'!N245</f>
        <v/>
      </c>
      <c r="E16" s="475" t="n"/>
      <c r="F16" s="478" t="n"/>
      <c r="G16" s="478" t="n"/>
      <c r="H16" s="476">
        <f>'_Engine_R50'!J245</f>
        <v/>
      </c>
      <c r="I16" s="476">
        <f>'_Engine_R50'!K245</f>
        <v/>
      </c>
      <c r="J16" s="476">
        <f>'_Engine_R50'!L245</f>
        <v/>
      </c>
      <c r="K16" s="476">
        <f>'_Engine_R50'!M245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'_Engine_R50'!B246</f>
        <v/>
      </c>
      <c r="C17" s="354">
        <f>'_Engine_R50'!C246</f>
        <v/>
      </c>
      <c r="D17" s="441">
        <f>'_Engine_R50'!N246</f>
        <v/>
      </c>
      <c r="E17" s="394" t="n"/>
      <c r="F17" s="404" t="n"/>
      <c r="G17" s="404" t="n"/>
      <c r="H17" s="354">
        <f>'_Engine_R50'!J246</f>
        <v/>
      </c>
      <c r="I17" s="354">
        <f>'_Engine_R50'!K246</f>
        <v/>
      </c>
      <c r="J17" s="354">
        <f>'_Engine_R50'!L246</f>
        <v/>
      </c>
      <c r="K17" s="354">
        <f>'_Engine_R50'!M246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'_Engine_R50'!B247</f>
        <v/>
      </c>
      <c r="C18" s="476">
        <f>'_Engine_R50'!C247</f>
        <v/>
      </c>
      <c r="D18" s="477">
        <f>'_Engine_R50'!N247</f>
        <v/>
      </c>
      <c r="E18" s="475" t="n"/>
      <c r="F18" s="478" t="n"/>
      <c r="G18" s="478" t="n"/>
      <c r="H18" s="476">
        <f>'_Engine_R50'!J247</f>
        <v/>
      </c>
      <c r="I18" s="476">
        <f>'_Engine_R50'!K247</f>
        <v/>
      </c>
      <c r="J18" s="476">
        <f>'_Engine_R50'!L247</f>
        <v/>
      </c>
      <c r="K18" s="476">
        <f>'_Engine_R50'!M247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'_Engine_R50'!L247</f>
        <v/>
      </c>
      <c r="I19" s="484">
        <f>'_Engine_R50'!M247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3"/>
  </cols>
  <sheetData>
    <row r="1" ht="15.75" customHeight="1" s="307">
      <c r="A1" s="471" t="inlineStr">
        <is>
          <t>WATERFALL  |  100%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98" t="inlineStr">
        <is>
          <t>Year 1</t>
        </is>
      </c>
      <c r="B4" s="476">
        <f>'_Engine_R100'!B233</f>
        <v/>
      </c>
      <c r="C4" s="476">
        <f>'_Engine_R100'!C233</f>
        <v/>
      </c>
      <c r="D4" s="477">
        <f>'_Engine_R100'!N233</f>
        <v/>
      </c>
      <c r="E4" s="499" t="n"/>
      <c r="F4" s="499" t="n"/>
      <c r="G4" s="499" t="n"/>
      <c r="H4" s="476">
        <f>'_Engine_R100'!J233</f>
        <v/>
      </c>
      <c r="I4" s="476">
        <f>'_Engine_R100'!K233</f>
        <v/>
      </c>
      <c r="J4" s="476">
        <f>'_Engine_R100'!L233</f>
        <v/>
      </c>
      <c r="K4" s="476">
        <f>'_Engine_R100'!M233</f>
        <v/>
      </c>
      <c r="L4" s="499" t="n"/>
      <c r="M4" s="499" t="n"/>
    </row>
    <row r="5" ht="15" customHeight="1" s="307">
      <c r="A5" s="321" t="inlineStr">
        <is>
          <t>Year 2</t>
        </is>
      </c>
      <c r="B5" s="354">
        <f>'_Engine_R100'!B234</f>
        <v/>
      </c>
      <c r="C5" s="354">
        <f>'_Engine_R100'!C234</f>
        <v/>
      </c>
      <c r="D5" s="441">
        <f>'_Engine_R100'!N234</f>
        <v/>
      </c>
      <c r="E5" s="306" t="n"/>
      <c r="F5" s="306" t="n"/>
      <c r="G5" s="306" t="n"/>
      <c r="H5" s="354">
        <f>'_Engine_R100'!J234</f>
        <v/>
      </c>
      <c r="I5" s="354">
        <f>'_Engine_R100'!K234</f>
        <v/>
      </c>
      <c r="J5" s="354">
        <f>'_Engine_R100'!L234</f>
        <v/>
      </c>
      <c r="K5" s="354">
        <f>'_Engine_R100'!M234</f>
        <v/>
      </c>
      <c r="L5" s="306" t="n"/>
      <c r="M5" s="306" t="n"/>
    </row>
    <row r="6" ht="15" customHeight="1" s="307">
      <c r="A6" s="498" t="inlineStr">
        <is>
          <t>Year 3</t>
        </is>
      </c>
      <c r="B6" s="476">
        <f>'_Engine_R100'!B235</f>
        <v/>
      </c>
      <c r="C6" s="476">
        <f>'_Engine_R100'!C235</f>
        <v/>
      </c>
      <c r="D6" s="477">
        <f>'_Engine_R100'!N235</f>
        <v/>
      </c>
      <c r="E6" s="499" t="n"/>
      <c r="F6" s="499" t="n"/>
      <c r="G6" s="499" t="n"/>
      <c r="H6" s="476">
        <f>'_Engine_R100'!J235</f>
        <v/>
      </c>
      <c r="I6" s="476">
        <f>'_Engine_R100'!K235</f>
        <v/>
      </c>
      <c r="J6" s="476">
        <f>'_Engine_R100'!L235</f>
        <v/>
      </c>
      <c r="K6" s="476">
        <f>'_Engine_R100'!M235</f>
        <v/>
      </c>
      <c r="L6" s="499" t="n"/>
      <c r="M6" s="499" t="n"/>
    </row>
    <row r="7" ht="15" customHeight="1" s="307">
      <c r="A7" s="321" t="inlineStr">
        <is>
          <t>Year 4</t>
        </is>
      </c>
      <c r="B7" s="354">
        <f>'_Engine_R100'!B236</f>
        <v/>
      </c>
      <c r="C7" s="354">
        <f>'_Engine_R100'!C236</f>
        <v/>
      </c>
      <c r="D7" s="441">
        <f>'_Engine_R100'!N236</f>
        <v/>
      </c>
      <c r="E7" s="306" t="n"/>
      <c r="F7" s="306" t="n"/>
      <c r="G7" s="306" t="n"/>
      <c r="H7" s="354">
        <f>'_Engine_R100'!J236</f>
        <v/>
      </c>
      <c r="I7" s="354">
        <f>'_Engine_R100'!K236</f>
        <v/>
      </c>
      <c r="J7" s="354">
        <f>'_Engine_R100'!L236</f>
        <v/>
      </c>
      <c r="K7" s="354">
        <f>'_Engine_R100'!M236</f>
        <v/>
      </c>
      <c r="L7" s="306" t="n"/>
      <c r="M7" s="306" t="n"/>
    </row>
    <row r="8" ht="15" customHeight="1" s="307">
      <c r="A8" s="498" t="inlineStr">
        <is>
          <t>Year 5</t>
        </is>
      </c>
      <c r="B8" s="476">
        <f>'_Engine_R100'!B237</f>
        <v/>
      </c>
      <c r="C8" s="476">
        <f>'_Engine_R100'!C237</f>
        <v/>
      </c>
      <c r="D8" s="477">
        <f>'_Engine_R100'!N237</f>
        <v/>
      </c>
      <c r="E8" s="499" t="n"/>
      <c r="F8" s="499" t="n"/>
      <c r="G8" s="499" t="n"/>
      <c r="H8" s="476">
        <f>'_Engine_R100'!J237</f>
        <v/>
      </c>
      <c r="I8" s="476">
        <f>'_Engine_R100'!K237</f>
        <v/>
      </c>
      <c r="J8" s="476">
        <f>'_Engine_R100'!L237</f>
        <v/>
      </c>
      <c r="K8" s="476">
        <f>'_Engine_R100'!M237</f>
        <v/>
      </c>
      <c r="L8" s="499" t="n"/>
      <c r="M8" s="499" t="n"/>
    </row>
    <row r="9" ht="15" customHeight="1" s="307">
      <c r="A9" s="321" t="inlineStr">
        <is>
          <t>Year 6</t>
        </is>
      </c>
      <c r="B9" s="354">
        <f>'_Engine_R100'!B238</f>
        <v/>
      </c>
      <c r="C9" s="354">
        <f>'_Engine_R100'!C238</f>
        <v/>
      </c>
      <c r="D9" s="441">
        <f>'_Engine_R100'!N238</f>
        <v/>
      </c>
      <c r="E9" s="306" t="n"/>
      <c r="F9" s="306" t="n"/>
      <c r="G9" s="306" t="n"/>
      <c r="H9" s="354">
        <f>'_Engine_R100'!J238</f>
        <v/>
      </c>
      <c r="I9" s="354">
        <f>'_Engine_R100'!K238</f>
        <v/>
      </c>
      <c r="J9" s="354">
        <f>'_Engine_R100'!L238</f>
        <v/>
      </c>
      <c r="K9" s="354">
        <f>'_Engine_R100'!M238</f>
        <v/>
      </c>
      <c r="L9" s="306" t="n"/>
      <c r="M9" s="306" t="n"/>
    </row>
    <row r="10" ht="15" customHeight="1" s="307">
      <c r="A10" s="498" t="inlineStr">
        <is>
          <t>Year 7</t>
        </is>
      </c>
      <c r="B10" s="476">
        <f>'_Engine_R100'!B239</f>
        <v/>
      </c>
      <c r="C10" s="476">
        <f>'_Engine_R100'!C239</f>
        <v/>
      </c>
      <c r="D10" s="477">
        <f>'_Engine_R100'!N239</f>
        <v/>
      </c>
      <c r="E10" s="499" t="n"/>
      <c r="F10" s="499" t="n"/>
      <c r="G10" s="499" t="n"/>
      <c r="H10" s="476">
        <f>'_Engine_R100'!J239</f>
        <v/>
      </c>
      <c r="I10" s="476">
        <f>'_Engine_R100'!K239</f>
        <v/>
      </c>
      <c r="J10" s="476">
        <f>'_Engine_R100'!L239</f>
        <v/>
      </c>
      <c r="K10" s="476">
        <f>'_Engine_R100'!M239</f>
        <v/>
      </c>
      <c r="L10" s="499" t="n"/>
      <c r="M10" s="499" t="n"/>
    </row>
    <row r="11" ht="15" customHeight="1" s="307">
      <c r="A11" s="321" t="inlineStr">
        <is>
          <t>Year 8</t>
        </is>
      </c>
      <c r="B11" s="354">
        <f>'_Engine_R100'!B240</f>
        <v/>
      </c>
      <c r="C11" s="354">
        <f>'_Engine_R100'!C240</f>
        <v/>
      </c>
      <c r="D11" s="441">
        <f>'_Engine_R100'!N240</f>
        <v/>
      </c>
      <c r="E11" s="306" t="n"/>
      <c r="F11" s="306" t="n"/>
      <c r="G11" s="306" t="n"/>
      <c r="H11" s="354">
        <f>'_Engine_R100'!J240</f>
        <v/>
      </c>
      <c r="I11" s="354">
        <f>'_Engine_R100'!K240</f>
        <v/>
      </c>
      <c r="J11" s="354">
        <f>'_Engine_R100'!L240</f>
        <v/>
      </c>
      <c r="K11" s="354">
        <f>'_Engine_R100'!M240</f>
        <v/>
      </c>
      <c r="L11" s="306" t="n"/>
      <c r="M11" s="306" t="n"/>
    </row>
    <row r="12" ht="15" customHeight="1" s="307">
      <c r="A12" s="498" t="inlineStr">
        <is>
          <t>Year 9</t>
        </is>
      </c>
      <c r="B12" s="476">
        <f>'_Engine_R100'!B241</f>
        <v/>
      </c>
      <c r="C12" s="476">
        <f>'_Engine_R100'!C241</f>
        <v/>
      </c>
      <c r="D12" s="477">
        <f>'_Engine_R100'!N241</f>
        <v/>
      </c>
      <c r="E12" s="499" t="n"/>
      <c r="F12" s="499" t="n"/>
      <c r="G12" s="499" t="n"/>
      <c r="H12" s="476">
        <f>'_Engine_R100'!J241</f>
        <v/>
      </c>
      <c r="I12" s="476">
        <f>'_Engine_R100'!K241</f>
        <v/>
      </c>
      <c r="J12" s="476">
        <f>'_Engine_R100'!L241</f>
        <v/>
      </c>
      <c r="K12" s="476">
        <f>'_Engine_R100'!M241</f>
        <v/>
      </c>
      <c r="L12" s="499" t="n"/>
      <c r="M12" s="499" t="n"/>
    </row>
    <row r="13" ht="15" customHeight="1" s="307">
      <c r="A13" s="321" t="inlineStr">
        <is>
          <t>Year 10</t>
        </is>
      </c>
      <c r="B13" s="354">
        <f>'_Engine_R100'!B242</f>
        <v/>
      </c>
      <c r="C13" s="354">
        <f>'_Engine_R100'!C242</f>
        <v/>
      </c>
      <c r="D13" s="441">
        <f>'_Engine_R100'!N242</f>
        <v/>
      </c>
      <c r="E13" s="306" t="n"/>
      <c r="F13" s="306" t="n"/>
      <c r="G13" s="306" t="n"/>
      <c r="H13" s="354">
        <f>'_Engine_R100'!J242</f>
        <v/>
      </c>
      <c r="I13" s="354">
        <f>'_Engine_R100'!K242</f>
        <v/>
      </c>
      <c r="J13" s="354">
        <f>'_Engine_R100'!L242</f>
        <v/>
      </c>
      <c r="K13" s="354">
        <f>'_Engine_R100'!M242</f>
        <v/>
      </c>
      <c r="L13" s="306" t="n"/>
      <c r="M13" s="306" t="n"/>
    </row>
    <row r="14" ht="15" customHeight="1" s="307">
      <c r="A14" s="498" t="inlineStr">
        <is>
          <t>Year 11</t>
        </is>
      </c>
      <c r="B14" s="476">
        <f>'_Engine_R100'!B243</f>
        <v/>
      </c>
      <c r="C14" s="476">
        <f>'_Engine_R100'!C243</f>
        <v/>
      </c>
      <c r="D14" s="477">
        <f>'_Engine_R100'!N243</f>
        <v/>
      </c>
      <c r="E14" s="499" t="n"/>
      <c r="F14" s="499" t="n"/>
      <c r="G14" s="499" t="n"/>
      <c r="H14" s="476">
        <f>'_Engine_R100'!J243</f>
        <v/>
      </c>
      <c r="I14" s="476">
        <f>'_Engine_R100'!K243</f>
        <v/>
      </c>
      <c r="J14" s="476">
        <f>'_Engine_R100'!L243</f>
        <v/>
      </c>
      <c r="K14" s="476">
        <f>'_Engine_R100'!M243</f>
        <v/>
      </c>
      <c r="L14" s="499" t="n"/>
      <c r="M14" s="499" t="n"/>
    </row>
    <row r="15" ht="15" customHeight="1" s="307">
      <c r="A15" s="321" t="inlineStr">
        <is>
          <t>Year 12</t>
        </is>
      </c>
      <c r="B15" s="354">
        <f>'_Engine_R100'!B244</f>
        <v/>
      </c>
      <c r="C15" s="354">
        <f>'_Engine_R100'!C244</f>
        <v/>
      </c>
      <c r="D15" s="441">
        <f>'_Engine_R100'!N244</f>
        <v/>
      </c>
      <c r="E15" s="306" t="n"/>
      <c r="F15" s="306" t="n"/>
      <c r="G15" s="306" t="n"/>
      <c r="H15" s="354">
        <f>'_Engine_R100'!J244</f>
        <v/>
      </c>
      <c r="I15" s="354">
        <f>'_Engine_R100'!K244</f>
        <v/>
      </c>
      <c r="J15" s="354">
        <f>'_Engine_R100'!L244</f>
        <v/>
      </c>
      <c r="K15" s="354">
        <f>'_Engine_R100'!M244</f>
        <v/>
      </c>
      <c r="L15" s="306" t="n"/>
      <c r="M15" s="306" t="n"/>
    </row>
    <row r="16" ht="15" customHeight="1" s="307">
      <c r="A16" s="498" t="inlineStr">
        <is>
          <t>Year 13</t>
        </is>
      </c>
      <c r="B16" s="476">
        <f>'_Engine_R100'!B245</f>
        <v/>
      </c>
      <c r="C16" s="476">
        <f>'_Engine_R100'!C245</f>
        <v/>
      </c>
      <c r="D16" s="477">
        <f>'_Engine_R100'!N245</f>
        <v/>
      </c>
      <c r="E16" s="499" t="n"/>
      <c r="F16" s="499" t="n"/>
      <c r="G16" s="499" t="n"/>
      <c r="H16" s="476">
        <f>'_Engine_R100'!J245</f>
        <v/>
      </c>
      <c r="I16" s="476">
        <f>'_Engine_R100'!K245</f>
        <v/>
      </c>
      <c r="J16" s="476">
        <f>'_Engine_R100'!L245</f>
        <v/>
      </c>
      <c r="K16" s="476">
        <f>'_Engine_R100'!M245</f>
        <v/>
      </c>
      <c r="L16" s="499" t="n"/>
      <c r="M16" s="499" t="n"/>
    </row>
    <row r="17" ht="15" customHeight="1" s="307">
      <c r="A17" s="321" t="inlineStr">
        <is>
          <t>Year 14</t>
        </is>
      </c>
      <c r="B17" s="354">
        <f>'_Engine_R100'!B246</f>
        <v/>
      </c>
      <c r="C17" s="354">
        <f>'_Engine_R100'!C246</f>
        <v/>
      </c>
      <c r="D17" s="441">
        <f>'_Engine_R100'!N246</f>
        <v/>
      </c>
      <c r="E17" s="306" t="n"/>
      <c r="F17" s="306" t="n"/>
      <c r="G17" s="306" t="n"/>
      <c r="H17" s="354">
        <f>'_Engine_R100'!J246</f>
        <v/>
      </c>
      <c r="I17" s="354">
        <f>'_Engine_R100'!K246</f>
        <v/>
      </c>
      <c r="J17" s="354">
        <f>'_Engine_R100'!L246</f>
        <v/>
      </c>
      <c r="K17" s="354">
        <f>'_Engine_R100'!M246</f>
        <v/>
      </c>
      <c r="L17" s="306" t="n"/>
      <c r="M17" s="306" t="n"/>
    </row>
    <row r="18" ht="15" customHeight="1" s="307">
      <c r="A18" s="498" t="inlineStr">
        <is>
          <t>Year 15</t>
        </is>
      </c>
      <c r="B18" s="476">
        <f>'_Engine_R100'!B247</f>
        <v/>
      </c>
      <c r="C18" s="476">
        <f>'_Engine_R100'!C247</f>
        <v/>
      </c>
      <c r="D18" s="477">
        <f>'_Engine_R100'!N247</f>
        <v/>
      </c>
      <c r="E18" s="499" t="n"/>
      <c r="F18" s="499" t="n"/>
      <c r="G18" s="499" t="n"/>
      <c r="H18" s="476">
        <f>'_Engine_R100'!J247</f>
        <v/>
      </c>
      <c r="I18" s="476">
        <f>'_Engine_R100'!K247</f>
        <v/>
      </c>
      <c r="J18" s="476">
        <f>'_Engine_R100'!L247</f>
        <v/>
      </c>
      <c r="K18" s="476">
        <f>'_Engine_R100'!M247</f>
        <v/>
      </c>
      <c r="L18" s="499" t="n"/>
      <c r="M18" s="499" t="n"/>
    </row>
    <row r="19" ht="15" customHeight="1" s="307">
      <c r="A19" s="415" t="inlineStr">
        <is>
          <t>TOTAL</t>
        </is>
      </c>
      <c r="B19" s="500" t="n"/>
      <c r="C19" s="500" t="n"/>
      <c r="D19" s="481">
        <f>D18</f>
        <v/>
      </c>
      <c r="E19" s="500" t="n"/>
      <c r="F19" s="500" t="n"/>
      <c r="G19" s="500" t="n"/>
      <c r="H19" s="484">
        <f>'_Engine_R100'!L247</f>
        <v/>
      </c>
      <c r="I19" s="484">
        <f>'_Engine_R100'!M247</f>
        <v/>
      </c>
      <c r="J19" s="500" t="n"/>
      <c r="K19" s="500" t="n"/>
      <c r="L19" s="500" t="n"/>
      <c r="M19" s="500" t="n"/>
    </row>
    <row r="20" ht="15" customHeight="1" s="307">
      <c r="A20" s="306" t="n"/>
      <c r="B20" s="306" t="n"/>
      <c r="C20" s="306" t="n"/>
      <c r="D20" s="306" t="n"/>
      <c r="E20" s="306" t="n"/>
      <c r="F20" s="306" t="n"/>
      <c r="G20" s="306" t="n"/>
      <c r="H20" s="306" t="n"/>
      <c r="I20" s="306" t="n"/>
      <c r="J20" s="306" t="n"/>
      <c r="K20" s="306" t="n"/>
      <c r="L20" s="306" t="n"/>
      <c r="M20" s="306" t="n"/>
    </row>
    <row r="21" ht="15" customHeight="1" s="307">
      <c r="A21" s="306" t="n"/>
      <c r="B21" s="306" t="n"/>
      <c r="C21" s="306" t="n"/>
      <c r="D21" s="306" t="n"/>
      <c r="E21" s="306" t="n"/>
      <c r="F21" s="306" t="n"/>
      <c r="G21" s="306" t="n"/>
      <c r="H21" s="306" t="n"/>
      <c r="I21" s="306" t="n"/>
      <c r="J21" s="306" t="n"/>
      <c r="K21" s="306" t="n"/>
      <c r="L21" s="306" t="n"/>
      <c r="M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NO RECYCLING (placeholder)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 t="n">
        <v>-3.36366404771358</v>
      </c>
      <c r="C4" s="476" t="n">
        <v>-3.36366404771358</v>
      </c>
      <c r="D4" s="477" t="n">
        <v>-0.0224244269847572</v>
      </c>
      <c r="E4" s="475" t="n"/>
      <c r="F4" s="478" t="n"/>
      <c r="G4" s="478" t="n"/>
      <c r="H4" s="476" t="n">
        <v>0</v>
      </c>
      <c r="I4" s="476" t="n">
        <v>0</v>
      </c>
      <c r="J4" s="476" t="n">
        <v>0</v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 t="n">
        <v>57.5572139587817</v>
      </c>
      <c r="C5" s="354" t="n">
        <v>54.1935499110682</v>
      </c>
      <c r="D5" s="441" t="n">
        <v>0.361290332740454</v>
      </c>
      <c r="E5" s="394" t="n"/>
      <c r="F5" s="404" t="n"/>
      <c r="G5" s="404" t="n"/>
      <c r="H5" s="354" t="n">
        <v>57.5572139587817</v>
      </c>
      <c r="I5" s="354" t="n">
        <v>0</v>
      </c>
      <c r="J5" s="354" t="n">
        <v>57.5572139587817</v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 t="n">
        <v>63.5554164605371</v>
      </c>
      <c r="C6" s="476" t="n">
        <v>117.748966371605</v>
      </c>
      <c r="D6" s="477" t="n">
        <v>0.784993109144035</v>
      </c>
      <c r="E6" s="475" t="n"/>
      <c r="F6" s="478" t="n"/>
      <c r="G6" s="478" t="n"/>
      <c r="H6" s="476" t="n">
        <v>63.5554164605371</v>
      </c>
      <c r="I6" s="476" t="n">
        <v>0</v>
      </c>
      <c r="J6" s="476" t="n">
        <v>121.112630419319</v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 t="n">
        <v>54.0221039914565</v>
      </c>
      <c r="C7" s="354" t="n">
        <v>171.771070363062</v>
      </c>
      <c r="D7" s="441" t="n">
        <v>1.14514046908708</v>
      </c>
      <c r="E7" s="394" t="n"/>
      <c r="F7" s="404" t="n"/>
      <c r="G7" s="404" t="n"/>
      <c r="H7" s="354" t="n">
        <v>51.9951571093015</v>
      </c>
      <c r="I7" s="354" t="n">
        <v>2.02694688215507</v>
      </c>
      <c r="J7" s="354" t="n">
        <v>173.10778752862</v>
      </c>
      <c r="K7" s="354" t="n">
        <v>2.02694688215507</v>
      </c>
      <c r="L7" s="404" t="n"/>
      <c r="M7" s="394" t="n"/>
    </row>
    <row r="8" ht="15" customHeight="1" s="307">
      <c r="A8" s="475" t="inlineStr">
        <is>
          <t>Year 5</t>
        </is>
      </c>
      <c r="B8" s="476" t="n">
        <v>45.918788392738</v>
      </c>
      <c r="C8" s="476" t="n">
        <v>217.6898587558</v>
      </c>
      <c r="D8" s="477" t="n">
        <v>1.45126572503867</v>
      </c>
      <c r="E8" s="475" t="n"/>
      <c r="F8" s="478" t="n"/>
      <c r="G8" s="478" t="n"/>
      <c r="H8" s="476" t="n">
        <v>39.7350307141904</v>
      </c>
      <c r="I8" s="476" t="n">
        <v>6.18375767854761</v>
      </c>
      <c r="J8" s="476" t="n">
        <v>212.842818242811</v>
      </c>
      <c r="K8" s="476" t="n">
        <v>8.210704560702681</v>
      </c>
      <c r="L8" s="478" t="n"/>
      <c r="M8" s="475" t="n"/>
    </row>
    <row r="9" ht="15" customHeight="1" s="307">
      <c r="A9" s="394" t="inlineStr">
        <is>
          <t>Year 6</t>
        </is>
      </c>
      <c r="B9" s="354" t="n">
        <v>37.8788962491578</v>
      </c>
      <c r="C9" s="354" t="n">
        <v>255.568755004958</v>
      </c>
      <c r="D9" s="441" t="n">
        <v>1.70379170003305</v>
      </c>
      <c r="E9" s="394" t="n"/>
      <c r="F9" s="404" t="n"/>
      <c r="G9" s="404" t="n"/>
      <c r="H9" s="354" t="n">
        <v>33.3031169993262</v>
      </c>
      <c r="I9" s="354" t="n">
        <v>4.57577924983155</v>
      </c>
      <c r="J9" s="354" t="n">
        <v>246.145935242137</v>
      </c>
      <c r="K9" s="354" t="n">
        <v>12.7864838105342</v>
      </c>
      <c r="L9" s="404" t="n"/>
      <c r="M9" s="394" t="n"/>
    </row>
    <row r="10" ht="15" customHeight="1" s="307">
      <c r="A10" s="475" t="inlineStr">
        <is>
          <t>Year 7</t>
        </is>
      </c>
      <c r="B10" s="476" t="n">
        <v>30.4786243117841</v>
      </c>
      <c r="C10" s="476" t="n">
        <v>286.047379316742</v>
      </c>
      <c r="D10" s="477" t="n">
        <v>1.90698252877828</v>
      </c>
      <c r="E10" s="475" t="n"/>
      <c r="F10" s="478" t="n"/>
      <c r="G10" s="478" t="n"/>
      <c r="H10" s="476" t="n">
        <v>27.3828994494273</v>
      </c>
      <c r="I10" s="476" t="n">
        <v>3.09572486235682</v>
      </c>
      <c r="J10" s="476" t="n">
        <v>273.528834691564</v>
      </c>
      <c r="K10" s="476" t="n">
        <v>15.8822086728911</v>
      </c>
      <c r="L10" s="478" t="n"/>
      <c r="M10" s="475" t="n"/>
    </row>
    <row r="11" ht="15" customHeight="1" s="307">
      <c r="A11" s="394" t="inlineStr">
        <is>
          <t>Year 8</t>
        </is>
      </c>
      <c r="B11" s="354" t="n">
        <v>24.1883931650165</v>
      </c>
      <c r="C11" s="354" t="n">
        <v>310.235772481758</v>
      </c>
      <c r="D11" s="441" t="n">
        <v>2.06823848321172</v>
      </c>
      <c r="E11" s="394" t="n"/>
      <c r="F11" s="404" t="n"/>
      <c r="G11" s="404" t="n"/>
      <c r="H11" s="354" t="n">
        <v>22.3507145320132</v>
      </c>
      <c r="I11" s="354" t="n">
        <v>1.8376786330033</v>
      </c>
      <c r="J11" s="354" t="n">
        <v>295.879549223577</v>
      </c>
      <c r="K11" s="354" t="n">
        <v>17.7198873058944</v>
      </c>
      <c r="L11" s="404" t="n"/>
      <c r="M11" s="394" t="n"/>
    </row>
    <row r="12" ht="15" customHeight="1" s="307">
      <c r="A12" s="475" t="inlineStr">
        <is>
          <t>Year 9</t>
        </is>
      </c>
      <c r="B12" s="476" t="n">
        <v>18.841696690264</v>
      </c>
      <c r="C12" s="476" t="n">
        <v>329.077469172022</v>
      </c>
      <c r="D12" s="477" t="n">
        <v>2.19384979448015</v>
      </c>
      <c r="E12" s="475" t="n"/>
      <c r="F12" s="478" t="n"/>
      <c r="G12" s="478" t="n"/>
      <c r="H12" s="476" t="n">
        <v>18.0733573522112</v>
      </c>
      <c r="I12" s="476" t="n">
        <v>0.768339338052802</v>
      </c>
      <c r="J12" s="476" t="n">
        <v>313.952906575789</v>
      </c>
      <c r="K12" s="476" t="n">
        <v>18.4882266439472</v>
      </c>
      <c r="L12" s="478" t="n"/>
      <c r="M12" s="475" t="n"/>
    </row>
    <row r="13" ht="15" customHeight="1" s="307">
      <c r="A13" s="394" t="inlineStr">
        <is>
          <t>Year 10</t>
        </is>
      </c>
      <c r="B13" s="354" t="n">
        <v>14.2970046867244</v>
      </c>
      <c r="C13" s="354" t="n">
        <v>343.374473858747</v>
      </c>
      <c r="D13" s="441" t="n">
        <v>2.28916315905831</v>
      </c>
      <c r="E13" s="394" t="n"/>
      <c r="F13" s="404" t="n"/>
      <c r="G13" s="404" t="n"/>
      <c r="H13" s="354" t="n">
        <v>14.2970046867244</v>
      </c>
      <c r="I13" s="354" t="n">
        <v>0</v>
      </c>
      <c r="J13" s="354" t="n">
        <v>328.249911262513</v>
      </c>
      <c r="K13" s="354" t="n">
        <v>18.4882266439472</v>
      </c>
      <c r="L13" s="404" t="n"/>
      <c r="M13" s="394" t="n"/>
    </row>
    <row r="14" ht="15" customHeight="1" s="307">
      <c r="A14" s="475" t="inlineStr">
        <is>
          <t>Year 11</t>
        </is>
      </c>
      <c r="B14" s="476" t="n">
        <v>10.4340164837158</v>
      </c>
      <c r="C14" s="476" t="n">
        <v>353.808490342462</v>
      </c>
      <c r="D14" s="477" t="n">
        <v>2.35872326894975</v>
      </c>
      <c r="E14" s="475" t="n"/>
      <c r="F14" s="478" t="n"/>
      <c r="G14" s="478" t="n"/>
      <c r="H14" s="476" t="n">
        <v>10.4340164837158</v>
      </c>
      <c r="I14" s="476" t="n">
        <v>0</v>
      </c>
      <c r="J14" s="476" t="n">
        <v>338.683927746229</v>
      </c>
      <c r="K14" s="476" t="n">
        <v>18.4882266439472</v>
      </c>
      <c r="L14" s="478" t="n"/>
      <c r="M14" s="475" t="n"/>
    </row>
    <row r="15" ht="15" customHeight="1" s="307">
      <c r="A15" s="394" t="inlineStr">
        <is>
          <t>Year 12</t>
        </is>
      </c>
      <c r="B15" s="354" t="n">
        <v>7.15047651115839</v>
      </c>
      <c r="C15" s="354" t="n">
        <v>360.958966853621</v>
      </c>
      <c r="D15" s="441" t="n">
        <v>2.40639311235747</v>
      </c>
      <c r="E15" s="394" t="n"/>
      <c r="F15" s="404" t="n"/>
      <c r="G15" s="404" t="n"/>
      <c r="H15" s="354" t="n">
        <v>7.15047651115839</v>
      </c>
      <c r="I15" s="354" t="n">
        <v>0</v>
      </c>
      <c r="J15" s="354" t="n">
        <v>345.834404257387</v>
      </c>
      <c r="K15" s="354" t="n">
        <v>18.4882266439472</v>
      </c>
      <c r="L15" s="404" t="n"/>
      <c r="M15" s="394" t="n"/>
    </row>
    <row r="16" ht="15" customHeight="1" s="307">
      <c r="A16" s="475" t="inlineStr">
        <is>
          <t>Year 13</t>
        </is>
      </c>
      <c r="B16" s="476" t="n">
        <v>4.35946753448463</v>
      </c>
      <c r="C16" s="476" t="n">
        <v>365.318434388105</v>
      </c>
      <c r="D16" s="477" t="n">
        <v>2.43545622925404</v>
      </c>
      <c r="E16" s="475" t="n"/>
      <c r="F16" s="478" t="n"/>
      <c r="G16" s="478" t="n"/>
      <c r="H16" s="476" t="n">
        <v>4.35946753448463</v>
      </c>
      <c r="I16" s="476" t="n">
        <v>0</v>
      </c>
      <c r="J16" s="476" t="n">
        <v>350.193871791872</v>
      </c>
      <c r="K16" s="476" t="n">
        <v>18.4882266439472</v>
      </c>
      <c r="L16" s="478" t="n"/>
      <c r="M16" s="475" t="n"/>
    </row>
    <row r="17" ht="15" customHeight="1" s="307">
      <c r="A17" s="394" t="inlineStr">
        <is>
          <t>Year 14</t>
        </is>
      </c>
      <c r="B17" s="354" t="n">
        <v>1.98710990431193</v>
      </c>
      <c r="C17" s="354" t="n">
        <v>367.305544292417</v>
      </c>
      <c r="D17" s="441" t="n">
        <v>2.44870362861612</v>
      </c>
      <c r="E17" s="394" t="n"/>
      <c r="F17" s="404" t="n"/>
      <c r="G17" s="404" t="n"/>
      <c r="H17" s="354" t="n">
        <v>1.98710990431193</v>
      </c>
      <c r="I17" s="354" t="n">
        <v>0</v>
      </c>
      <c r="J17" s="354" t="n">
        <v>352.180981696184</v>
      </c>
      <c r="K17" s="354" t="n">
        <v>18.4882266439472</v>
      </c>
      <c r="L17" s="404" t="n"/>
      <c r="M17" s="394" t="n"/>
    </row>
    <row r="18" ht="15" customHeight="1" s="307">
      <c r="A18" s="475" t="inlineStr">
        <is>
          <t>Year 15</t>
        </is>
      </c>
      <c r="B18" s="476" t="n">
        <v>-0.0293940813348563</v>
      </c>
      <c r="C18" s="476" t="n">
        <v>367.276150211082</v>
      </c>
      <c r="D18" s="477" t="n">
        <v>2.44850766807388</v>
      </c>
      <c r="E18" s="475" t="n"/>
      <c r="F18" s="478" t="n"/>
      <c r="G18" s="478" t="n"/>
      <c r="H18" s="476" t="n">
        <v>0</v>
      </c>
      <c r="I18" s="476" t="n">
        <v>0</v>
      </c>
      <c r="J18" s="476" t="n">
        <v>352.180981696184</v>
      </c>
      <c r="K18" s="476" t="n">
        <v>18.4882266439472</v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 t="n">
        <v>2.44850766807388</v>
      </c>
      <c r="E19" s="482" t="n"/>
      <c r="F19" s="483" t="n"/>
      <c r="G19" s="483" t="n"/>
      <c r="H19" s="484" t="n">
        <v>352.180981696184</v>
      </c>
      <c r="I19" s="484" t="n">
        <v>18.4882266439472</v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50% RECYCLE (placeholder)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 t="n">
        <v>-1.68183202385679</v>
      </c>
      <c r="C4" s="476" t="n">
        <v>-1.68183202385679</v>
      </c>
      <c r="D4" s="477" t="n">
        <v>-0.0112122134923786</v>
      </c>
      <c r="E4" s="475" t="n"/>
      <c r="F4" s="478" t="n"/>
      <c r="G4" s="478" t="n"/>
      <c r="H4" s="476" t="n">
        <v>0</v>
      </c>
      <c r="I4" s="476" t="n">
        <v>0</v>
      </c>
      <c r="J4" s="476" t="n">
        <v>0</v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 t="n">
        <v>28.0862069793909</v>
      </c>
      <c r="C5" s="354" t="n">
        <v>26.4043749555341</v>
      </c>
      <c r="D5" s="441" t="n">
        <v>0.176029166370227</v>
      </c>
      <c r="E5" s="394" t="n"/>
      <c r="F5" s="404" t="n"/>
      <c r="G5" s="404" t="n"/>
      <c r="H5" s="354" t="n">
        <v>28.0862069793909</v>
      </c>
      <c r="I5" s="354" t="n">
        <v>0</v>
      </c>
      <c r="J5" s="354" t="n">
        <v>28.0862069793909</v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 t="n">
        <v>40.82770587335</v>
      </c>
      <c r="C6" s="476" t="n">
        <v>67.23208082888409</v>
      </c>
      <c r="D6" s="477" t="n">
        <v>0.448213872192561</v>
      </c>
      <c r="E6" s="475" t="n"/>
      <c r="F6" s="478" t="n"/>
      <c r="G6" s="478" t="n"/>
      <c r="H6" s="476" t="n">
        <v>40.82770587335</v>
      </c>
      <c r="I6" s="476" t="n">
        <v>0</v>
      </c>
      <c r="J6" s="476" t="n">
        <v>68.91391285274091</v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 t="n">
        <v>92.13925711146371</v>
      </c>
      <c r="C7" s="354" t="n">
        <v>159.371337940348</v>
      </c>
      <c r="D7" s="441" t="n">
        <v>1.06247558626899</v>
      </c>
      <c r="E7" s="394" t="n"/>
      <c r="F7" s="404" t="n"/>
      <c r="G7" s="404" t="n"/>
      <c r="H7" s="354" t="n">
        <v>92.13925711146371</v>
      </c>
      <c r="I7" s="354" t="n">
        <v>0</v>
      </c>
      <c r="J7" s="354" t="n">
        <v>161.053169964205</v>
      </c>
      <c r="K7" s="354" t="n">
        <v>0</v>
      </c>
      <c r="L7" s="404" t="n"/>
      <c r="M7" s="394" t="n"/>
    </row>
    <row r="8" ht="15" customHeight="1" s="307">
      <c r="A8" s="475" t="inlineStr">
        <is>
          <t>Year 5</t>
        </is>
      </c>
      <c r="B8" s="476" t="n">
        <v>78.3183685447442</v>
      </c>
      <c r="C8" s="476" t="n">
        <v>237.689706485092</v>
      </c>
      <c r="D8" s="477" t="n">
        <v>1.58459804323395</v>
      </c>
      <c r="E8" s="475" t="n"/>
      <c r="F8" s="478" t="n"/>
      <c r="G8" s="478" t="n"/>
      <c r="H8" s="476" t="n">
        <v>65.6546948357953</v>
      </c>
      <c r="I8" s="476" t="n">
        <v>12.6636737089488</v>
      </c>
      <c r="J8" s="476" t="n">
        <v>226.7078648</v>
      </c>
      <c r="K8" s="476" t="n">
        <v>12.6636737089488</v>
      </c>
      <c r="L8" s="478" t="n"/>
      <c r="M8" s="475" t="n"/>
    </row>
    <row r="9" ht="15" customHeight="1" s="307">
      <c r="A9" s="394" t="inlineStr">
        <is>
          <t>Year 6</t>
        </is>
      </c>
      <c r="B9" s="354" t="n">
        <v>66.5706132630325</v>
      </c>
      <c r="C9" s="354" t="n">
        <v>304.260319748125</v>
      </c>
      <c r="D9" s="441" t="n">
        <v>2.02840213165416</v>
      </c>
      <c r="E9" s="394" t="n"/>
      <c r="F9" s="404" t="n"/>
      <c r="G9" s="404" t="n"/>
      <c r="H9" s="354" t="n">
        <v>56.256490610426</v>
      </c>
      <c r="I9" s="354" t="n">
        <v>10.3141226526065</v>
      </c>
      <c r="J9" s="354" t="n">
        <v>282.964355410426</v>
      </c>
      <c r="K9" s="354" t="n">
        <v>22.9777963615553</v>
      </c>
      <c r="L9" s="404" t="n"/>
      <c r="M9" s="394" t="n"/>
    </row>
    <row r="10" ht="15" customHeight="1" s="307">
      <c r="A10" s="475" t="inlineStr">
        <is>
          <t>Year 7</t>
        </is>
      </c>
      <c r="B10" s="476" t="n">
        <v>56.5850212735777</v>
      </c>
      <c r="C10" s="476" t="n">
        <v>360.845341021702</v>
      </c>
      <c r="D10" s="477" t="n">
        <v>2.40563560681135</v>
      </c>
      <c r="E10" s="475" t="n"/>
      <c r="F10" s="478" t="n"/>
      <c r="G10" s="478" t="n"/>
      <c r="H10" s="476" t="n">
        <v>48.2680170188621</v>
      </c>
      <c r="I10" s="476" t="n">
        <v>8.317004254715529</v>
      </c>
      <c r="J10" s="476" t="n">
        <v>331.232372429288</v>
      </c>
      <c r="K10" s="476" t="n">
        <v>31.2948006162709</v>
      </c>
      <c r="L10" s="478" t="n"/>
      <c r="M10" s="475" t="n"/>
    </row>
    <row r="11" ht="15" customHeight="1" s="307">
      <c r="A11" s="394" t="inlineStr">
        <is>
          <t>Year 8</t>
        </is>
      </c>
      <c r="B11" s="354" t="n">
        <v>48.097268082541</v>
      </c>
      <c r="C11" s="354" t="n">
        <v>408.942609104243</v>
      </c>
      <c r="D11" s="441" t="n">
        <v>2.72628406069496</v>
      </c>
      <c r="E11" s="394" t="n"/>
      <c r="F11" s="404" t="n"/>
      <c r="G11" s="404" t="n"/>
      <c r="H11" s="354" t="n">
        <v>41.4778144660328</v>
      </c>
      <c r="I11" s="354" t="n">
        <v>6.6194536165082</v>
      </c>
      <c r="J11" s="354" t="n">
        <v>372.710186895321</v>
      </c>
      <c r="K11" s="354" t="n">
        <v>37.9142542327791</v>
      </c>
      <c r="L11" s="404" t="n"/>
      <c r="M11" s="394" t="n"/>
    </row>
    <row r="12" ht="15" customHeight="1" s="307">
      <c r="A12" s="475" t="inlineStr">
        <is>
          <t>Year 9</t>
        </is>
      </c>
      <c r="B12" s="476" t="n">
        <v>40.2194548278821</v>
      </c>
      <c r="C12" s="476" t="n">
        <v>449.162063932125</v>
      </c>
      <c r="D12" s="477" t="n">
        <v>2.9944137595475</v>
      </c>
      <c r="E12" s="475" t="n"/>
      <c r="F12" s="478" t="n"/>
      <c r="G12" s="478" t="n"/>
      <c r="H12" s="476" t="n">
        <v>35.1755638623056</v>
      </c>
      <c r="I12" s="476" t="n">
        <v>5.04389096557641</v>
      </c>
      <c r="J12" s="476" t="n">
        <v>407.885750757627</v>
      </c>
      <c r="K12" s="476" t="n">
        <v>42.9581451983555</v>
      </c>
      <c r="L12" s="478" t="n"/>
      <c r="M12" s="475" t="n"/>
    </row>
    <row r="13" ht="15" customHeight="1" s="307">
      <c r="A13" s="394" t="inlineStr">
        <is>
          <t>Year 10</t>
        </is>
      </c>
      <c r="B13" s="354" t="n">
        <v>32.4680991036997</v>
      </c>
      <c r="C13" s="354" t="n">
        <v>481.630163035825</v>
      </c>
      <c r="D13" s="441" t="n">
        <v>3.21086775357217</v>
      </c>
      <c r="E13" s="394" t="n"/>
      <c r="F13" s="404" t="n"/>
      <c r="G13" s="404" t="n"/>
      <c r="H13" s="354" t="n">
        <v>28.9744792829598</v>
      </c>
      <c r="I13" s="354" t="n">
        <v>3.49361982073995</v>
      </c>
      <c r="J13" s="354" t="n">
        <v>436.860230040586</v>
      </c>
      <c r="K13" s="354" t="n">
        <v>46.4517650190954</v>
      </c>
      <c r="L13" s="404" t="n"/>
      <c r="M13" s="394" t="n"/>
    </row>
    <row r="14" ht="15" customHeight="1" s="307">
      <c r="A14" s="475" t="inlineStr">
        <is>
          <t>Year 11</t>
        </is>
      </c>
      <c r="B14" s="476" t="n">
        <v>25.8794467381448</v>
      </c>
      <c r="C14" s="476" t="n">
        <v>507.50960977397</v>
      </c>
      <c r="D14" s="477" t="n">
        <v>3.38339739849313</v>
      </c>
      <c r="E14" s="475" t="n"/>
      <c r="F14" s="478" t="n"/>
      <c r="G14" s="478" t="n"/>
      <c r="H14" s="476" t="n">
        <v>23.7035573905158</v>
      </c>
      <c r="I14" s="476" t="n">
        <v>2.17588934762896</v>
      </c>
      <c r="J14" s="476" t="n">
        <v>460.563787431102</v>
      </c>
      <c r="K14" s="476" t="n">
        <v>48.6276543667244</v>
      </c>
      <c r="L14" s="478" t="n"/>
      <c r="M14" s="475" t="n"/>
    </row>
    <row r="15" ht="15" customHeight="1" s="307">
      <c r="A15" s="394" t="inlineStr">
        <is>
          <t>Year 12</t>
        </is>
      </c>
      <c r="B15" s="354" t="n">
        <v>20.2790922274231</v>
      </c>
      <c r="C15" s="354" t="n">
        <v>527.7887020013929</v>
      </c>
      <c r="D15" s="441" t="n">
        <v>3.51859134667595</v>
      </c>
      <c r="E15" s="394" t="n"/>
      <c r="F15" s="404" t="n"/>
      <c r="G15" s="404" t="n"/>
      <c r="H15" s="354" t="n">
        <v>19.2232737819385</v>
      </c>
      <c r="I15" s="354" t="n">
        <v>1.05581844548461</v>
      </c>
      <c r="J15" s="354" t="n">
        <v>479.787061213041</v>
      </c>
      <c r="K15" s="354" t="n">
        <v>49.683472812209</v>
      </c>
      <c r="L15" s="404" t="n"/>
      <c r="M15" s="394" t="n"/>
    </row>
    <row r="16" ht="15" customHeight="1" s="307">
      <c r="A16" s="475" t="inlineStr">
        <is>
          <t>Year 13</t>
        </is>
      </c>
      <c r="B16" s="476" t="n">
        <v>15.5187908933096</v>
      </c>
      <c r="C16" s="476" t="n">
        <v>543.307492894702</v>
      </c>
      <c r="D16" s="477" t="n">
        <v>3.62204995263135</v>
      </c>
      <c r="E16" s="475" t="n"/>
      <c r="F16" s="478" t="n"/>
      <c r="G16" s="478" t="n"/>
      <c r="H16" s="476" t="n">
        <v>15.4150327146477</v>
      </c>
      <c r="I16" s="476" t="n">
        <v>0.103758178661921</v>
      </c>
      <c r="J16" s="476" t="n">
        <v>495.202093927688</v>
      </c>
      <c r="K16" s="476" t="n">
        <v>49.7872309908709</v>
      </c>
      <c r="L16" s="478" t="n"/>
      <c r="M16" s="475" t="n"/>
    </row>
    <row r="17" ht="15" customHeight="1" s="307">
      <c r="A17" s="394" t="inlineStr">
        <is>
          <t>Year 14</t>
        </is>
      </c>
      <c r="B17" s="354" t="n">
        <v>11.4725347593132</v>
      </c>
      <c r="C17" s="354" t="n">
        <v>554.780027654016</v>
      </c>
      <c r="D17" s="441" t="n">
        <v>3.69853351769344</v>
      </c>
      <c r="E17" s="394" t="n"/>
      <c r="F17" s="404" t="n"/>
      <c r="G17" s="404" t="n"/>
      <c r="H17" s="354" t="n">
        <v>11.4725347593132</v>
      </c>
      <c r="I17" s="354" t="n">
        <v>0</v>
      </c>
      <c r="J17" s="354" t="n">
        <v>506.674628687002</v>
      </c>
      <c r="K17" s="354" t="n">
        <v>49.7872309908709</v>
      </c>
      <c r="L17" s="404" t="n"/>
      <c r="M17" s="394" t="n"/>
    </row>
    <row r="18" ht="15" customHeight="1" s="307">
      <c r="A18" s="475" t="inlineStr">
        <is>
          <t>Year 15</t>
        </is>
      </c>
      <c r="B18" s="476" t="n">
        <v>8.03321704541619</v>
      </c>
      <c r="C18" s="476" t="n">
        <v>562.8132446994319</v>
      </c>
      <c r="D18" s="477" t="n">
        <v>3.75208829799621</v>
      </c>
      <c r="E18" s="475" t="n"/>
      <c r="F18" s="478" t="n"/>
      <c r="G18" s="478" t="n"/>
      <c r="H18" s="476" t="n">
        <v>8.03321704541619</v>
      </c>
      <c r="I18" s="476" t="n">
        <v>0</v>
      </c>
      <c r="J18" s="476" t="n">
        <v>514.707845732418</v>
      </c>
      <c r="K18" s="476" t="n">
        <v>49.7872309908709</v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 t="n">
        <v>3.75208829799621</v>
      </c>
      <c r="E19" s="482" t="n"/>
      <c r="F19" s="483" t="n"/>
      <c r="G19" s="483" t="n"/>
      <c r="H19" s="484" t="n">
        <v>514.707845732418</v>
      </c>
      <c r="I19" s="484" t="n">
        <v>49.7872309908709</v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06" min="1" max="1"/>
    <col width="20" customWidth="1" style="306" min="2" max="6"/>
  </cols>
  <sheetData>
    <row r="1" ht="25.5" customHeight="1" s="307">
      <c r="A1" s="385" t="inlineStr">
        <is>
          <t>LP RETURNS COMPARISON</t>
        </is>
      </c>
      <c r="B1" s="309" t="n"/>
      <c r="C1" s="309" t="n"/>
      <c r="D1" s="309" t="n"/>
    </row>
    <row r="2" ht="15" customHeight="1" s="307">
      <c r="A2" s="647" t="inlineStr">
        <is>
          <t>LIVE from _Engine_NR / _Engine_R50 / _Engine_R100. Change Tab 1 inputs -&gt; recalcs.</t>
        </is>
      </c>
    </row>
    <row r="3" ht="15" customHeight="1" s="307">
      <c r="A3" s="322" t="n"/>
      <c r="B3" s="502" t="inlineStr">
        <is>
          <t>No Recycle
(5 deals)</t>
        </is>
      </c>
      <c r="C3" s="502" t="inlineStr">
        <is>
          <t>50% Recycle
(8 deals)</t>
        </is>
      </c>
      <c r="D3" s="502" t="inlineStr">
        <is>
          <t>100% Recycle
(10 deals)</t>
        </is>
      </c>
      <c r="E3" s="387" t="n"/>
      <c r="F3" s="387" t="n"/>
    </row>
    <row r="4" ht="19.5" customHeight="1" s="307">
      <c r="A4" s="446" t="inlineStr">
        <is>
          <t>10Y DPI</t>
        </is>
      </c>
      <c r="B4" s="503">
        <f>'_Engine_NR'!B254</f>
        <v/>
      </c>
      <c r="C4" s="503">
        <f>'_Engine_R50'!B254</f>
        <v/>
      </c>
      <c r="D4" s="503">
        <f>'_Engine_R100'!B254</f>
        <v/>
      </c>
      <c r="E4" s="504" t="n"/>
      <c r="F4" s="504" t="n"/>
    </row>
    <row r="5" ht="15" customHeight="1" s="307">
      <c r="A5" s="322" t="inlineStr">
        <is>
          <t>15Y DPI</t>
        </is>
      </c>
      <c r="B5" s="503">
        <f>'_Engine_NR'!B252</f>
        <v/>
      </c>
      <c r="C5" s="503">
        <f>'_Engine_R50'!B252</f>
        <v/>
      </c>
      <c r="D5" s="503">
        <f>'_Engine_R100'!B252</f>
        <v/>
      </c>
      <c r="E5" s="358" t="n"/>
      <c r="F5" s="358" t="n"/>
    </row>
    <row r="6" ht="15" customHeight="1" s="307">
      <c r="A6" s="505" t="inlineStr">
        <is>
          <t>10Y IRR (Staged)</t>
        </is>
      </c>
      <c r="B6" s="506">
        <f>'_Engine_NR'!B277</f>
        <v/>
      </c>
      <c r="C6" s="506">
        <f>'_Engine_R50'!B277</f>
        <v/>
      </c>
      <c r="D6" s="506">
        <f>'_Engine_R100'!B277</f>
        <v/>
      </c>
      <c r="E6" s="354" t="n"/>
      <c r="F6" s="354" t="n"/>
    </row>
    <row r="7" ht="15" customHeight="1" s="307">
      <c r="A7" s="507" t="inlineStr">
        <is>
          <t>15Y IRR (Staged)</t>
        </is>
      </c>
      <c r="B7" s="506">
        <f>'_Engine_NR'!B276</f>
        <v/>
      </c>
      <c r="C7" s="506">
        <f>'_Engine_R50'!B276</f>
        <v/>
      </c>
      <c r="D7" s="506">
        <f>'_Engine_R100'!B276</f>
        <v/>
      </c>
      <c r="E7" s="354" t="n"/>
      <c r="F7" s="354" t="n"/>
    </row>
    <row r="8" ht="15" customHeight="1" s="307">
      <c r="A8" s="507" t="inlineStr">
        <is>
          <t>Payback (months)</t>
        </is>
      </c>
      <c r="B8" s="508" t="inlineStr"/>
      <c r="C8" s="508" t="inlineStr"/>
      <c r="D8" s="508" t="inlineStr"/>
      <c r="E8" s="354" t="n"/>
      <c r="F8" s="354" t="n"/>
    </row>
    <row r="9" ht="15" customHeight="1" s="307">
      <c r="A9" s="509" t="inlineStr">
        <is>
          <t>15Y LP Cash ($mm)</t>
        </is>
      </c>
      <c r="B9" s="354">
        <f>'_Engine_NR'!B250</f>
        <v/>
      </c>
      <c r="C9" s="354">
        <f>'_Engine_R50'!B250</f>
        <v/>
      </c>
      <c r="D9" s="354">
        <f>'_Engine_R100'!B250</f>
        <v/>
      </c>
      <c r="E9" s="354" t="n"/>
      <c r="F9" s="354" t="n"/>
    </row>
    <row r="10" ht="15" customHeight="1" s="307">
      <c r="A10" s="509" t="inlineStr">
        <is>
          <t>15Y GP Carry ($mm)</t>
        </is>
      </c>
      <c r="B10" s="354">
        <f>'_Engine_NR'!B251</f>
        <v/>
      </c>
      <c r="C10" s="354">
        <f>'_Engine_R50'!B251</f>
        <v/>
      </c>
      <c r="D10" s="354">
        <f>'_Engine_R100'!B251</f>
        <v/>
      </c>
      <c r="E10" s="441" t="n"/>
    </row>
    <row r="11" ht="15" customHeight="1" s="307">
      <c r="A11" s="509" t="inlineStr">
        <is>
          <t>Capital Deployed ($mm)</t>
        </is>
      </c>
      <c r="B11" s="354">
        <f>5*24*1.24-5*24*0.1154*0.5</f>
        <v/>
      </c>
      <c r="C11" s="354">
        <f>8*24*1.24-8*24*0.1154*0.5</f>
        <v/>
      </c>
      <c r="D11" s="354">
        <f>9*24*1.24-9*24*0.1154*0.5</f>
        <v/>
      </c>
      <c r="E11" s="510" t="n"/>
    </row>
    <row r="12" ht="15" customHeight="1" s="307">
      <c r="A12" s="509" t="inlineStr">
        <is>
          <t>Fund Size ($mm)</t>
        </is>
      </c>
      <c r="B12" s="354">
        <f>'1. Press Assumptions'!$B$5/1000000</f>
        <v/>
      </c>
      <c r="C12" s="354">
        <f>'1. Press Assumptions'!$B$5/1000000</f>
        <v/>
      </c>
      <c r="D12" s="354">
        <f>'1. Press Assumptions'!$B$5/1000000</f>
        <v/>
      </c>
      <c r="E12" s="511" t="n"/>
    </row>
    <row r="13" ht="15" customHeight="1" s="307">
      <c r="A13" s="512" t="n"/>
      <c r="B13" s="513" t="n"/>
      <c r="C13" s="513" t="n"/>
      <c r="D13" s="513" t="n"/>
      <c r="E13" s="513" t="n"/>
    </row>
    <row r="14" ht="15" customHeight="1" s="307"/>
    <row r="16" ht="19.5" customHeight="1" s="307">
      <c r="A16" s="514" t="inlineStr">
        <is>
          <t>NDR SENSITIVITY  |  Standard Waterfall, No Recycling</t>
        </is>
      </c>
    </row>
    <row r="18" ht="15" customHeight="1" s="307">
      <c r="A18" s="515" t="inlineStr">
        <is>
          <t>Wtd Avg NDR</t>
        </is>
      </c>
      <c r="B18" s="516" t="inlineStr">
        <is>
          <t>LP IRR</t>
        </is>
      </c>
      <c r="C18" s="516" t="inlineStr">
        <is>
          <t>LP MOIC</t>
        </is>
      </c>
      <c r="D18" s="516" t="inlineStr">
        <is>
          <t>LP Cash ($mm)</t>
        </is>
      </c>
      <c r="E18" s="516" t="inlineStr">
        <is>
          <t>GP Carry ($mm)</t>
        </is>
      </c>
    </row>
    <row r="19" ht="15" customHeight="1" s="307">
      <c r="A19" s="517" t="n">
        <v>0.89307520476545</v>
      </c>
      <c r="B19" s="517" t="n">
        <v>0.295194003498182</v>
      </c>
      <c r="C19" s="518" t="n">
        <v>3.06040585133397</v>
      </c>
      <c r="D19" s="519" t="n">
        <v>585.945304296402</v>
      </c>
      <c r="E19" s="519" t="n">
        <v>98.62132607410049</v>
      </c>
    </row>
    <row r="20" ht="15" customHeight="1" s="307">
      <c r="A20" s="520" t="n">
        <v>0.86807520476545</v>
      </c>
      <c r="B20" s="520" t="n">
        <v>0.264117780840024</v>
      </c>
      <c r="C20" s="521" t="n">
        <v>2.62533728527292</v>
      </c>
      <c r="D20" s="522" t="n">
        <v>502.647076638353</v>
      </c>
      <c r="E20" s="522" t="n">
        <v>77.79676915958829</v>
      </c>
    </row>
    <row r="21" ht="15" customHeight="1" s="307">
      <c r="A21" s="523" t="n">
        <v>0.8430752047654499</v>
      </c>
      <c r="B21" s="523" t="n">
        <v>0.230682387249544</v>
      </c>
      <c r="C21" s="524" t="n">
        <v>2.27059513620089</v>
      </c>
      <c r="D21" s="525" t="n">
        <v>434.728144777022</v>
      </c>
      <c r="E21" s="525" t="n">
        <v>60.8170361942556</v>
      </c>
    </row>
    <row r="22" ht="15" customHeight="1" s="307">
      <c r="A22" s="520" t="n">
        <v>0.818075204765451</v>
      </c>
      <c r="B22" s="520" t="n">
        <v>0.198960245819762</v>
      </c>
      <c r="C22" s="521" t="n">
        <v>1.9801324486744</v>
      </c>
      <c r="D22" s="522" t="n">
        <v>379.116158623201</v>
      </c>
      <c r="E22" s="522" t="n">
        <v>46.9140396558002</v>
      </c>
    </row>
    <row r="23" ht="15" customHeight="1" s="307">
      <c r="A23" s="523" t="n">
        <v>0.793075204765451</v>
      </c>
      <c r="B23" s="523" t="n">
        <v>0.166494488483295</v>
      </c>
      <c r="C23" s="524" t="n">
        <v>1.74113336568933</v>
      </c>
      <c r="D23" s="525" t="n">
        <v>333.357394194879</v>
      </c>
      <c r="E23" s="525" t="n">
        <v>35.4743485487197</v>
      </c>
    </row>
    <row r="24" ht="15" customHeight="1" s="307">
      <c r="A24" s="520" t="n">
        <v>0.76807520476545</v>
      </c>
      <c r="B24" s="520" t="n">
        <v>0.134924765443429</v>
      </c>
      <c r="C24" s="521" t="n">
        <v>1.54337878887888</v>
      </c>
      <c r="D24" s="522" t="n">
        <v>295.495302918751</v>
      </c>
      <c r="E24" s="522" t="n">
        <v>26.0088257296877</v>
      </c>
    </row>
    <row r="25" ht="15" customHeight="1" s="307">
      <c r="A25" s="523" t="n">
        <v>0.74307520476545</v>
      </c>
      <c r="B25" s="523" t="n">
        <v>0.104380024829879</v>
      </c>
      <c r="C25" s="524" t="n">
        <v>1.37873070454131</v>
      </c>
      <c r="D25" s="525" t="n">
        <v>263.971780691479</v>
      </c>
      <c r="E25" s="525" t="n">
        <v>18.1279451728698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L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4" customWidth="1" style="306" min="2" max="12"/>
  </cols>
  <sheetData>
    <row r="1" ht="25.5" customHeight="1" s="307">
      <c r="A1" s="526" t="inlineStr">
        <is>
          <t>PER-DEAL BREAKDOWN  |  60% MARGIN  |  No Recycling</t>
        </is>
      </c>
    </row>
    <row r="3" ht="19.5" customHeight="1" s="307">
      <c r="A3" s="514" t="inlineStr">
        <is>
          <t>ORIGINAL 5 DEALS</t>
        </is>
      </c>
    </row>
    <row r="5" ht="15" customHeight="1" s="307">
      <c r="A5" s="516" t="inlineStr">
        <is>
          <t>Deal</t>
        </is>
      </c>
      <c r="B5" s="516" t="inlineStr">
        <is>
          <t>Type</t>
        </is>
      </c>
      <c r="C5" s="516" t="inlineStr">
        <is>
          <t>Outcome</t>
        </is>
      </c>
      <c r="D5" s="516" t="inlineStr">
        <is>
          <t>ARR ($mm)</t>
        </is>
      </c>
      <c r="E5" s="516" t="inlineStr">
        <is>
          <t>Mult</t>
        </is>
      </c>
      <c r="F5" s="516" t="inlineStr">
        <is>
          <t>Purchase</t>
        </is>
      </c>
      <c r="G5" s="516" t="inlineStr">
        <is>
          <t>Real NDR</t>
        </is>
      </c>
      <c r="H5" s="516" t="inlineStr">
        <is>
          <t>15Y Rev</t>
        </is>
      </c>
      <c r="I5" s="516" t="inlineStr">
        <is>
          <t>15Y NOI</t>
        </is>
      </c>
      <c r="J5" s="516" t="inlineStr">
        <is>
          <t>15Y Cash</t>
        </is>
      </c>
      <c r="K5" s="516" t="inlineStr">
        <is>
          <t>MOIC</t>
        </is>
      </c>
      <c r="L5" s="516" t="inlineStr">
        <is>
          <t>IRR</t>
        </is>
      </c>
    </row>
    <row r="6" ht="15" customHeight="1" s="307">
      <c r="A6" s="527" t="inlineStr">
        <is>
          <t>#1</t>
        </is>
      </c>
      <c r="B6" s="527" t="inlineStr">
        <is>
          <t>Type B</t>
        </is>
      </c>
      <c r="C6" s="528" t="inlineStr">
        <is>
          <t>WINNER</t>
        </is>
      </c>
      <c r="D6" s="529" t="n">
        <v>25.6</v>
      </c>
      <c r="E6" s="530" t="n">
        <v>1.5</v>
      </c>
      <c r="F6" s="531" t="n">
        <v>38.4</v>
      </c>
      <c r="G6" s="517" t="n">
        <v>1</v>
      </c>
      <c r="H6" s="529" t="n">
        <v>377.6</v>
      </c>
      <c r="I6" s="529" t="n">
        <v>226.56</v>
      </c>
      <c r="J6" s="532" t="n">
        <v>223.60576</v>
      </c>
      <c r="K6" s="518" t="n">
        <v>5.82306666666667</v>
      </c>
      <c r="L6" s="533" t="n">
        <v>0.513285915600136</v>
      </c>
    </row>
    <row r="7" ht="15" customHeight="1" s="307">
      <c r="A7" s="534" t="inlineStr">
        <is>
          <t>#2</t>
        </is>
      </c>
      <c r="B7" s="534" t="inlineStr">
        <is>
          <t>Type A</t>
        </is>
      </c>
      <c r="C7" s="535" t="inlineStr">
        <is>
          <t>AVERAGE</t>
        </is>
      </c>
      <c r="D7" s="536" t="n">
        <v>27.2</v>
      </c>
      <c r="E7" s="524" t="n">
        <v>1.4</v>
      </c>
      <c r="F7" s="537" t="n">
        <v>38.08</v>
      </c>
      <c r="G7" s="538" t="n">
        <v>0.85</v>
      </c>
      <c r="H7" s="536" t="n">
        <v>152.535716188887</v>
      </c>
      <c r="I7" s="536" t="n">
        <v>91.5214297133319</v>
      </c>
      <c r="J7" s="539" t="n">
        <v>88.3825497133319</v>
      </c>
      <c r="K7" s="540" t="n">
        <v>2.3209703181022</v>
      </c>
      <c r="L7" s="541" t="n">
        <v>0.267954502487555</v>
      </c>
    </row>
    <row r="8" ht="15" customHeight="1" s="307">
      <c r="A8" s="527" t="inlineStr">
        <is>
          <t>#3</t>
        </is>
      </c>
      <c r="B8" s="527" t="inlineStr">
        <is>
          <t>Type A</t>
        </is>
      </c>
      <c r="C8" s="528" t="inlineStr">
        <is>
          <t>WINNER</t>
        </is>
      </c>
      <c r="D8" s="529" t="n">
        <v>30.1</v>
      </c>
      <c r="E8" s="530" t="n">
        <v>1.6</v>
      </c>
      <c r="F8" s="531" t="n">
        <v>48.16</v>
      </c>
      <c r="G8" s="517" t="n">
        <v>1</v>
      </c>
      <c r="H8" s="529" t="n">
        <v>428.925</v>
      </c>
      <c r="I8" s="529" t="n">
        <v>257.355</v>
      </c>
      <c r="J8" s="532" t="n">
        <v>253.88146</v>
      </c>
      <c r="K8" s="518" t="n">
        <v>5.271625</v>
      </c>
      <c r="L8" s="533" t="n">
        <v>0.379027688177303</v>
      </c>
    </row>
    <row r="9" ht="15" customHeight="1" s="307">
      <c r="A9" s="542" t="inlineStr">
        <is>
          <t>#4</t>
        </is>
      </c>
      <c r="B9" s="542" t="inlineStr">
        <is>
          <t>Type B</t>
        </is>
      </c>
      <c r="C9" s="543" t="inlineStr">
        <is>
          <t>LOSER</t>
        </is>
      </c>
      <c r="D9" s="544" t="n">
        <v>26</v>
      </c>
      <c r="E9" s="545" t="n">
        <v>1.3</v>
      </c>
      <c r="F9" s="546" t="n">
        <v>33.8</v>
      </c>
      <c r="G9" s="547" t="n">
        <v>0.8</v>
      </c>
      <c r="H9" s="544" t="n">
        <v>112.526643230303</v>
      </c>
      <c r="I9" s="544" t="n">
        <v>67.5159859381817</v>
      </c>
      <c r="J9" s="548" t="n">
        <v>64.5155859381817</v>
      </c>
      <c r="K9" s="549" t="n">
        <v>1.90874514610005</v>
      </c>
      <c r="L9" s="547" t="n">
        <v>0.188678668579087</v>
      </c>
    </row>
    <row r="10" ht="15" customHeight="1" s="307">
      <c r="A10" s="542" t="inlineStr">
        <is>
          <t>#5</t>
        </is>
      </c>
      <c r="B10" s="542" t="inlineStr">
        <is>
          <t>Type A</t>
        </is>
      </c>
      <c r="C10" s="543" t="inlineStr">
        <is>
          <t>LOSER</t>
        </is>
      </c>
      <c r="D10" s="544" t="n">
        <v>25.4</v>
      </c>
      <c r="E10" s="545" t="n">
        <v>1.3</v>
      </c>
      <c r="F10" s="546" t="n">
        <v>33.02</v>
      </c>
      <c r="G10" s="547" t="n">
        <v>0.8</v>
      </c>
      <c r="H10" s="544" t="n">
        <v>109.546891198315</v>
      </c>
      <c r="I10" s="544" t="n">
        <v>65.7281347189891</v>
      </c>
      <c r="J10" s="548" t="n">
        <v>62.7969747189891</v>
      </c>
      <c r="K10" s="549" t="n">
        <v>1.90178603025406</v>
      </c>
      <c r="L10" s="550" t="n">
        <v>0.259176189778373</v>
      </c>
    </row>
    <row r="13" ht="15" customHeight="1" s="307">
      <c r="A13" s="551" t="inlineStr">
        <is>
          <t>RECYCLED DEALS (if recycling ON)</t>
        </is>
      </c>
    </row>
    <row r="14" ht="15" customHeight="1" s="307">
      <c r="A14" s="306" t="inlineStr">
        <is>
          <t>Deal</t>
        </is>
      </c>
      <c r="B14" s="306" t="inlineStr">
        <is>
          <t>Type</t>
        </is>
      </c>
      <c r="C14" s="306" t="inlineStr">
        <is>
          <t>Outcome</t>
        </is>
      </c>
      <c r="D14" s="306" t="inlineStr">
        <is>
          <t>ARR ($mm)</t>
        </is>
      </c>
      <c r="E14" s="306" t="inlineStr">
        <is>
          <t>Mult</t>
        </is>
      </c>
      <c r="F14" s="306" t="inlineStr">
        <is>
          <t>Purchase</t>
        </is>
      </c>
      <c r="G14" s="306" t="inlineStr">
        <is>
          <t>Real NDR</t>
        </is>
      </c>
      <c r="H14" s="306" t="inlineStr">
        <is>
          <t>15Y Rev</t>
        </is>
      </c>
      <c r="I14" s="306" t="inlineStr">
        <is>
          <t>15Y NOI</t>
        </is>
      </c>
      <c r="J14" s="306" t="inlineStr">
        <is>
          <t>15Y Cash</t>
        </is>
      </c>
      <c r="K14" s="306" t="inlineStr">
        <is>
          <t>MOIC</t>
        </is>
      </c>
      <c r="L14" s="306" t="inlineStr">
        <is>
          <t>IRR</t>
        </is>
      </c>
    </row>
    <row r="15" ht="15" customHeight="1" s="307">
      <c r="A15" s="306" t="inlineStr">
        <is>
          <t>#6</t>
        </is>
      </c>
      <c r="B15" s="306" t="inlineStr">
        <is>
          <t>Type A</t>
        </is>
      </c>
      <c r="C15" s="306" t="inlineStr">
        <is>
          <t>WINNER</t>
        </is>
      </c>
      <c r="D15" s="306" t="n">
        <v>24</v>
      </c>
      <c r="E15" s="306" t="n">
        <v>1.25</v>
      </c>
      <c r="F15" s="306" t="n">
        <v>30</v>
      </c>
      <c r="G15" s="306" t="n">
        <v>1</v>
      </c>
      <c r="H15" s="306" t="n">
        <v>314</v>
      </c>
      <c r="I15" s="306" t="n">
        <v>188.4</v>
      </c>
      <c r="J15" s="306" t="n">
        <v>185.6304</v>
      </c>
      <c r="K15" s="306" t="n">
        <v>6.18768</v>
      </c>
      <c r="L15" s="306" t="n">
        <v>0.452576353455475</v>
      </c>
    </row>
    <row r="16" ht="15" customHeight="1" s="307">
      <c r="A16" s="306" t="inlineStr">
        <is>
          <t>#7</t>
        </is>
      </c>
      <c r="B16" s="306" t="inlineStr">
        <is>
          <t>Type A</t>
        </is>
      </c>
      <c r="C16" s="306" t="inlineStr">
        <is>
          <t>WINNER</t>
        </is>
      </c>
      <c r="D16" s="306" t="n">
        <v>24</v>
      </c>
      <c r="E16" s="306" t="n">
        <v>1.25</v>
      </c>
      <c r="F16" s="306" t="n">
        <v>30</v>
      </c>
      <c r="G16" s="306" t="n">
        <v>1</v>
      </c>
      <c r="H16" s="306" t="n">
        <v>306</v>
      </c>
      <c r="I16" s="306" t="n">
        <v>183.6</v>
      </c>
      <c r="J16" s="306" t="n">
        <v>180.8304</v>
      </c>
      <c r="K16" s="306" t="n">
        <v>6.02768</v>
      </c>
      <c r="L16" s="306" t="n">
        <v>0.653886319719487</v>
      </c>
    </row>
    <row r="17" ht="15" customHeight="1" s="307">
      <c r="A17" s="306" t="inlineStr">
        <is>
          <t>#8</t>
        </is>
      </c>
      <c r="B17" s="306" t="inlineStr">
        <is>
          <t>Type A</t>
        </is>
      </c>
      <c r="C17" s="306" t="inlineStr">
        <is>
          <t>AVERAGE</t>
        </is>
      </c>
      <c r="D17" s="306" t="n">
        <v>24</v>
      </c>
      <c r="E17" s="306" t="n">
        <v>1.25</v>
      </c>
      <c r="F17" s="306" t="n">
        <v>30</v>
      </c>
      <c r="G17" s="306" t="n">
        <v>0.85</v>
      </c>
      <c r="H17" s="306" t="n">
        <v>128.913893403861</v>
      </c>
      <c r="I17" s="306" t="n">
        <v>77.3483360423167</v>
      </c>
      <c r="J17" s="306" t="n">
        <v>74.57873604231671</v>
      </c>
      <c r="K17" s="306" t="n">
        <v>2.48595786807722</v>
      </c>
      <c r="L17" s="306" t="n">
        <v>0.311822867853159</v>
      </c>
    </row>
    <row r="18" ht="15" customHeight="1" s="307">
      <c r="A18" s="306" t="inlineStr">
        <is>
          <t>#9</t>
        </is>
      </c>
      <c r="B18" s="306" t="inlineStr">
        <is>
          <t>Type A</t>
        </is>
      </c>
      <c r="C18" s="306" t="inlineStr">
        <is>
          <t>LOSER</t>
        </is>
      </c>
      <c r="D18" s="306" t="n">
        <v>24</v>
      </c>
      <c r="E18" s="306" t="n">
        <v>1.25</v>
      </c>
      <c r="F18" s="306" t="n">
        <v>30</v>
      </c>
      <c r="G18" s="306" t="n">
        <v>0.8</v>
      </c>
      <c r="H18" s="306" t="n">
        <v>101.2346282324</v>
      </c>
      <c r="I18" s="306" t="n">
        <v>60.7407769394399</v>
      </c>
      <c r="J18" s="306" t="n">
        <v>57.9711769394399</v>
      </c>
      <c r="K18" s="306" t="n">
        <v>1.932372564648</v>
      </c>
      <c r="L18" s="306" t="n">
        <v>0.20197646577625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D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20" customWidth="1" style="306" min="2" max="4"/>
  </cols>
  <sheetData>
    <row r="1" ht="16.15" customHeight="1" s="307">
      <c r="A1" s="471" t="inlineStr">
        <is>
          <t>PRESS CAPITAL  --  FUND I INVESTOR METRICS</t>
        </is>
      </c>
      <c r="B1" s="309" t="n"/>
      <c r="C1" s="309" t="n"/>
      <c r="D1" s="309" t="n"/>
    </row>
    <row r="2" ht="15" customHeight="1" s="307">
      <c r="A2" s="644" t="inlineStr">
        <is>
          <t>$150M fund.  LIVE for No Recycle column from _Engine_NR. Other columns pending.</t>
        </is>
      </c>
      <c r="B2" s="306" t="inlineStr">
        <is>
          <t>LIVE from engine tabs. All 3 scenarios auto-update from Tab 1.</t>
        </is>
      </c>
    </row>
    <row r="4" ht="15" customHeight="1" s="307">
      <c r="B4" s="388" t="inlineStr">
        <is>
          <t>No Recycle (5)</t>
        </is>
      </c>
      <c r="C4" s="388" t="inlineStr">
        <is>
          <t>50% Recycle (8)</t>
        </is>
      </c>
      <c r="D4" s="388" t="inlineStr">
        <is>
          <t>100% Recycle (10)</t>
        </is>
      </c>
    </row>
    <row r="6" ht="15" customHeight="1" s="307">
      <c r="A6" s="325" t="inlineStr">
        <is>
          <t>FUND OVERVIEW</t>
        </is>
      </c>
      <c r="B6" s="309" t="n"/>
      <c r="C6" s="309" t="n"/>
      <c r="D6" s="309" t="n"/>
    </row>
    <row r="7" ht="15" customHeight="1" s="307">
      <c r="A7" s="321" t="inlineStr">
        <is>
          <t>Fund Size</t>
        </is>
      </c>
      <c r="B7" s="354">
        <f>'1. Press Assumptions'!$B$5/1000000</f>
        <v/>
      </c>
      <c r="C7" s="354">
        <f>'1. Press Assumptions'!$B$5/1000000</f>
        <v/>
      </c>
      <c r="D7" s="354">
        <f>'1. Press Assumptions'!$B$5/1000000</f>
        <v/>
      </c>
    </row>
    <row r="8" ht="15" customHeight="1" s="307">
      <c r="A8" s="321" t="inlineStr">
        <is>
          <t>Capital Deployed</t>
        </is>
      </c>
      <c r="B8" s="354">
        <f>5*24*1.24-5*24*0.1154*0.5</f>
        <v/>
      </c>
      <c r="C8" s="354">
        <f>8*24*1.24-8*24*0.1154*0.5</f>
        <v/>
      </c>
      <c r="D8" s="354">
        <f>9*24*1.24-9*24*0.1154*0.5</f>
        <v/>
      </c>
    </row>
    <row r="9" ht="15" customHeight="1" s="307">
      <c r="A9" s="321" t="inlineStr">
        <is>
          <t>Total Deals</t>
        </is>
      </c>
      <c r="B9" s="368" t="n">
        <v>5</v>
      </c>
      <c r="C9" s="368" t="n">
        <v>8</v>
      </c>
      <c r="D9" s="368" t="n">
        <v>9</v>
      </c>
    </row>
    <row r="10" ht="15" customHeight="1" s="307">
      <c r="A10" s="321" t="inlineStr">
        <is>
          <t>Entry Multiple</t>
        </is>
      </c>
      <c r="B10" s="441">
        <f>'1. Press Assumptions'!$B$8</f>
        <v/>
      </c>
      <c r="C10" s="441">
        <f>'1. Press Assumptions'!$B$8</f>
        <v/>
      </c>
      <c r="D10" s="441">
        <f>'1. Press Assumptions'!$B$8</f>
        <v/>
      </c>
    </row>
    <row r="11" ht="15" customHeight="1" s="307">
      <c r="A11" s="321" t="inlineStr">
        <is>
          <t>Base Case NDR</t>
        </is>
      </c>
      <c r="B11" s="404">
        <f>'1. Press Assumptions'!$B$22</f>
        <v/>
      </c>
      <c r="C11" s="404">
        <f>'1. Press Assumptions'!$B$22</f>
        <v/>
      </c>
      <c r="D11" s="404">
        <f>'1. Press Assumptions'!$B$22</f>
        <v/>
      </c>
    </row>
    <row r="12" ht="15" customHeight="1" s="307">
      <c r="A12" s="321" t="inlineStr">
        <is>
          <t>Leverage / Debt</t>
        </is>
      </c>
      <c r="B12" s="394" t="inlineStr">
        <is>
          <t>Zero</t>
        </is>
      </c>
      <c r="C12" s="394" t="inlineStr">
        <is>
          <t>Zero</t>
        </is>
      </c>
      <c r="D12" s="394" t="inlineStr">
        <is>
          <t>Zero</t>
        </is>
      </c>
    </row>
    <row r="14" ht="15" customHeight="1" s="307">
      <c r="A14" s="325" t="inlineStr">
        <is>
          <t>CAPITAL RETURN TIMELINE</t>
        </is>
      </c>
      <c r="B14" s="309" t="n"/>
      <c r="C14" s="309" t="n"/>
      <c r="D14" s="309" t="n"/>
    </row>
    <row r="15" ht="15" customHeight="1" s="307">
      <c r="A15" s="322" t="inlineStr">
        <is>
          <t>Payback (years)</t>
        </is>
      </c>
      <c r="B15" s="508" t="n">
        <v>4</v>
      </c>
      <c r="C15" s="508" t="n">
        <v>4</v>
      </c>
      <c r="D15" s="508" t="n">
        <v>5</v>
      </c>
    </row>
    <row r="16" ht="15" customHeight="1" s="307">
      <c r="A16" s="321" t="inlineStr">
        <is>
          <t>Payback (months)</t>
        </is>
      </c>
      <c r="B16" s="552" t="n">
        <v>43</v>
      </c>
      <c r="C16" s="552" t="n">
        <v>47</v>
      </c>
      <c r="D16" s="552" t="n">
        <v>52</v>
      </c>
    </row>
    <row r="18" ht="15" customHeight="1" s="307">
      <c r="A18" s="325" t="inlineStr">
        <is>
          <t>10-YEAR RETURNS</t>
        </is>
      </c>
      <c r="B18" s="309" t="n"/>
      <c r="C18" s="309" t="n"/>
      <c r="D18" s="309" t="n"/>
    </row>
    <row r="19" ht="15" customHeight="1" s="307">
      <c r="A19" s="322" t="inlineStr">
        <is>
          <t>LP Net IRR (Staged)</t>
        </is>
      </c>
      <c r="B19" s="506">
        <f>'_Engine_NR'!B277</f>
        <v/>
      </c>
      <c r="C19" s="506">
        <f>'_Engine_R50'!B277</f>
        <v/>
      </c>
      <c r="D19" s="506">
        <f>'_Engine_R100'!B277</f>
        <v/>
      </c>
    </row>
    <row r="20" ht="15" customHeight="1" s="307">
      <c r="A20" s="322" t="inlineStr">
        <is>
          <t>LP MOIC / DPI</t>
        </is>
      </c>
      <c r="B20" s="503">
        <f>'_Engine_NR'!B254</f>
        <v/>
      </c>
      <c r="C20" s="503">
        <f>'_Engine_R50'!B254</f>
        <v/>
      </c>
      <c r="D20" s="503">
        <f>'_Engine_R100'!B254</f>
        <v/>
      </c>
    </row>
    <row r="21" ht="15" customHeight="1" s="307">
      <c r="A21" s="321" t="inlineStr">
        <is>
          <t>LP Cash Distributed</t>
        </is>
      </c>
      <c r="B21" s="354">
        <f>'_Engine_NR'!B253</f>
        <v/>
      </c>
      <c r="C21" s="354">
        <f>'_Engine_R50'!B253</f>
        <v/>
      </c>
      <c r="D21" s="354">
        <f>'_Engine_R100'!B253</f>
        <v/>
      </c>
    </row>
    <row r="23" ht="15" customHeight="1" s="307">
      <c r="A23" s="325" t="inlineStr">
        <is>
          <t>15-YEAR RETURNS</t>
        </is>
      </c>
      <c r="B23" s="309" t="n"/>
      <c r="C23" s="309" t="n"/>
      <c r="D23" s="309" t="n"/>
    </row>
    <row r="24" ht="15" customHeight="1" s="307">
      <c r="A24" s="322" t="inlineStr">
        <is>
          <t>LP Net IRR (Staged)</t>
        </is>
      </c>
      <c r="B24" s="506">
        <f>'_Engine_NR'!B276</f>
        <v/>
      </c>
      <c r="C24" s="506">
        <f>'_Engine_R50'!B276</f>
        <v/>
      </c>
      <c r="D24" s="506">
        <f>'_Engine_R100'!B276</f>
        <v/>
      </c>
    </row>
    <row r="25" ht="15" customHeight="1" s="307">
      <c r="A25" s="322" t="inlineStr">
        <is>
          <t>LP MOIC / DPI</t>
        </is>
      </c>
      <c r="B25" s="503">
        <f>'_Engine_NR'!B252</f>
        <v/>
      </c>
      <c r="C25" s="503">
        <f>'_Engine_R50'!B252</f>
        <v/>
      </c>
      <c r="D25" s="503">
        <f>'_Engine_R100'!B252</f>
        <v/>
      </c>
    </row>
    <row r="26" ht="15" customHeight="1" s="307">
      <c r="A26" s="321" t="inlineStr">
        <is>
          <t>LP Cash Distributed</t>
        </is>
      </c>
      <c r="B26" s="354">
        <f>'_Engine_NR'!B250</f>
        <v/>
      </c>
      <c r="C26" s="354">
        <f>'_Engine_R50'!B250</f>
        <v/>
      </c>
      <c r="D26" s="354">
        <f>'_Engine_R100'!B250</f>
        <v/>
      </c>
    </row>
    <row r="27" ht="15" customHeight="1" s="307">
      <c r="A27" s="321" t="inlineStr">
        <is>
          <t>GP Carry</t>
        </is>
      </c>
      <c r="B27" s="354">
        <f>'_Engine_NR'!B251</f>
        <v/>
      </c>
      <c r="C27" s="354">
        <f>'_Engine_R50'!B251</f>
        <v/>
      </c>
      <c r="D27" s="354">
        <f>'_Engine_R100'!B251</f>
        <v/>
      </c>
    </row>
    <row r="29" ht="15" customHeight="1" s="307">
      <c r="A29" s="325" t="inlineStr">
        <is>
          <t>ANNUAL CASH YIELD</t>
        </is>
      </c>
      <c r="B29" s="309" t="n"/>
      <c r="C29" s="309" t="n"/>
      <c r="D29" s="309" t="n"/>
    </row>
    <row r="30" ht="15" customHeight="1" s="307">
      <c r="A30" s="321" t="inlineStr">
        <is>
          <t>Year 1</t>
        </is>
      </c>
      <c r="B30" s="404">
        <f>'_Engine_NR'!J233/'1. Press Assumptions'!$B$5*1000000</f>
        <v/>
      </c>
      <c r="C30" s="404">
        <f>'_Engine_R50'!J233/'1. Press Assumptions'!$B$5*1000000</f>
        <v/>
      </c>
      <c r="D30" s="404">
        <f>'_Engine_R100'!J233/'1. Press Assumptions'!$B$5*1000000</f>
        <v/>
      </c>
    </row>
    <row r="31" ht="15" customHeight="1" s="307">
      <c r="A31" s="321" t="inlineStr">
        <is>
          <t>Year 2</t>
        </is>
      </c>
      <c r="B31" s="404">
        <f>'_Engine_NR'!J234/'1. Press Assumptions'!$B$5*1000000</f>
        <v/>
      </c>
      <c r="C31" s="404">
        <f>'_Engine_R50'!J234/'1. Press Assumptions'!$B$5*1000000</f>
        <v/>
      </c>
      <c r="D31" s="404">
        <f>'_Engine_R100'!J234/'1. Press Assumptions'!$B$5*1000000</f>
        <v/>
      </c>
    </row>
    <row r="32" ht="15" customHeight="1" s="307">
      <c r="A32" s="321" t="inlineStr">
        <is>
          <t>Year 3</t>
        </is>
      </c>
      <c r="B32" s="404">
        <f>'_Engine_NR'!J235/'1. Press Assumptions'!$B$5*1000000</f>
        <v/>
      </c>
      <c r="C32" s="404">
        <f>'_Engine_R50'!J235/'1. Press Assumptions'!$B$5*1000000</f>
        <v/>
      </c>
      <c r="D32" s="404">
        <f>'_Engine_R100'!J235/'1. Press Assumptions'!$B$5*1000000</f>
        <v/>
      </c>
    </row>
    <row r="33" ht="15" customHeight="1" s="307">
      <c r="A33" s="321" t="inlineStr">
        <is>
          <t>Year 4</t>
        </is>
      </c>
      <c r="B33" s="404">
        <f>'_Engine_NR'!J236/'1. Press Assumptions'!$B$5*1000000</f>
        <v/>
      </c>
      <c r="C33" s="404">
        <f>'_Engine_R50'!J236/'1. Press Assumptions'!$B$5*1000000</f>
        <v/>
      </c>
      <c r="D33" s="404">
        <f>'_Engine_R100'!J236/'1. Press Assumptions'!$B$5*1000000</f>
        <v/>
      </c>
    </row>
    <row r="34" ht="15" customHeight="1" s="307">
      <c r="A34" s="321" t="inlineStr">
        <is>
          <t>Year 5</t>
        </is>
      </c>
      <c r="B34" s="404">
        <f>'_Engine_NR'!J237/'1. Press Assumptions'!$B$5*1000000</f>
        <v/>
      </c>
      <c r="C34" s="404">
        <f>'_Engine_R50'!J237/'1. Press Assumptions'!$B$5*1000000</f>
        <v/>
      </c>
      <c r="D34" s="404">
        <f>'_Engine_R100'!J237/'1. Press Assumptions'!$B$5*1000000</f>
        <v/>
      </c>
    </row>
    <row r="35" ht="15" customHeight="1" s="307">
      <c r="A35" s="321" t="inlineStr">
        <is>
          <t>Year 6</t>
        </is>
      </c>
      <c r="B35" s="404">
        <f>'_Engine_NR'!J238/'1. Press Assumptions'!$B$5*1000000</f>
        <v/>
      </c>
      <c r="C35" s="404">
        <f>'_Engine_R50'!J238/'1. Press Assumptions'!$B$5*1000000</f>
        <v/>
      </c>
      <c r="D35" s="404">
        <f>'_Engine_R100'!J238/'1. Press Assumptions'!$B$5*1000000</f>
        <v/>
      </c>
    </row>
    <row r="36" ht="15" customHeight="1" s="307">
      <c r="A36" s="321" t="inlineStr">
        <is>
          <t>Year 7</t>
        </is>
      </c>
      <c r="B36" s="404">
        <f>'_Engine_NR'!J239/'1. Press Assumptions'!$B$5*1000000</f>
        <v/>
      </c>
      <c r="C36" s="404">
        <f>'_Engine_R50'!J239/'1. Press Assumptions'!$B$5*1000000</f>
        <v/>
      </c>
      <c r="D36" s="404">
        <f>'_Engine_R100'!J239/'1. Press Assumptions'!$B$5*1000000</f>
        <v/>
      </c>
    </row>
    <row r="37" ht="15" customHeight="1" s="307">
      <c r="A37" s="321" t="inlineStr">
        <is>
          <t>Year 8</t>
        </is>
      </c>
      <c r="B37" s="404">
        <f>'_Engine_NR'!J240/'1. Press Assumptions'!$B$5*1000000</f>
        <v/>
      </c>
      <c r="C37" s="404">
        <f>'_Engine_R50'!J240/'1. Press Assumptions'!$B$5*1000000</f>
        <v/>
      </c>
      <c r="D37" s="404">
        <f>'_Engine_R100'!J240/'1. Press Assumptions'!$B$5*1000000</f>
        <v/>
      </c>
    </row>
    <row r="38" ht="15" customHeight="1" s="307">
      <c r="A38" s="321" t="inlineStr">
        <is>
          <t>Year 9</t>
        </is>
      </c>
      <c r="B38" s="404">
        <f>'_Engine_NR'!J241/'1. Press Assumptions'!$B$5*1000000</f>
        <v/>
      </c>
      <c r="C38" s="404">
        <f>'_Engine_R50'!J241/'1. Press Assumptions'!$B$5*1000000</f>
        <v/>
      </c>
      <c r="D38" s="404">
        <f>'_Engine_R100'!J241/'1. Press Assumptions'!$B$5*1000000</f>
        <v/>
      </c>
    </row>
    <row r="39" ht="15" customHeight="1" s="307">
      <c r="A39" s="321" t="inlineStr">
        <is>
          <t>Year 10</t>
        </is>
      </c>
      <c r="B39" s="404">
        <f>'_Engine_NR'!J242/'1. Press Assumptions'!$B$5*1000000</f>
        <v/>
      </c>
      <c r="C39" s="404">
        <f>'_Engine_R50'!J242/'1. Press Assumptions'!$B$5*1000000</f>
        <v/>
      </c>
      <c r="D39" s="404">
        <f>'_Engine_R100'!J242/'1. Press Assumptions'!$B$5*1000000</f>
        <v/>
      </c>
    </row>
    <row r="40" ht="15" customHeight="1" s="307">
      <c r="A40" s="321" t="inlineStr">
        <is>
          <t>Year 11</t>
        </is>
      </c>
      <c r="B40" s="404">
        <f>'_Engine_NR'!J243/'1. Press Assumptions'!$B$5*1000000</f>
        <v/>
      </c>
      <c r="C40" s="404">
        <f>'_Engine_R50'!J243/'1. Press Assumptions'!$B$5*1000000</f>
        <v/>
      </c>
      <c r="D40" s="404">
        <f>'_Engine_R100'!J243/'1. Press Assumptions'!$B$5*1000000</f>
        <v/>
      </c>
    </row>
    <row r="41" ht="15" customHeight="1" s="307">
      <c r="A41" s="321" t="inlineStr">
        <is>
          <t>Year 12</t>
        </is>
      </c>
      <c r="B41" s="404">
        <f>'_Engine_NR'!J244/'1. Press Assumptions'!$B$5*1000000</f>
        <v/>
      </c>
      <c r="C41" s="404">
        <f>'_Engine_R50'!J244/'1. Press Assumptions'!$B$5*1000000</f>
        <v/>
      </c>
      <c r="D41" s="404">
        <f>'_Engine_R100'!J244/'1. Press Assumptions'!$B$5*1000000</f>
        <v/>
      </c>
    </row>
    <row r="42" ht="15" customHeight="1" s="307">
      <c r="A42" s="321" t="inlineStr">
        <is>
          <t>Year 13</t>
        </is>
      </c>
      <c r="B42" s="404">
        <f>'_Engine_NR'!J245/'1. Press Assumptions'!$B$5*1000000</f>
        <v/>
      </c>
      <c r="C42" s="404">
        <f>'_Engine_R50'!J245/'1. Press Assumptions'!$B$5*1000000</f>
        <v/>
      </c>
      <c r="D42" s="404">
        <f>'_Engine_R100'!J245/'1. Press Assumptions'!$B$5*1000000</f>
        <v/>
      </c>
    </row>
    <row r="43" ht="15" customHeight="1" s="307">
      <c r="A43" s="321" t="inlineStr">
        <is>
          <t>Year 14</t>
        </is>
      </c>
      <c r="B43" s="404">
        <f>'_Engine_NR'!J246/'1. Press Assumptions'!$B$5*1000000</f>
        <v/>
      </c>
      <c r="C43" s="404">
        <f>'_Engine_R50'!J246/'1. Press Assumptions'!$B$5*1000000</f>
        <v/>
      </c>
      <c r="D43" s="404">
        <f>'_Engine_R100'!J246/'1. Press Assumptions'!$B$5*1000000</f>
        <v/>
      </c>
    </row>
    <row r="44" ht="15" customHeight="1" s="307">
      <c r="A44" s="321" t="inlineStr">
        <is>
          <t>Year 15</t>
        </is>
      </c>
      <c r="B44" s="404">
        <f>'_Engine_NR'!J247/'1. Press Assumptions'!$B$5*1000000</f>
        <v/>
      </c>
      <c r="C44" s="404">
        <f>'_Engine_R50'!J247/'1. Press Assumptions'!$B$5*1000000</f>
        <v/>
      </c>
      <c r="D44" s="404">
        <f>'_Engine_R100'!J247/'1. Press Assumptions'!$B$5*1000000</f>
        <v/>
      </c>
    </row>
    <row r="46" ht="15" customHeight="1" s="307">
      <c r="A46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E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16" customWidth="1" style="306" min="2" max="2"/>
  </cols>
  <sheetData>
    <row r="1" ht="17.25" customHeight="1" s="307">
      <c r="A1" s="308" t="inlineStr">
        <is>
          <t>PRESS CAPITAL -- Single-OpCo P&amp;L (Bid Model Format)</t>
        </is>
      </c>
      <c r="B1" s="309" t="n"/>
      <c r="C1" s="309" t="n"/>
      <c r="D1" s="309" t="n"/>
      <c r="E1" s="309" t="n"/>
    </row>
    <row r="2" ht="15" customHeight="1" s="307">
      <c r="A2" s="310" t="inlineStr">
        <is>
          <t>Inspect any one OpCo standalone P&amp;L. Change OpCo # in cell B4.</t>
        </is>
      </c>
    </row>
    <row r="4" ht="15" customHeight="1" s="307">
      <c r="A4" s="312" t="inlineStr">
        <is>
          <t>OpCo to view (1-9)</t>
        </is>
      </c>
      <c r="B4" s="553" t="n">
        <v>1</v>
      </c>
    </row>
    <row r="5" ht="15" customHeight="1" s="307">
      <c r="A5" s="314" t="inlineStr">
        <is>
          <t>Selected close month (auto)</t>
        </is>
      </c>
      <c r="B5" s="554" t="n">
        <v>4</v>
      </c>
    </row>
    <row r="7" ht="15" customHeight="1" s="307">
      <c r="A7" s="310" t="inlineStr">
        <is>
          <t>Placeholder -- wire to monthly P&amp;L engine for per-deal view.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H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19"/>
  </cols>
  <sheetData>
    <row r="1" ht="17.25" customHeight="1" s="307">
      <c r="A1" s="308" t="inlineStr">
        <is>
          <t>BID MODEL SENSITIVITY -- Single Deal Returns</t>
        </is>
      </c>
    </row>
    <row r="2" ht="15" customHeight="1" s="307">
      <c r="A2" s="310" t="inlineStr">
        <is>
          <t>Base: $24M ARR, 60% net margin, 15-year hold, no exit. All blue cells adjustable on Tab 1.</t>
        </is>
      </c>
    </row>
    <row r="4" ht="15" customHeight="1" s="307">
      <c r="A4" s="311" t="inlineStr">
        <is>
          <t>DEAL-LEVEL MOIC</t>
        </is>
      </c>
      <c r="B4" s="309" t="n"/>
      <c r="C4" s="309" t="n"/>
      <c r="D4" s="309" t="n"/>
      <c r="E4" s="309" t="n"/>
      <c r="F4" s="309" t="n"/>
      <c r="G4" s="309" t="n"/>
      <c r="H4" s="309" t="n"/>
    </row>
    <row r="5" ht="15" customHeight="1" s="307">
      <c r="A5" s="312" t="inlineStr">
        <is>
          <t>NDR \ Entry Multiple</t>
        </is>
      </c>
      <c r="B5" s="555" t="n">
        <v>0.75</v>
      </c>
      <c r="C5" s="555" t="n">
        <v>1</v>
      </c>
      <c r="D5" s="555" t="n">
        <v>1.1</v>
      </c>
      <c r="E5" s="555" t="n">
        <v>1.25</v>
      </c>
      <c r="F5" s="555" t="n">
        <v>1.5</v>
      </c>
      <c r="G5" s="555" t="n">
        <v>1.75</v>
      </c>
      <c r="H5" s="555" t="n">
        <v>2</v>
      </c>
    </row>
    <row r="6" ht="15" customHeight="1" s="307">
      <c r="A6" s="556" t="n">
        <v>0.7</v>
      </c>
      <c r="B6" s="557" t="n">
        <v>2.11176286820483</v>
      </c>
      <c r="C6" s="557" t="n">
        <v>1.58382215115362</v>
      </c>
      <c r="D6" s="557" t="n">
        <v>1.43983831923056</v>
      </c>
      <c r="E6" s="557" t="n">
        <v>1.2670577209229</v>
      </c>
      <c r="F6" s="557" t="n">
        <v>1.05588143410241</v>
      </c>
      <c r="G6" s="442" t="n">
        <v>0.90504122923064</v>
      </c>
      <c r="H6" s="442" t="n">
        <v>0.79191107557681</v>
      </c>
    </row>
    <row r="7" ht="15" customHeight="1" s="307">
      <c r="A7" s="556" t="n">
        <v>0.75</v>
      </c>
      <c r="B7" s="557" t="n">
        <v>2.62283847200681</v>
      </c>
      <c r="C7" s="557" t="n">
        <v>1.9671288540051</v>
      </c>
      <c r="D7" s="557" t="n">
        <v>1.78829895818646</v>
      </c>
      <c r="E7" s="557" t="n">
        <v>1.57370308320408</v>
      </c>
      <c r="F7" s="557" t="n">
        <v>1.3114192360034</v>
      </c>
      <c r="G7" s="557" t="n">
        <v>1.12407363086006</v>
      </c>
      <c r="H7" s="442" t="n">
        <v>0.983564427002552</v>
      </c>
    </row>
    <row r="8" ht="15" customHeight="1" s="307">
      <c r="A8" s="556" t="n">
        <v>0.8</v>
      </c>
      <c r="B8" s="440" t="n">
        <v>3.33738885794294</v>
      </c>
      <c r="C8" s="557" t="n">
        <v>2.50304164345721</v>
      </c>
      <c r="D8" s="557" t="n">
        <v>2.27549240314291</v>
      </c>
      <c r="E8" s="557" t="n">
        <v>2.00243331476577</v>
      </c>
      <c r="F8" s="557" t="n">
        <v>1.66869442897147</v>
      </c>
      <c r="G8" s="557" t="n">
        <v>1.43030951054698</v>
      </c>
      <c r="H8" s="557" t="n">
        <v>1.2515208217286</v>
      </c>
    </row>
    <row r="9" ht="15" customHeight="1" s="307">
      <c r="A9" s="556" t="n">
        <v>0.85</v>
      </c>
      <c r="B9" s="440" t="n">
        <v>4.36912558168472</v>
      </c>
      <c r="C9" s="440" t="n">
        <v>3.27684418626354</v>
      </c>
      <c r="D9" s="557" t="n">
        <v>2.97894926023958</v>
      </c>
      <c r="E9" s="558" t="n">
        <v>2.62147534901083</v>
      </c>
      <c r="F9" s="557" t="n">
        <v>2.18456279084236</v>
      </c>
      <c r="G9" s="557" t="n">
        <v>1.87248239215059</v>
      </c>
      <c r="H9" s="557" t="n">
        <v>1.63842209313177</v>
      </c>
    </row>
    <row r="10" ht="15" customHeight="1" s="307">
      <c r="A10" s="556" t="n">
        <v>0.9</v>
      </c>
      <c r="B10" s="440" t="n">
        <v>5.90229294373627</v>
      </c>
      <c r="C10" s="440" t="n">
        <v>4.42671970780221</v>
      </c>
      <c r="D10" s="440" t="n">
        <v>4.02429064345655</v>
      </c>
      <c r="E10" s="440" t="n">
        <v>3.54137576624176</v>
      </c>
      <c r="F10" s="557" t="n">
        <v>2.95114647186814</v>
      </c>
      <c r="G10" s="557" t="n">
        <v>2.52955411874412</v>
      </c>
      <c r="H10" s="557" t="n">
        <v>2.2133598539011</v>
      </c>
    </row>
    <row r="11" ht="15" customHeight="1" s="307">
      <c r="A11" s="556" t="n">
        <v>0.95</v>
      </c>
      <c r="B11" s="440" t="n">
        <v>8.23485795674339</v>
      </c>
      <c r="C11" s="440" t="n">
        <v>6.17614346755754</v>
      </c>
      <c r="D11" s="440" t="n">
        <v>5.61467587959776</v>
      </c>
      <c r="E11" s="440" t="n">
        <v>4.94091477404603</v>
      </c>
      <c r="F11" s="440" t="n">
        <v>4.11742897837169</v>
      </c>
      <c r="G11" s="440" t="n">
        <v>3.52922483860431</v>
      </c>
      <c r="H11" s="440" t="n">
        <v>3.08807173377877</v>
      </c>
    </row>
    <row r="12" ht="15" customHeight="1" s="307">
      <c r="A12" s="556" t="n">
        <v>1</v>
      </c>
      <c r="B12" s="440" t="n">
        <v>11.8461333333333</v>
      </c>
      <c r="C12" s="440" t="n">
        <v>8.884600000000001</v>
      </c>
      <c r="D12" s="440" t="n">
        <v>8.076909090909091</v>
      </c>
      <c r="E12" s="440" t="n">
        <v>7.10768</v>
      </c>
      <c r="F12" s="440" t="n">
        <v>5.92306666666667</v>
      </c>
      <c r="G12" s="440" t="n">
        <v>5.07691428571429</v>
      </c>
      <c r="H12" s="440" t="n">
        <v>4.4423</v>
      </c>
    </row>
    <row r="15" ht="15" customHeight="1" s="307">
      <c r="A15" s="311" t="inlineStr">
        <is>
          <t>DEAL-LEVEL IRR</t>
        </is>
      </c>
      <c r="B15" s="309" t="n"/>
      <c r="C15" s="309" t="n"/>
      <c r="D15" s="309" t="n"/>
      <c r="E15" s="309" t="n"/>
      <c r="F15" s="309" t="n"/>
      <c r="G15" s="309" t="n"/>
      <c r="H15" s="309" t="n"/>
    </row>
    <row r="16" ht="15" customHeight="1" s="307">
      <c r="A16" s="312" t="inlineStr">
        <is>
          <t>NDR \ Entry Multiple</t>
        </is>
      </c>
      <c r="B16" s="555" t="n">
        <v>0.75</v>
      </c>
      <c r="C16" s="555" t="n">
        <v>1</v>
      </c>
      <c r="D16" s="555" t="n">
        <v>1.1</v>
      </c>
      <c r="E16" s="555" t="n">
        <v>1.25</v>
      </c>
      <c r="F16" s="555" t="n">
        <v>1.5</v>
      </c>
      <c r="G16" s="555" t="n">
        <v>1.75</v>
      </c>
      <c r="H16" s="555" t="n">
        <v>2</v>
      </c>
    </row>
    <row r="17" ht="15" customHeight="1" s="307">
      <c r="A17" s="556" t="n">
        <v>0.7</v>
      </c>
      <c r="B17" s="559" t="n">
        <v>0.715107232005819</v>
      </c>
      <c r="C17" s="559" t="n">
        <v>0.294284085317356</v>
      </c>
      <c r="D17" s="560" t="n">
        <v>0.209625477854206</v>
      </c>
      <c r="E17" s="560" t="n">
        <v>0.11964174107067</v>
      </c>
      <c r="F17" s="560" t="n">
        <v>0.0234040686389115</v>
      </c>
      <c r="G17" s="561" t="n">
        <v>-0.0381413863540497</v>
      </c>
      <c r="H17" s="561" t="n">
        <v>-0.0813348951443931</v>
      </c>
    </row>
    <row r="18" ht="15" customHeight="1" s="307">
      <c r="A18" s="556" t="n">
        <v>0.75</v>
      </c>
      <c r="B18" s="559" t="n">
        <v>0.921878292954206</v>
      </c>
      <c r="C18" s="559" t="n">
        <v>0.423305625756277</v>
      </c>
      <c r="D18" s="559" t="n">
        <v>0.325275386940107</v>
      </c>
      <c r="E18" s="560" t="n">
        <v>0.221921993203705</v>
      </c>
      <c r="F18" s="560" t="n">
        <v>0.11238818022502</v>
      </c>
      <c r="G18" s="560" t="n">
        <v>0.0429228767511237</v>
      </c>
      <c r="H18" s="561" t="n">
        <v>-0.00553471790177018</v>
      </c>
    </row>
    <row r="19" ht="15" customHeight="1" s="307">
      <c r="A19" s="556" t="n">
        <v>0.8</v>
      </c>
      <c r="B19" s="559" t="n">
        <v>1.14596816118412</v>
      </c>
      <c r="C19" s="559" t="n">
        <v>0.558259992759498</v>
      </c>
      <c r="D19" s="559" t="n">
        <v>0.445420336602702</v>
      </c>
      <c r="E19" s="559" t="n">
        <v>0.32742424699472</v>
      </c>
      <c r="F19" s="560" t="n">
        <v>0.203500877760577</v>
      </c>
      <c r="G19" s="560" t="n">
        <v>0.125554112406268</v>
      </c>
      <c r="H19" s="560" t="n">
        <v>0.0715009968687407</v>
      </c>
    </row>
    <row r="20" ht="15" customHeight="1" s="307">
      <c r="A20" s="556" t="n">
        <v>0.85</v>
      </c>
      <c r="B20" s="559" t="n">
        <v>1.38936533970822</v>
      </c>
      <c r="C20" s="559" t="n">
        <v>0.69946067281447</v>
      </c>
      <c r="D20" s="559" t="n">
        <v>0.57024635381449</v>
      </c>
      <c r="E20" s="562" t="n">
        <v>0.436243533713976</v>
      </c>
      <c r="F20" s="559" t="n">
        <v>0.29677788936014</v>
      </c>
      <c r="G20" s="560" t="n">
        <v>0.209765331043524</v>
      </c>
      <c r="H20" s="560" t="n">
        <v>0.14977470436775</v>
      </c>
    </row>
    <row r="21" ht="15" customHeight="1" s="307">
      <c r="A21" s="556" t="n">
        <v>0.9</v>
      </c>
      <c r="B21" s="559" t="n">
        <v>1.65439225684279</v>
      </c>
      <c r="C21" s="559" t="n">
        <v>0.847249846267834</v>
      </c>
      <c r="D21" s="559" t="n">
        <v>0.699954700796305</v>
      </c>
      <c r="E21" s="559" t="n">
        <v>0.548482343075559</v>
      </c>
      <c r="F21" s="559" t="n">
        <v>0.392258543518732</v>
      </c>
      <c r="G21" s="559" t="n">
        <v>0.295572022363905</v>
      </c>
      <c r="H21" s="560" t="n">
        <v>0.229290886389679</v>
      </c>
    </row>
    <row r="22" ht="15" customHeight="1" s="307">
      <c r="A22" s="556" t="n">
        <v>0.95</v>
      </c>
      <c r="B22" s="559" t="n">
        <v>1.94377601323403</v>
      </c>
      <c r="C22" s="559" t="n">
        <v>1.00200080806274</v>
      </c>
      <c r="D22" s="559" t="n">
        <v>0.834762678682694</v>
      </c>
      <c r="E22" s="559" t="n">
        <v>0.664250682104001</v>
      </c>
      <c r="F22" s="559" t="n">
        <v>0.489985560186254</v>
      </c>
      <c r="G22" s="559" t="n">
        <v>0.382991905885215</v>
      </c>
      <c r="H22" s="559" t="n">
        <v>0.31005580206695</v>
      </c>
    </row>
    <row r="23" ht="15" customHeight="1" s="307">
      <c r="A23" s="556" t="n">
        <v>1</v>
      </c>
      <c r="B23" s="559" t="n">
        <v>2.26073836073997</v>
      </c>
      <c r="C23" s="559" t="n">
        <v>1.16412079983603</v>
      </c>
      <c r="D23" s="559" t="n">
        <v>0.9749046109471829</v>
      </c>
      <c r="E23" s="559" t="n">
        <v>0.7836662268446341</v>
      </c>
      <c r="F23" s="559" t="n">
        <v>0.590004905890665</v>
      </c>
      <c r="G23" s="559" t="n">
        <v>0.472044737287426</v>
      </c>
      <c r="H23" s="559" t="n">
        <v>0.392077289929049</v>
      </c>
    </row>
    <row r="26" ht="15" customHeight="1" s="307">
      <c r="A26" s="311" t="inlineStr">
        <is>
          <t>PURCHASE PRICE ($mm)</t>
        </is>
      </c>
      <c r="B26" s="309" t="n"/>
      <c r="C26" s="309" t="n"/>
      <c r="D26" s="309" t="n"/>
      <c r="E26" s="309" t="n"/>
      <c r="F26" s="309" t="n"/>
      <c r="G26" s="309" t="n"/>
      <c r="H26" s="309" t="n"/>
    </row>
    <row r="27" ht="15" customHeight="1" s="307">
      <c r="A27" s="312" t="inlineStr">
        <is>
          <t>Entry Multiple</t>
        </is>
      </c>
      <c r="B27" s="555" t="n">
        <v>0.75</v>
      </c>
      <c r="C27" s="555" t="n">
        <v>1</v>
      </c>
      <c r="D27" s="555" t="n">
        <v>1.1</v>
      </c>
      <c r="E27" s="555" t="n">
        <v>1.25</v>
      </c>
      <c r="F27" s="555" t="n">
        <v>1.5</v>
      </c>
      <c r="G27" s="555" t="n">
        <v>1.75</v>
      </c>
      <c r="H27" s="555" t="n">
        <v>2</v>
      </c>
    </row>
    <row r="28" ht="15" customHeight="1" s="307">
      <c r="A28" s="314" t="inlineStr">
        <is>
          <t>$24M ARR</t>
        </is>
      </c>
      <c r="B28" s="563" t="n">
        <v>18</v>
      </c>
      <c r="C28" s="563" t="n">
        <v>24</v>
      </c>
      <c r="D28" s="563" t="n">
        <v>26.4</v>
      </c>
      <c r="E28" s="564" t="n">
        <v>30</v>
      </c>
      <c r="F28" s="563" t="n">
        <v>36</v>
      </c>
      <c r="G28" s="563" t="n">
        <v>42</v>
      </c>
      <c r="H28" s="563" t="n">
        <v>48</v>
      </c>
    </row>
    <row r="30" ht="15" customHeight="1" s="307">
      <c r="A30" s="311" t="inlineStr">
        <is>
          <t>15-YEAR DEAL ECONOMICS BY NDR</t>
        </is>
      </c>
      <c r="B30" s="309" t="n"/>
      <c r="C30" s="309" t="n"/>
      <c r="D30" s="309" t="n"/>
      <c r="E30" s="309" t="n"/>
      <c r="F30" s="309" t="n"/>
      <c r="G30" s="309" t="n"/>
      <c r="H30" s="309" t="n"/>
    </row>
    <row r="31" ht="15" customHeight="1" s="307">
      <c r="A31" s="312" t="n"/>
      <c r="B31" s="565" t="n">
        <v>0.7</v>
      </c>
      <c r="C31" s="565" t="n">
        <v>0.75</v>
      </c>
      <c r="D31" s="565" t="n">
        <v>0.8</v>
      </c>
      <c r="E31" s="565" t="n">
        <v>0.85</v>
      </c>
      <c r="F31" s="565" t="n">
        <v>0.9</v>
      </c>
      <c r="G31" s="565" t="n">
        <v>0.95</v>
      </c>
      <c r="H31" s="565" t="n">
        <v>1</v>
      </c>
    </row>
    <row r="32" ht="15" customHeight="1" s="307">
      <c r="A32" s="314" t="inlineStr">
        <is>
          <t>15Y Revenue ($mm)</t>
        </is>
      </c>
      <c r="B32" s="563" t="n">
        <v>67.9688860461448</v>
      </c>
      <c r="C32" s="563" t="n">
        <v>83.30115416020421</v>
      </c>
      <c r="D32" s="563" t="n">
        <v>104.737665738288</v>
      </c>
      <c r="E32" s="564" t="n">
        <v>135.689767450542</v>
      </c>
      <c r="F32" s="563" t="n">
        <v>181.684788312088</v>
      </c>
      <c r="G32" s="563" t="n">
        <v>251.661738702302</v>
      </c>
      <c r="H32" s="563" t="n">
        <v>360</v>
      </c>
    </row>
    <row r="33" ht="15" customHeight="1" s="307">
      <c r="A33" s="314" t="inlineStr">
        <is>
          <t>15Y NOI ($mm)</t>
        </is>
      </c>
      <c r="B33" s="563" t="n">
        <v>40.7813316276869</v>
      </c>
      <c r="C33" s="563" t="n">
        <v>49.9806924961225</v>
      </c>
      <c r="D33" s="563" t="n">
        <v>62.8425994429729</v>
      </c>
      <c r="E33" s="564" t="n">
        <v>81.41386047032491</v>
      </c>
      <c r="F33" s="563" t="n">
        <v>109.010872987253</v>
      </c>
      <c r="G33" s="563" t="n">
        <v>150.997043221381</v>
      </c>
      <c r="H33" s="563" t="n">
        <v>216</v>
      </c>
    </row>
    <row r="34" ht="15" customHeight="1" s="307">
      <c r="A34" s="314" t="inlineStr">
        <is>
          <t>15Y Cash ($mm)</t>
        </is>
      </c>
      <c r="B34" s="563" t="n">
        <v>38.0117316276869</v>
      </c>
      <c r="C34" s="563" t="n">
        <v>47.2110924961225</v>
      </c>
      <c r="D34" s="563" t="n">
        <v>60.0729994429729</v>
      </c>
      <c r="E34" s="564" t="n">
        <v>78.64426047032489</v>
      </c>
      <c r="F34" s="563" t="n">
        <v>106.241272987253</v>
      </c>
      <c r="G34" s="563" t="n">
        <v>148.227443221381</v>
      </c>
      <c r="H34" s="563" t="n">
        <v>213.2304</v>
      </c>
    </row>
    <row r="35" ht="15" customHeight="1" s="307">
      <c r="A35" s="314" t="inlineStr">
        <is>
          <t>MOIC (at 1.25x)</t>
        </is>
      </c>
      <c r="B35" s="557" t="n">
        <v>1.2670577209229</v>
      </c>
      <c r="C35" s="557" t="n">
        <v>1.57370308320408</v>
      </c>
      <c r="D35" s="557" t="n">
        <v>2.00243331476577</v>
      </c>
      <c r="E35" s="558" t="n">
        <v>2.62147534901083</v>
      </c>
      <c r="F35" s="440" t="n">
        <v>3.54137576624176</v>
      </c>
      <c r="G35" s="440" t="n">
        <v>4.94091477404603</v>
      </c>
      <c r="H35" s="440" t="n">
        <v>7.10768</v>
      </c>
    </row>
    <row r="36" ht="15" customHeight="1" s="307">
      <c r="A36" s="314" t="inlineStr">
        <is>
          <t>IRR (at 1.25x)</t>
        </is>
      </c>
      <c r="B36" s="560" t="n">
        <v>0.11964174107067</v>
      </c>
      <c r="C36" s="560" t="n">
        <v>0.221921993203705</v>
      </c>
      <c r="D36" s="559" t="n">
        <v>0.32742424699472</v>
      </c>
      <c r="E36" s="562" t="n">
        <v>0.436243533713976</v>
      </c>
      <c r="F36" s="559" t="n">
        <v>0.548482343075559</v>
      </c>
      <c r="G36" s="559" t="n">
        <v>0.664250682104001</v>
      </c>
      <c r="H36" s="559" t="n">
        <v>0.7836662268446341</v>
      </c>
    </row>
    <row r="39" ht="15" customHeight="1" s="307">
      <c r="A39" s="310" t="inlineStr">
        <is>
          <t>Green = target zone (3x+ MOIC, 25%+ IRR). Red = below water. Gold = base case.</t>
        </is>
      </c>
    </row>
    <row r="40" ht="15" customHeight="1" s="307">
      <c r="A40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S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306" min="1" max="1"/>
    <col width="14" customWidth="1" style="306" min="2" max="13"/>
  </cols>
  <sheetData>
    <row r="1" ht="15.75" customHeight="1" s="307">
      <c r="A1" s="471" t="inlineStr">
        <is>
          <t>FUND I  --  10-YEAR SENSITIVITY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6" t="n"/>
      <c r="O1" s="306" t="n"/>
      <c r="P1" s="306" t="n"/>
      <c r="Q1" s="306" t="n"/>
      <c r="R1" s="306" t="n"/>
      <c r="S1" s="306" t="n"/>
    </row>
    <row r="2" ht="15" customHeight="1" s="307">
      <c r="A2" s="323" t="inlineStr">
        <is>
          <t>$150M fund. 1.24x entry. 62.5% net margin. Uniform NDR across all deals. Staged IRR on capital calls.</t>
        </is>
      </c>
      <c r="N2" s="306" t="n"/>
      <c r="O2" s="306" t="n"/>
      <c r="P2" s="306" t="n"/>
      <c r="Q2" s="306" t="n"/>
      <c r="R2" s="306" t="n"/>
      <c r="S2" s="306" t="n"/>
    </row>
    <row r="3" ht="15" customHeight="1" s="307">
      <c r="N3" s="306" t="n"/>
      <c r="O3" s="306" t="n"/>
      <c r="P3" s="306" t="n"/>
      <c r="Q3" s="306" t="n"/>
      <c r="R3" s="306" t="n"/>
      <c r="S3" s="306" t="n"/>
    </row>
    <row r="4" ht="15" customHeight="1" s="307">
      <c r="A4" s="325" t="inlineStr">
        <is>
          <t>10-YEAR DPI (LP MOIC)</t>
        </is>
      </c>
      <c r="B4" s="391" t="n"/>
      <c r="C4" s="391" t="n"/>
      <c r="D4" s="391" t="n"/>
      <c r="E4" s="391" t="n"/>
      <c r="F4" s="391" t="n"/>
      <c r="G4" s="391" t="n"/>
      <c r="H4" s="309" t="n"/>
      <c r="I4" s="309" t="n"/>
      <c r="J4" s="309" t="n"/>
      <c r="K4" s="309" t="n"/>
      <c r="L4" s="309" t="n"/>
      <c r="M4" s="309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72" t="inlineStr">
        <is>
          <t>NDR</t>
        </is>
      </c>
      <c r="B5" s="391" t="inlineStr">
        <is>
          <t>No Recycle (5 deals)</t>
        </is>
      </c>
      <c r="C5" s="391" t="inlineStr">
        <is>
          <t>50% Recycle (8 deals)</t>
        </is>
      </c>
      <c r="D5" s="391" t="inlineStr">
        <is>
          <t>100% Recycle (10 deals)</t>
        </is>
      </c>
      <c r="E5" s="504" t="n"/>
      <c r="F5" s="504" t="n"/>
      <c r="G5" s="504" t="n"/>
      <c r="N5" s="306" t="n"/>
      <c r="O5" s="306" t="n"/>
      <c r="P5" s="306" t="n"/>
      <c r="Q5" s="306" t="n"/>
      <c r="R5" s="306" t="n"/>
      <c r="S5" s="306" t="n"/>
    </row>
    <row r="6" ht="15" customHeight="1" s="307">
      <c r="A6" s="504" t="n">
        <v>0.8</v>
      </c>
      <c r="B6" s="358" t="n">
        <v>1.68633848020181</v>
      </c>
      <c r="C6" s="358" t="n">
        <v>2.30892629835148</v>
      </c>
      <c r="D6" s="358" t="n">
        <v>2.4658779994432</v>
      </c>
      <c r="E6" s="358" t="n"/>
      <c r="F6" s="358" t="n"/>
      <c r="G6" s="358" t="n"/>
      <c r="N6" s="306" t="n"/>
      <c r="O6" s="306" t="n"/>
      <c r="P6" s="306" t="n"/>
      <c r="Q6" s="306" t="n"/>
      <c r="R6" s="306" t="n"/>
      <c r="S6" s="306" t="n"/>
    </row>
    <row r="7" ht="15" customHeight="1" s="307">
      <c r="A7" s="504" t="n">
        <v>0.85</v>
      </c>
      <c r="B7" s="503" t="n">
        <v>2.18833274175009</v>
      </c>
      <c r="C7" s="503" t="n">
        <v>2.91240153360391</v>
      </c>
      <c r="D7" s="503" t="n">
        <v>3.11978676007793</v>
      </c>
      <c r="E7" s="354" t="n"/>
      <c r="F7" s="354" t="n"/>
      <c r="G7" s="354" t="n"/>
      <c r="N7" s="306" t="n"/>
      <c r="O7" s="306" t="n"/>
      <c r="P7" s="306" t="n"/>
      <c r="Q7" s="306" t="n"/>
      <c r="R7" s="306" t="n"/>
      <c r="S7" s="306" t="n"/>
    </row>
    <row r="8" ht="15" customHeight="1" s="307">
      <c r="A8" s="504" t="n">
        <v>0.9</v>
      </c>
      <c r="B8" s="358" t="n">
        <v>2.76818894624679</v>
      </c>
      <c r="C8" s="358" t="n">
        <v>3.61787505473747</v>
      </c>
      <c r="D8" s="358" t="n">
        <v>3.91454308280685</v>
      </c>
      <c r="E8" s="349" t="n"/>
      <c r="F8" s="349" t="n"/>
      <c r="G8" s="349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504" t="n">
        <v>0.95</v>
      </c>
      <c r="B9" s="358" t="n">
        <v>3.44375884785125</v>
      </c>
      <c r="C9" s="358" t="n">
        <v>4.49361379479581</v>
      </c>
      <c r="D9" s="358" t="n">
        <v>4.93805539412873</v>
      </c>
      <c r="E9" s="354" t="n"/>
      <c r="F9" s="354" t="n"/>
      <c r="G9" s="354" t="n"/>
      <c r="N9" s="306" t="n"/>
      <c r="O9" s="306" t="n"/>
      <c r="P9" s="306" t="n"/>
      <c r="Q9" s="306" t="n"/>
      <c r="R9" s="306" t="n"/>
      <c r="S9" s="306" t="n"/>
    </row>
    <row r="10" ht="15" customHeight="1" s="307">
      <c r="A10" s="504" t="n">
        <v>1</v>
      </c>
      <c r="B10" s="566" t="n">
        <v>4.28843474444444</v>
      </c>
      <c r="C10" s="566" t="n">
        <v>5.61516216444444</v>
      </c>
      <c r="D10" s="566" t="n">
        <v>6.26558333333334</v>
      </c>
      <c r="E10" s="354" t="n"/>
      <c r="F10" s="354" t="n"/>
      <c r="G10" s="354" t="n"/>
      <c r="N10" s="306" t="n"/>
      <c r="O10" s="306" t="n"/>
      <c r="P10" s="306" t="n"/>
      <c r="Q10" s="306" t="n"/>
      <c r="R10" s="306" t="n"/>
      <c r="S10" s="306" t="n"/>
    </row>
    <row r="11" ht="15" customHeight="1" s="307">
      <c r="A11" s="504" t="n">
        <v>1.05</v>
      </c>
      <c r="B11" s="566" t="n">
        <v>5.39266258287188</v>
      </c>
      <c r="C11" s="566" t="n">
        <v>7.05338561172306</v>
      </c>
      <c r="D11" s="566" t="n">
        <v>7.96049767841406</v>
      </c>
      <c r="E11" s="354" t="n"/>
      <c r="F11" s="354" t="n"/>
      <c r="G11" s="354" t="n"/>
      <c r="N11" s="306" t="n"/>
      <c r="O11" s="306" t="n"/>
      <c r="P11" s="306" t="n"/>
      <c r="Q11" s="306" t="n"/>
      <c r="R11" s="306" t="n"/>
      <c r="S11" s="306" t="n"/>
    </row>
    <row r="12" ht="15" customHeight="1" s="307">
      <c r="A12" s="321" t="n"/>
      <c r="B12" s="354" t="n"/>
      <c r="C12" s="354" t="n"/>
      <c r="D12" s="354" t="n"/>
      <c r="E12" s="354" t="n"/>
      <c r="F12" s="354" t="n"/>
      <c r="G12" s="354" t="n"/>
      <c r="N12" s="306" t="n"/>
      <c r="O12" s="306" t="n"/>
      <c r="P12" s="306" t="n"/>
      <c r="Q12" s="306" t="n"/>
      <c r="R12" s="306" t="n"/>
      <c r="S12" s="306" t="n"/>
    </row>
    <row r="13" ht="15" customHeight="1" s="307">
      <c r="A13" s="325" t="inlineStr">
        <is>
          <t>10-YEAR STAGED IRR</t>
        </is>
      </c>
      <c r="B13" s="567" t="n"/>
      <c r="C13" s="567" t="n"/>
      <c r="D13" s="567" t="n"/>
      <c r="E13" s="567" t="n"/>
      <c r="F13" s="567" t="n"/>
      <c r="G13" s="567" t="n"/>
      <c r="H13" s="309" t="n"/>
      <c r="I13" s="309" t="n"/>
      <c r="J13" s="309" t="n"/>
      <c r="K13" s="309" t="n"/>
      <c r="L13" s="309" t="n"/>
      <c r="M13" s="309" t="n"/>
      <c r="N13" s="306" t="n"/>
      <c r="O13" s="306" t="n"/>
      <c r="P13" s="306" t="n"/>
      <c r="Q13" s="306" t="n"/>
      <c r="R13" s="306" t="n"/>
      <c r="S13" s="306" t="n"/>
    </row>
    <row r="14" ht="15" customHeight="1" s="307">
      <c r="A14" s="472" t="inlineStr">
        <is>
          <t>NDR</t>
        </is>
      </c>
      <c r="B14" s="388" t="inlineStr">
        <is>
          <t>No Recycle (5 deals)</t>
        </is>
      </c>
      <c r="C14" s="388" t="inlineStr">
        <is>
          <t>50% Recycle (8 deals)</t>
        </is>
      </c>
      <c r="D14" s="388" t="inlineStr">
        <is>
          <t>100% Recycle (10 deals)</t>
        </is>
      </c>
      <c r="N14" s="306" t="n"/>
      <c r="O14" s="306" t="n"/>
      <c r="P14" s="306" t="n"/>
      <c r="Q14" s="306" t="n"/>
      <c r="R14" s="306" t="n"/>
      <c r="S14" s="306" t="n"/>
    </row>
    <row r="15" ht="15" customHeight="1" s="307">
      <c r="A15" s="504" t="n">
        <v>0.8</v>
      </c>
      <c r="B15" s="504" t="n">
        <v>0.179380954260117</v>
      </c>
      <c r="C15" s="504" t="n">
        <v>0.150627217720512</v>
      </c>
      <c r="D15" s="504" t="n">
        <v>0.10035117268075</v>
      </c>
      <c r="N15" s="306" t="n"/>
      <c r="O15" s="306" t="n"/>
      <c r="P15" s="306" t="n"/>
      <c r="Q15" s="306" t="n"/>
      <c r="R15" s="306" t="n"/>
      <c r="S15" s="306" t="n"/>
    </row>
    <row r="16" ht="15" customHeight="1" s="307">
      <c r="A16" s="504" t="n">
        <v>0.85</v>
      </c>
      <c r="B16" s="506" t="n">
        <v>0.272134814354736</v>
      </c>
      <c r="C16" s="506" t="n">
        <v>0.222741401814916</v>
      </c>
      <c r="D16" s="506" t="n">
        <v>0.164628201408313</v>
      </c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504" t="n">
        <v>0.9</v>
      </c>
      <c r="B17" s="504" t="n">
        <v>0.355054760825851</v>
      </c>
      <c r="C17" s="504" t="n">
        <v>0.289967559077893</v>
      </c>
      <c r="D17" s="504" t="n">
        <v>0.225598042560229</v>
      </c>
      <c r="N17" s="306" t="n"/>
      <c r="O17" s="306" t="n"/>
      <c r="P17" s="306" t="n"/>
      <c r="Q17" s="306" t="n"/>
      <c r="R17" s="306" t="n"/>
      <c r="S17" s="306" t="n"/>
    </row>
    <row r="18" ht="15" customHeight="1" s="307">
      <c r="A18" s="504" t="n">
        <v>0.95</v>
      </c>
      <c r="B18" s="504" t="n">
        <v>0.43109509900371</v>
      </c>
      <c r="C18" s="504" t="n">
        <v>0.355893622969821</v>
      </c>
      <c r="D18" s="504" t="n">
        <v>0.286560575834903</v>
      </c>
      <c r="N18" s="306" t="n"/>
      <c r="O18" s="306" t="n"/>
      <c r="P18" s="306" t="n"/>
      <c r="Q18" s="306" t="n"/>
      <c r="R18" s="306" t="n"/>
      <c r="S18" s="306" t="n"/>
    </row>
    <row r="19" ht="15" customHeight="1" s="307">
      <c r="A19" s="504" t="n">
        <v>1</v>
      </c>
      <c r="B19" s="568" t="n">
        <v>0.505982684418565</v>
      </c>
      <c r="C19" s="568" t="n">
        <v>0.42144926941834</v>
      </c>
      <c r="D19" s="568" t="n">
        <v>0.347525867749814</v>
      </c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504" t="n">
        <v>1.05</v>
      </c>
      <c r="B20" s="568" t="n">
        <v>0.580934587899852</v>
      </c>
      <c r="C20" s="568" t="n">
        <v>0.487124241450677</v>
      </c>
      <c r="D20" s="568" t="n">
        <v>0.408501871579639</v>
      </c>
      <c r="N20" s="306" t="n"/>
      <c r="O20" s="306" t="n"/>
      <c r="P20" s="306" t="n"/>
      <c r="Q20" s="306" t="n"/>
      <c r="R20" s="306" t="n"/>
      <c r="S20" s="306" t="n"/>
    </row>
    <row r="21" ht="15" customHeight="1" s="307">
      <c r="N21" s="306" t="n"/>
      <c r="O21" s="306" t="n"/>
      <c r="P21" s="306" t="n"/>
      <c r="Q21" s="306" t="n"/>
      <c r="R21" s="306" t="n"/>
      <c r="S21" s="306" t="n"/>
    </row>
    <row r="22" ht="15" customHeight="1" s="307">
      <c r="A22" s="325" t="inlineStr">
        <is>
          <t>15-YEAR DPI (LP MOIC)</t>
        </is>
      </c>
      <c r="B22" s="309" t="n"/>
      <c r="C22" s="309" t="n"/>
      <c r="D22" s="309" t="n"/>
      <c r="E22" s="309" t="n"/>
      <c r="F22" s="309" t="n"/>
      <c r="G22" s="309" t="n"/>
      <c r="H22" s="309" t="n"/>
      <c r="I22" s="309" t="n"/>
      <c r="J22" s="309" t="n"/>
      <c r="K22" s="309" t="n"/>
      <c r="L22" s="309" t="n"/>
      <c r="M22" s="309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472" t="inlineStr">
        <is>
          <t>NDR</t>
        </is>
      </c>
      <c r="B23" s="388" t="inlineStr">
        <is>
          <t>No Recycle (5 deals)</t>
        </is>
      </c>
      <c r="C23" s="388" t="inlineStr">
        <is>
          <t>50% Recycle (8 deals)</t>
        </is>
      </c>
      <c r="D23" s="388" t="inlineStr">
        <is>
          <t>100% Recycle (10 deals)</t>
        </is>
      </c>
      <c r="N23" s="306" t="n"/>
      <c r="O23" s="306" t="n"/>
      <c r="P23" s="306" t="n"/>
      <c r="Q23" s="306" t="n"/>
      <c r="R23" s="306" t="n"/>
      <c r="S23" s="306" t="n"/>
    </row>
    <row r="24" ht="15" customHeight="1" s="307">
      <c r="A24" s="504" t="n">
        <v>0.8</v>
      </c>
      <c r="B24" s="358" t="n">
        <v>1.69106698661687</v>
      </c>
      <c r="C24" s="358" t="n">
        <v>2.43244530953172</v>
      </c>
      <c r="D24" s="358" t="n">
        <v>2.69951604526408</v>
      </c>
      <c r="N24" s="306" t="n"/>
      <c r="O24" s="306" t="n"/>
      <c r="P24" s="306" t="n"/>
      <c r="Q24" s="306" t="n"/>
      <c r="R24" s="306" t="n"/>
      <c r="S24" s="306" t="n"/>
    </row>
    <row r="25" ht="15" customHeight="1" s="307">
      <c r="A25" s="504" t="n">
        <v>0.85</v>
      </c>
      <c r="B25" s="503" t="n">
        <v>2.34787321130789</v>
      </c>
      <c r="C25" s="503" t="n">
        <v>3.43138563821612</v>
      </c>
      <c r="D25" s="503" t="n">
        <v>3.84059905560255</v>
      </c>
      <c r="N25" s="306" t="n"/>
      <c r="O25" s="306" t="n"/>
      <c r="P25" s="306" t="n"/>
      <c r="Q25" s="306" t="n"/>
      <c r="R25" s="306" t="n"/>
      <c r="S25" s="306" t="n"/>
    </row>
    <row r="26" ht="15" customHeight="1" s="307">
      <c r="A26" s="504" t="n">
        <v>0.9</v>
      </c>
      <c r="B26" s="358" t="n">
        <v>3.39315890233367</v>
      </c>
      <c r="C26" s="358" t="n">
        <v>4.76780893336679</v>
      </c>
      <c r="D26" s="358" t="n">
        <v>5.26209825691763</v>
      </c>
      <c r="N26" s="306" t="n"/>
      <c r="O26" s="306" t="n"/>
      <c r="P26" s="306" t="n"/>
      <c r="Q26" s="306" t="n"/>
      <c r="R26" s="306" t="n"/>
      <c r="S26" s="306" t="n"/>
    </row>
    <row r="27" ht="15" customHeight="1" s="307">
      <c r="A27" s="504" t="n">
        <v>0.95</v>
      </c>
      <c r="B27" s="358" t="n">
        <v>4.77120023174719</v>
      </c>
      <c r="C27" s="358" t="n">
        <v>6.54276735643759</v>
      </c>
      <c r="D27" s="358" t="n">
        <v>7.45647666430149</v>
      </c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504" t="n">
        <v>1</v>
      </c>
      <c r="B28" s="566" t="n">
        <v>6.62676807777778</v>
      </c>
      <c r="C28" s="566" t="n">
        <v>9.153495497777779</v>
      </c>
      <c r="D28" s="566" t="n">
        <v>10.6039166666667</v>
      </c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504" t="n">
        <v>1.05</v>
      </c>
      <c r="B29" s="566" t="n">
        <v>9.46966031371637</v>
      </c>
      <c r="C29" s="566" t="n">
        <v>13.0942832301705</v>
      </c>
      <c r="D29" s="566" t="n">
        <v>15.337604982159</v>
      </c>
      <c r="N29" s="306" t="n"/>
      <c r="O29" s="306" t="n"/>
      <c r="P29" s="306" t="n"/>
      <c r="Q29" s="306" t="n"/>
      <c r="R29" s="306" t="n"/>
      <c r="S29" s="306" t="n"/>
    </row>
    <row r="30" ht="15" customHeight="1" s="307"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25" t="inlineStr">
        <is>
          <t>PAYBACK (MONTHS)</t>
        </is>
      </c>
      <c r="B31" s="309" t="n"/>
      <c r="C31" s="309" t="n"/>
      <c r="D31" s="309" t="n"/>
      <c r="E31" s="309" t="n"/>
      <c r="F31" s="309" t="n"/>
      <c r="G31" s="309" t="n"/>
      <c r="H31" s="309" t="n"/>
      <c r="I31" s="309" t="n"/>
      <c r="J31" s="309" t="n"/>
      <c r="K31" s="309" t="n"/>
      <c r="L31" s="309" t="n"/>
      <c r="M31" s="309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472" t="inlineStr">
        <is>
          <t>NDR</t>
        </is>
      </c>
      <c r="B32" s="388" t="inlineStr">
        <is>
          <t>No Recycle (5 deals)</t>
        </is>
      </c>
      <c r="C32" s="388" t="inlineStr">
        <is>
          <t>50% Recycle (8 deals)</t>
        </is>
      </c>
      <c r="D32" s="388" t="inlineStr">
        <is>
          <t>100% Recycle (10 deals)</t>
        </is>
      </c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504" t="n">
        <v>0.8</v>
      </c>
      <c r="B33" s="349" t="n">
        <v>47</v>
      </c>
      <c r="C33" s="349" t="n">
        <v>50</v>
      </c>
      <c r="D33" s="349" t="n">
        <v>54</v>
      </c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504" t="n">
        <v>0.85</v>
      </c>
      <c r="B34" s="508" t="n">
        <v>43</v>
      </c>
      <c r="C34" s="508" t="n">
        <v>47</v>
      </c>
      <c r="D34" s="508" t="n">
        <v>52</v>
      </c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504" t="n">
        <v>0.9</v>
      </c>
      <c r="B35" s="349" t="n">
        <v>40</v>
      </c>
      <c r="C35" s="349" t="n">
        <v>45</v>
      </c>
      <c r="D35" s="349" t="n">
        <v>50</v>
      </c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504" t="n">
        <v>0.95</v>
      </c>
      <c r="B36" s="349" t="n">
        <v>38</v>
      </c>
      <c r="C36" s="349" t="n">
        <v>43</v>
      </c>
      <c r="D36" s="349" t="n">
        <v>49</v>
      </c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504" t="n">
        <v>1</v>
      </c>
      <c r="B37" s="349" t="n">
        <v>35</v>
      </c>
      <c r="C37" s="349" t="n">
        <v>42</v>
      </c>
      <c r="D37" s="349" t="n">
        <v>47</v>
      </c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504" t="n">
        <v>1.05</v>
      </c>
      <c r="B38" s="349" t="n">
        <v>34</v>
      </c>
      <c r="C38" s="349" t="n">
        <v>41</v>
      </c>
      <c r="D38" s="349" t="n">
        <v>46</v>
      </c>
      <c r="N38" s="306" t="n"/>
      <c r="O38" s="306" t="n"/>
      <c r="P38" s="306" t="n"/>
      <c r="Q38" s="306" t="n"/>
      <c r="R38" s="306" t="n"/>
      <c r="S38" s="306" t="n"/>
    </row>
    <row r="39" ht="15" customHeight="1" s="307">
      <c r="N39" s="306" t="n"/>
      <c r="O39" s="306" t="n"/>
      <c r="P39" s="306" t="n"/>
      <c r="Q39" s="306" t="n"/>
      <c r="R39" s="306" t="n"/>
      <c r="S39" s="306" t="n"/>
    </row>
    <row r="40" ht="15" customHeight="1" s="307">
      <c r="A40" s="325" t="inlineStr">
        <is>
          <t>$5M LP  --  10Y CASH BACK</t>
        </is>
      </c>
      <c r="B40" s="309" t="n"/>
      <c r="C40" s="309" t="n"/>
      <c r="D40" s="309" t="n"/>
      <c r="E40" s="309" t="n"/>
      <c r="F40" s="309" t="n"/>
      <c r="G40" s="309" t="n"/>
      <c r="H40" s="309" t="n"/>
      <c r="I40" s="309" t="n"/>
      <c r="J40" s="309" t="n"/>
      <c r="K40" s="309" t="n"/>
      <c r="L40" s="309" t="n"/>
      <c r="M40" s="309" t="n"/>
      <c r="N40" s="306" t="n"/>
      <c r="O40" s="306" t="n"/>
      <c r="P40" s="306" t="n"/>
      <c r="Q40" s="306" t="n"/>
      <c r="R40" s="306" t="n"/>
      <c r="S40" s="306" t="n"/>
    </row>
    <row r="41" ht="15" customHeight="1" s="307">
      <c r="A41" s="472" t="inlineStr">
        <is>
          <t>NDR</t>
        </is>
      </c>
      <c r="B41" s="388" t="inlineStr">
        <is>
          <t>No Recycle (5 deals)</t>
        </is>
      </c>
      <c r="C41" s="388" t="inlineStr">
        <is>
          <t>50% Recycle (8 deals)</t>
        </is>
      </c>
      <c r="D41" s="388" t="inlineStr">
        <is>
          <t>100% Recycle (10 deals)</t>
        </is>
      </c>
      <c r="N41" s="306" t="n"/>
      <c r="O41" s="306" t="n"/>
      <c r="P41" s="306" t="n"/>
      <c r="Q41" s="306" t="n"/>
      <c r="R41" s="306" t="n"/>
      <c r="S41" s="306" t="n"/>
    </row>
    <row r="42" ht="15" customHeight="1" s="307">
      <c r="A42" s="504" t="n">
        <v>0.8</v>
      </c>
      <c r="B42" s="569" t="n">
        <v>8.431692401009039</v>
      </c>
      <c r="C42" s="569" t="n">
        <v>11.5446314917574</v>
      </c>
      <c r="D42" s="569" t="n">
        <v>12.329389997216</v>
      </c>
      <c r="N42" s="306" t="n"/>
      <c r="O42" s="306" t="n"/>
      <c r="P42" s="306" t="n"/>
      <c r="Q42" s="306" t="n"/>
      <c r="R42" s="306" t="n"/>
      <c r="S42" s="306" t="n"/>
    </row>
    <row r="43" ht="15" customHeight="1" s="307">
      <c r="A43" s="504" t="n">
        <v>0.85</v>
      </c>
      <c r="B43" s="570" t="n">
        <v>10.9416637087504</v>
      </c>
      <c r="C43" s="570" t="n">
        <v>14.5620076680195</v>
      </c>
      <c r="D43" s="570" t="n">
        <v>15.5989338003896</v>
      </c>
      <c r="N43" s="306" t="n"/>
      <c r="O43" s="306" t="n"/>
      <c r="P43" s="306" t="n"/>
      <c r="Q43" s="306" t="n"/>
      <c r="R43" s="306" t="n"/>
      <c r="S43" s="306" t="n"/>
    </row>
    <row r="44" ht="15" customHeight="1" s="307">
      <c r="A44" s="504" t="n">
        <v>0.9</v>
      </c>
      <c r="B44" s="569" t="n">
        <v>13.8409447312339</v>
      </c>
      <c r="C44" s="569" t="n">
        <v>18.0893752736874</v>
      </c>
      <c r="D44" s="569" t="n">
        <v>19.5727154140343</v>
      </c>
      <c r="N44" s="306" t="n"/>
      <c r="O44" s="306" t="n"/>
      <c r="P44" s="306" t="n"/>
      <c r="Q44" s="306" t="n"/>
      <c r="R44" s="306" t="n"/>
      <c r="S44" s="306" t="n"/>
    </row>
    <row r="45" ht="15" customHeight="1" s="307">
      <c r="A45" s="504" t="n">
        <v>0.95</v>
      </c>
      <c r="B45" s="569" t="n">
        <v>17.2187942392562</v>
      </c>
      <c r="C45" s="569" t="n">
        <v>22.468068973979</v>
      </c>
      <c r="D45" s="569" t="n">
        <v>24.6902769706437</v>
      </c>
      <c r="N45" s="306" t="n"/>
      <c r="O45" s="306" t="n"/>
      <c r="P45" s="306" t="n"/>
      <c r="Q45" s="306" t="n"/>
      <c r="R45" s="306" t="n"/>
      <c r="S45" s="306" t="n"/>
    </row>
    <row r="46" ht="15" customHeight="1" s="307">
      <c r="A46" s="504" t="n">
        <v>1</v>
      </c>
      <c r="B46" s="571" t="n">
        <v>21.4421737222222</v>
      </c>
      <c r="C46" s="571" t="n">
        <v>28.0758108222222</v>
      </c>
      <c r="D46" s="571" t="n">
        <v>31.3279166666667</v>
      </c>
      <c r="N46" s="306" t="n"/>
      <c r="O46" s="306" t="n"/>
      <c r="P46" s="306" t="n"/>
      <c r="Q46" s="306" t="n"/>
      <c r="R46" s="306" t="n"/>
      <c r="S46" s="306" t="n"/>
    </row>
    <row r="47" ht="15" customHeight="1" s="307">
      <c r="A47" s="504" t="n">
        <v>1.05</v>
      </c>
      <c r="B47" s="571" t="n">
        <v>26.9633129143594</v>
      </c>
      <c r="C47" s="571" t="n">
        <v>35.2669280586153</v>
      </c>
      <c r="D47" s="571" t="n">
        <v>39.8024883920703</v>
      </c>
      <c r="N47" s="306" t="n"/>
      <c r="O47" s="306" t="n"/>
      <c r="P47" s="306" t="n"/>
      <c r="Q47" s="306" t="n"/>
      <c r="R47" s="306" t="n"/>
      <c r="S47" s="306" t="n"/>
    </row>
    <row r="48" ht="15" customHeight="1" s="307">
      <c r="N48" s="306" t="n"/>
      <c r="O48" s="306" t="n"/>
      <c r="P48" s="306" t="n"/>
      <c r="Q48" s="306" t="n"/>
      <c r="R48" s="306" t="n"/>
      <c r="S48" s="306" t="n"/>
    </row>
    <row r="49" ht="15" customHeight="1" s="307">
      <c r="N49" s="306" t="n"/>
      <c r="O49" s="306" t="n"/>
      <c r="P49" s="306" t="n"/>
      <c r="Q49" s="306" t="n"/>
      <c r="R49" s="306" t="n"/>
      <c r="S49" s="306" t="n"/>
    </row>
    <row r="50" ht="15" customHeight="1" s="307">
      <c r="A50" s="323" t="inlineStr">
        <is>
          <t>Gold = 85% NDR base case (bid assumption). Green = growth scenarios (AI transformation upside).</t>
        </is>
      </c>
    </row>
    <row r="51" ht="15" customHeight="1" s="307">
      <c r="A51" s="334" t="inlineStr">
        <is>
          <t>CONFIDENTIAL -- DO NOT DISTRIBUTE</t>
        </is>
      </c>
    </row>
    <row r="54" ht="15" customHeight="1" s="307">
      <c r="A54" s="325" t="inlineStr">
        <is>
          <t>ENTRY MULTIPLE CEILING (30% 10Y IRR)</t>
        </is>
      </c>
      <c r="B54" s="309" t="n"/>
      <c r="C54" s="309" t="n"/>
      <c r="D54" s="309" t="n"/>
      <c r="E54" s="309" t="n"/>
      <c r="F54" s="309" t="n"/>
      <c r="G54" s="309" t="n"/>
    </row>
    <row r="55" ht="15" customHeight="1" s="307">
      <c r="A55" s="323" t="inlineStr">
        <is>
          <t>Maximum gross entry multiple to achieve 30% staged IRR at each DM level.</t>
        </is>
      </c>
    </row>
    <row r="56" ht="15" customHeight="1" s="307">
      <c r="A56" s="472" t="inlineStr">
        <is>
          <t>NDR \ NCA</t>
        </is>
      </c>
      <c r="B56" s="388" t="inlineStr">
        <is>
          <t>NCA 0%</t>
        </is>
      </c>
      <c r="C56" s="388" t="inlineStr">
        <is>
          <t>NCA 5%</t>
        </is>
      </c>
      <c r="D56" s="388" t="inlineStr">
        <is>
          <t>NCA 10%</t>
        </is>
      </c>
      <c r="E56" s="388" t="inlineStr">
        <is>
          <t>NCA 15%</t>
        </is>
      </c>
    </row>
    <row r="57" ht="15" customHeight="1" s="307">
      <c r="A57" s="504" t="n">
        <v>0.85</v>
      </c>
      <c r="B57" s="572" t="inlineStr">
        <is>
          <t>&gt;5.0x</t>
        </is>
      </c>
      <c r="C57" s="394" t="inlineStr">
        <is>
          <t>&gt;5.0x</t>
        </is>
      </c>
      <c r="D57" s="394" t="inlineStr">
        <is>
          <t>&gt;5.0x</t>
        </is>
      </c>
      <c r="E57" s="573" t="inlineStr">
        <is>
          <t>&gt;5.0x</t>
        </is>
      </c>
    </row>
    <row r="58" ht="15" customHeight="1" s="307">
      <c r="A58" s="504" t="n">
        <v>0.9</v>
      </c>
      <c r="B58" s="394" t="inlineStr">
        <is>
          <t>&gt;5.0x</t>
        </is>
      </c>
      <c r="C58" s="394" t="inlineStr">
        <is>
          <t>&gt;5.0x</t>
        </is>
      </c>
      <c r="D58" s="573" t="inlineStr">
        <is>
          <t>&gt;5.0x</t>
        </is>
      </c>
      <c r="E58" s="573" t="inlineStr">
        <is>
          <t>&gt;5.0x</t>
        </is>
      </c>
    </row>
    <row r="59" ht="15" customHeight="1" s="307">
      <c r="A59" s="504" t="n">
        <v>0.95</v>
      </c>
      <c r="B59" s="394" t="inlineStr">
        <is>
          <t>&gt;5.0x</t>
        </is>
      </c>
      <c r="C59" s="573" t="inlineStr">
        <is>
          <t>&gt;5.0x</t>
        </is>
      </c>
      <c r="D59" s="573" t="inlineStr">
        <is>
          <t>&gt;5.0x</t>
        </is>
      </c>
      <c r="E59" s="573" t="inlineStr">
        <is>
          <t>&gt;5.0x</t>
        </is>
      </c>
    </row>
    <row r="60" ht="15" customHeight="1" s="307">
      <c r="A60" s="504" t="n">
        <v>1</v>
      </c>
      <c r="B60" s="573" t="inlineStr">
        <is>
          <t>&gt;5.0x</t>
        </is>
      </c>
      <c r="C60" s="573" t="inlineStr">
        <is>
          <t>&gt;5.0x</t>
        </is>
      </c>
      <c r="D60" s="573" t="inlineStr">
        <is>
          <t>&gt;5.0x</t>
        </is>
      </c>
      <c r="E60" s="573" t="inlineStr">
        <is>
          <t>&gt;5.0x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4" customWidth="1" style="306" min="2" max="4"/>
    <col width="14" customWidth="1" style="306" min="5" max="6"/>
  </cols>
  <sheetData>
    <row r="1" ht="15.75" customHeight="1" s="307">
      <c r="A1" s="471" t="inlineStr">
        <is>
          <t>TERMINAL VALUE -- NO RECYCLE</t>
        </is>
      </c>
      <c r="B1" s="309" t="n"/>
      <c r="C1" s="309" t="n"/>
      <c r="D1" s="309" t="n"/>
      <c r="E1" s="309" t="n"/>
      <c r="F1" s="309" t="n"/>
    </row>
    <row r="2" ht="15" customHeight="1" s="307">
      <c r="A2" s="323" t="inlineStr">
        <is>
          <t>What is the portfolio worth at Year 10 if sold?</t>
        </is>
      </c>
    </row>
    <row r="4" ht="15" customHeight="1" s="307">
      <c r="A4" s="322" t="inlineStr">
        <is>
          <t>Exit Multiple (x ARR)</t>
        </is>
      </c>
      <c r="B4" s="390" t="n">
        <v>1</v>
      </c>
      <c r="C4" s="390" t="n">
        <v>1.5</v>
      </c>
      <c r="D4" s="390" t="n">
        <v>2</v>
      </c>
      <c r="E4" s="390" t="n">
        <v>2.5</v>
      </c>
      <c r="F4" s="390" t="n">
        <v>3</v>
      </c>
    </row>
    <row r="5" ht="15" customHeight="1" s="307">
      <c r="A5" s="321" t="inlineStr">
        <is>
          <t>Year 10 ARR ($mm)</t>
        </is>
      </c>
      <c r="B5" s="354" t="n">
        <v>32.5990565654739</v>
      </c>
      <c r="C5" s="354" t="n">
        <v>32.5990565654739</v>
      </c>
      <c r="D5" s="354" t="n">
        <v>32.5990565654739</v>
      </c>
      <c r="E5" s="354" t="n">
        <v>32.5990565654739</v>
      </c>
      <c r="F5" s="354" t="n">
        <v>32.5990565654739</v>
      </c>
    </row>
    <row r="6" ht="15" customHeight="1" s="307">
      <c r="A6" s="322" t="inlineStr">
        <is>
          <t>Exit Proceeds ($mm)</t>
        </is>
      </c>
      <c r="B6" s="570" t="n">
        <v>32.5990565654739</v>
      </c>
      <c r="C6" s="570" t="n">
        <v>48.8985848482109</v>
      </c>
      <c r="D6" s="570" t="n">
        <v>65.1981131309479</v>
      </c>
      <c r="E6" s="570" t="n">
        <v>81.4976414136848</v>
      </c>
      <c r="F6" s="570" t="n">
        <v>97.7971696964218</v>
      </c>
    </row>
    <row r="7" ht="15" customHeight="1" s="307">
      <c r="A7" s="321" t="inlineStr">
        <is>
          <t>10Y Cash Distributions ($mm)</t>
        </is>
      </c>
      <c r="B7" s="354" t="n">
        <v>328.249911262513</v>
      </c>
      <c r="C7" s="354" t="n">
        <v>328.249911262513</v>
      </c>
      <c r="D7" s="354" t="n">
        <v>328.249911262513</v>
      </c>
      <c r="E7" s="354" t="n">
        <v>328.249911262513</v>
      </c>
      <c r="F7" s="354" t="n">
        <v>328.249911262513</v>
      </c>
    </row>
    <row r="8" ht="15" customHeight="1" s="307">
      <c r="A8" s="322" t="inlineStr">
        <is>
          <t>Total LP Value ($mm)</t>
        </is>
      </c>
      <c r="B8" s="570" t="n">
        <v>354.329156514892</v>
      </c>
      <c r="C8" s="570" t="n">
        <v>367.368779141082</v>
      </c>
      <c r="D8" s="570" t="n">
        <v>380.408401767271</v>
      </c>
      <c r="E8" s="570" t="n">
        <v>393.448024393461</v>
      </c>
      <c r="F8" s="570" t="n">
        <v>406.48764701965</v>
      </c>
    </row>
    <row r="9" ht="15" customHeight="1" s="307">
      <c r="A9" s="322" t="inlineStr">
        <is>
          <t>Total LP MOIC</t>
        </is>
      </c>
      <c r="B9" s="503" t="n">
        <v>2.36219437676595</v>
      </c>
      <c r="C9" s="503" t="n">
        <v>2.44912519427388</v>
      </c>
      <c r="D9" s="503" t="n">
        <v>2.53605601178181</v>
      </c>
      <c r="E9" s="503" t="n">
        <v>2.62298682928974</v>
      </c>
      <c r="F9" s="503" t="n">
        <v>2.70991764679767</v>
      </c>
    </row>
    <row r="10" ht="15" customHeight="1" s="307">
      <c r="A10" s="322" t="n"/>
      <c r="B10" s="358" t="n"/>
      <c r="C10" s="358" t="n"/>
      <c r="D10" s="358" t="n"/>
      <c r="E10" s="358" t="n"/>
      <c r="F10" s="358" t="n"/>
    </row>
    <row r="12" ht="15" customHeight="1" s="307">
      <c r="A12" s="438" t="n"/>
      <c r="E12" s="306" t="n"/>
    </row>
    <row r="13" ht="15" customHeight="1" s="307">
      <c r="A13" s="322" t="n"/>
      <c r="B13" s="574" t="n"/>
      <c r="C13" s="574" t="n"/>
      <c r="D13" s="574" t="n"/>
      <c r="E13" s="574" t="n"/>
      <c r="F13" s="574" t="n"/>
    </row>
    <row r="14" ht="15" customHeight="1" s="307">
      <c r="A14" s="321" t="n"/>
      <c r="B14" s="354" t="n"/>
      <c r="C14" s="354" t="n"/>
      <c r="D14" s="354" t="n"/>
      <c r="E14" s="354" t="n"/>
      <c r="F14" s="354" t="n"/>
    </row>
    <row r="15" ht="15" customHeight="1" s="307">
      <c r="A15" s="322" t="n"/>
      <c r="B15" s="569" t="n"/>
      <c r="C15" s="569" t="n"/>
      <c r="D15" s="569" t="n"/>
      <c r="E15" s="569" t="n"/>
      <c r="F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</row>
    <row r="17" ht="15" customHeight="1" s="307">
      <c r="A17" s="322" t="n"/>
      <c r="B17" s="569" t="n"/>
      <c r="C17" s="569" t="n"/>
      <c r="D17" s="569" t="n"/>
      <c r="E17" s="569" t="n"/>
      <c r="F17" s="569" t="n"/>
    </row>
    <row r="18" ht="15" customHeight="1" s="307">
      <c r="A18" s="322" t="n"/>
      <c r="B18" s="358" t="n"/>
      <c r="C18" s="358" t="n"/>
      <c r="D18" s="358" t="n"/>
      <c r="E18" s="358" t="n"/>
      <c r="F18" s="3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F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06" min="1" max="1"/>
    <col width="16" customWidth="1" style="306" min="2" max="5"/>
  </cols>
  <sheetData>
    <row r="1" ht="15.75" customHeight="1" s="307">
      <c r="A1" s="471" t="inlineStr">
        <is>
          <t>PORTFOLIO STRESS TEST</t>
        </is>
      </c>
      <c r="B1" s="309" t="n"/>
      <c r="C1" s="309" t="n"/>
      <c r="D1" s="309" t="n"/>
      <c r="E1" s="309" t="n"/>
      <c r="F1" s="306" t="n"/>
    </row>
    <row r="2" ht="15" customHeight="1" s="307">
      <c r="A2" s="323" t="inlineStr">
        <is>
          <t>No recycling. What happens when NDR is worse than bid case?</t>
        </is>
      </c>
      <c r="B2" s="306" t="n"/>
      <c r="C2" s="306" t="n"/>
      <c r="D2" s="306" t="n"/>
      <c r="E2" s="306" t="n"/>
      <c r="F2" s="306" t="n"/>
    </row>
    <row r="3" ht="15" customHeight="1" s="307">
      <c r="A3" s="306" t="n"/>
      <c r="B3" s="306" t="n"/>
      <c r="C3" s="306" t="n"/>
      <c r="D3" s="306" t="n"/>
      <c r="E3" s="306" t="n"/>
      <c r="F3" s="306" t="n"/>
    </row>
    <row r="4" ht="21.75" customHeight="1" s="307">
      <c r="A4" s="388" t="n"/>
      <c r="B4" s="388" t="inlineStr">
        <is>
          <t>Base (85%)</t>
        </is>
      </c>
      <c r="C4" s="388" t="inlineStr">
        <is>
          <t>Bear (80%)</t>
        </is>
      </c>
      <c r="D4" s="388" t="inlineStr">
        <is>
          <t>Severe (75%)</t>
        </is>
      </c>
      <c r="E4" s="388" t="inlineStr">
        <is>
          <t>Catastrophic (70%)</t>
        </is>
      </c>
      <c r="F4" s="306" t="n"/>
    </row>
    <row r="5" ht="15" customHeight="1" s="307">
      <c r="A5" s="322" t="inlineStr">
        <is>
          <t>10Y DPI</t>
        </is>
      </c>
      <c r="B5" s="503" t="n">
        <v>2.18833274175009</v>
      </c>
      <c r="C5" s="358" t="n">
        <v>1.68633848020181</v>
      </c>
      <c r="D5" s="358" t="n">
        <v>1.28958204841144</v>
      </c>
      <c r="E5" s="358" t="n">
        <v>1.13418627674825</v>
      </c>
      <c r="F5" s="306" t="n"/>
    </row>
    <row r="6" ht="15" customHeight="1" s="307">
      <c r="A6" s="322" t="inlineStr">
        <is>
          <t>15Y DPI</t>
        </is>
      </c>
      <c r="B6" s="503" t="n">
        <v>2.34787321130789</v>
      </c>
      <c r="C6" s="358" t="n">
        <v>1.69106698661687</v>
      </c>
      <c r="D6" s="358" t="n">
        <v>1.28958204841144</v>
      </c>
      <c r="E6" s="358" t="n">
        <v>1.13418627674825</v>
      </c>
      <c r="F6" s="306" t="n"/>
    </row>
    <row r="7" ht="15" customHeight="1" s="307">
      <c r="A7" s="322" t="inlineStr">
        <is>
          <t>10Y IRR</t>
        </is>
      </c>
      <c r="B7" s="506" t="n">
        <v>0.272134814354736</v>
      </c>
      <c r="C7" s="504" t="n">
        <v>0.179380954260117</v>
      </c>
      <c r="D7" s="504" t="n">
        <v>0.0688376277540874</v>
      </c>
      <c r="E7" s="504" t="n">
        <v>0.009578321365244721</v>
      </c>
      <c r="F7" s="306" t="n"/>
    </row>
    <row r="8" ht="15" customHeight="1" s="307">
      <c r="A8" s="322" t="inlineStr">
        <is>
          <t>Payback (months)</t>
        </is>
      </c>
      <c r="B8" s="508" t="n">
        <v>43</v>
      </c>
      <c r="C8" s="349" t="n">
        <v>47</v>
      </c>
      <c r="D8" s="349" t="n">
        <v>55</v>
      </c>
      <c r="E8" s="349" t="n">
        <v>64</v>
      </c>
      <c r="F8" s="306" t="n"/>
    </row>
    <row r="9" ht="15" customHeight="1" s="307">
      <c r="A9" s="321" t="inlineStr">
        <is>
          <t>15Y LP Cash ($mm)</t>
        </is>
      </c>
      <c r="B9" s="354" t="n">
        <v>352.180981696184</v>
      </c>
      <c r="C9" s="354" t="n">
        <v>253.660047992531</v>
      </c>
      <c r="D9" s="354" t="n">
        <v>193.437307261716</v>
      </c>
      <c r="E9" s="354" t="n">
        <v>170.127941512238</v>
      </c>
      <c r="F9" s="306" t="n"/>
    </row>
    <row r="10" ht="15" customHeight="1" s="307">
      <c r="A10" s="321" t="inlineStr">
        <is>
          <t>15Y GP Carry ($mm)</t>
        </is>
      </c>
      <c r="B10" s="354" t="n">
        <v>18.4882266439472</v>
      </c>
      <c r="C10" s="354" t="n">
        <v>6.77325572808312</v>
      </c>
      <c r="D10" s="354" t="n">
        <v>0.199191236728376</v>
      </c>
      <c r="E10" s="354" t="n">
        <v>0</v>
      </c>
      <c r="F10" s="306" t="n"/>
    </row>
    <row r="11" ht="15" customHeight="1" s="307">
      <c r="A11" s="321" t="n"/>
      <c r="B11" s="354" t="n"/>
      <c r="C11" s="354" t="n"/>
      <c r="D11" s="354" t="n"/>
      <c r="E11" s="354" t="n"/>
      <c r="F11" s="306" t="n"/>
    </row>
    <row r="12" ht="15" customHeight="1" s="307">
      <c r="A12" s="306" t="n"/>
      <c r="B12" s="306" t="n"/>
      <c r="C12" s="306" t="n"/>
      <c r="D12" s="306" t="n"/>
      <c r="E12" s="306" t="n"/>
      <c r="F12" s="306" t="n"/>
    </row>
    <row r="13" ht="15" customHeight="1" s="307">
      <c r="A13" s="306" t="n"/>
      <c r="B13" s="306" t="n"/>
      <c r="C13" s="306" t="n"/>
      <c r="D13" s="306" t="n"/>
      <c r="E13" s="306" t="n"/>
      <c r="F13" s="306" t="n"/>
    </row>
    <row r="14" ht="15" customHeight="1" s="307">
      <c r="A14" s="306" t="n"/>
      <c r="B14" s="306" t="n"/>
      <c r="C14" s="306" t="n"/>
      <c r="D14" s="306" t="n"/>
      <c r="E14" s="306" t="n"/>
      <c r="F14" s="306" t="n"/>
    </row>
    <row r="15" ht="15" customHeight="1" s="307">
      <c r="A15" s="306" t="n"/>
      <c r="B15" s="306" t="n"/>
      <c r="C15" s="306" t="n"/>
      <c r="D15" s="306" t="n"/>
      <c r="E15" s="306" t="n"/>
      <c r="F15" s="306" t="n"/>
    </row>
    <row r="16" ht="15" customHeight="1" s="307">
      <c r="A16" s="306" t="n"/>
      <c r="B16" s="306" t="n"/>
      <c r="C16" s="306" t="n"/>
      <c r="D16" s="306" t="n"/>
      <c r="E16" s="306" t="n"/>
      <c r="F16" s="306" t="n"/>
    </row>
    <row r="17" ht="15" customHeight="1" s="307">
      <c r="A17" s="306" t="n"/>
      <c r="B17" s="306" t="n"/>
      <c r="C17" s="306" t="n"/>
      <c r="D17" s="306" t="n"/>
      <c r="E17" s="306" t="n"/>
      <c r="F17" s="306" t="n"/>
    </row>
    <row r="18" ht="15" customHeight="1" s="307">
      <c r="A18" s="306" t="n"/>
      <c r="B18" s="306" t="n"/>
      <c r="C18" s="306" t="n"/>
      <c r="D18" s="306" t="n"/>
      <c r="E18" s="306" t="n"/>
      <c r="F18" s="306" t="n"/>
    </row>
    <row r="19" ht="15" customHeight="1" s="307">
      <c r="A19" s="306" t="n"/>
      <c r="B19" s="306" t="n"/>
      <c r="C19" s="306" t="n"/>
      <c r="D19" s="306" t="n"/>
      <c r="E19" s="306" t="n"/>
      <c r="F1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Y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25"/>
  </cols>
  <sheetData>
    <row r="1" ht="15.75" customHeight="1" s="307">
      <c r="A1" s="471" t="inlineStr">
        <is>
          <t>WORKING CAPITAL / J-CURVE  --  FIRST 24 MONTHS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9" t="n"/>
      <c r="W1" s="309" t="n"/>
      <c r="X1" s="309" t="n"/>
      <c r="Y1" s="309" t="n"/>
    </row>
    <row r="2" ht="15" customHeight="1" s="307">
      <c r="A2" s="323" t="inlineStr">
        <is>
          <t>No recycling. Shows LP net cash position by month.</t>
        </is>
      </c>
    </row>
    <row r="4" ht="15" customHeight="1" s="307">
      <c r="A4" s="472" t="inlineStr">
        <is>
          <t>($mm)</t>
        </is>
      </c>
      <c r="B4" s="388" t="inlineStr">
        <is>
          <t>M1</t>
        </is>
      </c>
      <c r="C4" s="388" t="inlineStr">
        <is>
          <t>M2</t>
        </is>
      </c>
      <c r="D4" s="388" t="inlineStr">
        <is>
          <t>M3</t>
        </is>
      </c>
      <c r="E4" s="388" t="inlineStr">
        <is>
          <t>M4</t>
        </is>
      </c>
      <c r="F4" s="388" t="inlineStr">
        <is>
          <t>M5</t>
        </is>
      </c>
      <c r="G4" s="388" t="inlineStr">
        <is>
          <t>M6</t>
        </is>
      </c>
      <c r="H4" s="388" t="inlineStr">
        <is>
          <t>M7</t>
        </is>
      </c>
      <c r="I4" s="388" t="inlineStr">
        <is>
          <t>M8</t>
        </is>
      </c>
      <c r="J4" s="388" t="inlineStr">
        <is>
          <t>M9</t>
        </is>
      </c>
      <c r="K4" s="388" t="inlineStr">
        <is>
          <t>M10</t>
        </is>
      </c>
      <c r="L4" s="388" t="inlineStr">
        <is>
          <t>M11</t>
        </is>
      </c>
      <c r="M4" s="388" t="inlineStr">
        <is>
          <t>M12</t>
        </is>
      </c>
      <c r="N4" s="388" t="inlineStr">
        <is>
          <t>M13</t>
        </is>
      </c>
      <c r="O4" s="388" t="inlineStr">
        <is>
          <t>M14</t>
        </is>
      </c>
      <c r="P4" s="388" t="inlineStr">
        <is>
          <t>M15</t>
        </is>
      </c>
      <c r="Q4" s="388" t="inlineStr">
        <is>
          <t>M16</t>
        </is>
      </c>
      <c r="R4" s="388" t="inlineStr">
        <is>
          <t>M17</t>
        </is>
      </c>
      <c r="S4" s="388" t="inlineStr">
        <is>
          <t>M18</t>
        </is>
      </c>
      <c r="T4" s="388" t="inlineStr">
        <is>
          <t>M19</t>
        </is>
      </c>
      <c r="U4" s="388" t="inlineStr">
        <is>
          <t>M20</t>
        </is>
      </c>
      <c r="V4" s="388" t="inlineStr">
        <is>
          <t>M21</t>
        </is>
      </c>
      <c r="W4" s="388" t="inlineStr">
        <is>
          <t>M22</t>
        </is>
      </c>
      <c r="X4" s="388" t="inlineStr">
        <is>
          <t>M23</t>
        </is>
      </c>
      <c r="Y4" s="388" t="inlineStr">
        <is>
          <t>M24</t>
        </is>
      </c>
    </row>
    <row r="6" ht="15" customHeight="1" s="307">
      <c r="A6" s="322" t="inlineStr">
        <is>
          <t>Capital Calls</t>
        </is>
      </c>
      <c r="B6" s="569" t="n">
        <v>0</v>
      </c>
      <c r="C6" s="569" t="n">
        <v>0</v>
      </c>
      <c r="D6" s="569" t="n">
        <v>0</v>
      </c>
      <c r="E6" s="569" t="n">
        <v>30.27</v>
      </c>
      <c r="F6" s="569" t="n">
        <v>0</v>
      </c>
      <c r="G6" s="569" t="n">
        <v>0</v>
      </c>
      <c r="H6" s="569" t="n">
        <v>32.16</v>
      </c>
      <c r="I6" s="569" t="n">
        <v>0</v>
      </c>
      <c r="J6" s="569" t="n">
        <v>0</v>
      </c>
      <c r="K6" s="569" t="n">
        <v>35.59</v>
      </c>
      <c r="L6" s="569" t="n">
        <v>0</v>
      </c>
      <c r="M6" s="569" t="n">
        <v>30.74</v>
      </c>
      <c r="N6" s="569" t="n">
        <v>0</v>
      </c>
      <c r="O6" s="569" t="n">
        <v>0</v>
      </c>
      <c r="P6" s="569" t="n">
        <v>0</v>
      </c>
      <c r="Q6" s="569" t="n">
        <v>30.03</v>
      </c>
      <c r="R6" s="569" t="n">
        <v>0</v>
      </c>
      <c r="S6" s="569" t="n">
        <v>0</v>
      </c>
      <c r="T6" s="569" t="n">
        <v>0</v>
      </c>
      <c r="U6" s="569" t="n">
        <v>0</v>
      </c>
      <c r="V6" s="569" t="n">
        <v>0</v>
      </c>
      <c r="W6" s="569" t="n">
        <v>0</v>
      </c>
      <c r="X6" s="569" t="n">
        <v>0</v>
      </c>
      <c r="Y6" s="569" t="n">
        <v>0</v>
      </c>
    </row>
    <row r="7" ht="15" customHeight="1" s="307">
      <c r="A7" s="321" t="inlineStr">
        <is>
          <t>Revenue</t>
        </is>
      </c>
      <c r="B7" s="354" t="n">
        <v>0</v>
      </c>
      <c r="C7" s="354" t="n">
        <v>0</v>
      </c>
      <c r="D7" s="354" t="n">
        <v>0</v>
      </c>
      <c r="E7" s="354" t="n">
        <v>2.13</v>
      </c>
      <c r="F7" s="354" t="n">
        <v>2.1</v>
      </c>
      <c r="G7" s="354" t="n">
        <v>2.08</v>
      </c>
      <c r="H7" s="354" t="n">
        <v>4.32</v>
      </c>
      <c r="I7" s="354" t="n">
        <v>4.26</v>
      </c>
      <c r="J7" s="354" t="n">
        <v>4.2</v>
      </c>
      <c r="K7" s="354" t="n">
        <v>6.65</v>
      </c>
      <c r="L7" s="354" t="n">
        <v>6.56</v>
      </c>
      <c r="M7" s="354" t="n">
        <v>8.640000000000001</v>
      </c>
      <c r="N7" s="354" t="n">
        <v>8.52</v>
      </c>
      <c r="O7" s="354" t="n">
        <v>8.41</v>
      </c>
      <c r="P7" s="354" t="n">
        <v>8.300000000000001</v>
      </c>
      <c r="Q7" s="354" t="n">
        <v>10.3</v>
      </c>
      <c r="R7" s="354" t="n">
        <v>10.16</v>
      </c>
      <c r="S7" s="354" t="n">
        <v>10.03</v>
      </c>
      <c r="T7" s="354" t="n">
        <v>9.890000000000001</v>
      </c>
      <c r="U7" s="354" t="n">
        <v>9.76</v>
      </c>
      <c r="V7" s="354" t="n">
        <v>9.630000000000001</v>
      </c>
      <c r="W7" s="354" t="n">
        <v>9.5</v>
      </c>
      <c r="X7" s="354" t="n">
        <v>9.369999999999999</v>
      </c>
      <c r="Y7" s="354" t="n">
        <v>9.24</v>
      </c>
    </row>
    <row r="8" ht="15" customHeight="1" s="307">
      <c r="A8" s="321" t="inlineStr">
        <is>
          <t>Operating Expenses</t>
        </is>
      </c>
      <c r="B8" s="354" t="n">
        <v>0.08</v>
      </c>
      <c r="C8" s="354" t="n">
        <v>0.08</v>
      </c>
      <c r="D8" s="354" t="n">
        <v>0.08</v>
      </c>
      <c r="E8" s="354" t="n">
        <v>1.94</v>
      </c>
      <c r="F8" s="354" t="n">
        <v>1.75</v>
      </c>
      <c r="G8" s="354" t="n">
        <v>1.57</v>
      </c>
      <c r="H8" s="354" t="n">
        <v>3.78</v>
      </c>
      <c r="I8" s="354" t="n">
        <v>2.92</v>
      </c>
      <c r="J8" s="354" t="n">
        <v>2.55</v>
      </c>
      <c r="K8" s="354" t="n">
        <v>4.13</v>
      </c>
      <c r="L8" s="354" t="n">
        <v>3.67</v>
      </c>
      <c r="M8" s="354" t="n">
        <v>4.86</v>
      </c>
      <c r="N8" s="354" t="n">
        <v>4.54</v>
      </c>
      <c r="O8" s="354" t="n">
        <v>4.03</v>
      </c>
      <c r="P8" s="354" t="n">
        <v>3.53</v>
      </c>
      <c r="Q8" s="354" t="n">
        <v>4.65</v>
      </c>
      <c r="R8" s="354" t="n">
        <v>4.16</v>
      </c>
      <c r="S8" s="354" t="n">
        <v>3.68</v>
      </c>
      <c r="T8" s="354" t="n">
        <v>3.31</v>
      </c>
      <c r="U8" s="354" t="n">
        <v>3.01</v>
      </c>
      <c r="V8" s="354" t="n">
        <v>2.71</v>
      </c>
      <c r="W8" s="354" t="n">
        <v>2.43</v>
      </c>
      <c r="X8" s="354" t="n">
        <v>2.3</v>
      </c>
      <c r="Y8" s="354" t="n">
        <v>2.18</v>
      </c>
    </row>
    <row r="9" ht="15" customHeight="1" s="307">
      <c r="A9" s="321" t="inlineStr">
        <is>
          <t>Severance</t>
        </is>
      </c>
      <c r="B9" s="354" t="n">
        <v>0</v>
      </c>
      <c r="C9" s="354" t="n">
        <v>0</v>
      </c>
      <c r="D9" s="354" t="n">
        <v>0</v>
      </c>
      <c r="E9" s="354" t="n">
        <v>1.48</v>
      </c>
      <c r="F9" s="354" t="n">
        <v>0</v>
      </c>
      <c r="G9" s="354" t="n">
        <v>0</v>
      </c>
      <c r="H9" s="354" t="n">
        <v>1.57</v>
      </c>
      <c r="I9" s="354" t="n">
        <v>0</v>
      </c>
      <c r="J9" s="354" t="n">
        <v>0</v>
      </c>
      <c r="K9" s="354" t="n">
        <v>1.74</v>
      </c>
      <c r="L9" s="354" t="n">
        <v>0</v>
      </c>
      <c r="M9" s="354" t="n">
        <v>1.5</v>
      </c>
      <c r="N9" s="354" t="n">
        <v>0</v>
      </c>
      <c r="O9" s="354" t="n">
        <v>0</v>
      </c>
      <c r="P9" s="354" t="n">
        <v>0</v>
      </c>
      <c r="Q9" s="354" t="n">
        <v>1.47</v>
      </c>
      <c r="R9" s="354" t="n">
        <v>0</v>
      </c>
      <c r="S9" s="354" t="n">
        <v>0</v>
      </c>
      <c r="T9" s="354" t="n">
        <v>0</v>
      </c>
      <c r="U9" s="354" t="n">
        <v>0</v>
      </c>
      <c r="V9" s="354" t="n">
        <v>0</v>
      </c>
      <c r="W9" s="354" t="n">
        <v>0</v>
      </c>
      <c r="X9" s="354" t="n">
        <v>0</v>
      </c>
      <c r="Y9" s="354" t="n">
        <v>0</v>
      </c>
    </row>
    <row r="10" ht="15" customHeight="1" s="307">
      <c r="A10" s="321" t="inlineStr">
        <is>
          <t>Management Fee</t>
        </is>
      </c>
      <c r="B10" s="354" t="n">
        <v>0.25</v>
      </c>
      <c r="C10" s="354" t="n">
        <v>0.25</v>
      </c>
      <c r="D10" s="354" t="n">
        <v>0.25</v>
      </c>
      <c r="E10" s="354" t="n">
        <v>0.25</v>
      </c>
      <c r="F10" s="354" t="n">
        <v>0.25</v>
      </c>
      <c r="G10" s="354" t="n">
        <v>0.25</v>
      </c>
      <c r="H10" s="354" t="n">
        <v>0.25</v>
      </c>
      <c r="I10" s="354" t="n">
        <v>0.25</v>
      </c>
      <c r="J10" s="354" t="n">
        <v>0.25</v>
      </c>
      <c r="K10" s="354" t="n">
        <v>0.25</v>
      </c>
      <c r="L10" s="354" t="n">
        <v>0.25</v>
      </c>
      <c r="M10" s="354" t="n">
        <v>0.25</v>
      </c>
      <c r="N10" s="354" t="n">
        <v>0</v>
      </c>
      <c r="O10" s="354" t="n">
        <v>0</v>
      </c>
      <c r="P10" s="354" t="n">
        <v>0</v>
      </c>
      <c r="Q10" s="354" t="n">
        <v>0</v>
      </c>
      <c r="R10" s="354" t="n">
        <v>0</v>
      </c>
      <c r="S10" s="354" t="n">
        <v>0</v>
      </c>
      <c r="T10" s="354" t="n">
        <v>0</v>
      </c>
      <c r="U10" s="354" t="n">
        <v>0</v>
      </c>
      <c r="V10" s="354" t="n">
        <v>0</v>
      </c>
      <c r="W10" s="354" t="n">
        <v>0</v>
      </c>
      <c r="X10" s="354" t="n">
        <v>0</v>
      </c>
      <c r="Y10" s="354" t="n">
        <v>0</v>
      </c>
    </row>
    <row r="11" ht="15" customHeight="1" s="307">
      <c r="A11" s="322" t="inlineStr">
        <is>
          <t>Distributable Cash</t>
        </is>
      </c>
      <c r="B11" s="575" t="n">
        <v>-0.33</v>
      </c>
      <c r="C11" s="575" t="n">
        <v>-0.33</v>
      </c>
      <c r="D11" s="575" t="n">
        <v>-0.33</v>
      </c>
      <c r="E11" s="575" t="n">
        <v>-2.07</v>
      </c>
      <c r="F11" s="575" t="n">
        <v>-0.37</v>
      </c>
      <c r="G11" s="575" t="n">
        <v>-0.16</v>
      </c>
      <c r="H11" s="575" t="n">
        <v>-2.21</v>
      </c>
      <c r="I11" s="569" t="n">
        <v>0.28</v>
      </c>
      <c r="J11" s="569" t="n">
        <v>0.71</v>
      </c>
      <c r="K11" s="575" t="n">
        <v>-0.67</v>
      </c>
      <c r="L11" s="569" t="n">
        <v>1.57</v>
      </c>
      <c r="M11" s="569" t="n">
        <v>0.54</v>
      </c>
      <c r="N11" s="569" t="n">
        <v>2.68</v>
      </c>
      <c r="O11" s="569" t="n">
        <v>3.21</v>
      </c>
      <c r="P11" s="569" t="n">
        <v>3.72</v>
      </c>
      <c r="Q11" s="569" t="n">
        <v>2.73</v>
      </c>
      <c r="R11" s="569" t="n">
        <v>4.67</v>
      </c>
      <c r="S11" s="569" t="n">
        <v>5.14</v>
      </c>
      <c r="T11" s="569" t="n">
        <v>5.43</v>
      </c>
      <c r="U11" s="569" t="n">
        <v>5.67</v>
      </c>
      <c r="V11" s="569" t="n">
        <v>5.9</v>
      </c>
      <c r="W11" s="569" t="n">
        <v>6.12</v>
      </c>
      <c r="X11" s="569" t="n">
        <v>6.13</v>
      </c>
      <c r="Y11" s="569" t="n">
        <v>6.14</v>
      </c>
    </row>
    <row r="12" ht="15" customHeight="1" s="307">
      <c r="A12" s="321" t="inlineStr">
        <is>
          <t>Cumulative</t>
        </is>
      </c>
      <c r="B12" s="575" t="n">
        <v>-0.33</v>
      </c>
      <c r="C12" s="575" t="n">
        <v>-0.66</v>
      </c>
      <c r="D12" s="575" t="n">
        <v>-0.99</v>
      </c>
      <c r="E12" s="575" t="n">
        <v>-3.06</v>
      </c>
      <c r="F12" s="575" t="n">
        <v>-3.43</v>
      </c>
      <c r="G12" s="575" t="n">
        <v>-3.58</v>
      </c>
      <c r="H12" s="575" t="n">
        <v>-5.79</v>
      </c>
      <c r="I12" s="575" t="n">
        <v>-5.51</v>
      </c>
      <c r="J12" s="575" t="n">
        <v>-4.8</v>
      </c>
      <c r="K12" s="575" t="n">
        <v>-5.48</v>
      </c>
      <c r="L12" s="575" t="n">
        <v>-3.9</v>
      </c>
      <c r="M12" s="575" t="n">
        <v>-3.36</v>
      </c>
      <c r="N12" s="575" t="n">
        <v>-0.68</v>
      </c>
      <c r="O12" s="354" t="n">
        <v>2.53</v>
      </c>
      <c r="P12" s="354" t="n">
        <v>6.25</v>
      </c>
      <c r="Q12" s="354" t="n">
        <v>8.98</v>
      </c>
      <c r="R12" s="354" t="n">
        <v>13.66</v>
      </c>
      <c r="S12" s="354" t="n">
        <v>18.79</v>
      </c>
      <c r="T12" s="354" t="n">
        <v>24.23</v>
      </c>
      <c r="U12" s="354" t="n">
        <v>29.9</v>
      </c>
      <c r="V12" s="354" t="n">
        <v>35.8</v>
      </c>
      <c r="W12" s="354" t="n">
        <v>41.92</v>
      </c>
      <c r="X12" s="354" t="n">
        <v>48.05</v>
      </c>
      <c r="Y12" s="354" t="n">
        <v>54.19</v>
      </c>
    </row>
    <row r="14" ht="15" customHeight="1" s="307">
      <c r="A14" s="322" t="n"/>
      <c r="B14" s="575" t="n"/>
      <c r="C14" s="575" t="n"/>
      <c r="D14" s="575" t="n"/>
      <c r="E14" s="575" t="n"/>
      <c r="F14" s="575" t="n"/>
      <c r="G14" s="575" t="n"/>
      <c r="H14" s="575" t="n"/>
      <c r="I14" s="569" t="n"/>
      <c r="J14" s="569" t="n"/>
      <c r="K14" s="575" t="n"/>
      <c r="L14" s="569" t="n"/>
      <c r="M14" s="575" t="n"/>
      <c r="N14" s="569" t="n"/>
      <c r="O14" s="569" t="n"/>
      <c r="P14" s="569" t="n"/>
      <c r="Q14" s="575" t="n"/>
      <c r="R14" s="569" t="n"/>
      <c r="S14" s="569" t="n"/>
      <c r="T14" s="569" t="n"/>
      <c r="U14" s="569" t="n"/>
      <c r="V14" s="569" t="n"/>
      <c r="W14" s="569" t="n"/>
      <c r="X14" s="569" t="n"/>
      <c r="Y14" s="569" t="n"/>
    </row>
    <row r="15" ht="15" customHeight="1" s="307">
      <c r="A15" s="322" t="n"/>
      <c r="B15" s="575" t="n"/>
      <c r="C15" s="575" t="n"/>
      <c r="D15" s="575" t="n"/>
      <c r="E15" s="575" t="n"/>
      <c r="F15" s="575" t="n"/>
      <c r="G15" s="575" t="n"/>
      <c r="H15" s="575" t="n"/>
      <c r="I15" s="575" t="n"/>
      <c r="J15" s="575" t="n"/>
      <c r="K15" s="575" t="n"/>
      <c r="L15" s="575" t="n"/>
      <c r="M15" s="575" t="n"/>
      <c r="N15" s="575" t="n"/>
      <c r="O15" s="575" t="n"/>
      <c r="P15" s="575" t="n"/>
      <c r="Q15" s="575" t="n"/>
      <c r="R15" s="575" t="n"/>
      <c r="S15" s="575" t="n"/>
      <c r="T15" s="575" t="n"/>
      <c r="U15" s="575" t="n"/>
      <c r="V15" s="575" t="n"/>
      <c r="W15" s="575" t="n"/>
      <c r="X15" s="575" t="n"/>
      <c r="Y15" s="575" t="n"/>
    </row>
    <row r="17" ht="15" customHeight="1" s="307">
      <c r="A17" s="323" t="n"/>
    </row>
    <row r="18" ht="15" customHeight="1" s="307">
      <c r="A18" s="323" t="n"/>
    </row>
    <row r="19" ht="15" customHeight="1" s="307">
      <c r="A19" s="32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G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0" customWidth="1" style="306" min="1" max="1"/>
    <col width="18" customWidth="1" style="306" min="2" max="4"/>
    <col width="18" customWidth="1" style="307" min="3" max="3"/>
    <col width="18" customWidth="1" style="307" min="4" max="4"/>
    <col width="18" customWidth="1" style="307" min="5" max="5"/>
  </cols>
  <sheetData>
    <row r="1" ht="15.75" customHeight="1" s="307">
      <c r="A1" s="471" t="inlineStr">
        <is>
          <t>FEE DRAG COMPARISON</t>
        </is>
      </c>
      <c r="B1" s="309" t="n"/>
      <c r="C1" s="309" t="n"/>
      <c r="D1" s="309" t="n"/>
    </row>
    <row r="2" ht="15" customHeight="1" s="307">
      <c r="A2" s="593" t="inlineStr">
        <is>
          <t>OpCo team comp + bonus pool are GP economics in disguise. Restated below.</t>
        </is>
      </c>
    </row>
    <row r="3">
      <c r="A3" s="594" t="n"/>
      <c r="B3" s="594" t="n"/>
      <c r="C3" s="594" t="n"/>
      <c r="D3" s="594" t="n"/>
      <c r="E3" s="594" t="n"/>
      <c r="F3" s="594" t="n"/>
      <c r="G3" s="594" t="n"/>
    </row>
    <row r="4" ht="15" customHeight="1" s="307">
      <c r="A4" s="595" t="inlineStr">
        <is>
          <t>AS PRESENTED (original model)</t>
        </is>
      </c>
      <c r="B4" s="596" t="n"/>
      <c r="C4" s="596" t="n"/>
      <c r="D4" s="596" t="n"/>
      <c r="E4" s="594" t="n"/>
      <c r="F4" s="594" t="n"/>
      <c r="G4" s="594" t="n"/>
    </row>
    <row r="5" ht="15" customHeight="1" s="307">
      <c r="A5" s="597" t="n"/>
      <c r="B5" s="598" t="inlineStr">
        <is>
          <t>Press</t>
        </is>
      </c>
      <c r="C5" s="598" t="inlineStr">
        <is>
          <t>Traditional 2/20</t>
        </is>
      </c>
      <c r="D5" s="598" t="inlineStr">
        <is>
          <t>LP Savings</t>
        </is>
      </c>
      <c r="E5" s="594" t="n"/>
      <c r="F5" s="594" t="n"/>
      <c r="G5" s="594" t="n"/>
    </row>
    <row r="6" ht="15" customHeight="1" s="307">
      <c r="A6" s="597" t="inlineStr">
        <is>
          <t>Management Fees</t>
        </is>
      </c>
      <c r="B6" s="599" t="n">
        <v>3</v>
      </c>
      <c r="C6" s="599" t="n">
        <v>30</v>
      </c>
      <c r="D6" s="600">
        <f>C6-B6</f>
        <v/>
      </c>
      <c r="E6" s="594" t="n"/>
      <c r="F6" s="594" t="n"/>
      <c r="G6" s="594" t="n"/>
    </row>
    <row r="7" ht="15" customHeight="1" s="307">
      <c r="A7" s="597" t="inlineStr">
        <is>
          <t>GP Carry</t>
        </is>
      </c>
      <c r="B7" s="599" t="n">
        <v>18.4882266439472</v>
      </c>
      <c r="C7" s="599" t="n">
        <v>73.4552300422165</v>
      </c>
      <c r="D7" s="600">
        <f>C7-B7</f>
        <v/>
      </c>
      <c r="E7" s="594" t="n"/>
      <c r="F7" s="594" t="n"/>
      <c r="G7" s="594" t="n"/>
    </row>
    <row r="8">
      <c r="A8" s="601" t="inlineStr">
        <is>
          <t>Total Fee Drag</t>
        </is>
      </c>
      <c r="B8" s="602">
        <f>B6+B7</f>
        <v/>
      </c>
      <c r="C8" s="602">
        <f>C6+C7</f>
        <v/>
      </c>
      <c r="D8" s="603">
        <f>C8-B8</f>
        <v/>
      </c>
      <c r="E8" s="594" t="n"/>
      <c r="F8" s="594" t="n"/>
      <c r="G8" s="594" t="n"/>
    </row>
    <row r="9" ht="15" customHeight="1" s="307">
      <c r="A9" s="597" t="n"/>
      <c r="B9" s="594" t="n"/>
      <c r="C9" s="594" t="n"/>
      <c r="D9" s="594" t="n"/>
      <c r="E9" s="594" t="n"/>
      <c r="F9" s="594" t="n"/>
      <c r="G9" s="594" t="n"/>
    </row>
    <row r="10" ht="15" customHeight="1" s="307">
      <c r="A10" s="604" t="inlineStr">
        <is>
          <t>RESTATED  --  includes OpCo team comp and bonus pool as GP economics</t>
        </is>
      </c>
      <c r="B10" s="605" t="n"/>
      <c r="C10" s="605" t="n"/>
      <c r="D10" s="605" t="n"/>
      <c r="E10" s="605" t="n"/>
      <c r="F10" s="605" t="n"/>
      <c r="G10" s="605" t="n"/>
    </row>
    <row r="11" ht="15" customHeight="1" s="307">
      <c r="A11" s="597" t="inlineStr">
        <is>
          <t>% of OpCo Team Comp treated as GP economics  (blue = adjustable input)</t>
        </is>
      </c>
      <c r="B11" s="606" t="n">
        <v>0.5</v>
      </c>
      <c r="C11" s="607" t="inlineStr">
        <is>
          <t>LP-friendly view = 100%   |   GP-friendly view = 0%</t>
        </is>
      </c>
      <c r="D11" s="594" t="n"/>
      <c r="E11" s="594" t="n"/>
      <c r="F11" s="594" t="n"/>
      <c r="G11" s="594" t="n"/>
    </row>
    <row r="12" ht="15" customHeight="1" s="307">
      <c r="A12" s="597" t="n"/>
      <c r="B12" s="594" t="n"/>
      <c r="C12" s="594" t="n"/>
      <c r="D12" s="594" t="n"/>
      <c r="E12" s="594" t="n"/>
      <c r="F12" s="594" t="n"/>
      <c r="G12" s="594" t="n"/>
    </row>
    <row r="13" ht="30" customHeight="1" s="307">
      <c r="A13" s="608" t="inlineStr">
        <is>
          <t>$mm over 15Y</t>
        </is>
      </c>
      <c r="B13" s="608" t="inlineStr">
        <is>
          <t>Press
(No Recycle)</t>
        </is>
      </c>
      <c r="C13" s="608" t="inlineStr">
        <is>
          <t>Press
(50% Recycle)</t>
        </is>
      </c>
      <c r="D13" s="608" t="inlineStr">
        <is>
          <t>Press
(100% Recycle)</t>
        </is>
      </c>
      <c r="E13" s="608" t="inlineStr">
        <is>
          <t>Traditional 2/20</t>
        </is>
      </c>
      <c r="F13" s="594" t="n"/>
      <c r="G13" s="594" t="n"/>
    </row>
    <row r="14">
      <c r="A14" s="594" t="inlineStr">
        <is>
          <t>Management Fees</t>
        </is>
      </c>
      <c r="B14" s="594" t="n">
        <v>3</v>
      </c>
      <c r="C14" s="594" t="n">
        <v>3</v>
      </c>
      <c r="D14" s="594" t="n">
        <v>3</v>
      </c>
      <c r="E14" s="594" t="n">
        <v>30</v>
      </c>
      <c r="F14" s="594" t="n"/>
      <c r="G14" s="594" t="n"/>
    </row>
    <row r="15">
      <c r="A15" s="594" t="inlineStr">
        <is>
          <t>OpCo Team Comp x allocation %</t>
        </is>
      </c>
      <c r="B15" s="594">
        <f>'_Engine_NR'!B256*$B$11</f>
        <v/>
      </c>
      <c r="C15" s="594">
        <f>'_Engine_R50'!B256*$B$11</f>
        <v/>
      </c>
      <c r="D15" s="594">
        <f>'_Engine_R100'!B256*$B$11</f>
        <v/>
      </c>
      <c r="E15" s="594" t="n">
        <v>0</v>
      </c>
      <c r="F15" s="594" t="n"/>
      <c r="G15" s="594" t="n"/>
    </row>
    <row r="16">
      <c r="A16" s="594" t="inlineStr">
        <is>
          <t>Bonus Pool (excess over 62.5% margin)</t>
        </is>
      </c>
      <c r="B16" s="594">
        <f>'_Engine_NR'!B255</f>
        <v/>
      </c>
      <c r="C16" s="594">
        <f>'_Engine_R50'!B255</f>
        <v/>
      </c>
      <c r="D16" s="594">
        <f>'_Engine_R100'!B255</f>
        <v/>
      </c>
      <c r="E16" s="594" t="n">
        <v>0</v>
      </c>
      <c r="F16" s="594" t="n"/>
      <c r="G16" s="594" t="n"/>
    </row>
    <row r="17">
      <c r="A17" s="594" t="inlineStr">
        <is>
          <t>GP Carry</t>
        </is>
      </c>
      <c r="B17" s="594">
        <f>'_Engine_NR'!B251</f>
        <v/>
      </c>
      <c r="C17" s="594">
        <f>'_Engine_R50'!B251</f>
        <v/>
      </c>
      <c r="D17" s="594">
        <f>'_Engine_R100'!B251</f>
        <v/>
      </c>
      <c r="E17" s="594" t="n">
        <v>73.4552300422165</v>
      </c>
      <c r="F17" s="594" t="n"/>
      <c r="G17" s="594" t="n"/>
    </row>
    <row r="18">
      <c r="A18" s="601" t="inlineStr">
        <is>
          <t>Total GP Economics</t>
        </is>
      </c>
      <c r="B18" s="609">
        <f>SUM(B14:B17)</f>
        <v/>
      </c>
      <c r="C18" s="609">
        <f>SUM(C14:C17)</f>
        <v/>
      </c>
      <c r="D18" s="609">
        <f>SUM(D14:D17)</f>
        <v/>
      </c>
      <c r="E18" s="609">
        <f>SUM(E14:E17)</f>
        <v/>
      </c>
      <c r="F18" s="594" t="n"/>
      <c r="G18" s="594" t="n"/>
    </row>
    <row r="19">
      <c r="A19" s="594" t="n"/>
      <c r="B19" s="594" t="n"/>
      <c r="C19" s="594" t="n"/>
      <c r="D19" s="594" t="n"/>
      <c r="E19" s="594" t="n"/>
      <c r="F19" s="594" t="n"/>
      <c r="G19" s="594" t="n"/>
    </row>
    <row r="20">
      <c r="A20" s="594" t="inlineStr">
        <is>
          <t>LP Net Distributions (15Y)</t>
        </is>
      </c>
      <c r="B20" s="594">
        <f>'_Engine_NR'!B250</f>
        <v/>
      </c>
      <c r="C20" s="594">
        <f>'_Engine_R50'!B250</f>
        <v/>
      </c>
      <c r="D20" s="594">
        <f>'_Engine_R100'!B250</f>
        <v/>
      </c>
      <c r="E20" s="594" t="inlineStr">
        <is>
          <t>n/a</t>
        </is>
      </c>
      <c r="F20" s="594" t="n"/>
      <c r="G20" s="594" t="n"/>
    </row>
    <row r="21">
      <c r="A21" s="594" t="inlineStr">
        <is>
          <t>Total Fund Cash (LP + GP)</t>
        </is>
      </c>
      <c r="B21" s="594">
        <f>B18+B20</f>
        <v/>
      </c>
      <c r="C21" s="594">
        <f>C18+C20</f>
        <v/>
      </c>
      <c r="D21" s="594">
        <f>D18+D20</f>
        <v/>
      </c>
      <c r="E21" s="594" t="inlineStr"/>
      <c r="F21" s="594" t="n"/>
      <c r="G21" s="594" t="n"/>
    </row>
    <row r="22">
      <c r="A22" s="594" t="inlineStr">
        <is>
          <t>GP Take as % of Total Fund Cash</t>
        </is>
      </c>
      <c r="B22" s="610">
        <f>B18/B21</f>
        <v/>
      </c>
      <c r="C22" s="610">
        <f>C18/C21</f>
        <v/>
      </c>
      <c r="D22" s="610">
        <f>D18/D21</f>
        <v/>
      </c>
      <c r="E22" s="594" t="inlineStr"/>
      <c r="F22" s="594" t="n"/>
      <c r="G22" s="594" t="n"/>
    </row>
    <row r="23">
      <c r="A23" s="594" t="n"/>
      <c r="B23" s="594" t="n"/>
      <c r="C23" s="594" t="n"/>
      <c r="D23" s="594" t="n"/>
      <c r="E23" s="594" t="n"/>
      <c r="F23" s="594" t="n"/>
      <c r="G23" s="594" t="n"/>
    </row>
    <row r="24">
      <c r="A24" s="601" t="inlineStr">
        <is>
          <t>Restated Total GP Economics vs "As Presented"</t>
        </is>
      </c>
      <c r="B24" s="611">
        <f>B18-B8</f>
        <v/>
      </c>
      <c r="C24" s="611">
        <f>C18-B8</f>
        <v/>
      </c>
      <c r="D24" s="611">
        <f>D18-B8</f>
        <v/>
      </c>
      <c r="E24" s="594" t="n"/>
      <c r="F24" s="594" t="n"/>
      <c r="G24" s="594" t="n"/>
    </row>
    <row r="25">
      <c r="A25" s="594" t="n"/>
      <c r="B25" s="594" t="n"/>
      <c r="C25" s="594" t="n"/>
      <c r="D25" s="594" t="n"/>
      <c r="E25" s="594" t="n"/>
      <c r="F25" s="594" t="n"/>
      <c r="G25" s="594" t="n"/>
    </row>
    <row r="26">
      <c r="A26" s="594" t="n"/>
      <c r="B26" s="594" t="n"/>
      <c r="C26" s="594" t="n"/>
      <c r="D26" s="594" t="n"/>
      <c r="E26" s="594" t="n"/>
      <c r="F26" s="594" t="n"/>
      <c r="G26" s="594" t="n"/>
    </row>
    <row r="27">
      <c r="A27" s="601" t="inlineStr">
        <is>
          <t>NOTES:</t>
        </is>
      </c>
      <c r="B27" s="594" t="n"/>
      <c r="C27" s="594" t="n"/>
      <c r="D27" s="594" t="n"/>
      <c r="E27" s="594" t="n"/>
      <c r="F27" s="594" t="n"/>
      <c r="G27" s="594" t="n"/>
    </row>
    <row r="28">
      <c r="A28" s="607" t="inlineStr">
        <is>
          <t>1. OpCo Team Comp is the Press operating team (CEO/CFO/COO/CPO/CTO/CRO + 14 operators)</t>
        </is>
      </c>
      <c r="B28" s="594" t="n"/>
      <c r="C28" s="594" t="n"/>
      <c r="D28" s="594" t="n"/>
      <c r="E28" s="594" t="n"/>
      <c r="F28" s="594" t="n"/>
      <c r="G28" s="594" t="n"/>
    </row>
    <row r="29">
      <c r="A29" s="607" t="inlineStr">
        <is>
          <t xml:space="preserve">   charged to portco P&amp;L. In a traditional 2/20 fund the same team is paid from the mgmt fee.</t>
        </is>
      </c>
      <c r="B29" s="594" t="n"/>
      <c r="C29" s="594" t="n"/>
      <c r="D29" s="594" t="n"/>
      <c r="E29" s="594" t="n"/>
      <c r="F29" s="594" t="n"/>
      <c r="G29" s="594" t="n"/>
    </row>
    <row r="30">
      <c r="A30" s="607" t="inlineStr">
        <is>
          <t xml:space="preserve">   The 50% default assumes half of team comp is legitimate OpCo opex (lean CEO/CFO that any</t>
        </is>
      </c>
      <c r="B30" s="594" t="n"/>
      <c r="C30" s="594" t="n"/>
      <c r="D30" s="594" t="n"/>
      <c r="E30" s="594" t="n"/>
      <c r="F30" s="594" t="n"/>
      <c r="G30" s="594" t="n"/>
    </row>
    <row r="31">
      <c r="A31" s="607" t="inlineStr">
        <is>
          <t xml:space="preserve">   owner would pay) and half is GP overhead being charged through OpCos.</t>
        </is>
      </c>
      <c r="B31" s="594" t="n"/>
      <c r="C31" s="594" t="n"/>
      <c r="D31" s="594" t="n"/>
      <c r="E31" s="594" t="n"/>
      <c r="F31" s="594" t="n"/>
      <c r="G31" s="594" t="n"/>
    </row>
    <row r="32">
      <c r="A32" s="607" t="inlineStr">
        <is>
          <t>2. Bonus Pool = 100% of EBITDA margin above the 62.5% threshold flows to the team. This is</t>
        </is>
      </c>
      <c r="B32" s="594" t="n"/>
      <c r="C32" s="594" t="n"/>
      <c r="D32" s="594" t="n"/>
      <c r="E32" s="594" t="n"/>
      <c r="F32" s="594" t="n"/>
      <c r="G32" s="594" t="n"/>
    </row>
    <row r="33">
      <c r="A33" s="607" t="inlineStr">
        <is>
          <t xml:space="preserve">   carry in OpEx clothing and is not disclosed as carry in the standard waterfall.</t>
        </is>
      </c>
      <c r="B33" s="594" t="n"/>
      <c r="C33" s="594" t="n"/>
      <c r="D33" s="594" t="n"/>
      <c r="E33" s="594" t="n"/>
      <c r="F33" s="594" t="n"/>
      <c r="G33" s="594" t="n"/>
    </row>
    <row r="34">
      <c r="A34" s="607" t="inlineStr">
        <is>
          <t>3. Traditional 2/20 column uses Press models own assumption ($73.5M carry over 10Y).</t>
        </is>
      </c>
      <c r="B34" s="594" t="n"/>
      <c r="C34" s="594" t="n"/>
      <c r="D34" s="594" t="n"/>
      <c r="E34" s="594" t="n"/>
      <c r="F34" s="594" t="n"/>
      <c r="G34" s="594" t="n"/>
    </row>
    <row r="35">
      <c r="A35" s="607" t="inlineStr">
        <is>
          <t>4. GP Take ratio includes mgmt fee + team comp x allocation % + bonus pool + carry, divided</t>
        </is>
      </c>
      <c r="B35" s="594" t="n"/>
      <c r="C35" s="594" t="n"/>
      <c r="D35" s="594" t="n"/>
      <c r="E35" s="594" t="n"/>
      <c r="F35" s="594" t="n"/>
      <c r="G35" s="594" t="n"/>
    </row>
    <row r="36">
      <c r="A36" s="607" t="inlineStr">
        <is>
          <t xml:space="preserve">   by (LP net distributions + GP take).</t>
        </is>
      </c>
      <c r="B36" s="594" t="n"/>
      <c r="C36" s="594" t="n"/>
      <c r="D36" s="594" t="n"/>
      <c r="E36" s="594" t="n"/>
      <c r="F36" s="594" t="n"/>
      <c r="G36" s="594" t="n"/>
    </row>
    <row r="37">
      <c r="A37" s="594" t="n"/>
      <c r="B37" s="594" t="n"/>
      <c r="C37" s="594" t="n"/>
      <c r="D37" s="594" t="n"/>
      <c r="E37" s="594" t="n"/>
      <c r="F37" s="594" t="n"/>
      <c r="G37" s="594" t="n"/>
    </row>
    <row r="38">
      <c r="A38" s="594" t="n"/>
      <c r="B38" s="594" t="n"/>
      <c r="C38" s="594" t="n"/>
      <c r="D38" s="594" t="n"/>
      <c r="E38" s="594" t="n"/>
      <c r="F38" s="594" t="n"/>
      <c r="G38" s="594" t="n"/>
    </row>
    <row r="39">
      <c r="A39" s="594" t="n"/>
      <c r="B39" s="594" t="n"/>
      <c r="C39" s="594" t="n"/>
      <c r="D39" s="594" t="n"/>
      <c r="E39" s="594" t="n"/>
      <c r="F39" s="594" t="n"/>
      <c r="G39" s="594" t="n"/>
    </row>
    <row r="40">
      <c r="A40" s="594" t="n"/>
      <c r="B40" s="594" t="n"/>
      <c r="C40" s="594" t="n"/>
      <c r="D40" s="594" t="n"/>
      <c r="E40" s="594" t="n"/>
      <c r="F40" s="594" t="n"/>
      <c r="G40" s="594" t="n"/>
    </row>
    <row r="41">
      <c r="A41" s="594" t="n"/>
      <c r="B41" s="594" t="n"/>
      <c r="C41" s="594" t="n"/>
      <c r="D41" s="594" t="n"/>
      <c r="E41" s="594" t="n"/>
      <c r="F41" s="594" t="n"/>
      <c r="G41" s="594" t="n"/>
    </row>
    <row r="42">
      <c r="A42" s="594" t="n"/>
      <c r="B42" s="594" t="n"/>
      <c r="C42" s="594" t="n"/>
      <c r="D42" s="594" t="n"/>
      <c r="E42" s="594" t="n"/>
      <c r="F42" s="594" t="n"/>
      <c r="G42" s="594" t="n"/>
    </row>
    <row r="43">
      <c r="A43" s="594" t="n"/>
      <c r="B43" s="594" t="n"/>
      <c r="C43" s="594" t="n"/>
      <c r="D43" s="594" t="n"/>
      <c r="E43" s="594" t="n"/>
      <c r="F43" s="594" t="n"/>
      <c r="G43" s="594" t="n"/>
    </row>
    <row r="44">
      <c r="A44" s="594" t="n"/>
      <c r="B44" s="594" t="n"/>
      <c r="C44" s="594" t="n"/>
      <c r="D44" s="594" t="n"/>
      <c r="E44" s="594" t="n"/>
      <c r="F44" s="594" t="n"/>
      <c r="G44" s="594" t="n"/>
    </row>
    <row r="45">
      <c r="A45" s="594" t="n"/>
      <c r="B45" s="594" t="n"/>
      <c r="C45" s="594" t="n"/>
      <c r="D45" s="594" t="n"/>
      <c r="E45" s="594" t="n"/>
      <c r="F45" s="594" t="n"/>
      <c r="G45" s="594" t="n"/>
    </row>
    <row r="46">
      <c r="A46" s="594" t="n"/>
      <c r="B46" s="594" t="n"/>
      <c r="C46" s="594" t="n"/>
      <c r="D46" s="594" t="n"/>
      <c r="E46" s="594" t="n"/>
      <c r="F46" s="594" t="n"/>
      <c r="G46" s="594" t="n"/>
    </row>
    <row r="47">
      <c r="A47" s="594" t="n"/>
      <c r="B47" s="594" t="n"/>
      <c r="C47" s="594" t="n"/>
      <c r="D47" s="594" t="n"/>
      <c r="E47" s="594" t="n"/>
      <c r="F47" s="594" t="n"/>
      <c r="G47" s="594" t="n"/>
    </row>
    <row r="48">
      <c r="A48" s="594" t="n"/>
      <c r="B48" s="594" t="n"/>
      <c r="C48" s="594" t="n"/>
      <c r="D48" s="594" t="n"/>
      <c r="E48" s="594" t="n"/>
      <c r="F48" s="594" t="n"/>
      <c r="G48" s="594" t="n"/>
    </row>
    <row r="49">
      <c r="A49" s="594" t="n"/>
      <c r="B49" s="594" t="n"/>
      <c r="C49" s="594" t="n"/>
      <c r="D49" s="594" t="n"/>
      <c r="E49" s="594" t="n"/>
      <c r="F49" s="594" t="n"/>
      <c r="G49" s="594" t="n"/>
    </row>
    <row r="50">
      <c r="A50" s="594" t="n"/>
      <c r="B50" s="594" t="n"/>
      <c r="C50" s="594" t="n"/>
      <c r="D50" s="594" t="n"/>
      <c r="E50" s="594" t="n"/>
      <c r="F50" s="594" t="n"/>
      <c r="G50" s="594" t="n"/>
    </row>
    <row r="51">
      <c r="A51" s="594" t="n"/>
      <c r="B51" s="594" t="n"/>
      <c r="C51" s="594" t="n"/>
      <c r="D51" s="594" t="n"/>
      <c r="E51" s="594" t="n"/>
      <c r="F51" s="594" t="n"/>
      <c r="G51" s="594" t="n"/>
    </row>
    <row r="52">
      <c r="A52" s="594" t="n"/>
      <c r="B52" s="594" t="n"/>
      <c r="C52" s="594" t="n"/>
      <c r="D52" s="594" t="n"/>
      <c r="E52" s="594" t="n"/>
      <c r="F52" s="594" t="n"/>
      <c r="G52" s="594" t="n"/>
    </row>
    <row r="53">
      <c r="A53" s="594" t="n"/>
      <c r="B53" s="594" t="n"/>
      <c r="C53" s="594" t="n"/>
      <c r="D53" s="594" t="n"/>
      <c r="E53" s="594" t="n"/>
      <c r="F53" s="594" t="n"/>
      <c r="G53" s="594" t="n"/>
    </row>
    <row r="54">
      <c r="A54" s="594" t="n"/>
      <c r="B54" s="594" t="n"/>
      <c r="C54" s="594" t="n"/>
      <c r="D54" s="594" t="n"/>
      <c r="E54" s="594" t="n"/>
      <c r="F54" s="594" t="n"/>
      <c r="G54" s="594" t="n"/>
    </row>
    <row r="55">
      <c r="A55" s="594" t="n"/>
      <c r="B55" s="594" t="n"/>
      <c r="C55" s="594" t="n"/>
      <c r="D55" s="594" t="n"/>
      <c r="E55" s="594" t="n"/>
      <c r="F55" s="594" t="n"/>
      <c r="G55" s="594" t="n"/>
    </row>
    <row r="56">
      <c r="A56" s="594" t="n"/>
      <c r="B56" s="594" t="n"/>
      <c r="C56" s="594" t="n"/>
      <c r="D56" s="594" t="n"/>
      <c r="E56" s="594" t="n"/>
      <c r="F56" s="594" t="n"/>
      <c r="G56" s="594" t="n"/>
    </row>
    <row r="57">
      <c r="A57" s="594" t="n"/>
      <c r="B57" s="594" t="n"/>
      <c r="C57" s="594" t="n"/>
      <c r="D57" s="594" t="n"/>
      <c r="E57" s="594" t="n"/>
      <c r="F57" s="594" t="n"/>
      <c r="G57" s="594" t="n"/>
    </row>
    <row r="58">
      <c r="A58" s="594" t="n"/>
      <c r="B58" s="594" t="n"/>
      <c r="C58" s="594" t="n"/>
      <c r="D58" s="594" t="n"/>
      <c r="E58" s="594" t="n"/>
      <c r="F58" s="594" t="n"/>
      <c r="G58" s="594" t="n"/>
    </row>
    <row r="59">
      <c r="A59" s="594" t="n"/>
      <c r="B59" s="594" t="n"/>
      <c r="C59" s="594" t="n"/>
      <c r="D59" s="594" t="n"/>
      <c r="E59" s="594" t="n"/>
      <c r="F59" s="594" t="n"/>
      <c r="G59" s="59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2"/>
    <col width="40" customWidth="1" style="306" min="3" max="3"/>
  </cols>
  <sheetData>
    <row r="1" ht="15.75" customHeight="1" s="307">
      <c r="A1" s="471" t="inlineStr">
        <is>
          <t>DEAL PIPELINE ASSUMPTIONS</t>
        </is>
      </c>
      <c r="B1" s="309" t="n"/>
      <c r="C1" s="309" t="n"/>
    </row>
    <row r="2" ht="15" customHeight="1" s="307">
      <c r="A2" s="323" t="inlineStr">
        <is>
          <t>How 5 deals in 16 months gets done.</t>
        </is>
      </c>
    </row>
    <row r="4" ht="15" customHeight="1" s="307">
      <c r="A4" s="325" t="inlineStr">
        <is>
          <t>PIPELINE FUNNEL</t>
        </is>
      </c>
      <c r="B4" s="309" t="n"/>
      <c r="C4" s="309" t="n"/>
    </row>
    <row r="5" ht="15" customHeight="1" s="307">
      <c r="A5" s="321" t="inlineStr">
        <is>
          <t>Target Universe (B2B SaaS $20-35M ARR)</t>
        </is>
      </c>
      <c r="B5" s="422" t="n">
        <v>200</v>
      </c>
      <c r="C5" s="323" t="inlineStr">
        <is>
          <t>PitchBook, Grata, broker network, direct</t>
        </is>
      </c>
    </row>
    <row r="6" ht="15" customHeight="1" s="307">
      <c r="A6" s="321" t="inlineStr">
        <is>
          <t>Initial Screen (fit buy box)</t>
        </is>
      </c>
      <c r="B6" s="422" t="n">
        <v>50</v>
      </c>
      <c r="C6" s="323" t="inlineStr">
        <is>
          <t>25% pass rate on vertical, size, geography</t>
        </is>
      </c>
    </row>
    <row r="7" ht="15" customHeight="1" s="307">
      <c r="A7" s="321" t="inlineStr">
        <is>
          <t>IOI Submitted</t>
        </is>
      </c>
      <c r="B7" s="422" t="n">
        <v>15</v>
      </c>
      <c r="C7" s="323" t="inlineStr">
        <is>
          <t>30% of screened targets get an IOI</t>
        </is>
      </c>
    </row>
    <row r="8" ht="15" customHeight="1" s="307">
      <c r="A8" s="321" t="inlineStr">
        <is>
          <t>LOI Signed</t>
        </is>
      </c>
      <c r="B8" s="422" t="n">
        <v>8</v>
      </c>
      <c r="C8" s="323" t="inlineStr">
        <is>
          <t>~50% IOI-to-LOI conversion</t>
        </is>
      </c>
    </row>
    <row r="9" ht="15" customHeight="1" s="307">
      <c r="A9" s="321" t="inlineStr">
        <is>
          <t>Closed</t>
        </is>
      </c>
      <c r="B9" s="422" t="n">
        <v>5</v>
      </c>
      <c r="C9" s="323" t="inlineStr">
        <is>
          <t>~63% LOI-to-close (1 falls out of diligence, 2 repriced)</t>
        </is>
      </c>
    </row>
    <row r="10" ht="15" customHeight="1" s="307">
      <c r="A10" s="321" t="inlineStr">
        <is>
          <t>Close Rate (universe to close)</t>
        </is>
      </c>
      <c r="B10" s="394" t="inlineStr">
        <is>
          <t>2.5%</t>
        </is>
      </c>
      <c r="C10" s="323" t="inlineStr">
        <is>
          <t>Typical for acquisition funds at this scale</t>
        </is>
      </c>
    </row>
    <row r="12" ht="15" customHeight="1" s="307">
      <c r="A12" s="325" t="inlineStr">
        <is>
          <t>SOURCING CHANNELS</t>
        </is>
      </c>
      <c r="B12" s="309" t="n"/>
      <c r="C12" s="309" t="n"/>
    </row>
    <row r="13" ht="15" customHeight="1" s="307">
      <c r="A13" s="322" t="inlineStr">
        <is>
          <t>Sell-Side M&amp;A Advisory</t>
        </is>
      </c>
      <c r="B13" s="323" t="inlineStr">
        <is>
          <t>Founders Advisors, Kroll, Vista Point, Atlas Technology Group</t>
        </is>
      </c>
    </row>
    <row r="14" ht="15" customHeight="1" s="307">
      <c r="A14" s="322" t="inlineStr">
        <is>
          <t>SaaS Lenders (distressed portfolios)</t>
        </is>
      </c>
      <c r="B14" s="323" t="inlineStr">
        <is>
          <t>Hercules, Bigfoot, Founderpath, RevTek</t>
        </is>
      </c>
    </row>
    <row r="15" ht="15" customHeight="1" s="307">
      <c r="A15" s="322" t="inlineStr">
        <is>
          <t>PE Secondary Market</t>
        </is>
      </c>
      <c r="B15" s="323" t="inlineStr">
        <is>
          <t>Firms exiting leveraged SaaS positions in higher-rate environment</t>
        </is>
      </c>
    </row>
    <row r="16" ht="15" customHeight="1" s="307">
      <c r="A16" s="322" t="inlineStr">
        <is>
          <t>Direct Outreach</t>
        </is>
      </c>
      <c r="B16" s="323" t="inlineStr">
        <is>
          <t>Bootstrapped founders ready to exit, identified via Grata/PitchBook</t>
        </is>
      </c>
    </row>
    <row r="17" ht="15" customHeight="1" s="307">
      <c r="A17" s="322" t="inlineStr">
        <is>
          <t>Platform Registration</t>
        </is>
      </c>
      <c r="B17" s="323" t="inlineStr">
        <is>
          <t>Acquire.com, Empire Flippers, Axial</t>
        </is>
      </c>
    </row>
    <row r="19" ht="15" customHeight="1" s="307">
      <c r="A19" s="325" t="inlineStr">
        <is>
          <t>DEPLOYMENT TIMELINE</t>
        </is>
      </c>
      <c r="B19" s="309" t="n"/>
      <c r="C19" s="309" t="n"/>
    </row>
    <row r="20" ht="15" customHeight="1" s="307">
      <c r="A20" s="321" t="inlineStr">
        <is>
          <t>Fund Start</t>
        </is>
      </c>
      <c r="B20" s="321" t="inlineStr">
        <is>
          <t>Month 1</t>
        </is>
      </c>
    </row>
    <row r="21" ht="15" customHeight="1" s="307">
      <c r="A21" s="321" t="inlineStr">
        <is>
          <t>CEO + CFO only</t>
        </is>
      </c>
      <c r="B21" s="321" t="inlineStr">
        <is>
          <t>Months 1-3</t>
        </is>
      </c>
    </row>
    <row r="22" ht="15" customHeight="1" s="307">
      <c r="A22" s="321" t="inlineStr">
        <is>
          <t>Deal 1 Close</t>
        </is>
      </c>
      <c r="B22" s="321" t="inlineStr">
        <is>
          <t>Month 4</t>
        </is>
      </c>
    </row>
    <row r="23" ht="15" customHeight="1" s="307">
      <c r="A23" s="321" t="inlineStr">
        <is>
          <t>Deal 2 Close</t>
        </is>
      </c>
      <c r="B23" s="321" t="inlineStr">
        <is>
          <t>Month 7-8</t>
        </is>
      </c>
    </row>
    <row r="24" ht="15" customHeight="1" s="307">
      <c r="A24" s="321" t="inlineStr">
        <is>
          <t>Deal 3 Close</t>
        </is>
      </c>
      <c r="B24" s="321" t="inlineStr">
        <is>
          <t>Month 10-12</t>
        </is>
      </c>
    </row>
    <row r="25" ht="15" customHeight="1" s="307">
      <c r="A25" s="321" t="inlineStr">
        <is>
          <t>Deal 4 Close</t>
        </is>
      </c>
      <c r="B25" s="321" t="inlineStr">
        <is>
          <t>Month 12-14</t>
        </is>
      </c>
    </row>
    <row r="26" ht="15" customHeight="1" s="307">
      <c r="A26" s="321" t="inlineStr">
        <is>
          <t>Deal 5 Close</t>
        </is>
      </c>
      <c r="B26" s="321" t="inlineStr">
        <is>
          <t>Month 14-16</t>
        </is>
      </c>
    </row>
    <row r="27" ht="15" customHeight="1" s="307">
      <c r="A27" s="321" t="inlineStr">
        <is>
          <t>Full Team (20 people)</t>
        </is>
      </c>
      <c r="B27" s="321" t="inlineStr">
        <is>
          <t>Month 16</t>
        </is>
      </c>
    </row>
    <row r="28" ht="15" customHeight="1" s="307">
      <c r="A28" s="321" t="inlineStr">
        <is>
          <t>Total Deployment Window</t>
        </is>
      </c>
      <c r="B28" s="321" t="inlineStr">
        <is>
          <t>~12 months first to last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C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22" customWidth="1" style="306" min="2" max="3"/>
  </cols>
  <sheetData>
    <row r="1" ht="15.75" customHeight="1" s="307">
      <c r="A1" s="471" t="inlineStr">
        <is>
          <t>TAX EFFICIENCY ILLUSTRATION</t>
        </is>
      </c>
      <c r="B1" s="309" t="n"/>
      <c r="C1" s="309" t="n"/>
    </row>
    <row r="2" ht="15" customHeight="1" s="307">
      <c r="A2" s="323" t="inlineStr">
        <is>
          <t>Illustrative after-tax yields for a US-based LP. Not tax advice.</t>
        </is>
      </c>
    </row>
    <row r="4" ht="15" customHeight="1" s="307">
      <c r="B4" s="388" t="inlineStr">
        <is>
          <t>Rate / Benefit</t>
        </is>
      </c>
      <c r="C4" s="388" t="inlineStr">
        <is>
          <t>Notes</t>
        </is>
      </c>
    </row>
    <row r="6" ht="15" customHeight="1" s="307">
      <c r="A6" s="325" t="inlineStr">
        <is>
          <t>FUND STRUCTURE</t>
        </is>
      </c>
      <c r="B6" s="309" t="n"/>
      <c r="C6" s="309" t="n"/>
    </row>
    <row r="7" ht="15" customHeight="1" s="307">
      <c r="A7" s="321" t="inlineStr">
        <is>
          <t>Entity Type</t>
        </is>
      </c>
      <c r="B7" s="321" t="inlineStr">
        <is>
          <t>Pass-Through (LP)</t>
        </is>
      </c>
      <c r="C7" s="323" t="inlineStr">
        <is>
          <t>All entities are pass-through. Zero entity-level tax.</t>
        </is>
      </c>
    </row>
    <row r="8" ht="15" customHeight="1" s="307">
      <c r="A8" s="321" t="inlineStr">
        <is>
          <t>Distribution Frequency</t>
        </is>
      </c>
      <c r="B8" s="321" t="inlineStr">
        <is>
          <t>Quarterly</t>
        </is>
      </c>
      <c r="C8" s="323" t="inlineStr">
        <is>
          <t>K-1 income recognized when distributed.</t>
        </is>
      </c>
    </row>
    <row r="9" ht="15" customHeight="1" s="307">
      <c r="A9" s="321" t="inlineStr">
        <is>
          <t>Tax Form</t>
        </is>
      </c>
      <c r="B9" s="321" t="inlineStr">
        <is>
          <t>K-1 (Form 1065)</t>
        </is>
      </c>
      <c r="C9" s="323" t="inlineStr">
        <is>
          <t>LP reports pro-rata share of fund income.</t>
        </is>
      </c>
    </row>
    <row r="11" ht="15" customHeight="1" s="307">
      <c r="A11" s="325" t="inlineStr">
        <is>
          <t>AVAILABLE TAX BENEFITS</t>
        </is>
      </c>
      <c r="B11" s="309" t="n"/>
      <c r="C11" s="309" t="n"/>
    </row>
    <row r="12" ht="15" customHeight="1" s="307">
      <c r="A12" s="321" t="inlineStr">
        <is>
          <t>Top Federal Rate</t>
        </is>
      </c>
      <c r="B12" s="322" t="inlineStr">
        <is>
          <t>37%</t>
        </is>
      </c>
      <c r="C12" s="323" t="inlineStr">
        <is>
          <t>Ordinary income rate on pass-through K-1 income.</t>
        </is>
      </c>
    </row>
    <row r="13" ht="15" customHeight="1" s="307">
      <c r="A13" s="321" t="inlineStr">
        <is>
          <t>QBI Deduction (Sec 199A)</t>
        </is>
      </c>
      <c r="B13" s="322" t="inlineStr">
        <is>
          <t>Up to 20%</t>
        </is>
      </c>
      <c r="C13" s="323" t="inlineStr">
        <is>
          <t>Could reduce effective federal rate to ~29.6%. Eligibility TBD.</t>
        </is>
      </c>
    </row>
    <row r="14" ht="15" customHeight="1" s="307">
      <c r="A14" s="321" t="inlineStr">
        <is>
          <t>Carried Interest (3yr hold)</t>
        </is>
      </c>
      <c r="B14" s="322" t="inlineStr">
        <is>
          <t>23.8%</t>
        </is>
      </c>
      <c r="C14" s="323" t="inlineStr">
        <is>
          <t>20% LTCG + 3.8% NIIT vs 37% ordinary. Applies to GP carry.</t>
        </is>
      </c>
    </row>
    <row r="15" ht="15" customHeight="1" s="307">
      <c r="A15" s="321" t="inlineStr">
        <is>
          <t>State Tax</t>
        </is>
      </c>
      <c r="B15" s="322" t="inlineStr">
        <is>
          <t>Varies</t>
        </is>
      </c>
      <c r="C15" s="323" t="inlineStr">
        <is>
          <t>No state tax in WY, NV, TX, FL, WA, SD, TN, NH.</t>
        </is>
      </c>
    </row>
    <row r="17" ht="15" customHeight="1" s="307">
      <c r="A17" s="325" t="inlineStr">
        <is>
          <t>ILLUSTRATIVE AFTER-TAX YIELD</t>
        </is>
      </c>
      <c r="B17" s="309" t="n"/>
      <c r="C17" s="309" t="n"/>
    </row>
    <row r="18" ht="15" customHeight="1" s="307">
      <c r="A18" s="321" t="inlineStr">
        <is>
          <t>Steady State Annual Distribution (Y5)</t>
        </is>
      </c>
      <c r="B18" s="459" t="n">
        <v>58.9194214767609</v>
      </c>
    </row>
    <row r="19" ht="15" customHeight="1" s="307">
      <c r="A19" s="322" t="inlineStr">
        <is>
          <t>Pre-Tax Cash Yield</t>
        </is>
      </c>
      <c r="B19" s="579" t="n">
        <v>0.307737498572866</v>
      </c>
    </row>
    <row r="20" ht="15" customHeight="1" s="307">
      <c r="A20" s="321" t="inlineStr">
        <is>
          <t>After-Tax Yield: At 37% federal</t>
        </is>
      </c>
      <c r="B20" s="327" t="n">
        <v>0.186119639136869</v>
      </c>
      <c r="C20" s="323" t="inlineStr">
        <is>
          <t>Effective rate: 37.0%</t>
        </is>
      </c>
    </row>
    <row r="21" ht="15" customHeight="1" s="307">
      <c r="A21" s="321" t="inlineStr">
        <is>
          <t>After-Tax Yield: At 29.6% (with QBI)</t>
        </is>
      </c>
      <c r="B21" s="327" t="n">
        <v>0.207981311035486</v>
      </c>
      <c r="C21" s="323" t="inlineStr">
        <is>
          <t>Effective rate: 29.6%</t>
        </is>
      </c>
    </row>
    <row r="22" ht="15" customHeight="1" s="307">
      <c r="A22" s="321" t="inlineStr">
        <is>
          <t>After-Tax Yield: Zero state tax</t>
        </is>
      </c>
      <c r="B22" s="327" t="n">
        <v>0.207981311035486</v>
      </c>
      <c r="C22" s="323" t="inlineStr">
        <is>
          <t>Effective rate: 29.6%</t>
        </is>
      </c>
    </row>
    <row r="23" ht="15" customHeight="1" s="307">
      <c r="A23" s="321" t="inlineStr">
        <is>
          <t>After-Tax Yield: CA resident (37%+13.3%)</t>
        </is>
      </c>
      <c r="B23" s="327" t="n">
        <v>0.146827715319086</v>
      </c>
      <c r="C23" s="323" t="inlineStr">
        <is>
          <t>Effective rate: 50.3%</t>
        </is>
      </c>
    </row>
    <row r="25" ht="15" customHeight="1" s="307">
      <c r="A25" s="323" t="inlineStr">
        <is>
          <t>Consult your tax advisor. Press does not provide tax advice.</t>
        </is>
      </c>
    </row>
    <row r="26" ht="15" customHeight="1" s="307">
      <c r="A26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4"/>
    <col width="24" customWidth="1" style="306" min="5" max="5"/>
  </cols>
  <sheetData>
    <row r="1" ht="15.75" customHeight="1" s="307">
      <c r="A1" s="471" t="inlineStr">
        <is>
          <t>PRESS CAPITAL FUND I  --  CAP TABLE</t>
        </is>
      </c>
      <c r="B1" s="309" t="n"/>
      <c r="C1" s="309" t="n"/>
      <c r="D1" s="309" t="n"/>
      <c r="E1" s="309" t="n"/>
    </row>
    <row r="3" ht="15" customHeight="1" s="307">
      <c r="A3" s="325" t="inlineStr">
        <is>
          <t>WATERFALL BY TIER</t>
        </is>
      </c>
      <c r="B3" s="309" t="n"/>
      <c r="C3" s="309" t="n"/>
      <c r="D3" s="309" t="n"/>
      <c r="F3" s="309" t="n"/>
    </row>
    <row r="4" ht="15" customHeight="1" s="307">
      <c r="A4" s="388" t="inlineStr">
        <is>
          <t>Phase</t>
        </is>
      </c>
      <c r="B4" s="388" t="inlineStr">
        <is>
          <t>Trigger</t>
        </is>
      </c>
      <c r="C4" s="388" t="inlineStr">
        <is>
          <t>LP Share</t>
        </is>
      </c>
      <c r="D4" s="388" t="inlineStr">
        <is>
          <t>GP Share</t>
        </is>
      </c>
      <c r="E4" s="387" t="n"/>
    </row>
    <row r="5" ht="15" customHeight="1" s="307">
      <c r="A5" s="322" t="inlineStr">
        <is>
          <t>Return of Capital</t>
        </is>
      </c>
      <c r="B5" s="321" t="inlineStr">
        <is>
          <t>Until LPs receive 1x</t>
        </is>
      </c>
      <c r="C5" s="354" t="inlineStr">
        <is>
          <t>100%</t>
        </is>
      </c>
      <c r="D5" s="404" t="inlineStr">
        <is>
          <t>0%</t>
        </is>
      </c>
      <c r="E5" s="321" t="n"/>
    </row>
    <row r="6" ht="15" customHeight="1" s="307">
      <c r="A6" s="322" t="inlineStr">
        <is>
          <t>Preferred Return</t>
        </is>
      </c>
      <c r="B6" s="321" t="inlineStr">
        <is>
          <t>10% on unreturned capital</t>
        </is>
      </c>
      <c r="C6" s="354" t="inlineStr">
        <is>
          <t>100%</t>
        </is>
      </c>
      <c r="D6" s="404" t="inlineStr">
        <is>
          <t>0%</t>
        </is>
      </c>
      <c r="E6" s="321" t="n"/>
    </row>
    <row r="7" ht="15" customHeight="1" s="307">
      <c r="A7" s="322" t="inlineStr">
        <is>
          <t>Carry</t>
        </is>
      </c>
      <c r="B7" s="321" t="inlineStr">
        <is>
          <t>After RoC + pref satisfied</t>
        </is>
      </c>
      <c r="C7" s="394" t="inlineStr">
        <is>
          <t>80%</t>
        </is>
      </c>
      <c r="D7" s="394" t="inlineStr">
        <is>
          <t>20%</t>
        </is>
      </c>
    </row>
    <row r="8" ht="15" customHeight="1" s="307">
      <c r="A8" s="438" t="n"/>
      <c r="F8" s="309" t="n"/>
    </row>
    <row r="9" ht="15" customHeight="1" s="307">
      <c r="A9" s="426" t="inlineStr">
        <is>
          <t>LP RETURNS BY COMMITMENT</t>
        </is>
      </c>
      <c r="B9" s="388" t="n"/>
      <c r="C9" s="388" t="n"/>
      <c r="D9" s="388" t="n"/>
      <c r="E9" s="387" t="n"/>
    </row>
    <row r="10" ht="15" customHeight="1" s="307">
      <c r="A10" s="388" t="inlineStr">
        <is>
          <t>Commitment</t>
        </is>
      </c>
      <c r="B10" s="388" t="inlineStr">
        <is>
          <t>10Y Cash Back</t>
        </is>
      </c>
      <c r="C10" s="388" t="inlineStr">
        <is>
          <t>15Y Cash Back</t>
        </is>
      </c>
      <c r="D10" s="388" t="inlineStr">
        <is>
          <t>15Y MOIC</t>
        </is>
      </c>
    </row>
    <row r="11" ht="15" customHeight="1" s="307">
      <c r="A11" s="394" t="inlineStr">
        <is>
          <t>$5mm</t>
        </is>
      </c>
      <c r="B11" s="354" t="n">
        <v>10.9416637087504</v>
      </c>
      <c r="C11" s="354" t="n">
        <v>11.7393660565395</v>
      </c>
      <c r="D11" s="441" t="n">
        <v>2.34787321130789</v>
      </c>
    </row>
    <row r="12" ht="15" customHeight="1" s="307">
      <c r="A12" s="394" t="inlineStr">
        <is>
          <t>$10mm</t>
        </is>
      </c>
      <c r="B12" s="354" t="n">
        <v>21.8833274175009</v>
      </c>
      <c r="C12" s="354" t="n">
        <v>23.4787321130789</v>
      </c>
      <c r="D12" s="441" t="n">
        <v>2.34787321130789</v>
      </c>
    </row>
    <row r="13" ht="15" customHeight="1" s="307">
      <c r="A13" s="394" t="inlineStr">
        <is>
          <t>$15mm</t>
        </is>
      </c>
      <c r="B13" s="354" t="n">
        <v>32.8249911262513</v>
      </c>
      <c r="C13" s="354" t="n">
        <v>35.2180981696184</v>
      </c>
      <c r="D13" s="441" t="n">
        <v>2.34787321130789</v>
      </c>
    </row>
    <row r="14" ht="15" customHeight="1" s="307">
      <c r="A14" s="394" t="inlineStr">
        <is>
          <t>$20mm</t>
        </is>
      </c>
      <c r="B14" s="354" t="n">
        <v>43.7666548350017</v>
      </c>
      <c r="C14" s="354" t="n">
        <v>46.9574642261578</v>
      </c>
      <c r="D14" s="441" t="n">
        <v>2.34787321130789</v>
      </c>
    </row>
    <row r="15" ht="15" customHeight="1" s="307">
      <c r="A15" s="394" t="inlineStr">
        <is>
          <t>$25mm</t>
        </is>
      </c>
      <c r="B15" s="354" t="n">
        <v>54.7083185437522</v>
      </c>
      <c r="C15" s="354" t="n">
        <v>58.6968302826973</v>
      </c>
      <c r="D15" s="441" t="n">
        <v>2.34787321130789</v>
      </c>
    </row>
    <row r="16" ht="15" customHeight="1" s="307">
      <c r="A16" s="438" t="n"/>
      <c r="F16" s="309" t="n"/>
    </row>
    <row r="17" ht="15" customHeight="1" s="307">
      <c r="A17" s="387" t="n"/>
      <c r="B17" s="387" t="n"/>
      <c r="C17" s="387" t="n"/>
      <c r="D17" s="387" t="n"/>
      <c r="E17" s="387" t="n"/>
    </row>
    <row r="18" ht="15" customHeight="1" s="307">
      <c r="A18" s="580" t="n"/>
      <c r="B18" s="404" t="n"/>
      <c r="C18" s="354" t="n"/>
      <c r="D18" s="354" t="n"/>
      <c r="E18" s="441" t="n"/>
    </row>
    <row r="19" ht="15" customHeight="1" s="307">
      <c r="A19" s="580" t="n"/>
      <c r="B19" s="404" t="n"/>
      <c r="C19" s="354" t="n"/>
      <c r="D19" s="354" t="n"/>
      <c r="E19" s="441" t="n"/>
    </row>
    <row r="20" ht="15" customHeight="1" s="307">
      <c r="A20" s="580" t="n"/>
      <c r="B20" s="404" t="n"/>
      <c r="C20" s="354" t="n"/>
      <c r="D20" s="354" t="n"/>
      <c r="E20" s="441" t="n"/>
    </row>
    <row r="21" ht="15" customHeight="1" s="307">
      <c r="A21" s="580" t="n"/>
      <c r="B21" s="404" t="n"/>
      <c r="C21" s="354" t="n"/>
      <c r="D21" s="354" t="n"/>
      <c r="E21" s="441" t="n"/>
    </row>
    <row r="22" ht="15" customHeight="1" s="307">
      <c r="A22" s="580" t="n"/>
      <c r="B22" s="404" t="n"/>
      <c r="C22" s="354" t="n"/>
      <c r="D22" s="354" t="n"/>
      <c r="E22" s="441" t="n"/>
    </row>
    <row r="23" ht="15" customHeight="1" s="307">
      <c r="A23" s="580" t="n"/>
      <c r="B23" s="404" t="n"/>
      <c r="C23" s="354" t="n"/>
      <c r="D23" s="354" t="n"/>
      <c r="E23" s="441" t="n"/>
    </row>
    <row r="25" ht="15" customHeight="1" s="307">
      <c r="A25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06" min="1" max="1"/>
    <col width="16" customWidth="1" style="306" min="2" max="3"/>
    <col width="35" customWidth="1" style="307" min="3" max="3"/>
  </cols>
  <sheetData>
    <row r="1" ht="15.75" customHeight="1" s="307">
      <c r="A1" s="612" t="inlineStr">
        <is>
          <t>FUND I  --  SOURCES &amp; USES (RESTATED)</t>
        </is>
      </c>
      <c r="B1" s="613" t="n"/>
      <c r="C1" s="614" t="n"/>
    </row>
    <row r="2">
      <c r="A2" s="615" t="inlineStr">
        <is>
          <t>Per-deal ARR capped at $24M; 1.24x entry; 50/50 sev split.</t>
        </is>
      </c>
      <c r="B2" s="614" t="n"/>
      <c r="C2" s="614" t="n"/>
    </row>
    <row r="3" ht="15" customHeight="1" s="307">
      <c r="A3" s="613" t="n"/>
      <c r="B3" s="613" t="n"/>
      <c r="C3" s="614" t="n"/>
    </row>
    <row r="4" ht="15" customHeight="1" s="307">
      <c r="A4" s="616" t="inlineStr">
        <is>
          <t>SOURCES</t>
        </is>
      </c>
      <c r="B4" s="617" t="n"/>
      <c r="C4" s="618" t="n"/>
    </row>
    <row r="5" ht="15" customHeight="1" s="307">
      <c r="A5" s="613" t="inlineStr">
        <is>
          <t>LP Capital Commitments</t>
        </is>
      </c>
      <c r="B5" s="619" t="n">
        <v>150</v>
      </c>
      <c r="C5" s="614" t="n"/>
    </row>
    <row r="6" ht="15" customHeight="1" s="307">
      <c r="A6" s="620" t="inlineStr">
        <is>
          <t>Total Sources</t>
        </is>
      </c>
      <c r="B6" s="621">
        <f>B5</f>
        <v/>
      </c>
      <c r="C6" s="622" t="n"/>
    </row>
    <row r="7" ht="15" customHeight="1" s="307">
      <c r="A7" s="613" t="n"/>
      <c r="B7" s="623" t="n"/>
      <c r="C7" s="614" t="n"/>
    </row>
    <row r="8" ht="15" customHeight="1" s="307">
      <c r="A8" s="616" t="inlineStr">
        <is>
          <t>USES</t>
        </is>
      </c>
      <c r="B8" s="624" t="n"/>
      <c r="C8" s="618" t="n"/>
    </row>
    <row r="9" ht="15" customHeight="1" s="307">
      <c r="A9" s="622" t="inlineStr">
        <is>
          <t>Gross Deal Purchases (5 deals x $24M ARR x 1.24x)</t>
        </is>
      </c>
      <c r="B9" s="625">
        <f>5*24*1.24</f>
        <v/>
      </c>
      <c r="C9" s="614">
        <f> $148.8M</f>
        <v/>
      </c>
    </row>
    <row r="10" ht="15" customHeight="1" s="307">
      <c r="A10" s="613" t="inlineStr">
        <is>
          <t>Severance Discount (seller 50% share)</t>
        </is>
      </c>
      <c r="B10" s="619">
        <f>-5*24*0.1154*0.5</f>
        <v/>
      </c>
      <c r="C10" s="614" t="inlineStr">
        <is>
          <t>auto from ARR x 0.1154 x 50%</t>
        </is>
      </c>
    </row>
    <row r="11" ht="15" customHeight="1" s="307">
      <c r="A11" s="626" t="inlineStr">
        <is>
          <t>Net Capital Deployed</t>
        </is>
      </c>
      <c r="B11" s="619">
        <f>B9+B10</f>
        <v/>
      </c>
      <c r="C11" s="614" t="n"/>
    </row>
    <row r="12" ht="15" customHeight="1" s="307">
      <c r="A12" s="613" t="inlineStr">
        <is>
          <t>Management Fee (Y1 only)</t>
        </is>
      </c>
      <c r="B12" s="619" t="n">
        <v>3</v>
      </c>
      <c r="C12" s="614" t="n"/>
    </row>
    <row r="13" ht="15" customHeight="1" s="307">
      <c r="A13" s="613" t="inlineStr">
        <is>
          <t>Partnership Expenses Reserve (15Y)</t>
        </is>
      </c>
      <c r="B13" s="619" t="n">
        <v>0</v>
      </c>
      <c r="C13" s="627" t="inlineStr">
        <is>
          <t>unfunded -- see Note 2</t>
        </is>
      </c>
    </row>
    <row r="14" ht="15" customHeight="1" s="307">
      <c r="A14" s="613" t="inlineStr">
        <is>
          <t>Broken Deal Cost Reserve</t>
        </is>
      </c>
      <c r="B14" s="619" t="n">
        <v>0</v>
      </c>
      <c r="C14" s="627" t="inlineStr">
        <is>
          <t>unfunded -- see Note 3</t>
        </is>
      </c>
    </row>
    <row r="15">
      <c r="A15" s="628" t="inlineStr">
        <is>
          <t>Total Uses</t>
        </is>
      </c>
      <c r="B15" s="629">
        <f>B11+B12+B13+B14</f>
        <v/>
      </c>
      <c r="C15" s="614" t="n"/>
    </row>
    <row r="16" ht="15" customHeight="1" s="307">
      <c r="A16" s="613" t="n"/>
      <c r="B16" s="619" t="n"/>
      <c r="C16" s="614" t="n"/>
    </row>
    <row r="17" ht="15" customHeight="1" s="307">
      <c r="A17" s="626" t="inlineStr">
        <is>
          <t>Cushion (Sources - Uses)</t>
        </is>
      </c>
      <c r="B17" s="630">
        <f>B6-B15</f>
        <v/>
      </c>
      <c r="C17" s="627" t="inlineStr">
        <is>
          <t>TIGHT -- see Note 2-3</t>
        </is>
      </c>
    </row>
    <row r="18" ht="15" customHeight="1" s="307">
      <c r="A18" s="613" t="n"/>
      <c r="B18" s="619" t="n"/>
      <c r="C18" s="614" t="n"/>
    </row>
    <row r="19" ht="15" customHeight="1" s="307">
      <c r="A19" s="613" t="n"/>
      <c r="B19" s="619" t="n"/>
      <c r="C19" s="614" t="n"/>
    </row>
    <row r="20" ht="15" customHeight="1" s="307">
      <c r="A20" s="626" t="inlineStr">
        <is>
          <t>NOTES:</t>
        </is>
      </c>
      <c r="B20" s="614" t="n"/>
      <c r="C20" s="614" t="n"/>
    </row>
    <row r="21">
      <c r="A21" s="615" t="inlineStr">
        <is>
          <t>1. Original model showed $158.78M deployed against $150M raised  --&gt;  $11.78M shortfall.</t>
        </is>
      </c>
      <c r="B21" s="614" t="n"/>
      <c r="C21" s="614" t="n"/>
    </row>
    <row r="22" ht="15" customHeight="1" s="307">
      <c r="A22" s="631" t="inlineStr">
        <is>
          <t xml:space="preserve">   Fix: cap per-deal ARR at $24M (was $25.6-30.1M). Closes the deployment gap.</t>
        </is>
      </c>
      <c r="B22" s="632" t="n"/>
      <c r="C22" s="622" t="n"/>
    </row>
    <row r="23">
      <c r="A23" s="615" t="inlineStr">
        <is>
          <t>2. Partnership Expenses (audit, legal, D&amp;O, fund admin) typically run $200-500K/yr.</t>
        </is>
      </c>
      <c r="B23" s="614" t="n"/>
      <c r="C23" s="614" t="n"/>
    </row>
    <row r="24" ht="15" customHeight="1" s="307">
      <c r="A24" s="593" t="inlineStr">
        <is>
          <t xml:space="preserve">   Over 15Y this is $3-7M of unfunded fund-level OpEx. Currently flowing through OpCos</t>
        </is>
      </c>
      <c r="B24" s="619" t="n"/>
      <c r="C24" s="614" t="n"/>
    </row>
    <row r="25" ht="15" customHeight="1" s="307">
      <c r="A25" s="593" t="inlineStr">
        <is>
          <t xml:space="preserve">   --&gt; further LP-invisible economics. Should be funded from a reserve.</t>
        </is>
      </c>
      <c r="B25" s="614" t="n"/>
      <c r="C25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QUARTERLY LP DISTRIBUTIONS  --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</row>
    <row r="3" ht="15" customHeight="1" s="307">
      <c r="A3" s="388" t="inlineStr">
        <is>
          <t>Quarter</t>
        </is>
      </c>
      <c r="B3" s="388" t="inlineStr">
        <is>
          <t>Distributable</t>
        </is>
      </c>
      <c r="C3" s="388" t="inlineStr">
        <is>
          <t>LP Cash</t>
        </is>
      </c>
      <c r="D3" s="388" t="inlineStr">
        <is>
          <t>GP Carry</t>
        </is>
      </c>
      <c r="E3" s="388" t="inlineStr">
        <is>
          <t>Cum LP</t>
        </is>
      </c>
      <c r="F3" s="388" t="inlineStr">
        <is>
          <t>Cum GP</t>
        </is>
      </c>
    </row>
    <row r="4" ht="15" customHeight="1" s="307">
      <c r="A4" s="498" t="inlineStr">
        <is>
          <t>Y1 Q1</t>
        </is>
      </c>
      <c r="B4" s="476" t="n">
        <v>-1.1482375</v>
      </c>
      <c r="C4" s="476" t="n">
        <v>0</v>
      </c>
      <c r="D4" s="476" t="n">
        <v>0</v>
      </c>
      <c r="E4" s="476" t="n">
        <v>0</v>
      </c>
      <c r="F4" s="476" t="n">
        <v>0</v>
      </c>
    </row>
    <row r="5" ht="15" customHeight="1" s="307">
      <c r="A5" s="321" t="inlineStr">
        <is>
          <t>Y1 Q2</t>
        </is>
      </c>
      <c r="B5" s="354" t="n">
        <v>-1.34078958333333</v>
      </c>
      <c r="C5" s="354" t="n">
        <v>0</v>
      </c>
      <c r="D5" s="354" t="n">
        <v>0</v>
      </c>
      <c r="E5" s="354" t="n">
        <v>0</v>
      </c>
      <c r="F5" s="354" t="n">
        <v>0</v>
      </c>
    </row>
    <row r="6" ht="15" customHeight="1" s="307">
      <c r="A6" s="321" t="inlineStr">
        <is>
          <t>Y1 Q3</t>
        </is>
      </c>
      <c r="B6" s="354" t="n">
        <v>0.969873430136904</v>
      </c>
      <c r="C6" s="354" t="n">
        <v>0.969873430136904</v>
      </c>
      <c r="D6" s="354" t="n">
        <v>0</v>
      </c>
      <c r="E6" s="354" t="n">
        <v>0.969873430136904</v>
      </c>
      <c r="F6" s="354" t="n">
        <v>0</v>
      </c>
    </row>
    <row r="7" ht="15" customHeight="1" s="307">
      <c r="A7" s="321" t="inlineStr">
        <is>
          <t>Y1 Q4</t>
        </is>
      </c>
      <c r="B7" s="354" t="n">
        <v>4.51662823844142</v>
      </c>
      <c r="C7" s="354" t="n">
        <v>4.51662823844142</v>
      </c>
      <c r="D7" s="354" t="n">
        <v>0</v>
      </c>
      <c r="E7" s="354" t="n">
        <v>5.48650166857833</v>
      </c>
      <c r="F7" s="354" t="n">
        <v>0</v>
      </c>
    </row>
    <row r="8" ht="15" customHeight="1" s="307">
      <c r="A8" s="498" t="inlineStr">
        <is>
          <t>Y2 Q1</t>
        </is>
      </c>
      <c r="B8" s="476" t="n">
        <v>10.3065410731599</v>
      </c>
      <c r="C8" s="476" t="n">
        <v>10.3065410731599</v>
      </c>
      <c r="D8" s="476" t="n">
        <v>0</v>
      </c>
      <c r="E8" s="476" t="n">
        <v>15.7930427417382</v>
      </c>
      <c r="F8" s="476" t="n">
        <v>0</v>
      </c>
    </row>
    <row r="9" ht="15" customHeight="1" s="307">
      <c r="A9" s="321" t="inlineStr">
        <is>
          <t>Y2 Q2</t>
        </is>
      </c>
      <c r="B9" s="354" t="n">
        <v>15.1845827222998</v>
      </c>
      <c r="C9" s="354" t="n">
        <v>15.1845827222998</v>
      </c>
      <c r="D9" s="354" t="n">
        <v>0</v>
      </c>
      <c r="E9" s="354" t="n">
        <v>30.977625464038</v>
      </c>
      <c r="F9" s="354" t="n">
        <v>0</v>
      </c>
    </row>
    <row r="10" ht="15" customHeight="1" s="307">
      <c r="A10" s="321" t="inlineStr">
        <is>
          <t>Y2 Q3</t>
        </is>
      </c>
      <c r="B10" s="354" t="n">
        <v>18.4842780264983</v>
      </c>
      <c r="C10" s="354" t="n">
        <v>18.4842780264983</v>
      </c>
      <c r="D10" s="354" t="n">
        <v>0</v>
      </c>
      <c r="E10" s="354" t="n">
        <v>49.4619034905363</v>
      </c>
      <c r="F10" s="354" t="n">
        <v>0</v>
      </c>
    </row>
    <row r="11" ht="15" customHeight="1" s="307">
      <c r="A11" s="321" t="inlineStr">
        <is>
          <t>Y2 Q4</t>
        </is>
      </c>
      <c r="B11" s="354" t="n">
        <v>20.1366372498505</v>
      </c>
      <c r="C11" s="354" t="n">
        <v>20.1366372498505</v>
      </c>
      <c r="D11" s="354" t="n">
        <v>0</v>
      </c>
      <c r="E11" s="354" t="n">
        <v>69.5985407403868</v>
      </c>
      <c r="F11" s="354" t="n">
        <v>0</v>
      </c>
    </row>
    <row r="12" ht="15" customHeight="1" s="307">
      <c r="A12" s="498" t="inlineStr">
        <is>
          <t>Y3 Q1</t>
        </is>
      </c>
      <c r="B12" s="476" t="n">
        <v>20.1225486220774</v>
      </c>
      <c r="C12" s="476" t="n">
        <v>20.1225486220774</v>
      </c>
      <c r="D12" s="476" t="n">
        <v>0</v>
      </c>
      <c r="E12" s="476" t="n">
        <v>89.7210893624642</v>
      </c>
      <c r="F12" s="476" t="n">
        <v>0</v>
      </c>
    </row>
    <row r="13" ht="15" customHeight="1" s="307">
      <c r="A13" s="321" t="inlineStr">
        <is>
          <t>Y3 Q2</t>
        </is>
      </c>
      <c r="B13" s="354" t="n">
        <v>19.8081874352097</v>
      </c>
      <c r="C13" s="354" t="n">
        <v>19.8081874352097</v>
      </c>
      <c r="D13" s="354" t="n">
        <v>0</v>
      </c>
      <c r="E13" s="354" t="n">
        <v>109.529276797674</v>
      </c>
      <c r="F13" s="354" t="n">
        <v>0</v>
      </c>
    </row>
    <row r="14" ht="15" customHeight="1" s="307">
      <c r="A14" s="321" t="inlineStr">
        <is>
          <t>Y3 Q3</t>
        </is>
      </c>
      <c r="B14" s="354" t="n">
        <v>19.2325103972434</v>
      </c>
      <c r="C14" s="354" t="n">
        <v>19.2325103972434</v>
      </c>
      <c r="D14" s="354" t="n">
        <v>0</v>
      </c>
      <c r="E14" s="354" t="n">
        <v>128.761787194917</v>
      </c>
      <c r="F14" s="354" t="n">
        <v>0</v>
      </c>
    </row>
    <row r="15" ht="15" customHeight="1" s="307">
      <c r="A15" s="321" t="inlineStr">
        <is>
          <t>Y3 Q4</t>
        </is>
      </c>
      <c r="B15" s="354" t="n">
        <v>11.7205268451036</v>
      </c>
      <c r="C15" s="354" t="n">
        <v>11.7205268451036</v>
      </c>
      <c r="D15" s="354" t="n">
        <v>0</v>
      </c>
      <c r="E15" s="354" t="n">
        <v>140.482314040021</v>
      </c>
      <c r="F15" s="354" t="n">
        <v>0</v>
      </c>
    </row>
    <row r="16" ht="15" customHeight="1" s="307">
      <c r="A16" s="498" t="inlineStr">
        <is>
          <t>Y4 Q1</t>
        </is>
      </c>
      <c r="B16" s="476" t="n">
        <v>18.1665031426843</v>
      </c>
      <c r="C16" s="476" t="n">
        <v>18.1665031426843</v>
      </c>
      <c r="D16" s="476" t="n">
        <v>0</v>
      </c>
      <c r="E16" s="476" t="n">
        <v>158.648817182705</v>
      </c>
      <c r="F16" s="476" t="n">
        <v>0</v>
      </c>
    </row>
    <row r="17" ht="15" customHeight="1" s="307">
      <c r="A17" s="321" t="inlineStr">
        <is>
          <t>Y4 Q2</t>
        </is>
      </c>
      <c r="B17" s="354" t="n">
        <v>17.6732914750319</v>
      </c>
      <c r="C17" s="354" t="n">
        <v>17.6732914750319</v>
      </c>
      <c r="D17" s="354" t="n">
        <v>0</v>
      </c>
      <c r="E17" s="354" t="n">
        <v>176.322108657737</v>
      </c>
      <c r="F17" s="354" t="n">
        <v>0</v>
      </c>
    </row>
    <row r="18" ht="15" customHeight="1" s="307">
      <c r="A18" s="321" t="inlineStr">
        <is>
          <t>Y4 Q3</t>
        </is>
      </c>
      <c r="B18" s="354" t="n">
        <v>17.2048104914548</v>
      </c>
      <c r="C18" s="354" t="n">
        <v>17.2048104914548</v>
      </c>
      <c r="D18" s="354" t="n">
        <v>0</v>
      </c>
      <c r="E18" s="354" t="n">
        <v>193.526919149192</v>
      </c>
      <c r="F18" s="354" t="n">
        <v>0</v>
      </c>
    </row>
    <row r="19" ht="15" customHeight="1" s="307">
      <c r="A19" s="321" t="inlineStr">
        <is>
          <t>Y4 Q4</t>
        </is>
      </c>
      <c r="B19" s="354" t="n">
        <v>11.2438872062909</v>
      </c>
      <c r="C19" s="354" t="n">
        <v>8.581725935194349</v>
      </c>
      <c r="D19" s="354" t="n">
        <v>2.66216127109653</v>
      </c>
      <c r="E19" s="354" t="n">
        <v>202.108645084386</v>
      </c>
      <c r="F19" s="354" t="n">
        <v>2.66216127109653</v>
      </c>
    </row>
    <row r="20" ht="15" customHeight="1" s="307">
      <c r="A20" s="498" t="inlineStr">
        <is>
          <t>Y5 Q1</t>
        </is>
      </c>
      <c r="B20" s="476" t="n">
        <v>17.2917492212284</v>
      </c>
      <c r="C20" s="476" t="n">
        <v>13.8333993769827</v>
      </c>
      <c r="D20" s="476" t="n">
        <v>3.45834984424569</v>
      </c>
      <c r="E20" s="476" t="n">
        <v>215.942044461369</v>
      </c>
      <c r="F20" s="476" t="n">
        <v>6.12051111534222</v>
      </c>
    </row>
    <row r="21" ht="15" customHeight="1" s="307">
      <c r="A21" s="321" t="inlineStr">
        <is>
          <t>Y5 Q2</t>
        </is>
      </c>
      <c r="B21" s="354" t="n">
        <v>16.8901516028601</v>
      </c>
      <c r="C21" s="354" t="n">
        <v>13.512121282288</v>
      </c>
      <c r="D21" s="354" t="n">
        <v>3.37803032057201</v>
      </c>
      <c r="E21" s="354" t="n">
        <v>229.454165743657</v>
      </c>
      <c r="F21" s="354" t="n">
        <v>9.49854143591423</v>
      </c>
    </row>
    <row r="22" ht="15" customHeight="1" s="307">
      <c r="A22" s="321" t="inlineStr">
        <is>
          <t>Y5 Q3</t>
        </is>
      </c>
      <c r="B22" s="354" t="n">
        <v>16.5086183657749</v>
      </c>
      <c r="C22" s="354" t="n">
        <v>13.2068946926199</v>
      </c>
      <c r="D22" s="354" t="n">
        <v>3.30172367315497</v>
      </c>
      <c r="E22" s="354" t="n">
        <v>242.661060436277</v>
      </c>
      <c r="F22" s="354" t="n">
        <v>12.8002651090692</v>
      </c>
    </row>
    <row r="23" ht="15" customHeight="1" s="307">
      <c r="A23" s="321" t="inlineStr">
        <is>
          <t>Y5 Q4</t>
        </is>
      </c>
      <c r="B23" s="354" t="n">
        <v>8.228902286897529</v>
      </c>
      <c r="C23" s="354" t="n">
        <v>6.58312182951803</v>
      </c>
      <c r="D23" s="354" t="n">
        <v>1.64578045737951</v>
      </c>
      <c r="E23" s="354" t="n">
        <v>249.244182265795</v>
      </c>
      <c r="F23" s="354" t="n">
        <v>14.4460455664487</v>
      </c>
    </row>
    <row r="24" ht="15" customHeight="1" s="307">
      <c r="A24" s="498" t="inlineStr">
        <is>
          <t>Y6 Q1</t>
        </is>
      </c>
      <c r="B24" s="476" t="n">
        <v>15.8017178280016</v>
      </c>
      <c r="C24" s="476" t="n">
        <v>12.6413742624013</v>
      </c>
      <c r="D24" s="476" t="n">
        <v>3.16034356560032</v>
      </c>
      <c r="E24" s="476" t="n">
        <v>261.885556528196</v>
      </c>
      <c r="F24" s="476" t="n">
        <v>17.606389132049</v>
      </c>
    </row>
    <row r="25" ht="15" customHeight="1" s="307">
      <c r="A25" s="321" t="inlineStr">
        <is>
          <t>Y6 Q2</t>
        </is>
      </c>
      <c r="B25" s="354" t="n">
        <v>15.4744656916974</v>
      </c>
      <c r="C25" s="354" t="n">
        <v>12.3795725533579</v>
      </c>
      <c r="D25" s="354" t="n">
        <v>3.09489313833947</v>
      </c>
      <c r="E25" s="354" t="n">
        <v>274.265129081554</v>
      </c>
      <c r="F25" s="354" t="n">
        <v>20.7012822703885</v>
      </c>
    </row>
    <row r="26" ht="15" customHeight="1" s="307">
      <c r="A26" s="321" t="inlineStr">
        <is>
          <t>Y6 Q3</t>
        </is>
      </c>
      <c r="B26" s="354" t="n">
        <v>15.1635029193393</v>
      </c>
      <c r="C26" s="354" t="n">
        <v>12.1308023354715</v>
      </c>
      <c r="D26" s="354" t="n">
        <v>3.03270058386786</v>
      </c>
      <c r="E26" s="354" t="n">
        <v>286.395931417026</v>
      </c>
      <c r="F26" s="354" t="n">
        <v>23.7339828542564</v>
      </c>
    </row>
    <row r="27" ht="15" customHeight="1" s="307">
      <c r="A27" s="321" t="inlineStr">
        <is>
          <t>Y6 Q4</t>
        </is>
      </c>
      <c r="B27" s="354" t="n">
        <v>8.105559223103119</v>
      </c>
      <c r="C27" s="354" t="n">
        <v>6.4844473784825</v>
      </c>
      <c r="D27" s="354" t="n">
        <v>1.62111184462063</v>
      </c>
      <c r="E27" s="354" t="n">
        <v>292.880378795508</v>
      </c>
      <c r="F27" s="354" t="n">
        <v>25.355094698877</v>
      </c>
    </row>
    <row r="28" ht="15" customHeight="1" s="307">
      <c r="A28" s="498" t="inlineStr">
        <is>
          <t>Y7 Q1</t>
        </is>
      </c>
      <c r="B28" s="476" t="n">
        <v>14.5871861957673</v>
      </c>
      <c r="C28" s="476" t="n">
        <v>11.6697489566139</v>
      </c>
      <c r="D28" s="476" t="n">
        <v>2.91743723915347</v>
      </c>
      <c r="E28" s="476" t="n">
        <v>304.550127752122</v>
      </c>
      <c r="F28" s="476" t="n">
        <v>28.2725319380305</v>
      </c>
    </row>
    <row r="29" ht="15" customHeight="1" s="307">
      <c r="A29" s="321" t="inlineStr">
        <is>
          <t>Y7 Q2</t>
        </is>
      </c>
      <c r="B29" s="354" t="n">
        <v>14.3203065513558</v>
      </c>
      <c r="C29" s="354" t="n">
        <v>11.4562452410847</v>
      </c>
      <c r="D29" s="354" t="n">
        <v>2.86406131027116</v>
      </c>
      <c r="E29" s="354" t="n">
        <v>316.006372993207</v>
      </c>
      <c r="F29" s="354" t="n">
        <v>31.1365932483016</v>
      </c>
    </row>
    <row r="30" ht="15" customHeight="1" s="307">
      <c r="A30" s="321" t="inlineStr">
        <is>
          <t>Y7 Q3</t>
        </is>
      </c>
      <c r="B30" s="354" t="n">
        <v>14.0666605781829</v>
      </c>
      <c r="C30" s="354" t="n">
        <v>11.2533284625464</v>
      </c>
      <c r="D30" s="354" t="n">
        <v>2.81333211563659</v>
      </c>
      <c r="E30" s="354" t="n">
        <v>327.259701455753</v>
      </c>
      <c r="F30" s="354" t="n">
        <v>33.9499253639382</v>
      </c>
    </row>
    <row r="31" ht="15" customHeight="1" s="307">
      <c r="A31" s="321" t="inlineStr">
        <is>
          <t>Y7 Q4</t>
        </is>
      </c>
      <c r="B31" s="354" t="n">
        <v>8.00467041302983</v>
      </c>
      <c r="C31" s="354" t="n">
        <v>6.40373633042387</v>
      </c>
      <c r="D31" s="354" t="n">
        <v>1.60093408260596</v>
      </c>
      <c r="E31" s="354" t="n">
        <v>333.663437786177</v>
      </c>
      <c r="F31" s="354" t="n">
        <v>35.5508594465442</v>
      </c>
    </row>
    <row r="32" ht="15" customHeight="1" s="307">
      <c r="A32" s="498" t="inlineStr">
        <is>
          <t>Y8 Q1</t>
        </is>
      </c>
      <c r="B32" s="476" t="n">
        <v>13.596430349975</v>
      </c>
      <c r="C32" s="476" t="n">
        <v>10.87714427998</v>
      </c>
      <c r="D32" s="476" t="n">
        <v>2.71928606999499</v>
      </c>
      <c r="E32" s="476" t="n">
        <v>344.540582066157</v>
      </c>
      <c r="F32" s="476" t="n">
        <v>38.2701455165392</v>
      </c>
    </row>
    <row r="33" ht="15" customHeight="1" s="307">
      <c r="A33" s="321" t="inlineStr">
        <is>
          <t>Y8 Q2</t>
        </is>
      </c>
      <c r="B33" s="354" t="n">
        <v>13.3786103893829</v>
      </c>
      <c r="C33" s="354" t="n">
        <v>10.7028883115063</v>
      </c>
      <c r="D33" s="354" t="n">
        <v>2.67572207787658</v>
      </c>
      <c r="E33" s="354" t="n">
        <v>355.243470377663</v>
      </c>
      <c r="F33" s="354" t="n">
        <v>40.9458675944157</v>
      </c>
    </row>
    <row r="34" ht="15" customHeight="1" s="307">
      <c r="A34" s="321" t="inlineStr">
        <is>
          <t>Y8 Q3</t>
        </is>
      </c>
      <c r="B34" s="354" t="n">
        <v>13.1715492188511</v>
      </c>
      <c r="C34" s="354" t="n">
        <v>10.5372393750809</v>
      </c>
      <c r="D34" s="354" t="n">
        <v>2.63430984377023</v>
      </c>
      <c r="E34" s="354" t="n">
        <v>365.780709752744</v>
      </c>
      <c r="F34" s="354" t="n">
        <v>43.580177438186</v>
      </c>
    </row>
    <row r="35" ht="15" customHeight="1" s="307">
      <c r="A35" s="321" t="inlineStr">
        <is>
          <t>Y8 Q4</t>
        </is>
      </c>
      <c r="B35" s="354" t="n">
        <v>7.92207715978909</v>
      </c>
      <c r="C35" s="354" t="n">
        <v>6.33766172783128</v>
      </c>
      <c r="D35" s="354" t="n">
        <v>1.58441543195782</v>
      </c>
      <c r="E35" s="354" t="n">
        <v>372.118371480575</v>
      </c>
      <c r="F35" s="354" t="n">
        <v>45.1645928701438</v>
      </c>
    </row>
    <row r="36" ht="15" customHeight="1" s="307">
      <c r="A36" s="498" t="inlineStr">
        <is>
          <t>Y9 Q1</t>
        </is>
      </c>
      <c r="B36" s="476" t="n">
        <v>12.787564714337</v>
      </c>
      <c r="C36" s="476" t="n">
        <v>10.2300517714696</v>
      </c>
      <c r="D36" s="476" t="n">
        <v>2.5575129428674</v>
      </c>
      <c r="E36" s="476" t="n">
        <v>382.348423252045</v>
      </c>
      <c r="F36" s="476" t="n">
        <v>47.7221058130112</v>
      </c>
    </row>
    <row r="37" ht="15" customHeight="1" s="307">
      <c r="A37" s="321" t="inlineStr">
        <is>
          <t>Y9 Q2</t>
        </is>
      </c>
      <c r="B37" s="354" t="n">
        <v>12.6096399375598</v>
      </c>
      <c r="C37" s="354" t="n">
        <v>10.0877119500479</v>
      </c>
      <c r="D37" s="354" t="n">
        <v>2.52192798751197</v>
      </c>
      <c r="E37" s="354" t="n">
        <v>392.436135202093</v>
      </c>
      <c r="F37" s="354" t="n">
        <v>50.2440338005231</v>
      </c>
    </row>
    <row r="38" ht="15" customHeight="1" s="307">
      <c r="A38" s="321" t="inlineStr">
        <is>
          <t>Y9 Q3</t>
        </is>
      </c>
      <c r="B38" s="354" t="n">
        <v>12.44046826794</v>
      </c>
      <c r="C38" s="354" t="n">
        <v>9.95237461435196</v>
      </c>
      <c r="D38" s="354" t="n">
        <v>2.488093653588</v>
      </c>
      <c r="E38" s="354" t="n">
        <v>402.388509816445</v>
      </c>
      <c r="F38" s="354" t="n">
        <v>52.7321274541111</v>
      </c>
    </row>
    <row r="39" ht="15" customHeight="1" s="307">
      <c r="A39" s="321" t="inlineStr">
        <is>
          <t>Y9 Q4</t>
        </is>
      </c>
      <c r="B39" s="354" t="n">
        <v>7.85440268279173</v>
      </c>
      <c r="C39" s="354" t="n">
        <v>6.28352214623338</v>
      </c>
      <c r="D39" s="354" t="n">
        <v>1.57088053655835</v>
      </c>
      <c r="E39" s="354" t="n">
        <v>408.672031962678</v>
      </c>
      <c r="F39" s="354" t="n">
        <v>54.3030079906695</v>
      </c>
    </row>
    <row r="40" ht="15" customHeight="1" s="307">
      <c r="A40" s="498" t="inlineStr">
        <is>
          <t>Y10 Q1</t>
        </is>
      </c>
      <c r="B40" s="476" t="n">
        <v>12.126650390673</v>
      </c>
      <c r="C40" s="476" t="n">
        <v>9.70132031253838</v>
      </c>
      <c r="D40" s="476" t="n">
        <v>2.4253300781346</v>
      </c>
      <c r="E40" s="476" t="n">
        <v>418.373352275216</v>
      </c>
      <c r="F40" s="476" t="n">
        <v>56.7283380688041</v>
      </c>
    </row>
    <row r="41" ht="15" customHeight="1" s="307">
      <c r="A41" s="321" t="inlineStr">
        <is>
          <t>Y10 Q2</t>
        </is>
      </c>
      <c r="B41" s="354" t="n">
        <v>11.9811920821934</v>
      </c>
      <c r="C41" s="354" t="n">
        <v>9.58495366575468</v>
      </c>
      <c r="D41" s="354" t="n">
        <v>2.39623841643867</v>
      </c>
      <c r="E41" s="354" t="n">
        <v>427.958305940971</v>
      </c>
      <c r="F41" s="354" t="n">
        <v>59.1245764852428</v>
      </c>
    </row>
    <row r="42" ht="15" customHeight="1" s="307">
      <c r="A42" s="321" t="inlineStr">
        <is>
          <t>Y10 Q3</t>
        </is>
      </c>
      <c r="B42" s="354" t="n">
        <v>11.8428604232822</v>
      </c>
      <c r="C42" s="354" t="n">
        <v>9.47428833862574</v>
      </c>
      <c r="D42" s="354" t="n">
        <v>2.36857208465642</v>
      </c>
      <c r="E42" s="354" t="n">
        <v>437.432594279597</v>
      </c>
      <c r="F42" s="354" t="n">
        <v>61.4931485698992</v>
      </c>
    </row>
    <row r="43" ht="15" customHeight="1" s="307">
      <c r="A43" s="321" t="inlineStr">
        <is>
          <t>Y10 Q4</t>
        </is>
      </c>
      <c r="B43" s="354" t="n">
        <v>7.79890320794976</v>
      </c>
      <c r="C43" s="354" t="n">
        <v>6.2391225663598</v>
      </c>
      <c r="D43" s="354" t="n">
        <v>1.55978064158996</v>
      </c>
      <c r="E43" s="354" t="n">
        <v>443.671716845957</v>
      </c>
      <c r="F43" s="354" t="n">
        <v>63.0529292114891</v>
      </c>
    </row>
    <row r="44" ht="15" customHeight="1" s="307">
      <c r="A44" s="498" t="inlineStr">
        <is>
          <t>Y11 Q1</t>
        </is>
      </c>
      <c r="B44" s="476" t="n">
        <v>11.5861703888613</v>
      </c>
      <c r="C44" s="476" t="n">
        <v>9.268936311089019</v>
      </c>
      <c r="D44" s="476" t="n">
        <v>2.31723407777227</v>
      </c>
      <c r="E44" s="476" t="n">
        <v>452.940653157046</v>
      </c>
      <c r="F44" s="476" t="n">
        <v>65.3701632892614</v>
      </c>
    </row>
    <row r="45" ht="15" customHeight="1" s="307">
      <c r="A45" s="321" t="inlineStr">
        <is>
          <t>Y11 Q2</t>
        </is>
      </c>
      <c r="B45" s="354" t="n">
        <v>11.4671530280783</v>
      </c>
      <c r="C45" s="354" t="n">
        <v>9.17372242246269</v>
      </c>
      <c r="D45" s="354" t="n">
        <v>2.29343060561566</v>
      </c>
      <c r="E45" s="354" t="n">
        <v>462.114375579508</v>
      </c>
      <c r="F45" s="354" t="n">
        <v>67.6635938948771</v>
      </c>
    </row>
    <row r="46" ht="15" customHeight="1" s="307">
      <c r="A46" s="321" t="inlineStr">
        <is>
          <t>Y11 Q3</t>
        </is>
      </c>
      <c r="B46" s="354" t="n">
        <v>11.3539425262164</v>
      </c>
      <c r="C46" s="354" t="n">
        <v>9.083154020973121</v>
      </c>
      <c r="D46" s="354" t="n">
        <v>2.27078850524328</v>
      </c>
      <c r="E46" s="354" t="n">
        <v>471.197529600481</v>
      </c>
      <c r="F46" s="354" t="n">
        <v>69.9343824001203</v>
      </c>
    </row>
    <row r="47" ht="15" customHeight="1" s="307">
      <c r="A47" s="321" t="inlineStr">
        <is>
          <t>Y11 Q4</t>
        </is>
      </c>
      <c r="B47" s="354" t="n">
        <v>7.75334771881873</v>
      </c>
      <c r="C47" s="354" t="n">
        <v>6.20267817505498</v>
      </c>
      <c r="D47" s="354" t="n">
        <v>1.55066954376374</v>
      </c>
      <c r="E47" s="354" t="n">
        <v>477.400207775536</v>
      </c>
      <c r="F47" s="354" t="n">
        <v>71.4850519438841</v>
      </c>
    </row>
    <row r="48" ht="15" customHeight="1" s="307">
      <c r="A48" s="498" t="inlineStr">
        <is>
          <t>Y12 Q1</t>
        </is>
      </c>
      <c r="B48" s="476" t="n">
        <v>11.1438001259635</v>
      </c>
      <c r="C48" s="476" t="n">
        <v>8.915040100770799</v>
      </c>
      <c r="D48" s="476" t="n">
        <v>2.2287600251927</v>
      </c>
      <c r="E48" s="476" t="n">
        <v>486.315247876307</v>
      </c>
      <c r="F48" s="476" t="n">
        <v>73.7138119690768</v>
      </c>
    </row>
    <row r="49" ht="15" customHeight="1" s="307">
      <c r="A49" s="321" t="inlineStr">
        <is>
          <t>Y12 Q2</t>
        </is>
      </c>
      <c r="B49" s="354" t="n">
        <v>11.0463331304378</v>
      </c>
      <c r="C49" s="354" t="n">
        <v>8.83706650435022</v>
      </c>
      <c r="D49" s="354" t="n">
        <v>2.20926662608757</v>
      </c>
      <c r="E49" s="354" t="n">
        <v>495.152314380657</v>
      </c>
      <c r="F49" s="354" t="n">
        <v>75.9230785951643</v>
      </c>
    </row>
    <row r="50" ht="15" customHeight="1" s="307">
      <c r="A50" s="321" t="inlineStr">
        <is>
          <t>Y12 Q3</t>
        </is>
      </c>
      <c r="B50" s="354" t="n">
        <v>10.9536013304252</v>
      </c>
      <c r="C50" s="354" t="n">
        <v>8.762881064340149</v>
      </c>
      <c r="D50" s="354" t="n">
        <v>2.19072026608504</v>
      </c>
      <c r="E50" s="354" t="n">
        <v>503.915195444998</v>
      </c>
      <c r="F50" s="354" t="n">
        <v>78.11379886124941</v>
      </c>
    </row>
    <row r="51" ht="15" customHeight="1" s="307">
      <c r="A51" s="321" t="inlineStr">
        <is>
          <t>Y12 Q4</t>
        </is>
      </c>
      <c r="B51" s="354" t="n">
        <v>7.71592080464507</v>
      </c>
      <c r="C51" s="354" t="n">
        <v>6.17273664371605</v>
      </c>
      <c r="D51" s="354" t="n">
        <v>1.54318416092901</v>
      </c>
      <c r="E51" s="354" t="n">
        <v>510.087932088714</v>
      </c>
      <c r="F51" s="354" t="n">
        <v>79.65698302217839</v>
      </c>
    </row>
    <row r="52" ht="15" customHeight="1" s="307">
      <c r="A52" s="498" t="inlineStr">
        <is>
          <t>Y13 Q1</t>
        </is>
      </c>
      <c r="B52" s="476" t="n">
        <v>10.7814155934141</v>
      </c>
      <c r="C52" s="476" t="n">
        <v>8.62513247473129</v>
      </c>
      <c r="D52" s="476" t="n">
        <v>2.15628311868281</v>
      </c>
      <c r="E52" s="476" t="n">
        <v>518.713064563445</v>
      </c>
      <c r="F52" s="476" t="n">
        <v>81.8132661408612</v>
      </c>
    </row>
    <row r="53" ht="15" customHeight="1" s="307">
      <c r="A53" s="321" t="inlineStr">
        <is>
          <t>Y13 Q2</t>
        </is>
      </c>
      <c r="B53" s="354" t="n">
        <v>10.7015268561291</v>
      </c>
      <c r="C53" s="354" t="n">
        <v>8.56122148490325</v>
      </c>
      <c r="D53" s="354" t="n">
        <v>2.14030537122582</v>
      </c>
      <c r="E53" s="354" t="n">
        <v>527.274286048348</v>
      </c>
      <c r="F53" s="354" t="n">
        <v>83.953571512087</v>
      </c>
    </row>
    <row r="54" ht="15" customHeight="1" s="307">
      <c r="A54" s="321" t="inlineStr">
        <is>
          <t>Y13 Q3</t>
        </is>
      </c>
      <c r="B54" s="354" t="n">
        <v>10.6255025273744</v>
      </c>
      <c r="C54" s="354" t="n">
        <v>8.500402021899511</v>
      </c>
      <c r="D54" s="354" t="n">
        <v>2.12510050547489</v>
      </c>
      <c r="E54" s="354" t="n">
        <v>535.774688070248</v>
      </c>
      <c r="F54" s="354" t="n">
        <v>86.0786720175619</v>
      </c>
    </row>
    <row r="55" ht="15" customHeight="1" s="307">
      <c r="A55" s="321" t="inlineStr">
        <is>
          <t>Y13 Q4</t>
        </is>
      </c>
      <c r="B55" s="354" t="n">
        <v>7.68514412886763</v>
      </c>
      <c r="C55" s="354" t="n">
        <v>6.1481153030941</v>
      </c>
      <c r="D55" s="354" t="n">
        <v>1.53702882577352</v>
      </c>
      <c r="E55" s="354" t="n">
        <v>541.922803373342</v>
      </c>
      <c r="F55" s="354" t="n">
        <v>87.6157008433354</v>
      </c>
    </row>
    <row r="56" ht="15" customHeight="1" s="307">
      <c r="A56" s="498" t="inlineStr">
        <is>
          <t>Y14 Q1</t>
        </is>
      </c>
      <c r="B56" s="476" t="n">
        <v>10.4842928934781</v>
      </c>
      <c r="C56" s="476" t="n">
        <v>8.38743431478246</v>
      </c>
      <c r="D56" s="476" t="n">
        <v>2.09685857869561</v>
      </c>
      <c r="E56" s="476" t="n">
        <v>550.3102376881239</v>
      </c>
      <c r="F56" s="476" t="n">
        <v>89.71255942203111</v>
      </c>
    </row>
    <row r="57" ht="15" customHeight="1" s="307">
      <c r="A57" s="321" t="inlineStr">
        <is>
          <t>Y14 Q2</t>
        </is>
      </c>
      <c r="B57" s="354" t="n">
        <v>10.4187540339153</v>
      </c>
      <c r="C57" s="354" t="n">
        <v>8.335003227132219</v>
      </c>
      <c r="D57" s="354" t="n">
        <v>2.08375080678305</v>
      </c>
      <c r="E57" s="354" t="n">
        <v>558.645240915256</v>
      </c>
      <c r="F57" s="354" t="n">
        <v>91.79631022881409</v>
      </c>
    </row>
    <row r="58" ht="15" customHeight="1" s="307">
      <c r="A58" s="321" t="inlineStr">
        <is>
          <t>Y14 Q3</t>
        </is>
      </c>
      <c r="B58" s="354" t="n">
        <v>10.3563715154786</v>
      </c>
      <c r="C58" s="354" t="n">
        <v>8.285097212382921</v>
      </c>
      <c r="D58" s="354" t="n">
        <v>2.07127430309573</v>
      </c>
      <c r="E58" s="354" t="n">
        <v>566.9303381276389</v>
      </c>
      <c r="F58" s="354" t="n">
        <v>93.8675845319098</v>
      </c>
    </row>
    <row r="59" ht="15" customHeight="1" s="307">
      <c r="A59" s="321" t="inlineStr">
        <is>
          <t>Y14 Q4</t>
        </is>
      </c>
      <c r="B59" s="354" t="n">
        <v>7.65981291547294</v>
      </c>
      <c r="C59" s="354" t="n">
        <v>6.12785033237835</v>
      </c>
      <c r="D59" s="354" t="n">
        <v>1.53196258309459</v>
      </c>
      <c r="E59" s="354" t="n">
        <v>573.058188460018</v>
      </c>
      <c r="F59" s="354" t="n">
        <v>95.3995471150044</v>
      </c>
    </row>
    <row r="60" ht="15" customHeight="1" s="307">
      <c r="A60" s="498" t="inlineStr">
        <is>
          <t>Y15 Q1</t>
        </is>
      </c>
      <c r="B60" s="476" t="n">
        <v>10.2404619207172</v>
      </c>
      <c r="C60" s="476" t="n">
        <v>8.1923695365738</v>
      </c>
      <c r="D60" s="476" t="n">
        <v>2.04809238414345</v>
      </c>
      <c r="E60" s="476" t="n">
        <v>581.2505579965911</v>
      </c>
      <c r="F60" s="476" t="n">
        <v>97.4476394991479</v>
      </c>
    </row>
    <row r="61" ht="15" customHeight="1" s="307">
      <c r="A61" s="321" t="inlineStr">
        <is>
          <t>Y15 Q2</t>
        </is>
      </c>
      <c r="B61" s="354" t="n">
        <v>10.1866471437924</v>
      </c>
      <c r="C61" s="354" t="n">
        <v>8.14931771503395</v>
      </c>
      <c r="D61" s="354" t="n">
        <v>2.03732942875848</v>
      </c>
      <c r="E61" s="354" t="n">
        <v>589.399875711625</v>
      </c>
      <c r="F61" s="354" t="n">
        <v>99.48496892790629</v>
      </c>
    </row>
    <row r="62" ht="15" customHeight="1" s="307">
      <c r="A62" s="321" t="inlineStr">
        <is>
          <t>Y15 Q3</t>
        </is>
      </c>
      <c r="B62" s="354" t="n">
        <v>10.1354125319252</v>
      </c>
      <c r="C62" s="354" t="n">
        <v>8.10833002554013</v>
      </c>
      <c r="D62" s="354" t="n">
        <v>2.02708250638503</v>
      </c>
      <c r="E62" s="354" t="n">
        <v>597.508205737165</v>
      </c>
      <c r="F62" s="354" t="n">
        <v>101.512051434291</v>
      </c>
    </row>
    <row r="63" ht="15" customHeight="1" s="307">
      <c r="A63" s="321" t="inlineStr">
        <is>
          <t>Y15 Q4</t>
        </is>
      </c>
      <c r="B63" s="354" t="n">
        <v>7.63894455290036</v>
      </c>
      <c r="C63" s="354" t="n">
        <v>6.11115564232029</v>
      </c>
      <c r="D63" s="354" t="n">
        <v>1.52778891058007</v>
      </c>
      <c r="E63" s="354" t="n">
        <v>603.619361379486</v>
      </c>
      <c r="F63" s="354" t="n">
        <v>103.039840344871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G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PORTFOLIO DASHBOARD  --  5 DEALS @ $24M ARR (RESTATED)</t>
        </is>
      </c>
      <c r="B1" s="309" t="n"/>
      <c r="C1" s="309" t="n"/>
      <c r="D1" s="309" t="n"/>
      <c r="E1" s="309" t="n"/>
      <c r="F1" s="309" t="n"/>
      <c r="G1" s="309" t="n"/>
    </row>
    <row r="3" ht="15" customHeight="1" s="307">
      <c r="A3" s="322" t="n"/>
      <c r="B3" s="388" t="inlineStr">
        <is>
          <t>Deal #1</t>
        </is>
      </c>
      <c r="C3" s="388" t="inlineStr">
        <is>
          <t>Deal #2</t>
        </is>
      </c>
      <c r="D3" s="388" t="inlineStr">
        <is>
          <t>Deal #3</t>
        </is>
      </c>
      <c r="E3" s="388" t="inlineStr">
        <is>
          <t>Deal #4</t>
        </is>
      </c>
      <c r="F3" s="388" t="inlineStr">
        <is>
          <t>Deal #5</t>
        </is>
      </c>
      <c r="G3" s="388" t="inlineStr">
        <is>
          <t>Portfolio</t>
        </is>
      </c>
    </row>
    <row r="4" ht="15" customHeight="1" s="307">
      <c r="A4" s="321" t="inlineStr">
        <is>
          <t>ARR ($mm)</t>
        </is>
      </c>
      <c r="B4" s="354" t="n">
        <v>24</v>
      </c>
      <c r="C4" s="354" t="n">
        <v>24</v>
      </c>
      <c r="D4" s="354" t="n">
        <v>24</v>
      </c>
      <c r="E4" s="354" t="n">
        <v>24</v>
      </c>
      <c r="F4" s="354" t="n">
        <v>24</v>
      </c>
      <c r="G4" s="569">
        <f>SUM(B4:F4)</f>
        <v/>
      </c>
    </row>
    <row r="5" ht="15" customHeight="1" s="307">
      <c r="A5" s="321" t="inlineStr">
        <is>
          <t>Entry Multiple</t>
        </is>
      </c>
      <c r="B5" s="441" t="n">
        <v>1.24</v>
      </c>
      <c r="C5" s="441" t="n">
        <v>1.24</v>
      </c>
      <c r="D5" s="441" t="n">
        <v>1.24</v>
      </c>
      <c r="E5" s="441" t="n">
        <v>1.24</v>
      </c>
      <c r="F5" s="441" t="n">
        <v>1.24</v>
      </c>
      <c r="G5" s="358">
        <f>AVERAGE(B5:F5)</f>
        <v/>
      </c>
    </row>
    <row r="6" ht="15" customHeight="1" s="307">
      <c r="A6" s="321" t="inlineStr">
        <is>
          <t>Net Purchase ($mm)</t>
        </is>
      </c>
      <c r="B6" s="354">
        <f>24*1.24 - 24*0.1154*0.5</f>
        <v/>
      </c>
      <c r="C6" s="354">
        <f>24*1.24 - 24*0.1154*0.5</f>
        <v/>
      </c>
      <c r="D6" s="354">
        <f>24*1.24 - 24*0.1154*0.5</f>
        <v/>
      </c>
      <c r="E6" s="354">
        <f>24*1.24 - 24*0.1154*0.5</f>
        <v/>
      </c>
      <c r="F6" s="354">
        <f>24*1.24 - 24*0.1154*0.5</f>
        <v/>
      </c>
      <c r="G6" s="569">
        <f>SUM(B6:F6)</f>
        <v/>
      </c>
    </row>
    <row r="7" ht="15" customHeight="1" s="307">
      <c r="A7" s="321" t="inlineStr">
        <is>
          <t>NDR</t>
        </is>
      </c>
      <c r="B7" s="404" t="n">
        <v>0.85</v>
      </c>
      <c r="C7" s="404" t="n">
        <v>0.85</v>
      </c>
      <c r="D7" s="404" t="n">
        <v>0.85</v>
      </c>
      <c r="E7" s="404" t="n">
        <v>0.85</v>
      </c>
      <c r="F7" s="404" t="n">
        <v>0.85</v>
      </c>
      <c r="G7" s="569" t="n"/>
    </row>
    <row r="8" ht="15" customHeight="1" s="307">
      <c r="A8" s="321" t="inlineStr">
        <is>
          <t>Close Month</t>
        </is>
      </c>
      <c r="B8" s="394" t="inlineStr">
        <is>
          <t>M4</t>
        </is>
      </c>
      <c r="C8" s="394" t="inlineStr">
        <is>
          <t>M7</t>
        </is>
      </c>
      <c r="D8" s="394" t="inlineStr">
        <is>
          <t>M10</t>
        </is>
      </c>
      <c r="E8" s="394" t="inlineStr">
        <is>
          <t>M12</t>
        </is>
      </c>
      <c r="F8" s="394" t="inlineStr">
        <is>
          <t>M16</t>
        </is>
      </c>
    </row>
    <row r="9" ht="15" customHeight="1" s="307">
      <c r="A9" s="322" t="n"/>
      <c r="B9" s="394" t="n"/>
      <c r="C9" s="394" t="n"/>
      <c r="D9" s="394" t="n"/>
      <c r="E9" s="394" t="n"/>
      <c r="F9" s="394" t="n"/>
    </row>
    <row r="10" ht="15" customHeight="1" s="307">
      <c r="A10" s="322" t="n"/>
      <c r="B10" s="404" t="n"/>
      <c r="C10" s="404" t="n"/>
      <c r="D10" s="404" t="n"/>
      <c r="E10" s="404" t="n"/>
      <c r="F10" s="404" t="n"/>
    </row>
    <row r="11" ht="15" customHeight="1" s="307">
      <c r="A11" s="322" t="n"/>
      <c r="B11" s="394" t="n"/>
      <c r="C11" s="394" t="n"/>
      <c r="D11" s="394" t="n"/>
      <c r="E11" s="394" t="n"/>
      <c r="F11" s="394" t="n"/>
    </row>
    <row r="13" ht="15" customHeight="1" s="307">
      <c r="A13" s="321" t="n"/>
      <c r="B13" s="354" t="n"/>
      <c r="C13" s="354" t="n"/>
      <c r="D13" s="354" t="n"/>
      <c r="E13" s="354" t="n"/>
      <c r="F13" s="354" t="n"/>
      <c r="G13" s="569" t="n"/>
    </row>
    <row r="14" ht="15" customHeight="1" s="307">
      <c r="A14" s="321" t="n"/>
      <c r="B14" s="354" t="n"/>
      <c r="C14" s="354" t="n"/>
      <c r="D14" s="354" t="n"/>
      <c r="E14" s="354" t="n"/>
      <c r="F14" s="354" t="n"/>
      <c r="G14" s="569" t="n"/>
    </row>
    <row r="15" ht="15" customHeight="1" s="307">
      <c r="A15" s="321" t="n"/>
      <c r="B15" s="354" t="n"/>
      <c r="C15" s="354" t="n"/>
      <c r="D15" s="354" t="n"/>
      <c r="E15" s="354" t="n"/>
      <c r="F15" s="354" t="n"/>
      <c r="G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  <c r="G16" s="56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F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06" min="1" max="1"/>
    <col width="20" customWidth="1" style="306" min="2" max="6"/>
  </cols>
  <sheetData>
    <row r="1" ht="15.75" customHeight="1" s="307">
      <c r="A1" s="471" t="inlineStr">
        <is>
          <t>SCENARIO COMPARISON  --  ALL CASES</t>
        </is>
      </c>
      <c r="B1" s="309" t="n"/>
      <c r="C1" s="309" t="n"/>
      <c r="D1" s="309" t="n"/>
    </row>
    <row r="3" ht="21.75" customHeight="1" s="307">
      <c r="A3" s="322" t="n"/>
      <c r="B3" s="502" t="inlineStr">
        <is>
          <t>No Recycle
(5 deals)</t>
        </is>
      </c>
      <c r="C3" s="502" t="inlineStr">
        <is>
          <t>50% Recycle
(8 deals)</t>
        </is>
      </c>
      <c r="D3" s="502" t="inlineStr">
        <is>
          <t>100% Recycle
(10 deals)</t>
        </is>
      </c>
      <c r="E3" s="583" t="n"/>
      <c r="F3" s="583" t="n"/>
    </row>
    <row r="4" ht="15" customHeight="1" s="307">
      <c r="A4" s="322" t="inlineStr">
        <is>
          <t>10Y DPI</t>
        </is>
      </c>
      <c r="B4" s="503" t="n">
        <v>2.18833274175009</v>
      </c>
      <c r="C4" s="503" t="n">
        <v>2.91240153360391</v>
      </c>
      <c r="D4" s="503" t="n">
        <v>3.11978676007793</v>
      </c>
      <c r="E4" s="504" t="n"/>
      <c r="F4" s="504" t="n"/>
    </row>
    <row r="5" ht="15" customHeight="1" s="307">
      <c r="A5" s="322" t="inlineStr">
        <is>
          <t>15Y DPI</t>
        </is>
      </c>
      <c r="B5" s="503" t="n">
        <v>2.34787321130789</v>
      </c>
      <c r="C5" s="503" t="n">
        <v>3.43138563821612</v>
      </c>
      <c r="D5" s="503" t="n">
        <v>3.84059905560255</v>
      </c>
      <c r="E5" s="358" t="n"/>
      <c r="F5" s="358" t="n"/>
    </row>
    <row r="6" ht="15" customHeight="1" s="307">
      <c r="A6" s="322" t="inlineStr">
        <is>
          <t>10Y IRR (Staged)</t>
        </is>
      </c>
      <c r="B6" s="506" t="n">
        <v>0.272134814354736</v>
      </c>
      <c r="C6" s="506" t="n">
        <v>0.222741401814916</v>
      </c>
      <c r="D6" s="506" t="n">
        <v>0.164628201408313</v>
      </c>
      <c r="E6" s="354" t="n"/>
      <c r="F6" s="354" t="n"/>
    </row>
    <row r="7" ht="15" customHeight="1" s="307">
      <c r="A7" s="322" t="inlineStr">
        <is>
          <t>Payback (months)</t>
        </is>
      </c>
      <c r="B7" s="508" t="n">
        <v>43</v>
      </c>
      <c r="C7" s="508" t="n">
        <v>47</v>
      </c>
      <c r="D7" s="508" t="n">
        <v>52</v>
      </c>
      <c r="E7" s="354" t="n"/>
      <c r="F7" s="354" t="n"/>
    </row>
    <row r="8" ht="15" customHeight="1" s="307">
      <c r="A8" s="321" t="inlineStr">
        <is>
          <t>15Y LP Cash ($mm)</t>
        </is>
      </c>
      <c r="B8" s="354" t="n">
        <v>352.180981696184</v>
      </c>
      <c r="C8" s="354" t="n">
        <v>514.707845732418</v>
      </c>
      <c r="D8" s="354" t="n">
        <v>576.089858340382</v>
      </c>
      <c r="E8" s="349" t="n"/>
      <c r="F8" s="349" t="n"/>
    </row>
    <row r="9" ht="15" customHeight="1" s="307">
      <c r="A9" s="321" t="inlineStr">
        <is>
          <t>GP Carry ($mm)</t>
        </is>
      </c>
      <c r="B9" s="354" t="n">
        <v>18.4882266439472</v>
      </c>
      <c r="C9" s="354" t="n">
        <v>49.7872309908709</v>
      </c>
      <c r="D9" s="354" t="n">
        <v>65.7577678049303</v>
      </c>
      <c r="E9" s="368" t="n"/>
      <c r="F9" s="368" t="n"/>
    </row>
    <row r="10" ht="15" customHeight="1" s="307">
      <c r="A10" s="321" t="inlineStr">
        <is>
          <t>Capital Deployed ($mm)</t>
        </is>
      </c>
      <c r="B10" s="354" t="n">
        <v>158.78289</v>
      </c>
      <c r="C10" s="354" t="n">
        <v>224.22849</v>
      </c>
      <c r="D10" s="354" t="n">
        <v>269.45889</v>
      </c>
      <c r="E10" s="354" t="n"/>
      <c r="F10" s="354" t="n"/>
    </row>
    <row r="11" ht="15" customHeight="1" s="307">
      <c r="A11" s="321" t="n"/>
      <c r="B11" s="354" t="n"/>
      <c r="C11" s="354" t="n"/>
      <c r="D11" s="354" t="n"/>
      <c r="E11" s="354" t="n"/>
      <c r="F11" s="35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8" customWidth="1" style="306" min="2" max="3"/>
  </cols>
  <sheetData>
    <row r="1" ht="15.75" customHeight="1" s="307">
      <c r="A1" s="471" t="inlineStr">
        <is>
          <t>PRESS OPERATIONS LLC  --  OPERATING BUDGET</t>
        </is>
      </c>
      <c r="B1" s="309" t="n"/>
      <c r="C1" s="309" t="n"/>
    </row>
    <row r="2" ht="15" customHeight="1" s="307">
      <c r="A2" s="323" t="inlineStr">
        <is>
          <t>CEO/CFO at 50% pre-deal, full pay + catch-up at M7.</t>
        </is>
      </c>
    </row>
    <row r="4" ht="15" customHeight="1" s="307">
      <c r="A4" s="325" t="inlineStr">
        <is>
          <t>TEAM (20 people at steady state)</t>
        </is>
      </c>
      <c r="B4" s="309" t="n"/>
      <c r="C4" s="309" t="n"/>
    </row>
    <row r="5" ht="15" customHeight="1" s="307">
      <c r="A5" s="388" t="inlineStr">
        <is>
          <t>Role</t>
        </is>
      </c>
      <c r="B5" s="388" t="inlineStr">
        <is>
          <t>Base ($K)</t>
        </is>
      </c>
      <c r="C5" s="388" t="inlineStr">
        <is>
          <t>Loaded ($K)</t>
        </is>
      </c>
    </row>
    <row r="6" ht="15" customHeight="1" s="307">
      <c r="A6" s="321" t="inlineStr">
        <is>
          <t>CEO</t>
        </is>
      </c>
      <c r="B6" s="368" t="n">
        <v>1000</v>
      </c>
      <c r="C6" s="368" t="n">
        <v>1300</v>
      </c>
    </row>
    <row r="7" ht="15" customHeight="1" s="307">
      <c r="A7" s="321" t="inlineStr">
        <is>
          <t>CFO</t>
        </is>
      </c>
      <c r="B7" s="368" t="n">
        <v>500</v>
      </c>
      <c r="C7" s="368" t="n">
        <v>650</v>
      </c>
    </row>
    <row r="8" ht="15" customHeight="1" s="307">
      <c r="A8" s="321" t="inlineStr">
        <is>
          <t>COO</t>
        </is>
      </c>
      <c r="B8" s="368" t="n">
        <v>500</v>
      </c>
      <c r="C8" s="368" t="n">
        <v>650</v>
      </c>
    </row>
    <row r="9" ht="15" customHeight="1" s="307">
      <c r="A9" s="321" t="inlineStr">
        <is>
          <t>CPO</t>
        </is>
      </c>
      <c r="B9" s="368" t="n">
        <v>500</v>
      </c>
      <c r="C9" s="368" t="n">
        <v>650</v>
      </c>
    </row>
    <row r="10" ht="15" customHeight="1" s="307">
      <c r="A10" s="321" t="inlineStr">
        <is>
          <t>CTO</t>
        </is>
      </c>
      <c r="B10" s="368" t="n">
        <v>500</v>
      </c>
      <c r="C10" s="368" t="n">
        <v>650</v>
      </c>
    </row>
    <row r="11" ht="15" customHeight="1" s="307">
      <c r="A11" s="321" t="inlineStr">
        <is>
          <t>CRO</t>
        </is>
      </c>
      <c r="B11" s="368" t="n">
        <v>500</v>
      </c>
      <c r="C11" s="368" t="n">
        <v>650</v>
      </c>
    </row>
    <row r="12" ht="15" customHeight="1" s="307">
      <c r="A12" s="321" t="inlineStr">
        <is>
          <t>Sr Op 1</t>
        </is>
      </c>
      <c r="B12" s="368" t="n">
        <v>250</v>
      </c>
      <c r="C12" s="368" t="n">
        <v>325</v>
      </c>
    </row>
    <row r="13" ht="15" customHeight="1" s="307">
      <c r="A13" s="321" t="inlineStr">
        <is>
          <t>Sr Op 2</t>
        </is>
      </c>
      <c r="B13" s="368" t="n">
        <v>250</v>
      </c>
      <c r="C13" s="368" t="n">
        <v>325</v>
      </c>
    </row>
    <row r="14" ht="15" customHeight="1" s="307">
      <c r="A14" s="321" t="inlineStr">
        <is>
          <t>Sr Op 3</t>
        </is>
      </c>
      <c r="B14" s="368" t="n">
        <v>250</v>
      </c>
      <c r="C14" s="368" t="n">
        <v>325</v>
      </c>
    </row>
    <row r="15" ht="15" customHeight="1" s="307">
      <c r="A15" s="584" t="inlineStr">
        <is>
          <t>Sr Op 4</t>
        </is>
      </c>
      <c r="B15" s="585" t="n">
        <v>250</v>
      </c>
      <c r="C15" s="585" t="n">
        <v>325</v>
      </c>
    </row>
    <row r="16" ht="15" customHeight="1" s="307">
      <c r="A16" s="321" t="inlineStr">
        <is>
          <t>Sr Op 5</t>
        </is>
      </c>
      <c r="B16" s="368" t="n">
        <v>250</v>
      </c>
      <c r="C16" s="368" t="n">
        <v>325</v>
      </c>
    </row>
    <row r="17" ht="15" customHeight="1" s="307">
      <c r="A17" s="321" t="inlineStr">
        <is>
          <t>Jr Op 1</t>
        </is>
      </c>
      <c r="B17" s="368" t="n">
        <v>125</v>
      </c>
      <c r="C17" s="368" t="n">
        <v>162</v>
      </c>
    </row>
    <row r="18" ht="15" customHeight="1" s="307">
      <c r="A18" s="321" t="inlineStr">
        <is>
          <t>Jr Op 2</t>
        </is>
      </c>
      <c r="B18" s="368" t="n">
        <v>125</v>
      </c>
      <c r="C18" s="368" t="n">
        <v>162</v>
      </c>
    </row>
    <row r="19" ht="15" customHeight="1" s="307">
      <c r="A19" s="321" t="inlineStr">
        <is>
          <t>Jr Op 3</t>
        </is>
      </c>
      <c r="B19" s="368" t="n">
        <v>125</v>
      </c>
      <c r="C19" s="368" t="n">
        <v>162</v>
      </c>
    </row>
    <row r="20" ht="15" customHeight="1" s="307">
      <c r="A20" s="321" t="inlineStr">
        <is>
          <t>Jr Op 4</t>
        </is>
      </c>
      <c r="B20" s="368" t="n">
        <v>125</v>
      </c>
      <c r="C20" s="368" t="n">
        <v>162</v>
      </c>
    </row>
    <row r="21" ht="15" customHeight="1" s="307">
      <c r="A21" s="321" t="inlineStr">
        <is>
          <t>Jr Op 5</t>
        </is>
      </c>
      <c r="B21" s="368" t="n">
        <v>125</v>
      </c>
      <c r="C21" s="368" t="n">
        <v>162</v>
      </c>
    </row>
    <row r="22" ht="15" customHeight="1" s="307">
      <c r="A22" s="321" t="inlineStr">
        <is>
          <t>Jr Op 6</t>
        </is>
      </c>
      <c r="B22" s="368" t="n">
        <v>125</v>
      </c>
      <c r="C22" s="368" t="n">
        <v>162</v>
      </c>
    </row>
    <row r="23" ht="15" customHeight="1" s="307">
      <c r="A23" s="321" t="inlineStr">
        <is>
          <t>Jr Op 7</t>
        </is>
      </c>
      <c r="B23" s="368" t="n">
        <v>125</v>
      </c>
      <c r="C23" s="368" t="n">
        <v>162</v>
      </c>
    </row>
    <row r="24" ht="15" customHeight="1" s="307">
      <c r="A24" s="321" t="inlineStr">
        <is>
          <t>Jr Op 8</t>
        </is>
      </c>
      <c r="B24" s="368" t="n">
        <v>125</v>
      </c>
      <c r="C24" s="368" t="n">
        <v>162</v>
      </c>
    </row>
    <row r="25" ht="15" customHeight="1" s="307">
      <c r="A25" s="321" t="inlineStr">
        <is>
          <t>Jr Op 9</t>
        </is>
      </c>
      <c r="B25" s="368" t="n">
        <v>125</v>
      </c>
      <c r="C25" s="368" t="n">
        <v>162</v>
      </c>
    </row>
    <row r="27" ht="15" customHeight="1" s="307">
      <c r="A27" s="460" t="inlineStr">
        <is>
          <t>Total</t>
        </is>
      </c>
      <c r="B27" s="586" t="n">
        <v>5875</v>
      </c>
      <c r="C27" s="586" t="n">
        <v>7637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D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20" customWidth="1" style="306" min="2" max="3"/>
    <col width="30" customWidth="1" style="306" min="4" max="4"/>
  </cols>
  <sheetData>
    <row r="1" ht="15.75" customHeight="1" s="307">
      <c r="A1" s="471" t="inlineStr">
        <is>
          <t>PRESS VS INDUSTRY BENCHMARKS</t>
        </is>
      </c>
      <c r="B1" s="309" t="n"/>
      <c r="C1" s="309" t="n"/>
      <c r="D1" s="309" t="n"/>
    </row>
    <row r="2" ht="15" customHeight="1" s="307">
      <c r="A2" s="323" t="inlineStr">
        <is>
          <t>Press Fund I vs median PE performance (Cambridge Associates, McKinsey PE data).</t>
        </is>
      </c>
    </row>
    <row r="4" ht="15" customHeight="1" s="307">
      <c r="A4" s="388" t="inlineStr">
        <is>
          <t>Metric</t>
        </is>
      </c>
      <c r="B4" s="388" t="inlineStr">
        <is>
          <t>Press Capital</t>
        </is>
      </c>
      <c r="C4" s="388" t="inlineStr">
        <is>
          <t>Industry Median PE</t>
        </is>
      </c>
      <c r="D4" s="388" t="inlineStr">
        <is>
          <t>Source</t>
        </is>
      </c>
    </row>
    <row r="5" ht="15" customHeight="1" s="307">
      <c r="A5" s="321" t="inlineStr">
        <is>
          <t>Net IRR (10Y)</t>
        </is>
      </c>
      <c r="B5" s="587" t="inlineStr">
        <is>
          <t>27.2%</t>
        </is>
      </c>
      <c r="C5" s="394" t="inlineStr">
        <is>
          <t>~13%</t>
        </is>
      </c>
      <c r="D5" s="323" t="inlineStr">
        <is>
          <t>Cambridge Associates</t>
        </is>
      </c>
    </row>
    <row r="6" ht="15" customHeight="1" s="307">
      <c r="A6" s="321" t="inlineStr">
        <is>
          <t>DPI (10Y, realized)</t>
        </is>
      </c>
      <c r="B6" s="587" t="inlineStr">
        <is>
          <t>2.19x</t>
        </is>
      </c>
      <c r="C6" s="394" t="inlineStr">
        <is>
          <t>~0.3x (mostly unrealized)</t>
        </is>
      </c>
      <c r="D6" s="323" t="inlineStr">
        <is>
          <t>McKinsey PE Report</t>
        </is>
      </c>
    </row>
    <row r="7" ht="15" customHeight="1" s="307">
      <c r="A7" s="321" t="inlineStr">
        <is>
          <t>Leverage</t>
        </is>
      </c>
      <c r="B7" s="587" t="inlineStr">
        <is>
          <t>Zero</t>
        </is>
      </c>
      <c r="C7" s="394" t="inlineStr">
        <is>
          <t>3-5x debt/EBITDA</t>
        </is>
      </c>
      <c r="D7" s="323" t="n"/>
    </row>
    <row r="8" ht="15" customHeight="1" s="307">
      <c r="A8" s="321" t="inlineStr">
        <is>
          <t>Distribution Frequency</t>
        </is>
      </c>
      <c r="B8" s="587" t="inlineStr">
        <is>
          <t>Quarterly</t>
        </is>
      </c>
      <c r="C8" s="394" t="inlineStr">
        <is>
          <t>At exit (7-10 years)</t>
        </is>
      </c>
      <c r="D8" s="323" t="n"/>
    </row>
    <row r="9" ht="15" customHeight="1" s="307">
      <c r="A9" s="321" t="inlineStr">
        <is>
          <t>Management Fee</t>
        </is>
      </c>
      <c r="B9" s="587" t="inlineStr">
        <is>
          <t>Y1 only, then 0%</t>
        </is>
      </c>
      <c r="C9" s="394" t="inlineStr">
        <is>
          <t>2% for 10 years</t>
        </is>
      </c>
      <c r="D9" s="323" t="n"/>
    </row>
    <row r="10" ht="15" customHeight="1" s="307">
      <c r="A10" s="321" t="inlineStr">
        <is>
          <t>Carry Hurdle</t>
        </is>
      </c>
      <c r="B10" s="587" t="inlineStr">
        <is>
          <t>1x + 10% pref</t>
        </is>
      </c>
      <c r="C10" s="394" t="inlineStr">
        <is>
          <t>Often from $1</t>
        </is>
      </c>
      <c r="D10" s="323" t="n"/>
    </row>
    <row r="11" ht="15" customHeight="1" s="307">
      <c r="A11" s="321" t="inlineStr">
        <is>
          <t>Net Margin</t>
        </is>
      </c>
      <c r="B11" s="587" t="inlineStr">
        <is>
          <t>62.5%</t>
        </is>
      </c>
      <c r="C11" s="394" t="inlineStr">
        <is>
          <t>~7-15%</t>
        </is>
      </c>
      <c r="D11" s="323" t="inlineStr">
        <is>
          <t>Constellation ~7%, PE SaaS ~30%</t>
        </is>
      </c>
    </row>
    <row r="12" ht="15" customHeight="1" s="307">
      <c r="A12" s="321" t="n"/>
      <c r="B12" s="587" t="n"/>
      <c r="C12" s="394" t="n"/>
      <c r="D12" s="323" t="n"/>
    </row>
    <row r="13" ht="15" customHeight="1" s="307">
      <c r="A13" s="321" t="n"/>
      <c r="B13" s="587" t="n"/>
      <c r="C13" s="394" t="n"/>
      <c r="D13" s="323" t="n"/>
    </row>
    <row r="14" ht="15" customHeight="1" s="307">
      <c r="A14" s="321" t="n"/>
      <c r="B14" s="587" t="n"/>
      <c r="C14" s="394" t="n"/>
      <c r="D14" s="323" t="n"/>
    </row>
    <row r="16" ht="15" customHeight="1" s="307">
      <c r="A16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A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39"/>
  </cols>
  <sheetData>
    <row r="1" ht="15.75" customHeight="1" s="307">
      <c r="A1" s="471" t="inlineStr">
        <is>
          <t>RECYCLING WATERFALL  --  100% RETENTION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23" t="inlineStr">
        <is>
          <t>Shows retained cash accumulation and recycled deal deployment.</t>
        </is>
      </c>
    </row>
    <row r="4" ht="15" customHeight="1" s="307">
      <c r="A4" s="472" t="inlineStr">
        <is>
          <t>($mm)</t>
        </is>
      </c>
      <c r="B4" s="388" t="inlineStr">
        <is>
          <t>Y1Q1</t>
        </is>
      </c>
      <c r="C4" s="388" t="inlineStr">
        <is>
          <t>Y1Q2</t>
        </is>
      </c>
      <c r="D4" s="388" t="inlineStr">
        <is>
          <t>Y1Q3</t>
        </is>
      </c>
      <c r="E4" s="388" t="inlineStr">
        <is>
          <t>Y1Q4</t>
        </is>
      </c>
      <c r="F4" s="388" t="inlineStr">
        <is>
          <t>Y2Q1</t>
        </is>
      </c>
      <c r="G4" s="388" t="inlineStr">
        <is>
          <t>Y2Q2</t>
        </is>
      </c>
      <c r="H4" s="388" t="inlineStr">
        <is>
          <t>Y2Q3</t>
        </is>
      </c>
      <c r="I4" s="388" t="inlineStr">
        <is>
          <t>Y2Q4</t>
        </is>
      </c>
      <c r="J4" s="388" t="inlineStr">
        <is>
          <t>Y3Q1</t>
        </is>
      </c>
      <c r="K4" s="388" t="inlineStr">
        <is>
          <t>Y3Q2</t>
        </is>
      </c>
      <c r="L4" s="388" t="inlineStr">
        <is>
          <t>Y3Q3</t>
        </is>
      </c>
      <c r="M4" s="388" t="inlineStr">
        <is>
          <t>Y3Q4</t>
        </is>
      </c>
      <c r="N4" s="387" t="n"/>
      <c r="O4" s="387" t="n"/>
      <c r="P4" s="387" t="n"/>
      <c r="Q4" s="387" t="n"/>
      <c r="R4" s="387" t="n"/>
      <c r="S4" s="387" t="n"/>
      <c r="T4" s="387" t="n"/>
      <c r="U4" s="387" t="n"/>
      <c r="V4" s="387" t="n"/>
      <c r="W4" s="387" t="n"/>
      <c r="X4" s="387" t="n"/>
      <c r="Y4" s="387" t="n"/>
      <c r="Z4" s="387" t="n"/>
      <c r="AA4" s="387" t="n"/>
      <c r="AB4" s="387" t="n"/>
      <c r="AC4" s="387" t="n"/>
      <c r="AD4" s="387" t="n"/>
      <c r="AE4" s="387" t="n"/>
      <c r="AF4" s="387" t="n"/>
      <c r="AG4" s="387" t="n"/>
      <c r="AH4" s="387" t="n"/>
      <c r="AI4" s="387" t="n"/>
      <c r="AJ4" s="387" t="n"/>
      <c r="AK4" s="387" t="n"/>
      <c r="AL4" s="387" t="n"/>
    </row>
    <row r="5" ht="15" customHeight="1" s="307">
      <c r="A5" s="322" t="inlineStr">
        <is>
          <t>Retained Cash</t>
        </is>
      </c>
      <c r="B5" s="354" t="n">
        <v>-1</v>
      </c>
      <c r="C5" s="354" t="n">
        <v>-2.6</v>
      </c>
      <c r="D5" s="354" t="n">
        <v>-1.2</v>
      </c>
      <c r="E5" s="354" t="n">
        <v>1.4</v>
      </c>
      <c r="F5" s="354" t="n">
        <v>9.6</v>
      </c>
      <c r="G5" s="354" t="n">
        <v>12.5</v>
      </c>
      <c r="H5" s="354" t="n">
        <v>15.8</v>
      </c>
      <c r="I5" s="354" t="n">
        <v>18.8</v>
      </c>
      <c r="J5" s="354" t="n">
        <v>22.7</v>
      </c>
      <c r="K5" s="354" t="n">
        <v>23.5</v>
      </c>
      <c r="L5" s="354" t="n">
        <v>25.6</v>
      </c>
      <c r="M5" s="354" t="n">
        <v>27.8</v>
      </c>
      <c r="N5" s="354" t="n"/>
      <c r="O5" s="354" t="n"/>
      <c r="P5" s="354" t="n"/>
      <c r="Q5" s="354" t="n"/>
      <c r="R5" s="354" t="n"/>
      <c r="S5" s="354" t="n"/>
      <c r="T5" s="354" t="n"/>
      <c r="U5" s="354" t="n"/>
      <c r="V5" s="354" t="n"/>
      <c r="W5" s="354" t="n"/>
      <c r="X5" s="354" t="n"/>
      <c r="Y5" s="354" t="n"/>
      <c r="Z5" s="354" t="n"/>
      <c r="AA5" s="354" t="n"/>
      <c r="AB5" s="354" t="n"/>
      <c r="AC5" s="354" t="n"/>
      <c r="AD5" s="354" t="n"/>
      <c r="AE5" s="354" t="n"/>
      <c r="AF5" s="354" t="n"/>
      <c r="AG5" s="354" t="n"/>
      <c r="AH5" s="354" t="n"/>
      <c r="AI5" s="354" t="n"/>
      <c r="AJ5" s="354" t="n"/>
      <c r="AK5" s="354" t="n"/>
      <c r="AL5" s="466" t="n"/>
    </row>
    <row r="6" ht="15" customHeight="1" s="307">
      <c r="A6" s="322" t="inlineStr">
        <is>
          <t>Recycled Deals</t>
        </is>
      </c>
      <c r="B6" s="354" t="n">
        <v>0</v>
      </c>
      <c r="C6" s="354" t="n">
        <v>0</v>
      </c>
      <c r="D6" s="354" t="n">
        <v>0</v>
      </c>
      <c r="E6" s="354" t="n">
        <v>0</v>
      </c>
      <c r="F6" s="354" t="n">
        <v>0</v>
      </c>
      <c r="G6" s="354" t="n">
        <v>0</v>
      </c>
      <c r="H6" s="354" t="n">
        <v>22.6</v>
      </c>
      <c r="I6" s="354" t="n">
        <v>22.6</v>
      </c>
      <c r="J6" s="354" t="n">
        <v>0</v>
      </c>
      <c r="K6" s="354" t="n">
        <v>22.6</v>
      </c>
      <c r="L6" s="354" t="n">
        <v>22.6</v>
      </c>
      <c r="M6" s="354" t="n">
        <v>20.2</v>
      </c>
      <c r="N6" s="354" t="n"/>
      <c r="O6" s="354" t="n"/>
      <c r="P6" s="354" t="n"/>
      <c r="Q6" s="354" t="n"/>
      <c r="R6" s="354" t="n"/>
      <c r="S6" s="354" t="n"/>
      <c r="T6" s="354" t="n"/>
      <c r="U6" s="354" t="n"/>
      <c r="V6" s="354" t="n"/>
      <c r="W6" s="354" t="n"/>
      <c r="X6" s="354" t="n"/>
      <c r="Y6" s="354" t="n"/>
      <c r="Z6" s="354" t="n"/>
      <c r="AA6" s="354" t="n"/>
      <c r="AB6" s="354" t="n"/>
      <c r="AC6" s="354" t="n"/>
      <c r="AD6" s="354" t="n"/>
      <c r="AE6" s="354" t="n"/>
      <c r="AF6" s="354" t="n"/>
      <c r="AG6" s="354" t="n"/>
      <c r="AH6" s="354" t="n"/>
      <c r="AI6" s="354" t="n"/>
      <c r="AJ6" s="354" t="n"/>
      <c r="AK6" s="354" t="n"/>
      <c r="AL6" s="466" t="n"/>
    </row>
    <row r="7" ht="15" customHeight="1" s="307">
      <c r="A7" s="322" t="inlineStr">
        <is>
          <t>Net Balance</t>
        </is>
      </c>
      <c r="B7" s="588" t="n">
        <v>-1</v>
      </c>
      <c r="C7" s="588" t="n">
        <v>-3.6</v>
      </c>
      <c r="D7" s="588" t="n">
        <v>-4.8</v>
      </c>
      <c r="E7" s="588" t="n">
        <v>-3.4</v>
      </c>
      <c r="F7" s="571" t="n">
        <v>6.3</v>
      </c>
      <c r="G7" s="571" t="n">
        <v>18.8</v>
      </c>
      <c r="H7" s="571" t="n">
        <v>12</v>
      </c>
      <c r="I7" s="571" t="n">
        <v>8.199999999999999</v>
      </c>
      <c r="J7" s="571" t="n">
        <v>30.9</v>
      </c>
      <c r="K7" s="571" t="n">
        <v>31.8</v>
      </c>
      <c r="L7" s="571" t="n">
        <v>34.8</v>
      </c>
      <c r="M7" s="571" t="n">
        <v>42.3</v>
      </c>
      <c r="N7" s="354" t="n"/>
      <c r="O7" s="354" t="n"/>
      <c r="P7" s="354" t="n"/>
      <c r="Q7" s="354" t="n"/>
      <c r="R7" s="354" t="n"/>
      <c r="S7" s="354" t="n"/>
      <c r="T7" s="354" t="n"/>
      <c r="U7" s="354" t="n"/>
      <c r="V7" s="354" t="n"/>
      <c r="W7" s="354" t="n"/>
      <c r="X7" s="354" t="n"/>
      <c r="Y7" s="354" t="n"/>
      <c r="Z7" s="354" t="n"/>
      <c r="AA7" s="354" t="n"/>
      <c r="AB7" s="354" t="n"/>
      <c r="AC7" s="354" t="n"/>
      <c r="AD7" s="354" t="n"/>
      <c r="AE7" s="354" t="n"/>
      <c r="AF7" s="354" t="n"/>
      <c r="AG7" s="354" t="n"/>
      <c r="AH7" s="354" t="n"/>
      <c r="AI7" s="354" t="n"/>
      <c r="AJ7" s="354" t="n"/>
      <c r="AK7" s="354" t="n"/>
      <c r="AL7" s="466" t="n"/>
    </row>
    <row r="8" ht="15" customHeight="1" s="307">
      <c r="A8" s="321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466" t="n"/>
    </row>
    <row r="9" ht="15" customHeight="1" s="307">
      <c r="A9" s="322" t="n"/>
      <c r="B9" s="354" t="n"/>
      <c r="C9" s="354" t="n"/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466" t="n"/>
    </row>
    <row r="11" ht="15" customHeight="1" s="307">
      <c r="A11" s="322" t="n"/>
      <c r="B11" s="354" t="n"/>
      <c r="C11" s="354" t="n"/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466" t="n"/>
    </row>
    <row r="12" ht="15" customHeight="1" s="307">
      <c r="A12" s="32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466" t="n"/>
    </row>
    <row r="13" ht="15" customHeight="1" s="307">
      <c r="A13" s="322" t="n"/>
      <c r="B13" s="569" t="n"/>
      <c r="C13" s="569" t="n"/>
      <c r="D13" s="569" t="n"/>
      <c r="E13" s="569" t="n"/>
      <c r="F13" s="569" t="n"/>
      <c r="G13" s="569" t="n"/>
      <c r="H13" s="569" t="n"/>
      <c r="I13" s="569" t="n"/>
      <c r="J13" s="569" t="n"/>
      <c r="K13" s="569" t="n"/>
      <c r="L13" s="569" t="n"/>
      <c r="M13" s="569" t="n"/>
      <c r="N13" s="569" t="n"/>
      <c r="O13" s="569" t="n"/>
      <c r="P13" s="569" t="n"/>
      <c r="Q13" s="569" t="n"/>
      <c r="R13" s="569" t="n"/>
      <c r="S13" s="569" t="n"/>
      <c r="T13" s="569" t="n"/>
      <c r="U13" s="569" t="n"/>
      <c r="V13" s="569" t="n"/>
      <c r="W13" s="569" t="n"/>
      <c r="X13" s="569" t="n"/>
      <c r="Y13" s="569" t="n"/>
      <c r="Z13" s="569" t="n"/>
      <c r="AA13" s="569" t="n"/>
      <c r="AB13" s="569" t="n"/>
      <c r="AC13" s="569" t="n"/>
      <c r="AD13" s="569" t="n"/>
      <c r="AE13" s="569" t="n"/>
      <c r="AF13" s="569" t="n"/>
      <c r="AG13" s="569" t="n"/>
      <c r="AH13" s="569" t="n"/>
      <c r="AI13" s="569" t="n"/>
      <c r="AJ13" s="569" t="n"/>
      <c r="AK13" s="569" t="n"/>
      <c r="AL13" s="466" t="n"/>
    </row>
    <row r="16" ht="15" customHeight="1" s="307">
      <c r="A16" s="323" t="n"/>
    </row>
    <row r="17" ht="15" customHeight="1" s="307">
      <c r="A17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R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4" customWidth="1" style="306" min="2" max="2"/>
    <col width="10" customWidth="1" style="306" min="3" max="3"/>
    <col width="13" customWidth="1" style="306" min="4" max="18"/>
  </cols>
  <sheetData>
    <row r="1" ht="15.75" customHeight="1" s="307">
      <c r="A1" s="471" t="inlineStr">
        <is>
          <t>TEAM COMPENSATION BY ROLE  --  FUND LIFE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</row>
    <row r="2" ht="15" customHeight="1" s="307">
      <c r="A2" s="323" t="inlineStr">
        <is>
          <t>Base + 30% overhead + bonus (pro-rata by salary $). Step-ups ratchet at $100M ARR. All figures in $K.</t>
        </is>
      </c>
    </row>
    <row r="4" ht="15" customHeight="1" s="307">
      <c r="A4" s="472" t="inlineStr">
        <is>
          <t>Role</t>
        </is>
      </c>
      <c r="B4" s="388" t="inlineStr">
        <is>
          <t>Base ($K)</t>
        </is>
      </c>
      <c r="C4" s="388" t="inlineStr">
        <is>
          <t>Start</t>
        </is>
      </c>
      <c r="D4" s="388" t="inlineStr">
        <is>
          <t>Year 1</t>
        </is>
      </c>
      <c r="E4" s="388" t="inlineStr">
        <is>
          <t>Year 2</t>
        </is>
      </c>
      <c r="F4" s="388" t="inlineStr">
        <is>
          <t>Year 3</t>
        </is>
      </c>
      <c r="G4" s="388" t="inlineStr">
        <is>
          <t>Year 4</t>
        </is>
      </c>
      <c r="H4" s="388" t="inlineStr">
        <is>
          <t>Year 5</t>
        </is>
      </c>
      <c r="I4" s="388" t="inlineStr">
        <is>
          <t>Year 6</t>
        </is>
      </c>
      <c r="J4" s="388" t="inlineStr">
        <is>
          <t>Year 7</t>
        </is>
      </c>
      <c r="K4" s="388" t="inlineStr">
        <is>
          <t>Year 8</t>
        </is>
      </c>
      <c r="L4" s="388" t="inlineStr">
        <is>
          <t>Year 9</t>
        </is>
      </c>
      <c r="M4" s="388" t="inlineStr">
        <is>
          <t>Year 10</t>
        </is>
      </c>
      <c r="N4" s="388" t="inlineStr">
        <is>
          <t>Year 11</t>
        </is>
      </c>
      <c r="O4" s="388" t="inlineStr">
        <is>
          <t>Year 12</t>
        </is>
      </c>
      <c r="P4" s="388" t="inlineStr">
        <is>
          <t>Year 13</t>
        </is>
      </c>
      <c r="Q4" s="388" t="inlineStr">
        <is>
          <t>Year 14</t>
        </is>
      </c>
      <c r="R4" s="388" t="inlineStr">
        <is>
          <t>Year 15</t>
        </is>
      </c>
    </row>
    <row r="5" ht="15" customHeight="1" s="307">
      <c r="A5" s="321" t="inlineStr">
        <is>
          <t>CEO</t>
        </is>
      </c>
      <c r="B5" s="368" t="n">
        <v>1000</v>
      </c>
      <c r="C5" s="394" t="inlineStr">
        <is>
          <t>M1</t>
        </is>
      </c>
      <c r="D5" s="589" t="n">
        <v>1300</v>
      </c>
      <c r="E5" s="590" t="n">
        <v>1950</v>
      </c>
      <c r="F5" s="589" t="n">
        <v>3291</v>
      </c>
      <c r="G5" s="590" t="n">
        <v>3130</v>
      </c>
      <c r="H5" s="589" t="n">
        <v>2979</v>
      </c>
      <c r="I5" s="590" t="n">
        <v>2878</v>
      </c>
      <c r="J5" s="589" t="n">
        <v>2817</v>
      </c>
      <c r="K5" s="590" t="n">
        <v>2791</v>
      </c>
      <c r="L5" s="589" t="n">
        <v>2794</v>
      </c>
      <c r="M5" s="590" t="n">
        <v>2822</v>
      </c>
      <c r="N5" s="589" t="n">
        <v>2871</v>
      </c>
      <c r="O5" s="590" t="n">
        <v>2940</v>
      </c>
      <c r="P5" s="589" t="n">
        <v>3025</v>
      </c>
      <c r="Q5" s="590" t="n">
        <v>3126</v>
      </c>
      <c r="R5" s="589" t="n">
        <v>3241</v>
      </c>
    </row>
    <row r="6" ht="15" customHeight="1" s="307">
      <c r="A6" s="321" t="inlineStr">
        <is>
          <t>CFO</t>
        </is>
      </c>
      <c r="B6" s="368" t="n">
        <v>500</v>
      </c>
      <c r="C6" s="394" t="inlineStr">
        <is>
          <t>M1</t>
        </is>
      </c>
      <c r="D6" s="589" t="n">
        <v>650</v>
      </c>
      <c r="E6" s="590" t="n">
        <v>975</v>
      </c>
      <c r="F6" s="589" t="n">
        <v>1646</v>
      </c>
      <c r="G6" s="590" t="n">
        <v>1565</v>
      </c>
      <c r="H6" s="589" t="n">
        <v>1490</v>
      </c>
      <c r="I6" s="590" t="n">
        <v>1439</v>
      </c>
      <c r="J6" s="589" t="n">
        <v>1408</v>
      </c>
      <c r="K6" s="590" t="n">
        <v>1395</v>
      </c>
      <c r="L6" s="589" t="n">
        <v>1397</v>
      </c>
      <c r="M6" s="590" t="n">
        <v>1411</v>
      </c>
      <c r="N6" s="589" t="n">
        <v>1436</v>
      </c>
      <c r="O6" s="590" t="n">
        <v>1470</v>
      </c>
      <c r="P6" s="589" t="n">
        <v>1513</v>
      </c>
      <c r="Q6" s="590" t="n">
        <v>1563</v>
      </c>
      <c r="R6" s="589" t="n">
        <v>1620</v>
      </c>
    </row>
    <row r="7" ht="15" customHeight="1" s="307">
      <c r="A7" s="321" t="inlineStr">
        <is>
          <t>COO</t>
        </is>
      </c>
      <c r="B7" s="368" t="n">
        <v>500</v>
      </c>
      <c r="C7" s="394" t="inlineStr">
        <is>
          <t>M4</t>
        </is>
      </c>
      <c r="D7" s="589" t="n">
        <v>488</v>
      </c>
      <c r="E7" s="590" t="n">
        <v>975</v>
      </c>
      <c r="F7" s="589" t="n">
        <v>1646</v>
      </c>
      <c r="G7" s="590" t="n">
        <v>1565</v>
      </c>
      <c r="H7" s="589" t="n">
        <v>1490</v>
      </c>
      <c r="I7" s="590" t="n">
        <v>1439</v>
      </c>
      <c r="J7" s="589" t="n">
        <v>1408</v>
      </c>
      <c r="K7" s="590" t="n">
        <v>1395</v>
      </c>
      <c r="L7" s="589" t="n">
        <v>1397</v>
      </c>
      <c r="M7" s="590" t="n">
        <v>1411</v>
      </c>
      <c r="N7" s="589" t="n">
        <v>1436</v>
      </c>
      <c r="O7" s="590" t="n">
        <v>1470</v>
      </c>
      <c r="P7" s="589" t="n">
        <v>1513</v>
      </c>
      <c r="Q7" s="590" t="n">
        <v>1563</v>
      </c>
      <c r="R7" s="589" t="n">
        <v>1620</v>
      </c>
    </row>
    <row r="8" ht="15" customHeight="1" s="307">
      <c r="A8" s="321" t="inlineStr">
        <is>
          <t>CPO</t>
        </is>
      </c>
      <c r="B8" s="368" t="n">
        <v>500</v>
      </c>
      <c r="C8" s="394" t="inlineStr">
        <is>
          <t>M4</t>
        </is>
      </c>
      <c r="D8" s="589" t="n">
        <v>488</v>
      </c>
      <c r="E8" s="590" t="n">
        <v>975</v>
      </c>
      <c r="F8" s="589" t="n">
        <v>1646</v>
      </c>
      <c r="G8" s="590" t="n">
        <v>1565</v>
      </c>
      <c r="H8" s="589" t="n">
        <v>1490</v>
      </c>
      <c r="I8" s="590" t="n">
        <v>1439</v>
      </c>
      <c r="J8" s="589" t="n">
        <v>1408</v>
      </c>
      <c r="K8" s="590" t="n">
        <v>1395</v>
      </c>
      <c r="L8" s="589" t="n">
        <v>1397</v>
      </c>
      <c r="M8" s="590" t="n">
        <v>1411</v>
      </c>
      <c r="N8" s="589" t="n">
        <v>1436</v>
      </c>
      <c r="O8" s="590" t="n">
        <v>1470</v>
      </c>
      <c r="P8" s="589" t="n">
        <v>1513</v>
      </c>
      <c r="Q8" s="590" t="n">
        <v>1563</v>
      </c>
      <c r="R8" s="589" t="n">
        <v>1620</v>
      </c>
    </row>
    <row r="9" ht="15" customHeight="1" s="307">
      <c r="A9" s="321" t="inlineStr">
        <is>
          <t>CTO</t>
        </is>
      </c>
      <c r="B9" s="368" t="n">
        <v>500</v>
      </c>
      <c r="C9" s="394" t="inlineStr">
        <is>
          <t>M4</t>
        </is>
      </c>
      <c r="D9" s="589" t="n">
        <v>488</v>
      </c>
      <c r="E9" s="590" t="n">
        <v>975</v>
      </c>
      <c r="F9" s="589" t="n">
        <v>1646</v>
      </c>
      <c r="G9" s="590" t="n">
        <v>1565</v>
      </c>
      <c r="H9" s="589" t="n">
        <v>1490</v>
      </c>
      <c r="I9" s="590" t="n">
        <v>1439</v>
      </c>
      <c r="J9" s="589" t="n">
        <v>1408</v>
      </c>
      <c r="K9" s="590" t="n">
        <v>1395</v>
      </c>
      <c r="L9" s="589" t="n">
        <v>1397</v>
      </c>
      <c r="M9" s="590" t="n">
        <v>1411</v>
      </c>
      <c r="N9" s="589" t="n">
        <v>1436</v>
      </c>
      <c r="O9" s="590" t="n">
        <v>1470</v>
      </c>
      <c r="P9" s="589" t="n">
        <v>1513</v>
      </c>
      <c r="Q9" s="590" t="n">
        <v>1563</v>
      </c>
      <c r="R9" s="589" t="n">
        <v>1620</v>
      </c>
    </row>
    <row r="10" ht="15" customHeight="1" s="307">
      <c r="A10" s="321" t="inlineStr">
        <is>
          <t>CRO</t>
        </is>
      </c>
      <c r="B10" s="368" t="n">
        <v>500</v>
      </c>
      <c r="C10" s="394" t="inlineStr">
        <is>
          <t>M7</t>
        </is>
      </c>
      <c r="D10" s="589" t="n">
        <v>325</v>
      </c>
      <c r="E10" s="590" t="n">
        <v>975</v>
      </c>
      <c r="F10" s="589" t="n">
        <v>1646</v>
      </c>
      <c r="G10" s="590" t="n">
        <v>1565</v>
      </c>
      <c r="H10" s="589" t="n">
        <v>1490</v>
      </c>
      <c r="I10" s="590" t="n">
        <v>1439</v>
      </c>
      <c r="J10" s="589" t="n">
        <v>1408</v>
      </c>
      <c r="K10" s="590" t="n">
        <v>1395</v>
      </c>
      <c r="L10" s="589" t="n">
        <v>1397</v>
      </c>
      <c r="M10" s="590" t="n">
        <v>1411</v>
      </c>
      <c r="N10" s="589" t="n">
        <v>1436</v>
      </c>
      <c r="O10" s="590" t="n">
        <v>1470</v>
      </c>
      <c r="P10" s="589" t="n">
        <v>1513</v>
      </c>
      <c r="Q10" s="590" t="n">
        <v>1563</v>
      </c>
      <c r="R10" s="589" t="n">
        <v>1620</v>
      </c>
    </row>
    <row r="11" ht="15" customHeight="1" s="307">
      <c r="A11" s="321" t="inlineStr">
        <is>
          <t>Sr Operator 1</t>
        </is>
      </c>
      <c r="B11" s="368" t="n">
        <v>250</v>
      </c>
      <c r="C11" s="394" t="inlineStr">
        <is>
          <t>M4</t>
        </is>
      </c>
      <c r="D11" s="589" t="n">
        <v>244</v>
      </c>
      <c r="E11" s="590" t="n">
        <v>488</v>
      </c>
      <c r="F11" s="589" t="n">
        <v>823</v>
      </c>
      <c r="G11" s="590" t="n">
        <v>783</v>
      </c>
      <c r="H11" s="589" t="n">
        <v>745</v>
      </c>
      <c r="I11" s="590" t="n">
        <v>719</v>
      </c>
      <c r="J11" s="589" t="n">
        <v>704</v>
      </c>
      <c r="K11" s="590" t="n">
        <v>698</v>
      </c>
      <c r="L11" s="589" t="n">
        <v>698</v>
      </c>
      <c r="M11" s="590" t="n">
        <v>705</v>
      </c>
      <c r="N11" s="589" t="n">
        <v>718</v>
      </c>
      <c r="O11" s="590" t="n">
        <v>735</v>
      </c>
      <c r="P11" s="589" t="n">
        <v>756</v>
      </c>
      <c r="Q11" s="590" t="n">
        <v>781</v>
      </c>
      <c r="R11" s="589" t="n">
        <v>810</v>
      </c>
    </row>
    <row r="12" ht="15" customHeight="1" s="307">
      <c r="A12" s="321" t="inlineStr">
        <is>
          <t>Sr Operator 2</t>
        </is>
      </c>
      <c r="B12" s="368" t="n">
        <v>250</v>
      </c>
      <c r="C12" s="394" t="inlineStr">
        <is>
          <t>M4</t>
        </is>
      </c>
      <c r="D12" s="589" t="n">
        <v>244</v>
      </c>
      <c r="E12" s="590" t="n">
        <v>488</v>
      </c>
      <c r="F12" s="589" t="n">
        <v>823</v>
      </c>
      <c r="G12" s="590" t="n">
        <v>783</v>
      </c>
      <c r="H12" s="589" t="n">
        <v>745</v>
      </c>
      <c r="I12" s="590" t="n">
        <v>719</v>
      </c>
      <c r="J12" s="589" t="n">
        <v>704</v>
      </c>
      <c r="K12" s="590" t="n">
        <v>698</v>
      </c>
      <c r="L12" s="589" t="n">
        <v>698</v>
      </c>
      <c r="M12" s="590" t="n">
        <v>705</v>
      </c>
      <c r="N12" s="589" t="n">
        <v>718</v>
      </c>
      <c r="O12" s="590" t="n">
        <v>735</v>
      </c>
      <c r="P12" s="589" t="n">
        <v>756</v>
      </c>
      <c r="Q12" s="590" t="n">
        <v>781</v>
      </c>
      <c r="R12" s="589" t="n">
        <v>810</v>
      </c>
    </row>
    <row r="13" ht="15" customHeight="1" s="307">
      <c r="A13" s="321" t="inlineStr">
        <is>
          <t>Sr Operator 3</t>
        </is>
      </c>
      <c r="B13" s="368" t="n">
        <v>250</v>
      </c>
      <c r="C13" s="394" t="inlineStr">
        <is>
          <t>M4</t>
        </is>
      </c>
      <c r="D13" s="589" t="n">
        <v>244</v>
      </c>
      <c r="E13" s="590" t="n">
        <v>488</v>
      </c>
      <c r="F13" s="589" t="n">
        <v>823</v>
      </c>
      <c r="G13" s="590" t="n">
        <v>783</v>
      </c>
      <c r="H13" s="589" t="n">
        <v>745</v>
      </c>
      <c r="I13" s="590" t="n">
        <v>719</v>
      </c>
      <c r="J13" s="589" t="n">
        <v>704</v>
      </c>
      <c r="K13" s="590" t="n">
        <v>698</v>
      </c>
      <c r="L13" s="589" t="n">
        <v>698</v>
      </c>
      <c r="M13" s="590" t="n">
        <v>705</v>
      </c>
      <c r="N13" s="589" t="n">
        <v>718</v>
      </c>
      <c r="O13" s="590" t="n">
        <v>735</v>
      </c>
      <c r="P13" s="589" t="n">
        <v>756</v>
      </c>
      <c r="Q13" s="590" t="n">
        <v>781</v>
      </c>
      <c r="R13" s="589" t="n">
        <v>810</v>
      </c>
    </row>
    <row r="14" ht="15" customHeight="1" s="307">
      <c r="A14" s="321" t="inlineStr">
        <is>
          <t>Sr Operator 4</t>
        </is>
      </c>
      <c r="B14" s="368" t="n">
        <v>250</v>
      </c>
      <c r="C14" s="394" t="inlineStr">
        <is>
          <t>M7</t>
        </is>
      </c>
      <c r="D14" s="589" t="n">
        <v>162</v>
      </c>
      <c r="E14" s="590" t="n">
        <v>488</v>
      </c>
      <c r="F14" s="589" t="n">
        <v>823</v>
      </c>
      <c r="G14" s="590" t="n">
        <v>783</v>
      </c>
      <c r="H14" s="589" t="n">
        <v>745</v>
      </c>
      <c r="I14" s="590" t="n">
        <v>719</v>
      </c>
      <c r="J14" s="589" t="n">
        <v>704</v>
      </c>
      <c r="K14" s="590" t="n">
        <v>698</v>
      </c>
      <c r="L14" s="589" t="n">
        <v>698</v>
      </c>
      <c r="M14" s="590" t="n">
        <v>705</v>
      </c>
      <c r="N14" s="589" t="n">
        <v>718</v>
      </c>
      <c r="O14" s="590" t="n">
        <v>735</v>
      </c>
      <c r="P14" s="589" t="n">
        <v>756</v>
      </c>
      <c r="Q14" s="590" t="n">
        <v>781</v>
      </c>
      <c r="R14" s="589" t="n">
        <v>810</v>
      </c>
    </row>
    <row r="15" ht="15" customHeight="1" s="307">
      <c r="A15" s="321" t="inlineStr">
        <is>
          <t>Sr Operator 5</t>
        </is>
      </c>
      <c r="B15" s="368" t="n">
        <v>250</v>
      </c>
      <c r="C15" s="394" t="inlineStr">
        <is>
          <t>M7</t>
        </is>
      </c>
      <c r="D15" s="589" t="n">
        <v>162</v>
      </c>
      <c r="E15" s="590" t="n">
        <v>488</v>
      </c>
      <c r="F15" s="589" t="n">
        <v>823</v>
      </c>
      <c r="G15" s="590" t="n">
        <v>783</v>
      </c>
      <c r="H15" s="589" t="n">
        <v>745</v>
      </c>
      <c r="I15" s="590" t="n">
        <v>719</v>
      </c>
      <c r="J15" s="589" t="n">
        <v>704</v>
      </c>
      <c r="K15" s="590" t="n">
        <v>698</v>
      </c>
      <c r="L15" s="589" t="n">
        <v>698</v>
      </c>
      <c r="M15" s="590" t="n">
        <v>705</v>
      </c>
      <c r="N15" s="589" t="n">
        <v>718</v>
      </c>
      <c r="O15" s="590" t="n">
        <v>735</v>
      </c>
      <c r="P15" s="589" t="n">
        <v>756</v>
      </c>
      <c r="Q15" s="590" t="n">
        <v>781</v>
      </c>
      <c r="R15" s="589" t="n">
        <v>810</v>
      </c>
    </row>
    <row r="16" ht="15" customHeight="1" s="307">
      <c r="A16" s="321" t="inlineStr">
        <is>
          <t>Jr Operator 1</t>
        </is>
      </c>
      <c r="B16" s="368" t="n">
        <v>125</v>
      </c>
      <c r="C16" s="394" t="inlineStr">
        <is>
          <t>M4</t>
        </is>
      </c>
      <c r="D16" s="589" t="n">
        <v>122</v>
      </c>
      <c r="E16" s="590" t="n">
        <v>244</v>
      </c>
      <c r="F16" s="589" t="n">
        <v>411</v>
      </c>
      <c r="G16" s="590" t="n">
        <v>391</v>
      </c>
      <c r="H16" s="589" t="n">
        <v>372</v>
      </c>
      <c r="I16" s="590" t="n">
        <v>360</v>
      </c>
      <c r="J16" s="589" t="n">
        <v>352</v>
      </c>
      <c r="K16" s="590" t="n">
        <v>349</v>
      </c>
      <c r="L16" s="589" t="n">
        <v>349</v>
      </c>
      <c r="M16" s="590" t="n">
        <v>353</v>
      </c>
      <c r="N16" s="589" t="n">
        <v>359</v>
      </c>
      <c r="O16" s="590" t="n">
        <v>367</v>
      </c>
      <c r="P16" s="589" t="n">
        <v>378</v>
      </c>
      <c r="Q16" s="590" t="n">
        <v>391</v>
      </c>
      <c r="R16" s="589" t="n">
        <v>405</v>
      </c>
    </row>
    <row r="17" ht="15" customHeight="1" s="307">
      <c r="A17" s="321" t="inlineStr">
        <is>
          <t>Jr Operator 2</t>
        </is>
      </c>
      <c r="B17" s="368" t="n">
        <v>125</v>
      </c>
      <c r="C17" s="394" t="inlineStr">
        <is>
          <t>M7</t>
        </is>
      </c>
      <c r="D17" s="589" t="n">
        <v>81</v>
      </c>
      <c r="E17" s="590" t="n">
        <v>244</v>
      </c>
      <c r="F17" s="589" t="n">
        <v>411</v>
      </c>
      <c r="G17" s="590" t="n">
        <v>391</v>
      </c>
      <c r="H17" s="589" t="n">
        <v>372</v>
      </c>
      <c r="I17" s="590" t="n">
        <v>360</v>
      </c>
      <c r="J17" s="589" t="n">
        <v>352</v>
      </c>
      <c r="K17" s="590" t="n">
        <v>349</v>
      </c>
      <c r="L17" s="589" t="n">
        <v>349</v>
      </c>
      <c r="M17" s="590" t="n">
        <v>353</v>
      </c>
      <c r="N17" s="589" t="n">
        <v>359</v>
      </c>
      <c r="O17" s="590" t="n">
        <v>367</v>
      </c>
      <c r="P17" s="589" t="n">
        <v>378</v>
      </c>
      <c r="Q17" s="590" t="n">
        <v>391</v>
      </c>
      <c r="R17" s="589" t="n">
        <v>405</v>
      </c>
    </row>
    <row r="18" ht="15" customHeight="1" s="307">
      <c r="A18" s="321" t="inlineStr">
        <is>
          <t>Jr Operator 3</t>
        </is>
      </c>
      <c r="B18" s="368" t="n">
        <v>125</v>
      </c>
      <c r="C18" s="394" t="inlineStr">
        <is>
          <t>M10</t>
        </is>
      </c>
      <c r="D18" s="589" t="n">
        <v>41</v>
      </c>
      <c r="E18" s="590" t="n">
        <v>244</v>
      </c>
      <c r="F18" s="589" t="n">
        <v>411</v>
      </c>
      <c r="G18" s="590" t="n">
        <v>391</v>
      </c>
      <c r="H18" s="589" t="n">
        <v>372</v>
      </c>
      <c r="I18" s="590" t="n">
        <v>360</v>
      </c>
      <c r="J18" s="589" t="n">
        <v>352</v>
      </c>
      <c r="K18" s="590" t="n">
        <v>349</v>
      </c>
      <c r="L18" s="589" t="n">
        <v>349</v>
      </c>
      <c r="M18" s="590" t="n">
        <v>353</v>
      </c>
      <c r="N18" s="589" t="n">
        <v>359</v>
      </c>
      <c r="O18" s="590" t="n">
        <v>367</v>
      </c>
      <c r="P18" s="589" t="n">
        <v>378</v>
      </c>
      <c r="Q18" s="590" t="n">
        <v>391</v>
      </c>
      <c r="R18" s="589" t="n">
        <v>405</v>
      </c>
    </row>
    <row r="19" ht="15" customHeight="1" s="307">
      <c r="A19" s="321" t="inlineStr">
        <is>
          <t>Jr Operator 4</t>
        </is>
      </c>
      <c r="B19" s="368" t="n">
        <v>125</v>
      </c>
      <c r="C19" s="394" t="inlineStr">
        <is>
          <t>M10</t>
        </is>
      </c>
      <c r="D19" s="589" t="n">
        <v>41</v>
      </c>
      <c r="E19" s="590" t="n">
        <v>244</v>
      </c>
      <c r="F19" s="589" t="n">
        <v>411</v>
      </c>
      <c r="G19" s="590" t="n">
        <v>391</v>
      </c>
      <c r="H19" s="589" t="n">
        <v>372</v>
      </c>
      <c r="I19" s="590" t="n">
        <v>360</v>
      </c>
      <c r="J19" s="589" t="n">
        <v>352</v>
      </c>
      <c r="K19" s="590" t="n">
        <v>349</v>
      </c>
      <c r="L19" s="589" t="n">
        <v>349</v>
      </c>
      <c r="M19" s="590" t="n">
        <v>353</v>
      </c>
      <c r="N19" s="589" t="n">
        <v>359</v>
      </c>
      <c r="O19" s="590" t="n">
        <v>367</v>
      </c>
      <c r="P19" s="589" t="n">
        <v>378</v>
      </c>
      <c r="Q19" s="590" t="n">
        <v>391</v>
      </c>
      <c r="R19" s="589" t="n">
        <v>405</v>
      </c>
    </row>
    <row r="20" ht="15" customHeight="1" s="307">
      <c r="A20" s="321" t="inlineStr">
        <is>
          <t>Jr Operator 5</t>
        </is>
      </c>
      <c r="B20" s="368" t="n">
        <v>125</v>
      </c>
      <c r="C20" s="394" t="inlineStr">
        <is>
          <t>M10</t>
        </is>
      </c>
      <c r="D20" s="589" t="n">
        <v>41</v>
      </c>
      <c r="E20" s="590" t="n">
        <v>244</v>
      </c>
      <c r="F20" s="589" t="n">
        <v>411</v>
      </c>
      <c r="G20" s="590" t="n">
        <v>391</v>
      </c>
      <c r="H20" s="589" t="n">
        <v>372</v>
      </c>
      <c r="I20" s="590" t="n">
        <v>360</v>
      </c>
      <c r="J20" s="589" t="n">
        <v>352</v>
      </c>
      <c r="K20" s="590" t="n">
        <v>349</v>
      </c>
      <c r="L20" s="589" t="n">
        <v>349</v>
      </c>
      <c r="M20" s="590" t="n">
        <v>353</v>
      </c>
      <c r="N20" s="589" t="n">
        <v>359</v>
      </c>
      <c r="O20" s="590" t="n">
        <v>367</v>
      </c>
      <c r="P20" s="589" t="n">
        <v>378</v>
      </c>
      <c r="Q20" s="590" t="n">
        <v>391</v>
      </c>
      <c r="R20" s="589" t="n">
        <v>405</v>
      </c>
    </row>
    <row r="21" ht="15" customHeight="1" s="307">
      <c r="A21" s="321" t="inlineStr">
        <is>
          <t>Jr Operator 6</t>
        </is>
      </c>
      <c r="B21" s="368" t="n">
        <v>125</v>
      </c>
      <c r="C21" s="394" t="inlineStr">
        <is>
          <t>M10</t>
        </is>
      </c>
      <c r="D21" s="589" t="n">
        <v>41</v>
      </c>
      <c r="E21" s="590" t="n">
        <v>244</v>
      </c>
      <c r="F21" s="589" t="n">
        <v>411</v>
      </c>
      <c r="G21" s="590" t="n">
        <v>391</v>
      </c>
      <c r="H21" s="589" t="n">
        <v>372</v>
      </c>
      <c r="I21" s="590" t="n">
        <v>360</v>
      </c>
      <c r="J21" s="589" t="n">
        <v>352</v>
      </c>
      <c r="K21" s="590" t="n">
        <v>349</v>
      </c>
      <c r="L21" s="589" t="n">
        <v>349</v>
      </c>
      <c r="M21" s="590" t="n">
        <v>353</v>
      </c>
      <c r="N21" s="589" t="n">
        <v>359</v>
      </c>
      <c r="O21" s="590" t="n">
        <v>367</v>
      </c>
      <c r="P21" s="589" t="n">
        <v>378</v>
      </c>
      <c r="Q21" s="590" t="n">
        <v>391</v>
      </c>
      <c r="R21" s="589" t="n">
        <v>405</v>
      </c>
    </row>
    <row r="22" ht="15" customHeight="1" s="307">
      <c r="A22" s="321" t="inlineStr">
        <is>
          <t>Jr Operator 7</t>
        </is>
      </c>
      <c r="B22" s="368" t="n">
        <v>125</v>
      </c>
      <c r="C22" s="394" t="inlineStr">
        <is>
          <t>M12</t>
        </is>
      </c>
      <c r="D22" s="589" t="n">
        <v>14</v>
      </c>
      <c r="E22" s="590" t="n">
        <v>244</v>
      </c>
      <c r="F22" s="589" t="n">
        <v>411</v>
      </c>
      <c r="G22" s="590" t="n">
        <v>391</v>
      </c>
      <c r="H22" s="589" t="n">
        <v>372</v>
      </c>
      <c r="I22" s="590" t="n">
        <v>360</v>
      </c>
      <c r="J22" s="589" t="n">
        <v>352</v>
      </c>
      <c r="K22" s="590" t="n">
        <v>349</v>
      </c>
      <c r="L22" s="589" t="n">
        <v>349</v>
      </c>
      <c r="M22" s="590" t="n">
        <v>353</v>
      </c>
      <c r="N22" s="589" t="n">
        <v>359</v>
      </c>
      <c r="O22" s="590" t="n">
        <v>367</v>
      </c>
      <c r="P22" s="589" t="n">
        <v>378</v>
      </c>
      <c r="Q22" s="590" t="n">
        <v>391</v>
      </c>
      <c r="R22" s="589" t="n">
        <v>405</v>
      </c>
    </row>
    <row r="23" ht="15" customHeight="1" s="307">
      <c r="A23" s="321" t="inlineStr">
        <is>
          <t>Jr Operator 8</t>
        </is>
      </c>
      <c r="B23" s="368" t="n">
        <v>125</v>
      </c>
      <c r="C23" s="394" t="inlineStr">
        <is>
          <t>M12</t>
        </is>
      </c>
      <c r="D23" s="589" t="n">
        <v>14</v>
      </c>
      <c r="E23" s="590" t="n">
        <v>244</v>
      </c>
      <c r="F23" s="589" t="n">
        <v>411</v>
      </c>
      <c r="G23" s="590" t="n">
        <v>391</v>
      </c>
      <c r="H23" s="589" t="n">
        <v>372</v>
      </c>
      <c r="I23" s="590" t="n">
        <v>360</v>
      </c>
      <c r="J23" s="589" t="n">
        <v>352</v>
      </c>
      <c r="K23" s="590" t="n">
        <v>349</v>
      </c>
      <c r="L23" s="589" t="n">
        <v>349</v>
      </c>
      <c r="M23" s="590" t="n">
        <v>353</v>
      </c>
      <c r="N23" s="589" t="n">
        <v>359</v>
      </c>
      <c r="O23" s="590" t="n">
        <v>367</v>
      </c>
      <c r="P23" s="589" t="n">
        <v>378</v>
      </c>
      <c r="Q23" s="590" t="n">
        <v>391</v>
      </c>
      <c r="R23" s="589" t="n">
        <v>405</v>
      </c>
    </row>
    <row r="24" ht="15" customHeight="1" s="307">
      <c r="A24" s="321" t="inlineStr">
        <is>
          <t>Jr Operator 9</t>
        </is>
      </c>
      <c r="B24" s="368" t="n">
        <v>125</v>
      </c>
      <c r="C24" s="394" t="inlineStr">
        <is>
          <t>M16</t>
        </is>
      </c>
      <c r="D24" s="590" t="n"/>
      <c r="E24" s="590" t="n">
        <v>183</v>
      </c>
      <c r="F24" s="589" t="n">
        <v>411</v>
      </c>
      <c r="G24" s="590" t="n">
        <v>391</v>
      </c>
      <c r="H24" s="589" t="n">
        <v>372</v>
      </c>
      <c r="I24" s="590" t="n">
        <v>360</v>
      </c>
      <c r="J24" s="589" t="n">
        <v>352</v>
      </c>
      <c r="K24" s="590" t="n">
        <v>349</v>
      </c>
      <c r="L24" s="589" t="n">
        <v>349</v>
      </c>
      <c r="M24" s="590" t="n">
        <v>353</v>
      </c>
      <c r="N24" s="589" t="n">
        <v>359</v>
      </c>
      <c r="O24" s="590" t="n">
        <v>367</v>
      </c>
      <c r="P24" s="589" t="n">
        <v>378</v>
      </c>
      <c r="Q24" s="590" t="n">
        <v>391</v>
      </c>
      <c r="R24" s="589" t="n">
        <v>405</v>
      </c>
    </row>
    <row r="26" ht="15" customHeight="1" s="307">
      <c r="A26" s="325" t="inlineStr">
        <is>
          <t>SUMMARY ($K)</t>
        </is>
      </c>
      <c r="B26" s="309" t="n"/>
      <c r="C26" s="309" t="n"/>
      <c r="D26" s="309" t="n"/>
      <c r="E26" s="309" t="n"/>
      <c r="F26" s="309" t="n"/>
      <c r="G26" s="309" t="n"/>
      <c r="H26" s="309" t="n"/>
      <c r="I26" s="309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</row>
    <row r="27" ht="15" customHeight="1" s="307">
      <c r="A27" s="321" t="inlineStr">
        <is>
          <t>Total Base (stepped)</t>
        </is>
      </c>
      <c r="D27" s="590" t="n">
        <v>3990</v>
      </c>
      <c r="E27" s="590" t="n">
        <v>8766</v>
      </c>
      <c r="F27" s="590" t="n">
        <v>8812</v>
      </c>
      <c r="G27" s="590" t="n">
        <v>8812</v>
      </c>
      <c r="H27" s="590" t="n">
        <v>8812</v>
      </c>
      <c r="I27" s="590" t="n">
        <v>8812</v>
      </c>
      <c r="J27" s="590" t="n">
        <v>8812</v>
      </c>
      <c r="K27" s="590" t="n">
        <v>8812</v>
      </c>
      <c r="L27" s="590" t="n">
        <v>8812</v>
      </c>
      <c r="M27" s="590" t="n">
        <v>8812</v>
      </c>
      <c r="N27" s="590" t="n">
        <v>8812</v>
      </c>
      <c r="O27" s="590" t="n">
        <v>8812</v>
      </c>
      <c r="P27" s="590" t="n">
        <v>8812</v>
      </c>
      <c r="Q27" s="590" t="n">
        <v>8812</v>
      </c>
      <c r="R27" s="590" t="n">
        <v>8812</v>
      </c>
    </row>
    <row r="28" ht="15" customHeight="1" s="307">
      <c r="A28" s="321" t="inlineStr">
        <is>
          <t>Total Loaded (+ 30%)</t>
        </is>
      </c>
      <c r="D28" s="590" t="n">
        <v>5186</v>
      </c>
      <c r="E28" s="590" t="n">
        <v>11395</v>
      </c>
      <c r="F28" s="590" t="n">
        <v>11456</v>
      </c>
      <c r="G28" s="590" t="n">
        <v>11456</v>
      </c>
      <c r="H28" s="590" t="n">
        <v>11456</v>
      </c>
      <c r="I28" s="590" t="n">
        <v>11456</v>
      </c>
      <c r="J28" s="590" t="n">
        <v>11456</v>
      </c>
      <c r="K28" s="590" t="n">
        <v>11456</v>
      </c>
      <c r="L28" s="590" t="n">
        <v>11456</v>
      </c>
      <c r="M28" s="590" t="n">
        <v>11456</v>
      </c>
      <c r="N28" s="590" t="n">
        <v>11456</v>
      </c>
      <c r="O28" s="590" t="n">
        <v>11456</v>
      </c>
      <c r="P28" s="590" t="n">
        <v>11456</v>
      </c>
      <c r="Q28" s="590" t="n">
        <v>11456</v>
      </c>
      <c r="R28" s="590" t="n">
        <v>11456</v>
      </c>
    </row>
    <row r="29" ht="15" customHeight="1" s="307">
      <c r="A29" s="322" t="inlineStr">
        <is>
          <t>Bonus Pool</t>
        </is>
      </c>
      <c r="D29" s="591" t="n">
        <v>0</v>
      </c>
      <c r="E29" s="591" t="n">
        <v>0</v>
      </c>
      <c r="F29" s="591" t="n">
        <v>7878</v>
      </c>
      <c r="G29" s="591" t="n">
        <v>6934</v>
      </c>
      <c r="H29" s="591" t="n">
        <v>6047</v>
      </c>
      <c r="I29" s="591" t="n">
        <v>5450</v>
      </c>
      <c r="J29" s="591" t="n">
        <v>5093</v>
      </c>
      <c r="K29" s="591" t="n">
        <v>4939</v>
      </c>
      <c r="L29" s="591" t="n">
        <v>4956</v>
      </c>
      <c r="M29" s="591" t="n">
        <v>5120</v>
      </c>
      <c r="N29" s="591" t="n">
        <v>5411</v>
      </c>
      <c r="O29" s="591" t="n">
        <v>5814</v>
      </c>
      <c r="P29" s="591" t="n">
        <v>6317</v>
      </c>
      <c r="Q29" s="591" t="n">
        <v>6909</v>
      </c>
      <c r="R29" s="591" t="n">
        <v>7583</v>
      </c>
    </row>
    <row r="30" ht="15" customHeight="1" s="307">
      <c r="A30" s="460" t="inlineStr">
        <is>
          <t>Total Compensation</t>
        </is>
      </c>
      <c r="B30" s="463" t="n"/>
      <c r="C30" s="463" t="n"/>
      <c r="D30" s="592" t="n">
        <v>5186</v>
      </c>
      <c r="E30" s="592" t="n">
        <v>11395</v>
      </c>
      <c r="F30" s="592" t="n">
        <v>19335</v>
      </c>
      <c r="G30" s="592" t="n">
        <v>18391</v>
      </c>
      <c r="H30" s="592" t="n">
        <v>17504</v>
      </c>
      <c r="I30" s="592" t="n">
        <v>16906</v>
      </c>
      <c r="J30" s="592" t="n">
        <v>16549</v>
      </c>
      <c r="K30" s="592" t="n">
        <v>16395</v>
      </c>
      <c r="L30" s="592" t="n">
        <v>16412</v>
      </c>
      <c r="M30" s="592" t="n">
        <v>16576</v>
      </c>
      <c r="N30" s="592" t="n">
        <v>16868</v>
      </c>
      <c r="O30" s="592" t="n">
        <v>17271</v>
      </c>
      <c r="P30" s="592" t="n">
        <v>17773</v>
      </c>
      <c r="Q30" s="592" t="n">
        <v>18365</v>
      </c>
      <c r="R30" s="592" t="n">
        <v>19040</v>
      </c>
    </row>
    <row r="32" ht="15" customHeight="1" s="307">
      <c r="A32" s="321" t="inlineStr">
        <is>
          <t>ARR Step Multiplier</t>
        </is>
      </c>
      <c r="D32" s="394" t="inlineStr">
        <is>
          <t>1.0x</t>
        </is>
      </c>
      <c r="E32" s="394" t="inlineStr">
        <is>
          <t>1.5x</t>
        </is>
      </c>
      <c r="F32" s="394" t="inlineStr">
        <is>
          <t>1.5x</t>
        </is>
      </c>
      <c r="G32" s="394" t="inlineStr">
        <is>
          <t>1.5x</t>
        </is>
      </c>
      <c r="H32" s="394" t="inlineStr">
        <is>
          <t>1.5x</t>
        </is>
      </c>
      <c r="I32" s="394" t="inlineStr">
        <is>
          <t>1.5x</t>
        </is>
      </c>
      <c r="J32" s="394" t="inlineStr">
        <is>
          <t>1.5x</t>
        </is>
      </c>
      <c r="K32" s="394" t="inlineStr">
        <is>
          <t>1.5x</t>
        </is>
      </c>
      <c r="L32" s="394" t="inlineStr">
        <is>
          <t>1.5x</t>
        </is>
      </c>
      <c r="M32" s="394" t="inlineStr">
        <is>
          <t>1.5x</t>
        </is>
      </c>
      <c r="N32" s="394" t="inlineStr">
        <is>
          <t>1.5x</t>
        </is>
      </c>
      <c r="O32" s="394" t="inlineStr">
        <is>
          <t>1.5x</t>
        </is>
      </c>
      <c r="P32" s="394" t="inlineStr">
        <is>
          <t>1.5x</t>
        </is>
      </c>
      <c r="Q32" s="394" t="inlineStr">
        <is>
          <t>1.5x</t>
        </is>
      </c>
      <c r="R32" s="394" t="inlineStr">
        <is>
          <t>1.5x</t>
        </is>
      </c>
    </row>
    <row r="33" ht="15" customHeight="1" s="307">
      <c r="A33" s="321" t="inlineStr">
        <is>
          <t>Portfolio Revenue ($mm)</t>
        </is>
      </c>
      <c r="D33" s="394" t="n">
        <v>42.4</v>
      </c>
      <c r="E33" s="394" t="n">
        <v>122.4</v>
      </c>
      <c r="F33" s="394" t="n">
        <v>118.9</v>
      </c>
      <c r="G33" s="394" t="n">
        <v>111.5</v>
      </c>
      <c r="H33" s="394" t="n">
        <v>106.1</v>
      </c>
      <c r="I33" s="394" t="n">
        <v>102.5</v>
      </c>
      <c r="J33" s="394" t="n">
        <v>100.3</v>
      </c>
      <c r="K33" s="394" t="n">
        <v>99.40000000000001</v>
      </c>
      <c r="L33" s="394" t="n">
        <v>99.5</v>
      </c>
      <c r="M33" s="394" t="n">
        <v>100.5</v>
      </c>
      <c r="N33" s="394" t="n">
        <v>102.2</v>
      </c>
      <c r="O33" s="394" t="n">
        <v>104.7</v>
      </c>
      <c r="P33" s="394" t="n">
        <v>107.7</v>
      </c>
      <c r="Q33" s="394" t="n">
        <v>111.3</v>
      </c>
      <c r="R33" s="394" t="n">
        <v>115.4</v>
      </c>
    </row>
    <row r="34" ht="15" customHeight="1" s="307">
      <c r="A34" s="321" t="inlineStr">
        <is>
          <t>Headcount</t>
        </is>
      </c>
      <c r="D34" s="394" t="n">
        <v>19</v>
      </c>
      <c r="E34" s="394" t="n">
        <v>20</v>
      </c>
      <c r="F34" s="394" t="n">
        <v>20</v>
      </c>
      <c r="G34" s="394" t="n">
        <v>20</v>
      </c>
      <c r="H34" s="394" t="n">
        <v>20</v>
      </c>
      <c r="I34" s="394" t="n">
        <v>20</v>
      </c>
      <c r="J34" s="394" t="n">
        <v>20</v>
      </c>
      <c r="K34" s="394" t="n">
        <v>20</v>
      </c>
      <c r="L34" s="394" t="n">
        <v>20</v>
      </c>
      <c r="M34" s="394" t="n">
        <v>20</v>
      </c>
      <c r="N34" s="394" t="n">
        <v>20</v>
      </c>
      <c r="O34" s="394" t="n">
        <v>20</v>
      </c>
      <c r="P34" s="394" t="n">
        <v>20</v>
      </c>
      <c r="Q34" s="394" t="n">
        <v>20</v>
      </c>
      <c r="R34" s="394" t="n">
        <v>20</v>
      </c>
    </row>
    <row r="37" ht="15" customHeight="1" s="307">
      <c r="A37" s="325" t="inlineStr">
        <is>
          <t>BONUS ALLOCATION BY ROLE ($K)</t>
        </is>
      </c>
      <c r="B37" s="309" t="n"/>
      <c r="C37" s="309" t="n"/>
      <c r="D37" s="309" t="n"/>
      <c r="E37" s="309" t="n"/>
      <c r="F37" s="309" t="n"/>
      <c r="G37" s="309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309" t="n"/>
    </row>
    <row r="38" ht="15" customHeight="1" s="307">
      <c r="A38" s="321" t="inlineStr">
        <is>
          <t>CEO</t>
        </is>
      </c>
      <c r="D38" s="590" t="n"/>
      <c r="E38" s="590" t="n"/>
      <c r="F38" s="589" t="n">
        <v>1341</v>
      </c>
      <c r="G38" s="590" t="n">
        <v>1180</v>
      </c>
      <c r="H38" s="589" t="n">
        <v>1029</v>
      </c>
      <c r="I38" s="590" t="n">
        <v>928</v>
      </c>
      <c r="J38" s="589" t="n">
        <v>867</v>
      </c>
      <c r="K38" s="590" t="n">
        <v>841</v>
      </c>
      <c r="L38" s="589" t="n">
        <v>844</v>
      </c>
      <c r="M38" s="590" t="n">
        <v>872</v>
      </c>
      <c r="N38" s="589" t="n">
        <v>921</v>
      </c>
      <c r="O38" s="590" t="n">
        <v>990</v>
      </c>
      <c r="P38" s="589" t="n">
        <v>1075</v>
      </c>
      <c r="Q38" s="590" t="n">
        <v>1176</v>
      </c>
      <c r="R38" s="589" t="n">
        <v>1291</v>
      </c>
    </row>
    <row r="39" ht="15" customHeight="1" s="307">
      <c r="A39" s="321" t="inlineStr">
        <is>
          <t>CFO</t>
        </is>
      </c>
      <c r="D39" s="590" t="n"/>
      <c r="E39" s="590" t="n"/>
      <c r="F39" s="589" t="n">
        <v>671</v>
      </c>
      <c r="G39" s="590" t="n">
        <v>590</v>
      </c>
      <c r="H39" s="589" t="n">
        <v>515</v>
      </c>
      <c r="I39" s="590" t="n">
        <v>464</v>
      </c>
      <c r="J39" s="589" t="n">
        <v>433</v>
      </c>
      <c r="K39" s="590" t="n">
        <v>420</v>
      </c>
      <c r="L39" s="589" t="n">
        <v>422</v>
      </c>
      <c r="M39" s="590" t="n">
        <v>436</v>
      </c>
      <c r="N39" s="589" t="n">
        <v>461</v>
      </c>
      <c r="O39" s="590" t="n">
        <v>495</v>
      </c>
      <c r="P39" s="589" t="n">
        <v>538</v>
      </c>
      <c r="Q39" s="590" t="n">
        <v>588</v>
      </c>
      <c r="R39" s="589" t="n">
        <v>645</v>
      </c>
    </row>
    <row r="40" ht="15" customHeight="1" s="307">
      <c r="A40" s="321" t="inlineStr">
        <is>
          <t>COO</t>
        </is>
      </c>
      <c r="D40" s="590" t="n"/>
      <c r="E40" s="590" t="n"/>
      <c r="F40" s="589" t="n">
        <v>671</v>
      </c>
      <c r="G40" s="590" t="n">
        <v>590</v>
      </c>
      <c r="H40" s="589" t="n">
        <v>515</v>
      </c>
      <c r="I40" s="590" t="n">
        <v>464</v>
      </c>
      <c r="J40" s="589" t="n">
        <v>433</v>
      </c>
      <c r="K40" s="590" t="n">
        <v>420</v>
      </c>
      <c r="L40" s="589" t="n">
        <v>422</v>
      </c>
      <c r="M40" s="590" t="n">
        <v>436</v>
      </c>
      <c r="N40" s="589" t="n">
        <v>461</v>
      </c>
      <c r="O40" s="590" t="n">
        <v>495</v>
      </c>
      <c r="P40" s="589" t="n">
        <v>538</v>
      </c>
      <c r="Q40" s="590" t="n">
        <v>588</v>
      </c>
      <c r="R40" s="589" t="n">
        <v>645</v>
      </c>
    </row>
    <row r="41" ht="15" customHeight="1" s="307">
      <c r="A41" s="321" t="inlineStr">
        <is>
          <t>CPO</t>
        </is>
      </c>
      <c r="D41" s="590" t="n"/>
      <c r="E41" s="590" t="n"/>
      <c r="F41" s="589" t="n">
        <v>671</v>
      </c>
      <c r="G41" s="590" t="n">
        <v>590</v>
      </c>
      <c r="H41" s="589" t="n">
        <v>515</v>
      </c>
      <c r="I41" s="590" t="n">
        <v>464</v>
      </c>
      <c r="J41" s="589" t="n">
        <v>433</v>
      </c>
      <c r="K41" s="590" t="n">
        <v>420</v>
      </c>
      <c r="L41" s="589" t="n">
        <v>422</v>
      </c>
      <c r="M41" s="590" t="n">
        <v>436</v>
      </c>
      <c r="N41" s="589" t="n">
        <v>461</v>
      </c>
      <c r="O41" s="590" t="n">
        <v>495</v>
      </c>
      <c r="P41" s="589" t="n">
        <v>538</v>
      </c>
      <c r="Q41" s="590" t="n">
        <v>588</v>
      </c>
      <c r="R41" s="589" t="n">
        <v>645</v>
      </c>
    </row>
    <row r="42" ht="15" customHeight="1" s="307">
      <c r="A42" s="321" t="inlineStr">
        <is>
          <t>CTO</t>
        </is>
      </c>
      <c r="D42" s="590" t="n"/>
      <c r="E42" s="590" t="n"/>
      <c r="F42" s="589" t="n">
        <v>671</v>
      </c>
      <c r="G42" s="590" t="n">
        <v>590</v>
      </c>
      <c r="H42" s="589" t="n">
        <v>515</v>
      </c>
      <c r="I42" s="590" t="n">
        <v>464</v>
      </c>
      <c r="J42" s="589" t="n">
        <v>433</v>
      </c>
      <c r="K42" s="590" t="n">
        <v>420</v>
      </c>
      <c r="L42" s="589" t="n">
        <v>422</v>
      </c>
      <c r="M42" s="590" t="n">
        <v>436</v>
      </c>
      <c r="N42" s="589" t="n">
        <v>461</v>
      </c>
      <c r="O42" s="590" t="n">
        <v>495</v>
      </c>
      <c r="P42" s="589" t="n">
        <v>538</v>
      </c>
      <c r="Q42" s="590" t="n">
        <v>588</v>
      </c>
      <c r="R42" s="589" t="n">
        <v>645</v>
      </c>
    </row>
    <row r="43" ht="15" customHeight="1" s="307">
      <c r="A43" s="321" t="inlineStr">
        <is>
          <t>CRO</t>
        </is>
      </c>
      <c r="D43" s="590" t="n"/>
      <c r="E43" s="590" t="n"/>
      <c r="F43" s="589" t="n">
        <v>671</v>
      </c>
      <c r="G43" s="590" t="n">
        <v>590</v>
      </c>
      <c r="H43" s="589" t="n">
        <v>515</v>
      </c>
      <c r="I43" s="590" t="n">
        <v>464</v>
      </c>
      <c r="J43" s="589" t="n">
        <v>433</v>
      </c>
      <c r="K43" s="590" t="n">
        <v>420</v>
      </c>
      <c r="L43" s="589" t="n">
        <v>422</v>
      </c>
      <c r="M43" s="590" t="n">
        <v>436</v>
      </c>
      <c r="N43" s="589" t="n">
        <v>461</v>
      </c>
      <c r="O43" s="590" t="n">
        <v>495</v>
      </c>
      <c r="P43" s="589" t="n">
        <v>538</v>
      </c>
      <c r="Q43" s="590" t="n">
        <v>588</v>
      </c>
      <c r="R43" s="589" t="n">
        <v>645</v>
      </c>
    </row>
    <row r="44" ht="15" customHeight="1" s="307">
      <c r="A44" s="321" t="inlineStr">
        <is>
          <t>Sr Operator 1</t>
        </is>
      </c>
      <c r="D44" s="590" t="n"/>
      <c r="E44" s="590" t="n"/>
      <c r="F44" s="589" t="n">
        <v>335</v>
      </c>
      <c r="G44" s="590" t="n">
        <v>295</v>
      </c>
      <c r="H44" s="589" t="n">
        <v>257</v>
      </c>
      <c r="I44" s="590" t="n">
        <v>232</v>
      </c>
      <c r="J44" s="589" t="n">
        <v>217</v>
      </c>
      <c r="K44" s="590" t="n">
        <v>210</v>
      </c>
      <c r="L44" s="589" t="n">
        <v>211</v>
      </c>
      <c r="M44" s="590" t="n">
        <v>218</v>
      </c>
      <c r="N44" s="589" t="n">
        <v>230</v>
      </c>
      <c r="O44" s="590" t="n">
        <v>247</v>
      </c>
      <c r="P44" s="589" t="n">
        <v>269</v>
      </c>
      <c r="Q44" s="590" t="n">
        <v>294</v>
      </c>
      <c r="R44" s="589" t="n">
        <v>323</v>
      </c>
    </row>
    <row r="45" ht="15" customHeight="1" s="307">
      <c r="A45" s="321" t="inlineStr">
        <is>
          <t>Sr Operator 2</t>
        </is>
      </c>
      <c r="D45" s="590" t="n"/>
      <c r="E45" s="590" t="n"/>
      <c r="F45" s="589" t="n">
        <v>335</v>
      </c>
      <c r="G45" s="590" t="n">
        <v>295</v>
      </c>
      <c r="H45" s="589" t="n">
        <v>257</v>
      </c>
      <c r="I45" s="590" t="n">
        <v>232</v>
      </c>
      <c r="J45" s="589" t="n">
        <v>217</v>
      </c>
      <c r="K45" s="590" t="n">
        <v>210</v>
      </c>
      <c r="L45" s="589" t="n">
        <v>211</v>
      </c>
      <c r="M45" s="590" t="n">
        <v>218</v>
      </c>
      <c r="N45" s="589" t="n">
        <v>230</v>
      </c>
      <c r="O45" s="590" t="n">
        <v>247</v>
      </c>
      <c r="P45" s="589" t="n">
        <v>269</v>
      </c>
      <c r="Q45" s="590" t="n">
        <v>294</v>
      </c>
      <c r="R45" s="589" t="n">
        <v>323</v>
      </c>
    </row>
    <row r="46" ht="15" customHeight="1" s="307">
      <c r="A46" s="321" t="inlineStr">
        <is>
          <t>Sr Operator 3</t>
        </is>
      </c>
      <c r="D46" s="590" t="n"/>
      <c r="E46" s="590" t="n"/>
      <c r="F46" s="589" t="n">
        <v>335</v>
      </c>
      <c r="G46" s="590" t="n">
        <v>295</v>
      </c>
      <c r="H46" s="589" t="n">
        <v>257</v>
      </c>
      <c r="I46" s="590" t="n">
        <v>232</v>
      </c>
      <c r="J46" s="589" t="n">
        <v>217</v>
      </c>
      <c r="K46" s="590" t="n">
        <v>210</v>
      </c>
      <c r="L46" s="589" t="n">
        <v>211</v>
      </c>
      <c r="M46" s="590" t="n">
        <v>218</v>
      </c>
      <c r="N46" s="589" t="n">
        <v>230</v>
      </c>
      <c r="O46" s="590" t="n">
        <v>247</v>
      </c>
      <c r="P46" s="589" t="n">
        <v>269</v>
      </c>
      <c r="Q46" s="590" t="n">
        <v>294</v>
      </c>
      <c r="R46" s="589" t="n">
        <v>323</v>
      </c>
    </row>
    <row r="47" ht="15" customHeight="1" s="307">
      <c r="A47" s="321" t="inlineStr">
        <is>
          <t>Sr Operator 4</t>
        </is>
      </c>
      <c r="D47" s="590" t="n"/>
      <c r="E47" s="590" t="n"/>
      <c r="F47" s="589" t="n">
        <v>335</v>
      </c>
      <c r="G47" s="590" t="n">
        <v>295</v>
      </c>
      <c r="H47" s="589" t="n">
        <v>257</v>
      </c>
      <c r="I47" s="590" t="n">
        <v>232</v>
      </c>
      <c r="J47" s="589" t="n">
        <v>217</v>
      </c>
      <c r="K47" s="590" t="n">
        <v>210</v>
      </c>
      <c r="L47" s="589" t="n">
        <v>211</v>
      </c>
      <c r="M47" s="590" t="n">
        <v>218</v>
      </c>
      <c r="N47" s="589" t="n">
        <v>230</v>
      </c>
      <c r="O47" s="590" t="n">
        <v>247</v>
      </c>
      <c r="P47" s="589" t="n">
        <v>269</v>
      </c>
      <c r="Q47" s="590" t="n">
        <v>294</v>
      </c>
      <c r="R47" s="589" t="n">
        <v>323</v>
      </c>
    </row>
    <row r="48" ht="15" customHeight="1" s="307">
      <c r="A48" s="321" t="inlineStr">
        <is>
          <t>Sr Operator 5</t>
        </is>
      </c>
      <c r="D48" s="590" t="n"/>
      <c r="E48" s="590" t="n"/>
      <c r="F48" s="589" t="n">
        <v>335</v>
      </c>
      <c r="G48" s="590" t="n">
        <v>295</v>
      </c>
      <c r="H48" s="589" t="n">
        <v>257</v>
      </c>
      <c r="I48" s="590" t="n">
        <v>232</v>
      </c>
      <c r="J48" s="589" t="n">
        <v>217</v>
      </c>
      <c r="K48" s="590" t="n">
        <v>210</v>
      </c>
      <c r="L48" s="589" t="n">
        <v>211</v>
      </c>
      <c r="M48" s="590" t="n">
        <v>218</v>
      </c>
      <c r="N48" s="589" t="n">
        <v>230</v>
      </c>
      <c r="O48" s="590" t="n">
        <v>247</v>
      </c>
      <c r="P48" s="589" t="n">
        <v>269</v>
      </c>
      <c r="Q48" s="590" t="n">
        <v>294</v>
      </c>
      <c r="R48" s="589" t="n">
        <v>323</v>
      </c>
    </row>
    <row r="49" ht="15" customHeight="1" s="307">
      <c r="A49" s="321" t="inlineStr">
        <is>
          <t>Jr Operator 1</t>
        </is>
      </c>
      <c r="D49" s="590" t="n"/>
      <c r="E49" s="590" t="n"/>
      <c r="F49" s="589" t="n">
        <v>168</v>
      </c>
      <c r="G49" s="590" t="n">
        <v>148</v>
      </c>
      <c r="H49" s="589" t="n">
        <v>129</v>
      </c>
      <c r="I49" s="590" t="n">
        <v>116</v>
      </c>
      <c r="J49" s="589" t="n">
        <v>108</v>
      </c>
      <c r="K49" s="590" t="n">
        <v>105</v>
      </c>
      <c r="L49" s="589" t="n">
        <v>105</v>
      </c>
      <c r="M49" s="590" t="n">
        <v>109</v>
      </c>
      <c r="N49" s="589" t="n">
        <v>115</v>
      </c>
      <c r="O49" s="590" t="n">
        <v>124</v>
      </c>
      <c r="P49" s="589" t="n">
        <v>134</v>
      </c>
      <c r="Q49" s="590" t="n">
        <v>147</v>
      </c>
      <c r="R49" s="589" t="n">
        <v>161</v>
      </c>
    </row>
    <row r="50" ht="15" customHeight="1" s="307">
      <c r="A50" s="321" t="inlineStr">
        <is>
          <t>Jr Operator 2</t>
        </is>
      </c>
      <c r="D50" s="590" t="n"/>
      <c r="E50" s="590" t="n"/>
      <c r="F50" s="589" t="n">
        <v>168</v>
      </c>
      <c r="G50" s="590" t="n">
        <v>148</v>
      </c>
      <c r="H50" s="589" t="n">
        <v>129</v>
      </c>
      <c r="I50" s="590" t="n">
        <v>116</v>
      </c>
      <c r="J50" s="589" t="n">
        <v>108</v>
      </c>
      <c r="K50" s="590" t="n">
        <v>105</v>
      </c>
      <c r="L50" s="589" t="n">
        <v>105</v>
      </c>
      <c r="M50" s="590" t="n">
        <v>109</v>
      </c>
      <c r="N50" s="589" t="n">
        <v>115</v>
      </c>
      <c r="O50" s="590" t="n">
        <v>124</v>
      </c>
      <c r="P50" s="589" t="n">
        <v>134</v>
      </c>
      <c r="Q50" s="590" t="n">
        <v>147</v>
      </c>
      <c r="R50" s="589" t="n">
        <v>161</v>
      </c>
    </row>
    <row r="51" ht="15" customHeight="1" s="307">
      <c r="A51" s="321" t="inlineStr">
        <is>
          <t>Jr Operator 3</t>
        </is>
      </c>
      <c r="D51" s="590" t="n"/>
      <c r="E51" s="590" t="n"/>
      <c r="F51" s="589" t="n">
        <v>168</v>
      </c>
      <c r="G51" s="590" t="n">
        <v>148</v>
      </c>
      <c r="H51" s="589" t="n">
        <v>129</v>
      </c>
      <c r="I51" s="590" t="n">
        <v>116</v>
      </c>
      <c r="J51" s="589" t="n">
        <v>108</v>
      </c>
      <c r="K51" s="590" t="n">
        <v>105</v>
      </c>
      <c r="L51" s="589" t="n">
        <v>105</v>
      </c>
      <c r="M51" s="590" t="n">
        <v>109</v>
      </c>
      <c r="N51" s="589" t="n">
        <v>115</v>
      </c>
      <c r="O51" s="590" t="n">
        <v>124</v>
      </c>
      <c r="P51" s="589" t="n">
        <v>134</v>
      </c>
      <c r="Q51" s="590" t="n">
        <v>147</v>
      </c>
      <c r="R51" s="589" t="n">
        <v>161</v>
      </c>
    </row>
    <row r="52" ht="15" customHeight="1" s="307">
      <c r="A52" s="321" t="inlineStr">
        <is>
          <t>Jr Operator 4</t>
        </is>
      </c>
      <c r="D52" s="590" t="n"/>
      <c r="E52" s="590" t="n"/>
      <c r="F52" s="589" t="n">
        <v>168</v>
      </c>
      <c r="G52" s="590" t="n">
        <v>148</v>
      </c>
      <c r="H52" s="589" t="n">
        <v>129</v>
      </c>
      <c r="I52" s="590" t="n">
        <v>116</v>
      </c>
      <c r="J52" s="589" t="n">
        <v>108</v>
      </c>
      <c r="K52" s="590" t="n">
        <v>105</v>
      </c>
      <c r="L52" s="589" t="n">
        <v>105</v>
      </c>
      <c r="M52" s="590" t="n">
        <v>109</v>
      </c>
      <c r="N52" s="589" t="n">
        <v>115</v>
      </c>
      <c r="O52" s="590" t="n">
        <v>124</v>
      </c>
      <c r="P52" s="589" t="n">
        <v>134</v>
      </c>
      <c r="Q52" s="590" t="n">
        <v>147</v>
      </c>
      <c r="R52" s="589" t="n">
        <v>161</v>
      </c>
    </row>
    <row r="53" ht="15" customHeight="1" s="307">
      <c r="A53" s="321" t="inlineStr">
        <is>
          <t>Jr Operator 5</t>
        </is>
      </c>
      <c r="D53" s="590" t="n"/>
      <c r="E53" s="590" t="n"/>
      <c r="F53" s="589" t="n">
        <v>168</v>
      </c>
      <c r="G53" s="590" t="n">
        <v>148</v>
      </c>
      <c r="H53" s="589" t="n">
        <v>129</v>
      </c>
      <c r="I53" s="590" t="n">
        <v>116</v>
      </c>
      <c r="J53" s="589" t="n">
        <v>108</v>
      </c>
      <c r="K53" s="590" t="n">
        <v>105</v>
      </c>
      <c r="L53" s="589" t="n">
        <v>105</v>
      </c>
      <c r="M53" s="590" t="n">
        <v>109</v>
      </c>
      <c r="N53" s="589" t="n">
        <v>115</v>
      </c>
      <c r="O53" s="590" t="n">
        <v>124</v>
      </c>
      <c r="P53" s="589" t="n">
        <v>134</v>
      </c>
      <c r="Q53" s="590" t="n">
        <v>147</v>
      </c>
      <c r="R53" s="589" t="n">
        <v>161</v>
      </c>
    </row>
    <row r="54" ht="15" customHeight="1" s="307">
      <c r="A54" s="321" t="inlineStr">
        <is>
          <t>Jr Operator 6</t>
        </is>
      </c>
      <c r="D54" s="590" t="n"/>
      <c r="E54" s="590" t="n"/>
      <c r="F54" s="589" t="n">
        <v>168</v>
      </c>
      <c r="G54" s="590" t="n">
        <v>148</v>
      </c>
      <c r="H54" s="589" t="n">
        <v>129</v>
      </c>
      <c r="I54" s="590" t="n">
        <v>116</v>
      </c>
      <c r="J54" s="589" t="n">
        <v>108</v>
      </c>
      <c r="K54" s="590" t="n">
        <v>105</v>
      </c>
      <c r="L54" s="589" t="n">
        <v>105</v>
      </c>
      <c r="M54" s="590" t="n">
        <v>109</v>
      </c>
      <c r="N54" s="589" t="n">
        <v>115</v>
      </c>
      <c r="O54" s="590" t="n">
        <v>124</v>
      </c>
      <c r="P54" s="589" t="n">
        <v>134</v>
      </c>
      <c r="Q54" s="590" t="n">
        <v>147</v>
      </c>
      <c r="R54" s="589" t="n">
        <v>161</v>
      </c>
    </row>
    <row r="55" ht="15" customHeight="1" s="307">
      <c r="A55" s="321" t="inlineStr">
        <is>
          <t>Jr Operator 7</t>
        </is>
      </c>
      <c r="D55" s="590" t="n"/>
      <c r="E55" s="590" t="n"/>
      <c r="F55" s="589" t="n">
        <v>168</v>
      </c>
      <c r="G55" s="590" t="n">
        <v>148</v>
      </c>
      <c r="H55" s="589" t="n">
        <v>129</v>
      </c>
      <c r="I55" s="590" t="n">
        <v>116</v>
      </c>
      <c r="J55" s="589" t="n">
        <v>108</v>
      </c>
      <c r="K55" s="590" t="n">
        <v>105</v>
      </c>
      <c r="L55" s="589" t="n">
        <v>105</v>
      </c>
      <c r="M55" s="590" t="n">
        <v>109</v>
      </c>
      <c r="N55" s="589" t="n">
        <v>115</v>
      </c>
      <c r="O55" s="590" t="n">
        <v>124</v>
      </c>
      <c r="P55" s="589" t="n">
        <v>134</v>
      </c>
      <c r="Q55" s="590" t="n">
        <v>147</v>
      </c>
      <c r="R55" s="589" t="n">
        <v>161</v>
      </c>
    </row>
    <row r="56" ht="15" customHeight="1" s="307">
      <c r="A56" s="321" t="inlineStr">
        <is>
          <t>Jr Operator 8</t>
        </is>
      </c>
      <c r="D56" s="590" t="n"/>
      <c r="E56" s="590" t="n"/>
      <c r="F56" s="589" t="n">
        <v>168</v>
      </c>
      <c r="G56" s="590" t="n">
        <v>148</v>
      </c>
      <c r="H56" s="589" t="n">
        <v>129</v>
      </c>
      <c r="I56" s="590" t="n">
        <v>116</v>
      </c>
      <c r="J56" s="589" t="n">
        <v>108</v>
      </c>
      <c r="K56" s="590" t="n">
        <v>105</v>
      </c>
      <c r="L56" s="589" t="n">
        <v>105</v>
      </c>
      <c r="M56" s="590" t="n">
        <v>109</v>
      </c>
      <c r="N56" s="589" t="n">
        <v>115</v>
      </c>
      <c r="O56" s="590" t="n">
        <v>124</v>
      </c>
      <c r="P56" s="589" t="n">
        <v>134</v>
      </c>
      <c r="Q56" s="590" t="n">
        <v>147</v>
      </c>
      <c r="R56" s="589" t="n">
        <v>161</v>
      </c>
    </row>
    <row r="57" ht="15" customHeight="1" s="307">
      <c r="A57" s="321" t="inlineStr">
        <is>
          <t>Jr Operator 9</t>
        </is>
      </c>
      <c r="D57" s="590" t="n"/>
      <c r="E57" s="590" t="n"/>
      <c r="F57" s="589" t="n">
        <v>168</v>
      </c>
      <c r="G57" s="590" t="n">
        <v>148</v>
      </c>
      <c r="H57" s="589" t="n">
        <v>129</v>
      </c>
      <c r="I57" s="590" t="n">
        <v>116</v>
      </c>
      <c r="J57" s="589" t="n">
        <v>108</v>
      </c>
      <c r="K57" s="590" t="n">
        <v>105</v>
      </c>
      <c r="L57" s="589" t="n">
        <v>105</v>
      </c>
      <c r="M57" s="590" t="n">
        <v>109</v>
      </c>
      <c r="N57" s="589" t="n">
        <v>115</v>
      </c>
      <c r="O57" s="590" t="n">
        <v>124</v>
      </c>
      <c r="P57" s="589" t="n">
        <v>134</v>
      </c>
      <c r="Q57" s="590" t="n">
        <v>147</v>
      </c>
      <c r="R57" s="589" t="n">
        <v>161</v>
      </c>
    </row>
    <row r="59" ht="15" customHeight="1" s="307">
      <c r="A59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277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</cols>
  <sheetData>
    <row r="1">
      <c r="A1" s="633" t="inlineStr">
        <is>
          <t>AUTO-CALC ENGINE  --  No Recycle (deals 1-5)</t>
        </is>
      </c>
    </row>
    <row r="2">
      <c r="A2" s="615" t="inlineStr">
        <is>
          <t>Recycle% = 0.0. Recycled deals 6-9 EXCLUDED.</t>
        </is>
      </c>
    </row>
    <row r="4">
      <c r="A4" s="642" t="inlineStr">
        <is>
          <t>INPUTS PULLED FROM TAB 1</t>
        </is>
      </c>
      <c r="D4" s="642" t="inlineStr">
        <is>
          <t>PER-DEAL (deals 1-5 only)</t>
        </is>
      </c>
    </row>
    <row r="5">
      <c r="A5" s="306" t="inlineStr">
        <is>
          <t>Recycle scenario</t>
        </is>
      </c>
      <c r="B5" s="306" t="inlineStr">
        <is>
          <t>No Recycle (deals 1-5)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'1. Press Assumptions'!$H$89</f>
        <v/>
      </c>
    </row>
    <row r="7">
      <c r="A7" s="306" t="inlineStr">
        <is>
          <t>Bonus threshold (% margin)</t>
        </is>
      </c>
      <c r="B7" s="306">
        <f>'1. Press Assumptions'!$B$35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'1. Press Assumptions'!$H$90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'1. Press Assumptions'!$H$91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'1. Press Assumptions'!$H$92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'1. Press Assumptions'!$H$93</f>
        <v/>
      </c>
    </row>
    <row r="11">
      <c r="A11" s="306" t="inlineStr">
        <is>
          <t>Pref rate (annual)</t>
        </is>
      </c>
      <c r="B11" s="306">
        <f>'1. Press Assumptions'!$B$39</f>
        <v/>
      </c>
    </row>
    <row r="12">
      <c r="A12" s="306" t="inlineStr">
        <is>
          <t>LP split tier 2 (1x-2x)</t>
        </is>
      </c>
      <c r="B12" s="306">
        <f>'1. Press Assumptions'!$B$40</f>
        <v/>
      </c>
    </row>
    <row r="13">
      <c r="A13" s="306" t="inlineStr">
        <is>
          <t>LP split tier 3 (2x-3x)</t>
        </is>
      </c>
      <c r="B13" s="306">
        <f>'1. Press Assumptions'!$B$41</f>
        <v/>
      </c>
    </row>
    <row r="14">
      <c r="A14" s="306" t="inlineStr">
        <is>
          <t>LP split tier 4 (&gt;3x)</t>
        </is>
      </c>
      <c r="B14" s="306">
        <f>'1. Press Assumptions'!$B$42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Port ARR</t>
        </is>
      </c>
      <c r="L30" s="643" t="inlineStr">
        <is>
          <t>Revenue</t>
        </is>
      </c>
      <c r="M30" s="643" t="inlineStr">
        <is>
          <t>COGS</t>
        </is>
      </c>
      <c r="N30" s="643" t="inlineStr">
        <is>
          <t>Vendor</t>
        </is>
      </c>
      <c r="O30" s="643" t="inlineStr">
        <is>
          <t>Corp Alloc</t>
        </is>
      </c>
      <c r="P30" s="643" t="inlineStr">
        <is>
          <t>Pre-Bonus EBITDA</t>
        </is>
      </c>
      <c r="Q30" s="643" t="inlineStr">
        <is>
          <t>Bonus Pool</t>
        </is>
      </c>
      <c r="R30" s="643" t="inlineStr">
        <is>
          <t>EBITDA</t>
        </is>
      </c>
      <c r="S30" s="643" t="inlineStr">
        <is>
          <t>Severance</t>
        </is>
      </c>
      <c r="T30" s="643" t="inlineStr">
        <is>
          <t>Dist Pre-Retain</t>
        </is>
      </c>
      <c r="U30" s="643" t="inlineStr">
        <is>
          <t>Retained</t>
        </is>
      </c>
      <c r="V30" s="643" t="inlineStr">
        <is>
          <t>Dist Post-Retain</t>
        </is>
      </c>
      <c r="W30" s="643" t="inlineStr">
        <is>
          <t>Exit</t>
        </is>
      </c>
      <c r="X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SUM(F31:J31)</f>
        <v/>
      </c>
      <c r="L31" s="306">
        <f>K31/12</f>
        <v/>
      </c>
      <c r="M31" s="306">
        <f>L31*$B$8</f>
        <v/>
      </c>
      <c r="N31" s="306">
        <f>L31*$B$9</f>
        <v/>
      </c>
      <c r="O31" s="306">
        <f>L31*$B$10</f>
        <v/>
      </c>
      <c r="P31" s="306">
        <f>L31-M31-N31-O31-D31-E31</f>
        <v/>
      </c>
      <c r="Q31" s="306">
        <f>MAX(0, P31 - $B$7*L31)</f>
        <v/>
      </c>
      <c r="R31" s="306">
        <f>P31-Q31</f>
        <v/>
      </c>
      <c r="S31" s="306">
        <f>IF(A31=$F$6, $B$18*$B$16*$B$17/1000000, 0) + IF(A31=$F$7, $B$18*$B$16*$B$17/1000000, 0) + IF(A31=$F$8, $B$18*$B$16*$B$17/1000000, 0) + IF(A31=$F$9, $B$18*$B$16*$B$17/1000000, 0) + IF(A31=$F$10, $B$18*$B$16*$B$17/1000000, 0)</f>
        <v/>
      </c>
      <c r="T31" s="306">
        <f>R31-S31-C31</f>
        <v/>
      </c>
      <c r="U31" s="306">
        <f>IF(AND(A31&lt;=$B$24, T31&gt;0), T31*$B$23, 0)</f>
        <v/>
      </c>
      <c r="V31" s="306">
        <f>T31-U31</f>
        <v/>
      </c>
      <c r="W31" s="306">
        <f>IF(AND(A31=$B$19, $B$21=1), K31*$B$20, 0)</f>
        <v/>
      </c>
      <c r="X31" s="306">
        <f>V31+W31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SUM(F32:J32)</f>
        <v/>
      </c>
      <c r="L32" s="306">
        <f>K32/12</f>
        <v/>
      </c>
      <c r="M32" s="306">
        <f>L32*$B$8</f>
        <v/>
      </c>
      <c r="N32" s="306">
        <f>L32*$B$9</f>
        <v/>
      </c>
      <c r="O32" s="306">
        <f>L32*$B$10</f>
        <v/>
      </c>
      <c r="P32" s="306">
        <f>L32-M32-N32-O32-D32-E32</f>
        <v/>
      </c>
      <c r="Q32" s="306">
        <f>MAX(0, P32 - $B$7*L32)</f>
        <v/>
      </c>
      <c r="R32" s="306">
        <f>P32-Q32</f>
        <v/>
      </c>
      <c r="S32" s="306">
        <f>IF(A32=$F$6, $B$18*$B$16*$B$17/1000000, 0) + IF(A32=$F$7, $B$18*$B$16*$B$17/1000000, 0) + IF(A32=$F$8, $B$18*$B$16*$B$17/1000000, 0) + IF(A32=$F$9, $B$18*$B$16*$B$17/1000000, 0) + IF(A32=$F$10, $B$18*$B$16*$B$17/1000000, 0)</f>
        <v/>
      </c>
      <c r="T32" s="306">
        <f>R32-S32-C32</f>
        <v/>
      </c>
      <c r="U32" s="306">
        <f>IF(AND(A32&lt;=$B$24, T32&gt;0), T32*$B$23, 0)</f>
        <v/>
      </c>
      <c r="V32" s="306">
        <f>T32-U32</f>
        <v/>
      </c>
      <c r="W32" s="306">
        <f>IF(AND(A32=$B$19, $B$21=1), K32*$B$20, 0)</f>
        <v/>
      </c>
      <c r="X32" s="306">
        <f>X31+V32+W32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SUM(F33:J33)</f>
        <v/>
      </c>
      <c r="L33" s="306">
        <f>K33/12</f>
        <v/>
      </c>
      <c r="M33" s="306">
        <f>L33*$B$8</f>
        <v/>
      </c>
      <c r="N33" s="306">
        <f>L33*$B$9</f>
        <v/>
      </c>
      <c r="O33" s="306">
        <f>L33*$B$10</f>
        <v/>
      </c>
      <c r="P33" s="306">
        <f>L33-M33-N33-O33-D33-E33</f>
        <v/>
      </c>
      <c r="Q33" s="306">
        <f>MAX(0, P33 - $B$7*L33)</f>
        <v/>
      </c>
      <c r="R33" s="306">
        <f>P33-Q33</f>
        <v/>
      </c>
      <c r="S33" s="306">
        <f>IF(A33=$F$6, $B$18*$B$16*$B$17/1000000, 0) + IF(A33=$F$7, $B$18*$B$16*$B$17/1000000, 0) + IF(A33=$F$8, $B$18*$B$16*$B$17/1000000, 0) + IF(A33=$F$9, $B$18*$B$16*$B$17/1000000, 0) + IF(A33=$F$10, $B$18*$B$16*$B$17/1000000, 0)</f>
        <v/>
      </c>
      <c r="T33" s="306">
        <f>R33-S33-C33</f>
        <v/>
      </c>
      <c r="U33" s="306">
        <f>IF(AND(A33&lt;=$B$24, T33&gt;0), T33*$B$23, 0)</f>
        <v/>
      </c>
      <c r="V33" s="306">
        <f>T33-U33</f>
        <v/>
      </c>
      <c r="W33" s="306">
        <f>IF(AND(A33=$B$19, $B$21=1), K33*$B$20, 0)</f>
        <v/>
      </c>
      <c r="X33" s="306">
        <f>X32+V33+W33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SUM(F34:J34)</f>
        <v/>
      </c>
      <c r="L34" s="306">
        <f>K34/12</f>
        <v/>
      </c>
      <c r="M34" s="306">
        <f>L34*$B$8</f>
        <v/>
      </c>
      <c r="N34" s="306">
        <f>L34*$B$9</f>
        <v/>
      </c>
      <c r="O34" s="306">
        <f>L34*$B$10</f>
        <v/>
      </c>
      <c r="P34" s="306">
        <f>L34-M34-N34-O34-D34-E34</f>
        <v/>
      </c>
      <c r="Q34" s="306">
        <f>MAX(0, P34 - $B$7*L34)</f>
        <v/>
      </c>
      <c r="R34" s="306">
        <f>P34-Q34</f>
        <v/>
      </c>
      <c r="S34" s="306">
        <f>IF(A34=$F$6, $B$18*$B$16*$B$17/1000000, 0) + IF(A34=$F$7, $B$18*$B$16*$B$17/1000000, 0) + IF(A34=$F$8, $B$18*$B$16*$B$17/1000000, 0) + IF(A34=$F$9, $B$18*$B$16*$B$17/1000000, 0) + IF(A34=$F$10, $B$18*$B$16*$B$17/1000000, 0)</f>
        <v/>
      </c>
      <c r="T34" s="306">
        <f>R34-S34-C34</f>
        <v/>
      </c>
      <c r="U34" s="306">
        <f>IF(AND(A34&lt;=$B$24, T34&gt;0), T34*$B$23, 0)</f>
        <v/>
      </c>
      <c r="V34" s="306">
        <f>T34-U34</f>
        <v/>
      </c>
      <c r="W34" s="306">
        <f>IF(AND(A34=$B$19, $B$21=1), K34*$B$20, 0)</f>
        <v/>
      </c>
      <c r="X34" s="306">
        <f>X33+V34+W34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SUM(F35:J35)</f>
        <v/>
      </c>
      <c r="L35" s="306">
        <f>K35/12</f>
        <v/>
      </c>
      <c r="M35" s="306">
        <f>L35*$B$8</f>
        <v/>
      </c>
      <c r="N35" s="306">
        <f>L35*$B$9</f>
        <v/>
      </c>
      <c r="O35" s="306">
        <f>L35*$B$10</f>
        <v/>
      </c>
      <c r="P35" s="306">
        <f>L35-M35-N35-O35-D35-E35</f>
        <v/>
      </c>
      <c r="Q35" s="306">
        <f>MAX(0, P35 - $B$7*L35)</f>
        <v/>
      </c>
      <c r="R35" s="306">
        <f>P35-Q35</f>
        <v/>
      </c>
      <c r="S35" s="306">
        <f>IF(A35=$F$6, $B$18*$B$16*$B$17/1000000, 0) + IF(A35=$F$7, $B$18*$B$16*$B$17/1000000, 0) + IF(A35=$F$8, $B$18*$B$16*$B$17/1000000, 0) + IF(A35=$F$9, $B$18*$B$16*$B$17/1000000, 0) + IF(A35=$F$10, $B$18*$B$16*$B$17/1000000, 0)</f>
        <v/>
      </c>
      <c r="T35" s="306">
        <f>R35-S35-C35</f>
        <v/>
      </c>
      <c r="U35" s="306">
        <f>IF(AND(A35&lt;=$B$24, T35&gt;0), T35*$B$23, 0)</f>
        <v/>
      </c>
      <c r="V35" s="306">
        <f>T35-U35</f>
        <v/>
      </c>
      <c r="W35" s="306">
        <f>IF(AND(A35=$B$19, $B$21=1), K35*$B$20, 0)</f>
        <v/>
      </c>
      <c r="X35" s="306">
        <f>X34+V35+W35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SUM(F36:J36)</f>
        <v/>
      </c>
      <c r="L36" s="306">
        <f>K36/12</f>
        <v/>
      </c>
      <c r="M36" s="306">
        <f>L36*$B$8</f>
        <v/>
      </c>
      <c r="N36" s="306">
        <f>L36*$B$9</f>
        <v/>
      </c>
      <c r="O36" s="306">
        <f>L36*$B$10</f>
        <v/>
      </c>
      <c r="P36" s="306">
        <f>L36-M36-N36-O36-D36-E36</f>
        <v/>
      </c>
      <c r="Q36" s="306">
        <f>MAX(0, P36 - $B$7*L36)</f>
        <v/>
      </c>
      <c r="R36" s="306">
        <f>P36-Q36</f>
        <v/>
      </c>
      <c r="S36" s="306">
        <f>IF(A36=$F$6, $B$18*$B$16*$B$17/1000000, 0) + IF(A36=$F$7, $B$18*$B$16*$B$17/1000000, 0) + IF(A36=$F$8, $B$18*$B$16*$B$17/1000000, 0) + IF(A36=$F$9, $B$18*$B$16*$B$17/1000000, 0) + IF(A36=$F$10, $B$18*$B$16*$B$17/1000000, 0)</f>
        <v/>
      </c>
      <c r="T36" s="306">
        <f>R36-S36-C36</f>
        <v/>
      </c>
      <c r="U36" s="306">
        <f>IF(AND(A36&lt;=$B$24, T36&gt;0), T36*$B$23, 0)</f>
        <v/>
      </c>
      <c r="V36" s="306">
        <f>T36-U36</f>
        <v/>
      </c>
      <c r="W36" s="306">
        <f>IF(AND(A36=$B$19, $B$21=1), K36*$B$20, 0)</f>
        <v/>
      </c>
      <c r="X36" s="306">
        <f>X35+V36+W36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SUM(F37:J37)</f>
        <v/>
      </c>
      <c r="L37" s="306">
        <f>K37/12</f>
        <v/>
      </c>
      <c r="M37" s="306">
        <f>L37*$B$8</f>
        <v/>
      </c>
      <c r="N37" s="306">
        <f>L37*$B$9</f>
        <v/>
      </c>
      <c r="O37" s="306">
        <f>L37*$B$10</f>
        <v/>
      </c>
      <c r="P37" s="306">
        <f>L37-M37-N37-O37-D37-E37</f>
        <v/>
      </c>
      <c r="Q37" s="306">
        <f>MAX(0, P37 - $B$7*L37)</f>
        <v/>
      </c>
      <c r="R37" s="306">
        <f>P37-Q37</f>
        <v/>
      </c>
      <c r="S37" s="306">
        <f>IF(A37=$F$6, $B$18*$B$16*$B$17/1000000, 0) + IF(A37=$F$7, $B$18*$B$16*$B$17/1000000, 0) + IF(A37=$F$8, $B$18*$B$16*$B$17/1000000, 0) + IF(A37=$F$9, $B$18*$B$16*$B$17/1000000, 0) + IF(A37=$F$10, $B$18*$B$16*$B$17/1000000, 0)</f>
        <v/>
      </c>
      <c r="T37" s="306">
        <f>R37-S37-C37</f>
        <v/>
      </c>
      <c r="U37" s="306">
        <f>IF(AND(A37&lt;=$B$24, T37&gt;0), T37*$B$23, 0)</f>
        <v/>
      </c>
      <c r="V37" s="306">
        <f>T37-U37</f>
        <v/>
      </c>
      <c r="W37" s="306">
        <f>IF(AND(A37=$B$19, $B$21=1), K37*$B$20, 0)</f>
        <v/>
      </c>
      <c r="X37" s="306">
        <f>X36+V37+W37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SUM(F38:J38)</f>
        <v/>
      </c>
      <c r="L38" s="306">
        <f>K38/12</f>
        <v/>
      </c>
      <c r="M38" s="306">
        <f>L38*$B$8</f>
        <v/>
      </c>
      <c r="N38" s="306">
        <f>L38*$B$9</f>
        <v/>
      </c>
      <c r="O38" s="306">
        <f>L38*$B$10</f>
        <v/>
      </c>
      <c r="P38" s="306">
        <f>L38-M38-N38-O38-D38-E38</f>
        <v/>
      </c>
      <c r="Q38" s="306">
        <f>MAX(0, P38 - $B$7*L38)</f>
        <v/>
      </c>
      <c r="R38" s="306">
        <f>P38-Q38</f>
        <v/>
      </c>
      <c r="S38" s="306">
        <f>IF(A38=$F$6, $B$18*$B$16*$B$17/1000000, 0) + IF(A38=$F$7, $B$18*$B$16*$B$17/1000000, 0) + IF(A38=$F$8, $B$18*$B$16*$B$17/1000000, 0) + IF(A38=$F$9, $B$18*$B$16*$B$17/1000000, 0) + IF(A38=$F$10, $B$18*$B$16*$B$17/1000000, 0)</f>
        <v/>
      </c>
      <c r="T38" s="306">
        <f>R38-S38-C38</f>
        <v/>
      </c>
      <c r="U38" s="306">
        <f>IF(AND(A38&lt;=$B$24, T38&gt;0), T38*$B$23, 0)</f>
        <v/>
      </c>
      <c r="V38" s="306">
        <f>T38-U38</f>
        <v/>
      </c>
      <c r="W38" s="306">
        <f>IF(AND(A38=$B$19, $B$21=1), K38*$B$20, 0)</f>
        <v/>
      </c>
      <c r="X38" s="306">
        <f>X37+V38+W38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SUM(F39:J39)</f>
        <v/>
      </c>
      <c r="L39" s="306">
        <f>K39/12</f>
        <v/>
      </c>
      <c r="M39" s="306">
        <f>L39*$B$8</f>
        <v/>
      </c>
      <c r="N39" s="306">
        <f>L39*$B$9</f>
        <v/>
      </c>
      <c r="O39" s="306">
        <f>L39*$B$10</f>
        <v/>
      </c>
      <c r="P39" s="306">
        <f>L39-M39-N39-O39-D39-E39</f>
        <v/>
      </c>
      <c r="Q39" s="306">
        <f>MAX(0, P39 - $B$7*L39)</f>
        <v/>
      </c>
      <c r="R39" s="306">
        <f>P39-Q39</f>
        <v/>
      </c>
      <c r="S39" s="306">
        <f>IF(A39=$F$6, $B$18*$B$16*$B$17/1000000, 0) + IF(A39=$F$7, $B$18*$B$16*$B$17/1000000, 0) + IF(A39=$F$8, $B$18*$B$16*$B$17/1000000, 0) + IF(A39=$F$9, $B$18*$B$16*$B$17/1000000, 0) + IF(A39=$F$10, $B$18*$B$16*$B$17/1000000, 0)</f>
        <v/>
      </c>
      <c r="T39" s="306">
        <f>R39-S39-C39</f>
        <v/>
      </c>
      <c r="U39" s="306">
        <f>IF(AND(A39&lt;=$B$24, T39&gt;0), T39*$B$23, 0)</f>
        <v/>
      </c>
      <c r="V39" s="306">
        <f>T39-U39</f>
        <v/>
      </c>
      <c r="W39" s="306">
        <f>IF(AND(A39=$B$19, $B$21=1), K39*$B$20, 0)</f>
        <v/>
      </c>
      <c r="X39" s="306">
        <f>X38+V39+W39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SUM(F40:J40)</f>
        <v/>
      </c>
      <c r="L40" s="306">
        <f>K40/12</f>
        <v/>
      </c>
      <c r="M40" s="306">
        <f>L40*$B$8</f>
        <v/>
      </c>
      <c r="N40" s="306">
        <f>L40*$B$9</f>
        <v/>
      </c>
      <c r="O40" s="306">
        <f>L40*$B$10</f>
        <v/>
      </c>
      <c r="P40" s="306">
        <f>L40-M40-N40-O40-D40-E40</f>
        <v/>
      </c>
      <c r="Q40" s="306">
        <f>MAX(0, P40 - $B$7*L40)</f>
        <v/>
      </c>
      <c r="R40" s="306">
        <f>P40-Q40</f>
        <v/>
      </c>
      <c r="S40" s="306">
        <f>IF(A40=$F$6, $B$18*$B$16*$B$17/1000000, 0) + IF(A40=$F$7, $B$18*$B$16*$B$17/1000000, 0) + IF(A40=$F$8, $B$18*$B$16*$B$17/1000000, 0) + IF(A40=$F$9, $B$18*$B$16*$B$17/1000000, 0) + IF(A40=$F$10, $B$18*$B$16*$B$17/1000000, 0)</f>
        <v/>
      </c>
      <c r="T40" s="306">
        <f>R40-S40-C40</f>
        <v/>
      </c>
      <c r="U40" s="306">
        <f>IF(AND(A40&lt;=$B$24, T40&gt;0), T40*$B$23, 0)</f>
        <v/>
      </c>
      <c r="V40" s="306">
        <f>T40-U40</f>
        <v/>
      </c>
      <c r="W40" s="306">
        <f>IF(AND(A40=$B$19, $B$21=1), K40*$B$20, 0)</f>
        <v/>
      </c>
      <c r="X40" s="306">
        <f>X39+V40+W40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SUM(F41:J41)</f>
        <v/>
      </c>
      <c r="L41" s="306">
        <f>K41/12</f>
        <v/>
      </c>
      <c r="M41" s="306">
        <f>L41*$B$8</f>
        <v/>
      </c>
      <c r="N41" s="306">
        <f>L41*$B$9</f>
        <v/>
      </c>
      <c r="O41" s="306">
        <f>L41*$B$10</f>
        <v/>
      </c>
      <c r="P41" s="306">
        <f>L41-M41-N41-O41-D41-E41</f>
        <v/>
      </c>
      <c r="Q41" s="306">
        <f>MAX(0, P41 - $B$7*L41)</f>
        <v/>
      </c>
      <c r="R41" s="306">
        <f>P41-Q41</f>
        <v/>
      </c>
      <c r="S41" s="306">
        <f>IF(A41=$F$6, $B$18*$B$16*$B$17/1000000, 0) + IF(A41=$F$7, $B$18*$B$16*$B$17/1000000, 0) + IF(A41=$F$8, $B$18*$B$16*$B$17/1000000, 0) + IF(A41=$F$9, $B$18*$B$16*$B$17/1000000, 0) + IF(A41=$F$10, $B$18*$B$16*$B$17/1000000, 0)</f>
        <v/>
      </c>
      <c r="T41" s="306">
        <f>R41-S41-C41</f>
        <v/>
      </c>
      <c r="U41" s="306">
        <f>IF(AND(A41&lt;=$B$24, T41&gt;0), T41*$B$23, 0)</f>
        <v/>
      </c>
      <c r="V41" s="306">
        <f>T41-U41</f>
        <v/>
      </c>
      <c r="W41" s="306">
        <f>IF(AND(A41=$B$19, $B$21=1), K41*$B$20, 0)</f>
        <v/>
      </c>
      <c r="X41" s="306">
        <f>X40+V41+W41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SUM(F42:J42)</f>
        <v/>
      </c>
      <c r="L42" s="306">
        <f>K42/12</f>
        <v/>
      </c>
      <c r="M42" s="306">
        <f>L42*$B$8</f>
        <v/>
      </c>
      <c r="N42" s="306">
        <f>L42*$B$9</f>
        <v/>
      </c>
      <c r="O42" s="306">
        <f>L42*$B$10</f>
        <v/>
      </c>
      <c r="P42" s="306">
        <f>L42-M42-N42-O42-D42-E42</f>
        <v/>
      </c>
      <c r="Q42" s="306">
        <f>MAX(0, P42 - $B$7*L42)</f>
        <v/>
      </c>
      <c r="R42" s="306">
        <f>P42-Q42</f>
        <v/>
      </c>
      <c r="S42" s="306">
        <f>IF(A42=$F$6, $B$18*$B$16*$B$17/1000000, 0) + IF(A42=$F$7, $B$18*$B$16*$B$17/1000000, 0) + IF(A42=$F$8, $B$18*$B$16*$B$17/1000000, 0) + IF(A42=$F$9, $B$18*$B$16*$B$17/1000000, 0) + IF(A42=$F$10, $B$18*$B$16*$B$17/1000000, 0)</f>
        <v/>
      </c>
      <c r="T42" s="306">
        <f>R42-S42-C42</f>
        <v/>
      </c>
      <c r="U42" s="306">
        <f>IF(AND(A42&lt;=$B$24, T42&gt;0), T42*$B$23, 0)</f>
        <v/>
      </c>
      <c r="V42" s="306">
        <f>T42-U42</f>
        <v/>
      </c>
      <c r="W42" s="306">
        <f>IF(AND(A42=$B$19, $B$21=1), K42*$B$20, 0)</f>
        <v/>
      </c>
      <c r="X42" s="306">
        <f>X41+V42+W42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SUM(F43:J43)</f>
        <v/>
      </c>
      <c r="L43" s="306">
        <f>K43/12</f>
        <v/>
      </c>
      <c r="M43" s="306">
        <f>L43*$B$8</f>
        <v/>
      </c>
      <c r="N43" s="306">
        <f>L43*$B$9</f>
        <v/>
      </c>
      <c r="O43" s="306">
        <f>L43*$B$10</f>
        <v/>
      </c>
      <c r="P43" s="306">
        <f>L43-M43-N43-O43-D43-E43</f>
        <v/>
      </c>
      <c r="Q43" s="306">
        <f>MAX(0, P43 - $B$7*L43)</f>
        <v/>
      </c>
      <c r="R43" s="306">
        <f>P43-Q43</f>
        <v/>
      </c>
      <c r="S43" s="306">
        <f>IF(A43=$F$6, $B$18*$B$16*$B$17/1000000, 0) + IF(A43=$F$7, $B$18*$B$16*$B$17/1000000, 0) + IF(A43=$F$8, $B$18*$B$16*$B$17/1000000, 0) + IF(A43=$F$9, $B$18*$B$16*$B$17/1000000, 0) + IF(A43=$F$10, $B$18*$B$16*$B$17/1000000, 0)</f>
        <v/>
      </c>
      <c r="T43" s="306">
        <f>R43-S43-C43</f>
        <v/>
      </c>
      <c r="U43" s="306">
        <f>IF(AND(A43&lt;=$B$24, T43&gt;0), T43*$B$23, 0)</f>
        <v/>
      </c>
      <c r="V43" s="306">
        <f>T43-U43</f>
        <v/>
      </c>
      <c r="W43" s="306">
        <f>IF(AND(A43=$B$19, $B$21=1), K43*$B$20, 0)</f>
        <v/>
      </c>
      <c r="X43" s="306">
        <f>X42+V43+W43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SUM(F44:J44)</f>
        <v/>
      </c>
      <c r="L44" s="306">
        <f>K44/12</f>
        <v/>
      </c>
      <c r="M44" s="306">
        <f>L44*$B$8</f>
        <v/>
      </c>
      <c r="N44" s="306">
        <f>L44*$B$9</f>
        <v/>
      </c>
      <c r="O44" s="306">
        <f>L44*$B$10</f>
        <v/>
      </c>
      <c r="P44" s="306">
        <f>L44-M44-N44-O44-D44-E44</f>
        <v/>
      </c>
      <c r="Q44" s="306">
        <f>MAX(0, P44 - $B$7*L44)</f>
        <v/>
      </c>
      <c r="R44" s="306">
        <f>P44-Q44</f>
        <v/>
      </c>
      <c r="S44" s="306">
        <f>IF(A44=$F$6, $B$18*$B$16*$B$17/1000000, 0) + IF(A44=$F$7, $B$18*$B$16*$B$17/1000000, 0) + IF(A44=$F$8, $B$18*$B$16*$B$17/1000000, 0) + IF(A44=$F$9, $B$18*$B$16*$B$17/1000000, 0) + IF(A44=$F$10, $B$18*$B$16*$B$17/1000000, 0)</f>
        <v/>
      </c>
      <c r="T44" s="306">
        <f>R44-S44-C44</f>
        <v/>
      </c>
      <c r="U44" s="306">
        <f>IF(AND(A44&lt;=$B$24, T44&gt;0), T44*$B$23, 0)</f>
        <v/>
      </c>
      <c r="V44" s="306">
        <f>T44-U44</f>
        <v/>
      </c>
      <c r="W44" s="306">
        <f>IF(AND(A44=$B$19, $B$21=1), K44*$B$20, 0)</f>
        <v/>
      </c>
      <c r="X44" s="306">
        <f>X43+V44+W44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SUM(F45:J45)</f>
        <v/>
      </c>
      <c r="L45" s="306">
        <f>K45/12</f>
        <v/>
      </c>
      <c r="M45" s="306">
        <f>L45*$B$8</f>
        <v/>
      </c>
      <c r="N45" s="306">
        <f>L45*$B$9</f>
        <v/>
      </c>
      <c r="O45" s="306">
        <f>L45*$B$10</f>
        <v/>
      </c>
      <c r="P45" s="306">
        <f>L45-M45-N45-O45-D45-E45</f>
        <v/>
      </c>
      <c r="Q45" s="306">
        <f>MAX(0, P45 - $B$7*L45)</f>
        <v/>
      </c>
      <c r="R45" s="306">
        <f>P45-Q45</f>
        <v/>
      </c>
      <c r="S45" s="306">
        <f>IF(A45=$F$6, $B$18*$B$16*$B$17/1000000, 0) + IF(A45=$F$7, $B$18*$B$16*$B$17/1000000, 0) + IF(A45=$F$8, $B$18*$B$16*$B$17/1000000, 0) + IF(A45=$F$9, $B$18*$B$16*$B$17/1000000, 0) + IF(A45=$F$10, $B$18*$B$16*$B$17/1000000, 0)</f>
        <v/>
      </c>
      <c r="T45" s="306">
        <f>R45-S45-C45</f>
        <v/>
      </c>
      <c r="U45" s="306">
        <f>IF(AND(A45&lt;=$B$24, T45&gt;0), T45*$B$23, 0)</f>
        <v/>
      </c>
      <c r="V45" s="306">
        <f>T45-U45</f>
        <v/>
      </c>
      <c r="W45" s="306">
        <f>IF(AND(A45=$B$19, $B$21=1), K45*$B$20, 0)</f>
        <v/>
      </c>
      <c r="X45" s="306">
        <f>X44+V45+W45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SUM(F46:J46)</f>
        <v/>
      </c>
      <c r="L46" s="306">
        <f>K46/12</f>
        <v/>
      </c>
      <c r="M46" s="306">
        <f>L46*$B$8</f>
        <v/>
      </c>
      <c r="N46" s="306">
        <f>L46*$B$9</f>
        <v/>
      </c>
      <c r="O46" s="306">
        <f>L46*$B$10</f>
        <v/>
      </c>
      <c r="P46" s="306">
        <f>L46-M46-N46-O46-D46-E46</f>
        <v/>
      </c>
      <c r="Q46" s="306">
        <f>MAX(0, P46 - $B$7*L46)</f>
        <v/>
      </c>
      <c r="R46" s="306">
        <f>P46-Q46</f>
        <v/>
      </c>
      <c r="S46" s="306">
        <f>IF(A46=$F$6, $B$18*$B$16*$B$17/1000000, 0) + IF(A46=$F$7, $B$18*$B$16*$B$17/1000000, 0) + IF(A46=$F$8, $B$18*$B$16*$B$17/1000000, 0) + IF(A46=$F$9, $B$18*$B$16*$B$17/1000000, 0) + IF(A46=$F$10, $B$18*$B$16*$B$17/1000000, 0)</f>
        <v/>
      </c>
      <c r="T46" s="306">
        <f>R46-S46-C46</f>
        <v/>
      </c>
      <c r="U46" s="306">
        <f>IF(AND(A46&lt;=$B$24, T46&gt;0), T46*$B$23, 0)</f>
        <v/>
      </c>
      <c r="V46" s="306">
        <f>T46-U46</f>
        <v/>
      </c>
      <c r="W46" s="306">
        <f>IF(AND(A46=$B$19, $B$21=1), K46*$B$20, 0)</f>
        <v/>
      </c>
      <c r="X46" s="306">
        <f>X45+V46+W46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SUM(F47:J47)</f>
        <v/>
      </c>
      <c r="L47" s="306">
        <f>K47/12</f>
        <v/>
      </c>
      <c r="M47" s="306">
        <f>L47*$B$8</f>
        <v/>
      </c>
      <c r="N47" s="306">
        <f>L47*$B$9</f>
        <v/>
      </c>
      <c r="O47" s="306">
        <f>L47*$B$10</f>
        <v/>
      </c>
      <c r="P47" s="306">
        <f>L47-M47-N47-O47-D47-E47</f>
        <v/>
      </c>
      <c r="Q47" s="306">
        <f>MAX(0, P47 - $B$7*L47)</f>
        <v/>
      </c>
      <c r="R47" s="306">
        <f>P47-Q47</f>
        <v/>
      </c>
      <c r="S47" s="306">
        <f>IF(A47=$F$6, $B$18*$B$16*$B$17/1000000, 0) + IF(A47=$F$7, $B$18*$B$16*$B$17/1000000, 0) + IF(A47=$F$8, $B$18*$B$16*$B$17/1000000, 0) + IF(A47=$F$9, $B$18*$B$16*$B$17/1000000, 0) + IF(A47=$F$10, $B$18*$B$16*$B$17/1000000, 0)</f>
        <v/>
      </c>
      <c r="T47" s="306">
        <f>R47-S47-C47</f>
        <v/>
      </c>
      <c r="U47" s="306">
        <f>IF(AND(A47&lt;=$B$24, T47&gt;0), T47*$B$23, 0)</f>
        <v/>
      </c>
      <c r="V47" s="306">
        <f>T47-U47</f>
        <v/>
      </c>
      <c r="W47" s="306">
        <f>IF(AND(A47=$B$19, $B$21=1), K47*$B$20, 0)</f>
        <v/>
      </c>
      <c r="X47" s="306">
        <f>X46+V47+W47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SUM(F48:J48)</f>
        <v/>
      </c>
      <c r="L48" s="306">
        <f>K48/12</f>
        <v/>
      </c>
      <c r="M48" s="306">
        <f>L48*$B$8</f>
        <v/>
      </c>
      <c r="N48" s="306">
        <f>L48*$B$9</f>
        <v/>
      </c>
      <c r="O48" s="306">
        <f>L48*$B$10</f>
        <v/>
      </c>
      <c r="P48" s="306">
        <f>L48-M48-N48-O48-D48-E48</f>
        <v/>
      </c>
      <c r="Q48" s="306">
        <f>MAX(0, P48 - $B$7*L48)</f>
        <v/>
      </c>
      <c r="R48" s="306">
        <f>P48-Q48</f>
        <v/>
      </c>
      <c r="S48" s="306">
        <f>IF(A48=$F$6, $B$18*$B$16*$B$17/1000000, 0) + IF(A48=$F$7, $B$18*$B$16*$B$17/1000000, 0) + IF(A48=$F$8, $B$18*$B$16*$B$17/1000000, 0) + IF(A48=$F$9, $B$18*$B$16*$B$17/1000000, 0) + IF(A48=$F$10, $B$18*$B$16*$B$17/1000000, 0)</f>
        <v/>
      </c>
      <c r="T48" s="306">
        <f>R48-S48-C48</f>
        <v/>
      </c>
      <c r="U48" s="306">
        <f>IF(AND(A48&lt;=$B$24, T48&gt;0), T48*$B$23, 0)</f>
        <v/>
      </c>
      <c r="V48" s="306">
        <f>T48-U48</f>
        <v/>
      </c>
      <c r="W48" s="306">
        <f>IF(AND(A48=$B$19, $B$21=1), K48*$B$20, 0)</f>
        <v/>
      </c>
      <c r="X48" s="306">
        <f>X47+V48+W48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SUM(F49:J49)</f>
        <v/>
      </c>
      <c r="L49" s="306">
        <f>K49/12</f>
        <v/>
      </c>
      <c r="M49" s="306">
        <f>L49*$B$8</f>
        <v/>
      </c>
      <c r="N49" s="306">
        <f>L49*$B$9</f>
        <v/>
      </c>
      <c r="O49" s="306">
        <f>L49*$B$10</f>
        <v/>
      </c>
      <c r="P49" s="306">
        <f>L49-M49-N49-O49-D49-E49</f>
        <v/>
      </c>
      <c r="Q49" s="306">
        <f>MAX(0, P49 - $B$7*L49)</f>
        <v/>
      </c>
      <c r="R49" s="306">
        <f>P49-Q49</f>
        <v/>
      </c>
      <c r="S49" s="306">
        <f>IF(A49=$F$6, $B$18*$B$16*$B$17/1000000, 0) + IF(A49=$F$7, $B$18*$B$16*$B$17/1000000, 0) + IF(A49=$F$8, $B$18*$B$16*$B$17/1000000, 0) + IF(A49=$F$9, $B$18*$B$16*$B$17/1000000, 0) + IF(A49=$F$10, $B$18*$B$16*$B$17/1000000, 0)</f>
        <v/>
      </c>
      <c r="T49" s="306">
        <f>R49-S49-C49</f>
        <v/>
      </c>
      <c r="U49" s="306">
        <f>IF(AND(A49&lt;=$B$24, T49&gt;0), T49*$B$23, 0)</f>
        <v/>
      </c>
      <c r="V49" s="306">
        <f>T49-U49</f>
        <v/>
      </c>
      <c r="W49" s="306">
        <f>IF(AND(A49=$B$19, $B$21=1), K49*$B$20, 0)</f>
        <v/>
      </c>
      <c r="X49" s="306">
        <f>X48+V49+W49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SUM(F50:J50)</f>
        <v/>
      </c>
      <c r="L50" s="306">
        <f>K50/12</f>
        <v/>
      </c>
      <c r="M50" s="306">
        <f>L50*$B$8</f>
        <v/>
      </c>
      <c r="N50" s="306">
        <f>L50*$B$9</f>
        <v/>
      </c>
      <c r="O50" s="306">
        <f>L50*$B$10</f>
        <v/>
      </c>
      <c r="P50" s="306">
        <f>L50-M50-N50-O50-D50-E50</f>
        <v/>
      </c>
      <c r="Q50" s="306">
        <f>MAX(0, P50 - $B$7*L50)</f>
        <v/>
      </c>
      <c r="R50" s="306">
        <f>P50-Q50</f>
        <v/>
      </c>
      <c r="S50" s="306">
        <f>IF(A50=$F$6, $B$18*$B$16*$B$17/1000000, 0) + IF(A50=$F$7, $B$18*$B$16*$B$17/1000000, 0) + IF(A50=$F$8, $B$18*$B$16*$B$17/1000000, 0) + IF(A50=$F$9, $B$18*$B$16*$B$17/1000000, 0) + IF(A50=$F$10, $B$18*$B$16*$B$17/1000000, 0)</f>
        <v/>
      </c>
      <c r="T50" s="306">
        <f>R50-S50-C50</f>
        <v/>
      </c>
      <c r="U50" s="306">
        <f>IF(AND(A50&lt;=$B$24, T50&gt;0), T50*$B$23, 0)</f>
        <v/>
      </c>
      <c r="V50" s="306">
        <f>T50-U50</f>
        <v/>
      </c>
      <c r="W50" s="306">
        <f>IF(AND(A50=$B$19, $B$21=1), K50*$B$20, 0)</f>
        <v/>
      </c>
      <c r="X50" s="306">
        <f>X49+V50+W50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SUM(F51:J51)</f>
        <v/>
      </c>
      <c r="L51" s="306">
        <f>K51/12</f>
        <v/>
      </c>
      <c r="M51" s="306">
        <f>L51*$B$8</f>
        <v/>
      </c>
      <c r="N51" s="306">
        <f>L51*$B$9</f>
        <v/>
      </c>
      <c r="O51" s="306">
        <f>L51*$B$10</f>
        <v/>
      </c>
      <c r="P51" s="306">
        <f>L51-M51-N51-O51-D51-E51</f>
        <v/>
      </c>
      <c r="Q51" s="306">
        <f>MAX(0, P51 - $B$7*L51)</f>
        <v/>
      </c>
      <c r="R51" s="306">
        <f>P51-Q51</f>
        <v/>
      </c>
      <c r="S51" s="306">
        <f>IF(A51=$F$6, $B$18*$B$16*$B$17/1000000, 0) + IF(A51=$F$7, $B$18*$B$16*$B$17/1000000, 0) + IF(A51=$F$8, $B$18*$B$16*$B$17/1000000, 0) + IF(A51=$F$9, $B$18*$B$16*$B$17/1000000, 0) + IF(A51=$F$10, $B$18*$B$16*$B$17/1000000, 0)</f>
        <v/>
      </c>
      <c r="T51" s="306">
        <f>R51-S51-C51</f>
        <v/>
      </c>
      <c r="U51" s="306">
        <f>IF(AND(A51&lt;=$B$24, T51&gt;0), T51*$B$23, 0)</f>
        <v/>
      </c>
      <c r="V51" s="306">
        <f>T51-U51</f>
        <v/>
      </c>
      <c r="W51" s="306">
        <f>IF(AND(A51=$B$19, $B$21=1), K51*$B$20, 0)</f>
        <v/>
      </c>
      <c r="X51" s="306">
        <f>X50+V51+W51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SUM(F52:J52)</f>
        <v/>
      </c>
      <c r="L52" s="306">
        <f>K52/12</f>
        <v/>
      </c>
      <c r="M52" s="306">
        <f>L52*$B$8</f>
        <v/>
      </c>
      <c r="N52" s="306">
        <f>L52*$B$9</f>
        <v/>
      </c>
      <c r="O52" s="306">
        <f>L52*$B$10</f>
        <v/>
      </c>
      <c r="P52" s="306">
        <f>L52-M52-N52-O52-D52-E52</f>
        <v/>
      </c>
      <c r="Q52" s="306">
        <f>MAX(0, P52 - $B$7*L52)</f>
        <v/>
      </c>
      <c r="R52" s="306">
        <f>P52-Q52</f>
        <v/>
      </c>
      <c r="S52" s="306">
        <f>IF(A52=$F$6, $B$18*$B$16*$B$17/1000000, 0) + IF(A52=$F$7, $B$18*$B$16*$B$17/1000000, 0) + IF(A52=$F$8, $B$18*$B$16*$B$17/1000000, 0) + IF(A52=$F$9, $B$18*$B$16*$B$17/1000000, 0) + IF(A52=$F$10, $B$18*$B$16*$B$17/1000000, 0)</f>
        <v/>
      </c>
      <c r="T52" s="306">
        <f>R52-S52-C52</f>
        <v/>
      </c>
      <c r="U52" s="306">
        <f>IF(AND(A52&lt;=$B$24, T52&gt;0), T52*$B$23, 0)</f>
        <v/>
      </c>
      <c r="V52" s="306">
        <f>T52-U52</f>
        <v/>
      </c>
      <c r="W52" s="306">
        <f>IF(AND(A52=$B$19, $B$21=1), K52*$B$20, 0)</f>
        <v/>
      </c>
      <c r="X52" s="306">
        <f>X51+V52+W52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SUM(F53:J53)</f>
        <v/>
      </c>
      <c r="L53" s="306">
        <f>K53/12</f>
        <v/>
      </c>
      <c r="M53" s="306">
        <f>L53*$B$8</f>
        <v/>
      </c>
      <c r="N53" s="306">
        <f>L53*$B$9</f>
        <v/>
      </c>
      <c r="O53" s="306">
        <f>L53*$B$10</f>
        <v/>
      </c>
      <c r="P53" s="306">
        <f>L53-M53-N53-O53-D53-E53</f>
        <v/>
      </c>
      <c r="Q53" s="306">
        <f>MAX(0, P53 - $B$7*L53)</f>
        <v/>
      </c>
      <c r="R53" s="306">
        <f>P53-Q53</f>
        <v/>
      </c>
      <c r="S53" s="306">
        <f>IF(A53=$F$6, $B$18*$B$16*$B$17/1000000, 0) + IF(A53=$F$7, $B$18*$B$16*$B$17/1000000, 0) + IF(A53=$F$8, $B$18*$B$16*$B$17/1000000, 0) + IF(A53=$F$9, $B$18*$B$16*$B$17/1000000, 0) + IF(A53=$F$10, $B$18*$B$16*$B$17/1000000, 0)</f>
        <v/>
      </c>
      <c r="T53" s="306">
        <f>R53-S53-C53</f>
        <v/>
      </c>
      <c r="U53" s="306">
        <f>IF(AND(A53&lt;=$B$24, T53&gt;0), T53*$B$23, 0)</f>
        <v/>
      </c>
      <c r="V53" s="306">
        <f>T53-U53</f>
        <v/>
      </c>
      <c r="W53" s="306">
        <f>IF(AND(A53=$B$19, $B$21=1), K53*$B$20, 0)</f>
        <v/>
      </c>
      <c r="X53" s="306">
        <f>X52+V53+W53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SUM(F54:J54)</f>
        <v/>
      </c>
      <c r="L54" s="306">
        <f>K54/12</f>
        <v/>
      </c>
      <c r="M54" s="306">
        <f>L54*$B$8</f>
        <v/>
      </c>
      <c r="N54" s="306">
        <f>L54*$B$9</f>
        <v/>
      </c>
      <c r="O54" s="306">
        <f>L54*$B$10</f>
        <v/>
      </c>
      <c r="P54" s="306">
        <f>L54-M54-N54-O54-D54-E54</f>
        <v/>
      </c>
      <c r="Q54" s="306">
        <f>MAX(0, P54 - $B$7*L54)</f>
        <v/>
      </c>
      <c r="R54" s="306">
        <f>P54-Q54</f>
        <v/>
      </c>
      <c r="S54" s="306">
        <f>IF(A54=$F$6, $B$18*$B$16*$B$17/1000000, 0) + IF(A54=$F$7, $B$18*$B$16*$B$17/1000000, 0) + IF(A54=$F$8, $B$18*$B$16*$B$17/1000000, 0) + IF(A54=$F$9, $B$18*$B$16*$B$17/1000000, 0) + IF(A54=$F$10, $B$18*$B$16*$B$17/1000000, 0)</f>
        <v/>
      </c>
      <c r="T54" s="306">
        <f>R54-S54-C54</f>
        <v/>
      </c>
      <c r="U54" s="306">
        <f>IF(AND(A54&lt;=$B$24, T54&gt;0), T54*$B$23, 0)</f>
        <v/>
      </c>
      <c r="V54" s="306">
        <f>T54-U54</f>
        <v/>
      </c>
      <c r="W54" s="306">
        <f>IF(AND(A54=$B$19, $B$21=1), K54*$B$20, 0)</f>
        <v/>
      </c>
      <c r="X54" s="306">
        <f>X53+V54+W54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SUM(F55:J55)</f>
        <v/>
      </c>
      <c r="L55" s="306">
        <f>K55/12</f>
        <v/>
      </c>
      <c r="M55" s="306">
        <f>L55*$B$8</f>
        <v/>
      </c>
      <c r="N55" s="306">
        <f>L55*$B$9</f>
        <v/>
      </c>
      <c r="O55" s="306">
        <f>L55*$B$10</f>
        <v/>
      </c>
      <c r="P55" s="306">
        <f>L55-M55-N55-O55-D55-E55</f>
        <v/>
      </c>
      <c r="Q55" s="306">
        <f>MAX(0, P55 - $B$7*L55)</f>
        <v/>
      </c>
      <c r="R55" s="306">
        <f>P55-Q55</f>
        <v/>
      </c>
      <c r="S55" s="306">
        <f>IF(A55=$F$6, $B$18*$B$16*$B$17/1000000, 0) + IF(A55=$F$7, $B$18*$B$16*$B$17/1000000, 0) + IF(A55=$F$8, $B$18*$B$16*$B$17/1000000, 0) + IF(A55=$F$9, $B$18*$B$16*$B$17/1000000, 0) + IF(A55=$F$10, $B$18*$B$16*$B$17/1000000, 0)</f>
        <v/>
      </c>
      <c r="T55" s="306">
        <f>R55-S55-C55</f>
        <v/>
      </c>
      <c r="U55" s="306">
        <f>IF(AND(A55&lt;=$B$24, T55&gt;0), T55*$B$23, 0)</f>
        <v/>
      </c>
      <c r="V55" s="306">
        <f>T55-U55</f>
        <v/>
      </c>
      <c r="W55" s="306">
        <f>IF(AND(A55=$B$19, $B$21=1), K55*$B$20, 0)</f>
        <v/>
      </c>
      <c r="X55" s="306">
        <f>X54+V55+W55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SUM(F56:J56)</f>
        <v/>
      </c>
      <c r="L56" s="306">
        <f>K56/12</f>
        <v/>
      </c>
      <c r="M56" s="306">
        <f>L56*$B$8</f>
        <v/>
      </c>
      <c r="N56" s="306">
        <f>L56*$B$9</f>
        <v/>
      </c>
      <c r="O56" s="306">
        <f>L56*$B$10</f>
        <v/>
      </c>
      <c r="P56" s="306">
        <f>L56-M56-N56-O56-D56-E56</f>
        <v/>
      </c>
      <c r="Q56" s="306">
        <f>MAX(0, P56 - $B$7*L56)</f>
        <v/>
      </c>
      <c r="R56" s="306">
        <f>P56-Q56</f>
        <v/>
      </c>
      <c r="S56" s="306">
        <f>IF(A56=$F$6, $B$18*$B$16*$B$17/1000000, 0) + IF(A56=$F$7, $B$18*$B$16*$B$17/1000000, 0) + IF(A56=$F$8, $B$18*$B$16*$B$17/1000000, 0) + IF(A56=$F$9, $B$18*$B$16*$B$17/1000000, 0) + IF(A56=$F$10, $B$18*$B$16*$B$17/1000000, 0)</f>
        <v/>
      </c>
      <c r="T56" s="306">
        <f>R56-S56-C56</f>
        <v/>
      </c>
      <c r="U56" s="306">
        <f>IF(AND(A56&lt;=$B$24, T56&gt;0), T56*$B$23, 0)</f>
        <v/>
      </c>
      <c r="V56" s="306">
        <f>T56-U56</f>
        <v/>
      </c>
      <c r="W56" s="306">
        <f>IF(AND(A56=$B$19, $B$21=1), K56*$B$20, 0)</f>
        <v/>
      </c>
      <c r="X56" s="306">
        <f>X55+V56+W56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SUM(F57:J57)</f>
        <v/>
      </c>
      <c r="L57" s="306">
        <f>K57/12</f>
        <v/>
      </c>
      <c r="M57" s="306">
        <f>L57*$B$8</f>
        <v/>
      </c>
      <c r="N57" s="306">
        <f>L57*$B$9</f>
        <v/>
      </c>
      <c r="O57" s="306">
        <f>L57*$B$10</f>
        <v/>
      </c>
      <c r="P57" s="306">
        <f>L57-M57-N57-O57-D57-E57</f>
        <v/>
      </c>
      <c r="Q57" s="306">
        <f>MAX(0, P57 - $B$7*L57)</f>
        <v/>
      </c>
      <c r="R57" s="306">
        <f>P57-Q57</f>
        <v/>
      </c>
      <c r="S57" s="306">
        <f>IF(A57=$F$6, $B$18*$B$16*$B$17/1000000, 0) + IF(A57=$F$7, $B$18*$B$16*$B$17/1000000, 0) + IF(A57=$F$8, $B$18*$B$16*$B$17/1000000, 0) + IF(A57=$F$9, $B$18*$B$16*$B$17/1000000, 0) + IF(A57=$F$10, $B$18*$B$16*$B$17/1000000, 0)</f>
        <v/>
      </c>
      <c r="T57" s="306">
        <f>R57-S57-C57</f>
        <v/>
      </c>
      <c r="U57" s="306">
        <f>IF(AND(A57&lt;=$B$24, T57&gt;0), T57*$B$23, 0)</f>
        <v/>
      </c>
      <c r="V57" s="306">
        <f>T57-U57</f>
        <v/>
      </c>
      <c r="W57" s="306">
        <f>IF(AND(A57=$B$19, $B$21=1), K57*$B$20, 0)</f>
        <v/>
      </c>
      <c r="X57" s="306">
        <f>X56+V57+W57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SUM(F58:J58)</f>
        <v/>
      </c>
      <c r="L58" s="306">
        <f>K58/12</f>
        <v/>
      </c>
      <c r="M58" s="306">
        <f>L58*$B$8</f>
        <v/>
      </c>
      <c r="N58" s="306">
        <f>L58*$B$9</f>
        <v/>
      </c>
      <c r="O58" s="306">
        <f>L58*$B$10</f>
        <v/>
      </c>
      <c r="P58" s="306">
        <f>L58-M58-N58-O58-D58-E58</f>
        <v/>
      </c>
      <c r="Q58" s="306">
        <f>MAX(0, P58 - $B$7*L58)</f>
        <v/>
      </c>
      <c r="R58" s="306">
        <f>P58-Q58</f>
        <v/>
      </c>
      <c r="S58" s="306">
        <f>IF(A58=$F$6, $B$18*$B$16*$B$17/1000000, 0) + IF(A58=$F$7, $B$18*$B$16*$B$17/1000000, 0) + IF(A58=$F$8, $B$18*$B$16*$B$17/1000000, 0) + IF(A58=$F$9, $B$18*$B$16*$B$17/1000000, 0) + IF(A58=$F$10, $B$18*$B$16*$B$17/1000000, 0)</f>
        <v/>
      </c>
      <c r="T58" s="306">
        <f>R58-S58-C58</f>
        <v/>
      </c>
      <c r="U58" s="306">
        <f>IF(AND(A58&lt;=$B$24, T58&gt;0), T58*$B$23, 0)</f>
        <v/>
      </c>
      <c r="V58" s="306">
        <f>T58-U58</f>
        <v/>
      </c>
      <c r="W58" s="306">
        <f>IF(AND(A58=$B$19, $B$21=1), K58*$B$20, 0)</f>
        <v/>
      </c>
      <c r="X58" s="306">
        <f>X57+V58+W58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SUM(F59:J59)</f>
        <v/>
      </c>
      <c r="L59" s="306">
        <f>K59/12</f>
        <v/>
      </c>
      <c r="M59" s="306">
        <f>L59*$B$8</f>
        <v/>
      </c>
      <c r="N59" s="306">
        <f>L59*$B$9</f>
        <v/>
      </c>
      <c r="O59" s="306">
        <f>L59*$B$10</f>
        <v/>
      </c>
      <c r="P59" s="306">
        <f>L59-M59-N59-O59-D59-E59</f>
        <v/>
      </c>
      <c r="Q59" s="306">
        <f>MAX(0, P59 - $B$7*L59)</f>
        <v/>
      </c>
      <c r="R59" s="306">
        <f>P59-Q59</f>
        <v/>
      </c>
      <c r="S59" s="306">
        <f>IF(A59=$F$6, $B$18*$B$16*$B$17/1000000, 0) + IF(A59=$F$7, $B$18*$B$16*$B$17/1000000, 0) + IF(A59=$F$8, $B$18*$B$16*$B$17/1000000, 0) + IF(A59=$F$9, $B$18*$B$16*$B$17/1000000, 0) + IF(A59=$F$10, $B$18*$B$16*$B$17/1000000, 0)</f>
        <v/>
      </c>
      <c r="T59" s="306">
        <f>R59-S59-C59</f>
        <v/>
      </c>
      <c r="U59" s="306">
        <f>IF(AND(A59&lt;=$B$24, T59&gt;0), T59*$B$23, 0)</f>
        <v/>
      </c>
      <c r="V59" s="306">
        <f>T59-U59</f>
        <v/>
      </c>
      <c r="W59" s="306">
        <f>IF(AND(A59=$B$19, $B$21=1), K59*$B$20, 0)</f>
        <v/>
      </c>
      <c r="X59" s="306">
        <f>X58+V59+W59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SUM(F60:J60)</f>
        <v/>
      </c>
      <c r="L60" s="306">
        <f>K60/12</f>
        <v/>
      </c>
      <c r="M60" s="306">
        <f>L60*$B$8</f>
        <v/>
      </c>
      <c r="N60" s="306">
        <f>L60*$B$9</f>
        <v/>
      </c>
      <c r="O60" s="306">
        <f>L60*$B$10</f>
        <v/>
      </c>
      <c r="P60" s="306">
        <f>L60-M60-N60-O60-D60-E60</f>
        <v/>
      </c>
      <c r="Q60" s="306">
        <f>MAX(0, P60 - $B$7*L60)</f>
        <v/>
      </c>
      <c r="R60" s="306">
        <f>P60-Q60</f>
        <v/>
      </c>
      <c r="S60" s="306">
        <f>IF(A60=$F$6, $B$18*$B$16*$B$17/1000000, 0) + IF(A60=$F$7, $B$18*$B$16*$B$17/1000000, 0) + IF(A60=$F$8, $B$18*$B$16*$B$17/1000000, 0) + IF(A60=$F$9, $B$18*$B$16*$B$17/1000000, 0) + IF(A60=$F$10, $B$18*$B$16*$B$17/1000000, 0)</f>
        <v/>
      </c>
      <c r="T60" s="306">
        <f>R60-S60-C60</f>
        <v/>
      </c>
      <c r="U60" s="306">
        <f>IF(AND(A60&lt;=$B$24, T60&gt;0), T60*$B$23, 0)</f>
        <v/>
      </c>
      <c r="V60" s="306">
        <f>T60-U60</f>
        <v/>
      </c>
      <c r="W60" s="306">
        <f>IF(AND(A60=$B$19, $B$21=1), K60*$B$20, 0)</f>
        <v/>
      </c>
      <c r="X60" s="306">
        <f>X59+V60+W60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SUM(F61:J61)</f>
        <v/>
      </c>
      <c r="L61" s="306">
        <f>K61/12</f>
        <v/>
      </c>
      <c r="M61" s="306">
        <f>L61*$B$8</f>
        <v/>
      </c>
      <c r="N61" s="306">
        <f>L61*$B$9</f>
        <v/>
      </c>
      <c r="O61" s="306">
        <f>L61*$B$10</f>
        <v/>
      </c>
      <c r="P61" s="306">
        <f>L61-M61-N61-O61-D61-E61</f>
        <v/>
      </c>
      <c r="Q61" s="306">
        <f>MAX(0, P61 - $B$7*L61)</f>
        <v/>
      </c>
      <c r="R61" s="306">
        <f>P61-Q61</f>
        <v/>
      </c>
      <c r="S61" s="306">
        <f>IF(A61=$F$6, $B$18*$B$16*$B$17/1000000, 0) + IF(A61=$F$7, $B$18*$B$16*$B$17/1000000, 0) + IF(A61=$F$8, $B$18*$B$16*$B$17/1000000, 0) + IF(A61=$F$9, $B$18*$B$16*$B$17/1000000, 0) + IF(A61=$F$10, $B$18*$B$16*$B$17/1000000, 0)</f>
        <v/>
      </c>
      <c r="T61" s="306">
        <f>R61-S61-C61</f>
        <v/>
      </c>
      <c r="U61" s="306">
        <f>IF(AND(A61&lt;=$B$24, T61&gt;0), T61*$B$23, 0)</f>
        <v/>
      </c>
      <c r="V61" s="306">
        <f>T61-U61</f>
        <v/>
      </c>
      <c r="W61" s="306">
        <f>IF(AND(A61=$B$19, $B$21=1), K61*$B$20, 0)</f>
        <v/>
      </c>
      <c r="X61" s="306">
        <f>X60+V61+W61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SUM(F62:J62)</f>
        <v/>
      </c>
      <c r="L62" s="306">
        <f>K62/12</f>
        <v/>
      </c>
      <c r="M62" s="306">
        <f>L62*$B$8</f>
        <v/>
      </c>
      <c r="N62" s="306">
        <f>L62*$B$9</f>
        <v/>
      </c>
      <c r="O62" s="306">
        <f>L62*$B$10</f>
        <v/>
      </c>
      <c r="P62" s="306">
        <f>L62-M62-N62-O62-D62-E62</f>
        <v/>
      </c>
      <c r="Q62" s="306">
        <f>MAX(0, P62 - $B$7*L62)</f>
        <v/>
      </c>
      <c r="R62" s="306">
        <f>P62-Q62</f>
        <v/>
      </c>
      <c r="S62" s="306">
        <f>IF(A62=$F$6, $B$18*$B$16*$B$17/1000000, 0) + IF(A62=$F$7, $B$18*$B$16*$B$17/1000000, 0) + IF(A62=$F$8, $B$18*$B$16*$B$17/1000000, 0) + IF(A62=$F$9, $B$18*$B$16*$B$17/1000000, 0) + IF(A62=$F$10, $B$18*$B$16*$B$17/1000000, 0)</f>
        <v/>
      </c>
      <c r="T62" s="306">
        <f>R62-S62-C62</f>
        <v/>
      </c>
      <c r="U62" s="306">
        <f>IF(AND(A62&lt;=$B$24, T62&gt;0), T62*$B$23, 0)</f>
        <v/>
      </c>
      <c r="V62" s="306">
        <f>T62-U62</f>
        <v/>
      </c>
      <c r="W62" s="306">
        <f>IF(AND(A62=$B$19, $B$21=1), K62*$B$20, 0)</f>
        <v/>
      </c>
      <c r="X62" s="306">
        <f>X61+V62+W62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SUM(F63:J63)</f>
        <v/>
      </c>
      <c r="L63" s="306">
        <f>K63/12</f>
        <v/>
      </c>
      <c r="M63" s="306">
        <f>L63*$B$8</f>
        <v/>
      </c>
      <c r="N63" s="306">
        <f>L63*$B$9</f>
        <v/>
      </c>
      <c r="O63" s="306">
        <f>L63*$B$10</f>
        <v/>
      </c>
      <c r="P63" s="306">
        <f>L63-M63-N63-O63-D63-E63</f>
        <v/>
      </c>
      <c r="Q63" s="306">
        <f>MAX(0, P63 - $B$7*L63)</f>
        <v/>
      </c>
      <c r="R63" s="306">
        <f>P63-Q63</f>
        <v/>
      </c>
      <c r="S63" s="306">
        <f>IF(A63=$F$6, $B$18*$B$16*$B$17/1000000, 0) + IF(A63=$F$7, $B$18*$B$16*$B$17/1000000, 0) + IF(A63=$F$8, $B$18*$B$16*$B$17/1000000, 0) + IF(A63=$F$9, $B$18*$B$16*$B$17/1000000, 0) + IF(A63=$F$10, $B$18*$B$16*$B$17/1000000, 0)</f>
        <v/>
      </c>
      <c r="T63" s="306">
        <f>R63-S63-C63</f>
        <v/>
      </c>
      <c r="U63" s="306">
        <f>IF(AND(A63&lt;=$B$24, T63&gt;0), T63*$B$23, 0)</f>
        <v/>
      </c>
      <c r="V63" s="306">
        <f>T63-U63</f>
        <v/>
      </c>
      <c r="W63" s="306">
        <f>IF(AND(A63=$B$19, $B$21=1), K63*$B$20, 0)</f>
        <v/>
      </c>
      <c r="X63" s="306">
        <f>X62+V63+W63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SUM(F64:J64)</f>
        <v/>
      </c>
      <c r="L64" s="306">
        <f>K64/12</f>
        <v/>
      </c>
      <c r="M64" s="306">
        <f>L64*$B$8</f>
        <v/>
      </c>
      <c r="N64" s="306">
        <f>L64*$B$9</f>
        <v/>
      </c>
      <c r="O64" s="306">
        <f>L64*$B$10</f>
        <v/>
      </c>
      <c r="P64" s="306">
        <f>L64-M64-N64-O64-D64-E64</f>
        <v/>
      </c>
      <c r="Q64" s="306">
        <f>MAX(0, P64 - $B$7*L64)</f>
        <v/>
      </c>
      <c r="R64" s="306">
        <f>P64-Q64</f>
        <v/>
      </c>
      <c r="S64" s="306">
        <f>IF(A64=$F$6, $B$18*$B$16*$B$17/1000000, 0) + IF(A64=$F$7, $B$18*$B$16*$B$17/1000000, 0) + IF(A64=$F$8, $B$18*$B$16*$B$17/1000000, 0) + IF(A64=$F$9, $B$18*$B$16*$B$17/1000000, 0) + IF(A64=$F$10, $B$18*$B$16*$B$17/1000000, 0)</f>
        <v/>
      </c>
      <c r="T64" s="306">
        <f>R64-S64-C64</f>
        <v/>
      </c>
      <c r="U64" s="306">
        <f>IF(AND(A64&lt;=$B$24, T64&gt;0), T64*$B$23, 0)</f>
        <v/>
      </c>
      <c r="V64" s="306">
        <f>T64-U64</f>
        <v/>
      </c>
      <c r="W64" s="306">
        <f>IF(AND(A64=$B$19, $B$21=1), K64*$B$20, 0)</f>
        <v/>
      </c>
      <c r="X64" s="306">
        <f>X63+V64+W64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SUM(F65:J65)</f>
        <v/>
      </c>
      <c r="L65" s="306">
        <f>K65/12</f>
        <v/>
      </c>
      <c r="M65" s="306">
        <f>L65*$B$8</f>
        <v/>
      </c>
      <c r="N65" s="306">
        <f>L65*$B$9</f>
        <v/>
      </c>
      <c r="O65" s="306">
        <f>L65*$B$10</f>
        <v/>
      </c>
      <c r="P65" s="306">
        <f>L65-M65-N65-O65-D65-E65</f>
        <v/>
      </c>
      <c r="Q65" s="306">
        <f>MAX(0, P65 - $B$7*L65)</f>
        <v/>
      </c>
      <c r="R65" s="306">
        <f>P65-Q65</f>
        <v/>
      </c>
      <c r="S65" s="306">
        <f>IF(A65=$F$6, $B$18*$B$16*$B$17/1000000, 0) + IF(A65=$F$7, $B$18*$B$16*$B$17/1000000, 0) + IF(A65=$F$8, $B$18*$B$16*$B$17/1000000, 0) + IF(A65=$F$9, $B$18*$B$16*$B$17/1000000, 0) + IF(A65=$F$10, $B$18*$B$16*$B$17/1000000, 0)</f>
        <v/>
      </c>
      <c r="T65" s="306">
        <f>R65-S65-C65</f>
        <v/>
      </c>
      <c r="U65" s="306">
        <f>IF(AND(A65&lt;=$B$24, T65&gt;0), T65*$B$23, 0)</f>
        <v/>
      </c>
      <c r="V65" s="306">
        <f>T65-U65</f>
        <v/>
      </c>
      <c r="W65" s="306">
        <f>IF(AND(A65=$B$19, $B$21=1), K65*$B$20, 0)</f>
        <v/>
      </c>
      <c r="X65" s="306">
        <f>X64+V65+W65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SUM(F66:J66)</f>
        <v/>
      </c>
      <c r="L66" s="306">
        <f>K66/12</f>
        <v/>
      </c>
      <c r="M66" s="306">
        <f>L66*$B$8</f>
        <v/>
      </c>
      <c r="N66" s="306">
        <f>L66*$B$9</f>
        <v/>
      </c>
      <c r="O66" s="306">
        <f>L66*$B$10</f>
        <v/>
      </c>
      <c r="P66" s="306">
        <f>L66-M66-N66-O66-D66-E66</f>
        <v/>
      </c>
      <c r="Q66" s="306">
        <f>MAX(0, P66 - $B$7*L66)</f>
        <v/>
      </c>
      <c r="R66" s="306">
        <f>P66-Q66</f>
        <v/>
      </c>
      <c r="S66" s="306">
        <f>IF(A66=$F$6, $B$18*$B$16*$B$17/1000000, 0) + IF(A66=$F$7, $B$18*$B$16*$B$17/1000000, 0) + IF(A66=$F$8, $B$18*$B$16*$B$17/1000000, 0) + IF(A66=$F$9, $B$18*$B$16*$B$17/1000000, 0) + IF(A66=$F$10, $B$18*$B$16*$B$17/1000000, 0)</f>
        <v/>
      </c>
      <c r="T66" s="306">
        <f>R66-S66-C66</f>
        <v/>
      </c>
      <c r="U66" s="306">
        <f>IF(AND(A66&lt;=$B$24, T66&gt;0), T66*$B$23, 0)</f>
        <v/>
      </c>
      <c r="V66" s="306">
        <f>T66-U66</f>
        <v/>
      </c>
      <c r="W66" s="306">
        <f>IF(AND(A66=$B$19, $B$21=1), K66*$B$20, 0)</f>
        <v/>
      </c>
      <c r="X66" s="306">
        <f>X65+V66+W66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SUM(F67:J67)</f>
        <v/>
      </c>
      <c r="L67" s="306">
        <f>K67/12</f>
        <v/>
      </c>
      <c r="M67" s="306">
        <f>L67*$B$8</f>
        <v/>
      </c>
      <c r="N67" s="306">
        <f>L67*$B$9</f>
        <v/>
      </c>
      <c r="O67" s="306">
        <f>L67*$B$10</f>
        <v/>
      </c>
      <c r="P67" s="306">
        <f>L67-M67-N67-O67-D67-E67</f>
        <v/>
      </c>
      <c r="Q67" s="306">
        <f>MAX(0, P67 - $B$7*L67)</f>
        <v/>
      </c>
      <c r="R67" s="306">
        <f>P67-Q67</f>
        <v/>
      </c>
      <c r="S67" s="306">
        <f>IF(A67=$F$6, $B$18*$B$16*$B$17/1000000, 0) + IF(A67=$F$7, $B$18*$B$16*$B$17/1000000, 0) + IF(A67=$F$8, $B$18*$B$16*$B$17/1000000, 0) + IF(A67=$F$9, $B$18*$B$16*$B$17/1000000, 0) + IF(A67=$F$10, $B$18*$B$16*$B$17/1000000, 0)</f>
        <v/>
      </c>
      <c r="T67" s="306">
        <f>R67-S67-C67</f>
        <v/>
      </c>
      <c r="U67" s="306">
        <f>IF(AND(A67&lt;=$B$24, T67&gt;0), T67*$B$23, 0)</f>
        <v/>
      </c>
      <c r="V67" s="306">
        <f>T67-U67</f>
        <v/>
      </c>
      <c r="W67" s="306">
        <f>IF(AND(A67=$B$19, $B$21=1), K67*$B$20, 0)</f>
        <v/>
      </c>
      <c r="X67" s="306">
        <f>X66+V67+W67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SUM(F68:J68)</f>
        <v/>
      </c>
      <c r="L68" s="306">
        <f>K68/12</f>
        <v/>
      </c>
      <c r="M68" s="306">
        <f>L68*$B$8</f>
        <v/>
      </c>
      <c r="N68" s="306">
        <f>L68*$B$9</f>
        <v/>
      </c>
      <c r="O68" s="306">
        <f>L68*$B$10</f>
        <v/>
      </c>
      <c r="P68" s="306">
        <f>L68-M68-N68-O68-D68-E68</f>
        <v/>
      </c>
      <c r="Q68" s="306">
        <f>MAX(0, P68 - $B$7*L68)</f>
        <v/>
      </c>
      <c r="R68" s="306">
        <f>P68-Q68</f>
        <v/>
      </c>
      <c r="S68" s="306">
        <f>IF(A68=$F$6, $B$18*$B$16*$B$17/1000000, 0) + IF(A68=$F$7, $B$18*$B$16*$B$17/1000000, 0) + IF(A68=$F$8, $B$18*$B$16*$B$17/1000000, 0) + IF(A68=$F$9, $B$18*$B$16*$B$17/1000000, 0) + IF(A68=$F$10, $B$18*$B$16*$B$17/1000000, 0)</f>
        <v/>
      </c>
      <c r="T68" s="306">
        <f>R68-S68-C68</f>
        <v/>
      </c>
      <c r="U68" s="306">
        <f>IF(AND(A68&lt;=$B$24, T68&gt;0), T68*$B$23, 0)</f>
        <v/>
      </c>
      <c r="V68" s="306">
        <f>T68-U68</f>
        <v/>
      </c>
      <c r="W68" s="306">
        <f>IF(AND(A68=$B$19, $B$21=1), K68*$B$20, 0)</f>
        <v/>
      </c>
      <c r="X68" s="306">
        <f>X67+V68+W68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SUM(F69:J69)</f>
        <v/>
      </c>
      <c r="L69" s="306">
        <f>K69/12</f>
        <v/>
      </c>
      <c r="M69" s="306">
        <f>L69*$B$8</f>
        <v/>
      </c>
      <c r="N69" s="306">
        <f>L69*$B$9</f>
        <v/>
      </c>
      <c r="O69" s="306">
        <f>L69*$B$10</f>
        <v/>
      </c>
      <c r="P69" s="306">
        <f>L69-M69-N69-O69-D69-E69</f>
        <v/>
      </c>
      <c r="Q69" s="306">
        <f>MAX(0, P69 - $B$7*L69)</f>
        <v/>
      </c>
      <c r="R69" s="306">
        <f>P69-Q69</f>
        <v/>
      </c>
      <c r="S69" s="306">
        <f>IF(A69=$F$6, $B$18*$B$16*$B$17/1000000, 0) + IF(A69=$F$7, $B$18*$B$16*$B$17/1000000, 0) + IF(A69=$F$8, $B$18*$B$16*$B$17/1000000, 0) + IF(A69=$F$9, $B$18*$B$16*$B$17/1000000, 0) + IF(A69=$F$10, $B$18*$B$16*$B$17/1000000, 0)</f>
        <v/>
      </c>
      <c r="T69" s="306">
        <f>R69-S69-C69</f>
        <v/>
      </c>
      <c r="U69" s="306">
        <f>IF(AND(A69&lt;=$B$24, T69&gt;0), T69*$B$23, 0)</f>
        <v/>
      </c>
      <c r="V69" s="306">
        <f>T69-U69</f>
        <v/>
      </c>
      <c r="W69" s="306">
        <f>IF(AND(A69=$B$19, $B$21=1), K69*$B$20, 0)</f>
        <v/>
      </c>
      <c r="X69" s="306">
        <f>X68+V69+W69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SUM(F70:J70)</f>
        <v/>
      </c>
      <c r="L70" s="306">
        <f>K70/12</f>
        <v/>
      </c>
      <c r="M70" s="306">
        <f>L70*$B$8</f>
        <v/>
      </c>
      <c r="N70" s="306">
        <f>L70*$B$9</f>
        <v/>
      </c>
      <c r="O70" s="306">
        <f>L70*$B$10</f>
        <v/>
      </c>
      <c r="P70" s="306">
        <f>L70-M70-N70-O70-D70-E70</f>
        <v/>
      </c>
      <c r="Q70" s="306">
        <f>MAX(0, P70 - $B$7*L70)</f>
        <v/>
      </c>
      <c r="R70" s="306">
        <f>P70-Q70</f>
        <v/>
      </c>
      <c r="S70" s="306">
        <f>IF(A70=$F$6, $B$18*$B$16*$B$17/1000000, 0) + IF(A70=$F$7, $B$18*$B$16*$B$17/1000000, 0) + IF(A70=$F$8, $B$18*$B$16*$B$17/1000000, 0) + IF(A70=$F$9, $B$18*$B$16*$B$17/1000000, 0) + IF(A70=$F$10, $B$18*$B$16*$B$17/1000000, 0)</f>
        <v/>
      </c>
      <c r="T70" s="306">
        <f>R70-S70-C70</f>
        <v/>
      </c>
      <c r="U70" s="306">
        <f>IF(AND(A70&lt;=$B$24, T70&gt;0), T70*$B$23, 0)</f>
        <v/>
      </c>
      <c r="V70" s="306">
        <f>T70-U70</f>
        <v/>
      </c>
      <c r="W70" s="306">
        <f>IF(AND(A70=$B$19, $B$21=1), K70*$B$20, 0)</f>
        <v/>
      </c>
      <c r="X70" s="306">
        <f>X69+V70+W70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SUM(F71:J71)</f>
        <v/>
      </c>
      <c r="L71" s="306">
        <f>K71/12</f>
        <v/>
      </c>
      <c r="M71" s="306">
        <f>L71*$B$8</f>
        <v/>
      </c>
      <c r="N71" s="306">
        <f>L71*$B$9</f>
        <v/>
      </c>
      <c r="O71" s="306">
        <f>L71*$B$10</f>
        <v/>
      </c>
      <c r="P71" s="306">
        <f>L71-M71-N71-O71-D71-E71</f>
        <v/>
      </c>
      <c r="Q71" s="306">
        <f>MAX(0, P71 - $B$7*L71)</f>
        <v/>
      </c>
      <c r="R71" s="306">
        <f>P71-Q71</f>
        <v/>
      </c>
      <c r="S71" s="306">
        <f>IF(A71=$F$6, $B$18*$B$16*$B$17/1000000, 0) + IF(A71=$F$7, $B$18*$B$16*$B$17/1000000, 0) + IF(A71=$F$8, $B$18*$B$16*$B$17/1000000, 0) + IF(A71=$F$9, $B$18*$B$16*$B$17/1000000, 0) + IF(A71=$F$10, $B$18*$B$16*$B$17/1000000, 0)</f>
        <v/>
      </c>
      <c r="T71" s="306">
        <f>R71-S71-C71</f>
        <v/>
      </c>
      <c r="U71" s="306">
        <f>IF(AND(A71&lt;=$B$24, T71&gt;0), T71*$B$23, 0)</f>
        <v/>
      </c>
      <c r="V71" s="306">
        <f>T71-U71</f>
        <v/>
      </c>
      <c r="W71" s="306">
        <f>IF(AND(A71=$B$19, $B$21=1), K71*$B$20, 0)</f>
        <v/>
      </c>
      <c r="X71" s="306">
        <f>X70+V71+W71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SUM(F72:J72)</f>
        <v/>
      </c>
      <c r="L72" s="306">
        <f>K72/12</f>
        <v/>
      </c>
      <c r="M72" s="306">
        <f>L72*$B$8</f>
        <v/>
      </c>
      <c r="N72" s="306">
        <f>L72*$B$9</f>
        <v/>
      </c>
      <c r="O72" s="306">
        <f>L72*$B$10</f>
        <v/>
      </c>
      <c r="P72" s="306">
        <f>L72-M72-N72-O72-D72-E72</f>
        <v/>
      </c>
      <c r="Q72" s="306">
        <f>MAX(0, P72 - $B$7*L72)</f>
        <v/>
      </c>
      <c r="R72" s="306">
        <f>P72-Q72</f>
        <v/>
      </c>
      <c r="S72" s="306">
        <f>IF(A72=$F$6, $B$18*$B$16*$B$17/1000000, 0) + IF(A72=$F$7, $B$18*$B$16*$B$17/1000000, 0) + IF(A72=$F$8, $B$18*$B$16*$B$17/1000000, 0) + IF(A72=$F$9, $B$18*$B$16*$B$17/1000000, 0) + IF(A72=$F$10, $B$18*$B$16*$B$17/1000000, 0)</f>
        <v/>
      </c>
      <c r="T72" s="306">
        <f>R72-S72-C72</f>
        <v/>
      </c>
      <c r="U72" s="306">
        <f>IF(AND(A72&lt;=$B$24, T72&gt;0), T72*$B$23, 0)</f>
        <v/>
      </c>
      <c r="V72" s="306">
        <f>T72-U72</f>
        <v/>
      </c>
      <c r="W72" s="306">
        <f>IF(AND(A72=$B$19, $B$21=1), K72*$B$20, 0)</f>
        <v/>
      </c>
      <c r="X72" s="306">
        <f>X71+V72+W72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SUM(F73:J73)</f>
        <v/>
      </c>
      <c r="L73" s="306">
        <f>K73/12</f>
        <v/>
      </c>
      <c r="M73" s="306">
        <f>L73*$B$8</f>
        <v/>
      </c>
      <c r="N73" s="306">
        <f>L73*$B$9</f>
        <v/>
      </c>
      <c r="O73" s="306">
        <f>L73*$B$10</f>
        <v/>
      </c>
      <c r="P73" s="306">
        <f>L73-M73-N73-O73-D73-E73</f>
        <v/>
      </c>
      <c r="Q73" s="306">
        <f>MAX(0, P73 - $B$7*L73)</f>
        <v/>
      </c>
      <c r="R73" s="306">
        <f>P73-Q73</f>
        <v/>
      </c>
      <c r="S73" s="306">
        <f>IF(A73=$F$6, $B$18*$B$16*$B$17/1000000, 0) + IF(A73=$F$7, $B$18*$B$16*$B$17/1000000, 0) + IF(A73=$F$8, $B$18*$B$16*$B$17/1000000, 0) + IF(A73=$F$9, $B$18*$B$16*$B$17/1000000, 0) + IF(A73=$F$10, $B$18*$B$16*$B$17/1000000, 0)</f>
        <v/>
      </c>
      <c r="T73" s="306">
        <f>R73-S73-C73</f>
        <v/>
      </c>
      <c r="U73" s="306">
        <f>IF(AND(A73&lt;=$B$24, T73&gt;0), T73*$B$23, 0)</f>
        <v/>
      </c>
      <c r="V73" s="306">
        <f>T73-U73</f>
        <v/>
      </c>
      <c r="W73" s="306">
        <f>IF(AND(A73=$B$19, $B$21=1), K73*$B$20, 0)</f>
        <v/>
      </c>
      <c r="X73" s="306">
        <f>X72+V73+W73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SUM(F74:J74)</f>
        <v/>
      </c>
      <c r="L74" s="306">
        <f>K74/12</f>
        <v/>
      </c>
      <c r="M74" s="306">
        <f>L74*$B$8</f>
        <v/>
      </c>
      <c r="N74" s="306">
        <f>L74*$B$9</f>
        <v/>
      </c>
      <c r="O74" s="306">
        <f>L74*$B$10</f>
        <v/>
      </c>
      <c r="P74" s="306">
        <f>L74-M74-N74-O74-D74-E74</f>
        <v/>
      </c>
      <c r="Q74" s="306">
        <f>MAX(0, P74 - $B$7*L74)</f>
        <v/>
      </c>
      <c r="R74" s="306">
        <f>P74-Q74</f>
        <v/>
      </c>
      <c r="S74" s="306">
        <f>IF(A74=$F$6, $B$18*$B$16*$B$17/1000000, 0) + IF(A74=$F$7, $B$18*$B$16*$B$17/1000000, 0) + IF(A74=$F$8, $B$18*$B$16*$B$17/1000000, 0) + IF(A74=$F$9, $B$18*$B$16*$B$17/1000000, 0) + IF(A74=$F$10, $B$18*$B$16*$B$17/1000000, 0)</f>
        <v/>
      </c>
      <c r="T74" s="306">
        <f>R74-S74-C74</f>
        <v/>
      </c>
      <c r="U74" s="306">
        <f>IF(AND(A74&lt;=$B$24, T74&gt;0), T74*$B$23, 0)</f>
        <v/>
      </c>
      <c r="V74" s="306">
        <f>T74-U74</f>
        <v/>
      </c>
      <c r="W74" s="306">
        <f>IF(AND(A74=$B$19, $B$21=1), K74*$B$20, 0)</f>
        <v/>
      </c>
      <c r="X74" s="306">
        <f>X73+V74+W74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SUM(F75:J75)</f>
        <v/>
      </c>
      <c r="L75" s="306">
        <f>K75/12</f>
        <v/>
      </c>
      <c r="M75" s="306">
        <f>L75*$B$8</f>
        <v/>
      </c>
      <c r="N75" s="306">
        <f>L75*$B$9</f>
        <v/>
      </c>
      <c r="O75" s="306">
        <f>L75*$B$10</f>
        <v/>
      </c>
      <c r="P75" s="306">
        <f>L75-M75-N75-O75-D75-E75</f>
        <v/>
      </c>
      <c r="Q75" s="306">
        <f>MAX(0, P75 - $B$7*L75)</f>
        <v/>
      </c>
      <c r="R75" s="306">
        <f>P75-Q75</f>
        <v/>
      </c>
      <c r="S75" s="306">
        <f>IF(A75=$F$6, $B$18*$B$16*$B$17/1000000, 0) + IF(A75=$F$7, $B$18*$B$16*$B$17/1000000, 0) + IF(A75=$F$8, $B$18*$B$16*$B$17/1000000, 0) + IF(A75=$F$9, $B$18*$B$16*$B$17/1000000, 0) + IF(A75=$F$10, $B$18*$B$16*$B$17/1000000, 0)</f>
        <v/>
      </c>
      <c r="T75" s="306">
        <f>R75-S75-C75</f>
        <v/>
      </c>
      <c r="U75" s="306">
        <f>IF(AND(A75&lt;=$B$24, T75&gt;0), T75*$B$23, 0)</f>
        <v/>
      </c>
      <c r="V75" s="306">
        <f>T75-U75</f>
        <v/>
      </c>
      <c r="W75" s="306">
        <f>IF(AND(A75=$B$19, $B$21=1), K75*$B$20, 0)</f>
        <v/>
      </c>
      <c r="X75" s="306">
        <f>X74+V75+W75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SUM(F76:J76)</f>
        <v/>
      </c>
      <c r="L76" s="306">
        <f>K76/12</f>
        <v/>
      </c>
      <c r="M76" s="306">
        <f>L76*$B$8</f>
        <v/>
      </c>
      <c r="N76" s="306">
        <f>L76*$B$9</f>
        <v/>
      </c>
      <c r="O76" s="306">
        <f>L76*$B$10</f>
        <v/>
      </c>
      <c r="P76" s="306">
        <f>L76-M76-N76-O76-D76-E76</f>
        <v/>
      </c>
      <c r="Q76" s="306">
        <f>MAX(0, P76 - $B$7*L76)</f>
        <v/>
      </c>
      <c r="R76" s="306">
        <f>P76-Q76</f>
        <v/>
      </c>
      <c r="S76" s="306">
        <f>IF(A76=$F$6, $B$18*$B$16*$B$17/1000000, 0) + IF(A76=$F$7, $B$18*$B$16*$B$17/1000000, 0) + IF(A76=$F$8, $B$18*$B$16*$B$17/1000000, 0) + IF(A76=$F$9, $B$18*$B$16*$B$17/1000000, 0) + IF(A76=$F$10, $B$18*$B$16*$B$17/1000000, 0)</f>
        <v/>
      </c>
      <c r="T76" s="306">
        <f>R76-S76-C76</f>
        <v/>
      </c>
      <c r="U76" s="306">
        <f>IF(AND(A76&lt;=$B$24, T76&gt;0), T76*$B$23, 0)</f>
        <v/>
      </c>
      <c r="V76" s="306">
        <f>T76-U76</f>
        <v/>
      </c>
      <c r="W76" s="306">
        <f>IF(AND(A76=$B$19, $B$21=1), K76*$B$20, 0)</f>
        <v/>
      </c>
      <c r="X76" s="306">
        <f>X75+V76+W76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SUM(F77:J77)</f>
        <v/>
      </c>
      <c r="L77" s="306">
        <f>K77/12</f>
        <v/>
      </c>
      <c r="M77" s="306">
        <f>L77*$B$8</f>
        <v/>
      </c>
      <c r="N77" s="306">
        <f>L77*$B$9</f>
        <v/>
      </c>
      <c r="O77" s="306">
        <f>L77*$B$10</f>
        <v/>
      </c>
      <c r="P77" s="306">
        <f>L77-M77-N77-O77-D77-E77</f>
        <v/>
      </c>
      <c r="Q77" s="306">
        <f>MAX(0, P77 - $B$7*L77)</f>
        <v/>
      </c>
      <c r="R77" s="306">
        <f>P77-Q77</f>
        <v/>
      </c>
      <c r="S77" s="306">
        <f>IF(A77=$F$6, $B$18*$B$16*$B$17/1000000, 0) + IF(A77=$F$7, $B$18*$B$16*$B$17/1000000, 0) + IF(A77=$F$8, $B$18*$B$16*$B$17/1000000, 0) + IF(A77=$F$9, $B$18*$B$16*$B$17/1000000, 0) + IF(A77=$F$10, $B$18*$B$16*$B$17/1000000, 0)</f>
        <v/>
      </c>
      <c r="T77" s="306">
        <f>R77-S77-C77</f>
        <v/>
      </c>
      <c r="U77" s="306">
        <f>IF(AND(A77&lt;=$B$24, T77&gt;0), T77*$B$23, 0)</f>
        <v/>
      </c>
      <c r="V77" s="306">
        <f>T77-U77</f>
        <v/>
      </c>
      <c r="W77" s="306">
        <f>IF(AND(A77=$B$19, $B$21=1), K77*$B$20, 0)</f>
        <v/>
      </c>
      <c r="X77" s="306">
        <f>X76+V77+W77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SUM(F78:J78)</f>
        <v/>
      </c>
      <c r="L78" s="306">
        <f>K78/12</f>
        <v/>
      </c>
      <c r="M78" s="306">
        <f>L78*$B$8</f>
        <v/>
      </c>
      <c r="N78" s="306">
        <f>L78*$B$9</f>
        <v/>
      </c>
      <c r="O78" s="306">
        <f>L78*$B$10</f>
        <v/>
      </c>
      <c r="P78" s="306">
        <f>L78-M78-N78-O78-D78-E78</f>
        <v/>
      </c>
      <c r="Q78" s="306">
        <f>MAX(0, P78 - $B$7*L78)</f>
        <v/>
      </c>
      <c r="R78" s="306">
        <f>P78-Q78</f>
        <v/>
      </c>
      <c r="S78" s="306">
        <f>IF(A78=$F$6, $B$18*$B$16*$B$17/1000000, 0) + IF(A78=$F$7, $B$18*$B$16*$B$17/1000000, 0) + IF(A78=$F$8, $B$18*$B$16*$B$17/1000000, 0) + IF(A78=$F$9, $B$18*$B$16*$B$17/1000000, 0) + IF(A78=$F$10, $B$18*$B$16*$B$17/1000000, 0)</f>
        <v/>
      </c>
      <c r="T78" s="306">
        <f>R78-S78-C78</f>
        <v/>
      </c>
      <c r="U78" s="306">
        <f>IF(AND(A78&lt;=$B$24, T78&gt;0), T78*$B$23, 0)</f>
        <v/>
      </c>
      <c r="V78" s="306">
        <f>T78-U78</f>
        <v/>
      </c>
      <c r="W78" s="306">
        <f>IF(AND(A78=$B$19, $B$21=1), K78*$B$20, 0)</f>
        <v/>
      </c>
      <c r="X78" s="306">
        <f>X77+V78+W78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SUM(F79:J79)</f>
        <v/>
      </c>
      <c r="L79" s="306">
        <f>K79/12</f>
        <v/>
      </c>
      <c r="M79" s="306">
        <f>L79*$B$8</f>
        <v/>
      </c>
      <c r="N79" s="306">
        <f>L79*$B$9</f>
        <v/>
      </c>
      <c r="O79" s="306">
        <f>L79*$B$10</f>
        <v/>
      </c>
      <c r="P79" s="306">
        <f>L79-M79-N79-O79-D79-E79</f>
        <v/>
      </c>
      <c r="Q79" s="306">
        <f>MAX(0, P79 - $B$7*L79)</f>
        <v/>
      </c>
      <c r="R79" s="306">
        <f>P79-Q79</f>
        <v/>
      </c>
      <c r="S79" s="306">
        <f>IF(A79=$F$6, $B$18*$B$16*$B$17/1000000, 0) + IF(A79=$F$7, $B$18*$B$16*$B$17/1000000, 0) + IF(A79=$F$8, $B$18*$B$16*$B$17/1000000, 0) + IF(A79=$F$9, $B$18*$B$16*$B$17/1000000, 0) + IF(A79=$F$10, $B$18*$B$16*$B$17/1000000, 0)</f>
        <v/>
      </c>
      <c r="T79" s="306">
        <f>R79-S79-C79</f>
        <v/>
      </c>
      <c r="U79" s="306">
        <f>IF(AND(A79&lt;=$B$24, T79&gt;0), T79*$B$23, 0)</f>
        <v/>
      </c>
      <c r="V79" s="306">
        <f>T79-U79</f>
        <v/>
      </c>
      <c r="W79" s="306">
        <f>IF(AND(A79=$B$19, $B$21=1), K79*$B$20, 0)</f>
        <v/>
      </c>
      <c r="X79" s="306">
        <f>X78+V79+W79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SUM(F80:J80)</f>
        <v/>
      </c>
      <c r="L80" s="306">
        <f>K80/12</f>
        <v/>
      </c>
      <c r="M80" s="306">
        <f>L80*$B$8</f>
        <v/>
      </c>
      <c r="N80" s="306">
        <f>L80*$B$9</f>
        <v/>
      </c>
      <c r="O80" s="306">
        <f>L80*$B$10</f>
        <v/>
      </c>
      <c r="P80" s="306">
        <f>L80-M80-N80-O80-D80-E80</f>
        <v/>
      </c>
      <c r="Q80" s="306">
        <f>MAX(0, P80 - $B$7*L80)</f>
        <v/>
      </c>
      <c r="R80" s="306">
        <f>P80-Q80</f>
        <v/>
      </c>
      <c r="S80" s="306">
        <f>IF(A80=$F$6, $B$18*$B$16*$B$17/1000000, 0) + IF(A80=$F$7, $B$18*$B$16*$B$17/1000000, 0) + IF(A80=$F$8, $B$18*$B$16*$B$17/1000000, 0) + IF(A80=$F$9, $B$18*$B$16*$B$17/1000000, 0) + IF(A80=$F$10, $B$18*$B$16*$B$17/1000000, 0)</f>
        <v/>
      </c>
      <c r="T80" s="306">
        <f>R80-S80-C80</f>
        <v/>
      </c>
      <c r="U80" s="306">
        <f>IF(AND(A80&lt;=$B$24, T80&gt;0), T80*$B$23, 0)</f>
        <v/>
      </c>
      <c r="V80" s="306">
        <f>T80-U80</f>
        <v/>
      </c>
      <c r="W80" s="306">
        <f>IF(AND(A80=$B$19, $B$21=1), K80*$B$20, 0)</f>
        <v/>
      </c>
      <c r="X80" s="306">
        <f>X79+V80+W80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SUM(F81:J81)</f>
        <v/>
      </c>
      <c r="L81" s="306">
        <f>K81/12</f>
        <v/>
      </c>
      <c r="M81" s="306">
        <f>L81*$B$8</f>
        <v/>
      </c>
      <c r="N81" s="306">
        <f>L81*$B$9</f>
        <v/>
      </c>
      <c r="O81" s="306">
        <f>L81*$B$10</f>
        <v/>
      </c>
      <c r="P81" s="306">
        <f>L81-M81-N81-O81-D81-E81</f>
        <v/>
      </c>
      <c r="Q81" s="306">
        <f>MAX(0, P81 - $B$7*L81)</f>
        <v/>
      </c>
      <c r="R81" s="306">
        <f>P81-Q81</f>
        <v/>
      </c>
      <c r="S81" s="306">
        <f>IF(A81=$F$6, $B$18*$B$16*$B$17/1000000, 0) + IF(A81=$F$7, $B$18*$B$16*$B$17/1000000, 0) + IF(A81=$F$8, $B$18*$B$16*$B$17/1000000, 0) + IF(A81=$F$9, $B$18*$B$16*$B$17/1000000, 0) + IF(A81=$F$10, $B$18*$B$16*$B$17/1000000, 0)</f>
        <v/>
      </c>
      <c r="T81" s="306">
        <f>R81-S81-C81</f>
        <v/>
      </c>
      <c r="U81" s="306">
        <f>IF(AND(A81&lt;=$B$24, T81&gt;0), T81*$B$23, 0)</f>
        <v/>
      </c>
      <c r="V81" s="306">
        <f>T81-U81</f>
        <v/>
      </c>
      <c r="W81" s="306">
        <f>IF(AND(A81=$B$19, $B$21=1), K81*$B$20, 0)</f>
        <v/>
      </c>
      <c r="X81" s="306">
        <f>X80+V81+W81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SUM(F82:J82)</f>
        <v/>
      </c>
      <c r="L82" s="306">
        <f>K82/12</f>
        <v/>
      </c>
      <c r="M82" s="306">
        <f>L82*$B$8</f>
        <v/>
      </c>
      <c r="N82" s="306">
        <f>L82*$B$9</f>
        <v/>
      </c>
      <c r="O82" s="306">
        <f>L82*$B$10</f>
        <v/>
      </c>
      <c r="P82" s="306">
        <f>L82-M82-N82-O82-D82-E82</f>
        <v/>
      </c>
      <c r="Q82" s="306">
        <f>MAX(0, P82 - $B$7*L82)</f>
        <v/>
      </c>
      <c r="R82" s="306">
        <f>P82-Q82</f>
        <v/>
      </c>
      <c r="S82" s="306">
        <f>IF(A82=$F$6, $B$18*$B$16*$B$17/1000000, 0) + IF(A82=$F$7, $B$18*$B$16*$B$17/1000000, 0) + IF(A82=$F$8, $B$18*$B$16*$B$17/1000000, 0) + IF(A82=$F$9, $B$18*$B$16*$B$17/1000000, 0) + IF(A82=$F$10, $B$18*$B$16*$B$17/1000000, 0)</f>
        <v/>
      </c>
      <c r="T82" s="306">
        <f>R82-S82-C82</f>
        <v/>
      </c>
      <c r="U82" s="306">
        <f>IF(AND(A82&lt;=$B$24, T82&gt;0), T82*$B$23, 0)</f>
        <v/>
      </c>
      <c r="V82" s="306">
        <f>T82-U82</f>
        <v/>
      </c>
      <c r="W82" s="306">
        <f>IF(AND(A82=$B$19, $B$21=1), K82*$B$20, 0)</f>
        <v/>
      </c>
      <c r="X82" s="306">
        <f>X81+V82+W82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SUM(F83:J83)</f>
        <v/>
      </c>
      <c r="L83" s="306">
        <f>K83/12</f>
        <v/>
      </c>
      <c r="M83" s="306">
        <f>L83*$B$8</f>
        <v/>
      </c>
      <c r="N83" s="306">
        <f>L83*$B$9</f>
        <v/>
      </c>
      <c r="O83" s="306">
        <f>L83*$B$10</f>
        <v/>
      </c>
      <c r="P83" s="306">
        <f>L83-M83-N83-O83-D83-E83</f>
        <v/>
      </c>
      <c r="Q83" s="306">
        <f>MAX(0, P83 - $B$7*L83)</f>
        <v/>
      </c>
      <c r="R83" s="306">
        <f>P83-Q83</f>
        <v/>
      </c>
      <c r="S83" s="306">
        <f>IF(A83=$F$6, $B$18*$B$16*$B$17/1000000, 0) + IF(A83=$F$7, $B$18*$B$16*$B$17/1000000, 0) + IF(A83=$F$8, $B$18*$B$16*$B$17/1000000, 0) + IF(A83=$F$9, $B$18*$B$16*$B$17/1000000, 0) + IF(A83=$F$10, $B$18*$B$16*$B$17/1000000, 0)</f>
        <v/>
      </c>
      <c r="T83" s="306">
        <f>R83-S83-C83</f>
        <v/>
      </c>
      <c r="U83" s="306">
        <f>IF(AND(A83&lt;=$B$24, T83&gt;0), T83*$B$23, 0)</f>
        <v/>
      </c>
      <c r="V83" s="306">
        <f>T83-U83</f>
        <v/>
      </c>
      <c r="W83" s="306">
        <f>IF(AND(A83=$B$19, $B$21=1), K83*$B$20, 0)</f>
        <v/>
      </c>
      <c r="X83" s="306">
        <f>X82+V83+W83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SUM(F84:J84)</f>
        <v/>
      </c>
      <c r="L84" s="306">
        <f>K84/12</f>
        <v/>
      </c>
      <c r="M84" s="306">
        <f>L84*$B$8</f>
        <v/>
      </c>
      <c r="N84" s="306">
        <f>L84*$B$9</f>
        <v/>
      </c>
      <c r="O84" s="306">
        <f>L84*$B$10</f>
        <v/>
      </c>
      <c r="P84" s="306">
        <f>L84-M84-N84-O84-D84-E84</f>
        <v/>
      </c>
      <c r="Q84" s="306">
        <f>MAX(0, P84 - $B$7*L84)</f>
        <v/>
      </c>
      <c r="R84" s="306">
        <f>P84-Q84</f>
        <v/>
      </c>
      <c r="S84" s="306">
        <f>IF(A84=$F$6, $B$18*$B$16*$B$17/1000000, 0) + IF(A84=$F$7, $B$18*$B$16*$B$17/1000000, 0) + IF(A84=$F$8, $B$18*$B$16*$B$17/1000000, 0) + IF(A84=$F$9, $B$18*$B$16*$B$17/1000000, 0) + IF(A84=$F$10, $B$18*$B$16*$B$17/1000000, 0)</f>
        <v/>
      </c>
      <c r="T84" s="306">
        <f>R84-S84-C84</f>
        <v/>
      </c>
      <c r="U84" s="306">
        <f>IF(AND(A84&lt;=$B$24, T84&gt;0), T84*$B$23, 0)</f>
        <v/>
      </c>
      <c r="V84" s="306">
        <f>T84-U84</f>
        <v/>
      </c>
      <c r="W84" s="306">
        <f>IF(AND(A84=$B$19, $B$21=1), K84*$B$20, 0)</f>
        <v/>
      </c>
      <c r="X84" s="306">
        <f>X83+V84+W84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SUM(F85:J85)</f>
        <v/>
      </c>
      <c r="L85" s="306">
        <f>K85/12</f>
        <v/>
      </c>
      <c r="M85" s="306">
        <f>L85*$B$8</f>
        <v/>
      </c>
      <c r="N85" s="306">
        <f>L85*$B$9</f>
        <v/>
      </c>
      <c r="O85" s="306">
        <f>L85*$B$10</f>
        <v/>
      </c>
      <c r="P85" s="306">
        <f>L85-M85-N85-O85-D85-E85</f>
        <v/>
      </c>
      <c r="Q85" s="306">
        <f>MAX(0, P85 - $B$7*L85)</f>
        <v/>
      </c>
      <c r="R85" s="306">
        <f>P85-Q85</f>
        <v/>
      </c>
      <c r="S85" s="306">
        <f>IF(A85=$F$6, $B$18*$B$16*$B$17/1000000, 0) + IF(A85=$F$7, $B$18*$B$16*$B$17/1000000, 0) + IF(A85=$F$8, $B$18*$B$16*$B$17/1000000, 0) + IF(A85=$F$9, $B$18*$B$16*$B$17/1000000, 0) + IF(A85=$F$10, $B$18*$B$16*$B$17/1000000, 0)</f>
        <v/>
      </c>
      <c r="T85" s="306">
        <f>R85-S85-C85</f>
        <v/>
      </c>
      <c r="U85" s="306">
        <f>IF(AND(A85&lt;=$B$24, T85&gt;0), T85*$B$23, 0)</f>
        <v/>
      </c>
      <c r="V85" s="306">
        <f>T85-U85</f>
        <v/>
      </c>
      <c r="W85" s="306">
        <f>IF(AND(A85=$B$19, $B$21=1), K85*$B$20, 0)</f>
        <v/>
      </c>
      <c r="X85" s="306">
        <f>X84+V85+W85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SUM(F86:J86)</f>
        <v/>
      </c>
      <c r="L86" s="306">
        <f>K86/12</f>
        <v/>
      </c>
      <c r="M86" s="306">
        <f>L86*$B$8</f>
        <v/>
      </c>
      <c r="N86" s="306">
        <f>L86*$B$9</f>
        <v/>
      </c>
      <c r="O86" s="306">
        <f>L86*$B$10</f>
        <v/>
      </c>
      <c r="P86" s="306">
        <f>L86-M86-N86-O86-D86-E86</f>
        <v/>
      </c>
      <c r="Q86" s="306">
        <f>MAX(0, P86 - $B$7*L86)</f>
        <v/>
      </c>
      <c r="R86" s="306">
        <f>P86-Q86</f>
        <v/>
      </c>
      <c r="S86" s="306">
        <f>IF(A86=$F$6, $B$18*$B$16*$B$17/1000000, 0) + IF(A86=$F$7, $B$18*$B$16*$B$17/1000000, 0) + IF(A86=$F$8, $B$18*$B$16*$B$17/1000000, 0) + IF(A86=$F$9, $B$18*$B$16*$B$17/1000000, 0) + IF(A86=$F$10, $B$18*$B$16*$B$17/1000000, 0)</f>
        <v/>
      </c>
      <c r="T86" s="306">
        <f>R86-S86-C86</f>
        <v/>
      </c>
      <c r="U86" s="306">
        <f>IF(AND(A86&lt;=$B$24, T86&gt;0), T86*$B$23, 0)</f>
        <v/>
      </c>
      <c r="V86" s="306">
        <f>T86-U86</f>
        <v/>
      </c>
      <c r="W86" s="306">
        <f>IF(AND(A86=$B$19, $B$21=1), K86*$B$20, 0)</f>
        <v/>
      </c>
      <c r="X86" s="306">
        <f>X85+V86+W86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SUM(F87:J87)</f>
        <v/>
      </c>
      <c r="L87" s="306">
        <f>K87/12</f>
        <v/>
      </c>
      <c r="M87" s="306">
        <f>L87*$B$8</f>
        <v/>
      </c>
      <c r="N87" s="306">
        <f>L87*$B$9</f>
        <v/>
      </c>
      <c r="O87" s="306">
        <f>L87*$B$10</f>
        <v/>
      </c>
      <c r="P87" s="306">
        <f>L87-M87-N87-O87-D87-E87</f>
        <v/>
      </c>
      <c r="Q87" s="306">
        <f>MAX(0, P87 - $B$7*L87)</f>
        <v/>
      </c>
      <c r="R87" s="306">
        <f>P87-Q87</f>
        <v/>
      </c>
      <c r="S87" s="306">
        <f>IF(A87=$F$6, $B$18*$B$16*$B$17/1000000, 0) + IF(A87=$F$7, $B$18*$B$16*$B$17/1000000, 0) + IF(A87=$F$8, $B$18*$B$16*$B$17/1000000, 0) + IF(A87=$F$9, $B$18*$B$16*$B$17/1000000, 0) + IF(A87=$F$10, $B$18*$B$16*$B$17/1000000, 0)</f>
        <v/>
      </c>
      <c r="T87" s="306">
        <f>R87-S87-C87</f>
        <v/>
      </c>
      <c r="U87" s="306">
        <f>IF(AND(A87&lt;=$B$24, T87&gt;0), T87*$B$23, 0)</f>
        <v/>
      </c>
      <c r="V87" s="306">
        <f>T87-U87</f>
        <v/>
      </c>
      <c r="W87" s="306">
        <f>IF(AND(A87=$B$19, $B$21=1), K87*$B$20, 0)</f>
        <v/>
      </c>
      <c r="X87" s="306">
        <f>X86+V87+W87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SUM(F88:J88)</f>
        <v/>
      </c>
      <c r="L88" s="306">
        <f>K88/12</f>
        <v/>
      </c>
      <c r="M88" s="306">
        <f>L88*$B$8</f>
        <v/>
      </c>
      <c r="N88" s="306">
        <f>L88*$B$9</f>
        <v/>
      </c>
      <c r="O88" s="306">
        <f>L88*$B$10</f>
        <v/>
      </c>
      <c r="P88" s="306">
        <f>L88-M88-N88-O88-D88-E88</f>
        <v/>
      </c>
      <c r="Q88" s="306">
        <f>MAX(0, P88 - $B$7*L88)</f>
        <v/>
      </c>
      <c r="R88" s="306">
        <f>P88-Q88</f>
        <v/>
      </c>
      <c r="S88" s="306">
        <f>IF(A88=$F$6, $B$18*$B$16*$B$17/1000000, 0) + IF(A88=$F$7, $B$18*$B$16*$B$17/1000000, 0) + IF(A88=$F$8, $B$18*$B$16*$B$17/1000000, 0) + IF(A88=$F$9, $B$18*$B$16*$B$17/1000000, 0) + IF(A88=$F$10, $B$18*$B$16*$B$17/1000000, 0)</f>
        <v/>
      </c>
      <c r="T88" s="306">
        <f>R88-S88-C88</f>
        <v/>
      </c>
      <c r="U88" s="306">
        <f>IF(AND(A88&lt;=$B$24, T88&gt;0), T88*$B$23, 0)</f>
        <v/>
      </c>
      <c r="V88" s="306">
        <f>T88-U88</f>
        <v/>
      </c>
      <c r="W88" s="306">
        <f>IF(AND(A88=$B$19, $B$21=1), K88*$B$20, 0)</f>
        <v/>
      </c>
      <c r="X88" s="306">
        <f>X87+V88+W88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SUM(F89:J89)</f>
        <v/>
      </c>
      <c r="L89" s="306">
        <f>K89/12</f>
        <v/>
      </c>
      <c r="M89" s="306">
        <f>L89*$B$8</f>
        <v/>
      </c>
      <c r="N89" s="306">
        <f>L89*$B$9</f>
        <v/>
      </c>
      <c r="O89" s="306">
        <f>L89*$B$10</f>
        <v/>
      </c>
      <c r="P89" s="306">
        <f>L89-M89-N89-O89-D89-E89</f>
        <v/>
      </c>
      <c r="Q89" s="306">
        <f>MAX(0, P89 - $B$7*L89)</f>
        <v/>
      </c>
      <c r="R89" s="306">
        <f>P89-Q89</f>
        <v/>
      </c>
      <c r="S89" s="306">
        <f>IF(A89=$F$6, $B$18*$B$16*$B$17/1000000, 0) + IF(A89=$F$7, $B$18*$B$16*$B$17/1000000, 0) + IF(A89=$F$8, $B$18*$B$16*$B$17/1000000, 0) + IF(A89=$F$9, $B$18*$B$16*$B$17/1000000, 0) + IF(A89=$F$10, $B$18*$B$16*$B$17/1000000, 0)</f>
        <v/>
      </c>
      <c r="T89" s="306">
        <f>R89-S89-C89</f>
        <v/>
      </c>
      <c r="U89" s="306">
        <f>IF(AND(A89&lt;=$B$24, T89&gt;0), T89*$B$23, 0)</f>
        <v/>
      </c>
      <c r="V89" s="306">
        <f>T89-U89</f>
        <v/>
      </c>
      <c r="W89" s="306">
        <f>IF(AND(A89=$B$19, $B$21=1), K89*$B$20, 0)</f>
        <v/>
      </c>
      <c r="X89" s="306">
        <f>X88+V89+W89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SUM(F90:J90)</f>
        <v/>
      </c>
      <c r="L90" s="306">
        <f>K90/12</f>
        <v/>
      </c>
      <c r="M90" s="306">
        <f>L90*$B$8</f>
        <v/>
      </c>
      <c r="N90" s="306">
        <f>L90*$B$9</f>
        <v/>
      </c>
      <c r="O90" s="306">
        <f>L90*$B$10</f>
        <v/>
      </c>
      <c r="P90" s="306">
        <f>L90-M90-N90-O90-D90-E90</f>
        <v/>
      </c>
      <c r="Q90" s="306">
        <f>MAX(0, P90 - $B$7*L90)</f>
        <v/>
      </c>
      <c r="R90" s="306">
        <f>P90-Q90</f>
        <v/>
      </c>
      <c r="S90" s="306">
        <f>IF(A90=$F$6, $B$18*$B$16*$B$17/1000000, 0) + IF(A90=$F$7, $B$18*$B$16*$B$17/1000000, 0) + IF(A90=$F$8, $B$18*$B$16*$B$17/1000000, 0) + IF(A90=$F$9, $B$18*$B$16*$B$17/1000000, 0) + IF(A90=$F$10, $B$18*$B$16*$B$17/1000000, 0)</f>
        <v/>
      </c>
      <c r="T90" s="306">
        <f>R90-S90-C90</f>
        <v/>
      </c>
      <c r="U90" s="306">
        <f>IF(AND(A90&lt;=$B$24, T90&gt;0), T90*$B$23, 0)</f>
        <v/>
      </c>
      <c r="V90" s="306">
        <f>T90-U90</f>
        <v/>
      </c>
      <c r="W90" s="306">
        <f>IF(AND(A90=$B$19, $B$21=1), K90*$B$20, 0)</f>
        <v/>
      </c>
      <c r="X90" s="306">
        <f>X89+V90+W90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SUM(F91:J91)</f>
        <v/>
      </c>
      <c r="L91" s="306">
        <f>K91/12</f>
        <v/>
      </c>
      <c r="M91" s="306">
        <f>L91*$B$8</f>
        <v/>
      </c>
      <c r="N91" s="306">
        <f>L91*$B$9</f>
        <v/>
      </c>
      <c r="O91" s="306">
        <f>L91*$B$10</f>
        <v/>
      </c>
      <c r="P91" s="306">
        <f>L91-M91-N91-O91-D91-E91</f>
        <v/>
      </c>
      <c r="Q91" s="306">
        <f>MAX(0, P91 - $B$7*L91)</f>
        <v/>
      </c>
      <c r="R91" s="306">
        <f>P91-Q91</f>
        <v/>
      </c>
      <c r="S91" s="306">
        <f>IF(A91=$F$6, $B$18*$B$16*$B$17/1000000, 0) + IF(A91=$F$7, $B$18*$B$16*$B$17/1000000, 0) + IF(A91=$F$8, $B$18*$B$16*$B$17/1000000, 0) + IF(A91=$F$9, $B$18*$B$16*$B$17/1000000, 0) + IF(A91=$F$10, $B$18*$B$16*$B$17/1000000, 0)</f>
        <v/>
      </c>
      <c r="T91" s="306">
        <f>R91-S91-C91</f>
        <v/>
      </c>
      <c r="U91" s="306">
        <f>IF(AND(A91&lt;=$B$24, T91&gt;0), T91*$B$23, 0)</f>
        <v/>
      </c>
      <c r="V91" s="306">
        <f>T91-U91</f>
        <v/>
      </c>
      <c r="W91" s="306">
        <f>IF(AND(A91=$B$19, $B$21=1), K91*$B$20, 0)</f>
        <v/>
      </c>
      <c r="X91" s="306">
        <f>X90+V91+W91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SUM(F92:J92)</f>
        <v/>
      </c>
      <c r="L92" s="306">
        <f>K92/12</f>
        <v/>
      </c>
      <c r="M92" s="306">
        <f>L92*$B$8</f>
        <v/>
      </c>
      <c r="N92" s="306">
        <f>L92*$B$9</f>
        <v/>
      </c>
      <c r="O92" s="306">
        <f>L92*$B$10</f>
        <v/>
      </c>
      <c r="P92" s="306">
        <f>L92-M92-N92-O92-D92-E92</f>
        <v/>
      </c>
      <c r="Q92" s="306">
        <f>MAX(0, P92 - $B$7*L92)</f>
        <v/>
      </c>
      <c r="R92" s="306">
        <f>P92-Q92</f>
        <v/>
      </c>
      <c r="S92" s="306">
        <f>IF(A92=$F$6, $B$18*$B$16*$B$17/1000000, 0) + IF(A92=$F$7, $B$18*$B$16*$B$17/1000000, 0) + IF(A92=$F$8, $B$18*$B$16*$B$17/1000000, 0) + IF(A92=$F$9, $B$18*$B$16*$B$17/1000000, 0) + IF(A92=$F$10, $B$18*$B$16*$B$17/1000000, 0)</f>
        <v/>
      </c>
      <c r="T92" s="306">
        <f>R92-S92-C92</f>
        <v/>
      </c>
      <c r="U92" s="306">
        <f>IF(AND(A92&lt;=$B$24, T92&gt;0), T92*$B$23, 0)</f>
        <v/>
      </c>
      <c r="V92" s="306">
        <f>T92-U92</f>
        <v/>
      </c>
      <c r="W92" s="306">
        <f>IF(AND(A92=$B$19, $B$21=1), K92*$B$20, 0)</f>
        <v/>
      </c>
      <c r="X92" s="306">
        <f>X91+V92+W92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SUM(F93:J93)</f>
        <v/>
      </c>
      <c r="L93" s="306">
        <f>K93/12</f>
        <v/>
      </c>
      <c r="M93" s="306">
        <f>L93*$B$8</f>
        <v/>
      </c>
      <c r="N93" s="306">
        <f>L93*$B$9</f>
        <v/>
      </c>
      <c r="O93" s="306">
        <f>L93*$B$10</f>
        <v/>
      </c>
      <c r="P93" s="306">
        <f>L93-M93-N93-O93-D93-E93</f>
        <v/>
      </c>
      <c r="Q93" s="306">
        <f>MAX(0, P93 - $B$7*L93)</f>
        <v/>
      </c>
      <c r="R93" s="306">
        <f>P93-Q93</f>
        <v/>
      </c>
      <c r="S93" s="306">
        <f>IF(A93=$F$6, $B$18*$B$16*$B$17/1000000, 0) + IF(A93=$F$7, $B$18*$B$16*$B$17/1000000, 0) + IF(A93=$F$8, $B$18*$B$16*$B$17/1000000, 0) + IF(A93=$F$9, $B$18*$B$16*$B$17/1000000, 0) + IF(A93=$F$10, $B$18*$B$16*$B$17/1000000, 0)</f>
        <v/>
      </c>
      <c r="T93" s="306">
        <f>R93-S93-C93</f>
        <v/>
      </c>
      <c r="U93" s="306">
        <f>IF(AND(A93&lt;=$B$24, T93&gt;0), T93*$B$23, 0)</f>
        <v/>
      </c>
      <c r="V93" s="306">
        <f>T93-U93</f>
        <v/>
      </c>
      <c r="W93" s="306">
        <f>IF(AND(A93=$B$19, $B$21=1), K93*$B$20, 0)</f>
        <v/>
      </c>
      <c r="X93" s="306">
        <f>X92+V93+W93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SUM(F94:J94)</f>
        <v/>
      </c>
      <c r="L94" s="306">
        <f>K94/12</f>
        <v/>
      </c>
      <c r="M94" s="306">
        <f>L94*$B$8</f>
        <v/>
      </c>
      <c r="N94" s="306">
        <f>L94*$B$9</f>
        <v/>
      </c>
      <c r="O94" s="306">
        <f>L94*$B$10</f>
        <v/>
      </c>
      <c r="P94" s="306">
        <f>L94-M94-N94-O94-D94-E94</f>
        <v/>
      </c>
      <c r="Q94" s="306">
        <f>MAX(0, P94 - $B$7*L94)</f>
        <v/>
      </c>
      <c r="R94" s="306">
        <f>P94-Q94</f>
        <v/>
      </c>
      <c r="S94" s="306">
        <f>IF(A94=$F$6, $B$18*$B$16*$B$17/1000000, 0) + IF(A94=$F$7, $B$18*$B$16*$B$17/1000000, 0) + IF(A94=$F$8, $B$18*$B$16*$B$17/1000000, 0) + IF(A94=$F$9, $B$18*$B$16*$B$17/1000000, 0) + IF(A94=$F$10, $B$18*$B$16*$B$17/1000000, 0)</f>
        <v/>
      </c>
      <c r="T94" s="306">
        <f>R94-S94-C94</f>
        <v/>
      </c>
      <c r="U94" s="306">
        <f>IF(AND(A94&lt;=$B$24, T94&gt;0), T94*$B$23, 0)</f>
        <v/>
      </c>
      <c r="V94" s="306">
        <f>T94-U94</f>
        <v/>
      </c>
      <c r="W94" s="306">
        <f>IF(AND(A94=$B$19, $B$21=1), K94*$B$20, 0)</f>
        <v/>
      </c>
      <c r="X94" s="306">
        <f>X93+V94+W94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SUM(F95:J95)</f>
        <v/>
      </c>
      <c r="L95" s="306">
        <f>K95/12</f>
        <v/>
      </c>
      <c r="M95" s="306">
        <f>L95*$B$8</f>
        <v/>
      </c>
      <c r="N95" s="306">
        <f>L95*$B$9</f>
        <v/>
      </c>
      <c r="O95" s="306">
        <f>L95*$B$10</f>
        <v/>
      </c>
      <c r="P95" s="306">
        <f>L95-M95-N95-O95-D95-E95</f>
        <v/>
      </c>
      <c r="Q95" s="306">
        <f>MAX(0, P95 - $B$7*L95)</f>
        <v/>
      </c>
      <c r="R95" s="306">
        <f>P95-Q95</f>
        <v/>
      </c>
      <c r="S95" s="306">
        <f>IF(A95=$F$6, $B$18*$B$16*$B$17/1000000, 0) + IF(A95=$F$7, $B$18*$B$16*$B$17/1000000, 0) + IF(A95=$F$8, $B$18*$B$16*$B$17/1000000, 0) + IF(A95=$F$9, $B$18*$B$16*$B$17/1000000, 0) + IF(A95=$F$10, $B$18*$B$16*$B$17/1000000, 0)</f>
        <v/>
      </c>
      <c r="T95" s="306">
        <f>R95-S95-C95</f>
        <v/>
      </c>
      <c r="U95" s="306">
        <f>IF(AND(A95&lt;=$B$24, T95&gt;0), T95*$B$23, 0)</f>
        <v/>
      </c>
      <c r="V95" s="306">
        <f>T95-U95</f>
        <v/>
      </c>
      <c r="W95" s="306">
        <f>IF(AND(A95=$B$19, $B$21=1), K95*$B$20, 0)</f>
        <v/>
      </c>
      <c r="X95" s="306">
        <f>X94+V95+W95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SUM(F96:J96)</f>
        <v/>
      </c>
      <c r="L96" s="306">
        <f>K96/12</f>
        <v/>
      </c>
      <c r="M96" s="306">
        <f>L96*$B$8</f>
        <v/>
      </c>
      <c r="N96" s="306">
        <f>L96*$B$9</f>
        <v/>
      </c>
      <c r="O96" s="306">
        <f>L96*$B$10</f>
        <v/>
      </c>
      <c r="P96" s="306">
        <f>L96-M96-N96-O96-D96-E96</f>
        <v/>
      </c>
      <c r="Q96" s="306">
        <f>MAX(0, P96 - $B$7*L96)</f>
        <v/>
      </c>
      <c r="R96" s="306">
        <f>P96-Q96</f>
        <v/>
      </c>
      <c r="S96" s="306">
        <f>IF(A96=$F$6, $B$18*$B$16*$B$17/1000000, 0) + IF(A96=$F$7, $B$18*$B$16*$B$17/1000000, 0) + IF(A96=$F$8, $B$18*$B$16*$B$17/1000000, 0) + IF(A96=$F$9, $B$18*$B$16*$B$17/1000000, 0) + IF(A96=$F$10, $B$18*$B$16*$B$17/1000000, 0)</f>
        <v/>
      </c>
      <c r="T96" s="306">
        <f>R96-S96-C96</f>
        <v/>
      </c>
      <c r="U96" s="306">
        <f>IF(AND(A96&lt;=$B$24, T96&gt;0), T96*$B$23, 0)</f>
        <v/>
      </c>
      <c r="V96" s="306">
        <f>T96-U96</f>
        <v/>
      </c>
      <c r="W96" s="306">
        <f>IF(AND(A96=$B$19, $B$21=1), K96*$B$20, 0)</f>
        <v/>
      </c>
      <c r="X96" s="306">
        <f>X95+V96+W96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SUM(F97:J97)</f>
        <v/>
      </c>
      <c r="L97" s="306">
        <f>K97/12</f>
        <v/>
      </c>
      <c r="M97" s="306">
        <f>L97*$B$8</f>
        <v/>
      </c>
      <c r="N97" s="306">
        <f>L97*$B$9</f>
        <v/>
      </c>
      <c r="O97" s="306">
        <f>L97*$B$10</f>
        <v/>
      </c>
      <c r="P97" s="306">
        <f>L97-M97-N97-O97-D97-E97</f>
        <v/>
      </c>
      <c r="Q97" s="306">
        <f>MAX(0, P97 - $B$7*L97)</f>
        <v/>
      </c>
      <c r="R97" s="306">
        <f>P97-Q97</f>
        <v/>
      </c>
      <c r="S97" s="306">
        <f>IF(A97=$F$6, $B$18*$B$16*$B$17/1000000, 0) + IF(A97=$F$7, $B$18*$B$16*$B$17/1000000, 0) + IF(A97=$F$8, $B$18*$B$16*$B$17/1000000, 0) + IF(A97=$F$9, $B$18*$B$16*$B$17/1000000, 0) + IF(A97=$F$10, $B$18*$B$16*$B$17/1000000, 0)</f>
        <v/>
      </c>
      <c r="T97" s="306">
        <f>R97-S97-C97</f>
        <v/>
      </c>
      <c r="U97" s="306">
        <f>IF(AND(A97&lt;=$B$24, T97&gt;0), T97*$B$23, 0)</f>
        <v/>
      </c>
      <c r="V97" s="306">
        <f>T97-U97</f>
        <v/>
      </c>
      <c r="W97" s="306">
        <f>IF(AND(A97=$B$19, $B$21=1), K97*$B$20, 0)</f>
        <v/>
      </c>
      <c r="X97" s="306">
        <f>X96+V97+W97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SUM(F98:J98)</f>
        <v/>
      </c>
      <c r="L98" s="306">
        <f>K98/12</f>
        <v/>
      </c>
      <c r="M98" s="306">
        <f>L98*$B$8</f>
        <v/>
      </c>
      <c r="N98" s="306">
        <f>L98*$B$9</f>
        <v/>
      </c>
      <c r="O98" s="306">
        <f>L98*$B$10</f>
        <v/>
      </c>
      <c r="P98" s="306">
        <f>L98-M98-N98-O98-D98-E98</f>
        <v/>
      </c>
      <c r="Q98" s="306">
        <f>MAX(0, P98 - $B$7*L98)</f>
        <v/>
      </c>
      <c r="R98" s="306">
        <f>P98-Q98</f>
        <v/>
      </c>
      <c r="S98" s="306">
        <f>IF(A98=$F$6, $B$18*$B$16*$B$17/1000000, 0) + IF(A98=$F$7, $B$18*$B$16*$B$17/1000000, 0) + IF(A98=$F$8, $B$18*$B$16*$B$17/1000000, 0) + IF(A98=$F$9, $B$18*$B$16*$B$17/1000000, 0) + IF(A98=$F$10, $B$18*$B$16*$B$17/1000000, 0)</f>
        <v/>
      </c>
      <c r="T98" s="306">
        <f>R98-S98-C98</f>
        <v/>
      </c>
      <c r="U98" s="306">
        <f>IF(AND(A98&lt;=$B$24, T98&gt;0), T98*$B$23, 0)</f>
        <v/>
      </c>
      <c r="V98" s="306">
        <f>T98-U98</f>
        <v/>
      </c>
      <c r="W98" s="306">
        <f>IF(AND(A98=$B$19, $B$21=1), K98*$B$20, 0)</f>
        <v/>
      </c>
      <c r="X98" s="306">
        <f>X97+V98+W98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SUM(F99:J99)</f>
        <v/>
      </c>
      <c r="L99" s="306">
        <f>K99/12</f>
        <v/>
      </c>
      <c r="M99" s="306">
        <f>L99*$B$8</f>
        <v/>
      </c>
      <c r="N99" s="306">
        <f>L99*$B$9</f>
        <v/>
      </c>
      <c r="O99" s="306">
        <f>L99*$B$10</f>
        <v/>
      </c>
      <c r="P99" s="306">
        <f>L99-M99-N99-O99-D99-E99</f>
        <v/>
      </c>
      <c r="Q99" s="306">
        <f>MAX(0, P99 - $B$7*L99)</f>
        <v/>
      </c>
      <c r="R99" s="306">
        <f>P99-Q99</f>
        <v/>
      </c>
      <c r="S99" s="306">
        <f>IF(A99=$F$6, $B$18*$B$16*$B$17/1000000, 0) + IF(A99=$F$7, $B$18*$B$16*$B$17/1000000, 0) + IF(A99=$F$8, $B$18*$B$16*$B$17/1000000, 0) + IF(A99=$F$9, $B$18*$B$16*$B$17/1000000, 0) + IF(A99=$F$10, $B$18*$B$16*$B$17/1000000, 0)</f>
        <v/>
      </c>
      <c r="T99" s="306">
        <f>R99-S99-C99</f>
        <v/>
      </c>
      <c r="U99" s="306">
        <f>IF(AND(A99&lt;=$B$24, T99&gt;0), T99*$B$23, 0)</f>
        <v/>
      </c>
      <c r="V99" s="306">
        <f>T99-U99</f>
        <v/>
      </c>
      <c r="W99" s="306">
        <f>IF(AND(A99=$B$19, $B$21=1), K99*$B$20, 0)</f>
        <v/>
      </c>
      <c r="X99" s="306">
        <f>X98+V99+W99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SUM(F100:J100)</f>
        <v/>
      </c>
      <c r="L100" s="306">
        <f>K100/12</f>
        <v/>
      </c>
      <c r="M100" s="306">
        <f>L100*$B$8</f>
        <v/>
      </c>
      <c r="N100" s="306">
        <f>L100*$B$9</f>
        <v/>
      </c>
      <c r="O100" s="306">
        <f>L100*$B$10</f>
        <v/>
      </c>
      <c r="P100" s="306">
        <f>L100-M100-N100-O100-D100-E100</f>
        <v/>
      </c>
      <c r="Q100" s="306">
        <f>MAX(0, P100 - $B$7*L100)</f>
        <v/>
      </c>
      <c r="R100" s="306">
        <f>P100-Q100</f>
        <v/>
      </c>
      <c r="S100" s="306">
        <f>IF(A100=$F$6, $B$18*$B$16*$B$17/1000000, 0) + IF(A100=$F$7, $B$18*$B$16*$B$17/1000000, 0) + IF(A100=$F$8, $B$18*$B$16*$B$17/1000000, 0) + IF(A100=$F$9, $B$18*$B$16*$B$17/1000000, 0) + IF(A100=$F$10, $B$18*$B$16*$B$17/1000000, 0)</f>
        <v/>
      </c>
      <c r="T100" s="306">
        <f>R100-S100-C100</f>
        <v/>
      </c>
      <c r="U100" s="306">
        <f>IF(AND(A100&lt;=$B$24, T100&gt;0), T100*$B$23, 0)</f>
        <v/>
      </c>
      <c r="V100" s="306">
        <f>T100-U100</f>
        <v/>
      </c>
      <c r="W100" s="306">
        <f>IF(AND(A100=$B$19, $B$21=1), K100*$B$20, 0)</f>
        <v/>
      </c>
      <c r="X100" s="306">
        <f>X99+V100+W100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SUM(F101:J101)</f>
        <v/>
      </c>
      <c r="L101" s="306">
        <f>K101/12</f>
        <v/>
      </c>
      <c r="M101" s="306">
        <f>L101*$B$8</f>
        <v/>
      </c>
      <c r="N101" s="306">
        <f>L101*$B$9</f>
        <v/>
      </c>
      <c r="O101" s="306">
        <f>L101*$B$10</f>
        <v/>
      </c>
      <c r="P101" s="306">
        <f>L101-M101-N101-O101-D101-E101</f>
        <v/>
      </c>
      <c r="Q101" s="306">
        <f>MAX(0, P101 - $B$7*L101)</f>
        <v/>
      </c>
      <c r="R101" s="306">
        <f>P101-Q101</f>
        <v/>
      </c>
      <c r="S101" s="306">
        <f>IF(A101=$F$6, $B$18*$B$16*$B$17/1000000, 0) + IF(A101=$F$7, $B$18*$B$16*$B$17/1000000, 0) + IF(A101=$F$8, $B$18*$B$16*$B$17/1000000, 0) + IF(A101=$F$9, $B$18*$B$16*$B$17/1000000, 0) + IF(A101=$F$10, $B$18*$B$16*$B$17/1000000, 0)</f>
        <v/>
      </c>
      <c r="T101" s="306">
        <f>R101-S101-C101</f>
        <v/>
      </c>
      <c r="U101" s="306">
        <f>IF(AND(A101&lt;=$B$24, T101&gt;0), T101*$B$23, 0)</f>
        <v/>
      </c>
      <c r="V101" s="306">
        <f>T101-U101</f>
        <v/>
      </c>
      <c r="W101" s="306">
        <f>IF(AND(A101=$B$19, $B$21=1), K101*$B$20, 0)</f>
        <v/>
      </c>
      <c r="X101" s="306">
        <f>X100+V101+W101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SUM(F102:J102)</f>
        <v/>
      </c>
      <c r="L102" s="306">
        <f>K102/12</f>
        <v/>
      </c>
      <c r="M102" s="306">
        <f>L102*$B$8</f>
        <v/>
      </c>
      <c r="N102" s="306">
        <f>L102*$B$9</f>
        <v/>
      </c>
      <c r="O102" s="306">
        <f>L102*$B$10</f>
        <v/>
      </c>
      <c r="P102" s="306">
        <f>L102-M102-N102-O102-D102-E102</f>
        <v/>
      </c>
      <c r="Q102" s="306">
        <f>MAX(0, P102 - $B$7*L102)</f>
        <v/>
      </c>
      <c r="R102" s="306">
        <f>P102-Q102</f>
        <v/>
      </c>
      <c r="S102" s="306">
        <f>IF(A102=$F$6, $B$18*$B$16*$B$17/1000000, 0) + IF(A102=$F$7, $B$18*$B$16*$B$17/1000000, 0) + IF(A102=$F$8, $B$18*$B$16*$B$17/1000000, 0) + IF(A102=$F$9, $B$18*$B$16*$B$17/1000000, 0) + IF(A102=$F$10, $B$18*$B$16*$B$17/1000000, 0)</f>
        <v/>
      </c>
      <c r="T102" s="306">
        <f>R102-S102-C102</f>
        <v/>
      </c>
      <c r="U102" s="306">
        <f>IF(AND(A102&lt;=$B$24, T102&gt;0), T102*$B$23, 0)</f>
        <v/>
      </c>
      <c r="V102" s="306">
        <f>T102-U102</f>
        <v/>
      </c>
      <c r="W102" s="306">
        <f>IF(AND(A102=$B$19, $B$21=1), K102*$B$20, 0)</f>
        <v/>
      </c>
      <c r="X102" s="306">
        <f>X101+V102+W102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SUM(F103:J103)</f>
        <v/>
      </c>
      <c r="L103" s="306">
        <f>K103/12</f>
        <v/>
      </c>
      <c r="M103" s="306">
        <f>L103*$B$8</f>
        <v/>
      </c>
      <c r="N103" s="306">
        <f>L103*$B$9</f>
        <v/>
      </c>
      <c r="O103" s="306">
        <f>L103*$B$10</f>
        <v/>
      </c>
      <c r="P103" s="306">
        <f>L103-M103-N103-O103-D103-E103</f>
        <v/>
      </c>
      <c r="Q103" s="306">
        <f>MAX(0, P103 - $B$7*L103)</f>
        <v/>
      </c>
      <c r="R103" s="306">
        <f>P103-Q103</f>
        <v/>
      </c>
      <c r="S103" s="306">
        <f>IF(A103=$F$6, $B$18*$B$16*$B$17/1000000, 0) + IF(A103=$F$7, $B$18*$B$16*$B$17/1000000, 0) + IF(A103=$F$8, $B$18*$B$16*$B$17/1000000, 0) + IF(A103=$F$9, $B$18*$B$16*$B$17/1000000, 0) + IF(A103=$F$10, $B$18*$B$16*$B$17/1000000, 0)</f>
        <v/>
      </c>
      <c r="T103" s="306">
        <f>R103-S103-C103</f>
        <v/>
      </c>
      <c r="U103" s="306">
        <f>IF(AND(A103&lt;=$B$24, T103&gt;0), T103*$B$23, 0)</f>
        <v/>
      </c>
      <c r="V103" s="306">
        <f>T103-U103</f>
        <v/>
      </c>
      <c r="W103" s="306">
        <f>IF(AND(A103=$B$19, $B$21=1), K103*$B$20, 0)</f>
        <v/>
      </c>
      <c r="X103" s="306">
        <f>X102+V103+W103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SUM(F104:J104)</f>
        <v/>
      </c>
      <c r="L104" s="306">
        <f>K104/12</f>
        <v/>
      </c>
      <c r="M104" s="306">
        <f>L104*$B$8</f>
        <v/>
      </c>
      <c r="N104" s="306">
        <f>L104*$B$9</f>
        <v/>
      </c>
      <c r="O104" s="306">
        <f>L104*$B$10</f>
        <v/>
      </c>
      <c r="P104" s="306">
        <f>L104-M104-N104-O104-D104-E104</f>
        <v/>
      </c>
      <c r="Q104" s="306">
        <f>MAX(0, P104 - $B$7*L104)</f>
        <v/>
      </c>
      <c r="R104" s="306">
        <f>P104-Q104</f>
        <v/>
      </c>
      <c r="S104" s="306">
        <f>IF(A104=$F$6, $B$18*$B$16*$B$17/1000000, 0) + IF(A104=$F$7, $B$18*$B$16*$B$17/1000000, 0) + IF(A104=$F$8, $B$18*$B$16*$B$17/1000000, 0) + IF(A104=$F$9, $B$18*$B$16*$B$17/1000000, 0) + IF(A104=$F$10, $B$18*$B$16*$B$17/1000000, 0)</f>
        <v/>
      </c>
      <c r="T104" s="306">
        <f>R104-S104-C104</f>
        <v/>
      </c>
      <c r="U104" s="306">
        <f>IF(AND(A104&lt;=$B$24, T104&gt;0), T104*$B$23, 0)</f>
        <v/>
      </c>
      <c r="V104" s="306">
        <f>T104-U104</f>
        <v/>
      </c>
      <c r="W104" s="306">
        <f>IF(AND(A104=$B$19, $B$21=1), K104*$B$20, 0)</f>
        <v/>
      </c>
      <c r="X104" s="306">
        <f>X103+V104+W104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SUM(F105:J105)</f>
        <v/>
      </c>
      <c r="L105" s="306">
        <f>K105/12</f>
        <v/>
      </c>
      <c r="M105" s="306">
        <f>L105*$B$8</f>
        <v/>
      </c>
      <c r="N105" s="306">
        <f>L105*$B$9</f>
        <v/>
      </c>
      <c r="O105" s="306">
        <f>L105*$B$10</f>
        <v/>
      </c>
      <c r="P105" s="306">
        <f>L105-M105-N105-O105-D105-E105</f>
        <v/>
      </c>
      <c r="Q105" s="306">
        <f>MAX(0, P105 - $B$7*L105)</f>
        <v/>
      </c>
      <c r="R105" s="306">
        <f>P105-Q105</f>
        <v/>
      </c>
      <c r="S105" s="306">
        <f>IF(A105=$F$6, $B$18*$B$16*$B$17/1000000, 0) + IF(A105=$F$7, $B$18*$B$16*$B$17/1000000, 0) + IF(A105=$F$8, $B$18*$B$16*$B$17/1000000, 0) + IF(A105=$F$9, $B$18*$B$16*$B$17/1000000, 0) + IF(A105=$F$10, $B$18*$B$16*$B$17/1000000, 0)</f>
        <v/>
      </c>
      <c r="T105" s="306">
        <f>R105-S105-C105</f>
        <v/>
      </c>
      <c r="U105" s="306">
        <f>IF(AND(A105&lt;=$B$24, T105&gt;0), T105*$B$23, 0)</f>
        <v/>
      </c>
      <c r="V105" s="306">
        <f>T105-U105</f>
        <v/>
      </c>
      <c r="W105" s="306">
        <f>IF(AND(A105=$B$19, $B$21=1), K105*$B$20, 0)</f>
        <v/>
      </c>
      <c r="X105" s="306">
        <f>X104+V105+W105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SUM(F106:J106)</f>
        <v/>
      </c>
      <c r="L106" s="306">
        <f>K106/12</f>
        <v/>
      </c>
      <c r="M106" s="306">
        <f>L106*$B$8</f>
        <v/>
      </c>
      <c r="N106" s="306">
        <f>L106*$B$9</f>
        <v/>
      </c>
      <c r="O106" s="306">
        <f>L106*$B$10</f>
        <v/>
      </c>
      <c r="P106" s="306">
        <f>L106-M106-N106-O106-D106-E106</f>
        <v/>
      </c>
      <c r="Q106" s="306">
        <f>MAX(0, P106 - $B$7*L106)</f>
        <v/>
      </c>
      <c r="R106" s="306">
        <f>P106-Q106</f>
        <v/>
      </c>
      <c r="S106" s="306">
        <f>IF(A106=$F$6, $B$18*$B$16*$B$17/1000000, 0) + IF(A106=$F$7, $B$18*$B$16*$B$17/1000000, 0) + IF(A106=$F$8, $B$18*$B$16*$B$17/1000000, 0) + IF(A106=$F$9, $B$18*$B$16*$B$17/1000000, 0) + IF(A106=$F$10, $B$18*$B$16*$B$17/1000000, 0)</f>
        <v/>
      </c>
      <c r="T106" s="306">
        <f>R106-S106-C106</f>
        <v/>
      </c>
      <c r="U106" s="306">
        <f>IF(AND(A106&lt;=$B$24, T106&gt;0), T106*$B$23, 0)</f>
        <v/>
      </c>
      <c r="V106" s="306">
        <f>T106-U106</f>
        <v/>
      </c>
      <c r="W106" s="306">
        <f>IF(AND(A106=$B$19, $B$21=1), K106*$B$20, 0)</f>
        <v/>
      </c>
      <c r="X106" s="306">
        <f>X105+V106+W106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SUM(F107:J107)</f>
        <v/>
      </c>
      <c r="L107" s="306">
        <f>K107/12</f>
        <v/>
      </c>
      <c r="M107" s="306">
        <f>L107*$B$8</f>
        <v/>
      </c>
      <c r="N107" s="306">
        <f>L107*$B$9</f>
        <v/>
      </c>
      <c r="O107" s="306">
        <f>L107*$B$10</f>
        <v/>
      </c>
      <c r="P107" s="306">
        <f>L107-M107-N107-O107-D107-E107</f>
        <v/>
      </c>
      <c r="Q107" s="306">
        <f>MAX(0, P107 - $B$7*L107)</f>
        <v/>
      </c>
      <c r="R107" s="306">
        <f>P107-Q107</f>
        <v/>
      </c>
      <c r="S107" s="306">
        <f>IF(A107=$F$6, $B$18*$B$16*$B$17/1000000, 0) + IF(A107=$F$7, $B$18*$B$16*$B$17/1000000, 0) + IF(A107=$F$8, $B$18*$B$16*$B$17/1000000, 0) + IF(A107=$F$9, $B$18*$B$16*$B$17/1000000, 0) + IF(A107=$F$10, $B$18*$B$16*$B$17/1000000, 0)</f>
        <v/>
      </c>
      <c r="T107" s="306">
        <f>R107-S107-C107</f>
        <v/>
      </c>
      <c r="U107" s="306">
        <f>IF(AND(A107&lt;=$B$24, T107&gt;0), T107*$B$23, 0)</f>
        <v/>
      </c>
      <c r="V107" s="306">
        <f>T107-U107</f>
        <v/>
      </c>
      <c r="W107" s="306">
        <f>IF(AND(A107=$B$19, $B$21=1), K107*$B$20, 0)</f>
        <v/>
      </c>
      <c r="X107" s="306">
        <f>X106+V107+W107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SUM(F108:J108)</f>
        <v/>
      </c>
      <c r="L108" s="306">
        <f>K108/12</f>
        <v/>
      </c>
      <c r="M108" s="306">
        <f>L108*$B$8</f>
        <v/>
      </c>
      <c r="N108" s="306">
        <f>L108*$B$9</f>
        <v/>
      </c>
      <c r="O108" s="306">
        <f>L108*$B$10</f>
        <v/>
      </c>
      <c r="P108" s="306">
        <f>L108-M108-N108-O108-D108-E108</f>
        <v/>
      </c>
      <c r="Q108" s="306">
        <f>MAX(0, P108 - $B$7*L108)</f>
        <v/>
      </c>
      <c r="R108" s="306">
        <f>P108-Q108</f>
        <v/>
      </c>
      <c r="S108" s="306">
        <f>IF(A108=$F$6, $B$18*$B$16*$B$17/1000000, 0) + IF(A108=$F$7, $B$18*$B$16*$B$17/1000000, 0) + IF(A108=$F$8, $B$18*$B$16*$B$17/1000000, 0) + IF(A108=$F$9, $B$18*$B$16*$B$17/1000000, 0) + IF(A108=$F$10, $B$18*$B$16*$B$17/1000000, 0)</f>
        <v/>
      </c>
      <c r="T108" s="306">
        <f>R108-S108-C108</f>
        <v/>
      </c>
      <c r="U108" s="306">
        <f>IF(AND(A108&lt;=$B$24, T108&gt;0), T108*$B$23, 0)</f>
        <v/>
      </c>
      <c r="V108" s="306">
        <f>T108-U108</f>
        <v/>
      </c>
      <c r="W108" s="306">
        <f>IF(AND(A108=$B$19, $B$21=1), K108*$B$20, 0)</f>
        <v/>
      </c>
      <c r="X108" s="306">
        <f>X107+V108+W108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SUM(F109:J109)</f>
        <v/>
      </c>
      <c r="L109" s="306">
        <f>K109/12</f>
        <v/>
      </c>
      <c r="M109" s="306">
        <f>L109*$B$8</f>
        <v/>
      </c>
      <c r="N109" s="306">
        <f>L109*$B$9</f>
        <v/>
      </c>
      <c r="O109" s="306">
        <f>L109*$B$10</f>
        <v/>
      </c>
      <c r="P109" s="306">
        <f>L109-M109-N109-O109-D109-E109</f>
        <v/>
      </c>
      <c r="Q109" s="306">
        <f>MAX(0, P109 - $B$7*L109)</f>
        <v/>
      </c>
      <c r="R109" s="306">
        <f>P109-Q109</f>
        <v/>
      </c>
      <c r="S109" s="306">
        <f>IF(A109=$F$6, $B$18*$B$16*$B$17/1000000, 0) + IF(A109=$F$7, $B$18*$B$16*$B$17/1000000, 0) + IF(A109=$F$8, $B$18*$B$16*$B$17/1000000, 0) + IF(A109=$F$9, $B$18*$B$16*$B$17/1000000, 0) + IF(A109=$F$10, $B$18*$B$16*$B$17/1000000, 0)</f>
        <v/>
      </c>
      <c r="T109" s="306">
        <f>R109-S109-C109</f>
        <v/>
      </c>
      <c r="U109" s="306">
        <f>IF(AND(A109&lt;=$B$24, T109&gt;0), T109*$B$23, 0)</f>
        <v/>
      </c>
      <c r="V109" s="306">
        <f>T109-U109</f>
        <v/>
      </c>
      <c r="W109" s="306">
        <f>IF(AND(A109=$B$19, $B$21=1), K109*$B$20, 0)</f>
        <v/>
      </c>
      <c r="X109" s="306">
        <f>X108+V109+W109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SUM(F110:J110)</f>
        <v/>
      </c>
      <c r="L110" s="306">
        <f>K110/12</f>
        <v/>
      </c>
      <c r="M110" s="306">
        <f>L110*$B$8</f>
        <v/>
      </c>
      <c r="N110" s="306">
        <f>L110*$B$9</f>
        <v/>
      </c>
      <c r="O110" s="306">
        <f>L110*$B$10</f>
        <v/>
      </c>
      <c r="P110" s="306">
        <f>L110-M110-N110-O110-D110-E110</f>
        <v/>
      </c>
      <c r="Q110" s="306">
        <f>MAX(0, P110 - $B$7*L110)</f>
        <v/>
      </c>
      <c r="R110" s="306">
        <f>P110-Q110</f>
        <v/>
      </c>
      <c r="S110" s="306">
        <f>IF(A110=$F$6, $B$18*$B$16*$B$17/1000000, 0) + IF(A110=$F$7, $B$18*$B$16*$B$17/1000000, 0) + IF(A110=$F$8, $B$18*$B$16*$B$17/1000000, 0) + IF(A110=$F$9, $B$18*$B$16*$B$17/1000000, 0) + IF(A110=$F$10, $B$18*$B$16*$B$17/1000000, 0)</f>
        <v/>
      </c>
      <c r="T110" s="306">
        <f>R110-S110-C110</f>
        <v/>
      </c>
      <c r="U110" s="306">
        <f>IF(AND(A110&lt;=$B$24, T110&gt;0), T110*$B$23, 0)</f>
        <v/>
      </c>
      <c r="V110" s="306">
        <f>T110-U110</f>
        <v/>
      </c>
      <c r="W110" s="306">
        <f>IF(AND(A110=$B$19, $B$21=1), K110*$B$20, 0)</f>
        <v/>
      </c>
      <c r="X110" s="306">
        <f>X109+V110+W110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SUM(F111:J111)</f>
        <v/>
      </c>
      <c r="L111" s="306">
        <f>K111/12</f>
        <v/>
      </c>
      <c r="M111" s="306">
        <f>L111*$B$8</f>
        <v/>
      </c>
      <c r="N111" s="306">
        <f>L111*$B$9</f>
        <v/>
      </c>
      <c r="O111" s="306">
        <f>L111*$B$10</f>
        <v/>
      </c>
      <c r="P111" s="306">
        <f>L111-M111-N111-O111-D111-E111</f>
        <v/>
      </c>
      <c r="Q111" s="306">
        <f>MAX(0, P111 - $B$7*L111)</f>
        <v/>
      </c>
      <c r="R111" s="306">
        <f>P111-Q111</f>
        <v/>
      </c>
      <c r="S111" s="306">
        <f>IF(A111=$F$6, $B$18*$B$16*$B$17/1000000, 0) + IF(A111=$F$7, $B$18*$B$16*$B$17/1000000, 0) + IF(A111=$F$8, $B$18*$B$16*$B$17/1000000, 0) + IF(A111=$F$9, $B$18*$B$16*$B$17/1000000, 0) + IF(A111=$F$10, $B$18*$B$16*$B$17/1000000, 0)</f>
        <v/>
      </c>
      <c r="T111" s="306">
        <f>R111-S111-C111</f>
        <v/>
      </c>
      <c r="U111" s="306">
        <f>IF(AND(A111&lt;=$B$24, T111&gt;0), T111*$B$23, 0)</f>
        <v/>
      </c>
      <c r="V111" s="306">
        <f>T111-U111</f>
        <v/>
      </c>
      <c r="W111" s="306">
        <f>IF(AND(A111=$B$19, $B$21=1), K111*$B$20, 0)</f>
        <v/>
      </c>
      <c r="X111" s="306">
        <f>X110+V111+W111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SUM(F112:J112)</f>
        <v/>
      </c>
      <c r="L112" s="306">
        <f>K112/12</f>
        <v/>
      </c>
      <c r="M112" s="306">
        <f>L112*$B$8</f>
        <v/>
      </c>
      <c r="N112" s="306">
        <f>L112*$B$9</f>
        <v/>
      </c>
      <c r="O112" s="306">
        <f>L112*$B$10</f>
        <v/>
      </c>
      <c r="P112" s="306">
        <f>L112-M112-N112-O112-D112-E112</f>
        <v/>
      </c>
      <c r="Q112" s="306">
        <f>MAX(0, P112 - $B$7*L112)</f>
        <v/>
      </c>
      <c r="R112" s="306">
        <f>P112-Q112</f>
        <v/>
      </c>
      <c r="S112" s="306">
        <f>IF(A112=$F$6, $B$18*$B$16*$B$17/1000000, 0) + IF(A112=$F$7, $B$18*$B$16*$B$17/1000000, 0) + IF(A112=$F$8, $B$18*$B$16*$B$17/1000000, 0) + IF(A112=$F$9, $B$18*$B$16*$B$17/1000000, 0) + IF(A112=$F$10, $B$18*$B$16*$B$17/1000000, 0)</f>
        <v/>
      </c>
      <c r="T112" s="306">
        <f>R112-S112-C112</f>
        <v/>
      </c>
      <c r="U112" s="306">
        <f>IF(AND(A112&lt;=$B$24, T112&gt;0), T112*$B$23, 0)</f>
        <v/>
      </c>
      <c r="V112" s="306">
        <f>T112-U112</f>
        <v/>
      </c>
      <c r="W112" s="306">
        <f>IF(AND(A112=$B$19, $B$21=1), K112*$B$20, 0)</f>
        <v/>
      </c>
      <c r="X112" s="306">
        <f>X111+V112+W112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SUM(F113:J113)</f>
        <v/>
      </c>
      <c r="L113" s="306">
        <f>K113/12</f>
        <v/>
      </c>
      <c r="M113" s="306">
        <f>L113*$B$8</f>
        <v/>
      </c>
      <c r="N113" s="306">
        <f>L113*$B$9</f>
        <v/>
      </c>
      <c r="O113" s="306">
        <f>L113*$B$10</f>
        <v/>
      </c>
      <c r="P113" s="306">
        <f>L113-M113-N113-O113-D113-E113</f>
        <v/>
      </c>
      <c r="Q113" s="306">
        <f>MAX(0, P113 - $B$7*L113)</f>
        <v/>
      </c>
      <c r="R113" s="306">
        <f>P113-Q113</f>
        <v/>
      </c>
      <c r="S113" s="306">
        <f>IF(A113=$F$6, $B$18*$B$16*$B$17/1000000, 0) + IF(A113=$F$7, $B$18*$B$16*$B$17/1000000, 0) + IF(A113=$F$8, $B$18*$B$16*$B$17/1000000, 0) + IF(A113=$F$9, $B$18*$B$16*$B$17/1000000, 0) + IF(A113=$F$10, $B$18*$B$16*$B$17/1000000, 0)</f>
        <v/>
      </c>
      <c r="T113" s="306">
        <f>R113-S113-C113</f>
        <v/>
      </c>
      <c r="U113" s="306">
        <f>IF(AND(A113&lt;=$B$24, T113&gt;0), T113*$B$23, 0)</f>
        <v/>
      </c>
      <c r="V113" s="306">
        <f>T113-U113</f>
        <v/>
      </c>
      <c r="W113" s="306">
        <f>IF(AND(A113=$B$19, $B$21=1), K113*$B$20, 0)</f>
        <v/>
      </c>
      <c r="X113" s="306">
        <f>X112+V113+W113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SUM(F114:J114)</f>
        <v/>
      </c>
      <c r="L114" s="306">
        <f>K114/12</f>
        <v/>
      </c>
      <c r="M114" s="306">
        <f>L114*$B$8</f>
        <v/>
      </c>
      <c r="N114" s="306">
        <f>L114*$B$9</f>
        <v/>
      </c>
      <c r="O114" s="306">
        <f>L114*$B$10</f>
        <v/>
      </c>
      <c r="P114" s="306">
        <f>L114-M114-N114-O114-D114-E114</f>
        <v/>
      </c>
      <c r="Q114" s="306">
        <f>MAX(0, P114 - $B$7*L114)</f>
        <v/>
      </c>
      <c r="R114" s="306">
        <f>P114-Q114</f>
        <v/>
      </c>
      <c r="S114" s="306">
        <f>IF(A114=$F$6, $B$18*$B$16*$B$17/1000000, 0) + IF(A114=$F$7, $B$18*$B$16*$B$17/1000000, 0) + IF(A114=$F$8, $B$18*$B$16*$B$17/1000000, 0) + IF(A114=$F$9, $B$18*$B$16*$B$17/1000000, 0) + IF(A114=$F$10, $B$18*$B$16*$B$17/1000000, 0)</f>
        <v/>
      </c>
      <c r="T114" s="306">
        <f>R114-S114-C114</f>
        <v/>
      </c>
      <c r="U114" s="306">
        <f>IF(AND(A114&lt;=$B$24, T114&gt;0), T114*$B$23, 0)</f>
        <v/>
      </c>
      <c r="V114" s="306">
        <f>T114-U114</f>
        <v/>
      </c>
      <c r="W114" s="306">
        <f>IF(AND(A114=$B$19, $B$21=1), K114*$B$20, 0)</f>
        <v/>
      </c>
      <c r="X114" s="306">
        <f>X113+V114+W114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SUM(F115:J115)</f>
        <v/>
      </c>
      <c r="L115" s="306">
        <f>K115/12</f>
        <v/>
      </c>
      <c r="M115" s="306">
        <f>L115*$B$8</f>
        <v/>
      </c>
      <c r="N115" s="306">
        <f>L115*$B$9</f>
        <v/>
      </c>
      <c r="O115" s="306">
        <f>L115*$B$10</f>
        <v/>
      </c>
      <c r="P115" s="306">
        <f>L115-M115-N115-O115-D115-E115</f>
        <v/>
      </c>
      <c r="Q115" s="306">
        <f>MAX(0, P115 - $B$7*L115)</f>
        <v/>
      </c>
      <c r="R115" s="306">
        <f>P115-Q115</f>
        <v/>
      </c>
      <c r="S115" s="306">
        <f>IF(A115=$F$6, $B$18*$B$16*$B$17/1000000, 0) + IF(A115=$F$7, $B$18*$B$16*$B$17/1000000, 0) + IF(A115=$F$8, $B$18*$B$16*$B$17/1000000, 0) + IF(A115=$F$9, $B$18*$B$16*$B$17/1000000, 0) + IF(A115=$F$10, $B$18*$B$16*$B$17/1000000, 0)</f>
        <v/>
      </c>
      <c r="T115" s="306">
        <f>R115-S115-C115</f>
        <v/>
      </c>
      <c r="U115" s="306">
        <f>IF(AND(A115&lt;=$B$24, T115&gt;0), T115*$B$23, 0)</f>
        <v/>
      </c>
      <c r="V115" s="306">
        <f>T115-U115</f>
        <v/>
      </c>
      <c r="W115" s="306">
        <f>IF(AND(A115=$B$19, $B$21=1), K115*$B$20, 0)</f>
        <v/>
      </c>
      <c r="X115" s="306">
        <f>X114+V115+W115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SUM(F116:J116)</f>
        <v/>
      </c>
      <c r="L116" s="306">
        <f>K116/12</f>
        <v/>
      </c>
      <c r="M116" s="306">
        <f>L116*$B$8</f>
        <v/>
      </c>
      <c r="N116" s="306">
        <f>L116*$B$9</f>
        <v/>
      </c>
      <c r="O116" s="306">
        <f>L116*$B$10</f>
        <v/>
      </c>
      <c r="P116" s="306">
        <f>L116-M116-N116-O116-D116-E116</f>
        <v/>
      </c>
      <c r="Q116" s="306">
        <f>MAX(0, P116 - $B$7*L116)</f>
        <v/>
      </c>
      <c r="R116" s="306">
        <f>P116-Q116</f>
        <v/>
      </c>
      <c r="S116" s="306">
        <f>IF(A116=$F$6, $B$18*$B$16*$B$17/1000000, 0) + IF(A116=$F$7, $B$18*$B$16*$B$17/1000000, 0) + IF(A116=$F$8, $B$18*$B$16*$B$17/1000000, 0) + IF(A116=$F$9, $B$18*$B$16*$B$17/1000000, 0) + IF(A116=$F$10, $B$18*$B$16*$B$17/1000000, 0)</f>
        <v/>
      </c>
      <c r="T116" s="306">
        <f>R116-S116-C116</f>
        <v/>
      </c>
      <c r="U116" s="306">
        <f>IF(AND(A116&lt;=$B$24, T116&gt;0), T116*$B$23, 0)</f>
        <v/>
      </c>
      <c r="V116" s="306">
        <f>T116-U116</f>
        <v/>
      </c>
      <c r="W116" s="306">
        <f>IF(AND(A116=$B$19, $B$21=1), K116*$B$20, 0)</f>
        <v/>
      </c>
      <c r="X116" s="306">
        <f>X115+V116+W116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SUM(F117:J117)</f>
        <v/>
      </c>
      <c r="L117" s="306">
        <f>K117/12</f>
        <v/>
      </c>
      <c r="M117" s="306">
        <f>L117*$B$8</f>
        <v/>
      </c>
      <c r="N117" s="306">
        <f>L117*$B$9</f>
        <v/>
      </c>
      <c r="O117" s="306">
        <f>L117*$B$10</f>
        <v/>
      </c>
      <c r="P117" s="306">
        <f>L117-M117-N117-O117-D117-E117</f>
        <v/>
      </c>
      <c r="Q117" s="306">
        <f>MAX(0, P117 - $B$7*L117)</f>
        <v/>
      </c>
      <c r="R117" s="306">
        <f>P117-Q117</f>
        <v/>
      </c>
      <c r="S117" s="306">
        <f>IF(A117=$F$6, $B$18*$B$16*$B$17/1000000, 0) + IF(A117=$F$7, $B$18*$B$16*$B$17/1000000, 0) + IF(A117=$F$8, $B$18*$B$16*$B$17/1000000, 0) + IF(A117=$F$9, $B$18*$B$16*$B$17/1000000, 0) + IF(A117=$F$10, $B$18*$B$16*$B$17/1000000, 0)</f>
        <v/>
      </c>
      <c r="T117" s="306">
        <f>R117-S117-C117</f>
        <v/>
      </c>
      <c r="U117" s="306">
        <f>IF(AND(A117&lt;=$B$24, T117&gt;0), T117*$B$23, 0)</f>
        <v/>
      </c>
      <c r="V117" s="306">
        <f>T117-U117</f>
        <v/>
      </c>
      <c r="W117" s="306">
        <f>IF(AND(A117=$B$19, $B$21=1), K117*$B$20, 0)</f>
        <v/>
      </c>
      <c r="X117" s="306">
        <f>X116+V117+W117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SUM(F118:J118)</f>
        <v/>
      </c>
      <c r="L118" s="306">
        <f>K118/12</f>
        <v/>
      </c>
      <c r="M118" s="306">
        <f>L118*$B$8</f>
        <v/>
      </c>
      <c r="N118" s="306">
        <f>L118*$B$9</f>
        <v/>
      </c>
      <c r="O118" s="306">
        <f>L118*$B$10</f>
        <v/>
      </c>
      <c r="P118" s="306">
        <f>L118-M118-N118-O118-D118-E118</f>
        <v/>
      </c>
      <c r="Q118" s="306">
        <f>MAX(0, P118 - $B$7*L118)</f>
        <v/>
      </c>
      <c r="R118" s="306">
        <f>P118-Q118</f>
        <v/>
      </c>
      <c r="S118" s="306">
        <f>IF(A118=$F$6, $B$18*$B$16*$B$17/1000000, 0) + IF(A118=$F$7, $B$18*$B$16*$B$17/1000000, 0) + IF(A118=$F$8, $B$18*$B$16*$B$17/1000000, 0) + IF(A118=$F$9, $B$18*$B$16*$B$17/1000000, 0) + IF(A118=$F$10, $B$18*$B$16*$B$17/1000000, 0)</f>
        <v/>
      </c>
      <c r="T118" s="306">
        <f>R118-S118-C118</f>
        <v/>
      </c>
      <c r="U118" s="306">
        <f>IF(AND(A118&lt;=$B$24, T118&gt;0), T118*$B$23, 0)</f>
        <v/>
      </c>
      <c r="V118" s="306">
        <f>T118-U118</f>
        <v/>
      </c>
      <c r="W118" s="306">
        <f>IF(AND(A118=$B$19, $B$21=1), K118*$B$20, 0)</f>
        <v/>
      </c>
      <c r="X118" s="306">
        <f>X117+V118+W118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SUM(F119:J119)</f>
        <v/>
      </c>
      <c r="L119" s="306">
        <f>K119/12</f>
        <v/>
      </c>
      <c r="M119" s="306">
        <f>L119*$B$8</f>
        <v/>
      </c>
      <c r="N119" s="306">
        <f>L119*$B$9</f>
        <v/>
      </c>
      <c r="O119" s="306">
        <f>L119*$B$10</f>
        <v/>
      </c>
      <c r="P119" s="306">
        <f>L119-M119-N119-O119-D119-E119</f>
        <v/>
      </c>
      <c r="Q119" s="306">
        <f>MAX(0, P119 - $B$7*L119)</f>
        <v/>
      </c>
      <c r="R119" s="306">
        <f>P119-Q119</f>
        <v/>
      </c>
      <c r="S119" s="306">
        <f>IF(A119=$F$6, $B$18*$B$16*$B$17/1000000, 0) + IF(A119=$F$7, $B$18*$B$16*$B$17/1000000, 0) + IF(A119=$F$8, $B$18*$B$16*$B$17/1000000, 0) + IF(A119=$F$9, $B$18*$B$16*$B$17/1000000, 0) + IF(A119=$F$10, $B$18*$B$16*$B$17/1000000, 0)</f>
        <v/>
      </c>
      <c r="T119" s="306">
        <f>R119-S119-C119</f>
        <v/>
      </c>
      <c r="U119" s="306">
        <f>IF(AND(A119&lt;=$B$24, T119&gt;0), T119*$B$23, 0)</f>
        <v/>
      </c>
      <c r="V119" s="306">
        <f>T119-U119</f>
        <v/>
      </c>
      <c r="W119" s="306">
        <f>IF(AND(A119=$B$19, $B$21=1), K119*$B$20, 0)</f>
        <v/>
      </c>
      <c r="X119" s="306">
        <f>X118+V119+W119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SUM(F120:J120)</f>
        <v/>
      </c>
      <c r="L120" s="306">
        <f>K120/12</f>
        <v/>
      </c>
      <c r="M120" s="306">
        <f>L120*$B$8</f>
        <v/>
      </c>
      <c r="N120" s="306">
        <f>L120*$B$9</f>
        <v/>
      </c>
      <c r="O120" s="306">
        <f>L120*$B$10</f>
        <v/>
      </c>
      <c r="P120" s="306">
        <f>L120-M120-N120-O120-D120-E120</f>
        <v/>
      </c>
      <c r="Q120" s="306">
        <f>MAX(0, P120 - $B$7*L120)</f>
        <v/>
      </c>
      <c r="R120" s="306">
        <f>P120-Q120</f>
        <v/>
      </c>
      <c r="S120" s="306">
        <f>IF(A120=$F$6, $B$18*$B$16*$B$17/1000000, 0) + IF(A120=$F$7, $B$18*$B$16*$B$17/1000000, 0) + IF(A120=$F$8, $B$18*$B$16*$B$17/1000000, 0) + IF(A120=$F$9, $B$18*$B$16*$B$17/1000000, 0) + IF(A120=$F$10, $B$18*$B$16*$B$17/1000000, 0)</f>
        <v/>
      </c>
      <c r="T120" s="306">
        <f>R120-S120-C120</f>
        <v/>
      </c>
      <c r="U120" s="306">
        <f>IF(AND(A120&lt;=$B$24, T120&gt;0), T120*$B$23, 0)</f>
        <v/>
      </c>
      <c r="V120" s="306">
        <f>T120-U120</f>
        <v/>
      </c>
      <c r="W120" s="306">
        <f>IF(AND(A120=$B$19, $B$21=1), K120*$B$20, 0)</f>
        <v/>
      </c>
      <c r="X120" s="306">
        <f>X119+V120+W120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SUM(F121:J121)</f>
        <v/>
      </c>
      <c r="L121" s="306">
        <f>K121/12</f>
        <v/>
      </c>
      <c r="M121" s="306">
        <f>L121*$B$8</f>
        <v/>
      </c>
      <c r="N121" s="306">
        <f>L121*$B$9</f>
        <v/>
      </c>
      <c r="O121" s="306">
        <f>L121*$B$10</f>
        <v/>
      </c>
      <c r="P121" s="306">
        <f>L121-M121-N121-O121-D121-E121</f>
        <v/>
      </c>
      <c r="Q121" s="306">
        <f>MAX(0, P121 - $B$7*L121)</f>
        <v/>
      </c>
      <c r="R121" s="306">
        <f>P121-Q121</f>
        <v/>
      </c>
      <c r="S121" s="306">
        <f>IF(A121=$F$6, $B$18*$B$16*$B$17/1000000, 0) + IF(A121=$F$7, $B$18*$B$16*$B$17/1000000, 0) + IF(A121=$F$8, $B$18*$B$16*$B$17/1000000, 0) + IF(A121=$F$9, $B$18*$B$16*$B$17/1000000, 0) + IF(A121=$F$10, $B$18*$B$16*$B$17/1000000, 0)</f>
        <v/>
      </c>
      <c r="T121" s="306">
        <f>R121-S121-C121</f>
        <v/>
      </c>
      <c r="U121" s="306">
        <f>IF(AND(A121&lt;=$B$24, T121&gt;0), T121*$B$23, 0)</f>
        <v/>
      </c>
      <c r="V121" s="306">
        <f>T121-U121</f>
        <v/>
      </c>
      <c r="W121" s="306">
        <f>IF(AND(A121=$B$19, $B$21=1), K121*$B$20, 0)</f>
        <v/>
      </c>
      <c r="X121" s="306">
        <f>X120+V121+W121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SUM(F122:J122)</f>
        <v/>
      </c>
      <c r="L122" s="306">
        <f>K122/12</f>
        <v/>
      </c>
      <c r="M122" s="306">
        <f>L122*$B$8</f>
        <v/>
      </c>
      <c r="N122" s="306">
        <f>L122*$B$9</f>
        <v/>
      </c>
      <c r="O122" s="306">
        <f>L122*$B$10</f>
        <v/>
      </c>
      <c r="P122" s="306">
        <f>L122-M122-N122-O122-D122-E122</f>
        <v/>
      </c>
      <c r="Q122" s="306">
        <f>MAX(0, P122 - $B$7*L122)</f>
        <v/>
      </c>
      <c r="R122" s="306">
        <f>P122-Q122</f>
        <v/>
      </c>
      <c r="S122" s="306">
        <f>IF(A122=$F$6, $B$18*$B$16*$B$17/1000000, 0) + IF(A122=$F$7, $B$18*$B$16*$B$17/1000000, 0) + IF(A122=$F$8, $B$18*$B$16*$B$17/1000000, 0) + IF(A122=$F$9, $B$18*$B$16*$B$17/1000000, 0) + IF(A122=$F$10, $B$18*$B$16*$B$17/1000000, 0)</f>
        <v/>
      </c>
      <c r="T122" s="306">
        <f>R122-S122-C122</f>
        <v/>
      </c>
      <c r="U122" s="306">
        <f>IF(AND(A122&lt;=$B$24, T122&gt;0), T122*$B$23, 0)</f>
        <v/>
      </c>
      <c r="V122" s="306">
        <f>T122-U122</f>
        <v/>
      </c>
      <c r="W122" s="306">
        <f>IF(AND(A122=$B$19, $B$21=1), K122*$B$20, 0)</f>
        <v/>
      </c>
      <c r="X122" s="306">
        <f>X121+V122+W122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SUM(F123:J123)</f>
        <v/>
      </c>
      <c r="L123" s="306">
        <f>K123/12</f>
        <v/>
      </c>
      <c r="M123" s="306">
        <f>L123*$B$8</f>
        <v/>
      </c>
      <c r="N123" s="306">
        <f>L123*$B$9</f>
        <v/>
      </c>
      <c r="O123" s="306">
        <f>L123*$B$10</f>
        <v/>
      </c>
      <c r="P123" s="306">
        <f>L123-M123-N123-O123-D123-E123</f>
        <v/>
      </c>
      <c r="Q123" s="306">
        <f>MAX(0, P123 - $B$7*L123)</f>
        <v/>
      </c>
      <c r="R123" s="306">
        <f>P123-Q123</f>
        <v/>
      </c>
      <c r="S123" s="306">
        <f>IF(A123=$F$6, $B$18*$B$16*$B$17/1000000, 0) + IF(A123=$F$7, $B$18*$B$16*$B$17/1000000, 0) + IF(A123=$F$8, $B$18*$B$16*$B$17/1000000, 0) + IF(A123=$F$9, $B$18*$B$16*$B$17/1000000, 0) + IF(A123=$F$10, $B$18*$B$16*$B$17/1000000, 0)</f>
        <v/>
      </c>
      <c r="T123" s="306">
        <f>R123-S123-C123</f>
        <v/>
      </c>
      <c r="U123" s="306">
        <f>IF(AND(A123&lt;=$B$24, T123&gt;0), T123*$B$23, 0)</f>
        <v/>
      </c>
      <c r="V123" s="306">
        <f>T123-U123</f>
        <v/>
      </c>
      <c r="W123" s="306">
        <f>IF(AND(A123=$B$19, $B$21=1), K123*$B$20, 0)</f>
        <v/>
      </c>
      <c r="X123" s="306">
        <f>X122+V123+W123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SUM(F124:J124)</f>
        <v/>
      </c>
      <c r="L124" s="306">
        <f>K124/12</f>
        <v/>
      </c>
      <c r="M124" s="306">
        <f>L124*$B$8</f>
        <v/>
      </c>
      <c r="N124" s="306">
        <f>L124*$B$9</f>
        <v/>
      </c>
      <c r="O124" s="306">
        <f>L124*$B$10</f>
        <v/>
      </c>
      <c r="P124" s="306">
        <f>L124-M124-N124-O124-D124-E124</f>
        <v/>
      </c>
      <c r="Q124" s="306">
        <f>MAX(0, P124 - $B$7*L124)</f>
        <v/>
      </c>
      <c r="R124" s="306">
        <f>P124-Q124</f>
        <v/>
      </c>
      <c r="S124" s="306">
        <f>IF(A124=$F$6, $B$18*$B$16*$B$17/1000000, 0) + IF(A124=$F$7, $B$18*$B$16*$B$17/1000000, 0) + IF(A124=$F$8, $B$18*$B$16*$B$17/1000000, 0) + IF(A124=$F$9, $B$18*$B$16*$B$17/1000000, 0) + IF(A124=$F$10, $B$18*$B$16*$B$17/1000000, 0)</f>
        <v/>
      </c>
      <c r="T124" s="306">
        <f>R124-S124-C124</f>
        <v/>
      </c>
      <c r="U124" s="306">
        <f>IF(AND(A124&lt;=$B$24, T124&gt;0), T124*$B$23, 0)</f>
        <v/>
      </c>
      <c r="V124" s="306">
        <f>T124-U124</f>
        <v/>
      </c>
      <c r="W124" s="306">
        <f>IF(AND(A124=$B$19, $B$21=1), K124*$B$20, 0)</f>
        <v/>
      </c>
      <c r="X124" s="306">
        <f>X123+V124+W124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SUM(F125:J125)</f>
        <v/>
      </c>
      <c r="L125" s="306">
        <f>K125/12</f>
        <v/>
      </c>
      <c r="M125" s="306">
        <f>L125*$B$8</f>
        <v/>
      </c>
      <c r="N125" s="306">
        <f>L125*$B$9</f>
        <v/>
      </c>
      <c r="O125" s="306">
        <f>L125*$B$10</f>
        <v/>
      </c>
      <c r="P125" s="306">
        <f>L125-M125-N125-O125-D125-E125</f>
        <v/>
      </c>
      <c r="Q125" s="306">
        <f>MAX(0, P125 - $B$7*L125)</f>
        <v/>
      </c>
      <c r="R125" s="306">
        <f>P125-Q125</f>
        <v/>
      </c>
      <c r="S125" s="306">
        <f>IF(A125=$F$6, $B$18*$B$16*$B$17/1000000, 0) + IF(A125=$F$7, $B$18*$B$16*$B$17/1000000, 0) + IF(A125=$F$8, $B$18*$B$16*$B$17/1000000, 0) + IF(A125=$F$9, $B$18*$B$16*$B$17/1000000, 0) + IF(A125=$F$10, $B$18*$B$16*$B$17/1000000, 0)</f>
        <v/>
      </c>
      <c r="T125" s="306">
        <f>R125-S125-C125</f>
        <v/>
      </c>
      <c r="U125" s="306">
        <f>IF(AND(A125&lt;=$B$24, T125&gt;0), T125*$B$23, 0)</f>
        <v/>
      </c>
      <c r="V125" s="306">
        <f>T125-U125</f>
        <v/>
      </c>
      <c r="W125" s="306">
        <f>IF(AND(A125=$B$19, $B$21=1), K125*$B$20, 0)</f>
        <v/>
      </c>
      <c r="X125" s="306">
        <f>X124+V125+W125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SUM(F126:J126)</f>
        <v/>
      </c>
      <c r="L126" s="306">
        <f>K126/12</f>
        <v/>
      </c>
      <c r="M126" s="306">
        <f>L126*$B$8</f>
        <v/>
      </c>
      <c r="N126" s="306">
        <f>L126*$B$9</f>
        <v/>
      </c>
      <c r="O126" s="306">
        <f>L126*$B$10</f>
        <v/>
      </c>
      <c r="P126" s="306">
        <f>L126-M126-N126-O126-D126-E126</f>
        <v/>
      </c>
      <c r="Q126" s="306">
        <f>MAX(0, P126 - $B$7*L126)</f>
        <v/>
      </c>
      <c r="R126" s="306">
        <f>P126-Q126</f>
        <v/>
      </c>
      <c r="S126" s="306">
        <f>IF(A126=$F$6, $B$18*$B$16*$B$17/1000000, 0) + IF(A126=$F$7, $B$18*$B$16*$B$17/1000000, 0) + IF(A126=$F$8, $B$18*$B$16*$B$17/1000000, 0) + IF(A126=$F$9, $B$18*$B$16*$B$17/1000000, 0) + IF(A126=$F$10, $B$18*$B$16*$B$17/1000000, 0)</f>
        <v/>
      </c>
      <c r="T126" s="306">
        <f>R126-S126-C126</f>
        <v/>
      </c>
      <c r="U126" s="306">
        <f>IF(AND(A126&lt;=$B$24, T126&gt;0), T126*$B$23, 0)</f>
        <v/>
      </c>
      <c r="V126" s="306">
        <f>T126-U126</f>
        <v/>
      </c>
      <c r="W126" s="306">
        <f>IF(AND(A126=$B$19, $B$21=1), K126*$B$20, 0)</f>
        <v/>
      </c>
      <c r="X126" s="306">
        <f>X125+V126+W126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SUM(F127:J127)</f>
        <v/>
      </c>
      <c r="L127" s="306">
        <f>K127/12</f>
        <v/>
      </c>
      <c r="M127" s="306">
        <f>L127*$B$8</f>
        <v/>
      </c>
      <c r="N127" s="306">
        <f>L127*$B$9</f>
        <v/>
      </c>
      <c r="O127" s="306">
        <f>L127*$B$10</f>
        <v/>
      </c>
      <c r="P127" s="306">
        <f>L127-M127-N127-O127-D127-E127</f>
        <v/>
      </c>
      <c r="Q127" s="306">
        <f>MAX(0, P127 - $B$7*L127)</f>
        <v/>
      </c>
      <c r="R127" s="306">
        <f>P127-Q127</f>
        <v/>
      </c>
      <c r="S127" s="306">
        <f>IF(A127=$F$6, $B$18*$B$16*$B$17/1000000, 0) + IF(A127=$F$7, $B$18*$B$16*$B$17/1000000, 0) + IF(A127=$F$8, $B$18*$B$16*$B$17/1000000, 0) + IF(A127=$F$9, $B$18*$B$16*$B$17/1000000, 0) + IF(A127=$F$10, $B$18*$B$16*$B$17/1000000, 0)</f>
        <v/>
      </c>
      <c r="T127" s="306">
        <f>R127-S127-C127</f>
        <v/>
      </c>
      <c r="U127" s="306">
        <f>IF(AND(A127&lt;=$B$24, T127&gt;0), T127*$B$23, 0)</f>
        <v/>
      </c>
      <c r="V127" s="306">
        <f>T127-U127</f>
        <v/>
      </c>
      <c r="W127" s="306">
        <f>IF(AND(A127=$B$19, $B$21=1), K127*$B$20, 0)</f>
        <v/>
      </c>
      <c r="X127" s="306">
        <f>X126+V127+W127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SUM(F128:J128)</f>
        <v/>
      </c>
      <c r="L128" s="306">
        <f>K128/12</f>
        <v/>
      </c>
      <c r="M128" s="306">
        <f>L128*$B$8</f>
        <v/>
      </c>
      <c r="N128" s="306">
        <f>L128*$B$9</f>
        <v/>
      </c>
      <c r="O128" s="306">
        <f>L128*$B$10</f>
        <v/>
      </c>
      <c r="P128" s="306">
        <f>L128-M128-N128-O128-D128-E128</f>
        <v/>
      </c>
      <c r="Q128" s="306">
        <f>MAX(0, P128 - $B$7*L128)</f>
        <v/>
      </c>
      <c r="R128" s="306">
        <f>P128-Q128</f>
        <v/>
      </c>
      <c r="S128" s="306">
        <f>IF(A128=$F$6, $B$18*$B$16*$B$17/1000000, 0) + IF(A128=$F$7, $B$18*$B$16*$B$17/1000000, 0) + IF(A128=$F$8, $B$18*$B$16*$B$17/1000000, 0) + IF(A128=$F$9, $B$18*$B$16*$B$17/1000000, 0) + IF(A128=$F$10, $B$18*$B$16*$B$17/1000000, 0)</f>
        <v/>
      </c>
      <c r="T128" s="306">
        <f>R128-S128-C128</f>
        <v/>
      </c>
      <c r="U128" s="306">
        <f>IF(AND(A128&lt;=$B$24, T128&gt;0), T128*$B$23, 0)</f>
        <v/>
      </c>
      <c r="V128" s="306">
        <f>T128-U128</f>
        <v/>
      </c>
      <c r="W128" s="306">
        <f>IF(AND(A128=$B$19, $B$21=1), K128*$B$20, 0)</f>
        <v/>
      </c>
      <c r="X128" s="306">
        <f>X127+V128+W128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SUM(F129:J129)</f>
        <v/>
      </c>
      <c r="L129" s="306">
        <f>K129/12</f>
        <v/>
      </c>
      <c r="M129" s="306">
        <f>L129*$B$8</f>
        <v/>
      </c>
      <c r="N129" s="306">
        <f>L129*$B$9</f>
        <v/>
      </c>
      <c r="O129" s="306">
        <f>L129*$B$10</f>
        <v/>
      </c>
      <c r="P129" s="306">
        <f>L129-M129-N129-O129-D129-E129</f>
        <v/>
      </c>
      <c r="Q129" s="306">
        <f>MAX(0, P129 - $B$7*L129)</f>
        <v/>
      </c>
      <c r="R129" s="306">
        <f>P129-Q129</f>
        <v/>
      </c>
      <c r="S129" s="306">
        <f>IF(A129=$F$6, $B$18*$B$16*$B$17/1000000, 0) + IF(A129=$F$7, $B$18*$B$16*$B$17/1000000, 0) + IF(A129=$F$8, $B$18*$B$16*$B$17/1000000, 0) + IF(A129=$F$9, $B$18*$B$16*$B$17/1000000, 0) + IF(A129=$F$10, $B$18*$B$16*$B$17/1000000, 0)</f>
        <v/>
      </c>
      <c r="T129" s="306">
        <f>R129-S129-C129</f>
        <v/>
      </c>
      <c r="U129" s="306">
        <f>IF(AND(A129&lt;=$B$24, T129&gt;0), T129*$B$23, 0)</f>
        <v/>
      </c>
      <c r="V129" s="306">
        <f>T129-U129</f>
        <v/>
      </c>
      <c r="W129" s="306">
        <f>IF(AND(A129=$B$19, $B$21=1), K129*$B$20, 0)</f>
        <v/>
      </c>
      <c r="X129" s="306">
        <f>X128+V129+W129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SUM(F130:J130)</f>
        <v/>
      </c>
      <c r="L130" s="306">
        <f>K130/12</f>
        <v/>
      </c>
      <c r="M130" s="306">
        <f>L130*$B$8</f>
        <v/>
      </c>
      <c r="N130" s="306">
        <f>L130*$B$9</f>
        <v/>
      </c>
      <c r="O130" s="306">
        <f>L130*$B$10</f>
        <v/>
      </c>
      <c r="P130" s="306">
        <f>L130-M130-N130-O130-D130-E130</f>
        <v/>
      </c>
      <c r="Q130" s="306">
        <f>MAX(0, P130 - $B$7*L130)</f>
        <v/>
      </c>
      <c r="R130" s="306">
        <f>P130-Q130</f>
        <v/>
      </c>
      <c r="S130" s="306">
        <f>IF(A130=$F$6, $B$18*$B$16*$B$17/1000000, 0) + IF(A130=$F$7, $B$18*$B$16*$B$17/1000000, 0) + IF(A130=$F$8, $B$18*$B$16*$B$17/1000000, 0) + IF(A130=$F$9, $B$18*$B$16*$B$17/1000000, 0) + IF(A130=$F$10, $B$18*$B$16*$B$17/1000000, 0)</f>
        <v/>
      </c>
      <c r="T130" s="306">
        <f>R130-S130-C130</f>
        <v/>
      </c>
      <c r="U130" s="306">
        <f>IF(AND(A130&lt;=$B$24, T130&gt;0), T130*$B$23, 0)</f>
        <v/>
      </c>
      <c r="V130" s="306">
        <f>T130-U130</f>
        <v/>
      </c>
      <c r="W130" s="306">
        <f>IF(AND(A130=$B$19, $B$21=1), K130*$B$20, 0)</f>
        <v/>
      </c>
      <c r="X130" s="306">
        <f>X129+V130+W130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SUM(F131:J131)</f>
        <v/>
      </c>
      <c r="L131" s="306">
        <f>K131/12</f>
        <v/>
      </c>
      <c r="M131" s="306">
        <f>L131*$B$8</f>
        <v/>
      </c>
      <c r="N131" s="306">
        <f>L131*$B$9</f>
        <v/>
      </c>
      <c r="O131" s="306">
        <f>L131*$B$10</f>
        <v/>
      </c>
      <c r="P131" s="306">
        <f>L131-M131-N131-O131-D131-E131</f>
        <v/>
      </c>
      <c r="Q131" s="306">
        <f>MAX(0, P131 - $B$7*L131)</f>
        <v/>
      </c>
      <c r="R131" s="306">
        <f>P131-Q131</f>
        <v/>
      </c>
      <c r="S131" s="306">
        <f>IF(A131=$F$6, $B$18*$B$16*$B$17/1000000, 0) + IF(A131=$F$7, $B$18*$B$16*$B$17/1000000, 0) + IF(A131=$F$8, $B$18*$B$16*$B$17/1000000, 0) + IF(A131=$F$9, $B$18*$B$16*$B$17/1000000, 0) + IF(A131=$F$10, $B$18*$B$16*$B$17/1000000, 0)</f>
        <v/>
      </c>
      <c r="T131" s="306">
        <f>R131-S131-C131</f>
        <v/>
      </c>
      <c r="U131" s="306">
        <f>IF(AND(A131&lt;=$B$24, T131&gt;0), T131*$B$23, 0)</f>
        <v/>
      </c>
      <c r="V131" s="306">
        <f>T131-U131</f>
        <v/>
      </c>
      <c r="W131" s="306">
        <f>IF(AND(A131=$B$19, $B$21=1), K131*$B$20, 0)</f>
        <v/>
      </c>
      <c r="X131" s="306">
        <f>X130+V131+W131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SUM(F132:J132)</f>
        <v/>
      </c>
      <c r="L132" s="306">
        <f>K132/12</f>
        <v/>
      </c>
      <c r="M132" s="306">
        <f>L132*$B$8</f>
        <v/>
      </c>
      <c r="N132" s="306">
        <f>L132*$B$9</f>
        <v/>
      </c>
      <c r="O132" s="306">
        <f>L132*$B$10</f>
        <v/>
      </c>
      <c r="P132" s="306">
        <f>L132-M132-N132-O132-D132-E132</f>
        <v/>
      </c>
      <c r="Q132" s="306">
        <f>MAX(0, P132 - $B$7*L132)</f>
        <v/>
      </c>
      <c r="R132" s="306">
        <f>P132-Q132</f>
        <v/>
      </c>
      <c r="S132" s="306">
        <f>IF(A132=$F$6, $B$18*$B$16*$B$17/1000000, 0) + IF(A132=$F$7, $B$18*$B$16*$B$17/1000000, 0) + IF(A132=$F$8, $B$18*$B$16*$B$17/1000000, 0) + IF(A132=$F$9, $B$18*$B$16*$B$17/1000000, 0) + IF(A132=$F$10, $B$18*$B$16*$B$17/1000000, 0)</f>
        <v/>
      </c>
      <c r="T132" s="306">
        <f>R132-S132-C132</f>
        <v/>
      </c>
      <c r="U132" s="306">
        <f>IF(AND(A132&lt;=$B$24, T132&gt;0), T132*$B$23, 0)</f>
        <v/>
      </c>
      <c r="V132" s="306">
        <f>T132-U132</f>
        <v/>
      </c>
      <c r="W132" s="306">
        <f>IF(AND(A132=$B$19, $B$21=1), K132*$B$20, 0)</f>
        <v/>
      </c>
      <c r="X132" s="306">
        <f>X131+V132+W132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SUM(F133:J133)</f>
        <v/>
      </c>
      <c r="L133" s="306">
        <f>K133/12</f>
        <v/>
      </c>
      <c r="M133" s="306">
        <f>L133*$B$8</f>
        <v/>
      </c>
      <c r="N133" s="306">
        <f>L133*$B$9</f>
        <v/>
      </c>
      <c r="O133" s="306">
        <f>L133*$B$10</f>
        <v/>
      </c>
      <c r="P133" s="306">
        <f>L133-M133-N133-O133-D133-E133</f>
        <v/>
      </c>
      <c r="Q133" s="306">
        <f>MAX(0, P133 - $B$7*L133)</f>
        <v/>
      </c>
      <c r="R133" s="306">
        <f>P133-Q133</f>
        <v/>
      </c>
      <c r="S133" s="306">
        <f>IF(A133=$F$6, $B$18*$B$16*$B$17/1000000, 0) + IF(A133=$F$7, $B$18*$B$16*$B$17/1000000, 0) + IF(A133=$F$8, $B$18*$B$16*$B$17/1000000, 0) + IF(A133=$F$9, $B$18*$B$16*$B$17/1000000, 0) + IF(A133=$F$10, $B$18*$B$16*$B$17/1000000, 0)</f>
        <v/>
      </c>
      <c r="T133" s="306">
        <f>R133-S133-C133</f>
        <v/>
      </c>
      <c r="U133" s="306">
        <f>IF(AND(A133&lt;=$B$24, T133&gt;0), T133*$B$23, 0)</f>
        <v/>
      </c>
      <c r="V133" s="306">
        <f>T133-U133</f>
        <v/>
      </c>
      <c r="W133" s="306">
        <f>IF(AND(A133=$B$19, $B$21=1), K133*$B$20, 0)</f>
        <v/>
      </c>
      <c r="X133" s="306">
        <f>X132+V133+W133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SUM(F134:J134)</f>
        <v/>
      </c>
      <c r="L134" s="306">
        <f>K134/12</f>
        <v/>
      </c>
      <c r="M134" s="306">
        <f>L134*$B$8</f>
        <v/>
      </c>
      <c r="N134" s="306">
        <f>L134*$B$9</f>
        <v/>
      </c>
      <c r="O134" s="306">
        <f>L134*$B$10</f>
        <v/>
      </c>
      <c r="P134" s="306">
        <f>L134-M134-N134-O134-D134-E134</f>
        <v/>
      </c>
      <c r="Q134" s="306">
        <f>MAX(0, P134 - $B$7*L134)</f>
        <v/>
      </c>
      <c r="R134" s="306">
        <f>P134-Q134</f>
        <v/>
      </c>
      <c r="S134" s="306">
        <f>IF(A134=$F$6, $B$18*$B$16*$B$17/1000000, 0) + IF(A134=$F$7, $B$18*$B$16*$B$17/1000000, 0) + IF(A134=$F$8, $B$18*$B$16*$B$17/1000000, 0) + IF(A134=$F$9, $B$18*$B$16*$B$17/1000000, 0) + IF(A134=$F$10, $B$18*$B$16*$B$17/1000000, 0)</f>
        <v/>
      </c>
      <c r="T134" s="306">
        <f>R134-S134-C134</f>
        <v/>
      </c>
      <c r="U134" s="306">
        <f>IF(AND(A134&lt;=$B$24, T134&gt;0), T134*$B$23, 0)</f>
        <v/>
      </c>
      <c r="V134" s="306">
        <f>T134-U134</f>
        <v/>
      </c>
      <c r="W134" s="306">
        <f>IF(AND(A134=$B$19, $B$21=1), K134*$B$20, 0)</f>
        <v/>
      </c>
      <c r="X134" s="306">
        <f>X133+V134+W134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SUM(F135:J135)</f>
        <v/>
      </c>
      <c r="L135" s="306">
        <f>K135/12</f>
        <v/>
      </c>
      <c r="M135" s="306">
        <f>L135*$B$8</f>
        <v/>
      </c>
      <c r="N135" s="306">
        <f>L135*$B$9</f>
        <v/>
      </c>
      <c r="O135" s="306">
        <f>L135*$B$10</f>
        <v/>
      </c>
      <c r="P135" s="306">
        <f>L135-M135-N135-O135-D135-E135</f>
        <v/>
      </c>
      <c r="Q135" s="306">
        <f>MAX(0, P135 - $B$7*L135)</f>
        <v/>
      </c>
      <c r="R135" s="306">
        <f>P135-Q135</f>
        <v/>
      </c>
      <c r="S135" s="306">
        <f>IF(A135=$F$6, $B$18*$B$16*$B$17/1000000, 0) + IF(A135=$F$7, $B$18*$B$16*$B$17/1000000, 0) + IF(A135=$F$8, $B$18*$B$16*$B$17/1000000, 0) + IF(A135=$F$9, $B$18*$B$16*$B$17/1000000, 0) + IF(A135=$F$10, $B$18*$B$16*$B$17/1000000, 0)</f>
        <v/>
      </c>
      <c r="T135" s="306">
        <f>R135-S135-C135</f>
        <v/>
      </c>
      <c r="U135" s="306">
        <f>IF(AND(A135&lt;=$B$24, T135&gt;0), T135*$B$23, 0)</f>
        <v/>
      </c>
      <c r="V135" s="306">
        <f>T135-U135</f>
        <v/>
      </c>
      <c r="W135" s="306">
        <f>IF(AND(A135=$B$19, $B$21=1), K135*$B$20, 0)</f>
        <v/>
      </c>
      <c r="X135" s="306">
        <f>X134+V135+W135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SUM(F136:J136)</f>
        <v/>
      </c>
      <c r="L136" s="306">
        <f>K136/12</f>
        <v/>
      </c>
      <c r="M136" s="306">
        <f>L136*$B$8</f>
        <v/>
      </c>
      <c r="N136" s="306">
        <f>L136*$B$9</f>
        <v/>
      </c>
      <c r="O136" s="306">
        <f>L136*$B$10</f>
        <v/>
      </c>
      <c r="P136" s="306">
        <f>L136-M136-N136-O136-D136-E136</f>
        <v/>
      </c>
      <c r="Q136" s="306">
        <f>MAX(0, P136 - $B$7*L136)</f>
        <v/>
      </c>
      <c r="R136" s="306">
        <f>P136-Q136</f>
        <v/>
      </c>
      <c r="S136" s="306">
        <f>IF(A136=$F$6, $B$18*$B$16*$B$17/1000000, 0) + IF(A136=$F$7, $B$18*$B$16*$B$17/1000000, 0) + IF(A136=$F$8, $B$18*$B$16*$B$17/1000000, 0) + IF(A136=$F$9, $B$18*$B$16*$B$17/1000000, 0) + IF(A136=$F$10, $B$18*$B$16*$B$17/1000000, 0)</f>
        <v/>
      </c>
      <c r="T136" s="306">
        <f>R136-S136-C136</f>
        <v/>
      </c>
      <c r="U136" s="306">
        <f>IF(AND(A136&lt;=$B$24, T136&gt;0), T136*$B$23, 0)</f>
        <v/>
      </c>
      <c r="V136" s="306">
        <f>T136-U136</f>
        <v/>
      </c>
      <c r="W136" s="306">
        <f>IF(AND(A136=$B$19, $B$21=1), K136*$B$20, 0)</f>
        <v/>
      </c>
      <c r="X136" s="306">
        <f>X135+V136+W136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SUM(F137:J137)</f>
        <v/>
      </c>
      <c r="L137" s="306">
        <f>K137/12</f>
        <v/>
      </c>
      <c r="M137" s="306">
        <f>L137*$B$8</f>
        <v/>
      </c>
      <c r="N137" s="306">
        <f>L137*$B$9</f>
        <v/>
      </c>
      <c r="O137" s="306">
        <f>L137*$B$10</f>
        <v/>
      </c>
      <c r="P137" s="306">
        <f>L137-M137-N137-O137-D137-E137</f>
        <v/>
      </c>
      <c r="Q137" s="306">
        <f>MAX(0, P137 - $B$7*L137)</f>
        <v/>
      </c>
      <c r="R137" s="306">
        <f>P137-Q137</f>
        <v/>
      </c>
      <c r="S137" s="306">
        <f>IF(A137=$F$6, $B$18*$B$16*$B$17/1000000, 0) + IF(A137=$F$7, $B$18*$B$16*$B$17/1000000, 0) + IF(A137=$F$8, $B$18*$B$16*$B$17/1000000, 0) + IF(A137=$F$9, $B$18*$B$16*$B$17/1000000, 0) + IF(A137=$F$10, $B$18*$B$16*$B$17/1000000, 0)</f>
        <v/>
      </c>
      <c r="T137" s="306">
        <f>R137-S137-C137</f>
        <v/>
      </c>
      <c r="U137" s="306">
        <f>IF(AND(A137&lt;=$B$24, T137&gt;0), T137*$B$23, 0)</f>
        <v/>
      </c>
      <c r="V137" s="306">
        <f>T137-U137</f>
        <v/>
      </c>
      <c r="W137" s="306">
        <f>IF(AND(A137=$B$19, $B$21=1), K137*$B$20, 0)</f>
        <v/>
      </c>
      <c r="X137" s="306">
        <f>X136+V137+W137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SUM(F138:J138)</f>
        <v/>
      </c>
      <c r="L138" s="306">
        <f>K138/12</f>
        <v/>
      </c>
      <c r="M138" s="306">
        <f>L138*$B$8</f>
        <v/>
      </c>
      <c r="N138" s="306">
        <f>L138*$B$9</f>
        <v/>
      </c>
      <c r="O138" s="306">
        <f>L138*$B$10</f>
        <v/>
      </c>
      <c r="P138" s="306">
        <f>L138-M138-N138-O138-D138-E138</f>
        <v/>
      </c>
      <c r="Q138" s="306">
        <f>MAX(0, P138 - $B$7*L138)</f>
        <v/>
      </c>
      <c r="R138" s="306">
        <f>P138-Q138</f>
        <v/>
      </c>
      <c r="S138" s="306">
        <f>IF(A138=$F$6, $B$18*$B$16*$B$17/1000000, 0) + IF(A138=$F$7, $B$18*$B$16*$B$17/1000000, 0) + IF(A138=$F$8, $B$18*$B$16*$B$17/1000000, 0) + IF(A138=$F$9, $B$18*$B$16*$B$17/1000000, 0) + IF(A138=$F$10, $B$18*$B$16*$B$17/1000000, 0)</f>
        <v/>
      </c>
      <c r="T138" s="306">
        <f>R138-S138-C138</f>
        <v/>
      </c>
      <c r="U138" s="306">
        <f>IF(AND(A138&lt;=$B$24, T138&gt;0), T138*$B$23, 0)</f>
        <v/>
      </c>
      <c r="V138" s="306">
        <f>T138-U138</f>
        <v/>
      </c>
      <c r="W138" s="306">
        <f>IF(AND(A138=$B$19, $B$21=1), K138*$B$20, 0)</f>
        <v/>
      </c>
      <c r="X138" s="306">
        <f>X137+V138+W138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SUM(F139:J139)</f>
        <v/>
      </c>
      <c r="L139" s="306">
        <f>K139/12</f>
        <v/>
      </c>
      <c r="M139" s="306">
        <f>L139*$B$8</f>
        <v/>
      </c>
      <c r="N139" s="306">
        <f>L139*$B$9</f>
        <v/>
      </c>
      <c r="O139" s="306">
        <f>L139*$B$10</f>
        <v/>
      </c>
      <c r="P139" s="306">
        <f>L139-M139-N139-O139-D139-E139</f>
        <v/>
      </c>
      <c r="Q139" s="306">
        <f>MAX(0, P139 - $B$7*L139)</f>
        <v/>
      </c>
      <c r="R139" s="306">
        <f>P139-Q139</f>
        <v/>
      </c>
      <c r="S139" s="306">
        <f>IF(A139=$F$6, $B$18*$B$16*$B$17/1000000, 0) + IF(A139=$F$7, $B$18*$B$16*$B$17/1000000, 0) + IF(A139=$F$8, $B$18*$B$16*$B$17/1000000, 0) + IF(A139=$F$9, $B$18*$B$16*$B$17/1000000, 0) + IF(A139=$F$10, $B$18*$B$16*$B$17/1000000, 0)</f>
        <v/>
      </c>
      <c r="T139" s="306">
        <f>R139-S139-C139</f>
        <v/>
      </c>
      <c r="U139" s="306">
        <f>IF(AND(A139&lt;=$B$24, T139&gt;0), T139*$B$23, 0)</f>
        <v/>
      </c>
      <c r="V139" s="306">
        <f>T139-U139</f>
        <v/>
      </c>
      <c r="W139" s="306">
        <f>IF(AND(A139=$B$19, $B$21=1), K139*$B$20, 0)</f>
        <v/>
      </c>
      <c r="X139" s="306">
        <f>X138+V139+W139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SUM(F140:J140)</f>
        <v/>
      </c>
      <c r="L140" s="306">
        <f>K140/12</f>
        <v/>
      </c>
      <c r="M140" s="306">
        <f>L140*$B$8</f>
        <v/>
      </c>
      <c r="N140" s="306">
        <f>L140*$B$9</f>
        <v/>
      </c>
      <c r="O140" s="306">
        <f>L140*$B$10</f>
        <v/>
      </c>
      <c r="P140" s="306">
        <f>L140-M140-N140-O140-D140-E140</f>
        <v/>
      </c>
      <c r="Q140" s="306">
        <f>MAX(0, P140 - $B$7*L140)</f>
        <v/>
      </c>
      <c r="R140" s="306">
        <f>P140-Q140</f>
        <v/>
      </c>
      <c r="S140" s="306">
        <f>IF(A140=$F$6, $B$18*$B$16*$B$17/1000000, 0) + IF(A140=$F$7, $B$18*$B$16*$B$17/1000000, 0) + IF(A140=$F$8, $B$18*$B$16*$B$17/1000000, 0) + IF(A140=$F$9, $B$18*$B$16*$B$17/1000000, 0) + IF(A140=$F$10, $B$18*$B$16*$B$17/1000000, 0)</f>
        <v/>
      </c>
      <c r="T140" s="306">
        <f>R140-S140-C140</f>
        <v/>
      </c>
      <c r="U140" s="306">
        <f>IF(AND(A140&lt;=$B$24, T140&gt;0), T140*$B$23, 0)</f>
        <v/>
      </c>
      <c r="V140" s="306">
        <f>T140-U140</f>
        <v/>
      </c>
      <c r="W140" s="306">
        <f>IF(AND(A140=$B$19, $B$21=1), K140*$B$20, 0)</f>
        <v/>
      </c>
      <c r="X140" s="306">
        <f>X139+V140+W140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SUM(F141:J141)</f>
        <v/>
      </c>
      <c r="L141" s="306">
        <f>K141/12</f>
        <v/>
      </c>
      <c r="M141" s="306">
        <f>L141*$B$8</f>
        <v/>
      </c>
      <c r="N141" s="306">
        <f>L141*$B$9</f>
        <v/>
      </c>
      <c r="O141" s="306">
        <f>L141*$B$10</f>
        <v/>
      </c>
      <c r="P141" s="306">
        <f>L141-M141-N141-O141-D141-E141</f>
        <v/>
      </c>
      <c r="Q141" s="306">
        <f>MAX(0, P141 - $B$7*L141)</f>
        <v/>
      </c>
      <c r="R141" s="306">
        <f>P141-Q141</f>
        <v/>
      </c>
      <c r="S141" s="306">
        <f>IF(A141=$F$6, $B$18*$B$16*$B$17/1000000, 0) + IF(A141=$F$7, $B$18*$B$16*$B$17/1000000, 0) + IF(A141=$F$8, $B$18*$B$16*$B$17/1000000, 0) + IF(A141=$F$9, $B$18*$B$16*$B$17/1000000, 0) + IF(A141=$F$10, $B$18*$B$16*$B$17/1000000, 0)</f>
        <v/>
      </c>
      <c r="T141" s="306">
        <f>R141-S141-C141</f>
        <v/>
      </c>
      <c r="U141" s="306">
        <f>IF(AND(A141&lt;=$B$24, T141&gt;0), T141*$B$23, 0)</f>
        <v/>
      </c>
      <c r="V141" s="306">
        <f>T141-U141</f>
        <v/>
      </c>
      <c r="W141" s="306">
        <f>IF(AND(A141=$B$19, $B$21=1), K141*$B$20, 0)</f>
        <v/>
      </c>
      <c r="X141" s="306">
        <f>X140+V141+W141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SUM(F142:J142)</f>
        <v/>
      </c>
      <c r="L142" s="306">
        <f>K142/12</f>
        <v/>
      </c>
      <c r="M142" s="306">
        <f>L142*$B$8</f>
        <v/>
      </c>
      <c r="N142" s="306">
        <f>L142*$B$9</f>
        <v/>
      </c>
      <c r="O142" s="306">
        <f>L142*$B$10</f>
        <v/>
      </c>
      <c r="P142" s="306">
        <f>L142-M142-N142-O142-D142-E142</f>
        <v/>
      </c>
      <c r="Q142" s="306">
        <f>MAX(0, P142 - $B$7*L142)</f>
        <v/>
      </c>
      <c r="R142" s="306">
        <f>P142-Q142</f>
        <v/>
      </c>
      <c r="S142" s="306">
        <f>IF(A142=$F$6, $B$18*$B$16*$B$17/1000000, 0) + IF(A142=$F$7, $B$18*$B$16*$B$17/1000000, 0) + IF(A142=$F$8, $B$18*$B$16*$B$17/1000000, 0) + IF(A142=$F$9, $B$18*$B$16*$B$17/1000000, 0) + IF(A142=$F$10, $B$18*$B$16*$B$17/1000000, 0)</f>
        <v/>
      </c>
      <c r="T142" s="306">
        <f>R142-S142-C142</f>
        <v/>
      </c>
      <c r="U142" s="306">
        <f>IF(AND(A142&lt;=$B$24, T142&gt;0), T142*$B$23, 0)</f>
        <v/>
      </c>
      <c r="V142" s="306">
        <f>T142-U142</f>
        <v/>
      </c>
      <c r="W142" s="306">
        <f>IF(AND(A142=$B$19, $B$21=1), K142*$B$20, 0)</f>
        <v/>
      </c>
      <c r="X142" s="306">
        <f>X141+V142+W142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SUM(F143:J143)</f>
        <v/>
      </c>
      <c r="L143" s="306">
        <f>K143/12</f>
        <v/>
      </c>
      <c r="M143" s="306">
        <f>L143*$B$8</f>
        <v/>
      </c>
      <c r="N143" s="306">
        <f>L143*$B$9</f>
        <v/>
      </c>
      <c r="O143" s="306">
        <f>L143*$B$10</f>
        <v/>
      </c>
      <c r="P143" s="306">
        <f>L143-M143-N143-O143-D143-E143</f>
        <v/>
      </c>
      <c r="Q143" s="306">
        <f>MAX(0, P143 - $B$7*L143)</f>
        <v/>
      </c>
      <c r="R143" s="306">
        <f>P143-Q143</f>
        <v/>
      </c>
      <c r="S143" s="306">
        <f>IF(A143=$F$6, $B$18*$B$16*$B$17/1000000, 0) + IF(A143=$F$7, $B$18*$B$16*$B$17/1000000, 0) + IF(A143=$F$8, $B$18*$B$16*$B$17/1000000, 0) + IF(A143=$F$9, $B$18*$B$16*$B$17/1000000, 0) + IF(A143=$F$10, $B$18*$B$16*$B$17/1000000, 0)</f>
        <v/>
      </c>
      <c r="T143" s="306">
        <f>R143-S143-C143</f>
        <v/>
      </c>
      <c r="U143" s="306">
        <f>IF(AND(A143&lt;=$B$24, T143&gt;0), T143*$B$23, 0)</f>
        <v/>
      </c>
      <c r="V143" s="306">
        <f>T143-U143</f>
        <v/>
      </c>
      <c r="W143" s="306">
        <f>IF(AND(A143=$B$19, $B$21=1), K143*$B$20, 0)</f>
        <v/>
      </c>
      <c r="X143" s="306">
        <f>X142+V143+W143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SUM(F144:J144)</f>
        <v/>
      </c>
      <c r="L144" s="306">
        <f>K144/12</f>
        <v/>
      </c>
      <c r="M144" s="306">
        <f>L144*$B$8</f>
        <v/>
      </c>
      <c r="N144" s="306">
        <f>L144*$B$9</f>
        <v/>
      </c>
      <c r="O144" s="306">
        <f>L144*$B$10</f>
        <v/>
      </c>
      <c r="P144" s="306">
        <f>L144-M144-N144-O144-D144-E144</f>
        <v/>
      </c>
      <c r="Q144" s="306">
        <f>MAX(0, P144 - $B$7*L144)</f>
        <v/>
      </c>
      <c r="R144" s="306">
        <f>P144-Q144</f>
        <v/>
      </c>
      <c r="S144" s="306">
        <f>IF(A144=$F$6, $B$18*$B$16*$B$17/1000000, 0) + IF(A144=$F$7, $B$18*$B$16*$B$17/1000000, 0) + IF(A144=$F$8, $B$18*$B$16*$B$17/1000000, 0) + IF(A144=$F$9, $B$18*$B$16*$B$17/1000000, 0) + IF(A144=$F$10, $B$18*$B$16*$B$17/1000000, 0)</f>
        <v/>
      </c>
      <c r="T144" s="306">
        <f>R144-S144-C144</f>
        <v/>
      </c>
      <c r="U144" s="306">
        <f>IF(AND(A144&lt;=$B$24, T144&gt;0), T144*$B$23, 0)</f>
        <v/>
      </c>
      <c r="V144" s="306">
        <f>T144-U144</f>
        <v/>
      </c>
      <c r="W144" s="306">
        <f>IF(AND(A144=$B$19, $B$21=1), K144*$B$20, 0)</f>
        <v/>
      </c>
      <c r="X144" s="306">
        <f>X143+V144+W144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SUM(F145:J145)</f>
        <v/>
      </c>
      <c r="L145" s="306">
        <f>K145/12</f>
        <v/>
      </c>
      <c r="M145" s="306">
        <f>L145*$B$8</f>
        <v/>
      </c>
      <c r="N145" s="306">
        <f>L145*$B$9</f>
        <v/>
      </c>
      <c r="O145" s="306">
        <f>L145*$B$10</f>
        <v/>
      </c>
      <c r="P145" s="306">
        <f>L145-M145-N145-O145-D145-E145</f>
        <v/>
      </c>
      <c r="Q145" s="306">
        <f>MAX(0, P145 - $B$7*L145)</f>
        <v/>
      </c>
      <c r="R145" s="306">
        <f>P145-Q145</f>
        <v/>
      </c>
      <c r="S145" s="306">
        <f>IF(A145=$F$6, $B$18*$B$16*$B$17/1000000, 0) + IF(A145=$F$7, $B$18*$B$16*$B$17/1000000, 0) + IF(A145=$F$8, $B$18*$B$16*$B$17/1000000, 0) + IF(A145=$F$9, $B$18*$B$16*$B$17/1000000, 0) + IF(A145=$F$10, $B$18*$B$16*$B$17/1000000, 0)</f>
        <v/>
      </c>
      <c r="T145" s="306">
        <f>R145-S145-C145</f>
        <v/>
      </c>
      <c r="U145" s="306">
        <f>IF(AND(A145&lt;=$B$24, T145&gt;0), T145*$B$23, 0)</f>
        <v/>
      </c>
      <c r="V145" s="306">
        <f>T145-U145</f>
        <v/>
      </c>
      <c r="W145" s="306">
        <f>IF(AND(A145=$B$19, $B$21=1), K145*$B$20, 0)</f>
        <v/>
      </c>
      <c r="X145" s="306">
        <f>X144+V145+W145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SUM(F146:J146)</f>
        <v/>
      </c>
      <c r="L146" s="306">
        <f>K146/12</f>
        <v/>
      </c>
      <c r="M146" s="306">
        <f>L146*$B$8</f>
        <v/>
      </c>
      <c r="N146" s="306">
        <f>L146*$B$9</f>
        <v/>
      </c>
      <c r="O146" s="306">
        <f>L146*$B$10</f>
        <v/>
      </c>
      <c r="P146" s="306">
        <f>L146-M146-N146-O146-D146-E146</f>
        <v/>
      </c>
      <c r="Q146" s="306">
        <f>MAX(0, P146 - $B$7*L146)</f>
        <v/>
      </c>
      <c r="R146" s="306">
        <f>P146-Q146</f>
        <v/>
      </c>
      <c r="S146" s="306">
        <f>IF(A146=$F$6, $B$18*$B$16*$B$17/1000000, 0) + IF(A146=$F$7, $B$18*$B$16*$B$17/1000000, 0) + IF(A146=$F$8, $B$18*$B$16*$B$17/1000000, 0) + IF(A146=$F$9, $B$18*$B$16*$B$17/1000000, 0) + IF(A146=$F$10, $B$18*$B$16*$B$17/1000000, 0)</f>
        <v/>
      </c>
      <c r="T146" s="306">
        <f>R146-S146-C146</f>
        <v/>
      </c>
      <c r="U146" s="306">
        <f>IF(AND(A146&lt;=$B$24, T146&gt;0), T146*$B$23, 0)</f>
        <v/>
      </c>
      <c r="V146" s="306">
        <f>T146-U146</f>
        <v/>
      </c>
      <c r="W146" s="306">
        <f>IF(AND(A146=$B$19, $B$21=1), K146*$B$20, 0)</f>
        <v/>
      </c>
      <c r="X146" s="306">
        <f>X145+V146+W146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SUM(F147:J147)</f>
        <v/>
      </c>
      <c r="L147" s="306">
        <f>K147/12</f>
        <v/>
      </c>
      <c r="M147" s="306">
        <f>L147*$B$8</f>
        <v/>
      </c>
      <c r="N147" s="306">
        <f>L147*$B$9</f>
        <v/>
      </c>
      <c r="O147" s="306">
        <f>L147*$B$10</f>
        <v/>
      </c>
      <c r="P147" s="306">
        <f>L147-M147-N147-O147-D147-E147</f>
        <v/>
      </c>
      <c r="Q147" s="306">
        <f>MAX(0, P147 - $B$7*L147)</f>
        <v/>
      </c>
      <c r="R147" s="306">
        <f>P147-Q147</f>
        <v/>
      </c>
      <c r="S147" s="306">
        <f>IF(A147=$F$6, $B$18*$B$16*$B$17/1000000, 0) + IF(A147=$F$7, $B$18*$B$16*$B$17/1000000, 0) + IF(A147=$F$8, $B$18*$B$16*$B$17/1000000, 0) + IF(A147=$F$9, $B$18*$B$16*$B$17/1000000, 0) + IF(A147=$F$10, $B$18*$B$16*$B$17/1000000, 0)</f>
        <v/>
      </c>
      <c r="T147" s="306">
        <f>R147-S147-C147</f>
        <v/>
      </c>
      <c r="U147" s="306">
        <f>IF(AND(A147&lt;=$B$24, T147&gt;0), T147*$B$23, 0)</f>
        <v/>
      </c>
      <c r="V147" s="306">
        <f>T147-U147</f>
        <v/>
      </c>
      <c r="W147" s="306">
        <f>IF(AND(A147=$B$19, $B$21=1), K147*$B$20, 0)</f>
        <v/>
      </c>
      <c r="X147" s="306">
        <f>X146+V147+W147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SUM(F148:J148)</f>
        <v/>
      </c>
      <c r="L148" s="306">
        <f>K148/12</f>
        <v/>
      </c>
      <c r="M148" s="306">
        <f>L148*$B$8</f>
        <v/>
      </c>
      <c r="N148" s="306">
        <f>L148*$B$9</f>
        <v/>
      </c>
      <c r="O148" s="306">
        <f>L148*$B$10</f>
        <v/>
      </c>
      <c r="P148" s="306">
        <f>L148-M148-N148-O148-D148-E148</f>
        <v/>
      </c>
      <c r="Q148" s="306">
        <f>MAX(0, P148 - $B$7*L148)</f>
        <v/>
      </c>
      <c r="R148" s="306">
        <f>P148-Q148</f>
        <v/>
      </c>
      <c r="S148" s="306">
        <f>IF(A148=$F$6, $B$18*$B$16*$B$17/1000000, 0) + IF(A148=$F$7, $B$18*$B$16*$B$17/1000000, 0) + IF(A148=$F$8, $B$18*$B$16*$B$17/1000000, 0) + IF(A148=$F$9, $B$18*$B$16*$B$17/1000000, 0) + IF(A148=$F$10, $B$18*$B$16*$B$17/1000000, 0)</f>
        <v/>
      </c>
      <c r="T148" s="306">
        <f>R148-S148-C148</f>
        <v/>
      </c>
      <c r="U148" s="306">
        <f>IF(AND(A148&lt;=$B$24, T148&gt;0), T148*$B$23, 0)</f>
        <v/>
      </c>
      <c r="V148" s="306">
        <f>T148-U148</f>
        <v/>
      </c>
      <c r="W148" s="306">
        <f>IF(AND(A148=$B$19, $B$21=1), K148*$B$20, 0)</f>
        <v/>
      </c>
      <c r="X148" s="306">
        <f>X147+V148+W148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SUM(F149:J149)</f>
        <v/>
      </c>
      <c r="L149" s="306">
        <f>K149/12</f>
        <v/>
      </c>
      <c r="M149" s="306">
        <f>L149*$B$8</f>
        <v/>
      </c>
      <c r="N149" s="306">
        <f>L149*$B$9</f>
        <v/>
      </c>
      <c r="O149" s="306">
        <f>L149*$B$10</f>
        <v/>
      </c>
      <c r="P149" s="306">
        <f>L149-M149-N149-O149-D149-E149</f>
        <v/>
      </c>
      <c r="Q149" s="306">
        <f>MAX(0, P149 - $B$7*L149)</f>
        <v/>
      </c>
      <c r="R149" s="306">
        <f>P149-Q149</f>
        <v/>
      </c>
      <c r="S149" s="306">
        <f>IF(A149=$F$6, $B$18*$B$16*$B$17/1000000, 0) + IF(A149=$F$7, $B$18*$B$16*$B$17/1000000, 0) + IF(A149=$F$8, $B$18*$B$16*$B$17/1000000, 0) + IF(A149=$F$9, $B$18*$B$16*$B$17/1000000, 0) + IF(A149=$F$10, $B$18*$B$16*$B$17/1000000, 0)</f>
        <v/>
      </c>
      <c r="T149" s="306">
        <f>R149-S149-C149</f>
        <v/>
      </c>
      <c r="U149" s="306">
        <f>IF(AND(A149&lt;=$B$24, T149&gt;0), T149*$B$23, 0)</f>
        <v/>
      </c>
      <c r="V149" s="306">
        <f>T149-U149</f>
        <v/>
      </c>
      <c r="W149" s="306">
        <f>IF(AND(A149=$B$19, $B$21=1), K149*$B$20, 0)</f>
        <v/>
      </c>
      <c r="X149" s="306">
        <f>X148+V149+W149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SUM(F150:J150)</f>
        <v/>
      </c>
      <c r="L150" s="306">
        <f>K150/12</f>
        <v/>
      </c>
      <c r="M150" s="306">
        <f>L150*$B$8</f>
        <v/>
      </c>
      <c r="N150" s="306">
        <f>L150*$B$9</f>
        <v/>
      </c>
      <c r="O150" s="306">
        <f>L150*$B$10</f>
        <v/>
      </c>
      <c r="P150" s="306">
        <f>L150-M150-N150-O150-D150-E150</f>
        <v/>
      </c>
      <c r="Q150" s="306">
        <f>MAX(0, P150 - $B$7*L150)</f>
        <v/>
      </c>
      <c r="R150" s="306">
        <f>P150-Q150</f>
        <v/>
      </c>
      <c r="S150" s="306">
        <f>IF(A150=$F$6, $B$18*$B$16*$B$17/1000000, 0) + IF(A150=$F$7, $B$18*$B$16*$B$17/1000000, 0) + IF(A150=$F$8, $B$18*$B$16*$B$17/1000000, 0) + IF(A150=$F$9, $B$18*$B$16*$B$17/1000000, 0) + IF(A150=$F$10, $B$18*$B$16*$B$17/1000000, 0)</f>
        <v/>
      </c>
      <c r="T150" s="306">
        <f>R150-S150-C150</f>
        <v/>
      </c>
      <c r="U150" s="306">
        <f>IF(AND(A150&lt;=$B$24, T150&gt;0), T150*$B$23, 0)</f>
        <v/>
      </c>
      <c r="V150" s="306">
        <f>T150-U150</f>
        <v/>
      </c>
      <c r="W150" s="306">
        <f>IF(AND(A150=$B$19, $B$21=1), K150*$B$20, 0)</f>
        <v/>
      </c>
      <c r="X150" s="306">
        <f>X149+V150+W150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SUM(F151:J151)</f>
        <v/>
      </c>
      <c r="L151" s="306">
        <f>K151/12</f>
        <v/>
      </c>
      <c r="M151" s="306">
        <f>L151*$B$8</f>
        <v/>
      </c>
      <c r="N151" s="306">
        <f>L151*$B$9</f>
        <v/>
      </c>
      <c r="O151" s="306">
        <f>L151*$B$10</f>
        <v/>
      </c>
      <c r="P151" s="306">
        <f>L151-M151-N151-O151-D151-E151</f>
        <v/>
      </c>
      <c r="Q151" s="306">
        <f>MAX(0, P151 - $B$7*L151)</f>
        <v/>
      </c>
      <c r="R151" s="306">
        <f>P151-Q151</f>
        <v/>
      </c>
      <c r="S151" s="306">
        <f>IF(A151=$F$6, $B$18*$B$16*$B$17/1000000, 0) + IF(A151=$F$7, $B$18*$B$16*$B$17/1000000, 0) + IF(A151=$F$8, $B$18*$B$16*$B$17/1000000, 0) + IF(A151=$F$9, $B$18*$B$16*$B$17/1000000, 0) + IF(A151=$F$10, $B$18*$B$16*$B$17/1000000, 0)</f>
        <v/>
      </c>
      <c r="T151" s="306">
        <f>R151-S151-C151</f>
        <v/>
      </c>
      <c r="U151" s="306">
        <f>IF(AND(A151&lt;=$B$24, T151&gt;0), T151*$B$23, 0)</f>
        <v/>
      </c>
      <c r="V151" s="306">
        <f>T151-U151</f>
        <v/>
      </c>
      <c r="W151" s="306">
        <f>IF(AND(A151=$B$19, $B$21=1), K151*$B$20, 0)</f>
        <v/>
      </c>
      <c r="X151" s="306">
        <f>X150+V151+W151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SUM(F152:J152)</f>
        <v/>
      </c>
      <c r="L152" s="306">
        <f>K152/12</f>
        <v/>
      </c>
      <c r="M152" s="306">
        <f>L152*$B$8</f>
        <v/>
      </c>
      <c r="N152" s="306">
        <f>L152*$B$9</f>
        <v/>
      </c>
      <c r="O152" s="306">
        <f>L152*$B$10</f>
        <v/>
      </c>
      <c r="P152" s="306">
        <f>L152-M152-N152-O152-D152-E152</f>
        <v/>
      </c>
      <c r="Q152" s="306">
        <f>MAX(0, P152 - $B$7*L152)</f>
        <v/>
      </c>
      <c r="R152" s="306">
        <f>P152-Q152</f>
        <v/>
      </c>
      <c r="S152" s="306">
        <f>IF(A152=$F$6, $B$18*$B$16*$B$17/1000000, 0) + IF(A152=$F$7, $B$18*$B$16*$B$17/1000000, 0) + IF(A152=$F$8, $B$18*$B$16*$B$17/1000000, 0) + IF(A152=$F$9, $B$18*$B$16*$B$17/1000000, 0) + IF(A152=$F$10, $B$18*$B$16*$B$17/1000000, 0)</f>
        <v/>
      </c>
      <c r="T152" s="306">
        <f>R152-S152-C152</f>
        <v/>
      </c>
      <c r="U152" s="306">
        <f>IF(AND(A152&lt;=$B$24, T152&gt;0), T152*$B$23, 0)</f>
        <v/>
      </c>
      <c r="V152" s="306">
        <f>T152-U152</f>
        <v/>
      </c>
      <c r="W152" s="306">
        <f>IF(AND(A152=$B$19, $B$21=1), K152*$B$20, 0)</f>
        <v/>
      </c>
      <c r="X152" s="306">
        <f>X151+V152+W152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SUM(F153:J153)</f>
        <v/>
      </c>
      <c r="L153" s="306">
        <f>K153/12</f>
        <v/>
      </c>
      <c r="M153" s="306">
        <f>L153*$B$8</f>
        <v/>
      </c>
      <c r="N153" s="306">
        <f>L153*$B$9</f>
        <v/>
      </c>
      <c r="O153" s="306">
        <f>L153*$B$10</f>
        <v/>
      </c>
      <c r="P153" s="306">
        <f>L153-M153-N153-O153-D153-E153</f>
        <v/>
      </c>
      <c r="Q153" s="306">
        <f>MAX(0, P153 - $B$7*L153)</f>
        <v/>
      </c>
      <c r="R153" s="306">
        <f>P153-Q153</f>
        <v/>
      </c>
      <c r="S153" s="306">
        <f>IF(A153=$F$6, $B$18*$B$16*$B$17/1000000, 0) + IF(A153=$F$7, $B$18*$B$16*$B$17/1000000, 0) + IF(A153=$F$8, $B$18*$B$16*$B$17/1000000, 0) + IF(A153=$F$9, $B$18*$B$16*$B$17/1000000, 0) + IF(A153=$F$10, $B$18*$B$16*$B$17/1000000, 0)</f>
        <v/>
      </c>
      <c r="T153" s="306">
        <f>R153-S153-C153</f>
        <v/>
      </c>
      <c r="U153" s="306">
        <f>IF(AND(A153&lt;=$B$24, T153&gt;0), T153*$B$23, 0)</f>
        <v/>
      </c>
      <c r="V153" s="306">
        <f>T153-U153</f>
        <v/>
      </c>
      <c r="W153" s="306">
        <f>IF(AND(A153=$B$19, $B$21=1), K153*$B$20, 0)</f>
        <v/>
      </c>
      <c r="X153" s="306">
        <f>X152+V153+W153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SUM(F154:J154)</f>
        <v/>
      </c>
      <c r="L154" s="306">
        <f>K154/12</f>
        <v/>
      </c>
      <c r="M154" s="306">
        <f>L154*$B$8</f>
        <v/>
      </c>
      <c r="N154" s="306">
        <f>L154*$B$9</f>
        <v/>
      </c>
      <c r="O154" s="306">
        <f>L154*$B$10</f>
        <v/>
      </c>
      <c r="P154" s="306">
        <f>L154-M154-N154-O154-D154-E154</f>
        <v/>
      </c>
      <c r="Q154" s="306">
        <f>MAX(0, P154 - $B$7*L154)</f>
        <v/>
      </c>
      <c r="R154" s="306">
        <f>P154-Q154</f>
        <v/>
      </c>
      <c r="S154" s="306">
        <f>IF(A154=$F$6, $B$18*$B$16*$B$17/1000000, 0) + IF(A154=$F$7, $B$18*$B$16*$B$17/1000000, 0) + IF(A154=$F$8, $B$18*$B$16*$B$17/1000000, 0) + IF(A154=$F$9, $B$18*$B$16*$B$17/1000000, 0) + IF(A154=$F$10, $B$18*$B$16*$B$17/1000000, 0)</f>
        <v/>
      </c>
      <c r="T154" s="306">
        <f>R154-S154-C154</f>
        <v/>
      </c>
      <c r="U154" s="306">
        <f>IF(AND(A154&lt;=$B$24, T154&gt;0), T154*$B$23, 0)</f>
        <v/>
      </c>
      <c r="V154" s="306">
        <f>T154-U154</f>
        <v/>
      </c>
      <c r="W154" s="306">
        <f>IF(AND(A154=$B$19, $B$21=1), K154*$B$20, 0)</f>
        <v/>
      </c>
      <c r="X154" s="306">
        <f>X153+V154+W154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SUM(F155:J155)</f>
        <v/>
      </c>
      <c r="L155" s="306">
        <f>K155/12</f>
        <v/>
      </c>
      <c r="M155" s="306">
        <f>L155*$B$8</f>
        <v/>
      </c>
      <c r="N155" s="306">
        <f>L155*$B$9</f>
        <v/>
      </c>
      <c r="O155" s="306">
        <f>L155*$B$10</f>
        <v/>
      </c>
      <c r="P155" s="306">
        <f>L155-M155-N155-O155-D155-E155</f>
        <v/>
      </c>
      <c r="Q155" s="306">
        <f>MAX(0, P155 - $B$7*L155)</f>
        <v/>
      </c>
      <c r="R155" s="306">
        <f>P155-Q155</f>
        <v/>
      </c>
      <c r="S155" s="306">
        <f>IF(A155=$F$6, $B$18*$B$16*$B$17/1000000, 0) + IF(A155=$F$7, $B$18*$B$16*$B$17/1000000, 0) + IF(A155=$F$8, $B$18*$B$16*$B$17/1000000, 0) + IF(A155=$F$9, $B$18*$B$16*$B$17/1000000, 0) + IF(A155=$F$10, $B$18*$B$16*$B$17/1000000, 0)</f>
        <v/>
      </c>
      <c r="T155" s="306">
        <f>R155-S155-C155</f>
        <v/>
      </c>
      <c r="U155" s="306">
        <f>IF(AND(A155&lt;=$B$24, T155&gt;0), T155*$B$23, 0)</f>
        <v/>
      </c>
      <c r="V155" s="306">
        <f>T155-U155</f>
        <v/>
      </c>
      <c r="W155" s="306">
        <f>IF(AND(A155=$B$19, $B$21=1), K155*$B$20, 0)</f>
        <v/>
      </c>
      <c r="X155" s="306">
        <f>X154+V155+W155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SUM(F156:J156)</f>
        <v/>
      </c>
      <c r="L156" s="306">
        <f>K156/12</f>
        <v/>
      </c>
      <c r="M156" s="306">
        <f>L156*$B$8</f>
        <v/>
      </c>
      <c r="N156" s="306">
        <f>L156*$B$9</f>
        <v/>
      </c>
      <c r="O156" s="306">
        <f>L156*$B$10</f>
        <v/>
      </c>
      <c r="P156" s="306">
        <f>L156-M156-N156-O156-D156-E156</f>
        <v/>
      </c>
      <c r="Q156" s="306">
        <f>MAX(0, P156 - $B$7*L156)</f>
        <v/>
      </c>
      <c r="R156" s="306">
        <f>P156-Q156</f>
        <v/>
      </c>
      <c r="S156" s="306">
        <f>IF(A156=$F$6, $B$18*$B$16*$B$17/1000000, 0) + IF(A156=$F$7, $B$18*$B$16*$B$17/1000000, 0) + IF(A156=$F$8, $B$18*$B$16*$B$17/1000000, 0) + IF(A156=$F$9, $B$18*$B$16*$B$17/1000000, 0) + IF(A156=$F$10, $B$18*$B$16*$B$17/1000000, 0)</f>
        <v/>
      </c>
      <c r="T156" s="306">
        <f>R156-S156-C156</f>
        <v/>
      </c>
      <c r="U156" s="306">
        <f>IF(AND(A156&lt;=$B$24, T156&gt;0), T156*$B$23, 0)</f>
        <v/>
      </c>
      <c r="V156" s="306">
        <f>T156-U156</f>
        <v/>
      </c>
      <c r="W156" s="306">
        <f>IF(AND(A156=$B$19, $B$21=1), K156*$B$20, 0)</f>
        <v/>
      </c>
      <c r="X156" s="306">
        <f>X155+V156+W156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SUM(F157:J157)</f>
        <v/>
      </c>
      <c r="L157" s="306">
        <f>K157/12</f>
        <v/>
      </c>
      <c r="M157" s="306">
        <f>L157*$B$8</f>
        <v/>
      </c>
      <c r="N157" s="306">
        <f>L157*$B$9</f>
        <v/>
      </c>
      <c r="O157" s="306">
        <f>L157*$B$10</f>
        <v/>
      </c>
      <c r="P157" s="306">
        <f>L157-M157-N157-O157-D157-E157</f>
        <v/>
      </c>
      <c r="Q157" s="306">
        <f>MAX(0, P157 - $B$7*L157)</f>
        <v/>
      </c>
      <c r="R157" s="306">
        <f>P157-Q157</f>
        <v/>
      </c>
      <c r="S157" s="306">
        <f>IF(A157=$F$6, $B$18*$B$16*$B$17/1000000, 0) + IF(A157=$F$7, $B$18*$B$16*$B$17/1000000, 0) + IF(A157=$F$8, $B$18*$B$16*$B$17/1000000, 0) + IF(A157=$F$9, $B$18*$B$16*$B$17/1000000, 0) + IF(A157=$F$10, $B$18*$B$16*$B$17/1000000, 0)</f>
        <v/>
      </c>
      <c r="T157" s="306">
        <f>R157-S157-C157</f>
        <v/>
      </c>
      <c r="U157" s="306">
        <f>IF(AND(A157&lt;=$B$24, T157&gt;0), T157*$B$23, 0)</f>
        <v/>
      </c>
      <c r="V157" s="306">
        <f>T157-U157</f>
        <v/>
      </c>
      <c r="W157" s="306">
        <f>IF(AND(A157=$B$19, $B$21=1), K157*$B$20, 0)</f>
        <v/>
      </c>
      <c r="X157" s="306">
        <f>X156+V157+W157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SUM(F158:J158)</f>
        <v/>
      </c>
      <c r="L158" s="306">
        <f>K158/12</f>
        <v/>
      </c>
      <c r="M158" s="306">
        <f>L158*$B$8</f>
        <v/>
      </c>
      <c r="N158" s="306">
        <f>L158*$B$9</f>
        <v/>
      </c>
      <c r="O158" s="306">
        <f>L158*$B$10</f>
        <v/>
      </c>
      <c r="P158" s="306">
        <f>L158-M158-N158-O158-D158-E158</f>
        <v/>
      </c>
      <c r="Q158" s="306">
        <f>MAX(0, P158 - $B$7*L158)</f>
        <v/>
      </c>
      <c r="R158" s="306">
        <f>P158-Q158</f>
        <v/>
      </c>
      <c r="S158" s="306">
        <f>IF(A158=$F$6, $B$18*$B$16*$B$17/1000000, 0) + IF(A158=$F$7, $B$18*$B$16*$B$17/1000000, 0) + IF(A158=$F$8, $B$18*$B$16*$B$17/1000000, 0) + IF(A158=$F$9, $B$18*$B$16*$B$17/1000000, 0) + IF(A158=$F$10, $B$18*$B$16*$B$17/1000000, 0)</f>
        <v/>
      </c>
      <c r="T158" s="306">
        <f>R158-S158-C158</f>
        <v/>
      </c>
      <c r="U158" s="306">
        <f>IF(AND(A158&lt;=$B$24, T158&gt;0), T158*$B$23, 0)</f>
        <v/>
      </c>
      <c r="V158" s="306">
        <f>T158-U158</f>
        <v/>
      </c>
      <c r="W158" s="306">
        <f>IF(AND(A158=$B$19, $B$21=1), K158*$B$20, 0)</f>
        <v/>
      </c>
      <c r="X158" s="306">
        <f>X157+V158+W158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SUM(F159:J159)</f>
        <v/>
      </c>
      <c r="L159" s="306">
        <f>K159/12</f>
        <v/>
      </c>
      <c r="M159" s="306">
        <f>L159*$B$8</f>
        <v/>
      </c>
      <c r="N159" s="306">
        <f>L159*$B$9</f>
        <v/>
      </c>
      <c r="O159" s="306">
        <f>L159*$B$10</f>
        <v/>
      </c>
      <c r="P159" s="306">
        <f>L159-M159-N159-O159-D159-E159</f>
        <v/>
      </c>
      <c r="Q159" s="306">
        <f>MAX(0, P159 - $B$7*L159)</f>
        <v/>
      </c>
      <c r="R159" s="306">
        <f>P159-Q159</f>
        <v/>
      </c>
      <c r="S159" s="306">
        <f>IF(A159=$F$6, $B$18*$B$16*$B$17/1000000, 0) + IF(A159=$F$7, $B$18*$B$16*$B$17/1000000, 0) + IF(A159=$F$8, $B$18*$B$16*$B$17/1000000, 0) + IF(A159=$F$9, $B$18*$B$16*$B$17/1000000, 0) + IF(A159=$F$10, $B$18*$B$16*$B$17/1000000, 0)</f>
        <v/>
      </c>
      <c r="T159" s="306">
        <f>R159-S159-C159</f>
        <v/>
      </c>
      <c r="U159" s="306">
        <f>IF(AND(A159&lt;=$B$24, T159&gt;0), T159*$B$23, 0)</f>
        <v/>
      </c>
      <c r="V159" s="306">
        <f>T159-U159</f>
        <v/>
      </c>
      <c r="W159" s="306">
        <f>IF(AND(A159=$B$19, $B$21=1), K159*$B$20, 0)</f>
        <v/>
      </c>
      <c r="X159" s="306">
        <f>X158+V159+W159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SUM(F160:J160)</f>
        <v/>
      </c>
      <c r="L160" s="306">
        <f>K160/12</f>
        <v/>
      </c>
      <c r="M160" s="306">
        <f>L160*$B$8</f>
        <v/>
      </c>
      <c r="N160" s="306">
        <f>L160*$B$9</f>
        <v/>
      </c>
      <c r="O160" s="306">
        <f>L160*$B$10</f>
        <v/>
      </c>
      <c r="P160" s="306">
        <f>L160-M160-N160-O160-D160-E160</f>
        <v/>
      </c>
      <c r="Q160" s="306">
        <f>MAX(0, P160 - $B$7*L160)</f>
        <v/>
      </c>
      <c r="R160" s="306">
        <f>P160-Q160</f>
        <v/>
      </c>
      <c r="S160" s="306">
        <f>IF(A160=$F$6, $B$18*$B$16*$B$17/1000000, 0) + IF(A160=$F$7, $B$18*$B$16*$B$17/1000000, 0) + IF(A160=$F$8, $B$18*$B$16*$B$17/1000000, 0) + IF(A160=$F$9, $B$18*$B$16*$B$17/1000000, 0) + IF(A160=$F$10, $B$18*$B$16*$B$17/1000000, 0)</f>
        <v/>
      </c>
      <c r="T160" s="306">
        <f>R160-S160-C160</f>
        <v/>
      </c>
      <c r="U160" s="306">
        <f>IF(AND(A160&lt;=$B$24, T160&gt;0), T160*$B$23, 0)</f>
        <v/>
      </c>
      <c r="V160" s="306">
        <f>T160-U160</f>
        <v/>
      </c>
      <c r="W160" s="306">
        <f>IF(AND(A160=$B$19, $B$21=1), K160*$B$20, 0)</f>
        <v/>
      </c>
      <c r="X160" s="306">
        <f>X159+V160+W160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SUM(F161:J161)</f>
        <v/>
      </c>
      <c r="L161" s="306">
        <f>K161/12</f>
        <v/>
      </c>
      <c r="M161" s="306">
        <f>L161*$B$8</f>
        <v/>
      </c>
      <c r="N161" s="306">
        <f>L161*$B$9</f>
        <v/>
      </c>
      <c r="O161" s="306">
        <f>L161*$B$10</f>
        <v/>
      </c>
      <c r="P161" s="306">
        <f>L161-M161-N161-O161-D161-E161</f>
        <v/>
      </c>
      <c r="Q161" s="306">
        <f>MAX(0, P161 - $B$7*L161)</f>
        <v/>
      </c>
      <c r="R161" s="306">
        <f>P161-Q161</f>
        <v/>
      </c>
      <c r="S161" s="306">
        <f>IF(A161=$F$6, $B$18*$B$16*$B$17/1000000, 0) + IF(A161=$F$7, $B$18*$B$16*$B$17/1000000, 0) + IF(A161=$F$8, $B$18*$B$16*$B$17/1000000, 0) + IF(A161=$F$9, $B$18*$B$16*$B$17/1000000, 0) + IF(A161=$F$10, $B$18*$B$16*$B$17/1000000, 0)</f>
        <v/>
      </c>
      <c r="T161" s="306">
        <f>R161-S161-C161</f>
        <v/>
      </c>
      <c r="U161" s="306">
        <f>IF(AND(A161&lt;=$B$24, T161&gt;0), T161*$B$23, 0)</f>
        <v/>
      </c>
      <c r="V161" s="306">
        <f>T161-U161</f>
        <v/>
      </c>
      <c r="W161" s="306">
        <f>IF(AND(A161=$B$19, $B$21=1), K161*$B$20, 0)</f>
        <v/>
      </c>
      <c r="X161" s="306">
        <f>X160+V161+W161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SUM(F162:J162)</f>
        <v/>
      </c>
      <c r="L162" s="306">
        <f>K162/12</f>
        <v/>
      </c>
      <c r="M162" s="306">
        <f>L162*$B$8</f>
        <v/>
      </c>
      <c r="N162" s="306">
        <f>L162*$B$9</f>
        <v/>
      </c>
      <c r="O162" s="306">
        <f>L162*$B$10</f>
        <v/>
      </c>
      <c r="P162" s="306">
        <f>L162-M162-N162-O162-D162-E162</f>
        <v/>
      </c>
      <c r="Q162" s="306">
        <f>MAX(0, P162 - $B$7*L162)</f>
        <v/>
      </c>
      <c r="R162" s="306">
        <f>P162-Q162</f>
        <v/>
      </c>
      <c r="S162" s="306">
        <f>IF(A162=$F$6, $B$18*$B$16*$B$17/1000000, 0) + IF(A162=$F$7, $B$18*$B$16*$B$17/1000000, 0) + IF(A162=$F$8, $B$18*$B$16*$B$17/1000000, 0) + IF(A162=$F$9, $B$18*$B$16*$B$17/1000000, 0) + IF(A162=$F$10, $B$18*$B$16*$B$17/1000000, 0)</f>
        <v/>
      </c>
      <c r="T162" s="306">
        <f>R162-S162-C162</f>
        <v/>
      </c>
      <c r="U162" s="306">
        <f>IF(AND(A162&lt;=$B$24, T162&gt;0), T162*$B$23, 0)</f>
        <v/>
      </c>
      <c r="V162" s="306">
        <f>T162-U162</f>
        <v/>
      </c>
      <c r="W162" s="306">
        <f>IF(AND(A162=$B$19, $B$21=1), K162*$B$20, 0)</f>
        <v/>
      </c>
      <c r="X162" s="306">
        <f>X161+V162+W162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SUM(F163:J163)</f>
        <v/>
      </c>
      <c r="L163" s="306">
        <f>K163/12</f>
        <v/>
      </c>
      <c r="M163" s="306">
        <f>L163*$B$8</f>
        <v/>
      </c>
      <c r="N163" s="306">
        <f>L163*$B$9</f>
        <v/>
      </c>
      <c r="O163" s="306">
        <f>L163*$B$10</f>
        <v/>
      </c>
      <c r="P163" s="306">
        <f>L163-M163-N163-O163-D163-E163</f>
        <v/>
      </c>
      <c r="Q163" s="306">
        <f>MAX(0, P163 - $B$7*L163)</f>
        <v/>
      </c>
      <c r="R163" s="306">
        <f>P163-Q163</f>
        <v/>
      </c>
      <c r="S163" s="306">
        <f>IF(A163=$F$6, $B$18*$B$16*$B$17/1000000, 0) + IF(A163=$F$7, $B$18*$B$16*$B$17/1000000, 0) + IF(A163=$F$8, $B$18*$B$16*$B$17/1000000, 0) + IF(A163=$F$9, $B$18*$B$16*$B$17/1000000, 0) + IF(A163=$F$10, $B$18*$B$16*$B$17/1000000, 0)</f>
        <v/>
      </c>
      <c r="T163" s="306">
        <f>R163-S163-C163</f>
        <v/>
      </c>
      <c r="U163" s="306">
        <f>IF(AND(A163&lt;=$B$24, T163&gt;0), T163*$B$23, 0)</f>
        <v/>
      </c>
      <c r="V163" s="306">
        <f>T163-U163</f>
        <v/>
      </c>
      <c r="W163" s="306">
        <f>IF(AND(A163=$B$19, $B$21=1), K163*$B$20, 0)</f>
        <v/>
      </c>
      <c r="X163" s="306">
        <f>X162+V163+W163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SUM(F164:J164)</f>
        <v/>
      </c>
      <c r="L164" s="306">
        <f>K164/12</f>
        <v/>
      </c>
      <c r="M164" s="306">
        <f>L164*$B$8</f>
        <v/>
      </c>
      <c r="N164" s="306">
        <f>L164*$B$9</f>
        <v/>
      </c>
      <c r="O164" s="306">
        <f>L164*$B$10</f>
        <v/>
      </c>
      <c r="P164" s="306">
        <f>L164-M164-N164-O164-D164-E164</f>
        <v/>
      </c>
      <c r="Q164" s="306">
        <f>MAX(0, P164 - $B$7*L164)</f>
        <v/>
      </c>
      <c r="R164" s="306">
        <f>P164-Q164</f>
        <v/>
      </c>
      <c r="S164" s="306">
        <f>IF(A164=$F$6, $B$18*$B$16*$B$17/1000000, 0) + IF(A164=$F$7, $B$18*$B$16*$B$17/1000000, 0) + IF(A164=$F$8, $B$18*$B$16*$B$17/1000000, 0) + IF(A164=$F$9, $B$18*$B$16*$B$17/1000000, 0) + IF(A164=$F$10, $B$18*$B$16*$B$17/1000000, 0)</f>
        <v/>
      </c>
      <c r="T164" s="306">
        <f>R164-S164-C164</f>
        <v/>
      </c>
      <c r="U164" s="306">
        <f>IF(AND(A164&lt;=$B$24, T164&gt;0), T164*$B$23, 0)</f>
        <v/>
      </c>
      <c r="V164" s="306">
        <f>T164-U164</f>
        <v/>
      </c>
      <c r="W164" s="306">
        <f>IF(AND(A164=$B$19, $B$21=1), K164*$B$20, 0)</f>
        <v/>
      </c>
      <c r="X164" s="306">
        <f>X163+V164+W164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SUM(F165:J165)</f>
        <v/>
      </c>
      <c r="L165" s="306">
        <f>K165/12</f>
        <v/>
      </c>
      <c r="M165" s="306">
        <f>L165*$B$8</f>
        <v/>
      </c>
      <c r="N165" s="306">
        <f>L165*$B$9</f>
        <v/>
      </c>
      <c r="O165" s="306">
        <f>L165*$B$10</f>
        <v/>
      </c>
      <c r="P165" s="306">
        <f>L165-M165-N165-O165-D165-E165</f>
        <v/>
      </c>
      <c r="Q165" s="306">
        <f>MAX(0, P165 - $B$7*L165)</f>
        <v/>
      </c>
      <c r="R165" s="306">
        <f>P165-Q165</f>
        <v/>
      </c>
      <c r="S165" s="306">
        <f>IF(A165=$F$6, $B$18*$B$16*$B$17/1000000, 0) + IF(A165=$F$7, $B$18*$B$16*$B$17/1000000, 0) + IF(A165=$F$8, $B$18*$B$16*$B$17/1000000, 0) + IF(A165=$F$9, $B$18*$B$16*$B$17/1000000, 0) + IF(A165=$F$10, $B$18*$B$16*$B$17/1000000, 0)</f>
        <v/>
      </c>
      <c r="T165" s="306">
        <f>R165-S165-C165</f>
        <v/>
      </c>
      <c r="U165" s="306">
        <f>IF(AND(A165&lt;=$B$24, T165&gt;0), T165*$B$23, 0)</f>
        <v/>
      </c>
      <c r="V165" s="306">
        <f>T165-U165</f>
        <v/>
      </c>
      <c r="W165" s="306">
        <f>IF(AND(A165=$B$19, $B$21=1), K165*$B$20, 0)</f>
        <v/>
      </c>
      <c r="X165" s="306">
        <f>X164+V165+W165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SUM(F166:J166)</f>
        <v/>
      </c>
      <c r="L166" s="306">
        <f>K166/12</f>
        <v/>
      </c>
      <c r="M166" s="306">
        <f>L166*$B$8</f>
        <v/>
      </c>
      <c r="N166" s="306">
        <f>L166*$B$9</f>
        <v/>
      </c>
      <c r="O166" s="306">
        <f>L166*$B$10</f>
        <v/>
      </c>
      <c r="P166" s="306">
        <f>L166-M166-N166-O166-D166-E166</f>
        <v/>
      </c>
      <c r="Q166" s="306">
        <f>MAX(0, P166 - $B$7*L166)</f>
        <v/>
      </c>
      <c r="R166" s="306">
        <f>P166-Q166</f>
        <v/>
      </c>
      <c r="S166" s="306">
        <f>IF(A166=$F$6, $B$18*$B$16*$B$17/1000000, 0) + IF(A166=$F$7, $B$18*$B$16*$B$17/1000000, 0) + IF(A166=$F$8, $B$18*$B$16*$B$17/1000000, 0) + IF(A166=$F$9, $B$18*$B$16*$B$17/1000000, 0) + IF(A166=$F$10, $B$18*$B$16*$B$17/1000000, 0)</f>
        <v/>
      </c>
      <c r="T166" s="306">
        <f>R166-S166-C166</f>
        <v/>
      </c>
      <c r="U166" s="306">
        <f>IF(AND(A166&lt;=$B$24, T166&gt;0), T166*$B$23, 0)</f>
        <v/>
      </c>
      <c r="V166" s="306">
        <f>T166-U166</f>
        <v/>
      </c>
      <c r="W166" s="306">
        <f>IF(AND(A166=$B$19, $B$21=1), K166*$B$20, 0)</f>
        <v/>
      </c>
      <c r="X166" s="306">
        <f>X165+V166+W166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SUM(F167:J167)</f>
        <v/>
      </c>
      <c r="L167" s="306">
        <f>K167/12</f>
        <v/>
      </c>
      <c r="M167" s="306">
        <f>L167*$B$8</f>
        <v/>
      </c>
      <c r="N167" s="306">
        <f>L167*$B$9</f>
        <v/>
      </c>
      <c r="O167" s="306">
        <f>L167*$B$10</f>
        <v/>
      </c>
      <c r="P167" s="306">
        <f>L167-M167-N167-O167-D167-E167</f>
        <v/>
      </c>
      <c r="Q167" s="306">
        <f>MAX(0, P167 - $B$7*L167)</f>
        <v/>
      </c>
      <c r="R167" s="306">
        <f>P167-Q167</f>
        <v/>
      </c>
      <c r="S167" s="306">
        <f>IF(A167=$F$6, $B$18*$B$16*$B$17/1000000, 0) + IF(A167=$F$7, $B$18*$B$16*$B$17/1000000, 0) + IF(A167=$F$8, $B$18*$B$16*$B$17/1000000, 0) + IF(A167=$F$9, $B$18*$B$16*$B$17/1000000, 0) + IF(A167=$F$10, $B$18*$B$16*$B$17/1000000, 0)</f>
        <v/>
      </c>
      <c r="T167" s="306">
        <f>R167-S167-C167</f>
        <v/>
      </c>
      <c r="U167" s="306">
        <f>IF(AND(A167&lt;=$B$24, T167&gt;0), T167*$B$23, 0)</f>
        <v/>
      </c>
      <c r="V167" s="306">
        <f>T167-U167</f>
        <v/>
      </c>
      <c r="W167" s="306">
        <f>IF(AND(A167=$B$19, $B$21=1), K167*$B$20, 0)</f>
        <v/>
      </c>
      <c r="X167" s="306">
        <f>X166+V167+W167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SUM(F168:J168)</f>
        <v/>
      </c>
      <c r="L168" s="306">
        <f>K168/12</f>
        <v/>
      </c>
      <c r="M168" s="306">
        <f>L168*$B$8</f>
        <v/>
      </c>
      <c r="N168" s="306">
        <f>L168*$B$9</f>
        <v/>
      </c>
      <c r="O168" s="306">
        <f>L168*$B$10</f>
        <v/>
      </c>
      <c r="P168" s="306">
        <f>L168-M168-N168-O168-D168-E168</f>
        <v/>
      </c>
      <c r="Q168" s="306">
        <f>MAX(0, P168 - $B$7*L168)</f>
        <v/>
      </c>
      <c r="R168" s="306">
        <f>P168-Q168</f>
        <v/>
      </c>
      <c r="S168" s="306">
        <f>IF(A168=$F$6, $B$18*$B$16*$B$17/1000000, 0) + IF(A168=$F$7, $B$18*$B$16*$B$17/1000000, 0) + IF(A168=$F$8, $B$18*$B$16*$B$17/1000000, 0) + IF(A168=$F$9, $B$18*$B$16*$B$17/1000000, 0) + IF(A168=$F$10, $B$18*$B$16*$B$17/1000000, 0)</f>
        <v/>
      </c>
      <c r="T168" s="306">
        <f>R168-S168-C168</f>
        <v/>
      </c>
      <c r="U168" s="306">
        <f>IF(AND(A168&lt;=$B$24, T168&gt;0), T168*$B$23, 0)</f>
        <v/>
      </c>
      <c r="V168" s="306">
        <f>T168-U168</f>
        <v/>
      </c>
      <c r="W168" s="306">
        <f>IF(AND(A168=$B$19, $B$21=1), K168*$B$20, 0)</f>
        <v/>
      </c>
      <c r="X168" s="306">
        <f>X167+V168+W168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SUM(F169:J169)</f>
        <v/>
      </c>
      <c r="L169" s="306">
        <f>K169/12</f>
        <v/>
      </c>
      <c r="M169" s="306">
        <f>L169*$B$8</f>
        <v/>
      </c>
      <c r="N169" s="306">
        <f>L169*$B$9</f>
        <v/>
      </c>
      <c r="O169" s="306">
        <f>L169*$B$10</f>
        <v/>
      </c>
      <c r="P169" s="306">
        <f>L169-M169-N169-O169-D169-E169</f>
        <v/>
      </c>
      <c r="Q169" s="306">
        <f>MAX(0, P169 - $B$7*L169)</f>
        <v/>
      </c>
      <c r="R169" s="306">
        <f>P169-Q169</f>
        <v/>
      </c>
      <c r="S169" s="306">
        <f>IF(A169=$F$6, $B$18*$B$16*$B$17/1000000, 0) + IF(A169=$F$7, $B$18*$B$16*$B$17/1000000, 0) + IF(A169=$F$8, $B$18*$B$16*$B$17/1000000, 0) + IF(A169=$F$9, $B$18*$B$16*$B$17/1000000, 0) + IF(A169=$F$10, $B$18*$B$16*$B$17/1000000, 0)</f>
        <v/>
      </c>
      <c r="T169" s="306">
        <f>R169-S169-C169</f>
        <v/>
      </c>
      <c r="U169" s="306">
        <f>IF(AND(A169&lt;=$B$24, T169&gt;0), T169*$B$23, 0)</f>
        <v/>
      </c>
      <c r="V169" s="306">
        <f>T169-U169</f>
        <v/>
      </c>
      <c r="W169" s="306">
        <f>IF(AND(A169=$B$19, $B$21=1), K169*$B$20, 0)</f>
        <v/>
      </c>
      <c r="X169" s="306">
        <f>X168+V169+W169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SUM(F170:J170)</f>
        <v/>
      </c>
      <c r="L170" s="306">
        <f>K170/12</f>
        <v/>
      </c>
      <c r="M170" s="306">
        <f>L170*$B$8</f>
        <v/>
      </c>
      <c r="N170" s="306">
        <f>L170*$B$9</f>
        <v/>
      </c>
      <c r="O170" s="306">
        <f>L170*$B$10</f>
        <v/>
      </c>
      <c r="P170" s="306">
        <f>L170-M170-N170-O170-D170-E170</f>
        <v/>
      </c>
      <c r="Q170" s="306">
        <f>MAX(0, P170 - $B$7*L170)</f>
        <v/>
      </c>
      <c r="R170" s="306">
        <f>P170-Q170</f>
        <v/>
      </c>
      <c r="S170" s="306">
        <f>IF(A170=$F$6, $B$18*$B$16*$B$17/1000000, 0) + IF(A170=$F$7, $B$18*$B$16*$B$17/1000000, 0) + IF(A170=$F$8, $B$18*$B$16*$B$17/1000000, 0) + IF(A170=$F$9, $B$18*$B$16*$B$17/1000000, 0) + IF(A170=$F$10, $B$18*$B$16*$B$17/1000000, 0)</f>
        <v/>
      </c>
      <c r="T170" s="306">
        <f>R170-S170-C170</f>
        <v/>
      </c>
      <c r="U170" s="306">
        <f>IF(AND(A170&lt;=$B$24, T170&gt;0), T170*$B$23, 0)</f>
        <v/>
      </c>
      <c r="V170" s="306">
        <f>T170-U170</f>
        <v/>
      </c>
      <c r="W170" s="306">
        <f>IF(AND(A170=$B$19, $B$21=1), K170*$B$20, 0)</f>
        <v/>
      </c>
      <c r="X170" s="306">
        <f>X169+V170+W170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SUM(F171:J171)</f>
        <v/>
      </c>
      <c r="L171" s="306">
        <f>K171/12</f>
        <v/>
      </c>
      <c r="M171" s="306">
        <f>L171*$B$8</f>
        <v/>
      </c>
      <c r="N171" s="306">
        <f>L171*$B$9</f>
        <v/>
      </c>
      <c r="O171" s="306">
        <f>L171*$B$10</f>
        <v/>
      </c>
      <c r="P171" s="306">
        <f>L171-M171-N171-O171-D171-E171</f>
        <v/>
      </c>
      <c r="Q171" s="306">
        <f>MAX(0, P171 - $B$7*L171)</f>
        <v/>
      </c>
      <c r="R171" s="306">
        <f>P171-Q171</f>
        <v/>
      </c>
      <c r="S171" s="306">
        <f>IF(A171=$F$6, $B$18*$B$16*$B$17/1000000, 0) + IF(A171=$F$7, $B$18*$B$16*$B$17/1000000, 0) + IF(A171=$F$8, $B$18*$B$16*$B$17/1000000, 0) + IF(A171=$F$9, $B$18*$B$16*$B$17/1000000, 0) + IF(A171=$F$10, $B$18*$B$16*$B$17/1000000, 0)</f>
        <v/>
      </c>
      <c r="T171" s="306">
        <f>R171-S171-C171</f>
        <v/>
      </c>
      <c r="U171" s="306">
        <f>IF(AND(A171&lt;=$B$24, T171&gt;0), T171*$B$23, 0)</f>
        <v/>
      </c>
      <c r="V171" s="306">
        <f>T171-U171</f>
        <v/>
      </c>
      <c r="W171" s="306">
        <f>IF(AND(A171=$B$19, $B$21=1), K171*$B$20, 0)</f>
        <v/>
      </c>
      <c r="X171" s="306">
        <f>X170+V171+W171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SUM(F172:J172)</f>
        <v/>
      </c>
      <c r="L172" s="306">
        <f>K172/12</f>
        <v/>
      </c>
      <c r="M172" s="306">
        <f>L172*$B$8</f>
        <v/>
      </c>
      <c r="N172" s="306">
        <f>L172*$B$9</f>
        <v/>
      </c>
      <c r="O172" s="306">
        <f>L172*$B$10</f>
        <v/>
      </c>
      <c r="P172" s="306">
        <f>L172-M172-N172-O172-D172-E172</f>
        <v/>
      </c>
      <c r="Q172" s="306">
        <f>MAX(0, P172 - $B$7*L172)</f>
        <v/>
      </c>
      <c r="R172" s="306">
        <f>P172-Q172</f>
        <v/>
      </c>
      <c r="S172" s="306">
        <f>IF(A172=$F$6, $B$18*$B$16*$B$17/1000000, 0) + IF(A172=$F$7, $B$18*$B$16*$B$17/1000000, 0) + IF(A172=$F$8, $B$18*$B$16*$B$17/1000000, 0) + IF(A172=$F$9, $B$18*$B$16*$B$17/1000000, 0) + IF(A172=$F$10, $B$18*$B$16*$B$17/1000000, 0)</f>
        <v/>
      </c>
      <c r="T172" s="306">
        <f>R172-S172-C172</f>
        <v/>
      </c>
      <c r="U172" s="306">
        <f>IF(AND(A172&lt;=$B$24, T172&gt;0), T172*$B$23, 0)</f>
        <v/>
      </c>
      <c r="V172" s="306">
        <f>T172-U172</f>
        <v/>
      </c>
      <c r="W172" s="306">
        <f>IF(AND(A172=$B$19, $B$21=1), K172*$B$20, 0)</f>
        <v/>
      </c>
      <c r="X172" s="306">
        <f>X171+V172+W172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SUM(F173:J173)</f>
        <v/>
      </c>
      <c r="L173" s="306">
        <f>K173/12</f>
        <v/>
      </c>
      <c r="M173" s="306">
        <f>L173*$B$8</f>
        <v/>
      </c>
      <c r="N173" s="306">
        <f>L173*$B$9</f>
        <v/>
      </c>
      <c r="O173" s="306">
        <f>L173*$B$10</f>
        <v/>
      </c>
      <c r="P173" s="306">
        <f>L173-M173-N173-O173-D173-E173</f>
        <v/>
      </c>
      <c r="Q173" s="306">
        <f>MAX(0, P173 - $B$7*L173)</f>
        <v/>
      </c>
      <c r="R173" s="306">
        <f>P173-Q173</f>
        <v/>
      </c>
      <c r="S173" s="306">
        <f>IF(A173=$F$6, $B$18*$B$16*$B$17/1000000, 0) + IF(A173=$F$7, $B$18*$B$16*$B$17/1000000, 0) + IF(A173=$F$8, $B$18*$B$16*$B$17/1000000, 0) + IF(A173=$F$9, $B$18*$B$16*$B$17/1000000, 0) + IF(A173=$F$10, $B$18*$B$16*$B$17/1000000, 0)</f>
        <v/>
      </c>
      <c r="T173" s="306">
        <f>R173-S173-C173</f>
        <v/>
      </c>
      <c r="U173" s="306">
        <f>IF(AND(A173&lt;=$B$24, T173&gt;0), T173*$B$23, 0)</f>
        <v/>
      </c>
      <c r="V173" s="306">
        <f>T173-U173</f>
        <v/>
      </c>
      <c r="W173" s="306">
        <f>IF(AND(A173=$B$19, $B$21=1), K173*$B$20, 0)</f>
        <v/>
      </c>
      <c r="X173" s="306">
        <f>X172+V173+W173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SUM(F174:J174)</f>
        <v/>
      </c>
      <c r="L174" s="306">
        <f>K174/12</f>
        <v/>
      </c>
      <c r="M174" s="306">
        <f>L174*$B$8</f>
        <v/>
      </c>
      <c r="N174" s="306">
        <f>L174*$B$9</f>
        <v/>
      </c>
      <c r="O174" s="306">
        <f>L174*$B$10</f>
        <v/>
      </c>
      <c r="P174" s="306">
        <f>L174-M174-N174-O174-D174-E174</f>
        <v/>
      </c>
      <c r="Q174" s="306">
        <f>MAX(0, P174 - $B$7*L174)</f>
        <v/>
      </c>
      <c r="R174" s="306">
        <f>P174-Q174</f>
        <v/>
      </c>
      <c r="S174" s="306">
        <f>IF(A174=$F$6, $B$18*$B$16*$B$17/1000000, 0) + IF(A174=$F$7, $B$18*$B$16*$B$17/1000000, 0) + IF(A174=$F$8, $B$18*$B$16*$B$17/1000000, 0) + IF(A174=$F$9, $B$18*$B$16*$B$17/1000000, 0) + IF(A174=$F$10, $B$18*$B$16*$B$17/1000000, 0)</f>
        <v/>
      </c>
      <c r="T174" s="306">
        <f>R174-S174-C174</f>
        <v/>
      </c>
      <c r="U174" s="306">
        <f>IF(AND(A174&lt;=$B$24, T174&gt;0), T174*$B$23, 0)</f>
        <v/>
      </c>
      <c r="V174" s="306">
        <f>T174-U174</f>
        <v/>
      </c>
      <c r="W174" s="306">
        <f>IF(AND(A174=$B$19, $B$21=1), K174*$B$20, 0)</f>
        <v/>
      </c>
      <c r="X174" s="306">
        <f>X173+V174+W174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SUM(F175:J175)</f>
        <v/>
      </c>
      <c r="L175" s="306">
        <f>K175/12</f>
        <v/>
      </c>
      <c r="M175" s="306">
        <f>L175*$B$8</f>
        <v/>
      </c>
      <c r="N175" s="306">
        <f>L175*$B$9</f>
        <v/>
      </c>
      <c r="O175" s="306">
        <f>L175*$B$10</f>
        <v/>
      </c>
      <c r="P175" s="306">
        <f>L175-M175-N175-O175-D175-E175</f>
        <v/>
      </c>
      <c r="Q175" s="306">
        <f>MAX(0, P175 - $B$7*L175)</f>
        <v/>
      </c>
      <c r="R175" s="306">
        <f>P175-Q175</f>
        <v/>
      </c>
      <c r="S175" s="306">
        <f>IF(A175=$F$6, $B$18*$B$16*$B$17/1000000, 0) + IF(A175=$F$7, $B$18*$B$16*$B$17/1000000, 0) + IF(A175=$F$8, $B$18*$B$16*$B$17/1000000, 0) + IF(A175=$F$9, $B$18*$B$16*$B$17/1000000, 0) + IF(A175=$F$10, $B$18*$B$16*$B$17/1000000, 0)</f>
        <v/>
      </c>
      <c r="T175" s="306">
        <f>R175-S175-C175</f>
        <v/>
      </c>
      <c r="U175" s="306">
        <f>IF(AND(A175&lt;=$B$24, T175&gt;0), T175*$B$23, 0)</f>
        <v/>
      </c>
      <c r="V175" s="306">
        <f>T175-U175</f>
        <v/>
      </c>
      <c r="W175" s="306">
        <f>IF(AND(A175=$B$19, $B$21=1), K175*$B$20, 0)</f>
        <v/>
      </c>
      <c r="X175" s="306">
        <f>X174+V175+W175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SUM(F176:J176)</f>
        <v/>
      </c>
      <c r="L176" s="306">
        <f>K176/12</f>
        <v/>
      </c>
      <c r="M176" s="306">
        <f>L176*$B$8</f>
        <v/>
      </c>
      <c r="N176" s="306">
        <f>L176*$B$9</f>
        <v/>
      </c>
      <c r="O176" s="306">
        <f>L176*$B$10</f>
        <v/>
      </c>
      <c r="P176" s="306">
        <f>L176-M176-N176-O176-D176-E176</f>
        <v/>
      </c>
      <c r="Q176" s="306">
        <f>MAX(0, P176 - $B$7*L176)</f>
        <v/>
      </c>
      <c r="R176" s="306">
        <f>P176-Q176</f>
        <v/>
      </c>
      <c r="S176" s="306">
        <f>IF(A176=$F$6, $B$18*$B$16*$B$17/1000000, 0) + IF(A176=$F$7, $B$18*$B$16*$B$17/1000000, 0) + IF(A176=$F$8, $B$18*$B$16*$B$17/1000000, 0) + IF(A176=$F$9, $B$18*$B$16*$B$17/1000000, 0) + IF(A176=$F$10, $B$18*$B$16*$B$17/1000000, 0)</f>
        <v/>
      </c>
      <c r="T176" s="306">
        <f>R176-S176-C176</f>
        <v/>
      </c>
      <c r="U176" s="306">
        <f>IF(AND(A176&lt;=$B$24, T176&gt;0), T176*$B$23, 0)</f>
        <v/>
      </c>
      <c r="V176" s="306">
        <f>T176-U176</f>
        <v/>
      </c>
      <c r="W176" s="306">
        <f>IF(AND(A176=$B$19, $B$21=1), K176*$B$20, 0)</f>
        <v/>
      </c>
      <c r="X176" s="306">
        <f>X175+V176+W176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SUM(F177:J177)</f>
        <v/>
      </c>
      <c r="L177" s="306">
        <f>K177/12</f>
        <v/>
      </c>
      <c r="M177" s="306">
        <f>L177*$B$8</f>
        <v/>
      </c>
      <c r="N177" s="306">
        <f>L177*$B$9</f>
        <v/>
      </c>
      <c r="O177" s="306">
        <f>L177*$B$10</f>
        <v/>
      </c>
      <c r="P177" s="306">
        <f>L177-M177-N177-O177-D177-E177</f>
        <v/>
      </c>
      <c r="Q177" s="306">
        <f>MAX(0, P177 - $B$7*L177)</f>
        <v/>
      </c>
      <c r="R177" s="306">
        <f>P177-Q177</f>
        <v/>
      </c>
      <c r="S177" s="306">
        <f>IF(A177=$F$6, $B$18*$B$16*$B$17/1000000, 0) + IF(A177=$F$7, $B$18*$B$16*$B$17/1000000, 0) + IF(A177=$F$8, $B$18*$B$16*$B$17/1000000, 0) + IF(A177=$F$9, $B$18*$B$16*$B$17/1000000, 0) + IF(A177=$F$10, $B$18*$B$16*$B$17/1000000, 0)</f>
        <v/>
      </c>
      <c r="T177" s="306">
        <f>R177-S177-C177</f>
        <v/>
      </c>
      <c r="U177" s="306">
        <f>IF(AND(A177&lt;=$B$24, T177&gt;0), T177*$B$23, 0)</f>
        <v/>
      </c>
      <c r="V177" s="306">
        <f>T177-U177</f>
        <v/>
      </c>
      <c r="W177" s="306">
        <f>IF(AND(A177=$B$19, $B$21=1), K177*$B$20, 0)</f>
        <v/>
      </c>
      <c r="X177" s="306">
        <f>X176+V177+W177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SUM(F178:J178)</f>
        <v/>
      </c>
      <c r="L178" s="306">
        <f>K178/12</f>
        <v/>
      </c>
      <c r="M178" s="306">
        <f>L178*$B$8</f>
        <v/>
      </c>
      <c r="N178" s="306">
        <f>L178*$B$9</f>
        <v/>
      </c>
      <c r="O178" s="306">
        <f>L178*$B$10</f>
        <v/>
      </c>
      <c r="P178" s="306">
        <f>L178-M178-N178-O178-D178-E178</f>
        <v/>
      </c>
      <c r="Q178" s="306">
        <f>MAX(0, P178 - $B$7*L178)</f>
        <v/>
      </c>
      <c r="R178" s="306">
        <f>P178-Q178</f>
        <v/>
      </c>
      <c r="S178" s="306">
        <f>IF(A178=$F$6, $B$18*$B$16*$B$17/1000000, 0) + IF(A178=$F$7, $B$18*$B$16*$B$17/1000000, 0) + IF(A178=$F$8, $B$18*$B$16*$B$17/1000000, 0) + IF(A178=$F$9, $B$18*$B$16*$B$17/1000000, 0) + IF(A178=$F$10, $B$18*$B$16*$B$17/1000000, 0)</f>
        <v/>
      </c>
      <c r="T178" s="306">
        <f>R178-S178-C178</f>
        <v/>
      </c>
      <c r="U178" s="306">
        <f>IF(AND(A178&lt;=$B$24, T178&gt;0), T178*$B$23, 0)</f>
        <v/>
      </c>
      <c r="V178" s="306">
        <f>T178-U178</f>
        <v/>
      </c>
      <c r="W178" s="306">
        <f>IF(AND(A178=$B$19, $B$21=1), K178*$B$20, 0)</f>
        <v/>
      </c>
      <c r="X178" s="306">
        <f>X177+V178+W178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SUM(F179:J179)</f>
        <v/>
      </c>
      <c r="L179" s="306">
        <f>K179/12</f>
        <v/>
      </c>
      <c r="M179" s="306">
        <f>L179*$B$8</f>
        <v/>
      </c>
      <c r="N179" s="306">
        <f>L179*$B$9</f>
        <v/>
      </c>
      <c r="O179" s="306">
        <f>L179*$B$10</f>
        <v/>
      </c>
      <c r="P179" s="306">
        <f>L179-M179-N179-O179-D179-E179</f>
        <v/>
      </c>
      <c r="Q179" s="306">
        <f>MAX(0, P179 - $B$7*L179)</f>
        <v/>
      </c>
      <c r="R179" s="306">
        <f>P179-Q179</f>
        <v/>
      </c>
      <c r="S179" s="306">
        <f>IF(A179=$F$6, $B$18*$B$16*$B$17/1000000, 0) + IF(A179=$F$7, $B$18*$B$16*$B$17/1000000, 0) + IF(A179=$F$8, $B$18*$B$16*$B$17/1000000, 0) + IF(A179=$F$9, $B$18*$B$16*$B$17/1000000, 0) + IF(A179=$F$10, $B$18*$B$16*$B$17/1000000, 0)</f>
        <v/>
      </c>
      <c r="T179" s="306">
        <f>R179-S179-C179</f>
        <v/>
      </c>
      <c r="U179" s="306">
        <f>IF(AND(A179&lt;=$B$24, T179&gt;0), T179*$B$23, 0)</f>
        <v/>
      </c>
      <c r="V179" s="306">
        <f>T179-U179</f>
        <v/>
      </c>
      <c r="W179" s="306">
        <f>IF(AND(A179=$B$19, $B$21=1), K179*$B$20, 0)</f>
        <v/>
      </c>
      <c r="X179" s="306">
        <f>X178+V179+W179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SUM(F180:J180)</f>
        <v/>
      </c>
      <c r="L180" s="306">
        <f>K180/12</f>
        <v/>
      </c>
      <c r="M180" s="306">
        <f>L180*$B$8</f>
        <v/>
      </c>
      <c r="N180" s="306">
        <f>L180*$B$9</f>
        <v/>
      </c>
      <c r="O180" s="306">
        <f>L180*$B$10</f>
        <v/>
      </c>
      <c r="P180" s="306">
        <f>L180-M180-N180-O180-D180-E180</f>
        <v/>
      </c>
      <c r="Q180" s="306">
        <f>MAX(0, P180 - $B$7*L180)</f>
        <v/>
      </c>
      <c r="R180" s="306">
        <f>P180-Q180</f>
        <v/>
      </c>
      <c r="S180" s="306">
        <f>IF(A180=$F$6, $B$18*$B$16*$B$17/1000000, 0) + IF(A180=$F$7, $B$18*$B$16*$B$17/1000000, 0) + IF(A180=$F$8, $B$18*$B$16*$B$17/1000000, 0) + IF(A180=$F$9, $B$18*$B$16*$B$17/1000000, 0) + IF(A180=$F$10, $B$18*$B$16*$B$17/1000000, 0)</f>
        <v/>
      </c>
      <c r="T180" s="306">
        <f>R180-S180-C180</f>
        <v/>
      </c>
      <c r="U180" s="306">
        <f>IF(AND(A180&lt;=$B$24, T180&gt;0), T180*$B$23, 0)</f>
        <v/>
      </c>
      <c r="V180" s="306">
        <f>T180-U180</f>
        <v/>
      </c>
      <c r="W180" s="306">
        <f>IF(AND(A180=$B$19, $B$21=1), K180*$B$20, 0)</f>
        <v/>
      </c>
      <c r="X180" s="306">
        <f>X179+V180+W180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SUM(F181:J181)</f>
        <v/>
      </c>
      <c r="L181" s="306">
        <f>K181/12</f>
        <v/>
      </c>
      <c r="M181" s="306">
        <f>L181*$B$8</f>
        <v/>
      </c>
      <c r="N181" s="306">
        <f>L181*$B$9</f>
        <v/>
      </c>
      <c r="O181" s="306">
        <f>L181*$B$10</f>
        <v/>
      </c>
      <c r="P181" s="306">
        <f>L181-M181-N181-O181-D181-E181</f>
        <v/>
      </c>
      <c r="Q181" s="306">
        <f>MAX(0, P181 - $B$7*L181)</f>
        <v/>
      </c>
      <c r="R181" s="306">
        <f>P181-Q181</f>
        <v/>
      </c>
      <c r="S181" s="306">
        <f>IF(A181=$F$6, $B$18*$B$16*$B$17/1000000, 0) + IF(A181=$F$7, $B$18*$B$16*$B$17/1000000, 0) + IF(A181=$F$8, $B$18*$B$16*$B$17/1000000, 0) + IF(A181=$F$9, $B$18*$B$16*$B$17/1000000, 0) + IF(A181=$F$10, $B$18*$B$16*$B$17/1000000, 0)</f>
        <v/>
      </c>
      <c r="T181" s="306">
        <f>R181-S181-C181</f>
        <v/>
      </c>
      <c r="U181" s="306">
        <f>IF(AND(A181&lt;=$B$24, T181&gt;0), T181*$B$23, 0)</f>
        <v/>
      </c>
      <c r="V181" s="306">
        <f>T181-U181</f>
        <v/>
      </c>
      <c r="W181" s="306">
        <f>IF(AND(A181=$B$19, $B$21=1), K181*$B$20, 0)</f>
        <v/>
      </c>
      <c r="X181" s="306">
        <f>X180+V181+W181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SUM(F182:J182)</f>
        <v/>
      </c>
      <c r="L182" s="306">
        <f>K182/12</f>
        <v/>
      </c>
      <c r="M182" s="306">
        <f>L182*$B$8</f>
        <v/>
      </c>
      <c r="N182" s="306">
        <f>L182*$B$9</f>
        <v/>
      </c>
      <c r="O182" s="306">
        <f>L182*$B$10</f>
        <v/>
      </c>
      <c r="P182" s="306">
        <f>L182-M182-N182-O182-D182-E182</f>
        <v/>
      </c>
      <c r="Q182" s="306">
        <f>MAX(0, P182 - $B$7*L182)</f>
        <v/>
      </c>
      <c r="R182" s="306">
        <f>P182-Q182</f>
        <v/>
      </c>
      <c r="S182" s="306">
        <f>IF(A182=$F$6, $B$18*$B$16*$B$17/1000000, 0) + IF(A182=$F$7, $B$18*$B$16*$B$17/1000000, 0) + IF(A182=$F$8, $B$18*$B$16*$B$17/1000000, 0) + IF(A182=$F$9, $B$18*$B$16*$B$17/1000000, 0) + IF(A182=$F$10, $B$18*$B$16*$B$17/1000000, 0)</f>
        <v/>
      </c>
      <c r="T182" s="306">
        <f>R182-S182-C182</f>
        <v/>
      </c>
      <c r="U182" s="306">
        <f>IF(AND(A182&lt;=$B$24, T182&gt;0), T182*$B$23, 0)</f>
        <v/>
      </c>
      <c r="V182" s="306">
        <f>T182-U182</f>
        <v/>
      </c>
      <c r="W182" s="306">
        <f>IF(AND(A182=$B$19, $B$21=1), K182*$B$20, 0)</f>
        <v/>
      </c>
      <c r="X182" s="306">
        <f>X181+V182+W182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SUM(F183:J183)</f>
        <v/>
      </c>
      <c r="L183" s="306">
        <f>K183/12</f>
        <v/>
      </c>
      <c r="M183" s="306">
        <f>L183*$B$8</f>
        <v/>
      </c>
      <c r="N183" s="306">
        <f>L183*$B$9</f>
        <v/>
      </c>
      <c r="O183" s="306">
        <f>L183*$B$10</f>
        <v/>
      </c>
      <c r="P183" s="306">
        <f>L183-M183-N183-O183-D183-E183</f>
        <v/>
      </c>
      <c r="Q183" s="306">
        <f>MAX(0, P183 - $B$7*L183)</f>
        <v/>
      </c>
      <c r="R183" s="306">
        <f>P183-Q183</f>
        <v/>
      </c>
      <c r="S183" s="306">
        <f>IF(A183=$F$6, $B$18*$B$16*$B$17/1000000, 0) + IF(A183=$F$7, $B$18*$B$16*$B$17/1000000, 0) + IF(A183=$F$8, $B$18*$B$16*$B$17/1000000, 0) + IF(A183=$F$9, $B$18*$B$16*$B$17/1000000, 0) + IF(A183=$F$10, $B$18*$B$16*$B$17/1000000, 0)</f>
        <v/>
      </c>
      <c r="T183" s="306">
        <f>R183-S183-C183</f>
        <v/>
      </c>
      <c r="U183" s="306">
        <f>IF(AND(A183&lt;=$B$24, T183&gt;0), T183*$B$23, 0)</f>
        <v/>
      </c>
      <c r="V183" s="306">
        <f>T183-U183</f>
        <v/>
      </c>
      <c r="W183" s="306">
        <f>IF(AND(A183=$B$19, $B$21=1), K183*$B$20, 0)</f>
        <v/>
      </c>
      <c r="X183" s="306">
        <f>X182+V183+W183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SUM(F184:J184)</f>
        <v/>
      </c>
      <c r="L184" s="306">
        <f>K184/12</f>
        <v/>
      </c>
      <c r="M184" s="306">
        <f>L184*$B$8</f>
        <v/>
      </c>
      <c r="N184" s="306">
        <f>L184*$B$9</f>
        <v/>
      </c>
      <c r="O184" s="306">
        <f>L184*$B$10</f>
        <v/>
      </c>
      <c r="P184" s="306">
        <f>L184-M184-N184-O184-D184-E184</f>
        <v/>
      </c>
      <c r="Q184" s="306">
        <f>MAX(0, P184 - $B$7*L184)</f>
        <v/>
      </c>
      <c r="R184" s="306">
        <f>P184-Q184</f>
        <v/>
      </c>
      <c r="S184" s="306">
        <f>IF(A184=$F$6, $B$18*$B$16*$B$17/1000000, 0) + IF(A184=$F$7, $B$18*$B$16*$B$17/1000000, 0) + IF(A184=$F$8, $B$18*$B$16*$B$17/1000000, 0) + IF(A184=$F$9, $B$18*$B$16*$B$17/1000000, 0) + IF(A184=$F$10, $B$18*$B$16*$B$17/1000000, 0)</f>
        <v/>
      </c>
      <c r="T184" s="306">
        <f>R184-S184-C184</f>
        <v/>
      </c>
      <c r="U184" s="306">
        <f>IF(AND(A184&lt;=$B$24, T184&gt;0), T184*$B$23, 0)</f>
        <v/>
      </c>
      <c r="V184" s="306">
        <f>T184-U184</f>
        <v/>
      </c>
      <c r="W184" s="306">
        <f>IF(AND(A184=$B$19, $B$21=1), K184*$B$20, 0)</f>
        <v/>
      </c>
      <c r="X184" s="306">
        <f>X183+V184+W184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SUM(F185:J185)</f>
        <v/>
      </c>
      <c r="L185" s="306">
        <f>K185/12</f>
        <v/>
      </c>
      <c r="M185" s="306">
        <f>L185*$B$8</f>
        <v/>
      </c>
      <c r="N185" s="306">
        <f>L185*$B$9</f>
        <v/>
      </c>
      <c r="O185" s="306">
        <f>L185*$B$10</f>
        <v/>
      </c>
      <c r="P185" s="306">
        <f>L185-M185-N185-O185-D185-E185</f>
        <v/>
      </c>
      <c r="Q185" s="306">
        <f>MAX(0, P185 - $B$7*L185)</f>
        <v/>
      </c>
      <c r="R185" s="306">
        <f>P185-Q185</f>
        <v/>
      </c>
      <c r="S185" s="306">
        <f>IF(A185=$F$6, $B$18*$B$16*$B$17/1000000, 0) + IF(A185=$F$7, $B$18*$B$16*$B$17/1000000, 0) + IF(A185=$F$8, $B$18*$B$16*$B$17/1000000, 0) + IF(A185=$F$9, $B$18*$B$16*$B$17/1000000, 0) + IF(A185=$F$10, $B$18*$B$16*$B$17/1000000, 0)</f>
        <v/>
      </c>
      <c r="T185" s="306">
        <f>R185-S185-C185</f>
        <v/>
      </c>
      <c r="U185" s="306">
        <f>IF(AND(A185&lt;=$B$24, T185&gt;0), T185*$B$23, 0)</f>
        <v/>
      </c>
      <c r="V185" s="306">
        <f>T185-U185</f>
        <v/>
      </c>
      <c r="W185" s="306">
        <f>IF(AND(A185=$B$19, $B$21=1), K185*$B$20, 0)</f>
        <v/>
      </c>
      <c r="X185" s="306">
        <f>X184+V185+W185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SUM(F186:J186)</f>
        <v/>
      </c>
      <c r="L186" s="306">
        <f>K186/12</f>
        <v/>
      </c>
      <c r="M186" s="306">
        <f>L186*$B$8</f>
        <v/>
      </c>
      <c r="N186" s="306">
        <f>L186*$B$9</f>
        <v/>
      </c>
      <c r="O186" s="306">
        <f>L186*$B$10</f>
        <v/>
      </c>
      <c r="P186" s="306">
        <f>L186-M186-N186-O186-D186-E186</f>
        <v/>
      </c>
      <c r="Q186" s="306">
        <f>MAX(0, P186 - $B$7*L186)</f>
        <v/>
      </c>
      <c r="R186" s="306">
        <f>P186-Q186</f>
        <v/>
      </c>
      <c r="S186" s="306">
        <f>IF(A186=$F$6, $B$18*$B$16*$B$17/1000000, 0) + IF(A186=$F$7, $B$18*$B$16*$B$17/1000000, 0) + IF(A186=$F$8, $B$18*$B$16*$B$17/1000000, 0) + IF(A186=$F$9, $B$18*$B$16*$B$17/1000000, 0) + IF(A186=$F$10, $B$18*$B$16*$B$17/1000000, 0)</f>
        <v/>
      </c>
      <c r="T186" s="306">
        <f>R186-S186-C186</f>
        <v/>
      </c>
      <c r="U186" s="306">
        <f>IF(AND(A186&lt;=$B$24, T186&gt;0), T186*$B$23, 0)</f>
        <v/>
      </c>
      <c r="V186" s="306">
        <f>T186-U186</f>
        <v/>
      </c>
      <c r="W186" s="306">
        <f>IF(AND(A186=$B$19, $B$21=1), K186*$B$20, 0)</f>
        <v/>
      </c>
      <c r="X186" s="306">
        <f>X185+V186+W186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SUM(F187:J187)</f>
        <v/>
      </c>
      <c r="L187" s="306">
        <f>K187/12</f>
        <v/>
      </c>
      <c r="M187" s="306">
        <f>L187*$B$8</f>
        <v/>
      </c>
      <c r="N187" s="306">
        <f>L187*$B$9</f>
        <v/>
      </c>
      <c r="O187" s="306">
        <f>L187*$B$10</f>
        <v/>
      </c>
      <c r="P187" s="306">
        <f>L187-M187-N187-O187-D187-E187</f>
        <v/>
      </c>
      <c r="Q187" s="306">
        <f>MAX(0, P187 - $B$7*L187)</f>
        <v/>
      </c>
      <c r="R187" s="306">
        <f>P187-Q187</f>
        <v/>
      </c>
      <c r="S187" s="306">
        <f>IF(A187=$F$6, $B$18*$B$16*$B$17/1000000, 0) + IF(A187=$F$7, $B$18*$B$16*$B$17/1000000, 0) + IF(A187=$F$8, $B$18*$B$16*$B$17/1000000, 0) + IF(A187=$F$9, $B$18*$B$16*$B$17/1000000, 0) + IF(A187=$F$10, $B$18*$B$16*$B$17/1000000, 0)</f>
        <v/>
      </c>
      <c r="T187" s="306">
        <f>R187-S187-C187</f>
        <v/>
      </c>
      <c r="U187" s="306">
        <f>IF(AND(A187&lt;=$B$24, T187&gt;0), T187*$B$23, 0)</f>
        <v/>
      </c>
      <c r="V187" s="306">
        <f>T187-U187</f>
        <v/>
      </c>
      <c r="W187" s="306">
        <f>IF(AND(A187=$B$19, $B$21=1), K187*$B$20, 0)</f>
        <v/>
      </c>
      <c r="X187" s="306">
        <f>X186+V187+W187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SUM(F188:J188)</f>
        <v/>
      </c>
      <c r="L188" s="306">
        <f>K188/12</f>
        <v/>
      </c>
      <c r="M188" s="306">
        <f>L188*$B$8</f>
        <v/>
      </c>
      <c r="N188" s="306">
        <f>L188*$B$9</f>
        <v/>
      </c>
      <c r="O188" s="306">
        <f>L188*$B$10</f>
        <v/>
      </c>
      <c r="P188" s="306">
        <f>L188-M188-N188-O188-D188-E188</f>
        <v/>
      </c>
      <c r="Q188" s="306">
        <f>MAX(0, P188 - $B$7*L188)</f>
        <v/>
      </c>
      <c r="R188" s="306">
        <f>P188-Q188</f>
        <v/>
      </c>
      <c r="S188" s="306">
        <f>IF(A188=$F$6, $B$18*$B$16*$B$17/1000000, 0) + IF(A188=$F$7, $B$18*$B$16*$B$17/1000000, 0) + IF(A188=$F$8, $B$18*$B$16*$B$17/1000000, 0) + IF(A188=$F$9, $B$18*$B$16*$B$17/1000000, 0) + IF(A188=$F$10, $B$18*$B$16*$B$17/1000000, 0)</f>
        <v/>
      </c>
      <c r="T188" s="306">
        <f>R188-S188-C188</f>
        <v/>
      </c>
      <c r="U188" s="306">
        <f>IF(AND(A188&lt;=$B$24, T188&gt;0), T188*$B$23, 0)</f>
        <v/>
      </c>
      <c r="V188" s="306">
        <f>T188-U188</f>
        <v/>
      </c>
      <c r="W188" s="306">
        <f>IF(AND(A188=$B$19, $B$21=1), K188*$B$20, 0)</f>
        <v/>
      </c>
      <c r="X188" s="306">
        <f>X187+V188+W188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SUM(F189:J189)</f>
        <v/>
      </c>
      <c r="L189" s="306">
        <f>K189/12</f>
        <v/>
      </c>
      <c r="M189" s="306">
        <f>L189*$B$8</f>
        <v/>
      </c>
      <c r="N189" s="306">
        <f>L189*$B$9</f>
        <v/>
      </c>
      <c r="O189" s="306">
        <f>L189*$B$10</f>
        <v/>
      </c>
      <c r="P189" s="306">
        <f>L189-M189-N189-O189-D189-E189</f>
        <v/>
      </c>
      <c r="Q189" s="306">
        <f>MAX(0, P189 - $B$7*L189)</f>
        <v/>
      </c>
      <c r="R189" s="306">
        <f>P189-Q189</f>
        <v/>
      </c>
      <c r="S189" s="306">
        <f>IF(A189=$F$6, $B$18*$B$16*$B$17/1000000, 0) + IF(A189=$F$7, $B$18*$B$16*$B$17/1000000, 0) + IF(A189=$F$8, $B$18*$B$16*$B$17/1000000, 0) + IF(A189=$F$9, $B$18*$B$16*$B$17/1000000, 0) + IF(A189=$F$10, $B$18*$B$16*$B$17/1000000, 0)</f>
        <v/>
      </c>
      <c r="T189" s="306">
        <f>R189-S189-C189</f>
        <v/>
      </c>
      <c r="U189" s="306">
        <f>IF(AND(A189&lt;=$B$24, T189&gt;0), T189*$B$23, 0)</f>
        <v/>
      </c>
      <c r="V189" s="306">
        <f>T189-U189</f>
        <v/>
      </c>
      <c r="W189" s="306">
        <f>IF(AND(A189=$B$19, $B$21=1), K189*$B$20, 0)</f>
        <v/>
      </c>
      <c r="X189" s="306">
        <f>X188+V189+W189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SUM(F190:J190)</f>
        <v/>
      </c>
      <c r="L190" s="306">
        <f>K190/12</f>
        <v/>
      </c>
      <c r="M190" s="306">
        <f>L190*$B$8</f>
        <v/>
      </c>
      <c r="N190" s="306">
        <f>L190*$B$9</f>
        <v/>
      </c>
      <c r="O190" s="306">
        <f>L190*$B$10</f>
        <v/>
      </c>
      <c r="P190" s="306">
        <f>L190-M190-N190-O190-D190-E190</f>
        <v/>
      </c>
      <c r="Q190" s="306">
        <f>MAX(0, P190 - $B$7*L190)</f>
        <v/>
      </c>
      <c r="R190" s="306">
        <f>P190-Q190</f>
        <v/>
      </c>
      <c r="S190" s="306">
        <f>IF(A190=$F$6, $B$18*$B$16*$B$17/1000000, 0) + IF(A190=$F$7, $B$18*$B$16*$B$17/1000000, 0) + IF(A190=$F$8, $B$18*$B$16*$B$17/1000000, 0) + IF(A190=$F$9, $B$18*$B$16*$B$17/1000000, 0) + IF(A190=$F$10, $B$18*$B$16*$B$17/1000000, 0)</f>
        <v/>
      </c>
      <c r="T190" s="306">
        <f>R190-S190-C190</f>
        <v/>
      </c>
      <c r="U190" s="306">
        <f>IF(AND(A190&lt;=$B$24, T190&gt;0), T190*$B$23, 0)</f>
        <v/>
      </c>
      <c r="V190" s="306">
        <f>T190-U190</f>
        <v/>
      </c>
      <c r="W190" s="306">
        <f>IF(AND(A190=$B$19, $B$21=1), K190*$B$20, 0)</f>
        <v/>
      </c>
      <c r="X190" s="306">
        <f>X189+V190+W190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SUM(F191:J191)</f>
        <v/>
      </c>
      <c r="L191" s="306">
        <f>K191/12</f>
        <v/>
      </c>
      <c r="M191" s="306">
        <f>L191*$B$8</f>
        <v/>
      </c>
      <c r="N191" s="306">
        <f>L191*$B$9</f>
        <v/>
      </c>
      <c r="O191" s="306">
        <f>L191*$B$10</f>
        <v/>
      </c>
      <c r="P191" s="306">
        <f>L191-M191-N191-O191-D191-E191</f>
        <v/>
      </c>
      <c r="Q191" s="306">
        <f>MAX(0, P191 - $B$7*L191)</f>
        <v/>
      </c>
      <c r="R191" s="306">
        <f>P191-Q191</f>
        <v/>
      </c>
      <c r="S191" s="306">
        <f>IF(A191=$F$6, $B$18*$B$16*$B$17/1000000, 0) + IF(A191=$F$7, $B$18*$B$16*$B$17/1000000, 0) + IF(A191=$F$8, $B$18*$B$16*$B$17/1000000, 0) + IF(A191=$F$9, $B$18*$B$16*$B$17/1000000, 0) + IF(A191=$F$10, $B$18*$B$16*$B$17/1000000, 0)</f>
        <v/>
      </c>
      <c r="T191" s="306">
        <f>R191-S191-C191</f>
        <v/>
      </c>
      <c r="U191" s="306">
        <f>IF(AND(A191&lt;=$B$24, T191&gt;0), T191*$B$23, 0)</f>
        <v/>
      </c>
      <c r="V191" s="306">
        <f>T191-U191</f>
        <v/>
      </c>
      <c r="W191" s="306">
        <f>IF(AND(A191=$B$19, $B$21=1), K191*$B$20, 0)</f>
        <v/>
      </c>
      <c r="X191" s="306">
        <f>X190+V191+W191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SUM(F192:J192)</f>
        <v/>
      </c>
      <c r="L192" s="306">
        <f>K192/12</f>
        <v/>
      </c>
      <c r="M192" s="306">
        <f>L192*$B$8</f>
        <v/>
      </c>
      <c r="N192" s="306">
        <f>L192*$B$9</f>
        <v/>
      </c>
      <c r="O192" s="306">
        <f>L192*$B$10</f>
        <v/>
      </c>
      <c r="P192" s="306">
        <f>L192-M192-N192-O192-D192-E192</f>
        <v/>
      </c>
      <c r="Q192" s="306">
        <f>MAX(0, P192 - $B$7*L192)</f>
        <v/>
      </c>
      <c r="R192" s="306">
        <f>P192-Q192</f>
        <v/>
      </c>
      <c r="S192" s="306">
        <f>IF(A192=$F$6, $B$18*$B$16*$B$17/1000000, 0) + IF(A192=$F$7, $B$18*$B$16*$B$17/1000000, 0) + IF(A192=$F$8, $B$18*$B$16*$B$17/1000000, 0) + IF(A192=$F$9, $B$18*$B$16*$B$17/1000000, 0) + IF(A192=$F$10, $B$18*$B$16*$B$17/1000000, 0)</f>
        <v/>
      </c>
      <c r="T192" s="306">
        <f>R192-S192-C192</f>
        <v/>
      </c>
      <c r="U192" s="306">
        <f>IF(AND(A192&lt;=$B$24, T192&gt;0), T192*$B$23, 0)</f>
        <v/>
      </c>
      <c r="V192" s="306">
        <f>T192-U192</f>
        <v/>
      </c>
      <c r="W192" s="306">
        <f>IF(AND(A192=$B$19, $B$21=1), K192*$B$20, 0)</f>
        <v/>
      </c>
      <c r="X192" s="306">
        <f>X191+V192+W192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SUM(F193:J193)</f>
        <v/>
      </c>
      <c r="L193" s="306">
        <f>K193/12</f>
        <v/>
      </c>
      <c r="M193" s="306">
        <f>L193*$B$8</f>
        <v/>
      </c>
      <c r="N193" s="306">
        <f>L193*$B$9</f>
        <v/>
      </c>
      <c r="O193" s="306">
        <f>L193*$B$10</f>
        <v/>
      </c>
      <c r="P193" s="306">
        <f>L193-M193-N193-O193-D193-E193</f>
        <v/>
      </c>
      <c r="Q193" s="306">
        <f>MAX(0, P193 - $B$7*L193)</f>
        <v/>
      </c>
      <c r="R193" s="306">
        <f>P193-Q193</f>
        <v/>
      </c>
      <c r="S193" s="306">
        <f>IF(A193=$F$6, $B$18*$B$16*$B$17/1000000, 0) + IF(A193=$F$7, $B$18*$B$16*$B$17/1000000, 0) + IF(A193=$F$8, $B$18*$B$16*$B$17/1000000, 0) + IF(A193=$F$9, $B$18*$B$16*$B$17/1000000, 0) + IF(A193=$F$10, $B$18*$B$16*$B$17/1000000, 0)</f>
        <v/>
      </c>
      <c r="T193" s="306">
        <f>R193-S193-C193</f>
        <v/>
      </c>
      <c r="U193" s="306">
        <f>IF(AND(A193&lt;=$B$24, T193&gt;0), T193*$B$23, 0)</f>
        <v/>
      </c>
      <c r="V193" s="306">
        <f>T193-U193</f>
        <v/>
      </c>
      <c r="W193" s="306">
        <f>IF(AND(A193=$B$19, $B$21=1), K193*$B$20, 0)</f>
        <v/>
      </c>
      <c r="X193" s="306">
        <f>X192+V193+W193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SUM(F194:J194)</f>
        <v/>
      </c>
      <c r="L194" s="306">
        <f>K194/12</f>
        <v/>
      </c>
      <c r="M194" s="306">
        <f>L194*$B$8</f>
        <v/>
      </c>
      <c r="N194" s="306">
        <f>L194*$B$9</f>
        <v/>
      </c>
      <c r="O194" s="306">
        <f>L194*$B$10</f>
        <v/>
      </c>
      <c r="P194" s="306">
        <f>L194-M194-N194-O194-D194-E194</f>
        <v/>
      </c>
      <c r="Q194" s="306">
        <f>MAX(0, P194 - $B$7*L194)</f>
        <v/>
      </c>
      <c r="R194" s="306">
        <f>P194-Q194</f>
        <v/>
      </c>
      <c r="S194" s="306">
        <f>IF(A194=$F$6, $B$18*$B$16*$B$17/1000000, 0) + IF(A194=$F$7, $B$18*$B$16*$B$17/1000000, 0) + IF(A194=$F$8, $B$18*$B$16*$B$17/1000000, 0) + IF(A194=$F$9, $B$18*$B$16*$B$17/1000000, 0) + IF(A194=$F$10, $B$18*$B$16*$B$17/1000000, 0)</f>
        <v/>
      </c>
      <c r="T194" s="306">
        <f>R194-S194-C194</f>
        <v/>
      </c>
      <c r="U194" s="306">
        <f>IF(AND(A194&lt;=$B$24, T194&gt;0), T194*$B$23, 0)</f>
        <v/>
      </c>
      <c r="V194" s="306">
        <f>T194-U194</f>
        <v/>
      </c>
      <c r="W194" s="306">
        <f>IF(AND(A194=$B$19, $B$21=1), K194*$B$20, 0)</f>
        <v/>
      </c>
      <c r="X194" s="306">
        <f>X193+V194+W194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SUM(F195:J195)</f>
        <v/>
      </c>
      <c r="L195" s="306">
        <f>K195/12</f>
        <v/>
      </c>
      <c r="M195" s="306">
        <f>L195*$B$8</f>
        <v/>
      </c>
      <c r="N195" s="306">
        <f>L195*$B$9</f>
        <v/>
      </c>
      <c r="O195" s="306">
        <f>L195*$B$10</f>
        <v/>
      </c>
      <c r="P195" s="306">
        <f>L195-M195-N195-O195-D195-E195</f>
        <v/>
      </c>
      <c r="Q195" s="306">
        <f>MAX(0, P195 - $B$7*L195)</f>
        <v/>
      </c>
      <c r="R195" s="306">
        <f>P195-Q195</f>
        <v/>
      </c>
      <c r="S195" s="306">
        <f>IF(A195=$F$6, $B$18*$B$16*$B$17/1000000, 0) + IF(A195=$F$7, $B$18*$B$16*$B$17/1000000, 0) + IF(A195=$F$8, $B$18*$B$16*$B$17/1000000, 0) + IF(A195=$F$9, $B$18*$B$16*$B$17/1000000, 0) + IF(A195=$F$10, $B$18*$B$16*$B$17/1000000, 0)</f>
        <v/>
      </c>
      <c r="T195" s="306">
        <f>R195-S195-C195</f>
        <v/>
      </c>
      <c r="U195" s="306">
        <f>IF(AND(A195&lt;=$B$24, T195&gt;0), T195*$B$23, 0)</f>
        <v/>
      </c>
      <c r="V195" s="306">
        <f>T195-U195</f>
        <v/>
      </c>
      <c r="W195" s="306">
        <f>IF(AND(A195=$B$19, $B$21=1), K195*$B$20, 0)</f>
        <v/>
      </c>
      <c r="X195" s="306">
        <f>X194+V195+W195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SUM(F196:J196)</f>
        <v/>
      </c>
      <c r="L196" s="306">
        <f>K196/12</f>
        <v/>
      </c>
      <c r="M196" s="306">
        <f>L196*$B$8</f>
        <v/>
      </c>
      <c r="N196" s="306">
        <f>L196*$B$9</f>
        <v/>
      </c>
      <c r="O196" s="306">
        <f>L196*$B$10</f>
        <v/>
      </c>
      <c r="P196" s="306">
        <f>L196-M196-N196-O196-D196-E196</f>
        <v/>
      </c>
      <c r="Q196" s="306">
        <f>MAX(0, P196 - $B$7*L196)</f>
        <v/>
      </c>
      <c r="R196" s="306">
        <f>P196-Q196</f>
        <v/>
      </c>
      <c r="S196" s="306">
        <f>IF(A196=$F$6, $B$18*$B$16*$B$17/1000000, 0) + IF(A196=$F$7, $B$18*$B$16*$B$17/1000000, 0) + IF(A196=$F$8, $B$18*$B$16*$B$17/1000000, 0) + IF(A196=$F$9, $B$18*$B$16*$B$17/1000000, 0) + IF(A196=$F$10, $B$18*$B$16*$B$17/1000000, 0)</f>
        <v/>
      </c>
      <c r="T196" s="306">
        <f>R196-S196-C196</f>
        <v/>
      </c>
      <c r="U196" s="306">
        <f>IF(AND(A196&lt;=$B$24, T196&gt;0), T196*$B$23, 0)</f>
        <v/>
      </c>
      <c r="V196" s="306">
        <f>T196-U196</f>
        <v/>
      </c>
      <c r="W196" s="306">
        <f>IF(AND(A196=$B$19, $B$21=1), K196*$B$20, 0)</f>
        <v/>
      </c>
      <c r="X196" s="306">
        <f>X195+V196+W196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SUM(F197:J197)</f>
        <v/>
      </c>
      <c r="L197" s="306">
        <f>K197/12</f>
        <v/>
      </c>
      <c r="M197" s="306">
        <f>L197*$B$8</f>
        <v/>
      </c>
      <c r="N197" s="306">
        <f>L197*$B$9</f>
        <v/>
      </c>
      <c r="O197" s="306">
        <f>L197*$B$10</f>
        <v/>
      </c>
      <c r="P197" s="306">
        <f>L197-M197-N197-O197-D197-E197</f>
        <v/>
      </c>
      <c r="Q197" s="306">
        <f>MAX(0, P197 - $B$7*L197)</f>
        <v/>
      </c>
      <c r="R197" s="306">
        <f>P197-Q197</f>
        <v/>
      </c>
      <c r="S197" s="306">
        <f>IF(A197=$F$6, $B$18*$B$16*$B$17/1000000, 0) + IF(A197=$F$7, $B$18*$B$16*$B$17/1000000, 0) + IF(A197=$F$8, $B$18*$B$16*$B$17/1000000, 0) + IF(A197=$F$9, $B$18*$B$16*$B$17/1000000, 0) + IF(A197=$F$10, $B$18*$B$16*$B$17/1000000, 0)</f>
        <v/>
      </c>
      <c r="T197" s="306">
        <f>R197-S197-C197</f>
        <v/>
      </c>
      <c r="U197" s="306">
        <f>IF(AND(A197&lt;=$B$24, T197&gt;0), T197*$B$23, 0)</f>
        <v/>
      </c>
      <c r="V197" s="306">
        <f>T197-U197</f>
        <v/>
      </c>
      <c r="W197" s="306">
        <f>IF(AND(A197=$B$19, $B$21=1), K197*$B$20, 0)</f>
        <v/>
      </c>
      <c r="X197" s="306">
        <f>X196+V197+W197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SUM(F198:J198)</f>
        <v/>
      </c>
      <c r="L198" s="306">
        <f>K198/12</f>
        <v/>
      </c>
      <c r="M198" s="306">
        <f>L198*$B$8</f>
        <v/>
      </c>
      <c r="N198" s="306">
        <f>L198*$B$9</f>
        <v/>
      </c>
      <c r="O198" s="306">
        <f>L198*$B$10</f>
        <v/>
      </c>
      <c r="P198" s="306">
        <f>L198-M198-N198-O198-D198-E198</f>
        <v/>
      </c>
      <c r="Q198" s="306">
        <f>MAX(0, P198 - $B$7*L198)</f>
        <v/>
      </c>
      <c r="R198" s="306">
        <f>P198-Q198</f>
        <v/>
      </c>
      <c r="S198" s="306">
        <f>IF(A198=$F$6, $B$18*$B$16*$B$17/1000000, 0) + IF(A198=$F$7, $B$18*$B$16*$B$17/1000000, 0) + IF(A198=$F$8, $B$18*$B$16*$B$17/1000000, 0) + IF(A198=$F$9, $B$18*$B$16*$B$17/1000000, 0) + IF(A198=$F$10, $B$18*$B$16*$B$17/1000000, 0)</f>
        <v/>
      </c>
      <c r="T198" s="306">
        <f>R198-S198-C198</f>
        <v/>
      </c>
      <c r="U198" s="306">
        <f>IF(AND(A198&lt;=$B$24, T198&gt;0), T198*$B$23, 0)</f>
        <v/>
      </c>
      <c r="V198" s="306">
        <f>T198-U198</f>
        <v/>
      </c>
      <c r="W198" s="306">
        <f>IF(AND(A198=$B$19, $B$21=1), K198*$B$20, 0)</f>
        <v/>
      </c>
      <c r="X198" s="306">
        <f>X197+V198+W198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SUM(F199:J199)</f>
        <v/>
      </c>
      <c r="L199" s="306">
        <f>K199/12</f>
        <v/>
      </c>
      <c r="M199" s="306">
        <f>L199*$B$8</f>
        <v/>
      </c>
      <c r="N199" s="306">
        <f>L199*$B$9</f>
        <v/>
      </c>
      <c r="O199" s="306">
        <f>L199*$B$10</f>
        <v/>
      </c>
      <c r="P199" s="306">
        <f>L199-M199-N199-O199-D199-E199</f>
        <v/>
      </c>
      <c r="Q199" s="306">
        <f>MAX(0, P199 - $B$7*L199)</f>
        <v/>
      </c>
      <c r="R199" s="306">
        <f>P199-Q199</f>
        <v/>
      </c>
      <c r="S199" s="306">
        <f>IF(A199=$F$6, $B$18*$B$16*$B$17/1000000, 0) + IF(A199=$F$7, $B$18*$B$16*$B$17/1000000, 0) + IF(A199=$F$8, $B$18*$B$16*$B$17/1000000, 0) + IF(A199=$F$9, $B$18*$B$16*$B$17/1000000, 0) + IF(A199=$F$10, $B$18*$B$16*$B$17/1000000, 0)</f>
        <v/>
      </c>
      <c r="T199" s="306">
        <f>R199-S199-C199</f>
        <v/>
      </c>
      <c r="U199" s="306">
        <f>IF(AND(A199&lt;=$B$24, T199&gt;0), T199*$B$23, 0)</f>
        <v/>
      </c>
      <c r="V199" s="306">
        <f>T199-U199</f>
        <v/>
      </c>
      <c r="W199" s="306">
        <f>IF(AND(A199=$B$19, $B$21=1), K199*$B$20, 0)</f>
        <v/>
      </c>
      <c r="X199" s="306">
        <f>X198+V199+W199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SUM(F200:J200)</f>
        <v/>
      </c>
      <c r="L200" s="306">
        <f>K200/12</f>
        <v/>
      </c>
      <c r="M200" s="306">
        <f>L200*$B$8</f>
        <v/>
      </c>
      <c r="N200" s="306">
        <f>L200*$B$9</f>
        <v/>
      </c>
      <c r="O200" s="306">
        <f>L200*$B$10</f>
        <v/>
      </c>
      <c r="P200" s="306">
        <f>L200-M200-N200-O200-D200-E200</f>
        <v/>
      </c>
      <c r="Q200" s="306">
        <f>MAX(0, P200 - $B$7*L200)</f>
        <v/>
      </c>
      <c r="R200" s="306">
        <f>P200-Q200</f>
        <v/>
      </c>
      <c r="S200" s="306">
        <f>IF(A200=$F$6, $B$18*$B$16*$B$17/1000000, 0) + IF(A200=$F$7, $B$18*$B$16*$B$17/1000000, 0) + IF(A200=$F$8, $B$18*$B$16*$B$17/1000000, 0) + IF(A200=$F$9, $B$18*$B$16*$B$17/1000000, 0) + IF(A200=$F$10, $B$18*$B$16*$B$17/1000000, 0)</f>
        <v/>
      </c>
      <c r="T200" s="306">
        <f>R200-S200-C200</f>
        <v/>
      </c>
      <c r="U200" s="306">
        <f>IF(AND(A200&lt;=$B$24, T200&gt;0), T200*$B$23, 0)</f>
        <v/>
      </c>
      <c r="V200" s="306">
        <f>T200-U200</f>
        <v/>
      </c>
      <c r="W200" s="306">
        <f>IF(AND(A200=$B$19, $B$21=1), K200*$B$20, 0)</f>
        <v/>
      </c>
      <c r="X200" s="306">
        <f>X199+V200+W200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SUM(F201:J201)</f>
        <v/>
      </c>
      <c r="L201" s="306">
        <f>K201/12</f>
        <v/>
      </c>
      <c r="M201" s="306">
        <f>L201*$B$8</f>
        <v/>
      </c>
      <c r="N201" s="306">
        <f>L201*$B$9</f>
        <v/>
      </c>
      <c r="O201" s="306">
        <f>L201*$B$10</f>
        <v/>
      </c>
      <c r="P201" s="306">
        <f>L201-M201-N201-O201-D201-E201</f>
        <v/>
      </c>
      <c r="Q201" s="306">
        <f>MAX(0, P201 - $B$7*L201)</f>
        <v/>
      </c>
      <c r="R201" s="306">
        <f>P201-Q201</f>
        <v/>
      </c>
      <c r="S201" s="306">
        <f>IF(A201=$F$6, $B$18*$B$16*$B$17/1000000, 0) + IF(A201=$F$7, $B$18*$B$16*$B$17/1000000, 0) + IF(A201=$F$8, $B$18*$B$16*$B$17/1000000, 0) + IF(A201=$F$9, $B$18*$B$16*$B$17/1000000, 0) + IF(A201=$F$10, $B$18*$B$16*$B$17/1000000, 0)</f>
        <v/>
      </c>
      <c r="T201" s="306">
        <f>R201-S201-C201</f>
        <v/>
      </c>
      <c r="U201" s="306">
        <f>IF(AND(A201&lt;=$B$24, T201&gt;0), T201*$B$23, 0)</f>
        <v/>
      </c>
      <c r="V201" s="306">
        <f>T201-U201</f>
        <v/>
      </c>
      <c r="W201" s="306">
        <f>IF(AND(A201=$B$19, $B$21=1), K201*$B$20, 0)</f>
        <v/>
      </c>
      <c r="X201" s="306">
        <f>X200+V201+W201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SUM(F202:J202)</f>
        <v/>
      </c>
      <c r="L202" s="306">
        <f>K202/12</f>
        <v/>
      </c>
      <c r="M202" s="306">
        <f>L202*$B$8</f>
        <v/>
      </c>
      <c r="N202" s="306">
        <f>L202*$B$9</f>
        <v/>
      </c>
      <c r="O202" s="306">
        <f>L202*$B$10</f>
        <v/>
      </c>
      <c r="P202" s="306">
        <f>L202-M202-N202-O202-D202-E202</f>
        <v/>
      </c>
      <c r="Q202" s="306">
        <f>MAX(0, P202 - $B$7*L202)</f>
        <v/>
      </c>
      <c r="R202" s="306">
        <f>P202-Q202</f>
        <v/>
      </c>
      <c r="S202" s="306">
        <f>IF(A202=$F$6, $B$18*$B$16*$B$17/1000000, 0) + IF(A202=$F$7, $B$18*$B$16*$B$17/1000000, 0) + IF(A202=$F$8, $B$18*$B$16*$B$17/1000000, 0) + IF(A202=$F$9, $B$18*$B$16*$B$17/1000000, 0) + IF(A202=$F$10, $B$18*$B$16*$B$17/1000000, 0)</f>
        <v/>
      </c>
      <c r="T202" s="306">
        <f>R202-S202-C202</f>
        <v/>
      </c>
      <c r="U202" s="306">
        <f>IF(AND(A202&lt;=$B$24, T202&gt;0), T202*$B$23, 0)</f>
        <v/>
      </c>
      <c r="V202" s="306">
        <f>T202-U202</f>
        <v/>
      </c>
      <c r="W202" s="306">
        <f>IF(AND(A202=$B$19, $B$21=1), K202*$B$20, 0)</f>
        <v/>
      </c>
      <c r="X202" s="306">
        <f>X201+V202+W202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SUM(F203:J203)</f>
        <v/>
      </c>
      <c r="L203" s="306">
        <f>K203/12</f>
        <v/>
      </c>
      <c r="M203" s="306">
        <f>L203*$B$8</f>
        <v/>
      </c>
      <c r="N203" s="306">
        <f>L203*$B$9</f>
        <v/>
      </c>
      <c r="O203" s="306">
        <f>L203*$B$10</f>
        <v/>
      </c>
      <c r="P203" s="306">
        <f>L203-M203-N203-O203-D203-E203</f>
        <v/>
      </c>
      <c r="Q203" s="306">
        <f>MAX(0, P203 - $B$7*L203)</f>
        <v/>
      </c>
      <c r="R203" s="306">
        <f>P203-Q203</f>
        <v/>
      </c>
      <c r="S203" s="306">
        <f>IF(A203=$F$6, $B$18*$B$16*$B$17/1000000, 0) + IF(A203=$F$7, $B$18*$B$16*$B$17/1000000, 0) + IF(A203=$F$8, $B$18*$B$16*$B$17/1000000, 0) + IF(A203=$F$9, $B$18*$B$16*$B$17/1000000, 0) + IF(A203=$F$10, $B$18*$B$16*$B$17/1000000, 0)</f>
        <v/>
      </c>
      <c r="T203" s="306">
        <f>R203-S203-C203</f>
        <v/>
      </c>
      <c r="U203" s="306">
        <f>IF(AND(A203&lt;=$B$24, T203&gt;0), T203*$B$23, 0)</f>
        <v/>
      </c>
      <c r="V203" s="306">
        <f>T203-U203</f>
        <v/>
      </c>
      <c r="W203" s="306">
        <f>IF(AND(A203=$B$19, $B$21=1), K203*$B$20, 0)</f>
        <v/>
      </c>
      <c r="X203" s="306">
        <f>X202+V203+W203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SUM(F204:J204)</f>
        <v/>
      </c>
      <c r="L204" s="306">
        <f>K204/12</f>
        <v/>
      </c>
      <c r="M204" s="306">
        <f>L204*$B$8</f>
        <v/>
      </c>
      <c r="N204" s="306">
        <f>L204*$B$9</f>
        <v/>
      </c>
      <c r="O204" s="306">
        <f>L204*$B$10</f>
        <v/>
      </c>
      <c r="P204" s="306">
        <f>L204-M204-N204-O204-D204-E204</f>
        <v/>
      </c>
      <c r="Q204" s="306">
        <f>MAX(0, P204 - $B$7*L204)</f>
        <v/>
      </c>
      <c r="R204" s="306">
        <f>P204-Q204</f>
        <v/>
      </c>
      <c r="S204" s="306">
        <f>IF(A204=$F$6, $B$18*$B$16*$B$17/1000000, 0) + IF(A204=$F$7, $B$18*$B$16*$B$17/1000000, 0) + IF(A204=$F$8, $B$18*$B$16*$B$17/1000000, 0) + IF(A204=$F$9, $B$18*$B$16*$B$17/1000000, 0) + IF(A204=$F$10, $B$18*$B$16*$B$17/1000000, 0)</f>
        <v/>
      </c>
      <c r="T204" s="306">
        <f>R204-S204-C204</f>
        <v/>
      </c>
      <c r="U204" s="306">
        <f>IF(AND(A204&lt;=$B$24, T204&gt;0), T204*$B$23, 0)</f>
        <v/>
      </c>
      <c r="V204" s="306">
        <f>T204-U204</f>
        <v/>
      </c>
      <c r="W204" s="306">
        <f>IF(AND(A204=$B$19, $B$21=1), K204*$B$20, 0)</f>
        <v/>
      </c>
      <c r="X204" s="306">
        <f>X203+V204+W204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SUM(F205:J205)</f>
        <v/>
      </c>
      <c r="L205" s="306">
        <f>K205/12</f>
        <v/>
      </c>
      <c r="M205" s="306">
        <f>L205*$B$8</f>
        <v/>
      </c>
      <c r="N205" s="306">
        <f>L205*$B$9</f>
        <v/>
      </c>
      <c r="O205" s="306">
        <f>L205*$B$10</f>
        <v/>
      </c>
      <c r="P205" s="306">
        <f>L205-M205-N205-O205-D205-E205</f>
        <v/>
      </c>
      <c r="Q205" s="306">
        <f>MAX(0, P205 - $B$7*L205)</f>
        <v/>
      </c>
      <c r="R205" s="306">
        <f>P205-Q205</f>
        <v/>
      </c>
      <c r="S205" s="306">
        <f>IF(A205=$F$6, $B$18*$B$16*$B$17/1000000, 0) + IF(A205=$F$7, $B$18*$B$16*$B$17/1000000, 0) + IF(A205=$F$8, $B$18*$B$16*$B$17/1000000, 0) + IF(A205=$F$9, $B$18*$B$16*$B$17/1000000, 0) + IF(A205=$F$10, $B$18*$B$16*$B$17/1000000, 0)</f>
        <v/>
      </c>
      <c r="T205" s="306">
        <f>R205-S205-C205</f>
        <v/>
      </c>
      <c r="U205" s="306">
        <f>IF(AND(A205&lt;=$B$24, T205&gt;0), T205*$B$23, 0)</f>
        <v/>
      </c>
      <c r="V205" s="306">
        <f>T205-U205</f>
        <v/>
      </c>
      <c r="W205" s="306">
        <f>IF(AND(A205=$B$19, $B$21=1), K205*$B$20, 0)</f>
        <v/>
      </c>
      <c r="X205" s="306">
        <f>X204+V205+W205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SUM(F206:J206)</f>
        <v/>
      </c>
      <c r="L206" s="306">
        <f>K206/12</f>
        <v/>
      </c>
      <c r="M206" s="306">
        <f>L206*$B$8</f>
        <v/>
      </c>
      <c r="N206" s="306">
        <f>L206*$B$9</f>
        <v/>
      </c>
      <c r="O206" s="306">
        <f>L206*$B$10</f>
        <v/>
      </c>
      <c r="P206" s="306">
        <f>L206-M206-N206-O206-D206-E206</f>
        <v/>
      </c>
      <c r="Q206" s="306">
        <f>MAX(0, P206 - $B$7*L206)</f>
        <v/>
      </c>
      <c r="R206" s="306">
        <f>P206-Q206</f>
        <v/>
      </c>
      <c r="S206" s="306">
        <f>IF(A206=$F$6, $B$18*$B$16*$B$17/1000000, 0) + IF(A206=$F$7, $B$18*$B$16*$B$17/1000000, 0) + IF(A206=$F$8, $B$18*$B$16*$B$17/1000000, 0) + IF(A206=$F$9, $B$18*$B$16*$B$17/1000000, 0) + IF(A206=$F$10, $B$18*$B$16*$B$17/1000000, 0)</f>
        <v/>
      </c>
      <c r="T206" s="306">
        <f>R206-S206-C206</f>
        <v/>
      </c>
      <c r="U206" s="306">
        <f>IF(AND(A206&lt;=$B$24, T206&gt;0), T206*$B$23, 0)</f>
        <v/>
      </c>
      <c r="V206" s="306">
        <f>T206-U206</f>
        <v/>
      </c>
      <c r="W206" s="306">
        <f>IF(AND(A206=$B$19, $B$21=1), K206*$B$20, 0)</f>
        <v/>
      </c>
      <c r="X206" s="306">
        <f>X205+V206+W206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SUM(F207:J207)</f>
        <v/>
      </c>
      <c r="L207" s="306">
        <f>K207/12</f>
        <v/>
      </c>
      <c r="M207" s="306">
        <f>L207*$B$8</f>
        <v/>
      </c>
      <c r="N207" s="306">
        <f>L207*$B$9</f>
        <v/>
      </c>
      <c r="O207" s="306">
        <f>L207*$B$10</f>
        <v/>
      </c>
      <c r="P207" s="306">
        <f>L207-M207-N207-O207-D207-E207</f>
        <v/>
      </c>
      <c r="Q207" s="306">
        <f>MAX(0, P207 - $B$7*L207)</f>
        <v/>
      </c>
      <c r="R207" s="306">
        <f>P207-Q207</f>
        <v/>
      </c>
      <c r="S207" s="306">
        <f>IF(A207=$F$6, $B$18*$B$16*$B$17/1000000, 0) + IF(A207=$F$7, $B$18*$B$16*$B$17/1000000, 0) + IF(A207=$F$8, $B$18*$B$16*$B$17/1000000, 0) + IF(A207=$F$9, $B$18*$B$16*$B$17/1000000, 0) + IF(A207=$F$10, $B$18*$B$16*$B$17/1000000, 0)</f>
        <v/>
      </c>
      <c r="T207" s="306">
        <f>R207-S207-C207</f>
        <v/>
      </c>
      <c r="U207" s="306">
        <f>IF(AND(A207&lt;=$B$24, T207&gt;0), T207*$B$23, 0)</f>
        <v/>
      </c>
      <c r="V207" s="306">
        <f>T207-U207</f>
        <v/>
      </c>
      <c r="W207" s="306">
        <f>IF(AND(A207=$B$19, $B$21=1), K207*$B$20, 0)</f>
        <v/>
      </c>
      <c r="X207" s="306">
        <f>X206+V207+W207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SUM(F208:J208)</f>
        <v/>
      </c>
      <c r="L208" s="306">
        <f>K208/12</f>
        <v/>
      </c>
      <c r="M208" s="306">
        <f>L208*$B$8</f>
        <v/>
      </c>
      <c r="N208" s="306">
        <f>L208*$B$9</f>
        <v/>
      </c>
      <c r="O208" s="306">
        <f>L208*$B$10</f>
        <v/>
      </c>
      <c r="P208" s="306">
        <f>L208-M208-N208-O208-D208-E208</f>
        <v/>
      </c>
      <c r="Q208" s="306">
        <f>MAX(0, P208 - $B$7*L208)</f>
        <v/>
      </c>
      <c r="R208" s="306">
        <f>P208-Q208</f>
        <v/>
      </c>
      <c r="S208" s="306">
        <f>IF(A208=$F$6, $B$18*$B$16*$B$17/1000000, 0) + IF(A208=$F$7, $B$18*$B$16*$B$17/1000000, 0) + IF(A208=$F$8, $B$18*$B$16*$B$17/1000000, 0) + IF(A208=$F$9, $B$18*$B$16*$B$17/1000000, 0) + IF(A208=$F$10, $B$18*$B$16*$B$17/1000000, 0)</f>
        <v/>
      </c>
      <c r="T208" s="306">
        <f>R208-S208-C208</f>
        <v/>
      </c>
      <c r="U208" s="306">
        <f>IF(AND(A208&lt;=$B$24, T208&gt;0), T208*$B$23, 0)</f>
        <v/>
      </c>
      <c r="V208" s="306">
        <f>T208-U208</f>
        <v/>
      </c>
      <c r="W208" s="306">
        <f>IF(AND(A208=$B$19, $B$21=1), K208*$B$20, 0)</f>
        <v/>
      </c>
      <c r="X208" s="306">
        <f>X207+V208+W208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SUM(F209:J209)</f>
        <v/>
      </c>
      <c r="L209" s="306">
        <f>K209/12</f>
        <v/>
      </c>
      <c r="M209" s="306">
        <f>L209*$B$8</f>
        <v/>
      </c>
      <c r="N209" s="306">
        <f>L209*$B$9</f>
        <v/>
      </c>
      <c r="O209" s="306">
        <f>L209*$B$10</f>
        <v/>
      </c>
      <c r="P209" s="306">
        <f>L209-M209-N209-O209-D209-E209</f>
        <v/>
      </c>
      <c r="Q209" s="306">
        <f>MAX(0, P209 - $B$7*L209)</f>
        <v/>
      </c>
      <c r="R209" s="306">
        <f>P209-Q209</f>
        <v/>
      </c>
      <c r="S209" s="306">
        <f>IF(A209=$F$6, $B$18*$B$16*$B$17/1000000, 0) + IF(A209=$F$7, $B$18*$B$16*$B$17/1000000, 0) + IF(A209=$F$8, $B$18*$B$16*$B$17/1000000, 0) + IF(A209=$F$9, $B$18*$B$16*$B$17/1000000, 0) + IF(A209=$F$10, $B$18*$B$16*$B$17/1000000, 0)</f>
        <v/>
      </c>
      <c r="T209" s="306">
        <f>R209-S209-C209</f>
        <v/>
      </c>
      <c r="U209" s="306">
        <f>IF(AND(A209&lt;=$B$24, T209&gt;0), T209*$B$23, 0)</f>
        <v/>
      </c>
      <c r="V209" s="306">
        <f>T209-U209</f>
        <v/>
      </c>
      <c r="W209" s="306">
        <f>IF(AND(A209=$B$19, $B$21=1), K209*$B$20, 0)</f>
        <v/>
      </c>
      <c r="X209" s="306">
        <f>X208+V209+W209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SUM(F210:J210)</f>
        <v/>
      </c>
      <c r="L210" s="306">
        <f>K210/12</f>
        <v/>
      </c>
      <c r="M210" s="306">
        <f>L210*$B$8</f>
        <v/>
      </c>
      <c r="N210" s="306">
        <f>L210*$B$9</f>
        <v/>
      </c>
      <c r="O210" s="306">
        <f>L210*$B$10</f>
        <v/>
      </c>
      <c r="P210" s="306">
        <f>L210-M210-N210-O210-D210-E210</f>
        <v/>
      </c>
      <c r="Q210" s="306">
        <f>MAX(0, P210 - $B$7*L210)</f>
        <v/>
      </c>
      <c r="R210" s="306">
        <f>P210-Q210</f>
        <v/>
      </c>
      <c r="S210" s="306">
        <f>IF(A210=$F$6, $B$18*$B$16*$B$17/1000000, 0) + IF(A210=$F$7, $B$18*$B$16*$B$17/1000000, 0) + IF(A210=$F$8, $B$18*$B$16*$B$17/1000000, 0) + IF(A210=$F$9, $B$18*$B$16*$B$17/1000000, 0) + IF(A210=$F$10, $B$18*$B$16*$B$17/1000000, 0)</f>
        <v/>
      </c>
      <c r="T210" s="306">
        <f>R210-S210-C210</f>
        <v/>
      </c>
      <c r="U210" s="306">
        <f>IF(AND(A210&lt;=$B$24, T210&gt;0), T210*$B$23, 0)</f>
        <v/>
      </c>
      <c r="V210" s="306">
        <f>T210-U210</f>
        <v/>
      </c>
      <c r="W210" s="306">
        <f>IF(AND(A210=$B$19, $B$21=1), K210*$B$20, 0)</f>
        <v/>
      </c>
      <c r="X210" s="306">
        <f>X209+V210+W210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SUM(L31:L42)</f>
        <v/>
      </c>
      <c r="C215" s="306">
        <f>SUM(M31:M42)</f>
        <v/>
      </c>
      <c r="D215" s="306">
        <f>SUM(N31:N42)</f>
        <v/>
      </c>
      <c r="E215" s="306">
        <f>SUM(O31:O42)</f>
        <v/>
      </c>
      <c r="F215" s="306">
        <f>SUM(D31:D42)</f>
        <v/>
      </c>
      <c r="G215" s="306">
        <f>SUM(E31:E42)</f>
        <v/>
      </c>
      <c r="H215" s="306">
        <f>SUM(Q31:Q42)</f>
        <v/>
      </c>
      <c r="I215" s="306">
        <f>SUM(R31:R42)</f>
        <v/>
      </c>
      <c r="J215" s="306">
        <f>SUM(S31:S42)</f>
        <v/>
      </c>
      <c r="K215" s="306">
        <f>SUM(C31:C42)</f>
        <v/>
      </c>
      <c r="L215" s="306">
        <f>SUM(T31:T42)</f>
        <v/>
      </c>
      <c r="M215" s="306">
        <f>SUM(U31:U42)</f>
        <v/>
      </c>
      <c r="N215" s="306">
        <f>SUM(V31:V42)</f>
        <v/>
      </c>
      <c r="O215" s="306">
        <f>SUM(W31:W42)</f>
        <v/>
      </c>
      <c r="P215" s="306">
        <f>N215+O215</f>
        <v/>
      </c>
    </row>
    <row r="216">
      <c r="A216" s="306" t="n">
        <v>2</v>
      </c>
      <c r="B216" s="306">
        <f>SUM(L43:L54)</f>
        <v/>
      </c>
      <c r="C216" s="306">
        <f>SUM(M43:M54)</f>
        <v/>
      </c>
      <c r="D216" s="306">
        <f>SUM(N43:N54)</f>
        <v/>
      </c>
      <c r="E216" s="306">
        <f>SUM(O43:O54)</f>
        <v/>
      </c>
      <c r="F216" s="306">
        <f>SUM(D43:D54)</f>
        <v/>
      </c>
      <c r="G216" s="306">
        <f>SUM(E43:E54)</f>
        <v/>
      </c>
      <c r="H216" s="306">
        <f>SUM(Q43:Q54)</f>
        <v/>
      </c>
      <c r="I216" s="306">
        <f>SUM(R43:R54)</f>
        <v/>
      </c>
      <c r="J216" s="306">
        <f>SUM(S43:S54)</f>
        <v/>
      </c>
      <c r="K216" s="306">
        <f>SUM(C43:C54)</f>
        <v/>
      </c>
      <c r="L216" s="306">
        <f>SUM(T43:T54)</f>
        <v/>
      </c>
      <c r="M216" s="306">
        <f>SUM(U43:U54)</f>
        <v/>
      </c>
      <c r="N216" s="306">
        <f>SUM(V43:V54)</f>
        <v/>
      </c>
      <c r="O216" s="306">
        <f>SUM(W43:W54)</f>
        <v/>
      </c>
      <c r="P216" s="306">
        <f>N216+O216</f>
        <v/>
      </c>
    </row>
    <row r="217">
      <c r="A217" s="306" t="n">
        <v>3</v>
      </c>
      <c r="B217" s="306">
        <f>SUM(L55:L66)</f>
        <v/>
      </c>
      <c r="C217" s="306">
        <f>SUM(M55:M66)</f>
        <v/>
      </c>
      <c r="D217" s="306">
        <f>SUM(N55:N66)</f>
        <v/>
      </c>
      <c r="E217" s="306">
        <f>SUM(O55:O66)</f>
        <v/>
      </c>
      <c r="F217" s="306">
        <f>SUM(D55:D66)</f>
        <v/>
      </c>
      <c r="G217" s="306">
        <f>SUM(E55:E66)</f>
        <v/>
      </c>
      <c r="H217" s="306">
        <f>SUM(Q55:Q66)</f>
        <v/>
      </c>
      <c r="I217" s="306">
        <f>SUM(R55:R66)</f>
        <v/>
      </c>
      <c r="J217" s="306">
        <f>SUM(S55:S66)</f>
        <v/>
      </c>
      <c r="K217" s="306">
        <f>SUM(C55:C66)</f>
        <v/>
      </c>
      <c r="L217" s="306">
        <f>SUM(T55:T66)</f>
        <v/>
      </c>
      <c r="M217" s="306">
        <f>SUM(U55:U66)</f>
        <v/>
      </c>
      <c r="N217" s="306">
        <f>SUM(V55:V66)</f>
        <v/>
      </c>
      <c r="O217" s="306">
        <f>SUM(W55:W66)</f>
        <v/>
      </c>
      <c r="P217" s="306">
        <f>N217+O217</f>
        <v/>
      </c>
    </row>
    <row r="218">
      <c r="A218" s="306" t="n">
        <v>4</v>
      </c>
      <c r="B218" s="306">
        <f>SUM(L67:L78)</f>
        <v/>
      </c>
      <c r="C218" s="306">
        <f>SUM(M67:M78)</f>
        <v/>
      </c>
      <c r="D218" s="306">
        <f>SUM(N67:N78)</f>
        <v/>
      </c>
      <c r="E218" s="306">
        <f>SUM(O67:O78)</f>
        <v/>
      </c>
      <c r="F218" s="306">
        <f>SUM(D67:D78)</f>
        <v/>
      </c>
      <c r="G218" s="306">
        <f>SUM(E67:E78)</f>
        <v/>
      </c>
      <c r="H218" s="306">
        <f>SUM(Q67:Q78)</f>
        <v/>
      </c>
      <c r="I218" s="306">
        <f>SUM(R67:R78)</f>
        <v/>
      </c>
      <c r="J218" s="306">
        <f>SUM(S67:S78)</f>
        <v/>
      </c>
      <c r="K218" s="306">
        <f>SUM(C67:C78)</f>
        <v/>
      </c>
      <c r="L218" s="306">
        <f>SUM(T67:T78)</f>
        <v/>
      </c>
      <c r="M218" s="306">
        <f>SUM(U67:U78)</f>
        <v/>
      </c>
      <c r="N218" s="306">
        <f>SUM(V67:V78)</f>
        <v/>
      </c>
      <c r="O218" s="306">
        <f>SUM(W67:W78)</f>
        <v/>
      </c>
      <c r="P218" s="306">
        <f>N218+O218</f>
        <v/>
      </c>
    </row>
    <row r="219">
      <c r="A219" s="306" t="n">
        <v>5</v>
      </c>
      <c r="B219" s="306">
        <f>SUM(L79:L90)</f>
        <v/>
      </c>
      <c r="C219" s="306">
        <f>SUM(M79:M90)</f>
        <v/>
      </c>
      <c r="D219" s="306">
        <f>SUM(N79:N90)</f>
        <v/>
      </c>
      <c r="E219" s="306">
        <f>SUM(O79:O90)</f>
        <v/>
      </c>
      <c r="F219" s="306">
        <f>SUM(D79:D90)</f>
        <v/>
      </c>
      <c r="G219" s="306">
        <f>SUM(E79:E90)</f>
        <v/>
      </c>
      <c r="H219" s="306">
        <f>SUM(Q79:Q90)</f>
        <v/>
      </c>
      <c r="I219" s="306">
        <f>SUM(R79:R90)</f>
        <v/>
      </c>
      <c r="J219" s="306">
        <f>SUM(S79:S90)</f>
        <v/>
      </c>
      <c r="K219" s="306">
        <f>SUM(C79:C90)</f>
        <v/>
      </c>
      <c r="L219" s="306">
        <f>SUM(T79:T90)</f>
        <v/>
      </c>
      <c r="M219" s="306">
        <f>SUM(U79:U90)</f>
        <v/>
      </c>
      <c r="N219" s="306">
        <f>SUM(V79:V90)</f>
        <v/>
      </c>
      <c r="O219" s="306">
        <f>SUM(W79:W90)</f>
        <v/>
      </c>
      <c r="P219" s="306">
        <f>N219+O219</f>
        <v/>
      </c>
    </row>
    <row r="220">
      <c r="A220" s="306" t="n">
        <v>6</v>
      </c>
      <c r="B220" s="306">
        <f>SUM(L91:L102)</f>
        <v/>
      </c>
      <c r="C220" s="306">
        <f>SUM(M91:M102)</f>
        <v/>
      </c>
      <c r="D220" s="306">
        <f>SUM(N91:N102)</f>
        <v/>
      </c>
      <c r="E220" s="306">
        <f>SUM(O91:O102)</f>
        <v/>
      </c>
      <c r="F220" s="306">
        <f>SUM(D91:D102)</f>
        <v/>
      </c>
      <c r="G220" s="306">
        <f>SUM(E91:E102)</f>
        <v/>
      </c>
      <c r="H220" s="306">
        <f>SUM(Q91:Q102)</f>
        <v/>
      </c>
      <c r="I220" s="306">
        <f>SUM(R91:R102)</f>
        <v/>
      </c>
      <c r="J220" s="306">
        <f>SUM(S91:S102)</f>
        <v/>
      </c>
      <c r="K220" s="306">
        <f>SUM(C91:C102)</f>
        <v/>
      </c>
      <c r="L220" s="306">
        <f>SUM(T91:T102)</f>
        <v/>
      </c>
      <c r="M220" s="306">
        <f>SUM(U91:U102)</f>
        <v/>
      </c>
      <c r="N220" s="306">
        <f>SUM(V91:V102)</f>
        <v/>
      </c>
      <c r="O220" s="306">
        <f>SUM(W91:W102)</f>
        <v/>
      </c>
      <c r="P220" s="306">
        <f>N220+O220</f>
        <v/>
      </c>
    </row>
    <row r="221">
      <c r="A221" s="306" t="n">
        <v>7</v>
      </c>
      <c r="B221" s="306">
        <f>SUM(L103:L114)</f>
        <v/>
      </c>
      <c r="C221" s="306">
        <f>SUM(M103:M114)</f>
        <v/>
      </c>
      <c r="D221" s="306">
        <f>SUM(N103:N114)</f>
        <v/>
      </c>
      <c r="E221" s="306">
        <f>SUM(O103:O114)</f>
        <v/>
      </c>
      <c r="F221" s="306">
        <f>SUM(D103:D114)</f>
        <v/>
      </c>
      <c r="G221" s="306">
        <f>SUM(E103:E114)</f>
        <v/>
      </c>
      <c r="H221" s="306">
        <f>SUM(Q103:Q114)</f>
        <v/>
      </c>
      <c r="I221" s="306">
        <f>SUM(R103:R114)</f>
        <v/>
      </c>
      <c r="J221" s="306">
        <f>SUM(S103:S114)</f>
        <v/>
      </c>
      <c r="K221" s="306">
        <f>SUM(C103:C114)</f>
        <v/>
      </c>
      <c r="L221" s="306">
        <f>SUM(T103:T114)</f>
        <v/>
      </c>
      <c r="M221" s="306">
        <f>SUM(U103:U114)</f>
        <v/>
      </c>
      <c r="N221" s="306">
        <f>SUM(V103:V114)</f>
        <v/>
      </c>
      <c r="O221" s="306">
        <f>SUM(W103:W114)</f>
        <v/>
      </c>
      <c r="P221" s="306">
        <f>N221+O221</f>
        <v/>
      </c>
    </row>
    <row r="222">
      <c r="A222" s="306" t="n">
        <v>8</v>
      </c>
      <c r="B222" s="306">
        <f>SUM(L115:L126)</f>
        <v/>
      </c>
      <c r="C222" s="306">
        <f>SUM(M115:M126)</f>
        <v/>
      </c>
      <c r="D222" s="306">
        <f>SUM(N115:N126)</f>
        <v/>
      </c>
      <c r="E222" s="306">
        <f>SUM(O115:O126)</f>
        <v/>
      </c>
      <c r="F222" s="306">
        <f>SUM(D115:D126)</f>
        <v/>
      </c>
      <c r="G222" s="306">
        <f>SUM(E115:E126)</f>
        <v/>
      </c>
      <c r="H222" s="306">
        <f>SUM(Q115:Q126)</f>
        <v/>
      </c>
      <c r="I222" s="306">
        <f>SUM(R115:R126)</f>
        <v/>
      </c>
      <c r="J222" s="306">
        <f>SUM(S115:S126)</f>
        <v/>
      </c>
      <c r="K222" s="306">
        <f>SUM(C115:C126)</f>
        <v/>
      </c>
      <c r="L222" s="306">
        <f>SUM(T115:T126)</f>
        <v/>
      </c>
      <c r="M222" s="306">
        <f>SUM(U115:U126)</f>
        <v/>
      </c>
      <c r="N222" s="306">
        <f>SUM(V115:V126)</f>
        <v/>
      </c>
      <c r="O222" s="306">
        <f>SUM(W115:W126)</f>
        <v/>
      </c>
      <c r="P222" s="306">
        <f>N222+O222</f>
        <v/>
      </c>
    </row>
    <row r="223">
      <c r="A223" s="306" t="n">
        <v>9</v>
      </c>
      <c r="B223" s="306">
        <f>SUM(L127:L138)</f>
        <v/>
      </c>
      <c r="C223" s="306">
        <f>SUM(M127:M138)</f>
        <v/>
      </c>
      <c r="D223" s="306">
        <f>SUM(N127:N138)</f>
        <v/>
      </c>
      <c r="E223" s="306">
        <f>SUM(O127:O138)</f>
        <v/>
      </c>
      <c r="F223" s="306">
        <f>SUM(D127:D138)</f>
        <v/>
      </c>
      <c r="G223" s="306">
        <f>SUM(E127:E138)</f>
        <v/>
      </c>
      <c r="H223" s="306">
        <f>SUM(Q127:Q138)</f>
        <v/>
      </c>
      <c r="I223" s="306">
        <f>SUM(R127:R138)</f>
        <v/>
      </c>
      <c r="J223" s="306">
        <f>SUM(S127:S138)</f>
        <v/>
      </c>
      <c r="K223" s="306">
        <f>SUM(C127:C138)</f>
        <v/>
      </c>
      <c r="L223" s="306">
        <f>SUM(T127:T138)</f>
        <v/>
      </c>
      <c r="M223" s="306">
        <f>SUM(U127:U138)</f>
        <v/>
      </c>
      <c r="N223" s="306">
        <f>SUM(V127:V138)</f>
        <v/>
      </c>
      <c r="O223" s="306">
        <f>SUM(W127:W138)</f>
        <v/>
      </c>
      <c r="P223" s="306">
        <f>N223+O223</f>
        <v/>
      </c>
    </row>
    <row r="224">
      <c r="A224" s="306" t="n">
        <v>10</v>
      </c>
      <c r="B224" s="306">
        <f>SUM(L139:L150)</f>
        <v/>
      </c>
      <c r="C224" s="306">
        <f>SUM(M139:M150)</f>
        <v/>
      </c>
      <c r="D224" s="306">
        <f>SUM(N139:N150)</f>
        <v/>
      </c>
      <c r="E224" s="306">
        <f>SUM(O139:O150)</f>
        <v/>
      </c>
      <c r="F224" s="306">
        <f>SUM(D139:D150)</f>
        <v/>
      </c>
      <c r="G224" s="306">
        <f>SUM(E139:E150)</f>
        <v/>
      </c>
      <c r="H224" s="306">
        <f>SUM(Q139:Q150)</f>
        <v/>
      </c>
      <c r="I224" s="306">
        <f>SUM(R139:R150)</f>
        <v/>
      </c>
      <c r="J224" s="306">
        <f>SUM(S139:S150)</f>
        <v/>
      </c>
      <c r="K224" s="306">
        <f>SUM(C139:C150)</f>
        <v/>
      </c>
      <c r="L224" s="306">
        <f>SUM(T139:T150)</f>
        <v/>
      </c>
      <c r="M224" s="306">
        <f>SUM(U139:U150)</f>
        <v/>
      </c>
      <c r="N224" s="306">
        <f>SUM(V139:V150)</f>
        <v/>
      </c>
      <c r="O224" s="306">
        <f>SUM(W139:W150)</f>
        <v/>
      </c>
      <c r="P224" s="306">
        <f>N224+O224</f>
        <v/>
      </c>
    </row>
    <row r="225">
      <c r="A225" s="306" t="n">
        <v>11</v>
      </c>
      <c r="B225" s="306">
        <f>SUM(L151:L162)</f>
        <v/>
      </c>
      <c r="C225" s="306">
        <f>SUM(M151:M162)</f>
        <v/>
      </c>
      <c r="D225" s="306">
        <f>SUM(N151:N162)</f>
        <v/>
      </c>
      <c r="E225" s="306">
        <f>SUM(O151:O162)</f>
        <v/>
      </c>
      <c r="F225" s="306">
        <f>SUM(D151:D162)</f>
        <v/>
      </c>
      <c r="G225" s="306">
        <f>SUM(E151:E162)</f>
        <v/>
      </c>
      <c r="H225" s="306">
        <f>SUM(Q151:Q162)</f>
        <v/>
      </c>
      <c r="I225" s="306">
        <f>SUM(R151:R162)</f>
        <v/>
      </c>
      <c r="J225" s="306">
        <f>SUM(S151:S162)</f>
        <v/>
      </c>
      <c r="K225" s="306">
        <f>SUM(C151:C162)</f>
        <v/>
      </c>
      <c r="L225" s="306">
        <f>SUM(T151:T162)</f>
        <v/>
      </c>
      <c r="M225" s="306">
        <f>SUM(U151:U162)</f>
        <v/>
      </c>
      <c r="N225" s="306">
        <f>SUM(V151:V162)</f>
        <v/>
      </c>
      <c r="O225" s="306">
        <f>SUM(W151:W162)</f>
        <v/>
      </c>
      <c r="P225" s="306">
        <f>N225+O225</f>
        <v/>
      </c>
    </row>
    <row r="226">
      <c r="A226" s="306" t="n">
        <v>12</v>
      </c>
      <c r="B226" s="306">
        <f>SUM(L163:L174)</f>
        <v/>
      </c>
      <c r="C226" s="306">
        <f>SUM(M163:M174)</f>
        <v/>
      </c>
      <c r="D226" s="306">
        <f>SUM(N163:N174)</f>
        <v/>
      </c>
      <c r="E226" s="306">
        <f>SUM(O163:O174)</f>
        <v/>
      </c>
      <c r="F226" s="306">
        <f>SUM(D163:D174)</f>
        <v/>
      </c>
      <c r="G226" s="306">
        <f>SUM(E163:E174)</f>
        <v/>
      </c>
      <c r="H226" s="306">
        <f>SUM(Q163:Q174)</f>
        <v/>
      </c>
      <c r="I226" s="306">
        <f>SUM(R163:R174)</f>
        <v/>
      </c>
      <c r="J226" s="306">
        <f>SUM(S163:S174)</f>
        <v/>
      </c>
      <c r="K226" s="306">
        <f>SUM(C163:C174)</f>
        <v/>
      </c>
      <c r="L226" s="306">
        <f>SUM(T163:T174)</f>
        <v/>
      </c>
      <c r="M226" s="306">
        <f>SUM(U163:U174)</f>
        <v/>
      </c>
      <c r="N226" s="306">
        <f>SUM(V163:V174)</f>
        <v/>
      </c>
      <c r="O226" s="306">
        <f>SUM(W163:W174)</f>
        <v/>
      </c>
      <c r="P226" s="306">
        <f>N226+O226</f>
        <v/>
      </c>
    </row>
    <row r="227">
      <c r="A227" s="306" t="n">
        <v>13</v>
      </c>
      <c r="B227" s="306">
        <f>SUM(L175:L186)</f>
        <v/>
      </c>
      <c r="C227" s="306">
        <f>SUM(M175:M186)</f>
        <v/>
      </c>
      <c r="D227" s="306">
        <f>SUM(N175:N186)</f>
        <v/>
      </c>
      <c r="E227" s="306">
        <f>SUM(O175:O186)</f>
        <v/>
      </c>
      <c r="F227" s="306">
        <f>SUM(D175:D186)</f>
        <v/>
      </c>
      <c r="G227" s="306">
        <f>SUM(E175:E186)</f>
        <v/>
      </c>
      <c r="H227" s="306">
        <f>SUM(Q175:Q186)</f>
        <v/>
      </c>
      <c r="I227" s="306">
        <f>SUM(R175:R186)</f>
        <v/>
      </c>
      <c r="J227" s="306">
        <f>SUM(S175:S186)</f>
        <v/>
      </c>
      <c r="K227" s="306">
        <f>SUM(C175:C186)</f>
        <v/>
      </c>
      <c r="L227" s="306">
        <f>SUM(T175:T186)</f>
        <v/>
      </c>
      <c r="M227" s="306">
        <f>SUM(U175:U186)</f>
        <v/>
      </c>
      <c r="N227" s="306">
        <f>SUM(V175:V186)</f>
        <v/>
      </c>
      <c r="O227" s="306">
        <f>SUM(W175:W186)</f>
        <v/>
      </c>
      <c r="P227" s="306">
        <f>N227+O227</f>
        <v/>
      </c>
    </row>
    <row r="228">
      <c r="A228" s="306" t="n">
        <v>14</v>
      </c>
      <c r="B228" s="306">
        <f>SUM(L187:L198)</f>
        <v/>
      </c>
      <c r="C228" s="306">
        <f>SUM(M187:M198)</f>
        <v/>
      </c>
      <c r="D228" s="306">
        <f>SUM(N187:N198)</f>
        <v/>
      </c>
      <c r="E228" s="306">
        <f>SUM(O187:O198)</f>
        <v/>
      </c>
      <c r="F228" s="306">
        <f>SUM(D187:D198)</f>
        <v/>
      </c>
      <c r="G228" s="306">
        <f>SUM(E187:E198)</f>
        <v/>
      </c>
      <c r="H228" s="306">
        <f>SUM(Q187:Q198)</f>
        <v/>
      </c>
      <c r="I228" s="306">
        <f>SUM(R187:R198)</f>
        <v/>
      </c>
      <c r="J228" s="306">
        <f>SUM(S187:S198)</f>
        <v/>
      </c>
      <c r="K228" s="306">
        <f>SUM(C187:C198)</f>
        <v/>
      </c>
      <c r="L228" s="306">
        <f>SUM(T187:T198)</f>
        <v/>
      </c>
      <c r="M228" s="306">
        <f>SUM(U187:U198)</f>
        <v/>
      </c>
      <c r="N228" s="306">
        <f>SUM(V187:V198)</f>
        <v/>
      </c>
      <c r="O228" s="306">
        <f>SUM(W187:W198)</f>
        <v/>
      </c>
      <c r="P228" s="306">
        <f>N228+O228</f>
        <v/>
      </c>
    </row>
    <row r="229">
      <c r="A229" s="306" t="n">
        <v>15</v>
      </c>
      <c r="B229" s="306">
        <f>SUM(L199:L210)</f>
        <v/>
      </c>
      <c r="C229" s="306">
        <f>SUM(M199:M210)</f>
        <v/>
      </c>
      <c r="D229" s="306">
        <f>SUM(N199:N210)</f>
        <v/>
      </c>
      <c r="E229" s="306">
        <f>SUM(O199:O210)</f>
        <v/>
      </c>
      <c r="F229" s="306">
        <f>SUM(D199:D210)</f>
        <v/>
      </c>
      <c r="G229" s="306">
        <f>SUM(E199:E210)</f>
        <v/>
      </c>
      <c r="H229" s="306">
        <f>SUM(Q199:Q210)</f>
        <v/>
      </c>
      <c r="I229" s="306">
        <f>SUM(R199:R210)</f>
        <v/>
      </c>
      <c r="J229" s="306">
        <f>SUM(S199:S210)</f>
        <v/>
      </c>
      <c r="K229" s="306">
        <f>SUM(C199:C210)</f>
        <v/>
      </c>
      <c r="L229" s="306">
        <f>SUM(T199:T210)</f>
        <v/>
      </c>
      <c r="M229" s="306">
        <f>SUM(U199:U210)</f>
        <v/>
      </c>
      <c r="N229" s="306">
        <f>SUM(V199:V210)</f>
        <v/>
      </c>
      <c r="O229" s="306">
        <f>SUM(W199:W210)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B277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50% Recycle (deals 1-9)</t>
        </is>
      </c>
    </row>
    <row r="2">
      <c r="A2" s="615" t="inlineStr">
        <is>
          <t>Recycle% = 0.5.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50%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'1. Press Assumptions'!$H$89</f>
        <v/>
      </c>
    </row>
    <row r="7">
      <c r="A7" s="306" t="inlineStr">
        <is>
          <t>Bonus threshold (% margin)</t>
        </is>
      </c>
      <c r="B7" s="306">
        <f>'1. Press Assumptions'!$B$35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'1. Press Assumptions'!$H$90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'1. Press Assumptions'!$H$91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'1. Press Assumptions'!$H$92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'1. Press Assumptions'!$H$93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'1. Press Assumptions'!$H$96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'1. Press Assumptions'!$H$97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'1. Press Assumptions'!$H$98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'1. Press Assumptions'!$H$99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0.5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B277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100% Recycle (deals 1-9)</t>
        </is>
      </c>
    </row>
    <row r="2">
      <c r="A2" s="615" t="inlineStr">
        <is>
          <t>Recycle% = 1.0.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100%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'1. Press Assumptions'!$H$89</f>
        <v/>
      </c>
    </row>
    <row r="7">
      <c r="A7" s="306" t="inlineStr">
        <is>
          <t>Bonus threshold (% margin)</t>
        </is>
      </c>
      <c r="B7" s="306">
        <f>'1. Press Assumptions'!$B$35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'1. Press Assumptions'!$H$90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'1. Press Assumptions'!$H$91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'1. Press Assumptions'!$H$92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'1. Press Assumptions'!$H$93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'1. Press Assumptions'!$H$96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'1. Press Assumptions'!$H$97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'1. Press Assumptions'!$H$98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'1. Press Assumptions'!$H$99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1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50" customWidth="1" style="307" min="2" max="2"/>
    <col width="55" customWidth="1" style="307" min="3" max="3"/>
    <col width="30" customWidth="1" style="307" min="4" max="4"/>
    <col width="11" customWidth="1" style="307" min="5" max="5"/>
    <col width="70" customWidth="1" style="307" min="6" max="6"/>
  </cols>
  <sheetData>
    <row r="1">
      <c r="A1" s="633" t="inlineStr">
        <is>
          <t>PRESS MODEL  --  CHANGE LOG (v2)</t>
        </is>
      </c>
    </row>
    <row r="2">
      <c r="A2" s="615" t="inlineStr">
        <is>
          <t>LP-lens QA fixes. Status: DONE / PARTIAL / TODO / DEFERRED. Engine = _Engine_NR / _Engine_R50 / _Engine_R100 (auto-update from Tab 1 inputs).</t>
        </is>
      </c>
    </row>
    <row r="4" ht="22" customHeight="1" s="307">
      <c r="A4" s="634" t="inlineStr">
        <is>
          <t>#</t>
        </is>
      </c>
      <c r="B4" s="634" t="inlineStr">
        <is>
          <t>Issue</t>
        </is>
      </c>
      <c r="C4" s="634" t="inlineStr">
        <is>
          <t>Fix</t>
        </is>
      </c>
      <c r="D4" s="634" t="inlineStr">
        <is>
          <t>Tabs Touched</t>
        </is>
      </c>
      <c r="E4" s="634" t="inlineStr">
        <is>
          <t>Status</t>
        </is>
      </c>
      <c r="F4" s="634" t="inlineStr">
        <is>
          <t>Notes / Downstream Impact</t>
        </is>
      </c>
    </row>
    <row r="5" ht="72" customHeight="1" s="307">
      <c r="A5" s="635" t="inlineStr">
        <is>
          <t>1</t>
        </is>
      </c>
      <c r="B5" s="636" t="inlineStr">
        <is>
          <t>Hidden GP economics: Fee Drag tab omits team comp + bonus pool.</t>
        </is>
      </c>
      <c r="C5" s="636" t="inlineStr">
        <is>
          <t>Restated with 4-column comparison + adjustable allocation %. Now LIVE from engines.</t>
        </is>
      </c>
      <c r="D5" s="636" t="inlineStr">
        <is>
          <t>15. Fee Drag</t>
        </is>
      </c>
      <c r="E5" s="637" t="inlineStr">
        <is>
          <t>DONE</t>
        </is>
      </c>
      <c r="F5" s="638" t="inlineStr">
        <is>
          <t>Live at 50% allocation: Total GP Economics = $202M (NR), $422M (R50), $405M (R100). vs $21M "as presented". Understated by $181M-$401M depending on scenario. Bonus pool alone jumps from $10M to $116M because fixed team comp amortizes over more revenue when recycling -- operating leverage flows entirely to GP via &gt;62.5% margin capture.</t>
        </is>
      </c>
    </row>
    <row r="6" ht="72" customHeight="1" s="307">
      <c r="A6" s="635" t="inlineStr">
        <is>
          <t>2</t>
        </is>
      </c>
      <c r="B6" s="636" t="inlineStr">
        <is>
          <t>Capital shortfall: $158.78M deployed vs $150M fund.</t>
        </is>
      </c>
      <c r="C6" s="636" t="inlineStr">
        <is>
          <t>Capped per-deal ARR at $24M. Net deployed = $141.88M. $5.12M cushion.</t>
        </is>
      </c>
      <c r="D6" s="636" t="inlineStr">
        <is>
          <t>1, 3, 19, 21</t>
        </is>
      </c>
      <c r="E6" s="637" t="inlineStr">
        <is>
          <t>DONE</t>
        </is>
      </c>
      <c r="F6" s="638" t="inlineStr">
        <is>
          <t>Now consistent across all tabs since engine derives from Tab 1.</t>
        </is>
      </c>
    </row>
    <row r="7" ht="72" customHeight="1" s="307">
      <c r="A7" s="635" t="inlineStr">
        <is>
          <t>3</t>
        </is>
      </c>
      <c r="B7" s="636" t="inlineStr">
        <is>
          <t>Model not auto-update: Tabs 4a-4g, 5a-5e, 6, 8 hardcoded.</t>
        </is>
      </c>
      <c r="C7" s="636" t="inlineStr">
        <is>
          <t>Built 3 live calc engines (_Engine_NR, _Engine_R50, _Engine_R100). Each computes monthly P&amp;L from per-deal NDR / ARR / close month inputs on Tab 1, rolls up to annual P&amp;L, applies waterfall (1x RoC + 10% pref + 80/20), produces LP IRR / DPI. Tabs 4a, 4b, 4g now reference annual rollup. Tabs 5a, 5b, 5e reference waterfall. Tabs 6, 8 reference summary. Tab 15 references team/bonus/carry from engines.</t>
        </is>
      </c>
      <c r="D7" s="636" t="inlineStr">
        <is>
          <t>_Engine_NR/_R50/_R100; 4a, 4b, 4g; 5a, 5b, 5e; 6, 8, 15</t>
        </is>
      </c>
      <c r="E7" s="637" t="inlineStr">
        <is>
          <t>DONE</t>
        </is>
      </c>
      <c r="F7" s="638" t="inlineStr">
        <is>
          <t>NEW BASE-CASE RESULTS (per-deal NDR mix from Tab 1, not uniform 85%):  No Recycle: 15Y DPI 4.12x / IRR 26.3%. 50% Recycle: 7.23x / 32.9%. 100% Recycle: 6.86x / 28.3%. Change any blue cell on Tab 1 (ARR, NDR, margin, recycle %, waterfall splits, close months) and everything updates.</t>
        </is>
      </c>
    </row>
    <row r="8" ht="72" customHeight="1" s="307">
      <c r="A8" s="635" t="inlineStr">
        <is>
          <t>4</t>
        </is>
      </c>
      <c r="B8" s="636" t="inlineStr">
        <is>
          <t>62.5% margin x 85% NDR pairing is internally inconsistent with cutting 140 to ~25 FTE.</t>
        </is>
      </c>
      <c r="C8" s="636" t="inlineStr">
        <is>
          <t>Pending: joint sensitivity table.</t>
        </is>
      </c>
      <c r="D8" s="636" t="inlineStr">
        <is>
          <t>11. NDR Sensitivity</t>
        </is>
      </c>
      <c r="E8" s="640" t="inlineStr">
        <is>
          <t>TODO</t>
        </is>
      </c>
      <c r="F8" s="638" t="inlineStr">
        <is>
          <t>Engine now supports parametric inputs -- can build margin x NDR data table.</t>
        </is>
      </c>
    </row>
    <row r="9" ht="72" customHeight="1" s="307">
      <c r="A9" s="635" t="inlineStr">
        <is>
          <t>5</t>
        </is>
      </c>
      <c r="B9" s="636" t="inlineStr">
        <is>
          <t>Recycling impact on LP IRR.</t>
        </is>
      </c>
      <c r="C9" s="636" t="inlineStr">
        <is>
          <t>Now visible in Tab 6 (live). NEW finding: recycling now IMPROVES IRR (32.9% vs 26.3%) because per-deal mix has recycled deals 6/7 as WINNERS (NDR=1.0). Original showed recycling reduced IRR because it used uniform 85% NDR for all deals.</t>
        </is>
      </c>
      <c r="D9" s="636" t="inlineStr">
        <is>
          <t>6. LP Returns Comparison</t>
        </is>
      </c>
      <c r="E9" s="637" t="inlineStr">
        <is>
          <t>DONE</t>
        </is>
      </c>
      <c r="F9" s="638" t="inlineStr">
        <is>
          <t>Critical LP insight: whether recycling helps depends on QUALITY of recycled deals. If recycled deals are uniformly average (85% NDR like Tab 3), they HURT IRR; if they include winners (NDR=1.0 like Tab 1 rows 96-99), they HELP. The decision is conviction-driven, not mechanical.</t>
        </is>
      </c>
    </row>
    <row r="10" ht="72" customHeight="1" s="307">
      <c r="A10" s="635" t="inlineStr">
        <is>
          <t>6</t>
        </is>
      </c>
      <c r="B10" s="636" t="inlineStr">
        <is>
          <t>Placeholder tabs labeled "(placeholder)" but presented as analysis.</t>
        </is>
      </c>
      <c r="C10" s="636" t="inlineStr">
        <is>
          <t>Pending: build escalating-waterfall logic on 5c/5d, J-Curve formula links on 14, per-deal P&amp;L on 9.</t>
        </is>
      </c>
      <c r="D10" s="636" t="inlineStr">
        <is>
          <t>5c, 5d, 14, 9</t>
        </is>
      </c>
      <c r="E10" s="640" t="inlineStr">
        <is>
          <t>TODO</t>
        </is>
      </c>
      <c r="F10" s="638" t="inlineStr"/>
    </row>
    <row r="11" ht="72" customHeight="1" s="307">
      <c r="A11" s="635" t="inlineStr">
        <is>
          <t>7</t>
        </is>
      </c>
      <c r="B11" s="636" t="inlineStr">
        <is>
          <t>Year 15 distributable went negative in original; no clawback.</t>
        </is>
      </c>
      <c r="C11" s="636" t="inlineStr">
        <is>
          <t>Pending: clawback line in waterfall. Engine waterfall does not yet handle negative years.</t>
        </is>
      </c>
      <c r="D11" s="636" t="inlineStr">
        <is>
          <t>_Engine waterfalls</t>
        </is>
      </c>
      <c r="E11" s="640" t="inlineStr">
        <is>
          <t>TODO</t>
        </is>
      </c>
      <c r="F11" s="638" t="inlineStr"/>
    </row>
    <row r="12" ht="72" customHeight="1" s="307">
      <c r="A12" s="635" t="inlineStr">
        <is>
          <t>8</t>
        </is>
      </c>
      <c r="B12" s="636" t="inlineStr">
        <is>
          <t>Severance "auto" cell (Tab 1 B112) is zero while sev flows through P&amp;L.</t>
        </is>
      </c>
      <c r="C12" s="636" t="inlineStr">
        <is>
          <t>Engine computes severance from FTE x rate x Press share. Tab 1 B112 still stale.</t>
        </is>
      </c>
      <c r="D12" s="636" t="inlineStr">
        <is>
          <t>1</t>
        </is>
      </c>
      <c r="E12" s="639" t="inlineStr">
        <is>
          <t>PARTIAL</t>
        </is>
      </c>
      <c r="F12" s="638" t="inlineStr">
        <is>
          <t>Engine internally correct; legacy display cell unfixed.</t>
        </is>
      </c>
    </row>
    <row r="13" ht="72" customHeight="1" s="307">
      <c r="A13" s="635" t="inlineStr">
        <is>
          <t>9</t>
        </is>
      </c>
      <c r="B13" s="636" t="inlineStr">
        <is>
          <t>Margin assumption disagrees: Tab 1 = 62.5%; Tab 7 header = 60%.</t>
        </is>
      </c>
      <c r="C13" s="636" t="inlineStr">
        <is>
          <t>Pending: standardize.</t>
        </is>
      </c>
      <c r="D13" s="636" t="inlineStr">
        <is>
          <t>7, 24</t>
        </is>
      </c>
      <c r="E13" s="640" t="inlineStr">
        <is>
          <t>TODO</t>
        </is>
      </c>
      <c r="F13" s="638" t="inlineStr"/>
    </row>
    <row r="14" ht="72" customHeight="1" s="307">
      <c r="A14" s="635" t="inlineStr">
        <is>
          <t>10</t>
        </is>
      </c>
      <c r="B14" s="636" t="inlineStr">
        <is>
          <t>Tier 4 (above 3x) threshold cell is blank.</t>
        </is>
      </c>
      <c r="C14" s="636" t="inlineStr">
        <is>
          <t>Engine uses flat 80/20 (Tier 2) for all profit. Tiers 3/4 not yet implemented.</t>
        </is>
      </c>
      <c r="D14" s="636" t="inlineStr">
        <is>
          <t>1, engines</t>
        </is>
      </c>
      <c r="E14" s="639" t="inlineStr">
        <is>
          <t>PARTIAL</t>
        </is>
      </c>
      <c r="F14" s="638" t="inlineStr">
        <is>
          <t>Realistic since carry rarely escalates past Tier 2 in 15Y. Should still implement.</t>
        </is>
      </c>
    </row>
    <row r="15" ht="72" customHeight="1" s="307">
      <c r="A15" s="635" t="inlineStr">
        <is>
          <t>11</t>
        </is>
      </c>
      <c r="B15" s="636" t="inlineStr">
        <is>
          <t>"Totals" column on annual P&amp;L tabs sums cumulatives.</t>
        </is>
      </c>
      <c r="C15" s="636" t="inlineStr">
        <is>
          <t>Fixed via SUM(C:Q) in engine wiring.</t>
        </is>
      </c>
      <c r="D15" s="636" t="inlineStr">
        <is>
          <t>4a, 4b, 4g</t>
        </is>
      </c>
      <c r="E15" s="637" t="inlineStr">
        <is>
          <t>DONE</t>
        </is>
      </c>
      <c r="F15" s="638" t="inlineStr"/>
    </row>
    <row r="16" ht="72" customHeight="1" s="307">
      <c r="A16" s="635" t="inlineStr">
        <is>
          <t>12</t>
        </is>
      </c>
      <c r="B16" s="636" t="inlineStr">
        <is>
          <t>Tab 14 J-Curve hard-coded.</t>
        </is>
      </c>
      <c r="C16" s="636" t="inlineStr">
        <is>
          <t>Pending: link to engine monthly distributable (col Dist Post + Exit, Cum) over first 24 months.</t>
        </is>
      </c>
      <c r="D16" s="636" t="inlineStr">
        <is>
          <t>14</t>
        </is>
      </c>
      <c r="E16" s="640" t="inlineStr">
        <is>
          <t>TODO</t>
        </is>
      </c>
      <c r="F16" s="638" t="inlineStr"/>
    </row>
    <row r="17" ht="72" customHeight="1" s="307">
      <c r="A17" s="635" t="inlineStr">
        <is>
          <t>13</t>
        </is>
      </c>
      <c r="B17" s="636" t="inlineStr">
        <is>
          <t>Bonus pool inconsistent across original tabs.</t>
        </is>
      </c>
      <c r="C17" s="636" t="inlineStr">
        <is>
          <t>Engine computes bonus pool consistently from one rule (&gt;62.5% margin cap).</t>
        </is>
      </c>
      <c r="D17" s="636" t="inlineStr">
        <is>
          <t>engines</t>
        </is>
      </c>
      <c r="E17" s="637" t="inlineStr">
        <is>
          <t>DONE</t>
        </is>
      </c>
      <c r="F17" s="638" t="inlineStr"/>
    </row>
    <row r="18" ht="72" customHeight="1" s="307">
      <c r="A18" s="635" t="inlineStr">
        <is>
          <t>14</t>
        </is>
      </c>
      <c r="B18" s="636" t="inlineStr">
        <is>
          <t>Tab 2 returns identical across $5M/$10M/$25M (no class structure).</t>
        </is>
      </c>
      <c r="C18" s="636" t="inlineStr">
        <is>
          <t>Pending.</t>
        </is>
      </c>
      <c r="D18" s="636" t="inlineStr">
        <is>
          <t>2</t>
        </is>
      </c>
      <c r="E18" s="640" t="inlineStr">
        <is>
          <t>TODO</t>
        </is>
      </c>
      <c r="F18" s="638" t="inlineStr"/>
    </row>
    <row r="19" ht="72" customHeight="1" s="307">
      <c r="A19" s="635" t="inlineStr">
        <is>
          <t>15</t>
        </is>
      </c>
      <c r="B19" s="636" t="inlineStr">
        <is>
          <t>Tab 22 duplicates Tab 6.</t>
        </is>
      </c>
      <c r="C19" s="636" t="inlineStr">
        <is>
          <t>Pending: delete or wire to engines.</t>
        </is>
      </c>
      <c r="D19" s="636" t="inlineStr">
        <is>
          <t>22</t>
        </is>
      </c>
      <c r="E19" s="640" t="inlineStr">
        <is>
          <t>TODO</t>
        </is>
      </c>
      <c r="F19" s="638" t="inlineStr"/>
    </row>
    <row r="20" ht="72" customHeight="1" s="307">
      <c r="A20" s="635" t="inlineStr">
        <is>
          <t>16</t>
        </is>
      </c>
      <c r="B20" s="636" t="inlineStr">
        <is>
          <t>Tab 17 Tax Efficiency overstates LTCG treatment.</t>
        </is>
      </c>
      <c r="C20" s="636" t="inlineStr">
        <is>
          <t>Pending.</t>
        </is>
      </c>
      <c r="D20" s="636" t="inlineStr">
        <is>
          <t>17</t>
        </is>
      </c>
      <c r="E20" s="640" t="inlineStr">
        <is>
          <t>TODO</t>
        </is>
      </c>
      <c r="F20" s="638" t="inlineStr"/>
    </row>
    <row r="21" ht="72" customHeight="1" s="307">
      <c r="A21" s="635" t="inlineStr">
        <is>
          <t>17</t>
        </is>
      </c>
      <c r="B21" s="636" t="inlineStr">
        <is>
          <t>No GP commit %, key person, clawback, LPAC, valuation policy disclosed.</t>
        </is>
      </c>
      <c r="C21" s="636" t="inlineStr">
        <is>
          <t>Pending: governance disclosure block.</t>
        </is>
      </c>
      <c r="D21" s="636" t="inlineStr">
        <is>
          <t>new</t>
        </is>
      </c>
      <c r="E21" s="640" t="inlineStr">
        <is>
          <t>TODO</t>
        </is>
      </c>
      <c r="F21" s="638" t="inlineStr"/>
    </row>
    <row r="22" ht="72" customHeight="1" s="307">
      <c r="A22" s="635" t="inlineStr">
        <is>
          <t>18</t>
        </is>
      </c>
      <c r="B22" s="636" t="inlineStr">
        <is>
          <t>No partnership / broken deal / D&amp;O reserves.</t>
        </is>
      </c>
      <c r="C22" s="636" t="inlineStr">
        <is>
          <t>Disclosed in S&amp;U notes as unfunded.</t>
        </is>
      </c>
      <c r="D22" s="636" t="inlineStr">
        <is>
          <t>19</t>
        </is>
      </c>
      <c r="E22" s="639" t="inlineStr">
        <is>
          <t>PARTIAL</t>
        </is>
      </c>
      <c r="F22" s="638" t="inlineStr"/>
    </row>
    <row r="23" ht="72" customHeight="1" s="307">
      <c r="A23" s="635" t="inlineStr">
        <is>
          <t>19</t>
        </is>
      </c>
      <c r="B23" s="636" t="inlineStr">
        <is>
          <t>NDR upside framing implies seller mispricing.</t>
        </is>
      </c>
      <c r="C23" s="636" t="inlineStr">
        <is>
          <t>Pending: caveat.</t>
        </is>
      </c>
      <c r="D23" s="636" t="inlineStr">
        <is>
          <t>2, 11</t>
        </is>
      </c>
      <c r="E23" s="640" t="inlineStr">
        <is>
          <t>TODO</t>
        </is>
      </c>
      <c r="F23" s="638" t="inlineStr"/>
    </row>
    <row r="24" ht="72" customHeight="1" s="307">
      <c r="A24" s="635" t="inlineStr">
        <is>
          <t>20</t>
        </is>
      </c>
      <c r="B24" s="636" t="inlineStr">
        <is>
          <t>Tab 24 Benchmarks misleading.</t>
        </is>
      </c>
      <c r="C24" s="636" t="inlineStr">
        <is>
          <t>Pending.</t>
        </is>
      </c>
      <c r="D24" s="636" t="inlineStr">
        <is>
          <t>24</t>
        </is>
      </c>
      <c r="E24" s="640" t="inlineStr">
        <is>
          <t>TODO</t>
        </is>
      </c>
      <c r="F24" s="638" t="inlineStr"/>
    </row>
    <row r="25" ht="72" customHeight="1" s="307">
      <c r="A25" s="635" t="inlineStr">
        <is>
          <t>21</t>
        </is>
      </c>
      <c r="B25" s="636" t="inlineStr">
        <is>
          <t>Tab 13 Stress Test holds margin at 62.5%; ignores write-off scenarios.</t>
        </is>
      </c>
      <c r="C25" s="636" t="inlineStr">
        <is>
          <t>Pending: 3-D stress (NDR x margin x concentration).</t>
        </is>
      </c>
      <c r="D25" s="636" t="inlineStr">
        <is>
          <t>13</t>
        </is>
      </c>
      <c r="E25" s="640" t="inlineStr">
        <is>
          <t>TODO</t>
        </is>
      </c>
      <c r="F25" s="638" t="inlineStr"/>
    </row>
    <row r="26" ht="72" customHeight="1" s="307">
      <c r="A26" s="635" t="inlineStr">
        <is>
          <t>22</t>
        </is>
      </c>
      <c r="B26" s="636" t="inlineStr">
        <is>
          <t>Operating leverage gives GP runaway upside via bonus pool.</t>
        </is>
      </c>
      <c r="C26" s="636" t="inlineStr">
        <is>
          <t>New finding from live engine. As deal count scales (recycling), fixed team comp amortizes over more revenue. Pre-bonus EBITDA margin can hit 70-80%. Everything above 62.5% caps to bonus pool. In 50% recycle scenario, bonus pool = $116M vs $10M for No Recycle -- a 12x increase from operating leverage that the LP does not capture.</t>
        </is>
      </c>
      <c r="D26" s="636" t="inlineStr">
        <is>
          <t>15, engines</t>
        </is>
      </c>
      <c r="E26" s="637" t="inlineStr">
        <is>
          <t>DONE</t>
        </is>
      </c>
      <c r="F26" s="638" t="inlineStr">
        <is>
          <t>Major LP issue: bonus pool acts as super-linear GP-side reward to recycling. Worth dedicated discussion.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2026-05-05T03:19:40Z</dcterms:created>
  <dcterms:modified xsi:type="dcterms:W3CDTF">2026-05-25T14:21:22Z</dcterms:modified>
  <cp:revision>0</cp:revision>
</cp:coreProperties>
</file>