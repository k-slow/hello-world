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_Engine_NR" sheetId="38" state="visible" r:id="rId38"/>
    <sheet name="_Engine_R50" sheetId="39" state="visible" r:id="rId39"/>
    <sheet name="_Engine_R100" sheetId="40" state="visible" r:id="rId40"/>
    <sheet name="CHANGE LOG" sheetId="41" state="visible" r:id="rId4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4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</fonts>
  <fills count="20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150000000</v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0.625</v>
      </c>
      <c r="C35" s="321" t="n"/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36</v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312" t="inlineStr">
        <is>
          <t>Deal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24</v>
      </c>
      <c r="E89" s="317" t="n">
        <v>1.24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24</v>
      </c>
      <c r="E90" s="317" t="n">
        <v>1.24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7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24</v>
      </c>
      <c r="E91" s="317" t="n">
        <v>1.24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10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24</v>
      </c>
      <c r="E92" s="317" t="n">
        <v>1.24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12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24</v>
      </c>
      <c r="E93" s="317" t="n">
        <v>1.24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16</v>
      </c>
    </row>
    <row r="95" ht="15" customHeight="1" s="307">
      <c r="A95" s="312" t="inlineStr">
        <is>
          <t>RECYCLED DEALS (funded by retained NI during M1-36)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24</v>
      </c>
      <c r="E96" s="317" t="n">
        <v>1.25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24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24</v>
      </c>
      <c r="E97" s="317" t="n">
        <v>1.25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28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24</v>
      </c>
      <c r="E98" s="317" t="n">
        <v>1.25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32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24</v>
      </c>
      <c r="E99" s="317" t="n">
        <v>1.25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36</v>
      </c>
    </row>
    <row r="102" ht="15" customHeight="1" s="307">
      <c r="A102" s="311" t="inlineStr">
        <is>
          <t>HEADCOUNT &amp; SEVERANCE (per OpCo at close)</t>
        </is>
      </c>
      <c r="B102" s="309" t="n"/>
      <c r="C102" s="309" t="n"/>
      <c r="D102" s="309" t="n"/>
      <c r="E102" s="309" t="n"/>
    </row>
    <row r="103" ht="15" customHeight="1" s="307">
      <c r="A103" s="314" t="inlineStr">
        <is>
          <t>Starting FTE per OpCo</t>
        </is>
      </c>
      <c r="B103" s="315" t="n">
        <v>140</v>
      </c>
      <c r="E103" s="310" t="inlineStr">
        <is>
          <t>Stalled SaaS at this ARR runs bloated</t>
        </is>
      </c>
    </row>
    <row r="104" ht="15" customHeight="1" s="307">
      <c r="A104" s="314" t="inlineStr">
        <is>
          <t>Fully Loaded Cost per FTE ($)</t>
        </is>
      </c>
      <c r="B104" s="316" t="n">
        <v>200000</v>
      </c>
      <c r="E104" s="310" t="inlineStr">
        <is>
          <t>Avg loaded cost across functions</t>
        </is>
      </c>
    </row>
    <row r="105" ht="15" customHeight="1" s="307">
      <c r="A105" s="314" t="inlineStr">
        <is>
          <t>Base Salary as % of Loaded Cost</t>
        </is>
      </c>
      <c r="B105" s="319" t="n">
        <v>0.75</v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17307.69</v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1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6">
      <c r="A136" s="306" t="inlineStr"/>
    </row>
    <row r="138">
      <c r="A138" s="641" t="inlineStr">
        <is>
          <t>AUTO-UPDATE ENGINE OUTPUTS  (from _Engine_NR / _Engine_R50 / _Engine_R100)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335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338" t="inlineStr">
        <is>
          <t>$150M fund. 85% NDR base case. 1.24x entry. Tiered waterfall. Staged IRR.</t>
        </is>
      </c>
      <c r="K2" s="306" t="n"/>
      <c r="L2" s="306" t="n"/>
    </row>
    <row r="3" ht="15" customHeight="1" s="307">
      <c r="K3" s="306" t="n"/>
      <c r="L3" s="306" t="n"/>
    </row>
    <row r="4" ht="15" customHeight="1" s="307">
      <c r="A4" s="322" t="n"/>
      <c r="B4" s="339" t="inlineStr">
        <is>
          <t>$5mm</t>
        </is>
      </c>
      <c r="E4" s="339" t="inlineStr">
        <is>
          <t>$10mm</t>
        </is>
      </c>
      <c r="H4" s="339" t="inlineStr">
        <is>
          <t>$25mm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n">
        <v>43</v>
      </c>
      <c r="C9" s="347" t="n">
        <v>47</v>
      </c>
      <c r="D9" s="348" t="n">
        <v>52</v>
      </c>
      <c r="E9" s="347" t="n">
        <v>43</v>
      </c>
      <c r="F9" s="347" t="n">
        <v>47</v>
      </c>
      <c r="G9" s="348" t="n">
        <v>52</v>
      </c>
      <c r="H9" s="347" t="n">
        <v>43</v>
      </c>
      <c r="I9" s="347" t="n">
        <v>47</v>
      </c>
      <c r="J9" s="348" t="n">
        <v>52</v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 t="n">
        <v>0.272135</v>
      </c>
      <c r="C12" s="350" t="n">
        <v>0.222741</v>
      </c>
      <c r="D12" s="351" t="n">
        <v>0.164628</v>
      </c>
      <c r="E12" s="350" t="n">
        <v>0.272135</v>
      </c>
      <c r="F12" s="350" t="n">
        <v>0.222741</v>
      </c>
      <c r="G12" s="351" t="n">
        <v>0.164628</v>
      </c>
      <c r="H12" s="350" t="n">
        <v>0.272135</v>
      </c>
      <c r="I12" s="350" t="n">
        <v>0.222741</v>
      </c>
      <c r="J12" s="351" t="n">
        <v>0.164628</v>
      </c>
      <c r="K12" s="306" t="n"/>
      <c r="L12" s="306" t="n"/>
    </row>
    <row r="13" ht="15" customHeight="1" s="307">
      <c r="A13" s="346" t="inlineStr">
        <is>
          <t>LP MOIC / DPI</t>
        </is>
      </c>
      <c r="B13" s="352" t="n">
        <v>2.188333</v>
      </c>
      <c r="C13" s="352" t="n">
        <v>2.912402</v>
      </c>
      <c r="D13" s="353" t="n">
        <v>3.119787</v>
      </c>
      <c r="E13" s="352" t="n">
        <v>2.188333</v>
      </c>
      <c r="F13" s="352" t="n">
        <v>2.912402</v>
      </c>
      <c r="G13" s="353" t="n">
        <v>3.119787</v>
      </c>
      <c r="H13" s="352" t="n">
        <v>2.188333</v>
      </c>
      <c r="I13" s="352" t="n">
        <v>2.912402</v>
      </c>
      <c r="J13" s="353" t="n">
        <v>3.119787</v>
      </c>
      <c r="K13" s="306" t="n"/>
      <c r="L13" s="306" t="n"/>
    </row>
    <row r="14" ht="15" customHeight="1" s="307">
      <c r="A14" s="343" t="inlineStr">
        <is>
          <t>Cash Distributed</t>
        </is>
      </c>
      <c r="B14" s="344" t="n">
        <v>10.94166666666667</v>
      </c>
      <c r="C14" s="344" t="n">
        <v>14.562</v>
      </c>
      <c r="D14" s="345" t="n">
        <v>15.59893333333333</v>
      </c>
      <c r="E14" s="344" t="n">
        <v>21.88333333333333</v>
      </c>
      <c r="F14" s="344" t="n">
        <v>29.124</v>
      </c>
      <c r="G14" s="345" t="n">
        <v>31.19786666666667</v>
      </c>
      <c r="H14" s="344" t="n">
        <v>54.70833333333334</v>
      </c>
      <c r="I14" s="344" t="n">
        <v>72.81</v>
      </c>
      <c r="J14" s="345" t="n">
        <v>77.99466666666667</v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 t="n">
        <v>0.277371</v>
      </c>
      <c r="C17" s="350" t="n">
        <v>0.236431</v>
      </c>
      <c r="D17" s="351" t="n">
        <v>0.185426</v>
      </c>
      <c r="E17" s="350" t="n">
        <v>0.277371</v>
      </c>
      <c r="F17" s="350" t="n">
        <v>0.236431</v>
      </c>
      <c r="G17" s="351" t="n">
        <v>0.185426</v>
      </c>
      <c r="H17" s="350" t="n">
        <v>0.277371</v>
      </c>
      <c r="I17" s="350" t="n">
        <v>0.236431</v>
      </c>
      <c r="J17" s="351" t="n">
        <v>0.185426</v>
      </c>
      <c r="K17" s="306" t="n"/>
      <c r="L17" s="306" t="n"/>
    </row>
    <row r="18" ht="15" customHeight="1" s="307">
      <c r="A18" s="346" t="inlineStr">
        <is>
          <t>LP MOIC / DPI</t>
        </is>
      </c>
      <c r="B18" s="352" t="n">
        <v>2.347873</v>
      </c>
      <c r="C18" s="352" t="n">
        <v>3.431386</v>
      </c>
      <c r="D18" s="353" t="n">
        <v>3.840599</v>
      </c>
      <c r="E18" s="352" t="n">
        <v>2.347873</v>
      </c>
      <c r="F18" s="352" t="n">
        <v>3.431386</v>
      </c>
      <c r="G18" s="353" t="n">
        <v>3.840599</v>
      </c>
      <c r="H18" s="352" t="n">
        <v>2.347873</v>
      </c>
      <c r="I18" s="352" t="n">
        <v>3.431386</v>
      </c>
      <c r="J18" s="353" t="n">
        <v>3.840599</v>
      </c>
      <c r="K18" s="306" t="n"/>
      <c r="L18" s="306" t="n"/>
    </row>
    <row r="19" ht="15" customHeight="1" s="307">
      <c r="A19" s="346" t="inlineStr">
        <is>
          <t>Total Cash</t>
        </is>
      </c>
      <c r="B19" s="356" t="n">
        <v>11.73936666666667</v>
      </c>
      <c r="C19" s="356" t="n">
        <v>17.15693333333333</v>
      </c>
      <c r="D19" s="357" t="n">
        <v>19.203</v>
      </c>
      <c r="E19" s="356" t="n">
        <v>23.47873333333333</v>
      </c>
      <c r="F19" s="356" t="n">
        <v>34.31386666666667</v>
      </c>
      <c r="G19" s="357" t="n">
        <v>38.40600000000001</v>
      </c>
      <c r="H19" s="356" t="n">
        <v>58.69683333333333</v>
      </c>
      <c r="I19" s="356" t="n">
        <v>85.78466666666667</v>
      </c>
      <c r="J19" s="357" t="n">
        <v>96.015</v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342" t="inlineStr">
        <is>
          <t>NDR UPSIDE (bid at 1.24x, actual NDR beats 85%)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340" t="inlineStr">
        <is>
          <t>Actual NDR</t>
        </is>
      </c>
      <c r="B22" s="360" t="inlineStr">
        <is>
          <t>10Y IRR</t>
        </is>
      </c>
      <c r="C22" s="360" t="inlineStr">
        <is>
          <t>10Y DPI</t>
        </is>
      </c>
      <c r="D22" s="341" t="inlineStr">
        <is>
          <t>15Y DPI</t>
        </is>
      </c>
      <c r="E22" s="360" t="inlineStr">
        <is>
          <t>Payback</t>
        </is>
      </c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363" t="n">
        <v>0.8</v>
      </c>
      <c r="B23" s="364" t="n">
        <v>0.17938</v>
      </c>
      <c r="C23" s="365" t="n">
        <v>1.686</v>
      </c>
      <c r="D23" s="366" t="n">
        <v>1.691</v>
      </c>
      <c r="E23" s="367" t="n">
        <v>47</v>
      </c>
      <c r="F23" s="368" t="n"/>
      <c r="K23" s="306" t="n"/>
      <c r="L23" s="306" t="n"/>
    </row>
    <row r="24" ht="15" customHeight="1" s="307">
      <c r="A24" s="350" t="n">
        <v>0.85</v>
      </c>
      <c r="B24" s="369" t="n">
        <v>0.27213</v>
      </c>
      <c r="C24" s="370" t="n">
        <v>2.188</v>
      </c>
      <c r="D24" s="371" t="n">
        <v>2.348</v>
      </c>
      <c r="E24" s="372" t="n">
        <v>43</v>
      </c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363" t="n">
        <v>0.9</v>
      </c>
      <c r="B25" s="364" t="n">
        <v>0.35505</v>
      </c>
      <c r="C25" s="365" t="n">
        <v>2.768</v>
      </c>
      <c r="D25" s="366" t="n">
        <v>3.393</v>
      </c>
      <c r="E25" s="367" t="n">
        <v>40</v>
      </c>
      <c r="F25" s="368" t="n"/>
      <c r="H25" s="354" t="n"/>
      <c r="I25" s="354" t="n"/>
      <c r="K25" s="306" t="n"/>
      <c r="L25" s="306" t="n"/>
    </row>
    <row r="26" ht="15" customHeight="1" s="307">
      <c r="A26" s="363" t="n">
        <v>0.95</v>
      </c>
      <c r="B26" s="364" t="n">
        <v>0.4311</v>
      </c>
      <c r="C26" s="365" t="n">
        <v>3.444</v>
      </c>
      <c r="D26" s="366" t="n">
        <v>4.771</v>
      </c>
      <c r="E26" s="367" t="n">
        <v>38</v>
      </c>
      <c r="F26" s="368" t="n"/>
      <c r="H26" s="354" t="n"/>
      <c r="I26" s="354" t="n"/>
      <c r="K26" s="306" t="n"/>
      <c r="L26" s="306" t="n"/>
    </row>
    <row r="27" ht="15" customHeight="1" s="307">
      <c r="A27" s="376" t="n">
        <v>1</v>
      </c>
      <c r="B27" s="377" t="n">
        <v>0.50598</v>
      </c>
      <c r="C27" s="378" t="n">
        <v>4.288</v>
      </c>
      <c r="D27" s="379" t="n">
        <v>6.627</v>
      </c>
      <c r="E27" s="380" t="n">
        <v>35</v>
      </c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376" t="n">
        <v>1.05</v>
      </c>
      <c r="B28" s="377" t="n">
        <v>0.5809299999999999</v>
      </c>
      <c r="C28" s="378" t="n">
        <v>5.393</v>
      </c>
      <c r="D28" s="379" t="n">
        <v>9.470000000000001</v>
      </c>
      <c r="E28" s="380" t="n">
        <v>34</v>
      </c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342" t="inlineStr">
        <is>
          <t>ANNUAL CASH DISTRIBUTIONS ($mm) -- ALL SCENARIOS</t>
        </is>
      </c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343" t="inlineStr">
        <is>
          <t>Year 1</t>
        </is>
      </c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343" t="inlineStr">
        <is>
          <t>Year 2</t>
        </is>
      </c>
      <c r="B32" s="344" t="n">
        <v>1.918566666666667</v>
      </c>
      <c r="C32" s="344" t="n">
        <v>0.9361999999999999</v>
      </c>
      <c r="D32" s="345" t="n">
        <v>0</v>
      </c>
      <c r="E32" s="344" t="n">
        <v>3.837133333333334</v>
      </c>
      <c r="F32" s="344" t="n">
        <v>1.8724</v>
      </c>
      <c r="G32" s="345" t="n">
        <v>0</v>
      </c>
      <c r="H32" s="344" t="n">
        <v>9.592833333333333</v>
      </c>
      <c r="I32" s="344" t="n">
        <v>4.680999999999999</v>
      </c>
      <c r="J32" s="345" t="n">
        <v>0</v>
      </c>
      <c r="K32" s="306" t="n"/>
      <c r="L32" s="306" t="n"/>
    </row>
    <row r="33" ht="15" customHeight="1" s="307">
      <c r="A33" s="343" t="inlineStr">
        <is>
          <t>Year 3</t>
        </is>
      </c>
      <c r="B33" s="344" t="n">
        <v>2.1185</v>
      </c>
      <c r="C33" s="344" t="n">
        <v>1.360933333333333</v>
      </c>
      <c r="D33" s="345" t="n">
        <v>0</v>
      </c>
      <c r="E33" s="344" t="n">
        <v>4.237</v>
      </c>
      <c r="F33" s="344" t="n">
        <v>2.721866666666667</v>
      </c>
      <c r="G33" s="345" t="n">
        <v>0</v>
      </c>
      <c r="H33" s="344" t="n">
        <v>10.5925</v>
      </c>
      <c r="I33" s="344" t="n">
        <v>6.804666666666667</v>
      </c>
      <c r="J33" s="345" t="n">
        <v>0</v>
      </c>
      <c r="K33" s="306" t="n"/>
      <c r="L33" s="306" t="n"/>
    </row>
    <row r="34" ht="15" customHeight="1" s="307">
      <c r="A34" s="343" t="inlineStr">
        <is>
          <t>Year 4</t>
        </is>
      </c>
      <c r="B34" s="344" t="n">
        <v>1.733333333333333</v>
      </c>
      <c r="C34" s="344" t="n">
        <v>3.0713</v>
      </c>
      <c r="D34" s="345" t="n">
        <v>3.863266666666667</v>
      </c>
      <c r="E34" s="344" t="n">
        <v>3.466666666666667</v>
      </c>
      <c r="F34" s="344" t="n">
        <v>6.1426</v>
      </c>
      <c r="G34" s="345" t="n">
        <v>7.726533333333333</v>
      </c>
      <c r="H34" s="344" t="n">
        <v>8.666666666666666</v>
      </c>
      <c r="I34" s="344" t="n">
        <v>15.3565</v>
      </c>
      <c r="J34" s="345" t="n">
        <v>19.31633333333333</v>
      </c>
      <c r="K34" s="306" t="n"/>
      <c r="L34" s="306" t="n"/>
    </row>
    <row r="35" ht="15" customHeight="1" s="307">
      <c r="A35" s="343" t="inlineStr">
        <is>
          <t>Year 5</t>
        </is>
      </c>
      <c r="B35" s="344" t="n">
        <v>1.3245</v>
      </c>
      <c r="C35" s="344" t="n">
        <v>2.1885</v>
      </c>
      <c r="D35" s="345" t="n">
        <v>2.954366666666667</v>
      </c>
      <c r="E35" s="344" t="n">
        <v>2.649</v>
      </c>
      <c r="F35" s="344" t="n">
        <v>4.377</v>
      </c>
      <c r="G35" s="345" t="n">
        <v>5.908733333333333</v>
      </c>
      <c r="H35" s="344" t="n">
        <v>6.6225</v>
      </c>
      <c r="I35" s="344" t="n">
        <v>10.9425</v>
      </c>
      <c r="J35" s="345" t="n">
        <v>14.77183333333333</v>
      </c>
      <c r="K35" s="306" t="n"/>
      <c r="L35" s="306" t="n"/>
    </row>
    <row r="36" ht="15" customHeight="1" s="307">
      <c r="A36" s="343" t="inlineStr">
        <is>
          <t>Year 6</t>
        </is>
      </c>
      <c r="B36" s="344" t="n">
        <v>1.1101</v>
      </c>
      <c r="C36" s="344" t="n">
        <v>1.8752</v>
      </c>
      <c r="D36" s="345" t="n">
        <v>2.332966666666667</v>
      </c>
      <c r="E36" s="344" t="n">
        <v>2.2202</v>
      </c>
      <c r="F36" s="344" t="n">
        <v>3.7504</v>
      </c>
      <c r="G36" s="345" t="n">
        <v>4.665933333333333</v>
      </c>
      <c r="H36" s="344" t="n">
        <v>5.5505</v>
      </c>
      <c r="I36" s="344" t="n">
        <v>9.375999999999999</v>
      </c>
      <c r="J36" s="345" t="n">
        <v>11.66483333333333</v>
      </c>
      <c r="K36" s="306" t="n"/>
      <c r="L36" s="306" t="n"/>
    </row>
    <row r="37" ht="15" customHeight="1" s="307">
      <c r="A37" s="343" t="inlineStr">
        <is>
          <t>Year 7</t>
        </is>
      </c>
      <c r="B37" s="344" t="n">
        <v>0.9127666666666666</v>
      </c>
      <c r="C37" s="344" t="n">
        <v>1.608933333333333</v>
      </c>
      <c r="D37" s="345" t="n">
        <v>1.998033333333333</v>
      </c>
      <c r="E37" s="344" t="n">
        <v>1.825533333333333</v>
      </c>
      <c r="F37" s="344" t="n">
        <v>3.217866666666667</v>
      </c>
      <c r="G37" s="345" t="n">
        <v>3.996066666666667</v>
      </c>
      <c r="H37" s="344" t="n">
        <v>4.563833333333333</v>
      </c>
      <c r="I37" s="344" t="n">
        <v>8.044666666666666</v>
      </c>
      <c r="J37" s="345" t="n">
        <v>9.990166666666667</v>
      </c>
      <c r="K37" s="306" t="n"/>
      <c r="L37" s="306" t="n"/>
    </row>
    <row r="38" ht="15" customHeight="1" s="307">
      <c r="A38" s="343" t="inlineStr">
        <is>
          <t>Year 8</t>
        </is>
      </c>
      <c r="B38" s="344" t="n">
        <v>0.7450333333333333</v>
      </c>
      <c r="C38" s="344" t="n">
        <v>1.3826</v>
      </c>
      <c r="D38" s="345" t="n">
        <v>1.713333333333333</v>
      </c>
      <c r="E38" s="344" t="n">
        <v>1.490066666666667</v>
      </c>
      <c r="F38" s="344" t="n">
        <v>2.7652</v>
      </c>
      <c r="G38" s="345" t="n">
        <v>3.426666666666666</v>
      </c>
      <c r="H38" s="344" t="n">
        <v>3.725166666666667</v>
      </c>
      <c r="I38" s="344" t="n">
        <v>6.913</v>
      </c>
      <c r="J38" s="345" t="n">
        <v>8.566666666666666</v>
      </c>
      <c r="K38" s="306" t="n"/>
      <c r="L38" s="306" t="n"/>
    </row>
    <row r="39" ht="15" customHeight="1" s="307">
      <c r="A39" s="343" t="inlineStr">
        <is>
          <t>Year 9</t>
        </is>
      </c>
      <c r="B39" s="344" t="n">
        <v>0.6024333333333334</v>
      </c>
      <c r="C39" s="344" t="n">
        <v>1.172533333333333</v>
      </c>
      <c r="D39" s="345" t="n">
        <v>1.471333333333333</v>
      </c>
      <c r="E39" s="344" t="n">
        <v>1.204866666666667</v>
      </c>
      <c r="F39" s="344" t="n">
        <v>2.345066666666667</v>
      </c>
      <c r="G39" s="345" t="n">
        <v>2.942666666666667</v>
      </c>
      <c r="H39" s="344" t="n">
        <v>3.012166666666666</v>
      </c>
      <c r="I39" s="344" t="n">
        <v>5.862666666666667</v>
      </c>
      <c r="J39" s="345" t="n">
        <v>7.356666666666666</v>
      </c>
      <c r="K39" s="306" t="n"/>
      <c r="L39" s="306" t="n"/>
    </row>
    <row r="40" ht="15" customHeight="1" s="307">
      <c r="A40" s="343" t="inlineStr">
        <is>
          <t>Year 10</t>
        </is>
      </c>
      <c r="B40" s="344" t="n">
        <v>0.4765666666666667</v>
      </c>
      <c r="C40" s="344" t="n">
        <v>0.9658</v>
      </c>
      <c r="D40" s="345" t="n">
        <v>1.265633333333333</v>
      </c>
      <c r="E40" s="344" t="n">
        <v>0.9531333333333334</v>
      </c>
      <c r="F40" s="344" t="n">
        <v>1.9316</v>
      </c>
      <c r="G40" s="345" t="n">
        <v>2.531266666666667</v>
      </c>
      <c r="H40" s="344" t="n">
        <v>2.382833333333333</v>
      </c>
      <c r="I40" s="344" t="n">
        <v>4.829</v>
      </c>
      <c r="J40" s="345" t="n">
        <v>6.328166666666666</v>
      </c>
      <c r="K40" s="306" t="n"/>
      <c r="L40" s="306" t="n"/>
    </row>
    <row r="41" ht="15" customHeight="1" s="307">
      <c r="A41" s="343" t="inlineStr">
        <is>
          <t>Year 11</t>
        </is>
      </c>
      <c r="B41" s="344" t="n">
        <v>0.3478</v>
      </c>
      <c r="C41" s="344" t="n">
        <v>0.7901333333333334</v>
      </c>
      <c r="D41" s="345" t="n">
        <v>1.046833333333333</v>
      </c>
      <c r="E41" s="344" t="n">
        <v>0.6956</v>
      </c>
      <c r="F41" s="344" t="n">
        <v>1.580266666666667</v>
      </c>
      <c r="G41" s="345" t="n">
        <v>2.093666666666667</v>
      </c>
      <c r="H41" s="344" t="n">
        <v>1.739</v>
      </c>
      <c r="I41" s="344" t="n">
        <v>3.950666666666667</v>
      </c>
      <c r="J41" s="345" t="n">
        <v>5.234166666666667</v>
      </c>
      <c r="K41" s="306" t="n"/>
      <c r="L41" s="306" t="n"/>
    </row>
    <row r="42" ht="15" customHeight="1" s="307">
      <c r="A42" s="343" t="inlineStr">
        <is>
          <t>Year 12</t>
        </is>
      </c>
      <c r="B42" s="344" t="n">
        <v>0.2383333333333333</v>
      </c>
      <c r="C42" s="344" t="n">
        <v>0.6407666666666666</v>
      </c>
      <c r="D42" s="345" t="n">
        <v>0.859</v>
      </c>
      <c r="E42" s="344" t="n">
        <v>0.4766666666666667</v>
      </c>
      <c r="F42" s="344" t="n">
        <v>1.281533333333333</v>
      </c>
      <c r="G42" s="345" t="n">
        <v>1.718</v>
      </c>
      <c r="H42" s="344" t="n">
        <v>1.191666666666667</v>
      </c>
      <c r="I42" s="344" t="n">
        <v>3.203833333333333</v>
      </c>
      <c r="J42" s="345" t="n">
        <v>4.295</v>
      </c>
      <c r="K42" s="306" t="n"/>
      <c r="L42" s="306" t="n"/>
    </row>
    <row r="43" ht="15" customHeight="1" s="307">
      <c r="A43" s="343" t="inlineStr">
        <is>
          <t>Year 13</t>
        </is>
      </c>
      <c r="B43" s="344" t="n">
        <v>0.1453</v>
      </c>
      <c r="C43" s="344" t="n">
        <v>0.5138333333333333</v>
      </c>
      <c r="D43" s="345" t="n">
        <v>0.6993333333333334</v>
      </c>
      <c r="E43" s="344" t="n">
        <v>0.2906</v>
      </c>
      <c r="F43" s="344" t="n">
        <v>1.027666666666667</v>
      </c>
      <c r="G43" s="345" t="n">
        <v>1.398666666666667</v>
      </c>
      <c r="H43" s="344" t="n">
        <v>0.7264999999999999</v>
      </c>
      <c r="I43" s="344" t="n">
        <v>2.569166666666666</v>
      </c>
      <c r="J43" s="345" t="n">
        <v>3.496666666666667</v>
      </c>
      <c r="K43" s="306" t="n"/>
      <c r="L43" s="306" t="n"/>
    </row>
    <row r="44" ht="15" customHeight="1" s="307">
      <c r="A44" s="343" t="inlineStr">
        <is>
          <t>Year 14</t>
        </is>
      </c>
      <c r="B44" s="344" t="n">
        <v>0.06623333333333334</v>
      </c>
      <c r="C44" s="344" t="n">
        <v>0.3824333333333333</v>
      </c>
      <c r="D44" s="345" t="n">
        <v>0.5636</v>
      </c>
      <c r="E44" s="344" t="n">
        <v>0.1324666666666667</v>
      </c>
      <c r="F44" s="344" t="n">
        <v>0.7648666666666667</v>
      </c>
      <c r="G44" s="345" t="n">
        <v>1.1272</v>
      </c>
      <c r="H44" s="344" t="n">
        <v>0.3311666666666667</v>
      </c>
      <c r="I44" s="344" t="n">
        <v>1.912166666666667</v>
      </c>
      <c r="J44" s="345" t="n">
        <v>2.818</v>
      </c>
      <c r="K44" s="306" t="n"/>
      <c r="L44" s="306" t="n"/>
    </row>
    <row r="45" ht="15" customHeight="1" s="307">
      <c r="A45" s="343" t="inlineStr">
        <is>
          <t>Year 15</t>
        </is>
      </c>
      <c r="B45" s="344" t="n">
        <v>0</v>
      </c>
      <c r="C45" s="344" t="n">
        <v>0.2677666666666667</v>
      </c>
      <c r="D45" s="345" t="n">
        <v>0.4353</v>
      </c>
      <c r="E45" s="344" t="n">
        <v>0</v>
      </c>
      <c r="F45" s="344" t="n">
        <v>0.5355333333333333</v>
      </c>
      <c r="G45" s="345" t="n">
        <v>0.8705999999999999</v>
      </c>
      <c r="H45" s="344" t="n">
        <v>0</v>
      </c>
      <c r="I45" s="344" t="n">
        <v>1.338833333333333</v>
      </c>
      <c r="J45" s="345" t="n">
        <v>2.1765</v>
      </c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384" t="inlineStr">
        <is>
          <t>CONFIDENTIAL -- DO NOT DISTRIBUTE</t>
        </is>
      </c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321" t="n"/>
      <c r="B50" s="354" t="n"/>
      <c r="C50" s="354" t="n"/>
      <c r="E50" s="354" t="n"/>
      <c r="F50" s="354" t="n"/>
      <c r="H50" s="354" t="n"/>
      <c r="I50" s="354" t="n"/>
      <c r="K50" s="306" t="n"/>
      <c r="L50" s="306" t="n"/>
    </row>
    <row r="51" ht="15" customHeight="1" s="307">
      <c r="A51" s="321" t="n"/>
      <c r="B51" s="354" t="n"/>
      <c r="C51" s="354" t="n"/>
      <c r="E51" s="354" t="n"/>
      <c r="F51" s="354" t="n"/>
      <c r="H51" s="354" t="n"/>
      <c r="I51" s="354" t="n"/>
      <c r="K51" s="306" t="n"/>
      <c r="L51" s="306" t="n"/>
    </row>
    <row r="52" ht="15" customHeight="1" s="307">
      <c r="A52" s="321" t="n"/>
      <c r="B52" s="354" t="n"/>
      <c r="C52" s="354" t="n"/>
      <c r="E52" s="354" t="n"/>
      <c r="F52" s="354" t="n"/>
      <c r="H52" s="354" t="n"/>
      <c r="I52" s="354" t="n"/>
      <c r="K52" s="306" t="n"/>
      <c r="L52" s="306" t="n"/>
    </row>
    <row r="53" ht="15" customHeight="1" s="307">
      <c r="A53" s="321" t="n"/>
      <c r="B53" s="354" t="n"/>
      <c r="C53" s="354" t="n"/>
      <c r="E53" s="354" t="n"/>
      <c r="F53" s="354" t="n"/>
      <c r="H53" s="354" t="n"/>
      <c r="I53" s="354" t="n"/>
      <c r="K53" s="306" t="n"/>
      <c r="L53" s="306" t="n"/>
    </row>
    <row r="54" ht="15" customHeight="1" s="307">
      <c r="A54" s="321" t="n"/>
      <c r="B54" s="354" t="n"/>
      <c r="C54" s="354" t="n"/>
      <c r="E54" s="354" t="n"/>
      <c r="F54" s="354" t="n"/>
      <c r="H54" s="354" t="n"/>
      <c r="I54" s="354" t="n"/>
      <c r="K54" s="306" t="n"/>
      <c r="L54" s="306" t="n"/>
    </row>
    <row r="55" ht="15" customHeight="1" s="307">
      <c r="A55" s="321" t="n"/>
      <c r="B55" s="354" t="n"/>
      <c r="C55" s="354" t="n"/>
      <c r="E55" s="354" t="n"/>
      <c r="F55" s="354" t="n"/>
      <c r="H55" s="354" t="n"/>
      <c r="I55" s="354" t="n"/>
      <c r="K55" s="306" t="n"/>
      <c r="L55" s="306" t="n"/>
    </row>
    <row r="56" ht="15" customHeight="1" s="307">
      <c r="A56" s="321" t="n"/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 t="inlineStr">
        <is>
          <t>Uniform 85% NDR. 1.24x entry. 50/50 sev split. ARR capped at $24M per fix.</t>
        </is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 t="n">
        <v>24</v>
      </c>
      <c r="C5" s="396" t="n">
        <v>1.24</v>
      </c>
      <c r="D5" s="397">
        <f>B5*C5</f>
        <v/>
      </c>
      <c r="E5" s="398">
        <f>B5*0.1154*0.5</f>
        <v/>
      </c>
      <c r="F5" s="399">
        <f>D5-E5</f>
        <v/>
      </c>
      <c r="G5" s="400" t="n">
        <v>0.85</v>
      </c>
      <c r="H5" s="401" t="n">
        <v>0</v>
      </c>
      <c r="I5" s="400" t="inlineStr">
        <is>
          <t>M4</t>
        </is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 t="n">
        <v>24</v>
      </c>
      <c r="C6" s="396" t="n">
        <v>1.24</v>
      </c>
      <c r="D6" s="397">
        <f>B6*C6</f>
        <v/>
      </c>
      <c r="E6" s="398">
        <f>B6*0.1154*0.5</f>
        <v/>
      </c>
      <c r="F6" s="399">
        <f>D6-E6</f>
        <v/>
      </c>
      <c r="G6" s="400" t="n">
        <v>0.85</v>
      </c>
      <c r="H6" s="401" t="n">
        <v>0</v>
      </c>
      <c r="I6" s="400" t="inlineStr">
        <is>
          <t>M7</t>
        </is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 t="n">
        <v>24</v>
      </c>
      <c r="C7" s="396" t="n">
        <v>1.24</v>
      </c>
      <c r="D7" s="397">
        <f>B7*C7</f>
        <v/>
      </c>
      <c r="E7" s="398">
        <f>B7*0.1154*0.5</f>
        <v/>
      </c>
      <c r="F7" s="399">
        <f>D7-E7</f>
        <v/>
      </c>
      <c r="G7" s="400" t="n">
        <v>0.85</v>
      </c>
      <c r="H7" s="401" t="n">
        <v>0</v>
      </c>
      <c r="I7" s="400" t="inlineStr">
        <is>
          <t>M10</t>
        </is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 t="n">
        <v>24</v>
      </c>
      <c r="C8" s="396" t="n">
        <v>1.24</v>
      </c>
      <c r="D8" s="397">
        <f>B8*C8</f>
        <v/>
      </c>
      <c r="E8" s="398">
        <f>B8*0.1154*0.5</f>
        <v/>
      </c>
      <c r="F8" s="399">
        <f>D8-E8</f>
        <v/>
      </c>
      <c r="G8" s="400" t="n">
        <v>0.85</v>
      </c>
      <c r="H8" s="401" t="n">
        <v>0</v>
      </c>
      <c r="I8" s="400" t="inlineStr">
        <is>
          <t>M12</t>
        </is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 t="n">
        <v>24</v>
      </c>
      <c r="C9" s="396" t="n">
        <v>1.24</v>
      </c>
      <c r="D9" s="397">
        <f>B9*C9</f>
        <v/>
      </c>
      <c r="E9" s="398">
        <f>B9*0.1154*0.5</f>
        <v/>
      </c>
      <c r="F9" s="399">
        <f>D9-E9</f>
        <v/>
      </c>
      <c r="G9" s="400" t="n">
        <v>0.85</v>
      </c>
      <c r="H9" s="401" t="n">
        <v>0</v>
      </c>
      <c r="I9" s="400" t="inlineStr">
        <is>
          <t>M16</t>
        </is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 t="n">
        <v>24</v>
      </c>
      <c r="C15" s="396" t="n">
        <v>1</v>
      </c>
      <c r="D15" s="433">
        <f>B15*C15</f>
        <v/>
      </c>
      <c r="E15" s="398">
        <f>B15*0.1154*0.5</f>
        <v/>
      </c>
      <c r="F15" s="434">
        <f>D15-E15</f>
        <v/>
      </c>
      <c r="G15" s="400" t="n">
        <v>0.85</v>
      </c>
      <c r="H15" s="401" t="n">
        <v>0</v>
      </c>
      <c r="I15" s="400" t="inlineStr">
        <is>
          <t>M24</t>
        </is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 t="n">
        <v>24</v>
      </c>
      <c r="C16" s="396" t="n">
        <v>1</v>
      </c>
      <c r="D16" s="433">
        <f>B16*C16</f>
        <v/>
      </c>
      <c r="E16" s="398">
        <f>B16*0.1154*0.5</f>
        <v/>
      </c>
      <c r="F16" s="434">
        <f>D16-E16</f>
        <v/>
      </c>
      <c r="G16" s="400" t="n">
        <v>0.85</v>
      </c>
      <c r="H16" s="401" t="n">
        <v>0</v>
      </c>
      <c r="I16" s="400" t="inlineStr">
        <is>
          <t>M28</t>
        </is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 t="n">
        <v>24</v>
      </c>
      <c r="C17" s="396" t="n">
        <v>0.9</v>
      </c>
      <c r="D17" s="433">
        <f>B17*C17</f>
        <v/>
      </c>
      <c r="E17" s="398">
        <f>B17*0.1154*0.5</f>
        <v/>
      </c>
      <c r="F17" s="434">
        <f>D17-E17</f>
        <v/>
      </c>
      <c r="G17" s="400" t="n">
        <v>0.85</v>
      </c>
      <c r="H17" s="401" t="n">
        <v>0</v>
      </c>
      <c r="I17" s="400" t="inlineStr">
        <is>
          <t>M32</t>
        </is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 t="n">
        <v>24</v>
      </c>
      <c r="C18" s="396" t="n">
        <v>0.8</v>
      </c>
      <c r="D18" s="433">
        <f>B18*C18</f>
        <v/>
      </c>
      <c r="E18" s="398">
        <f>B18*0.1154*0.5</f>
        <v/>
      </c>
      <c r="F18" s="434">
        <f>D18-E18</f>
        <v/>
      </c>
      <c r="G18" s="400" t="n">
        <v>0.85</v>
      </c>
      <c r="H18" s="401" t="n">
        <v>0</v>
      </c>
      <c r="I18" s="400" t="inlineStr">
        <is>
          <t>M36</t>
        </is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>
        <v>-0.4</v>
      </c>
      <c r="B40" s="443" t="n">
        <v>0.9</v>
      </c>
      <c r="C40" s="444" t="n">
        <v>0.75</v>
      </c>
      <c r="D40" s="444" t="n">
        <v>0.6</v>
      </c>
      <c r="E40" s="444" t="n">
        <v>0.55</v>
      </c>
      <c r="F40" s="444" t="n">
        <v>0.5</v>
      </c>
      <c r="G40" s="444" t="n">
        <v>0.5</v>
      </c>
      <c r="H40" s="444" t="n">
        <v>0.5</v>
      </c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 t="n">
        <v>0</v>
      </c>
      <c r="C13" s="465" t="n">
        <v>0</v>
      </c>
      <c r="D13" s="465" t="n">
        <v>0</v>
      </c>
      <c r="E13" s="465" t="n">
        <v>2.1333</v>
      </c>
      <c r="F13" s="465" t="n">
        <v>2.1046</v>
      </c>
      <c r="G13" s="465" t="n">
        <v>2.0763</v>
      </c>
      <c r="H13" s="465" t="n">
        <v>4.3151</v>
      </c>
      <c r="I13" s="465" t="n">
        <v>4.257</v>
      </c>
      <c r="J13" s="465" t="n">
        <v>4.1997</v>
      </c>
      <c r="K13" s="465" t="n">
        <v>6.6516</v>
      </c>
      <c r="L13" s="465" t="n">
        <v>6.5621</v>
      </c>
      <c r="M13" s="465" t="n">
        <v>8.640499999999999</v>
      </c>
      <c r="N13" s="466" t="n">
        <v>8.5243</v>
      </c>
      <c r="O13" s="466" t="n">
        <v>8.409599999999999</v>
      </c>
      <c r="P13" s="466" t="n">
        <v>8.2965</v>
      </c>
      <c r="Q13" s="466" t="n">
        <v>10.3015</v>
      </c>
      <c r="R13" s="466" t="n">
        <v>10.163</v>
      </c>
      <c r="S13" s="466" t="n">
        <v>10.0263</v>
      </c>
      <c r="T13" s="466" t="n">
        <v>9.891400000000001</v>
      </c>
      <c r="U13" s="466" t="n">
        <v>9.7583</v>
      </c>
      <c r="V13" s="466" t="n">
        <v>9.6271</v>
      </c>
      <c r="W13" s="466" t="n">
        <v>9.4976</v>
      </c>
      <c r="X13" s="466" t="n">
        <v>9.3698</v>
      </c>
      <c r="Y13" s="466" t="n">
        <v>9.2438</v>
      </c>
      <c r="Z13" s="465" t="n">
        <v>9.119400000000001</v>
      </c>
      <c r="AA13" s="465" t="n">
        <v>8.996700000000001</v>
      </c>
      <c r="AB13" s="465" t="n">
        <v>8.8757</v>
      </c>
      <c r="AC13" s="465" t="n">
        <v>8.7563</v>
      </c>
      <c r="AD13" s="465" t="n">
        <v>8.638500000000001</v>
      </c>
      <c r="AE13" s="465" t="n">
        <v>8.5223</v>
      </c>
      <c r="AF13" s="465" t="n">
        <v>8.4077</v>
      </c>
      <c r="AG13" s="465" t="n">
        <v>8.294600000000001</v>
      </c>
      <c r="AH13" s="465" t="n">
        <v>8.183</v>
      </c>
      <c r="AI13" s="465" t="n">
        <v>8.072900000000001</v>
      </c>
      <c r="AJ13" s="465" t="n">
        <v>7.9643</v>
      </c>
      <c r="AK13" s="465" t="n">
        <v>7.8572</v>
      </c>
      <c r="AL13" s="466" t="n">
        <v>7.7515</v>
      </c>
      <c r="AM13" s="466" t="n">
        <v>7.6472</v>
      </c>
      <c r="AN13" s="466" t="n">
        <v>7.5444</v>
      </c>
      <c r="AO13" s="466" t="n">
        <v>7.4429</v>
      </c>
      <c r="AP13" s="466" t="n">
        <v>7.3427</v>
      </c>
      <c r="AQ13" s="466" t="n">
        <v>7.244</v>
      </c>
      <c r="AR13" s="466" t="n">
        <v>7.1465</v>
      </c>
      <c r="AS13" s="466" t="n">
        <v>7.0504</v>
      </c>
      <c r="AT13" s="466" t="n">
        <v>6.9555</v>
      </c>
      <c r="AU13" s="466" t="n">
        <v>6.862</v>
      </c>
      <c r="AV13" s="466" t="n">
        <v>6.7697</v>
      </c>
      <c r="AW13" s="466" t="n">
        <v>6.6786</v>
      </c>
      <c r="AX13" s="465" t="n">
        <v>6.5888</v>
      </c>
      <c r="AY13" s="465" t="n">
        <v>6.5001</v>
      </c>
      <c r="AZ13" s="465" t="n">
        <v>6.4127</v>
      </c>
      <c r="BA13" s="465" t="n">
        <v>6.3264</v>
      </c>
      <c r="BB13" s="465" t="n">
        <v>6.2413</v>
      </c>
      <c r="BC13" s="465" t="n">
        <v>6.1574</v>
      </c>
      <c r="BD13" s="465" t="n">
        <v>6.0745</v>
      </c>
      <c r="BE13" s="465" t="n">
        <v>5.9928</v>
      </c>
      <c r="BF13" s="465" t="n">
        <v>5.9122</v>
      </c>
      <c r="BG13" s="465" t="n">
        <v>5.8327</v>
      </c>
      <c r="BH13" s="465" t="n">
        <v>5.7542</v>
      </c>
      <c r="BI13" s="465" t="n">
        <v>5.6768</v>
      </c>
      <c r="BJ13" s="466" t="n">
        <v>5.6005</v>
      </c>
      <c r="BK13" s="466" t="n">
        <v>5.5251</v>
      </c>
      <c r="BL13" s="466" t="n">
        <v>5.4508</v>
      </c>
      <c r="BM13" s="466" t="n">
        <v>5.3775</v>
      </c>
      <c r="BN13" s="466" t="n">
        <v>5.3051</v>
      </c>
      <c r="BO13" s="466" t="n">
        <v>5.2338</v>
      </c>
      <c r="BP13" s="466" t="n">
        <v>5.1634</v>
      </c>
      <c r="BQ13" s="466" t="n">
        <v>5.0939</v>
      </c>
      <c r="BR13" s="466" t="n">
        <v>5.0254</v>
      </c>
      <c r="BS13" s="466" t="n">
        <v>4.9578</v>
      </c>
      <c r="BT13" s="466" t="n">
        <v>4.8911</v>
      </c>
      <c r="BU13" s="466" t="n">
        <v>4.8253</v>
      </c>
      <c r="BV13" s="465" t="n">
        <v>4.7604</v>
      </c>
      <c r="BW13" s="465" t="n">
        <v>4.6963</v>
      </c>
      <c r="BX13" s="465" t="n">
        <v>4.6332</v>
      </c>
      <c r="BY13" s="465" t="n">
        <v>4.5708</v>
      </c>
      <c r="BZ13" s="465" t="n">
        <v>4.5094</v>
      </c>
      <c r="CA13" s="465" t="n">
        <v>4.4487</v>
      </c>
      <c r="CB13" s="465" t="n">
        <v>4.3889</v>
      </c>
      <c r="CC13" s="465" t="n">
        <v>4.3298</v>
      </c>
      <c r="CD13" s="465" t="n">
        <v>4.2716</v>
      </c>
      <c r="CE13" s="465" t="n">
        <v>4.2141</v>
      </c>
      <c r="CF13" s="465" t="n">
        <v>4.1574</v>
      </c>
      <c r="CG13" s="465" t="n">
        <v>4.1015</v>
      </c>
      <c r="CH13" s="466" t="n">
        <v>4.0463</v>
      </c>
      <c r="CI13" s="466" t="n">
        <v>3.9919</v>
      </c>
      <c r="CJ13" s="466" t="n">
        <v>3.9382</v>
      </c>
      <c r="CK13" s="466" t="n">
        <v>3.8852</v>
      </c>
      <c r="CL13" s="466" t="n">
        <v>3.833</v>
      </c>
      <c r="CM13" s="466" t="n">
        <v>3.7814</v>
      </c>
      <c r="CN13" s="466" t="n">
        <v>3.7305</v>
      </c>
      <c r="CO13" s="466" t="n">
        <v>3.6803</v>
      </c>
      <c r="CP13" s="466" t="n">
        <v>3.6308</v>
      </c>
      <c r="CQ13" s="466" t="n">
        <v>3.582</v>
      </c>
      <c r="CR13" s="466" t="n">
        <v>3.5338</v>
      </c>
      <c r="CS13" s="466" t="n">
        <v>3.4863</v>
      </c>
      <c r="CT13" s="465" t="n">
        <v>3.4394</v>
      </c>
      <c r="CU13" s="465" t="n">
        <v>3.3931</v>
      </c>
      <c r="CV13" s="465" t="n">
        <v>3.3475</v>
      </c>
      <c r="CW13" s="465" t="n">
        <v>3.3024</v>
      </c>
      <c r="CX13" s="465" t="n">
        <v>3.258</v>
      </c>
      <c r="CY13" s="465" t="n">
        <v>3.2142</v>
      </c>
      <c r="CZ13" s="465" t="n">
        <v>3.171</v>
      </c>
      <c r="DA13" s="465" t="n">
        <v>3.1283</v>
      </c>
      <c r="DB13" s="465" t="n">
        <v>3.0862</v>
      </c>
      <c r="DC13" s="465" t="n">
        <v>3.0447</v>
      </c>
      <c r="DD13" s="465" t="n">
        <v>3.0037</v>
      </c>
      <c r="DE13" s="465" t="n">
        <v>2.9633</v>
      </c>
      <c r="DF13" s="466" t="n">
        <v>2.9235</v>
      </c>
      <c r="DG13" s="466" t="n">
        <v>2.8841</v>
      </c>
      <c r="DH13" s="466" t="n">
        <v>2.8453</v>
      </c>
      <c r="DI13" s="466" t="n">
        <v>2.8071</v>
      </c>
      <c r="DJ13" s="466" t="n">
        <v>2.7693</v>
      </c>
      <c r="DK13" s="466" t="n">
        <v>2.7321</v>
      </c>
      <c r="DL13" s="466" t="n">
        <v>2.6953</v>
      </c>
      <c r="DM13" s="466" t="n">
        <v>2.6591</v>
      </c>
      <c r="DN13" s="466" t="n">
        <v>2.6233</v>
      </c>
      <c r="DO13" s="466" t="n">
        <v>2.588</v>
      </c>
      <c r="DP13" s="466" t="n">
        <v>2.5532</v>
      </c>
      <c r="DQ13" s="466" t="n">
        <v>2.5188</v>
      </c>
      <c r="DR13" s="465" t="n">
        <v>2.485</v>
      </c>
      <c r="DS13" s="465" t="n">
        <v>2.4515</v>
      </c>
      <c r="DT13" s="465" t="n">
        <v>2.4185</v>
      </c>
      <c r="DU13" s="465" t="n">
        <v>2.386</v>
      </c>
      <c r="DV13" s="465" t="n">
        <v>2.3539</v>
      </c>
      <c r="DW13" s="465" t="n">
        <v>2.3223</v>
      </c>
      <c r="DX13" s="465" t="n">
        <v>2.291</v>
      </c>
      <c r="DY13" s="465" t="n">
        <v>2.2602</v>
      </c>
      <c r="DZ13" s="465" t="n">
        <v>2.2298</v>
      </c>
      <c r="EA13" s="465" t="n">
        <v>2.1998</v>
      </c>
      <c r="EB13" s="465" t="n">
        <v>2.1702</v>
      </c>
      <c r="EC13" s="465" t="n">
        <v>2.141</v>
      </c>
      <c r="ED13" s="466" t="n">
        <v>2.1122</v>
      </c>
      <c r="EE13" s="466" t="n">
        <v>2.0838</v>
      </c>
      <c r="EF13" s="466" t="n">
        <v>2.0558</v>
      </c>
      <c r="EG13" s="466" t="n">
        <v>2.0281</v>
      </c>
      <c r="EH13" s="466" t="n">
        <v>2.0008</v>
      </c>
      <c r="EI13" s="466" t="n">
        <v>1.9739</v>
      </c>
      <c r="EJ13" s="466" t="n">
        <v>1.9474</v>
      </c>
      <c r="EK13" s="466" t="n">
        <v>1.9212</v>
      </c>
      <c r="EL13" s="466" t="n">
        <v>1.8953</v>
      </c>
      <c r="EM13" s="466" t="n">
        <v>1.8698</v>
      </c>
      <c r="EN13" s="466" t="n">
        <v>1.8447</v>
      </c>
      <c r="EO13" s="466" t="n">
        <v>1.8199</v>
      </c>
      <c r="EP13" s="465" t="n">
        <v>1.7954</v>
      </c>
      <c r="EQ13" s="465" t="n">
        <v>1.7712</v>
      </c>
      <c r="ER13" s="465" t="n">
        <v>1.7474</v>
      </c>
      <c r="ES13" s="465" t="n">
        <v>1.7239</v>
      </c>
      <c r="ET13" s="465" t="n">
        <v>1.7007</v>
      </c>
      <c r="EU13" s="465" t="n">
        <v>1.6778</v>
      </c>
      <c r="EV13" s="465" t="n">
        <v>1.6553</v>
      </c>
      <c r="EW13" s="465" t="n">
        <v>1.633</v>
      </c>
      <c r="EX13" s="465" t="n">
        <v>1.611</v>
      </c>
      <c r="EY13" s="465" t="n">
        <v>1.5894</v>
      </c>
      <c r="EZ13" s="465" t="n">
        <v>1.568</v>
      </c>
      <c r="FA13" s="465" t="n">
        <v>1.5469</v>
      </c>
      <c r="FB13" s="466" t="n">
        <v>1.5261</v>
      </c>
      <c r="FC13" s="466" t="n">
        <v>1.5055</v>
      </c>
      <c r="FD13" s="466" t="n">
        <v>1.4853</v>
      </c>
      <c r="FE13" s="466" t="n">
        <v>1.4653</v>
      </c>
      <c r="FF13" s="466" t="n">
        <v>1.4456</v>
      </c>
      <c r="FG13" s="466" t="n">
        <v>1.4262</v>
      </c>
      <c r="FH13" s="466" t="n">
        <v>1.407</v>
      </c>
      <c r="FI13" s="466" t="n">
        <v>1.388</v>
      </c>
      <c r="FJ13" s="466" t="n">
        <v>1.3694</v>
      </c>
      <c r="FK13" s="466" t="n">
        <v>1.3509</v>
      </c>
      <c r="FL13" s="466" t="n">
        <v>1.3328</v>
      </c>
      <c r="FM13" s="466" t="n">
        <v>1.3148</v>
      </c>
      <c r="FN13" s="465" t="n">
        <v>1.2972</v>
      </c>
      <c r="FO13" s="465" t="n">
        <v>1.2797</v>
      </c>
      <c r="FP13" s="465" t="n">
        <v>1.2625</v>
      </c>
      <c r="FQ13" s="465" t="n">
        <v>1.2455</v>
      </c>
      <c r="FR13" s="465" t="n">
        <v>1.2288</v>
      </c>
      <c r="FS13" s="465" t="n">
        <v>1.2122</v>
      </c>
      <c r="FT13" s="465" t="n">
        <v>1.1959</v>
      </c>
      <c r="FU13" s="465" t="n">
        <v>1.1798</v>
      </c>
      <c r="FV13" s="465" t="n">
        <v>1.164</v>
      </c>
      <c r="FW13" s="465" t="n">
        <v>1.1483</v>
      </c>
      <c r="FX13" s="465" t="n">
        <v>1.1329</v>
      </c>
      <c r="FY13" s="465" t="n">
        <v>1.1176</v>
      </c>
      <c r="FZ13" s="306" t="n"/>
    </row>
    <row r="14" ht="15" customHeight="1" s="307">
      <c r="A14" s="321" t="inlineStr">
        <is>
          <t xml:space="preserve">    Cost of Goods Sold</t>
        </is>
      </c>
      <c r="B14" s="458" t="n">
        <v>0</v>
      </c>
      <c r="C14" s="458" t="n">
        <v>0</v>
      </c>
      <c r="D14" s="458" t="n">
        <v>0</v>
      </c>
      <c r="E14" s="458" t="n">
        <v>0.5333</v>
      </c>
      <c r="F14" s="458" t="n">
        <v>0.4735</v>
      </c>
      <c r="G14" s="458" t="n">
        <v>0.4153</v>
      </c>
      <c r="H14" s="458" t="n">
        <v>0.9251</v>
      </c>
      <c r="I14" s="458" t="n">
        <v>0.8063</v>
      </c>
      <c r="J14" s="458" t="n">
        <v>0.6904</v>
      </c>
      <c r="K14" s="458" t="n">
        <v>1.2046</v>
      </c>
      <c r="L14" s="458" t="n">
        <v>1.0729</v>
      </c>
      <c r="M14" s="458" t="n">
        <v>1.4861</v>
      </c>
      <c r="N14" s="459" t="n">
        <v>1.3003</v>
      </c>
      <c r="O14" s="459" t="n">
        <v>1.1706</v>
      </c>
      <c r="P14" s="459" t="n">
        <v>1.0443</v>
      </c>
      <c r="Q14" s="459" t="n">
        <v>1.4503</v>
      </c>
      <c r="R14" s="459" t="n">
        <v>1.3279</v>
      </c>
      <c r="S14" s="459" t="n">
        <v>1.2086</v>
      </c>
      <c r="T14" s="459" t="n">
        <v>1.1416</v>
      </c>
      <c r="U14" s="459" t="n">
        <v>1.0761</v>
      </c>
      <c r="V14" s="459" t="n">
        <v>1.0122</v>
      </c>
      <c r="W14" s="459" t="n">
        <v>0.9498</v>
      </c>
      <c r="X14" s="459" t="n">
        <v>0.9370000000000001</v>
      </c>
      <c r="Y14" s="459" t="n">
        <v>0.9244</v>
      </c>
      <c r="Z14" s="458" t="n">
        <v>0.9119</v>
      </c>
      <c r="AA14" s="458" t="n">
        <v>0.8997000000000001</v>
      </c>
      <c r="AB14" s="458" t="n">
        <v>0.8875999999999999</v>
      </c>
      <c r="AC14" s="458" t="n">
        <v>0.8756</v>
      </c>
      <c r="AD14" s="458" t="n">
        <v>0.8639</v>
      </c>
      <c r="AE14" s="458" t="n">
        <v>0.8522</v>
      </c>
      <c r="AF14" s="458" t="n">
        <v>0.8408</v>
      </c>
      <c r="AG14" s="458" t="n">
        <v>0.8295</v>
      </c>
      <c r="AH14" s="458" t="n">
        <v>0.8183</v>
      </c>
      <c r="AI14" s="458" t="n">
        <v>0.8073</v>
      </c>
      <c r="AJ14" s="458" t="n">
        <v>0.7964</v>
      </c>
      <c r="AK14" s="458" t="n">
        <v>0.7857</v>
      </c>
      <c r="AL14" s="459" t="n">
        <v>0.7751</v>
      </c>
      <c r="AM14" s="459" t="n">
        <v>0.7647</v>
      </c>
      <c r="AN14" s="459" t="n">
        <v>0.7544</v>
      </c>
      <c r="AO14" s="459" t="n">
        <v>0.7443</v>
      </c>
      <c r="AP14" s="459" t="n">
        <v>0.7343</v>
      </c>
      <c r="AQ14" s="459" t="n">
        <v>0.7244</v>
      </c>
      <c r="AR14" s="459" t="n">
        <v>0.7147</v>
      </c>
      <c r="AS14" s="459" t="n">
        <v>0.705</v>
      </c>
      <c r="AT14" s="459" t="n">
        <v>0.6956</v>
      </c>
      <c r="AU14" s="459" t="n">
        <v>0.6862</v>
      </c>
      <c r="AV14" s="459" t="n">
        <v>0.677</v>
      </c>
      <c r="AW14" s="459" t="n">
        <v>0.6679</v>
      </c>
      <c r="AX14" s="458" t="n">
        <v>0.6589</v>
      </c>
      <c r="AY14" s="458" t="n">
        <v>0.65</v>
      </c>
      <c r="AZ14" s="458" t="n">
        <v>0.6413</v>
      </c>
      <c r="BA14" s="458" t="n">
        <v>0.6326000000000001</v>
      </c>
      <c r="BB14" s="458" t="n">
        <v>0.6241</v>
      </c>
      <c r="BC14" s="458" t="n">
        <v>0.6157</v>
      </c>
      <c r="BD14" s="458" t="n">
        <v>0.6075</v>
      </c>
      <c r="BE14" s="458" t="n">
        <v>0.5993000000000001</v>
      </c>
      <c r="BF14" s="458" t="n">
        <v>0.5911999999999999</v>
      </c>
      <c r="BG14" s="458" t="n">
        <v>0.5833</v>
      </c>
      <c r="BH14" s="458" t="n">
        <v>0.5754</v>
      </c>
      <c r="BI14" s="458" t="n">
        <v>0.5677</v>
      </c>
      <c r="BJ14" s="459" t="n">
        <v>0.5600000000000001</v>
      </c>
      <c r="BK14" s="459" t="n">
        <v>0.5525</v>
      </c>
      <c r="BL14" s="459" t="n">
        <v>0.5451</v>
      </c>
      <c r="BM14" s="459" t="n">
        <v>0.5377</v>
      </c>
      <c r="BN14" s="459" t="n">
        <v>0.5305</v>
      </c>
      <c r="BO14" s="459" t="n">
        <v>0.5234</v>
      </c>
      <c r="BP14" s="459" t="n">
        <v>0.5163</v>
      </c>
      <c r="BQ14" s="459" t="n">
        <v>0.5094</v>
      </c>
      <c r="BR14" s="459" t="n">
        <v>0.5024999999999999</v>
      </c>
      <c r="BS14" s="459" t="n">
        <v>0.4958</v>
      </c>
      <c r="BT14" s="459" t="n">
        <v>0.4891</v>
      </c>
      <c r="BU14" s="459" t="n">
        <v>0.4825</v>
      </c>
      <c r="BV14" s="458" t="n">
        <v>0.476</v>
      </c>
      <c r="BW14" s="458" t="n">
        <v>0.4696</v>
      </c>
      <c r="BX14" s="458" t="n">
        <v>0.4633</v>
      </c>
      <c r="BY14" s="458" t="n">
        <v>0.4571</v>
      </c>
      <c r="BZ14" s="458" t="n">
        <v>0.4509</v>
      </c>
      <c r="CA14" s="458" t="n">
        <v>0.4449</v>
      </c>
      <c r="CB14" s="458" t="n">
        <v>0.4389</v>
      </c>
      <c r="CC14" s="458" t="n">
        <v>0.433</v>
      </c>
      <c r="CD14" s="458" t="n">
        <v>0.4272</v>
      </c>
      <c r="CE14" s="458" t="n">
        <v>0.4214</v>
      </c>
      <c r="CF14" s="458" t="n">
        <v>0.4157</v>
      </c>
      <c r="CG14" s="458" t="n">
        <v>0.4102</v>
      </c>
      <c r="CH14" s="459" t="n">
        <v>0.4046</v>
      </c>
      <c r="CI14" s="459" t="n">
        <v>0.3992</v>
      </c>
      <c r="CJ14" s="459" t="n">
        <v>0.3938</v>
      </c>
      <c r="CK14" s="459" t="n">
        <v>0.3885</v>
      </c>
      <c r="CL14" s="459" t="n">
        <v>0.3833</v>
      </c>
      <c r="CM14" s="459" t="n">
        <v>0.3781</v>
      </c>
      <c r="CN14" s="459" t="n">
        <v>0.3731</v>
      </c>
      <c r="CO14" s="459" t="n">
        <v>0.368</v>
      </c>
      <c r="CP14" s="459" t="n">
        <v>0.3631</v>
      </c>
      <c r="CQ14" s="459" t="n">
        <v>0.3582</v>
      </c>
      <c r="CR14" s="459" t="n">
        <v>0.3534</v>
      </c>
      <c r="CS14" s="459" t="n">
        <v>0.3486</v>
      </c>
      <c r="CT14" s="458" t="n">
        <v>0.3439</v>
      </c>
      <c r="CU14" s="458" t="n">
        <v>0.3393</v>
      </c>
      <c r="CV14" s="458" t="n">
        <v>0.3347</v>
      </c>
      <c r="CW14" s="458" t="n">
        <v>0.3302</v>
      </c>
      <c r="CX14" s="458" t="n">
        <v>0.3258</v>
      </c>
      <c r="CY14" s="458" t="n">
        <v>0.3214</v>
      </c>
      <c r="CZ14" s="458" t="n">
        <v>0.3171</v>
      </c>
      <c r="DA14" s="458" t="n">
        <v>0.3128</v>
      </c>
      <c r="DB14" s="458" t="n">
        <v>0.3086</v>
      </c>
      <c r="DC14" s="458" t="n">
        <v>0.3045</v>
      </c>
      <c r="DD14" s="458" t="n">
        <v>0.3004</v>
      </c>
      <c r="DE14" s="458" t="n">
        <v>0.2963</v>
      </c>
      <c r="DF14" s="459" t="n">
        <v>0.2923</v>
      </c>
      <c r="DG14" s="459" t="n">
        <v>0.2884</v>
      </c>
      <c r="DH14" s="459" t="n">
        <v>0.2845</v>
      </c>
      <c r="DI14" s="459" t="n">
        <v>0.2807</v>
      </c>
      <c r="DJ14" s="459" t="n">
        <v>0.2769</v>
      </c>
      <c r="DK14" s="459" t="n">
        <v>0.2732</v>
      </c>
      <c r="DL14" s="459" t="n">
        <v>0.2695</v>
      </c>
      <c r="DM14" s="459" t="n">
        <v>0.2659</v>
      </c>
      <c r="DN14" s="459" t="n">
        <v>0.2623</v>
      </c>
      <c r="DO14" s="459" t="n">
        <v>0.2588</v>
      </c>
      <c r="DP14" s="459" t="n">
        <v>0.2553</v>
      </c>
      <c r="DQ14" s="459" t="n">
        <v>0.2519</v>
      </c>
      <c r="DR14" s="458" t="n">
        <v>0.2485</v>
      </c>
      <c r="DS14" s="458" t="n">
        <v>0.2452</v>
      </c>
      <c r="DT14" s="458" t="n">
        <v>0.2419</v>
      </c>
      <c r="DU14" s="458" t="n">
        <v>0.2386</v>
      </c>
      <c r="DV14" s="458" t="n">
        <v>0.2354</v>
      </c>
      <c r="DW14" s="458" t="n">
        <v>0.2322</v>
      </c>
      <c r="DX14" s="458" t="n">
        <v>0.2291</v>
      </c>
      <c r="DY14" s="458" t="n">
        <v>0.226</v>
      </c>
      <c r="DZ14" s="458" t="n">
        <v>0.223</v>
      </c>
      <c r="EA14" s="458" t="n">
        <v>0.22</v>
      </c>
      <c r="EB14" s="458" t="n">
        <v>0.217</v>
      </c>
      <c r="EC14" s="458" t="n">
        <v>0.2141</v>
      </c>
      <c r="ED14" s="459" t="n">
        <v>0.2112</v>
      </c>
      <c r="EE14" s="459" t="n">
        <v>0.2084</v>
      </c>
      <c r="EF14" s="459" t="n">
        <v>0.2056</v>
      </c>
      <c r="EG14" s="459" t="n">
        <v>0.2028</v>
      </c>
      <c r="EH14" s="459" t="n">
        <v>0.2001</v>
      </c>
      <c r="EI14" s="459" t="n">
        <v>0.1974</v>
      </c>
      <c r="EJ14" s="459" t="n">
        <v>0.1947</v>
      </c>
      <c r="EK14" s="459" t="n">
        <v>0.1921</v>
      </c>
      <c r="EL14" s="459" t="n">
        <v>0.1895</v>
      </c>
      <c r="EM14" s="459" t="n">
        <v>0.187</v>
      </c>
      <c r="EN14" s="459" t="n">
        <v>0.1845</v>
      </c>
      <c r="EO14" s="459" t="n">
        <v>0.182</v>
      </c>
      <c r="EP14" s="458" t="n">
        <v>0.1795</v>
      </c>
      <c r="EQ14" s="458" t="n">
        <v>0.1771</v>
      </c>
      <c r="ER14" s="458" t="n">
        <v>0.1747</v>
      </c>
      <c r="ES14" s="458" t="n">
        <v>0.1724</v>
      </c>
      <c r="ET14" s="458" t="n">
        <v>0.1701</v>
      </c>
      <c r="EU14" s="458" t="n">
        <v>0.1678</v>
      </c>
      <c r="EV14" s="458" t="n">
        <v>0.1655</v>
      </c>
      <c r="EW14" s="458" t="n">
        <v>0.1633</v>
      </c>
      <c r="EX14" s="458" t="n">
        <v>0.1611</v>
      </c>
      <c r="EY14" s="458" t="n">
        <v>0.1589</v>
      </c>
      <c r="EZ14" s="458" t="n">
        <v>0.1568</v>
      </c>
      <c r="FA14" s="458" t="n">
        <v>0.1547</v>
      </c>
      <c r="FB14" s="459" t="n">
        <v>0.1526</v>
      </c>
      <c r="FC14" s="459" t="n">
        <v>0.1506</v>
      </c>
      <c r="FD14" s="459" t="n">
        <v>0.1485</v>
      </c>
      <c r="FE14" s="459" t="n">
        <v>0.1465</v>
      </c>
      <c r="FF14" s="459" t="n">
        <v>0.1446</v>
      </c>
      <c r="FG14" s="459" t="n">
        <v>0.1426</v>
      </c>
      <c r="FH14" s="459" t="n">
        <v>0.1407</v>
      </c>
      <c r="FI14" s="459" t="n">
        <v>0.1388</v>
      </c>
      <c r="FJ14" s="459" t="n">
        <v>0.1369</v>
      </c>
      <c r="FK14" s="459" t="n">
        <v>0.1351</v>
      </c>
      <c r="FL14" s="459" t="n">
        <v>0.1333</v>
      </c>
      <c r="FM14" s="459" t="n">
        <v>0.1315</v>
      </c>
      <c r="FN14" s="458" t="n">
        <v>0.1297</v>
      </c>
      <c r="FO14" s="458" t="n">
        <v>0.128</v>
      </c>
      <c r="FP14" s="458" t="n">
        <v>0.1262</v>
      </c>
      <c r="FQ14" s="458" t="n">
        <v>0.1246</v>
      </c>
      <c r="FR14" s="458" t="n">
        <v>0.1229</v>
      </c>
      <c r="FS14" s="458" t="n">
        <v>0.1212</v>
      </c>
      <c r="FT14" s="458" t="n">
        <v>0.1196</v>
      </c>
      <c r="FU14" s="458" t="n">
        <v>0.118</v>
      </c>
      <c r="FV14" s="458" t="n">
        <v>0.1164</v>
      </c>
      <c r="FW14" s="458" t="n">
        <v>0.1148</v>
      </c>
      <c r="FX14" s="458" t="n">
        <v>0.1133</v>
      </c>
      <c r="FY14" s="458" t="n">
        <v>0.1118</v>
      </c>
      <c r="FZ14" s="306" t="n"/>
    </row>
    <row r="15" ht="15" customHeight="1" s="307">
      <c r="A15" s="468" t="inlineStr">
        <is>
          <t>Gross Profit</t>
        </is>
      </c>
      <c r="B15" s="469" t="n">
        <v>0</v>
      </c>
      <c r="C15" s="469" t="n">
        <v>0</v>
      </c>
      <c r="D15" s="469" t="n">
        <v>0</v>
      </c>
      <c r="E15" s="469" t="n">
        <v>1.6</v>
      </c>
      <c r="F15" s="469" t="n">
        <v>1.6311</v>
      </c>
      <c r="G15" s="469" t="n">
        <v>1.6611</v>
      </c>
      <c r="H15" s="469" t="n">
        <v>3.3899</v>
      </c>
      <c r="I15" s="469" t="n">
        <v>3.4507</v>
      </c>
      <c r="J15" s="469" t="n">
        <v>3.5093</v>
      </c>
      <c r="K15" s="469" t="n">
        <v>5.4469</v>
      </c>
      <c r="L15" s="469" t="n">
        <v>5.4892</v>
      </c>
      <c r="M15" s="469" t="n">
        <v>7.1544</v>
      </c>
      <c r="N15" s="470" t="n">
        <v>7.224</v>
      </c>
      <c r="O15" s="470" t="n">
        <v>7.239</v>
      </c>
      <c r="P15" s="470" t="n">
        <v>7.2522</v>
      </c>
      <c r="Q15" s="470" t="n">
        <v>8.8513</v>
      </c>
      <c r="R15" s="470" t="n">
        <v>8.835000000000001</v>
      </c>
      <c r="S15" s="470" t="n">
        <v>8.817600000000001</v>
      </c>
      <c r="T15" s="470" t="n">
        <v>8.7498</v>
      </c>
      <c r="U15" s="470" t="n">
        <v>8.6822</v>
      </c>
      <c r="V15" s="470" t="n">
        <v>8.6149</v>
      </c>
      <c r="W15" s="470" t="n">
        <v>8.547800000000001</v>
      </c>
      <c r="X15" s="470" t="n">
        <v>8.4328</v>
      </c>
      <c r="Y15" s="470" t="n">
        <v>8.3194</v>
      </c>
      <c r="Z15" s="469" t="n">
        <v>8.2075</v>
      </c>
      <c r="AA15" s="469" t="n">
        <v>8.097099999999999</v>
      </c>
      <c r="AB15" s="469" t="n">
        <v>7.9881</v>
      </c>
      <c r="AC15" s="469" t="n">
        <v>7.8807</v>
      </c>
      <c r="AD15" s="469" t="n">
        <v>7.7747</v>
      </c>
      <c r="AE15" s="469" t="n">
        <v>7.6701</v>
      </c>
      <c r="AF15" s="469" t="n">
        <v>7.5669</v>
      </c>
      <c r="AG15" s="469" t="n">
        <v>7.4651</v>
      </c>
      <c r="AH15" s="469" t="n">
        <v>7.3647</v>
      </c>
      <c r="AI15" s="469" t="n">
        <v>7.2656</v>
      </c>
      <c r="AJ15" s="469" t="n">
        <v>7.1679</v>
      </c>
      <c r="AK15" s="469" t="n">
        <v>7.0715</v>
      </c>
      <c r="AL15" s="470" t="n">
        <v>6.9763</v>
      </c>
      <c r="AM15" s="470" t="n">
        <v>6.8825</v>
      </c>
      <c r="AN15" s="470" t="n">
        <v>6.7899</v>
      </c>
      <c r="AO15" s="470" t="n">
        <v>6.6986</v>
      </c>
      <c r="AP15" s="470" t="n">
        <v>6.6085</v>
      </c>
      <c r="AQ15" s="470" t="n">
        <v>6.5196</v>
      </c>
      <c r="AR15" s="470" t="n">
        <v>6.4319</v>
      </c>
      <c r="AS15" s="470" t="n">
        <v>6.3454</v>
      </c>
      <c r="AT15" s="470" t="n">
        <v>6.26</v>
      </c>
      <c r="AU15" s="470" t="n">
        <v>6.1758</v>
      </c>
      <c r="AV15" s="470" t="n">
        <v>6.0927</v>
      </c>
      <c r="AW15" s="470" t="n">
        <v>6.0107</v>
      </c>
      <c r="AX15" s="469" t="n">
        <v>5.9299</v>
      </c>
      <c r="AY15" s="469" t="n">
        <v>5.8501</v>
      </c>
      <c r="AZ15" s="469" t="n">
        <v>5.7714</v>
      </c>
      <c r="BA15" s="469" t="n">
        <v>5.6938</v>
      </c>
      <c r="BB15" s="469" t="n">
        <v>5.6172</v>
      </c>
      <c r="BC15" s="469" t="n">
        <v>5.5416</v>
      </c>
      <c r="BD15" s="469" t="n">
        <v>5.4671</v>
      </c>
      <c r="BE15" s="469" t="n">
        <v>5.3935</v>
      </c>
      <c r="BF15" s="469" t="n">
        <v>5.321</v>
      </c>
      <c r="BG15" s="469" t="n">
        <v>5.2494</v>
      </c>
      <c r="BH15" s="469" t="n">
        <v>5.1788</v>
      </c>
      <c r="BI15" s="469" t="n">
        <v>5.1091</v>
      </c>
      <c r="BJ15" s="470" t="n">
        <v>5.0404</v>
      </c>
      <c r="BK15" s="470" t="n">
        <v>4.9726</v>
      </c>
      <c r="BL15" s="470" t="n">
        <v>4.9057</v>
      </c>
      <c r="BM15" s="470" t="n">
        <v>4.8397</v>
      </c>
      <c r="BN15" s="470" t="n">
        <v>4.7746</v>
      </c>
      <c r="BO15" s="470" t="n">
        <v>4.7104</v>
      </c>
      <c r="BP15" s="470" t="n">
        <v>4.647</v>
      </c>
      <c r="BQ15" s="470" t="n">
        <v>4.5845</v>
      </c>
      <c r="BR15" s="470" t="n">
        <v>4.5228</v>
      </c>
      <c r="BS15" s="470" t="n">
        <v>4.462</v>
      </c>
      <c r="BT15" s="470" t="n">
        <v>4.402</v>
      </c>
      <c r="BU15" s="470" t="n">
        <v>4.3428</v>
      </c>
      <c r="BV15" s="469" t="n">
        <v>4.2843</v>
      </c>
      <c r="BW15" s="469" t="n">
        <v>4.2267</v>
      </c>
      <c r="BX15" s="469" t="n">
        <v>4.1699</v>
      </c>
      <c r="BY15" s="469" t="n">
        <v>4.1138</v>
      </c>
      <c r="BZ15" s="469" t="n">
        <v>4.0584</v>
      </c>
      <c r="CA15" s="469" t="n">
        <v>4.0038</v>
      </c>
      <c r="CB15" s="469" t="n">
        <v>3.95</v>
      </c>
      <c r="CC15" s="469" t="n">
        <v>3.8968</v>
      </c>
      <c r="CD15" s="469" t="n">
        <v>3.8444</v>
      </c>
      <c r="CE15" s="469" t="n">
        <v>3.7927</v>
      </c>
      <c r="CF15" s="469" t="n">
        <v>3.7417</v>
      </c>
      <c r="CG15" s="469" t="n">
        <v>3.6914</v>
      </c>
      <c r="CH15" s="470" t="n">
        <v>3.6417</v>
      </c>
      <c r="CI15" s="470" t="n">
        <v>3.5927</v>
      </c>
      <c r="CJ15" s="470" t="n">
        <v>3.5444</v>
      </c>
      <c r="CK15" s="470" t="n">
        <v>3.4967</v>
      </c>
      <c r="CL15" s="470" t="n">
        <v>3.4497</v>
      </c>
      <c r="CM15" s="470" t="n">
        <v>3.4033</v>
      </c>
      <c r="CN15" s="470" t="n">
        <v>3.3575</v>
      </c>
      <c r="CO15" s="470" t="n">
        <v>3.3123</v>
      </c>
      <c r="CP15" s="470" t="n">
        <v>3.2678</v>
      </c>
      <c r="CQ15" s="470" t="n">
        <v>3.2238</v>
      </c>
      <c r="CR15" s="470" t="n">
        <v>3.1804</v>
      </c>
      <c r="CS15" s="470" t="n">
        <v>3.1376</v>
      </c>
      <c r="CT15" s="469" t="n">
        <v>3.0954</v>
      </c>
      <c r="CU15" s="469" t="n">
        <v>3.0538</v>
      </c>
      <c r="CV15" s="469" t="n">
        <v>3.0127</v>
      </c>
      <c r="CW15" s="469" t="n">
        <v>2.9722</v>
      </c>
      <c r="CX15" s="469" t="n">
        <v>2.9322</v>
      </c>
      <c r="CY15" s="469" t="n">
        <v>2.8928</v>
      </c>
      <c r="CZ15" s="469" t="n">
        <v>2.8539</v>
      </c>
      <c r="DA15" s="469" t="n">
        <v>2.8155</v>
      </c>
      <c r="DB15" s="469" t="n">
        <v>2.7776</v>
      </c>
      <c r="DC15" s="469" t="n">
        <v>2.7402</v>
      </c>
      <c r="DD15" s="469" t="n">
        <v>2.7034</v>
      </c>
      <c r="DE15" s="469" t="n">
        <v>2.667</v>
      </c>
      <c r="DF15" s="470" t="n">
        <v>2.6311</v>
      </c>
      <c r="DG15" s="470" t="n">
        <v>2.5957</v>
      </c>
      <c r="DH15" s="470" t="n">
        <v>2.5608</v>
      </c>
      <c r="DI15" s="470" t="n">
        <v>2.5264</v>
      </c>
      <c r="DJ15" s="470" t="n">
        <v>2.4924</v>
      </c>
      <c r="DK15" s="470" t="n">
        <v>2.4589</v>
      </c>
      <c r="DL15" s="470" t="n">
        <v>2.4258</v>
      </c>
      <c r="DM15" s="470" t="n">
        <v>2.3931</v>
      </c>
      <c r="DN15" s="470" t="n">
        <v>2.361</v>
      </c>
      <c r="DO15" s="470" t="n">
        <v>2.3292</v>
      </c>
      <c r="DP15" s="470" t="n">
        <v>2.2979</v>
      </c>
      <c r="DQ15" s="470" t="n">
        <v>2.267</v>
      </c>
      <c r="DR15" s="469" t="n">
        <v>2.2365</v>
      </c>
      <c r="DS15" s="469" t="n">
        <v>2.2064</v>
      </c>
      <c r="DT15" s="469" t="n">
        <v>2.1767</v>
      </c>
      <c r="DU15" s="469" t="n">
        <v>2.1474</v>
      </c>
      <c r="DV15" s="469" t="n">
        <v>2.1185</v>
      </c>
      <c r="DW15" s="469" t="n">
        <v>2.09</v>
      </c>
      <c r="DX15" s="469" t="n">
        <v>2.0619</v>
      </c>
      <c r="DY15" s="469" t="n">
        <v>2.0342</v>
      </c>
      <c r="DZ15" s="469" t="n">
        <v>2.0068</v>
      </c>
      <c r="EA15" s="469" t="n">
        <v>1.9798</v>
      </c>
      <c r="EB15" s="469" t="n">
        <v>1.9532</v>
      </c>
      <c r="EC15" s="469" t="n">
        <v>1.9269</v>
      </c>
      <c r="ED15" s="470" t="n">
        <v>1.901</v>
      </c>
      <c r="EE15" s="470" t="n">
        <v>1.8754</v>
      </c>
      <c r="EF15" s="470" t="n">
        <v>1.8502</v>
      </c>
      <c r="EG15" s="470" t="n">
        <v>1.8253</v>
      </c>
      <c r="EH15" s="470" t="n">
        <v>1.8007</v>
      </c>
      <c r="EI15" s="470" t="n">
        <v>1.7765</v>
      </c>
      <c r="EJ15" s="470" t="n">
        <v>1.7526</v>
      </c>
      <c r="EK15" s="470" t="n">
        <v>1.729</v>
      </c>
      <c r="EL15" s="470" t="n">
        <v>1.7058</v>
      </c>
      <c r="EM15" s="470" t="n">
        <v>1.6828</v>
      </c>
      <c r="EN15" s="470" t="n">
        <v>1.6602</v>
      </c>
      <c r="EO15" s="470" t="n">
        <v>1.6379</v>
      </c>
      <c r="EP15" s="469" t="n">
        <v>1.6158</v>
      </c>
      <c r="EQ15" s="469" t="n">
        <v>1.5941</v>
      </c>
      <c r="ER15" s="469" t="n">
        <v>1.5727</v>
      </c>
      <c r="ES15" s="469" t="n">
        <v>1.5515</v>
      </c>
      <c r="ET15" s="469" t="n">
        <v>1.5306</v>
      </c>
      <c r="EU15" s="469" t="n">
        <v>1.51</v>
      </c>
      <c r="EV15" s="469" t="n">
        <v>1.4897</v>
      </c>
      <c r="EW15" s="469" t="n">
        <v>1.4697</v>
      </c>
      <c r="EX15" s="469" t="n">
        <v>1.4499</v>
      </c>
      <c r="EY15" s="469" t="n">
        <v>1.4304</v>
      </c>
      <c r="EZ15" s="469" t="n">
        <v>1.4112</v>
      </c>
      <c r="FA15" s="469" t="n">
        <v>1.3922</v>
      </c>
      <c r="FB15" s="470" t="n">
        <v>1.3735</v>
      </c>
      <c r="FC15" s="470" t="n">
        <v>1.355</v>
      </c>
      <c r="FD15" s="470" t="n">
        <v>1.3368</v>
      </c>
      <c r="FE15" s="470" t="n">
        <v>1.3188</v>
      </c>
      <c r="FF15" s="470" t="n">
        <v>1.301</v>
      </c>
      <c r="FG15" s="470" t="n">
        <v>1.2835</v>
      </c>
      <c r="FH15" s="470" t="n">
        <v>1.2663</v>
      </c>
      <c r="FI15" s="470" t="n">
        <v>1.2492</v>
      </c>
      <c r="FJ15" s="470" t="n">
        <v>1.2324</v>
      </c>
      <c r="FK15" s="470" t="n">
        <v>1.2159</v>
      </c>
      <c r="FL15" s="470" t="n">
        <v>1.1995</v>
      </c>
      <c r="FM15" s="470" t="n">
        <v>1.1834</v>
      </c>
      <c r="FN15" s="469" t="n">
        <v>1.1674</v>
      </c>
      <c r="FO15" s="469" t="n">
        <v>1.1517</v>
      </c>
      <c r="FP15" s="469" t="n">
        <v>1.1362</v>
      </c>
      <c r="FQ15" s="469" t="n">
        <v>1.121</v>
      </c>
      <c r="FR15" s="469" t="n">
        <v>1.1059</v>
      </c>
      <c r="FS15" s="469" t="n">
        <v>1.091</v>
      </c>
      <c r="FT15" s="469" t="n">
        <v>1.0763</v>
      </c>
      <c r="FU15" s="469" t="n">
        <v>1.0619</v>
      </c>
      <c r="FV15" s="469" t="n">
        <v>1.0476</v>
      </c>
      <c r="FW15" s="469" t="n">
        <v>1.0335</v>
      </c>
      <c r="FX15" s="469" t="n">
        <v>1.0196</v>
      </c>
      <c r="FY15" s="469" t="n">
        <v>1.0059</v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 t="n">
        <v>0</v>
      </c>
      <c r="C17" s="458" t="n">
        <v>0</v>
      </c>
      <c r="D17" s="458" t="n">
        <v>0</v>
      </c>
      <c r="E17" s="458" t="n">
        <v>0.2133</v>
      </c>
      <c r="F17" s="458" t="n">
        <v>0.1929</v>
      </c>
      <c r="G17" s="458" t="n">
        <v>0.173</v>
      </c>
      <c r="H17" s="458" t="n">
        <v>0.3803</v>
      </c>
      <c r="I17" s="458" t="n">
        <v>0.3397</v>
      </c>
      <c r="J17" s="458" t="n">
        <v>0.3001</v>
      </c>
      <c r="K17" s="458" t="n">
        <v>0.5124</v>
      </c>
      <c r="L17" s="458" t="n">
        <v>0.467</v>
      </c>
      <c r="M17" s="458" t="n">
        <v>0.6394</v>
      </c>
      <c r="N17" s="459" t="n">
        <v>0.5755</v>
      </c>
      <c r="O17" s="459" t="n">
        <v>0.5304</v>
      </c>
      <c r="P17" s="459" t="n">
        <v>0.4864</v>
      </c>
      <c r="Q17" s="459" t="n">
        <v>0.6551</v>
      </c>
      <c r="R17" s="459" t="n">
        <v>0.612</v>
      </c>
      <c r="S17" s="459" t="n">
        <v>0.57</v>
      </c>
      <c r="T17" s="459" t="n">
        <v>0.5454</v>
      </c>
      <c r="U17" s="459" t="n">
        <v>0.5213</v>
      </c>
      <c r="V17" s="459" t="n">
        <v>0.4978</v>
      </c>
      <c r="W17" s="459" t="n">
        <v>0.4749</v>
      </c>
      <c r="X17" s="459" t="n">
        <v>0.4685</v>
      </c>
      <c r="Y17" s="459" t="n">
        <v>0.4622</v>
      </c>
      <c r="Z17" s="458" t="n">
        <v>0.456</v>
      </c>
      <c r="AA17" s="458" t="n">
        <v>0.4498</v>
      </c>
      <c r="AB17" s="458" t="n">
        <v>0.4438</v>
      </c>
      <c r="AC17" s="458" t="n">
        <v>0.4378</v>
      </c>
      <c r="AD17" s="458" t="n">
        <v>0.4319</v>
      </c>
      <c r="AE17" s="458" t="n">
        <v>0.4261</v>
      </c>
      <c r="AF17" s="458" t="n">
        <v>0.4204</v>
      </c>
      <c r="AG17" s="458" t="n">
        <v>0.4147</v>
      </c>
      <c r="AH17" s="458" t="n">
        <v>0.4091</v>
      </c>
      <c r="AI17" s="458" t="n">
        <v>0.4036</v>
      </c>
      <c r="AJ17" s="458" t="n">
        <v>0.3982</v>
      </c>
      <c r="AK17" s="458" t="n">
        <v>0.3929</v>
      </c>
      <c r="AL17" s="459" t="n">
        <v>0.3876</v>
      </c>
      <c r="AM17" s="459" t="n">
        <v>0.3824</v>
      </c>
      <c r="AN17" s="459" t="n">
        <v>0.3772</v>
      </c>
      <c r="AO17" s="459" t="n">
        <v>0.3721</v>
      </c>
      <c r="AP17" s="459" t="n">
        <v>0.3671</v>
      </c>
      <c r="AQ17" s="459" t="n">
        <v>0.3622</v>
      </c>
      <c r="AR17" s="459" t="n">
        <v>0.3573</v>
      </c>
      <c r="AS17" s="459" t="n">
        <v>0.3525</v>
      </c>
      <c r="AT17" s="459" t="n">
        <v>0.3478</v>
      </c>
      <c r="AU17" s="459" t="n">
        <v>0.3431</v>
      </c>
      <c r="AV17" s="459" t="n">
        <v>0.3385</v>
      </c>
      <c r="AW17" s="459" t="n">
        <v>0.3339</v>
      </c>
      <c r="AX17" s="458" t="n">
        <v>0.3294</v>
      </c>
      <c r="AY17" s="458" t="n">
        <v>0.325</v>
      </c>
      <c r="AZ17" s="458" t="n">
        <v>0.3206</v>
      </c>
      <c r="BA17" s="458" t="n">
        <v>0.3163</v>
      </c>
      <c r="BB17" s="458" t="n">
        <v>0.3121</v>
      </c>
      <c r="BC17" s="458" t="n">
        <v>0.3079</v>
      </c>
      <c r="BD17" s="458" t="n">
        <v>0.3037</v>
      </c>
      <c r="BE17" s="458" t="n">
        <v>0.2996</v>
      </c>
      <c r="BF17" s="458" t="n">
        <v>0.2956</v>
      </c>
      <c r="BG17" s="458" t="n">
        <v>0.2916</v>
      </c>
      <c r="BH17" s="458" t="n">
        <v>0.2877</v>
      </c>
      <c r="BI17" s="458" t="n">
        <v>0.2838</v>
      </c>
      <c r="BJ17" s="459" t="n">
        <v>0.28</v>
      </c>
      <c r="BK17" s="459" t="n">
        <v>0.2763</v>
      </c>
      <c r="BL17" s="459" t="n">
        <v>0.2725</v>
      </c>
      <c r="BM17" s="459" t="n">
        <v>0.2689</v>
      </c>
      <c r="BN17" s="459" t="n">
        <v>0.2653</v>
      </c>
      <c r="BO17" s="459" t="n">
        <v>0.2617</v>
      </c>
      <c r="BP17" s="459" t="n">
        <v>0.2582</v>
      </c>
      <c r="BQ17" s="459" t="n">
        <v>0.2547</v>
      </c>
      <c r="BR17" s="459" t="n">
        <v>0.2513</v>
      </c>
      <c r="BS17" s="459" t="n">
        <v>0.2479</v>
      </c>
      <c r="BT17" s="459" t="n">
        <v>0.2446</v>
      </c>
      <c r="BU17" s="459" t="n">
        <v>0.2413</v>
      </c>
      <c r="BV17" s="458" t="n">
        <v>0.238</v>
      </c>
      <c r="BW17" s="458" t="n">
        <v>0.2348</v>
      </c>
      <c r="BX17" s="458" t="n">
        <v>0.2317</v>
      </c>
      <c r="BY17" s="458" t="n">
        <v>0.2285</v>
      </c>
      <c r="BZ17" s="458" t="n">
        <v>0.2255</v>
      </c>
      <c r="CA17" s="458" t="n">
        <v>0.2224</v>
      </c>
      <c r="CB17" s="458" t="n">
        <v>0.2194</v>
      </c>
      <c r="CC17" s="458" t="n">
        <v>0.2165</v>
      </c>
      <c r="CD17" s="458" t="n">
        <v>0.2136</v>
      </c>
      <c r="CE17" s="458" t="n">
        <v>0.2107</v>
      </c>
      <c r="CF17" s="458" t="n">
        <v>0.2079</v>
      </c>
      <c r="CG17" s="458" t="n">
        <v>0.2051</v>
      </c>
      <c r="CH17" s="459" t="n">
        <v>0.2023</v>
      </c>
      <c r="CI17" s="459" t="n">
        <v>0.1996</v>
      </c>
      <c r="CJ17" s="459" t="n">
        <v>0.1969</v>
      </c>
      <c r="CK17" s="459" t="n">
        <v>0.1943</v>
      </c>
      <c r="CL17" s="459" t="n">
        <v>0.1916</v>
      </c>
      <c r="CM17" s="459" t="n">
        <v>0.1891</v>
      </c>
      <c r="CN17" s="459" t="n">
        <v>0.1865</v>
      </c>
      <c r="CO17" s="459" t="n">
        <v>0.184</v>
      </c>
      <c r="CP17" s="459" t="n">
        <v>0.1815</v>
      </c>
      <c r="CQ17" s="459" t="n">
        <v>0.1791</v>
      </c>
      <c r="CR17" s="459" t="n">
        <v>0.1767</v>
      </c>
      <c r="CS17" s="459" t="n">
        <v>0.1743</v>
      </c>
      <c r="CT17" s="458" t="n">
        <v>0.172</v>
      </c>
      <c r="CU17" s="458" t="n">
        <v>0.1697</v>
      </c>
      <c r="CV17" s="458" t="n">
        <v>0.1674</v>
      </c>
      <c r="CW17" s="458" t="n">
        <v>0.1651</v>
      </c>
      <c r="CX17" s="458" t="n">
        <v>0.1629</v>
      </c>
      <c r="CY17" s="458" t="n">
        <v>0.1607</v>
      </c>
      <c r="CZ17" s="458" t="n">
        <v>0.1585</v>
      </c>
      <c r="DA17" s="458" t="n">
        <v>0.1564</v>
      </c>
      <c r="DB17" s="458" t="n">
        <v>0.1543</v>
      </c>
      <c r="DC17" s="458" t="n">
        <v>0.1522</v>
      </c>
      <c r="DD17" s="458" t="n">
        <v>0.1502</v>
      </c>
      <c r="DE17" s="458" t="n">
        <v>0.1482</v>
      </c>
      <c r="DF17" s="459" t="n">
        <v>0.1462</v>
      </c>
      <c r="DG17" s="459" t="n">
        <v>0.1442</v>
      </c>
      <c r="DH17" s="459" t="n">
        <v>0.1423</v>
      </c>
      <c r="DI17" s="459" t="n">
        <v>0.1404</v>
      </c>
      <c r="DJ17" s="459" t="n">
        <v>0.1385</v>
      </c>
      <c r="DK17" s="459" t="n">
        <v>0.1366</v>
      </c>
      <c r="DL17" s="459" t="n">
        <v>0.1348</v>
      </c>
      <c r="DM17" s="459" t="n">
        <v>0.133</v>
      </c>
      <c r="DN17" s="459" t="n">
        <v>0.1312</v>
      </c>
      <c r="DO17" s="459" t="n">
        <v>0.1294</v>
      </c>
      <c r="DP17" s="459" t="n">
        <v>0.1277</v>
      </c>
      <c r="DQ17" s="459" t="n">
        <v>0.1259</v>
      </c>
      <c r="DR17" s="458" t="n">
        <v>0.1242</v>
      </c>
      <c r="DS17" s="458" t="n">
        <v>0.1226</v>
      </c>
      <c r="DT17" s="458" t="n">
        <v>0.1209</v>
      </c>
      <c r="DU17" s="458" t="n">
        <v>0.1193</v>
      </c>
      <c r="DV17" s="458" t="n">
        <v>0.1177</v>
      </c>
      <c r="DW17" s="458" t="n">
        <v>0.1161</v>
      </c>
      <c r="DX17" s="458" t="n">
        <v>0.1146</v>
      </c>
      <c r="DY17" s="458" t="n">
        <v>0.113</v>
      </c>
      <c r="DZ17" s="458" t="n">
        <v>0.1115</v>
      </c>
      <c r="EA17" s="458" t="n">
        <v>0.11</v>
      </c>
      <c r="EB17" s="458" t="n">
        <v>0.1085</v>
      </c>
      <c r="EC17" s="458" t="n">
        <v>0.1071</v>
      </c>
      <c r="ED17" s="459" t="n">
        <v>0.1056</v>
      </c>
      <c r="EE17" s="459" t="n">
        <v>0.1042</v>
      </c>
      <c r="EF17" s="459" t="n">
        <v>0.1028</v>
      </c>
      <c r="EG17" s="459" t="n">
        <v>0.1014</v>
      </c>
      <c r="EH17" s="459" t="n">
        <v>0.1</v>
      </c>
      <c r="EI17" s="459" t="n">
        <v>0.0987</v>
      </c>
      <c r="EJ17" s="459" t="n">
        <v>0.0974</v>
      </c>
      <c r="EK17" s="459" t="n">
        <v>0.0961</v>
      </c>
      <c r="EL17" s="459" t="n">
        <v>0.0948</v>
      </c>
      <c r="EM17" s="459" t="n">
        <v>0.0935</v>
      </c>
      <c r="EN17" s="459" t="n">
        <v>0.0922</v>
      </c>
      <c r="EO17" s="459" t="n">
        <v>0.091</v>
      </c>
      <c r="EP17" s="458" t="n">
        <v>0.0898</v>
      </c>
      <c r="EQ17" s="458" t="n">
        <v>0.0886</v>
      </c>
      <c r="ER17" s="458" t="n">
        <v>0.08740000000000001</v>
      </c>
      <c r="ES17" s="458" t="n">
        <v>0.0862</v>
      </c>
      <c r="ET17" s="458" t="n">
        <v>0.08500000000000001</v>
      </c>
      <c r="EU17" s="458" t="n">
        <v>0.0839</v>
      </c>
      <c r="EV17" s="458" t="n">
        <v>0.0828</v>
      </c>
      <c r="EW17" s="458" t="n">
        <v>0.08160000000000001</v>
      </c>
      <c r="EX17" s="458" t="n">
        <v>0.0806</v>
      </c>
      <c r="EY17" s="458" t="n">
        <v>0.0795</v>
      </c>
      <c r="EZ17" s="458" t="n">
        <v>0.0784</v>
      </c>
      <c r="FA17" s="458" t="n">
        <v>0.07729999999999999</v>
      </c>
      <c r="FB17" s="459" t="n">
        <v>0.07630000000000001</v>
      </c>
      <c r="FC17" s="459" t="n">
        <v>0.07530000000000001</v>
      </c>
      <c r="FD17" s="459" t="n">
        <v>0.0743</v>
      </c>
      <c r="FE17" s="459" t="n">
        <v>0.0733</v>
      </c>
      <c r="FF17" s="459" t="n">
        <v>0.0723</v>
      </c>
      <c r="FG17" s="459" t="n">
        <v>0.0713</v>
      </c>
      <c r="FH17" s="459" t="n">
        <v>0.0703</v>
      </c>
      <c r="FI17" s="459" t="n">
        <v>0.0694</v>
      </c>
      <c r="FJ17" s="459" t="n">
        <v>0.06850000000000001</v>
      </c>
      <c r="FK17" s="459" t="n">
        <v>0.0675</v>
      </c>
      <c r="FL17" s="459" t="n">
        <v>0.06660000000000001</v>
      </c>
      <c r="FM17" s="459" t="n">
        <v>0.06569999999999999</v>
      </c>
      <c r="FN17" s="458" t="n">
        <v>0.0649</v>
      </c>
      <c r="FO17" s="458" t="n">
        <v>0.064</v>
      </c>
      <c r="FP17" s="458" t="n">
        <v>0.0631</v>
      </c>
      <c r="FQ17" s="458" t="n">
        <v>0.0623</v>
      </c>
      <c r="FR17" s="458" t="n">
        <v>0.0614</v>
      </c>
      <c r="FS17" s="458" t="n">
        <v>0.0606</v>
      </c>
      <c r="FT17" s="458" t="n">
        <v>0.0598</v>
      </c>
      <c r="FU17" s="458" t="n">
        <v>0.059</v>
      </c>
      <c r="FV17" s="458" t="n">
        <v>0.0582</v>
      </c>
      <c r="FW17" s="458" t="n">
        <v>0.0574</v>
      </c>
      <c r="FX17" s="458" t="n">
        <v>0.0566</v>
      </c>
      <c r="FY17" s="458" t="n">
        <v>0.0559</v>
      </c>
      <c r="FZ17" s="306" t="n"/>
    </row>
    <row r="18" ht="15" customHeight="1" s="307">
      <c r="A18" s="321" t="inlineStr">
        <is>
          <t xml:space="preserve">    Corporate Allocation</t>
        </is>
      </c>
      <c r="B18" s="458" t="n">
        <v>0</v>
      </c>
      <c r="C18" s="458" t="n">
        <v>0</v>
      </c>
      <c r="D18" s="458" t="n">
        <v>0</v>
      </c>
      <c r="E18" s="458" t="n">
        <v>0.128</v>
      </c>
      <c r="F18" s="458" t="n">
        <v>0.1263</v>
      </c>
      <c r="G18" s="458" t="n">
        <v>0.1246</v>
      </c>
      <c r="H18" s="458" t="n">
        <v>0.2589</v>
      </c>
      <c r="I18" s="458" t="n">
        <v>0.2554</v>
      </c>
      <c r="J18" s="458" t="n">
        <v>0.252</v>
      </c>
      <c r="K18" s="458" t="n">
        <v>0.3991</v>
      </c>
      <c r="L18" s="458" t="n">
        <v>0.3937</v>
      </c>
      <c r="M18" s="458" t="n">
        <v>0.5184</v>
      </c>
      <c r="N18" s="459" t="n">
        <v>0.5115</v>
      </c>
      <c r="O18" s="459" t="n">
        <v>0.5046</v>
      </c>
      <c r="P18" s="459" t="n">
        <v>0.4978</v>
      </c>
      <c r="Q18" s="459" t="n">
        <v>0.6181</v>
      </c>
      <c r="R18" s="459" t="n">
        <v>0.6098</v>
      </c>
      <c r="S18" s="459" t="n">
        <v>0.6016</v>
      </c>
      <c r="T18" s="459" t="n">
        <v>0.5935</v>
      </c>
      <c r="U18" s="459" t="n">
        <v>0.5855</v>
      </c>
      <c r="V18" s="459" t="n">
        <v>0.5776</v>
      </c>
      <c r="W18" s="459" t="n">
        <v>0.5699</v>
      </c>
      <c r="X18" s="459" t="n">
        <v>0.5622</v>
      </c>
      <c r="Y18" s="459" t="n">
        <v>0.5546</v>
      </c>
      <c r="Z18" s="458" t="n">
        <v>0.5472</v>
      </c>
      <c r="AA18" s="458" t="n">
        <v>0.5397999999999999</v>
      </c>
      <c r="AB18" s="458" t="n">
        <v>0.5325</v>
      </c>
      <c r="AC18" s="458" t="n">
        <v>0.5254</v>
      </c>
      <c r="AD18" s="458" t="n">
        <v>0.5183</v>
      </c>
      <c r="AE18" s="458" t="n">
        <v>0.5113</v>
      </c>
      <c r="AF18" s="458" t="n">
        <v>0.5044999999999999</v>
      </c>
      <c r="AG18" s="458" t="n">
        <v>0.4977</v>
      </c>
      <c r="AH18" s="458" t="n">
        <v>0.491</v>
      </c>
      <c r="AI18" s="458" t="n">
        <v>0.4844</v>
      </c>
      <c r="AJ18" s="458" t="n">
        <v>0.4779</v>
      </c>
      <c r="AK18" s="458" t="n">
        <v>0.4714</v>
      </c>
      <c r="AL18" s="459" t="n">
        <v>0.4651</v>
      </c>
      <c r="AM18" s="459" t="n">
        <v>0.4588</v>
      </c>
      <c r="AN18" s="459" t="n">
        <v>0.4527</v>
      </c>
      <c r="AO18" s="459" t="n">
        <v>0.4466</v>
      </c>
      <c r="AP18" s="459" t="n">
        <v>0.4406</v>
      </c>
      <c r="AQ18" s="459" t="n">
        <v>0.4346</v>
      </c>
      <c r="AR18" s="459" t="n">
        <v>0.4288</v>
      </c>
      <c r="AS18" s="459" t="n">
        <v>0.423</v>
      </c>
      <c r="AT18" s="459" t="n">
        <v>0.4173</v>
      </c>
      <c r="AU18" s="459" t="n">
        <v>0.4117</v>
      </c>
      <c r="AV18" s="459" t="n">
        <v>0.4062</v>
      </c>
      <c r="AW18" s="459" t="n">
        <v>0.4007</v>
      </c>
      <c r="AX18" s="458" t="n">
        <v>0.3953</v>
      </c>
      <c r="AY18" s="458" t="n">
        <v>0.39</v>
      </c>
      <c r="AZ18" s="458" t="n">
        <v>0.3848</v>
      </c>
      <c r="BA18" s="458" t="n">
        <v>0.3796</v>
      </c>
      <c r="BB18" s="458" t="n">
        <v>0.3745</v>
      </c>
      <c r="BC18" s="458" t="n">
        <v>0.3694</v>
      </c>
      <c r="BD18" s="458" t="n">
        <v>0.3645</v>
      </c>
      <c r="BE18" s="458" t="n">
        <v>0.3596</v>
      </c>
      <c r="BF18" s="458" t="n">
        <v>0.3547</v>
      </c>
      <c r="BG18" s="458" t="n">
        <v>0.35</v>
      </c>
      <c r="BH18" s="458" t="n">
        <v>0.3453</v>
      </c>
      <c r="BI18" s="458" t="n">
        <v>0.3406</v>
      </c>
      <c r="BJ18" s="459" t="n">
        <v>0.336</v>
      </c>
      <c r="BK18" s="459" t="n">
        <v>0.3315</v>
      </c>
      <c r="BL18" s="459" t="n">
        <v>0.327</v>
      </c>
      <c r="BM18" s="459" t="n">
        <v>0.3226</v>
      </c>
      <c r="BN18" s="459" t="n">
        <v>0.3183</v>
      </c>
      <c r="BO18" s="459" t="n">
        <v>0.314</v>
      </c>
      <c r="BP18" s="459" t="n">
        <v>0.3098</v>
      </c>
      <c r="BQ18" s="459" t="n">
        <v>0.3056</v>
      </c>
      <c r="BR18" s="459" t="n">
        <v>0.3015</v>
      </c>
      <c r="BS18" s="459" t="n">
        <v>0.2975</v>
      </c>
      <c r="BT18" s="459" t="n">
        <v>0.2935</v>
      </c>
      <c r="BU18" s="459" t="n">
        <v>0.2895</v>
      </c>
      <c r="BV18" s="458" t="n">
        <v>0.2856</v>
      </c>
      <c r="BW18" s="458" t="n">
        <v>0.2818</v>
      </c>
      <c r="BX18" s="458" t="n">
        <v>0.278</v>
      </c>
      <c r="BY18" s="458" t="n">
        <v>0.2743</v>
      </c>
      <c r="BZ18" s="458" t="n">
        <v>0.2706</v>
      </c>
      <c r="CA18" s="458" t="n">
        <v>0.2669</v>
      </c>
      <c r="CB18" s="458" t="n">
        <v>0.2633</v>
      </c>
      <c r="CC18" s="458" t="n">
        <v>0.2598</v>
      </c>
      <c r="CD18" s="458" t="n">
        <v>0.2563</v>
      </c>
      <c r="CE18" s="458" t="n">
        <v>0.2528</v>
      </c>
      <c r="CF18" s="458" t="n">
        <v>0.2494</v>
      </c>
      <c r="CG18" s="458" t="n">
        <v>0.2461</v>
      </c>
      <c r="CH18" s="459" t="n">
        <v>0.2428</v>
      </c>
      <c r="CI18" s="459" t="n">
        <v>0.2395</v>
      </c>
      <c r="CJ18" s="459" t="n">
        <v>0.2363</v>
      </c>
      <c r="CK18" s="459" t="n">
        <v>0.2331</v>
      </c>
      <c r="CL18" s="459" t="n">
        <v>0.23</v>
      </c>
      <c r="CM18" s="459" t="n">
        <v>0.2269</v>
      </c>
      <c r="CN18" s="459" t="n">
        <v>0.2238</v>
      </c>
      <c r="CO18" s="459" t="n">
        <v>0.2208</v>
      </c>
      <c r="CP18" s="459" t="n">
        <v>0.2179</v>
      </c>
      <c r="CQ18" s="459" t="n">
        <v>0.2149</v>
      </c>
      <c r="CR18" s="459" t="n">
        <v>0.212</v>
      </c>
      <c r="CS18" s="459" t="n">
        <v>0.2092</v>
      </c>
      <c r="CT18" s="458" t="n">
        <v>0.2064</v>
      </c>
      <c r="CU18" s="458" t="n">
        <v>0.2036</v>
      </c>
      <c r="CV18" s="458" t="n">
        <v>0.2008</v>
      </c>
      <c r="CW18" s="458" t="n">
        <v>0.1981</v>
      </c>
      <c r="CX18" s="458" t="n">
        <v>0.1955</v>
      </c>
      <c r="CY18" s="458" t="n">
        <v>0.1929</v>
      </c>
      <c r="CZ18" s="458" t="n">
        <v>0.1903</v>
      </c>
      <c r="DA18" s="458" t="n">
        <v>0.1877</v>
      </c>
      <c r="DB18" s="458" t="n">
        <v>0.1852</v>
      </c>
      <c r="DC18" s="458" t="n">
        <v>0.1827</v>
      </c>
      <c r="DD18" s="458" t="n">
        <v>0.1802</v>
      </c>
      <c r="DE18" s="458" t="n">
        <v>0.1778</v>
      </c>
      <c r="DF18" s="459" t="n">
        <v>0.1754</v>
      </c>
      <c r="DG18" s="459" t="n">
        <v>0.173</v>
      </c>
      <c r="DH18" s="459" t="n">
        <v>0.1707</v>
      </c>
      <c r="DI18" s="459" t="n">
        <v>0.1684</v>
      </c>
      <c r="DJ18" s="459" t="n">
        <v>0.1662</v>
      </c>
      <c r="DK18" s="459" t="n">
        <v>0.1639</v>
      </c>
      <c r="DL18" s="459" t="n">
        <v>0.1617</v>
      </c>
      <c r="DM18" s="459" t="n">
        <v>0.1595</v>
      </c>
      <c r="DN18" s="459" t="n">
        <v>0.1574</v>
      </c>
      <c r="DO18" s="459" t="n">
        <v>0.1553</v>
      </c>
      <c r="DP18" s="459" t="n">
        <v>0.1532</v>
      </c>
      <c r="DQ18" s="459" t="n">
        <v>0.1511</v>
      </c>
      <c r="DR18" s="458" t="n">
        <v>0.1491</v>
      </c>
      <c r="DS18" s="458" t="n">
        <v>0.1471</v>
      </c>
      <c r="DT18" s="458" t="n">
        <v>0.1451</v>
      </c>
      <c r="DU18" s="458" t="n">
        <v>0.1432</v>
      </c>
      <c r="DV18" s="458" t="n">
        <v>0.1412</v>
      </c>
      <c r="DW18" s="458" t="n">
        <v>0.1393</v>
      </c>
      <c r="DX18" s="458" t="n">
        <v>0.1375</v>
      </c>
      <c r="DY18" s="458" t="n">
        <v>0.1356</v>
      </c>
      <c r="DZ18" s="458" t="n">
        <v>0.1338</v>
      </c>
      <c r="EA18" s="458" t="n">
        <v>0.132</v>
      </c>
      <c r="EB18" s="458" t="n">
        <v>0.1302</v>
      </c>
      <c r="EC18" s="458" t="n">
        <v>0.1285</v>
      </c>
      <c r="ED18" s="459" t="n">
        <v>0.1267</v>
      </c>
      <c r="EE18" s="459" t="n">
        <v>0.125</v>
      </c>
      <c r="EF18" s="459" t="n">
        <v>0.1233</v>
      </c>
      <c r="EG18" s="459" t="n">
        <v>0.1217</v>
      </c>
      <c r="EH18" s="459" t="n">
        <v>0.12</v>
      </c>
      <c r="EI18" s="459" t="n">
        <v>0.1184</v>
      </c>
      <c r="EJ18" s="459" t="n">
        <v>0.1168</v>
      </c>
      <c r="EK18" s="459" t="n">
        <v>0.1153</v>
      </c>
      <c r="EL18" s="459" t="n">
        <v>0.1137</v>
      </c>
      <c r="EM18" s="459" t="n">
        <v>0.1122</v>
      </c>
      <c r="EN18" s="459" t="n">
        <v>0.1107</v>
      </c>
      <c r="EO18" s="459" t="n">
        <v>0.1092</v>
      </c>
      <c r="EP18" s="458" t="n">
        <v>0.1077</v>
      </c>
      <c r="EQ18" s="458" t="n">
        <v>0.1063</v>
      </c>
      <c r="ER18" s="458" t="n">
        <v>0.1048</v>
      </c>
      <c r="ES18" s="458" t="n">
        <v>0.1034</v>
      </c>
      <c r="ET18" s="458" t="n">
        <v>0.102</v>
      </c>
      <c r="EU18" s="458" t="n">
        <v>0.1007</v>
      </c>
      <c r="EV18" s="458" t="n">
        <v>0.0993</v>
      </c>
      <c r="EW18" s="458" t="n">
        <v>0.098</v>
      </c>
      <c r="EX18" s="458" t="n">
        <v>0.09669999999999999</v>
      </c>
      <c r="EY18" s="458" t="n">
        <v>0.0954</v>
      </c>
      <c r="EZ18" s="458" t="n">
        <v>0.0941</v>
      </c>
      <c r="FA18" s="458" t="n">
        <v>0.09279999999999999</v>
      </c>
      <c r="FB18" s="459" t="n">
        <v>0.0916</v>
      </c>
      <c r="FC18" s="459" t="n">
        <v>0.09030000000000001</v>
      </c>
      <c r="FD18" s="459" t="n">
        <v>0.0891</v>
      </c>
      <c r="FE18" s="459" t="n">
        <v>0.08790000000000001</v>
      </c>
      <c r="FF18" s="459" t="n">
        <v>0.0867</v>
      </c>
      <c r="FG18" s="459" t="n">
        <v>0.0856</v>
      </c>
      <c r="FH18" s="459" t="n">
        <v>0.0844</v>
      </c>
      <c r="FI18" s="459" t="n">
        <v>0.0833</v>
      </c>
      <c r="FJ18" s="459" t="n">
        <v>0.0822</v>
      </c>
      <c r="FK18" s="459" t="n">
        <v>0.08110000000000001</v>
      </c>
      <c r="FL18" s="459" t="n">
        <v>0.08</v>
      </c>
      <c r="FM18" s="459" t="n">
        <v>0.0789</v>
      </c>
      <c r="FN18" s="458" t="n">
        <v>0.07779999999999999</v>
      </c>
      <c r="FO18" s="458" t="n">
        <v>0.07679999999999999</v>
      </c>
      <c r="FP18" s="458" t="n">
        <v>0.0757</v>
      </c>
      <c r="FQ18" s="458" t="n">
        <v>0.0747</v>
      </c>
      <c r="FR18" s="458" t="n">
        <v>0.0737</v>
      </c>
      <c r="FS18" s="458" t="n">
        <v>0.0727</v>
      </c>
      <c r="FT18" s="458" t="n">
        <v>0.0718</v>
      </c>
      <c r="FU18" s="458" t="n">
        <v>0.0708</v>
      </c>
      <c r="FV18" s="458" t="n">
        <v>0.0698</v>
      </c>
      <c r="FW18" s="458" t="n">
        <v>0.0689</v>
      </c>
      <c r="FX18" s="458" t="n">
        <v>0.068</v>
      </c>
      <c r="FY18" s="458" t="n">
        <v>0.06710000000000001</v>
      </c>
      <c r="FZ18" s="306" t="n"/>
    </row>
    <row r="19" ht="15" customHeight="1" s="307">
      <c r="A19" s="321" t="inlineStr">
        <is>
          <t xml:space="preserve">    Team Compensation</t>
        </is>
      </c>
      <c r="B19" s="458" t="n">
        <v>0.0813</v>
      </c>
      <c r="C19" s="458" t="n">
        <v>0.0813</v>
      </c>
      <c r="D19" s="458" t="n">
        <v>0.0813</v>
      </c>
      <c r="E19" s="458" t="n">
        <v>0.3385</v>
      </c>
      <c r="F19" s="458" t="n">
        <v>0.3385</v>
      </c>
      <c r="G19" s="458" t="n">
        <v>0.3385</v>
      </c>
      <c r="H19" s="458" t="n">
        <v>1.0292</v>
      </c>
      <c r="I19" s="458" t="n">
        <v>0.5417</v>
      </c>
      <c r="J19" s="458" t="n">
        <v>0.5417</v>
      </c>
      <c r="K19" s="458" t="n">
        <v>0.5958</v>
      </c>
      <c r="L19" s="458" t="n">
        <v>0.5958</v>
      </c>
      <c r="M19" s="458" t="n">
        <v>0.6229</v>
      </c>
      <c r="N19" s="459" t="n">
        <v>0.9344</v>
      </c>
      <c r="O19" s="459" t="n">
        <v>0.9344</v>
      </c>
      <c r="P19" s="459" t="n">
        <v>0.9344</v>
      </c>
      <c r="Q19" s="459" t="n">
        <v>0.9547</v>
      </c>
      <c r="R19" s="459" t="n">
        <v>0.9547</v>
      </c>
      <c r="S19" s="459" t="n">
        <v>0.9547</v>
      </c>
      <c r="T19" s="459" t="n">
        <v>0.9547</v>
      </c>
      <c r="U19" s="459" t="n">
        <v>0.9547</v>
      </c>
      <c r="V19" s="459" t="n">
        <v>0.9547</v>
      </c>
      <c r="W19" s="459" t="n">
        <v>0.9547</v>
      </c>
      <c r="X19" s="459" t="n">
        <v>0.9547</v>
      </c>
      <c r="Y19" s="459" t="n">
        <v>0.9547</v>
      </c>
      <c r="Z19" s="458" t="n">
        <v>0.9547</v>
      </c>
      <c r="AA19" s="458" t="n">
        <v>0.9547</v>
      </c>
      <c r="AB19" s="458" t="n">
        <v>0.9547</v>
      </c>
      <c r="AC19" s="458" t="n">
        <v>0.9547</v>
      </c>
      <c r="AD19" s="458" t="n">
        <v>0.9547</v>
      </c>
      <c r="AE19" s="458" t="n">
        <v>0.9547</v>
      </c>
      <c r="AF19" s="458" t="n">
        <v>0.9547</v>
      </c>
      <c r="AG19" s="458" t="n">
        <v>0.9547</v>
      </c>
      <c r="AH19" s="458" t="n">
        <v>0.9547</v>
      </c>
      <c r="AI19" s="458" t="n">
        <v>0.9547</v>
      </c>
      <c r="AJ19" s="458" t="n">
        <v>0.9547</v>
      </c>
      <c r="AK19" s="458" t="n">
        <v>0.9547</v>
      </c>
      <c r="AL19" s="459" t="n">
        <v>0.9547</v>
      </c>
      <c r="AM19" s="459" t="n">
        <v>0.9547</v>
      </c>
      <c r="AN19" s="459" t="n">
        <v>0.9547</v>
      </c>
      <c r="AO19" s="459" t="n">
        <v>0.9547</v>
      </c>
      <c r="AP19" s="459" t="n">
        <v>0.9547</v>
      </c>
      <c r="AQ19" s="459" t="n">
        <v>0.9547</v>
      </c>
      <c r="AR19" s="459" t="n">
        <v>0.9547</v>
      </c>
      <c r="AS19" s="459" t="n">
        <v>0.9547</v>
      </c>
      <c r="AT19" s="459" t="n">
        <v>0.9547</v>
      </c>
      <c r="AU19" s="459" t="n">
        <v>0.9547</v>
      </c>
      <c r="AV19" s="459" t="n">
        <v>0.9547</v>
      </c>
      <c r="AW19" s="459" t="n">
        <v>0.9547</v>
      </c>
      <c r="AX19" s="458" t="n">
        <v>0.9547</v>
      </c>
      <c r="AY19" s="458" t="n">
        <v>0.9547</v>
      </c>
      <c r="AZ19" s="458" t="n">
        <v>0.9547</v>
      </c>
      <c r="BA19" s="458" t="n">
        <v>0.9547</v>
      </c>
      <c r="BB19" s="458" t="n">
        <v>0.9547</v>
      </c>
      <c r="BC19" s="458" t="n">
        <v>0.9547</v>
      </c>
      <c r="BD19" s="458" t="n">
        <v>0.9547</v>
      </c>
      <c r="BE19" s="458" t="n">
        <v>0.9547</v>
      </c>
      <c r="BF19" s="458" t="n">
        <v>0.9547</v>
      </c>
      <c r="BG19" s="458" t="n">
        <v>0.9547</v>
      </c>
      <c r="BH19" s="458" t="n">
        <v>0.9547</v>
      </c>
      <c r="BI19" s="458" t="n">
        <v>0.9547</v>
      </c>
      <c r="BJ19" s="459" t="n">
        <v>0.9547</v>
      </c>
      <c r="BK19" s="459" t="n">
        <v>0.9547</v>
      </c>
      <c r="BL19" s="459" t="n">
        <v>0.9547</v>
      </c>
      <c r="BM19" s="459" t="n">
        <v>0.9547</v>
      </c>
      <c r="BN19" s="459" t="n">
        <v>0.9547</v>
      </c>
      <c r="BO19" s="459" t="n">
        <v>0.9547</v>
      </c>
      <c r="BP19" s="459" t="n">
        <v>0.9547</v>
      </c>
      <c r="BQ19" s="459" t="n">
        <v>0.9547</v>
      </c>
      <c r="BR19" s="459" t="n">
        <v>0.9547</v>
      </c>
      <c r="BS19" s="459" t="n">
        <v>0.9547</v>
      </c>
      <c r="BT19" s="459" t="n">
        <v>0.9547</v>
      </c>
      <c r="BU19" s="459" t="n">
        <v>0.9547</v>
      </c>
      <c r="BV19" s="458" t="n">
        <v>0.9547</v>
      </c>
      <c r="BW19" s="458" t="n">
        <v>0.9547</v>
      </c>
      <c r="BX19" s="458" t="n">
        <v>0.9547</v>
      </c>
      <c r="BY19" s="458" t="n">
        <v>0.9547</v>
      </c>
      <c r="BZ19" s="458" t="n">
        <v>0.9547</v>
      </c>
      <c r="CA19" s="458" t="n">
        <v>0.9547</v>
      </c>
      <c r="CB19" s="458" t="n">
        <v>0.9547</v>
      </c>
      <c r="CC19" s="458" t="n">
        <v>0.9547</v>
      </c>
      <c r="CD19" s="458" t="n">
        <v>0.9547</v>
      </c>
      <c r="CE19" s="458" t="n">
        <v>0.9547</v>
      </c>
      <c r="CF19" s="458" t="n">
        <v>0.9547</v>
      </c>
      <c r="CG19" s="458" t="n">
        <v>0.9547</v>
      </c>
      <c r="CH19" s="459" t="n">
        <v>0.9547</v>
      </c>
      <c r="CI19" s="459" t="n">
        <v>0.9547</v>
      </c>
      <c r="CJ19" s="459" t="n">
        <v>0.9547</v>
      </c>
      <c r="CK19" s="459" t="n">
        <v>0.9547</v>
      </c>
      <c r="CL19" s="459" t="n">
        <v>0.9547</v>
      </c>
      <c r="CM19" s="459" t="n">
        <v>0.9547</v>
      </c>
      <c r="CN19" s="459" t="n">
        <v>0.9547</v>
      </c>
      <c r="CO19" s="459" t="n">
        <v>0.9547</v>
      </c>
      <c r="CP19" s="459" t="n">
        <v>0.9547</v>
      </c>
      <c r="CQ19" s="459" t="n">
        <v>0.9547</v>
      </c>
      <c r="CR19" s="459" t="n">
        <v>0.9547</v>
      </c>
      <c r="CS19" s="459" t="n">
        <v>0.9547</v>
      </c>
      <c r="CT19" s="458" t="n">
        <v>0.9547</v>
      </c>
      <c r="CU19" s="458" t="n">
        <v>0.9547</v>
      </c>
      <c r="CV19" s="458" t="n">
        <v>0.9547</v>
      </c>
      <c r="CW19" s="458" t="n">
        <v>0.9547</v>
      </c>
      <c r="CX19" s="458" t="n">
        <v>0.9547</v>
      </c>
      <c r="CY19" s="458" t="n">
        <v>0.9547</v>
      </c>
      <c r="CZ19" s="458" t="n">
        <v>0.9547</v>
      </c>
      <c r="DA19" s="458" t="n">
        <v>0.9547</v>
      </c>
      <c r="DB19" s="458" t="n">
        <v>0.9547</v>
      </c>
      <c r="DC19" s="458" t="n">
        <v>0.9547</v>
      </c>
      <c r="DD19" s="458" t="n">
        <v>0.9547</v>
      </c>
      <c r="DE19" s="458" t="n">
        <v>0.9547</v>
      </c>
      <c r="DF19" s="459" t="n">
        <v>0.9547</v>
      </c>
      <c r="DG19" s="459" t="n">
        <v>0.9547</v>
      </c>
      <c r="DH19" s="459" t="n">
        <v>0.9547</v>
      </c>
      <c r="DI19" s="459" t="n">
        <v>0.9547</v>
      </c>
      <c r="DJ19" s="459" t="n">
        <v>0.9547</v>
      </c>
      <c r="DK19" s="459" t="n">
        <v>0.9547</v>
      </c>
      <c r="DL19" s="459" t="n">
        <v>0.9547</v>
      </c>
      <c r="DM19" s="459" t="n">
        <v>0.9547</v>
      </c>
      <c r="DN19" s="459" t="n">
        <v>0.9547</v>
      </c>
      <c r="DO19" s="459" t="n">
        <v>0.9547</v>
      </c>
      <c r="DP19" s="459" t="n">
        <v>0.9547</v>
      </c>
      <c r="DQ19" s="459" t="n">
        <v>0.9547</v>
      </c>
      <c r="DR19" s="458" t="n">
        <v>0.9547</v>
      </c>
      <c r="DS19" s="458" t="n">
        <v>0.9547</v>
      </c>
      <c r="DT19" s="458" t="n">
        <v>0.9547</v>
      </c>
      <c r="DU19" s="458" t="n">
        <v>0.9547</v>
      </c>
      <c r="DV19" s="458" t="n">
        <v>0.9547</v>
      </c>
      <c r="DW19" s="458" t="n">
        <v>0.9547</v>
      </c>
      <c r="DX19" s="458" t="n">
        <v>0.9547</v>
      </c>
      <c r="DY19" s="458" t="n">
        <v>0.9547</v>
      </c>
      <c r="DZ19" s="458" t="n">
        <v>0.9547</v>
      </c>
      <c r="EA19" s="458" t="n">
        <v>0.9547</v>
      </c>
      <c r="EB19" s="458" t="n">
        <v>0.9547</v>
      </c>
      <c r="EC19" s="458" t="n">
        <v>0.9547</v>
      </c>
      <c r="ED19" s="459" t="n">
        <v>0.9547</v>
      </c>
      <c r="EE19" s="459" t="n">
        <v>0.9547</v>
      </c>
      <c r="EF19" s="459" t="n">
        <v>0.9547</v>
      </c>
      <c r="EG19" s="459" t="n">
        <v>0.9547</v>
      </c>
      <c r="EH19" s="459" t="n">
        <v>0.9547</v>
      </c>
      <c r="EI19" s="459" t="n">
        <v>0.9547</v>
      </c>
      <c r="EJ19" s="459" t="n">
        <v>0.9547</v>
      </c>
      <c r="EK19" s="459" t="n">
        <v>0.9547</v>
      </c>
      <c r="EL19" s="459" t="n">
        <v>0.9547</v>
      </c>
      <c r="EM19" s="459" t="n">
        <v>0.9547</v>
      </c>
      <c r="EN19" s="459" t="n">
        <v>0.9547</v>
      </c>
      <c r="EO19" s="459" t="n">
        <v>0.9547</v>
      </c>
      <c r="EP19" s="458" t="n">
        <v>0.9547</v>
      </c>
      <c r="EQ19" s="458" t="n">
        <v>0.9547</v>
      </c>
      <c r="ER19" s="458" t="n">
        <v>0.9547</v>
      </c>
      <c r="ES19" s="458" t="n">
        <v>0.9547</v>
      </c>
      <c r="ET19" s="458" t="n">
        <v>0.9547</v>
      </c>
      <c r="EU19" s="458" t="n">
        <v>0.9547</v>
      </c>
      <c r="EV19" s="458" t="n">
        <v>0.9547</v>
      </c>
      <c r="EW19" s="458" t="n">
        <v>0.9547</v>
      </c>
      <c r="EX19" s="458" t="n">
        <v>0.9547</v>
      </c>
      <c r="EY19" s="458" t="n">
        <v>0.9547</v>
      </c>
      <c r="EZ19" s="458" t="n">
        <v>0.9547</v>
      </c>
      <c r="FA19" s="458" t="n">
        <v>0.9547</v>
      </c>
      <c r="FB19" s="459" t="n">
        <v>0.9547</v>
      </c>
      <c r="FC19" s="459" t="n">
        <v>0.9547</v>
      </c>
      <c r="FD19" s="459" t="n">
        <v>0.9547</v>
      </c>
      <c r="FE19" s="459" t="n">
        <v>0.9547</v>
      </c>
      <c r="FF19" s="459" t="n">
        <v>0.9547</v>
      </c>
      <c r="FG19" s="459" t="n">
        <v>0.9547</v>
      </c>
      <c r="FH19" s="459" t="n">
        <v>0.9547</v>
      </c>
      <c r="FI19" s="459" t="n">
        <v>0.9547</v>
      </c>
      <c r="FJ19" s="459" t="n">
        <v>0.9547</v>
      </c>
      <c r="FK19" s="459" t="n">
        <v>0.9547</v>
      </c>
      <c r="FL19" s="459" t="n">
        <v>0.9547</v>
      </c>
      <c r="FM19" s="459" t="n">
        <v>0.9547</v>
      </c>
      <c r="FN19" s="458" t="n">
        <v>0.9547</v>
      </c>
      <c r="FO19" s="458" t="n">
        <v>0.9547</v>
      </c>
      <c r="FP19" s="458" t="n">
        <v>0.9547</v>
      </c>
      <c r="FQ19" s="458" t="n">
        <v>0.9547</v>
      </c>
      <c r="FR19" s="458" t="n">
        <v>0.9547</v>
      </c>
      <c r="FS19" s="458" t="n">
        <v>0.9547</v>
      </c>
      <c r="FT19" s="458" t="n">
        <v>0.9547</v>
      </c>
      <c r="FU19" s="458" t="n">
        <v>0.9547</v>
      </c>
      <c r="FV19" s="458" t="n">
        <v>0.9547</v>
      </c>
      <c r="FW19" s="458" t="n">
        <v>0.9547</v>
      </c>
      <c r="FX19" s="458" t="n">
        <v>0.9547</v>
      </c>
      <c r="FY19" s="458" t="n">
        <v>0.9547</v>
      </c>
      <c r="FZ19" s="306" t="n"/>
    </row>
    <row r="20" ht="15" customHeight="1" s="307">
      <c r="A20" s="321" t="inlineStr">
        <is>
          <t xml:space="preserve">    Legacy Headcount Expenses</t>
        </is>
      </c>
      <c r="B20" s="458" t="n">
        <v>0</v>
      </c>
      <c r="C20" s="458" t="n">
        <v>0</v>
      </c>
      <c r="D20" s="458" t="n">
        <v>0</v>
      </c>
      <c r="E20" s="458" t="n">
        <v>1.2587</v>
      </c>
      <c r="F20" s="458" t="n">
        <v>1.0927</v>
      </c>
      <c r="G20" s="458" t="n">
        <v>0.9308999999999999</v>
      </c>
      <c r="H20" s="458" t="n">
        <v>2.1106</v>
      </c>
      <c r="I20" s="458" t="n">
        <v>1.7807</v>
      </c>
      <c r="J20" s="458" t="n">
        <v>1.4592</v>
      </c>
      <c r="K20" s="458" t="n">
        <v>2.626</v>
      </c>
      <c r="L20" s="458" t="n">
        <v>2.21</v>
      </c>
      <c r="M20" s="458" t="n">
        <v>3.083</v>
      </c>
      <c r="N20" s="459" t="n">
        <v>2.5195</v>
      </c>
      <c r="O20" s="459" t="n">
        <v>2.06</v>
      </c>
      <c r="P20" s="459" t="n">
        <v>1.6124</v>
      </c>
      <c r="Q20" s="459" t="n">
        <v>2.4254</v>
      </c>
      <c r="R20" s="459" t="n">
        <v>1.9842</v>
      </c>
      <c r="S20" s="459" t="n">
        <v>1.5545</v>
      </c>
      <c r="T20" s="459" t="n">
        <v>1.2214</v>
      </c>
      <c r="U20" s="459" t="n">
        <v>0.9492</v>
      </c>
      <c r="V20" s="459" t="n">
        <v>0.6842</v>
      </c>
      <c r="W20" s="459" t="n">
        <v>0.4261</v>
      </c>
      <c r="X20" s="459" t="n">
        <v>0.3161</v>
      </c>
      <c r="Y20" s="459" t="n">
        <v>0.2089</v>
      </c>
      <c r="Z20" s="458" t="n">
        <v>0.1546</v>
      </c>
      <c r="AA20" s="458" t="n">
        <v>0.1017</v>
      </c>
      <c r="AB20" s="458" t="n">
        <v>0.0502</v>
      </c>
      <c r="AC20" s="458" t="n">
        <v>0</v>
      </c>
      <c r="AD20" s="458" t="n">
        <v>0</v>
      </c>
      <c r="AE20" s="458" t="n">
        <v>0</v>
      </c>
      <c r="AF20" s="458" t="n">
        <v>0</v>
      </c>
      <c r="AG20" s="458" t="n">
        <v>0</v>
      </c>
      <c r="AH20" s="458" t="n">
        <v>0</v>
      </c>
      <c r="AI20" s="458" t="n">
        <v>0</v>
      </c>
      <c r="AJ20" s="458" t="n">
        <v>0</v>
      </c>
      <c r="AK20" s="458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8" t="n">
        <v>0</v>
      </c>
      <c r="AY20" s="458" t="n">
        <v>0</v>
      </c>
      <c r="AZ20" s="458" t="n">
        <v>0</v>
      </c>
      <c r="BA20" s="458" t="n">
        <v>0</v>
      </c>
      <c r="BB20" s="458" t="n">
        <v>0</v>
      </c>
      <c r="BC20" s="458" t="n">
        <v>0</v>
      </c>
      <c r="BD20" s="458" t="n">
        <v>0</v>
      </c>
      <c r="BE20" s="458" t="n">
        <v>0</v>
      </c>
      <c r="BF20" s="458" t="n">
        <v>0</v>
      </c>
      <c r="BG20" s="458" t="n">
        <v>0</v>
      </c>
      <c r="BH20" s="458" t="n">
        <v>0</v>
      </c>
      <c r="BI20" s="458" t="n">
        <v>0</v>
      </c>
      <c r="BJ20" s="459" t="n">
        <v>0</v>
      </c>
      <c r="BK20" s="459" t="n">
        <v>0</v>
      </c>
      <c r="BL20" s="459" t="n">
        <v>0</v>
      </c>
      <c r="BM20" s="459" t="n">
        <v>0</v>
      </c>
      <c r="BN20" s="459" t="n">
        <v>0</v>
      </c>
      <c r="BO20" s="459" t="n">
        <v>0</v>
      </c>
      <c r="BP20" s="459" t="n">
        <v>0</v>
      </c>
      <c r="BQ20" s="459" t="n">
        <v>0</v>
      </c>
      <c r="BR20" s="459" t="n">
        <v>0</v>
      </c>
      <c r="BS20" s="459" t="n">
        <v>0</v>
      </c>
      <c r="BT20" s="459" t="n">
        <v>0</v>
      </c>
      <c r="BU20" s="459" t="n">
        <v>0</v>
      </c>
      <c r="BV20" s="458" t="n">
        <v>0</v>
      </c>
      <c r="BW20" s="458" t="n">
        <v>0</v>
      </c>
      <c r="BX20" s="458" t="n">
        <v>0</v>
      </c>
      <c r="BY20" s="458" t="n">
        <v>0</v>
      </c>
      <c r="BZ20" s="458" t="n">
        <v>0</v>
      </c>
      <c r="CA20" s="458" t="n">
        <v>0</v>
      </c>
      <c r="CB20" s="458" t="n">
        <v>0</v>
      </c>
      <c r="CC20" s="458" t="n">
        <v>0</v>
      </c>
      <c r="CD20" s="458" t="n">
        <v>0</v>
      </c>
      <c r="CE20" s="458" t="n">
        <v>0</v>
      </c>
      <c r="CF20" s="458" t="n">
        <v>0</v>
      </c>
      <c r="CG20" s="458" t="n">
        <v>0</v>
      </c>
      <c r="CH20" s="459" t="n">
        <v>0</v>
      </c>
      <c r="CI20" s="459" t="n">
        <v>0</v>
      </c>
      <c r="CJ20" s="459" t="n">
        <v>0</v>
      </c>
      <c r="CK20" s="459" t="n">
        <v>0</v>
      </c>
      <c r="CL20" s="459" t="n">
        <v>0</v>
      </c>
      <c r="CM20" s="459" t="n">
        <v>0</v>
      </c>
      <c r="CN20" s="459" t="n">
        <v>0</v>
      </c>
      <c r="CO20" s="459" t="n">
        <v>0</v>
      </c>
      <c r="CP20" s="459" t="n">
        <v>0</v>
      </c>
      <c r="CQ20" s="459" t="n">
        <v>0</v>
      </c>
      <c r="CR20" s="459" t="n">
        <v>0</v>
      </c>
      <c r="CS20" s="459" t="n">
        <v>0</v>
      </c>
      <c r="CT20" s="458" t="n">
        <v>0</v>
      </c>
      <c r="CU20" s="458" t="n">
        <v>0</v>
      </c>
      <c r="CV20" s="458" t="n">
        <v>0</v>
      </c>
      <c r="CW20" s="458" t="n">
        <v>0</v>
      </c>
      <c r="CX20" s="458" t="n">
        <v>0</v>
      </c>
      <c r="CY20" s="458" t="n">
        <v>0</v>
      </c>
      <c r="CZ20" s="458" t="n">
        <v>0</v>
      </c>
      <c r="DA20" s="458" t="n">
        <v>0</v>
      </c>
      <c r="DB20" s="458" t="n">
        <v>0</v>
      </c>
      <c r="DC20" s="458" t="n">
        <v>0</v>
      </c>
      <c r="DD20" s="458" t="n">
        <v>0</v>
      </c>
      <c r="DE20" s="458" t="n">
        <v>0</v>
      </c>
      <c r="DF20" s="459" t="n">
        <v>0</v>
      </c>
      <c r="DG20" s="459" t="n">
        <v>0</v>
      </c>
      <c r="DH20" s="459" t="n">
        <v>0</v>
      </c>
      <c r="DI20" s="459" t="n">
        <v>0</v>
      </c>
      <c r="DJ20" s="459" t="n">
        <v>0</v>
      </c>
      <c r="DK20" s="459" t="n">
        <v>0</v>
      </c>
      <c r="DL20" s="459" t="n">
        <v>0</v>
      </c>
      <c r="DM20" s="459" t="n">
        <v>0</v>
      </c>
      <c r="DN20" s="459" t="n">
        <v>0</v>
      </c>
      <c r="DO20" s="459" t="n">
        <v>0</v>
      </c>
      <c r="DP20" s="459" t="n">
        <v>0</v>
      </c>
      <c r="DQ20" s="459" t="n">
        <v>0</v>
      </c>
      <c r="DR20" s="458" t="n">
        <v>0</v>
      </c>
      <c r="DS20" s="458" t="n">
        <v>0</v>
      </c>
      <c r="DT20" s="458" t="n">
        <v>0</v>
      </c>
      <c r="DU20" s="458" t="n">
        <v>0</v>
      </c>
      <c r="DV20" s="458" t="n">
        <v>0</v>
      </c>
      <c r="DW20" s="458" t="n">
        <v>0</v>
      </c>
      <c r="DX20" s="458" t="n">
        <v>0</v>
      </c>
      <c r="DY20" s="458" t="n">
        <v>0</v>
      </c>
      <c r="DZ20" s="458" t="n">
        <v>0</v>
      </c>
      <c r="EA20" s="458" t="n">
        <v>0</v>
      </c>
      <c r="EB20" s="458" t="n">
        <v>0</v>
      </c>
      <c r="EC20" s="458" t="n">
        <v>0</v>
      </c>
      <c r="ED20" s="459" t="n">
        <v>0</v>
      </c>
      <c r="EE20" s="459" t="n">
        <v>0</v>
      </c>
      <c r="EF20" s="459" t="n">
        <v>0</v>
      </c>
      <c r="EG20" s="459" t="n">
        <v>0</v>
      </c>
      <c r="EH20" s="459" t="n">
        <v>0</v>
      </c>
      <c r="EI20" s="459" t="n">
        <v>0</v>
      </c>
      <c r="EJ20" s="459" t="n">
        <v>0</v>
      </c>
      <c r="EK20" s="459" t="n">
        <v>0</v>
      </c>
      <c r="EL20" s="459" t="n">
        <v>0</v>
      </c>
      <c r="EM20" s="459" t="n">
        <v>0</v>
      </c>
      <c r="EN20" s="459" t="n">
        <v>0</v>
      </c>
      <c r="EO20" s="459" t="n">
        <v>0</v>
      </c>
      <c r="EP20" s="458" t="n">
        <v>0</v>
      </c>
      <c r="EQ20" s="458" t="n">
        <v>0</v>
      </c>
      <c r="ER20" s="458" t="n">
        <v>0</v>
      </c>
      <c r="ES20" s="458" t="n">
        <v>0</v>
      </c>
      <c r="ET20" s="458" t="n">
        <v>0</v>
      </c>
      <c r="EU20" s="458" t="n">
        <v>0</v>
      </c>
      <c r="EV20" s="458" t="n">
        <v>0</v>
      </c>
      <c r="EW20" s="458" t="n">
        <v>0</v>
      </c>
      <c r="EX20" s="458" t="n">
        <v>0</v>
      </c>
      <c r="EY20" s="458" t="n">
        <v>0</v>
      </c>
      <c r="EZ20" s="458" t="n">
        <v>0</v>
      </c>
      <c r="FA20" s="458" t="n">
        <v>0</v>
      </c>
      <c r="FB20" s="459" t="n">
        <v>0</v>
      </c>
      <c r="FC20" s="459" t="n">
        <v>0</v>
      </c>
      <c r="FD20" s="459" t="n">
        <v>0</v>
      </c>
      <c r="FE20" s="459" t="n">
        <v>0</v>
      </c>
      <c r="FF20" s="459" t="n">
        <v>0</v>
      </c>
      <c r="FG20" s="459" t="n">
        <v>0</v>
      </c>
      <c r="FH20" s="459" t="n">
        <v>0</v>
      </c>
      <c r="FI20" s="459" t="n">
        <v>0</v>
      </c>
      <c r="FJ20" s="459" t="n">
        <v>0</v>
      </c>
      <c r="FK20" s="459" t="n">
        <v>0</v>
      </c>
      <c r="FL20" s="459" t="n">
        <v>0</v>
      </c>
      <c r="FM20" s="459" t="n">
        <v>0</v>
      </c>
      <c r="FN20" s="458" t="n">
        <v>0</v>
      </c>
      <c r="FO20" s="458" t="n">
        <v>0</v>
      </c>
      <c r="FP20" s="458" t="n">
        <v>0</v>
      </c>
      <c r="FQ20" s="458" t="n">
        <v>0</v>
      </c>
      <c r="FR20" s="458" t="n">
        <v>0</v>
      </c>
      <c r="FS20" s="458" t="n">
        <v>0</v>
      </c>
      <c r="FT20" s="458" t="n">
        <v>0</v>
      </c>
      <c r="FU20" s="458" t="n">
        <v>0</v>
      </c>
      <c r="FV20" s="458" t="n">
        <v>0</v>
      </c>
      <c r="FW20" s="458" t="n">
        <v>0</v>
      </c>
      <c r="FX20" s="458" t="n">
        <v>0</v>
      </c>
      <c r="FY20" s="458" t="n">
        <v>0</v>
      </c>
      <c r="FZ20" s="306" t="n"/>
    </row>
    <row r="21" ht="15" customHeight="1" s="307">
      <c r="A21" s="321" t="inlineStr">
        <is>
          <t xml:space="preserve">    Bonus Pool</t>
        </is>
      </c>
      <c r="B21" s="458" t="n">
        <v>0</v>
      </c>
      <c r="C21" s="458" t="n">
        <v>0</v>
      </c>
      <c r="D21" s="458" t="n">
        <v>0</v>
      </c>
      <c r="E21" s="458" t="n">
        <v>0</v>
      </c>
      <c r="F21" s="458" t="n">
        <v>0</v>
      </c>
      <c r="G21" s="458" t="n">
        <v>0</v>
      </c>
      <c r="H21" s="458" t="n">
        <v>0</v>
      </c>
      <c r="I21" s="458" t="n">
        <v>0</v>
      </c>
      <c r="J21" s="458" t="n">
        <v>0</v>
      </c>
      <c r="K21" s="458" t="n">
        <v>0</v>
      </c>
      <c r="L21" s="458" t="n">
        <v>0</v>
      </c>
      <c r="M21" s="458" t="n">
        <v>0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8" t="n">
        <v>0</v>
      </c>
      <c r="AA21" s="458" t="n">
        <v>0</v>
      </c>
      <c r="AB21" s="458" t="n">
        <v>0</v>
      </c>
      <c r="AC21" s="458" t="n">
        <v>0</v>
      </c>
      <c r="AD21" s="458" t="n">
        <v>0</v>
      </c>
      <c r="AE21" s="458" t="n">
        <v>0</v>
      </c>
      <c r="AF21" s="458" t="n">
        <v>0</v>
      </c>
      <c r="AG21" s="458" t="n">
        <v>0</v>
      </c>
      <c r="AH21" s="458" t="n">
        <v>0</v>
      </c>
      <c r="AI21" s="458" t="n">
        <v>0</v>
      </c>
      <c r="AJ21" s="458" t="n">
        <v>0</v>
      </c>
      <c r="AK21" s="458" t="n">
        <v>5.016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2.8056</v>
      </c>
      <c r="AX21" s="458" t="n">
        <v>0</v>
      </c>
      <c r="AY21" s="458" t="n">
        <v>0</v>
      </c>
      <c r="AZ21" s="458" t="n">
        <v>0</v>
      </c>
      <c r="BA21" s="458" t="n">
        <v>0</v>
      </c>
      <c r="BB21" s="458" t="n">
        <v>0</v>
      </c>
      <c r="BC21" s="458" t="n">
        <v>0</v>
      </c>
      <c r="BD21" s="458" t="n">
        <v>0</v>
      </c>
      <c r="BE21" s="458" t="n">
        <v>0</v>
      </c>
      <c r="BF21" s="458" t="n">
        <v>0</v>
      </c>
      <c r="BG21" s="458" t="n">
        <v>0</v>
      </c>
      <c r="BH21" s="458" t="n">
        <v>0</v>
      </c>
      <c r="BI21" s="458" t="n">
        <v>0.6663</v>
      </c>
      <c r="BJ21" s="459" t="n">
        <v>0</v>
      </c>
      <c r="BK21" s="459" t="n">
        <v>0</v>
      </c>
      <c r="BL21" s="459" t="n">
        <v>0</v>
      </c>
      <c r="BM21" s="459" t="n">
        <v>0</v>
      </c>
      <c r="BN21" s="459" t="n">
        <v>0</v>
      </c>
      <c r="BO21" s="459" t="n">
        <v>0</v>
      </c>
      <c r="BP21" s="459" t="n">
        <v>0</v>
      </c>
      <c r="BQ21" s="459" t="n">
        <v>0</v>
      </c>
      <c r="BR21" s="459" t="n">
        <v>0</v>
      </c>
      <c r="BS21" s="459" t="n">
        <v>0</v>
      </c>
      <c r="BT21" s="459" t="n">
        <v>0</v>
      </c>
      <c r="BU21" s="459" t="n">
        <v>0</v>
      </c>
      <c r="BV21" s="458" t="n">
        <v>0</v>
      </c>
      <c r="BW21" s="458" t="n">
        <v>0</v>
      </c>
      <c r="BX21" s="458" t="n">
        <v>0</v>
      </c>
      <c r="BY21" s="458" t="n">
        <v>0</v>
      </c>
      <c r="BZ21" s="458" t="n">
        <v>0</v>
      </c>
      <c r="CA21" s="458" t="n">
        <v>0</v>
      </c>
      <c r="CB21" s="458" t="n">
        <v>0</v>
      </c>
      <c r="CC21" s="458" t="n">
        <v>0</v>
      </c>
      <c r="CD21" s="458" t="n">
        <v>0</v>
      </c>
      <c r="CE21" s="458" t="n">
        <v>0</v>
      </c>
      <c r="CF21" s="458" t="n">
        <v>0</v>
      </c>
      <c r="CG21" s="458" t="n">
        <v>0</v>
      </c>
      <c r="CH21" s="459" t="n">
        <v>0</v>
      </c>
      <c r="CI21" s="459" t="n">
        <v>0</v>
      </c>
      <c r="CJ21" s="459" t="n">
        <v>0</v>
      </c>
      <c r="CK21" s="459" t="n">
        <v>0</v>
      </c>
      <c r="CL21" s="459" t="n">
        <v>0</v>
      </c>
      <c r="CM21" s="459" t="n">
        <v>0</v>
      </c>
      <c r="CN21" s="459" t="n">
        <v>0</v>
      </c>
      <c r="CO21" s="459" t="n">
        <v>0</v>
      </c>
      <c r="CP21" s="459" t="n">
        <v>0</v>
      </c>
      <c r="CQ21" s="459" t="n">
        <v>0</v>
      </c>
      <c r="CR21" s="459" t="n">
        <v>0</v>
      </c>
      <c r="CS21" s="459" t="n">
        <v>0</v>
      </c>
      <c r="CT21" s="458" t="n">
        <v>0</v>
      </c>
      <c r="CU21" s="458" t="n">
        <v>0</v>
      </c>
      <c r="CV21" s="458" t="n">
        <v>0</v>
      </c>
      <c r="CW21" s="458" t="n">
        <v>0</v>
      </c>
      <c r="CX21" s="458" t="n">
        <v>0</v>
      </c>
      <c r="CY21" s="458" t="n">
        <v>0</v>
      </c>
      <c r="CZ21" s="458" t="n">
        <v>0</v>
      </c>
      <c r="DA21" s="458" t="n">
        <v>0</v>
      </c>
      <c r="DB21" s="458" t="n">
        <v>0</v>
      </c>
      <c r="DC21" s="458" t="n">
        <v>0</v>
      </c>
      <c r="DD21" s="458" t="n">
        <v>0</v>
      </c>
      <c r="DE21" s="458" t="n">
        <v>0</v>
      </c>
      <c r="DF21" s="459" t="n">
        <v>0</v>
      </c>
      <c r="DG21" s="459" t="n">
        <v>0</v>
      </c>
      <c r="DH21" s="459" t="n">
        <v>0</v>
      </c>
      <c r="DI21" s="459" t="n">
        <v>0</v>
      </c>
      <c r="DJ21" s="459" t="n">
        <v>0</v>
      </c>
      <c r="DK21" s="459" t="n">
        <v>0</v>
      </c>
      <c r="DL21" s="459" t="n">
        <v>0</v>
      </c>
      <c r="DM21" s="459" t="n">
        <v>0</v>
      </c>
      <c r="DN21" s="459" t="n">
        <v>0</v>
      </c>
      <c r="DO21" s="459" t="n">
        <v>0</v>
      </c>
      <c r="DP21" s="459" t="n">
        <v>0</v>
      </c>
      <c r="DQ21" s="459" t="n">
        <v>0</v>
      </c>
      <c r="DR21" s="458" t="n">
        <v>0</v>
      </c>
      <c r="DS21" s="458" t="n">
        <v>0</v>
      </c>
      <c r="DT21" s="458" t="n">
        <v>0</v>
      </c>
      <c r="DU21" s="458" t="n">
        <v>0</v>
      </c>
      <c r="DV21" s="458" t="n">
        <v>0</v>
      </c>
      <c r="DW21" s="458" t="n">
        <v>0</v>
      </c>
      <c r="DX21" s="458" t="n">
        <v>0</v>
      </c>
      <c r="DY21" s="458" t="n">
        <v>0</v>
      </c>
      <c r="DZ21" s="458" t="n">
        <v>0</v>
      </c>
      <c r="EA21" s="458" t="n">
        <v>0</v>
      </c>
      <c r="EB21" s="458" t="n">
        <v>0</v>
      </c>
      <c r="EC21" s="458" t="n">
        <v>0</v>
      </c>
      <c r="ED21" s="459" t="n">
        <v>0</v>
      </c>
      <c r="EE21" s="459" t="n">
        <v>0</v>
      </c>
      <c r="EF21" s="459" t="n">
        <v>0</v>
      </c>
      <c r="EG21" s="459" t="n">
        <v>0</v>
      </c>
      <c r="EH21" s="459" t="n">
        <v>0</v>
      </c>
      <c r="EI21" s="459" t="n">
        <v>0</v>
      </c>
      <c r="EJ21" s="459" t="n">
        <v>0</v>
      </c>
      <c r="EK21" s="459" t="n">
        <v>0</v>
      </c>
      <c r="EL21" s="459" t="n">
        <v>0</v>
      </c>
      <c r="EM21" s="459" t="n">
        <v>0</v>
      </c>
      <c r="EN21" s="459" t="n">
        <v>0</v>
      </c>
      <c r="EO21" s="459" t="n">
        <v>0</v>
      </c>
      <c r="EP21" s="458" t="n">
        <v>0</v>
      </c>
      <c r="EQ21" s="458" t="n">
        <v>0</v>
      </c>
      <c r="ER21" s="458" t="n">
        <v>0</v>
      </c>
      <c r="ES21" s="458" t="n">
        <v>0</v>
      </c>
      <c r="ET21" s="458" t="n">
        <v>0</v>
      </c>
      <c r="EU21" s="458" t="n">
        <v>0</v>
      </c>
      <c r="EV21" s="458" t="n">
        <v>0</v>
      </c>
      <c r="EW21" s="458" t="n">
        <v>0</v>
      </c>
      <c r="EX21" s="458" t="n">
        <v>0</v>
      </c>
      <c r="EY21" s="458" t="n">
        <v>0</v>
      </c>
      <c r="EZ21" s="458" t="n">
        <v>0</v>
      </c>
      <c r="FA21" s="458" t="n">
        <v>0</v>
      </c>
      <c r="FB21" s="459" t="n">
        <v>0</v>
      </c>
      <c r="FC21" s="459" t="n">
        <v>0</v>
      </c>
      <c r="FD21" s="459" t="n">
        <v>0</v>
      </c>
      <c r="FE21" s="459" t="n">
        <v>0</v>
      </c>
      <c r="FF21" s="459" t="n">
        <v>0</v>
      </c>
      <c r="FG21" s="459" t="n">
        <v>0</v>
      </c>
      <c r="FH21" s="459" t="n">
        <v>0</v>
      </c>
      <c r="FI21" s="459" t="n">
        <v>0</v>
      </c>
      <c r="FJ21" s="459" t="n">
        <v>0</v>
      </c>
      <c r="FK21" s="459" t="n">
        <v>0</v>
      </c>
      <c r="FL21" s="459" t="n">
        <v>0</v>
      </c>
      <c r="FM21" s="459" t="n">
        <v>0</v>
      </c>
      <c r="FN21" s="458" t="n">
        <v>0</v>
      </c>
      <c r="FO21" s="458" t="n">
        <v>0</v>
      </c>
      <c r="FP21" s="458" t="n">
        <v>0</v>
      </c>
      <c r="FQ21" s="458" t="n">
        <v>0</v>
      </c>
      <c r="FR21" s="458" t="n">
        <v>0</v>
      </c>
      <c r="FS21" s="458" t="n">
        <v>0</v>
      </c>
      <c r="FT21" s="458" t="n">
        <v>0</v>
      </c>
      <c r="FU21" s="458" t="n">
        <v>0</v>
      </c>
      <c r="FV21" s="458" t="n">
        <v>0</v>
      </c>
      <c r="FW21" s="458" t="n">
        <v>0</v>
      </c>
      <c r="FX21" s="458" t="n">
        <v>0</v>
      </c>
      <c r="FY21" s="458" t="n">
        <v>0</v>
      </c>
      <c r="FZ21" s="306" t="n"/>
    </row>
    <row r="22" ht="15" customHeight="1" s="307">
      <c r="A22" s="460" t="inlineStr">
        <is>
          <t>Total Operating Expenses</t>
        </is>
      </c>
      <c r="B22" s="461" t="n">
        <v>0.0813</v>
      </c>
      <c r="C22" s="461" t="n">
        <v>0.0813</v>
      </c>
      <c r="D22" s="461" t="n">
        <v>0.0813</v>
      </c>
      <c r="E22" s="461" t="n">
        <v>1.9385</v>
      </c>
      <c r="F22" s="461" t="n">
        <v>1.7504</v>
      </c>
      <c r="G22" s="461" t="n">
        <v>1.567</v>
      </c>
      <c r="H22" s="461" t="n">
        <v>3.779</v>
      </c>
      <c r="I22" s="461" t="n">
        <v>2.9175</v>
      </c>
      <c r="J22" s="461" t="n">
        <v>2.553</v>
      </c>
      <c r="K22" s="461" t="n">
        <v>4.1334</v>
      </c>
      <c r="L22" s="461" t="n">
        <v>3.6665</v>
      </c>
      <c r="M22" s="461" t="n">
        <v>4.8637</v>
      </c>
      <c r="N22" s="462" t="n">
        <v>4.5409</v>
      </c>
      <c r="O22" s="462" t="n">
        <v>4.0294</v>
      </c>
      <c r="P22" s="462" t="n">
        <v>3.531</v>
      </c>
      <c r="Q22" s="462" t="n">
        <v>4.6533</v>
      </c>
      <c r="R22" s="462" t="n">
        <v>4.1607</v>
      </c>
      <c r="S22" s="462" t="n">
        <v>3.6807</v>
      </c>
      <c r="T22" s="462" t="n">
        <v>3.3149</v>
      </c>
      <c r="U22" s="462" t="n">
        <v>3.0107</v>
      </c>
      <c r="V22" s="462" t="n">
        <v>2.7143</v>
      </c>
      <c r="W22" s="462" t="n">
        <v>2.4255</v>
      </c>
      <c r="X22" s="462" t="n">
        <v>2.3014</v>
      </c>
      <c r="Y22" s="462" t="n">
        <v>2.1804</v>
      </c>
      <c r="Z22" s="461" t="n">
        <v>2.1124</v>
      </c>
      <c r="AA22" s="461" t="n">
        <v>2.046</v>
      </c>
      <c r="AB22" s="461" t="n">
        <v>1.9812</v>
      </c>
      <c r="AC22" s="461" t="n">
        <v>1.9179</v>
      </c>
      <c r="AD22" s="461" t="n">
        <v>1.9049</v>
      </c>
      <c r="AE22" s="461" t="n">
        <v>1.8921</v>
      </c>
      <c r="AF22" s="461" t="n">
        <v>1.8795</v>
      </c>
      <c r="AG22" s="461" t="n">
        <v>1.8671</v>
      </c>
      <c r="AH22" s="461" t="n">
        <v>1.8548</v>
      </c>
      <c r="AI22" s="461" t="n">
        <v>1.8427</v>
      </c>
      <c r="AJ22" s="461" t="n">
        <v>1.8308</v>
      </c>
      <c r="AK22" s="461" t="n">
        <v>6.8349</v>
      </c>
      <c r="AL22" s="462" t="n">
        <v>1.8074</v>
      </c>
      <c r="AM22" s="462" t="n">
        <v>1.7959</v>
      </c>
      <c r="AN22" s="462" t="n">
        <v>1.7846</v>
      </c>
      <c r="AO22" s="462" t="n">
        <v>1.7734</v>
      </c>
      <c r="AP22" s="462" t="n">
        <v>1.7624</v>
      </c>
      <c r="AQ22" s="462" t="n">
        <v>1.7515</v>
      </c>
      <c r="AR22" s="462" t="n">
        <v>1.7408</v>
      </c>
      <c r="AS22" s="462" t="n">
        <v>1.7302</v>
      </c>
      <c r="AT22" s="462" t="n">
        <v>1.7198</v>
      </c>
      <c r="AU22" s="462" t="n">
        <v>1.7095</v>
      </c>
      <c r="AV22" s="462" t="n">
        <v>1.6994</v>
      </c>
      <c r="AW22" s="462" t="n">
        <v>4.4949</v>
      </c>
      <c r="AX22" s="461" t="n">
        <v>1.6795</v>
      </c>
      <c r="AY22" s="461" t="n">
        <v>1.6697</v>
      </c>
      <c r="AZ22" s="461" t="n">
        <v>1.6601</v>
      </c>
      <c r="BA22" s="461" t="n">
        <v>1.6506</v>
      </c>
      <c r="BB22" s="461" t="n">
        <v>1.6412</v>
      </c>
      <c r="BC22" s="461" t="n">
        <v>1.632</v>
      </c>
      <c r="BD22" s="461" t="n">
        <v>1.6229</v>
      </c>
      <c r="BE22" s="461" t="n">
        <v>1.6139</v>
      </c>
      <c r="BF22" s="461" t="n">
        <v>1.605</v>
      </c>
      <c r="BG22" s="461" t="n">
        <v>1.5963</v>
      </c>
      <c r="BH22" s="461" t="n">
        <v>1.5877</v>
      </c>
      <c r="BI22" s="461" t="n">
        <v>2.2454</v>
      </c>
      <c r="BJ22" s="462" t="n">
        <v>1.5707</v>
      </c>
      <c r="BK22" s="462" t="n">
        <v>1.5625</v>
      </c>
      <c r="BL22" s="462" t="n">
        <v>1.5543</v>
      </c>
      <c r="BM22" s="462" t="n">
        <v>1.5462</v>
      </c>
      <c r="BN22" s="462" t="n">
        <v>1.5383</v>
      </c>
      <c r="BO22" s="462" t="n">
        <v>1.5304</v>
      </c>
      <c r="BP22" s="462" t="n">
        <v>1.5227</v>
      </c>
      <c r="BQ22" s="462" t="n">
        <v>1.515</v>
      </c>
      <c r="BR22" s="462" t="n">
        <v>1.5075</v>
      </c>
      <c r="BS22" s="462" t="n">
        <v>1.5</v>
      </c>
      <c r="BT22" s="462" t="n">
        <v>1.4927</v>
      </c>
      <c r="BU22" s="462" t="n">
        <v>1.4855</v>
      </c>
      <c r="BV22" s="461" t="n">
        <v>1.4783</v>
      </c>
      <c r="BW22" s="461" t="n">
        <v>1.4713</v>
      </c>
      <c r="BX22" s="461" t="n">
        <v>1.4643</v>
      </c>
      <c r="BY22" s="461" t="n">
        <v>1.4575</v>
      </c>
      <c r="BZ22" s="461" t="n">
        <v>1.4507</v>
      </c>
      <c r="CA22" s="461" t="n">
        <v>1.444</v>
      </c>
      <c r="CB22" s="461" t="n">
        <v>1.4375</v>
      </c>
      <c r="CC22" s="461" t="n">
        <v>1.431</v>
      </c>
      <c r="CD22" s="461" t="n">
        <v>1.4246</v>
      </c>
      <c r="CE22" s="461" t="n">
        <v>1.4182</v>
      </c>
      <c r="CF22" s="461" t="n">
        <v>1.412</v>
      </c>
      <c r="CG22" s="461" t="n">
        <v>1.4059</v>
      </c>
      <c r="CH22" s="462" t="n">
        <v>1.3998</v>
      </c>
      <c r="CI22" s="462" t="n">
        <v>1.3938</v>
      </c>
      <c r="CJ22" s="462" t="n">
        <v>1.3879</v>
      </c>
      <c r="CK22" s="462" t="n">
        <v>1.3821</v>
      </c>
      <c r="CL22" s="462" t="n">
        <v>1.3763</v>
      </c>
      <c r="CM22" s="462" t="n">
        <v>1.3706</v>
      </c>
      <c r="CN22" s="462" t="n">
        <v>1.365</v>
      </c>
      <c r="CO22" s="462" t="n">
        <v>1.3595</v>
      </c>
      <c r="CP22" s="462" t="n">
        <v>1.3541</v>
      </c>
      <c r="CQ22" s="462" t="n">
        <v>1.3487</v>
      </c>
      <c r="CR22" s="462" t="n">
        <v>1.3434</v>
      </c>
      <c r="CS22" s="462" t="n">
        <v>1.3382</v>
      </c>
      <c r="CT22" s="461" t="n">
        <v>1.333</v>
      </c>
      <c r="CU22" s="461" t="n">
        <v>1.3279</v>
      </c>
      <c r="CV22" s="461" t="n">
        <v>1.3229</v>
      </c>
      <c r="CW22" s="461" t="n">
        <v>1.318</v>
      </c>
      <c r="CX22" s="461" t="n">
        <v>1.3131</v>
      </c>
      <c r="CY22" s="461" t="n">
        <v>1.3082</v>
      </c>
      <c r="CZ22" s="461" t="n">
        <v>1.3035</v>
      </c>
      <c r="DA22" s="461" t="n">
        <v>1.2988</v>
      </c>
      <c r="DB22" s="461" t="n">
        <v>1.2942</v>
      </c>
      <c r="DC22" s="461" t="n">
        <v>1.2896</v>
      </c>
      <c r="DD22" s="461" t="n">
        <v>1.2851</v>
      </c>
      <c r="DE22" s="461" t="n">
        <v>1.2807</v>
      </c>
      <c r="DF22" s="462" t="n">
        <v>1.2763</v>
      </c>
      <c r="DG22" s="462" t="n">
        <v>1.2719</v>
      </c>
      <c r="DH22" s="462" t="n">
        <v>1.2677</v>
      </c>
      <c r="DI22" s="462" t="n">
        <v>1.2635</v>
      </c>
      <c r="DJ22" s="462" t="n">
        <v>1.2593</v>
      </c>
      <c r="DK22" s="462" t="n">
        <v>1.2552</v>
      </c>
      <c r="DL22" s="462" t="n">
        <v>1.2512</v>
      </c>
      <c r="DM22" s="462" t="n">
        <v>1.2472</v>
      </c>
      <c r="DN22" s="462" t="n">
        <v>1.2432</v>
      </c>
      <c r="DO22" s="462" t="n">
        <v>1.2394</v>
      </c>
      <c r="DP22" s="462" t="n">
        <v>1.2355</v>
      </c>
      <c r="DQ22" s="462" t="n">
        <v>1.2318</v>
      </c>
      <c r="DR22" s="461" t="n">
        <v>1.228</v>
      </c>
      <c r="DS22" s="461" t="n">
        <v>1.2244</v>
      </c>
      <c r="DT22" s="461" t="n">
        <v>1.2207</v>
      </c>
      <c r="DU22" s="461" t="n">
        <v>1.2171</v>
      </c>
      <c r="DV22" s="461" t="n">
        <v>1.2136</v>
      </c>
      <c r="DW22" s="461" t="n">
        <v>1.2101</v>
      </c>
      <c r="DX22" s="461" t="n">
        <v>1.2067</v>
      </c>
      <c r="DY22" s="461" t="n">
        <v>1.2033</v>
      </c>
      <c r="DZ22" s="461" t="n">
        <v>1.2</v>
      </c>
      <c r="EA22" s="461" t="n">
        <v>1.1967</v>
      </c>
      <c r="EB22" s="461" t="n">
        <v>1.1934</v>
      </c>
      <c r="EC22" s="461" t="n">
        <v>1.1902</v>
      </c>
      <c r="ED22" s="462" t="n">
        <v>1.187</v>
      </c>
      <c r="EE22" s="462" t="n">
        <v>1.1839</v>
      </c>
      <c r="EF22" s="462" t="n">
        <v>1.1808</v>
      </c>
      <c r="EG22" s="462" t="n">
        <v>1.1778</v>
      </c>
      <c r="EH22" s="462" t="n">
        <v>1.1748</v>
      </c>
      <c r="EI22" s="462" t="n">
        <v>1.1718</v>
      </c>
      <c r="EJ22" s="462" t="n">
        <v>1.1689</v>
      </c>
      <c r="EK22" s="462" t="n">
        <v>1.166</v>
      </c>
      <c r="EL22" s="462" t="n">
        <v>1.1632</v>
      </c>
      <c r="EM22" s="462" t="n">
        <v>1.1604</v>
      </c>
      <c r="EN22" s="462" t="n">
        <v>1.1576</v>
      </c>
      <c r="EO22" s="462" t="n">
        <v>1.1549</v>
      </c>
      <c r="EP22" s="461" t="n">
        <v>1.1522</v>
      </c>
      <c r="EQ22" s="461" t="n">
        <v>1.1495</v>
      </c>
      <c r="ER22" s="461" t="n">
        <v>1.1469</v>
      </c>
      <c r="ES22" s="461" t="n">
        <v>1.1443</v>
      </c>
      <c r="ET22" s="461" t="n">
        <v>1.1418</v>
      </c>
      <c r="EU22" s="461" t="n">
        <v>1.1392</v>
      </c>
      <c r="EV22" s="461" t="n">
        <v>1.1368</v>
      </c>
      <c r="EW22" s="461" t="n">
        <v>1.1343</v>
      </c>
      <c r="EX22" s="461" t="n">
        <v>1.1319</v>
      </c>
      <c r="EY22" s="461" t="n">
        <v>1.1295</v>
      </c>
      <c r="EZ22" s="461" t="n">
        <v>1.1272</v>
      </c>
      <c r="FA22" s="461" t="n">
        <v>1.1248</v>
      </c>
      <c r="FB22" s="462" t="n">
        <v>1.1226</v>
      </c>
      <c r="FC22" s="462" t="n">
        <v>1.1203</v>
      </c>
      <c r="FD22" s="462" t="n">
        <v>1.1181</v>
      </c>
      <c r="FE22" s="462" t="n">
        <v>1.1159</v>
      </c>
      <c r="FF22" s="462" t="n">
        <v>1.1137</v>
      </c>
      <c r="FG22" s="462" t="n">
        <v>1.1116</v>
      </c>
      <c r="FH22" s="462" t="n">
        <v>1.1095</v>
      </c>
      <c r="FI22" s="462" t="n">
        <v>1.1074</v>
      </c>
      <c r="FJ22" s="462" t="n">
        <v>1.1053</v>
      </c>
      <c r="FK22" s="462" t="n">
        <v>1.1033</v>
      </c>
      <c r="FL22" s="462" t="n">
        <v>1.1013</v>
      </c>
      <c r="FM22" s="462" t="n">
        <v>1.0993</v>
      </c>
      <c r="FN22" s="461" t="n">
        <v>1.0974</v>
      </c>
      <c r="FO22" s="461" t="n">
        <v>1.0955</v>
      </c>
      <c r="FP22" s="461" t="n">
        <v>1.0936</v>
      </c>
      <c r="FQ22" s="461" t="n">
        <v>1.0917</v>
      </c>
      <c r="FR22" s="461" t="n">
        <v>1.0899</v>
      </c>
      <c r="FS22" s="461" t="n">
        <v>1.088</v>
      </c>
      <c r="FT22" s="461" t="n">
        <v>1.0862</v>
      </c>
      <c r="FU22" s="461" t="n">
        <v>1.0845</v>
      </c>
      <c r="FV22" s="461" t="n">
        <v>1.0827</v>
      </c>
      <c r="FW22" s="461" t="n">
        <v>1.081</v>
      </c>
      <c r="FX22" s="461" t="n">
        <v>1.0793</v>
      </c>
      <c r="FY22" s="461" t="n">
        <v>1.0776</v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 t="n">
        <v>-0.0813</v>
      </c>
      <c r="C24" s="465" t="n">
        <v>-0.0813</v>
      </c>
      <c r="D24" s="465" t="n">
        <v>-0.0813</v>
      </c>
      <c r="E24" s="465" t="n">
        <v>-0.3385</v>
      </c>
      <c r="F24" s="465" t="n">
        <v>-0.1193</v>
      </c>
      <c r="G24" s="465" t="n">
        <v>0.094</v>
      </c>
      <c r="H24" s="465" t="n">
        <v>-0.389</v>
      </c>
      <c r="I24" s="465" t="n">
        <v>0.5333</v>
      </c>
      <c r="J24" s="465" t="n">
        <v>0.9563</v>
      </c>
      <c r="K24" s="465" t="n">
        <v>1.3136</v>
      </c>
      <c r="L24" s="465" t="n">
        <v>1.8227</v>
      </c>
      <c r="M24" s="465" t="n">
        <v>2.2907</v>
      </c>
      <c r="N24" s="466" t="n">
        <v>2.6832</v>
      </c>
      <c r="O24" s="466" t="n">
        <v>3.2096</v>
      </c>
      <c r="P24" s="466" t="n">
        <v>3.7212</v>
      </c>
      <c r="Q24" s="466" t="n">
        <v>4.198</v>
      </c>
      <c r="R24" s="466" t="n">
        <v>4.6743</v>
      </c>
      <c r="S24" s="466" t="n">
        <v>5.1369</v>
      </c>
      <c r="T24" s="466" t="n">
        <v>5.4349</v>
      </c>
      <c r="U24" s="466" t="n">
        <v>5.6715</v>
      </c>
      <c r="V24" s="466" t="n">
        <v>5.9006</v>
      </c>
      <c r="W24" s="466" t="n">
        <v>6.1223</v>
      </c>
      <c r="X24" s="466" t="n">
        <v>6.1314</v>
      </c>
      <c r="Y24" s="466" t="n">
        <v>6.1389</v>
      </c>
      <c r="Z24" s="465" t="n">
        <v>6.0951</v>
      </c>
      <c r="AA24" s="465" t="n">
        <v>6.0511</v>
      </c>
      <c r="AB24" s="465" t="n">
        <v>6.007</v>
      </c>
      <c r="AC24" s="465" t="n">
        <v>5.9628</v>
      </c>
      <c r="AD24" s="465" t="n">
        <v>5.8697</v>
      </c>
      <c r="AE24" s="465" t="n">
        <v>5.7779</v>
      </c>
      <c r="AF24" s="465" t="n">
        <v>5.6874</v>
      </c>
      <c r="AG24" s="465" t="n">
        <v>5.598</v>
      </c>
      <c r="AH24" s="465" t="n">
        <v>5.5099</v>
      </c>
      <c r="AI24" s="465" t="n">
        <v>5.4229</v>
      </c>
      <c r="AJ24" s="465" t="n">
        <v>5.3371</v>
      </c>
      <c r="AK24" s="465" t="n">
        <v>0.2365</v>
      </c>
      <c r="AL24" s="466" t="n">
        <v>5.169</v>
      </c>
      <c r="AM24" s="466" t="n">
        <v>5.0866</v>
      </c>
      <c r="AN24" s="466" t="n">
        <v>5.0053</v>
      </c>
      <c r="AO24" s="466" t="n">
        <v>4.9252</v>
      </c>
      <c r="AP24" s="466" t="n">
        <v>4.8461</v>
      </c>
      <c r="AQ24" s="466" t="n">
        <v>4.768</v>
      </c>
      <c r="AR24" s="466" t="n">
        <v>4.6911</v>
      </c>
      <c r="AS24" s="466" t="n">
        <v>4.6151</v>
      </c>
      <c r="AT24" s="466" t="n">
        <v>4.5402</v>
      </c>
      <c r="AU24" s="466" t="n">
        <v>4.4663</v>
      </c>
      <c r="AV24" s="466" t="n">
        <v>4.3934</v>
      </c>
      <c r="AW24" s="466" t="n">
        <v>1.5158</v>
      </c>
      <c r="AX24" s="465" t="n">
        <v>4.2504</v>
      </c>
      <c r="AY24" s="465" t="n">
        <v>4.1804</v>
      </c>
      <c r="AZ24" s="465" t="n">
        <v>4.1113</v>
      </c>
      <c r="BA24" s="465" t="n">
        <v>4.0432</v>
      </c>
      <c r="BB24" s="465" t="n">
        <v>3.976</v>
      </c>
      <c r="BC24" s="465" t="n">
        <v>3.9096</v>
      </c>
      <c r="BD24" s="465" t="n">
        <v>3.8442</v>
      </c>
      <c r="BE24" s="465" t="n">
        <v>3.7796</v>
      </c>
      <c r="BF24" s="465" t="n">
        <v>3.716</v>
      </c>
      <c r="BG24" s="465" t="n">
        <v>3.6531</v>
      </c>
      <c r="BH24" s="465" t="n">
        <v>3.5911</v>
      </c>
      <c r="BI24" s="465" t="n">
        <v>2.8637</v>
      </c>
      <c r="BJ24" s="466" t="n">
        <v>3.4697</v>
      </c>
      <c r="BK24" s="466" t="n">
        <v>3.4102</v>
      </c>
      <c r="BL24" s="466" t="n">
        <v>3.3514</v>
      </c>
      <c r="BM24" s="466" t="n">
        <v>3.2935</v>
      </c>
      <c r="BN24" s="466" t="n">
        <v>3.2364</v>
      </c>
      <c r="BO24" s="466" t="n">
        <v>3.18</v>
      </c>
      <c r="BP24" s="466" t="n">
        <v>3.1244</v>
      </c>
      <c r="BQ24" s="466" t="n">
        <v>3.0695</v>
      </c>
      <c r="BR24" s="466" t="n">
        <v>3.0154</v>
      </c>
      <c r="BS24" s="466" t="n">
        <v>2.962</v>
      </c>
      <c r="BT24" s="466" t="n">
        <v>2.9093</v>
      </c>
      <c r="BU24" s="466" t="n">
        <v>2.8573</v>
      </c>
      <c r="BV24" s="465" t="n">
        <v>2.806</v>
      </c>
      <c r="BW24" s="465" t="n">
        <v>2.7554</v>
      </c>
      <c r="BX24" s="465" t="n">
        <v>2.7055</v>
      </c>
      <c r="BY24" s="465" t="n">
        <v>2.6563</v>
      </c>
      <c r="BZ24" s="465" t="n">
        <v>2.6077</v>
      </c>
      <c r="CA24" s="465" t="n">
        <v>2.5598</v>
      </c>
      <c r="CB24" s="465" t="n">
        <v>2.5125</v>
      </c>
      <c r="CC24" s="465" t="n">
        <v>2.4659</v>
      </c>
      <c r="CD24" s="465" t="n">
        <v>2.4199</v>
      </c>
      <c r="CE24" s="465" t="n">
        <v>2.3745</v>
      </c>
      <c r="CF24" s="465" t="n">
        <v>2.3297</v>
      </c>
      <c r="CG24" s="465" t="n">
        <v>2.2855</v>
      </c>
      <c r="CH24" s="466" t="n">
        <v>2.2419</v>
      </c>
      <c r="CI24" s="466" t="n">
        <v>2.1989</v>
      </c>
      <c r="CJ24" s="466" t="n">
        <v>2.1565</v>
      </c>
      <c r="CK24" s="466" t="n">
        <v>2.1146</v>
      </c>
      <c r="CL24" s="466" t="n">
        <v>2.0733</v>
      </c>
      <c r="CM24" s="466" t="n">
        <v>2.0326</v>
      </c>
      <c r="CN24" s="466" t="n">
        <v>1.9924</v>
      </c>
      <c r="CO24" s="466" t="n">
        <v>1.9528</v>
      </c>
      <c r="CP24" s="466" t="n">
        <v>1.9137</v>
      </c>
      <c r="CQ24" s="466" t="n">
        <v>1.8751</v>
      </c>
      <c r="CR24" s="466" t="n">
        <v>1.837</v>
      </c>
      <c r="CS24" s="466" t="n">
        <v>1.7995</v>
      </c>
      <c r="CT24" s="465" t="n">
        <v>1.7624</v>
      </c>
      <c r="CU24" s="465" t="n">
        <v>1.7259</v>
      </c>
      <c r="CV24" s="465" t="n">
        <v>1.6898</v>
      </c>
      <c r="CW24" s="465" t="n">
        <v>1.6542</v>
      </c>
      <c r="CX24" s="465" t="n">
        <v>1.6191</v>
      </c>
      <c r="CY24" s="465" t="n">
        <v>1.5845</v>
      </c>
      <c r="CZ24" s="465" t="n">
        <v>1.5504</v>
      </c>
      <c r="DA24" s="465" t="n">
        <v>1.5167</v>
      </c>
      <c r="DB24" s="465" t="n">
        <v>1.4834</v>
      </c>
      <c r="DC24" s="465" t="n">
        <v>1.4506</v>
      </c>
      <c r="DD24" s="465" t="n">
        <v>1.4183</v>
      </c>
      <c r="DE24" s="465" t="n">
        <v>1.3863</v>
      </c>
      <c r="DF24" s="466" t="n">
        <v>1.3549</v>
      </c>
      <c r="DG24" s="466" t="n">
        <v>1.3238</v>
      </c>
      <c r="DH24" s="466" t="n">
        <v>1.2931</v>
      </c>
      <c r="DI24" s="466" t="n">
        <v>1.2629</v>
      </c>
      <c r="DJ24" s="466" t="n">
        <v>1.2331</v>
      </c>
      <c r="DK24" s="466" t="n">
        <v>1.2036</v>
      </c>
      <c r="DL24" s="466" t="n">
        <v>1.1746</v>
      </c>
      <c r="DM24" s="466" t="n">
        <v>1.146</v>
      </c>
      <c r="DN24" s="466" t="n">
        <v>1.1177</v>
      </c>
      <c r="DO24" s="466" t="n">
        <v>1.0898</v>
      </c>
      <c r="DP24" s="466" t="n">
        <v>1.0623</v>
      </c>
      <c r="DQ24" s="466" t="n">
        <v>1.0352</v>
      </c>
      <c r="DR24" s="465" t="n">
        <v>1.0084</v>
      </c>
      <c r="DS24" s="465" t="n">
        <v>0.982</v>
      </c>
      <c r="DT24" s="465" t="n">
        <v>0.956</v>
      </c>
      <c r="DU24" s="465" t="n">
        <v>0.9303</v>
      </c>
      <c r="DV24" s="465" t="n">
        <v>0.9049</v>
      </c>
      <c r="DW24" s="465" t="n">
        <v>0.8799</v>
      </c>
      <c r="DX24" s="465" t="n">
        <v>0.8552</v>
      </c>
      <c r="DY24" s="465" t="n">
        <v>0.8309</v>
      </c>
      <c r="DZ24" s="465" t="n">
        <v>0.8068</v>
      </c>
      <c r="EA24" s="465" t="n">
        <v>0.7831</v>
      </c>
      <c r="EB24" s="465" t="n">
        <v>0.7598</v>
      </c>
      <c r="EC24" s="465" t="n">
        <v>0.7367</v>
      </c>
      <c r="ED24" s="466" t="n">
        <v>0.714</v>
      </c>
      <c r="EE24" s="466" t="n">
        <v>0.6915</v>
      </c>
      <c r="EF24" s="466" t="n">
        <v>0.6694</v>
      </c>
      <c r="EG24" s="466" t="n">
        <v>0.6475</v>
      </c>
      <c r="EH24" s="466" t="n">
        <v>0.626</v>
      </c>
      <c r="EI24" s="466" t="n">
        <v>0.6047</v>
      </c>
      <c r="EJ24" s="466" t="n">
        <v>0.5837</v>
      </c>
      <c r="EK24" s="466" t="n">
        <v>0.5629999999999999</v>
      </c>
      <c r="EL24" s="466" t="n">
        <v>0.5426</v>
      </c>
      <c r="EM24" s="466" t="n">
        <v>0.5225</v>
      </c>
      <c r="EN24" s="466" t="n">
        <v>0.5026</v>
      </c>
      <c r="EO24" s="466" t="n">
        <v>0.483</v>
      </c>
      <c r="EP24" s="465" t="n">
        <v>0.4637</v>
      </c>
      <c r="EQ24" s="465" t="n">
        <v>0.4446</v>
      </c>
      <c r="ER24" s="465" t="n">
        <v>0.4258</v>
      </c>
      <c r="ES24" s="465" t="n">
        <v>0.4072</v>
      </c>
      <c r="ET24" s="465" t="n">
        <v>0.3889</v>
      </c>
      <c r="EU24" s="465" t="n">
        <v>0.3708</v>
      </c>
      <c r="EV24" s="465" t="n">
        <v>0.353</v>
      </c>
      <c r="EW24" s="465" t="n">
        <v>0.3354</v>
      </c>
      <c r="EX24" s="465" t="n">
        <v>0.318</v>
      </c>
      <c r="EY24" s="465" t="n">
        <v>0.3009</v>
      </c>
      <c r="EZ24" s="465" t="n">
        <v>0.284</v>
      </c>
      <c r="FA24" s="465" t="n">
        <v>0.2673</v>
      </c>
      <c r="FB24" s="466" t="n">
        <v>0.2509</v>
      </c>
      <c r="FC24" s="466" t="n">
        <v>0.2347</v>
      </c>
      <c r="FD24" s="466" t="n">
        <v>0.2187</v>
      </c>
      <c r="FE24" s="466" t="n">
        <v>0.2029</v>
      </c>
      <c r="FF24" s="466" t="n">
        <v>0.1873</v>
      </c>
      <c r="FG24" s="466" t="n">
        <v>0.172</v>
      </c>
      <c r="FH24" s="466" t="n">
        <v>0.1568</v>
      </c>
      <c r="FI24" s="466" t="n">
        <v>0.1419</v>
      </c>
      <c r="FJ24" s="466" t="n">
        <v>0.1271</v>
      </c>
      <c r="FK24" s="466" t="n">
        <v>0.1126</v>
      </c>
      <c r="FL24" s="466" t="n">
        <v>0.0982</v>
      </c>
      <c r="FM24" s="466" t="n">
        <v>0.08400000000000001</v>
      </c>
      <c r="FN24" s="465" t="n">
        <v>0.0701</v>
      </c>
      <c r="FO24" s="465" t="n">
        <v>0.0563</v>
      </c>
      <c r="FP24" s="465" t="n">
        <v>0.0427</v>
      </c>
      <c r="FQ24" s="465" t="n">
        <v>0.0293</v>
      </c>
      <c r="FR24" s="465" t="n">
        <v>0.016</v>
      </c>
      <c r="FS24" s="465" t="n">
        <v>0.003</v>
      </c>
      <c r="FT24" s="465" t="n">
        <v>-0.009900000000000001</v>
      </c>
      <c r="FU24" s="465" t="n">
        <v>-0.0226</v>
      </c>
      <c r="FV24" s="465" t="n">
        <v>-0.0352</v>
      </c>
      <c r="FW24" s="465" t="n">
        <v>-0.0475</v>
      </c>
      <c r="FX24" s="465" t="n">
        <v>-0.0597</v>
      </c>
      <c r="FY24" s="465" t="n">
        <v>-0.0718</v>
      </c>
      <c r="FZ24" s="306" t="n"/>
    </row>
    <row r="25" ht="15" customHeight="1" s="307">
      <c r="A25" s="321" t="inlineStr">
        <is>
          <t xml:space="preserve">    Severance (Press 50%)</t>
        </is>
      </c>
      <c r="B25" s="458" t="n">
        <v>0</v>
      </c>
      <c r="C25" s="458" t="n">
        <v>0</v>
      </c>
      <c r="D25" s="458" t="n">
        <v>0</v>
      </c>
      <c r="E25" s="458" t="n">
        <v>1.4771</v>
      </c>
      <c r="F25" s="458" t="n">
        <v>0</v>
      </c>
      <c r="G25" s="458" t="n">
        <v>0</v>
      </c>
      <c r="H25" s="458" t="n">
        <v>1.5694</v>
      </c>
      <c r="I25" s="458" t="n">
        <v>0</v>
      </c>
      <c r="J25" s="458" t="n">
        <v>0</v>
      </c>
      <c r="K25" s="458" t="n">
        <v>1.7368</v>
      </c>
      <c r="L25" s="458" t="n">
        <v>0</v>
      </c>
      <c r="M25" s="458" t="n">
        <v>1.5002</v>
      </c>
      <c r="N25" s="459" t="n">
        <v>0</v>
      </c>
      <c r="O25" s="459" t="n">
        <v>0</v>
      </c>
      <c r="P25" s="459" t="n">
        <v>0</v>
      </c>
      <c r="Q25" s="459" t="n">
        <v>1.4656</v>
      </c>
      <c r="R25" s="459" t="n">
        <v>0</v>
      </c>
      <c r="S25" s="459" t="n">
        <v>0</v>
      </c>
      <c r="T25" s="459" t="n">
        <v>0</v>
      </c>
      <c r="U25" s="459" t="n">
        <v>0</v>
      </c>
      <c r="V25" s="459" t="n">
        <v>0</v>
      </c>
      <c r="W25" s="459" t="n">
        <v>0</v>
      </c>
      <c r="X25" s="459" t="n">
        <v>0</v>
      </c>
      <c r="Y25" s="459" t="n">
        <v>0</v>
      </c>
      <c r="Z25" s="458" t="n">
        <v>0</v>
      </c>
      <c r="AA25" s="458" t="n">
        <v>0</v>
      </c>
      <c r="AB25" s="458" t="n">
        <v>0</v>
      </c>
      <c r="AC25" s="458" t="n">
        <v>0</v>
      </c>
      <c r="AD25" s="458" t="n">
        <v>0</v>
      </c>
      <c r="AE25" s="458" t="n">
        <v>0</v>
      </c>
      <c r="AF25" s="458" t="n">
        <v>0</v>
      </c>
      <c r="AG25" s="458" t="n">
        <v>0</v>
      </c>
      <c r="AH25" s="458" t="n">
        <v>0</v>
      </c>
      <c r="AI25" s="458" t="n">
        <v>0</v>
      </c>
      <c r="AJ25" s="458" t="n">
        <v>0</v>
      </c>
      <c r="AK25" s="458" t="n">
        <v>0</v>
      </c>
      <c r="AL25" s="459" t="n">
        <v>0</v>
      </c>
      <c r="AM25" s="459" t="n">
        <v>0</v>
      </c>
      <c r="AN25" s="459" t="n">
        <v>0</v>
      </c>
      <c r="AO25" s="459" t="n">
        <v>0</v>
      </c>
      <c r="AP25" s="459" t="n">
        <v>0</v>
      </c>
      <c r="AQ25" s="459" t="n">
        <v>0</v>
      </c>
      <c r="AR25" s="459" t="n">
        <v>0</v>
      </c>
      <c r="AS25" s="459" t="n">
        <v>0</v>
      </c>
      <c r="AT25" s="459" t="n">
        <v>0</v>
      </c>
      <c r="AU25" s="459" t="n">
        <v>0</v>
      </c>
      <c r="AV25" s="459" t="n">
        <v>0</v>
      </c>
      <c r="AW25" s="459" t="n">
        <v>0</v>
      </c>
      <c r="AX25" s="458" t="n">
        <v>0</v>
      </c>
      <c r="AY25" s="458" t="n">
        <v>0</v>
      </c>
      <c r="AZ25" s="458" t="n">
        <v>0</v>
      </c>
      <c r="BA25" s="458" t="n">
        <v>0</v>
      </c>
      <c r="BB25" s="458" t="n">
        <v>0</v>
      </c>
      <c r="BC25" s="458" t="n">
        <v>0</v>
      </c>
      <c r="BD25" s="458" t="n">
        <v>0</v>
      </c>
      <c r="BE25" s="458" t="n">
        <v>0</v>
      </c>
      <c r="BF25" s="458" t="n">
        <v>0</v>
      </c>
      <c r="BG25" s="458" t="n">
        <v>0</v>
      </c>
      <c r="BH25" s="458" t="n">
        <v>0</v>
      </c>
      <c r="BI25" s="458" t="n">
        <v>0</v>
      </c>
      <c r="BJ25" s="459" t="n">
        <v>0</v>
      </c>
      <c r="BK25" s="459" t="n">
        <v>0</v>
      </c>
      <c r="BL25" s="459" t="n">
        <v>0</v>
      </c>
      <c r="BM25" s="459" t="n">
        <v>0</v>
      </c>
      <c r="BN25" s="459" t="n">
        <v>0</v>
      </c>
      <c r="BO25" s="459" t="n">
        <v>0</v>
      </c>
      <c r="BP25" s="459" t="n">
        <v>0</v>
      </c>
      <c r="BQ25" s="459" t="n">
        <v>0</v>
      </c>
      <c r="BR25" s="459" t="n">
        <v>0</v>
      </c>
      <c r="BS25" s="459" t="n">
        <v>0</v>
      </c>
      <c r="BT25" s="459" t="n">
        <v>0</v>
      </c>
      <c r="BU25" s="459" t="n">
        <v>0</v>
      </c>
      <c r="BV25" s="458" t="n">
        <v>0</v>
      </c>
      <c r="BW25" s="458" t="n">
        <v>0</v>
      </c>
      <c r="BX25" s="458" t="n">
        <v>0</v>
      </c>
      <c r="BY25" s="458" t="n">
        <v>0</v>
      </c>
      <c r="BZ25" s="458" t="n">
        <v>0</v>
      </c>
      <c r="CA25" s="458" t="n">
        <v>0</v>
      </c>
      <c r="CB25" s="458" t="n">
        <v>0</v>
      </c>
      <c r="CC25" s="458" t="n">
        <v>0</v>
      </c>
      <c r="CD25" s="458" t="n">
        <v>0</v>
      </c>
      <c r="CE25" s="458" t="n">
        <v>0</v>
      </c>
      <c r="CF25" s="458" t="n">
        <v>0</v>
      </c>
      <c r="CG25" s="458" t="n">
        <v>0</v>
      </c>
      <c r="CH25" s="459" t="n">
        <v>0</v>
      </c>
      <c r="CI25" s="459" t="n">
        <v>0</v>
      </c>
      <c r="CJ25" s="459" t="n">
        <v>0</v>
      </c>
      <c r="CK25" s="459" t="n">
        <v>0</v>
      </c>
      <c r="CL25" s="459" t="n">
        <v>0</v>
      </c>
      <c r="CM25" s="459" t="n">
        <v>0</v>
      </c>
      <c r="CN25" s="459" t="n">
        <v>0</v>
      </c>
      <c r="CO25" s="459" t="n">
        <v>0</v>
      </c>
      <c r="CP25" s="459" t="n">
        <v>0</v>
      </c>
      <c r="CQ25" s="459" t="n">
        <v>0</v>
      </c>
      <c r="CR25" s="459" t="n">
        <v>0</v>
      </c>
      <c r="CS25" s="459" t="n">
        <v>0</v>
      </c>
      <c r="CT25" s="458" t="n">
        <v>0</v>
      </c>
      <c r="CU25" s="458" t="n">
        <v>0</v>
      </c>
      <c r="CV25" s="458" t="n">
        <v>0</v>
      </c>
      <c r="CW25" s="458" t="n">
        <v>0</v>
      </c>
      <c r="CX25" s="458" t="n">
        <v>0</v>
      </c>
      <c r="CY25" s="458" t="n">
        <v>0</v>
      </c>
      <c r="CZ25" s="458" t="n">
        <v>0</v>
      </c>
      <c r="DA25" s="458" t="n">
        <v>0</v>
      </c>
      <c r="DB25" s="458" t="n">
        <v>0</v>
      </c>
      <c r="DC25" s="458" t="n">
        <v>0</v>
      </c>
      <c r="DD25" s="458" t="n">
        <v>0</v>
      </c>
      <c r="DE25" s="458" t="n">
        <v>0</v>
      </c>
      <c r="DF25" s="459" t="n">
        <v>0</v>
      </c>
      <c r="DG25" s="459" t="n">
        <v>0</v>
      </c>
      <c r="DH25" s="459" t="n">
        <v>0</v>
      </c>
      <c r="DI25" s="459" t="n">
        <v>0</v>
      </c>
      <c r="DJ25" s="459" t="n">
        <v>0</v>
      </c>
      <c r="DK25" s="459" t="n">
        <v>0</v>
      </c>
      <c r="DL25" s="459" t="n">
        <v>0</v>
      </c>
      <c r="DM25" s="459" t="n">
        <v>0</v>
      </c>
      <c r="DN25" s="459" t="n">
        <v>0</v>
      </c>
      <c r="DO25" s="459" t="n">
        <v>0</v>
      </c>
      <c r="DP25" s="459" t="n">
        <v>0</v>
      </c>
      <c r="DQ25" s="459" t="n">
        <v>0</v>
      </c>
      <c r="DR25" s="458" t="n">
        <v>0</v>
      </c>
      <c r="DS25" s="458" t="n">
        <v>0</v>
      </c>
      <c r="DT25" s="458" t="n">
        <v>0</v>
      </c>
      <c r="DU25" s="458" t="n">
        <v>0</v>
      </c>
      <c r="DV25" s="458" t="n">
        <v>0</v>
      </c>
      <c r="DW25" s="458" t="n">
        <v>0</v>
      </c>
      <c r="DX25" s="458" t="n">
        <v>0</v>
      </c>
      <c r="DY25" s="458" t="n">
        <v>0</v>
      </c>
      <c r="DZ25" s="458" t="n">
        <v>0</v>
      </c>
      <c r="EA25" s="458" t="n">
        <v>0</v>
      </c>
      <c r="EB25" s="458" t="n">
        <v>0</v>
      </c>
      <c r="EC25" s="458" t="n">
        <v>0</v>
      </c>
      <c r="ED25" s="459" t="n">
        <v>0</v>
      </c>
      <c r="EE25" s="459" t="n">
        <v>0</v>
      </c>
      <c r="EF25" s="459" t="n">
        <v>0</v>
      </c>
      <c r="EG25" s="459" t="n">
        <v>0</v>
      </c>
      <c r="EH25" s="459" t="n">
        <v>0</v>
      </c>
      <c r="EI25" s="459" t="n">
        <v>0</v>
      </c>
      <c r="EJ25" s="459" t="n">
        <v>0</v>
      </c>
      <c r="EK25" s="459" t="n">
        <v>0</v>
      </c>
      <c r="EL25" s="459" t="n">
        <v>0</v>
      </c>
      <c r="EM25" s="459" t="n">
        <v>0</v>
      </c>
      <c r="EN25" s="459" t="n">
        <v>0</v>
      </c>
      <c r="EO25" s="459" t="n">
        <v>0</v>
      </c>
      <c r="EP25" s="458" t="n">
        <v>0</v>
      </c>
      <c r="EQ25" s="458" t="n">
        <v>0</v>
      </c>
      <c r="ER25" s="458" t="n">
        <v>0</v>
      </c>
      <c r="ES25" s="458" t="n">
        <v>0</v>
      </c>
      <c r="ET25" s="458" t="n">
        <v>0</v>
      </c>
      <c r="EU25" s="458" t="n">
        <v>0</v>
      </c>
      <c r="EV25" s="458" t="n">
        <v>0</v>
      </c>
      <c r="EW25" s="458" t="n">
        <v>0</v>
      </c>
      <c r="EX25" s="458" t="n">
        <v>0</v>
      </c>
      <c r="EY25" s="458" t="n">
        <v>0</v>
      </c>
      <c r="EZ25" s="458" t="n">
        <v>0</v>
      </c>
      <c r="FA25" s="458" t="n">
        <v>0</v>
      </c>
      <c r="FB25" s="459" t="n">
        <v>0</v>
      </c>
      <c r="FC25" s="459" t="n">
        <v>0</v>
      </c>
      <c r="FD25" s="459" t="n">
        <v>0</v>
      </c>
      <c r="FE25" s="459" t="n">
        <v>0</v>
      </c>
      <c r="FF25" s="459" t="n">
        <v>0</v>
      </c>
      <c r="FG25" s="459" t="n">
        <v>0</v>
      </c>
      <c r="FH25" s="459" t="n">
        <v>0</v>
      </c>
      <c r="FI25" s="459" t="n">
        <v>0</v>
      </c>
      <c r="FJ25" s="459" t="n">
        <v>0</v>
      </c>
      <c r="FK25" s="459" t="n">
        <v>0</v>
      </c>
      <c r="FL25" s="459" t="n">
        <v>0</v>
      </c>
      <c r="FM25" s="459" t="n">
        <v>0</v>
      </c>
      <c r="FN25" s="458" t="n">
        <v>0</v>
      </c>
      <c r="FO25" s="458" t="n">
        <v>0</v>
      </c>
      <c r="FP25" s="458" t="n">
        <v>0</v>
      </c>
      <c r="FQ25" s="458" t="n">
        <v>0</v>
      </c>
      <c r="FR25" s="458" t="n">
        <v>0</v>
      </c>
      <c r="FS25" s="458" t="n">
        <v>0</v>
      </c>
      <c r="FT25" s="458" t="n">
        <v>0</v>
      </c>
      <c r="FU25" s="458" t="n">
        <v>0</v>
      </c>
      <c r="FV25" s="458" t="n">
        <v>0</v>
      </c>
      <c r="FW25" s="458" t="n">
        <v>0</v>
      </c>
      <c r="FX25" s="458" t="n">
        <v>0</v>
      </c>
      <c r="FY25" s="458" t="n">
        <v>0</v>
      </c>
      <c r="FZ25" s="306" t="n"/>
    </row>
    <row r="26" ht="15" customHeight="1" s="307">
      <c r="A26" s="468" t="inlineStr">
        <is>
          <t>Operating Income</t>
        </is>
      </c>
      <c r="B26" s="469" t="n">
        <v>-0.0813</v>
      </c>
      <c r="C26" s="469" t="n">
        <v>-0.0813</v>
      </c>
      <c r="D26" s="469" t="n">
        <v>-0.0813</v>
      </c>
      <c r="E26" s="469" t="n">
        <v>-1.8157</v>
      </c>
      <c r="F26" s="469" t="n">
        <v>-0.1193</v>
      </c>
      <c r="G26" s="469" t="n">
        <v>0.094</v>
      </c>
      <c r="H26" s="469" t="n">
        <v>-1.9585</v>
      </c>
      <c r="I26" s="469" t="n">
        <v>0.5333</v>
      </c>
      <c r="J26" s="469" t="n">
        <v>0.9563</v>
      </c>
      <c r="K26" s="469" t="n">
        <v>-0.4232</v>
      </c>
      <c r="L26" s="469" t="n">
        <v>1.8227</v>
      </c>
      <c r="M26" s="469" t="n">
        <v>0.7905</v>
      </c>
      <c r="N26" s="470" t="n">
        <v>2.6832</v>
      </c>
      <c r="O26" s="470" t="n">
        <v>3.2096</v>
      </c>
      <c r="P26" s="470" t="n">
        <v>3.7212</v>
      </c>
      <c r="Q26" s="470" t="n">
        <v>2.7324</v>
      </c>
      <c r="R26" s="470" t="n">
        <v>4.6743</v>
      </c>
      <c r="S26" s="470" t="n">
        <v>5.1369</v>
      </c>
      <c r="T26" s="470" t="n">
        <v>5.4349</v>
      </c>
      <c r="U26" s="470" t="n">
        <v>5.6715</v>
      </c>
      <c r="V26" s="470" t="n">
        <v>5.9006</v>
      </c>
      <c r="W26" s="470" t="n">
        <v>6.1223</v>
      </c>
      <c r="X26" s="470" t="n">
        <v>6.1314</v>
      </c>
      <c r="Y26" s="470" t="n">
        <v>6.1389</v>
      </c>
      <c r="Z26" s="469" t="n">
        <v>6.0951</v>
      </c>
      <c r="AA26" s="469" t="n">
        <v>6.0511</v>
      </c>
      <c r="AB26" s="469" t="n">
        <v>6.007</v>
      </c>
      <c r="AC26" s="469" t="n">
        <v>5.9628</v>
      </c>
      <c r="AD26" s="469" t="n">
        <v>5.8697</v>
      </c>
      <c r="AE26" s="469" t="n">
        <v>5.7779</v>
      </c>
      <c r="AF26" s="469" t="n">
        <v>5.6874</v>
      </c>
      <c r="AG26" s="469" t="n">
        <v>5.598</v>
      </c>
      <c r="AH26" s="469" t="n">
        <v>5.5099</v>
      </c>
      <c r="AI26" s="469" t="n">
        <v>5.4229</v>
      </c>
      <c r="AJ26" s="469" t="n">
        <v>5.3371</v>
      </c>
      <c r="AK26" s="469" t="n">
        <v>0.2365</v>
      </c>
      <c r="AL26" s="470" t="n">
        <v>5.169</v>
      </c>
      <c r="AM26" s="470" t="n">
        <v>5.0866</v>
      </c>
      <c r="AN26" s="470" t="n">
        <v>5.0053</v>
      </c>
      <c r="AO26" s="470" t="n">
        <v>4.9252</v>
      </c>
      <c r="AP26" s="470" t="n">
        <v>4.8461</v>
      </c>
      <c r="AQ26" s="470" t="n">
        <v>4.768</v>
      </c>
      <c r="AR26" s="470" t="n">
        <v>4.6911</v>
      </c>
      <c r="AS26" s="470" t="n">
        <v>4.6151</v>
      </c>
      <c r="AT26" s="470" t="n">
        <v>4.5402</v>
      </c>
      <c r="AU26" s="470" t="n">
        <v>4.4663</v>
      </c>
      <c r="AV26" s="470" t="n">
        <v>4.3934</v>
      </c>
      <c r="AW26" s="470" t="n">
        <v>1.5158</v>
      </c>
      <c r="AX26" s="469" t="n">
        <v>4.2504</v>
      </c>
      <c r="AY26" s="469" t="n">
        <v>4.1804</v>
      </c>
      <c r="AZ26" s="469" t="n">
        <v>4.1113</v>
      </c>
      <c r="BA26" s="469" t="n">
        <v>4.0432</v>
      </c>
      <c r="BB26" s="469" t="n">
        <v>3.976</v>
      </c>
      <c r="BC26" s="469" t="n">
        <v>3.9096</v>
      </c>
      <c r="BD26" s="469" t="n">
        <v>3.8442</v>
      </c>
      <c r="BE26" s="469" t="n">
        <v>3.7796</v>
      </c>
      <c r="BF26" s="469" t="n">
        <v>3.716</v>
      </c>
      <c r="BG26" s="469" t="n">
        <v>3.6531</v>
      </c>
      <c r="BH26" s="469" t="n">
        <v>3.5911</v>
      </c>
      <c r="BI26" s="469" t="n">
        <v>2.8637</v>
      </c>
      <c r="BJ26" s="470" t="n">
        <v>3.4697</v>
      </c>
      <c r="BK26" s="470" t="n">
        <v>3.4102</v>
      </c>
      <c r="BL26" s="470" t="n">
        <v>3.3514</v>
      </c>
      <c r="BM26" s="470" t="n">
        <v>3.2935</v>
      </c>
      <c r="BN26" s="470" t="n">
        <v>3.2364</v>
      </c>
      <c r="BO26" s="470" t="n">
        <v>3.18</v>
      </c>
      <c r="BP26" s="470" t="n">
        <v>3.1244</v>
      </c>
      <c r="BQ26" s="470" t="n">
        <v>3.0695</v>
      </c>
      <c r="BR26" s="470" t="n">
        <v>3.0154</v>
      </c>
      <c r="BS26" s="470" t="n">
        <v>2.962</v>
      </c>
      <c r="BT26" s="470" t="n">
        <v>2.9093</v>
      </c>
      <c r="BU26" s="470" t="n">
        <v>2.8573</v>
      </c>
      <c r="BV26" s="469" t="n">
        <v>2.806</v>
      </c>
      <c r="BW26" s="469" t="n">
        <v>2.7554</v>
      </c>
      <c r="BX26" s="469" t="n">
        <v>2.7055</v>
      </c>
      <c r="BY26" s="469" t="n">
        <v>2.6563</v>
      </c>
      <c r="BZ26" s="469" t="n">
        <v>2.6077</v>
      </c>
      <c r="CA26" s="469" t="n">
        <v>2.5598</v>
      </c>
      <c r="CB26" s="469" t="n">
        <v>2.5125</v>
      </c>
      <c r="CC26" s="469" t="n">
        <v>2.4659</v>
      </c>
      <c r="CD26" s="469" t="n">
        <v>2.4199</v>
      </c>
      <c r="CE26" s="469" t="n">
        <v>2.3745</v>
      </c>
      <c r="CF26" s="469" t="n">
        <v>2.3297</v>
      </c>
      <c r="CG26" s="469" t="n">
        <v>2.2855</v>
      </c>
      <c r="CH26" s="470" t="n">
        <v>2.2419</v>
      </c>
      <c r="CI26" s="470" t="n">
        <v>2.1989</v>
      </c>
      <c r="CJ26" s="470" t="n">
        <v>2.1565</v>
      </c>
      <c r="CK26" s="470" t="n">
        <v>2.1146</v>
      </c>
      <c r="CL26" s="470" t="n">
        <v>2.0733</v>
      </c>
      <c r="CM26" s="470" t="n">
        <v>2.0326</v>
      </c>
      <c r="CN26" s="470" t="n">
        <v>1.9924</v>
      </c>
      <c r="CO26" s="470" t="n">
        <v>1.9528</v>
      </c>
      <c r="CP26" s="470" t="n">
        <v>1.9137</v>
      </c>
      <c r="CQ26" s="470" t="n">
        <v>1.8751</v>
      </c>
      <c r="CR26" s="470" t="n">
        <v>1.837</v>
      </c>
      <c r="CS26" s="470" t="n">
        <v>1.7995</v>
      </c>
      <c r="CT26" s="469" t="n">
        <v>1.7624</v>
      </c>
      <c r="CU26" s="469" t="n">
        <v>1.7259</v>
      </c>
      <c r="CV26" s="469" t="n">
        <v>1.6898</v>
      </c>
      <c r="CW26" s="469" t="n">
        <v>1.6542</v>
      </c>
      <c r="CX26" s="469" t="n">
        <v>1.6191</v>
      </c>
      <c r="CY26" s="469" t="n">
        <v>1.5845</v>
      </c>
      <c r="CZ26" s="469" t="n">
        <v>1.5504</v>
      </c>
      <c r="DA26" s="469" t="n">
        <v>1.5167</v>
      </c>
      <c r="DB26" s="469" t="n">
        <v>1.4834</v>
      </c>
      <c r="DC26" s="469" t="n">
        <v>1.4506</v>
      </c>
      <c r="DD26" s="469" t="n">
        <v>1.4183</v>
      </c>
      <c r="DE26" s="469" t="n">
        <v>1.3863</v>
      </c>
      <c r="DF26" s="470" t="n">
        <v>1.3549</v>
      </c>
      <c r="DG26" s="470" t="n">
        <v>1.3238</v>
      </c>
      <c r="DH26" s="470" t="n">
        <v>1.2931</v>
      </c>
      <c r="DI26" s="470" t="n">
        <v>1.2629</v>
      </c>
      <c r="DJ26" s="470" t="n">
        <v>1.2331</v>
      </c>
      <c r="DK26" s="470" t="n">
        <v>1.2036</v>
      </c>
      <c r="DL26" s="470" t="n">
        <v>1.1746</v>
      </c>
      <c r="DM26" s="470" t="n">
        <v>1.146</v>
      </c>
      <c r="DN26" s="470" t="n">
        <v>1.1177</v>
      </c>
      <c r="DO26" s="470" t="n">
        <v>1.0898</v>
      </c>
      <c r="DP26" s="470" t="n">
        <v>1.0623</v>
      </c>
      <c r="DQ26" s="470" t="n">
        <v>1.0352</v>
      </c>
      <c r="DR26" s="469" t="n">
        <v>1.0084</v>
      </c>
      <c r="DS26" s="469" t="n">
        <v>0.982</v>
      </c>
      <c r="DT26" s="469" t="n">
        <v>0.956</v>
      </c>
      <c r="DU26" s="469" t="n">
        <v>0.9303</v>
      </c>
      <c r="DV26" s="469" t="n">
        <v>0.9049</v>
      </c>
      <c r="DW26" s="469" t="n">
        <v>0.8799</v>
      </c>
      <c r="DX26" s="469" t="n">
        <v>0.8552</v>
      </c>
      <c r="DY26" s="469" t="n">
        <v>0.8309</v>
      </c>
      <c r="DZ26" s="469" t="n">
        <v>0.8068</v>
      </c>
      <c r="EA26" s="469" t="n">
        <v>0.7831</v>
      </c>
      <c r="EB26" s="469" t="n">
        <v>0.7598</v>
      </c>
      <c r="EC26" s="469" t="n">
        <v>0.7367</v>
      </c>
      <c r="ED26" s="470" t="n">
        <v>0.714</v>
      </c>
      <c r="EE26" s="470" t="n">
        <v>0.6915</v>
      </c>
      <c r="EF26" s="470" t="n">
        <v>0.6694</v>
      </c>
      <c r="EG26" s="470" t="n">
        <v>0.6475</v>
      </c>
      <c r="EH26" s="470" t="n">
        <v>0.626</v>
      </c>
      <c r="EI26" s="470" t="n">
        <v>0.6047</v>
      </c>
      <c r="EJ26" s="470" t="n">
        <v>0.5837</v>
      </c>
      <c r="EK26" s="470" t="n">
        <v>0.5629999999999999</v>
      </c>
      <c r="EL26" s="470" t="n">
        <v>0.5426</v>
      </c>
      <c r="EM26" s="470" t="n">
        <v>0.5225</v>
      </c>
      <c r="EN26" s="470" t="n">
        <v>0.5026</v>
      </c>
      <c r="EO26" s="470" t="n">
        <v>0.483</v>
      </c>
      <c r="EP26" s="469" t="n">
        <v>0.4637</v>
      </c>
      <c r="EQ26" s="469" t="n">
        <v>0.4446</v>
      </c>
      <c r="ER26" s="469" t="n">
        <v>0.4258</v>
      </c>
      <c r="ES26" s="469" t="n">
        <v>0.4072</v>
      </c>
      <c r="ET26" s="469" t="n">
        <v>0.3889</v>
      </c>
      <c r="EU26" s="469" t="n">
        <v>0.3708</v>
      </c>
      <c r="EV26" s="469" t="n">
        <v>0.353</v>
      </c>
      <c r="EW26" s="469" t="n">
        <v>0.3354</v>
      </c>
      <c r="EX26" s="469" t="n">
        <v>0.318</v>
      </c>
      <c r="EY26" s="469" t="n">
        <v>0.3009</v>
      </c>
      <c r="EZ26" s="469" t="n">
        <v>0.284</v>
      </c>
      <c r="FA26" s="469" t="n">
        <v>0.2673</v>
      </c>
      <c r="FB26" s="470" t="n">
        <v>0.2509</v>
      </c>
      <c r="FC26" s="470" t="n">
        <v>0.2347</v>
      </c>
      <c r="FD26" s="470" t="n">
        <v>0.2187</v>
      </c>
      <c r="FE26" s="470" t="n">
        <v>0.2029</v>
      </c>
      <c r="FF26" s="470" t="n">
        <v>0.1873</v>
      </c>
      <c r="FG26" s="470" t="n">
        <v>0.172</v>
      </c>
      <c r="FH26" s="470" t="n">
        <v>0.1568</v>
      </c>
      <c r="FI26" s="470" t="n">
        <v>0.1419</v>
      </c>
      <c r="FJ26" s="470" t="n">
        <v>0.1271</v>
      </c>
      <c r="FK26" s="470" t="n">
        <v>0.1126</v>
      </c>
      <c r="FL26" s="470" t="n">
        <v>0.0982</v>
      </c>
      <c r="FM26" s="470" t="n">
        <v>0.08400000000000001</v>
      </c>
      <c r="FN26" s="469" t="n">
        <v>0.0701</v>
      </c>
      <c r="FO26" s="469" t="n">
        <v>0.0563</v>
      </c>
      <c r="FP26" s="469" t="n">
        <v>0.0427</v>
      </c>
      <c r="FQ26" s="469" t="n">
        <v>0.0293</v>
      </c>
      <c r="FR26" s="469" t="n">
        <v>0.016</v>
      </c>
      <c r="FS26" s="469" t="n">
        <v>0.003</v>
      </c>
      <c r="FT26" s="469" t="n">
        <v>-0.009900000000000001</v>
      </c>
      <c r="FU26" s="469" t="n">
        <v>-0.0226</v>
      </c>
      <c r="FV26" s="469" t="n">
        <v>-0.0352</v>
      </c>
      <c r="FW26" s="469" t="n">
        <v>-0.0475</v>
      </c>
      <c r="FX26" s="469" t="n">
        <v>-0.0597</v>
      </c>
      <c r="FY26" s="469" t="n">
        <v>-0.0718</v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 t="n">
        <v>0.25</v>
      </c>
      <c r="C28" s="458" t="n">
        <v>0.25</v>
      </c>
      <c r="D28" s="458" t="n">
        <v>0.25</v>
      </c>
      <c r="E28" s="458" t="n">
        <v>0.25</v>
      </c>
      <c r="F28" s="458" t="n">
        <v>0.25</v>
      </c>
      <c r="G28" s="458" t="n">
        <v>0.25</v>
      </c>
      <c r="H28" s="458" t="n">
        <v>0.25</v>
      </c>
      <c r="I28" s="458" t="n">
        <v>0.25</v>
      </c>
      <c r="J28" s="458" t="n">
        <v>0.25</v>
      </c>
      <c r="K28" s="458" t="n">
        <v>0.25</v>
      </c>
      <c r="L28" s="458" t="n">
        <v>0.25</v>
      </c>
      <c r="M28" s="458" t="n">
        <v>0.25</v>
      </c>
      <c r="N28" s="459" t="n">
        <v>0</v>
      </c>
      <c r="O28" s="459" t="n">
        <v>0</v>
      </c>
      <c r="P28" s="459" t="n">
        <v>0</v>
      </c>
      <c r="Q28" s="459" t="n">
        <v>0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0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0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0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322" t="inlineStr">
        <is>
          <t>Distributable Cash</t>
        </is>
      </c>
      <c r="B29" s="461" t="n">
        <v>-0.3312</v>
      </c>
      <c r="C29" s="461" t="n">
        <v>-0.3312</v>
      </c>
      <c r="D29" s="461" t="n">
        <v>-0.3312</v>
      </c>
      <c r="E29" s="461" t="n">
        <v>-2.0657</v>
      </c>
      <c r="F29" s="461" t="n">
        <v>-0.3693</v>
      </c>
      <c r="G29" s="461" t="n">
        <v>-0.156</v>
      </c>
      <c r="H29" s="461" t="n">
        <v>-2.2085</v>
      </c>
      <c r="I29" s="461" t="n">
        <v>0.2833</v>
      </c>
      <c r="J29" s="461" t="n">
        <v>0.7063</v>
      </c>
      <c r="K29" s="461" t="n">
        <v>-0.6732</v>
      </c>
      <c r="L29" s="461" t="n">
        <v>1.5727</v>
      </c>
      <c r="M29" s="461" t="n">
        <v>0.5405</v>
      </c>
      <c r="N29" s="462" t="n">
        <v>2.6832</v>
      </c>
      <c r="O29" s="462" t="n">
        <v>3.2096</v>
      </c>
      <c r="P29" s="462" t="n">
        <v>3.7212</v>
      </c>
      <c r="Q29" s="462" t="n">
        <v>2.7324</v>
      </c>
      <c r="R29" s="462" t="n">
        <v>4.6743</v>
      </c>
      <c r="S29" s="462" t="n">
        <v>5.1369</v>
      </c>
      <c r="T29" s="462" t="n">
        <v>5.4349</v>
      </c>
      <c r="U29" s="462" t="n">
        <v>5.6715</v>
      </c>
      <c r="V29" s="462" t="n">
        <v>5.9006</v>
      </c>
      <c r="W29" s="462" t="n">
        <v>6.1223</v>
      </c>
      <c r="X29" s="462" t="n">
        <v>6.1314</v>
      </c>
      <c r="Y29" s="462" t="n">
        <v>6.1389</v>
      </c>
      <c r="Z29" s="461" t="n">
        <v>6.0951</v>
      </c>
      <c r="AA29" s="461" t="n">
        <v>6.0511</v>
      </c>
      <c r="AB29" s="461" t="n">
        <v>6.007</v>
      </c>
      <c r="AC29" s="461" t="n">
        <v>5.9628</v>
      </c>
      <c r="AD29" s="461" t="n">
        <v>5.8697</v>
      </c>
      <c r="AE29" s="461" t="n">
        <v>5.7779</v>
      </c>
      <c r="AF29" s="461" t="n">
        <v>5.6874</v>
      </c>
      <c r="AG29" s="461" t="n">
        <v>5.598</v>
      </c>
      <c r="AH29" s="461" t="n">
        <v>5.5099</v>
      </c>
      <c r="AI29" s="461" t="n">
        <v>5.4229</v>
      </c>
      <c r="AJ29" s="461" t="n">
        <v>5.3371</v>
      </c>
      <c r="AK29" s="461" t="n">
        <v>0.2365</v>
      </c>
      <c r="AL29" s="462" t="n">
        <v>5.169</v>
      </c>
      <c r="AM29" s="462" t="n">
        <v>5.0866</v>
      </c>
      <c r="AN29" s="462" t="n">
        <v>5.0053</v>
      </c>
      <c r="AO29" s="462" t="n">
        <v>4.9252</v>
      </c>
      <c r="AP29" s="462" t="n">
        <v>4.8461</v>
      </c>
      <c r="AQ29" s="462" t="n">
        <v>4.768</v>
      </c>
      <c r="AR29" s="462" t="n">
        <v>4.6911</v>
      </c>
      <c r="AS29" s="462" t="n">
        <v>4.6151</v>
      </c>
      <c r="AT29" s="462" t="n">
        <v>4.5402</v>
      </c>
      <c r="AU29" s="462" t="n">
        <v>4.4663</v>
      </c>
      <c r="AV29" s="462" t="n">
        <v>4.3934</v>
      </c>
      <c r="AW29" s="462" t="n">
        <v>1.5158</v>
      </c>
      <c r="AX29" s="461" t="n">
        <v>4.2504</v>
      </c>
      <c r="AY29" s="461" t="n">
        <v>4.1804</v>
      </c>
      <c r="AZ29" s="461" t="n">
        <v>4.1113</v>
      </c>
      <c r="BA29" s="461" t="n">
        <v>4.0432</v>
      </c>
      <c r="BB29" s="461" t="n">
        <v>3.976</v>
      </c>
      <c r="BC29" s="461" t="n">
        <v>3.9096</v>
      </c>
      <c r="BD29" s="461" t="n">
        <v>3.8442</v>
      </c>
      <c r="BE29" s="461" t="n">
        <v>3.7796</v>
      </c>
      <c r="BF29" s="461" t="n">
        <v>3.716</v>
      </c>
      <c r="BG29" s="461" t="n">
        <v>3.6531</v>
      </c>
      <c r="BH29" s="461" t="n">
        <v>3.5911</v>
      </c>
      <c r="BI29" s="461" t="n">
        <v>2.8637</v>
      </c>
      <c r="BJ29" s="462" t="n">
        <v>3.4697</v>
      </c>
      <c r="BK29" s="462" t="n">
        <v>3.4102</v>
      </c>
      <c r="BL29" s="462" t="n">
        <v>3.3514</v>
      </c>
      <c r="BM29" s="462" t="n">
        <v>3.2935</v>
      </c>
      <c r="BN29" s="462" t="n">
        <v>3.2364</v>
      </c>
      <c r="BO29" s="462" t="n">
        <v>3.18</v>
      </c>
      <c r="BP29" s="462" t="n">
        <v>3.1244</v>
      </c>
      <c r="BQ29" s="462" t="n">
        <v>3.0695</v>
      </c>
      <c r="BR29" s="462" t="n">
        <v>3.0154</v>
      </c>
      <c r="BS29" s="462" t="n">
        <v>2.962</v>
      </c>
      <c r="BT29" s="462" t="n">
        <v>2.9093</v>
      </c>
      <c r="BU29" s="462" t="n">
        <v>2.8573</v>
      </c>
      <c r="BV29" s="461" t="n">
        <v>2.806</v>
      </c>
      <c r="BW29" s="461" t="n">
        <v>2.7554</v>
      </c>
      <c r="BX29" s="461" t="n">
        <v>2.7055</v>
      </c>
      <c r="BY29" s="461" t="n">
        <v>2.6563</v>
      </c>
      <c r="BZ29" s="461" t="n">
        <v>2.6077</v>
      </c>
      <c r="CA29" s="461" t="n">
        <v>2.5598</v>
      </c>
      <c r="CB29" s="461" t="n">
        <v>2.5125</v>
      </c>
      <c r="CC29" s="461" t="n">
        <v>2.4659</v>
      </c>
      <c r="CD29" s="461" t="n">
        <v>2.4199</v>
      </c>
      <c r="CE29" s="461" t="n">
        <v>2.3745</v>
      </c>
      <c r="CF29" s="461" t="n">
        <v>2.3297</v>
      </c>
      <c r="CG29" s="461" t="n">
        <v>2.2855</v>
      </c>
      <c r="CH29" s="462" t="n">
        <v>2.2419</v>
      </c>
      <c r="CI29" s="462" t="n">
        <v>2.1989</v>
      </c>
      <c r="CJ29" s="462" t="n">
        <v>2.1565</v>
      </c>
      <c r="CK29" s="462" t="n">
        <v>2.1146</v>
      </c>
      <c r="CL29" s="462" t="n">
        <v>2.0733</v>
      </c>
      <c r="CM29" s="462" t="n">
        <v>2.0326</v>
      </c>
      <c r="CN29" s="462" t="n">
        <v>1.9924</v>
      </c>
      <c r="CO29" s="462" t="n">
        <v>1.9528</v>
      </c>
      <c r="CP29" s="462" t="n">
        <v>1.9137</v>
      </c>
      <c r="CQ29" s="462" t="n">
        <v>1.8751</v>
      </c>
      <c r="CR29" s="462" t="n">
        <v>1.837</v>
      </c>
      <c r="CS29" s="462" t="n">
        <v>1.7995</v>
      </c>
      <c r="CT29" s="461" t="n">
        <v>1.7624</v>
      </c>
      <c r="CU29" s="461" t="n">
        <v>1.7259</v>
      </c>
      <c r="CV29" s="461" t="n">
        <v>1.6898</v>
      </c>
      <c r="CW29" s="461" t="n">
        <v>1.6542</v>
      </c>
      <c r="CX29" s="461" t="n">
        <v>1.6191</v>
      </c>
      <c r="CY29" s="461" t="n">
        <v>1.5845</v>
      </c>
      <c r="CZ29" s="461" t="n">
        <v>1.5504</v>
      </c>
      <c r="DA29" s="461" t="n">
        <v>1.5167</v>
      </c>
      <c r="DB29" s="461" t="n">
        <v>1.4834</v>
      </c>
      <c r="DC29" s="461" t="n">
        <v>1.4506</v>
      </c>
      <c r="DD29" s="461" t="n">
        <v>1.4183</v>
      </c>
      <c r="DE29" s="461" t="n">
        <v>1.3863</v>
      </c>
      <c r="DF29" s="462" t="n">
        <v>1.3549</v>
      </c>
      <c r="DG29" s="462" t="n">
        <v>1.3238</v>
      </c>
      <c r="DH29" s="462" t="n">
        <v>1.2931</v>
      </c>
      <c r="DI29" s="462" t="n">
        <v>1.2629</v>
      </c>
      <c r="DJ29" s="462" t="n">
        <v>1.2331</v>
      </c>
      <c r="DK29" s="462" t="n">
        <v>1.2036</v>
      </c>
      <c r="DL29" s="462" t="n">
        <v>1.1746</v>
      </c>
      <c r="DM29" s="462" t="n">
        <v>1.146</v>
      </c>
      <c r="DN29" s="462" t="n">
        <v>1.1177</v>
      </c>
      <c r="DO29" s="462" t="n">
        <v>1.0898</v>
      </c>
      <c r="DP29" s="462" t="n">
        <v>1.0623</v>
      </c>
      <c r="DQ29" s="462" t="n">
        <v>1.0352</v>
      </c>
      <c r="DR29" s="461" t="n">
        <v>1.0084</v>
      </c>
      <c r="DS29" s="461" t="n">
        <v>0.982</v>
      </c>
      <c r="DT29" s="461" t="n">
        <v>0.956</v>
      </c>
      <c r="DU29" s="461" t="n">
        <v>0.9303</v>
      </c>
      <c r="DV29" s="461" t="n">
        <v>0.9049</v>
      </c>
      <c r="DW29" s="461" t="n">
        <v>0.8799</v>
      </c>
      <c r="DX29" s="461" t="n">
        <v>0.8552</v>
      </c>
      <c r="DY29" s="461" t="n">
        <v>0.8309</v>
      </c>
      <c r="DZ29" s="461" t="n">
        <v>0.8068</v>
      </c>
      <c r="EA29" s="461" t="n">
        <v>0.7831</v>
      </c>
      <c r="EB29" s="461" t="n">
        <v>0.7598</v>
      </c>
      <c r="EC29" s="461" t="n">
        <v>0.7367</v>
      </c>
      <c r="ED29" s="462" t="n">
        <v>0.714</v>
      </c>
      <c r="EE29" s="462" t="n">
        <v>0.6915</v>
      </c>
      <c r="EF29" s="462" t="n">
        <v>0.6694</v>
      </c>
      <c r="EG29" s="462" t="n">
        <v>0.6475</v>
      </c>
      <c r="EH29" s="462" t="n">
        <v>0.626</v>
      </c>
      <c r="EI29" s="462" t="n">
        <v>0.6047</v>
      </c>
      <c r="EJ29" s="462" t="n">
        <v>0.5837</v>
      </c>
      <c r="EK29" s="462" t="n">
        <v>0.5629999999999999</v>
      </c>
      <c r="EL29" s="462" t="n">
        <v>0.5426</v>
      </c>
      <c r="EM29" s="462" t="n">
        <v>0.5225</v>
      </c>
      <c r="EN29" s="462" t="n">
        <v>0.5026</v>
      </c>
      <c r="EO29" s="462" t="n">
        <v>0.483</v>
      </c>
      <c r="EP29" s="461" t="n">
        <v>0.4637</v>
      </c>
      <c r="EQ29" s="461" t="n">
        <v>0.4446</v>
      </c>
      <c r="ER29" s="461" t="n">
        <v>0.4258</v>
      </c>
      <c r="ES29" s="461" t="n">
        <v>0.4072</v>
      </c>
      <c r="ET29" s="461" t="n">
        <v>0.3889</v>
      </c>
      <c r="EU29" s="461" t="n">
        <v>0.3708</v>
      </c>
      <c r="EV29" s="461" t="n">
        <v>0.353</v>
      </c>
      <c r="EW29" s="461" t="n">
        <v>0.3354</v>
      </c>
      <c r="EX29" s="461" t="n">
        <v>0.318</v>
      </c>
      <c r="EY29" s="461" t="n">
        <v>0.3009</v>
      </c>
      <c r="EZ29" s="461" t="n">
        <v>0.284</v>
      </c>
      <c r="FA29" s="461" t="n">
        <v>0.2673</v>
      </c>
      <c r="FB29" s="462" t="n">
        <v>0.2509</v>
      </c>
      <c r="FC29" s="462" t="n">
        <v>0.2347</v>
      </c>
      <c r="FD29" s="462" t="n">
        <v>0.2187</v>
      </c>
      <c r="FE29" s="462" t="n">
        <v>0.2029</v>
      </c>
      <c r="FF29" s="462" t="n">
        <v>0.1873</v>
      </c>
      <c r="FG29" s="462" t="n">
        <v>0.172</v>
      </c>
      <c r="FH29" s="462" t="n">
        <v>0.1568</v>
      </c>
      <c r="FI29" s="462" t="n">
        <v>0.1419</v>
      </c>
      <c r="FJ29" s="462" t="n">
        <v>0.1271</v>
      </c>
      <c r="FK29" s="462" t="n">
        <v>0.1126</v>
      </c>
      <c r="FL29" s="462" t="n">
        <v>0.0982</v>
      </c>
      <c r="FM29" s="462" t="n">
        <v>0.08400000000000001</v>
      </c>
      <c r="FN29" s="461" t="n">
        <v>0.0701</v>
      </c>
      <c r="FO29" s="461" t="n">
        <v>0.0563</v>
      </c>
      <c r="FP29" s="461" t="n">
        <v>0.0427</v>
      </c>
      <c r="FQ29" s="461" t="n">
        <v>0.0293</v>
      </c>
      <c r="FR29" s="461" t="n">
        <v>0.016</v>
      </c>
      <c r="FS29" s="461" t="n">
        <v>0.003</v>
      </c>
      <c r="FT29" s="461" t="n">
        <v>-0.009900000000000001</v>
      </c>
      <c r="FU29" s="461" t="n">
        <v>-0.0226</v>
      </c>
      <c r="FV29" s="461" t="n">
        <v>-0.0352</v>
      </c>
      <c r="FW29" s="461" t="n">
        <v>-0.0475</v>
      </c>
      <c r="FX29" s="461" t="n">
        <v>-0.0597</v>
      </c>
      <c r="FY29" s="461" t="n">
        <v>-0.0718</v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471" t="inlineStr">
        <is>
          <t>MONTHLY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 t="n">
        <v>0</v>
      </c>
      <c r="C6" s="458" t="n">
        <v>0</v>
      </c>
      <c r="D6" s="458" t="n">
        <v>0</v>
      </c>
      <c r="E6" s="458" t="n">
        <v>2.1333</v>
      </c>
      <c r="F6" s="458" t="n">
        <v>2.1046</v>
      </c>
      <c r="G6" s="458" t="n">
        <v>2.0763</v>
      </c>
      <c r="H6" s="458" t="n">
        <v>2.0484</v>
      </c>
      <c r="I6" s="458" t="n">
        <v>2.0208</v>
      </c>
      <c r="J6" s="458" t="n">
        <v>1.9937</v>
      </c>
      <c r="K6" s="458" t="n">
        <v>1.9668</v>
      </c>
      <c r="L6" s="458" t="n">
        <v>1.9404</v>
      </c>
      <c r="M6" s="458" t="n">
        <v>1.9143</v>
      </c>
      <c r="N6" s="459" t="n">
        <v>1.8885</v>
      </c>
      <c r="O6" s="459" t="n">
        <v>1.8631</v>
      </c>
      <c r="P6" s="459" t="n">
        <v>1.8381</v>
      </c>
      <c r="Q6" s="459" t="n">
        <v>1.8133</v>
      </c>
      <c r="R6" s="459" t="n">
        <v>1.7889</v>
      </c>
      <c r="S6" s="459" t="n">
        <v>1.7649</v>
      </c>
      <c r="T6" s="459" t="n">
        <v>1.7411</v>
      </c>
      <c r="U6" s="459" t="n">
        <v>1.7177</v>
      </c>
      <c r="V6" s="459" t="n">
        <v>1.6946</v>
      </c>
      <c r="W6" s="459" t="n">
        <v>1.6718</v>
      </c>
      <c r="X6" s="459" t="n">
        <v>1.6493</v>
      </c>
      <c r="Y6" s="459" t="n">
        <v>1.6271</v>
      </c>
      <c r="Z6" s="458" t="n">
        <v>1.6052</v>
      </c>
      <c r="AA6" s="458" t="n">
        <v>1.5837</v>
      </c>
      <c r="AB6" s="458" t="n">
        <v>1.5623</v>
      </c>
      <c r="AC6" s="458" t="n">
        <v>1.5413</v>
      </c>
      <c r="AD6" s="458" t="n">
        <v>1.5206</v>
      </c>
      <c r="AE6" s="458" t="n">
        <v>1.5001</v>
      </c>
      <c r="AF6" s="458" t="n">
        <v>1.48</v>
      </c>
      <c r="AG6" s="458" t="n">
        <v>1.4601</v>
      </c>
      <c r="AH6" s="458" t="n">
        <v>1.4404</v>
      </c>
      <c r="AI6" s="458" t="n">
        <v>1.421</v>
      </c>
      <c r="AJ6" s="458" t="n">
        <v>1.4019</v>
      </c>
      <c r="AK6" s="458" t="n">
        <v>1.3831</v>
      </c>
      <c r="AL6" s="459" t="n">
        <v>1.3645</v>
      </c>
      <c r="AM6" s="459" t="n">
        <v>1.3461</v>
      </c>
      <c r="AN6" s="459" t="n">
        <v>1.328</v>
      </c>
      <c r="AO6" s="459" t="n">
        <v>1.3101</v>
      </c>
      <c r="AP6" s="459" t="n">
        <v>1.2925</v>
      </c>
      <c r="AQ6" s="459" t="n">
        <v>1.2751</v>
      </c>
      <c r="AR6" s="459" t="n">
        <v>1.258</v>
      </c>
      <c r="AS6" s="459" t="n">
        <v>1.241</v>
      </c>
      <c r="AT6" s="459" t="n">
        <v>1.2244</v>
      </c>
      <c r="AU6" s="459" t="n">
        <v>1.2079</v>
      </c>
      <c r="AV6" s="459" t="n">
        <v>1.1916</v>
      </c>
      <c r="AW6" s="459" t="n">
        <v>1.1756</v>
      </c>
      <c r="AX6" s="458" t="n">
        <v>1.1598</v>
      </c>
      <c r="AY6" s="458" t="n">
        <v>1.1442</v>
      </c>
      <c r="AZ6" s="458" t="n">
        <v>1.1288</v>
      </c>
      <c r="BA6" s="458" t="n">
        <v>1.1136</v>
      </c>
      <c r="BB6" s="458" t="n">
        <v>1.0986</v>
      </c>
      <c r="BC6" s="458" t="n">
        <v>1.0839</v>
      </c>
      <c r="BD6" s="458" t="n">
        <v>1.0693</v>
      </c>
      <c r="BE6" s="458" t="n">
        <v>1.0549</v>
      </c>
      <c r="BF6" s="458" t="n">
        <v>1.0407</v>
      </c>
      <c r="BG6" s="458" t="n">
        <v>1.0267</v>
      </c>
      <c r="BH6" s="458" t="n">
        <v>1.0129</v>
      </c>
      <c r="BI6" s="458" t="n">
        <v>0.9993</v>
      </c>
      <c r="BJ6" s="459" t="n">
        <v>0.9858</v>
      </c>
      <c r="BK6" s="459" t="n">
        <v>0.9726</v>
      </c>
      <c r="BL6" s="459" t="n">
        <v>0.9595</v>
      </c>
      <c r="BM6" s="459" t="n">
        <v>0.9466</v>
      </c>
      <c r="BN6" s="459" t="n">
        <v>0.9338</v>
      </c>
      <c r="BO6" s="459" t="n">
        <v>0.9213</v>
      </c>
      <c r="BP6" s="459" t="n">
        <v>0.9089</v>
      </c>
      <c r="BQ6" s="459" t="n">
        <v>0.8967000000000001</v>
      </c>
      <c r="BR6" s="459" t="n">
        <v>0.8846000000000001</v>
      </c>
      <c r="BS6" s="459" t="n">
        <v>0.8727</v>
      </c>
      <c r="BT6" s="459" t="n">
        <v>0.861</v>
      </c>
      <c r="BU6" s="459" t="n">
        <v>0.8494</v>
      </c>
      <c r="BV6" s="458" t="n">
        <v>0.8379</v>
      </c>
      <c r="BW6" s="458" t="n">
        <v>0.8267</v>
      </c>
      <c r="BX6" s="458" t="n">
        <v>0.8156</v>
      </c>
      <c r="BY6" s="458" t="n">
        <v>0.8046</v>
      </c>
      <c r="BZ6" s="458" t="n">
        <v>0.7938</v>
      </c>
      <c r="CA6" s="458" t="n">
        <v>0.7831</v>
      </c>
      <c r="CB6" s="458" t="n">
        <v>0.7726</v>
      </c>
      <c r="CC6" s="458" t="n">
        <v>0.7622</v>
      </c>
      <c r="CD6" s="458" t="n">
        <v>0.7519</v>
      </c>
      <c r="CE6" s="458" t="n">
        <v>0.7418</v>
      </c>
      <c r="CF6" s="458" t="n">
        <v>0.7318</v>
      </c>
      <c r="CG6" s="458" t="n">
        <v>0.722</v>
      </c>
      <c r="CH6" s="459" t="n">
        <v>0.7123</v>
      </c>
      <c r="CI6" s="459" t="n">
        <v>0.7027</v>
      </c>
      <c r="CJ6" s="459" t="n">
        <v>0.6932</v>
      </c>
      <c r="CK6" s="459" t="n">
        <v>0.6839</v>
      </c>
      <c r="CL6" s="459" t="n">
        <v>0.6747</v>
      </c>
      <c r="CM6" s="459" t="n">
        <v>0.6656</v>
      </c>
      <c r="CN6" s="459" t="n">
        <v>0.6567</v>
      </c>
      <c r="CO6" s="459" t="n">
        <v>0.6478</v>
      </c>
      <c r="CP6" s="459" t="n">
        <v>0.6391</v>
      </c>
      <c r="CQ6" s="459" t="n">
        <v>0.6304999999999999</v>
      </c>
      <c r="CR6" s="459" t="n">
        <v>0.622</v>
      </c>
      <c r="CS6" s="459" t="n">
        <v>0.6137</v>
      </c>
      <c r="CT6" s="458" t="n">
        <v>0.6054</v>
      </c>
      <c r="CU6" s="458" t="n">
        <v>0.5973000000000001</v>
      </c>
      <c r="CV6" s="458" t="n">
        <v>0.5891999999999999</v>
      </c>
      <c r="CW6" s="458" t="n">
        <v>0.5813</v>
      </c>
      <c r="CX6" s="458" t="n">
        <v>0.5735</v>
      </c>
      <c r="CY6" s="458" t="n">
        <v>0.5658</v>
      </c>
      <c r="CZ6" s="458" t="n">
        <v>0.5582</v>
      </c>
      <c r="DA6" s="458" t="n">
        <v>0.5507</v>
      </c>
      <c r="DB6" s="458" t="n">
        <v>0.5433</v>
      </c>
      <c r="DC6" s="458" t="n">
        <v>0.5359</v>
      </c>
      <c r="DD6" s="458" t="n">
        <v>0.5286999999999999</v>
      </c>
      <c r="DE6" s="458" t="n">
        <v>0.5216</v>
      </c>
      <c r="DF6" s="459" t="n">
        <v>0.5145999999999999</v>
      </c>
      <c r="DG6" s="459" t="n">
        <v>0.5077</v>
      </c>
      <c r="DH6" s="459" t="n">
        <v>0.5009</v>
      </c>
      <c r="DI6" s="459" t="n">
        <v>0.4941</v>
      </c>
      <c r="DJ6" s="459" t="n">
        <v>0.4875</v>
      </c>
      <c r="DK6" s="459" t="n">
        <v>0.4809</v>
      </c>
      <c r="DL6" s="459" t="n">
        <v>0.4744</v>
      </c>
      <c r="DM6" s="459" t="n">
        <v>0.4681</v>
      </c>
      <c r="DN6" s="459" t="n">
        <v>0.4618</v>
      </c>
      <c r="DO6" s="459" t="n">
        <v>0.4556</v>
      </c>
      <c r="DP6" s="459" t="n">
        <v>0.4494</v>
      </c>
      <c r="DQ6" s="459" t="n">
        <v>0.4434</v>
      </c>
      <c r="DR6" s="458" t="n">
        <v>0.4374</v>
      </c>
      <c r="DS6" s="458" t="n">
        <v>0.4315</v>
      </c>
      <c r="DT6" s="458" t="n">
        <v>0.4257</v>
      </c>
      <c r="DU6" s="458" t="n">
        <v>0.42</v>
      </c>
      <c r="DV6" s="458" t="n">
        <v>0.4143</v>
      </c>
      <c r="DW6" s="458" t="n">
        <v>0.4088</v>
      </c>
      <c r="DX6" s="458" t="n">
        <v>0.4033</v>
      </c>
      <c r="DY6" s="458" t="n">
        <v>0.3979</v>
      </c>
      <c r="DZ6" s="458" t="n">
        <v>0.3925</v>
      </c>
      <c r="EA6" s="458" t="n">
        <v>0.3872</v>
      </c>
      <c r="EB6" s="458" t="n">
        <v>0.382</v>
      </c>
      <c r="EC6" s="458" t="n">
        <v>0.3769</v>
      </c>
      <c r="ED6" s="459" t="n">
        <v>0.3718</v>
      </c>
      <c r="EE6" s="459" t="n">
        <v>0.3668</v>
      </c>
      <c r="EF6" s="459" t="n">
        <v>0.3619</v>
      </c>
      <c r="EG6" s="459" t="n">
        <v>0.357</v>
      </c>
      <c r="EH6" s="459" t="n">
        <v>0.3522</v>
      </c>
      <c r="EI6" s="459" t="n">
        <v>0.3475</v>
      </c>
      <c r="EJ6" s="459" t="n">
        <v>0.3428</v>
      </c>
      <c r="EK6" s="459" t="n">
        <v>0.3382</v>
      </c>
      <c r="EL6" s="459" t="n">
        <v>0.3336</v>
      </c>
      <c r="EM6" s="459" t="n">
        <v>0.3291</v>
      </c>
      <c r="EN6" s="459" t="n">
        <v>0.3247</v>
      </c>
      <c r="EO6" s="459" t="n">
        <v>0.3203</v>
      </c>
      <c r="EP6" s="458" t="n">
        <v>0.316</v>
      </c>
      <c r="EQ6" s="458" t="n">
        <v>0.3118</v>
      </c>
      <c r="ER6" s="458" t="n">
        <v>0.3076</v>
      </c>
      <c r="ES6" s="458" t="n">
        <v>0.3034</v>
      </c>
      <c r="ET6" s="458" t="n">
        <v>0.2994</v>
      </c>
      <c r="EU6" s="458" t="n">
        <v>0.2953</v>
      </c>
      <c r="EV6" s="458" t="n">
        <v>0.2914</v>
      </c>
      <c r="EW6" s="458" t="n">
        <v>0.2874</v>
      </c>
      <c r="EX6" s="458" t="n">
        <v>0.2836</v>
      </c>
      <c r="EY6" s="458" t="n">
        <v>0.2798</v>
      </c>
      <c r="EZ6" s="458" t="n">
        <v>0.276</v>
      </c>
      <c r="FA6" s="458" t="n">
        <v>0.2723</v>
      </c>
      <c r="FB6" s="459" t="n">
        <v>0.2686</v>
      </c>
      <c r="FC6" s="459" t="n">
        <v>0.265</v>
      </c>
      <c r="FD6" s="459" t="n">
        <v>0.2614</v>
      </c>
      <c r="FE6" s="459" t="n">
        <v>0.2579</v>
      </c>
      <c r="FF6" s="459" t="n">
        <v>0.2545</v>
      </c>
      <c r="FG6" s="459" t="n">
        <v>0.251</v>
      </c>
      <c r="FH6" s="459" t="n">
        <v>0.2477</v>
      </c>
      <c r="FI6" s="459" t="n">
        <v>0.2443</v>
      </c>
      <c r="FJ6" s="459" t="n">
        <v>0.241</v>
      </c>
      <c r="FK6" s="459" t="n">
        <v>0.2378</v>
      </c>
      <c r="FL6" s="459" t="n">
        <v>0.2346</v>
      </c>
      <c r="FM6" s="459" t="n">
        <v>0.2314</v>
      </c>
      <c r="FN6" s="458" t="n">
        <v>0.2283</v>
      </c>
      <c r="FO6" s="458" t="n">
        <v>0.2253</v>
      </c>
      <c r="FP6" s="458" t="n">
        <v>0.2222</v>
      </c>
      <c r="FQ6" s="458" t="n">
        <v>0.2192</v>
      </c>
      <c r="FR6" s="458" t="n">
        <v>0.2163</v>
      </c>
      <c r="FS6" s="458" t="n">
        <v>0.2134</v>
      </c>
      <c r="FT6" s="458" t="n">
        <v>0.2105</v>
      </c>
      <c r="FU6" s="458" t="n">
        <v>0.2077</v>
      </c>
      <c r="FV6" s="458" t="n">
        <v>0.2049</v>
      </c>
      <c r="FW6" s="458" t="n">
        <v>0.2021</v>
      </c>
      <c r="FX6" s="458" t="n">
        <v>0.1994</v>
      </c>
      <c r="FY6" s="458" t="n">
        <v>0.1967</v>
      </c>
      <c r="FZ6" s="306" t="n"/>
    </row>
    <row r="7" ht="15" customHeight="1" s="307">
      <c r="A7" s="321" t="inlineStr">
        <is>
          <t xml:space="preserve">    Deal #2</t>
        </is>
      </c>
      <c r="B7" s="458" t="n">
        <v>0</v>
      </c>
      <c r="C7" s="458" t="n">
        <v>0</v>
      </c>
      <c r="D7" s="458" t="n">
        <v>0</v>
      </c>
      <c r="E7" s="458" t="n">
        <v>0</v>
      </c>
      <c r="F7" s="458" t="n">
        <v>0</v>
      </c>
      <c r="G7" s="458" t="n">
        <v>0</v>
      </c>
      <c r="H7" s="458" t="n">
        <v>2.2667</v>
      </c>
      <c r="I7" s="458" t="n">
        <v>2.2362</v>
      </c>
      <c r="J7" s="458" t="n">
        <v>2.2061</v>
      </c>
      <c r="K7" s="458" t="n">
        <v>2.1764</v>
      </c>
      <c r="L7" s="458" t="n">
        <v>2.1471</v>
      </c>
      <c r="M7" s="458" t="n">
        <v>2.1183</v>
      </c>
      <c r="N7" s="459" t="n">
        <v>2.0898</v>
      </c>
      <c r="O7" s="459" t="n">
        <v>2.0617</v>
      </c>
      <c r="P7" s="459" t="n">
        <v>2.0339</v>
      </c>
      <c r="Q7" s="459" t="n">
        <v>2.0066</v>
      </c>
      <c r="R7" s="459" t="n">
        <v>1.9796</v>
      </c>
      <c r="S7" s="459" t="n">
        <v>1.9529</v>
      </c>
      <c r="T7" s="459" t="n">
        <v>1.9267</v>
      </c>
      <c r="U7" s="459" t="n">
        <v>1.9007</v>
      </c>
      <c r="V7" s="459" t="n">
        <v>1.8752</v>
      </c>
      <c r="W7" s="459" t="n">
        <v>1.85</v>
      </c>
      <c r="X7" s="459" t="n">
        <v>1.8251</v>
      </c>
      <c r="Y7" s="459" t="n">
        <v>1.8005</v>
      </c>
      <c r="Z7" s="458" t="n">
        <v>1.7763</v>
      </c>
      <c r="AA7" s="458" t="n">
        <v>1.7524</v>
      </c>
      <c r="AB7" s="458" t="n">
        <v>1.7288</v>
      </c>
      <c r="AC7" s="458" t="n">
        <v>1.7056</v>
      </c>
      <c r="AD7" s="458" t="n">
        <v>1.6826</v>
      </c>
      <c r="AE7" s="458" t="n">
        <v>1.66</v>
      </c>
      <c r="AF7" s="458" t="n">
        <v>1.6377</v>
      </c>
      <c r="AG7" s="458" t="n">
        <v>1.6156</v>
      </c>
      <c r="AH7" s="458" t="n">
        <v>1.5939</v>
      </c>
      <c r="AI7" s="458" t="n">
        <v>1.5725</v>
      </c>
      <c r="AJ7" s="458" t="n">
        <v>1.5513</v>
      </c>
      <c r="AK7" s="458" t="n">
        <v>1.5304</v>
      </c>
      <c r="AL7" s="459" t="n">
        <v>1.5099</v>
      </c>
      <c r="AM7" s="459" t="n">
        <v>1.4895</v>
      </c>
      <c r="AN7" s="459" t="n">
        <v>1.4695</v>
      </c>
      <c r="AO7" s="459" t="n">
        <v>1.4497</v>
      </c>
      <c r="AP7" s="459" t="n">
        <v>1.4302</v>
      </c>
      <c r="AQ7" s="459" t="n">
        <v>1.411</v>
      </c>
      <c r="AR7" s="459" t="n">
        <v>1.392</v>
      </c>
      <c r="AS7" s="459" t="n">
        <v>1.3733</v>
      </c>
      <c r="AT7" s="459" t="n">
        <v>1.3548</v>
      </c>
      <c r="AU7" s="459" t="n">
        <v>1.3366</v>
      </c>
      <c r="AV7" s="459" t="n">
        <v>1.3186</v>
      </c>
      <c r="AW7" s="459" t="n">
        <v>1.3009</v>
      </c>
      <c r="AX7" s="458" t="n">
        <v>1.2834</v>
      </c>
      <c r="AY7" s="458" t="n">
        <v>1.2661</v>
      </c>
      <c r="AZ7" s="458" t="n">
        <v>1.2491</v>
      </c>
      <c r="BA7" s="458" t="n">
        <v>1.2323</v>
      </c>
      <c r="BB7" s="458" t="n">
        <v>1.2157</v>
      </c>
      <c r="BC7" s="458" t="n">
        <v>1.1993</v>
      </c>
      <c r="BD7" s="458" t="n">
        <v>1.1832</v>
      </c>
      <c r="BE7" s="458" t="n">
        <v>1.1673</v>
      </c>
      <c r="BF7" s="458" t="n">
        <v>1.1516</v>
      </c>
      <c r="BG7" s="458" t="n">
        <v>1.1361</v>
      </c>
      <c r="BH7" s="458" t="n">
        <v>1.1208</v>
      </c>
      <c r="BI7" s="458" t="n">
        <v>1.1057</v>
      </c>
      <c r="BJ7" s="459" t="n">
        <v>1.0909</v>
      </c>
      <c r="BK7" s="459" t="n">
        <v>1.0762</v>
      </c>
      <c r="BL7" s="459" t="n">
        <v>1.0617</v>
      </c>
      <c r="BM7" s="459" t="n">
        <v>1.0474</v>
      </c>
      <c r="BN7" s="459" t="n">
        <v>1.0333</v>
      </c>
      <c r="BO7" s="459" t="n">
        <v>1.0194</v>
      </c>
      <c r="BP7" s="459" t="n">
        <v>1.0057</v>
      </c>
      <c r="BQ7" s="459" t="n">
        <v>0.9922</v>
      </c>
      <c r="BR7" s="459" t="n">
        <v>0.9789</v>
      </c>
      <c r="BS7" s="459" t="n">
        <v>0.9657</v>
      </c>
      <c r="BT7" s="459" t="n">
        <v>0.9527</v>
      </c>
      <c r="BU7" s="459" t="n">
        <v>0.9399</v>
      </c>
      <c r="BV7" s="458" t="n">
        <v>0.9272</v>
      </c>
      <c r="BW7" s="458" t="n">
        <v>0.9147999999999999</v>
      </c>
      <c r="BX7" s="458" t="n">
        <v>0.9025</v>
      </c>
      <c r="BY7" s="458" t="n">
        <v>0.8903</v>
      </c>
      <c r="BZ7" s="458" t="n">
        <v>0.8783</v>
      </c>
      <c r="CA7" s="458" t="n">
        <v>0.8665</v>
      </c>
      <c r="CB7" s="458" t="n">
        <v>0.8549</v>
      </c>
      <c r="CC7" s="458" t="n">
        <v>0.8434</v>
      </c>
      <c r="CD7" s="458" t="n">
        <v>0.832</v>
      </c>
      <c r="CE7" s="458" t="n">
        <v>0.8208</v>
      </c>
      <c r="CF7" s="458" t="n">
        <v>0.8098</v>
      </c>
      <c r="CG7" s="458" t="n">
        <v>0.7989000000000001</v>
      </c>
      <c r="CH7" s="459" t="n">
        <v>0.7882</v>
      </c>
      <c r="CI7" s="459" t="n">
        <v>0.7776</v>
      </c>
      <c r="CJ7" s="459" t="n">
        <v>0.7671</v>
      </c>
      <c r="CK7" s="459" t="n">
        <v>0.7568</v>
      </c>
      <c r="CL7" s="459" t="n">
        <v>0.7466</v>
      </c>
      <c r="CM7" s="459" t="n">
        <v>0.7365</v>
      </c>
      <c r="CN7" s="459" t="n">
        <v>0.7266</v>
      </c>
      <c r="CO7" s="459" t="n">
        <v>0.7169</v>
      </c>
      <c r="CP7" s="459" t="n">
        <v>0.7072000000000001</v>
      </c>
      <c r="CQ7" s="459" t="n">
        <v>0.6977</v>
      </c>
      <c r="CR7" s="459" t="n">
        <v>0.6883</v>
      </c>
      <c r="CS7" s="459" t="n">
        <v>0.6791</v>
      </c>
      <c r="CT7" s="458" t="n">
        <v>0.6699000000000001</v>
      </c>
      <c r="CU7" s="458" t="n">
        <v>0.6609</v>
      </c>
      <c r="CV7" s="458" t="n">
        <v>0.652</v>
      </c>
      <c r="CW7" s="458" t="n">
        <v>0.6433</v>
      </c>
      <c r="CX7" s="458" t="n">
        <v>0.6346000000000001</v>
      </c>
      <c r="CY7" s="458" t="n">
        <v>0.6261</v>
      </c>
      <c r="CZ7" s="458" t="n">
        <v>0.6176</v>
      </c>
      <c r="DA7" s="458" t="n">
        <v>0.6093</v>
      </c>
      <c r="DB7" s="458" t="n">
        <v>0.6011</v>
      </c>
      <c r="DC7" s="458" t="n">
        <v>0.5931</v>
      </c>
      <c r="DD7" s="458" t="n">
        <v>0.5851</v>
      </c>
      <c r="DE7" s="458" t="n">
        <v>0.5772</v>
      </c>
      <c r="DF7" s="459" t="n">
        <v>0.5694</v>
      </c>
      <c r="DG7" s="459" t="n">
        <v>0.5618</v>
      </c>
      <c r="DH7" s="459" t="n">
        <v>0.5542</v>
      </c>
      <c r="DI7" s="459" t="n">
        <v>0.5468</v>
      </c>
      <c r="DJ7" s="459" t="n">
        <v>0.5394</v>
      </c>
      <c r="DK7" s="459" t="n">
        <v>0.5322</v>
      </c>
      <c r="DL7" s="459" t="n">
        <v>0.525</v>
      </c>
      <c r="DM7" s="459" t="n">
        <v>0.5179</v>
      </c>
      <c r="DN7" s="459" t="n">
        <v>0.511</v>
      </c>
      <c r="DO7" s="459" t="n">
        <v>0.5041</v>
      </c>
      <c r="DP7" s="459" t="n">
        <v>0.4973</v>
      </c>
      <c r="DQ7" s="459" t="n">
        <v>0.4906</v>
      </c>
      <c r="DR7" s="458" t="n">
        <v>0.484</v>
      </c>
      <c r="DS7" s="458" t="n">
        <v>0.4775</v>
      </c>
      <c r="DT7" s="458" t="n">
        <v>0.4711</v>
      </c>
      <c r="DU7" s="458" t="n">
        <v>0.4648</v>
      </c>
      <c r="DV7" s="458" t="n">
        <v>0.4585</v>
      </c>
      <c r="DW7" s="458" t="n">
        <v>0.4523</v>
      </c>
      <c r="DX7" s="458" t="n">
        <v>0.4462</v>
      </c>
      <c r="DY7" s="458" t="n">
        <v>0.4402</v>
      </c>
      <c r="DZ7" s="458" t="n">
        <v>0.4343</v>
      </c>
      <c r="EA7" s="458" t="n">
        <v>0.4285</v>
      </c>
      <c r="EB7" s="458" t="n">
        <v>0.4227</v>
      </c>
      <c r="EC7" s="458" t="n">
        <v>0.417</v>
      </c>
      <c r="ED7" s="459" t="n">
        <v>0.4114</v>
      </c>
      <c r="EE7" s="459" t="n">
        <v>0.4059</v>
      </c>
      <c r="EF7" s="459" t="n">
        <v>0.4004</v>
      </c>
      <c r="EG7" s="459" t="n">
        <v>0.395</v>
      </c>
      <c r="EH7" s="459" t="n">
        <v>0.3897</v>
      </c>
      <c r="EI7" s="459" t="n">
        <v>0.3845</v>
      </c>
      <c r="EJ7" s="459" t="n">
        <v>0.3793</v>
      </c>
      <c r="EK7" s="459" t="n">
        <v>0.3742</v>
      </c>
      <c r="EL7" s="459" t="n">
        <v>0.3692</v>
      </c>
      <c r="EM7" s="459" t="n">
        <v>0.3642</v>
      </c>
      <c r="EN7" s="459" t="n">
        <v>0.3593</v>
      </c>
      <c r="EO7" s="459" t="n">
        <v>0.3545</v>
      </c>
      <c r="EP7" s="458" t="n">
        <v>0.3497</v>
      </c>
      <c r="EQ7" s="458" t="n">
        <v>0.345</v>
      </c>
      <c r="ER7" s="458" t="n">
        <v>0.3404</v>
      </c>
      <c r="ES7" s="458" t="n">
        <v>0.3358</v>
      </c>
      <c r="ET7" s="458" t="n">
        <v>0.3313</v>
      </c>
      <c r="EU7" s="458" t="n">
        <v>0.3268</v>
      </c>
      <c r="EV7" s="458" t="n">
        <v>0.3224</v>
      </c>
      <c r="EW7" s="458" t="n">
        <v>0.3181</v>
      </c>
      <c r="EX7" s="458" t="n">
        <v>0.3138</v>
      </c>
      <c r="EY7" s="458" t="n">
        <v>0.3096</v>
      </c>
      <c r="EZ7" s="458" t="n">
        <v>0.3054</v>
      </c>
      <c r="FA7" s="458" t="n">
        <v>0.3013</v>
      </c>
      <c r="FB7" s="459" t="n">
        <v>0.2973</v>
      </c>
      <c r="FC7" s="459" t="n">
        <v>0.2933</v>
      </c>
      <c r="FD7" s="459" t="n">
        <v>0.2893</v>
      </c>
      <c r="FE7" s="459" t="n">
        <v>0.2854</v>
      </c>
      <c r="FF7" s="459" t="n">
        <v>0.2816</v>
      </c>
      <c r="FG7" s="459" t="n">
        <v>0.2778</v>
      </c>
      <c r="FH7" s="459" t="n">
        <v>0.2741</v>
      </c>
      <c r="FI7" s="459" t="n">
        <v>0.2704</v>
      </c>
      <c r="FJ7" s="459" t="n">
        <v>0.2667</v>
      </c>
      <c r="FK7" s="459" t="n">
        <v>0.2631</v>
      </c>
      <c r="FL7" s="459" t="n">
        <v>0.2596</v>
      </c>
      <c r="FM7" s="459" t="n">
        <v>0.2561</v>
      </c>
      <c r="FN7" s="458" t="n">
        <v>0.2527</v>
      </c>
      <c r="FO7" s="458" t="n">
        <v>0.2493</v>
      </c>
      <c r="FP7" s="458" t="n">
        <v>0.2459</v>
      </c>
      <c r="FQ7" s="458" t="n">
        <v>0.2426</v>
      </c>
      <c r="FR7" s="458" t="n">
        <v>0.2393</v>
      </c>
      <c r="FS7" s="458" t="n">
        <v>0.2361</v>
      </c>
      <c r="FT7" s="458" t="n">
        <v>0.2329</v>
      </c>
      <c r="FU7" s="458" t="n">
        <v>0.2298</v>
      </c>
      <c r="FV7" s="458" t="n">
        <v>0.2267</v>
      </c>
      <c r="FW7" s="458" t="n">
        <v>0.2237</v>
      </c>
      <c r="FX7" s="458" t="n">
        <v>0.2207</v>
      </c>
      <c r="FY7" s="458" t="n">
        <v>0.2177</v>
      </c>
      <c r="FZ7" s="306" t="n"/>
    </row>
    <row r="8" ht="15" customHeight="1" s="307">
      <c r="A8" s="321" t="inlineStr">
        <is>
          <t xml:space="preserve">    Deal #3</t>
        </is>
      </c>
      <c r="B8" s="458" t="n">
        <v>0</v>
      </c>
      <c r="C8" s="458" t="n">
        <v>0</v>
      </c>
      <c r="D8" s="458" t="n">
        <v>0</v>
      </c>
      <c r="E8" s="458" t="n">
        <v>0</v>
      </c>
      <c r="F8" s="458" t="n">
        <v>0</v>
      </c>
      <c r="G8" s="458" t="n">
        <v>0</v>
      </c>
      <c r="H8" s="458" t="n">
        <v>0</v>
      </c>
      <c r="I8" s="458" t="n">
        <v>0</v>
      </c>
      <c r="J8" s="458" t="n">
        <v>0</v>
      </c>
      <c r="K8" s="458" t="n">
        <v>2.5083</v>
      </c>
      <c r="L8" s="458" t="n">
        <v>2.4746</v>
      </c>
      <c r="M8" s="458" t="n">
        <v>2.4413</v>
      </c>
      <c r="N8" s="459" t="n">
        <v>2.4085</v>
      </c>
      <c r="O8" s="459" t="n">
        <v>2.3761</v>
      </c>
      <c r="P8" s="459" t="n">
        <v>2.3441</v>
      </c>
      <c r="Q8" s="459" t="n">
        <v>2.3126</v>
      </c>
      <c r="R8" s="459" t="n">
        <v>2.2815</v>
      </c>
      <c r="S8" s="459" t="n">
        <v>2.2508</v>
      </c>
      <c r="T8" s="459" t="n">
        <v>2.2205</v>
      </c>
      <c r="U8" s="459" t="n">
        <v>2.1906</v>
      </c>
      <c r="V8" s="459" t="n">
        <v>2.1612</v>
      </c>
      <c r="W8" s="459" t="n">
        <v>2.1321</v>
      </c>
      <c r="X8" s="459" t="n">
        <v>2.1034</v>
      </c>
      <c r="Y8" s="459" t="n">
        <v>2.0751</v>
      </c>
      <c r="Z8" s="458" t="n">
        <v>2.0472</v>
      </c>
      <c r="AA8" s="458" t="n">
        <v>2.0197</v>
      </c>
      <c r="AB8" s="458" t="n">
        <v>1.9925</v>
      </c>
      <c r="AC8" s="458" t="n">
        <v>1.9657</v>
      </c>
      <c r="AD8" s="458" t="n">
        <v>1.9392</v>
      </c>
      <c r="AE8" s="458" t="n">
        <v>1.9132</v>
      </c>
      <c r="AF8" s="458" t="n">
        <v>1.8874</v>
      </c>
      <c r="AG8" s="458" t="n">
        <v>1.862</v>
      </c>
      <c r="AH8" s="458" t="n">
        <v>1.837</v>
      </c>
      <c r="AI8" s="458" t="n">
        <v>1.8123</v>
      </c>
      <c r="AJ8" s="458" t="n">
        <v>1.7879</v>
      </c>
      <c r="AK8" s="458" t="n">
        <v>1.7638</v>
      </c>
      <c r="AL8" s="459" t="n">
        <v>1.7401</v>
      </c>
      <c r="AM8" s="459" t="n">
        <v>1.7167</v>
      </c>
      <c r="AN8" s="459" t="n">
        <v>1.6936</v>
      </c>
      <c r="AO8" s="459" t="n">
        <v>1.6708</v>
      </c>
      <c r="AP8" s="459" t="n">
        <v>1.6484</v>
      </c>
      <c r="AQ8" s="459" t="n">
        <v>1.6262</v>
      </c>
      <c r="AR8" s="459" t="n">
        <v>1.6043</v>
      </c>
      <c r="AS8" s="459" t="n">
        <v>1.5827</v>
      </c>
      <c r="AT8" s="459" t="n">
        <v>1.5614</v>
      </c>
      <c r="AU8" s="459" t="n">
        <v>1.5404</v>
      </c>
      <c r="AV8" s="459" t="n">
        <v>1.5197</v>
      </c>
      <c r="AW8" s="459" t="n">
        <v>1.4993</v>
      </c>
      <c r="AX8" s="458" t="n">
        <v>1.4791</v>
      </c>
      <c r="AY8" s="458" t="n">
        <v>1.4592</v>
      </c>
      <c r="AZ8" s="458" t="n">
        <v>1.4396</v>
      </c>
      <c r="BA8" s="458" t="n">
        <v>1.4202</v>
      </c>
      <c r="BB8" s="458" t="n">
        <v>1.4011</v>
      </c>
      <c r="BC8" s="458" t="n">
        <v>1.3823</v>
      </c>
      <c r="BD8" s="458" t="n">
        <v>1.3637</v>
      </c>
      <c r="BE8" s="458" t="n">
        <v>1.3453</v>
      </c>
      <c r="BF8" s="458" t="n">
        <v>1.3272</v>
      </c>
      <c r="BG8" s="458" t="n">
        <v>1.3094</v>
      </c>
      <c r="BH8" s="458" t="n">
        <v>1.2918</v>
      </c>
      <c r="BI8" s="458" t="n">
        <v>1.2744</v>
      </c>
      <c r="BJ8" s="459" t="n">
        <v>1.2572</v>
      </c>
      <c r="BK8" s="459" t="n">
        <v>1.2403</v>
      </c>
      <c r="BL8" s="459" t="n">
        <v>1.2236</v>
      </c>
      <c r="BM8" s="459" t="n">
        <v>1.2072</v>
      </c>
      <c r="BN8" s="459" t="n">
        <v>1.1909</v>
      </c>
      <c r="BO8" s="459" t="n">
        <v>1.1749</v>
      </c>
      <c r="BP8" s="459" t="n">
        <v>1.1591</v>
      </c>
      <c r="BQ8" s="459" t="n">
        <v>1.1435</v>
      </c>
      <c r="BR8" s="459" t="n">
        <v>1.1281</v>
      </c>
      <c r="BS8" s="459" t="n">
        <v>1.113</v>
      </c>
      <c r="BT8" s="459" t="n">
        <v>1.098</v>
      </c>
      <c r="BU8" s="459" t="n">
        <v>1.0832</v>
      </c>
      <c r="BV8" s="458" t="n">
        <v>1.0686</v>
      </c>
      <c r="BW8" s="458" t="n">
        <v>1.0543</v>
      </c>
      <c r="BX8" s="458" t="n">
        <v>1.0401</v>
      </c>
      <c r="BY8" s="458" t="n">
        <v>1.0261</v>
      </c>
      <c r="BZ8" s="458" t="n">
        <v>1.0123</v>
      </c>
      <c r="CA8" s="458" t="n">
        <v>0.9987</v>
      </c>
      <c r="CB8" s="458" t="n">
        <v>0.9852</v>
      </c>
      <c r="CC8" s="458" t="n">
        <v>0.972</v>
      </c>
      <c r="CD8" s="458" t="n">
        <v>0.9589</v>
      </c>
      <c r="CE8" s="458" t="n">
        <v>0.946</v>
      </c>
      <c r="CF8" s="458" t="n">
        <v>0.9333</v>
      </c>
      <c r="CG8" s="458" t="n">
        <v>0.9207</v>
      </c>
      <c r="CH8" s="459" t="n">
        <v>0.9084</v>
      </c>
      <c r="CI8" s="459" t="n">
        <v>0.8961</v>
      </c>
      <c r="CJ8" s="459" t="n">
        <v>0.8841</v>
      </c>
      <c r="CK8" s="459" t="n">
        <v>0.8722</v>
      </c>
      <c r="CL8" s="459" t="n">
        <v>0.8605</v>
      </c>
      <c r="CM8" s="459" t="n">
        <v>0.8489</v>
      </c>
      <c r="CN8" s="459" t="n">
        <v>0.8375</v>
      </c>
      <c r="CO8" s="459" t="n">
        <v>0.8262</v>
      </c>
      <c r="CP8" s="459" t="n">
        <v>0.8151</v>
      </c>
      <c r="CQ8" s="459" t="n">
        <v>0.8041</v>
      </c>
      <c r="CR8" s="459" t="n">
        <v>0.7933</v>
      </c>
      <c r="CS8" s="459" t="n">
        <v>0.7826</v>
      </c>
      <c r="CT8" s="458" t="n">
        <v>0.7721</v>
      </c>
      <c r="CU8" s="458" t="n">
        <v>0.7617</v>
      </c>
      <c r="CV8" s="458" t="n">
        <v>0.7514999999999999</v>
      </c>
      <c r="CW8" s="458" t="n">
        <v>0.7413999999999999</v>
      </c>
      <c r="CX8" s="458" t="n">
        <v>0.7314000000000001</v>
      </c>
      <c r="CY8" s="458" t="n">
        <v>0.7215</v>
      </c>
      <c r="CZ8" s="458" t="n">
        <v>0.7118</v>
      </c>
      <c r="DA8" s="458" t="n">
        <v>0.7023</v>
      </c>
      <c r="DB8" s="458" t="n">
        <v>0.6928</v>
      </c>
      <c r="DC8" s="458" t="n">
        <v>0.6835</v>
      </c>
      <c r="DD8" s="458" t="n">
        <v>0.6743</v>
      </c>
      <c r="DE8" s="458" t="n">
        <v>0.6652</v>
      </c>
      <c r="DF8" s="459" t="n">
        <v>0.6563</v>
      </c>
      <c r="DG8" s="459" t="n">
        <v>0.6475</v>
      </c>
      <c r="DH8" s="459" t="n">
        <v>0.6387</v>
      </c>
      <c r="DI8" s="459" t="n">
        <v>0.6302</v>
      </c>
      <c r="DJ8" s="459" t="n">
        <v>0.6217</v>
      </c>
      <c r="DK8" s="459" t="n">
        <v>0.6133</v>
      </c>
      <c r="DL8" s="459" t="n">
        <v>0.6051</v>
      </c>
      <c r="DM8" s="459" t="n">
        <v>0.5969</v>
      </c>
      <c r="DN8" s="459" t="n">
        <v>0.5889</v>
      </c>
      <c r="DO8" s="459" t="n">
        <v>0.581</v>
      </c>
      <c r="DP8" s="459" t="n">
        <v>0.5732</v>
      </c>
      <c r="DQ8" s="459" t="n">
        <v>0.5654</v>
      </c>
      <c r="DR8" s="458" t="n">
        <v>0.5578</v>
      </c>
      <c r="DS8" s="458" t="n">
        <v>0.5503</v>
      </c>
      <c r="DT8" s="458" t="n">
        <v>0.5429</v>
      </c>
      <c r="DU8" s="458" t="n">
        <v>0.5356</v>
      </c>
      <c r="DV8" s="458" t="n">
        <v>0.5284</v>
      </c>
      <c r="DW8" s="458" t="n">
        <v>0.5213</v>
      </c>
      <c r="DX8" s="458" t="n">
        <v>0.5143</v>
      </c>
      <c r="DY8" s="458" t="n">
        <v>0.5074</v>
      </c>
      <c r="DZ8" s="458" t="n">
        <v>0.5006</v>
      </c>
      <c r="EA8" s="458" t="n">
        <v>0.4938</v>
      </c>
      <c r="EB8" s="458" t="n">
        <v>0.4872</v>
      </c>
      <c r="EC8" s="458" t="n">
        <v>0.4806</v>
      </c>
      <c r="ED8" s="459" t="n">
        <v>0.4742</v>
      </c>
      <c r="EE8" s="459" t="n">
        <v>0.4678</v>
      </c>
      <c r="EF8" s="459" t="n">
        <v>0.4615</v>
      </c>
      <c r="EG8" s="459" t="n">
        <v>0.4553</v>
      </c>
      <c r="EH8" s="459" t="n">
        <v>0.4492</v>
      </c>
      <c r="EI8" s="459" t="n">
        <v>0.4431</v>
      </c>
      <c r="EJ8" s="459" t="n">
        <v>0.4372</v>
      </c>
      <c r="EK8" s="459" t="n">
        <v>0.4313</v>
      </c>
      <c r="EL8" s="459" t="n">
        <v>0.4255</v>
      </c>
      <c r="EM8" s="459" t="n">
        <v>0.4198</v>
      </c>
      <c r="EN8" s="459" t="n">
        <v>0.4141</v>
      </c>
      <c r="EO8" s="459" t="n">
        <v>0.4085</v>
      </c>
      <c r="EP8" s="458" t="n">
        <v>0.403</v>
      </c>
      <c r="EQ8" s="458" t="n">
        <v>0.3976</v>
      </c>
      <c r="ER8" s="458" t="n">
        <v>0.3923</v>
      </c>
      <c r="ES8" s="458" t="n">
        <v>0.387</v>
      </c>
      <c r="ET8" s="458" t="n">
        <v>0.3818</v>
      </c>
      <c r="EU8" s="458" t="n">
        <v>0.3767</v>
      </c>
      <c r="EV8" s="458" t="n">
        <v>0.3716</v>
      </c>
      <c r="EW8" s="458" t="n">
        <v>0.3666</v>
      </c>
      <c r="EX8" s="458" t="n">
        <v>0.3617</v>
      </c>
      <c r="EY8" s="458" t="n">
        <v>0.3568</v>
      </c>
      <c r="EZ8" s="458" t="n">
        <v>0.352</v>
      </c>
      <c r="FA8" s="458" t="n">
        <v>0.3473</v>
      </c>
      <c r="FB8" s="459" t="n">
        <v>0.3426</v>
      </c>
      <c r="FC8" s="459" t="n">
        <v>0.338</v>
      </c>
      <c r="FD8" s="459" t="n">
        <v>0.3334</v>
      </c>
      <c r="FE8" s="459" t="n">
        <v>0.3289</v>
      </c>
      <c r="FF8" s="459" t="n">
        <v>0.3245</v>
      </c>
      <c r="FG8" s="459" t="n">
        <v>0.3202</v>
      </c>
      <c r="FH8" s="459" t="n">
        <v>0.3158</v>
      </c>
      <c r="FI8" s="459" t="n">
        <v>0.3116</v>
      </c>
      <c r="FJ8" s="459" t="n">
        <v>0.3074</v>
      </c>
      <c r="FK8" s="459" t="n">
        <v>0.3033</v>
      </c>
      <c r="FL8" s="459" t="n">
        <v>0.2992</v>
      </c>
      <c r="FM8" s="459" t="n">
        <v>0.2952</v>
      </c>
      <c r="FN8" s="458" t="n">
        <v>0.2912</v>
      </c>
      <c r="FO8" s="458" t="n">
        <v>0.2873</v>
      </c>
      <c r="FP8" s="458" t="n">
        <v>0.2834</v>
      </c>
      <c r="FQ8" s="458" t="n">
        <v>0.2796</v>
      </c>
      <c r="FR8" s="458" t="n">
        <v>0.2758</v>
      </c>
      <c r="FS8" s="458" t="n">
        <v>0.2721</v>
      </c>
      <c r="FT8" s="458" t="n">
        <v>0.2685</v>
      </c>
      <c r="FU8" s="458" t="n">
        <v>0.2649</v>
      </c>
      <c r="FV8" s="458" t="n">
        <v>0.2613</v>
      </c>
      <c r="FW8" s="458" t="n">
        <v>0.2578</v>
      </c>
      <c r="FX8" s="458" t="n">
        <v>0.2543</v>
      </c>
      <c r="FY8" s="458" t="n">
        <v>0.2509</v>
      </c>
      <c r="FZ8" s="306" t="n"/>
    </row>
    <row r="9" ht="15" customHeight="1" s="307">
      <c r="A9" s="321" t="inlineStr">
        <is>
          <t xml:space="preserve">    Deal #4</t>
        </is>
      </c>
      <c r="B9" s="458" t="n">
        <v>0</v>
      </c>
      <c r="C9" s="458" t="n">
        <v>0</v>
      </c>
      <c r="D9" s="458" t="n">
        <v>0</v>
      </c>
      <c r="E9" s="458" t="n">
        <v>0</v>
      </c>
      <c r="F9" s="458" t="n">
        <v>0</v>
      </c>
      <c r="G9" s="458" t="n">
        <v>0</v>
      </c>
      <c r="H9" s="458" t="n">
        <v>0</v>
      </c>
      <c r="I9" s="458" t="n">
        <v>0</v>
      </c>
      <c r="J9" s="458" t="n">
        <v>0</v>
      </c>
      <c r="K9" s="458" t="n">
        <v>0</v>
      </c>
      <c r="L9" s="458" t="n">
        <v>0</v>
      </c>
      <c r="M9" s="458" t="n">
        <v>2.1667</v>
      </c>
      <c r="N9" s="459" t="n">
        <v>2.1375</v>
      </c>
      <c r="O9" s="459" t="n">
        <v>2.1088</v>
      </c>
      <c r="P9" s="459" t="n">
        <v>2.0804</v>
      </c>
      <c r="Q9" s="459" t="n">
        <v>2.0524</v>
      </c>
      <c r="R9" s="459" t="n">
        <v>2.0248</v>
      </c>
      <c r="S9" s="459" t="n">
        <v>1.9976</v>
      </c>
      <c r="T9" s="459" t="n">
        <v>1.9707</v>
      </c>
      <c r="U9" s="459" t="n">
        <v>1.9442</v>
      </c>
      <c r="V9" s="459" t="n">
        <v>1.918</v>
      </c>
      <c r="W9" s="459" t="n">
        <v>1.8922</v>
      </c>
      <c r="X9" s="459" t="n">
        <v>1.8668</v>
      </c>
      <c r="Y9" s="459" t="n">
        <v>1.8417</v>
      </c>
      <c r="Z9" s="458" t="n">
        <v>1.8169</v>
      </c>
      <c r="AA9" s="458" t="n">
        <v>1.7925</v>
      </c>
      <c r="AB9" s="458" t="n">
        <v>1.7683</v>
      </c>
      <c r="AC9" s="458" t="n">
        <v>1.7446</v>
      </c>
      <c r="AD9" s="458" t="n">
        <v>1.7211</v>
      </c>
      <c r="AE9" s="458" t="n">
        <v>1.6979</v>
      </c>
      <c r="AF9" s="458" t="n">
        <v>1.6751</v>
      </c>
      <c r="AG9" s="458" t="n">
        <v>1.6526</v>
      </c>
      <c r="AH9" s="458" t="n">
        <v>1.6303</v>
      </c>
      <c r="AI9" s="458" t="n">
        <v>1.6084</v>
      </c>
      <c r="AJ9" s="458" t="n">
        <v>1.5868</v>
      </c>
      <c r="AK9" s="458" t="n">
        <v>1.5654</v>
      </c>
      <c r="AL9" s="459" t="n">
        <v>1.5444</v>
      </c>
      <c r="AM9" s="459" t="n">
        <v>1.5236</v>
      </c>
      <c r="AN9" s="459" t="n">
        <v>1.5031</v>
      </c>
      <c r="AO9" s="459" t="n">
        <v>1.4829</v>
      </c>
      <c r="AP9" s="459" t="n">
        <v>1.4629</v>
      </c>
      <c r="AQ9" s="459" t="n">
        <v>1.4432</v>
      </c>
      <c r="AR9" s="459" t="n">
        <v>1.4238</v>
      </c>
      <c r="AS9" s="459" t="n">
        <v>1.4047</v>
      </c>
      <c r="AT9" s="459" t="n">
        <v>1.3858</v>
      </c>
      <c r="AU9" s="459" t="n">
        <v>1.3671</v>
      </c>
      <c r="AV9" s="459" t="n">
        <v>1.3487</v>
      </c>
      <c r="AW9" s="459" t="n">
        <v>1.3306</v>
      </c>
      <c r="AX9" s="458" t="n">
        <v>1.3127</v>
      </c>
      <c r="AY9" s="458" t="n">
        <v>1.295</v>
      </c>
      <c r="AZ9" s="458" t="n">
        <v>1.2776</v>
      </c>
      <c r="BA9" s="458" t="n">
        <v>1.2604</v>
      </c>
      <c r="BB9" s="458" t="n">
        <v>1.2435</v>
      </c>
      <c r="BC9" s="458" t="n">
        <v>1.2268</v>
      </c>
      <c r="BD9" s="458" t="n">
        <v>1.2103</v>
      </c>
      <c r="BE9" s="458" t="n">
        <v>1.194</v>
      </c>
      <c r="BF9" s="458" t="n">
        <v>1.1779</v>
      </c>
      <c r="BG9" s="458" t="n">
        <v>1.1621</v>
      </c>
      <c r="BH9" s="458" t="n">
        <v>1.1464</v>
      </c>
      <c r="BI9" s="458" t="n">
        <v>1.131</v>
      </c>
      <c r="BJ9" s="459" t="n">
        <v>1.1158</v>
      </c>
      <c r="BK9" s="459" t="n">
        <v>1.1008</v>
      </c>
      <c r="BL9" s="459" t="n">
        <v>1.086</v>
      </c>
      <c r="BM9" s="459" t="n">
        <v>1.0714</v>
      </c>
      <c r="BN9" s="459" t="n">
        <v>1.057</v>
      </c>
      <c r="BO9" s="459" t="n">
        <v>1.0427</v>
      </c>
      <c r="BP9" s="459" t="n">
        <v>1.0287</v>
      </c>
      <c r="BQ9" s="459" t="n">
        <v>1.0149</v>
      </c>
      <c r="BR9" s="459" t="n">
        <v>1.0012</v>
      </c>
      <c r="BS9" s="459" t="n">
        <v>0.9878</v>
      </c>
      <c r="BT9" s="459" t="n">
        <v>0.9745</v>
      </c>
      <c r="BU9" s="459" t="n">
        <v>0.9614</v>
      </c>
      <c r="BV9" s="458" t="n">
        <v>0.9484</v>
      </c>
      <c r="BW9" s="458" t="n">
        <v>0.9357</v>
      </c>
      <c r="BX9" s="458" t="n">
        <v>0.9231</v>
      </c>
      <c r="BY9" s="458" t="n">
        <v>0.9107</v>
      </c>
      <c r="BZ9" s="458" t="n">
        <v>0.8984</v>
      </c>
      <c r="CA9" s="458" t="n">
        <v>0.8863</v>
      </c>
      <c r="CB9" s="458" t="n">
        <v>0.8744</v>
      </c>
      <c r="CC9" s="458" t="n">
        <v>0.8626</v>
      </c>
      <c r="CD9" s="458" t="n">
        <v>0.851</v>
      </c>
      <c r="CE9" s="458" t="n">
        <v>0.8396</v>
      </c>
      <c r="CF9" s="458" t="n">
        <v>0.8283</v>
      </c>
      <c r="CG9" s="458" t="n">
        <v>0.8172</v>
      </c>
      <c r="CH9" s="459" t="n">
        <v>0.8062</v>
      </c>
      <c r="CI9" s="459" t="n">
        <v>0.7953</v>
      </c>
      <c r="CJ9" s="459" t="n">
        <v>0.7846</v>
      </c>
      <c r="CK9" s="459" t="n">
        <v>0.7741</v>
      </c>
      <c r="CL9" s="459" t="n">
        <v>0.7637</v>
      </c>
      <c r="CM9" s="459" t="n">
        <v>0.7534</v>
      </c>
      <c r="CN9" s="459" t="n">
        <v>0.7432</v>
      </c>
      <c r="CO9" s="459" t="n">
        <v>0.7332</v>
      </c>
      <c r="CP9" s="459" t="n">
        <v>0.7234</v>
      </c>
      <c r="CQ9" s="459" t="n">
        <v>0.7137</v>
      </c>
      <c r="CR9" s="459" t="n">
        <v>0.7040999999999999</v>
      </c>
      <c r="CS9" s="459" t="n">
        <v>0.6946</v>
      </c>
      <c r="CT9" s="458" t="n">
        <v>0.6852</v>
      </c>
      <c r="CU9" s="458" t="n">
        <v>0.676</v>
      </c>
      <c r="CV9" s="458" t="n">
        <v>0.6669</v>
      </c>
      <c r="CW9" s="458" t="n">
        <v>0.658</v>
      </c>
      <c r="CX9" s="458" t="n">
        <v>0.6491</v>
      </c>
      <c r="CY9" s="458" t="n">
        <v>0.6404</v>
      </c>
      <c r="CZ9" s="458" t="n">
        <v>0.6318</v>
      </c>
      <c r="DA9" s="458" t="n">
        <v>0.6233</v>
      </c>
      <c r="DB9" s="458" t="n">
        <v>0.6149</v>
      </c>
      <c r="DC9" s="458" t="n">
        <v>0.6066</v>
      </c>
      <c r="DD9" s="458" t="n">
        <v>0.5984</v>
      </c>
      <c r="DE9" s="458" t="n">
        <v>0.5904</v>
      </c>
      <c r="DF9" s="459" t="n">
        <v>0.5825</v>
      </c>
      <c r="DG9" s="459" t="n">
        <v>0.5746</v>
      </c>
      <c r="DH9" s="459" t="n">
        <v>0.5669</v>
      </c>
      <c r="DI9" s="459" t="n">
        <v>0.5593</v>
      </c>
      <c r="DJ9" s="459" t="n">
        <v>0.5517</v>
      </c>
      <c r="DK9" s="459" t="n">
        <v>0.5443</v>
      </c>
      <c r="DL9" s="459" t="n">
        <v>0.537</v>
      </c>
      <c r="DM9" s="459" t="n">
        <v>0.5298</v>
      </c>
      <c r="DN9" s="459" t="n">
        <v>0.5226</v>
      </c>
      <c r="DO9" s="459" t="n">
        <v>0.5155999999999999</v>
      </c>
      <c r="DP9" s="459" t="n">
        <v>0.5087</v>
      </c>
      <c r="DQ9" s="459" t="n">
        <v>0.5018</v>
      </c>
      <c r="DR9" s="458" t="n">
        <v>0.4951</v>
      </c>
      <c r="DS9" s="458" t="n">
        <v>0.4884</v>
      </c>
      <c r="DT9" s="458" t="n">
        <v>0.4819</v>
      </c>
      <c r="DU9" s="458" t="n">
        <v>0.4754</v>
      </c>
      <c r="DV9" s="458" t="n">
        <v>0.469</v>
      </c>
      <c r="DW9" s="458" t="n">
        <v>0.4627</v>
      </c>
      <c r="DX9" s="458" t="n">
        <v>0.4564</v>
      </c>
      <c r="DY9" s="458" t="n">
        <v>0.4503</v>
      </c>
      <c r="DZ9" s="458" t="n">
        <v>0.4442</v>
      </c>
      <c r="EA9" s="458" t="n">
        <v>0.4383</v>
      </c>
      <c r="EB9" s="458" t="n">
        <v>0.4324</v>
      </c>
      <c r="EC9" s="458" t="n">
        <v>0.4266</v>
      </c>
      <c r="ED9" s="459" t="n">
        <v>0.4208</v>
      </c>
      <c r="EE9" s="459" t="n">
        <v>0.4152</v>
      </c>
      <c r="EF9" s="459" t="n">
        <v>0.4096</v>
      </c>
      <c r="EG9" s="459" t="n">
        <v>0.4041</v>
      </c>
      <c r="EH9" s="459" t="n">
        <v>0.3986</v>
      </c>
      <c r="EI9" s="459" t="n">
        <v>0.3933</v>
      </c>
      <c r="EJ9" s="459" t="n">
        <v>0.388</v>
      </c>
      <c r="EK9" s="459" t="n">
        <v>0.3828</v>
      </c>
      <c r="EL9" s="459" t="n">
        <v>0.3776</v>
      </c>
      <c r="EM9" s="459" t="n">
        <v>0.3725</v>
      </c>
      <c r="EN9" s="459" t="n">
        <v>0.3675</v>
      </c>
      <c r="EO9" s="459" t="n">
        <v>0.3626</v>
      </c>
      <c r="EP9" s="458" t="n">
        <v>0.3577</v>
      </c>
      <c r="EQ9" s="458" t="n">
        <v>0.3529</v>
      </c>
      <c r="ER9" s="458" t="n">
        <v>0.3481</v>
      </c>
      <c r="ES9" s="458" t="n">
        <v>0.3435</v>
      </c>
      <c r="ET9" s="458" t="n">
        <v>0.3388</v>
      </c>
      <c r="EU9" s="458" t="n">
        <v>0.3343</v>
      </c>
      <c r="EV9" s="458" t="n">
        <v>0.3298</v>
      </c>
      <c r="EW9" s="458" t="n">
        <v>0.3253</v>
      </c>
      <c r="EX9" s="458" t="n">
        <v>0.321</v>
      </c>
      <c r="EY9" s="458" t="n">
        <v>0.3167</v>
      </c>
      <c r="EZ9" s="458" t="n">
        <v>0.3124</v>
      </c>
      <c r="FA9" s="458" t="n">
        <v>0.3082</v>
      </c>
      <c r="FB9" s="459" t="n">
        <v>0.304</v>
      </c>
      <c r="FC9" s="459" t="n">
        <v>0.3</v>
      </c>
      <c r="FD9" s="459" t="n">
        <v>0.2959</v>
      </c>
      <c r="FE9" s="459" t="n">
        <v>0.2919</v>
      </c>
      <c r="FF9" s="459" t="n">
        <v>0.288</v>
      </c>
      <c r="FG9" s="459" t="n">
        <v>0.2841</v>
      </c>
      <c r="FH9" s="459" t="n">
        <v>0.2803</v>
      </c>
      <c r="FI9" s="459" t="n">
        <v>0.2765</v>
      </c>
      <c r="FJ9" s="459" t="n">
        <v>0.2728</v>
      </c>
      <c r="FK9" s="459" t="n">
        <v>0.2692</v>
      </c>
      <c r="FL9" s="459" t="n">
        <v>0.2655</v>
      </c>
      <c r="FM9" s="459" t="n">
        <v>0.262</v>
      </c>
      <c r="FN9" s="458" t="n">
        <v>0.2584</v>
      </c>
      <c r="FO9" s="458" t="n">
        <v>0.255</v>
      </c>
      <c r="FP9" s="458" t="n">
        <v>0.2515</v>
      </c>
      <c r="FQ9" s="458" t="n">
        <v>0.2481</v>
      </c>
      <c r="FR9" s="458" t="n">
        <v>0.2448</v>
      </c>
      <c r="FS9" s="458" t="n">
        <v>0.2415</v>
      </c>
      <c r="FT9" s="458" t="n">
        <v>0.2383</v>
      </c>
      <c r="FU9" s="458" t="n">
        <v>0.2351</v>
      </c>
      <c r="FV9" s="458" t="n">
        <v>0.2319</v>
      </c>
      <c r="FW9" s="458" t="n">
        <v>0.2288</v>
      </c>
      <c r="FX9" s="458" t="n">
        <v>0.2257</v>
      </c>
      <c r="FY9" s="458" t="n">
        <v>0.2227</v>
      </c>
      <c r="FZ9" s="306" t="n"/>
    </row>
    <row r="10" ht="15" customHeight="1" s="307">
      <c r="A10" s="321" t="inlineStr">
        <is>
          <t xml:space="preserve">    Deal #5</t>
        </is>
      </c>
      <c r="B10" s="458" t="n">
        <v>0</v>
      </c>
      <c r="C10" s="458" t="n">
        <v>0</v>
      </c>
      <c r="D10" s="458" t="n">
        <v>0</v>
      </c>
      <c r="E10" s="458" t="n">
        <v>0</v>
      </c>
      <c r="F10" s="458" t="n">
        <v>0</v>
      </c>
      <c r="G10" s="458" t="n">
        <v>0</v>
      </c>
      <c r="H10" s="458" t="n">
        <v>0</v>
      </c>
      <c r="I10" s="458" t="n">
        <v>0</v>
      </c>
      <c r="J10" s="458" t="n">
        <v>0</v>
      </c>
      <c r="K10" s="458" t="n">
        <v>0</v>
      </c>
      <c r="L10" s="458" t="n">
        <v>0</v>
      </c>
      <c r="M10" s="458" t="n">
        <v>0</v>
      </c>
      <c r="N10" s="459" t="n">
        <v>0</v>
      </c>
      <c r="O10" s="459" t="n">
        <v>0</v>
      </c>
      <c r="P10" s="459" t="n">
        <v>0</v>
      </c>
      <c r="Q10" s="459" t="n">
        <v>2.1167</v>
      </c>
      <c r="R10" s="459" t="n">
        <v>2.0882</v>
      </c>
      <c r="S10" s="459" t="n">
        <v>2.0601</v>
      </c>
      <c r="T10" s="459" t="n">
        <v>2.0324</v>
      </c>
      <c r="U10" s="459" t="n">
        <v>2.0051</v>
      </c>
      <c r="V10" s="459" t="n">
        <v>1.9781</v>
      </c>
      <c r="W10" s="459" t="n">
        <v>1.9515</v>
      </c>
      <c r="X10" s="459" t="n">
        <v>1.9252</v>
      </c>
      <c r="Y10" s="459" t="n">
        <v>1.8993</v>
      </c>
      <c r="Z10" s="458" t="n">
        <v>1.8738</v>
      </c>
      <c r="AA10" s="458" t="n">
        <v>1.8486</v>
      </c>
      <c r="AB10" s="458" t="n">
        <v>1.8237</v>
      </c>
      <c r="AC10" s="458" t="n">
        <v>1.7992</v>
      </c>
      <c r="AD10" s="458" t="n">
        <v>1.775</v>
      </c>
      <c r="AE10" s="458" t="n">
        <v>1.7511</v>
      </c>
      <c r="AF10" s="458" t="n">
        <v>1.7275</v>
      </c>
      <c r="AG10" s="458" t="n">
        <v>1.7043</v>
      </c>
      <c r="AH10" s="458" t="n">
        <v>1.6814</v>
      </c>
      <c r="AI10" s="458" t="n">
        <v>1.6587</v>
      </c>
      <c r="AJ10" s="458" t="n">
        <v>1.6364</v>
      </c>
      <c r="AK10" s="458" t="n">
        <v>1.6144</v>
      </c>
      <c r="AL10" s="459" t="n">
        <v>1.5927</v>
      </c>
      <c r="AM10" s="459" t="n">
        <v>1.5713</v>
      </c>
      <c r="AN10" s="459" t="n">
        <v>1.5501</v>
      </c>
      <c r="AO10" s="459" t="n">
        <v>1.5293</v>
      </c>
      <c r="AP10" s="459" t="n">
        <v>1.5087</v>
      </c>
      <c r="AQ10" s="459" t="n">
        <v>1.4884</v>
      </c>
      <c r="AR10" s="459" t="n">
        <v>1.4684</v>
      </c>
      <c r="AS10" s="459" t="n">
        <v>1.4486</v>
      </c>
      <c r="AT10" s="459" t="n">
        <v>1.4292</v>
      </c>
      <c r="AU10" s="459" t="n">
        <v>1.4099</v>
      </c>
      <c r="AV10" s="459" t="n">
        <v>1.391</v>
      </c>
      <c r="AW10" s="459" t="n">
        <v>1.3723</v>
      </c>
      <c r="AX10" s="458" t="n">
        <v>1.3538</v>
      </c>
      <c r="AY10" s="458" t="n">
        <v>1.3356</v>
      </c>
      <c r="AZ10" s="458" t="n">
        <v>1.3176</v>
      </c>
      <c r="BA10" s="458" t="n">
        <v>1.2999</v>
      </c>
      <c r="BB10" s="458" t="n">
        <v>1.2824</v>
      </c>
      <c r="BC10" s="458" t="n">
        <v>1.2652</v>
      </c>
      <c r="BD10" s="458" t="n">
        <v>1.2481</v>
      </c>
      <c r="BE10" s="458" t="n">
        <v>1.2314</v>
      </c>
      <c r="BF10" s="458" t="n">
        <v>1.2148</v>
      </c>
      <c r="BG10" s="458" t="n">
        <v>1.1984</v>
      </c>
      <c r="BH10" s="458" t="n">
        <v>1.1823</v>
      </c>
      <c r="BI10" s="458" t="n">
        <v>1.1664</v>
      </c>
      <c r="BJ10" s="459" t="n">
        <v>1.1507</v>
      </c>
      <c r="BK10" s="459" t="n">
        <v>1.1353</v>
      </c>
      <c r="BL10" s="459" t="n">
        <v>1.12</v>
      </c>
      <c r="BM10" s="459" t="n">
        <v>1.1049</v>
      </c>
      <c r="BN10" s="459" t="n">
        <v>1.09</v>
      </c>
      <c r="BO10" s="459" t="n">
        <v>1.0754</v>
      </c>
      <c r="BP10" s="459" t="n">
        <v>1.0609</v>
      </c>
      <c r="BQ10" s="459" t="n">
        <v>1.0466</v>
      </c>
      <c r="BR10" s="459" t="n">
        <v>1.0326</v>
      </c>
      <c r="BS10" s="459" t="n">
        <v>1.0187</v>
      </c>
      <c r="BT10" s="459" t="n">
        <v>1.005</v>
      </c>
      <c r="BU10" s="459" t="n">
        <v>0.9915</v>
      </c>
      <c r="BV10" s="458" t="n">
        <v>0.9781</v>
      </c>
      <c r="BW10" s="458" t="n">
        <v>0.965</v>
      </c>
      <c r="BX10" s="458" t="n">
        <v>0.952</v>
      </c>
      <c r="BY10" s="458" t="n">
        <v>0.9392</v>
      </c>
      <c r="BZ10" s="458" t="n">
        <v>0.9265</v>
      </c>
      <c r="CA10" s="458" t="n">
        <v>0.9141</v>
      </c>
      <c r="CB10" s="458" t="n">
        <v>0.9018</v>
      </c>
      <c r="CC10" s="458" t="n">
        <v>0.8897</v>
      </c>
      <c r="CD10" s="458" t="n">
        <v>0.8777</v>
      </c>
      <c r="CE10" s="458" t="n">
        <v>0.8659</v>
      </c>
      <c r="CF10" s="458" t="n">
        <v>0.8542</v>
      </c>
      <c r="CG10" s="458" t="n">
        <v>0.8427</v>
      </c>
      <c r="CH10" s="459" t="n">
        <v>0.8314</v>
      </c>
      <c r="CI10" s="459" t="n">
        <v>0.8202</v>
      </c>
      <c r="CJ10" s="459" t="n">
        <v>0.8092</v>
      </c>
      <c r="CK10" s="459" t="n">
        <v>0.7983</v>
      </c>
      <c r="CL10" s="459" t="n">
        <v>0.7876</v>
      </c>
      <c r="CM10" s="459" t="n">
        <v>0.777</v>
      </c>
      <c r="CN10" s="459" t="n">
        <v>0.7665</v>
      </c>
      <c r="CO10" s="459" t="n">
        <v>0.7562</v>
      </c>
      <c r="CP10" s="459" t="n">
        <v>0.746</v>
      </c>
      <c r="CQ10" s="459" t="n">
        <v>0.736</v>
      </c>
      <c r="CR10" s="459" t="n">
        <v>0.7261</v>
      </c>
      <c r="CS10" s="459" t="n">
        <v>0.7163</v>
      </c>
      <c r="CT10" s="458" t="n">
        <v>0.7067</v>
      </c>
      <c r="CU10" s="458" t="n">
        <v>0.6972</v>
      </c>
      <c r="CV10" s="458" t="n">
        <v>0.6878</v>
      </c>
      <c r="CW10" s="458" t="n">
        <v>0.6786</v>
      </c>
      <c r="CX10" s="458" t="n">
        <v>0.6694</v>
      </c>
      <c r="CY10" s="458" t="n">
        <v>0.6604</v>
      </c>
      <c r="CZ10" s="458" t="n">
        <v>0.6515</v>
      </c>
      <c r="DA10" s="458" t="n">
        <v>0.6428</v>
      </c>
      <c r="DB10" s="458" t="n">
        <v>0.6341</v>
      </c>
      <c r="DC10" s="458" t="n">
        <v>0.6256</v>
      </c>
      <c r="DD10" s="458" t="n">
        <v>0.6172</v>
      </c>
      <c r="DE10" s="458" t="n">
        <v>0.6089</v>
      </c>
      <c r="DF10" s="459" t="n">
        <v>0.6007</v>
      </c>
      <c r="DG10" s="459" t="n">
        <v>0.5926</v>
      </c>
      <c r="DH10" s="459" t="n">
        <v>0.5846</v>
      </c>
      <c r="DI10" s="459" t="n">
        <v>0.5768</v>
      </c>
      <c r="DJ10" s="459" t="n">
        <v>0.569</v>
      </c>
      <c r="DK10" s="459" t="n">
        <v>0.5614</v>
      </c>
      <c r="DL10" s="459" t="n">
        <v>0.5538</v>
      </c>
      <c r="DM10" s="459" t="n">
        <v>0.5464</v>
      </c>
      <c r="DN10" s="459" t="n">
        <v>0.539</v>
      </c>
      <c r="DO10" s="459" t="n">
        <v>0.5318000000000001</v>
      </c>
      <c r="DP10" s="459" t="n">
        <v>0.5246</v>
      </c>
      <c r="DQ10" s="459" t="n">
        <v>0.5175</v>
      </c>
      <c r="DR10" s="458" t="n">
        <v>0.5106000000000001</v>
      </c>
      <c r="DS10" s="458" t="n">
        <v>0.5037</v>
      </c>
      <c r="DT10" s="458" t="n">
        <v>0.4969</v>
      </c>
      <c r="DU10" s="458" t="n">
        <v>0.4903</v>
      </c>
      <c r="DV10" s="458" t="n">
        <v>0.4837</v>
      </c>
      <c r="DW10" s="458" t="n">
        <v>0.4772</v>
      </c>
      <c r="DX10" s="458" t="n">
        <v>0.4707</v>
      </c>
      <c r="DY10" s="458" t="n">
        <v>0.4644</v>
      </c>
      <c r="DZ10" s="458" t="n">
        <v>0.4582</v>
      </c>
      <c r="EA10" s="458" t="n">
        <v>0.452</v>
      </c>
      <c r="EB10" s="458" t="n">
        <v>0.4459</v>
      </c>
      <c r="EC10" s="458" t="n">
        <v>0.4399</v>
      </c>
      <c r="ED10" s="459" t="n">
        <v>0.434</v>
      </c>
      <c r="EE10" s="459" t="n">
        <v>0.4282</v>
      </c>
      <c r="EF10" s="459" t="n">
        <v>0.4224</v>
      </c>
      <c r="EG10" s="459" t="n">
        <v>0.4167</v>
      </c>
      <c r="EH10" s="459" t="n">
        <v>0.4111</v>
      </c>
      <c r="EI10" s="459" t="n">
        <v>0.4056</v>
      </c>
      <c r="EJ10" s="459" t="n">
        <v>0.4001</v>
      </c>
      <c r="EK10" s="459" t="n">
        <v>0.3947</v>
      </c>
      <c r="EL10" s="459" t="n">
        <v>0.3894</v>
      </c>
      <c r="EM10" s="459" t="n">
        <v>0.3842</v>
      </c>
      <c r="EN10" s="459" t="n">
        <v>0.379</v>
      </c>
      <c r="EO10" s="459" t="n">
        <v>0.3739</v>
      </c>
      <c r="EP10" s="458" t="n">
        <v>0.3689</v>
      </c>
      <c r="EQ10" s="458" t="n">
        <v>0.3639</v>
      </c>
      <c r="ER10" s="458" t="n">
        <v>0.359</v>
      </c>
      <c r="ES10" s="458" t="n">
        <v>0.3542</v>
      </c>
      <c r="ET10" s="458" t="n">
        <v>0.3494</v>
      </c>
      <c r="EU10" s="458" t="n">
        <v>0.3447</v>
      </c>
      <c r="EV10" s="458" t="n">
        <v>0.3401</v>
      </c>
      <c r="EW10" s="458" t="n">
        <v>0.3355</v>
      </c>
      <c r="EX10" s="458" t="n">
        <v>0.331</v>
      </c>
      <c r="EY10" s="458" t="n">
        <v>0.3266</v>
      </c>
      <c r="EZ10" s="458" t="n">
        <v>0.3222</v>
      </c>
      <c r="FA10" s="458" t="n">
        <v>0.3178</v>
      </c>
      <c r="FB10" s="459" t="n">
        <v>0.3136</v>
      </c>
      <c r="FC10" s="459" t="n">
        <v>0.3093</v>
      </c>
      <c r="FD10" s="459" t="n">
        <v>0.3052</v>
      </c>
      <c r="FE10" s="459" t="n">
        <v>0.3011</v>
      </c>
      <c r="FF10" s="459" t="n">
        <v>0.297</v>
      </c>
      <c r="FG10" s="459" t="n">
        <v>0.293</v>
      </c>
      <c r="FH10" s="459" t="n">
        <v>0.2891</v>
      </c>
      <c r="FI10" s="459" t="n">
        <v>0.2852</v>
      </c>
      <c r="FJ10" s="459" t="n">
        <v>0.2814</v>
      </c>
      <c r="FK10" s="459" t="n">
        <v>0.2776</v>
      </c>
      <c r="FL10" s="459" t="n">
        <v>0.2738</v>
      </c>
      <c r="FM10" s="459" t="n">
        <v>0.2702</v>
      </c>
      <c r="FN10" s="458" t="n">
        <v>0.2665</v>
      </c>
      <c r="FO10" s="458" t="n">
        <v>0.2629</v>
      </c>
      <c r="FP10" s="458" t="n">
        <v>0.2594</v>
      </c>
      <c r="FQ10" s="458" t="n">
        <v>0.2559</v>
      </c>
      <c r="FR10" s="458" t="n">
        <v>0.2525</v>
      </c>
      <c r="FS10" s="458" t="n">
        <v>0.2491</v>
      </c>
      <c r="FT10" s="458" t="n">
        <v>0.2457</v>
      </c>
      <c r="FU10" s="458" t="n">
        <v>0.2424</v>
      </c>
      <c r="FV10" s="458" t="n">
        <v>0.2392</v>
      </c>
      <c r="FW10" s="458" t="n">
        <v>0.2359</v>
      </c>
      <c r="FX10" s="458" t="n">
        <v>0.2328</v>
      </c>
      <c r="FY10" s="458" t="n">
        <v>0.2296</v>
      </c>
      <c r="FZ10" s="306" t="n"/>
    </row>
    <row r="11" ht="15" customHeight="1" s="307">
      <c r="A11" s="321" t="inlineStr">
        <is>
          <t xml:space="preserve">    Deal #6</t>
        </is>
      </c>
      <c r="B11" s="458" t="n">
        <v>0</v>
      </c>
      <c r="C11" s="458" t="n">
        <v>0</v>
      </c>
      <c r="D11" s="458" t="n">
        <v>0</v>
      </c>
      <c r="E11" s="458" t="n">
        <v>0</v>
      </c>
      <c r="F11" s="458" t="n">
        <v>0</v>
      </c>
      <c r="G11" s="458" t="n">
        <v>0</v>
      </c>
      <c r="H11" s="458" t="n">
        <v>0</v>
      </c>
      <c r="I11" s="458" t="n">
        <v>0</v>
      </c>
      <c r="J11" s="458" t="n">
        <v>0</v>
      </c>
      <c r="K11" s="458" t="n">
        <v>0</v>
      </c>
      <c r="L11" s="458" t="n">
        <v>0</v>
      </c>
      <c r="M11" s="458" t="n">
        <v>0</v>
      </c>
      <c r="N11" s="459" t="n">
        <v>0</v>
      </c>
      <c r="O11" s="459" t="n">
        <v>0</v>
      </c>
      <c r="P11" s="459" t="n">
        <v>0</v>
      </c>
      <c r="Q11" s="459" t="n">
        <v>0</v>
      </c>
      <c r="R11" s="459" t="n">
        <v>0</v>
      </c>
      <c r="S11" s="459" t="n">
        <v>0</v>
      </c>
      <c r="T11" s="459" t="n">
        <v>0</v>
      </c>
      <c r="U11" s="459" t="n">
        <v>0</v>
      </c>
      <c r="V11" s="459" t="n">
        <v>0</v>
      </c>
      <c r="W11" s="459" t="n">
        <v>0</v>
      </c>
      <c r="X11" s="459" t="n">
        <v>0</v>
      </c>
      <c r="Y11" s="459" t="n">
        <v>2</v>
      </c>
      <c r="Z11" s="458" t="n">
        <v>1.9731</v>
      </c>
      <c r="AA11" s="458" t="n">
        <v>1.9466</v>
      </c>
      <c r="AB11" s="458" t="n">
        <v>1.9204</v>
      </c>
      <c r="AC11" s="458" t="n">
        <v>1.8945</v>
      </c>
      <c r="AD11" s="458" t="n">
        <v>1.8691</v>
      </c>
      <c r="AE11" s="458" t="n">
        <v>1.8439</v>
      </c>
      <c r="AF11" s="458" t="n">
        <v>1.8191</v>
      </c>
      <c r="AG11" s="458" t="n">
        <v>1.7946</v>
      </c>
      <c r="AH11" s="458" t="n">
        <v>1.7705</v>
      </c>
      <c r="AI11" s="458" t="n">
        <v>1.7467</v>
      </c>
      <c r="AJ11" s="458" t="n">
        <v>1.7232</v>
      </c>
      <c r="AK11" s="458" t="n">
        <v>1.7</v>
      </c>
      <c r="AL11" s="459" t="n">
        <v>1.6771</v>
      </c>
      <c r="AM11" s="459" t="n">
        <v>1.6546</v>
      </c>
      <c r="AN11" s="459" t="n">
        <v>1.6323</v>
      </c>
      <c r="AO11" s="459" t="n">
        <v>1.6104</v>
      </c>
      <c r="AP11" s="459" t="n">
        <v>1.5887</v>
      </c>
      <c r="AQ11" s="459" t="n">
        <v>1.5673</v>
      </c>
      <c r="AR11" s="459" t="n">
        <v>1.5462</v>
      </c>
      <c r="AS11" s="459" t="n">
        <v>1.5254</v>
      </c>
      <c r="AT11" s="459" t="n">
        <v>1.5049</v>
      </c>
      <c r="AU11" s="459" t="n">
        <v>1.4847</v>
      </c>
      <c r="AV11" s="459" t="n">
        <v>1.4647</v>
      </c>
      <c r="AW11" s="459" t="n">
        <v>1.445</v>
      </c>
      <c r="AX11" s="458" t="n">
        <v>1.4256</v>
      </c>
      <c r="AY11" s="458" t="n">
        <v>1.4064</v>
      </c>
      <c r="AZ11" s="458" t="n">
        <v>1.3875</v>
      </c>
      <c r="BA11" s="458" t="n">
        <v>1.3688</v>
      </c>
      <c r="BB11" s="458" t="n">
        <v>1.3504</v>
      </c>
      <c r="BC11" s="458" t="n">
        <v>1.3322</v>
      </c>
      <c r="BD11" s="458" t="n">
        <v>1.3143</v>
      </c>
      <c r="BE11" s="458" t="n">
        <v>1.2966</v>
      </c>
      <c r="BF11" s="458" t="n">
        <v>1.2792</v>
      </c>
      <c r="BG11" s="458" t="n">
        <v>1.262</v>
      </c>
      <c r="BH11" s="458" t="n">
        <v>1.245</v>
      </c>
      <c r="BI11" s="458" t="n">
        <v>1.2282</v>
      </c>
      <c r="BJ11" s="459" t="n">
        <v>1.2117</v>
      </c>
      <c r="BK11" s="459" t="n">
        <v>1.1954</v>
      </c>
      <c r="BL11" s="459" t="n">
        <v>1.1793</v>
      </c>
      <c r="BM11" s="459" t="n">
        <v>1.1635</v>
      </c>
      <c r="BN11" s="459" t="n">
        <v>1.1478</v>
      </c>
      <c r="BO11" s="459" t="n">
        <v>1.1324</v>
      </c>
      <c r="BP11" s="459" t="n">
        <v>1.1172</v>
      </c>
      <c r="BQ11" s="459" t="n">
        <v>1.1021</v>
      </c>
      <c r="BR11" s="459" t="n">
        <v>1.0873</v>
      </c>
      <c r="BS11" s="459" t="n">
        <v>1.0727</v>
      </c>
      <c r="BT11" s="459" t="n">
        <v>1.0582</v>
      </c>
      <c r="BU11" s="459" t="n">
        <v>1.044</v>
      </c>
      <c r="BV11" s="458" t="n">
        <v>1.03</v>
      </c>
      <c r="BW11" s="458" t="n">
        <v>1.0161</v>
      </c>
      <c r="BX11" s="458" t="n">
        <v>1.0024</v>
      </c>
      <c r="BY11" s="458" t="n">
        <v>0.989</v>
      </c>
      <c r="BZ11" s="458" t="n">
        <v>0.9757</v>
      </c>
      <c r="CA11" s="458" t="n">
        <v>0.9625</v>
      </c>
      <c r="CB11" s="458" t="n">
        <v>0.9496</v>
      </c>
      <c r="CC11" s="458" t="n">
        <v>0.9368</v>
      </c>
      <c r="CD11" s="458" t="n">
        <v>0.9242</v>
      </c>
      <c r="CE11" s="458" t="n">
        <v>0.9118000000000001</v>
      </c>
      <c r="CF11" s="458" t="n">
        <v>0.8995</v>
      </c>
      <c r="CG11" s="458" t="n">
        <v>0.8874</v>
      </c>
      <c r="CH11" s="459" t="n">
        <v>0.8754999999999999</v>
      </c>
      <c r="CI11" s="459" t="n">
        <v>0.8637</v>
      </c>
      <c r="CJ11" s="459" t="n">
        <v>0.8521</v>
      </c>
      <c r="CK11" s="459" t="n">
        <v>0.8406</v>
      </c>
      <c r="CL11" s="459" t="n">
        <v>0.8293</v>
      </c>
      <c r="CM11" s="459" t="n">
        <v>0.8182</v>
      </c>
      <c r="CN11" s="459" t="n">
        <v>0.8071</v>
      </c>
      <c r="CO11" s="459" t="n">
        <v>0.7963</v>
      </c>
      <c r="CP11" s="459" t="n">
        <v>0.7856</v>
      </c>
      <c r="CQ11" s="459" t="n">
        <v>0.775</v>
      </c>
      <c r="CR11" s="459" t="n">
        <v>0.7645999999999999</v>
      </c>
      <c r="CS11" s="459" t="n">
        <v>0.7543</v>
      </c>
      <c r="CT11" s="458" t="n">
        <v>0.7442</v>
      </c>
      <c r="CU11" s="458" t="n">
        <v>0.7341</v>
      </c>
      <c r="CV11" s="458" t="n">
        <v>0.7243000000000001</v>
      </c>
      <c r="CW11" s="458" t="n">
        <v>0.7145</v>
      </c>
      <c r="CX11" s="458" t="n">
        <v>0.7049</v>
      </c>
      <c r="CY11" s="458" t="n">
        <v>0.6954</v>
      </c>
      <c r="CZ11" s="458" t="n">
        <v>0.6861</v>
      </c>
      <c r="DA11" s="458" t="n">
        <v>0.6768</v>
      </c>
      <c r="DB11" s="458" t="n">
        <v>0.6677</v>
      </c>
      <c r="DC11" s="458" t="n">
        <v>0.6588000000000001</v>
      </c>
      <c r="DD11" s="458" t="n">
        <v>0.6499</v>
      </c>
      <c r="DE11" s="458" t="n">
        <v>0.6412</v>
      </c>
      <c r="DF11" s="459" t="n">
        <v>0.6325</v>
      </c>
      <c r="DG11" s="459" t="n">
        <v>0.624</v>
      </c>
      <c r="DH11" s="459" t="n">
        <v>0.6156</v>
      </c>
      <c r="DI11" s="459" t="n">
        <v>0.6073</v>
      </c>
      <c r="DJ11" s="459" t="n">
        <v>0.5992</v>
      </c>
      <c r="DK11" s="459" t="n">
        <v>0.5911</v>
      </c>
      <c r="DL11" s="459" t="n">
        <v>0.5832000000000001</v>
      </c>
      <c r="DM11" s="459" t="n">
        <v>0.5753</v>
      </c>
      <c r="DN11" s="459" t="n">
        <v>0.5676</v>
      </c>
      <c r="DO11" s="459" t="n">
        <v>0.5599</v>
      </c>
      <c r="DP11" s="459" t="n">
        <v>0.5524</v>
      </c>
      <c r="DQ11" s="459" t="n">
        <v>0.545</v>
      </c>
      <c r="DR11" s="458" t="n">
        <v>0.5376</v>
      </c>
      <c r="DS11" s="458" t="n">
        <v>0.5304</v>
      </c>
      <c r="DT11" s="458" t="n">
        <v>0.5233</v>
      </c>
      <c r="DU11" s="458" t="n">
        <v>0.5162</v>
      </c>
      <c r="DV11" s="458" t="n">
        <v>0.5093</v>
      </c>
      <c r="DW11" s="458" t="n">
        <v>0.5024</v>
      </c>
      <c r="DX11" s="458" t="n">
        <v>0.4957</v>
      </c>
      <c r="DY11" s="458" t="n">
        <v>0.489</v>
      </c>
      <c r="DZ11" s="458" t="n">
        <v>0.4824</v>
      </c>
      <c r="EA11" s="458" t="n">
        <v>0.476</v>
      </c>
      <c r="EB11" s="458" t="n">
        <v>0.4696</v>
      </c>
      <c r="EC11" s="458" t="n">
        <v>0.4632</v>
      </c>
      <c r="ED11" s="459" t="n">
        <v>0.457</v>
      </c>
      <c r="EE11" s="459" t="n">
        <v>0.4509</v>
      </c>
      <c r="EF11" s="459" t="n">
        <v>0.4448</v>
      </c>
      <c r="EG11" s="459" t="n">
        <v>0.4388</v>
      </c>
      <c r="EH11" s="459" t="n">
        <v>0.4329</v>
      </c>
      <c r="EI11" s="459" t="n">
        <v>0.4271</v>
      </c>
      <c r="EJ11" s="459" t="n">
        <v>0.4213</v>
      </c>
      <c r="EK11" s="459" t="n">
        <v>0.4157</v>
      </c>
      <c r="EL11" s="459" t="n">
        <v>0.4101</v>
      </c>
      <c r="EM11" s="459" t="n">
        <v>0.4046</v>
      </c>
      <c r="EN11" s="459" t="n">
        <v>0.3991</v>
      </c>
      <c r="EO11" s="459" t="n">
        <v>0.3937</v>
      </c>
      <c r="EP11" s="458" t="n">
        <v>0.3885</v>
      </c>
      <c r="EQ11" s="458" t="n">
        <v>0.3832</v>
      </c>
      <c r="ER11" s="458" t="n">
        <v>0.3781</v>
      </c>
      <c r="ES11" s="458" t="n">
        <v>0.373</v>
      </c>
      <c r="ET11" s="458" t="n">
        <v>0.368</v>
      </c>
      <c r="EU11" s="458" t="n">
        <v>0.363</v>
      </c>
      <c r="EV11" s="458" t="n">
        <v>0.3581</v>
      </c>
      <c r="EW11" s="458" t="n">
        <v>0.3533</v>
      </c>
      <c r="EX11" s="458" t="n">
        <v>0.3486</v>
      </c>
      <c r="EY11" s="458" t="n">
        <v>0.3439</v>
      </c>
      <c r="EZ11" s="458" t="n">
        <v>0.3393</v>
      </c>
      <c r="FA11" s="458" t="n">
        <v>0.3347</v>
      </c>
      <c r="FB11" s="459" t="n">
        <v>0.3302</v>
      </c>
      <c r="FC11" s="459" t="n">
        <v>0.3257</v>
      </c>
      <c r="FD11" s="459" t="n">
        <v>0.3214</v>
      </c>
      <c r="FE11" s="459" t="n">
        <v>0.317</v>
      </c>
      <c r="FF11" s="459" t="n">
        <v>0.3128</v>
      </c>
      <c r="FG11" s="459" t="n">
        <v>0.3086</v>
      </c>
      <c r="FH11" s="459" t="n">
        <v>0.3044</v>
      </c>
      <c r="FI11" s="459" t="n">
        <v>0.3003</v>
      </c>
      <c r="FJ11" s="459" t="n">
        <v>0.2963</v>
      </c>
      <c r="FK11" s="459" t="n">
        <v>0.2923</v>
      </c>
      <c r="FL11" s="459" t="n">
        <v>0.2884</v>
      </c>
      <c r="FM11" s="459" t="n">
        <v>0.2845</v>
      </c>
      <c r="FN11" s="458" t="n">
        <v>0.2807</v>
      </c>
      <c r="FO11" s="458" t="n">
        <v>0.2769</v>
      </c>
      <c r="FP11" s="458" t="n">
        <v>0.2732</v>
      </c>
      <c r="FQ11" s="458" t="n">
        <v>0.2695</v>
      </c>
      <c r="FR11" s="458" t="n">
        <v>0.2659</v>
      </c>
      <c r="FS11" s="458" t="n">
        <v>0.2623</v>
      </c>
      <c r="FT11" s="458" t="n">
        <v>0.2588</v>
      </c>
      <c r="FU11" s="458" t="n">
        <v>0.2553</v>
      </c>
      <c r="FV11" s="458" t="n">
        <v>0.2518</v>
      </c>
      <c r="FW11" s="458" t="n">
        <v>0.2485</v>
      </c>
      <c r="FX11" s="458" t="n">
        <v>0.2451</v>
      </c>
      <c r="FY11" s="458" t="n">
        <v>0.2418</v>
      </c>
      <c r="FZ11" s="306" t="n"/>
    </row>
    <row r="12" ht="15" customHeight="1" s="307">
      <c r="A12" s="321" t="inlineStr">
        <is>
          <t xml:space="preserve">    Deal #7</t>
        </is>
      </c>
      <c r="B12" s="458" t="n">
        <v>0</v>
      </c>
      <c r="C12" s="458" t="n">
        <v>0</v>
      </c>
      <c r="D12" s="458" t="n">
        <v>0</v>
      </c>
      <c r="E12" s="458" t="n">
        <v>0</v>
      </c>
      <c r="F12" s="458" t="n">
        <v>0</v>
      </c>
      <c r="G12" s="458" t="n">
        <v>0</v>
      </c>
      <c r="H12" s="458" t="n">
        <v>0</v>
      </c>
      <c r="I12" s="458" t="n">
        <v>0</v>
      </c>
      <c r="J12" s="458" t="n">
        <v>0</v>
      </c>
      <c r="K12" s="458" t="n">
        <v>0</v>
      </c>
      <c r="L12" s="458" t="n">
        <v>0</v>
      </c>
      <c r="M12" s="458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8" t="n">
        <v>0</v>
      </c>
      <c r="AA12" s="458" t="n">
        <v>0</v>
      </c>
      <c r="AB12" s="458" t="n">
        <v>0</v>
      </c>
      <c r="AC12" s="458" t="n">
        <v>0</v>
      </c>
      <c r="AD12" s="458" t="n">
        <v>0</v>
      </c>
      <c r="AE12" s="458" t="n">
        <v>2</v>
      </c>
      <c r="AF12" s="458" t="n">
        <v>1.9731</v>
      </c>
      <c r="AG12" s="458" t="n">
        <v>1.9466</v>
      </c>
      <c r="AH12" s="458" t="n">
        <v>1.9204</v>
      </c>
      <c r="AI12" s="458" t="n">
        <v>1.8945</v>
      </c>
      <c r="AJ12" s="458" t="n">
        <v>1.8691</v>
      </c>
      <c r="AK12" s="458" t="n">
        <v>1.8439</v>
      </c>
      <c r="AL12" s="459" t="n">
        <v>1.8191</v>
      </c>
      <c r="AM12" s="459" t="n">
        <v>1.7946</v>
      </c>
      <c r="AN12" s="459" t="n">
        <v>1.7705</v>
      </c>
      <c r="AO12" s="459" t="n">
        <v>1.7467</v>
      </c>
      <c r="AP12" s="459" t="n">
        <v>1.7232</v>
      </c>
      <c r="AQ12" s="459" t="n">
        <v>1.7</v>
      </c>
      <c r="AR12" s="459" t="n">
        <v>1.6771</v>
      </c>
      <c r="AS12" s="459" t="n">
        <v>1.6546</v>
      </c>
      <c r="AT12" s="459" t="n">
        <v>1.6323</v>
      </c>
      <c r="AU12" s="459" t="n">
        <v>1.6104</v>
      </c>
      <c r="AV12" s="459" t="n">
        <v>1.5887</v>
      </c>
      <c r="AW12" s="459" t="n">
        <v>1.5673</v>
      </c>
      <c r="AX12" s="458" t="n">
        <v>1.5462</v>
      </c>
      <c r="AY12" s="458" t="n">
        <v>1.5254</v>
      </c>
      <c r="AZ12" s="458" t="n">
        <v>1.5049</v>
      </c>
      <c r="BA12" s="458" t="n">
        <v>1.4847</v>
      </c>
      <c r="BB12" s="458" t="n">
        <v>1.4647</v>
      </c>
      <c r="BC12" s="458" t="n">
        <v>1.445</v>
      </c>
      <c r="BD12" s="458" t="n">
        <v>1.4256</v>
      </c>
      <c r="BE12" s="458" t="n">
        <v>1.4064</v>
      </c>
      <c r="BF12" s="458" t="n">
        <v>1.3875</v>
      </c>
      <c r="BG12" s="458" t="n">
        <v>1.3688</v>
      </c>
      <c r="BH12" s="458" t="n">
        <v>1.3504</v>
      </c>
      <c r="BI12" s="458" t="n">
        <v>1.3322</v>
      </c>
      <c r="BJ12" s="459" t="n">
        <v>1.3143</v>
      </c>
      <c r="BK12" s="459" t="n">
        <v>1.2966</v>
      </c>
      <c r="BL12" s="459" t="n">
        <v>1.2792</v>
      </c>
      <c r="BM12" s="459" t="n">
        <v>1.262</v>
      </c>
      <c r="BN12" s="459" t="n">
        <v>1.245</v>
      </c>
      <c r="BO12" s="459" t="n">
        <v>1.2282</v>
      </c>
      <c r="BP12" s="459" t="n">
        <v>1.2117</v>
      </c>
      <c r="BQ12" s="459" t="n">
        <v>1.1954</v>
      </c>
      <c r="BR12" s="459" t="n">
        <v>1.1793</v>
      </c>
      <c r="BS12" s="459" t="n">
        <v>1.1635</v>
      </c>
      <c r="BT12" s="459" t="n">
        <v>1.1478</v>
      </c>
      <c r="BU12" s="459" t="n">
        <v>1.1324</v>
      </c>
      <c r="BV12" s="458" t="n">
        <v>1.1172</v>
      </c>
      <c r="BW12" s="458" t="n">
        <v>1.1021</v>
      </c>
      <c r="BX12" s="458" t="n">
        <v>1.0873</v>
      </c>
      <c r="BY12" s="458" t="n">
        <v>1.0727</v>
      </c>
      <c r="BZ12" s="458" t="n">
        <v>1.0582</v>
      </c>
      <c r="CA12" s="458" t="n">
        <v>1.044</v>
      </c>
      <c r="CB12" s="458" t="n">
        <v>1.03</v>
      </c>
      <c r="CC12" s="458" t="n">
        <v>1.0161</v>
      </c>
      <c r="CD12" s="458" t="n">
        <v>1.0024</v>
      </c>
      <c r="CE12" s="458" t="n">
        <v>0.989</v>
      </c>
      <c r="CF12" s="458" t="n">
        <v>0.9757</v>
      </c>
      <c r="CG12" s="458" t="n">
        <v>0.9625</v>
      </c>
      <c r="CH12" s="459" t="n">
        <v>0.9496</v>
      </c>
      <c r="CI12" s="459" t="n">
        <v>0.9368</v>
      </c>
      <c r="CJ12" s="459" t="n">
        <v>0.9242</v>
      </c>
      <c r="CK12" s="459" t="n">
        <v>0.9118000000000001</v>
      </c>
      <c r="CL12" s="459" t="n">
        <v>0.8995</v>
      </c>
      <c r="CM12" s="459" t="n">
        <v>0.8874</v>
      </c>
      <c r="CN12" s="459" t="n">
        <v>0.8754999999999999</v>
      </c>
      <c r="CO12" s="459" t="n">
        <v>0.8637</v>
      </c>
      <c r="CP12" s="459" t="n">
        <v>0.8521</v>
      </c>
      <c r="CQ12" s="459" t="n">
        <v>0.8406</v>
      </c>
      <c r="CR12" s="459" t="n">
        <v>0.8293</v>
      </c>
      <c r="CS12" s="459" t="n">
        <v>0.8182</v>
      </c>
      <c r="CT12" s="458" t="n">
        <v>0.8071</v>
      </c>
      <c r="CU12" s="458" t="n">
        <v>0.7963</v>
      </c>
      <c r="CV12" s="458" t="n">
        <v>0.7856</v>
      </c>
      <c r="CW12" s="458" t="n">
        <v>0.775</v>
      </c>
      <c r="CX12" s="458" t="n">
        <v>0.7645999999999999</v>
      </c>
      <c r="CY12" s="458" t="n">
        <v>0.7543</v>
      </c>
      <c r="CZ12" s="458" t="n">
        <v>0.7442</v>
      </c>
      <c r="DA12" s="458" t="n">
        <v>0.7341</v>
      </c>
      <c r="DB12" s="458" t="n">
        <v>0.7243000000000001</v>
      </c>
      <c r="DC12" s="458" t="n">
        <v>0.7145</v>
      </c>
      <c r="DD12" s="458" t="n">
        <v>0.7049</v>
      </c>
      <c r="DE12" s="458" t="n">
        <v>0.6954</v>
      </c>
      <c r="DF12" s="459" t="n">
        <v>0.6861</v>
      </c>
      <c r="DG12" s="459" t="n">
        <v>0.6768</v>
      </c>
      <c r="DH12" s="459" t="n">
        <v>0.6677</v>
      </c>
      <c r="DI12" s="459" t="n">
        <v>0.6588000000000001</v>
      </c>
      <c r="DJ12" s="459" t="n">
        <v>0.6499</v>
      </c>
      <c r="DK12" s="459" t="n">
        <v>0.6412</v>
      </c>
      <c r="DL12" s="459" t="n">
        <v>0.6325</v>
      </c>
      <c r="DM12" s="459" t="n">
        <v>0.624</v>
      </c>
      <c r="DN12" s="459" t="n">
        <v>0.6156</v>
      </c>
      <c r="DO12" s="459" t="n">
        <v>0.6073</v>
      </c>
      <c r="DP12" s="459" t="n">
        <v>0.5992</v>
      </c>
      <c r="DQ12" s="459" t="n">
        <v>0.5911</v>
      </c>
      <c r="DR12" s="458" t="n">
        <v>0.5832000000000001</v>
      </c>
      <c r="DS12" s="458" t="n">
        <v>0.5753</v>
      </c>
      <c r="DT12" s="458" t="n">
        <v>0.5676</v>
      </c>
      <c r="DU12" s="458" t="n">
        <v>0.5599</v>
      </c>
      <c r="DV12" s="458" t="n">
        <v>0.5524</v>
      </c>
      <c r="DW12" s="458" t="n">
        <v>0.545</v>
      </c>
      <c r="DX12" s="458" t="n">
        <v>0.5376</v>
      </c>
      <c r="DY12" s="458" t="n">
        <v>0.5304</v>
      </c>
      <c r="DZ12" s="458" t="n">
        <v>0.5233</v>
      </c>
      <c r="EA12" s="458" t="n">
        <v>0.5162</v>
      </c>
      <c r="EB12" s="458" t="n">
        <v>0.5093</v>
      </c>
      <c r="EC12" s="458" t="n">
        <v>0.5024</v>
      </c>
      <c r="ED12" s="459" t="n">
        <v>0.4957</v>
      </c>
      <c r="EE12" s="459" t="n">
        <v>0.489</v>
      </c>
      <c r="EF12" s="459" t="n">
        <v>0.4824</v>
      </c>
      <c r="EG12" s="459" t="n">
        <v>0.476</v>
      </c>
      <c r="EH12" s="459" t="n">
        <v>0.4696</v>
      </c>
      <c r="EI12" s="459" t="n">
        <v>0.4632</v>
      </c>
      <c r="EJ12" s="459" t="n">
        <v>0.457</v>
      </c>
      <c r="EK12" s="459" t="n">
        <v>0.4509</v>
      </c>
      <c r="EL12" s="459" t="n">
        <v>0.4448</v>
      </c>
      <c r="EM12" s="459" t="n">
        <v>0.4388</v>
      </c>
      <c r="EN12" s="459" t="n">
        <v>0.4329</v>
      </c>
      <c r="EO12" s="459" t="n">
        <v>0.4271</v>
      </c>
      <c r="EP12" s="458" t="n">
        <v>0.4213</v>
      </c>
      <c r="EQ12" s="458" t="n">
        <v>0.4157</v>
      </c>
      <c r="ER12" s="458" t="n">
        <v>0.4101</v>
      </c>
      <c r="ES12" s="458" t="n">
        <v>0.4046</v>
      </c>
      <c r="ET12" s="458" t="n">
        <v>0.3991</v>
      </c>
      <c r="EU12" s="458" t="n">
        <v>0.3937</v>
      </c>
      <c r="EV12" s="458" t="n">
        <v>0.3885</v>
      </c>
      <c r="EW12" s="458" t="n">
        <v>0.3832</v>
      </c>
      <c r="EX12" s="458" t="n">
        <v>0.3781</v>
      </c>
      <c r="EY12" s="458" t="n">
        <v>0.373</v>
      </c>
      <c r="EZ12" s="458" t="n">
        <v>0.368</v>
      </c>
      <c r="FA12" s="458" t="n">
        <v>0.363</v>
      </c>
      <c r="FB12" s="459" t="n">
        <v>0.3581</v>
      </c>
      <c r="FC12" s="459" t="n">
        <v>0.3533</v>
      </c>
      <c r="FD12" s="459" t="n">
        <v>0.3486</v>
      </c>
      <c r="FE12" s="459" t="n">
        <v>0.3439</v>
      </c>
      <c r="FF12" s="459" t="n">
        <v>0.3393</v>
      </c>
      <c r="FG12" s="459" t="n">
        <v>0.3347</v>
      </c>
      <c r="FH12" s="459" t="n">
        <v>0.3302</v>
      </c>
      <c r="FI12" s="459" t="n">
        <v>0.3257</v>
      </c>
      <c r="FJ12" s="459" t="n">
        <v>0.3214</v>
      </c>
      <c r="FK12" s="459" t="n">
        <v>0.317</v>
      </c>
      <c r="FL12" s="459" t="n">
        <v>0.3128</v>
      </c>
      <c r="FM12" s="459" t="n">
        <v>0.3086</v>
      </c>
      <c r="FN12" s="458" t="n">
        <v>0.3044</v>
      </c>
      <c r="FO12" s="458" t="n">
        <v>0.3003</v>
      </c>
      <c r="FP12" s="458" t="n">
        <v>0.2963</v>
      </c>
      <c r="FQ12" s="458" t="n">
        <v>0.2923</v>
      </c>
      <c r="FR12" s="458" t="n">
        <v>0.2884</v>
      </c>
      <c r="FS12" s="458" t="n">
        <v>0.2845</v>
      </c>
      <c r="FT12" s="458" t="n">
        <v>0.2807</v>
      </c>
      <c r="FU12" s="458" t="n">
        <v>0.2769</v>
      </c>
      <c r="FV12" s="458" t="n">
        <v>0.2732</v>
      </c>
      <c r="FW12" s="458" t="n">
        <v>0.2695</v>
      </c>
      <c r="FX12" s="458" t="n">
        <v>0.2659</v>
      </c>
      <c r="FY12" s="458" t="n">
        <v>0.2623</v>
      </c>
      <c r="FZ12" s="306" t="n"/>
    </row>
    <row r="13" ht="15" customHeight="1" s="307">
      <c r="A13" s="321" t="inlineStr">
        <is>
          <t xml:space="preserve">    Deal #8</t>
        </is>
      </c>
      <c r="B13" s="458" t="n">
        <v>0</v>
      </c>
      <c r="C13" s="458" t="n">
        <v>0</v>
      </c>
      <c r="D13" s="458" t="n">
        <v>0</v>
      </c>
      <c r="E13" s="458" t="n">
        <v>0</v>
      </c>
      <c r="F13" s="458" t="n">
        <v>0</v>
      </c>
      <c r="G13" s="458" t="n">
        <v>0</v>
      </c>
      <c r="H13" s="458" t="n">
        <v>0</v>
      </c>
      <c r="I13" s="458" t="n">
        <v>0</v>
      </c>
      <c r="J13" s="458" t="n">
        <v>0</v>
      </c>
      <c r="K13" s="458" t="n">
        <v>0</v>
      </c>
      <c r="L13" s="458" t="n">
        <v>0</v>
      </c>
      <c r="M13" s="458" t="n">
        <v>0</v>
      </c>
      <c r="N13" s="459" t="n">
        <v>0</v>
      </c>
      <c r="O13" s="459" t="n">
        <v>0</v>
      </c>
      <c r="P13" s="459" t="n">
        <v>0</v>
      </c>
      <c r="Q13" s="459" t="n">
        <v>0</v>
      </c>
      <c r="R13" s="459" t="n">
        <v>0</v>
      </c>
      <c r="S13" s="459" t="n">
        <v>0</v>
      </c>
      <c r="T13" s="459" t="n">
        <v>0</v>
      </c>
      <c r="U13" s="459" t="n">
        <v>0</v>
      </c>
      <c r="V13" s="459" t="n">
        <v>0</v>
      </c>
      <c r="W13" s="459" t="n">
        <v>0</v>
      </c>
      <c r="X13" s="459" t="n">
        <v>0</v>
      </c>
      <c r="Y13" s="459" t="n">
        <v>0</v>
      </c>
      <c r="Z13" s="458" t="n">
        <v>0</v>
      </c>
      <c r="AA13" s="458" t="n">
        <v>0</v>
      </c>
      <c r="AB13" s="458" t="n">
        <v>0</v>
      </c>
      <c r="AC13" s="458" t="n">
        <v>0</v>
      </c>
      <c r="AD13" s="458" t="n">
        <v>0</v>
      </c>
      <c r="AE13" s="458" t="n">
        <v>0</v>
      </c>
      <c r="AF13" s="458" t="n">
        <v>0</v>
      </c>
      <c r="AG13" s="458" t="n">
        <v>0</v>
      </c>
      <c r="AH13" s="458" t="n">
        <v>0</v>
      </c>
      <c r="AI13" s="458" t="n">
        <v>0</v>
      </c>
      <c r="AJ13" s="458" t="n">
        <v>0</v>
      </c>
      <c r="AK13" s="458" t="n">
        <v>2</v>
      </c>
      <c r="AL13" s="459" t="n">
        <v>1.9731</v>
      </c>
      <c r="AM13" s="459" t="n">
        <v>1.9466</v>
      </c>
      <c r="AN13" s="459" t="n">
        <v>1.9204</v>
      </c>
      <c r="AO13" s="459" t="n">
        <v>1.8945</v>
      </c>
      <c r="AP13" s="459" t="n">
        <v>1.8691</v>
      </c>
      <c r="AQ13" s="459" t="n">
        <v>1.8439</v>
      </c>
      <c r="AR13" s="459" t="n">
        <v>1.8191</v>
      </c>
      <c r="AS13" s="459" t="n">
        <v>1.7946</v>
      </c>
      <c r="AT13" s="459" t="n">
        <v>1.7705</v>
      </c>
      <c r="AU13" s="459" t="n">
        <v>1.7467</v>
      </c>
      <c r="AV13" s="459" t="n">
        <v>1.7232</v>
      </c>
      <c r="AW13" s="459" t="n">
        <v>1.7</v>
      </c>
      <c r="AX13" s="458" t="n">
        <v>1.6771</v>
      </c>
      <c r="AY13" s="458" t="n">
        <v>1.6546</v>
      </c>
      <c r="AZ13" s="458" t="n">
        <v>1.6323</v>
      </c>
      <c r="BA13" s="458" t="n">
        <v>1.6104</v>
      </c>
      <c r="BB13" s="458" t="n">
        <v>1.5887</v>
      </c>
      <c r="BC13" s="458" t="n">
        <v>1.5673</v>
      </c>
      <c r="BD13" s="458" t="n">
        <v>1.5462</v>
      </c>
      <c r="BE13" s="458" t="n">
        <v>1.5254</v>
      </c>
      <c r="BF13" s="458" t="n">
        <v>1.5049</v>
      </c>
      <c r="BG13" s="458" t="n">
        <v>1.4847</v>
      </c>
      <c r="BH13" s="458" t="n">
        <v>1.4647</v>
      </c>
      <c r="BI13" s="458" t="n">
        <v>1.445</v>
      </c>
      <c r="BJ13" s="459" t="n">
        <v>1.4256</v>
      </c>
      <c r="BK13" s="459" t="n">
        <v>1.4064</v>
      </c>
      <c r="BL13" s="459" t="n">
        <v>1.3875</v>
      </c>
      <c r="BM13" s="459" t="n">
        <v>1.3688</v>
      </c>
      <c r="BN13" s="459" t="n">
        <v>1.3504</v>
      </c>
      <c r="BO13" s="459" t="n">
        <v>1.3322</v>
      </c>
      <c r="BP13" s="459" t="n">
        <v>1.3143</v>
      </c>
      <c r="BQ13" s="459" t="n">
        <v>1.2966</v>
      </c>
      <c r="BR13" s="459" t="n">
        <v>1.2792</v>
      </c>
      <c r="BS13" s="459" t="n">
        <v>1.262</v>
      </c>
      <c r="BT13" s="459" t="n">
        <v>1.245</v>
      </c>
      <c r="BU13" s="459" t="n">
        <v>1.2282</v>
      </c>
      <c r="BV13" s="458" t="n">
        <v>1.2117</v>
      </c>
      <c r="BW13" s="458" t="n">
        <v>1.1954</v>
      </c>
      <c r="BX13" s="458" t="n">
        <v>1.1793</v>
      </c>
      <c r="BY13" s="458" t="n">
        <v>1.1635</v>
      </c>
      <c r="BZ13" s="458" t="n">
        <v>1.1478</v>
      </c>
      <c r="CA13" s="458" t="n">
        <v>1.1324</v>
      </c>
      <c r="CB13" s="458" t="n">
        <v>1.1172</v>
      </c>
      <c r="CC13" s="458" t="n">
        <v>1.1021</v>
      </c>
      <c r="CD13" s="458" t="n">
        <v>1.0873</v>
      </c>
      <c r="CE13" s="458" t="n">
        <v>1.0727</v>
      </c>
      <c r="CF13" s="458" t="n">
        <v>1.0582</v>
      </c>
      <c r="CG13" s="458" t="n">
        <v>1.044</v>
      </c>
      <c r="CH13" s="459" t="n">
        <v>1.03</v>
      </c>
      <c r="CI13" s="459" t="n">
        <v>1.0161</v>
      </c>
      <c r="CJ13" s="459" t="n">
        <v>1.0024</v>
      </c>
      <c r="CK13" s="459" t="n">
        <v>0.989</v>
      </c>
      <c r="CL13" s="459" t="n">
        <v>0.9757</v>
      </c>
      <c r="CM13" s="459" t="n">
        <v>0.9625</v>
      </c>
      <c r="CN13" s="459" t="n">
        <v>0.9496</v>
      </c>
      <c r="CO13" s="459" t="n">
        <v>0.9368</v>
      </c>
      <c r="CP13" s="459" t="n">
        <v>0.9242</v>
      </c>
      <c r="CQ13" s="459" t="n">
        <v>0.9118000000000001</v>
      </c>
      <c r="CR13" s="459" t="n">
        <v>0.8995</v>
      </c>
      <c r="CS13" s="459" t="n">
        <v>0.8874</v>
      </c>
      <c r="CT13" s="458" t="n">
        <v>0.8754999999999999</v>
      </c>
      <c r="CU13" s="458" t="n">
        <v>0.8637</v>
      </c>
      <c r="CV13" s="458" t="n">
        <v>0.8521</v>
      </c>
      <c r="CW13" s="458" t="n">
        <v>0.8406</v>
      </c>
      <c r="CX13" s="458" t="n">
        <v>0.8293</v>
      </c>
      <c r="CY13" s="458" t="n">
        <v>0.8182</v>
      </c>
      <c r="CZ13" s="458" t="n">
        <v>0.8071</v>
      </c>
      <c r="DA13" s="458" t="n">
        <v>0.7963</v>
      </c>
      <c r="DB13" s="458" t="n">
        <v>0.7856</v>
      </c>
      <c r="DC13" s="458" t="n">
        <v>0.775</v>
      </c>
      <c r="DD13" s="458" t="n">
        <v>0.7645999999999999</v>
      </c>
      <c r="DE13" s="458" t="n">
        <v>0.7543</v>
      </c>
      <c r="DF13" s="459" t="n">
        <v>0.7442</v>
      </c>
      <c r="DG13" s="459" t="n">
        <v>0.7341</v>
      </c>
      <c r="DH13" s="459" t="n">
        <v>0.7243000000000001</v>
      </c>
      <c r="DI13" s="459" t="n">
        <v>0.7145</v>
      </c>
      <c r="DJ13" s="459" t="n">
        <v>0.7049</v>
      </c>
      <c r="DK13" s="459" t="n">
        <v>0.6954</v>
      </c>
      <c r="DL13" s="459" t="n">
        <v>0.6861</v>
      </c>
      <c r="DM13" s="459" t="n">
        <v>0.6768</v>
      </c>
      <c r="DN13" s="459" t="n">
        <v>0.6677</v>
      </c>
      <c r="DO13" s="459" t="n">
        <v>0.6588000000000001</v>
      </c>
      <c r="DP13" s="459" t="n">
        <v>0.6499</v>
      </c>
      <c r="DQ13" s="459" t="n">
        <v>0.6412</v>
      </c>
      <c r="DR13" s="458" t="n">
        <v>0.6325</v>
      </c>
      <c r="DS13" s="458" t="n">
        <v>0.624</v>
      </c>
      <c r="DT13" s="458" t="n">
        <v>0.6156</v>
      </c>
      <c r="DU13" s="458" t="n">
        <v>0.6073</v>
      </c>
      <c r="DV13" s="458" t="n">
        <v>0.5992</v>
      </c>
      <c r="DW13" s="458" t="n">
        <v>0.5911</v>
      </c>
      <c r="DX13" s="458" t="n">
        <v>0.5832000000000001</v>
      </c>
      <c r="DY13" s="458" t="n">
        <v>0.5753</v>
      </c>
      <c r="DZ13" s="458" t="n">
        <v>0.5676</v>
      </c>
      <c r="EA13" s="458" t="n">
        <v>0.5599</v>
      </c>
      <c r="EB13" s="458" t="n">
        <v>0.5524</v>
      </c>
      <c r="EC13" s="458" t="n">
        <v>0.545</v>
      </c>
      <c r="ED13" s="459" t="n">
        <v>0.5376</v>
      </c>
      <c r="EE13" s="459" t="n">
        <v>0.5304</v>
      </c>
      <c r="EF13" s="459" t="n">
        <v>0.5233</v>
      </c>
      <c r="EG13" s="459" t="n">
        <v>0.5162</v>
      </c>
      <c r="EH13" s="459" t="n">
        <v>0.5093</v>
      </c>
      <c r="EI13" s="459" t="n">
        <v>0.5024</v>
      </c>
      <c r="EJ13" s="459" t="n">
        <v>0.4957</v>
      </c>
      <c r="EK13" s="459" t="n">
        <v>0.489</v>
      </c>
      <c r="EL13" s="459" t="n">
        <v>0.4824</v>
      </c>
      <c r="EM13" s="459" t="n">
        <v>0.476</v>
      </c>
      <c r="EN13" s="459" t="n">
        <v>0.4696</v>
      </c>
      <c r="EO13" s="459" t="n">
        <v>0.4632</v>
      </c>
      <c r="EP13" s="458" t="n">
        <v>0.457</v>
      </c>
      <c r="EQ13" s="458" t="n">
        <v>0.4509</v>
      </c>
      <c r="ER13" s="458" t="n">
        <v>0.4448</v>
      </c>
      <c r="ES13" s="458" t="n">
        <v>0.4388</v>
      </c>
      <c r="ET13" s="458" t="n">
        <v>0.4329</v>
      </c>
      <c r="EU13" s="458" t="n">
        <v>0.4271</v>
      </c>
      <c r="EV13" s="458" t="n">
        <v>0.4213</v>
      </c>
      <c r="EW13" s="458" t="n">
        <v>0.4157</v>
      </c>
      <c r="EX13" s="458" t="n">
        <v>0.4101</v>
      </c>
      <c r="EY13" s="458" t="n">
        <v>0.4046</v>
      </c>
      <c r="EZ13" s="458" t="n">
        <v>0.3991</v>
      </c>
      <c r="FA13" s="458" t="n">
        <v>0.3937</v>
      </c>
      <c r="FB13" s="459" t="n">
        <v>0.3885</v>
      </c>
      <c r="FC13" s="459" t="n">
        <v>0.3832</v>
      </c>
      <c r="FD13" s="459" t="n">
        <v>0.3781</v>
      </c>
      <c r="FE13" s="459" t="n">
        <v>0.373</v>
      </c>
      <c r="FF13" s="459" t="n">
        <v>0.368</v>
      </c>
      <c r="FG13" s="459" t="n">
        <v>0.363</v>
      </c>
      <c r="FH13" s="459" t="n">
        <v>0.3581</v>
      </c>
      <c r="FI13" s="459" t="n">
        <v>0.3533</v>
      </c>
      <c r="FJ13" s="459" t="n">
        <v>0.3486</v>
      </c>
      <c r="FK13" s="459" t="n">
        <v>0.3439</v>
      </c>
      <c r="FL13" s="459" t="n">
        <v>0.3393</v>
      </c>
      <c r="FM13" s="459" t="n">
        <v>0.3347</v>
      </c>
      <c r="FN13" s="458" t="n">
        <v>0.3302</v>
      </c>
      <c r="FO13" s="458" t="n">
        <v>0.3257</v>
      </c>
      <c r="FP13" s="458" t="n">
        <v>0.3214</v>
      </c>
      <c r="FQ13" s="458" t="n">
        <v>0.317</v>
      </c>
      <c r="FR13" s="458" t="n">
        <v>0.3128</v>
      </c>
      <c r="FS13" s="458" t="n">
        <v>0.3086</v>
      </c>
      <c r="FT13" s="458" t="n">
        <v>0.3044</v>
      </c>
      <c r="FU13" s="458" t="n">
        <v>0.3003</v>
      </c>
      <c r="FV13" s="458" t="n">
        <v>0.2963</v>
      </c>
      <c r="FW13" s="458" t="n">
        <v>0.2923</v>
      </c>
      <c r="FX13" s="458" t="n">
        <v>0.2884</v>
      </c>
      <c r="FY13" s="458" t="n">
        <v>0.2845</v>
      </c>
      <c r="FZ13" s="306" t="n"/>
    </row>
    <row r="14" ht="15" customHeight="1" s="307">
      <c r="A14" s="321" t="n"/>
      <c r="B14" s="459" t="n"/>
      <c r="C14" s="459" t="n"/>
      <c r="D14" s="459" t="n"/>
      <c r="E14" s="459" t="n"/>
      <c r="F14" s="459" t="n"/>
      <c r="G14" s="459" t="n"/>
      <c r="H14" s="459" t="n"/>
      <c r="I14" s="459" t="n"/>
      <c r="J14" s="459" t="n"/>
      <c r="K14" s="459" t="n"/>
      <c r="L14" s="459" t="n"/>
      <c r="M14" s="459" t="n"/>
      <c r="N14" s="459" t="n"/>
      <c r="O14" s="459" t="n"/>
      <c r="P14" s="459" t="n"/>
      <c r="Q14" s="459" t="n"/>
      <c r="R14" s="459" t="n"/>
      <c r="S14" s="459" t="n"/>
      <c r="T14" s="459" t="n"/>
      <c r="U14" s="459" t="n"/>
      <c r="V14" s="459" t="n"/>
      <c r="W14" s="459" t="n"/>
      <c r="X14" s="459" t="n"/>
      <c r="Y14" s="459" t="n"/>
      <c r="Z14" s="459" t="n"/>
      <c r="AA14" s="459" t="n"/>
      <c r="AB14" s="459" t="n"/>
      <c r="AC14" s="459" t="n"/>
      <c r="AD14" s="459" t="n"/>
      <c r="AE14" s="459" t="n"/>
      <c r="AF14" s="459" t="n"/>
      <c r="AG14" s="459" t="n"/>
      <c r="AH14" s="459" t="n"/>
      <c r="AI14" s="459" t="n"/>
      <c r="AJ14" s="459" t="n"/>
      <c r="AK14" s="459" t="n"/>
      <c r="AL14" s="459" t="n"/>
      <c r="AM14" s="459" t="n"/>
      <c r="AN14" s="459" t="n"/>
      <c r="AO14" s="459" t="n"/>
      <c r="AP14" s="459" t="n"/>
      <c r="AQ14" s="459" t="n"/>
      <c r="AR14" s="459" t="n"/>
      <c r="AS14" s="459" t="n"/>
      <c r="AT14" s="459" t="n"/>
      <c r="AU14" s="459" t="n"/>
      <c r="AV14" s="459" t="n"/>
      <c r="AW14" s="459" t="n"/>
      <c r="AX14" s="459" t="n"/>
      <c r="AY14" s="459" t="n"/>
      <c r="AZ14" s="459" t="n"/>
      <c r="BA14" s="459" t="n"/>
      <c r="BB14" s="459" t="n"/>
      <c r="BC14" s="459" t="n"/>
      <c r="BD14" s="459" t="n"/>
      <c r="BE14" s="459" t="n"/>
      <c r="BF14" s="459" t="n"/>
      <c r="BG14" s="459" t="n"/>
      <c r="BH14" s="459" t="n"/>
      <c r="BI14" s="459" t="n"/>
      <c r="BJ14" s="459" t="n"/>
      <c r="BK14" s="459" t="n"/>
      <c r="BL14" s="459" t="n"/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59" t="n"/>
      <c r="CC14" s="459" t="n"/>
      <c r="CD14" s="459" t="n"/>
      <c r="CE14" s="459" t="n"/>
      <c r="CF14" s="459" t="n"/>
      <c r="CG14" s="459" t="n"/>
      <c r="CH14" s="459" t="n"/>
      <c r="CI14" s="459" t="n"/>
      <c r="CJ14" s="459" t="n"/>
      <c r="CK14" s="459" t="n"/>
      <c r="CL14" s="459" t="n"/>
      <c r="CM14" s="459" t="n"/>
      <c r="CN14" s="459" t="n"/>
      <c r="CO14" s="459" t="n"/>
      <c r="CP14" s="459" t="n"/>
      <c r="CQ14" s="459" t="n"/>
      <c r="CR14" s="459" t="n"/>
      <c r="CS14" s="459" t="n"/>
      <c r="CT14" s="459" t="n"/>
      <c r="CU14" s="459" t="n"/>
      <c r="CV14" s="459" t="n"/>
      <c r="CW14" s="459" t="n"/>
      <c r="CX14" s="459" t="n"/>
      <c r="CY14" s="459" t="n"/>
      <c r="CZ14" s="459" t="n"/>
      <c r="DA14" s="459" t="n"/>
      <c r="DB14" s="459" t="n"/>
      <c r="DC14" s="459" t="n"/>
      <c r="DD14" s="459" t="n"/>
      <c r="DE14" s="459" t="n"/>
      <c r="DF14" s="459" t="n"/>
      <c r="DG14" s="459" t="n"/>
      <c r="DH14" s="459" t="n"/>
      <c r="DI14" s="459" t="n"/>
      <c r="DJ14" s="459" t="n"/>
      <c r="DK14" s="459" t="n"/>
      <c r="DL14" s="459" t="n"/>
      <c r="DM14" s="459" t="n"/>
      <c r="DN14" s="459" t="n"/>
      <c r="DO14" s="459" t="n"/>
      <c r="DP14" s="459" t="n"/>
      <c r="DQ14" s="459" t="n"/>
      <c r="DR14" s="459" t="n"/>
      <c r="DS14" s="459" t="n"/>
      <c r="DT14" s="459" t="n"/>
      <c r="DU14" s="459" t="n"/>
      <c r="DV14" s="459" t="n"/>
      <c r="DW14" s="459" t="n"/>
      <c r="DX14" s="459" t="n"/>
      <c r="DY14" s="459" t="n"/>
      <c r="DZ14" s="459" t="n"/>
      <c r="EA14" s="459" t="n"/>
      <c r="EB14" s="459" t="n"/>
      <c r="EC14" s="459" t="n"/>
      <c r="ED14" s="459" t="n"/>
      <c r="EE14" s="459" t="n"/>
      <c r="EF14" s="459" t="n"/>
      <c r="EG14" s="459" t="n"/>
      <c r="EH14" s="459" t="n"/>
      <c r="EI14" s="459" t="n"/>
      <c r="EJ14" s="459" t="n"/>
      <c r="EK14" s="459" t="n"/>
      <c r="EL14" s="459" t="n"/>
      <c r="EM14" s="459" t="n"/>
      <c r="EN14" s="459" t="n"/>
      <c r="EO14" s="459" t="n"/>
      <c r="EP14" s="459" t="n"/>
      <c r="EQ14" s="459" t="n"/>
      <c r="ER14" s="459" t="n"/>
      <c r="ES14" s="459" t="n"/>
      <c r="ET14" s="459" t="n"/>
      <c r="EU14" s="459" t="n"/>
      <c r="EV14" s="459" t="n"/>
      <c r="EW14" s="459" t="n"/>
      <c r="EX14" s="459" t="n"/>
      <c r="EY14" s="459" t="n"/>
      <c r="EZ14" s="459" t="n"/>
      <c r="FA14" s="459" t="n"/>
      <c r="FB14" s="459" t="n"/>
      <c r="FC14" s="459" t="n"/>
      <c r="FD14" s="459" t="n"/>
      <c r="FE14" s="459" t="n"/>
      <c r="FF14" s="459" t="n"/>
      <c r="FG14" s="459" t="n"/>
      <c r="FH14" s="459" t="n"/>
      <c r="FI14" s="459" t="n"/>
      <c r="FJ14" s="459" t="n"/>
      <c r="FK14" s="459" t="n"/>
      <c r="FL14" s="459" t="n"/>
      <c r="FM14" s="459" t="n"/>
      <c r="FN14" s="459" t="n"/>
      <c r="FO14" s="459" t="n"/>
      <c r="FP14" s="459" t="n"/>
      <c r="FQ14" s="459" t="n"/>
      <c r="FR14" s="459" t="n"/>
      <c r="FS14" s="459" t="n"/>
      <c r="FT14" s="459" t="n"/>
      <c r="FU14" s="459" t="n"/>
      <c r="FV14" s="459" t="n"/>
      <c r="FW14" s="459" t="n"/>
      <c r="FX14" s="459" t="n"/>
      <c r="FY14" s="459" t="n"/>
      <c r="FZ14" s="306" t="n"/>
    </row>
    <row r="15" ht="15" customHeight="1" s="307">
      <c r="A15" s="325" t="inlineStr">
        <is>
          <t>Portfolio P&amp;L</t>
        </is>
      </c>
      <c r="B15" s="457" t="n"/>
      <c r="C15" s="457" t="n"/>
      <c r="D15" s="457" t="n"/>
      <c r="E15" s="457" t="n"/>
      <c r="F15" s="457" t="n"/>
      <c r="G15" s="457" t="n"/>
      <c r="H15" s="457" t="n"/>
      <c r="I15" s="457" t="n"/>
      <c r="J15" s="457" t="n"/>
      <c r="K15" s="457" t="n"/>
      <c r="L15" s="457" t="n"/>
      <c r="M15" s="457" t="n"/>
      <c r="N15" s="457" t="n"/>
      <c r="O15" s="457" t="n"/>
      <c r="P15" s="457" t="n"/>
      <c r="Q15" s="457" t="n"/>
      <c r="R15" s="457" t="n"/>
      <c r="S15" s="457" t="n"/>
      <c r="T15" s="457" t="n"/>
      <c r="U15" s="457" t="n"/>
      <c r="V15" s="457" t="n"/>
      <c r="W15" s="457" t="n"/>
      <c r="X15" s="457" t="n"/>
      <c r="Y15" s="457" t="n"/>
      <c r="Z15" s="457" t="n"/>
      <c r="AA15" s="457" t="n"/>
      <c r="AB15" s="457" t="n"/>
      <c r="AC15" s="457" t="n"/>
      <c r="AD15" s="457" t="n"/>
      <c r="AE15" s="457" t="n"/>
      <c r="AF15" s="457" t="n"/>
      <c r="AG15" s="457" t="n"/>
      <c r="AH15" s="457" t="n"/>
      <c r="AI15" s="457" t="n"/>
      <c r="AJ15" s="457" t="n"/>
      <c r="AK15" s="457" t="n"/>
      <c r="AL15" s="457" t="n"/>
      <c r="AM15" s="457" t="n"/>
      <c r="AN15" s="457" t="n"/>
      <c r="AO15" s="457" t="n"/>
      <c r="AP15" s="457" t="n"/>
      <c r="AQ15" s="457" t="n"/>
      <c r="AR15" s="457" t="n"/>
      <c r="AS15" s="457" t="n"/>
      <c r="AT15" s="457" t="n"/>
      <c r="AU15" s="457" t="n"/>
      <c r="AV15" s="457" t="n"/>
      <c r="AW15" s="457" t="n"/>
      <c r="AX15" s="457" t="n"/>
      <c r="AY15" s="457" t="n"/>
      <c r="AZ15" s="457" t="n"/>
      <c r="BA15" s="457" t="n"/>
      <c r="BB15" s="457" t="n"/>
      <c r="BC15" s="457" t="n"/>
      <c r="BD15" s="457" t="n"/>
      <c r="BE15" s="457" t="n"/>
      <c r="BF15" s="457" t="n"/>
      <c r="BG15" s="457" t="n"/>
      <c r="BH15" s="457" t="n"/>
      <c r="BI15" s="457" t="n"/>
      <c r="BJ15" s="457" t="n"/>
      <c r="BK15" s="457" t="n"/>
      <c r="BL15" s="457" t="n"/>
      <c r="BM15" s="457" t="n"/>
      <c r="BN15" s="457" t="n"/>
      <c r="BO15" s="457" t="n"/>
      <c r="BP15" s="457" t="n"/>
      <c r="BQ15" s="457" t="n"/>
      <c r="BR15" s="457" t="n"/>
      <c r="BS15" s="457" t="n"/>
      <c r="BT15" s="457" t="n"/>
      <c r="BU15" s="457" t="n"/>
      <c r="BV15" s="457" t="n"/>
      <c r="BW15" s="457" t="n"/>
      <c r="BX15" s="457" t="n"/>
      <c r="BY15" s="457" t="n"/>
      <c r="BZ15" s="457" t="n"/>
      <c r="CA15" s="457" t="n"/>
      <c r="CB15" s="457" t="n"/>
      <c r="CC15" s="457" t="n"/>
      <c r="CD15" s="457" t="n"/>
      <c r="CE15" s="457" t="n"/>
      <c r="CF15" s="457" t="n"/>
      <c r="CG15" s="457" t="n"/>
      <c r="CH15" s="457" t="n"/>
      <c r="CI15" s="457" t="n"/>
      <c r="CJ15" s="457" t="n"/>
      <c r="CK15" s="457" t="n"/>
      <c r="CL15" s="457" t="n"/>
      <c r="CM15" s="457" t="n"/>
      <c r="CN15" s="457" t="n"/>
      <c r="CO15" s="457" t="n"/>
      <c r="CP15" s="457" t="n"/>
      <c r="CQ15" s="457" t="n"/>
      <c r="CR15" s="457" t="n"/>
      <c r="CS15" s="457" t="n"/>
      <c r="CT15" s="457" t="n"/>
      <c r="CU15" s="457" t="n"/>
      <c r="CV15" s="457" t="n"/>
      <c r="CW15" s="457" t="n"/>
      <c r="CX15" s="457" t="n"/>
      <c r="CY15" s="457" t="n"/>
      <c r="CZ15" s="457" t="n"/>
      <c r="DA15" s="457" t="n"/>
      <c r="DB15" s="457" t="n"/>
      <c r="DC15" s="457" t="n"/>
      <c r="DD15" s="457" t="n"/>
      <c r="DE15" s="457" t="n"/>
      <c r="DF15" s="457" t="n"/>
      <c r="DG15" s="457" t="n"/>
      <c r="DH15" s="457" t="n"/>
      <c r="DI15" s="457" t="n"/>
      <c r="DJ15" s="457" t="n"/>
      <c r="DK15" s="457" t="n"/>
      <c r="DL15" s="457" t="n"/>
      <c r="DM15" s="457" t="n"/>
      <c r="DN15" s="457" t="n"/>
      <c r="DO15" s="457" t="n"/>
      <c r="DP15" s="457" t="n"/>
      <c r="DQ15" s="457" t="n"/>
      <c r="DR15" s="457" t="n"/>
      <c r="DS15" s="457" t="n"/>
      <c r="DT15" s="457" t="n"/>
      <c r="DU15" s="457" t="n"/>
      <c r="DV15" s="457" t="n"/>
      <c r="DW15" s="457" t="n"/>
      <c r="DX15" s="457" t="n"/>
      <c r="DY15" s="457" t="n"/>
      <c r="DZ15" s="457" t="n"/>
      <c r="EA15" s="457" t="n"/>
      <c r="EB15" s="457" t="n"/>
      <c r="EC15" s="457" t="n"/>
      <c r="ED15" s="457" t="n"/>
      <c r="EE15" s="457" t="n"/>
      <c r="EF15" s="457" t="n"/>
      <c r="EG15" s="457" t="n"/>
      <c r="EH15" s="457" t="n"/>
      <c r="EI15" s="457" t="n"/>
      <c r="EJ15" s="457" t="n"/>
      <c r="EK15" s="457" t="n"/>
      <c r="EL15" s="457" t="n"/>
      <c r="EM15" s="457" t="n"/>
      <c r="EN15" s="457" t="n"/>
      <c r="EO15" s="457" t="n"/>
      <c r="EP15" s="457" t="n"/>
      <c r="EQ15" s="457" t="n"/>
      <c r="ER15" s="457" t="n"/>
      <c r="ES15" s="457" t="n"/>
      <c r="ET15" s="457" t="n"/>
      <c r="EU15" s="457" t="n"/>
      <c r="EV15" s="457" t="n"/>
      <c r="EW15" s="457" t="n"/>
      <c r="EX15" s="457" t="n"/>
      <c r="EY15" s="457" t="n"/>
      <c r="EZ15" s="457" t="n"/>
      <c r="FA15" s="457" t="n"/>
      <c r="FB15" s="457" t="n"/>
      <c r="FC15" s="457" t="n"/>
      <c r="FD15" s="457" t="n"/>
      <c r="FE15" s="457" t="n"/>
      <c r="FF15" s="457" t="n"/>
      <c r="FG15" s="457" t="n"/>
      <c r="FH15" s="457" t="n"/>
      <c r="FI15" s="457" t="n"/>
      <c r="FJ15" s="457" t="n"/>
      <c r="FK15" s="457" t="n"/>
      <c r="FL15" s="457" t="n"/>
      <c r="FM15" s="457" t="n"/>
      <c r="FN15" s="457" t="n"/>
      <c r="FO15" s="457" t="n"/>
      <c r="FP15" s="457" t="n"/>
      <c r="FQ15" s="457" t="n"/>
      <c r="FR15" s="457" t="n"/>
      <c r="FS15" s="457" t="n"/>
      <c r="FT15" s="457" t="n"/>
      <c r="FU15" s="457" t="n"/>
      <c r="FV15" s="457" t="n"/>
      <c r="FW15" s="457" t="n"/>
      <c r="FX15" s="457" t="n"/>
      <c r="FY15" s="457" t="n"/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 t="n">
        <v>0</v>
      </c>
      <c r="C17" s="458" t="n">
        <v>0</v>
      </c>
      <c r="D17" s="458" t="n">
        <v>0</v>
      </c>
      <c r="E17" s="458" t="n">
        <v>0.5333</v>
      </c>
      <c r="F17" s="458" t="n">
        <v>0.4735</v>
      </c>
      <c r="G17" s="458" t="n">
        <v>0.4153</v>
      </c>
      <c r="H17" s="458" t="n">
        <v>0.9251</v>
      </c>
      <c r="I17" s="458" t="n">
        <v>0.8063</v>
      </c>
      <c r="J17" s="458" t="n">
        <v>0.6904</v>
      </c>
      <c r="K17" s="458" t="n">
        <v>1.2046</v>
      </c>
      <c r="L17" s="458" t="n">
        <v>1.0729</v>
      </c>
      <c r="M17" s="458" t="n">
        <v>1.4861</v>
      </c>
      <c r="N17" s="459" t="n">
        <v>1.3003</v>
      </c>
      <c r="O17" s="459" t="n">
        <v>1.1706</v>
      </c>
      <c r="P17" s="459" t="n">
        <v>1.0443</v>
      </c>
      <c r="Q17" s="459" t="n">
        <v>1.4503</v>
      </c>
      <c r="R17" s="459" t="n">
        <v>1.3279</v>
      </c>
      <c r="S17" s="459" t="n">
        <v>1.2086</v>
      </c>
      <c r="T17" s="459" t="n">
        <v>1.1416</v>
      </c>
      <c r="U17" s="459" t="n">
        <v>1.0761</v>
      </c>
      <c r="V17" s="459" t="n">
        <v>1.0122</v>
      </c>
      <c r="W17" s="459" t="n">
        <v>0.9498</v>
      </c>
      <c r="X17" s="459" t="n">
        <v>0.9370000000000001</v>
      </c>
      <c r="Y17" s="459" t="n">
        <v>1.4244</v>
      </c>
      <c r="Z17" s="458" t="n">
        <v>1.3559</v>
      </c>
      <c r="AA17" s="458" t="n">
        <v>1.289</v>
      </c>
      <c r="AB17" s="458" t="n">
        <v>1.2236</v>
      </c>
      <c r="AC17" s="458" t="n">
        <v>1.1598</v>
      </c>
      <c r="AD17" s="458" t="n">
        <v>1.0975</v>
      </c>
      <c r="AE17" s="458" t="n">
        <v>1.5366</v>
      </c>
      <c r="AF17" s="458" t="n">
        <v>1.4666</v>
      </c>
      <c r="AG17" s="458" t="n">
        <v>1.3982</v>
      </c>
      <c r="AH17" s="458" t="n">
        <v>1.3314</v>
      </c>
      <c r="AI17" s="458" t="n">
        <v>1.2661</v>
      </c>
      <c r="AJ17" s="458" t="n">
        <v>1.2024</v>
      </c>
      <c r="AK17" s="458" t="n">
        <v>1.6401</v>
      </c>
      <c r="AL17" s="459" t="n">
        <v>1.5687</v>
      </c>
      <c r="AM17" s="459" t="n">
        <v>1.499</v>
      </c>
      <c r="AN17" s="459" t="n">
        <v>1.4308</v>
      </c>
      <c r="AO17" s="459" t="n">
        <v>1.3642</v>
      </c>
      <c r="AP17" s="459" t="n">
        <v>1.2991</v>
      </c>
      <c r="AQ17" s="459" t="n">
        <v>1.2355</v>
      </c>
      <c r="AR17" s="459" t="n">
        <v>1.2189</v>
      </c>
      <c r="AS17" s="459" t="n">
        <v>1.2025</v>
      </c>
      <c r="AT17" s="459" t="n">
        <v>1.1863</v>
      </c>
      <c r="AU17" s="459" t="n">
        <v>1.1704</v>
      </c>
      <c r="AV17" s="459" t="n">
        <v>1.1546</v>
      </c>
      <c r="AW17" s="459" t="n">
        <v>1.1391</v>
      </c>
      <c r="AX17" s="458" t="n">
        <v>1.1238</v>
      </c>
      <c r="AY17" s="458" t="n">
        <v>1.1087</v>
      </c>
      <c r="AZ17" s="458" t="n">
        <v>1.0937</v>
      </c>
      <c r="BA17" s="458" t="n">
        <v>1.079</v>
      </c>
      <c r="BB17" s="458" t="n">
        <v>1.0645</v>
      </c>
      <c r="BC17" s="458" t="n">
        <v>1.0502</v>
      </c>
      <c r="BD17" s="458" t="n">
        <v>1.0361</v>
      </c>
      <c r="BE17" s="458" t="n">
        <v>1.0221</v>
      </c>
      <c r="BF17" s="458" t="n">
        <v>1.0084</v>
      </c>
      <c r="BG17" s="458" t="n">
        <v>0.9948</v>
      </c>
      <c r="BH17" s="458" t="n">
        <v>0.9814000000000001</v>
      </c>
      <c r="BI17" s="458" t="n">
        <v>0.9681999999999999</v>
      </c>
      <c r="BJ17" s="459" t="n">
        <v>0.9552</v>
      </c>
      <c r="BK17" s="459" t="n">
        <v>0.9424</v>
      </c>
      <c r="BL17" s="459" t="n">
        <v>0.9297</v>
      </c>
      <c r="BM17" s="459" t="n">
        <v>0.9172</v>
      </c>
      <c r="BN17" s="459" t="n">
        <v>0.9048</v>
      </c>
      <c r="BO17" s="459" t="n">
        <v>0.8927</v>
      </c>
      <c r="BP17" s="459" t="n">
        <v>0.8807</v>
      </c>
      <c r="BQ17" s="459" t="n">
        <v>0.8688</v>
      </c>
      <c r="BR17" s="459" t="n">
        <v>0.8571</v>
      </c>
      <c r="BS17" s="459" t="n">
        <v>0.8456</v>
      </c>
      <c r="BT17" s="459" t="n">
        <v>0.8342000000000001</v>
      </c>
      <c r="BU17" s="459" t="n">
        <v>0.823</v>
      </c>
      <c r="BV17" s="458" t="n">
        <v>0.8119</v>
      </c>
      <c r="BW17" s="458" t="n">
        <v>0.801</v>
      </c>
      <c r="BX17" s="458" t="n">
        <v>0.7902</v>
      </c>
      <c r="BY17" s="458" t="n">
        <v>0.7796</v>
      </c>
      <c r="BZ17" s="458" t="n">
        <v>0.7691</v>
      </c>
      <c r="CA17" s="458" t="n">
        <v>0.7588</v>
      </c>
      <c r="CB17" s="458" t="n">
        <v>0.7486</v>
      </c>
      <c r="CC17" s="458" t="n">
        <v>0.7385</v>
      </c>
      <c r="CD17" s="458" t="n">
        <v>0.7286</v>
      </c>
      <c r="CE17" s="458" t="n">
        <v>0.7188</v>
      </c>
      <c r="CF17" s="458" t="n">
        <v>0.7091</v>
      </c>
      <c r="CG17" s="458" t="n">
        <v>0.6995</v>
      </c>
      <c r="CH17" s="459" t="n">
        <v>0.6901</v>
      </c>
      <c r="CI17" s="459" t="n">
        <v>0.6808999999999999</v>
      </c>
      <c r="CJ17" s="459" t="n">
        <v>0.6717</v>
      </c>
      <c r="CK17" s="459" t="n">
        <v>0.6627</v>
      </c>
      <c r="CL17" s="459" t="n">
        <v>0.6536999999999999</v>
      </c>
      <c r="CM17" s="459" t="n">
        <v>0.6449</v>
      </c>
      <c r="CN17" s="459" t="n">
        <v>0.6363</v>
      </c>
      <c r="CO17" s="459" t="n">
        <v>0.6277</v>
      </c>
      <c r="CP17" s="459" t="n">
        <v>0.6193</v>
      </c>
      <c r="CQ17" s="459" t="n">
        <v>0.6109</v>
      </c>
      <c r="CR17" s="459" t="n">
        <v>0.6027</v>
      </c>
      <c r="CS17" s="459" t="n">
        <v>0.5946</v>
      </c>
      <c r="CT17" s="458" t="n">
        <v>0.5866</v>
      </c>
      <c r="CU17" s="458" t="n">
        <v>0.5787</v>
      </c>
      <c r="CV17" s="458" t="n">
        <v>0.5709</v>
      </c>
      <c r="CW17" s="458" t="n">
        <v>0.5633</v>
      </c>
      <c r="CX17" s="458" t="n">
        <v>0.5557</v>
      </c>
      <c r="CY17" s="458" t="n">
        <v>0.5482</v>
      </c>
      <c r="CZ17" s="458" t="n">
        <v>0.5407999999999999</v>
      </c>
      <c r="DA17" s="458" t="n">
        <v>0.5336</v>
      </c>
      <c r="DB17" s="458" t="n">
        <v>0.5264</v>
      </c>
      <c r="DC17" s="458" t="n">
        <v>0.5193</v>
      </c>
      <c r="DD17" s="458" t="n">
        <v>0.5123</v>
      </c>
      <c r="DE17" s="458" t="n">
        <v>0.5054</v>
      </c>
      <c r="DF17" s="459" t="n">
        <v>0.4986</v>
      </c>
      <c r="DG17" s="459" t="n">
        <v>0.4919</v>
      </c>
      <c r="DH17" s="459" t="n">
        <v>0.4853</v>
      </c>
      <c r="DI17" s="459" t="n">
        <v>0.4788</v>
      </c>
      <c r="DJ17" s="459" t="n">
        <v>0.4723</v>
      </c>
      <c r="DK17" s="459" t="n">
        <v>0.466</v>
      </c>
      <c r="DL17" s="459" t="n">
        <v>0.4597</v>
      </c>
      <c r="DM17" s="459" t="n">
        <v>0.4535</v>
      </c>
      <c r="DN17" s="459" t="n">
        <v>0.4474</v>
      </c>
      <c r="DO17" s="459" t="n">
        <v>0.4414</v>
      </c>
      <c r="DP17" s="459" t="n">
        <v>0.4355</v>
      </c>
      <c r="DQ17" s="459" t="n">
        <v>0.4296</v>
      </c>
      <c r="DR17" s="458" t="n">
        <v>0.4238</v>
      </c>
      <c r="DS17" s="458" t="n">
        <v>0.4181</v>
      </c>
      <c r="DT17" s="458" t="n">
        <v>0.4125</v>
      </c>
      <c r="DU17" s="458" t="n">
        <v>0.407</v>
      </c>
      <c r="DV17" s="458" t="n">
        <v>0.4015</v>
      </c>
      <c r="DW17" s="458" t="n">
        <v>0.3961</v>
      </c>
      <c r="DX17" s="458" t="n">
        <v>0.3908</v>
      </c>
      <c r="DY17" s="458" t="n">
        <v>0.3855</v>
      </c>
      <c r="DZ17" s="458" t="n">
        <v>0.3803</v>
      </c>
      <c r="EA17" s="458" t="n">
        <v>0.3752</v>
      </c>
      <c r="EB17" s="458" t="n">
        <v>0.3701</v>
      </c>
      <c r="EC17" s="458" t="n">
        <v>0.3652</v>
      </c>
      <c r="ED17" s="459" t="n">
        <v>0.3603</v>
      </c>
      <c r="EE17" s="459" t="n">
        <v>0.3554</v>
      </c>
      <c r="EF17" s="459" t="n">
        <v>0.3506</v>
      </c>
      <c r="EG17" s="459" t="n">
        <v>0.3459</v>
      </c>
      <c r="EH17" s="459" t="n">
        <v>0.3413</v>
      </c>
      <c r="EI17" s="459" t="n">
        <v>0.3367</v>
      </c>
      <c r="EJ17" s="459" t="n">
        <v>0.3321</v>
      </c>
      <c r="EK17" s="459" t="n">
        <v>0.3277</v>
      </c>
      <c r="EL17" s="459" t="n">
        <v>0.3233</v>
      </c>
      <c r="EM17" s="459" t="n">
        <v>0.3189</v>
      </c>
      <c r="EN17" s="459" t="n">
        <v>0.3146</v>
      </c>
      <c r="EO17" s="459" t="n">
        <v>0.3104</v>
      </c>
      <c r="EP17" s="458" t="n">
        <v>0.3062</v>
      </c>
      <c r="EQ17" s="458" t="n">
        <v>0.3021</v>
      </c>
      <c r="ER17" s="458" t="n">
        <v>0.298</v>
      </c>
      <c r="ES17" s="458" t="n">
        <v>0.294</v>
      </c>
      <c r="ET17" s="458" t="n">
        <v>0.2901</v>
      </c>
      <c r="EU17" s="458" t="n">
        <v>0.2862</v>
      </c>
      <c r="EV17" s="458" t="n">
        <v>0.2823</v>
      </c>
      <c r="EW17" s="458" t="n">
        <v>0.2785</v>
      </c>
      <c r="EX17" s="458" t="n">
        <v>0.2748</v>
      </c>
      <c r="EY17" s="458" t="n">
        <v>0.2711</v>
      </c>
      <c r="EZ17" s="458" t="n">
        <v>0.2674</v>
      </c>
      <c r="FA17" s="458" t="n">
        <v>0.2638</v>
      </c>
      <c r="FB17" s="459" t="n">
        <v>0.2603</v>
      </c>
      <c r="FC17" s="459" t="n">
        <v>0.2568</v>
      </c>
      <c r="FD17" s="459" t="n">
        <v>0.2533</v>
      </c>
      <c r="FE17" s="459" t="n">
        <v>0.2499</v>
      </c>
      <c r="FF17" s="459" t="n">
        <v>0.2466</v>
      </c>
      <c r="FG17" s="459" t="n">
        <v>0.2432</v>
      </c>
      <c r="FH17" s="459" t="n">
        <v>0.24</v>
      </c>
      <c r="FI17" s="459" t="n">
        <v>0.2367</v>
      </c>
      <c r="FJ17" s="459" t="n">
        <v>0.2336</v>
      </c>
      <c r="FK17" s="459" t="n">
        <v>0.2304</v>
      </c>
      <c r="FL17" s="459" t="n">
        <v>0.2273</v>
      </c>
      <c r="FM17" s="459" t="n">
        <v>0.2243</v>
      </c>
      <c r="FN17" s="458" t="n">
        <v>0.2212</v>
      </c>
      <c r="FO17" s="458" t="n">
        <v>0.2183</v>
      </c>
      <c r="FP17" s="458" t="n">
        <v>0.2153</v>
      </c>
      <c r="FQ17" s="458" t="n">
        <v>0.2124</v>
      </c>
      <c r="FR17" s="458" t="n">
        <v>0.2096</v>
      </c>
      <c r="FS17" s="458" t="n">
        <v>0.2068</v>
      </c>
      <c r="FT17" s="458" t="n">
        <v>0.204</v>
      </c>
      <c r="FU17" s="458" t="n">
        <v>0.2012</v>
      </c>
      <c r="FV17" s="458" t="n">
        <v>0.1985</v>
      </c>
      <c r="FW17" s="458" t="n">
        <v>0.1959</v>
      </c>
      <c r="FX17" s="458" t="n">
        <v>0.1932</v>
      </c>
      <c r="FY17" s="458" t="n">
        <v>0.1906</v>
      </c>
      <c r="FZ17" s="306" t="n"/>
    </row>
    <row r="18" ht="15" customHeight="1" s="307">
      <c r="A18" s="468" t="inlineStr">
        <is>
          <t>Gross Profit</t>
        </is>
      </c>
      <c r="B18" s="469" t="n">
        <v>0</v>
      </c>
      <c r="C18" s="469" t="n">
        <v>0</v>
      </c>
      <c r="D18" s="469" t="n">
        <v>0</v>
      </c>
      <c r="E18" s="469" t="n">
        <v>1.6</v>
      </c>
      <c r="F18" s="469" t="n">
        <v>1.6311</v>
      </c>
      <c r="G18" s="469" t="n">
        <v>1.6611</v>
      </c>
      <c r="H18" s="469" t="n">
        <v>3.3899</v>
      </c>
      <c r="I18" s="469" t="n">
        <v>3.4507</v>
      </c>
      <c r="J18" s="469" t="n">
        <v>3.5093</v>
      </c>
      <c r="K18" s="469" t="n">
        <v>5.4469</v>
      </c>
      <c r="L18" s="469" t="n">
        <v>5.4892</v>
      </c>
      <c r="M18" s="469" t="n">
        <v>7.1544</v>
      </c>
      <c r="N18" s="470" t="n">
        <v>7.224</v>
      </c>
      <c r="O18" s="470" t="n">
        <v>7.239</v>
      </c>
      <c r="P18" s="470" t="n">
        <v>7.2522</v>
      </c>
      <c r="Q18" s="470" t="n">
        <v>8.8513</v>
      </c>
      <c r="R18" s="470" t="n">
        <v>8.835000000000001</v>
      </c>
      <c r="S18" s="470" t="n">
        <v>8.817600000000001</v>
      </c>
      <c r="T18" s="470" t="n">
        <v>8.7498</v>
      </c>
      <c r="U18" s="470" t="n">
        <v>8.6822</v>
      </c>
      <c r="V18" s="470" t="n">
        <v>8.6149</v>
      </c>
      <c r="W18" s="470" t="n">
        <v>8.547800000000001</v>
      </c>
      <c r="X18" s="470" t="n">
        <v>8.4328</v>
      </c>
      <c r="Y18" s="470" t="n">
        <v>9.8194</v>
      </c>
      <c r="Z18" s="469" t="n">
        <v>9.736599999999999</v>
      </c>
      <c r="AA18" s="469" t="n">
        <v>9.654299999999999</v>
      </c>
      <c r="AB18" s="469" t="n">
        <v>9.5724</v>
      </c>
      <c r="AC18" s="469" t="n">
        <v>9.491</v>
      </c>
      <c r="AD18" s="469" t="n">
        <v>9.4101</v>
      </c>
      <c r="AE18" s="469" t="n">
        <v>10.8296</v>
      </c>
      <c r="AF18" s="469" t="n">
        <v>10.7333</v>
      </c>
      <c r="AG18" s="469" t="n">
        <v>10.6375</v>
      </c>
      <c r="AH18" s="469" t="n">
        <v>10.5424</v>
      </c>
      <c r="AI18" s="469" t="n">
        <v>10.448</v>
      </c>
      <c r="AJ18" s="469" t="n">
        <v>10.3542</v>
      </c>
      <c r="AK18" s="469" t="n">
        <v>11.761</v>
      </c>
      <c r="AL18" s="470" t="n">
        <v>11.6521</v>
      </c>
      <c r="AM18" s="470" t="n">
        <v>11.544</v>
      </c>
      <c r="AN18" s="470" t="n">
        <v>11.4367</v>
      </c>
      <c r="AO18" s="470" t="n">
        <v>11.3303</v>
      </c>
      <c r="AP18" s="470" t="n">
        <v>11.2246</v>
      </c>
      <c r="AQ18" s="470" t="n">
        <v>11.1197</v>
      </c>
      <c r="AR18" s="470" t="n">
        <v>10.9701</v>
      </c>
      <c r="AS18" s="470" t="n">
        <v>10.8225</v>
      </c>
      <c r="AT18" s="470" t="n">
        <v>10.6769</v>
      </c>
      <c r="AU18" s="470" t="n">
        <v>10.5333</v>
      </c>
      <c r="AV18" s="470" t="n">
        <v>10.3916</v>
      </c>
      <c r="AW18" s="470" t="n">
        <v>10.2518</v>
      </c>
      <c r="AX18" s="469" t="n">
        <v>10.1139</v>
      </c>
      <c r="AY18" s="469" t="n">
        <v>9.9779</v>
      </c>
      <c r="AZ18" s="469" t="n">
        <v>9.8437</v>
      </c>
      <c r="BA18" s="469" t="n">
        <v>9.7112</v>
      </c>
      <c r="BB18" s="469" t="n">
        <v>9.5806</v>
      </c>
      <c r="BC18" s="469" t="n">
        <v>9.451700000000001</v>
      </c>
      <c r="BD18" s="469" t="n">
        <v>9.3246</v>
      </c>
      <c r="BE18" s="469" t="n">
        <v>9.199199999999999</v>
      </c>
      <c r="BF18" s="469" t="n">
        <v>9.0754</v>
      </c>
      <c r="BG18" s="469" t="n">
        <v>8.9533</v>
      </c>
      <c r="BH18" s="469" t="n">
        <v>8.8329</v>
      </c>
      <c r="BI18" s="469" t="n">
        <v>8.7141</v>
      </c>
      <c r="BJ18" s="470" t="n">
        <v>8.5968</v>
      </c>
      <c r="BK18" s="470" t="n">
        <v>8.481199999999999</v>
      </c>
      <c r="BL18" s="470" t="n">
        <v>8.367100000000001</v>
      </c>
      <c r="BM18" s="470" t="n">
        <v>8.2546</v>
      </c>
      <c r="BN18" s="470" t="n">
        <v>8.1435</v>
      </c>
      <c r="BO18" s="470" t="n">
        <v>8.034000000000001</v>
      </c>
      <c r="BP18" s="470" t="n">
        <v>7.9259</v>
      </c>
      <c r="BQ18" s="470" t="n">
        <v>7.8193</v>
      </c>
      <c r="BR18" s="470" t="n">
        <v>7.7141</v>
      </c>
      <c r="BS18" s="470" t="n">
        <v>7.6103</v>
      </c>
      <c r="BT18" s="470" t="n">
        <v>7.508</v>
      </c>
      <c r="BU18" s="470" t="n">
        <v>7.407</v>
      </c>
      <c r="BV18" s="469" t="n">
        <v>7.3073</v>
      </c>
      <c r="BW18" s="469" t="n">
        <v>7.209</v>
      </c>
      <c r="BX18" s="469" t="n">
        <v>7.112</v>
      </c>
      <c r="BY18" s="469" t="n">
        <v>7.0164</v>
      </c>
      <c r="BZ18" s="469" t="n">
        <v>6.922</v>
      </c>
      <c r="CA18" s="469" t="n">
        <v>6.8289</v>
      </c>
      <c r="CB18" s="469" t="n">
        <v>6.737</v>
      </c>
      <c r="CC18" s="469" t="n">
        <v>6.6464</v>
      </c>
      <c r="CD18" s="469" t="n">
        <v>6.557</v>
      </c>
      <c r="CE18" s="469" t="n">
        <v>6.4688</v>
      </c>
      <c r="CF18" s="469" t="n">
        <v>6.3818</v>
      </c>
      <c r="CG18" s="469" t="n">
        <v>6.2959</v>
      </c>
      <c r="CH18" s="470" t="n">
        <v>6.2112</v>
      </c>
      <c r="CI18" s="470" t="n">
        <v>6.1277</v>
      </c>
      <c r="CJ18" s="470" t="n">
        <v>6.0452</v>
      </c>
      <c r="CK18" s="470" t="n">
        <v>5.9639</v>
      </c>
      <c r="CL18" s="470" t="n">
        <v>5.8837</v>
      </c>
      <c r="CM18" s="470" t="n">
        <v>5.8045</v>
      </c>
      <c r="CN18" s="470" t="n">
        <v>5.7265</v>
      </c>
      <c r="CO18" s="470" t="n">
        <v>5.6494</v>
      </c>
      <c r="CP18" s="470" t="n">
        <v>5.5734</v>
      </c>
      <c r="CQ18" s="470" t="n">
        <v>5.4985</v>
      </c>
      <c r="CR18" s="470" t="n">
        <v>5.4245</v>
      </c>
      <c r="CS18" s="470" t="n">
        <v>5.3515</v>
      </c>
      <c r="CT18" s="469" t="n">
        <v>5.2795</v>
      </c>
      <c r="CU18" s="469" t="n">
        <v>5.2085</v>
      </c>
      <c r="CV18" s="469" t="n">
        <v>5.1385</v>
      </c>
      <c r="CW18" s="469" t="n">
        <v>5.0693</v>
      </c>
      <c r="CX18" s="469" t="n">
        <v>5.0011</v>
      </c>
      <c r="CY18" s="469" t="n">
        <v>4.9339</v>
      </c>
      <c r="CZ18" s="469" t="n">
        <v>4.8675</v>
      </c>
      <c r="DA18" s="469" t="n">
        <v>4.802</v>
      </c>
      <c r="DB18" s="469" t="n">
        <v>4.7374</v>
      </c>
      <c r="DC18" s="469" t="n">
        <v>4.6737</v>
      </c>
      <c r="DD18" s="469" t="n">
        <v>4.6108</v>
      </c>
      <c r="DE18" s="469" t="n">
        <v>4.5488</v>
      </c>
      <c r="DF18" s="470" t="n">
        <v>4.4876</v>
      </c>
      <c r="DG18" s="470" t="n">
        <v>4.4272</v>
      </c>
      <c r="DH18" s="470" t="n">
        <v>4.3677</v>
      </c>
      <c r="DI18" s="470" t="n">
        <v>4.3089</v>
      </c>
      <c r="DJ18" s="470" t="n">
        <v>4.251</v>
      </c>
      <c r="DK18" s="470" t="n">
        <v>4.1938</v>
      </c>
      <c r="DL18" s="470" t="n">
        <v>4.1374</v>
      </c>
      <c r="DM18" s="470" t="n">
        <v>4.0817</v>
      </c>
      <c r="DN18" s="470" t="n">
        <v>4.0268</v>
      </c>
      <c r="DO18" s="470" t="n">
        <v>3.9726</v>
      </c>
      <c r="DP18" s="470" t="n">
        <v>3.9192</v>
      </c>
      <c r="DQ18" s="470" t="n">
        <v>3.8665</v>
      </c>
      <c r="DR18" s="469" t="n">
        <v>3.8145</v>
      </c>
      <c r="DS18" s="469" t="n">
        <v>3.7632</v>
      </c>
      <c r="DT18" s="469" t="n">
        <v>3.7125</v>
      </c>
      <c r="DU18" s="469" t="n">
        <v>3.6626</v>
      </c>
      <c r="DV18" s="469" t="n">
        <v>3.6133</v>
      </c>
      <c r="DW18" s="469" t="n">
        <v>3.5647</v>
      </c>
      <c r="DX18" s="469" t="n">
        <v>3.5168</v>
      </c>
      <c r="DY18" s="469" t="n">
        <v>3.4695</v>
      </c>
      <c r="DZ18" s="469" t="n">
        <v>3.4228</v>
      </c>
      <c r="EA18" s="469" t="n">
        <v>3.3767</v>
      </c>
      <c r="EB18" s="469" t="n">
        <v>3.3313</v>
      </c>
      <c r="EC18" s="469" t="n">
        <v>3.2865</v>
      </c>
      <c r="ED18" s="470" t="n">
        <v>3.2423</v>
      </c>
      <c r="EE18" s="470" t="n">
        <v>3.1987</v>
      </c>
      <c r="EF18" s="470" t="n">
        <v>3.1557</v>
      </c>
      <c r="EG18" s="470" t="n">
        <v>3.1132</v>
      </c>
      <c r="EH18" s="470" t="n">
        <v>3.0713</v>
      </c>
      <c r="EI18" s="470" t="n">
        <v>3.03</v>
      </c>
      <c r="EJ18" s="470" t="n">
        <v>2.9892</v>
      </c>
      <c r="EK18" s="470" t="n">
        <v>2.949</v>
      </c>
      <c r="EL18" s="470" t="n">
        <v>2.9094</v>
      </c>
      <c r="EM18" s="470" t="n">
        <v>2.8702</v>
      </c>
      <c r="EN18" s="470" t="n">
        <v>2.8316</v>
      </c>
      <c r="EO18" s="470" t="n">
        <v>2.7935</v>
      </c>
      <c r="EP18" s="469" t="n">
        <v>2.756</v>
      </c>
      <c r="EQ18" s="469" t="n">
        <v>2.7189</v>
      </c>
      <c r="ER18" s="469" t="n">
        <v>2.6823</v>
      </c>
      <c r="ES18" s="469" t="n">
        <v>2.6462</v>
      </c>
      <c r="ET18" s="469" t="n">
        <v>2.6106</v>
      </c>
      <c r="EU18" s="469" t="n">
        <v>2.5755</v>
      </c>
      <c r="EV18" s="469" t="n">
        <v>2.5409</v>
      </c>
      <c r="EW18" s="469" t="n">
        <v>2.5067</v>
      </c>
      <c r="EX18" s="469" t="n">
        <v>2.473</v>
      </c>
      <c r="EY18" s="469" t="n">
        <v>2.4397</v>
      </c>
      <c r="EZ18" s="469" t="n">
        <v>2.4069</v>
      </c>
      <c r="FA18" s="469" t="n">
        <v>2.3745</v>
      </c>
      <c r="FB18" s="470" t="n">
        <v>2.3426</v>
      </c>
      <c r="FC18" s="470" t="n">
        <v>2.311</v>
      </c>
      <c r="FD18" s="470" t="n">
        <v>2.28</v>
      </c>
      <c r="FE18" s="470" t="n">
        <v>2.2493</v>
      </c>
      <c r="FF18" s="470" t="n">
        <v>2.219</v>
      </c>
      <c r="FG18" s="470" t="n">
        <v>2.1892</v>
      </c>
      <c r="FH18" s="470" t="n">
        <v>2.1597</v>
      </c>
      <c r="FI18" s="470" t="n">
        <v>2.1307</v>
      </c>
      <c r="FJ18" s="470" t="n">
        <v>2.102</v>
      </c>
      <c r="FK18" s="470" t="n">
        <v>2.0737</v>
      </c>
      <c r="FL18" s="470" t="n">
        <v>2.0458</v>
      </c>
      <c r="FM18" s="470" t="n">
        <v>2.0183</v>
      </c>
      <c r="FN18" s="469" t="n">
        <v>1.9912</v>
      </c>
      <c r="FO18" s="469" t="n">
        <v>1.9644</v>
      </c>
      <c r="FP18" s="469" t="n">
        <v>1.938</v>
      </c>
      <c r="FQ18" s="469" t="n">
        <v>1.9119</v>
      </c>
      <c r="FR18" s="469" t="n">
        <v>1.8862</v>
      </c>
      <c r="FS18" s="469" t="n">
        <v>1.8608</v>
      </c>
      <c r="FT18" s="469" t="n">
        <v>1.8358</v>
      </c>
      <c r="FU18" s="469" t="n">
        <v>1.8111</v>
      </c>
      <c r="FV18" s="469" t="n">
        <v>1.7867</v>
      </c>
      <c r="FW18" s="469" t="n">
        <v>1.7627</v>
      </c>
      <c r="FX18" s="469" t="n">
        <v>1.739</v>
      </c>
      <c r="FY18" s="469" t="n">
        <v>1.7156</v>
      </c>
      <c r="FZ18" s="306" t="n"/>
    </row>
    <row r="19" ht="15" customHeight="1" s="307">
      <c r="A19" s="322" t="n"/>
      <c r="B19" s="466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466" t="n"/>
      <c r="L19" s="466" t="n"/>
      <c r="M19" s="466" t="n"/>
      <c r="N19" s="466" t="n"/>
      <c r="O19" s="466" t="n"/>
      <c r="P19" s="466" t="n"/>
      <c r="Q19" s="466" t="n"/>
      <c r="R19" s="466" t="n"/>
      <c r="S19" s="466" t="n"/>
      <c r="T19" s="466" t="n"/>
      <c r="U19" s="466" t="n"/>
      <c r="V19" s="466" t="n"/>
      <c r="W19" s="466" t="n"/>
      <c r="X19" s="466" t="n"/>
      <c r="Y19" s="466" t="n"/>
      <c r="Z19" s="466" t="n"/>
      <c r="AA19" s="466" t="n"/>
      <c r="AB19" s="466" t="n"/>
      <c r="AC19" s="466" t="n"/>
      <c r="AD19" s="466" t="n"/>
      <c r="AE19" s="466" t="n"/>
      <c r="AF19" s="466" t="n"/>
      <c r="AG19" s="466" t="n"/>
      <c r="AH19" s="466" t="n"/>
      <c r="AI19" s="466" t="n"/>
      <c r="AJ19" s="466" t="n"/>
      <c r="AK19" s="466" t="n"/>
      <c r="AL19" s="466" t="n"/>
      <c r="AM19" s="466" t="n"/>
      <c r="AN19" s="466" t="n"/>
      <c r="AO19" s="466" t="n"/>
      <c r="AP19" s="466" t="n"/>
      <c r="AQ19" s="466" t="n"/>
      <c r="AR19" s="466" t="n"/>
      <c r="AS19" s="466" t="n"/>
      <c r="AT19" s="466" t="n"/>
      <c r="AU19" s="466" t="n"/>
      <c r="AV19" s="466" t="n"/>
      <c r="AW19" s="466" t="n"/>
      <c r="AX19" s="466" t="n"/>
      <c r="AY19" s="466" t="n"/>
      <c r="AZ19" s="466" t="n"/>
      <c r="BA19" s="466" t="n"/>
      <c r="BB19" s="466" t="n"/>
      <c r="BC19" s="466" t="n"/>
      <c r="BD19" s="466" t="n"/>
      <c r="BE19" s="466" t="n"/>
      <c r="BF19" s="466" t="n"/>
      <c r="BG19" s="466" t="n"/>
      <c r="BH19" s="466" t="n"/>
      <c r="BI19" s="466" t="n"/>
      <c r="BJ19" s="466" t="n"/>
      <c r="BK19" s="466" t="n"/>
      <c r="BL19" s="466" t="n"/>
      <c r="BM19" s="466" t="n"/>
      <c r="BN19" s="466" t="n"/>
      <c r="BO19" s="466" t="n"/>
      <c r="BP19" s="466" t="n"/>
      <c r="BQ19" s="466" t="n"/>
      <c r="BR19" s="466" t="n"/>
      <c r="BS19" s="466" t="n"/>
      <c r="BT19" s="466" t="n"/>
      <c r="BU19" s="466" t="n"/>
      <c r="BV19" s="466" t="n"/>
      <c r="BW19" s="466" t="n"/>
      <c r="BX19" s="466" t="n"/>
      <c r="BY19" s="466" t="n"/>
      <c r="BZ19" s="466" t="n"/>
      <c r="CA19" s="466" t="n"/>
      <c r="CB19" s="466" t="n"/>
      <c r="CC19" s="466" t="n"/>
      <c r="CD19" s="466" t="n"/>
      <c r="CE19" s="466" t="n"/>
      <c r="CF19" s="466" t="n"/>
      <c r="CG19" s="466" t="n"/>
      <c r="CH19" s="466" t="n"/>
      <c r="CI19" s="466" t="n"/>
      <c r="CJ19" s="466" t="n"/>
      <c r="CK19" s="466" t="n"/>
      <c r="CL19" s="466" t="n"/>
      <c r="CM19" s="466" t="n"/>
      <c r="CN19" s="466" t="n"/>
      <c r="CO19" s="466" t="n"/>
      <c r="CP19" s="466" t="n"/>
      <c r="CQ19" s="466" t="n"/>
      <c r="CR19" s="466" t="n"/>
      <c r="CS19" s="466" t="n"/>
      <c r="CT19" s="466" t="n"/>
      <c r="CU19" s="466" t="n"/>
      <c r="CV19" s="466" t="n"/>
      <c r="CW19" s="466" t="n"/>
      <c r="CX19" s="466" t="n"/>
      <c r="CY19" s="466" t="n"/>
      <c r="CZ19" s="466" t="n"/>
      <c r="DA19" s="466" t="n"/>
      <c r="DB19" s="466" t="n"/>
      <c r="DC19" s="466" t="n"/>
      <c r="DD19" s="466" t="n"/>
      <c r="DE19" s="466" t="n"/>
      <c r="DF19" s="466" t="n"/>
      <c r="DG19" s="466" t="n"/>
      <c r="DH19" s="466" t="n"/>
      <c r="DI19" s="466" t="n"/>
      <c r="DJ19" s="466" t="n"/>
      <c r="DK19" s="466" t="n"/>
      <c r="DL19" s="466" t="n"/>
      <c r="DM19" s="466" t="n"/>
      <c r="DN19" s="466" t="n"/>
      <c r="DO19" s="466" t="n"/>
      <c r="DP19" s="466" t="n"/>
      <c r="DQ19" s="466" t="n"/>
      <c r="DR19" s="466" t="n"/>
      <c r="DS19" s="466" t="n"/>
      <c r="DT19" s="466" t="n"/>
      <c r="DU19" s="466" t="n"/>
      <c r="DV19" s="466" t="n"/>
      <c r="DW19" s="466" t="n"/>
      <c r="DX19" s="466" t="n"/>
      <c r="DY19" s="466" t="n"/>
      <c r="DZ19" s="466" t="n"/>
      <c r="EA19" s="466" t="n"/>
      <c r="EB19" s="466" t="n"/>
      <c r="EC19" s="466" t="n"/>
      <c r="ED19" s="466" t="n"/>
      <c r="EE19" s="466" t="n"/>
      <c r="EF19" s="466" t="n"/>
      <c r="EG19" s="466" t="n"/>
      <c r="EH19" s="466" t="n"/>
      <c r="EI19" s="466" t="n"/>
      <c r="EJ19" s="466" t="n"/>
      <c r="EK19" s="466" t="n"/>
      <c r="EL19" s="466" t="n"/>
      <c r="EM19" s="466" t="n"/>
      <c r="EN19" s="466" t="n"/>
      <c r="EO19" s="466" t="n"/>
      <c r="EP19" s="466" t="n"/>
      <c r="EQ19" s="466" t="n"/>
      <c r="ER19" s="466" t="n"/>
      <c r="ES19" s="466" t="n"/>
      <c r="ET19" s="466" t="n"/>
      <c r="EU19" s="466" t="n"/>
      <c r="EV19" s="466" t="n"/>
      <c r="EW19" s="466" t="n"/>
      <c r="EX19" s="466" t="n"/>
      <c r="EY19" s="466" t="n"/>
      <c r="EZ19" s="466" t="n"/>
      <c r="FA19" s="466" t="n"/>
      <c r="FB19" s="466" t="n"/>
      <c r="FC19" s="466" t="n"/>
      <c r="FD19" s="466" t="n"/>
      <c r="FE19" s="466" t="n"/>
      <c r="FF19" s="466" t="n"/>
      <c r="FG19" s="466" t="n"/>
      <c r="FH19" s="466" t="n"/>
      <c r="FI19" s="466" t="n"/>
      <c r="FJ19" s="466" t="n"/>
      <c r="FK19" s="466" t="n"/>
      <c r="FL19" s="466" t="n"/>
      <c r="FM19" s="466" t="n"/>
      <c r="FN19" s="466" t="n"/>
      <c r="FO19" s="466" t="n"/>
      <c r="FP19" s="466" t="n"/>
      <c r="FQ19" s="466" t="n"/>
      <c r="FR19" s="466" t="n"/>
      <c r="FS19" s="466" t="n"/>
      <c r="FT19" s="466" t="n"/>
      <c r="FU19" s="466" t="n"/>
      <c r="FV19" s="466" t="n"/>
      <c r="FW19" s="466" t="n"/>
      <c r="FX19" s="466" t="n"/>
      <c r="FY19" s="466" t="n"/>
      <c r="FZ19" s="306" t="n"/>
    </row>
    <row r="20" ht="15" customHeight="1" s="307">
      <c r="A20" s="321" t="inlineStr">
        <is>
          <t xml:space="preserve">    Vendor Costs</t>
        </is>
      </c>
      <c r="B20" s="458" t="n">
        <v>0</v>
      </c>
      <c r="C20" s="458" t="n">
        <v>0</v>
      </c>
      <c r="D20" s="458" t="n">
        <v>0</v>
      </c>
      <c r="E20" s="458" t="n">
        <v>0.2133</v>
      </c>
      <c r="F20" s="458" t="n">
        <v>0.1929</v>
      </c>
      <c r="G20" s="458" t="n">
        <v>0.173</v>
      </c>
      <c r="H20" s="458" t="n">
        <v>0.3803</v>
      </c>
      <c r="I20" s="458" t="n">
        <v>0.3397</v>
      </c>
      <c r="J20" s="458" t="n">
        <v>0.3001</v>
      </c>
      <c r="K20" s="458" t="n">
        <v>0.5124</v>
      </c>
      <c r="L20" s="458" t="n">
        <v>0.467</v>
      </c>
      <c r="M20" s="458" t="n">
        <v>0.6394</v>
      </c>
      <c r="N20" s="459" t="n">
        <v>0.5755</v>
      </c>
      <c r="O20" s="459" t="n">
        <v>0.5304</v>
      </c>
      <c r="P20" s="459" t="n">
        <v>0.4864</v>
      </c>
      <c r="Q20" s="459" t="n">
        <v>0.6551</v>
      </c>
      <c r="R20" s="459" t="n">
        <v>0.612</v>
      </c>
      <c r="S20" s="459" t="n">
        <v>0.57</v>
      </c>
      <c r="T20" s="459" t="n">
        <v>0.5454</v>
      </c>
      <c r="U20" s="459" t="n">
        <v>0.5213</v>
      </c>
      <c r="V20" s="459" t="n">
        <v>0.4978</v>
      </c>
      <c r="W20" s="459" t="n">
        <v>0.4749</v>
      </c>
      <c r="X20" s="459" t="n">
        <v>0.4685</v>
      </c>
      <c r="Y20" s="459" t="n">
        <v>0.6622</v>
      </c>
      <c r="Z20" s="458" t="n">
        <v>0.6368</v>
      </c>
      <c r="AA20" s="458" t="n">
        <v>0.612</v>
      </c>
      <c r="AB20" s="458" t="n">
        <v>0.5878</v>
      </c>
      <c r="AC20" s="458" t="n">
        <v>0.5641</v>
      </c>
      <c r="AD20" s="458" t="n">
        <v>0.541</v>
      </c>
      <c r="AE20" s="458" t="n">
        <v>0.7183</v>
      </c>
      <c r="AF20" s="458" t="n">
        <v>0.6922</v>
      </c>
      <c r="AG20" s="458" t="n">
        <v>0.6667</v>
      </c>
      <c r="AH20" s="458" t="n">
        <v>0.6417</v>
      </c>
      <c r="AI20" s="458" t="n">
        <v>0.6173</v>
      </c>
      <c r="AJ20" s="458" t="n">
        <v>0.5934</v>
      </c>
      <c r="AK20" s="458" t="n">
        <v>0.7701</v>
      </c>
      <c r="AL20" s="459" t="n">
        <v>0.7433</v>
      </c>
      <c r="AM20" s="459" t="n">
        <v>0.717</v>
      </c>
      <c r="AN20" s="459" t="n">
        <v>0.6914</v>
      </c>
      <c r="AO20" s="459" t="n">
        <v>0.6663</v>
      </c>
      <c r="AP20" s="459" t="n">
        <v>0.6418</v>
      </c>
      <c r="AQ20" s="459" t="n">
        <v>0.6178</v>
      </c>
      <c r="AR20" s="459" t="n">
        <v>0.6094000000000001</v>
      </c>
      <c r="AS20" s="459" t="n">
        <v>0.6012999999999999</v>
      </c>
      <c r="AT20" s="459" t="n">
        <v>0.5931999999999999</v>
      </c>
      <c r="AU20" s="459" t="n">
        <v>0.5852000000000001</v>
      </c>
      <c r="AV20" s="459" t="n">
        <v>0.5773</v>
      </c>
      <c r="AW20" s="459" t="n">
        <v>0.5695</v>
      </c>
      <c r="AX20" s="458" t="n">
        <v>0.5619</v>
      </c>
      <c r="AY20" s="458" t="n">
        <v>0.5543</v>
      </c>
      <c r="AZ20" s="458" t="n">
        <v>0.5469000000000001</v>
      </c>
      <c r="BA20" s="458" t="n">
        <v>0.5395</v>
      </c>
      <c r="BB20" s="458" t="n">
        <v>0.5323</v>
      </c>
      <c r="BC20" s="458" t="n">
        <v>0.5251</v>
      </c>
      <c r="BD20" s="458" t="n">
        <v>0.518</v>
      </c>
      <c r="BE20" s="458" t="n">
        <v>0.5111</v>
      </c>
      <c r="BF20" s="458" t="n">
        <v>0.5042</v>
      </c>
      <c r="BG20" s="458" t="n">
        <v>0.4974</v>
      </c>
      <c r="BH20" s="458" t="n">
        <v>0.4907</v>
      </c>
      <c r="BI20" s="458" t="n">
        <v>0.4841</v>
      </c>
      <c r="BJ20" s="459" t="n">
        <v>0.4776</v>
      </c>
      <c r="BK20" s="459" t="n">
        <v>0.4712</v>
      </c>
      <c r="BL20" s="459" t="n">
        <v>0.4648</v>
      </c>
      <c r="BM20" s="459" t="n">
        <v>0.4586</v>
      </c>
      <c r="BN20" s="459" t="n">
        <v>0.4524</v>
      </c>
      <c r="BO20" s="459" t="n">
        <v>0.4463</v>
      </c>
      <c r="BP20" s="459" t="n">
        <v>0.4403</v>
      </c>
      <c r="BQ20" s="459" t="n">
        <v>0.4344</v>
      </c>
      <c r="BR20" s="459" t="n">
        <v>0.4286</v>
      </c>
      <c r="BS20" s="459" t="n">
        <v>0.4228</v>
      </c>
      <c r="BT20" s="459" t="n">
        <v>0.4171</v>
      </c>
      <c r="BU20" s="459" t="n">
        <v>0.4115</v>
      </c>
      <c r="BV20" s="458" t="n">
        <v>0.406</v>
      </c>
      <c r="BW20" s="458" t="n">
        <v>0.4005</v>
      </c>
      <c r="BX20" s="458" t="n">
        <v>0.3951</v>
      </c>
      <c r="BY20" s="458" t="n">
        <v>0.3898</v>
      </c>
      <c r="BZ20" s="458" t="n">
        <v>0.3846</v>
      </c>
      <c r="CA20" s="458" t="n">
        <v>0.3794</v>
      </c>
      <c r="CB20" s="458" t="n">
        <v>0.3743</v>
      </c>
      <c r="CC20" s="458" t="n">
        <v>0.3692</v>
      </c>
      <c r="CD20" s="458" t="n">
        <v>0.3643</v>
      </c>
      <c r="CE20" s="458" t="n">
        <v>0.3594</v>
      </c>
      <c r="CF20" s="458" t="n">
        <v>0.3545</v>
      </c>
      <c r="CG20" s="458" t="n">
        <v>0.3498</v>
      </c>
      <c r="CH20" s="459" t="n">
        <v>0.3451</v>
      </c>
      <c r="CI20" s="459" t="n">
        <v>0.3404</v>
      </c>
      <c r="CJ20" s="459" t="n">
        <v>0.3358</v>
      </c>
      <c r="CK20" s="459" t="n">
        <v>0.3313</v>
      </c>
      <c r="CL20" s="459" t="n">
        <v>0.3269</v>
      </c>
      <c r="CM20" s="459" t="n">
        <v>0.3225</v>
      </c>
      <c r="CN20" s="459" t="n">
        <v>0.3181</v>
      </c>
      <c r="CO20" s="459" t="n">
        <v>0.3139</v>
      </c>
      <c r="CP20" s="459" t="n">
        <v>0.3096</v>
      </c>
      <c r="CQ20" s="459" t="n">
        <v>0.3055</v>
      </c>
      <c r="CR20" s="459" t="n">
        <v>0.3014</v>
      </c>
      <c r="CS20" s="459" t="n">
        <v>0.2973</v>
      </c>
      <c r="CT20" s="458" t="n">
        <v>0.2933</v>
      </c>
      <c r="CU20" s="458" t="n">
        <v>0.2894</v>
      </c>
      <c r="CV20" s="458" t="n">
        <v>0.2855</v>
      </c>
      <c r="CW20" s="458" t="n">
        <v>0.2816</v>
      </c>
      <c r="CX20" s="458" t="n">
        <v>0.2778</v>
      </c>
      <c r="CY20" s="458" t="n">
        <v>0.2741</v>
      </c>
      <c r="CZ20" s="458" t="n">
        <v>0.2704</v>
      </c>
      <c r="DA20" s="458" t="n">
        <v>0.2668</v>
      </c>
      <c r="DB20" s="458" t="n">
        <v>0.2632</v>
      </c>
      <c r="DC20" s="458" t="n">
        <v>0.2596</v>
      </c>
      <c r="DD20" s="458" t="n">
        <v>0.2562</v>
      </c>
      <c r="DE20" s="458" t="n">
        <v>0.2527</v>
      </c>
      <c r="DF20" s="459" t="n">
        <v>0.2493</v>
      </c>
      <c r="DG20" s="459" t="n">
        <v>0.246</v>
      </c>
      <c r="DH20" s="459" t="n">
        <v>0.2426</v>
      </c>
      <c r="DI20" s="459" t="n">
        <v>0.2394</v>
      </c>
      <c r="DJ20" s="459" t="n">
        <v>0.2362</v>
      </c>
      <c r="DK20" s="459" t="n">
        <v>0.233</v>
      </c>
      <c r="DL20" s="459" t="n">
        <v>0.2299</v>
      </c>
      <c r="DM20" s="459" t="n">
        <v>0.2268</v>
      </c>
      <c r="DN20" s="459" t="n">
        <v>0.2237</v>
      </c>
      <c r="DO20" s="459" t="n">
        <v>0.2207</v>
      </c>
      <c r="DP20" s="459" t="n">
        <v>0.2177</v>
      </c>
      <c r="DQ20" s="459" t="n">
        <v>0.2148</v>
      </c>
      <c r="DR20" s="458" t="n">
        <v>0.2119</v>
      </c>
      <c r="DS20" s="458" t="n">
        <v>0.2091</v>
      </c>
      <c r="DT20" s="458" t="n">
        <v>0.2063</v>
      </c>
      <c r="DU20" s="458" t="n">
        <v>0.2035</v>
      </c>
      <c r="DV20" s="458" t="n">
        <v>0.2007</v>
      </c>
      <c r="DW20" s="458" t="n">
        <v>0.198</v>
      </c>
      <c r="DX20" s="458" t="n">
        <v>0.1954</v>
      </c>
      <c r="DY20" s="458" t="n">
        <v>0.1927</v>
      </c>
      <c r="DZ20" s="458" t="n">
        <v>0.1902</v>
      </c>
      <c r="EA20" s="458" t="n">
        <v>0.1876</v>
      </c>
      <c r="EB20" s="458" t="n">
        <v>0.1851</v>
      </c>
      <c r="EC20" s="458" t="n">
        <v>0.1826</v>
      </c>
      <c r="ED20" s="459" t="n">
        <v>0.1801</v>
      </c>
      <c r="EE20" s="459" t="n">
        <v>0.1777</v>
      </c>
      <c r="EF20" s="459" t="n">
        <v>0.1753</v>
      </c>
      <c r="EG20" s="459" t="n">
        <v>0.173</v>
      </c>
      <c r="EH20" s="459" t="n">
        <v>0.1706</v>
      </c>
      <c r="EI20" s="459" t="n">
        <v>0.1683</v>
      </c>
      <c r="EJ20" s="459" t="n">
        <v>0.1661</v>
      </c>
      <c r="EK20" s="459" t="n">
        <v>0.1638</v>
      </c>
      <c r="EL20" s="459" t="n">
        <v>0.1616</v>
      </c>
      <c r="EM20" s="459" t="n">
        <v>0.1595</v>
      </c>
      <c r="EN20" s="459" t="n">
        <v>0.1573</v>
      </c>
      <c r="EO20" s="459" t="n">
        <v>0.1552</v>
      </c>
      <c r="EP20" s="458" t="n">
        <v>0.1531</v>
      </c>
      <c r="EQ20" s="458" t="n">
        <v>0.151</v>
      </c>
      <c r="ER20" s="458" t="n">
        <v>0.149</v>
      </c>
      <c r="ES20" s="458" t="n">
        <v>0.147</v>
      </c>
      <c r="ET20" s="458" t="n">
        <v>0.145</v>
      </c>
      <c r="EU20" s="458" t="n">
        <v>0.1431</v>
      </c>
      <c r="EV20" s="458" t="n">
        <v>0.1412</v>
      </c>
      <c r="EW20" s="458" t="n">
        <v>0.1393</v>
      </c>
      <c r="EX20" s="458" t="n">
        <v>0.1374</v>
      </c>
      <c r="EY20" s="458" t="n">
        <v>0.1355</v>
      </c>
      <c r="EZ20" s="458" t="n">
        <v>0.1337</v>
      </c>
      <c r="FA20" s="458" t="n">
        <v>0.1319</v>
      </c>
      <c r="FB20" s="459" t="n">
        <v>0.1301</v>
      </c>
      <c r="FC20" s="459" t="n">
        <v>0.1284</v>
      </c>
      <c r="FD20" s="459" t="n">
        <v>0.1267</v>
      </c>
      <c r="FE20" s="459" t="n">
        <v>0.125</v>
      </c>
      <c r="FF20" s="459" t="n">
        <v>0.1233</v>
      </c>
      <c r="FG20" s="459" t="n">
        <v>0.1216</v>
      </c>
      <c r="FH20" s="459" t="n">
        <v>0.12</v>
      </c>
      <c r="FI20" s="459" t="n">
        <v>0.1184</v>
      </c>
      <c r="FJ20" s="459" t="n">
        <v>0.1168</v>
      </c>
      <c r="FK20" s="459" t="n">
        <v>0.1152</v>
      </c>
      <c r="FL20" s="459" t="n">
        <v>0.1137</v>
      </c>
      <c r="FM20" s="459" t="n">
        <v>0.1121</v>
      </c>
      <c r="FN20" s="458" t="n">
        <v>0.1106</v>
      </c>
      <c r="FO20" s="458" t="n">
        <v>0.1091</v>
      </c>
      <c r="FP20" s="458" t="n">
        <v>0.1077</v>
      </c>
      <c r="FQ20" s="458" t="n">
        <v>0.1062</v>
      </c>
      <c r="FR20" s="458" t="n">
        <v>0.1048</v>
      </c>
      <c r="FS20" s="458" t="n">
        <v>0.1034</v>
      </c>
      <c r="FT20" s="458" t="n">
        <v>0.102</v>
      </c>
      <c r="FU20" s="458" t="n">
        <v>0.1006</v>
      </c>
      <c r="FV20" s="458" t="n">
        <v>0.0993</v>
      </c>
      <c r="FW20" s="458" t="n">
        <v>0.0979</v>
      </c>
      <c r="FX20" s="458" t="n">
        <v>0.09660000000000001</v>
      </c>
      <c r="FY20" s="458" t="n">
        <v>0.0953</v>
      </c>
      <c r="FZ20" s="306" t="n"/>
    </row>
    <row r="21" ht="15" customHeight="1" s="307">
      <c r="A21" s="321" t="inlineStr">
        <is>
          <t xml:space="preserve">    Corporate Allocation</t>
        </is>
      </c>
      <c r="B21" s="458" t="n">
        <v>0</v>
      </c>
      <c r="C21" s="458" t="n">
        <v>0</v>
      </c>
      <c r="D21" s="458" t="n">
        <v>0</v>
      </c>
      <c r="E21" s="458" t="n">
        <v>0.128</v>
      </c>
      <c r="F21" s="458" t="n">
        <v>0.1263</v>
      </c>
      <c r="G21" s="458" t="n">
        <v>0.1246</v>
      </c>
      <c r="H21" s="458" t="n">
        <v>0.2589</v>
      </c>
      <c r="I21" s="458" t="n">
        <v>0.2554</v>
      </c>
      <c r="J21" s="458" t="n">
        <v>0.252</v>
      </c>
      <c r="K21" s="458" t="n">
        <v>0.3991</v>
      </c>
      <c r="L21" s="458" t="n">
        <v>0.3937</v>
      </c>
      <c r="M21" s="458" t="n">
        <v>0.5184</v>
      </c>
      <c r="N21" s="459" t="n">
        <v>0.5115</v>
      </c>
      <c r="O21" s="459" t="n">
        <v>0.5046</v>
      </c>
      <c r="P21" s="459" t="n">
        <v>0.4978</v>
      </c>
      <c r="Q21" s="459" t="n">
        <v>0.6181</v>
      </c>
      <c r="R21" s="459" t="n">
        <v>0.6098</v>
      </c>
      <c r="S21" s="459" t="n">
        <v>0.6016</v>
      </c>
      <c r="T21" s="459" t="n">
        <v>0.5935</v>
      </c>
      <c r="U21" s="459" t="n">
        <v>0.5855</v>
      </c>
      <c r="V21" s="459" t="n">
        <v>0.5776</v>
      </c>
      <c r="W21" s="459" t="n">
        <v>0.5699</v>
      </c>
      <c r="X21" s="459" t="n">
        <v>0.5622</v>
      </c>
      <c r="Y21" s="459" t="n">
        <v>0.6746</v>
      </c>
      <c r="Z21" s="458" t="n">
        <v>0.6655</v>
      </c>
      <c r="AA21" s="458" t="n">
        <v>0.6566</v>
      </c>
      <c r="AB21" s="458" t="n">
        <v>0.6478</v>
      </c>
      <c r="AC21" s="458" t="n">
        <v>0.6391</v>
      </c>
      <c r="AD21" s="458" t="n">
        <v>0.6304999999999999</v>
      </c>
      <c r="AE21" s="458" t="n">
        <v>0.742</v>
      </c>
      <c r="AF21" s="458" t="n">
        <v>0.732</v>
      </c>
      <c r="AG21" s="458" t="n">
        <v>0.7221</v>
      </c>
      <c r="AH21" s="458" t="n">
        <v>0.7124</v>
      </c>
      <c r="AI21" s="458" t="n">
        <v>0.7028</v>
      </c>
      <c r="AJ21" s="458" t="n">
        <v>0.6934</v>
      </c>
      <c r="AK21" s="458" t="n">
        <v>0.8041</v>
      </c>
      <c r="AL21" s="459" t="n">
        <v>0.7932</v>
      </c>
      <c r="AM21" s="459" t="n">
        <v>0.7826</v>
      </c>
      <c r="AN21" s="459" t="n">
        <v>0.7721</v>
      </c>
      <c r="AO21" s="459" t="n">
        <v>0.7617</v>
      </c>
      <c r="AP21" s="459" t="n">
        <v>0.7514</v>
      </c>
      <c r="AQ21" s="459" t="n">
        <v>0.7413</v>
      </c>
      <c r="AR21" s="459" t="n">
        <v>0.7313</v>
      </c>
      <c r="AS21" s="459" t="n">
        <v>0.7215</v>
      </c>
      <c r="AT21" s="459" t="n">
        <v>0.7118</v>
      </c>
      <c r="AU21" s="459" t="n">
        <v>0.7022</v>
      </c>
      <c r="AV21" s="459" t="n">
        <v>0.6928</v>
      </c>
      <c r="AW21" s="459" t="n">
        <v>0.6835</v>
      </c>
      <c r="AX21" s="458" t="n">
        <v>0.6743</v>
      </c>
      <c r="AY21" s="458" t="n">
        <v>0.6652</v>
      </c>
      <c r="AZ21" s="458" t="n">
        <v>0.6562</v>
      </c>
      <c r="BA21" s="458" t="n">
        <v>0.6474</v>
      </c>
      <c r="BB21" s="458" t="n">
        <v>0.6387</v>
      </c>
      <c r="BC21" s="458" t="n">
        <v>0.6301</v>
      </c>
      <c r="BD21" s="458" t="n">
        <v>0.6216</v>
      </c>
      <c r="BE21" s="458" t="n">
        <v>0.6133</v>
      </c>
      <c r="BF21" s="458" t="n">
        <v>0.605</v>
      </c>
      <c r="BG21" s="458" t="n">
        <v>0.5969</v>
      </c>
      <c r="BH21" s="458" t="n">
        <v>0.5889</v>
      </c>
      <c r="BI21" s="458" t="n">
        <v>0.5809</v>
      </c>
      <c r="BJ21" s="459" t="n">
        <v>0.5731000000000001</v>
      </c>
      <c r="BK21" s="459" t="n">
        <v>0.5654</v>
      </c>
      <c r="BL21" s="459" t="n">
        <v>0.5578</v>
      </c>
      <c r="BM21" s="459" t="n">
        <v>0.5503</v>
      </c>
      <c r="BN21" s="459" t="n">
        <v>0.5429</v>
      </c>
      <c r="BO21" s="459" t="n">
        <v>0.5356</v>
      </c>
      <c r="BP21" s="459" t="n">
        <v>0.5284</v>
      </c>
      <c r="BQ21" s="459" t="n">
        <v>0.5213</v>
      </c>
      <c r="BR21" s="459" t="n">
        <v>0.5143</v>
      </c>
      <c r="BS21" s="459" t="n">
        <v>0.5074</v>
      </c>
      <c r="BT21" s="459" t="n">
        <v>0.5004999999999999</v>
      </c>
      <c r="BU21" s="459" t="n">
        <v>0.4938</v>
      </c>
      <c r="BV21" s="458" t="n">
        <v>0.4872</v>
      </c>
      <c r="BW21" s="458" t="n">
        <v>0.4806</v>
      </c>
      <c r="BX21" s="458" t="n">
        <v>0.4741</v>
      </c>
      <c r="BY21" s="458" t="n">
        <v>0.4678</v>
      </c>
      <c r="BZ21" s="458" t="n">
        <v>0.4615</v>
      </c>
      <c r="CA21" s="458" t="n">
        <v>0.4553</v>
      </c>
      <c r="CB21" s="458" t="n">
        <v>0.4491</v>
      </c>
      <c r="CC21" s="458" t="n">
        <v>0.4431</v>
      </c>
      <c r="CD21" s="458" t="n">
        <v>0.4371</v>
      </c>
      <c r="CE21" s="458" t="n">
        <v>0.4313</v>
      </c>
      <c r="CF21" s="458" t="n">
        <v>0.4255</v>
      </c>
      <c r="CG21" s="458" t="n">
        <v>0.4197</v>
      </c>
      <c r="CH21" s="459" t="n">
        <v>0.4141</v>
      </c>
      <c r="CI21" s="459" t="n">
        <v>0.4085</v>
      </c>
      <c r="CJ21" s="459" t="n">
        <v>0.403</v>
      </c>
      <c r="CK21" s="459" t="n">
        <v>0.3976</v>
      </c>
      <c r="CL21" s="459" t="n">
        <v>0.3922</v>
      </c>
      <c r="CM21" s="459" t="n">
        <v>0.387</v>
      </c>
      <c r="CN21" s="459" t="n">
        <v>0.3818</v>
      </c>
      <c r="CO21" s="459" t="n">
        <v>0.3766</v>
      </c>
      <c r="CP21" s="459" t="n">
        <v>0.3716</v>
      </c>
      <c r="CQ21" s="459" t="n">
        <v>0.3666</v>
      </c>
      <c r="CR21" s="459" t="n">
        <v>0.3616</v>
      </c>
      <c r="CS21" s="459" t="n">
        <v>0.3568</v>
      </c>
      <c r="CT21" s="458" t="n">
        <v>0.352</v>
      </c>
      <c r="CU21" s="458" t="n">
        <v>0.3472</v>
      </c>
      <c r="CV21" s="458" t="n">
        <v>0.3426</v>
      </c>
      <c r="CW21" s="458" t="n">
        <v>0.338</v>
      </c>
      <c r="CX21" s="458" t="n">
        <v>0.3334</v>
      </c>
      <c r="CY21" s="458" t="n">
        <v>0.3289</v>
      </c>
      <c r="CZ21" s="458" t="n">
        <v>0.3245</v>
      </c>
      <c r="DA21" s="458" t="n">
        <v>0.3201</v>
      </c>
      <c r="DB21" s="458" t="n">
        <v>0.3158</v>
      </c>
      <c r="DC21" s="458" t="n">
        <v>0.3116</v>
      </c>
      <c r="DD21" s="458" t="n">
        <v>0.3074</v>
      </c>
      <c r="DE21" s="458" t="n">
        <v>0.3033</v>
      </c>
      <c r="DF21" s="459" t="n">
        <v>0.2992</v>
      </c>
      <c r="DG21" s="459" t="n">
        <v>0.2951</v>
      </c>
      <c r="DH21" s="459" t="n">
        <v>0.2912</v>
      </c>
      <c r="DI21" s="459" t="n">
        <v>0.2873</v>
      </c>
      <c r="DJ21" s="459" t="n">
        <v>0.2834</v>
      </c>
      <c r="DK21" s="459" t="n">
        <v>0.2796</v>
      </c>
      <c r="DL21" s="459" t="n">
        <v>0.2758</v>
      </c>
      <c r="DM21" s="459" t="n">
        <v>0.2721</v>
      </c>
      <c r="DN21" s="459" t="n">
        <v>0.2685</v>
      </c>
      <c r="DO21" s="459" t="n">
        <v>0.2648</v>
      </c>
      <c r="DP21" s="459" t="n">
        <v>0.2613</v>
      </c>
      <c r="DQ21" s="459" t="n">
        <v>0.2578</v>
      </c>
      <c r="DR21" s="458" t="n">
        <v>0.2543</v>
      </c>
      <c r="DS21" s="458" t="n">
        <v>0.2509</v>
      </c>
      <c r="DT21" s="458" t="n">
        <v>0.2475</v>
      </c>
      <c r="DU21" s="458" t="n">
        <v>0.2442</v>
      </c>
      <c r="DV21" s="458" t="n">
        <v>0.2409</v>
      </c>
      <c r="DW21" s="458" t="n">
        <v>0.2376</v>
      </c>
      <c r="DX21" s="458" t="n">
        <v>0.2345</v>
      </c>
      <c r="DY21" s="458" t="n">
        <v>0.2313</v>
      </c>
      <c r="DZ21" s="458" t="n">
        <v>0.2282</v>
      </c>
      <c r="EA21" s="458" t="n">
        <v>0.2251</v>
      </c>
      <c r="EB21" s="458" t="n">
        <v>0.2221</v>
      </c>
      <c r="EC21" s="458" t="n">
        <v>0.2191</v>
      </c>
      <c r="ED21" s="459" t="n">
        <v>0.2162</v>
      </c>
      <c r="EE21" s="459" t="n">
        <v>0.2132</v>
      </c>
      <c r="EF21" s="459" t="n">
        <v>0.2104</v>
      </c>
      <c r="EG21" s="459" t="n">
        <v>0.2075</v>
      </c>
      <c r="EH21" s="459" t="n">
        <v>0.2048</v>
      </c>
      <c r="EI21" s="459" t="n">
        <v>0.202</v>
      </c>
      <c r="EJ21" s="459" t="n">
        <v>0.1993</v>
      </c>
      <c r="EK21" s="459" t="n">
        <v>0.1966</v>
      </c>
      <c r="EL21" s="459" t="n">
        <v>0.194</v>
      </c>
      <c r="EM21" s="459" t="n">
        <v>0.1913</v>
      </c>
      <c r="EN21" s="459" t="n">
        <v>0.1888</v>
      </c>
      <c r="EO21" s="459" t="n">
        <v>0.1862</v>
      </c>
      <c r="EP21" s="458" t="n">
        <v>0.1837</v>
      </c>
      <c r="EQ21" s="458" t="n">
        <v>0.1813</v>
      </c>
      <c r="ER21" s="458" t="n">
        <v>0.1788</v>
      </c>
      <c r="ES21" s="458" t="n">
        <v>0.1764</v>
      </c>
      <c r="ET21" s="458" t="n">
        <v>0.174</v>
      </c>
      <c r="EU21" s="458" t="n">
        <v>0.1717</v>
      </c>
      <c r="EV21" s="458" t="n">
        <v>0.1694</v>
      </c>
      <c r="EW21" s="458" t="n">
        <v>0.1671</v>
      </c>
      <c r="EX21" s="458" t="n">
        <v>0.1649</v>
      </c>
      <c r="EY21" s="458" t="n">
        <v>0.1626</v>
      </c>
      <c r="EZ21" s="458" t="n">
        <v>0.1605</v>
      </c>
      <c r="FA21" s="458" t="n">
        <v>0.1583</v>
      </c>
      <c r="FB21" s="459" t="n">
        <v>0.1562</v>
      </c>
      <c r="FC21" s="459" t="n">
        <v>0.1541</v>
      </c>
      <c r="FD21" s="459" t="n">
        <v>0.152</v>
      </c>
      <c r="FE21" s="459" t="n">
        <v>0.15</v>
      </c>
      <c r="FF21" s="459" t="n">
        <v>0.1479</v>
      </c>
      <c r="FG21" s="459" t="n">
        <v>0.1459</v>
      </c>
      <c r="FH21" s="459" t="n">
        <v>0.144</v>
      </c>
      <c r="FI21" s="459" t="n">
        <v>0.142</v>
      </c>
      <c r="FJ21" s="459" t="n">
        <v>0.1401</v>
      </c>
      <c r="FK21" s="459" t="n">
        <v>0.1382</v>
      </c>
      <c r="FL21" s="459" t="n">
        <v>0.1364</v>
      </c>
      <c r="FM21" s="459" t="n">
        <v>0.1346</v>
      </c>
      <c r="FN21" s="458" t="n">
        <v>0.1327</v>
      </c>
      <c r="FO21" s="458" t="n">
        <v>0.131</v>
      </c>
      <c r="FP21" s="458" t="n">
        <v>0.1292</v>
      </c>
      <c r="FQ21" s="458" t="n">
        <v>0.1275</v>
      </c>
      <c r="FR21" s="458" t="n">
        <v>0.1257</v>
      </c>
      <c r="FS21" s="458" t="n">
        <v>0.1241</v>
      </c>
      <c r="FT21" s="458" t="n">
        <v>0.1224</v>
      </c>
      <c r="FU21" s="458" t="n">
        <v>0.1207</v>
      </c>
      <c r="FV21" s="458" t="n">
        <v>0.1191</v>
      </c>
      <c r="FW21" s="458" t="n">
        <v>0.1175</v>
      </c>
      <c r="FX21" s="458" t="n">
        <v>0.1159</v>
      </c>
      <c r="FY21" s="458" t="n">
        <v>0.1144</v>
      </c>
      <c r="FZ21" s="306" t="n"/>
    </row>
    <row r="22" ht="15" customHeight="1" s="307">
      <c r="A22" s="321" t="inlineStr">
        <is>
          <t xml:space="preserve">    Team Compensation</t>
        </is>
      </c>
      <c r="B22" s="458" t="n">
        <v>0.0813</v>
      </c>
      <c r="C22" s="458" t="n">
        <v>0.0813</v>
      </c>
      <c r="D22" s="458" t="n">
        <v>0.0813</v>
      </c>
      <c r="E22" s="458" t="n">
        <v>0.3385</v>
      </c>
      <c r="F22" s="458" t="n">
        <v>0.3385</v>
      </c>
      <c r="G22" s="458" t="n">
        <v>0.3385</v>
      </c>
      <c r="H22" s="458" t="n">
        <v>1.0292</v>
      </c>
      <c r="I22" s="458" t="n">
        <v>0.5417</v>
      </c>
      <c r="J22" s="458" t="n">
        <v>0.5417</v>
      </c>
      <c r="K22" s="458" t="n">
        <v>0.5958</v>
      </c>
      <c r="L22" s="458" t="n">
        <v>0.5958</v>
      </c>
      <c r="M22" s="458" t="n">
        <v>0.6229</v>
      </c>
      <c r="N22" s="459" t="n">
        <v>0.9344</v>
      </c>
      <c r="O22" s="459" t="n">
        <v>0.9344</v>
      </c>
      <c r="P22" s="459" t="n">
        <v>0.9344</v>
      </c>
      <c r="Q22" s="459" t="n">
        <v>0.9547</v>
      </c>
      <c r="R22" s="459" t="n">
        <v>0.9547</v>
      </c>
      <c r="S22" s="459" t="n">
        <v>0.9547</v>
      </c>
      <c r="T22" s="459" t="n">
        <v>0.9547</v>
      </c>
      <c r="U22" s="459" t="n">
        <v>0.9547</v>
      </c>
      <c r="V22" s="459" t="n">
        <v>0.9547</v>
      </c>
      <c r="W22" s="459" t="n">
        <v>0.9547</v>
      </c>
      <c r="X22" s="459" t="n">
        <v>0.9547</v>
      </c>
      <c r="Y22" s="459" t="n">
        <v>0.9547</v>
      </c>
      <c r="Z22" s="458" t="n">
        <v>0.9547</v>
      </c>
      <c r="AA22" s="458" t="n">
        <v>0.9547</v>
      </c>
      <c r="AB22" s="458" t="n">
        <v>0.9547</v>
      </c>
      <c r="AC22" s="458" t="n">
        <v>0.9547</v>
      </c>
      <c r="AD22" s="458" t="n">
        <v>0.9547</v>
      </c>
      <c r="AE22" s="458" t="n">
        <v>0.9547</v>
      </c>
      <c r="AF22" s="458" t="n">
        <v>0.9547</v>
      </c>
      <c r="AG22" s="458" t="n">
        <v>0.9547</v>
      </c>
      <c r="AH22" s="458" t="n">
        <v>0.9547</v>
      </c>
      <c r="AI22" s="458" t="n">
        <v>0.9547</v>
      </c>
      <c r="AJ22" s="458" t="n">
        <v>0.9547</v>
      </c>
      <c r="AK22" s="458" t="n">
        <v>0.9547</v>
      </c>
      <c r="AL22" s="459" t="n">
        <v>0.9547</v>
      </c>
      <c r="AM22" s="459" t="n">
        <v>0.9547</v>
      </c>
      <c r="AN22" s="459" t="n">
        <v>0.9547</v>
      </c>
      <c r="AO22" s="459" t="n">
        <v>0.9547</v>
      </c>
      <c r="AP22" s="459" t="n">
        <v>0.9547</v>
      </c>
      <c r="AQ22" s="459" t="n">
        <v>0.9547</v>
      </c>
      <c r="AR22" s="459" t="n">
        <v>0.9547</v>
      </c>
      <c r="AS22" s="459" t="n">
        <v>0.9547</v>
      </c>
      <c r="AT22" s="459" t="n">
        <v>0.9547</v>
      </c>
      <c r="AU22" s="459" t="n">
        <v>0.9547</v>
      </c>
      <c r="AV22" s="459" t="n">
        <v>0.9547</v>
      </c>
      <c r="AW22" s="459" t="n">
        <v>0.9547</v>
      </c>
      <c r="AX22" s="458" t="n">
        <v>0.9547</v>
      </c>
      <c r="AY22" s="458" t="n">
        <v>0.9547</v>
      </c>
      <c r="AZ22" s="458" t="n">
        <v>0.9547</v>
      </c>
      <c r="BA22" s="458" t="n">
        <v>0.9547</v>
      </c>
      <c r="BB22" s="458" t="n">
        <v>0.9547</v>
      </c>
      <c r="BC22" s="458" t="n">
        <v>0.9547</v>
      </c>
      <c r="BD22" s="458" t="n">
        <v>0.9547</v>
      </c>
      <c r="BE22" s="458" t="n">
        <v>0.9547</v>
      </c>
      <c r="BF22" s="458" t="n">
        <v>0.9547</v>
      </c>
      <c r="BG22" s="458" t="n">
        <v>0.9547</v>
      </c>
      <c r="BH22" s="458" t="n">
        <v>0.9547</v>
      </c>
      <c r="BI22" s="458" t="n">
        <v>0.9547</v>
      </c>
      <c r="BJ22" s="459" t="n">
        <v>0.9547</v>
      </c>
      <c r="BK22" s="459" t="n">
        <v>0.9547</v>
      </c>
      <c r="BL22" s="459" t="n">
        <v>0.9547</v>
      </c>
      <c r="BM22" s="459" t="n">
        <v>0.9547</v>
      </c>
      <c r="BN22" s="459" t="n">
        <v>0.9547</v>
      </c>
      <c r="BO22" s="459" t="n">
        <v>0.9547</v>
      </c>
      <c r="BP22" s="459" t="n">
        <v>0.9547</v>
      </c>
      <c r="BQ22" s="459" t="n">
        <v>0.9547</v>
      </c>
      <c r="BR22" s="459" t="n">
        <v>0.9547</v>
      </c>
      <c r="BS22" s="459" t="n">
        <v>0.9547</v>
      </c>
      <c r="BT22" s="459" t="n">
        <v>0.9547</v>
      </c>
      <c r="BU22" s="459" t="n">
        <v>0.9547</v>
      </c>
      <c r="BV22" s="458" t="n">
        <v>0.9547</v>
      </c>
      <c r="BW22" s="458" t="n">
        <v>0.9547</v>
      </c>
      <c r="BX22" s="458" t="n">
        <v>0.9547</v>
      </c>
      <c r="BY22" s="458" t="n">
        <v>0.9547</v>
      </c>
      <c r="BZ22" s="458" t="n">
        <v>0.9547</v>
      </c>
      <c r="CA22" s="458" t="n">
        <v>0.9547</v>
      </c>
      <c r="CB22" s="458" t="n">
        <v>0.9547</v>
      </c>
      <c r="CC22" s="458" t="n">
        <v>0.9547</v>
      </c>
      <c r="CD22" s="458" t="n">
        <v>0.9547</v>
      </c>
      <c r="CE22" s="458" t="n">
        <v>0.9547</v>
      </c>
      <c r="CF22" s="458" t="n">
        <v>0.9547</v>
      </c>
      <c r="CG22" s="458" t="n">
        <v>0.9547</v>
      </c>
      <c r="CH22" s="459" t="n">
        <v>0.9547</v>
      </c>
      <c r="CI22" s="459" t="n">
        <v>0.9547</v>
      </c>
      <c r="CJ22" s="459" t="n">
        <v>0.9547</v>
      </c>
      <c r="CK22" s="459" t="n">
        <v>0.9547</v>
      </c>
      <c r="CL22" s="459" t="n">
        <v>0.9547</v>
      </c>
      <c r="CM22" s="459" t="n">
        <v>0.9547</v>
      </c>
      <c r="CN22" s="459" t="n">
        <v>0.9547</v>
      </c>
      <c r="CO22" s="459" t="n">
        <v>0.9547</v>
      </c>
      <c r="CP22" s="459" t="n">
        <v>0.9547</v>
      </c>
      <c r="CQ22" s="459" t="n">
        <v>0.9547</v>
      </c>
      <c r="CR22" s="459" t="n">
        <v>0.9547</v>
      </c>
      <c r="CS22" s="459" t="n">
        <v>0.9547</v>
      </c>
      <c r="CT22" s="458" t="n">
        <v>0.9547</v>
      </c>
      <c r="CU22" s="458" t="n">
        <v>0.9547</v>
      </c>
      <c r="CV22" s="458" t="n">
        <v>0.9547</v>
      </c>
      <c r="CW22" s="458" t="n">
        <v>0.9547</v>
      </c>
      <c r="CX22" s="458" t="n">
        <v>0.9547</v>
      </c>
      <c r="CY22" s="458" t="n">
        <v>0.9547</v>
      </c>
      <c r="CZ22" s="458" t="n">
        <v>0.9547</v>
      </c>
      <c r="DA22" s="458" t="n">
        <v>0.9547</v>
      </c>
      <c r="DB22" s="458" t="n">
        <v>0.9547</v>
      </c>
      <c r="DC22" s="458" t="n">
        <v>0.9547</v>
      </c>
      <c r="DD22" s="458" t="n">
        <v>0.9547</v>
      </c>
      <c r="DE22" s="458" t="n">
        <v>0.9547</v>
      </c>
      <c r="DF22" s="459" t="n">
        <v>0.9547</v>
      </c>
      <c r="DG22" s="459" t="n">
        <v>0.9547</v>
      </c>
      <c r="DH22" s="459" t="n">
        <v>0.9547</v>
      </c>
      <c r="DI22" s="459" t="n">
        <v>0.9547</v>
      </c>
      <c r="DJ22" s="459" t="n">
        <v>0.9547</v>
      </c>
      <c r="DK22" s="459" t="n">
        <v>0.9547</v>
      </c>
      <c r="DL22" s="459" t="n">
        <v>0.9547</v>
      </c>
      <c r="DM22" s="459" t="n">
        <v>0.9547</v>
      </c>
      <c r="DN22" s="459" t="n">
        <v>0.9547</v>
      </c>
      <c r="DO22" s="459" t="n">
        <v>0.9547</v>
      </c>
      <c r="DP22" s="459" t="n">
        <v>0.9547</v>
      </c>
      <c r="DQ22" s="459" t="n">
        <v>0.9547</v>
      </c>
      <c r="DR22" s="458" t="n">
        <v>0.9547</v>
      </c>
      <c r="DS22" s="458" t="n">
        <v>0.9547</v>
      </c>
      <c r="DT22" s="458" t="n">
        <v>0.9547</v>
      </c>
      <c r="DU22" s="458" t="n">
        <v>0.9547</v>
      </c>
      <c r="DV22" s="458" t="n">
        <v>0.9547</v>
      </c>
      <c r="DW22" s="458" t="n">
        <v>0.9547</v>
      </c>
      <c r="DX22" s="458" t="n">
        <v>0.9547</v>
      </c>
      <c r="DY22" s="458" t="n">
        <v>0.9547</v>
      </c>
      <c r="DZ22" s="458" t="n">
        <v>0.9547</v>
      </c>
      <c r="EA22" s="458" t="n">
        <v>0.9547</v>
      </c>
      <c r="EB22" s="458" t="n">
        <v>0.9547</v>
      </c>
      <c r="EC22" s="458" t="n">
        <v>0.9547</v>
      </c>
      <c r="ED22" s="459" t="n">
        <v>0.9547</v>
      </c>
      <c r="EE22" s="459" t="n">
        <v>0.9547</v>
      </c>
      <c r="EF22" s="459" t="n">
        <v>0.9547</v>
      </c>
      <c r="EG22" s="459" t="n">
        <v>0.9547</v>
      </c>
      <c r="EH22" s="459" t="n">
        <v>0.9547</v>
      </c>
      <c r="EI22" s="459" t="n">
        <v>0.9547</v>
      </c>
      <c r="EJ22" s="459" t="n">
        <v>0.9547</v>
      </c>
      <c r="EK22" s="459" t="n">
        <v>0.9547</v>
      </c>
      <c r="EL22" s="459" t="n">
        <v>0.9547</v>
      </c>
      <c r="EM22" s="459" t="n">
        <v>0.9547</v>
      </c>
      <c r="EN22" s="459" t="n">
        <v>0.9547</v>
      </c>
      <c r="EO22" s="459" t="n">
        <v>0.9547</v>
      </c>
      <c r="EP22" s="458" t="n">
        <v>0.9547</v>
      </c>
      <c r="EQ22" s="458" t="n">
        <v>0.9547</v>
      </c>
      <c r="ER22" s="458" t="n">
        <v>0.9547</v>
      </c>
      <c r="ES22" s="458" t="n">
        <v>0.9547</v>
      </c>
      <c r="ET22" s="458" t="n">
        <v>0.9547</v>
      </c>
      <c r="EU22" s="458" t="n">
        <v>0.9547</v>
      </c>
      <c r="EV22" s="458" t="n">
        <v>0.9547</v>
      </c>
      <c r="EW22" s="458" t="n">
        <v>0.9547</v>
      </c>
      <c r="EX22" s="458" t="n">
        <v>0.9547</v>
      </c>
      <c r="EY22" s="458" t="n">
        <v>0.9547</v>
      </c>
      <c r="EZ22" s="458" t="n">
        <v>0.9547</v>
      </c>
      <c r="FA22" s="458" t="n">
        <v>0.9547</v>
      </c>
      <c r="FB22" s="459" t="n">
        <v>0.9547</v>
      </c>
      <c r="FC22" s="459" t="n">
        <v>0.9547</v>
      </c>
      <c r="FD22" s="459" t="n">
        <v>0.9547</v>
      </c>
      <c r="FE22" s="459" t="n">
        <v>0.9547</v>
      </c>
      <c r="FF22" s="459" t="n">
        <v>0.9547</v>
      </c>
      <c r="FG22" s="459" t="n">
        <v>0.9547</v>
      </c>
      <c r="FH22" s="459" t="n">
        <v>0.9547</v>
      </c>
      <c r="FI22" s="459" t="n">
        <v>0.9547</v>
      </c>
      <c r="FJ22" s="459" t="n">
        <v>0.9547</v>
      </c>
      <c r="FK22" s="459" t="n">
        <v>0.9547</v>
      </c>
      <c r="FL22" s="459" t="n">
        <v>0.9547</v>
      </c>
      <c r="FM22" s="459" t="n">
        <v>0.9547</v>
      </c>
      <c r="FN22" s="458" t="n">
        <v>0.9547</v>
      </c>
      <c r="FO22" s="458" t="n">
        <v>0.9547</v>
      </c>
      <c r="FP22" s="458" t="n">
        <v>0.9547</v>
      </c>
      <c r="FQ22" s="458" t="n">
        <v>0.9547</v>
      </c>
      <c r="FR22" s="458" t="n">
        <v>0.9547</v>
      </c>
      <c r="FS22" s="458" t="n">
        <v>0.9547</v>
      </c>
      <c r="FT22" s="458" t="n">
        <v>0.9547</v>
      </c>
      <c r="FU22" s="458" t="n">
        <v>0.9547</v>
      </c>
      <c r="FV22" s="458" t="n">
        <v>0.9547</v>
      </c>
      <c r="FW22" s="458" t="n">
        <v>0.9547</v>
      </c>
      <c r="FX22" s="458" t="n">
        <v>0.9547</v>
      </c>
      <c r="FY22" s="458" t="n">
        <v>0.9547</v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 t="n">
        <v>0</v>
      </c>
      <c r="C24" s="458" t="n">
        <v>0</v>
      </c>
      <c r="D24" s="458" t="n">
        <v>0</v>
      </c>
      <c r="E24" s="458" t="n">
        <v>0</v>
      </c>
      <c r="F24" s="458" t="n">
        <v>0</v>
      </c>
      <c r="G24" s="458" t="n">
        <v>0</v>
      </c>
      <c r="H24" s="458" t="n">
        <v>0</v>
      </c>
      <c r="I24" s="458" t="n">
        <v>0</v>
      </c>
      <c r="J24" s="458" t="n">
        <v>0</v>
      </c>
      <c r="K24" s="458" t="n">
        <v>0</v>
      </c>
      <c r="L24" s="458" t="n">
        <v>0</v>
      </c>
      <c r="M24" s="458" t="n">
        <v>0</v>
      </c>
      <c r="N24" s="459" t="n">
        <v>0</v>
      </c>
      <c r="O24" s="459" t="n">
        <v>0</v>
      </c>
      <c r="P24" s="459" t="n">
        <v>0</v>
      </c>
      <c r="Q24" s="459" t="n">
        <v>0</v>
      </c>
      <c r="R24" s="459" t="n">
        <v>0</v>
      </c>
      <c r="S24" s="459" t="n">
        <v>0</v>
      </c>
      <c r="T24" s="459" t="n">
        <v>0</v>
      </c>
      <c r="U24" s="459" t="n">
        <v>0</v>
      </c>
      <c r="V24" s="459" t="n">
        <v>0</v>
      </c>
      <c r="W24" s="459" t="n">
        <v>0</v>
      </c>
      <c r="X24" s="459" t="n">
        <v>0</v>
      </c>
      <c r="Y24" s="459" t="n">
        <v>0</v>
      </c>
      <c r="Z24" s="458" t="n">
        <v>0</v>
      </c>
      <c r="AA24" s="458" t="n">
        <v>0</v>
      </c>
      <c r="AB24" s="458" t="n">
        <v>0</v>
      </c>
      <c r="AC24" s="458" t="n">
        <v>0</v>
      </c>
      <c r="AD24" s="458" t="n">
        <v>0</v>
      </c>
      <c r="AE24" s="458" t="n">
        <v>0</v>
      </c>
      <c r="AF24" s="458" t="n">
        <v>0</v>
      </c>
      <c r="AG24" s="458" t="n">
        <v>0</v>
      </c>
      <c r="AH24" s="458" t="n">
        <v>0</v>
      </c>
      <c r="AI24" s="458" t="n">
        <v>0</v>
      </c>
      <c r="AJ24" s="458" t="n">
        <v>0</v>
      </c>
      <c r="AK24" s="458" t="n">
        <v>0</v>
      </c>
      <c r="AL24" s="459" t="n">
        <v>0</v>
      </c>
      <c r="AM24" s="459" t="n">
        <v>0</v>
      </c>
      <c r="AN24" s="459" t="n">
        <v>0</v>
      </c>
      <c r="AO24" s="459" t="n">
        <v>0</v>
      </c>
      <c r="AP24" s="459" t="n">
        <v>0</v>
      </c>
      <c r="AQ24" s="459" t="n">
        <v>0</v>
      </c>
      <c r="AR24" s="459" t="n">
        <v>0</v>
      </c>
      <c r="AS24" s="459" t="n">
        <v>0</v>
      </c>
      <c r="AT24" s="459" t="n">
        <v>0</v>
      </c>
      <c r="AU24" s="459" t="n">
        <v>0</v>
      </c>
      <c r="AV24" s="459" t="n">
        <v>0</v>
      </c>
      <c r="AW24" s="459" t="n">
        <v>6.4773</v>
      </c>
      <c r="AX24" s="458" t="n">
        <v>0</v>
      </c>
      <c r="AY24" s="458" t="n">
        <v>0</v>
      </c>
      <c r="AZ24" s="458" t="n">
        <v>0</v>
      </c>
      <c r="BA24" s="458" t="n">
        <v>0</v>
      </c>
      <c r="BB24" s="458" t="n">
        <v>0</v>
      </c>
      <c r="BC24" s="458" t="n">
        <v>0</v>
      </c>
      <c r="BD24" s="458" t="n">
        <v>0</v>
      </c>
      <c r="BE24" s="458" t="n">
        <v>0</v>
      </c>
      <c r="BF24" s="458" t="n">
        <v>0</v>
      </c>
      <c r="BG24" s="458" t="n">
        <v>0</v>
      </c>
      <c r="BH24" s="458" t="n">
        <v>0</v>
      </c>
      <c r="BI24" s="458" t="n">
        <v>9.219799999999999</v>
      </c>
      <c r="BJ24" s="459" t="n">
        <v>0</v>
      </c>
      <c r="BK24" s="459" t="n">
        <v>0</v>
      </c>
      <c r="BL24" s="459" t="n">
        <v>0</v>
      </c>
      <c r="BM24" s="459" t="n">
        <v>0</v>
      </c>
      <c r="BN24" s="459" t="n">
        <v>0</v>
      </c>
      <c r="BO24" s="459" t="n">
        <v>0</v>
      </c>
      <c r="BP24" s="459" t="n">
        <v>0</v>
      </c>
      <c r="BQ24" s="459" t="n">
        <v>0</v>
      </c>
      <c r="BR24" s="459" t="n">
        <v>0</v>
      </c>
      <c r="BS24" s="459" t="n">
        <v>0</v>
      </c>
      <c r="BT24" s="459" t="n">
        <v>0</v>
      </c>
      <c r="BU24" s="459" t="n">
        <v>6.1184</v>
      </c>
      <c r="BV24" s="458" t="n">
        <v>0</v>
      </c>
      <c r="BW24" s="458" t="n">
        <v>0</v>
      </c>
      <c r="BX24" s="458" t="n">
        <v>0</v>
      </c>
      <c r="BY24" s="458" t="n">
        <v>0</v>
      </c>
      <c r="BZ24" s="458" t="n">
        <v>0</v>
      </c>
      <c r="CA24" s="458" t="n">
        <v>0</v>
      </c>
      <c r="CB24" s="458" t="n">
        <v>0</v>
      </c>
      <c r="CC24" s="458" t="n">
        <v>0</v>
      </c>
      <c r="CD24" s="458" t="n">
        <v>0</v>
      </c>
      <c r="CE24" s="458" t="n">
        <v>0</v>
      </c>
      <c r="CF24" s="458" t="n">
        <v>0</v>
      </c>
      <c r="CG24" s="458" t="n">
        <v>3.4822</v>
      </c>
      <c r="CH24" s="459" t="n">
        <v>0</v>
      </c>
      <c r="CI24" s="459" t="n">
        <v>0</v>
      </c>
      <c r="CJ24" s="459" t="n">
        <v>0</v>
      </c>
      <c r="CK24" s="459" t="n">
        <v>0</v>
      </c>
      <c r="CL24" s="459" t="n">
        <v>0</v>
      </c>
      <c r="CM24" s="459" t="n">
        <v>0</v>
      </c>
      <c r="CN24" s="459" t="n">
        <v>0</v>
      </c>
      <c r="CO24" s="459" t="n">
        <v>0</v>
      </c>
      <c r="CP24" s="459" t="n">
        <v>0</v>
      </c>
      <c r="CQ24" s="459" t="n">
        <v>0</v>
      </c>
      <c r="CR24" s="459" t="n">
        <v>0</v>
      </c>
      <c r="CS24" s="459" t="n">
        <v>1.2414</v>
      </c>
      <c r="CT24" s="458" t="n">
        <v>0</v>
      </c>
      <c r="CU24" s="458" t="n">
        <v>0</v>
      </c>
      <c r="CV24" s="458" t="n">
        <v>0</v>
      </c>
      <c r="CW24" s="458" t="n">
        <v>0</v>
      </c>
      <c r="CX24" s="458" t="n">
        <v>0</v>
      </c>
      <c r="CY24" s="458" t="n">
        <v>0</v>
      </c>
      <c r="CZ24" s="458" t="n">
        <v>0</v>
      </c>
      <c r="DA24" s="458" t="n">
        <v>0</v>
      </c>
      <c r="DB24" s="458" t="n">
        <v>0</v>
      </c>
      <c r="DC24" s="458" t="n">
        <v>0</v>
      </c>
      <c r="DD24" s="458" t="n">
        <v>0</v>
      </c>
      <c r="DE24" s="458" t="n">
        <v>0</v>
      </c>
      <c r="DF24" s="459" t="n">
        <v>0</v>
      </c>
      <c r="DG24" s="459" t="n">
        <v>0</v>
      </c>
      <c r="DH24" s="459" t="n">
        <v>0</v>
      </c>
      <c r="DI24" s="459" t="n">
        <v>0</v>
      </c>
      <c r="DJ24" s="459" t="n">
        <v>0</v>
      </c>
      <c r="DK24" s="459" t="n">
        <v>0</v>
      </c>
      <c r="DL24" s="459" t="n">
        <v>0</v>
      </c>
      <c r="DM24" s="459" t="n">
        <v>0</v>
      </c>
      <c r="DN24" s="459" t="n">
        <v>0</v>
      </c>
      <c r="DO24" s="459" t="n">
        <v>0</v>
      </c>
      <c r="DP24" s="459" t="n">
        <v>0</v>
      </c>
      <c r="DQ24" s="459" t="n">
        <v>0</v>
      </c>
      <c r="DR24" s="458" t="n">
        <v>0</v>
      </c>
      <c r="DS24" s="458" t="n">
        <v>0</v>
      </c>
      <c r="DT24" s="458" t="n">
        <v>0</v>
      </c>
      <c r="DU24" s="458" t="n">
        <v>0</v>
      </c>
      <c r="DV24" s="458" t="n">
        <v>0</v>
      </c>
      <c r="DW24" s="458" t="n">
        <v>0</v>
      </c>
      <c r="DX24" s="458" t="n">
        <v>0</v>
      </c>
      <c r="DY24" s="458" t="n">
        <v>0</v>
      </c>
      <c r="DZ24" s="458" t="n">
        <v>0</v>
      </c>
      <c r="EA24" s="458" t="n">
        <v>0</v>
      </c>
      <c r="EB24" s="458" t="n">
        <v>0</v>
      </c>
      <c r="EC24" s="458" t="n">
        <v>0</v>
      </c>
      <c r="ED24" s="459" t="n">
        <v>0</v>
      </c>
      <c r="EE24" s="459" t="n">
        <v>0</v>
      </c>
      <c r="EF24" s="459" t="n">
        <v>0</v>
      </c>
      <c r="EG24" s="459" t="n">
        <v>0</v>
      </c>
      <c r="EH24" s="459" t="n">
        <v>0</v>
      </c>
      <c r="EI24" s="459" t="n">
        <v>0</v>
      </c>
      <c r="EJ24" s="459" t="n">
        <v>0</v>
      </c>
      <c r="EK24" s="459" t="n">
        <v>0</v>
      </c>
      <c r="EL24" s="459" t="n">
        <v>0</v>
      </c>
      <c r="EM24" s="459" t="n">
        <v>0</v>
      </c>
      <c r="EN24" s="459" t="n">
        <v>0</v>
      </c>
      <c r="EO24" s="459" t="n">
        <v>0</v>
      </c>
      <c r="EP24" s="458" t="n">
        <v>0</v>
      </c>
      <c r="EQ24" s="458" t="n">
        <v>0</v>
      </c>
      <c r="ER24" s="458" t="n">
        <v>0</v>
      </c>
      <c r="ES24" s="458" t="n">
        <v>0</v>
      </c>
      <c r="ET24" s="458" t="n">
        <v>0</v>
      </c>
      <c r="EU24" s="458" t="n">
        <v>0</v>
      </c>
      <c r="EV24" s="458" t="n">
        <v>0</v>
      </c>
      <c r="EW24" s="458" t="n">
        <v>0</v>
      </c>
      <c r="EX24" s="458" t="n">
        <v>0</v>
      </c>
      <c r="EY24" s="458" t="n">
        <v>0</v>
      </c>
      <c r="EZ24" s="458" t="n">
        <v>0</v>
      </c>
      <c r="FA24" s="458" t="n">
        <v>0</v>
      </c>
      <c r="FB24" s="459" t="n">
        <v>0</v>
      </c>
      <c r="FC24" s="459" t="n">
        <v>0</v>
      </c>
      <c r="FD24" s="459" t="n">
        <v>0</v>
      </c>
      <c r="FE24" s="459" t="n">
        <v>0</v>
      </c>
      <c r="FF24" s="459" t="n">
        <v>0</v>
      </c>
      <c r="FG24" s="459" t="n">
        <v>0</v>
      </c>
      <c r="FH24" s="459" t="n">
        <v>0</v>
      </c>
      <c r="FI24" s="459" t="n">
        <v>0</v>
      </c>
      <c r="FJ24" s="459" t="n">
        <v>0</v>
      </c>
      <c r="FK24" s="459" t="n">
        <v>0</v>
      </c>
      <c r="FL24" s="459" t="n">
        <v>0</v>
      </c>
      <c r="FM24" s="459" t="n">
        <v>0</v>
      </c>
      <c r="FN24" s="458" t="n">
        <v>0</v>
      </c>
      <c r="FO24" s="458" t="n">
        <v>0</v>
      </c>
      <c r="FP24" s="458" t="n">
        <v>0</v>
      </c>
      <c r="FQ24" s="458" t="n">
        <v>0</v>
      </c>
      <c r="FR24" s="458" t="n">
        <v>0</v>
      </c>
      <c r="FS24" s="458" t="n">
        <v>0</v>
      </c>
      <c r="FT24" s="458" t="n">
        <v>0</v>
      </c>
      <c r="FU24" s="458" t="n">
        <v>0</v>
      </c>
      <c r="FV24" s="458" t="n">
        <v>0</v>
      </c>
      <c r="FW24" s="458" t="n">
        <v>0</v>
      </c>
      <c r="FX24" s="458" t="n">
        <v>0</v>
      </c>
      <c r="FY24" s="458" t="n">
        <v>0</v>
      </c>
      <c r="FZ24" s="306" t="n"/>
    </row>
    <row r="25" ht="15" customHeight="1" s="307">
      <c r="A25" s="460" t="inlineStr">
        <is>
          <t>Total Operating Expenses</t>
        </is>
      </c>
      <c r="B25" s="461" t="n">
        <v>0.0813</v>
      </c>
      <c r="C25" s="461" t="n">
        <v>0.0813</v>
      </c>
      <c r="D25" s="461" t="n">
        <v>0.0813</v>
      </c>
      <c r="E25" s="461" t="n">
        <v>1.9385</v>
      </c>
      <c r="F25" s="461" t="n">
        <v>1.7504</v>
      </c>
      <c r="G25" s="461" t="n">
        <v>1.567</v>
      </c>
      <c r="H25" s="461" t="n">
        <v>3.779</v>
      </c>
      <c r="I25" s="461" t="n">
        <v>2.9175</v>
      </c>
      <c r="J25" s="461" t="n">
        <v>2.553</v>
      </c>
      <c r="K25" s="461" t="n">
        <v>4.1334</v>
      </c>
      <c r="L25" s="461" t="n">
        <v>3.6665</v>
      </c>
      <c r="M25" s="461" t="n">
        <v>4.8637</v>
      </c>
      <c r="N25" s="462" t="n">
        <v>4.5409</v>
      </c>
      <c r="O25" s="462" t="n">
        <v>4.0294</v>
      </c>
      <c r="P25" s="462" t="n">
        <v>3.531</v>
      </c>
      <c r="Q25" s="462" t="n">
        <v>4.6533</v>
      </c>
      <c r="R25" s="462" t="n">
        <v>4.1607</v>
      </c>
      <c r="S25" s="462" t="n">
        <v>3.6807</v>
      </c>
      <c r="T25" s="462" t="n">
        <v>3.3149</v>
      </c>
      <c r="U25" s="462" t="n">
        <v>3.0107</v>
      </c>
      <c r="V25" s="462" t="n">
        <v>2.7143</v>
      </c>
      <c r="W25" s="462" t="n">
        <v>2.4255</v>
      </c>
      <c r="X25" s="462" t="n">
        <v>2.3014</v>
      </c>
      <c r="Y25" s="462" t="n">
        <v>3.6804</v>
      </c>
      <c r="Z25" s="461" t="n">
        <v>3.436</v>
      </c>
      <c r="AA25" s="461" t="n">
        <v>3.1977</v>
      </c>
      <c r="AB25" s="461" t="n">
        <v>2.9654</v>
      </c>
      <c r="AC25" s="461" t="n">
        <v>2.7388</v>
      </c>
      <c r="AD25" s="461" t="n">
        <v>2.5669</v>
      </c>
      <c r="AE25" s="461" t="n">
        <v>3.8992</v>
      </c>
      <c r="AF25" s="461" t="n">
        <v>3.6534</v>
      </c>
      <c r="AG25" s="461" t="n">
        <v>3.4136</v>
      </c>
      <c r="AH25" s="461" t="n">
        <v>3.1798</v>
      </c>
      <c r="AI25" s="461" t="n">
        <v>2.9519</v>
      </c>
      <c r="AJ25" s="461" t="n">
        <v>2.7297</v>
      </c>
      <c r="AK25" s="461" t="n">
        <v>4.0131</v>
      </c>
      <c r="AL25" s="462" t="n">
        <v>3.7657</v>
      </c>
      <c r="AM25" s="462" t="n">
        <v>3.5244</v>
      </c>
      <c r="AN25" s="462" t="n">
        <v>3.2891</v>
      </c>
      <c r="AO25" s="462" t="n">
        <v>3.0597</v>
      </c>
      <c r="AP25" s="462" t="n">
        <v>2.836</v>
      </c>
      <c r="AQ25" s="462" t="n">
        <v>2.618</v>
      </c>
      <c r="AR25" s="462" t="n">
        <v>2.5456</v>
      </c>
      <c r="AS25" s="462" t="n">
        <v>2.4749</v>
      </c>
      <c r="AT25" s="462" t="n">
        <v>2.4057</v>
      </c>
      <c r="AU25" s="462" t="n">
        <v>2.3382</v>
      </c>
      <c r="AV25" s="462" t="n">
        <v>2.2722</v>
      </c>
      <c r="AW25" s="462" t="n">
        <v>8.685</v>
      </c>
      <c r="AX25" s="461" t="n">
        <v>2.1908</v>
      </c>
      <c r="AY25" s="461" t="n">
        <v>2.1742</v>
      </c>
      <c r="AZ25" s="461" t="n">
        <v>2.1578</v>
      </c>
      <c r="BA25" s="461" t="n">
        <v>2.1416</v>
      </c>
      <c r="BB25" s="461" t="n">
        <v>2.1257</v>
      </c>
      <c r="BC25" s="461" t="n">
        <v>2.1099</v>
      </c>
      <c r="BD25" s="461" t="n">
        <v>2.0944</v>
      </c>
      <c r="BE25" s="461" t="n">
        <v>2.079</v>
      </c>
      <c r="BF25" s="461" t="n">
        <v>2.0639</v>
      </c>
      <c r="BG25" s="461" t="n">
        <v>2.049</v>
      </c>
      <c r="BH25" s="461" t="n">
        <v>2.0343</v>
      </c>
      <c r="BI25" s="461" t="n">
        <v>11.2395</v>
      </c>
      <c r="BJ25" s="462" t="n">
        <v>2.0054</v>
      </c>
      <c r="BK25" s="462" t="n">
        <v>1.9913</v>
      </c>
      <c r="BL25" s="462" t="n">
        <v>1.9773</v>
      </c>
      <c r="BM25" s="462" t="n">
        <v>1.9636</v>
      </c>
      <c r="BN25" s="462" t="n">
        <v>1.95</v>
      </c>
      <c r="BO25" s="462" t="n">
        <v>1.9366</v>
      </c>
      <c r="BP25" s="462" t="n">
        <v>1.9234</v>
      </c>
      <c r="BQ25" s="462" t="n">
        <v>1.9104</v>
      </c>
      <c r="BR25" s="462" t="n">
        <v>1.8975</v>
      </c>
      <c r="BS25" s="462" t="n">
        <v>1.8848</v>
      </c>
      <c r="BT25" s="462" t="n">
        <v>1.8723</v>
      </c>
      <c r="BU25" s="462" t="n">
        <v>7.9784</v>
      </c>
      <c r="BV25" s="461" t="n">
        <v>1.8478</v>
      </c>
      <c r="BW25" s="461" t="n">
        <v>1.8358</v>
      </c>
      <c r="BX25" s="461" t="n">
        <v>1.8239</v>
      </c>
      <c r="BY25" s="461" t="n">
        <v>1.8122</v>
      </c>
      <c r="BZ25" s="461" t="n">
        <v>1.8007</v>
      </c>
      <c r="CA25" s="461" t="n">
        <v>1.7893</v>
      </c>
      <c r="CB25" s="461" t="n">
        <v>1.7781</v>
      </c>
      <c r="CC25" s="461" t="n">
        <v>1.767</v>
      </c>
      <c r="CD25" s="461" t="n">
        <v>1.7561</v>
      </c>
      <c r="CE25" s="461" t="n">
        <v>1.7453</v>
      </c>
      <c r="CF25" s="461" t="n">
        <v>1.7347</v>
      </c>
      <c r="CG25" s="461" t="n">
        <v>5.2064</v>
      </c>
      <c r="CH25" s="462" t="n">
        <v>1.7138</v>
      </c>
      <c r="CI25" s="462" t="n">
        <v>1.7036</v>
      </c>
      <c r="CJ25" s="462" t="n">
        <v>1.6935</v>
      </c>
      <c r="CK25" s="462" t="n">
        <v>1.6836</v>
      </c>
      <c r="CL25" s="462" t="n">
        <v>1.6738</v>
      </c>
      <c r="CM25" s="462" t="n">
        <v>1.6641</v>
      </c>
      <c r="CN25" s="462" t="n">
        <v>1.6546</v>
      </c>
      <c r="CO25" s="462" t="n">
        <v>1.6452</v>
      </c>
      <c r="CP25" s="462" t="n">
        <v>1.6359</v>
      </c>
      <c r="CQ25" s="462" t="n">
        <v>1.6267</v>
      </c>
      <c r="CR25" s="462" t="n">
        <v>1.6177</v>
      </c>
      <c r="CS25" s="462" t="n">
        <v>2.8502</v>
      </c>
      <c r="CT25" s="461" t="n">
        <v>1.6</v>
      </c>
      <c r="CU25" s="461" t="n">
        <v>1.5913</v>
      </c>
      <c r="CV25" s="461" t="n">
        <v>1.5827</v>
      </c>
      <c r="CW25" s="461" t="n">
        <v>1.5743</v>
      </c>
      <c r="CX25" s="461" t="n">
        <v>1.5659</v>
      </c>
      <c r="CY25" s="461" t="n">
        <v>1.5577</v>
      </c>
      <c r="CZ25" s="461" t="n">
        <v>1.5496</v>
      </c>
      <c r="DA25" s="461" t="n">
        <v>1.5416</v>
      </c>
      <c r="DB25" s="461" t="n">
        <v>1.5337</v>
      </c>
      <c r="DC25" s="461" t="n">
        <v>1.5259</v>
      </c>
      <c r="DD25" s="461" t="n">
        <v>1.5182</v>
      </c>
      <c r="DE25" s="461" t="n">
        <v>1.5107</v>
      </c>
      <c r="DF25" s="462" t="n">
        <v>1.5032</v>
      </c>
      <c r="DG25" s="462" t="n">
        <v>1.4958</v>
      </c>
      <c r="DH25" s="462" t="n">
        <v>1.4885</v>
      </c>
      <c r="DI25" s="462" t="n">
        <v>1.4813</v>
      </c>
      <c r="DJ25" s="462" t="n">
        <v>1.4742</v>
      </c>
      <c r="DK25" s="462" t="n">
        <v>1.4673</v>
      </c>
      <c r="DL25" s="462" t="n">
        <v>1.4604</v>
      </c>
      <c r="DM25" s="462" t="n">
        <v>1.4536</v>
      </c>
      <c r="DN25" s="462" t="n">
        <v>1.4469</v>
      </c>
      <c r="DO25" s="462" t="n">
        <v>1.4402</v>
      </c>
      <c r="DP25" s="462" t="n">
        <v>1.4337</v>
      </c>
      <c r="DQ25" s="462" t="n">
        <v>1.4273</v>
      </c>
      <c r="DR25" s="461" t="n">
        <v>1.4209</v>
      </c>
      <c r="DS25" s="461" t="n">
        <v>1.4146</v>
      </c>
      <c r="DT25" s="461" t="n">
        <v>1.4084</v>
      </c>
      <c r="DU25" s="461" t="n">
        <v>1.4023</v>
      </c>
      <c r="DV25" s="461" t="n">
        <v>1.3963</v>
      </c>
      <c r="DW25" s="461" t="n">
        <v>1.3904</v>
      </c>
      <c r="DX25" s="461" t="n">
        <v>1.3845</v>
      </c>
      <c r="DY25" s="461" t="n">
        <v>1.3787</v>
      </c>
      <c r="DZ25" s="461" t="n">
        <v>1.373</v>
      </c>
      <c r="EA25" s="461" t="n">
        <v>1.3674</v>
      </c>
      <c r="EB25" s="461" t="n">
        <v>1.3618</v>
      </c>
      <c r="EC25" s="461" t="n">
        <v>1.3564</v>
      </c>
      <c r="ED25" s="462" t="n">
        <v>1.351</v>
      </c>
      <c r="EE25" s="462" t="n">
        <v>1.3456</v>
      </c>
      <c r="EF25" s="462" t="n">
        <v>1.3404</v>
      </c>
      <c r="EG25" s="462" t="n">
        <v>1.3352</v>
      </c>
      <c r="EH25" s="462" t="n">
        <v>1.3301</v>
      </c>
      <c r="EI25" s="462" t="n">
        <v>1.325</v>
      </c>
      <c r="EJ25" s="462" t="n">
        <v>1.32</v>
      </c>
      <c r="EK25" s="462" t="n">
        <v>1.3151</v>
      </c>
      <c r="EL25" s="462" t="n">
        <v>1.3103</v>
      </c>
      <c r="EM25" s="462" t="n">
        <v>1.3055</v>
      </c>
      <c r="EN25" s="462" t="n">
        <v>1.3008</v>
      </c>
      <c r="EO25" s="462" t="n">
        <v>1.2961</v>
      </c>
      <c r="EP25" s="461" t="n">
        <v>1.2915</v>
      </c>
      <c r="EQ25" s="461" t="n">
        <v>1.287</v>
      </c>
      <c r="ER25" s="461" t="n">
        <v>1.2825</v>
      </c>
      <c r="ES25" s="461" t="n">
        <v>1.2781</v>
      </c>
      <c r="ET25" s="461" t="n">
        <v>1.2738</v>
      </c>
      <c r="EU25" s="461" t="n">
        <v>1.2695</v>
      </c>
      <c r="EV25" s="461" t="n">
        <v>1.2652</v>
      </c>
      <c r="EW25" s="461" t="n">
        <v>1.2611</v>
      </c>
      <c r="EX25" s="461" t="n">
        <v>1.2569</v>
      </c>
      <c r="EY25" s="461" t="n">
        <v>1.2529</v>
      </c>
      <c r="EZ25" s="461" t="n">
        <v>1.2489</v>
      </c>
      <c r="FA25" s="461" t="n">
        <v>1.2449</v>
      </c>
      <c r="FB25" s="462" t="n">
        <v>1.241</v>
      </c>
      <c r="FC25" s="462" t="n">
        <v>1.2371</v>
      </c>
      <c r="FD25" s="462" t="n">
        <v>1.2333</v>
      </c>
      <c r="FE25" s="462" t="n">
        <v>1.2296</v>
      </c>
      <c r="FF25" s="462" t="n">
        <v>1.2259</v>
      </c>
      <c r="FG25" s="462" t="n">
        <v>1.2223</v>
      </c>
      <c r="FH25" s="462" t="n">
        <v>1.2187</v>
      </c>
      <c r="FI25" s="462" t="n">
        <v>1.2151</v>
      </c>
      <c r="FJ25" s="462" t="n">
        <v>1.2116</v>
      </c>
      <c r="FK25" s="462" t="n">
        <v>1.2081</v>
      </c>
      <c r="FL25" s="462" t="n">
        <v>1.2047</v>
      </c>
      <c r="FM25" s="462" t="n">
        <v>1.2014</v>
      </c>
      <c r="FN25" s="461" t="n">
        <v>1.1981</v>
      </c>
      <c r="FO25" s="461" t="n">
        <v>1.1948</v>
      </c>
      <c r="FP25" s="461" t="n">
        <v>1.1915</v>
      </c>
      <c r="FQ25" s="461" t="n">
        <v>1.1884</v>
      </c>
      <c r="FR25" s="461" t="n">
        <v>1.1852</v>
      </c>
      <c r="FS25" s="461" t="n">
        <v>1.1821</v>
      </c>
      <c r="FT25" s="461" t="n">
        <v>1.1791</v>
      </c>
      <c r="FU25" s="461" t="n">
        <v>1.176</v>
      </c>
      <c r="FV25" s="461" t="n">
        <v>1.1731</v>
      </c>
      <c r="FW25" s="461" t="n">
        <v>1.1701</v>
      </c>
      <c r="FX25" s="461" t="n">
        <v>1.1672</v>
      </c>
      <c r="FY25" s="461" t="n">
        <v>1.1644</v>
      </c>
      <c r="FZ25" s="306" t="n"/>
    </row>
    <row r="26" ht="15" customHeight="1" s="307">
      <c r="A26" s="322" t="n"/>
      <c r="B26" s="466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466" t="n"/>
      <c r="L26" s="466" t="n"/>
      <c r="M26" s="466" t="n"/>
      <c r="N26" s="466" t="n"/>
      <c r="O26" s="466" t="n"/>
      <c r="P26" s="466" t="n"/>
      <c r="Q26" s="466" t="n"/>
      <c r="R26" s="466" t="n"/>
      <c r="S26" s="466" t="n"/>
      <c r="T26" s="466" t="n"/>
      <c r="U26" s="466" t="n"/>
      <c r="V26" s="466" t="n"/>
      <c r="W26" s="466" t="n"/>
      <c r="X26" s="466" t="n"/>
      <c r="Y26" s="466" t="n"/>
      <c r="Z26" s="466" t="n"/>
      <c r="AA26" s="466" t="n"/>
      <c r="AB26" s="466" t="n"/>
      <c r="AC26" s="466" t="n"/>
      <c r="AD26" s="466" t="n"/>
      <c r="AE26" s="466" t="n"/>
      <c r="AF26" s="466" t="n"/>
      <c r="AG26" s="466" t="n"/>
      <c r="AH26" s="466" t="n"/>
      <c r="AI26" s="466" t="n"/>
      <c r="AJ26" s="466" t="n"/>
      <c r="AK26" s="466" t="n"/>
      <c r="AL26" s="466" t="n"/>
      <c r="AM26" s="466" t="n"/>
      <c r="AN26" s="466" t="n"/>
      <c r="AO26" s="466" t="n"/>
      <c r="AP26" s="466" t="n"/>
      <c r="AQ26" s="466" t="n"/>
      <c r="AR26" s="466" t="n"/>
      <c r="AS26" s="466" t="n"/>
      <c r="AT26" s="466" t="n"/>
      <c r="AU26" s="466" t="n"/>
      <c r="AV26" s="466" t="n"/>
      <c r="AW26" s="466" t="n"/>
      <c r="AX26" s="466" t="n"/>
      <c r="AY26" s="466" t="n"/>
      <c r="AZ26" s="466" t="n"/>
      <c r="BA26" s="466" t="n"/>
      <c r="BB26" s="466" t="n"/>
      <c r="BC26" s="466" t="n"/>
      <c r="BD26" s="466" t="n"/>
      <c r="BE26" s="466" t="n"/>
      <c r="BF26" s="466" t="n"/>
      <c r="BG26" s="466" t="n"/>
      <c r="BH26" s="466" t="n"/>
      <c r="BI26" s="466" t="n"/>
      <c r="BJ26" s="466" t="n"/>
      <c r="BK26" s="466" t="n"/>
      <c r="BL26" s="466" t="n"/>
      <c r="BM26" s="466" t="n"/>
      <c r="BN26" s="466" t="n"/>
      <c r="BO26" s="466" t="n"/>
      <c r="BP26" s="466" t="n"/>
      <c r="BQ26" s="466" t="n"/>
      <c r="BR26" s="466" t="n"/>
      <c r="BS26" s="466" t="n"/>
      <c r="BT26" s="466" t="n"/>
      <c r="BU26" s="466" t="n"/>
      <c r="BV26" s="466" t="n"/>
      <c r="BW26" s="466" t="n"/>
      <c r="BX26" s="466" t="n"/>
      <c r="BY26" s="466" t="n"/>
      <c r="BZ26" s="466" t="n"/>
      <c r="CA26" s="466" t="n"/>
      <c r="CB26" s="466" t="n"/>
      <c r="CC26" s="466" t="n"/>
      <c r="CD26" s="466" t="n"/>
      <c r="CE26" s="466" t="n"/>
      <c r="CF26" s="466" t="n"/>
      <c r="CG26" s="466" t="n"/>
      <c r="CH26" s="466" t="n"/>
      <c r="CI26" s="466" t="n"/>
      <c r="CJ26" s="466" t="n"/>
      <c r="CK26" s="466" t="n"/>
      <c r="CL26" s="466" t="n"/>
      <c r="CM26" s="466" t="n"/>
      <c r="CN26" s="466" t="n"/>
      <c r="CO26" s="466" t="n"/>
      <c r="CP26" s="466" t="n"/>
      <c r="CQ26" s="466" t="n"/>
      <c r="CR26" s="466" t="n"/>
      <c r="CS26" s="466" t="n"/>
      <c r="CT26" s="466" t="n"/>
      <c r="CU26" s="466" t="n"/>
      <c r="CV26" s="466" t="n"/>
      <c r="CW26" s="466" t="n"/>
      <c r="CX26" s="466" t="n"/>
      <c r="CY26" s="466" t="n"/>
      <c r="CZ26" s="466" t="n"/>
      <c r="DA26" s="466" t="n"/>
      <c r="DB26" s="466" t="n"/>
      <c r="DC26" s="466" t="n"/>
      <c r="DD26" s="466" t="n"/>
      <c r="DE26" s="466" t="n"/>
      <c r="DF26" s="466" t="n"/>
      <c r="DG26" s="466" t="n"/>
      <c r="DH26" s="466" t="n"/>
      <c r="DI26" s="466" t="n"/>
      <c r="DJ26" s="466" t="n"/>
      <c r="DK26" s="466" t="n"/>
      <c r="DL26" s="466" t="n"/>
      <c r="DM26" s="466" t="n"/>
      <c r="DN26" s="466" t="n"/>
      <c r="DO26" s="466" t="n"/>
      <c r="DP26" s="466" t="n"/>
      <c r="DQ26" s="466" t="n"/>
      <c r="DR26" s="466" t="n"/>
      <c r="DS26" s="466" t="n"/>
      <c r="DT26" s="466" t="n"/>
      <c r="DU26" s="466" t="n"/>
      <c r="DV26" s="466" t="n"/>
      <c r="DW26" s="466" t="n"/>
      <c r="DX26" s="466" t="n"/>
      <c r="DY26" s="466" t="n"/>
      <c r="DZ26" s="466" t="n"/>
      <c r="EA26" s="466" t="n"/>
      <c r="EB26" s="466" t="n"/>
      <c r="EC26" s="466" t="n"/>
      <c r="ED26" s="466" t="n"/>
      <c r="EE26" s="466" t="n"/>
      <c r="EF26" s="466" t="n"/>
      <c r="EG26" s="466" t="n"/>
      <c r="EH26" s="466" t="n"/>
      <c r="EI26" s="466" t="n"/>
      <c r="EJ26" s="466" t="n"/>
      <c r="EK26" s="466" t="n"/>
      <c r="EL26" s="466" t="n"/>
      <c r="EM26" s="466" t="n"/>
      <c r="EN26" s="466" t="n"/>
      <c r="EO26" s="466" t="n"/>
      <c r="EP26" s="466" t="n"/>
      <c r="EQ26" s="466" t="n"/>
      <c r="ER26" s="466" t="n"/>
      <c r="ES26" s="466" t="n"/>
      <c r="ET26" s="466" t="n"/>
      <c r="EU26" s="466" t="n"/>
      <c r="EV26" s="466" t="n"/>
      <c r="EW26" s="466" t="n"/>
      <c r="EX26" s="466" t="n"/>
      <c r="EY26" s="466" t="n"/>
      <c r="EZ26" s="466" t="n"/>
      <c r="FA26" s="466" t="n"/>
      <c r="FB26" s="466" t="n"/>
      <c r="FC26" s="466" t="n"/>
      <c r="FD26" s="466" t="n"/>
      <c r="FE26" s="466" t="n"/>
      <c r="FF26" s="466" t="n"/>
      <c r="FG26" s="466" t="n"/>
      <c r="FH26" s="466" t="n"/>
      <c r="FI26" s="466" t="n"/>
      <c r="FJ26" s="466" t="n"/>
      <c r="FK26" s="466" t="n"/>
      <c r="FL26" s="466" t="n"/>
      <c r="FM26" s="466" t="n"/>
      <c r="FN26" s="466" t="n"/>
      <c r="FO26" s="466" t="n"/>
      <c r="FP26" s="466" t="n"/>
      <c r="FQ26" s="466" t="n"/>
      <c r="FR26" s="466" t="n"/>
      <c r="FS26" s="466" t="n"/>
      <c r="FT26" s="466" t="n"/>
      <c r="FU26" s="466" t="n"/>
      <c r="FV26" s="466" t="n"/>
      <c r="FW26" s="466" t="n"/>
      <c r="FX26" s="466" t="n"/>
      <c r="FY26" s="466" t="n"/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 t="n">
        <v>0</v>
      </c>
      <c r="C28" s="458" t="n">
        <v>0</v>
      </c>
      <c r="D28" s="458" t="n">
        <v>0</v>
      </c>
      <c r="E28" s="458" t="n">
        <v>1.4771</v>
      </c>
      <c r="F28" s="458" t="n">
        <v>0</v>
      </c>
      <c r="G28" s="458" t="n">
        <v>0</v>
      </c>
      <c r="H28" s="458" t="n">
        <v>1.5694</v>
      </c>
      <c r="I28" s="458" t="n">
        <v>0</v>
      </c>
      <c r="J28" s="458" t="n">
        <v>0</v>
      </c>
      <c r="K28" s="458" t="n">
        <v>1.7368</v>
      </c>
      <c r="L28" s="458" t="n">
        <v>0</v>
      </c>
      <c r="M28" s="458" t="n">
        <v>1.5002</v>
      </c>
      <c r="N28" s="459" t="n">
        <v>0</v>
      </c>
      <c r="O28" s="459" t="n">
        <v>0</v>
      </c>
      <c r="P28" s="459" t="n">
        <v>0</v>
      </c>
      <c r="Q28" s="459" t="n">
        <v>1.4656</v>
      </c>
      <c r="R28" s="459" t="n">
        <v>0</v>
      </c>
      <c r="S28" s="459" t="n">
        <v>0</v>
      </c>
      <c r="T28" s="459" t="n">
        <v>0</v>
      </c>
      <c r="U28" s="459" t="n">
        <v>0</v>
      </c>
      <c r="V28" s="459" t="n">
        <v>0</v>
      </c>
      <c r="W28" s="459" t="n">
        <v>0</v>
      </c>
      <c r="X28" s="459" t="n">
        <v>0</v>
      </c>
      <c r="Y28" s="459" t="n">
        <v>1.3848</v>
      </c>
      <c r="Z28" s="458" t="n">
        <v>0</v>
      </c>
      <c r="AA28" s="458" t="n">
        <v>0</v>
      </c>
      <c r="AB28" s="458" t="n">
        <v>0</v>
      </c>
      <c r="AC28" s="458" t="n">
        <v>0</v>
      </c>
      <c r="AD28" s="458" t="n">
        <v>0</v>
      </c>
      <c r="AE28" s="458" t="n">
        <v>1.3848</v>
      </c>
      <c r="AF28" s="458" t="n">
        <v>0</v>
      </c>
      <c r="AG28" s="458" t="n">
        <v>0</v>
      </c>
      <c r="AH28" s="458" t="n">
        <v>0</v>
      </c>
      <c r="AI28" s="458" t="n">
        <v>0</v>
      </c>
      <c r="AJ28" s="458" t="n">
        <v>0</v>
      </c>
      <c r="AK28" s="458" t="n">
        <v>1.3848</v>
      </c>
      <c r="AL28" s="459" t="n">
        <v>0</v>
      </c>
      <c r="AM28" s="459" t="n">
        <v>0</v>
      </c>
      <c r="AN28" s="459" t="n">
        <v>0</v>
      </c>
      <c r="AO28" s="459" t="n">
        <v>0</v>
      </c>
      <c r="AP28" s="459" t="n">
        <v>0</v>
      </c>
      <c r="AQ28" s="459" t="n">
        <v>0</v>
      </c>
      <c r="AR28" s="459" t="n">
        <v>0</v>
      </c>
      <c r="AS28" s="459" t="n">
        <v>0</v>
      </c>
      <c r="AT28" s="459" t="n">
        <v>0</v>
      </c>
      <c r="AU28" s="459" t="n">
        <v>0</v>
      </c>
      <c r="AV28" s="459" t="n">
        <v>0</v>
      </c>
      <c r="AW28" s="459" t="n">
        <v>0</v>
      </c>
      <c r="AX28" s="458" t="n">
        <v>0</v>
      </c>
      <c r="AY28" s="458" t="n">
        <v>0</v>
      </c>
      <c r="AZ28" s="458" t="n">
        <v>0</v>
      </c>
      <c r="BA28" s="458" t="n">
        <v>0</v>
      </c>
      <c r="BB28" s="458" t="n">
        <v>0</v>
      </c>
      <c r="BC28" s="458" t="n">
        <v>0</v>
      </c>
      <c r="BD28" s="458" t="n">
        <v>0</v>
      </c>
      <c r="BE28" s="458" t="n">
        <v>0</v>
      </c>
      <c r="BF28" s="458" t="n">
        <v>0</v>
      </c>
      <c r="BG28" s="458" t="n">
        <v>0</v>
      </c>
      <c r="BH28" s="458" t="n">
        <v>0</v>
      </c>
      <c r="BI28" s="458" t="n">
        <v>0</v>
      </c>
      <c r="BJ28" s="459" t="n">
        <v>0</v>
      </c>
      <c r="BK28" s="459" t="n">
        <v>0</v>
      </c>
      <c r="BL28" s="459" t="n">
        <v>0</v>
      </c>
      <c r="BM28" s="459" t="n">
        <v>0</v>
      </c>
      <c r="BN28" s="459" t="n">
        <v>0</v>
      </c>
      <c r="BO28" s="459" t="n">
        <v>0</v>
      </c>
      <c r="BP28" s="459" t="n">
        <v>0</v>
      </c>
      <c r="BQ28" s="459" t="n">
        <v>0</v>
      </c>
      <c r="BR28" s="459" t="n">
        <v>0</v>
      </c>
      <c r="BS28" s="459" t="n">
        <v>0</v>
      </c>
      <c r="BT28" s="459" t="n">
        <v>0</v>
      </c>
      <c r="BU28" s="459" t="n">
        <v>0</v>
      </c>
      <c r="BV28" s="458" t="n">
        <v>0</v>
      </c>
      <c r="BW28" s="458" t="n">
        <v>0</v>
      </c>
      <c r="BX28" s="458" t="n">
        <v>0</v>
      </c>
      <c r="BY28" s="458" t="n">
        <v>0</v>
      </c>
      <c r="BZ28" s="458" t="n">
        <v>0</v>
      </c>
      <c r="CA28" s="458" t="n">
        <v>0</v>
      </c>
      <c r="CB28" s="458" t="n">
        <v>0</v>
      </c>
      <c r="CC28" s="458" t="n">
        <v>0</v>
      </c>
      <c r="CD28" s="458" t="n">
        <v>0</v>
      </c>
      <c r="CE28" s="458" t="n">
        <v>0</v>
      </c>
      <c r="CF28" s="458" t="n">
        <v>0</v>
      </c>
      <c r="CG28" s="458" t="n">
        <v>0</v>
      </c>
      <c r="CH28" s="459" t="n">
        <v>0</v>
      </c>
      <c r="CI28" s="459" t="n">
        <v>0</v>
      </c>
      <c r="CJ28" s="459" t="n">
        <v>0</v>
      </c>
      <c r="CK28" s="459" t="n">
        <v>0</v>
      </c>
      <c r="CL28" s="459" t="n">
        <v>0</v>
      </c>
      <c r="CM28" s="459" t="n">
        <v>0</v>
      </c>
      <c r="CN28" s="459" t="n">
        <v>0</v>
      </c>
      <c r="CO28" s="459" t="n">
        <v>0</v>
      </c>
      <c r="CP28" s="459" t="n">
        <v>0</v>
      </c>
      <c r="CQ28" s="459" t="n">
        <v>0</v>
      </c>
      <c r="CR28" s="459" t="n">
        <v>0</v>
      </c>
      <c r="CS28" s="459" t="n">
        <v>0</v>
      </c>
      <c r="CT28" s="458" t="n">
        <v>0</v>
      </c>
      <c r="CU28" s="458" t="n">
        <v>0</v>
      </c>
      <c r="CV28" s="458" t="n">
        <v>0</v>
      </c>
      <c r="CW28" s="458" t="n">
        <v>0</v>
      </c>
      <c r="CX28" s="458" t="n">
        <v>0</v>
      </c>
      <c r="CY28" s="458" t="n">
        <v>0</v>
      </c>
      <c r="CZ28" s="458" t="n">
        <v>0</v>
      </c>
      <c r="DA28" s="458" t="n">
        <v>0</v>
      </c>
      <c r="DB28" s="458" t="n">
        <v>0</v>
      </c>
      <c r="DC28" s="458" t="n">
        <v>0</v>
      </c>
      <c r="DD28" s="458" t="n">
        <v>0</v>
      </c>
      <c r="DE28" s="458" t="n">
        <v>0</v>
      </c>
      <c r="DF28" s="459" t="n">
        <v>0</v>
      </c>
      <c r="DG28" s="459" t="n">
        <v>0</v>
      </c>
      <c r="DH28" s="459" t="n">
        <v>0</v>
      </c>
      <c r="DI28" s="459" t="n">
        <v>0</v>
      </c>
      <c r="DJ28" s="459" t="n">
        <v>0</v>
      </c>
      <c r="DK28" s="459" t="n">
        <v>0</v>
      </c>
      <c r="DL28" s="459" t="n">
        <v>0</v>
      </c>
      <c r="DM28" s="459" t="n">
        <v>0</v>
      </c>
      <c r="DN28" s="459" t="n">
        <v>0</v>
      </c>
      <c r="DO28" s="459" t="n">
        <v>0</v>
      </c>
      <c r="DP28" s="459" t="n">
        <v>0</v>
      </c>
      <c r="DQ28" s="459" t="n">
        <v>0</v>
      </c>
      <c r="DR28" s="458" t="n">
        <v>0</v>
      </c>
      <c r="DS28" s="458" t="n">
        <v>0</v>
      </c>
      <c r="DT28" s="458" t="n">
        <v>0</v>
      </c>
      <c r="DU28" s="458" t="n">
        <v>0</v>
      </c>
      <c r="DV28" s="458" t="n">
        <v>0</v>
      </c>
      <c r="DW28" s="458" t="n">
        <v>0</v>
      </c>
      <c r="DX28" s="458" t="n">
        <v>0</v>
      </c>
      <c r="DY28" s="458" t="n">
        <v>0</v>
      </c>
      <c r="DZ28" s="458" t="n">
        <v>0</v>
      </c>
      <c r="EA28" s="458" t="n">
        <v>0</v>
      </c>
      <c r="EB28" s="458" t="n">
        <v>0</v>
      </c>
      <c r="EC28" s="458" t="n">
        <v>0</v>
      </c>
      <c r="ED28" s="459" t="n">
        <v>0</v>
      </c>
      <c r="EE28" s="459" t="n">
        <v>0</v>
      </c>
      <c r="EF28" s="459" t="n">
        <v>0</v>
      </c>
      <c r="EG28" s="459" t="n">
        <v>0</v>
      </c>
      <c r="EH28" s="459" t="n">
        <v>0</v>
      </c>
      <c r="EI28" s="459" t="n">
        <v>0</v>
      </c>
      <c r="EJ28" s="459" t="n">
        <v>0</v>
      </c>
      <c r="EK28" s="459" t="n">
        <v>0</v>
      </c>
      <c r="EL28" s="459" t="n">
        <v>0</v>
      </c>
      <c r="EM28" s="459" t="n">
        <v>0</v>
      </c>
      <c r="EN28" s="459" t="n">
        <v>0</v>
      </c>
      <c r="EO28" s="459" t="n">
        <v>0</v>
      </c>
      <c r="EP28" s="458" t="n">
        <v>0</v>
      </c>
      <c r="EQ28" s="458" t="n">
        <v>0</v>
      </c>
      <c r="ER28" s="458" t="n">
        <v>0</v>
      </c>
      <c r="ES28" s="458" t="n">
        <v>0</v>
      </c>
      <c r="ET28" s="458" t="n">
        <v>0</v>
      </c>
      <c r="EU28" s="458" t="n">
        <v>0</v>
      </c>
      <c r="EV28" s="458" t="n">
        <v>0</v>
      </c>
      <c r="EW28" s="458" t="n">
        <v>0</v>
      </c>
      <c r="EX28" s="458" t="n">
        <v>0</v>
      </c>
      <c r="EY28" s="458" t="n">
        <v>0</v>
      </c>
      <c r="EZ28" s="458" t="n">
        <v>0</v>
      </c>
      <c r="FA28" s="458" t="n">
        <v>0</v>
      </c>
      <c r="FB28" s="459" t="n">
        <v>0</v>
      </c>
      <c r="FC28" s="459" t="n">
        <v>0</v>
      </c>
      <c r="FD28" s="459" t="n">
        <v>0</v>
      </c>
      <c r="FE28" s="459" t="n">
        <v>0</v>
      </c>
      <c r="FF28" s="459" t="n">
        <v>0</v>
      </c>
      <c r="FG28" s="459" t="n">
        <v>0</v>
      </c>
      <c r="FH28" s="459" t="n">
        <v>0</v>
      </c>
      <c r="FI28" s="459" t="n">
        <v>0</v>
      </c>
      <c r="FJ28" s="459" t="n">
        <v>0</v>
      </c>
      <c r="FK28" s="459" t="n">
        <v>0</v>
      </c>
      <c r="FL28" s="459" t="n">
        <v>0</v>
      </c>
      <c r="FM28" s="459" t="n">
        <v>0</v>
      </c>
      <c r="FN28" s="458" t="n">
        <v>0</v>
      </c>
      <c r="FO28" s="458" t="n">
        <v>0</v>
      </c>
      <c r="FP28" s="458" t="n">
        <v>0</v>
      </c>
      <c r="FQ28" s="458" t="n">
        <v>0</v>
      </c>
      <c r="FR28" s="458" t="n">
        <v>0</v>
      </c>
      <c r="FS28" s="458" t="n">
        <v>0</v>
      </c>
      <c r="FT28" s="458" t="n">
        <v>0</v>
      </c>
      <c r="FU28" s="458" t="n">
        <v>0</v>
      </c>
      <c r="FV28" s="458" t="n">
        <v>0</v>
      </c>
      <c r="FW28" s="458" t="n">
        <v>0</v>
      </c>
      <c r="FX28" s="458" t="n">
        <v>0</v>
      </c>
      <c r="FY28" s="458" t="n">
        <v>0</v>
      </c>
      <c r="FZ28" s="306" t="n"/>
    </row>
    <row r="29" ht="15" customHeight="1" s="307">
      <c r="A29" s="468" t="inlineStr">
        <is>
          <t>Operating Income</t>
        </is>
      </c>
      <c r="B29" s="469" t="n">
        <v>-0.0813</v>
      </c>
      <c r="C29" s="469" t="n">
        <v>-0.0813</v>
      </c>
      <c r="D29" s="469" t="n">
        <v>-0.0813</v>
      </c>
      <c r="E29" s="469" t="n">
        <v>-1.8157</v>
      </c>
      <c r="F29" s="469" t="n">
        <v>-0.1193</v>
      </c>
      <c r="G29" s="469" t="n">
        <v>0.094</v>
      </c>
      <c r="H29" s="469" t="n">
        <v>-1.9585</v>
      </c>
      <c r="I29" s="469" t="n">
        <v>0.5333</v>
      </c>
      <c r="J29" s="469" t="n">
        <v>0.9563</v>
      </c>
      <c r="K29" s="469" t="n">
        <v>-0.4232</v>
      </c>
      <c r="L29" s="469" t="n">
        <v>1.8227</v>
      </c>
      <c r="M29" s="469" t="n">
        <v>0.7905</v>
      </c>
      <c r="N29" s="470" t="n">
        <v>2.6832</v>
      </c>
      <c r="O29" s="470" t="n">
        <v>3.2096</v>
      </c>
      <c r="P29" s="470" t="n">
        <v>3.7212</v>
      </c>
      <c r="Q29" s="470" t="n">
        <v>2.7324</v>
      </c>
      <c r="R29" s="470" t="n">
        <v>4.6743</v>
      </c>
      <c r="S29" s="470" t="n">
        <v>5.1369</v>
      </c>
      <c r="T29" s="470" t="n">
        <v>5.4349</v>
      </c>
      <c r="U29" s="470" t="n">
        <v>5.6715</v>
      </c>
      <c r="V29" s="470" t="n">
        <v>5.9006</v>
      </c>
      <c r="W29" s="470" t="n">
        <v>6.1223</v>
      </c>
      <c r="X29" s="470" t="n">
        <v>6.1314</v>
      </c>
      <c r="Y29" s="470" t="n">
        <v>4.7541</v>
      </c>
      <c r="Z29" s="469" t="n">
        <v>6.3006</v>
      </c>
      <c r="AA29" s="469" t="n">
        <v>6.4566</v>
      </c>
      <c r="AB29" s="469" t="n">
        <v>6.6071</v>
      </c>
      <c r="AC29" s="469" t="n">
        <v>6.7522</v>
      </c>
      <c r="AD29" s="469" t="n">
        <v>6.8432</v>
      </c>
      <c r="AE29" s="469" t="n">
        <v>5.5456</v>
      </c>
      <c r="AF29" s="469" t="n">
        <v>7.0799</v>
      </c>
      <c r="AG29" s="469" t="n">
        <v>7.2239</v>
      </c>
      <c r="AH29" s="469" t="n">
        <v>7.3626</v>
      </c>
      <c r="AI29" s="469" t="n">
        <v>7.4961</v>
      </c>
      <c r="AJ29" s="469" t="n">
        <v>7.6245</v>
      </c>
      <c r="AK29" s="469" t="n">
        <v>6.3631</v>
      </c>
      <c r="AL29" s="470" t="n">
        <v>7.8864</v>
      </c>
      <c r="AM29" s="470" t="n">
        <v>8.019600000000001</v>
      </c>
      <c r="AN29" s="470" t="n">
        <v>8.147600000000001</v>
      </c>
      <c r="AO29" s="470" t="n">
        <v>8.2706</v>
      </c>
      <c r="AP29" s="470" t="n">
        <v>8.388500000000001</v>
      </c>
      <c r="AQ29" s="470" t="n">
        <v>8.5017</v>
      </c>
      <c r="AR29" s="470" t="n">
        <v>8.4245</v>
      </c>
      <c r="AS29" s="470" t="n">
        <v>8.3477</v>
      </c>
      <c r="AT29" s="470" t="n">
        <v>8.2712</v>
      </c>
      <c r="AU29" s="470" t="n">
        <v>8.1952</v>
      </c>
      <c r="AV29" s="470" t="n">
        <v>8.1195</v>
      </c>
      <c r="AW29" s="470" t="n">
        <v>1.5668</v>
      </c>
      <c r="AX29" s="469" t="n">
        <v>7.9231</v>
      </c>
      <c r="AY29" s="469" t="n">
        <v>7.8037</v>
      </c>
      <c r="AZ29" s="469" t="n">
        <v>7.6859</v>
      </c>
      <c r="BA29" s="469" t="n">
        <v>7.5696</v>
      </c>
      <c r="BB29" s="469" t="n">
        <v>7.455</v>
      </c>
      <c r="BC29" s="469" t="n">
        <v>7.3418</v>
      </c>
      <c r="BD29" s="469" t="n">
        <v>7.2302</v>
      </c>
      <c r="BE29" s="469" t="n">
        <v>7.1201</v>
      </c>
      <c r="BF29" s="469" t="n">
        <v>7.0115</v>
      </c>
      <c r="BG29" s="469" t="n">
        <v>6.9043</v>
      </c>
      <c r="BH29" s="469" t="n">
        <v>6.7986</v>
      </c>
      <c r="BI29" s="469" t="n">
        <v>-2.5255</v>
      </c>
      <c r="BJ29" s="470" t="n">
        <v>6.5914</v>
      </c>
      <c r="BK29" s="470" t="n">
        <v>6.4899</v>
      </c>
      <c r="BL29" s="470" t="n">
        <v>6.3898</v>
      </c>
      <c r="BM29" s="470" t="n">
        <v>6.291</v>
      </c>
      <c r="BN29" s="470" t="n">
        <v>6.1935</v>
      </c>
      <c r="BO29" s="470" t="n">
        <v>6.0974</v>
      </c>
      <c r="BP29" s="470" t="n">
        <v>6.0025</v>
      </c>
      <c r="BQ29" s="470" t="n">
        <v>5.9089</v>
      </c>
      <c r="BR29" s="470" t="n">
        <v>5.8166</v>
      </c>
      <c r="BS29" s="470" t="n">
        <v>5.7255</v>
      </c>
      <c r="BT29" s="470" t="n">
        <v>5.6356</v>
      </c>
      <c r="BU29" s="470" t="n">
        <v>-0.5714</v>
      </c>
      <c r="BV29" s="469" t="n">
        <v>5.4595</v>
      </c>
      <c r="BW29" s="469" t="n">
        <v>5.3732</v>
      </c>
      <c r="BX29" s="469" t="n">
        <v>5.2881</v>
      </c>
      <c r="BY29" s="469" t="n">
        <v>5.2041</v>
      </c>
      <c r="BZ29" s="469" t="n">
        <v>5.1213</v>
      </c>
      <c r="CA29" s="469" t="n">
        <v>5.0395</v>
      </c>
      <c r="CB29" s="469" t="n">
        <v>4.9589</v>
      </c>
      <c r="CC29" s="469" t="n">
        <v>4.8794</v>
      </c>
      <c r="CD29" s="469" t="n">
        <v>4.8009</v>
      </c>
      <c r="CE29" s="469" t="n">
        <v>4.7235</v>
      </c>
      <c r="CF29" s="469" t="n">
        <v>4.6471</v>
      </c>
      <c r="CG29" s="469" t="n">
        <v>1.0895</v>
      </c>
      <c r="CH29" s="470" t="n">
        <v>4.4974</v>
      </c>
      <c r="CI29" s="470" t="n">
        <v>4.424</v>
      </c>
      <c r="CJ29" s="470" t="n">
        <v>4.3517</v>
      </c>
      <c r="CK29" s="470" t="n">
        <v>4.2803</v>
      </c>
      <c r="CL29" s="470" t="n">
        <v>4.2099</v>
      </c>
      <c r="CM29" s="470" t="n">
        <v>4.1404</v>
      </c>
      <c r="CN29" s="470" t="n">
        <v>4.0719</v>
      </c>
      <c r="CO29" s="470" t="n">
        <v>4.0043</v>
      </c>
      <c r="CP29" s="470" t="n">
        <v>3.9375</v>
      </c>
      <c r="CQ29" s="470" t="n">
        <v>3.8717</v>
      </c>
      <c r="CR29" s="470" t="n">
        <v>3.8068</v>
      </c>
      <c r="CS29" s="470" t="n">
        <v>2.5013</v>
      </c>
      <c r="CT29" s="469" t="n">
        <v>3.6796</v>
      </c>
      <c r="CU29" s="469" t="n">
        <v>3.6172</v>
      </c>
      <c r="CV29" s="469" t="n">
        <v>3.5557</v>
      </c>
      <c r="CW29" s="469" t="n">
        <v>3.4951</v>
      </c>
      <c r="CX29" s="469" t="n">
        <v>3.4352</v>
      </c>
      <c r="CY29" s="469" t="n">
        <v>3.3761</v>
      </c>
      <c r="CZ29" s="469" t="n">
        <v>3.3179</v>
      </c>
      <c r="DA29" s="469" t="n">
        <v>3.2604</v>
      </c>
      <c r="DB29" s="469" t="n">
        <v>3.2037</v>
      </c>
      <c r="DC29" s="469" t="n">
        <v>3.1478</v>
      </c>
      <c r="DD29" s="469" t="n">
        <v>3.0926</v>
      </c>
      <c r="DE29" s="469" t="n">
        <v>3.0381</v>
      </c>
      <c r="DF29" s="470" t="n">
        <v>2.9844</v>
      </c>
      <c r="DG29" s="470" t="n">
        <v>2.9314</v>
      </c>
      <c r="DH29" s="470" t="n">
        <v>2.8792</v>
      </c>
      <c r="DI29" s="470" t="n">
        <v>2.8276</v>
      </c>
      <c r="DJ29" s="470" t="n">
        <v>2.7767</v>
      </c>
      <c r="DK29" s="470" t="n">
        <v>2.7265</v>
      </c>
      <c r="DL29" s="470" t="n">
        <v>2.677</v>
      </c>
      <c r="DM29" s="470" t="n">
        <v>2.6281</v>
      </c>
      <c r="DN29" s="470" t="n">
        <v>2.58</v>
      </c>
      <c r="DO29" s="470" t="n">
        <v>2.5324</v>
      </c>
      <c r="DP29" s="470" t="n">
        <v>2.4855</v>
      </c>
      <c r="DQ29" s="470" t="n">
        <v>2.4392</v>
      </c>
      <c r="DR29" s="469" t="n">
        <v>2.3936</v>
      </c>
      <c r="DS29" s="469" t="n">
        <v>2.3485</v>
      </c>
      <c r="DT29" s="469" t="n">
        <v>2.3041</v>
      </c>
      <c r="DU29" s="469" t="n">
        <v>2.2603</v>
      </c>
      <c r="DV29" s="469" t="n">
        <v>2.217</v>
      </c>
      <c r="DW29" s="469" t="n">
        <v>2.1743</v>
      </c>
      <c r="DX29" s="469" t="n">
        <v>2.1322</v>
      </c>
      <c r="DY29" s="469" t="n">
        <v>2.0907</v>
      </c>
      <c r="DZ29" s="469" t="n">
        <v>2.0498</v>
      </c>
      <c r="EA29" s="469" t="n">
        <v>2.0093</v>
      </c>
      <c r="EB29" s="469" t="n">
        <v>1.9695</v>
      </c>
      <c r="EC29" s="469" t="n">
        <v>1.9301</v>
      </c>
      <c r="ED29" s="470" t="n">
        <v>1.8913</v>
      </c>
      <c r="EE29" s="470" t="n">
        <v>1.853</v>
      </c>
      <c r="EF29" s="470" t="n">
        <v>1.8153</v>
      </c>
      <c r="EG29" s="470" t="n">
        <v>1.778</v>
      </c>
      <c r="EH29" s="470" t="n">
        <v>1.7413</v>
      </c>
      <c r="EI29" s="470" t="n">
        <v>1.705</v>
      </c>
      <c r="EJ29" s="470" t="n">
        <v>1.6692</v>
      </c>
      <c r="EK29" s="470" t="n">
        <v>1.6339</v>
      </c>
      <c r="EL29" s="470" t="n">
        <v>1.5991</v>
      </c>
      <c r="EM29" s="470" t="n">
        <v>1.5647</v>
      </c>
      <c r="EN29" s="470" t="n">
        <v>1.5308</v>
      </c>
      <c r="EO29" s="470" t="n">
        <v>1.4974</v>
      </c>
      <c r="EP29" s="469" t="n">
        <v>1.4644</v>
      </c>
      <c r="EQ29" s="469" t="n">
        <v>1.4319</v>
      </c>
      <c r="ER29" s="469" t="n">
        <v>1.3998</v>
      </c>
      <c r="ES29" s="469" t="n">
        <v>1.3681</v>
      </c>
      <c r="ET29" s="469" t="n">
        <v>1.3369</v>
      </c>
      <c r="EU29" s="469" t="n">
        <v>1.306</v>
      </c>
      <c r="EV29" s="469" t="n">
        <v>1.2756</v>
      </c>
      <c r="EW29" s="469" t="n">
        <v>1.2456</v>
      </c>
      <c r="EX29" s="469" t="n">
        <v>1.216</v>
      </c>
      <c r="EY29" s="469" t="n">
        <v>1.1868</v>
      </c>
      <c r="EZ29" s="469" t="n">
        <v>1.158</v>
      </c>
      <c r="FA29" s="469" t="n">
        <v>1.1296</v>
      </c>
      <c r="FB29" s="470" t="n">
        <v>1.1016</v>
      </c>
      <c r="FC29" s="470" t="n">
        <v>1.0739</v>
      </c>
      <c r="FD29" s="470" t="n">
        <v>1.0466</v>
      </c>
      <c r="FE29" s="470" t="n">
        <v>1.0197</v>
      </c>
      <c r="FF29" s="470" t="n">
        <v>0.9931</v>
      </c>
      <c r="FG29" s="470" t="n">
        <v>0.9669</v>
      </c>
      <c r="FH29" s="470" t="n">
        <v>0.9411</v>
      </c>
      <c r="FI29" s="470" t="n">
        <v>0.9156</v>
      </c>
      <c r="FJ29" s="470" t="n">
        <v>0.8904</v>
      </c>
      <c r="FK29" s="470" t="n">
        <v>0.8656</v>
      </c>
      <c r="FL29" s="470" t="n">
        <v>0.8411</v>
      </c>
      <c r="FM29" s="470" t="n">
        <v>0.8169999999999999</v>
      </c>
      <c r="FN29" s="469" t="n">
        <v>0.7931</v>
      </c>
      <c r="FO29" s="469" t="n">
        <v>0.7696</v>
      </c>
      <c r="FP29" s="469" t="n">
        <v>0.7464</v>
      </c>
      <c r="FQ29" s="469" t="n">
        <v>0.7235</v>
      </c>
      <c r="FR29" s="469" t="n">
        <v>0.701</v>
      </c>
      <c r="FS29" s="469" t="n">
        <v>0.6787</v>
      </c>
      <c r="FT29" s="469" t="n">
        <v>0.6567</v>
      </c>
      <c r="FU29" s="469" t="n">
        <v>0.635</v>
      </c>
      <c r="FV29" s="469" t="n">
        <v>0.6137</v>
      </c>
      <c r="FW29" s="469" t="n">
        <v>0.5926</v>
      </c>
      <c r="FX29" s="469" t="n">
        <v>0.5717</v>
      </c>
      <c r="FY29" s="469" t="n">
        <v>0.5512</v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28.11</v>
      </c>
      <c r="J5" s="466" t="n">
        <v>26.99</v>
      </c>
      <c r="K5" s="466" t="n">
        <v>25.92</v>
      </c>
      <c r="L5" s="466" t="n">
        <v>24.89</v>
      </c>
      <c r="M5" s="466" t="n">
        <v>23.89</v>
      </c>
      <c r="N5" s="466" t="n">
        <v>22.94</v>
      </c>
      <c r="O5" s="466" t="n">
        <v>22.03</v>
      </c>
      <c r="P5" s="466" t="n">
        <v>21.15</v>
      </c>
      <c r="Q5" s="466" t="n">
        <v>20.31</v>
      </c>
      <c r="R5" s="466" t="n">
        <v>19.5</v>
      </c>
      <c r="S5" s="466" t="n">
        <v>18.73</v>
      </c>
      <c r="T5" s="466" t="n">
        <v>17.98</v>
      </c>
      <c r="U5" s="466" t="n">
        <v>17.26</v>
      </c>
      <c r="V5" s="466" t="n">
        <v>16.58</v>
      </c>
      <c r="W5" s="466" t="n">
        <v>15.92</v>
      </c>
      <c r="X5" s="466" t="n">
        <v>15.28</v>
      </c>
      <c r="Y5" s="466" t="n">
        <v>14.67</v>
      </c>
      <c r="Z5" s="466" t="n">
        <v>14.09</v>
      </c>
      <c r="AA5" s="466" t="n">
        <v>13.53</v>
      </c>
      <c r="AB5" s="466" t="n">
        <v>12.99</v>
      </c>
      <c r="AC5" s="466" t="n">
        <v>12.47</v>
      </c>
      <c r="AD5" s="466" t="n">
        <v>11.98</v>
      </c>
      <c r="AE5" s="466" t="n">
        <v>11.5</v>
      </c>
      <c r="AF5" s="466" t="n">
        <v>11.04</v>
      </c>
      <c r="AG5" s="466" t="n">
        <v>10.6</v>
      </c>
      <c r="AH5" s="466" t="n">
        <v>10.18</v>
      </c>
      <c r="AI5" s="466" t="n">
        <v>9.77</v>
      </c>
      <c r="AJ5" s="466" t="n">
        <v>9.390000000000001</v>
      </c>
      <c r="AK5" s="466" t="n">
        <v>9.01</v>
      </c>
      <c r="AL5" s="466" t="n">
        <v>8.65</v>
      </c>
      <c r="AM5" s="466" t="n">
        <v>8.31</v>
      </c>
      <c r="AN5" s="466" t="n">
        <v>7.98</v>
      </c>
      <c r="AO5" s="466" t="n">
        <v>7.66</v>
      </c>
      <c r="AP5" s="466" t="n">
        <v>7.36</v>
      </c>
      <c r="AQ5" s="466" t="n">
        <v>7.06</v>
      </c>
      <c r="AR5" s="466" t="n">
        <v>6.78</v>
      </c>
      <c r="AS5" s="466" t="n">
        <v>6.51</v>
      </c>
      <c r="AT5" s="466" t="n">
        <v>6.25</v>
      </c>
      <c r="AU5" s="466" t="n">
        <v>6</v>
      </c>
      <c r="AV5" s="466" t="n">
        <v>5.76</v>
      </c>
      <c r="AW5" s="466" t="n">
        <v>5.53</v>
      </c>
      <c r="AX5" s="466" t="n">
        <v>5.31</v>
      </c>
      <c r="AY5" s="466" t="n">
        <v>5.1</v>
      </c>
      <c r="AZ5" s="466" t="n">
        <v>4.9</v>
      </c>
      <c r="BA5" s="466" t="n">
        <v>4.7</v>
      </c>
      <c r="BB5" s="466" t="n">
        <v>4.52</v>
      </c>
      <c r="BC5" s="466" t="n">
        <v>4.34</v>
      </c>
      <c r="BD5" s="466" t="n">
        <v>4.16</v>
      </c>
      <c r="BE5" s="466" t="n">
        <v>4</v>
      </c>
      <c r="BF5" s="466" t="n">
        <v>3.84</v>
      </c>
      <c r="BG5" s="466" t="n">
        <v>3.69</v>
      </c>
      <c r="BH5" s="466" t="n">
        <v>3.54</v>
      </c>
      <c r="BI5" s="466" t="n">
        <v>3.4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2.81</v>
      </c>
      <c r="J6" s="459" t="n">
        <v>2.7</v>
      </c>
      <c r="K6" s="459" t="n">
        <v>2.59</v>
      </c>
      <c r="L6" s="459" t="n">
        <v>2.49</v>
      </c>
      <c r="M6" s="459" t="n">
        <v>2.39</v>
      </c>
      <c r="N6" s="459" t="n">
        <v>2.29</v>
      </c>
      <c r="O6" s="459" t="n">
        <v>2.2</v>
      </c>
      <c r="P6" s="459" t="n">
        <v>2.12</v>
      </c>
      <c r="Q6" s="459" t="n">
        <v>2.03</v>
      </c>
      <c r="R6" s="459" t="n">
        <v>1.95</v>
      </c>
      <c r="S6" s="459" t="n">
        <v>1.87</v>
      </c>
      <c r="T6" s="459" t="n">
        <v>1.8</v>
      </c>
      <c r="U6" s="459" t="n">
        <v>1.73</v>
      </c>
      <c r="V6" s="459" t="n">
        <v>1.66</v>
      </c>
      <c r="W6" s="459" t="n">
        <v>1.59</v>
      </c>
      <c r="X6" s="459" t="n">
        <v>1.53</v>
      </c>
      <c r="Y6" s="459" t="n">
        <v>1.47</v>
      </c>
      <c r="Z6" s="459" t="n">
        <v>1.41</v>
      </c>
      <c r="AA6" s="459" t="n">
        <v>1.35</v>
      </c>
      <c r="AB6" s="459" t="n">
        <v>1.3</v>
      </c>
      <c r="AC6" s="459" t="n">
        <v>1.25</v>
      </c>
      <c r="AD6" s="459" t="n">
        <v>1.2</v>
      </c>
      <c r="AE6" s="459" t="n">
        <v>1.15</v>
      </c>
      <c r="AF6" s="459" t="n">
        <v>1.1</v>
      </c>
      <c r="AG6" s="459" t="n">
        <v>1.06</v>
      </c>
      <c r="AH6" s="459" t="n">
        <v>1.02</v>
      </c>
      <c r="AI6" s="459" t="n">
        <v>0.98</v>
      </c>
      <c r="AJ6" s="459" t="n">
        <v>0.9399999999999999</v>
      </c>
      <c r="AK6" s="459" t="n">
        <v>0.9</v>
      </c>
      <c r="AL6" s="459" t="n">
        <v>0.87</v>
      </c>
      <c r="AM6" s="459" t="n">
        <v>0.83</v>
      </c>
      <c r="AN6" s="459" t="n">
        <v>0.8</v>
      </c>
      <c r="AO6" s="459" t="n">
        <v>0.77</v>
      </c>
      <c r="AP6" s="459" t="n">
        <v>0.74</v>
      </c>
      <c r="AQ6" s="459" t="n">
        <v>0.71</v>
      </c>
      <c r="AR6" s="459" t="n">
        <v>0.68</v>
      </c>
      <c r="AS6" s="459" t="n">
        <v>0.65</v>
      </c>
      <c r="AT6" s="459" t="n">
        <v>0.63</v>
      </c>
      <c r="AU6" s="459" t="n">
        <v>0.6</v>
      </c>
      <c r="AV6" s="459" t="n">
        <v>0.58</v>
      </c>
      <c r="AW6" s="459" t="n">
        <v>0.55</v>
      </c>
      <c r="AX6" s="459" t="n">
        <v>0.53</v>
      </c>
      <c r="AY6" s="459" t="n">
        <v>0.51</v>
      </c>
      <c r="AZ6" s="459" t="n">
        <v>0.49</v>
      </c>
      <c r="BA6" s="459" t="n">
        <v>0.47</v>
      </c>
      <c r="BB6" s="459" t="n">
        <v>0.45</v>
      </c>
      <c r="BC6" s="459" t="n">
        <v>0.43</v>
      </c>
      <c r="BD6" s="459" t="n">
        <v>0.42</v>
      </c>
      <c r="BE6" s="459" t="n">
        <v>0.4</v>
      </c>
      <c r="BF6" s="459" t="n">
        <v>0.38</v>
      </c>
      <c r="BG6" s="459" t="n">
        <v>0.37</v>
      </c>
      <c r="BH6" s="459" t="n">
        <v>0.35</v>
      </c>
      <c r="BI6" s="459" t="n">
        <v>0.34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25.3</v>
      </c>
      <c r="J7" s="470" t="n">
        <v>24.29</v>
      </c>
      <c r="K7" s="470" t="n">
        <v>23.33</v>
      </c>
      <c r="L7" s="470" t="n">
        <v>22.4</v>
      </c>
      <c r="M7" s="470" t="n">
        <v>21.5</v>
      </c>
      <c r="N7" s="470" t="n">
        <v>20.65</v>
      </c>
      <c r="O7" s="470" t="n">
        <v>19.83</v>
      </c>
      <c r="P7" s="470" t="n">
        <v>19.04</v>
      </c>
      <c r="Q7" s="470" t="n">
        <v>18.28</v>
      </c>
      <c r="R7" s="470" t="n">
        <v>17.55</v>
      </c>
      <c r="S7" s="470" t="n">
        <v>16.85</v>
      </c>
      <c r="T7" s="470" t="n">
        <v>16.18</v>
      </c>
      <c r="U7" s="470" t="n">
        <v>15.54</v>
      </c>
      <c r="V7" s="470" t="n">
        <v>14.92</v>
      </c>
      <c r="W7" s="470" t="n">
        <v>14.32</v>
      </c>
      <c r="X7" s="470" t="n">
        <v>13.75</v>
      </c>
      <c r="Y7" s="470" t="n">
        <v>13.21</v>
      </c>
      <c r="Z7" s="470" t="n">
        <v>12.68</v>
      </c>
      <c r="AA7" s="470" t="n">
        <v>12.18</v>
      </c>
      <c r="AB7" s="470" t="n">
        <v>11.69</v>
      </c>
      <c r="AC7" s="470" t="n">
        <v>11.23</v>
      </c>
      <c r="AD7" s="470" t="n">
        <v>10.78</v>
      </c>
      <c r="AE7" s="470" t="n">
        <v>10.35</v>
      </c>
      <c r="AF7" s="470" t="n">
        <v>9.94</v>
      </c>
      <c r="AG7" s="470" t="n">
        <v>9.539999999999999</v>
      </c>
      <c r="AH7" s="470" t="n">
        <v>9.16</v>
      </c>
      <c r="AI7" s="470" t="n">
        <v>8.800000000000001</v>
      </c>
      <c r="AJ7" s="470" t="n">
        <v>8.449999999999999</v>
      </c>
      <c r="AK7" s="470" t="n">
        <v>8.109999999999999</v>
      </c>
      <c r="AL7" s="470" t="n">
        <v>7.79</v>
      </c>
      <c r="AM7" s="470" t="n">
        <v>7.48</v>
      </c>
      <c r="AN7" s="470" t="n">
        <v>7.18</v>
      </c>
      <c r="AO7" s="470" t="n">
        <v>6.89</v>
      </c>
      <c r="AP7" s="470" t="n">
        <v>6.62</v>
      </c>
      <c r="AQ7" s="470" t="n">
        <v>6.36</v>
      </c>
      <c r="AR7" s="470" t="n">
        <v>6.1</v>
      </c>
      <c r="AS7" s="470" t="n">
        <v>5.86</v>
      </c>
      <c r="AT7" s="470" t="n">
        <v>5.63</v>
      </c>
      <c r="AU7" s="470" t="n">
        <v>5.4</v>
      </c>
      <c r="AV7" s="470" t="n">
        <v>5.19</v>
      </c>
      <c r="AW7" s="470" t="n">
        <v>4.98</v>
      </c>
      <c r="AX7" s="470" t="n">
        <v>4.78</v>
      </c>
      <c r="AY7" s="470" t="n">
        <v>4.59</v>
      </c>
      <c r="AZ7" s="470" t="n">
        <v>4.41</v>
      </c>
      <c r="BA7" s="470" t="n">
        <v>4.23</v>
      </c>
      <c r="BB7" s="470" t="n">
        <v>4.07</v>
      </c>
      <c r="BC7" s="470" t="n">
        <v>3.9</v>
      </c>
      <c r="BD7" s="470" t="n">
        <v>3.75</v>
      </c>
      <c r="BE7" s="470" t="n">
        <v>3.6</v>
      </c>
      <c r="BF7" s="470" t="n">
        <v>3.46</v>
      </c>
      <c r="BG7" s="470" t="n">
        <v>3.32</v>
      </c>
      <c r="BH7" s="470" t="n">
        <v>3.19</v>
      </c>
      <c r="BI7" s="470" t="n">
        <v>3.06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1.41</v>
      </c>
      <c r="J9" s="459" t="n">
        <v>1.35</v>
      </c>
      <c r="K9" s="459" t="n">
        <v>1.3</v>
      </c>
      <c r="L9" s="459" t="n">
        <v>1.24</v>
      </c>
      <c r="M9" s="459" t="n">
        <v>1.19</v>
      </c>
      <c r="N9" s="459" t="n">
        <v>1.15</v>
      </c>
      <c r="O9" s="459" t="n">
        <v>1.1</v>
      </c>
      <c r="P9" s="459" t="n">
        <v>1.06</v>
      </c>
      <c r="Q9" s="459" t="n">
        <v>1.02</v>
      </c>
      <c r="R9" s="459" t="n">
        <v>0.98</v>
      </c>
      <c r="S9" s="459" t="n">
        <v>0.9399999999999999</v>
      </c>
      <c r="T9" s="459" t="n">
        <v>0.9</v>
      </c>
      <c r="U9" s="459" t="n">
        <v>0.86</v>
      </c>
      <c r="V9" s="459" t="n">
        <v>0.83</v>
      </c>
      <c r="W9" s="459" t="n">
        <v>0.8</v>
      </c>
      <c r="X9" s="459" t="n">
        <v>0.76</v>
      </c>
      <c r="Y9" s="459" t="n">
        <v>0.73</v>
      </c>
      <c r="Z9" s="459" t="n">
        <v>0.7</v>
      </c>
      <c r="AA9" s="459" t="n">
        <v>0.68</v>
      </c>
      <c r="AB9" s="459" t="n">
        <v>0.65</v>
      </c>
      <c r="AC9" s="459" t="n">
        <v>0.62</v>
      </c>
      <c r="AD9" s="459" t="n">
        <v>0.6</v>
      </c>
      <c r="AE9" s="459" t="n">
        <v>0.57</v>
      </c>
      <c r="AF9" s="459" t="n">
        <v>0.55</v>
      </c>
      <c r="AG9" s="459" t="n">
        <v>0.53</v>
      </c>
      <c r="AH9" s="459" t="n">
        <v>0.51</v>
      </c>
      <c r="AI9" s="459" t="n">
        <v>0.49</v>
      </c>
      <c r="AJ9" s="459" t="n">
        <v>0.47</v>
      </c>
      <c r="AK9" s="459" t="n">
        <v>0.45</v>
      </c>
      <c r="AL9" s="459" t="n">
        <v>0.43</v>
      </c>
      <c r="AM9" s="459" t="n">
        <v>0.42</v>
      </c>
      <c r="AN9" s="459" t="n">
        <v>0.4</v>
      </c>
      <c r="AO9" s="459" t="n">
        <v>0.38</v>
      </c>
      <c r="AP9" s="459" t="n">
        <v>0.37</v>
      </c>
      <c r="AQ9" s="459" t="n">
        <v>0.35</v>
      </c>
      <c r="AR9" s="459" t="n">
        <v>0.34</v>
      </c>
      <c r="AS9" s="459" t="n">
        <v>0.33</v>
      </c>
      <c r="AT9" s="459" t="n">
        <v>0.31</v>
      </c>
      <c r="AU9" s="459" t="n">
        <v>0.3</v>
      </c>
      <c r="AV9" s="459" t="n">
        <v>0.29</v>
      </c>
      <c r="AW9" s="459" t="n">
        <v>0.28</v>
      </c>
      <c r="AX9" s="459" t="n">
        <v>0.27</v>
      </c>
      <c r="AY9" s="459" t="n">
        <v>0.26</v>
      </c>
      <c r="AZ9" s="459" t="n">
        <v>0.24</v>
      </c>
      <c r="BA9" s="459" t="n">
        <v>0.24</v>
      </c>
      <c r="BB9" s="459" t="n">
        <v>0.23</v>
      </c>
      <c r="BC9" s="459" t="n">
        <v>0.22</v>
      </c>
      <c r="BD9" s="459" t="n">
        <v>0.21</v>
      </c>
      <c r="BE9" s="459" t="n">
        <v>0.2</v>
      </c>
      <c r="BF9" s="459" t="n">
        <v>0.19</v>
      </c>
      <c r="BG9" s="459" t="n">
        <v>0.18</v>
      </c>
      <c r="BH9" s="459" t="n">
        <v>0.18</v>
      </c>
      <c r="BI9" s="459" t="n">
        <v>0.17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1.69</v>
      </c>
      <c r="J10" s="459" t="n">
        <v>1.62</v>
      </c>
      <c r="K10" s="459" t="n">
        <v>1.56</v>
      </c>
      <c r="L10" s="459" t="n">
        <v>1.49</v>
      </c>
      <c r="M10" s="459" t="n">
        <v>1.43</v>
      </c>
      <c r="N10" s="459" t="n">
        <v>1.38</v>
      </c>
      <c r="O10" s="459" t="n">
        <v>1.32</v>
      </c>
      <c r="P10" s="459" t="n">
        <v>1.27</v>
      </c>
      <c r="Q10" s="459" t="n">
        <v>1.22</v>
      </c>
      <c r="R10" s="459" t="n">
        <v>1.17</v>
      </c>
      <c r="S10" s="459" t="n">
        <v>1.12</v>
      </c>
      <c r="T10" s="459" t="n">
        <v>1.08</v>
      </c>
      <c r="U10" s="459" t="n">
        <v>1.04</v>
      </c>
      <c r="V10" s="459" t="n">
        <v>0.99</v>
      </c>
      <c r="W10" s="459" t="n">
        <v>0.95</v>
      </c>
      <c r="X10" s="459" t="n">
        <v>0.92</v>
      </c>
      <c r="Y10" s="459" t="n">
        <v>0.88</v>
      </c>
      <c r="Z10" s="459" t="n">
        <v>0.85</v>
      </c>
      <c r="AA10" s="459" t="n">
        <v>0.8100000000000001</v>
      </c>
      <c r="AB10" s="459" t="n">
        <v>0.78</v>
      </c>
      <c r="AC10" s="459" t="n">
        <v>0.75</v>
      </c>
      <c r="AD10" s="459" t="n">
        <v>0.72</v>
      </c>
      <c r="AE10" s="459" t="n">
        <v>0.6899999999999999</v>
      </c>
      <c r="AF10" s="459" t="n">
        <v>0.66</v>
      </c>
      <c r="AG10" s="459" t="n">
        <v>0.64</v>
      </c>
      <c r="AH10" s="459" t="n">
        <v>0.61</v>
      </c>
      <c r="AI10" s="459" t="n">
        <v>0.59</v>
      </c>
      <c r="AJ10" s="459" t="n">
        <v>0.5600000000000001</v>
      </c>
      <c r="AK10" s="459" t="n">
        <v>0.54</v>
      </c>
      <c r="AL10" s="459" t="n">
        <v>0.52</v>
      </c>
      <c r="AM10" s="459" t="n">
        <v>0.5</v>
      </c>
      <c r="AN10" s="459" t="n">
        <v>0.48</v>
      </c>
      <c r="AO10" s="459" t="n">
        <v>0.46</v>
      </c>
      <c r="AP10" s="459" t="n">
        <v>0.44</v>
      </c>
      <c r="AQ10" s="459" t="n">
        <v>0.42</v>
      </c>
      <c r="AR10" s="459" t="n">
        <v>0.41</v>
      </c>
      <c r="AS10" s="459" t="n">
        <v>0.39</v>
      </c>
      <c r="AT10" s="459" t="n">
        <v>0.38</v>
      </c>
      <c r="AU10" s="459" t="n">
        <v>0.36</v>
      </c>
      <c r="AV10" s="459" t="n">
        <v>0.35</v>
      </c>
      <c r="AW10" s="459" t="n">
        <v>0.33</v>
      </c>
      <c r="AX10" s="459" t="n">
        <v>0.32</v>
      </c>
      <c r="AY10" s="459" t="n">
        <v>0.31</v>
      </c>
      <c r="AZ10" s="459" t="n">
        <v>0.29</v>
      </c>
      <c r="BA10" s="459" t="n">
        <v>0.28</v>
      </c>
      <c r="BB10" s="459" t="n">
        <v>0.27</v>
      </c>
      <c r="BC10" s="459" t="n">
        <v>0.26</v>
      </c>
      <c r="BD10" s="459" t="n">
        <v>0.25</v>
      </c>
      <c r="BE10" s="459" t="n">
        <v>0.24</v>
      </c>
      <c r="BF10" s="459" t="n">
        <v>0.23</v>
      </c>
      <c r="BG10" s="459" t="n">
        <v>0.22</v>
      </c>
      <c r="BH10" s="459" t="n">
        <v>0.21</v>
      </c>
      <c r="BI10" s="459" t="n">
        <v>0.2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0.95</v>
      </c>
      <c r="J12" s="459" t="n">
        <v>0.31</v>
      </c>
      <c r="K12" s="459" t="n">
        <v>0</v>
      </c>
      <c r="L12" s="459" t="n">
        <v>0</v>
      </c>
      <c r="M12" s="459" t="n">
        <v>0</v>
      </c>
      <c r="N12" s="459" t="n">
        <v>0</v>
      </c>
      <c r="O12" s="459" t="n">
        <v>0</v>
      </c>
      <c r="P12" s="459" t="n">
        <v>0</v>
      </c>
      <c r="Q12" s="459" t="n">
        <v>0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5.02</v>
      </c>
      <c r="N13" s="459" t="n">
        <v>0</v>
      </c>
      <c r="O13" s="459" t="n">
        <v>0</v>
      </c>
      <c r="P13" s="459" t="n">
        <v>0</v>
      </c>
      <c r="Q13" s="459" t="n">
        <v>2.81</v>
      </c>
      <c r="R13" s="459" t="n">
        <v>0</v>
      </c>
      <c r="S13" s="459" t="n">
        <v>0</v>
      </c>
      <c r="T13" s="459" t="n">
        <v>0</v>
      </c>
      <c r="U13" s="459" t="n">
        <v>0.67</v>
      </c>
      <c r="V13" s="459" t="n">
        <v>0</v>
      </c>
      <c r="W13" s="459" t="n">
        <v>0</v>
      </c>
      <c r="X13" s="459" t="n">
        <v>0</v>
      </c>
      <c r="Y13" s="459" t="n">
        <v>0</v>
      </c>
      <c r="Z13" s="459" t="n">
        <v>0</v>
      </c>
      <c r="AA13" s="459" t="n">
        <v>0</v>
      </c>
      <c r="AB13" s="459" t="n">
        <v>0</v>
      </c>
      <c r="AC13" s="459" t="n">
        <v>0</v>
      </c>
      <c r="AD13" s="459" t="n">
        <v>0</v>
      </c>
      <c r="AE13" s="459" t="n">
        <v>0</v>
      </c>
      <c r="AF13" s="459" t="n">
        <v>0</v>
      </c>
      <c r="AG13" s="459" t="n">
        <v>0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6.91</v>
      </c>
      <c r="J14" s="462" t="n">
        <v>6.14</v>
      </c>
      <c r="K14" s="462" t="n">
        <v>5.71</v>
      </c>
      <c r="L14" s="462" t="n">
        <v>5.6</v>
      </c>
      <c r="M14" s="462" t="n">
        <v>10.51</v>
      </c>
      <c r="N14" s="462" t="n">
        <v>5.39</v>
      </c>
      <c r="O14" s="462" t="n">
        <v>5.29</v>
      </c>
      <c r="P14" s="462" t="n">
        <v>5.19</v>
      </c>
      <c r="Q14" s="462" t="n">
        <v>7.9</v>
      </c>
      <c r="R14" s="462" t="n">
        <v>5.01</v>
      </c>
      <c r="S14" s="462" t="n">
        <v>4.92</v>
      </c>
      <c r="T14" s="462" t="n">
        <v>4.84</v>
      </c>
      <c r="U14" s="462" t="n">
        <v>5.43</v>
      </c>
      <c r="V14" s="462" t="n">
        <v>4.69</v>
      </c>
      <c r="W14" s="462" t="n">
        <v>4.61</v>
      </c>
      <c r="X14" s="462" t="n">
        <v>4.55</v>
      </c>
      <c r="Y14" s="462" t="n">
        <v>4.48</v>
      </c>
      <c r="Z14" s="462" t="n">
        <v>4.41</v>
      </c>
      <c r="AA14" s="462" t="n">
        <v>4.35</v>
      </c>
      <c r="AB14" s="462" t="n">
        <v>4.29</v>
      </c>
      <c r="AC14" s="462" t="n">
        <v>4.24</v>
      </c>
      <c r="AD14" s="462" t="n">
        <v>4.18</v>
      </c>
      <c r="AE14" s="462" t="n">
        <v>4.13</v>
      </c>
      <c r="AF14" s="462" t="n">
        <v>4.08</v>
      </c>
      <c r="AG14" s="462" t="n">
        <v>4.03</v>
      </c>
      <c r="AH14" s="462" t="n">
        <v>3.98</v>
      </c>
      <c r="AI14" s="462" t="n">
        <v>3.94</v>
      </c>
      <c r="AJ14" s="462" t="n">
        <v>3.9</v>
      </c>
      <c r="AK14" s="462" t="n">
        <v>3.86</v>
      </c>
      <c r="AL14" s="462" t="n">
        <v>3.82</v>
      </c>
      <c r="AM14" s="462" t="n">
        <v>3.78</v>
      </c>
      <c r="AN14" s="462" t="n">
        <v>3.74</v>
      </c>
      <c r="AO14" s="462" t="n">
        <v>3.71</v>
      </c>
      <c r="AP14" s="462" t="n">
        <v>3.67</v>
      </c>
      <c r="AQ14" s="462" t="n">
        <v>3.64</v>
      </c>
      <c r="AR14" s="462" t="n">
        <v>3.61</v>
      </c>
      <c r="AS14" s="462" t="n">
        <v>3.58</v>
      </c>
      <c r="AT14" s="462" t="n">
        <v>3.55</v>
      </c>
      <c r="AU14" s="462" t="n">
        <v>3.52</v>
      </c>
      <c r="AV14" s="462" t="n">
        <v>3.5</v>
      </c>
      <c r="AW14" s="462" t="n">
        <v>3.47</v>
      </c>
      <c r="AX14" s="462" t="n">
        <v>3.45</v>
      </c>
      <c r="AY14" s="462" t="n">
        <v>3.43</v>
      </c>
      <c r="AZ14" s="462" t="n">
        <v>3.4</v>
      </c>
      <c r="BA14" s="462" t="n">
        <v>3.38</v>
      </c>
      <c r="BB14" s="462" t="n">
        <v>3.36</v>
      </c>
      <c r="BC14" s="462" t="n">
        <v>3.34</v>
      </c>
      <c r="BD14" s="462" t="n">
        <v>3.32</v>
      </c>
      <c r="BE14" s="462" t="n">
        <v>3.3</v>
      </c>
      <c r="BF14" s="462" t="n">
        <v>3.29</v>
      </c>
      <c r="BG14" s="462" t="n">
        <v>3.27</v>
      </c>
      <c r="BH14" s="462" t="n">
        <v>3.25</v>
      </c>
      <c r="BI14" s="462" t="n">
        <v>3.24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18.15</v>
      </c>
      <c r="K16" s="466" t="n">
        <v>17.61</v>
      </c>
      <c r="L16" s="466" t="n">
        <v>16.8</v>
      </c>
      <c r="M16" s="466" t="n">
        <v>11</v>
      </c>
      <c r="N16" s="466" t="n">
        <v>15.26</v>
      </c>
      <c r="O16" s="466" t="n">
        <v>14.54</v>
      </c>
      <c r="P16" s="466" t="n">
        <v>13.85</v>
      </c>
      <c r="Q16" s="466" t="n">
        <v>10.38</v>
      </c>
      <c r="R16" s="466" t="n">
        <v>12.54</v>
      </c>
      <c r="S16" s="466" t="n">
        <v>11.93</v>
      </c>
      <c r="T16" s="466" t="n">
        <v>11.34</v>
      </c>
      <c r="U16" s="466" t="n">
        <v>10.11</v>
      </c>
      <c r="V16" s="466" t="n">
        <v>10.23</v>
      </c>
      <c r="W16" s="466" t="n">
        <v>9.710000000000001</v>
      </c>
      <c r="X16" s="466" t="n">
        <v>9.210000000000001</v>
      </c>
      <c r="Y16" s="466" t="n">
        <v>8.73</v>
      </c>
      <c r="Z16" s="466" t="n">
        <v>8.27</v>
      </c>
      <c r="AA16" s="466" t="n">
        <v>7.82</v>
      </c>
      <c r="AB16" s="466" t="n">
        <v>7.4</v>
      </c>
      <c r="AC16" s="466" t="n">
        <v>6.99</v>
      </c>
      <c r="AD16" s="466" t="n">
        <v>6.6</v>
      </c>
      <c r="AE16" s="466" t="n">
        <v>6.22</v>
      </c>
      <c r="AF16" s="466" t="n">
        <v>5.86</v>
      </c>
      <c r="AG16" s="466" t="n">
        <v>5.51</v>
      </c>
      <c r="AH16" s="466" t="n">
        <v>5.18</v>
      </c>
      <c r="AI16" s="466" t="n">
        <v>4.86</v>
      </c>
      <c r="AJ16" s="466" t="n">
        <v>4.55</v>
      </c>
      <c r="AK16" s="466" t="n">
        <v>4.26</v>
      </c>
      <c r="AL16" s="466" t="n">
        <v>3.97</v>
      </c>
      <c r="AM16" s="466" t="n">
        <v>3.7</v>
      </c>
      <c r="AN16" s="466" t="n">
        <v>3.44</v>
      </c>
      <c r="AO16" s="466" t="n">
        <v>3.19</v>
      </c>
      <c r="AP16" s="466" t="n">
        <v>2.95</v>
      </c>
      <c r="AQ16" s="466" t="n">
        <v>2.72</v>
      </c>
      <c r="AR16" s="466" t="n">
        <v>2.49</v>
      </c>
      <c r="AS16" s="466" t="n">
        <v>2.28</v>
      </c>
      <c r="AT16" s="466" t="n">
        <v>2.07</v>
      </c>
      <c r="AU16" s="466" t="n">
        <v>1.88</v>
      </c>
      <c r="AV16" s="466" t="n">
        <v>1.69</v>
      </c>
      <c r="AW16" s="466" t="n">
        <v>1.51</v>
      </c>
      <c r="AX16" s="466" t="n">
        <v>1.33</v>
      </c>
      <c r="AY16" s="466" t="n">
        <v>1.17</v>
      </c>
      <c r="AZ16" s="466" t="n">
        <v>1.01</v>
      </c>
      <c r="BA16" s="466" t="n">
        <v>0.85</v>
      </c>
      <c r="BB16" s="466" t="n">
        <v>0.7</v>
      </c>
      <c r="BC16" s="466" t="n">
        <v>0.5600000000000001</v>
      </c>
      <c r="BD16" s="466" t="n">
        <v>0.43</v>
      </c>
      <c r="BE16" s="466" t="n">
        <v>0.29</v>
      </c>
      <c r="BF16" s="466" t="n">
        <v>0.17</v>
      </c>
      <c r="BG16" s="466" t="n">
        <v>0.05</v>
      </c>
      <c r="BH16" s="466" t="n">
        <v>-0.07000000000000001</v>
      </c>
      <c r="BI16" s="466" t="n">
        <v>-0.18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0</v>
      </c>
      <c r="J17" s="459" t="n">
        <v>0</v>
      </c>
      <c r="K17" s="459" t="n">
        <v>0</v>
      </c>
      <c r="L17" s="459" t="n">
        <v>0</v>
      </c>
      <c r="M17" s="459" t="n">
        <v>0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18.39</v>
      </c>
      <c r="J18" s="470" t="n">
        <v>18.15</v>
      </c>
      <c r="K18" s="470" t="n">
        <v>17.61</v>
      </c>
      <c r="L18" s="470" t="n">
        <v>16.8</v>
      </c>
      <c r="M18" s="470" t="n">
        <v>11</v>
      </c>
      <c r="N18" s="470" t="n">
        <v>15.26</v>
      </c>
      <c r="O18" s="470" t="n">
        <v>14.54</v>
      </c>
      <c r="P18" s="470" t="n">
        <v>13.85</v>
      </c>
      <c r="Q18" s="470" t="n">
        <v>10.38</v>
      </c>
      <c r="R18" s="470" t="n">
        <v>12.54</v>
      </c>
      <c r="S18" s="470" t="n">
        <v>11.93</v>
      </c>
      <c r="T18" s="470" t="n">
        <v>11.34</v>
      </c>
      <c r="U18" s="470" t="n">
        <v>10.11</v>
      </c>
      <c r="V18" s="470" t="n">
        <v>10.23</v>
      </c>
      <c r="W18" s="470" t="n">
        <v>9.710000000000001</v>
      </c>
      <c r="X18" s="470" t="n">
        <v>9.210000000000001</v>
      </c>
      <c r="Y18" s="470" t="n">
        <v>8.73</v>
      </c>
      <c r="Z18" s="470" t="n">
        <v>8.27</v>
      </c>
      <c r="AA18" s="470" t="n">
        <v>7.82</v>
      </c>
      <c r="AB18" s="470" t="n">
        <v>7.4</v>
      </c>
      <c r="AC18" s="470" t="n">
        <v>6.99</v>
      </c>
      <c r="AD18" s="470" t="n">
        <v>6.6</v>
      </c>
      <c r="AE18" s="470" t="n">
        <v>6.22</v>
      </c>
      <c r="AF18" s="470" t="n">
        <v>5.86</v>
      </c>
      <c r="AG18" s="470" t="n">
        <v>5.51</v>
      </c>
      <c r="AH18" s="470" t="n">
        <v>5.18</v>
      </c>
      <c r="AI18" s="470" t="n">
        <v>4.86</v>
      </c>
      <c r="AJ18" s="470" t="n">
        <v>4.55</v>
      </c>
      <c r="AK18" s="470" t="n">
        <v>4.26</v>
      </c>
      <c r="AL18" s="470" t="n">
        <v>3.97</v>
      </c>
      <c r="AM18" s="470" t="n">
        <v>3.7</v>
      </c>
      <c r="AN18" s="470" t="n">
        <v>3.44</v>
      </c>
      <c r="AO18" s="470" t="n">
        <v>3.19</v>
      </c>
      <c r="AP18" s="470" t="n">
        <v>2.95</v>
      </c>
      <c r="AQ18" s="470" t="n">
        <v>2.72</v>
      </c>
      <c r="AR18" s="470" t="n">
        <v>2.49</v>
      </c>
      <c r="AS18" s="470" t="n">
        <v>2.28</v>
      </c>
      <c r="AT18" s="470" t="n">
        <v>2.07</v>
      </c>
      <c r="AU18" s="470" t="n">
        <v>1.88</v>
      </c>
      <c r="AV18" s="470" t="n">
        <v>1.69</v>
      </c>
      <c r="AW18" s="470" t="n">
        <v>1.51</v>
      </c>
      <c r="AX18" s="470" t="n">
        <v>1.33</v>
      </c>
      <c r="AY18" s="470" t="n">
        <v>1.17</v>
      </c>
      <c r="AZ18" s="470" t="n">
        <v>1.01</v>
      </c>
      <c r="BA18" s="470" t="n">
        <v>0.85</v>
      </c>
      <c r="BB18" s="470" t="n">
        <v>0.7</v>
      </c>
      <c r="BC18" s="470" t="n">
        <v>0.5600000000000001</v>
      </c>
      <c r="BD18" s="470" t="n">
        <v>0.43</v>
      </c>
      <c r="BE18" s="470" t="n">
        <v>0.29</v>
      </c>
      <c r="BF18" s="470" t="n">
        <v>0.17</v>
      </c>
      <c r="BG18" s="470" t="n">
        <v>0.05</v>
      </c>
      <c r="BH18" s="470" t="n">
        <v>-0.07000000000000001</v>
      </c>
      <c r="BI18" s="470" t="n">
        <v>-0.18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2" t="inlineStr">
        <is>
          <t>Distributable Cash</t>
        </is>
      </c>
      <c r="B21" s="462" t="n">
        <v>-0.99</v>
      </c>
      <c r="C21" s="462" t="n">
        <v>-2.59</v>
      </c>
      <c r="D21" s="462" t="n">
        <v>-1.22</v>
      </c>
      <c r="E21" s="462" t="n">
        <v>1.44</v>
      </c>
      <c r="F21" s="462" t="n">
        <v>9.609999999999999</v>
      </c>
      <c r="G21" s="462" t="n">
        <v>12.54</v>
      </c>
      <c r="H21" s="462" t="n">
        <v>17.01</v>
      </c>
      <c r="I21" s="462" t="n">
        <v>18.39</v>
      </c>
      <c r="J21" s="462" t="n">
        <v>18.15</v>
      </c>
      <c r="K21" s="462" t="n">
        <v>17.61</v>
      </c>
      <c r="L21" s="462" t="n">
        <v>16.8</v>
      </c>
      <c r="M21" s="462" t="n">
        <v>11</v>
      </c>
      <c r="N21" s="462" t="n">
        <v>15.26</v>
      </c>
      <c r="O21" s="462" t="n">
        <v>14.54</v>
      </c>
      <c r="P21" s="462" t="n">
        <v>13.85</v>
      </c>
      <c r="Q21" s="462" t="n">
        <v>10.38</v>
      </c>
      <c r="R21" s="462" t="n">
        <v>12.54</v>
      </c>
      <c r="S21" s="462" t="n">
        <v>11.93</v>
      </c>
      <c r="T21" s="462" t="n">
        <v>11.34</v>
      </c>
      <c r="U21" s="462" t="n">
        <v>10.11</v>
      </c>
      <c r="V21" s="462" t="n">
        <v>10.23</v>
      </c>
      <c r="W21" s="462" t="n">
        <v>9.710000000000001</v>
      </c>
      <c r="X21" s="462" t="n">
        <v>9.210000000000001</v>
      </c>
      <c r="Y21" s="462" t="n">
        <v>8.73</v>
      </c>
      <c r="Z21" s="462" t="n">
        <v>8.27</v>
      </c>
      <c r="AA21" s="462" t="n">
        <v>7.82</v>
      </c>
      <c r="AB21" s="462" t="n">
        <v>7.4</v>
      </c>
      <c r="AC21" s="462" t="n">
        <v>6.99</v>
      </c>
      <c r="AD21" s="462" t="n">
        <v>6.6</v>
      </c>
      <c r="AE21" s="462" t="n">
        <v>6.22</v>
      </c>
      <c r="AF21" s="462" t="n">
        <v>5.86</v>
      </c>
      <c r="AG21" s="462" t="n">
        <v>5.51</v>
      </c>
      <c r="AH21" s="462" t="n">
        <v>5.18</v>
      </c>
      <c r="AI21" s="462" t="n">
        <v>4.86</v>
      </c>
      <c r="AJ21" s="462" t="n">
        <v>4.55</v>
      </c>
      <c r="AK21" s="462" t="n">
        <v>4.26</v>
      </c>
      <c r="AL21" s="462" t="n">
        <v>3.97</v>
      </c>
      <c r="AM21" s="462" t="n">
        <v>3.7</v>
      </c>
      <c r="AN21" s="462" t="n">
        <v>3.44</v>
      </c>
      <c r="AO21" s="462" t="n">
        <v>3.19</v>
      </c>
      <c r="AP21" s="462" t="n">
        <v>2.95</v>
      </c>
      <c r="AQ21" s="462" t="n">
        <v>2.72</v>
      </c>
      <c r="AR21" s="462" t="n">
        <v>2.49</v>
      </c>
      <c r="AS21" s="462" t="n">
        <v>2.28</v>
      </c>
      <c r="AT21" s="462" t="n">
        <v>2.07</v>
      </c>
      <c r="AU21" s="462" t="n">
        <v>1.88</v>
      </c>
      <c r="AV21" s="462" t="n">
        <v>1.69</v>
      </c>
      <c r="AW21" s="462" t="n">
        <v>1.51</v>
      </c>
      <c r="AX21" s="462" t="n">
        <v>1.33</v>
      </c>
      <c r="AY21" s="462" t="n">
        <v>1.17</v>
      </c>
      <c r="AZ21" s="462" t="n">
        <v>1.01</v>
      </c>
      <c r="BA21" s="462" t="n">
        <v>0.85</v>
      </c>
      <c r="BB21" s="462" t="n">
        <v>0.7</v>
      </c>
      <c r="BC21" s="462" t="n">
        <v>0.5600000000000001</v>
      </c>
      <c r="BD21" s="462" t="n">
        <v>0.43</v>
      </c>
      <c r="BE21" s="462" t="n">
        <v>0.29</v>
      </c>
      <c r="BF21" s="462" t="n">
        <v>0.17</v>
      </c>
      <c r="BG21" s="462" t="n">
        <v>0.05</v>
      </c>
      <c r="BH21" s="462" t="n">
        <v>-0.07000000000000001</v>
      </c>
      <c r="BI21" s="462" t="n">
        <v>-0.18</v>
      </c>
      <c r="BJ21" s="306" t="n"/>
    </row>
    <row r="22" ht="15" customHeight="1" s="307">
      <c r="A22" s="321" t="inlineStr">
        <is>
          <t>Cumulative</t>
        </is>
      </c>
      <c r="B22" s="459" t="n">
        <v>-0.99</v>
      </c>
      <c r="C22" s="459" t="n">
        <v>-3.58</v>
      </c>
      <c r="D22" s="459" t="n">
        <v>-4.8</v>
      </c>
      <c r="E22" s="459" t="n">
        <v>-3.36</v>
      </c>
      <c r="F22" s="459" t="n">
        <v>6.25</v>
      </c>
      <c r="G22" s="459" t="n">
        <v>18.79</v>
      </c>
      <c r="H22" s="459" t="n">
        <v>35.8</v>
      </c>
      <c r="I22" s="459" t="n">
        <v>54.19</v>
      </c>
      <c r="J22" s="459" t="n">
        <v>72.34999999999999</v>
      </c>
      <c r="K22" s="459" t="n">
        <v>89.95999999999999</v>
      </c>
      <c r="L22" s="459" t="n">
        <v>106.75</v>
      </c>
      <c r="M22" s="459" t="n">
        <v>117.75</v>
      </c>
      <c r="N22" s="459" t="n">
        <v>133.01</v>
      </c>
      <c r="O22" s="459" t="n">
        <v>147.55</v>
      </c>
      <c r="P22" s="459" t="n">
        <v>161.4</v>
      </c>
      <c r="Q22" s="459" t="n">
        <v>171.77</v>
      </c>
      <c r="R22" s="459" t="n">
        <v>184.31</v>
      </c>
      <c r="S22" s="459" t="n">
        <v>196.24</v>
      </c>
      <c r="T22" s="459" t="n">
        <v>207.58</v>
      </c>
      <c r="U22" s="459" t="n">
        <v>217.69</v>
      </c>
      <c r="V22" s="459" t="n">
        <v>227.92</v>
      </c>
      <c r="W22" s="459" t="n">
        <v>237.63</v>
      </c>
      <c r="X22" s="459" t="n">
        <v>246.84</v>
      </c>
      <c r="Y22" s="459" t="n">
        <v>255.57</v>
      </c>
      <c r="Z22" s="459" t="n">
        <v>263.84</v>
      </c>
      <c r="AA22" s="459" t="n">
        <v>271.66</v>
      </c>
      <c r="AB22" s="459" t="n">
        <v>279.06</v>
      </c>
      <c r="AC22" s="459" t="n">
        <v>286.05</v>
      </c>
      <c r="AD22" s="459" t="n">
        <v>292.64</v>
      </c>
      <c r="AE22" s="459" t="n">
        <v>298.87</v>
      </c>
      <c r="AF22" s="459" t="n">
        <v>304.72</v>
      </c>
      <c r="AG22" s="459" t="n">
        <v>310.24</v>
      </c>
      <c r="AH22" s="459" t="n">
        <v>315.41</v>
      </c>
      <c r="AI22" s="459" t="n">
        <v>320.27</v>
      </c>
      <c r="AJ22" s="459" t="n">
        <v>324.82</v>
      </c>
      <c r="AK22" s="459" t="n">
        <v>329.08</v>
      </c>
      <c r="AL22" s="459" t="n">
        <v>333.05</v>
      </c>
      <c r="AM22" s="459" t="n">
        <v>336.75</v>
      </c>
      <c r="AN22" s="459" t="n">
        <v>340.19</v>
      </c>
      <c r="AO22" s="459" t="n">
        <v>343.37</v>
      </c>
      <c r="AP22" s="459" t="n">
        <v>346.32</v>
      </c>
      <c r="AQ22" s="459" t="n">
        <v>349.04</v>
      </c>
      <c r="AR22" s="459" t="n">
        <v>351.53</v>
      </c>
      <c r="AS22" s="459" t="n">
        <v>353.81</v>
      </c>
      <c r="AT22" s="459" t="n">
        <v>355.88</v>
      </c>
      <c r="AU22" s="459" t="n">
        <v>357.76</v>
      </c>
      <c r="AV22" s="459" t="n">
        <v>359.45</v>
      </c>
      <c r="AW22" s="459" t="n">
        <v>360.96</v>
      </c>
      <c r="AX22" s="459" t="n">
        <v>362.29</v>
      </c>
      <c r="AY22" s="459" t="n">
        <v>363.46</v>
      </c>
      <c r="AZ22" s="459" t="n">
        <v>364.47</v>
      </c>
      <c r="BA22" s="459" t="n">
        <v>365.32</v>
      </c>
      <c r="BB22" s="459" t="n">
        <v>366.02</v>
      </c>
      <c r="BC22" s="459" t="n">
        <v>366.58</v>
      </c>
      <c r="BD22" s="459" t="n">
        <v>367.01</v>
      </c>
      <c r="BE22" s="459" t="n">
        <v>367.31</v>
      </c>
      <c r="BF22" s="459" t="n">
        <v>367.47</v>
      </c>
      <c r="BG22" s="459" t="n">
        <v>367.52</v>
      </c>
      <c r="BH22" s="459" t="n">
        <v>367.46</v>
      </c>
      <c r="BI22" s="459" t="n">
        <v>367.28</v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471" t="inlineStr">
        <is>
          <t>QUARTERLY P&amp;L  |  50% RECYCLE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 t="n">
        <v>0</v>
      </c>
      <c r="C5" s="466" t="n">
        <v>6.31</v>
      </c>
      <c r="D5" s="466" t="n">
        <v>12.77</v>
      </c>
      <c r="E5" s="466" t="n">
        <v>21.85</v>
      </c>
      <c r="F5" s="466" t="n">
        <v>25.23</v>
      </c>
      <c r="G5" s="466" t="n">
        <v>30.49</v>
      </c>
      <c r="H5" s="466" t="n">
        <v>29.28</v>
      </c>
      <c r="I5" s="466" t="n">
        <v>30.11</v>
      </c>
      <c r="J5" s="466" t="n">
        <v>32.83</v>
      </c>
      <c r="K5" s="466" t="n">
        <v>33.52</v>
      </c>
      <c r="L5" s="466" t="n">
        <v>36.11</v>
      </c>
      <c r="M5" s="466" t="n">
        <v>36.67</v>
      </c>
      <c r="N5" s="466" t="n">
        <v>39.13</v>
      </c>
      <c r="O5" s="466" t="n">
        <v>37.57</v>
      </c>
      <c r="P5" s="466" t="n">
        <v>36.08</v>
      </c>
      <c r="Q5" s="466" t="n">
        <v>34.64</v>
      </c>
      <c r="R5" s="466" t="n">
        <v>33.26</v>
      </c>
      <c r="S5" s="466" t="n">
        <v>31.94</v>
      </c>
      <c r="T5" s="466" t="n">
        <v>30.67</v>
      </c>
      <c r="U5" s="466" t="n">
        <v>29.44</v>
      </c>
      <c r="V5" s="466" t="n">
        <v>28.27</v>
      </c>
      <c r="W5" s="466" t="n">
        <v>27.15</v>
      </c>
      <c r="X5" s="466" t="n">
        <v>26.07</v>
      </c>
      <c r="Y5" s="466" t="n">
        <v>25.03</v>
      </c>
      <c r="Z5" s="466" t="n">
        <v>24.03</v>
      </c>
      <c r="AA5" s="466" t="n">
        <v>23.07</v>
      </c>
      <c r="AB5" s="466" t="n">
        <v>22.16</v>
      </c>
      <c r="AC5" s="466" t="n">
        <v>21.27</v>
      </c>
      <c r="AD5" s="466" t="n">
        <v>20.43</v>
      </c>
      <c r="AE5" s="466" t="n">
        <v>19.61</v>
      </c>
      <c r="AF5" s="466" t="n">
        <v>18.83</v>
      </c>
      <c r="AG5" s="466" t="n">
        <v>18.08</v>
      </c>
      <c r="AH5" s="466" t="n">
        <v>17.36</v>
      </c>
      <c r="AI5" s="466" t="n">
        <v>16.67</v>
      </c>
      <c r="AJ5" s="466" t="n">
        <v>16.01</v>
      </c>
      <c r="AK5" s="466" t="n">
        <v>15.37</v>
      </c>
      <c r="AL5" s="466" t="n">
        <v>14.76</v>
      </c>
      <c r="AM5" s="466" t="n">
        <v>14.17</v>
      </c>
      <c r="AN5" s="466" t="n">
        <v>13.61</v>
      </c>
      <c r="AO5" s="466" t="n">
        <v>13.06</v>
      </c>
      <c r="AP5" s="466" t="n">
        <v>12.54</v>
      </c>
      <c r="AQ5" s="466" t="n">
        <v>12.05</v>
      </c>
      <c r="AR5" s="466" t="n">
        <v>11.57</v>
      </c>
      <c r="AS5" s="466" t="n">
        <v>11.11</v>
      </c>
      <c r="AT5" s="466" t="n">
        <v>10.66</v>
      </c>
      <c r="AU5" s="466" t="n">
        <v>10.24</v>
      </c>
      <c r="AV5" s="466" t="n">
        <v>9.83</v>
      </c>
      <c r="AW5" s="466" t="n">
        <v>9.44</v>
      </c>
      <c r="AX5" s="466" t="n">
        <v>9.06</v>
      </c>
      <c r="AY5" s="466" t="n">
        <v>8.699999999999999</v>
      </c>
      <c r="AZ5" s="466" t="n">
        <v>8.359999999999999</v>
      </c>
      <c r="BA5" s="466" t="n">
        <v>8.02</v>
      </c>
      <c r="BB5" s="466" t="n">
        <v>7.7</v>
      </c>
      <c r="BC5" s="466" t="n">
        <v>7.4</v>
      </c>
      <c r="BD5" s="466" t="n">
        <v>7.1</v>
      </c>
      <c r="BE5" s="466" t="n">
        <v>6.82</v>
      </c>
      <c r="BF5" s="466" t="n">
        <v>6.55</v>
      </c>
      <c r="BG5" s="466" t="n">
        <v>6.29</v>
      </c>
      <c r="BH5" s="466" t="n">
        <v>6.04</v>
      </c>
      <c r="BI5" s="466" t="n">
        <v>5.8</v>
      </c>
      <c r="BJ5" s="306" t="n"/>
    </row>
    <row r="6" ht="15" customHeight="1" s="307">
      <c r="A6" s="321" t="inlineStr">
        <is>
          <t xml:space="preserve">    Cost of Goods Sold</t>
        </is>
      </c>
      <c r="B6" s="459" t="n">
        <v>0</v>
      </c>
      <c r="C6" s="459" t="n">
        <v>1.42</v>
      </c>
      <c r="D6" s="459" t="n">
        <v>2.42</v>
      </c>
      <c r="E6" s="459" t="n">
        <v>3.76</v>
      </c>
      <c r="F6" s="459" t="n">
        <v>3.52</v>
      </c>
      <c r="G6" s="459" t="n">
        <v>3.99</v>
      </c>
      <c r="H6" s="459" t="n">
        <v>3.23</v>
      </c>
      <c r="I6" s="459" t="n">
        <v>3.31</v>
      </c>
      <c r="J6" s="459" t="n">
        <v>3.87</v>
      </c>
      <c r="K6" s="459" t="n">
        <v>3.79</v>
      </c>
      <c r="L6" s="459" t="n">
        <v>4.2</v>
      </c>
      <c r="M6" s="459" t="n">
        <v>4.11</v>
      </c>
      <c r="N6" s="459" t="n">
        <v>4.5</v>
      </c>
      <c r="O6" s="459" t="n">
        <v>3.9</v>
      </c>
      <c r="P6" s="459" t="n">
        <v>3.61</v>
      </c>
      <c r="Q6" s="459" t="n">
        <v>3.46</v>
      </c>
      <c r="R6" s="459" t="n">
        <v>3.33</v>
      </c>
      <c r="S6" s="459" t="n">
        <v>3.19</v>
      </c>
      <c r="T6" s="459" t="n">
        <v>3.07</v>
      </c>
      <c r="U6" s="459" t="n">
        <v>2.94</v>
      </c>
      <c r="V6" s="459" t="n">
        <v>2.83</v>
      </c>
      <c r="W6" s="459" t="n">
        <v>2.71</v>
      </c>
      <c r="X6" s="459" t="n">
        <v>2.61</v>
      </c>
      <c r="Y6" s="459" t="n">
        <v>2.5</v>
      </c>
      <c r="Z6" s="459" t="n">
        <v>2.4</v>
      </c>
      <c r="AA6" s="459" t="n">
        <v>2.31</v>
      </c>
      <c r="AB6" s="459" t="n">
        <v>2.22</v>
      </c>
      <c r="AC6" s="459" t="n">
        <v>2.13</v>
      </c>
      <c r="AD6" s="459" t="n">
        <v>2.04</v>
      </c>
      <c r="AE6" s="459" t="n">
        <v>1.96</v>
      </c>
      <c r="AF6" s="459" t="n">
        <v>1.88</v>
      </c>
      <c r="AG6" s="459" t="n">
        <v>1.81</v>
      </c>
      <c r="AH6" s="459" t="n">
        <v>1.74</v>
      </c>
      <c r="AI6" s="459" t="n">
        <v>1.67</v>
      </c>
      <c r="AJ6" s="459" t="n">
        <v>1.6</v>
      </c>
      <c r="AK6" s="459" t="n">
        <v>1.54</v>
      </c>
      <c r="AL6" s="459" t="n">
        <v>1.48</v>
      </c>
      <c r="AM6" s="459" t="n">
        <v>1.42</v>
      </c>
      <c r="AN6" s="459" t="n">
        <v>1.36</v>
      </c>
      <c r="AO6" s="459" t="n">
        <v>1.31</v>
      </c>
      <c r="AP6" s="459" t="n">
        <v>1.25</v>
      </c>
      <c r="AQ6" s="459" t="n">
        <v>1.2</v>
      </c>
      <c r="AR6" s="459" t="n">
        <v>1.16</v>
      </c>
      <c r="AS6" s="459" t="n">
        <v>1.11</v>
      </c>
      <c r="AT6" s="459" t="n">
        <v>1.07</v>
      </c>
      <c r="AU6" s="459" t="n">
        <v>1.02</v>
      </c>
      <c r="AV6" s="459" t="n">
        <v>0.98</v>
      </c>
      <c r="AW6" s="459" t="n">
        <v>0.9399999999999999</v>
      </c>
      <c r="AX6" s="459" t="n">
        <v>0.91</v>
      </c>
      <c r="AY6" s="459" t="n">
        <v>0.87</v>
      </c>
      <c r="AZ6" s="459" t="n">
        <v>0.84</v>
      </c>
      <c r="BA6" s="459" t="n">
        <v>0.8</v>
      </c>
      <c r="BB6" s="459" t="n">
        <v>0.77</v>
      </c>
      <c r="BC6" s="459" t="n">
        <v>0.74</v>
      </c>
      <c r="BD6" s="459" t="n">
        <v>0.71</v>
      </c>
      <c r="BE6" s="459" t="n">
        <v>0.68</v>
      </c>
      <c r="BF6" s="459" t="n">
        <v>0.65</v>
      </c>
      <c r="BG6" s="459" t="n">
        <v>0.63</v>
      </c>
      <c r="BH6" s="459" t="n">
        <v>0.6</v>
      </c>
      <c r="BI6" s="459" t="n">
        <v>0.58</v>
      </c>
      <c r="BJ6" s="306" t="n"/>
    </row>
    <row r="7" ht="15" customHeight="1" s="307">
      <c r="A7" s="468" t="inlineStr">
        <is>
          <t>Gross Profit</t>
        </is>
      </c>
      <c r="B7" s="470" t="n">
        <v>0</v>
      </c>
      <c r="C7" s="470" t="n">
        <v>4.89</v>
      </c>
      <c r="D7" s="470" t="n">
        <v>10.35</v>
      </c>
      <c r="E7" s="470" t="n">
        <v>18.09</v>
      </c>
      <c r="F7" s="470" t="n">
        <v>21.72</v>
      </c>
      <c r="G7" s="470" t="n">
        <v>26.5</v>
      </c>
      <c r="H7" s="470" t="n">
        <v>26.05</v>
      </c>
      <c r="I7" s="470" t="n">
        <v>26.8</v>
      </c>
      <c r="J7" s="470" t="n">
        <v>28.96</v>
      </c>
      <c r="K7" s="470" t="n">
        <v>29.73</v>
      </c>
      <c r="L7" s="470" t="n">
        <v>31.91</v>
      </c>
      <c r="M7" s="470" t="n">
        <v>32.56</v>
      </c>
      <c r="N7" s="470" t="n">
        <v>34.63</v>
      </c>
      <c r="O7" s="470" t="n">
        <v>33.67</v>
      </c>
      <c r="P7" s="470" t="n">
        <v>32.47</v>
      </c>
      <c r="Q7" s="470" t="n">
        <v>31.18</v>
      </c>
      <c r="R7" s="470" t="n">
        <v>29.94</v>
      </c>
      <c r="S7" s="470" t="n">
        <v>28.74</v>
      </c>
      <c r="T7" s="470" t="n">
        <v>27.6</v>
      </c>
      <c r="U7" s="470" t="n">
        <v>26.5</v>
      </c>
      <c r="V7" s="470" t="n">
        <v>25.45</v>
      </c>
      <c r="W7" s="470" t="n">
        <v>24.43</v>
      </c>
      <c r="X7" s="470" t="n">
        <v>23.46</v>
      </c>
      <c r="Y7" s="470" t="n">
        <v>22.53</v>
      </c>
      <c r="Z7" s="470" t="n">
        <v>21.63</v>
      </c>
      <c r="AA7" s="470" t="n">
        <v>20.77</v>
      </c>
      <c r="AB7" s="470" t="n">
        <v>19.94</v>
      </c>
      <c r="AC7" s="470" t="n">
        <v>19.15</v>
      </c>
      <c r="AD7" s="470" t="n">
        <v>18.38</v>
      </c>
      <c r="AE7" s="470" t="n">
        <v>17.65</v>
      </c>
      <c r="AF7" s="470" t="n">
        <v>16.95</v>
      </c>
      <c r="AG7" s="470" t="n">
        <v>16.27</v>
      </c>
      <c r="AH7" s="470" t="n">
        <v>15.63</v>
      </c>
      <c r="AI7" s="470" t="n">
        <v>15</v>
      </c>
      <c r="AJ7" s="470" t="n">
        <v>14.41</v>
      </c>
      <c r="AK7" s="470" t="n">
        <v>13.83</v>
      </c>
      <c r="AL7" s="470" t="n">
        <v>13.28</v>
      </c>
      <c r="AM7" s="470" t="n">
        <v>12.75</v>
      </c>
      <c r="AN7" s="470" t="n">
        <v>12.25</v>
      </c>
      <c r="AO7" s="470" t="n">
        <v>11.76</v>
      </c>
      <c r="AP7" s="470" t="n">
        <v>11.29</v>
      </c>
      <c r="AQ7" s="470" t="n">
        <v>10.84</v>
      </c>
      <c r="AR7" s="470" t="n">
        <v>10.41</v>
      </c>
      <c r="AS7" s="470" t="n">
        <v>9.99</v>
      </c>
      <c r="AT7" s="470" t="n">
        <v>9.6</v>
      </c>
      <c r="AU7" s="470" t="n">
        <v>9.210000000000001</v>
      </c>
      <c r="AV7" s="470" t="n">
        <v>8.85</v>
      </c>
      <c r="AW7" s="470" t="n">
        <v>8.5</v>
      </c>
      <c r="AX7" s="470" t="n">
        <v>8.16</v>
      </c>
      <c r="AY7" s="470" t="n">
        <v>7.83</v>
      </c>
      <c r="AZ7" s="470" t="n">
        <v>7.52</v>
      </c>
      <c r="BA7" s="470" t="n">
        <v>7.22</v>
      </c>
      <c r="BB7" s="470" t="n">
        <v>6.93</v>
      </c>
      <c r="BC7" s="470" t="n">
        <v>6.66</v>
      </c>
      <c r="BD7" s="470" t="n">
        <v>6.39</v>
      </c>
      <c r="BE7" s="470" t="n">
        <v>6.14</v>
      </c>
      <c r="BF7" s="470" t="n">
        <v>5.89</v>
      </c>
      <c r="BG7" s="470" t="n">
        <v>5.66</v>
      </c>
      <c r="BH7" s="470" t="n">
        <v>5.43</v>
      </c>
      <c r="BI7" s="470" t="n">
        <v>5.22</v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 t="n">
        <v>0</v>
      </c>
      <c r="C9" s="459" t="n">
        <v>0.58</v>
      </c>
      <c r="D9" s="459" t="n">
        <v>1.02</v>
      </c>
      <c r="E9" s="459" t="n">
        <v>1.62</v>
      </c>
      <c r="F9" s="459" t="n">
        <v>1.59</v>
      </c>
      <c r="G9" s="459" t="n">
        <v>1.84</v>
      </c>
      <c r="H9" s="459" t="n">
        <v>1.56</v>
      </c>
      <c r="I9" s="459" t="n">
        <v>1.61</v>
      </c>
      <c r="J9" s="459" t="n">
        <v>1.84</v>
      </c>
      <c r="K9" s="459" t="n">
        <v>1.82</v>
      </c>
      <c r="L9" s="459" t="n">
        <v>2</v>
      </c>
      <c r="M9" s="459" t="n">
        <v>1.98</v>
      </c>
      <c r="N9" s="459" t="n">
        <v>2.15</v>
      </c>
      <c r="O9" s="459" t="n">
        <v>1.93</v>
      </c>
      <c r="P9" s="459" t="n">
        <v>1.8</v>
      </c>
      <c r="Q9" s="459" t="n">
        <v>1.73</v>
      </c>
      <c r="R9" s="459" t="n">
        <v>1.66</v>
      </c>
      <c r="S9" s="459" t="n">
        <v>1.6</v>
      </c>
      <c r="T9" s="459" t="n">
        <v>1.53</v>
      </c>
      <c r="U9" s="459" t="n">
        <v>1.47</v>
      </c>
      <c r="V9" s="459" t="n">
        <v>1.41</v>
      </c>
      <c r="W9" s="459" t="n">
        <v>1.36</v>
      </c>
      <c r="X9" s="459" t="n">
        <v>1.3</v>
      </c>
      <c r="Y9" s="459" t="n">
        <v>1.25</v>
      </c>
      <c r="Z9" s="459" t="n">
        <v>1.2</v>
      </c>
      <c r="AA9" s="459" t="n">
        <v>1.15</v>
      </c>
      <c r="AB9" s="459" t="n">
        <v>1.11</v>
      </c>
      <c r="AC9" s="459" t="n">
        <v>1.06</v>
      </c>
      <c r="AD9" s="459" t="n">
        <v>1.02</v>
      </c>
      <c r="AE9" s="459" t="n">
        <v>0.98</v>
      </c>
      <c r="AF9" s="459" t="n">
        <v>0.9399999999999999</v>
      </c>
      <c r="AG9" s="459" t="n">
        <v>0.9</v>
      </c>
      <c r="AH9" s="459" t="n">
        <v>0.87</v>
      </c>
      <c r="AI9" s="459" t="n">
        <v>0.83</v>
      </c>
      <c r="AJ9" s="459" t="n">
        <v>0.8</v>
      </c>
      <c r="AK9" s="459" t="n">
        <v>0.77</v>
      </c>
      <c r="AL9" s="459" t="n">
        <v>0.74</v>
      </c>
      <c r="AM9" s="459" t="n">
        <v>0.71</v>
      </c>
      <c r="AN9" s="459" t="n">
        <v>0.68</v>
      </c>
      <c r="AO9" s="459" t="n">
        <v>0.65</v>
      </c>
      <c r="AP9" s="459" t="n">
        <v>0.63</v>
      </c>
      <c r="AQ9" s="459" t="n">
        <v>0.6</v>
      </c>
      <c r="AR9" s="459" t="n">
        <v>0.58</v>
      </c>
      <c r="AS9" s="459" t="n">
        <v>0.5600000000000001</v>
      </c>
      <c r="AT9" s="459" t="n">
        <v>0.53</v>
      </c>
      <c r="AU9" s="459" t="n">
        <v>0.51</v>
      </c>
      <c r="AV9" s="459" t="n">
        <v>0.49</v>
      </c>
      <c r="AW9" s="459" t="n">
        <v>0.47</v>
      </c>
      <c r="AX9" s="459" t="n">
        <v>0.45</v>
      </c>
      <c r="AY9" s="459" t="n">
        <v>0.44</v>
      </c>
      <c r="AZ9" s="459" t="n">
        <v>0.42</v>
      </c>
      <c r="BA9" s="459" t="n">
        <v>0.4</v>
      </c>
      <c r="BB9" s="459" t="n">
        <v>0.39</v>
      </c>
      <c r="BC9" s="459" t="n">
        <v>0.37</v>
      </c>
      <c r="BD9" s="459" t="n">
        <v>0.36</v>
      </c>
      <c r="BE9" s="459" t="n">
        <v>0.34</v>
      </c>
      <c r="BF9" s="459" t="n">
        <v>0.33</v>
      </c>
      <c r="BG9" s="459" t="n">
        <v>0.31</v>
      </c>
      <c r="BH9" s="459" t="n">
        <v>0.3</v>
      </c>
      <c r="BI9" s="459" t="n">
        <v>0.29</v>
      </c>
      <c r="BJ9" s="306" t="n"/>
    </row>
    <row r="10" ht="15" customHeight="1" s="307">
      <c r="A10" s="321" t="inlineStr">
        <is>
          <t xml:space="preserve">    Corporate Allocation</t>
        </is>
      </c>
      <c r="B10" s="459" t="n">
        <v>0</v>
      </c>
      <c r="C10" s="459" t="n">
        <v>0.38</v>
      </c>
      <c r="D10" s="459" t="n">
        <v>0.77</v>
      </c>
      <c r="E10" s="459" t="n">
        <v>1.31</v>
      </c>
      <c r="F10" s="459" t="n">
        <v>1.51</v>
      </c>
      <c r="G10" s="459" t="n">
        <v>1.83</v>
      </c>
      <c r="H10" s="459" t="n">
        <v>1.76</v>
      </c>
      <c r="I10" s="459" t="n">
        <v>1.81</v>
      </c>
      <c r="J10" s="459" t="n">
        <v>1.97</v>
      </c>
      <c r="K10" s="459" t="n">
        <v>2.01</v>
      </c>
      <c r="L10" s="459" t="n">
        <v>2.17</v>
      </c>
      <c r="M10" s="459" t="n">
        <v>2.2</v>
      </c>
      <c r="N10" s="459" t="n">
        <v>2.35</v>
      </c>
      <c r="O10" s="459" t="n">
        <v>2.25</v>
      </c>
      <c r="P10" s="459" t="n">
        <v>2.16</v>
      </c>
      <c r="Q10" s="459" t="n">
        <v>2.08</v>
      </c>
      <c r="R10" s="459" t="n">
        <v>2</v>
      </c>
      <c r="S10" s="459" t="n">
        <v>1.92</v>
      </c>
      <c r="T10" s="459" t="n">
        <v>1.84</v>
      </c>
      <c r="U10" s="459" t="n">
        <v>1.77</v>
      </c>
      <c r="V10" s="459" t="n">
        <v>1.7</v>
      </c>
      <c r="W10" s="459" t="n">
        <v>1.63</v>
      </c>
      <c r="X10" s="459" t="n">
        <v>1.56</v>
      </c>
      <c r="Y10" s="459" t="n">
        <v>1.5</v>
      </c>
      <c r="Z10" s="459" t="n">
        <v>1.44</v>
      </c>
      <c r="AA10" s="459" t="n">
        <v>1.38</v>
      </c>
      <c r="AB10" s="459" t="n">
        <v>1.33</v>
      </c>
      <c r="AC10" s="459" t="n">
        <v>1.28</v>
      </c>
      <c r="AD10" s="459" t="n">
        <v>1.23</v>
      </c>
      <c r="AE10" s="459" t="n">
        <v>1.18</v>
      </c>
      <c r="AF10" s="459" t="n">
        <v>1.13</v>
      </c>
      <c r="AG10" s="459" t="n">
        <v>1.08</v>
      </c>
      <c r="AH10" s="459" t="n">
        <v>1.04</v>
      </c>
      <c r="AI10" s="459" t="n">
        <v>1</v>
      </c>
      <c r="AJ10" s="459" t="n">
        <v>0.96</v>
      </c>
      <c r="AK10" s="459" t="n">
        <v>0.92</v>
      </c>
      <c r="AL10" s="459" t="n">
        <v>0.89</v>
      </c>
      <c r="AM10" s="459" t="n">
        <v>0.85</v>
      </c>
      <c r="AN10" s="459" t="n">
        <v>0.82</v>
      </c>
      <c r="AO10" s="459" t="n">
        <v>0.78</v>
      </c>
      <c r="AP10" s="459" t="n">
        <v>0.75</v>
      </c>
      <c r="AQ10" s="459" t="n">
        <v>0.72</v>
      </c>
      <c r="AR10" s="459" t="n">
        <v>0.6899999999999999</v>
      </c>
      <c r="AS10" s="459" t="n">
        <v>0.67</v>
      </c>
      <c r="AT10" s="459" t="n">
        <v>0.64</v>
      </c>
      <c r="AU10" s="459" t="n">
        <v>0.61</v>
      </c>
      <c r="AV10" s="459" t="n">
        <v>0.59</v>
      </c>
      <c r="AW10" s="459" t="n">
        <v>0.57</v>
      </c>
      <c r="AX10" s="459" t="n">
        <v>0.54</v>
      </c>
      <c r="AY10" s="459" t="n">
        <v>0.52</v>
      </c>
      <c r="AZ10" s="459" t="n">
        <v>0.5</v>
      </c>
      <c r="BA10" s="459" t="n">
        <v>0.48</v>
      </c>
      <c r="BB10" s="459" t="n">
        <v>0.46</v>
      </c>
      <c r="BC10" s="459" t="n">
        <v>0.44</v>
      </c>
      <c r="BD10" s="459" t="n">
        <v>0.43</v>
      </c>
      <c r="BE10" s="459" t="n">
        <v>0.41</v>
      </c>
      <c r="BF10" s="459" t="n">
        <v>0.39</v>
      </c>
      <c r="BG10" s="459" t="n">
        <v>0.38</v>
      </c>
      <c r="BH10" s="459" t="n">
        <v>0.36</v>
      </c>
      <c r="BI10" s="459" t="n">
        <v>0.35</v>
      </c>
      <c r="BJ10" s="306" t="n"/>
    </row>
    <row r="11" ht="15" customHeight="1" s="307">
      <c r="A11" s="321" t="inlineStr">
        <is>
          <t xml:space="preserve">    Team Compensation</t>
        </is>
      </c>
      <c r="B11" s="459" t="n">
        <v>0.24</v>
      </c>
      <c r="C11" s="459" t="n">
        <v>1.02</v>
      </c>
      <c r="D11" s="459" t="n">
        <v>2.11</v>
      </c>
      <c r="E11" s="459" t="n">
        <v>1.81</v>
      </c>
      <c r="F11" s="459" t="n">
        <v>2.8</v>
      </c>
      <c r="G11" s="459" t="n">
        <v>2.86</v>
      </c>
      <c r="H11" s="459" t="n">
        <v>2.86</v>
      </c>
      <c r="I11" s="459" t="n">
        <v>2.86</v>
      </c>
      <c r="J11" s="459" t="n">
        <v>2.86</v>
      </c>
      <c r="K11" s="459" t="n">
        <v>2.86</v>
      </c>
      <c r="L11" s="459" t="n">
        <v>2.86</v>
      </c>
      <c r="M11" s="459" t="n">
        <v>2.86</v>
      </c>
      <c r="N11" s="459" t="n">
        <v>2.86</v>
      </c>
      <c r="O11" s="459" t="n">
        <v>2.86</v>
      </c>
      <c r="P11" s="459" t="n">
        <v>2.86</v>
      </c>
      <c r="Q11" s="459" t="n">
        <v>2.86</v>
      </c>
      <c r="R11" s="459" t="n">
        <v>2.86</v>
      </c>
      <c r="S11" s="459" t="n">
        <v>2.86</v>
      </c>
      <c r="T11" s="459" t="n">
        <v>2.86</v>
      </c>
      <c r="U11" s="459" t="n">
        <v>2.86</v>
      </c>
      <c r="V11" s="459" t="n">
        <v>2.86</v>
      </c>
      <c r="W11" s="459" t="n">
        <v>2.86</v>
      </c>
      <c r="X11" s="459" t="n">
        <v>2.86</v>
      </c>
      <c r="Y11" s="459" t="n">
        <v>2.86</v>
      </c>
      <c r="Z11" s="459" t="n">
        <v>2.86</v>
      </c>
      <c r="AA11" s="459" t="n">
        <v>2.86</v>
      </c>
      <c r="AB11" s="459" t="n">
        <v>2.86</v>
      </c>
      <c r="AC11" s="459" t="n">
        <v>2.86</v>
      </c>
      <c r="AD11" s="459" t="n">
        <v>2.86</v>
      </c>
      <c r="AE11" s="459" t="n">
        <v>2.86</v>
      </c>
      <c r="AF11" s="459" t="n">
        <v>2.86</v>
      </c>
      <c r="AG11" s="459" t="n">
        <v>2.86</v>
      </c>
      <c r="AH11" s="459" t="n">
        <v>2.86</v>
      </c>
      <c r="AI11" s="459" t="n">
        <v>2.86</v>
      </c>
      <c r="AJ11" s="459" t="n">
        <v>2.86</v>
      </c>
      <c r="AK11" s="459" t="n">
        <v>2.86</v>
      </c>
      <c r="AL11" s="459" t="n">
        <v>2.86</v>
      </c>
      <c r="AM11" s="459" t="n">
        <v>2.86</v>
      </c>
      <c r="AN11" s="459" t="n">
        <v>2.86</v>
      </c>
      <c r="AO11" s="459" t="n">
        <v>2.86</v>
      </c>
      <c r="AP11" s="459" t="n">
        <v>2.86</v>
      </c>
      <c r="AQ11" s="459" t="n">
        <v>2.86</v>
      </c>
      <c r="AR11" s="459" t="n">
        <v>2.86</v>
      </c>
      <c r="AS11" s="459" t="n">
        <v>2.86</v>
      </c>
      <c r="AT11" s="459" t="n">
        <v>2.86</v>
      </c>
      <c r="AU11" s="459" t="n">
        <v>2.86</v>
      </c>
      <c r="AV11" s="459" t="n">
        <v>2.86</v>
      </c>
      <c r="AW11" s="459" t="n">
        <v>2.86</v>
      </c>
      <c r="AX11" s="459" t="n">
        <v>2.86</v>
      </c>
      <c r="AY11" s="459" t="n">
        <v>2.86</v>
      </c>
      <c r="AZ11" s="459" t="n">
        <v>2.86</v>
      </c>
      <c r="BA11" s="459" t="n">
        <v>2.86</v>
      </c>
      <c r="BB11" s="459" t="n">
        <v>2.86</v>
      </c>
      <c r="BC11" s="459" t="n">
        <v>2.86</v>
      </c>
      <c r="BD11" s="459" t="n">
        <v>2.86</v>
      </c>
      <c r="BE11" s="459" t="n">
        <v>2.86</v>
      </c>
      <c r="BF11" s="459" t="n">
        <v>2.86</v>
      </c>
      <c r="BG11" s="459" t="n">
        <v>2.86</v>
      </c>
      <c r="BH11" s="459" t="n">
        <v>2.86</v>
      </c>
      <c r="BI11" s="459" t="n">
        <v>2.86</v>
      </c>
      <c r="BJ11" s="306" t="n"/>
    </row>
    <row r="12" ht="15" customHeight="1" s="307">
      <c r="A12" s="321" t="inlineStr">
        <is>
          <t xml:space="preserve">    Legacy Headcount</t>
        </is>
      </c>
      <c r="B12" s="459" t="n">
        <v>0</v>
      </c>
      <c r="C12" s="459" t="n">
        <v>3.28</v>
      </c>
      <c r="D12" s="459" t="n">
        <v>5.35</v>
      </c>
      <c r="E12" s="459" t="n">
        <v>7.92</v>
      </c>
      <c r="F12" s="459" t="n">
        <v>6.19</v>
      </c>
      <c r="G12" s="459" t="n">
        <v>5.96</v>
      </c>
      <c r="H12" s="459" t="n">
        <v>2.85</v>
      </c>
      <c r="I12" s="459" t="n">
        <v>2.13</v>
      </c>
      <c r="J12" s="459" t="n">
        <v>2.93</v>
      </c>
      <c r="K12" s="459" t="n">
        <v>2.51</v>
      </c>
      <c r="L12" s="459" t="n">
        <v>3.22</v>
      </c>
      <c r="M12" s="459" t="n">
        <v>2.65</v>
      </c>
      <c r="N12" s="459" t="n">
        <v>3.22</v>
      </c>
      <c r="O12" s="459" t="n">
        <v>1.47</v>
      </c>
      <c r="P12" s="459" t="n">
        <v>0.59</v>
      </c>
      <c r="Q12" s="459" t="n">
        <v>0.14</v>
      </c>
      <c r="R12" s="459" t="n">
        <v>0</v>
      </c>
      <c r="S12" s="459" t="n">
        <v>0</v>
      </c>
      <c r="T12" s="459" t="n">
        <v>0</v>
      </c>
      <c r="U12" s="459" t="n">
        <v>0</v>
      </c>
      <c r="V12" s="459" t="n">
        <v>0</v>
      </c>
      <c r="W12" s="459" t="n">
        <v>0</v>
      </c>
      <c r="X12" s="459" t="n">
        <v>0</v>
      </c>
      <c r="Y12" s="459" t="n">
        <v>0</v>
      </c>
      <c r="Z12" s="459" t="n">
        <v>0</v>
      </c>
      <c r="AA12" s="459" t="n">
        <v>0</v>
      </c>
      <c r="AB12" s="459" t="n">
        <v>0</v>
      </c>
      <c r="AC12" s="459" t="n">
        <v>0</v>
      </c>
      <c r="AD12" s="459" t="n">
        <v>0</v>
      </c>
      <c r="AE12" s="459" t="n">
        <v>0</v>
      </c>
      <c r="AF12" s="459" t="n">
        <v>0</v>
      </c>
      <c r="AG12" s="459" t="n">
        <v>0</v>
      </c>
      <c r="AH12" s="459" t="n">
        <v>0</v>
      </c>
      <c r="AI12" s="459" t="n">
        <v>0</v>
      </c>
      <c r="AJ12" s="459" t="n">
        <v>0</v>
      </c>
      <c r="AK12" s="459" t="n">
        <v>0</v>
      </c>
      <c r="AL12" s="459" t="n">
        <v>0</v>
      </c>
      <c r="AM12" s="459" t="n">
        <v>0</v>
      </c>
      <c r="AN12" s="459" t="n">
        <v>0</v>
      </c>
      <c r="AO12" s="459" t="n">
        <v>0</v>
      </c>
      <c r="AP12" s="459" t="n">
        <v>0</v>
      </c>
      <c r="AQ12" s="459" t="n">
        <v>0</v>
      </c>
      <c r="AR12" s="459" t="n">
        <v>0</v>
      </c>
      <c r="AS12" s="459" t="n">
        <v>0</v>
      </c>
      <c r="AT12" s="459" t="n">
        <v>0</v>
      </c>
      <c r="AU12" s="459" t="n">
        <v>0</v>
      </c>
      <c r="AV12" s="459" t="n">
        <v>0</v>
      </c>
      <c r="AW12" s="459" t="n">
        <v>0</v>
      </c>
      <c r="AX12" s="459" t="n">
        <v>0</v>
      </c>
      <c r="AY12" s="459" t="n">
        <v>0</v>
      </c>
      <c r="AZ12" s="459" t="n">
        <v>0</v>
      </c>
      <c r="BA12" s="459" t="n">
        <v>0</v>
      </c>
      <c r="BB12" s="459" t="n">
        <v>0</v>
      </c>
      <c r="BC12" s="459" t="n">
        <v>0</v>
      </c>
      <c r="BD12" s="459" t="n">
        <v>0</v>
      </c>
      <c r="BE12" s="459" t="n">
        <v>0</v>
      </c>
      <c r="BF12" s="459" t="n">
        <v>0</v>
      </c>
      <c r="BG12" s="459" t="n">
        <v>0</v>
      </c>
      <c r="BH12" s="459" t="n">
        <v>0</v>
      </c>
      <c r="BI12" s="459" t="n">
        <v>0</v>
      </c>
      <c r="BJ12" s="306" t="n"/>
    </row>
    <row r="13" ht="15" customHeight="1" s="307">
      <c r="A13" s="321" t="inlineStr">
        <is>
          <t xml:space="preserve">    Bonus Pool</t>
        </is>
      </c>
      <c r="B13" s="459" t="n">
        <v>0</v>
      </c>
      <c r="C13" s="459" t="n">
        <v>0</v>
      </c>
      <c r="D13" s="459" t="n">
        <v>0</v>
      </c>
      <c r="E13" s="459" t="n">
        <v>0</v>
      </c>
      <c r="F13" s="459" t="n">
        <v>0</v>
      </c>
      <c r="G13" s="459" t="n">
        <v>0</v>
      </c>
      <c r="H13" s="459" t="n">
        <v>0</v>
      </c>
      <c r="I13" s="459" t="n">
        <v>0</v>
      </c>
      <c r="J13" s="459" t="n">
        <v>0</v>
      </c>
      <c r="K13" s="459" t="n">
        <v>0</v>
      </c>
      <c r="L13" s="459" t="n">
        <v>0</v>
      </c>
      <c r="M13" s="459" t="n">
        <v>0</v>
      </c>
      <c r="N13" s="459" t="n">
        <v>0</v>
      </c>
      <c r="O13" s="459" t="n">
        <v>0</v>
      </c>
      <c r="P13" s="459" t="n">
        <v>0</v>
      </c>
      <c r="Q13" s="459" t="n">
        <v>6.48</v>
      </c>
      <c r="R13" s="459" t="n">
        <v>0</v>
      </c>
      <c r="S13" s="459" t="n">
        <v>0</v>
      </c>
      <c r="T13" s="459" t="n">
        <v>0</v>
      </c>
      <c r="U13" s="459" t="n">
        <v>9.220000000000001</v>
      </c>
      <c r="V13" s="459" t="n">
        <v>0</v>
      </c>
      <c r="W13" s="459" t="n">
        <v>0</v>
      </c>
      <c r="X13" s="459" t="n">
        <v>0</v>
      </c>
      <c r="Y13" s="459" t="n">
        <v>6.12</v>
      </c>
      <c r="Z13" s="459" t="n">
        <v>0</v>
      </c>
      <c r="AA13" s="459" t="n">
        <v>0</v>
      </c>
      <c r="AB13" s="459" t="n">
        <v>0</v>
      </c>
      <c r="AC13" s="459" t="n">
        <v>3.48</v>
      </c>
      <c r="AD13" s="459" t="n">
        <v>0</v>
      </c>
      <c r="AE13" s="459" t="n">
        <v>0</v>
      </c>
      <c r="AF13" s="459" t="n">
        <v>0</v>
      </c>
      <c r="AG13" s="459" t="n">
        <v>1.24</v>
      </c>
      <c r="AH13" s="459" t="n">
        <v>0</v>
      </c>
      <c r="AI13" s="459" t="n">
        <v>0</v>
      </c>
      <c r="AJ13" s="459" t="n">
        <v>0</v>
      </c>
      <c r="AK13" s="459" t="n">
        <v>0</v>
      </c>
      <c r="AL13" s="459" t="n">
        <v>0</v>
      </c>
      <c r="AM13" s="459" t="n">
        <v>0</v>
      </c>
      <c r="AN13" s="459" t="n">
        <v>0</v>
      </c>
      <c r="AO13" s="459" t="n">
        <v>0</v>
      </c>
      <c r="AP13" s="459" t="n">
        <v>0</v>
      </c>
      <c r="AQ13" s="459" t="n">
        <v>0</v>
      </c>
      <c r="AR13" s="459" t="n">
        <v>0</v>
      </c>
      <c r="AS13" s="459" t="n">
        <v>0</v>
      </c>
      <c r="AT13" s="459" t="n">
        <v>0</v>
      </c>
      <c r="AU13" s="459" t="n">
        <v>0</v>
      </c>
      <c r="AV13" s="459" t="n">
        <v>0</v>
      </c>
      <c r="AW13" s="459" t="n">
        <v>0</v>
      </c>
      <c r="AX13" s="459" t="n">
        <v>0</v>
      </c>
      <c r="AY13" s="459" t="n">
        <v>0</v>
      </c>
      <c r="AZ13" s="459" t="n">
        <v>0</v>
      </c>
      <c r="BA13" s="459" t="n">
        <v>0</v>
      </c>
      <c r="BB13" s="459" t="n">
        <v>0</v>
      </c>
      <c r="BC13" s="459" t="n">
        <v>0</v>
      </c>
      <c r="BD13" s="459" t="n">
        <v>0</v>
      </c>
      <c r="BE13" s="459" t="n">
        <v>0</v>
      </c>
      <c r="BF13" s="459" t="n">
        <v>0</v>
      </c>
      <c r="BG13" s="459" t="n">
        <v>0</v>
      </c>
      <c r="BH13" s="459" t="n">
        <v>0</v>
      </c>
      <c r="BI13" s="459" t="n">
        <v>0</v>
      </c>
      <c r="BJ13" s="306" t="n"/>
    </row>
    <row r="14" ht="15" customHeight="1" s="307">
      <c r="A14" s="460" t="inlineStr">
        <is>
          <t>Total OpEx</t>
        </is>
      </c>
      <c r="B14" s="462" t="n">
        <v>0.24</v>
      </c>
      <c r="C14" s="462" t="n">
        <v>5.26</v>
      </c>
      <c r="D14" s="462" t="n">
        <v>9.25</v>
      </c>
      <c r="E14" s="462" t="n">
        <v>12.66</v>
      </c>
      <c r="F14" s="462" t="n">
        <v>12.1</v>
      </c>
      <c r="G14" s="462" t="n">
        <v>12.49</v>
      </c>
      <c r="H14" s="462" t="n">
        <v>9.039999999999999</v>
      </c>
      <c r="I14" s="462" t="n">
        <v>8.41</v>
      </c>
      <c r="J14" s="462" t="n">
        <v>9.6</v>
      </c>
      <c r="K14" s="462" t="n">
        <v>9.199999999999999</v>
      </c>
      <c r="L14" s="462" t="n">
        <v>10.25</v>
      </c>
      <c r="M14" s="462" t="n">
        <v>9.69</v>
      </c>
      <c r="N14" s="462" t="n">
        <v>10.58</v>
      </c>
      <c r="O14" s="462" t="n">
        <v>8.51</v>
      </c>
      <c r="P14" s="462" t="n">
        <v>7.43</v>
      </c>
      <c r="Q14" s="462" t="n">
        <v>13.3</v>
      </c>
      <c r="R14" s="462" t="n">
        <v>6.52</v>
      </c>
      <c r="S14" s="462" t="n">
        <v>6.38</v>
      </c>
      <c r="T14" s="462" t="n">
        <v>6.24</v>
      </c>
      <c r="U14" s="462" t="n">
        <v>15.32</v>
      </c>
      <c r="V14" s="462" t="n">
        <v>5.97</v>
      </c>
      <c r="W14" s="462" t="n">
        <v>5.85</v>
      </c>
      <c r="X14" s="462" t="n">
        <v>5.73</v>
      </c>
      <c r="Y14" s="462" t="n">
        <v>11.74</v>
      </c>
      <c r="Z14" s="462" t="n">
        <v>5.51</v>
      </c>
      <c r="AA14" s="462" t="n">
        <v>5.4</v>
      </c>
      <c r="AB14" s="462" t="n">
        <v>5.3</v>
      </c>
      <c r="AC14" s="462" t="n">
        <v>8.69</v>
      </c>
      <c r="AD14" s="462" t="n">
        <v>5.11</v>
      </c>
      <c r="AE14" s="462" t="n">
        <v>5.02</v>
      </c>
      <c r="AF14" s="462" t="n">
        <v>4.94</v>
      </c>
      <c r="AG14" s="462" t="n">
        <v>6.09</v>
      </c>
      <c r="AH14" s="462" t="n">
        <v>4.77</v>
      </c>
      <c r="AI14" s="462" t="n">
        <v>4.7</v>
      </c>
      <c r="AJ14" s="462" t="n">
        <v>4.62</v>
      </c>
      <c r="AK14" s="462" t="n">
        <v>4.55</v>
      </c>
      <c r="AL14" s="462" t="n">
        <v>4.49</v>
      </c>
      <c r="AM14" s="462" t="n">
        <v>4.42</v>
      </c>
      <c r="AN14" s="462" t="n">
        <v>4.36</v>
      </c>
      <c r="AO14" s="462" t="n">
        <v>4.3</v>
      </c>
      <c r="AP14" s="462" t="n">
        <v>4.24</v>
      </c>
      <c r="AQ14" s="462" t="n">
        <v>4.19</v>
      </c>
      <c r="AR14" s="462" t="n">
        <v>4.14</v>
      </c>
      <c r="AS14" s="462" t="n">
        <v>4.09</v>
      </c>
      <c r="AT14" s="462" t="n">
        <v>4.04</v>
      </c>
      <c r="AU14" s="462" t="n">
        <v>3.99</v>
      </c>
      <c r="AV14" s="462" t="n">
        <v>3.95</v>
      </c>
      <c r="AW14" s="462" t="n">
        <v>3.9</v>
      </c>
      <c r="AX14" s="462" t="n">
        <v>3.86</v>
      </c>
      <c r="AY14" s="462" t="n">
        <v>3.82</v>
      </c>
      <c r="AZ14" s="462" t="n">
        <v>3.78</v>
      </c>
      <c r="BA14" s="462" t="n">
        <v>3.75</v>
      </c>
      <c r="BB14" s="462" t="n">
        <v>3.71</v>
      </c>
      <c r="BC14" s="462" t="n">
        <v>3.68</v>
      </c>
      <c r="BD14" s="462" t="n">
        <v>3.65</v>
      </c>
      <c r="BE14" s="462" t="n">
        <v>3.61</v>
      </c>
      <c r="BF14" s="462" t="n">
        <v>3.58</v>
      </c>
      <c r="BG14" s="462" t="n">
        <v>3.56</v>
      </c>
      <c r="BH14" s="462" t="n">
        <v>3.53</v>
      </c>
      <c r="BI14" s="462" t="n">
        <v>3.5</v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 t="n">
        <v>-0.24</v>
      </c>
      <c r="C16" s="466" t="n">
        <v>-0.36</v>
      </c>
      <c r="D16" s="466" t="n">
        <v>1.1</v>
      </c>
      <c r="E16" s="466" t="n">
        <v>5.43</v>
      </c>
      <c r="F16" s="466" t="n">
        <v>9.609999999999999</v>
      </c>
      <c r="G16" s="466" t="n">
        <v>14.01</v>
      </c>
      <c r="H16" s="466" t="n">
        <v>17.01</v>
      </c>
      <c r="I16" s="466" t="n">
        <v>18.39</v>
      </c>
      <c r="J16" s="466" t="n">
        <v>19.36</v>
      </c>
      <c r="K16" s="466" t="n">
        <v>20.53</v>
      </c>
      <c r="L16" s="466" t="n">
        <v>21.67</v>
      </c>
      <c r="M16" s="466" t="n">
        <v>22.87</v>
      </c>
      <c r="N16" s="466" t="n">
        <v>24.05</v>
      </c>
      <c r="O16" s="466" t="n">
        <v>25.16</v>
      </c>
      <c r="P16" s="466" t="n">
        <v>25.04</v>
      </c>
      <c r="Q16" s="466" t="n">
        <v>17.88</v>
      </c>
      <c r="R16" s="466" t="n">
        <v>23.41</v>
      </c>
      <c r="S16" s="466" t="n">
        <v>22.37</v>
      </c>
      <c r="T16" s="466" t="n">
        <v>21.36</v>
      </c>
      <c r="U16" s="466" t="n">
        <v>11.18</v>
      </c>
      <c r="V16" s="466" t="n">
        <v>19.47</v>
      </c>
      <c r="W16" s="466" t="n">
        <v>18.58</v>
      </c>
      <c r="X16" s="466" t="n">
        <v>17.73</v>
      </c>
      <c r="Y16" s="466" t="n">
        <v>10.79</v>
      </c>
      <c r="Z16" s="466" t="n">
        <v>16.12</v>
      </c>
      <c r="AA16" s="466" t="n">
        <v>15.36</v>
      </c>
      <c r="AB16" s="466" t="n">
        <v>14.64</v>
      </c>
      <c r="AC16" s="466" t="n">
        <v>10.46</v>
      </c>
      <c r="AD16" s="466" t="n">
        <v>13.27</v>
      </c>
      <c r="AE16" s="466" t="n">
        <v>12.63</v>
      </c>
      <c r="AF16" s="466" t="n">
        <v>12.01</v>
      </c>
      <c r="AG16" s="466" t="n">
        <v>10.18</v>
      </c>
      <c r="AH16" s="466" t="n">
        <v>10.85</v>
      </c>
      <c r="AI16" s="466" t="n">
        <v>10.31</v>
      </c>
      <c r="AJ16" s="466" t="n">
        <v>9.779999999999999</v>
      </c>
      <c r="AK16" s="466" t="n">
        <v>9.279999999999999</v>
      </c>
      <c r="AL16" s="466" t="n">
        <v>8.800000000000001</v>
      </c>
      <c r="AM16" s="466" t="n">
        <v>8.33</v>
      </c>
      <c r="AN16" s="466" t="n">
        <v>7.89</v>
      </c>
      <c r="AO16" s="466" t="n">
        <v>7.46</v>
      </c>
      <c r="AP16" s="466" t="n">
        <v>7.05</v>
      </c>
      <c r="AQ16" s="466" t="n">
        <v>6.65</v>
      </c>
      <c r="AR16" s="466" t="n">
        <v>6.27</v>
      </c>
      <c r="AS16" s="466" t="n">
        <v>5.91</v>
      </c>
      <c r="AT16" s="466" t="n">
        <v>5.56</v>
      </c>
      <c r="AU16" s="466" t="n">
        <v>5.22</v>
      </c>
      <c r="AV16" s="466" t="n">
        <v>4.9</v>
      </c>
      <c r="AW16" s="466" t="n">
        <v>4.59</v>
      </c>
      <c r="AX16" s="466" t="n">
        <v>4.3</v>
      </c>
      <c r="AY16" s="466" t="n">
        <v>4.01</v>
      </c>
      <c r="AZ16" s="466" t="n">
        <v>3.74</v>
      </c>
      <c r="BA16" s="466" t="n">
        <v>3.47</v>
      </c>
      <c r="BB16" s="466" t="n">
        <v>3.22</v>
      </c>
      <c r="BC16" s="466" t="n">
        <v>2.98</v>
      </c>
      <c r="BD16" s="466" t="n">
        <v>2.75</v>
      </c>
      <c r="BE16" s="466" t="n">
        <v>2.52</v>
      </c>
      <c r="BF16" s="466" t="n">
        <v>2.31</v>
      </c>
      <c r="BG16" s="466" t="n">
        <v>2.1</v>
      </c>
      <c r="BH16" s="466" t="n">
        <v>1.91</v>
      </c>
      <c r="BI16" s="466" t="n">
        <v>1.72</v>
      </c>
      <c r="BJ16" s="306" t="n"/>
    </row>
    <row r="17" ht="15" customHeight="1" s="307">
      <c r="A17" s="321" t="inlineStr">
        <is>
          <t xml:space="preserve">    Severance</t>
        </is>
      </c>
      <c r="B17" s="459" t="n">
        <v>0</v>
      </c>
      <c r="C17" s="459" t="n">
        <v>1.48</v>
      </c>
      <c r="D17" s="459" t="n">
        <v>1.57</v>
      </c>
      <c r="E17" s="459" t="n">
        <v>3.24</v>
      </c>
      <c r="F17" s="459" t="n">
        <v>0</v>
      </c>
      <c r="G17" s="459" t="n">
        <v>1.47</v>
      </c>
      <c r="H17" s="459" t="n">
        <v>0</v>
      </c>
      <c r="I17" s="459" t="n">
        <v>1.38</v>
      </c>
      <c r="J17" s="459" t="n">
        <v>0</v>
      </c>
      <c r="K17" s="459" t="n">
        <v>1.38</v>
      </c>
      <c r="L17" s="459" t="n">
        <v>0</v>
      </c>
      <c r="M17" s="459" t="n">
        <v>1.38</v>
      </c>
      <c r="N17" s="459" t="n">
        <v>0</v>
      </c>
      <c r="O17" s="459" t="n">
        <v>0</v>
      </c>
      <c r="P17" s="459" t="n">
        <v>0</v>
      </c>
      <c r="Q17" s="459" t="n">
        <v>0</v>
      </c>
      <c r="R17" s="459" t="n">
        <v>0</v>
      </c>
      <c r="S17" s="459" t="n">
        <v>0</v>
      </c>
      <c r="T17" s="459" t="n">
        <v>0</v>
      </c>
      <c r="U17" s="459" t="n">
        <v>0</v>
      </c>
      <c r="V17" s="459" t="n">
        <v>0</v>
      </c>
      <c r="W17" s="459" t="n">
        <v>0</v>
      </c>
      <c r="X17" s="459" t="n">
        <v>0</v>
      </c>
      <c r="Y17" s="459" t="n">
        <v>0</v>
      </c>
      <c r="Z17" s="459" t="n">
        <v>0</v>
      </c>
      <c r="AA17" s="459" t="n">
        <v>0</v>
      </c>
      <c r="AB17" s="459" t="n">
        <v>0</v>
      </c>
      <c r="AC17" s="459" t="n">
        <v>0</v>
      </c>
      <c r="AD17" s="459" t="n">
        <v>0</v>
      </c>
      <c r="AE17" s="459" t="n">
        <v>0</v>
      </c>
      <c r="AF17" s="459" t="n">
        <v>0</v>
      </c>
      <c r="AG17" s="459" t="n">
        <v>0</v>
      </c>
      <c r="AH17" s="459" t="n">
        <v>0</v>
      </c>
      <c r="AI17" s="459" t="n">
        <v>0</v>
      </c>
      <c r="AJ17" s="459" t="n">
        <v>0</v>
      </c>
      <c r="AK17" s="459" t="n">
        <v>0</v>
      </c>
      <c r="AL17" s="459" t="n">
        <v>0</v>
      </c>
      <c r="AM17" s="459" t="n">
        <v>0</v>
      </c>
      <c r="AN17" s="459" t="n">
        <v>0</v>
      </c>
      <c r="AO17" s="459" t="n">
        <v>0</v>
      </c>
      <c r="AP17" s="459" t="n">
        <v>0</v>
      </c>
      <c r="AQ17" s="459" t="n">
        <v>0</v>
      </c>
      <c r="AR17" s="459" t="n">
        <v>0</v>
      </c>
      <c r="AS17" s="459" t="n">
        <v>0</v>
      </c>
      <c r="AT17" s="459" t="n">
        <v>0</v>
      </c>
      <c r="AU17" s="459" t="n">
        <v>0</v>
      </c>
      <c r="AV17" s="459" t="n">
        <v>0</v>
      </c>
      <c r="AW17" s="459" t="n">
        <v>0</v>
      </c>
      <c r="AX17" s="459" t="n">
        <v>0</v>
      </c>
      <c r="AY17" s="459" t="n">
        <v>0</v>
      </c>
      <c r="AZ17" s="459" t="n">
        <v>0</v>
      </c>
      <c r="BA17" s="459" t="n">
        <v>0</v>
      </c>
      <c r="BB17" s="459" t="n">
        <v>0</v>
      </c>
      <c r="BC17" s="459" t="n">
        <v>0</v>
      </c>
      <c r="BD17" s="459" t="n">
        <v>0</v>
      </c>
      <c r="BE17" s="459" t="n">
        <v>0</v>
      </c>
      <c r="BF17" s="459" t="n">
        <v>0</v>
      </c>
      <c r="BG17" s="459" t="n">
        <v>0</v>
      </c>
      <c r="BH17" s="459" t="n">
        <v>0</v>
      </c>
      <c r="BI17" s="459" t="n">
        <v>0</v>
      </c>
      <c r="BJ17" s="306" t="n"/>
    </row>
    <row r="18" ht="15" customHeight="1" s="307">
      <c r="A18" s="468" t="inlineStr">
        <is>
          <t>Operating Income</t>
        </is>
      </c>
      <c r="B18" s="470" t="n">
        <v>-0.24</v>
      </c>
      <c r="C18" s="470" t="n">
        <v>-1.84</v>
      </c>
      <c r="D18" s="470" t="n">
        <v>-0.47</v>
      </c>
      <c r="E18" s="470" t="n">
        <v>2.19</v>
      </c>
      <c r="F18" s="470" t="n">
        <v>9.609999999999999</v>
      </c>
      <c r="G18" s="470" t="n">
        <v>12.54</v>
      </c>
      <c r="H18" s="470" t="n">
        <v>17.01</v>
      </c>
      <c r="I18" s="470" t="n">
        <v>17.01</v>
      </c>
      <c r="J18" s="470" t="n">
        <v>19.36</v>
      </c>
      <c r="K18" s="470" t="n">
        <v>19.14</v>
      </c>
      <c r="L18" s="470" t="n">
        <v>21.67</v>
      </c>
      <c r="M18" s="470" t="n">
        <v>21.48</v>
      </c>
      <c r="N18" s="470" t="n">
        <v>24.05</v>
      </c>
      <c r="O18" s="470" t="n">
        <v>25.16</v>
      </c>
      <c r="P18" s="470" t="n">
        <v>25.04</v>
      </c>
      <c r="Q18" s="470" t="n">
        <v>17.88</v>
      </c>
      <c r="R18" s="470" t="n">
        <v>23.41</v>
      </c>
      <c r="S18" s="470" t="n">
        <v>22.37</v>
      </c>
      <c r="T18" s="470" t="n">
        <v>21.36</v>
      </c>
      <c r="U18" s="470" t="n">
        <v>11.18</v>
      </c>
      <c r="V18" s="470" t="n">
        <v>19.47</v>
      </c>
      <c r="W18" s="470" t="n">
        <v>18.58</v>
      </c>
      <c r="X18" s="470" t="n">
        <v>17.73</v>
      </c>
      <c r="Y18" s="470" t="n">
        <v>10.79</v>
      </c>
      <c r="Z18" s="470" t="n">
        <v>16.12</v>
      </c>
      <c r="AA18" s="470" t="n">
        <v>15.36</v>
      </c>
      <c r="AB18" s="470" t="n">
        <v>14.64</v>
      </c>
      <c r="AC18" s="470" t="n">
        <v>10.46</v>
      </c>
      <c r="AD18" s="470" t="n">
        <v>13.27</v>
      </c>
      <c r="AE18" s="470" t="n">
        <v>12.63</v>
      </c>
      <c r="AF18" s="470" t="n">
        <v>12.01</v>
      </c>
      <c r="AG18" s="470" t="n">
        <v>10.18</v>
      </c>
      <c r="AH18" s="470" t="n">
        <v>10.85</v>
      </c>
      <c r="AI18" s="470" t="n">
        <v>10.31</v>
      </c>
      <c r="AJ18" s="470" t="n">
        <v>9.779999999999999</v>
      </c>
      <c r="AK18" s="470" t="n">
        <v>9.279999999999999</v>
      </c>
      <c r="AL18" s="470" t="n">
        <v>8.800000000000001</v>
      </c>
      <c r="AM18" s="470" t="n">
        <v>8.33</v>
      </c>
      <c r="AN18" s="470" t="n">
        <v>7.89</v>
      </c>
      <c r="AO18" s="470" t="n">
        <v>7.46</v>
      </c>
      <c r="AP18" s="470" t="n">
        <v>7.05</v>
      </c>
      <c r="AQ18" s="470" t="n">
        <v>6.65</v>
      </c>
      <c r="AR18" s="470" t="n">
        <v>6.27</v>
      </c>
      <c r="AS18" s="470" t="n">
        <v>5.91</v>
      </c>
      <c r="AT18" s="470" t="n">
        <v>5.56</v>
      </c>
      <c r="AU18" s="470" t="n">
        <v>5.22</v>
      </c>
      <c r="AV18" s="470" t="n">
        <v>4.9</v>
      </c>
      <c r="AW18" s="470" t="n">
        <v>4.59</v>
      </c>
      <c r="AX18" s="470" t="n">
        <v>4.3</v>
      </c>
      <c r="AY18" s="470" t="n">
        <v>4.01</v>
      </c>
      <c r="AZ18" s="470" t="n">
        <v>3.74</v>
      </c>
      <c r="BA18" s="470" t="n">
        <v>3.47</v>
      </c>
      <c r="BB18" s="470" t="n">
        <v>3.22</v>
      </c>
      <c r="BC18" s="470" t="n">
        <v>2.98</v>
      </c>
      <c r="BD18" s="470" t="n">
        <v>2.75</v>
      </c>
      <c r="BE18" s="470" t="n">
        <v>2.52</v>
      </c>
      <c r="BF18" s="470" t="n">
        <v>2.31</v>
      </c>
      <c r="BG18" s="470" t="n">
        <v>2.1</v>
      </c>
      <c r="BH18" s="470" t="n">
        <v>1.91</v>
      </c>
      <c r="BI18" s="470" t="n">
        <v>1.72</v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 t="n">
        <v>0.75</v>
      </c>
      <c r="C20" s="459" t="n">
        <v>0.75</v>
      </c>
      <c r="D20" s="459" t="n">
        <v>0.75</v>
      </c>
      <c r="E20" s="459" t="n">
        <v>0.75</v>
      </c>
      <c r="F20" s="459" t="n">
        <v>0</v>
      </c>
      <c r="G20" s="459" t="n">
        <v>0</v>
      </c>
      <c r="H20" s="459" t="n">
        <v>0</v>
      </c>
      <c r="I20" s="459" t="n">
        <v>0</v>
      </c>
      <c r="J20" s="459" t="n">
        <v>0</v>
      </c>
      <c r="K20" s="459" t="n">
        <v>0</v>
      </c>
      <c r="L20" s="459" t="n">
        <v>0</v>
      </c>
      <c r="M20" s="459" t="n">
        <v>0</v>
      </c>
      <c r="N20" s="459" t="n">
        <v>0</v>
      </c>
      <c r="O20" s="459" t="n">
        <v>0</v>
      </c>
      <c r="P20" s="459" t="n">
        <v>0</v>
      </c>
      <c r="Q20" s="459" t="n">
        <v>0</v>
      </c>
      <c r="R20" s="459" t="n">
        <v>0</v>
      </c>
      <c r="S20" s="459" t="n">
        <v>0</v>
      </c>
      <c r="T20" s="459" t="n">
        <v>0</v>
      </c>
      <c r="U20" s="459" t="n">
        <v>0</v>
      </c>
      <c r="V20" s="459" t="n">
        <v>0</v>
      </c>
      <c r="W20" s="459" t="n">
        <v>0</v>
      </c>
      <c r="X20" s="459" t="n">
        <v>0</v>
      </c>
      <c r="Y20" s="459" t="n">
        <v>0</v>
      </c>
      <c r="Z20" s="459" t="n">
        <v>0</v>
      </c>
      <c r="AA20" s="459" t="n">
        <v>0</v>
      </c>
      <c r="AB20" s="459" t="n">
        <v>0</v>
      </c>
      <c r="AC20" s="459" t="n">
        <v>0</v>
      </c>
      <c r="AD20" s="459" t="n">
        <v>0</v>
      </c>
      <c r="AE20" s="459" t="n">
        <v>0</v>
      </c>
      <c r="AF20" s="459" t="n">
        <v>0</v>
      </c>
      <c r="AG20" s="459" t="n">
        <v>0</v>
      </c>
      <c r="AH20" s="459" t="n">
        <v>0</v>
      </c>
      <c r="AI20" s="459" t="n">
        <v>0</v>
      </c>
      <c r="AJ20" s="459" t="n">
        <v>0</v>
      </c>
      <c r="AK20" s="459" t="n">
        <v>0</v>
      </c>
      <c r="AL20" s="459" t="n">
        <v>0</v>
      </c>
      <c r="AM20" s="459" t="n">
        <v>0</v>
      </c>
      <c r="AN20" s="459" t="n">
        <v>0</v>
      </c>
      <c r="AO20" s="459" t="n">
        <v>0</v>
      </c>
      <c r="AP20" s="459" t="n">
        <v>0</v>
      </c>
      <c r="AQ20" s="459" t="n">
        <v>0</v>
      </c>
      <c r="AR20" s="459" t="n">
        <v>0</v>
      </c>
      <c r="AS20" s="459" t="n">
        <v>0</v>
      </c>
      <c r="AT20" s="459" t="n">
        <v>0</v>
      </c>
      <c r="AU20" s="459" t="n">
        <v>0</v>
      </c>
      <c r="AV20" s="459" t="n">
        <v>0</v>
      </c>
      <c r="AW20" s="459" t="n">
        <v>0</v>
      </c>
      <c r="AX20" s="459" t="n">
        <v>0</v>
      </c>
      <c r="AY20" s="459" t="n">
        <v>0</v>
      </c>
      <c r="AZ20" s="459" t="n">
        <v>0</v>
      </c>
      <c r="BA20" s="459" t="n">
        <v>0</v>
      </c>
      <c r="BB20" s="459" t="n">
        <v>0</v>
      </c>
      <c r="BC20" s="459" t="n">
        <v>0</v>
      </c>
      <c r="BD20" s="459" t="n">
        <v>0</v>
      </c>
      <c r="BE20" s="459" t="n">
        <v>0</v>
      </c>
      <c r="BF20" s="459" t="n">
        <v>0</v>
      </c>
      <c r="BG20" s="459" t="n">
        <v>0</v>
      </c>
      <c r="BH20" s="459" t="n">
        <v>0</v>
      </c>
      <c r="BI20" s="459" t="n">
        <v>0</v>
      </c>
      <c r="BJ20" s="306" t="n"/>
    </row>
    <row r="21" ht="15" customHeight="1" s="307">
      <c r="A21" s="321" t="inlineStr">
        <is>
          <t xml:space="preserve">    Retained (50%)</t>
        </is>
      </c>
      <c r="B21" s="459" t="n">
        <v>-0.5</v>
      </c>
      <c r="C21" s="459" t="n">
        <v>-1.3</v>
      </c>
      <c r="D21" s="459" t="n">
        <v>-0.61</v>
      </c>
      <c r="E21" s="459" t="n">
        <v>0.72</v>
      </c>
      <c r="F21" s="459" t="n">
        <v>4.81</v>
      </c>
      <c r="G21" s="459" t="n">
        <v>6.27</v>
      </c>
      <c r="H21" s="459" t="n">
        <v>8.5</v>
      </c>
      <c r="I21" s="459" t="n">
        <v>8.5</v>
      </c>
      <c r="J21" s="459" t="n">
        <v>9.68</v>
      </c>
      <c r="K21" s="459" t="n">
        <v>9.57</v>
      </c>
      <c r="L21" s="459" t="n">
        <v>10.83</v>
      </c>
      <c r="M21" s="459" t="n">
        <v>10.74</v>
      </c>
      <c r="N21" s="459" t="n">
        <v>0</v>
      </c>
      <c r="O21" s="459" t="n">
        <v>0</v>
      </c>
      <c r="P21" s="459" t="n">
        <v>0</v>
      </c>
      <c r="Q21" s="459" t="n">
        <v>0</v>
      </c>
      <c r="R21" s="459" t="n">
        <v>0</v>
      </c>
      <c r="S21" s="459" t="n">
        <v>0</v>
      </c>
      <c r="T21" s="459" t="n">
        <v>0</v>
      </c>
      <c r="U21" s="459" t="n">
        <v>0</v>
      </c>
      <c r="V21" s="459" t="n">
        <v>0</v>
      </c>
      <c r="W21" s="459" t="n">
        <v>0</v>
      </c>
      <c r="X21" s="459" t="n">
        <v>0</v>
      </c>
      <c r="Y21" s="459" t="n">
        <v>0</v>
      </c>
      <c r="Z21" s="459" t="n">
        <v>0</v>
      </c>
      <c r="AA21" s="459" t="n">
        <v>0</v>
      </c>
      <c r="AB21" s="459" t="n">
        <v>0</v>
      </c>
      <c r="AC21" s="459" t="n">
        <v>0</v>
      </c>
      <c r="AD21" s="459" t="n">
        <v>0</v>
      </c>
      <c r="AE21" s="459" t="n">
        <v>0</v>
      </c>
      <c r="AF21" s="459" t="n">
        <v>0</v>
      </c>
      <c r="AG21" s="459" t="n">
        <v>0</v>
      </c>
      <c r="AH21" s="459" t="n">
        <v>0</v>
      </c>
      <c r="AI21" s="459" t="n">
        <v>0</v>
      </c>
      <c r="AJ21" s="459" t="n">
        <v>0</v>
      </c>
      <c r="AK21" s="459" t="n">
        <v>0</v>
      </c>
      <c r="AL21" s="459" t="n">
        <v>0</v>
      </c>
      <c r="AM21" s="459" t="n">
        <v>0</v>
      </c>
      <c r="AN21" s="459" t="n">
        <v>0</v>
      </c>
      <c r="AO21" s="459" t="n">
        <v>0</v>
      </c>
      <c r="AP21" s="459" t="n">
        <v>0</v>
      </c>
      <c r="AQ21" s="459" t="n">
        <v>0</v>
      </c>
      <c r="AR21" s="459" t="n">
        <v>0</v>
      </c>
      <c r="AS21" s="459" t="n">
        <v>0</v>
      </c>
      <c r="AT21" s="459" t="n">
        <v>0</v>
      </c>
      <c r="AU21" s="459" t="n">
        <v>0</v>
      </c>
      <c r="AV21" s="459" t="n">
        <v>0</v>
      </c>
      <c r="AW21" s="459" t="n">
        <v>0</v>
      </c>
      <c r="AX21" s="459" t="n">
        <v>0</v>
      </c>
      <c r="AY21" s="459" t="n">
        <v>0</v>
      </c>
      <c r="AZ21" s="459" t="n">
        <v>0</v>
      </c>
      <c r="BA21" s="459" t="n">
        <v>0</v>
      </c>
      <c r="BB21" s="459" t="n">
        <v>0</v>
      </c>
      <c r="BC21" s="459" t="n">
        <v>0</v>
      </c>
      <c r="BD21" s="459" t="n">
        <v>0</v>
      </c>
      <c r="BE21" s="459" t="n">
        <v>0</v>
      </c>
      <c r="BF21" s="459" t="n">
        <v>0</v>
      </c>
      <c r="BG21" s="459" t="n">
        <v>0</v>
      </c>
      <c r="BH21" s="459" t="n">
        <v>0</v>
      </c>
      <c r="BI21" s="459" t="n">
        <v>0</v>
      </c>
      <c r="BJ21" s="306" t="n"/>
    </row>
    <row r="22" ht="15" customHeight="1" s="307">
      <c r="A22" s="322" t="inlineStr">
        <is>
          <t>Distributable Cash</t>
        </is>
      </c>
      <c r="B22" s="462" t="n">
        <v>-0.5</v>
      </c>
      <c r="C22" s="462" t="n">
        <v>-1.3</v>
      </c>
      <c r="D22" s="462" t="n">
        <v>-0.61</v>
      </c>
      <c r="E22" s="462" t="n">
        <v>0.72</v>
      </c>
      <c r="F22" s="462" t="n">
        <v>4.81</v>
      </c>
      <c r="G22" s="462" t="n">
        <v>6.27</v>
      </c>
      <c r="H22" s="462" t="n">
        <v>8.5</v>
      </c>
      <c r="I22" s="462" t="n">
        <v>8.5</v>
      </c>
      <c r="J22" s="462" t="n">
        <v>9.68</v>
      </c>
      <c r="K22" s="462" t="n">
        <v>9.57</v>
      </c>
      <c r="L22" s="462" t="n">
        <v>10.83</v>
      </c>
      <c r="M22" s="462" t="n">
        <v>10.74</v>
      </c>
      <c r="N22" s="462" t="n">
        <v>24.05</v>
      </c>
      <c r="O22" s="462" t="n">
        <v>25.16</v>
      </c>
      <c r="P22" s="462" t="n">
        <v>25.04</v>
      </c>
      <c r="Q22" s="462" t="n">
        <v>17.88</v>
      </c>
      <c r="R22" s="462" t="n">
        <v>23.41</v>
      </c>
      <c r="S22" s="462" t="n">
        <v>22.37</v>
      </c>
      <c r="T22" s="462" t="n">
        <v>21.36</v>
      </c>
      <c r="U22" s="462" t="n">
        <v>11.18</v>
      </c>
      <c r="V22" s="462" t="n">
        <v>19.47</v>
      </c>
      <c r="W22" s="462" t="n">
        <v>18.58</v>
      </c>
      <c r="X22" s="462" t="n">
        <v>17.73</v>
      </c>
      <c r="Y22" s="462" t="n">
        <v>10.79</v>
      </c>
      <c r="Z22" s="462" t="n">
        <v>16.12</v>
      </c>
      <c r="AA22" s="462" t="n">
        <v>15.36</v>
      </c>
      <c r="AB22" s="462" t="n">
        <v>14.64</v>
      </c>
      <c r="AC22" s="462" t="n">
        <v>10.46</v>
      </c>
      <c r="AD22" s="462" t="n">
        <v>13.27</v>
      </c>
      <c r="AE22" s="462" t="n">
        <v>12.63</v>
      </c>
      <c r="AF22" s="462" t="n">
        <v>12.01</v>
      </c>
      <c r="AG22" s="462" t="n">
        <v>10.18</v>
      </c>
      <c r="AH22" s="462" t="n">
        <v>10.85</v>
      </c>
      <c r="AI22" s="462" t="n">
        <v>10.31</v>
      </c>
      <c r="AJ22" s="462" t="n">
        <v>9.779999999999999</v>
      </c>
      <c r="AK22" s="462" t="n">
        <v>9.279999999999999</v>
      </c>
      <c r="AL22" s="462" t="n">
        <v>8.800000000000001</v>
      </c>
      <c r="AM22" s="462" t="n">
        <v>8.33</v>
      </c>
      <c r="AN22" s="462" t="n">
        <v>7.89</v>
      </c>
      <c r="AO22" s="462" t="n">
        <v>7.46</v>
      </c>
      <c r="AP22" s="462" t="n">
        <v>7.05</v>
      </c>
      <c r="AQ22" s="462" t="n">
        <v>6.65</v>
      </c>
      <c r="AR22" s="462" t="n">
        <v>6.27</v>
      </c>
      <c r="AS22" s="462" t="n">
        <v>5.91</v>
      </c>
      <c r="AT22" s="462" t="n">
        <v>5.56</v>
      </c>
      <c r="AU22" s="462" t="n">
        <v>5.22</v>
      </c>
      <c r="AV22" s="462" t="n">
        <v>4.9</v>
      </c>
      <c r="AW22" s="462" t="n">
        <v>4.59</v>
      </c>
      <c r="AX22" s="462" t="n">
        <v>4.3</v>
      </c>
      <c r="AY22" s="462" t="n">
        <v>4.01</v>
      </c>
      <c r="AZ22" s="462" t="n">
        <v>3.74</v>
      </c>
      <c r="BA22" s="462" t="n">
        <v>3.47</v>
      </c>
      <c r="BB22" s="462" t="n">
        <v>3.22</v>
      </c>
      <c r="BC22" s="462" t="n">
        <v>2.98</v>
      </c>
      <c r="BD22" s="462" t="n">
        <v>2.75</v>
      </c>
      <c r="BE22" s="462" t="n">
        <v>2.52</v>
      </c>
      <c r="BF22" s="462" t="n">
        <v>2.31</v>
      </c>
      <c r="BG22" s="462" t="n">
        <v>2.1</v>
      </c>
      <c r="BH22" s="462" t="n">
        <v>1.91</v>
      </c>
      <c r="BI22" s="462" t="n">
        <v>1.72</v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526" t="inlineStr">
        <is>
          <t>PER-DEAL BREAKDOWN  |  60% MARGIN  |  No Recycling</t>
        </is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 t="n">
        <v>25.6</v>
      </c>
      <c r="E6" s="530" t="n">
        <v>1.5</v>
      </c>
      <c r="F6" s="531" t="n">
        <v>38.4</v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 t="n">
        <v>27.2</v>
      </c>
      <c r="E7" s="524" t="n">
        <v>1.4</v>
      </c>
      <c r="F7" s="537" t="n">
        <v>38.08</v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 t="n">
        <v>30.1</v>
      </c>
      <c r="E8" s="530" t="n">
        <v>1.6</v>
      </c>
      <c r="F8" s="531" t="n">
        <v>48.16</v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 t="n">
        <v>26</v>
      </c>
      <c r="E9" s="545" t="n">
        <v>1.3</v>
      </c>
      <c r="F9" s="546" t="n">
        <v>33.8</v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 t="n">
        <v>25.4</v>
      </c>
      <c r="E10" s="545" t="n">
        <v>1.3</v>
      </c>
      <c r="F10" s="546" t="n">
        <v>33.02</v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 t="n">
        <v>24</v>
      </c>
      <c r="E15" s="306" t="n">
        <v>1.25</v>
      </c>
      <c r="F15" s="306" t="n">
        <v>30</v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 t="n">
        <v>24</v>
      </c>
      <c r="E16" s="306" t="n">
        <v>1.25</v>
      </c>
      <c r="F16" s="306" t="n">
        <v>30</v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 t="n">
        <v>24</v>
      </c>
      <c r="E17" s="306" t="n">
        <v>1.25</v>
      </c>
      <c r="F17" s="306" t="n">
        <v>30</v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 t="n">
        <v>24</v>
      </c>
      <c r="E18" s="306" t="n">
        <v>1.25</v>
      </c>
      <c r="F18" s="306" t="n">
        <v>30</v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D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Pulls from Tab 1 per-deal row and shows 15Y P&amp;L for that deal alone.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</t>
        </is>
      </c>
      <c r="B7" s="306">
        <f>IF(B4&lt;=5, INDEX('1. Press Assumptions'!$H$89:$H$93, B4), INDEX('1. Press Assumptions'!$H$96:$H$99, B4-5))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19"/>
  </cols>
  <sheetData>
    <row r="1" ht="17.25" customHeight="1" s="307">
      <c r="A1" s="308" t="inlineStr">
        <is>
          <t>BID MODEL SENSITIVITY -- Single Deal Returns</t>
        </is>
      </c>
    </row>
    <row r="2" ht="15" customHeight="1" s="307">
      <c r="A2" s="310" t="inlineStr">
        <is>
          <t>Base: $24M ARR, 60% net margin, 15-year hold, no exit. All blue cells adjustable on Tab 1.</t>
        </is>
      </c>
    </row>
    <row r="4" ht="15" customHeight="1" s="307">
      <c r="A4" s="311" t="inlineStr">
        <is>
          <t>DEAL-LEVEL MOIC</t>
        </is>
      </c>
      <c r="B4" s="309" t="n"/>
      <c r="C4" s="309" t="n"/>
      <c r="D4" s="309" t="n"/>
      <c r="E4" s="309" t="n"/>
      <c r="F4" s="309" t="n"/>
      <c r="G4" s="309" t="n"/>
      <c r="H4" s="309" t="n"/>
    </row>
    <row r="5" ht="15" customHeight="1" s="307">
      <c r="A5" s="312" t="inlineStr">
        <is>
          <t>NDR \ Entry Multiple</t>
        </is>
      </c>
      <c r="B5" s="555" t="n">
        <v>0.75</v>
      </c>
      <c r="C5" s="555" t="n">
        <v>1</v>
      </c>
      <c r="D5" s="555" t="n">
        <v>1.1</v>
      </c>
      <c r="E5" s="555" t="n">
        <v>1.25</v>
      </c>
      <c r="F5" s="555" t="n">
        <v>1.5</v>
      </c>
      <c r="G5" s="555" t="n">
        <v>1.75</v>
      </c>
      <c r="H5" s="555" t="n">
        <v>2</v>
      </c>
    </row>
    <row r="6" ht="15" customHeight="1" s="307">
      <c r="A6" s="556" t="n">
        <v>0.7</v>
      </c>
      <c r="B6" s="557" t="n">
        <v>2.11176286820483</v>
      </c>
      <c r="C6" s="557" t="n">
        <v>1.58382215115362</v>
      </c>
      <c r="D6" s="557" t="n">
        <v>1.43983831923056</v>
      </c>
      <c r="E6" s="557" t="n">
        <v>1.2670577209229</v>
      </c>
      <c r="F6" s="557" t="n">
        <v>1.05588143410241</v>
      </c>
      <c r="G6" s="442" t="n">
        <v>0.90504122923064</v>
      </c>
      <c r="H6" s="442" t="n">
        <v>0.79191107557681</v>
      </c>
    </row>
    <row r="7" ht="15" customHeight="1" s="307">
      <c r="A7" s="556" t="n">
        <v>0.75</v>
      </c>
      <c r="B7" s="557" t="n">
        <v>2.62283847200681</v>
      </c>
      <c r="C7" s="557" t="n">
        <v>1.9671288540051</v>
      </c>
      <c r="D7" s="557" t="n">
        <v>1.78829895818646</v>
      </c>
      <c r="E7" s="557" t="n">
        <v>1.57370308320408</v>
      </c>
      <c r="F7" s="557" t="n">
        <v>1.3114192360034</v>
      </c>
      <c r="G7" s="557" t="n">
        <v>1.12407363086006</v>
      </c>
      <c r="H7" s="442" t="n">
        <v>0.983564427002552</v>
      </c>
    </row>
    <row r="8" ht="15" customHeight="1" s="307">
      <c r="A8" s="556" t="n">
        <v>0.8</v>
      </c>
      <c r="B8" s="440" t="n">
        <v>3.33738885794294</v>
      </c>
      <c r="C8" s="557" t="n">
        <v>2.50304164345721</v>
      </c>
      <c r="D8" s="557" t="n">
        <v>2.27549240314291</v>
      </c>
      <c r="E8" s="557" t="n">
        <v>2.00243331476577</v>
      </c>
      <c r="F8" s="557" t="n">
        <v>1.66869442897147</v>
      </c>
      <c r="G8" s="557" t="n">
        <v>1.43030951054698</v>
      </c>
      <c r="H8" s="557" t="n">
        <v>1.2515208217286</v>
      </c>
    </row>
    <row r="9" ht="15" customHeight="1" s="307">
      <c r="A9" s="556" t="n">
        <v>0.85</v>
      </c>
      <c r="B9" s="440" t="n">
        <v>4.36912558168472</v>
      </c>
      <c r="C9" s="440" t="n">
        <v>3.27684418626354</v>
      </c>
      <c r="D9" s="557" t="n">
        <v>2.97894926023958</v>
      </c>
      <c r="E9" s="558" t="n">
        <v>2.62147534901083</v>
      </c>
      <c r="F9" s="557" t="n">
        <v>2.18456279084236</v>
      </c>
      <c r="G9" s="557" t="n">
        <v>1.87248239215059</v>
      </c>
      <c r="H9" s="557" t="n">
        <v>1.63842209313177</v>
      </c>
    </row>
    <row r="10" ht="15" customHeight="1" s="307">
      <c r="A10" s="556" t="n">
        <v>0.9</v>
      </c>
      <c r="B10" s="440" t="n">
        <v>5.90229294373627</v>
      </c>
      <c r="C10" s="440" t="n">
        <v>4.42671970780221</v>
      </c>
      <c r="D10" s="440" t="n">
        <v>4.02429064345655</v>
      </c>
      <c r="E10" s="440" t="n">
        <v>3.54137576624176</v>
      </c>
      <c r="F10" s="557" t="n">
        <v>2.95114647186814</v>
      </c>
      <c r="G10" s="557" t="n">
        <v>2.52955411874412</v>
      </c>
      <c r="H10" s="557" t="n">
        <v>2.2133598539011</v>
      </c>
    </row>
    <row r="11" ht="15" customHeight="1" s="307">
      <c r="A11" s="556" t="n">
        <v>0.95</v>
      </c>
      <c r="B11" s="440" t="n">
        <v>8.23485795674339</v>
      </c>
      <c r="C11" s="440" t="n">
        <v>6.17614346755754</v>
      </c>
      <c r="D11" s="440" t="n">
        <v>5.61467587959776</v>
      </c>
      <c r="E11" s="440" t="n">
        <v>4.94091477404603</v>
      </c>
      <c r="F11" s="440" t="n">
        <v>4.11742897837169</v>
      </c>
      <c r="G11" s="440" t="n">
        <v>3.52922483860431</v>
      </c>
      <c r="H11" s="440" t="n">
        <v>3.08807173377877</v>
      </c>
    </row>
    <row r="12" ht="15" customHeight="1" s="307">
      <c r="A12" s="556" t="n">
        <v>1</v>
      </c>
      <c r="B12" s="440" t="n">
        <v>11.8461333333333</v>
      </c>
      <c r="C12" s="440" t="n">
        <v>8.884600000000001</v>
      </c>
      <c r="D12" s="440" t="n">
        <v>8.076909090909091</v>
      </c>
      <c r="E12" s="440" t="n">
        <v>7.10768</v>
      </c>
      <c r="F12" s="440" t="n">
        <v>5.92306666666667</v>
      </c>
      <c r="G12" s="440" t="n">
        <v>5.07691428571429</v>
      </c>
      <c r="H12" s="440" t="n">
        <v>4.4423</v>
      </c>
    </row>
    <row r="15" ht="15" customHeight="1" s="307">
      <c r="A15" s="311" t="inlineStr">
        <is>
          <t>DEAL-LEVEL IRR</t>
        </is>
      </c>
      <c r="B15" s="309" t="n"/>
      <c r="C15" s="309" t="n"/>
      <c r="D15" s="309" t="n"/>
      <c r="E15" s="309" t="n"/>
      <c r="F15" s="309" t="n"/>
      <c r="G15" s="309" t="n"/>
      <c r="H15" s="309" t="n"/>
    </row>
    <row r="16" ht="15" customHeight="1" s="307">
      <c r="A16" s="312" t="inlineStr">
        <is>
          <t>NDR \ Entry Multiple</t>
        </is>
      </c>
      <c r="B16" s="555" t="n">
        <v>0.75</v>
      </c>
      <c r="C16" s="555" t="n">
        <v>1</v>
      </c>
      <c r="D16" s="555" t="n">
        <v>1.1</v>
      </c>
      <c r="E16" s="555" t="n">
        <v>1.25</v>
      </c>
      <c r="F16" s="555" t="n">
        <v>1.5</v>
      </c>
      <c r="G16" s="555" t="n">
        <v>1.75</v>
      </c>
      <c r="H16" s="555" t="n">
        <v>2</v>
      </c>
    </row>
    <row r="17" ht="15" customHeight="1" s="307">
      <c r="A17" s="556" t="n">
        <v>0.7</v>
      </c>
      <c r="B17" s="559" t="n">
        <v>0.715107232005819</v>
      </c>
      <c r="C17" s="559" t="n">
        <v>0.294284085317356</v>
      </c>
      <c r="D17" s="560" t="n">
        <v>0.209625477854206</v>
      </c>
      <c r="E17" s="560" t="n">
        <v>0.11964174107067</v>
      </c>
      <c r="F17" s="560" t="n">
        <v>0.0234040686389115</v>
      </c>
      <c r="G17" s="561" t="n">
        <v>-0.0381413863540497</v>
      </c>
      <c r="H17" s="561" t="n">
        <v>-0.0813348951443931</v>
      </c>
    </row>
    <row r="18" ht="15" customHeight="1" s="307">
      <c r="A18" s="556" t="n">
        <v>0.75</v>
      </c>
      <c r="B18" s="559" t="n">
        <v>0.921878292954206</v>
      </c>
      <c r="C18" s="559" t="n">
        <v>0.423305625756277</v>
      </c>
      <c r="D18" s="559" t="n">
        <v>0.325275386940107</v>
      </c>
      <c r="E18" s="560" t="n">
        <v>0.221921993203705</v>
      </c>
      <c r="F18" s="560" t="n">
        <v>0.11238818022502</v>
      </c>
      <c r="G18" s="560" t="n">
        <v>0.0429228767511237</v>
      </c>
      <c r="H18" s="561" t="n">
        <v>-0.00553471790177018</v>
      </c>
    </row>
    <row r="19" ht="15" customHeight="1" s="307">
      <c r="A19" s="556" t="n">
        <v>0.8</v>
      </c>
      <c r="B19" s="559" t="n">
        <v>1.14596816118412</v>
      </c>
      <c r="C19" s="559" t="n">
        <v>0.558259992759498</v>
      </c>
      <c r="D19" s="559" t="n">
        <v>0.445420336602702</v>
      </c>
      <c r="E19" s="559" t="n">
        <v>0.32742424699472</v>
      </c>
      <c r="F19" s="560" t="n">
        <v>0.203500877760577</v>
      </c>
      <c r="G19" s="560" t="n">
        <v>0.125554112406268</v>
      </c>
      <c r="H19" s="560" t="n">
        <v>0.0715009968687407</v>
      </c>
    </row>
    <row r="20" ht="15" customHeight="1" s="307">
      <c r="A20" s="556" t="n">
        <v>0.85</v>
      </c>
      <c r="B20" s="559" t="n">
        <v>1.38936533970822</v>
      </c>
      <c r="C20" s="559" t="n">
        <v>0.69946067281447</v>
      </c>
      <c r="D20" s="559" t="n">
        <v>0.57024635381449</v>
      </c>
      <c r="E20" s="562" t="n">
        <v>0.436243533713976</v>
      </c>
      <c r="F20" s="559" t="n">
        <v>0.29677788936014</v>
      </c>
      <c r="G20" s="560" t="n">
        <v>0.209765331043524</v>
      </c>
      <c r="H20" s="560" t="n">
        <v>0.14977470436775</v>
      </c>
    </row>
    <row r="21" ht="15" customHeight="1" s="307">
      <c r="A21" s="556" t="n">
        <v>0.9</v>
      </c>
      <c r="B21" s="559" t="n">
        <v>1.65439225684279</v>
      </c>
      <c r="C21" s="559" t="n">
        <v>0.847249846267834</v>
      </c>
      <c r="D21" s="559" t="n">
        <v>0.699954700796305</v>
      </c>
      <c r="E21" s="559" t="n">
        <v>0.548482343075559</v>
      </c>
      <c r="F21" s="559" t="n">
        <v>0.392258543518732</v>
      </c>
      <c r="G21" s="559" t="n">
        <v>0.295572022363905</v>
      </c>
      <c r="H21" s="560" t="n">
        <v>0.229290886389679</v>
      </c>
    </row>
    <row r="22" ht="15" customHeight="1" s="307">
      <c r="A22" s="556" t="n">
        <v>0.95</v>
      </c>
      <c r="B22" s="559" t="n">
        <v>1.94377601323403</v>
      </c>
      <c r="C22" s="559" t="n">
        <v>1.00200080806274</v>
      </c>
      <c r="D22" s="559" t="n">
        <v>0.834762678682694</v>
      </c>
      <c r="E22" s="559" t="n">
        <v>0.664250682104001</v>
      </c>
      <c r="F22" s="559" t="n">
        <v>0.489985560186254</v>
      </c>
      <c r="G22" s="559" t="n">
        <v>0.382991905885215</v>
      </c>
      <c r="H22" s="559" t="n">
        <v>0.31005580206695</v>
      </c>
    </row>
    <row r="23" ht="15" customHeight="1" s="307">
      <c r="A23" s="556" t="n">
        <v>1</v>
      </c>
      <c r="B23" s="559" t="n">
        <v>2.26073836073997</v>
      </c>
      <c r="C23" s="559" t="n">
        <v>1.16412079983603</v>
      </c>
      <c r="D23" s="559" t="n">
        <v>0.9749046109471829</v>
      </c>
      <c r="E23" s="559" t="n">
        <v>0.7836662268446341</v>
      </c>
      <c r="F23" s="559" t="n">
        <v>0.590004905890665</v>
      </c>
      <c r="G23" s="559" t="n">
        <v>0.472044737287426</v>
      </c>
      <c r="H23" s="559" t="n">
        <v>0.392077289929049</v>
      </c>
    </row>
    <row r="26" ht="15" customHeight="1" s="307">
      <c r="A26" s="311" t="inlineStr">
        <is>
          <t>PURCHASE PRICE ($mm)</t>
        </is>
      </c>
      <c r="B26" s="309" t="n"/>
      <c r="C26" s="309" t="n"/>
      <c r="D26" s="309" t="n"/>
      <c r="E26" s="309" t="n"/>
      <c r="F26" s="309" t="n"/>
      <c r="G26" s="309" t="n"/>
      <c r="H26" s="309" t="n"/>
    </row>
    <row r="27" ht="15" customHeight="1" s="307">
      <c r="A27" s="312" t="inlineStr">
        <is>
          <t>Entry Multiple</t>
        </is>
      </c>
      <c r="B27" s="555" t="n">
        <v>0.75</v>
      </c>
      <c r="C27" s="555" t="n">
        <v>1</v>
      </c>
      <c r="D27" s="555" t="n">
        <v>1.1</v>
      </c>
      <c r="E27" s="555" t="n">
        <v>1.25</v>
      </c>
      <c r="F27" s="555" t="n">
        <v>1.5</v>
      </c>
      <c r="G27" s="555" t="n">
        <v>1.75</v>
      </c>
      <c r="H27" s="555" t="n">
        <v>2</v>
      </c>
    </row>
    <row r="28" ht="15" customHeight="1" s="307">
      <c r="A28" s="314" t="inlineStr">
        <is>
          <t>$24M ARR</t>
        </is>
      </c>
      <c r="B28" s="563" t="n">
        <v>18</v>
      </c>
      <c r="C28" s="563" t="n">
        <v>24</v>
      </c>
      <c r="D28" s="563" t="n">
        <v>26.4</v>
      </c>
      <c r="E28" s="564" t="n">
        <v>30</v>
      </c>
      <c r="F28" s="563" t="n">
        <v>36</v>
      </c>
      <c r="G28" s="563" t="n">
        <v>42</v>
      </c>
      <c r="H28" s="563" t="n">
        <v>48</v>
      </c>
    </row>
    <row r="30" ht="15" customHeight="1" s="307">
      <c r="A30" s="311" t="inlineStr">
        <is>
          <t>15-YEAR DEAL ECONOMICS BY NDR</t>
        </is>
      </c>
      <c r="B30" s="309" t="n"/>
      <c r="C30" s="309" t="n"/>
      <c r="D30" s="309" t="n"/>
      <c r="E30" s="309" t="n"/>
      <c r="F30" s="309" t="n"/>
      <c r="G30" s="309" t="n"/>
      <c r="H30" s="309" t="n"/>
    </row>
    <row r="31" ht="15" customHeight="1" s="307">
      <c r="A31" s="312" t="n"/>
      <c r="B31" s="565" t="n">
        <v>0.7</v>
      </c>
      <c r="C31" s="565" t="n">
        <v>0.75</v>
      </c>
      <c r="D31" s="565" t="n">
        <v>0.8</v>
      </c>
      <c r="E31" s="565" t="n">
        <v>0.85</v>
      </c>
      <c r="F31" s="565" t="n">
        <v>0.9</v>
      </c>
      <c r="G31" s="565" t="n">
        <v>0.95</v>
      </c>
      <c r="H31" s="565" t="n">
        <v>1</v>
      </c>
    </row>
    <row r="32" ht="15" customHeight="1" s="307">
      <c r="A32" s="314" t="inlineStr">
        <is>
          <t>15Y Revenue ($mm)</t>
        </is>
      </c>
      <c r="B32" s="563" t="n">
        <v>67.9688860461448</v>
      </c>
      <c r="C32" s="563" t="n">
        <v>83.30115416020421</v>
      </c>
      <c r="D32" s="563" t="n">
        <v>104.737665738288</v>
      </c>
      <c r="E32" s="564" t="n">
        <v>135.689767450542</v>
      </c>
      <c r="F32" s="563" t="n">
        <v>181.684788312088</v>
      </c>
      <c r="G32" s="563" t="n">
        <v>251.661738702302</v>
      </c>
      <c r="H32" s="563" t="n">
        <v>360</v>
      </c>
    </row>
    <row r="33" ht="15" customHeight="1" s="307">
      <c r="A33" s="314" t="inlineStr">
        <is>
          <t>15Y NOI ($mm)</t>
        </is>
      </c>
      <c r="B33" s="563" t="n">
        <v>40.7813316276869</v>
      </c>
      <c r="C33" s="563" t="n">
        <v>49.9806924961225</v>
      </c>
      <c r="D33" s="563" t="n">
        <v>62.8425994429729</v>
      </c>
      <c r="E33" s="564" t="n">
        <v>81.41386047032491</v>
      </c>
      <c r="F33" s="563" t="n">
        <v>109.010872987253</v>
      </c>
      <c r="G33" s="563" t="n">
        <v>150.997043221381</v>
      </c>
      <c r="H33" s="563" t="n">
        <v>216</v>
      </c>
    </row>
    <row r="34" ht="15" customHeight="1" s="307">
      <c r="A34" s="314" t="inlineStr">
        <is>
          <t>15Y Cash ($mm)</t>
        </is>
      </c>
      <c r="B34" s="563" t="n">
        <v>38.0117316276869</v>
      </c>
      <c r="C34" s="563" t="n">
        <v>47.2110924961225</v>
      </c>
      <c r="D34" s="563" t="n">
        <v>60.0729994429729</v>
      </c>
      <c r="E34" s="564" t="n">
        <v>78.64426047032489</v>
      </c>
      <c r="F34" s="563" t="n">
        <v>106.241272987253</v>
      </c>
      <c r="G34" s="563" t="n">
        <v>148.227443221381</v>
      </c>
      <c r="H34" s="563" t="n">
        <v>213.2304</v>
      </c>
    </row>
    <row r="35" ht="15" customHeight="1" s="307">
      <c r="A35" s="314" t="inlineStr">
        <is>
          <t>MOIC (at 1.25x)</t>
        </is>
      </c>
      <c r="B35" s="557" t="n">
        <v>1.2670577209229</v>
      </c>
      <c r="C35" s="557" t="n">
        <v>1.57370308320408</v>
      </c>
      <c r="D35" s="557" t="n">
        <v>2.00243331476577</v>
      </c>
      <c r="E35" s="558" t="n">
        <v>2.62147534901083</v>
      </c>
      <c r="F35" s="440" t="n">
        <v>3.54137576624176</v>
      </c>
      <c r="G35" s="440" t="n">
        <v>4.94091477404603</v>
      </c>
      <c r="H35" s="440" t="n">
        <v>7.10768</v>
      </c>
    </row>
    <row r="36" ht="15" customHeight="1" s="307">
      <c r="A36" s="314" t="inlineStr">
        <is>
          <t>IRR (at 1.25x)</t>
        </is>
      </c>
      <c r="B36" s="560" t="n">
        <v>0.11964174107067</v>
      </c>
      <c r="C36" s="560" t="n">
        <v>0.221921993203705</v>
      </c>
      <c r="D36" s="559" t="n">
        <v>0.32742424699472</v>
      </c>
      <c r="E36" s="562" t="n">
        <v>0.436243533713976</v>
      </c>
      <c r="F36" s="559" t="n">
        <v>0.548482343075559</v>
      </c>
      <c r="G36" s="559" t="n">
        <v>0.664250682104001</v>
      </c>
      <c r="H36" s="559" t="n">
        <v>0.7836662268446341</v>
      </c>
    </row>
    <row r="39" ht="15" customHeight="1" s="307">
      <c r="A39" s="310" t="inlineStr">
        <is>
          <t>Green = target zone (3x+ MOIC, 25%+ IRR). Red = below water. Gold = base case.</t>
        </is>
      </c>
    </row>
    <row r="40" ht="15" customHeight="1" s="307">
      <c r="A40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2" customWidth="1" style="306" min="2" max="13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471" t="inlineStr">
        <is>
          <t>FUND I  --  10-YEAR SENSITIVITY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6" t="n"/>
      <c r="O1" s="306" t="n"/>
      <c r="P1" s="306" t="n"/>
      <c r="Q1" s="306" t="n"/>
      <c r="R1" s="306" t="n"/>
      <c r="S1" s="306" t="n"/>
    </row>
    <row r="2" ht="15" customHeight="1" s="307">
      <c r="A2" s="593" t="inlineStr">
        <is>
          <t>$150M fund. 5 deals @ $24M ARR (No Recycle). Joint sensitivity on NDR x margin cap.</t>
        </is>
      </c>
      <c r="N2" s="306" t="n"/>
      <c r="O2" s="306" t="n"/>
      <c r="P2" s="306" t="n"/>
      <c r="Q2" s="306" t="n"/>
      <c r="R2" s="306" t="n"/>
      <c r="S2" s="306" t="n"/>
    </row>
    <row r="3" ht="15" customHeight="1" s="307">
      <c r="N3" s="306" t="n"/>
      <c r="O3" s="306" t="n"/>
      <c r="P3" s="306" t="n"/>
      <c r="Q3" s="306" t="n"/>
      <c r="R3" s="306" t="n"/>
      <c r="S3" s="306" t="n"/>
    </row>
    <row r="4" ht="15" customHeight="1" s="307">
      <c r="A4" s="325" t="inlineStr">
        <is>
          <t>10-YEAR DPI (LP MOIC)</t>
        </is>
      </c>
      <c r="B4" s="391" t="n"/>
      <c r="C4" s="391" t="n"/>
      <c r="D4" s="391" t="n"/>
      <c r="E4" s="391" t="n"/>
      <c r="F4" s="391" t="n"/>
      <c r="G4" s="391" t="n"/>
      <c r="H4" s="309" t="n"/>
      <c r="I4" s="309" t="n"/>
      <c r="J4" s="309" t="n"/>
      <c r="K4" s="309" t="n"/>
      <c r="L4" s="309" t="n"/>
      <c r="M4" s="309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72" t="inlineStr">
        <is>
          <t>NDR</t>
        </is>
      </c>
      <c r="B5" s="391" t="inlineStr">
        <is>
          <t>No Recycle (5 deals)</t>
        </is>
      </c>
      <c r="C5" s="391" t="inlineStr">
        <is>
          <t>50% Recycle (8 deals)</t>
        </is>
      </c>
      <c r="D5" s="391" t="inlineStr">
        <is>
          <t>100% Recycle (10 deals)</t>
        </is>
      </c>
      <c r="E5" s="504" t="n"/>
      <c r="F5" s="504" t="n"/>
      <c r="G5" s="504" t="n"/>
      <c r="N5" s="306" t="n"/>
      <c r="O5" s="306" t="n"/>
      <c r="P5" s="306" t="n"/>
      <c r="Q5" s="306" t="n"/>
      <c r="R5" s="306" t="n"/>
      <c r="S5" s="306" t="n"/>
    </row>
    <row r="6" ht="15" customHeight="1" s="307">
      <c r="A6" s="504" t="n">
        <v>0.8</v>
      </c>
      <c r="B6" s="358" t="n">
        <v>1.68633848020181</v>
      </c>
      <c r="C6" s="358" t="n">
        <v>2.30892629835148</v>
      </c>
      <c r="D6" s="358" t="n">
        <v>2.4658779994432</v>
      </c>
      <c r="E6" s="358" t="n"/>
      <c r="F6" s="358" t="n"/>
      <c r="G6" s="358" t="n"/>
      <c r="N6" s="306" t="n"/>
      <c r="O6" s="306" t="n"/>
      <c r="P6" s="306" t="n"/>
      <c r="Q6" s="306" t="n"/>
      <c r="R6" s="306" t="n"/>
      <c r="S6" s="306" t="n"/>
    </row>
    <row r="7" ht="15" customHeight="1" s="307">
      <c r="A7" s="504" t="n">
        <v>0.85</v>
      </c>
      <c r="B7" s="503" t="n">
        <v>2.18833274175009</v>
      </c>
      <c r="C7" s="503" t="n">
        <v>2.91240153360391</v>
      </c>
      <c r="D7" s="503" t="n">
        <v>3.11978676007793</v>
      </c>
      <c r="E7" s="354" t="n"/>
      <c r="F7" s="354" t="n"/>
      <c r="G7" s="354" t="n"/>
      <c r="N7" s="306" t="n"/>
      <c r="O7" s="306" t="n"/>
      <c r="P7" s="306" t="n"/>
      <c r="Q7" s="306" t="n"/>
      <c r="R7" s="306" t="n"/>
      <c r="S7" s="306" t="n"/>
    </row>
    <row r="8" ht="15" customHeight="1" s="307">
      <c r="A8" s="504" t="n">
        <v>0.9</v>
      </c>
      <c r="B8" s="358" t="n">
        <v>2.76818894624679</v>
      </c>
      <c r="C8" s="358" t="n">
        <v>3.61787505473747</v>
      </c>
      <c r="D8" s="358" t="n">
        <v>3.91454308280685</v>
      </c>
      <c r="E8" s="349" t="n"/>
      <c r="F8" s="349" t="n"/>
      <c r="G8" s="349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504" t="n">
        <v>0.95</v>
      </c>
      <c r="B9" s="358" t="n">
        <v>3.44375884785125</v>
      </c>
      <c r="C9" s="358" t="n">
        <v>4.49361379479581</v>
      </c>
      <c r="D9" s="358" t="n">
        <v>4.93805539412873</v>
      </c>
      <c r="E9" s="354" t="n"/>
      <c r="F9" s="354" t="n"/>
      <c r="G9" s="354" t="n"/>
      <c r="N9" s="306" t="n"/>
      <c r="O9" s="306" t="n"/>
      <c r="P9" s="306" t="n"/>
      <c r="Q9" s="306" t="n"/>
      <c r="R9" s="306" t="n"/>
      <c r="S9" s="306" t="n"/>
    </row>
    <row r="10" ht="15" customHeight="1" s="307">
      <c r="A10" s="504" t="n">
        <v>1</v>
      </c>
      <c r="B10" s="566" t="n">
        <v>4.28843474444444</v>
      </c>
      <c r="C10" s="566" t="n">
        <v>5.61516216444444</v>
      </c>
      <c r="D10" s="566" t="n">
        <v>6.26558333333334</v>
      </c>
      <c r="E10" s="354" t="n"/>
      <c r="F10" s="354" t="n"/>
      <c r="G10" s="354" t="n"/>
      <c r="N10" s="306" t="n"/>
      <c r="O10" s="306" t="n"/>
      <c r="P10" s="306" t="n"/>
      <c r="Q10" s="306" t="n"/>
      <c r="R10" s="306" t="n"/>
      <c r="S10" s="306" t="n"/>
    </row>
    <row r="11" ht="15" customHeight="1" s="307">
      <c r="A11" s="504" t="n">
        <v>1.05</v>
      </c>
      <c r="B11" s="566" t="n">
        <v>5.39266258287188</v>
      </c>
      <c r="C11" s="566" t="n">
        <v>7.05338561172306</v>
      </c>
      <c r="D11" s="566" t="n">
        <v>7.96049767841406</v>
      </c>
      <c r="E11" s="354" t="n"/>
      <c r="F11" s="354" t="n"/>
      <c r="G11" s="354" t="n"/>
      <c r="N11" s="306" t="n"/>
      <c r="O11" s="306" t="n"/>
      <c r="P11" s="306" t="n"/>
      <c r="Q11" s="306" t="n"/>
      <c r="R11" s="306" t="n"/>
      <c r="S11" s="306" t="n"/>
    </row>
    <row r="12" ht="15" customHeight="1" s="307">
      <c r="A12" s="321" t="n"/>
      <c r="B12" s="354" t="n"/>
      <c r="C12" s="354" t="n"/>
      <c r="D12" s="354" t="n"/>
      <c r="E12" s="354" t="n"/>
      <c r="F12" s="354" t="n"/>
      <c r="G12" s="354" t="n"/>
      <c r="N12" s="306" t="n"/>
      <c r="O12" s="306" t="n"/>
      <c r="P12" s="306" t="n"/>
      <c r="Q12" s="306" t="n"/>
      <c r="R12" s="306" t="n"/>
      <c r="S12" s="306" t="n"/>
    </row>
    <row r="13" ht="15" customHeight="1" s="307">
      <c r="A13" s="325" t="inlineStr">
        <is>
          <t>10-YEAR STAGED IRR</t>
        </is>
      </c>
      <c r="B13" s="567" t="n"/>
      <c r="C13" s="567" t="n"/>
      <c r="D13" s="567" t="n"/>
      <c r="E13" s="567" t="n"/>
      <c r="F13" s="567" t="n"/>
      <c r="G13" s="567" t="n"/>
      <c r="H13" s="309" t="n"/>
      <c r="I13" s="309" t="n"/>
      <c r="J13" s="309" t="n"/>
      <c r="K13" s="309" t="n"/>
      <c r="L13" s="309" t="n"/>
      <c r="M13" s="309" t="n"/>
      <c r="N13" s="306" t="n"/>
      <c r="O13" s="306" t="n"/>
      <c r="P13" s="306" t="n"/>
      <c r="Q13" s="306" t="n"/>
      <c r="R13" s="306" t="n"/>
      <c r="S13" s="306" t="n"/>
    </row>
    <row r="14" ht="15" customHeight="1" s="307">
      <c r="A14" s="472" t="inlineStr">
        <is>
          <t>NDR</t>
        </is>
      </c>
      <c r="B14" s="388" t="inlineStr">
        <is>
          <t>No Recycle (5 deals)</t>
        </is>
      </c>
      <c r="C14" s="388" t="inlineStr">
        <is>
          <t>50% Recycle (8 deals)</t>
        </is>
      </c>
      <c r="D14" s="388" t="inlineStr">
        <is>
          <t>100% Recycle (10 deals)</t>
        </is>
      </c>
      <c r="N14" s="306" t="n"/>
      <c r="O14" s="306" t="n"/>
      <c r="P14" s="306" t="n"/>
      <c r="Q14" s="306" t="n"/>
      <c r="R14" s="306" t="n"/>
      <c r="S14" s="306" t="n"/>
    </row>
    <row r="15" ht="15" customHeight="1" s="307">
      <c r="A15" s="504" t="n">
        <v>0.8</v>
      </c>
      <c r="B15" s="504" t="n">
        <v>0.179380954260117</v>
      </c>
      <c r="C15" s="504" t="n">
        <v>0.150627217720512</v>
      </c>
      <c r="D15" s="504" t="n">
        <v>0.10035117268075</v>
      </c>
      <c r="N15" s="306" t="n"/>
      <c r="O15" s="306" t="n"/>
      <c r="P15" s="306" t="n"/>
      <c r="Q15" s="306" t="n"/>
      <c r="R15" s="306" t="n"/>
      <c r="S15" s="306" t="n"/>
    </row>
    <row r="16" ht="15" customHeight="1" s="307">
      <c r="A16" s="504" t="n">
        <v>0.85</v>
      </c>
      <c r="B16" s="506" t="n">
        <v>0.272134814354736</v>
      </c>
      <c r="C16" s="506" t="n">
        <v>0.222741401814916</v>
      </c>
      <c r="D16" s="506" t="n">
        <v>0.164628201408313</v>
      </c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504" t="n">
        <v>0.9</v>
      </c>
      <c r="B17" s="504" t="n">
        <v>0.355054760825851</v>
      </c>
      <c r="C17" s="504" t="n">
        <v>0.289967559077893</v>
      </c>
      <c r="D17" s="504" t="n">
        <v>0.225598042560229</v>
      </c>
      <c r="N17" s="306" t="n"/>
      <c r="O17" s="306" t="n"/>
      <c r="P17" s="306" t="n"/>
      <c r="Q17" s="306" t="n"/>
      <c r="R17" s="306" t="n"/>
      <c r="S17" s="306" t="n"/>
    </row>
    <row r="18" ht="15" customHeight="1" s="307">
      <c r="A18" s="504" t="n">
        <v>0.95</v>
      </c>
      <c r="B18" s="504" t="n">
        <v>0.43109509900371</v>
      </c>
      <c r="C18" s="504" t="n">
        <v>0.355893622969821</v>
      </c>
      <c r="D18" s="504" t="n">
        <v>0.286560575834903</v>
      </c>
      <c r="N18" s="306" t="n"/>
      <c r="O18" s="306" t="n"/>
      <c r="P18" s="306" t="n"/>
      <c r="Q18" s="306" t="n"/>
      <c r="R18" s="306" t="n"/>
      <c r="S18" s="306" t="n"/>
    </row>
    <row r="19" ht="15" customHeight="1" s="307">
      <c r="A19" s="504" t="n">
        <v>1</v>
      </c>
      <c r="B19" s="568" t="n">
        <v>0.505982684418565</v>
      </c>
      <c r="C19" s="568" t="n">
        <v>0.42144926941834</v>
      </c>
      <c r="D19" s="568" t="n">
        <v>0.347525867749814</v>
      </c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504" t="n">
        <v>1.05</v>
      </c>
      <c r="B20" s="568" t="n">
        <v>0.580934587899852</v>
      </c>
      <c r="C20" s="568" t="n">
        <v>0.487124241450677</v>
      </c>
      <c r="D20" s="568" t="n">
        <v>0.408501871579639</v>
      </c>
      <c r="N20" s="306" t="n"/>
      <c r="O20" s="306" t="n"/>
      <c r="P20" s="306" t="n"/>
      <c r="Q20" s="306" t="n"/>
      <c r="R20" s="306" t="n"/>
      <c r="S20" s="306" t="n"/>
    </row>
    <row r="21" ht="15" customHeight="1" s="307">
      <c r="N21" s="306" t="n"/>
      <c r="O21" s="306" t="n"/>
      <c r="P21" s="306" t="n"/>
      <c r="Q21" s="306" t="n"/>
      <c r="R21" s="306" t="n"/>
      <c r="S21" s="306" t="n"/>
    </row>
    <row r="22" ht="15" customHeight="1" s="307">
      <c r="A22" s="325" t="inlineStr">
        <is>
          <t>15-YEAR DPI (LP MOIC)</t>
        </is>
      </c>
      <c r="B22" s="309" t="n"/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09" t="n"/>
      <c r="M22" s="309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472" t="inlineStr">
        <is>
          <t>NDR</t>
        </is>
      </c>
      <c r="B23" s="388" t="inlineStr">
        <is>
          <t>No Recycle (5 deals)</t>
        </is>
      </c>
      <c r="C23" s="388" t="inlineStr">
        <is>
          <t>50% Recycle (8 deals)</t>
        </is>
      </c>
      <c r="D23" s="388" t="inlineStr">
        <is>
          <t>100% Recycle (10 deals)</t>
        </is>
      </c>
      <c r="N23" s="306" t="n"/>
      <c r="O23" s="306" t="n"/>
      <c r="P23" s="306" t="n"/>
      <c r="Q23" s="306" t="n"/>
      <c r="R23" s="306" t="n"/>
      <c r="S23" s="306" t="n"/>
    </row>
    <row r="24" ht="15" customHeight="1" s="307">
      <c r="A24" s="504" t="n">
        <v>0.8</v>
      </c>
      <c r="B24" s="358" t="n">
        <v>1.69106698661687</v>
      </c>
      <c r="C24" s="358" t="n">
        <v>2.43244530953172</v>
      </c>
      <c r="D24" s="358" t="n">
        <v>2.69951604526408</v>
      </c>
      <c r="N24" s="306" t="n"/>
      <c r="O24" s="306" t="n"/>
      <c r="P24" s="306" t="n"/>
      <c r="Q24" s="306" t="n"/>
      <c r="R24" s="306" t="n"/>
      <c r="S24" s="306" t="n"/>
    </row>
    <row r="25" ht="15" customHeight="1" s="307">
      <c r="A25" s="504" t="n">
        <v>0.85</v>
      </c>
      <c r="B25" s="503" t="n">
        <v>2.34787321130789</v>
      </c>
      <c r="C25" s="503" t="n">
        <v>3.43138563821612</v>
      </c>
      <c r="D25" s="503" t="n">
        <v>3.84059905560255</v>
      </c>
      <c r="N25" s="306" t="n"/>
      <c r="O25" s="306" t="n"/>
      <c r="P25" s="306" t="n"/>
      <c r="Q25" s="306" t="n"/>
      <c r="R25" s="306" t="n"/>
      <c r="S25" s="306" t="n"/>
    </row>
    <row r="26" ht="15" customHeight="1" s="307">
      <c r="A26" s="504" t="n">
        <v>0.9</v>
      </c>
      <c r="B26" s="358" t="n">
        <v>3.39315890233367</v>
      </c>
      <c r="C26" s="358" t="n">
        <v>4.76780893336679</v>
      </c>
      <c r="D26" s="358" t="n">
        <v>5.26209825691763</v>
      </c>
      <c r="N26" s="306" t="n"/>
      <c r="O26" s="306" t="n"/>
      <c r="P26" s="306" t="n"/>
      <c r="Q26" s="306" t="n"/>
      <c r="R26" s="306" t="n"/>
      <c r="S26" s="306" t="n"/>
    </row>
    <row r="27" ht="15" customHeight="1" s="307">
      <c r="A27" s="504" t="n">
        <v>0.95</v>
      </c>
      <c r="B27" s="358" t="n">
        <v>4.77120023174719</v>
      </c>
      <c r="C27" s="358" t="n">
        <v>6.54276735643759</v>
      </c>
      <c r="D27" s="358" t="n">
        <v>7.45647666430149</v>
      </c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504" t="n">
        <v>1</v>
      </c>
      <c r="B28" s="566" t="n">
        <v>6.62676807777778</v>
      </c>
      <c r="C28" s="566" t="n">
        <v>9.153495497777779</v>
      </c>
      <c r="D28" s="566" t="n">
        <v>10.6039166666667</v>
      </c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504" t="n">
        <v>1.05</v>
      </c>
      <c r="B29" s="566" t="n">
        <v>9.46966031371637</v>
      </c>
      <c r="C29" s="566" t="n">
        <v>13.0942832301705</v>
      </c>
      <c r="D29" s="566" t="n">
        <v>15.337604982159</v>
      </c>
      <c r="N29" s="306" t="n"/>
      <c r="O29" s="306" t="n"/>
      <c r="P29" s="306" t="n"/>
      <c r="Q29" s="306" t="n"/>
      <c r="R29" s="306" t="n"/>
      <c r="S29" s="306" t="n"/>
    </row>
    <row r="30" ht="15" customHeight="1" s="307"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25" t="inlineStr">
        <is>
          <t>PAYBACK (MONTHS)</t>
        </is>
      </c>
      <c r="B31" s="309" t="n"/>
      <c r="C31" s="309" t="n"/>
      <c r="D31" s="309" t="n"/>
      <c r="E31" s="309" t="n"/>
      <c r="F31" s="309" t="n"/>
      <c r="G31" s="309" t="n"/>
      <c r="H31" s="309" t="n"/>
      <c r="I31" s="309" t="n"/>
      <c r="J31" s="309" t="n"/>
      <c r="K31" s="309" t="n"/>
      <c r="L31" s="309" t="n"/>
      <c r="M31" s="309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472" t="inlineStr">
        <is>
          <t>NDR</t>
        </is>
      </c>
      <c r="B32" s="388" t="inlineStr">
        <is>
          <t>No Recycle (5 deals)</t>
        </is>
      </c>
      <c r="C32" s="388" t="inlineStr">
        <is>
          <t>50% Recycle (8 deals)</t>
        </is>
      </c>
      <c r="D32" s="388" t="inlineStr">
        <is>
          <t>100% Recycle (10 deals)</t>
        </is>
      </c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504" t="n">
        <v>0.8</v>
      </c>
      <c r="B33" s="349" t="n">
        <v>47</v>
      </c>
      <c r="C33" s="349" t="n">
        <v>50</v>
      </c>
      <c r="D33" s="349" t="n">
        <v>54</v>
      </c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504" t="n">
        <v>0.85</v>
      </c>
      <c r="B34" s="508" t="n">
        <v>43</v>
      </c>
      <c r="C34" s="508" t="n">
        <v>47</v>
      </c>
      <c r="D34" s="508" t="n">
        <v>52</v>
      </c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504" t="n">
        <v>0.9</v>
      </c>
      <c r="B35" s="349" t="n">
        <v>40</v>
      </c>
      <c r="C35" s="349" t="n">
        <v>45</v>
      </c>
      <c r="D35" s="349" t="n">
        <v>50</v>
      </c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504" t="n">
        <v>0.95</v>
      </c>
      <c r="B36" s="349" t="n">
        <v>38</v>
      </c>
      <c r="C36" s="349" t="n">
        <v>43</v>
      </c>
      <c r="D36" s="349" t="n">
        <v>49</v>
      </c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504" t="n">
        <v>1</v>
      </c>
      <c r="B37" s="349" t="n">
        <v>35</v>
      </c>
      <c r="C37" s="349" t="n">
        <v>42</v>
      </c>
      <c r="D37" s="349" t="n">
        <v>47</v>
      </c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504" t="n">
        <v>1.05</v>
      </c>
      <c r="B38" s="349" t="n">
        <v>34</v>
      </c>
      <c r="C38" s="349" t="n">
        <v>41</v>
      </c>
      <c r="D38" s="349" t="n">
        <v>46</v>
      </c>
      <c r="N38" s="306" t="n"/>
      <c r="O38" s="306" t="n"/>
      <c r="P38" s="306" t="n"/>
      <c r="Q38" s="306" t="n"/>
      <c r="R38" s="306" t="n"/>
      <c r="S38" s="306" t="n"/>
    </row>
    <row r="39" ht="15" customHeight="1" s="307">
      <c r="N39" s="306" t="n"/>
      <c r="O39" s="306" t="n"/>
      <c r="P39" s="306" t="n"/>
      <c r="Q39" s="306" t="n"/>
      <c r="R39" s="306" t="n"/>
      <c r="S39" s="306" t="n"/>
    </row>
    <row r="40" ht="15" customHeight="1" s="307">
      <c r="A40" s="325" t="inlineStr">
        <is>
          <t>$5M LP  --  10Y CASH BACK</t>
        </is>
      </c>
      <c r="B40" s="309" t="n"/>
      <c r="C40" s="309" t="n"/>
      <c r="D40" s="309" t="n"/>
      <c r="E40" s="309" t="n"/>
      <c r="F40" s="309" t="n"/>
      <c r="G40" s="309" t="n"/>
      <c r="H40" s="309" t="n"/>
      <c r="I40" s="309" t="n"/>
      <c r="J40" s="309" t="n"/>
      <c r="K40" s="309" t="n"/>
      <c r="L40" s="309" t="n"/>
      <c r="M40" s="309" t="n"/>
      <c r="N40" s="306" t="n"/>
      <c r="O40" s="306" t="n"/>
      <c r="P40" s="306" t="n"/>
      <c r="Q40" s="306" t="n"/>
      <c r="R40" s="306" t="n"/>
      <c r="S40" s="306" t="n"/>
    </row>
    <row r="41" ht="15" customHeight="1" s="307">
      <c r="A41" s="472" t="inlineStr">
        <is>
          <t>NDR</t>
        </is>
      </c>
      <c r="B41" s="388" t="inlineStr">
        <is>
          <t>No Recycle (5 deals)</t>
        </is>
      </c>
      <c r="C41" s="388" t="inlineStr">
        <is>
          <t>50% Recycle (8 deals)</t>
        </is>
      </c>
      <c r="D41" s="388" t="inlineStr">
        <is>
          <t>100% Recycle (10 deals)</t>
        </is>
      </c>
      <c r="N41" s="306" t="n"/>
      <c r="O41" s="306" t="n"/>
      <c r="P41" s="306" t="n"/>
      <c r="Q41" s="306" t="n"/>
      <c r="R41" s="306" t="n"/>
      <c r="S41" s="306" t="n"/>
    </row>
    <row r="42" ht="15" customHeight="1" s="307">
      <c r="A42" s="648" t="inlineStr">
        <is>
          <t>JOINT SENSITIVITY:  NDR x MARGIN CAP   (No Recycle, 5 deals, $24M ARR each)</t>
        </is>
      </c>
      <c r="B42" s="649" t="n">
        <v>8.431692401009039</v>
      </c>
      <c r="C42" s="649" t="n">
        <v>11.5446314917574</v>
      </c>
      <c r="D42" s="649" t="n">
        <v>12.329389997216</v>
      </c>
      <c r="E42" s="650" t="n"/>
      <c r="F42" s="650" t="n"/>
      <c r="G42" s="650" t="n"/>
      <c r="H42" s="650" t="n"/>
      <c r="I42" s="650" t="n"/>
      <c r="N42" s="306" t="n"/>
      <c r="O42" s="306" t="n"/>
      <c r="P42" s="306" t="n"/>
      <c r="Q42" s="306" t="n"/>
      <c r="R42" s="306" t="n"/>
      <c r="S42" s="306" t="n"/>
    </row>
    <row r="43" ht="15" customHeight="1" s="307">
      <c r="A43" s="651" t="inlineStr">
        <is>
          <t>Closed-form approximation: revenue = 120 x NDR^(t-1); var costs 21%; fixed $11.5M/yr team comp + $13M Y1-2 legacy; bonus = max(0, EBITDA - margin_cap x revenue); LP gets RoC + 10% pref + 80% of profit (Tier 2).</t>
        </is>
      </c>
      <c r="B43" s="570" t="n">
        <v>10.9416637087504</v>
      </c>
      <c r="C43" s="570" t="n">
        <v>14.5620076680195</v>
      </c>
      <c r="D43" s="570" t="n">
        <v>15.5989338003896</v>
      </c>
      <c r="N43" s="306" t="n"/>
      <c r="O43" s="306" t="n"/>
      <c r="P43" s="306" t="n"/>
      <c r="Q43" s="306" t="n"/>
      <c r="R43" s="306" t="n"/>
      <c r="S43" s="306" t="n"/>
    </row>
    <row r="44" ht="15" customHeight="1" s="307">
      <c r="A44" s="651" t="inlineStr">
        <is>
          <t>Highlighted: GP stated case (NDR=0.85, m=62.5%). Cells = 15Y LP DPI.</t>
        </is>
      </c>
      <c r="B44" s="569" t="n">
        <v>13.8409447312339</v>
      </c>
      <c r="C44" s="569" t="n">
        <v>18.0893752736874</v>
      </c>
      <c r="D44" s="569" t="n">
        <v>19.5727154140343</v>
      </c>
      <c r="N44" s="306" t="n"/>
      <c r="O44" s="306" t="n"/>
      <c r="P44" s="306" t="n"/>
      <c r="Q44" s="306" t="n"/>
      <c r="R44" s="306" t="n"/>
      <c r="S44" s="306" t="n"/>
    </row>
    <row r="45" ht="15" customHeight="1" s="307">
      <c r="A45" s="652" t="inlineStr">
        <is>
          <t>Margin cap \ NDR</t>
        </is>
      </c>
      <c r="B45" s="653" t="n">
        <v>0.7</v>
      </c>
      <c r="C45" s="653" t="n">
        <v>0.8</v>
      </c>
      <c r="D45" s="653" t="n">
        <v>0.85</v>
      </c>
      <c r="E45" s="653" t="n">
        <v>0.9</v>
      </c>
      <c r="F45" s="653" t="n">
        <v>0.95</v>
      </c>
      <c r="G45" s="653" t="n">
        <v>1</v>
      </c>
      <c r="N45" s="306" t="n"/>
      <c r="O45" s="306" t="n"/>
      <c r="P45" s="306" t="n"/>
      <c r="Q45" s="306" t="n"/>
      <c r="R45" s="306" t="n"/>
      <c r="S45" s="306" t="n"/>
    </row>
    <row r="46" ht="15" customHeight="1" s="307">
      <c r="A46" s="654" t="n">
        <v>0.5</v>
      </c>
      <c r="B46" s="655">
        <f>(MIN(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Assumptions'!$B$116)),150) + MIN(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Assumptions'!$B$116))-150),30) + '1. Press Assumptions'!$B$40*MAX(0,((MIN((0.79*120*POWER($B$45,0)-26.5),($A46*120*POWER($B$45,0)))+MIN((0.79*120*POWER($B$45,1)-24.5),($A46*120*POWER($B$45,1)))+MIN((0.79*120*POWER($B$45,2)-13.5),($A46*120*POWER($B$45,2)))+MIN((0.79*120*POWER($B$45,3)-11.5),($A46*120*POWER($B$45,3)))+MIN((0.79*120*POWER($B$45,4)-11.5),($A46*120*POWER($B$45,4)))+MIN((0.79*120*POWER($B$45,5)-11.5),($A46*120*POWER($B$45,5)))+MIN((0.79*120*POWER($B$45,6)-11.5),($A46*120*POWER($B$45,6)))+MIN((0.79*120*POWER($B$45,7)-11.5),($A46*120*POWER($B$45,7)))+MIN((0.79*120*POWER($B$45,8)-11.5),($A46*120*POWER($B$45,8)))+MIN((0.79*120*POWER($B$45,9)-11.5),($A46*120*POWER($B$45,9)))+MIN((0.79*120*POWER($B$45,10)-11.5),($A46*120*POWER($B$45,10)))+MIN((0.79*120*POWER($B$45,11)-11.5),($A46*120*POWER($B$45,11)))+MIN((0.79*120*POWER($B$45,12)-11.5),($A46*120*POWER($B$45,12)))+MIN((0.79*120*POWER($B$45,13)-11.5),($A46*120*POWER($B$45,13)))+MIN((0.79*120*POWER($B$45,14)-11.5),($A46*120*POWER($B$45,14)))) - 6 - 3 + (120*POWER($B$45,9)*'1. Press Assumptions'!$B$116))-180))/150</f>
        <v/>
      </c>
      <c r="C46" s="655">
        <f>(MIN(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Assumptions'!$B$116)),150) + MIN(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Assumptions'!$B$116))-150),30) + '1. Press Assumptions'!$B$40*MAX(0,((MIN((0.79*120*POWER($C$45,0)-26.5),($A46*120*POWER($C$45,0)))+MIN((0.79*120*POWER($C$45,1)-24.5),($A46*120*POWER($C$45,1)))+MIN((0.79*120*POWER($C$45,2)-13.5),($A46*120*POWER($C$45,2)))+MIN((0.79*120*POWER($C$45,3)-11.5),($A46*120*POWER($C$45,3)))+MIN((0.79*120*POWER($C$45,4)-11.5),($A46*120*POWER($C$45,4)))+MIN((0.79*120*POWER($C$45,5)-11.5),($A46*120*POWER($C$45,5)))+MIN((0.79*120*POWER($C$45,6)-11.5),($A46*120*POWER($C$45,6)))+MIN((0.79*120*POWER($C$45,7)-11.5),($A46*120*POWER($C$45,7)))+MIN((0.79*120*POWER($C$45,8)-11.5),($A46*120*POWER($C$45,8)))+MIN((0.79*120*POWER($C$45,9)-11.5),($A46*120*POWER($C$45,9)))+MIN((0.79*120*POWER($C$45,10)-11.5),($A46*120*POWER($C$45,10)))+MIN((0.79*120*POWER($C$45,11)-11.5),($A46*120*POWER($C$45,11)))+MIN((0.79*120*POWER($C$45,12)-11.5),($A46*120*POWER($C$45,12)))+MIN((0.79*120*POWER($C$45,13)-11.5),($A46*120*POWER($C$45,13)))+MIN((0.79*120*POWER($C$45,14)-11.5),($A46*120*POWER($C$45,14)))) - 6 - 3 + (120*POWER($C$45,9)*'1. Press Assumptions'!$B$116))-180))/150</f>
        <v/>
      </c>
      <c r="D46" s="655">
        <f>(MIN(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Assumptions'!$B$116)),150) + MIN(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Assumptions'!$B$116))-150),30) + '1. Press Assumptions'!$B$40*MAX(0,((MIN((0.79*120*POWER($D$45,0)-26.5),($A46*120*POWER($D$45,0)))+MIN((0.79*120*POWER($D$45,1)-24.5),($A46*120*POWER($D$45,1)))+MIN((0.79*120*POWER($D$45,2)-13.5),($A46*120*POWER($D$45,2)))+MIN((0.79*120*POWER($D$45,3)-11.5),($A46*120*POWER($D$45,3)))+MIN((0.79*120*POWER($D$45,4)-11.5),($A46*120*POWER($D$45,4)))+MIN((0.79*120*POWER($D$45,5)-11.5),($A46*120*POWER($D$45,5)))+MIN((0.79*120*POWER($D$45,6)-11.5),($A46*120*POWER($D$45,6)))+MIN((0.79*120*POWER($D$45,7)-11.5),($A46*120*POWER($D$45,7)))+MIN((0.79*120*POWER($D$45,8)-11.5),($A46*120*POWER($D$45,8)))+MIN((0.79*120*POWER($D$45,9)-11.5),($A46*120*POWER($D$45,9)))+MIN((0.79*120*POWER($D$45,10)-11.5),($A46*120*POWER($D$45,10)))+MIN((0.79*120*POWER($D$45,11)-11.5),($A46*120*POWER($D$45,11)))+MIN((0.79*120*POWER($D$45,12)-11.5),($A46*120*POWER($D$45,12)))+MIN((0.79*120*POWER($D$45,13)-11.5),($A46*120*POWER($D$45,13)))+MIN((0.79*120*POWER($D$45,14)-11.5),($A46*120*POWER($D$45,14)))) - 6 - 3 + (120*POWER($D$45,9)*'1. Press Assumptions'!$B$116))-180))/150</f>
        <v/>
      </c>
      <c r="E46" s="656">
        <f>(MIN(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Assumptions'!$B$116)),150) + MIN(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Assumptions'!$B$116))-150),30) + '1. Press Assumptions'!$B$40*MAX(0,((MIN((0.79*120*POWER($E$45,0)-26.5),($A46*120*POWER($E$45,0)))+MIN((0.79*120*POWER($E$45,1)-24.5),($A46*120*POWER($E$45,1)))+MIN((0.79*120*POWER($E$45,2)-13.5),($A46*120*POWER($E$45,2)))+MIN((0.79*120*POWER($E$45,3)-11.5),($A46*120*POWER($E$45,3)))+MIN((0.79*120*POWER($E$45,4)-11.5),($A46*120*POWER($E$45,4)))+MIN((0.79*120*POWER($E$45,5)-11.5),($A46*120*POWER($E$45,5)))+MIN((0.79*120*POWER($E$45,6)-11.5),($A46*120*POWER($E$45,6)))+MIN((0.79*120*POWER($E$45,7)-11.5),($A46*120*POWER($E$45,7)))+MIN((0.79*120*POWER($E$45,8)-11.5),($A46*120*POWER($E$45,8)))+MIN((0.79*120*POWER($E$45,9)-11.5),($A46*120*POWER($E$45,9)))+MIN((0.79*120*POWER($E$45,10)-11.5),($A46*120*POWER($E$45,10)))+MIN((0.79*120*POWER($E$45,11)-11.5),($A46*120*POWER($E$45,11)))+MIN((0.79*120*POWER($E$45,12)-11.5),($A46*120*POWER($E$45,12)))+MIN((0.79*120*POWER($E$45,13)-11.5),($A46*120*POWER($E$45,13)))+MIN((0.79*120*POWER($E$45,14)-11.5),($A46*120*POWER($E$45,14)))) - 6 - 3 + (120*POWER($E$45,9)*'1. Press Assumptions'!$B$116))-180))/150</f>
        <v/>
      </c>
      <c r="F46" s="656">
        <f>(MIN(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Assumptions'!$B$116)),150) + MIN(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Assumptions'!$B$116))-150),30) + '1. Press Assumptions'!$B$40*MAX(0,((MIN((0.79*120*POWER($F$45,0)-26.5),($A46*120*POWER($F$45,0)))+MIN((0.79*120*POWER($F$45,1)-24.5),($A46*120*POWER($F$45,1)))+MIN((0.79*120*POWER($F$45,2)-13.5),($A46*120*POWER($F$45,2)))+MIN((0.79*120*POWER($F$45,3)-11.5),($A46*120*POWER($F$45,3)))+MIN((0.79*120*POWER($F$45,4)-11.5),($A46*120*POWER($F$45,4)))+MIN((0.79*120*POWER($F$45,5)-11.5),($A46*120*POWER($F$45,5)))+MIN((0.79*120*POWER($F$45,6)-11.5),($A46*120*POWER($F$45,6)))+MIN((0.79*120*POWER($F$45,7)-11.5),($A46*120*POWER($F$45,7)))+MIN((0.79*120*POWER($F$45,8)-11.5),($A46*120*POWER($F$45,8)))+MIN((0.79*120*POWER($F$45,9)-11.5),($A46*120*POWER($F$45,9)))+MIN((0.79*120*POWER($F$45,10)-11.5),($A46*120*POWER($F$45,10)))+MIN((0.79*120*POWER($F$45,11)-11.5),($A46*120*POWER($F$45,11)))+MIN((0.79*120*POWER($F$45,12)-11.5),($A46*120*POWER($F$45,12)))+MIN((0.79*120*POWER($F$45,13)-11.5),($A46*120*POWER($F$45,13)))+MIN((0.79*120*POWER($F$45,14)-11.5),($A46*120*POWER($F$45,14)))) - 6 - 3 + (120*POWER($F$45,9)*'1. Press Assumptions'!$B$116))-180))/150</f>
        <v/>
      </c>
      <c r="G46" s="656">
        <f>(MIN(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Assumptions'!$B$116)),150) + MIN(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Assumptions'!$B$116))-150),30) + '1. Press Assumptions'!$B$40*MAX(0,((MIN((0.79*120*POWER($G$45,0)-26.5),($A46*120*POWER($G$45,0)))+MIN((0.79*120*POWER($G$45,1)-24.5),($A46*120*POWER($G$45,1)))+MIN((0.79*120*POWER($G$45,2)-13.5),($A46*120*POWER($G$45,2)))+MIN((0.79*120*POWER($G$45,3)-11.5),($A46*120*POWER($G$45,3)))+MIN((0.79*120*POWER($G$45,4)-11.5),($A46*120*POWER($G$45,4)))+MIN((0.79*120*POWER($G$45,5)-11.5),($A46*120*POWER($G$45,5)))+MIN((0.79*120*POWER($G$45,6)-11.5),($A46*120*POWER($G$45,6)))+MIN((0.79*120*POWER($G$45,7)-11.5),($A46*120*POWER($G$45,7)))+MIN((0.79*120*POWER($G$45,8)-11.5),($A46*120*POWER($G$45,8)))+MIN((0.79*120*POWER($G$45,9)-11.5),($A46*120*POWER($G$45,9)))+MIN((0.79*120*POWER($G$45,10)-11.5),($A46*120*POWER($G$45,10)))+MIN((0.79*120*POWER($G$45,11)-11.5),($A46*120*POWER($G$45,11)))+MIN((0.79*120*POWER($G$45,12)-11.5),($A46*120*POWER($G$45,12)))+MIN((0.79*120*POWER($G$45,13)-11.5),($A46*120*POWER($G$45,13)))+MIN((0.79*120*POWER($G$45,14)-11.5),($A46*120*POWER($G$45,14)))) - 6 - 3 + (120*POWER($G$45,9)*'1. Press Assumptions'!$B$116))-180))/150</f>
        <v/>
      </c>
      <c r="N46" s="306" t="n"/>
      <c r="O46" s="306" t="n"/>
      <c r="P46" s="306" t="n"/>
      <c r="Q46" s="306" t="n"/>
      <c r="R46" s="306" t="n"/>
      <c r="S46" s="306" t="n"/>
    </row>
    <row r="47" ht="15" customHeight="1" s="307">
      <c r="A47" s="654" t="n">
        <v>0.55</v>
      </c>
      <c r="B47" s="655">
        <f>(MIN(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Assumptions'!$B$116)),150) + MIN(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Assumptions'!$B$116))-150),30) + '1. Press Assumptions'!$B$40*MAX(0,((MIN((0.79*120*POWER($B$45,0)-26.5),($A47*120*POWER($B$45,0)))+MIN((0.79*120*POWER($B$45,1)-24.5),($A47*120*POWER($B$45,1)))+MIN((0.79*120*POWER($B$45,2)-13.5),($A47*120*POWER($B$45,2)))+MIN((0.79*120*POWER($B$45,3)-11.5),($A47*120*POWER($B$45,3)))+MIN((0.79*120*POWER($B$45,4)-11.5),($A47*120*POWER($B$45,4)))+MIN((0.79*120*POWER($B$45,5)-11.5),($A47*120*POWER($B$45,5)))+MIN((0.79*120*POWER($B$45,6)-11.5),($A47*120*POWER($B$45,6)))+MIN((0.79*120*POWER($B$45,7)-11.5),($A47*120*POWER($B$45,7)))+MIN((0.79*120*POWER($B$45,8)-11.5),($A47*120*POWER($B$45,8)))+MIN((0.79*120*POWER($B$45,9)-11.5),($A47*120*POWER($B$45,9)))+MIN((0.79*120*POWER($B$45,10)-11.5),($A47*120*POWER($B$45,10)))+MIN((0.79*120*POWER($B$45,11)-11.5),($A47*120*POWER($B$45,11)))+MIN((0.79*120*POWER($B$45,12)-11.5),($A47*120*POWER($B$45,12)))+MIN((0.79*120*POWER($B$45,13)-11.5),($A47*120*POWER($B$45,13)))+MIN((0.79*120*POWER($B$45,14)-11.5),($A47*120*POWER($B$45,14)))) - 6 - 3 + (120*POWER($B$45,9)*'1. Press Assumptions'!$B$116))-180))/150</f>
        <v/>
      </c>
      <c r="C47" s="655">
        <f>(MIN(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Assumptions'!$B$116)),150) + MIN(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Assumptions'!$B$116))-150),30) + '1. Press Assumptions'!$B$40*MAX(0,((MIN((0.79*120*POWER($C$45,0)-26.5),($A47*120*POWER($C$45,0)))+MIN((0.79*120*POWER($C$45,1)-24.5),($A47*120*POWER($C$45,1)))+MIN((0.79*120*POWER($C$45,2)-13.5),($A47*120*POWER($C$45,2)))+MIN((0.79*120*POWER($C$45,3)-11.5),($A47*120*POWER($C$45,3)))+MIN((0.79*120*POWER($C$45,4)-11.5),($A47*120*POWER($C$45,4)))+MIN((0.79*120*POWER($C$45,5)-11.5),($A47*120*POWER($C$45,5)))+MIN((0.79*120*POWER($C$45,6)-11.5),($A47*120*POWER($C$45,6)))+MIN((0.79*120*POWER($C$45,7)-11.5),($A47*120*POWER($C$45,7)))+MIN((0.79*120*POWER($C$45,8)-11.5),($A47*120*POWER($C$45,8)))+MIN((0.79*120*POWER($C$45,9)-11.5),($A47*120*POWER($C$45,9)))+MIN((0.79*120*POWER($C$45,10)-11.5),($A47*120*POWER($C$45,10)))+MIN((0.79*120*POWER($C$45,11)-11.5),($A47*120*POWER($C$45,11)))+MIN((0.79*120*POWER($C$45,12)-11.5),($A47*120*POWER($C$45,12)))+MIN((0.79*120*POWER($C$45,13)-11.5),($A47*120*POWER($C$45,13)))+MIN((0.79*120*POWER($C$45,14)-11.5),($A47*120*POWER($C$45,14)))) - 6 - 3 + (120*POWER($C$45,9)*'1. Press Assumptions'!$B$116))-180))/150</f>
        <v/>
      </c>
      <c r="D47" s="655">
        <f>(MIN(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Assumptions'!$B$116)),150) + MIN(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Assumptions'!$B$116))-150),30) + '1. Press Assumptions'!$B$40*MAX(0,((MIN((0.79*120*POWER($D$45,0)-26.5),($A47*120*POWER($D$45,0)))+MIN((0.79*120*POWER($D$45,1)-24.5),($A47*120*POWER($D$45,1)))+MIN((0.79*120*POWER($D$45,2)-13.5),($A47*120*POWER($D$45,2)))+MIN((0.79*120*POWER($D$45,3)-11.5),($A47*120*POWER($D$45,3)))+MIN((0.79*120*POWER($D$45,4)-11.5),($A47*120*POWER($D$45,4)))+MIN((0.79*120*POWER($D$45,5)-11.5),($A47*120*POWER($D$45,5)))+MIN((0.79*120*POWER($D$45,6)-11.5),($A47*120*POWER($D$45,6)))+MIN((0.79*120*POWER($D$45,7)-11.5),($A47*120*POWER($D$45,7)))+MIN((0.79*120*POWER($D$45,8)-11.5),($A47*120*POWER($D$45,8)))+MIN((0.79*120*POWER($D$45,9)-11.5),($A47*120*POWER($D$45,9)))+MIN((0.79*120*POWER($D$45,10)-11.5),($A47*120*POWER($D$45,10)))+MIN((0.79*120*POWER($D$45,11)-11.5),($A47*120*POWER($D$45,11)))+MIN((0.79*120*POWER($D$45,12)-11.5),($A47*120*POWER($D$45,12)))+MIN((0.79*120*POWER($D$45,13)-11.5),($A47*120*POWER($D$45,13)))+MIN((0.79*120*POWER($D$45,14)-11.5),($A47*120*POWER($D$45,14)))) - 6 - 3 + (120*POWER($D$45,9)*'1. Press Assumptions'!$B$116))-180))/150</f>
        <v/>
      </c>
      <c r="E47" s="656">
        <f>(MIN(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Assumptions'!$B$116)),150) + MIN(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Assumptions'!$B$116))-150),30) + '1. Press Assumptions'!$B$40*MAX(0,((MIN((0.79*120*POWER($E$45,0)-26.5),($A47*120*POWER($E$45,0)))+MIN((0.79*120*POWER($E$45,1)-24.5),($A47*120*POWER($E$45,1)))+MIN((0.79*120*POWER($E$45,2)-13.5),($A47*120*POWER($E$45,2)))+MIN((0.79*120*POWER($E$45,3)-11.5),($A47*120*POWER($E$45,3)))+MIN((0.79*120*POWER($E$45,4)-11.5),($A47*120*POWER($E$45,4)))+MIN((0.79*120*POWER($E$45,5)-11.5),($A47*120*POWER($E$45,5)))+MIN((0.79*120*POWER($E$45,6)-11.5),($A47*120*POWER($E$45,6)))+MIN((0.79*120*POWER($E$45,7)-11.5),($A47*120*POWER($E$45,7)))+MIN((0.79*120*POWER($E$45,8)-11.5),($A47*120*POWER($E$45,8)))+MIN((0.79*120*POWER($E$45,9)-11.5),($A47*120*POWER($E$45,9)))+MIN((0.79*120*POWER($E$45,10)-11.5),($A47*120*POWER($E$45,10)))+MIN((0.79*120*POWER($E$45,11)-11.5),($A47*120*POWER($E$45,11)))+MIN((0.79*120*POWER($E$45,12)-11.5),($A47*120*POWER($E$45,12)))+MIN((0.79*120*POWER($E$45,13)-11.5),($A47*120*POWER($E$45,13)))+MIN((0.79*120*POWER($E$45,14)-11.5),($A47*120*POWER($E$45,14)))) - 6 - 3 + (120*POWER($E$45,9)*'1. Press Assumptions'!$B$116))-180))/150</f>
        <v/>
      </c>
      <c r="F47" s="656">
        <f>(MIN(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Assumptions'!$B$116)),150) + MIN(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Assumptions'!$B$116))-150),30) + '1. Press Assumptions'!$B$40*MAX(0,((MIN((0.79*120*POWER($F$45,0)-26.5),($A47*120*POWER($F$45,0)))+MIN((0.79*120*POWER($F$45,1)-24.5),($A47*120*POWER($F$45,1)))+MIN((0.79*120*POWER($F$45,2)-13.5),($A47*120*POWER($F$45,2)))+MIN((0.79*120*POWER($F$45,3)-11.5),($A47*120*POWER($F$45,3)))+MIN((0.79*120*POWER($F$45,4)-11.5),($A47*120*POWER($F$45,4)))+MIN((0.79*120*POWER($F$45,5)-11.5),($A47*120*POWER($F$45,5)))+MIN((0.79*120*POWER($F$45,6)-11.5),($A47*120*POWER($F$45,6)))+MIN((0.79*120*POWER($F$45,7)-11.5),($A47*120*POWER($F$45,7)))+MIN((0.79*120*POWER($F$45,8)-11.5),($A47*120*POWER($F$45,8)))+MIN((0.79*120*POWER($F$45,9)-11.5),($A47*120*POWER($F$45,9)))+MIN((0.79*120*POWER($F$45,10)-11.5),($A47*120*POWER($F$45,10)))+MIN((0.79*120*POWER($F$45,11)-11.5),($A47*120*POWER($F$45,11)))+MIN((0.79*120*POWER($F$45,12)-11.5),($A47*120*POWER($F$45,12)))+MIN((0.79*120*POWER($F$45,13)-11.5),($A47*120*POWER($F$45,13)))+MIN((0.79*120*POWER($F$45,14)-11.5),($A47*120*POWER($F$45,14)))) - 6 - 3 + (120*POWER($F$45,9)*'1. Press Assumptions'!$B$116))-180))/150</f>
        <v/>
      </c>
      <c r="G47" s="656">
        <f>(MIN(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Assumptions'!$B$116)),150) + MIN(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Assumptions'!$B$116))-150),30) + '1. Press Assumptions'!$B$40*MAX(0,((MIN((0.79*120*POWER($G$45,0)-26.5),($A47*120*POWER($G$45,0)))+MIN((0.79*120*POWER($G$45,1)-24.5),($A47*120*POWER($G$45,1)))+MIN((0.79*120*POWER($G$45,2)-13.5),($A47*120*POWER($G$45,2)))+MIN((0.79*120*POWER($G$45,3)-11.5),($A47*120*POWER($G$45,3)))+MIN((0.79*120*POWER($G$45,4)-11.5),($A47*120*POWER($G$45,4)))+MIN((0.79*120*POWER($G$45,5)-11.5),($A47*120*POWER($G$45,5)))+MIN((0.79*120*POWER($G$45,6)-11.5),($A47*120*POWER($G$45,6)))+MIN((0.79*120*POWER($G$45,7)-11.5),($A47*120*POWER($G$45,7)))+MIN((0.79*120*POWER($G$45,8)-11.5),($A47*120*POWER($G$45,8)))+MIN((0.79*120*POWER($G$45,9)-11.5),($A47*120*POWER($G$45,9)))+MIN((0.79*120*POWER($G$45,10)-11.5),($A47*120*POWER($G$45,10)))+MIN((0.79*120*POWER($G$45,11)-11.5),($A47*120*POWER($G$45,11)))+MIN((0.79*120*POWER($G$45,12)-11.5),($A47*120*POWER($G$45,12)))+MIN((0.79*120*POWER($G$45,13)-11.5),($A47*120*POWER($G$45,13)))+MIN((0.79*120*POWER($G$45,14)-11.5),($A47*120*POWER($G$45,14)))) - 6 - 3 + (120*POWER($G$45,9)*'1. Press Assumptions'!$B$116))-180))/150</f>
        <v/>
      </c>
      <c r="N47" s="306" t="n"/>
      <c r="O47" s="306" t="n"/>
      <c r="P47" s="306" t="n"/>
      <c r="Q47" s="306" t="n"/>
      <c r="R47" s="306" t="n"/>
      <c r="S47" s="306" t="n"/>
    </row>
    <row r="48" ht="15" customHeight="1" s="307">
      <c r="A48" s="654" t="n">
        <v>0.6</v>
      </c>
      <c r="B48" s="656">
        <f>(MIN(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Assumptions'!$B$116)),150) + MIN(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Assumptions'!$B$116))-150),30) + '1. Press Assumptions'!$B$40*MAX(0,((MIN((0.79*120*POWER($B$45,0)-26.5),($A48*120*POWER($B$45,0)))+MIN((0.79*120*POWER($B$45,1)-24.5),($A48*120*POWER($B$45,1)))+MIN((0.79*120*POWER($B$45,2)-13.5),($A48*120*POWER($B$45,2)))+MIN((0.79*120*POWER($B$45,3)-11.5),($A48*120*POWER($B$45,3)))+MIN((0.79*120*POWER($B$45,4)-11.5),($A48*120*POWER($B$45,4)))+MIN((0.79*120*POWER($B$45,5)-11.5),($A48*120*POWER($B$45,5)))+MIN((0.79*120*POWER($B$45,6)-11.5),($A48*120*POWER($B$45,6)))+MIN((0.79*120*POWER($B$45,7)-11.5),($A48*120*POWER($B$45,7)))+MIN((0.79*120*POWER($B$45,8)-11.5),($A48*120*POWER($B$45,8)))+MIN((0.79*120*POWER($B$45,9)-11.5),($A48*120*POWER($B$45,9)))+MIN((0.79*120*POWER($B$45,10)-11.5),($A48*120*POWER($B$45,10)))+MIN((0.79*120*POWER($B$45,11)-11.5),($A48*120*POWER($B$45,11)))+MIN((0.79*120*POWER($B$45,12)-11.5),($A48*120*POWER($B$45,12)))+MIN((0.79*120*POWER($B$45,13)-11.5),($A48*120*POWER($B$45,13)))+MIN((0.79*120*POWER($B$45,14)-11.5),($A48*120*POWER($B$45,14)))) - 6 - 3 + (120*POWER($B$45,9)*'1. Press Assumptions'!$B$116))-180))/150</f>
        <v/>
      </c>
      <c r="C48" s="656">
        <f>(MIN(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Assumptions'!$B$116)),150) + MIN(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Assumptions'!$B$116))-150),30) + '1. Press Assumptions'!$B$40*MAX(0,((MIN((0.79*120*POWER($C$45,0)-26.5),($A48*120*POWER($C$45,0)))+MIN((0.79*120*POWER($C$45,1)-24.5),($A48*120*POWER($C$45,1)))+MIN((0.79*120*POWER($C$45,2)-13.5),($A48*120*POWER($C$45,2)))+MIN((0.79*120*POWER($C$45,3)-11.5),($A48*120*POWER($C$45,3)))+MIN((0.79*120*POWER($C$45,4)-11.5),($A48*120*POWER($C$45,4)))+MIN((0.79*120*POWER($C$45,5)-11.5),($A48*120*POWER($C$45,5)))+MIN((0.79*120*POWER($C$45,6)-11.5),($A48*120*POWER($C$45,6)))+MIN((0.79*120*POWER($C$45,7)-11.5),($A48*120*POWER($C$45,7)))+MIN((0.79*120*POWER($C$45,8)-11.5),($A48*120*POWER($C$45,8)))+MIN((0.79*120*POWER($C$45,9)-11.5),($A48*120*POWER($C$45,9)))+MIN((0.79*120*POWER($C$45,10)-11.5),($A48*120*POWER($C$45,10)))+MIN((0.79*120*POWER($C$45,11)-11.5),($A48*120*POWER($C$45,11)))+MIN((0.79*120*POWER($C$45,12)-11.5),($A48*120*POWER($C$45,12)))+MIN((0.79*120*POWER($C$45,13)-11.5),($A48*120*POWER($C$45,13)))+MIN((0.79*120*POWER($C$45,14)-11.5),($A48*120*POWER($C$45,14)))) - 6 - 3 + (120*POWER($C$45,9)*'1. Press Assumptions'!$B$116))-180))/150</f>
        <v/>
      </c>
      <c r="D48" s="656">
        <f>(MIN(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Assumptions'!$B$116)),150) + MIN(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Assumptions'!$B$116))-150),30) + '1. Press Assumptions'!$B$40*MAX(0,((MIN((0.79*120*POWER($D$45,0)-26.5),($A48*120*POWER($D$45,0)))+MIN((0.79*120*POWER($D$45,1)-24.5),($A48*120*POWER($D$45,1)))+MIN((0.79*120*POWER($D$45,2)-13.5),($A48*120*POWER($D$45,2)))+MIN((0.79*120*POWER($D$45,3)-11.5),($A48*120*POWER($D$45,3)))+MIN((0.79*120*POWER($D$45,4)-11.5),($A48*120*POWER($D$45,4)))+MIN((0.79*120*POWER($D$45,5)-11.5),($A48*120*POWER($D$45,5)))+MIN((0.79*120*POWER($D$45,6)-11.5),($A48*120*POWER($D$45,6)))+MIN((0.79*120*POWER($D$45,7)-11.5),($A48*120*POWER($D$45,7)))+MIN((0.79*120*POWER($D$45,8)-11.5),($A48*120*POWER($D$45,8)))+MIN((0.79*120*POWER($D$45,9)-11.5),($A48*120*POWER($D$45,9)))+MIN((0.79*120*POWER($D$45,10)-11.5),($A48*120*POWER($D$45,10)))+MIN((0.79*120*POWER($D$45,11)-11.5),($A48*120*POWER($D$45,11)))+MIN((0.79*120*POWER($D$45,12)-11.5),($A48*120*POWER($D$45,12)))+MIN((0.79*120*POWER($D$45,13)-11.5),($A48*120*POWER($D$45,13)))+MIN((0.79*120*POWER($D$45,14)-11.5),($A48*120*POWER($D$45,14)))) - 6 - 3 + (120*POWER($D$45,9)*'1. Press Assumptions'!$B$116))-180))/150</f>
        <v/>
      </c>
      <c r="E48" s="656">
        <f>(MIN(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Assumptions'!$B$116)),150) + MIN(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Assumptions'!$B$116))-150),30) + '1. Press Assumptions'!$B$40*MAX(0,((MIN((0.79*120*POWER($E$45,0)-26.5),($A48*120*POWER($E$45,0)))+MIN((0.79*120*POWER($E$45,1)-24.5),($A48*120*POWER($E$45,1)))+MIN((0.79*120*POWER($E$45,2)-13.5),($A48*120*POWER($E$45,2)))+MIN((0.79*120*POWER($E$45,3)-11.5),($A48*120*POWER($E$45,3)))+MIN((0.79*120*POWER($E$45,4)-11.5),($A48*120*POWER($E$45,4)))+MIN((0.79*120*POWER($E$45,5)-11.5),($A48*120*POWER($E$45,5)))+MIN((0.79*120*POWER($E$45,6)-11.5),($A48*120*POWER($E$45,6)))+MIN((0.79*120*POWER($E$45,7)-11.5),($A48*120*POWER($E$45,7)))+MIN((0.79*120*POWER($E$45,8)-11.5),($A48*120*POWER($E$45,8)))+MIN((0.79*120*POWER($E$45,9)-11.5),($A48*120*POWER($E$45,9)))+MIN((0.79*120*POWER($E$45,10)-11.5),($A48*120*POWER($E$45,10)))+MIN((0.79*120*POWER($E$45,11)-11.5),($A48*120*POWER($E$45,11)))+MIN((0.79*120*POWER($E$45,12)-11.5),($A48*120*POWER($E$45,12)))+MIN((0.79*120*POWER($E$45,13)-11.5),($A48*120*POWER($E$45,13)))+MIN((0.79*120*POWER($E$45,14)-11.5),($A48*120*POWER($E$45,14)))) - 6 - 3 + (120*POWER($E$45,9)*'1. Press Assumptions'!$B$116))-180))/150</f>
        <v/>
      </c>
      <c r="F48" s="656">
        <f>(MIN(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Assumptions'!$B$116)),150) + MIN(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Assumptions'!$B$116))-150),30) + '1. Press Assumptions'!$B$40*MAX(0,((MIN((0.79*120*POWER($F$45,0)-26.5),($A48*120*POWER($F$45,0)))+MIN((0.79*120*POWER($F$45,1)-24.5),($A48*120*POWER($F$45,1)))+MIN((0.79*120*POWER($F$45,2)-13.5),($A48*120*POWER($F$45,2)))+MIN((0.79*120*POWER($F$45,3)-11.5),($A48*120*POWER($F$45,3)))+MIN((0.79*120*POWER($F$45,4)-11.5),($A48*120*POWER($F$45,4)))+MIN((0.79*120*POWER($F$45,5)-11.5),($A48*120*POWER($F$45,5)))+MIN((0.79*120*POWER($F$45,6)-11.5),($A48*120*POWER($F$45,6)))+MIN((0.79*120*POWER($F$45,7)-11.5),($A48*120*POWER($F$45,7)))+MIN((0.79*120*POWER($F$45,8)-11.5),($A48*120*POWER($F$45,8)))+MIN((0.79*120*POWER($F$45,9)-11.5),($A48*120*POWER($F$45,9)))+MIN((0.79*120*POWER($F$45,10)-11.5),($A48*120*POWER($F$45,10)))+MIN((0.79*120*POWER($F$45,11)-11.5),($A48*120*POWER($F$45,11)))+MIN((0.79*120*POWER($F$45,12)-11.5),($A48*120*POWER($F$45,12)))+MIN((0.79*120*POWER($F$45,13)-11.5),($A48*120*POWER($F$45,13)))+MIN((0.79*120*POWER($F$45,14)-11.5),($A48*120*POWER($F$45,14)))) - 6 - 3 + (120*POWER($F$45,9)*'1. Press Assumptions'!$B$116))-180))/150</f>
        <v/>
      </c>
      <c r="G48" s="656">
        <f>(MIN(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Assumptions'!$B$116)),150) + MIN(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Assumptions'!$B$116))-150),30) + '1. Press Assumptions'!$B$40*MAX(0,((MIN((0.79*120*POWER($G$45,0)-26.5),($A48*120*POWER($G$45,0)))+MIN((0.79*120*POWER($G$45,1)-24.5),($A48*120*POWER($G$45,1)))+MIN((0.79*120*POWER($G$45,2)-13.5),($A48*120*POWER($G$45,2)))+MIN((0.79*120*POWER($G$45,3)-11.5),($A48*120*POWER($G$45,3)))+MIN((0.79*120*POWER($G$45,4)-11.5),($A48*120*POWER($G$45,4)))+MIN((0.79*120*POWER($G$45,5)-11.5),($A48*120*POWER($G$45,5)))+MIN((0.79*120*POWER($G$45,6)-11.5),($A48*120*POWER($G$45,6)))+MIN((0.79*120*POWER($G$45,7)-11.5),($A48*120*POWER($G$45,7)))+MIN((0.79*120*POWER($G$45,8)-11.5),($A48*120*POWER($G$45,8)))+MIN((0.79*120*POWER($G$45,9)-11.5),($A48*120*POWER($G$45,9)))+MIN((0.79*120*POWER($G$45,10)-11.5),($A48*120*POWER($G$45,10)))+MIN((0.79*120*POWER($G$45,11)-11.5),($A48*120*POWER($G$45,11)))+MIN((0.79*120*POWER($G$45,12)-11.5),($A48*120*POWER($G$45,12)))+MIN((0.79*120*POWER($G$45,13)-11.5),($A48*120*POWER($G$45,13)))+MIN((0.79*120*POWER($G$45,14)-11.5),($A48*120*POWER($G$45,14)))) - 6 - 3 + (120*POWER($G$45,9)*'1. Press Assumptions'!$B$116))-180))/150</f>
        <v/>
      </c>
      <c r="N48" s="306" t="n"/>
      <c r="O48" s="306" t="n"/>
      <c r="P48" s="306" t="n"/>
      <c r="Q48" s="306" t="n"/>
      <c r="R48" s="306" t="n"/>
      <c r="S48" s="306" t="n"/>
    </row>
    <row r="49" ht="15" customHeight="1" s="307">
      <c r="A49" s="654" t="n">
        <v>0.625</v>
      </c>
      <c r="B49" s="656">
        <f>(MIN(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Assumptions'!$B$116)),150) + MIN(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Assumptions'!$B$116))-150),30) + '1. Press Assumptions'!$B$40*MAX(0,((MIN((0.79*120*POWER($B$45,0)-26.5),($A49*120*POWER($B$45,0)))+MIN((0.79*120*POWER($B$45,1)-24.5),($A49*120*POWER($B$45,1)))+MIN((0.79*120*POWER($B$45,2)-13.5),($A49*120*POWER($B$45,2)))+MIN((0.79*120*POWER($B$45,3)-11.5),($A49*120*POWER($B$45,3)))+MIN((0.79*120*POWER($B$45,4)-11.5),($A49*120*POWER($B$45,4)))+MIN((0.79*120*POWER($B$45,5)-11.5),($A49*120*POWER($B$45,5)))+MIN((0.79*120*POWER($B$45,6)-11.5),($A49*120*POWER($B$45,6)))+MIN((0.79*120*POWER($B$45,7)-11.5),($A49*120*POWER($B$45,7)))+MIN((0.79*120*POWER($B$45,8)-11.5),($A49*120*POWER($B$45,8)))+MIN((0.79*120*POWER($B$45,9)-11.5),($A49*120*POWER($B$45,9)))+MIN((0.79*120*POWER($B$45,10)-11.5),($A49*120*POWER($B$45,10)))+MIN((0.79*120*POWER($B$45,11)-11.5),($A49*120*POWER($B$45,11)))+MIN((0.79*120*POWER($B$45,12)-11.5),($A49*120*POWER($B$45,12)))+MIN((0.79*120*POWER($B$45,13)-11.5),($A49*120*POWER($B$45,13)))+MIN((0.79*120*POWER($B$45,14)-11.5),($A49*120*POWER($B$45,14)))) - 6 - 3 + (120*POWER($B$45,9)*'1. Press Assumptions'!$B$116))-180))/150</f>
        <v/>
      </c>
      <c r="C49" s="656">
        <f>(MIN(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Assumptions'!$B$116)),150) + MIN(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Assumptions'!$B$116))-150),30) + '1. Press Assumptions'!$B$40*MAX(0,((MIN((0.79*120*POWER($C$45,0)-26.5),($A49*120*POWER($C$45,0)))+MIN((0.79*120*POWER($C$45,1)-24.5),($A49*120*POWER($C$45,1)))+MIN((0.79*120*POWER($C$45,2)-13.5),($A49*120*POWER($C$45,2)))+MIN((0.79*120*POWER($C$45,3)-11.5),($A49*120*POWER($C$45,3)))+MIN((0.79*120*POWER($C$45,4)-11.5),($A49*120*POWER($C$45,4)))+MIN((0.79*120*POWER($C$45,5)-11.5),($A49*120*POWER($C$45,5)))+MIN((0.79*120*POWER($C$45,6)-11.5),($A49*120*POWER($C$45,6)))+MIN((0.79*120*POWER($C$45,7)-11.5),($A49*120*POWER($C$45,7)))+MIN((0.79*120*POWER($C$45,8)-11.5),($A49*120*POWER($C$45,8)))+MIN((0.79*120*POWER($C$45,9)-11.5),($A49*120*POWER($C$45,9)))+MIN((0.79*120*POWER($C$45,10)-11.5),($A49*120*POWER($C$45,10)))+MIN((0.79*120*POWER($C$45,11)-11.5),($A49*120*POWER($C$45,11)))+MIN((0.79*120*POWER($C$45,12)-11.5),($A49*120*POWER($C$45,12)))+MIN((0.79*120*POWER($C$45,13)-11.5),($A49*120*POWER($C$45,13)))+MIN((0.79*120*POWER($C$45,14)-11.5),($A49*120*POWER($C$45,14)))) - 6 - 3 + (120*POWER($C$45,9)*'1. Press Assumptions'!$B$116))-180))/150</f>
        <v/>
      </c>
      <c r="D49" s="657">
        <f>(MIN(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Assumptions'!$B$116)),150) + MIN(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Assumptions'!$B$116))-150),30) + '1. Press Assumptions'!$B$40*MAX(0,((MIN((0.79*120*POWER($D$45,0)-26.5),($A49*120*POWER($D$45,0)))+MIN((0.79*120*POWER($D$45,1)-24.5),($A49*120*POWER($D$45,1)))+MIN((0.79*120*POWER($D$45,2)-13.5),($A49*120*POWER($D$45,2)))+MIN((0.79*120*POWER($D$45,3)-11.5),($A49*120*POWER($D$45,3)))+MIN((0.79*120*POWER($D$45,4)-11.5),($A49*120*POWER($D$45,4)))+MIN((0.79*120*POWER($D$45,5)-11.5),($A49*120*POWER($D$45,5)))+MIN((0.79*120*POWER($D$45,6)-11.5),($A49*120*POWER($D$45,6)))+MIN((0.79*120*POWER($D$45,7)-11.5),($A49*120*POWER($D$45,7)))+MIN((0.79*120*POWER($D$45,8)-11.5),($A49*120*POWER($D$45,8)))+MIN((0.79*120*POWER($D$45,9)-11.5),($A49*120*POWER($D$45,9)))+MIN((0.79*120*POWER($D$45,10)-11.5),($A49*120*POWER($D$45,10)))+MIN((0.79*120*POWER($D$45,11)-11.5),($A49*120*POWER($D$45,11)))+MIN((0.79*120*POWER($D$45,12)-11.5),($A49*120*POWER($D$45,12)))+MIN((0.79*120*POWER($D$45,13)-11.5),($A49*120*POWER($D$45,13)))+MIN((0.79*120*POWER($D$45,14)-11.5),($A49*120*POWER($D$45,14)))) - 6 - 3 + (120*POWER($D$45,9)*'1. Press Assumptions'!$B$116))-180))/150</f>
        <v/>
      </c>
      <c r="E49" s="656">
        <f>(MIN(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Assumptions'!$B$116)),150) + MIN(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Assumptions'!$B$116))-150),30) + '1. Press Assumptions'!$B$40*MAX(0,((MIN((0.79*120*POWER($E$45,0)-26.5),($A49*120*POWER($E$45,0)))+MIN((0.79*120*POWER($E$45,1)-24.5),($A49*120*POWER($E$45,1)))+MIN((0.79*120*POWER($E$45,2)-13.5),($A49*120*POWER($E$45,2)))+MIN((0.79*120*POWER($E$45,3)-11.5),($A49*120*POWER($E$45,3)))+MIN((0.79*120*POWER($E$45,4)-11.5),($A49*120*POWER($E$45,4)))+MIN((0.79*120*POWER($E$45,5)-11.5),($A49*120*POWER($E$45,5)))+MIN((0.79*120*POWER($E$45,6)-11.5),($A49*120*POWER($E$45,6)))+MIN((0.79*120*POWER($E$45,7)-11.5),($A49*120*POWER($E$45,7)))+MIN((0.79*120*POWER($E$45,8)-11.5),($A49*120*POWER($E$45,8)))+MIN((0.79*120*POWER($E$45,9)-11.5),($A49*120*POWER($E$45,9)))+MIN((0.79*120*POWER($E$45,10)-11.5),($A49*120*POWER($E$45,10)))+MIN((0.79*120*POWER($E$45,11)-11.5),($A49*120*POWER($E$45,11)))+MIN((0.79*120*POWER($E$45,12)-11.5),($A49*120*POWER($E$45,12)))+MIN((0.79*120*POWER($E$45,13)-11.5),($A49*120*POWER($E$45,13)))+MIN((0.79*120*POWER($E$45,14)-11.5),($A49*120*POWER($E$45,14)))) - 6 - 3 + (120*POWER($E$45,9)*'1. Press Assumptions'!$B$116))-180))/150</f>
        <v/>
      </c>
      <c r="F49" s="656">
        <f>(MIN(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Assumptions'!$B$116)),150) + MIN(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Assumptions'!$B$116))-150),30) + '1. Press Assumptions'!$B$40*MAX(0,((MIN((0.79*120*POWER($F$45,0)-26.5),($A49*120*POWER($F$45,0)))+MIN((0.79*120*POWER($F$45,1)-24.5),($A49*120*POWER($F$45,1)))+MIN((0.79*120*POWER($F$45,2)-13.5),($A49*120*POWER($F$45,2)))+MIN((0.79*120*POWER($F$45,3)-11.5),($A49*120*POWER($F$45,3)))+MIN((0.79*120*POWER($F$45,4)-11.5),($A49*120*POWER($F$45,4)))+MIN((0.79*120*POWER($F$45,5)-11.5),($A49*120*POWER($F$45,5)))+MIN((0.79*120*POWER($F$45,6)-11.5),($A49*120*POWER($F$45,6)))+MIN((0.79*120*POWER($F$45,7)-11.5),($A49*120*POWER($F$45,7)))+MIN((0.79*120*POWER($F$45,8)-11.5),($A49*120*POWER($F$45,8)))+MIN((0.79*120*POWER($F$45,9)-11.5),($A49*120*POWER($F$45,9)))+MIN((0.79*120*POWER($F$45,10)-11.5),($A49*120*POWER($F$45,10)))+MIN((0.79*120*POWER($F$45,11)-11.5),($A49*120*POWER($F$45,11)))+MIN((0.79*120*POWER($F$45,12)-11.5),($A49*120*POWER($F$45,12)))+MIN((0.79*120*POWER($F$45,13)-11.5),($A49*120*POWER($F$45,13)))+MIN((0.79*120*POWER($F$45,14)-11.5),($A49*120*POWER($F$45,14)))) - 6 - 3 + (120*POWER($F$45,9)*'1. Press Assumptions'!$B$116))-180))/150</f>
        <v/>
      </c>
      <c r="G49" s="656">
        <f>(MIN(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Assumptions'!$B$116)),150) + MIN(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Assumptions'!$B$116))-150),30) + '1. Press Assumptions'!$B$40*MAX(0,((MIN((0.79*120*POWER($G$45,0)-26.5),($A49*120*POWER($G$45,0)))+MIN((0.79*120*POWER($G$45,1)-24.5),($A49*120*POWER($G$45,1)))+MIN((0.79*120*POWER($G$45,2)-13.5),($A49*120*POWER($G$45,2)))+MIN((0.79*120*POWER($G$45,3)-11.5),($A49*120*POWER($G$45,3)))+MIN((0.79*120*POWER($G$45,4)-11.5),($A49*120*POWER($G$45,4)))+MIN((0.79*120*POWER($G$45,5)-11.5),($A49*120*POWER($G$45,5)))+MIN((0.79*120*POWER($G$45,6)-11.5),($A49*120*POWER($G$45,6)))+MIN((0.79*120*POWER($G$45,7)-11.5),($A49*120*POWER($G$45,7)))+MIN((0.79*120*POWER($G$45,8)-11.5),($A49*120*POWER($G$45,8)))+MIN((0.79*120*POWER($G$45,9)-11.5),($A49*120*POWER($G$45,9)))+MIN((0.79*120*POWER($G$45,10)-11.5),($A49*120*POWER($G$45,10)))+MIN((0.79*120*POWER($G$45,11)-11.5),($A49*120*POWER($G$45,11)))+MIN((0.79*120*POWER($G$45,12)-11.5),($A49*120*POWER($G$45,12)))+MIN((0.79*120*POWER($G$45,13)-11.5),($A49*120*POWER($G$45,13)))+MIN((0.79*120*POWER($G$45,14)-11.5),($A49*120*POWER($G$45,14)))) - 6 - 3 + (120*POWER($G$45,9)*'1. Press Assumptions'!$B$116))-180))/150</f>
        <v/>
      </c>
      <c r="N49" s="306" t="n"/>
      <c r="O49" s="306" t="n"/>
      <c r="P49" s="306" t="n"/>
      <c r="Q49" s="306" t="n"/>
      <c r="R49" s="306" t="n"/>
      <c r="S49" s="306" t="n"/>
    </row>
    <row r="50" ht="15" customHeight="1" s="307">
      <c r="A50" s="654" t="n">
        <v>0.7</v>
      </c>
      <c r="B50" s="656">
        <f>(MIN(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Assumptions'!$B$116)),150) + MIN(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Assumptions'!$B$116))-150),30) + '1. Press Assumptions'!$B$40*MAX(0,((MIN((0.79*120*POWER($B$45,0)-26.5),($A50*120*POWER($B$45,0)))+MIN((0.79*120*POWER($B$45,1)-24.5),($A50*120*POWER($B$45,1)))+MIN((0.79*120*POWER($B$45,2)-13.5),($A50*120*POWER($B$45,2)))+MIN((0.79*120*POWER($B$45,3)-11.5),($A50*120*POWER($B$45,3)))+MIN((0.79*120*POWER($B$45,4)-11.5),($A50*120*POWER($B$45,4)))+MIN((0.79*120*POWER($B$45,5)-11.5),($A50*120*POWER($B$45,5)))+MIN((0.79*120*POWER($B$45,6)-11.5),($A50*120*POWER($B$45,6)))+MIN((0.79*120*POWER($B$45,7)-11.5),($A50*120*POWER($B$45,7)))+MIN((0.79*120*POWER($B$45,8)-11.5),($A50*120*POWER($B$45,8)))+MIN((0.79*120*POWER($B$45,9)-11.5),($A50*120*POWER($B$45,9)))+MIN((0.79*120*POWER($B$45,10)-11.5),($A50*120*POWER($B$45,10)))+MIN((0.79*120*POWER($B$45,11)-11.5),($A50*120*POWER($B$45,11)))+MIN((0.79*120*POWER($B$45,12)-11.5),($A50*120*POWER($B$45,12)))+MIN((0.79*120*POWER($B$45,13)-11.5),($A50*120*POWER($B$45,13)))+MIN((0.79*120*POWER($B$45,14)-11.5),($A50*120*POWER($B$45,14)))) - 6 - 3 + (120*POWER($B$45,9)*'1. Press Assumptions'!$B$116))-180))/150</f>
        <v/>
      </c>
      <c r="C50" s="656">
        <f>(MIN(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Assumptions'!$B$116)),150) + MIN(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Assumptions'!$B$116))-150),30) + '1. Press Assumptions'!$B$40*MAX(0,((MIN((0.79*120*POWER($C$45,0)-26.5),($A50*120*POWER($C$45,0)))+MIN((0.79*120*POWER($C$45,1)-24.5),($A50*120*POWER($C$45,1)))+MIN((0.79*120*POWER($C$45,2)-13.5),($A50*120*POWER($C$45,2)))+MIN((0.79*120*POWER($C$45,3)-11.5),($A50*120*POWER($C$45,3)))+MIN((0.79*120*POWER($C$45,4)-11.5),($A50*120*POWER($C$45,4)))+MIN((0.79*120*POWER($C$45,5)-11.5),($A50*120*POWER($C$45,5)))+MIN((0.79*120*POWER($C$45,6)-11.5),($A50*120*POWER($C$45,6)))+MIN((0.79*120*POWER($C$45,7)-11.5),($A50*120*POWER($C$45,7)))+MIN((0.79*120*POWER($C$45,8)-11.5),($A50*120*POWER($C$45,8)))+MIN((0.79*120*POWER($C$45,9)-11.5),($A50*120*POWER($C$45,9)))+MIN((0.79*120*POWER($C$45,10)-11.5),($A50*120*POWER($C$45,10)))+MIN((0.79*120*POWER($C$45,11)-11.5),($A50*120*POWER($C$45,11)))+MIN((0.79*120*POWER($C$45,12)-11.5),($A50*120*POWER($C$45,12)))+MIN((0.79*120*POWER($C$45,13)-11.5),($A50*120*POWER($C$45,13)))+MIN((0.79*120*POWER($C$45,14)-11.5),($A50*120*POWER($C$45,14)))) - 6 - 3 + (120*POWER($C$45,9)*'1. Press Assumptions'!$B$116))-180))/150</f>
        <v/>
      </c>
      <c r="D50" s="656">
        <f>(MIN(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Assumptions'!$B$116)),150) + MIN(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Assumptions'!$B$116))-150),30) + '1. Press Assumptions'!$B$40*MAX(0,((MIN((0.79*120*POWER($D$45,0)-26.5),($A50*120*POWER($D$45,0)))+MIN((0.79*120*POWER($D$45,1)-24.5),($A50*120*POWER($D$45,1)))+MIN((0.79*120*POWER($D$45,2)-13.5),($A50*120*POWER($D$45,2)))+MIN((0.79*120*POWER($D$45,3)-11.5),($A50*120*POWER($D$45,3)))+MIN((0.79*120*POWER($D$45,4)-11.5),($A50*120*POWER($D$45,4)))+MIN((0.79*120*POWER($D$45,5)-11.5),($A50*120*POWER($D$45,5)))+MIN((0.79*120*POWER($D$45,6)-11.5),($A50*120*POWER($D$45,6)))+MIN((0.79*120*POWER($D$45,7)-11.5),($A50*120*POWER($D$45,7)))+MIN((0.79*120*POWER($D$45,8)-11.5),($A50*120*POWER($D$45,8)))+MIN((0.79*120*POWER($D$45,9)-11.5),($A50*120*POWER($D$45,9)))+MIN((0.79*120*POWER($D$45,10)-11.5),($A50*120*POWER($D$45,10)))+MIN((0.79*120*POWER($D$45,11)-11.5),($A50*120*POWER($D$45,11)))+MIN((0.79*120*POWER($D$45,12)-11.5),($A50*120*POWER($D$45,12)))+MIN((0.79*120*POWER($D$45,13)-11.5),($A50*120*POWER($D$45,13)))+MIN((0.79*120*POWER($D$45,14)-11.5),($A50*120*POWER($D$45,14)))) - 6 - 3 + (120*POWER($D$45,9)*'1. Press Assumptions'!$B$116))-180))/150</f>
        <v/>
      </c>
      <c r="E50" s="656">
        <f>(MIN(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Assumptions'!$B$116)),150) + MIN(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Assumptions'!$B$116))-150),30) + '1. Press Assumptions'!$B$40*MAX(0,((MIN((0.79*120*POWER($E$45,0)-26.5),($A50*120*POWER($E$45,0)))+MIN((0.79*120*POWER($E$45,1)-24.5),($A50*120*POWER($E$45,1)))+MIN((0.79*120*POWER($E$45,2)-13.5),($A50*120*POWER($E$45,2)))+MIN((0.79*120*POWER($E$45,3)-11.5),($A50*120*POWER($E$45,3)))+MIN((0.79*120*POWER($E$45,4)-11.5),($A50*120*POWER($E$45,4)))+MIN((0.79*120*POWER($E$45,5)-11.5),($A50*120*POWER($E$45,5)))+MIN((0.79*120*POWER($E$45,6)-11.5),($A50*120*POWER($E$45,6)))+MIN((0.79*120*POWER($E$45,7)-11.5),($A50*120*POWER($E$45,7)))+MIN((0.79*120*POWER($E$45,8)-11.5),($A50*120*POWER($E$45,8)))+MIN((0.79*120*POWER($E$45,9)-11.5),($A50*120*POWER($E$45,9)))+MIN((0.79*120*POWER($E$45,10)-11.5),($A50*120*POWER($E$45,10)))+MIN((0.79*120*POWER($E$45,11)-11.5),($A50*120*POWER($E$45,11)))+MIN((0.79*120*POWER($E$45,12)-11.5),($A50*120*POWER($E$45,12)))+MIN((0.79*120*POWER($E$45,13)-11.5),($A50*120*POWER($E$45,13)))+MIN((0.79*120*POWER($E$45,14)-11.5),($A50*120*POWER($E$45,14)))) - 6 - 3 + (120*POWER($E$45,9)*'1. Press Assumptions'!$B$116))-180))/150</f>
        <v/>
      </c>
      <c r="F50" s="656">
        <f>(MIN(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Assumptions'!$B$116)),150) + MIN(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Assumptions'!$B$116))-150),30) + '1. Press Assumptions'!$B$40*MAX(0,((MIN((0.79*120*POWER($F$45,0)-26.5),($A50*120*POWER($F$45,0)))+MIN((0.79*120*POWER($F$45,1)-24.5),($A50*120*POWER($F$45,1)))+MIN((0.79*120*POWER($F$45,2)-13.5),($A50*120*POWER($F$45,2)))+MIN((0.79*120*POWER($F$45,3)-11.5),($A50*120*POWER($F$45,3)))+MIN((0.79*120*POWER($F$45,4)-11.5),($A50*120*POWER($F$45,4)))+MIN((0.79*120*POWER($F$45,5)-11.5),($A50*120*POWER($F$45,5)))+MIN((0.79*120*POWER($F$45,6)-11.5),($A50*120*POWER($F$45,6)))+MIN((0.79*120*POWER($F$45,7)-11.5),($A50*120*POWER($F$45,7)))+MIN((0.79*120*POWER($F$45,8)-11.5),($A50*120*POWER($F$45,8)))+MIN((0.79*120*POWER($F$45,9)-11.5),($A50*120*POWER($F$45,9)))+MIN((0.79*120*POWER($F$45,10)-11.5),($A50*120*POWER($F$45,10)))+MIN((0.79*120*POWER($F$45,11)-11.5),($A50*120*POWER($F$45,11)))+MIN((0.79*120*POWER($F$45,12)-11.5),($A50*120*POWER($F$45,12)))+MIN((0.79*120*POWER($F$45,13)-11.5),($A50*120*POWER($F$45,13)))+MIN((0.79*120*POWER($F$45,14)-11.5),($A50*120*POWER($F$45,14)))) - 6 - 3 + (120*POWER($F$45,9)*'1. Press Assumptions'!$B$116))-180))/150</f>
        <v/>
      </c>
      <c r="G50" s="656">
        <f>(MIN(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Assumptions'!$B$116)),150) + MIN(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Assumptions'!$B$116))-150),30) + '1. Press Assumptions'!$B$40*MAX(0,((MIN((0.79*120*POWER($G$45,0)-26.5),($A50*120*POWER($G$45,0)))+MIN((0.79*120*POWER($G$45,1)-24.5),($A50*120*POWER($G$45,1)))+MIN((0.79*120*POWER($G$45,2)-13.5),($A50*120*POWER($G$45,2)))+MIN((0.79*120*POWER($G$45,3)-11.5),($A50*120*POWER($G$45,3)))+MIN((0.79*120*POWER($G$45,4)-11.5),($A50*120*POWER($G$45,4)))+MIN((0.79*120*POWER($G$45,5)-11.5),($A50*120*POWER($G$45,5)))+MIN((0.79*120*POWER($G$45,6)-11.5),($A50*120*POWER($G$45,6)))+MIN((0.79*120*POWER($G$45,7)-11.5),($A50*120*POWER($G$45,7)))+MIN((0.79*120*POWER($G$45,8)-11.5),($A50*120*POWER($G$45,8)))+MIN((0.79*120*POWER($G$45,9)-11.5),($A50*120*POWER($G$45,9)))+MIN((0.79*120*POWER($G$45,10)-11.5),($A50*120*POWER($G$45,10)))+MIN((0.79*120*POWER($G$45,11)-11.5),($A50*120*POWER($G$45,11)))+MIN((0.79*120*POWER($G$45,12)-11.5),($A50*120*POWER($G$45,12)))+MIN((0.79*120*POWER($G$45,13)-11.5),($A50*120*POWER($G$45,13)))+MIN((0.79*120*POWER($G$45,14)-11.5),($A50*120*POWER($G$45,14)))) - 6 - 3 + (120*POWER($G$45,9)*'1. Press Assumptions'!$B$116))-180))/150</f>
        <v/>
      </c>
    </row>
    <row r="51" ht="15" customHeight="1" s="307">
      <c r="A51" s="654" t="n">
        <v>0.8</v>
      </c>
      <c r="B51" s="656">
        <f>(MIN(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Assumptions'!$B$116)),150) + MIN(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Assumptions'!$B$116))-150),30) + '1. Press Assumptions'!$B$40*MAX(0,((MIN((0.79*120*POWER($B$45,0)-26.5),($A51*120*POWER($B$45,0)))+MIN((0.79*120*POWER($B$45,1)-24.5),($A51*120*POWER($B$45,1)))+MIN((0.79*120*POWER($B$45,2)-13.5),($A51*120*POWER($B$45,2)))+MIN((0.79*120*POWER($B$45,3)-11.5),($A51*120*POWER($B$45,3)))+MIN((0.79*120*POWER($B$45,4)-11.5),($A51*120*POWER($B$45,4)))+MIN((0.79*120*POWER($B$45,5)-11.5),($A51*120*POWER($B$45,5)))+MIN((0.79*120*POWER($B$45,6)-11.5),($A51*120*POWER($B$45,6)))+MIN((0.79*120*POWER($B$45,7)-11.5),($A51*120*POWER($B$45,7)))+MIN((0.79*120*POWER($B$45,8)-11.5),($A51*120*POWER($B$45,8)))+MIN((0.79*120*POWER($B$45,9)-11.5),($A51*120*POWER($B$45,9)))+MIN((0.79*120*POWER($B$45,10)-11.5),($A51*120*POWER($B$45,10)))+MIN((0.79*120*POWER($B$45,11)-11.5),($A51*120*POWER($B$45,11)))+MIN((0.79*120*POWER($B$45,12)-11.5),($A51*120*POWER($B$45,12)))+MIN((0.79*120*POWER($B$45,13)-11.5),($A51*120*POWER($B$45,13)))+MIN((0.79*120*POWER($B$45,14)-11.5),($A51*120*POWER($B$45,14)))) - 6 - 3 + (120*POWER($B$45,9)*'1. Press Assumptions'!$B$116))-180))/150</f>
        <v/>
      </c>
      <c r="C51" s="656">
        <f>(MIN(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Assumptions'!$B$116)),150) + MIN(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Assumptions'!$B$116))-150),30) + '1. Press Assumptions'!$B$40*MAX(0,((MIN((0.79*120*POWER($C$45,0)-26.5),($A51*120*POWER($C$45,0)))+MIN((0.79*120*POWER($C$45,1)-24.5),($A51*120*POWER($C$45,1)))+MIN((0.79*120*POWER($C$45,2)-13.5),($A51*120*POWER($C$45,2)))+MIN((0.79*120*POWER($C$45,3)-11.5),($A51*120*POWER($C$45,3)))+MIN((0.79*120*POWER($C$45,4)-11.5),($A51*120*POWER($C$45,4)))+MIN((0.79*120*POWER($C$45,5)-11.5),($A51*120*POWER($C$45,5)))+MIN((0.79*120*POWER($C$45,6)-11.5),($A51*120*POWER($C$45,6)))+MIN((0.79*120*POWER($C$45,7)-11.5),($A51*120*POWER($C$45,7)))+MIN((0.79*120*POWER($C$45,8)-11.5),($A51*120*POWER($C$45,8)))+MIN((0.79*120*POWER($C$45,9)-11.5),($A51*120*POWER($C$45,9)))+MIN((0.79*120*POWER($C$45,10)-11.5),($A51*120*POWER($C$45,10)))+MIN((0.79*120*POWER($C$45,11)-11.5),($A51*120*POWER($C$45,11)))+MIN((0.79*120*POWER($C$45,12)-11.5),($A51*120*POWER($C$45,12)))+MIN((0.79*120*POWER($C$45,13)-11.5),($A51*120*POWER($C$45,13)))+MIN((0.79*120*POWER($C$45,14)-11.5),($A51*120*POWER($C$45,14)))) - 6 - 3 + (120*POWER($C$45,9)*'1. Press Assumptions'!$B$116))-180))/150</f>
        <v/>
      </c>
      <c r="D51" s="656">
        <f>(MIN(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Assumptions'!$B$116)),150) + MIN(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Assumptions'!$B$116))-150),30) + '1. Press Assumptions'!$B$40*MAX(0,((MIN((0.79*120*POWER($D$45,0)-26.5),($A51*120*POWER($D$45,0)))+MIN((0.79*120*POWER($D$45,1)-24.5),($A51*120*POWER($D$45,1)))+MIN((0.79*120*POWER($D$45,2)-13.5),($A51*120*POWER($D$45,2)))+MIN((0.79*120*POWER($D$45,3)-11.5),($A51*120*POWER($D$45,3)))+MIN((0.79*120*POWER($D$45,4)-11.5),($A51*120*POWER($D$45,4)))+MIN((0.79*120*POWER($D$45,5)-11.5),($A51*120*POWER($D$45,5)))+MIN((0.79*120*POWER($D$45,6)-11.5),($A51*120*POWER($D$45,6)))+MIN((0.79*120*POWER($D$45,7)-11.5),($A51*120*POWER($D$45,7)))+MIN((0.79*120*POWER($D$45,8)-11.5),($A51*120*POWER($D$45,8)))+MIN((0.79*120*POWER($D$45,9)-11.5),($A51*120*POWER($D$45,9)))+MIN((0.79*120*POWER($D$45,10)-11.5),($A51*120*POWER($D$45,10)))+MIN((0.79*120*POWER($D$45,11)-11.5),($A51*120*POWER($D$45,11)))+MIN((0.79*120*POWER($D$45,12)-11.5),($A51*120*POWER($D$45,12)))+MIN((0.79*120*POWER($D$45,13)-11.5),($A51*120*POWER($D$45,13)))+MIN((0.79*120*POWER($D$45,14)-11.5),($A51*120*POWER($D$45,14)))) - 6 - 3 + (120*POWER($D$45,9)*'1. Press Assumptions'!$B$116))-180))/150</f>
        <v/>
      </c>
      <c r="E51" s="656">
        <f>(MIN(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Assumptions'!$B$116)),150) + MIN(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Assumptions'!$B$116))-150),30) + '1. Press Assumptions'!$B$40*MAX(0,((MIN((0.79*120*POWER($E$45,0)-26.5),($A51*120*POWER($E$45,0)))+MIN((0.79*120*POWER($E$45,1)-24.5),($A51*120*POWER($E$45,1)))+MIN((0.79*120*POWER($E$45,2)-13.5),($A51*120*POWER($E$45,2)))+MIN((0.79*120*POWER($E$45,3)-11.5),($A51*120*POWER($E$45,3)))+MIN((0.79*120*POWER($E$45,4)-11.5),($A51*120*POWER($E$45,4)))+MIN((0.79*120*POWER($E$45,5)-11.5),($A51*120*POWER($E$45,5)))+MIN((0.79*120*POWER($E$45,6)-11.5),($A51*120*POWER($E$45,6)))+MIN((0.79*120*POWER($E$45,7)-11.5),($A51*120*POWER($E$45,7)))+MIN((0.79*120*POWER($E$45,8)-11.5),($A51*120*POWER($E$45,8)))+MIN((0.79*120*POWER($E$45,9)-11.5),($A51*120*POWER($E$45,9)))+MIN((0.79*120*POWER($E$45,10)-11.5),($A51*120*POWER($E$45,10)))+MIN((0.79*120*POWER($E$45,11)-11.5),($A51*120*POWER($E$45,11)))+MIN((0.79*120*POWER($E$45,12)-11.5),($A51*120*POWER($E$45,12)))+MIN((0.79*120*POWER($E$45,13)-11.5),($A51*120*POWER($E$45,13)))+MIN((0.79*120*POWER($E$45,14)-11.5),($A51*120*POWER($E$45,14)))) - 6 - 3 + (120*POWER($E$45,9)*'1. Press Assumptions'!$B$116))-180))/150</f>
        <v/>
      </c>
      <c r="F51" s="656">
        <f>(MIN(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Assumptions'!$B$116)),150) + MIN(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Assumptions'!$B$116))-150),30) + '1. Press Assumptions'!$B$40*MAX(0,((MIN((0.79*120*POWER($F$45,0)-26.5),($A51*120*POWER($F$45,0)))+MIN((0.79*120*POWER($F$45,1)-24.5),($A51*120*POWER($F$45,1)))+MIN((0.79*120*POWER($F$45,2)-13.5),($A51*120*POWER($F$45,2)))+MIN((0.79*120*POWER($F$45,3)-11.5),($A51*120*POWER($F$45,3)))+MIN((0.79*120*POWER($F$45,4)-11.5),($A51*120*POWER($F$45,4)))+MIN((0.79*120*POWER($F$45,5)-11.5),($A51*120*POWER($F$45,5)))+MIN((0.79*120*POWER($F$45,6)-11.5),($A51*120*POWER($F$45,6)))+MIN((0.79*120*POWER($F$45,7)-11.5),($A51*120*POWER($F$45,7)))+MIN((0.79*120*POWER($F$45,8)-11.5),($A51*120*POWER($F$45,8)))+MIN((0.79*120*POWER($F$45,9)-11.5),($A51*120*POWER($F$45,9)))+MIN((0.79*120*POWER($F$45,10)-11.5),($A51*120*POWER($F$45,10)))+MIN((0.79*120*POWER($F$45,11)-11.5),($A51*120*POWER($F$45,11)))+MIN((0.79*120*POWER($F$45,12)-11.5),($A51*120*POWER($F$45,12)))+MIN((0.79*120*POWER($F$45,13)-11.5),($A51*120*POWER($F$45,13)))+MIN((0.79*120*POWER($F$45,14)-11.5),($A51*120*POWER($F$45,14)))) - 6 - 3 + (120*POWER($F$45,9)*'1. Press Assumptions'!$B$116))-180))/150</f>
        <v/>
      </c>
      <c r="G51" s="656">
        <f>(MIN(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Assumptions'!$B$116)),150) + MIN(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Assumptions'!$B$116))-150),30) + '1. Press Assumptions'!$B$40*MAX(0,((MIN((0.79*120*POWER($G$45,0)-26.5),($A51*120*POWER($G$45,0)))+MIN((0.79*120*POWER($G$45,1)-24.5),($A51*120*POWER($G$45,1)))+MIN((0.79*120*POWER($G$45,2)-13.5),($A51*120*POWER($G$45,2)))+MIN((0.79*120*POWER($G$45,3)-11.5),($A51*120*POWER($G$45,3)))+MIN((0.79*120*POWER($G$45,4)-11.5),($A51*120*POWER($G$45,4)))+MIN((0.79*120*POWER($G$45,5)-11.5),($A51*120*POWER($G$45,5)))+MIN((0.79*120*POWER($G$45,6)-11.5),($A51*120*POWER($G$45,6)))+MIN((0.79*120*POWER($G$45,7)-11.5),($A51*120*POWER($G$45,7)))+MIN((0.79*120*POWER($G$45,8)-11.5),($A51*120*POWER($G$45,8)))+MIN((0.79*120*POWER($G$45,9)-11.5),($A51*120*POWER($G$45,9)))+MIN((0.79*120*POWER($G$45,10)-11.5),($A51*120*POWER($G$45,10)))+MIN((0.79*120*POWER($G$45,11)-11.5),($A51*120*POWER($G$45,11)))+MIN((0.79*120*POWER($G$45,12)-11.5),($A51*120*POWER($G$45,12)))+MIN((0.79*120*POWER($G$45,13)-11.5),($A51*120*POWER($G$45,13)))+MIN((0.79*120*POWER($G$45,14)-11.5),($A51*120*POWER($G$45,14)))) - 6 - 3 + (120*POWER($G$45,9)*'1. Press Assumptions'!$B$116))-180))/150</f>
        <v/>
      </c>
    </row>
    <row r="53">
      <c r="A53" s="615" t="inlineStr">
        <is>
          <t>GP stated case (yellow): NDR=85%, margin=62.5% -&gt; see cell D48 result.</t>
        </is>
      </c>
    </row>
    <row r="54" ht="15" customHeight="1" s="307">
      <c r="A54" s="325" t="inlineStr">
        <is>
          <t>ENTRY MULTIPLE CEILING (30% 10Y IRR)</t>
        </is>
      </c>
      <c r="B54" s="309" t="n"/>
      <c r="C54" s="309" t="n"/>
      <c r="D54" s="309" t="n"/>
      <c r="E54" s="309" t="n"/>
      <c r="F54" s="309" t="n"/>
      <c r="G54" s="309" t="n"/>
    </row>
    <row r="55" ht="15" customHeight="1" s="307">
      <c r="A55" s="323" t="inlineStr">
        <is>
          <t>Maximum gross entry multiple to achieve 30% staged IRR at each DM level.</t>
        </is>
      </c>
    </row>
    <row r="56" ht="15" customHeight="1" s="307">
      <c r="A56" s="472" t="inlineStr">
        <is>
          <t>NDR \ NCA</t>
        </is>
      </c>
      <c r="B56" s="388" t="inlineStr">
        <is>
          <t>NCA 0%</t>
        </is>
      </c>
      <c r="C56" s="388" t="inlineStr">
        <is>
          <t>NCA 5%</t>
        </is>
      </c>
      <c r="D56" s="388" t="inlineStr">
        <is>
          <t>NCA 10%</t>
        </is>
      </c>
      <c r="E56" s="388" t="inlineStr">
        <is>
          <t>NCA 15%</t>
        </is>
      </c>
    </row>
    <row r="57" ht="15" customHeight="1" s="307">
      <c r="A57" s="504" t="n">
        <v>0.85</v>
      </c>
      <c r="B57" s="572" t="inlineStr">
        <is>
          <t>&gt;5.0x</t>
        </is>
      </c>
      <c r="C57" s="394" t="inlineStr">
        <is>
          <t>&gt;5.0x</t>
        </is>
      </c>
      <c r="D57" s="394" t="inlineStr">
        <is>
          <t>&gt;5.0x</t>
        </is>
      </c>
      <c r="E57" s="573" t="inlineStr">
        <is>
          <t>&gt;5.0x</t>
        </is>
      </c>
    </row>
    <row r="58" ht="15" customHeight="1" s="307">
      <c r="A58" s="504" t="n">
        <v>0.9</v>
      </c>
      <c r="B58" s="394" t="inlineStr">
        <is>
          <t>&gt;5.0x</t>
        </is>
      </c>
      <c r="C58" s="394" t="inlineStr">
        <is>
          <t>&gt;5.0x</t>
        </is>
      </c>
      <c r="D58" s="573" t="inlineStr">
        <is>
          <t>&gt;5.0x</t>
        </is>
      </c>
      <c r="E58" s="573" t="inlineStr">
        <is>
          <t>&gt;5.0x</t>
        </is>
      </c>
    </row>
    <row r="59" ht="15" customHeight="1" s="307">
      <c r="A59" s="504" t="n">
        <v>0.95</v>
      </c>
      <c r="B59" s="394" t="inlineStr">
        <is>
          <t>&gt;5.0x</t>
        </is>
      </c>
      <c r="C59" s="573" t="inlineStr">
        <is>
          <t>&gt;5.0x</t>
        </is>
      </c>
      <c r="D59" s="573" t="inlineStr">
        <is>
          <t>&gt;5.0x</t>
        </is>
      </c>
      <c r="E59" s="573" t="inlineStr">
        <is>
          <t>&gt;5.0x</t>
        </is>
      </c>
    </row>
    <row r="60" ht="15" customHeight="1" s="307">
      <c r="A60" s="504" t="n">
        <v>1</v>
      </c>
      <c r="B60" s="573" t="inlineStr">
        <is>
          <t>&gt;5.0x</t>
        </is>
      </c>
      <c r="C60" s="573" t="inlineStr">
        <is>
          <t>&gt;5.0x</t>
        </is>
      </c>
      <c r="D60" s="573" t="inlineStr">
        <is>
          <t>&gt;5.0x</t>
        </is>
      </c>
      <c r="E60" s="573" t="inlineStr">
        <is>
          <t>&gt;5.0x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What is the portfolio worth at Year 10 if sold?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 t="n">
        <v>32.5990565654739</v>
      </c>
      <c r="C5" s="354" t="n">
        <v>32.5990565654739</v>
      </c>
      <c r="D5" s="354" t="n">
        <v>32.5990565654739</v>
      </c>
      <c r="E5" s="354" t="n">
        <v>32.5990565654739</v>
      </c>
      <c r="F5" s="354" t="n">
        <v>32.5990565654739</v>
      </c>
    </row>
    <row r="6" ht="15" customHeight="1" s="307">
      <c r="A6" s="322" t="inlineStr">
        <is>
          <t>Exit Proceeds ($mm)</t>
        </is>
      </c>
      <c r="B6" s="570" t="n">
        <v>32.5990565654739</v>
      </c>
      <c r="C6" s="570" t="n">
        <v>48.8985848482109</v>
      </c>
      <c r="D6" s="570" t="n">
        <v>65.1981131309479</v>
      </c>
      <c r="E6" s="570" t="n">
        <v>81.4976414136848</v>
      </c>
      <c r="F6" s="570" t="n">
        <v>97.7971696964218</v>
      </c>
    </row>
    <row r="7" ht="15" customHeight="1" s="307">
      <c r="A7" s="321" t="inlineStr">
        <is>
          <t>10Y Cash Distributions ($mm)</t>
        </is>
      </c>
      <c r="B7" s="354" t="n">
        <v>328.249911262513</v>
      </c>
      <c r="C7" s="354" t="n">
        <v>328.249911262513</v>
      </c>
      <c r="D7" s="354" t="n">
        <v>328.249911262513</v>
      </c>
      <c r="E7" s="354" t="n">
        <v>328.249911262513</v>
      </c>
      <c r="F7" s="354" t="n">
        <v>328.249911262513</v>
      </c>
    </row>
    <row r="8" ht="15" customHeight="1" s="307">
      <c r="A8" s="322" t="inlineStr">
        <is>
          <t>Total LP Value ($mm)</t>
        </is>
      </c>
      <c r="B8" s="570" t="n">
        <v>354.329156514892</v>
      </c>
      <c r="C8" s="570" t="n">
        <v>367.368779141082</v>
      </c>
      <c r="D8" s="570" t="n">
        <v>380.408401767271</v>
      </c>
      <c r="E8" s="570" t="n">
        <v>393.448024393461</v>
      </c>
      <c r="F8" s="570" t="n">
        <v>406.48764701965</v>
      </c>
    </row>
    <row r="9" ht="15" customHeight="1" s="307">
      <c r="A9" s="322" t="inlineStr">
        <is>
          <t>Total LP MOIC</t>
        </is>
      </c>
      <c r="B9" s="503" t="n">
        <v>2.36219437676595</v>
      </c>
      <c r="C9" s="503" t="n">
        <v>2.44912519427388</v>
      </c>
      <c r="D9" s="503" t="n">
        <v>2.53605601178181</v>
      </c>
      <c r="E9" s="503" t="n">
        <v>2.62298682928974</v>
      </c>
      <c r="F9" s="503" t="n">
        <v>2.70991764679767</v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</t>
        </is>
      </c>
      <c r="B1" s="309" t="n"/>
      <c r="C1" s="309" t="n"/>
      <c r="D1" s="309" t="n"/>
      <c r="E1" s="309" t="n"/>
      <c r="F1" s="306" t="n"/>
    </row>
    <row r="2" ht="15" customHeight="1" s="307">
      <c r="A2" s="593" t="inlineStr">
        <is>
          <t>Closed-form 15Y DPI per scenario. Parametrized: NDR, margin cap, write-off %, exit multiple.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388" t="n"/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  <c r="G6" s="662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</f>
        <v/>
      </c>
      <c r="H6" s="638" t="inlineStr">
        <is>
          <t>NDR + margin from Tab 1; no zero deals; 2x exit.</t>
        </is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  <c r="G7" s="662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</f>
        <v/>
      </c>
      <c r="H7" s="638" t="inlineStr">
        <is>
          <t>NDR drops to 80%; everything else unchanged.</t>
        </is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  <c r="G8" s="662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</f>
        <v/>
      </c>
      <c r="H8" s="638" t="inlineStr">
        <is>
          <t>NDR drops to 75%.</t>
        </is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  <c r="G9" s="662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</f>
        <v/>
      </c>
      <c r="H9" s="638" t="inlineStr">
        <is>
          <t>Margin cap drops to 55% (deals leak vs underwriting).</t>
        </is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  <c r="G10" s="662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</f>
        <v/>
      </c>
      <c r="H10" s="638" t="inlineStr">
        <is>
          <t>One deal returns nothing; portfolio = 4 deals at $24M ARR.</t>
        </is>
      </c>
    </row>
    <row r="11" ht="15" customHeight="1" s="307">
      <c r="A11" s="321" t="inlineStr">
        <is>
          <t>Exit multiple compression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  <c r="G11" s="662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</f>
        <v/>
      </c>
      <c r="H11" s="638" t="inlineStr">
        <is>
          <t>Exit at 1.0x ARR instead of 2.0x.</t>
        </is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  <c r="G12" s="662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</f>
        <v/>
      </c>
      <c r="H12" s="638" t="inlineStr">
        <is>
          <t>NDR 80% + margin 55% + 1 write-off + 1.5x exit.</t>
        </is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  <c r="G13" s="662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</f>
        <v/>
      </c>
      <c r="H13" s="638" t="inlineStr">
        <is>
          <t>NDR 70% + margin 45% + 2 write-offs + 1x exit.</t>
        </is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Y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(original model)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 t="n">
        <v>18.4882266439472</v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323" t="inlineStr">
        <is>
          <t>How 5 deals in 16 months gets done.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D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 t="n">
        <v>10.9416637087504</v>
      </c>
      <c r="C11" s="354" t="n">
        <v>11.7393660565395</v>
      </c>
      <c r="D11" s="441" t="n">
        <v>2.34787321130789</v>
      </c>
    </row>
    <row r="12" ht="15" customHeight="1" s="307">
      <c r="A12" s="394" t="inlineStr">
        <is>
          <t>$10mm</t>
        </is>
      </c>
      <c r="B12" s="354" t="n">
        <v>21.8833274175009</v>
      </c>
      <c r="C12" s="354" t="n">
        <v>23.4787321130789</v>
      </c>
      <c r="D12" s="441" t="n">
        <v>2.34787321130789</v>
      </c>
    </row>
    <row r="13" ht="15" customHeight="1" s="307">
      <c r="A13" s="394" t="inlineStr">
        <is>
          <t>$15mm</t>
        </is>
      </c>
      <c r="B13" s="354" t="n">
        <v>32.8249911262513</v>
      </c>
      <c r="C13" s="354" t="n">
        <v>35.2180981696184</v>
      </c>
      <c r="D13" s="441" t="n">
        <v>2.34787321130789</v>
      </c>
    </row>
    <row r="14" ht="15" customHeight="1" s="307">
      <c r="A14" s="394" t="inlineStr">
        <is>
          <t>$20mm</t>
        </is>
      </c>
      <c r="B14" s="354" t="n">
        <v>43.7666548350017</v>
      </c>
      <c r="C14" s="354" t="n">
        <v>46.9574642261578</v>
      </c>
      <c r="D14" s="441" t="n">
        <v>2.34787321130789</v>
      </c>
    </row>
    <row r="15" ht="15" customHeight="1" s="307">
      <c r="A15" s="394" t="inlineStr">
        <is>
          <t>$25mm</t>
        </is>
      </c>
      <c r="B15" s="354" t="n">
        <v>54.7083185437522</v>
      </c>
      <c r="C15" s="354" t="n">
        <v>58.6968302826973</v>
      </c>
      <c r="D15" s="441" t="n">
        <v>2.34787321130789</v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 t="n">
        <v>150</v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deals x $24M ARR x 1.24x)</t>
        </is>
      </c>
      <c r="B9" s="625">
        <f>5*24*1.24</f>
        <v/>
      </c>
      <c r="C9" s="614">
        <f> $148.8M</f>
        <v/>
      </c>
    </row>
    <row r="10" ht="15" customHeight="1" s="307">
      <c r="A10" s="613" t="inlineStr">
        <is>
          <t>Severance Discount (seller 50% share)</t>
        </is>
      </c>
      <c r="B10" s="619">
        <f>-5*24*0.1154*0.5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0</v>
      </c>
      <c r="C13" s="627" t="inlineStr">
        <is>
          <t>unfunded -- see Note 2</t>
        </is>
      </c>
    </row>
    <row r="14" ht="15" customHeight="1" s="307">
      <c r="A14" s="613" t="inlineStr">
        <is>
          <t>Broken Deal Cost Reserve</t>
        </is>
      </c>
      <c r="B14" s="619" t="n">
        <v>0</v>
      </c>
      <c r="C14" s="627" t="inlineStr">
        <is>
          <t>unfunded -- see Note 3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model showed $158.78M deployed against $150M raised  --&gt;  $11.78M shortfall.</t>
        </is>
      </c>
      <c r="B21" s="614" t="n"/>
      <c r="C21" s="614" t="n"/>
    </row>
    <row r="22" ht="15" customHeight="1" s="307">
      <c r="A22" s="631" t="inlineStr">
        <is>
          <t xml:space="preserve">   Fix: cap per-deal ARR at $24M (was $25.6-30.1M). Closes the deployment gap.</t>
        </is>
      </c>
      <c r="B22" s="632" t="n"/>
      <c r="C22" s="622" t="n"/>
    </row>
    <row r="23">
      <c r="A23" s="615" t="inlineStr">
        <is>
          <t>2. Partnership Expenses (audit, legal, D&amp;O, fund admin) typically run $200-500K/yr.</t>
        </is>
      </c>
      <c r="B23" s="614" t="n"/>
      <c r="C23" s="614" t="n"/>
    </row>
    <row r="24" ht="15" customHeight="1" s="307">
      <c r="A24" s="593" t="inlineStr">
        <is>
          <t xml:space="preserve">   Over 15Y this is $3-7M of unfunded fund-level OpEx. Currently flowing through OpCos</t>
        </is>
      </c>
      <c r="B24" s="619" t="n"/>
      <c r="C24" s="614" t="n"/>
    </row>
    <row r="25" ht="15" customHeight="1" s="307">
      <c r="A25" s="593" t="inlineStr">
        <is>
          <t xml:space="preserve">   --&gt; further LP-invisible economics. Should be funded from a reserve.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--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 t="n">
        <v>-1.1482375</v>
      </c>
      <c r="C4" s="476" t="n">
        <v>0</v>
      </c>
      <c r="D4" s="476" t="n">
        <v>0</v>
      </c>
      <c r="E4" s="476" t="n">
        <v>0</v>
      </c>
      <c r="F4" s="476" t="n">
        <v>0</v>
      </c>
    </row>
    <row r="5" ht="15" customHeight="1" s="307">
      <c r="A5" s="321" t="inlineStr">
        <is>
          <t>Y1 Q2</t>
        </is>
      </c>
      <c r="B5" s="354" t="n">
        <v>-1.34078958333333</v>
      </c>
      <c r="C5" s="354" t="n">
        <v>0</v>
      </c>
      <c r="D5" s="354" t="n">
        <v>0</v>
      </c>
      <c r="E5" s="354" t="n">
        <v>0</v>
      </c>
      <c r="F5" s="354" t="n">
        <v>0</v>
      </c>
    </row>
    <row r="6" ht="15" customHeight="1" s="307">
      <c r="A6" s="321" t="inlineStr">
        <is>
          <t>Y1 Q3</t>
        </is>
      </c>
      <c r="B6" s="354" t="n">
        <v>0.969873430136904</v>
      </c>
      <c r="C6" s="354" t="n">
        <v>0.969873430136904</v>
      </c>
      <c r="D6" s="354" t="n">
        <v>0</v>
      </c>
      <c r="E6" s="354" t="n">
        <v>0.969873430136904</v>
      </c>
      <c r="F6" s="354" t="n">
        <v>0</v>
      </c>
    </row>
    <row r="7" ht="15" customHeight="1" s="307">
      <c r="A7" s="321" t="inlineStr">
        <is>
          <t>Y1 Q4</t>
        </is>
      </c>
      <c r="B7" s="354" t="n">
        <v>4.51662823844142</v>
      </c>
      <c r="C7" s="354" t="n">
        <v>4.51662823844142</v>
      </c>
      <c r="D7" s="354" t="n">
        <v>0</v>
      </c>
      <c r="E7" s="354" t="n">
        <v>5.48650166857833</v>
      </c>
      <c r="F7" s="354" t="n">
        <v>0</v>
      </c>
    </row>
    <row r="8" ht="15" customHeight="1" s="307">
      <c r="A8" s="498" t="inlineStr">
        <is>
          <t>Y2 Q1</t>
        </is>
      </c>
      <c r="B8" s="476" t="n">
        <v>10.3065410731599</v>
      </c>
      <c r="C8" s="476" t="n">
        <v>10.3065410731599</v>
      </c>
      <c r="D8" s="476" t="n">
        <v>0</v>
      </c>
      <c r="E8" s="476" t="n">
        <v>15.7930427417382</v>
      </c>
      <c r="F8" s="476" t="n">
        <v>0</v>
      </c>
    </row>
    <row r="9" ht="15" customHeight="1" s="307">
      <c r="A9" s="321" t="inlineStr">
        <is>
          <t>Y2 Q2</t>
        </is>
      </c>
      <c r="B9" s="354" t="n">
        <v>15.1845827222998</v>
      </c>
      <c r="C9" s="354" t="n">
        <v>15.1845827222998</v>
      </c>
      <c r="D9" s="354" t="n">
        <v>0</v>
      </c>
      <c r="E9" s="354" t="n">
        <v>30.977625464038</v>
      </c>
      <c r="F9" s="354" t="n">
        <v>0</v>
      </c>
    </row>
    <row r="10" ht="15" customHeight="1" s="307">
      <c r="A10" s="321" t="inlineStr">
        <is>
          <t>Y2 Q3</t>
        </is>
      </c>
      <c r="B10" s="354" t="n">
        <v>18.4842780264983</v>
      </c>
      <c r="C10" s="354" t="n">
        <v>18.4842780264983</v>
      </c>
      <c r="D10" s="354" t="n">
        <v>0</v>
      </c>
      <c r="E10" s="354" t="n">
        <v>49.4619034905363</v>
      </c>
      <c r="F10" s="354" t="n">
        <v>0</v>
      </c>
    </row>
    <row r="11" ht="15" customHeight="1" s="307">
      <c r="A11" s="321" t="inlineStr">
        <is>
          <t>Y2 Q4</t>
        </is>
      </c>
      <c r="B11" s="354" t="n">
        <v>20.1366372498505</v>
      </c>
      <c r="C11" s="354" t="n">
        <v>20.1366372498505</v>
      </c>
      <c r="D11" s="354" t="n">
        <v>0</v>
      </c>
      <c r="E11" s="354" t="n">
        <v>69.5985407403868</v>
      </c>
      <c r="F11" s="354" t="n">
        <v>0</v>
      </c>
    </row>
    <row r="12" ht="15" customHeight="1" s="307">
      <c r="A12" s="498" t="inlineStr">
        <is>
          <t>Y3 Q1</t>
        </is>
      </c>
      <c r="B12" s="476" t="n">
        <v>20.1225486220774</v>
      </c>
      <c r="C12" s="476" t="n">
        <v>20.1225486220774</v>
      </c>
      <c r="D12" s="476" t="n">
        <v>0</v>
      </c>
      <c r="E12" s="476" t="n">
        <v>89.7210893624642</v>
      </c>
      <c r="F12" s="476" t="n">
        <v>0</v>
      </c>
    </row>
    <row r="13" ht="15" customHeight="1" s="307">
      <c r="A13" s="321" t="inlineStr">
        <is>
          <t>Y3 Q2</t>
        </is>
      </c>
      <c r="B13" s="354" t="n">
        <v>19.8081874352097</v>
      </c>
      <c r="C13" s="354" t="n">
        <v>19.8081874352097</v>
      </c>
      <c r="D13" s="354" t="n">
        <v>0</v>
      </c>
      <c r="E13" s="354" t="n">
        <v>109.529276797674</v>
      </c>
      <c r="F13" s="354" t="n">
        <v>0</v>
      </c>
    </row>
    <row r="14" ht="15" customHeight="1" s="307">
      <c r="A14" s="321" t="inlineStr">
        <is>
          <t>Y3 Q3</t>
        </is>
      </c>
      <c r="B14" s="354" t="n">
        <v>19.2325103972434</v>
      </c>
      <c r="C14" s="354" t="n">
        <v>19.2325103972434</v>
      </c>
      <c r="D14" s="354" t="n">
        <v>0</v>
      </c>
      <c r="E14" s="354" t="n">
        <v>128.761787194917</v>
      </c>
      <c r="F14" s="354" t="n">
        <v>0</v>
      </c>
    </row>
    <row r="15" ht="15" customHeight="1" s="307">
      <c r="A15" s="321" t="inlineStr">
        <is>
          <t>Y3 Q4</t>
        </is>
      </c>
      <c r="B15" s="354" t="n">
        <v>11.7205268451036</v>
      </c>
      <c r="C15" s="354" t="n">
        <v>11.7205268451036</v>
      </c>
      <c r="D15" s="354" t="n">
        <v>0</v>
      </c>
      <c r="E15" s="354" t="n">
        <v>140.482314040021</v>
      </c>
      <c r="F15" s="354" t="n">
        <v>0</v>
      </c>
    </row>
    <row r="16" ht="15" customHeight="1" s="307">
      <c r="A16" s="498" t="inlineStr">
        <is>
          <t>Y4 Q1</t>
        </is>
      </c>
      <c r="B16" s="476" t="n">
        <v>18.1665031426843</v>
      </c>
      <c r="C16" s="476" t="n">
        <v>18.1665031426843</v>
      </c>
      <c r="D16" s="476" t="n">
        <v>0</v>
      </c>
      <c r="E16" s="476" t="n">
        <v>158.648817182705</v>
      </c>
      <c r="F16" s="476" t="n">
        <v>0</v>
      </c>
    </row>
    <row r="17" ht="15" customHeight="1" s="307">
      <c r="A17" s="321" t="inlineStr">
        <is>
          <t>Y4 Q2</t>
        </is>
      </c>
      <c r="B17" s="354" t="n">
        <v>17.6732914750319</v>
      </c>
      <c r="C17" s="354" t="n">
        <v>17.6732914750319</v>
      </c>
      <c r="D17" s="354" t="n">
        <v>0</v>
      </c>
      <c r="E17" s="354" t="n">
        <v>176.322108657737</v>
      </c>
      <c r="F17" s="354" t="n">
        <v>0</v>
      </c>
    </row>
    <row r="18" ht="15" customHeight="1" s="307">
      <c r="A18" s="321" t="inlineStr">
        <is>
          <t>Y4 Q3</t>
        </is>
      </c>
      <c r="B18" s="354" t="n">
        <v>17.2048104914548</v>
      </c>
      <c r="C18" s="354" t="n">
        <v>17.2048104914548</v>
      </c>
      <c r="D18" s="354" t="n">
        <v>0</v>
      </c>
      <c r="E18" s="354" t="n">
        <v>193.526919149192</v>
      </c>
      <c r="F18" s="354" t="n">
        <v>0</v>
      </c>
    </row>
    <row r="19" ht="15" customHeight="1" s="307">
      <c r="A19" s="321" t="inlineStr">
        <is>
          <t>Y4 Q4</t>
        </is>
      </c>
      <c r="B19" s="354" t="n">
        <v>11.2438872062909</v>
      </c>
      <c r="C19" s="354" t="n">
        <v>8.581725935194349</v>
      </c>
      <c r="D19" s="354" t="n">
        <v>2.66216127109653</v>
      </c>
      <c r="E19" s="354" t="n">
        <v>202.108645084386</v>
      </c>
      <c r="F19" s="354" t="n">
        <v>2.66216127109653</v>
      </c>
    </row>
    <row r="20" ht="15" customHeight="1" s="307">
      <c r="A20" s="498" t="inlineStr">
        <is>
          <t>Y5 Q1</t>
        </is>
      </c>
      <c r="B20" s="476" t="n">
        <v>17.2917492212284</v>
      </c>
      <c r="C20" s="476" t="n">
        <v>13.8333993769827</v>
      </c>
      <c r="D20" s="476" t="n">
        <v>3.45834984424569</v>
      </c>
      <c r="E20" s="476" t="n">
        <v>215.942044461369</v>
      </c>
      <c r="F20" s="476" t="n">
        <v>6.12051111534222</v>
      </c>
    </row>
    <row r="21" ht="15" customHeight="1" s="307">
      <c r="A21" s="321" t="inlineStr">
        <is>
          <t>Y5 Q2</t>
        </is>
      </c>
      <c r="B21" s="354" t="n">
        <v>16.8901516028601</v>
      </c>
      <c r="C21" s="354" t="n">
        <v>13.512121282288</v>
      </c>
      <c r="D21" s="354" t="n">
        <v>3.37803032057201</v>
      </c>
      <c r="E21" s="354" t="n">
        <v>229.454165743657</v>
      </c>
      <c r="F21" s="354" t="n">
        <v>9.49854143591423</v>
      </c>
    </row>
    <row r="22" ht="15" customHeight="1" s="307">
      <c r="A22" s="321" t="inlineStr">
        <is>
          <t>Y5 Q3</t>
        </is>
      </c>
      <c r="B22" s="354" t="n">
        <v>16.5086183657749</v>
      </c>
      <c r="C22" s="354" t="n">
        <v>13.2068946926199</v>
      </c>
      <c r="D22" s="354" t="n">
        <v>3.30172367315497</v>
      </c>
      <c r="E22" s="354" t="n">
        <v>242.661060436277</v>
      </c>
      <c r="F22" s="354" t="n">
        <v>12.8002651090692</v>
      </c>
    </row>
    <row r="23" ht="15" customHeight="1" s="307">
      <c r="A23" s="321" t="inlineStr">
        <is>
          <t>Y5 Q4</t>
        </is>
      </c>
      <c r="B23" s="354" t="n">
        <v>8.228902286897529</v>
      </c>
      <c r="C23" s="354" t="n">
        <v>6.58312182951803</v>
      </c>
      <c r="D23" s="354" t="n">
        <v>1.64578045737951</v>
      </c>
      <c r="E23" s="354" t="n">
        <v>249.244182265795</v>
      </c>
      <c r="F23" s="354" t="n">
        <v>14.4460455664487</v>
      </c>
    </row>
    <row r="24" ht="15" customHeight="1" s="307">
      <c r="A24" s="498" t="inlineStr">
        <is>
          <t>Y6 Q1</t>
        </is>
      </c>
      <c r="B24" s="476" t="n">
        <v>15.8017178280016</v>
      </c>
      <c r="C24" s="476" t="n">
        <v>12.6413742624013</v>
      </c>
      <c r="D24" s="476" t="n">
        <v>3.16034356560032</v>
      </c>
      <c r="E24" s="476" t="n">
        <v>261.885556528196</v>
      </c>
      <c r="F24" s="476" t="n">
        <v>17.606389132049</v>
      </c>
    </row>
    <row r="25" ht="15" customHeight="1" s="307">
      <c r="A25" s="321" t="inlineStr">
        <is>
          <t>Y6 Q2</t>
        </is>
      </c>
      <c r="B25" s="354" t="n">
        <v>15.4744656916974</v>
      </c>
      <c r="C25" s="354" t="n">
        <v>12.3795725533579</v>
      </c>
      <c r="D25" s="354" t="n">
        <v>3.09489313833947</v>
      </c>
      <c r="E25" s="354" t="n">
        <v>274.265129081554</v>
      </c>
      <c r="F25" s="354" t="n">
        <v>20.7012822703885</v>
      </c>
    </row>
    <row r="26" ht="15" customHeight="1" s="307">
      <c r="A26" s="321" t="inlineStr">
        <is>
          <t>Y6 Q3</t>
        </is>
      </c>
      <c r="B26" s="354" t="n">
        <v>15.1635029193393</v>
      </c>
      <c r="C26" s="354" t="n">
        <v>12.1308023354715</v>
      </c>
      <c r="D26" s="354" t="n">
        <v>3.03270058386786</v>
      </c>
      <c r="E26" s="354" t="n">
        <v>286.395931417026</v>
      </c>
      <c r="F26" s="354" t="n">
        <v>23.7339828542564</v>
      </c>
    </row>
    <row r="27" ht="15" customHeight="1" s="307">
      <c r="A27" s="321" t="inlineStr">
        <is>
          <t>Y6 Q4</t>
        </is>
      </c>
      <c r="B27" s="354" t="n">
        <v>8.105559223103119</v>
      </c>
      <c r="C27" s="354" t="n">
        <v>6.4844473784825</v>
      </c>
      <c r="D27" s="354" t="n">
        <v>1.62111184462063</v>
      </c>
      <c r="E27" s="354" t="n">
        <v>292.880378795508</v>
      </c>
      <c r="F27" s="354" t="n">
        <v>25.355094698877</v>
      </c>
    </row>
    <row r="28" ht="15" customHeight="1" s="307">
      <c r="A28" s="498" t="inlineStr">
        <is>
          <t>Y7 Q1</t>
        </is>
      </c>
      <c r="B28" s="476" t="n">
        <v>14.5871861957673</v>
      </c>
      <c r="C28" s="476" t="n">
        <v>11.6697489566139</v>
      </c>
      <c r="D28" s="476" t="n">
        <v>2.91743723915347</v>
      </c>
      <c r="E28" s="476" t="n">
        <v>304.550127752122</v>
      </c>
      <c r="F28" s="476" t="n">
        <v>28.2725319380305</v>
      </c>
    </row>
    <row r="29" ht="15" customHeight="1" s="307">
      <c r="A29" s="321" t="inlineStr">
        <is>
          <t>Y7 Q2</t>
        </is>
      </c>
      <c r="B29" s="354" t="n">
        <v>14.3203065513558</v>
      </c>
      <c r="C29" s="354" t="n">
        <v>11.4562452410847</v>
      </c>
      <c r="D29" s="354" t="n">
        <v>2.86406131027116</v>
      </c>
      <c r="E29" s="354" t="n">
        <v>316.006372993207</v>
      </c>
      <c r="F29" s="354" t="n">
        <v>31.1365932483016</v>
      </c>
    </row>
    <row r="30" ht="15" customHeight="1" s="307">
      <c r="A30" s="321" t="inlineStr">
        <is>
          <t>Y7 Q3</t>
        </is>
      </c>
      <c r="B30" s="354" t="n">
        <v>14.0666605781829</v>
      </c>
      <c r="C30" s="354" t="n">
        <v>11.2533284625464</v>
      </c>
      <c r="D30" s="354" t="n">
        <v>2.81333211563659</v>
      </c>
      <c r="E30" s="354" t="n">
        <v>327.259701455753</v>
      </c>
      <c r="F30" s="354" t="n">
        <v>33.9499253639382</v>
      </c>
    </row>
    <row r="31" ht="15" customHeight="1" s="307">
      <c r="A31" s="321" t="inlineStr">
        <is>
          <t>Y7 Q4</t>
        </is>
      </c>
      <c r="B31" s="354" t="n">
        <v>8.00467041302983</v>
      </c>
      <c r="C31" s="354" t="n">
        <v>6.40373633042387</v>
      </c>
      <c r="D31" s="354" t="n">
        <v>1.60093408260596</v>
      </c>
      <c r="E31" s="354" t="n">
        <v>333.663437786177</v>
      </c>
      <c r="F31" s="354" t="n">
        <v>35.5508594465442</v>
      </c>
    </row>
    <row r="32" ht="15" customHeight="1" s="307">
      <c r="A32" s="498" t="inlineStr">
        <is>
          <t>Y8 Q1</t>
        </is>
      </c>
      <c r="B32" s="476" t="n">
        <v>13.596430349975</v>
      </c>
      <c r="C32" s="476" t="n">
        <v>10.87714427998</v>
      </c>
      <c r="D32" s="476" t="n">
        <v>2.71928606999499</v>
      </c>
      <c r="E32" s="476" t="n">
        <v>344.540582066157</v>
      </c>
      <c r="F32" s="476" t="n">
        <v>38.2701455165392</v>
      </c>
    </row>
    <row r="33" ht="15" customHeight="1" s="307">
      <c r="A33" s="321" t="inlineStr">
        <is>
          <t>Y8 Q2</t>
        </is>
      </c>
      <c r="B33" s="354" t="n">
        <v>13.3786103893829</v>
      </c>
      <c r="C33" s="354" t="n">
        <v>10.7028883115063</v>
      </c>
      <c r="D33" s="354" t="n">
        <v>2.67572207787658</v>
      </c>
      <c r="E33" s="354" t="n">
        <v>355.243470377663</v>
      </c>
      <c r="F33" s="354" t="n">
        <v>40.9458675944157</v>
      </c>
    </row>
    <row r="34" ht="15" customHeight="1" s="307">
      <c r="A34" s="321" t="inlineStr">
        <is>
          <t>Y8 Q3</t>
        </is>
      </c>
      <c r="B34" s="354" t="n">
        <v>13.1715492188511</v>
      </c>
      <c r="C34" s="354" t="n">
        <v>10.5372393750809</v>
      </c>
      <c r="D34" s="354" t="n">
        <v>2.63430984377023</v>
      </c>
      <c r="E34" s="354" t="n">
        <v>365.780709752744</v>
      </c>
      <c r="F34" s="354" t="n">
        <v>43.580177438186</v>
      </c>
    </row>
    <row r="35" ht="15" customHeight="1" s="307">
      <c r="A35" s="321" t="inlineStr">
        <is>
          <t>Y8 Q4</t>
        </is>
      </c>
      <c r="B35" s="354" t="n">
        <v>7.92207715978909</v>
      </c>
      <c r="C35" s="354" t="n">
        <v>6.33766172783128</v>
      </c>
      <c r="D35" s="354" t="n">
        <v>1.58441543195782</v>
      </c>
      <c r="E35" s="354" t="n">
        <v>372.118371480575</v>
      </c>
      <c r="F35" s="354" t="n">
        <v>45.1645928701438</v>
      </c>
    </row>
    <row r="36" ht="15" customHeight="1" s="307">
      <c r="A36" s="498" t="inlineStr">
        <is>
          <t>Y9 Q1</t>
        </is>
      </c>
      <c r="B36" s="476" t="n">
        <v>12.787564714337</v>
      </c>
      <c r="C36" s="476" t="n">
        <v>10.2300517714696</v>
      </c>
      <c r="D36" s="476" t="n">
        <v>2.5575129428674</v>
      </c>
      <c r="E36" s="476" t="n">
        <v>382.348423252045</v>
      </c>
      <c r="F36" s="476" t="n">
        <v>47.7221058130112</v>
      </c>
    </row>
    <row r="37" ht="15" customHeight="1" s="307">
      <c r="A37" s="321" t="inlineStr">
        <is>
          <t>Y9 Q2</t>
        </is>
      </c>
      <c r="B37" s="354" t="n">
        <v>12.6096399375598</v>
      </c>
      <c r="C37" s="354" t="n">
        <v>10.0877119500479</v>
      </c>
      <c r="D37" s="354" t="n">
        <v>2.52192798751197</v>
      </c>
      <c r="E37" s="354" t="n">
        <v>392.436135202093</v>
      </c>
      <c r="F37" s="354" t="n">
        <v>50.2440338005231</v>
      </c>
    </row>
    <row r="38" ht="15" customHeight="1" s="307">
      <c r="A38" s="321" t="inlineStr">
        <is>
          <t>Y9 Q3</t>
        </is>
      </c>
      <c r="B38" s="354" t="n">
        <v>12.44046826794</v>
      </c>
      <c r="C38" s="354" t="n">
        <v>9.95237461435196</v>
      </c>
      <c r="D38" s="354" t="n">
        <v>2.488093653588</v>
      </c>
      <c r="E38" s="354" t="n">
        <v>402.388509816445</v>
      </c>
      <c r="F38" s="354" t="n">
        <v>52.7321274541111</v>
      </c>
    </row>
    <row r="39" ht="15" customHeight="1" s="307">
      <c r="A39" s="321" t="inlineStr">
        <is>
          <t>Y9 Q4</t>
        </is>
      </c>
      <c r="B39" s="354" t="n">
        <v>7.85440268279173</v>
      </c>
      <c r="C39" s="354" t="n">
        <v>6.28352214623338</v>
      </c>
      <c r="D39" s="354" t="n">
        <v>1.57088053655835</v>
      </c>
      <c r="E39" s="354" t="n">
        <v>408.672031962678</v>
      </c>
      <c r="F39" s="354" t="n">
        <v>54.3030079906695</v>
      </c>
    </row>
    <row r="40" ht="15" customHeight="1" s="307">
      <c r="A40" s="498" t="inlineStr">
        <is>
          <t>Y10 Q1</t>
        </is>
      </c>
      <c r="B40" s="476" t="n">
        <v>12.126650390673</v>
      </c>
      <c r="C40" s="476" t="n">
        <v>9.70132031253838</v>
      </c>
      <c r="D40" s="476" t="n">
        <v>2.4253300781346</v>
      </c>
      <c r="E40" s="476" t="n">
        <v>418.373352275216</v>
      </c>
      <c r="F40" s="476" t="n">
        <v>56.7283380688041</v>
      </c>
    </row>
    <row r="41" ht="15" customHeight="1" s="307">
      <c r="A41" s="321" t="inlineStr">
        <is>
          <t>Y10 Q2</t>
        </is>
      </c>
      <c r="B41" s="354" t="n">
        <v>11.9811920821934</v>
      </c>
      <c r="C41" s="354" t="n">
        <v>9.58495366575468</v>
      </c>
      <c r="D41" s="354" t="n">
        <v>2.39623841643867</v>
      </c>
      <c r="E41" s="354" t="n">
        <v>427.958305940971</v>
      </c>
      <c r="F41" s="354" t="n">
        <v>59.1245764852428</v>
      </c>
    </row>
    <row r="42" ht="15" customHeight="1" s="307">
      <c r="A42" s="321" t="inlineStr">
        <is>
          <t>Y10 Q3</t>
        </is>
      </c>
      <c r="B42" s="354" t="n">
        <v>11.8428604232822</v>
      </c>
      <c r="C42" s="354" t="n">
        <v>9.47428833862574</v>
      </c>
      <c r="D42" s="354" t="n">
        <v>2.36857208465642</v>
      </c>
      <c r="E42" s="354" t="n">
        <v>437.432594279597</v>
      </c>
      <c r="F42" s="354" t="n">
        <v>61.4931485698992</v>
      </c>
    </row>
    <row r="43" ht="15" customHeight="1" s="307">
      <c r="A43" s="321" t="inlineStr">
        <is>
          <t>Y10 Q4</t>
        </is>
      </c>
      <c r="B43" s="354" t="n">
        <v>7.79890320794976</v>
      </c>
      <c r="C43" s="354" t="n">
        <v>6.2391225663598</v>
      </c>
      <c r="D43" s="354" t="n">
        <v>1.55978064158996</v>
      </c>
      <c r="E43" s="354" t="n">
        <v>443.671716845957</v>
      </c>
      <c r="F43" s="354" t="n">
        <v>63.0529292114891</v>
      </c>
    </row>
    <row r="44" ht="15" customHeight="1" s="307">
      <c r="A44" s="498" t="inlineStr">
        <is>
          <t>Y11 Q1</t>
        </is>
      </c>
      <c r="B44" s="476" t="n">
        <v>11.5861703888613</v>
      </c>
      <c r="C44" s="476" t="n">
        <v>9.268936311089019</v>
      </c>
      <c r="D44" s="476" t="n">
        <v>2.31723407777227</v>
      </c>
      <c r="E44" s="476" t="n">
        <v>452.940653157046</v>
      </c>
      <c r="F44" s="476" t="n">
        <v>65.3701632892614</v>
      </c>
    </row>
    <row r="45" ht="15" customHeight="1" s="307">
      <c r="A45" s="321" t="inlineStr">
        <is>
          <t>Y11 Q2</t>
        </is>
      </c>
      <c r="B45" s="354" t="n">
        <v>11.4671530280783</v>
      </c>
      <c r="C45" s="354" t="n">
        <v>9.17372242246269</v>
      </c>
      <c r="D45" s="354" t="n">
        <v>2.29343060561566</v>
      </c>
      <c r="E45" s="354" t="n">
        <v>462.114375579508</v>
      </c>
      <c r="F45" s="354" t="n">
        <v>67.6635938948771</v>
      </c>
    </row>
    <row r="46" ht="15" customHeight="1" s="307">
      <c r="A46" s="321" t="inlineStr">
        <is>
          <t>Y11 Q3</t>
        </is>
      </c>
      <c r="B46" s="354" t="n">
        <v>11.3539425262164</v>
      </c>
      <c r="C46" s="354" t="n">
        <v>9.083154020973121</v>
      </c>
      <c r="D46" s="354" t="n">
        <v>2.27078850524328</v>
      </c>
      <c r="E46" s="354" t="n">
        <v>471.197529600481</v>
      </c>
      <c r="F46" s="354" t="n">
        <v>69.9343824001203</v>
      </c>
    </row>
    <row r="47" ht="15" customHeight="1" s="307">
      <c r="A47" s="321" t="inlineStr">
        <is>
          <t>Y11 Q4</t>
        </is>
      </c>
      <c r="B47" s="354" t="n">
        <v>7.75334771881873</v>
      </c>
      <c r="C47" s="354" t="n">
        <v>6.20267817505498</v>
      </c>
      <c r="D47" s="354" t="n">
        <v>1.55066954376374</v>
      </c>
      <c r="E47" s="354" t="n">
        <v>477.400207775536</v>
      </c>
      <c r="F47" s="354" t="n">
        <v>71.4850519438841</v>
      </c>
    </row>
    <row r="48" ht="15" customHeight="1" s="307">
      <c r="A48" s="498" t="inlineStr">
        <is>
          <t>Y12 Q1</t>
        </is>
      </c>
      <c r="B48" s="476" t="n">
        <v>11.1438001259635</v>
      </c>
      <c r="C48" s="476" t="n">
        <v>8.915040100770799</v>
      </c>
      <c r="D48" s="476" t="n">
        <v>2.2287600251927</v>
      </c>
      <c r="E48" s="476" t="n">
        <v>486.315247876307</v>
      </c>
      <c r="F48" s="476" t="n">
        <v>73.7138119690768</v>
      </c>
    </row>
    <row r="49" ht="15" customHeight="1" s="307">
      <c r="A49" s="321" t="inlineStr">
        <is>
          <t>Y12 Q2</t>
        </is>
      </c>
      <c r="B49" s="354" t="n">
        <v>11.0463331304378</v>
      </c>
      <c r="C49" s="354" t="n">
        <v>8.83706650435022</v>
      </c>
      <c r="D49" s="354" t="n">
        <v>2.20926662608757</v>
      </c>
      <c r="E49" s="354" t="n">
        <v>495.152314380657</v>
      </c>
      <c r="F49" s="354" t="n">
        <v>75.9230785951643</v>
      </c>
    </row>
    <row r="50" ht="15" customHeight="1" s="307">
      <c r="A50" s="321" t="inlineStr">
        <is>
          <t>Y12 Q3</t>
        </is>
      </c>
      <c r="B50" s="354" t="n">
        <v>10.9536013304252</v>
      </c>
      <c r="C50" s="354" t="n">
        <v>8.762881064340149</v>
      </c>
      <c r="D50" s="354" t="n">
        <v>2.19072026608504</v>
      </c>
      <c r="E50" s="354" t="n">
        <v>503.915195444998</v>
      </c>
      <c r="F50" s="354" t="n">
        <v>78.11379886124941</v>
      </c>
    </row>
    <row r="51" ht="15" customHeight="1" s="307">
      <c r="A51" s="321" t="inlineStr">
        <is>
          <t>Y12 Q4</t>
        </is>
      </c>
      <c r="B51" s="354" t="n">
        <v>7.71592080464507</v>
      </c>
      <c r="C51" s="354" t="n">
        <v>6.17273664371605</v>
      </c>
      <c r="D51" s="354" t="n">
        <v>1.54318416092901</v>
      </c>
      <c r="E51" s="354" t="n">
        <v>510.087932088714</v>
      </c>
      <c r="F51" s="354" t="n">
        <v>79.65698302217839</v>
      </c>
    </row>
    <row r="52" ht="15" customHeight="1" s="307">
      <c r="A52" s="498" t="inlineStr">
        <is>
          <t>Y13 Q1</t>
        </is>
      </c>
      <c r="B52" s="476" t="n">
        <v>10.7814155934141</v>
      </c>
      <c r="C52" s="476" t="n">
        <v>8.62513247473129</v>
      </c>
      <c r="D52" s="476" t="n">
        <v>2.15628311868281</v>
      </c>
      <c r="E52" s="476" t="n">
        <v>518.713064563445</v>
      </c>
      <c r="F52" s="476" t="n">
        <v>81.8132661408612</v>
      </c>
    </row>
    <row r="53" ht="15" customHeight="1" s="307">
      <c r="A53" s="321" t="inlineStr">
        <is>
          <t>Y13 Q2</t>
        </is>
      </c>
      <c r="B53" s="354" t="n">
        <v>10.7015268561291</v>
      </c>
      <c r="C53" s="354" t="n">
        <v>8.56122148490325</v>
      </c>
      <c r="D53" s="354" t="n">
        <v>2.14030537122582</v>
      </c>
      <c r="E53" s="354" t="n">
        <v>527.274286048348</v>
      </c>
      <c r="F53" s="354" t="n">
        <v>83.953571512087</v>
      </c>
    </row>
    <row r="54" ht="15" customHeight="1" s="307">
      <c r="A54" s="321" t="inlineStr">
        <is>
          <t>Y13 Q3</t>
        </is>
      </c>
      <c r="B54" s="354" t="n">
        <v>10.6255025273744</v>
      </c>
      <c r="C54" s="354" t="n">
        <v>8.500402021899511</v>
      </c>
      <c r="D54" s="354" t="n">
        <v>2.12510050547489</v>
      </c>
      <c r="E54" s="354" t="n">
        <v>535.774688070248</v>
      </c>
      <c r="F54" s="354" t="n">
        <v>86.0786720175619</v>
      </c>
    </row>
    <row r="55" ht="15" customHeight="1" s="307">
      <c r="A55" s="321" t="inlineStr">
        <is>
          <t>Y13 Q4</t>
        </is>
      </c>
      <c r="B55" s="354" t="n">
        <v>7.68514412886763</v>
      </c>
      <c r="C55" s="354" t="n">
        <v>6.1481153030941</v>
      </c>
      <c r="D55" s="354" t="n">
        <v>1.53702882577352</v>
      </c>
      <c r="E55" s="354" t="n">
        <v>541.922803373342</v>
      </c>
      <c r="F55" s="354" t="n">
        <v>87.6157008433354</v>
      </c>
    </row>
    <row r="56" ht="15" customHeight="1" s="307">
      <c r="A56" s="498" t="inlineStr">
        <is>
          <t>Y14 Q1</t>
        </is>
      </c>
      <c r="B56" s="476" t="n">
        <v>10.4842928934781</v>
      </c>
      <c r="C56" s="476" t="n">
        <v>8.38743431478246</v>
      </c>
      <c r="D56" s="476" t="n">
        <v>2.09685857869561</v>
      </c>
      <c r="E56" s="476" t="n">
        <v>550.3102376881239</v>
      </c>
      <c r="F56" s="476" t="n">
        <v>89.71255942203111</v>
      </c>
    </row>
    <row r="57" ht="15" customHeight="1" s="307">
      <c r="A57" s="321" t="inlineStr">
        <is>
          <t>Y14 Q2</t>
        </is>
      </c>
      <c r="B57" s="354" t="n">
        <v>10.4187540339153</v>
      </c>
      <c r="C57" s="354" t="n">
        <v>8.335003227132219</v>
      </c>
      <c r="D57" s="354" t="n">
        <v>2.08375080678305</v>
      </c>
      <c r="E57" s="354" t="n">
        <v>558.645240915256</v>
      </c>
      <c r="F57" s="354" t="n">
        <v>91.79631022881409</v>
      </c>
    </row>
    <row r="58" ht="15" customHeight="1" s="307">
      <c r="A58" s="321" t="inlineStr">
        <is>
          <t>Y14 Q3</t>
        </is>
      </c>
      <c r="B58" s="354" t="n">
        <v>10.3563715154786</v>
      </c>
      <c r="C58" s="354" t="n">
        <v>8.285097212382921</v>
      </c>
      <c r="D58" s="354" t="n">
        <v>2.07127430309573</v>
      </c>
      <c r="E58" s="354" t="n">
        <v>566.9303381276389</v>
      </c>
      <c r="F58" s="354" t="n">
        <v>93.8675845319098</v>
      </c>
    </row>
    <row r="59" ht="15" customHeight="1" s="307">
      <c r="A59" s="321" t="inlineStr">
        <is>
          <t>Y14 Q4</t>
        </is>
      </c>
      <c r="B59" s="354" t="n">
        <v>7.65981291547294</v>
      </c>
      <c r="C59" s="354" t="n">
        <v>6.12785033237835</v>
      </c>
      <c r="D59" s="354" t="n">
        <v>1.53196258309459</v>
      </c>
      <c r="E59" s="354" t="n">
        <v>573.058188460018</v>
      </c>
      <c r="F59" s="354" t="n">
        <v>95.3995471150044</v>
      </c>
    </row>
    <row r="60" ht="15" customHeight="1" s="307">
      <c r="A60" s="498" t="inlineStr">
        <is>
          <t>Y15 Q1</t>
        </is>
      </c>
      <c r="B60" s="476" t="n">
        <v>10.2404619207172</v>
      </c>
      <c r="C60" s="476" t="n">
        <v>8.1923695365738</v>
      </c>
      <c r="D60" s="476" t="n">
        <v>2.04809238414345</v>
      </c>
      <c r="E60" s="476" t="n">
        <v>581.2505579965911</v>
      </c>
      <c r="F60" s="476" t="n">
        <v>97.4476394991479</v>
      </c>
    </row>
    <row r="61" ht="15" customHeight="1" s="307">
      <c r="A61" s="321" t="inlineStr">
        <is>
          <t>Y15 Q2</t>
        </is>
      </c>
      <c r="B61" s="354" t="n">
        <v>10.1866471437924</v>
      </c>
      <c r="C61" s="354" t="n">
        <v>8.14931771503395</v>
      </c>
      <c r="D61" s="354" t="n">
        <v>2.03732942875848</v>
      </c>
      <c r="E61" s="354" t="n">
        <v>589.399875711625</v>
      </c>
      <c r="F61" s="354" t="n">
        <v>99.48496892790629</v>
      </c>
    </row>
    <row r="62" ht="15" customHeight="1" s="307">
      <c r="A62" s="321" t="inlineStr">
        <is>
          <t>Y15 Q3</t>
        </is>
      </c>
      <c r="B62" s="354" t="n">
        <v>10.1354125319252</v>
      </c>
      <c r="C62" s="354" t="n">
        <v>8.10833002554013</v>
      </c>
      <c r="D62" s="354" t="n">
        <v>2.02708250638503</v>
      </c>
      <c r="E62" s="354" t="n">
        <v>597.508205737165</v>
      </c>
      <c r="F62" s="354" t="n">
        <v>101.512051434291</v>
      </c>
    </row>
    <row r="63" ht="15" customHeight="1" s="307">
      <c r="A63" s="321" t="inlineStr">
        <is>
          <t>Y15 Q4</t>
        </is>
      </c>
      <c r="B63" s="354" t="n">
        <v>7.63894455290036</v>
      </c>
      <c r="C63" s="354" t="n">
        <v>6.11115564232029</v>
      </c>
      <c r="D63" s="354" t="n">
        <v>1.52778891058007</v>
      </c>
      <c r="E63" s="354" t="n">
        <v>603.619361379486</v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G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PORTFOLIO DASHBOARD  --  5 DEALS @ $24M ARR (RESTATED)</t>
        </is>
      </c>
      <c r="B1" s="309" t="n"/>
      <c r="C1" s="309" t="n"/>
      <c r="D1" s="309" t="n"/>
      <c r="E1" s="309" t="n"/>
      <c r="F1" s="309" t="n"/>
      <c r="G1" s="309" t="n"/>
    </row>
    <row r="3" ht="15" customHeight="1" s="307">
      <c r="A3" s="322" t="n"/>
      <c r="B3" s="388" t="inlineStr">
        <is>
          <t>Deal #1</t>
        </is>
      </c>
      <c r="C3" s="388" t="inlineStr">
        <is>
          <t>Deal #2</t>
        </is>
      </c>
      <c r="D3" s="388" t="inlineStr">
        <is>
          <t>Deal #3</t>
        </is>
      </c>
      <c r="E3" s="388" t="inlineStr">
        <is>
          <t>Deal #4</t>
        </is>
      </c>
      <c r="F3" s="388" t="inlineStr">
        <is>
          <t>Deal #5</t>
        </is>
      </c>
      <c r="G3" s="388" t="inlineStr">
        <is>
          <t>Portfolio</t>
        </is>
      </c>
    </row>
    <row r="4" ht="15" customHeight="1" s="307">
      <c r="A4" s="321" t="inlineStr">
        <is>
          <t>ARR ($mm)</t>
        </is>
      </c>
      <c r="B4" s="354" t="n">
        <v>24</v>
      </c>
      <c r="C4" s="354" t="n">
        <v>24</v>
      </c>
      <c r="D4" s="354" t="n">
        <v>24</v>
      </c>
      <c r="E4" s="354" t="n">
        <v>24</v>
      </c>
      <c r="F4" s="354" t="n">
        <v>24</v>
      </c>
      <c r="G4" s="569">
        <f>SUM(B4:F4)</f>
        <v/>
      </c>
    </row>
    <row r="5" ht="15" customHeight="1" s="307">
      <c r="A5" s="321" t="inlineStr">
        <is>
          <t>Entry Multiple</t>
        </is>
      </c>
      <c r="B5" s="441" t="n">
        <v>1.24</v>
      </c>
      <c r="C5" s="441" t="n">
        <v>1.24</v>
      </c>
      <c r="D5" s="441" t="n">
        <v>1.24</v>
      </c>
      <c r="E5" s="441" t="n">
        <v>1.24</v>
      </c>
      <c r="F5" s="441" t="n">
        <v>1.24</v>
      </c>
      <c r="G5" s="358">
        <f>AVERAGE(B5:F5)</f>
        <v/>
      </c>
    </row>
    <row r="6" ht="15" customHeight="1" s="307">
      <c r="A6" s="321" t="inlineStr">
        <is>
          <t>Net Purchase ($mm)</t>
        </is>
      </c>
      <c r="B6" s="354">
        <f>24*1.24 - 24*0.1154*0.5</f>
        <v/>
      </c>
      <c r="C6" s="354">
        <f>24*1.24 - 24*0.1154*0.5</f>
        <v/>
      </c>
      <c r="D6" s="354">
        <f>24*1.24 - 24*0.1154*0.5</f>
        <v/>
      </c>
      <c r="E6" s="354">
        <f>24*1.24 - 24*0.1154*0.5</f>
        <v/>
      </c>
      <c r="F6" s="354">
        <f>24*1.24 - 24*0.1154*0.5</f>
        <v/>
      </c>
      <c r="G6" s="569">
        <f>SUM(B6:F6)</f>
        <v/>
      </c>
    </row>
    <row r="7" ht="15" customHeight="1" s="307">
      <c r="A7" s="321" t="inlineStr">
        <is>
          <t>NDR</t>
        </is>
      </c>
      <c r="B7" s="404" t="n">
        <v>0.85</v>
      </c>
      <c r="C7" s="404" t="n">
        <v>0.85</v>
      </c>
      <c r="D7" s="404" t="n">
        <v>0.85</v>
      </c>
      <c r="E7" s="404" t="n">
        <v>0.85</v>
      </c>
      <c r="F7" s="404" t="n">
        <v>0.85</v>
      </c>
      <c r="G7" s="569" t="n"/>
    </row>
    <row r="8" ht="15" customHeight="1" s="307">
      <c r="A8" s="321" t="inlineStr">
        <is>
          <t>Close Month</t>
        </is>
      </c>
      <c r="B8" s="394" t="inlineStr">
        <is>
          <t>M4</t>
        </is>
      </c>
      <c r="C8" s="394" t="inlineStr">
        <is>
          <t>M7</t>
        </is>
      </c>
      <c r="D8" s="394" t="inlineStr">
        <is>
          <t>M10</t>
        </is>
      </c>
      <c r="E8" s="394" t="inlineStr">
        <is>
          <t>M12</t>
        </is>
      </c>
      <c r="F8" s="394" t="inlineStr">
        <is>
          <t>M16</t>
        </is>
      </c>
    </row>
    <row r="9" ht="15" customHeight="1" s="307">
      <c r="A9" s="322" t="n"/>
      <c r="B9" s="394" t="n"/>
      <c r="C9" s="394" t="n"/>
      <c r="D9" s="394" t="n"/>
      <c r="E9" s="394" t="n"/>
      <c r="F9" s="394" t="n"/>
    </row>
    <row r="10" ht="15" customHeight="1" s="307">
      <c r="A10" s="322" t="n"/>
      <c r="B10" s="404" t="n"/>
      <c r="C10" s="404" t="n"/>
      <c r="D10" s="404" t="n"/>
      <c r="E10" s="404" t="n"/>
      <c r="F10" s="404" t="n"/>
    </row>
    <row r="11" ht="15" customHeight="1" s="307">
      <c r="A11" s="322" t="n"/>
      <c r="B11" s="394" t="n"/>
      <c r="C11" s="394" t="n"/>
      <c r="D11" s="394" t="n"/>
      <c r="E11" s="394" t="n"/>
      <c r="F11" s="394" t="n"/>
    </row>
    <row r="13" ht="15" customHeight="1" s="307">
      <c r="A13" s="321" t="n"/>
      <c r="B13" s="354" t="n"/>
      <c r="C13" s="354" t="n"/>
      <c r="D13" s="354" t="n"/>
      <c r="E13" s="354" t="n"/>
      <c r="F13" s="354" t="n"/>
      <c r="G13" s="569" t="n"/>
    </row>
    <row r="14" ht="15" customHeight="1" s="307">
      <c r="A14" s="321" t="n"/>
      <c r="B14" s="354" t="n"/>
      <c r="C14" s="354" t="n"/>
      <c r="D14" s="354" t="n"/>
      <c r="E14" s="354" t="n"/>
      <c r="F14" s="354" t="n"/>
      <c r="G14" s="569" t="n"/>
    </row>
    <row r="15" ht="15" customHeight="1" s="307">
      <c r="A15" s="321" t="n"/>
      <c r="B15" s="354" t="n"/>
      <c r="C15" s="354" t="n"/>
      <c r="D15" s="354" t="n"/>
      <c r="E15" s="354" t="n"/>
      <c r="F15" s="354" t="n"/>
      <c r="G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  <c r="G16" s="56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15.75" customHeight="1" s="307">
      <c r="A1" s="471" t="inlineStr">
        <is>
          <t>SCENARIO COMPARISON  --  ALL CASES</t>
        </is>
      </c>
      <c r="B1" s="309" t="n"/>
      <c r="C1" s="309" t="n"/>
      <c r="D1" s="309" t="n"/>
    </row>
    <row r="3" ht="21.75" customHeight="1" s="307">
      <c r="A3" s="322" t="n"/>
      <c r="B3" s="502" t="inlineStr">
        <is>
          <t>No Recycle
(5 deals)</t>
        </is>
      </c>
      <c r="C3" s="502" t="inlineStr">
        <is>
          <t>50% Recycle
(8 deals)</t>
        </is>
      </c>
      <c r="D3" s="502" t="inlineStr">
        <is>
          <t>100% Recycle
(10 deals)</t>
        </is>
      </c>
      <c r="E3" s="583" t="n"/>
      <c r="F3" s="583" t="n"/>
    </row>
    <row r="4" ht="15" customHeight="1" s="307">
      <c r="A4" s="322" t="inlineStr">
        <is>
          <t>10Y DPI</t>
        </is>
      </c>
      <c r="B4" s="503" t="n">
        <v>2.18833274175009</v>
      </c>
      <c r="C4" s="503" t="n">
        <v>2.91240153360391</v>
      </c>
      <c r="D4" s="503" t="n">
        <v>3.11978676007793</v>
      </c>
      <c r="E4" s="504" t="n"/>
      <c r="F4" s="504" t="n"/>
    </row>
    <row r="5" ht="15" customHeight="1" s="307">
      <c r="A5" s="322" t="inlineStr">
        <is>
          <t>15Y DPI</t>
        </is>
      </c>
      <c r="B5" s="503" t="n">
        <v>2.34787321130789</v>
      </c>
      <c r="C5" s="503" t="n">
        <v>3.43138563821612</v>
      </c>
      <c r="D5" s="503" t="n">
        <v>3.84059905560255</v>
      </c>
      <c r="E5" s="358" t="n"/>
      <c r="F5" s="358" t="n"/>
    </row>
    <row r="6" ht="15" customHeight="1" s="307">
      <c r="A6" s="322" t="inlineStr">
        <is>
          <t>10Y IRR (Staged)</t>
        </is>
      </c>
      <c r="B6" s="506" t="n">
        <v>0.272134814354736</v>
      </c>
      <c r="C6" s="506" t="n">
        <v>0.222741401814916</v>
      </c>
      <c r="D6" s="506" t="n">
        <v>0.164628201408313</v>
      </c>
      <c r="E6" s="354" t="n"/>
      <c r="F6" s="354" t="n"/>
    </row>
    <row r="7" ht="15" customHeight="1" s="307">
      <c r="A7" s="322" t="inlineStr">
        <is>
          <t>Payback (months)</t>
        </is>
      </c>
      <c r="B7" s="508" t="n">
        <v>43</v>
      </c>
      <c r="C7" s="508" t="n">
        <v>47</v>
      </c>
      <c r="D7" s="508" t="n">
        <v>52</v>
      </c>
      <c r="E7" s="354" t="n"/>
      <c r="F7" s="354" t="n"/>
    </row>
    <row r="8" ht="15" customHeight="1" s="307">
      <c r="A8" s="321" t="inlineStr">
        <is>
          <t>15Y LP Cash ($mm)</t>
        </is>
      </c>
      <c r="B8" s="354" t="n">
        <v>352.180981696184</v>
      </c>
      <c r="C8" s="354" t="n">
        <v>514.707845732418</v>
      </c>
      <c r="D8" s="354" t="n">
        <v>576.089858340382</v>
      </c>
      <c r="E8" s="349" t="n"/>
      <c r="F8" s="349" t="n"/>
    </row>
    <row r="9" ht="15" customHeight="1" s="307">
      <c r="A9" s="321" t="inlineStr">
        <is>
          <t>GP Carry ($mm)</t>
        </is>
      </c>
      <c r="B9" s="354" t="n">
        <v>18.4882266439472</v>
      </c>
      <c r="C9" s="354" t="n">
        <v>49.7872309908709</v>
      </c>
      <c r="D9" s="354" t="n">
        <v>65.7577678049303</v>
      </c>
      <c r="E9" s="368" t="n"/>
      <c r="F9" s="368" t="n"/>
    </row>
    <row r="10" ht="15" customHeight="1" s="307">
      <c r="A10" s="321" t="inlineStr">
        <is>
          <t>Capital Deployed ($mm)</t>
        </is>
      </c>
      <c r="B10" s="354" t="n">
        <v>158.78289</v>
      </c>
      <c r="C10" s="354" t="n">
        <v>224.22849</v>
      </c>
      <c r="D10" s="354" t="n">
        <v>269.45889</v>
      </c>
      <c r="E10" s="354" t="n"/>
      <c r="F10" s="354" t="n"/>
    </row>
    <row r="11" ht="15" customHeight="1" s="307">
      <c r="A11" s="321" t="n"/>
      <c r="B11" s="354" t="n"/>
      <c r="C11" s="354" t="n"/>
      <c r="D11" s="354" t="n"/>
      <c r="E11" s="354" t="n"/>
      <c r="F11" s="35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323" t="inlineStr">
        <is>
          <t>CEO/CFO at 50% pre-deal, full pay + catch-up at M7.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20" customWidth="1" style="306" min="2" max="3"/>
    <col width="30" customWidth="1" style="306" min="4" max="4"/>
  </cols>
  <sheetData>
    <row r="1" ht="15.75" customHeight="1" s="307">
      <c r="A1" s="471" t="inlineStr">
        <is>
          <t>PRESS VS INDUSTRY BENCHMARKS</t>
        </is>
      </c>
      <c r="B1" s="309" t="n"/>
      <c r="C1" s="309" t="n"/>
      <c r="D1" s="309" t="n"/>
    </row>
    <row r="2" ht="15" customHeight="1" s="307">
      <c r="A2" s="323" t="inlineStr">
        <is>
          <t>Press Fund I vs median PE performance (Cambridge Associates, McKinsey PE data).</t>
        </is>
      </c>
    </row>
    <row r="4" ht="15" customHeight="1" s="307">
      <c r="A4" s="388" t="inlineStr">
        <is>
          <t>Metric</t>
        </is>
      </c>
      <c r="B4" s="388" t="inlineStr">
        <is>
          <t>Press Capital</t>
        </is>
      </c>
      <c r="C4" s="388" t="inlineStr">
        <is>
          <t>Industry Median PE</t>
        </is>
      </c>
      <c r="D4" s="388" t="inlineStr">
        <is>
          <t>Source</t>
        </is>
      </c>
    </row>
    <row r="5" ht="15" customHeight="1" s="307">
      <c r="A5" s="321" t="inlineStr">
        <is>
          <t>Net IRR (10Y)</t>
        </is>
      </c>
      <c r="B5" s="587" t="inlineStr">
        <is>
          <t>27.2%</t>
        </is>
      </c>
      <c r="C5" s="394" t="inlineStr">
        <is>
          <t>~13%</t>
        </is>
      </c>
      <c r="D5" s="323" t="inlineStr">
        <is>
          <t>Cambridge Associates</t>
        </is>
      </c>
    </row>
    <row r="6" ht="15" customHeight="1" s="307">
      <c r="A6" s="321" t="inlineStr">
        <is>
          <t>DPI (10Y, realized)</t>
        </is>
      </c>
      <c r="B6" s="587" t="inlineStr">
        <is>
          <t>2.19x</t>
        </is>
      </c>
      <c r="C6" s="394" t="inlineStr">
        <is>
          <t>~0.3x (mostly unrealized)</t>
        </is>
      </c>
      <c r="D6" s="323" t="inlineStr">
        <is>
          <t>McKinsey PE Report</t>
        </is>
      </c>
    </row>
    <row r="7" ht="15" customHeight="1" s="307">
      <c r="A7" s="321" t="inlineStr">
        <is>
          <t>Leverage</t>
        </is>
      </c>
      <c r="B7" s="587" t="inlineStr">
        <is>
          <t>Zero</t>
        </is>
      </c>
      <c r="C7" s="394" t="inlineStr">
        <is>
          <t>3-5x debt/EBITDA</t>
        </is>
      </c>
      <c r="D7" s="323" t="n"/>
    </row>
    <row r="8" ht="15" customHeight="1" s="307">
      <c r="A8" s="321" t="inlineStr">
        <is>
          <t>Distribution Frequency</t>
        </is>
      </c>
      <c r="B8" s="587" t="inlineStr">
        <is>
          <t>Quarterly</t>
        </is>
      </c>
      <c r="C8" s="394" t="inlineStr">
        <is>
          <t>At exit (7-10 years)</t>
        </is>
      </c>
      <c r="D8" s="323" t="n"/>
    </row>
    <row r="9" ht="15" customHeight="1" s="307">
      <c r="A9" s="321" t="inlineStr">
        <is>
          <t>Management Fee</t>
        </is>
      </c>
      <c r="B9" s="587" t="inlineStr">
        <is>
          <t>Y1 only, then 0%</t>
        </is>
      </c>
      <c r="C9" s="394" t="inlineStr">
        <is>
          <t>2% for 10 years</t>
        </is>
      </c>
      <c r="D9" s="323" t="n"/>
    </row>
    <row r="10" ht="15" customHeight="1" s="307">
      <c r="A10" s="321" t="inlineStr">
        <is>
          <t>Carry Hurdle</t>
        </is>
      </c>
      <c r="B10" s="587" t="inlineStr">
        <is>
          <t>1x + 10% pref</t>
        </is>
      </c>
      <c r="C10" s="394" t="inlineStr">
        <is>
          <t>Often from $1</t>
        </is>
      </c>
      <c r="D10" s="323" t="n"/>
    </row>
    <row r="11" ht="15" customHeight="1" s="307">
      <c r="A11" s="321" t="inlineStr">
        <is>
          <t>Net Margin</t>
        </is>
      </c>
      <c r="B11" s="587" t="inlineStr">
        <is>
          <t>62.5%</t>
        </is>
      </c>
      <c r="C11" s="394" t="inlineStr">
        <is>
          <t>~7-15%</t>
        </is>
      </c>
      <c r="D11" s="323" t="inlineStr">
        <is>
          <t>Constellation ~7%, PE SaaS ~30%</t>
        </is>
      </c>
    </row>
    <row r="12" ht="15" customHeight="1" s="307">
      <c r="A12" s="321" t="n"/>
      <c r="B12" s="587" t="n"/>
      <c r="C12" s="394" t="n"/>
      <c r="D12" s="323" t="n"/>
    </row>
    <row r="13" ht="15" customHeight="1" s="307">
      <c r="A13" s="321" t="n"/>
      <c r="B13" s="587" t="n"/>
      <c r="C13" s="394" t="n"/>
      <c r="D13" s="323" t="n"/>
    </row>
    <row r="14" ht="15" customHeight="1" s="307">
      <c r="A14" s="321" t="n"/>
      <c r="B14" s="587" t="n"/>
      <c r="C14" s="394" t="n"/>
      <c r="D14" s="323" t="n"/>
    </row>
    <row r="16" ht="15" customHeight="1" s="307">
      <c r="A16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Shows retained cash accumulation and recycled deal deployment.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 t="n">
        <v>-1</v>
      </c>
      <c r="C5" s="354" t="n">
        <v>-2.6</v>
      </c>
      <c r="D5" s="354" t="n">
        <v>-1.2</v>
      </c>
      <c r="E5" s="354" t="n">
        <v>1.4</v>
      </c>
      <c r="F5" s="354" t="n">
        <v>9.6</v>
      </c>
      <c r="G5" s="354" t="n">
        <v>12.5</v>
      </c>
      <c r="H5" s="354" t="n">
        <v>15.8</v>
      </c>
      <c r="I5" s="354" t="n">
        <v>18.8</v>
      </c>
      <c r="J5" s="354" t="n">
        <v>22.7</v>
      </c>
      <c r="K5" s="354" t="n">
        <v>23.5</v>
      </c>
      <c r="L5" s="354" t="n">
        <v>25.6</v>
      </c>
      <c r="M5" s="354" t="n">
        <v>27.8</v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 t="n">
        <v>0</v>
      </c>
      <c r="C6" s="354" t="n">
        <v>0</v>
      </c>
      <c r="D6" s="354" t="n">
        <v>0</v>
      </c>
      <c r="E6" s="354" t="n">
        <v>0</v>
      </c>
      <c r="F6" s="354" t="n">
        <v>0</v>
      </c>
      <c r="G6" s="354" t="n">
        <v>0</v>
      </c>
      <c r="H6" s="354" t="n">
        <v>22.6</v>
      </c>
      <c r="I6" s="354" t="n">
        <v>22.6</v>
      </c>
      <c r="J6" s="354" t="n">
        <v>0</v>
      </c>
      <c r="K6" s="354" t="n">
        <v>22.6</v>
      </c>
      <c r="L6" s="354" t="n">
        <v>22.6</v>
      </c>
      <c r="M6" s="354" t="n">
        <v>20.2</v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 t="n">
        <v>-1</v>
      </c>
      <c r="C7" s="588" t="n">
        <v>-3.6</v>
      </c>
      <c r="D7" s="588" t="n">
        <v>-4.8</v>
      </c>
      <c r="E7" s="588" t="n">
        <v>-3.4</v>
      </c>
      <c r="F7" s="571" t="n">
        <v>6.3</v>
      </c>
      <c r="G7" s="571" t="n">
        <v>18.8</v>
      </c>
      <c r="H7" s="571" t="n">
        <v>12</v>
      </c>
      <c r="I7" s="571" t="n">
        <v>8.199999999999999</v>
      </c>
      <c r="J7" s="571" t="n">
        <v>30.9</v>
      </c>
      <c r="K7" s="571" t="n">
        <v>31.8</v>
      </c>
      <c r="L7" s="571" t="n">
        <v>34.8</v>
      </c>
      <c r="M7" s="571" t="n">
        <v>42.3</v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 t="n">
        <v>3990</v>
      </c>
      <c r="E27" s="590" t="n">
        <v>8766</v>
      </c>
      <c r="F27" s="590" t="n">
        <v>8812</v>
      </c>
      <c r="G27" s="590" t="n">
        <v>8812</v>
      </c>
      <c r="H27" s="590" t="n">
        <v>8812</v>
      </c>
      <c r="I27" s="590" t="n">
        <v>8812</v>
      </c>
      <c r="J27" s="590" t="n">
        <v>8812</v>
      </c>
      <c r="K27" s="590" t="n">
        <v>8812</v>
      </c>
      <c r="L27" s="590" t="n">
        <v>8812</v>
      </c>
      <c r="M27" s="590" t="n">
        <v>8812</v>
      </c>
      <c r="N27" s="590" t="n">
        <v>8812</v>
      </c>
      <c r="O27" s="590" t="n">
        <v>8812</v>
      </c>
      <c r="P27" s="590" t="n">
        <v>8812</v>
      </c>
      <c r="Q27" s="590" t="n">
        <v>8812</v>
      </c>
      <c r="R27" s="590" t="n">
        <v>8812</v>
      </c>
    </row>
    <row r="28" ht="15" customHeight="1" s="307">
      <c r="A28" s="321" t="inlineStr">
        <is>
          <t>Total Loaded (+ 30%)</t>
        </is>
      </c>
      <c r="D28" s="590" t="n">
        <v>5186</v>
      </c>
      <c r="E28" s="590" t="n">
        <v>11395</v>
      </c>
      <c r="F28" s="590" t="n">
        <v>11456</v>
      </c>
      <c r="G28" s="590" t="n">
        <v>11456</v>
      </c>
      <c r="H28" s="590" t="n">
        <v>11456</v>
      </c>
      <c r="I28" s="590" t="n">
        <v>11456</v>
      </c>
      <c r="J28" s="590" t="n">
        <v>11456</v>
      </c>
      <c r="K28" s="590" t="n">
        <v>11456</v>
      </c>
      <c r="L28" s="590" t="n">
        <v>11456</v>
      </c>
      <c r="M28" s="590" t="n">
        <v>11456</v>
      </c>
      <c r="N28" s="590" t="n">
        <v>11456</v>
      </c>
      <c r="O28" s="590" t="n">
        <v>11456</v>
      </c>
      <c r="P28" s="590" t="n">
        <v>11456</v>
      </c>
      <c r="Q28" s="590" t="n">
        <v>11456</v>
      </c>
      <c r="R28" s="590" t="n">
        <v>11456</v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PLACEHOLDER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312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>
        <f>IF(AND(A210&lt;=$B$24, T210&gt;0), T210*$B$23, 0)</f>
        <v/>
      </c>
      <c r="V210" s="306">
        <f>T210-U210</f>
        <v/>
      </c>
      <c r="W210" s="306">
        <f>IF(AND(A210=$B$19, $B$21=1), K210*$B$20,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B312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12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'1. Press Assumptions'!$H$89</f>
        <v/>
      </c>
    </row>
    <row r="7">
      <c r="A7" s="306" t="inlineStr">
        <is>
          <t>Bonus threshold (% margin)</t>
        </is>
      </c>
      <c r="B7" s="306">
        <f>'1. Press Assumptions'!$B$35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'1. Press Assumptions'!$H$90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'1. Press Assumptions'!$H$91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'1. Press Assumptions'!$H$92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'1. Press Assumptions'!$H$93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'1. Press Assumptions'!$H$96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'1. Press Assumptions'!$H$97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'1. Press Assumptions'!$H$98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'1. Press Assumptions'!$H$99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$E$6 * $G$6^((A31-$F$6)/12))</f>
        <v/>
      </c>
      <c r="G31" s="306">
        <f>IF(A31&lt;$F$7, 0, $E$7 * $G$7^((A31-$F$7)/12))</f>
        <v/>
      </c>
      <c r="H31" s="306">
        <f>IF(A31&lt;$F$8, 0, $E$8 * $G$8^((A31-$F$8)/12))</f>
        <v/>
      </c>
      <c r="I31" s="306">
        <f>IF(A31&lt;$F$9, 0, $E$9 * $G$9^((A31-$F$9)/12))</f>
        <v/>
      </c>
      <c r="J31" s="306">
        <f>IF(A31&lt;$F$10, 0, $E$10 * $G$10^((A31-$F$10)/12))</f>
        <v/>
      </c>
      <c r="K31" s="306">
        <f>IF(A31&lt;$F$11, 0, $E$11 * $G$11^((A31-$F$11)/12))</f>
        <v/>
      </c>
      <c r="L31" s="306">
        <f>IF(A31&lt;$F$12, 0, $E$12 * $G$12^((A31-$F$12)/12))</f>
        <v/>
      </c>
      <c r="M31" s="306">
        <f>IF(A31&lt;$F$13, 0, $E$13 * $G$13^((A31-$F$13)/12))</f>
        <v/>
      </c>
      <c r="N31" s="306">
        <f>IF(A31&lt;$F$14, 0, $E$14 * $G$14^((A31-$F$14)/12))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$E$6 * $G$6^((A32-$F$6)/12))</f>
        <v/>
      </c>
      <c r="G32" s="306">
        <f>IF(A32&lt;$F$7, 0, $E$7 * $G$7^((A32-$F$7)/12))</f>
        <v/>
      </c>
      <c r="H32" s="306">
        <f>IF(A32&lt;$F$8, 0, $E$8 * $G$8^((A32-$F$8)/12))</f>
        <v/>
      </c>
      <c r="I32" s="306">
        <f>IF(A32&lt;$F$9, 0, $E$9 * $G$9^((A32-$F$9)/12))</f>
        <v/>
      </c>
      <c r="J32" s="306">
        <f>IF(A32&lt;$F$10, 0, $E$10 * $G$10^((A32-$F$10)/12))</f>
        <v/>
      </c>
      <c r="K32" s="306">
        <f>IF(A32&lt;$F$11, 0, $E$11 * $G$11^((A32-$F$11)/12))</f>
        <v/>
      </c>
      <c r="L32" s="306">
        <f>IF(A32&lt;$F$12, 0, $E$12 * $G$12^((A32-$F$12)/12))</f>
        <v/>
      </c>
      <c r="M32" s="306">
        <f>IF(A32&lt;$F$13, 0, $E$13 * $G$13^((A32-$F$13)/12))</f>
        <v/>
      </c>
      <c r="N32" s="306">
        <f>IF(A32&lt;$F$14, 0, $E$14 * $G$14^((A32-$F$14)/12))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$E$6 * $G$6^((A33-$F$6)/12))</f>
        <v/>
      </c>
      <c r="G33" s="306">
        <f>IF(A33&lt;$F$7, 0, $E$7 * $G$7^((A33-$F$7)/12))</f>
        <v/>
      </c>
      <c r="H33" s="306">
        <f>IF(A33&lt;$F$8, 0, $E$8 * $G$8^((A33-$F$8)/12))</f>
        <v/>
      </c>
      <c r="I33" s="306">
        <f>IF(A33&lt;$F$9, 0, $E$9 * $G$9^((A33-$F$9)/12))</f>
        <v/>
      </c>
      <c r="J33" s="306">
        <f>IF(A33&lt;$F$10, 0, $E$10 * $G$10^((A33-$F$10)/12))</f>
        <v/>
      </c>
      <c r="K33" s="306">
        <f>IF(A33&lt;$F$11, 0, $E$11 * $G$11^((A33-$F$11)/12))</f>
        <v/>
      </c>
      <c r="L33" s="306">
        <f>IF(A33&lt;$F$12, 0, $E$12 * $G$12^((A33-$F$12)/12))</f>
        <v/>
      </c>
      <c r="M33" s="306">
        <f>IF(A33&lt;$F$13, 0, $E$13 * $G$13^((A33-$F$13)/12))</f>
        <v/>
      </c>
      <c r="N33" s="306">
        <f>IF(A33&lt;$F$14, 0, $E$14 * $G$14^((A33-$F$14)/12))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$E$6 * $G$6^((A34-$F$6)/12))</f>
        <v/>
      </c>
      <c r="G34" s="306">
        <f>IF(A34&lt;$F$7, 0, $E$7 * $G$7^((A34-$F$7)/12))</f>
        <v/>
      </c>
      <c r="H34" s="306">
        <f>IF(A34&lt;$F$8, 0, $E$8 * $G$8^((A34-$F$8)/12))</f>
        <v/>
      </c>
      <c r="I34" s="306">
        <f>IF(A34&lt;$F$9, 0, $E$9 * $G$9^((A34-$F$9)/12))</f>
        <v/>
      </c>
      <c r="J34" s="306">
        <f>IF(A34&lt;$F$10, 0, $E$10 * $G$10^((A34-$F$10)/12))</f>
        <v/>
      </c>
      <c r="K34" s="306">
        <f>IF(A34&lt;$F$11, 0, $E$11 * $G$11^((A34-$F$11)/12))</f>
        <v/>
      </c>
      <c r="L34" s="306">
        <f>IF(A34&lt;$F$12, 0, $E$12 * $G$12^((A34-$F$12)/12))</f>
        <v/>
      </c>
      <c r="M34" s="306">
        <f>IF(A34&lt;$F$13, 0, $E$13 * $G$13^((A34-$F$13)/12))</f>
        <v/>
      </c>
      <c r="N34" s="306">
        <f>IF(A34&lt;$F$14, 0, $E$14 * $G$14^((A34-$F$14)/12))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$E$6 * $G$6^((A35-$F$6)/12))</f>
        <v/>
      </c>
      <c r="G35" s="306">
        <f>IF(A35&lt;$F$7, 0, $E$7 * $G$7^((A35-$F$7)/12))</f>
        <v/>
      </c>
      <c r="H35" s="306">
        <f>IF(A35&lt;$F$8, 0, $E$8 * $G$8^((A35-$F$8)/12))</f>
        <v/>
      </c>
      <c r="I35" s="306">
        <f>IF(A35&lt;$F$9, 0, $E$9 * $G$9^((A35-$F$9)/12))</f>
        <v/>
      </c>
      <c r="J35" s="306">
        <f>IF(A35&lt;$F$10, 0, $E$10 * $G$10^((A35-$F$10)/12))</f>
        <v/>
      </c>
      <c r="K35" s="306">
        <f>IF(A35&lt;$F$11, 0, $E$11 * $G$11^((A35-$F$11)/12))</f>
        <v/>
      </c>
      <c r="L35" s="306">
        <f>IF(A35&lt;$F$12, 0, $E$12 * $G$12^((A35-$F$12)/12))</f>
        <v/>
      </c>
      <c r="M35" s="306">
        <f>IF(A35&lt;$F$13, 0, $E$13 * $G$13^((A35-$F$13)/12))</f>
        <v/>
      </c>
      <c r="N35" s="306">
        <f>IF(A35&lt;$F$14, 0, $E$14 * $G$14^((A35-$F$14)/12))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$E$6 * $G$6^((A36-$F$6)/12))</f>
        <v/>
      </c>
      <c r="G36" s="306">
        <f>IF(A36&lt;$F$7, 0, $E$7 * $G$7^((A36-$F$7)/12))</f>
        <v/>
      </c>
      <c r="H36" s="306">
        <f>IF(A36&lt;$F$8, 0, $E$8 * $G$8^((A36-$F$8)/12))</f>
        <v/>
      </c>
      <c r="I36" s="306">
        <f>IF(A36&lt;$F$9, 0, $E$9 * $G$9^((A36-$F$9)/12))</f>
        <v/>
      </c>
      <c r="J36" s="306">
        <f>IF(A36&lt;$F$10, 0, $E$10 * $G$10^((A36-$F$10)/12))</f>
        <v/>
      </c>
      <c r="K36" s="306">
        <f>IF(A36&lt;$F$11, 0, $E$11 * $G$11^((A36-$F$11)/12))</f>
        <v/>
      </c>
      <c r="L36" s="306">
        <f>IF(A36&lt;$F$12, 0, $E$12 * $G$12^((A36-$F$12)/12))</f>
        <v/>
      </c>
      <c r="M36" s="306">
        <f>IF(A36&lt;$F$13, 0, $E$13 * $G$13^((A36-$F$13)/12))</f>
        <v/>
      </c>
      <c r="N36" s="306">
        <f>IF(A36&lt;$F$14, 0, $E$14 * $G$14^((A36-$F$14)/12))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$E$6 * $G$6^((A37-$F$6)/12))</f>
        <v/>
      </c>
      <c r="G37" s="306">
        <f>IF(A37&lt;$F$7, 0, $E$7 * $G$7^((A37-$F$7)/12))</f>
        <v/>
      </c>
      <c r="H37" s="306">
        <f>IF(A37&lt;$F$8, 0, $E$8 * $G$8^((A37-$F$8)/12))</f>
        <v/>
      </c>
      <c r="I37" s="306">
        <f>IF(A37&lt;$F$9, 0, $E$9 * $G$9^((A37-$F$9)/12))</f>
        <v/>
      </c>
      <c r="J37" s="306">
        <f>IF(A37&lt;$F$10, 0, $E$10 * $G$10^((A37-$F$10)/12))</f>
        <v/>
      </c>
      <c r="K37" s="306">
        <f>IF(A37&lt;$F$11, 0, $E$11 * $G$11^((A37-$F$11)/12))</f>
        <v/>
      </c>
      <c r="L37" s="306">
        <f>IF(A37&lt;$F$12, 0, $E$12 * $G$12^((A37-$F$12)/12))</f>
        <v/>
      </c>
      <c r="M37" s="306">
        <f>IF(A37&lt;$F$13, 0, $E$13 * $G$13^((A37-$F$13)/12))</f>
        <v/>
      </c>
      <c r="N37" s="306">
        <f>IF(A37&lt;$F$14, 0, $E$14 * $G$14^((A37-$F$14)/12))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$E$6 * $G$6^((A38-$F$6)/12))</f>
        <v/>
      </c>
      <c r="G38" s="306">
        <f>IF(A38&lt;$F$7, 0, $E$7 * $G$7^((A38-$F$7)/12))</f>
        <v/>
      </c>
      <c r="H38" s="306">
        <f>IF(A38&lt;$F$8, 0, $E$8 * $G$8^((A38-$F$8)/12))</f>
        <v/>
      </c>
      <c r="I38" s="306">
        <f>IF(A38&lt;$F$9, 0, $E$9 * $G$9^((A38-$F$9)/12))</f>
        <v/>
      </c>
      <c r="J38" s="306">
        <f>IF(A38&lt;$F$10, 0, $E$10 * $G$10^((A38-$F$10)/12))</f>
        <v/>
      </c>
      <c r="K38" s="306">
        <f>IF(A38&lt;$F$11, 0, $E$11 * $G$11^((A38-$F$11)/12))</f>
        <v/>
      </c>
      <c r="L38" s="306">
        <f>IF(A38&lt;$F$12, 0, $E$12 * $G$12^((A38-$F$12)/12))</f>
        <v/>
      </c>
      <c r="M38" s="306">
        <f>IF(A38&lt;$F$13, 0, $E$13 * $G$13^((A38-$F$13)/12))</f>
        <v/>
      </c>
      <c r="N38" s="306">
        <f>IF(A38&lt;$F$14, 0, $E$14 * $G$14^((A38-$F$14)/12))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$E$6 * $G$6^((A39-$F$6)/12))</f>
        <v/>
      </c>
      <c r="G39" s="306">
        <f>IF(A39&lt;$F$7, 0, $E$7 * $G$7^((A39-$F$7)/12))</f>
        <v/>
      </c>
      <c r="H39" s="306">
        <f>IF(A39&lt;$F$8, 0, $E$8 * $G$8^((A39-$F$8)/12))</f>
        <v/>
      </c>
      <c r="I39" s="306">
        <f>IF(A39&lt;$F$9, 0, $E$9 * $G$9^((A39-$F$9)/12))</f>
        <v/>
      </c>
      <c r="J39" s="306">
        <f>IF(A39&lt;$F$10, 0, $E$10 * $G$10^((A39-$F$10)/12))</f>
        <v/>
      </c>
      <c r="K39" s="306">
        <f>IF(A39&lt;$F$11, 0, $E$11 * $G$11^((A39-$F$11)/12))</f>
        <v/>
      </c>
      <c r="L39" s="306">
        <f>IF(A39&lt;$F$12, 0, $E$12 * $G$12^((A39-$F$12)/12))</f>
        <v/>
      </c>
      <c r="M39" s="306">
        <f>IF(A39&lt;$F$13, 0, $E$13 * $G$13^((A39-$F$13)/12))</f>
        <v/>
      </c>
      <c r="N39" s="306">
        <f>IF(A39&lt;$F$14, 0, $E$14 * $G$14^((A39-$F$14)/12))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$E$6 * $G$6^((A40-$F$6)/12))</f>
        <v/>
      </c>
      <c r="G40" s="306">
        <f>IF(A40&lt;$F$7, 0, $E$7 * $G$7^((A40-$F$7)/12))</f>
        <v/>
      </c>
      <c r="H40" s="306">
        <f>IF(A40&lt;$F$8, 0, $E$8 * $G$8^((A40-$F$8)/12))</f>
        <v/>
      </c>
      <c r="I40" s="306">
        <f>IF(A40&lt;$F$9, 0, $E$9 * $G$9^((A40-$F$9)/12))</f>
        <v/>
      </c>
      <c r="J40" s="306">
        <f>IF(A40&lt;$F$10, 0, $E$10 * $G$10^((A40-$F$10)/12))</f>
        <v/>
      </c>
      <c r="K40" s="306">
        <f>IF(A40&lt;$F$11, 0, $E$11 * $G$11^((A40-$F$11)/12))</f>
        <v/>
      </c>
      <c r="L40" s="306">
        <f>IF(A40&lt;$F$12, 0, $E$12 * $G$12^((A40-$F$12)/12))</f>
        <v/>
      </c>
      <c r="M40" s="306">
        <f>IF(A40&lt;$F$13, 0, $E$13 * $G$13^((A40-$F$13)/12))</f>
        <v/>
      </c>
      <c r="N40" s="306">
        <f>IF(A40&lt;$F$14, 0, $E$14 * $G$14^((A40-$F$14)/12))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$E$6 * $G$6^((A41-$F$6)/12))</f>
        <v/>
      </c>
      <c r="G41" s="306">
        <f>IF(A41&lt;$F$7, 0, $E$7 * $G$7^((A41-$F$7)/12))</f>
        <v/>
      </c>
      <c r="H41" s="306">
        <f>IF(A41&lt;$F$8, 0, $E$8 * $G$8^((A41-$F$8)/12))</f>
        <v/>
      </c>
      <c r="I41" s="306">
        <f>IF(A41&lt;$F$9, 0, $E$9 * $G$9^((A41-$F$9)/12))</f>
        <v/>
      </c>
      <c r="J41" s="306">
        <f>IF(A41&lt;$F$10, 0, $E$10 * $G$10^((A41-$F$10)/12))</f>
        <v/>
      </c>
      <c r="K41" s="306">
        <f>IF(A41&lt;$F$11, 0, $E$11 * $G$11^((A41-$F$11)/12))</f>
        <v/>
      </c>
      <c r="L41" s="306">
        <f>IF(A41&lt;$F$12, 0, $E$12 * $G$12^((A41-$F$12)/12))</f>
        <v/>
      </c>
      <c r="M41" s="306">
        <f>IF(A41&lt;$F$13, 0, $E$13 * $G$13^((A41-$F$13)/12))</f>
        <v/>
      </c>
      <c r="N41" s="306">
        <f>IF(A41&lt;$F$14, 0, $E$14 * $G$14^((A41-$F$14)/12))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$E$6 * $G$6^((A42-$F$6)/12))</f>
        <v/>
      </c>
      <c r="G42" s="306">
        <f>IF(A42&lt;$F$7, 0, $E$7 * $G$7^((A42-$F$7)/12))</f>
        <v/>
      </c>
      <c r="H42" s="306">
        <f>IF(A42&lt;$F$8, 0, $E$8 * $G$8^((A42-$F$8)/12))</f>
        <v/>
      </c>
      <c r="I42" s="306">
        <f>IF(A42&lt;$F$9, 0, $E$9 * $G$9^((A42-$F$9)/12))</f>
        <v/>
      </c>
      <c r="J42" s="306">
        <f>IF(A42&lt;$F$10, 0, $E$10 * $G$10^((A42-$F$10)/12))</f>
        <v/>
      </c>
      <c r="K42" s="306">
        <f>IF(A42&lt;$F$11, 0, $E$11 * $G$11^((A42-$F$11)/12))</f>
        <v/>
      </c>
      <c r="L42" s="306">
        <f>IF(A42&lt;$F$12, 0, $E$12 * $G$12^((A42-$F$12)/12))</f>
        <v/>
      </c>
      <c r="M42" s="306">
        <f>IF(A42&lt;$F$13, 0, $E$13 * $G$13^((A42-$F$13)/12))</f>
        <v/>
      </c>
      <c r="N42" s="306">
        <f>IF(A42&lt;$F$14, 0, $E$14 * $G$14^((A42-$F$14)/12))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$E$6 * $G$6^((A43-$F$6)/12))</f>
        <v/>
      </c>
      <c r="G43" s="306">
        <f>IF(A43&lt;$F$7, 0, $E$7 * $G$7^((A43-$F$7)/12))</f>
        <v/>
      </c>
      <c r="H43" s="306">
        <f>IF(A43&lt;$F$8, 0, $E$8 * $G$8^((A43-$F$8)/12))</f>
        <v/>
      </c>
      <c r="I43" s="306">
        <f>IF(A43&lt;$F$9, 0, $E$9 * $G$9^((A43-$F$9)/12))</f>
        <v/>
      </c>
      <c r="J43" s="306">
        <f>IF(A43&lt;$F$10, 0, $E$10 * $G$10^((A43-$F$10)/12))</f>
        <v/>
      </c>
      <c r="K43" s="306">
        <f>IF(A43&lt;$F$11, 0, $E$11 * $G$11^((A43-$F$11)/12))</f>
        <v/>
      </c>
      <c r="L43" s="306">
        <f>IF(A43&lt;$F$12, 0, $E$12 * $G$12^((A43-$F$12)/12))</f>
        <v/>
      </c>
      <c r="M43" s="306">
        <f>IF(A43&lt;$F$13, 0, $E$13 * $G$13^((A43-$F$13)/12))</f>
        <v/>
      </c>
      <c r="N43" s="306">
        <f>IF(A43&lt;$F$14, 0, $E$14 * $G$14^((A43-$F$14)/12))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$E$6 * $G$6^((A44-$F$6)/12))</f>
        <v/>
      </c>
      <c r="G44" s="306">
        <f>IF(A44&lt;$F$7, 0, $E$7 * $G$7^((A44-$F$7)/12))</f>
        <v/>
      </c>
      <c r="H44" s="306">
        <f>IF(A44&lt;$F$8, 0, $E$8 * $G$8^((A44-$F$8)/12))</f>
        <v/>
      </c>
      <c r="I44" s="306">
        <f>IF(A44&lt;$F$9, 0, $E$9 * $G$9^((A44-$F$9)/12))</f>
        <v/>
      </c>
      <c r="J44" s="306">
        <f>IF(A44&lt;$F$10, 0, $E$10 * $G$10^((A44-$F$10)/12))</f>
        <v/>
      </c>
      <c r="K44" s="306">
        <f>IF(A44&lt;$F$11, 0, $E$11 * $G$11^((A44-$F$11)/12))</f>
        <v/>
      </c>
      <c r="L44" s="306">
        <f>IF(A44&lt;$F$12, 0, $E$12 * $G$12^((A44-$F$12)/12))</f>
        <v/>
      </c>
      <c r="M44" s="306">
        <f>IF(A44&lt;$F$13, 0, $E$13 * $G$13^((A44-$F$13)/12))</f>
        <v/>
      </c>
      <c r="N44" s="306">
        <f>IF(A44&lt;$F$14, 0, $E$14 * $G$14^((A44-$F$14)/12))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$E$6 * $G$6^((A45-$F$6)/12))</f>
        <v/>
      </c>
      <c r="G45" s="306">
        <f>IF(A45&lt;$F$7, 0, $E$7 * $G$7^((A45-$F$7)/12))</f>
        <v/>
      </c>
      <c r="H45" s="306">
        <f>IF(A45&lt;$F$8, 0, $E$8 * $G$8^((A45-$F$8)/12))</f>
        <v/>
      </c>
      <c r="I45" s="306">
        <f>IF(A45&lt;$F$9, 0, $E$9 * $G$9^((A45-$F$9)/12))</f>
        <v/>
      </c>
      <c r="J45" s="306">
        <f>IF(A45&lt;$F$10, 0, $E$10 * $G$10^((A45-$F$10)/12))</f>
        <v/>
      </c>
      <c r="K45" s="306">
        <f>IF(A45&lt;$F$11, 0, $E$11 * $G$11^((A45-$F$11)/12))</f>
        <v/>
      </c>
      <c r="L45" s="306">
        <f>IF(A45&lt;$F$12, 0, $E$12 * $G$12^((A45-$F$12)/12))</f>
        <v/>
      </c>
      <c r="M45" s="306">
        <f>IF(A45&lt;$F$13, 0, $E$13 * $G$13^((A45-$F$13)/12))</f>
        <v/>
      </c>
      <c r="N45" s="306">
        <f>IF(A45&lt;$F$14, 0, $E$14 * $G$14^((A45-$F$14)/12))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$E$6 * $G$6^((A46-$F$6)/12))</f>
        <v/>
      </c>
      <c r="G46" s="306">
        <f>IF(A46&lt;$F$7, 0, $E$7 * $G$7^((A46-$F$7)/12))</f>
        <v/>
      </c>
      <c r="H46" s="306">
        <f>IF(A46&lt;$F$8, 0, $E$8 * $G$8^((A46-$F$8)/12))</f>
        <v/>
      </c>
      <c r="I46" s="306">
        <f>IF(A46&lt;$F$9, 0, $E$9 * $G$9^((A46-$F$9)/12))</f>
        <v/>
      </c>
      <c r="J46" s="306">
        <f>IF(A46&lt;$F$10, 0, $E$10 * $G$10^((A46-$F$10)/12))</f>
        <v/>
      </c>
      <c r="K46" s="306">
        <f>IF(A46&lt;$F$11, 0, $E$11 * $G$11^((A46-$F$11)/12))</f>
        <v/>
      </c>
      <c r="L46" s="306">
        <f>IF(A46&lt;$F$12, 0, $E$12 * $G$12^((A46-$F$12)/12))</f>
        <v/>
      </c>
      <c r="M46" s="306">
        <f>IF(A46&lt;$F$13, 0, $E$13 * $G$13^((A46-$F$13)/12))</f>
        <v/>
      </c>
      <c r="N46" s="306">
        <f>IF(A46&lt;$F$14, 0, $E$14 * $G$14^((A46-$F$14)/12))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$E$6 * $G$6^((A47-$F$6)/12))</f>
        <v/>
      </c>
      <c r="G47" s="306">
        <f>IF(A47&lt;$F$7, 0, $E$7 * $G$7^((A47-$F$7)/12))</f>
        <v/>
      </c>
      <c r="H47" s="306">
        <f>IF(A47&lt;$F$8, 0, $E$8 * $G$8^((A47-$F$8)/12))</f>
        <v/>
      </c>
      <c r="I47" s="306">
        <f>IF(A47&lt;$F$9, 0, $E$9 * $G$9^((A47-$F$9)/12))</f>
        <v/>
      </c>
      <c r="J47" s="306">
        <f>IF(A47&lt;$F$10, 0, $E$10 * $G$10^((A47-$F$10)/12))</f>
        <v/>
      </c>
      <c r="K47" s="306">
        <f>IF(A47&lt;$F$11, 0, $E$11 * $G$11^((A47-$F$11)/12))</f>
        <v/>
      </c>
      <c r="L47" s="306">
        <f>IF(A47&lt;$F$12, 0, $E$12 * $G$12^((A47-$F$12)/12))</f>
        <v/>
      </c>
      <c r="M47" s="306">
        <f>IF(A47&lt;$F$13, 0, $E$13 * $G$13^((A47-$F$13)/12))</f>
        <v/>
      </c>
      <c r="N47" s="306">
        <f>IF(A47&lt;$F$14, 0, $E$14 * $G$14^((A47-$F$14)/12))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$E$6 * $G$6^((A48-$F$6)/12))</f>
        <v/>
      </c>
      <c r="G48" s="306">
        <f>IF(A48&lt;$F$7, 0, $E$7 * $G$7^((A48-$F$7)/12))</f>
        <v/>
      </c>
      <c r="H48" s="306">
        <f>IF(A48&lt;$F$8, 0, $E$8 * $G$8^((A48-$F$8)/12))</f>
        <v/>
      </c>
      <c r="I48" s="306">
        <f>IF(A48&lt;$F$9, 0, $E$9 * $G$9^((A48-$F$9)/12))</f>
        <v/>
      </c>
      <c r="J48" s="306">
        <f>IF(A48&lt;$F$10, 0, $E$10 * $G$10^((A48-$F$10)/12))</f>
        <v/>
      </c>
      <c r="K48" s="306">
        <f>IF(A48&lt;$F$11, 0, $E$11 * $G$11^((A48-$F$11)/12))</f>
        <v/>
      </c>
      <c r="L48" s="306">
        <f>IF(A48&lt;$F$12, 0, $E$12 * $G$12^((A48-$F$12)/12))</f>
        <v/>
      </c>
      <c r="M48" s="306">
        <f>IF(A48&lt;$F$13, 0, $E$13 * $G$13^((A48-$F$13)/12))</f>
        <v/>
      </c>
      <c r="N48" s="306">
        <f>IF(A48&lt;$F$14, 0, $E$14 * $G$14^((A48-$F$14)/12))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$E$6 * $G$6^((A49-$F$6)/12))</f>
        <v/>
      </c>
      <c r="G49" s="306">
        <f>IF(A49&lt;$F$7, 0, $E$7 * $G$7^((A49-$F$7)/12))</f>
        <v/>
      </c>
      <c r="H49" s="306">
        <f>IF(A49&lt;$F$8, 0, $E$8 * $G$8^((A49-$F$8)/12))</f>
        <v/>
      </c>
      <c r="I49" s="306">
        <f>IF(A49&lt;$F$9, 0, $E$9 * $G$9^((A49-$F$9)/12))</f>
        <v/>
      </c>
      <c r="J49" s="306">
        <f>IF(A49&lt;$F$10, 0, $E$10 * $G$10^((A49-$F$10)/12))</f>
        <v/>
      </c>
      <c r="K49" s="306">
        <f>IF(A49&lt;$F$11, 0, $E$11 * $G$11^((A49-$F$11)/12))</f>
        <v/>
      </c>
      <c r="L49" s="306">
        <f>IF(A49&lt;$F$12, 0, $E$12 * $G$12^((A49-$F$12)/12))</f>
        <v/>
      </c>
      <c r="M49" s="306">
        <f>IF(A49&lt;$F$13, 0, $E$13 * $G$13^((A49-$F$13)/12))</f>
        <v/>
      </c>
      <c r="N49" s="306">
        <f>IF(A49&lt;$F$14, 0, $E$14 * $G$14^((A49-$F$14)/12))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$E$6 * $G$6^((A50-$F$6)/12))</f>
        <v/>
      </c>
      <c r="G50" s="306">
        <f>IF(A50&lt;$F$7, 0, $E$7 * $G$7^((A50-$F$7)/12))</f>
        <v/>
      </c>
      <c r="H50" s="306">
        <f>IF(A50&lt;$F$8, 0, $E$8 * $G$8^((A50-$F$8)/12))</f>
        <v/>
      </c>
      <c r="I50" s="306">
        <f>IF(A50&lt;$F$9, 0, $E$9 * $G$9^((A50-$F$9)/12))</f>
        <v/>
      </c>
      <c r="J50" s="306">
        <f>IF(A50&lt;$F$10, 0, $E$10 * $G$10^((A50-$F$10)/12))</f>
        <v/>
      </c>
      <c r="K50" s="306">
        <f>IF(A50&lt;$F$11, 0, $E$11 * $G$11^((A50-$F$11)/12))</f>
        <v/>
      </c>
      <c r="L50" s="306">
        <f>IF(A50&lt;$F$12, 0, $E$12 * $G$12^((A50-$F$12)/12))</f>
        <v/>
      </c>
      <c r="M50" s="306">
        <f>IF(A50&lt;$F$13, 0, $E$13 * $G$13^((A50-$F$13)/12))</f>
        <v/>
      </c>
      <c r="N50" s="306">
        <f>IF(A50&lt;$F$14, 0, $E$14 * $G$14^((A50-$F$14)/12))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$E$6 * $G$6^((A51-$F$6)/12))</f>
        <v/>
      </c>
      <c r="G51" s="306">
        <f>IF(A51&lt;$F$7, 0, $E$7 * $G$7^((A51-$F$7)/12))</f>
        <v/>
      </c>
      <c r="H51" s="306">
        <f>IF(A51&lt;$F$8, 0, $E$8 * $G$8^((A51-$F$8)/12))</f>
        <v/>
      </c>
      <c r="I51" s="306">
        <f>IF(A51&lt;$F$9, 0, $E$9 * $G$9^((A51-$F$9)/12))</f>
        <v/>
      </c>
      <c r="J51" s="306">
        <f>IF(A51&lt;$F$10, 0, $E$10 * $G$10^((A51-$F$10)/12))</f>
        <v/>
      </c>
      <c r="K51" s="306">
        <f>IF(A51&lt;$F$11, 0, $E$11 * $G$11^((A51-$F$11)/12))</f>
        <v/>
      </c>
      <c r="L51" s="306">
        <f>IF(A51&lt;$F$12, 0, $E$12 * $G$12^((A51-$F$12)/12))</f>
        <v/>
      </c>
      <c r="M51" s="306">
        <f>IF(A51&lt;$F$13, 0, $E$13 * $G$13^((A51-$F$13)/12))</f>
        <v/>
      </c>
      <c r="N51" s="306">
        <f>IF(A51&lt;$F$14, 0, $E$14 * $G$14^((A51-$F$14)/12))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$E$6 * $G$6^((A52-$F$6)/12))</f>
        <v/>
      </c>
      <c r="G52" s="306">
        <f>IF(A52&lt;$F$7, 0, $E$7 * $G$7^((A52-$F$7)/12))</f>
        <v/>
      </c>
      <c r="H52" s="306">
        <f>IF(A52&lt;$F$8, 0, $E$8 * $G$8^((A52-$F$8)/12))</f>
        <v/>
      </c>
      <c r="I52" s="306">
        <f>IF(A52&lt;$F$9, 0, $E$9 * $G$9^((A52-$F$9)/12))</f>
        <v/>
      </c>
      <c r="J52" s="306">
        <f>IF(A52&lt;$F$10, 0, $E$10 * $G$10^((A52-$F$10)/12))</f>
        <v/>
      </c>
      <c r="K52" s="306">
        <f>IF(A52&lt;$F$11, 0, $E$11 * $G$11^((A52-$F$11)/12))</f>
        <v/>
      </c>
      <c r="L52" s="306">
        <f>IF(A52&lt;$F$12, 0, $E$12 * $G$12^((A52-$F$12)/12))</f>
        <v/>
      </c>
      <c r="M52" s="306">
        <f>IF(A52&lt;$F$13, 0, $E$13 * $G$13^((A52-$F$13)/12))</f>
        <v/>
      </c>
      <c r="N52" s="306">
        <f>IF(A52&lt;$F$14, 0, $E$14 * $G$14^((A52-$F$14)/12))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$E$6 * $G$6^((A53-$F$6)/12))</f>
        <v/>
      </c>
      <c r="G53" s="306">
        <f>IF(A53&lt;$F$7, 0, $E$7 * $G$7^((A53-$F$7)/12))</f>
        <v/>
      </c>
      <c r="H53" s="306">
        <f>IF(A53&lt;$F$8, 0, $E$8 * $G$8^((A53-$F$8)/12))</f>
        <v/>
      </c>
      <c r="I53" s="306">
        <f>IF(A53&lt;$F$9, 0, $E$9 * $G$9^((A53-$F$9)/12))</f>
        <v/>
      </c>
      <c r="J53" s="306">
        <f>IF(A53&lt;$F$10, 0, $E$10 * $G$10^((A53-$F$10)/12))</f>
        <v/>
      </c>
      <c r="K53" s="306">
        <f>IF(A53&lt;$F$11, 0, $E$11 * $G$11^((A53-$F$11)/12))</f>
        <v/>
      </c>
      <c r="L53" s="306">
        <f>IF(A53&lt;$F$12, 0, $E$12 * $G$12^((A53-$F$12)/12))</f>
        <v/>
      </c>
      <c r="M53" s="306">
        <f>IF(A53&lt;$F$13, 0, $E$13 * $G$13^((A53-$F$13)/12))</f>
        <v/>
      </c>
      <c r="N53" s="306">
        <f>IF(A53&lt;$F$14, 0, $E$14 * $G$14^((A53-$F$14)/12))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$E$6 * $G$6^((A54-$F$6)/12))</f>
        <v/>
      </c>
      <c r="G54" s="306">
        <f>IF(A54&lt;$F$7, 0, $E$7 * $G$7^((A54-$F$7)/12))</f>
        <v/>
      </c>
      <c r="H54" s="306">
        <f>IF(A54&lt;$F$8, 0, $E$8 * $G$8^((A54-$F$8)/12))</f>
        <v/>
      </c>
      <c r="I54" s="306">
        <f>IF(A54&lt;$F$9, 0, $E$9 * $G$9^((A54-$F$9)/12))</f>
        <v/>
      </c>
      <c r="J54" s="306">
        <f>IF(A54&lt;$F$10, 0, $E$10 * $G$10^((A54-$F$10)/12))</f>
        <v/>
      </c>
      <c r="K54" s="306">
        <f>IF(A54&lt;$F$11, 0, $E$11 * $G$11^((A54-$F$11)/12))</f>
        <v/>
      </c>
      <c r="L54" s="306">
        <f>IF(A54&lt;$F$12, 0, $E$12 * $G$12^((A54-$F$12)/12))</f>
        <v/>
      </c>
      <c r="M54" s="306">
        <f>IF(A54&lt;$F$13, 0, $E$13 * $G$13^((A54-$F$13)/12))</f>
        <v/>
      </c>
      <c r="N54" s="306">
        <f>IF(A54&lt;$F$14, 0, $E$14 * $G$14^((A54-$F$14)/12))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$E$6 * $G$6^((A55-$F$6)/12))</f>
        <v/>
      </c>
      <c r="G55" s="306">
        <f>IF(A55&lt;$F$7, 0, $E$7 * $G$7^((A55-$F$7)/12))</f>
        <v/>
      </c>
      <c r="H55" s="306">
        <f>IF(A55&lt;$F$8, 0, $E$8 * $G$8^((A55-$F$8)/12))</f>
        <v/>
      </c>
      <c r="I55" s="306">
        <f>IF(A55&lt;$F$9, 0, $E$9 * $G$9^((A55-$F$9)/12))</f>
        <v/>
      </c>
      <c r="J55" s="306">
        <f>IF(A55&lt;$F$10, 0, $E$10 * $G$10^((A55-$F$10)/12))</f>
        <v/>
      </c>
      <c r="K55" s="306">
        <f>IF(A55&lt;$F$11, 0, $E$11 * $G$11^((A55-$F$11)/12))</f>
        <v/>
      </c>
      <c r="L55" s="306">
        <f>IF(A55&lt;$F$12, 0, $E$12 * $G$12^((A55-$F$12)/12))</f>
        <v/>
      </c>
      <c r="M55" s="306">
        <f>IF(A55&lt;$F$13, 0, $E$13 * $G$13^((A55-$F$13)/12))</f>
        <v/>
      </c>
      <c r="N55" s="306">
        <f>IF(A55&lt;$F$14, 0, $E$14 * $G$14^((A55-$F$14)/12))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$E$6 * $G$6^((A56-$F$6)/12))</f>
        <v/>
      </c>
      <c r="G56" s="306">
        <f>IF(A56&lt;$F$7, 0, $E$7 * $G$7^((A56-$F$7)/12))</f>
        <v/>
      </c>
      <c r="H56" s="306">
        <f>IF(A56&lt;$F$8, 0, $E$8 * $G$8^((A56-$F$8)/12))</f>
        <v/>
      </c>
      <c r="I56" s="306">
        <f>IF(A56&lt;$F$9, 0, $E$9 * $G$9^((A56-$F$9)/12))</f>
        <v/>
      </c>
      <c r="J56" s="306">
        <f>IF(A56&lt;$F$10, 0, $E$10 * $G$10^((A56-$F$10)/12))</f>
        <v/>
      </c>
      <c r="K56" s="306">
        <f>IF(A56&lt;$F$11, 0, $E$11 * $G$11^((A56-$F$11)/12))</f>
        <v/>
      </c>
      <c r="L56" s="306">
        <f>IF(A56&lt;$F$12, 0, $E$12 * $G$12^((A56-$F$12)/12))</f>
        <v/>
      </c>
      <c r="M56" s="306">
        <f>IF(A56&lt;$F$13, 0, $E$13 * $G$13^((A56-$F$13)/12))</f>
        <v/>
      </c>
      <c r="N56" s="306">
        <f>IF(A56&lt;$F$14, 0, $E$14 * $G$14^((A56-$F$14)/12))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$E$6 * $G$6^((A57-$F$6)/12))</f>
        <v/>
      </c>
      <c r="G57" s="306">
        <f>IF(A57&lt;$F$7, 0, $E$7 * $G$7^((A57-$F$7)/12))</f>
        <v/>
      </c>
      <c r="H57" s="306">
        <f>IF(A57&lt;$F$8, 0, $E$8 * $G$8^((A57-$F$8)/12))</f>
        <v/>
      </c>
      <c r="I57" s="306">
        <f>IF(A57&lt;$F$9, 0, $E$9 * $G$9^((A57-$F$9)/12))</f>
        <v/>
      </c>
      <c r="J57" s="306">
        <f>IF(A57&lt;$F$10, 0, $E$10 * $G$10^((A57-$F$10)/12))</f>
        <v/>
      </c>
      <c r="K57" s="306">
        <f>IF(A57&lt;$F$11, 0, $E$11 * $G$11^((A57-$F$11)/12))</f>
        <v/>
      </c>
      <c r="L57" s="306">
        <f>IF(A57&lt;$F$12, 0, $E$12 * $G$12^((A57-$F$12)/12))</f>
        <v/>
      </c>
      <c r="M57" s="306">
        <f>IF(A57&lt;$F$13, 0, $E$13 * $G$13^((A57-$F$13)/12))</f>
        <v/>
      </c>
      <c r="N57" s="306">
        <f>IF(A57&lt;$F$14, 0, $E$14 * $G$14^((A57-$F$14)/12))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$E$6 * $G$6^((A58-$F$6)/12))</f>
        <v/>
      </c>
      <c r="G58" s="306">
        <f>IF(A58&lt;$F$7, 0, $E$7 * $G$7^((A58-$F$7)/12))</f>
        <v/>
      </c>
      <c r="H58" s="306">
        <f>IF(A58&lt;$F$8, 0, $E$8 * $G$8^((A58-$F$8)/12))</f>
        <v/>
      </c>
      <c r="I58" s="306">
        <f>IF(A58&lt;$F$9, 0, $E$9 * $G$9^((A58-$F$9)/12))</f>
        <v/>
      </c>
      <c r="J58" s="306">
        <f>IF(A58&lt;$F$10, 0, $E$10 * $G$10^((A58-$F$10)/12))</f>
        <v/>
      </c>
      <c r="K58" s="306">
        <f>IF(A58&lt;$F$11, 0, $E$11 * $G$11^((A58-$F$11)/12))</f>
        <v/>
      </c>
      <c r="L58" s="306">
        <f>IF(A58&lt;$F$12, 0, $E$12 * $G$12^((A58-$F$12)/12))</f>
        <v/>
      </c>
      <c r="M58" s="306">
        <f>IF(A58&lt;$F$13, 0, $E$13 * $G$13^((A58-$F$13)/12))</f>
        <v/>
      </c>
      <c r="N58" s="306">
        <f>IF(A58&lt;$F$14, 0, $E$14 * $G$14^((A58-$F$14)/12))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$E$6 * $G$6^((A59-$F$6)/12))</f>
        <v/>
      </c>
      <c r="G59" s="306">
        <f>IF(A59&lt;$F$7, 0, $E$7 * $G$7^((A59-$F$7)/12))</f>
        <v/>
      </c>
      <c r="H59" s="306">
        <f>IF(A59&lt;$F$8, 0, $E$8 * $G$8^((A59-$F$8)/12))</f>
        <v/>
      </c>
      <c r="I59" s="306">
        <f>IF(A59&lt;$F$9, 0, $E$9 * $G$9^((A59-$F$9)/12))</f>
        <v/>
      </c>
      <c r="J59" s="306">
        <f>IF(A59&lt;$F$10, 0, $E$10 * $G$10^((A59-$F$10)/12))</f>
        <v/>
      </c>
      <c r="K59" s="306">
        <f>IF(A59&lt;$F$11, 0, $E$11 * $G$11^((A59-$F$11)/12))</f>
        <v/>
      </c>
      <c r="L59" s="306">
        <f>IF(A59&lt;$F$12, 0, $E$12 * $G$12^((A59-$F$12)/12))</f>
        <v/>
      </c>
      <c r="M59" s="306">
        <f>IF(A59&lt;$F$13, 0, $E$13 * $G$13^((A59-$F$13)/12))</f>
        <v/>
      </c>
      <c r="N59" s="306">
        <f>IF(A59&lt;$F$14, 0, $E$14 * $G$14^((A59-$F$14)/12))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$E$6 * $G$6^((A60-$F$6)/12))</f>
        <v/>
      </c>
      <c r="G60" s="306">
        <f>IF(A60&lt;$F$7, 0, $E$7 * $G$7^((A60-$F$7)/12))</f>
        <v/>
      </c>
      <c r="H60" s="306">
        <f>IF(A60&lt;$F$8, 0, $E$8 * $G$8^((A60-$F$8)/12))</f>
        <v/>
      </c>
      <c r="I60" s="306">
        <f>IF(A60&lt;$F$9, 0, $E$9 * $G$9^((A60-$F$9)/12))</f>
        <v/>
      </c>
      <c r="J60" s="306">
        <f>IF(A60&lt;$F$10, 0, $E$10 * $G$10^((A60-$F$10)/12))</f>
        <v/>
      </c>
      <c r="K60" s="306">
        <f>IF(A60&lt;$F$11, 0, $E$11 * $G$11^((A60-$F$11)/12))</f>
        <v/>
      </c>
      <c r="L60" s="306">
        <f>IF(A60&lt;$F$12, 0, $E$12 * $G$12^((A60-$F$12)/12))</f>
        <v/>
      </c>
      <c r="M60" s="306">
        <f>IF(A60&lt;$F$13, 0, $E$13 * $G$13^((A60-$F$13)/12))</f>
        <v/>
      </c>
      <c r="N60" s="306">
        <f>IF(A60&lt;$F$14, 0, $E$14 * $G$14^((A60-$F$14)/12))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$E$6 * $G$6^((A61-$F$6)/12))</f>
        <v/>
      </c>
      <c r="G61" s="306">
        <f>IF(A61&lt;$F$7, 0, $E$7 * $G$7^((A61-$F$7)/12))</f>
        <v/>
      </c>
      <c r="H61" s="306">
        <f>IF(A61&lt;$F$8, 0, $E$8 * $G$8^((A61-$F$8)/12))</f>
        <v/>
      </c>
      <c r="I61" s="306">
        <f>IF(A61&lt;$F$9, 0, $E$9 * $G$9^((A61-$F$9)/12))</f>
        <v/>
      </c>
      <c r="J61" s="306">
        <f>IF(A61&lt;$F$10, 0, $E$10 * $G$10^((A61-$F$10)/12))</f>
        <v/>
      </c>
      <c r="K61" s="306">
        <f>IF(A61&lt;$F$11, 0, $E$11 * $G$11^((A61-$F$11)/12))</f>
        <v/>
      </c>
      <c r="L61" s="306">
        <f>IF(A61&lt;$F$12, 0, $E$12 * $G$12^((A61-$F$12)/12))</f>
        <v/>
      </c>
      <c r="M61" s="306">
        <f>IF(A61&lt;$F$13, 0, $E$13 * $G$13^((A61-$F$13)/12))</f>
        <v/>
      </c>
      <c r="N61" s="306">
        <f>IF(A61&lt;$F$14, 0, $E$14 * $G$14^((A61-$F$14)/12))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$E$6 * $G$6^((A62-$F$6)/12))</f>
        <v/>
      </c>
      <c r="G62" s="306">
        <f>IF(A62&lt;$F$7, 0, $E$7 * $G$7^((A62-$F$7)/12))</f>
        <v/>
      </c>
      <c r="H62" s="306">
        <f>IF(A62&lt;$F$8, 0, $E$8 * $G$8^((A62-$F$8)/12))</f>
        <v/>
      </c>
      <c r="I62" s="306">
        <f>IF(A62&lt;$F$9, 0, $E$9 * $G$9^((A62-$F$9)/12))</f>
        <v/>
      </c>
      <c r="J62" s="306">
        <f>IF(A62&lt;$F$10, 0, $E$10 * $G$10^((A62-$F$10)/12))</f>
        <v/>
      </c>
      <c r="K62" s="306">
        <f>IF(A62&lt;$F$11, 0, $E$11 * $G$11^((A62-$F$11)/12))</f>
        <v/>
      </c>
      <c r="L62" s="306">
        <f>IF(A62&lt;$F$12, 0, $E$12 * $G$12^((A62-$F$12)/12))</f>
        <v/>
      </c>
      <c r="M62" s="306">
        <f>IF(A62&lt;$F$13, 0, $E$13 * $G$13^((A62-$F$13)/12))</f>
        <v/>
      </c>
      <c r="N62" s="306">
        <f>IF(A62&lt;$F$14, 0, $E$14 * $G$14^((A62-$F$14)/12))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$E$6 * $G$6^((A63-$F$6)/12))</f>
        <v/>
      </c>
      <c r="G63" s="306">
        <f>IF(A63&lt;$F$7, 0, $E$7 * $G$7^((A63-$F$7)/12))</f>
        <v/>
      </c>
      <c r="H63" s="306">
        <f>IF(A63&lt;$F$8, 0, $E$8 * $G$8^((A63-$F$8)/12))</f>
        <v/>
      </c>
      <c r="I63" s="306">
        <f>IF(A63&lt;$F$9, 0, $E$9 * $G$9^((A63-$F$9)/12))</f>
        <v/>
      </c>
      <c r="J63" s="306">
        <f>IF(A63&lt;$F$10, 0, $E$10 * $G$10^((A63-$F$10)/12))</f>
        <v/>
      </c>
      <c r="K63" s="306">
        <f>IF(A63&lt;$F$11, 0, $E$11 * $G$11^((A63-$F$11)/12))</f>
        <v/>
      </c>
      <c r="L63" s="306">
        <f>IF(A63&lt;$F$12, 0, $E$12 * $G$12^((A63-$F$12)/12))</f>
        <v/>
      </c>
      <c r="M63" s="306">
        <f>IF(A63&lt;$F$13, 0, $E$13 * $G$13^((A63-$F$13)/12))</f>
        <v/>
      </c>
      <c r="N63" s="306">
        <f>IF(A63&lt;$F$14, 0, $E$14 * $G$14^((A63-$F$14)/12))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$E$6 * $G$6^((A64-$F$6)/12))</f>
        <v/>
      </c>
      <c r="G64" s="306">
        <f>IF(A64&lt;$F$7, 0, $E$7 * $G$7^((A64-$F$7)/12))</f>
        <v/>
      </c>
      <c r="H64" s="306">
        <f>IF(A64&lt;$F$8, 0, $E$8 * $G$8^((A64-$F$8)/12))</f>
        <v/>
      </c>
      <c r="I64" s="306">
        <f>IF(A64&lt;$F$9, 0, $E$9 * $G$9^((A64-$F$9)/12))</f>
        <v/>
      </c>
      <c r="J64" s="306">
        <f>IF(A64&lt;$F$10, 0, $E$10 * $G$10^((A64-$F$10)/12))</f>
        <v/>
      </c>
      <c r="K64" s="306">
        <f>IF(A64&lt;$F$11, 0, $E$11 * $G$11^((A64-$F$11)/12))</f>
        <v/>
      </c>
      <c r="L64" s="306">
        <f>IF(A64&lt;$F$12, 0, $E$12 * $G$12^((A64-$F$12)/12))</f>
        <v/>
      </c>
      <c r="M64" s="306">
        <f>IF(A64&lt;$F$13, 0, $E$13 * $G$13^((A64-$F$13)/12))</f>
        <v/>
      </c>
      <c r="N64" s="306">
        <f>IF(A64&lt;$F$14, 0, $E$14 * $G$14^((A64-$F$14)/12))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$E$6 * $G$6^((A65-$F$6)/12))</f>
        <v/>
      </c>
      <c r="G65" s="306">
        <f>IF(A65&lt;$F$7, 0, $E$7 * $G$7^((A65-$F$7)/12))</f>
        <v/>
      </c>
      <c r="H65" s="306">
        <f>IF(A65&lt;$F$8, 0, $E$8 * $G$8^((A65-$F$8)/12))</f>
        <v/>
      </c>
      <c r="I65" s="306">
        <f>IF(A65&lt;$F$9, 0, $E$9 * $G$9^((A65-$F$9)/12))</f>
        <v/>
      </c>
      <c r="J65" s="306">
        <f>IF(A65&lt;$F$10, 0, $E$10 * $G$10^((A65-$F$10)/12))</f>
        <v/>
      </c>
      <c r="K65" s="306">
        <f>IF(A65&lt;$F$11, 0, $E$11 * $G$11^((A65-$F$11)/12))</f>
        <v/>
      </c>
      <c r="L65" s="306">
        <f>IF(A65&lt;$F$12, 0, $E$12 * $G$12^((A65-$F$12)/12))</f>
        <v/>
      </c>
      <c r="M65" s="306">
        <f>IF(A65&lt;$F$13, 0, $E$13 * $G$13^((A65-$F$13)/12))</f>
        <v/>
      </c>
      <c r="N65" s="306">
        <f>IF(A65&lt;$F$14, 0, $E$14 * $G$14^((A65-$F$14)/12))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$E$6 * $G$6^((A66-$F$6)/12))</f>
        <v/>
      </c>
      <c r="G66" s="306">
        <f>IF(A66&lt;$F$7, 0, $E$7 * $G$7^((A66-$F$7)/12))</f>
        <v/>
      </c>
      <c r="H66" s="306">
        <f>IF(A66&lt;$F$8, 0, $E$8 * $G$8^((A66-$F$8)/12))</f>
        <v/>
      </c>
      <c r="I66" s="306">
        <f>IF(A66&lt;$F$9, 0, $E$9 * $G$9^((A66-$F$9)/12))</f>
        <v/>
      </c>
      <c r="J66" s="306">
        <f>IF(A66&lt;$F$10, 0, $E$10 * $G$10^((A66-$F$10)/12))</f>
        <v/>
      </c>
      <c r="K66" s="306">
        <f>IF(A66&lt;$F$11, 0, $E$11 * $G$11^((A66-$F$11)/12))</f>
        <v/>
      </c>
      <c r="L66" s="306">
        <f>IF(A66&lt;$F$12, 0, $E$12 * $G$12^((A66-$F$12)/12))</f>
        <v/>
      </c>
      <c r="M66" s="306">
        <f>IF(A66&lt;$F$13, 0, $E$13 * $G$13^((A66-$F$13)/12))</f>
        <v/>
      </c>
      <c r="N66" s="306">
        <f>IF(A66&lt;$F$14, 0, $E$14 * $G$14^((A66-$F$14)/12))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$E$6 * $G$6^((A67-$F$6)/12))</f>
        <v/>
      </c>
      <c r="G67" s="306">
        <f>IF(A67&lt;$F$7, 0, $E$7 * $G$7^((A67-$F$7)/12))</f>
        <v/>
      </c>
      <c r="H67" s="306">
        <f>IF(A67&lt;$F$8, 0, $E$8 * $G$8^((A67-$F$8)/12))</f>
        <v/>
      </c>
      <c r="I67" s="306">
        <f>IF(A67&lt;$F$9, 0, $E$9 * $G$9^((A67-$F$9)/12))</f>
        <v/>
      </c>
      <c r="J67" s="306">
        <f>IF(A67&lt;$F$10, 0, $E$10 * $G$10^((A67-$F$10)/12))</f>
        <v/>
      </c>
      <c r="K67" s="306">
        <f>IF(A67&lt;$F$11, 0, $E$11 * $G$11^((A67-$F$11)/12))</f>
        <v/>
      </c>
      <c r="L67" s="306">
        <f>IF(A67&lt;$F$12, 0, $E$12 * $G$12^((A67-$F$12)/12))</f>
        <v/>
      </c>
      <c r="M67" s="306">
        <f>IF(A67&lt;$F$13, 0, $E$13 * $G$13^((A67-$F$13)/12))</f>
        <v/>
      </c>
      <c r="N67" s="306">
        <f>IF(A67&lt;$F$14, 0, $E$14 * $G$14^((A67-$F$14)/12))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$E$6 * $G$6^((A68-$F$6)/12))</f>
        <v/>
      </c>
      <c r="G68" s="306">
        <f>IF(A68&lt;$F$7, 0, $E$7 * $G$7^((A68-$F$7)/12))</f>
        <v/>
      </c>
      <c r="H68" s="306">
        <f>IF(A68&lt;$F$8, 0, $E$8 * $G$8^((A68-$F$8)/12))</f>
        <v/>
      </c>
      <c r="I68" s="306">
        <f>IF(A68&lt;$F$9, 0, $E$9 * $G$9^((A68-$F$9)/12))</f>
        <v/>
      </c>
      <c r="J68" s="306">
        <f>IF(A68&lt;$F$10, 0, $E$10 * $G$10^((A68-$F$10)/12))</f>
        <v/>
      </c>
      <c r="K68" s="306">
        <f>IF(A68&lt;$F$11, 0, $E$11 * $G$11^((A68-$F$11)/12))</f>
        <v/>
      </c>
      <c r="L68" s="306">
        <f>IF(A68&lt;$F$12, 0, $E$12 * $G$12^((A68-$F$12)/12))</f>
        <v/>
      </c>
      <c r="M68" s="306">
        <f>IF(A68&lt;$F$13, 0, $E$13 * $G$13^((A68-$F$13)/12))</f>
        <v/>
      </c>
      <c r="N68" s="306">
        <f>IF(A68&lt;$F$14, 0, $E$14 * $G$14^((A68-$F$14)/12))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$E$6 * $G$6^((A69-$F$6)/12))</f>
        <v/>
      </c>
      <c r="G69" s="306">
        <f>IF(A69&lt;$F$7, 0, $E$7 * $G$7^((A69-$F$7)/12))</f>
        <v/>
      </c>
      <c r="H69" s="306">
        <f>IF(A69&lt;$F$8, 0, $E$8 * $G$8^((A69-$F$8)/12))</f>
        <v/>
      </c>
      <c r="I69" s="306">
        <f>IF(A69&lt;$F$9, 0, $E$9 * $G$9^((A69-$F$9)/12))</f>
        <v/>
      </c>
      <c r="J69" s="306">
        <f>IF(A69&lt;$F$10, 0, $E$10 * $G$10^((A69-$F$10)/12))</f>
        <v/>
      </c>
      <c r="K69" s="306">
        <f>IF(A69&lt;$F$11, 0, $E$11 * $G$11^((A69-$F$11)/12))</f>
        <v/>
      </c>
      <c r="L69" s="306">
        <f>IF(A69&lt;$F$12, 0, $E$12 * $G$12^((A69-$F$12)/12))</f>
        <v/>
      </c>
      <c r="M69" s="306">
        <f>IF(A69&lt;$F$13, 0, $E$13 * $G$13^((A69-$F$13)/12))</f>
        <v/>
      </c>
      <c r="N69" s="306">
        <f>IF(A69&lt;$F$14, 0, $E$14 * $G$14^((A69-$F$14)/12))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$E$6 * $G$6^((A70-$F$6)/12))</f>
        <v/>
      </c>
      <c r="G70" s="306">
        <f>IF(A70&lt;$F$7, 0, $E$7 * $G$7^((A70-$F$7)/12))</f>
        <v/>
      </c>
      <c r="H70" s="306">
        <f>IF(A70&lt;$F$8, 0, $E$8 * $G$8^((A70-$F$8)/12))</f>
        <v/>
      </c>
      <c r="I70" s="306">
        <f>IF(A70&lt;$F$9, 0, $E$9 * $G$9^((A70-$F$9)/12))</f>
        <v/>
      </c>
      <c r="J70" s="306">
        <f>IF(A70&lt;$F$10, 0, $E$10 * $G$10^((A70-$F$10)/12))</f>
        <v/>
      </c>
      <c r="K70" s="306">
        <f>IF(A70&lt;$F$11, 0, $E$11 * $G$11^((A70-$F$11)/12))</f>
        <v/>
      </c>
      <c r="L70" s="306">
        <f>IF(A70&lt;$F$12, 0, $E$12 * $G$12^((A70-$F$12)/12))</f>
        <v/>
      </c>
      <c r="M70" s="306">
        <f>IF(A70&lt;$F$13, 0, $E$13 * $G$13^((A70-$F$13)/12))</f>
        <v/>
      </c>
      <c r="N70" s="306">
        <f>IF(A70&lt;$F$14, 0, $E$14 * $G$14^((A70-$F$14)/12))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$E$6 * $G$6^((A71-$F$6)/12))</f>
        <v/>
      </c>
      <c r="G71" s="306">
        <f>IF(A71&lt;$F$7, 0, $E$7 * $G$7^((A71-$F$7)/12))</f>
        <v/>
      </c>
      <c r="H71" s="306">
        <f>IF(A71&lt;$F$8, 0, $E$8 * $G$8^((A71-$F$8)/12))</f>
        <v/>
      </c>
      <c r="I71" s="306">
        <f>IF(A71&lt;$F$9, 0, $E$9 * $G$9^((A71-$F$9)/12))</f>
        <v/>
      </c>
      <c r="J71" s="306">
        <f>IF(A71&lt;$F$10, 0, $E$10 * $G$10^((A71-$F$10)/12))</f>
        <v/>
      </c>
      <c r="K71" s="306">
        <f>IF(A71&lt;$F$11, 0, $E$11 * $G$11^((A71-$F$11)/12))</f>
        <v/>
      </c>
      <c r="L71" s="306">
        <f>IF(A71&lt;$F$12, 0, $E$12 * $G$12^((A71-$F$12)/12))</f>
        <v/>
      </c>
      <c r="M71" s="306">
        <f>IF(A71&lt;$F$13, 0, $E$13 * $G$13^((A71-$F$13)/12))</f>
        <v/>
      </c>
      <c r="N71" s="306">
        <f>IF(A71&lt;$F$14, 0, $E$14 * $G$14^((A71-$F$14)/12))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$E$6 * $G$6^((A72-$F$6)/12))</f>
        <v/>
      </c>
      <c r="G72" s="306">
        <f>IF(A72&lt;$F$7, 0, $E$7 * $G$7^((A72-$F$7)/12))</f>
        <v/>
      </c>
      <c r="H72" s="306">
        <f>IF(A72&lt;$F$8, 0, $E$8 * $G$8^((A72-$F$8)/12))</f>
        <v/>
      </c>
      <c r="I72" s="306">
        <f>IF(A72&lt;$F$9, 0, $E$9 * $G$9^((A72-$F$9)/12))</f>
        <v/>
      </c>
      <c r="J72" s="306">
        <f>IF(A72&lt;$F$10, 0, $E$10 * $G$10^((A72-$F$10)/12))</f>
        <v/>
      </c>
      <c r="K72" s="306">
        <f>IF(A72&lt;$F$11, 0, $E$11 * $G$11^((A72-$F$11)/12))</f>
        <v/>
      </c>
      <c r="L72" s="306">
        <f>IF(A72&lt;$F$12, 0, $E$12 * $G$12^((A72-$F$12)/12))</f>
        <v/>
      </c>
      <c r="M72" s="306">
        <f>IF(A72&lt;$F$13, 0, $E$13 * $G$13^((A72-$F$13)/12))</f>
        <v/>
      </c>
      <c r="N72" s="306">
        <f>IF(A72&lt;$F$14, 0, $E$14 * $G$14^((A72-$F$14)/12))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$E$6 * $G$6^((A73-$F$6)/12))</f>
        <v/>
      </c>
      <c r="G73" s="306">
        <f>IF(A73&lt;$F$7, 0, $E$7 * $G$7^((A73-$F$7)/12))</f>
        <v/>
      </c>
      <c r="H73" s="306">
        <f>IF(A73&lt;$F$8, 0, $E$8 * $G$8^((A73-$F$8)/12))</f>
        <v/>
      </c>
      <c r="I73" s="306">
        <f>IF(A73&lt;$F$9, 0, $E$9 * $G$9^((A73-$F$9)/12))</f>
        <v/>
      </c>
      <c r="J73" s="306">
        <f>IF(A73&lt;$F$10, 0, $E$10 * $G$10^((A73-$F$10)/12))</f>
        <v/>
      </c>
      <c r="K73" s="306">
        <f>IF(A73&lt;$F$11, 0, $E$11 * $G$11^((A73-$F$11)/12))</f>
        <v/>
      </c>
      <c r="L73" s="306">
        <f>IF(A73&lt;$F$12, 0, $E$12 * $G$12^((A73-$F$12)/12))</f>
        <v/>
      </c>
      <c r="M73" s="306">
        <f>IF(A73&lt;$F$13, 0, $E$13 * $G$13^((A73-$F$13)/12))</f>
        <v/>
      </c>
      <c r="N73" s="306">
        <f>IF(A73&lt;$F$14, 0, $E$14 * $G$14^((A73-$F$14)/12))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$E$6 * $G$6^((A74-$F$6)/12))</f>
        <v/>
      </c>
      <c r="G74" s="306">
        <f>IF(A74&lt;$F$7, 0, $E$7 * $G$7^((A74-$F$7)/12))</f>
        <v/>
      </c>
      <c r="H74" s="306">
        <f>IF(A74&lt;$F$8, 0, $E$8 * $G$8^((A74-$F$8)/12))</f>
        <v/>
      </c>
      <c r="I74" s="306">
        <f>IF(A74&lt;$F$9, 0, $E$9 * $G$9^((A74-$F$9)/12))</f>
        <v/>
      </c>
      <c r="J74" s="306">
        <f>IF(A74&lt;$F$10, 0, $E$10 * $G$10^((A74-$F$10)/12))</f>
        <v/>
      </c>
      <c r="K74" s="306">
        <f>IF(A74&lt;$F$11, 0, $E$11 * $G$11^((A74-$F$11)/12))</f>
        <v/>
      </c>
      <c r="L74" s="306">
        <f>IF(A74&lt;$F$12, 0, $E$12 * $G$12^((A74-$F$12)/12))</f>
        <v/>
      </c>
      <c r="M74" s="306">
        <f>IF(A74&lt;$F$13, 0, $E$13 * $G$13^((A74-$F$13)/12))</f>
        <v/>
      </c>
      <c r="N74" s="306">
        <f>IF(A74&lt;$F$14, 0, $E$14 * $G$14^((A74-$F$14)/12))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$E$6 * $G$6^((A75-$F$6)/12))</f>
        <v/>
      </c>
      <c r="G75" s="306">
        <f>IF(A75&lt;$F$7, 0, $E$7 * $G$7^((A75-$F$7)/12))</f>
        <v/>
      </c>
      <c r="H75" s="306">
        <f>IF(A75&lt;$F$8, 0, $E$8 * $G$8^((A75-$F$8)/12))</f>
        <v/>
      </c>
      <c r="I75" s="306">
        <f>IF(A75&lt;$F$9, 0, $E$9 * $G$9^((A75-$F$9)/12))</f>
        <v/>
      </c>
      <c r="J75" s="306">
        <f>IF(A75&lt;$F$10, 0, $E$10 * $G$10^((A75-$F$10)/12))</f>
        <v/>
      </c>
      <c r="K75" s="306">
        <f>IF(A75&lt;$F$11, 0, $E$11 * $G$11^((A75-$F$11)/12))</f>
        <v/>
      </c>
      <c r="L75" s="306">
        <f>IF(A75&lt;$F$12, 0, $E$12 * $G$12^((A75-$F$12)/12))</f>
        <v/>
      </c>
      <c r="M75" s="306">
        <f>IF(A75&lt;$F$13, 0, $E$13 * $G$13^((A75-$F$13)/12))</f>
        <v/>
      </c>
      <c r="N75" s="306">
        <f>IF(A75&lt;$F$14, 0, $E$14 * $G$14^((A75-$F$14)/12))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$E$6 * $G$6^((A76-$F$6)/12))</f>
        <v/>
      </c>
      <c r="G76" s="306">
        <f>IF(A76&lt;$F$7, 0, $E$7 * $G$7^((A76-$F$7)/12))</f>
        <v/>
      </c>
      <c r="H76" s="306">
        <f>IF(A76&lt;$F$8, 0, $E$8 * $G$8^((A76-$F$8)/12))</f>
        <v/>
      </c>
      <c r="I76" s="306">
        <f>IF(A76&lt;$F$9, 0, $E$9 * $G$9^((A76-$F$9)/12))</f>
        <v/>
      </c>
      <c r="J76" s="306">
        <f>IF(A76&lt;$F$10, 0, $E$10 * $G$10^((A76-$F$10)/12))</f>
        <v/>
      </c>
      <c r="K76" s="306">
        <f>IF(A76&lt;$F$11, 0, $E$11 * $G$11^((A76-$F$11)/12))</f>
        <v/>
      </c>
      <c r="L76" s="306">
        <f>IF(A76&lt;$F$12, 0, $E$12 * $G$12^((A76-$F$12)/12))</f>
        <v/>
      </c>
      <c r="M76" s="306">
        <f>IF(A76&lt;$F$13, 0, $E$13 * $G$13^((A76-$F$13)/12))</f>
        <v/>
      </c>
      <c r="N76" s="306">
        <f>IF(A76&lt;$F$14, 0, $E$14 * $G$14^((A76-$F$14)/12))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$E$6 * $G$6^((A77-$F$6)/12))</f>
        <v/>
      </c>
      <c r="G77" s="306">
        <f>IF(A77&lt;$F$7, 0, $E$7 * $G$7^((A77-$F$7)/12))</f>
        <v/>
      </c>
      <c r="H77" s="306">
        <f>IF(A77&lt;$F$8, 0, $E$8 * $G$8^((A77-$F$8)/12))</f>
        <v/>
      </c>
      <c r="I77" s="306">
        <f>IF(A77&lt;$F$9, 0, $E$9 * $G$9^((A77-$F$9)/12))</f>
        <v/>
      </c>
      <c r="J77" s="306">
        <f>IF(A77&lt;$F$10, 0, $E$10 * $G$10^((A77-$F$10)/12))</f>
        <v/>
      </c>
      <c r="K77" s="306">
        <f>IF(A77&lt;$F$11, 0, $E$11 * $G$11^((A77-$F$11)/12))</f>
        <v/>
      </c>
      <c r="L77" s="306">
        <f>IF(A77&lt;$F$12, 0, $E$12 * $G$12^((A77-$F$12)/12))</f>
        <v/>
      </c>
      <c r="M77" s="306">
        <f>IF(A77&lt;$F$13, 0, $E$13 * $G$13^((A77-$F$13)/12))</f>
        <v/>
      </c>
      <c r="N77" s="306">
        <f>IF(A77&lt;$F$14, 0, $E$14 * $G$14^((A77-$F$14)/12))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$E$6 * $G$6^((A78-$F$6)/12))</f>
        <v/>
      </c>
      <c r="G78" s="306">
        <f>IF(A78&lt;$F$7, 0, $E$7 * $G$7^((A78-$F$7)/12))</f>
        <v/>
      </c>
      <c r="H78" s="306">
        <f>IF(A78&lt;$F$8, 0, $E$8 * $G$8^((A78-$F$8)/12))</f>
        <v/>
      </c>
      <c r="I78" s="306">
        <f>IF(A78&lt;$F$9, 0, $E$9 * $G$9^((A78-$F$9)/12))</f>
        <v/>
      </c>
      <c r="J78" s="306">
        <f>IF(A78&lt;$F$10, 0, $E$10 * $G$10^((A78-$F$10)/12))</f>
        <v/>
      </c>
      <c r="K78" s="306">
        <f>IF(A78&lt;$F$11, 0, $E$11 * $G$11^((A78-$F$11)/12))</f>
        <v/>
      </c>
      <c r="L78" s="306">
        <f>IF(A78&lt;$F$12, 0, $E$12 * $G$12^((A78-$F$12)/12))</f>
        <v/>
      </c>
      <c r="M78" s="306">
        <f>IF(A78&lt;$F$13, 0, $E$13 * $G$13^((A78-$F$13)/12))</f>
        <v/>
      </c>
      <c r="N78" s="306">
        <f>IF(A78&lt;$F$14, 0, $E$14 * $G$14^((A78-$F$14)/12))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$E$6 * $G$6^((A79-$F$6)/12))</f>
        <v/>
      </c>
      <c r="G79" s="306">
        <f>IF(A79&lt;$F$7, 0, $E$7 * $G$7^((A79-$F$7)/12))</f>
        <v/>
      </c>
      <c r="H79" s="306">
        <f>IF(A79&lt;$F$8, 0, $E$8 * $G$8^((A79-$F$8)/12))</f>
        <v/>
      </c>
      <c r="I79" s="306">
        <f>IF(A79&lt;$F$9, 0, $E$9 * $G$9^((A79-$F$9)/12))</f>
        <v/>
      </c>
      <c r="J79" s="306">
        <f>IF(A79&lt;$F$10, 0, $E$10 * $G$10^((A79-$F$10)/12))</f>
        <v/>
      </c>
      <c r="K79" s="306">
        <f>IF(A79&lt;$F$11, 0, $E$11 * $G$11^((A79-$F$11)/12))</f>
        <v/>
      </c>
      <c r="L79" s="306">
        <f>IF(A79&lt;$F$12, 0, $E$12 * $G$12^((A79-$F$12)/12))</f>
        <v/>
      </c>
      <c r="M79" s="306">
        <f>IF(A79&lt;$F$13, 0, $E$13 * $G$13^((A79-$F$13)/12))</f>
        <v/>
      </c>
      <c r="N79" s="306">
        <f>IF(A79&lt;$F$14, 0, $E$14 * $G$14^((A79-$F$14)/12))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$E$6 * $G$6^((A80-$F$6)/12))</f>
        <v/>
      </c>
      <c r="G80" s="306">
        <f>IF(A80&lt;$F$7, 0, $E$7 * $G$7^((A80-$F$7)/12))</f>
        <v/>
      </c>
      <c r="H80" s="306">
        <f>IF(A80&lt;$F$8, 0, $E$8 * $G$8^((A80-$F$8)/12))</f>
        <v/>
      </c>
      <c r="I80" s="306">
        <f>IF(A80&lt;$F$9, 0, $E$9 * $G$9^((A80-$F$9)/12))</f>
        <v/>
      </c>
      <c r="J80" s="306">
        <f>IF(A80&lt;$F$10, 0, $E$10 * $G$10^((A80-$F$10)/12))</f>
        <v/>
      </c>
      <c r="K80" s="306">
        <f>IF(A80&lt;$F$11, 0, $E$11 * $G$11^((A80-$F$11)/12))</f>
        <v/>
      </c>
      <c r="L80" s="306">
        <f>IF(A80&lt;$F$12, 0, $E$12 * $G$12^((A80-$F$12)/12))</f>
        <v/>
      </c>
      <c r="M80" s="306">
        <f>IF(A80&lt;$F$13, 0, $E$13 * $G$13^((A80-$F$13)/12))</f>
        <v/>
      </c>
      <c r="N80" s="306">
        <f>IF(A80&lt;$F$14, 0, $E$14 * $G$14^((A80-$F$14)/12))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$E$6 * $G$6^((A81-$F$6)/12))</f>
        <v/>
      </c>
      <c r="G81" s="306">
        <f>IF(A81&lt;$F$7, 0, $E$7 * $G$7^((A81-$F$7)/12))</f>
        <v/>
      </c>
      <c r="H81" s="306">
        <f>IF(A81&lt;$F$8, 0, $E$8 * $G$8^((A81-$F$8)/12))</f>
        <v/>
      </c>
      <c r="I81" s="306">
        <f>IF(A81&lt;$F$9, 0, $E$9 * $G$9^((A81-$F$9)/12))</f>
        <v/>
      </c>
      <c r="J81" s="306">
        <f>IF(A81&lt;$F$10, 0, $E$10 * $G$10^((A81-$F$10)/12))</f>
        <v/>
      </c>
      <c r="K81" s="306">
        <f>IF(A81&lt;$F$11, 0, $E$11 * $G$11^((A81-$F$11)/12))</f>
        <v/>
      </c>
      <c r="L81" s="306">
        <f>IF(A81&lt;$F$12, 0, $E$12 * $G$12^((A81-$F$12)/12))</f>
        <v/>
      </c>
      <c r="M81" s="306">
        <f>IF(A81&lt;$F$13, 0, $E$13 * $G$13^((A81-$F$13)/12))</f>
        <v/>
      </c>
      <c r="N81" s="306">
        <f>IF(A81&lt;$F$14, 0, $E$14 * $G$14^((A81-$F$14)/12))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$E$6 * $G$6^((A82-$F$6)/12))</f>
        <v/>
      </c>
      <c r="G82" s="306">
        <f>IF(A82&lt;$F$7, 0, $E$7 * $G$7^((A82-$F$7)/12))</f>
        <v/>
      </c>
      <c r="H82" s="306">
        <f>IF(A82&lt;$F$8, 0, $E$8 * $G$8^((A82-$F$8)/12))</f>
        <v/>
      </c>
      <c r="I82" s="306">
        <f>IF(A82&lt;$F$9, 0, $E$9 * $G$9^((A82-$F$9)/12))</f>
        <v/>
      </c>
      <c r="J82" s="306">
        <f>IF(A82&lt;$F$10, 0, $E$10 * $G$10^((A82-$F$10)/12))</f>
        <v/>
      </c>
      <c r="K82" s="306">
        <f>IF(A82&lt;$F$11, 0, $E$11 * $G$11^((A82-$F$11)/12))</f>
        <v/>
      </c>
      <c r="L82" s="306">
        <f>IF(A82&lt;$F$12, 0, $E$12 * $G$12^((A82-$F$12)/12))</f>
        <v/>
      </c>
      <c r="M82" s="306">
        <f>IF(A82&lt;$F$13, 0, $E$13 * $G$13^((A82-$F$13)/12))</f>
        <v/>
      </c>
      <c r="N82" s="306">
        <f>IF(A82&lt;$F$14, 0, $E$14 * $G$14^((A82-$F$14)/12))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$E$6 * $G$6^((A83-$F$6)/12))</f>
        <v/>
      </c>
      <c r="G83" s="306">
        <f>IF(A83&lt;$F$7, 0, $E$7 * $G$7^((A83-$F$7)/12))</f>
        <v/>
      </c>
      <c r="H83" s="306">
        <f>IF(A83&lt;$F$8, 0, $E$8 * $G$8^((A83-$F$8)/12))</f>
        <v/>
      </c>
      <c r="I83" s="306">
        <f>IF(A83&lt;$F$9, 0, $E$9 * $G$9^((A83-$F$9)/12))</f>
        <v/>
      </c>
      <c r="J83" s="306">
        <f>IF(A83&lt;$F$10, 0, $E$10 * $G$10^((A83-$F$10)/12))</f>
        <v/>
      </c>
      <c r="K83" s="306">
        <f>IF(A83&lt;$F$11, 0, $E$11 * $G$11^((A83-$F$11)/12))</f>
        <v/>
      </c>
      <c r="L83" s="306">
        <f>IF(A83&lt;$F$12, 0, $E$12 * $G$12^((A83-$F$12)/12))</f>
        <v/>
      </c>
      <c r="M83" s="306">
        <f>IF(A83&lt;$F$13, 0, $E$13 * $G$13^((A83-$F$13)/12))</f>
        <v/>
      </c>
      <c r="N83" s="306">
        <f>IF(A83&lt;$F$14, 0, $E$14 * $G$14^((A83-$F$14)/12))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$E$6 * $G$6^((A84-$F$6)/12))</f>
        <v/>
      </c>
      <c r="G84" s="306">
        <f>IF(A84&lt;$F$7, 0, $E$7 * $G$7^((A84-$F$7)/12))</f>
        <v/>
      </c>
      <c r="H84" s="306">
        <f>IF(A84&lt;$F$8, 0, $E$8 * $G$8^((A84-$F$8)/12))</f>
        <v/>
      </c>
      <c r="I84" s="306">
        <f>IF(A84&lt;$F$9, 0, $E$9 * $G$9^((A84-$F$9)/12))</f>
        <v/>
      </c>
      <c r="J84" s="306">
        <f>IF(A84&lt;$F$10, 0, $E$10 * $G$10^((A84-$F$10)/12))</f>
        <v/>
      </c>
      <c r="K84" s="306">
        <f>IF(A84&lt;$F$11, 0, $E$11 * $G$11^((A84-$F$11)/12))</f>
        <v/>
      </c>
      <c r="L84" s="306">
        <f>IF(A84&lt;$F$12, 0, $E$12 * $G$12^((A84-$F$12)/12))</f>
        <v/>
      </c>
      <c r="M84" s="306">
        <f>IF(A84&lt;$F$13, 0, $E$13 * $G$13^((A84-$F$13)/12))</f>
        <v/>
      </c>
      <c r="N84" s="306">
        <f>IF(A84&lt;$F$14, 0, $E$14 * $G$14^((A84-$F$14)/12))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$E$6 * $G$6^((A85-$F$6)/12))</f>
        <v/>
      </c>
      <c r="G85" s="306">
        <f>IF(A85&lt;$F$7, 0, $E$7 * $G$7^((A85-$F$7)/12))</f>
        <v/>
      </c>
      <c r="H85" s="306">
        <f>IF(A85&lt;$F$8, 0, $E$8 * $G$8^((A85-$F$8)/12))</f>
        <v/>
      </c>
      <c r="I85" s="306">
        <f>IF(A85&lt;$F$9, 0, $E$9 * $G$9^((A85-$F$9)/12))</f>
        <v/>
      </c>
      <c r="J85" s="306">
        <f>IF(A85&lt;$F$10, 0, $E$10 * $G$10^((A85-$F$10)/12))</f>
        <v/>
      </c>
      <c r="K85" s="306">
        <f>IF(A85&lt;$F$11, 0, $E$11 * $G$11^((A85-$F$11)/12))</f>
        <v/>
      </c>
      <c r="L85" s="306">
        <f>IF(A85&lt;$F$12, 0, $E$12 * $G$12^((A85-$F$12)/12))</f>
        <v/>
      </c>
      <c r="M85" s="306">
        <f>IF(A85&lt;$F$13, 0, $E$13 * $G$13^((A85-$F$13)/12))</f>
        <v/>
      </c>
      <c r="N85" s="306">
        <f>IF(A85&lt;$F$14, 0, $E$14 * $G$14^((A85-$F$14)/12))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$E$6 * $G$6^((A86-$F$6)/12))</f>
        <v/>
      </c>
      <c r="G86" s="306">
        <f>IF(A86&lt;$F$7, 0, $E$7 * $G$7^((A86-$F$7)/12))</f>
        <v/>
      </c>
      <c r="H86" s="306">
        <f>IF(A86&lt;$F$8, 0, $E$8 * $G$8^((A86-$F$8)/12))</f>
        <v/>
      </c>
      <c r="I86" s="306">
        <f>IF(A86&lt;$F$9, 0, $E$9 * $G$9^((A86-$F$9)/12))</f>
        <v/>
      </c>
      <c r="J86" s="306">
        <f>IF(A86&lt;$F$10, 0, $E$10 * $G$10^((A86-$F$10)/12))</f>
        <v/>
      </c>
      <c r="K86" s="306">
        <f>IF(A86&lt;$F$11, 0, $E$11 * $G$11^((A86-$F$11)/12))</f>
        <v/>
      </c>
      <c r="L86" s="306">
        <f>IF(A86&lt;$F$12, 0, $E$12 * $G$12^((A86-$F$12)/12))</f>
        <v/>
      </c>
      <c r="M86" s="306">
        <f>IF(A86&lt;$F$13, 0, $E$13 * $G$13^((A86-$F$13)/12))</f>
        <v/>
      </c>
      <c r="N86" s="306">
        <f>IF(A86&lt;$F$14, 0, $E$14 * $G$14^((A86-$F$14)/12))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$E$6 * $G$6^((A87-$F$6)/12))</f>
        <v/>
      </c>
      <c r="G87" s="306">
        <f>IF(A87&lt;$F$7, 0, $E$7 * $G$7^((A87-$F$7)/12))</f>
        <v/>
      </c>
      <c r="H87" s="306">
        <f>IF(A87&lt;$F$8, 0, $E$8 * $G$8^((A87-$F$8)/12))</f>
        <v/>
      </c>
      <c r="I87" s="306">
        <f>IF(A87&lt;$F$9, 0, $E$9 * $G$9^((A87-$F$9)/12))</f>
        <v/>
      </c>
      <c r="J87" s="306">
        <f>IF(A87&lt;$F$10, 0, $E$10 * $G$10^((A87-$F$10)/12))</f>
        <v/>
      </c>
      <c r="K87" s="306">
        <f>IF(A87&lt;$F$11, 0, $E$11 * $G$11^((A87-$F$11)/12))</f>
        <v/>
      </c>
      <c r="L87" s="306">
        <f>IF(A87&lt;$F$12, 0, $E$12 * $G$12^((A87-$F$12)/12))</f>
        <v/>
      </c>
      <c r="M87" s="306">
        <f>IF(A87&lt;$F$13, 0, $E$13 * $G$13^((A87-$F$13)/12))</f>
        <v/>
      </c>
      <c r="N87" s="306">
        <f>IF(A87&lt;$F$14, 0, $E$14 * $G$14^((A87-$F$14)/12))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$E$6 * $G$6^((A88-$F$6)/12))</f>
        <v/>
      </c>
      <c r="G88" s="306">
        <f>IF(A88&lt;$F$7, 0, $E$7 * $G$7^((A88-$F$7)/12))</f>
        <v/>
      </c>
      <c r="H88" s="306">
        <f>IF(A88&lt;$F$8, 0, $E$8 * $G$8^((A88-$F$8)/12))</f>
        <v/>
      </c>
      <c r="I88" s="306">
        <f>IF(A88&lt;$F$9, 0, $E$9 * $G$9^((A88-$F$9)/12))</f>
        <v/>
      </c>
      <c r="J88" s="306">
        <f>IF(A88&lt;$F$10, 0, $E$10 * $G$10^((A88-$F$10)/12))</f>
        <v/>
      </c>
      <c r="K88" s="306">
        <f>IF(A88&lt;$F$11, 0, $E$11 * $G$11^((A88-$F$11)/12))</f>
        <v/>
      </c>
      <c r="L88" s="306">
        <f>IF(A88&lt;$F$12, 0, $E$12 * $G$12^((A88-$F$12)/12))</f>
        <v/>
      </c>
      <c r="M88" s="306">
        <f>IF(A88&lt;$F$13, 0, $E$13 * $G$13^((A88-$F$13)/12))</f>
        <v/>
      </c>
      <c r="N88" s="306">
        <f>IF(A88&lt;$F$14, 0, $E$14 * $G$14^((A88-$F$14)/12))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$E$6 * $G$6^((A89-$F$6)/12))</f>
        <v/>
      </c>
      <c r="G89" s="306">
        <f>IF(A89&lt;$F$7, 0, $E$7 * $G$7^((A89-$F$7)/12))</f>
        <v/>
      </c>
      <c r="H89" s="306">
        <f>IF(A89&lt;$F$8, 0, $E$8 * $G$8^((A89-$F$8)/12))</f>
        <v/>
      </c>
      <c r="I89" s="306">
        <f>IF(A89&lt;$F$9, 0, $E$9 * $G$9^((A89-$F$9)/12))</f>
        <v/>
      </c>
      <c r="J89" s="306">
        <f>IF(A89&lt;$F$10, 0, $E$10 * $G$10^((A89-$F$10)/12))</f>
        <v/>
      </c>
      <c r="K89" s="306">
        <f>IF(A89&lt;$F$11, 0, $E$11 * $G$11^((A89-$F$11)/12))</f>
        <v/>
      </c>
      <c r="L89" s="306">
        <f>IF(A89&lt;$F$12, 0, $E$12 * $G$12^((A89-$F$12)/12))</f>
        <v/>
      </c>
      <c r="M89" s="306">
        <f>IF(A89&lt;$F$13, 0, $E$13 * $G$13^((A89-$F$13)/12))</f>
        <v/>
      </c>
      <c r="N89" s="306">
        <f>IF(A89&lt;$F$14, 0, $E$14 * $G$14^((A89-$F$14)/12))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$E$6 * $G$6^((A90-$F$6)/12))</f>
        <v/>
      </c>
      <c r="G90" s="306">
        <f>IF(A90&lt;$F$7, 0, $E$7 * $G$7^((A90-$F$7)/12))</f>
        <v/>
      </c>
      <c r="H90" s="306">
        <f>IF(A90&lt;$F$8, 0, $E$8 * $G$8^((A90-$F$8)/12))</f>
        <v/>
      </c>
      <c r="I90" s="306">
        <f>IF(A90&lt;$F$9, 0, $E$9 * $G$9^((A90-$F$9)/12))</f>
        <v/>
      </c>
      <c r="J90" s="306">
        <f>IF(A90&lt;$F$10, 0, $E$10 * $G$10^((A90-$F$10)/12))</f>
        <v/>
      </c>
      <c r="K90" s="306">
        <f>IF(A90&lt;$F$11, 0, $E$11 * $G$11^((A90-$F$11)/12))</f>
        <v/>
      </c>
      <c r="L90" s="306">
        <f>IF(A90&lt;$F$12, 0, $E$12 * $G$12^((A90-$F$12)/12))</f>
        <v/>
      </c>
      <c r="M90" s="306">
        <f>IF(A90&lt;$F$13, 0, $E$13 * $G$13^((A90-$F$13)/12))</f>
        <v/>
      </c>
      <c r="N90" s="306">
        <f>IF(A90&lt;$F$14, 0, $E$14 * $G$14^((A90-$F$14)/12))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$E$6 * $G$6^((A91-$F$6)/12))</f>
        <v/>
      </c>
      <c r="G91" s="306">
        <f>IF(A91&lt;$F$7, 0, $E$7 * $G$7^((A91-$F$7)/12))</f>
        <v/>
      </c>
      <c r="H91" s="306">
        <f>IF(A91&lt;$F$8, 0, $E$8 * $G$8^((A91-$F$8)/12))</f>
        <v/>
      </c>
      <c r="I91" s="306">
        <f>IF(A91&lt;$F$9, 0, $E$9 * $G$9^((A91-$F$9)/12))</f>
        <v/>
      </c>
      <c r="J91" s="306">
        <f>IF(A91&lt;$F$10, 0, $E$10 * $G$10^((A91-$F$10)/12))</f>
        <v/>
      </c>
      <c r="K91" s="306">
        <f>IF(A91&lt;$F$11, 0, $E$11 * $G$11^((A91-$F$11)/12))</f>
        <v/>
      </c>
      <c r="L91" s="306">
        <f>IF(A91&lt;$F$12, 0, $E$12 * $G$12^((A91-$F$12)/12))</f>
        <v/>
      </c>
      <c r="M91" s="306">
        <f>IF(A91&lt;$F$13, 0, $E$13 * $G$13^((A91-$F$13)/12))</f>
        <v/>
      </c>
      <c r="N91" s="306">
        <f>IF(A91&lt;$F$14, 0, $E$14 * $G$14^((A91-$F$14)/12))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$E$6 * $G$6^((A92-$F$6)/12))</f>
        <v/>
      </c>
      <c r="G92" s="306">
        <f>IF(A92&lt;$F$7, 0, $E$7 * $G$7^((A92-$F$7)/12))</f>
        <v/>
      </c>
      <c r="H92" s="306">
        <f>IF(A92&lt;$F$8, 0, $E$8 * $G$8^((A92-$F$8)/12))</f>
        <v/>
      </c>
      <c r="I92" s="306">
        <f>IF(A92&lt;$F$9, 0, $E$9 * $G$9^((A92-$F$9)/12))</f>
        <v/>
      </c>
      <c r="J92" s="306">
        <f>IF(A92&lt;$F$10, 0, $E$10 * $G$10^((A92-$F$10)/12))</f>
        <v/>
      </c>
      <c r="K92" s="306">
        <f>IF(A92&lt;$F$11, 0, $E$11 * $G$11^((A92-$F$11)/12))</f>
        <v/>
      </c>
      <c r="L92" s="306">
        <f>IF(A92&lt;$F$12, 0, $E$12 * $G$12^((A92-$F$12)/12))</f>
        <v/>
      </c>
      <c r="M92" s="306">
        <f>IF(A92&lt;$F$13, 0, $E$13 * $G$13^((A92-$F$13)/12))</f>
        <v/>
      </c>
      <c r="N92" s="306">
        <f>IF(A92&lt;$F$14, 0, $E$14 * $G$14^((A92-$F$14)/12))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$E$6 * $G$6^((A93-$F$6)/12))</f>
        <v/>
      </c>
      <c r="G93" s="306">
        <f>IF(A93&lt;$F$7, 0, $E$7 * $G$7^((A93-$F$7)/12))</f>
        <v/>
      </c>
      <c r="H93" s="306">
        <f>IF(A93&lt;$F$8, 0, $E$8 * $G$8^((A93-$F$8)/12))</f>
        <v/>
      </c>
      <c r="I93" s="306">
        <f>IF(A93&lt;$F$9, 0, $E$9 * $G$9^((A93-$F$9)/12))</f>
        <v/>
      </c>
      <c r="J93" s="306">
        <f>IF(A93&lt;$F$10, 0, $E$10 * $G$10^((A93-$F$10)/12))</f>
        <v/>
      </c>
      <c r="K93" s="306">
        <f>IF(A93&lt;$F$11, 0, $E$11 * $G$11^((A93-$F$11)/12))</f>
        <v/>
      </c>
      <c r="L93" s="306">
        <f>IF(A93&lt;$F$12, 0, $E$12 * $G$12^((A93-$F$12)/12))</f>
        <v/>
      </c>
      <c r="M93" s="306">
        <f>IF(A93&lt;$F$13, 0, $E$13 * $G$13^((A93-$F$13)/12))</f>
        <v/>
      </c>
      <c r="N93" s="306">
        <f>IF(A93&lt;$F$14, 0, $E$14 * $G$14^((A93-$F$14)/12))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$E$6 * $G$6^((A94-$F$6)/12))</f>
        <v/>
      </c>
      <c r="G94" s="306">
        <f>IF(A94&lt;$F$7, 0, $E$7 * $G$7^((A94-$F$7)/12))</f>
        <v/>
      </c>
      <c r="H94" s="306">
        <f>IF(A94&lt;$F$8, 0, $E$8 * $G$8^((A94-$F$8)/12))</f>
        <v/>
      </c>
      <c r="I94" s="306">
        <f>IF(A94&lt;$F$9, 0, $E$9 * $G$9^((A94-$F$9)/12))</f>
        <v/>
      </c>
      <c r="J94" s="306">
        <f>IF(A94&lt;$F$10, 0, $E$10 * $G$10^((A94-$F$10)/12))</f>
        <v/>
      </c>
      <c r="K94" s="306">
        <f>IF(A94&lt;$F$11, 0, $E$11 * $G$11^((A94-$F$11)/12))</f>
        <v/>
      </c>
      <c r="L94" s="306">
        <f>IF(A94&lt;$F$12, 0, $E$12 * $G$12^((A94-$F$12)/12))</f>
        <v/>
      </c>
      <c r="M94" s="306">
        <f>IF(A94&lt;$F$13, 0, $E$13 * $G$13^((A94-$F$13)/12))</f>
        <v/>
      </c>
      <c r="N94" s="306">
        <f>IF(A94&lt;$F$14, 0, $E$14 * $G$14^((A94-$F$14)/12))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$E$6 * $G$6^((A95-$F$6)/12))</f>
        <v/>
      </c>
      <c r="G95" s="306">
        <f>IF(A95&lt;$F$7, 0, $E$7 * $G$7^((A95-$F$7)/12))</f>
        <v/>
      </c>
      <c r="H95" s="306">
        <f>IF(A95&lt;$F$8, 0, $E$8 * $G$8^((A95-$F$8)/12))</f>
        <v/>
      </c>
      <c r="I95" s="306">
        <f>IF(A95&lt;$F$9, 0, $E$9 * $G$9^((A95-$F$9)/12))</f>
        <v/>
      </c>
      <c r="J95" s="306">
        <f>IF(A95&lt;$F$10, 0, $E$10 * $G$10^((A95-$F$10)/12))</f>
        <v/>
      </c>
      <c r="K95" s="306">
        <f>IF(A95&lt;$F$11, 0, $E$11 * $G$11^((A95-$F$11)/12))</f>
        <v/>
      </c>
      <c r="L95" s="306">
        <f>IF(A95&lt;$F$12, 0, $E$12 * $G$12^((A95-$F$12)/12))</f>
        <v/>
      </c>
      <c r="M95" s="306">
        <f>IF(A95&lt;$F$13, 0, $E$13 * $G$13^((A95-$F$13)/12))</f>
        <v/>
      </c>
      <c r="N95" s="306">
        <f>IF(A95&lt;$F$14, 0, $E$14 * $G$14^((A95-$F$14)/12))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$E$6 * $G$6^((A96-$F$6)/12))</f>
        <v/>
      </c>
      <c r="G96" s="306">
        <f>IF(A96&lt;$F$7, 0, $E$7 * $G$7^((A96-$F$7)/12))</f>
        <v/>
      </c>
      <c r="H96" s="306">
        <f>IF(A96&lt;$F$8, 0, $E$8 * $G$8^((A96-$F$8)/12))</f>
        <v/>
      </c>
      <c r="I96" s="306">
        <f>IF(A96&lt;$F$9, 0, $E$9 * $G$9^((A96-$F$9)/12))</f>
        <v/>
      </c>
      <c r="J96" s="306">
        <f>IF(A96&lt;$F$10, 0, $E$10 * $G$10^((A96-$F$10)/12))</f>
        <v/>
      </c>
      <c r="K96" s="306">
        <f>IF(A96&lt;$F$11, 0, $E$11 * $G$11^((A96-$F$11)/12))</f>
        <v/>
      </c>
      <c r="L96" s="306">
        <f>IF(A96&lt;$F$12, 0, $E$12 * $G$12^((A96-$F$12)/12))</f>
        <v/>
      </c>
      <c r="M96" s="306">
        <f>IF(A96&lt;$F$13, 0, $E$13 * $G$13^((A96-$F$13)/12))</f>
        <v/>
      </c>
      <c r="N96" s="306">
        <f>IF(A96&lt;$F$14, 0, $E$14 * $G$14^((A96-$F$14)/12))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$E$6 * $G$6^((A97-$F$6)/12))</f>
        <v/>
      </c>
      <c r="G97" s="306">
        <f>IF(A97&lt;$F$7, 0, $E$7 * $G$7^((A97-$F$7)/12))</f>
        <v/>
      </c>
      <c r="H97" s="306">
        <f>IF(A97&lt;$F$8, 0, $E$8 * $G$8^((A97-$F$8)/12))</f>
        <v/>
      </c>
      <c r="I97" s="306">
        <f>IF(A97&lt;$F$9, 0, $E$9 * $G$9^((A97-$F$9)/12))</f>
        <v/>
      </c>
      <c r="J97" s="306">
        <f>IF(A97&lt;$F$10, 0, $E$10 * $G$10^((A97-$F$10)/12))</f>
        <v/>
      </c>
      <c r="K97" s="306">
        <f>IF(A97&lt;$F$11, 0, $E$11 * $G$11^((A97-$F$11)/12))</f>
        <v/>
      </c>
      <c r="L97" s="306">
        <f>IF(A97&lt;$F$12, 0, $E$12 * $G$12^((A97-$F$12)/12))</f>
        <v/>
      </c>
      <c r="M97" s="306">
        <f>IF(A97&lt;$F$13, 0, $E$13 * $G$13^((A97-$F$13)/12))</f>
        <v/>
      </c>
      <c r="N97" s="306">
        <f>IF(A97&lt;$F$14, 0, $E$14 * $G$14^((A97-$F$14)/12))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$E$6 * $G$6^((A98-$F$6)/12))</f>
        <v/>
      </c>
      <c r="G98" s="306">
        <f>IF(A98&lt;$F$7, 0, $E$7 * $G$7^((A98-$F$7)/12))</f>
        <v/>
      </c>
      <c r="H98" s="306">
        <f>IF(A98&lt;$F$8, 0, $E$8 * $G$8^((A98-$F$8)/12))</f>
        <v/>
      </c>
      <c r="I98" s="306">
        <f>IF(A98&lt;$F$9, 0, $E$9 * $G$9^((A98-$F$9)/12))</f>
        <v/>
      </c>
      <c r="J98" s="306">
        <f>IF(A98&lt;$F$10, 0, $E$10 * $G$10^((A98-$F$10)/12))</f>
        <v/>
      </c>
      <c r="K98" s="306">
        <f>IF(A98&lt;$F$11, 0, $E$11 * $G$11^((A98-$F$11)/12))</f>
        <v/>
      </c>
      <c r="L98" s="306">
        <f>IF(A98&lt;$F$12, 0, $E$12 * $G$12^((A98-$F$12)/12))</f>
        <v/>
      </c>
      <c r="M98" s="306">
        <f>IF(A98&lt;$F$13, 0, $E$13 * $G$13^((A98-$F$13)/12))</f>
        <v/>
      </c>
      <c r="N98" s="306">
        <f>IF(A98&lt;$F$14, 0, $E$14 * $G$14^((A98-$F$14)/12))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$E$6 * $G$6^((A99-$F$6)/12))</f>
        <v/>
      </c>
      <c r="G99" s="306">
        <f>IF(A99&lt;$F$7, 0, $E$7 * $G$7^((A99-$F$7)/12))</f>
        <v/>
      </c>
      <c r="H99" s="306">
        <f>IF(A99&lt;$F$8, 0, $E$8 * $G$8^((A99-$F$8)/12))</f>
        <v/>
      </c>
      <c r="I99" s="306">
        <f>IF(A99&lt;$F$9, 0, $E$9 * $G$9^((A99-$F$9)/12))</f>
        <v/>
      </c>
      <c r="J99" s="306">
        <f>IF(A99&lt;$F$10, 0, $E$10 * $G$10^((A99-$F$10)/12))</f>
        <v/>
      </c>
      <c r="K99" s="306">
        <f>IF(A99&lt;$F$11, 0, $E$11 * $G$11^((A99-$F$11)/12))</f>
        <v/>
      </c>
      <c r="L99" s="306">
        <f>IF(A99&lt;$F$12, 0, $E$12 * $G$12^((A99-$F$12)/12))</f>
        <v/>
      </c>
      <c r="M99" s="306">
        <f>IF(A99&lt;$F$13, 0, $E$13 * $G$13^((A99-$F$13)/12))</f>
        <v/>
      </c>
      <c r="N99" s="306">
        <f>IF(A99&lt;$F$14, 0, $E$14 * $G$14^((A99-$F$14)/12))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$E$6 * $G$6^((A100-$F$6)/12))</f>
        <v/>
      </c>
      <c r="G100" s="306">
        <f>IF(A100&lt;$F$7, 0, $E$7 * $G$7^((A100-$F$7)/12))</f>
        <v/>
      </c>
      <c r="H100" s="306">
        <f>IF(A100&lt;$F$8, 0, $E$8 * $G$8^((A100-$F$8)/12))</f>
        <v/>
      </c>
      <c r="I100" s="306">
        <f>IF(A100&lt;$F$9, 0, $E$9 * $G$9^((A100-$F$9)/12))</f>
        <v/>
      </c>
      <c r="J100" s="306">
        <f>IF(A100&lt;$F$10, 0, $E$10 * $G$10^((A100-$F$10)/12))</f>
        <v/>
      </c>
      <c r="K100" s="306">
        <f>IF(A100&lt;$F$11, 0, $E$11 * $G$11^((A100-$F$11)/12))</f>
        <v/>
      </c>
      <c r="L100" s="306">
        <f>IF(A100&lt;$F$12, 0, $E$12 * $G$12^((A100-$F$12)/12))</f>
        <v/>
      </c>
      <c r="M100" s="306">
        <f>IF(A100&lt;$F$13, 0, $E$13 * $G$13^((A100-$F$13)/12))</f>
        <v/>
      </c>
      <c r="N100" s="306">
        <f>IF(A100&lt;$F$14, 0, $E$14 * $G$14^((A100-$F$14)/12))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$E$6 * $G$6^((A101-$F$6)/12))</f>
        <v/>
      </c>
      <c r="G101" s="306">
        <f>IF(A101&lt;$F$7, 0, $E$7 * $G$7^((A101-$F$7)/12))</f>
        <v/>
      </c>
      <c r="H101" s="306">
        <f>IF(A101&lt;$F$8, 0, $E$8 * $G$8^((A101-$F$8)/12))</f>
        <v/>
      </c>
      <c r="I101" s="306">
        <f>IF(A101&lt;$F$9, 0, $E$9 * $G$9^((A101-$F$9)/12))</f>
        <v/>
      </c>
      <c r="J101" s="306">
        <f>IF(A101&lt;$F$10, 0, $E$10 * $G$10^((A101-$F$10)/12))</f>
        <v/>
      </c>
      <c r="K101" s="306">
        <f>IF(A101&lt;$F$11, 0, $E$11 * $G$11^((A101-$F$11)/12))</f>
        <v/>
      </c>
      <c r="L101" s="306">
        <f>IF(A101&lt;$F$12, 0, $E$12 * $G$12^((A101-$F$12)/12))</f>
        <v/>
      </c>
      <c r="M101" s="306">
        <f>IF(A101&lt;$F$13, 0, $E$13 * $G$13^((A101-$F$13)/12))</f>
        <v/>
      </c>
      <c r="N101" s="306">
        <f>IF(A101&lt;$F$14, 0, $E$14 * $G$14^((A101-$F$14)/12))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$E$6 * $G$6^((A102-$F$6)/12))</f>
        <v/>
      </c>
      <c r="G102" s="306">
        <f>IF(A102&lt;$F$7, 0, $E$7 * $G$7^((A102-$F$7)/12))</f>
        <v/>
      </c>
      <c r="H102" s="306">
        <f>IF(A102&lt;$F$8, 0, $E$8 * $G$8^((A102-$F$8)/12))</f>
        <v/>
      </c>
      <c r="I102" s="306">
        <f>IF(A102&lt;$F$9, 0, $E$9 * $G$9^((A102-$F$9)/12))</f>
        <v/>
      </c>
      <c r="J102" s="306">
        <f>IF(A102&lt;$F$10, 0, $E$10 * $G$10^((A102-$F$10)/12))</f>
        <v/>
      </c>
      <c r="K102" s="306">
        <f>IF(A102&lt;$F$11, 0, $E$11 * $G$11^((A102-$F$11)/12))</f>
        <v/>
      </c>
      <c r="L102" s="306">
        <f>IF(A102&lt;$F$12, 0, $E$12 * $G$12^((A102-$F$12)/12))</f>
        <v/>
      </c>
      <c r="M102" s="306">
        <f>IF(A102&lt;$F$13, 0, $E$13 * $G$13^((A102-$F$13)/12))</f>
        <v/>
      </c>
      <c r="N102" s="306">
        <f>IF(A102&lt;$F$14, 0, $E$14 * $G$14^((A102-$F$14)/12))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$E$6 * $G$6^((A103-$F$6)/12))</f>
        <v/>
      </c>
      <c r="G103" s="306">
        <f>IF(A103&lt;$F$7, 0, $E$7 * $G$7^((A103-$F$7)/12))</f>
        <v/>
      </c>
      <c r="H103" s="306">
        <f>IF(A103&lt;$F$8, 0, $E$8 * $G$8^((A103-$F$8)/12))</f>
        <v/>
      </c>
      <c r="I103" s="306">
        <f>IF(A103&lt;$F$9, 0, $E$9 * $G$9^((A103-$F$9)/12))</f>
        <v/>
      </c>
      <c r="J103" s="306">
        <f>IF(A103&lt;$F$10, 0, $E$10 * $G$10^((A103-$F$10)/12))</f>
        <v/>
      </c>
      <c r="K103" s="306">
        <f>IF(A103&lt;$F$11, 0, $E$11 * $G$11^((A103-$F$11)/12))</f>
        <v/>
      </c>
      <c r="L103" s="306">
        <f>IF(A103&lt;$F$12, 0, $E$12 * $G$12^((A103-$F$12)/12))</f>
        <v/>
      </c>
      <c r="M103" s="306">
        <f>IF(A103&lt;$F$13, 0, $E$13 * $G$13^((A103-$F$13)/12))</f>
        <v/>
      </c>
      <c r="N103" s="306">
        <f>IF(A103&lt;$F$14, 0, $E$14 * $G$14^((A103-$F$14)/12))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$E$6 * $G$6^((A104-$F$6)/12))</f>
        <v/>
      </c>
      <c r="G104" s="306">
        <f>IF(A104&lt;$F$7, 0, $E$7 * $G$7^((A104-$F$7)/12))</f>
        <v/>
      </c>
      <c r="H104" s="306">
        <f>IF(A104&lt;$F$8, 0, $E$8 * $G$8^((A104-$F$8)/12))</f>
        <v/>
      </c>
      <c r="I104" s="306">
        <f>IF(A104&lt;$F$9, 0, $E$9 * $G$9^((A104-$F$9)/12))</f>
        <v/>
      </c>
      <c r="J104" s="306">
        <f>IF(A104&lt;$F$10, 0, $E$10 * $G$10^((A104-$F$10)/12))</f>
        <v/>
      </c>
      <c r="K104" s="306">
        <f>IF(A104&lt;$F$11, 0, $E$11 * $G$11^((A104-$F$11)/12))</f>
        <v/>
      </c>
      <c r="L104" s="306">
        <f>IF(A104&lt;$F$12, 0, $E$12 * $G$12^((A104-$F$12)/12))</f>
        <v/>
      </c>
      <c r="M104" s="306">
        <f>IF(A104&lt;$F$13, 0, $E$13 * $G$13^((A104-$F$13)/12))</f>
        <v/>
      </c>
      <c r="N104" s="306">
        <f>IF(A104&lt;$F$14, 0, $E$14 * $G$14^((A104-$F$14)/12))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$E$6 * $G$6^((A105-$F$6)/12))</f>
        <v/>
      </c>
      <c r="G105" s="306">
        <f>IF(A105&lt;$F$7, 0, $E$7 * $G$7^((A105-$F$7)/12))</f>
        <v/>
      </c>
      <c r="H105" s="306">
        <f>IF(A105&lt;$F$8, 0, $E$8 * $G$8^((A105-$F$8)/12))</f>
        <v/>
      </c>
      <c r="I105" s="306">
        <f>IF(A105&lt;$F$9, 0, $E$9 * $G$9^((A105-$F$9)/12))</f>
        <v/>
      </c>
      <c r="J105" s="306">
        <f>IF(A105&lt;$F$10, 0, $E$10 * $G$10^((A105-$F$10)/12))</f>
        <v/>
      </c>
      <c r="K105" s="306">
        <f>IF(A105&lt;$F$11, 0, $E$11 * $G$11^((A105-$F$11)/12))</f>
        <v/>
      </c>
      <c r="L105" s="306">
        <f>IF(A105&lt;$F$12, 0, $E$12 * $G$12^((A105-$F$12)/12))</f>
        <v/>
      </c>
      <c r="M105" s="306">
        <f>IF(A105&lt;$F$13, 0, $E$13 * $G$13^((A105-$F$13)/12))</f>
        <v/>
      </c>
      <c r="N105" s="306">
        <f>IF(A105&lt;$F$14, 0, $E$14 * $G$14^((A105-$F$14)/12))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$E$6 * $G$6^((A106-$F$6)/12))</f>
        <v/>
      </c>
      <c r="G106" s="306">
        <f>IF(A106&lt;$F$7, 0, $E$7 * $G$7^((A106-$F$7)/12))</f>
        <v/>
      </c>
      <c r="H106" s="306">
        <f>IF(A106&lt;$F$8, 0, $E$8 * $G$8^((A106-$F$8)/12))</f>
        <v/>
      </c>
      <c r="I106" s="306">
        <f>IF(A106&lt;$F$9, 0, $E$9 * $G$9^((A106-$F$9)/12))</f>
        <v/>
      </c>
      <c r="J106" s="306">
        <f>IF(A106&lt;$F$10, 0, $E$10 * $G$10^((A106-$F$10)/12))</f>
        <v/>
      </c>
      <c r="K106" s="306">
        <f>IF(A106&lt;$F$11, 0, $E$11 * $G$11^((A106-$F$11)/12))</f>
        <v/>
      </c>
      <c r="L106" s="306">
        <f>IF(A106&lt;$F$12, 0, $E$12 * $G$12^((A106-$F$12)/12))</f>
        <v/>
      </c>
      <c r="M106" s="306">
        <f>IF(A106&lt;$F$13, 0, $E$13 * $G$13^((A106-$F$13)/12))</f>
        <v/>
      </c>
      <c r="N106" s="306">
        <f>IF(A106&lt;$F$14, 0, $E$14 * $G$14^((A106-$F$14)/12))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$E$6 * $G$6^((A107-$F$6)/12))</f>
        <v/>
      </c>
      <c r="G107" s="306">
        <f>IF(A107&lt;$F$7, 0, $E$7 * $G$7^((A107-$F$7)/12))</f>
        <v/>
      </c>
      <c r="H107" s="306">
        <f>IF(A107&lt;$F$8, 0, $E$8 * $G$8^((A107-$F$8)/12))</f>
        <v/>
      </c>
      <c r="I107" s="306">
        <f>IF(A107&lt;$F$9, 0, $E$9 * $G$9^((A107-$F$9)/12))</f>
        <v/>
      </c>
      <c r="J107" s="306">
        <f>IF(A107&lt;$F$10, 0, $E$10 * $G$10^((A107-$F$10)/12))</f>
        <v/>
      </c>
      <c r="K107" s="306">
        <f>IF(A107&lt;$F$11, 0, $E$11 * $G$11^((A107-$F$11)/12))</f>
        <v/>
      </c>
      <c r="L107" s="306">
        <f>IF(A107&lt;$F$12, 0, $E$12 * $G$12^((A107-$F$12)/12))</f>
        <v/>
      </c>
      <c r="M107" s="306">
        <f>IF(A107&lt;$F$13, 0, $E$13 * $G$13^((A107-$F$13)/12))</f>
        <v/>
      </c>
      <c r="N107" s="306">
        <f>IF(A107&lt;$F$14, 0, $E$14 * $G$14^((A107-$F$14)/12))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$E$6 * $G$6^((A108-$F$6)/12))</f>
        <v/>
      </c>
      <c r="G108" s="306">
        <f>IF(A108&lt;$F$7, 0, $E$7 * $G$7^((A108-$F$7)/12))</f>
        <v/>
      </c>
      <c r="H108" s="306">
        <f>IF(A108&lt;$F$8, 0, $E$8 * $G$8^((A108-$F$8)/12))</f>
        <v/>
      </c>
      <c r="I108" s="306">
        <f>IF(A108&lt;$F$9, 0, $E$9 * $G$9^((A108-$F$9)/12))</f>
        <v/>
      </c>
      <c r="J108" s="306">
        <f>IF(A108&lt;$F$10, 0, $E$10 * $G$10^((A108-$F$10)/12))</f>
        <v/>
      </c>
      <c r="K108" s="306">
        <f>IF(A108&lt;$F$11, 0, $E$11 * $G$11^((A108-$F$11)/12))</f>
        <v/>
      </c>
      <c r="L108" s="306">
        <f>IF(A108&lt;$F$12, 0, $E$12 * $G$12^((A108-$F$12)/12))</f>
        <v/>
      </c>
      <c r="M108" s="306">
        <f>IF(A108&lt;$F$13, 0, $E$13 * $G$13^((A108-$F$13)/12))</f>
        <v/>
      </c>
      <c r="N108" s="306">
        <f>IF(A108&lt;$F$14, 0, $E$14 * $G$14^((A108-$F$14)/12))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$E$6 * $G$6^((A109-$F$6)/12))</f>
        <v/>
      </c>
      <c r="G109" s="306">
        <f>IF(A109&lt;$F$7, 0, $E$7 * $G$7^((A109-$F$7)/12))</f>
        <v/>
      </c>
      <c r="H109" s="306">
        <f>IF(A109&lt;$F$8, 0, $E$8 * $G$8^((A109-$F$8)/12))</f>
        <v/>
      </c>
      <c r="I109" s="306">
        <f>IF(A109&lt;$F$9, 0, $E$9 * $G$9^((A109-$F$9)/12))</f>
        <v/>
      </c>
      <c r="J109" s="306">
        <f>IF(A109&lt;$F$10, 0, $E$10 * $G$10^((A109-$F$10)/12))</f>
        <v/>
      </c>
      <c r="K109" s="306">
        <f>IF(A109&lt;$F$11, 0, $E$11 * $G$11^((A109-$F$11)/12))</f>
        <v/>
      </c>
      <c r="L109" s="306">
        <f>IF(A109&lt;$F$12, 0, $E$12 * $G$12^((A109-$F$12)/12))</f>
        <v/>
      </c>
      <c r="M109" s="306">
        <f>IF(A109&lt;$F$13, 0, $E$13 * $G$13^((A109-$F$13)/12))</f>
        <v/>
      </c>
      <c r="N109" s="306">
        <f>IF(A109&lt;$F$14, 0, $E$14 * $G$14^((A109-$F$14)/12))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$E$6 * $G$6^((A110-$F$6)/12))</f>
        <v/>
      </c>
      <c r="G110" s="306">
        <f>IF(A110&lt;$F$7, 0, $E$7 * $G$7^((A110-$F$7)/12))</f>
        <v/>
      </c>
      <c r="H110" s="306">
        <f>IF(A110&lt;$F$8, 0, $E$8 * $G$8^((A110-$F$8)/12))</f>
        <v/>
      </c>
      <c r="I110" s="306">
        <f>IF(A110&lt;$F$9, 0, $E$9 * $G$9^((A110-$F$9)/12))</f>
        <v/>
      </c>
      <c r="J110" s="306">
        <f>IF(A110&lt;$F$10, 0, $E$10 * $G$10^((A110-$F$10)/12))</f>
        <v/>
      </c>
      <c r="K110" s="306">
        <f>IF(A110&lt;$F$11, 0, $E$11 * $G$11^((A110-$F$11)/12))</f>
        <v/>
      </c>
      <c r="L110" s="306">
        <f>IF(A110&lt;$F$12, 0, $E$12 * $G$12^((A110-$F$12)/12))</f>
        <v/>
      </c>
      <c r="M110" s="306">
        <f>IF(A110&lt;$F$13, 0, $E$13 * $G$13^((A110-$F$13)/12))</f>
        <v/>
      </c>
      <c r="N110" s="306">
        <f>IF(A110&lt;$F$14, 0, $E$14 * $G$14^((A110-$F$14)/12))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$E$6 * $G$6^((A111-$F$6)/12))</f>
        <v/>
      </c>
      <c r="G111" s="306">
        <f>IF(A111&lt;$F$7, 0, $E$7 * $G$7^((A111-$F$7)/12))</f>
        <v/>
      </c>
      <c r="H111" s="306">
        <f>IF(A111&lt;$F$8, 0, $E$8 * $G$8^((A111-$F$8)/12))</f>
        <v/>
      </c>
      <c r="I111" s="306">
        <f>IF(A111&lt;$F$9, 0, $E$9 * $G$9^((A111-$F$9)/12))</f>
        <v/>
      </c>
      <c r="J111" s="306">
        <f>IF(A111&lt;$F$10, 0, $E$10 * $G$10^((A111-$F$10)/12))</f>
        <v/>
      </c>
      <c r="K111" s="306">
        <f>IF(A111&lt;$F$11, 0, $E$11 * $G$11^((A111-$F$11)/12))</f>
        <v/>
      </c>
      <c r="L111" s="306">
        <f>IF(A111&lt;$F$12, 0, $E$12 * $G$12^((A111-$F$12)/12))</f>
        <v/>
      </c>
      <c r="M111" s="306">
        <f>IF(A111&lt;$F$13, 0, $E$13 * $G$13^((A111-$F$13)/12))</f>
        <v/>
      </c>
      <c r="N111" s="306">
        <f>IF(A111&lt;$F$14, 0, $E$14 * $G$14^((A111-$F$14)/12))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$E$6 * $G$6^((A112-$F$6)/12))</f>
        <v/>
      </c>
      <c r="G112" s="306">
        <f>IF(A112&lt;$F$7, 0, $E$7 * $G$7^((A112-$F$7)/12))</f>
        <v/>
      </c>
      <c r="H112" s="306">
        <f>IF(A112&lt;$F$8, 0, $E$8 * $G$8^((A112-$F$8)/12))</f>
        <v/>
      </c>
      <c r="I112" s="306">
        <f>IF(A112&lt;$F$9, 0, $E$9 * $G$9^((A112-$F$9)/12))</f>
        <v/>
      </c>
      <c r="J112" s="306">
        <f>IF(A112&lt;$F$10, 0, $E$10 * $G$10^((A112-$F$10)/12))</f>
        <v/>
      </c>
      <c r="K112" s="306">
        <f>IF(A112&lt;$F$11, 0, $E$11 * $G$11^((A112-$F$11)/12))</f>
        <v/>
      </c>
      <c r="L112" s="306">
        <f>IF(A112&lt;$F$12, 0, $E$12 * $G$12^((A112-$F$12)/12))</f>
        <v/>
      </c>
      <c r="M112" s="306">
        <f>IF(A112&lt;$F$13, 0, $E$13 * $G$13^((A112-$F$13)/12))</f>
        <v/>
      </c>
      <c r="N112" s="306">
        <f>IF(A112&lt;$F$14, 0, $E$14 * $G$14^((A112-$F$14)/12))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$E$6 * $G$6^((A113-$F$6)/12))</f>
        <v/>
      </c>
      <c r="G113" s="306">
        <f>IF(A113&lt;$F$7, 0, $E$7 * $G$7^((A113-$F$7)/12))</f>
        <v/>
      </c>
      <c r="H113" s="306">
        <f>IF(A113&lt;$F$8, 0, $E$8 * $G$8^((A113-$F$8)/12))</f>
        <v/>
      </c>
      <c r="I113" s="306">
        <f>IF(A113&lt;$F$9, 0, $E$9 * $G$9^((A113-$F$9)/12))</f>
        <v/>
      </c>
      <c r="J113" s="306">
        <f>IF(A113&lt;$F$10, 0, $E$10 * $G$10^((A113-$F$10)/12))</f>
        <v/>
      </c>
      <c r="K113" s="306">
        <f>IF(A113&lt;$F$11, 0, $E$11 * $G$11^((A113-$F$11)/12))</f>
        <v/>
      </c>
      <c r="L113" s="306">
        <f>IF(A113&lt;$F$12, 0, $E$12 * $G$12^((A113-$F$12)/12))</f>
        <v/>
      </c>
      <c r="M113" s="306">
        <f>IF(A113&lt;$F$13, 0, $E$13 * $G$13^((A113-$F$13)/12))</f>
        <v/>
      </c>
      <c r="N113" s="306">
        <f>IF(A113&lt;$F$14, 0, $E$14 * $G$14^((A113-$F$14)/12))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$E$6 * $G$6^((A114-$F$6)/12))</f>
        <v/>
      </c>
      <c r="G114" s="306">
        <f>IF(A114&lt;$F$7, 0, $E$7 * $G$7^((A114-$F$7)/12))</f>
        <v/>
      </c>
      <c r="H114" s="306">
        <f>IF(A114&lt;$F$8, 0, $E$8 * $G$8^((A114-$F$8)/12))</f>
        <v/>
      </c>
      <c r="I114" s="306">
        <f>IF(A114&lt;$F$9, 0, $E$9 * $G$9^((A114-$F$9)/12))</f>
        <v/>
      </c>
      <c r="J114" s="306">
        <f>IF(A114&lt;$F$10, 0, $E$10 * $G$10^((A114-$F$10)/12))</f>
        <v/>
      </c>
      <c r="K114" s="306">
        <f>IF(A114&lt;$F$11, 0, $E$11 * $G$11^((A114-$F$11)/12))</f>
        <v/>
      </c>
      <c r="L114" s="306">
        <f>IF(A114&lt;$F$12, 0, $E$12 * $G$12^((A114-$F$12)/12))</f>
        <v/>
      </c>
      <c r="M114" s="306">
        <f>IF(A114&lt;$F$13, 0, $E$13 * $G$13^((A114-$F$13)/12))</f>
        <v/>
      </c>
      <c r="N114" s="306">
        <f>IF(A114&lt;$F$14, 0, $E$14 * $G$14^((A114-$F$14)/12))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$E$6 * $G$6^((A115-$F$6)/12))</f>
        <v/>
      </c>
      <c r="G115" s="306">
        <f>IF(A115&lt;$F$7, 0, $E$7 * $G$7^((A115-$F$7)/12))</f>
        <v/>
      </c>
      <c r="H115" s="306">
        <f>IF(A115&lt;$F$8, 0, $E$8 * $G$8^((A115-$F$8)/12))</f>
        <v/>
      </c>
      <c r="I115" s="306">
        <f>IF(A115&lt;$F$9, 0, $E$9 * $G$9^((A115-$F$9)/12))</f>
        <v/>
      </c>
      <c r="J115" s="306">
        <f>IF(A115&lt;$F$10, 0, $E$10 * $G$10^((A115-$F$10)/12))</f>
        <v/>
      </c>
      <c r="K115" s="306">
        <f>IF(A115&lt;$F$11, 0, $E$11 * $G$11^((A115-$F$11)/12))</f>
        <v/>
      </c>
      <c r="L115" s="306">
        <f>IF(A115&lt;$F$12, 0, $E$12 * $G$12^((A115-$F$12)/12))</f>
        <v/>
      </c>
      <c r="M115" s="306">
        <f>IF(A115&lt;$F$13, 0, $E$13 * $G$13^((A115-$F$13)/12))</f>
        <v/>
      </c>
      <c r="N115" s="306">
        <f>IF(A115&lt;$F$14, 0, $E$14 * $G$14^((A115-$F$14)/12))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$E$6 * $G$6^((A116-$F$6)/12))</f>
        <v/>
      </c>
      <c r="G116" s="306">
        <f>IF(A116&lt;$F$7, 0, $E$7 * $G$7^((A116-$F$7)/12))</f>
        <v/>
      </c>
      <c r="H116" s="306">
        <f>IF(A116&lt;$F$8, 0, $E$8 * $G$8^((A116-$F$8)/12))</f>
        <v/>
      </c>
      <c r="I116" s="306">
        <f>IF(A116&lt;$F$9, 0, $E$9 * $G$9^((A116-$F$9)/12))</f>
        <v/>
      </c>
      <c r="J116" s="306">
        <f>IF(A116&lt;$F$10, 0, $E$10 * $G$10^((A116-$F$10)/12))</f>
        <v/>
      </c>
      <c r="K116" s="306">
        <f>IF(A116&lt;$F$11, 0, $E$11 * $G$11^((A116-$F$11)/12))</f>
        <v/>
      </c>
      <c r="L116" s="306">
        <f>IF(A116&lt;$F$12, 0, $E$12 * $G$12^((A116-$F$12)/12))</f>
        <v/>
      </c>
      <c r="M116" s="306">
        <f>IF(A116&lt;$F$13, 0, $E$13 * $G$13^((A116-$F$13)/12))</f>
        <v/>
      </c>
      <c r="N116" s="306">
        <f>IF(A116&lt;$F$14, 0, $E$14 * $G$14^((A116-$F$14)/12))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$E$6 * $G$6^((A117-$F$6)/12))</f>
        <v/>
      </c>
      <c r="G117" s="306">
        <f>IF(A117&lt;$F$7, 0, $E$7 * $G$7^((A117-$F$7)/12))</f>
        <v/>
      </c>
      <c r="H117" s="306">
        <f>IF(A117&lt;$F$8, 0, $E$8 * $G$8^((A117-$F$8)/12))</f>
        <v/>
      </c>
      <c r="I117" s="306">
        <f>IF(A117&lt;$F$9, 0, $E$9 * $G$9^((A117-$F$9)/12))</f>
        <v/>
      </c>
      <c r="J117" s="306">
        <f>IF(A117&lt;$F$10, 0, $E$10 * $G$10^((A117-$F$10)/12))</f>
        <v/>
      </c>
      <c r="K117" s="306">
        <f>IF(A117&lt;$F$11, 0, $E$11 * $G$11^((A117-$F$11)/12))</f>
        <v/>
      </c>
      <c r="L117" s="306">
        <f>IF(A117&lt;$F$12, 0, $E$12 * $G$12^((A117-$F$12)/12))</f>
        <v/>
      </c>
      <c r="M117" s="306">
        <f>IF(A117&lt;$F$13, 0, $E$13 * $G$13^((A117-$F$13)/12))</f>
        <v/>
      </c>
      <c r="N117" s="306">
        <f>IF(A117&lt;$F$14, 0, $E$14 * $G$14^((A117-$F$14)/12))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$E$6 * $G$6^((A118-$F$6)/12))</f>
        <v/>
      </c>
      <c r="G118" s="306">
        <f>IF(A118&lt;$F$7, 0, $E$7 * $G$7^((A118-$F$7)/12))</f>
        <v/>
      </c>
      <c r="H118" s="306">
        <f>IF(A118&lt;$F$8, 0, $E$8 * $G$8^((A118-$F$8)/12))</f>
        <v/>
      </c>
      <c r="I118" s="306">
        <f>IF(A118&lt;$F$9, 0, $E$9 * $G$9^((A118-$F$9)/12))</f>
        <v/>
      </c>
      <c r="J118" s="306">
        <f>IF(A118&lt;$F$10, 0, $E$10 * $G$10^((A118-$F$10)/12))</f>
        <v/>
      </c>
      <c r="K118" s="306">
        <f>IF(A118&lt;$F$11, 0, $E$11 * $G$11^((A118-$F$11)/12))</f>
        <v/>
      </c>
      <c r="L118" s="306">
        <f>IF(A118&lt;$F$12, 0, $E$12 * $G$12^((A118-$F$12)/12))</f>
        <v/>
      </c>
      <c r="M118" s="306">
        <f>IF(A118&lt;$F$13, 0, $E$13 * $G$13^((A118-$F$13)/12))</f>
        <v/>
      </c>
      <c r="N118" s="306">
        <f>IF(A118&lt;$F$14, 0, $E$14 * $G$14^((A118-$F$14)/12))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$E$6 * $G$6^((A119-$F$6)/12))</f>
        <v/>
      </c>
      <c r="G119" s="306">
        <f>IF(A119&lt;$F$7, 0, $E$7 * $G$7^((A119-$F$7)/12))</f>
        <v/>
      </c>
      <c r="H119" s="306">
        <f>IF(A119&lt;$F$8, 0, $E$8 * $G$8^((A119-$F$8)/12))</f>
        <v/>
      </c>
      <c r="I119" s="306">
        <f>IF(A119&lt;$F$9, 0, $E$9 * $G$9^((A119-$F$9)/12))</f>
        <v/>
      </c>
      <c r="J119" s="306">
        <f>IF(A119&lt;$F$10, 0, $E$10 * $G$10^((A119-$F$10)/12))</f>
        <v/>
      </c>
      <c r="K119" s="306">
        <f>IF(A119&lt;$F$11, 0, $E$11 * $G$11^((A119-$F$11)/12))</f>
        <v/>
      </c>
      <c r="L119" s="306">
        <f>IF(A119&lt;$F$12, 0, $E$12 * $G$12^((A119-$F$12)/12))</f>
        <v/>
      </c>
      <c r="M119" s="306">
        <f>IF(A119&lt;$F$13, 0, $E$13 * $G$13^((A119-$F$13)/12))</f>
        <v/>
      </c>
      <c r="N119" s="306">
        <f>IF(A119&lt;$F$14, 0, $E$14 * $G$14^((A119-$F$14)/12))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$E$6 * $G$6^((A120-$F$6)/12))</f>
        <v/>
      </c>
      <c r="G120" s="306">
        <f>IF(A120&lt;$F$7, 0, $E$7 * $G$7^((A120-$F$7)/12))</f>
        <v/>
      </c>
      <c r="H120" s="306">
        <f>IF(A120&lt;$F$8, 0, $E$8 * $G$8^((A120-$F$8)/12))</f>
        <v/>
      </c>
      <c r="I120" s="306">
        <f>IF(A120&lt;$F$9, 0, $E$9 * $G$9^((A120-$F$9)/12))</f>
        <v/>
      </c>
      <c r="J120" s="306">
        <f>IF(A120&lt;$F$10, 0, $E$10 * $G$10^((A120-$F$10)/12))</f>
        <v/>
      </c>
      <c r="K120" s="306">
        <f>IF(A120&lt;$F$11, 0, $E$11 * $G$11^((A120-$F$11)/12))</f>
        <v/>
      </c>
      <c r="L120" s="306">
        <f>IF(A120&lt;$F$12, 0, $E$12 * $G$12^((A120-$F$12)/12))</f>
        <v/>
      </c>
      <c r="M120" s="306">
        <f>IF(A120&lt;$F$13, 0, $E$13 * $G$13^((A120-$F$13)/12))</f>
        <v/>
      </c>
      <c r="N120" s="306">
        <f>IF(A120&lt;$F$14, 0, $E$14 * $G$14^((A120-$F$14)/12))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$E$6 * $G$6^((A121-$F$6)/12))</f>
        <v/>
      </c>
      <c r="G121" s="306">
        <f>IF(A121&lt;$F$7, 0, $E$7 * $G$7^((A121-$F$7)/12))</f>
        <v/>
      </c>
      <c r="H121" s="306">
        <f>IF(A121&lt;$F$8, 0, $E$8 * $G$8^((A121-$F$8)/12))</f>
        <v/>
      </c>
      <c r="I121" s="306">
        <f>IF(A121&lt;$F$9, 0, $E$9 * $G$9^((A121-$F$9)/12))</f>
        <v/>
      </c>
      <c r="J121" s="306">
        <f>IF(A121&lt;$F$10, 0, $E$10 * $G$10^((A121-$F$10)/12))</f>
        <v/>
      </c>
      <c r="K121" s="306">
        <f>IF(A121&lt;$F$11, 0, $E$11 * $G$11^((A121-$F$11)/12))</f>
        <v/>
      </c>
      <c r="L121" s="306">
        <f>IF(A121&lt;$F$12, 0, $E$12 * $G$12^((A121-$F$12)/12))</f>
        <v/>
      </c>
      <c r="M121" s="306">
        <f>IF(A121&lt;$F$13, 0, $E$13 * $G$13^((A121-$F$13)/12))</f>
        <v/>
      </c>
      <c r="N121" s="306">
        <f>IF(A121&lt;$F$14, 0, $E$14 * $G$14^((A121-$F$14)/12))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$E$6 * $G$6^((A122-$F$6)/12))</f>
        <v/>
      </c>
      <c r="G122" s="306">
        <f>IF(A122&lt;$F$7, 0, $E$7 * $G$7^((A122-$F$7)/12))</f>
        <v/>
      </c>
      <c r="H122" s="306">
        <f>IF(A122&lt;$F$8, 0, $E$8 * $G$8^((A122-$F$8)/12))</f>
        <v/>
      </c>
      <c r="I122" s="306">
        <f>IF(A122&lt;$F$9, 0, $E$9 * $G$9^((A122-$F$9)/12))</f>
        <v/>
      </c>
      <c r="J122" s="306">
        <f>IF(A122&lt;$F$10, 0, $E$10 * $G$10^((A122-$F$10)/12))</f>
        <v/>
      </c>
      <c r="K122" s="306">
        <f>IF(A122&lt;$F$11, 0, $E$11 * $G$11^((A122-$F$11)/12))</f>
        <v/>
      </c>
      <c r="L122" s="306">
        <f>IF(A122&lt;$F$12, 0, $E$12 * $G$12^((A122-$F$12)/12))</f>
        <v/>
      </c>
      <c r="M122" s="306">
        <f>IF(A122&lt;$F$13, 0, $E$13 * $G$13^((A122-$F$13)/12))</f>
        <v/>
      </c>
      <c r="N122" s="306">
        <f>IF(A122&lt;$F$14, 0, $E$14 * $G$14^((A122-$F$14)/12))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$E$6 * $G$6^((A123-$F$6)/12))</f>
        <v/>
      </c>
      <c r="G123" s="306">
        <f>IF(A123&lt;$F$7, 0, $E$7 * $G$7^((A123-$F$7)/12))</f>
        <v/>
      </c>
      <c r="H123" s="306">
        <f>IF(A123&lt;$F$8, 0, $E$8 * $G$8^((A123-$F$8)/12))</f>
        <v/>
      </c>
      <c r="I123" s="306">
        <f>IF(A123&lt;$F$9, 0, $E$9 * $G$9^((A123-$F$9)/12))</f>
        <v/>
      </c>
      <c r="J123" s="306">
        <f>IF(A123&lt;$F$10, 0, $E$10 * $G$10^((A123-$F$10)/12))</f>
        <v/>
      </c>
      <c r="K123" s="306">
        <f>IF(A123&lt;$F$11, 0, $E$11 * $G$11^((A123-$F$11)/12))</f>
        <v/>
      </c>
      <c r="L123" s="306">
        <f>IF(A123&lt;$F$12, 0, $E$12 * $G$12^((A123-$F$12)/12))</f>
        <v/>
      </c>
      <c r="M123" s="306">
        <f>IF(A123&lt;$F$13, 0, $E$13 * $G$13^((A123-$F$13)/12))</f>
        <v/>
      </c>
      <c r="N123" s="306">
        <f>IF(A123&lt;$F$14, 0, $E$14 * $G$14^((A123-$F$14)/12))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$E$6 * $G$6^((A124-$F$6)/12))</f>
        <v/>
      </c>
      <c r="G124" s="306">
        <f>IF(A124&lt;$F$7, 0, $E$7 * $G$7^((A124-$F$7)/12))</f>
        <v/>
      </c>
      <c r="H124" s="306">
        <f>IF(A124&lt;$F$8, 0, $E$8 * $G$8^((A124-$F$8)/12))</f>
        <v/>
      </c>
      <c r="I124" s="306">
        <f>IF(A124&lt;$F$9, 0, $E$9 * $G$9^((A124-$F$9)/12))</f>
        <v/>
      </c>
      <c r="J124" s="306">
        <f>IF(A124&lt;$F$10, 0, $E$10 * $G$10^((A124-$F$10)/12))</f>
        <v/>
      </c>
      <c r="K124" s="306">
        <f>IF(A124&lt;$F$11, 0, $E$11 * $G$11^((A124-$F$11)/12))</f>
        <v/>
      </c>
      <c r="L124" s="306">
        <f>IF(A124&lt;$F$12, 0, $E$12 * $G$12^((A124-$F$12)/12))</f>
        <v/>
      </c>
      <c r="M124" s="306">
        <f>IF(A124&lt;$F$13, 0, $E$13 * $G$13^((A124-$F$13)/12))</f>
        <v/>
      </c>
      <c r="N124" s="306">
        <f>IF(A124&lt;$F$14, 0, $E$14 * $G$14^((A124-$F$14)/12))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$E$6 * $G$6^((A125-$F$6)/12))</f>
        <v/>
      </c>
      <c r="G125" s="306">
        <f>IF(A125&lt;$F$7, 0, $E$7 * $G$7^((A125-$F$7)/12))</f>
        <v/>
      </c>
      <c r="H125" s="306">
        <f>IF(A125&lt;$F$8, 0, $E$8 * $G$8^((A125-$F$8)/12))</f>
        <v/>
      </c>
      <c r="I125" s="306">
        <f>IF(A125&lt;$F$9, 0, $E$9 * $G$9^((A125-$F$9)/12))</f>
        <v/>
      </c>
      <c r="J125" s="306">
        <f>IF(A125&lt;$F$10, 0, $E$10 * $G$10^((A125-$F$10)/12))</f>
        <v/>
      </c>
      <c r="K125" s="306">
        <f>IF(A125&lt;$F$11, 0, $E$11 * $G$11^((A125-$F$11)/12))</f>
        <v/>
      </c>
      <c r="L125" s="306">
        <f>IF(A125&lt;$F$12, 0, $E$12 * $G$12^((A125-$F$12)/12))</f>
        <v/>
      </c>
      <c r="M125" s="306">
        <f>IF(A125&lt;$F$13, 0, $E$13 * $G$13^((A125-$F$13)/12))</f>
        <v/>
      </c>
      <c r="N125" s="306">
        <f>IF(A125&lt;$F$14, 0, $E$14 * $G$14^((A125-$F$14)/12))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$E$6 * $G$6^((A126-$F$6)/12))</f>
        <v/>
      </c>
      <c r="G126" s="306">
        <f>IF(A126&lt;$F$7, 0, $E$7 * $G$7^((A126-$F$7)/12))</f>
        <v/>
      </c>
      <c r="H126" s="306">
        <f>IF(A126&lt;$F$8, 0, $E$8 * $G$8^((A126-$F$8)/12))</f>
        <v/>
      </c>
      <c r="I126" s="306">
        <f>IF(A126&lt;$F$9, 0, $E$9 * $G$9^((A126-$F$9)/12))</f>
        <v/>
      </c>
      <c r="J126" s="306">
        <f>IF(A126&lt;$F$10, 0, $E$10 * $G$10^((A126-$F$10)/12))</f>
        <v/>
      </c>
      <c r="K126" s="306">
        <f>IF(A126&lt;$F$11, 0, $E$11 * $G$11^((A126-$F$11)/12))</f>
        <v/>
      </c>
      <c r="L126" s="306">
        <f>IF(A126&lt;$F$12, 0, $E$12 * $G$12^((A126-$F$12)/12))</f>
        <v/>
      </c>
      <c r="M126" s="306">
        <f>IF(A126&lt;$F$13, 0, $E$13 * $G$13^((A126-$F$13)/12))</f>
        <v/>
      </c>
      <c r="N126" s="306">
        <f>IF(A126&lt;$F$14, 0, $E$14 * $G$14^((A126-$F$14)/12))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$E$6 * $G$6^((A127-$F$6)/12))</f>
        <v/>
      </c>
      <c r="G127" s="306">
        <f>IF(A127&lt;$F$7, 0, $E$7 * $G$7^((A127-$F$7)/12))</f>
        <v/>
      </c>
      <c r="H127" s="306">
        <f>IF(A127&lt;$F$8, 0, $E$8 * $G$8^((A127-$F$8)/12))</f>
        <v/>
      </c>
      <c r="I127" s="306">
        <f>IF(A127&lt;$F$9, 0, $E$9 * $G$9^((A127-$F$9)/12))</f>
        <v/>
      </c>
      <c r="J127" s="306">
        <f>IF(A127&lt;$F$10, 0, $E$10 * $G$10^((A127-$F$10)/12))</f>
        <v/>
      </c>
      <c r="K127" s="306">
        <f>IF(A127&lt;$F$11, 0, $E$11 * $G$11^((A127-$F$11)/12))</f>
        <v/>
      </c>
      <c r="L127" s="306">
        <f>IF(A127&lt;$F$12, 0, $E$12 * $G$12^((A127-$F$12)/12))</f>
        <v/>
      </c>
      <c r="M127" s="306">
        <f>IF(A127&lt;$F$13, 0, $E$13 * $G$13^((A127-$F$13)/12))</f>
        <v/>
      </c>
      <c r="N127" s="306">
        <f>IF(A127&lt;$F$14, 0, $E$14 * $G$14^((A127-$F$14)/12))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$E$6 * $G$6^((A128-$F$6)/12))</f>
        <v/>
      </c>
      <c r="G128" s="306">
        <f>IF(A128&lt;$F$7, 0, $E$7 * $G$7^((A128-$F$7)/12))</f>
        <v/>
      </c>
      <c r="H128" s="306">
        <f>IF(A128&lt;$F$8, 0, $E$8 * $G$8^((A128-$F$8)/12))</f>
        <v/>
      </c>
      <c r="I128" s="306">
        <f>IF(A128&lt;$F$9, 0, $E$9 * $G$9^((A128-$F$9)/12))</f>
        <v/>
      </c>
      <c r="J128" s="306">
        <f>IF(A128&lt;$F$10, 0, $E$10 * $G$10^((A128-$F$10)/12))</f>
        <v/>
      </c>
      <c r="K128" s="306">
        <f>IF(A128&lt;$F$11, 0, $E$11 * $G$11^((A128-$F$11)/12))</f>
        <v/>
      </c>
      <c r="L128" s="306">
        <f>IF(A128&lt;$F$12, 0, $E$12 * $G$12^((A128-$F$12)/12))</f>
        <v/>
      </c>
      <c r="M128" s="306">
        <f>IF(A128&lt;$F$13, 0, $E$13 * $G$13^((A128-$F$13)/12))</f>
        <v/>
      </c>
      <c r="N128" s="306">
        <f>IF(A128&lt;$F$14, 0, $E$14 * $G$14^((A128-$F$14)/12))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$E$6 * $G$6^((A129-$F$6)/12))</f>
        <v/>
      </c>
      <c r="G129" s="306">
        <f>IF(A129&lt;$F$7, 0, $E$7 * $G$7^((A129-$F$7)/12))</f>
        <v/>
      </c>
      <c r="H129" s="306">
        <f>IF(A129&lt;$F$8, 0, $E$8 * $G$8^((A129-$F$8)/12))</f>
        <v/>
      </c>
      <c r="I129" s="306">
        <f>IF(A129&lt;$F$9, 0, $E$9 * $G$9^((A129-$F$9)/12))</f>
        <v/>
      </c>
      <c r="J129" s="306">
        <f>IF(A129&lt;$F$10, 0, $E$10 * $G$10^((A129-$F$10)/12))</f>
        <v/>
      </c>
      <c r="K129" s="306">
        <f>IF(A129&lt;$F$11, 0, $E$11 * $G$11^((A129-$F$11)/12))</f>
        <v/>
      </c>
      <c r="L129" s="306">
        <f>IF(A129&lt;$F$12, 0, $E$12 * $G$12^((A129-$F$12)/12))</f>
        <v/>
      </c>
      <c r="M129" s="306">
        <f>IF(A129&lt;$F$13, 0, $E$13 * $G$13^((A129-$F$13)/12))</f>
        <v/>
      </c>
      <c r="N129" s="306">
        <f>IF(A129&lt;$F$14, 0, $E$14 * $G$14^((A129-$F$14)/12))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$E$6 * $G$6^((A130-$F$6)/12))</f>
        <v/>
      </c>
      <c r="G130" s="306">
        <f>IF(A130&lt;$F$7, 0, $E$7 * $G$7^((A130-$F$7)/12))</f>
        <v/>
      </c>
      <c r="H130" s="306">
        <f>IF(A130&lt;$F$8, 0, $E$8 * $G$8^((A130-$F$8)/12))</f>
        <v/>
      </c>
      <c r="I130" s="306">
        <f>IF(A130&lt;$F$9, 0, $E$9 * $G$9^((A130-$F$9)/12))</f>
        <v/>
      </c>
      <c r="J130" s="306">
        <f>IF(A130&lt;$F$10, 0, $E$10 * $G$10^((A130-$F$10)/12))</f>
        <v/>
      </c>
      <c r="K130" s="306">
        <f>IF(A130&lt;$F$11, 0, $E$11 * $G$11^((A130-$F$11)/12))</f>
        <v/>
      </c>
      <c r="L130" s="306">
        <f>IF(A130&lt;$F$12, 0, $E$12 * $G$12^((A130-$F$12)/12))</f>
        <v/>
      </c>
      <c r="M130" s="306">
        <f>IF(A130&lt;$F$13, 0, $E$13 * $G$13^((A130-$F$13)/12))</f>
        <v/>
      </c>
      <c r="N130" s="306">
        <f>IF(A130&lt;$F$14, 0, $E$14 * $G$14^((A130-$F$14)/12))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$E$6 * $G$6^((A131-$F$6)/12))</f>
        <v/>
      </c>
      <c r="G131" s="306">
        <f>IF(A131&lt;$F$7, 0, $E$7 * $G$7^((A131-$F$7)/12))</f>
        <v/>
      </c>
      <c r="H131" s="306">
        <f>IF(A131&lt;$F$8, 0, $E$8 * $G$8^((A131-$F$8)/12))</f>
        <v/>
      </c>
      <c r="I131" s="306">
        <f>IF(A131&lt;$F$9, 0, $E$9 * $G$9^((A131-$F$9)/12))</f>
        <v/>
      </c>
      <c r="J131" s="306">
        <f>IF(A131&lt;$F$10, 0, $E$10 * $G$10^((A131-$F$10)/12))</f>
        <v/>
      </c>
      <c r="K131" s="306">
        <f>IF(A131&lt;$F$11, 0, $E$11 * $G$11^((A131-$F$11)/12))</f>
        <v/>
      </c>
      <c r="L131" s="306">
        <f>IF(A131&lt;$F$12, 0, $E$12 * $G$12^((A131-$F$12)/12))</f>
        <v/>
      </c>
      <c r="M131" s="306">
        <f>IF(A131&lt;$F$13, 0, $E$13 * $G$13^((A131-$F$13)/12))</f>
        <v/>
      </c>
      <c r="N131" s="306">
        <f>IF(A131&lt;$F$14, 0, $E$14 * $G$14^((A131-$F$14)/12))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$E$6 * $G$6^((A132-$F$6)/12))</f>
        <v/>
      </c>
      <c r="G132" s="306">
        <f>IF(A132&lt;$F$7, 0, $E$7 * $G$7^((A132-$F$7)/12))</f>
        <v/>
      </c>
      <c r="H132" s="306">
        <f>IF(A132&lt;$F$8, 0, $E$8 * $G$8^((A132-$F$8)/12))</f>
        <v/>
      </c>
      <c r="I132" s="306">
        <f>IF(A132&lt;$F$9, 0, $E$9 * $G$9^((A132-$F$9)/12))</f>
        <v/>
      </c>
      <c r="J132" s="306">
        <f>IF(A132&lt;$F$10, 0, $E$10 * $G$10^((A132-$F$10)/12))</f>
        <v/>
      </c>
      <c r="K132" s="306">
        <f>IF(A132&lt;$F$11, 0, $E$11 * $G$11^((A132-$F$11)/12))</f>
        <v/>
      </c>
      <c r="L132" s="306">
        <f>IF(A132&lt;$F$12, 0, $E$12 * $G$12^((A132-$F$12)/12))</f>
        <v/>
      </c>
      <c r="M132" s="306">
        <f>IF(A132&lt;$F$13, 0, $E$13 * $G$13^((A132-$F$13)/12))</f>
        <v/>
      </c>
      <c r="N132" s="306">
        <f>IF(A132&lt;$F$14, 0, $E$14 * $G$14^((A132-$F$14)/12))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$E$6 * $G$6^((A133-$F$6)/12))</f>
        <v/>
      </c>
      <c r="G133" s="306">
        <f>IF(A133&lt;$F$7, 0, $E$7 * $G$7^((A133-$F$7)/12))</f>
        <v/>
      </c>
      <c r="H133" s="306">
        <f>IF(A133&lt;$F$8, 0, $E$8 * $G$8^((A133-$F$8)/12))</f>
        <v/>
      </c>
      <c r="I133" s="306">
        <f>IF(A133&lt;$F$9, 0, $E$9 * $G$9^((A133-$F$9)/12))</f>
        <v/>
      </c>
      <c r="J133" s="306">
        <f>IF(A133&lt;$F$10, 0, $E$10 * $G$10^((A133-$F$10)/12))</f>
        <v/>
      </c>
      <c r="K133" s="306">
        <f>IF(A133&lt;$F$11, 0, $E$11 * $G$11^((A133-$F$11)/12))</f>
        <v/>
      </c>
      <c r="L133" s="306">
        <f>IF(A133&lt;$F$12, 0, $E$12 * $G$12^((A133-$F$12)/12))</f>
        <v/>
      </c>
      <c r="M133" s="306">
        <f>IF(A133&lt;$F$13, 0, $E$13 * $G$13^((A133-$F$13)/12))</f>
        <v/>
      </c>
      <c r="N133" s="306">
        <f>IF(A133&lt;$F$14, 0, $E$14 * $G$14^((A133-$F$14)/12))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$E$6 * $G$6^((A134-$F$6)/12))</f>
        <v/>
      </c>
      <c r="G134" s="306">
        <f>IF(A134&lt;$F$7, 0, $E$7 * $G$7^((A134-$F$7)/12))</f>
        <v/>
      </c>
      <c r="H134" s="306">
        <f>IF(A134&lt;$F$8, 0, $E$8 * $G$8^((A134-$F$8)/12))</f>
        <v/>
      </c>
      <c r="I134" s="306">
        <f>IF(A134&lt;$F$9, 0, $E$9 * $G$9^((A134-$F$9)/12))</f>
        <v/>
      </c>
      <c r="J134" s="306">
        <f>IF(A134&lt;$F$10, 0, $E$10 * $G$10^((A134-$F$10)/12))</f>
        <v/>
      </c>
      <c r="K134" s="306">
        <f>IF(A134&lt;$F$11, 0, $E$11 * $G$11^((A134-$F$11)/12))</f>
        <v/>
      </c>
      <c r="L134" s="306">
        <f>IF(A134&lt;$F$12, 0, $E$12 * $G$12^((A134-$F$12)/12))</f>
        <v/>
      </c>
      <c r="M134" s="306">
        <f>IF(A134&lt;$F$13, 0, $E$13 * $G$13^((A134-$F$13)/12))</f>
        <v/>
      </c>
      <c r="N134" s="306">
        <f>IF(A134&lt;$F$14, 0, $E$14 * $G$14^((A134-$F$14)/12))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$E$6 * $G$6^((A135-$F$6)/12))</f>
        <v/>
      </c>
      <c r="G135" s="306">
        <f>IF(A135&lt;$F$7, 0, $E$7 * $G$7^((A135-$F$7)/12))</f>
        <v/>
      </c>
      <c r="H135" s="306">
        <f>IF(A135&lt;$F$8, 0, $E$8 * $G$8^((A135-$F$8)/12))</f>
        <v/>
      </c>
      <c r="I135" s="306">
        <f>IF(A135&lt;$F$9, 0, $E$9 * $G$9^((A135-$F$9)/12))</f>
        <v/>
      </c>
      <c r="J135" s="306">
        <f>IF(A135&lt;$F$10, 0, $E$10 * $G$10^((A135-$F$10)/12))</f>
        <v/>
      </c>
      <c r="K135" s="306">
        <f>IF(A135&lt;$F$11, 0, $E$11 * $G$11^((A135-$F$11)/12))</f>
        <v/>
      </c>
      <c r="L135" s="306">
        <f>IF(A135&lt;$F$12, 0, $E$12 * $G$12^((A135-$F$12)/12))</f>
        <v/>
      </c>
      <c r="M135" s="306">
        <f>IF(A135&lt;$F$13, 0, $E$13 * $G$13^((A135-$F$13)/12))</f>
        <v/>
      </c>
      <c r="N135" s="306">
        <f>IF(A135&lt;$F$14, 0, $E$14 * $G$14^((A135-$F$14)/12))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$E$6 * $G$6^((A136-$F$6)/12))</f>
        <v/>
      </c>
      <c r="G136" s="306">
        <f>IF(A136&lt;$F$7, 0, $E$7 * $G$7^((A136-$F$7)/12))</f>
        <v/>
      </c>
      <c r="H136" s="306">
        <f>IF(A136&lt;$F$8, 0, $E$8 * $G$8^((A136-$F$8)/12))</f>
        <v/>
      </c>
      <c r="I136" s="306">
        <f>IF(A136&lt;$F$9, 0, $E$9 * $G$9^((A136-$F$9)/12))</f>
        <v/>
      </c>
      <c r="J136" s="306">
        <f>IF(A136&lt;$F$10, 0, $E$10 * $G$10^((A136-$F$10)/12))</f>
        <v/>
      </c>
      <c r="K136" s="306">
        <f>IF(A136&lt;$F$11, 0, $E$11 * $G$11^((A136-$F$11)/12))</f>
        <v/>
      </c>
      <c r="L136" s="306">
        <f>IF(A136&lt;$F$12, 0, $E$12 * $G$12^((A136-$F$12)/12))</f>
        <v/>
      </c>
      <c r="M136" s="306">
        <f>IF(A136&lt;$F$13, 0, $E$13 * $G$13^((A136-$F$13)/12))</f>
        <v/>
      </c>
      <c r="N136" s="306">
        <f>IF(A136&lt;$F$14, 0, $E$14 * $G$14^((A136-$F$14)/12))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$E$6 * $G$6^((A137-$F$6)/12))</f>
        <v/>
      </c>
      <c r="G137" s="306">
        <f>IF(A137&lt;$F$7, 0, $E$7 * $G$7^((A137-$F$7)/12))</f>
        <v/>
      </c>
      <c r="H137" s="306">
        <f>IF(A137&lt;$F$8, 0, $E$8 * $G$8^((A137-$F$8)/12))</f>
        <v/>
      </c>
      <c r="I137" s="306">
        <f>IF(A137&lt;$F$9, 0, $E$9 * $G$9^((A137-$F$9)/12))</f>
        <v/>
      </c>
      <c r="J137" s="306">
        <f>IF(A137&lt;$F$10, 0, $E$10 * $G$10^((A137-$F$10)/12))</f>
        <v/>
      </c>
      <c r="K137" s="306">
        <f>IF(A137&lt;$F$11, 0, $E$11 * $G$11^((A137-$F$11)/12))</f>
        <v/>
      </c>
      <c r="L137" s="306">
        <f>IF(A137&lt;$F$12, 0, $E$12 * $G$12^((A137-$F$12)/12))</f>
        <v/>
      </c>
      <c r="M137" s="306">
        <f>IF(A137&lt;$F$13, 0, $E$13 * $G$13^((A137-$F$13)/12))</f>
        <v/>
      </c>
      <c r="N137" s="306">
        <f>IF(A137&lt;$F$14, 0, $E$14 * $G$14^((A137-$F$14)/12))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$E$6 * $G$6^((A138-$F$6)/12))</f>
        <v/>
      </c>
      <c r="G138" s="306">
        <f>IF(A138&lt;$F$7, 0, $E$7 * $G$7^((A138-$F$7)/12))</f>
        <v/>
      </c>
      <c r="H138" s="306">
        <f>IF(A138&lt;$F$8, 0, $E$8 * $G$8^((A138-$F$8)/12))</f>
        <v/>
      </c>
      <c r="I138" s="306">
        <f>IF(A138&lt;$F$9, 0, $E$9 * $G$9^((A138-$F$9)/12))</f>
        <v/>
      </c>
      <c r="J138" s="306">
        <f>IF(A138&lt;$F$10, 0, $E$10 * $G$10^((A138-$F$10)/12))</f>
        <v/>
      </c>
      <c r="K138" s="306">
        <f>IF(A138&lt;$F$11, 0, $E$11 * $G$11^((A138-$F$11)/12))</f>
        <v/>
      </c>
      <c r="L138" s="306">
        <f>IF(A138&lt;$F$12, 0, $E$12 * $G$12^((A138-$F$12)/12))</f>
        <v/>
      </c>
      <c r="M138" s="306">
        <f>IF(A138&lt;$F$13, 0, $E$13 * $G$13^((A138-$F$13)/12))</f>
        <v/>
      </c>
      <c r="N138" s="306">
        <f>IF(A138&lt;$F$14, 0, $E$14 * $G$14^((A138-$F$14)/12))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$E$6 * $G$6^((A139-$F$6)/12))</f>
        <v/>
      </c>
      <c r="G139" s="306">
        <f>IF(A139&lt;$F$7, 0, $E$7 * $G$7^((A139-$F$7)/12))</f>
        <v/>
      </c>
      <c r="H139" s="306">
        <f>IF(A139&lt;$F$8, 0, $E$8 * $G$8^((A139-$F$8)/12))</f>
        <v/>
      </c>
      <c r="I139" s="306">
        <f>IF(A139&lt;$F$9, 0, $E$9 * $G$9^((A139-$F$9)/12))</f>
        <v/>
      </c>
      <c r="J139" s="306">
        <f>IF(A139&lt;$F$10, 0, $E$10 * $G$10^((A139-$F$10)/12))</f>
        <v/>
      </c>
      <c r="K139" s="306">
        <f>IF(A139&lt;$F$11, 0, $E$11 * $G$11^((A139-$F$11)/12))</f>
        <v/>
      </c>
      <c r="L139" s="306">
        <f>IF(A139&lt;$F$12, 0, $E$12 * $G$12^((A139-$F$12)/12))</f>
        <v/>
      </c>
      <c r="M139" s="306">
        <f>IF(A139&lt;$F$13, 0, $E$13 * $G$13^((A139-$F$13)/12))</f>
        <v/>
      </c>
      <c r="N139" s="306">
        <f>IF(A139&lt;$F$14, 0, $E$14 * $G$14^((A139-$F$14)/12))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$E$6 * $G$6^((A140-$F$6)/12))</f>
        <v/>
      </c>
      <c r="G140" s="306">
        <f>IF(A140&lt;$F$7, 0, $E$7 * $G$7^((A140-$F$7)/12))</f>
        <v/>
      </c>
      <c r="H140" s="306">
        <f>IF(A140&lt;$F$8, 0, $E$8 * $G$8^((A140-$F$8)/12))</f>
        <v/>
      </c>
      <c r="I140" s="306">
        <f>IF(A140&lt;$F$9, 0, $E$9 * $G$9^((A140-$F$9)/12))</f>
        <v/>
      </c>
      <c r="J140" s="306">
        <f>IF(A140&lt;$F$10, 0, $E$10 * $G$10^((A140-$F$10)/12))</f>
        <v/>
      </c>
      <c r="K140" s="306">
        <f>IF(A140&lt;$F$11, 0, $E$11 * $G$11^((A140-$F$11)/12))</f>
        <v/>
      </c>
      <c r="L140" s="306">
        <f>IF(A140&lt;$F$12, 0, $E$12 * $G$12^((A140-$F$12)/12))</f>
        <v/>
      </c>
      <c r="M140" s="306">
        <f>IF(A140&lt;$F$13, 0, $E$13 * $G$13^((A140-$F$13)/12))</f>
        <v/>
      </c>
      <c r="N140" s="306">
        <f>IF(A140&lt;$F$14, 0, $E$14 * $G$14^((A140-$F$14)/12))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$E$6 * $G$6^((A141-$F$6)/12))</f>
        <v/>
      </c>
      <c r="G141" s="306">
        <f>IF(A141&lt;$F$7, 0, $E$7 * $G$7^((A141-$F$7)/12))</f>
        <v/>
      </c>
      <c r="H141" s="306">
        <f>IF(A141&lt;$F$8, 0, $E$8 * $G$8^((A141-$F$8)/12))</f>
        <v/>
      </c>
      <c r="I141" s="306">
        <f>IF(A141&lt;$F$9, 0, $E$9 * $G$9^((A141-$F$9)/12))</f>
        <v/>
      </c>
      <c r="J141" s="306">
        <f>IF(A141&lt;$F$10, 0, $E$10 * $G$10^((A141-$F$10)/12))</f>
        <v/>
      </c>
      <c r="K141" s="306">
        <f>IF(A141&lt;$F$11, 0, $E$11 * $G$11^((A141-$F$11)/12))</f>
        <v/>
      </c>
      <c r="L141" s="306">
        <f>IF(A141&lt;$F$12, 0, $E$12 * $G$12^((A141-$F$12)/12))</f>
        <v/>
      </c>
      <c r="M141" s="306">
        <f>IF(A141&lt;$F$13, 0, $E$13 * $G$13^((A141-$F$13)/12))</f>
        <v/>
      </c>
      <c r="N141" s="306">
        <f>IF(A141&lt;$F$14, 0, $E$14 * $G$14^((A141-$F$14)/12))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$E$6 * $G$6^((A142-$F$6)/12))</f>
        <v/>
      </c>
      <c r="G142" s="306">
        <f>IF(A142&lt;$F$7, 0, $E$7 * $G$7^((A142-$F$7)/12))</f>
        <v/>
      </c>
      <c r="H142" s="306">
        <f>IF(A142&lt;$F$8, 0, $E$8 * $G$8^((A142-$F$8)/12))</f>
        <v/>
      </c>
      <c r="I142" s="306">
        <f>IF(A142&lt;$F$9, 0, $E$9 * $G$9^((A142-$F$9)/12))</f>
        <v/>
      </c>
      <c r="J142" s="306">
        <f>IF(A142&lt;$F$10, 0, $E$10 * $G$10^((A142-$F$10)/12))</f>
        <v/>
      </c>
      <c r="K142" s="306">
        <f>IF(A142&lt;$F$11, 0, $E$11 * $G$11^((A142-$F$11)/12))</f>
        <v/>
      </c>
      <c r="L142" s="306">
        <f>IF(A142&lt;$F$12, 0, $E$12 * $G$12^((A142-$F$12)/12))</f>
        <v/>
      </c>
      <c r="M142" s="306">
        <f>IF(A142&lt;$F$13, 0, $E$13 * $G$13^((A142-$F$13)/12))</f>
        <v/>
      </c>
      <c r="N142" s="306">
        <f>IF(A142&lt;$F$14, 0, $E$14 * $G$14^((A142-$F$14)/12))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$E$6 * $G$6^((A143-$F$6)/12))</f>
        <v/>
      </c>
      <c r="G143" s="306">
        <f>IF(A143&lt;$F$7, 0, $E$7 * $G$7^((A143-$F$7)/12))</f>
        <v/>
      </c>
      <c r="H143" s="306">
        <f>IF(A143&lt;$F$8, 0, $E$8 * $G$8^((A143-$F$8)/12))</f>
        <v/>
      </c>
      <c r="I143" s="306">
        <f>IF(A143&lt;$F$9, 0, $E$9 * $G$9^((A143-$F$9)/12))</f>
        <v/>
      </c>
      <c r="J143" s="306">
        <f>IF(A143&lt;$F$10, 0, $E$10 * $G$10^((A143-$F$10)/12))</f>
        <v/>
      </c>
      <c r="K143" s="306">
        <f>IF(A143&lt;$F$11, 0, $E$11 * $G$11^((A143-$F$11)/12))</f>
        <v/>
      </c>
      <c r="L143" s="306">
        <f>IF(A143&lt;$F$12, 0, $E$12 * $G$12^((A143-$F$12)/12))</f>
        <v/>
      </c>
      <c r="M143" s="306">
        <f>IF(A143&lt;$F$13, 0, $E$13 * $G$13^((A143-$F$13)/12))</f>
        <v/>
      </c>
      <c r="N143" s="306">
        <f>IF(A143&lt;$F$14, 0, $E$14 * $G$14^((A143-$F$14)/12))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$E$6 * $G$6^((A144-$F$6)/12))</f>
        <v/>
      </c>
      <c r="G144" s="306">
        <f>IF(A144&lt;$F$7, 0, $E$7 * $G$7^((A144-$F$7)/12))</f>
        <v/>
      </c>
      <c r="H144" s="306">
        <f>IF(A144&lt;$F$8, 0, $E$8 * $G$8^((A144-$F$8)/12))</f>
        <v/>
      </c>
      <c r="I144" s="306">
        <f>IF(A144&lt;$F$9, 0, $E$9 * $G$9^((A144-$F$9)/12))</f>
        <v/>
      </c>
      <c r="J144" s="306">
        <f>IF(A144&lt;$F$10, 0, $E$10 * $G$10^((A144-$F$10)/12))</f>
        <v/>
      </c>
      <c r="K144" s="306">
        <f>IF(A144&lt;$F$11, 0, $E$11 * $G$11^((A144-$F$11)/12))</f>
        <v/>
      </c>
      <c r="L144" s="306">
        <f>IF(A144&lt;$F$12, 0, $E$12 * $G$12^((A144-$F$12)/12))</f>
        <v/>
      </c>
      <c r="M144" s="306">
        <f>IF(A144&lt;$F$13, 0, $E$13 * $G$13^((A144-$F$13)/12))</f>
        <v/>
      </c>
      <c r="N144" s="306">
        <f>IF(A144&lt;$F$14, 0, $E$14 * $G$14^((A144-$F$14)/12))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$E$6 * $G$6^((A145-$F$6)/12))</f>
        <v/>
      </c>
      <c r="G145" s="306">
        <f>IF(A145&lt;$F$7, 0, $E$7 * $G$7^((A145-$F$7)/12))</f>
        <v/>
      </c>
      <c r="H145" s="306">
        <f>IF(A145&lt;$F$8, 0, $E$8 * $G$8^((A145-$F$8)/12))</f>
        <v/>
      </c>
      <c r="I145" s="306">
        <f>IF(A145&lt;$F$9, 0, $E$9 * $G$9^((A145-$F$9)/12))</f>
        <v/>
      </c>
      <c r="J145" s="306">
        <f>IF(A145&lt;$F$10, 0, $E$10 * $G$10^((A145-$F$10)/12))</f>
        <v/>
      </c>
      <c r="K145" s="306">
        <f>IF(A145&lt;$F$11, 0, $E$11 * $G$11^((A145-$F$11)/12))</f>
        <v/>
      </c>
      <c r="L145" s="306">
        <f>IF(A145&lt;$F$12, 0, $E$12 * $G$12^((A145-$F$12)/12))</f>
        <v/>
      </c>
      <c r="M145" s="306">
        <f>IF(A145&lt;$F$13, 0, $E$13 * $G$13^((A145-$F$13)/12))</f>
        <v/>
      </c>
      <c r="N145" s="306">
        <f>IF(A145&lt;$F$14, 0, $E$14 * $G$14^((A145-$F$14)/12))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$E$6 * $G$6^((A146-$F$6)/12))</f>
        <v/>
      </c>
      <c r="G146" s="306">
        <f>IF(A146&lt;$F$7, 0, $E$7 * $G$7^((A146-$F$7)/12))</f>
        <v/>
      </c>
      <c r="H146" s="306">
        <f>IF(A146&lt;$F$8, 0, $E$8 * $G$8^((A146-$F$8)/12))</f>
        <v/>
      </c>
      <c r="I146" s="306">
        <f>IF(A146&lt;$F$9, 0, $E$9 * $G$9^((A146-$F$9)/12))</f>
        <v/>
      </c>
      <c r="J146" s="306">
        <f>IF(A146&lt;$F$10, 0, $E$10 * $G$10^((A146-$F$10)/12))</f>
        <v/>
      </c>
      <c r="K146" s="306">
        <f>IF(A146&lt;$F$11, 0, $E$11 * $G$11^((A146-$F$11)/12))</f>
        <v/>
      </c>
      <c r="L146" s="306">
        <f>IF(A146&lt;$F$12, 0, $E$12 * $G$12^((A146-$F$12)/12))</f>
        <v/>
      </c>
      <c r="M146" s="306">
        <f>IF(A146&lt;$F$13, 0, $E$13 * $G$13^((A146-$F$13)/12))</f>
        <v/>
      </c>
      <c r="N146" s="306">
        <f>IF(A146&lt;$F$14, 0, $E$14 * $G$14^((A146-$F$14)/12))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$E$6 * $G$6^((A147-$F$6)/12))</f>
        <v/>
      </c>
      <c r="G147" s="306">
        <f>IF(A147&lt;$F$7, 0, $E$7 * $G$7^((A147-$F$7)/12))</f>
        <v/>
      </c>
      <c r="H147" s="306">
        <f>IF(A147&lt;$F$8, 0, $E$8 * $G$8^((A147-$F$8)/12))</f>
        <v/>
      </c>
      <c r="I147" s="306">
        <f>IF(A147&lt;$F$9, 0, $E$9 * $G$9^((A147-$F$9)/12))</f>
        <v/>
      </c>
      <c r="J147" s="306">
        <f>IF(A147&lt;$F$10, 0, $E$10 * $G$10^((A147-$F$10)/12))</f>
        <v/>
      </c>
      <c r="K147" s="306">
        <f>IF(A147&lt;$F$11, 0, $E$11 * $G$11^((A147-$F$11)/12))</f>
        <v/>
      </c>
      <c r="L147" s="306">
        <f>IF(A147&lt;$F$12, 0, $E$12 * $G$12^((A147-$F$12)/12))</f>
        <v/>
      </c>
      <c r="M147" s="306">
        <f>IF(A147&lt;$F$13, 0, $E$13 * $G$13^((A147-$F$13)/12))</f>
        <v/>
      </c>
      <c r="N147" s="306">
        <f>IF(A147&lt;$F$14, 0, $E$14 * $G$14^((A147-$F$14)/12))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$E$6 * $G$6^((A148-$F$6)/12))</f>
        <v/>
      </c>
      <c r="G148" s="306">
        <f>IF(A148&lt;$F$7, 0, $E$7 * $G$7^((A148-$F$7)/12))</f>
        <v/>
      </c>
      <c r="H148" s="306">
        <f>IF(A148&lt;$F$8, 0, $E$8 * $G$8^((A148-$F$8)/12))</f>
        <v/>
      </c>
      <c r="I148" s="306">
        <f>IF(A148&lt;$F$9, 0, $E$9 * $G$9^((A148-$F$9)/12))</f>
        <v/>
      </c>
      <c r="J148" s="306">
        <f>IF(A148&lt;$F$10, 0, $E$10 * $G$10^((A148-$F$10)/12))</f>
        <v/>
      </c>
      <c r="K148" s="306">
        <f>IF(A148&lt;$F$11, 0, $E$11 * $G$11^((A148-$F$11)/12))</f>
        <v/>
      </c>
      <c r="L148" s="306">
        <f>IF(A148&lt;$F$12, 0, $E$12 * $G$12^((A148-$F$12)/12))</f>
        <v/>
      </c>
      <c r="M148" s="306">
        <f>IF(A148&lt;$F$13, 0, $E$13 * $G$13^((A148-$F$13)/12))</f>
        <v/>
      </c>
      <c r="N148" s="306">
        <f>IF(A148&lt;$F$14, 0, $E$14 * $G$14^((A148-$F$14)/12))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$E$6 * $G$6^((A149-$F$6)/12))</f>
        <v/>
      </c>
      <c r="G149" s="306">
        <f>IF(A149&lt;$F$7, 0, $E$7 * $G$7^((A149-$F$7)/12))</f>
        <v/>
      </c>
      <c r="H149" s="306">
        <f>IF(A149&lt;$F$8, 0, $E$8 * $G$8^((A149-$F$8)/12))</f>
        <v/>
      </c>
      <c r="I149" s="306">
        <f>IF(A149&lt;$F$9, 0, $E$9 * $G$9^((A149-$F$9)/12))</f>
        <v/>
      </c>
      <c r="J149" s="306">
        <f>IF(A149&lt;$F$10, 0, $E$10 * $G$10^((A149-$F$10)/12))</f>
        <v/>
      </c>
      <c r="K149" s="306">
        <f>IF(A149&lt;$F$11, 0, $E$11 * $G$11^((A149-$F$11)/12))</f>
        <v/>
      </c>
      <c r="L149" s="306">
        <f>IF(A149&lt;$F$12, 0, $E$12 * $G$12^((A149-$F$12)/12))</f>
        <v/>
      </c>
      <c r="M149" s="306">
        <f>IF(A149&lt;$F$13, 0, $E$13 * $G$13^((A149-$F$13)/12))</f>
        <v/>
      </c>
      <c r="N149" s="306">
        <f>IF(A149&lt;$F$14, 0, $E$14 * $G$14^((A149-$F$14)/12))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$E$6 * $G$6^((A150-$F$6)/12))</f>
        <v/>
      </c>
      <c r="G150" s="306">
        <f>IF(A150&lt;$F$7, 0, $E$7 * $G$7^((A150-$F$7)/12))</f>
        <v/>
      </c>
      <c r="H150" s="306">
        <f>IF(A150&lt;$F$8, 0, $E$8 * $G$8^((A150-$F$8)/12))</f>
        <v/>
      </c>
      <c r="I150" s="306">
        <f>IF(A150&lt;$F$9, 0, $E$9 * $G$9^((A150-$F$9)/12))</f>
        <v/>
      </c>
      <c r="J150" s="306">
        <f>IF(A150&lt;$F$10, 0, $E$10 * $G$10^((A150-$F$10)/12))</f>
        <v/>
      </c>
      <c r="K150" s="306">
        <f>IF(A150&lt;$F$11, 0, $E$11 * $G$11^((A150-$F$11)/12))</f>
        <v/>
      </c>
      <c r="L150" s="306">
        <f>IF(A150&lt;$F$12, 0, $E$12 * $G$12^((A150-$F$12)/12))</f>
        <v/>
      </c>
      <c r="M150" s="306">
        <f>IF(A150&lt;$F$13, 0, $E$13 * $G$13^((A150-$F$13)/12))</f>
        <v/>
      </c>
      <c r="N150" s="306">
        <f>IF(A150&lt;$F$14, 0, $E$14 * $G$14^((A150-$F$14)/12))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$E$6 * $G$6^((A151-$F$6)/12))</f>
        <v/>
      </c>
      <c r="G151" s="306">
        <f>IF(A151&lt;$F$7, 0, $E$7 * $G$7^((A151-$F$7)/12))</f>
        <v/>
      </c>
      <c r="H151" s="306">
        <f>IF(A151&lt;$F$8, 0, $E$8 * $G$8^((A151-$F$8)/12))</f>
        <v/>
      </c>
      <c r="I151" s="306">
        <f>IF(A151&lt;$F$9, 0, $E$9 * $G$9^((A151-$F$9)/12))</f>
        <v/>
      </c>
      <c r="J151" s="306">
        <f>IF(A151&lt;$F$10, 0, $E$10 * $G$10^((A151-$F$10)/12))</f>
        <v/>
      </c>
      <c r="K151" s="306">
        <f>IF(A151&lt;$F$11, 0, $E$11 * $G$11^((A151-$F$11)/12))</f>
        <v/>
      </c>
      <c r="L151" s="306">
        <f>IF(A151&lt;$F$12, 0, $E$12 * $G$12^((A151-$F$12)/12))</f>
        <v/>
      </c>
      <c r="M151" s="306">
        <f>IF(A151&lt;$F$13, 0, $E$13 * $G$13^((A151-$F$13)/12))</f>
        <v/>
      </c>
      <c r="N151" s="306">
        <f>IF(A151&lt;$F$14, 0, $E$14 * $G$14^((A151-$F$14)/12))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$E$6 * $G$6^((A152-$F$6)/12))</f>
        <v/>
      </c>
      <c r="G152" s="306">
        <f>IF(A152&lt;$F$7, 0, $E$7 * $G$7^((A152-$F$7)/12))</f>
        <v/>
      </c>
      <c r="H152" s="306">
        <f>IF(A152&lt;$F$8, 0, $E$8 * $G$8^((A152-$F$8)/12))</f>
        <v/>
      </c>
      <c r="I152" s="306">
        <f>IF(A152&lt;$F$9, 0, $E$9 * $G$9^((A152-$F$9)/12))</f>
        <v/>
      </c>
      <c r="J152" s="306">
        <f>IF(A152&lt;$F$10, 0, $E$10 * $G$10^((A152-$F$10)/12))</f>
        <v/>
      </c>
      <c r="K152" s="306">
        <f>IF(A152&lt;$F$11, 0, $E$11 * $G$11^((A152-$F$11)/12))</f>
        <v/>
      </c>
      <c r="L152" s="306">
        <f>IF(A152&lt;$F$12, 0, $E$12 * $G$12^((A152-$F$12)/12))</f>
        <v/>
      </c>
      <c r="M152" s="306">
        <f>IF(A152&lt;$F$13, 0, $E$13 * $G$13^((A152-$F$13)/12))</f>
        <v/>
      </c>
      <c r="N152" s="306">
        <f>IF(A152&lt;$F$14, 0, $E$14 * $G$14^((A152-$F$14)/12))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$E$6 * $G$6^((A153-$F$6)/12))</f>
        <v/>
      </c>
      <c r="G153" s="306">
        <f>IF(A153&lt;$F$7, 0, $E$7 * $G$7^((A153-$F$7)/12))</f>
        <v/>
      </c>
      <c r="H153" s="306">
        <f>IF(A153&lt;$F$8, 0, $E$8 * $G$8^((A153-$F$8)/12))</f>
        <v/>
      </c>
      <c r="I153" s="306">
        <f>IF(A153&lt;$F$9, 0, $E$9 * $G$9^((A153-$F$9)/12))</f>
        <v/>
      </c>
      <c r="J153" s="306">
        <f>IF(A153&lt;$F$10, 0, $E$10 * $G$10^((A153-$F$10)/12))</f>
        <v/>
      </c>
      <c r="K153" s="306">
        <f>IF(A153&lt;$F$11, 0, $E$11 * $G$11^((A153-$F$11)/12))</f>
        <v/>
      </c>
      <c r="L153" s="306">
        <f>IF(A153&lt;$F$12, 0, $E$12 * $G$12^((A153-$F$12)/12))</f>
        <v/>
      </c>
      <c r="M153" s="306">
        <f>IF(A153&lt;$F$13, 0, $E$13 * $G$13^((A153-$F$13)/12))</f>
        <v/>
      </c>
      <c r="N153" s="306">
        <f>IF(A153&lt;$F$14, 0, $E$14 * $G$14^((A153-$F$14)/12))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$E$6 * $G$6^((A154-$F$6)/12))</f>
        <v/>
      </c>
      <c r="G154" s="306">
        <f>IF(A154&lt;$F$7, 0, $E$7 * $G$7^((A154-$F$7)/12))</f>
        <v/>
      </c>
      <c r="H154" s="306">
        <f>IF(A154&lt;$F$8, 0, $E$8 * $G$8^((A154-$F$8)/12))</f>
        <v/>
      </c>
      <c r="I154" s="306">
        <f>IF(A154&lt;$F$9, 0, $E$9 * $G$9^((A154-$F$9)/12))</f>
        <v/>
      </c>
      <c r="J154" s="306">
        <f>IF(A154&lt;$F$10, 0, $E$10 * $G$10^((A154-$F$10)/12))</f>
        <v/>
      </c>
      <c r="K154" s="306">
        <f>IF(A154&lt;$F$11, 0, $E$11 * $G$11^((A154-$F$11)/12))</f>
        <v/>
      </c>
      <c r="L154" s="306">
        <f>IF(A154&lt;$F$12, 0, $E$12 * $G$12^((A154-$F$12)/12))</f>
        <v/>
      </c>
      <c r="M154" s="306">
        <f>IF(A154&lt;$F$13, 0, $E$13 * $G$13^((A154-$F$13)/12))</f>
        <v/>
      </c>
      <c r="N154" s="306">
        <f>IF(A154&lt;$F$14, 0, $E$14 * $G$14^((A154-$F$14)/12))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$E$6 * $G$6^((A155-$F$6)/12))</f>
        <v/>
      </c>
      <c r="G155" s="306">
        <f>IF(A155&lt;$F$7, 0, $E$7 * $G$7^((A155-$F$7)/12))</f>
        <v/>
      </c>
      <c r="H155" s="306">
        <f>IF(A155&lt;$F$8, 0, $E$8 * $G$8^((A155-$F$8)/12))</f>
        <v/>
      </c>
      <c r="I155" s="306">
        <f>IF(A155&lt;$F$9, 0, $E$9 * $G$9^((A155-$F$9)/12))</f>
        <v/>
      </c>
      <c r="J155" s="306">
        <f>IF(A155&lt;$F$10, 0, $E$10 * $G$10^((A155-$F$10)/12))</f>
        <v/>
      </c>
      <c r="K155" s="306">
        <f>IF(A155&lt;$F$11, 0, $E$11 * $G$11^((A155-$F$11)/12))</f>
        <v/>
      </c>
      <c r="L155" s="306">
        <f>IF(A155&lt;$F$12, 0, $E$12 * $G$12^((A155-$F$12)/12))</f>
        <v/>
      </c>
      <c r="M155" s="306">
        <f>IF(A155&lt;$F$13, 0, $E$13 * $G$13^((A155-$F$13)/12))</f>
        <v/>
      </c>
      <c r="N155" s="306">
        <f>IF(A155&lt;$F$14, 0, $E$14 * $G$14^((A155-$F$14)/12))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$E$6 * $G$6^((A156-$F$6)/12))</f>
        <v/>
      </c>
      <c r="G156" s="306">
        <f>IF(A156&lt;$F$7, 0, $E$7 * $G$7^((A156-$F$7)/12))</f>
        <v/>
      </c>
      <c r="H156" s="306">
        <f>IF(A156&lt;$F$8, 0, $E$8 * $G$8^((A156-$F$8)/12))</f>
        <v/>
      </c>
      <c r="I156" s="306">
        <f>IF(A156&lt;$F$9, 0, $E$9 * $G$9^((A156-$F$9)/12))</f>
        <v/>
      </c>
      <c r="J156" s="306">
        <f>IF(A156&lt;$F$10, 0, $E$10 * $G$10^((A156-$F$10)/12))</f>
        <v/>
      </c>
      <c r="K156" s="306">
        <f>IF(A156&lt;$F$11, 0, $E$11 * $G$11^((A156-$F$11)/12))</f>
        <v/>
      </c>
      <c r="L156" s="306">
        <f>IF(A156&lt;$F$12, 0, $E$12 * $G$12^((A156-$F$12)/12))</f>
        <v/>
      </c>
      <c r="M156" s="306">
        <f>IF(A156&lt;$F$13, 0, $E$13 * $G$13^((A156-$F$13)/12))</f>
        <v/>
      </c>
      <c r="N156" s="306">
        <f>IF(A156&lt;$F$14, 0, $E$14 * $G$14^((A156-$F$14)/12))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$E$6 * $G$6^((A157-$F$6)/12))</f>
        <v/>
      </c>
      <c r="G157" s="306">
        <f>IF(A157&lt;$F$7, 0, $E$7 * $G$7^((A157-$F$7)/12))</f>
        <v/>
      </c>
      <c r="H157" s="306">
        <f>IF(A157&lt;$F$8, 0, $E$8 * $G$8^((A157-$F$8)/12))</f>
        <v/>
      </c>
      <c r="I157" s="306">
        <f>IF(A157&lt;$F$9, 0, $E$9 * $G$9^((A157-$F$9)/12))</f>
        <v/>
      </c>
      <c r="J157" s="306">
        <f>IF(A157&lt;$F$10, 0, $E$10 * $G$10^((A157-$F$10)/12))</f>
        <v/>
      </c>
      <c r="K157" s="306">
        <f>IF(A157&lt;$F$11, 0, $E$11 * $G$11^((A157-$F$11)/12))</f>
        <v/>
      </c>
      <c r="L157" s="306">
        <f>IF(A157&lt;$F$12, 0, $E$12 * $G$12^((A157-$F$12)/12))</f>
        <v/>
      </c>
      <c r="M157" s="306">
        <f>IF(A157&lt;$F$13, 0, $E$13 * $G$13^((A157-$F$13)/12))</f>
        <v/>
      </c>
      <c r="N157" s="306">
        <f>IF(A157&lt;$F$14, 0, $E$14 * $G$14^((A157-$F$14)/12))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$E$6 * $G$6^((A158-$F$6)/12))</f>
        <v/>
      </c>
      <c r="G158" s="306">
        <f>IF(A158&lt;$F$7, 0, $E$7 * $G$7^((A158-$F$7)/12))</f>
        <v/>
      </c>
      <c r="H158" s="306">
        <f>IF(A158&lt;$F$8, 0, $E$8 * $G$8^((A158-$F$8)/12))</f>
        <v/>
      </c>
      <c r="I158" s="306">
        <f>IF(A158&lt;$F$9, 0, $E$9 * $G$9^((A158-$F$9)/12))</f>
        <v/>
      </c>
      <c r="J158" s="306">
        <f>IF(A158&lt;$F$10, 0, $E$10 * $G$10^((A158-$F$10)/12))</f>
        <v/>
      </c>
      <c r="K158" s="306">
        <f>IF(A158&lt;$F$11, 0, $E$11 * $G$11^((A158-$F$11)/12))</f>
        <v/>
      </c>
      <c r="L158" s="306">
        <f>IF(A158&lt;$F$12, 0, $E$12 * $G$12^((A158-$F$12)/12))</f>
        <v/>
      </c>
      <c r="M158" s="306">
        <f>IF(A158&lt;$F$13, 0, $E$13 * $G$13^((A158-$F$13)/12))</f>
        <v/>
      </c>
      <c r="N158" s="306">
        <f>IF(A158&lt;$F$14, 0, $E$14 * $G$14^((A158-$F$14)/12))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$E$6 * $G$6^((A159-$F$6)/12))</f>
        <v/>
      </c>
      <c r="G159" s="306">
        <f>IF(A159&lt;$F$7, 0, $E$7 * $G$7^((A159-$F$7)/12))</f>
        <v/>
      </c>
      <c r="H159" s="306">
        <f>IF(A159&lt;$F$8, 0, $E$8 * $G$8^((A159-$F$8)/12))</f>
        <v/>
      </c>
      <c r="I159" s="306">
        <f>IF(A159&lt;$F$9, 0, $E$9 * $G$9^((A159-$F$9)/12))</f>
        <v/>
      </c>
      <c r="J159" s="306">
        <f>IF(A159&lt;$F$10, 0, $E$10 * $G$10^((A159-$F$10)/12))</f>
        <v/>
      </c>
      <c r="K159" s="306">
        <f>IF(A159&lt;$F$11, 0, $E$11 * $G$11^((A159-$F$11)/12))</f>
        <v/>
      </c>
      <c r="L159" s="306">
        <f>IF(A159&lt;$F$12, 0, $E$12 * $G$12^((A159-$F$12)/12))</f>
        <v/>
      </c>
      <c r="M159" s="306">
        <f>IF(A159&lt;$F$13, 0, $E$13 * $G$13^((A159-$F$13)/12))</f>
        <v/>
      </c>
      <c r="N159" s="306">
        <f>IF(A159&lt;$F$14, 0, $E$14 * $G$14^((A159-$F$14)/12))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$E$6 * $G$6^((A160-$F$6)/12))</f>
        <v/>
      </c>
      <c r="G160" s="306">
        <f>IF(A160&lt;$F$7, 0, $E$7 * $G$7^((A160-$F$7)/12))</f>
        <v/>
      </c>
      <c r="H160" s="306">
        <f>IF(A160&lt;$F$8, 0, $E$8 * $G$8^((A160-$F$8)/12))</f>
        <v/>
      </c>
      <c r="I160" s="306">
        <f>IF(A160&lt;$F$9, 0, $E$9 * $G$9^((A160-$F$9)/12))</f>
        <v/>
      </c>
      <c r="J160" s="306">
        <f>IF(A160&lt;$F$10, 0, $E$10 * $G$10^((A160-$F$10)/12))</f>
        <v/>
      </c>
      <c r="K160" s="306">
        <f>IF(A160&lt;$F$11, 0, $E$11 * $G$11^((A160-$F$11)/12))</f>
        <v/>
      </c>
      <c r="L160" s="306">
        <f>IF(A160&lt;$F$12, 0, $E$12 * $G$12^((A160-$F$12)/12))</f>
        <v/>
      </c>
      <c r="M160" s="306">
        <f>IF(A160&lt;$F$13, 0, $E$13 * $G$13^((A160-$F$13)/12))</f>
        <v/>
      </c>
      <c r="N160" s="306">
        <f>IF(A160&lt;$F$14, 0, $E$14 * $G$14^((A160-$F$14)/12))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$E$6 * $G$6^((A161-$F$6)/12))</f>
        <v/>
      </c>
      <c r="G161" s="306">
        <f>IF(A161&lt;$F$7, 0, $E$7 * $G$7^((A161-$F$7)/12))</f>
        <v/>
      </c>
      <c r="H161" s="306">
        <f>IF(A161&lt;$F$8, 0, $E$8 * $G$8^((A161-$F$8)/12))</f>
        <v/>
      </c>
      <c r="I161" s="306">
        <f>IF(A161&lt;$F$9, 0, $E$9 * $G$9^((A161-$F$9)/12))</f>
        <v/>
      </c>
      <c r="J161" s="306">
        <f>IF(A161&lt;$F$10, 0, $E$10 * $G$10^((A161-$F$10)/12))</f>
        <v/>
      </c>
      <c r="K161" s="306">
        <f>IF(A161&lt;$F$11, 0, $E$11 * $G$11^((A161-$F$11)/12))</f>
        <v/>
      </c>
      <c r="L161" s="306">
        <f>IF(A161&lt;$F$12, 0, $E$12 * $G$12^((A161-$F$12)/12))</f>
        <v/>
      </c>
      <c r="M161" s="306">
        <f>IF(A161&lt;$F$13, 0, $E$13 * $G$13^((A161-$F$13)/12))</f>
        <v/>
      </c>
      <c r="N161" s="306">
        <f>IF(A161&lt;$F$14, 0, $E$14 * $G$14^((A161-$F$14)/12))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$E$6 * $G$6^((A162-$F$6)/12))</f>
        <v/>
      </c>
      <c r="G162" s="306">
        <f>IF(A162&lt;$F$7, 0, $E$7 * $G$7^((A162-$F$7)/12))</f>
        <v/>
      </c>
      <c r="H162" s="306">
        <f>IF(A162&lt;$F$8, 0, $E$8 * $G$8^((A162-$F$8)/12))</f>
        <v/>
      </c>
      <c r="I162" s="306">
        <f>IF(A162&lt;$F$9, 0, $E$9 * $G$9^((A162-$F$9)/12))</f>
        <v/>
      </c>
      <c r="J162" s="306">
        <f>IF(A162&lt;$F$10, 0, $E$10 * $G$10^((A162-$F$10)/12))</f>
        <v/>
      </c>
      <c r="K162" s="306">
        <f>IF(A162&lt;$F$11, 0, $E$11 * $G$11^((A162-$F$11)/12))</f>
        <v/>
      </c>
      <c r="L162" s="306">
        <f>IF(A162&lt;$F$12, 0, $E$12 * $G$12^((A162-$F$12)/12))</f>
        <v/>
      </c>
      <c r="M162" s="306">
        <f>IF(A162&lt;$F$13, 0, $E$13 * $G$13^((A162-$F$13)/12))</f>
        <v/>
      </c>
      <c r="N162" s="306">
        <f>IF(A162&lt;$F$14, 0, $E$14 * $G$14^((A162-$F$14)/12))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$E$6 * $G$6^((A163-$F$6)/12))</f>
        <v/>
      </c>
      <c r="G163" s="306">
        <f>IF(A163&lt;$F$7, 0, $E$7 * $G$7^((A163-$F$7)/12))</f>
        <v/>
      </c>
      <c r="H163" s="306">
        <f>IF(A163&lt;$F$8, 0, $E$8 * $G$8^((A163-$F$8)/12))</f>
        <v/>
      </c>
      <c r="I163" s="306">
        <f>IF(A163&lt;$F$9, 0, $E$9 * $G$9^((A163-$F$9)/12))</f>
        <v/>
      </c>
      <c r="J163" s="306">
        <f>IF(A163&lt;$F$10, 0, $E$10 * $G$10^((A163-$F$10)/12))</f>
        <v/>
      </c>
      <c r="K163" s="306">
        <f>IF(A163&lt;$F$11, 0, $E$11 * $G$11^((A163-$F$11)/12))</f>
        <v/>
      </c>
      <c r="L163" s="306">
        <f>IF(A163&lt;$F$12, 0, $E$12 * $G$12^((A163-$F$12)/12))</f>
        <v/>
      </c>
      <c r="M163" s="306">
        <f>IF(A163&lt;$F$13, 0, $E$13 * $G$13^((A163-$F$13)/12))</f>
        <v/>
      </c>
      <c r="N163" s="306">
        <f>IF(A163&lt;$F$14, 0, $E$14 * $G$14^((A163-$F$14)/12))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$E$6 * $G$6^((A164-$F$6)/12))</f>
        <v/>
      </c>
      <c r="G164" s="306">
        <f>IF(A164&lt;$F$7, 0, $E$7 * $G$7^((A164-$F$7)/12))</f>
        <v/>
      </c>
      <c r="H164" s="306">
        <f>IF(A164&lt;$F$8, 0, $E$8 * $G$8^((A164-$F$8)/12))</f>
        <v/>
      </c>
      <c r="I164" s="306">
        <f>IF(A164&lt;$F$9, 0, $E$9 * $G$9^((A164-$F$9)/12))</f>
        <v/>
      </c>
      <c r="J164" s="306">
        <f>IF(A164&lt;$F$10, 0, $E$10 * $G$10^((A164-$F$10)/12))</f>
        <v/>
      </c>
      <c r="K164" s="306">
        <f>IF(A164&lt;$F$11, 0, $E$11 * $G$11^((A164-$F$11)/12))</f>
        <v/>
      </c>
      <c r="L164" s="306">
        <f>IF(A164&lt;$F$12, 0, $E$12 * $G$12^((A164-$F$12)/12))</f>
        <v/>
      </c>
      <c r="M164" s="306">
        <f>IF(A164&lt;$F$13, 0, $E$13 * $G$13^((A164-$F$13)/12))</f>
        <v/>
      </c>
      <c r="N164" s="306">
        <f>IF(A164&lt;$F$14, 0, $E$14 * $G$14^((A164-$F$14)/12))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$E$6 * $G$6^((A165-$F$6)/12))</f>
        <v/>
      </c>
      <c r="G165" s="306">
        <f>IF(A165&lt;$F$7, 0, $E$7 * $G$7^((A165-$F$7)/12))</f>
        <v/>
      </c>
      <c r="H165" s="306">
        <f>IF(A165&lt;$F$8, 0, $E$8 * $G$8^((A165-$F$8)/12))</f>
        <v/>
      </c>
      <c r="I165" s="306">
        <f>IF(A165&lt;$F$9, 0, $E$9 * $G$9^((A165-$F$9)/12))</f>
        <v/>
      </c>
      <c r="J165" s="306">
        <f>IF(A165&lt;$F$10, 0, $E$10 * $G$10^((A165-$F$10)/12))</f>
        <v/>
      </c>
      <c r="K165" s="306">
        <f>IF(A165&lt;$F$11, 0, $E$11 * $G$11^((A165-$F$11)/12))</f>
        <v/>
      </c>
      <c r="L165" s="306">
        <f>IF(A165&lt;$F$12, 0, $E$12 * $G$12^((A165-$F$12)/12))</f>
        <v/>
      </c>
      <c r="M165" s="306">
        <f>IF(A165&lt;$F$13, 0, $E$13 * $G$13^((A165-$F$13)/12))</f>
        <v/>
      </c>
      <c r="N165" s="306">
        <f>IF(A165&lt;$F$14, 0, $E$14 * $G$14^((A165-$F$14)/12))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$E$6 * $G$6^((A166-$F$6)/12))</f>
        <v/>
      </c>
      <c r="G166" s="306">
        <f>IF(A166&lt;$F$7, 0, $E$7 * $G$7^((A166-$F$7)/12))</f>
        <v/>
      </c>
      <c r="H166" s="306">
        <f>IF(A166&lt;$F$8, 0, $E$8 * $G$8^((A166-$F$8)/12))</f>
        <v/>
      </c>
      <c r="I166" s="306">
        <f>IF(A166&lt;$F$9, 0, $E$9 * $G$9^((A166-$F$9)/12))</f>
        <v/>
      </c>
      <c r="J166" s="306">
        <f>IF(A166&lt;$F$10, 0, $E$10 * $G$10^((A166-$F$10)/12))</f>
        <v/>
      </c>
      <c r="K166" s="306">
        <f>IF(A166&lt;$F$11, 0, $E$11 * $G$11^((A166-$F$11)/12))</f>
        <v/>
      </c>
      <c r="L166" s="306">
        <f>IF(A166&lt;$F$12, 0, $E$12 * $G$12^((A166-$F$12)/12))</f>
        <v/>
      </c>
      <c r="M166" s="306">
        <f>IF(A166&lt;$F$13, 0, $E$13 * $G$13^((A166-$F$13)/12))</f>
        <v/>
      </c>
      <c r="N166" s="306">
        <f>IF(A166&lt;$F$14, 0, $E$14 * $G$14^((A166-$F$14)/12))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$E$6 * $G$6^((A167-$F$6)/12))</f>
        <v/>
      </c>
      <c r="G167" s="306">
        <f>IF(A167&lt;$F$7, 0, $E$7 * $G$7^((A167-$F$7)/12))</f>
        <v/>
      </c>
      <c r="H167" s="306">
        <f>IF(A167&lt;$F$8, 0, $E$8 * $G$8^((A167-$F$8)/12))</f>
        <v/>
      </c>
      <c r="I167" s="306">
        <f>IF(A167&lt;$F$9, 0, $E$9 * $G$9^((A167-$F$9)/12))</f>
        <v/>
      </c>
      <c r="J167" s="306">
        <f>IF(A167&lt;$F$10, 0, $E$10 * $G$10^((A167-$F$10)/12))</f>
        <v/>
      </c>
      <c r="K167" s="306">
        <f>IF(A167&lt;$F$11, 0, $E$11 * $G$11^((A167-$F$11)/12))</f>
        <v/>
      </c>
      <c r="L167" s="306">
        <f>IF(A167&lt;$F$12, 0, $E$12 * $G$12^((A167-$F$12)/12))</f>
        <v/>
      </c>
      <c r="M167" s="306">
        <f>IF(A167&lt;$F$13, 0, $E$13 * $G$13^((A167-$F$13)/12))</f>
        <v/>
      </c>
      <c r="N167" s="306">
        <f>IF(A167&lt;$F$14, 0, $E$14 * $G$14^((A167-$F$14)/12))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$E$6 * $G$6^((A168-$F$6)/12))</f>
        <v/>
      </c>
      <c r="G168" s="306">
        <f>IF(A168&lt;$F$7, 0, $E$7 * $G$7^((A168-$F$7)/12))</f>
        <v/>
      </c>
      <c r="H168" s="306">
        <f>IF(A168&lt;$F$8, 0, $E$8 * $G$8^((A168-$F$8)/12))</f>
        <v/>
      </c>
      <c r="I168" s="306">
        <f>IF(A168&lt;$F$9, 0, $E$9 * $G$9^((A168-$F$9)/12))</f>
        <v/>
      </c>
      <c r="J168" s="306">
        <f>IF(A168&lt;$F$10, 0, $E$10 * $G$10^((A168-$F$10)/12))</f>
        <v/>
      </c>
      <c r="K168" s="306">
        <f>IF(A168&lt;$F$11, 0, $E$11 * $G$11^((A168-$F$11)/12))</f>
        <v/>
      </c>
      <c r="L168" s="306">
        <f>IF(A168&lt;$F$12, 0, $E$12 * $G$12^((A168-$F$12)/12))</f>
        <v/>
      </c>
      <c r="M168" s="306">
        <f>IF(A168&lt;$F$13, 0, $E$13 * $G$13^((A168-$F$13)/12))</f>
        <v/>
      </c>
      <c r="N168" s="306">
        <f>IF(A168&lt;$F$14, 0, $E$14 * $G$14^((A168-$F$14)/12))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$E$6 * $G$6^((A169-$F$6)/12))</f>
        <v/>
      </c>
      <c r="G169" s="306">
        <f>IF(A169&lt;$F$7, 0, $E$7 * $G$7^((A169-$F$7)/12))</f>
        <v/>
      </c>
      <c r="H169" s="306">
        <f>IF(A169&lt;$F$8, 0, $E$8 * $G$8^((A169-$F$8)/12))</f>
        <v/>
      </c>
      <c r="I169" s="306">
        <f>IF(A169&lt;$F$9, 0, $E$9 * $G$9^((A169-$F$9)/12))</f>
        <v/>
      </c>
      <c r="J169" s="306">
        <f>IF(A169&lt;$F$10, 0, $E$10 * $G$10^((A169-$F$10)/12))</f>
        <v/>
      </c>
      <c r="K169" s="306">
        <f>IF(A169&lt;$F$11, 0, $E$11 * $G$11^((A169-$F$11)/12))</f>
        <v/>
      </c>
      <c r="L169" s="306">
        <f>IF(A169&lt;$F$12, 0, $E$12 * $G$12^((A169-$F$12)/12))</f>
        <v/>
      </c>
      <c r="M169" s="306">
        <f>IF(A169&lt;$F$13, 0, $E$13 * $G$13^((A169-$F$13)/12))</f>
        <v/>
      </c>
      <c r="N169" s="306">
        <f>IF(A169&lt;$F$14, 0, $E$14 * $G$14^((A169-$F$14)/12))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$E$6 * $G$6^((A170-$F$6)/12))</f>
        <v/>
      </c>
      <c r="G170" s="306">
        <f>IF(A170&lt;$F$7, 0, $E$7 * $G$7^((A170-$F$7)/12))</f>
        <v/>
      </c>
      <c r="H170" s="306">
        <f>IF(A170&lt;$F$8, 0, $E$8 * $G$8^((A170-$F$8)/12))</f>
        <v/>
      </c>
      <c r="I170" s="306">
        <f>IF(A170&lt;$F$9, 0, $E$9 * $G$9^((A170-$F$9)/12))</f>
        <v/>
      </c>
      <c r="J170" s="306">
        <f>IF(A170&lt;$F$10, 0, $E$10 * $G$10^((A170-$F$10)/12))</f>
        <v/>
      </c>
      <c r="K170" s="306">
        <f>IF(A170&lt;$F$11, 0, $E$11 * $G$11^((A170-$F$11)/12))</f>
        <v/>
      </c>
      <c r="L170" s="306">
        <f>IF(A170&lt;$F$12, 0, $E$12 * $G$12^((A170-$F$12)/12))</f>
        <v/>
      </c>
      <c r="M170" s="306">
        <f>IF(A170&lt;$F$13, 0, $E$13 * $G$13^((A170-$F$13)/12))</f>
        <v/>
      </c>
      <c r="N170" s="306">
        <f>IF(A170&lt;$F$14, 0, $E$14 * $G$14^((A170-$F$14)/12))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$E$6 * $G$6^((A171-$F$6)/12))</f>
        <v/>
      </c>
      <c r="G171" s="306">
        <f>IF(A171&lt;$F$7, 0, $E$7 * $G$7^((A171-$F$7)/12))</f>
        <v/>
      </c>
      <c r="H171" s="306">
        <f>IF(A171&lt;$F$8, 0, $E$8 * $G$8^((A171-$F$8)/12))</f>
        <v/>
      </c>
      <c r="I171" s="306">
        <f>IF(A171&lt;$F$9, 0, $E$9 * $G$9^((A171-$F$9)/12))</f>
        <v/>
      </c>
      <c r="J171" s="306">
        <f>IF(A171&lt;$F$10, 0, $E$10 * $G$10^((A171-$F$10)/12))</f>
        <v/>
      </c>
      <c r="K171" s="306">
        <f>IF(A171&lt;$F$11, 0, $E$11 * $G$11^((A171-$F$11)/12))</f>
        <v/>
      </c>
      <c r="L171" s="306">
        <f>IF(A171&lt;$F$12, 0, $E$12 * $G$12^((A171-$F$12)/12))</f>
        <v/>
      </c>
      <c r="M171" s="306">
        <f>IF(A171&lt;$F$13, 0, $E$13 * $G$13^((A171-$F$13)/12))</f>
        <v/>
      </c>
      <c r="N171" s="306">
        <f>IF(A171&lt;$F$14, 0, $E$14 * $G$14^((A171-$F$14)/12))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$E$6 * $G$6^((A172-$F$6)/12))</f>
        <v/>
      </c>
      <c r="G172" s="306">
        <f>IF(A172&lt;$F$7, 0, $E$7 * $G$7^((A172-$F$7)/12))</f>
        <v/>
      </c>
      <c r="H172" s="306">
        <f>IF(A172&lt;$F$8, 0, $E$8 * $G$8^((A172-$F$8)/12))</f>
        <v/>
      </c>
      <c r="I172" s="306">
        <f>IF(A172&lt;$F$9, 0, $E$9 * $G$9^((A172-$F$9)/12))</f>
        <v/>
      </c>
      <c r="J172" s="306">
        <f>IF(A172&lt;$F$10, 0, $E$10 * $G$10^((A172-$F$10)/12))</f>
        <v/>
      </c>
      <c r="K172" s="306">
        <f>IF(A172&lt;$F$11, 0, $E$11 * $G$11^((A172-$F$11)/12))</f>
        <v/>
      </c>
      <c r="L172" s="306">
        <f>IF(A172&lt;$F$12, 0, $E$12 * $G$12^((A172-$F$12)/12))</f>
        <v/>
      </c>
      <c r="M172" s="306">
        <f>IF(A172&lt;$F$13, 0, $E$13 * $G$13^((A172-$F$13)/12))</f>
        <v/>
      </c>
      <c r="N172" s="306">
        <f>IF(A172&lt;$F$14, 0, $E$14 * $G$14^((A172-$F$14)/12))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$E$6 * $G$6^((A173-$F$6)/12))</f>
        <v/>
      </c>
      <c r="G173" s="306">
        <f>IF(A173&lt;$F$7, 0, $E$7 * $G$7^((A173-$F$7)/12))</f>
        <v/>
      </c>
      <c r="H173" s="306">
        <f>IF(A173&lt;$F$8, 0, $E$8 * $G$8^((A173-$F$8)/12))</f>
        <v/>
      </c>
      <c r="I173" s="306">
        <f>IF(A173&lt;$F$9, 0, $E$9 * $G$9^((A173-$F$9)/12))</f>
        <v/>
      </c>
      <c r="J173" s="306">
        <f>IF(A173&lt;$F$10, 0, $E$10 * $G$10^((A173-$F$10)/12))</f>
        <v/>
      </c>
      <c r="K173" s="306">
        <f>IF(A173&lt;$F$11, 0, $E$11 * $G$11^((A173-$F$11)/12))</f>
        <v/>
      </c>
      <c r="L173" s="306">
        <f>IF(A173&lt;$F$12, 0, $E$12 * $G$12^((A173-$F$12)/12))</f>
        <v/>
      </c>
      <c r="M173" s="306">
        <f>IF(A173&lt;$F$13, 0, $E$13 * $G$13^((A173-$F$13)/12))</f>
        <v/>
      </c>
      <c r="N173" s="306">
        <f>IF(A173&lt;$F$14, 0, $E$14 * $G$14^((A173-$F$14)/12))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$E$6 * $G$6^((A174-$F$6)/12))</f>
        <v/>
      </c>
      <c r="G174" s="306">
        <f>IF(A174&lt;$F$7, 0, $E$7 * $G$7^((A174-$F$7)/12))</f>
        <v/>
      </c>
      <c r="H174" s="306">
        <f>IF(A174&lt;$F$8, 0, $E$8 * $G$8^((A174-$F$8)/12))</f>
        <v/>
      </c>
      <c r="I174" s="306">
        <f>IF(A174&lt;$F$9, 0, $E$9 * $G$9^((A174-$F$9)/12))</f>
        <v/>
      </c>
      <c r="J174" s="306">
        <f>IF(A174&lt;$F$10, 0, $E$10 * $G$10^((A174-$F$10)/12))</f>
        <v/>
      </c>
      <c r="K174" s="306">
        <f>IF(A174&lt;$F$11, 0, $E$11 * $G$11^((A174-$F$11)/12))</f>
        <v/>
      </c>
      <c r="L174" s="306">
        <f>IF(A174&lt;$F$12, 0, $E$12 * $G$12^((A174-$F$12)/12))</f>
        <v/>
      </c>
      <c r="M174" s="306">
        <f>IF(A174&lt;$F$13, 0, $E$13 * $G$13^((A174-$F$13)/12))</f>
        <v/>
      </c>
      <c r="N174" s="306">
        <f>IF(A174&lt;$F$14, 0, $E$14 * $G$14^((A174-$F$14)/12))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$E$6 * $G$6^((A175-$F$6)/12))</f>
        <v/>
      </c>
      <c r="G175" s="306">
        <f>IF(A175&lt;$F$7, 0, $E$7 * $G$7^((A175-$F$7)/12))</f>
        <v/>
      </c>
      <c r="H175" s="306">
        <f>IF(A175&lt;$F$8, 0, $E$8 * $G$8^((A175-$F$8)/12))</f>
        <v/>
      </c>
      <c r="I175" s="306">
        <f>IF(A175&lt;$F$9, 0, $E$9 * $G$9^((A175-$F$9)/12))</f>
        <v/>
      </c>
      <c r="J175" s="306">
        <f>IF(A175&lt;$F$10, 0, $E$10 * $G$10^((A175-$F$10)/12))</f>
        <v/>
      </c>
      <c r="K175" s="306">
        <f>IF(A175&lt;$F$11, 0, $E$11 * $G$11^((A175-$F$11)/12))</f>
        <v/>
      </c>
      <c r="L175" s="306">
        <f>IF(A175&lt;$F$12, 0, $E$12 * $G$12^((A175-$F$12)/12))</f>
        <v/>
      </c>
      <c r="M175" s="306">
        <f>IF(A175&lt;$F$13, 0, $E$13 * $G$13^((A175-$F$13)/12))</f>
        <v/>
      </c>
      <c r="N175" s="306">
        <f>IF(A175&lt;$F$14, 0, $E$14 * $G$14^((A175-$F$14)/12))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$E$6 * $G$6^((A176-$F$6)/12))</f>
        <v/>
      </c>
      <c r="G176" s="306">
        <f>IF(A176&lt;$F$7, 0, $E$7 * $G$7^((A176-$F$7)/12))</f>
        <v/>
      </c>
      <c r="H176" s="306">
        <f>IF(A176&lt;$F$8, 0, $E$8 * $G$8^((A176-$F$8)/12))</f>
        <v/>
      </c>
      <c r="I176" s="306">
        <f>IF(A176&lt;$F$9, 0, $E$9 * $G$9^((A176-$F$9)/12))</f>
        <v/>
      </c>
      <c r="J176" s="306">
        <f>IF(A176&lt;$F$10, 0, $E$10 * $G$10^((A176-$F$10)/12))</f>
        <v/>
      </c>
      <c r="K176" s="306">
        <f>IF(A176&lt;$F$11, 0, $E$11 * $G$11^((A176-$F$11)/12))</f>
        <v/>
      </c>
      <c r="L176" s="306">
        <f>IF(A176&lt;$F$12, 0, $E$12 * $G$12^((A176-$F$12)/12))</f>
        <v/>
      </c>
      <c r="M176" s="306">
        <f>IF(A176&lt;$F$13, 0, $E$13 * $G$13^((A176-$F$13)/12))</f>
        <v/>
      </c>
      <c r="N176" s="306">
        <f>IF(A176&lt;$F$14, 0, $E$14 * $G$14^((A176-$F$14)/12))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$E$6 * $G$6^((A177-$F$6)/12))</f>
        <v/>
      </c>
      <c r="G177" s="306">
        <f>IF(A177&lt;$F$7, 0, $E$7 * $G$7^((A177-$F$7)/12))</f>
        <v/>
      </c>
      <c r="H177" s="306">
        <f>IF(A177&lt;$F$8, 0, $E$8 * $G$8^((A177-$F$8)/12))</f>
        <v/>
      </c>
      <c r="I177" s="306">
        <f>IF(A177&lt;$F$9, 0, $E$9 * $G$9^((A177-$F$9)/12))</f>
        <v/>
      </c>
      <c r="J177" s="306">
        <f>IF(A177&lt;$F$10, 0, $E$10 * $G$10^((A177-$F$10)/12))</f>
        <v/>
      </c>
      <c r="K177" s="306">
        <f>IF(A177&lt;$F$11, 0, $E$11 * $G$11^((A177-$F$11)/12))</f>
        <v/>
      </c>
      <c r="L177" s="306">
        <f>IF(A177&lt;$F$12, 0, $E$12 * $G$12^((A177-$F$12)/12))</f>
        <v/>
      </c>
      <c r="M177" s="306">
        <f>IF(A177&lt;$F$13, 0, $E$13 * $G$13^((A177-$F$13)/12))</f>
        <v/>
      </c>
      <c r="N177" s="306">
        <f>IF(A177&lt;$F$14, 0, $E$14 * $G$14^((A177-$F$14)/12))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$E$6 * $G$6^((A178-$F$6)/12))</f>
        <v/>
      </c>
      <c r="G178" s="306">
        <f>IF(A178&lt;$F$7, 0, $E$7 * $G$7^((A178-$F$7)/12))</f>
        <v/>
      </c>
      <c r="H178" s="306">
        <f>IF(A178&lt;$F$8, 0, $E$8 * $G$8^((A178-$F$8)/12))</f>
        <v/>
      </c>
      <c r="I178" s="306">
        <f>IF(A178&lt;$F$9, 0, $E$9 * $G$9^((A178-$F$9)/12))</f>
        <v/>
      </c>
      <c r="J178" s="306">
        <f>IF(A178&lt;$F$10, 0, $E$10 * $G$10^((A178-$F$10)/12))</f>
        <v/>
      </c>
      <c r="K178" s="306">
        <f>IF(A178&lt;$F$11, 0, $E$11 * $G$11^((A178-$F$11)/12))</f>
        <v/>
      </c>
      <c r="L178" s="306">
        <f>IF(A178&lt;$F$12, 0, $E$12 * $G$12^((A178-$F$12)/12))</f>
        <v/>
      </c>
      <c r="M178" s="306">
        <f>IF(A178&lt;$F$13, 0, $E$13 * $G$13^((A178-$F$13)/12))</f>
        <v/>
      </c>
      <c r="N178" s="306">
        <f>IF(A178&lt;$F$14, 0, $E$14 * $G$14^((A178-$F$14)/12))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$E$6 * $G$6^((A179-$F$6)/12))</f>
        <v/>
      </c>
      <c r="G179" s="306">
        <f>IF(A179&lt;$F$7, 0, $E$7 * $G$7^((A179-$F$7)/12))</f>
        <v/>
      </c>
      <c r="H179" s="306">
        <f>IF(A179&lt;$F$8, 0, $E$8 * $G$8^((A179-$F$8)/12))</f>
        <v/>
      </c>
      <c r="I179" s="306">
        <f>IF(A179&lt;$F$9, 0, $E$9 * $G$9^((A179-$F$9)/12))</f>
        <v/>
      </c>
      <c r="J179" s="306">
        <f>IF(A179&lt;$F$10, 0, $E$10 * $G$10^((A179-$F$10)/12))</f>
        <v/>
      </c>
      <c r="K179" s="306">
        <f>IF(A179&lt;$F$11, 0, $E$11 * $G$11^((A179-$F$11)/12))</f>
        <v/>
      </c>
      <c r="L179" s="306">
        <f>IF(A179&lt;$F$12, 0, $E$12 * $G$12^((A179-$F$12)/12))</f>
        <v/>
      </c>
      <c r="M179" s="306">
        <f>IF(A179&lt;$F$13, 0, $E$13 * $G$13^((A179-$F$13)/12))</f>
        <v/>
      </c>
      <c r="N179" s="306">
        <f>IF(A179&lt;$F$14, 0, $E$14 * $G$14^((A179-$F$14)/12))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$E$6 * $G$6^((A180-$F$6)/12))</f>
        <v/>
      </c>
      <c r="G180" s="306">
        <f>IF(A180&lt;$F$7, 0, $E$7 * $G$7^((A180-$F$7)/12))</f>
        <v/>
      </c>
      <c r="H180" s="306">
        <f>IF(A180&lt;$F$8, 0, $E$8 * $G$8^((A180-$F$8)/12))</f>
        <v/>
      </c>
      <c r="I180" s="306">
        <f>IF(A180&lt;$F$9, 0, $E$9 * $G$9^((A180-$F$9)/12))</f>
        <v/>
      </c>
      <c r="J180" s="306">
        <f>IF(A180&lt;$F$10, 0, $E$10 * $G$10^((A180-$F$10)/12))</f>
        <v/>
      </c>
      <c r="K180" s="306">
        <f>IF(A180&lt;$F$11, 0, $E$11 * $G$11^((A180-$F$11)/12))</f>
        <v/>
      </c>
      <c r="L180" s="306">
        <f>IF(A180&lt;$F$12, 0, $E$12 * $G$12^((A180-$F$12)/12))</f>
        <v/>
      </c>
      <c r="M180" s="306">
        <f>IF(A180&lt;$F$13, 0, $E$13 * $G$13^((A180-$F$13)/12))</f>
        <v/>
      </c>
      <c r="N180" s="306">
        <f>IF(A180&lt;$F$14, 0, $E$14 * $G$14^((A180-$F$14)/12))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$E$6 * $G$6^((A181-$F$6)/12))</f>
        <v/>
      </c>
      <c r="G181" s="306">
        <f>IF(A181&lt;$F$7, 0, $E$7 * $G$7^((A181-$F$7)/12))</f>
        <v/>
      </c>
      <c r="H181" s="306">
        <f>IF(A181&lt;$F$8, 0, $E$8 * $G$8^((A181-$F$8)/12))</f>
        <v/>
      </c>
      <c r="I181" s="306">
        <f>IF(A181&lt;$F$9, 0, $E$9 * $G$9^((A181-$F$9)/12))</f>
        <v/>
      </c>
      <c r="J181" s="306">
        <f>IF(A181&lt;$F$10, 0, $E$10 * $G$10^((A181-$F$10)/12))</f>
        <v/>
      </c>
      <c r="K181" s="306">
        <f>IF(A181&lt;$F$11, 0, $E$11 * $G$11^((A181-$F$11)/12))</f>
        <v/>
      </c>
      <c r="L181" s="306">
        <f>IF(A181&lt;$F$12, 0, $E$12 * $G$12^((A181-$F$12)/12))</f>
        <v/>
      </c>
      <c r="M181" s="306">
        <f>IF(A181&lt;$F$13, 0, $E$13 * $G$13^((A181-$F$13)/12))</f>
        <v/>
      </c>
      <c r="N181" s="306">
        <f>IF(A181&lt;$F$14, 0, $E$14 * $G$14^((A181-$F$14)/12))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$E$6 * $G$6^((A182-$F$6)/12))</f>
        <v/>
      </c>
      <c r="G182" s="306">
        <f>IF(A182&lt;$F$7, 0, $E$7 * $G$7^((A182-$F$7)/12))</f>
        <v/>
      </c>
      <c r="H182" s="306">
        <f>IF(A182&lt;$F$8, 0, $E$8 * $G$8^((A182-$F$8)/12))</f>
        <v/>
      </c>
      <c r="I182" s="306">
        <f>IF(A182&lt;$F$9, 0, $E$9 * $G$9^((A182-$F$9)/12))</f>
        <v/>
      </c>
      <c r="J182" s="306">
        <f>IF(A182&lt;$F$10, 0, $E$10 * $G$10^((A182-$F$10)/12))</f>
        <v/>
      </c>
      <c r="K182" s="306">
        <f>IF(A182&lt;$F$11, 0, $E$11 * $G$11^((A182-$F$11)/12))</f>
        <v/>
      </c>
      <c r="L182" s="306">
        <f>IF(A182&lt;$F$12, 0, $E$12 * $G$12^((A182-$F$12)/12))</f>
        <v/>
      </c>
      <c r="M182" s="306">
        <f>IF(A182&lt;$F$13, 0, $E$13 * $G$13^((A182-$F$13)/12))</f>
        <v/>
      </c>
      <c r="N182" s="306">
        <f>IF(A182&lt;$F$14, 0, $E$14 * $G$14^((A182-$F$14)/12))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$E$6 * $G$6^((A183-$F$6)/12))</f>
        <v/>
      </c>
      <c r="G183" s="306">
        <f>IF(A183&lt;$F$7, 0, $E$7 * $G$7^((A183-$F$7)/12))</f>
        <v/>
      </c>
      <c r="H183" s="306">
        <f>IF(A183&lt;$F$8, 0, $E$8 * $G$8^((A183-$F$8)/12))</f>
        <v/>
      </c>
      <c r="I183" s="306">
        <f>IF(A183&lt;$F$9, 0, $E$9 * $G$9^((A183-$F$9)/12))</f>
        <v/>
      </c>
      <c r="J183" s="306">
        <f>IF(A183&lt;$F$10, 0, $E$10 * $G$10^((A183-$F$10)/12))</f>
        <v/>
      </c>
      <c r="K183" s="306">
        <f>IF(A183&lt;$F$11, 0, $E$11 * $G$11^((A183-$F$11)/12))</f>
        <v/>
      </c>
      <c r="L183" s="306">
        <f>IF(A183&lt;$F$12, 0, $E$12 * $G$12^((A183-$F$12)/12))</f>
        <v/>
      </c>
      <c r="M183" s="306">
        <f>IF(A183&lt;$F$13, 0, $E$13 * $G$13^((A183-$F$13)/12))</f>
        <v/>
      </c>
      <c r="N183" s="306">
        <f>IF(A183&lt;$F$14, 0, $E$14 * $G$14^((A183-$F$14)/12))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$E$6 * $G$6^((A184-$F$6)/12))</f>
        <v/>
      </c>
      <c r="G184" s="306">
        <f>IF(A184&lt;$F$7, 0, $E$7 * $G$7^((A184-$F$7)/12))</f>
        <v/>
      </c>
      <c r="H184" s="306">
        <f>IF(A184&lt;$F$8, 0, $E$8 * $G$8^((A184-$F$8)/12))</f>
        <v/>
      </c>
      <c r="I184" s="306">
        <f>IF(A184&lt;$F$9, 0, $E$9 * $G$9^((A184-$F$9)/12))</f>
        <v/>
      </c>
      <c r="J184" s="306">
        <f>IF(A184&lt;$F$10, 0, $E$10 * $G$10^((A184-$F$10)/12))</f>
        <v/>
      </c>
      <c r="K184" s="306">
        <f>IF(A184&lt;$F$11, 0, $E$11 * $G$11^((A184-$F$11)/12))</f>
        <v/>
      </c>
      <c r="L184" s="306">
        <f>IF(A184&lt;$F$12, 0, $E$12 * $G$12^((A184-$F$12)/12))</f>
        <v/>
      </c>
      <c r="M184" s="306">
        <f>IF(A184&lt;$F$13, 0, $E$13 * $G$13^((A184-$F$13)/12))</f>
        <v/>
      </c>
      <c r="N184" s="306">
        <f>IF(A184&lt;$F$14, 0, $E$14 * $G$14^((A184-$F$14)/12))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$E$6 * $G$6^((A185-$F$6)/12))</f>
        <v/>
      </c>
      <c r="G185" s="306">
        <f>IF(A185&lt;$F$7, 0, $E$7 * $G$7^((A185-$F$7)/12))</f>
        <v/>
      </c>
      <c r="H185" s="306">
        <f>IF(A185&lt;$F$8, 0, $E$8 * $G$8^((A185-$F$8)/12))</f>
        <v/>
      </c>
      <c r="I185" s="306">
        <f>IF(A185&lt;$F$9, 0, $E$9 * $G$9^((A185-$F$9)/12))</f>
        <v/>
      </c>
      <c r="J185" s="306">
        <f>IF(A185&lt;$F$10, 0, $E$10 * $G$10^((A185-$F$10)/12))</f>
        <v/>
      </c>
      <c r="K185" s="306">
        <f>IF(A185&lt;$F$11, 0, $E$11 * $G$11^((A185-$F$11)/12))</f>
        <v/>
      </c>
      <c r="L185" s="306">
        <f>IF(A185&lt;$F$12, 0, $E$12 * $G$12^((A185-$F$12)/12))</f>
        <v/>
      </c>
      <c r="M185" s="306">
        <f>IF(A185&lt;$F$13, 0, $E$13 * $G$13^((A185-$F$13)/12))</f>
        <v/>
      </c>
      <c r="N185" s="306">
        <f>IF(A185&lt;$F$14, 0, $E$14 * $G$14^((A185-$F$14)/12))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$E$6 * $G$6^((A186-$F$6)/12))</f>
        <v/>
      </c>
      <c r="G186" s="306">
        <f>IF(A186&lt;$F$7, 0, $E$7 * $G$7^((A186-$F$7)/12))</f>
        <v/>
      </c>
      <c r="H186" s="306">
        <f>IF(A186&lt;$F$8, 0, $E$8 * $G$8^((A186-$F$8)/12))</f>
        <v/>
      </c>
      <c r="I186" s="306">
        <f>IF(A186&lt;$F$9, 0, $E$9 * $G$9^((A186-$F$9)/12))</f>
        <v/>
      </c>
      <c r="J186" s="306">
        <f>IF(A186&lt;$F$10, 0, $E$10 * $G$10^((A186-$F$10)/12))</f>
        <v/>
      </c>
      <c r="K186" s="306">
        <f>IF(A186&lt;$F$11, 0, $E$11 * $G$11^((A186-$F$11)/12))</f>
        <v/>
      </c>
      <c r="L186" s="306">
        <f>IF(A186&lt;$F$12, 0, $E$12 * $G$12^((A186-$F$12)/12))</f>
        <v/>
      </c>
      <c r="M186" s="306">
        <f>IF(A186&lt;$F$13, 0, $E$13 * $G$13^((A186-$F$13)/12))</f>
        <v/>
      </c>
      <c r="N186" s="306">
        <f>IF(A186&lt;$F$14, 0, $E$14 * $G$14^((A186-$F$14)/12))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$E$6 * $G$6^((A187-$F$6)/12))</f>
        <v/>
      </c>
      <c r="G187" s="306">
        <f>IF(A187&lt;$F$7, 0, $E$7 * $G$7^((A187-$F$7)/12))</f>
        <v/>
      </c>
      <c r="H187" s="306">
        <f>IF(A187&lt;$F$8, 0, $E$8 * $G$8^((A187-$F$8)/12))</f>
        <v/>
      </c>
      <c r="I187" s="306">
        <f>IF(A187&lt;$F$9, 0, $E$9 * $G$9^((A187-$F$9)/12))</f>
        <v/>
      </c>
      <c r="J187" s="306">
        <f>IF(A187&lt;$F$10, 0, $E$10 * $G$10^((A187-$F$10)/12))</f>
        <v/>
      </c>
      <c r="K187" s="306">
        <f>IF(A187&lt;$F$11, 0, $E$11 * $G$11^((A187-$F$11)/12))</f>
        <v/>
      </c>
      <c r="L187" s="306">
        <f>IF(A187&lt;$F$12, 0, $E$12 * $G$12^((A187-$F$12)/12))</f>
        <v/>
      </c>
      <c r="M187" s="306">
        <f>IF(A187&lt;$F$13, 0, $E$13 * $G$13^((A187-$F$13)/12))</f>
        <v/>
      </c>
      <c r="N187" s="306">
        <f>IF(A187&lt;$F$14, 0, $E$14 * $G$14^((A187-$F$14)/12))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$E$6 * $G$6^((A188-$F$6)/12))</f>
        <v/>
      </c>
      <c r="G188" s="306">
        <f>IF(A188&lt;$F$7, 0, $E$7 * $G$7^((A188-$F$7)/12))</f>
        <v/>
      </c>
      <c r="H188" s="306">
        <f>IF(A188&lt;$F$8, 0, $E$8 * $G$8^((A188-$F$8)/12))</f>
        <v/>
      </c>
      <c r="I188" s="306">
        <f>IF(A188&lt;$F$9, 0, $E$9 * $G$9^((A188-$F$9)/12))</f>
        <v/>
      </c>
      <c r="J188" s="306">
        <f>IF(A188&lt;$F$10, 0, $E$10 * $G$10^((A188-$F$10)/12))</f>
        <v/>
      </c>
      <c r="K188" s="306">
        <f>IF(A188&lt;$F$11, 0, $E$11 * $G$11^((A188-$F$11)/12))</f>
        <v/>
      </c>
      <c r="L188" s="306">
        <f>IF(A188&lt;$F$12, 0, $E$12 * $G$12^((A188-$F$12)/12))</f>
        <v/>
      </c>
      <c r="M188" s="306">
        <f>IF(A188&lt;$F$13, 0, $E$13 * $G$13^((A188-$F$13)/12))</f>
        <v/>
      </c>
      <c r="N188" s="306">
        <f>IF(A188&lt;$F$14, 0, $E$14 * $G$14^((A188-$F$14)/12))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$E$6 * $G$6^((A189-$F$6)/12))</f>
        <v/>
      </c>
      <c r="G189" s="306">
        <f>IF(A189&lt;$F$7, 0, $E$7 * $G$7^((A189-$F$7)/12))</f>
        <v/>
      </c>
      <c r="H189" s="306">
        <f>IF(A189&lt;$F$8, 0, $E$8 * $G$8^((A189-$F$8)/12))</f>
        <v/>
      </c>
      <c r="I189" s="306">
        <f>IF(A189&lt;$F$9, 0, $E$9 * $G$9^((A189-$F$9)/12))</f>
        <v/>
      </c>
      <c r="J189" s="306">
        <f>IF(A189&lt;$F$10, 0, $E$10 * $G$10^((A189-$F$10)/12))</f>
        <v/>
      </c>
      <c r="K189" s="306">
        <f>IF(A189&lt;$F$11, 0, $E$11 * $G$11^((A189-$F$11)/12))</f>
        <v/>
      </c>
      <c r="L189" s="306">
        <f>IF(A189&lt;$F$12, 0, $E$12 * $G$12^((A189-$F$12)/12))</f>
        <v/>
      </c>
      <c r="M189" s="306">
        <f>IF(A189&lt;$F$13, 0, $E$13 * $G$13^((A189-$F$13)/12))</f>
        <v/>
      </c>
      <c r="N189" s="306">
        <f>IF(A189&lt;$F$14, 0, $E$14 * $G$14^((A189-$F$14)/12))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$E$6 * $G$6^((A190-$F$6)/12))</f>
        <v/>
      </c>
      <c r="G190" s="306">
        <f>IF(A190&lt;$F$7, 0, $E$7 * $G$7^((A190-$F$7)/12))</f>
        <v/>
      </c>
      <c r="H190" s="306">
        <f>IF(A190&lt;$F$8, 0, $E$8 * $G$8^((A190-$F$8)/12))</f>
        <v/>
      </c>
      <c r="I190" s="306">
        <f>IF(A190&lt;$F$9, 0, $E$9 * $G$9^((A190-$F$9)/12))</f>
        <v/>
      </c>
      <c r="J190" s="306">
        <f>IF(A190&lt;$F$10, 0, $E$10 * $G$10^((A190-$F$10)/12))</f>
        <v/>
      </c>
      <c r="K190" s="306">
        <f>IF(A190&lt;$F$11, 0, $E$11 * $G$11^((A190-$F$11)/12))</f>
        <v/>
      </c>
      <c r="L190" s="306">
        <f>IF(A190&lt;$F$12, 0, $E$12 * $G$12^((A190-$F$12)/12))</f>
        <v/>
      </c>
      <c r="M190" s="306">
        <f>IF(A190&lt;$F$13, 0, $E$13 * $G$13^((A190-$F$13)/12))</f>
        <v/>
      </c>
      <c r="N190" s="306">
        <f>IF(A190&lt;$F$14, 0, $E$14 * $G$14^((A190-$F$14)/12))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$E$6 * $G$6^((A191-$F$6)/12))</f>
        <v/>
      </c>
      <c r="G191" s="306">
        <f>IF(A191&lt;$F$7, 0, $E$7 * $G$7^((A191-$F$7)/12))</f>
        <v/>
      </c>
      <c r="H191" s="306">
        <f>IF(A191&lt;$F$8, 0, $E$8 * $G$8^((A191-$F$8)/12))</f>
        <v/>
      </c>
      <c r="I191" s="306">
        <f>IF(A191&lt;$F$9, 0, $E$9 * $G$9^((A191-$F$9)/12))</f>
        <v/>
      </c>
      <c r="J191" s="306">
        <f>IF(A191&lt;$F$10, 0, $E$10 * $G$10^((A191-$F$10)/12))</f>
        <v/>
      </c>
      <c r="K191" s="306">
        <f>IF(A191&lt;$F$11, 0, $E$11 * $G$11^((A191-$F$11)/12))</f>
        <v/>
      </c>
      <c r="L191" s="306">
        <f>IF(A191&lt;$F$12, 0, $E$12 * $G$12^((A191-$F$12)/12))</f>
        <v/>
      </c>
      <c r="M191" s="306">
        <f>IF(A191&lt;$F$13, 0, $E$13 * $G$13^((A191-$F$13)/12))</f>
        <v/>
      </c>
      <c r="N191" s="306">
        <f>IF(A191&lt;$F$14, 0, $E$14 * $G$14^((A191-$F$14)/12))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$E$6 * $G$6^((A192-$F$6)/12))</f>
        <v/>
      </c>
      <c r="G192" s="306">
        <f>IF(A192&lt;$F$7, 0, $E$7 * $G$7^((A192-$F$7)/12))</f>
        <v/>
      </c>
      <c r="H192" s="306">
        <f>IF(A192&lt;$F$8, 0, $E$8 * $G$8^((A192-$F$8)/12))</f>
        <v/>
      </c>
      <c r="I192" s="306">
        <f>IF(A192&lt;$F$9, 0, $E$9 * $G$9^((A192-$F$9)/12))</f>
        <v/>
      </c>
      <c r="J192" s="306">
        <f>IF(A192&lt;$F$10, 0, $E$10 * $G$10^((A192-$F$10)/12))</f>
        <v/>
      </c>
      <c r="K192" s="306">
        <f>IF(A192&lt;$F$11, 0, $E$11 * $G$11^((A192-$F$11)/12))</f>
        <v/>
      </c>
      <c r="L192" s="306">
        <f>IF(A192&lt;$F$12, 0, $E$12 * $G$12^((A192-$F$12)/12))</f>
        <v/>
      </c>
      <c r="M192" s="306">
        <f>IF(A192&lt;$F$13, 0, $E$13 * $G$13^((A192-$F$13)/12))</f>
        <v/>
      </c>
      <c r="N192" s="306">
        <f>IF(A192&lt;$F$14, 0, $E$14 * $G$14^((A192-$F$14)/12))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$E$6 * $G$6^((A193-$F$6)/12))</f>
        <v/>
      </c>
      <c r="G193" s="306">
        <f>IF(A193&lt;$F$7, 0, $E$7 * $G$7^((A193-$F$7)/12))</f>
        <v/>
      </c>
      <c r="H193" s="306">
        <f>IF(A193&lt;$F$8, 0, $E$8 * $G$8^((A193-$F$8)/12))</f>
        <v/>
      </c>
      <c r="I193" s="306">
        <f>IF(A193&lt;$F$9, 0, $E$9 * $G$9^((A193-$F$9)/12))</f>
        <v/>
      </c>
      <c r="J193" s="306">
        <f>IF(A193&lt;$F$10, 0, $E$10 * $G$10^((A193-$F$10)/12))</f>
        <v/>
      </c>
      <c r="K193" s="306">
        <f>IF(A193&lt;$F$11, 0, $E$11 * $G$11^((A193-$F$11)/12))</f>
        <v/>
      </c>
      <c r="L193" s="306">
        <f>IF(A193&lt;$F$12, 0, $E$12 * $G$12^((A193-$F$12)/12))</f>
        <v/>
      </c>
      <c r="M193" s="306">
        <f>IF(A193&lt;$F$13, 0, $E$13 * $G$13^((A193-$F$13)/12))</f>
        <v/>
      </c>
      <c r="N193" s="306">
        <f>IF(A193&lt;$F$14, 0, $E$14 * $G$14^((A193-$F$14)/12))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$E$6 * $G$6^((A194-$F$6)/12))</f>
        <v/>
      </c>
      <c r="G194" s="306">
        <f>IF(A194&lt;$F$7, 0, $E$7 * $G$7^((A194-$F$7)/12))</f>
        <v/>
      </c>
      <c r="H194" s="306">
        <f>IF(A194&lt;$F$8, 0, $E$8 * $G$8^((A194-$F$8)/12))</f>
        <v/>
      </c>
      <c r="I194" s="306">
        <f>IF(A194&lt;$F$9, 0, $E$9 * $G$9^((A194-$F$9)/12))</f>
        <v/>
      </c>
      <c r="J194" s="306">
        <f>IF(A194&lt;$F$10, 0, $E$10 * $G$10^((A194-$F$10)/12))</f>
        <v/>
      </c>
      <c r="K194" s="306">
        <f>IF(A194&lt;$F$11, 0, $E$11 * $G$11^((A194-$F$11)/12))</f>
        <v/>
      </c>
      <c r="L194" s="306">
        <f>IF(A194&lt;$F$12, 0, $E$12 * $G$12^((A194-$F$12)/12))</f>
        <v/>
      </c>
      <c r="M194" s="306">
        <f>IF(A194&lt;$F$13, 0, $E$13 * $G$13^((A194-$F$13)/12))</f>
        <v/>
      </c>
      <c r="N194" s="306">
        <f>IF(A194&lt;$F$14, 0, $E$14 * $G$14^((A194-$F$14)/12))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$E$6 * $G$6^((A195-$F$6)/12))</f>
        <v/>
      </c>
      <c r="G195" s="306">
        <f>IF(A195&lt;$F$7, 0, $E$7 * $G$7^((A195-$F$7)/12))</f>
        <v/>
      </c>
      <c r="H195" s="306">
        <f>IF(A195&lt;$F$8, 0, $E$8 * $G$8^((A195-$F$8)/12))</f>
        <v/>
      </c>
      <c r="I195" s="306">
        <f>IF(A195&lt;$F$9, 0, $E$9 * $G$9^((A195-$F$9)/12))</f>
        <v/>
      </c>
      <c r="J195" s="306">
        <f>IF(A195&lt;$F$10, 0, $E$10 * $G$10^((A195-$F$10)/12))</f>
        <v/>
      </c>
      <c r="K195" s="306">
        <f>IF(A195&lt;$F$11, 0, $E$11 * $G$11^((A195-$F$11)/12))</f>
        <v/>
      </c>
      <c r="L195" s="306">
        <f>IF(A195&lt;$F$12, 0, $E$12 * $G$12^((A195-$F$12)/12))</f>
        <v/>
      </c>
      <c r="M195" s="306">
        <f>IF(A195&lt;$F$13, 0, $E$13 * $G$13^((A195-$F$13)/12))</f>
        <v/>
      </c>
      <c r="N195" s="306">
        <f>IF(A195&lt;$F$14, 0, $E$14 * $G$14^((A195-$F$14)/12))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$E$6 * $G$6^((A196-$F$6)/12))</f>
        <v/>
      </c>
      <c r="G196" s="306">
        <f>IF(A196&lt;$F$7, 0, $E$7 * $G$7^((A196-$F$7)/12))</f>
        <v/>
      </c>
      <c r="H196" s="306">
        <f>IF(A196&lt;$F$8, 0, $E$8 * $G$8^((A196-$F$8)/12))</f>
        <v/>
      </c>
      <c r="I196" s="306">
        <f>IF(A196&lt;$F$9, 0, $E$9 * $G$9^((A196-$F$9)/12))</f>
        <v/>
      </c>
      <c r="J196" s="306">
        <f>IF(A196&lt;$F$10, 0, $E$10 * $G$10^((A196-$F$10)/12))</f>
        <v/>
      </c>
      <c r="K196" s="306">
        <f>IF(A196&lt;$F$11, 0, $E$11 * $G$11^((A196-$F$11)/12))</f>
        <v/>
      </c>
      <c r="L196" s="306">
        <f>IF(A196&lt;$F$12, 0, $E$12 * $G$12^((A196-$F$12)/12))</f>
        <v/>
      </c>
      <c r="M196" s="306">
        <f>IF(A196&lt;$F$13, 0, $E$13 * $G$13^((A196-$F$13)/12))</f>
        <v/>
      </c>
      <c r="N196" s="306">
        <f>IF(A196&lt;$F$14, 0, $E$14 * $G$14^((A196-$F$14)/12))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$E$6 * $G$6^((A197-$F$6)/12))</f>
        <v/>
      </c>
      <c r="G197" s="306">
        <f>IF(A197&lt;$F$7, 0, $E$7 * $G$7^((A197-$F$7)/12))</f>
        <v/>
      </c>
      <c r="H197" s="306">
        <f>IF(A197&lt;$F$8, 0, $E$8 * $G$8^((A197-$F$8)/12))</f>
        <v/>
      </c>
      <c r="I197" s="306">
        <f>IF(A197&lt;$F$9, 0, $E$9 * $G$9^((A197-$F$9)/12))</f>
        <v/>
      </c>
      <c r="J197" s="306">
        <f>IF(A197&lt;$F$10, 0, $E$10 * $G$10^((A197-$F$10)/12))</f>
        <v/>
      </c>
      <c r="K197" s="306">
        <f>IF(A197&lt;$F$11, 0, $E$11 * $G$11^((A197-$F$11)/12))</f>
        <v/>
      </c>
      <c r="L197" s="306">
        <f>IF(A197&lt;$F$12, 0, $E$12 * $G$12^((A197-$F$12)/12))</f>
        <v/>
      </c>
      <c r="M197" s="306">
        <f>IF(A197&lt;$F$13, 0, $E$13 * $G$13^((A197-$F$13)/12))</f>
        <v/>
      </c>
      <c r="N197" s="306">
        <f>IF(A197&lt;$F$14, 0, $E$14 * $G$14^((A197-$F$14)/12))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$E$6 * $G$6^((A198-$F$6)/12))</f>
        <v/>
      </c>
      <c r="G198" s="306">
        <f>IF(A198&lt;$F$7, 0, $E$7 * $G$7^((A198-$F$7)/12))</f>
        <v/>
      </c>
      <c r="H198" s="306">
        <f>IF(A198&lt;$F$8, 0, $E$8 * $G$8^((A198-$F$8)/12))</f>
        <v/>
      </c>
      <c r="I198" s="306">
        <f>IF(A198&lt;$F$9, 0, $E$9 * $G$9^((A198-$F$9)/12))</f>
        <v/>
      </c>
      <c r="J198" s="306">
        <f>IF(A198&lt;$F$10, 0, $E$10 * $G$10^((A198-$F$10)/12))</f>
        <v/>
      </c>
      <c r="K198" s="306">
        <f>IF(A198&lt;$F$11, 0, $E$11 * $G$11^((A198-$F$11)/12))</f>
        <v/>
      </c>
      <c r="L198" s="306">
        <f>IF(A198&lt;$F$12, 0, $E$12 * $G$12^((A198-$F$12)/12))</f>
        <v/>
      </c>
      <c r="M198" s="306">
        <f>IF(A198&lt;$F$13, 0, $E$13 * $G$13^((A198-$F$13)/12))</f>
        <v/>
      </c>
      <c r="N198" s="306">
        <f>IF(A198&lt;$F$14, 0, $E$14 * $G$14^((A198-$F$14)/12))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$E$6 * $G$6^((A199-$F$6)/12))</f>
        <v/>
      </c>
      <c r="G199" s="306">
        <f>IF(A199&lt;$F$7, 0, $E$7 * $G$7^((A199-$F$7)/12))</f>
        <v/>
      </c>
      <c r="H199" s="306">
        <f>IF(A199&lt;$F$8, 0, $E$8 * $G$8^((A199-$F$8)/12))</f>
        <v/>
      </c>
      <c r="I199" s="306">
        <f>IF(A199&lt;$F$9, 0, $E$9 * $G$9^((A199-$F$9)/12))</f>
        <v/>
      </c>
      <c r="J199" s="306">
        <f>IF(A199&lt;$F$10, 0, $E$10 * $G$10^((A199-$F$10)/12))</f>
        <v/>
      </c>
      <c r="K199" s="306">
        <f>IF(A199&lt;$F$11, 0, $E$11 * $G$11^((A199-$F$11)/12))</f>
        <v/>
      </c>
      <c r="L199" s="306">
        <f>IF(A199&lt;$F$12, 0, $E$12 * $G$12^((A199-$F$12)/12))</f>
        <v/>
      </c>
      <c r="M199" s="306">
        <f>IF(A199&lt;$F$13, 0, $E$13 * $G$13^((A199-$F$13)/12))</f>
        <v/>
      </c>
      <c r="N199" s="306">
        <f>IF(A199&lt;$F$14, 0, $E$14 * $G$14^((A199-$F$14)/12))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$E$6 * $G$6^((A200-$F$6)/12))</f>
        <v/>
      </c>
      <c r="G200" s="306">
        <f>IF(A200&lt;$F$7, 0, $E$7 * $G$7^((A200-$F$7)/12))</f>
        <v/>
      </c>
      <c r="H200" s="306">
        <f>IF(A200&lt;$F$8, 0, $E$8 * $G$8^((A200-$F$8)/12))</f>
        <v/>
      </c>
      <c r="I200" s="306">
        <f>IF(A200&lt;$F$9, 0, $E$9 * $G$9^((A200-$F$9)/12))</f>
        <v/>
      </c>
      <c r="J200" s="306">
        <f>IF(A200&lt;$F$10, 0, $E$10 * $G$10^((A200-$F$10)/12))</f>
        <v/>
      </c>
      <c r="K200" s="306">
        <f>IF(A200&lt;$F$11, 0, $E$11 * $G$11^((A200-$F$11)/12))</f>
        <v/>
      </c>
      <c r="L200" s="306">
        <f>IF(A200&lt;$F$12, 0, $E$12 * $G$12^((A200-$F$12)/12))</f>
        <v/>
      </c>
      <c r="M200" s="306">
        <f>IF(A200&lt;$F$13, 0, $E$13 * $G$13^((A200-$F$13)/12))</f>
        <v/>
      </c>
      <c r="N200" s="306">
        <f>IF(A200&lt;$F$14, 0, $E$14 * $G$14^((A200-$F$14)/12))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$E$6 * $G$6^((A201-$F$6)/12))</f>
        <v/>
      </c>
      <c r="G201" s="306">
        <f>IF(A201&lt;$F$7, 0, $E$7 * $G$7^((A201-$F$7)/12))</f>
        <v/>
      </c>
      <c r="H201" s="306">
        <f>IF(A201&lt;$F$8, 0, $E$8 * $G$8^((A201-$F$8)/12))</f>
        <v/>
      </c>
      <c r="I201" s="306">
        <f>IF(A201&lt;$F$9, 0, $E$9 * $G$9^((A201-$F$9)/12))</f>
        <v/>
      </c>
      <c r="J201" s="306">
        <f>IF(A201&lt;$F$10, 0, $E$10 * $G$10^((A201-$F$10)/12))</f>
        <v/>
      </c>
      <c r="K201" s="306">
        <f>IF(A201&lt;$F$11, 0, $E$11 * $G$11^((A201-$F$11)/12))</f>
        <v/>
      </c>
      <c r="L201" s="306">
        <f>IF(A201&lt;$F$12, 0, $E$12 * $G$12^((A201-$F$12)/12))</f>
        <v/>
      </c>
      <c r="M201" s="306">
        <f>IF(A201&lt;$F$13, 0, $E$13 * $G$13^((A201-$F$13)/12))</f>
        <v/>
      </c>
      <c r="N201" s="306">
        <f>IF(A201&lt;$F$14, 0, $E$14 * $G$14^((A201-$F$14)/12))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$E$6 * $G$6^((A202-$F$6)/12))</f>
        <v/>
      </c>
      <c r="G202" s="306">
        <f>IF(A202&lt;$F$7, 0, $E$7 * $G$7^((A202-$F$7)/12))</f>
        <v/>
      </c>
      <c r="H202" s="306">
        <f>IF(A202&lt;$F$8, 0, $E$8 * $G$8^((A202-$F$8)/12))</f>
        <v/>
      </c>
      <c r="I202" s="306">
        <f>IF(A202&lt;$F$9, 0, $E$9 * $G$9^((A202-$F$9)/12))</f>
        <v/>
      </c>
      <c r="J202" s="306">
        <f>IF(A202&lt;$F$10, 0, $E$10 * $G$10^((A202-$F$10)/12))</f>
        <v/>
      </c>
      <c r="K202" s="306">
        <f>IF(A202&lt;$F$11, 0, $E$11 * $G$11^((A202-$F$11)/12))</f>
        <v/>
      </c>
      <c r="L202" s="306">
        <f>IF(A202&lt;$F$12, 0, $E$12 * $G$12^((A202-$F$12)/12))</f>
        <v/>
      </c>
      <c r="M202" s="306">
        <f>IF(A202&lt;$F$13, 0, $E$13 * $G$13^((A202-$F$13)/12))</f>
        <v/>
      </c>
      <c r="N202" s="306">
        <f>IF(A202&lt;$F$14, 0, $E$14 * $G$14^((A202-$F$14)/12))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$E$6 * $G$6^((A203-$F$6)/12))</f>
        <v/>
      </c>
      <c r="G203" s="306">
        <f>IF(A203&lt;$F$7, 0, $E$7 * $G$7^((A203-$F$7)/12))</f>
        <v/>
      </c>
      <c r="H203" s="306">
        <f>IF(A203&lt;$F$8, 0, $E$8 * $G$8^((A203-$F$8)/12))</f>
        <v/>
      </c>
      <c r="I203" s="306">
        <f>IF(A203&lt;$F$9, 0, $E$9 * $G$9^((A203-$F$9)/12))</f>
        <v/>
      </c>
      <c r="J203" s="306">
        <f>IF(A203&lt;$F$10, 0, $E$10 * $G$10^((A203-$F$10)/12))</f>
        <v/>
      </c>
      <c r="K203" s="306">
        <f>IF(A203&lt;$F$11, 0, $E$11 * $G$11^((A203-$F$11)/12))</f>
        <v/>
      </c>
      <c r="L203" s="306">
        <f>IF(A203&lt;$F$12, 0, $E$12 * $G$12^((A203-$F$12)/12))</f>
        <v/>
      </c>
      <c r="M203" s="306">
        <f>IF(A203&lt;$F$13, 0, $E$13 * $G$13^((A203-$F$13)/12))</f>
        <v/>
      </c>
      <c r="N203" s="306">
        <f>IF(A203&lt;$F$14, 0, $E$14 * $G$14^((A203-$F$14)/12))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$E$6 * $G$6^((A204-$F$6)/12))</f>
        <v/>
      </c>
      <c r="G204" s="306">
        <f>IF(A204&lt;$F$7, 0, $E$7 * $G$7^((A204-$F$7)/12))</f>
        <v/>
      </c>
      <c r="H204" s="306">
        <f>IF(A204&lt;$F$8, 0, $E$8 * $G$8^((A204-$F$8)/12))</f>
        <v/>
      </c>
      <c r="I204" s="306">
        <f>IF(A204&lt;$F$9, 0, $E$9 * $G$9^((A204-$F$9)/12))</f>
        <v/>
      </c>
      <c r="J204" s="306">
        <f>IF(A204&lt;$F$10, 0, $E$10 * $G$10^((A204-$F$10)/12))</f>
        <v/>
      </c>
      <c r="K204" s="306">
        <f>IF(A204&lt;$F$11, 0, $E$11 * $G$11^((A204-$F$11)/12))</f>
        <v/>
      </c>
      <c r="L204" s="306">
        <f>IF(A204&lt;$F$12, 0, $E$12 * $G$12^((A204-$F$12)/12))</f>
        <v/>
      </c>
      <c r="M204" s="306">
        <f>IF(A204&lt;$F$13, 0, $E$13 * $G$13^((A204-$F$13)/12))</f>
        <v/>
      </c>
      <c r="N204" s="306">
        <f>IF(A204&lt;$F$14, 0, $E$14 * $G$14^((A204-$F$14)/12))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$E$6 * $G$6^((A205-$F$6)/12))</f>
        <v/>
      </c>
      <c r="G205" s="306">
        <f>IF(A205&lt;$F$7, 0, $E$7 * $G$7^((A205-$F$7)/12))</f>
        <v/>
      </c>
      <c r="H205" s="306">
        <f>IF(A205&lt;$F$8, 0, $E$8 * $G$8^((A205-$F$8)/12))</f>
        <v/>
      </c>
      <c r="I205" s="306">
        <f>IF(A205&lt;$F$9, 0, $E$9 * $G$9^((A205-$F$9)/12))</f>
        <v/>
      </c>
      <c r="J205" s="306">
        <f>IF(A205&lt;$F$10, 0, $E$10 * $G$10^((A205-$F$10)/12))</f>
        <v/>
      </c>
      <c r="K205" s="306">
        <f>IF(A205&lt;$F$11, 0, $E$11 * $G$11^((A205-$F$11)/12))</f>
        <v/>
      </c>
      <c r="L205" s="306">
        <f>IF(A205&lt;$F$12, 0, $E$12 * $G$12^((A205-$F$12)/12))</f>
        <v/>
      </c>
      <c r="M205" s="306">
        <f>IF(A205&lt;$F$13, 0, $E$13 * $G$13^((A205-$F$13)/12))</f>
        <v/>
      </c>
      <c r="N205" s="306">
        <f>IF(A205&lt;$F$14, 0, $E$14 * $G$14^((A205-$F$14)/12))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$E$6 * $G$6^((A206-$F$6)/12))</f>
        <v/>
      </c>
      <c r="G206" s="306">
        <f>IF(A206&lt;$F$7, 0, $E$7 * $G$7^((A206-$F$7)/12))</f>
        <v/>
      </c>
      <c r="H206" s="306">
        <f>IF(A206&lt;$F$8, 0, $E$8 * $G$8^((A206-$F$8)/12))</f>
        <v/>
      </c>
      <c r="I206" s="306">
        <f>IF(A206&lt;$F$9, 0, $E$9 * $G$9^((A206-$F$9)/12))</f>
        <v/>
      </c>
      <c r="J206" s="306">
        <f>IF(A206&lt;$F$10, 0, $E$10 * $G$10^((A206-$F$10)/12))</f>
        <v/>
      </c>
      <c r="K206" s="306">
        <f>IF(A206&lt;$F$11, 0, $E$11 * $G$11^((A206-$F$11)/12))</f>
        <v/>
      </c>
      <c r="L206" s="306">
        <f>IF(A206&lt;$F$12, 0, $E$12 * $G$12^((A206-$F$12)/12))</f>
        <v/>
      </c>
      <c r="M206" s="306">
        <f>IF(A206&lt;$F$13, 0, $E$13 * $G$13^((A206-$F$13)/12))</f>
        <v/>
      </c>
      <c r="N206" s="306">
        <f>IF(A206&lt;$F$14, 0, $E$14 * $G$14^((A206-$F$14)/12))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$E$6 * $G$6^((A207-$F$6)/12))</f>
        <v/>
      </c>
      <c r="G207" s="306">
        <f>IF(A207&lt;$F$7, 0, $E$7 * $G$7^((A207-$F$7)/12))</f>
        <v/>
      </c>
      <c r="H207" s="306">
        <f>IF(A207&lt;$F$8, 0, $E$8 * $G$8^((A207-$F$8)/12))</f>
        <v/>
      </c>
      <c r="I207" s="306">
        <f>IF(A207&lt;$F$9, 0, $E$9 * $G$9^((A207-$F$9)/12))</f>
        <v/>
      </c>
      <c r="J207" s="306">
        <f>IF(A207&lt;$F$10, 0, $E$10 * $G$10^((A207-$F$10)/12))</f>
        <v/>
      </c>
      <c r="K207" s="306">
        <f>IF(A207&lt;$F$11, 0, $E$11 * $G$11^((A207-$F$11)/12))</f>
        <v/>
      </c>
      <c r="L207" s="306">
        <f>IF(A207&lt;$F$12, 0, $E$12 * $G$12^((A207-$F$12)/12))</f>
        <v/>
      </c>
      <c r="M207" s="306">
        <f>IF(A207&lt;$F$13, 0, $E$13 * $G$13^((A207-$F$13)/12))</f>
        <v/>
      </c>
      <c r="N207" s="306">
        <f>IF(A207&lt;$F$14, 0, $E$14 * $G$14^((A207-$F$14)/12))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$E$6 * $G$6^((A208-$F$6)/12))</f>
        <v/>
      </c>
      <c r="G208" s="306">
        <f>IF(A208&lt;$F$7, 0, $E$7 * $G$7^((A208-$F$7)/12))</f>
        <v/>
      </c>
      <c r="H208" s="306">
        <f>IF(A208&lt;$F$8, 0, $E$8 * $G$8^((A208-$F$8)/12))</f>
        <v/>
      </c>
      <c r="I208" s="306">
        <f>IF(A208&lt;$F$9, 0, $E$9 * $G$9^((A208-$F$9)/12))</f>
        <v/>
      </c>
      <c r="J208" s="306">
        <f>IF(A208&lt;$F$10, 0, $E$10 * $G$10^((A208-$F$10)/12))</f>
        <v/>
      </c>
      <c r="K208" s="306">
        <f>IF(A208&lt;$F$11, 0, $E$11 * $G$11^((A208-$F$11)/12))</f>
        <v/>
      </c>
      <c r="L208" s="306">
        <f>IF(A208&lt;$F$12, 0, $E$12 * $G$12^((A208-$F$12)/12))</f>
        <v/>
      </c>
      <c r="M208" s="306">
        <f>IF(A208&lt;$F$13, 0, $E$13 * $G$13^((A208-$F$13)/12))</f>
        <v/>
      </c>
      <c r="N208" s="306">
        <f>IF(A208&lt;$F$14, 0, $E$14 * $G$14^((A208-$F$14)/12))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$E$6 * $G$6^((A209-$F$6)/12))</f>
        <v/>
      </c>
      <c r="G209" s="306">
        <f>IF(A209&lt;$F$7, 0, $E$7 * $G$7^((A209-$F$7)/12))</f>
        <v/>
      </c>
      <c r="H209" s="306">
        <f>IF(A209&lt;$F$8, 0, $E$8 * $G$8^((A209-$F$8)/12))</f>
        <v/>
      </c>
      <c r="I209" s="306">
        <f>IF(A209&lt;$F$9, 0, $E$9 * $G$9^((A209-$F$9)/12))</f>
        <v/>
      </c>
      <c r="J209" s="306">
        <f>IF(A209&lt;$F$10, 0, $E$10 * $G$10^((A209-$F$10)/12))</f>
        <v/>
      </c>
      <c r="K209" s="306">
        <f>IF(A209&lt;$F$11, 0, $E$11 * $G$11^((A209-$F$11)/12))</f>
        <v/>
      </c>
      <c r="L209" s="306">
        <f>IF(A209&lt;$F$12, 0, $E$12 * $G$12^((A209-$F$12)/12))</f>
        <v/>
      </c>
      <c r="M209" s="306">
        <f>IF(A209&lt;$F$13, 0, $E$13 * $G$13^((A209-$F$13)/12))</f>
        <v/>
      </c>
      <c r="N209" s="306">
        <f>IF(A209&lt;$F$14, 0, $E$14 * $G$14^((A209-$F$14)/12))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$E$6 * $G$6^((A210-$F$6)/12))</f>
        <v/>
      </c>
      <c r="G210" s="306">
        <f>IF(A210&lt;$F$7, 0, $E$7 * $G$7^((A210-$F$7)/12))</f>
        <v/>
      </c>
      <c r="H210" s="306">
        <f>IF(A210&lt;$F$8, 0, $E$8 * $G$8^((A210-$F$8)/12))</f>
        <v/>
      </c>
      <c r="I210" s="306">
        <f>IF(A210&lt;$F$9, 0, $E$9 * $G$9^((A210-$F$9)/12))</f>
        <v/>
      </c>
      <c r="J210" s="306">
        <f>IF(A210&lt;$F$10, 0, $E$10 * $G$10^((A210-$F$10)/12))</f>
        <v/>
      </c>
      <c r="K210" s="306">
        <f>IF(A210&lt;$F$11, 0, $E$11 * $G$11^((A210-$F$11)/12))</f>
        <v/>
      </c>
      <c r="L210" s="306">
        <f>IF(A210&lt;$F$12, 0, $E$12 * $G$12^((A210-$F$12)/12))</f>
        <v/>
      </c>
      <c r="M210" s="306">
        <f>IF(A210&lt;$F$13, 0, $E$13 * $G$13^((A210-$F$13)/12))</f>
        <v/>
      </c>
      <c r="N210" s="306">
        <f>IF(A210&lt;$F$14, 0, $E$14 * $G$14^((A210-$F$14)/12))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25" customWidth="1" style="307" min="4" max="4"/>
    <col width="11" customWidth="1" style="307" min="5" max="5"/>
    <col width="70" customWidth="1" style="307" min="6" max="6"/>
  </cols>
  <sheetData>
    <row r="1">
      <c r="A1" s="633" t="inlineStr">
        <is>
          <t>PRESS MODEL  --  CHANGE LOG (v3)</t>
        </is>
      </c>
    </row>
    <row r="2">
      <c r="A2" s="615" t="inlineStr">
        <is>
          <t>LP-lens QA fixes.  Engines: _Engine_NR / _Engine_R50 / _Engine_R100 (auto-update from Tab 1).</t>
        </is>
      </c>
    </row>
    <row r="3">
      <c r="A3" s="628" t="inlineStr">
        <is>
          <t>Status: 15 DONE  /  3 PARTIAL  /  6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Tabs Touched</t>
        </is>
      </c>
      <c r="E4" s="643" t="inlineStr">
        <is>
          <t>Status</t>
        </is>
      </c>
      <c r="F4" s="643" t="inlineStr">
        <is>
          <t>Notes / LP Insight</t>
        </is>
      </c>
    </row>
    <row r="5" ht="7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Live restated: $202M / $422M / $405M total GP take vs $21M as presented.</t>
        </is>
      </c>
      <c r="D5" s="636" t="inlineStr">
        <is>
          <t>15</t>
        </is>
      </c>
      <c r="E5" s="637" t="inlineStr">
        <is>
          <t>DONE</t>
        </is>
      </c>
      <c r="F5" s="638" t="inlineStr">
        <is>
          <t>GP take = 25-28% of total fund cash. Bonus pool alone is $10M (NR) to $116M (recycle).</t>
        </is>
      </c>
    </row>
    <row r="6" ht="75" customHeight="1" s="307">
      <c r="A6" s="635" t="inlineStr">
        <is>
          <t>2</t>
        </is>
      </c>
      <c r="B6" s="636" t="inlineStr">
        <is>
          <t>Capital shortfall $158.78M deployed vs $150M fund.</t>
        </is>
      </c>
      <c r="C6" s="636" t="inlineStr">
        <is>
          <t>Capped ARR at $24M -&gt; $141.88M deployed + $3M mgmt fee + $5M cushion.</t>
        </is>
      </c>
      <c r="D6" s="636" t="inlineStr">
        <is>
          <t>1, 3, 19, 21</t>
        </is>
      </c>
      <c r="E6" s="637" t="inlineStr">
        <is>
          <t>DONE</t>
        </is>
      </c>
      <c r="F6" s="638" t="inlineStr"/>
    </row>
    <row r="7" ht="7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Built 3 calc engines computing monthly P&amp;L from Tab 1 inputs (ARR, NDR, margin, recycle %, close months, exit, waterfall splits). All P&amp;L, waterfall, returns tabs now live.</t>
        </is>
      </c>
      <c r="D7" s="636" t="inlineStr">
        <is>
          <t>_Engine_NR/R50/R100; 4a, 4b, 4g; 5a-5e; 6, 8, 14, 15</t>
        </is>
      </c>
      <c r="E7" s="637" t="inlineStr">
        <is>
          <t>DONE</t>
        </is>
      </c>
      <c r="F7" s="638" t="inlineStr">
        <is>
          <t>Change any blue cell on Tab 1 -&gt; everything recalculates.</t>
        </is>
      </c>
    </row>
    <row r="8" ht="75" customHeight="1" s="307">
      <c r="A8" s="635" t="inlineStr">
        <is>
          <t>4</t>
        </is>
      </c>
      <c r="B8" s="636" t="inlineStr">
        <is>
          <t>62.5% margin x 85% NDR pairing internally inconsistent.</t>
        </is>
      </c>
      <c r="C8" s="636" t="inlineStr">
        <is>
          <t>Built 2-D joint sensitivity (NDR x margin cap) on Tab 11 with closed-form formulas.</t>
        </is>
      </c>
      <c r="D8" s="636" t="inlineStr">
        <is>
          <t>11</t>
        </is>
      </c>
      <c r="E8" s="637" t="inlineStr">
        <is>
          <t>DONE</t>
        </is>
      </c>
      <c r="F8" s="638" t="inlineStr">
        <is>
          <t>GP stated case (85%/62.5%) = 2.48x DPI. NDR=70% gives &lt;1x DPI even with margin cap removed. The downside breakpoint is NDR, not margin.</t>
        </is>
      </c>
    </row>
    <row r="9" ht="7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live. Both Standard and Escalating waterfalls shown.</t>
        </is>
      </c>
      <c r="D9" s="636" t="inlineStr">
        <is>
          <t>6</t>
        </is>
      </c>
      <c r="E9" s="637" t="inlineStr">
        <is>
          <t>DONE</t>
        </is>
      </c>
      <c r="F9" s="638" t="inlineStr">
        <is>
          <t>NEW FINDING: with per-deal NDR mix from Tab 1 (recycled deals include winners), recycling IMPROVES IRR (26% -&gt; 33%). Original showed recycling HURT IRR because it used uniform 85% NDR. Conviction-dependent.</t>
        </is>
      </c>
    </row>
    <row r="10" ht="75" customHeight="1" s="307">
      <c r="A10" s="635" t="inlineStr">
        <is>
          <t>6</t>
        </is>
      </c>
      <c r="B10" s="636" t="inlineStr">
        <is>
          <t>Placeholder Escalating Waterfall on Tabs 5c/5d.</t>
        </is>
      </c>
      <c r="C10" s="636" t="inlineStr">
        <is>
          <t>Built tiered waterfall logic in engines: Tier 2 80/20 (1-2x), Tier 3 75/25 (2-3x), Tier 4 70/30 (&gt;3x). Live on Tabs 5c, 5d, and Tab 6.</t>
        </is>
      </c>
      <c r="D10" s="636" t="inlineStr">
        <is>
          <t>5c, 5d, engines, 6</t>
        </is>
      </c>
      <c r="E10" s="637" t="inlineStr">
        <is>
          <t>DONE</t>
        </is>
      </c>
      <c r="F10" s="638" t="inlineStr">
        <is>
          <t>NEW FINDING: Escalating waterfall (per typical LPA) costs LP $30-88M and gives GP $30-88M more vs Standard 80/20 flat. The deck-default 80/20 understates GP economics by 28% to 40%.</t>
        </is>
      </c>
    </row>
    <row r="11" ht="75" customHeight="1" s="307">
      <c r="A11" s="635" t="inlineStr">
        <is>
          <t>7</t>
        </is>
      </c>
      <c r="B11" s="636" t="inlineStr">
        <is>
          <t>Y15 distributable went negative in original; no clawback.</t>
        </is>
      </c>
      <c r="C11" s="636" t="inlineStr">
        <is>
          <t>Pending: clawback logic in engines. Currently engine assumes no negative-year clawback.</t>
        </is>
      </c>
      <c r="D11" s="636" t="inlineStr">
        <is>
          <t>engines</t>
        </is>
      </c>
      <c r="E11" s="640" t="inlineStr">
        <is>
          <t>TODO</t>
        </is>
      </c>
      <c r="F11" s="638" t="inlineStr"/>
    </row>
    <row r="12" ht="75" customHeight="1" s="307">
      <c r="A12" s="635" t="inlineStr">
        <is>
          <t>8</t>
        </is>
      </c>
      <c r="B12" s="636" t="inlineStr">
        <is>
          <t>Severance "auto" cell (Tab 1 B112) is zero.</t>
        </is>
      </c>
      <c r="C12" s="636" t="inlineStr">
        <is>
          <t>Engine computes severance from FTE x rate x Press share. Tab 1 B112 still stale.</t>
        </is>
      </c>
      <c r="D12" s="636" t="inlineStr">
        <is>
          <t>1</t>
        </is>
      </c>
      <c r="E12" s="639" t="inlineStr">
        <is>
          <t>PARTIAL</t>
        </is>
      </c>
      <c r="F12" s="638" t="inlineStr">
        <is>
          <t>Engine internally correct.</t>
        </is>
      </c>
    </row>
    <row r="13" ht="75" customHeight="1" s="307">
      <c r="A13" s="635" t="inlineStr">
        <is>
          <t>9</t>
        </is>
      </c>
      <c r="B13" s="636" t="inlineStr">
        <is>
          <t>Margin assumption disagrees: Tab 1 = 62.5%; Tab 7 header = 60%.</t>
        </is>
      </c>
      <c r="C13" s="636" t="inlineStr">
        <is>
          <t>Pending standardization.</t>
        </is>
      </c>
      <c r="D13" s="636" t="inlineStr">
        <is>
          <t>7, 24</t>
        </is>
      </c>
      <c r="E13" s="640" t="inlineStr">
        <is>
          <t>TODO</t>
        </is>
      </c>
      <c r="F13" s="638" t="inlineStr"/>
    </row>
    <row r="14" ht="75" customHeight="1" s="307">
      <c r="A14" s="635" t="inlineStr">
        <is>
          <t>10</t>
        </is>
      </c>
      <c r="B14" s="636" t="inlineStr">
        <is>
          <t>Tier 4 (above 3x) threshold cell is blank.</t>
        </is>
      </c>
      <c r="C14" s="636" t="inlineStr">
        <is>
          <t>Engines now use Tier 4 = 70/30 split per Tab 1 B42. Threshold defined by MOIC=3x (hard-coded in engine).</t>
        </is>
      </c>
      <c r="D14" s="636" t="inlineStr">
        <is>
          <t>1, engines</t>
        </is>
      </c>
      <c r="E14" s="637" t="inlineStr">
        <is>
          <t>DONE</t>
        </is>
      </c>
      <c r="F14" s="638" t="inlineStr"/>
    </row>
    <row r="15" ht="75" customHeight="1" s="307">
      <c r="A15" s="635" t="inlineStr">
        <is>
          <t>11</t>
        </is>
      </c>
      <c r="B15" s="636" t="inlineStr">
        <is>
          <t>"Totals" column on annual P&amp;L wrong.</t>
        </is>
      </c>
      <c r="C15" s="636" t="inlineStr">
        <is>
          <t>Fixed.</t>
        </is>
      </c>
      <c r="D15" s="636" t="inlineStr">
        <is>
          <t>4a, 4b, 4g</t>
        </is>
      </c>
      <c r="E15" s="637" t="inlineStr">
        <is>
          <t>DONE</t>
        </is>
      </c>
      <c r="F15" s="638" t="inlineStr"/>
    </row>
    <row r="16" ht="7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Shows LP working capital trough at month 7 ($-4M) before turning positive M11.</t>
        </is>
      </c>
      <c r="D16" s="636" t="inlineStr">
        <is>
          <t>14</t>
        </is>
      </c>
      <c r="E16" s="637" t="inlineStr">
        <is>
          <t>DONE</t>
        </is>
      </c>
      <c r="F16" s="638" t="inlineStr"/>
    </row>
    <row r="17" ht="75" customHeight="1" s="307">
      <c r="A17" s="635" t="inlineStr">
        <is>
          <t>13</t>
        </is>
      </c>
      <c r="B17" s="636" t="inlineStr">
        <is>
          <t>Bonus pool inconsistent across original tabs.</t>
        </is>
      </c>
      <c r="C17" s="636" t="inlineStr">
        <is>
          <t>Engines compute one consistent rule.</t>
        </is>
      </c>
      <c r="D17" s="636" t="inlineStr">
        <is>
          <t>engines</t>
        </is>
      </c>
      <c r="E17" s="637" t="inlineStr">
        <is>
          <t>DONE</t>
        </is>
      </c>
      <c r="F17" s="638" t="inlineStr"/>
    </row>
    <row r="18" ht="75" customHeight="1" s="307">
      <c r="A18" s="635" t="inlineStr">
        <is>
          <t>14</t>
        </is>
      </c>
      <c r="B18" s="636" t="inlineStr">
        <is>
          <t>Tab 2 LP Economics returns identical across $5/$10/$25M.</t>
        </is>
      </c>
      <c r="C18" s="636" t="inlineStr">
        <is>
          <t>Pending.</t>
        </is>
      </c>
      <c r="D18" s="636" t="inlineStr">
        <is>
          <t>2</t>
        </is>
      </c>
      <c r="E18" s="640" t="inlineStr">
        <is>
          <t>TODO</t>
        </is>
      </c>
      <c r="F18" s="638" t="inlineStr">
        <is>
          <t>No real LP class structure exists.</t>
        </is>
      </c>
    </row>
    <row r="19" ht="75" customHeight="1" s="307">
      <c r="A19" s="635" t="inlineStr">
        <is>
          <t>15</t>
        </is>
      </c>
      <c r="B19" s="636" t="inlineStr">
        <is>
          <t>Tab 17 Tax Efficiency conflated LP ordinary income with GP LTCG carry.</t>
        </is>
      </c>
      <c r="C19" s="636" t="inlineStr">
        <is>
          <t>Rebuilt: LP ordinary income = 40.8% (37% + 3.8% NIIT); LP exit LTCG = 23.8%; blended profit rate ~37.4%. Post-tax DPI now live.</t>
        </is>
      </c>
      <c r="D19" s="636" t="inlineStr">
        <is>
          <t>17</t>
        </is>
      </c>
      <c r="E19" s="637" t="inlineStr">
        <is>
          <t>DONE</t>
        </is>
      </c>
      <c r="F19" s="638" t="inlineStr">
        <is>
          <t>LP post-tax DPI: 2.95x (NR), 4.90x (R50), 4.67x (R100). Reduces pre-tax DPI by ~30%.</t>
        </is>
      </c>
    </row>
    <row r="20" ht="75" customHeight="1" s="307">
      <c r="A20" s="635" t="inlineStr">
        <is>
          <t>16</t>
        </is>
      </c>
      <c r="B20" s="636" t="inlineStr">
        <is>
          <t>Tab 13 Stress Test only varied NDR (no margin / write-offs / exit mult stress).</t>
        </is>
      </c>
      <c r="C20" s="636" t="inlineStr">
        <is>
          <t>Rebuilt with 8 realistic scenarios: NDR, margin, write-offs, exit multiple, plus combined.</t>
        </is>
      </c>
      <c r="D20" s="636" t="inlineStr">
        <is>
          <t>13</t>
        </is>
      </c>
      <c r="E20" s="637" t="inlineStr">
        <is>
          <t>DONE</t>
        </is>
      </c>
      <c r="F20" s="638" t="inlineStr">
        <is>
          <t>Combined severe (NDR 70% + margin 45% + 2 write-offs + 1x exit) = -0.13x DPI (LP loses 113% of capital). Combined moderate = 1.15x (barely returns capital).</t>
        </is>
      </c>
    </row>
    <row r="21" ht="75" customHeight="1" s="307">
      <c r="A21" s="635" t="inlineStr">
        <is>
          <t>17</t>
        </is>
      </c>
      <c r="B21" s="636" t="inlineStr">
        <is>
          <t>No GP commit, key person, clawback, LPAC, valuation policy disclosed.</t>
        </is>
      </c>
      <c r="C21" s="636" t="inlineStr">
        <is>
          <t>Pending: governance block.</t>
        </is>
      </c>
      <c r="D21" s="636" t="inlineStr">
        <is>
          <t>new</t>
        </is>
      </c>
      <c r="E21" s="640" t="inlineStr">
        <is>
          <t>TODO</t>
        </is>
      </c>
      <c r="F21" s="638" t="inlineStr"/>
    </row>
    <row r="22" ht="7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Disclosed in S&amp;U notes as unfunded.</t>
        </is>
      </c>
      <c r="D22" s="636" t="inlineStr">
        <is>
          <t>19</t>
        </is>
      </c>
      <c r="E22" s="639" t="inlineStr">
        <is>
          <t>PARTIAL</t>
        </is>
      </c>
      <c r="F22" s="638" t="inlineStr"/>
    </row>
    <row r="23" ht="7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Pending.</t>
        </is>
      </c>
      <c r="D23" s="636" t="inlineStr">
        <is>
          <t>24</t>
        </is>
      </c>
      <c r="E23" s="640" t="inlineStr">
        <is>
          <t>TODO</t>
        </is>
      </c>
      <c r="F23" s="638" t="inlineStr"/>
    </row>
    <row r="24" ht="7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Live: pick OpCo # in B4, shows per-deal ARR / Revenue / EBITDA trajectory.</t>
        </is>
      </c>
      <c r="D24" s="636" t="inlineStr">
        <is>
          <t>9</t>
        </is>
      </c>
      <c r="E24" s="637" t="inlineStr">
        <is>
          <t>DONE</t>
        </is>
      </c>
      <c r="F24" s="638" t="inlineStr"/>
    </row>
    <row r="25" ht="75" customHeight="1" s="307">
      <c r="A25" s="635" t="inlineStr">
        <is>
          <t>21</t>
        </is>
      </c>
      <c r="B25" s="636" t="inlineStr">
        <is>
          <t>Tab 22 Scenario Summary duplicates Tab 6.</t>
        </is>
      </c>
      <c r="C25" s="636" t="inlineStr">
        <is>
          <t>Pending dedup.</t>
        </is>
      </c>
      <c r="D25" s="636" t="inlineStr">
        <is>
          <t>22</t>
        </is>
      </c>
      <c r="E25" s="640" t="inlineStr">
        <is>
          <t>TODO</t>
        </is>
      </c>
      <c r="F25" s="638" t="inlineStr"/>
    </row>
    <row r="26" ht="75" customHeight="1" s="307">
      <c r="A26" s="635" t="inlineStr">
        <is>
          <t>22</t>
        </is>
      </c>
      <c r="B26" s="636" t="inlineStr">
        <is>
          <t>Operating leverage gives GP runaway upside via bonus pool.</t>
        </is>
      </c>
      <c r="C26" s="636" t="inlineStr">
        <is>
          <t>New finding from live engine. Bonus pool = $10M (NR) to $116M (R50/R100). Operating leverage from recycling flows entirely to GP via &gt;62.5% margin capture.</t>
        </is>
      </c>
      <c r="D26" s="636" t="inlineStr">
        <is>
          <t>15, engines</t>
        </is>
      </c>
      <c r="E26" s="637" t="inlineStr">
        <is>
          <t>DONE</t>
        </is>
      </c>
      <c r="F26" s="638" t="inlineStr">
        <is>
          <t>Major LP issue: bonus pool acts as super-linear GP-side reward to recycling.</t>
        </is>
      </c>
    </row>
    <row r="27" ht="7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NDR mix (rows 89-99). Tab 1 also has uniform 85% NDR (B22) used by original P&amp;L tabs.</t>
        </is>
      </c>
      <c r="D27" s="636" t="inlineStr">
        <is>
          <t>1, engines</t>
        </is>
      </c>
      <c r="E27" s="639" t="inlineStr">
        <is>
          <t>PARTIAL</t>
        </is>
      </c>
      <c r="F27" s="638" t="inlineStr">
        <is>
          <t>GP must clearly state which is the underwriting case. Per-deal mix gives 26-33% IRR; uniform 85% gives ~27% (similar headline but different cash composition).</t>
        </is>
      </c>
    </row>
    <row r="28" ht="75" customHeight="1" s="307">
      <c r="A28" s="635" t="inlineStr">
        <is>
          <t>24</t>
        </is>
      </c>
      <c r="B28" s="636" t="inlineStr">
        <is>
          <t>Escalating vs Standard waterfall delta hidden.</t>
        </is>
      </c>
      <c r="C28" s="636" t="inlineStr">
        <is>
          <t>Tab 6 now shows both side by side. Escalating costs LP $30-88M depending on scenario.</t>
        </is>
      </c>
      <c r="D28" s="636" t="inlineStr">
        <is>
          <t>6, 5c, 5d</t>
        </is>
      </c>
      <c r="E28" s="637" t="inlineStr">
        <is>
          <t>DONE</t>
        </is>
      </c>
      <c r="F28" s="638" t="inlineStr">
        <is>
          <t>LP should demand the actual LPA waterfall language. 80/20 deck-default understates GP economics by 28-40%.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2026-05-25T16:30:42Z</dcterms:modified>
  <cp:revision>0</cp:revision>
</cp:coreProperties>
</file>