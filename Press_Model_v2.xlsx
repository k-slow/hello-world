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  <xf numFmtId="0" fontId="52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0" fillId="20" borderId="0" pivotButton="0" quotePrefix="0" xfId="0"/>
    <xf numFmtId="0" fontId="43" fillId="16" borderId="0" applyAlignment="1" pivotButton="0" quotePrefix="0" xfId="0">
      <alignment horizontal="left" wrapText="1"/>
    </xf>
    <xf numFmtId="0" fontId="41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3">
      <c r="D3" s="706" t="inlineStr">
        <is>
          <t>ACTIVE: $250M, 50% RECYCLE. 5 base @ $37M/1.30x + 4 recycled @ $28M/1.20x (M27/35/43/51, ~4.3yr deploy). No Y10 exit.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250000000</v>
      </c>
      <c r="C5" s="615" t="inlineStr">
        <is>
          <t>Raised from $150M to fix -$0.4M cushion (LPs slightly increased).</t>
        </is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1</v>
      </c>
      <c r="C35" s="754" t="inlineStr">
        <is>
          <t>Set to 100% per GP -- no bonus pool. All margin upside flows to investors.</t>
        </is>
      </c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37</v>
      </c>
      <c r="E89" s="317" t="n">
        <v>1.3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37</v>
      </c>
      <c r="E90" s="317" t="n">
        <v>1.3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8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37</v>
      </c>
      <c r="E91" s="317" t="n">
        <v>1.3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12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37</v>
      </c>
      <c r="E92" s="317" t="n">
        <v>1.3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16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37</v>
      </c>
      <c r="E93" s="317" t="n">
        <v>1.3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20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28</v>
      </c>
      <c r="E96" s="317" t="n">
        <v>1.2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27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28</v>
      </c>
      <c r="E97" s="317" t="n">
        <v>1.2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35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28</v>
      </c>
      <c r="E98" s="317" t="n">
        <v>1.2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43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28</v>
      </c>
      <c r="E99" s="317" t="n">
        <v>1.2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51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35000</v>
      </c>
      <c r="C110" s="615" t="inlineStr">
        <is>
          <t>Raised from $17.3K to $35K/FTE (16 weeks vs 8 weeks). Matches US senior tech norms.</t>
        </is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0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 = 0.80 NDR (downside).  Base = 0.85 NDR (LP underwriting -- default).  Bull = 0.90 NDR (upside).  Per-deal mix in rows 89-93 kept as reference only.</t>
        </is>
      </c>
    </row>
    <row r="137">
      <c r="A137" s="306" t="inlineStr">
        <is>
          <t>Bonus margin threshold override</t>
        </is>
      </c>
      <c r="B137" s="694" t="n">
        <v>1</v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0.02</v>
      </c>
      <c r="C138" s="755" t="inlineStr">
        <is>
          <t>Raised to 2% per IB underwriting recommendation. GP commit = $3.02M. Carry/commit ratio drops to ~16x.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  <row r="141">
      <c r="A141" s="306" t="inlineStr">
        <is>
          <t>Y15 wind-down multiplier (on remaining ARR)</t>
        </is>
      </c>
      <c r="B141" s="756" t="n">
        <v>1.5</v>
      </c>
      <c r="C141" s="61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2026-06-28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2" t="n">
        <v>0.8</v>
      </c>
      <c r="B6" s="733" t="n">
        <v>1.58974618131608</v>
      </c>
      <c r="C6" s="733" t="n">
        <v>2.10565869735149</v>
      </c>
      <c r="D6" s="733" t="n">
        <v>2.15119466476817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4" t="n">
        <v>0.85</v>
      </c>
      <c r="B7" s="735" t="n">
        <v>1.98542885787231</v>
      </c>
      <c r="C7" s="735" t="n">
        <v>2.6728049624308</v>
      </c>
      <c r="D7" s="735" t="n">
        <v>2.71597963669944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2" t="n">
        <v>0.9</v>
      </c>
      <c r="B8" s="733" t="n">
        <v>2.49462901687355</v>
      </c>
      <c r="C8" s="733" t="n">
        <v>3.38845686972825</v>
      </c>
      <c r="D8" s="733" t="n">
        <v>3.43377562554781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0.95</v>
      </c>
      <c r="B9" s="737" t="n">
        <v>3.15027262358027</v>
      </c>
      <c r="C9" s="737" t="n">
        <v>4.29480625039446</v>
      </c>
      <c r="D9" s="737" t="n">
        <v>4.34629345763026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</v>
      </c>
      <c r="B10" s="737" t="n">
        <v>3.99528446048941</v>
      </c>
      <c r="C10" s="737" t="n">
        <v>5.44125284045867</v>
      </c>
      <c r="D10" s="737" t="n">
        <v>5.5060244144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2" t="n">
        <v>0.8</v>
      </c>
      <c r="B15" s="733" t="n">
        <v>1.63922232585255</v>
      </c>
      <c r="C15" s="733" t="n">
        <v>2.36745405672955</v>
      </c>
      <c r="D15" s="733" t="n">
        <v>2.42146062045142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4" t="n">
        <v>0.85</v>
      </c>
      <c r="B16" s="735" t="n">
        <v>2.25691855455967</v>
      </c>
      <c r="C16" s="735" t="n">
        <v>3.3421612493708</v>
      </c>
      <c r="D16" s="735" t="n">
        <v>3.35952646701966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2" t="n">
        <v>0.9</v>
      </c>
      <c r="B17" s="733" t="n">
        <v>3.2106416699924</v>
      </c>
      <c r="C17" s="733" t="n">
        <v>4.79442327711468</v>
      </c>
      <c r="D17" s="733" t="n">
        <v>4.76701625360053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0.95</v>
      </c>
      <c r="B18" s="737" t="n">
        <v>4.69161951805881</v>
      </c>
      <c r="C18" s="737" t="n">
        <v>7.00654247048883</v>
      </c>
      <c r="D18" s="737" t="n">
        <v>6.92468451960258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</v>
      </c>
      <c r="B19" s="737" t="n">
        <v>7.03228686048941</v>
      </c>
      <c r="C19" s="737" t="n">
        <v>10.4254256404587</v>
      </c>
      <c r="D19" s="737" t="n">
        <v>10.2844724144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2" t="n">
        <v>0.8</v>
      </c>
      <c r="B24" s="739" t="n">
        <v>0.119685620358886</v>
      </c>
      <c r="C24" s="739" t="n">
        <v>0.138794573775664</v>
      </c>
      <c r="D24" s="739" t="n">
        <v>0.15142326450545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4" t="n">
        <v>0.85</v>
      </c>
      <c r="B25" s="740" t="n">
        <v>0.170810589293701</v>
      </c>
      <c r="C25" s="740" t="n">
        <v>0.181827639747986</v>
      </c>
      <c r="D25" s="740" t="n">
        <v>0.196334794811012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2" t="n">
        <v>0.9</v>
      </c>
      <c r="B26" s="739" t="n">
        <v>0.22024281531696</v>
      </c>
      <c r="C26" s="739" t="n">
        <v>0.22421377356348</v>
      </c>
      <c r="D26" s="739" t="n">
        <v>0.240354046984388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0.95</v>
      </c>
      <c r="B27" s="741" t="n">
        <v>0.268470693020173</v>
      </c>
      <c r="C27" s="741" t="n">
        <v>0.265986505165104</v>
      </c>
      <c r="D27" s="741" t="n">
        <v>0.283992057804027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</v>
      </c>
      <c r="B28" s="741" t="n">
        <v>0.315511189413438</v>
      </c>
      <c r="C28" s="741" t="n">
        <v>0.307229299318332</v>
      </c>
      <c r="D28" s="741" t="n">
        <v>0.327271277356969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2" t="n">
        <v>0.8</v>
      </c>
      <c r="B33" s="739" t="n">
        <v>0.122908062947104</v>
      </c>
      <c r="C33" s="739" t="n">
        <v>0.148454529160123</v>
      </c>
      <c r="D33" s="739" t="n">
        <v>0.160511759793101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4" t="n">
        <v>0.85</v>
      </c>
      <c r="B34" s="740" t="n">
        <v>0.18023696094279</v>
      </c>
      <c r="C34" s="740" t="n">
        <v>0.196613941200945</v>
      </c>
      <c r="D34" s="740" t="n">
        <v>0.209245672780707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2" t="n">
        <v>0.9</v>
      </c>
      <c r="B35" s="739" t="n">
        <v>0.234267371819506</v>
      </c>
      <c r="C35" s="739" t="n">
        <v>0.243407215314013</v>
      </c>
      <c r="D35" s="739" t="n">
        <v>0.256739442633043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0.95</v>
      </c>
      <c r="B36" s="741" t="n">
        <v>0.286205909811351</v>
      </c>
      <c r="C36" s="741" t="n">
        <v>0.289330567925455</v>
      </c>
      <c r="D36" s="741" t="n">
        <v>0.303752367075508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</v>
      </c>
      <c r="B37" s="741" t="n">
        <v>0.336640016606107</v>
      </c>
      <c r="C37" s="741" t="n">
        <v>0.334710161315611</v>
      </c>
      <c r="D37" s="741" t="n">
        <v>0.350443377634184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No exit premium (1x ARR)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1x ARR exit -- buyer pays book; no premium for cash flow capture.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>
        <f>'1. Press Assumptions'!$B$5/1000000</f>
        <v/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base deals; recycled funded from retained cash)</t>
        </is>
      </c>
      <c r="B9" s="625">
        <f>SUMPRODUCT('1. Press Assumptions'!$D$89:$D$93,'1. Press Assumptions'!$E$89:$E$93)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(5 base deals, 50% share)</t>
        </is>
      </c>
      <c r="B10" s="619">
        <f>-5*'1. Press Assumptions'!$B$103*'1. Press Assumptions'!$B$110*0.5/1000000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This loaded total ($7,637K/yr) DRIVES engine team comp (via Tab 26 row 28).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9">
      <c r="A29" s="615" t="inlineStr">
        <is>
          <t>Total loaded = base x 1.30 (30% fully-weighted overhead).</t>
        </is>
      </c>
    </row>
    <row r="30">
      <c r="A30" s="615" t="inlineStr">
        <is>
          <t>Engine team comp = this total, ramped (Y1 45%, Y2 99%, Y3+ 100%). See Tab 26 row 28.</t>
        </is>
      </c>
    </row>
    <row r="31">
      <c r="A31" s="6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feeds the engines (D28:R28). Now DERIVED from Tab 23 role schedule (loaded) with hiring ramp.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>
        <f>D28/1.3</f>
        <v/>
      </c>
      <c r="E27" s="590">
        <f>E28/1.3</f>
        <v/>
      </c>
      <c r="F27" s="590">
        <f>F28/1.3</f>
        <v/>
      </c>
      <c r="G27" s="590">
        <f>G28/1.3</f>
        <v/>
      </c>
      <c r="H27" s="590">
        <f>H28/1.3</f>
        <v/>
      </c>
      <c r="I27" s="590">
        <f>I28/1.3</f>
        <v/>
      </c>
      <c r="J27" s="590">
        <f>J28/1.3</f>
        <v/>
      </c>
      <c r="K27" s="590">
        <f>K28/1.3</f>
        <v/>
      </c>
      <c r="L27" s="590">
        <f>L28/1.3</f>
        <v/>
      </c>
      <c r="M27" s="590">
        <f>M28/1.3</f>
        <v/>
      </c>
      <c r="N27" s="590">
        <f>N28/1.3</f>
        <v/>
      </c>
      <c r="O27" s="590">
        <f>O28/1.3</f>
        <v/>
      </c>
      <c r="P27" s="590">
        <f>P28/1.3</f>
        <v/>
      </c>
      <c r="Q27" s="590">
        <f>Q28/1.3</f>
        <v/>
      </c>
      <c r="R27" s="590">
        <f>R28/1.3</f>
        <v/>
      </c>
    </row>
    <row r="28" ht="15" customHeight="1" s="307">
      <c r="A28" s="321" t="inlineStr">
        <is>
          <t>Total Loaded (+ 30%)</t>
        </is>
      </c>
      <c r="D28" s="590">
        <f>0.4527*'23. Fund OpBudget'!$C$27</f>
        <v/>
      </c>
      <c r="E28" s="590">
        <f>0.9947*'23. Fund OpBudget'!$C$27</f>
        <v/>
      </c>
      <c r="F28" s="590">
        <f>'23. Fund OpBudget'!$C$27</f>
        <v/>
      </c>
      <c r="G28" s="590">
        <f>'23. Fund OpBudget'!$C$27</f>
        <v/>
      </c>
      <c r="H28" s="590">
        <f>'23. Fund OpBudget'!$C$27</f>
        <v/>
      </c>
      <c r="I28" s="590">
        <f>'23. Fund OpBudget'!$C$27</f>
        <v/>
      </c>
      <c r="J28" s="590">
        <f>'23. Fund OpBudget'!$C$27</f>
        <v/>
      </c>
      <c r="K28" s="590">
        <f>'23. Fund OpBudget'!$C$27</f>
        <v/>
      </c>
      <c r="L28" s="590">
        <f>'23. Fund OpBudget'!$C$27</f>
        <v/>
      </c>
      <c r="M28" s="590">
        <f>'23. Fund OpBudget'!$C$27</f>
        <v/>
      </c>
      <c r="N28" s="590">
        <f>'23. Fund OpBudget'!$C$27</f>
        <v/>
      </c>
      <c r="O28" s="590">
        <f>'23. Fund OpBudget'!$C$27</f>
        <v/>
      </c>
      <c r="P28" s="590">
        <f>'23. Fund OpBudget'!$C$27</f>
        <v/>
      </c>
      <c r="Q28" s="590">
        <f>'23. Fund OpBudget'!$C$27</f>
        <v/>
      </c>
      <c r="R28" s="590">
        <f>'23. Fund OpBudget'!$C$27</f>
        <v/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706" t="inlineStr">
        <is>
          <t>RECONCILED: steady-state = Tab 23 loaded total ($7,637K/yr). Y1=45%, Y2=99% ramp (CEO/CFO pre-deal, full team by M16).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6" customWidth="1" style="307" min="1" max="1"/>
    <col width="52" customWidth="1" style="307" min="2" max="2"/>
    <col width="50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TRACK RECORD + COMMIT (PARTIAL)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  <row r="25">
      <c r="A25" s="642" t="inlineStr">
        <is>
          <t>TRACK RECORD (GP-DISCLOSED)</t>
        </is>
      </c>
    </row>
    <row r="26">
      <c r="A26" s="628" t="inlineStr">
        <is>
          <t>Prior deals</t>
        </is>
      </c>
      <c r="B26" s="706" t="inlineStr">
        <is>
          <t>3 deals completed</t>
        </is>
      </c>
      <c r="C26" s="615" t="inlineStr">
        <is>
          <t>Need: outcome detail per deal, hold period, exit type</t>
        </is>
      </c>
    </row>
    <row r="27">
      <c r="A27" s="628" t="inlineStr">
        <is>
          <t>Most recent IRR</t>
        </is>
      </c>
      <c r="B27" s="706" t="inlineStr">
        <is>
          <t>36% (GP-stated)</t>
        </is>
      </c>
      <c r="C27" s="615" t="inlineStr">
        <is>
          <t>Need: realized vs projected, gross vs net, cash flow detail</t>
        </is>
      </c>
    </row>
    <row r="28">
      <c r="A28" s="628" t="inlineStr">
        <is>
          <t>Operating track record</t>
        </is>
      </c>
      <c r="B28" s="706" t="inlineStr">
        <is>
          <t>3 years at 75% net margin</t>
        </is>
      </c>
      <c r="C28" s="615" t="inlineStr">
        <is>
          <t>Need: which company, scale, audited financials</t>
        </is>
      </c>
    </row>
    <row r="29">
      <c r="A29" s="628" t="inlineStr">
        <is>
          <t>GP commit</t>
        </is>
      </c>
      <c r="B29" s="706" t="inlineStr">
        <is>
          <t>1% of fund = $1.5M</t>
        </is>
      </c>
      <c r="C29" s="615" t="inlineStr">
        <is>
          <t>Below market norm 2-5%; carry/commit ratio = 32x</t>
        </is>
      </c>
    </row>
    <row r="31">
      <c r="A31" s="642" t="inlineStr">
        <is>
          <t>RECYCLING PROVISIONS (50% RECYCLE STRUCTURE)</t>
        </is>
      </c>
      <c r="B31" s="650" t="n"/>
      <c r="C31" s="650" t="n"/>
      <c r="D31" s="650" t="n"/>
      <c r="E31" s="650" t="n"/>
    </row>
    <row r="32">
      <c r="A32" s="757" t="inlineStr">
        <is>
          <t>Provision</t>
        </is>
      </c>
      <c r="B32" s="757" t="inlineStr">
        <is>
          <t>Term</t>
        </is>
      </c>
      <c r="C32" s="757" t="inlineStr">
        <is>
          <t>Market reference / notes</t>
        </is>
      </c>
    </row>
    <row r="33" ht="42" customHeight="1" s="307">
      <c r="A33" s="635" t="inlineStr">
        <is>
          <t>Recycling window</t>
        </is>
      </c>
      <c r="B33" s="636" t="inlineStr">
        <is>
          <t>Investment Period only (Years 1-5). No recycling after IP ends; all proceeds distributed.</t>
        </is>
      </c>
      <c r="C33" s="638" t="inlineStr">
        <is>
          <t>Standard. The master trigger — recycling permitted solely during the commitment/investment period.</t>
        </is>
      </c>
    </row>
    <row r="34" ht="42" customHeight="1" s="307">
      <c r="A34" s="635" t="inlineStr">
        <is>
          <t>What may be recycled</t>
        </is>
      </c>
      <c r="B34" s="636" t="inlineStr">
        <is>
          <t>50% of OpCo operating distributable cash during the window. Exit/RoC proceeds within 18 months of acquisition also recyclable.</t>
        </is>
      </c>
      <c r="C34" s="638" t="inlineStr">
        <is>
          <t>Current-income recycle, capped at 50% retention. LP receives the other 50% as current distributions.</t>
        </is>
      </c>
    </row>
    <row r="35" ht="42" customHeight="1" s="307">
      <c r="A35" s="635" t="inlineStr">
        <is>
          <t>Legal mechanism</t>
        </is>
      </c>
      <c r="B35" s="636" t="inlineStr">
        <is>
          <t>Recallable Distributions: distributions designated recallable may be called back for reinvestment, up to the deployment cap, during the IP.</t>
        </is>
      </c>
      <c r="C35" s="638" t="inlineStr">
        <is>
          <t>ILPA-standard recycling mechanic.</t>
        </is>
      </c>
    </row>
    <row r="36" ht="42" customHeight="1" s="307">
      <c r="A36" s="635" t="inlineStr">
        <is>
          <t>Aggregate deployment cap</t>
        </is>
      </c>
      <c r="B36" s="636" t="inlineStr">
        <is>
          <t>Up to 150% of committed capital may be invested (100% base + up to 50% recycled).</t>
        </is>
      </c>
      <c r="C36" s="638" t="inlineStr">
        <is>
          <t>Within market range (110-150%). Press targets ~9 deals: 5 base + 4 recycled.</t>
        </is>
      </c>
    </row>
    <row r="37" ht="42" customHeight="1" s="307">
      <c r="A37" s="635" t="inlineStr">
        <is>
          <t>Management fee on recycled $</t>
        </is>
      </c>
      <c r="B37" s="636" t="inlineStr">
        <is>
          <t>ZERO. Mgmt fee charged on committed capital only; never on recycled/reinvested amounts.</t>
        </is>
      </c>
      <c r="C37" s="638" t="inlineStr">
        <is>
          <t>Standard LP protection against double fees. (Moot here — Press fee is ~0 after Y2.)</t>
        </is>
      </c>
    </row>
    <row r="38" ht="42" customHeight="1" s="307">
      <c r="A38" s="635" t="inlineStr">
        <is>
          <t>GP discretion</t>
        </is>
      </c>
      <c r="B38" s="636" t="inlineStr">
        <is>
          <t>GP may elect to recycle up to the 50% cap; not obligated. Amounts not recycled are distributed.</t>
        </is>
      </c>
      <c r="C38" s="638" t="inlineStr">
        <is>
          <t>Gives GP flexibility to distribute if attractive deals are scarce.</t>
        </is>
      </c>
    </row>
    <row r="39" ht="42" customHeight="1" s="307">
      <c r="A39" s="635" t="inlineStr">
        <is>
          <t>LP liquidity protection</t>
        </is>
      </c>
      <c r="B39" s="636" t="inlineStr">
        <is>
          <t>Minimum 50% of distributable cash flows to LPs currently each year during IP (the un-retained half).</t>
        </is>
      </c>
      <c r="C39" s="638" t="inlineStr">
        <is>
          <t>The core of the 50% (vs 100%) structure — LPs keep receiving cash while the fund compounds.</t>
        </is>
      </c>
    </row>
    <row r="40" ht="42" customHeight="1" s="307">
      <c r="A40" s="635" t="inlineStr">
        <is>
          <t>Recycle sufficiency</t>
        </is>
      </c>
      <c r="B40" s="636" t="inlineStr">
        <is>
          <t>Recycled deals funded solely from retained cash; no incremental capital calls. Model shows $244M retained vs $134M needed.</t>
        </is>
      </c>
      <c r="C40" s="638" t="inlineStr">
        <is>
          <t>No capital-call surprise. Sufficiency verified at each deal close (Tab _Engine_R50).</t>
        </is>
      </c>
    </row>
    <row r="41" ht="42" customHeight="1" s="307">
      <c r="A41" s="635" t="inlineStr">
        <is>
          <t>Sunset</t>
        </is>
      </c>
      <c r="B41" s="636" t="inlineStr">
        <is>
          <t>Any recallable distribution not recalled within the IP is permanently released to LPs.</t>
        </is>
      </c>
      <c r="C41" s="638" t="inlineStr">
        <is>
          <t>Standard.</t>
        </is>
      </c>
    </row>
    <row r="43">
      <c r="A43" s="706" t="inlineStr">
        <is>
          <t>WHY 50% (alignment):</t>
        </is>
      </c>
    </row>
    <row r="44" ht="42" customHeight="1" s="307">
      <c r="A44" s="758" t="inlineStr">
        <is>
          <t>Positive-sum: recycling compounds capital into more cash-generating OpCos, so LP cash AND GP carry both rise. Unlike a fee increase (LP-&gt;GP transfer), it grows the pie. 50% (vs 100%) keeps LPs in current cash while still compounding.</t>
        </is>
      </c>
    </row>
    <row r="45">
      <c r="A45" s="628" t="inlineStr">
        <is>
          <t>Deployment pace</t>
        </is>
      </c>
      <c r="B45" s="306" t="inlineStr">
        <is>
          <t>All 9 deals deployed by ~Year 4.3 (recycled at M27/35/43/51). No incremental capital calls.</t>
        </is>
      </c>
      <c r="C45" s="615" t="inlineStr">
        <is>
          <t>Stress-tested: retained cash covers every recycled deal even at 80% NDR (+$19M min cushion).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(INDEX('26. Team Comp'!$D$28:$R$28, B31) * 0.001 / 12)*1.55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(INDEX('26. Team Comp'!$D$28:$R$28, B32) * 0.001 / 12)*1.55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(INDEX('26. Team Comp'!$D$28:$R$28, B33) * 0.001 / 12)*1.55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(INDEX('26. Team Comp'!$D$28:$R$28, B34) * 0.001 / 12)*1.55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(INDEX('26. Team Comp'!$D$28:$R$28, B35) * 0.001 / 12)*1.55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(INDEX('26. Team Comp'!$D$28:$R$28, B36) * 0.001 / 12)*1.55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(INDEX('26. Team Comp'!$D$28:$R$28, B37) * 0.001 / 12)*1.55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(INDEX('26. Team Comp'!$D$28:$R$28, B38) * 0.001 / 12)*1.55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(INDEX('26. Team Comp'!$D$28:$R$28, B39) * 0.001 / 12)*1.55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(INDEX('26. Team Comp'!$D$28:$R$28, B40) * 0.001 / 12)*1.55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(INDEX('26. Team Comp'!$D$28:$R$28, B41) * 0.001 / 12)*1.55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(INDEX('26. Team Comp'!$D$28:$R$28, B42) * 0.001 / 12)*1.55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(INDEX('26. Team Comp'!$D$28:$R$28, B43) * 0.001 / 12)*1.55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(INDEX('26. Team Comp'!$D$28:$R$28, B44) * 0.001 / 12)*1.55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(INDEX('26. Team Comp'!$D$28:$R$28, B45) * 0.001 / 12)*1.55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(INDEX('26. Team Comp'!$D$28:$R$28, B46) * 0.001 / 12)*1.55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(INDEX('26. Team Comp'!$D$28:$R$28, B47) * 0.001 / 12)*1.55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(INDEX('26. Team Comp'!$D$28:$R$28, B48) * 0.001 / 12)*1.55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(INDEX('26. Team Comp'!$D$28:$R$28, B49) * 0.001 / 12)*1.55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(INDEX('26. Team Comp'!$D$28:$R$28, B50) * 0.001 / 12)*1.55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(INDEX('26. Team Comp'!$D$28:$R$28, B51) * 0.001 / 12)*1.55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(INDEX('26. Team Comp'!$D$28:$R$28, B52) * 0.001 / 12)*1.55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(INDEX('26. Team Comp'!$D$28:$R$28, B53) * 0.001 / 12)*1.55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(INDEX('26. Team Comp'!$D$28:$R$28, B54) * 0.001 / 12)*1.55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(INDEX('26. Team Comp'!$D$28:$R$28, B55) * 0.001 / 12)*1.55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(INDEX('26. Team Comp'!$D$28:$R$28, B56) * 0.001 / 12)*1.55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(INDEX('26. Team Comp'!$D$28:$R$28, B57) * 0.001 / 12)*1.55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(INDEX('26. Team Comp'!$D$28:$R$28, B58) * 0.001 / 12)*1.55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(INDEX('26. Team Comp'!$D$28:$R$28, B59) * 0.001 / 12)*1.55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(INDEX('26. Team Comp'!$D$28:$R$28, B60) * 0.001 / 12)*1.55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(INDEX('26. Team Comp'!$D$28:$R$28, B61) * 0.001 / 12)*1.55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(INDEX('26. Team Comp'!$D$28:$R$28, B62) * 0.001 / 12)*1.55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(INDEX('26. Team Comp'!$D$28:$R$28, B63) * 0.001 / 12)*1.55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(INDEX('26. Team Comp'!$D$28:$R$28, B64) * 0.001 / 12)*1.55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(INDEX('26. Team Comp'!$D$28:$R$28, B65) * 0.001 / 12)*1.55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(INDEX('26. Team Comp'!$D$28:$R$28, B66) * 0.001 / 12)*1.55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(INDEX('26. Team Comp'!$D$28:$R$28, B67) * 0.001 / 12)*1.55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(INDEX('26. Team Comp'!$D$28:$R$28, B68) * 0.001 / 12)*1.55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(INDEX('26. Team Comp'!$D$28:$R$28, B69) * 0.001 / 12)*1.55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(INDEX('26. Team Comp'!$D$28:$R$28, B70) * 0.001 / 12)*1.55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(INDEX('26. Team Comp'!$D$28:$R$28, B71) * 0.001 / 12)*1.55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(INDEX('26. Team Comp'!$D$28:$R$28, B72) * 0.001 / 12)*1.55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(INDEX('26. Team Comp'!$D$28:$R$28, B73) * 0.001 / 12)*1.55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(INDEX('26. Team Comp'!$D$28:$R$28, B74) * 0.001 / 12)*1.55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(INDEX('26. Team Comp'!$D$28:$R$28, B75) * 0.001 / 12)*1.55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(INDEX('26. Team Comp'!$D$28:$R$28, B76) * 0.001 / 12)*1.55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(INDEX('26. Team Comp'!$D$28:$R$28, B77) * 0.001 / 12)*1.55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(INDEX('26. Team Comp'!$D$28:$R$28, B78) * 0.001 / 12)*1.55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(INDEX('26. Team Comp'!$D$28:$R$28, B79) * 0.001 / 12)*1.55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(INDEX('26. Team Comp'!$D$28:$R$28, B80) * 0.001 / 12)*1.55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(INDEX('26. Team Comp'!$D$28:$R$28, B81) * 0.001 / 12)*1.55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(INDEX('26. Team Comp'!$D$28:$R$28, B82) * 0.001 / 12)*1.55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(INDEX('26. Team Comp'!$D$28:$R$28, B83) * 0.001 / 12)*1.55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(INDEX('26. Team Comp'!$D$28:$R$28, B84) * 0.001 / 12)*1.55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(INDEX('26. Team Comp'!$D$28:$R$28, B85) * 0.001 / 12)*1.55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(INDEX('26. Team Comp'!$D$28:$R$28, B86) * 0.001 / 12)*1.55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(INDEX('26. Team Comp'!$D$28:$R$28, B87) * 0.001 / 12)*1.55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(INDEX('26. Team Comp'!$D$28:$R$28, B88) * 0.001 / 12)*1.55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(INDEX('26. Team Comp'!$D$28:$R$28, B89) * 0.001 / 12)*1.55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(INDEX('26. Team Comp'!$D$28:$R$28, B90) * 0.001 / 12)*1.55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(INDEX('26. Team Comp'!$D$28:$R$28, B91) * 0.001 / 12)*1.55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(INDEX('26. Team Comp'!$D$28:$R$28, B92) * 0.001 / 12)*1.55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(INDEX('26. Team Comp'!$D$28:$R$28, B93) * 0.001 / 12)*1.55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(INDEX('26. Team Comp'!$D$28:$R$28, B94) * 0.001 / 12)*1.55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(INDEX('26. Team Comp'!$D$28:$R$28, B95) * 0.001 / 12)*1.55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(INDEX('26. Team Comp'!$D$28:$R$28, B96) * 0.001 / 12)*1.55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(INDEX('26. Team Comp'!$D$28:$R$28, B97) * 0.001 / 12)*1.55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(INDEX('26. Team Comp'!$D$28:$R$28, B98) * 0.001 / 12)*1.55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(INDEX('26. Team Comp'!$D$28:$R$28, B99) * 0.001 / 12)*1.55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(INDEX('26. Team Comp'!$D$28:$R$28, B100) * 0.001 / 12)*1.55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(INDEX('26. Team Comp'!$D$28:$R$28, B101) * 0.001 / 12)*1.55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(INDEX('26. Team Comp'!$D$28:$R$28, B102) * 0.001 / 12)*1.55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(INDEX('26. Team Comp'!$D$28:$R$28, B103) * 0.001 / 12)*1.55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(INDEX('26. Team Comp'!$D$28:$R$28, B104) * 0.001 / 12)*1.55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(INDEX('26. Team Comp'!$D$28:$R$28, B105) * 0.001 / 12)*1.55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(INDEX('26. Team Comp'!$D$28:$R$28, B106) * 0.001 / 12)*1.55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(INDEX('26. Team Comp'!$D$28:$R$28, B107) * 0.001 / 12)*1.55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(INDEX('26. Team Comp'!$D$28:$R$28, B108) * 0.001 / 12)*1.55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(INDEX('26. Team Comp'!$D$28:$R$28, B109) * 0.001 / 12)*1.55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(INDEX('26. Team Comp'!$D$28:$R$28, B110) * 0.001 / 12)*1.55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(INDEX('26. Team Comp'!$D$28:$R$28, B111) * 0.001 / 12)*1.55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(INDEX('26. Team Comp'!$D$28:$R$28, B112) * 0.001 / 12)*1.55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(INDEX('26. Team Comp'!$D$28:$R$28, B113) * 0.001 / 12)*1.55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(INDEX('26. Team Comp'!$D$28:$R$28, B114) * 0.001 / 12)*1.55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(INDEX('26. Team Comp'!$D$28:$R$28, B115) * 0.001 / 12)*1.55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(INDEX('26. Team Comp'!$D$28:$R$28, B116) * 0.001 / 12)*1.55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(INDEX('26. Team Comp'!$D$28:$R$28, B117) * 0.001 / 12)*1.55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(INDEX('26. Team Comp'!$D$28:$R$28, B118) * 0.001 / 12)*1.55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(INDEX('26. Team Comp'!$D$28:$R$28, B119) * 0.001 / 12)*1.55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(INDEX('26. Team Comp'!$D$28:$R$28, B120) * 0.001 / 12)*1.55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(INDEX('26. Team Comp'!$D$28:$R$28, B121) * 0.001 / 12)*1.55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(INDEX('26. Team Comp'!$D$28:$R$28, B122) * 0.001 / 12)*1.55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(INDEX('26. Team Comp'!$D$28:$R$28, B123) * 0.001 / 12)*1.55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(INDEX('26. Team Comp'!$D$28:$R$28, B124) * 0.001 / 12)*1.55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(INDEX('26. Team Comp'!$D$28:$R$28, B125) * 0.001 / 12)*1.55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(INDEX('26. Team Comp'!$D$28:$R$28, B126) * 0.001 / 12)*1.55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(INDEX('26. Team Comp'!$D$28:$R$28, B127) * 0.001 / 12)*1.55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(INDEX('26. Team Comp'!$D$28:$R$28, B128) * 0.001 / 12)*1.55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(INDEX('26. Team Comp'!$D$28:$R$28, B129) * 0.001 / 12)*1.55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(INDEX('26. Team Comp'!$D$28:$R$28, B130) * 0.001 / 12)*1.55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(INDEX('26. Team Comp'!$D$28:$R$28, B131) * 0.001 / 12)*1.55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(INDEX('26. Team Comp'!$D$28:$R$28, B132) * 0.001 / 12)*1.55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(INDEX('26. Team Comp'!$D$28:$R$28, B133) * 0.001 / 12)*1.55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(INDEX('26. Team Comp'!$D$28:$R$28, B134) * 0.001 / 12)*1.55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(INDEX('26. Team Comp'!$D$28:$R$28, B135) * 0.001 / 12)*1.55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(INDEX('26. Team Comp'!$D$28:$R$28, B136) * 0.001 / 12)*1.55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(INDEX('26. Team Comp'!$D$28:$R$28, B137) * 0.001 / 12)*1.55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(INDEX('26. Team Comp'!$D$28:$R$28, B138) * 0.001 / 12)*1.55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(INDEX('26. Team Comp'!$D$28:$R$28, B139) * 0.001 / 12)*1.55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(INDEX('26. Team Comp'!$D$28:$R$28, B140) * 0.001 / 12)*1.55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(INDEX('26. Team Comp'!$D$28:$R$28, B141) * 0.001 / 12)*1.55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(INDEX('26. Team Comp'!$D$28:$R$28, B142) * 0.001 / 12)*1.55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(INDEX('26. Team Comp'!$D$28:$R$28, B143) * 0.001 / 12)*1.55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(INDEX('26. Team Comp'!$D$28:$R$28, B144) * 0.001 / 12)*1.55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(INDEX('26. Team Comp'!$D$28:$R$28, B145) * 0.001 / 12)*1.55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(INDEX('26. Team Comp'!$D$28:$R$28, B146) * 0.001 / 12)*1.55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(INDEX('26. Team Comp'!$D$28:$R$28, B147) * 0.001 / 12)*1.55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(INDEX('26. Team Comp'!$D$28:$R$28, B148) * 0.001 / 12)*1.55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(INDEX('26. Team Comp'!$D$28:$R$28, B149) * 0.001 / 12)*1.55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(INDEX('26. Team Comp'!$D$28:$R$28, B150) * 0.001 / 12)*1.55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(INDEX('26. Team Comp'!$D$28:$R$28, B151) * 0.001 / 12)*1.55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(INDEX('26. Team Comp'!$D$28:$R$28, B152) * 0.001 / 12)*1.55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(INDEX('26. Team Comp'!$D$28:$R$28, B153) * 0.001 / 12)*1.55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(INDEX('26. Team Comp'!$D$28:$R$28, B154) * 0.001 / 12)*1.55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(INDEX('26. Team Comp'!$D$28:$R$28, B155) * 0.001 / 12)*1.55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(INDEX('26. Team Comp'!$D$28:$R$28, B156) * 0.001 / 12)*1.55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(INDEX('26. Team Comp'!$D$28:$R$28, B157) * 0.001 / 12)*1.55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(INDEX('26. Team Comp'!$D$28:$R$28, B158) * 0.001 / 12)*1.55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(INDEX('26. Team Comp'!$D$28:$R$28, B159) * 0.001 / 12)*1.55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(INDEX('26. Team Comp'!$D$28:$R$28, B160) * 0.001 / 12)*1.55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(INDEX('26. Team Comp'!$D$28:$R$28, B161) * 0.001 / 12)*1.55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(INDEX('26. Team Comp'!$D$28:$R$28, B162) * 0.001 / 12)*1.55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(INDEX('26. Team Comp'!$D$28:$R$28, B163) * 0.001 / 12)*1.55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(INDEX('26. Team Comp'!$D$28:$R$28, B164) * 0.001 / 12)*1.55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(INDEX('26. Team Comp'!$D$28:$R$28, B165) * 0.001 / 12)*1.55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(INDEX('26. Team Comp'!$D$28:$R$28, B166) * 0.001 / 12)*1.55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(INDEX('26. Team Comp'!$D$28:$R$28, B167) * 0.001 / 12)*1.55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(INDEX('26. Team Comp'!$D$28:$R$28, B168) * 0.001 / 12)*1.55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(INDEX('26. Team Comp'!$D$28:$R$28, B169) * 0.001 / 12)*1.55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(INDEX('26. Team Comp'!$D$28:$R$28, B170) * 0.001 / 12)*1.55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(INDEX('26. Team Comp'!$D$28:$R$28, B171) * 0.001 / 12)*1.55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(INDEX('26. Team Comp'!$D$28:$R$28, B172) * 0.001 / 12)*1.55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(INDEX('26. Team Comp'!$D$28:$R$28, B173) * 0.001 / 12)*1.55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(INDEX('26. Team Comp'!$D$28:$R$28, B174) * 0.001 / 12)*1.55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(INDEX('26. Team Comp'!$D$28:$R$28, B175) * 0.001 / 12)*1.55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(INDEX('26. Team Comp'!$D$28:$R$28, B176) * 0.001 / 12)*1.55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(INDEX('26. Team Comp'!$D$28:$R$28, B177) * 0.001 / 12)*1.55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(INDEX('26. Team Comp'!$D$28:$R$28, B178) * 0.001 / 12)*1.55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(INDEX('26. Team Comp'!$D$28:$R$28, B179) * 0.001 / 12)*1.55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(INDEX('26. Team Comp'!$D$28:$R$28, B180) * 0.001 / 12)*1.55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(INDEX('26. Team Comp'!$D$28:$R$28, B181) * 0.001 / 12)*1.55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(INDEX('26. Team Comp'!$D$28:$R$28, B182) * 0.001 / 12)*1.55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(INDEX('26. Team Comp'!$D$28:$R$28, B183) * 0.001 / 12)*1.55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(INDEX('26. Team Comp'!$D$28:$R$28, B184) * 0.001 / 12)*1.55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(INDEX('26. Team Comp'!$D$28:$R$28, B185) * 0.001 / 12)*1.55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(INDEX('26. Team Comp'!$D$28:$R$28, B186) * 0.001 / 12)*1.55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(INDEX('26. Team Comp'!$D$28:$R$28, B187) * 0.001 / 12)*1.55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(INDEX('26. Team Comp'!$D$28:$R$28, B188) * 0.001 / 12)*1.55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(INDEX('26. Team Comp'!$D$28:$R$28, B189) * 0.001 / 12)*1.55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(INDEX('26. Team Comp'!$D$28:$R$28, B190) * 0.001 / 12)*1.55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(INDEX('26. Team Comp'!$D$28:$R$28, B191) * 0.001 / 12)*1.55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(INDEX('26. Team Comp'!$D$28:$R$28, B192) * 0.001 / 12)*1.55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(INDEX('26. Team Comp'!$D$28:$R$28, B193) * 0.001 / 12)*1.55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(INDEX('26. Team Comp'!$D$28:$R$28, B194) * 0.001 / 12)*1.55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(INDEX('26. Team Comp'!$D$28:$R$28, B195) * 0.001 / 12)*1.55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(INDEX('26. Team Comp'!$D$28:$R$28, B196) * 0.001 / 12)*1.55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(INDEX('26. Team Comp'!$D$28:$R$28, B197) * 0.001 / 12)*1.55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(INDEX('26. Team Comp'!$D$28:$R$28, B198) * 0.001 / 12)*1.55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(INDEX('26. Team Comp'!$D$28:$R$28, B199) * 0.001 / 12)*1.55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(INDEX('26. Team Comp'!$D$28:$R$28, B200) * 0.001 / 12)*1.55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(INDEX('26. Team Comp'!$D$28:$R$28, B201) * 0.001 / 12)*1.55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(INDEX('26. Team Comp'!$D$28:$R$28, B202) * 0.001 / 12)*1.55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(INDEX('26. Team Comp'!$D$28:$R$28, B203) * 0.001 / 12)*1.55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(INDEX('26. Team Comp'!$D$28:$R$28, B204) * 0.001 / 12)*1.55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(INDEX('26. Team Comp'!$D$28:$R$28, B205) * 0.001 / 12)*1.55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(INDEX('26. Team Comp'!$D$28:$R$28, B206) * 0.001 / 12)*1.55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(INDEX('26. Team Comp'!$D$28:$R$28, B207) * 0.001 / 12)*1.55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(INDEX('26. Team Comp'!$D$28:$R$28, B208) * 0.001 / 12)*1.55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(INDEX('26. Team Comp'!$D$28:$R$28, B209) * 0.001 / 12)*1.55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(INDEX('26. Team Comp'!$D$28:$R$28, B210) * 0.001 / 12)*1.55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 t="n">
        <v>0</v>
      </c>
      <c r="V210" s="306">
        <f>T210-U210</f>
        <v/>
      </c>
      <c r="W210" s="306">
        <f>IF(AND(A210=$B$19, $B$21=1), K210*$B$20, 0) + IF(AND(A210=180, $B$21=0), K210*'1. Press Assumptions'!$B$141,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(INDEX('26. Team Comp'!$D$28:$R$28, B31) * 0.001 / 12)*1.6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(INDEX('26. Team Comp'!$D$28:$R$28, B32) * 0.001 / 12)*1.6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(INDEX('26. Team Comp'!$D$28:$R$28, B33) * 0.001 / 12)*1.6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(INDEX('26. Team Comp'!$D$28:$R$28, B34) * 0.001 / 12)*1.6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(INDEX('26. Team Comp'!$D$28:$R$28, B35) * 0.001 / 12)*1.6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(INDEX('26. Team Comp'!$D$28:$R$28, B36) * 0.001 / 12)*1.6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(INDEX('26. Team Comp'!$D$28:$R$28, B37) * 0.001 / 12)*1.6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(INDEX('26. Team Comp'!$D$28:$R$28, B38) * 0.001 / 12)*1.6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(INDEX('26. Team Comp'!$D$28:$R$28, B39) * 0.001 / 12)*1.6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(INDEX('26. Team Comp'!$D$28:$R$28, B40) * 0.001 / 12)*1.6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(INDEX('26. Team Comp'!$D$28:$R$28, B41) * 0.001 / 12)*1.6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(INDEX('26. Team Comp'!$D$28:$R$28, B42) * 0.001 / 12)*1.6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(INDEX('26. Team Comp'!$D$28:$R$28, B43) * 0.001 / 12)*1.6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(INDEX('26. Team Comp'!$D$28:$R$28, B44) * 0.001 / 12)*1.6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(INDEX('26. Team Comp'!$D$28:$R$28, B45) * 0.001 / 12)*1.6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(INDEX('26. Team Comp'!$D$28:$R$28, B46) * 0.001 / 12)*1.6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(INDEX('26. Team Comp'!$D$28:$R$28, B47) * 0.001 / 12)*1.6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(INDEX('26. Team Comp'!$D$28:$R$28, B48) * 0.001 / 12)*1.6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(INDEX('26. Team Comp'!$D$28:$R$28, B49) * 0.001 / 12)*1.6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(INDEX('26. Team Comp'!$D$28:$R$28, B50) * 0.001 / 12)*1.6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(INDEX('26. Team Comp'!$D$28:$R$28, B51) * 0.001 / 12)*1.6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(INDEX('26. Team Comp'!$D$28:$R$28, B52) * 0.001 / 12)*1.6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(INDEX('26. Team Comp'!$D$28:$R$28, B53) * 0.001 / 12)*1.6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(INDEX('26. Team Comp'!$D$28:$R$28, B54) * 0.001 / 12)*1.6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(INDEX('26. Team Comp'!$D$28:$R$28, B55) * 0.001 / 12)*1.6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(INDEX('26. Team Comp'!$D$28:$R$28, B56) * 0.001 / 12)*1.6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(INDEX('26. Team Comp'!$D$28:$R$28, B57) * 0.001 / 12)*1.6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(INDEX('26. Team Comp'!$D$28:$R$28, B58) * 0.001 / 12)*1.6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(INDEX('26. Team Comp'!$D$28:$R$28, B59) * 0.001 / 12)*1.6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(INDEX('26. Team Comp'!$D$28:$R$28, B60) * 0.001 / 12)*1.6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(INDEX('26. Team Comp'!$D$28:$R$28, B61) * 0.001 / 12)*1.6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(INDEX('26. Team Comp'!$D$28:$R$28, B62) * 0.001 / 12)*1.6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(INDEX('26. Team Comp'!$D$28:$R$28, B63) * 0.001 / 12)*1.6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(INDEX('26. Team Comp'!$D$28:$R$28, B64) * 0.001 / 12)*1.6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(INDEX('26. Team Comp'!$D$28:$R$28, B65) * 0.001 / 12)*1.6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(INDEX('26. Team Comp'!$D$28:$R$28, B66) * 0.001 / 12)*1.6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(INDEX('26. Team Comp'!$D$28:$R$28, B67) * 0.001 / 12)*1.6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(INDEX('26. Team Comp'!$D$28:$R$28, B68) * 0.001 / 12)*1.6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(INDEX('26. Team Comp'!$D$28:$R$28, B69) * 0.001 / 12)*1.6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(INDEX('26. Team Comp'!$D$28:$R$28, B70) * 0.001 / 12)*1.6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(INDEX('26. Team Comp'!$D$28:$R$28, B71) * 0.001 / 12)*1.6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(INDEX('26. Team Comp'!$D$28:$R$28, B72) * 0.001 / 12)*1.6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(INDEX('26. Team Comp'!$D$28:$R$28, B73) * 0.001 / 12)*1.6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(INDEX('26. Team Comp'!$D$28:$R$28, B74) * 0.001 / 12)*1.6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(INDEX('26. Team Comp'!$D$28:$R$28, B75) * 0.001 / 12)*1.6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(INDEX('26. Team Comp'!$D$28:$R$28, B76) * 0.001 / 12)*1.6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(INDEX('26. Team Comp'!$D$28:$R$28, B77) * 0.001 / 12)*1.6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(INDEX('26. Team Comp'!$D$28:$R$28, B78) * 0.001 / 12)*1.6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(INDEX('26. Team Comp'!$D$28:$R$28, B79) * 0.001 / 12)*1.6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(INDEX('26. Team Comp'!$D$28:$R$28, B80) * 0.001 / 12)*1.6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(INDEX('26. Team Comp'!$D$28:$R$28, B81) * 0.001 / 12)*1.6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(INDEX('26. Team Comp'!$D$28:$R$28, B82) * 0.001 / 12)*1.6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(INDEX('26. Team Comp'!$D$28:$R$28, B83) * 0.001 / 12)*1.6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(INDEX('26. Team Comp'!$D$28:$R$28, B84) * 0.001 / 12)*1.6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(INDEX('26. Team Comp'!$D$28:$R$28, B85) * 0.001 / 12)*1.6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(INDEX('26. Team Comp'!$D$28:$R$28, B86) * 0.001 / 12)*1.6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(INDEX('26. Team Comp'!$D$28:$R$28, B87) * 0.001 / 12)*1.6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(INDEX('26. Team Comp'!$D$28:$R$28, B88) * 0.001 / 12)*1.6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(INDEX('26. Team Comp'!$D$28:$R$28, B89) * 0.001 / 12)*1.6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(INDEX('26. Team Comp'!$D$28:$R$28, B90) * 0.001 / 12)*1.6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(INDEX('26. Team Comp'!$D$28:$R$28, B91) * 0.001 / 12)*1.6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(INDEX('26. Team Comp'!$D$28:$R$28, B92) * 0.001 / 12)*1.6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(INDEX('26. Team Comp'!$D$28:$R$28, B93) * 0.001 / 12)*1.6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(INDEX('26. Team Comp'!$D$28:$R$28, B94) * 0.001 / 12)*1.6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(INDEX('26. Team Comp'!$D$28:$R$28, B95) * 0.001 / 12)*1.6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(INDEX('26. Team Comp'!$D$28:$R$28, B96) * 0.001 / 12)*1.6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(INDEX('26. Team Comp'!$D$28:$R$28, B97) * 0.001 / 12)*1.6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(INDEX('26. Team Comp'!$D$28:$R$28, B98) * 0.001 / 12)*1.6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(INDEX('26. Team Comp'!$D$28:$R$28, B99) * 0.001 / 12)*1.6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(INDEX('26. Team Comp'!$D$28:$R$28, B100) * 0.001 / 12)*1.6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(INDEX('26. Team Comp'!$D$28:$R$28, B101) * 0.001 / 12)*1.6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(INDEX('26. Team Comp'!$D$28:$R$28, B102) * 0.001 / 12)*1.6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(INDEX('26. Team Comp'!$D$28:$R$28, B103) * 0.001 / 12)*1.6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(INDEX('26. Team Comp'!$D$28:$R$28, B104) * 0.001 / 12)*1.6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(INDEX('26. Team Comp'!$D$28:$R$28, B105) * 0.001 / 12)*1.6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(INDEX('26. Team Comp'!$D$28:$R$28, B106) * 0.001 / 12)*1.6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(INDEX('26. Team Comp'!$D$28:$R$28, B107) * 0.001 / 12)*1.6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(INDEX('26. Team Comp'!$D$28:$R$28, B108) * 0.001 / 12)*1.6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(INDEX('26. Team Comp'!$D$28:$R$28, B109) * 0.001 / 12)*1.6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(INDEX('26. Team Comp'!$D$28:$R$28, B110) * 0.001 / 12)*1.6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(INDEX('26. Team Comp'!$D$28:$R$28, B111) * 0.001 / 12)*1.6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(INDEX('26. Team Comp'!$D$28:$R$28, B112) * 0.001 / 12)*1.6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(INDEX('26. Team Comp'!$D$28:$R$28, B113) * 0.001 / 12)*1.6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(INDEX('26. Team Comp'!$D$28:$R$28, B114) * 0.001 / 12)*1.6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(INDEX('26. Team Comp'!$D$28:$R$28, B115) * 0.001 / 12)*1.6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(INDEX('26. Team Comp'!$D$28:$R$28, B116) * 0.001 / 12)*1.6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(INDEX('26. Team Comp'!$D$28:$R$28, B117) * 0.001 / 12)*1.6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(INDEX('26. Team Comp'!$D$28:$R$28, B118) * 0.001 / 12)*1.6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(INDEX('26. Team Comp'!$D$28:$R$28, B119) * 0.001 / 12)*1.6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(INDEX('26. Team Comp'!$D$28:$R$28, B120) * 0.001 / 12)*1.6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(INDEX('26. Team Comp'!$D$28:$R$28, B121) * 0.001 / 12)*1.6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(INDEX('26. Team Comp'!$D$28:$R$28, B122) * 0.001 / 12)*1.6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(INDEX('26. Team Comp'!$D$28:$R$28, B123) * 0.001 / 12)*1.6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(INDEX('26. Team Comp'!$D$28:$R$28, B124) * 0.001 / 12)*1.6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(INDEX('26. Team Comp'!$D$28:$R$28, B125) * 0.001 / 12)*1.6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(INDEX('26. Team Comp'!$D$28:$R$28, B126) * 0.001 / 12)*1.6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(INDEX('26. Team Comp'!$D$28:$R$28, B127) * 0.001 / 12)*1.6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(INDEX('26. Team Comp'!$D$28:$R$28, B128) * 0.001 / 12)*1.6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(INDEX('26. Team Comp'!$D$28:$R$28, B129) * 0.001 / 12)*1.6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(INDEX('26. Team Comp'!$D$28:$R$28, B130) * 0.001 / 12)*1.6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(INDEX('26. Team Comp'!$D$28:$R$28, B131) * 0.001 / 12)*1.6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(INDEX('26. Team Comp'!$D$28:$R$28, B132) * 0.001 / 12)*1.6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(INDEX('26. Team Comp'!$D$28:$R$28, B133) * 0.001 / 12)*1.6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(INDEX('26. Team Comp'!$D$28:$R$28, B134) * 0.001 / 12)*1.6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(INDEX('26. Team Comp'!$D$28:$R$28, B135) * 0.001 / 12)*1.6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(INDEX('26. Team Comp'!$D$28:$R$28, B136) * 0.001 / 12)*1.6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(INDEX('26. Team Comp'!$D$28:$R$28, B137) * 0.001 / 12)*1.6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(INDEX('26. Team Comp'!$D$28:$R$28, B138) * 0.001 / 12)*1.6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(INDEX('26. Team Comp'!$D$28:$R$28, B139) * 0.001 / 12)*1.6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(INDEX('26. Team Comp'!$D$28:$R$28, B140) * 0.001 / 12)*1.6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(INDEX('26. Team Comp'!$D$28:$R$28, B141) * 0.001 / 12)*1.6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(INDEX('26. Team Comp'!$D$28:$R$28, B142) * 0.001 / 12)*1.6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(INDEX('26. Team Comp'!$D$28:$R$28, B143) * 0.001 / 12)*1.6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(INDEX('26. Team Comp'!$D$28:$R$28, B144) * 0.001 / 12)*1.6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(INDEX('26. Team Comp'!$D$28:$R$28, B145) * 0.001 / 12)*1.6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(INDEX('26. Team Comp'!$D$28:$R$28, B146) * 0.001 / 12)*1.6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(INDEX('26. Team Comp'!$D$28:$R$28, B147) * 0.001 / 12)*1.6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(INDEX('26. Team Comp'!$D$28:$R$28, B148) * 0.001 / 12)*1.6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(INDEX('26. Team Comp'!$D$28:$R$28, B149) * 0.001 / 12)*1.6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(INDEX('26. Team Comp'!$D$28:$R$28, B150) * 0.001 / 12)*1.6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(INDEX('26. Team Comp'!$D$28:$R$28, B151) * 0.001 / 12)*1.6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(INDEX('26. Team Comp'!$D$28:$R$28, B152) * 0.001 / 12)*1.6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(INDEX('26. Team Comp'!$D$28:$R$28, B153) * 0.001 / 12)*1.6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(INDEX('26. Team Comp'!$D$28:$R$28, B154) * 0.001 / 12)*1.6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(INDEX('26. Team Comp'!$D$28:$R$28, B155) * 0.001 / 12)*1.6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(INDEX('26. Team Comp'!$D$28:$R$28, B156) * 0.001 / 12)*1.6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(INDEX('26. Team Comp'!$D$28:$R$28, B157) * 0.001 / 12)*1.6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(INDEX('26. Team Comp'!$D$28:$R$28, B158) * 0.001 / 12)*1.6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(INDEX('26. Team Comp'!$D$28:$R$28, B159) * 0.001 / 12)*1.6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(INDEX('26. Team Comp'!$D$28:$R$28, B160) * 0.001 / 12)*1.6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(INDEX('26. Team Comp'!$D$28:$R$28, B161) * 0.001 / 12)*1.6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(INDEX('26. Team Comp'!$D$28:$R$28, B162) * 0.001 / 12)*1.6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(INDEX('26. Team Comp'!$D$28:$R$28, B163) * 0.001 / 12)*1.6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(INDEX('26. Team Comp'!$D$28:$R$28, B164) * 0.001 / 12)*1.6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(INDEX('26. Team Comp'!$D$28:$R$28, B165) * 0.001 / 12)*1.6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(INDEX('26. Team Comp'!$D$28:$R$28, B166) * 0.001 / 12)*1.6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(INDEX('26. Team Comp'!$D$28:$R$28, B167) * 0.001 / 12)*1.6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(INDEX('26. Team Comp'!$D$28:$R$28, B168) * 0.001 / 12)*1.6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(INDEX('26. Team Comp'!$D$28:$R$28, B169) * 0.001 / 12)*1.6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(INDEX('26. Team Comp'!$D$28:$R$28, B170) * 0.001 / 12)*1.6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(INDEX('26. Team Comp'!$D$28:$R$28, B171) * 0.001 / 12)*1.6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(INDEX('26. Team Comp'!$D$28:$R$28, B172) * 0.001 / 12)*1.6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(INDEX('26. Team Comp'!$D$28:$R$28, B173) * 0.001 / 12)*1.6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(INDEX('26. Team Comp'!$D$28:$R$28, B174) * 0.001 / 12)*1.6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(INDEX('26. Team Comp'!$D$28:$R$28, B175) * 0.001 / 12)*1.6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(INDEX('26. Team Comp'!$D$28:$R$28, B176) * 0.001 / 12)*1.6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(INDEX('26. Team Comp'!$D$28:$R$28, B177) * 0.001 / 12)*1.6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(INDEX('26. Team Comp'!$D$28:$R$28, B178) * 0.001 / 12)*1.6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(INDEX('26. Team Comp'!$D$28:$R$28, B179) * 0.001 / 12)*1.6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(INDEX('26. Team Comp'!$D$28:$R$28, B180) * 0.001 / 12)*1.6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(INDEX('26. Team Comp'!$D$28:$R$28, B181) * 0.001 / 12)*1.6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(INDEX('26. Team Comp'!$D$28:$R$28, B182) * 0.001 / 12)*1.6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(INDEX('26. Team Comp'!$D$28:$R$28, B183) * 0.001 / 12)*1.6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(INDEX('26. Team Comp'!$D$28:$R$28, B184) * 0.001 / 12)*1.6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(INDEX('26. Team Comp'!$D$28:$R$28, B185) * 0.001 / 12)*1.6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(INDEX('26. Team Comp'!$D$28:$R$28, B186) * 0.001 / 12)*1.6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(INDEX('26. Team Comp'!$D$28:$R$28, B187) * 0.001 / 12)*1.6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(INDEX('26. Team Comp'!$D$28:$R$28, B188) * 0.001 / 12)*1.6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(INDEX('26. Team Comp'!$D$28:$R$28, B189) * 0.001 / 12)*1.6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(INDEX('26. Team Comp'!$D$28:$R$28, B190) * 0.001 / 12)*1.6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(INDEX('26. Team Comp'!$D$28:$R$28, B191) * 0.001 / 12)*1.6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(INDEX('26. Team Comp'!$D$28:$R$28, B192) * 0.001 / 12)*1.6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(INDEX('26. Team Comp'!$D$28:$R$28, B193) * 0.001 / 12)*1.6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(INDEX('26. Team Comp'!$D$28:$R$28, B194) * 0.001 / 12)*1.6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(INDEX('26. Team Comp'!$D$28:$R$28, B195) * 0.001 / 12)*1.6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(INDEX('26. Team Comp'!$D$28:$R$28, B196) * 0.001 / 12)*1.6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(INDEX('26. Team Comp'!$D$28:$R$28, B197) * 0.001 / 12)*1.6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(INDEX('26. Team Comp'!$D$28:$R$28, B198) * 0.001 / 12)*1.6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(INDEX('26. Team Comp'!$D$28:$R$28, B199) * 0.001 / 12)*1.6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(INDEX('26. Team Comp'!$D$28:$R$28, B200) * 0.001 / 12)*1.6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(INDEX('26. Team Comp'!$D$28:$R$28, B201) * 0.001 / 12)*1.6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(INDEX('26. Team Comp'!$D$28:$R$28, B202) * 0.001 / 12)*1.6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(INDEX('26. Team Comp'!$D$28:$R$28, B203) * 0.001 / 12)*1.6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(INDEX('26. Team Comp'!$D$28:$R$28, B204) * 0.001 / 12)*1.6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(INDEX('26. Team Comp'!$D$28:$R$28, B205) * 0.001 / 12)*1.6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(INDEX('26. Team Comp'!$D$28:$R$28, B206) * 0.001 / 12)*1.6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(INDEX('26. Team Comp'!$D$28:$R$28, B207) * 0.001 / 12)*1.6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(INDEX('26. Team Comp'!$D$28:$R$28, B208) * 0.001 / 12)*1.6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(INDEX('26. Team Comp'!$D$28:$R$28, B209) * 0.001 / 12)*1.6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(INDEX('26. Team Comp'!$D$28:$R$28, B210) * 0.001 / 12)*1.6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M27 (Deal #6 close)</t>
        </is>
      </c>
      <c r="B334" s="695">
        <f>SUM(Y31:Y57)</f>
        <v/>
      </c>
      <c r="C334" s="695" t="n">
        <v>33.6</v>
      </c>
      <c r="D334" s="695">
        <f>B334-C334</f>
        <v/>
      </c>
      <c r="E334" s="306">
        <f>IF(B334&gt;=C334,"OK","SHORT")</f>
        <v/>
      </c>
    </row>
    <row r="335">
      <c r="A335" s="306" t="inlineStr">
        <is>
          <t>M35 (Deal #7 close)</t>
        </is>
      </c>
      <c r="B335" s="695">
        <f>SUM(Y31:Y65)</f>
        <v/>
      </c>
      <c r="C335" s="695" t="n">
        <v>67.2</v>
      </c>
      <c r="D335" s="695">
        <f>B335-C335</f>
        <v/>
      </c>
      <c r="E335" s="306">
        <f>IF(B335&gt;=C335,"OK","SHORT")</f>
        <v/>
      </c>
    </row>
    <row r="336">
      <c r="A336" s="306" t="inlineStr">
        <is>
          <t>M43 (Deal #8 close)</t>
        </is>
      </c>
      <c r="B336" s="695">
        <f>SUM(Y31:Y73)</f>
        <v/>
      </c>
      <c r="C336" s="695" t="n">
        <v>100.8</v>
      </c>
      <c r="D336" s="695">
        <f>B336-C336</f>
        <v/>
      </c>
      <c r="E336" s="306">
        <f>IF(B336&gt;=C336,"OK","SHORT")</f>
        <v/>
      </c>
    </row>
    <row r="337">
      <c r="A337" s="306" t="inlineStr">
        <is>
          <t>M51 (Deal #9 close)</t>
        </is>
      </c>
      <c r="B337" s="695">
        <f>SUM(Y31:Y81)</f>
        <v/>
      </c>
      <c r="C337" s="695" t="n">
        <v>134.4</v>
      </c>
      <c r="D337" s="695">
        <f>B337-C337</f>
        <v/>
      </c>
      <c r="E337" s="306">
        <f>IF(B337&gt;=C337,"OK","SHORT")</f>
        <v/>
      </c>
    </row>
    <row r="338">
      <c r="A338" s="628" t="inlineStr">
        <is>
          <t>Total recycled capital needed</t>
        </is>
      </c>
      <c r="B338" s="306" t="n">
        <v>134.4</v>
      </c>
    </row>
    <row r="339">
      <c r="A339" s="628" t="inlineStr">
        <is>
          <t>Total retained M1-36</t>
        </is>
      </c>
      <c r="B339" s="306">
        <f>SUM(Y31:Y81)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2026-06-28T03:10:14Z</dcterms:modified>
  <cp:revision>0</cp:revision>
</cp:coreProperties>
</file>